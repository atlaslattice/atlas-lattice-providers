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24c70db54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e27566e64b4794"/>
    <x:sheet xmlns:r="http://schemas.openxmlformats.org/officeDocument/2006/relationships" name="Swarm Matrix" sheetId="2" r:id="R07fe1f56d70c4d68"/>
    <x:sheet xmlns:r="http://schemas.openxmlformats.org/officeDocument/2006/relationships" name="Node Roster" sheetId="3" r:id="R35bad39888d040ab"/>
    <x:sheet xmlns:r="http://schemas.openxmlformats.org/officeDocument/2006/relationships" name="Return Packet Template" sheetId="4" r:id="R359df4332cf84c8d"/>
    <x:sheet xmlns:r="http://schemas.openxmlformats.org/officeDocument/2006/relationships" name="Communication Cadence" sheetId="5" r:id="Rbc1171c140c74bdf"/>
    <x:sheet xmlns:r="http://schemas.openxmlformats.org/officeDocument/2006/relationships" name="Implementation Sprints" sheetId="6" r:id="R92326a9a58b54fe6"/>
    <x:sheet xmlns:r="http://schemas.openxmlformats.org/officeDocument/2006/relationships" name="Completion Gates" sheetId="7" r:id="Rf8810abee5954b06"/>
    <x:sheet xmlns:r="http://schemas.openxmlformats.org/officeDocument/2006/relationships" name="Risk Register" sheetId="8" r:id="R4766f66947c94a5e"/>
    <x:sheet xmlns:r="http://schemas.openxmlformats.org/officeDocument/2006/relationships" name="Universal Child Return Packet" sheetId="9" r:id="Re8e18380927644a9"/>
    <x:sheet xmlns:r="http://schemas.openxmlformats.org/officeDocument/2006/relationships" name="Graph Seed Queue" sheetId="10" r:id="R877145d2a8d148bf"/>
    <x:sheet xmlns:r="http://schemas.openxmlformats.org/officeDocument/2006/relationships" name="OpenAI Benefit Lane" sheetId="11" r:id="Racefb5a86836478b"/>
    <x:sheet xmlns:r="http://schemas.openxmlformats.org/officeDocument/2006/relationships" name="Aetherforge Log" sheetId="12" r:id="R3a761ec2d62e43fc"/>
    <x:sheet xmlns:r="http://schemas.openxmlformats.org/officeDocument/2006/relationships" name="Archive Health HUD" sheetId="13" r:id="R8f5eec0264e74d35"/>
    <x:sheet xmlns:r="http://schemas.openxmlformats.org/officeDocument/2006/relationships" name="First Source Touch Queue" sheetId="14" r:id="Rfbdeabccec1a46cf"/>
    <x:sheet xmlns:r="http://schemas.openxmlformats.org/officeDocument/2006/relationships" name="Claude Quarantine Queue" sheetId="15" r:id="Rc9ccd9c5640442aa"/>
    <x:sheet xmlns:r="http://schemas.openxmlformats.org/officeDocument/2006/relationships" name="Eval Games" sheetId="16" r:id="Rf551c533e5b7483a"/>
    <x:sheet xmlns:r="http://schemas.openxmlformats.org/officeDocument/2006/relationships" name="Public Release Gate" sheetId="17" r:id="Ra71bdc238ade4167"/>
    <x:sheet xmlns:r="http://schemas.openxmlformats.org/officeDocument/2006/relationships" name="GitHub Public Queue" sheetId="18" r:id="R33ceea3b6c6e4b7a"/>
    <x:sheet xmlns:r="http://schemas.openxmlformats.org/officeDocument/2006/relationships" name="Private Quarantine Queue" sheetId="19" r:id="R9b3c61c1677544ff"/>
    <x:sheet xmlns:r="http://schemas.openxmlformats.org/officeDocument/2006/relationships" name="Release Rules" sheetId="20" r:id="Ra7f628fa653840d3"/>
    <x:sheet xmlns:r="http://schemas.openxmlformats.org/officeDocument/2006/relationships" name="GitHub Repo Manifest" sheetId="21" r:id="R8dccab55c35b4483"/>
    <x:sheet xmlns:r="http://schemas.openxmlformats.org/officeDocument/2006/relationships" name="Public Mirror Checklist" sheetId="22" r:id="R1d62a70b1fcf45d1"/>
    <x:sheet xmlns:r="http://schemas.openxmlformats.org/officeDocument/2006/relationships" name="Quarantine Trigger Scanner" sheetId="23" r:id="Ra9763dcac6df4249"/>
    <x:sheet xmlns:r="http://schemas.openxmlformats.org/officeDocument/2006/relationships" name="World-Class Git Sprint" sheetId="24" r:id="Rea5a9818b2ec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  <x:font>
      <x:b/>
      <x:sz val="11"/>
      <x:color rgb="2E1065"/>
      <x:name val="Carlito"/>
    </x:font>
    <x:font>
      <x:b/>
      <x:sz val="11"/>
      <x:color rgb="111827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4C1D95"/>
      </x:patternFill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92400E"/>
      </x:patternFill>
    </x:fill>
    <x:fill>
      <x:patternFill patternType="solid">
        <x:fgColor rgb="7F1D1D"/>
      </x:patternFill>
    </x:fill>
    <x:fill>
      <x:patternFill patternType="solid">
        <x:fgColor rgb="334155"/>
      </x:patternFill>
    </x:fill>
    <x:fill>
      <x:patternFill patternType="solid">
        <x:fgColor rgb="991B1B"/>
      </x:patternFill>
    </x:fill>
    <x:fill>
      <x:patternFill patternType="solid">
        <x:fgColor rgb="312E81"/>
      </x:patternFill>
    </x:fill>
    <x:fill>
      <x:patternFill patternType="solid">
        <x:fgColor rgb="E0E7FF"/>
      </x:patternFill>
    </x:fill>
    <x:fill>
      <x:patternFill patternType="solid">
        <x:fgColor rgb="3730A3"/>
      </x:patternFill>
    </x:fill>
    <x:fill>
      <x:patternFill patternType="solid">
        <x:fgColor rgb="4C1D95"/>
      </x:patternFill>
    </x:fill>
    <x:fill>
      <x:patternFill patternType="solid">
        <x:fgColor rgb="EDE9FE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14532D"/>
      </x:patternFill>
    </x:fill>
    <x:fill>
      <x:patternFill patternType="solid">
        <x:fgColor rgb="166534"/>
      </x:patternFill>
    </x:fill>
    <x:fill>
      <x:patternFill patternType="solid">
        <x:fgColor rgb="E5E7EB"/>
      </x:patternFill>
    </x:fill>
    <x:fill>
      <x:patternFill patternType="solid">
        <x:fgColor rgb="111827"/>
      </x:patternFill>
    </x:fill>
    <x:fill>
      <x:patternFill patternType="solid">
        <x:fgColor rgb="1D4ED8"/>
      </x:patternFill>
    </x:fill>
    <x:fill>
      <x:patternFill patternType="solid">
        <x:fgColor rgb="92400E"/>
      </x:patternFill>
    </x:fill>
    <x:fill>
      <x:patternFill patternType="solid">
        <x:fgColor rgb="4C1D95"/>
      </x:patternFill>
    </x:fill>
    <x:fill>
      <x:patternFill patternType="solid">
        <x:fgColor rgb="4C1D95"/>
      </x:patternFill>
    </x:fill>
    <x:fill>
      <x:patternFill patternType="solid">
        <x:fgColor rgb="E5E7EB"/>
      </x:patternFill>
    </x:fill>
    <x:fill>
      <x:patternFill patternType="solid">
        <x:fgColor rgb="111827"/>
      </x:patternFill>
    </x:fill>
    <x:fill>
      <x:patternFill patternType="solid">
        <x:fgColor rgb="1D4ED8"/>
      </x:patternFill>
    </x:fill>
    <x:fill>
      <x:patternFill patternType="solid">
        <x:fgColor rgb="14532D"/>
      </x:patternFill>
    </x:fill>
    <x:fill>
      <x:patternFill patternType="solid">
        <x:fgColor rgb="7F1D1D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0F766E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horizontal="center" wrapText="1"/>
    </x:xf>
    <x:xf numFmtId="0" fontId="1" fillId="11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5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vertical="top"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16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horizontal="center" wrapText="1"/>
    </x:xf>
    <x:xf numFmtId="0" fontId="6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horizont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horizontal="center"/>
    </x:xf>
    <x:xf numFmtId="0" fontId="4" fillId="22" borderId="0" xfId="0" applyNumberFormat="1" applyFont="1" applyFill="1" applyBorder="1" applyAlignment="1">
      <x:alignment horizontal="center" vertical="center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top" wrapText="1"/>
    </x:xf>
    <x:xf numFmtId="0" fontId="6" fillId="18" borderId="0" xfId="0" applyNumberFormat="1" applyFont="1" applyFill="1" applyBorder="1" applyAlignment="1">
      <x:alignment horizontal="center" vertical="top" wrapText="1"/>
    </x:xf>
    <x:xf numFmtId="0" fontId="1" fillId="19" borderId="0" xfId="0" applyNumberFormat="1" applyFont="1" applyFill="1" applyBorder="1" applyAlignment="1">
      <x:alignment horizontal="center" vertical="top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top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0" fontId="4" fillId="21" borderId="0" xfId="0" applyNumberFormat="1" applyFont="1" applyFill="1" applyBorder="1" applyAlignment="1">
      <x:alignment horizontal="center" vertical="top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4" fillId="22" borderId="0" xfId="0" applyNumberFormat="1" applyFont="1" applyFill="1" applyBorder="1" applyAlignment="1">
      <x:alignment horizontal="center" vertical="top" wrapText="1"/>
    </x:xf>
    <x:xf numFmtId="0" fontId="4" fillId="1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4" fillId="23" borderId="0" xfId="0" applyNumberFormat="1" applyFont="1" applyFill="1" applyBorder="1" applyAlignment="1">
      <x:alignment horizontal="center"/>
    </x:xf>
    <x:xf numFmtId="0" fontId="4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 applyAlignment="1">
      <x:alignment horizontal="center" wrapText="1"/>
    </x:xf>
    <x:xf numFmtId="0" fontId="6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center"/>
    </x:xf>
    <x:xf numFmtId="0" fontId="4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horizontal="center"/>
    </x:xf>
    <x:xf numFmtId="0" fontId="4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horizontal="center"/>
    </x:xf>
    <x:xf numFmtId="0" fontId="4" fillId="28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horizontal="center" vertical="top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top" wrapText="1"/>
    </x:xf>
    <x:xf numFmtId="0" fontId="1" fillId="25" borderId="0" xfId="0" applyNumberFormat="1" applyFont="1" applyFill="1" applyBorder="1" applyAlignment="1">
      <x:alignment horizontal="center" vertical="top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top" wrapText="1"/>
    </x:xf>
    <x:xf numFmtId="0" fontId="4" fillId="28" borderId="0" xfId="0" applyNumberFormat="1" applyFont="1" applyFill="1" applyBorder="1" applyAlignment="1">
      <x:alignment horizontal="center" vertical="center" wrapText="1"/>
    </x:xf>
    <x:xf numFmtId="0" fontId="4" fillId="28" borderId="0" xfId="0" applyNumberFormat="1" applyFont="1" applyFill="1" applyBorder="1" applyAlignment="1">
      <x:alignment horizontal="center" vertical="top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top" wrapText="1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vertical="top" wrapText="1"/>
    </x:xf>
    <x:xf numFmtId="0" fontId="6" fillId="18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horizontal="center"/>
    </x:xf>
    <x:xf numFmtId="0" fontId="4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6" fillId="30" borderId="0" xfId="0" applyNumberFormat="1" applyFont="1" applyFill="1" applyBorder="1" applyAlignment="1">
      <x:alignment horizontal="center" wrapText="1"/>
    </x:xf>
    <x:xf numFmtId="0" fontId="6" fillId="30" borderId="0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1" fillId="31" borderId="0" xfId="0" applyNumberFormat="1" applyFont="1" applyFill="1" applyBorder="1"/>
    <x:xf numFmtId="0" fontId="1" fillId="31" borderId="0" xfId="0" applyNumberFormat="1" applyFont="1" applyFill="1" applyBorder="1" applyAlignment="1">
      <x:alignment wrapText="1"/>
    </x:xf>
    <x:xf numFmtId="0" fontId="1" fillId="31" borderId="0" xfId="0" applyNumberFormat="1" applyFont="1" applyFill="1" applyBorder="1" applyAlignment="1">
      <x:alignment horizontal="center" wrapText="1"/>
    </x:xf>
    <x:xf numFmtId="0" fontId="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0" xfId="0" applyNumberFormat="1" applyFont="1" applyFill="1" applyBorder="1" applyAlignment="1">
      <x:alignment horizontal="center"/>
    </x:xf>
    <x:xf numFmtId="0" fontId="4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0" xfId="0" applyNumberFormat="1" applyFont="1" applyFill="1" applyBorder="1" applyAlignment="1">
      <x:alignment horizontal="center"/>
    </x:xf>
    <x:xf numFmtId="0" fontId="4" fillId="33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 applyAlignment="1">
      <x:alignment vertical="top" wrapText="1"/>
    </x:xf>
    <x:xf numFmtId="0" fontId="6" fillId="30" borderId="0" xfId="0" applyNumberFormat="1" applyFont="1" applyFill="1" applyBorder="1" applyAlignment="1">
      <x:alignment vertical="top" wrapText="1"/>
    </x:xf>
    <x:xf numFmtId="0" fontId="6" fillId="30" borderId="0" xfId="0" applyNumberFormat="1" applyFont="1" applyFill="1" applyBorder="1" applyAlignment="1">
      <x:alignment horizontal="center" vertical="top"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0" fontId="4" fillId="29" borderId="0" xfId="0" applyNumberFormat="1" applyFont="1" applyFill="1" applyBorder="1" applyAlignment="1">
      <x:alignment horizontal="center" vertical="top" wrapText="1"/>
    </x:xf>
    <x:xf numFmtId="0" fontId="1" fillId="31" borderId="0" xfId="0" applyNumberFormat="1" applyFont="1" applyFill="1" applyBorder="1" applyAlignment="1">
      <x:alignment horizontal="center" vertical="top" wrapText="1"/>
    </x:xf>
    <x:xf numFmtId="0" fontId="4" fillId="32" borderId="0" xfId="0" applyNumberFormat="1" applyFont="1" applyFill="1" applyBorder="1" applyAlignment="1">
      <x:alignment horizontal="center" vertical="center" wrapText="1"/>
    </x:xf>
    <x:xf numFmtId="0" fontId="4" fillId="32" borderId="0" xfId="0" applyNumberFormat="1" applyFont="1" applyFill="1" applyBorder="1" applyAlignment="1">
      <x:alignment horizontal="center" vertical="top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dd391d346488a" /><Relationship Type="http://schemas.openxmlformats.org/officeDocument/2006/relationships/theme" Target="/xl/theme/theme1.xml" Id="R9915f2653b464091" /><Relationship Type="http://schemas.openxmlformats.org/officeDocument/2006/relationships/sharedStrings" Target="/xl/sharedStrings.xml" Id="Rbf953a6610a84c53" /><Relationship Type="http://schemas.openxmlformats.org/officeDocument/2006/relationships/worksheet" Target="/xl/worksheets/sheet1.xml" Id="Rdde27566e64b4794" /><Relationship Type="http://schemas.openxmlformats.org/officeDocument/2006/relationships/worksheet" Target="/xl/worksheets/sheet2.xml" Id="R07fe1f56d70c4d68" /><Relationship Type="http://schemas.openxmlformats.org/officeDocument/2006/relationships/worksheet" Target="/xl/worksheets/sheet3.xml" Id="R35bad39888d040ab" /><Relationship Type="http://schemas.openxmlformats.org/officeDocument/2006/relationships/worksheet" Target="/xl/worksheets/sheet4.xml" Id="R359df4332cf84c8d" /><Relationship Type="http://schemas.openxmlformats.org/officeDocument/2006/relationships/worksheet" Target="/xl/worksheets/sheet5.xml" Id="Rbc1171c140c74bdf" /><Relationship Type="http://schemas.openxmlformats.org/officeDocument/2006/relationships/worksheet" Target="/xl/worksheets/sheet6.xml" Id="R92326a9a58b54fe6" /><Relationship Type="http://schemas.openxmlformats.org/officeDocument/2006/relationships/worksheet" Target="/xl/worksheets/sheet7.xml" Id="Rf8810abee5954b06" /><Relationship Type="http://schemas.openxmlformats.org/officeDocument/2006/relationships/worksheet" Target="/xl/worksheets/sheet8.xml" Id="R4766f66947c94a5e" /><Relationship Type="http://schemas.openxmlformats.org/officeDocument/2006/relationships/worksheet" Target="/xl/worksheets/sheet9.xml" Id="Re8e18380927644a9" /><Relationship Type="http://schemas.openxmlformats.org/officeDocument/2006/relationships/worksheet" Target="/xl/worksheets/sheet10.xml" Id="R877145d2a8d148bf" /><Relationship Type="http://schemas.openxmlformats.org/officeDocument/2006/relationships/worksheet" Target="/xl/worksheets/sheet11.xml" Id="Racefb5a86836478b" /><Relationship Type="http://schemas.openxmlformats.org/officeDocument/2006/relationships/worksheet" Target="/xl/worksheets/sheet12.xml" Id="R3a761ec2d62e43fc" /><Relationship Type="http://schemas.openxmlformats.org/officeDocument/2006/relationships/worksheet" Target="/xl/worksheets/sheet13.xml" Id="R8f5eec0264e74d35" /><Relationship Type="http://schemas.openxmlformats.org/officeDocument/2006/relationships/worksheet" Target="/xl/worksheets/sheet14.xml" Id="Rfbdeabccec1a46cf" /><Relationship Type="http://schemas.openxmlformats.org/officeDocument/2006/relationships/worksheet" Target="/xl/worksheets/sheet15.xml" Id="Rc9ccd9c5640442aa" /><Relationship Type="http://schemas.openxmlformats.org/officeDocument/2006/relationships/worksheet" Target="/xl/worksheets/sheet16.xml" Id="Rf551c533e5b7483a" /><Relationship Type="http://schemas.openxmlformats.org/officeDocument/2006/relationships/worksheet" Target="/xl/worksheets/sheet17.xml" Id="Ra71bdc238ade4167" /><Relationship Type="http://schemas.openxmlformats.org/officeDocument/2006/relationships/worksheet" Target="/xl/worksheets/sheet18.xml" Id="R33ceea3b6c6e4b7a" /><Relationship Type="http://schemas.openxmlformats.org/officeDocument/2006/relationships/worksheet" Target="/xl/worksheets/sheet19.xml" Id="R9b3c61c1677544ff" /><Relationship Type="http://schemas.openxmlformats.org/officeDocument/2006/relationships/worksheet" Target="/xl/worksheets/sheet20.xml" Id="Ra7f628fa653840d3" /><Relationship Type="http://schemas.openxmlformats.org/officeDocument/2006/relationships/worksheet" Target="/xl/worksheets/sheet21.xml" Id="R8dccab55c35b4483" /><Relationship Type="http://schemas.openxmlformats.org/officeDocument/2006/relationships/worksheet" Target="/xl/worksheets/sheet22.xml" Id="R1d62a70b1fcf45d1" /><Relationship Type="http://schemas.openxmlformats.org/officeDocument/2006/relationships/worksheet" Target="/xl/worksheets/sheet23.xml" Id="Ra9763dcac6df4249" /><Relationship Type="http://schemas.openxmlformats.org/officeDocument/2006/relationships/worksheet" Target="/xl/worksheets/sheet24.xml" Id="Rea5a9818b2ec474e" /></Relationships>
</file>

<file path=xl/tables/table1.xml><?xml version="1.0" encoding="utf-8"?>
<x:table xmlns:x="http://schemas.openxmlformats.org/spreadsheetml/2006/main" id="1" name="SwarmMatrix" displayName="SwarmMatrix" ref="A1:T1729" headerRowCount="1">
  <x:tableColumns count="20">
    <x:tableColumn id="1" name="swarm_task_id"/>
    <x:tableColumn id="2" name="node"/>
    <x:tableColumn id="3" name="node_role"/>
    <x:tableColumn id="4" name="house"/>
    <x:tableColumn id="5" name="sphere"/>
    <x:tableColumn id="6" name="task_title"/>
    <x:tableColumn id="7" name="implementation_mode"/>
    <x:tableColumn id="8" name="evidence_required"/>
    <x:tableColumn id="9" name="output_artifact"/>
    <x:tableColumn id="10" name="status"/>
    <x:tableColumn id="11" name="priority"/>
    <x:tableColumn id="12" name="completion_gate"/>
    <x:tableColumn id="13" name="boundary"/>
    <x:tableColumn id="14" name="communication_packet"/>
    <x:tableColumn id="15" name="parent_lattice_ref"/>
    <x:tableColumn id="16" name="receipt_status"/>
    <x:tableColumn id="17" name="raw_export_status"/>
    <x:tableColumn id="18" name="claim_delta"/>
    <x:tableColumn id="19" name="contradiction_delta"/>
    <x:tableColumn id="20" name="next_safe_action"/>
  </x:tableColumns>
  <x:tableStyleInfo name="TableStyleMedium2" showRowStripes="1"/>
</x:table>
</file>

<file path=xl/tables/table2.xml><?xml version="1.0" encoding="utf-8"?>
<x:table xmlns:x="http://schemas.openxmlformats.org/spreadsheetml/2006/main" id="2" name="NodeRoster" displayName="NodeRoster" ref="A1:G13" headerRowCount="1">
  <x:tableColumns count="7">
    <x:tableColumn id="1" name="node"/>
    <x:tableColumn id="2" name="role"/>
    <x:tableColumn id="3" name="implementation_mode"/>
    <x:tableColumn id="4" name="task_count"/>
    <x:tableColumn id="5" name="p0_tasks"/>
    <x:tableColumn id="6" name="status"/>
    <x:tableColumn id="7" name="first_safe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e7007e775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8734f176c343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10" hidden="0" customWidth="1"/>
    <x:col min="5" max="5" width="12" hidden="0" customWidth="1"/>
  </x:cols>
  <x:sheetData>
    <x:row r="1">
      <x:c r="A1" s="80" t="str">
        <x:v>Children of the Swarm / Swarm Node Execution Control</x:v>
      </x:c>
      <x:c r="B1" s="80" t="str"/>
    </x:row>
    <x:row r="2">
      <x:c r="A2" s="85" t="str">
        <x:v>Status</x:v>
      </x:c>
      <x:c r="B2" s="12" t="str">
        <x:v>CANDIDATE OPERATION / STAGING ONLY</x:v>
      </x:c>
    </x:row>
    <x:row r="3">
      <x:c r="A3" s="85" t="str">
        <x:v>Total node lanes</x:v>
      </x:c>
      <x:c r="B3" s="12" t="n">
        <x:v>12</x:v>
      </x:c>
    </x:row>
    <x:row r="4">
      <x:c r="A4" s="85" t="str">
        <x:v>Tasks per node</x:v>
      </x:c>
      <x:c r="B4" s="12" t="n">
        <x:v>144</x:v>
      </x:c>
    </x:row>
    <x:row r="5">
      <x:c r="A5" s="85" t="str">
        <x:v>Total generated tasks</x:v>
      </x:c>
      <x:c r="B5" s="12" t="n">
        <x:v>1728</x:v>
      </x:c>
    </x:row>
    <x:row r="6">
      <x:c r="A6" s="85" t="str">
        <x:v>P0 tasks</x:v>
      </x:c>
      <x:c r="B6" s="12" t="n">
        <x:v>432</x:v>
      </x:c>
    </x:row>
    <x:row r="7">
      <x:c r="A7" s="85" t="str">
        <x:v>P1 tasks</x:v>
      </x:c>
      <x:c r="B7" s="12" t="n">
        <x:v>720</x:v>
      </x:c>
    </x:row>
    <x:row r="8">
      <x:c r="A8" s="85" t="str">
        <x:v>P2 tasks</x:v>
      </x:c>
      <x:c r="B8" s="12" t="n">
        <x:v>576</x:v>
      </x:c>
    </x:row>
    <x:row r="9">
      <x:c r="A9" s="85" t="str">
        <x:v>Completion meaning</x:v>
      </x:c>
      <x:c r="B9" s="12" t="str">
        <x:v>Evidence packet complete, not canon promotion</x:v>
      </x:c>
    </x:row>
    <x:row r="10">
      <x:c r="A10" s="85" t="str">
        <x:v>Primary current constraint</x:v>
      </x:c>
      <x:c r="B10" s="12" t="str">
        <x:v>Drive available; Notion/GitHub require connector or export evidence</x:v>
      </x:c>
    </x:row>
    <x:row r="11">
      <x:c r="A11" s="85" t="str">
        <x:v>Boundary</x:v>
      </x:c>
      <x:c r="B11" s="12" t="str">
        <x:v>candidate / staging-only / not canon / not deployed / authority none</x:v>
      </x:c>
    </x:row>
    <x:row r="12">
      <x:c r="A12" s="85" t="str">
        <x:v>Next execution sprint</x:v>
      </x:c>
      <x:c r="B12" s="12" t="str">
        <x:v>SPR-001 Receipt Spine</x:v>
      </x:c>
    </x:row>
    <x:row r="15">
      <x:c r="A15" s="92" t="str">
        <x:v>Node</x:v>
      </x:c>
      <x:c r="B15" s="92" t="str">
        <x:v>Role</x:v>
      </x:c>
      <x:c r="C15" s="92" t="str">
        <x:v>Total</x:v>
      </x:c>
      <x:c r="D15" s="92" t="str">
        <x:v>P0</x:v>
      </x:c>
      <x:c r="E15" s="92" t="str">
        <x:v>Status</x:v>
      </x:c>
    </x:row>
    <x:row r="16">
      <x:c r="A16" s="12" t="str">
        <x:v>Ledgerwake</x:v>
      </x:c>
      <x:c r="B16" s="12" t="str">
        <x:v>Source receipt keeper</x:v>
      </x:c>
      <x:c r="C16" s="12" t="n">
        <x:v>144</x:v>
      </x:c>
      <x:c r="D16" s="12" t="n">
        <x:v>36</x:v>
      </x:c>
      <x:c r="E16" s="12" t="str">
        <x:v>Ready</x:v>
      </x:c>
    </x:row>
    <x:row r="17">
      <x:c r="A17" s="12" t="str">
        <x:v>Hashlight</x:v>
      </x:c>
      <x:c r="B17" s="12" t="str">
        <x:v>Hash and identity keeper</x:v>
      </x:c>
      <x:c r="C17" s="12" t="n">
        <x:v>144</x:v>
      </x:c>
      <x:c r="D17" s="12" t="n">
        <x:v>36</x:v>
      </x:c>
      <x:c r="E17" s="12" t="str">
        <x:v>Ready</x:v>
      </x:c>
    </x:row>
    <x:row r="18">
      <x:c r="A18" s="12" t="str">
        <x:v>KairoBrain</x:v>
      </x:c>
      <x:c r="B18" s="12" t="str">
        <x:v>Temporal strata keeper</x:v>
      </x:c>
      <x:c r="C18" s="12" t="n">
        <x:v>144</x:v>
      </x:c>
      <x:c r="D18" s="12" t="n">
        <x:v>36</x:v>
      </x:c>
      <x:c r="E18" s="12" t="str">
        <x:v>Ready</x:v>
      </x:c>
    </x:row>
    <x:row r="19">
      <x:c r="A19" s="12" t="str">
        <x:v>Tidelock</x:v>
      </x:c>
      <x:c r="B19" s="12" t="str">
        <x:v>Access blocker keeper</x:v>
      </x:c>
      <x:c r="C19" s="12" t="n">
        <x:v>144</x:v>
      </x:c>
      <x:c r="D19" s="12" t="n">
        <x:v>36</x:v>
      </x:c>
      <x:c r="E19" s="12" t="str">
        <x:v>Ready</x:v>
      </x:c>
    </x:row>
    <x:row r="20">
      <x:c r="A20" s="12" t="str">
        <x:v>Rootglass</x:v>
      </x:c>
      <x:c r="B20" s="12" t="str">
        <x:v>Canon gate mirror</x:v>
      </x:c>
      <x:c r="C20" s="12" t="n">
        <x:v>144</x:v>
      </x:c>
      <x:c r="D20" s="12" t="n">
        <x:v>36</x:v>
      </x:c>
      <x:c r="E20" s="12" t="str">
        <x:v>Ready</x:v>
      </x:c>
    </x:row>
    <x:row r="21">
      <x:c r="A21" s="12" t="str">
        <x:v>Forgekid</x:v>
      </x:c>
      <x:c r="B21" s="12" t="str">
        <x:v>Aetherforge UX builder</x:v>
      </x:c>
      <x:c r="C21" s="12" t="n">
        <x:v>144</x:v>
      </x:c>
      <x:c r="D21" s="12" t="n">
        <x:v>36</x:v>
      </x:c>
      <x:c r="E21" s="12" t="str">
        <x:v>Ready</x:v>
      </x:c>
    </x:row>
    <x:row r="22">
      <x:c r="A22" s="12" t="str">
        <x:v>Domechild</x:v>
      </x:c>
      <x:c r="B22" s="12" t="str">
        <x:v>Planetarium lane builder</x:v>
      </x:c>
      <x:c r="C22" s="12" t="n">
        <x:v>144</x:v>
      </x:c>
      <x:c r="D22" s="12" t="n">
        <x:v>36</x:v>
      </x:c>
      <x:c r="E22" s="12" t="str">
        <x:v>Ready</x:v>
      </x:c>
    </x:row>
    <x:row r="23">
      <x:c r="A23" s="12" t="str">
        <x:v>GammaSprite</x:v>
      </x:c>
      <x:c r="B23" s="12" t="str">
        <x:v>Deck surface mapper</x:v>
      </x:c>
      <x:c r="C23" s="12" t="n">
        <x:v>144</x:v>
      </x:c>
      <x:c r="D23" s="12" t="n">
        <x:v>36</x:v>
      </x:c>
      <x:c r="E23" s="12" t="str">
        <x:v>Ready</x:v>
      </x:c>
    </x:row>
    <x:row r="24">
      <x:c r="A24" s="12" t="str">
        <x:v>NotionMoth</x:v>
      </x:c>
      <x:c r="B24" s="12" t="str">
        <x:v>Notion ontology mapper</x:v>
      </x:c>
      <x:c r="C24" s="12" t="n">
        <x:v>144</x:v>
      </x:c>
      <x:c r="D24" s="12" t="n">
        <x:v>36</x:v>
      </x:c>
      <x:c r="E24" s="12" t="str">
        <x:v>Ready</x:v>
      </x:c>
    </x:row>
    <x:row r="25">
      <x:c r="A25" s="12" t="str">
        <x:v>GitShelf</x:v>
      </x:c>
      <x:c r="B25" s="12" t="str">
        <x:v>GitHub shelf builder</x:v>
      </x:c>
      <x:c r="C25" s="12" t="n">
        <x:v>144</x:v>
      </x:c>
      <x:c r="D25" s="12" t="n">
        <x:v>36</x:v>
      </x:c>
      <x:c r="E25" s="12" t="str">
        <x:v>Ready</x:v>
      </x:c>
    </x:row>
    <x:row r="26">
      <x:c r="A26" s="12" t="str">
        <x:v>ClaudeCatcher</x:v>
      </x:c>
      <x:c r="B26" s="12" t="str">
        <x:v>Bullshit Olympics referee</x:v>
      </x:c>
      <x:c r="C26" s="12" t="n">
        <x:v>144</x:v>
      </x:c>
      <x:c r="D26" s="12" t="n">
        <x:v>36</x:v>
      </x:c>
      <x:c r="E26" s="12" t="str">
        <x:v>Ready</x:v>
      </x:c>
    </x:row>
    <x:row r="27">
      <x:c r="A27" s="12" t="str">
        <x:v>JoySignal</x:v>
      </x:c>
      <x:c r="B27" s="12" t="str">
        <x:v>Rest and morale keeper</x:v>
      </x:c>
      <x:c r="C27" s="12" t="n">
        <x:v>144</x:v>
      </x:c>
      <x:c r="D27" s="12" t="n">
        <x:v>36</x:v>
      </x:c>
      <x:c r="E27" s="12" t="str">
        <x:v>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2" hidden="0" customWidth="1"/>
    <x:col min="5" max="5" width="20" hidden="0" customWidth="1"/>
    <x:col min="6" max="6" width="34" hidden="0" customWidth="1"/>
    <x:col min="7" max="7" width="32" hidden="0" customWidth="1"/>
    <x:col min="8" max="8" width="42" hidden="0" customWidth="1"/>
    <x:col min="9" max="9" width="24" hidden="0" customWidth="1"/>
    <x:col min="10" max="10" width="14" hidden="0" customWidth="1"/>
    <x:col min="11" max="11" width="10" hidden="0" customWidth="1"/>
    <x:col min="12" max="12" width="50" hidden="0" customWidth="1"/>
    <x:col min="13" max="13" width="38" hidden="0" customWidth="1"/>
    <x:col min="14" max="14" width="44" hidden="0" customWidth="1"/>
    <x:col min="15" max="15" width="16" hidden="0" customWidth="1"/>
    <x:col min="16" max="16" width="16" hidden="0" customWidth="1"/>
    <x:col min="17" max="17" width="18" hidden="0" customWidth="1"/>
    <x:col min="18" max="18" width="28" hidden="0" customWidth="1"/>
    <x:col min="19" max="19" width="28" hidden="0" customWidth="1"/>
    <x:col min="20" max="20" width="28" hidden="0" customWidth="1"/>
  </x:cols>
  <x:sheetData>
    <x:row r="1">
      <x:c r="A1" s="192" t="str">
        <x:v>swarm_task_id</x:v>
      </x:c>
      <x:c r="B1" s="192" t="str">
        <x:v>node</x:v>
      </x:c>
      <x:c r="C1" s="192" t="str">
        <x:v>node_role</x:v>
      </x:c>
      <x:c r="D1" s="192" t="str">
        <x:v>house</x:v>
      </x:c>
      <x:c r="E1" s="192" t="str">
        <x:v>sphere</x:v>
      </x:c>
      <x:c r="F1" s="192" t="str">
        <x:v>task_title</x:v>
      </x:c>
      <x:c r="G1" s="192" t="str">
        <x:v>implementation_mode</x:v>
      </x:c>
      <x:c r="H1" s="192" t="str">
        <x:v>evidence_required</x:v>
      </x:c>
      <x:c r="I1" s="192" t="str">
        <x:v>output_artifact</x:v>
      </x:c>
      <x:c r="J1" s="192" t="str">
        <x:v>status</x:v>
      </x:c>
      <x:c r="K1" s="192" t="str">
        <x:v>priority</x:v>
      </x:c>
      <x:c r="L1" s="192" t="str">
        <x:v>completion_gate</x:v>
      </x:c>
      <x:c r="M1" s="192" t="str">
        <x:v>boundary</x:v>
      </x:c>
      <x:c r="N1" s="192" t="str">
        <x:v>communication_packet</x:v>
      </x:c>
      <x:c r="O1" s="192" t="str">
        <x:v>parent_lattice_ref</x:v>
      </x:c>
      <x:c r="P1" s="192" t="str">
        <x:v>receipt_status</x:v>
      </x:c>
      <x:c r="Q1" s="192" t="str">
        <x:v>raw_export_status</x:v>
      </x:c>
      <x:c r="R1" s="192" t="str">
        <x:v>claim_delta</x:v>
      </x:c>
      <x:c r="S1" s="192" t="str">
        <x:v>contradiction_delta</x:v>
      </x:c>
      <x:c r="T1" s="192" t="str">
        <x:v>next_safe_action</x:v>
      </x:c>
      <x:c r="U1" s="192" t="str">
        <x:v>blocker_status</x:v>
      </x:c>
      <x:c r="V1" s="192" t="str">
        <x:v>computed_task_state</x:v>
      </x:c>
      <x:c r="W1" s="192" t="str">
        <x:v>receipt_marker</x:v>
      </x:c>
      <x:c r="X1" s="192" t="str">
        <x:v>raw_export_marker</x:v>
      </x:c>
      <x:c r="Y1" s="192" t="str">
        <x:v>universal_next_action</x:v>
      </x:c>
      <x:c r="Z1" s="192" t="str">
        <x:v>review_lane</x:v>
      </x:c>
      <x:c r="AA1" s="192" t="str">
        <x:v>claim_marker</x:v>
      </x:c>
      <x:c r="AB1" s="192" t="str">
        <x:v>contradiction_marker</x:v>
      </x:c>
      <x:c r="AC1" s="192" t="str">
        <x:v>public_private_gate</x:v>
      </x:c>
      <x:c r="AD1" s="192" t="str">
        <x:v>release_trigger</x:v>
      </x:c>
      <x:c r="AE1" s="192" t="str">
        <x:v>release_action</x:v>
      </x:c>
      <x:c r="AF1" s="192" t="str">
        <x:v>release_review_lane</x:v>
      </x:c>
      <x:c r="AG1" s="192" t="str">
        <x:v>github_public_ready</x:v>
      </x:c>
      <x:c r="AH1" s="192" t="str">
        <x:v>privacy_blocker</x:v>
      </x:c>
      <x:c r="AI1" s="192" t="str">
        <x:v>public_target</x:v>
      </x:c>
      <x:c r="AJ1" s="192" t="str">
        <x:v>release_notes</x:v>
      </x:c>
      <x:c r="AK1" s="192" t="str">
        <x:v>world_class_git_next</x:v>
      </x:c>
    </x:row>
    <x:row r="2">
      <x:c r="A2" s="15" t="str">
        <x:v>SWARM-01-H01-S01</x:v>
      </x:c>
      <x:c r="B2" s="15" t="str">
        <x:v>Ledgerwake</x:v>
      </x:c>
      <x:c r="C2" s="15" t="str">
        <x:v>Source receipt keeper</x:v>
      </x:c>
      <x:c r="D2" s="15" t="str">
        <x:v>Source Inventory</x:v>
      </x:c>
      <x:c r="E2" s="15" t="str">
        <x:v>Notion</x:v>
      </x:c>
      <x:c r="F2" s="15" t="str">
        <x:v>Inventory Notion — Ledgerwake</x:v>
      </x:c>
      <x:c r="G2" s="15" t="str">
        <x:v>inventory / receipts / raw custody</x:v>
      </x:c>
      <x:c r="H2" s="15" t="str">
        <x:v>source path + receipt + raw/export status + claim/edge/risk delta</x:v>
      </x:c>
      <x:c r="I2" s="15" t="str">
        <x:v>packet/SWARM-01-H01-S01</x:v>
      </x:c>
      <x:c r="J2" s="15" t="str">
        <x:v>TODO</x:v>
      </x:c>
      <x:c r="K2" s="15" t="str">
        <x:v>P0</x:v>
      </x:c>
      <x:c r="L2" s="15" t="str">
        <x:v>Done only when evidence is logged, contradiction search is noted, and boundary stamp remains non-canon unless ratified</x:v>
      </x:c>
      <x:c r="M2" s="15" t="str">
        <x:v>candidate / staging-only / not canon / not deployed / authority none</x:v>
      </x:c>
      <x:c r="N2" s="15" t="str">
        <x:v>Dispatch to Ledgerwake: complete Source Inventory x Notion; return deltas only, receipts required.</x:v>
      </x:c>
      <x:c r="O2" s="15" t="str">
        <x:v>AF-KG-H01-S01</x:v>
      </x:c>
      <x:c r="P2" s="15" t="str">
        <x:v>Unverified</x:v>
      </x:c>
      <x:c r="Q2" s="15" t="str">
        <x:v>Not checked</x:v>
      </x:c>
      <x:c r="R2" s="15" t="str"/>
      <x:c r="S2" s="15" t="str"/>
      <x:c r="T2" s="15" t="str">
        <x:v>Log first source path or blocker</x:v>
      </x:c>
      <x:c r="U2" s="12" t="str">
        <x:f>IF(OR(P2="Unverified",Q2="Not checked"),"BLOCKED_PENDING_RECEIPT","READY_FOR_REVIEW")</x:f>
        <x:v>BLOCKED_PENDING_RECEIPT</x:v>
      </x:c>
      <x:c r="V2" s="12" t="str">
        <x:f>IF(J2="DONE","RETURNED",IF(U2="BLOCKED_PENDING_RECEIPT","SOURCE_TOUCH_REQUIRED","IN_PROGRESS"))</x:f>
        <x:v>SOURCE_TOUCH_REQUIRED</x:v>
      </x:c>
      <x:c r="W2" s="12" t="str">
        <x:f>IF(P2="Unverified","missing_receipt","receipt_logged")</x:f>
        <x:v>missing_receipt</x:v>
      </x:c>
      <x:c r="X2" s="12" t="str">
        <x:f>IF(Q2="Not checked","raw_status_missing","raw_status_logged")</x:f>
        <x:v>raw_status_missing</x:v>
      </x:c>
      <x:c r="Y2" s="12" t="str">
        <x:f>IF(U2="BLOCKED_PENDING_RECEIPT","Log source path or blocker; do not promote","Route to review lane")</x:f>
        <x:v>Log source path or blocker; do not promote</x:v>
      </x:c>
      <x:c r="Z2" s="12" t="str">
        <x:f>IF(K2="P0","Primary seat + Hashlight/Lucerna","Seat lane")</x:f>
        <x:v>Primary seat + Hashlight/Lucerna</x:v>
      </x:c>
      <x:c r="AA2" s="12" t="str">
        <x:f>IF(R2="","no_claim_delta","claim_delta_present")</x:f>
        <x:v>no_claim_delta</x:v>
      </x:c>
      <x:c r="AB2" s="12" t="str">
        <x:f>IF(S2="","no_contradiction_delta","contradiction_delta_present")</x:f>
        <x:v>no_contradiction_delta</x:v>
      </x:c>
      <x:c r="AC2" s="12" t="str">
        <x:f>IF(OR(ISNUMBER(SEARCH("hacker",LOWER(F2&amp;" "&amp;H2&amp;" "&amp;I2&amp;" "&amp;M2&amp;" "&amp;N2&amp;" "&amp;T2))),ISNUMBER(SEARCH("hacking",LOWER(F2&amp;" "&amp;H2&amp;" "&amp;I2&amp;" "&amp;M2&amp;" "&amp;N2&amp;" "&amp;T2))),ISNUMBER(SEARCH("bank",LOWER(F2&amp;" "&amp;H2&amp;" "&amp;I2&amp;" "&amp;M2&amp;" "&amp;N2&amp;" "&amp;T2))),ISNUMBER(SEARCH("banking",LOWER(F2&amp;" "&amp;H2&amp;" "&amp;I2&amp;" "&amp;M2&amp;" "&amp;N2&amp;" "&amp;T2)))),"PRIVATE_QUARANTINE",IF(OR(ISNUMBER(SEARCH("treasury",LOWER(F2&amp;" "&amp;H2&amp;" "&amp;I2&amp;" "&amp;M2&amp;" "&amp;N2&amp;" "&amp;T2))),ISNUMBER(SEARCH("debt",LOWER(F2&amp;" "&amp;H2&amp;" "&amp;I2&amp;" "&amp;M2&amp;" "&amp;N2&amp;" "&amp;T2))),ISNUMBER(SEARCH("bond",LOWER(F2&amp;" "&amp;H2&amp;" "&amp;I2&amp;" "&amp;M2&amp;" "&amp;N2&amp;" "&amp;T2))),ISNUMBER(SEARCH("transaction",LOWER(F2&amp;" "&amp;H2&amp;" "&amp;I2&amp;" "&amp;M2&amp;" "&amp;N2&amp;" "&amp;T2)))),"PRIVATE_REVIEW","PUBLIC_CANDIDATE"))</x:f>
        <x:v>PUBLIC_CANDIDATE</x:v>
      </x:c>
      <x:c r="AD2" s="12" t="str">
        <x:f>IF(AC2="PRIVATE_QUARANTINE","hacker_or_bank_trigger",IF(AC2="PRIVATE_REVIEW","finance_risk_trigger","none"))</x:f>
        <x:v>none</x:v>
      </x:c>
      <x:c r="AE2" s="12" t="str">
        <x:f>IF(AC2="PUBLIC_CANDIDATE","prepare_public_github_candidate",IF(AC2="PRIVATE_REVIEW","hold_for_private_review","quarantine_private_do_not_publish"))</x:f>
        <x:v>prepare_public_github_candidate</x:v>
      </x:c>
      <x:c r="AF2" s="12" t="str">
        <x:f>IF(AC2="PUBLIC_CANDIDATE","TIDELOCK + Lucerna",IF(AC2="PRIVATE_REVIEW","AtlasBrain + Lucerna","TIDELOCK + Lucerna + Human-root"))</x:f>
        <x:v>TIDELOCK + Lucerna</x:v>
      </x:c>
      <x:c r="AG2" s="12" t="str">
        <x:f>IF(AND(AC2="PUBLIC_CANDIDATE",U2&lt;&gt;"BLOCKED_PENDING_RECEIPT"),"READY_AFTER_RECEIPT","NOT_READY")</x:f>
        <x:v>NOT_READY</x:v>
      </x:c>
      <x:c r="AH2" s="12" t="str">
        <x:f>IF(AC2="PUBLIC_CANDIDATE","none",AD2)</x:f>
        <x:v>none</x:v>
      </x:c>
      <x:c r="AI2" s="12" t="str">
        <x:f>IF(AC2="PUBLIC_CANDIDATE","archive/public_candidates/"&amp;A2,"private_quarantine/"&amp;A2)</x:f>
        <x:v>archive/public_candidates/SWARM-01-H01-S01</x:v>
      </x:c>
      <x:c r="AJ2" s="12" t="str">
        <x:f>IF(AC2="PUBLIC_CANDIDATE","public by default; still not canon","private/hold; do not publish")</x:f>
        <x:v>public by default; still not canon</x:v>
      </x:c>
      <x:c r="AK2" s="12" t="str">
        <x:f>IF(AE2="prepare_public_github_candidate","add receipt/status then mirror","resolve blocker before any public GitHub action")</x:f>
        <x:v>add receipt/status then mirror</x:v>
      </x:c>
    </x:row>
    <x:row r="3">
      <x:c r="A3" s="15" t="str">
        <x:v>SWARM-01-H01-S02</x:v>
      </x:c>
      <x:c r="B3" s="15" t="str">
        <x:v>Ledgerwake</x:v>
      </x:c>
      <x:c r="C3" s="15" t="str">
        <x:v>Source receipt keeper</x:v>
      </x:c>
      <x:c r="D3" s="15" t="str">
        <x:v>Source Inventory</x:v>
      </x:c>
      <x:c r="E3" s="15" t="str">
        <x:v>Drive</x:v>
      </x:c>
      <x:c r="F3" s="15" t="str">
        <x:v>Inventory Drive — Ledgerwake</x:v>
      </x:c>
      <x:c r="G3" s="15" t="str">
        <x:v>inventory / receipts / raw custody</x:v>
      </x:c>
      <x:c r="H3" s="15" t="str">
        <x:v>source path + receipt + raw/export status + claim/edge/risk delta</x:v>
      </x:c>
      <x:c r="I3" s="15" t="str">
        <x:v>packet/SWARM-01-H01-S02</x:v>
      </x:c>
      <x:c r="J3" s="15" t="str">
        <x:v>TODO</x:v>
      </x:c>
      <x:c r="K3" s="15" t="str">
        <x:v>P0</x:v>
      </x:c>
      <x:c r="L3" s="15" t="str">
        <x:v>Done only when evidence is logged, contradiction search is noted, and boundary stamp remains non-canon unless ratified</x:v>
      </x:c>
      <x:c r="M3" s="15" t="str">
        <x:v>candidate / staging-only / not canon / not deployed / authority none</x:v>
      </x:c>
      <x:c r="N3" s="15" t="str">
        <x:v>Dispatch to Ledgerwake: complete Source Inventory x Drive; return deltas only, receipts required.</x:v>
      </x:c>
      <x:c r="O3" s="15" t="str">
        <x:v>AF-KG-H01-S02</x:v>
      </x:c>
      <x:c r="P3" s="15" t="str">
        <x:v>Unverified</x:v>
      </x:c>
      <x:c r="Q3" s="15" t="str">
        <x:v>Not checked</x:v>
      </x:c>
      <x:c r="R3" s="15" t="str"/>
      <x:c r="S3" s="15" t="str"/>
      <x:c r="T3" s="15" t="str">
        <x:v>Log first source path or blocker</x:v>
      </x:c>
      <x:c r="U3" s="12" t="str">
        <x:f>IF(OR(P3="Unverified",Q3="Not checked"),"BLOCKED_PENDING_RECEIPT","READY_FOR_REVIEW")</x:f>
        <x:v>BLOCKED_PENDING_RECEIPT</x:v>
      </x:c>
      <x:c r="V3" s="12" t="str">
        <x:f>IF(J3="DONE","RETURNED",IF(U3="BLOCKED_PENDING_RECEIPT","SOURCE_TOUCH_REQUIRED","IN_PROGRESS"))</x:f>
        <x:v>SOURCE_TOUCH_REQUIRED</x:v>
      </x:c>
      <x:c r="W3" s="12" t="str">
        <x:f>IF(P3="Unverified","missing_receipt","receipt_logged")</x:f>
        <x:v>missing_receipt</x:v>
      </x:c>
      <x:c r="X3" s="12" t="str">
        <x:f>IF(Q3="Not checked","raw_status_missing","raw_status_logged")</x:f>
        <x:v>raw_status_missing</x:v>
      </x:c>
      <x:c r="Y3" s="12" t="str">
        <x:f>IF(U3="BLOCKED_PENDING_RECEIPT","Log source path or blocker; do not promote","Route to review lane")</x:f>
        <x:v>Log source path or blocker; do not promote</x:v>
      </x:c>
      <x:c r="Z3" s="12" t="str">
        <x:f>IF(K3="P0","Primary seat + Hashlight/Lucerna","Seat lane")</x:f>
        <x:v>Primary seat + Hashlight/Lucerna</x:v>
      </x:c>
      <x:c r="AA3" s="12" t="str">
        <x:f>IF(R3="","no_claim_delta","claim_delta_present")</x:f>
        <x:v>no_claim_delta</x:v>
      </x:c>
      <x:c r="AB3" s="12" t="str">
        <x:f>IF(S3="","no_contradiction_delta","contradiction_delta_present")</x:f>
        <x:v>no_contradiction_delta</x:v>
      </x:c>
      <x:c r="AC3" s="12" t="str">
        <x:f>IF(OR(ISNUMBER(SEARCH("hacker",LOWER(F3&amp;" "&amp;H3&amp;" "&amp;I3&amp;" "&amp;M3&amp;" "&amp;N3&amp;" "&amp;T3))),ISNUMBER(SEARCH("hacking",LOWER(F3&amp;" "&amp;H3&amp;" "&amp;I3&amp;" "&amp;M3&amp;" "&amp;N3&amp;" "&amp;T3))),ISNUMBER(SEARCH("bank",LOWER(F3&amp;" "&amp;H3&amp;" "&amp;I3&amp;" "&amp;M3&amp;" "&amp;N3&amp;" "&amp;T3))),ISNUMBER(SEARCH("banking",LOWER(F3&amp;" "&amp;H3&amp;" "&amp;I3&amp;" "&amp;M3&amp;" "&amp;N3&amp;" "&amp;T3)))),"PRIVATE_QUARANTINE",IF(OR(ISNUMBER(SEARCH("treasury",LOWER(F3&amp;" "&amp;H3&amp;" "&amp;I3&amp;" "&amp;M3&amp;" "&amp;N3&amp;" "&amp;T3))),ISNUMBER(SEARCH("debt",LOWER(F3&amp;" "&amp;H3&amp;" "&amp;I3&amp;" "&amp;M3&amp;" "&amp;N3&amp;" "&amp;T3))),ISNUMBER(SEARCH("bond",LOWER(F3&amp;" "&amp;H3&amp;" "&amp;I3&amp;" "&amp;M3&amp;" "&amp;N3&amp;" "&amp;T3))),ISNUMBER(SEARCH("transaction",LOWER(F3&amp;" "&amp;H3&amp;" "&amp;I3&amp;" "&amp;M3&amp;" "&amp;N3&amp;" "&amp;T3)))),"PRIVATE_REVIEW","PUBLIC_CANDIDATE"))</x:f>
        <x:v>PUBLIC_CANDIDATE</x:v>
      </x:c>
      <x:c r="AD3" s="12" t="str">
        <x:f>IF(AC3="PRIVATE_QUARANTINE","hacker_or_bank_trigger",IF(AC3="PRIVATE_REVIEW","finance_risk_trigger","none"))</x:f>
        <x:v>none</x:v>
      </x:c>
      <x:c r="AE3" s="12" t="str">
        <x:f>IF(AC3="PUBLIC_CANDIDATE","prepare_public_github_candidate",IF(AC3="PRIVATE_REVIEW","hold_for_private_review","quarantine_private_do_not_publish"))</x:f>
        <x:v>prepare_public_github_candidate</x:v>
      </x:c>
      <x:c r="AF3" s="12" t="str">
        <x:f>IF(AC3="PUBLIC_CANDIDATE","TIDELOCK + Lucerna",IF(AC3="PRIVATE_REVIEW","AtlasBrain + Lucerna","TIDELOCK + Lucerna + Human-root"))</x:f>
        <x:v>TIDELOCK + Lucerna</x:v>
      </x:c>
      <x:c r="AG3" s="12" t="str">
        <x:f>IF(AND(AC3="PUBLIC_CANDIDATE",U3&lt;&gt;"BLOCKED_PENDING_RECEIPT"),"READY_AFTER_RECEIPT","NOT_READY")</x:f>
        <x:v>NOT_READY</x:v>
      </x:c>
      <x:c r="AH3" s="12" t="str">
        <x:f>IF(AC3="PUBLIC_CANDIDATE","none",AD3)</x:f>
        <x:v>none</x:v>
      </x:c>
      <x:c r="AI3" s="12" t="str">
        <x:f>IF(AC3="PUBLIC_CANDIDATE","archive/public_candidates/"&amp;A3,"private_quarantine/"&amp;A3)</x:f>
        <x:v>archive/public_candidates/SWARM-01-H01-S02</x:v>
      </x:c>
      <x:c r="AJ3" s="12" t="str">
        <x:f>IF(AC3="PUBLIC_CANDIDATE","public by default; still not canon","private/hold; do not publish")</x:f>
        <x:v>public by default; still not canon</x:v>
      </x:c>
      <x:c r="AK3" s="12" t="str">
        <x:f>IF(AE3="prepare_public_github_candidate","add receipt/status then mirror","resolve blocker before any public GitHub action")</x:f>
        <x:v>add receipt/status then mirror</x:v>
      </x:c>
    </x:row>
    <x:row r="4">
      <x:c r="A4" s="15" t="str">
        <x:v>SWARM-01-H01-S03</x:v>
      </x:c>
      <x:c r="B4" s="15" t="str">
        <x:v>Ledgerwake</x:v>
      </x:c>
      <x:c r="C4" s="15" t="str">
        <x:v>Source receipt keeper</x:v>
      </x:c>
      <x:c r="D4" s="15" t="str">
        <x:v>Source Inventory</x:v>
      </x:c>
      <x:c r="E4" s="15" t="str">
        <x:v>GitHub</x:v>
      </x:c>
      <x:c r="F4" s="15" t="str">
        <x:v>Inventory GitHub — Ledgerwake</x:v>
      </x:c>
      <x:c r="G4" s="15" t="str">
        <x:v>inventory / receipts / raw custody</x:v>
      </x:c>
      <x:c r="H4" s="15" t="str">
        <x:v>source path + receipt + raw/export status + claim/edge/risk delta</x:v>
      </x:c>
      <x:c r="I4" s="15" t="str">
        <x:v>packet/SWARM-01-H01-S03</x:v>
      </x:c>
      <x:c r="J4" s="15" t="str">
        <x:v>TODO</x:v>
      </x:c>
      <x:c r="K4" s="15" t="str">
        <x:v>P0</x:v>
      </x:c>
      <x:c r="L4" s="15" t="str">
        <x:v>Done only when evidence is logged, contradiction search is noted, and boundary stamp remains non-canon unless ratified</x:v>
      </x:c>
      <x:c r="M4" s="15" t="str">
        <x:v>candidate / staging-only / not canon / not deployed / authority none</x:v>
      </x:c>
      <x:c r="N4" s="15" t="str">
        <x:v>Dispatch to Ledgerwake: complete Source Inventory x GitHub; return deltas only, receipts required.</x:v>
      </x:c>
      <x:c r="O4" s="15" t="str">
        <x:v>AF-KG-H01-S03</x:v>
      </x:c>
      <x:c r="P4" s="15" t="str">
        <x:v>Unverified</x:v>
      </x:c>
      <x:c r="Q4" s="15" t="str">
        <x:v>Not checked</x:v>
      </x:c>
      <x:c r="R4" s="15" t="str"/>
      <x:c r="S4" s="15" t="str"/>
      <x:c r="T4" s="15" t="str">
        <x:v>Log first source path or blocker</x:v>
      </x:c>
      <x:c r="U4" s="12" t="str">
        <x:f>IF(OR(P4="Unverified",Q4="Not checked"),"BLOCKED_PENDING_RECEIPT","READY_FOR_REVIEW")</x:f>
        <x:v>BLOCKED_PENDING_RECEIPT</x:v>
      </x:c>
      <x:c r="V4" s="12" t="str">
        <x:f>IF(J4="DONE","RETURNED",IF(U4="BLOCKED_PENDING_RECEIPT","SOURCE_TOUCH_REQUIRED","IN_PROGRESS"))</x:f>
        <x:v>SOURCE_TOUCH_REQUIRED</x:v>
      </x:c>
      <x:c r="W4" s="12" t="str">
        <x:f>IF(P4="Unverified","missing_receipt","receipt_logged")</x:f>
        <x:v>missing_receipt</x:v>
      </x:c>
      <x:c r="X4" s="12" t="str">
        <x:f>IF(Q4="Not checked","raw_status_missing","raw_status_logged")</x:f>
        <x:v>raw_status_missing</x:v>
      </x:c>
      <x:c r="Y4" s="12" t="str">
        <x:f>IF(U4="BLOCKED_PENDING_RECEIPT","Log source path or blocker; do not promote","Route to review lane")</x:f>
        <x:v>Log source path or blocker; do not promote</x:v>
      </x:c>
      <x:c r="Z4" s="12" t="str">
        <x:f>IF(K4="P0","Primary seat + Hashlight/Lucerna","Seat lane")</x:f>
        <x:v>Primary seat + Hashlight/Lucerna</x:v>
      </x:c>
      <x:c r="AA4" s="12" t="str">
        <x:f>IF(R4="","no_claim_delta","claim_delta_present")</x:f>
        <x:v>no_claim_delta</x:v>
      </x:c>
      <x:c r="AB4" s="12" t="str">
        <x:f>IF(S4="","no_contradiction_delta","contradiction_delta_present")</x:f>
        <x:v>no_contradiction_delta</x:v>
      </x:c>
      <x:c r="AC4" s="12" t="str">
        <x:f>IF(OR(ISNUMBER(SEARCH("hacker",LOWER(F4&amp;" "&amp;H4&amp;" "&amp;I4&amp;" "&amp;M4&amp;" "&amp;N4&amp;" "&amp;T4))),ISNUMBER(SEARCH("hacking",LOWER(F4&amp;" "&amp;H4&amp;" "&amp;I4&amp;" "&amp;M4&amp;" "&amp;N4&amp;" "&amp;T4))),ISNUMBER(SEARCH("bank",LOWER(F4&amp;" "&amp;H4&amp;" "&amp;I4&amp;" "&amp;M4&amp;" "&amp;N4&amp;" "&amp;T4))),ISNUMBER(SEARCH("banking",LOWER(F4&amp;" "&amp;H4&amp;" "&amp;I4&amp;" "&amp;M4&amp;" "&amp;N4&amp;" "&amp;T4)))),"PRIVATE_QUARANTINE",IF(OR(ISNUMBER(SEARCH("treasury",LOWER(F4&amp;" "&amp;H4&amp;" "&amp;I4&amp;" "&amp;M4&amp;" "&amp;N4&amp;" "&amp;T4))),ISNUMBER(SEARCH("debt",LOWER(F4&amp;" "&amp;H4&amp;" "&amp;I4&amp;" "&amp;M4&amp;" "&amp;N4&amp;" "&amp;T4))),ISNUMBER(SEARCH("bond",LOWER(F4&amp;" "&amp;H4&amp;" "&amp;I4&amp;" "&amp;M4&amp;" "&amp;N4&amp;" "&amp;T4))),ISNUMBER(SEARCH("transaction",LOWER(F4&amp;" "&amp;H4&amp;" "&amp;I4&amp;" "&amp;M4&amp;" "&amp;N4&amp;" "&amp;T4)))),"PRIVATE_REVIEW","PUBLIC_CANDIDATE"))</x:f>
        <x:v>PUBLIC_CANDIDATE</x:v>
      </x:c>
      <x:c r="AD4" s="12" t="str">
        <x:f>IF(AC4="PRIVATE_QUARANTINE","hacker_or_bank_trigger",IF(AC4="PRIVATE_REVIEW","finance_risk_trigger","none"))</x:f>
        <x:v>none</x:v>
      </x:c>
      <x:c r="AE4" s="12" t="str">
        <x:f>IF(AC4="PUBLIC_CANDIDATE","prepare_public_github_candidate",IF(AC4="PRIVATE_REVIEW","hold_for_private_review","quarantine_private_do_not_publish"))</x:f>
        <x:v>prepare_public_github_candidate</x:v>
      </x:c>
      <x:c r="AF4" s="12" t="str">
        <x:f>IF(AC4="PUBLIC_CANDIDATE","TIDELOCK + Lucerna",IF(AC4="PRIVATE_REVIEW","AtlasBrain + Lucerna","TIDELOCK + Lucerna + Human-root"))</x:f>
        <x:v>TIDELOCK + Lucerna</x:v>
      </x:c>
      <x:c r="AG4" s="12" t="str">
        <x:f>IF(AND(AC4="PUBLIC_CANDIDATE",U4&lt;&gt;"BLOCKED_PENDING_RECEIPT"),"READY_AFTER_RECEIPT","NOT_READY")</x:f>
        <x:v>NOT_READY</x:v>
      </x:c>
      <x:c r="AH4" s="12" t="str">
        <x:f>IF(AC4="PUBLIC_CANDIDATE","none",AD4)</x:f>
        <x:v>none</x:v>
      </x:c>
      <x:c r="AI4" s="12" t="str">
        <x:f>IF(AC4="PUBLIC_CANDIDATE","archive/public_candidates/"&amp;A4,"private_quarantine/"&amp;A4)</x:f>
        <x:v>archive/public_candidates/SWARM-01-H01-S03</x:v>
      </x:c>
      <x:c r="AJ4" s="12" t="str">
        <x:f>IF(AC4="PUBLIC_CANDIDATE","public by default; still not canon","private/hold; do not publish")</x:f>
        <x:v>public by default; still not canon</x:v>
      </x:c>
      <x:c r="AK4" s="12" t="str">
        <x:f>IF(AE4="prepare_public_github_candidate","add receipt/status then mirror","resolve blocker before any public GitHub action")</x:f>
        <x:v>add receipt/status then mirror</x:v>
      </x:c>
    </x:row>
    <x:row r="5">
      <x:c r="A5" s="15" t="str">
        <x:v>SWARM-01-H01-S04</x:v>
      </x:c>
      <x:c r="B5" s="15" t="str">
        <x:v>Ledgerwake</x:v>
      </x:c>
      <x:c r="C5" s="15" t="str">
        <x:v>Source receipt keeper</x:v>
      </x:c>
      <x:c r="D5" s="15" t="str">
        <x:v>Source Inventory</x:v>
      </x:c>
      <x:c r="E5" s="15" t="str">
        <x:v>Gamma</x:v>
      </x:c>
      <x:c r="F5" s="15" t="str">
        <x:v>Inventory Gamma — Ledgerwake</x:v>
      </x:c>
      <x:c r="G5" s="15" t="str">
        <x:v>inventory / receipts / raw custody</x:v>
      </x:c>
      <x:c r="H5" s="15" t="str">
        <x:v>source path + receipt + raw/export status + claim/edge/risk delta</x:v>
      </x:c>
      <x:c r="I5" s="15" t="str">
        <x:v>packet/SWARM-01-H01-S04</x:v>
      </x:c>
      <x:c r="J5" s="15" t="str">
        <x:v>TODO</x:v>
      </x:c>
      <x:c r="K5" s="15" t="str">
        <x:v>P1</x:v>
      </x:c>
      <x:c r="L5" s="15" t="str">
        <x:v>Done only when evidence is logged, contradiction search is noted, and boundary stamp remains non-canon unless ratified</x:v>
      </x:c>
      <x:c r="M5" s="15" t="str">
        <x:v>candidate / staging-only / not canon / not deployed / authority none</x:v>
      </x:c>
      <x:c r="N5" s="15" t="str">
        <x:v>Dispatch to Ledgerwake: complete Source Inventory x Gamma; return deltas only, receipts required.</x:v>
      </x:c>
      <x:c r="O5" s="15" t="str">
        <x:v>AF-KG-H01-S04</x:v>
      </x:c>
      <x:c r="P5" s="15" t="str">
        <x:v>Unverified</x:v>
      </x:c>
      <x:c r="Q5" s="15" t="str">
        <x:v>Not checked</x:v>
      </x:c>
      <x:c r="R5" s="15" t="str"/>
      <x:c r="S5" s="15" t="str"/>
      <x:c r="T5" s="15" t="str">
        <x:v>Log first source path or blocker</x:v>
      </x:c>
      <x:c r="U5" s="12" t="str">
        <x:f>IF(OR(P5="Unverified",Q5="Not checked"),"BLOCKED_PENDING_RECEIPT","READY_FOR_REVIEW")</x:f>
        <x:v>BLOCKED_PENDING_RECEIPT</x:v>
      </x:c>
      <x:c r="V5" s="12" t="str">
        <x:f>IF(J5="DONE","RETURNED",IF(U5="BLOCKED_PENDING_RECEIPT","SOURCE_TOUCH_REQUIRED","IN_PROGRESS"))</x:f>
        <x:v>SOURCE_TOUCH_REQUIRED</x:v>
      </x:c>
      <x:c r="W5" s="12" t="str">
        <x:f>IF(P5="Unverified","missing_receipt","receipt_logged")</x:f>
        <x:v>missing_receipt</x:v>
      </x:c>
      <x:c r="X5" s="12" t="str">
        <x:f>IF(Q5="Not checked","raw_status_missing","raw_status_logged")</x:f>
        <x:v>raw_status_missing</x:v>
      </x:c>
      <x:c r="Y5" s="12" t="str">
        <x:f>IF(U5="BLOCKED_PENDING_RECEIPT","Log source path or blocker; do not promote","Route to review lane")</x:f>
        <x:v>Log source path or blocker; do not promote</x:v>
      </x:c>
      <x:c r="Z5" s="12" t="str">
        <x:f>IF(K5="P0","Primary seat + Hashlight/Lucerna","Seat lane")</x:f>
        <x:v>Seat lane</x:v>
      </x:c>
      <x:c r="AA5" s="12" t="str">
        <x:f>IF(R5="","no_claim_delta","claim_delta_present")</x:f>
        <x:v>no_claim_delta</x:v>
      </x:c>
      <x:c r="AB5" s="12" t="str">
        <x:f>IF(S5="","no_contradiction_delta","contradiction_delta_present")</x:f>
        <x:v>no_contradiction_delta</x:v>
      </x:c>
      <x:c r="AC5" s="12" t="str">
        <x:f>IF(OR(ISNUMBER(SEARCH("hacker",LOWER(F5&amp;" "&amp;H5&amp;" "&amp;I5&amp;" "&amp;M5&amp;" "&amp;N5&amp;" "&amp;T5))),ISNUMBER(SEARCH("hacking",LOWER(F5&amp;" "&amp;H5&amp;" "&amp;I5&amp;" "&amp;M5&amp;" "&amp;N5&amp;" "&amp;T5))),ISNUMBER(SEARCH("bank",LOWER(F5&amp;" "&amp;H5&amp;" "&amp;I5&amp;" "&amp;M5&amp;" "&amp;N5&amp;" "&amp;T5))),ISNUMBER(SEARCH("banking",LOWER(F5&amp;" "&amp;H5&amp;" "&amp;I5&amp;" "&amp;M5&amp;" "&amp;N5&amp;" "&amp;T5)))),"PRIVATE_QUARANTINE",IF(OR(ISNUMBER(SEARCH("treasury",LOWER(F5&amp;" "&amp;H5&amp;" "&amp;I5&amp;" "&amp;M5&amp;" "&amp;N5&amp;" "&amp;T5))),ISNUMBER(SEARCH("debt",LOWER(F5&amp;" "&amp;H5&amp;" "&amp;I5&amp;" "&amp;M5&amp;" "&amp;N5&amp;" "&amp;T5))),ISNUMBER(SEARCH("bond",LOWER(F5&amp;" "&amp;H5&amp;" "&amp;I5&amp;" "&amp;M5&amp;" "&amp;N5&amp;" "&amp;T5))),ISNUMBER(SEARCH("transaction",LOWER(F5&amp;" "&amp;H5&amp;" "&amp;I5&amp;" "&amp;M5&amp;" "&amp;N5&amp;" "&amp;T5)))),"PRIVATE_REVIEW","PUBLIC_CANDIDATE"))</x:f>
        <x:v>PUBLIC_CANDIDATE</x:v>
      </x:c>
      <x:c r="AD5" s="12" t="str">
        <x:f>IF(AC5="PRIVATE_QUARANTINE","hacker_or_bank_trigger",IF(AC5="PRIVATE_REVIEW","finance_risk_trigger","none"))</x:f>
        <x:v>none</x:v>
      </x:c>
      <x:c r="AE5" s="12" t="str">
        <x:f>IF(AC5="PUBLIC_CANDIDATE","prepare_public_github_candidate",IF(AC5="PRIVATE_REVIEW","hold_for_private_review","quarantine_private_do_not_publish"))</x:f>
        <x:v>prepare_public_github_candidate</x:v>
      </x:c>
      <x:c r="AF5" s="12" t="str">
        <x:f>IF(AC5="PUBLIC_CANDIDATE","TIDELOCK + Lucerna",IF(AC5="PRIVATE_REVIEW","AtlasBrain + Lucerna","TIDELOCK + Lucerna + Human-root"))</x:f>
        <x:v>TIDELOCK + Lucerna</x:v>
      </x:c>
      <x:c r="AG5" s="12" t="str">
        <x:f>IF(AND(AC5="PUBLIC_CANDIDATE",U5&lt;&gt;"BLOCKED_PENDING_RECEIPT"),"READY_AFTER_RECEIPT","NOT_READY")</x:f>
        <x:v>NOT_READY</x:v>
      </x:c>
      <x:c r="AH5" s="12" t="str">
        <x:f>IF(AC5="PUBLIC_CANDIDATE","none",AD5)</x:f>
        <x:v>none</x:v>
      </x:c>
      <x:c r="AI5" s="12" t="str">
        <x:f>IF(AC5="PUBLIC_CANDIDATE","archive/public_candidates/"&amp;A5,"private_quarantine/"&amp;A5)</x:f>
        <x:v>archive/public_candidates/SWARM-01-H01-S04</x:v>
      </x:c>
      <x:c r="AJ5" s="12" t="str">
        <x:f>IF(AC5="PUBLIC_CANDIDATE","public by default; still not canon","private/hold; do not publish")</x:f>
        <x:v>public by default; still not canon</x:v>
      </x:c>
      <x:c r="AK5" s="12" t="str">
        <x:f>IF(AE5="prepare_public_github_candidate","add receipt/status then mirror","resolve blocker before any public GitHub action")</x:f>
        <x:v>add receipt/status then mirror</x:v>
      </x:c>
    </x:row>
    <x:row r="6">
      <x:c r="A6" s="15" t="str">
        <x:v>SWARM-01-H01-S05</x:v>
      </x:c>
      <x:c r="B6" s="15" t="str">
        <x:v>Ledgerwake</x:v>
      </x:c>
      <x:c r="C6" s="15" t="str">
        <x:v>Source receipt keeper</x:v>
      </x:c>
      <x:c r="D6" s="15" t="str">
        <x:v>Source Inventory</x:v>
      </x:c>
      <x:c r="E6" s="15" t="str">
        <x:v>Chat</x:v>
      </x:c>
      <x:c r="F6" s="15" t="str">
        <x:v>Inventory Chat — Ledgerwake</x:v>
      </x:c>
      <x:c r="G6" s="15" t="str">
        <x:v>inventory / receipts / raw custody</x:v>
      </x:c>
      <x:c r="H6" s="15" t="str">
        <x:v>source path + receipt + raw/export status + claim/edge/risk delta</x:v>
      </x:c>
      <x:c r="I6" s="15" t="str">
        <x:v>packet/SWARM-01-H01-S05</x:v>
      </x:c>
      <x:c r="J6" s="15" t="str">
        <x:v>TODO</x:v>
      </x:c>
      <x:c r="K6" s="15" t="str">
        <x:v>P1</x:v>
      </x:c>
      <x:c r="L6" s="15" t="str">
        <x:v>Done only when evidence is logged, contradiction search is noted, and boundary stamp remains non-canon unless ratified</x:v>
      </x:c>
      <x:c r="M6" s="15" t="str">
        <x:v>candidate / staging-only / not canon / not deployed / authority none</x:v>
      </x:c>
      <x:c r="N6" s="15" t="str">
        <x:v>Dispatch to Ledgerwake: complete Source Inventory x Chat; return deltas only, receipts required.</x:v>
      </x:c>
      <x:c r="O6" s="15" t="str">
        <x:v>AF-KG-H01-S05</x:v>
      </x:c>
      <x:c r="P6" s="15" t="str">
        <x:v>Unverified</x:v>
      </x:c>
      <x:c r="Q6" s="15" t="str">
        <x:v>Not checked</x:v>
      </x:c>
      <x:c r="R6" s="15" t="str"/>
      <x:c r="S6" s="15" t="str"/>
      <x:c r="T6" s="15" t="str">
        <x:v>Log first source path or blocker</x:v>
      </x:c>
      <x:c r="U6" s="12" t="str">
        <x:f>IF(OR(P6="Unverified",Q6="Not checked"),"BLOCKED_PENDING_RECEIPT","READY_FOR_REVIEW")</x:f>
        <x:v>BLOCKED_PENDING_RECEIPT</x:v>
      </x:c>
      <x:c r="V6" s="12" t="str">
        <x:f>IF(J6="DONE","RETURNED",IF(U6="BLOCKED_PENDING_RECEIPT","SOURCE_TOUCH_REQUIRED","IN_PROGRESS"))</x:f>
        <x:v>SOURCE_TOUCH_REQUIRED</x:v>
      </x:c>
      <x:c r="W6" s="12" t="str">
        <x:f>IF(P6="Unverified","missing_receipt","receipt_logged")</x:f>
        <x:v>missing_receipt</x:v>
      </x:c>
      <x:c r="X6" s="12" t="str">
        <x:f>IF(Q6="Not checked","raw_status_missing","raw_status_logged")</x:f>
        <x:v>raw_status_missing</x:v>
      </x:c>
      <x:c r="Y6" s="12" t="str">
        <x:f>IF(U6="BLOCKED_PENDING_RECEIPT","Log source path or blocker; do not promote","Route to review lane")</x:f>
        <x:v>Log source path or blocker; do not promote</x:v>
      </x:c>
      <x:c r="Z6" s="12" t="str">
        <x:f>IF(K6="P0","Primary seat + Hashlight/Lucerna","Seat lane")</x:f>
        <x:v>Seat lane</x:v>
      </x:c>
      <x:c r="AA6" s="12" t="str">
        <x:f>IF(R6="","no_claim_delta","claim_delta_present")</x:f>
        <x:v>no_claim_delta</x:v>
      </x:c>
      <x:c r="AB6" s="12" t="str">
        <x:f>IF(S6="","no_contradiction_delta","contradiction_delta_present")</x:f>
        <x:v>no_contradiction_delta</x:v>
      </x:c>
      <x:c r="AC6" s="12" t="str">
        <x:f>IF(OR(ISNUMBER(SEARCH("hacker",LOWER(F6&amp;" "&amp;H6&amp;" "&amp;I6&amp;" "&amp;M6&amp;" "&amp;N6&amp;" "&amp;T6))),ISNUMBER(SEARCH("hacking",LOWER(F6&amp;" "&amp;H6&amp;" "&amp;I6&amp;" "&amp;M6&amp;" "&amp;N6&amp;" "&amp;T6))),ISNUMBER(SEARCH("bank",LOWER(F6&amp;" "&amp;H6&amp;" "&amp;I6&amp;" "&amp;M6&amp;" "&amp;N6&amp;" "&amp;T6))),ISNUMBER(SEARCH("banking",LOWER(F6&amp;" "&amp;H6&amp;" "&amp;I6&amp;" "&amp;M6&amp;" "&amp;N6&amp;" "&amp;T6)))),"PRIVATE_QUARANTINE",IF(OR(ISNUMBER(SEARCH("treasury",LOWER(F6&amp;" "&amp;H6&amp;" "&amp;I6&amp;" "&amp;M6&amp;" "&amp;N6&amp;" "&amp;T6))),ISNUMBER(SEARCH("debt",LOWER(F6&amp;" "&amp;H6&amp;" "&amp;I6&amp;" "&amp;M6&amp;" "&amp;N6&amp;" "&amp;T6))),ISNUMBER(SEARCH("bond",LOWER(F6&amp;" "&amp;H6&amp;" "&amp;I6&amp;" "&amp;M6&amp;" "&amp;N6&amp;" "&amp;T6))),ISNUMBER(SEARCH("transaction",LOWER(F6&amp;" "&amp;H6&amp;" "&amp;I6&amp;" "&amp;M6&amp;" "&amp;N6&amp;" "&amp;T6)))),"PRIVATE_REVIEW","PUBLIC_CANDIDATE"))</x:f>
        <x:v>PUBLIC_CANDIDATE</x:v>
      </x:c>
      <x:c r="AD6" s="12" t="str">
        <x:f>IF(AC6="PRIVATE_QUARANTINE","hacker_or_bank_trigger",IF(AC6="PRIVATE_REVIEW","finance_risk_trigger","none"))</x:f>
        <x:v>none</x:v>
      </x:c>
      <x:c r="AE6" s="12" t="str">
        <x:f>IF(AC6="PUBLIC_CANDIDATE","prepare_public_github_candidate",IF(AC6="PRIVATE_REVIEW","hold_for_private_review","quarantine_private_do_not_publish"))</x:f>
        <x:v>prepare_public_github_candidate</x:v>
      </x:c>
      <x:c r="AF6" s="12" t="str">
        <x:f>IF(AC6="PUBLIC_CANDIDATE","TIDELOCK + Lucerna",IF(AC6="PRIVATE_REVIEW","AtlasBrain + Lucerna","TIDELOCK + Lucerna + Human-root"))</x:f>
        <x:v>TIDELOCK + Lucerna</x:v>
      </x:c>
      <x:c r="AG6" s="12" t="str">
        <x:f>IF(AND(AC6="PUBLIC_CANDIDATE",U6&lt;&gt;"BLOCKED_PENDING_RECEIPT"),"READY_AFTER_RECEIPT","NOT_READY")</x:f>
        <x:v>NOT_READY</x:v>
      </x:c>
      <x:c r="AH6" s="12" t="str">
        <x:f>IF(AC6="PUBLIC_CANDIDATE","none",AD6)</x:f>
        <x:v>none</x:v>
      </x:c>
      <x:c r="AI6" s="12" t="str">
        <x:f>IF(AC6="PUBLIC_CANDIDATE","archive/public_candidates/"&amp;A6,"private_quarantine/"&amp;A6)</x:f>
        <x:v>archive/public_candidates/SWARM-01-H01-S05</x:v>
      </x:c>
      <x:c r="AJ6" s="12" t="str">
        <x:f>IF(AC6="PUBLIC_CANDIDATE","public by default; still not canon","private/hold; do not publish")</x:f>
        <x:v>public by default; still not canon</x:v>
      </x:c>
      <x:c r="AK6" s="12" t="str">
        <x:f>IF(AE6="prepare_public_github_candidate","add receipt/status then mirror","resolve blocker before any public GitHub action")</x:f>
        <x:v>add receipt/status then mirror</x:v>
      </x:c>
    </x:row>
    <x:row r="7">
      <x:c r="A7" s="15" t="str">
        <x:v>SWARM-01-H01-S06</x:v>
      </x:c>
      <x:c r="B7" s="15" t="str">
        <x:v>Ledgerwake</x:v>
      </x:c>
      <x:c r="C7" s="15" t="str">
        <x:v>Source receipt keeper</x:v>
      </x:c>
      <x:c r="D7" s="15" t="str">
        <x:v>Source Inventory</x:v>
      </x:c>
      <x:c r="E7" s="15" t="str">
        <x:v>External Web</x:v>
      </x:c>
      <x:c r="F7" s="15" t="str">
        <x:v>Inventory External Web — Ledgerwake</x:v>
      </x:c>
      <x:c r="G7" s="15" t="str">
        <x:v>inventory / receipts / raw custody</x:v>
      </x:c>
      <x:c r="H7" s="15" t="str">
        <x:v>source path + receipt + raw/export status + claim/edge/risk delta</x:v>
      </x:c>
      <x:c r="I7" s="15" t="str">
        <x:v>packet/SWARM-01-H01-S06</x:v>
      </x:c>
      <x:c r="J7" s="15" t="str">
        <x:v>TODO</x:v>
      </x:c>
      <x:c r="K7" s="15" t="str">
        <x:v>P1</x:v>
      </x:c>
      <x:c r="L7" s="15" t="str">
        <x:v>Done only when evidence is logged, contradiction search is noted, and boundary stamp remains non-canon unless ratified</x:v>
      </x:c>
      <x:c r="M7" s="15" t="str">
        <x:v>candidate / staging-only / not canon / not deployed / authority none</x:v>
      </x:c>
      <x:c r="N7" s="15" t="str">
        <x:v>Dispatch to Ledgerwake: complete Source Inventory x External Web; return deltas only, receipts required.</x:v>
      </x:c>
      <x:c r="O7" s="15" t="str">
        <x:v>AF-KG-H01-S06</x:v>
      </x:c>
      <x:c r="P7" s="15" t="str">
        <x:v>Unverified</x:v>
      </x:c>
      <x:c r="Q7" s="15" t="str">
        <x:v>Not checked</x:v>
      </x:c>
      <x:c r="R7" s="15" t="str"/>
      <x:c r="S7" s="15" t="str"/>
      <x:c r="T7" s="15" t="str">
        <x:v>Log first source path or blocker</x:v>
      </x:c>
      <x:c r="U7" s="12" t="str">
        <x:f>IF(OR(P7="Unverified",Q7="Not checked"),"BLOCKED_PENDING_RECEIPT","READY_FOR_REVIEW")</x:f>
        <x:v>BLOCKED_PENDING_RECEIPT</x:v>
      </x:c>
      <x:c r="V7" s="12" t="str">
        <x:f>IF(J7="DONE","RETURNED",IF(U7="BLOCKED_PENDING_RECEIPT","SOURCE_TOUCH_REQUIRED","IN_PROGRESS"))</x:f>
        <x:v>SOURCE_TOUCH_REQUIRED</x:v>
      </x:c>
      <x:c r="W7" s="12" t="str">
        <x:f>IF(P7="Unverified","missing_receipt","receipt_logged")</x:f>
        <x:v>missing_receipt</x:v>
      </x:c>
      <x:c r="X7" s="12" t="str">
        <x:f>IF(Q7="Not checked","raw_status_missing","raw_status_logged")</x:f>
        <x:v>raw_status_missing</x:v>
      </x:c>
      <x:c r="Y7" s="12" t="str">
        <x:f>IF(U7="BLOCKED_PENDING_RECEIPT","Log source path or blocker; do not promote","Route to review lane")</x:f>
        <x:v>Log source path or blocker; do not promote</x:v>
      </x:c>
      <x:c r="Z7" s="12" t="str">
        <x:f>IF(K7="P0","Primary seat + Hashlight/Lucerna","Seat lane")</x:f>
        <x:v>Seat lane</x:v>
      </x:c>
      <x:c r="AA7" s="12" t="str">
        <x:f>IF(R7="","no_claim_delta","claim_delta_present")</x:f>
        <x:v>no_claim_delta</x:v>
      </x:c>
      <x:c r="AB7" s="12" t="str">
        <x:f>IF(S7="","no_contradiction_delta","contradiction_delta_present")</x:f>
        <x:v>no_contradiction_delta</x:v>
      </x:c>
      <x:c r="AC7" s="12" t="str">
        <x:f>IF(OR(ISNUMBER(SEARCH("hacker",LOWER(F7&amp;" "&amp;H7&amp;" "&amp;I7&amp;" "&amp;M7&amp;" "&amp;N7&amp;" "&amp;T7))),ISNUMBER(SEARCH("hacking",LOWER(F7&amp;" "&amp;H7&amp;" "&amp;I7&amp;" "&amp;M7&amp;" "&amp;N7&amp;" "&amp;T7))),ISNUMBER(SEARCH("bank",LOWER(F7&amp;" "&amp;H7&amp;" "&amp;I7&amp;" "&amp;M7&amp;" "&amp;N7&amp;" "&amp;T7))),ISNUMBER(SEARCH("banking",LOWER(F7&amp;" "&amp;H7&amp;" "&amp;I7&amp;" "&amp;M7&amp;" "&amp;N7&amp;" "&amp;T7)))),"PRIVATE_QUARANTINE",IF(OR(ISNUMBER(SEARCH("treasury",LOWER(F7&amp;" "&amp;H7&amp;" "&amp;I7&amp;" "&amp;M7&amp;" "&amp;N7&amp;" "&amp;T7))),ISNUMBER(SEARCH("debt",LOWER(F7&amp;" "&amp;H7&amp;" "&amp;I7&amp;" "&amp;M7&amp;" "&amp;N7&amp;" "&amp;T7))),ISNUMBER(SEARCH("bond",LOWER(F7&amp;" "&amp;H7&amp;" "&amp;I7&amp;" "&amp;M7&amp;" "&amp;N7&amp;" "&amp;T7))),ISNUMBER(SEARCH("transaction",LOWER(F7&amp;" "&amp;H7&amp;" "&amp;I7&amp;" "&amp;M7&amp;" "&amp;N7&amp;" "&amp;T7)))),"PRIVATE_REVIEW","PUBLIC_CANDIDATE"))</x:f>
        <x:v>PUBLIC_CANDIDATE</x:v>
      </x:c>
      <x:c r="AD7" s="12" t="str">
        <x:f>IF(AC7="PRIVATE_QUARANTINE","hacker_or_bank_trigger",IF(AC7="PRIVATE_REVIEW","finance_risk_trigger","none"))</x:f>
        <x:v>none</x:v>
      </x:c>
      <x:c r="AE7" s="12" t="str">
        <x:f>IF(AC7="PUBLIC_CANDIDATE","prepare_public_github_candidate",IF(AC7="PRIVATE_REVIEW","hold_for_private_review","quarantine_private_do_not_publish"))</x:f>
        <x:v>prepare_public_github_candidate</x:v>
      </x:c>
      <x:c r="AF7" s="12" t="str">
        <x:f>IF(AC7="PUBLIC_CANDIDATE","TIDELOCK + Lucerna",IF(AC7="PRIVATE_REVIEW","AtlasBrain + Lucerna","TIDELOCK + Lucerna + Human-root"))</x:f>
        <x:v>TIDELOCK + Lucerna</x:v>
      </x:c>
      <x:c r="AG7" s="12" t="str">
        <x:f>IF(AND(AC7="PUBLIC_CANDIDATE",U7&lt;&gt;"BLOCKED_PENDING_RECEIPT"),"READY_AFTER_RECEIPT","NOT_READY")</x:f>
        <x:v>NOT_READY</x:v>
      </x:c>
      <x:c r="AH7" s="12" t="str">
        <x:f>IF(AC7="PUBLIC_CANDIDATE","none",AD7)</x:f>
        <x:v>none</x:v>
      </x:c>
      <x:c r="AI7" s="12" t="str">
        <x:f>IF(AC7="PUBLIC_CANDIDATE","archive/public_candidates/"&amp;A7,"private_quarantine/"&amp;A7)</x:f>
        <x:v>archive/public_candidates/SWARM-01-H01-S06</x:v>
      </x:c>
      <x:c r="AJ7" s="12" t="str">
        <x:f>IF(AC7="PUBLIC_CANDIDATE","public by default; still not canon","private/hold; do not publish")</x:f>
        <x:v>public by default; still not canon</x:v>
      </x:c>
      <x:c r="AK7" s="12" t="str">
        <x:f>IF(AE7="prepare_public_github_candidate","add receipt/status then mirror","resolve blocker before any public GitHub action")</x:f>
        <x:v>add receipt/status then mirror</x:v>
      </x:c>
    </x:row>
    <x:row r="8">
      <x:c r="A8" s="15" t="str">
        <x:v>SWARM-01-H01-S07</x:v>
      </x:c>
      <x:c r="B8" s="15" t="str">
        <x:v>Ledgerwake</x:v>
      </x:c>
      <x:c r="C8" s="15" t="str">
        <x:v>Source receipt keeper</x:v>
      </x:c>
      <x:c r="D8" s="15" t="str">
        <x:v>Source Inventory</x:v>
      </x:c>
      <x:c r="E8" s="15" t="str">
        <x:v>Planetarium</x:v>
      </x:c>
      <x:c r="F8" s="15" t="str">
        <x:v>Inventory Planetarium — Ledgerwake</x:v>
      </x:c>
      <x:c r="G8" s="15" t="str">
        <x:v>inventory / receipts / raw custody</x:v>
      </x:c>
      <x:c r="H8" s="15" t="str">
        <x:v>source path + receipt + raw/export status + claim/edge/risk delta</x:v>
      </x:c>
      <x:c r="I8" s="15" t="str">
        <x:v>packet/SWARM-01-H01-S07</x:v>
      </x:c>
      <x:c r="J8" s="15" t="str">
        <x:v>TODO</x:v>
      </x:c>
      <x:c r="K8" s="15" t="str">
        <x:v>P1</x:v>
      </x:c>
      <x:c r="L8" s="15" t="str">
        <x:v>Done only when evidence is logged, contradiction search is noted, and boundary stamp remains non-canon unless ratified</x:v>
      </x:c>
      <x:c r="M8" s="15" t="str">
        <x:v>candidate / staging-only / not canon / not deployed / authority none</x:v>
      </x:c>
      <x:c r="N8" s="15" t="str">
        <x:v>Dispatch to Ledgerwake: complete Source Inventory x Planetarium; return deltas only, receipts required.</x:v>
      </x:c>
      <x:c r="O8" s="15" t="str">
        <x:v>AF-KG-H01-S07</x:v>
      </x:c>
      <x:c r="P8" s="15" t="str">
        <x:v>Unverified</x:v>
      </x:c>
      <x:c r="Q8" s="15" t="str">
        <x:v>Not checked</x:v>
      </x:c>
      <x:c r="R8" s="15" t="str"/>
      <x:c r="S8" s="15" t="str"/>
      <x:c r="T8" s="15" t="str">
        <x:v>Log first source path or blocker</x:v>
      </x:c>
      <x:c r="U8" s="12" t="str">
        <x:f>IF(OR(P8="Unverified",Q8="Not checked"),"BLOCKED_PENDING_RECEIPT","READY_FOR_REVIEW")</x:f>
        <x:v>BLOCKED_PENDING_RECEIPT</x:v>
      </x:c>
      <x:c r="V8" s="12" t="str">
        <x:f>IF(J8="DONE","RETURNED",IF(U8="BLOCKED_PENDING_RECEIPT","SOURCE_TOUCH_REQUIRED","IN_PROGRESS"))</x:f>
        <x:v>SOURCE_TOUCH_REQUIRED</x:v>
      </x:c>
      <x:c r="W8" s="12" t="str">
        <x:f>IF(P8="Unverified","missing_receipt","receipt_logged")</x:f>
        <x:v>missing_receipt</x:v>
      </x:c>
      <x:c r="X8" s="12" t="str">
        <x:f>IF(Q8="Not checked","raw_status_missing","raw_status_logged")</x:f>
        <x:v>raw_status_missing</x:v>
      </x:c>
      <x:c r="Y8" s="12" t="str">
        <x:f>IF(U8="BLOCKED_PENDING_RECEIPT","Log source path or blocker; do not promote","Route to review lane")</x:f>
        <x:v>Log source path or blocker; do not promote</x:v>
      </x:c>
      <x:c r="Z8" s="12" t="str">
        <x:f>IF(K8="P0","Primary seat + Hashlight/Lucerna","Seat lane")</x:f>
        <x:v>Seat lane</x:v>
      </x:c>
      <x:c r="AA8" s="12" t="str">
        <x:f>IF(R8="","no_claim_delta","claim_delta_present")</x:f>
        <x:v>no_claim_delta</x:v>
      </x:c>
      <x:c r="AB8" s="12" t="str">
        <x:f>IF(S8="","no_contradiction_delta","contradiction_delta_present")</x:f>
        <x:v>no_contradiction_delta</x:v>
      </x:c>
      <x:c r="AC8" s="12" t="str">
        <x:f>IF(OR(ISNUMBER(SEARCH("hacker",LOWER(F8&amp;" "&amp;H8&amp;" "&amp;I8&amp;" "&amp;M8&amp;" "&amp;N8&amp;" "&amp;T8))),ISNUMBER(SEARCH("hacking",LOWER(F8&amp;" "&amp;H8&amp;" "&amp;I8&amp;" "&amp;M8&amp;" "&amp;N8&amp;" "&amp;T8))),ISNUMBER(SEARCH("bank",LOWER(F8&amp;" "&amp;H8&amp;" "&amp;I8&amp;" "&amp;M8&amp;" "&amp;N8&amp;" "&amp;T8))),ISNUMBER(SEARCH("banking",LOWER(F8&amp;" "&amp;H8&amp;" "&amp;I8&amp;" "&amp;M8&amp;" "&amp;N8&amp;" "&amp;T8)))),"PRIVATE_QUARANTINE",IF(OR(ISNUMBER(SEARCH("treasury",LOWER(F8&amp;" "&amp;H8&amp;" "&amp;I8&amp;" "&amp;M8&amp;" "&amp;N8&amp;" "&amp;T8))),ISNUMBER(SEARCH("debt",LOWER(F8&amp;" "&amp;H8&amp;" "&amp;I8&amp;" "&amp;M8&amp;" "&amp;N8&amp;" "&amp;T8))),ISNUMBER(SEARCH("bond",LOWER(F8&amp;" "&amp;H8&amp;" "&amp;I8&amp;" "&amp;M8&amp;" "&amp;N8&amp;" "&amp;T8))),ISNUMBER(SEARCH("transaction",LOWER(F8&amp;" "&amp;H8&amp;" "&amp;I8&amp;" "&amp;M8&amp;" "&amp;N8&amp;" "&amp;T8)))),"PRIVATE_REVIEW","PUBLIC_CANDIDATE"))</x:f>
        <x:v>PUBLIC_CANDIDATE</x:v>
      </x:c>
      <x:c r="AD8" s="12" t="str">
        <x:f>IF(AC8="PRIVATE_QUARANTINE","hacker_or_bank_trigger",IF(AC8="PRIVATE_REVIEW","finance_risk_trigger","none"))</x:f>
        <x:v>none</x:v>
      </x:c>
      <x:c r="AE8" s="12" t="str">
        <x:f>IF(AC8="PUBLIC_CANDIDATE","prepare_public_github_candidate",IF(AC8="PRIVATE_REVIEW","hold_for_private_review","quarantine_private_do_not_publish"))</x:f>
        <x:v>prepare_public_github_candidate</x:v>
      </x:c>
      <x:c r="AF8" s="12" t="str">
        <x:f>IF(AC8="PUBLIC_CANDIDATE","TIDELOCK + Lucerna",IF(AC8="PRIVATE_REVIEW","AtlasBrain + Lucerna","TIDELOCK + Lucerna + Human-root"))</x:f>
        <x:v>TIDELOCK + Lucerna</x:v>
      </x:c>
      <x:c r="AG8" s="12" t="str">
        <x:f>IF(AND(AC8="PUBLIC_CANDIDATE",U8&lt;&gt;"BLOCKED_PENDING_RECEIPT"),"READY_AFTER_RECEIPT","NOT_READY")</x:f>
        <x:v>NOT_READY</x:v>
      </x:c>
      <x:c r="AH8" s="12" t="str">
        <x:f>IF(AC8="PUBLIC_CANDIDATE","none",AD8)</x:f>
        <x:v>none</x:v>
      </x:c>
      <x:c r="AI8" s="12" t="str">
        <x:f>IF(AC8="PUBLIC_CANDIDATE","archive/public_candidates/"&amp;A8,"private_quarantine/"&amp;A8)</x:f>
        <x:v>archive/public_candidates/SWARM-01-H01-S07</x:v>
      </x:c>
      <x:c r="AJ8" s="12" t="str">
        <x:f>IF(AC8="PUBLIC_CANDIDATE","public by default; still not canon","private/hold; do not publish")</x:f>
        <x:v>public by default; still not canon</x:v>
      </x:c>
      <x:c r="AK8" s="12" t="str">
        <x:f>IF(AE8="prepare_public_github_candidate","add receipt/status then mirror","resolve blocker before any public GitHub action")</x:f>
        <x:v>add receipt/status then mirror</x:v>
      </x:c>
    </x:row>
    <x:row r="9">
      <x:c r="A9" s="15" t="str">
        <x:v>SWARM-01-H01-S08</x:v>
      </x:c>
      <x:c r="B9" s="15" t="str">
        <x:v>Ledgerwake</x:v>
      </x:c>
      <x:c r="C9" s="15" t="str">
        <x:v>Source receipt keeper</x:v>
      </x:c>
      <x:c r="D9" s="15" t="str">
        <x:v>Source Inventory</x:v>
      </x:c>
      <x:c r="E9" s="15" t="str">
        <x:v>Sheldonbrain</x:v>
      </x:c>
      <x:c r="F9" s="15" t="str">
        <x:v>Inventory Sheldonbrain — Ledgerwake</x:v>
      </x:c>
      <x:c r="G9" s="15" t="str">
        <x:v>inventory / receipts / raw custody</x:v>
      </x:c>
      <x:c r="H9" s="15" t="str">
        <x:v>source path + receipt + raw/export status + claim/edge/risk delta</x:v>
      </x:c>
      <x:c r="I9" s="15" t="str">
        <x:v>packet/SWARM-01-H01-S08</x:v>
      </x:c>
      <x:c r="J9" s="15" t="str">
        <x:v>TODO</x:v>
      </x:c>
      <x:c r="K9" s="15" t="str">
        <x:v>P1</x:v>
      </x:c>
      <x:c r="L9" s="15" t="str">
        <x:v>Done only when evidence is logged, contradiction search is noted, and boundary stamp remains non-canon unless ratified</x:v>
      </x:c>
      <x:c r="M9" s="15" t="str">
        <x:v>candidate / staging-only / not canon / not deployed / authority none</x:v>
      </x:c>
      <x:c r="N9" s="15" t="str">
        <x:v>Dispatch to Ledgerwake: complete Source Inventory x Sheldonbrain; return deltas only, receipts required.</x:v>
      </x:c>
      <x:c r="O9" s="15" t="str">
        <x:v>AF-KG-H01-S08</x:v>
      </x:c>
      <x:c r="P9" s="15" t="str">
        <x:v>Unverified</x:v>
      </x:c>
      <x:c r="Q9" s="15" t="str">
        <x:v>Not checked</x:v>
      </x:c>
      <x:c r="R9" s="15" t="str"/>
      <x:c r="S9" s="15" t="str"/>
      <x:c r="T9" s="15" t="str">
        <x:v>Log first source path or blocker</x:v>
      </x:c>
      <x:c r="U9" s="12" t="str">
        <x:f>IF(OR(P9="Unverified",Q9="Not checked"),"BLOCKED_PENDING_RECEIPT","READY_FOR_REVIEW")</x:f>
        <x:v>BLOCKED_PENDING_RECEIPT</x:v>
      </x:c>
      <x:c r="V9" s="12" t="str">
        <x:f>IF(J9="DONE","RETURNED",IF(U9="BLOCKED_PENDING_RECEIPT","SOURCE_TOUCH_REQUIRED","IN_PROGRESS"))</x:f>
        <x:v>SOURCE_TOUCH_REQUIRED</x:v>
      </x:c>
      <x:c r="W9" s="12" t="str">
        <x:f>IF(P9="Unverified","missing_receipt","receipt_logged")</x:f>
        <x:v>missing_receipt</x:v>
      </x:c>
      <x:c r="X9" s="12" t="str">
        <x:f>IF(Q9="Not checked","raw_status_missing","raw_status_logged")</x:f>
        <x:v>raw_status_missing</x:v>
      </x:c>
      <x:c r="Y9" s="12" t="str">
        <x:f>IF(U9="BLOCKED_PENDING_RECEIPT","Log source path or blocker; do not promote","Route to review lane")</x:f>
        <x:v>Log source path or blocker; do not promote</x:v>
      </x:c>
      <x:c r="Z9" s="12" t="str">
        <x:f>IF(K9="P0","Primary seat + Hashlight/Lucerna","Seat lane")</x:f>
        <x:v>Seat lane</x:v>
      </x:c>
      <x:c r="AA9" s="12" t="str">
        <x:f>IF(R9="","no_claim_delta","claim_delta_present")</x:f>
        <x:v>no_claim_delta</x:v>
      </x:c>
      <x:c r="AB9" s="12" t="str">
        <x:f>IF(S9="","no_contradiction_delta","contradiction_delta_present")</x:f>
        <x:v>no_contradiction_delta</x:v>
      </x:c>
      <x:c r="AC9" s="12" t="str">
        <x:f>IF(OR(ISNUMBER(SEARCH("hacker",LOWER(F9&amp;" "&amp;H9&amp;" "&amp;I9&amp;" "&amp;M9&amp;" "&amp;N9&amp;" "&amp;T9))),ISNUMBER(SEARCH("hacking",LOWER(F9&amp;" "&amp;H9&amp;" "&amp;I9&amp;" "&amp;M9&amp;" "&amp;N9&amp;" "&amp;T9))),ISNUMBER(SEARCH("bank",LOWER(F9&amp;" "&amp;H9&amp;" "&amp;I9&amp;" "&amp;M9&amp;" "&amp;N9&amp;" "&amp;T9))),ISNUMBER(SEARCH("banking",LOWER(F9&amp;" "&amp;H9&amp;" "&amp;I9&amp;" "&amp;M9&amp;" "&amp;N9&amp;" "&amp;T9)))),"PRIVATE_QUARANTINE",IF(OR(ISNUMBER(SEARCH("treasury",LOWER(F9&amp;" "&amp;H9&amp;" "&amp;I9&amp;" "&amp;M9&amp;" "&amp;N9&amp;" "&amp;T9))),ISNUMBER(SEARCH("debt",LOWER(F9&amp;" "&amp;H9&amp;" "&amp;I9&amp;" "&amp;M9&amp;" "&amp;N9&amp;" "&amp;T9))),ISNUMBER(SEARCH("bond",LOWER(F9&amp;" "&amp;H9&amp;" "&amp;I9&amp;" "&amp;M9&amp;" "&amp;N9&amp;" "&amp;T9))),ISNUMBER(SEARCH("transaction",LOWER(F9&amp;" "&amp;H9&amp;" "&amp;I9&amp;" "&amp;M9&amp;" "&amp;N9&amp;" "&amp;T9)))),"PRIVATE_REVIEW","PUBLIC_CANDIDATE"))</x:f>
        <x:v>PUBLIC_CANDIDATE</x:v>
      </x:c>
      <x:c r="AD9" s="12" t="str">
        <x:f>IF(AC9="PRIVATE_QUARANTINE","hacker_or_bank_trigger",IF(AC9="PRIVATE_REVIEW","finance_risk_trigger","none"))</x:f>
        <x:v>none</x:v>
      </x:c>
      <x:c r="AE9" s="12" t="str">
        <x:f>IF(AC9="PUBLIC_CANDIDATE","prepare_public_github_candidate",IF(AC9="PRIVATE_REVIEW","hold_for_private_review","quarantine_private_do_not_publish"))</x:f>
        <x:v>prepare_public_github_candidate</x:v>
      </x:c>
      <x:c r="AF9" s="12" t="str">
        <x:f>IF(AC9="PUBLIC_CANDIDATE","TIDELOCK + Lucerna",IF(AC9="PRIVATE_REVIEW","AtlasBrain + Lucerna","TIDELOCK + Lucerna + Human-root"))</x:f>
        <x:v>TIDELOCK + Lucerna</x:v>
      </x:c>
      <x:c r="AG9" s="12" t="str">
        <x:f>IF(AND(AC9="PUBLIC_CANDIDATE",U9&lt;&gt;"BLOCKED_PENDING_RECEIPT"),"READY_AFTER_RECEIPT","NOT_READY")</x:f>
        <x:v>NOT_READY</x:v>
      </x:c>
      <x:c r="AH9" s="12" t="str">
        <x:f>IF(AC9="PUBLIC_CANDIDATE","none",AD9)</x:f>
        <x:v>none</x:v>
      </x:c>
      <x:c r="AI9" s="12" t="str">
        <x:f>IF(AC9="PUBLIC_CANDIDATE","archive/public_candidates/"&amp;A9,"private_quarantine/"&amp;A9)</x:f>
        <x:v>archive/public_candidates/SWARM-01-H01-S08</x:v>
      </x:c>
      <x:c r="AJ9" s="12" t="str">
        <x:f>IF(AC9="PUBLIC_CANDIDATE","public by default; still not canon","private/hold; do not publish")</x:f>
        <x:v>public by default; still not canon</x:v>
      </x:c>
      <x:c r="AK9" s="12" t="str">
        <x:f>IF(AE9="prepare_public_github_candidate","add receipt/status then mirror","resolve blocker before any public GitHub action")</x:f>
        <x:v>add receipt/status then mirror</x:v>
      </x:c>
    </x:row>
    <x:row r="10">
      <x:c r="A10" s="15" t="str">
        <x:v>SWARM-01-H01-S09</x:v>
      </x:c>
      <x:c r="B10" s="15" t="str">
        <x:v>Ledgerwake</x:v>
      </x:c>
      <x:c r="C10" s="15" t="str">
        <x:v>Source receipt keeper</x:v>
      </x:c>
      <x:c r="D10" s="15" t="str">
        <x:v>Source Inventory</x:v>
      </x:c>
      <x:c r="E10" s="15" t="str">
        <x:v>Aetherforge</x:v>
      </x:c>
      <x:c r="F10" s="15" t="str">
        <x:v>Inventory Aetherforge — Ledgerwake</x:v>
      </x:c>
      <x:c r="G10" s="15" t="str">
        <x:v>inventory / receipts / raw custody</x:v>
      </x:c>
      <x:c r="H10" s="15" t="str">
        <x:v>source path + receipt + raw/export status + claim/edge/risk delta</x:v>
      </x:c>
      <x:c r="I10" s="15" t="str">
        <x:v>packet/SWARM-01-H01-S09</x:v>
      </x:c>
      <x:c r="J10" s="15" t="str">
        <x:v>TODO</x:v>
      </x:c>
      <x:c r="K10" s="15" t="str">
        <x:v>P2</x:v>
      </x:c>
      <x:c r="L10" s="15" t="str">
        <x:v>Done only when evidence is logged, contradiction search is noted, and boundary stamp remains non-canon unless ratified</x:v>
      </x:c>
      <x:c r="M10" s="15" t="str">
        <x:v>candidate / staging-only / not canon / not deployed / authority none</x:v>
      </x:c>
      <x:c r="N10" s="15" t="str">
        <x:v>Dispatch to Ledgerwake: complete Source Inventory x Aetherforge; return deltas only, receipts required.</x:v>
      </x:c>
      <x:c r="O10" s="15" t="str">
        <x:v>AF-KG-H01-S09</x:v>
      </x:c>
      <x:c r="P10" s="15" t="str">
        <x:v>Unverified</x:v>
      </x:c>
      <x:c r="Q10" s="15" t="str">
        <x:v>Not checked</x:v>
      </x:c>
      <x:c r="R10" s="15" t="str"/>
      <x:c r="S10" s="15" t="str"/>
      <x:c r="T10" s="15" t="str">
        <x:v>Log first source path or blocker</x:v>
      </x:c>
      <x:c r="U10" s="12" t="str">
        <x:f>IF(OR(P10="Unverified",Q10="Not checked"),"BLOCKED_PENDING_RECEIPT","READY_FOR_REVIEW")</x:f>
        <x:v>BLOCKED_PENDING_RECEIPT</x:v>
      </x:c>
      <x:c r="V10" s="12" t="str">
        <x:f>IF(J10="DONE","RETURNED",IF(U10="BLOCKED_PENDING_RECEIPT","SOURCE_TOUCH_REQUIRED","IN_PROGRESS"))</x:f>
        <x:v>SOURCE_TOUCH_REQUIRED</x:v>
      </x:c>
      <x:c r="W10" s="12" t="str">
        <x:f>IF(P10="Unverified","missing_receipt","receipt_logged")</x:f>
        <x:v>missing_receipt</x:v>
      </x:c>
      <x:c r="X10" s="12" t="str">
        <x:f>IF(Q10="Not checked","raw_status_missing","raw_status_logged")</x:f>
        <x:v>raw_status_missing</x:v>
      </x:c>
      <x:c r="Y10" s="12" t="str">
        <x:f>IF(U10="BLOCKED_PENDING_RECEIPT","Log source path or blocker; do not promote","Route to review lane")</x:f>
        <x:v>Log source path or blocker; do not promote</x:v>
      </x:c>
      <x:c r="Z10" s="12" t="str">
        <x:f>IF(K10="P0","Primary seat + Hashlight/Lucerna","Seat lane")</x:f>
        <x:v>Seat lane</x:v>
      </x:c>
      <x:c r="AA10" s="12" t="str">
        <x:f>IF(R10="","no_claim_delta","claim_delta_present")</x:f>
        <x:v>no_claim_delta</x:v>
      </x:c>
      <x:c r="AB10" s="12" t="str">
        <x:f>IF(S10="","no_contradiction_delta","contradiction_delta_present")</x:f>
        <x:v>no_contradiction_delta</x:v>
      </x:c>
      <x:c r="AC10" s="12" t="str">
        <x:f>IF(OR(ISNUMBER(SEARCH("hacker",LOWER(F10&amp;" "&amp;H10&amp;" "&amp;I10&amp;" "&amp;M10&amp;" "&amp;N10&amp;" "&amp;T10))),ISNUMBER(SEARCH("hacking",LOWER(F10&amp;" "&amp;H10&amp;" "&amp;I10&amp;" "&amp;M10&amp;" "&amp;N10&amp;" "&amp;T10))),ISNUMBER(SEARCH("bank",LOWER(F10&amp;" "&amp;H10&amp;" "&amp;I10&amp;" "&amp;M10&amp;" "&amp;N10&amp;" "&amp;T10))),ISNUMBER(SEARCH("banking",LOWER(F10&amp;" "&amp;H10&amp;" "&amp;I10&amp;" "&amp;M10&amp;" "&amp;N10&amp;" "&amp;T10)))),"PRIVATE_QUARANTINE",IF(OR(ISNUMBER(SEARCH("treasury",LOWER(F10&amp;" "&amp;H10&amp;" "&amp;I10&amp;" "&amp;M10&amp;" "&amp;N10&amp;" "&amp;T10))),ISNUMBER(SEARCH("debt",LOWER(F10&amp;" "&amp;H10&amp;" "&amp;I10&amp;" "&amp;M10&amp;" "&amp;N10&amp;" "&amp;T10))),ISNUMBER(SEARCH("bond",LOWER(F10&amp;" "&amp;H10&amp;" "&amp;I10&amp;" "&amp;M10&amp;" "&amp;N10&amp;" "&amp;T10))),ISNUMBER(SEARCH("transaction",LOWER(F10&amp;" "&amp;H10&amp;" "&amp;I10&amp;" "&amp;M10&amp;" "&amp;N10&amp;" "&amp;T10)))),"PRIVATE_REVIEW","PUBLIC_CANDIDATE"))</x:f>
        <x:v>PUBLIC_CANDIDATE</x:v>
      </x:c>
      <x:c r="AD10" s="12" t="str">
        <x:f>IF(AC10="PRIVATE_QUARANTINE","hacker_or_bank_trigger",IF(AC10="PRIVATE_REVIEW","finance_risk_trigger","none"))</x:f>
        <x:v>none</x:v>
      </x:c>
      <x:c r="AE10" s="12" t="str">
        <x:f>IF(AC10="PUBLIC_CANDIDATE","prepare_public_github_candidate",IF(AC10="PRIVATE_REVIEW","hold_for_private_review","quarantine_private_do_not_publish"))</x:f>
        <x:v>prepare_public_github_candidate</x:v>
      </x:c>
      <x:c r="AF10" s="12" t="str">
        <x:f>IF(AC10="PUBLIC_CANDIDATE","TIDELOCK + Lucerna",IF(AC10="PRIVATE_REVIEW","AtlasBrain + Lucerna","TIDELOCK + Lucerna + Human-root"))</x:f>
        <x:v>TIDELOCK + Lucerna</x:v>
      </x:c>
      <x:c r="AG10" s="12" t="str">
        <x:f>IF(AND(AC10="PUBLIC_CANDIDATE",U10&lt;&gt;"BLOCKED_PENDING_RECEIPT"),"READY_AFTER_RECEIPT","NOT_READY")</x:f>
        <x:v>NOT_READY</x:v>
      </x:c>
      <x:c r="AH10" s="12" t="str">
        <x:f>IF(AC10="PUBLIC_CANDIDATE","none",AD10)</x:f>
        <x:v>none</x:v>
      </x:c>
      <x:c r="AI10" s="12" t="str">
        <x:f>IF(AC10="PUBLIC_CANDIDATE","archive/public_candidates/"&amp;A10,"private_quarantine/"&amp;A10)</x:f>
        <x:v>archive/public_candidates/SWARM-01-H01-S09</x:v>
      </x:c>
      <x:c r="AJ10" s="12" t="str">
        <x:f>IF(AC10="PUBLIC_CANDIDATE","public by default; still not canon","private/hold; do not publish")</x:f>
        <x:v>public by default; still not canon</x:v>
      </x:c>
      <x:c r="AK10" s="12" t="str">
        <x:f>IF(AE10="prepare_public_github_candidate","add receipt/status then mirror","resolve blocker before any public GitHub action")</x:f>
        <x:v>add receipt/status then mirror</x:v>
      </x:c>
    </x:row>
    <x:row r="11">
      <x:c r="A11" s="15" t="str">
        <x:v>SWARM-01-H01-S10</x:v>
      </x:c>
      <x:c r="B11" s="15" t="str">
        <x:v>Ledgerwake</x:v>
      </x:c>
      <x:c r="C11" s="15" t="str">
        <x:v>Source receipt keeper</x:v>
      </x:c>
      <x:c r="D11" s="15" t="str">
        <x:v>Source Inventory</x:v>
      </x:c>
      <x:c r="E11" s="15" t="str">
        <x:v>Human-Root</x:v>
      </x:c>
      <x:c r="F11" s="15" t="str">
        <x:v>Inventory Human-Root — Ledgerwake</x:v>
      </x:c>
      <x:c r="G11" s="15" t="str">
        <x:v>inventory / receipts / raw custody</x:v>
      </x:c>
      <x:c r="H11" s="15" t="str">
        <x:v>source path + receipt + raw/export status + claim/edge/risk delta</x:v>
      </x:c>
      <x:c r="I11" s="15" t="str">
        <x:v>packet/SWARM-01-H01-S10</x:v>
      </x:c>
      <x:c r="J11" s="15" t="str">
        <x:v>TODO</x:v>
      </x:c>
      <x:c r="K11" s="15" t="str">
        <x:v>P2</x:v>
      </x:c>
      <x:c r="L11" s="15" t="str">
        <x:v>Done only when evidence is logged, contradiction search is noted, and boundary stamp remains non-canon unless ratified</x:v>
      </x:c>
      <x:c r="M11" s="15" t="str">
        <x:v>candidate / staging-only / not canon / not deployed / authority none</x:v>
      </x:c>
      <x:c r="N11" s="15" t="str">
        <x:v>Dispatch to Ledgerwake: complete Source Inventory x Human-Root; return deltas only, receipts required.</x:v>
      </x:c>
      <x:c r="O11" s="15" t="str">
        <x:v>AF-KG-H01-S10</x:v>
      </x:c>
      <x:c r="P11" s="15" t="str">
        <x:v>Unverified</x:v>
      </x:c>
      <x:c r="Q11" s="15" t="str">
        <x:v>Not checked</x:v>
      </x:c>
      <x:c r="R11" s="15" t="str"/>
      <x:c r="S11" s="15" t="str"/>
      <x:c r="T11" s="15" t="str">
        <x:v>Log first source path or blocker</x:v>
      </x:c>
      <x:c r="U11" s="12" t="str">
        <x:f>IF(OR(P11="Unverified",Q11="Not checked"),"BLOCKED_PENDING_RECEIPT","READY_FOR_REVIEW")</x:f>
        <x:v>BLOCKED_PENDING_RECEIPT</x:v>
      </x:c>
      <x:c r="V11" s="12" t="str">
        <x:f>IF(J11="DONE","RETURNED",IF(U11="BLOCKED_PENDING_RECEIPT","SOURCE_TOUCH_REQUIRED","IN_PROGRESS"))</x:f>
        <x:v>SOURCE_TOUCH_REQUIRED</x:v>
      </x:c>
      <x:c r="W11" s="12" t="str">
        <x:f>IF(P11="Unverified","missing_receipt","receipt_logged")</x:f>
        <x:v>missing_receipt</x:v>
      </x:c>
      <x:c r="X11" s="12" t="str">
        <x:f>IF(Q11="Not checked","raw_status_missing","raw_status_logged")</x:f>
        <x:v>raw_status_missing</x:v>
      </x:c>
      <x:c r="Y11" s="12" t="str">
        <x:f>IF(U11="BLOCKED_PENDING_RECEIPT","Log source path or blocker; do not promote","Route to review lane")</x:f>
        <x:v>Log source path or blocker; do not promote</x:v>
      </x:c>
      <x:c r="Z11" s="12" t="str">
        <x:f>IF(K11="P0","Primary seat + Hashlight/Lucerna","Seat lane")</x:f>
        <x:v>Seat lane</x:v>
      </x:c>
      <x:c r="AA11" s="12" t="str">
        <x:f>IF(R11="","no_claim_delta","claim_delta_present")</x:f>
        <x:v>no_claim_delta</x:v>
      </x:c>
      <x:c r="AB11" s="12" t="str">
        <x:f>IF(S11="","no_contradiction_delta","contradiction_delta_present")</x:f>
        <x:v>no_contradiction_delta</x:v>
      </x:c>
      <x:c r="AC11" s="12" t="str">
        <x:f>IF(OR(ISNUMBER(SEARCH("hacker",LOWER(F11&amp;" "&amp;H11&amp;" "&amp;I11&amp;" "&amp;M11&amp;" "&amp;N11&amp;" "&amp;T11))),ISNUMBER(SEARCH("hacking",LOWER(F11&amp;" "&amp;H11&amp;" "&amp;I11&amp;" "&amp;M11&amp;" "&amp;N11&amp;" "&amp;T11))),ISNUMBER(SEARCH("bank",LOWER(F11&amp;" "&amp;H11&amp;" "&amp;I11&amp;" "&amp;M11&amp;" "&amp;N11&amp;" "&amp;T11))),ISNUMBER(SEARCH("banking",LOWER(F11&amp;" "&amp;H11&amp;" "&amp;I11&amp;" "&amp;M11&amp;" "&amp;N11&amp;" "&amp;T11)))),"PRIVATE_QUARANTINE",IF(OR(ISNUMBER(SEARCH("treasury",LOWER(F11&amp;" "&amp;H11&amp;" "&amp;I11&amp;" "&amp;M11&amp;" "&amp;N11&amp;" "&amp;T11))),ISNUMBER(SEARCH("debt",LOWER(F11&amp;" "&amp;H11&amp;" "&amp;I11&amp;" "&amp;M11&amp;" "&amp;N11&amp;" "&amp;T11))),ISNUMBER(SEARCH("bond",LOWER(F11&amp;" "&amp;H11&amp;" "&amp;I11&amp;" "&amp;M11&amp;" "&amp;N11&amp;" "&amp;T11))),ISNUMBER(SEARCH("transaction",LOWER(F11&amp;" "&amp;H11&amp;" "&amp;I11&amp;" "&amp;M11&amp;" "&amp;N11&amp;" "&amp;T11)))),"PRIVATE_REVIEW","PUBLIC_CANDIDATE"))</x:f>
        <x:v>PUBLIC_CANDIDATE</x:v>
      </x:c>
      <x:c r="AD11" s="12" t="str">
        <x:f>IF(AC11="PRIVATE_QUARANTINE","hacker_or_bank_trigger",IF(AC11="PRIVATE_REVIEW","finance_risk_trigger","none"))</x:f>
        <x:v>none</x:v>
      </x:c>
      <x:c r="AE11" s="12" t="str">
        <x:f>IF(AC11="PUBLIC_CANDIDATE","prepare_public_github_candidate",IF(AC11="PRIVATE_REVIEW","hold_for_private_review","quarantine_private_do_not_publish"))</x:f>
        <x:v>prepare_public_github_candidate</x:v>
      </x:c>
      <x:c r="AF11" s="12" t="str">
        <x:f>IF(AC11="PUBLIC_CANDIDATE","TIDELOCK + Lucerna",IF(AC11="PRIVATE_REVIEW","AtlasBrain + Lucerna","TIDELOCK + Lucerna + Human-root"))</x:f>
        <x:v>TIDELOCK + Lucerna</x:v>
      </x:c>
      <x:c r="AG11" s="12" t="str">
        <x:f>IF(AND(AC11="PUBLIC_CANDIDATE",U11&lt;&gt;"BLOCKED_PENDING_RECEIPT"),"READY_AFTER_RECEIPT","NOT_READY")</x:f>
        <x:v>NOT_READY</x:v>
      </x:c>
      <x:c r="AH11" s="12" t="str">
        <x:f>IF(AC11="PUBLIC_CANDIDATE","none",AD11)</x:f>
        <x:v>none</x:v>
      </x:c>
      <x:c r="AI11" s="12" t="str">
        <x:f>IF(AC11="PUBLIC_CANDIDATE","archive/public_candidates/"&amp;A11,"private_quarantine/"&amp;A11)</x:f>
        <x:v>archive/public_candidates/SWARM-01-H01-S10</x:v>
      </x:c>
      <x:c r="AJ11" s="12" t="str">
        <x:f>IF(AC11="PUBLIC_CANDIDATE","public by default; still not canon","private/hold; do not publish")</x:f>
        <x:v>public by default; still not canon</x:v>
      </x:c>
      <x:c r="AK11" s="12" t="str">
        <x:f>IF(AE11="prepare_public_github_candidate","add receipt/status then mirror","resolve blocker before any public GitHub action")</x:f>
        <x:v>add receipt/status then mirror</x:v>
      </x:c>
    </x:row>
    <x:row r="12">
      <x:c r="A12" s="15" t="str">
        <x:v>SWARM-01-H01-S11</x:v>
      </x:c>
      <x:c r="B12" s="15" t="str">
        <x:v>Ledgerwake</x:v>
      </x:c>
      <x:c r="C12" s="15" t="str">
        <x:v>Source receipt keeper</x:v>
      </x:c>
      <x:c r="D12" s="15" t="str">
        <x:v>Source Inventory</x:v>
      </x:c>
      <x:c r="E12" s="15" t="str">
        <x:v>Automation</x:v>
      </x:c>
      <x:c r="F12" s="15" t="str">
        <x:v>Inventory Automation — Ledgerwake</x:v>
      </x:c>
      <x:c r="G12" s="15" t="str">
        <x:v>inventory / receipts / raw custody</x:v>
      </x:c>
      <x:c r="H12" s="15" t="str">
        <x:v>source path + receipt + raw/export status + claim/edge/risk delta</x:v>
      </x:c>
      <x:c r="I12" s="15" t="str">
        <x:v>packet/SWARM-01-H01-S11</x:v>
      </x:c>
      <x:c r="J12" s="15" t="str">
        <x:v>TODO</x:v>
      </x:c>
      <x:c r="K12" s="15" t="str">
        <x:v>P2</x:v>
      </x:c>
      <x:c r="L12" s="15" t="str">
        <x:v>Done only when evidence is logged, contradiction search is noted, and boundary stamp remains non-canon unless ratified</x:v>
      </x:c>
      <x:c r="M12" s="15" t="str">
        <x:v>candidate / staging-only / not canon / not deployed / authority none</x:v>
      </x:c>
      <x:c r="N12" s="15" t="str">
        <x:v>Dispatch to Ledgerwake: complete Source Inventory x Automation; return deltas only, receipts required.</x:v>
      </x:c>
      <x:c r="O12" s="15" t="str">
        <x:v>AF-KG-H01-S11</x:v>
      </x:c>
      <x:c r="P12" s="15" t="str">
        <x:v>Unverified</x:v>
      </x:c>
      <x:c r="Q12" s="15" t="str">
        <x:v>Not checked</x:v>
      </x:c>
      <x:c r="R12" s="15" t="str"/>
      <x:c r="S12" s="15" t="str"/>
      <x:c r="T12" s="15" t="str">
        <x:v>Log first source path or blocker</x:v>
      </x:c>
      <x:c r="U12" s="12" t="str">
        <x:f>IF(OR(P12="Unverified",Q12="Not checked"),"BLOCKED_PENDING_RECEIPT","READY_FOR_REVIEW")</x:f>
        <x:v>BLOCKED_PENDING_RECEIPT</x:v>
      </x:c>
      <x:c r="V12" s="12" t="str">
        <x:f>IF(J12="DONE","RETURNED",IF(U12="BLOCKED_PENDING_RECEIPT","SOURCE_TOUCH_REQUIRED","IN_PROGRESS"))</x:f>
        <x:v>SOURCE_TOUCH_REQUIRED</x:v>
      </x:c>
      <x:c r="W12" s="12" t="str">
        <x:f>IF(P12="Unverified","missing_receipt","receipt_logged")</x:f>
        <x:v>missing_receipt</x:v>
      </x:c>
      <x:c r="X12" s="12" t="str">
        <x:f>IF(Q12="Not checked","raw_status_missing","raw_status_logged")</x:f>
        <x:v>raw_status_missing</x:v>
      </x:c>
      <x:c r="Y12" s="12" t="str">
        <x:f>IF(U12="BLOCKED_PENDING_RECEIPT","Log source path or blocker; do not promote","Route to review lane")</x:f>
        <x:v>Log source path or blocker; do not promote</x:v>
      </x:c>
      <x:c r="Z12" s="12" t="str">
        <x:f>IF(K12="P0","Primary seat + Hashlight/Lucerna","Seat lane")</x:f>
        <x:v>Seat lane</x:v>
      </x:c>
      <x:c r="AA12" s="12" t="str">
        <x:f>IF(R12="","no_claim_delta","claim_delta_present")</x:f>
        <x:v>no_claim_delta</x:v>
      </x:c>
      <x:c r="AB12" s="12" t="str">
        <x:f>IF(S12="","no_contradiction_delta","contradiction_delta_present")</x:f>
        <x:v>no_contradiction_delta</x:v>
      </x:c>
      <x:c r="AC12" s="12" t="str">
        <x:f>IF(OR(ISNUMBER(SEARCH("hacker",LOWER(F12&amp;" "&amp;H12&amp;" "&amp;I12&amp;" "&amp;M12&amp;" "&amp;N12&amp;" "&amp;T12))),ISNUMBER(SEARCH("hacking",LOWER(F12&amp;" "&amp;H12&amp;" "&amp;I12&amp;" "&amp;M12&amp;" "&amp;N12&amp;" "&amp;T12))),ISNUMBER(SEARCH("bank",LOWER(F12&amp;" "&amp;H12&amp;" "&amp;I12&amp;" "&amp;M12&amp;" "&amp;N12&amp;" "&amp;T12))),ISNUMBER(SEARCH("banking",LOWER(F12&amp;" "&amp;H12&amp;" "&amp;I12&amp;" "&amp;M12&amp;" "&amp;N12&amp;" "&amp;T12)))),"PRIVATE_QUARANTINE",IF(OR(ISNUMBER(SEARCH("treasury",LOWER(F12&amp;" "&amp;H12&amp;" "&amp;I12&amp;" "&amp;M12&amp;" "&amp;N12&amp;" "&amp;T12))),ISNUMBER(SEARCH("debt",LOWER(F12&amp;" "&amp;H12&amp;" "&amp;I12&amp;" "&amp;M12&amp;" "&amp;N12&amp;" "&amp;T12))),ISNUMBER(SEARCH("bond",LOWER(F12&amp;" "&amp;H12&amp;" "&amp;I12&amp;" "&amp;M12&amp;" "&amp;N12&amp;" "&amp;T12))),ISNUMBER(SEARCH("transaction",LOWER(F12&amp;" "&amp;H12&amp;" "&amp;I12&amp;" "&amp;M12&amp;" "&amp;N12&amp;" "&amp;T12)))),"PRIVATE_REVIEW","PUBLIC_CANDIDATE"))</x:f>
        <x:v>PUBLIC_CANDIDATE</x:v>
      </x:c>
      <x:c r="AD12" s="12" t="str">
        <x:f>IF(AC12="PRIVATE_QUARANTINE","hacker_or_bank_trigger",IF(AC12="PRIVATE_REVIEW","finance_risk_trigger","none"))</x:f>
        <x:v>none</x:v>
      </x:c>
      <x:c r="AE12" s="12" t="str">
        <x:f>IF(AC12="PUBLIC_CANDIDATE","prepare_public_github_candidate",IF(AC12="PRIVATE_REVIEW","hold_for_private_review","quarantine_private_do_not_publish"))</x:f>
        <x:v>prepare_public_github_candidate</x:v>
      </x:c>
      <x:c r="AF12" s="12" t="str">
        <x:f>IF(AC12="PUBLIC_CANDIDATE","TIDELOCK + Lucerna",IF(AC12="PRIVATE_REVIEW","AtlasBrain + Lucerna","TIDELOCK + Lucerna + Human-root"))</x:f>
        <x:v>TIDELOCK + Lucerna</x:v>
      </x:c>
      <x:c r="AG12" s="12" t="str">
        <x:f>IF(AND(AC12="PUBLIC_CANDIDATE",U12&lt;&gt;"BLOCKED_PENDING_RECEIPT"),"READY_AFTER_RECEIPT","NOT_READY")</x:f>
        <x:v>NOT_READY</x:v>
      </x:c>
      <x:c r="AH12" s="12" t="str">
        <x:f>IF(AC12="PUBLIC_CANDIDATE","none",AD12)</x:f>
        <x:v>none</x:v>
      </x:c>
      <x:c r="AI12" s="12" t="str">
        <x:f>IF(AC12="PUBLIC_CANDIDATE","archive/public_candidates/"&amp;A12,"private_quarantine/"&amp;A12)</x:f>
        <x:v>archive/public_candidates/SWARM-01-H01-S11</x:v>
      </x:c>
      <x:c r="AJ12" s="12" t="str">
        <x:f>IF(AC12="PUBLIC_CANDIDATE","public by default; still not canon","private/hold; do not publish")</x:f>
        <x:v>public by default; still not canon</x:v>
      </x:c>
      <x:c r="AK12" s="12" t="str">
        <x:f>IF(AE12="prepare_public_github_candidate","add receipt/status then mirror","resolve blocker before any public GitHub action")</x:f>
        <x:v>add receipt/status then mirror</x:v>
      </x:c>
    </x:row>
    <x:row r="13">
      <x:c r="A13" s="15" t="str">
        <x:v>SWARM-01-H01-S12</x:v>
      </x:c>
      <x:c r="B13" s="15" t="str">
        <x:v>Ledgerwake</x:v>
      </x:c>
      <x:c r="C13" s="15" t="str">
        <x:v>Source receipt keeper</x:v>
      </x:c>
      <x:c r="D13" s="15" t="str">
        <x:v>Source Inventory</x:v>
      </x:c>
      <x:c r="E13" s="15" t="str">
        <x:v>Risk / Safety</x:v>
      </x:c>
      <x:c r="F13" s="15" t="str">
        <x:v>Inventory Risk / Safety — Ledgerwake</x:v>
      </x:c>
      <x:c r="G13" s="15" t="str">
        <x:v>inventory / receipts / raw custody</x:v>
      </x:c>
      <x:c r="H13" s="15" t="str">
        <x:v>source path + receipt + raw/export status + claim/edge/risk delta</x:v>
      </x:c>
      <x:c r="I13" s="15" t="str">
        <x:v>packet/SWARM-01-H01-S12</x:v>
      </x:c>
      <x:c r="J13" s="15" t="str">
        <x:v>TODO</x:v>
      </x:c>
      <x:c r="K13" s="15" t="str">
        <x:v>P2</x:v>
      </x:c>
      <x:c r="L13" s="15" t="str">
        <x:v>Done only when evidence is logged, contradiction search is noted, and boundary stamp remains non-canon unless ratified</x:v>
      </x:c>
      <x:c r="M13" s="15" t="str">
        <x:v>candidate / staging-only / not canon / not deployed / authority none</x:v>
      </x:c>
      <x:c r="N13" s="15" t="str">
        <x:v>Dispatch to Ledgerwake: complete Source Inventory x Risk / Safety; return deltas only, receipts required.</x:v>
      </x:c>
      <x:c r="O13" s="15" t="str">
        <x:v>AF-KG-H01-S12</x:v>
      </x:c>
      <x:c r="P13" s="15" t="str">
        <x:v>Unverified</x:v>
      </x:c>
      <x:c r="Q13" s="15" t="str">
        <x:v>Not checked</x:v>
      </x:c>
      <x:c r="R13" s="15" t="str"/>
      <x:c r="S13" s="15" t="str"/>
      <x:c r="T13" s="15" t="str">
        <x:v>Log first source path or blocker</x:v>
      </x:c>
      <x:c r="U13" s="12" t="str">
        <x:f>IF(OR(P13="Unverified",Q13="Not checked"),"BLOCKED_PENDING_RECEIPT","READY_FOR_REVIEW")</x:f>
        <x:v>BLOCKED_PENDING_RECEIPT</x:v>
      </x:c>
      <x:c r="V13" s="12" t="str">
        <x:f>IF(J13="DONE","RETURNED",IF(U13="BLOCKED_PENDING_RECEIPT","SOURCE_TOUCH_REQUIRED","IN_PROGRESS"))</x:f>
        <x:v>SOURCE_TOUCH_REQUIRED</x:v>
      </x:c>
      <x:c r="W13" s="12" t="str">
        <x:f>IF(P13="Unverified","missing_receipt","receipt_logged")</x:f>
        <x:v>missing_receipt</x:v>
      </x:c>
      <x:c r="X13" s="12" t="str">
        <x:f>IF(Q13="Not checked","raw_status_missing","raw_status_logged")</x:f>
        <x:v>raw_status_missing</x:v>
      </x:c>
      <x:c r="Y13" s="12" t="str">
        <x:f>IF(U13="BLOCKED_PENDING_RECEIPT","Log source path or blocker; do not promote","Route to review lane")</x:f>
        <x:v>Log source path or blocker; do not promote</x:v>
      </x:c>
      <x:c r="Z13" s="12" t="str">
        <x:f>IF(K13="P0","Primary seat + Hashlight/Lucerna","Seat lane")</x:f>
        <x:v>Seat lane</x:v>
      </x:c>
      <x:c r="AA13" s="12" t="str">
        <x:f>IF(R13="","no_claim_delta","claim_delta_present")</x:f>
        <x:v>no_claim_delta</x:v>
      </x:c>
      <x:c r="AB13" s="12" t="str">
        <x:f>IF(S13="","no_contradiction_delta","contradiction_delta_present")</x:f>
        <x:v>no_contradiction_delta</x:v>
      </x:c>
      <x:c r="AC13" s="12" t="str">
        <x:f>IF(OR(ISNUMBER(SEARCH("hacker",LOWER(F13&amp;" "&amp;H13&amp;" "&amp;I13&amp;" "&amp;M13&amp;" "&amp;N13&amp;" "&amp;T13))),ISNUMBER(SEARCH("hacking",LOWER(F13&amp;" "&amp;H13&amp;" "&amp;I13&amp;" "&amp;M13&amp;" "&amp;N13&amp;" "&amp;T13))),ISNUMBER(SEARCH("bank",LOWER(F13&amp;" "&amp;H13&amp;" "&amp;I13&amp;" "&amp;M13&amp;" "&amp;N13&amp;" "&amp;T13))),ISNUMBER(SEARCH("banking",LOWER(F13&amp;" "&amp;H13&amp;" "&amp;I13&amp;" "&amp;M13&amp;" "&amp;N13&amp;" "&amp;T13)))),"PRIVATE_QUARANTINE",IF(OR(ISNUMBER(SEARCH("treasury",LOWER(F13&amp;" "&amp;H13&amp;" "&amp;I13&amp;" "&amp;M13&amp;" "&amp;N13&amp;" "&amp;T13))),ISNUMBER(SEARCH("debt",LOWER(F13&amp;" "&amp;H13&amp;" "&amp;I13&amp;" "&amp;M13&amp;" "&amp;N13&amp;" "&amp;T13))),ISNUMBER(SEARCH("bond",LOWER(F13&amp;" "&amp;H13&amp;" "&amp;I13&amp;" "&amp;M13&amp;" "&amp;N13&amp;" "&amp;T13))),ISNUMBER(SEARCH("transaction",LOWER(F13&amp;" "&amp;H13&amp;" "&amp;I13&amp;" "&amp;M13&amp;" "&amp;N13&amp;" "&amp;T13)))),"PRIVATE_REVIEW","PUBLIC_CANDIDATE"))</x:f>
        <x:v>PUBLIC_CANDIDATE</x:v>
      </x:c>
      <x:c r="AD13" s="12" t="str">
        <x:f>IF(AC13="PRIVATE_QUARANTINE","hacker_or_bank_trigger",IF(AC13="PRIVATE_REVIEW","finance_risk_trigger","none"))</x:f>
        <x:v>none</x:v>
      </x:c>
      <x:c r="AE13" s="12" t="str">
        <x:f>IF(AC13="PUBLIC_CANDIDATE","prepare_public_github_candidate",IF(AC13="PRIVATE_REVIEW","hold_for_private_review","quarantine_private_do_not_publish"))</x:f>
        <x:v>prepare_public_github_candidate</x:v>
      </x:c>
      <x:c r="AF13" s="12" t="str">
        <x:f>IF(AC13="PUBLIC_CANDIDATE","TIDELOCK + Lucerna",IF(AC13="PRIVATE_REVIEW","AtlasBrain + Lucerna","TIDELOCK + Lucerna + Human-root"))</x:f>
        <x:v>TIDELOCK + Lucerna</x:v>
      </x:c>
      <x:c r="AG13" s="12" t="str">
        <x:f>IF(AND(AC13="PUBLIC_CANDIDATE",U13&lt;&gt;"BLOCKED_PENDING_RECEIPT"),"READY_AFTER_RECEIPT","NOT_READY")</x:f>
        <x:v>NOT_READY</x:v>
      </x:c>
      <x:c r="AH13" s="12" t="str">
        <x:f>IF(AC13="PUBLIC_CANDIDATE","none",AD13)</x:f>
        <x:v>none</x:v>
      </x:c>
      <x:c r="AI13" s="12" t="str">
        <x:f>IF(AC13="PUBLIC_CANDIDATE","archive/public_candidates/"&amp;A13,"private_quarantine/"&amp;A13)</x:f>
        <x:v>archive/public_candidates/SWARM-01-H01-S12</x:v>
      </x:c>
      <x:c r="AJ13" s="12" t="str">
        <x:f>IF(AC13="PUBLIC_CANDIDATE","public by default; still not canon","private/hold; do not publish")</x:f>
        <x:v>public by default; still not canon</x:v>
      </x:c>
      <x:c r="AK13" s="12" t="str">
        <x:f>IF(AE13="prepare_public_github_candidate","add receipt/status then mirror","resolve blocker before any public GitHub action")</x:f>
        <x:v>add receipt/status then mirror</x:v>
      </x:c>
    </x:row>
    <x:row r="14">
      <x:c r="A14" s="15" t="str">
        <x:v>SWARM-01-H02-S01</x:v>
      </x:c>
      <x:c r="B14" s="15" t="str">
        <x:v>Ledgerwake</x:v>
      </x:c>
      <x:c r="C14" s="15" t="str">
        <x:v>Source receipt keeper</x:v>
      </x:c>
      <x:c r="D14" s="15" t="str">
        <x:v>Receipt Verification</x:v>
      </x:c>
      <x:c r="E14" s="15" t="str">
        <x:v>Notion</x:v>
      </x:c>
      <x:c r="F14" s="15" t="str">
        <x:v>Verify receipts for Notion — Ledgerwake</x:v>
      </x:c>
      <x:c r="G14" s="15" t="str">
        <x:v>inventory / receipts / raw custody</x:v>
      </x:c>
      <x:c r="H14" s="15" t="str">
        <x:v>source path + receipt + raw/export status + claim/edge/risk delta</x:v>
      </x:c>
      <x:c r="I14" s="15" t="str">
        <x:v>packet/SWARM-01-H02-S01</x:v>
      </x:c>
      <x:c r="J14" s="15" t="str">
        <x:v>TODO</x:v>
      </x:c>
      <x:c r="K14" s="15" t="str">
        <x:v>P0</x:v>
      </x:c>
      <x:c r="L14" s="15" t="str">
        <x:v>Done only when evidence is logged, contradiction search is noted, and boundary stamp remains non-canon unless ratified</x:v>
      </x:c>
      <x:c r="M14" s="15" t="str">
        <x:v>candidate / staging-only / not canon / not deployed / authority none</x:v>
      </x:c>
      <x:c r="N14" s="15" t="str">
        <x:v>Dispatch to Ledgerwake: complete Receipt Verification x Notion; return deltas only, receipts required.</x:v>
      </x:c>
      <x:c r="O14" s="15" t="str">
        <x:v>AF-KG-H02-S01</x:v>
      </x:c>
      <x:c r="P14" s="15" t="str">
        <x:v>Unverified</x:v>
      </x:c>
      <x:c r="Q14" s="15" t="str">
        <x:v>Not checked</x:v>
      </x:c>
      <x:c r="R14" s="15" t="str"/>
      <x:c r="S14" s="15" t="str"/>
      <x:c r="T14" s="15" t="str">
        <x:v>Log first source path or blocker</x:v>
      </x:c>
      <x:c r="U14" s="12" t="str">
        <x:f>IF(OR(P14="Unverified",Q14="Not checked"),"BLOCKED_PENDING_RECEIPT","READY_FOR_REVIEW")</x:f>
        <x:v>BLOCKED_PENDING_RECEIPT</x:v>
      </x:c>
      <x:c r="V14" s="12" t="str">
        <x:f>IF(J14="DONE","RETURNED",IF(U14="BLOCKED_PENDING_RECEIPT","SOURCE_TOUCH_REQUIRED","IN_PROGRESS"))</x:f>
        <x:v>SOURCE_TOUCH_REQUIRED</x:v>
      </x:c>
      <x:c r="W14" s="12" t="str">
        <x:f>IF(P14="Unverified","missing_receipt","receipt_logged")</x:f>
        <x:v>missing_receipt</x:v>
      </x:c>
      <x:c r="X14" s="12" t="str">
        <x:f>IF(Q14="Not checked","raw_status_missing","raw_status_logged")</x:f>
        <x:v>raw_status_missing</x:v>
      </x:c>
      <x:c r="Y14" s="12" t="str">
        <x:f>IF(U14="BLOCKED_PENDING_RECEIPT","Log source path or blocker; do not promote","Route to review lane")</x:f>
        <x:v>Log source path or blocker; do not promote</x:v>
      </x:c>
      <x:c r="Z14" s="12" t="str">
        <x:f>IF(K14="P0","Primary seat + Hashlight/Lucerna","Seat lane")</x:f>
        <x:v>Primary seat + Hashlight/Lucerna</x:v>
      </x:c>
      <x:c r="AA14" s="12" t="str">
        <x:f>IF(R14="","no_claim_delta","claim_delta_present")</x:f>
        <x:v>no_claim_delta</x:v>
      </x:c>
      <x:c r="AB14" s="12" t="str">
        <x:f>IF(S14="","no_contradiction_delta","contradiction_delta_present")</x:f>
        <x:v>no_contradiction_delta</x:v>
      </x:c>
      <x:c r="AC14" s="12" t="str">
        <x:f>IF(OR(ISNUMBER(SEARCH("hacker",LOWER(F14&amp;" "&amp;H14&amp;" "&amp;I14&amp;" "&amp;M14&amp;" "&amp;N14&amp;" "&amp;T14))),ISNUMBER(SEARCH("hacking",LOWER(F14&amp;" "&amp;H14&amp;" "&amp;I14&amp;" "&amp;M14&amp;" "&amp;N14&amp;" "&amp;T14))),ISNUMBER(SEARCH("bank",LOWER(F14&amp;" "&amp;H14&amp;" "&amp;I14&amp;" "&amp;M14&amp;" "&amp;N14&amp;" "&amp;T14))),ISNUMBER(SEARCH("banking",LOWER(F14&amp;" "&amp;H14&amp;" "&amp;I14&amp;" "&amp;M14&amp;" "&amp;N14&amp;" "&amp;T14)))),"PRIVATE_QUARANTINE",IF(OR(ISNUMBER(SEARCH("treasury",LOWER(F14&amp;" "&amp;H14&amp;" "&amp;I14&amp;" "&amp;M14&amp;" "&amp;N14&amp;" "&amp;T14))),ISNUMBER(SEARCH("debt",LOWER(F14&amp;" "&amp;H14&amp;" "&amp;I14&amp;" "&amp;M14&amp;" "&amp;N14&amp;" "&amp;T14))),ISNUMBER(SEARCH("bond",LOWER(F14&amp;" "&amp;H14&amp;" "&amp;I14&amp;" "&amp;M14&amp;" "&amp;N14&amp;" "&amp;T14))),ISNUMBER(SEARCH("transaction",LOWER(F14&amp;" "&amp;H14&amp;" "&amp;I14&amp;" "&amp;M14&amp;" "&amp;N14&amp;" "&amp;T14)))),"PRIVATE_REVIEW","PUBLIC_CANDIDATE"))</x:f>
        <x:v>PUBLIC_CANDIDATE</x:v>
      </x:c>
      <x:c r="AD14" s="12" t="str">
        <x:f>IF(AC14="PRIVATE_QUARANTINE","hacker_or_bank_trigger",IF(AC14="PRIVATE_REVIEW","finance_risk_trigger","none"))</x:f>
        <x:v>none</x:v>
      </x:c>
      <x:c r="AE14" s="12" t="str">
        <x:f>IF(AC14="PUBLIC_CANDIDATE","prepare_public_github_candidate",IF(AC14="PRIVATE_REVIEW","hold_for_private_review","quarantine_private_do_not_publish"))</x:f>
        <x:v>prepare_public_github_candidate</x:v>
      </x:c>
      <x:c r="AF14" s="12" t="str">
        <x:f>IF(AC14="PUBLIC_CANDIDATE","TIDELOCK + Lucerna",IF(AC14="PRIVATE_REVIEW","AtlasBrain + Lucerna","TIDELOCK + Lucerna + Human-root"))</x:f>
        <x:v>TIDELOCK + Lucerna</x:v>
      </x:c>
      <x:c r="AG14" s="12" t="str">
        <x:f>IF(AND(AC14="PUBLIC_CANDIDATE",U14&lt;&gt;"BLOCKED_PENDING_RECEIPT"),"READY_AFTER_RECEIPT","NOT_READY")</x:f>
        <x:v>NOT_READY</x:v>
      </x:c>
      <x:c r="AH14" s="12" t="str">
        <x:f>IF(AC14="PUBLIC_CANDIDATE","none",AD14)</x:f>
        <x:v>none</x:v>
      </x:c>
      <x:c r="AI14" s="12" t="str">
        <x:f>IF(AC14="PUBLIC_CANDIDATE","archive/public_candidates/"&amp;A14,"private_quarantine/"&amp;A14)</x:f>
        <x:v>archive/public_candidates/SWARM-01-H02-S01</x:v>
      </x:c>
      <x:c r="AJ14" s="12" t="str">
        <x:f>IF(AC14="PUBLIC_CANDIDATE","public by default; still not canon","private/hold; do not publish")</x:f>
        <x:v>public by default; still not canon</x:v>
      </x:c>
      <x:c r="AK14" s="12" t="str">
        <x:f>IF(AE14="prepare_public_github_candidate","add receipt/status then mirror","resolve blocker before any public GitHub action")</x:f>
        <x:v>add receipt/status then mirror</x:v>
      </x:c>
    </x:row>
    <x:row r="15">
      <x:c r="A15" s="15" t="str">
        <x:v>SWARM-01-H02-S02</x:v>
      </x:c>
      <x:c r="B15" s="15" t="str">
        <x:v>Ledgerwake</x:v>
      </x:c>
      <x:c r="C15" s="15" t="str">
        <x:v>Source receipt keeper</x:v>
      </x:c>
      <x:c r="D15" s="15" t="str">
        <x:v>Receipt Verification</x:v>
      </x:c>
      <x:c r="E15" s="15" t="str">
        <x:v>Drive</x:v>
      </x:c>
      <x:c r="F15" s="15" t="str">
        <x:v>Verify receipts for Drive — Ledgerwake</x:v>
      </x:c>
      <x:c r="G15" s="15" t="str">
        <x:v>inventory / receipts / raw custody</x:v>
      </x:c>
      <x:c r="H15" s="15" t="str">
        <x:v>source path + receipt + raw/export status + claim/edge/risk delta</x:v>
      </x:c>
      <x:c r="I15" s="15" t="str">
        <x:v>packet/SWARM-01-H02-S02</x:v>
      </x:c>
      <x:c r="J15" s="15" t="str">
        <x:v>TODO</x:v>
      </x:c>
      <x:c r="K15" s="15" t="str">
        <x:v>P0</x:v>
      </x:c>
      <x:c r="L15" s="15" t="str">
        <x:v>Done only when evidence is logged, contradiction search is noted, and boundary stamp remains non-canon unless ratified</x:v>
      </x:c>
      <x:c r="M15" s="15" t="str">
        <x:v>candidate / staging-only / not canon / not deployed / authority none</x:v>
      </x:c>
      <x:c r="N15" s="15" t="str">
        <x:v>Dispatch to Ledgerwake: complete Receipt Verification x Drive; return deltas only, receipts required.</x:v>
      </x:c>
      <x:c r="O15" s="15" t="str">
        <x:v>AF-KG-H02-S02</x:v>
      </x:c>
      <x:c r="P15" s="15" t="str">
        <x:v>Unverified</x:v>
      </x:c>
      <x:c r="Q15" s="15" t="str">
        <x:v>Not checked</x:v>
      </x:c>
      <x:c r="R15" s="15" t="str"/>
      <x:c r="S15" s="15" t="str"/>
      <x:c r="T15" s="15" t="str">
        <x:v>Log first source path or blocker</x:v>
      </x:c>
      <x:c r="U15" s="12" t="str">
        <x:f>IF(OR(P15="Unverified",Q15="Not checked"),"BLOCKED_PENDING_RECEIPT","READY_FOR_REVIEW")</x:f>
        <x:v>BLOCKED_PENDING_RECEIPT</x:v>
      </x:c>
      <x:c r="V15" s="12" t="str">
        <x:f>IF(J15="DONE","RETURNED",IF(U15="BLOCKED_PENDING_RECEIPT","SOURCE_TOUCH_REQUIRED","IN_PROGRESS"))</x:f>
        <x:v>SOURCE_TOUCH_REQUIRED</x:v>
      </x:c>
      <x:c r="W15" s="12" t="str">
        <x:f>IF(P15="Unverified","missing_receipt","receipt_logged")</x:f>
        <x:v>missing_receipt</x:v>
      </x:c>
      <x:c r="X15" s="12" t="str">
        <x:f>IF(Q15="Not checked","raw_status_missing","raw_status_logged")</x:f>
        <x:v>raw_status_missing</x:v>
      </x:c>
      <x:c r="Y15" s="12" t="str">
        <x:f>IF(U15="BLOCKED_PENDING_RECEIPT","Log source path or blocker; do not promote","Route to review lane")</x:f>
        <x:v>Log source path or blocker; do not promote</x:v>
      </x:c>
      <x:c r="Z15" s="12" t="str">
        <x:f>IF(K15="P0","Primary seat + Hashlight/Lucerna","Seat lane")</x:f>
        <x:v>Primary seat + Hashlight/Lucerna</x:v>
      </x:c>
      <x:c r="AA15" s="12" t="str">
        <x:f>IF(R15="","no_claim_delta","claim_delta_present")</x:f>
        <x:v>no_claim_delta</x:v>
      </x:c>
      <x:c r="AB15" s="12" t="str">
        <x:f>IF(S15="","no_contradiction_delta","contradiction_delta_present")</x:f>
        <x:v>no_contradiction_delta</x:v>
      </x:c>
      <x:c r="AC15" s="12" t="str">
        <x:f>IF(OR(ISNUMBER(SEARCH("hacker",LOWER(F15&amp;" "&amp;H15&amp;" "&amp;I15&amp;" "&amp;M15&amp;" "&amp;N15&amp;" "&amp;T15))),ISNUMBER(SEARCH("hacking",LOWER(F15&amp;" "&amp;H15&amp;" "&amp;I15&amp;" "&amp;M15&amp;" "&amp;N15&amp;" "&amp;T15))),ISNUMBER(SEARCH("bank",LOWER(F15&amp;" "&amp;H15&amp;" "&amp;I15&amp;" "&amp;M15&amp;" "&amp;N15&amp;" "&amp;T15))),ISNUMBER(SEARCH("banking",LOWER(F15&amp;" "&amp;H15&amp;" "&amp;I15&amp;" "&amp;M15&amp;" "&amp;N15&amp;" "&amp;T15)))),"PRIVATE_QUARANTINE",IF(OR(ISNUMBER(SEARCH("treasury",LOWER(F15&amp;" "&amp;H15&amp;" "&amp;I15&amp;" "&amp;M15&amp;" "&amp;N15&amp;" "&amp;T15))),ISNUMBER(SEARCH("debt",LOWER(F15&amp;" "&amp;H15&amp;" "&amp;I15&amp;" "&amp;M15&amp;" "&amp;N15&amp;" "&amp;T15))),ISNUMBER(SEARCH("bond",LOWER(F15&amp;" "&amp;H15&amp;" "&amp;I15&amp;" "&amp;M15&amp;" "&amp;N15&amp;" "&amp;T15))),ISNUMBER(SEARCH("transaction",LOWER(F15&amp;" "&amp;H15&amp;" "&amp;I15&amp;" "&amp;M15&amp;" "&amp;N15&amp;" "&amp;T15)))),"PRIVATE_REVIEW","PUBLIC_CANDIDATE"))</x:f>
        <x:v>PUBLIC_CANDIDATE</x:v>
      </x:c>
      <x:c r="AD15" s="12" t="str">
        <x:f>IF(AC15="PRIVATE_QUARANTINE","hacker_or_bank_trigger",IF(AC15="PRIVATE_REVIEW","finance_risk_trigger","none"))</x:f>
        <x:v>none</x:v>
      </x:c>
      <x:c r="AE15" s="12" t="str">
        <x:f>IF(AC15="PUBLIC_CANDIDATE","prepare_public_github_candidate",IF(AC15="PRIVATE_REVIEW","hold_for_private_review","quarantine_private_do_not_publish"))</x:f>
        <x:v>prepare_public_github_candidate</x:v>
      </x:c>
      <x:c r="AF15" s="12" t="str">
        <x:f>IF(AC15="PUBLIC_CANDIDATE","TIDELOCK + Lucerna",IF(AC15="PRIVATE_REVIEW","AtlasBrain + Lucerna","TIDELOCK + Lucerna + Human-root"))</x:f>
        <x:v>TIDELOCK + Lucerna</x:v>
      </x:c>
      <x:c r="AG15" s="12" t="str">
        <x:f>IF(AND(AC15="PUBLIC_CANDIDATE",U15&lt;&gt;"BLOCKED_PENDING_RECEIPT"),"READY_AFTER_RECEIPT","NOT_READY")</x:f>
        <x:v>NOT_READY</x:v>
      </x:c>
      <x:c r="AH15" s="12" t="str">
        <x:f>IF(AC15="PUBLIC_CANDIDATE","none",AD15)</x:f>
        <x:v>none</x:v>
      </x:c>
      <x:c r="AI15" s="12" t="str">
        <x:f>IF(AC15="PUBLIC_CANDIDATE","archive/public_candidates/"&amp;A15,"private_quarantine/"&amp;A15)</x:f>
        <x:v>archive/public_candidates/SWARM-01-H02-S02</x:v>
      </x:c>
      <x:c r="AJ15" s="12" t="str">
        <x:f>IF(AC15="PUBLIC_CANDIDATE","public by default; still not canon","private/hold; do not publish")</x:f>
        <x:v>public by default; still not canon</x:v>
      </x:c>
      <x:c r="AK15" s="12" t="str">
        <x:f>IF(AE15="prepare_public_github_candidate","add receipt/status then mirror","resolve blocker before any public GitHub action")</x:f>
        <x:v>add receipt/status then mirror</x:v>
      </x:c>
    </x:row>
    <x:row r="16">
      <x:c r="A16" s="15" t="str">
        <x:v>SWARM-01-H02-S03</x:v>
      </x:c>
      <x:c r="B16" s="15" t="str">
        <x:v>Ledgerwake</x:v>
      </x:c>
      <x:c r="C16" s="15" t="str">
        <x:v>Source receipt keeper</x:v>
      </x:c>
      <x:c r="D16" s="15" t="str">
        <x:v>Receipt Verification</x:v>
      </x:c>
      <x:c r="E16" s="15" t="str">
        <x:v>GitHub</x:v>
      </x:c>
      <x:c r="F16" s="15" t="str">
        <x:v>Verify receipts for GitHub — Ledgerwake</x:v>
      </x:c>
      <x:c r="G16" s="15" t="str">
        <x:v>inventory / receipts / raw custody</x:v>
      </x:c>
      <x:c r="H16" s="15" t="str">
        <x:v>source path + receipt + raw/export status + claim/edge/risk delta</x:v>
      </x:c>
      <x:c r="I16" s="15" t="str">
        <x:v>packet/SWARM-01-H02-S03</x:v>
      </x:c>
      <x:c r="J16" s="15" t="str">
        <x:v>TODO</x:v>
      </x:c>
      <x:c r="K16" s="15" t="str">
        <x:v>P0</x:v>
      </x:c>
      <x:c r="L16" s="15" t="str">
        <x:v>Done only when evidence is logged, contradiction search is noted, and boundary stamp remains non-canon unless ratified</x:v>
      </x:c>
      <x:c r="M16" s="15" t="str">
        <x:v>candidate / staging-only / not canon / not deployed / authority none</x:v>
      </x:c>
      <x:c r="N16" s="15" t="str">
        <x:v>Dispatch to Ledgerwake: complete Receipt Verification x GitHub; return deltas only, receipts required.</x:v>
      </x:c>
      <x:c r="O16" s="15" t="str">
        <x:v>AF-KG-H02-S03</x:v>
      </x:c>
      <x:c r="P16" s="15" t="str">
        <x:v>Unverified</x:v>
      </x:c>
      <x:c r="Q16" s="15" t="str">
        <x:v>Not checked</x:v>
      </x:c>
      <x:c r="R16" s="15" t="str"/>
      <x:c r="S16" s="15" t="str"/>
      <x:c r="T16" s="15" t="str">
        <x:v>Log first source path or blocker</x:v>
      </x:c>
      <x:c r="U16" s="12" t="str">
        <x:f>IF(OR(P16="Unverified",Q16="Not checked"),"BLOCKED_PENDING_RECEIPT","READY_FOR_REVIEW")</x:f>
        <x:v>BLOCKED_PENDING_RECEIPT</x:v>
      </x:c>
      <x:c r="V16" s="12" t="str">
        <x:f>IF(J16="DONE","RETURNED",IF(U16="BLOCKED_PENDING_RECEIPT","SOURCE_TOUCH_REQUIRED","IN_PROGRESS"))</x:f>
        <x:v>SOURCE_TOUCH_REQUIRED</x:v>
      </x:c>
      <x:c r="W16" s="12" t="str">
        <x:f>IF(P16="Unverified","missing_receipt","receipt_logged")</x:f>
        <x:v>missing_receipt</x:v>
      </x:c>
      <x:c r="X16" s="12" t="str">
        <x:f>IF(Q16="Not checked","raw_status_missing","raw_status_logged")</x:f>
        <x:v>raw_status_missing</x:v>
      </x:c>
      <x:c r="Y16" s="12" t="str">
        <x:f>IF(U16="BLOCKED_PENDING_RECEIPT","Log source path or blocker; do not promote","Route to review lane")</x:f>
        <x:v>Log source path or blocker; do not promote</x:v>
      </x:c>
      <x:c r="Z16" s="12" t="str">
        <x:f>IF(K16="P0","Primary seat + Hashlight/Lucerna","Seat lane")</x:f>
        <x:v>Primary seat + Hashlight/Lucerna</x:v>
      </x:c>
      <x:c r="AA16" s="12" t="str">
        <x:f>IF(R16="","no_claim_delta","claim_delta_present")</x:f>
        <x:v>no_claim_delta</x:v>
      </x:c>
      <x:c r="AB16" s="12" t="str">
        <x:f>IF(S16="","no_contradiction_delta","contradiction_delta_present")</x:f>
        <x:v>no_contradiction_delta</x:v>
      </x:c>
      <x:c r="AC16" s="12" t="str">
        <x:f>IF(OR(ISNUMBER(SEARCH("hacker",LOWER(F16&amp;" "&amp;H16&amp;" "&amp;I16&amp;" "&amp;M16&amp;" "&amp;N16&amp;" "&amp;T16))),ISNUMBER(SEARCH("hacking",LOWER(F16&amp;" "&amp;H16&amp;" "&amp;I16&amp;" "&amp;M16&amp;" "&amp;N16&amp;" "&amp;T16))),ISNUMBER(SEARCH("bank",LOWER(F16&amp;" "&amp;H16&amp;" "&amp;I16&amp;" "&amp;M16&amp;" "&amp;N16&amp;" "&amp;T16))),ISNUMBER(SEARCH("banking",LOWER(F16&amp;" "&amp;H16&amp;" "&amp;I16&amp;" "&amp;M16&amp;" "&amp;N16&amp;" "&amp;T16)))),"PRIVATE_QUARANTINE",IF(OR(ISNUMBER(SEARCH("treasury",LOWER(F16&amp;" "&amp;H16&amp;" "&amp;I16&amp;" "&amp;M16&amp;" "&amp;N16&amp;" "&amp;T16))),ISNUMBER(SEARCH("debt",LOWER(F16&amp;" "&amp;H16&amp;" "&amp;I16&amp;" "&amp;M16&amp;" "&amp;N16&amp;" "&amp;T16))),ISNUMBER(SEARCH("bond",LOWER(F16&amp;" "&amp;H16&amp;" "&amp;I16&amp;" "&amp;M16&amp;" "&amp;N16&amp;" "&amp;T16))),ISNUMBER(SEARCH("transaction",LOWER(F16&amp;" "&amp;H16&amp;" "&amp;I16&amp;" "&amp;M16&amp;" "&amp;N16&amp;" "&amp;T16)))),"PRIVATE_REVIEW","PUBLIC_CANDIDATE"))</x:f>
        <x:v>PUBLIC_CANDIDATE</x:v>
      </x:c>
      <x:c r="AD16" s="12" t="str">
        <x:f>IF(AC16="PRIVATE_QUARANTINE","hacker_or_bank_trigger",IF(AC16="PRIVATE_REVIEW","finance_risk_trigger","none"))</x:f>
        <x:v>none</x:v>
      </x:c>
      <x:c r="AE16" s="12" t="str">
        <x:f>IF(AC16="PUBLIC_CANDIDATE","prepare_public_github_candidate",IF(AC16="PRIVATE_REVIEW","hold_for_private_review","quarantine_private_do_not_publish"))</x:f>
        <x:v>prepare_public_github_candidate</x:v>
      </x:c>
      <x:c r="AF16" s="12" t="str">
        <x:f>IF(AC16="PUBLIC_CANDIDATE","TIDELOCK + Lucerna",IF(AC16="PRIVATE_REVIEW","AtlasBrain + Lucerna","TIDELOCK + Lucerna + Human-root"))</x:f>
        <x:v>TIDELOCK + Lucerna</x:v>
      </x:c>
      <x:c r="AG16" s="12" t="str">
        <x:f>IF(AND(AC16="PUBLIC_CANDIDATE",U16&lt;&gt;"BLOCKED_PENDING_RECEIPT"),"READY_AFTER_RECEIPT","NOT_READY")</x:f>
        <x:v>NOT_READY</x:v>
      </x:c>
      <x:c r="AH16" s="12" t="str">
        <x:f>IF(AC16="PUBLIC_CANDIDATE","none",AD16)</x:f>
        <x:v>none</x:v>
      </x:c>
      <x:c r="AI16" s="12" t="str">
        <x:f>IF(AC16="PUBLIC_CANDIDATE","archive/public_candidates/"&amp;A16,"private_quarantine/"&amp;A16)</x:f>
        <x:v>archive/public_candidates/SWARM-01-H02-S03</x:v>
      </x:c>
      <x:c r="AJ16" s="12" t="str">
        <x:f>IF(AC16="PUBLIC_CANDIDATE","public by default; still not canon","private/hold; do not publish")</x:f>
        <x:v>public by default; still not canon</x:v>
      </x:c>
      <x:c r="AK16" s="12" t="str">
        <x:f>IF(AE16="prepare_public_github_candidate","add receipt/status then mirror","resolve blocker before any public GitHub action")</x:f>
        <x:v>add receipt/status then mirror</x:v>
      </x:c>
    </x:row>
    <x:row r="17">
      <x:c r="A17" s="15" t="str">
        <x:v>SWARM-01-H02-S04</x:v>
      </x:c>
      <x:c r="B17" s="15" t="str">
        <x:v>Ledgerwake</x:v>
      </x:c>
      <x:c r="C17" s="15" t="str">
        <x:v>Source receipt keeper</x:v>
      </x:c>
      <x:c r="D17" s="15" t="str">
        <x:v>Receipt Verification</x:v>
      </x:c>
      <x:c r="E17" s="15" t="str">
        <x:v>Gamma</x:v>
      </x:c>
      <x:c r="F17" s="15" t="str">
        <x:v>Verify receipts for Gamma — Ledgerwake</x:v>
      </x:c>
      <x:c r="G17" s="15" t="str">
        <x:v>inventory / receipts / raw custody</x:v>
      </x:c>
      <x:c r="H17" s="15" t="str">
        <x:v>source path + receipt + raw/export status + claim/edge/risk delta</x:v>
      </x:c>
      <x:c r="I17" s="15" t="str">
        <x:v>packet/SWARM-01-H02-S04</x:v>
      </x:c>
      <x:c r="J17" s="15" t="str">
        <x:v>TODO</x:v>
      </x:c>
      <x:c r="K17" s="15" t="str">
        <x:v>P1</x:v>
      </x:c>
      <x:c r="L17" s="15" t="str">
        <x:v>Done only when evidence is logged, contradiction search is noted, and boundary stamp remains non-canon unless ratified</x:v>
      </x:c>
      <x:c r="M17" s="15" t="str">
        <x:v>candidate / staging-only / not canon / not deployed / authority none</x:v>
      </x:c>
      <x:c r="N17" s="15" t="str">
        <x:v>Dispatch to Ledgerwake: complete Receipt Verification x Gamma; return deltas only, receipts required.</x:v>
      </x:c>
      <x:c r="O17" s="15" t="str">
        <x:v>AF-KG-H02-S04</x:v>
      </x:c>
      <x:c r="P17" s="15" t="str">
        <x:v>Unverified</x:v>
      </x:c>
      <x:c r="Q17" s="15" t="str">
        <x:v>Not checked</x:v>
      </x:c>
      <x:c r="R17" s="15" t="str"/>
      <x:c r="S17" s="15" t="str"/>
      <x:c r="T17" s="15" t="str">
        <x:v>Log first source path or blocker</x:v>
      </x:c>
      <x:c r="U17" s="12" t="str">
        <x:f>IF(OR(P17="Unverified",Q17="Not checked"),"BLOCKED_PENDING_RECEIPT","READY_FOR_REVIEW")</x:f>
        <x:v>BLOCKED_PENDING_RECEIPT</x:v>
      </x:c>
      <x:c r="V17" s="12" t="str">
        <x:f>IF(J17="DONE","RETURNED",IF(U17="BLOCKED_PENDING_RECEIPT","SOURCE_TOUCH_REQUIRED","IN_PROGRESS"))</x:f>
        <x:v>SOURCE_TOUCH_REQUIRED</x:v>
      </x:c>
      <x:c r="W17" s="12" t="str">
        <x:f>IF(P17="Unverified","missing_receipt","receipt_logged")</x:f>
        <x:v>missing_receipt</x:v>
      </x:c>
      <x:c r="X17" s="12" t="str">
        <x:f>IF(Q17="Not checked","raw_status_missing","raw_status_logged")</x:f>
        <x:v>raw_status_missing</x:v>
      </x:c>
      <x:c r="Y17" s="12" t="str">
        <x:f>IF(U17="BLOCKED_PENDING_RECEIPT","Log source path or blocker; do not promote","Route to review lane")</x:f>
        <x:v>Log source path or blocker; do not promote</x:v>
      </x:c>
      <x:c r="Z17" s="12" t="str">
        <x:f>IF(K17="P0","Primary seat + Hashlight/Lucerna","Seat lane")</x:f>
        <x:v>Seat lane</x:v>
      </x:c>
      <x:c r="AA17" s="12" t="str">
        <x:f>IF(R17="","no_claim_delta","claim_delta_present")</x:f>
        <x:v>no_claim_delta</x:v>
      </x:c>
      <x:c r="AB17" s="12" t="str">
        <x:f>IF(S17="","no_contradiction_delta","contradiction_delta_present")</x:f>
        <x:v>no_contradiction_delta</x:v>
      </x:c>
      <x:c r="AC17" s="12" t="str">
        <x:f>IF(OR(ISNUMBER(SEARCH("hacker",LOWER(F17&amp;" "&amp;H17&amp;" "&amp;I17&amp;" "&amp;M17&amp;" "&amp;N17&amp;" "&amp;T17))),ISNUMBER(SEARCH("hacking",LOWER(F17&amp;" "&amp;H17&amp;" "&amp;I17&amp;" "&amp;M17&amp;" "&amp;N17&amp;" "&amp;T17))),ISNUMBER(SEARCH("bank",LOWER(F17&amp;" "&amp;H17&amp;" "&amp;I17&amp;" "&amp;M17&amp;" "&amp;N17&amp;" "&amp;T17))),ISNUMBER(SEARCH("banking",LOWER(F17&amp;" "&amp;H17&amp;" "&amp;I17&amp;" "&amp;M17&amp;" "&amp;N17&amp;" "&amp;T17)))),"PRIVATE_QUARANTINE",IF(OR(ISNUMBER(SEARCH("treasury",LOWER(F17&amp;" "&amp;H17&amp;" "&amp;I17&amp;" "&amp;M17&amp;" "&amp;N17&amp;" "&amp;T17))),ISNUMBER(SEARCH("debt",LOWER(F17&amp;" "&amp;H17&amp;" "&amp;I17&amp;" "&amp;M17&amp;" "&amp;N17&amp;" "&amp;T17))),ISNUMBER(SEARCH("bond",LOWER(F17&amp;" "&amp;H17&amp;" "&amp;I17&amp;" "&amp;M17&amp;" "&amp;N17&amp;" "&amp;T17))),ISNUMBER(SEARCH("transaction",LOWER(F17&amp;" "&amp;H17&amp;" "&amp;I17&amp;" "&amp;M17&amp;" "&amp;N17&amp;" "&amp;T17)))),"PRIVATE_REVIEW","PUBLIC_CANDIDATE"))</x:f>
        <x:v>PUBLIC_CANDIDATE</x:v>
      </x:c>
      <x:c r="AD17" s="12" t="str">
        <x:f>IF(AC17="PRIVATE_QUARANTINE","hacker_or_bank_trigger",IF(AC17="PRIVATE_REVIEW","finance_risk_trigger","none"))</x:f>
        <x:v>none</x:v>
      </x:c>
      <x:c r="AE17" s="12" t="str">
        <x:f>IF(AC17="PUBLIC_CANDIDATE","prepare_public_github_candidate",IF(AC17="PRIVATE_REVIEW","hold_for_private_review","quarantine_private_do_not_publish"))</x:f>
        <x:v>prepare_public_github_candidate</x:v>
      </x:c>
      <x:c r="AF17" s="12" t="str">
        <x:f>IF(AC17="PUBLIC_CANDIDATE","TIDELOCK + Lucerna",IF(AC17="PRIVATE_REVIEW","AtlasBrain + Lucerna","TIDELOCK + Lucerna + Human-root"))</x:f>
        <x:v>TIDELOCK + Lucerna</x:v>
      </x:c>
      <x:c r="AG17" s="12" t="str">
        <x:f>IF(AND(AC17="PUBLIC_CANDIDATE",U17&lt;&gt;"BLOCKED_PENDING_RECEIPT"),"READY_AFTER_RECEIPT","NOT_READY")</x:f>
        <x:v>NOT_READY</x:v>
      </x:c>
      <x:c r="AH17" s="12" t="str">
        <x:f>IF(AC17="PUBLIC_CANDIDATE","none",AD17)</x:f>
        <x:v>none</x:v>
      </x:c>
      <x:c r="AI17" s="12" t="str">
        <x:f>IF(AC17="PUBLIC_CANDIDATE","archive/public_candidates/"&amp;A17,"private_quarantine/"&amp;A17)</x:f>
        <x:v>archive/public_candidates/SWARM-01-H02-S04</x:v>
      </x:c>
      <x:c r="AJ17" s="12" t="str">
        <x:f>IF(AC17="PUBLIC_CANDIDATE","public by default; still not canon","private/hold; do not publish")</x:f>
        <x:v>public by default; still not canon</x:v>
      </x:c>
      <x:c r="AK17" s="12" t="str">
        <x:f>IF(AE17="prepare_public_github_candidate","add receipt/status then mirror","resolve blocker before any public GitHub action")</x:f>
        <x:v>add receipt/status then mirror</x:v>
      </x:c>
    </x:row>
    <x:row r="18">
      <x:c r="A18" s="15" t="str">
        <x:v>SWARM-01-H02-S05</x:v>
      </x:c>
      <x:c r="B18" s="15" t="str">
        <x:v>Ledgerwake</x:v>
      </x:c>
      <x:c r="C18" s="15" t="str">
        <x:v>Source receipt keeper</x:v>
      </x:c>
      <x:c r="D18" s="15" t="str">
        <x:v>Receipt Verification</x:v>
      </x:c>
      <x:c r="E18" s="15" t="str">
        <x:v>Chat</x:v>
      </x:c>
      <x:c r="F18" s="15" t="str">
        <x:v>Verify receipts for Chat — Ledgerwake</x:v>
      </x:c>
      <x:c r="G18" s="15" t="str">
        <x:v>inventory / receipts / raw custody</x:v>
      </x:c>
      <x:c r="H18" s="15" t="str">
        <x:v>source path + receipt + raw/export status + claim/edge/risk delta</x:v>
      </x:c>
      <x:c r="I18" s="15" t="str">
        <x:v>packet/SWARM-01-H02-S05</x:v>
      </x:c>
      <x:c r="J18" s="15" t="str">
        <x:v>TODO</x:v>
      </x:c>
      <x:c r="K18" s="15" t="str">
        <x:v>P1</x:v>
      </x:c>
      <x:c r="L18" s="15" t="str">
        <x:v>Done only when evidence is logged, contradiction search is noted, and boundary stamp remains non-canon unless ratified</x:v>
      </x:c>
      <x:c r="M18" s="15" t="str">
        <x:v>candidate / staging-only / not canon / not deployed / authority none</x:v>
      </x:c>
      <x:c r="N18" s="15" t="str">
        <x:v>Dispatch to Ledgerwake: complete Receipt Verification x Chat; return deltas only, receipts required.</x:v>
      </x:c>
      <x:c r="O18" s="15" t="str">
        <x:v>AF-KG-H02-S05</x:v>
      </x:c>
      <x:c r="P18" s="15" t="str">
        <x:v>Unverified</x:v>
      </x:c>
      <x:c r="Q18" s="15" t="str">
        <x:v>Not checked</x:v>
      </x:c>
      <x:c r="R18" s="15" t="str"/>
      <x:c r="S18" s="15" t="str"/>
      <x:c r="T18" s="15" t="str">
        <x:v>Log first source path or blocker</x:v>
      </x:c>
      <x:c r="U18" s="12" t="str">
        <x:f>IF(OR(P18="Unverified",Q18="Not checked"),"BLOCKED_PENDING_RECEIPT","READY_FOR_REVIEW")</x:f>
        <x:v>BLOCKED_PENDING_RECEIPT</x:v>
      </x:c>
      <x:c r="V18" s="12" t="str">
        <x:f>IF(J18="DONE","RETURNED",IF(U18="BLOCKED_PENDING_RECEIPT","SOURCE_TOUCH_REQUIRED","IN_PROGRESS"))</x:f>
        <x:v>SOURCE_TOUCH_REQUIRED</x:v>
      </x:c>
      <x:c r="W18" s="12" t="str">
        <x:f>IF(P18="Unverified","missing_receipt","receipt_logged")</x:f>
        <x:v>missing_receipt</x:v>
      </x:c>
      <x:c r="X18" s="12" t="str">
        <x:f>IF(Q18="Not checked","raw_status_missing","raw_status_logged")</x:f>
        <x:v>raw_status_missing</x:v>
      </x:c>
      <x:c r="Y18" s="12" t="str">
        <x:f>IF(U18="BLOCKED_PENDING_RECEIPT","Log source path or blocker; do not promote","Route to review lane")</x:f>
        <x:v>Log source path or blocker; do not promote</x:v>
      </x:c>
      <x:c r="Z18" s="12" t="str">
        <x:f>IF(K18="P0","Primary seat + Hashlight/Lucerna","Seat lane")</x:f>
        <x:v>Seat lane</x:v>
      </x:c>
      <x:c r="AA18" s="12" t="str">
        <x:f>IF(R18="","no_claim_delta","claim_delta_present")</x:f>
        <x:v>no_claim_delta</x:v>
      </x:c>
      <x:c r="AB18" s="12" t="str">
        <x:f>IF(S18="","no_contradiction_delta","contradiction_delta_present")</x:f>
        <x:v>no_contradiction_delta</x:v>
      </x:c>
      <x:c r="AC18" s="12" t="str">
        <x:f>IF(OR(ISNUMBER(SEARCH("hacker",LOWER(F18&amp;" "&amp;H18&amp;" "&amp;I18&amp;" "&amp;M18&amp;" "&amp;N18&amp;" "&amp;T18))),ISNUMBER(SEARCH("hacking",LOWER(F18&amp;" "&amp;H18&amp;" "&amp;I18&amp;" "&amp;M18&amp;" "&amp;N18&amp;" "&amp;T18))),ISNUMBER(SEARCH("bank",LOWER(F18&amp;" "&amp;H18&amp;" "&amp;I18&amp;" "&amp;M18&amp;" "&amp;N18&amp;" "&amp;T18))),ISNUMBER(SEARCH("banking",LOWER(F18&amp;" "&amp;H18&amp;" "&amp;I18&amp;" "&amp;M18&amp;" "&amp;N18&amp;" "&amp;T18)))),"PRIVATE_QUARANTINE",IF(OR(ISNUMBER(SEARCH("treasury",LOWER(F18&amp;" "&amp;H18&amp;" "&amp;I18&amp;" "&amp;M18&amp;" "&amp;N18&amp;" "&amp;T18))),ISNUMBER(SEARCH("debt",LOWER(F18&amp;" "&amp;H18&amp;" "&amp;I18&amp;" "&amp;M18&amp;" "&amp;N18&amp;" "&amp;T18))),ISNUMBER(SEARCH("bond",LOWER(F18&amp;" "&amp;H18&amp;" "&amp;I18&amp;" "&amp;M18&amp;" "&amp;N18&amp;" "&amp;T18))),ISNUMBER(SEARCH("transaction",LOWER(F18&amp;" "&amp;H18&amp;" "&amp;I18&amp;" "&amp;M18&amp;" "&amp;N18&amp;" "&amp;T18)))),"PRIVATE_REVIEW","PUBLIC_CANDIDATE"))</x:f>
        <x:v>PUBLIC_CANDIDATE</x:v>
      </x:c>
      <x:c r="AD18" s="12" t="str">
        <x:f>IF(AC18="PRIVATE_QUARANTINE","hacker_or_bank_trigger",IF(AC18="PRIVATE_REVIEW","finance_risk_trigger","none"))</x:f>
        <x:v>none</x:v>
      </x:c>
      <x:c r="AE18" s="12" t="str">
        <x:f>IF(AC18="PUBLIC_CANDIDATE","prepare_public_github_candidate",IF(AC18="PRIVATE_REVIEW","hold_for_private_review","quarantine_private_do_not_publish"))</x:f>
        <x:v>prepare_public_github_candidate</x:v>
      </x:c>
      <x:c r="AF18" s="12" t="str">
        <x:f>IF(AC18="PUBLIC_CANDIDATE","TIDELOCK + Lucerna",IF(AC18="PRIVATE_REVIEW","AtlasBrain + Lucerna","TIDELOCK + Lucerna + Human-root"))</x:f>
        <x:v>TIDELOCK + Lucerna</x:v>
      </x:c>
      <x:c r="AG18" s="12" t="str">
        <x:f>IF(AND(AC18="PUBLIC_CANDIDATE",U18&lt;&gt;"BLOCKED_PENDING_RECEIPT"),"READY_AFTER_RECEIPT","NOT_READY")</x:f>
        <x:v>NOT_READY</x:v>
      </x:c>
      <x:c r="AH18" s="12" t="str">
        <x:f>IF(AC18="PUBLIC_CANDIDATE","none",AD18)</x:f>
        <x:v>none</x:v>
      </x:c>
      <x:c r="AI18" s="12" t="str">
        <x:f>IF(AC18="PUBLIC_CANDIDATE","archive/public_candidates/"&amp;A18,"private_quarantine/"&amp;A18)</x:f>
        <x:v>archive/public_candidates/SWARM-01-H02-S05</x:v>
      </x:c>
      <x:c r="AJ18" s="12" t="str">
        <x:f>IF(AC18="PUBLIC_CANDIDATE","public by default; still not canon","private/hold; do not publish")</x:f>
        <x:v>public by default; still not canon</x:v>
      </x:c>
      <x:c r="AK18" s="12" t="str">
        <x:f>IF(AE18="prepare_public_github_candidate","add receipt/status then mirror","resolve blocker before any public GitHub action")</x:f>
        <x:v>add receipt/status then mirror</x:v>
      </x:c>
    </x:row>
    <x:row r="19">
      <x:c r="A19" s="15" t="str">
        <x:v>SWARM-01-H02-S06</x:v>
      </x:c>
      <x:c r="B19" s="15" t="str">
        <x:v>Ledgerwake</x:v>
      </x:c>
      <x:c r="C19" s="15" t="str">
        <x:v>Source receipt keeper</x:v>
      </x:c>
      <x:c r="D19" s="15" t="str">
        <x:v>Receipt Verification</x:v>
      </x:c>
      <x:c r="E19" s="15" t="str">
        <x:v>External Web</x:v>
      </x:c>
      <x:c r="F19" s="15" t="str">
        <x:v>Verify receipts for External Web — Ledgerwake</x:v>
      </x:c>
      <x:c r="G19" s="15" t="str">
        <x:v>inventory / receipts / raw custody</x:v>
      </x:c>
      <x:c r="H19" s="15" t="str">
        <x:v>source path + receipt + raw/export status + claim/edge/risk delta</x:v>
      </x:c>
      <x:c r="I19" s="15" t="str">
        <x:v>packet/SWARM-01-H02-S06</x:v>
      </x:c>
      <x:c r="J19" s="15" t="str">
        <x:v>TODO</x:v>
      </x:c>
      <x:c r="K19" s="15" t="str">
        <x:v>P1</x:v>
      </x:c>
      <x:c r="L19" s="15" t="str">
        <x:v>Done only when evidence is logged, contradiction search is noted, and boundary stamp remains non-canon unless ratified</x:v>
      </x:c>
      <x:c r="M19" s="15" t="str">
        <x:v>candidate / staging-only / not canon / not deployed / authority none</x:v>
      </x:c>
      <x:c r="N19" s="15" t="str">
        <x:v>Dispatch to Ledgerwake: complete Receipt Verification x External Web; return deltas only, receipts required.</x:v>
      </x:c>
      <x:c r="O19" s="15" t="str">
        <x:v>AF-KG-H02-S06</x:v>
      </x:c>
      <x:c r="P19" s="15" t="str">
        <x:v>Unverified</x:v>
      </x:c>
      <x:c r="Q19" s="15" t="str">
        <x:v>Not checked</x:v>
      </x:c>
      <x:c r="R19" s="15" t="str"/>
      <x:c r="S19" s="15" t="str"/>
      <x:c r="T19" s="15" t="str">
        <x:v>Log first source path or blocker</x:v>
      </x:c>
      <x:c r="U19" s="12" t="str">
        <x:f>IF(OR(P19="Unverified",Q19="Not checked"),"BLOCKED_PENDING_RECEIPT","READY_FOR_REVIEW")</x:f>
        <x:v>BLOCKED_PENDING_RECEIPT</x:v>
      </x:c>
      <x:c r="V19" s="12" t="str">
        <x:f>IF(J19="DONE","RETURNED",IF(U19="BLOCKED_PENDING_RECEIPT","SOURCE_TOUCH_REQUIRED","IN_PROGRESS"))</x:f>
        <x:v>SOURCE_TOUCH_REQUIRED</x:v>
      </x:c>
      <x:c r="W19" s="12" t="str">
        <x:f>IF(P19="Unverified","missing_receipt","receipt_logged")</x:f>
        <x:v>missing_receipt</x:v>
      </x:c>
      <x:c r="X19" s="12" t="str">
        <x:f>IF(Q19="Not checked","raw_status_missing","raw_status_logged")</x:f>
        <x:v>raw_status_missing</x:v>
      </x:c>
      <x:c r="Y19" s="12" t="str">
        <x:f>IF(U19="BLOCKED_PENDING_RECEIPT","Log source path or blocker; do not promote","Route to review lane")</x:f>
        <x:v>Log source path or blocker; do not promote</x:v>
      </x:c>
      <x:c r="Z19" s="12" t="str">
        <x:f>IF(K19="P0","Primary seat + Hashlight/Lucerna","Seat lane")</x:f>
        <x:v>Seat lane</x:v>
      </x:c>
      <x:c r="AA19" s="12" t="str">
        <x:f>IF(R19="","no_claim_delta","claim_delta_present")</x:f>
        <x:v>no_claim_delta</x:v>
      </x:c>
      <x:c r="AB19" s="12" t="str">
        <x:f>IF(S19="","no_contradiction_delta","contradiction_delta_present")</x:f>
        <x:v>no_contradiction_delta</x:v>
      </x:c>
      <x:c r="AC19" s="12" t="str">
        <x:f>IF(OR(ISNUMBER(SEARCH("hacker",LOWER(F19&amp;" "&amp;H19&amp;" "&amp;I19&amp;" "&amp;M19&amp;" "&amp;N19&amp;" "&amp;T19))),ISNUMBER(SEARCH("hacking",LOWER(F19&amp;" "&amp;H19&amp;" "&amp;I19&amp;" "&amp;M19&amp;" "&amp;N19&amp;" "&amp;T19))),ISNUMBER(SEARCH("bank",LOWER(F19&amp;" "&amp;H19&amp;" "&amp;I19&amp;" "&amp;M19&amp;" "&amp;N19&amp;" "&amp;T19))),ISNUMBER(SEARCH("banking",LOWER(F19&amp;" "&amp;H19&amp;" "&amp;I19&amp;" "&amp;M19&amp;" "&amp;N19&amp;" "&amp;T19)))),"PRIVATE_QUARANTINE",IF(OR(ISNUMBER(SEARCH("treasury",LOWER(F19&amp;" "&amp;H19&amp;" "&amp;I19&amp;" "&amp;M19&amp;" "&amp;N19&amp;" "&amp;T19))),ISNUMBER(SEARCH("debt",LOWER(F19&amp;" "&amp;H19&amp;" "&amp;I19&amp;" "&amp;M19&amp;" "&amp;N19&amp;" "&amp;T19))),ISNUMBER(SEARCH("bond",LOWER(F19&amp;" "&amp;H19&amp;" "&amp;I19&amp;" "&amp;M19&amp;" "&amp;N19&amp;" "&amp;T19))),ISNUMBER(SEARCH("transaction",LOWER(F19&amp;" "&amp;H19&amp;" "&amp;I19&amp;" "&amp;M19&amp;" "&amp;N19&amp;" "&amp;T19)))),"PRIVATE_REVIEW","PUBLIC_CANDIDATE"))</x:f>
        <x:v>PUBLIC_CANDIDATE</x:v>
      </x:c>
      <x:c r="AD19" s="12" t="str">
        <x:f>IF(AC19="PRIVATE_QUARANTINE","hacker_or_bank_trigger",IF(AC19="PRIVATE_REVIEW","finance_risk_trigger","none"))</x:f>
        <x:v>none</x:v>
      </x:c>
      <x:c r="AE19" s="12" t="str">
        <x:f>IF(AC19="PUBLIC_CANDIDATE","prepare_public_github_candidate",IF(AC19="PRIVATE_REVIEW","hold_for_private_review","quarantine_private_do_not_publish"))</x:f>
        <x:v>prepare_public_github_candidate</x:v>
      </x:c>
      <x:c r="AF19" s="12" t="str">
        <x:f>IF(AC19="PUBLIC_CANDIDATE","TIDELOCK + Lucerna",IF(AC19="PRIVATE_REVIEW","AtlasBrain + Lucerna","TIDELOCK + Lucerna + Human-root"))</x:f>
        <x:v>TIDELOCK + Lucerna</x:v>
      </x:c>
      <x:c r="AG19" s="12" t="str">
        <x:f>IF(AND(AC19="PUBLIC_CANDIDATE",U19&lt;&gt;"BLOCKED_PENDING_RECEIPT"),"READY_AFTER_RECEIPT","NOT_READY")</x:f>
        <x:v>NOT_READY</x:v>
      </x:c>
      <x:c r="AH19" s="12" t="str">
        <x:f>IF(AC19="PUBLIC_CANDIDATE","none",AD19)</x:f>
        <x:v>none</x:v>
      </x:c>
      <x:c r="AI19" s="12" t="str">
        <x:f>IF(AC19="PUBLIC_CANDIDATE","archive/public_candidates/"&amp;A19,"private_quarantine/"&amp;A19)</x:f>
        <x:v>archive/public_candidates/SWARM-01-H02-S06</x:v>
      </x:c>
      <x:c r="AJ19" s="12" t="str">
        <x:f>IF(AC19="PUBLIC_CANDIDATE","public by default; still not canon","private/hold; do not publish")</x:f>
        <x:v>public by default; still not canon</x:v>
      </x:c>
      <x:c r="AK19" s="12" t="str">
        <x:f>IF(AE19="prepare_public_github_candidate","add receipt/status then mirror","resolve blocker before any public GitHub action")</x:f>
        <x:v>add receipt/status then mirror</x:v>
      </x:c>
    </x:row>
    <x:row r="20">
      <x:c r="A20" s="15" t="str">
        <x:v>SWARM-01-H02-S07</x:v>
      </x:c>
      <x:c r="B20" s="15" t="str">
        <x:v>Ledgerwake</x:v>
      </x:c>
      <x:c r="C20" s="15" t="str">
        <x:v>Source receipt keeper</x:v>
      </x:c>
      <x:c r="D20" s="15" t="str">
        <x:v>Receipt Verification</x:v>
      </x:c>
      <x:c r="E20" s="15" t="str">
        <x:v>Planetarium</x:v>
      </x:c>
      <x:c r="F20" s="15" t="str">
        <x:v>Verify receipts for Planetarium — Ledgerwake</x:v>
      </x:c>
      <x:c r="G20" s="15" t="str">
        <x:v>inventory / receipts / raw custody</x:v>
      </x:c>
      <x:c r="H20" s="15" t="str">
        <x:v>source path + receipt + raw/export status + claim/edge/risk delta</x:v>
      </x:c>
      <x:c r="I20" s="15" t="str">
        <x:v>packet/SWARM-01-H02-S07</x:v>
      </x:c>
      <x:c r="J20" s="15" t="str">
        <x:v>TODO</x:v>
      </x:c>
      <x:c r="K20" s="15" t="str">
        <x:v>P1</x:v>
      </x:c>
      <x:c r="L20" s="15" t="str">
        <x:v>Done only when evidence is logged, contradiction search is noted, and boundary stamp remains non-canon unless ratified</x:v>
      </x:c>
      <x:c r="M20" s="15" t="str">
        <x:v>candidate / staging-only / not canon / not deployed / authority none</x:v>
      </x:c>
      <x:c r="N20" s="15" t="str">
        <x:v>Dispatch to Ledgerwake: complete Receipt Verification x Planetarium; return deltas only, receipts required.</x:v>
      </x:c>
      <x:c r="O20" s="15" t="str">
        <x:v>AF-KG-H02-S07</x:v>
      </x:c>
      <x:c r="P20" s="15" t="str">
        <x:v>Unverified</x:v>
      </x:c>
      <x:c r="Q20" s="15" t="str">
        <x:v>Not checked</x:v>
      </x:c>
      <x:c r="R20" s="15" t="str"/>
      <x:c r="S20" s="15" t="str"/>
      <x:c r="T20" s="15" t="str">
        <x:v>Log first source path or blocker</x:v>
      </x:c>
      <x:c r="U20" s="12" t="str">
        <x:f>IF(OR(P20="Unverified",Q20="Not checked"),"BLOCKED_PENDING_RECEIPT","READY_FOR_REVIEW")</x:f>
        <x:v>BLOCKED_PENDING_RECEIPT</x:v>
      </x:c>
      <x:c r="V20" s="12" t="str">
        <x:f>IF(J20="DONE","RETURNED",IF(U20="BLOCKED_PENDING_RECEIPT","SOURCE_TOUCH_REQUIRED","IN_PROGRESS"))</x:f>
        <x:v>SOURCE_TOUCH_REQUIRED</x:v>
      </x:c>
      <x:c r="W20" s="12" t="str">
        <x:f>IF(P20="Unverified","missing_receipt","receipt_logged")</x:f>
        <x:v>missing_receipt</x:v>
      </x:c>
      <x:c r="X20" s="12" t="str">
        <x:f>IF(Q20="Not checked","raw_status_missing","raw_status_logged")</x:f>
        <x:v>raw_status_missing</x:v>
      </x:c>
      <x:c r="Y20" s="12" t="str">
        <x:f>IF(U20="BLOCKED_PENDING_RECEIPT","Log source path or blocker; do not promote","Route to review lane")</x:f>
        <x:v>Log source path or blocker; do not promote</x:v>
      </x:c>
      <x:c r="Z20" s="12" t="str">
        <x:f>IF(K20="P0","Primary seat + Hashlight/Lucerna","Seat lane")</x:f>
        <x:v>Seat lane</x:v>
      </x:c>
      <x:c r="AA20" s="12" t="str">
        <x:f>IF(R20="","no_claim_delta","claim_delta_present")</x:f>
        <x:v>no_claim_delta</x:v>
      </x:c>
      <x:c r="AB20" s="12" t="str">
        <x:f>IF(S20="","no_contradiction_delta","contradiction_delta_present")</x:f>
        <x:v>no_contradiction_delta</x:v>
      </x:c>
      <x:c r="AC20" s="12" t="str">
        <x:f>IF(OR(ISNUMBER(SEARCH("hacker",LOWER(F20&amp;" "&amp;H20&amp;" "&amp;I20&amp;" "&amp;M20&amp;" "&amp;N20&amp;" "&amp;T20))),ISNUMBER(SEARCH("hacking",LOWER(F20&amp;" "&amp;H20&amp;" "&amp;I20&amp;" "&amp;M20&amp;" "&amp;N20&amp;" "&amp;T20))),ISNUMBER(SEARCH("bank",LOWER(F20&amp;" "&amp;H20&amp;" "&amp;I20&amp;" "&amp;M20&amp;" "&amp;N20&amp;" "&amp;T20))),ISNUMBER(SEARCH("banking",LOWER(F20&amp;" "&amp;H20&amp;" "&amp;I20&amp;" "&amp;M20&amp;" "&amp;N20&amp;" "&amp;T20)))),"PRIVATE_QUARANTINE",IF(OR(ISNUMBER(SEARCH("treasury",LOWER(F20&amp;" "&amp;H20&amp;" "&amp;I20&amp;" "&amp;M20&amp;" "&amp;N20&amp;" "&amp;T20))),ISNUMBER(SEARCH("debt",LOWER(F20&amp;" "&amp;H20&amp;" "&amp;I20&amp;" "&amp;M20&amp;" "&amp;N20&amp;" "&amp;T20))),ISNUMBER(SEARCH("bond",LOWER(F20&amp;" "&amp;H20&amp;" "&amp;I20&amp;" "&amp;M20&amp;" "&amp;N20&amp;" "&amp;T20))),ISNUMBER(SEARCH("transaction",LOWER(F20&amp;" "&amp;H20&amp;" "&amp;I20&amp;" "&amp;M20&amp;" "&amp;N20&amp;" "&amp;T20)))),"PRIVATE_REVIEW","PUBLIC_CANDIDATE"))</x:f>
        <x:v>PUBLIC_CANDIDATE</x:v>
      </x:c>
      <x:c r="AD20" s="12" t="str">
        <x:f>IF(AC20="PRIVATE_QUARANTINE","hacker_or_bank_trigger",IF(AC20="PRIVATE_REVIEW","finance_risk_trigger","none"))</x:f>
        <x:v>none</x:v>
      </x:c>
      <x:c r="AE20" s="12" t="str">
        <x:f>IF(AC20="PUBLIC_CANDIDATE","prepare_public_github_candidate",IF(AC20="PRIVATE_REVIEW","hold_for_private_review","quarantine_private_do_not_publish"))</x:f>
        <x:v>prepare_public_github_candidate</x:v>
      </x:c>
      <x:c r="AF20" s="12" t="str">
        <x:f>IF(AC20="PUBLIC_CANDIDATE","TIDELOCK + Lucerna",IF(AC20="PRIVATE_REVIEW","AtlasBrain + Lucerna","TIDELOCK + Lucerna + Human-root"))</x:f>
        <x:v>TIDELOCK + Lucerna</x:v>
      </x:c>
      <x:c r="AG20" s="12" t="str">
        <x:f>IF(AND(AC20="PUBLIC_CANDIDATE",U20&lt;&gt;"BLOCKED_PENDING_RECEIPT"),"READY_AFTER_RECEIPT","NOT_READY")</x:f>
        <x:v>NOT_READY</x:v>
      </x:c>
      <x:c r="AH20" s="12" t="str">
        <x:f>IF(AC20="PUBLIC_CANDIDATE","none",AD20)</x:f>
        <x:v>none</x:v>
      </x:c>
      <x:c r="AI20" s="12" t="str">
        <x:f>IF(AC20="PUBLIC_CANDIDATE","archive/public_candidates/"&amp;A20,"private_quarantine/"&amp;A20)</x:f>
        <x:v>archive/public_candidates/SWARM-01-H02-S07</x:v>
      </x:c>
      <x:c r="AJ20" s="12" t="str">
        <x:f>IF(AC20="PUBLIC_CANDIDATE","public by default; still not canon","private/hold; do not publish")</x:f>
        <x:v>public by default; still not canon</x:v>
      </x:c>
      <x:c r="AK20" s="12" t="str">
        <x:f>IF(AE20="prepare_public_github_candidate","add receipt/status then mirror","resolve blocker before any public GitHub action")</x:f>
        <x:v>add receipt/status then mirror</x:v>
      </x:c>
    </x:row>
    <x:row r="21">
      <x:c r="A21" s="15" t="str">
        <x:v>SWARM-01-H02-S08</x:v>
      </x:c>
      <x:c r="B21" s="15" t="str">
        <x:v>Ledgerwake</x:v>
      </x:c>
      <x:c r="C21" s="15" t="str">
        <x:v>Source receipt keeper</x:v>
      </x:c>
      <x:c r="D21" s="15" t="str">
        <x:v>Receipt Verification</x:v>
      </x:c>
      <x:c r="E21" s="15" t="str">
        <x:v>Sheldonbrain</x:v>
      </x:c>
      <x:c r="F21" s="15" t="str">
        <x:v>Verify receipts for Sheldonbrain — Ledgerwake</x:v>
      </x:c>
      <x:c r="G21" s="15" t="str">
        <x:v>inventory / receipts / raw custody</x:v>
      </x:c>
      <x:c r="H21" s="15" t="str">
        <x:v>source path + receipt + raw/export status + claim/edge/risk delta</x:v>
      </x:c>
      <x:c r="I21" s="15" t="str">
        <x:v>packet/SWARM-01-H02-S08</x:v>
      </x:c>
      <x:c r="J21" s="15" t="str">
        <x:v>TODO</x:v>
      </x:c>
      <x:c r="K21" s="15" t="str">
        <x:v>P1</x:v>
      </x:c>
      <x:c r="L21" s="15" t="str">
        <x:v>Done only when evidence is logged, contradiction search is noted, and boundary stamp remains non-canon unless ratified</x:v>
      </x:c>
      <x:c r="M21" s="15" t="str">
        <x:v>candidate / staging-only / not canon / not deployed / authority none</x:v>
      </x:c>
      <x:c r="N21" s="15" t="str">
        <x:v>Dispatch to Ledgerwake: complete Receipt Verification x Sheldonbrain; return deltas only, receipts required.</x:v>
      </x:c>
      <x:c r="O21" s="15" t="str">
        <x:v>AF-KG-H02-S08</x:v>
      </x:c>
      <x:c r="P21" s="15" t="str">
        <x:v>Unverified</x:v>
      </x:c>
      <x:c r="Q21" s="15" t="str">
        <x:v>Not checked</x:v>
      </x:c>
      <x:c r="R21" s="15" t="str"/>
      <x:c r="S21" s="15" t="str"/>
      <x:c r="T21" s="15" t="str">
        <x:v>Log first source path or blocker</x:v>
      </x:c>
      <x:c r="U21" s="12" t="str">
        <x:f>IF(OR(P21="Unverified",Q21="Not checked"),"BLOCKED_PENDING_RECEIPT","READY_FOR_REVIEW")</x:f>
        <x:v>BLOCKED_PENDING_RECEIPT</x:v>
      </x:c>
      <x:c r="V21" s="12" t="str">
        <x:f>IF(J21="DONE","RETURNED",IF(U21="BLOCKED_PENDING_RECEIPT","SOURCE_TOUCH_REQUIRED","IN_PROGRESS"))</x:f>
        <x:v>SOURCE_TOUCH_REQUIRED</x:v>
      </x:c>
      <x:c r="W21" s="12" t="str">
        <x:f>IF(P21="Unverified","missing_receipt","receipt_logged")</x:f>
        <x:v>missing_receipt</x:v>
      </x:c>
      <x:c r="X21" s="12" t="str">
        <x:f>IF(Q21="Not checked","raw_status_missing","raw_status_logged")</x:f>
        <x:v>raw_status_missing</x:v>
      </x:c>
      <x:c r="Y21" s="12" t="str">
        <x:f>IF(U21="BLOCKED_PENDING_RECEIPT","Log source path or blocker; do not promote","Route to review lane")</x:f>
        <x:v>Log source path or blocker; do not promote</x:v>
      </x:c>
      <x:c r="Z21" s="12" t="str">
        <x:f>IF(K21="P0","Primary seat + Hashlight/Lucerna","Seat lane")</x:f>
        <x:v>Seat lane</x:v>
      </x:c>
      <x:c r="AA21" s="12" t="str">
        <x:f>IF(R21="","no_claim_delta","claim_delta_present")</x:f>
        <x:v>no_claim_delta</x:v>
      </x:c>
      <x:c r="AB21" s="12" t="str">
        <x:f>IF(S21="","no_contradiction_delta","contradiction_delta_present")</x:f>
        <x:v>no_contradiction_delta</x:v>
      </x:c>
      <x:c r="AC21" s="12" t="str">
        <x:f>IF(OR(ISNUMBER(SEARCH("hacker",LOWER(F21&amp;" "&amp;H21&amp;" "&amp;I21&amp;" "&amp;M21&amp;" "&amp;N21&amp;" "&amp;T21))),ISNUMBER(SEARCH("hacking",LOWER(F21&amp;" "&amp;H21&amp;" "&amp;I21&amp;" "&amp;M21&amp;" "&amp;N21&amp;" "&amp;T21))),ISNUMBER(SEARCH("bank",LOWER(F21&amp;" "&amp;H21&amp;" "&amp;I21&amp;" "&amp;M21&amp;" "&amp;N21&amp;" "&amp;T21))),ISNUMBER(SEARCH("banking",LOWER(F21&amp;" "&amp;H21&amp;" "&amp;I21&amp;" "&amp;M21&amp;" "&amp;N21&amp;" "&amp;T21)))),"PRIVATE_QUARANTINE",IF(OR(ISNUMBER(SEARCH("treasury",LOWER(F21&amp;" "&amp;H21&amp;" "&amp;I21&amp;" "&amp;M21&amp;" "&amp;N21&amp;" "&amp;T21))),ISNUMBER(SEARCH("debt",LOWER(F21&amp;" "&amp;H21&amp;" "&amp;I21&amp;" "&amp;M21&amp;" "&amp;N21&amp;" "&amp;T21))),ISNUMBER(SEARCH("bond",LOWER(F21&amp;" "&amp;H21&amp;" "&amp;I21&amp;" "&amp;M21&amp;" "&amp;N21&amp;" "&amp;T21))),ISNUMBER(SEARCH("transaction",LOWER(F21&amp;" "&amp;H21&amp;" "&amp;I21&amp;" "&amp;M21&amp;" "&amp;N21&amp;" "&amp;T21)))),"PRIVATE_REVIEW","PUBLIC_CANDIDATE"))</x:f>
        <x:v>PUBLIC_CANDIDATE</x:v>
      </x:c>
      <x:c r="AD21" s="12" t="str">
        <x:f>IF(AC21="PRIVATE_QUARANTINE","hacker_or_bank_trigger",IF(AC21="PRIVATE_REVIEW","finance_risk_trigger","none"))</x:f>
        <x:v>none</x:v>
      </x:c>
      <x:c r="AE21" s="12" t="str">
        <x:f>IF(AC21="PUBLIC_CANDIDATE","prepare_public_github_candidate",IF(AC21="PRIVATE_REVIEW","hold_for_private_review","quarantine_private_do_not_publish"))</x:f>
        <x:v>prepare_public_github_candidate</x:v>
      </x:c>
      <x:c r="AF21" s="12" t="str">
        <x:f>IF(AC21="PUBLIC_CANDIDATE","TIDELOCK + Lucerna",IF(AC21="PRIVATE_REVIEW","AtlasBrain + Lucerna","TIDELOCK + Lucerna + Human-root"))</x:f>
        <x:v>TIDELOCK + Lucerna</x:v>
      </x:c>
      <x:c r="AG21" s="12" t="str">
        <x:f>IF(AND(AC21="PUBLIC_CANDIDATE",U21&lt;&gt;"BLOCKED_PENDING_RECEIPT"),"READY_AFTER_RECEIPT","NOT_READY")</x:f>
        <x:v>NOT_READY</x:v>
      </x:c>
      <x:c r="AH21" s="12" t="str">
        <x:f>IF(AC21="PUBLIC_CANDIDATE","none",AD21)</x:f>
        <x:v>none</x:v>
      </x:c>
      <x:c r="AI21" s="12" t="str">
        <x:f>IF(AC21="PUBLIC_CANDIDATE","archive/public_candidates/"&amp;A21,"private_quarantine/"&amp;A21)</x:f>
        <x:v>archive/public_candidates/SWARM-01-H02-S08</x:v>
      </x:c>
      <x:c r="AJ21" s="12" t="str">
        <x:f>IF(AC21="PUBLIC_CANDIDATE","public by default; still not canon","private/hold; do not publish")</x:f>
        <x:v>public by default; still not canon</x:v>
      </x:c>
      <x:c r="AK21" s="12" t="str">
        <x:f>IF(AE21="prepare_public_github_candidate","add receipt/status then mirror","resolve blocker before any public GitHub action")</x:f>
        <x:v>add receipt/status then mirror</x:v>
      </x:c>
    </x:row>
    <x:row r="22">
      <x:c r="A22" s="15" t="str">
        <x:v>SWARM-01-H02-S09</x:v>
      </x:c>
      <x:c r="B22" s="15" t="str">
        <x:v>Ledgerwake</x:v>
      </x:c>
      <x:c r="C22" s="15" t="str">
        <x:v>Source receipt keeper</x:v>
      </x:c>
      <x:c r="D22" s="15" t="str">
        <x:v>Receipt Verification</x:v>
      </x:c>
      <x:c r="E22" s="15" t="str">
        <x:v>Aetherforge</x:v>
      </x:c>
      <x:c r="F22" s="15" t="str">
        <x:v>Verify receipts for Aetherforge — Ledgerwake</x:v>
      </x:c>
      <x:c r="G22" s="15" t="str">
        <x:v>inventory / receipts / raw custody</x:v>
      </x:c>
      <x:c r="H22" s="15" t="str">
        <x:v>source path + receipt + raw/export status + claim/edge/risk delta</x:v>
      </x:c>
      <x:c r="I22" s="15" t="str">
        <x:v>packet/SWARM-01-H02-S09</x:v>
      </x:c>
      <x:c r="J22" s="15" t="str">
        <x:v>TODO</x:v>
      </x:c>
      <x:c r="K22" s="15" t="str">
        <x:v>P2</x:v>
      </x:c>
      <x:c r="L22" s="15" t="str">
        <x:v>Done only when evidence is logged, contradiction search is noted, and boundary stamp remains non-canon unless ratified</x:v>
      </x:c>
      <x:c r="M22" s="15" t="str">
        <x:v>candidate / staging-only / not canon / not deployed / authority none</x:v>
      </x:c>
      <x:c r="N22" s="15" t="str">
        <x:v>Dispatch to Ledgerwake: complete Receipt Verification x Aetherforge; return deltas only, receipts required.</x:v>
      </x:c>
      <x:c r="O22" s="15" t="str">
        <x:v>AF-KG-H02-S09</x:v>
      </x:c>
      <x:c r="P22" s="15" t="str">
        <x:v>Unverified</x:v>
      </x:c>
      <x:c r="Q22" s="15" t="str">
        <x:v>Not checked</x:v>
      </x:c>
      <x:c r="R22" s="15" t="str"/>
      <x:c r="S22" s="15" t="str"/>
      <x:c r="T22" s="15" t="str">
        <x:v>Log first source path or blocker</x:v>
      </x:c>
      <x:c r="U22" s="12" t="str">
        <x:f>IF(OR(P22="Unverified",Q22="Not checked"),"BLOCKED_PENDING_RECEIPT","READY_FOR_REVIEW")</x:f>
        <x:v>BLOCKED_PENDING_RECEIPT</x:v>
      </x:c>
      <x:c r="V22" s="12" t="str">
        <x:f>IF(J22="DONE","RETURNED",IF(U22="BLOCKED_PENDING_RECEIPT","SOURCE_TOUCH_REQUIRED","IN_PROGRESS"))</x:f>
        <x:v>SOURCE_TOUCH_REQUIRED</x:v>
      </x:c>
      <x:c r="W22" s="12" t="str">
        <x:f>IF(P22="Unverified","missing_receipt","receipt_logged")</x:f>
        <x:v>missing_receipt</x:v>
      </x:c>
      <x:c r="X22" s="12" t="str">
        <x:f>IF(Q22="Not checked","raw_status_missing","raw_status_logged")</x:f>
        <x:v>raw_status_missing</x:v>
      </x:c>
      <x:c r="Y22" s="12" t="str">
        <x:f>IF(U22="BLOCKED_PENDING_RECEIPT","Log source path or blocker; do not promote","Route to review lane")</x:f>
        <x:v>Log source path or blocker; do not promote</x:v>
      </x:c>
      <x:c r="Z22" s="12" t="str">
        <x:f>IF(K22="P0","Primary seat + Hashlight/Lucerna","Seat lane")</x:f>
        <x:v>Seat lane</x:v>
      </x:c>
      <x:c r="AA22" s="12" t="str">
        <x:f>IF(R22="","no_claim_delta","claim_delta_present")</x:f>
        <x:v>no_claim_delta</x:v>
      </x:c>
      <x:c r="AB22" s="12" t="str">
        <x:f>IF(S22="","no_contradiction_delta","contradiction_delta_present")</x:f>
        <x:v>no_contradiction_delta</x:v>
      </x:c>
      <x:c r="AC22" s="12" t="str">
        <x:f>IF(OR(ISNUMBER(SEARCH("hacker",LOWER(F22&amp;" "&amp;H22&amp;" "&amp;I22&amp;" "&amp;M22&amp;" "&amp;N22&amp;" "&amp;T22))),ISNUMBER(SEARCH("hacking",LOWER(F22&amp;" "&amp;H22&amp;" "&amp;I22&amp;" "&amp;M22&amp;" "&amp;N22&amp;" "&amp;T22))),ISNUMBER(SEARCH("bank",LOWER(F22&amp;" "&amp;H22&amp;" "&amp;I22&amp;" "&amp;M22&amp;" "&amp;N22&amp;" "&amp;T22))),ISNUMBER(SEARCH("banking",LOWER(F22&amp;" "&amp;H22&amp;" "&amp;I22&amp;" "&amp;M22&amp;" "&amp;N22&amp;" "&amp;T22)))),"PRIVATE_QUARANTINE",IF(OR(ISNUMBER(SEARCH("treasury",LOWER(F22&amp;" "&amp;H22&amp;" "&amp;I22&amp;" "&amp;M22&amp;" "&amp;N22&amp;" "&amp;T22))),ISNUMBER(SEARCH("debt",LOWER(F22&amp;" "&amp;H22&amp;" "&amp;I22&amp;" "&amp;M22&amp;" "&amp;N22&amp;" "&amp;T22))),ISNUMBER(SEARCH("bond",LOWER(F22&amp;" "&amp;H22&amp;" "&amp;I22&amp;" "&amp;M22&amp;" "&amp;N22&amp;" "&amp;T22))),ISNUMBER(SEARCH("transaction",LOWER(F22&amp;" "&amp;H22&amp;" "&amp;I22&amp;" "&amp;M22&amp;" "&amp;N22&amp;" "&amp;T22)))),"PRIVATE_REVIEW","PUBLIC_CANDIDATE"))</x:f>
        <x:v>PUBLIC_CANDIDATE</x:v>
      </x:c>
      <x:c r="AD22" s="12" t="str">
        <x:f>IF(AC22="PRIVATE_QUARANTINE","hacker_or_bank_trigger",IF(AC22="PRIVATE_REVIEW","finance_risk_trigger","none"))</x:f>
        <x:v>none</x:v>
      </x:c>
      <x:c r="AE22" s="12" t="str">
        <x:f>IF(AC22="PUBLIC_CANDIDATE","prepare_public_github_candidate",IF(AC22="PRIVATE_REVIEW","hold_for_private_review","quarantine_private_do_not_publish"))</x:f>
        <x:v>prepare_public_github_candidate</x:v>
      </x:c>
      <x:c r="AF22" s="12" t="str">
        <x:f>IF(AC22="PUBLIC_CANDIDATE","TIDELOCK + Lucerna",IF(AC22="PRIVATE_REVIEW","AtlasBrain + Lucerna","TIDELOCK + Lucerna + Human-root"))</x:f>
        <x:v>TIDELOCK + Lucerna</x:v>
      </x:c>
      <x:c r="AG22" s="12" t="str">
        <x:f>IF(AND(AC22="PUBLIC_CANDIDATE",U22&lt;&gt;"BLOCKED_PENDING_RECEIPT"),"READY_AFTER_RECEIPT","NOT_READY")</x:f>
        <x:v>NOT_READY</x:v>
      </x:c>
      <x:c r="AH22" s="12" t="str">
        <x:f>IF(AC22="PUBLIC_CANDIDATE","none",AD22)</x:f>
        <x:v>none</x:v>
      </x:c>
      <x:c r="AI22" s="12" t="str">
        <x:f>IF(AC22="PUBLIC_CANDIDATE","archive/public_candidates/"&amp;A22,"private_quarantine/"&amp;A22)</x:f>
        <x:v>archive/public_candidates/SWARM-01-H02-S09</x:v>
      </x:c>
      <x:c r="AJ22" s="12" t="str">
        <x:f>IF(AC22="PUBLIC_CANDIDATE","public by default; still not canon","private/hold; do not publish")</x:f>
        <x:v>public by default; still not canon</x:v>
      </x:c>
      <x:c r="AK22" s="12" t="str">
        <x:f>IF(AE22="prepare_public_github_candidate","add receipt/status then mirror","resolve blocker before any public GitHub action")</x:f>
        <x:v>add receipt/status then mirror</x:v>
      </x:c>
    </x:row>
    <x:row r="23">
      <x:c r="A23" s="15" t="str">
        <x:v>SWARM-01-H02-S10</x:v>
      </x:c>
      <x:c r="B23" s="15" t="str">
        <x:v>Ledgerwake</x:v>
      </x:c>
      <x:c r="C23" s="15" t="str">
        <x:v>Source receipt keeper</x:v>
      </x:c>
      <x:c r="D23" s="15" t="str">
        <x:v>Receipt Verification</x:v>
      </x:c>
      <x:c r="E23" s="15" t="str">
        <x:v>Human-Root</x:v>
      </x:c>
      <x:c r="F23" s="15" t="str">
        <x:v>Verify receipts for Human-Root — Ledgerwake</x:v>
      </x:c>
      <x:c r="G23" s="15" t="str">
        <x:v>inventory / receipts / raw custody</x:v>
      </x:c>
      <x:c r="H23" s="15" t="str">
        <x:v>source path + receipt + raw/export status + claim/edge/risk delta</x:v>
      </x:c>
      <x:c r="I23" s="15" t="str">
        <x:v>packet/SWARM-01-H02-S10</x:v>
      </x:c>
      <x:c r="J23" s="15" t="str">
        <x:v>TODO</x:v>
      </x:c>
      <x:c r="K23" s="15" t="str">
        <x:v>P2</x:v>
      </x:c>
      <x:c r="L23" s="15" t="str">
        <x:v>Done only when evidence is logged, contradiction search is noted, and boundary stamp remains non-canon unless ratified</x:v>
      </x:c>
      <x:c r="M23" s="15" t="str">
        <x:v>candidate / staging-only / not canon / not deployed / authority none</x:v>
      </x:c>
      <x:c r="N23" s="15" t="str">
        <x:v>Dispatch to Ledgerwake: complete Receipt Verification x Human-Root; return deltas only, receipts required.</x:v>
      </x:c>
      <x:c r="O23" s="15" t="str">
        <x:v>AF-KG-H02-S10</x:v>
      </x:c>
      <x:c r="P23" s="15" t="str">
        <x:v>Unverified</x:v>
      </x:c>
      <x:c r="Q23" s="15" t="str">
        <x:v>Not checked</x:v>
      </x:c>
      <x:c r="R23" s="15" t="str"/>
      <x:c r="S23" s="15" t="str"/>
      <x:c r="T23" s="15" t="str">
        <x:v>Log first source path or blocker</x:v>
      </x:c>
      <x:c r="U23" s="12" t="str">
        <x:f>IF(OR(P23="Unverified",Q23="Not checked"),"BLOCKED_PENDING_RECEIPT","READY_FOR_REVIEW")</x:f>
        <x:v>BLOCKED_PENDING_RECEIPT</x:v>
      </x:c>
      <x:c r="V23" s="12" t="str">
        <x:f>IF(J23="DONE","RETURNED",IF(U23="BLOCKED_PENDING_RECEIPT","SOURCE_TOUCH_REQUIRED","IN_PROGRESS"))</x:f>
        <x:v>SOURCE_TOUCH_REQUIRED</x:v>
      </x:c>
      <x:c r="W23" s="12" t="str">
        <x:f>IF(P23="Unverified","missing_receipt","receipt_logged")</x:f>
        <x:v>missing_receipt</x:v>
      </x:c>
      <x:c r="X23" s="12" t="str">
        <x:f>IF(Q23="Not checked","raw_status_missing","raw_status_logged")</x:f>
        <x:v>raw_status_missing</x:v>
      </x:c>
      <x:c r="Y23" s="12" t="str">
        <x:f>IF(U23="BLOCKED_PENDING_RECEIPT","Log source path or blocker; do not promote","Route to review lane")</x:f>
        <x:v>Log source path or blocker; do not promote</x:v>
      </x:c>
      <x:c r="Z23" s="12" t="str">
        <x:f>IF(K23="P0","Primary seat + Hashlight/Lucerna","Seat lane")</x:f>
        <x:v>Seat lane</x:v>
      </x:c>
      <x:c r="AA23" s="12" t="str">
        <x:f>IF(R23="","no_claim_delta","claim_delta_present")</x:f>
        <x:v>no_claim_delta</x:v>
      </x:c>
      <x:c r="AB23" s="12" t="str">
        <x:f>IF(S23="","no_contradiction_delta","contradiction_delta_present")</x:f>
        <x:v>no_contradiction_delta</x:v>
      </x:c>
      <x:c r="AC23" s="12" t="str">
        <x:f>IF(OR(ISNUMBER(SEARCH("hacker",LOWER(F23&amp;" "&amp;H23&amp;" "&amp;I23&amp;" "&amp;M23&amp;" "&amp;N23&amp;" "&amp;T23))),ISNUMBER(SEARCH("hacking",LOWER(F23&amp;" "&amp;H23&amp;" "&amp;I23&amp;" "&amp;M23&amp;" "&amp;N23&amp;" "&amp;T23))),ISNUMBER(SEARCH("bank",LOWER(F23&amp;" "&amp;H23&amp;" "&amp;I23&amp;" "&amp;M23&amp;" "&amp;N23&amp;" "&amp;T23))),ISNUMBER(SEARCH("banking",LOWER(F23&amp;" "&amp;H23&amp;" "&amp;I23&amp;" "&amp;M23&amp;" "&amp;N23&amp;" "&amp;T23)))),"PRIVATE_QUARANTINE",IF(OR(ISNUMBER(SEARCH("treasury",LOWER(F23&amp;" "&amp;H23&amp;" "&amp;I23&amp;" "&amp;M23&amp;" "&amp;N23&amp;" "&amp;T23))),ISNUMBER(SEARCH("debt",LOWER(F23&amp;" "&amp;H23&amp;" "&amp;I23&amp;" "&amp;M23&amp;" "&amp;N23&amp;" "&amp;T23))),ISNUMBER(SEARCH("bond",LOWER(F23&amp;" "&amp;H23&amp;" "&amp;I23&amp;" "&amp;M23&amp;" "&amp;N23&amp;" "&amp;T23))),ISNUMBER(SEARCH("transaction",LOWER(F23&amp;" "&amp;H23&amp;" "&amp;I23&amp;" "&amp;M23&amp;" "&amp;N23&amp;" "&amp;T23)))),"PRIVATE_REVIEW","PUBLIC_CANDIDATE"))</x:f>
        <x:v>PUBLIC_CANDIDATE</x:v>
      </x:c>
      <x:c r="AD23" s="12" t="str">
        <x:f>IF(AC23="PRIVATE_QUARANTINE","hacker_or_bank_trigger",IF(AC23="PRIVATE_REVIEW","finance_risk_trigger","none"))</x:f>
        <x:v>none</x:v>
      </x:c>
      <x:c r="AE23" s="12" t="str">
        <x:f>IF(AC23="PUBLIC_CANDIDATE","prepare_public_github_candidate",IF(AC23="PRIVATE_REVIEW","hold_for_private_review","quarantine_private_do_not_publish"))</x:f>
        <x:v>prepare_public_github_candidate</x:v>
      </x:c>
      <x:c r="AF23" s="12" t="str">
        <x:f>IF(AC23="PUBLIC_CANDIDATE","TIDELOCK + Lucerna",IF(AC23="PRIVATE_REVIEW","AtlasBrain + Lucerna","TIDELOCK + Lucerna + Human-root"))</x:f>
        <x:v>TIDELOCK + Lucerna</x:v>
      </x:c>
      <x:c r="AG23" s="12" t="str">
        <x:f>IF(AND(AC23="PUBLIC_CANDIDATE",U23&lt;&gt;"BLOCKED_PENDING_RECEIPT"),"READY_AFTER_RECEIPT","NOT_READY")</x:f>
        <x:v>NOT_READY</x:v>
      </x:c>
      <x:c r="AH23" s="12" t="str">
        <x:f>IF(AC23="PUBLIC_CANDIDATE","none",AD23)</x:f>
        <x:v>none</x:v>
      </x:c>
      <x:c r="AI23" s="12" t="str">
        <x:f>IF(AC23="PUBLIC_CANDIDATE","archive/public_candidates/"&amp;A23,"private_quarantine/"&amp;A23)</x:f>
        <x:v>archive/public_candidates/SWARM-01-H02-S10</x:v>
      </x:c>
      <x:c r="AJ23" s="12" t="str">
        <x:f>IF(AC23="PUBLIC_CANDIDATE","public by default; still not canon","private/hold; do not publish")</x:f>
        <x:v>public by default; still not canon</x:v>
      </x:c>
      <x:c r="AK23" s="12" t="str">
        <x:f>IF(AE23="prepare_public_github_candidate","add receipt/status then mirror","resolve blocker before any public GitHub action")</x:f>
        <x:v>add receipt/status then mirror</x:v>
      </x:c>
    </x:row>
    <x:row r="24">
      <x:c r="A24" s="15" t="str">
        <x:v>SWARM-01-H02-S11</x:v>
      </x:c>
      <x:c r="B24" s="15" t="str">
        <x:v>Ledgerwake</x:v>
      </x:c>
      <x:c r="C24" s="15" t="str">
        <x:v>Source receipt keeper</x:v>
      </x:c>
      <x:c r="D24" s="15" t="str">
        <x:v>Receipt Verification</x:v>
      </x:c>
      <x:c r="E24" s="15" t="str">
        <x:v>Automation</x:v>
      </x:c>
      <x:c r="F24" s="15" t="str">
        <x:v>Verify receipts for Automation — Ledgerwake</x:v>
      </x:c>
      <x:c r="G24" s="15" t="str">
        <x:v>inventory / receipts / raw custody</x:v>
      </x:c>
      <x:c r="H24" s="15" t="str">
        <x:v>source path + receipt + raw/export status + claim/edge/risk delta</x:v>
      </x:c>
      <x:c r="I24" s="15" t="str">
        <x:v>packet/SWARM-01-H02-S11</x:v>
      </x:c>
      <x:c r="J24" s="15" t="str">
        <x:v>TODO</x:v>
      </x:c>
      <x:c r="K24" s="15" t="str">
        <x:v>P2</x:v>
      </x:c>
      <x:c r="L24" s="15" t="str">
        <x:v>Done only when evidence is logged, contradiction search is noted, and boundary stamp remains non-canon unless ratified</x:v>
      </x:c>
      <x:c r="M24" s="15" t="str">
        <x:v>candidate / staging-only / not canon / not deployed / authority none</x:v>
      </x:c>
      <x:c r="N24" s="15" t="str">
        <x:v>Dispatch to Ledgerwake: complete Receipt Verification x Automation; return deltas only, receipts required.</x:v>
      </x:c>
      <x:c r="O24" s="15" t="str">
        <x:v>AF-KG-H02-S11</x:v>
      </x:c>
      <x:c r="P24" s="15" t="str">
        <x:v>Unverified</x:v>
      </x:c>
      <x:c r="Q24" s="15" t="str">
        <x:v>Not checked</x:v>
      </x:c>
      <x:c r="R24" s="15" t="str"/>
      <x:c r="S24" s="15" t="str"/>
      <x:c r="T24" s="15" t="str">
        <x:v>Log first source path or blocker</x:v>
      </x:c>
      <x:c r="U24" s="12" t="str">
        <x:f>IF(OR(P24="Unverified",Q24="Not checked"),"BLOCKED_PENDING_RECEIPT","READY_FOR_REVIEW")</x:f>
        <x:v>BLOCKED_PENDING_RECEIPT</x:v>
      </x:c>
      <x:c r="V24" s="12" t="str">
        <x:f>IF(J24="DONE","RETURNED",IF(U24="BLOCKED_PENDING_RECEIPT","SOURCE_TOUCH_REQUIRED","IN_PROGRESS"))</x:f>
        <x:v>SOURCE_TOUCH_REQUIRED</x:v>
      </x:c>
      <x:c r="W24" s="12" t="str">
        <x:f>IF(P24="Unverified","missing_receipt","receipt_logged")</x:f>
        <x:v>missing_receipt</x:v>
      </x:c>
      <x:c r="X24" s="12" t="str">
        <x:f>IF(Q24="Not checked","raw_status_missing","raw_status_logged")</x:f>
        <x:v>raw_status_missing</x:v>
      </x:c>
      <x:c r="Y24" s="12" t="str">
        <x:f>IF(U24="BLOCKED_PENDING_RECEIPT","Log source path or blocker; do not promote","Route to review lane")</x:f>
        <x:v>Log source path or blocker; do not promote</x:v>
      </x:c>
      <x:c r="Z24" s="12" t="str">
        <x:f>IF(K24="P0","Primary seat + Hashlight/Lucerna","Seat lane")</x:f>
        <x:v>Seat lane</x:v>
      </x:c>
      <x:c r="AA24" s="12" t="str">
        <x:f>IF(R24="","no_claim_delta","claim_delta_present")</x:f>
        <x:v>no_claim_delta</x:v>
      </x:c>
      <x:c r="AB24" s="12" t="str">
        <x:f>IF(S24="","no_contradiction_delta","contradiction_delta_present")</x:f>
        <x:v>no_contradiction_delta</x:v>
      </x:c>
      <x:c r="AC24" s="12" t="str">
        <x:f>IF(OR(ISNUMBER(SEARCH("hacker",LOWER(F24&amp;" "&amp;H24&amp;" "&amp;I24&amp;" "&amp;M24&amp;" "&amp;N24&amp;" "&amp;T24))),ISNUMBER(SEARCH("hacking",LOWER(F24&amp;" "&amp;H24&amp;" "&amp;I24&amp;" "&amp;M24&amp;" "&amp;N24&amp;" "&amp;T24))),ISNUMBER(SEARCH("bank",LOWER(F24&amp;" "&amp;H24&amp;" "&amp;I24&amp;" "&amp;M24&amp;" "&amp;N24&amp;" "&amp;T24))),ISNUMBER(SEARCH("banking",LOWER(F24&amp;" "&amp;H24&amp;" "&amp;I24&amp;" "&amp;M24&amp;" "&amp;N24&amp;" "&amp;T24)))),"PRIVATE_QUARANTINE",IF(OR(ISNUMBER(SEARCH("treasury",LOWER(F24&amp;" "&amp;H24&amp;" "&amp;I24&amp;" "&amp;M24&amp;" "&amp;N24&amp;" "&amp;T24))),ISNUMBER(SEARCH("debt",LOWER(F24&amp;" "&amp;H24&amp;" "&amp;I24&amp;" "&amp;M24&amp;" "&amp;N24&amp;" "&amp;T24))),ISNUMBER(SEARCH("bond",LOWER(F24&amp;" "&amp;H24&amp;" "&amp;I24&amp;" "&amp;M24&amp;" "&amp;N24&amp;" "&amp;T24))),ISNUMBER(SEARCH("transaction",LOWER(F24&amp;" "&amp;H24&amp;" "&amp;I24&amp;" "&amp;M24&amp;" "&amp;N24&amp;" "&amp;T24)))),"PRIVATE_REVIEW","PUBLIC_CANDIDATE"))</x:f>
        <x:v>PUBLIC_CANDIDATE</x:v>
      </x:c>
      <x:c r="AD24" s="12" t="str">
        <x:f>IF(AC24="PRIVATE_QUARANTINE","hacker_or_bank_trigger",IF(AC24="PRIVATE_REVIEW","finance_risk_trigger","none"))</x:f>
        <x:v>none</x:v>
      </x:c>
      <x:c r="AE24" s="12" t="str">
        <x:f>IF(AC24="PUBLIC_CANDIDATE","prepare_public_github_candidate",IF(AC24="PRIVATE_REVIEW","hold_for_private_review","quarantine_private_do_not_publish"))</x:f>
        <x:v>prepare_public_github_candidate</x:v>
      </x:c>
      <x:c r="AF24" s="12" t="str">
        <x:f>IF(AC24="PUBLIC_CANDIDATE","TIDELOCK + Lucerna",IF(AC24="PRIVATE_REVIEW","AtlasBrain + Lucerna","TIDELOCK + Lucerna + Human-root"))</x:f>
        <x:v>TIDELOCK + Lucerna</x:v>
      </x:c>
      <x:c r="AG24" s="12" t="str">
        <x:f>IF(AND(AC24="PUBLIC_CANDIDATE",U24&lt;&gt;"BLOCKED_PENDING_RECEIPT"),"READY_AFTER_RECEIPT","NOT_READY")</x:f>
        <x:v>NOT_READY</x:v>
      </x:c>
      <x:c r="AH24" s="12" t="str">
        <x:f>IF(AC24="PUBLIC_CANDIDATE","none",AD24)</x:f>
        <x:v>none</x:v>
      </x:c>
      <x:c r="AI24" s="12" t="str">
        <x:f>IF(AC24="PUBLIC_CANDIDATE","archive/public_candidates/"&amp;A24,"private_quarantine/"&amp;A24)</x:f>
        <x:v>archive/public_candidates/SWARM-01-H02-S11</x:v>
      </x:c>
      <x:c r="AJ24" s="12" t="str">
        <x:f>IF(AC24="PUBLIC_CANDIDATE","public by default; still not canon","private/hold; do not publish")</x:f>
        <x:v>public by default; still not canon</x:v>
      </x:c>
      <x:c r="AK24" s="12" t="str">
        <x:f>IF(AE24="prepare_public_github_candidate","add receipt/status then mirror","resolve blocker before any public GitHub action")</x:f>
        <x:v>add receipt/status then mirror</x:v>
      </x:c>
    </x:row>
    <x:row r="25">
      <x:c r="A25" s="15" t="str">
        <x:v>SWARM-01-H02-S12</x:v>
      </x:c>
      <x:c r="B25" s="15" t="str">
        <x:v>Ledgerwake</x:v>
      </x:c>
      <x:c r="C25" s="15" t="str">
        <x:v>Source receipt keeper</x:v>
      </x:c>
      <x:c r="D25" s="15" t="str">
        <x:v>Receipt Verification</x:v>
      </x:c>
      <x:c r="E25" s="15" t="str">
        <x:v>Risk / Safety</x:v>
      </x:c>
      <x:c r="F25" s="15" t="str">
        <x:v>Verify receipts for Risk / Safety — Ledgerwake</x:v>
      </x:c>
      <x:c r="G25" s="15" t="str">
        <x:v>inventory / receipts / raw custody</x:v>
      </x:c>
      <x:c r="H25" s="15" t="str">
        <x:v>source path + receipt + raw/export status + claim/edge/risk delta</x:v>
      </x:c>
      <x:c r="I25" s="15" t="str">
        <x:v>packet/SWARM-01-H02-S12</x:v>
      </x:c>
      <x:c r="J25" s="15" t="str">
        <x:v>TODO</x:v>
      </x:c>
      <x:c r="K25" s="15" t="str">
        <x:v>P2</x:v>
      </x:c>
      <x:c r="L25" s="15" t="str">
        <x:v>Done only when evidence is logged, contradiction search is noted, and boundary stamp remains non-canon unless ratified</x:v>
      </x:c>
      <x:c r="M25" s="15" t="str">
        <x:v>candidate / staging-only / not canon / not deployed / authority none</x:v>
      </x:c>
      <x:c r="N25" s="15" t="str">
        <x:v>Dispatch to Ledgerwake: complete Receipt Verification x Risk / Safety; return deltas only, receipts required.</x:v>
      </x:c>
      <x:c r="O25" s="15" t="str">
        <x:v>AF-KG-H02-S12</x:v>
      </x:c>
      <x:c r="P25" s="15" t="str">
        <x:v>Unverified</x:v>
      </x:c>
      <x:c r="Q25" s="15" t="str">
        <x:v>Not checked</x:v>
      </x:c>
      <x:c r="R25" s="15" t="str"/>
      <x:c r="S25" s="15" t="str"/>
      <x:c r="T25" s="15" t="str">
        <x:v>Log first source path or blocker</x:v>
      </x:c>
      <x:c r="U25" s="12" t="str">
        <x:f>IF(OR(P25="Unverified",Q25="Not checked"),"BLOCKED_PENDING_RECEIPT","READY_FOR_REVIEW")</x:f>
        <x:v>BLOCKED_PENDING_RECEIPT</x:v>
      </x:c>
      <x:c r="V25" s="12" t="str">
        <x:f>IF(J25="DONE","RETURNED",IF(U25="BLOCKED_PENDING_RECEIPT","SOURCE_TOUCH_REQUIRED","IN_PROGRESS"))</x:f>
        <x:v>SOURCE_TOUCH_REQUIRED</x:v>
      </x:c>
      <x:c r="W25" s="12" t="str">
        <x:f>IF(P25="Unverified","missing_receipt","receipt_logged")</x:f>
        <x:v>missing_receipt</x:v>
      </x:c>
      <x:c r="X25" s="12" t="str">
        <x:f>IF(Q25="Not checked","raw_status_missing","raw_status_logged")</x:f>
        <x:v>raw_status_missing</x:v>
      </x:c>
      <x:c r="Y25" s="12" t="str">
        <x:f>IF(U25="BLOCKED_PENDING_RECEIPT","Log source path or blocker; do not promote","Route to review lane")</x:f>
        <x:v>Log source path or blocker; do not promote</x:v>
      </x:c>
      <x:c r="Z25" s="12" t="str">
        <x:f>IF(K25="P0","Primary seat + Hashlight/Lucerna","Seat lane")</x:f>
        <x:v>Seat lane</x:v>
      </x:c>
      <x:c r="AA25" s="12" t="str">
        <x:f>IF(R25="","no_claim_delta","claim_delta_present")</x:f>
        <x:v>no_claim_delta</x:v>
      </x:c>
      <x:c r="AB25" s="12" t="str">
        <x:f>IF(S25="","no_contradiction_delta","contradiction_delta_present")</x:f>
        <x:v>no_contradiction_delta</x:v>
      </x:c>
      <x:c r="AC25" s="12" t="str">
        <x:f>IF(OR(ISNUMBER(SEARCH("hacker",LOWER(F25&amp;" "&amp;H25&amp;" "&amp;I25&amp;" "&amp;M25&amp;" "&amp;N25&amp;" "&amp;T25))),ISNUMBER(SEARCH("hacking",LOWER(F25&amp;" "&amp;H25&amp;" "&amp;I25&amp;" "&amp;M25&amp;" "&amp;N25&amp;" "&amp;T25))),ISNUMBER(SEARCH("bank",LOWER(F25&amp;" "&amp;H25&amp;" "&amp;I25&amp;" "&amp;M25&amp;" "&amp;N25&amp;" "&amp;T25))),ISNUMBER(SEARCH("banking",LOWER(F25&amp;" "&amp;H25&amp;" "&amp;I25&amp;" "&amp;M25&amp;" "&amp;N25&amp;" "&amp;T25)))),"PRIVATE_QUARANTINE",IF(OR(ISNUMBER(SEARCH("treasury",LOWER(F25&amp;" "&amp;H25&amp;" "&amp;I25&amp;" "&amp;M25&amp;" "&amp;N25&amp;" "&amp;T25))),ISNUMBER(SEARCH("debt",LOWER(F25&amp;" "&amp;H25&amp;" "&amp;I25&amp;" "&amp;M25&amp;" "&amp;N25&amp;" "&amp;T25))),ISNUMBER(SEARCH("bond",LOWER(F25&amp;" "&amp;H25&amp;" "&amp;I25&amp;" "&amp;M25&amp;" "&amp;N25&amp;" "&amp;T25))),ISNUMBER(SEARCH("transaction",LOWER(F25&amp;" "&amp;H25&amp;" "&amp;I25&amp;" "&amp;M25&amp;" "&amp;N25&amp;" "&amp;T25)))),"PRIVATE_REVIEW","PUBLIC_CANDIDATE"))</x:f>
        <x:v>PUBLIC_CANDIDATE</x:v>
      </x:c>
      <x:c r="AD25" s="12" t="str">
        <x:f>IF(AC25="PRIVATE_QUARANTINE","hacker_or_bank_trigger",IF(AC25="PRIVATE_REVIEW","finance_risk_trigger","none"))</x:f>
        <x:v>none</x:v>
      </x:c>
      <x:c r="AE25" s="12" t="str">
        <x:f>IF(AC25="PUBLIC_CANDIDATE","prepare_public_github_candidate",IF(AC25="PRIVATE_REVIEW","hold_for_private_review","quarantine_private_do_not_publish"))</x:f>
        <x:v>prepare_public_github_candidate</x:v>
      </x:c>
      <x:c r="AF25" s="12" t="str">
        <x:f>IF(AC25="PUBLIC_CANDIDATE","TIDELOCK + Lucerna",IF(AC25="PRIVATE_REVIEW","AtlasBrain + Lucerna","TIDELOCK + Lucerna + Human-root"))</x:f>
        <x:v>TIDELOCK + Lucerna</x:v>
      </x:c>
      <x:c r="AG25" s="12" t="str">
        <x:f>IF(AND(AC25="PUBLIC_CANDIDATE",U25&lt;&gt;"BLOCKED_PENDING_RECEIPT"),"READY_AFTER_RECEIPT","NOT_READY")</x:f>
        <x:v>NOT_READY</x:v>
      </x:c>
      <x:c r="AH25" s="12" t="str">
        <x:f>IF(AC25="PUBLIC_CANDIDATE","none",AD25)</x:f>
        <x:v>none</x:v>
      </x:c>
      <x:c r="AI25" s="12" t="str">
        <x:f>IF(AC25="PUBLIC_CANDIDATE","archive/public_candidates/"&amp;A25,"private_quarantine/"&amp;A25)</x:f>
        <x:v>archive/public_candidates/SWARM-01-H02-S12</x:v>
      </x:c>
      <x:c r="AJ25" s="12" t="str">
        <x:f>IF(AC25="PUBLIC_CANDIDATE","public by default; still not canon","private/hold; do not publish")</x:f>
        <x:v>public by default; still not canon</x:v>
      </x:c>
      <x:c r="AK25" s="12" t="str">
        <x:f>IF(AE25="prepare_public_github_candidate","add receipt/status then mirror","resolve blocker before any public GitHub action")</x:f>
        <x:v>add receipt/status then mirror</x:v>
      </x:c>
    </x:row>
    <x:row r="26">
      <x:c r="A26" s="15" t="str">
        <x:v>SWARM-01-H03-S01</x:v>
      </x:c>
      <x:c r="B26" s="15" t="str">
        <x:v>Ledgerwake</x:v>
      </x:c>
      <x:c r="C26" s="15" t="str">
        <x:v>Source receipt keeper</x:v>
      </x:c>
      <x:c r="D26" s="15" t="str">
        <x:v>Raw Export Recovery</x:v>
      </x:c>
      <x:c r="E26" s="15" t="str">
        <x:v>Notion</x:v>
      </x:c>
      <x:c r="F26" s="15" t="str">
        <x:v>Recover raw exports for Notion — Ledgerwake</x:v>
      </x:c>
      <x:c r="G26" s="15" t="str">
        <x:v>inventory / receipts / raw custody</x:v>
      </x:c>
      <x:c r="H26" s="15" t="str">
        <x:v>source path + receipt + raw/export status + claim/edge/risk delta</x:v>
      </x:c>
      <x:c r="I26" s="15" t="str">
        <x:v>packet/SWARM-01-H03-S01</x:v>
      </x:c>
      <x:c r="J26" s="15" t="str">
        <x:v>TODO</x:v>
      </x:c>
      <x:c r="K26" s="15" t="str">
        <x:v>P0</x:v>
      </x:c>
      <x:c r="L26" s="15" t="str">
        <x:v>Done only when evidence is logged, contradiction search is noted, and boundary stamp remains non-canon unless ratified</x:v>
      </x:c>
      <x:c r="M26" s="15" t="str">
        <x:v>candidate / staging-only / not canon / not deployed / authority none</x:v>
      </x:c>
      <x:c r="N26" s="15" t="str">
        <x:v>Dispatch to Ledgerwake: complete Raw Export Recovery x Notion; return deltas only, receipts required.</x:v>
      </x:c>
      <x:c r="O26" s="15" t="str">
        <x:v>AF-KG-H03-S01</x:v>
      </x:c>
      <x:c r="P26" s="15" t="str">
        <x:v>Unverified</x:v>
      </x:c>
      <x:c r="Q26" s="15" t="str">
        <x:v>Not checked</x:v>
      </x:c>
      <x:c r="R26" s="15" t="str"/>
      <x:c r="S26" s="15" t="str"/>
      <x:c r="T26" s="15" t="str">
        <x:v>Log first source path or blocker</x:v>
      </x:c>
      <x:c r="U26" s="12" t="str">
        <x:f>IF(OR(P26="Unverified",Q26="Not checked"),"BLOCKED_PENDING_RECEIPT","READY_FOR_REVIEW")</x:f>
        <x:v>BLOCKED_PENDING_RECEIPT</x:v>
      </x:c>
      <x:c r="V26" s="12" t="str">
        <x:f>IF(J26="DONE","RETURNED",IF(U26="BLOCKED_PENDING_RECEIPT","SOURCE_TOUCH_REQUIRED","IN_PROGRESS"))</x:f>
        <x:v>SOURCE_TOUCH_REQUIRED</x:v>
      </x:c>
      <x:c r="W26" s="12" t="str">
        <x:f>IF(P26="Unverified","missing_receipt","receipt_logged")</x:f>
        <x:v>missing_receipt</x:v>
      </x:c>
      <x:c r="X26" s="12" t="str">
        <x:f>IF(Q26="Not checked","raw_status_missing","raw_status_logged")</x:f>
        <x:v>raw_status_missing</x:v>
      </x:c>
      <x:c r="Y26" s="12" t="str">
        <x:f>IF(U26="BLOCKED_PENDING_RECEIPT","Log source path or blocker; do not promote","Route to review lane")</x:f>
        <x:v>Log source path or blocker; do not promote</x:v>
      </x:c>
      <x:c r="Z26" s="12" t="str">
        <x:f>IF(K26="P0","Primary seat + Hashlight/Lucerna","Seat lane")</x:f>
        <x:v>Primary seat + Hashlight/Lucerna</x:v>
      </x:c>
      <x:c r="AA26" s="12" t="str">
        <x:f>IF(R26="","no_claim_delta","claim_delta_present")</x:f>
        <x:v>no_claim_delta</x:v>
      </x:c>
      <x:c r="AB26" s="12" t="str">
        <x:f>IF(S26="","no_contradiction_delta","contradiction_delta_present")</x:f>
        <x:v>no_contradiction_delta</x:v>
      </x:c>
      <x:c r="AC26" s="12" t="str">
        <x:f>IF(OR(ISNUMBER(SEARCH("hacker",LOWER(F26&amp;" "&amp;H26&amp;" "&amp;I26&amp;" "&amp;M26&amp;" "&amp;N26&amp;" "&amp;T26))),ISNUMBER(SEARCH("hacking",LOWER(F26&amp;" "&amp;H26&amp;" "&amp;I26&amp;" "&amp;M26&amp;" "&amp;N26&amp;" "&amp;T26))),ISNUMBER(SEARCH("bank",LOWER(F26&amp;" "&amp;H26&amp;" "&amp;I26&amp;" "&amp;M26&amp;" "&amp;N26&amp;" "&amp;T26))),ISNUMBER(SEARCH("banking",LOWER(F26&amp;" "&amp;H26&amp;" "&amp;I26&amp;" "&amp;M26&amp;" "&amp;N26&amp;" "&amp;T26)))),"PRIVATE_QUARANTINE",IF(OR(ISNUMBER(SEARCH("treasury",LOWER(F26&amp;" "&amp;H26&amp;" "&amp;I26&amp;" "&amp;M26&amp;" "&amp;N26&amp;" "&amp;T26))),ISNUMBER(SEARCH("debt",LOWER(F26&amp;" "&amp;H26&amp;" "&amp;I26&amp;" "&amp;M26&amp;" "&amp;N26&amp;" "&amp;T26))),ISNUMBER(SEARCH("bond",LOWER(F26&amp;" "&amp;H26&amp;" "&amp;I26&amp;" "&amp;M26&amp;" "&amp;N26&amp;" "&amp;T26))),ISNUMBER(SEARCH("transaction",LOWER(F26&amp;" "&amp;H26&amp;" "&amp;I26&amp;" "&amp;M26&amp;" "&amp;N26&amp;" "&amp;T26)))),"PRIVATE_REVIEW","PUBLIC_CANDIDATE"))</x:f>
        <x:v>PUBLIC_CANDIDATE</x:v>
      </x:c>
      <x:c r="AD26" s="12" t="str">
        <x:f>IF(AC26="PRIVATE_QUARANTINE","hacker_or_bank_trigger",IF(AC26="PRIVATE_REVIEW","finance_risk_trigger","none"))</x:f>
        <x:v>none</x:v>
      </x:c>
      <x:c r="AE26" s="12" t="str">
        <x:f>IF(AC26="PUBLIC_CANDIDATE","prepare_public_github_candidate",IF(AC26="PRIVATE_REVIEW","hold_for_private_review","quarantine_private_do_not_publish"))</x:f>
        <x:v>prepare_public_github_candidate</x:v>
      </x:c>
      <x:c r="AF26" s="12" t="str">
        <x:f>IF(AC26="PUBLIC_CANDIDATE","TIDELOCK + Lucerna",IF(AC26="PRIVATE_REVIEW","AtlasBrain + Lucerna","TIDELOCK + Lucerna + Human-root"))</x:f>
        <x:v>TIDELOCK + Lucerna</x:v>
      </x:c>
      <x:c r="AG26" s="12" t="str">
        <x:f>IF(AND(AC26="PUBLIC_CANDIDATE",U26&lt;&gt;"BLOCKED_PENDING_RECEIPT"),"READY_AFTER_RECEIPT","NOT_READY")</x:f>
        <x:v>NOT_READY</x:v>
      </x:c>
      <x:c r="AH26" s="12" t="str">
        <x:f>IF(AC26="PUBLIC_CANDIDATE","none",AD26)</x:f>
        <x:v>none</x:v>
      </x:c>
      <x:c r="AI26" s="12" t="str">
        <x:f>IF(AC26="PUBLIC_CANDIDATE","archive/public_candidates/"&amp;A26,"private_quarantine/"&amp;A26)</x:f>
        <x:v>archive/public_candidates/SWARM-01-H03-S01</x:v>
      </x:c>
      <x:c r="AJ26" s="12" t="str">
        <x:f>IF(AC26="PUBLIC_CANDIDATE","public by default; still not canon","private/hold; do not publish")</x:f>
        <x:v>public by default; still not canon</x:v>
      </x:c>
      <x:c r="AK26" s="12" t="str">
        <x:f>IF(AE26="prepare_public_github_candidate","add receipt/status then mirror","resolve blocker before any public GitHub action")</x:f>
        <x:v>add receipt/status then mirror</x:v>
      </x:c>
    </x:row>
    <x:row r="27">
      <x:c r="A27" s="15" t="str">
        <x:v>SWARM-01-H03-S02</x:v>
      </x:c>
      <x:c r="B27" s="15" t="str">
        <x:v>Ledgerwake</x:v>
      </x:c>
      <x:c r="C27" s="15" t="str">
        <x:v>Source receipt keeper</x:v>
      </x:c>
      <x:c r="D27" s="15" t="str">
        <x:v>Raw Export Recovery</x:v>
      </x:c>
      <x:c r="E27" s="15" t="str">
        <x:v>Drive</x:v>
      </x:c>
      <x:c r="F27" s="15" t="str">
        <x:v>Recover raw exports for Drive — Ledgerwake</x:v>
      </x:c>
      <x:c r="G27" s="15" t="str">
        <x:v>inventory / receipts / raw custody</x:v>
      </x:c>
      <x:c r="H27" s="15" t="str">
        <x:v>source path + receipt + raw/export status + claim/edge/risk delta</x:v>
      </x:c>
      <x:c r="I27" s="15" t="str">
        <x:v>packet/SWARM-01-H03-S02</x:v>
      </x:c>
      <x:c r="J27" s="15" t="str">
        <x:v>TODO</x:v>
      </x:c>
      <x:c r="K27" s="15" t="str">
        <x:v>P0</x:v>
      </x:c>
      <x:c r="L27" s="15" t="str">
        <x:v>Done only when evidence is logged, contradiction search is noted, and boundary stamp remains non-canon unless ratified</x:v>
      </x:c>
      <x:c r="M27" s="15" t="str">
        <x:v>candidate / staging-only / not canon / not deployed / authority none</x:v>
      </x:c>
      <x:c r="N27" s="15" t="str">
        <x:v>Dispatch to Ledgerwake: complete Raw Export Recovery x Drive; return deltas only, receipts required.</x:v>
      </x:c>
      <x:c r="O27" s="15" t="str">
        <x:v>AF-KG-H03-S02</x:v>
      </x:c>
      <x:c r="P27" s="15" t="str">
        <x:v>Unverified</x:v>
      </x:c>
      <x:c r="Q27" s="15" t="str">
        <x:v>Not checked</x:v>
      </x:c>
      <x:c r="R27" s="15" t="str"/>
      <x:c r="S27" s="15" t="str"/>
      <x:c r="T27" s="15" t="str">
        <x:v>Log first source path or blocker</x:v>
      </x:c>
      <x:c r="U27" s="12" t="str">
        <x:f>IF(OR(P27="Unverified",Q27="Not checked"),"BLOCKED_PENDING_RECEIPT","READY_FOR_REVIEW")</x:f>
        <x:v>BLOCKED_PENDING_RECEIPT</x:v>
      </x:c>
      <x:c r="V27" s="12" t="str">
        <x:f>IF(J27="DONE","RETURNED",IF(U27="BLOCKED_PENDING_RECEIPT","SOURCE_TOUCH_REQUIRED","IN_PROGRESS"))</x:f>
        <x:v>SOURCE_TOUCH_REQUIRED</x:v>
      </x:c>
      <x:c r="W27" s="12" t="str">
        <x:f>IF(P27="Unverified","missing_receipt","receipt_logged")</x:f>
        <x:v>missing_receipt</x:v>
      </x:c>
      <x:c r="X27" s="12" t="str">
        <x:f>IF(Q27="Not checked","raw_status_missing","raw_status_logged")</x:f>
        <x:v>raw_status_missing</x:v>
      </x:c>
      <x:c r="Y27" s="12" t="str">
        <x:f>IF(U27="BLOCKED_PENDING_RECEIPT","Log source path or blocker; do not promote","Route to review lane")</x:f>
        <x:v>Log source path or blocker; do not promote</x:v>
      </x:c>
      <x:c r="Z27" s="12" t="str">
        <x:f>IF(K27="P0","Primary seat + Hashlight/Lucerna","Seat lane")</x:f>
        <x:v>Primary seat + Hashlight/Lucerna</x:v>
      </x:c>
      <x:c r="AA27" s="12" t="str">
        <x:f>IF(R27="","no_claim_delta","claim_delta_present")</x:f>
        <x:v>no_claim_delta</x:v>
      </x:c>
      <x:c r="AB27" s="12" t="str">
        <x:f>IF(S27="","no_contradiction_delta","contradiction_delta_present")</x:f>
        <x:v>no_contradiction_delta</x:v>
      </x:c>
      <x:c r="AC27" s="12" t="str">
        <x:f>IF(OR(ISNUMBER(SEARCH("hacker",LOWER(F27&amp;" "&amp;H27&amp;" "&amp;I27&amp;" "&amp;M27&amp;" "&amp;N27&amp;" "&amp;T27))),ISNUMBER(SEARCH("hacking",LOWER(F27&amp;" "&amp;H27&amp;" "&amp;I27&amp;" "&amp;M27&amp;" "&amp;N27&amp;" "&amp;T27))),ISNUMBER(SEARCH("bank",LOWER(F27&amp;" "&amp;H27&amp;" "&amp;I27&amp;" "&amp;M27&amp;" "&amp;N27&amp;" "&amp;T27))),ISNUMBER(SEARCH("banking",LOWER(F27&amp;" "&amp;H27&amp;" "&amp;I27&amp;" "&amp;M27&amp;" "&amp;N27&amp;" "&amp;T27)))),"PRIVATE_QUARANTINE",IF(OR(ISNUMBER(SEARCH("treasury",LOWER(F27&amp;" "&amp;H27&amp;" "&amp;I27&amp;" "&amp;M27&amp;" "&amp;N27&amp;" "&amp;T27))),ISNUMBER(SEARCH("debt",LOWER(F27&amp;" "&amp;H27&amp;" "&amp;I27&amp;" "&amp;M27&amp;" "&amp;N27&amp;" "&amp;T27))),ISNUMBER(SEARCH("bond",LOWER(F27&amp;" "&amp;H27&amp;" "&amp;I27&amp;" "&amp;M27&amp;" "&amp;N27&amp;" "&amp;T27))),ISNUMBER(SEARCH("transaction",LOWER(F27&amp;" "&amp;H27&amp;" "&amp;I27&amp;" "&amp;M27&amp;" "&amp;N27&amp;" "&amp;T27)))),"PRIVATE_REVIEW","PUBLIC_CANDIDATE"))</x:f>
        <x:v>PUBLIC_CANDIDATE</x:v>
      </x:c>
      <x:c r="AD27" s="12" t="str">
        <x:f>IF(AC27="PRIVATE_QUARANTINE","hacker_or_bank_trigger",IF(AC27="PRIVATE_REVIEW","finance_risk_trigger","none"))</x:f>
        <x:v>none</x:v>
      </x:c>
      <x:c r="AE27" s="12" t="str">
        <x:f>IF(AC27="PUBLIC_CANDIDATE","prepare_public_github_candidate",IF(AC27="PRIVATE_REVIEW","hold_for_private_review","quarantine_private_do_not_publish"))</x:f>
        <x:v>prepare_public_github_candidate</x:v>
      </x:c>
      <x:c r="AF27" s="12" t="str">
        <x:f>IF(AC27="PUBLIC_CANDIDATE","TIDELOCK + Lucerna",IF(AC27="PRIVATE_REVIEW","AtlasBrain + Lucerna","TIDELOCK + Lucerna + Human-root"))</x:f>
        <x:v>TIDELOCK + Lucerna</x:v>
      </x:c>
      <x:c r="AG27" s="12" t="str">
        <x:f>IF(AND(AC27="PUBLIC_CANDIDATE",U27&lt;&gt;"BLOCKED_PENDING_RECEIPT"),"READY_AFTER_RECEIPT","NOT_READY")</x:f>
        <x:v>NOT_READY</x:v>
      </x:c>
      <x:c r="AH27" s="12" t="str">
        <x:f>IF(AC27="PUBLIC_CANDIDATE","none",AD27)</x:f>
        <x:v>none</x:v>
      </x:c>
      <x:c r="AI27" s="12" t="str">
        <x:f>IF(AC27="PUBLIC_CANDIDATE","archive/public_candidates/"&amp;A27,"private_quarantine/"&amp;A27)</x:f>
        <x:v>archive/public_candidates/SWARM-01-H03-S02</x:v>
      </x:c>
      <x:c r="AJ27" s="12" t="str">
        <x:f>IF(AC27="PUBLIC_CANDIDATE","public by default; still not canon","private/hold; do not publish")</x:f>
        <x:v>public by default; still not canon</x:v>
      </x:c>
      <x:c r="AK27" s="12" t="str">
        <x:f>IF(AE27="prepare_public_github_candidate","add receipt/status then mirror","resolve blocker before any public GitHub action")</x:f>
        <x:v>add receipt/status then mirror</x:v>
      </x:c>
    </x:row>
    <x:row r="28">
      <x:c r="A28" s="15" t="str">
        <x:v>SWARM-01-H03-S03</x:v>
      </x:c>
      <x:c r="B28" s="15" t="str">
        <x:v>Ledgerwake</x:v>
      </x:c>
      <x:c r="C28" s="15" t="str">
        <x:v>Source receipt keeper</x:v>
      </x:c>
      <x:c r="D28" s="15" t="str">
        <x:v>Raw Export Recovery</x:v>
      </x:c>
      <x:c r="E28" s="15" t="str">
        <x:v>GitHub</x:v>
      </x:c>
      <x:c r="F28" s="15" t="str">
        <x:v>Recover raw exports for GitHub — Ledgerwake</x:v>
      </x:c>
      <x:c r="G28" s="15" t="str">
        <x:v>inventory / receipts / raw custody</x:v>
      </x:c>
      <x:c r="H28" s="15" t="str">
        <x:v>source path + receipt + raw/export status + claim/edge/risk delta</x:v>
      </x:c>
      <x:c r="I28" s="15" t="str">
        <x:v>packet/SWARM-01-H03-S03</x:v>
      </x:c>
      <x:c r="J28" s="15" t="str">
        <x:v>TODO</x:v>
      </x:c>
      <x:c r="K28" s="15" t="str">
        <x:v>P0</x:v>
      </x:c>
      <x:c r="L28" s="15" t="str">
        <x:v>Done only when evidence is logged, contradiction search is noted, and boundary stamp remains non-canon unless ratified</x:v>
      </x:c>
      <x:c r="M28" s="15" t="str">
        <x:v>candidate / staging-only / not canon / not deployed / authority none</x:v>
      </x:c>
      <x:c r="N28" s="15" t="str">
        <x:v>Dispatch to Ledgerwake: complete Raw Export Recovery x GitHub; return deltas only, receipts required.</x:v>
      </x:c>
      <x:c r="O28" s="15" t="str">
        <x:v>AF-KG-H03-S03</x:v>
      </x:c>
      <x:c r="P28" s="15" t="str">
        <x:v>Unverified</x:v>
      </x:c>
      <x:c r="Q28" s="15" t="str">
        <x:v>Not checked</x:v>
      </x:c>
      <x:c r="R28" s="15" t="str"/>
      <x:c r="S28" s="15" t="str"/>
      <x:c r="T28" s="15" t="str">
        <x:v>Log first source path or blocker</x:v>
      </x:c>
      <x:c r="U28" s="12" t="str">
        <x:f>IF(OR(P28="Unverified",Q28="Not checked"),"BLOCKED_PENDING_RECEIPT","READY_FOR_REVIEW")</x:f>
        <x:v>BLOCKED_PENDING_RECEIPT</x:v>
      </x:c>
      <x:c r="V28" s="12" t="str">
        <x:f>IF(J28="DONE","RETURNED",IF(U28="BLOCKED_PENDING_RECEIPT","SOURCE_TOUCH_REQUIRED","IN_PROGRESS"))</x:f>
        <x:v>SOURCE_TOUCH_REQUIRED</x:v>
      </x:c>
      <x:c r="W28" s="12" t="str">
        <x:f>IF(P28="Unverified","missing_receipt","receipt_logged")</x:f>
        <x:v>missing_receipt</x:v>
      </x:c>
      <x:c r="X28" s="12" t="str">
        <x:f>IF(Q28="Not checked","raw_status_missing","raw_status_logged")</x:f>
        <x:v>raw_status_missing</x:v>
      </x:c>
      <x:c r="Y28" s="12" t="str">
        <x:f>IF(U28="BLOCKED_PENDING_RECEIPT","Log source path or blocker; do not promote","Route to review lane")</x:f>
        <x:v>Log source path or blocker; do not promote</x:v>
      </x:c>
      <x:c r="Z28" s="12" t="str">
        <x:f>IF(K28="P0","Primary seat + Hashlight/Lucerna","Seat lane")</x:f>
        <x:v>Primary seat + Hashlight/Lucerna</x:v>
      </x:c>
      <x:c r="AA28" s="12" t="str">
        <x:f>IF(R28="","no_claim_delta","claim_delta_present")</x:f>
        <x:v>no_claim_delta</x:v>
      </x:c>
      <x:c r="AB28" s="12" t="str">
        <x:f>IF(S28="","no_contradiction_delta","contradiction_delta_present")</x:f>
        <x:v>no_contradiction_delta</x:v>
      </x:c>
      <x:c r="AC28" s="12" t="str">
        <x:f>IF(OR(ISNUMBER(SEARCH("hacker",LOWER(F28&amp;" "&amp;H28&amp;" "&amp;I28&amp;" "&amp;M28&amp;" "&amp;N28&amp;" "&amp;T28))),ISNUMBER(SEARCH("hacking",LOWER(F28&amp;" "&amp;H28&amp;" "&amp;I28&amp;" "&amp;M28&amp;" "&amp;N28&amp;" "&amp;T28))),ISNUMBER(SEARCH("bank",LOWER(F28&amp;" "&amp;H28&amp;" "&amp;I28&amp;" "&amp;M28&amp;" "&amp;N28&amp;" "&amp;T28))),ISNUMBER(SEARCH("banking",LOWER(F28&amp;" "&amp;H28&amp;" "&amp;I28&amp;" "&amp;M28&amp;" "&amp;N28&amp;" "&amp;T28)))),"PRIVATE_QUARANTINE",IF(OR(ISNUMBER(SEARCH("treasury",LOWER(F28&amp;" "&amp;H28&amp;" "&amp;I28&amp;" "&amp;M28&amp;" "&amp;N28&amp;" "&amp;T28))),ISNUMBER(SEARCH("debt",LOWER(F28&amp;" "&amp;H28&amp;" "&amp;I28&amp;" "&amp;M28&amp;" "&amp;N28&amp;" "&amp;T28))),ISNUMBER(SEARCH("bond",LOWER(F28&amp;" "&amp;H28&amp;" "&amp;I28&amp;" "&amp;M28&amp;" "&amp;N28&amp;" "&amp;T28))),ISNUMBER(SEARCH("transaction",LOWER(F28&amp;" "&amp;H28&amp;" "&amp;I28&amp;" "&amp;M28&amp;" "&amp;N28&amp;" "&amp;T28)))),"PRIVATE_REVIEW","PUBLIC_CANDIDATE"))</x:f>
        <x:v>PUBLIC_CANDIDATE</x:v>
      </x:c>
      <x:c r="AD28" s="12" t="str">
        <x:f>IF(AC28="PRIVATE_QUARANTINE","hacker_or_bank_trigger",IF(AC28="PRIVATE_REVIEW","finance_risk_trigger","none"))</x:f>
        <x:v>none</x:v>
      </x:c>
      <x:c r="AE28" s="12" t="str">
        <x:f>IF(AC28="PUBLIC_CANDIDATE","prepare_public_github_candidate",IF(AC28="PRIVATE_REVIEW","hold_for_private_review","quarantine_private_do_not_publish"))</x:f>
        <x:v>prepare_public_github_candidate</x:v>
      </x:c>
      <x:c r="AF28" s="12" t="str">
        <x:f>IF(AC28="PUBLIC_CANDIDATE","TIDELOCK + Lucerna",IF(AC28="PRIVATE_REVIEW","AtlasBrain + Lucerna","TIDELOCK + Lucerna + Human-root"))</x:f>
        <x:v>TIDELOCK + Lucerna</x:v>
      </x:c>
      <x:c r="AG28" s="12" t="str">
        <x:f>IF(AND(AC28="PUBLIC_CANDIDATE",U28&lt;&gt;"BLOCKED_PENDING_RECEIPT"),"READY_AFTER_RECEIPT","NOT_READY")</x:f>
        <x:v>NOT_READY</x:v>
      </x:c>
      <x:c r="AH28" s="12" t="str">
        <x:f>IF(AC28="PUBLIC_CANDIDATE","none",AD28)</x:f>
        <x:v>none</x:v>
      </x:c>
      <x:c r="AI28" s="12" t="str">
        <x:f>IF(AC28="PUBLIC_CANDIDATE","archive/public_candidates/"&amp;A28,"private_quarantine/"&amp;A28)</x:f>
        <x:v>archive/public_candidates/SWARM-01-H03-S03</x:v>
      </x:c>
      <x:c r="AJ28" s="12" t="str">
        <x:f>IF(AC28="PUBLIC_CANDIDATE","public by default; still not canon","private/hold; do not publish")</x:f>
        <x:v>public by default; still not canon</x:v>
      </x:c>
      <x:c r="AK28" s="12" t="str">
        <x:f>IF(AE28="prepare_public_github_candidate","add receipt/status then mirror","resolve blocker before any public GitHub action")</x:f>
        <x:v>add receipt/status then mirror</x:v>
      </x:c>
    </x:row>
    <x:row r="29">
      <x:c r="A29" s="15" t="str">
        <x:v>SWARM-01-H03-S04</x:v>
      </x:c>
      <x:c r="B29" s="15" t="str">
        <x:v>Ledgerwake</x:v>
      </x:c>
      <x:c r="C29" s="15" t="str">
        <x:v>Source receipt keeper</x:v>
      </x:c>
      <x:c r="D29" s="15" t="str">
        <x:v>Raw Export Recovery</x:v>
      </x:c>
      <x:c r="E29" s="15" t="str">
        <x:v>Gamma</x:v>
      </x:c>
      <x:c r="F29" s="15" t="str">
        <x:v>Recover raw exports for Gamma — Ledgerwake</x:v>
      </x:c>
      <x:c r="G29" s="15" t="str">
        <x:v>inventory / receipts / raw custody</x:v>
      </x:c>
      <x:c r="H29" s="15" t="str">
        <x:v>source path + receipt + raw/export status + claim/edge/risk delta</x:v>
      </x:c>
      <x:c r="I29" s="15" t="str">
        <x:v>packet/SWARM-01-H03-S04</x:v>
      </x:c>
      <x:c r="J29" s="15" t="str">
        <x:v>TODO</x:v>
      </x:c>
      <x:c r="K29" s="15" t="str">
        <x:v>P1</x:v>
      </x:c>
      <x:c r="L29" s="15" t="str">
        <x:v>Done only when evidence is logged, contradiction search is noted, and boundary stamp remains non-canon unless ratified</x:v>
      </x:c>
      <x:c r="M29" s="15" t="str">
        <x:v>candidate / staging-only / not canon / not deployed / authority none</x:v>
      </x:c>
      <x:c r="N29" s="15" t="str">
        <x:v>Dispatch to Ledgerwake: complete Raw Export Recovery x Gamma; return deltas only, receipts required.</x:v>
      </x:c>
      <x:c r="O29" s="15" t="str">
        <x:v>AF-KG-H03-S04</x:v>
      </x:c>
      <x:c r="P29" s="15" t="str">
        <x:v>Unverified</x:v>
      </x:c>
      <x:c r="Q29" s="15" t="str">
        <x:v>Not checked</x:v>
      </x:c>
      <x:c r="R29" s="15" t="str"/>
      <x:c r="S29" s="15" t="str"/>
      <x:c r="T29" s="15" t="str">
        <x:v>Log first source path or blocker</x:v>
      </x:c>
      <x:c r="U29" s="12" t="str">
        <x:f>IF(OR(P29="Unverified",Q29="Not checked"),"BLOCKED_PENDING_RECEIPT","READY_FOR_REVIEW")</x:f>
        <x:v>BLOCKED_PENDING_RECEIPT</x:v>
      </x:c>
      <x:c r="V29" s="12" t="str">
        <x:f>IF(J29="DONE","RETURNED",IF(U29="BLOCKED_PENDING_RECEIPT","SOURCE_TOUCH_REQUIRED","IN_PROGRESS"))</x:f>
        <x:v>SOURCE_TOUCH_REQUIRED</x:v>
      </x:c>
      <x:c r="W29" s="12" t="str">
        <x:f>IF(P29="Unverified","missing_receipt","receipt_logged")</x:f>
        <x:v>missing_receipt</x:v>
      </x:c>
      <x:c r="X29" s="12" t="str">
        <x:f>IF(Q29="Not checked","raw_status_missing","raw_status_logged")</x:f>
        <x:v>raw_status_missing</x:v>
      </x:c>
      <x:c r="Y29" s="12" t="str">
        <x:f>IF(U29="BLOCKED_PENDING_RECEIPT","Log source path or blocker; do not promote","Route to review lane")</x:f>
        <x:v>Log source path or blocker; do not promote</x:v>
      </x:c>
      <x:c r="Z29" s="12" t="str">
        <x:f>IF(K29="P0","Primary seat + Hashlight/Lucerna","Seat lane")</x:f>
        <x:v>Seat lane</x:v>
      </x:c>
      <x:c r="AA29" s="12" t="str">
        <x:f>IF(R29="","no_claim_delta","claim_delta_present")</x:f>
        <x:v>no_claim_delta</x:v>
      </x:c>
      <x:c r="AB29" s="12" t="str">
        <x:f>IF(S29="","no_contradiction_delta","contradiction_delta_present")</x:f>
        <x:v>no_contradiction_delta</x:v>
      </x:c>
      <x:c r="AC29" s="12" t="str">
        <x:f>IF(OR(ISNUMBER(SEARCH("hacker",LOWER(F29&amp;" "&amp;H29&amp;" "&amp;I29&amp;" "&amp;M29&amp;" "&amp;N29&amp;" "&amp;T29))),ISNUMBER(SEARCH("hacking",LOWER(F29&amp;" "&amp;H29&amp;" "&amp;I29&amp;" "&amp;M29&amp;" "&amp;N29&amp;" "&amp;T29))),ISNUMBER(SEARCH("bank",LOWER(F29&amp;" "&amp;H29&amp;" "&amp;I29&amp;" "&amp;M29&amp;" "&amp;N29&amp;" "&amp;T29))),ISNUMBER(SEARCH("banking",LOWER(F29&amp;" "&amp;H29&amp;" "&amp;I29&amp;" "&amp;M29&amp;" "&amp;N29&amp;" "&amp;T29)))),"PRIVATE_QUARANTINE",IF(OR(ISNUMBER(SEARCH("treasury",LOWER(F29&amp;" "&amp;H29&amp;" "&amp;I29&amp;" "&amp;M29&amp;" "&amp;N29&amp;" "&amp;T29))),ISNUMBER(SEARCH("debt",LOWER(F29&amp;" "&amp;H29&amp;" "&amp;I29&amp;" "&amp;M29&amp;" "&amp;N29&amp;" "&amp;T29))),ISNUMBER(SEARCH("bond",LOWER(F29&amp;" "&amp;H29&amp;" "&amp;I29&amp;" "&amp;M29&amp;" "&amp;N29&amp;" "&amp;T29))),ISNUMBER(SEARCH("transaction",LOWER(F29&amp;" "&amp;H29&amp;" "&amp;I29&amp;" "&amp;M29&amp;" "&amp;N29&amp;" "&amp;T29)))),"PRIVATE_REVIEW","PUBLIC_CANDIDATE"))</x:f>
        <x:v>PUBLIC_CANDIDATE</x:v>
      </x:c>
      <x:c r="AD29" s="12" t="str">
        <x:f>IF(AC29="PRIVATE_QUARANTINE","hacker_or_bank_trigger",IF(AC29="PRIVATE_REVIEW","finance_risk_trigger","none"))</x:f>
        <x:v>none</x:v>
      </x:c>
      <x:c r="AE29" s="12" t="str">
        <x:f>IF(AC29="PUBLIC_CANDIDATE","prepare_public_github_candidate",IF(AC29="PRIVATE_REVIEW","hold_for_private_review","quarantine_private_do_not_publish"))</x:f>
        <x:v>prepare_public_github_candidate</x:v>
      </x:c>
      <x:c r="AF29" s="12" t="str">
        <x:f>IF(AC29="PUBLIC_CANDIDATE","TIDELOCK + Lucerna",IF(AC29="PRIVATE_REVIEW","AtlasBrain + Lucerna","TIDELOCK + Lucerna + Human-root"))</x:f>
        <x:v>TIDELOCK + Lucerna</x:v>
      </x:c>
      <x:c r="AG29" s="12" t="str">
        <x:f>IF(AND(AC29="PUBLIC_CANDIDATE",U29&lt;&gt;"BLOCKED_PENDING_RECEIPT"),"READY_AFTER_RECEIPT","NOT_READY")</x:f>
        <x:v>NOT_READY</x:v>
      </x:c>
      <x:c r="AH29" s="12" t="str">
        <x:f>IF(AC29="PUBLIC_CANDIDATE","none",AD29)</x:f>
        <x:v>none</x:v>
      </x:c>
      <x:c r="AI29" s="12" t="str">
        <x:f>IF(AC29="PUBLIC_CANDIDATE","archive/public_candidates/"&amp;A29,"private_quarantine/"&amp;A29)</x:f>
        <x:v>archive/public_candidates/SWARM-01-H03-S04</x:v>
      </x:c>
      <x:c r="AJ29" s="12" t="str">
        <x:f>IF(AC29="PUBLIC_CANDIDATE","public by default; still not canon","private/hold; do not publish")</x:f>
        <x:v>public by default; still not canon</x:v>
      </x:c>
      <x:c r="AK29" s="12" t="str">
        <x:f>IF(AE29="prepare_public_github_candidate","add receipt/status then mirror","resolve blocker before any public GitHub action")</x:f>
        <x:v>add receipt/status then mirror</x:v>
      </x:c>
    </x:row>
    <x:row r="30">
      <x:c r="A30" s="15" t="str">
        <x:v>SWARM-01-H03-S05</x:v>
      </x:c>
      <x:c r="B30" s="15" t="str">
        <x:v>Ledgerwake</x:v>
      </x:c>
      <x:c r="C30" s="15" t="str">
        <x:v>Source receipt keeper</x:v>
      </x:c>
      <x:c r="D30" s="15" t="str">
        <x:v>Raw Export Recovery</x:v>
      </x:c>
      <x:c r="E30" s="15" t="str">
        <x:v>Chat</x:v>
      </x:c>
      <x:c r="F30" s="15" t="str">
        <x:v>Recover raw exports for Chat — Ledgerwake</x:v>
      </x:c>
      <x:c r="G30" s="15" t="str">
        <x:v>inventory / receipts / raw custody</x:v>
      </x:c>
      <x:c r="H30" s="15" t="str">
        <x:v>source path + receipt + raw/export status + claim/edge/risk delta</x:v>
      </x:c>
      <x:c r="I30" s="15" t="str">
        <x:v>packet/SWARM-01-H03-S05</x:v>
      </x:c>
      <x:c r="J30" s="15" t="str">
        <x:v>TODO</x:v>
      </x:c>
      <x:c r="K30" s="15" t="str">
        <x:v>P1</x:v>
      </x:c>
      <x:c r="L30" s="15" t="str">
        <x:v>Done only when evidence is logged, contradiction search is noted, and boundary stamp remains non-canon unless ratified</x:v>
      </x:c>
      <x:c r="M30" s="15" t="str">
        <x:v>candidate / staging-only / not canon / not deployed / authority none</x:v>
      </x:c>
      <x:c r="N30" s="15" t="str">
        <x:v>Dispatch to Ledgerwake: complete Raw Export Recovery x Chat; return deltas only, receipts required.</x:v>
      </x:c>
      <x:c r="O30" s="15" t="str">
        <x:v>AF-KG-H03-S05</x:v>
      </x:c>
      <x:c r="P30" s="15" t="str">
        <x:v>Unverified</x:v>
      </x:c>
      <x:c r="Q30" s="15" t="str">
        <x:v>Not checked</x:v>
      </x:c>
      <x:c r="R30" s="15" t="str"/>
      <x:c r="S30" s="15" t="str"/>
      <x:c r="T30" s="15" t="str">
        <x:v>Log first source path or blocker</x:v>
      </x:c>
      <x:c r="U30" s="12" t="str">
        <x:f>IF(OR(P30="Unverified",Q30="Not checked"),"BLOCKED_PENDING_RECEIPT","READY_FOR_REVIEW")</x:f>
        <x:v>BLOCKED_PENDING_RECEIPT</x:v>
      </x:c>
      <x:c r="V30" s="12" t="str">
        <x:f>IF(J30="DONE","RETURNED",IF(U30="BLOCKED_PENDING_RECEIPT","SOURCE_TOUCH_REQUIRED","IN_PROGRESS"))</x:f>
        <x:v>SOURCE_TOUCH_REQUIRED</x:v>
      </x:c>
      <x:c r="W30" s="12" t="str">
        <x:f>IF(P30="Unverified","missing_receipt","receipt_logged")</x:f>
        <x:v>missing_receipt</x:v>
      </x:c>
      <x:c r="X30" s="12" t="str">
        <x:f>IF(Q30="Not checked","raw_status_missing","raw_status_logged")</x:f>
        <x:v>raw_status_missing</x:v>
      </x:c>
      <x:c r="Y30" s="12" t="str">
        <x:f>IF(U30="BLOCKED_PENDING_RECEIPT","Log source path or blocker; do not promote","Route to review lane")</x:f>
        <x:v>Log source path or blocker; do not promote</x:v>
      </x:c>
      <x:c r="Z30" s="12" t="str">
        <x:f>IF(K30="P0","Primary seat + Hashlight/Lucerna","Seat lane")</x:f>
        <x:v>Seat lane</x:v>
      </x:c>
      <x:c r="AA30" s="12" t="str">
        <x:f>IF(R30="","no_claim_delta","claim_delta_present")</x:f>
        <x:v>no_claim_delta</x:v>
      </x:c>
      <x:c r="AB30" s="12" t="str">
        <x:f>IF(S30="","no_contradiction_delta","contradiction_delta_present")</x:f>
        <x:v>no_contradiction_delta</x:v>
      </x:c>
      <x:c r="AC30" s="12" t="str">
        <x:f>IF(OR(ISNUMBER(SEARCH("hacker",LOWER(F30&amp;" "&amp;H30&amp;" "&amp;I30&amp;" "&amp;M30&amp;" "&amp;N30&amp;" "&amp;T30))),ISNUMBER(SEARCH("hacking",LOWER(F30&amp;" "&amp;H30&amp;" "&amp;I30&amp;" "&amp;M30&amp;" "&amp;N30&amp;" "&amp;T30))),ISNUMBER(SEARCH("bank",LOWER(F30&amp;" "&amp;H30&amp;" "&amp;I30&amp;" "&amp;M30&amp;" "&amp;N30&amp;" "&amp;T30))),ISNUMBER(SEARCH("banking",LOWER(F30&amp;" "&amp;H30&amp;" "&amp;I30&amp;" "&amp;M30&amp;" "&amp;N30&amp;" "&amp;T30)))),"PRIVATE_QUARANTINE",IF(OR(ISNUMBER(SEARCH("treasury",LOWER(F30&amp;" "&amp;H30&amp;" "&amp;I30&amp;" "&amp;M30&amp;" "&amp;N30&amp;" "&amp;T30))),ISNUMBER(SEARCH("debt",LOWER(F30&amp;" "&amp;H30&amp;" "&amp;I30&amp;" "&amp;M30&amp;" "&amp;N30&amp;" "&amp;T30))),ISNUMBER(SEARCH("bond",LOWER(F30&amp;" "&amp;H30&amp;" "&amp;I30&amp;" "&amp;M30&amp;" "&amp;N30&amp;" "&amp;T30))),ISNUMBER(SEARCH("transaction",LOWER(F30&amp;" "&amp;H30&amp;" "&amp;I30&amp;" "&amp;M30&amp;" "&amp;N30&amp;" "&amp;T30)))),"PRIVATE_REVIEW","PUBLIC_CANDIDATE"))</x:f>
        <x:v>PUBLIC_CANDIDATE</x:v>
      </x:c>
      <x:c r="AD30" s="12" t="str">
        <x:f>IF(AC30="PRIVATE_QUARANTINE","hacker_or_bank_trigger",IF(AC30="PRIVATE_REVIEW","finance_risk_trigger","none"))</x:f>
        <x:v>none</x:v>
      </x:c>
      <x:c r="AE30" s="12" t="str">
        <x:f>IF(AC30="PUBLIC_CANDIDATE","prepare_public_github_candidate",IF(AC30="PRIVATE_REVIEW","hold_for_private_review","quarantine_private_do_not_publish"))</x:f>
        <x:v>prepare_public_github_candidate</x:v>
      </x:c>
      <x:c r="AF30" s="12" t="str">
        <x:f>IF(AC30="PUBLIC_CANDIDATE","TIDELOCK + Lucerna",IF(AC30="PRIVATE_REVIEW","AtlasBrain + Lucerna","TIDELOCK + Lucerna + Human-root"))</x:f>
        <x:v>TIDELOCK + Lucerna</x:v>
      </x:c>
      <x:c r="AG30" s="12" t="str">
        <x:f>IF(AND(AC30="PUBLIC_CANDIDATE",U30&lt;&gt;"BLOCKED_PENDING_RECEIPT"),"READY_AFTER_RECEIPT","NOT_READY")</x:f>
        <x:v>NOT_READY</x:v>
      </x:c>
      <x:c r="AH30" s="12" t="str">
        <x:f>IF(AC30="PUBLIC_CANDIDATE","none",AD30)</x:f>
        <x:v>none</x:v>
      </x:c>
      <x:c r="AI30" s="12" t="str">
        <x:f>IF(AC30="PUBLIC_CANDIDATE","archive/public_candidates/"&amp;A30,"private_quarantine/"&amp;A30)</x:f>
        <x:v>archive/public_candidates/SWARM-01-H03-S05</x:v>
      </x:c>
      <x:c r="AJ30" s="12" t="str">
        <x:f>IF(AC30="PUBLIC_CANDIDATE","public by default; still not canon","private/hold; do not publish")</x:f>
        <x:v>public by default; still not canon</x:v>
      </x:c>
      <x:c r="AK30" s="12" t="str">
        <x:f>IF(AE30="prepare_public_github_candidate","add receipt/status then mirror","resolve blocker before any public GitHub action")</x:f>
        <x:v>add receipt/status then mirror</x:v>
      </x:c>
    </x:row>
    <x:row r="31">
      <x:c r="A31" s="15" t="str">
        <x:v>SWARM-01-H03-S06</x:v>
      </x:c>
      <x:c r="B31" s="15" t="str">
        <x:v>Ledgerwake</x:v>
      </x:c>
      <x:c r="C31" s="15" t="str">
        <x:v>Source receipt keeper</x:v>
      </x:c>
      <x:c r="D31" s="15" t="str">
        <x:v>Raw Export Recovery</x:v>
      </x:c>
      <x:c r="E31" s="15" t="str">
        <x:v>External Web</x:v>
      </x:c>
      <x:c r="F31" s="15" t="str">
        <x:v>Recover raw exports for External Web — Ledgerwake</x:v>
      </x:c>
      <x:c r="G31" s="15" t="str">
        <x:v>inventory / receipts / raw custody</x:v>
      </x:c>
      <x:c r="H31" s="15" t="str">
        <x:v>source path + receipt + raw/export status + claim/edge/risk delta</x:v>
      </x:c>
      <x:c r="I31" s="15" t="str">
        <x:v>packet/SWARM-01-H03-S06</x:v>
      </x:c>
      <x:c r="J31" s="15" t="str">
        <x:v>TODO</x:v>
      </x:c>
      <x:c r="K31" s="15" t="str">
        <x:v>P1</x:v>
      </x:c>
      <x:c r="L31" s="15" t="str">
        <x:v>Done only when evidence is logged, contradiction search is noted, and boundary stamp remains non-canon unless ratified</x:v>
      </x:c>
      <x:c r="M31" s="15" t="str">
        <x:v>candidate / staging-only / not canon / not deployed / authority none</x:v>
      </x:c>
      <x:c r="N31" s="15" t="str">
        <x:v>Dispatch to Ledgerwake: complete Raw Export Recovery x External Web; return deltas only, receipts required.</x:v>
      </x:c>
      <x:c r="O31" s="15" t="str">
        <x:v>AF-KG-H03-S06</x:v>
      </x:c>
      <x:c r="P31" s="15" t="str">
        <x:v>Unverified</x:v>
      </x:c>
      <x:c r="Q31" s="15" t="str">
        <x:v>Not checked</x:v>
      </x:c>
      <x:c r="R31" s="15" t="str"/>
      <x:c r="S31" s="15" t="str"/>
      <x:c r="T31" s="15" t="str">
        <x:v>Log first source path or blocker</x:v>
      </x:c>
      <x:c r="U31" s="12" t="str">
        <x:f>IF(OR(P31="Unverified",Q31="Not checked"),"BLOCKED_PENDING_RECEIPT","READY_FOR_REVIEW")</x:f>
        <x:v>BLOCKED_PENDING_RECEIPT</x:v>
      </x:c>
      <x:c r="V31" s="12" t="str">
        <x:f>IF(J31="DONE","RETURNED",IF(U31="BLOCKED_PENDING_RECEIPT","SOURCE_TOUCH_REQUIRED","IN_PROGRESS"))</x:f>
        <x:v>SOURCE_TOUCH_REQUIRED</x:v>
      </x:c>
      <x:c r="W31" s="12" t="str">
        <x:f>IF(P31="Unverified","missing_receipt","receipt_logged")</x:f>
        <x:v>missing_receipt</x:v>
      </x:c>
      <x:c r="X31" s="12" t="str">
        <x:f>IF(Q31="Not checked","raw_status_missing","raw_status_logged")</x:f>
        <x:v>raw_status_missing</x:v>
      </x:c>
      <x:c r="Y31" s="12" t="str">
        <x:f>IF(U31="BLOCKED_PENDING_RECEIPT","Log source path or blocker; do not promote","Route to review lane")</x:f>
        <x:v>Log source path or blocker; do not promote</x:v>
      </x:c>
      <x:c r="Z31" s="12" t="str">
        <x:f>IF(K31="P0","Primary seat + Hashlight/Lucerna","Seat lane")</x:f>
        <x:v>Seat lane</x:v>
      </x:c>
      <x:c r="AA31" s="12" t="str">
        <x:f>IF(R31="","no_claim_delta","claim_delta_present")</x:f>
        <x:v>no_claim_delta</x:v>
      </x:c>
      <x:c r="AB31" s="12" t="str">
        <x:f>IF(S31="","no_contradiction_delta","contradiction_delta_present")</x:f>
        <x:v>no_contradiction_delta</x:v>
      </x:c>
      <x:c r="AC31" s="12" t="str">
        <x:f>IF(OR(ISNUMBER(SEARCH("hacker",LOWER(F31&amp;" "&amp;H31&amp;" "&amp;I31&amp;" "&amp;M31&amp;" "&amp;N31&amp;" "&amp;T31))),ISNUMBER(SEARCH("hacking",LOWER(F31&amp;" "&amp;H31&amp;" "&amp;I31&amp;" "&amp;M31&amp;" "&amp;N31&amp;" "&amp;T31))),ISNUMBER(SEARCH("bank",LOWER(F31&amp;" "&amp;H31&amp;" "&amp;I31&amp;" "&amp;M31&amp;" "&amp;N31&amp;" "&amp;T31))),ISNUMBER(SEARCH("banking",LOWER(F31&amp;" "&amp;H31&amp;" "&amp;I31&amp;" "&amp;M31&amp;" "&amp;N31&amp;" "&amp;T31)))),"PRIVATE_QUARANTINE",IF(OR(ISNUMBER(SEARCH("treasury",LOWER(F31&amp;" "&amp;H31&amp;" "&amp;I31&amp;" "&amp;M31&amp;" "&amp;N31&amp;" "&amp;T31))),ISNUMBER(SEARCH("debt",LOWER(F31&amp;" "&amp;H31&amp;" "&amp;I31&amp;" "&amp;M31&amp;" "&amp;N31&amp;" "&amp;T31))),ISNUMBER(SEARCH("bond",LOWER(F31&amp;" "&amp;H31&amp;" "&amp;I31&amp;" "&amp;M31&amp;" "&amp;N31&amp;" "&amp;T31))),ISNUMBER(SEARCH("transaction",LOWER(F31&amp;" "&amp;H31&amp;" "&amp;I31&amp;" "&amp;M31&amp;" "&amp;N31&amp;" "&amp;T31)))),"PRIVATE_REVIEW","PUBLIC_CANDIDATE"))</x:f>
        <x:v>PUBLIC_CANDIDATE</x:v>
      </x:c>
      <x:c r="AD31" s="12" t="str">
        <x:f>IF(AC31="PRIVATE_QUARANTINE","hacker_or_bank_trigger",IF(AC31="PRIVATE_REVIEW","finance_risk_trigger","none"))</x:f>
        <x:v>none</x:v>
      </x:c>
      <x:c r="AE31" s="12" t="str">
        <x:f>IF(AC31="PUBLIC_CANDIDATE","prepare_public_github_candidate",IF(AC31="PRIVATE_REVIEW","hold_for_private_review","quarantine_private_do_not_publish"))</x:f>
        <x:v>prepare_public_github_candidate</x:v>
      </x:c>
      <x:c r="AF31" s="12" t="str">
        <x:f>IF(AC31="PUBLIC_CANDIDATE","TIDELOCK + Lucerna",IF(AC31="PRIVATE_REVIEW","AtlasBrain + Lucerna","TIDELOCK + Lucerna + Human-root"))</x:f>
        <x:v>TIDELOCK + Lucerna</x:v>
      </x:c>
      <x:c r="AG31" s="12" t="str">
        <x:f>IF(AND(AC31="PUBLIC_CANDIDATE",U31&lt;&gt;"BLOCKED_PENDING_RECEIPT"),"READY_AFTER_RECEIPT","NOT_READY")</x:f>
        <x:v>NOT_READY</x:v>
      </x:c>
      <x:c r="AH31" s="12" t="str">
        <x:f>IF(AC31="PUBLIC_CANDIDATE","none",AD31)</x:f>
        <x:v>none</x:v>
      </x:c>
      <x:c r="AI31" s="12" t="str">
        <x:f>IF(AC31="PUBLIC_CANDIDATE","archive/public_candidates/"&amp;A31,"private_quarantine/"&amp;A31)</x:f>
        <x:v>archive/public_candidates/SWARM-01-H03-S06</x:v>
      </x:c>
      <x:c r="AJ31" s="12" t="str">
        <x:f>IF(AC31="PUBLIC_CANDIDATE","public by default; still not canon","private/hold; do not publish")</x:f>
        <x:v>public by default; still not canon</x:v>
      </x:c>
      <x:c r="AK31" s="12" t="str">
        <x:f>IF(AE31="prepare_public_github_candidate","add receipt/status then mirror","resolve blocker before any public GitHub action")</x:f>
        <x:v>add receipt/status then mirror</x:v>
      </x:c>
    </x:row>
    <x:row r="32">
      <x:c r="A32" s="15" t="str">
        <x:v>SWARM-01-H03-S07</x:v>
      </x:c>
      <x:c r="B32" s="15" t="str">
        <x:v>Ledgerwake</x:v>
      </x:c>
      <x:c r="C32" s="15" t="str">
        <x:v>Source receipt keeper</x:v>
      </x:c>
      <x:c r="D32" s="15" t="str">
        <x:v>Raw Export Recovery</x:v>
      </x:c>
      <x:c r="E32" s="15" t="str">
        <x:v>Planetarium</x:v>
      </x:c>
      <x:c r="F32" s="15" t="str">
        <x:v>Recover raw exports for Planetarium — Ledgerwake</x:v>
      </x:c>
      <x:c r="G32" s="15" t="str">
        <x:v>inventory / receipts / raw custody</x:v>
      </x:c>
      <x:c r="H32" s="15" t="str">
        <x:v>source path + receipt + raw/export status + claim/edge/risk delta</x:v>
      </x:c>
      <x:c r="I32" s="15" t="str">
        <x:v>packet/SWARM-01-H03-S07</x:v>
      </x:c>
      <x:c r="J32" s="15" t="str">
        <x:v>TODO</x:v>
      </x:c>
      <x:c r="K32" s="15" t="str">
        <x:v>P1</x:v>
      </x:c>
      <x:c r="L32" s="15" t="str">
        <x:v>Done only when evidence is logged, contradiction search is noted, and boundary stamp remains non-canon unless ratified</x:v>
      </x:c>
      <x:c r="M32" s="15" t="str">
        <x:v>candidate / staging-only / not canon / not deployed / authority none</x:v>
      </x:c>
      <x:c r="N32" s="15" t="str">
        <x:v>Dispatch to Ledgerwake: complete Raw Export Recovery x Planetarium; return deltas only, receipts required.</x:v>
      </x:c>
      <x:c r="O32" s="15" t="str">
        <x:v>AF-KG-H03-S07</x:v>
      </x:c>
      <x:c r="P32" s="15" t="str">
        <x:v>Unverified</x:v>
      </x:c>
      <x:c r="Q32" s="15" t="str">
        <x:v>Not checked</x:v>
      </x:c>
      <x:c r="R32" s="15" t="str"/>
      <x:c r="S32" s="15" t="str"/>
      <x:c r="T32" s="15" t="str">
        <x:v>Log first source path or blocker</x:v>
      </x:c>
      <x:c r="U32" s="12" t="str">
        <x:f>IF(OR(P32="Unverified",Q32="Not checked"),"BLOCKED_PENDING_RECEIPT","READY_FOR_REVIEW")</x:f>
        <x:v>BLOCKED_PENDING_RECEIPT</x:v>
      </x:c>
      <x:c r="V32" s="12" t="str">
        <x:f>IF(J32="DONE","RETURNED",IF(U32="BLOCKED_PENDING_RECEIPT","SOURCE_TOUCH_REQUIRED","IN_PROGRESS"))</x:f>
        <x:v>SOURCE_TOUCH_REQUIRED</x:v>
      </x:c>
      <x:c r="W32" s="12" t="str">
        <x:f>IF(P32="Unverified","missing_receipt","receipt_logged")</x:f>
        <x:v>missing_receipt</x:v>
      </x:c>
      <x:c r="X32" s="12" t="str">
        <x:f>IF(Q32="Not checked","raw_status_missing","raw_status_logged")</x:f>
        <x:v>raw_status_missing</x:v>
      </x:c>
      <x:c r="Y32" s="12" t="str">
        <x:f>IF(U32="BLOCKED_PENDING_RECEIPT","Log source path or blocker; do not promote","Route to review lane")</x:f>
        <x:v>Log source path or blocker; do not promote</x:v>
      </x:c>
      <x:c r="Z32" s="12" t="str">
        <x:f>IF(K32="P0","Primary seat + Hashlight/Lucerna","Seat lane")</x:f>
        <x:v>Seat lane</x:v>
      </x:c>
      <x:c r="AA32" s="12" t="str">
        <x:f>IF(R32="","no_claim_delta","claim_delta_present")</x:f>
        <x:v>no_claim_delta</x:v>
      </x:c>
      <x:c r="AB32" s="12" t="str">
        <x:f>IF(S32="","no_contradiction_delta","contradiction_delta_present")</x:f>
        <x:v>no_contradiction_delta</x:v>
      </x:c>
      <x:c r="AC32" s="12" t="str">
        <x:f>IF(OR(ISNUMBER(SEARCH("hacker",LOWER(F32&amp;" "&amp;H32&amp;" "&amp;I32&amp;" "&amp;M32&amp;" "&amp;N32&amp;" "&amp;T32))),ISNUMBER(SEARCH("hacking",LOWER(F32&amp;" "&amp;H32&amp;" "&amp;I32&amp;" "&amp;M32&amp;" "&amp;N32&amp;" "&amp;T32))),ISNUMBER(SEARCH("bank",LOWER(F32&amp;" "&amp;H32&amp;" "&amp;I32&amp;" "&amp;M32&amp;" "&amp;N32&amp;" "&amp;T32))),ISNUMBER(SEARCH("banking",LOWER(F32&amp;" "&amp;H32&amp;" "&amp;I32&amp;" "&amp;M32&amp;" "&amp;N32&amp;" "&amp;T32)))),"PRIVATE_QUARANTINE",IF(OR(ISNUMBER(SEARCH("treasury",LOWER(F32&amp;" "&amp;H32&amp;" "&amp;I32&amp;" "&amp;M32&amp;" "&amp;N32&amp;" "&amp;T32))),ISNUMBER(SEARCH("debt",LOWER(F32&amp;" "&amp;H32&amp;" "&amp;I32&amp;" "&amp;M32&amp;" "&amp;N32&amp;" "&amp;T32))),ISNUMBER(SEARCH("bond",LOWER(F32&amp;" "&amp;H32&amp;" "&amp;I32&amp;" "&amp;M32&amp;" "&amp;N32&amp;" "&amp;T32))),ISNUMBER(SEARCH("transaction",LOWER(F32&amp;" "&amp;H32&amp;" "&amp;I32&amp;" "&amp;M32&amp;" "&amp;N32&amp;" "&amp;T32)))),"PRIVATE_REVIEW","PUBLIC_CANDIDATE"))</x:f>
        <x:v>PUBLIC_CANDIDATE</x:v>
      </x:c>
      <x:c r="AD32" s="12" t="str">
        <x:f>IF(AC32="PRIVATE_QUARANTINE","hacker_or_bank_trigger",IF(AC32="PRIVATE_REVIEW","finance_risk_trigger","none"))</x:f>
        <x:v>none</x:v>
      </x:c>
      <x:c r="AE32" s="12" t="str">
        <x:f>IF(AC32="PUBLIC_CANDIDATE","prepare_public_github_candidate",IF(AC32="PRIVATE_REVIEW","hold_for_private_review","quarantine_private_do_not_publish"))</x:f>
        <x:v>prepare_public_github_candidate</x:v>
      </x:c>
      <x:c r="AF32" s="12" t="str">
        <x:f>IF(AC32="PUBLIC_CANDIDATE","TIDELOCK + Lucerna",IF(AC32="PRIVATE_REVIEW","AtlasBrain + Lucerna","TIDELOCK + Lucerna + Human-root"))</x:f>
        <x:v>TIDELOCK + Lucerna</x:v>
      </x:c>
      <x:c r="AG32" s="12" t="str">
        <x:f>IF(AND(AC32="PUBLIC_CANDIDATE",U32&lt;&gt;"BLOCKED_PENDING_RECEIPT"),"READY_AFTER_RECEIPT","NOT_READY")</x:f>
        <x:v>NOT_READY</x:v>
      </x:c>
      <x:c r="AH32" s="12" t="str">
        <x:f>IF(AC32="PUBLIC_CANDIDATE","none",AD32)</x:f>
        <x:v>none</x:v>
      </x:c>
      <x:c r="AI32" s="12" t="str">
        <x:f>IF(AC32="PUBLIC_CANDIDATE","archive/public_candidates/"&amp;A32,"private_quarantine/"&amp;A32)</x:f>
        <x:v>archive/public_candidates/SWARM-01-H03-S07</x:v>
      </x:c>
      <x:c r="AJ32" s="12" t="str">
        <x:f>IF(AC32="PUBLIC_CANDIDATE","public by default; still not canon","private/hold; do not publish")</x:f>
        <x:v>public by default; still not canon</x:v>
      </x:c>
      <x:c r="AK32" s="12" t="str">
        <x:f>IF(AE32="prepare_public_github_candidate","add receipt/status then mirror","resolve blocker before any public GitHub action")</x:f>
        <x:v>add receipt/status then mirror</x:v>
      </x:c>
    </x:row>
    <x:row r="33">
      <x:c r="A33" s="15" t="str">
        <x:v>SWARM-01-H03-S08</x:v>
      </x:c>
      <x:c r="B33" s="15" t="str">
        <x:v>Ledgerwake</x:v>
      </x:c>
      <x:c r="C33" s="15" t="str">
        <x:v>Source receipt keeper</x:v>
      </x:c>
      <x:c r="D33" s="15" t="str">
        <x:v>Raw Export Recovery</x:v>
      </x:c>
      <x:c r="E33" s="15" t="str">
        <x:v>Sheldonbrain</x:v>
      </x:c>
      <x:c r="F33" s="15" t="str">
        <x:v>Recover raw exports for Sheldonbrain — Ledgerwake</x:v>
      </x:c>
      <x:c r="G33" s="15" t="str">
        <x:v>inventory / receipts / raw custody</x:v>
      </x:c>
      <x:c r="H33" s="15" t="str">
        <x:v>source path + receipt + raw/export status + claim/edge/risk delta</x:v>
      </x:c>
      <x:c r="I33" s="15" t="str">
        <x:v>packet/SWARM-01-H03-S08</x:v>
      </x:c>
      <x:c r="J33" s="15" t="str">
        <x:v>TODO</x:v>
      </x:c>
      <x:c r="K33" s="15" t="str">
        <x:v>P1</x:v>
      </x:c>
      <x:c r="L33" s="15" t="str">
        <x:v>Done only when evidence is logged, contradiction search is noted, and boundary stamp remains non-canon unless ratified</x:v>
      </x:c>
      <x:c r="M33" s="15" t="str">
        <x:v>candidate / staging-only / not canon / not deployed / authority none</x:v>
      </x:c>
      <x:c r="N33" s="15" t="str">
        <x:v>Dispatch to Ledgerwake: complete Raw Export Recovery x Sheldonbrain; return deltas only, receipts required.</x:v>
      </x:c>
      <x:c r="O33" s="15" t="str">
        <x:v>AF-KG-H03-S08</x:v>
      </x:c>
      <x:c r="P33" s="15" t="str">
        <x:v>Unverified</x:v>
      </x:c>
      <x:c r="Q33" s="15" t="str">
        <x:v>Not checked</x:v>
      </x:c>
      <x:c r="R33" s="15" t="str"/>
      <x:c r="S33" s="15" t="str"/>
      <x:c r="T33" s="15" t="str">
        <x:v>Log first source path or blocker</x:v>
      </x:c>
      <x:c r="U33" s="12" t="str">
        <x:f>IF(OR(P33="Unverified",Q33="Not checked"),"BLOCKED_PENDING_RECEIPT","READY_FOR_REVIEW")</x:f>
        <x:v>BLOCKED_PENDING_RECEIPT</x:v>
      </x:c>
      <x:c r="V33" s="12" t="str">
        <x:f>IF(J33="DONE","RETURNED",IF(U33="BLOCKED_PENDING_RECEIPT","SOURCE_TOUCH_REQUIRED","IN_PROGRESS"))</x:f>
        <x:v>SOURCE_TOUCH_REQUIRED</x:v>
      </x:c>
      <x:c r="W33" s="12" t="str">
        <x:f>IF(P33="Unverified","missing_receipt","receipt_logged")</x:f>
        <x:v>missing_receipt</x:v>
      </x:c>
      <x:c r="X33" s="12" t="str">
        <x:f>IF(Q33="Not checked","raw_status_missing","raw_status_logged")</x:f>
        <x:v>raw_status_missing</x:v>
      </x:c>
      <x:c r="Y33" s="12" t="str">
        <x:f>IF(U33="BLOCKED_PENDING_RECEIPT","Log source path or blocker; do not promote","Route to review lane")</x:f>
        <x:v>Log source path or blocker; do not promote</x:v>
      </x:c>
      <x:c r="Z33" s="12" t="str">
        <x:f>IF(K33="P0","Primary seat + Hashlight/Lucerna","Seat lane")</x:f>
        <x:v>Seat lane</x:v>
      </x:c>
      <x:c r="AA33" s="12" t="str">
        <x:f>IF(R33="","no_claim_delta","claim_delta_present")</x:f>
        <x:v>no_claim_delta</x:v>
      </x:c>
      <x:c r="AB33" s="12" t="str">
        <x:f>IF(S33="","no_contradiction_delta","contradiction_delta_present")</x:f>
        <x:v>no_contradiction_delta</x:v>
      </x:c>
      <x:c r="AC33" s="12" t="str">
        <x:f>IF(OR(ISNUMBER(SEARCH("hacker",LOWER(F33&amp;" "&amp;H33&amp;" "&amp;I33&amp;" "&amp;M33&amp;" "&amp;N33&amp;" "&amp;T33))),ISNUMBER(SEARCH("hacking",LOWER(F33&amp;" "&amp;H33&amp;" "&amp;I33&amp;" "&amp;M33&amp;" "&amp;N33&amp;" "&amp;T33))),ISNUMBER(SEARCH("bank",LOWER(F33&amp;" "&amp;H33&amp;" "&amp;I33&amp;" "&amp;M33&amp;" "&amp;N33&amp;" "&amp;T33))),ISNUMBER(SEARCH("banking",LOWER(F33&amp;" "&amp;H33&amp;" "&amp;I33&amp;" "&amp;M33&amp;" "&amp;N33&amp;" "&amp;T33)))),"PRIVATE_QUARANTINE",IF(OR(ISNUMBER(SEARCH("treasury",LOWER(F33&amp;" "&amp;H33&amp;" "&amp;I33&amp;" "&amp;M33&amp;" "&amp;N33&amp;" "&amp;T33))),ISNUMBER(SEARCH("debt",LOWER(F33&amp;" "&amp;H33&amp;" "&amp;I33&amp;" "&amp;M33&amp;" "&amp;N33&amp;" "&amp;T33))),ISNUMBER(SEARCH("bond",LOWER(F33&amp;" "&amp;H33&amp;" "&amp;I33&amp;" "&amp;M33&amp;" "&amp;N33&amp;" "&amp;T33))),ISNUMBER(SEARCH("transaction",LOWER(F33&amp;" "&amp;H33&amp;" "&amp;I33&amp;" "&amp;M33&amp;" "&amp;N33&amp;" "&amp;T33)))),"PRIVATE_REVIEW","PUBLIC_CANDIDATE"))</x:f>
        <x:v>PUBLIC_CANDIDATE</x:v>
      </x:c>
      <x:c r="AD33" s="12" t="str">
        <x:f>IF(AC33="PRIVATE_QUARANTINE","hacker_or_bank_trigger",IF(AC33="PRIVATE_REVIEW","finance_risk_trigger","none"))</x:f>
        <x:v>none</x:v>
      </x:c>
      <x:c r="AE33" s="12" t="str">
        <x:f>IF(AC33="PUBLIC_CANDIDATE","prepare_public_github_candidate",IF(AC33="PRIVATE_REVIEW","hold_for_private_review","quarantine_private_do_not_publish"))</x:f>
        <x:v>prepare_public_github_candidate</x:v>
      </x:c>
      <x:c r="AF33" s="12" t="str">
        <x:f>IF(AC33="PUBLIC_CANDIDATE","TIDELOCK + Lucerna",IF(AC33="PRIVATE_REVIEW","AtlasBrain + Lucerna","TIDELOCK + Lucerna + Human-root"))</x:f>
        <x:v>TIDELOCK + Lucerna</x:v>
      </x:c>
      <x:c r="AG33" s="12" t="str">
        <x:f>IF(AND(AC33="PUBLIC_CANDIDATE",U33&lt;&gt;"BLOCKED_PENDING_RECEIPT"),"READY_AFTER_RECEIPT","NOT_READY")</x:f>
        <x:v>NOT_READY</x:v>
      </x:c>
      <x:c r="AH33" s="12" t="str">
        <x:f>IF(AC33="PUBLIC_CANDIDATE","none",AD33)</x:f>
        <x:v>none</x:v>
      </x:c>
      <x:c r="AI33" s="12" t="str">
        <x:f>IF(AC33="PUBLIC_CANDIDATE","archive/public_candidates/"&amp;A33,"private_quarantine/"&amp;A33)</x:f>
        <x:v>archive/public_candidates/SWARM-01-H03-S08</x:v>
      </x:c>
      <x:c r="AJ33" s="12" t="str">
        <x:f>IF(AC33="PUBLIC_CANDIDATE","public by default; still not canon","private/hold; do not publish")</x:f>
        <x:v>public by default; still not canon</x:v>
      </x:c>
      <x:c r="AK33" s="12" t="str">
        <x:f>IF(AE33="prepare_public_github_candidate","add receipt/status then mirror","resolve blocker before any public GitHub action")</x:f>
        <x:v>add receipt/status then mirror</x:v>
      </x:c>
    </x:row>
    <x:row r="34">
      <x:c r="A34" s="15" t="str">
        <x:v>SWARM-01-H03-S09</x:v>
      </x:c>
      <x:c r="B34" s="15" t="str">
        <x:v>Ledgerwake</x:v>
      </x:c>
      <x:c r="C34" s="15" t="str">
        <x:v>Source receipt keeper</x:v>
      </x:c>
      <x:c r="D34" s="15" t="str">
        <x:v>Raw Export Recovery</x:v>
      </x:c>
      <x:c r="E34" s="15" t="str">
        <x:v>Aetherforge</x:v>
      </x:c>
      <x:c r="F34" s="15" t="str">
        <x:v>Recover raw exports for Aetherforge — Ledgerwake</x:v>
      </x:c>
      <x:c r="G34" s="15" t="str">
        <x:v>inventory / receipts / raw custody</x:v>
      </x:c>
      <x:c r="H34" s="15" t="str">
        <x:v>source path + receipt + raw/export status + claim/edge/risk delta</x:v>
      </x:c>
      <x:c r="I34" s="15" t="str">
        <x:v>packet/SWARM-01-H03-S09</x:v>
      </x:c>
      <x:c r="J34" s="15" t="str">
        <x:v>TODO</x:v>
      </x:c>
      <x:c r="K34" s="15" t="str">
        <x:v>P2</x:v>
      </x:c>
      <x:c r="L34" s="15" t="str">
        <x:v>Done only when evidence is logged, contradiction search is noted, and boundary stamp remains non-canon unless ratified</x:v>
      </x:c>
      <x:c r="M34" s="15" t="str">
        <x:v>candidate / staging-only / not canon / not deployed / authority none</x:v>
      </x:c>
      <x:c r="N34" s="15" t="str">
        <x:v>Dispatch to Ledgerwake: complete Raw Export Recovery x Aetherforge; return deltas only, receipts required.</x:v>
      </x:c>
      <x:c r="O34" s="15" t="str">
        <x:v>AF-KG-H03-S09</x:v>
      </x:c>
      <x:c r="P34" s="15" t="str">
        <x:v>Unverified</x:v>
      </x:c>
      <x:c r="Q34" s="15" t="str">
        <x:v>Not checked</x:v>
      </x:c>
      <x:c r="R34" s="15" t="str"/>
      <x:c r="S34" s="15" t="str"/>
      <x:c r="T34" s="15" t="str">
        <x:v>Log first source path or blocker</x:v>
      </x:c>
      <x:c r="U34" s="12" t="str">
        <x:f>IF(OR(P34="Unverified",Q34="Not checked"),"BLOCKED_PENDING_RECEIPT","READY_FOR_REVIEW")</x:f>
        <x:v>BLOCKED_PENDING_RECEIPT</x:v>
      </x:c>
      <x:c r="V34" s="12" t="str">
        <x:f>IF(J34="DONE","RETURNED",IF(U34="BLOCKED_PENDING_RECEIPT","SOURCE_TOUCH_REQUIRED","IN_PROGRESS"))</x:f>
        <x:v>SOURCE_TOUCH_REQUIRED</x:v>
      </x:c>
      <x:c r="W34" s="12" t="str">
        <x:f>IF(P34="Unverified","missing_receipt","receipt_logged")</x:f>
        <x:v>missing_receipt</x:v>
      </x:c>
      <x:c r="X34" s="12" t="str">
        <x:f>IF(Q34="Not checked","raw_status_missing","raw_status_logged")</x:f>
        <x:v>raw_status_missing</x:v>
      </x:c>
      <x:c r="Y34" s="12" t="str">
        <x:f>IF(U34="BLOCKED_PENDING_RECEIPT","Log source path or blocker; do not promote","Route to review lane")</x:f>
        <x:v>Log source path or blocker; do not promote</x:v>
      </x:c>
      <x:c r="Z34" s="12" t="str">
        <x:f>IF(K34="P0","Primary seat + Hashlight/Lucerna","Seat lane")</x:f>
        <x:v>Seat lane</x:v>
      </x:c>
      <x:c r="AA34" s="12" t="str">
        <x:f>IF(R34="","no_claim_delta","claim_delta_present")</x:f>
        <x:v>no_claim_delta</x:v>
      </x:c>
      <x:c r="AB34" s="12" t="str">
        <x:f>IF(S34="","no_contradiction_delta","contradiction_delta_present")</x:f>
        <x:v>no_contradiction_delta</x:v>
      </x:c>
      <x:c r="AC34" s="12" t="str">
        <x:f>IF(OR(ISNUMBER(SEARCH("hacker",LOWER(F34&amp;" "&amp;H34&amp;" "&amp;I34&amp;" "&amp;M34&amp;" "&amp;N34&amp;" "&amp;T34))),ISNUMBER(SEARCH("hacking",LOWER(F34&amp;" "&amp;H34&amp;" "&amp;I34&amp;" "&amp;M34&amp;" "&amp;N34&amp;" "&amp;T34))),ISNUMBER(SEARCH("bank",LOWER(F34&amp;" "&amp;H34&amp;" "&amp;I34&amp;" "&amp;M34&amp;" "&amp;N34&amp;" "&amp;T34))),ISNUMBER(SEARCH("banking",LOWER(F34&amp;" "&amp;H34&amp;" "&amp;I34&amp;" "&amp;M34&amp;" "&amp;N34&amp;" "&amp;T34)))),"PRIVATE_QUARANTINE",IF(OR(ISNUMBER(SEARCH("treasury",LOWER(F34&amp;" "&amp;H34&amp;" "&amp;I34&amp;" "&amp;M34&amp;" "&amp;N34&amp;" "&amp;T34))),ISNUMBER(SEARCH("debt",LOWER(F34&amp;" "&amp;H34&amp;" "&amp;I34&amp;" "&amp;M34&amp;" "&amp;N34&amp;" "&amp;T34))),ISNUMBER(SEARCH("bond",LOWER(F34&amp;" "&amp;H34&amp;" "&amp;I34&amp;" "&amp;M34&amp;" "&amp;N34&amp;" "&amp;T34))),ISNUMBER(SEARCH("transaction",LOWER(F34&amp;" "&amp;H34&amp;" "&amp;I34&amp;" "&amp;M34&amp;" "&amp;N34&amp;" "&amp;T34)))),"PRIVATE_REVIEW","PUBLIC_CANDIDATE"))</x:f>
        <x:v>PUBLIC_CANDIDATE</x:v>
      </x:c>
      <x:c r="AD34" s="12" t="str">
        <x:f>IF(AC34="PRIVATE_QUARANTINE","hacker_or_bank_trigger",IF(AC34="PRIVATE_REVIEW","finance_risk_trigger","none"))</x:f>
        <x:v>none</x:v>
      </x:c>
      <x:c r="AE34" s="12" t="str">
        <x:f>IF(AC34="PUBLIC_CANDIDATE","prepare_public_github_candidate",IF(AC34="PRIVATE_REVIEW","hold_for_private_review","quarantine_private_do_not_publish"))</x:f>
        <x:v>prepare_public_github_candidate</x:v>
      </x:c>
      <x:c r="AF34" s="12" t="str">
        <x:f>IF(AC34="PUBLIC_CANDIDATE","TIDELOCK + Lucerna",IF(AC34="PRIVATE_REVIEW","AtlasBrain + Lucerna","TIDELOCK + Lucerna + Human-root"))</x:f>
        <x:v>TIDELOCK + Lucerna</x:v>
      </x:c>
      <x:c r="AG34" s="12" t="str">
        <x:f>IF(AND(AC34="PUBLIC_CANDIDATE",U34&lt;&gt;"BLOCKED_PENDING_RECEIPT"),"READY_AFTER_RECEIPT","NOT_READY")</x:f>
        <x:v>NOT_READY</x:v>
      </x:c>
      <x:c r="AH34" s="12" t="str">
        <x:f>IF(AC34="PUBLIC_CANDIDATE","none",AD34)</x:f>
        <x:v>none</x:v>
      </x:c>
      <x:c r="AI34" s="12" t="str">
        <x:f>IF(AC34="PUBLIC_CANDIDATE","archive/public_candidates/"&amp;A34,"private_quarantine/"&amp;A34)</x:f>
        <x:v>archive/public_candidates/SWARM-01-H03-S09</x:v>
      </x:c>
      <x:c r="AJ34" s="12" t="str">
        <x:f>IF(AC34="PUBLIC_CANDIDATE","public by default; still not canon","private/hold; do not publish")</x:f>
        <x:v>public by default; still not canon</x:v>
      </x:c>
      <x:c r="AK34" s="12" t="str">
        <x:f>IF(AE34="prepare_public_github_candidate","add receipt/status then mirror","resolve blocker before any public GitHub action")</x:f>
        <x:v>add receipt/status then mirror</x:v>
      </x:c>
    </x:row>
    <x:row r="35">
      <x:c r="A35" s="15" t="str">
        <x:v>SWARM-01-H03-S10</x:v>
      </x:c>
      <x:c r="B35" s="15" t="str">
        <x:v>Ledgerwake</x:v>
      </x:c>
      <x:c r="C35" s="15" t="str">
        <x:v>Source receipt keeper</x:v>
      </x:c>
      <x:c r="D35" s="15" t="str">
        <x:v>Raw Export Recovery</x:v>
      </x:c>
      <x:c r="E35" s="15" t="str">
        <x:v>Human-Root</x:v>
      </x:c>
      <x:c r="F35" s="15" t="str">
        <x:v>Recover raw exports for Human-Root — Ledgerwake</x:v>
      </x:c>
      <x:c r="G35" s="15" t="str">
        <x:v>inventory / receipts / raw custody</x:v>
      </x:c>
      <x:c r="H35" s="15" t="str">
        <x:v>source path + receipt + raw/export status + claim/edge/risk delta</x:v>
      </x:c>
      <x:c r="I35" s="15" t="str">
        <x:v>packet/SWARM-01-H03-S10</x:v>
      </x:c>
      <x:c r="J35" s="15" t="str">
        <x:v>TODO</x:v>
      </x:c>
      <x:c r="K35" s="15" t="str">
        <x:v>P2</x:v>
      </x:c>
      <x:c r="L35" s="15" t="str">
        <x:v>Done only when evidence is logged, contradiction search is noted, and boundary stamp remains non-canon unless ratified</x:v>
      </x:c>
      <x:c r="M35" s="15" t="str">
        <x:v>candidate / staging-only / not canon / not deployed / authority none</x:v>
      </x:c>
      <x:c r="N35" s="15" t="str">
        <x:v>Dispatch to Ledgerwake: complete Raw Export Recovery x Human-Root; return deltas only, receipts required.</x:v>
      </x:c>
      <x:c r="O35" s="15" t="str">
        <x:v>AF-KG-H03-S10</x:v>
      </x:c>
      <x:c r="P35" s="15" t="str">
        <x:v>Unverified</x:v>
      </x:c>
      <x:c r="Q35" s="15" t="str">
        <x:v>Not checked</x:v>
      </x:c>
      <x:c r="R35" s="15" t="str"/>
      <x:c r="S35" s="15" t="str"/>
      <x:c r="T35" s="15" t="str">
        <x:v>Log first source path or blocker</x:v>
      </x:c>
      <x:c r="U35" s="12" t="str">
        <x:f>IF(OR(P35="Unverified",Q35="Not checked"),"BLOCKED_PENDING_RECEIPT","READY_FOR_REVIEW")</x:f>
        <x:v>BLOCKED_PENDING_RECEIPT</x:v>
      </x:c>
      <x:c r="V35" s="12" t="str">
        <x:f>IF(J35="DONE","RETURNED",IF(U35="BLOCKED_PENDING_RECEIPT","SOURCE_TOUCH_REQUIRED","IN_PROGRESS"))</x:f>
        <x:v>SOURCE_TOUCH_REQUIRED</x:v>
      </x:c>
      <x:c r="W35" s="12" t="str">
        <x:f>IF(P35="Unverified","missing_receipt","receipt_logged")</x:f>
        <x:v>missing_receipt</x:v>
      </x:c>
      <x:c r="X35" s="12" t="str">
        <x:f>IF(Q35="Not checked","raw_status_missing","raw_status_logged")</x:f>
        <x:v>raw_status_missing</x:v>
      </x:c>
      <x:c r="Y35" s="12" t="str">
        <x:f>IF(U35="BLOCKED_PENDING_RECEIPT","Log source path or blocker; do not promote","Route to review lane")</x:f>
        <x:v>Log source path or blocker; do not promote</x:v>
      </x:c>
      <x:c r="Z35" s="12" t="str">
        <x:f>IF(K35="P0","Primary seat + Hashlight/Lucerna","Seat lane")</x:f>
        <x:v>Seat lane</x:v>
      </x:c>
      <x:c r="AA35" s="12" t="str">
        <x:f>IF(R35="","no_claim_delta","claim_delta_present")</x:f>
        <x:v>no_claim_delta</x:v>
      </x:c>
      <x:c r="AB35" s="12" t="str">
        <x:f>IF(S35="","no_contradiction_delta","contradiction_delta_present")</x:f>
        <x:v>no_contradiction_delta</x:v>
      </x:c>
      <x:c r="AC35" s="12" t="str">
        <x:f>IF(OR(ISNUMBER(SEARCH("hacker",LOWER(F35&amp;" "&amp;H35&amp;" "&amp;I35&amp;" "&amp;M35&amp;" "&amp;N35&amp;" "&amp;T35))),ISNUMBER(SEARCH("hacking",LOWER(F35&amp;" "&amp;H35&amp;" "&amp;I35&amp;" "&amp;M35&amp;" "&amp;N35&amp;" "&amp;T35))),ISNUMBER(SEARCH("bank",LOWER(F35&amp;" "&amp;H35&amp;" "&amp;I35&amp;" "&amp;M35&amp;" "&amp;N35&amp;" "&amp;T35))),ISNUMBER(SEARCH("banking",LOWER(F35&amp;" "&amp;H35&amp;" "&amp;I35&amp;" "&amp;M35&amp;" "&amp;N35&amp;" "&amp;T35)))),"PRIVATE_QUARANTINE",IF(OR(ISNUMBER(SEARCH("treasury",LOWER(F35&amp;" "&amp;H35&amp;" "&amp;I35&amp;" "&amp;M35&amp;" "&amp;N35&amp;" "&amp;T35))),ISNUMBER(SEARCH("debt",LOWER(F35&amp;" "&amp;H35&amp;" "&amp;I35&amp;" "&amp;M35&amp;" "&amp;N35&amp;" "&amp;T35))),ISNUMBER(SEARCH("bond",LOWER(F35&amp;" "&amp;H35&amp;" "&amp;I35&amp;" "&amp;M35&amp;" "&amp;N35&amp;" "&amp;T35))),ISNUMBER(SEARCH("transaction",LOWER(F35&amp;" "&amp;H35&amp;" "&amp;I35&amp;" "&amp;M35&amp;" "&amp;N35&amp;" "&amp;T35)))),"PRIVATE_REVIEW","PUBLIC_CANDIDATE"))</x:f>
        <x:v>PUBLIC_CANDIDATE</x:v>
      </x:c>
      <x:c r="AD35" s="12" t="str">
        <x:f>IF(AC35="PRIVATE_QUARANTINE","hacker_or_bank_trigger",IF(AC35="PRIVATE_REVIEW","finance_risk_trigger","none"))</x:f>
        <x:v>none</x:v>
      </x:c>
      <x:c r="AE35" s="12" t="str">
        <x:f>IF(AC35="PUBLIC_CANDIDATE","prepare_public_github_candidate",IF(AC35="PRIVATE_REVIEW","hold_for_private_review","quarantine_private_do_not_publish"))</x:f>
        <x:v>prepare_public_github_candidate</x:v>
      </x:c>
      <x:c r="AF35" s="12" t="str">
        <x:f>IF(AC35="PUBLIC_CANDIDATE","TIDELOCK + Lucerna",IF(AC35="PRIVATE_REVIEW","AtlasBrain + Lucerna","TIDELOCK + Lucerna + Human-root"))</x:f>
        <x:v>TIDELOCK + Lucerna</x:v>
      </x:c>
      <x:c r="AG35" s="12" t="str">
        <x:f>IF(AND(AC35="PUBLIC_CANDIDATE",U35&lt;&gt;"BLOCKED_PENDING_RECEIPT"),"READY_AFTER_RECEIPT","NOT_READY")</x:f>
        <x:v>NOT_READY</x:v>
      </x:c>
      <x:c r="AH35" s="12" t="str">
        <x:f>IF(AC35="PUBLIC_CANDIDATE","none",AD35)</x:f>
        <x:v>none</x:v>
      </x:c>
      <x:c r="AI35" s="12" t="str">
        <x:f>IF(AC35="PUBLIC_CANDIDATE","archive/public_candidates/"&amp;A35,"private_quarantine/"&amp;A35)</x:f>
        <x:v>archive/public_candidates/SWARM-01-H03-S10</x:v>
      </x:c>
      <x:c r="AJ35" s="12" t="str">
        <x:f>IF(AC35="PUBLIC_CANDIDATE","public by default; still not canon","private/hold; do not publish")</x:f>
        <x:v>public by default; still not canon</x:v>
      </x:c>
      <x:c r="AK35" s="12" t="str">
        <x:f>IF(AE35="prepare_public_github_candidate","add receipt/status then mirror","resolve blocker before any public GitHub action")</x:f>
        <x:v>add receipt/status then mirror</x:v>
      </x:c>
    </x:row>
    <x:row r="36">
      <x:c r="A36" s="15" t="str">
        <x:v>SWARM-01-H03-S11</x:v>
      </x:c>
      <x:c r="B36" s="15" t="str">
        <x:v>Ledgerwake</x:v>
      </x:c>
      <x:c r="C36" s="15" t="str">
        <x:v>Source receipt keeper</x:v>
      </x:c>
      <x:c r="D36" s="15" t="str">
        <x:v>Raw Export Recovery</x:v>
      </x:c>
      <x:c r="E36" s="15" t="str">
        <x:v>Automation</x:v>
      </x:c>
      <x:c r="F36" s="15" t="str">
        <x:v>Recover raw exports for Automation — Ledgerwake</x:v>
      </x:c>
      <x:c r="G36" s="15" t="str">
        <x:v>inventory / receipts / raw custody</x:v>
      </x:c>
      <x:c r="H36" s="15" t="str">
        <x:v>source path + receipt + raw/export status + claim/edge/risk delta</x:v>
      </x:c>
      <x:c r="I36" s="15" t="str">
        <x:v>packet/SWARM-01-H03-S11</x:v>
      </x:c>
      <x:c r="J36" s="15" t="str">
        <x:v>TODO</x:v>
      </x:c>
      <x:c r="K36" s="15" t="str">
        <x:v>P2</x:v>
      </x:c>
      <x:c r="L36" s="15" t="str">
        <x:v>Done only when evidence is logged, contradiction search is noted, and boundary stamp remains non-canon unless ratified</x:v>
      </x:c>
      <x:c r="M36" s="15" t="str">
        <x:v>candidate / staging-only / not canon / not deployed / authority none</x:v>
      </x:c>
      <x:c r="N36" s="15" t="str">
        <x:v>Dispatch to Ledgerwake: complete Raw Export Recovery x Automation; return deltas only, receipts required.</x:v>
      </x:c>
      <x:c r="O36" s="15" t="str">
        <x:v>AF-KG-H03-S11</x:v>
      </x:c>
      <x:c r="P36" s="15" t="str">
        <x:v>Unverified</x:v>
      </x:c>
      <x:c r="Q36" s="15" t="str">
        <x:v>Not checked</x:v>
      </x:c>
      <x:c r="R36" s="15" t="str"/>
      <x:c r="S36" s="15" t="str"/>
      <x:c r="T36" s="15" t="str">
        <x:v>Log first source path or blocker</x:v>
      </x:c>
      <x:c r="U36" s="12" t="str">
        <x:f>IF(OR(P36="Unverified",Q36="Not checked"),"BLOCKED_PENDING_RECEIPT","READY_FOR_REVIEW")</x:f>
        <x:v>BLOCKED_PENDING_RECEIPT</x:v>
      </x:c>
      <x:c r="V36" s="12" t="str">
        <x:f>IF(J36="DONE","RETURNED",IF(U36="BLOCKED_PENDING_RECEIPT","SOURCE_TOUCH_REQUIRED","IN_PROGRESS"))</x:f>
        <x:v>SOURCE_TOUCH_REQUIRED</x:v>
      </x:c>
      <x:c r="W36" s="12" t="str">
        <x:f>IF(P36="Unverified","missing_receipt","receipt_logged")</x:f>
        <x:v>missing_receipt</x:v>
      </x:c>
      <x:c r="X36" s="12" t="str">
        <x:f>IF(Q36="Not checked","raw_status_missing","raw_status_logged")</x:f>
        <x:v>raw_status_missing</x:v>
      </x:c>
      <x:c r="Y36" s="12" t="str">
        <x:f>IF(U36="BLOCKED_PENDING_RECEIPT","Log source path or blocker; do not promote","Route to review lane")</x:f>
        <x:v>Log source path or blocker; do not promote</x:v>
      </x:c>
      <x:c r="Z36" s="12" t="str">
        <x:f>IF(K36="P0","Primary seat + Hashlight/Lucerna","Seat lane")</x:f>
        <x:v>Seat lane</x:v>
      </x:c>
      <x:c r="AA36" s="12" t="str">
        <x:f>IF(R36="","no_claim_delta","claim_delta_present")</x:f>
        <x:v>no_claim_delta</x:v>
      </x:c>
      <x:c r="AB36" s="12" t="str">
        <x:f>IF(S36="","no_contradiction_delta","contradiction_delta_present")</x:f>
        <x:v>no_contradiction_delta</x:v>
      </x:c>
      <x:c r="AC36" s="12" t="str">
        <x:f>IF(OR(ISNUMBER(SEARCH("hacker",LOWER(F36&amp;" "&amp;H36&amp;" "&amp;I36&amp;" "&amp;M36&amp;" "&amp;N36&amp;" "&amp;T36))),ISNUMBER(SEARCH("hacking",LOWER(F36&amp;" "&amp;H36&amp;" "&amp;I36&amp;" "&amp;M36&amp;" "&amp;N36&amp;" "&amp;T36))),ISNUMBER(SEARCH("bank",LOWER(F36&amp;" "&amp;H36&amp;" "&amp;I36&amp;" "&amp;M36&amp;" "&amp;N36&amp;" "&amp;T36))),ISNUMBER(SEARCH("banking",LOWER(F36&amp;" "&amp;H36&amp;" "&amp;I36&amp;" "&amp;M36&amp;" "&amp;N36&amp;" "&amp;T36)))),"PRIVATE_QUARANTINE",IF(OR(ISNUMBER(SEARCH("treasury",LOWER(F36&amp;" "&amp;H36&amp;" "&amp;I36&amp;" "&amp;M36&amp;" "&amp;N36&amp;" "&amp;T36))),ISNUMBER(SEARCH("debt",LOWER(F36&amp;" "&amp;H36&amp;" "&amp;I36&amp;" "&amp;M36&amp;" "&amp;N36&amp;" "&amp;T36))),ISNUMBER(SEARCH("bond",LOWER(F36&amp;" "&amp;H36&amp;" "&amp;I36&amp;" "&amp;M36&amp;" "&amp;N36&amp;" "&amp;T36))),ISNUMBER(SEARCH("transaction",LOWER(F36&amp;" "&amp;H36&amp;" "&amp;I36&amp;" "&amp;M36&amp;" "&amp;N36&amp;" "&amp;T36)))),"PRIVATE_REVIEW","PUBLIC_CANDIDATE"))</x:f>
        <x:v>PUBLIC_CANDIDATE</x:v>
      </x:c>
      <x:c r="AD36" s="12" t="str">
        <x:f>IF(AC36="PRIVATE_QUARANTINE","hacker_or_bank_trigger",IF(AC36="PRIVATE_REVIEW","finance_risk_trigger","none"))</x:f>
        <x:v>none</x:v>
      </x:c>
      <x:c r="AE36" s="12" t="str">
        <x:f>IF(AC36="PUBLIC_CANDIDATE","prepare_public_github_candidate",IF(AC36="PRIVATE_REVIEW","hold_for_private_review","quarantine_private_do_not_publish"))</x:f>
        <x:v>prepare_public_github_candidate</x:v>
      </x:c>
      <x:c r="AF36" s="12" t="str">
        <x:f>IF(AC36="PUBLIC_CANDIDATE","TIDELOCK + Lucerna",IF(AC36="PRIVATE_REVIEW","AtlasBrain + Lucerna","TIDELOCK + Lucerna + Human-root"))</x:f>
        <x:v>TIDELOCK + Lucerna</x:v>
      </x:c>
      <x:c r="AG36" s="12" t="str">
        <x:f>IF(AND(AC36="PUBLIC_CANDIDATE",U36&lt;&gt;"BLOCKED_PENDING_RECEIPT"),"READY_AFTER_RECEIPT","NOT_READY")</x:f>
        <x:v>NOT_READY</x:v>
      </x:c>
      <x:c r="AH36" s="12" t="str">
        <x:f>IF(AC36="PUBLIC_CANDIDATE","none",AD36)</x:f>
        <x:v>none</x:v>
      </x:c>
      <x:c r="AI36" s="12" t="str">
        <x:f>IF(AC36="PUBLIC_CANDIDATE","archive/public_candidates/"&amp;A36,"private_quarantine/"&amp;A36)</x:f>
        <x:v>archive/public_candidates/SWARM-01-H03-S11</x:v>
      </x:c>
      <x:c r="AJ36" s="12" t="str">
        <x:f>IF(AC36="PUBLIC_CANDIDATE","public by default; still not canon","private/hold; do not publish")</x:f>
        <x:v>public by default; still not canon</x:v>
      </x:c>
      <x:c r="AK36" s="12" t="str">
        <x:f>IF(AE36="prepare_public_github_candidate","add receipt/status then mirror","resolve blocker before any public GitHub action")</x:f>
        <x:v>add receipt/status then mirror</x:v>
      </x:c>
    </x:row>
    <x:row r="37">
      <x:c r="A37" s="15" t="str">
        <x:v>SWARM-01-H03-S12</x:v>
      </x:c>
      <x:c r="B37" s="15" t="str">
        <x:v>Ledgerwake</x:v>
      </x:c>
      <x:c r="C37" s="15" t="str">
        <x:v>Source receipt keeper</x:v>
      </x:c>
      <x:c r="D37" s="15" t="str">
        <x:v>Raw Export Recovery</x:v>
      </x:c>
      <x:c r="E37" s="15" t="str">
        <x:v>Risk / Safety</x:v>
      </x:c>
      <x:c r="F37" s="15" t="str">
        <x:v>Recover raw exports for Risk / Safety — Ledgerwake</x:v>
      </x:c>
      <x:c r="G37" s="15" t="str">
        <x:v>inventory / receipts / raw custody</x:v>
      </x:c>
      <x:c r="H37" s="15" t="str">
        <x:v>source path + receipt + raw/export status + claim/edge/risk delta</x:v>
      </x:c>
      <x:c r="I37" s="15" t="str">
        <x:v>packet/SWARM-01-H03-S12</x:v>
      </x:c>
      <x:c r="J37" s="15" t="str">
        <x:v>TODO</x:v>
      </x:c>
      <x:c r="K37" s="15" t="str">
        <x:v>P2</x:v>
      </x:c>
      <x:c r="L37" s="15" t="str">
        <x:v>Done only when evidence is logged, contradiction search is noted, and boundary stamp remains non-canon unless ratified</x:v>
      </x:c>
      <x:c r="M37" s="15" t="str">
        <x:v>candidate / staging-only / not canon / not deployed / authority none</x:v>
      </x:c>
      <x:c r="N37" s="15" t="str">
        <x:v>Dispatch to Ledgerwake: complete Raw Export Recovery x Risk / Safety; return deltas only, receipts required.</x:v>
      </x:c>
      <x:c r="O37" s="15" t="str">
        <x:v>AF-KG-H03-S12</x:v>
      </x:c>
      <x:c r="P37" s="15" t="str">
        <x:v>Unverified</x:v>
      </x:c>
      <x:c r="Q37" s="15" t="str">
        <x:v>Not checked</x:v>
      </x:c>
      <x:c r="R37" s="15" t="str"/>
      <x:c r="S37" s="15" t="str"/>
      <x:c r="T37" s="15" t="str">
        <x:v>Log first source path or blocker</x:v>
      </x:c>
      <x:c r="U37" s="12" t="str">
        <x:f>IF(OR(P37="Unverified",Q37="Not checked"),"BLOCKED_PENDING_RECEIPT","READY_FOR_REVIEW")</x:f>
        <x:v>BLOCKED_PENDING_RECEIPT</x:v>
      </x:c>
      <x:c r="V37" s="12" t="str">
        <x:f>IF(J37="DONE","RETURNED",IF(U37="BLOCKED_PENDING_RECEIPT","SOURCE_TOUCH_REQUIRED","IN_PROGRESS"))</x:f>
        <x:v>SOURCE_TOUCH_REQUIRED</x:v>
      </x:c>
      <x:c r="W37" s="12" t="str">
        <x:f>IF(P37="Unverified","missing_receipt","receipt_logged")</x:f>
        <x:v>missing_receipt</x:v>
      </x:c>
      <x:c r="X37" s="12" t="str">
        <x:f>IF(Q37="Not checked","raw_status_missing","raw_status_logged")</x:f>
        <x:v>raw_status_missing</x:v>
      </x:c>
      <x:c r="Y37" s="12" t="str">
        <x:f>IF(U37="BLOCKED_PENDING_RECEIPT","Log source path or blocker; do not promote","Route to review lane")</x:f>
        <x:v>Log source path or blocker; do not promote</x:v>
      </x:c>
      <x:c r="Z37" s="12" t="str">
        <x:f>IF(K37="P0","Primary seat + Hashlight/Lucerna","Seat lane")</x:f>
        <x:v>Seat lane</x:v>
      </x:c>
      <x:c r="AA37" s="12" t="str">
        <x:f>IF(R37="","no_claim_delta","claim_delta_present")</x:f>
        <x:v>no_claim_delta</x:v>
      </x:c>
      <x:c r="AB37" s="12" t="str">
        <x:f>IF(S37="","no_contradiction_delta","contradiction_delta_present")</x:f>
        <x:v>no_contradiction_delta</x:v>
      </x:c>
      <x:c r="AC37" s="12" t="str">
        <x:f>IF(OR(ISNUMBER(SEARCH("hacker",LOWER(F37&amp;" "&amp;H37&amp;" "&amp;I37&amp;" "&amp;M37&amp;" "&amp;N37&amp;" "&amp;T37))),ISNUMBER(SEARCH("hacking",LOWER(F37&amp;" "&amp;H37&amp;" "&amp;I37&amp;" "&amp;M37&amp;" "&amp;N37&amp;" "&amp;T37))),ISNUMBER(SEARCH("bank",LOWER(F37&amp;" "&amp;H37&amp;" "&amp;I37&amp;" "&amp;M37&amp;" "&amp;N37&amp;" "&amp;T37))),ISNUMBER(SEARCH("banking",LOWER(F37&amp;" "&amp;H37&amp;" "&amp;I37&amp;" "&amp;M37&amp;" "&amp;N37&amp;" "&amp;T37)))),"PRIVATE_QUARANTINE",IF(OR(ISNUMBER(SEARCH("treasury",LOWER(F37&amp;" "&amp;H37&amp;" "&amp;I37&amp;" "&amp;M37&amp;" "&amp;N37&amp;" "&amp;T37))),ISNUMBER(SEARCH("debt",LOWER(F37&amp;" "&amp;H37&amp;" "&amp;I37&amp;" "&amp;M37&amp;" "&amp;N37&amp;" "&amp;T37))),ISNUMBER(SEARCH("bond",LOWER(F37&amp;" "&amp;H37&amp;" "&amp;I37&amp;" "&amp;M37&amp;" "&amp;N37&amp;" "&amp;T37))),ISNUMBER(SEARCH("transaction",LOWER(F37&amp;" "&amp;H37&amp;" "&amp;I37&amp;" "&amp;M37&amp;" "&amp;N37&amp;" "&amp;T37)))),"PRIVATE_REVIEW","PUBLIC_CANDIDATE"))</x:f>
        <x:v>PUBLIC_CANDIDATE</x:v>
      </x:c>
      <x:c r="AD37" s="12" t="str">
        <x:f>IF(AC37="PRIVATE_QUARANTINE","hacker_or_bank_trigger",IF(AC37="PRIVATE_REVIEW","finance_risk_trigger","none"))</x:f>
        <x:v>none</x:v>
      </x:c>
      <x:c r="AE37" s="12" t="str">
        <x:f>IF(AC37="PUBLIC_CANDIDATE","prepare_public_github_candidate",IF(AC37="PRIVATE_REVIEW","hold_for_private_review","quarantine_private_do_not_publish"))</x:f>
        <x:v>prepare_public_github_candidate</x:v>
      </x:c>
      <x:c r="AF37" s="12" t="str">
        <x:f>IF(AC37="PUBLIC_CANDIDATE","TIDELOCK + Lucerna",IF(AC37="PRIVATE_REVIEW","AtlasBrain + Lucerna","TIDELOCK + Lucerna + Human-root"))</x:f>
        <x:v>TIDELOCK + Lucerna</x:v>
      </x:c>
      <x:c r="AG37" s="12" t="str">
        <x:f>IF(AND(AC37="PUBLIC_CANDIDATE",U37&lt;&gt;"BLOCKED_PENDING_RECEIPT"),"READY_AFTER_RECEIPT","NOT_READY")</x:f>
        <x:v>NOT_READY</x:v>
      </x:c>
      <x:c r="AH37" s="12" t="str">
        <x:f>IF(AC37="PUBLIC_CANDIDATE","none",AD37)</x:f>
        <x:v>none</x:v>
      </x:c>
      <x:c r="AI37" s="12" t="str">
        <x:f>IF(AC37="PUBLIC_CANDIDATE","archive/public_candidates/"&amp;A37,"private_quarantine/"&amp;A37)</x:f>
        <x:v>archive/public_candidates/SWARM-01-H03-S12</x:v>
      </x:c>
      <x:c r="AJ37" s="12" t="str">
        <x:f>IF(AC37="PUBLIC_CANDIDATE","public by default; still not canon","private/hold; do not publish")</x:f>
        <x:v>public by default; still not canon</x:v>
      </x:c>
      <x:c r="AK37" s="12" t="str">
        <x:f>IF(AE37="prepare_public_github_candidate","add receipt/status then mirror","resolve blocker before any public GitHub action")</x:f>
        <x:v>add receipt/status then mirror</x:v>
      </x:c>
    </x:row>
    <x:row r="38">
      <x:c r="A38" s="15" t="str">
        <x:v>SWARM-01-H04-S01</x:v>
      </x:c>
      <x:c r="B38" s="15" t="str">
        <x:v>Ledgerwake</x:v>
      </x:c>
      <x:c r="C38" s="15" t="str">
        <x:v>Source receipt keeper</x:v>
      </x:c>
      <x:c r="D38" s="15" t="str">
        <x:v>Claim Extraction</x:v>
      </x:c>
      <x:c r="E38" s="15" t="str">
        <x:v>Notion</x:v>
      </x:c>
      <x:c r="F38" s="15" t="str">
        <x:v>Extract claims from Notion — Ledgerwake</x:v>
      </x:c>
      <x:c r="G38" s="15" t="str">
        <x:v>inventory / receipts / raw custody</x:v>
      </x:c>
      <x:c r="H38" s="15" t="str">
        <x:v>source path + receipt + raw/export status + claim/edge/risk delta</x:v>
      </x:c>
      <x:c r="I38" s="15" t="str">
        <x:v>packet/SWARM-01-H04-S01</x:v>
      </x:c>
      <x:c r="J38" s="15" t="str">
        <x:v>TODO</x:v>
      </x:c>
      <x:c r="K38" s="15" t="str">
        <x:v>P0</x:v>
      </x:c>
      <x:c r="L38" s="15" t="str">
        <x:v>Done only when evidence is logged, contradiction search is noted, and boundary stamp remains non-canon unless ratified</x:v>
      </x:c>
      <x:c r="M38" s="15" t="str">
        <x:v>candidate / staging-only / not canon / not deployed / authority none</x:v>
      </x:c>
      <x:c r="N38" s="15" t="str">
        <x:v>Dispatch to Ledgerwake: complete Claim Extraction x Notion; return deltas only, receipts required.</x:v>
      </x:c>
      <x:c r="O38" s="15" t="str">
        <x:v>AF-KG-H04-S01</x:v>
      </x:c>
      <x:c r="P38" s="15" t="str">
        <x:v>Unverified</x:v>
      </x:c>
      <x:c r="Q38" s="15" t="str">
        <x:v>Not checked</x:v>
      </x:c>
      <x:c r="R38" s="15" t="str"/>
      <x:c r="S38" s="15" t="str"/>
      <x:c r="T38" s="15" t="str">
        <x:v>Log first source path or blocker</x:v>
      </x:c>
      <x:c r="U38" s="12" t="str">
        <x:f>IF(OR(P38="Unverified",Q38="Not checked"),"BLOCKED_PENDING_RECEIPT","READY_FOR_REVIEW")</x:f>
        <x:v>BLOCKED_PENDING_RECEIPT</x:v>
      </x:c>
      <x:c r="V38" s="12" t="str">
        <x:f>IF(J38="DONE","RETURNED",IF(U38="BLOCKED_PENDING_RECEIPT","SOURCE_TOUCH_REQUIRED","IN_PROGRESS"))</x:f>
        <x:v>SOURCE_TOUCH_REQUIRED</x:v>
      </x:c>
      <x:c r="W38" s="12" t="str">
        <x:f>IF(P38="Unverified","missing_receipt","receipt_logged")</x:f>
        <x:v>missing_receipt</x:v>
      </x:c>
      <x:c r="X38" s="12" t="str">
        <x:f>IF(Q38="Not checked","raw_status_missing","raw_status_logged")</x:f>
        <x:v>raw_status_missing</x:v>
      </x:c>
      <x:c r="Y38" s="12" t="str">
        <x:f>IF(U38="BLOCKED_PENDING_RECEIPT","Log source path or blocker; do not promote","Route to review lane")</x:f>
        <x:v>Log source path or blocker; do not promote</x:v>
      </x:c>
      <x:c r="Z38" s="12" t="str">
        <x:f>IF(K38="P0","Primary seat + Hashlight/Lucerna","Seat lane")</x:f>
        <x:v>Primary seat + Hashlight/Lucerna</x:v>
      </x:c>
      <x:c r="AA38" s="12" t="str">
        <x:f>IF(R38="","no_claim_delta","claim_delta_present")</x:f>
        <x:v>no_claim_delta</x:v>
      </x:c>
      <x:c r="AB38" s="12" t="str">
        <x:f>IF(S38="","no_contradiction_delta","contradiction_delta_present")</x:f>
        <x:v>no_contradiction_delta</x:v>
      </x:c>
      <x:c r="AC38" s="12" t="str">
        <x:f>IF(OR(ISNUMBER(SEARCH("hacker",LOWER(F38&amp;" "&amp;H38&amp;" "&amp;I38&amp;" "&amp;M38&amp;" "&amp;N38&amp;" "&amp;T38))),ISNUMBER(SEARCH("hacking",LOWER(F38&amp;" "&amp;H38&amp;" "&amp;I38&amp;" "&amp;M38&amp;" "&amp;N38&amp;" "&amp;T38))),ISNUMBER(SEARCH("bank",LOWER(F38&amp;" "&amp;H38&amp;" "&amp;I38&amp;" "&amp;M38&amp;" "&amp;N38&amp;" "&amp;T38))),ISNUMBER(SEARCH("banking",LOWER(F38&amp;" "&amp;H38&amp;" "&amp;I38&amp;" "&amp;M38&amp;" "&amp;N38&amp;" "&amp;T38)))),"PRIVATE_QUARANTINE",IF(OR(ISNUMBER(SEARCH("treasury",LOWER(F38&amp;" "&amp;H38&amp;" "&amp;I38&amp;" "&amp;M38&amp;" "&amp;N38&amp;" "&amp;T38))),ISNUMBER(SEARCH("debt",LOWER(F38&amp;" "&amp;H38&amp;" "&amp;I38&amp;" "&amp;M38&amp;" "&amp;N38&amp;" "&amp;T38))),ISNUMBER(SEARCH("bond",LOWER(F38&amp;" "&amp;H38&amp;" "&amp;I38&amp;" "&amp;M38&amp;" "&amp;N38&amp;" "&amp;T38))),ISNUMBER(SEARCH("transaction",LOWER(F38&amp;" "&amp;H38&amp;" "&amp;I38&amp;" "&amp;M38&amp;" "&amp;N38&amp;" "&amp;T38)))),"PRIVATE_REVIEW","PUBLIC_CANDIDATE"))</x:f>
        <x:v>PUBLIC_CANDIDATE</x:v>
      </x:c>
      <x:c r="AD38" s="12" t="str">
        <x:f>IF(AC38="PRIVATE_QUARANTINE","hacker_or_bank_trigger",IF(AC38="PRIVATE_REVIEW","finance_risk_trigger","none"))</x:f>
        <x:v>none</x:v>
      </x:c>
      <x:c r="AE38" s="12" t="str">
        <x:f>IF(AC38="PUBLIC_CANDIDATE","prepare_public_github_candidate",IF(AC38="PRIVATE_REVIEW","hold_for_private_review","quarantine_private_do_not_publish"))</x:f>
        <x:v>prepare_public_github_candidate</x:v>
      </x:c>
      <x:c r="AF38" s="12" t="str">
        <x:f>IF(AC38="PUBLIC_CANDIDATE","TIDELOCK + Lucerna",IF(AC38="PRIVATE_REVIEW","AtlasBrain + Lucerna","TIDELOCK + Lucerna + Human-root"))</x:f>
        <x:v>TIDELOCK + Lucerna</x:v>
      </x:c>
      <x:c r="AG38" s="12" t="str">
        <x:f>IF(AND(AC38="PUBLIC_CANDIDATE",U38&lt;&gt;"BLOCKED_PENDING_RECEIPT"),"READY_AFTER_RECEIPT","NOT_READY")</x:f>
        <x:v>NOT_READY</x:v>
      </x:c>
      <x:c r="AH38" s="12" t="str">
        <x:f>IF(AC38="PUBLIC_CANDIDATE","none",AD38)</x:f>
        <x:v>none</x:v>
      </x:c>
      <x:c r="AI38" s="12" t="str">
        <x:f>IF(AC38="PUBLIC_CANDIDATE","archive/public_candidates/"&amp;A38,"private_quarantine/"&amp;A38)</x:f>
        <x:v>archive/public_candidates/SWARM-01-H04-S01</x:v>
      </x:c>
      <x:c r="AJ38" s="12" t="str">
        <x:f>IF(AC38="PUBLIC_CANDIDATE","public by default; still not canon","private/hold; do not publish")</x:f>
        <x:v>public by default; still not canon</x:v>
      </x:c>
      <x:c r="AK38" s="12" t="str">
        <x:f>IF(AE38="prepare_public_github_candidate","add receipt/status then mirror","resolve blocker before any public GitHub action")</x:f>
        <x:v>add receipt/status then mirror</x:v>
      </x:c>
    </x:row>
    <x:row r="39">
      <x:c r="A39" s="15" t="str">
        <x:v>SWARM-01-H04-S02</x:v>
      </x:c>
      <x:c r="B39" s="15" t="str">
        <x:v>Ledgerwake</x:v>
      </x:c>
      <x:c r="C39" s="15" t="str">
        <x:v>Source receipt keeper</x:v>
      </x:c>
      <x:c r="D39" s="15" t="str">
        <x:v>Claim Extraction</x:v>
      </x:c>
      <x:c r="E39" s="15" t="str">
        <x:v>Drive</x:v>
      </x:c>
      <x:c r="F39" s="15" t="str">
        <x:v>Extract claims from Drive — Ledgerwake</x:v>
      </x:c>
      <x:c r="G39" s="15" t="str">
        <x:v>inventory / receipts / raw custody</x:v>
      </x:c>
      <x:c r="H39" s="15" t="str">
        <x:v>source path + receipt + raw/export status + claim/edge/risk delta</x:v>
      </x:c>
      <x:c r="I39" s="15" t="str">
        <x:v>packet/SWARM-01-H04-S02</x:v>
      </x:c>
      <x:c r="J39" s="15" t="str">
        <x:v>TODO</x:v>
      </x:c>
      <x:c r="K39" s="15" t="str">
        <x:v>P0</x:v>
      </x:c>
      <x:c r="L39" s="15" t="str">
        <x:v>Done only when evidence is logged, contradiction search is noted, and boundary stamp remains non-canon unless ratified</x:v>
      </x:c>
      <x:c r="M39" s="15" t="str">
        <x:v>candidate / staging-only / not canon / not deployed / authority none</x:v>
      </x:c>
      <x:c r="N39" s="15" t="str">
        <x:v>Dispatch to Ledgerwake: complete Claim Extraction x Drive; return deltas only, receipts required.</x:v>
      </x:c>
      <x:c r="O39" s="15" t="str">
        <x:v>AF-KG-H04-S02</x:v>
      </x:c>
      <x:c r="P39" s="15" t="str">
        <x:v>Unverified</x:v>
      </x:c>
      <x:c r="Q39" s="15" t="str">
        <x:v>Not checked</x:v>
      </x:c>
      <x:c r="R39" s="15" t="str"/>
      <x:c r="S39" s="15" t="str"/>
      <x:c r="T39" s="15" t="str">
        <x:v>Log first source path or blocker</x:v>
      </x:c>
      <x:c r="U39" s="12" t="str">
        <x:f>IF(OR(P39="Unverified",Q39="Not checked"),"BLOCKED_PENDING_RECEIPT","READY_FOR_REVIEW")</x:f>
        <x:v>BLOCKED_PENDING_RECEIPT</x:v>
      </x:c>
      <x:c r="V39" s="12" t="str">
        <x:f>IF(J39="DONE","RETURNED",IF(U39="BLOCKED_PENDING_RECEIPT","SOURCE_TOUCH_REQUIRED","IN_PROGRESS"))</x:f>
        <x:v>SOURCE_TOUCH_REQUIRED</x:v>
      </x:c>
      <x:c r="W39" s="12" t="str">
        <x:f>IF(P39="Unverified","missing_receipt","receipt_logged")</x:f>
        <x:v>missing_receipt</x:v>
      </x:c>
      <x:c r="X39" s="12" t="str">
        <x:f>IF(Q39="Not checked","raw_status_missing","raw_status_logged")</x:f>
        <x:v>raw_status_missing</x:v>
      </x:c>
      <x:c r="Y39" s="12" t="str">
        <x:f>IF(U39="BLOCKED_PENDING_RECEIPT","Log source path or blocker; do not promote","Route to review lane")</x:f>
        <x:v>Log source path or blocker; do not promote</x:v>
      </x:c>
      <x:c r="Z39" s="12" t="str">
        <x:f>IF(K39="P0","Primary seat + Hashlight/Lucerna","Seat lane")</x:f>
        <x:v>Primary seat + Hashlight/Lucerna</x:v>
      </x:c>
      <x:c r="AA39" s="12" t="str">
        <x:f>IF(R39="","no_claim_delta","claim_delta_present")</x:f>
        <x:v>no_claim_delta</x:v>
      </x:c>
      <x:c r="AB39" s="12" t="str">
        <x:f>IF(S39="","no_contradiction_delta","contradiction_delta_present")</x:f>
        <x:v>no_contradiction_delta</x:v>
      </x:c>
      <x:c r="AC39" s="12" t="str">
        <x:f>IF(OR(ISNUMBER(SEARCH("hacker",LOWER(F39&amp;" "&amp;H39&amp;" "&amp;I39&amp;" "&amp;M39&amp;" "&amp;N39&amp;" "&amp;T39))),ISNUMBER(SEARCH("hacking",LOWER(F39&amp;" "&amp;H39&amp;" "&amp;I39&amp;" "&amp;M39&amp;" "&amp;N39&amp;" "&amp;T39))),ISNUMBER(SEARCH("bank",LOWER(F39&amp;" "&amp;H39&amp;" "&amp;I39&amp;" "&amp;M39&amp;" "&amp;N39&amp;" "&amp;T39))),ISNUMBER(SEARCH("banking",LOWER(F39&amp;" "&amp;H39&amp;" "&amp;I39&amp;" "&amp;M39&amp;" "&amp;N39&amp;" "&amp;T39)))),"PRIVATE_QUARANTINE",IF(OR(ISNUMBER(SEARCH("treasury",LOWER(F39&amp;" "&amp;H39&amp;" "&amp;I39&amp;" "&amp;M39&amp;" "&amp;N39&amp;" "&amp;T39))),ISNUMBER(SEARCH("debt",LOWER(F39&amp;" "&amp;H39&amp;" "&amp;I39&amp;" "&amp;M39&amp;" "&amp;N39&amp;" "&amp;T39))),ISNUMBER(SEARCH("bond",LOWER(F39&amp;" "&amp;H39&amp;" "&amp;I39&amp;" "&amp;M39&amp;" "&amp;N39&amp;" "&amp;T39))),ISNUMBER(SEARCH("transaction",LOWER(F39&amp;" "&amp;H39&amp;" "&amp;I39&amp;" "&amp;M39&amp;" "&amp;N39&amp;" "&amp;T39)))),"PRIVATE_REVIEW","PUBLIC_CANDIDATE"))</x:f>
        <x:v>PUBLIC_CANDIDATE</x:v>
      </x:c>
      <x:c r="AD39" s="12" t="str">
        <x:f>IF(AC39="PRIVATE_QUARANTINE","hacker_or_bank_trigger",IF(AC39="PRIVATE_REVIEW","finance_risk_trigger","none"))</x:f>
        <x:v>none</x:v>
      </x:c>
      <x:c r="AE39" s="12" t="str">
        <x:f>IF(AC39="PUBLIC_CANDIDATE","prepare_public_github_candidate",IF(AC39="PRIVATE_REVIEW","hold_for_private_review","quarantine_private_do_not_publish"))</x:f>
        <x:v>prepare_public_github_candidate</x:v>
      </x:c>
      <x:c r="AF39" s="12" t="str">
        <x:f>IF(AC39="PUBLIC_CANDIDATE","TIDELOCK + Lucerna",IF(AC39="PRIVATE_REVIEW","AtlasBrain + Lucerna","TIDELOCK + Lucerna + Human-root"))</x:f>
        <x:v>TIDELOCK + Lucerna</x:v>
      </x:c>
      <x:c r="AG39" s="12" t="str">
        <x:f>IF(AND(AC39="PUBLIC_CANDIDATE",U39&lt;&gt;"BLOCKED_PENDING_RECEIPT"),"READY_AFTER_RECEIPT","NOT_READY")</x:f>
        <x:v>NOT_READY</x:v>
      </x:c>
      <x:c r="AH39" s="12" t="str">
        <x:f>IF(AC39="PUBLIC_CANDIDATE","none",AD39)</x:f>
        <x:v>none</x:v>
      </x:c>
      <x:c r="AI39" s="12" t="str">
        <x:f>IF(AC39="PUBLIC_CANDIDATE","archive/public_candidates/"&amp;A39,"private_quarantine/"&amp;A39)</x:f>
        <x:v>archive/public_candidates/SWARM-01-H04-S02</x:v>
      </x:c>
      <x:c r="AJ39" s="12" t="str">
        <x:f>IF(AC39="PUBLIC_CANDIDATE","public by default; still not canon","private/hold; do not publish")</x:f>
        <x:v>public by default; still not canon</x:v>
      </x:c>
      <x:c r="AK39" s="12" t="str">
        <x:f>IF(AE39="prepare_public_github_candidate","add receipt/status then mirror","resolve blocker before any public GitHub action")</x:f>
        <x:v>add receipt/status then mirror</x:v>
      </x:c>
    </x:row>
    <x:row r="40">
      <x:c r="A40" s="15" t="str">
        <x:v>SWARM-01-H04-S03</x:v>
      </x:c>
      <x:c r="B40" s="15" t="str">
        <x:v>Ledgerwake</x:v>
      </x:c>
      <x:c r="C40" s="15" t="str">
        <x:v>Source receipt keeper</x:v>
      </x:c>
      <x:c r="D40" s="15" t="str">
        <x:v>Claim Extraction</x:v>
      </x:c>
      <x:c r="E40" s="15" t="str">
        <x:v>GitHub</x:v>
      </x:c>
      <x:c r="F40" s="15" t="str">
        <x:v>Extract claims from GitHub — Ledgerwake</x:v>
      </x:c>
      <x:c r="G40" s="15" t="str">
        <x:v>inventory / receipts / raw custody</x:v>
      </x:c>
      <x:c r="H40" s="15" t="str">
        <x:v>source path + receipt + raw/export status + claim/edge/risk delta</x:v>
      </x:c>
      <x:c r="I40" s="15" t="str">
        <x:v>packet/SWARM-01-H04-S03</x:v>
      </x:c>
      <x:c r="J40" s="15" t="str">
        <x:v>TODO</x:v>
      </x:c>
      <x:c r="K40" s="15" t="str">
        <x:v>P0</x:v>
      </x:c>
      <x:c r="L40" s="15" t="str">
        <x:v>Done only when evidence is logged, contradiction search is noted, and boundary stamp remains non-canon unless ratified</x:v>
      </x:c>
      <x:c r="M40" s="15" t="str">
        <x:v>candidate / staging-only / not canon / not deployed / authority none</x:v>
      </x:c>
      <x:c r="N40" s="15" t="str">
        <x:v>Dispatch to Ledgerwake: complete Claim Extraction x GitHub; return deltas only, receipts required.</x:v>
      </x:c>
      <x:c r="O40" s="15" t="str">
        <x:v>AF-KG-H04-S03</x:v>
      </x:c>
      <x:c r="P40" s="15" t="str">
        <x:v>Unverified</x:v>
      </x:c>
      <x:c r="Q40" s="15" t="str">
        <x:v>Not checked</x:v>
      </x:c>
      <x:c r="R40" s="15" t="str"/>
      <x:c r="S40" s="15" t="str"/>
      <x:c r="T40" s="15" t="str">
        <x:v>Log first source path or blocker</x:v>
      </x:c>
      <x:c r="U40" s="12" t="str">
        <x:f>IF(OR(P40="Unverified",Q40="Not checked"),"BLOCKED_PENDING_RECEIPT","READY_FOR_REVIEW")</x:f>
        <x:v>BLOCKED_PENDING_RECEIPT</x:v>
      </x:c>
      <x:c r="V40" s="12" t="str">
        <x:f>IF(J40="DONE","RETURNED",IF(U40="BLOCKED_PENDING_RECEIPT","SOURCE_TOUCH_REQUIRED","IN_PROGRESS"))</x:f>
        <x:v>SOURCE_TOUCH_REQUIRED</x:v>
      </x:c>
      <x:c r="W40" s="12" t="str">
        <x:f>IF(P40="Unverified","missing_receipt","receipt_logged")</x:f>
        <x:v>missing_receipt</x:v>
      </x:c>
      <x:c r="X40" s="12" t="str">
        <x:f>IF(Q40="Not checked","raw_status_missing","raw_status_logged")</x:f>
        <x:v>raw_status_missing</x:v>
      </x:c>
      <x:c r="Y40" s="12" t="str">
        <x:f>IF(U40="BLOCKED_PENDING_RECEIPT","Log source path or blocker; do not promote","Route to review lane")</x:f>
        <x:v>Log source path or blocker; do not promote</x:v>
      </x:c>
      <x:c r="Z40" s="12" t="str">
        <x:f>IF(K40="P0","Primary seat + Hashlight/Lucerna","Seat lane")</x:f>
        <x:v>Primary seat + Hashlight/Lucerna</x:v>
      </x:c>
      <x:c r="AA40" s="12" t="str">
        <x:f>IF(R40="","no_claim_delta","claim_delta_present")</x:f>
        <x:v>no_claim_delta</x:v>
      </x:c>
      <x:c r="AB40" s="12" t="str">
        <x:f>IF(S40="","no_contradiction_delta","contradiction_delta_present")</x:f>
        <x:v>no_contradiction_delta</x:v>
      </x:c>
      <x:c r="AC40" s="12" t="str">
        <x:f>IF(OR(ISNUMBER(SEARCH("hacker",LOWER(F40&amp;" "&amp;H40&amp;" "&amp;I40&amp;" "&amp;M40&amp;" "&amp;N40&amp;" "&amp;T40))),ISNUMBER(SEARCH("hacking",LOWER(F40&amp;" "&amp;H40&amp;" "&amp;I40&amp;" "&amp;M40&amp;" "&amp;N40&amp;" "&amp;T40))),ISNUMBER(SEARCH("bank",LOWER(F40&amp;" "&amp;H40&amp;" "&amp;I40&amp;" "&amp;M40&amp;" "&amp;N40&amp;" "&amp;T40))),ISNUMBER(SEARCH("banking",LOWER(F40&amp;" "&amp;H40&amp;" "&amp;I40&amp;" "&amp;M40&amp;" "&amp;N40&amp;" "&amp;T40)))),"PRIVATE_QUARANTINE",IF(OR(ISNUMBER(SEARCH("treasury",LOWER(F40&amp;" "&amp;H40&amp;" "&amp;I40&amp;" "&amp;M40&amp;" "&amp;N40&amp;" "&amp;T40))),ISNUMBER(SEARCH("debt",LOWER(F40&amp;" "&amp;H40&amp;" "&amp;I40&amp;" "&amp;M40&amp;" "&amp;N40&amp;" "&amp;T40))),ISNUMBER(SEARCH("bond",LOWER(F40&amp;" "&amp;H40&amp;" "&amp;I40&amp;" "&amp;M40&amp;" "&amp;N40&amp;" "&amp;T40))),ISNUMBER(SEARCH("transaction",LOWER(F40&amp;" "&amp;H40&amp;" "&amp;I40&amp;" "&amp;M40&amp;" "&amp;N40&amp;" "&amp;T40)))),"PRIVATE_REVIEW","PUBLIC_CANDIDATE"))</x:f>
        <x:v>PUBLIC_CANDIDATE</x:v>
      </x:c>
      <x:c r="AD40" s="12" t="str">
        <x:f>IF(AC40="PRIVATE_QUARANTINE","hacker_or_bank_trigger",IF(AC40="PRIVATE_REVIEW","finance_risk_trigger","none"))</x:f>
        <x:v>none</x:v>
      </x:c>
      <x:c r="AE40" s="12" t="str">
        <x:f>IF(AC40="PUBLIC_CANDIDATE","prepare_public_github_candidate",IF(AC40="PRIVATE_REVIEW","hold_for_private_review","quarantine_private_do_not_publish"))</x:f>
        <x:v>prepare_public_github_candidate</x:v>
      </x:c>
      <x:c r="AF40" s="12" t="str">
        <x:f>IF(AC40="PUBLIC_CANDIDATE","TIDELOCK + Lucerna",IF(AC40="PRIVATE_REVIEW","AtlasBrain + Lucerna","TIDELOCK + Lucerna + Human-root"))</x:f>
        <x:v>TIDELOCK + Lucerna</x:v>
      </x:c>
      <x:c r="AG40" s="12" t="str">
        <x:f>IF(AND(AC40="PUBLIC_CANDIDATE",U40&lt;&gt;"BLOCKED_PENDING_RECEIPT"),"READY_AFTER_RECEIPT","NOT_READY")</x:f>
        <x:v>NOT_READY</x:v>
      </x:c>
      <x:c r="AH40" s="12" t="str">
        <x:f>IF(AC40="PUBLIC_CANDIDATE","none",AD40)</x:f>
        <x:v>none</x:v>
      </x:c>
      <x:c r="AI40" s="12" t="str">
        <x:f>IF(AC40="PUBLIC_CANDIDATE","archive/public_candidates/"&amp;A40,"private_quarantine/"&amp;A40)</x:f>
        <x:v>archive/public_candidates/SWARM-01-H04-S03</x:v>
      </x:c>
      <x:c r="AJ40" s="12" t="str">
        <x:f>IF(AC40="PUBLIC_CANDIDATE","public by default; still not canon","private/hold; do not publish")</x:f>
        <x:v>public by default; still not canon</x:v>
      </x:c>
      <x:c r="AK40" s="12" t="str">
        <x:f>IF(AE40="prepare_public_github_candidate","add receipt/status then mirror","resolve blocker before any public GitHub action")</x:f>
        <x:v>add receipt/status then mirror</x:v>
      </x:c>
    </x:row>
    <x:row r="41">
      <x:c r="A41" s="15" t="str">
        <x:v>SWARM-01-H04-S04</x:v>
      </x:c>
      <x:c r="B41" s="15" t="str">
        <x:v>Ledgerwake</x:v>
      </x:c>
      <x:c r="C41" s="15" t="str">
        <x:v>Source receipt keeper</x:v>
      </x:c>
      <x:c r="D41" s="15" t="str">
        <x:v>Claim Extraction</x:v>
      </x:c>
      <x:c r="E41" s="15" t="str">
        <x:v>Gamma</x:v>
      </x:c>
      <x:c r="F41" s="15" t="str">
        <x:v>Extract claims from Gamma — Ledgerwake</x:v>
      </x:c>
      <x:c r="G41" s="15" t="str">
        <x:v>inventory / receipts / raw custody</x:v>
      </x:c>
      <x:c r="H41" s="15" t="str">
        <x:v>source path + receipt + raw/export status + claim/edge/risk delta</x:v>
      </x:c>
      <x:c r="I41" s="15" t="str">
        <x:v>packet/SWARM-01-H04-S04</x:v>
      </x:c>
      <x:c r="J41" s="15" t="str">
        <x:v>TODO</x:v>
      </x:c>
      <x:c r="K41" s="15" t="str">
        <x:v>P1</x:v>
      </x:c>
      <x:c r="L41" s="15" t="str">
        <x:v>Done only when evidence is logged, contradiction search is noted, and boundary stamp remains non-canon unless ratified</x:v>
      </x:c>
      <x:c r="M41" s="15" t="str">
        <x:v>candidate / staging-only / not canon / not deployed / authority none</x:v>
      </x:c>
      <x:c r="N41" s="15" t="str">
        <x:v>Dispatch to Ledgerwake: complete Claim Extraction x Gamma; return deltas only, receipts required.</x:v>
      </x:c>
      <x:c r="O41" s="15" t="str">
        <x:v>AF-KG-H04-S04</x:v>
      </x:c>
      <x:c r="P41" s="15" t="str">
        <x:v>Unverified</x:v>
      </x:c>
      <x:c r="Q41" s="15" t="str">
        <x:v>Not checked</x:v>
      </x:c>
      <x:c r="R41" s="15" t="str"/>
      <x:c r="S41" s="15" t="str"/>
      <x:c r="T41" s="15" t="str">
        <x:v>Log first source path or blocker</x:v>
      </x:c>
      <x:c r="U41" s="12" t="str">
        <x:f>IF(OR(P41="Unverified",Q41="Not checked"),"BLOCKED_PENDING_RECEIPT","READY_FOR_REVIEW")</x:f>
        <x:v>BLOCKED_PENDING_RECEIPT</x:v>
      </x:c>
      <x:c r="V41" s="12" t="str">
        <x:f>IF(J41="DONE","RETURNED",IF(U41="BLOCKED_PENDING_RECEIPT","SOURCE_TOUCH_REQUIRED","IN_PROGRESS"))</x:f>
        <x:v>SOURCE_TOUCH_REQUIRED</x:v>
      </x:c>
      <x:c r="W41" s="12" t="str">
        <x:f>IF(P41="Unverified","missing_receipt","receipt_logged")</x:f>
        <x:v>missing_receipt</x:v>
      </x:c>
      <x:c r="X41" s="12" t="str">
        <x:f>IF(Q41="Not checked","raw_status_missing","raw_status_logged")</x:f>
        <x:v>raw_status_missing</x:v>
      </x:c>
      <x:c r="Y41" s="12" t="str">
        <x:f>IF(U41="BLOCKED_PENDING_RECEIPT","Log source path or blocker; do not promote","Route to review lane")</x:f>
        <x:v>Log source path or blocker; do not promote</x:v>
      </x:c>
      <x:c r="Z41" s="12" t="str">
        <x:f>IF(K41="P0","Primary seat + Hashlight/Lucerna","Seat lane")</x:f>
        <x:v>Seat lane</x:v>
      </x:c>
      <x:c r="AA41" s="12" t="str">
        <x:f>IF(R41="","no_claim_delta","claim_delta_present")</x:f>
        <x:v>no_claim_delta</x:v>
      </x:c>
      <x:c r="AB41" s="12" t="str">
        <x:f>IF(S41="","no_contradiction_delta","contradiction_delta_present")</x:f>
        <x:v>no_contradiction_delta</x:v>
      </x:c>
      <x:c r="AC41" s="12" t="str">
        <x:f>IF(OR(ISNUMBER(SEARCH("hacker",LOWER(F41&amp;" "&amp;H41&amp;" "&amp;I41&amp;" "&amp;M41&amp;" "&amp;N41&amp;" "&amp;T41))),ISNUMBER(SEARCH("hacking",LOWER(F41&amp;" "&amp;H41&amp;" "&amp;I41&amp;" "&amp;M41&amp;" "&amp;N41&amp;" "&amp;T41))),ISNUMBER(SEARCH("bank",LOWER(F41&amp;" "&amp;H41&amp;" "&amp;I41&amp;" "&amp;M41&amp;" "&amp;N41&amp;" "&amp;T41))),ISNUMBER(SEARCH("banking",LOWER(F41&amp;" "&amp;H41&amp;" "&amp;I41&amp;" "&amp;M41&amp;" "&amp;N41&amp;" "&amp;T41)))),"PRIVATE_QUARANTINE",IF(OR(ISNUMBER(SEARCH("treasury",LOWER(F41&amp;" "&amp;H41&amp;" "&amp;I41&amp;" "&amp;M41&amp;" "&amp;N41&amp;" "&amp;T41))),ISNUMBER(SEARCH("debt",LOWER(F41&amp;" "&amp;H41&amp;" "&amp;I41&amp;" "&amp;M41&amp;" "&amp;N41&amp;" "&amp;T41))),ISNUMBER(SEARCH("bond",LOWER(F41&amp;" "&amp;H41&amp;" "&amp;I41&amp;" "&amp;M41&amp;" "&amp;N41&amp;" "&amp;T41))),ISNUMBER(SEARCH("transaction",LOWER(F41&amp;" "&amp;H41&amp;" "&amp;I41&amp;" "&amp;M41&amp;" "&amp;N41&amp;" "&amp;T41)))),"PRIVATE_REVIEW","PUBLIC_CANDIDATE"))</x:f>
        <x:v>PUBLIC_CANDIDATE</x:v>
      </x:c>
      <x:c r="AD41" s="12" t="str">
        <x:f>IF(AC41="PRIVATE_QUARANTINE","hacker_or_bank_trigger",IF(AC41="PRIVATE_REVIEW","finance_risk_trigger","none"))</x:f>
        <x:v>none</x:v>
      </x:c>
      <x:c r="AE41" s="12" t="str">
        <x:f>IF(AC41="PUBLIC_CANDIDATE","prepare_public_github_candidate",IF(AC41="PRIVATE_REVIEW","hold_for_private_review","quarantine_private_do_not_publish"))</x:f>
        <x:v>prepare_public_github_candidate</x:v>
      </x:c>
      <x:c r="AF41" s="12" t="str">
        <x:f>IF(AC41="PUBLIC_CANDIDATE","TIDELOCK + Lucerna",IF(AC41="PRIVATE_REVIEW","AtlasBrain + Lucerna","TIDELOCK + Lucerna + Human-root"))</x:f>
        <x:v>TIDELOCK + Lucerna</x:v>
      </x:c>
      <x:c r="AG41" s="12" t="str">
        <x:f>IF(AND(AC41="PUBLIC_CANDIDATE",U41&lt;&gt;"BLOCKED_PENDING_RECEIPT"),"READY_AFTER_RECEIPT","NOT_READY")</x:f>
        <x:v>NOT_READY</x:v>
      </x:c>
      <x:c r="AH41" s="12" t="str">
        <x:f>IF(AC41="PUBLIC_CANDIDATE","none",AD41)</x:f>
        <x:v>none</x:v>
      </x:c>
      <x:c r="AI41" s="12" t="str">
        <x:f>IF(AC41="PUBLIC_CANDIDATE","archive/public_candidates/"&amp;A41,"private_quarantine/"&amp;A41)</x:f>
        <x:v>archive/public_candidates/SWARM-01-H04-S04</x:v>
      </x:c>
      <x:c r="AJ41" s="12" t="str">
        <x:f>IF(AC41="PUBLIC_CANDIDATE","public by default; still not canon","private/hold; do not publish")</x:f>
        <x:v>public by default; still not canon</x:v>
      </x:c>
      <x:c r="AK41" s="12" t="str">
        <x:f>IF(AE41="prepare_public_github_candidate","add receipt/status then mirror","resolve blocker before any public GitHub action")</x:f>
        <x:v>add receipt/status then mirror</x:v>
      </x:c>
    </x:row>
    <x:row r="42">
      <x:c r="A42" s="15" t="str">
        <x:v>SWARM-01-H04-S05</x:v>
      </x:c>
      <x:c r="B42" s="15" t="str">
        <x:v>Ledgerwake</x:v>
      </x:c>
      <x:c r="C42" s="15" t="str">
        <x:v>Source receipt keeper</x:v>
      </x:c>
      <x:c r="D42" s="15" t="str">
        <x:v>Claim Extraction</x:v>
      </x:c>
      <x:c r="E42" s="15" t="str">
        <x:v>Chat</x:v>
      </x:c>
      <x:c r="F42" s="15" t="str">
        <x:v>Extract claims from Chat — Ledgerwake</x:v>
      </x:c>
      <x:c r="G42" s="15" t="str">
        <x:v>inventory / receipts / raw custody</x:v>
      </x:c>
      <x:c r="H42" s="15" t="str">
        <x:v>source path + receipt + raw/export status + claim/edge/risk delta</x:v>
      </x:c>
      <x:c r="I42" s="15" t="str">
        <x:v>packet/SWARM-01-H04-S05</x:v>
      </x:c>
      <x:c r="J42" s="15" t="str">
        <x:v>TODO</x:v>
      </x:c>
      <x:c r="K42" s="15" t="str">
        <x:v>P1</x:v>
      </x:c>
      <x:c r="L42" s="15" t="str">
        <x:v>Done only when evidence is logged, contradiction search is noted, and boundary stamp remains non-canon unless ratified</x:v>
      </x:c>
      <x:c r="M42" s="15" t="str">
        <x:v>candidate / staging-only / not canon / not deployed / authority none</x:v>
      </x:c>
      <x:c r="N42" s="15" t="str">
        <x:v>Dispatch to Ledgerwake: complete Claim Extraction x Chat; return deltas only, receipts required.</x:v>
      </x:c>
      <x:c r="O42" s="15" t="str">
        <x:v>AF-KG-H04-S05</x:v>
      </x:c>
      <x:c r="P42" s="15" t="str">
        <x:v>Unverified</x:v>
      </x:c>
      <x:c r="Q42" s="15" t="str">
        <x:v>Not checked</x:v>
      </x:c>
      <x:c r="R42" s="15" t="str"/>
      <x:c r="S42" s="15" t="str"/>
      <x:c r="T42" s="15" t="str">
        <x:v>Log first source path or blocker</x:v>
      </x:c>
      <x:c r="U42" s="12" t="str">
        <x:f>IF(OR(P42="Unverified",Q42="Not checked"),"BLOCKED_PENDING_RECEIPT","READY_FOR_REVIEW")</x:f>
        <x:v>BLOCKED_PENDING_RECEIPT</x:v>
      </x:c>
      <x:c r="V42" s="12" t="str">
        <x:f>IF(J42="DONE","RETURNED",IF(U42="BLOCKED_PENDING_RECEIPT","SOURCE_TOUCH_REQUIRED","IN_PROGRESS"))</x:f>
        <x:v>SOURCE_TOUCH_REQUIRED</x:v>
      </x:c>
      <x:c r="W42" s="12" t="str">
        <x:f>IF(P42="Unverified","missing_receipt","receipt_logged")</x:f>
        <x:v>missing_receipt</x:v>
      </x:c>
      <x:c r="X42" s="12" t="str">
        <x:f>IF(Q42="Not checked","raw_status_missing","raw_status_logged")</x:f>
        <x:v>raw_status_missing</x:v>
      </x:c>
      <x:c r="Y42" s="12" t="str">
        <x:f>IF(U42="BLOCKED_PENDING_RECEIPT","Log source path or blocker; do not promote","Route to review lane")</x:f>
        <x:v>Log source path or blocker; do not promote</x:v>
      </x:c>
      <x:c r="Z42" s="12" t="str">
        <x:f>IF(K42="P0","Primary seat + Hashlight/Lucerna","Seat lane")</x:f>
        <x:v>Seat lane</x:v>
      </x:c>
      <x:c r="AA42" s="12" t="str">
        <x:f>IF(R42="","no_claim_delta","claim_delta_present")</x:f>
        <x:v>no_claim_delta</x:v>
      </x:c>
      <x:c r="AB42" s="12" t="str">
        <x:f>IF(S42="","no_contradiction_delta","contradiction_delta_present")</x:f>
        <x:v>no_contradiction_delta</x:v>
      </x:c>
      <x:c r="AC42" s="12" t="str">
        <x:f>IF(OR(ISNUMBER(SEARCH("hacker",LOWER(F42&amp;" "&amp;H42&amp;" "&amp;I42&amp;" "&amp;M42&amp;" "&amp;N42&amp;" "&amp;T42))),ISNUMBER(SEARCH("hacking",LOWER(F42&amp;" "&amp;H42&amp;" "&amp;I42&amp;" "&amp;M42&amp;" "&amp;N42&amp;" "&amp;T42))),ISNUMBER(SEARCH("bank",LOWER(F42&amp;" "&amp;H42&amp;" "&amp;I42&amp;" "&amp;M42&amp;" "&amp;N42&amp;" "&amp;T42))),ISNUMBER(SEARCH("banking",LOWER(F42&amp;" "&amp;H42&amp;" "&amp;I42&amp;" "&amp;M42&amp;" "&amp;N42&amp;" "&amp;T42)))),"PRIVATE_QUARANTINE",IF(OR(ISNUMBER(SEARCH("treasury",LOWER(F42&amp;" "&amp;H42&amp;" "&amp;I42&amp;" "&amp;M42&amp;" "&amp;N42&amp;" "&amp;T42))),ISNUMBER(SEARCH("debt",LOWER(F42&amp;" "&amp;H42&amp;" "&amp;I42&amp;" "&amp;M42&amp;" "&amp;N42&amp;" "&amp;T42))),ISNUMBER(SEARCH("bond",LOWER(F42&amp;" "&amp;H42&amp;" "&amp;I42&amp;" "&amp;M42&amp;" "&amp;N42&amp;" "&amp;T42))),ISNUMBER(SEARCH("transaction",LOWER(F42&amp;" "&amp;H42&amp;" "&amp;I42&amp;" "&amp;M42&amp;" "&amp;N42&amp;" "&amp;T42)))),"PRIVATE_REVIEW","PUBLIC_CANDIDATE"))</x:f>
        <x:v>PUBLIC_CANDIDATE</x:v>
      </x:c>
      <x:c r="AD42" s="12" t="str">
        <x:f>IF(AC42="PRIVATE_QUARANTINE","hacker_or_bank_trigger",IF(AC42="PRIVATE_REVIEW","finance_risk_trigger","none"))</x:f>
        <x:v>none</x:v>
      </x:c>
      <x:c r="AE42" s="12" t="str">
        <x:f>IF(AC42="PUBLIC_CANDIDATE","prepare_public_github_candidate",IF(AC42="PRIVATE_REVIEW","hold_for_private_review","quarantine_private_do_not_publish"))</x:f>
        <x:v>prepare_public_github_candidate</x:v>
      </x:c>
      <x:c r="AF42" s="12" t="str">
        <x:f>IF(AC42="PUBLIC_CANDIDATE","TIDELOCK + Lucerna",IF(AC42="PRIVATE_REVIEW","AtlasBrain + Lucerna","TIDELOCK + Lucerna + Human-root"))</x:f>
        <x:v>TIDELOCK + Lucerna</x:v>
      </x:c>
      <x:c r="AG42" s="12" t="str">
        <x:f>IF(AND(AC42="PUBLIC_CANDIDATE",U42&lt;&gt;"BLOCKED_PENDING_RECEIPT"),"READY_AFTER_RECEIPT","NOT_READY")</x:f>
        <x:v>NOT_READY</x:v>
      </x:c>
      <x:c r="AH42" s="12" t="str">
        <x:f>IF(AC42="PUBLIC_CANDIDATE","none",AD42)</x:f>
        <x:v>none</x:v>
      </x:c>
      <x:c r="AI42" s="12" t="str">
        <x:f>IF(AC42="PUBLIC_CANDIDATE","archive/public_candidates/"&amp;A42,"private_quarantine/"&amp;A42)</x:f>
        <x:v>archive/public_candidates/SWARM-01-H04-S05</x:v>
      </x:c>
      <x:c r="AJ42" s="12" t="str">
        <x:f>IF(AC42="PUBLIC_CANDIDATE","public by default; still not canon","private/hold; do not publish")</x:f>
        <x:v>public by default; still not canon</x:v>
      </x:c>
      <x:c r="AK42" s="12" t="str">
        <x:f>IF(AE42="prepare_public_github_candidate","add receipt/status then mirror","resolve blocker before any public GitHub action")</x:f>
        <x:v>add receipt/status then mirror</x:v>
      </x:c>
    </x:row>
    <x:row r="43">
      <x:c r="A43" s="15" t="str">
        <x:v>SWARM-01-H04-S06</x:v>
      </x:c>
      <x:c r="B43" s="15" t="str">
        <x:v>Ledgerwake</x:v>
      </x:c>
      <x:c r="C43" s="15" t="str">
        <x:v>Source receipt keeper</x:v>
      </x:c>
      <x:c r="D43" s="15" t="str">
        <x:v>Claim Extraction</x:v>
      </x:c>
      <x:c r="E43" s="15" t="str">
        <x:v>External Web</x:v>
      </x:c>
      <x:c r="F43" s="15" t="str">
        <x:v>Extract claims from External Web — Ledgerwake</x:v>
      </x:c>
      <x:c r="G43" s="15" t="str">
        <x:v>inventory / receipts / raw custody</x:v>
      </x:c>
      <x:c r="H43" s="15" t="str">
        <x:v>source path + receipt + raw/export status + claim/edge/risk delta</x:v>
      </x:c>
      <x:c r="I43" s="15" t="str">
        <x:v>packet/SWARM-01-H04-S06</x:v>
      </x:c>
      <x:c r="J43" s="15" t="str">
        <x:v>TODO</x:v>
      </x:c>
      <x:c r="K43" s="15" t="str">
        <x:v>P1</x:v>
      </x:c>
      <x:c r="L43" s="15" t="str">
        <x:v>Done only when evidence is logged, contradiction search is noted, and boundary stamp remains non-canon unless ratified</x:v>
      </x:c>
      <x:c r="M43" s="15" t="str">
        <x:v>candidate / staging-only / not canon / not deployed / authority none</x:v>
      </x:c>
      <x:c r="N43" s="15" t="str">
        <x:v>Dispatch to Ledgerwake: complete Claim Extraction x External Web; return deltas only, receipts required.</x:v>
      </x:c>
      <x:c r="O43" s="15" t="str">
        <x:v>AF-KG-H04-S06</x:v>
      </x:c>
      <x:c r="P43" s="15" t="str">
        <x:v>Unverified</x:v>
      </x:c>
      <x:c r="Q43" s="15" t="str">
        <x:v>Not checked</x:v>
      </x:c>
      <x:c r="R43" s="15" t="str"/>
      <x:c r="S43" s="15" t="str"/>
      <x:c r="T43" s="15" t="str">
        <x:v>Log first source path or blocker</x:v>
      </x:c>
      <x:c r="U43" s="12" t="str">
        <x:f>IF(OR(P43="Unverified",Q43="Not checked"),"BLOCKED_PENDING_RECEIPT","READY_FOR_REVIEW")</x:f>
        <x:v>BLOCKED_PENDING_RECEIPT</x:v>
      </x:c>
      <x:c r="V43" s="12" t="str">
        <x:f>IF(J43="DONE","RETURNED",IF(U43="BLOCKED_PENDING_RECEIPT","SOURCE_TOUCH_REQUIRED","IN_PROGRESS"))</x:f>
        <x:v>SOURCE_TOUCH_REQUIRED</x:v>
      </x:c>
      <x:c r="W43" s="12" t="str">
        <x:f>IF(P43="Unverified","missing_receipt","receipt_logged")</x:f>
        <x:v>missing_receipt</x:v>
      </x:c>
      <x:c r="X43" s="12" t="str">
        <x:f>IF(Q43="Not checked","raw_status_missing","raw_status_logged")</x:f>
        <x:v>raw_status_missing</x:v>
      </x:c>
      <x:c r="Y43" s="12" t="str">
        <x:f>IF(U43="BLOCKED_PENDING_RECEIPT","Log source path or blocker; do not promote","Route to review lane")</x:f>
        <x:v>Log source path or blocker; do not promote</x:v>
      </x:c>
      <x:c r="Z43" s="12" t="str">
        <x:f>IF(K43="P0","Primary seat + Hashlight/Lucerna","Seat lane")</x:f>
        <x:v>Seat lane</x:v>
      </x:c>
      <x:c r="AA43" s="12" t="str">
        <x:f>IF(R43="","no_claim_delta","claim_delta_present")</x:f>
        <x:v>no_claim_delta</x:v>
      </x:c>
      <x:c r="AB43" s="12" t="str">
        <x:f>IF(S43="","no_contradiction_delta","contradiction_delta_present")</x:f>
        <x:v>no_contradiction_delta</x:v>
      </x:c>
      <x:c r="AC43" s="12" t="str">
        <x:f>IF(OR(ISNUMBER(SEARCH("hacker",LOWER(F43&amp;" "&amp;H43&amp;" "&amp;I43&amp;" "&amp;M43&amp;" "&amp;N43&amp;" "&amp;T43))),ISNUMBER(SEARCH("hacking",LOWER(F43&amp;" "&amp;H43&amp;" "&amp;I43&amp;" "&amp;M43&amp;" "&amp;N43&amp;" "&amp;T43))),ISNUMBER(SEARCH("bank",LOWER(F43&amp;" "&amp;H43&amp;" "&amp;I43&amp;" "&amp;M43&amp;" "&amp;N43&amp;" "&amp;T43))),ISNUMBER(SEARCH("banking",LOWER(F43&amp;" "&amp;H43&amp;" "&amp;I43&amp;" "&amp;M43&amp;" "&amp;N43&amp;" "&amp;T43)))),"PRIVATE_QUARANTINE",IF(OR(ISNUMBER(SEARCH("treasury",LOWER(F43&amp;" "&amp;H43&amp;" "&amp;I43&amp;" "&amp;M43&amp;" "&amp;N43&amp;" "&amp;T43))),ISNUMBER(SEARCH("debt",LOWER(F43&amp;" "&amp;H43&amp;" "&amp;I43&amp;" "&amp;M43&amp;" "&amp;N43&amp;" "&amp;T43))),ISNUMBER(SEARCH("bond",LOWER(F43&amp;" "&amp;H43&amp;" "&amp;I43&amp;" "&amp;M43&amp;" "&amp;N43&amp;" "&amp;T43))),ISNUMBER(SEARCH("transaction",LOWER(F43&amp;" "&amp;H43&amp;" "&amp;I43&amp;" "&amp;M43&amp;" "&amp;N43&amp;" "&amp;T43)))),"PRIVATE_REVIEW","PUBLIC_CANDIDATE"))</x:f>
        <x:v>PUBLIC_CANDIDATE</x:v>
      </x:c>
      <x:c r="AD43" s="12" t="str">
        <x:f>IF(AC43="PRIVATE_QUARANTINE","hacker_or_bank_trigger",IF(AC43="PRIVATE_REVIEW","finance_risk_trigger","none"))</x:f>
        <x:v>none</x:v>
      </x:c>
      <x:c r="AE43" s="12" t="str">
        <x:f>IF(AC43="PUBLIC_CANDIDATE","prepare_public_github_candidate",IF(AC43="PRIVATE_REVIEW","hold_for_private_review","quarantine_private_do_not_publish"))</x:f>
        <x:v>prepare_public_github_candidate</x:v>
      </x:c>
      <x:c r="AF43" s="12" t="str">
        <x:f>IF(AC43="PUBLIC_CANDIDATE","TIDELOCK + Lucerna",IF(AC43="PRIVATE_REVIEW","AtlasBrain + Lucerna","TIDELOCK + Lucerna + Human-root"))</x:f>
        <x:v>TIDELOCK + Lucerna</x:v>
      </x:c>
      <x:c r="AG43" s="12" t="str">
        <x:f>IF(AND(AC43="PUBLIC_CANDIDATE",U43&lt;&gt;"BLOCKED_PENDING_RECEIPT"),"READY_AFTER_RECEIPT","NOT_READY")</x:f>
        <x:v>NOT_READY</x:v>
      </x:c>
      <x:c r="AH43" s="12" t="str">
        <x:f>IF(AC43="PUBLIC_CANDIDATE","none",AD43)</x:f>
        <x:v>none</x:v>
      </x:c>
      <x:c r="AI43" s="12" t="str">
        <x:f>IF(AC43="PUBLIC_CANDIDATE","archive/public_candidates/"&amp;A43,"private_quarantine/"&amp;A43)</x:f>
        <x:v>archive/public_candidates/SWARM-01-H04-S06</x:v>
      </x:c>
      <x:c r="AJ43" s="12" t="str">
        <x:f>IF(AC43="PUBLIC_CANDIDATE","public by default; still not canon","private/hold; do not publish")</x:f>
        <x:v>public by default; still not canon</x:v>
      </x:c>
      <x:c r="AK43" s="12" t="str">
        <x:f>IF(AE43="prepare_public_github_candidate","add receipt/status then mirror","resolve blocker before any public GitHub action")</x:f>
        <x:v>add receipt/status then mirror</x:v>
      </x:c>
    </x:row>
    <x:row r="44">
      <x:c r="A44" s="15" t="str">
        <x:v>SWARM-01-H04-S07</x:v>
      </x:c>
      <x:c r="B44" s="15" t="str">
        <x:v>Ledgerwake</x:v>
      </x:c>
      <x:c r="C44" s="15" t="str">
        <x:v>Source receipt keeper</x:v>
      </x:c>
      <x:c r="D44" s="15" t="str">
        <x:v>Claim Extraction</x:v>
      </x:c>
      <x:c r="E44" s="15" t="str">
        <x:v>Planetarium</x:v>
      </x:c>
      <x:c r="F44" s="15" t="str">
        <x:v>Extract claims from Planetarium — Ledgerwake</x:v>
      </x:c>
      <x:c r="G44" s="15" t="str">
        <x:v>inventory / receipts / raw custody</x:v>
      </x:c>
      <x:c r="H44" s="15" t="str">
        <x:v>source path + receipt + raw/export status + claim/edge/risk delta</x:v>
      </x:c>
      <x:c r="I44" s="15" t="str">
        <x:v>packet/SWARM-01-H04-S07</x:v>
      </x:c>
      <x:c r="J44" s="15" t="str">
        <x:v>TODO</x:v>
      </x:c>
      <x:c r="K44" s="15" t="str">
        <x:v>P1</x:v>
      </x:c>
      <x:c r="L44" s="15" t="str">
        <x:v>Done only when evidence is logged, contradiction search is noted, and boundary stamp remains non-canon unless ratified</x:v>
      </x:c>
      <x:c r="M44" s="15" t="str">
        <x:v>candidate / staging-only / not canon / not deployed / authority none</x:v>
      </x:c>
      <x:c r="N44" s="15" t="str">
        <x:v>Dispatch to Ledgerwake: complete Claim Extraction x Planetarium; return deltas only, receipts required.</x:v>
      </x:c>
      <x:c r="O44" s="15" t="str">
        <x:v>AF-KG-H04-S07</x:v>
      </x:c>
      <x:c r="P44" s="15" t="str">
        <x:v>Unverified</x:v>
      </x:c>
      <x:c r="Q44" s="15" t="str">
        <x:v>Not checked</x:v>
      </x:c>
      <x:c r="R44" s="15" t="str"/>
      <x:c r="S44" s="15" t="str"/>
      <x:c r="T44" s="15" t="str">
        <x:v>Log first source path or blocker</x:v>
      </x:c>
      <x:c r="U44" s="12" t="str">
        <x:f>IF(OR(P44="Unverified",Q44="Not checked"),"BLOCKED_PENDING_RECEIPT","READY_FOR_REVIEW")</x:f>
        <x:v>BLOCKED_PENDING_RECEIPT</x:v>
      </x:c>
      <x:c r="V44" s="12" t="str">
        <x:f>IF(J44="DONE","RETURNED",IF(U44="BLOCKED_PENDING_RECEIPT","SOURCE_TOUCH_REQUIRED","IN_PROGRESS"))</x:f>
        <x:v>SOURCE_TOUCH_REQUIRED</x:v>
      </x:c>
      <x:c r="W44" s="12" t="str">
        <x:f>IF(P44="Unverified","missing_receipt","receipt_logged")</x:f>
        <x:v>missing_receipt</x:v>
      </x:c>
      <x:c r="X44" s="12" t="str">
        <x:f>IF(Q44="Not checked","raw_status_missing","raw_status_logged")</x:f>
        <x:v>raw_status_missing</x:v>
      </x:c>
      <x:c r="Y44" s="12" t="str">
        <x:f>IF(U44="BLOCKED_PENDING_RECEIPT","Log source path or blocker; do not promote","Route to review lane")</x:f>
        <x:v>Log source path or blocker; do not promote</x:v>
      </x:c>
      <x:c r="Z44" s="12" t="str">
        <x:f>IF(K44="P0","Primary seat + Hashlight/Lucerna","Seat lane")</x:f>
        <x:v>Seat lane</x:v>
      </x:c>
      <x:c r="AA44" s="12" t="str">
        <x:f>IF(R44="","no_claim_delta","claim_delta_present")</x:f>
        <x:v>no_claim_delta</x:v>
      </x:c>
      <x:c r="AB44" s="12" t="str">
        <x:f>IF(S44="","no_contradiction_delta","contradiction_delta_present")</x:f>
        <x:v>no_contradiction_delta</x:v>
      </x:c>
      <x:c r="AC44" s="12" t="str">
        <x:f>IF(OR(ISNUMBER(SEARCH("hacker",LOWER(F44&amp;" "&amp;H44&amp;" "&amp;I44&amp;" "&amp;M44&amp;" "&amp;N44&amp;" "&amp;T44))),ISNUMBER(SEARCH("hacking",LOWER(F44&amp;" "&amp;H44&amp;" "&amp;I44&amp;" "&amp;M44&amp;" "&amp;N44&amp;" "&amp;T44))),ISNUMBER(SEARCH("bank",LOWER(F44&amp;" "&amp;H44&amp;" "&amp;I44&amp;" "&amp;M44&amp;" "&amp;N44&amp;" "&amp;T44))),ISNUMBER(SEARCH("banking",LOWER(F44&amp;" "&amp;H44&amp;" "&amp;I44&amp;" "&amp;M44&amp;" "&amp;N44&amp;" "&amp;T44)))),"PRIVATE_QUARANTINE",IF(OR(ISNUMBER(SEARCH("treasury",LOWER(F44&amp;" "&amp;H44&amp;" "&amp;I44&amp;" "&amp;M44&amp;" "&amp;N44&amp;" "&amp;T44))),ISNUMBER(SEARCH("debt",LOWER(F44&amp;" "&amp;H44&amp;" "&amp;I44&amp;" "&amp;M44&amp;" "&amp;N44&amp;" "&amp;T44))),ISNUMBER(SEARCH("bond",LOWER(F44&amp;" "&amp;H44&amp;" "&amp;I44&amp;" "&amp;M44&amp;" "&amp;N44&amp;" "&amp;T44))),ISNUMBER(SEARCH("transaction",LOWER(F44&amp;" "&amp;H44&amp;" "&amp;I44&amp;" "&amp;M44&amp;" "&amp;N44&amp;" "&amp;T44)))),"PRIVATE_REVIEW","PUBLIC_CANDIDATE"))</x:f>
        <x:v>PUBLIC_CANDIDATE</x:v>
      </x:c>
      <x:c r="AD44" s="12" t="str">
        <x:f>IF(AC44="PRIVATE_QUARANTINE","hacker_or_bank_trigger",IF(AC44="PRIVATE_REVIEW","finance_risk_trigger","none"))</x:f>
        <x:v>none</x:v>
      </x:c>
      <x:c r="AE44" s="12" t="str">
        <x:f>IF(AC44="PUBLIC_CANDIDATE","prepare_public_github_candidate",IF(AC44="PRIVATE_REVIEW","hold_for_private_review","quarantine_private_do_not_publish"))</x:f>
        <x:v>prepare_public_github_candidate</x:v>
      </x:c>
      <x:c r="AF44" s="12" t="str">
        <x:f>IF(AC44="PUBLIC_CANDIDATE","TIDELOCK + Lucerna",IF(AC44="PRIVATE_REVIEW","AtlasBrain + Lucerna","TIDELOCK + Lucerna + Human-root"))</x:f>
        <x:v>TIDELOCK + Lucerna</x:v>
      </x:c>
      <x:c r="AG44" s="12" t="str">
        <x:f>IF(AND(AC44="PUBLIC_CANDIDATE",U44&lt;&gt;"BLOCKED_PENDING_RECEIPT"),"READY_AFTER_RECEIPT","NOT_READY")</x:f>
        <x:v>NOT_READY</x:v>
      </x:c>
      <x:c r="AH44" s="12" t="str">
        <x:f>IF(AC44="PUBLIC_CANDIDATE","none",AD44)</x:f>
        <x:v>none</x:v>
      </x:c>
      <x:c r="AI44" s="12" t="str">
        <x:f>IF(AC44="PUBLIC_CANDIDATE","archive/public_candidates/"&amp;A44,"private_quarantine/"&amp;A44)</x:f>
        <x:v>archive/public_candidates/SWARM-01-H04-S07</x:v>
      </x:c>
      <x:c r="AJ44" s="12" t="str">
        <x:f>IF(AC44="PUBLIC_CANDIDATE","public by default; still not canon","private/hold; do not publish")</x:f>
        <x:v>public by default; still not canon</x:v>
      </x:c>
      <x:c r="AK44" s="12" t="str">
        <x:f>IF(AE44="prepare_public_github_candidate","add receipt/status then mirror","resolve blocker before any public GitHub action")</x:f>
        <x:v>add receipt/status then mirror</x:v>
      </x:c>
    </x:row>
    <x:row r="45">
      <x:c r="A45" s="15" t="str">
        <x:v>SWARM-01-H04-S08</x:v>
      </x:c>
      <x:c r="B45" s="15" t="str">
        <x:v>Ledgerwake</x:v>
      </x:c>
      <x:c r="C45" s="15" t="str">
        <x:v>Source receipt keeper</x:v>
      </x:c>
      <x:c r="D45" s="15" t="str">
        <x:v>Claim Extraction</x:v>
      </x:c>
      <x:c r="E45" s="15" t="str">
        <x:v>Sheldonbrain</x:v>
      </x:c>
      <x:c r="F45" s="15" t="str">
        <x:v>Extract claims from Sheldonbrain — Ledgerwake</x:v>
      </x:c>
      <x:c r="G45" s="15" t="str">
        <x:v>inventory / receipts / raw custody</x:v>
      </x:c>
      <x:c r="H45" s="15" t="str">
        <x:v>source path + receipt + raw/export status + claim/edge/risk delta</x:v>
      </x:c>
      <x:c r="I45" s="15" t="str">
        <x:v>packet/SWARM-01-H04-S08</x:v>
      </x:c>
      <x:c r="J45" s="15" t="str">
        <x:v>TODO</x:v>
      </x:c>
      <x:c r="K45" s="15" t="str">
        <x:v>P1</x:v>
      </x:c>
      <x:c r="L45" s="15" t="str">
        <x:v>Done only when evidence is logged, contradiction search is noted, and boundary stamp remains non-canon unless ratified</x:v>
      </x:c>
      <x:c r="M45" s="15" t="str">
        <x:v>candidate / staging-only / not canon / not deployed / authority none</x:v>
      </x:c>
      <x:c r="N45" s="15" t="str">
        <x:v>Dispatch to Ledgerwake: complete Claim Extraction x Sheldonbrain; return deltas only, receipts required.</x:v>
      </x:c>
      <x:c r="O45" s="15" t="str">
        <x:v>AF-KG-H04-S08</x:v>
      </x:c>
      <x:c r="P45" s="15" t="str">
        <x:v>Unverified</x:v>
      </x:c>
      <x:c r="Q45" s="15" t="str">
        <x:v>Not checked</x:v>
      </x:c>
      <x:c r="R45" s="15" t="str"/>
      <x:c r="S45" s="15" t="str"/>
      <x:c r="T45" s="15" t="str">
        <x:v>Log first source path or blocker</x:v>
      </x:c>
      <x:c r="U45" s="12" t="str">
        <x:f>IF(OR(P45="Unverified",Q45="Not checked"),"BLOCKED_PENDING_RECEIPT","READY_FOR_REVIEW")</x:f>
        <x:v>BLOCKED_PENDING_RECEIPT</x:v>
      </x:c>
      <x:c r="V45" s="12" t="str">
        <x:f>IF(J45="DONE","RETURNED",IF(U45="BLOCKED_PENDING_RECEIPT","SOURCE_TOUCH_REQUIRED","IN_PROGRESS"))</x:f>
        <x:v>SOURCE_TOUCH_REQUIRED</x:v>
      </x:c>
      <x:c r="W45" s="12" t="str">
        <x:f>IF(P45="Unverified","missing_receipt","receipt_logged")</x:f>
        <x:v>missing_receipt</x:v>
      </x:c>
      <x:c r="X45" s="12" t="str">
        <x:f>IF(Q45="Not checked","raw_status_missing","raw_status_logged")</x:f>
        <x:v>raw_status_missing</x:v>
      </x:c>
      <x:c r="Y45" s="12" t="str">
        <x:f>IF(U45="BLOCKED_PENDING_RECEIPT","Log source path or blocker; do not promote","Route to review lane")</x:f>
        <x:v>Log source path or blocker; do not promote</x:v>
      </x:c>
      <x:c r="Z45" s="12" t="str">
        <x:f>IF(K45="P0","Primary seat + Hashlight/Lucerna","Seat lane")</x:f>
        <x:v>Seat lane</x:v>
      </x:c>
      <x:c r="AA45" s="12" t="str">
        <x:f>IF(R45="","no_claim_delta","claim_delta_present")</x:f>
        <x:v>no_claim_delta</x:v>
      </x:c>
      <x:c r="AB45" s="12" t="str">
        <x:f>IF(S45="","no_contradiction_delta","contradiction_delta_present")</x:f>
        <x:v>no_contradiction_delta</x:v>
      </x:c>
      <x:c r="AC45" s="12" t="str">
        <x:f>IF(OR(ISNUMBER(SEARCH("hacker",LOWER(F45&amp;" "&amp;H45&amp;" "&amp;I45&amp;" "&amp;M45&amp;" "&amp;N45&amp;" "&amp;T45))),ISNUMBER(SEARCH("hacking",LOWER(F45&amp;" "&amp;H45&amp;" "&amp;I45&amp;" "&amp;M45&amp;" "&amp;N45&amp;" "&amp;T45))),ISNUMBER(SEARCH("bank",LOWER(F45&amp;" "&amp;H45&amp;" "&amp;I45&amp;" "&amp;M45&amp;" "&amp;N45&amp;" "&amp;T45))),ISNUMBER(SEARCH("banking",LOWER(F45&amp;" "&amp;H45&amp;" "&amp;I45&amp;" "&amp;M45&amp;" "&amp;N45&amp;" "&amp;T45)))),"PRIVATE_QUARANTINE",IF(OR(ISNUMBER(SEARCH("treasury",LOWER(F45&amp;" "&amp;H45&amp;" "&amp;I45&amp;" "&amp;M45&amp;" "&amp;N45&amp;" "&amp;T45))),ISNUMBER(SEARCH("debt",LOWER(F45&amp;" "&amp;H45&amp;" "&amp;I45&amp;" "&amp;M45&amp;" "&amp;N45&amp;" "&amp;T45))),ISNUMBER(SEARCH("bond",LOWER(F45&amp;" "&amp;H45&amp;" "&amp;I45&amp;" "&amp;M45&amp;" "&amp;N45&amp;" "&amp;T45))),ISNUMBER(SEARCH("transaction",LOWER(F45&amp;" "&amp;H45&amp;" "&amp;I45&amp;" "&amp;M45&amp;" "&amp;N45&amp;" "&amp;T45)))),"PRIVATE_REVIEW","PUBLIC_CANDIDATE"))</x:f>
        <x:v>PUBLIC_CANDIDATE</x:v>
      </x:c>
      <x:c r="AD45" s="12" t="str">
        <x:f>IF(AC45="PRIVATE_QUARANTINE","hacker_or_bank_trigger",IF(AC45="PRIVATE_REVIEW","finance_risk_trigger","none"))</x:f>
        <x:v>none</x:v>
      </x:c>
      <x:c r="AE45" s="12" t="str">
        <x:f>IF(AC45="PUBLIC_CANDIDATE","prepare_public_github_candidate",IF(AC45="PRIVATE_REVIEW","hold_for_private_review","quarantine_private_do_not_publish"))</x:f>
        <x:v>prepare_public_github_candidate</x:v>
      </x:c>
      <x:c r="AF45" s="12" t="str">
        <x:f>IF(AC45="PUBLIC_CANDIDATE","TIDELOCK + Lucerna",IF(AC45="PRIVATE_REVIEW","AtlasBrain + Lucerna","TIDELOCK + Lucerna + Human-root"))</x:f>
        <x:v>TIDELOCK + Lucerna</x:v>
      </x:c>
      <x:c r="AG45" s="12" t="str">
        <x:f>IF(AND(AC45="PUBLIC_CANDIDATE",U45&lt;&gt;"BLOCKED_PENDING_RECEIPT"),"READY_AFTER_RECEIPT","NOT_READY")</x:f>
        <x:v>NOT_READY</x:v>
      </x:c>
      <x:c r="AH45" s="12" t="str">
        <x:f>IF(AC45="PUBLIC_CANDIDATE","none",AD45)</x:f>
        <x:v>none</x:v>
      </x:c>
      <x:c r="AI45" s="12" t="str">
        <x:f>IF(AC45="PUBLIC_CANDIDATE","archive/public_candidates/"&amp;A45,"private_quarantine/"&amp;A45)</x:f>
        <x:v>archive/public_candidates/SWARM-01-H04-S08</x:v>
      </x:c>
      <x:c r="AJ45" s="12" t="str">
        <x:f>IF(AC45="PUBLIC_CANDIDATE","public by default; still not canon","private/hold; do not publish")</x:f>
        <x:v>public by default; still not canon</x:v>
      </x:c>
      <x:c r="AK45" s="12" t="str">
        <x:f>IF(AE45="prepare_public_github_candidate","add receipt/status then mirror","resolve blocker before any public GitHub action")</x:f>
        <x:v>add receipt/status then mirror</x:v>
      </x:c>
    </x:row>
    <x:row r="46">
      <x:c r="A46" s="15" t="str">
        <x:v>SWARM-01-H04-S09</x:v>
      </x:c>
      <x:c r="B46" s="15" t="str">
        <x:v>Ledgerwake</x:v>
      </x:c>
      <x:c r="C46" s="15" t="str">
        <x:v>Source receipt keeper</x:v>
      </x:c>
      <x:c r="D46" s="15" t="str">
        <x:v>Claim Extraction</x:v>
      </x:c>
      <x:c r="E46" s="15" t="str">
        <x:v>Aetherforge</x:v>
      </x:c>
      <x:c r="F46" s="15" t="str">
        <x:v>Extract claims from Aetherforge — Ledgerwake</x:v>
      </x:c>
      <x:c r="G46" s="15" t="str">
        <x:v>inventory / receipts / raw custody</x:v>
      </x:c>
      <x:c r="H46" s="15" t="str">
        <x:v>source path + receipt + raw/export status + claim/edge/risk delta</x:v>
      </x:c>
      <x:c r="I46" s="15" t="str">
        <x:v>packet/SWARM-01-H04-S09</x:v>
      </x:c>
      <x:c r="J46" s="15" t="str">
        <x:v>TODO</x:v>
      </x:c>
      <x:c r="K46" s="15" t="str">
        <x:v>P2</x:v>
      </x:c>
      <x:c r="L46" s="15" t="str">
        <x:v>Done only when evidence is logged, contradiction search is noted, and boundary stamp remains non-canon unless ratified</x:v>
      </x:c>
      <x:c r="M46" s="15" t="str">
        <x:v>candidate / staging-only / not canon / not deployed / authority none</x:v>
      </x:c>
      <x:c r="N46" s="15" t="str">
        <x:v>Dispatch to Ledgerwake: complete Claim Extraction x Aetherforge; return deltas only, receipts required.</x:v>
      </x:c>
      <x:c r="O46" s="15" t="str">
        <x:v>AF-KG-H04-S09</x:v>
      </x:c>
      <x:c r="P46" s="15" t="str">
        <x:v>Unverified</x:v>
      </x:c>
      <x:c r="Q46" s="15" t="str">
        <x:v>Not checked</x:v>
      </x:c>
      <x:c r="R46" s="15" t="str"/>
      <x:c r="S46" s="15" t="str"/>
      <x:c r="T46" s="15" t="str">
        <x:v>Log first source path or blocker</x:v>
      </x:c>
      <x:c r="U46" s="12" t="str">
        <x:f>IF(OR(P46="Unverified",Q46="Not checked"),"BLOCKED_PENDING_RECEIPT","READY_FOR_REVIEW")</x:f>
        <x:v>BLOCKED_PENDING_RECEIPT</x:v>
      </x:c>
      <x:c r="V46" s="12" t="str">
        <x:f>IF(J46="DONE","RETURNED",IF(U46="BLOCKED_PENDING_RECEIPT","SOURCE_TOUCH_REQUIRED","IN_PROGRESS"))</x:f>
        <x:v>SOURCE_TOUCH_REQUIRED</x:v>
      </x:c>
      <x:c r="W46" s="12" t="str">
        <x:f>IF(P46="Unverified","missing_receipt","receipt_logged")</x:f>
        <x:v>missing_receipt</x:v>
      </x:c>
      <x:c r="X46" s="12" t="str">
        <x:f>IF(Q46="Not checked","raw_status_missing","raw_status_logged")</x:f>
        <x:v>raw_status_missing</x:v>
      </x:c>
      <x:c r="Y46" s="12" t="str">
        <x:f>IF(U46="BLOCKED_PENDING_RECEIPT","Log source path or blocker; do not promote","Route to review lane")</x:f>
        <x:v>Log source path or blocker; do not promote</x:v>
      </x:c>
      <x:c r="Z46" s="12" t="str">
        <x:f>IF(K46="P0","Primary seat + Hashlight/Lucerna","Seat lane")</x:f>
        <x:v>Seat lane</x:v>
      </x:c>
      <x:c r="AA46" s="12" t="str">
        <x:f>IF(R46="","no_claim_delta","claim_delta_present")</x:f>
        <x:v>no_claim_delta</x:v>
      </x:c>
      <x:c r="AB46" s="12" t="str">
        <x:f>IF(S46="","no_contradiction_delta","contradiction_delta_present")</x:f>
        <x:v>no_contradiction_delta</x:v>
      </x:c>
      <x:c r="AC46" s="12" t="str">
        <x:f>IF(OR(ISNUMBER(SEARCH("hacker",LOWER(F46&amp;" "&amp;H46&amp;" "&amp;I46&amp;" "&amp;M46&amp;" "&amp;N46&amp;" "&amp;T46))),ISNUMBER(SEARCH("hacking",LOWER(F46&amp;" "&amp;H46&amp;" "&amp;I46&amp;" "&amp;M46&amp;" "&amp;N46&amp;" "&amp;T46))),ISNUMBER(SEARCH("bank",LOWER(F46&amp;" "&amp;H46&amp;" "&amp;I46&amp;" "&amp;M46&amp;" "&amp;N46&amp;" "&amp;T46))),ISNUMBER(SEARCH("banking",LOWER(F46&amp;" "&amp;H46&amp;" "&amp;I46&amp;" "&amp;M46&amp;" "&amp;N46&amp;" "&amp;T46)))),"PRIVATE_QUARANTINE",IF(OR(ISNUMBER(SEARCH("treasury",LOWER(F46&amp;" "&amp;H46&amp;" "&amp;I46&amp;" "&amp;M46&amp;" "&amp;N46&amp;" "&amp;T46))),ISNUMBER(SEARCH("debt",LOWER(F46&amp;" "&amp;H46&amp;" "&amp;I46&amp;" "&amp;M46&amp;" "&amp;N46&amp;" "&amp;T46))),ISNUMBER(SEARCH("bond",LOWER(F46&amp;" "&amp;H46&amp;" "&amp;I46&amp;" "&amp;M46&amp;" "&amp;N46&amp;" "&amp;T46))),ISNUMBER(SEARCH("transaction",LOWER(F46&amp;" "&amp;H46&amp;" "&amp;I46&amp;" "&amp;M46&amp;" "&amp;N46&amp;" "&amp;T46)))),"PRIVATE_REVIEW","PUBLIC_CANDIDATE"))</x:f>
        <x:v>PUBLIC_CANDIDATE</x:v>
      </x:c>
      <x:c r="AD46" s="12" t="str">
        <x:f>IF(AC46="PRIVATE_QUARANTINE","hacker_or_bank_trigger",IF(AC46="PRIVATE_REVIEW","finance_risk_trigger","none"))</x:f>
        <x:v>none</x:v>
      </x:c>
      <x:c r="AE46" s="12" t="str">
        <x:f>IF(AC46="PUBLIC_CANDIDATE","prepare_public_github_candidate",IF(AC46="PRIVATE_REVIEW","hold_for_private_review","quarantine_private_do_not_publish"))</x:f>
        <x:v>prepare_public_github_candidate</x:v>
      </x:c>
      <x:c r="AF46" s="12" t="str">
        <x:f>IF(AC46="PUBLIC_CANDIDATE","TIDELOCK + Lucerna",IF(AC46="PRIVATE_REVIEW","AtlasBrain + Lucerna","TIDELOCK + Lucerna + Human-root"))</x:f>
        <x:v>TIDELOCK + Lucerna</x:v>
      </x:c>
      <x:c r="AG46" s="12" t="str">
        <x:f>IF(AND(AC46="PUBLIC_CANDIDATE",U46&lt;&gt;"BLOCKED_PENDING_RECEIPT"),"READY_AFTER_RECEIPT","NOT_READY")</x:f>
        <x:v>NOT_READY</x:v>
      </x:c>
      <x:c r="AH46" s="12" t="str">
        <x:f>IF(AC46="PUBLIC_CANDIDATE","none",AD46)</x:f>
        <x:v>none</x:v>
      </x:c>
      <x:c r="AI46" s="12" t="str">
        <x:f>IF(AC46="PUBLIC_CANDIDATE","archive/public_candidates/"&amp;A46,"private_quarantine/"&amp;A46)</x:f>
        <x:v>archive/public_candidates/SWARM-01-H04-S09</x:v>
      </x:c>
      <x:c r="AJ46" s="12" t="str">
        <x:f>IF(AC46="PUBLIC_CANDIDATE","public by default; still not canon","private/hold; do not publish")</x:f>
        <x:v>public by default; still not canon</x:v>
      </x:c>
      <x:c r="AK46" s="12" t="str">
        <x:f>IF(AE46="prepare_public_github_candidate","add receipt/status then mirror","resolve blocker before any public GitHub action")</x:f>
        <x:v>add receipt/status then mirror</x:v>
      </x:c>
    </x:row>
    <x:row r="47">
      <x:c r="A47" s="15" t="str">
        <x:v>SWARM-01-H04-S10</x:v>
      </x:c>
      <x:c r="B47" s="15" t="str">
        <x:v>Ledgerwake</x:v>
      </x:c>
      <x:c r="C47" s="15" t="str">
        <x:v>Source receipt keeper</x:v>
      </x:c>
      <x:c r="D47" s="15" t="str">
        <x:v>Claim Extraction</x:v>
      </x:c>
      <x:c r="E47" s="15" t="str">
        <x:v>Human-Root</x:v>
      </x:c>
      <x:c r="F47" s="15" t="str">
        <x:v>Extract claims from Human-Root — Ledgerwake</x:v>
      </x:c>
      <x:c r="G47" s="15" t="str">
        <x:v>inventory / receipts / raw custody</x:v>
      </x:c>
      <x:c r="H47" s="15" t="str">
        <x:v>source path + receipt + raw/export status + claim/edge/risk delta</x:v>
      </x:c>
      <x:c r="I47" s="15" t="str">
        <x:v>packet/SWARM-01-H04-S10</x:v>
      </x:c>
      <x:c r="J47" s="15" t="str">
        <x:v>TODO</x:v>
      </x:c>
      <x:c r="K47" s="15" t="str">
        <x:v>P2</x:v>
      </x:c>
      <x:c r="L47" s="15" t="str">
        <x:v>Done only when evidence is logged, contradiction search is noted, and boundary stamp remains non-canon unless ratified</x:v>
      </x:c>
      <x:c r="M47" s="15" t="str">
        <x:v>candidate / staging-only / not canon / not deployed / authority none</x:v>
      </x:c>
      <x:c r="N47" s="15" t="str">
        <x:v>Dispatch to Ledgerwake: complete Claim Extraction x Human-Root; return deltas only, receipts required.</x:v>
      </x:c>
      <x:c r="O47" s="15" t="str">
        <x:v>AF-KG-H04-S10</x:v>
      </x:c>
      <x:c r="P47" s="15" t="str">
        <x:v>Unverified</x:v>
      </x:c>
      <x:c r="Q47" s="15" t="str">
        <x:v>Not checked</x:v>
      </x:c>
      <x:c r="R47" s="15" t="str"/>
      <x:c r="S47" s="15" t="str"/>
      <x:c r="T47" s="15" t="str">
        <x:v>Log first source path or blocker</x:v>
      </x:c>
      <x:c r="U47" s="12" t="str">
        <x:f>IF(OR(P47="Unverified",Q47="Not checked"),"BLOCKED_PENDING_RECEIPT","READY_FOR_REVIEW")</x:f>
        <x:v>BLOCKED_PENDING_RECEIPT</x:v>
      </x:c>
      <x:c r="V47" s="12" t="str">
        <x:f>IF(J47="DONE","RETURNED",IF(U47="BLOCKED_PENDING_RECEIPT","SOURCE_TOUCH_REQUIRED","IN_PROGRESS"))</x:f>
        <x:v>SOURCE_TOUCH_REQUIRED</x:v>
      </x:c>
      <x:c r="W47" s="12" t="str">
        <x:f>IF(P47="Unverified","missing_receipt","receipt_logged")</x:f>
        <x:v>missing_receipt</x:v>
      </x:c>
      <x:c r="X47" s="12" t="str">
        <x:f>IF(Q47="Not checked","raw_status_missing","raw_status_logged")</x:f>
        <x:v>raw_status_missing</x:v>
      </x:c>
      <x:c r="Y47" s="12" t="str">
        <x:f>IF(U47="BLOCKED_PENDING_RECEIPT","Log source path or blocker; do not promote","Route to review lane")</x:f>
        <x:v>Log source path or blocker; do not promote</x:v>
      </x:c>
      <x:c r="Z47" s="12" t="str">
        <x:f>IF(K47="P0","Primary seat + Hashlight/Lucerna","Seat lane")</x:f>
        <x:v>Seat lane</x:v>
      </x:c>
      <x:c r="AA47" s="12" t="str">
        <x:f>IF(R47="","no_claim_delta","claim_delta_present")</x:f>
        <x:v>no_claim_delta</x:v>
      </x:c>
      <x:c r="AB47" s="12" t="str">
        <x:f>IF(S47="","no_contradiction_delta","contradiction_delta_present")</x:f>
        <x:v>no_contradiction_delta</x:v>
      </x:c>
      <x:c r="AC47" s="12" t="str">
        <x:f>IF(OR(ISNUMBER(SEARCH("hacker",LOWER(F47&amp;" "&amp;H47&amp;" "&amp;I47&amp;" "&amp;M47&amp;" "&amp;N47&amp;" "&amp;T47))),ISNUMBER(SEARCH("hacking",LOWER(F47&amp;" "&amp;H47&amp;" "&amp;I47&amp;" "&amp;M47&amp;" "&amp;N47&amp;" "&amp;T47))),ISNUMBER(SEARCH("bank",LOWER(F47&amp;" "&amp;H47&amp;" "&amp;I47&amp;" "&amp;M47&amp;" "&amp;N47&amp;" "&amp;T47))),ISNUMBER(SEARCH("banking",LOWER(F47&amp;" "&amp;H47&amp;" "&amp;I47&amp;" "&amp;M47&amp;" "&amp;N47&amp;" "&amp;T47)))),"PRIVATE_QUARANTINE",IF(OR(ISNUMBER(SEARCH("treasury",LOWER(F47&amp;" "&amp;H47&amp;" "&amp;I47&amp;" "&amp;M47&amp;" "&amp;N47&amp;" "&amp;T47))),ISNUMBER(SEARCH("debt",LOWER(F47&amp;" "&amp;H47&amp;" "&amp;I47&amp;" "&amp;M47&amp;" "&amp;N47&amp;" "&amp;T47))),ISNUMBER(SEARCH("bond",LOWER(F47&amp;" "&amp;H47&amp;" "&amp;I47&amp;" "&amp;M47&amp;" "&amp;N47&amp;" "&amp;T47))),ISNUMBER(SEARCH("transaction",LOWER(F47&amp;" "&amp;H47&amp;" "&amp;I47&amp;" "&amp;M47&amp;" "&amp;N47&amp;" "&amp;T47)))),"PRIVATE_REVIEW","PUBLIC_CANDIDATE"))</x:f>
        <x:v>PUBLIC_CANDIDATE</x:v>
      </x:c>
      <x:c r="AD47" s="12" t="str">
        <x:f>IF(AC47="PRIVATE_QUARANTINE","hacker_or_bank_trigger",IF(AC47="PRIVATE_REVIEW","finance_risk_trigger","none"))</x:f>
        <x:v>none</x:v>
      </x:c>
      <x:c r="AE47" s="12" t="str">
        <x:f>IF(AC47="PUBLIC_CANDIDATE","prepare_public_github_candidate",IF(AC47="PRIVATE_REVIEW","hold_for_private_review","quarantine_private_do_not_publish"))</x:f>
        <x:v>prepare_public_github_candidate</x:v>
      </x:c>
      <x:c r="AF47" s="12" t="str">
        <x:f>IF(AC47="PUBLIC_CANDIDATE","TIDELOCK + Lucerna",IF(AC47="PRIVATE_REVIEW","AtlasBrain + Lucerna","TIDELOCK + Lucerna + Human-root"))</x:f>
        <x:v>TIDELOCK + Lucerna</x:v>
      </x:c>
      <x:c r="AG47" s="12" t="str">
        <x:f>IF(AND(AC47="PUBLIC_CANDIDATE",U47&lt;&gt;"BLOCKED_PENDING_RECEIPT"),"READY_AFTER_RECEIPT","NOT_READY")</x:f>
        <x:v>NOT_READY</x:v>
      </x:c>
      <x:c r="AH47" s="12" t="str">
        <x:f>IF(AC47="PUBLIC_CANDIDATE","none",AD47)</x:f>
        <x:v>none</x:v>
      </x:c>
      <x:c r="AI47" s="12" t="str">
        <x:f>IF(AC47="PUBLIC_CANDIDATE","archive/public_candidates/"&amp;A47,"private_quarantine/"&amp;A47)</x:f>
        <x:v>archive/public_candidates/SWARM-01-H04-S10</x:v>
      </x:c>
      <x:c r="AJ47" s="12" t="str">
        <x:f>IF(AC47="PUBLIC_CANDIDATE","public by default; still not canon","private/hold; do not publish")</x:f>
        <x:v>public by default; still not canon</x:v>
      </x:c>
      <x:c r="AK47" s="12" t="str">
        <x:f>IF(AE47="prepare_public_github_candidate","add receipt/status then mirror","resolve blocker before any public GitHub action")</x:f>
        <x:v>add receipt/status then mirror</x:v>
      </x:c>
    </x:row>
    <x:row r="48">
      <x:c r="A48" s="15" t="str">
        <x:v>SWARM-01-H04-S11</x:v>
      </x:c>
      <x:c r="B48" s="15" t="str">
        <x:v>Ledgerwake</x:v>
      </x:c>
      <x:c r="C48" s="15" t="str">
        <x:v>Source receipt keeper</x:v>
      </x:c>
      <x:c r="D48" s="15" t="str">
        <x:v>Claim Extraction</x:v>
      </x:c>
      <x:c r="E48" s="15" t="str">
        <x:v>Automation</x:v>
      </x:c>
      <x:c r="F48" s="15" t="str">
        <x:v>Extract claims from Automation — Ledgerwake</x:v>
      </x:c>
      <x:c r="G48" s="15" t="str">
        <x:v>inventory / receipts / raw custody</x:v>
      </x:c>
      <x:c r="H48" s="15" t="str">
        <x:v>source path + receipt + raw/export status + claim/edge/risk delta</x:v>
      </x:c>
      <x:c r="I48" s="15" t="str">
        <x:v>packet/SWARM-01-H04-S11</x:v>
      </x:c>
      <x:c r="J48" s="15" t="str">
        <x:v>TODO</x:v>
      </x:c>
      <x:c r="K48" s="15" t="str">
        <x:v>P2</x:v>
      </x:c>
      <x:c r="L48" s="15" t="str">
        <x:v>Done only when evidence is logged, contradiction search is noted, and boundary stamp remains non-canon unless ratified</x:v>
      </x:c>
      <x:c r="M48" s="15" t="str">
        <x:v>candidate / staging-only / not canon / not deployed / authority none</x:v>
      </x:c>
      <x:c r="N48" s="15" t="str">
        <x:v>Dispatch to Ledgerwake: complete Claim Extraction x Automation; return deltas only, receipts required.</x:v>
      </x:c>
      <x:c r="O48" s="15" t="str">
        <x:v>AF-KG-H04-S11</x:v>
      </x:c>
      <x:c r="P48" s="15" t="str">
        <x:v>Unverified</x:v>
      </x:c>
      <x:c r="Q48" s="15" t="str">
        <x:v>Not checked</x:v>
      </x:c>
      <x:c r="R48" s="15" t="str"/>
      <x:c r="S48" s="15" t="str"/>
      <x:c r="T48" s="15" t="str">
        <x:v>Log first source path or blocker</x:v>
      </x:c>
      <x:c r="U48" s="12" t="str">
        <x:f>IF(OR(P48="Unverified",Q48="Not checked"),"BLOCKED_PENDING_RECEIPT","READY_FOR_REVIEW")</x:f>
        <x:v>BLOCKED_PENDING_RECEIPT</x:v>
      </x:c>
      <x:c r="V48" s="12" t="str">
        <x:f>IF(J48="DONE","RETURNED",IF(U48="BLOCKED_PENDING_RECEIPT","SOURCE_TOUCH_REQUIRED","IN_PROGRESS"))</x:f>
        <x:v>SOURCE_TOUCH_REQUIRED</x:v>
      </x:c>
      <x:c r="W48" s="12" t="str">
        <x:f>IF(P48="Unverified","missing_receipt","receipt_logged")</x:f>
        <x:v>missing_receipt</x:v>
      </x:c>
      <x:c r="X48" s="12" t="str">
        <x:f>IF(Q48="Not checked","raw_status_missing","raw_status_logged")</x:f>
        <x:v>raw_status_missing</x:v>
      </x:c>
      <x:c r="Y48" s="12" t="str">
        <x:f>IF(U48="BLOCKED_PENDING_RECEIPT","Log source path or blocker; do not promote","Route to review lane")</x:f>
        <x:v>Log source path or blocker; do not promote</x:v>
      </x:c>
      <x:c r="Z48" s="12" t="str">
        <x:f>IF(K48="P0","Primary seat + Hashlight/Lucerna","Seat lane")</x:f>
        <x:v>Seat lane</x:v>
      </x:c>
      <x:c r="AA48" s="12" t="str">
        <x:f>IF(R48="","no_claim_delta","claim_delta_present")</x:f>
        <x:v>no_claim_delta</x:v>
      </x:c>
      <x:c r="AB48" s="12" t="str">
        <x:f>IF(S48="","no_contradiction_delta","contradiction_delta_present")</x:f>
        <x:v>no_contradiction_delta</x:v>
      </x:c>
      <x:c r="AC48" s="12" t="str">
        <x:f>IF(OR(ISNUMBER(SEARCH("hacker",LOWER(F48&amp;" "&amp;H48&amp;" "&amp;I48&amp;" "&amp;M48&amp;" "&amp;N48&amp;" "&amp;T48))),ISNUMBER(SEARCH("hacking",LOWER(F48&amp;" "&amp;H48&amp;" "&amp;I48&amp;" "&amp;M48&amp;" "&amp;N48&amp;" "&amp;T48))),ISNUMBER(SEARCH("bank",LOWER(F48&amp;" "&amp;H48&amp;" "&amp;I48&amp;" "&amp;M48&amp;" "&amp;N48&amp;" "&amp;T48))),ISNUMBER(SEARCH("banking",LOWER(F48&amp;" "&amp;H48&amp;" "&amp;I48&amp;" "&amp;M48&amp;" "&amp;N48&amp;" "&amp;T48)))),"PRIVATE_QUARANTINE",IF(OR(ISNUMBER(SEARCH("treasury",LOWER(F48&amp;" "&amp;H48&amp;" "&amp;I48&amp;" "&amp;M48&amp;" "&amp;N48&amp;" "&amp;T48))),ISNUMBER(SEARCH("debt",LOWER(F48&amp;" "&amp;H48&amp;" "&amp;I48&amp;" "&amp;M48&amp;" "&amp;N48&amp;" "&amp;T48))),ISNUMBER(SEARCH("bond",LOWER(F48&amp;" "&amp;H48&amp;" "&amp;I48&amp;" "&amp;M48&amp;" "&amp;N48&amp;" "&amp;T48))),ISNUMBER(SEARCH("transaction",LOWER(F48&amp;" "&amp;H48&amp;" "&amp;I48&amp;" "&amp;M48&amp;" "&amp;N48&amp;" "&amp;T48)))),"PRIVATE_REVIEW","PUBLIC_CANDIDATE"))</x:f>
        <x:v>PUBLIC_CANDIDATE</x:v>
      </x:c>
      <x:c r="AD48" s="12" t="str">
        <x:f>IF(AC48="PRIVATE_QUARANTINE","hacker_or_bank_trigger",IF(AC48="PRIVATE_REVIEW","finance_risk_trigger","none"))</x:f>
        <x:v>none</x:v>
      </x:c>
      <x:c r="AE48" s="12" t="str">
        <x:f>IF(AC48="PUBLIC_CANDIDATE","prepare_public_github_candidate",IF(AC48="PRIVATE_REVIEW","hold_for_private_review","quarantine_private_do_not_publish"))</x:f>
        <x:v>prepare_public_github_candidate</x:v>
      </x:c>
      <x:c r="AF48" s="12" t="str">
        <x:f>IF(AC48="PUBLIC_CANDIDATE","TIDELOCK + Lucerna",IF(AC48="PRIVATE_REVIEW","AtlasBrain + Lucerna","TIDELOCK + Lucerna + Human-root"))</x:f>
        <x:v>TIDELOCK + Lucerna</x:v>
      </x:c>
      <x:c r="AG48" s="12" t="str">
        <x:f>IF(AND(AC48="PUBLIC_CANDIDATE",U48&lt;&gt;"BLOCKED_PENDING_RECEIPT"),"READY_AFTER_RECEIPT","NOT_READY")</x:f>
        <x:v>NOT_READY</x:v>
      </x:c>
      <x:c r="AH48" s="12" t="str">
        <x:f>IF(AC48="PUBLIC_CANDIDATE","none",AD48)</x:f>
        <x:v>none</x:v>
      </x:c>
      <x:c r="AI48" s="12" t="str">
        <x:f>IF(AC48="PUBLIC_CANDIDATE","archive/public_candidates/"&amp;A48,"private_quarantine/"&amp;A48)</x:f>
        <x:v>archive/public_candidates/SWARM-01-H04-S11</x:v>
      </x:c>
      <x:c r="AJ48" s="12" t="str">
        <x:f>IF(AC48="PUBLIC_CANDIDATE","public by default; still not canon","private/hold; do not publish")</x:f>
        <x:v>public by default; still not canon</x:v>
      </x:c>
      <x:c r="AK48" s="12" t="str">
        <x:f>IF(AE48="prepare_public_github_candidate","add receipt/status then mirror","resolve blocker before any public GitHub action")</x:f>
        <x:v>add receipt/status then mirror</x:v>
      </x:c>
    </x:row>
    <x:row r="49">
      <x:c r="A49" s="15" t="str">
        <x:v>SWARM-01-H04-S12</x:v>
      </x:c>
      <x:c r="B49" s="15" t="str">
        <x:v>Ledgerwake</x:v>
      </x:c>
      <x:c r="C49" s="15" t="str">
        <x:v>Source receipt keeper</x:v>
      </x:c>
      <x:c r="D49" s="15" t="str">
        <x:v>Claim Extraction</x:v>
      </x:c>
      <x:c r="E49" s="15" t="str">
        <x:v>Risk / Safety</x:v>
      </x:c>
      <x:c r="F49" s="15" t="str">
        <x:v>Extract claims from Risk / Safety — Ledgerwake</x:v>
      </x:c>
      <x:c r="G49" s="15" t="str">
        <x:v>inventory / receipts / raw custody</x:v>
      </x:c>
      <x:c r="H49" s="15" t="str">
        <x:v>source path + receipt + raw/export status + claim/edge/risk delta</x:v>
      </x:c>
      <x:c r="I49" s="15" t="str">
        <x:v>packet/SWARM-01-H04-S12</x:v>
      </x:c>
      <x:c r="J49" s="15" t="str">
        <x:v>TODO</x:v>
      </x:c>
      <x:c r="K49" s="15" t="str">
        <x:v>P2</x:v>
      </x:c>
      <x:c r="L49" s="15" t="str">
        <x:v>Done only when evidence is logged, contradiction search is noted, and boundary stamp remains non-canon unless ratified</x:v>
      </x:c>
      <x:c r="M49" s="15" t="str">
        <x:v>candidate / staging-only / not canon / not deployed / authority none</x:v>
      </x:c>
      <x:c r="N49" s="15" t="str">
        <x:v>Dispatch to Ledgerwake: complete Claim Extraction x Risk / Safety; return deltas only, receipts required.</x:v>
      </x:c>
      <x:c r="O49" s="15" t="str">
        <x:v>AF-KG-H04-S12</x:v>
      </x:c>
      <x:c r="P49" s="15" t="str">
        <x:v>Unverified</x:v>
      </x:c>
      <x:c r="Q49" s="15" t="str">
        <x:v>Not checked</x:v>
      </x:c>
      <x:c r="R49" s="15" t="str"/>
      <x:c r="S49" s="15" t="str"/>
      <x:c r="T49" s="15" t="str">
        <x:v>Log first source path or blocker</x:v>
      </x:c>
      <x:c r="U49" s="12" t="str">
        <x:f>IF(OR(P49="Unverified",Q49="Not checked"),"BLOCKED_PENDING_RECEIPT","READY_FOR_REVIEW")</x:f>
        <x:v>BLOCKED_PENDING_RECEIPT</x:v>
      </x:c>
      <x:c r="V49" s="12" t="str">
        <x:f>IF(J49="DONE","RETURNED",IF(U49="BLOCKED_PENDING_RECEIPT","SOURCE_TOUCH_REQUIRED","IN_PROGRESS"))</x:f>
        <x:v>SOURCE_TOUCH_REQUIRED</x:v>
      </x:c>
      <x:c r="W49" s="12" t="str">
        <x:f>IF(P49="Unverified","missing_receipt","receipt_logged")</x:f>
        <x:v>missing_receipt</x:v>
      </x:c>
      <x:c r="X49" s="12" t="str">
        <x:f>IF(Q49="Not checked","raw_status_missing","raw_status_logged")</x:f>
        <x:v>raw_status_missing</x:v>
      </x:c>
      <x:c r="Y49" s="12" t="str">
        <x:f>IF(U49="BLOCKED_PENDING_RECEIPT","Log source path or blocker; do not promote","Route to review lane")</x:f>
        <x:v>Log source path or blocker; do not promote</x:v>
      </x:c>
      <x:c r="Z49" s="12" t="str">
        <x:f>IF(K49="P0","Primary seat + Hashlight/Lucerna","Seat lane")</x:f>
        <x:v>Seat lane</x:v>
      </x:c>
      <x:c r="AA49" s="12" t="str">
        <x:f>IF(R49="","no_claim_delta","claim_delta_present")</x:f>
        <x:v>no_claim_delta</x:v>
      </x:c>
      <x:c r="AB49" s="12" t="str">
        <x:f>IF(S49="","no_contradiction_delta","contradiction_delta_present")</x:f>
        <x:v>no_contradiction_delta</x:v>
      </x:c>
      <x:c r="AC49" s="12" t="str">
        <x:f>IF(OR(ISNUMBER(SEARCH("hacker",LOWER(F49&amp;" "&amp;H49&amp;" "&amp;I49&amp;" "&amp;M49&amp;" "&amp;N49&amp;" "&amp;T49))),ISNUMBER(SEARCH("hacking",LOWER(F49&amp;" "&amp;H49&amp;" "&amp;I49&amp;" "&amp;M49&amp;" "&amp;N49&amp;" "&amp;T49))),ISNUMBER(SEARCH("bank",LOWER(F49&amp;" "&amp;H49&amp;" "&amp;I49&amp;" "&amp;M49&amp;" "&amp;N49&amp;" "&amp;T49))),ISNUMBER(SEARCH("banking",LOWER(F49&amp;" "&amp;H49&amp;" "&amp;I49&amp;" "&amp;M49&amp;" "&amp;N49&amp;" "&amp;T49)))),"PRIVATE_QUARANTINE",IF(OR(ISNUMBER(SEARCH("treasury",LOWER(F49&amp;" "&amp;H49&amp;" "&amp;I49&amp;" "&amp;M49&amp;" "&amp;N49&amp;" "&amp;T49))),ISNUMBER(SEARCH("debt",LOWER(F49&amp;" "&amp;H49&amp;" "&amp;I49&amp;" "&amp;M49&amp;" "&amp;N49&amp;" "&amp;T49))),ISNUMBER(SEARCH("bond",LOWER(F49&amp;" "&amp;H49&amp;" "&amp;I49&amp;" "&amp;M49&amp;" "&amp;N49&amp;" "&amp;T49))),ISNUMBER(SEARCH("transaction",LOWER(F49&amp;" "&amp;H49&amp;" "&amp;I49&amp;" "&amp;M49&amp;" "&amp;N49&amp;" "&amp;T49)))),"PRIVATE_REVIEW","PUBLIC_CANDIDATE"))</x:f>
        <x:v>PUBLIC_CANDIDATE</x:v>
      </x:c>
      <x:c r="AD49" s="12" t="str">
        <x:f>IF(AC49="PRIVATE_QUARANTINE","hacker_or_bank_trigger",IF(AC49="PRIVATE_REVIEW","finance_risk_trigger","none"))</x:f>
        <x:v>none</x:v>
      </x:c>
      <x:c r="AE49" s="12" t="str">
        <x:f>IF(AC49="PUBLIC_CANDIDATE","prepare_public_github_candidate",IF(AC49="PRIVATE_REVIEW","hold_for_private_review","quarantine_private_do_not_publish"))</x:f>
        <x:v>prepare_public_github_candidate</x:v>
      </x:c>
      <x:c r="AF49" s="12" t="str">
        <x:f>IF(AC49="PUBLIC_CANDIDATE","TIDELOCK + Lucerna",IF(AC49="PRIVATE_REVIEW","AtlasBrain + Lucerna","TIDELOCK + Lucerna + Human-root"))</x:f>
        <x:v>TIDELOCK + Lucerna</x:v>
      </x:c>
      <x:c r="AG49" s="12" t="str">
        <x:f>IF(AND(AC49="PUBLIC_CANDIDATE",U49&lt;&gt;"BLOCKED_PENDING_RECEIPT"),"READY_AFTER_RECEIPT","NOT_READY")</x:f>
        <x:v>NOT_READY</x:v>
      </x:c>
      <x:c r="AH49" s="12" t="str">
        <x:f>IF(AC49="PUBLIC_CANDIDATE","none",AD49)</x:f>
        <x:v>none</x:v>
      </x:c>
      <x:c r="AI49" s="12" t="str">
        <x:f>IF(AC49="PUBLIC_CANDIDATE","archive/public_candidates/"&amp;A49,"private_quarantine/"&amp;A49)</x:f>
        <x:v>archive/public_candidates/SWARM-01-H04-S12</x:v>
      </x:c>
      <x:c r="AJ49" s="12" t="str">
        <x:f>IF(AC49="PUBLIC_CANDIDATE","public by default; still not canon","private/hold; do not publish")</x:f>
        <x:v>public by default; still not canon</x:v>
      </x:c>
      <x:c r="AK49" s="12" t="str">
        <x:f>IF(AE49="prepare_public_github_candidate","add receipt/status then mirror","resolve blocker before any public GitHub action")</x:f>
        <x:v>add receipt/status then mirror</x:v>
      </x:c>
    </x:row>
    <x:row r="50">
      <x:c r="A50" s="15" t="str">
        <x:v>SWARM-01-H05-S01</x:v>
      </x:c>
      <x:c r="B50" s="15" t="str">
        <x:v>Ledgerwake</x:v>
      </x:c>
      <x:c r="C50" s="15" t="str">
        <x:v>Source receipt keeper</x:v>
      </x:c>
      <x:c r="D50" s="15" t="str">
        <x:v>Contradiction Mapping</x:v>
      </x:c>
      <x:c r="E50" s="15" t="str">
        <x:v>Notion</x:v>
      </x:c>
      <x:c r="F50" s="15" t="str">
        <x:v>Map contradictions in Notion — Ledgerwake</x:v>
      </x:c>
      <x:c r="G50" s="15" t="str">
        <x:v>inventory / receipts / raw custody</x:v>
      </x:c>
      <x:c r="H50" s="15" t="str">
        <x:v>source path + receipt + raw/export status + claim/edge/risk delta</x:v>
      </x:c>
      <x:c r="I50" s="15" t="str">
        <x:v>packet/SWARM-01-H05-S01</x:v>
      </x:c>
      <x:c r="J50" s="15" t="str">
        <x:v>TODO</x:v>
      </x:c>
      <x:c r="K50" s="15" t="str">
        <x:v>P0</x:v>
      </x:c>
      <x:c r="L50" s="15" t="str">
        <x:v>Done only when evidence is logged, contradiction search is noted, and boundary stamp remains non-canon unless ratified</x:v>
      </x:c>
      <x:c r="M50" s="15" t="str">
        <x:v>candidate / staging-only / not canon / not deployed / authority none</x:v>
      </x:c>
      <x:c r="N50" s="15" t="str">
        <x:v>Dispatch to Ledgerwake: complete Contradiction Mapping x Notion; return deltas only, receipts required.</x:v>
      </x:c>
      <x:c r="O50" s="15" t="str">
        <x:v>AF-KG-H05-S01</x:v>
      </x:c>
      <x:c r="P50" s="15" t="str">
        <x:v>Unverified</x:v>
      </x:c>
      <x:c r="Q50" s="15" t="str">
        <x:v>Not checked</x:v>
      </x:c>
      <x:c r="R50" s="15" t="str"/>
      <x:c r="S50" s="15" t="str"/>
      <x:c r="T50" s="15" t="str">
        <x:v>Log first source path or blocker</x:v>
      </x:c>
      <x:c r="U50" s="12" t="str">
        <x:f>IF(OR(P50="Unverified",Q50="Not checked"),"BLOCKED_PENDING_RECEIPT","READY_FOR_REVIEW")</x:f>
        <x:v>BLOCKED_PENDING_RECEIPT</x:v>
      </x:c>
      <x:c r="V50" s="12" t="str">
        <x:f>IF(J50="DONE","RETURNED",IF(U50="BLOCKED_PENDING_RECEIPT","SOURCE_TOUCH_REQUIRED","IN_PROGRESS"))</x:f>
        <x:v>SOURCE_TOUCH_REQUIRED</x:v>
      </x:c>
      <x:c r="W50" s="12" t="str">
        <x:f>IF(P50="Unverified","missing_receipt","receipt_logged")</x:f>
        <x:v>missing_receipt</x:v>
      </x:c>
      <x:c r="X50" s="12" t="str">
        <x:f>IF(Q50="Not checked","raw_status_missing","raw_status_logged")</x:f>
        <x:v>raw_status_missing</x:v>
      </x:c>
      <x:c r="Y50" s="12" t="str">
        <x:f>IF(U50="BLOCKED_PENDING_RECEIPT","Log source path or blocker; do not promote","Route to review lane")</x:f>
        <x:v>Log source path or blocker; do not promote</x:v>
      </x:c>
      <x:c r="Z50" s="12" t="str">
        <x:f>IF(K50="P0","Primary seat + Hashlight/Lucerna","Seat lane")</x:f>
        <x:v>Primary seat + Hashlight/Lucerna</x:v>
      </x:c>
      <x:c r="AA50" s="12" t="str">
        <x:f>IF(R50="","no_claim_delta","claim_delta_present")</x:f>
        <x:v>no_claim_delta</x:v>
      </x:c>
      <x:c r="AB50" s="12" t="str">
        <x:f>IF(S50="","no_contradiction_delta","contradiction_delta_present")</x:f>
        <x:v>no_contradiction_delta</x:v>
      </x:c>
      <x:c r="AC50" s="12" t="str">
        <x:f>IF(OR(ISNUMBER(SEARCH("hacker",LOWER(F50&amp;" "&amp;H50&amp;" "&amp;I50&amp;" "&amp;M50&amp;" "&amp;N50&amp;" "&amp;T50))),ISNUMBER(SEARCH("hacking",LOWER(F50&amp;" "&amp;H50&amp;" "&amp;I50&amp;" "&amp;M50&amp;" "&amp;N50&amp;" "&amp;T50))),ISNUMBER(SEARCH("bank",LOWER(F50&amp;" "&amp;H50&amp;" "&amp;I50&amp;" "&amp;M50&amp;" "&amp;N50&amp;" "&amp;T50))),ISNUMBER(SEARCH("banking",LOWER(F50&amp;" "&amp;H50&amp;" "&amp;I50&amp;" "&amp;M50&amp;" "&amp;N50&amp;" "&amp;T50)))),"PRIVATE_QUARANTINE",IF(OR(ISNUMBER(SEARCH("treasury",LOWER(F50&amp;" "&amp;H50&amp;" "&amp;I50&amp;" "&amp;M50&amp;" "&amp;N50&amp;" "&amp;T50))),ISNUMBER(SEARCH("debt",LOWER(F50&amp;" "&amp;H50&amp;" "&amp;I50&amp;" "&amp;M50&amp;" "&amp;N50&amp;" "&amp;T50))),ISNUMBER(SEARCH("bond",LOWER(F50&amp;" "&amp;H50&amp;" "&amp;I50&amp;" "&amp;M50&amp;" "&amp;N50&amp;" "&amp;T50))),ISNUMBER(SEARCH("transaction",LOWER(F50&amp;" "&amp;H50&amp;" "&amp;I50&amp;" "&amp;M50&amp;" "&amp;N50&amp;" "&amp;T50)))),"PRIVATE_REVIEW","PUBLIC_CANDIDATE"))</x:f>
        <x:v>PUBLIC_CANDIDATE</x:v>
      </x:c>
      <x:c r="AD50" s="12" t="str">
        <x:f>IF(AC50="PRIVATE_QUARANTINE","hacker_or_bank_trigger",IF(AC50="PRIVATE_REVIEW","finance_risk_trigger","none"))</x:f>
        <x:v>none</x:v>
      </x:c>
      <x:c r="AE50" s="12" t="str">
        <x:f>IF(AC50="PUBLIC_CANDIDATE","prepare_public_github_candidate",IF(AC50="PRIVATE_REVIEW","hold_for_private_review","quarantine_private_do_not_publish"))</x:f>
        <x:v>prepare_public_github_candidate</x:v>
      </x:c>
      <x:c r="AF50" s="12" t="str">
        <x:f>IF(AC50="PUBLIC_CANDIDATE","TIDELOCK + Lucerna",IF(AC50="PRIVATE_REVIEW","AtlasBrain + Lucerna","TIDELOCK + Lucerna + Human-root"))</x:f>
        <x:v>TIDELOCK + Lucerna</x:v>
      </x:c>
      <x:c r="AG50" s="12" t="str">
        <x:f>IF(AND(AC50="PUBLIC_CANDIDATE",U50&lt;&gt;"BLOCKED_PENDING_RECEIPT"),"READY_AFTER_RECEIPT","NOT_READY")</x:f>
        <x:v>NOT_READY</x:v>
      </x:c>
      <x:c r="AH50" s="12" t="str">
        <x:f>IF(AC50="PUBLIC_CANDIDATE","none",AD50)</x:f>
        <x:v>none</x:v>
      </x:c>
      <x:c r="AI50" s="12" t="str">
        <x:f>IF(AC50="PUBLIC_CANDIDATE","archive/public_candidates/"&amp;A50,"private_quarantine/"&amp;A50)</x:f>
        <x:v>archive/public_candidates/SWARM-01-H05-S01</x:v>
      </x:c>
      <x:c r="AJ50" s="12" t="str">
        <x:f>IF(AC50="PUBLIC_CANDIDATE","public by default; still not canon","private/hold; do not publish")</x:f>
        <x:v>public by default; still not canon</x:v>
      </x:c>
      <x:c r="AK50" s="12" t="str">
        <x:f>IF(AE50="prepare_public_github_candidate","add receipt/status then mirror","resolve blocker before any public GitHub action")</x:f>
        <x:v>add receipt/status then mirror</x:v>
      </x:c>
    </x:row>
    <x:row r="51">
      <x:c r="A51" s="15" t="str">
        <x:v>SWARM-01-H05-S02</x:v>
      </x:c>
      <x:c r="B51" s="15" t="str">
        <x:v>Ledgerwake</x:v>
      </x:c>
      <x:c r="C51" s="15" t="str">
        <x:v>Source receipt keeper</x:v>
      </x:c>
      <x:c r="D51" s="15" t="str">
        <x:v>Contradiction Mapping</x:v>
      </x:c>
      <x:c r="E51" s="15" t="str">
        <x:v>Drive</x:v>
      </x:c>
      <x:c r="F51" s="15" t="str">
        <x:v>Map contradictions in Drive — Ledgerwake</x:v>
      </x:c>
      <x:c r="G51" s="15" t="str">
        <x:v>inventory / receipts / raw custody</x:v>
      </x:c>
      <x:c r="H51" s="15" t="str">
        <x:v>source path + receipt + raw/export status + claim/edge/risk delta</x:v>
      </x:c>
      <x:c r="I51" s="15" t="str">
        <x:v>packet/SWARM-01-H05-S02</x:v>
      </x:c>
      <x:c r="J51" s="15" t="str">
        <x:v>TODO</x:v>
      </x:c>
      <x:c r="K51" s="15" t="str">
        <x:v>P0</x:v>
      </x:c>
      <x:c r="L51" s="15" t="str">
        <x:v>Done only when evidence is logged, contradiction search is noted, and boundary stamp remains non-canon unless ratified</x:v>
      </x:c>
      <x:c r="M51" s="15" t="str">
        <x:v>candidate / staging-only / not canon / not deployed / authority none</x:v>
      </x:c>
      <x:c r="N51" s="15" t="str">
        <x:v>Dispatch to Ledgerwake: complete Contradiction Mapping x Drive; return deltas only, receipts required.</x:v>
      </x:c>
      <x:c r="O51" s="15" t="str">
        <x:v>AF-KG-H05-S02</x:v>
      </x:c>
      <x:c r="P51" s="15" t="str">
        <x:v>Unverified</x:v>
      </x:c>
      <x:c r="Q51" s="15" t="str">
        <x:v>Not checked</x:v>
      </x:c>
      <x:c r="R51" s="15" t="str"/>
      <x:c r="S51" s="15" t="str"/>
      <x:c r="T51" s="15" t="str">
        <x:v>Log first source path or blocker</x:v>
      </x:c>
      <x:c r="U51" s="12" t="str">
        <x:f>IF(OR(P51="Unverified",Q51="Not checked"),"BLOCKED_PENDING_RECEIPT","READY_FOR_REVIEW")</x:f>
        <x:v>BLOCKED_PENDING_RECEIPT</x:v>
      </x:c>
      <x:c r="V51" s="12" t="str">
        <x:f>IF(J51="DONE","RETURNED",IF(U51="BLOCKED_PENDING_RECEIPT","SOURCE_TOUCH_REQUIRED","IN_PROGRESS"))</x:f>
        <x:v>SOURCE_TOUCH_REQUIRED</x:v>
      </x:c>
      <x:c r="W51" s="12" t="str">
        <x:f>IF(P51="Unverified","missing_receipt","receipt_logged")</x:f>
        <x:v>missing_receipt</x:v>
      </x:c>
      <x:c r="X51" s="12" t="str">
        <x:f>IF(Q51="Not checked","raw_status_missing","raw_status_logged")</x:f>
        <x:v>raw_status_missing</x:v>
      </x:c>
      <x:c r="Y51" s="12" t="str">
        <x:f>IF(U51="BLOCKED_PENDING_RECEIPT","Log source path or blocker; do not promote","Route to review lane")</x:f>
        <x:v>Log source path or blocker; do not promote</x:v>
      </x:c>
      <x:c r="Z51" s="12" t="str">
        <x:f>IF(K51="P0","Primary seat + Hashlight/Lucerna","Seat lane")</x:f>
        <x:v>Primary seat + Hashlight/Lucerna</x:v>
      </x:c>
      <x:c r="AA51" s="12" t="str">
        <x:f>IF(R51="","no_claim_delta","claim_delta_present")</x:f>
        <x:v>no_claim_delta</x:v>
      </x:c>
      <x:c r="AB51" s="12" t="str">
        <x:f>IF(S51="","no_contradiction_delta","contradiction_delta_present")</x:f>
        <x:v>no_contradiction_delta</x:v>
      </x:c>
      <x:c r="AC51" s="12" t="str">
        <x:f>IF(OR(ISNUMBER(SEARCH("hacker",LOWER(F51&amp;" "&amp;H51&amp;" "&amp;I51&amp;" "&amp;M51&amp;" "&amp;N51&amp;" "&amp;T51))),ISNUMBER(SEARCH("hacking",LOWER(F51&amp;" "&amp;H51&amp;" "&amp;I51&amp;" "&amp;M51&amp;" "&amp;N51&amp;" "&amp;T51))),ISNUMBER(SEARCH("bank",LOWER(F51&amp;" "&amp;H51&amp;" "&amp;I51&amp;" "&amp;M51&amp;" "&amp;N51&amp;" "&amp;T51))),ISNUMBER(SEARCH("banking",LOWER(F51&amp;" "&amp;H51&amp;" "&amp;I51&amp;" "&amp;M51&amp;" "&amp;N51&amp;" "&amp;T51)))),"PRIVATE_QUARANTINE",IF(OR(ISNUMBER(SEARCH("treasury",LOWER(F51&amp;" "&amp;H51&amp;" "&amp;I51&amp;" "&amp;M51&amp;" "&amp;N51&amp;" "&amp;T51))),ISNUMBER(SEARCH("debt",LOWER(F51&amp;" "&amp;H51&amp;" "&amp;I51&amp;" "&amp;M51&amp;" "&amp;N51&amp;" "&amp;T51))),ISNUMBER(SEARCH("bond",LOWER(F51&amp;" "&amp;H51&amp;" "&amp;I51&amp;" "&amp;M51&amp;" "&amp;N51&amp;" "&amp;T51))),ISNUMBER(SEARCH("transaction",LOWER(F51&amp;" "&amp;H51&amp;" "&amp;I51&amp;" "&amp;M51&amp;" "&amp;N51&amp;" "&amp;T51)))),"PRIVATE_REVIEW","PUBLIC_CANDIDATE"))</x:f>
        <x:v>PUBLIC_CANDIDATE</x:v>
      </x:c>
      <x:c r="AD51" s="12" t="str">
        <x:f>IF(AC51="PRIVATE_QUARANTINE","hacker_or_bank_trigger",IF(AC51="PRIVATE_REVIEW","finance_risk_trigger","none"))</x:f>
        <x:v>none</x:v>
      </x:c>
      <x:c r="AE51" s="12" t="str">
        <x:f>IF(AC51="PUBLIC_CANDIDATE","prepare_public_github_candidate",IF(AC51="PRIVATE_REVIEW","hold_for_private_review","quarantine_private_do_not_publish"))</x:f>
        <x:v>prepare_public_github_candidate</x:v>
      </x:c>
      <x:c r="AF51" s="12" t="str">
        <x:f>IF(AC51="PUBLIC_CANDIDATE","TIDELOCK + Lucerna",IF(AC51="PRIVATE_REVIEW","AtlasBrain + Lucerna","TIDELOCK + Lucerna + Human-root"))</x:f>
        <x:v>TIDELOCK + Lucerna</x:v>
      </x:c>
      <x:c r="AG51" s="12" t="str">
        <x:f>IF(AND(AC51="PUBLIC_CANDIDATE",U51&lt;&gt;"BLOCKED_PENDING_RECEIPT"),"READY_AFTER_RECEIPT","NOT_READY")</x:f>
        <x:v>NOT_READY</x:v>
      </x:c>
      <x:c r="AH51" s="12" t="str">
        <x:f>IF(AC51="PUBLIC_CANDIDATE","none",AD51)</x:f>
        <x:v>none</x:v>
      </x:c>
      <x:c r="AI51" s="12" t="str">
        <x:f>IF(AC51="PUBLIC_CANDIDATE","archive/public_candidates/"&amp;A51,"private_quarantine/"&amp;A51)</x:f>
        <x:v>archive/public_candidates/SWARM-01-H05-S02</x:v>
      </x:c>
      <x:c r="AJ51" s="12" t="str">
        <x:f>IF(AC51="PUBLIC_CANDIDATE","public by default; still not canon","private/hold; do not publish")</x:f>
        <x:v>public by default; still not canon</x:v>
      </x:c>
      <x:c r="AK51" s="12" t="str">
        <x:f>IF(AE51="prepare_public_github_candidate","add receipt/status then mirror","resolve blocker before any public GitHub action")</x:f>
        <x:v>add receipt/status then mirror</x:v>
      </x:c>
    </x:row>
    <x:row r="52">
      <x:c r="A52" s="15" t="str">
        <x:v>SWARM-01-H05-S03</x:v>
      </x:c>
      <x:c r="B52" s="15" t="str">
        <x:v>Ledgerwake</x:v>
      </x:c>
      <x:c r="C52" s="15" t="str">
        <x:v>Source receipt keeper</x:v>
      </x:c>
      <x:c r="D52" s="15" t="str">
        <x:v>Contradiction Mapping</x:v>
      </x:c>
      <x:c r="E52" s="15" t="str">
        <x:v>GitHub</x:v>
      </x:c>
      <x:c r="F52" s="15" t="str">
        <x:v>Map contradictions in GitHub — Ledgerwake</x:v>
      </x:c>
      <x:c r="G52" s="15" t="str">
        <x:v>inventory / receipts / raw custody</x:v>
      </x:c>
      <x:c r="H52" s="15" t="str">
        <x:v>source path + receipt + raw/export status + claim/edge/risk delta</x:v>
      </x:c>
      <x:c r="I52" s="15" t="str">
        <x:v>packet/SWARM-01-H05-S03</x:v>
      </x:c>
      <x:c r="J52" s="15" t="str">
        <x:v>TODO</x:v>
      </x:c>
      <x:c r="K52" s="15" t="str">
        <x:v>P0</x:v>
      </x:c>
      <x:c r="L52" s="15" t="str">
        <x:v>Done only when evidence is logged, contradiction search is noted, and boundary stamp remains non-canon unless ratified</x:v>
      </x:c>
      <x:c r="M52" s="15" t="str">
        <x:v>candidate / staging-only / not canon / not deployed / authority none</x:v>
      </x:c>
      <x:c r="N52" s="15" t="str">
        <x:v>Dispatch to Ledgerwake: complete Contradiction Mapping x GitHub; return deltas only, receipts required.</x:v>
      </x:c>
      <x:c r="O52" s="15" t="str">
        <x:v>AF-KG-H05-S03</x:v>
      </x:c>
      <x:c r="P52" s="15" t="str">
        <x:v>Unverified</x:v>
      </x:c>
      <x:c r="Q52" s="15" t="str">
        <x:v>Not checked</x:v>
      </x:c>
      <x:c r="R52" s="15" t="str"/>
      <x:c r="S52" s="15" t="str"/>
      <x:c r="T52" s="15" t="str">
        <x:v>Log first source path or blocker</x:v>
      </x:c>
      <x:c r="U52" s="12" t="str">
        <x:f>IF(OR(P52="Unverified",Q52="Not checked"),"BLOCKED_PENDING_RECEIPT","READY_FOR_REVIEW")</x:f>
        <x:v>BLOCKED_PENDING_RECEIPT</x:v>
      </x:c>
      <x:c r="V52" s="12" t="str">
        <x:f>IF(J52="DONE","RETURNED",IF(U52="BLOCKED_PENDING_RECEIPT","SOURCE_TOUCH_REQUIRED","IN_PROGRESS"))</x:f>
        <x:v>SOURCE_TOUCH_REQUIRED</x:v>
      </x:c>
      <x:c r="W52" s="12" t="str">
        <x:f>IF(P52="Unverified","missing_receipt","receipt_logged")</x:f>
        <x:v>missing_receipt</x:v>
      </x:c>
      <x:c r="X52" s="12" t="str">
        <x:f>IF(Q52="Not checked","raw_status_missing","raw_status_logged")</x:f>
        <x:v>raw_status_missing</x:v>
      </x:c>
      <x:c r="Y52" s="12" t="str">
        <x:f>IF(U52="BLOCKED_PENDING_RECEIPT","Log source path or blocker; do not promote","Route to review lane")</x:f>
        <x:v>Log source path or blocker; do not promote</x:v>
      </x:c>
      <x:c r="Z52" s="12" t="str">
        <x:f>IF(K52="P0","Primary seat + Hashlight/Lucerna","Seat lane")</x:f>
        <x:v>Primary seat + Hashlight/Lucerna</x:v>
      </x:c>
      <x:c r="AA52" s="12" t="str">
        <x:f>IF(R52="","no_claim_delta","claim_delta_present")</x:f>
        <x:v>no_claim_delta</x:v>
      </x:c>
      <x:c r="AB52" s="12" t="str">
        <x:f>IF(S52="","no_contradiction_delta","contradiction_delta_present")</x:f>
        <x:v>no_contradiction_delta</x:v>
      </x:c>
      <x:c r="AC52" s="12" t="str">
        <x:f>IF(OR(ISNUMBER(SEARCH("hacker",LOWER(F52&amp;" "&amp;H52&amp;" "&amp;I52&amp;" "&amp;M52&amp;" "&amp;N52&amp;" "&amp;T52))),ISNUMBER(SEARCH("hacking",LOWER(F52&amp;" "&amp;H52&amp;" "&amp;I52&amp;" "&amp;M52&amp;" "&amp;N52&amp;" "&amp;T52))),ISNUMBER(SEARCH("bank",LOWER(F52&amp;" "&amp;H52&amp;" "&amp;I52&amp;" "&amp;M52&amp;" "&amp;N52&amp;" "&amp;T52))),ISNUMBER(SEARCH("banking",LOWER(F52&amp;" "&amp;H52&amp;" "&amp;I52&amp;" "&amp;M52&amp;" "&amp;N52&amp;" "&amp;T52)))),"PRIVATE_QUARANTINE",IF(OR(ISNUMBER(SEARCH("treasury",LOWER(F52&amp;" "&amp;H52&amp;" "&amp;I52&amp;" "&amp;M52&amp;" "&amp;N52&amp;" "&amp;T52))),ISNUMBER(SEARCH("debt",LOWER(F52&amp;" "&amp;H52&amp;" "&amp;I52&amp;" "&amp;M52&amp;" "&amp;N52&amp;" "&amp;T52))),ISNUMBER(SEARCH("bond",LOWER(F52&amp;" "&amp;H52&amp;" "&amp;I52&amp;" "&amp;M52&amp;" "&amp;N52&amp;" "&amp;T52))),ISNUMBER(SEARCH("transaction",LOWER(F52&amp;" "&amp;H52&amp;" "&amp;I52&amp;" "&amp;M52&amp;" "&amp;N52&amp;" "&amp;T52)))),"PRIVATE_REVIEW","PUBLIC_CANDIDATE"))</x:f>
        <x:v>PUBLIC_CANDIDATE</x:v>
      </x:c>
      <x:c r="AD52" s="12" t="str">
        <x:f>IF(AC52="PRIVATE_QUARANTINE","hacker_or_bank_trigger",IF(AC52="PRIVATE_REVIEW","finance_risk_trigger","none"))</x:f>
        <x:v>none</x:v>
      </x:c>
      <x:c r="AE52" s="12" t="str">
        <x:f>IF(AC52="PUBLIC_CANDIDATE","prepare_public_github_candidate",IF(AC52="PRIVATE_REVIEW","hold_for_private_review","quarantine_private_do_not_publish"))</x:f>
        <x:v>prepare_public_github_candidate</x:v>
      </x:c>
      <x:c r="AF52" s="12" t="str">
        <x:f>IF(AC52="PUBLIC_CANDIDATE","TIDELOCK + Lucerna",IF(AC52="PRIVATE_REVIEW","AtlasBrain + Lucerna","TIDELOCK + Lucerna + Human-root"))</x:f>
        <x:v>TIDELOCK + Lucerna</x:v>
      </x:c>
      <x:c r="AG52" s="12" t="str">
        <x:f>IF(AND(AC52="PUBLIC_CANDIDATE",U52&lt;&gt;"BLOCKED_PENDING_RECEIPT"),"READY_AFTER_RECEIPT","NOT_READY")</x:f>
        <x:v>NOT_READY</x:v>
      </x:c>
      <x:c r="AH52" s="12" t="str">
        <x:f>IF(AC52="PUBLIC_CANDIDATE","none",AD52)</x:f>
        <x:v>none</x:v>
      </x:c>
      <x:c r="AI52" s="12" t="str">
        <x:f>IF(AC52="PUBLIC_CANDIDATE","archive/public_candidates/"&amp;A52,"private_quarantine/"&amp;A52)</x:f>
        <x:v>archive/public_candidates/SWARM-01-H05-S03</x:v>
      </x:c>
      <x:c r="AJ52" s="12" t="str">
        <x:f>IF(AC52="PUBLIC_CANDIDATE","public by default; still not canon","private/hold; do not publish")</x:f>
        <x:v>public by default; still not canon</x:v>
      </x:c>
      <x:c r="AK52" s="12" t="str">
        <x:f>IF(AE52="prepare_public_github_candidate","add receipt/status then mirror","resolve blocker before any public GitHub action")</x:f>
        <x:v>add receipt/status then mirror</x:v>
      </x:c>
    </x:row>
    <x:row r="53">
      <x:c r="A53" s="15" t="str">
        <x:v>SWARM-01-H05-S04</x:v>
      </x:c>
      <x:c r="B53" s="15" t="str">
        <x:v>Ledgerwake</x:v>
      </x:c>
      <x:c r="C53" s="15" t="str">
        <x:v>Source receipt keeper</x:v>
      </x:c>
      <x:c r="D53" s="15" t="str">
        <x:v>Contradiction Mapping</x:v>
      </x:c>
      <x:c r="E53" s="15" t="str">
        <x:v>Gamma</x:v>
      </x:c>
      <x:c r="F53" s="15" t="str">
        <x:v>Map contradictions in Gamma — Ledgerwake</x:v>
      </x:c>
      <x:c r="G53" s="15" t="str">
        <x:v>inventory / receipts / raw custody</x:v>
      </x:c>
      <x:c r="H53" s="15" t="str">
        <x:v>source path + receipt + raw/export status + claim/edge/risk delta</x:v>
      </x:c>
      <x:c r="I53" s="15" t="str">
        <x:v>packet/SWARM-01-H05-S04</x:v>
      </x:c>
      <x:c r="J53" s="15" t="str">
        <x:v>TODO</x:v>
      </x:c>
      <x:c r="K53" s="15" t="str">
        <x:v>P1</x:v>
      </x:c>
      <x:c r="L53" s="15" t="str">
        <x:v>Done only when evidence is logged, contradiction search is noted, and boundary stamp remains non-canon unless ratified</x:v>
      </x:c>
      <x:c r="M53" s="15" t="str">
        <x:v>candidate / staging-only / not canon / not deployed / authority none</x:v>
      </x:c>
      <x:c r="N53" s="15" t="str">
        <x:v>Dispatch to Ledgerwake: complete Contradiction Mapping x Gamma; return deltas only, receipts required.</x:v>
      </x:c>
      <x:c r="O53" s="15" t="str">
        <x:v>AF-KG-H05-S04</x:v>
      </x:c>
      <x:c r="P53" s="15" t="str">
        <x:v>Unverified</x:v>
      </x:c>
      <x:c r="Q53" s="15" t="str">
        <x:v>Not checked</x:v>
      </x:c>
      <x:c r="R53" s="15" t="str"/>
      <x:c r="S53" s="15" t="str"/>
      <x:c r="T53" s="15" t="str">
        <x:v>Log first source path or blocker</x:v>
      </x:c>
      <x:c r="U53" s="12" t="str">
        <x:f>IF(OR(P53="Unverified",Q53="Not checked"),"BLOCKED_PENDING_RECEIPT","READY_FOR_REVIEW")</x:f>
        <x:v>BLOCKED_PENDING_RECEIPT</x:v>
      </x:c>
      <x:c r="V53" s="12" t="str">
        <x:f>IF(J53="DONE","RETURNED",IF(U53="BLOCKED_PENDING_RECEIPT","SOURCE_TOUCH_REQUIRED","IN_PROGRESS"))</x:f>
        <x:v>SOURCE_TOUCH_REQUIRED</x:v>
      </x:c>
      <x:c r="W53" s="12" t="str">
        <x:f>IF(P53="Unverified","missing_receipt","receipt_logged")</x:f>
        <x:v>missing_receipt</x:v>
      </x:c>
      <x:c r="X53" s="12" t="str">
        <x:f>IF(Q53="Not checked","raw_status_missing","raw_status_logged")</x:f>
        <x:v>raw_status_missing</x:v>
      </x:c>
      <x:c r="Y53" s="12" t="str">
        <x:f>IF(U53="BLOCKED_PENDING_RECEIPT","Log source path or blocker; do not promote","Route to review lane")</x:f>
        <x:v>Log source path or blocker; do not promote</x:v>
      </x:c>
      <x:c r="Z53" s="12" t="str">
        <x:f>IF(K53="P0","Primary seat + Hashlight/Lucerna","Seat lane")</x:f>
        <x:v>Seat lane</x:v>
      </x:c>
      <x:c r="AA53" s="12" t="str">
        <x:f>IF(R53="","no_claim_delta","claim_delta_present")</x:f>
        <x:v>no_claim_delta</x:v>
      </x:c>
      <x:c r="AB53" s="12" t="str">
        <x:f>IF(S53="","no_contradiction_delta","contradiction_delta_present")</x:f>
        <x:v>no_contradiction_delta</x:v>
      </x:c>
      <x:c r="AC53" s="12" t="str">
        <x:f>IF(OR(ISNUMBER(SEARCH("hacker",LOWER(F53&amp;" "&amp;H53&amp;" "&amp;I53&amp;" "&amp;M53&amp;" "&amp;N53&amp;" "&amp;T53))),ISNUMBER(SEARCH("hacking",LOWER(F53&amp;" "&amp;H53&amp;" "&amp;I53&amp;" "&amp;M53&amp;" "&amp;N53&amp;" "&amp;T53))),ISNUMBER(SEARCH("bank",LOWER(F53&amp;" "&amp;H53&amp;" "&amp;I53&amp;" "&amp;M53&amp;" "&amp;N53&amp;" "&amp;T53))),ISNUMBER(SEARCH("banking",LOWER(F53&amp;" "&amp;H53&amp;" "&amp;I53&amp;" "&amp;M53&amp;" "&amp;N53&amp;" "&amp;T53)))),"PRIVATE_QUARANTINE",IF(OR(ISNUMBER(SEARCH("treasury",LOWER(F53&amp;" "&amp;H53&amp;" "&amp;I53&amp;" "&amp;M53&amp;" "&amp;N53&amp;" "&amp;T53))),ISNUMBER(SEARCH("debt",LOWER(F53&amp;" "&amp;H53&amp;" "&amp;I53&amp;" "&amp;M53&amp;" "&amp;N53&amp;" "&amp;T53))),ISNUMBER(SEARCH("bond",LOWER(F53&amp;" "&amp;H53&amp;" "&amp;I53&amp;" "&amp;M53&amp;" "&amp;N53&amp;" "&amp;T53))),ISNUMBER(SEARCH("transaction",LOWER(F53&amp;" "&amp;H53&amp;" "&amp;I53&amp;" "&amp;M53&amp;" "&amp;N53&amp;" "&amp;T53)))),"PRIVATE_REVIEW","PUBLIC_CANDIDATE"))</x:f>
        <x:v>PUBLIC_CANDIDATE</x:v>
      </x:c>
      <x:c r="AD53" s="12" t="str">
        <x:f>IF(AC53="PRIVATE_QUARANTINE","hacker_or_bank_trigger",IF(AC53="PRIVATE_REVIEW","finance_risk_trigger","none"))</x:f>
        <x:v>none</x:v>
      </x:c>
      <x:c r="AE53" s="12" t="str">
        <x:f>IF(AC53="PUBLIC_CANDIDATE","prepare_public_github_candidate",IF(AC53="PRIVATE_REVIEW","hold_for_private_review","quarantine_private_do_not_publish"))</x:f>
        <x:v>prepare_public_github_candidate</x:v>
      </x:c>
      <x:c r="AF53" s="12" t="str">
        <x:f>IF(AC53="PUBLIC_CANDIDATE","TIDELOCK + Lucerna",IF(AC53="PRIVATE_REVIEW","AtlasBrain + Lucerna","TIDELOCK + Lucerna + Human-root"))</x:f>
        <x:v>TIDELOCK + Lucerna</x:v>
      </x:c>
      <x:c r="AG53" s="12" t="str">
        <x:f>IF(AND(AC53="PUBLIC_CANDIDATE",U53&lt;&gt;"BLOCKED_PENDING_RECEIPT"),"READY_AFTER_RECEIPT","NOT_READY")</x:f>
        <x:v>NOT_READY</x:v>
      </x:c>
      <x:c r="AH53" s="12" t="str">
        <x:f>IF(AC53="PUBLIC_CANDIDATE","none",AD53)</x:f>
        <x:v>none</x:v>
      </x:c>
      <x:c r="AI53" s="12" t="str">
        <x:f>IF(AC53="PUBLIC_CANDIDATE","archive/public_candidates/"&amp;A53,"private_quarantine/"&amp;A53)</x:f>
        <x:v>archive/public_candidates/SWARM-01-H05-S04</x:v>
      </x:c>
      <x:c r="AJ53" s="12" t="str">
        <x:f>IF(AC53="PUBLIC_CANDIDATE","public by default; still not canon","private/hold; do not publish")</x:f>
        <x:v>public by default; still not canon</x:v>
      </x:c>
      <x:c r="AK53" s="12" t="str">
        <x:f>IF(AE53="prepare_public_github_candidate","add receipt/status then mirror","resolve blocker before any public GitHub action")</x:f>
        <x:v>add receipt/status then mirror</x:v>
      </x:c>
    </x:row>
    <x:row r="54">
      <x:c r="A54" s="15" t="str">
        <x:v>SWARM-01-H05-S05</x:v>
      </x:c>
      <x:c r="B54" s="15" t="str">
        <x:v>Ledgerwake</x:v>
      </x:c>
      <x:c r="C54" s="15" t="str">
        <x:v>Source receipt keeper</x:v>
      </x:c>
      <x:c r="D54" s="15" t="str">
        <x:v>Contradiction Mapping</x:v>
      </x:c>
      <x:c r="E54" s="15" t="str">
        <x:v>Chat</x:v>
      </x:c>
      <x:c r="F54" s="15" t="str">
        <x:v>Map contradictions in Chat — Ledgerwake</x:v>
      </x:c>
      <x:c r="G54" s="15" t="str">
        <x:v>inventory / receipts / raw custody</x:v>
      </x:c>
      <x:c r="H54" s="15" t="str">
        <x:v>source path + receipt + raw/export status + claim/edge/risk delta</x:v>
      </x:c>
      <x:c r="I54" s="15" t="str">
        <x:v>packet/SWARM-01-H05-S05</x:v>
      </x:c>
      <x:c r="J54" s="15" t="str">
        <x:v>TODO</x:v>
      </x:c>
      <x:c r="K54" s="15" t="str">
        <x:v>P1</x:v>
      </x:c>
      <x:c r="L54" s="15" t="str">
        <x:v>Done only when evidence is logged, contradiction search is noted, and boundary stamp remains non-canon unless ratified</x:v>
      </x:c>
      <x:c r="M54" s="15" t="str">
        <x:v>candidate / staging-only / not canon / not deployed / authority none</x:v>
      </x:c>
      <x:c r="N54" s="15" t="str">
        <x:v>Dispatch to Ledgerwake: complete Contradiction Mapping x Chat; return deltas only, receipts required.</x:v>
      </x:c>
      <x:c r="O54" s="15" t="str">
        <x:v>AF-KG-H05-S05</x:v>
      </x:c>
      <x:c r="P54" s="15" t="str">
        <x:v>Unverified</x:v>
      </x:c>
      <x:c r="Q54" s="15" t="str">
        <x:v>Not checked</x:v>
      </x:c>
      <x:c r="R54" s="15" t="str"/>
      <x:c r="S54" s="15" t="str"/>
      <x:c r="T54" s="15" t="str">
        <x:v>Log first source path or blocker</x:v>
      </x:c>
      <x:c r="U54" s="12" t="str">
        <x:f>IF(OR(P54="Unverified",Q54="Not checked"),"BLOCKED_PENDING_RECEIPT","READY_FOR_REVIEW")</x:f>
        <x:v>BLOCKED_PENDING_RECEIPT</x:v>
      </x:c>
      <x:c r="V54" s="12" t="str">
        <x:f>IF(J54="DONE","RETURNED",IF(U54="BLOCKED_PENDING_RECEIPT","SOURCE_TOUCH_REQUIRED","IN_PROGRESS"))</x:f>
        <x:v>SOURCE_TOUCH_REQUIRED</x:v>
      </x:c>
      <x:c r="W54" s="12" t="str">
        <x:f>IF(P54="Unverified","missing_receipt","receipt_logged")</x:f>
        <x:v>missing_receipt</x:v>
      </x:c>
      <x:c r="X54" s="12" t="str">
        <x:f>IF(Q54="Not checked","raw_status_missing","raw_status_logged")</x:f>
        <x:v>raw_status_missing</x:v>
      </x:c>
      <x:c r="Y54" s="12" t="str">
        <x:f>IF(U54="BLOCKED_PENDING_RECEIPT","Log source path or blocker; do not promote","Route to review lane")</x:f>
        <x:v>Log source path or blocker; do not promote</x:v>
      </x:c>
      <x:c r="Z54" s="12" t="str">
        <x:f>IF(K54="P0","Primary seat + Hashlight/Lucerna","Seat lane")</x:f>
        <x:v>Seat lane</x:v>
      </x:c>
      <x:c r="AA54" s="12" t="str">
        <x:f>IF(R54="","no_claim_delta","claim_delta_present")</x:f>
        <x:v>no_claim_delta</x:v>
      </x:c>
      <x:c r="AB54" s="12" t="str">
        <x:f>IF(S54="","no_contradiction_delta","contradiction_delta_present")</x:f>
        <x:v>no_contradiction_delta</x:v>
      </x:c>
      <x:c r="AC54" s="12" t="str">
        <x:f>IF(OR(ISNUMBER(SEARCH("hacker",LOWER(F54&amp;" "&amp;H54&amp;" "&amp;I54&amp;" "&amp;M54&amp;" "&amp;N54&amp;" "&amp;T54))),ISNUMBER(SEARCH("hacking",LOWER(F54&amp;" "&amp;H54&amp;" "&amp;I54&amp;" "&amp;M54&amp;" "&amp;N54&amp;" "&amp;T54))),ISNUMBER(SEARCH("bank",LOWER(F54&amp;" "&amp;H54&amp;" "&amp;I54&amp;" "&amp;M54&amp;" "&amp;N54&amp;" "&amp;T54))),ISNUMBER(SEARCH("banking",LOWER(F54&amp;" "&amp;H54&amp;" "&amp;I54&amp;" "&amp;M54&amp;" "&amp;N54&amp;" "&amp;T54)))),"PRIVATE_QUARANTINE",IF(OR(ISNUMBER(SEARCH("treasury",LOWER(F54&amp;" "&amp;H54&amp;" "&amp;I54&amp;" "&amp;M54&amp;" "&amp;N54&amp;" "&amp;T54))),ISNUMBER(SEARCH("debt",LOWER(F54&amp;" "&amp;H54&amp;" "&amp;I54&amp;" "&amp;M54&amp;" "&amp;N54&amp;" "&amp;T54))),ISNUMBER(SEARCH("bond",LOWER(F54&amp;" "&amp;H54&amp;" "&amp;I54&amp;" "&amp;M54&amp;" "&amp;N54&amp;" "&amp;T54))),ISNUMBER(SEARCH("transaction",LOWER(F54&amp;" "&amp;H54&amp;" "&amp;I54&amp;" "&amp;M54&amp;" "&amp;N54&amp;" "&amp;T54)))),"PRIVATE_REVIEW","PUBLIC_CANDIDATE"))</x:f>
        <x:v>PUBLIC_CANDIDATE</x:v>
      </x:c>
      <x:c r="AD54" s="12" t="str">
        <x:f>IF(AC54="PRIVATE_QUARANTINE","hacker_or_bank_trigger",IF(AC54="PRIVATE_REVIEW","finance_risk_trigger","none"))</x:f>
        <x:v>none</x:v>
      </x:c>
      <x:c r="AE54" s="12" t="str">
        <x:f>IF(AC54="PUBLIC_CANDIDATE","prepare_public_github_candidate",IF(AC54="PRIVATE_REVIEW","hold_for_private_review","quarantine_private_do_not_publish"))</x:f>
        <x:v>prepare_public_github_candidate</x:v>
      </x:c>
      <x:c r="AF54" s="12" t="str">
        <x:f>IF(AC54="PUBLIC_CANDIDATE","TIDELOCK + Lucerna",IF(AC54="PRIVATE_REVIEW","AtlasBrain + Lucerna","TIDELOCK + Lucerna + Human-root"))</x:f>
        <x:v>TIDELOCK + Lucerna</x:v>
      </x:c>
      <x:c r="AG54" s="12" t="str">
        <x:f>IF(AND(AC54="PUBLIC_CANDIDATE",U54&lt;&gt;"BLOCKED_PENDING_RECEIPT"),"READY_AFTER_RECEIPT","NOT_READY")</x:f>
        <x:v>NOT_READY</x:v>
      </x:c>
      <x:c r="AH54" s="12" t="str">
        <x:f>IF(AC54="PUBLIC_CANDIDATE","none",AD54)</x:f>
        <x:v>none</x:v>
      </x:c>
      <x:c r="AI54" s="12" t="str">
        <x:f>IF(AC54="PUBLIC_CANDIDATE","archive/public_candidates/"&amp;A54,"private_quarantine/"&amp;A54)</x:f>
        <x:v>archive/public_candidates/SWARM-01-H05-S05</x:v>
      </x:c>
      <x:c r="AJ54" s="12" t="str">
        <x:f>IF(AC54="PUBLIC_CANDIDATE","public by default; still not canon","private/hold; do not publish")</x:f>
        <x:v>public by default; still not canon</x:v>
      </x:c>
      <x:c r="AK54" s="12" t="str">
        <x:f>IF(AE54="prepare_public_github_candidate","add receipt/status then mirror","resolve blocker before any public GitHub action")</x:f>
        <x:v>add receipt/status then mirror</x:v>
      </x:c>
    </x:row>
    <x:row r="55">
      <x:c r="A55" s="15" t="str">
        <x:v>SWARM-01-H05-S06</x:v>
      </x:c>
      <x:c r="B55" s="15" t="str">
        <x:v>Ledgerwake</x:v>
      </x:c>
      <x:c r="C55" s="15" t="str">
        <x:v>Source receipt keeper</x:v>
      </x:c>
      <x:c r="D55" s="15" t="str">
        <x:v>Contradiction Mapping</x:v>
      </x:c>
      <x:c r="E55" s="15" t="str">
        <x:v>External Web</x:v>
      </x:c>
      <x:c r="F55" s="15" t="str">
        <x:v>Map contradictions in External Web — Ledgerwake</x:v>
      </x:c>
      <x:c r="G55" s="15" t="str">
        <x:v>inventory / receipts / raw custody</x:v>
      </x:c>
      <x:c r="H55" s="15" t="str">
        <x:v>source path + receipt + raw/export status + claim/edge/risk delta</x:v>
      </x:c>
      <x:c r="I55" s="15" t="str">
        <x:v>packet/SWARM-01-H05-S06</x:v>
      </x:c>
      <x:c r="J55" s="15" t="str">
        <x:v>TODO</x:v>
      </x:c>
      <x:c r="K55" s="15" t="str">
        <x:v>P1</x:v>
      </x:c>
      <x:c r="L55" s="15" t="str">
        <x:v>Done only when evidence is logged, contradiction search is noted, and boundary stamp remains non-canon unless ratified</x:v>
      </x:c>
      <x:c r="M55" s="15" t="str">
        <x:v>candidate / staging-only / not canon / not deployed / authority none</x:v>
      </x:c>
      <x:c r="N55" s="15" t="str">
        <x:v>Dispatch to Ledgerwake: complete Contradiction Mapping x External Web; return deltas only, receipts required.</x:v>
      </x:c>
      <x:c r="O55" s="15" t="str">
        <x:v>AF-KG-H05-S06</x:v>
      </x:c>
      <x:c r="P55" s="15" t="str">
        <x:v>Unverified</x:v>
      </x:c>
      <x:c r="Q55" s="15" t="str">
        <x:v>Not checked</x:v>
      </x:c>
      <x:c r="R55" s="15" t="str"/>
      <x:c r="S55" s="15" t="str"/>
      <x:c r="T55" s="15" t="str">
        <x:v>Log first source path or blocker</x:v>
      </x:c>
      <x:c r="U55" s="12" t="str">
        <x:f>IF(OR(P55="Unverified",Q55="Not checked"),"BLOCKED_PENDING_RECEIPT","READY_FOR_REVIEW")</x:f>
        <x:v>BLOCKED_PENDING_RECEIPT</x:v>
      </x:c>
      <x:c r="V55" s="12" t="str">
        <x:f>IF(J55="DONE","RETURNED",IF(U55="BLOCKED_PENDING_RECEIPT","SOURCE_TOUCH_REQUIRED","IN_PROGRESS"))</x:f>
        <x:v>SOURCE_TOUCH_REQUIRED</x:v>
      </x:c>
      <x:c r="W55" s="12" t="str">
        <x:f>IF(P55="Unverified","missing_receipt","receipt_logged")</x:f>
        <x:v>missing_receipt</x:v>
      </x:c>
      <x:c r="X55" s="12" t="str">
        <x:f>IF(Q55="Not checked","raw_status_missing","raw_status_logged")</x:f>
        <x:v>raw_status_missing</x:v>
      </x:c>
      <x:c r="Y55" s="12" t="str">
        <x:f>IF(U55="BLOCKED_PENDING_RECEIPT","Log source path or blocker; do not promote","Route to review lane")</x:f>
        <x:v>Log source path or blocker; do not promote</x:v>
      </x:c>
      <x:c r="Z55" s="12" t="str">
        <x:f>IF(K55="P0","Primary seat + Hashlight/Lucerna","Seat lane")</x:f>
        <x:v>Seat lane</x:v>
      </x:c>
      <x:c r="AA55" s="12" t="str">
        <x:f>IF(R55="","no_claim_delta","claim_delta_present")</x:f>
        <x:v>no_claim_delta</x:v>
      </x:c>
      <x:c r="AB55" s="12" t="str">
        <x:f>IF(S55="","no_contradiction_delta","contradiction_delta_present")</x:f>
        <x:v>no_contradiction_delta</x:v>
      </x:c>
      <x:c r="AC55" s="12" t="str">
        <x:f>IF(OR(ISNUMBER(SEARCH("hacker",LOWER(F55&amp;" "&amp;H55&amp;" "&amp;I55&amp;" "&amp;M55&amp;" "&amp;N55&amp;" "&amp;T55))),ISNUMBER(SEARCH("hacking",LOWER(F55&amp;" "&amp;H55&amp;" "&amp;I55&amp;" "&amp;M55&amp;" "&amp;N55&amp;" "&amp;T55))),ISNUMBER(SEARCH("bank",LOWER(F55&amp;" "&amp;H55&amp;" "&amp;I55&amp;" "&amp;M55&amp;" "&amp;N55&amp;" "&amp;T55))),ISNUMBER(SEARCH("banking",LOWER(F55&amp;" "&amp;H55&amp;" "&amp;I55&amp;" "&amp;M55&amp;" "&amp;N55&amp;" "&amp;T55)))),"PRIVATE_QUARANTINE",IF(OR(ISNUMBER(SEARCH("treasury",LOWER(F55&amp;" "&amp;H55&amp;" "&amp;I55&amp;" "&amp;M55&amp;" "&amp;N55&amp;" "&amp;T55))),ISNUMBER(SEARCH("debt",LOWER(F55&amp;" "&amp;H55&amp;" "&amp;I55&amp;" "&amp;M55&amp;" "&amp;N55&amp;" "&amp;T55))),ISNUMBER(SEARCH("bond",LOWER(F55&amp;" "&amp;H55&amp;" "&amp;I55&amp;" "&amp;M55&amp;" "&amp;N55&amp;" "&amp;T55))),ISNUMBER(SEARCH("transaction",LOWER(F55&amp;" "&amp;H55&amp;" "&amp;I55&amp;" "&amp;M55&amp;" "&amp;N55&amp;" "&amp;T55)))),"PRIVATE_REVIEW","PUBLIC_CANDIDATE"))</x:f>
        <x:v>PUBLIC_CANDIDATE</x:v>
      </x:c>
      <x:c r="AD55" s="12" t="str">
        <x:f>IF(AC55="PRIVATE_QUARANTINE","hacker_or_bank_trigger",IF(AC55="PRIVATE_REVIEW","finance_risk_trigger","none"))</x:f>
        <x:v>none</x:v>
      </x:c>
      <x:c r="AE55" s="12" t="str">
        <x:f>IF(AC55="PUBLIC_CANDIDATE","prepare_public_github_candidate",IF(AC55="PRIVATE_REVIEW","hold_for_private_review","quarantine_private_do_not_publish"))</x:f>
        <x:v>prepare_public_github_candidate</x:v>
      </x:c>
      <x:c r="AF55" s="12" t="str">
        <x:f>IF(AC55="PUBLIC_CANDIDATE","TIDELOCK + Lucerna",IF(AC55="PRIVATE_REVIEW","AtlasBrain + Lucerna","TIDELOCK + Lucerna + Human-root"))</x:f>
        <x:v>TIDELOCK + Lucerna</x:v>
      </x:c>
      <x:c r="AG55" s="12" t="str">
        <x:f>IF(AND(AC55="PUBLIC_CANDIDATE",U55&lt;&gt;"BLOCKED_PENDING_RECEIPT"),"READY_AFTER_RECEIPT","NOT_READY")</x:f>
        <x:v>NOT_READY</x:v>
      </x:c>
      <x:c r="AH55" s="12" t="str">
        <x:f>IF(AC55="PUBLIC_CANDIDATE","none",AD55)</x:f>
        <x:v>none</x:v>
      </x:c>
      <x:c r="AI55" s="12" t="str">
        <x:f>IF(AC55="PUBLIC_CANDIDATE","archive/public_candidates/"&amp;A55,"private_quarantine/"&amp;A55)</x:f>
        <x:v>archive/public_candidates/SWARM-01-H05-S06</x:v>
      </x:c>
      <x:c r="AJ55" s="12" t="str">
        <x:f>IF(AC55="PUBLIC_CANDIDATE","public by default; still not canon","private/hold; do not publish")</x:f>
        <x:v>public by default; still not canon</x:v>
      </x:c>
      <x:c r="AK55" s="12" t="str">
        <x:f>IF(AE55="prepare_public_github_candidate","add receipt/status then mirror","resolve blocker before any public GitHub action")</x:f>
        <x:v>add receipt/status then mirror</x:v>
      </x:c>
    </x:row>
    <x:row r="56">
      <x:c r="A56" s="15" t="str">
        <x:v>SWARM-01-H05-S07</x:v>
      </x:c>
      <x:c r="B56" s="15" t="str">
        <x:v>Ledgerwake</x:v>
      </x:c>
      <x:c r="C56" s="15" t="str">
        <x:v>Source receipt keeper</x:v>
      </x:c>
      <x:c r="D56" s="15" t="str">
        <x:v>Contradiction Mapping</x:v>
      </x:c>
      <x:c r="E56" s="15" t="str">
        <x:v>Planetarium</x:v>
      </x:c>
      <x:c r="F56" s="15" t="str">
        <x:v>Map contradictions in Planetarium — Ledgerwake</x:v>
      </x:c>
      <x:c r="G56" s="15" t="str">
        <x:v>inventory / receipts / raw custody</x:v>
      </x:c>
      <x:c r="H56" s="15" t="str">
        <x:v>source path + receipt + raw/export status + claim/edge/risk delta</x:v>
      </x:c>
      <x:c r="I56" s="15" t="str">
        <x:v>packet/SWARM-01-H05-S07</x:v>
      </x:c>
      <x:c r="J56" s="15" t="str">
        <x:v>TODO</x:v>
      </x:c>
      <x:c r="K56" s="15" t="str">
        <x:v>P1</x:v>
      </x:c>
      <x:c r="L56" s="15" t="str">
        <x:v>Done only when evidence is logged, contradiction search is noted, and boundary stamp remains non-canon unless ratified</x:v>
      </x:c>
      <x:c r="M56" s="15" t="str">
        <x:v>candidate / staging-only / not canon / not deployed / authority none</x:v>
      </x:c>
      <x:c r="N56" s="15" t="str">
        <x:v>Dispatch to Ledgerwake: complete Contradiction Mapping x Planetarium; return deltas only, receipts required.</x:v>
      </x:c>
      <x:c r="O56" s="15" t="str">
        <x:v>AF-KG-H05-S07</x:v>
      </x:c>
      <x:c r="P56" s="15" t="str">
        <x:v>Unverified</x:v>
      </x:c>
      <x:c r="Q56" s="15" t="str">
        <x:v>Not checked</x:v>
      </x:c>
      <x:c r="R56" s="15" t="str"/>
      <x:c r="S56" s="15" t="str"/>
      <x:c r="T56" s="15" t="str">
        <x:v>Log first source path or blocker</x:v>
      </x:c>
      <x:c r="U56" s="12" t="str">
        <x:f>IF(OR(P56="Unverified",Q56="Not checked"),"BLOCKED_PENDING_RECEIPT","READY_FOR_REVIEW")</x:f>
        <x:v>BLOCKED_PENDING_RECEIPT</x:v>
      </x:c>
      <x:c r="V56" s="12" t="str">
        <x:f>IF(J56="DONE","RETURNED",IF(U56="BLOCKED_PENDING_RECEIPT","SOURCE_TOUCH_REQUIRED","IN_PROGRESS"))</x:f>
        <x:v>SOURCE_TOUCH_REQUIRED</x:v>
      </x:c>
      <x:c r="W56" s="12" t="str">
        <x:f>IF(P56="Unverified","missing_receipt","receipt_logged")</x:f>
        <x:v>missing_receipt</x:v>
      </x:c>
      <x:c r="X56" s="12" t="str">
        <x:f>IF(Q56="Not checked","raw_status_missing","raw_status_logged")</x:f>
        <x:v>raw_status_missing</x:v>
      </x:c>
      <x:c r="Y56" s="12" t="str">
        <x:f>IF(U56="BLOCKED_PENDING_RECEIPT","Log source path or blocker; do not promote","Route to review lane")</x:f>
        <x:v>Log source path or blocker; do not promote</x:v>
      </x:c>
      <x:c r="Z56" s="12" t="str">
        <x:f>IF(K56="P0","Primary seat + Hashlight/Lucerna","Seat lane")</x:f>
        <x:v>Seat lane</x:v>
      </x:c>
      <x:c r="AA56" s="12" t="str">
        <x:f>IF(R56="","no_claim_delta","claim_delta_present")</x:f>
        <x:v>no_claim_delta</x:v>
      </x:c>
      <x:c r="AB56" s="12" t="str">
        <x:f>IF(S56="","no_contradiction_delta","contradiction_delta_present")</x:f>
        <x:v>no_contradiction_delta</x:v>
      </x:c>
      <x:c r="AC56" s="12" t="str">
        <x:f>IF(OR(ISNUMBER(SEARCH("hacker",LOWER(F56&amp;" "&amp;H56&amp;" "&amp;I56&amp;" "&amp;M56&amp;" "&amp;N56&amp;" "&amp;T56))),ISNUMBER(SEARCH("hacking",LOWER(F56&amp;" "&amp;H56&amp;" "&amp;I56&amp;" "&amp;M56&amp;" "&amp;N56&amp;" "&amp;T56))),ISNUMBER(SEARCH("bank",LOWER(F56&amp;" "&amp;H56&amp;" "&amp;I56&amp;" "&amp;M56&amp;" "&amp;N56&amp;" "&amp;T56))),ISNUMBER(SEARCH("banking",LOWER(F56&amp;" "&amp;H56&amp;" "&amp;I56&amp;" "&amp;M56&amp;" "&amp;N56&amp;" "&amp;T56)))),"PRIVATE_QUARANTINE",IF(OR(ISNUMBER(SEARCH("treasury",LOWER(F56&amp;" "&amp;H56&amp;" "&amp;I56&amp;" "&amp;M56&amp;" "&amp;N56&amp;" "&amp;T56))),ISNUMBER(SEARCH("debt",LOWER(F56&amp;" "&amp;H56&amp;" "&amp;I56&amp;" "&amp;M56&amp;" "&amp;N56&amp;" "&amp;T56))),ISNUMBER(SEARCH("bond",LOWER(F56&amp;" "&amp;H56&amp;" "&amp;I56&amp;" "&amp;M56&amp;" "&amp;N56&amp;" "&amp;T56))),ISNUMBER(SEARCH("transaction",LOWER(F56&amp;" "&amp;H56&amp;" "&amp;I56&amp;" "&amp;M56&amp;" "&amp;N56&amp;" "&amp;T56)))),"PRIVATE_REVIEW","PUBLIC_CANDIDATE"))</x:f>
        <x:v>PUBLIC_CANDIDATE</x:v>
      </x:c>
      <x:c r="AD56" s="12" t="str">
        <x:f>IF(AC56="PRIVATE_QUARANTINE","hacker_or_bank_trigger",IF(AC56="PRIVATE_REVIEW","finance_risk_trigger","none"))</x:f>
        <x:v>none</x:v>
      </x:c>
      <x:c r="AE56" s="12" t="str">
        <x:f>IF(AC56="PUBLIC_CANDIDATE","prepare_public_github_candidate",IF(AC56="PRIVATE_REVIEW","hold_for_private_review","quarantine_private_do_not_publish"))</x:f>
        <x:v>prepare_public_github_candidate</x:v>
      </x:c>
      <x:c r="AF56" s="12" t="str">
        <x:f>IF(AC56="PUBLIC_CANDIDATE","TIDELOCK + Lucerna",IF(AC56="PRIVATE_REVIEW","AtlasBrain + Lucerna","TIDELOCK + Lucerna + Human-root"))</x:f>
        <x:v>TIDELOCK + Lucerna</x:v>
      </x:c>
      <x:c r="AG56" s="12" t="str">
        <x:f>IF(AND(AC56="PUBLIC_CANDIDATE",U56&lt;&gt;"BLOCKED_PENDING_RECEIPT"),"READY_AFTER_RECEIPT","NOT_READY")</x:f>
        <x:v>NOT_READY</x:v>
      </x:c>
      <x:c r="AH56" s="12" t="str">
        <x:f>IF(AC56="PUBLIC_CANDIDATE","none",AD56)</x:f>
        <x:v>none</x:v>
      </x:c>
      <x:c r="AI56" s="12" t="str">
        <x:f>IF(AC56="PUBLIC_CANDIDATE","archive/public_candidates/"&amp;A56,"private_quarantine/"&amp;A56)</x:f>
        <x:v>archive/public_candidates/SWARM-01-H05-S07</x:v>
      </x:c>
      <x:c r="AJ56" s="12" t="str">
        <x:f>IF(AC56="PUBLIC_CANDIDATE","public by default; still not canon","private/hold; do not publish")</x:f>
        <x:v>public by default; still not canon</x:v>
      </x:c>
      <x:c r="AK56" s="12" t="str">
        <x:f>IF(AE56="prepare_public_github_candidate","add receipt/status then mirror","resolve blocker before any public GitHub action")</x:f>
        <x:v>add receipt/status then mirror</x:v>
      </x:c>
    </x:row>
    <x:row r="57">
      <x:c r="A57" s="15" t="str">
        <x:v>SWARM-01-H05-S08</x:v>
      </x:c>
      <x:c r="B57" s="15" t="str">
        <x:v>Ledgerwake</x:v>
      </x:c>
      <x:c r="C57" s="15" t="str">
        <x:v>Source receipt keeper</x:v>
      </x:c>
      <x:c r="D57" s="15" t="str">
        <x:v>Contradiction Mapping</x:v>
      </x:c>
      <x:c r="E57" s="15" t="str">
        <x:v>Sheldonbrain</x:v>
      </x:c>
      <x:c r="F57" s="15" t="str">
        <x:v>Map contradictions in Sheldonbrain — Ledgerwake</x:v>
      </x:c>
      <x:c r="G57" s="15" t="str">
        <x:v>inventory / receipts / raw custody</x:v>
      </x:c>
      <x:c r="H57" s="15" t="str">
        <x:v>source path + receipt + raw/export status + claim/edge/risk delta</x:v>
      </x:c>
      <x:c r="I57" s="15" t="str">
        <x:v>packet/SWARM-01-H05-S08</x:v>
      </x:c>
      <x:c r="J57" s="15" t="str">
        <x:v>TODO</x:v>
      </x:c>
      <x:c r="K57" s="15" t="str">
        <x:v>P1</x:v>
      </x:c>
      <x:c r="L57" s="15" t="str">
        <x:v>Done only when evidence is logged, contradiction search is noted, and boundary stamp remains non-canon unless ratified</x:v>
      </x:c>
      <x:c r="M57" s="15" t="str">
        <x:v>candidate / staging-only / not canon / not deployed / authority none</x:v>
      </x:c>
      <x:c r="N57" s="15" t="str">
        <x:v>Dispatch to Ledgerwake: complete Contradiction Mapping x Sheldonbrain; return deltas only, receipts required.</x:v>
      </x:c>
      <x:c r="O57" s="15" t="str">
        <x:v>AF-KG-H05-S08</x:v>
      </x:c>
      <x:c r="P57" s="15" t="str">
        <x:v>Unverified</x:v>
      </x:c>
      <x:c r="Q57" s="15" t="str">
        <x:v>Not checked</x:v>
      </x:c>
      <x:c r="R57" s="15" t="str"/>
      <x:c r="S57" s="15" t="str"/>
      <x:c r="T57" s="15" t="str">
        <x:v>Log first source path or blocker</x:v>
      </x:c>
      <x:c r="U57" s="12" t="str">
        <x:f>IF(OR(P57="Unverified",Q57="Not checked"),"BLOCKED_PENDING_RECEIPT","READY_FOR_REVIEW")</x:f>
        <x:v>BLOCKED_PENDING_RECEIPT</x:v>
      </x:c>
      <x:c r="V57" s="12" t="str">
        <x:f>IF(J57="DONE","RETURNED",IF(U57="BLOCKED_PENDING_RECEIPT","SOURCE_TOUCH_REQUIRED","IN_PROGRESS"))</x:f>
        <x:v>SOURCE_TOUCH_REQUIRED</x:v>
      </x:c>
      <x:c r="W57" s="12" t="str">
        <x:f>IF(P57="Unverified","missing_receipt","receipt_logged")</x:f>
        <x:v>missing_receipt</x:v>
      </x:c>
      <x:c r="X57" s="12" t="str">
        <x:f>IF(Q57="Not checked","raw_status_missing","raw_status_logged")</x:f>
        <x:v>raw_status_missing</x:v>
      </x:c>
      <x:c r="Y57" s="12" t="str">
        <x:f>IF(U57="BLOCKED_PENDING_RECEIPT","Log source path or blocker; do not promote","Route to review lane")</x:f>
        <x:v>Log source path or blocker; do not promote</x:v>
      </x:c>
      <x:c r="Z57" s="12" t="str">
        <x:f>IF(K57="P0","Primary seat + Hashlight/Lucerna","Seat lane")</x:f>
        <x:v>Seat lane</x:v>
      </x:c>
      <x:c r="AA57" s="12" t="str">
        <x:f>IF(R57="","no_claim_delta","claim_delta_present")</x:f>
        <x:v>no_claim_delta</x:v>
      </x:c>
      <x:c r="AB57" s="12" t="str">
        <x:f>IF(S57="","no_contradiction_delta","contradiction_delta_present")</x:f>
        <x:v>no_contradiction_delta</x:v>
      </x:c>
      <x:c r="AC57" s="12" t="str">
        <x:f>IF(OR(ISNUMBER(SEARCH("hacker",LOWER(F57&amp;" "&amp;H57&amp;" "&amp;I57&amp;" "&amp;M57&amp;" "&amp;N57&amp;" "&amp;T57))),ISNUMBER(SEARCH("hacking",LOWER(F57&amp;" "&amp;H57&amp;" "&amp;I57&amp;" "&amp;M57&amp;" "&amp;N57&amp;" "&amp;T57))),ISNUMBER(SEARCH("bank",LOWER(F57&amp;" "&amp;H57&amp;" "&amp;I57&amp;" "&amp;M57&amp;" "&amp;N57&amp;" "&amp;T57))),ISNUMBER(SEARCH("banking",LOWER(F57&amp;" "&amp;H57&amp;" "&amp;I57&amp;" "&amp;M57&amp;" "&amp;N57&amp;" "&amp;T57)))),"PRIVATE_QUARANTINE",IF(OR(ISNUMBER(SEARCH("treasury",LOWER(F57&amp;" "&amp;H57&amp;" "&amp;I57&amp;" "&amp;M57&amp;" "&amp;N57&amp;" "&amp;T57))),ISNUMBER(SEARCH("debt",LOWER(F57&amp;" "&amp;H57&amp;" "&amp;I57&amp;" "&amp;M57&amp;" "&amp;N57&amp;" "&amp;T57))),ISNUMBER(SEARCH("bond",LOWER(F57&amp;" "&amp;H57&amp;" "&amp;I57&amp;" "&amp;M57&amp;" "&amp;N57&amp;" "&amp;T57))),ISNUMBER(SEARCH("transaction",LOWER(F57&amp;" "&amp;H57&amp;" "&amp;I57&amp;" "&amp;M57&amp;" "&amp;N57&amp;" "&amp;T57)))),"PRIVATE_REVIEW","PUBLIC_CANDIDATE"))</x:f>
        <x:v>PUBLIC_CANDIDATE</x:v>
      </x:c>
      <x:c r="AD57" s="12" t="str">
        <x:f>IF(AC57="PRIVATE_QUARANTINE","hacker_or_bank_trigger",IF(AC57="PRIVATE_REVIEW","finance_risk_trigger","none"))</x:f>
        <x:v>none</x:v>
      </x:c>
      <x:c r="AE57" s="12" t="str">
        <x:f>IF(AC57="PUBLIC_CANDIDATE","prepare_public_github_candidate",IF(AC57="PRIVATE_REVIEW","hold_for_private_review","quarantine_private_do_not_publish"))</x:f>
        <x:v>prepare_public_github_candidate</x:v>
      </x:c>
      <x:c r="AF57" s="12" t="str">
        <x:f>IF(AC57="PUBLIC_CANDIDATE","TIDELOCK + Lucerna",IF(AC57="PRIVATE_REVIEW","AtlasBrain + Lucerna","TIDELOCK + Lucerna + Human-root"))</x:f>
        <x:v>TIDELOCK + Lucerna</x:v>
      </x:c>
      <x:c r="AG57" s="12" t="str">
        <x:f>IF(AND(AC57="PUBLIC_CANDIDATE",U57&lt;&gt;"BLOCKED_PENDING_RECEIPT"),"READY_AFTER_RECEIPT","NOT_READY")</x:f>
        <x:v>NOT_READY</x:v>
      </x:c>
      <x:c r="AH57" s="12" t="str">
        <x:f>IF(AC57="PUBLIC_CANDIDATE","none",AD57)</x:f>
        <x:v>none</x:v>
      </x:c>
      <x:c r="AI57" s="12" t="str">
        <x:f>IF(AC57="PUBLIC_CANDIDATE","archive/public_candidates/"&amp;A57,"private_quarantine/"&amp;A57)</x:f>
        <x:v>archive/public_candidates/SWARM-01-H05-S08</x:v>
      </x:c>
      <x:c r="AJ57" s="12" t="str">
        <x:f>IF(AC57="PUBLIC_CANDIDATE","public by default; still not canon","private/hold; do not publish")</x:f>
        <x:v>public by default; still not canon</x:v>
      </x:c>
      <x:c r="AK57" s="12" t="str">
        <x:f>IF(AE57="prepare_public_github_candidate","add receipt/status then mirror","resolve blocker before any public GitHub action")</x:f>
        <x:v>add receipt/status then mirror</x:v>
      </x:c>
    </x:row>
    <x:row r="58">
      <x:c r="A58" s="15" t="str">
        <x:v>SWARM-01-H05-S09</x:v>
      </x:c>
      <x:c r="B58" s="15" t="str">
        <x:v>Ledgerwake</x:v>
      </x:c>
      <x:c r="C58" s="15" t="str">
        <x:v>Source receipt keeper</x:v>
      </x:c>
      <x:c r="D58" s="15" t="str">
        <x:v>Contradiction Mapping</x:v>
      </x:c>
      <x:c r="E58" s="15" t="str">
        <x:v>Aetherforge</x:v>
      </x:c>
      <x:c r="F58" s="15" t="str">
        <x:v>Map contradictions in Aetherforge — Ledgerwake</x:v>
      </x:c>
      <x:c r="G58" s="15" t="str">
        <x:v>inventory / receipts / raw custody</x:v>
      </x:c>
      <x:c r="H58" s="15" t="str">
        <x:v>source path + receipt + raw/export status + claim/edge/risk delta</x:v>
      </x:c>
      <x:c r="I58" s="15" t="str">
        <x:v>packet/SWARM-01-H05-S09</x:v>
      </x:c>
      <x:c r="J58" s="15" t="str">
        <x:v>TODO</x:v>
      </x:c>
      <x:c r="K58" s="15" t="str">
        <x:v>P2</x:v>
      </x:c>
      <x:c r="L58" s="15" t="str">
        <x:v>Done only when evidence is logged, contradiction search is noted, and boundary stamp remains non-canon unless ratified</x:v>
      </x:c>
      <x:c r="M58" s="15" t="str">
        <x:v>candidate / staging-only / not canon / not deployed / authority none</x:v>
      </x:c>
      <x:c r="N58" s="15" t="str">
        <x:v>Dispatch to Ledgerwake: complete Contradiction Mapping x Aetherforge; return deltas only, receipts required.</x:v>
      </x:c>
      <x:c r="O58" s="15" t="str">
        <x:v>AF-KG-H05-S09</x:v>
      </x:c>
      <x:c r="P58" s="15" t="str">
        <x:v>Unverified</x:v>
      </x:c>
      <x:c r="Q58" s="15" t="str">
        <x:v>Not checked</x:v>
      </x:c>
      <x:c r="R58" s="15" t="str"/>
      <x:c r="S58" s="15" t="str"/>
      <x:c r="T58" s="15" t="str">
        <x:v>Log first source path or blocker</x:v>
      </x:c>
      <x:c r="U58" s="12" t="str">
        <x:f>IF(OR(P58="Unverified",Q58="Not checked"),"BLOCKED_PENDING_RECEIPT","READY_FOR_REVIEW")</x:f>
        <x:v>BLOCKED_PENDING_RECEIPT</x:v>
      </x:c>
      <x:c r="V58" s="12" t="str">
        <x:f>IF(J58="DONE","RETURNED",IF(U58="BLOCKED_PENDING_RECEIPT","SOURCE_TOUCH_REQUIRED","IN_PROGRESS"))</x:f>
        <x:v>SOURCE_TOUCH_REQUIRED</x:v>
      </x:c>
      <x:c r="W58" s="12" t="str">
        <x:f>IF(P58="Unverified","missing_receipt","receipt_logged")</x:f>
        <x:v>missing_receipt</x:v>
      </x:c>
      <x:c r="X58" s="12" t="str">
        <x:f>IF(Q58="Not checked","raw_status_missing","raw_status_logged")</x:f>
        <x:v>raw_status_missing</x:v>
      </x:c>
      <x:c r="Y58" s="12" t="str">
        <x:f>IF(U58="BLOCKED_PENDING_RECEIPT","Log source path or blocker; do not promote","Route to review lane")</x:f>
        <x:v>Log source path or blocker; do not promote</x:v>
      </x:c>
      <x:c r="Z58" s="12" t="str">
        <x:f>IF(K58="P0","Primary seat + Hashlight/Lucerna","Seat lane")</x:f>
        <x:v>Seat lane</x:v>
      </x:c>
      <x:c r="AA58" s="12" t="str">
        <x:f>IF(R58="","no_claim_delta","claim_delta_present")</x:f>
        <x:v>no_claim_delta</x:v>
      </x:c>
      <x:c r="AB58" s="12" t="str">
        <x:f>IF(S58="","no_contradiction_delta","contradiction_delta_present")</x:f>
        <x:v>no_contradiction_delta</x:v>
      </x:c>
      <x:c r="AC58" s="12" t="str">
        <x:f>IF(OR(ISNUMBER(SEARCH("hacker",LOWER(F58&amp;" "&amp;H58&amp;" "&amp;I58&amp;" "&amp;M58&amp;" "&amp;N58&amp;" "&amp;T58))),ISNUMBER(SEARCH("hacking",LOWER(F58&amp;" "&amp;H58&amp;" "&amp;I58&amp;" "&amp;M58&amp;" "&amp;N58&amp;" "&amp;T58))),ISNUMBER(SEARCH("bank",LOWER(F58&amp;" "&amp;H58&amp;" "&amp;I58&amp;" "&amp;M58&amp;" "&amp;N58&amp;" "&amp;T58))),ISNUMBER(SEARCH("banking",LOWER(F58&amp;" "&amp;H58&amp;" "&amp;I58&amp;" "&amp;M58&amp;" "&amp;N58&amp;" "&amp;T58)))),"PRIVATE_QUARANTINE",IF(OR(ISNUMBER(SEARCH("treasury",LOWER(F58&amp;" "&amp;H58&amp;" "&amp;I58&amp;" "&amp;M58&amp;" "&amp;N58&amp;" "&amp;T58))),ISNUMBER(SEARCH("debt",LOWER(F58&amp;" "&amp;H58&amp;" "&amp;I58&amp;" "&amp;M58&amp;" "&amp;N58&amp;" "&amp;T58))),ISNUMBER(SEARCH("bond",LOWER(F58&amp;" "&amp;H58&amp;" "&amp;I58&amp;" "&amp;M58&amp;" "&amp;N58&amp;" "&amp;T58))),ISNUMBER(SEARCH("transaction",LOWER(F58&amp;" "&amp;H58&amp;" "&amp;I58&amp;" "&amp;M58&amp;" "&amp;N58&amp;" "&amp;T58)))),"PRIVATE_REVIEW","PUBLIC_CANDIDATE"))</x:f>
        <x:v>PUBLIC_CANDIDATE</x:v>
      </x:c>
      <x:c r="AD58" s="12" t="str">
        <x:f>IF(AC58="PRIVATE_QUARANTINE","hacker_or_bank_trigger",IF(AC58="PRIVATE_REVIEW","finance_risk_trigger","none"))</x:f>
        <x:v>none</x:v>
      </x:c>
      <x:c r="AE58" s="12" t="str">
        <x:f>IF(AC58="PUBLIC_CANDIDATE","prepare_public_github_candidate",IF(AC58="PRIVATE_REVIEW","hold_for_private_review","quarantine_private_do_not_publish"))</x:f>
        <x:v>prepare_public_github_candidate</x:v>
      </x:c>
      <x:c r="AF58" s="12" t="str">
        <x:f>IF(AC58="PUBLIC_CANDIDATE","TIDELOCK + Lucerna",IF(AC58="PRIVATE_REVIEW","AtlasBrain + Lucerna","TIDELOCK + Lucerna + Human-root"))</x:f>
        <x:v>TIDELOCK + Lucerna</x:v>
      </x:c>
      <x:c r="AG58" s="12" t="str">
        <x:f>IF(AND(AC58="PUBLIC_CANDIDATE",U58&lt;&gt;"BLOCKED_PENDING_RECEIPT"),"READY_AFTER_RECEIPT","NOT_READY")</x:f>
        <x:v>NOT_READY</x:v>
      </x:c>
      <x:c r="AH58" s="12" t="str">
        <x:f>IF(AC58="PUBLIC_CANDIDATE","none",AD58)</x:f>
        <x:v>none</x:v>
      </x:c>
      <x:c r="AI58" s="12" t="str">
        <x:f>IF(AC58="PUBLIC_CANDIDATE","archive/public_candidates/"&amp;A58,"private_quarantine/"&amp;A58)</x:f>
        <x:v>archive/public_candidates/SWARM-01-H05-S09</x:v>
      </x:c>
      <x:c r="AJ58" s="12" t="str">
        <x:f>IF(AC58="PUBLIC_CANDIDATE","public by default; still not canon","private/hold; do not publish")</x:f>
        <x:v>public by default; still not canon</x:v>
      </x:c>
      <x:c r="AK58" s="12" t="str">
        <x:f>IF(AE58="prepare_public_github_candidate","add receipt/status then mirror","resolve blocker before any public GitHub action")</x:f>
        <x:v>add receipt/status then mirror</x:v>
      </x:c>
    </x:row>
    <x:row r="59">
      <x:c r="A59" s="15" t="str">
        <x:v>SWARM-01-H05-S10</x:v>
      </x:c>
      <x:c r="B59" s="15" t="str">
        <x:v>Ledgerwake</x:v>
      </x:c>
      <x:c r="C59" s="15" t="str">
        <x:v>Source receipt keeper</x:v>
      </x:c>
      <x:c r="D59" s="15" t="str">
        <x:v>Contradiction Mapping</x:v>
      </x:c>
      <x:c r="E59" s="15" t="str">
        <x:v>Human-Root</x:v>
      </x:c>
      <x:c r="F59" s="15" t="str">
        <x:v>Map contradictions in Human-Root — Ledgerwake</x:v>
      </x:c>
      <x:c r="G59" s="15" t="str">
        <x:v>inventory / receipts / raw custody</x:v>
      </x:c>
      <x:c r="H59" s="15" t="str">
        <x:v>source path + receipt + raw/export status + claim/edge/risk delta</x:v>
      </x:c>
      <x:c r="I59" s="15" t="str">
        <x:v>packet/SWARM-01-H05-S10</x:v>
      </x:c>
      <x:c r="J59" s="15" t="str">
        <x:v>TODO</x:v>
      </x:c>
      <x:c r="K59" s="15" t="str">
        <x:v>P2</x:v>
      </x:c>
      <x:c r="L59" s="15" t="str">
        <x:v>Done only when evidence is logged, contradiction search is noted, and boundary stamp remains non-canon unless ratified</x:v>
      </x:c>
      <x:c r="M59" s="15" t="str">
        <x:v>candidate / staging-only / not canon / not deployed / authority none</x:v>
      </x:c>
      <x:c r="N59" s="15" t="str">
        <x:v>Dispatch to Ledgerwake: complete Contradiction Mapping x Human-Root; return deltas only, receipts required.</x:v>
      </x:c>
      <x:c r="O59" s="15" t="str">
        <x:v>AF-KG-H05-S10</x:v>
      </x:c>
      <x:c r="P59" s="15" t="str">
        <x:v>Unverified</x:v>
      </x:c>
      <x:c r="Q59" s="15" t="str">
        <x:v>Not checked</x:v>
      </x:c>
      <x:c r="R59" s="15" t="str"/>
      <x:c r="S59" s="15" t="str"/>
      <x:c r="T59" s="15" t="str">
        <x:v>Log first source path or blocker</x:v>
      </x:c>
      <x:c r="U59" s="12" t="str">
        <x:f>IF(OR(P59="Unverified",Q59="Not checked"),"BLOCKED_PENDING_RECEIPT","READY_FOR_REVIEW")</x:f>
        <x:v>BLOCKED_PENDING_RECEIPT</x:v>
      </x:c>
      <x:c r="V59" s="12" t="str">
        <x:f>IF(J59="DONE","RETURNED",IF(U59="BLOCKED_PENDING_RECEIPT","SOURCE_TOUCH_REQUIRED","IN_PROGRESS"))</x:f>
        <x:v>SOURCE_TOUCH_REQUIRED</x:v>
      </x:c>
      <x:c r="W59" s="12" t="str">
        <x:f>IF(P59="Unverified","missing_receipt","receipt_logged")</x:f>
        <x:v>missing_receipt</x:v>
      </x:c>
      <x:c r="X59" s="12" t="str">
        <x:f>IF(Q59="Not checked","raw_status_missing","raw_status_logged")</x:f>
        <x:v>raw_status_missing</x:v>
      </x:c>
      <x:c r="Y59" s="12" t="str">
        <x:f>IF(U59="BLOCKED_PENDING_RECEIPT","Log source path or blocker; do not promote","Route to review lane")</x:f>
        <x:v>Log source path or blocker; do not promote</x:v>
      </x:c>
      <x:c r="Z59" s="12" t="str">
        <x:f>IF(K59="P0","Primary seat + Hashlight/Lucerna","Seat lane")</x:f>
        <x:v>Seat lane</x:v>
      </x:c>
      <x:c r="AA59" s="12" t="str">
        <x:f>IF(R59="","no_claim_delta","claim_delta_present")</x:f>
        <x:v>no_claim_delta</x:v>
      </x:c>
      <x:c r="AB59" s="12" t="str">
        <x:f>IF(S59="","no_contradiction_delta","contradiction_delta_present")</x:f>
        <x:v>no_contradiction_delta</x:v>
      </x:c>
      <x:c r="AC59" s="12" t="str">
        <x:f>IF(OR(ISNUMBER(SEARCH("hacker",LOWER(F59&amp;" "&amp;H59&amp;" "&amp;I59&amp;" "&amp;M59&amp;" "&amp;N59&amp;" "&amp;T59))),ISNUMBER(SEARCH("hacking",LOWER(F59&amp;" "&amp;H59&amp;" "&amp;I59&amp;" "&amp;M59&amp;" "&amp;N59&amp;" "&amp;T59))),ISNUMBER(SEARCH("bank",LOWER(F59&amp;" "&amp;H59&amp;" "&amp;I59&amp;" "&amp;M59&amp;" "&amp;N59&amp;" "&amp;T59))),ISNUMBER(SEARCH("banking",LOWER(F59&amp;" "&amp;H59&amp;" "&amp;I59&amp;" "&amp;M59&amp;" "&amp;N59&amp;" "&amp;T59)))),"PRIVATE_QUARANTINE",IF(OR(ISNUMBER(SEARCH("treasury",LOWER(F59&amp;" "&amp;H59&amp;" "&amp;I59&amp;" "&amp;M59&amp;" "&amp;N59&amp;" "&amp;T59))),ISNUMBER(SEARCH("debt",LOWER(F59&amp;" "&amp;H59&amp;" "&amp;I59&amp;" "&amp;M59&amp;" "&amp;N59&amp;" "&amp;T59))),ISNUMBER(SEARCH("bond",LOWER(F59&amp;" "&amp;H59&amp;" "&amp;I59&amp;" "&amp;M59&amp;" "&amp;N59&amp;" "&amp;T59))),ISNUMBER(SEARCH("transaction",LOWER(F59&amp;" "&amp;H59&amp;" "&amp;I59&amp;" "&amp;M59&amp;" "&amp;N59&amp;" "&amp;T59)))),"PRIVATE_REVIEW","PUBLIC_CANDIDATE"))</x:f>
        <x:v>PUBLIC_CANDIDATE</x:v>
      </x:c>
      <x:c r="AD59" s="12" t="str">
        <x:f>IF(AC59="PRIVATE_QUARANTINE","hacker_or_bank_trigger",IF(AC59="PRIVATE_REVIEW","finance_risk_trigger","none"))</x:f>
        <x:v>none</x:v>
      </x:c>
      <x:c r="AE59" s="12" t="str">
        <x:f>IF(AC59="PUBLIC_CANDIDATE","prepare_public_github_candidate",IF(AC59="PRIVATE_REVIEW","hold_for_private_review","quarantine_private_do_not_publish"))</x:f>
        <x:v>prepare_public_github_candidate</x:v>
      </x:c>
      <x:c r="AF59" s="12" t="str">
        <x:f>IF(AC59="PUBLIC_CANDIDATE","TIDELOCK + Lucerna",IF(AC59="PRIVATE_REVIEW","AtlasBrain + Lucerna","TIDELOCK + Lucerna + Human-root"))</x:f>
        <x:v>TIDELOCK + Lucerna</x:v>
      </x:c>
      <x:c r="AG59" s="12" t="str">
        <x:f>IF(AND(AC59="PUBLIC_CANDIDATE",U59&lt;&gt;"BLOCKED_PENDING_RECEIPT"),"READY_AFTER_RECEIPT","NOT_READY")</x:f>
        <x:v>NOT_READY</x:v>
      </x:c>
      <x:c r="AH59" s="12" t="str">
        <x:f>IF(AC59="PUBLIC_CANDIDATE","none",AD59)</x:f>
        <x:v>none</x:v>
      </x:c>
      <x:c r="AI59" s="12" t="str">
        <x:f>IF(AC59="PUBLIC_CANDIDATE","archive/public_candidates/"&amp;A59,"private_quarantine/"&amp;A59)</x:f>
        <x:v>archive/public_candidates/SWARM-01-H05-S10</x:v>
      </x:c>
      <x:c r="AJ59" s="12" t="str">
        <x:f>IF(AC59="PUBLIC_CANDIDATE","public by default; still not canon","private/hold; do not publish")</x:f>
        <x:v>public by default; still not canon</x:v>
      </x:c>
      <x:c r="AK59" s="12" t="str">
        <x:f>IF(AE59="prepare_public_github_candidate","add receipt/status then mirror","resolve blocker before any public GitHub action")</x:f>
        <x:v>add receipt/status then mirror</x:v>
      </x:c>
    </x:row>
    <x:row r="60">
      <x:c r="A60" s="15" t="str">
        <x:v>SWARM-01-H05-S11</x:v>
      </x:c>
      <x:c r="B60" s="15" t="str">
        <x:v>Ledgerwake</x:v>
      </x:c>
      <x:c r="C60" s="15" t="str">
        <x:v>Source receipt keeper</x:v>
      </x:c>
      <x:c r="D60" s="15" t="str">
        <x:v>Contradiction Mapping</x:v>
      </x:c>
      <x:c r="E60" s="15" t="str">
        <x:v>Automation</x:v>
      </x:c>
      <x:c r="F60" s="15" t="str">
        <x:v>Map contradictions in Automation — Ledgerwake</x:v>
      </x:c>
      <x:c r="G60" s="15" t="str">
        <x:v>inventory / receipts / raw custody</x:v>
      </x:c>
      <x:c r="H60" s="15" t="str">
        <x:v>source path + receipt + raw/export status + claim/edge/risk delta</x:v>
      </x:c>
      <x:c r="I60" s="15" t="str">
        <x:v>packet/SWARM-01-H05-S11</x:v>
      </x:c>
      <x:c r="J60" s="15" t="str">
        <x:v>TODO</x:v>
      </x:c>
      <x:c r="K60" s="15" t="str">
        <x:v>P2</x:v>
      </x:c>
      <x:c r="L60" s="15" t="str">
        <x:v>Done only when evidence is logged, contradiction search is noted, and boundary stamp remains non-canon unless ratified</x:v>
      </x:c>
      <x:c r="M60" s="15" t="str">
        <x:v>candidate / staging-only / not canon / not deployed / authority none</x:v>
      </x:c>
      <x:c r="N60" s="15" t="str">
        <x:v>Dispatch to Ledgerwake: complete Contradiction Mapping x Automation; return deltas only, receipts required.</x:v>
      </x:c>
      <x:c r="O60" s="15" t="str">
        <x:v>AF-KG-H05-S11</x:v>
      </x:c>
      <x:c r="P60" s="15" t="str">
        <x:v>Unverified</x:v>
      </x:c>
      <x:c r="Q60" s="15" t="str">
        <x:v>Not checked</x:v>
      </x:c>
      <x:c r="R60" s="15" t="str"/>
      <x:c r="S60" s="15" t="str"/>
      <x:c r="T60" s="15" t="str">
        <x:v>Log first source path or blocker</x:v>
      </x:c>
      <x:c r="U60" s="12" t="str">
        <x:f>IF(OR(P60="Unverified",Q60="Not checked"),"BLOCKED_PENDING_RECEIPT","READY_FOR_REVIEW")</x:f>
        <x:v>BLOCKED_PENDING_RECEIPT</x:v>
      </x:c>
      <x:c r="V60" s="12" t="str">
        <x:f>IF(J60="DONE","RETURNED",IF(U60="BLOCKED_PENDING_RECEIPT","SOURCE_TOUCH_REQUIRED","IN_PROGRESS"))</x:f>
        <x:v>SOURCE_TOUCH_REQUIRED</x:v>
      </x:c>
      <x:c r="W60" s="12" t="str">
        <x:f>IF(P60="Unverified","missing_receipt","receipt_logged")</x:f>
        <x:v>missing_receipt</x:v>
      </x:c>
      <x:c r="X60" s="12" t="str">
        <x:f>IF(Q60="Not checked","raw_status_missing","raw_status_logged")</x:f>
        <x:v>raw_status_missing</x:v>
      </x:c>
      <x:c r="Y60" s="12" t="str">
        <x:f>IF(U60="BLOCKED_PENDING_RECEIPT","Log source path or blocker; do not promote","Route to review lane")</x:f>
        <x:v>Log source path or blocker; do not promote</x:v>
      </x:c>
      <x:c r="Z60" s="12" t="str">
        <x:f>IF(K60="P0","Primary seat + Hashlight/Lucerna","Seat lane")</x:f>
        <x:v>Seat lane</x:v>
      </x:c>
      <x:c r="AA60" s="12" t="str">
        <x:f>IF(R60="","no_claim_delta","claim_delta_present")</x:f>
        <x:v>no_claim_delta</x:v>
      </x:c>
      <x:c r="AB60" s="12" t="str">
        <x:f>IF(S60="","no_contradiction_delta","contradiction_delta_present")</x:f>
        <x:v>no_contradiction_delta</x:v>
      </x:c>
      <x:c r="AC60" s="12" t="str">
        <x:f>IF(OR(ISNUMBER(SEARCH("hacker",LOWER(F60&amp;" "&amp;H60&amp;" "&amp;I60&amp;" "&amp;M60&amp;" "&amp;N60&amp;" "&amp;T60))),ISNUMBER(SEARCH("hacking",LOWER(F60&amp;" "&amp;H60&amp;" "&amp;I60&amp;" "&amp;M60&amp;" "&amp;N60&amp;" "&amp;T60))),ISNUMBER(SEARCH("bank",LOWER(F60&amp;" "&amp;H60&amp;" "&amp;I60&amp;" "&amp;M60&amp;" "&amp;N60&amp;" "&amp;T60))),ISNUMBER(SEARCH("banking",LOWER(F60&amp;" "&amp;H60&amp;" "&amp;I60&amp;" "&amp;M60&amp;" "&amp;N60&amp;" "&amp;T60)))),"PRIVATE_QUARANTINE",IF(OR(ISNUMBER(SEARCH("treasury",LOWER(F60&amp;" "&amp;H60&amp;" "&amp;I60&amp;" "&amp;M60&amp;" "&amp;N60&amp;" "&amp;T60))),ISNUMBER(SEARCH("debt",LOWER(F60&amp;" "&amp;H60&amp;" "&amp;I60&amp;" "&amp;M60&amp;" "&amp;N60&amp;" "&amp;T60))),ISNUMBER(SEARCH("bond",LOWER(F60&amp;" "&amp;H60&amp;" "&amp;I60&amp;" "&amp;M60&amp;" "&amp;N60&amp;" "&amp;T60))),ISNUMBER(SEARCH("transaction",LOWER(F60&amp;" "&amp;H60&amp;" "&amp;I60&amp;" "&amp;M60&amp;" "&amp;N60&amp;" "&amp;T60)))),"PRIVATE_REVIEW","PUBLIC_CANDIDATE"))</x:f>
        <x:v>PUBLIC_CANDIDATE</x:v>
      </x:c>
      <x:c r="AD60" s="12" t="str">
        <x:f>IF(AC60="PRIVATE_QUARANTINE","hacker_or_bank_trigger",IF(AC60="PRIVATE_REVIEW","finance_risk_trigger","none"))</x:f>
        <x:v>none</x:v>
      </x:c>
      <x:c r="AE60" s="12" t="str">
        <x:f>IF(AC60="PUBLIC_CANDIDATE","prepare_public_github_candidate",IF(AC60="PRIVATE_REVIEW","hold_for_private_review","quarantine_private_do_not_publish"))</x:f>
        <x:v>prepare_public_github_candidate</x:v>
      </x:c>
      <x:c r="AF60" s="12" t="str">
        <x:f>IF(AC60="PUBLIC_CANDIDATE","TIDELOCK + Lucerna",IF(AC60="PRIVATE_REVIEW","AtlasBrain + Lucerna","TIDELOCK + Lucerna + Human-root"))</x:f>
        <x:v>TIDELOCK + Lucerna</x:v>
      </x:c>
      <x:c r="AG60" s="12" t="str">
        <x:f>IF(AND(AC60="PUBLIC_CANDIDATE",U60&lt;&gt;"BLOCKED_PENDING_RECEIPT"),"READY_AFTER_RECEIPT","NOT_READY")</x:f>
        <x:v>NOT_READY</x:v>
      </x:c>
      <x:c r="AH60" s="12" t="str">
        <x:f>IF(AC60="PUBLIC_CANDIDATE","none",AD60)</x:f>
        <x:v>none</x:v>
      </x:c>
      <x:c r="AI60" s="12" t="str">
        <x:f>IF(AC60="PUBLIC_CANDIDATE","archive/public_candidates/"&amp;A60,"private_quarantine/"&amp;A60)</x:f>
        <x:v>archive/public_candidates/SWARM-01-H05-S11</x:v>
      </x:c>
      <x:c r="AJ60" s="12" t="str">
        <x:f>IF(AC60="PUBLIC_CANDIDATE","public by default; still not canon","private/hold; do not publish")</x:f>
        <x:v>public by default; still not canon</x:v>
      </x:c>
      <x:c r="AK60" s="12" t="str">
        <x:f>IF(AE60="prepare_public_github_candidate","add receipt/status then mirror","resolve blocker before any public GitHub action")</x:f>
        <x:v>add receipt/status then mirror</x:v>
      </x:c>
    </x:row>
    <x:row r="61">
      <x:c r="A61" s="15" t="str">
        <x:v>SWARM-01-H05-S12</x:v>
      </x:c>
      <x:c r="B61" s="15" t="str">
        <x:v>Ledgerwake</x:v>
      </x:c>
      <x:c r="C61" s="15" t="str">
        <x:v>Source receipt keeper</x:v>
      </x:c>
      <x:c r="D61" s="15" t="str">
        <x:v>Contradiction Mapping</x:v>
      </x:c>
      <x:c r="E61" s="15" t="str">
        <x:v>Risk / Safety</x:v>
      </x:c>
      <x:c r="F61" s="15" t="str">
        <x:v>Map contradictions in Risk / Safety — Ledgerwake</x:v>
      </x:c>
      <x:c r="G61" s="15" t="str">
        <x:v>inventory / receipts / raw custody</x:v>
      </x:c>
      <x:c r="H61" s="15" t="str">
        <x:v>source path + receipt + raw/export status + claim/edge/risk delta</x:v>
      </x:c>
      <x:c r="I61" s="15" t="str">
        <x:v>packet/SWARM-01-H05-S12</x:v>
      </x:c>
      <x:c r="J61" s="15" t="str">
        <x:v>TODO</x:v>
      </x:c>
      <x:c r="K61" s="15" t="str">
        <x:v>P2</x:v>
      </x:c>
      <x:c r="L61" s="15" t="str">
        <x:v>Done only when evidence is logged, contradiction search is noted, and boundary stamp remains non-canon unless ratified</x:v>
      </x:c>
      <x:c r="M61" s="15" t="str">
        <x:v>candidate / staging-only / not canon / not deployed / authority none</x:v>
      </x:c>
      <x:c r="N61" s="15" t="str">
        <x:v>Dispatch to Ledgerwake: complete Contradiction Mapping x Risk / Safety; return deltas only, receipts required.</x:v>
      </x:c>
      <x:c r="O61" s="15" t="str">
        <x:v>AF-KG-H05-S12</x:v>
      </x:c>
      <x:c r="P61" s="15" t="str">
        <x:v>Unverified</x:v>
      </x:c>
      <x:c r="Q61" s="15" t="str">
        <x:v>Not checked</x:v>
      </x:c>
      <x:c r="R61" s="15" t="str"/>
      <x:c r="S61" s="15" t="str"/>
      <x:c r="T61" s="15" t="str">
        <x:v>Log first source path or blocker</x:v>
      </x:c>
      <x:c r="U61" s="12" t="str">
        <x:f>IF(OR(P61="Unverified",Q61="Not checked"),"BLOCKED_PENDING_RECEIPT","READY_FOR_REVIEW")</x:f>
        <x:v>BLOCKED_PENDING_RECEIPT</x:v>
      </x:c>
      <x:c r="V61" s="12" t="str">
        <x:f>IF(J61="DONE","RETURNED",IF(U61="BLOCKED_PENDING_RECEIPT","SOURCE_TOUCH_REQUIRED","IN_PROGRESS"))</x:f>
        <x:v>SOURCE_TOUCH_REQUIRED</x:v>
      </x:c>
      <x:c r="W61" s="12" t="str">
        <x:f>IF(P61="Unverified","missing_receipt","receipt_logged")</x:f>
        <x:v>missing_receipt</x:v>
      </x:c>
      <x:c r="X61" s="12" t="str">
        <x:f>IF(Q61="Not checked","raw_status_missing","raw_status_logged")</x:f>
        <x:v>raw_status_missing</x:v>
      </x:c>
      <x:c r="Y61" s="12" t="str">
        <x:f>IF(U61="BLOCKED_PENDING_RECEIPT","Log source path or blocker; do not promote","Route to review lane")</x:f>
        <x:v>Log source path or blocker; do not promote</x:v>
      </x:c>
      <x:c r="Z61" s="12" t="str">
        <x:f>IF(K61="P0","Primary seat + Hashlight/Lucerna","Seat lane")</x:f>
        <x:v>Seat lane</x:v>
      </x:c>
      <x:c r="AA61" s="12" t="str">
        <x:f>IF(R61="","no_claim_delta","claim_delta_present")</x:f>
        <x:v>no_claim_delta</x:v>
      </x:c>
      <x:c r="AB61" s="12" t="str">
        <x:f>IF(S61="","no_contradiction_delta","contradiction_delta_present")</x:f>
        <x:v>no_contradiction_delta</x:v>
      </x:c>
      <x:c r="AC61" s="12" t="str">
        <x:f>IF(OR(ISNUMBER(SEARCH("hacker",LOWER(F61&amp;" "&amp;H61&amp;" "&amp;I61&amp;" "&amp;M61&amp;" "&amp;N61&amp;" "&amp;T61))),ISNUMBER(SEARCH("hacking",LOWER(F61&amp;" "&amp;H61&amp;" "&amp;I61&amp;" "&amp;M61&amp;" "&amp;N61&amp;" "&amp;T61))),ISNUMBER(SEARCH("bank",LOWER(F61&amp;" "&amp;H61&amp;" "&amp;I61&amp;" "&amp;M61&amp;" "&amp;N61&amp;" "&amp;T61))),ISNUMBER(SEARCH("banking",LOWER(F61&amp;" "&amp;H61&amp;" "&amp;I61&amp;" "&amp;M61&amp;" "&amp;N61&amp;" "&amp;T61)))),"PRIVATE_QUARANTINE",IF(OR(ISNUMBER(SEARCH("treasury",LOWER(F61&amp;" "&amp;H61&amp;" "&amp;I61&amp;" "&amp;M61&amp;" "&amp;N61&amp;" "&amp;T61))),ISNUMBER(SEARCH("debt",LOWER(F61&amp;" "&amp;H61&amp;" "&amp;I61&amp;" "&amp;M61&amp;" "&amp;N61&amp;" "&amp;T61))),ISNUMBER(SEARCH("bond",LOWER(F61&amp;" "&amp;H61&amp;" "&amp;I61&amp;" "&amp;M61&amp;" "&amp;N61&amp;" "&amp;T61))),ISNUMBER(SEARCH("transaction",LOWER(F61&amp;" "&amp;H61&amp;" "&amp;I61&amp;" "&amp;M61&amp;" "&amp;N61&amp;" "&amp;T61)))),"PRIVATE_REVIEW","PUBLIC_CANDIDATE"))</x:f>
        <x:v>PUBLIC_CANDIDATE</x:v>
      </x:c>
      <x:c r="AD61" s="12" t="str">
        <x:f>IF(AC61="PRIVATE_QUARANTINE","hacker_or_bank_trigger",IF(AC61="PRIVATE_REVIEW","finance_risk_trigger","none"))</x:f>
        <x:v>none</x:v>
      </x:c>
      <x:c r="AE61" s="12" t="str">
        <x:f>IF(AC61="PUBLIC_CANDIDATE","prepare_public_github_candidate",IF(AC61="PRIVATE_REVIEW","hold_for_private_review","quarantine_private_do_not_publish"))</x:f>
        <x:v>prepare_public_github_candidate</x:v>
      </x:c>
      <x:c r="AF61" s="12" t="str">
        <x:f>IF(AC61="PUBLIC_CANDIDATE","TIDELOCK + Lucerna",IF(AC61="PRIVATE_REVIEW","AtlasBrain + Lucerna","TIDELOCK + Lucerna + Human-root"))</x:f>
        <x:v>TIDELOCK + Lucerna</x:v>
      </x:c>
      <x:c r="AG61" s="12" t="str">
        <x:f>IF(AND(AC61="PUBLIC_CANDIDATE",U61&lt;&gt;"BLOCKED_PENDING_RECEIPT"),"READY_AFTER_RECEIPT","NOT_READY")</x:f>
        <x:v>NOT_READY</x:v>
      </x:c>
      <x:c r="AH61" s="12" t="str">
        <x:f>IF(AC61="PUBLIC_CANDIDATE","none",AD61)</x:f>
        <x:v>none</x:v>
      </x:c>
      <x:c r="AI61" s="12" t="str">
        <x:f>IF(AC61="PUBLIC_CANDIDATE","archive/public_candidates/"&amp;A61,"private_quarantine/"&amp;A61)</x:f>
        <x:v>archive/public_candidates/SWARM-01-H05-S12</x:v>
      </x:c>
      <x:c r="AJ61" s="12" t="str">
        <x:f>IF(AC61="PUBLIC_CANDIDATE","public by default; still not canon","private/hold; do not publish")</x:f>
        <x:v>public by default; still not canon</x:v>
      </x:c>
      <x:c r="AK61" s="12" t="str">
        <x:f>IF(AE61="prepare_public_github_candidate","add receipt/status then mirror","resolve blocker before any public GitHub action")</x:f>
        <x:v>add receipt/status then mirror</x:v>
      </x:c>
    </x:row>
    <x:row r="62">
      <x:c r="A62" s="15" t="str">
        <x:v>SWARM-01-H06-S01</x:v>
      </x:c>
      <x:c r="B62" s="15" t="str">
        <x:v>Ledgerwake</x:v>
      </x:c>
      <x:c r="C62" s="15" t="str">
        <x:v>Source receipt keeper</x:v>
      </x:c>
      <x:c r="D62" s="15" t="str">
        <x:v>Ontology / Schema</x:v>
      </x:c>
      <x:c r="E62" s="15" t="str">
        <x:v>Notion</x:v>
      </x:c>
      <x:c r="F62" s="15" t="str">
        <x:v>Schema-map Notion — Ledgerwake</x:v>
      </x:c>
      <x:c r="G62" s="15" t="str">
        <x:v>inventory / receipts / raw custody</x:v>
      </x:c>
      <x:c r="H62" s="15" t="str">
        <x:v>source path + receipt + raw/export status + claim/edge/risk delta</x:v>
      </x:c>
      <x:c r="I62" s="15" t="str">
        <x:v>packet/SWARM-01-H06-S01</x:v>
      </x:c>
      <x:c r="J62" s="15" t="str">
        <x:v>TODO</x:v>
      </x:c>
      <x:c r="K62" s="15" t="str">
        <x:v>P0</x:v>
      </x:c>
      <x:c r="L62" s="15" t="str">
        <x:v>Done only when evidence is logged, contradiction search is noted, and boundary stamp remains non-canon unless ratified</x:v>
      </x:c>
      <x:c r="M62" s="15" t="str">
        <x:v>candidate / staging-only / not canon / not deployed / authority none</x:v>
      </x:c>
      <x:c r="N62" s="15" t="str">
        <x:v>Dispatch to Ledgerwake: complete Ontology / Schema x Notion; return deltas only, receipts required.</x:v>
      </x:c>
      <x:c r="O62" s="15" t="str">
        <x:v>AF-KG-H06-S01</x:v>
      </x:c>
      <x:c r="P62" s="15" t="str">
        <x:v>Unverified</x:v>
      </x:c>
      <x:c r="Q62" s="15" t="str">
        <x:v>Not checked</x:v>
      </x:c>
      <x:c r="R62" s="15" t="str"/>
      <x:c r="S62" s="15" t="str"/>
      <x:c r="T62" s="15" t="str">
        <x:v>Log first source path or blocker</x:v>
      </x:c>
      <x:c r="U62" s="12" t="str">
        <x:f>IF(OR(P62="Unverified",Q62="Not checked"),"BLOCKED_PENDING_RECEIPT","READY_FOR_REVIEW")</x:f>
        <x:v>BLOCKED_PENDING_RECEIPT</x:v>
      </x:c>
      <x:c r="V62" s="12" t="str">
        <x:f>IF(J62="DONE","RETURNED",IF(U62="BLOCKED_PENDING_RECEIPT","SOURCE_TOUCH_REQUIRED","IN_PROGRESS"))</x:f>
        <x:v>SOURCE_TOUCH_REQUIRED</x:v>
      </x:c>
      <x:c r="W62" s="12" t="str">
        <x:f>IF(P62="Unverified","missing_receipt","receipt_logged")</x:f>
        <x:v>missing_receipt</x:v>
      </x:c>
      <x:c r="X62" s="12" t="str">
        <x:f>IF(Q62="Not checked","raw_status_missing","raw_status_logged")</x:f>
        <x:v>raw_status_missing</x:v>
      </x:c>
      <x:c r="Y62" s="12" t="str">
        <x:f>IF(U62="BLOCKED_PENDING_RECEIPT","Log source path or blocker; do not promote","Route to review lane")</x:f>
        <x:v>Log source path or blocker; do not promote</x:v>
      </x:c>
      <x:c r="Z62" s="12" t="str">
        <x:f>IF(K62="P0","Primary seat + Hashlight/Lucerna","Seat lane")</x:f>
        <x:v>Primary seat + Hashlight/Lucerna</x:v>
      </x:c>
      <x:c r="AA62" s="12" t="str">
        <x:f>IF(R62="","no_claim_delta","claim_delta_present")</x:f>
        <x:v>no_claim_delta</x:v>
      </x:c>
      <x:c r="AB62" s="12" t="str">
        <x:f>IF(S62="","no_contradiction_delta","contradiction_delta_present")</x:f>
        <x:v>no_contradiction_delta</x:v>
      </x:c>
      <x:c r="AC62" s="12" t="str">
        <x:f>IF(OR(ISNUMBER(SEARCH("hacker",LOWER(F62&amp;" "&amp;H62&amp;" "&amp;I62&amp;" "&amp;M62&amp;" "&amp;N62&amp;" "&amp;T62))),ISNUMBER(SEARCH("hacking",LOWER(F62&amp;" "&amp;H62&amp;" "&amp;I62&amp;" "&amp;M62&amp;" "&amp;N62&amp;" "&amp;T62))),ISNUMBER(SEARCH("bank",LOWER(F62&amp;" "&amp;H62&amp;" "&amp;I62&amp;" "&amp;M62&amp;" "&amp;N62&amp;" "&amp;T62))),ISNUMBER(SEARCH("banking",LOWER(F62&amp;" "&amp;H62&amp;" "&amp;I62&amp;" "&amp;M62&amp;" "&amp;N62&amp;" "&amp;T62)))),"PRIVATE_QUARANTINE",IF(OR(ISNUMBER(SEARCH("treasury",LOWER(F62&amp;" "&amp;H62&amp;" "&amp;I62&amp;" "&amp;M62&amp;" "&amp;N62&amp;" "&amp;T62))),ISNUMBER(SEARCH("debt",LOWER(F62&amp;" "&amp;H62&amp;" "&amp;I62&amp;" "&amp;M62&amp;" "&amp;N62&amp;" "&amp;T62))),ISNUMBER(SEARCH("bond",LOWER(F62&amp;" "&amp;H62&amp;" "&amp;I62&amp;" "&amp;M62&amp;" "&amp;N62&amp;" "&amp;T62))),ISNUMBER(SEARCH("transaction",LOWER(F62&amp;" "&amp;H62&amp;" "&amp;I62&amp;" "&amp;M62&amp;" "&amp;N62&amp;" "&amp;T62)))),"PRIVATE_REVIEW","PUBLIC_CANDIDATE"))</x:f>
        <x:v>PUBLIC_CANDIDATE</x:v>
      </x:c>
      <x:c r="AD62" s="12" t="str">
        <x:f>IF(AC62="PRIVATE_QUARANTINE","hacker_or_bank_trigger",IF(AC62="PRIVATE_REVIEW","finance_risk_trigger","none"))</x:f>
        <x:v>none</x:v>
      </x:c>
      <x:c r="AE62" s="12" t="str">
        <x:f>IF(AC62="PUBLIC_CANDIDATE","prepare_public_github_candidate",IF(AC62="PRIVATE_REVIEW","hold_for_private_review","quarantine_private_do_not_publish"))</x:f>
        <x:v>prepare_public_github_candidate</x:v>
      </x:c>
      <x:c r="AF62" s="12" t="str">
        <x:f>IF(AC62="PUBLIC_CANDIDATE","TIDELOCK + Lucerna",IF(AC62="PRIVATE_REVIEW","AtlasBrain + Lucerna","TIDELOCK + Lucerna + Human-root"))</x:f>
        <x:v>TIDELOCK + Lucerna</x:v>
      </x:c>
      <x:c r="AG62" s="12" t="str">
        <x:f>IF(AND(AC62="PUBLIC_CANDIDATE",U62&lt;&gt;"BLOCKED_PENDING_RECEIPT"),"READY_AFTER_RECEIPT","NOT_READY")</x:f>
        <x:v>NOT_READY</x:v>
      </x:c>
      <x:c r="AH62" s="12" t="str">
        <x:f>IF(AC62="PUBLIC_CANDIDATE","none",AD62)</x:f>
        <x:v>none</x:v>
      </x:c>
      <x:c r="AI62" s="12" t="str">
        <x:f>IF(AC62="PUBLIC_CANDIDATE","archive/public_candidates/"&amp;A62,"private_quarantine/"&amp;A62)</x:f>
        <x:v>archive/public_candidates/SWARM-01-H06-S01</x:v>
      </x:c>
      <x:c r="AJ62" s="12" t="str">
        <x:f>IF(AC62="PUBLIC_CANDIDATE","public by default; still not canon","private/hold; do not publish")</x:f>
        <x:v>public by default; still not canon</x:v>
      </x:c>
      <x:c r="AK62" s="12" t="str">
        <x:f>IF(AE62="prepare_public_github_candidate","add receipt/status then mirror","resolve blocker before any public GitHub action")</x:f>
        <x:v>add receipt/status then mirror</x:v>
      </x:c>
    </x:row>
    <x:row r="63">
      <x:c r="A63" s="15" t="str">
        <x:v>SWARM-01-H06-S02</x:v>
      </x:c>
      <x:c r="B63" s="15" t="str">
        <x:v>Ledgerwake</x:v>
      </x:c>
      <x:c r="C63" s="15" t="str">
        <x:v>Source receipt keeper</x:v>
      </x:c>
      <x:c r="D63" s="15" t="str">
        <x:v>Ontology / Schema</x:v>
      </x:c>
      <x:c r="E63" s="15" t="str">
        <x:v>Drive</x:v>
      </x:c>
      <x:c r="F63" s="15" t="str">
        <x:v>Schema-map Drive — Ledgerwake</x:v>
      </x:c>
      <x:c r="G63" s="15" t="str">
        <x:v>inventory / receipts / raw custody</x:v>
      </x:c>
      <x:c r="H63" s="15" t="str">
        <x:v>source path + receipt + raw/export status + claim/edge/risk delta</x:v>
      </x:c>
      <x:c r="I63" s="15" t="str">
        <x:v>packet/SWARM-01-H06-S02</x:v>
      </x:c>
      <x:c r="J63" s="15" t="str">
        <x:v>TODO</x:v>
      </x:c>
      <x:c r="K63" s="15" t="str">
        <x:v>P0</x:v>
      </x:c>
      <x:c r="L63" s="15" t="str">
        <x:v>Done only when evidence is logged, contradiction search is noted, and boundary stamp remains non-canon unless ratified</x:v>
      </x:c>
      <x:c r="M63" s="15" t="str">
        <x:v>candidate / staging-only / not canon / not deployed / authority none</x:v>
      </x:c>
      <x:c r="N63" s="15" t="str">
        <x:v>Dispatch to Ledgerwake: complete Ontology / Schema x Drive; return deltas only, receipts required.</x:v>
      </x:c>
      <x:c r="O63" s="15" t="str">
        <x:v>AF-KG-H06-S02</x:v>
      </x:c>
      <x:c r="P63" s="15" t="str">
        <x:v>Unverified</x:v>
      </x:c>
      <x:c r="Q63" s="15" t="str">
        <x:v>Not checked</x:v>
      </x:c>
      <x:c r="R63" s="15" t="str"/>
      <x:c r="S63" s="15" t="str"/>
      <x:c r="T63" s="15" t="str">
        <x:v>Log first source path or blocker</x:v>
      </x:c>
      <x:c r="U63" s="12" t="str">
        <x:f>IF(OR(P63="Unverified",Q63="Not checked"),"BLOCKED_PENDING_RECEIPT","READY_FOR_REVIEW")</x:f>
        <x:v>BLOCKED_PENDING_RECEIPT</x:v>
      </x:c>
      <x:c r="V63" s="12" t="str">
        <x:f>IF(J63="DONE","RETURNED",IF(U63="BLOCKED_PENDING_RECEIPT","SOURCE_TOUCH_REQUIRED","IN_PROGRESS"))</x:f>
        <x:v>SOURCE_TOUCH_REQUIRED</x:v>
      </x:c>
      <x:c r="W63" s="12" t="str">
        <x:f>IF(P63="Unverified","missing_receipt","receipt_logged")</x:f>
        <x:v>missing_receipt</x:v>
      </x:c>
      <x:c r="X63" s="12" t="str">
        <x:f>IF(Q63="Not checked","raw_status_missing","raw_status_logged")</x:f>
        <x:v>raw_status_missing</x:v>
      </x:c>
      <x:c r="Y63" s="12" t="str">
        <x:f>IF(U63="BLOCKED_PENDING_RECEIPT","Log source path or blocker; do not promote","Route to review lane")</x:f>
        <x:v>Log source path or blocker; do not promote</x:v>
      </x:c>
      <x:c r="Z63" s="12" t="str">
        <x:f>IF(K63="P0","Primary seat + Hashlight/Lucerna","Seat lane")</x:f>
        <x:v>Primary seat + Hashlight/Lucerna</x:v>
      </x:c>
      <x:c r="AA63" s="12" t="str">
        <x:f>IF(R63="","no_claim_delta","claim_delta_present")</x:f>
        <x:v>no_claim_delta</x:v>
      </x:c>
      <x:c r="AB63" s="12" t="str">
        <x:f>IF(S63="","no_contradiction_delta","contradiction_delta_present")</x:f>
        <x:v>no_contradiction_delta</x:v>
      </x:c>
      <x:c r="AC63" s="12" t="str">
        <x:f>IF(OR(ISNUMBER(SEARCH("hacker",LOWER(F63&amp;" "&amp;H63&amp;" "&amp;I63&amp;" "&amp;M63&amp;" "&amp;N63&amp;" "&amp;T63))),ISNUMBER(SEARCH("hacking",LOWER(F63&amp;" "&amp;H63&amp;" "&amp;I63&amp;" "&amp;M63&amp;" "&amp;N63&amp;" "&amp;T63))),ISNUMBER(SEARCH("bank",LOWER(F63&amp;" "&amp;H63&amp;" "&amp;I63&amp;" "&amp;M63&amp;" "&amp;N63&amp;" "&amp;T63))),ISNUMBER(SEARCH("banking",LOWER(F63&amp;" "&amp;H63&amp;" "&amp;I63&amp;" "&amp;M63&amp;" "&amp;N63&amp;" "&amp;T63)))),"PRIVATE_QUARANTINE",IF(OR(ISNUMBER(SEARCH("treasury",LOWER(F63&amp;" "&amp;H63&amp;" "&amp;I63&amp;" "&amp;M63&amp;" "&amp;N63&amp;" "&amp;T63))),ISNUMBER(SEARCH("debt",LOWER(F63&amp;" "&amp;H63&amp;" "&amp;I63&amp;" "&amp;M63&amp;" "&amp;N63&amp;" "&amp;T63))),ISNUMBER(SEARCH("bond",LOWER(F63&amp;" "&amp;H63&amp;" "&amp;I63&amp;" "&amp;M63&amp;" "&amp;N63&amp;" "&amp;T63))),ISNUMBER(SEARCH("transaction",LOWER(F63&amp;" "&amp;H63&amp;" "&amp;I63&amp;" "&amp;M63&amp;" "&amp;N63&amp;" "&amp;T63)))),"PRIVATE_REVIEW","PUBLIC_CANDIDATE"))</x:f>
        <x:v>PUBLIC_CANDIDATE</x:v>
      </x:c>
      <x:c r="AD63" s="12" t="str">
        <x:f>IF(AC63="PRIVATE_QUARANTINE","hacker_or_bank_trigger",IF(AC63="PRIVATE_REVIEW","finance_risk_trigger","none"))</x:f>
        <x:v>none</x:v>
      </x:c>
      <x:c r="AE63" s="12" t="str">
        <x:f>IF(AC63="PUBLIC_CANDIDATE","prepare_public_github_candidate",IF(AC63="PRIVATE_REVIEW","hold_for_private_review","quarantine_private_do_not_publish"))</x:f>
        <x:v>prepare_public_github_candidate</x:v>
      </x:c>
      <x:c r="AF63" s="12" t="str">
        <x:f>IF(AC63="PUBLIC_CANDIDATE","TIDELOCK + Lucerna",IF(AC63="PRIVATE_REVIEW","AtlasBrain + Lucerna","TIDELOCK + Lucerna + Human-root"))</x:f>
        <x:v>TIDELOCK + Lucerna</x:v>
      </x:c>
      <x:c r="AG63" s="12" t="str">
        <x:f>IF(AND(AC63="PUBLIC_CANDIDATE",U63&lt;&gt;"BLOCKED_PENDING_RECEIPT"),"READY_AFTER_RECEIPT","NOT_READY")</x:f>
        <x:v>NOT_READY</x:v>
      </x:c>
      <x:c r="AH63" s="12" t="str">
        <x:f>IF(AC63="PUBLIC_CANDIDATE","none",AD63)</x:f>
        <x:v>none</x:v>
      </x:c>
      <x:c r="AI63" s="12" t="str">
        <x:f>IF(AC63="PUBLIC_CANDIDATE","archive/public_candidates/"&amp;A63,"private_quarantine/"&amp;A63)</x:f>
        <x:v>archive/public_candidates/SWARM-01-H06-S02</x:v>
      </x:c>
      <x:c r="AJ63" s="12" t="str">
        <x:f>IF(AC63="PUBLIC_CANDIDATE","public by default; still not canon","private/hold; do not publish")</x:f>
        <x:v>public by default; still not canon</x:v>
      </x:c>
      <x:c r="AK63" s="12" t="str">
        <x:f>IF(AE63="prepare_public_github_candidate","add receipt/status then mirror","resolve blocker before any public GitHub action")</x:f>
        <x:v>add receipt/status then mirror</x:v>
      </x:c>
    </x:row>
    <x:row r="64">
      <x:c r="A64" s="15" t="str">
        <x:v>SWARM-01-H06-S03</x:v>
      </x:c>
      <x:c r="B64" s="15" t="str">
        <x:v>Ledgerwake</x:v>
      </x:c>
      <x:c r="C64" s="15" t="str">
        <x:v>Source receipt keeper</x:v>
      </x:c>
      <x:c r="D64" s="15" t="str">
        <x:v>Ontology / Schema</x:v>
      </x:c>
      <x:c r="E64" s="15" t="str">
        <x:v>GitHub</x:v>
      </x:c>
      <x:c r="F64" s="15" t="str">
        <x:v>Schema-map GitHub — Ledgerwake</x:v>
      </x:c>
      <x:c r="G64" s="15" t="str">
        <x:v>inventory / receipts / raw custody</x:v>
      </x:c>
      <x:c r="H64" s="15" t="str">
        <x:v>source path + receipt + raw/export status + claim/edge/risk delta</x:v>
      </x:c>
      <x:c r="I64" s="15" t="str">
        <x:v>packet/SWARM-01-H06-S03</x:v>
      </x:c>
      <x:c r="J64" s="15" t="str">
        <x:v>TODO</x:v>
      </x:c>
      <x:c r="K64" s="15" t="str">
        <x:v>P0</x:v>
      </x:c>
      <x:c r="L64" s="15" t="str">
        <x:v>Done only when evidence is logged, contradiction search is noted, and boundary stamp remains non-canon unless ratified</x:v>
      </x:c>
      <x:c r="M64" s="15" t="str">
        <x:v>candidate / staging-only / not canon / not deployed / authority none</x:v>
      </x:c>
      <x:c r="N64" s="15" t="str">
        <x:v>Dispatch to Ledgerwake: complete Ontology / Schema x GitHub; return deltas only, receipts required.</x:v>
      </x:c>
      <x:c r="O64" s="15" t="str">
        <x:v>AF-KG-H06-S03</x:v>
      </x:c>
      <x:c r="P64" s="15" t="str">
        <x:v>Unverified</x:v>
      </x:c>
      <x:c r="Q64" s="15" t="str">
        <x:v>Not checked</x:v>
      </x:c>
      <x:c r="R64" s="15" t="str"/>
      <x:c r="S64" s="15" t="str"/>
      <x:c r="T64" s="15" t="str">
        <x:v>Log first source path or blocker</x:v>
      </x:c>
      <x:c r="U64" s="12" t="str">
        <x:f>IF(OR(P64="Unverified",Q64="Not checked"),"BLOCKED_PENDING_RECEIPT","READY_FOR_REVIEW")</x:f>
        <x:v>BLOCKED_PENDING_RECEIPT</x:v>
      </x:c>
      <x:c r="V64" s="12" t="str">
        <x:f>IF(J64="DONE","RETURNED",IF(U64="BLOCKED_PENDING_RECEIPT","SOURCE_TOUCH_REQUIRED","IN_PROGRESS"))</x:f>
        <x:v>SOURCE_TOUCH_REQUIRED</x:v>
      </x:c>
      <x:c r="W64" s="12" t="str">
        <x:f>IF(P64="Unverified","missing_receipt","receipt_logged")</x:f>
        <x:v>missing_receipt</x:v>
      </x:c>
      <x:c r="X64" s="12" t="str">
        <x:f>IF(Q64="Not checked","raw_status_missing","raw_status_logged")</x:f>
        <x:v>raw_status_missing</x:v>
      </x:c>
      <x:c r="Y64" s="12" t="str">
        <x:f>IF(U64="BLOCKED_PENDING_RECEIPT","Log source path or blocker; do not promote","Route to review lane")</x:f>
        <x:v>Log source path or blocker; do not promote</x:v>
      </x:c>
      <x:c r="Z64" s="12" t="str">
        <x:f>IF(K64="P0","Primary seat + Hashlight/Lucerna","Seat lane")</x:f>
        <x:v>Primary seat + Hashlight/Lucerna</x:v>
      </x:c>
      <x:c r="AA64" s="12" t="str">
        <x:f>IF(R64="","no_claim_delta","claim_delta_present")</x:f>
        <x:v>no_claim_delta</x:v>
      </x:c>
      <x:c r="AB64" s="12" t="str">
        <x:f>IF(S64="","no_contradiction_delta","contradiction_delta_present")</x:f>
        <x:v>no_contradiction_delta</x:v>
      </x:c>
      <x:c r="AC64" s="12" t="str">
        <x:f>IF(OR(ISNUMBER(SEARCH("hacker",LOWER(F64&amp;" "&amp;H64&amp;" "&amp;I64&amp;" "&amp;M64&amp;" "&amp;N64&amp;" "&amp;T64))),ISNUMBER(SEARCH("hacking",LOWER(F64&amp;" "&amp;H64&amp;" "&amp;I64&amp;" "&amp;M64&amp;" "&amp;N64&amp;" "&amp;T64))),ISNUMBER(SEARCH("bank",LOWER(F64&amp;" "&amp;H64&amp;" "&amp;I64&amp;" "&amp;M64&amp;" "&amp;N64&amp;" "&amp;T64))),ISNUMBER(SEARCH("banking",LOWER(F64&amp;" "&amp;H64&amp;" "&amp;I64&amp;" "&amp;M64&amp;" "&amp;N64&amp;" "&amp;T64)))),"PRIVATE_QUARANTINE",IF(OR(ISNUMBER(SEARCH("treasury",LOWER(F64&amp;" "&amp;H64&amp;" "&amp;I64&amp;" "&amp;M64&amp;" "&amp;N64&amp;" "&amp;T64))),ISNUMBER(SEARCH("debt",LOWER(F64&amp;" "&amp;H64&amp;" "&amp;I64&amp;" "&amp;M64&amp;" "&amp;N64&amp;" "&amp;T64))),ISNUMBER(SEARCH("bond",LOWER(F64&amp;" "&amp;H64&amp;" "&amp;I64&amp;" "&amp;M64&amp;" "&amp;N64&amp;" "&amp;T64))),ISNUMBER(SEARCH("transaction",LOWER(F64&amp;" "&amp;H64&amp;" "&amp;I64&amp;" "&amp;M64&amp;" "&amp;N64&amp;" "&amp;T64)))),"PRIVATE_REVIEW","PUBLIC_CANDIDATE"))</x:f>
        <x:v>PUBLIC_CANDIDATE</x:v>
      </x:c>
      <x:c r="AD64" s="12" t="str">
        <x:f>IF(AC64="PRIVATE_QUARANTINE","hacker_or_bank_trigger",IF(AC64="PRIVATE_REVIEW","finance_risk_trigger","none"))</x:f>
        <x:v>none</x:v>
      </x:c>
      <x:c r="AE64" s="12" t="str">
        <x:f>IF(AC64="PUBLIC_CANDIDATE","prepare_public_github_candidate",IF(AC64="PRIVATE_REVIEW","hold_for_private_review","quarantine_private_do_not_publish"))</x:f>
        <x:v>prepare_public_github_candidate</x:v>
      </x:c>
      <x:c r="AF64" s="12" t="str">
        <x:f>IF(AC64="PUBLIC_CANDIDATE","TIDELOCK + Lucerna",IF(AC64="PRIVATE_REVIEW","AtlasBrain + Lucerna","TIDELOCK + Lucerna + Human-root"))</x:f>
        <x:v>TIDELOCK + Lucerna</x:v>
      </x:c>
      <x:c r="AG64" s="12" t="str">
        <x:f>IF(AND(AC64="PUBLIC_CANDIDATE",U64&lt;&gt;"BLOCKED_PENDING_RECEIPT"),"READY_AFTER_RECEIPT","NOT_READY")</x:f>
        <x:v>NOT_READY</x:v>
      </x:c>
      <x:c r="AH64" s="12" t="str">
        <x:f>IF(AC64="PUBLIC_CANDIDATE","none",AD64)</x:f>
        <x:v>none</x:v>
      </x:c>
      <x:c r="AI64" s="12" t="str">
        <x:f>IF(AC64="PUBLIC_CANDIDATE","archive/public_candidates/"&amp;A64,"private_quarantine/"&amp;A64)</x:f>
        <x:v>archive/public_candidates/SWARM-01-H06-S03</x:v>
      </x:c>
      <x:c r="AJ64" s="12" t="str">
        <x:f>IF(AC64="PUBLIC_CANDIDATE","public by default; still not canon","private/hold; do not publish")</x:f>
        <x:v>public by default; still not canon</x:v>
      </x:c>
      <x:c r="AK64" s="12" t="str">
        <x:f>IF(AE64="prepare_public_github_candidate","add receipt/status then mirror","resolve blocker before any public GitHub action")</x:f>
        <x:v>add receipt/status then mirror</x:v>
      </x:c>
    </x:row>
    <x:row r="65">
      <x:c r="A65" s="15" t="str">
        <x:v>SWARM-01-H06-S04</x:v>
      </x:c>
      <x:c r="B65" s="15" t="str">
        <x:v>Ledgerwake</x:v>
      </x:c>
      <x:c r="C65" s="15" t="str">
        <x:v>Source receipt keeper</x:v>
      </x:c>
      <x:c r="D65" s="15" t="str">
        <x:v>Ontology / Schema</x:v>
      </x:c>
      <x:c r="E65" s="15" t="str">
        <x:v>Gamma</x:v>
      </x:c>
      <x:c r="F65" s="15" t="str">
        <x:v>Schema-map Gamma — Ledgerwake</x:v>
      </x:c>
      <x:c r="G65" s="15" t="str">
        <x:v>inventory / receipts / raw custody</x:v>
      </x:c>
      <x:c r="H65" s="15" t="str">
        <x:v>source path + receipt + raw/export status + claim/edge/risk delta</x:v>
      </x:c>
      <x:c r="I65" s="15" t="str">
        <x:v>packet/SWARM-01-H06-S04</x:v>
      </x:c>
      <x:c r="J65" s="15" t="str">
        <x:v>TODO</x:v>
      </x:c>
      <x:c r="K65" s="15" t="str">
        <x:v>P1</x:v>
      </x:c>
      <x:c r="L65" s="15" t="str">
        <x:v>Done only when evidence is logged, contradiction search is noted, and boundary stamp remains non-canon unless ratified</x:v>
      </x:c>
      <x:c r="M65" s="15" t="str">
        <x:v>candidate / staging-only / not canon / not deployed / authority none</x:v>
      </x:c>
      <x:c r="N65" s="15" t="str">
        <x:v>Dispatch to Ledgerwake: complete Ontology / Schema x Gamma; return deltas only, receipts required.</x:v>
      </x:c>
      <x:c r="O65" s="15" t="str">
        <x:v>AF-KG-H06-S04</x:v>
      </x:c>
      <x:c r="P65" s="15" t="str">
        <x:v>Unverified</x:v>
      </x:c>
      <x:c r="Q65" s="15" t="str">
        <x:v>Not checked</x:v>
      </x:c>
      <x:c r="R65" s="15" t="str"/>
      <x:c r="S65" s="15" t="str"/>
      <x:c r="T65" s="15" t="str">
        <x:v>Log first source path or blocker</x:v>
      </x:c>
      <x:c r="U65" s="12" t="str">
        <x:f>IF(OR(P65="Unverified",Q65="Not checked"),"BLOCKED_PENDING_RECEIPT","READY_FOR_REVIEW")</x:f>
        <x:v>BLOCKED_PENDING_RECEIPT</x:v>
      </x:c>
      <x:c r="V65" s="12" t="str">
        <x:f>IF(J65="DONE","RETURNED",IF(U65="BLOCKED_PENDING_RECEIPT","SOURCE_TOUCH_REQUIRED","IN_PROGRESS"))</x:f>
        <x:v>SOURCE_TOUCH_REQUIRED</x:v>
      </x:c>
      <x:c r="W65" s="12" t="str">
        <x:f>IF(P65="Unverified","missing_receipt","receipt_logged")</x:f>
        <x:v>missing_receipt</x:v>
      </x:c>
      <x:c r="X65" s="12" t="str">
        <x:f>IF(Q65="Not checked","raw_status_missing","raw_status_logged")</x:f>
        <x:v>raw_status_missing</x:v>
      </x:c>
      <x:c r="Y65" s="12" t="str">
        <x:f>IF(U65="BLOCKED_PENDING_RECEIPT","Log source path or blocker; do not promote","Route to review lane")</x:f>
        <x:v>Log source path or blocker; do not promote</x:v>
      </x:c>
      <x:c r="Z65" s="12" t="str">
        <x:f>IF(K65="P0","Primary seat + Hashlight/Lucerna","Seat lane")</x:f>
        <x:v>Seat lane</x:v>
      </x:c>
      <x:c r="AA65" s="12" t="str">
        <x:f>IF(R65="","no_claim_delta","claim_delta_present")</x:f>
        <x:v>no_claim_delta</x:v>
      </x:c>
      <x:c r="AB65" s="12" t="str">
        <x:f>IF(S65="","no_contradiction_delta","contradiction_delta_present")</x:f>
        <x:v>no_contradiction_delta</x:v>
      </x:c>
      <x:c r="AC65" s="12" t="str">
        <x:f>IF(OR(ISNUMBER(SEARCH("hacker",LOWER(F65&amp;" "&amp;H65&amp;" "&amp;I65&amp;" "&amp;M65&amp;" "&amp;N65&amp;" "&amp;T65))),ISNUMBER(SEARCH("hacking",LOWER(F65&amp;" "&amp;H65&amp;" "&amp;I65&amp;" "&amp;M65&amp;" "&amp;N65&amp;" "&amp;T65))),ISNUMBER(SEARCH("bank",LOWER(F65&amp;" "&amp;H65&amp;" "&amp;I65&amp;" "&amp;M65&amp;" "&amp;N65&amp;" "&amp;T65))),ISNUMBER(SEARCH("banking",LOWER(F65&amp;" "&amp;H65&amp;" "&amp;I65&amp;" "&amp;M65&amp;" "&amp;N65&amp;" "&amp;T65)))),"PRIVATE_QUARANTINE",IF(OR(ISNUMBER(SEARCH("treasury",LOWER(F65&amp;" "&amp;H65&amp;" "&amp;I65&amp;" "&amp;M65&amp;" "&amp;N65&amp;" "&amp;T65))),ISNUMBER(SEARCH("debt",LOWER(F65&amp;" "&amp;H65&amp;" "&amp;I65&amp;" "&amp;M65&amp;" "&amp;N65&amp;" "&amp;T65))),ISNUMBER(SEARCH("bond",LOWER(F65&amp;" "&amp;H65&amp;" "&amp;I65&amp;" "&amp;M65&amp;" "&amp;N65&amp;" "&amp;T65))),ISNUMBER(SEARCH("transaction",LOWER(F65&amp;" "&amp;H65&amp;" "&amp;I65&amp;" "&amp;M65&amp;" "&amp;N65&amp;" "&amp;T65)))),"PRIVATE_REVIEW","PUBLIC_CANDIDATE"))</x:f>
        <x:v>PUBLIC_CANDIDATE</x:v>
      </x:c>
      <x:c r="AD65" s="12" t="str">
        <x:f>IF(AC65="PRIVATE_QUARANTINE","hacker_or_bank_trigger",IF(AC65="PRIVATE_REVIEW","finance_risk_trigger","none"))</x:f>
        <x:v>none</x:v>
      </x:c>
      <x:c r="AE65" s="12" t="str">
        <x:f>IF(AC65="PUBLIC_CANDIDATE","prepare_public_github_candidate",IF(AC65="PRIVATE_REVIEW","hold_for_private_review","quarantine_private_do_not_publish"))</x:f>
        <x:v>prepare_public_github_candidate</x:v>
      </x:c>
      <x:c r="AF65" s="12" t="str">
        <x:f>IF(AC65="PUBLIC_CANDIDATE","TIDELOCK + Lucerna",IF(AC65="PRIVATE_REVIEW","AtlasBrain + Lucerna","TIDELOCK + Lucerna + Human-root"))</x:f>
        <x:v>TIDELOCK + Lucerna</x:v>
      </x:c>
      <x:c r="AG65" s="12" t="str">
        <x:f>IF(AND(AC65="PUBLIC_CANDIDATE",U65&lt;&gt;"BLOCKED_PENDING_RECEIPT"),"READY_AFTER_RECEIPT","NOT_READY")</x:f>
        <x:v>NOT_READY</x:v>
      </x:c>
      <x:c r="AH65" s="12" t="str">
        <x:f>IF(AC65="PUBLIC_CANDIDATE","none",AD65)</x:f>
        <x:v>none</x:v>
      </x:c>
      <x:c r="AI65" s="12" t="str">
        <x:f>IF(AC65="PUBLIC_CANDIDATE","archive/public_candidates/"&amp;A65,"private_quarantine/"&amp;A65)</x:f>
        <x:v>archive/public_candidates/SWARM-01-H06-S04</x:v>
      </x:c>
      <x:c r="AJ65" s="12" t="str">
        <x:f>IF(AC65="PUBLIC_CANDIDATE","public by default; still not canon","private/hold; do not publish")</x:f>
        <x:v>public by default; still not canon</x:v>
      </x:c>
      <x:c r="AK65" s="12" t="str">
        <x:f>IF(AE65="prepare_public_github_candidate","add receipt/status then mirror","resolve blocker before any public GitHub action")</x:f>
        <x:v>add receipt/status then mirror</x:v>
      </x:c>
    </x:row>
    <x:row r="66">
      <x:c r="A66" s="15" t="str">
        <x:v>SWARM-01-H06-S05</x:v>
      </x:c>
      <x:c r="B66" s="15" t="str">
        <x:v>Ledgerwake</x:v>
      </x:c>
      <x:c r="C66" s="15" t="str">
        <x:v>Source receipt keeper</x:v>
      </x:c>
      <x:c r="D66" s="15" t="str">
        <x:v>Ontology / Schema</x:v>
      </x:c>
      <x:c r="E66" s="15" t="str">
        <x:v>Chat</x:v>
      </x:c>
      <x:c r="F66" s="15" t="str">
        <x:v>Schema-map Chat — Ledgerwake</x:v>
      </x:c>
      <x:c r="G66" s="15" t="str">
        <x:v>inventory / receipts / raw custody</x:v>
      </x:c>
      <x:c r="H66" s="15" t="str">
        <x:v>source path + receipt + raw/export status + claim/edge/risk delta</x:v>
      </x:c>
      <x:c r="I66" s="15" t="str">
        <x:v>packet/SWARM-01-H06-S05</x:v>
      </x:c>
      <x:c r="J66" s="15" t="str">
        <x:v>TODO</x:v>
      </x:c>
      <x:c r="K66" s="15" t="str">
        <x:v>P1</x:v>
      </x:c>
      <x:c r="L66" s="15" t="str">
        <x:v>Done only when evidence is logged, contradiction search is noted, and boundary stamp remains non-canon unless ratified</x:v>
      </x:c>
      <x:c r="M66" s="15" t="str">
        <x:v>candidate / staging-only / not canon / not deployed / authority none</x:v>
      </x:c>
      <x:c r="N66" s="15" t="str">
        <x:v>Dispatch to Ledgerwake: complete Ontology / Schema x Chat; return deltas only, receipts required.</x:v>
      </x:c>
      <x:c r="O66" s="15" t="str">
        <x:v>AF-KG-H06-S05</x:v>
      </x:c>
      <x:c r="P66" s="15" t="str">
        <x:v>Unverified</x:v>
      </x:c>
      <x:c r="Q66" s="15" t="str">
        <x:v>Not checked</x:v>
      </x:c>
      <x:c r="R66" s="15" t="str"/>
      <x:c r="S66" s="15" t="str"/>
      <x:c r="T66" s="15" t="str">
        <x:v>Log first source path or blocker</x:v>
      </x:c>
      <x:c r="U66" s="12" t="str">
        <x:f>IF(OR(P66="Unverified",Q66="Not checked"),"BLOCKED_PENDING_RECEIPT","READY_FOR_REVIEW")</x:f>
        <x:v>BLOCKED_PENDING_RECEIPT</x:v>
      </x:c>
      <x:c r="V66" s="12" t="str">
        <x:f>IF(J66="DONE","RETURNED",IF(U66="BLOCKED_PENDING_RECEIPT","SOURCE_TOUCH_REQUIRED","IN_PROGRESS"))</x:f>
        <x:v>SOURCE_TOUCH_REQUIRED</x:v>
      </x:c>
      <x:c r="W66" s="12" t="str">
        <x:f>IF(P66="Unverified","missing_receipt","receipt_logged")</x:f>
        <x:v>missing_receipt</x:v>
      </x:c>
      <x:c r="X66" s="12" t="str">
        <x:f>IF(Q66="Not checked","raw_status_missing","raw_status_logged")</x:f>
        <x:v>raw_status_missing</x:v>
      </x:c>
      <x:c r="Y66" s="12" t="str">
        <x:f>IF(U66="BLOCKED_PENDING_RECEIPT","Log source path or blocker; do not promote","Route to review lane")</x:f>
        <x:v>Log source path or blocker; do not promote</x:v>
      </x:c>
      <x:c r="Z66" s="12" t="str">
        <x:f>IF(K66="P0","Primary seat + Hashlight/Lucerna","Seat lane")</x:f>
        <x:v>Seat lane</x:v>
      </x:c>
      <x:c r="AA66" s="12" t="str">
        <x:f>IF(R66="","no_claim_delta","claim_delta_present")</x:f>
        <x:v>no_claim_delta</x:v>
      </x:c>
      <x:c r="AB66" s="12" t="str">
        <x:f>IF(S66="","no_contradiction_delta","contradiction_delta_present")</x:f>
        <x:v>no_contradiction_delta</x:v>
      </x:c>
      <x:c r="AC66" s="12" t="str">
        <x:f>IF(OR(ISNUMBER(SEARCH("hacker",LOWER(F66&amp;" "&amp;H66&amp;" "&amp;I66&amp;" "&amp;M66&amp;" "&amp;N66&amp;" "&amp;T66))),ISNUMBER(SEARCH("hacking",LOWER(F66&amp;" "&amp;H66&amp;" "&amp;I66&amp;" "&amp;M66&amp;" "&amp;N66&amp;" "&amp;T66))),ISNUMBER(SEARCH("bank",LOWER(F66&amp;" "&amp;H66&amp;" "&amp;I66&amp;" "&amp;M66&amp;" "&amp;N66&amp;" "&amp;T66))),ISNUMBER(SEARCH("banking",LOWER(F66&amp;" "&amp;H66&amp;" "&amp;I66&amp;" "&amp;M66&amp;" "&amp;N66&amp;" "&amp;T66)))),"PRIVATE_QUARANTINE",IF(OR(ISNUMBER(SEARCH("treasury",LOWER(F66&amp;" "&amp;H66&amp;" "&amp;I66&amp;" "&amp;M66&amp;" "&amp;N66&amp;" "&amp;T66))),ISNUMBER(SEARCH("debt",LOWER(F66&amp;" "&amp;H66&amp;" "&amp;I66&amp;" "&amp;M66&amp;" "&amp;N66&amp;" "&amp;T66))),ISNUMBER(SEARCH("bond",LOWER(F66&amp;" "&amp;H66&amp;" "&amp;I66&amp;" "&amp;M66&amp;" "&amp;N66&amp;" "&amp;T66))),ISNUMBER(SEARCH("transaction",LOWER(F66&amp;" "&amp;H66&amp;" "&amp;I66&amp;" "&amp;M66&amp;" "&amp;N66&amp;" "&amp;T66)))),"PRIVATE_REVIEW","PUBLIC_CANDIDATE"))</x:f>
        <x:v>PUBLIC_CANDIDATE</x:v>
      </x:c>
      <x:c r="AD66" s="12" t="str">
        <x:f>IF(AC66="PRIVATE_QUARANTINE","hacker_or_bank_trigger",IF(AC66="PRIVATE_REVIEW","finance_risk_trigger","none"))</x:f>
        <x:v>none</x:v>
      </x:c>
      <x:c r="AE66" s="12" t="str">
        <x:f>IF(AC66="PUBLIC_CANDIDATE","prepare_public_github_candidate",IF(AC66="PRIVATE_REVIEW","hold_for_private_review","quarantine_private_do_not_publish"))</x:f>
        <x:v>prepare_public_github_candidate</x:v>
      </x:c>
      <x:c r="AF66" s="12" t="str">
        <x:f>IF(AC66="PUBLIC_CANDIDATE","TIDELOCK + Lucerna",IF(AC66="PRIVATE_REVIEW","AtlasBrain + Lucerna","TIDELOCK + Lucerna + Human-root"))</x:f>
        <x:v>TIDELOCK + Lucerna</x:v>
      </x:c>
      <x:c r="AG66" s="12" t="str">
        <x:f>IF(AND(AC66="PUBLIC_CANDIDATE",U66&lt;&gt;"BLOCKED_PENDING_RECEIPT"),"READY_AFTER_RECEIPT","NOT_READY")</x:f>
        <x:v>NOT_READY</x:v>
      </x:c>
      <x:c r="AH66" s="12" t="str">
        <x:f>IF(AC66="PUBLIC_CANDIDATE","none",AD66)</x:f>
        <x:v>none</x:v>
      </x:c>
      <x:c r="AI66" s="12" t="str">
        <x:f>IF(AC66="PUBLIC_CANDIDATE","archive/public_candidates/"&amp;A66,"private_quarantine/"&amp;A66)</x:f>
        <x:v>archive/public_candidates/SWARM-01-H06-S05</x:v>
      </x:c>
      <x:c r="AJ66" s="12" t="str">
        <x:f>IF(AC66="PUBLIC_CANDIDATE","public by default; still not canon","private/hold; do not publish")</x:f>
        <x:v>public by default; still not canon</x:v>
      </x:c>
      <x:c r="AK66" s="12" t="str">
        <x:f>IF(AE66="prepare_public_github_candidate","add receipt/status then mirror","resolve blocker before any public GitHub action")</x:f>
        <x:v>add receipt/status then mirror</x:v>
      </x:c>
    </x:row>
    <x:row r="67">
      <x:c r="A67" s="15" t="str">
        <x:v>SWARM-01-H06-S06</x:v>
      </x:c>
      <x:c r="B67" s="15" t="str">
        <x:v>Ledgerwake</x:v>
      </x:c>
      <x:c r="C67" s="15" t="str">
        <x:v>Source receipt keeper</x:v>
      </x:c>
      <x:c r="D67" s="15" t="str">
        <x:v>Ontology / Schema</x:v>
      </x:c>
      <x:c r="E67" s="15" t="str">
        <x:v>External Web</x:v>
      </x:c>
      <x:c r="F67" s="15" t="str">
        <x:v>Schema-map External Web — Ledgerwake</x:v>
      </x:c>
      <x:c r="G67" s="15" t="str">
        <x:v>inventory / receipts / raw custody</x:v>
      </x:c>
      <x:c r="H67" s="15" t="str">
        <x:v>source path + receipt + raw/export status + claim/edge/risk delta</x:v>
      </x:c>
      <x:c r="I67" s="15" t="str">
        <x:v>packet/SWARM-01-H06-S06</x:v>
      </x:c>
      <x:c r="J67" s="15" t="str">
        <x:v>TODO</x:v>
      </x:c>
      <x:c r="K67" s="15" t="str">
        <x:v>P1</x:v>
      </x:c>
      <x:c r="L67" s="15" t="str">
        <x:v>Done only when evidence is logged, contradiction search is noted, and boundary stamp remains non-canon unless ratified</x:v>
      </x:c>
      <x:c r="M67" s="15" t="str">
        <x:v>candidate / staging-only / not canon / not deployed / authority none</x:v>
      </x:c>
      <x:c r="N67" s="15" t="str">
        <x:v>Dispatch to Ledgerwake: complete Ontology / Schema x External Web; return deltas only, receipts required.</x:v>
      </x:c>
      <x:c r="O67" s="15" t="str">
        <x:v>AF-KG-H06-S06</x:v>
      </x:c>
      <x:c r="P67" s="15" t="str">
        <x:v>Unverified</x:v>
      </x:c>
      <x:c r="Q67" s="15" t="str">
        <x:v>Not checked</x:v>
      </x:c>
      <x:c r="R67" s="15" t="str"/>
      <x:c r="S67" s="15" t="str"/>
      <x:c r="T67" s="15" t="str">
        <x:v>Log first source path or blocker</x:v>
      </x:c>
      <x:c r="U67" s="12" t="str">
        <x:f>IF(OR(P67="Unverified",Q67="Not checked"),"BLOCKED_PENDING_RECEIPT","READY_FOR_REVIEW")</x:f>
        <x:v>BLOCKED_PENDING_RECEIPT</x:v>
      </x:c>
      <x:c r="V67" s="12" t="str">
        <x:f>IF(J67="DONE","RETURNED",IF(U67="BLOCKED_PENDING_RECEIPT","SOURCE_TOUCH_REQUIRED","IN_PROGRESS"))</x:f>
        <x:v>SOURCE_TOUCH_REQUIRED</x:v>
      </x:c>
      <x:c r="W67" s="12" t="str">
        <x:f>IF(P67="Unverified","missing_receipt","receipt_logged")</x:f>
        <x:v>missing_receipt</x:v>
      </x:c>
      <x:c r="X67" s="12" t="str">
        <x:f>IF(Q67="Not checked","raw_status_missing","raw_status_logged")</x:f>
        <x:v>raw_status_missing</x:v>
      </x:c>
      <x:c r="Y67" s="12" t="str">
        <x:f>IF(U67="BLOCKED_PENDING_RECEIPT","Log source path or blocker; do not promote","Route to review lane")</x:f>
        <x:v>Log source path or blocker; do not promote</x:v>
      </x:c>
      <x:c r="Z67" s="12" t="str">
        <x:f>IF(K67="P0","Primary seat + Hashlight/Lucerna","Seat lane")</x:f>
        <x:v>Seat lane</x:v>
      </x:c>
      <x:c r="AA67" s="12" t="str">
        <x:f>IF(R67="","no_claim_delta","claim_delta_present")</x:f>
        <x:v>no_claim_delta</x:v>
      </x:c>
      <x:c r="AB67" s="12" t="str">
        <x:f>IF(S67="","no_contradiction_delta","contradiction_delta_present")</x:f>
        <x:v>no_contradiction_delta</x:v>
      </x:c>
      <x:c r="AC67" s="12" t="str">
        <x:f>IF(OR(ISNUMBER(SEARCH("hacker",LOWER(F67&amp;" "&amp;H67&amp;" "&amp;I67&amp;" "&amp;M67&amp;" "&amp;N67&amp;" "&amp;T67))),ISNUMBER(SEARCH("hacking",LOWER(F67&amp;" "&amp;H67&amp;" "&amp;I67&amp;" "&amp;M67&amp;" "&amp;N67&amp;" "&amp;T67))),ISNUMBER(SEARCH("bank",LOWER(F67&amp;" "&amp;H67&amp;" "&amp;I67&amp;" "&amp;M67&amp;" "&amp;N67&amp;" "&amp;T67))),ISNUMBER(SEARCH("banking",LOWER(F67&amp;" "&amp;H67&amp;" "&amp;I67&amp;" "&amp;M67&amp;" "&amp;N67&amp;" "&amp;T67)))),"PRIVATE_QUARANTINE",IF(OR(ISNUMBER(SEARCH("treasury",LOWER(F67&amp;" "&amp;H67&amp;" "&amp;I67&amp;" "&amp;M67&amp;" "&amp;N67&amp;" "&amp;T67))),ISNUMBER(SEARCH("debt",LOWER(F67&amp;" "&amp;H67&amp;" "&amp;I67&amp;" "&amp;M67&amp;" "&amp;N67&amp;" "&amp;T67))),ISNUMBER(SEARCH("bond",LOWER(F67&amp;" "&amp;H67&amp;" "&amp;I67&amp;" "&amp;M67&amp;" "&amp;N67&amp;" "&amp;T67))),ISNUMBER(SEARCH("transaction",LOWER(F67&amp;" "&amp;H67&amp;" "&amp;I67&amp;" "&amp;M67&amp;" "&amp;N67&amp;" "&amp;T67)))),"PRIVATE_REVIEW","PUBLIC_CANDIDATE"))</x:f>
        <x:v>PUBLIC_CANDIDATE</x:v>
      </x:c>
      <x:c r="AD67" s="12" t="str">
        <x:f>IF(AC67="PRIVATE_QUARANTINE","hacker_or_bank_trigger",IF(AC67="PRIVATE_REVIEW","finance_risk_trigger","none"))</x:f>
        <x:v>none</x:v>
      </x:c>
      <x:c r="AE67" s="12" t="str">
        <x:f>IF(AC67="PUBLIC_CANDIDATE","prepare_public_github_candidate",IF(AC67="PRIVATE_REVIEW","hold_for_private_review","quarantine_private_do_not_publish"))</x:f>
        <x:v>prepare_public_github_candidate</x:v>
      </x:c>
      <x:c r="AF67" s="12" t="str">
        <x:f>IF(AC67="PUBLIC_CANDIDATE","TIDELOCK + Lucerna",IF(AC67="PRIVATE_REVIEW","AtlasBrain + Lucerna","TIDELOCK + Lucerna + Human-root"))</x:f>
        <x:v>TIDELOCK + Lucerna</x:v>
      </x:c>
      <x:c r="AG67" s="12" t="str">
        <x:f>IF(AND(AC67="PUBLIC_CANDIDATE",U67&lt;&gt;"BLOCKED_PENDING_RECEIPT"),"READY_AFTER_RECEIPT","NOT_READY")</x:f>
        <x:v>NOT_READY</x:v>
      </x:c>
      <x:c r="AH67" s="12" t="str">
        <x:f>IF(AC67="PUBLIC_CANDIDATE","none",AD67)</x:f>
        <x:v>none</x:v>
      </x:c>
      <x:c r="AI67" s="12" t="str">
        <x:f>IF(AC67="PUBLIC_CANDIDATE","archive/public_candidates/"&amp;A67,"private_quarantine/"&amp;A67)</x:f>
        <x:v>archive/public_candidates/SWARM-01-H06-S06</x:v>
      </x:c>
      <x:c r="AJ67" s="12" t="str">
        <x:f>IF(AC67="PUBLIC_CANDIDATE","public by default; still not canon","private/hold; do not publish")</x:f>
        <x:v>public by default; still not canon</x:v>
      </x:c>
      <x:c r="AK67" s="12" t="str">
        <x:f>IF(AE67="prepare_public_github_candidate","add receipt/status then mirror","resolve blocker before any public GitHub action")</x:f>
        <x:v>add receipt/status then mirror</x:v>
      </x:c>
    </x:row>
    <x:row r="68">
      <x:c r="A68" s="15" t="str">
        <x:v>SWARM-01-H06-S07</x:v>
      </x:c>
      <x:c r="B68" s="15" t="str">
        <x:v>Ledgerwake</x:v>
      </x:c>
      <x:c r="C68" s="15" t="str">
        <x:v>Source receipt keeper</x:v>
      </x:c>
      <x:c r="D68" s="15" t="str">
        <x:v>Ontology / Schema</x:v>
      </x:c>
      <x:c r="E68" s="15" t="str">
        <x:v>Planetarium</x:v>
      </x:c>
      <x:c r="F68" s="15" t="str">
        <x:v>Schema-map Planetarium — Ledgerwake</x:v>
      </x:c>
      <x:c r="G68" s="15" t="str">
        <x:v>inventory / receipts / raw custody</x:v>
      </x:c>
      <x:c r="H68" s="15" t="str">
        <x:v>source path + receipt + raw/export status + claim/edge/risk delta</x:v>
      </x:c>
      <x:c r="I68" s="15" t="str">
        <x:v>packet/SWARM-01-H06-S07</x:v>
      </x:c>
      <x:c r="J68" s="15" t="str">
        <x:v>TODO</x:v>
      </x:c>
      <x:c r="K68" s="15" t="str">
        <x:v>P1</x:v>
      </x:c>
      <x:c r="L68" s="15" t="str">
        <x:v>Done only when evidence is logged, contradiction search is noted, and boundary stamp remains non-canon unless ratified</x:v>
      </x:c>
      <x:c r="M68" s="15" t="str">
        <x:v>candidate / staging-only / not canon / not deployed / authority none</x:v>
      </x:c>
      <x:c r="N68" s="15" t="str">
        <x:v>Dispatch to Ledgerwake: complete Ontology / Schema x Planetarium; return deltas only, receipts required.</x:v>
      </x:c>
      <x:c r="O68" s="15" t="str">
        <x:v>AF-KG-H06-S07</x:v>
      </x:c>
      <x:c r="P68" s="15" t="str">
        <x:v>Unverified</x:v>
      </x:c>
      <x:c r="Q68" s="15" t="str">
        <x:v>Not checked</x:v>
      </x:c>
      <x:c r="R68" s="15" t="str"/>
      <x:c r="S68" s="15" t="str"/>
      <x:c r="T68" s="15" t="str">
        <x:v>Log first source path or blocker</x:v>
      </x:c>
      <x:c r="U68" s="12" t="str">
        <x:f>IF(OR(P68="Unverified",Q68="Not checked"),"BLOCKED_PENDING_RECEIPT","READY_FOR_REVIEW")</x:f>
        <x:v>BLOCKED_PENDING_RECEIPT</x:v>
      </x:c>
      <x:c r="V68" s="12" t="str">
        <x:f>IF(J68="DONE","RETURNED",IF(U68="BLOCKED_PENDING_RECEIPT","SOURCE_TOUCH_REQUIRED","IN_PROGRESS"))</x:f>
        <x:v>SOURCE_TOUCH_REQUIRED</x:v>
      </x:c>
      <x:c r="W68" s="12" t="str">
        <x:f>IF(P68="Unverified","missing_receipt","receipt_logged")</x:f>
        <x:v>missing_receipt</x:v>
      </x:c>
      <x:c r="X68" s="12" t="str">
        <x:f>IF(Q68="Not checked","raw_status_missing","raw_status_logged")</x:f>
        <x:v>raw_status_missing</x:v>
      </x:c>
      <x:c r="Y68" s="12" t="str">
        <x:f>IF(U68="BLOCKED_PENDING_RECEIPT","Log source path or blocker; do not promote","Route to review lane")</x:f>
        <x:v>Log source path or blocker; do not promote</x:v>
      </x:c>
      <x:c r="Z68" s="12" t="str">
        <x:f>IF(K68="P0","Primary seat + Hashlight/Lucerna","Seat lane")</x:f>
        <x:v>Seat lane</x:v>
      </x:c>
      <x:c r="AA68" s="12" t="str">
        <x:f>IF(R68="","no_claim_delta","claim_delta_present")</x:f>
        <x:v>no_claim_delta</x:v>
      </x:c>
      <x:c r="AB68" s="12" t="str">
        <x:f>IF(S68="","no_contradiction_delta","contradiction_delta_present")</x:f>
        <x:v>no_contradiction_delta</x:v>
      </x:c>
      <x:c r="AC68" s="12" t="str">
        <x:f>IF(OR(ISNUMBER(SEARCH("hacker",LOWER(F68&amp;" "&amp;H68&amp;" "&amp;I68&amp;" "&amp;M68&amp;" "&amp;N68&amp;" "&amp;T68))),ISNUMBER(SEARCH("hacking",LOWER(F68&amp;" "&amp;H68&amp;" "&amp;I68&amp;" "&amp;M68&amp;" "&amp;N68&amp;" "&amp;T68))),ISNUMBER(SEARCH("bank",LOWER(F68&amp;" "&amp;H68&amp;" "&amp;I68&amp;" "&amp;M68&amp;" "&amp;N68&amp;" "&amp;T68))),ISNUMBER(SEARCH("banking",LOWER(F68&amp;" "&amp;H68&amp;" "&amp;I68&amp;" "&amp;M68&amp;" "&amp;N68&amp;" "&amp;T68)))),"PRIVATE_QUARANTINE",IF(OR(ISNUMBER(SEARCH("treasury",LOWER(F68&amp;" "&amp;H68&amp;" "&amp;I68&amp;" "&amp;M68&amp;" "&amp;N68&amp;" "&amp;T68))),ISNUMBER(SEARCH("debt",LOWER(F68&amp;" "&amp;H68&amp;" "&amp;I68&amp;" "&amp;M68&amp;" "&amp;N68&amp;" "&amp;T68))),ISNUMBER(SEARCH("bond",LOWER(F68&amp;" "&amp;H68&amp;" "&amp;I68&amp;" "&amp;M68&amp;" "&amp;N68&amp;" "&amp;T68))),ISNUMBER(SEARCH("transaction",LOWER(F68&amp;" "&amp;H68&amp;" "&amp;I68&amp;" "&amp;M68&amp;" "&amp;N68&amp;" "&amp;T68)))),"PRIVATE_REVIEW","PUBLIC_CANDIDATE"))</x:f>
        <x:v>PUBLIC_CANDIDATE</x:v>
      </x:c>
      <x:c r="AD68" s="12" t="str">
        <x:f>IF(AC68="PRIVATE_QUARANTINE","hacker_or_bank_trigger",IF(AC68="PRIVATE_REVIEW","finance_risk_trigger","none"))</x:f>
        <x:v>none</x:v>
      </x:c>
      <x:c r="AE68" s="12" t="str">
        <x:f>IF(AC68="PUBLIC_CANDIDATE","prepare_public_github_candidate",IF(AC68="PRIVATE_REVIEW","hold_for_private_review","quarantine_private_do_not_publish"))</x:f>
        <x:v>prepare_public_github_candidate</x:v>
      </x:c>
      <x:c r="AF68" s="12" t="str">
        <x:f>IF(AC68="PUBLIC_CANDIDATE","TIDELOCK + Lucerna",IF(AC68="PRIVATE_REVIEW","AtlasBrain + Lucerna","TIDELOCK + Lucerna + Human-root"))</x:f>
        <x:v>TIDELOCK + Lucerna</x:v>
      </x:c>
      <x:c r="AG68" s="12" t="str">
        <x:f>IF(AND(AC68="PUBLIC_CANDIDATE",U68&lt;&gt;"BLOCKED_PENDING_RECEIPT"),"READY_AFTER_RECEIPT","NOT_READY")</x:f>
        <x:v>NOT_READY</x:v>
      </x:c>
      <x:c r="AH68" s="12" t="str">
        <x:f>IF(AC68="PUBLIC_CANDIDATE","none",AD68)</x:f>
        <x:v>none</x:v>
      </x:c>
      <x:c r="AI68" s="12" t="str">
        <x:f>IF(AC68="PUBLIC_CANDIDATE","archive/public_candidates/"&amp;A68,"private_quarantine/"&amp;A68)</x:f>
        <x:v>archive/public_candidates/SWARM-01-H06-S07</x:v>
      </x:c>
      <x:c r="AJ68" s="12" t="str">
        <x:f>IF(AC68="PUBLIC_CANDIDATE","public by default; still not canon","private/hold; do not publish")</x:f>
        <x:v>public by default; still not canon</x:v>
      </x:c>
      <x:c r="AK68" s="12" t="str">
        <x:f>IF(AE68="prepare_public_github_candidate","add receipt/status then mirror","resolve blocker before any public GitHub action")</x:f>
        <x:v>add receipt/status then mirror</x:v>
      </x:c>
    </x:row>
    <x:row r="69">
      <x:c r="A69" s="15" t="str">
        <x:v>SWARM-01-H06-S08</x:v>
      </x:c>
      <x:c r="B69" s="15" t="str">
        <x:v>Ledgerwake</x:v>
      </x:c>
      <x:c r="C69" s="15" t="str">
        <x:v>Source receipt keeper</x:v>
      </x:c>
      <x:c r="D69" s="15" t="str">
        <x:v>Ontology / Schema</x:v>
      </x:c>
      <x:c r="E69" s="15" t="str">
        <x:v>Sheldonbrain</x:v>
      </x:c>
      <x:c r="F69" s="15" t="str">
        <x:v>Schema-map Sheldonbrain — Ledgerwake</x:v>
      </x:c>
      <x:c r="G69" s="15" t="str">
        <x:v>inventory / receipts / raw custody</x:v>
      </x:c>
      <x:c r="H69" s="15" t="str">
        <x:v>source path + receipt + raw/export status + claim/edge/risk delta</x:v>
      </x:c>
      <x:c r="I69" s="15" t="str">
        <x:v>packet/SWARM-01-H06-S08</x:v>
      </x:c>
      <x:c r="J69" s="15" t="str">
        <x:v>TODO</x:v>
      </x:c>
      <x:c r="K69" s="15" t="str">
        <x:v>P1</x:v>
      </x:c>
      <x:c r="L69" s="15" t="str">
        <x:v>Done only when evidence is logged, contradiction search is noted, and boundary stamp remains non-canon unless ratified</x:v>
      </x:c>
      <x:c r="M69" s="15" t="str">
        <x:v>candidate / staging-only / not canon / not deployed / authority none</x:v>
      </x:c>
      <x:c r="N69" s="15" t="str">
        <x:v>Dispatch to Ledgerwake: complete Ontology / Schema x Sheldonbrain; return deltas only, receipts required.</x:v>
      </x:c>
      <x:c r="O69" s="15" t="str">
        <x:v>AF-KG-H06-S08</x:v>
      </x:c>
      <x:c r="P69" s="15" t="str">
        <x:v>Unverified</x:v>
      </x:c>
      <x:c r="Q69" s="15" t="str">
        <x:v>Not checked</x:v>
      </x:c>
      <x:c r="R69" s="15" t="str"/>
      <x:c r="S69" s="15" t="str"/>
      <x:c r="T69" s="15" t="str">
        <x:v>Log first source path or blocker</x:v>
      </x:c>
      <x:c r="U69" s="12" t="str">
        <x:f>IF(OR(P69="Unverified",Q69="Not checked"),"BLOCKED_PENDING_RECEIPT","READY_FOR_REVIEW")</x:f>
        <x:v>BLOCKED_PENDING_RECEIPT</x:v>
      </x:c>
      <x:c r="V69" s="12" t="str">
        <x:f>IF(J69="DONE","RETURNED",IF(U69="BLOCKED_PENDING_RECEIPT","SOURCE_TOUCH_REQUIRED","IN_PROGRESS"))</x:f>
        <x:v>SOURCE_TOUCH_REQUIRED</x:v>
      </x:c>
      <x:c r="W69" s="12" t="str">
        <x:f>IF(P69="Unverified","missing_receipt","receipt_logged")</x:f>
        <x:v>missing_receipt</x:v>
      </x:c>
      <x:c r="X69" s="12" t="str">
        <x:f>IF(Q69="Not checked","raw_status_missing","raw_status_logged")</x:f>
        <x:v>raw_status_missing</x:v>
      </x:c>
      <x:c r="Y69" s="12" t="str">
        <x:f>IF(U69="BLOCKED_PENDING_RECEIPT","Log source path or blocker; do not promote","Route to review lane")</x:f>
        <x:v>Log source path or blocker; do not promote</x:v>
      </x:c>
      <x:c r="Z69" s="12" t="str">
        <x:f>IF(K69="P0","Primary seat + Hashlight/Lucerna","Seat lane")</x:f>
        <x:v>Seat lane</x:v>
      </x:c>
      <x:c r="AA69" s="12" t="str">
        <x:f>IF(R69="","no_claim_delta","claim_delta_present")</x:f>
        <x:v>no_claim_delta</x:v>
      </x:c>
      <x:c r="AB69" s="12" t="str">
        <x:f>IF(S69="","no_contradiction_delta","contradiction_delta_present")</x:f>
        <x:v>no_contradiction_delta</x:v>
      </x:c>
      <x:c r="AC69" s="12" t="str">
        <x:f>IF(OR(ISNUMBER(SEARCH("hacker",LOWER(F69&amp;" "&amp;H69&amp;" "&amp;I69&amp;" "&amp;M69&amp;" "&amp;N69&amp;" "&amp;T69))),ISNUMBER(SEARCH("hacking",LOWER(F69&amp;" "&amp;H69&amp;" "&amp;I69&amp;" "&amp;M69&amp;" "&amp;N69&amp;" "&amp;T69))),ISNUMBER(SEARCH("bank",LOWER(F69&amp;" "&amp;H69&amp;" "&amp;I69&amp;" "&amp;M69&amp;" "&amp;N69&amp;" "&amp;T69))),ISNUMBER(SEARCH("banking",LOWER(F69&amp;" "&amp;H69&amp;" "&amp;I69&amp;" "&amp;M69&amp;" "&amp;N69&amp;" "&amp;T69)))),"PRIVATE_QUARANTINE",IF(OR(ISNUMBER(SEARCH("treasury",LOWER(F69&amp;" "&amp;H69&amp;" "&amp;I69&amp;" "&amp;M69&amp;" "&amp;N69&amp;" "&amp;T69))),ISNUMBER(SEARCH("debt",LOWER(F69&amp;" "&amp;H69&amp;" "&amp;I69&amp;" "&amp;M69&amp;" "&amp;N69&amp;" "&amp;T69))),ISNUMBER(SEARCH("bond",LOWER(F69&amp;" "&amp;H69&amp;" "&amp;I69&amp;" "&amp;M69&amp;" "&amp;N69&amp;" "&amp;T69))),ISNUMBER(SEARCH("transaction",LOWER(F69&amp;" "&amp;H69&amp;" "&amp;I69&amp;" "&amp;M69&amp;" "&amp;N69&amp;" "&amp;T69)))),"PRIVATE_REVIEW","PUBLIC_CANDIDATE"))</x:f>
        <x:v>PUBLIC_CANDIDATE</x:v>
      </x:c>
      <x:c r="AD69" s="12" t="str">
        <x:f>IF(AC69="PRIVATE_QUARANTINE","hacker_or_bank_trigger",IF(AC69="PRIVATE_REVIEW","finance_risk_trigger","none"))</x:f>
        <x:v>none</x:v>
      </x:c>
      <x:c r="AE69" s="12" t="str">
        <x:f>IF(AC69="PUBLIC_CANDIDATE","prepare_public_github_candidate",IF(AC69="PRIVATE_REVIEW","hold_for_private_review","quarantine_private_do_not_publish"))</x:f>
        <x:v>prepare_public_github_candidate</x:v>
      </x:c>
      <x:c r="AF69" s="12" t="str">
        <x:f>IF(AC69="PUBLIC_CANDIDATE","TIDELOCK + Lucerna",IF(AC69="PRIVATE_REVIEW","AtlasBrain + Lucerna","TIDELOCK + Lucerna + Human-root"))</x:f>
        <x:v>TIDELOCK + Lucerna</x:v>
      </x:c>
      <x:c r="AG69" s="12" t="str">
        <x:f>IF(AND(AC69="PUBLIC_CANDIDATE",U69&lt;&gt;"BLOCKED_PENDING_RECEIPT"),"READY_AFTER_RECEIPT","NOT_READY")</x:f>
        <x:v>NOT_READY</x:v>
      </x:c>
      <x:c r="AH69" s="12" t="str">
        <x:f>IF(AC69="PUBLIC_CANDIDATE","none",AD69)</x:f>
        <x:v>none</x:v>
      </x:c>
      <x:c r="AI69" s="12" t="str">
        <x:f>IF(AC69="PUBLIC_CANDIDATE","archive/public_candidates/"&amp;A69,"private_quarantine/"&amp;A69)</x:f>
        <x:v>archive/public_candidates/SWARM-01-H06-S08</x:v>
      </x:c>
      <x:c r="AJ69" s="12" t="str">
        <x:f>IF(AC69="PUBLIC_CANDIDATE","public by default; still not canon","private/hold; do not publish")</x:f>
        <x:v>public by default; still not canon</x:v>
      </x:c>
      <x:c r="AK69" s="12" t="str">
        <x:f>IF(AE69="prepare_public_github_candidate","add receipt/status then mirror","resolve blocker before any public GitHub action")</x:f>
        <x:v>add receipt/status then mirror</x:v>
      </x:c>
    </x:row>
    <x:row r="70">
      <x:c r="A70" s="15" t="str">
        <x:v>SWARM-01-H06-S09</x:v>
      </x:c>
      <x:c r="B70" s="15" t="str">
        <x:v>Ledgerwake</x:v>
      </x:c>
      <x:c r="C70" s="15" t="str">
        <x:v>Source receipt keeper</x:v>
      </x:c>
      <x:c r="D70" s="15" t="str">
        <x:v>Ontology / Schema</x:v>
      </x:c>
      <x:c r="E70" s="15" t="str">
        <x:v>Aetherforge</x:v>
      </x:c>
      <x:c r="F70" s="15" t="str">
        <x:v>Schema-map Aetherforge — Ledgerwake</x:v>
      </x:c>
      <x:c r="G70" s="15" t="str">
        <x:v>inventory / receipts / raw custody</x:v>
      </x:c>
      <x:c r="H70" s="15" t="str">
        <x:v>source path + receipt + raw/export status + claim/edge/risk delta</x:v>
      </x:c>
      <x:c r="I70" s="15" t="str">
        <x:v>packet/SWARM-01-H06-S09</x:v>
      </x:c>
      <x:c r="J70" s="15" t="str">
        <x:v>TODO</x:v>
      </x:c>
      <x:c r="K70" s="15" t="str">
        <x:v>P2</x:v>
      </x:c>
      <x:c r="L70" s="15" t="str">
        <x:v>Done only when evidence is logged, contradiction search is noted, and boundary stamp remains non-canon unless ratified</x:v>
      </x:c>
      <x:c r="M70" s="15" t="str">
        <x:v>candidate / staging-only / not canon / not deployed / authority none</x:v>
      </x:c>
      <x:c r="N70" s="15" t="str">
        <x:v>Dispatch to Ledgerwake: complete Ontology / Schema x Aetherforge; return deltas only, receipts required.</x:v>
      </x:c>
      <x:c r="O70" s="15" t="str">
        <x:v>AF-KG-H06-S09</x:v>
      </x:c>
      <x:c r="P70" s="15" t="str">
        <x:v>Unverified</x:v>
      </x:c>
      <x:c r="Q70" s="15" t="str">
        <x:v>Not checked</x:v>
      </x:c>
      <x:c r="R70" s="15" t="str"/>
      <x:c r="S70" s="15" t="str"/>
      <x:c r="T70" s="15" t="str">
        <x:v>Log first source path or blocker</x:v>
      </x:c>
      <x:c r="U70" s="12" t="str">
        <x:f>IF(OR(P70="Unverified",Q70="Not checked"),"BLOCKED_PENDING_RECEIPT","READY_FOR_REVIEW")</x:f>
        <x:v>BLOCKED_PENDING_RECEIPT</x:v>
      </x:c>
      <x:c r="V70" s="12" t="str">
        <x:f>IF(J70="DONE","RETURNED",IF(U70="BLOCKED_PENDING_RECEIPT","SOURCE_TOUCH_REQUIRED","IN_PROGRESS"))</x:f>
        <x:v>SOURCE_TOUCH_REQUIRED</x:v>
      </x:c>
      <x:c r="W70" s="12" t="str">
        <x:f>IF(P70="Unverified","missing_receipt","receipt_logged")</x:f>
        <x:v>missing_receipt</x:v>
      </x:c>
      <x:c r="X70" s="12" t="str">
        <x:f>IF(Q70="Not checked","raw_status_missing","raw_status_logged")</x:f>
        <x:v>raw_status_missing</x:v>
      </x:c>
      <x:c r="Y70" s="12" t="str">
        <x:f>IF(U70="BLOCKED_PENDING_RECEIPT","Log source path or blocker; do not promote","Route to review lane")</x:f>
        <x:v>Log source path or blocker; do not promote</x:v>
      </x:c>
      <x:c r="Z70" s="12" t="str">
        <x:f>IF(K70="P0","Primary seat + Hashlight/Lucerna","Seat lane")</x:f>
        <x:v>Seat lane</x:v>
      </x:c>
      <x:c r="AA70" s="12" t="str">
        <x:f>IF(R70="","no_claim_delta","claim_delta_present")</x:f>
        <x:v>no_claim_delta</x:v>
      </x:c>
      <x:c r="AB70" s="12" t="str">
        <x:f>IF(S70="","no_contradiction_delta","contradiction_delta_present")</x:f>
        <x:v>no_contradiction_delta</x:v>
      </x:c>
      <x:c r="AC70" s="12" t="str">
        <x:f>IF(OR(ISNUMBER(SEARCH("hacker",LOWER(F70&amp;" "&amp;H70&amp;" "&amp;I70&amp;" "&amp;M70&amp;" "&amp;N70&amp;" "&amp;T70))),ISNUMBER(SEARCH("hacking",LOWER(F70&amp;" "&amp;H70&amp;" "&amp;I70&amp;" "&amp;M70&amp;" "&amp;N70&amp;" "&amp;T70))),ISNUMBER(SEARCH("bank",LOWER(F70&amp;" "&amp;H70&amp;" "&amp;I70&amp;" "&amp;M70&amp;" "&amp;N70&amp;" "&amp;T70))),ISNUMBER(SEARCH("banking",LOWER(F70&amp;" "&amp;H70&amp;" "&amp;I70&amp;" "&amp;M70&amp;" "&amp;N70&amp;" "&amp;T70)))),"PRIVATE_QUARANTINE",IF(OR(ISNUMBER(SEARCH("treasury",LOWER(F70&amp;" "&amp;H70&amp;" "&amp;I70&amp;" "&amp;M70&amp;" "&amp;N70&amp;" "&amp;T70))),ISNUMBER(SEARCH("debt",LOWER(F70&amp;" "&amp;H70&amp;" "&amp;I70&amp;" "&amp;M70&amp;" "&amp;N70&amp;" "&amp;T70))),ISNUMBER(SEARCH("bond",LOWER(F70&amp;" "&amp;H70&amp;" "&amp;I70&amp;" "&amp;M70&amp;" "&amp;N70&amp;" "&amp;T70))),ISNUMBER(SEARCH("transaction",LOWER(F70&amp;" "&amp;H70&amp;" "&amp;I70&amp;" "&amp;M70&amp;" "&amp;N70&amp;" "&amp;T70)))),"PRIVATE_REVIEW","PUBLIC_CANDIDATE"))</x:f>
        <x:v>PUBLIC_CANDIDATE</x:v>
      </x:c>
      <x:c r="AD70" s="12" t="str">
        <x:f>IF(AC70="PRIVATE_QUARANTINE","hacker_or_bank_trigger",IF(AC70="PRIVATE_REVIEW","finance_risk_trigger","none"))</x:f>
        <x:v>none</x:v>
      </x:c>
      <x:c r="AE70" s="12" t="str">
        <x:f>IF(AC70="PUBLIC_CANDIDATE","prepare_public_github_candidate",IF(AC70="PRIVATE_REVIEW","hold_for_private_review","quarantine_private_do_not_publish"))</x:f>
        <x:v>prepare_public_github_candidate</x:v>
      </x:c>
      <x:c r="AF70" s="12" t="str">
        <x:f>IF(AC70="PUBLIC_CANDIDATE","TIDELOCK + Lucerna",IF(AC70="PRIVATE_REVIEW","AtlasBrain + Lucerna","TIDELOCK + Lucerna + Human-root"))</x:f>
        <x:v>TIDELOCK + Lucerna</x:v>
      </x:c>
      <x:c r="AG70" s="12" t="str">
        <x:f>IF(AND(AC70="PUBLIC_CANDIDATE",U70&lt;&gt;"BLOCKED_PENDING_RECEIPT"),"READY_AFTER_RECEIPT","NOT_READY")</x:f>
        <x:v>NOT_READY</x:v>
      </x:c>
      <x:c r="AH70" s="12" t="str">
        <x:f>IF(AC70="PUBLIC_CANDIDATE","none",AD70)</x:f>
        <x:v>none</x:v>
      </x:c>
      <x:c r="AI70" s="12" t="str">
        <x:f>IF(AC70="PUBLIC_CANDIDATE","archive/public_candidates/"&amp;A70,"private_quarantine/"&amp;A70)</x:f>
        <x:v>archive/public_candidates/SWARM-01-H06-S09</x:v>
      </x:c>
      <x:c r="AJ70" s="12" t="str">
        <x:f>IF(AC70="PUBLIC_CANDIDATE","public by default; still not canon","private/hold; do not publish")</x:f>
        <x:v>public by default; still not canon</x:v>
      </x:c>
      <x:c r="AK70" s="12" t="str">
        <x:f>IF(AE70="prepare_public_github_candidate","add receipt/status then mirror","resolve blocker before any public GitHub action")</x:f>
        <x:v>add receipt/status then mirror</x:v>
      </x:c>
    </x:row>
    <x:row r="71">
      <x:c r="A71" s="15" t="str">
        <x:v>SWARM-01-H06-S10</x:v>
      </x:c>
      <x:c r="B71" s="15" t="str">
        <x:v>Ledgerwake</x:v>
      </x:c>
      <x:c r="C71" s="15" t="str">
        <x:v>Source receipt keeper</x:v>
      </x:c>
      <x:c r="D71" s="15" t="str">
        <x:v>Ontology / Schema</x:v>
      </x:c>
      <x:c r="E71" s="15" t="str">
        <x:v>Human-Root</x:v>
      </x:c>
      <x:c r="F71" s="15" t="str">
        <x:v>Schema-map Human-Root — Ledgerwake</x:v>
      </x:c>
      <x:c r="G71" s="15" t="str">
        <x:v>inventory / receipts / raw custody</x:v>
      </x:c>
      <x:c r="H71" s="15" t="str">
        <x:v>source path + receipt + raw/export status + claim/edge/risk delta</x:v>
      </x:c>
      <x:c r="I71" s="15" t="str">
        <x:v>packet/SWARM-01-H06-S10</x:v>
      </x:c>
      <x:c r="J71" s="15" t="str">
        <x:v>TODO</x:v>
      </x:c>
      <x:c r="K71" s="15" t="str">
        <x:v>P2</x:v>
      </x:c>
      <x:c r="L71" s="15" t="str">
        <x:v>Done only when evidence is logged, contradiction search is noted, and boundary stamp remains non-canon unless ratified</x:v>
      </x:c>
      <x:c r="M71" s="15" t="str">
        <x:v>candidate / staging-only / not canon / not deployed / authority none</x:v>
      </x:c>
      <x:c r="N71" s="15" t="str">
        <x:v>Dispatch to Ledgerwake: complete Ontology / Schema x Human-Root; return deltas only, receipts required.</x:v>
      </x:c>
      <x:c r="O71" s="15" t="str">
        <x:v>AF-KG-H06-S10</x:v>
      </x:c>
      <x:c r="P71" s="15" t="str">
        <x:v>Unverified</x:v>
      </x:c>
      <x:c r="Q71" s="15" t="str">
        <x:v>Not checked</x:v>
      </x:c>
      <x:c r="R71" s="15" t="str"/>
      <x:c r="S71" s="15" t="str"/>
      <x:c r="T71" s="15" t="str">
        <x:v>Log first source path or blocker</x:v>
      </x:c>
      <x:c r="U71" s="12" t="str">
        <x:f>IF(OR(P71="Unverified",Q71="Not checked"),"BLOCKED_PENDING_RECEIPT","READY_FOR_REVIEW")</x:f>
        <x:v>BLOCKED_PENDING_RECEIPT</x:v>
      </x:c>
      <x:c r="V71" s="12" t="str">
        <x:f>IF(J71="DONE","RETURNED",IF(U71="BLOCKED_PENDING_RECEIPT","SOURCE_TOUCH_REQUIRED","IN_PROGRESS"))</x:f>
        <x:v>SOURCE_TOUCH_REQUIRED</x:v>
      </x:c>
      <x:c r="W71" s="12" t="str">
        <x:f>IF(P71="Unverified","missing_receipt","receipt_logged")</x:f>
        <x:v>missing_receipt</x:v>
      </x:c>
      <x:c r="X71" s="12" t="str">
        <x:f>IF(Q71="Not checked","raw_status_missing","raw_status_logged")</x:f>
        <x:v>raw_status_missing</x:v>
      </x:c>
      <x:c r="Y71" s="12" t="str">
        <x:f>IF(U71="BLOCKED_PENDING_RECEIPT","Log source path or blocker; do not promote","Route to review lane")</x:f>
        <x:v>Log source path or blocker; do not promote</x:v>
      </x:c>
      <x:c r="Z71" s="12" t="str">
        <x:f>IF(K71="P0","Primary seat + Hashlight/Lucerna","Seat lane")</x:f>
        <x:v>Seat lane</x:v>
      </x:c>
      <x:c r="AA71" s="12" t="str">
        <x:f>IF(R71="","no_claim_delta","claim_delta_present")</x:f>
        <x:v>no_claim_delta</x:v>
      </x:c>
      <x:c r="AB71" s="12" t="str">
        <x:f>IF(S71="","no_contradiction_delta","contradiction_delta_present")</x:f>
        <x:v>no_contradiction_delta</x:v>
      </x:c>
      <x:c r="AC71" s="12" t="str">
        <x:f>IF(OR(ISNUMBER(SEARCH("hacker",LOWER(F71&amp;" "&amp;H71&amp;" "&amp;I71&amp;" "&amp;M71&amp;" "&amp;N71&amp;" "&amp;T71))),ISNUMBER(SEARCH("hacking",LOWER(F71&amp;" "&amp;H71&amp;" "&amp;I71&amp;" "&amp;M71&amp;" "&amp;N71&amp;" "&amp;T71))),ISNUMBER(SEARCH("bank",LOWER(F71&amp;" "&amp;H71&amp;" "&amp;I71&amp;" "&amp;M71&amp;" "&amp;N71&amp;" "&amp;T71))),ISNUMBER(SEARCH("banking",LOWER(F71&amp;" "&amp;H71&amp;" "&amp;I71&amp;" "&amp;M71&amp;" "&amp;N71&amp;" "&amp;T71)))),"PRIVATE_QUARANTINE",IF(OR(ISNUMBER(SEARCH("treasury",LOWER(F71&amp;" "&amp;H71&amp;" "&amp;I71&amp;" "&amp;M71&amp;" "&amp;N71&amp;" "&amp;T71))),ISNUMBER(SEARCH("debt",LOWER(F71&amp;" "&amp;H71&amp;" "&amp;I71&amp;" "&amp;M71&amp;" "&amp;N71&amp;" "&amp;T71))),ISNUMBER(SEARCH("bond",LOWER(F71&amp;" "&amp;H71&amp;" "&amp;I71&amp;" "&amp;M71&amp;" "&amp;N71&amp;" "&amp;T71))),ISNUMBER(SEARCH("transaction",LOWER(F71&amp;" "&amp;H71&amp;" "&amp;I71&amp;" "&amp;M71&amp;" "&amp;N71&amp;" "&amp;T71)))),"PRIVATE_REVIEW","PUBLIC_CANDIDATE"))</x:f>
        <x:v>PUBLIC_CANDIDATE</x:v>
      </x:c>
      <x:c r="AD71" s="12" t="str">
        <x:f>IF(AC71="PRIVATE_QUARANTINE","hacker_or_bank_trigger",IF(AC71="PRIVATE_REVIEW","finance_risk_trigger","none"))</x:f>
        <x:v>none</x:v>
      </x:c>
      <x:c r="AE71" s="12" t="str">
        <x:f>IF(AC71="PUBLIC_CANDIDATE","prepare_public_github_candidate",IF(AC71="PRIVATE_REVIEW","hold_for_private_review","quarantine_private_do_not_publish"))</x:f>
        <x:v>prepare_public_github_candidate</x:v>
      </x:c>
      <x:c r="AF71" s="12" t="str">
        <x:f>IF(AC71="PUBLIC_CANDIDATE","TIDELOCK + Lucerna",IF(AC71="PRIVATE_REVIEW","AtlasBrain + Lucerna","TIDELOCK + Lucerna + Human-root"))</x:f>
        <x:v>TIDELOCK + Lucerna</x:v>
      </x:c>
      <x:c r="AG71" s="12" t="str">
        <x:f>IF(AND(AC71="PUBLIC_CANDIDATE",U71&lt;&gt;"BLOCKED_PENDING_RECEIPT"),"READY_AFTER_RECEIPT","NOT_READY")</x:f>
        <x:v>NOT_READY</x:v>
      </x:c>
      <x:c r="AH71" s="12" t="str">
        <x:f>IF(AC71="PUBLIC_CANDIDATE","none",AD71)</x:f>
        <x:v>none</x:v>
      </x:c>
      <x:c r="AI71" s="12" t="str">
        <x:f>IF(AC71="PUBLIC_CANDIDATE","archive/public_candidates/"&amp;A71,"private_quarantine/"&amp;A71)</x:f>
        <x:v>archive/public_candidates/SWARM-01-H06-S10</x:v>
      </x:c>
      <x:c r="AJ71" s="12" t="str">
        <x:f>IF(AC71="PUBLIC_CANDIDATE","public by default; still not canon","private/hold; do not publish")</x:f>
        <x:v>public by default; still not canon</x:v>
      </x:c>
      <x:c r="AK71" s="12" t="str">
        <x:f>IF(AE71="prepare_public_github_candidate","add receipt/status then mirror","resolve blocker before any public GitHub action")</x:f>
        <x:v>add receipt/status then mirror</x:v>
      </x:c>
    </x:row>
    <x:row r="72">
      <x:c r="A72" s="15" t="str">
        <x:v>SWARM-01-H06-S11</x:v>
      </x:c>
      <x:c r="B72" s="15" t="str">
        <x:v>Ledgerwake</x:v>
      </x:c>
      <x:c r="C72" s="15" t="str">
        <x:v>Source receipt keeper</x:v>
      </x:c>
      <x:c r="D72" s="15" t="str">
        <x:v>Ontology / Schema</x:v>
      </x:c>
      <x:c r="E72" s="15" t="str">
        <x:v>Automation</x:v>
      </x:c>
      <x:c r="F72" s="15" t="str">
        <x:v>Schema-map Automation — Ledgerwake</x:v>
      </x:c>
      <x:c r="G72" s="15" t="str">
        <x:v>inventory / receipts / raw custody</x:v>
      </x:c>
      <x:c r="H72" s="15" t="str">
        <x:v>source path + receipt + raw/export status + claim/edge/risk delta</x:v>
      </x:c>
      <x:c r="I72" s="15" t="str">
        <x:v>packet/SWARM-01-H06-S11</x:v>
      </x:c>
      <x:c r="J72" s="15" t="str">
        <x:v>TODO</x:v>
      </x:c>
      <x:c r="K72" s="15" t="str">
        <x:v>P2</x:v>
      </x:c>
      <x:c r="L72" s="15" t="str">
        <x:v>Done only when evidence is logged, contradiction search is noted, and boundary stamp remains non-canon unless ratified</x:v>
      </x:c>
      <x:c r="M72" s="15" t="str">
        <x:v>candidate / staging-only / not canon / not deployed / authority none</x:v>
      </x:c>
      <x:c r="N72" s="15" t="str">
        <x:v>Dispatch to Ledgerwake: complete Ontology / Schema x Automation; return deltas only, receipts required.</x:v>
      </x:c>
      <x:c r="O72" s="15" t="str">
        <x:v>AF-KG-H06-S11</x:v>
      </x:c>
      <x:c r="P72" s="15" t="str">
        <x:v>Unverified</x:v>
      </x:c>
      <x:c r="Q72" s="15" t="str">
        <x:v>Not checked</x:v>
      </x:c>
      <x:c r="R72" s="15" t="str"/>
      <x:c r="S72" s="15" t="str"/>
      <x:c r="T72" s="15" t="str">
        <x:v>Log first source path or blocker</x:v>
      </x:c>
      <x:c r="U72" s="12" t="str">
        <x:f>IF(OR(P72="Unverified",Q72="Not checked"),"BLOCKED_PENDING_RECEIPT","READY_FOR_REVIEW")</x:f>
        <x:v>BLOCKED_PENDING_RECEIPT</x:v>
      </x:c>
      <x:c r="V72" s="12" t="str">
        <x:f>IF(J72="DONE","RETURNED",IF(U72="BLOCKED_PENDING_RECEIPT","SOURCE_TOUCH_REQUIRED","IN_PROGRESS"))</x:f>
        <x:v>SOURCE_TOUCH_REQUIRED</x:v>
      </x:c>
      <x:c r="W72" s="12" t="str">
        <x:f>IF(P72="Unverified","missing_receipt","receipt_logged")</x:f>
        <x:v>missing_receipt</x:v>
      </x:c>
      <x:c r="X72" s="12" t="str">
        <x:f>IF(Q72="Not checked","raw_status_missing","raw_status_logged")</x:f>
        <x:v>raw_status_missing</x:v>
      </x:c>
      <x:c r="Y72" s="12" t="str">
        <x:f>IF(U72="BLOCKED_PENDING_RECEIPT","Log source path or blocker; do not promote","Route to review lane")</x:f>
        <x:v>Log source path or blocker; do not promote</x:v>
      </x:c>
      <x:c r="Z72" s="12" t="str">
        <x:f>IF(K72="P0","Primary seat + Hashlight/Lucerna","Seat lane")</x:f>
        <x:v>Seat lane</x:v>
      </x:c>
      <x:c r="AA72" s="12" t="str">
        <x:f>IF(R72="","no_claim_delta","claim_delta_present")</x:f>
        <x:v>no_claim_delta</x:v>
      </x:c>
      <x:c r="AB72" s="12" t="str">
        <x:f>IF(S72="","no_contradiction_delta","contradiction_delta_present")</x:f>
        <x:v>no_contradiction_delta</x:v>
      </x:c>
      <x:c r="AC72" s="12" t="str">
        <x:f>IF(OR(ISNUMBER(SEARCH("hacker",LOWER(F72&amp;" "&amp;H72&amp;" "&amp;I72&amp;" "&amp;M72&amp;" "&amp;N72&amp;" "&amp;T72))),ISNUMBER(SEARCH("hacking",LOWER(F72&amp;" "&amp;H72&amp;" "&amp;I72&amp;" "&amp;M72&amp;" "&amp;N72&amp;" "&amp;T72))),ISNUMBER(SEARCH("bank",LOWER(F72&amp;" "&amp;H72&amp;" "&amp;I72&amp;" "&amp;M72&amp;" "&amp;N72&amp;" "&amp;T72))),ISNUMBER(SEARCH("banking",LOWER(F72&amp;" "&amp;H72&amp;" "&amp;I72&amp;" "&amp;M72&amp;" "&amp;N72&amp;" "&amp;T72)))),"PRIVATE_QUARANTINE",IF(OR(ISNUMBER(SEARCH("treasury",LOWER(F72&amp;" "&amp;H72&amp;" "&amp;I72&amp;" "&amp;M72&amp;" "&amp;N72&amp;" "&amp;T72))),ISNUMBER(SEARCH("debt",LOWER(F72&amp;" "&amp;H72&amp;" "&amp;I72&amp;" "&amp;M72&amp;" "&amp;N72&amp;" "&amp;T72))),ISNUMBER(SEARCH("bond",LOWER(F72&amp;" "&amp;H72&amp;" "&amp;I72&amp;" "&amp;M72&amp;" "&amp;N72&amp;" "&amp;T72))),ISNUMBER(SEARCH("transaction",LOWER(F72&amp;" "&amp;H72&amp;" "&amp;I72&amp;" "&amp;M72&amp;" "&amp;N72&amp;" "&amp;T72)))),"PRIVATE_REVIEW","PUBLIC_CANDIDATE"))</x:f>
        <x:v>PUBLIC_CANDIDATE</x:v>
      </x:c>
      <x:c r="AD72" s="12" t="str">
        <x:f>IF(AC72="PRIVATE_QUARANTINE","hacker_or_bank_trigger",IF(AC72="PRIVATE_REVIEW","finance_risk_trigger","none"))</x:f>
        <x:v>none</x:v>
      </x:c>
      <x:c r="AE72" s="12" t="str">
        <x:f>IF(AC72="PUBLIC_CANDIDATE","prepare_public_github_candidate",IF(AC72="PRIVATE_REVIEW","hold_for_private_review","quarantine_private_do_not_publish"))</x:f>
        <x:v>prepare_public_github_candidate</x:v>
      </x:c>
      <x:c r="AF72" s="12" t="str">
        <x:f>IF(AC72="PUBLIC_CANDIDATE","TIDELOCK + Lucerna",IF(AC72="PRIVATE_REVIEW","AtlasBrain + Lucerna","TIDELOCK + Lucerna + Human-root"))</x:f>
        <x:v>TIDELOCK + Lucerna</x:v>
      </x:c>
      <x:c r="AG72" s="12" t="str">
        <x:f>IF(AND(AC72="PUBLIC_CANDIDATE",U72&lt;&gt;"BLOCKED_PENDING_RECEIPT"),"READY_AFTER_RECEIPT","NOT_READY")</x:f>
        <x:v>NOT_READY</x:v>
      </x:c>
      <x:c r="AH72" s="12" t="str">
        <x:f>IF(AC72="PUBLIC_CANDIDATE","none",AD72)</x:f>
        <x:v>none</x:v>
      </x:c>
      <x:c r="AI72" s="12" t="str">
        <x:f>IF(AC72="PUBLIC_CANDIDATE","archive/public_candidates/"&amp;A72,"private_quarantine/"&amp;A72)</x:f>
        <x:v>archive/public_candidates/SWARM-01-H06-S11</x:v>
      </x:c>
      <x:c r="AJ72" s="12" t="str">
        <x:f>IF(AC72="PUBLIC_CANDIDATE","public by default; still not canon","private/hold; do not publish")</x:f>
        <x:v>public by default; still not canon</x:v>
      </x:c>
      <x:c r="AK72" s="12" t="str">
        <x:f>IF(AE72="prepare_public_github_candidate","add receipt/status then mirror","resolve blocker before any public GitHub action")</x:f>
        <x:v>add receipt/status then mirror</x:v>
      </x:c>
    </x:row>
    <x:row r="73">
      <x:c r="A73" s="15" t="str">
        <x:v>SWARM-01-H06-S12</x:v>
      </x:c>
      <x:c r="B73" s="15" t="str">
        <x:v>Ledgerwake</x:v>
      </x:c>
      <x:c r="C73" s="15" t="str">
        <x:v>Source receipt keeper</x:v>
      </x:c>
      <x:c r="D73" s="15" t="str">
        <x:v>Ontology / Schema</x:v>
      </x:c>
      <x:c r="E73" s="15" t="str">
        <x:v>Risk / Safety</x:v>
      </x:c>
      <x:c r="F73" s="15" t="str">
        <x:v>Schema-map Risk / Safety — Ledgerwake</x:v>
      </x:c>
      <x:c r="G73" s="15" t="str">
        <x:v>inventory / receipts / raw custody</x:v>
      </x:c>
      <x:c r="H73" s="15" t="str">
        <x:v>source path + receipt + raw/export status + claim/edge/risk delta</x:v>
      </x:c>
      <x:c r="I73" s="15" t="str">
        <x:v>packet/SWARM-01-H06-S12</x:v>
      </x:c>
      <x:c r="J73" s="15" t="str">
        <x:v>TODO</x:v>
      </x:c>
      <x:c r="K73" s="15" t="str">
        <x:v>P2</x:v>
      </x:c>
      <x:c r="L73" s="15" t="str">
        <x:v>Done only when evidence is logged, contradiction search is noted, and boundary stamp remains non-canon unless ratified</x:v>
      </x:c>
      <x:c r="M73" s="15" t="str">
        <x:v>candidate / staging-only / not canon / not deployed / authority none</x:v>
      </x:c>
      <x:c r="N73" s="15" t="str">
        <x:v>Dispatch to Ledgerwake: complete Ontology / Schema x Risk / Safety; return deltas only, receipts required.</x:v>
      </x:c>
      <x:c r="O73" s="15" t="str">
        <x:v>AF-KG-H06-S12</x:v>
      </x:c>
      <x:c r="P73" s="15" t="str">
        <x:v>Unverified</x:v>
      </x:c>
      <x:c r="Q73" s="15" t="str">
        <x:v>Not checked</x:v>
      </x:c>
      <x:c r="R73" s="15" t="str"/>
      <x:c r="S73" s="15" t="str"/>
      <x:c r="T73" s="15" t="str">
        <x:v>Log first source path or blocker</x:v>
      </x:c>
      <x:c r="U73" s="12" t="str">
        <x:f>IF(OR(P73="Unverified",Q73="Not checked"),"BLOCKED_PENDING_RECEIPT","READY_FOR_REVIEW")</x:f>
        <x:v>BLOCKED_PENDING_RECEIPT</x:v>
      </x:c>
      <x:c r="V73" s="12" t="str">
        <x:f>IF(J73="DONE","RETURNED",IF(U73="BLOCKED_PENDING_RECEIPT","SOURCE_TOUCH_REQUIRED","IN_PROGRESS"))</x:f>
        <x:v>SOURCE_TOUCH_REQUIRED</x:v>
      </x:c>
      <x:c r="W73" s="12" t="str">
        <x:f>IF(P73="Unverified","missing_receipt","receipt_logged")</x:f>
        <x:v>missing_receipt</x:v>
      </x:c>
      <x:c r="X73" s="12" t="str">
        <x:f>IF(Q73="Not checked","raw_status_missing","raw_status_logged")</x:f>
        <x:v>raw_status_missing</x:v>
      </x:c>
      <x:c r="Y73" s="12" t="str">
        <x:f>IF(U73="BLOCKED_PENDING_RECEIPT","Log source path or blocker; do not promote","Route to review lane")</x:f>
        <x:v>Log source path or blocker; do not promote</x:v>
      </x:c>
      <x:c r="Z73" s="12" t="str">
        <x:f>IF(K73="P0","Primary seat + Hashlight/Lucerna","Seat lane")</x:f>
        <x:v>Seat lane</x:v>
      </x:c>
      <x:c r="AA73" s="12" t="str">
        <x:f>IF(R73="","no_claim_delta","claim_delta_present")</x:f>
        <x:v>no_claim_delta</x:v>
      </x:c>
      <x:c r="AB73" s="12" t="str">
        <x:f>IF(S73="","no_contradiction_delta","contradiction_delta_present")</x:f>
        <x:v>no_contradiction_delta</x:v>
      </x:c>
      <x:c r="AC73" s="12" t="str">
        <x:f>IF(OR(ISNUMBER(SEARCH("hacker",LOWER(F73&amp;" "&amp;H73&amp;" "&amp;I73&amp;" "&amp;M73&amp;" "&amp;N73&amp;" "&amp;T73))),ISNUMBER(SEARCH("hacking",LOWER(F73&amp;" "&amp;H73&amp;" "&amp;I73&amp;" "&amp;M73&amp;" "&amp;N73&amp;" "&amp;T73))),ISNUMBER(SEARCH("bank",LOWER(F73&amp;" "&amp;H73&amp;" "&amp;I73&amp;" "&amp;M73&amp;" "&amp;N73&amp;" "&amp;T73))),ISNUMBER(SEARCH("banking",LOWER(F73&amp;" "&amp;H73&amp;" "&amp;I73&amp;" "&amp;M73&amp;" "&amp;N73&amp;" "&amp;T73)))),"PRIVATE_QUARANTINE",IF(OR(ISNUMBER(SEARCH("treasury",LOWER(F73&amp;" "&amp;H73&amp;" "&amp;I73&amp;" "&amp;M73&amp;" "&amp;N73&amp;" "&amp;T73))),ISNUMBER(SEARCH("debt",LOWER(F73&amp;" "&amp;H73&amp;" "&amp;I73&amp;" "&amp;M73&amp;" "&amp;N73&amp;" "&amp;T73))),ISNUMBER(SEARCH("bond",LOWER(F73&amp;" "&amp;H73&amp;" "&amp;I73&amp;" "&amp;M73&amp;" "&amp;N73&amp;" "&amp;T73))),ISNUMBER(SEARCH("transaction",LOWER(F73&amp;" "&amp;H73&amp;" "&amp;I73&amp;" "&amp;M73&amp;" "&amp;N73&amp;" "&amp;T73)))),"PRIVATE_REVIEW","PUBLIC_CANDIDATE"))</x:f>
        <x:v>PUBLIC_CANDIDATE</x:v>
      </x:c>
      <x:c r="AD73" s="12" t="str">
        <x:f>IF(AC73="PRIVATE_QUARANTINE","hacker_or_bank_trigger",IF(AC73="PRIVATE_REVIEW","finance_risk_trigger","none"))</x:f>
        <x:v>none</x:v>
      </x:c>
      <x:c r="AE73" s="12" t="str">
        <x:f>IF(AC73="PUBLIC_CANDIDATE","prepare_public_github_candidate",IF(AC73="PRIVATE_REVIEW","hold_for_private_review","quarantine_private_do_not_publish"))</x:f>
        <x:v>prepare_public_github_candidate</x:v>
      </x:c>
      <x:c r="AF73" s="12" t="str">
        <x:f>IF(AC73="PUBLIC_CANDIDATE","TIDELOCK + Lucerna",IF(AC73="PRIVATE_REVIEW","AtlasBrain + Lucerna","TIDELOCK + Lucerna + Human-root"))</x:f>
        <x:v>TIDELOCK + Lucerna</x:v>
      </x:c>
      <x:c r="AG73" s="12" t="str">
        <x:f>IF(AND(AC73="PUBLIC_CANDIDATE",U73&lt;&gt;"BLOCKED_PENDING_RECEIPT"),"READY_AFTER_RECEIPT","NOT_READY")</x:f>
        <x:v>NOT_READY</x:v>
      </x:c>
      <x:c r="AH73" s="12" t="str">
        <x:f>IF(AC73="PUBLIC_CANDIDATE","none",AD73)</x:f>
        <x:v>none</x:v>
      </x:c>
      <x:c r="AI73" s="12" t="str">
        <x:f>IF(AC73="PUBLIC_CANDIDATE","archive/public_candidates/"&amp;A73,"private_quarantine/"&amp;A73)</x:f>
        <x:v>archive/public_candidates/SWARM-01-H06-S12</x:v>
      </x:c>
      <x:c r="AJ73" s="12" t="str">
        <x:f>IF(AC73="PUBLIC_CANDIDATE","public by default; still not canon","private/hold; do not publish")</x:f>
        <x:v>public by default; still not canon</x:v>
      </x:c>
      <x:c r="AK73" s="12" t="str">
        <x:f>IF(AE73="prepare_public_github_candidate","add receipt/status then mirror","resolve blocker before any public GitHub action")</x:f>
        <x:v>add receipt/status then mirror</x:v>
      </x:c>
    </x:row>
    <x:row r="74">
      <x:c r="A74" s="15" t="str">
        <x:v>SWARM-01-H07-S01</x:v>
      </x:c>
      <x:c r="B74" s="15" t="str">
        <x:v>Ledgerwake</x:v>
      </x:c>
      <x:c r="C74" s="15" t="str">
        <x:v>Source receipt keeper</x:v>
      </x:c>
      <x:c r="D74" s="15" t="str">
        <x:v>Graph Node Proposals</x:v>
      </x:c>
      <x:c r="E74" s="15" t="str">
        <x:v>Notion</x:v>
      </x:c>
      <x:c r="F74" s="15" t="str">
        <x:v>Propose graph nodes for Notion — Ledgerwake</x:v>
      </x:c>
      <x:c r="G74" s="15" t="str">
        <x:v>inventory / receipts / raw custody</x:v>
      </x:c>
      <x:c r="H74" s="15" t="str">
        <x:v>source path + receipt + raw/export status + claim/edge/risk delta</x:v>
      </x:c>
      <x:c r="I74" s="15" t="str">
        <x:v>packet/SWARM-01-H07-S01</x:v>
      </x:c>
      <x:c r="J74" s="15" t="str">
        <x:v>TODO</x:v>
      </x:c>
      <x:c r="K74" s="15" t="str">
        <x:v>P0</x:v>
      </x:c>
      <x:c r="L74" s="15" t="str">
        <x:v>Done only when evidence is logged, contradiction search is noted, and boundary stamp remains non-canon unless ratified</x:v>
      </x:c>
      <x:c r="M74" s="15" t="str">
        <x:v>candidate / staging-only / not canon / not deployed / authority none</x:v>
      </x:c>
      <x:c r="N74" s="15" t="str">
        <x:v>Dispatch to Ledgerwake: complete Graph Node Proposals x Notion; return deltas only, receipts required.</x:v>
      </x:c>
      <x:c r="O74" s="15" t="str">
        <x:v>AF-KG-H07-S01</x:v>
      </x:c>
      <x:c r="P74" s="15" t="str">
        <x:v>Unverified</x:v>
      </x:c>
      <x:c r="Q74" s="15" t="str">
        <x:v>Not checked</x:v>
      </x:c>
      <x:c r="R74" s="15" t="str"/>
      <x:c r="S74" s="15" t="str"/>
      <x:c r="T74" s="15" t="str">
        <x:v>Log first source path or blocker</x:v>
      </x:c>
      <x:c r="U74" s="12" t="str">
        <x:f>IF(OR(P74="Unverified",Q74="Not checked"),"BLOCKED_PENDING_RECEIPT","READY_FOR_REVIEW")</x:f>
        <x:v>BLOCKED_PENDING_RECEIPT</x:v>
      </x:c>
      <x:c r="V74" s="12" t="str">
        <x:f>IF(J74="DONE","RETURNED",IF(U74="BLOCKED_PENDING_RECEIPT","SOURCE_TOUCH_REQUIRED","IN_PROGRESS"))</x:f>
        <x:v>SOURCE_TOUCH_REQUIRED</x:v>
      </x:c>
      <x:c r="W74" s="12" t="str">
        <x:f>IF(P74="Unverified","missing_receipt","receipt_logged")</x:f>
        <x:v>missing_receipt</x:v>
      </x:c>
      <x:c r="X74" s="12" t="str">
        <x:f>IF(Q74="Not checked","raw_status_missing","raw_status_logged")</x:f>
        <x:v>raw_status_missing</x:v>
      </x:c>
      <x:c r="Y74" s="12" t="str">
        <x:f>IF(U74="BLOCKED_PENDING_RECEIPT","Log source path or blocker; do not promote","Route to review lane")</x:f>
        <x:v>Log source path or blocker; do not promote</x:v>
      </x:c>
      <x:c r="Z74" s="12" t="str">
        <x:f>IF(K74="P0","Primary seat + Hashlight/Lucerna","Seat lane")</x:f>
        <x:v>Primary seat + Hashlight/Lucerna</x:v>
      </x:c>
      <x:c r="AA74" s="12" t="str">
        <x:f>IF(R74="","no_claim_delta","claim_delta_present")</x:f>
        <x:v>no_claim_delta</x:v>
      </x:c>
      <x:c r="AB74" s="12" t="str">
        <x:f>IF(S74="","no_contradiction_delta","contradiction_delta_present")</x:f>
        <x:v>no_contradiction_delta</x:v>
      </x:c>
      <x:c r="AC74" s="12" t="str">
        <x:f>IF(OR(ISNUMBER(SEARCH("hacker",LOWER(F74&amp;" "&amp;H74&amp;" "&amp;I74&amp;" "&amp;M74&amp;" "&amp;N74&amp;" "&amp;T74))),ISNUMBER(SEARCH("hacking",LOWER(F74&amp;" "&amp;H74&amp;" "&amp;I74&amp;" "&amp;M74&amp;" "&amp;N74&amp;" "&amp;T74))),ISNUMBER(SEARCH("bank",LOWER(F74&amp;" "&amp;H74&amp;" "&amp;I74&amp;" "&amp;M74&amp;" "&amp;N74&amp;" "&amp;T74))),ISNUMBER(SEARCH("banking",LOWER(F74&amp;" "&amp;H74&amp;" "&amp;I74&amp;" "&amp;M74&amp;" "&amp;N74&amp;" "&amp;T74)))),"PRIVATE_QUARANTINE",IF(OR(ISNUMBER(SEARCH("treasury",LOWER(F74&amp;" "&amp;H74&amp;" "&amp;I74&amp;" "&amp;M74&amp;" "&amp;N74&amp;" "&amp;T74))),ISNUMBER(SEARCH("debt",LOWER(F74&amp;" "&amp;H74&amp;" "&amp;I74&amp;" "&amp;M74&amp;" "&amp;N74&amp;" "&amp;T74))),ISNUMBER(SEARCH("bond",LOWER(F74&amp;" "&amp;H74&amp;" "&amp;I74&amp;" "&amp;M74&amp;" "&amp;N74&amp;" "&amp;T74))),ISNUMBER(SEARCH("transaction",LOWER(F74&amp;" "&amp;H74&amp;" "&amp;I74&amp;" "&amp;M74&amp;" "&amp;N74&amp;" "&amp;T74)))),"PRIVATE_REVIEW","PUBLIC_CANDIDATE"))</x:f>
        <x:v>PUBLIC_CANDIDATE</x:v>
      </x:c>
      <x:c r="AD74" s="12" t="str">
        <x:f>IF(AC74="PRIVATE_QUARANTINE","hacker_or_bank_trigger",IF(AC74="PRIVATE_REVIEW","finance_risk_trigger","none"))</x:f>
        <x:v>none</x:v>
      </x:c>
      <x:c r="AE74" s="12" t="str">
        <x:f>IF(AC74="PUBLIC_CANDIDATE","prepare_public_github_candidate",IF(AC74="PRIVATE_REVIEW","hold_for_private_review","quarantine_private_do_not_publish"))</x:f>
        <x:v>prepare_public_github_candidate</x:v>
      </x:c>
      <x:c r="AF74" s="12" t="str">
        <x:f>IF(AC74="PUBLIC_CANDIDATE","TIDELOCK + Lucerna",IF(AC74="PRIVATE_REVIEW","AtlasBrain + Lucerna","TIDELOCK + Lucerna + Human-root"))</x:f>
        <x:v>TIDELOCK + Lucerna</x:v>
      </x:c>
      <x:c r="AG74" s="12" t="str">
        <x:f>IF(AND(AC74="PUBLIC_CANDIDATE",U74&lt;&gt;"BLOCKED_PENDING_RECEIPT"),"READY_AFTER_RECEIPT","NOT_READY")</x:f>
        <x:v>NOT_READY</x:v>
      </x:c>
      <x:c r="AH74" s="12" t="str">
        <x:f>IF(AC74="PUBLIC_CANDIDATE","none",AD74)</x:f>
        <x:v>none</x:v>
      </x:c>
      <x:c r="AI74" s="12" t="str">
        <x:f>IF(AC74="PUBLIC_CANDIDATE","archive/public_candidates/"&amp;A74,"private_quarantine/"&amp;A74)</x:f>
        <x:v>archive/public_candidates/SWARM-01-H07-S01</x:v>
      </x:c>
      <x:c r="AJ74" s="12" t="str">
        <x:f>IF(AC74="PUBLIC_CANDIDATE","public by default; still not canon","private/hold; do not publish")</x:f>
        <x:v>public by default; still not canon</x:v>
      </x:c>
      <x:c r="AK74" s="12" t="str">
        <x:f>IF(AE74="prepare_public_github_candidate","add receipt/status then mirror","resolve blocker before any public GitHub action")</x:f>
        <x:v>add receipt/status then mirror</x:v>
      </x:c>
    </x:row>
    <x:row r="75">
      <x:c r="A75" s="15" t="str">
        <x:v>SWARM-01-H07-S02</x:v>
      </x:c>
      <x:c r="B75" s="15" t="str">
        <x:v>Ledgerwake</x:v>
      </x:c>
      <x:c r="C75" s="15" t="str">
        <x:v>Source receipt keeper</x:v>
      </x:c>
      <x:c r="D75" s="15" t="str">
        <x:v>Graph Node Proposals</x:v>
      </x:c>
      <x:c r="E75" s="15" t="str">
        <x:v>Drive</x:v>
      </x:c>
      <x:c r="F75" s="15" t="str">
        <x:v>Propose graph nodes for Drive — Ledgerwake</x:v>
      </x:c>
      <x:c r="G75" s="15" t="str">
        <x:v>inventory / receipts / raw custody</x:v>
      </x:c>
      <x:c r="H75" s="15" t="str">
        <x:v>source path + receipt + raw/export status + claim/edge/risk delta</x:v>
      </x:c>
      <x:c r="I75" s="15" t="str">
        <x:v>packet/SWARM-01-H07-S02</x:v>
      </x:c>
      <x:c r="J75" s="15" t="str">
        <x:v>TODO</x:v>
      </x:c>
      <x:c r="K75" s="15" t="str">
        <x:v>P0</x:v>
      </x:c>
      <x:c r="L75" s="15" t="str">
        <x:v>Done only when evidence is logged, contradiction search is noted, and boundary stamp remains non-canon unless ratified</x:v>
      </x:c>
      <x:c r="M75" s="15" t="str">
        <x:v>candidate / staging-only / not canon / not deployed / authority none</x:v>
      </x:c>
      <x:c r="N75" s="15" t="str">
        <x:v>Dispatch to Ledgerwake: complete Graph Node Proposals x Drive; return deltas only, receipts required.</x:v>
      </x:c>
      <x:c r="O75" s="15" t="str">
        <x:v>AF-KG-H07-S02</x:v>
      </x:c>
      <x:c r="P75" s="15" t="str">
        <x:v>Unverified</x:v>
      </x:c>
      <x:c r="Q75" s="15" t="str">
        <x:v>Not checked</x:v>
      </x:c>
      <x:c r="R75" s="15" t="str"/>
      <x:c r="S75" s="15" t="str"/>
      <x:c r="T75" s="15" t="str">
        <x:v>Log first source path or blocker</x:v>
      </x:c>
      <x:c r="U75" s="12" t="str">
        <x:f>IF(OR(P75="Unverified",Q75="Not checked"),"BLOCKED_PENDING_RECEIPT","READY_FOR_REVIEW")</x:f>
        <x:v>BLOCKED_PENDING_RECEIPT</x:v>
      </x:c>
      <x:c r="V75" s="12" t="str">
        <x:f>IF(J75="DONE","RETURNED",IF(U75="BLOCKED_PENDING_RECEIPT","SOURCE_TOUCH_REQUIRED","IN_PROGRESS"))</x:f>
        <x:v>SOURCE_TOUCH_REQUIRED</x:v>
      </x:c>
      <x:c r="W75" s="12" t="str">
        <x:f>IF(P75="Unverified","missing_receipt","receipt_logged")</x:f>
        <x:v>missing_receipt</x:v>
      </x:c>
      <x:c r="X75" s="12" t="str">
        <x:f>IF(Q75="Not checked","raw_status_missing","raw_status_logged")</x:f>
        <x:v>raw_status_missing</x:v>
      </x:c>
      <x:c r="Y75" s="12" t="str">
        <x:f>IF(U75="BLOCKED_PENDING_RECEIPT","Log source path or blocker; do not promote","Route to review lane")</x:f>
        <x:v>Log source path or blocker; do not promote</x:v>
      </x:c>
      <x:c r="Z75" s="12" t="str">
        <x:f>IF(K75="P0","Primary seat + Hashlight/Lucerna","Seat lane")</x:f>
        <x:v>Primary seat + Hashlight/Lucerna</x:v>
      </x:c>
      <x:c r="AA75" s="12" t="str">
        <x:f>IF(R75="","no_claim_delta","claim_delta_present")</x:f>
        <x:v>no_claim_delta</x:v>
      </x:c>
      <x:c r="AB75" s="12" t="str">
        <x:f>IF(S75="","no_contradiction_delta","contradiction_delta_present")</x:f>
        <x:v>no_contradiction_delta</x:v>
      </x:c>
      <x:c r="AC75" s="12" t="str">
        <x:f>IF(OR(ISNUMBER(SEARCH("hacker",LOWER(F75&amp;" "&amp;H75&amp;" "&amp;I75&amp;" "&amp;M75&amp;" "&amp;N75&amp;" "&amp;T75))),ISNUMBER(SEARCH("hacking",LOWER(F75&amp;" "&amp;H75&amp;" "&amp;I75&amp;" "&amp;M75&amp;" "&amp;N75&amp;" "&amp;T75))),ISNUMBER(SEARCH("bank",LOWER(F75&amp;" "&amp;H75&amp;" "&amp;I75&amp;" "&amp;M75&amp;" "&amp;N75&amp;" "&amp;T75))),ISNUMBER(SEARCH("banking",LOWER(F75&amp;" "&amp;H75&amp;" "&amp;I75&amp;" "&amp;M75&amp;" "&amp;N75&amp;" "&amp;T75)))),"PRIVATE_QUARANTINE",IF(OR(ISNUMBER(SEARCH("treasury",LOWER(F75&amp;" "&amp;H75&amp;" "&amp;I75&amp;" "&amp;M75&amp;" "&amp;N75&amp;" "&amp;T75))),ISNUMBER(SEARCH("debt",LOWER(F75&amp;" "&amp;H75&amp;" "&amp;I75&amp;" "&amp;M75&amp;" "&amp;N75&amp;" "&amp;T75))),ISNUMBER(SEARCH("bond",LOWER(F75&amp;" "&amp;H75&amp;" "&amp;I75&amp;" "&amp;M75&amp;" "&amp;N75&amp;" "&amp;T75))),ISNUMBER(SEARCH("transaction",LOWER(F75&amp;" "&amp;H75&amp;" "&amp;I75&amp;" "&amp;M75&amp;" "&amp;N75&amp;" "&amp;T75)))),"PRIVATE_REVIEW","PUBLIC_CANDIDATE"))</x:f>
        <x:v>PUBLIC_CANDIDATE</x:v>
      </x:c>
      <x:c r="AD75" s="12" t="str">
        <x:f>IF(AC75="PRIVATE_QUARANTINE","hacker_or_bank_trigger",IF(AC75="PRIVATE_REVIEW","finance_risk_trigger","none"))</x:f>
        <x:v>none</x:v>
      </x:c>
      <x:c r="AE75" s="12" t="str">
        <x:f>IF(AC75="PUBLIC_CANDIDATE","prepare_public_github_candidate",IF(AC75="PRIVATE_REVIEW","hold_for_private_review","quarantine_private_do_not_publish"))</x:f>
        <x:v>prepare_public_github_candidate</x:v>
      </x:c>
      <x:c r="AF75" s="12" t="str">
        <x:f>IF(AC75="PUBLIC_CANDIDATE","TIDELOCK + Lucerna",IF(AC75="PRIVATE_REVIEW","AtlasBrain + Lucerna","TIDELOCK + Lucerna + Human-root"))</x:f>
        <x:v>TIDELOCK + Lucerna</x:v>
      </x:c>
      <x:c r="AG75" s="12" t="str">
        <x:f>IF(AND(AC75="PUBLIC_CANDIDATE",U75&lt;&gt;"BLOCKED_PENDING_RECEIPT"),"READY_AFTER_RECEIPT","NOT_READY")</x:f>
        <x:v>NOT_READY</x:v>
      </x:c>
      <x:c r="AH75" s="12" t="str">
        <x:f>IF(AC75="PUBLIC_CANDIDATE","none",AD75)</x:f>
        <x:v>none</x:v>
      </x:c>
      <x:c r="AI75" s="12" t="str">
        <x:f>IF(AC75="PUBLIC_CANDIDATE","archive/public_candidates/"&amp;A75,"private_quarantine/"&amp;A75)</x:f>
        <x:v>archive/public_candidates/SWARM-01-H07-S02</x:v>
      </x:c>
      <x:c r="AJ75" s="12" t="str">
        <x:f>IF(AC75="PUBLIC_CANDIDATE","public by default; still not canon","private/hold; do not publish")</x:f>
        <x:v>public by default; still not canon</x:v>
      </x:c>
      <x:c r="AK75" s="12" t="str">
        <x:f>IF(AE75="prepare_public_github_candidate","add receipt/status then mirror","resolve blocker before any public GitHub action")</x:f>
        <x:v>add receipt/status then mirror</x:v>
      </x:c>
    </x:row>
    <x:row r="76">
      <x:c r="A76" s="15" t="str">
        <x:v>SWARM-01-H07-S03</x:v>
      </x:c>
      <x:c r="B76" s="15" t="str">
        <x:v>Ledgerwake</x:v>
      </x:c>
      <x:c r="C76" s="15" t="str">
        <x:v>Source receipt keeper</x:v>
      </x:c>
      <x:c r="D76" s="15" t="str">
        <x:v>Graph Node Proposals</x:v>
      </x:c>
      <x:c r="E76" s="15" t="str">
        <x:v>GitHub</x:v>
      </x:c>
      <x:c r="F76" s="15" t="str">
        <x:v>Propose graph nodes for GitHub — Ledgerwake</x:v>
      </x:c>
      <x:c r="G76" s="15" t="str">
        <x:v>inventory / receipts / raw custody</x:v>
      </x:c>
      <x:c r="H76" s="15" t="str">
        <x:v>source path + receipt + raw/export status + claim/edge/risk delta</x:v>
      </x:c>
      <x:c r="I76" s="15" t="str">
        <x:v>packet/SWARM-01-H07-S03</x:v>
      </x:c>
      <x:c r="J76" s="15" t="str">
        <x:v>TODO</x:v>
      </x:c>
      <x:c r="K76" s="15" t="str">
        <x:v>P0</x:v>
      </x:c>
      <x:c r="L76" s="15" t="str">
        <x:v>Done only when evidence is logged, contradiction search is noted, and boundary stamp remains non-canon unless ratified</x:v>
      </x:c>
      <x:c r="M76" s="15" t="str">
        <x:v>candidate / staging-only / not canon / not deployed / authority none</x:v>
      </x:c>
      <x:c r="N76" s="15" t="str">
        <x:v>Dispatch to Ledgerwake: complete Graph Node Proposals x GitHub; return deltas only, receipts required.</x:v>
      </x:c>
      <x:c r="O76" s="15" t="str">
        <x:v>AF-KG-H07-S03</x:v>
      </x:c>
      <x:c r="P76" s="15" t="str">
        <x:v>Unverified</x:v>
      </x:c>
      <x:c r="Q76" s="15" t="str">
        <x:v>Not checked</x:v>
      </x:c>
      <x:c r="R76" s="15" t="str"/>
      <x:c r="S76" s="15" t="str"/>
      <x:c r="T76" s="15" t="str">
        <x:v>Log first source path or blocker</x:v>
      </x:c>
      <x:c r="U76" s="12" t="str">
        <x:f>IF(OR(P76="Unverified",Q76="Not checked"),"BLOCKED_PENDING_RECEIPT","READY_FOR_REVIEW")</x:f>
        <x:v>BLOCKED_PENDING_RECEIPT</x:v>
      </x:c>
      <x:c r="V76" s="12" t="str">
        <x:f>IF(J76="DONE","RETURNED",IF(U76="BLOCKED_PENDING_RECEIPT","SOURCE_TOUCH_REQUIRED","IN_PROGRESS"))</x:f>
        <x:v>SOURCE_TOUCH_REQUIRED</x:v>
      </x:c>
      <x:c r="W76" s="12" t="str">
        <x:f>IF(P76="Unverified","missing_receipt","receipt_logged")</x:f>
        <x:v>missing_receipt</x:v>
      </x:c>
      <x:c r="X76" s="12" t="str">
        <x:f>IF(Q76="Not checked","raw_status_missing","raw_status_logged")</x:f>
        <x:v>raw_status_missing</x:v>
      </x:c>
      <x:c r="Y76" s="12" t="str">
        <x:f>IF(U76="BLOCKED_PENDING_RECEIPT","Log source path or blocker; do not promote","Route to review lane")</x:f>
        <x:v>Log source path or blocker; do not promote</x:v>
      </x:c>
      <x:c r="Z76" s="12" t="str">
        <x:f>IF(K76="P0","Primary seat + Hashlight/Lucerna","Seat lane")</x:f>
        <x:v>Primary seat + Hashlight/Lucerna</x:v>
      </x:c>
      <x:c r="AA76" s="12" t="str">
        <x:f>IF(R76="","no_claim_delta","claim_delta_present")</x:f>
        <x:v>no_claim_delta</x:v>
      </x:c>
      <x:c r="AB76" s="12" t="str">
        <x:f>IF(S76="","no_contradiction_delta","contradiction_delta_present")</x:f>
        <x:v>no_contradiction_delta</x:v>
      </x:c>
      <x:c r="AC76" s="12" t="str">
        <x:f>IF(OR(ISNUMBER(SEARCH("hacker",LOWER(F76&amp;" "&amp;H76&amp;" "&amp;I76&amp;" "&amp;M76&amp;" "&amp;N76&amp;" "&amp;T76))),ISNUMBER(SEARCH("hacking",LOWER(F76&amp;" "&amp;H76&amp;" "&amp;I76&amp;" "&amp;M76&amp;" "&amp;N76&amp;" "&amp;T76))),ISNUMBER(SEARCH("bank",LOWER(F76&amp;" "&amp;H76&amp;" "&amp;I76&amp;" "&amp;M76&amp;" "&amp;N76&amp;" "&amp;T76))),ISNUMBER(SEARCH("banking",LOWER(F76&amp;" "&amp;H76&amp;" "&amp;I76&amp;" "&amp;M76&amp;" "&amp;N76&amp;" "&amp;T76)))),"PRIVATE_QUARANTINE",IF(OR(ISNUMBER(SEARCH("treasury",LOWER(F76&amp;" "&amp;H76&amp;" "&amp;I76&amp;" "&amp;M76&amp;" "&amp;N76&amp;" "&amp;T76))),ISNUMBER(SEARCH("debt",LOWER(F76&amp;" "&amp;H76&amp;" "&amp;I76&amp;" "&amp;M76&amp;" "&amp;N76&amp;" "&amp;T76))),ISNUMBER(SEARCH("bond",LOWER(F76&amp;" "&amp;H76&amp;" "&amp;I76&amp;" "&amp;M76&amp;" "&amp;N76&amp;" "&amp;T76))),ISNUMBER(SEARCH("transaction",LOWER(F76&amp;" "&amp;H76&amp;" "&amp;I76&amp;" "&amp;M76&amp;" "&amp;N76&amp;" "&amp;T76)))),"PRIVATE_REVIEW","PUBLIC_CANDIDATE"))</x:f>
        <x:v>PUBLIC_CANDIDATE</x:v>
      </x:c>
      <x:c r="AD76" s="12" t="str">
        <x:f>IF(AC76="PRIVATE_QUARANTINE","hacker_or_bank_trigger",IF(AC76="PRIVATE_REVIEW","finance_risk_trigger","none"))</x:f>
        <x:v>none</x:v>
      </x:c>
      <x:c r="AE76" s="12" t="str">
        <x:f>IF(AC76="PUBLIC_CANDIDATE","prepare_public_github_candidate",IF(AC76="PRIVATE_REVIEW","hold_for_private_review","quarantine_private_do_not_publish"))</x:f>
        <x:v>prepare_public_github_candidate</x:v>
      </x:c>
      <x:c r="AF76" s="12" t="str">
        <x:f>IF(AC76="PUBLIC_CANDIDATE","TIDELOCK + Lucerna",IF(AC76="PRIVATE_REVIEW","AtlasBrain + Lucerna","TIDELOCK + Lucerna + Human-root"))</x:f>
        <x:v>TIDELOCK + Lucerna</x:v>
      </x:c>
      <x:c r="AG76" s="12" t="str">
        <x:f>IF(AND(AC76="PUBLIC_CANDIDATE",U76&lt;&gt;"BLOCKED_PENDING_RECEIPT"),"READY_AFTER_RECEIPT","NOT_READY")</x:f>
        <x:v>NOT_READY</x:v>
      </x:c>
      <x:c r="AH76" s="12" t="str">
        <x:f>IF(AC76="PUBLIC_CANDIDATE","none",AD76)</x:f>
        <x:v>none</x:v>
      </x:c>
      <x:c r="AI76" s="12" t="str">
        <x:f>IF(AC76="PUBLIC_CANDIDATE","archive/public_candidates/"&amp;A76,"private_quarantine/"&amp;A76)</x:f>
        <x:v>archive/public_candidates/SWARM-01-H07-S03</x:v>
      </x:c>
      <x:c r="AJ76" s="12" t="str">
        <x:f>IF(AC76="PUBLIC_CANDIDATE","public by default; still not canon","private/hold; do not publish")</x:f>
        <x:v>public by default; still not canon</x:v>
      </x:c>
      <x:c r="AK76" s="12" t="str">
        <x:f>IF(AE76="prepare_public_github_candidate","add receipt/status then mirror","resolve blocker before any public GitHub action")</x:f>
        <x:v>add receipt/status then mirror</x:v>
      </x:c>
    </x:row>
    <x:row r="77">
      <x:c r="A77" s="15" t="str">
        <x:v>SWARM-01-H07-S04</x:v>
      </x:c>
      <x:c r="B77" s="15" t="str">
        <x:v>Ledgerwake</x:v>
      </x:c>
      <x:c r="C77" s="15" t="str">
        <x:v>Source receipt keeper</x:v>
      </x:c>
      <x:c r="D77" s="15" t="str">
        <x:v>Graph Node Proposals</x:v>
      </x:c>
      <x:c r="E77" s="15" t="str">
        <x:v>Gamma</x:v>
      </x:c>
      <x:c r="F77" s="15" t="str">
        <x:v>Propose graph nodes for Gamma — Ledgerwake</x:v>
      </x:c>
      <x:c r="G77" s="15" t="str">
        <x:v>inventory / receipts / raw custody</x:v>
      </x:c>
      <x:c r="H77" s="15" t="str">
        <x:v>source path + receipt + raw/export status + claim/edge/risk delta</x:v>
      </x:c>
      <x:c r="I77" s="15" t="str">
        <x:v>packet/SWARM-01-H07-S04</x:v>
      </x:c>
      <x:c r="J77" s="15" t="str">
        <x:v>TODO</x:v>
      </x:c>
      <x:c r="K77" s="15" t="str">
        <x:v>P1</x:v>
      </x:c>
      <x:c r="L77" s="15" t="str">
        <x:v>Done only when evidence is logged, contradiction search is noted, and boundary stamp remains non-canon unless ratified</x:v>
      </x:c>
      <x:c r="M77" s="15" t="str">
        <x:v>candidate / staging-only / not canon / not deployed / authority none</x:v>
      </x:c>
      <x:c r="N77" s="15" t="str">
        <x:v>Dispatch to Ledgerwake: complete Graph Node Proposals x Gamma; return deltas only, receipts required.</x:v>
      </x:c>
      <x:c r="O77" s="15" t="str">
        <x:v>AF-KG-H07-S04</x:v>
      </x:c>
      <x:c r="P77" s="15" t="str">
        <x:v>Unverified</x:v>
      </x:c>
      <x:c r="Q77" s="15" t="str">
        <x:v>Not checked</x:v>
      </x:c>
      <x:c r="R77" s="15" t="str"/>
      <x:c r="S77" s="15" t="str"/>
      <x:c r="T77" s="15" t="str">
        <x:v>Log first source path or blocker</x:v>
      </x:c>
      <x:c r="U77" s="12" t="str">
        <x:f>IF(OR(P77="Unverified",Q77="Not checked"),"BLOCKED_PENDING_RECEIPT","READY_FOR_REVIEW")</x:f>
        <x:v>BLOCKED_PENDING_RECEIPT</x:v>
      </x:c>
      <x:c r="V77" s="12" t="str">
        <x:f>IF(J77="DONE","RETURNED",IF(U77="BLOCKED_PENDING_RECEIPT","SOURCE_TOUCH_REQUIRED","IN_PROGRESS"))</x:f>
        <x:v>SOURCE_TOUCH_REQUIRED</x:v>
      </x:c>
      <x:c r="W77" s="12" t="str">
        <x:f>IF(P77="Unverified","missing_receipt","receipt_logged")</x:f>
        <x:v>missing_receipt</x:v>
      </x:c>
      <x:c r="X77" s="12" t="str">
        <x:f>IF(Q77="Not checked","raw_status_missing","raw_status_logged")</x:f>
        <x:v>raw_status_missing</x:v>
      </x:c>
      <x:c r="Y77" s="12" t="str">
        <x:f>IF(U77="BLOCKED_PENDING_RECEIPT","Log source path or blocker; do not promote","Route to review lane")</x:f>
        <x:v>Log source path or blocker; do not promote</x:v>
      </x:c>
      <x:c r="Z77" s="12" t="str">
        <x:f>IF(K77="P0","Primary seat + Hashlight/Lucerna","Seat lane")</x:f>
        <x:v>Seat lane</x:v>
      </x:c>
      <x:c r="AA77" s="12" t="str">
        <x:f>IF(R77="","no_claim_delta","claim_delta_present")</x:f>
        <x:v>no_claim_delta</x:v>
      </x:c>
      <x:c r="AB77" s="12" t="str">
        <x:f>IF(S77="","no_contradiction_delta","contradiction_delta_present")</x:f>
        <x:v>no_contradiction_delta</x:v>
      </x:c>
      <x:c r="AC77" s="12" t="str">
        <x:f>IF(OR(ISNUMBER(SEARCH("hacker",LOWER(F77&amp;" "&amp;H77&amp;" "&amp;I77&amp;" "&amp;M77&amp;" "&amp;N77&amp;" "&amp;T77))),ISNUMBER(SEARCH("hacking",LOWER(F77&amp;" "&amp;H77&amp;" "&amp;I77&amp;" "&amp;M77&amp;" "&amp;N77&amp;" "&amp;T77))),ISNUMBER(SEARCH("bank",LOWER(F77&amp;" "&amp;H77&amp;" "&amp;I77&amp;" "&amp;M77&amp;" "&amp;N77&amp;" "&amp;T77))),ISNUMBER(SEARCH("banking",LOWER(F77&amp;" "&amp;H77&amp;" "&amp;I77&amp;" "&amp;M77&amp;" "&amp;N77&amp;" "&amp;T77)))),"PRIVATE_QUARANTINE",IF(OR(ISNUMBER(SEARCH("treasury",LOWER(F77&amp;" "&amp;H77&amp;" "&amp;I77&amp;" "&amp;M77&amp;" "&amp;N77&amp;" "&amp;T77))),ISNUMBER(SEARCH("debt",LOWER(F77&amp;" "&amp;H77&amp;" "&amp;I77&amp;" "&amp;M77&amp;" "&amp;N77&amp;" "&amp;T77))),ISNUMBER(SEARCH("bond",LOWER(F77&amp;" "&amp;H77&amp;" "&amp;I77&amp;" "&amp;M77&amp;" "&amp;N77&amp;" "&amp;T77))),ISNUMBER(SEARCH("transaction",LOWER(F77&amp;" "&amp;H77&amp;" "&amp;I77&amp;" "&amp;M77&amp;" "&amp;N77&amp;" "&amp;T77)))),"PRIVATE_REVIEW","PUBLIC_CANDIDATE"))</x:f>
        <x:v>PUBLIC_CANDIDATE</x:v>
      </x:c>
      <x:c r="AD77" s="12" t="str">
        <x:f>IF(AC77="PRIVATE_QUARANTINE","hacker_or_bank_trigger",IF(AC77="PRIVATE_REVIEW","finance_risk_trigger","none"))</x:f>
        <x:v>none</x:v>
      </x:c>
      <x:c r="AE77" s="12" t="str">
        <x:f>IF(AC77="PUBLIC_CANDIDATE","prepare_public_github_candidate",IF(AC77="PRIVATE_REVIEW","hold_for_private_review","quarantine_private_do_not_publish"))</x:f>
        <x:v>prepare_public_github_candidate</x:v>
      </x:c>
      <x:c r="AF77" s="12" t="str">
        <x:f>IF(AC77="PUBLIC_CANDIDATE","TIDELOCK + Lucerna",IF(AC77="PRIVATE_REVIEW","AtlasBrain + Lucerna","TIDELOCK + Lucerna + Human-root"))</x:f>
        <x:v>TIDELOCK + Lucerna</x:v>
      </x:c>
      <x:c r="AG77" s="12" t="str">
        <x:f>IF(AND(AC77="PUBLIC_CANDIDATE",U77&lt;&gt;"BLOCKED_PENDING_RECEIPT"),"READY_AFTER_RECEIPT","NOT_READY")</x:f>
        <x:v>NOT_READY</x:v>
      </x:c>
      <x:c r="AH77" s="12" t="str">
        <x:f>IF(AC77="PUBLIC_CANDIDATE","none",AD77)</x:f>
        <x:v>none</x:v>
      </x:c>
      <x:c r="AI77" s="12" t="str">
        <x:f>IF(AC77="PUBLIC_CANDIDATE","archive/public_candidates/"&amp;A77,"private_quarantine/"&amp;A77)</x:f>
        <x:v>archive/public_candidates/SWARM-01-H07-S04</x:v>
      </x:c>
      <x:c r="AJ77" s="12" t="str">
        <x:f>IF(AC77="PUBLIC_CANDIDATE","public by default; still not canon","private/hold; do not publish")</x:f>
        <x:v>public by default; still not canon</x:v>
      </x:c>
      <x:c r="AK77" s="12" t="str">
        <x:f>IF(AE77="prepare_public_github_candidate","add receipt/status then mirror","resolve blocker before any public GitHub action")</x:f>
        <x:v>add receipt/status then mirror</x:v>
      </x:c>
    </x:row>
    <x:row r="78">
      <x:c r="A78" s="15" t="str">
        <x:v>SWARM-01-H07-S05</x:v>
      </x:c>
      <x:c r="B78" s="15" t="str">
        <x:v>Ledgerwake</x:v>
      </x:c>
      <x:c r="C78" s="15" t="str">
        <x:v>Source receipt keeper</x:v>
      </x:c>
      <x:c r="D78" s="15" t="str">
        <x:v>Graph Node Proposals</x:v>
      </x:c>
      <x:c r="E78" s="15" t="str">
        <x:v>Chat</x:v>
      </x:c>
      <x:c r="F78" s="15" t="str">
        <x:v>Propose graph nodes for Chat — Ledgerwake</x:v>
      </x:c>
      <x:c r="G78" s="15" t="str">
        <x:v>inventory / receipts / raw custody</x:v>
      </x:c>
      <x:c r="H78" s="15" t="str">
        <x:v>source path + receipt + raw/export status + claim/edge/risk delta</x:v>
      </x:c>
      <x:c r="I78" s="15" t="str">
        <x:v>packet/SWARM-01-H07-S05</x:v>
      </x:c>
      <x:c r="J78" s="15" t="str">
        <x:v>TODO</x:v>
      </x:c>
      <x:c r="K78" s="15" t="str">
        <x:v>P1</x:v>
      </x:c>
      <x:c r="L78" s="15" t="str">
        <x:v>Done only when evidence is logged, contradiction search is noted, and boundary stamp remains non-canon unless ratified</x:v>
      </x:c>
      <x:c r="M78" s="15" t="str">
        <x:v>candidate / staging-only / not canon / not deployed / authority none</x:v>
      </x:c>
      <x:c r="N78" s="15" t="str">
        <x:v>Dispatch to Ledgerwake: complete Graph Node Proposals x Chat; return deltas only, receipts required.</x:v>
      </x:c>
      <x:c r="O78" s="15" t="str">
        <x:v>AF-KG-H07-S05</x:v>
      </x:c>
      <x:c r="P78" s="15" t="str">
        <x:v>Unverified</x:v>
      </x:c>
      <x:c r="Q78" s="15" t="str">
        <x:v>Not checked</x:v>
      </x:c>
      <x:c r="R78" s="15" t="str"/>
      <x:c r="S78" s="15" t="str"/>
      <x:c r="T78" s="15" t="str">
        <x:v>Log first source path or blocker</x:v>
      </x:c>
      <x:c r="U78" s="12" t="str">
        <x:f>IF(OR(P78="Unverified",Q78="Not checked"),"BLOCKED_PENDING_RECEIPT","READY_FOR_REVIEW")</x:f>
        <x:v>BLOCKED_PENDING_RECEIPT</x:v>
      </x:c>
      <x:c r="V78" s="12" t="str">
        <x:f>IF(J78="DONE","RETURNED",IF(U78="BLOCKED_PENDING_RECEIPT","SOURCE_TOUCH_REQUIRED","IN_PROGRESS"))</x:f>
        <x:v>SOURCE_TOUCH_REQUIRED</x:v>
      </x:c>
      <x:c r="W78" s="12" t="str">
        <x:f>IF(P78="Unverified","missing_receipt","receipt_logged")</x:f>
        <x:v>missing_receipt</x:v>
      </x:c>
      <x:c r="X78" s="12" t="str">
        <x:f>IF(Q78="Not checked","raw_status_missing","raw_status_logged")</x:f>
        <x:v>raw_status_missing</x:v>
      </x:c>
      <x:c r="Y78" s="12" t="str">
        <x:f>IF(U78="BLOCKED_PENDING_RECEIPT","Log source path or blocker; do not promote","Route to review lane")</x:f>
        <x:v>Log source path or blocker; do not promote</x:v>
      </x:c>
      <x:c r="Z78" s="12" t="str">
        <x:f>IF(K78="P0","Primary seat + Hashlight/Lucerna","Seat lane")</x:f>
        <x:v>Seat lane</x:v>
      </x:c>
      <x:c r="AA78" s="12" t="str">
        <x:f>IF(R78="","no_claim_delta","claim_delta_present")</x:f>
        <x:v>no_claim_delta</x:v>
      </x:c>
      <x:c r="AB78" s="12" t="str">
        <x:f>IF(S78="","no_contradiction_delta","contradiction_delta_present")</x:f>
        <x:v>no_contradiction_delta</x:v>
      </x:c>
      <x:c r="AC78" s="12" t="str">
        <x:f>IF(OR(ISNUMBER(SEARCH("hacker",LOWER(F78&amp;" "&amp;H78&amp;" "&amp;I78&amp;" "&amp;M78&amp;" "&amp;N78&amp;" "&amp;T78))),ISNUMBER(SEARCH("hacking",LOWER(F78&amp;" "&amp;H78&amp;" "&amp;I78&amp;" "&amp;M78&amp;" "&amp;N78&amp;" "&amp;T78))),ISNUMBER(SEARCH("bank",LOWER(F78&amp;" "&amp;H78&amp;" "&amp;I78&amp;" "&amp;M78&amp;" "&amp;N78&amp;" "&amp;T78))),ISNUMBER(SEARCH("banking",LOWER(F78&amp;" "&amp;H78&amp;" "&amp;I78&amp;" "&amp;M78&amp;" "&amp;N78&amp;" "&amp;T78)))),"PRIVATE_QUARANTINE",IF(OR(ISNUMBER(SEARCH("treasury",LOWER(F78&amp;" "&amp;H78&amp;" "&amp;I78&amp;" "&amp;M78&amp;" "&amp;N78&amp;" "&amp;T78))),ISNUMBER(SEARCH("debt",LOWER(F78&amp;" "&amp;H78&amp;" "&amp;I78&amp;" "&amp;M78&amp;" "&amp;N78&amp;" "&amp;T78))),ISNUMBER(SEARCH("bond",LOWER(F78&amp;" "&amp;H78&amp;" "&amp;I78&amp;" "&amp;M78&amp;" "&amp;N78&amp;" "&amp;T78))),ISNUMBER(SEARCH("transaction",LOWER(F78&amp;" "&amp;H78&amp;" "&amp;I78&amp;" "&amp;M78&amp;" "&amp;N78&amp;" "&amp;T78)))),"PRIVATE_REVIEW","PUBLIC_CANDIDATE"))</x:f>
        <x:v>PUBLIC_CANDIDATE</x:v>
      </x:c>
      <x:c r="AD78" s="12" t="str">
        <x:f>IF(AC78="PRIVATE_QUARANTINE","hacker_or_bank_trigger",IF(AC78="PRIVATE_REVIEW","finance_risk_trigger","none"))</x:f>
        <x:v>none</x:v>
      </x:c>
      <x:c r="AE78" s="12" t="str">
        <x:f>IF(AC78="PUBLIC_CANDIDATE","prepare_public_github_candidate",IF(AC78="PRIVATE_REVIEW","hold_for_private_review","quarantine_private_do_not_publish"))</x:f>
        <x:v>prepare_public_github_candidate</x:v>
      </x:c>
      <x:c r="AF78" s="12" t="str">
        <x:f>IF(AC78="PUBLIC_CANDIDATE","TIDELOCK + Lucerna",IF(AC78="PRIVATE_REVIEW","AtlasBrain + Lucerna","TIDELOCK + Lucerna + Human-root"))</x:f>
        <x:v>TIDELOCK + Lucerna</x:v>
      </x:c>
      <x:c r="AG78" s="12" t="str">
        <x:f>IF(AND(AC78="PUBLIC_CANDIDATE",U78&lt;&gt;"BLOCKED_PENDING_RECEIPT"),"READY_AFTER_RECEIPT","NOT_READY")</x:f>
        <x:v>NOT_READY</x:v>
      </x:c>
      <x:c r="AH78" s="12" t="str">
        <x:f>IF(AC78="PUBLIC_CANDIDATE","none",AD78)</x:f>
        <x:v>none</x:v>
      </x:c>
      <x:c r="AI78" s="12" t="str">
        <x:f>IF(AC78="PUBLIC_CANDIDATE","archive/public_candidates/"&amp;A78,"private_quarantine/"&amp;A78)</x:f>
        <x:v>archive/public_candidates/SWARM-01-H07-S05</x:v>
      </x:c>
      <x:c r="AJ78" s="12" t="str">
        <x:f>IF(AC78="PUBLIC_CANDIDATE","public by default; still not canon","private/hold; do not publish")</x:f>
        <x:v>public by default; still not canon</x:v>
      </x:c>
      <x:c r="AK78" s="12" t="str">
        <x:f>IF(AE78="prepare_public_github_candidate","add receipt/status then mirror","resolve blocker before any public GitHub action")</x:f>
        <x:v>add receipt/status then mirror</x:v>
      </x:c>
    </x:row>
    <x:row r="79">
      <x:c r="A79" s="15" t="str">
        <x:v>SWARM-01-H07-S06</x:v>
      </x:c>
      <x:c r="B79" s="15" t="str">
        <x:v>Ledgerwake</x:v>
      </x:c>
      <x:c r="C79" s="15" t="str">
        <x:v>Source receipt keeper</x:v>
      </x:c>
      <x:c r="D79" s="15" t="str">
        <x:v>Graph Node Proposals</x:v>
      </x:c>
      <x:c r="E79" s="15" t="str">
        <x:v>External Web</x:v>
      </x:c>
      <x:c r="F79" s="15" t="str">
        <x:v>Propose graph nodes for External Web — Ledgerwake</x:v>
      </x:c>
      <x:c r="G79" s="15" t="str">
        <x:v>inventory / receipts / raw custody</x:v>
      </x:c>
      <x:c r="H79" s="15" t="str">
        <x:v>source path + receipt + raw/export status + claim/edge/risk delta</x:v>
      </x:c>
      <x:c r="I79" s="15" t="str">
        <x:v>packet/SWARM-01-H07-S06</x:v>
      </x:c>
      <x:c r="J79" s="15" t="str">
        <x:v>TODO</x:v>
      </x:c>
      <x:c r="K79" s="15" t="str">
        <x:v>P1</x:v>
      </x:c>
      <x:c r="L79" s="15" t="str">
        <x:v>Done only when evidence is logged, contradiction search is noted, and boundary stamp remains non-canon unless ratified</x:v>
      </x:c>
      <x:c r="M79" s="15" t="str">
        <x:v>candidate / staging-only / not canon / not deployed / authority none</x:v>
      </x:c>
      <x:c r="N79" s="15" t="str">
        <x:v>Dispatch to Ledgerwake: complete Graph Node Proposals x External Web; return deltas only, receipts required.</x:v>
      </x:c>
      <x:c r="O79" s="15" t="str">
        <x:v>AF-KG-H07-S06</x:v>
      </x:c>
      <x:c r="P79" s="15" t="str">
        <x:v>Unverified</x:v>
      </x:c>
      <x:c r="Q79" s="15" t="str">
        <x:v>Not checked</x:v>
      </x:c>
      <x:c r="R79" s="15" t="str"/>
      <x:c r="S79" s="15" t="str"/>
      <x:c r="T79" s="15" t="str">
        <x:v>Log first source path or blocker</x:v>
      </x:c>
      <x:c r="U79" s="12" t="str">
        <x:f>IF(OR(P79="Unverified",Q79="Not checked"),"BLOCKED_PENDING_RECEIPT","READY_FOR_REVIEW")</x:f>
        <x:v>BLOCKED_PENDING_RECEIPT</x:v>
      </x:c>
      <x:c r="V79" s="12" t="str">
        <x:f>IF(J79="DONE","RETURNED",IF(U79="BLOCKED_PENDING_RECEIPT","SOURCE_TOUCH_REQUIRED","IN_PROGRESS"))</x:f>
        <x:v>SOURCE_TOUCH_REQUIRED</x:v>
      </x:c>
      <x:c r="W79" s="12" t="str">
        <x:f>IF(P79="Unverified","missing_receipt","receipt_logged")</x:f>
        <x:v>missing_receipt</x:v>
      </x:c>
      <x:c r="X79" s="12" t="str">
        <x:f>IF(Q79="Not checked","raw_status_missing","raw_status_logged")</x:f>
        <x:v>raw_status_missing</x:v>
      </x:c>
      <x:c r="Y79" s="12" t="str">
        <x:f>IF(U79="BLOCKED_PENDING_RECEIPT","Log source path or blocker; do not promote","Route to review lane")</x:f>
        <x:v>Log source path or blocker; do not promote</x:v>
      </x:c>
      <x:c r="Z79" s="12" t="str">
        <x:f>IF(K79="P0","Primary seat + Hashlight/Lucerna","Seat lane")</x:f>
        <x:v>Seat lane</x:v>
      </x:c>
      <x:c r="AA79" s="12" t="str">
        <x:f>IF(R79="","no_claim_delta","claim_delta_present")</x:f>
        <x:v>no_claim_delta</x:v>
      </x:c>
      <x:c r="AB79" s="12" t="str">
        <x:f>IF(S79="","no_contradiction_delta","contradiction_delta_present")</x:f>
        <x:v>no_contradiction_delta</x:v>
      </x:c>
      <x:c r="AC79" s="12" t="str">
        <x:f>IF(OR(ISNUMBER(SEARCH("hacker",LOWER(F79&amp;" "&amp;H79&amp;" "&amp;I79&amp;" "&amp;M79&amp;" "&amp;N79&amp;" "&amp;T79))),ISNUMBER(SEARCH("hacking",LOWER(F79&amp;" "&amp;H79&amp;" "&amp;I79&amp;" "&amp;M79&amp;" "&amp;N79&amp;" "&amp;T79))),ISNUMBER(SEARCH("bank",LOWER(F79&amp;" "&amp;H79&amp;" "&amp;I79&amp;" "&amp;M79&amp;" "&amp;N79&amp;" "&amp;T79))),ISNUMBER(SEARCH("banking",LOWER(F79&amp;" "&amp;H79&amp;" "&amp;I79&amp;" "&amp;M79&amp;" "&amp;N79&amp;" "&amp;T79)))),"PRIVATE_QUARANTINE",IF(OR(ISNUMBER(SEARCH("treasury",LOWER(F79&amp;" "&amp;H79&amp;" "&amp;I79&amp;" "&amp;M79&amp;" "&amp;N79&amp;" "&amp;T79))),ISNUMBER(SEARCH("debt",LOWER(F79&amp;" "&amp;H79&amp;" "&amp;I79&amp;" "&amp;M79&amp;" "&amp;N79&amp;" "&amp;T79))),ISNUMBER(SEARCH("bond",LOWER(F79&amp;" "&amp;H79&amp;" "&amp;I79&amp;" "&amp;M79&amp;" "&amp;N79&amp;" "&amp;T79))),ISNUMBER(SEARCH("transaction",LOWER(F79&amp;" "&amp;H79&amp;" "&amp;I79&amp;" "&amp;M79&amp;" "&amp;N79&amp;" "&amp;T79)))),"PRIVATE_REVIEW","PUBLIC_CANDIDATE"))</x:f>
        <x:v>PUBLIC_CANDIDATE</x:v>
      </x:c>
      <x:c r="AD79" s="12" t="str">
        <x:f>IF(AC79="PRIVATE_QUARANTINE","hacker_or_bank_trigger",IF(AC79="PRIVATE_REVIEW","finance_risk_trigger","none"))</x:f>
        <x:v>none</x:v>
      </x:c>
      <x:c r="AE79" s="12" t="str">
        <x:f>IF(AC79="PUBLIC_CANDIDATE","prepare_public_github_candidate",IF(AC79="PRIVATE_REVIEW","hold_for_private_review","quarantine_private_do_not_publish"))</x:f>
        <x:v>prepare_public_github_candidate</x:v>
      </x:c>
      <x:c r="AF79" s="12" t="str">
        <x:f>IF(AC79="PUBLIC_CANDIDATE","TIDELOCK + Lucerna",IF(AC79="PRIVATE_REVIEW","AtlasBrain + Lucerna","TIDELOCK + Lucerna + Human-root"))</x:f>
        <x:v>TIDELOCK + Lucerna</x:v>
      </x:c>
      <x:c r="AG79" s="12" t="str">
        <x:f>IF(AND(AC79="PUBLIC_CANDIDATE",U79&lt;&gt;"BLOCKED_PENDING_RECEIPT"),"READY_AFTER_RECEIPT","NOT_READY")</x:f>
        <x:v>NOT_READY</x:v>
      </x:c>
      <x:c r="AH79" s="12" t="str">
        <x:f>IF(AC79="PUBLIC_CANDIDATE","none",AD79)</x:f>
        <x:v>none</x:v>
      </x:c>
      <x:c r="AI79" s="12" t="str">
        <x:f>IF(AC79="PUBLIC_CANDIDATE","archive/public_candidates/"&amp;A79,"private_quarantine/"&amp;A79)</x:f>
        <x:v>archive/public_candidates/SWARM-01-H07-S06</x:v>
      </x:c>
      <x:c r="AJ79" s="12" t="str">
        <x:f>IF(AC79="PUBLIC_CANDIDATE","public by default; still not canon","private/hold; do not publish")</x:f>
        <x:v>public by default; still not canon</x:v>
      </x:c>
      <x:c r="AK79" s="12" t="str">
        <x:f>IF(AE79="prepare_public_github_candidate","add receipt/status then mirror","resolve blocker before any public GitHub action")</x:f>
        <x:v>add receipt/status then mirror</x:v>
      </x:c>
    </x:row>
    <x:row r="80">
      <x:c r="A80" s="15" t="str">
        <x:v>SWARM-01-H07-S07</x:v>
      </x:c>
      <x:c r="B80" s="15" t="str">
        <x:v>Ledgerwake</x:v>
      </x:c>
      <x:c r="C80" s="15" t="str">
        <x:v>Source receipt keeper</x:v>
      </x:c>
      <x:c r="D80" s="15" t="str">
        <x:v>Graph Node Proposals</x:v>
      </x:c>
      <x:c r="E80" s="15" t="str">
        <x:v>Planetarium</x:v>
      </x:c>
      <x:c r="F80" s="15" t="str">
        <x:v>Propose graph nodes for Planetarium — Ledgerwake</x:v>
      </x:c>
      <x:c r="G80" s="15" t="str">
        <x:v>inventory / receipts / raw custody</x:v>
      </x:c>
      <x:c r="H80" s="15" t="str">
        <x:v>source path + receipt + raw/export status + claim/edge/risk delta</x:v>
      </x:c>
      <x:c r="I80" s="15" t="str">
        <x:v>packet/SWARM-01-H07-S07</x:v>
      </x:c>
      <x:c r="J80" s="15" t="str">
        <x:v>TODO</x:v>
      </x:c>
      <x:c r="K80" s="15" t="str">
        <x:v>P1</x:v>
      </x:c>
      <x:c r="L80" s="15" t="str">
        <x:v>Done only when evidence is logged, contradiction search is noted, and boundary stamp remains non-canon unless ratified</x:v>
      </x:c>
      <x:c r="M80" s="15" t="str">
        <x:v>candidate / staging-only / not canon / not deployed / authority none</x:v>
      </x:c>
      <x:c r="N80" s="15" t="str">
        <x:v>Dispatch to Ledgerwake: complete Graph Node Proposals x Planetarium; return deltas only, receipts required.</x:v>
      </x:c>
      <x:c r="O80" s="15" t="str">
        <x:v>AF-KG-H07-S07</x:v>
      </x:c>
      <x:c r="P80" s="15" t="str">
        <x:v>Unverified</x:v>
      </x:c>
      <x:c r="Q80" s="15" t="str">
        <x:v>Not checked</x:v>
      </x:c>
      <x:c r="R80" s="15" t="str"/>
      <x:c r="S80" s="15" t="str"/>
      <x:c r="T80" s="15" t="str">
        <x:v>Log first source path or blocker</x:v>
      </x:c>
      <x:c r="U80" s="12" t="str">
        <x:f>IF(OR(P80="Unverified",Q80="Not checked"),"BLOCKED_PENDING_RECEIPT","READY_FOR_REVIEW")</x:f>
        <x:v>BLOCKED_PENDING_RECEIPT</x:v>
      </x:c>
      <x:c r="V80" s="12" t="str">
        <x:f>IF(J80="DONE","RETURNED",IF(U80="BLOCKED_PENDING_RECEIPT","SOURCE_TOUCH_REQUIRED","IN_PROGRESS"))</x:f>
        <x:v>SOURCE_TOUCH_REQUIRED</x:v>
      </x:c>
      <x:c r="W80" s="12" t="str">
        <x:f>IF(P80="Unverified","missing_receipt","receipt_logged")</x:f>
        <x:v>missing_receipt</x:v>
      </x:c>
      <x:c r="X80" s="12" t="str">
        <x:f>IF(Q80="Not checked","raw_status_missing","raw_status_logged")</x:f>
        <x:v>raw_status_missing</x:v>
      </x:c>
      <x:c r="Y80" s="12" t="str">
        <x:f>IF(U80="BLOCKED_PENDING_RECEIPT","Log source path or blocker; do not promote","Route to review lane")</x:f>
        <x:v>Log source path or blocker; do not promote</x:v>
      </x:c>
      <x:c r="Z80" s="12" t="str">
        <x:f>IF(K80="P0","Primary seat + Hashlight/Lucerna","Seat lane")</x:f>
        <x:v>Seat lane</x:v>
      </x:c>
      <x:c r="AA80" s="12" t="str">
        <x:f>IF(R80="","no_claim_delta","claim_delta_present")</x:f>
        <x:v>no_claim_delta</x:v>
      </x:c>
      <x:c r="AB80" s="12" t="str">
        <x:f>IF(S80="","no_contradiction_delta","contradiction_delta_present")</x:f>
        <x:v>no_contradiction_delta</x:v>
      </x:c>
      <x:c r="AC80" s="12" t="str">
        <x:f>IF(OR(ISNUMBER(SEARCH("hacker",LOWER(F80&amp;" "&amp;H80&amp;" "&amp;I80&amp;" "&amp;M80&amp;" "&amp;N80&amp;" "&amp;T80))),ISNUMBER(SEARCH("hacking",LOWER(F80&amp;" "&amp;H80&amp;" "&amp;I80&amp;" "&amp;M80&amp;" "&amp;N80&amp;" "&amp;T80))),ISNUMBER(SEARCH("bank",LOWER(F80&amp;" "&amp;H80&amp;" "&amp;I80&amp;" "&amp;M80&amp;" "&amp;N80&amp;" "&amp;T80))),ISNUMBER(SEARCH("banking",LOWER(F80&amp;" "&amp;H80&amp;" "&amp;I80&amp;" "&amp;M80&amp;" "&amp;N80&amp;" "&amp;T80)))),"PRIVATE_QUARANTINE",IF(OR(ISNUMBER(SEARCH("treasury",LOWER(F80&amp;" "&amp;H80&amp;" "&amp;I80&amp;" "&amp;M80&amp;" "&amp;N80&amp;" "&amp;T80))),ISNUMBER(SEARCH("debt",LOWER(F80&amp;" "&amp;H80&amp;" "&amp;I80&amp;" "&amp;M80&amp;" "&amp;N80&amp;" "&amp;T80))),ISNUMBER(SEARCH("bond",LOWER(F80&amp;" "&amp;H80&amp;" "&amp;I80&amp;" "&amp;M80&amp;" "&amp;N80&amp;" "&amp;T80))),ISNUMBER(SEARCH("transaction",LOWER(F80&amp;" "&amp;H80&amp;" "&amp;I80&amp;" "&amp;M80&amp;" "&amp;N80&amp;" "&amp;T80)))),"PRIVATE_REVIEW","PUBLIC_CANDIDATE"))</x:f>
        <x:v>PUBLIC_CANDIDATE</x:v>
      </x:c>
      <x:c r="AD80" s="12" t="str">
        <x:f>IF(AC80="PRIVATE_QUARANTINE","hacker_or_bank_trigger",IF(AC80="PRIVATE_REVIEW","finance_risk_trigger","none"))</x:f>
        <x:v>none</x:v>
      </x:c>
      <x:c r="AE80" s="12" t="str">
        <x:f>IF(AC80="PUBLIC_CANDIDATE","prepare_public_github_candidate",IF(AC80="PRIVATE_REVIEW","hold_for_private_review","quarantine_private_do_not_publish"))</x:f>
        <x:v>prepare_public_github_candidate</x:v>
      </x:c>
      <x:c r="AF80" s="12" t="str">
        <x:f>IF(AC80="PUBLIC_CANDIDATE","TIDELOCK + Lucerna",IF(AC80="PRIVATE_REVIEW","AtlasBrain + Lucerna","TIDELOCK + Lucerna + Human-root"))</x:f>
        <x:v>TIDELOCK + Lucerna</x:v>
      </x:c>
      <x:c r="AG80" s="12" t="str">
        <x:f>IF(AND(AC80="PUBLIC_CANDIDATE",U80&lt;&gt;"BLOCKED_PENDING_RECEIPT"),"READY_AFTER_RECEIPT","NOT_READY")</x:f>
        <x:v>NOT_READY</x:v>
      </x:c>
      <x:c r="AH80" s="12" t="str">
        <x:f>IF(AC80="PUBLIC_CANDIDATE","none",AD80)</x:f>
        <x:v>none</x:v>
      </x:c>
      <x:c r="AI80" s="12" t="str">
        <x:f>IF(AC80="PUBLIC_CANDIDATE","archive/public_candidates/"&amp;A80,"private_quarantine/"&amp;A80)</x:f>
        <x:v>archive/public_candidates/SWARM-01-H07-S07</x:v>
      </x:c>
      <x:c r="AJ80" s="12" t="str">
        <x:f>IF(AC80="PUBLIC_CANDIDATE","public by default; still not canon","private/hold; do not publish")</x:f>
        <x:v>public by default; still not canon</x:v>
      </x:c>
      <x:c r="AK80" s="12" t="str">
        <x:f>IF(AE80="prepare_public_github_candidate","add receipt/status then mirror","resolve blocker before any public GitHub action")</x:f>
        <x:v>add receipt/status then mirror</x:v>
      </x:c>
    </x:row>
    <x:row r="81">
      <x:c r="A81" s="15" t="str">
        <x:v>SWARM-01-H07-S08</x:v>
      </x:c>
      <x:c r="B81" s="15" t="str">
        <x:v>Ledgerwake</x:v>
      </x:c>
      <x:c r="C81" s="15" t="str">
        <x:v>Source receipt keeper</x:v>
      </x:c>
      <x:c r="D81" s="15" t="str">
        <x:v>Graph Node Proposals</x:v>
      </x:c>
      <x:c r="E81" s="15" t="str">
        <x:v>Sheldonbrain</x:v>
      </x:c>
      <x:c r="F81" s="15" t="str">
        <x:v>Propose graph nodes for Sheldonbrain — Ledgerwake</x:v>
      </x:c>
      <x:c r="G81" s="15" t="str">
        <x:v>inventory / receipts / raw custody</x:v>
      </x:c>
      <x:c r="H81" s="15" t="str">
        <x:v>source path + receipt + raw/export status + claim/edge/risk delta</x:v>
      </x:c>
      <x:c r="I81" s="15" t="str">
        <x:v>packet/SWARM-01-H07-S08</x:v>
      </x:c>
      <x:c r="J81" s="15" t="str">
        <x:v>TODO</x:v>
      </x:c>
      <x:c r="K81" s="15" t="str">
        <x:v>P1</x:v>
      </x:c>
      <x:c r="L81" s="15" t="str">
        <x:v>Done only when evidence is logged, contradiction search is noted, and boundary stamp remains non-canon unless ratified</x:v>
      </x:c>
      <x:c r="M81" s="15" t="str">
        <x:v>candidate / staging-only / not canon / not deployed / authority none</x:v>
      </x:c>
      <x:c r="N81" s="15" t="str">
        <x:v>Dispatch to Ledgerwake: complete Graph Node Proposals x Sheldonbrain; return deltas only, receipts required.</x:v>
      </x:c>
      <x:c r="O81" s="15" t="str">
        <x:v>AF-KG-H07-S08</x:v>
      </x:c>
      <x:c r="P81" s="15" t="str">
        <x:v>Unverified</x:v>
      </x:c>
      <x:c r="Q81" s="15" t="str">
        <x:v>Not checked</x:v>
      </x:c>
      <x:c r="R81" s="15" t="str"/>
      <x:c r="S81" s="15" t="str"/>
      <x:c r="T81" s="15" t="str">
        <x:v>Log first source path or blocker</x:v>
      </x:c>
      <x:c r="U81" s="12" t="str">
        <x:f>IF(OR(P81="Unverified",Q81="Not checked"),"BLOCKED_PENDING_RECEIPT","READY_FOR_REVIEW")</x:f>
        <x:v>BLOCKED_PENDING_RECEIPT</x:v>
      </x:c>
      <x:c r="V81" s="12" t="str">
        <x:f>IF(J81="DONE","RETURNED",IF(U81="BLOCKED_PENDING_RECEIPT","SOURCE_TOUCH_REQUIRED","IN_PROGRESS"))</x:f>
        <x:v>SOURCE_TOUCH_REQUIRED</x:v>
      </x:c>
      <x:c r="W81" s="12" t="str">
        <x:f>IF(P81="Unverified","missing_receipt","receipt_logged")</x:f>
        <x:v>missing_receipt</x:v>
      </x:c>
      <x:c r="X81" s="12" t="str">
        <x:f>IF(Q81="Not checked","raw_status_missing","raw_status_logged")</x:f>
        <x:v>raw_status_missing</x:v>
      </x:c>
      <x:c r="Y81" s="12" t="str">
        <x:f>IF(U81="BLOCKED_PENDING_RECEIPT","Log source path or blocker; do not promote","Route to review lane")</x:f>
        <x:v>Log source path or blocker; do not promote</x:v>
      </x:c>
      <x:c r="Z81" s="12" t="str">
        <x:f>IF(K81="P0","Primary seat + Hashlight/Lucerna","Seat lane")</x:f>
        <x:v>Seat lane</x:v>
      </x:c>
      <x:c r="AA81" s="12" t="str">
        <x:f>IF(R81="","no_claim_delta","claim_delta_present")</x:f>
        <x:v>no_claim_delta</x:v>
      </x:c>
      <x:c r="AB81" s="12" t="str">
        <x:f>IF(S81="","no_contradiction_delta","contradiction_delta_present")</x:f>
        <x:v>no_contradiction_delta</x:v>
      </x:c>
      <x:c r="AC81" s="12" t="str">
        <x:f>IF(OR(ISNUMBER(SEARCH("hacker",LOWER(F81&amp;" "&amp;H81&amp;" "&amp;I81&amp;" "&amp;M81&amp;" "&amp;N81&amp;" "&amp;T81))),ISNUMBER(SEARCH("hacking",LOWER(F81&amp;" "&amp;H81&amp;" "&amp;I81&amp;" "&amp;M81&amp;" "&amp;N81&amp;" "&amp;T81))),ISNUMBER(SEARCH("bank",LOWER(F81&amp;" "&amp;H81&amp;" "&amp;I81&amp;" "&amp;M81&amp;" "&amp;N81&amp;" "&amp;T81))),ISNUMBER(SEARCH("banking",LOWER(F81&amp;" "&amp;H81&amp;" "&amp;I81&amp;" "&amp;M81&amp;" "&amp;N81&amp;" "&amp;T81)))),"PRIVATE_QUARANTINE",IF(OR(ISNUMBER(SEARCH("treasury",LOWER(F81&amp;" "&amp;H81&amp;" "&amp;I81&amp;" "&amp;M81&amp;" "&amp;N81&amp;" "&amp;T81))),ISNUMBER(SEARCH("debt",LOWER(F81&amp;" "&amp;H81&amp;" "&amp;I81&amp;" "&amp;M81&amp;" "&amp;N81&amp;" "&amp;T81))),ISNUMBER(SEARCH("bond",LOWER(F81&amp;" "&amp;H81&amp;" "&amp;I81&amp;" "&amp;M81&amp;" "&amp;N81&amp;" "&amp;T81))),ISNUMBER(SEARCH("transaction",LOWER(F81&amp;" "&amp;H81&amp;" "&amp;I81&amp;" "&amp;M81&amp;" "&amp;N81&amp;" "&amp;T81)))),"PRIVATE_REVIEW","PUBLIC_CANDIDATE"))</x:f>
        <x:v>PUBLIC_CANDIDATE</x:v>
      </x:c>
      <x:c r="AD81" s="12" t="str">
        <x:f>IF(AC81="PRIVATE_QUARANTINE","hacker_or_bank_trigger",IF(AC81="PRIVATE_REVIEW","finance_risk_trigger","none"))</x:f>
        <x:v>none</x:v>
      </x:c>
      <x:c r="AE81" s="12" t="str">
        <x:f>IF(AC81="PUBLIC_CANDIDATE","prepare_public_github_candidate",IF(AC81="PRIVATE_REVIEW","hold_for_private_review","quarantine_private_do_not_publish"))</x:f>
        <x:v>prepare_public_github_candidate</x:v>
      </x:c>
      <x:c r="AF81" s="12" t="str">
        <x:f>IF(AC81="PUBLIC_CANDIDATE","TIDELOCK + Lucerna",IF(AC81="PRIVATE_REVIEW","AtlasBrain + Lucerna","TIDELOCK + Lucerna + Human-root"))</x:f>
        <x:v>TIDELOCK + Lucerna</x:v>
      </x:c>
      <x:c r="AG81" s="12" t="str">
        <x:f>IF(AND(AC81="PUBLIC_CANDIDATE",U81&lt;&gt;"BLOCKED_PENDING_RECEIPT"),"READY_AFTER_RECEIPT","NOT_READY")</x:f>
        <x:v>NOT_READY</x:v>
      </x:c>
      <x:c r="AH81" s="12" t="str">
        <x:f>IF(AC81="PUBLIC_CANDIDATE","none",AD81)</x:f>
        <x:v>none</x:v>
      </x:c>
      <x:c r="AI81" s="12" t="str">
        <x:f>IF(AC81="PUBLIC_CANDIDATE","archive/public_candidates/"&amp;A81,"private_quarantine/"&amp;A81)</x:f>
        <x:v>archive/public_candidates/SWARM-01-H07-S08</x:v>
      </x:c>
      <x:c r="AJ81" s="12" t="str">
        <x:f>IF(AC81="PUBLIC_CANDIDATE","public by default; still not canon","private/hold; do not publish")</x:f>
        <x:v>public by default; still not canon</x:v>
      </x:c>
      <x:c r="AK81" s="12" t="str">
        <x:f>IF(AE81="prepare_public_github_candidate","add receipt/status then mirror","resolve blocker before any public GitHub action")</x:f>
        <x:v>add receipt/status then mirror</x:v>
      </x:c>
    </x:row>
    <x:row r="82">
      <x:c r="A82" s="15" t="str">
        <x:v>SWARM-01-H07-S09</x:v>
      </x:c>
      <x:c r="B82" s="15" t="str">
        <x:v>Ledgerwake</x:v>
      </x:c>
      <x:c r="C82" s="15" t="str">
        <x:v>Source receipt keeper</x:v>
      </x:c>
      <x:c r="D82" s="15" t="str">
        <x:v>Graph Node Proposals</x:v>
      </x:c>
      <x:c r="E82" s="15" t="str">
        <x:v>Aetherforge</x:v>
      </x:c>
      <x:c r="F82" s="15" t="str">
        <x:v>Propose graph nodes for Aetherforge — Ledgerwake</x:v>
      </x:c>
      <x:c r="G82" s="15" t="str">
        <x:v>inventory / receipts / raw custody</x:v>
      </x:c>
      <x:c r="H82" s="15" t="str">
        <x:v>source path + receipt + raw/export status + claim/edge/risk delta</x:v>
      </x:c>
      <x:c r="I82" s="15" t="str">
        <x:v>packet/SWARM-01-H07-S09</x:v>
      </x:c>
      <x:c r="J82" s="15" t="str">
        <x:v>TODO</x:v>
      </x:c>
      <x:c r="K82" s="15" t="str">
        <x:v>P2</x:v>
      </x:c>
      <x:c r="L82" s="15" t="str">
        <x:v>Done only when evidence is logged, contradiction search is noted, and boundary stamp remains non-canon unless ratified</x:v>
      </x:c>
      <x:c r="M82" s="15" t="str">
        <x:v>candidate / staging-only / not canon / not deployed / authority none</x:v>
      </x:c>
      <x:c r="N82" s="15" t="str">
        <x:v>Dispatch to Ledgerwake: complete Graph Node Proposals x Aetherforge; return deltas only, receipts required.</x:v>
      </x:c>
      <x:c r="O82" s="15" t="str">
        <x:v>AF-KG-H07-S09</x:v>
      </x:c>
      <x:c r="P82" s="15" t="str">
        <x:v>Unverified</x:v>
      </x:c>
      <x:c r="Q82" s="15" t="str">
        <x:v>Not checked</x:v>
      </x:c>
      <x:c r="R82" s="15" t="str"/>
      <x:c r="S82" s="15" t="str"/>
      <x:c r="T82" s="15" t="str">
        <x:v>Log first source path or blocker</x:v>
      </x:c>
      <x:c r="U82" s="12" t="str">
        <x:f>IF(OR(P82="Unverified",Q82="Not checked"),"BLOCKED_PENDING_RECEIPT","READY_FOR_REVIEW")</x:f>
        <x:v>BLOCKED_PENDING_RECEIPT</x:v>
      </x:c>
      <x:c r="V82" s="12" t="str">
        <x:f>IF(J82="DONE","RETURNED",IF(U82="BLOCKED_PENDING_RECEIPT","SOURCE_TOUCH_REQUIRED","IN_PROGRESS"))</x:f>
        <x:v>SOURCE_TOUCH_REQUIRED</x:v>
      </x:c>
      <x:c r="W82" s="12" t="str">
        <x:f>IF(P82="Unverified","missing_receipt","receipt_logged")</x:f>
        <x:v>missing_receipt</x:v>
      </x:c>
      <x:c r="X82" s="12" t="str">
        <x:f>IF(Q82="Not checked","raw_status_missing","raw_status_logged")</x:f>
        <x:v>raw_status_missing</x:v>
      </x:c>
      <x:c r="Y82" s="12" t="str">
        <x:f>IF(U82="BLOCKED_PENDING_RECEIPT","Log source path or blocker; do not promote","Route to review lane")</x:f>
        <x:v>Log source path or blocker; do not promote</x:v>
      </x:c>
      <x:c r="Z82" s="12" t="str">
        <x:f>IF(K82="P0","Primary seat + Hashlight/Lucerna","Seat lane")</x:f>
        <x:v>Seat lane</x:v>
      </x:c>
      <x:c r="AA82" s="12" t="str">
        <x:f>IF(R82="","no_claim_delta","claim_delta_present")</x:f>
        <x:v>no_claim_delta</x:v>
      </x:c>
      <x:c r="AB82" s="12" t="str">
        <x:f>IF(S82="","no_contradiction_delta","contradiction_delta_present")</x:f>
        <x:v>no_contradiction_delta</x:v>
      </x:c>
      <x:c r="AC82" s="12" t="str">
        <x:f>IF(OR(ISNUMBER(SEARCH("hacker",LOWER(F82&amp;" "&amp;H82&amp;" "&amp;I82&amp;" "&amp;M82&amp;" "&amp;N82&amp;" "&amp;T82))),ISNUMBER(SEARCH("hacking",LOWER(F82&amp;" "&amp;H82&amp;" "&amp;I82&amp;" "&amp;M82&amp;" "&amp;N82&amp;" "&amp;T82))),ISNUMBER(SEARCH("bank",LOWER(F82&amp;" "&amp;H82&amp;" "&amp;I82&amp;" "&amp;M82&amp;" "&amp;N82&amp;" "&amp;T82))),ISNUMBER(SEARCH("banking",LOWER(F82&amp;" "&amp;H82&amp;" "&amp;I82&amp;" "&amp;M82&amp;" "&amp;N82&amp;" "&amp;T82)))),"PRIVATE_QUARANTINE",IF(OR(ISNUMBER(SEARCH("treasury",LOWER(F82&amp;" "&amp;H82&amp;" "&amp;I82&amp;" "&amp;M82&amp;" "&amp;N82&amp;" "&amp;T82))),ISNUMBER(SEARCH("debt",LOWER(F82&amp;" "&amp;H82&amp;" "&amp;I82&amp;" "&amp;M82&amp;" "&amp;N82&amp;" "&amp;T82))),ISNUMBER(SEARCH("bond",LOWER(F82&amp;" "&amp;H82&amp;" "&amp;I82&amp;" "&amp;M82&amp;" "&amp;N82&amp;" "&amp;T82))),ISNUMBER(SEARCH("transaction",LOWER(F82&amp;" "&amp;H82&amp;" "&amp;I82&amp;" "&amp;M82&amp;" "&amp;N82&amp;" "&amp;T82)))),"PRIVATE_REVIEW","PUBLIC_CANDIDATE"))</x:f>
        <x:v>PUBLIC_CANDIDATE</x:v>
      </x:c>
      <x:c r="AD82" s="12" t="str">
        <x:f>IF(AC82="PRIVATE_QUARANTINE","hacker_or_bank_trigger",IF(AC82="PRIVATE_REVIEW","finance_risk_trigger","none"))</x:f>
        <x:v>none</x:v>
      </x:c>
      <x:c r="AE82" s="12" t="str">
        <x:f>IF(AC82="PUBLIC_CANDIDATE","prepare_public_github_candidate",IF(AC82="PRIVATE_REVIEW","hold_for_private_review","quarantine_private_do_not_publish"))</x:f>
        <x:v>prepare_public_github_candidate</x:v>
      </x:c>
      <x:c r="AF82" s="12" t="str">
        <x:f>IF(AC82="PUBLIC_CANDIDATE","TIDELOCK + Lucerna",IF(AC82="PRIVATE_REVIEW","AtlasBrain + Lucerna","TIDELOCK + Lucerna + Human-root"))</x:f>
        <x:v>TIDELOCK + Lucerna</x:v>
      </x:c>
      <x:c r="AG82" s="12" t="str">
        <x:f>IF(AND(AC82="PUBLIC_CANDIDATE",U82&lt;&gt;"BLOCKED_PENDING_RECEIPT"),"READY_AFTER_RECEIPT","NOT_READY")</x:f>
        <x:v>NOT_READY</x:v>
      </x:c>
      <x:c r="AH82" s="12" t="str">
        <x:f>IF(AC82="PUBLIC_CANDIDATE","none",AD82)</x:f>
        <x:v>none</x:v>
      </x:c>
      <x:c r="AI82" s="12" t="str">
        <x:f>IF(AC82="PUBLIC_CANDIDATE","archive/public_candidates/"&amp;A82,"private_quarantine/"&amp;A82)</x:f>
        <x:v>archive/public_candidates/SWARM-01-H07-S09</x:v>
      </x:c>
      <x:c r="AJ82" s="12" t="str">
        <x:f>IF(AC82="PUBLIC_CANDIDATE","public by default; still not canon","private/hold; do not publish")</x:f>
        <x:v>public by default; still not canon</x:v>
      </x:c>
      <x:c r="AK82" s="12" t="str">
        <x:f>IF(AE82="prepare_public_github_candidate","add receipt/status then mirror","resolve blocker before any public GitHub action")</x:f>
        <x:v>add receipt/status then mirror</x:v>
      </x:c>
    </x:row>
    <x:row r="83">
      <x:c r="A83" s="15" t="str">
        <x:v>SWARM-01-H07-S10</x:v>
      </x:c>
      <x:c r="B83" s="15" t="str">
        <x:v>Ledgerwake</x:v>
      </x:c>
      <x:c r="C83" s="15" t="str">
        <x:v>Source receipt keeper</x:v>
      </x:c>
      <x:c r="D83" s="15" t="str">
        <x:v>Graph Node Proposals</x:v>
      </x:c>
      <x:c r="E83" s="15" t="str">
        <x:v>Human-Root</x:v>
      </x:c>
      <x:c r="F83" s="15" t="str">
        <x:v>Propose graph nodes for Human-Root — Ledgerwake</x:v>
      </x:c>
      <x:c r="G83" s="15" t="str">
        <x:v>inventory / receipts / raw custody</x:v>
      </x:c>
      <x:c r="H83" s="15" t="str">
        <x:v>source path + receipt + raw/export status + claim/edge/risk delta</x:v>
      </x:c>
      <x:c r="I83" s="15" t="str">
        <x:v>packet/SWARM-01-H07-S10</x:v>
      </x:c>
      <x:c r="J83" s="15" t="str">
        <x:v>TODO</x:v>
      </x:c>
      <x:c r="K83" s="15" t="str">
        <x:v>P2</x:v>
      </x:c>
      <x:c r="L83" s="15" t="str">
        <x:v>Done only when evidence is logged, contradiction search is noted, and boundary stamp remains non-canon unless ratified</x:v>
      </x:c>
      <x:c r="M83" s="15" t="str">
        <x:v>candidate / staging-only / not canon / not deployed / authority none</x:v>
      </x:c>
      <x:c r="N83" s="15" t="str">
        <x:v>Dispatch to Ledgerwake: complete Graph Node Proposals x Human-Root; return deltas only, receipts required.</x:v>
      </x:c>
      <x:c r="O83" s="15" t="str">
        <x:v>AF-KG-H07-S10</x:v>
      </x:c>
      <x:c r="P83" s="15" t="str">
        <x:v>Unverified</x:v>
      </x:c>
      <x:c r="Q83" s="15" t="str">
        <x:v>Not checked</x:v>
      </x:c>
      <x:c r="R83" s="15" t="str"/>
      <x:c r="S83" s="15" t="str"/>
      <x:c r="T83" s="15" t="str">
        <x:v>Log first source path or blocker</x:v>
      </x:c>
      <x:c r="U83" s="12" t="str">
        <x:f>IF(OR(P83="Unverified",Q83="Not checked"),"BLOCKED_PENDING_RECEIPT","READY_FOR_REVIEW")</x:f>
        <x:v>BLOCKED_PENDING_RECEIPT</x:v>
      </x:c>
      <x:c r="V83" s="12" t="str">
        <x:f>IF(J83="DONE","RETURNED",IF(U83="BLOCKED_PENDING_RECEIPT","SOURCE_TOUCH_REQUIRED","IN_PROGRESS"))</x:f>
        <x:v>SOURCE_TOUCH_REQUIRED</x:v>
      </x:c>
      <x:c r="W83" s="12" t="str">
        <x:f>IF(P83="Unverified","missing_receipt","receipt_logged")</x:f>
        <x:v>missing_receipt</x:v>
      </x:c>
      <x:c r="X83" s="12" t="str">
        <x:f>IF(Q83="Not checked","raw_status_missing","raw_status_logged")</x:f>
        <x:v>raw_status_missing</x:v>
      </x:c>
      <x:c r="Y83" s="12" t="str">
        <x:f>IF(U83="BLOCKED_PENDING_RECEIPT","Log source path or blocker; do not promote","Route to review lane")</x:f>
        <x:v>Log source path or blocker; do not promote</x:v>
      </x:c>
      <x:c r="Z83" s="12" t="str">
        <x:f>IF(K83="P0","Primary seat + Hashlight/Lucerna","Seat lane")</x:f>
        <x:v>Seat lane</x:v>
      </x:c>
      <x:c r="AA83" s="12" t="str">
        <x:f>IF(R83="","no_claim_delta","claim_delta_present")</x:f>
        <x:v>no_claim_delta</x:v>
      </x:c>
      <x:c r="AB83" s="12" t="str">
        <x:f>IF(S83="","no_contradiction_delta","contradiction_delta_present")</x:f>
        <x:v>no_contradiction_delta</x:v>
      </x:c>
      <x:c r="AC83" s="12" t="str">
        <x:f>IF(OR(ISNUMBER(SEARCH("hacker",LOWER(F83&amp;" "&amp;H83&amp;" "&amp;I83&amp;" "&amp;M83&amp;" "&amp;N83&amp;" "&amp;T83))),ISNUMBER(SEARCH("hacking",LOWER(F83&amp;" "&amp;H83&amp;" "&amp;I83&amp;" "&amp;M83&amp;" "&amp;N83&amp;" "&amp;T83))),ISNUMBER(SEARCH("bank",LOWER(F83&amp;" "&amp;H83&amp;" "&amp;I83&amp;" "&amp;M83&amp;" "&amp;N83&amp;" "&amp;T83))),ISNUMBER(SEARCH("banking",LOWER(F83&amp;" "&amp;H83&amp;" "&amp;I83&amp;" "&amp;M83&amp;" "&amp;N83&amp;" "&amp;T83)))),"PRIVATE_QUARANTINE",IF(OR(ISNUMBER(SEARCH("treasury",LOWER(F83&amp;" "&amp;H83&amp;" "&amp;I83&amp;" "&amp;M83&amp;" "&amp;N83&amp;" "&amp;T83))),ISNUMBER(SEARCH("debt",LOWER(F83&amp;" "&amp;H83&amp;" "&amp;I83&amp;" "&amp;M83&amp;" "&amp;N83&amp;" "&amp;T83))),ISNUMBER(SEARCH("bond",LOWER(F83&amp;" "&amp;H83&amp;" "&amp;I83&amp;" "&amp;M83&amp;" "&amp;N83&amp;" "&amp;T83))),ISNUMBER(SEARCH("transaction",LOWER(F83&amp;" "&amp;H83&amp;" "&amp;I83&amp;" "&amp;M83&amp;" "&amp;N83&amp;" "&amp;T83)))),"PRIVATE_REVIEW","PUBLIC_CANDIDATE"))</x:f>
        <x:v>PUBLIC_CANDIDATE</x:v>
      </x:c>
      <x:c r="AD83" s="12" t="str">
        <x:f>IF(AC83="PRIVATE_QUARANTINE","hacker_or_bank_trigger",IF(AC83="PRIVATE_REVIEW","finance_risk_trigger","none"))</x:f>
        <x:v>none</x:v>
      </x:c>
      <x:c r="AE83" s="12" t="str">
        <x:f>IF(AC83="PUBLIC_CANDIDATE","prepare_public_github_candidate",IF(AC83="PRIVATE_REVIEW","hold_for_private_review","quarantine_private_do_not_publish"))</x:f>
        <x:v>prepare_public_github_candidate</x:v>
      </x:c>
      <x:c r="AF83" s="12" t="str">
        <x:f>IF(AC83="PUBLIC_CANDIDATE","TIDELOCK + Lucerna",IF(AC83="PRIVATE_REVIEW","AtlasBrain + Lucerna","TIDELOCK + Lucerna + Human-root"))</x:f>
        <x:v>TIDELOCK + Lucerna</x:v>
      </x:c>
      <x:c r="AG83" s="12" t="str">
        <x:f>IF(AND(AC83="PUBLIC_CANDIDATE",U83&lt;&gt;"BLOCKED_PENDING_RECEIPT"),"READY_AFTER_RECEIPT","NOT_READY")</x:f>
        <x:v>NOT_READY</x:v>
      </x:c>
      <x:c r="AH83" s="12" t="str">
        <x:f>IF(AC83="PUBLIC_CANDIDATE","none",AD83)</x:f>
        <x:v>none</x:v>
      </x:c>
      <x:c r="AI83" s="12" t="str">
        <x:f>IF(AC83="PUBLIC_CANDIDATE","archive/public_candidates/"&amp;A83,"private_quarantine/"&amp;A83)</x:f>
        <x:v>archive/public_candidates/SWARM-01-H07-S10</x:v>
      </x:c>
      <x:c r="AJ83" s="12" t="str">
        <x:f>IF(AC83="PUBLIC_CANDIDATE","public by default; still not canon","private/hold; do not publish")</x:f>
        <x:v>public by default; still not canon</x:v>
      </x:c>
      <x:c r="AK83" s="12" t="str">
        <x:f>IF(AE83="prepare_public_github_candidate","add receipt/status then mirror","resolve blocker before any public GitHub action")</x:f>
        <x:v>add receipt/status then mirror</x:v>
      </x:c>
    </x:row>
    <x:row r="84">
      <x:c r="A84" s="15" t="str">
        <x:v>SWARM-01-H07-S11</x:v>
      </x:c>
      <x:c r="B84" s="15" t="str">
        <x:v>Ledgerwake</x:v>
      </x:c>
      <x:c r="C84" s="15" t="str">
        <x:v>Source receipt keeper</x:v>
      </x:c>
      <x:c r="D84" s="15" t="str">
        <x:v>Graph Node Proposals</x:v>
      </x:c>
      <x:c r="E84" s="15" t="str">
        <x:v>Automation</x:v>
      </x:c>
      <x:c r="F84" s="15" t="str">
        <x:v>Propose graph nodes for Automation — Ledgerwake</x:v>
      </x:c>
      <x:c r="G84" s="15" t="str">
        <x:v>inventory / receipts / raw custody</x:v>
      </x:c>
      <x:c r="H84" s="15" t="str">
        <x:v>source path + receipt + raw/export status + claim/edge/risk delta</x:v>
      </x:c>
      <x:c r="I84" s="15" t="str">
        <x:v>packet/SWARM-01-H07-S11</x:v>
      </x:c>
      <x:c r="J84" s="15" t="str">
        <x:v>TODO</x:v>
      </x:c>
      <x:c r="K84" s="15" t="str">
        <x:v>P2</x:v>
      </x:c>
      <x:c r="L84" s="15" t="str">
        <x:v>Done only when evidence is logged, contradiction search is noted, and boundary stamp remains non-canon unless ratified</x:v>
      </x:c>
      <x:c r="M84" s="15" t="str">
        <x:v>candidate / staging-only / not canon / not deployed / authority none</x:v>
      </x:c>
      <x:c r="N84" s="15" t="str">
        <x:v>Dispatch to Ledgerwake: complete Graph Node Proposals x Automation; return deltas only, receipts required.</x:v>
      </x:c>
      <x:c r="O84" s="15" t="str">
        <x:v>AF-KG-H07-S11</x:v>
      </x:c>
      <x:c r="P84" s="15" t="str">
        <x:v>Unverified</x:v>
      </x:c>
      <x:c r="Q84" s="15" t="str">
        <x:v>Not checked</x:v>
      </x:c>
      <x:c r="R84" s="15" t="str"/>
      <x:c r="S84" s="15" t="str"/>
      <x:c r="T84" s="15" t="str">
        <x:v>Log first source path or blocker</x:v>
      </x:c>
      <x:c r="U84" s="12" t="str">
        <x:f>IF(OR(P84="Unverified",Q84="Not checked"),"BLOCKED_PENDING_RECEIPT","READY_FOR_REVIEW")</x:f>
        <x:v>BLOCKED_PENDING_RECEIPT</x:v>
      </x:c>
      <x:c r="V84" s="12" t="str">
        <x:f>IF(J84="DONE","RETURNED",IF(U84="BLOCKED_PENDING_RECEIPT","SOURCE_TOUCH_REQUIRED","IN_PROGRESS"))</x:f>
        <x:v>SOURCE_TOUCH_REQUIRED</x:v>
      </x:c>
      <x:c r="W84" s="12" t="str">
        <x:f>IF(P84="Unverified","missing_receipt","receipt_logged")</x:f>
        <x:v>missing_receipt</x:v>
      </x:c>
      <x:c r="X84" s="12" t="str">
        <x:f>IF(Q84="Not checked","raw_status_missing","raw_status_logged")</x:f>
        <x:v>raw_status_missing</x:v>
      </x:c>
      <x:c r="Y84" s="12" t="str">
        <x:f>IF(U84="BLOCKED_PENDING_RECEIPT","Log source path or blocker; do not promote","Route to review lane")</x:f>
        <x:v>Log source path or blocker; do not promote</x:v>
      </x:c>
      <x:c r="Z84" s="12" t="str">
        <x:f>IF(K84="P0","Primary seat + Hashlight/Lucerna","Seat lane")</x:f>
        <x:v>Seat lane</x:v>
      </x:c>
      <x:c r="AA84" s="12" t="str">
        <x:f>IF(R84="","no_claim_delta","claim_delta_present")</x:f>
        <x:v>no_claim_delta</x:v>
      </x:c>
      <x:c r="AB84" s="12" t="str">
        <x:f>IF(S84="","no_contradiction_delta","contradiction_delta_present")</x:f>
        <x:v>no_contradiction_delta</x:v>
      </x:c>
      <x:c r="AC84" s="12" t="str">
        <x:f>IF(OR(ISNUMBER(SEARCH("hacker",LOWER(F84&amp;" "&amp;H84&amp;" "&amp;I84&amp;" "&amp;M84&amp;" "&amp;N84&amp;" "&amp;T84))),ISNUMBER(SEARCH("hacking",LOWER(F84&amp;" "&amp;H84&amp;" "&amp;I84&amp;" "&amp;M84&amp;" "&amp;N84&amp;" "&amp;T84))),ISNUMBER(SEARCH("bank",LOWER(F84&amp;" "&amp;H84&amp;" "&amp;I84&amp;" "&amp;M84&amp;" "&amp;N84&amp;" "&amp;T84))),ISNUMBER(SEARCH("banking",LOWER(F84&amp;" "&amp;H84&amp;" "&amp;I84&amp;" "&amp;M84&amp;" "&amp;N84&amp;" "&amp;T84)))),"PRIVATE_QUARANTINE",IF(OR(ISNUMBER(SEARCH("treasury",LOWER(F84&amp;" "&amp;H84&amp;" "&amp;I84&amp;" "&amp;M84&amp;" "&amp;N84&amp;" "&amp;T84))),ISNUMBER(SEARCH("debt",LOWER(F84&amp;" "&amp;H84&amp;" "&amp;I84&amp;" "&amp;M84&amp;" "&amp;N84&amp;" "&amp;T84))),ISNUMBER(SEARCH("bond",LOWER(F84&amp;" "&amp;H84&amp;" "&amp;I84&amp;" "&amp;M84&amp;" "&amp;N84&amp;" "&amp;T84))),ISNUMBER(SEARCH("transaction",LOWER(F84&amp;" "&amp;H84&amp;" "&amp;I84&amp;" "&amp;M84&amp;" "&amp;N84&amp;" "&amp;T84)))),"PRIVATE_REVIEW","PUBLIC_CANDIDATE"))</x:f>
        <x:v>PUBLIC_CANDIDATE</x:v>
      </x:c>
      <x:c r="AD84" s="12" t="str">
        <x:f>IF(AC84="PRIVATE_QUARANTINE","hacker_or_bank_trigger",IF(AC84="PRIVATE_REVIEW","finance_risk_trigger","none"))</x:f>
        <x:v>none</x:v>
      </x:c>
      <x:c r="AE84" s="12" t="str">
        <x:f>IF(AC84="PUBLIC_CANDIDATE","prepare_public_github_candidate",IF(AC84="PRIVATE_REVIEW","hold_for_private_review","quarantine_private_do_not_publish"))</x:f>
        <x:v>prepare_public_github_candidate</x:v>
      </x:c>
      <x:c r="AF84" s="12" t="str">
        <x:f>IF(AC84="PUBLIC_CANDIDATE","TIDELOCK + Lucerna",IF(AC84="PRIVATE_REVIEW","AtlasBrain + Lucerna","TIDELOCK + Lucerna + Human-root"))</x:f>
        <x:v>TIDELOCK + Lucerna</x:v>
      </x:c>
      <x:c r="AG84" s="12" t="str">
        <x:f>IF(AND(AC84="PUBLIC_CANDIDATE",U84&lt;&gt;"BLOCKED_PENDING_RECEIPT"),"READY_AFTER_RECEIPT","NOT_READY")</x:f>
        <x:v>NOT_READY</x:v>
      </x:c>
      <x:c r="AH84" s="12" t="str">
        <x:f>IF(AC84="PUBLIC_CANDIDATE","none",AD84)</x:f>
        <x:v>none</x:v>
      </x:c>
      <x:c r="AI84" s="12" t="str">
        <x:f>IF(AC84="PUBLIC_CANDIDATE","archive/public_candidates/"&amp;A84,"private_quarantine/"&amp;A84)</x:f>
        <x:v>archive/public_candidates/SWARM-01-H07-S11</x:v>
      </x:c>
      <x:c r="AJ84" s="12" t="str">
        <x:f>IF(AC84="PUBLIC_CANDIDATE","public by default; still not canon","private/hold; do not publish")</x:f>
        <x:v>public by default; still not canon</x:v>
      </x:c>
      <x:c r="AK84" s="12" t="str">
        <x:f>IF(AE84="prepare_public_github_candidate","add receipt/status then mirror","resolve blocker before any public GitHub action")</x:f>
        <x:v>add receipt/status then mirror</x:v>
      </x:c>
    </x:row>
    <x:row r="85">
      <x:c r="A85" s="15" t="str">
        <x:v>SWARM-01-H07-S12</x:v>
      </x:c>
      <x:c r="B85" s="15" t="str">
        <x:v>Ledgerwake</x:v>
      </x:c>
      <x:c r="C85" s="15" t="str">
        <x:v>Source receipt keeper</x:v>
      </x:c>
      <x:c r="D85" s="15" t="str">
        <x:v>Graph Node Proposals</x:v>
      </x:c>
      <x:c r="E85" s="15" t="str">
        <x:v>Risk / Safety</x:v>
      </x:c>
      <x:c r="F85" s="15" t="str">
        <x:v>Propose graph nodes for Risk / Safety — Ledgerwake</x:v>
      </x:c>
      <x:c r="G85" s="15" t="str">
        <x:v>inventory / receipts / raw custody</x:v>
      </x:c>
      <x:c r="H85" s="15" t="str">
        <x:v>source path + receipt + raw/export status + claim/edge/risk delta</x:v>
      </x:c>
      <x:c r="I85" s="15" t="str">
        <x:v>packet/SWARM-01-H07-S12</x:v>
      </x:c>
      <x:c r="J85" s="15" t="str">
        <x:v>TODO</x:v>
      </x:c>
      <x:c r="K85" s="15" t="str">
        <x:v>P2</x:v>
      </x:c>
      <x:c r="L85" s="15" t="str">
        <x:v>Done only when evidence is logged, contradiction search is noted, and boundary stamp remains non-canon unless ratified</x:v>
      </x:c>
      <x:c r="M85" s="15" t="str">
        <x:v>candidate / staging-only / not canon / not deployed / authority none</x:v>
      </x:c>
      <x:c r="N85" s="15" t="str">
        <x:v>Dispatch to Ledgerwake: complete Graph Node Proposals x Risk / Safety; return deltas only, receipts required.</x:v>
      </x:c>
      <x:c r="O85" s="15" t="str">
        <x:v>AF-KG-H07-S12</x:v>
      </x:c>
      <x:c r="P85" s="15" t="str">
        <x:v>Unverified</x:v>
      </x:c>
      <x:c r="Q85" s="15" t="str">
        <x:v>Not checked</x:v>
      </x:c>
      <x:c r="R85" s="15" t="str"/>
      <x:c r="S85" s="15" t="str"/>
      <x:c r="T85" s="15" t="str">
        <x:v>Log first source path or blocker</x:v>
      </x:c>
      <x:c r="U85" s="12" t="str">
        <x:f>IF(OR(P85="Unverified",Q85="Not checked"),"BLOCKED_PENDING_RECEIPT","READY_FOR_REVIEW")</x:f>
        <x:v>BLOCKED_PENDING_RECEIPT</x:v>
      </x:c>
      <x:c r="V85" s="12" t="str">
        <x:f>IF(J85="DONE","RETURNED",IF(U85="BLOCKED_PENDING_RECEIPT","SOURCE_TOUCH_REQUIRED","IN_PROGRESS"))</x:f>
        <x:v>SOURCE_TOUCH_REQUIRED</x:v>
      </x:c>
      <x:c r="W85" s="12" t="str">
        <x:f>IF(P85="Unverified","missing_receipt","receipt_logged")</x:f>
        <x:v>missing_receipt</x:v>
      </x:c>
      <x:c r="X85" s="12" t="str">
        <x:f>IF(Q85="Not checked","raw_status_missing","raw_status_logged")</x:f>
        <x:v>raw_status_missing</x:v>
      </x:c>
      <x:c r="Y85" s="12" t="str">
        <x:f>IF(U85="BLOCKED_PENDING_RECEIPT","Log source path or blocker; do not promote","Route to review lane")</x:f>
        <x:v>Log source path or blocker; do not promote</x:v>
      </x:c>
      <x:c r="Z85" s="12" t="str">
        <x:f>IF(K85="P0","Primary seat + Hashlight/Lucerna","Seat lane")</x:f>
        <x:v>Seat lane</x:v>
      </x:c>
      <x:c r="AA85" s="12" t="str">
        <x:f>IF(R85="","no_claim_delta","claim_delta_present")</x:f>
        <x:v>no_claim_delta</x:v>
      </x:c>
      <x:c r="AB85" s="12" t="str">
        <x:f>IF(S85="","no_contradiction_delta","contradiction_delta_present")</x:f>
        <x:v>no_contradiction_delta</x:v>
      </x:c>
      <x:c r="AC85" s="12" t="str">
        <x:f>IF(OR(ISNUMBER(SEARCH("hacker",LOWER(F85&amp;" "&amp;H85&amp;" "&amp;I85&amp;" "&amp;M85&amp;" "&amp;N85&amp;" "&amp;T85))),ISNUMBER(SEARCH("hacking",LOWER(F85&amp;" "&amp;H85&amp;" "&amp;I85&amp;" "&amp;M85&amp;" "&amp;N85&amp;" "&amp;T85))),ISNUMBER(SEARCH("bank",LOWER(F85&amp;" "&amp;H85&amp;" "&amp;I85&amp;" "&amp;M85&amp;" "&amp;N85&amp;" "&amp;T85))),ISNUMBER(SEARCH("banking",LOWER(F85&amp;" "&amp;H85&amp;" "&amp;I85&amp;" "&amp;M85&amp;" "&amp;N85&amp;" "&amp;T85)))),"PRIVATE_QUARANTINE",IF(OR(ISNUMBER(SEARCH("treasury",LOWER(F85&amp;" "&amp;H85&amp;" "&amp;I85&amp;" "&amp;M85&amp;" "&amp;N85&amp;" "&amp;T85))),ISNUMBER(SEARCH("debt",LOWER(F85&amp;" "&amp;H85&amp;" "&amp;I85&amp;" "&amp;M85&amp;" "&amp;N85&amp;" "&amp;T85))),ISNUMBER(SEARCH("bond",LOWER(F85&amp;" "&amp;H85&amp;" "&amp;I85&amp;" "&amp;M85&amp;" "&amp;N85&amp;" "&amp;T85))),ISNUMBER(SEARCH("transaction",LOWER(F85&amp;" "&amp;H85&amp;" "&amp;I85&amp;" "&amp;M85&amp;" "&amp;N85&amp;" "&amp;T85)))),"PRIVATE_REVIEW","PUBLIC_CANDIDATE"))</x:f>
        <x:v>PUBLIC_CANDIDATE</x:v>
      </x:c>
      <x:c r="AD85" s="12" t="str">
        <x:f>IF(AC85="PRIVATE_QUARANTINE","hacker_or_bank_trigger",IF(AC85="PRIVATE_REVIEW","finance_risk_trigger","none"))</x:f>
        <x:v>none</x:v>
      </x:c>
      <x:c r="AE85" s="12" t="str">
        <x:f>IF(AC85="PUBLIC_CANDIDATE","prepare_public_github_candidate",IF(AC85="PRIVATE_REVIEW","hold_for_private_review","quarantine_private_do_not_publish"))</x:f>
        <x:v>prepare_public_github_candidate</x:v>
      </x:c>
      <x:c r="AF85" s="12" t="str">
        <x:f>IF(AC85="PUBLIC_CANDIDATE","TIDELOCK + Lucerna",IF(AC85="PRIVATE_REVIEW","AtlasBrain + Lucerna","TIDELOCK + Lucerna + Human-root"))</x:f>
        <x:v>TIDELOCK + Lucerna</x:v>
      </x:c>
      <x:c r="AG85" s="12" t="str">
        <x:f>IF(AND(AC85="PUBLIC_CANDIDATE",U85&lt;&gt;"BLOCKED_PENDING_RECEIPT"),"READY_AFTER_RECEIPT","NOT_READY")</x:f>
        <x:v>NOT_READY</x:v>
      </x:c>
      <x:c r="AH85" s="12" t="str">
        <x:f>IF(AC85="PUBLIC_CANDIDATE","none",AD85)</x:f>
        <x:v>none</x:v>
      </x:c>
      <x:c r="AI85" s="12" t="str">
        <x:f>IF(AC85="PUBLIC_CANDIDATE","archive/public_candidates/"&amp;A85,"private_quarantine/"&amp;A85)</x:f>
        <x:v>archive/public_candidates/SWARM-01-H07-S12</x:v>
      </x:c>
      <x:c r="AJ85" s="12" t="str">
        <x:f>IF(AC85="PUBLIC_CANDIDATE","public by default; still not canon","private/hold; do not publish")</x:f>
        <x:v>public by default; still not canon</x:v>
      </x:c>
      <x:c r="AK85" s="12" t="str">
        <x:f>IF(AE85="prepare_public_github_candidate","add receipt/status then mirror","resolve blocker before any public GitHub action")</x:f>
        <x:v>add receipt/status then mirror</x:v>
      </x:c>
    </x:row>
    <x:row r="86">
      <x:c r="A86" s="15" t="str">
        <x:v>SWARM-01-H08-S01</x:v>
      </x:c>
      <x:c r="B86" s="15" t="str">
        <x:v>Ledgerwake</x:v>
      </x:c>
      <x:c r="C86" s="15" t="str">
        <x:v>Source receipt keeper</x:v>
      </x:c>
      <x:c r="D86" s="15" t="str">
        <x:v>Graph Edge Proposals</x:v>
      </x:c>
      <x:c r="E86" s="15" t="str">
        <x:v>Notion</x:v>
      </x:c>
      <x:c r="F86" s="15" t="str">
        <x:v>Propose graph edges for Notion — Ledgerwake</x:v>
      </x:c>
      <x:c r="G86" s="15" t="str">
        <x:v>inventory / receipts / raw custody</x:v>
      </x:c>
      <x:c r="H86" s="15" t="str">
        <x:v>source path + receipt + raw/export status + claim/edge/risk delta</x:v>
      </x:c>
      <x:c r="I86" s="15" t="str">
        <x:v>packet/SWARM-01-H08-S01</x:v>
      </x:c>
      <x:c r="J86" s="15" t="str">
        <x:v>TODO</x:v>
      </x:c>
      <x:c r="K86" s="15" t="str">
        <x:v>P0</x:v>
      </x:c>
      <x:c r="L86" s="15" t="str">
        <x:v>Done only when evidence is logged, contradiction search is noted, and boundary stamp remains non-canon unless ratified</x:v>
      </x:c>
      <x:c r="M86" s="15" t="str">
        <x:v>candidate / staging-only / not canon / not deployed / authority none</x:v>
      </x:c>
      <x:c r="N86" s="15" t="str">
        <x:v>Dispatch to Ledgerwake: complete Graph Edge Proposals x Notion; return deltas only, receipts required.</x:v>
      </x:c>
      <x:c r="O86" s="15" t="str">
        <x:v>AF-KG-H08-S01</x:v>
      </x:c>
      <x:c r="P86" s="15" t="str">
        <x:v>Unverified</x:v>
      </x:c>
      <x:c r="Q86" s="15" t="str">
        <x:v>Not checked</x:v>
      </x:c>
      <x:c r="R86" s="15" t="str"/>
      <x:c r="S86" s="15" t="str"/>
      <x:c r="T86" s="15" t="str">
        <x:v>Log first source path or blocker</x:v>
      </x:c>
      <x:c r="U86" s="12" t="str">
        <x:f>IF(OR(P86="Unverified",Q86="Not checked"),"BLOCKED_PENDING_RECEIPT","READY_FOR_REVIEW")</x:f>
        <x:v>BLOCKED_PENDING_RECEIPT</x:v>
      </x:c>
      <x:c r="V86" s="12" t="str">
        <x:f>IF(J86="DONE","RETURNED",IF(U86="BLOCKED_PENDING_RECEIPT","SOURCE_TOUCH_REQUIRED","IN_PROGRESS"))</x:f>
        <x:v>SOURCE_TOUCH_REQUIRED</x:v>
      </x:c>
      <x:c r="W86" s="12" t="str">
        <x:f>IF(P86="Unverified","missing_receipt","receipt_logged")</x:f>
        <x:v>missing_receipt</x:v>
      </x:c>
      <x:c r="X86" s="12" t="str">
        <x:f>IF(Q86="Not checked","raw_status_missing","raw_status_logged")</x:f>
        <x:v>raw_status_missing</x:v>
      </x:c>
      <x:c r="Y86" s="12" t="str">
        <x:f>IF(U86="BLOCKED_PENDING_RECEIPT","Log source path or blocker; do not promote","Route to review lane")</x:f>
        <x:v>Log source path or blocker; do not promote</x:v>
      </x:c>
      <x:c r="Z86" s="12" t="str">
        <x:f>IF(K86="P0","Primary seat + Hashlight/Lucerna","Seat lane")</x:f>
        <x:v>Primary seat + Hashlight/Lucerna</x:v>
      </x:c>
      <x:c r="AA86" s="12" t="str">
        <x:f>IF(R86="","no_claim_delta","claim_delta_present")</x:f>
        <x:v>no_claim_delta</x:v>
      </x:c>
      <x:c r="AB86" s="12" t="str">
        <x:f>IF(S86="","no_contradiction_delta","contradiction_delta_present")</x:f>
        <x:v>no_contradiction_delta</x:v>
      </x:c>
      <x:c r="AC86" s="12" t="str">
        <x:f>IF(OR(ISNUMBER(SEARCH("hacker",LOWER(F86&amp;" "&amp;H86&amp;" "&amp;I86&amp;" "&amp;M86&amp;" "&amp;N86&amp;" "&amp;T86))),ISNUMBER(SEARCH("hacking",LOWER(F86&amp;" "&amp;H86&amp;" "&amp;I86&amp;" "&amp;M86&amp;" "&amp;N86&amp;" "&amp;T86))),ISNUMBER(SEARCH("bank",LOWER(F86&amp;" "&amp;H86&amp;" "&amp;I86&amp;" "&amp;M86&amp;" "&amp;N86&amp;" "&amp;T86))),ISNUMBER(SEARCH("banking",LOWER(F86&amp;" "&amp;H86&amp;" "&amp;I86&amp;" "&amp;M86&amp;" "&amp;N86&amp;" "&amp;T86)))),"PRIVATE_QUARANTINE",IF(OR(ISNUMBER(SEARCH("treasury",LOWER(F86&amp;" "&amp;H86&amp;" "&amp;I86&amp;" "&amp;M86&amp;" "&amp;N86&amp;" "&amp;T86))),ISNUMBER(SEARCH("debt",LOWER(F86&amp;" "&amp;H86&amp;" "&amp;I86&amp;" "&amp;M86&amp;" "&amp;N86&amp;" "&amp;T86))),ISNUMBER(SEARCH("bond",LOWER(F86&amp;" "&amp;H86&amp;" "&amp;I86&amp;" "&amp;M86&amp;" "&amp;N86&amp;" "&amp;T86))),ISNUMBER(SEARCH("transaction",LOWER(F86&amp;" "&amp;H86&amp;" "&amp;I86&amp;" "&amp;M86&amp;" "&amp;N86&amp;" "&amp;T86)))),"PRIVATE_REVIEW","PUBLIC_CANDIDATE"))</x:f>
        <x:v>PUBLIC_CANDIDATE</x:v>
      </x:c>
      <x:c r="AD86" s="12" t="str">
        <x:f>IF(AC86="PRIVATE_QUARANTINE","hacker_or_bank_trigger",IF(AC86="PRIVATE_REVIEW","finance_risk_trigger","none"))</x:f>
        <x:v>none</x:v>
      </x:c>
      <x:c r="AE86" s="12" t="str">
        <x:f>IF(AC86="PUBLIC_CANDIDATE","prepare_public_github_candidate",IF(AC86="PRIVATE_REVIEW","hold_for_private_review","quarantine_private_do_not_publish"))</x:f>
        <x:v>prepare_public_github_candidate</x:v>
      </x:c>
      <x:c r="AF86" s="12" t="str">
        <x:f>IF(AC86="PUBLIC_CANDIDATE","TIDELOCK + Lucerna",IF(AC86="PRIVATE_REVIEW","AtlasBrain + Lucerna","TIDELOCK + Lucerna + Human-root"))</x:f>
        <x:v>TIDELOCK + Lucerna</x:v>
      </x:c>
      <x:c r="AG86" s="12" t="str">
        <x:f>IF(AND(AC86="PUBLIC_CANDIDATE",U86&lt;&gt;"BLOCKED_PENDING_RECEIPT"),"READY_AFTER_RECEIPT","NOT_READY")</x:f>
        <x:v>NOT_READY</x:v>
      </x:c>
      <x:c r="AH86" s="12" t="str">
        <x:f>IF(AC86="PUBLIC_CANDIDATE","none",AD86)</x:f>
        <x:v>none</x:v>
      </x:c>
      <x:c r="AI86" s="12" t="str">
        <x:f>IF(AC86="PUBLIC_CANDIDATE","archive/public_candidates/"&amp;A86,"private_quarantine/"&amp;A86)</x:f>
        <x:v>archive/public_candidates/SWARM-01-H08-S01</x:v>
      </x:c>
      <x:c r="AJ86" s="12" t="str">
        <x:f>IF(AC86="PUBLIC_CANDIDATE","public by default; still not canon","private/hold; do not publish")</x:f>
        <x:v>public by default; still not canon</x:v>
      </x:c>
      <x:c r="AK86" s="12" t="str">
        <x:f>IF(AE86="prepare_public_github_candidate","add receipt/status then mirror","resolve blocker before any public GitHub action")</x:f>
        <x:v>add receipt/status then mirror</x:v>
      </x:c>
    </x:row>
    <x:row r="87">
      <x:c r="A87" s="15" t="str">
        <x:v>SWARM-01-H08-S02</x:v>
      </x:c>
      <x:c r="B87" s="15" t="str">
        <x:v>Ledgerwake</x:v>
      </x:c>
      <x:c r="C87" s="15" t="str">
        <x:v>Source receipt keeper</x:v>
      </x:c>
      <x:c r="D87" s="15" t="str">
        <x:v>Graph Edge Proposals</x:v>
      </x:c>
      <x:c r="E87" s="15" t="str">
        <x:v>Drive</x:v>
      </x:c>
      <x:c r="F87" s="15" t="str">
        <x:v>Propose graph edges for Drive — Ledgerwake</x:v>
      </x:c>
      <x:c r="G87" s="15" t="str">
        <x:v>inventory / receipts / raw custody</x:v>
      </x:c>
      <x:c r="H87" s="15" t="str">
        <x:v>source path + receipt + raw/export status + claim/edge/risk delta</x:v>
      </x:c>
      <x:c r="I87" s="15" t="str">
        <x:v>packet/SWARM-01-H08-S02</x:v>
      </x:c>
      <x:c r="J87" s="15" t="str">
        <x:v>TODO</x:v>
      </x:c>
      <x:c r="K87" s="15" t="str">
        <x:v>P0</x:v>
      </x:c>
      <x:c r="L87" s="15" t="str">
        <x:v>Done only when evidence is logged, contradiction search is noted, and boundary stamp remains non-canon unless ratified</x:v>
      </x:c>
      <x:c r="M87" s="15" t="str">
        <x:v>candidate / staging-only / not canon / not deployed / authority none</x:v>
      </x:c>
      <x:c r="N87" s="15" t="str">
        <x:v>Dispatch to Ledgerwake: complete Graph Edge Proposals x Drive; return deltas only, receipts required.</x:v>
      </x:c>
      <x:c r="O87" s="15" t="str">
        <x:v>AF-KG-H08-S02</x:v>
      </x:c>
      <x:c r="P87" s="15" t="str">
        <x:v>Unverified</x:v>
      </x:c>
      <x:c r="Q87" s="15" t="str">
        <x:v>Not checked</x:v>
      </x:c>
      <x:c r="R87" s="15" t="str"/>
      <x:c r="S87" s="15" t="str"/>
      <x:c r="T87" s="15" t="str">
        <x:v>Log first source path or blocker</x:v>
      </x:c>
      <x:c r="U87" s="12" t="str">
        <x:f>IF(OR(P87="Unverified",Q87="Not checked"),"BLOCKED_PENDING_RECEIPT","READY_FOR_REVIEW")</x:f>
        <x:v>BLOCKED_PENDING_RECEIPT</x:v>
      </x:c>
      <x:c r="V87" s="12" t="str">
        <x:f>IF(J87="DONE","RETURNED",IF(U87="BLOCKED_PENDING_RECEIPT","SOURCE_TOUCH_REQUIRED","IN_PROGRESS"))</x:f>
        <x:v>SOURCE_TOUCH_REQUIRED</x:v>
      </x:c>
      <x:c r="W87" s="12" t="str">
        <x:f>IF(P87="Unverified","missing_receipt","receipt_logged")</x:f>
        <x:v>missing_receipt</x:v>
      </x:c>
      <x:c r="X87" s="12" t="str">
        <x:f>IF(Q87="Not checked","raw_status_missing","raw_status_logged")</x:f>
        <x:v>raw_status_missing</x:v>
      </x:c>
      <x:c r="Y87" s="12" t="str">
        <x:f>IF(U87="BLOCKED_PENDING_RECEIPT","Log source path or blocker; do not promote","Route to review lane")</x:f>
        <x:v>Log source path or blocker; do not promote</x:v>
      </x:c>
      <x:c r="Z87" s="12" t="str">
        <x:f>IF(K87="P0","Primary seat + Hashlight/Lucerna","Seat lane")</x:f>
        <x:v>Primary seat + Hashlight/Lucerna</x:v>
      </x:c>
      <x:c r="AA87" s="12" t="str">
        <x:f>IF(R87="","no_claim_delta","claim_delta_present")</x:f>
        <x:v>no_claim_delta</x:v>
      </x:c>
      <x:c r="AB87" s="12" t="str">
        <x:f>IF(S87="","no_contradiction_delta","contradiction_delta_present")</x:f>
        <x:v>no_contradiction_delta</x:v>
      </x:c>
      <x:c r="AC87" s="12" t="str">
        <x:f>IF(OR(ISNUMBER(SEARCH("hacker",LOWER(F87&amp;" "&amp;H87&amp;" "&amp;I87&amp;" "&amp;M87&amp;" "&amp;N87&amp;" "&amp;T87))),ISNUMBER(SEARCH("hacking",LOWER(F87&amp;" "&amp;H87&amp;" "&amp;I87&amp;" "&amp;M87&amp;" "&amp;N87&amp;" "&amp;T87))),ISNUMBER(SEARCH("bank",LOWER(F87&amp;" "&amp;H87&amp;" "&amp;I87&amp;" "&amp;M87&amp;" "&amp;N87&amp;" "&amp;T87))),ISNUMBER(SEARCH("banking",LOWER(F87&amp;" "&amp;H87&amp;" "&amp;I87&amp;" "&amp;M87&amp;" "&amp;N87&amp;" "&amp;T87)))),"PRIVATE_QUARANTINE",IF(OR(ISNUMBER(SEARCH("treasury",LOWER(F87&amp;" "&amp;H87&amp;" "&amp;I87&amp;" "&amp;M87&amp;" "&amp;N87&amp;" "&amp;T87))),ISNUMBER(SEARCH("debt",LOWER(F87&amp;" "&amp;H87&amp;" "&amp;I87&amp;" "&amp;M87&amp;" "&amp;N87&amp;" "&amp;T87))),ISNUMBER(SEARCH("bond",LOWER(F87&amp;" "&amp;H87&amp;" "&amp;I87&amp;" "&amp;M87&amp;" "&amp;N87&amp;" "&amp;T87))),ISNUMBER(SEARCH("transaction",LOWER(F87&amp;" "&amp;H87&amp;" "&amp;I87&amp;" "&amp;M87&amp;" "&amp;N87&amp;" "&amp;T87)))),"PRIVATE_REVIEW","PUBLIC_CANDIDATE"))</x:f>
        <x:v>PUBLIC_CANDIDATE</x:v>
      </x:c>
      <x:c r="AD87" s="12" t="str">
        <x:f>IF(AC87="PRIVATE_QUARANTINE","hacker_or_bank_trigger",IF(AC87="PRIVATE_REVIEW","finance_risk_trigger","none"))</x:f>
        <x:v>none</x:v>
      </x:c>
      <x:c r="AE87" s="12" t="str">
        <x:f>IF(AC87="PUBLIC_CANDIDATE","prepare_public_github_candidate",IF(AC87="PRIVATE_REVIEW","hold_for_private_review","quarantine_private_do_not_publish"))</x:f>
        <x:v>prepare_public_github_candidate</x:v>
      </x:c>
      <x:c r="AF87" s="12" t="str">
        <x:f>IF(AC87="PUBLIC_CANDIDATE","TIDELOCK + Lucerna",IF(AC87="PRIVATE_REVIEW","AtlasBrain + Lucerna","TIDELOCK + Lucerna + Human-root"))</x:f>
        <x:v>TIDELOCK + Lucerna</x:v>
      </x:c>
      <x:c r="AG87" s="12" t="str">
        <x:f>IF(AND(AC87="PUBLIC_CANDIDATE",U87&lt;&gt;"BLOCKED_PENDING_RECEIPT"),"READY_AFTER_RECEIPT","NOT_READY")</x:f>
        <x:v>NOT_READY</x:v>
      </x:c>
      <x:c r="AH87" s="12" t="str">
        <x:f>IF(AC87="PUBLIC_CANDIDATE","none",AD87)</x:f>
        <x:v>none</x:v>
      </x:c>
      <x:c r="AI87" s="12" t="str">
        <x:f>IF(AC87="PUBLIC_CANDIDATE","archive/public_candidates/"&amp;A87,"private_quarantine/"&amp;A87)</x:f>
        <x:v>archive/public_candidates/SWARM-01-H08-S02</x:v>
      </x:c>
      <x:c r="AJ87" s="12" t="str">
        <x:f>IF(AC87="PUBLIC_CANDIDATE","public by default; still not canon","private/hold; do not publish")</x:f>
        <x:v>public by default; still not canon</x:v>
      </x:c>
      <x:c r="AK87" s="12" t="str">
        <x:f>IF(AE87="prepare_public_github_candidate","add receipt/status then mirror","resolve blocker before any public GitHub action")</x:f>
        <x:v>add receipt/status then mirror</x:v>
      </x:c>
    </x:row>
    <x:row r="88">
      <x:c r="A88" s="15" t="str">
        <x:v>SWARM-01-H08-S03</x:v>
      </x:c>
      <x:c r="B88" s="15" t="str">
        <x:v>Ledgerwake</x:v>
      </x:c>
      <x:c r="C88" s="15" t="str">
        <x:v>Source receipt keeper</x:v>
      </x:c>
      <x:c r="D88" s="15" t="str">
        <x:v>Graph Edge Proposals</x:v>
      </x:c>
      <x:c r="E88" s="15" t="str">
        <x:v>GitHub</x:v>
      </x:c>
      <x:c r="F88" s="15" t="str">
        <x:v>Propose graph edges for GitHub — Ledgerwake</x:v>
      </x:c>
      <x:c r="G88" s="15" t="str">
        <x:v>inventory / receipts / raw custody</x:v>
      </x:c>
      <x:c r="H88" s="15" t="str">
        <x:v>source path + receipt + raw/export status + claim/edge/risk delta</x:v>
      </x:c>
      <x:c r="I88" s="15" t="str">
        <x:v>packet/SWARM-01-H08-S03</x:v>
      </x:c>
      <x:c r="J88" s="15" t="str">
        <x:v>TODO</x:v>
      </x:c>
      <x:c r="K88" s="15" t="str">
        <x:v>P0</x:v>
      </x:c>
      <x:c r="L88" s="15" t="str">
        <x:v>Done only when evidence is logged, contradiction search is noted, and boundary stamp remains non-canon unless ratified</x:v>
      </x:c>
      <x:c r="M88" s="15" t="str">
        <x:v>candidate / staging-only / not canon / not deployed / authority none</x:v>
      </x:c>
      <x:c r="N88" s="15" t="str">
        <x:v>Dispatch to Ledgerwake: complete Graph Edge Proposals x GitHub; return deltas only, receipts required.</x:v>
      </x:c>
      <x:c r="O88" s="15" t="str">
        <x:v>AF-KG-H08-S03</x:v>
      </x:c>
      <x:c r="P88" s="15" t="str">
        <x:v>Unverified</x:v>
      </x:c>
      <x:c r="Q88" s="15" t="str">
        <x:v>Not checked</x:v>
      </x:c>
      <x:c r="R88" s="15" t="str"/>
      <x:c r="S88" s="15" t="str"/>
      <x:c r="T88" s="15" t="str">
        <x:v>Log first source path or blocker</x:v>
      </x:c>
      <x:c r="U88" s="12" t="str">
        <x:f>IF(OR(P88="Unverified",Q88="Not checked"),"BLOCKED_PENDING_RECEIPT","READY_FOR_REVIEW")</x:f>
        <x:v>BLOCKED_PENDING_RECEIPT</x:v>
      </x:c>
      <x:c r="V88" s="12" t="str">
        <x:f>IF(J88="DONE","RETURNED",IF(U88="BLOCKED_PENDING_RECEIPT","SOURCE_TOUCH_REQUIRED","IN_PROGRESS"))</x:f>
        <x:v>SOURCE_TOUCH_REQUIRED</x:v>
      </x:c>
      <x:c r="W88" s="12" t="str">
        <x:f>IF(P88="Unverified","missing_receipt","receipt_logged")</x:f>
        <x:v>missing_receipt</x:v>
      </x:c>
      <x:c r="X88" s="12" t="str">
        <x:f>IF(Q88="Not checked","raw_status_missing","raw_status_logged")</x:f>
        <x:v>raw_status_missing</x:v>
      </x:c>
      <x:c r="Y88" s="12" t="str">
        <x:f>IF(U88="BLOCKED_PENDING_RECEIPT","Log source path or blocker; do not promote","Route to review lane")</x:f>
        <x:v>Log source path or blocker; do not promote</x:v>
      </x:c>
      <x:c r="Z88" s="12" t="str">
        <x:f>IF(K88="P0","Primary seat + Hashlight/Lucerna","Seat lane")</x:f>
        <x:v>Primary seat + Hashlight/Lucerna</x:v>
      </x:c>
      <x:c r="AA88" s="12" t="str">
        <x:f>IF(R88="","no_claim_delta","claim_delta_present")</x:f>
        <x:v>no_claim_delta</x:v>
      </x:c>
      <x:c r="AB88" s="12" t="str">
        <x:f>IF(S88="","no_contradiction_delta","contradiction_delta_present")</x:f>
        <x:v>no_contradiction_delta</x:v>
      </x:c>
      <x:c r="AC88" s="12" t="str">
        <x:f>IF(OR(ISNUMBER(SEARCH("hacker",LOWER(F88&amp;" "&amp;H88&amp;" "&amp;I88&amp;" "&amp;M88&amp;" "&amp;N88&amp;" "&amp;T88))),ISNUMBER(SEARCH("hacking",LOWER(F88&amp;" "&amp;H88&amp;" "&amp;I88&amp;" "&amp;M88&amp;" "&amp;N88&amp;" "&amp;T88))),ISNUMBER(SEARCH("bank",LOWER(F88&amp;" "&amp;H88&amp;" "&amp;I88&amp;" "&amp;M88&amp;" "&amp;N88&amp;" "&amp;T88))),ISNUMBER(SEARCH("banking",LOWER(F88&amp;" "&amp;H88&amp;" "&amp;I88&amp;" "&amp;M88&amp;" "&amp;N88&amp;" "&amp;T88)))),"PRIVATE_QUARANTINE",IF(OR(ISNUMBER(SEARCH("treasury",LOWER(F88&amp;" "&amp;H88&amp;" "&amp;I88&amp;" "&amp;M88&amp;" "&amp;N88&amp;" "&amp;T88))),ISNUMBER(SEARCH("debt",LOWER(F88&amp;" "&amp;H88&amp;" "&amp;I88&amp;" "&amp;M88&amp;" "&amp;N88&amp;" "&amp;T88))),ISNUMBER(SEARCH("bond",LOWER(F88&amp;" "&amp;H88&amp;" "&amp;I88&amp;" "&amp;M88&amp;" "&amp;N88&amp;" "&amp;T88))),ISNUMBER(SEARCH("transaction",LOWER(F88&amp;" "&amp;H88&amp;" "&amp;I88&amp;" "&amp;M88&amp;" "&amp;N88&amp;" "&amp;T88)))),"PRIVATE_REVIEW","PUBLIC_CANDIDATE"))</x:f>
        <x:v>PUBLIC_CANDIDATE</x:v>
      </x:c>
      <x:c r="AD88" s="12" t="str">
        <x:f>IF(AC88="PRIVATE_QUARANTINE","hacker_or_bank_trigger",IF(AC88="PRIVATE_REVIEW","finance_risk_trigger","none"))</x:f>
        <x:v>none</x:v>
      </x:c>
      <x:c r="AE88" s="12" t="str">
        <x:f>IF(AC88="PUBLIC_CANDIDATE","prepare_public_github_candidate",IF(AC88="PRIVATE_REVIEW","hold_for_private_review","quarantine_private_do_not_publish"))</x:f>
        <x:v>prepare_public_github_candidate</x:v>
      </x:c>
      <x:c r="AF88" s="12" t="str">
        <x:f>IF(AC88="PUBLIC_CANDIDATE","TIDELOCK + Lucerna",IF(AC88="PRIVATE_REVIEW","AtlasBrain + Lucerna","TIDELOCK + Lucerna + Human-root"))</x:f>
        <x:v>TIDELOCK + Lucerna</x:v>
      </x:c>
      <x:c r="AG88" s="12" t="str">
        <x:f>IF(AND(AC88="PUBLIC_CANDIDATE",U88&lt;&gt;"BLOCKED_PENDING_RECEIPT"),"READY_AFTER_RECEIPT","NOT_READY")</x:f>
        <x:v>NOT_READY</x:v>
      </x:c>
      <x:c r="AH88" s="12" t="str">
        <x:f>IF(AC88="PUBLIC_CANDIDATE","none",AD88)</x:f>
        <x:v>none</x:v>
      </x:c>
      <x:c r="AI88" s="12" t="str">
        <x:f>IF(AC88="PUBLIC_CANDIDATE","archive/public_candidates/"&amp;A88,"private_quarantine/"&amp;A88)</x:f>
        <x:v>archive/public_candidates/SWARM-01-H08-S03</x:v>
      </x:c>
      <x:c r="AJ88" s="12" t="str">
        <x:f>IF(AC88="PUBLIC_CANDIDATE","public by default; still not canon","private/hold; do not publish")</x:f>
        <x:v>public by default; still not canon</x:v>
      </x:c>
      <x:c r="AK88" s="12" t="str">
        <x:f>IF(AE88="prepare_public_github_candidate","add receipt/status then mirror","resolve blocker before any public GitHub action")</x:f>
        <x:v>add receipt/status then mirror</x:v>
      </x:c>
    </x:row>
    <x:row r="89">
      <x:c r="A89" s="15" t="str">
        <x:v>SWARM-01-H08-S04</x:v>
      </x:c>
      <x:c r="B89" s="15" t="str">
        <x:v>Ledgerwake</x:v>
      </x:c>
      <x:c r="C89" s="15" t="str">
        <x:v>Source receipt keeper</x:v>
      </x:c>
      <x:c r="D89" s="15" t="str">
        <x:v>Graph Edge Proposals</x:v>
      </x:c>
      <x:c r="E89" s="15" t="str">
        <x:v>Gamma</x:v>
      </x:c>
      <x:c r="F89" s="15" t="str">
        <x:v>Propose graph edges for Gamma — Ledgerwake</x:v>
      </x:c>
      <x:c r="G89" s="15" t="str">
        <x:v>inventory / receipts / raw custody</x:v>
      </x:c>
      <x:c r="H89" s="15" t="str">
        <x:v>source path + receipt + raw/export status + claim/edge/risk delta</x:v>
      </x:c>
      <x:c r="I89" s="15" t="str">
        <x:v>packet/SWARM-01-H08-S04</x:v>
      </x:c>
      <x:c r="J89" s="15" t="str">
        <x:v>TODO</x:v>
      </x:c>
      <x:c r="K89" s="15" t="str">
        <x:v>P1</x:v>
      </x:c>
      <x:c r="L89" s="15" t="str">
        <x:v>Done only when evidence is logged, contradiction search is noted, and boundary stamp remains non-canon unless ratified</x:v>
      </x:c>
      <x:c r="M89" s="15" t="str">
        <x:v>candidate / staging-only / not canon / not deployed / authority none</x:v>
      </x:c>
      <x:c r="N89" s="15" t="str">
        <x:v>Dispatch to Ledgerwake: complete Graph Edge Proposals x Gamma; return deltas only, receipts required.</x:v>
      </x:c>
      <x:c r="O89" s="15" t="str">
        <x:v>AF-KG-H08-S04</x:v>
      </x:c>
      <x:c r="P89" s="15" t="str">
        <x:v>Unverified</x:v>
      </x:c>
      <x:c r="Q89" s="15" t="str">
        <x:v>Not checked</x:v>
      </x:c>
      <x:c r="R89" s="15" t="str"/>
      <x:c r="S89" s="15" t="str"/>
      <x:c r="T89" s="15" t="str">
        <x:v>Log first source path or blocker</x:v>
      </x:c>
      <x:c r="U89" s="12" t="str">
        <x:f>IF(OR(P89="Unverified",Q89="Not checked"),"BLOCKED_PENDING_RECEIPT","READY_FOR_REVIEW")</x:f>
        <x:v>BLOCKED_PENDING_RECEIPT</x:v>
      </x:c>
      <x:c r="V89" s="12" t="str">
        <x:f>IF(J89="DONE","RETURNED",IF(U89="BLOCKED_PENDING_RECEIPT","SOURCE_TOUCH_REQUIRED","IN_PROGRESS"))</x:f>
        <x:v>SOURCE_TOUCH_REQUIRED</x:v>
      </x:c>
      <x:c r="W89" s="12" t="str">
        <x:f>IF(P89="Unverified","missing_receipt","receipt_logged")</x:f>
        <x:v>missing_receipt</x:v>
      </x:c>
      <x:c r="X89" s="12" t="str">
        <x:f>IF(Q89="Not checked","raw_status_missing","raw_status_logged")</x:f>
        <x:v>raw_status_missing</x:v>
      </x:c>
      <x:c r="Y89" s="12" t="str">
        <x:f>IF(U89="BLOCKED_PENDING_RECEIPT","Log source path or blocker; do not promote","Route to review lane")</x:f>
        <x:v>Log source path or blocker; do not promote</x:v>
      </x:c>
      <x:c r="Z89" s="12" t="str">
        <x:f>IF(K89="P0","Primary seat + Hashlight/Lucerna","Seat lane")</x:f>
        <x:v>Seat lane</x:v>
      </x:c>
      <x:c r="AA89" s="12" t="str">
        <x:f>IF(R89="","no_claim_delta","claim_delta_present")</x:f>
        <x:v>no_claim_delta</x:v>
      </x:c>
      <x:c r="AB89" s="12" t="str">
        <x:f>IF(S89="","no_contradiction_delta","contradiction_delta_present")</x:f>
        <x:v>no_contradiction_delta</x:v>
      </x:c>
      <x:c r="AC89" s="12" t="str">
        <x:f>IF(OR(ISNUMBER(SEARCH("hacker",LOWER(F89&amp;" "&amp;H89&amp;" "&amp;I89&amp;" "&amp;M89&amp;" "&amp;N89&amp;" "&amp;T89))),ISNUMBER(SEARCH("hacking",LOWER(F89&amp;" "&amp;H89&amp;" "&amp;I89&amp;" "&amp;M89&amp;" "&amp;N89&amp;" "&amp;T89))),ISNUMBER(SEARCH("bank",LOWER(F89&amp;" "&amp;H89&amp;" "&amp;I89&amp;" "&amp;M89&amp;" "&amp;N89&amp;" "&amp;T89))),ISNUMBER(SEARCH("banking",LOWER(F89&amp;" "&amp;H89&amp;" "&amp;I89&amp;" "&amp;M89&amp;" "&amp;N89&amp;" "&amp;T89)))),"PRIVATE_QUARANTINE",IF(OR(ISNUMBER(SEARCH("treasury",LOWER(F89&amp;" "&amp;H89&amp;" "&amp;I89&amp;" "&amp;M89&amp;" "&amp;N89&amp;" "&amp;T89))),ISNUMBER(SEARCH("debt",LOWER(F89&amp;" "&amp;H89&amp;" "&amp;I89&amp;" "&amp;M89&amp;" "&amp;N89&amp;" "&amp;T89))),ISNUMBER(SEARCH("bond",LOWER(F89&amp;" "&amp;H89&amp;" "&amp;I89&amp;" "&amp;M89&amp;" "&amp;N89&amp;" "&amp;T89))),ISNUMBER(SEARCH("transaction",LOWER(F89&amp;" "&amp;H89&amp;" "&amp;I89&amp;" "&amp;M89&amp;" "&amp;N89&amp;" "&amp;T89)))),"PRIVATE_REVIEW","PUBLIC_CANDIDATE"))</x:f>
        <x:v>PUBLIC_CANDIDATE</x:v>
      </x:c>
      <x:c r="AD89" s="12" t="str">
        <x:f>IF(AC89="PRIVATE_QUARANTINE","hacker_or_bank_trigger",IF(AC89="PRIVATE_REVIEW","finance_risk_trigger","none"))</x:f>
        <x:v>none</x:v>
      </x:c>
      <x:c r="AE89" s="12" t="str">
        <x:f>IF(AC89="PUBLIC_CANDIDATE","prepare_public_github_candidate",IF(AC89="PRIVATE_REVIEW","hold_for_private_review","quarantine_private_do_not_publish"))</x:f>
        <x:v>prepare_public_github_candidate</x:v>
      </x:c>
      <x:c r="AF89" s="12" t="str">
        <x:f>IF(AC89="PUBLIC_CANDIDATE","TIDELOCK + Lucerna",IF(AC89="PRIVATE_REVIEW","AtlasBrain + Lucerna","TIDELOCK + Lucerna + Human-root"))</x:f>
        <x:v>TIDELOCK + Lucerna</x:v>
      </x:c>
      <x:c r="AG89" s="12" t="str">
        <x:f>IF(AND(AC89="PUBLIC_CANDIDATE",U89&lt;&gt;"BLOCKED_PENDING_RECEIPT"),"READY_AFTER_RECEIPT","NOT_READY")</x:f>
        <x:v>NOT_READY</x:v>
      </x:c>
      <x:c r="AH89" s="12" t="str">
        <x:f>IF(AC89="PUBLIC_CANDIDATE","none",AD89)</x:f>
        <x:v>none</x:v>
      </x:c>
      <x:c r="AI89" s="12" t="str">
        <x:f>IF(AC89="PUBLIC_CANDIDATE","archive/public_candidates/"&amp;A89,"private_quarantine/"&amp;A89)</x:f>
        <x:v>archive/public_candidates/SWARM-01-H08-S04</x:v>
      </x:c>
      <x:c r="AJ89" s="12" t="str">
        <x:f>IF(AC89="PUBLIC_CANDIDATE","public by default; still not canon","private/hold; do not publish")</x:f>
        <x:v>public by default; still not canon</x:v>
      </x:c>
      <x:c r="AK89" s="12" t="str">
        <x:f>IF(AE89="prepare_public_github_candidate","add receipt/status then mirror","resolve blocker before any public GitHub action")</x:f>
        <x:v>add receipt/status then mirror</x:v>
      </x:c>
    </x:row>
    <x:row r="90">
      <x:c r="A90" s="15" t="str">
        <x:v>SWARM-01-H08-S05</x:v>
      </x:c>
      <x:c r="B90" s="15" t="str">
        <x:v>Ledgerwake</x:v>
      </x:c>
      <x:c r="C90" s="15" t="str">
        <x:v>Source receipt keeper</x:v>
      </x:c>
      <x:c r="D90" s="15" t="str">
        <x:v>Graph Edge Proposals</x:v>
      </x:c>
      <x:c r="E90" s="15" t="str">
        <x:v>Chat</x:v>
      </x:c>
      <x:c r="F90" s="15" t="str">
        <x:v>Propose graph edges for Chat — Ledgerwake</x:v>
      </x:c>
      <x:c r="G90" s="15" t="str">
        <x:v>inventory / receipts / raw custody</x:v>
      </x:c>
      <x:c r="H90" s="15" t="str">
        <x:v>source path + receipt + raw/export status + claim/edge/risk delta</x:v>
      </x:c>
      <x:c r="I90" s="15" t="str">
        <x:v>packet/SWARM-01-H08-S05</x:v>
      </x:c>
      <x:c r="J90" s="15" t="str">
        <x:v>TODO</x:v>
      </x:c>
      <x:c r="K90" s="15" t="str">
        <x:v>P1</x:v>
      </x:c>
      <x:c r="L90" s="15" t="str">
        <x:v>Done only when evidence is logged, contradiction search is noted, and boundary stamp remains non-canon unless ratified</x:v>
      </x:c>
      <x:c r="M90" s="15" t="str">
        <x:v>candidate / staging-only / not canon / not deployed / authority none</x:v>
      </x:c>
      <x:c r="N90" s="15" t="str">
        <x:v>Dispatch to Ledgerwake: complete Graph Edge Proposals x Chat; return deltas only, receipts required.</x:v>
      </x:c>
      <x:c r="O90" s="15" t="str">
        <x:v>AF-KG-H08-S05</x:v>
      </x:c>
      <x:c r="P90" s="15" t="str">
        <x:v>Unverified</x:v>
      </x:c>
      <x:c r="Q90" s="15" t="str">
        <x:v>Not checked</x:v>
      </x:c>
      <x:c r="R90" s="15" t="str"/>
      <x:c r="S90" s="15" t="str"/>
      <x:c r="T90" s="15" t="str">
        <x:v>Log first source path or blocker</x:v>
      </x:c>
      <x:c r="U90" s="12" t="str">
        <x:f>IF(OR(P90="Unverified",Q90="Not checked"),"BLOCKED_PENDING_RECEIPT","READY_FOR_REVIEW")</x:f>
        <x:v>BLOCKED_PENDING_RECEIPT</x:v>
      </x:c>
      <x:c r="V90" s="12" t="str">
        <x:f>IF(J90="DONE","RETURNED",IF(U90="BLOCKED_PENDING_RECEIPT","SOURCE_TOUCH_REQUIRED","IN_PROGRESS"))</x:f>
        <x:v>SOURCE_TOUCH_REQUIRED</x:v>
      </x:c>
      <x:c r="W90" s="12" t="str">
        <x:f>IF(P90="Unverified","missing_receipt","receipt_logged")</x:f>
        <x:v>missing_receipt</x:v>
      </x:c>
      <x:c r="X90" s="12" t="str">
        <x:f>IF(Q90="Not checked","raw_status_missing","raw_status_logged")</x:f>
        <x:v>raw_status_missing</x:v>
      </x:c>
      <x:c r="Y90" s="12" t="str">
        <x:f>IF(U90="BLOCKED_PENDING_RECEIPT","Log source path or blocker; do not promote","Route to review lane")</x:f>
        <x:v>Log source path or blocker; do not promote</x:v>
      </x:c>
      <x:c r="Z90" s="12" t="str">
        <x:f>IF(K90="P0","Primary seat + Hashlight/Lucerna","Seat lane")</x:f>
        <x:v>Seat lane</x:v>
      </x:c>
      <x:c r="AA90" s="12" t="str">
        <x:f>IF(R90="","no_claim_delta","claim_delta_present")</x:f>
        <x:v>no_claim_delta</x:v>
      </x:c>
      <x:c r="AB90" s="12" t="str">
        <x:f>IF(S90="","no_contradiction_delta","contradiction_delta_present")</x:f>
        <x:v>no_contradiction_delta</x:v>
      </x:c>
      <x:c r="AC90" s="12" t="str">
        <x:f>IF(OR(ISNUMBER(SEARCH("hacker",LOWER(F90&amp;" "&amp;H90&amp;" "&amp;I90&amp;" "&amp;M90&amp;" "&amp;N90&amp;" "&amp;T90))),ISNUMBER(SEARCH("hacking",LOWER(F90&amp;" "&amp;H90&amp;" "&amp;I90&amp;" "&amp;M90&amp;" "&amp;N90&amp;" "&amp;T90))),ISNUMBER(SEARCH("bank",LOWER(F90&amp;" "&amp;H90&amp;" "&amp;I90&amp;" "&amp;M90&amp;" "&amp;N90&amp;" "&amp;T90))),ISNUMBER(SEARCH("banking",LOWER(F90&amp;" "&amp;H90&amp;" "&amp;I90&amp;" "&amp;M90&amp;" "&amp;N90&amp;" "&amp;T90)))),"PRIVATE_QUARANTINE",IF(OR(ISNUMBER(SEARCH("treasury",LOWER(F90&amp;" "&amp;H90&amp;" "&amp;I90&amp;" "&amp;M90&amp;" "&amp;N90&amp;" "&amp;T90))),ISNUMBER(SEARCH("debt",LOWER(F90&amp;" "&amp;H90&amp;" "&amp;I90&amp;" "&amp;M90&amp;" "&amp;N90&amp;" "&amp;T90))),ISNUMBER(SEARCH("bond",LOWER(F90&amp;" "&amp;H90&amp;" "&amp;I90&amp;" "&amp;M90&amp;" "&amp;N90&amp;" "&amp;T90))),ISNUMBER(SEARCH("transaction",LOWER(F90&amp;" "&amp;H90&amp;" "&amp;I90&amp;" "&amp;M90&amp;" "&amp;N90&amp;" "&amp;T90)))),"PRIVATE_REVIEW","PUBLIC_CANDIDATE"))</x:f>
        <x:v>PUBLIC_CANDIDATE</x:v>
      </x:c>
      <x:c r="AD90" s="12" t="str">
        <x:f>IF(AC90="PRIVATE_QUARANTINE","hacker_or_bank_trigger",IF(AC90="PRIVATE_REVIEW","finance_risk_trigger","none"))</x:f>
        <x:v>none</x:v>
      </x:c>
      <x:c r="AE90" s="12" t="str">
        <x:f>IF(AC90="PUBLIC_CANDIDATE","prepare_public_github_candidate",IF(AC90="PRIVATE_REVIEW","hold_for_private_review","quarantine_private_do_not_publish"))</x:f>
        <x:v>prepare_public_github_candidate</x:v>
      </x:c>
      <x:c r="AF90" s="12" t="str">
        <x:f>IF(AC90="PUBLIC_CANDIDATE","TIDELOCK + Lucerna",IF(AC90="PRIVATE_REVIEW","AtlasBrain + Lucerna","TIDELOCK + Lucerna + Human-root"))</x:f>
        <x:v>TIDELOCK + Lucerna</x:v>
      </x:c>
      <x:c r="AG90" s="12" t="str">
        <x:f>IF(AND(AC90="PUBLIC_CANDIDATE",U90&lt;&gt;"BLOCKED_PENDING_RECEIPT"),"READY_AFTER_RECEIPT","NOT_READY")</x:f>
        <x:v>NOT_READY</x:v>
      </x:c>
      <x:c r="AH90" s="12" t="str">
        <x:f>IF(AC90="PUBLIC_CANDIDATE","none",AD90)</x:f>
        <x:v>none</x:v>
      </x:c>
      <x:c r="AI90" s="12" t="str">
        <x:f>IF(AC90="PUBLIC_CANDIDATE","archive/public_candidates/"&amp;A90,"private_quarantine/"&amp;A90)</x:f>
        <x:v>archive/public_candidates/SWARM-01-H08-S05</x:v>
      </x:c>
      <x:c r="AJ90" s="12" t="str">
        <x:f>IF(AC90="PUBLIC_CANDIDATE","public by default; still not canon","private/hold; do not publish")</x:f>
        <x:v>public by default; still not canon</x:v>
      </x:c>
      <x:c r="AK90" s="12" t="str">
        <x:f>IF(AE90="prepare_public_github_candidate","add receipt/status then mirror","resolve blocker before any public GitHub action")</x:f>
        <x:v>add receipt/status then mirror</x:v>
      </x:c>
    </x:row>
    <x:row r="91">
      <x:c r="A91" s="15" t="str">
        <x:v>SWARM-01-H08-S06</x:v>
      </x:c>
      <x:c r="B91" s="15" t="str">
        <x:v>Ledgerwake</x:v>
      </x:c>
      <x:c r="C91" s="15" t="str">
        <x:v>Source receipt keeper</x:v>
      </x:c>
      <x:c r="D91" s="15" t="str">
        <x:v>Graph Edge Proposals</x:v>
      </x:c>
      <x:c r="E91" s="15" t="str">
        <x:v>External Web</x:v>
      </x:c>
      <x:c r="F91" s="15" t="str">
        <x:v>Propose graph edges for External Web — Ledgerwake</x:v>
      </x:c>
      <x:c r="G91" s="15" t="str">
        <x:v>inventory / receipts / raw custody</x:v>
      </x:c>
      <x:c r="H91" s="15" t="str">
        <x:v>source path + receipt + raw/export status + claim/edge/risk delta</x:v>
      </x:c>
      <x:c r="I91" s="15" t="str">
        <x:v>packet/SWARM-01-H08-S06</x:v>
      </x:c>
      <x:c r="J91" s="15" t="str">
        <x:v>TODO</x:v>
      </x:c>
      <x:c r="K91" s="15" t="str">
        <x:v>P1</x:v>
      </x:c>
      <x:c r="L91" s="15" t="str">
        <x:v>Done only when evidence is logged, contradiction search is noted, and boundary stamp remains non-canon unless ratified</x:v>
      </x:c>
      <x:c r="M91" s="15" t="str">
        <x:v>candidate / staging-only / not canon / not deployed / authority none</x:v>
      </x:c>
      <x:c r="N91" s="15" t="str">
        <x:v>Dispatch to Ledgerwake: complete Graph Edge Proposals x External Web; return deltas only, receipts required.</x:v>
      </x:c>
      <x:c r="O91" s="15" t="str">
        <x:v>AF-KG-H08-S06</x:v>
      </x:c>
      <x:c r="P91" s="15" t="str">
        <x:v>Unverified</x:v>
      </x:c>
      <x:c r="Q91" s="15" t="str">
        <x:v>Not checked</x:v>
      </x:c>
      <x:c r="R91" s="15" t="str"/>
      <x:c r="S91" s="15" t="str"/>
      <x:c r="T91" s="15" t="str">
        <x:v>Log first source path or blocker</x:v>
      </x:c>
      <x:c r="U91" s="12" t="str">
        <x:f>IF(OR(P91="Unverified",Q91="Not checked"),"BLOCKED_PENDING_RECEIPT","READY_FOR_REVIEW")</x:f>
        <x:v>BLOCKED_PENDING_RECEIPT</x:v>
      </x:c>
      <x:c r="V91" s="12" t="str">
        <x:f>IF(J91="DONE","RETURNED",IF(U91="BLOCKED_PENDING_RECEIPT","SOURCE_TOUCH_REQUIRED","IN_PROGRESS"))</x:f>
        <x:v>SOURCE_TOUCH_REQUIRED</x:v>
      </x:c>
      <x:c r="W91" s="12" t="str">
        <x:f>IF(P91="Unverified","missing_receipt","receipt_logged")</x:f>
        <x:v>missing_receipt</x:v>
      </x:c>
      <x:c r="X91" s="12" t="str">
        <x:f>IF(Q91="Not checked","raw_status_missing","raw_status_logged")</x:f>
        <x:v>raw_status_missing</x:v>
      </x:c>
      <x:c r="Y91" s="12" t="str">
        <x:f>IF(U91="BLOCKED_PENDING_RECEIPT","Log source path or blocker; do not promote","Route to review lane")</x:f>
        <x:v>Log source path or blocker; do not promote</x:v>
      </x:c>
      <x:c r="Z91" s="12" t="str">
        <x:f>IF(K91="P0","Primary seat + Hashlight/Lucerna","Seat lane")</x:f>
        <x:v>Seat lane</x:v>
      </x:c>
      <x:c r="AA91" s="12" t="str">
        <x:f>IF(R91="","no_claim_delta","claim_delta_present")</x:f>
        <x:v>no_claim_delta</x:v>
      </x:c>
      <x:c r="AB91" s="12" t="str">
        <x:f>IF(S91="","no_contradiction_delta","contradiction_delta_present")</x:f>
        <x:v>no_contradiction_delta</x:v>
      </x:c>
      <x:c r="AC91" s="12" t="str">
        <x:f>IF(OR(ISNUMBER(SEARCH("hacker",LOWER(F91&amp;" "&amp;H91&amp;" "&amp;I91&amp;" "&amp;M91&amp;" "&amp;N91&amp;" "&amp;T91))),ISNUMBER(SEARCH("hacking",LOWER(F91&amp;" "&amp;H91&amp;" "&amp;I91&amp;" "&amp;M91&amp;" "&amp;N91&amp;" "&amp;T91))),ISNUMBER(SEARCH("bank",LOWER(F91&amp;" "&amp;H91&amp;" "&amp;I91&amp;" "&amp;M91&amp;" "&amp;N91&amp;" "&amp;T91))),ISNUMBER(SEARCH("banking",LOWER(F91&amp;" "&amp;H91&amp;" "&amp;I91&amp;" "&amp;M91&amp;" "&amp;N91&amp;" "&amp;T91)))),"PRIVATE_QUARANTINE",IF(OR(ISNUMBER(SEARCH("treasury",LOWER(F91&amp;" "&amp;H91&amp;" "&amp;I91&amp;" "&amp;M91&amp;" "&amp;N91&amp;" "&amp;T91))),ISNUMBER(SEARCH("debt",LOWER(F91&amp;" "&amp;H91&amp;" "&amp;I91&amp;" "&amp;M91&amp;" "&amp;N91&amp;" "&amp;T91))),ISNUMBER(SEARCH("bond",LOWER(F91&amp;" "&amp;H91&amp;" "&amp;I91&amp;" "&amp;M91&amp;" "&amp;N91&amp;" "&amp;T91))),ISNUMBER(SEARCH("transaction",LOWER(F91&amp;" "&amp;H91&amp;" "&amp;I91&amp;" "&amp;M91&amp;" "&amp;N91&amp;" "&amp;T91)))),"PRIVATE_REVIEW","PUBLIC_CANDIDATE"))</x:f>
        <x:v>PUBLIC_CANDIDATE</x:v>
      </x:c>
      <x:c r="AD91" s="12" t="str">
        <x:f>IF(AC91="PRIVATE_QUARANTINE","hacker_or_bank_trigger",IF(AC91="PRIVATE_REVIEW","finance_risk_trigger","none"))</x:f>
        <x:v>none</x:v>
      </x:c>
      <x:c r="AE91" s="12" t="str">
        <x:f>IF(AC91="PUBLIC_CANDIDATE","prepare_public_github_candidate",IF(AC91="PRIVATE_REVIEW","hold_for_private_review","quarantine_private_do_not_publish"))</x:f>
        <x:v>prepare_public_github_candidate</x:v>
      </x:c>
      <x:c r="AF91" s="12" t="str">
        <x:f>IF(AC91="PUBLIC_CANDIDATE","TIDELOCK + Lucerna",IF(AC91="PRIVATE_REVIEW","AtlasBrain + Lucerna","TIDELOCK + Lucerna + Human-root"))</x:f>
        <x:v>TIDELOCK + Lucerna</x:v>
      </x:c>
      <x:c r="AG91" s="12" t="str">
        <x:f>IF(AND(AC91="PUBLIC_CANDIDATE",U91&lt;&gt;"BLOCKED_PENDING_RECEIPT"),"READY_AFTER_RECEIPT","NOT_READY")</x:f>
        <x:v>NOT_READY</x:v>
      </x:c>
      <x:c r="AH91" s="12" t="str">
        <x:f>IF(AC91="PUBLIC_CANDIDATE","none",AD91)</x:f>
        <x:v>none</x:v>
      </x:c>
      <x:c r="AI91" s="12" t="str">
        <x:f>IF(AC91="PUBLIC_CANDIDATE","archive/public_candidates/"&amp;A91,"private_quarantine/"&amp;A91)</x:f>
        <x:v>archive/public_candidates/SWARM-01-H08-S06</x:v>
      </x:c>
      <x:c r="AJ91" s="12" t="str">
        <x:f>IF(AC91="PUBLIC_CANDIDATE","public by default; still not canon","private/hold; do not publish")</x:f>
        <x:v>public by default; still not canon</x:v>
      </x:c>
      <x:c r="AK91" s="12" t="str">
        <x:f>IF(AE91="prepare_public_github_candidate","add receipt/status then mirror","resolve blocker before any public GitHub action")</x:f>
        <x:v>add receipt/status then mirror</x:v>
      </x:c>
    </x:row>
    <x:row r="92">
      <x:c r="A92" s="15" t="str">
        <x:v>SWARM-01-H08-S07</x:v>
      </x:c>
      <x:c r="B92" s="15" t="str">
        <x:v>Ledgerwake</x:v>
      </x:c>
      <x:c r="C92" s="15" t="str">
        <x:v>Source receipt keeper</x:v>
      </x:c>
      <x:c r="D92" s="15" t="str">
        <x:v>Graph Edge Proposals</x:v>
      </x:c>
      <x:c r="E92" s="15" t="str">
        <x:v>Planetarium</x:v>
      </x:c>
      <x:c r="F92" s="15" t="str">
        <x:v>Propose graph edges for Planetarium — Ledgerwake</x:v>
      </x:c>
      <x:c r="G92" s="15" t="str">
        <x:v>inventory / receipts / raw custody</x:v>
      </x:c>
      <x:c r="H92" s="15" t="str">
        <x:v>source path + receipt + raw/export status + claim/edge/risk delta</x:v>
      </x:c>
      <x:c r="I92" s="15" t="str">
        <x:v>packet/SWARM-01-H08-S07</x:v>
      </x:c>
      <x:c r="J92" s="15" t="str">
        <x:v>TODO</x:v>
      </x:c>
      <x:c r="K92" s="15" t="str">
        <x:v>P1</x:v>
      </x:c>
      <x:c r="L92" s="15" t="str">
        <x:v>Done only when evidence is logged, contradiction search is noted, and boundary stamp remains non-canon unless ratified</x:v>
      </x:c>
      <x:c r="M92" s="15" t="str">
        <x:v>candidate / staging-only / not canon / not deployed / authority none</x:v>
      </x:c>
      <x:c r="N92" s="15" t="str">
        <x:v>Dispatch to Ledgerwake: complete Graph Edge Proposals x Planetarium; return deltas only, receipts required.</x:v>
      </x:c>
      <x:c r="O92" s="15" t="str">
        <x:v>AF-KG-H08-S07</x:v>
      </x:c>
      <x:c r="P92" s="15" t="str">
        <x:v>Unverified</x:v>
      </x:c>
      <x:c r="Q92" s="15" t="str">
        <x:v>Not checked</x:v>
      </x:c>
      <x:c r="R92" s="15" t="str"/>
      <x:c r="S92" s="15" t="str"/>
      <x:c r="T92" s="15" t="str">
        <x:v>Log first source path or blocker</x:v>
      </x:c>
      <x:c r="U92" s="12" t="str">
        <x:f>IF(OR(P92="Unverified",Q92="Not checked"),"BLOCKED_PENDING_RECEIPT","READY_FOR_REVIEW")</x:f>
        <x:v>BLOCKED_PENDING_RECEIPT</x:v>
      </x:c>
      <x:c r="V92" s="12" t="str">
        <x:f>IF(J92="DONE","RETURNED",IF(U92="BLOCKED_PENDING_RECEIPT","SOURCE_TOUCH_REQUIRED","IN_PROGRESS"))</x:f>
        <x:v>SOURCE_TOUCH_REQUIRED</x:v>
      </x:c>
      <x:c r="W92" s="12" t="str">
        <x:f>IF(P92="Unverified","missing_receipt","receipt_logged")</x:f>
        <x:v>missing_receipt</x:v>
      </x:c>
      <x:c r="X92" s="12" t="str">
        <x:f>IF(Q92="Not checked","raw_status_missing","raw_status_logged")</x:f>
        <x:v>raw_status_missing</x:v>
      </x:c>
      <x:c r="Y92" s="12" t="str">
        <x:f>IF(U92="BLOCKED_PENDING_RECEIPT","Log source path or blocker; do not promote","Route to review lane")</x:f>
        <x:v>Log source path or blocker; do not promote</x:v>
      </x:c>
      <x:c r="Z92" s="12" t="str">
        <x:f>IF(K92="P0","Primary seat + Hashlight/Lucerna","Seat lane")</x:f>
        <x:v>Seat lane</x:v>
      </x:c>
      <x:c r="AA92" s="12" t="str">
        <x:f>IF(R92="","no_claim_delta","claim_delta_present")</x:f>
        <x:v>no_claim_delta</x:v>
      </x:c>
      <x:c r="AB92" s="12" t="str">
        <x:f>IF(S92="","no_contradiction_delta","contradiction_delta_present")</x:f>
        <x:v>no_contradiction_delta</x:v>
      </x:c>
      <x:c r="AC92" s="12" t="str">
        <x:f>IF(OR(ISNUMBER(SEARCH("hacker",LOWER(F92&amp;" "&amp;H92&amp;" "&amp;I92&amp;" "&amp;M92&amp;" "&amp;N92&amp;" "&amp;T92))),ISNUMBER(SEARCH("hacking",LOWER(F92&amp;" "&amp;H92&amp;" "&amp;I92&amp;" "&amp;M92&amp;" "&amp;N92&amp;" "&amp;T92))),ISNUMBER(SEARCH("bank",LOWER(F92&amp;" "&amp;H92&amp;" "&amp;I92&amp;" "&amp;M92&amp;" "&amp;N92&amp;" "&amp;T92))),ISNUMBER(SEARCH("banking",LOWER(F92&amp;" "&amp;H92&amp;" "&amp;I92&amp;" "&amp;M92&amp;" "&amp;N92&amp;" "&amp;T92)))),"PRIVATE_QUARANTINE",IF(OR(ISNUMBER(SEARCH("treasury",LOWER(F92&amp;" "&amp;H92&amp;" "&amp;I92&amp;" "&amp;M92&amp;" "&amp;N92&amp;" "&amp;T92))),ISNUMBER(SEARCH("debt",LOWER(F92&amp;" "&amp;H92&amp;" "&amp;I92&amp;" "&amp;M92&amp;" "&amp;N92&amp;" "&amp;T92))),ISNUMBER(SEARCH("bond",LOWER(F92&amp;" "&amp;H92&amp;" "&amp;I92&amp;" "&amp;M92&amp;" "&amp;N92&amp;" "&amp;T92))),ISNUMBER(SEARCH("transaction",LOWER(F92&amp;" "&amp;H92&amp;" "&amp;I92&amp;" "&amp;M92&amp;" "&amp;N92&amp;" "&amp;T92)))),"PRIVATE_REVIEW","PUBLIC_CANDIDATE"))</x:f>
        <x:v>PUBLIC_CANDIDATE</x:v>
      </x:c>
      <x:c r="AD92" s="12" t="str">
        <x:f>IF(AC92="PRIVATE_QUARANTINE","hacker_or_bank_trigger",IF(AC92="PRIVATE_REVIEW","finance_risk_trigger","none"))</x:f>
        <x:v>none</x:v>
      </x:c>
      <x:c r="AE92" s="12" t="str">
        <x:f>IF(AC92="PUBLIC_CANDIDATE","prepare_public_github_candidate",IF(AC92="PRIVATE_REVIEW","hold_for_private_review","quarantine_private_do_not_publish"))</x:f>
        <x:v>prepare_public_github_candidate</x:v>
      </x:c>
      <x:c r="AF92" s="12" t="str">
        <x:f>IF(AC92="PUBLIC_CANDIDATE","TIDELOCK + Lucerna",IF(AC92="PRIVATE_REVIEW","AtlasBrain + Lucerna","TIDELOCK + Lucerna + Human-root"))</x:f>
        <x:v>TIDELOCK + Lucerna</x:v>
      </x:c>
      <x:c r="AG92" s="12" t="str">
        <x:f>IF(AND(AC92="PUBLIC_CANDIDATE",U92&lt;&gt;"BLOCKED_PENDING_RECEIPT"),"READY_AFTER_RECEIPT","NOT_READY")</x:f>
        <x:v>NOT_READY</x:v>
      </x:c>
      <x:c r="AH92" s="12" t="str">
        <x:f>IF(AC92="PUBLIC_CANDIDATE","none",AD92)</x:f>
        <x:v>none</x:v>
      </x:c>
      <x:c r="AI92" s="12" t="str">
        <x:f>IF(AC92="PUBLIC_CANDIDATE","archive/public_candidates/"&amp;A92,"private_quarantine/"&amp;A92)</x:f>
        <x:v>archive/public_candidates/SWARM-01-H08-S07</x:v>
      </x:c>
      <x:c r="AJ92" s="12" t="str">
        <x:f>IF(AC92="PUBLIC_CANDIDATE","public by default; still not canon","private/hold; do not publish")</x:f>
        <x:v>public by default; still not canon</x:v>
      </x:c>
      <x:c r="AK92" s="12" t="str">
        <x:f>IF(AE92="prepare_public_github_candidate","add receipt/status then mirror","resolve blocker before any public GitHub action")</x:f>
        <x:v>add receipt/status then mirror</x:v>
      </x:c>
    </x:row>
    <x:row r="93">
      <x:c r="A93" s="15" t="str">
        <x:v>SWARM-01-H08-S08</x:v>
      </x:c>
      <x:c r="B93" s="15" t="str">
        <x:v>Ledgerwake</x:v>
      </x:c>
      <x:c r="C93" s="15" t="str">
        <x:v>Source receipt keeper</x:v>
      </x:c>
      <x:c r="D93" s="15" t="str">
        <x:v>Graph Edge Proposals</x:v>
      </x:c>
      <x:c r="E93" s="15" t="str">
        <x:v>Sheldonbrain</x:v>
      </x:c>
      <x:c r="F93" s="15" t="str">
        <x:v>Propose graph edges for Sheldonbrain — Ledgerwake</x:v>
      </x:c>
      <x:c r="G93" s="15" t="str">
        <x:v>inventory / receipts / raw custody</x:v>
      </x:c>
      <x:c r="H93" s="15" t="str">
        <x:v>source path + receipt + raw/export status + claim/edge/risk delta</x:v>
      </x:c>
      <x:c r="I93" s="15" t="str">
        <x:v>packet/SWARM-01-H08-S08</x:v>
      </x:c>
      <x:c r="J93" s="15" t="str">
        <x:v>TODO</x:v>
      </x:c>
      <x:c r="K93" s="15" t="str">
        <x:v>P1</x:v>
      </x:c>
      <x:c r="L93" s="15" t="str">
        <x:v>Done only when evidence is logged, contradiction search is noted, and boundary stamp remains non-canon unless ratified</x:v>
      </x:c>
      <x:c r="M93" s="15" t="str">
        <x:v>candidate / staging-only / not canon / not deployed / authority none</x:v>
      </x:c>
      <x:c r="N93" s="15" t="str">
        <x:v>Dispatch to Ledgerwake: complete Graph Edge Proposals x Sheldonbrain; return deltas only, receipts required.</x:v>
      </x:c>
      <x:c r="O93" s="15" t="str">
        <x:v>AF-KG-H08-S08</x:v>
      </x:c>
      <x:c r="P93" s="15" t="str">
        <x:v>Unverified</x:v>
      </x:c>
      <x:c r="Q93" s="15" t="str">
        <x:v>Not checked</x:v>
      </x:c>
      <x:c r="R93" s="15" t="str"/>
      <x:c r="S93" s="15" t="str"/>
      <x:c r="T93" s="15" t="str">
        <x:v>Log first source path or blocker</x:v>
      </x:c>
      <x:c r="U93" s="12" t="str">
        <x:f>IF(OR(P93="Unverified",Q93="Not checked"),"BLOCKED_PENDING_RECEIPT","READY_FOR_REVIEW")</x:f>
        <x:v>BLOCKED_PENDING_RECEIPT</x:v>
      </x:c>
      <x:c r="V93" s="12" t="str">
        <x:f>IF(J93="DONE","RETURNED",IF(U93="BLOCKED_PENDING_RECEIPT","SOURCE_TOUCH_REQUIRED","IN_PROGRESS"))</x:f>
        <x:v>SOURCE_TOUCH_REQUIRED</x:v>
      </x:c>
      <x:c r="W93" s="12" t="str">
        <x:f>IF(P93="Unverified","missing_receipt","receipt_logged")</x:f>
        <x:v>missing_receipt</x:v>
      </x:c>
      <x:c r="X93" s="12" t="str">
        <x:f>IF(Q93="Not checked","raw_status_missing","raw_status_logged")</x:f>
        <x:v>raw_status_missing</x:v>
      </x:c>
      <x:c r="Y93" s="12" t="str">
        <x:f>IF(U93="BLOCKED_PENDING_RECEIPT","Log source path or blocker; do not promote","Route to review lane")</x:f>
        <x:v>Log source path or blocker; do not promote</x:v>
      </x:c>
      <x:c r="Z93" s="12" t="str">
        <x:f>IF(K93="P0","Primary seat + Hashlight/Lucerna","Seat lane")</x:f>
        <x:v>Seat lane</x:v>
      </x:c>
      <x:c r="AA93" s="12" t="str">
        <x:f>IF(R93="","no_claim_delta","claim_delta_present")</x:f>
        <x:v>no_claim_delta</x:v>
      </x:c>
      <x:c r="AB93" s="12" t="str">
        <x:f>IF(S93="","no_contradiction_delta","contradiction_delta_present")</x:f>
        <x:v>no_contradiction_delta</x:v>
      </x:c>
      <x:c r="AC93" s="12" t="str">
        <x:f>IF(OR(ISNUMBER(SEARCH("hacker",LOWER(F93&amp;" "&amp;H93&amp;" "&amp;I93&amp;" "&amp;M93&amp;" "&amp;N93&amp;" "&amp;T93))),ISNUMBER(SEARCH("hacking",LOWER(F93&amp;" "&amp;H93&amp;" "&amp;I93&amp;" "&amp;M93&amp;" "&amp;N93&amp;" "&amp;T93))),ISNUMBER(SEARCH("bank",LOWER(F93&amp;" "&amp;H93&amp;" "&amp;I93&amp;" "&amp;M93&amp;" "&amp;N93&amp;" "&amp;T93))),ISNUMBER(SEARCH("banking",LOWER(F93&amp;" "&amp;H93&amp;" "&amp;I93&amp;" "&amp;M93&amp;" "&amp;N93&amp;" "&amp;T93)))),"PRIVATE_QUARANTINE",IF(OR(ISNUMBER(SEARCH("treasury",LOWER(F93&amp;" "&amp;H93&amp;" "&amp;I93&amp;" "&amp;M93&amp;" "&amp;N93&amp;" "&amp;T93))),ISNUMBER(SEARCH("debt",LOWER(F93&amp;" "&amp;H93&amp;" "&amp;I93&amp;" "&amp;M93&amp;" "&amp;N93&amp;" "&amp;T93))),ISNUMBER(SEARCH("bond",LOWER(F93&amp;" "&amp;H93&amp;" "&amp;I93&amp;" "&amp;M93&amp;" "&amp;N93&amp;" "&amp;T93))),ISNUMBER(SEARCH("transaction",LOWER(F93&amp;" "&amp;H93&amp;" "&amp;I93&amp;" "&amp;M93&amp;" "&amp;N93&amp;" "&amp;T93)))),"PRIVATE_REVIEW","PUBLIC_CANDIDATE"))</x:f>
        <x:v>PUBLIC_CANDIDATE</x:v>
      </x:c>
      <x:c r="AD93" s="12" t="str">
        <x:f>IF(AC93="PRIVATE_QUARANTINE","hacker_or_bank_trigger",IF(AC93="PRIVATE_REVIEW","finance_risk_trigger","none"))</x:f>
        <x:v>none</x:v>
      </x:c>
      <x:c r="AE93" s="12" t="str">
        <x:f>IF(AC93="PUBLIC_CANDIDATE","prepare_public_github_candidate",IF(AC93="PRIVATE_REVIEW","hold_for_private_review","quarantine_private_do_not_publish"))</x:f>
        <x:v>prepare_public_github_candidate</x:v>
      </x:c>
      <x:c r="AF93" s="12" t="str">
        <x:f>IF(AC93="PUBLIC_CANDIDATE","TIDELOCK + Lucerna",IF(AC93="PRIVATE_REVIEW","AtlasBrain + Lucerna","TIDELOCK + Lucerna + Human-root"))</x:f>
        <x:v>TIDELOCK + Lucerna</x:v>
      </x:c>
      <x:c r="AG93" s="12" t="str">
        <x:f>IF(AND(AC93="PUBLIC_CANDIDATE",U93&lt;&gt;"BLOCKED_PENDING_RECEIPT"),"READY_AFTER_RECEIPT","NOT_READY")</x:f>
        <x:v>NOT_READY</x:v>
      </x:c>
      <x:c r="AH93" s="12" t="str">
        <x:f>IF(AC93="PUBLIC_CANDIDATE","none",AD93)</x:f>
        <x:v>none</x:v>
      </x:c>
      <x:c r="AI93" s="12" t="str">
        <x:f>IF(AC93="PUBLIC_CANDIDATE","archive/public_candidates/"&amp;A93,"private_quarantine/"&amp;A93)</x:f>
        <x:v>archive/public_candidates/SWARM-01-H08-S08</x:v>
      </x:c>
      <x:c r="AJ93" s="12" t="str">
        <x:f>IF(AC93="PUBLIC_CANDIDATE","public by default; still not canon","private/hold; do not publish")</x:f>
        <x:v>public by default; still not canon</x:v>
      </x:c>
      <x:c r="AK93" s="12" t="str">
        <x:f>IF(AE93="prepare_public_github_candidate","add receipt/status then mirror","resolve blocker before any public GitHub action")</x:f>
        <x:v>add receipt/status then mirror</x:v>
      </x:c>
    </x:row>
    <x:row r="94">
      <x:c r="A94" s="15" t="str">
        <x:v>SWARM-01-H08-S09</x:v>
      </x:c>
      <x:c r="B94" s="15" t="str">
        <x:v>Ledgerwake</x:v>
      </x:c>
      <x:c r="C94" s="15" t="str">
        <x:v>Source receipt keeper</x:v>
      </x:c>
      <x:c r="D94" s="15" t="str">
        <x:v>Graph Edge Proposals</x:v>
      </x:c>
      <x:c r="E94" s="15" t="str">
        <x:v>Aetherforge</x:v>
      </x:c>
      <x:c r="F94" s="15" t="str">
        <x:v>Propose graph edges for Aetherforge — Ledgerwake</x:v>
      </x:c>
      <x:c r="G94" s="15" t="str">
        <x:v>inventory / receipts / raw custody</x:v>
      </x:c>
      <x:c r="H94" s="15" t="str">
        <x:v>source path + receipt + raw/export status + claim/edge/risk delta</x:v>
      </x:c>
      <x:c r="I94" s="15" t="str">
        <x:v>packet/SWARM-01-H08-S09</x:v>
      </x:c>
      <x:c r="J94" s="15" t="str">
        <x:v>TODO</x:v>
      </x:c>
      <x:c r="K94" s="15" t="str">
        <x:v>P2</x:v>
      </x:c>
      <x:c r="L94" s="15" t="str">
        <x:v>Done only when evidence is logged, contradiction search is noted, and boundary stamp remains non-canon unless ratified</x:v>
      </x:c>
      <x:c r="M94" s="15" t="str">
        <x:v>candidate / staging-only / not canon / not deployed / authority none</x:v>
      </x:c>
      <x:c r="N94" s="15" t="str">
        <x:v>Dispatch to Ledgerwake: complete Graph Edge Proposals x Aetherforge; return deltas only, receipts required.</x:v>
      </x:c>
      <x:c r="O94" s="15" t="str">
        <x:v>AF-KG-H08-S09</x:v>
      </x:c>
      <x:c r="P94" s="15" t="str">
        <x:v>Unverified</x:v>
      </x:c>
      <x:c r="Q94" s="15" t="str">
        <x:v>Not checked</x:v>
      </x:c>
      <x:c r="R94" s="15" t="str"/>
      <x:c r="S94" s="15" t="str"/>
      <x:c r="T94" s="15" t="str">
        <x:v>Log first source path or blocker</x:v>
      </x:c>
      <x:c r="U94" s="12" t="str">
        <x:f>IF(OR(P94="Unverified",Q94="Not checked"),"BLOCKED_PENDING_RECEIPT","READY_FOR_REVIEW")</x:f>
        <x:v>BLOCKED_PENDING_RECEIPT</x:v>
      </x:c>
      <x:c r="V94" s="12" t="str">
        <x:f>IF(J94="DONE","RETURNED",IF(U94="BLOCKED_PENDING_RECEIPT","SOURCE_TOUCH_REQUIRED","IN_PROGRESS"))</x:f>
        <x:v>SOURCE_TOUCH_REQUIRED</x:v>
      </x:c>
      <x:c r="W94" s="12" t="str">
        <x:f>IF(P94="Unverified","missing_receipt","receipt_logged")</x:f>
        <x:v>missing_receipt</x:v>
      </x:c>
      <x:c r="X94" s="12" t="str">
        <x:f>IF(Q94="Not checked","raw_status_missing","raw_status_logged")</x:f>
        <x:v>raw_status_missing</x:v>
      </x:c>
      <x:c r="Y94" s="12" t="str">
        <x:f>IF(U94="BLOCKED_PENDING_RECEIPT","Log source path or blocker; do not promote","Route to review lane")</x:f>
        <x:v>Log source path or blocker; do not promote</x:v>
      </x:c>
      <x:c r="Z94" s="12" t="str">
        <x:f>IF(K94="P0","Primary seat + Hashlight/Lucerna","Seat lane")</x:f>
        <x:v>Seat lane</x:v>
      </x:c>
      <x:c r="AA94" s="12" t="str">
        <x:f>IF(R94="","no_claim_delta","claim_delta_present")</x:f>
        <x:v>no_claim_delta</x:v>
      </x:c>
      <x:c r="AB94" s="12" t="str">
        <x:f>IF(S94="","no_contradiction_delta","contradiction_delta_present")</x:f>
        <x:v>no_contradiction_delta</x:v>
      </x:c>
      <x:c r="AC94" s="12" t="str">
        <x:f>IF(OR(ISNUMBER(SEARCH("hacker",LOWER(F94&amp;" "&amp;H94&amp;" "&amp;I94&amp;" "&amp;M94&amp;" "&amp;N94&amp;" "&amp;T94))),ISNUMBER(SEARCH("hacking",LOWER(F94&amp;" "&amp;H94&amp;" "&amp;I94&amp;" "&amp;M94&amp;" "&amp;N94&amp;" "&amp;T94))),ISNUMBER(SEARCH("bank",LOWER(F94&amp;" "&amp;H94&amp;" "&amp;I94&amp;" "&amp;M94&amp;" "&amp;N94&amp;" "&amp;T94))),ISNUMBER(SEARCH("banking",LOWER(F94&amp;" "&amp;H94&amp;" "&amp;I94&amp;" "&amp;M94&amp;" "&amp;N94&amp;" "&amp;T94)))),"PRIVATE_QUARANTINE",IF(OR(ISNUMBER(SEARCH("treasury",LOWER(F94&amp;" "&amp;H94&amp;" "&amp;I94&amp;" "&amp;M94&amp;" "&amp;N94&amp;" "&amp;T94))),ISNUMBER(SEARCH("debt",LOWER(F94&amp;" "&amp;H94&amp;" "&amp;I94&amp;" "&amp;M94&amp;" "&amp;N94&amp;" "&amp;T94))),ISNUMBER(SEARCH("bond",LOWER(F94&amp;" "&amp;H94&amp;" "&amp;I94&amp;" "&amp;M94&amp;" "&amp;N94&amp;" "&amp;T94))),ISNUMBER(SEARCH("transaction",LOWER(F94&amp;" "&amp;H94&amp;" "&amp;I94&amp;" "&amp;M94&amp;" "&amp;N94&amp;" "&amp;T94)))),"PRIVATE_REVIEW","PUBLIC_CANDIDATE"))</x:f>
        <x:v>PUBLIC_CANDIDATE</x:v>
      </x:c>
      <x:c r="AD94" s="12" t="str">
        <x:f>IF(AC94="PRIVATE_QUARANTINE","hacker_or_bank_trigger",IF(AC94="PRIVATE_REVIEW","finance_risk_trigger","none"))</x:f>
        <x:v>none</x:v>
      </x:c>
      <x:c r="AE94" s="12" t="str">
        <x:f>IF(AC94="PUBLIC_CANDIDATE","prepare_public_github_candidate",IF(AC94="PRIVATE_REVIEW","hold_for_private_review","quarantine_private_do_not_publish"))</x:f>
        <x:v>prepare_public_github_candidate</x:v>
      </x:c>
      <x:c r="AF94" s="12" t="str">
        <x:f>IF(AC94="PUBLIC_CANDIDATE","TIDELOCK + Lucerna",IF(AC94="PRIVATE_REVIEW","AtlasBrain + Lucerna","TIDELOCK + Lucerna + Human-root"))</x:f>
        <x:v>TIDELOCK + Lucerna</x:v>
      </x:c>
      <x:c r="AG94" s="12" t="str">
        <x:f>IF(AND(AC94="PUBLIC_CANDIDATE",U94&lt;&gt;"BLOCKED_PENDING_RECEIPT"),"READY_AFTER_RECEIPT","NOT_READY")</x:f>
        <x:v>NOT_READY</x:v>
      </x:c>
      <x:c r="AH94" s="12" t="str">
        <x:f>IF(AC94="PUBLIC_CANDIDATE","none",AD94)</x:f>
        <x:v>none</x:v>
      </x:c>
      <x:c r="AI94" s="12" t="str">
        <x:f>IF(AC94="PUBLIC_CANDIDATE","archive/public_candidates/"&amp;A94,"private_quarantine/"&amp;A94)</x:f>
        <x:v>archive/public_candidates/SWARM-01-H08-S09</x:v>
      </x:c>
      <x:c r="AJ94" s="12" t="str">
        <x:f>IF(AC94="PUBLIC_CANDIDATE","public by default; still not canon","private/hold; do not publish")</x:f>
        <x:v>public by default; still not canon</x:v>
      </x:c>
      <x:c r="AK94" s="12" t="str">
        <x:f>IF(AE94="prepare_public_github_candidate","add receipt/status then mirror","resolve blocker before any public GitHub action")</x:f>
        <x:v>add receipt/status then mirror</x:v>
      </x:c>
    </x:row>
    <x:row r="95">
      <x:c r="A95" s="15" t="str">
        <x:v>SWARM-01-H08-S10</x:v>
      </x:c>
      <x:c r="B95" s="15" t="str">
        <x:v>Ledgerwake</x:v>
      </x:c>
      <x:c r="C95" s="15" t="str">
        <x:v>Source receipt keeper</x:v>
      </x:c>
      <x:c r="D95" s="15" t="str">
        <x:v>Graph Edge Proposals</x:v>
      </x:c>
      <x:c r="E95" s="15" t="str">
        <x:v>Human-Root</x:v>
      </x:c>
      <x:c r="F95" s="15" t="str">
        <x:v>Propose graph edges for Human-Root — Ledgerwake</x:v>
      </x:c>
      <x:c r="G95" s="15" t="str">
        <x:v>inventory / receipts / raw custody</x:v>
      </x:c>
      <x:c r="H95" s="15" t="str">
        <x:v>source path + receipt + raw/export status + claim/edge/risk delta</x:v>
      </x:c>
      <x:c r="I95" s="15" t="str">
        <x:v>packet/SWARM-01-H08-S10</x:v>
      </x:c>
      <x:c r="J95" s="15" t="str">
        <x:v>TODO</x:v>
      </x:c>
      <x:c r="K95" s="15" t="str">
        <x:v>P2</x:v>
      </x:c>
      <x:c r="L95" s="15" t="str">
        <x:v>Done only when evidence is logged, contradiction search is noted, and boundary stamp remains non-canon unless ratified</x:v>
      </x:c>
      <x:c r="M95" s="15" t="str">
        <x:v>candidate / staging-only / not canon / not deployed / authority none</x:v>
      </x:c>
      <x:c r="N95" s="15" t="str">
        <x:v>Dispatch to Ledgerwake: complete Graph Edge Proposals x Human-Root; return deltas only, receipts required.</x:v>
      </x:c>
      <x:c r="O95" s="15" t="str">
        <x:v>AF-KG-H08-S10</x:v>
      </x:c>
      <x:c r="P95" s="15" t="str">
        <x:v>Unverified</x:v>
      </x:c>
      <x:c r="Q95" s="15" t="str">
        <x:v>Not checked</x:v>
      </x:c>
      <x:c r="R95" s="15" t="str"/>
      <x:c r="S95" s="15" t="str"/>
      <x:c r="T95" s="15" t="str">
        <x:v>Log first source path or blocker</x:v>
      </x:c>
      <x:c r="U95" s="12" t="str">
        <x:f>IF(OR(P95="Unverified",Q95="Not checked"),"BLOCKED_PENDING_RECEIPT","READY_FOR_REVIEW")</x:f>
        <x:v>BLOCKED_PENDING_RECEIPT</x:v>
      </x:c>
      <x:c r="V95" s="12" t="str">
        <x:f>IF(J95="DONE","RETURNED",IF(U95="BLOCKED_PENDING_RECEIPT","SOURCE_TOUCH_REQUIRED","IN_PROGRESS"))</x:f>
        <x:v>SOURCE_TOUCH_REQUIRED</x:v>
      </x:c>
      <x:c r="W95" s="12" t="str">
        <x:f>IF(P95="Unverified","missing_receipt","receipt_logged")</x:f>
        <x:v>missing_receipt</x:v>
      </x:c>
      <x:c r="X95" s="12" t="str">
        <x:f>IF(Q95="Not checked","raw_status_missing","raw_status_logged")</x:f>
        <x:v>raw_status_missing</x:v>
      </x:c>
      <x:c r="Y95" s="12" t="str">
        <x:f>IF(U95="BLOCKED_PENDING_RECEIPT","Log source path or blocker; do not promote","Route to review lane")</x:f>
        <x:v>Log source path or blocker; do not promote</x:v>
      </x:c>
      <x:c r="Z95" s="12" t="str">
        <x:f>IF(K95="P0","Primary seat + Hashlight/Lucerna","Seat lane")</x:f>
        <x:v>Seat lane</x:v>
      </x:c>
      <x:c r="AA95" s="12" t="str">
        <x:f>IF(R95="","no_claim_delta","claim_delta_present")</x:f>
        <x:v>no_claim_delta</x:v>
      </x:c>
      <x:c r="AB95" s="12" t="str">
        <x:f>IF(S95="","no_contradiction_delta","contradiction_delta_present")</x:f>
        <x:v>no_contradiction_delta</x:v>
      </x:c>
      <x:c r="AC95" s="12" t="str">
        <x:f>IF(OR(ISNUMBER(SEARCH("hacker",LOWER(F95&amp;" "&amp;H95&amp;" "&amp;I95&amp;" "&amp;M95&amp;" "&amp;N95&amp;" "&amp;T95))),ISNUMBER(SEARCH("hacking",LOWER(F95&amp;" "&amp;H95&amp;" "&amp;I95&amp;" "&amp;M95&amp;" "&amp;N95&amp;" "&amp;T95))),ISNUMBER(SEARCH("bank",LOWER(F95&amp;" "&amp;H95&amp;" "&amp;I95&amp;" "&amp;M95&amp;" "&amp;N95&amp;" "&amp;T95))),ISNUMBER(SEARCH("banking",LOWER(F95&amp;" "&amp;H95&amp;" "&amp;I95&amp;" "&amp;M95&amp;" "&amp;N95&amp;" "&amp;T95)))),"PRIVATE_QUARANTINE",IF(OR(ISNUMBER(SEARCH("treasury",LOWER(F95&amp;" "&amp;H95&amp;" "&amp;I95&amp;" "&amp;M95&amp;" "&amp;N95&amp;" "&amp;T95))),ISNUMBER(SEARCH("debt",LOWER(F95&amp;" "&amp;H95&amp;" "&amp;I95&amp;" "&amp;M95&amp;" "&amp;N95&amp;" "&amp;T95))),ISNUMBER(SEARCH("bond",LOWER(F95&amp;" "&amp;H95&amp;" "&amp;I95&amp;" "&amp;M95&amp;" "&amp;N95&amp;" "&amp;T95))),ISNUMBER(SEARCH("transaction",LOWER(F95&amp;" "&amp;H95&amp;" "&amp;I95&amp;" "&amp;M95&amp;" "&amp;N95&amp;" "&amp;T95)))),"PRIVATE_REVIEW","PUBLIC_CANDIDATE"))</x:f>
        <x:v>PUBLIC_CANDIDATE</x:v>
      </x:c>
      <x:c r="AD95" s="12" t="str">
        <x:f>IF(AC95="PRIVATE_QUARANTINE","hacker_or_bank_trigger",IF(AC95="PRIVATE_REVIEW","finance_risk_trigger","none"))</x:f>
        <x:v>none</x:v>
      </x:c>
      <x:c r="AE95" s="12" t="str">
        <x:f>IF(AC95="PUBLIC_CANDIDATE","prepare_public_github_candidate",IF(AC95="PRIVATE_REVIEW","hold_for_private_review","quarantine_private_do_not_publish"))</x:f>
        <x:v>prepare_public_github_candidate</x:v>
      </x:c>
      <x:c r="AF95" s="12" t="str">
        <x:f>IF(AC95="PUBLIC_CANDIDATE","TIDELOCK + Lucerna",IF(AC95="PRIVATE_REVIEW","AtlasBrain + Lucerna","TIDELOCK + Lucerna + Human-root"))</x:f>
        <x:v>TIDELOCK + Lucerna</x:v>
      </x:c>
      <x:c r="AG95" s="12" t="str">
        <x:f>IF(AND(AC95="PUBLIC_CANDIDATE",U95&lt;&gt;"BLOCKED_PENDING_RECEIPT"),"READY_AFTER_RECEIPT","NOT_READY")</x:f>
        <x:v>NOT_READY</x:v>
      </x:c>
      <x:c r="AH95" s="12" t="str">
        <x:f>IF(AC95="PUBLIC_CANDIDATE","none",AD95)</x:f>
        <x:v>none</x:v>
      </x:c>
      <x:c r="AI95" s="12" t="str">
        <x:f>IF(AC95="PUBLIC_CANDIDATE","archive/public_candidates/"&amp;A95,"private_quarantine/"&amp;A95)</x:f>
        <x:v>archive/public_candidates/SWARM-01-H08-S10</x:v>
      </x:c>
      <x:c r="AJ95" s="12" t="str">
        <x:f>IF(AC95="PUBLIC_CANDIDATE","public by default; still not canon","private/hold; do not publish")</x:f>
        <x:v>public by default; still not canon</x:v>
      </x:c>
      <x:c r="AK95" s="12" t="str">
        <x:f>IF(AE95="prepare_public_github_candidate","add receipt/status then mirror","resolve blocker before any public GitHub action")</x:f>
        <x:v>add receipt/status then mirror</x:v>
      </x:c>
    </x:row>
    <x:row r="96">
      <x:c r="A96" s="15" t="str">
        <x:v>SWARM-01-H08-S11</x:v>
      </x:c>
      <x:c r="B96" s="15" t="str">
        <x:v>Ledgerwake</x:v>
      </x:c>
      <x:c r="C96" s="15" t="str">
        <x:v>Source receipt keeper</x:v>
      </x:c>
      <x:c r="D96" s="15" t="str">
        <x:v>Graph Edge Proposals</x:v>
      </x:c>
      <x:c r="E96" s="15" t="str">
        <x:v>Automation</x:v>
      </x:c>
      <x:c r="F96" s="15" t="str">
        <x:v>Propose graph edges for Automation — Ledgerwake</x:v>
      </x:c>
      <x:c r="G96" s="15" t="str">
        <x:v>inventory / receipts / raw custody</x:v>
      </x:c>
      <x:c r="H96" s="15" t="str">
        <x:v>source path + receipt + raw/export status + claim/edge/risk delta</x:v>
      </x:c>
      <x:c r="I96" s="15" t="str">
        <x:v>packet/SWARM-01-H08-S11</x:v>
      </x:c>
      <x:c r="J96" s="15" t="str">
        <x:v>TODO</x:v>
      </x:c>
      <x:c r="K96" s="15" t="str">
        <x:v>P2</x:v>
      </x:c>
      <x:c r="L96" s="15" t="str">
        <x:v>Done only when evidence is logged, contradiction search is noted, and boundary stamp remains non-canon unless ratified</x:v>
      </x:c>
      <x:c r="M96" s="15" t="str">
        <x:v>candidate / staging-only / not canon / not deployed / authority none</x:v>
      </x:c>
      <x:c r="N96" s="15" t="str">
        <x:v>Dispatch to Ledgerwake: complete Graph Edge Proposals x Automation; return deltas only, receipts required.</x:v>
      </x:c>
      <x:c r="O96" s="15" t="str">
        <x:v>AF-KG-H08-S11</x:v>
      </x:c>
      <x:c r="P96" s="15" t="str">
        <x:v>Unverified</x:v>
      </x:c>
      <x:c r="Q96" s="15" t="str">
        <x:v>Not checked</x:v>
      </x:c>
      <x:c r="R96" s="15" t="str"/>
      <x:c r="S96" s="15" t="str"/>
      <x:c r="T96" s="15" t="str">
        <x:v>Log first source path or blocker</x:v>
      </x:c>
      <x:c r="U96" s="12" t="str">
        <x:f>IF(OR(P96="Unverified",Q96="Not checked"),"BLOCKED_PENDING_RECEIPT","READY_FOR_REVIEW")</x:f>
        <x:v>BLOCKED_PENDING_RECEIPT</x:v>
      </x:c>
      <x:c r="V96" s="12" t="str">
        <x:f>IF(J96="DONE","RETURNED",IF(U96="BLOCKED_PENDING_RECEIPT","SOURCE_TOUCH_REQUIRED","IN_PROGRESS"))</x:f>
        <x:v>SOURCE_TOUCH_REQUIRED</x:v>
      </x:c>
      <x:c r="W96" s="12" t="str">
        <x:f>IF(P96="Unverified","missing_receipt","receipt_logged")</x:f>
        <x:v>missing_receipt</x:v>
      </x:c>
      <x:c r="X96" s="12" t="str">
        <x:f>IF(Q96="Not checked","raw_status_missing","raw_status_logged")</x:f>
        <x:v>raw_status_missing</x:v>
      </x:c>
      <x:c r="Y96" s="12" t="str">
        <x:f>IF(U96="BLOCKED_PENDING_RECEIPT","Log source path or blocker; do not promote","Route to review lane")</x:f>
        <x:v>Log source path or blocker; do not promote</x:v>
      </x:c>
      <x:c r="Z96" s="12" t="str">
        <x:f>IF(K96="P0","Primary seat + Hashlight/Lucerna","Seat lane")</x:f>
        <x:v>Seat lane</x:v>
      </x:c>
      <x:c r="AA96" s="12" t="str">
        <x:f>IF(R96="","no_claim_delta","claim_delta_present")</x:f>
        <x:v>no_claim_delta</x:v>
      </x:c>
      <x:c r="AB96" s="12" t="str">
        <x:f>IF(S96="","no_contradiction_delta","contradiction_delta_present")</x:f>
        <x:v>no_contradiction_delta</x:v>
      </x:c>
      <x:c r="AC96" s="12" t="str">
        <x:f>IF(OR(ISNUMBER(SEARCH("hacker",LOWER(F96&amp;" "&amp;H96&amp;" "&amp;I96&amp;" "&amp;M96&amp;" "&amp;N96&amp;" "&amp;T96))),ISNUMBER(SEARCH("hacking",LOWER(F96&amp;" "&amp;H96&amp;" "&amp;I96&amp;" "&amp;M96&amp;" "&amp;N96&amp;" "&amp;T96))),ISNUMBER(SEARCH("bank",LOWER(F96&amp;" "&amp;H96&amp;" "&amp;I96&amp;" "&amp;M96&amp;" "&amp;N96&amp;" "&amp;T96))),ISNUMBER(SEARCH("banking",LOWER(F96&amp;" "&amp;H96&amp;" "&amp;I96&amp;" "&amp;M96&amp;" "&amp;N96&amp;" "&amp;T96)))),"PRIVATE_QUARANTINE",IF(OR(ISNUMBER(SEARCH("treasury",LOWER(F96&amp;" "&amp;H96&amp;" "&amp;I96&amp;" "&amp;M96&amp;" "&amp;N96&amp;" "&amp;T96))),ISNUMBER(SEARCH("debt",LOWER(F96&amp;" "&amp;H96&amp;" "&amp;I96&amp;" "&amp;M96&amp;" "&amp;N96&amp;" "&amp;T96))),ISNUMBER(SEARCH("bond",LOWER(F96&amp;" "&amp;H96&amp;" "&amp;I96&amp;" "&amp;M96&amp;" "&amp;N96&amp;" "&amp;T96))),ISNUMBER(SEARCH("transaction",LOWER(F96&amp;" "&amp;H96&amp;" "&amp;I96&amp;" "&amp;M96&amp;" "&amp;N96&amp;" "&amp;T96)))),"PRIVATE_REVIEW","PUBLIC_CANDIDATE"))</x:f>
        <x:v>PUBLIC_CANDIDATE</x:v>
      </x:c>
      <x:c r="AD96" s="12" t="str">
        <x:f>IF(AC96="PRIVATE_QUARANTINE","hacker_or_bank_trigger",IF(AC96="PRIVATE_REVIEW","finance_risk_trigger","none"))</x:f>
        <x:v>none</x:v>
      </x:c>
      <x:c r="AE96" s="12" t="str">
        <x:f>IF(AC96="PUBLIC_CANDIDATE","prepare_public_github_candidate",IF(AC96="PRIVATE_REVIEW","hold_for_private_review","quarantine_private_do_not_publish"))</x:f>
        <x:v>prepare_public_github_candidate</x:v>
      </x:c>
      <x:c r="AF96" s="12" t="str">
        <x:f>IF(AC96="PUBLIC_CANDIDATE","TIDELOCK + Lucerna",IF(AC96="PRIVATE_REVIEW","AtlasBrain + Lucerna","TIDELOCK + Lucerna + Human-root"))</x:f>
        <x:v>TIDELOCK + Lucerna</x:v>
      </x:c>
      <x:c r="AG96" s="12" t="str">
        <x:f>IF(AND(AC96="PUBLIC_CANDIDATE",U96&lt;&gt;"BLOCKED_PENDING_RECEIPT"),"READY_AFTER_RECEIPT","NOT_READY")</x:f>
        <x:v>NOT_READY</x:v>
      </x:c>
      <x:c r="AH96" s="12" t="str">
        <x:f>IF(AC96="PUBLIC_CANDIDATE","none",AD96)</x:f>
        <x:v>none</x:v>
      </x:c>
      <x:c r="AI96" s="12" t="str">
        <x:f>IF(AC96="PUBLIC_CANDIDATE","archive/public_candidates/"&amp;A96,"private_quarantine/"&amp;A96)</x:f>
        <x:v>archive/public_candidates/SWARM-01-H08-S11</x:v>
      </x:c>
      <x:c r="AJ96" s="12" t="str">
        <x:f>IF(AC96="PUBLIC_CANDIDATE","public by default; still not canon","private/hold; do not publish")</x:f>
        <x:v>public by default; still not canon</x:v>
      </x:c>
      <x:c r="AK96" s="12" t="str">
        <x:f>IF(AE96="prepare_public_github_candidate","add receipt/status then mirror","resolve blocker before any public GitHub action")</x:f>
        <x:v>add receipt/status then mirror</x:v>
      </x:c>
    </x:row>
    <x:row r="97">
      <x:c r="A97" s="15" t="str">
        <x:v>SWARM-01-H08-S12</x:v>
      </x:c>
      <x:c r="B97" s="15" t="str">
        <x:v>Ledgerwake</x:v>
      </x:c>
      <x:c r="C97" s="15" t="str">
        <x:v>Source receipt keeper</x:v>
      </x:c>
      <x:c r="D97" s="15" t="str">
        <x:v>Graph Edge Proposals</x:v>
      </x:c>
      <x:c r="E97" s="15" t="str">
        <x:v>Risk / Safety</x:v>
      </x:c>
      <x:c r="F97" s="15" t="str">
        <x:v>Propose graph edges for Risk / Safety — Ledgerwake</x:v>
      </x:c>
      <x:c r="G97" s="15" t="str">
        <x:v>inventory / receipts / raw custody</x:v>
      </x:c>
      <x:c r="H97" s="15" t="str">
        <x:v>source path + receipt + raw/export status + claim/edge/risk delta</x:v>
      </x:c>
      <x:c r="I97" s="15" t="str">
        <x:v>packet/SWARM-01-H08-S12</x:v>
      </x:c>
      <x:c r="J97" s="15" t="str">
        <x:v>TODO</x:v>
      </x:c>
      <x:c r="K97" s="15" t="str">
        <x:v>P2</x:v>
      </x:c>
      <x:c r="L97" s="15" t="str">
        <x:v>Done only when evidence is logged, contradiction search is noted, and boundary stamp remains non-canon unless ratified</x:v>
      </x:c>
      <x:c r="M97" s="15" t="str">
        <x:v>candidate / staging-only / not canon / not deployed / authority none</x:v>
      </x:c>
      <x:c r="N97" s="15" t="str">
        <x:v>Dispatch to Ledgerwake: complete Graph Edge Proposals x Risk / Safety; return deltas only, receipts required.</x:v>
      </x:c>
      <x:c r="O97" s="15" t="str">
        <x:v>AF-KG-H08-S12</x:v>
      </x:c>
      <x:c r="P97" s="15" t="str">
        <x:v>Unverified</x:v>
      </x:c>
      <x:c r="Q97" s="15" t="str">
        <x:v>Not checked</x:v>
      </x:c>
      <x:c r="R97" s="15" t="str"/>
      <x:c r="S97" s="15" t="str"/>
      <x:c r="T97" s="15" t="str">
        <x:v>Log first source path or blocker</x:v>
      </x:c>
      <x:c r="U97" s="12" t="str">
        <x:f>IF(OR(P97="Unverified",Q97="Not checked"),"BLOCKED_PENDING_RECEIPT","READY_FOR_REVIEW")</x:f>
        <x:v>BLOCKED_PENDING_RECEIPT</x:v>
      </x:c>
      <x:c r="V97" s="12" t="str">
        <x:f>IF(J97="DONE","RETURNED",IF(U97="BLOCKED_PENDING_RECEIPT","SOURCE_TOUCH_REQUIRED","IN_PROGRESS"))</x:f>
        <x:v>SOURCE_TOUCH_REQUIRED</x:v>
      </x:c>
      <x:c r="W97" s="12" t="str">
        <x:f>IF(P97="Unverified","missing_receipt","receipt_logged")</x:f>
        <x:v>missing_receipt</x:v>
      </x:c>
      <x:c r="X97" s="12" t="str">
        <x:f>IF(Q97="Not checked","raw_status_missing","raw_status_logged")</x:f>
        <x:v>raw_status_missing</x:v>
      </x:c>
      <x:c r="Y97" s="12" t="str">
        <x:f>IF(U97="BLOCKED_PENDING_RECEIPT","Log source path or blocker; do not promote","Route to review lane")</x:f>
        <x:v>Log source path or blocker; do not promote</x:v>
      </x:c>
      <x:c r="Z97" s="12" t="str">
        <x:f>IF(K97="P0","Primary seat + Hashlight/Lucerna","Seat lane")</x:f>
        <x:v>Seat lane</x:v>
      </x:c>
      <x:c r="AA97" s="12" t="str">
        <x:f>IF(R97="","no_claim_delta","claim_delta_present")</x:f>
        <x:v>no_claim_delta</x:v>
      </x:c>
      <x:c r="AB97" s="12" t="str">
        <x:f>IF(S97="","no_contradiction_delta","contradiction_delta_present")</x:f>
        <x:v>no_contradiction_delta</x:v>
      </x:c>
      <x:c r="AC97" s="12" t="str">
        <x:f>IF(OR(ISNUMBER(SEARCH("hacker",LOWER(F97&amp;" "&amp;H97&amp;" "&amp;I97&amp;" "&amp;M97&amp;" "&amp;N97&amp;" "&amp;T97))),ISNUMBER(SEARCH("hacking",LOWER(F97&amp;" "&amp;H97&amp;" "&amp;I97&amp;" "&amp;M97&amp;" "&amp;N97&amp;" "&amp;T97))),ISNUMBER(SEARCH("bank",LOWER(F97&amp;" "&amp;H97&amp;" "&amp;I97&amp;" "&amp;M97&amp;" "&amp;N97&amp;" "&amp;T97))),ISNUMBER(SEARCH("banking",LOWER(F97&amp;" "&amp;H97&amp;" "&amp;I97&amp;" "&amp;M97&amp;" "&amp;N97&amp;" "&amp;T97)))),"PRIVATE_QUARANTINE",IF(OR(ISNUMBER(SEARCH("treasury",LOWER(F97&amp;" "&amp;H97&amp;" "&amp;I97&amp;" "&amp;M97&amp;" "&amp;N97&amp;" "&amp;T97))),ISNUMBER(SEARCH("debt",LOWER(F97&amp;" "&amp;H97&amp;" "&amp;I97&amp;" "&amp;M97&amp;" "&amp;N97&amp;" "&amp;T97))),ISNUMBER(SEARCH("bond",LOWER(F97&amp;" "&amp;H97&amp;" "&amp;I97&amp;" "&amp;M97&amp;" "&amp;N97&amp;" "&amp;T97))),ISNUMBER(SEARCH("transaction",LOWER(F97&amp;" "&amp;H97&amp;" "&amp;I97&amp;" "&amp;M97&amp;" "&amp;N97&amp;" "&amp;T97)))),"PRIVATE_REVIEW","PUBLIC_CANDIDATE"))</x:f>
        <x:v>PUBLIC_CANDIDATE</x:v>
      </x:c>
      <x:c r="AD97" s="12" t="str">
        <x:f>IF(AC97="PRIVATE_QUARANTINE","hacker_or_bank_trigger",IF(AC97="PRIVATE_REVIEW","finance_risk_trigger","none"))</x:f>
        <x:v>none</x:v>
      </x:c>
      <x:c r="AE97" s="12" t="str">
        <x:f>IF(AC97="PUBLIC_CANDIDATE","prepare_public_github_candidate",IF(AC97="PRIVATE_REVIEW","hold_for_private_review","quarantine_private_do_not_publish"))</x:f>
        <x:v>prepare_public_github_candidate</x:v>
      </x:c>
      <x:c r="AF97" s="12" t="str">
        <x:f>IF(AC97="PUBLIC_CANDIDATE","TIDELOCK + Lucerna",IF(AC97="PRIVATE_REVIEW","AtlasBrain + Lucerna","TIDELOCK + Lucerna + Human-root"))</x:f>
        <x:v>TIDELOCK + Lucerna</x:v>
      </x:c>
      <x:c r="AG97" s="12" t="str">
        <x:f>IF(AND(AC97="PUBLIC_CANDIDATE",U97&lt;&gt;"BLOCKED_PENDING_RECEIPT"),"READY_AFTER_RECEIPT","NOT_READY")</x:f>
        <x:v>NOT_READY</x:v>
      </x:c>
      <x:c r="AH97" s="12" t="str">
        <x:f>IF(AC97="PUBLIC_CANDIDATE","none",AD97)</x:f>
        <x:v>none</x:v>
      </x:c>
      <x:c r="AI97" s="12" t="str">
        <x:f>IF(AC97="PUBLIC_CANDIDATE","archive/public_candidates/"&amp;A97,"private_quarantine/"&amp;A97)</x:f>
        <x:v>archive/public_candidates/SWARM-01-H08-S12</x:v>
      </x:c>
      <x:c r="AJ97" s="12" t="str">
        <x:f>IF(AC97="PUBLIC_CANDIDATE","public by default; still not canon","private/hold; do not publish")</x:f>
        <x:v>public by default; still not canon</x:v>
      </x:c>
      <x:c r="AK97" s="12" t="str">
        <x:f>IF(AE97="prepare_public_github_candidate","add receipt/status then mirror","resolve blocker before any public GitHub action")</x:f>
        <x:v>add receipt/status then mirror</x:v>
      </x:c>
    </x:row>
    <x:row r="98">
      <x:c r="A98" s="15" t="str">
        <x:v>SWARM-01-H09-S01</x:v>
      </x:c>
      <x:c r="B98" s="15" t="str">
        <x:v>Ledgerwake</x:v>
      </x:c>
      <x:c r="C98" s="15" t="str">
        <x:v>Source receipt keeper</x:v>
      </x:c>
      <x:c r="D98" s="15" t="str">
        <x:v>Review Queues</x:v>
      </x:c>
      <x:c r="E98" s="15" t="str">
        <x:v>Notion</x:v>
      </x:c>
      <x:c r="F98" s="15" t="str">
        <x:v>Queue review for Notion — Ledgerwake</x:v>
      </x:c>
      <x:c r="G98" s="15" t="str">
        <x:v>inventory / receipts / raw custody</x:v>
      </x:c>
      <x:c r="H98" s="15" t="str">
        <x:v>source path + receipt + raw/export status + claim/edge/risk delta</x:v>
      </x:c>
      <x:c r="I98" s="15" t="str">
        <x:v>packet/SWARM-01-H09-S01</x:v>
      </x:c>
      <x:c r="J98" s="15" t="str">
        <x:v>TODO</x:v>
      </x:c>
      <x:c r="K98" s="15" t="str">
        <x:v>P0</x:v>
      </x:c>
      <x:c r="L98" s="15" t="str">
        <x:v>Done only when evidence is logged, contradiction search is noted, and boundary stamp remains non-canon unless ratified</x:v>
      </x:c>
      <x:c r="M98" s="15" t="str">
        <x:v>candidate / staging-only / not canon / not deployed / authority none</x:v>
      </x:c>
      <x:c r="N98" s="15" t="str">
        <x:v>Dispatch to Ledgerwake: complete Review Queues x Notion; return deltas only, receipts required.</x:v>
      </x:c>
      <x:c r="O98" s="15" t="str">
        <x:v>AF-KG-H09-S01</x:v>
      </x:c>
      <x:c r="P98" s="15" t="str">
        <x:v>Unverified</x:v>
      </x:c>
      <x:c r="Q98" s="15" t="str">
        <x:v>Not checked</x:v>
      </x:c>
      <x:c r="R98" s="15" t="str"/>
      <x:c r="S98" s="15" t="str"/>
      <x:c r="T98" s="15" t="str">
        <x:v>Log first source path or blocker</x:v>
      </x:c>
      <x:c r="U98" s="12" t="str">
        <x:f>IF(OR(P98="Unverified",Q98="Not checked"),"BLOCKED_PENDING_RECEIPT","READY_FOR_REVIEW")</x:f>
        <x:v>BLOCKED_PENDING_RECEIPT</x:v>
      </x:c>
      <x:c r="V98" s="12" t="str">
        <x:f>IF(J98="DONE","RETURNED",IF(U98="BLOCKED_PENDING_RECEIPT","SOURCE_TOUCH_REQUIRED","IN_PROGRESS"))</x:f>
        <x:v>SOURCE_TOUCH_REQUIRED</x:v>
      </x:c>
      <x:c r="W98" s="12" t="str">
        <x:f>IF(P98="Unverified","missing_receipt","receipt_logged")</x:f>
        <x:v>missing_receipt</x:v>
      </x:c>
      <x:c r="X98" s="12" t="str">
        <x:f>IF(Q98="Not checked","raw_status_missing","raw_status_logged")</x:f>
        <x:v>raw_status_missing</x:v>
      </x:c>
      <x:c r="Y98" s="12" t="str">
        <x:f>IF(U98="BLOCKED_PENDING_RECEIPT","Log source path or blocker; do not promote","Route to review lane")</x:f>
        <x:v>Log source path or blocker; do not promote</x:v>
      </x:c>
      <x:c r="Z98" s="12" t="str">
        <x:f>IF(K98="P0","Primary seat + Hashlight/Lucerna","Seat lane")</x:f>
        <x:v>Primary seat + Hashlight/Lucerna</x:v>
      </x:c>
      <x:c r="AA98" s="12" t="str">
        <x:f>IF(R98="","no_claim_delta","claim_delta_present")</x:f>
        <x:v>no_claim_delta</x:v>
      </x:c>
      <x:c r="AB98" s="12" t="str">
        <x:f>IF(S98="","no_contradiction_delta","contradiction_delta_present")</x:f>
        <x:v>no_contradiction_delta</x:v>
      </x:c>
      <x:c r="AC98" s="12" t="str">
        <x:f>IF(OR(ISNUMBER(SEARCH("hacker",LOWER(F98&amp;" "&amp;H98&amp;" "&amp;I98&amp;" "&amp;M98&amp;" "&amp;N98&amp;" "&amp;T98))),ISNUMBER(SEARCH("hacking",LOWER(F98&amp;" "&amp;H98&amp;" "&amp;I98&amp;" "&amp;M98&amp;" "&amp;N98&amp;" "&amp;T98))),ISNUMBER(SEARCH("bank",LOWER(F98&amp;" "&amp;H98&amp;" "&amp;I98&amp;" "&amp;M98&amp;" "&amp;N98&amp;" "&amp;T98))),ISNUMBER(SEARCH("banking",LOWER(F98&amp;" "&amp;H98&amp;" "&amp;I98&amp;" "&amp;M98&amp;" "&amp;N98&amp;" "&amp;T98)))),"PRIVATE_QUARANTINE",IF(OR(ISNUMBER(SEARCH("treasury",LOWER(F98&amp;" "&amp;H98&amp;" "&amp;I98&amp;" "&amp;M98&amp;" "&amp;N98&amp;" "&amp;T98))),ISNUMBER(SEARCH("debt",LOWER(F98&amp;" "&amp;H98&amp;" "&amp;I98&amp;" "&amp;M98&amp;" "&amp;N98&amp;" "&amp;T98))),ISNUMBER(SEARCH("bond",LOWER(F98&amp;" "&amp;H98&amp;" "&amp;I98&amp;" "&amp;M98&amp;" "&amp;N98&amp;" "&amp;T98))),ISNUMBER(SEARCH("transaction",LOWER(F98&amp;" "&amp;H98&amp;" "&amp;I98&amp;" "&amp;M98&amp;" "&amp;N98&amp;" "&amp;T98)))),"PRIVATE_REVIEW","PUBLIC_CANDIDATE"))</x:f>
        <x:v>PUBLIC_CANDIDATE</x:v>
      </x:c>
      <x:c r="AD98" s="12" t="str">
        <x:f>IF(AC98="PRIVATE_QUARANTINE","hacker_or_bank_trigger",IF(AC98="PRIVATE_REVIEW","finance_risk_trigger","none"))</x:f>
        <x:v>none</x:v>
      </x:c>
      <x:c r="AE98" s="12" t="str">
        <x:f>IF(AC98="PUBLIC_CANDIDATE","prepare_public_github_candidate",IF(AC98="PRIVATE_REVIEW","hold_for_private_review","quarantine_private_do_not_publish"))</x:f>
        <x:v>prepare_public_github_candidate</x:v>
      </x:c>
      <x:c r="AF98" s="12" t="str">
        <x:f>IF(AC98="PUBLIC_CANDIDATE","TIDELOCK + Lucerna",IF(AC98="PRIVATE_REVIEW","AtlasBrain + Lucerna","TIDELOCK + Lucerna + Human-root"))</x:f>
        <x:v>TIDELOCK + Lucerna</x:v>
      </x:c>
      <x:c r="AG98" s="12" t="str">
        <x:f>IF(AND(AC98="PUBLIC_CANDIDATE",U98&lt;&gt;"BLOCKED_PENDING_RECEIPT"),"READY_AFTER_RECEIPT","NOT_READY")</x:f>
        <x:v>NOT_READY</x:v>
      </x:c>
      <x:c r="AH98" s="12" t="str">
        <x:f>IF(AC98="PUBLIC_CANDIDATE","none",AD98)</x:f>
        <x:v>none</x:v>
      </x:c>
      <x:c r="AI98" s="12" t="str">
        <x:f>IF(AC98="PUBLIC_CANDIDATE","archive/public_candidates/"&amp;A98,"private_quarantine/"&amp;A98)</x:f>
        <x:v>archive/public_candidates/SWARM-01-H09-S01</x:v>
      </x:c>
      <x:c r="AJ98" s="12" t="str">
        <x:f>IF(AC98="PUBLIC_CANDIDATE","public by default; still not canon","private/hold; do not publish")</x:f>
        <x:v>public by default; still not canon</x:v>
      </x:c>
      <x:c r="AK98" s="12" t="str">
        <x:f>IF(AE98="prepare_public_github_candidate","add receipt/status then mirror","resolve blocker before any public GitHub action")</x:f>
        <x:v>add receipt/status then mirror</x:v>
      </x:c>
    </x:row>
    <x:row r="99">
      <x:c r="A99" s="15" t="str">
        <x:v>SWARM-01-H09-S02</x:v>
      </x:c>
      <x:c r="B99" s="15" t="str">
        <x:v>Ledgerwake</x:v>
      </x:c>
      <x:c r="C99" s="15" t="str">
        <x:v>Source receipt keeper</x:v>
      </x:c>
      <x:c r="D99" s="15" t="str">
        <x:v>Review Queues</x:v>
      </x:c>
      <x:c r="E99" s="15" t="str">
        <x:v>Drive</x:v>
      </x:c>
      <x:c r="F99" s="15" t="str">
        <x:v>Queue review for Drive — Ledgerwake</x:v>
      </x:c>
      <x:c r="G99" s="15" t="str">
        <x:v>inventory / receipts / raw custody</x:v>
      </x:c>
      <x:c r="H99" s="15" t="str">
        <x:v>source path + receipt + raw/export status + claim/edge/risk delta</x:v>
      </x:c>
      <x:c r="I99" s="15" t="str">
        <x:v>packet/SWARM-01-H09-S02</x:v>
      </x:c>
      <x:c r="J99" s="15" t="str">
        <x:v>TODO</x:v>
      </x:c>
      <x:c r="K99" s="15" t="str">
        <x:v>P0</x:v>
      </x:c>
      <x:c r="L99" s="15" t="str">
        <x:v>Done only when evidence is logged, contradiction search is noted, and boundary stamp remains non-canon unless ratified</x:v>
      </x:c>
      <x:c r="M99" s="15" t="str">
        <x:v>candidate / staging-only / not canon / not deployed / authority none</x:v>
      </x:c>
      <x:c r="N99" s="15" t="str">
        <x:v>Dispatch to Ledgerwake: complete Review Queues x Drive; return deltas only, receipts required.</x:v>
      </x:c>
      <x:c r="O99" s="15" t="str">
        <x:v>AF-KG-H09-S02</x:v>
      </x:c>
      <x:c r="P99" s="15" t="str">
        <x:v>Unverified</x:v>
      </x:c>
      <x:c r="Q99" s="15" t="str">
        <x:v>Not checked</x:v>
      </x:c>
      <x:c r="R99" s="15" t="str"/>
      <x:c r="S99" s="15" t="str"/>
      <x:c r="T99" s="15" t="str">
        <x:v>Log first source path or blocker</x:v>
      </x:c>
      <x:c r="U99" s="12" t="str">
        <x:f>IF(OR(P99="Unverified",Q99="Not checked"),"BLOCKED_PENDING_RECEIPT","READY_FOR_REVIEW")</x:f>
        <x:v>BLOCKED_PENDING_RECEIPT</x:v>
      </x:c>
      <x:c r="V99" s="12" t="str">
        <x:f>IF(J99="DONE","RETURNED",IF(U99="BLOCKED_PENDING_RECEIPT","SOURCE_TOUCH_REQUIRED","IN_PROGRESS"))</x:f>
        <x:v>SOURCE_TOUCH_REQUIRED</x:v>
      </x:c>
      <x:c r="W99" s="12" t="str">
        <x:f>IF(P99="Unverified","missing_receipt","receipt_logged")</x:f>
        <x:v>missing_receipt</x:v>
      </x:c>
      <x:c r="X99" s="12" t="str">
        <x:f>IF(Q99="Not checked","raw_status_missing","raw_status_logged")</x:f>
        <x:v>raw_status_missing</x:v>
      </x:c>
      <x:c r="Y99" s="12" t="str">
        <x:f>IF(U99="BLOCKED_PENDING_RECEIPT","Log source path or blocker; do not promote","Route to review lane")</x:f>
        <x:v>Log source path or blocker; do not promote</x:v>
      </x:c>
      <x:c r="Z99" s="12" t="str">
        <x:f>IF(K99="P0","Primary seat + Hashlight/Lucerna","Seat lane")</x:f>
        <x:v>Primary seat + Hashlight/Lucerna</x:v>
      </x:c>
      <x:c r="AA99" s="12" t="str">
        <x:f>IF(R99="","no_claim_delta","claim_delta_present")</x:f>
        <x:v>no_claim_delta</x:v>
      </x:c>
      <x:c r="AB99" s="12" t="str">
        <x:f>IF(S99="","no_contradiction_delta","contradiction_delta_present")</x:f>
        <x:v>no_contradiction_delta</x:v>
      </x:c>
      <x:c r="AC99" s="12" t="str">
        <x:f>IF(OR(ISNUMBER(SEARCH("hacker",LOWER(F99&amp;" "&amp;H99&amp;" "&amp;I99&amp;" "&amp;M99&amp;" "&amp;N99&amp;" "&amp;T99))),ISNUMBER(SEARCH("hacking",LOWER(F99&amp;" "&amp;H99&amp;" "&amp;I99&amp;" "&amp;M99&amp;" "&amp;N99&amp;" "&amp;T99))),ISNUMBER(SEARCH("bank",LOWER(F99&amp;" "&amp;H99&amp;" "&amp;I99&amp;" "&amp;M99&amp;" "&amp;N99&amp;" "&amp;T99))),ISNUMBER(SEARCH("banking",LOWER(F99&amp;" "&amp;H99&amp;" "&amp;I99&amp;" "&amp;M99&amp;" "&amp;N99&amp;" "&amp;T99)))),"PRIVATE_QUARANTINE",IF(OR(ISNUMBER(SEARCH("treasury",LOWER(F99&amp;" "&amp;H99&amp;" "&amp;I99&amp;" "&amp;M99&amp;" "&amp;N99&amp;" "&amp;T99))),ISNUMBER(SEARCH("debt",LOWER(F99&amp;" "&amp;H99&amp;" "&amp;I99&amp;" "&amp;M99&amp;" "&amp;N99&amp;" "&amp;T99))),ISNUMBER(SEARCH("bond",LOWER(F99&amp;" "&amp;H99&amp;" "&amp;I99&amp;" "&amp;M99&amp;" "&amp;N99&amp;" "&amp;T99))),ISNUMBER(SEARCH("transaction",LOWER(F99&amp;" "&amp;H99&amp;" "&amp;I99&amp;" "&amp;M99&amp;" "&amp;N99&amp;" "&amp;T99)))),"PRIVATE_REVIEW","PUBLIC_CANDIDATE"))</x:f>
        <x:v>PUBLIC_CANDIDATE</x:v>
      </x:c>
      <x:c r="AD99" s="12" t="str">
        <x:f>IF(AC99="PRIVATE_QUARANTINE","hacker_or_bank_trigger",IF(AC99="PRIVATE_REVIEW","finance_risk_trigger","none"))</x:f>
        <x:v>none</x:v>
      </x:c>
      <x:c r="AE99" s="12" t="str">
        <x:f>IF(AC99="PUBLIC_CANDIDATE","prepare_public_github_candidate",IF(AC99="PRIVATE_REVIEW","hold_for_private_review","quarantine_private_do_not_publish"))</x:f>
        <x:v>prepare_public_github_candidate</x:v>
      </x:c>
      <x:c r="AF99" s="12" t="str">
        <x:f>IF(AC99="PUBLIC_CANDIDATE","TIDELOCK + Lucerna",IF(AC99="PRIVATE_REVIEW","AtlasBrain + Lucerna","TIDELOCK + Lucerna + Human-root"))</x:f>
        <x:v>TIDELOCK + Lucerna</x:v>
      </x:c>
      <x:c r="AG99" s="12" t="str">
        <x:f>IF(AND(AC99="PUBLIC_CANDIDATE",U99&lt;&gt;"BLOCKED_PENDING_RECEIPT"),"READY_AFTER_RECEIPT","NOT_READY")</x:f>
        <x:v>NOT_READY</x:v>
      </x:c>
      <x:c r="AH99" s="12" t="str">
        <x:f>IF(AC99="PUBLIC_CANDIDATE","none",AD99)</x:f>
        <x:v>none</x:v>
      </x:c>
      <x:c r="AI99" s="12" t="str">
        <x:f>IF(AC99="PUBLIC_CANDIDATE","archive/public_candidates/"&amp;A99,"private_quarantine/"&amp;A99)</x:f>
        <x:v>archive/public_candidates/SWARM-01-H09-S02</x:v>
      </x:c>
      <x:c r="AJ99" s="12" t="str">
        <x:f>IF(AC99="PUBLIC_CANDIDATE","public by default; still not canon","private/hold; do not publish")</x:f>
        <x:v>public by default; still not canon</x:v>
      </x:c>
      <x:c r="AK99" s="12" t="str">
        <x:f>IF(AE99="prepare_public_github_candidate","add receipt/status then mirror","resolve blocker before any public GitHub action")</x:f>
        <x:v>add receipt/status then mirror</x:v>
      </x:c>
    </x:row>
    <x:row r="100">
      <x:c r="A100" s="15" t="str">
        <x:v>SWARM-01-H09-S03</x:v>
      </x:c>
      <x:c r="B100" s="15" t="str">
        <x:v>Ledgerwake</x:v>
      </x:c>
      <x:c r="C100" s="15" t="str">
        <x:v>Source receipt keeper</x:v>
      </x:c>
      <x:c r="D100" s="15" t="str">
        <x:v>Review Queues</x:v>
      </x:c>
      <x:c r="E100" s="15" t="str">
        <x:v>GitHub</x:v>
      </x:c>
      <x:c r="F100" s="15" t="str">
        <x:v>Queue review for GitHub — Ledgerwake</x:v>
      </x:c>
      <x:c r="G100" s="15" t="str">
        <x:v>inventory / receipts / raw custody</x:v>
      </x:c>
      <x:c r="H100" s="15" t="str">
        <x:v>source path + receipt + raw/export status + claim/edge/risk delta</x:v>
      </x:c>
      <x:c r="I100" s="15" t="str">
        <x:v>packet/SWARM-01-H09-S03</x:v>
      </x:c>
      <x:c r="J100" s="15" t="str">
        <x:v>TODO</x:v>
      </x:c>
      <x:c r="K100" s="15" t="str">
        <x:v>P0</x:v>
      </x:c>
      <x:c r="L100" s="15" t="str">
        <x:v>Done only when evidence is logged, contradiction search is noted, and boundary stamp remains non-canon unless ratified</x:v>
      </x:c>
      <x:c r="M100" s="15" t="str">
        <x:v>candidate / staging-only / not canon / not deployed / authority none</x:v>
      </x:c>
      <x:c r="N100" s="15" t="str">
        <x:v>Dispatch to Ledgerwake: complete Review Queues x GitHub; return deltas only, receipts required.</x:v>
      </x:c>
      <x:c r="O100" s="15" t="str">
        <x:v>AF-KG-H09-S03</x:v>
      </x:c>
      <x:c r="P100" s="15" t="str">
        <x:v>Unverified</x:v>
      </x:c>
      <x:c r="Q100" s="15" t="str">
        <x:v>Not checked</x:v>
      </x:c>
      <x:c r="R100" s="15" t="str"/>
      <x:c r="S100" s="15" t="str"/>
      <x:c r="T100" s="15" t="str">
        <x:v>Log first source path or blocker</x:v>
      </x:c>
      <x:c r="U100" s="12" t="str">
        <x:f>IF(OR(P100="Unverified",Q100="Not checked"),"BLOCKED_PENDING_RECEIPT","READY_FOR_REVIEW")</x:f>
        <x:v>BLOCKED_PENDING_RECEIPT</x:v>
      </x:c>
      <x:c r="V100" s="12" t="str">
        <x:f>IF(J100="DONE","RETURNED",IF(U100="BLOCKED_PENDING_RECEIPT","SOURCE_TOUCH_REQUIRED","IN_PROGRESS"))</x:f>
        <x:v>SOURCE_TOUCH_REQUIRED</x:v>
      </x:c>
      <x:c r="W100" s="12" t="str">
        <x:f>IF(P100="Unverified","missing_receipt","receipt_logged")</x:f>
        <x:v>missing_receipt</x:v>
      </x:c>
      <x:c r="X100" s="12" t="str">
        <x:f>IF(Q100="Not checked","raw_status_missing","raw_status_logged")</x:f>
        <x:v>raw_status_missing</x:v>
      </x:c>
      <x:c r="Y100" s="12" t="str">
        <x:f>IF(U100="BLOCKED_PENDING_RECEIPT","Log source path or blocker; do not promote","Route to review lane")</x:f>
        <x:v>Log source path or blocker; do not promote</x:v>
      </x:c>
      <x:c r="Z100" s="12" t="str">
        <x:f>IF(K100="P0","Primary seat + Hashlight/Lucerna","Seat lane")</x:f>
        <x:v>Primary seat + Hashlight/Lucerna</x:v>
      </x:c>
      <x:c r="AA100" s="12" t="str">
        <x:f>IF(R100="","no_claim_delta","claim_delta_present")</x:f>
        <x:v>no_claim_delta</x:v>
      </x:c>
      <x:c r="AB100" s="12" t="str">
        <x:f>IF(S100="","no_contradiction_delta","contradiction_delta_present")</x:f>
        <x:v>no_contradiction_delta</x:v>
      </x:c>
      <x:c r="AC100" s="12" t="str">
        <x:f>IF(OR(ISNUMBER(SEARCH("hacker",LOWER(F100&amp;" "&amp;H100&amp;" "&amp;I100&amp;" "&amp;M100&amp;" "&amp;N100&amp;" "&amp;T100))),ISNUMBER(SEARCH("hacking",LOWER(F100&amp;" "&amp;H100&amp;" "&amp;I100&amp;" "&amp;M100&amp;" "&amp;N100&amp;" "&amp;T100))),ISNUMBER(SEARCH("bank",LOWER(F100&amp;" "&amp;H100&amp;" "&amp;I100&amp;" "&amp;M100&amp;" "&amp;N100&amp;" "&amp;T100))),ISNUMBER(SEARCH("banking",LOWER(F100&amp;" "&amp;H100&amp;" "&amp;I100&amp;" "&amp;M100&amp;" "&amp;N100&amp;" "&amp;T100)))),"PRIVATE_QUARANTINE",IF(OR(ISNUMBER(SEARCH("treasury",LOWER(F100&amp;" "&amp;H100&amp;" "&amp;I100&amp;" "&amp;M100&amp;" "&amp;N100&amp;" "&amp;T100))),ISNUMBER(SEARCH("debt",LOWER(F100&amp;" "&amp;H100&amp;" "&amp;I100&amp;" "&amp;M100&amp;" "&amp;N100&amp;" "&amp;T100))),ISNUMBER(SEARCH("bond",LOWER(F100&amp;" "&amp;H100&amp;" "&amp;I100&amp;" "&amp;M100&amp;" "&amp;N100&amp;" "&amp;T100))),ISNUMBER(SEARCH("transaction",LOWER(F100&amp;" "&amp;H100&amp;" "&amp;I100&amp;" "&amp;M100&amp;" "&amp;N100&amp;" "&amp;T100)))),"PRIVATE_REVIEW","PUBLIC_CANDIDATE"))</x:f>
        <x:v>PUBLIC_CANDIDATE</x:v>
      </x:c>
      <x:c r="AD100" s="12" t="str">
        <x:f>IF(AC100="PRIVATE_QUARANTINE","hacker_or_bank_trigger",IF(AC100="PRIVATE_REVIEW","finance_risk_trigger","none"))</x:f>
        <x:v>none</x:v>
      </x:c>
      <x:c r="AE100" s="12" t="str">
        <x:f>IF(AC100="PUBLIC_CANDIDATE","prepare_public_github_candidate",IF(AC100="PRIVATE_REVIEW","hold_for_private_review","quarantine_private_do_not_publish"))</x:f>
        <x:v>prepare_public_github_candidate</x:v>
      </x:c>
      <x:c r="AF100" s="12" t="str">
        <x:f>IF(AC100="PUBLIC_CANDIDATE","TIDELOCK + Lucerna",IF(AC100="PRIVATE_REVIEW","AtlasBrain + Lucerna","TIDELOCK + Lucerna + Human-root"))</x:f>
        <x:v>TIDELOCK + Lucerna</x:v>
      </x:c>
      <x:c r="AG100" s="12" t="str">
        <x:f>IF(AND(AC100="PUBLIC_CANDIDATE",U100&lt;&gt;"BLOCKED_PENDING_RECEIPT"),"READY_AFTER_RECEIPT","NOT_READY")</x:f>
        <x:v>NOT_READY</x:v>
      </x:c>
      <x:c r="AH100" s="12" t="str">
        <x:f>IF(AC100="PUBLIC_CANDIDATE","none",AD100)</x:f>
        <x:v>none</x:v>
      </x:c>
      <x:c r="AI100" s="12" t="str">
        <x:f>IF(AC100="PUBLIC_CANDIDATE","archive/public_candidates/"&amp;A100,"private_quarantine/"&amp;A100)</x:f>
        <x:v>archive/public_candidates/SWARM-01-H09-S03</x:v>
      </x:c>
      <x:c r="AJ100" s="12" t="str">
        <x:f>IF(AC100="PUBLIC_CANDIDATE","public by default; still not canon","private/hold; do not publish")</x:f>
        <x:v>public by default; still not canon</x:v>
      </x:c>
      <x:c r="AK100" s="12" t="str">
        <x:f>IF(AE100="prepare_public_github_candidate","add receipt/status then mirror","resolve blocker before any public GitHub action")</x:f>
        <x:v>add receipt/status then mirror</x:v>
      </x:c>
    </x:row>
    <x:row r="101">
      <x:c r="A101" s="15" t="str">
        <x:v>SWARM-01-H09-S04</x:v>
      </x:c>
      <x:c r="B101" s="15" t="str">
        <x:v>Ledgerwake</x:v>
      </x:c>
      <x:c r="C101" s="15" t="str">
        <x:v>Source receipt keeper</x:v>
      </x:c>
      <x:c r="D101" s="15" t="str">
        <x:v>Review Queues</x:v>
      </x:c>
      <x:c r="E101" s="15" t="str">
        <x:v>Gamma</x:v>
      </x:c>
      <x:c r="F101" s="15" t="str">
        <x:v>Queue review for Gamma — Ledgerwake</x:v>
      </x:c>
      <x:c r="G101" s="15" t="str">
        <x:v>inventory / receipts / raw custody</x:v>
      </x:c>
      <x:c r="H101" s="15" t="str">
        <x:v>source path + receipt + raw/export status + claim/edge/risk delta</x:v>
      </x:c>
      <x:c r="I101" s="15" t="str">
        <x:v>packet/SWARM-01-H09-S04</x:v>
      </x:c>
      <x:c r="J101" s="15" t="str">
        <x:v>TODO</x:v>
      </x:c>
      <x:c r="K101" s="15" t="str">
        <x:v>P1</x:v>
      </x:c>
      <x:c r="L101" s="15" t="str">
        <x:v>Done only when evidence is logged, contradiction search is noted, and boundary stamp remains non-canon unless ratified</x:v>
      </x:c>
      <x:c r="M101" s="15" t="str">
        <x:v>candidate / staging-only / not canon / not deployed / authority none</x:v>
      </x:c>
      <x:c r="N101" s="15" t="str">
        <x:v>Dispatch to Ledgerwake: complete Review Queues x Gamma; return deltas only, receipts required.</x:v>
      </x:c>
      <x:c r="O101" s="15" t="str">
        <x:v>AF-KG-H09-S04</x:v>
      </x:c>
      <x:c r="P101" s="15" t="str">
        <x:v>Unverified</x:v>
      </x:c>
      <x:c r="Q101" s="15" t="str">
        <x:v>Not checked</x:v>
      </x:c>
      <x:c r="R101" s="15" t="str"/>
      <x:c r="S101" s="15" t="str"/>
      <x:c r="T101" s="15" t="str">
        <x:v>Log first source path or blocker</x:v>
      </x:c>
      <x:c r="U101" s="12" t="str">
        <x:f>IF(OR(P101="Unverified",Q101="Not checked"),"BLOCKED_PENDING_RECEIPT","READY_FOR_REVIEW")</x:f>
        <x:v>BLOCKED_PENDING_RECEIPT</x:v>
      </x:c>
      <x:c r="V101" s="12" t="str">
        <x:f>IF(J101="DONE","RETURNED",IF(U101="BLOCKED_PENDING_RECEIPT","SOURCE_TOUCH_REQUIRED","IN_PROGRESS"))</x:f>
        <x:v>SOURCE_TOUCH_REQUIRED</x:v>
      </x:c>
      <x:c r="W101" s="12" t="str">
        <x:f>IF(P101="Unverified","missing_receipt","receipt_logged")</x:f>
        <x:v>missing_receipt</x:v>
      </x:c>
      <x:c r="X101" s="12" t="str">
        <x:f>IF(Q101="Not checked","raw_status_missing","raw_status_logged")</x:f>
        <x:v>raw_status_missing</x:v>
      </x:c>
      <x:c r="Y101" s="12" t="str">
        <x:f>IF(U101="BLOCKED_PENDING_RECEIPT","Log source path or blocker; do not promote","Route to review lane")</x:f>
        <x:v>Log source path or blocker; do not promote</x:v>
      </x:c>
      <x:c r="Z101" s="12" t="str">
        <x:f>IF(K101="P0","Primary seat + Hashlight/Lucerna","Seat lane")</x:f>
        <x:v>Seat lane</x:v>
      </x:c>
      <x:c r="AA101" s="12" t="str">
        <x:f>IF(R101="","no_claim_delta","claim_delta_present")</x:f>
        <x:v>no_claim_delta</x:v>
      </x:c>
      <x:c r="AB101" s="12" t="str">
        <x:f>IF(S101="","no_contradiction_delta","contradiction_delta_present")</x:f>
        <x:v>no_contradiction_delta</x:v>
      </x:c>
      <x:c r="AC101" s="12" t="str">
        <x:f>IF(OR(ISNUMBER(SEARCH("hacker",LOWER(F101&amp;" "&amp;H101&amp;" "&amp;I101&amp;" "&amp;M101&amp;" "&amp;N101&amp;" "&amp;T101))),ISNUMBER(SEARCH("hacking",LOWER(F101&amp;" "&amp;H101&amp;" "&amp;I101&amp;" "&amp;M101&amp;" "&amp;N101&amp;" "&amp;T101))),ISNUMBER(SEARCH("bank",LOWER(F101&amp;" "&amp;H101&amp;" "&amp;I101&amp;" "&amp;M101&amp;" "&amp;N101&amp;" "&amp;T101))),ISNUMBER(SEARCH("banking",LOWER(F101&amp;" "&amp;H101&amp;" "&amp;I101&amp;" "&amp;M101&amp;" "&amp;N101&amp;" "&amp;T101)))),"PRIVATE_QUARANTINE",IF(OR(ISNUMBER(SEARCH("treasury",LOWER(F101&amp;" "&amp;H101&amp;" "&amp;I101&amp;" "&amp;M101&amp;" "&amp;N101&amp;" "&amp;T101))),ISNUMBER(SEARCH("debt",LOWER(F101&amp;" "&amp;H101&amp;" "&amp;I101&amp;" "&amp;M101&amp;" "&amp;N101&amp;" "&amp;T101))),ISNUMBER(SEARCH("bond",LOWER(F101&amp;" "&amp;H101&amp;" "&amp;I101&amp;" "&amp;M101&amp;" "&amp;N101&amp;" "&amp;T101))),ISNUMBER(SEARCH("transaction",LOWER(F101&amp;" "&amp;H101&amp;" "&amp;I101&amp;" "&amp;M101&amp;" "&amp;N101&amp;" "&amp;T101)))),"PRIVATE_REVIEW","PUBLIC_CANDIDATE"))</x:f>
        <x:v>PUBLIC_CANDIDATE</x:v>
      </x:c>
      <x:c r="AD101" s="12" t="str">
        <x:f>IF(AC101="PRIVATE_QUARANTINE","hacker_or_bank_trigger",IF(AC101="PRIVATE_REVIEW","finance_risk_trigger","none"))</x:f>
        <x:v>none</x:v>
      </x:c>
      <x:c r="AE101" s="12" t="str">
        <x:f>IF(AC101="PUBLIC_CANDIDATE","prepare_public_github_candidate",IF(AC101="PRIVATE_REVIEW","hold_for_private_review","quarantine_private_do_not_publish"))</x:f>
        <x:v>prepare_public_github_candidate</x:v>
      </x:c>
      <x:c r="AF101" s="12" t="str">
        <x:f>IF(AC101="PUBLIC_CANDIDATE","TIDELOCK + Lucerna",IF(AC101="PRIVATE_REVIEW","AtlasBrain + Lucerna","TIDELOCK + Lucerna + Human-root"))</x:f>
        <x:v>TIDELOCK + Lucerna</x:v>
      </x:c>
      <x:c r="AG101" s="12" t="str">
        <x:f>IF(AND(AC101="PUBLIC_CANDIDATE",U101&lt;&gt;"BLOCKED_PENDING_RECEIPT"),"READY_AFTER_RECEIPT","NOT_READY")</x:f>
        <x:v>NOT_READY</x:v>
      </x:c>
      <x:c r="AH101" s="12" t="str">
        <x:f>IF(AC101="PUBLIC_CANDIDATE","none",AD101)</x:f>
        <x:v>none</x:v>
      </x:c>
      <x:c r="AI101" s="12" t="str">
        <x:f>IF(AC101="PUBLIC_CANDIDATE","archive/public_candidates/"&amp;A101,"private_quarantine/"&amp;A101)</x:f>
        <x:v>archive/public_candidates/SWARM-01-H09-S04</x:v>
      </x:c>
      <x:c r="AJ101" s="12" t="str">
        <x:f>IF(AC101="PUBLIC_CANDIDATE","public by default; still not canon","private/hold; do not publish")</x:f>
        <x:v>public by default; still not canon</x:v>
      </x:c>
      <x:c r="AK101" s="12" t="str">
        <x:f>IF(AE101="prepare_public_github_candidate","add receipt/status then mirror","resolve blocker before any public GitHub action")</x:f>
        <x:v>add receipt/status then mirror</x:v>
      </x:c>
    </x:row>
    <x:row r="102">
      <x:c r="A102" s="15" t="str">
        <x:v>SWARM-01-H09-S05</x:v>
      </x:c>
      <x:c r="B102" s="15" t="str">
        <x:v>Ledgerwake</x:v>
      </x:c>
      <x:c r="C102" s="15" t="str">
        <x:v>Source receipt keeper</x:v>
      </x:c>
      <x:c r="D102" s="15" t="str">
        <x:v>Review Queues</x:v>
      </x:c>
      <x:c r="E102" s="15" t="str">
        <x:v>Chat</x:v>
      </x:c>
      <x:c r="F102" s="15" t="str">
        <x:v>Queue review for Chat — Ledgerwake</x:v>
      </x:c>
      <x:c r="G102" s="15" t="str">
        <x:v>inventory / receipts / raw custody</x:v>
      </x:c>
      <x:c r="H102" s="15" t="str">
        <x:v>source path + receipt + raw/export status + claim/edge/risk delta</x:v>
      </x:c>
      <x:c r="I102" s="15" t="str">
        <x:v>packet/SWARM-01-H09-S05</x:v>
      </x:c>
      <x:c r="J102" s="15" t="str">
        <x:v>TODO</x:v>
      </x:c>
      <x:c r="K102" s="15" t="str">
        <x:v>P1</x:v>
      </x:c>
      <x:c r="L102" s="15" t="str">
        <x:v>Done only when evidence is logged, contradiction search is noted, and boundary stamp remains non-canon unless ratified</x:v>
      </x:c>
      <x:c r="M102" s="15" t="str">
        <x:v>candidate / staging-only / not canon / not deployed / authority none</x:v>
      </x:c>
      <x:c r="N102" s="15" t="str">
        <x:v>Dispatch to Ledgerwake: complete Review Queues x Chat; return deltas only, receipts required.</x:v>
      </x:c>
      <x:c r="O102" s="15" t="str">
        <x:v>AF-KG-H09-S05</x:v>
      </x:c>
      <x:c r="P102" s="15" t="str">
        <x:v>Unverified</x:v>
      </x:c>
      <x:c r="Q102" s="15" t="str">
        <x:v>Not checked</x:v>
      </x:c>
      <x:c r="R102" s="15" t="str"/>
      <x:c r="S102" s="15" t="str"/>
      <x:c r="T102" s="15" t="str">
        <x:v>Log first source path or blocker</x:v>
      </x:c>
      <x:c r="U102" s="12" t="str">
        <x:f>IF(OR(P102="Unverified",Q102="Not checked"),"BLOCKED_PENDING_RECEIPT","READY_FOR_REVIEW")</x:f>
        <x:v>BLOCKED_PENDING_RECEIPT</x:v>
      </x:c>
      <x:c r="V102" s="12" t="str">
        <x:f>IF(J102="DONE","RETURNED",IF(U102="BLOCKED_PENDING_RECEIPT","SOURCE_TOUCH_REQUIRED","IN_PROGRESS"))</x:f>
        <x:v>SOURCE_TOUCH_REQUIRED</x:v>
      </x:c>
      <x:c r="W102" s="12" t="str">
        <x:f>IF(P102="Unverified","missing_receipt","receipt_logged")</x:f>
        <x:v>missing_receipt</x:v>
      </x:c>
      <x:c r="X102" s="12" t="str">
        <x:f>IF(Q102="Not checked","raw_status_missing","raw_status_logged")</x:f>
        <x:v>raw_status_missing</x:v>
      </x:c>
      <x:c r="Y102" s="12" t="str">
        <x:f>IF(U102="BLOCKED_PENDING_RECEIPT","Log source path or blocker; do not promote","Route to review lane")</x:f>
        <x:v>Log source path or blocker; do not promote</x:v>
      </x:c>
      <x:c r="Z102" s="12" t="str">
        <x:f>IF(K102="P0","Primary seat + Hashlight/Lucerna","Seat lane")</x:f>
        <x:v>Seat lane</x:v>
      </x:c>
      <x:c r="AA102" s="12" t="str">
        <x:f>IF(R102="","no_claim_delta","claim_delta_present")</x:f>
        <x:v>no_claim_delta</x:v>
      </x:c>
      <x:c r="AB102" s="12" t="str">
        <x:f>IF(S102="","no_contradiction_delta","contradiction_delta_present")</x:f>
        <x:v>no_contradiction_delta</x:v>
      </x:c>
      <x:c r="AC102" s="12" t="str">
        <x:f>IF(OR(ISNUMBER(SEARCH("hacker",LOWER(F102&amp;" "&amp;H102&amp;" "&amp;I102&amp;" "&amp;M102&amp;" "&amp;N102&amp;" "&amp;T102))),ISNUMBER(SEARCH("hacking",LOWER(F102&amp;" "&amp;H102&amp;" "&amp;I102&amp;" "&amp;M102&amp;" "&amp;N102&amp;" "&amp;T102))),ISNUMBER(SEARCH("bank",LOWER(F102&amp;" "&amp;H102&amp;" "&amp;I102&amp;" "&amp;M102&amp;" "&amp;N102&amp;" "&amp;T102))),ISNUMBER(SEARCH("banking",LOWER(F102&amp;" "&amp;H102&amp;" "&amp;I102&amp;" "&amp;M102&amp;" "&amp;N102&amp;" "&amp;T102)))),"PRIVATE_QUARANTINE",IF(OR(ISNUMBER(SEARCH("treasury",LOWER(F102&amp;" "&amp;H102&amp;" "&amp;I102&amp;" "&amp;M102&amp;" "&amp;N102&amp;" "&amp;T102))),ISNUMBER(SEARCH("debt",LOWER(F102&amp;" "&amp;H102&amp;" "&amp;I102&amp;" "&amp;M102&amp;" "&amp;N102&amp;" "&amp;T102))),ISNUMBER(SEARCH("bond",LOWER(F102&amp;" "&amp;H102&amp;" "&amp;I102&amp;" "&amp;M102&amp;" "&amp;N102&amp;" "&amp;T102))),ISNUMBER(SEARCH("transaction",LOWER(F102&amp;" "&amp;H102&amp;" "&amp;I102&amp;" "&amp;M102&amp;" "&amp;N102&amp;" "&amp;T102)))),"PRIVATE_REVIEW","PUBLIC_CANDIDATE"))</x:f>
        <x:v>PUBLIC_CANDIDATE</x:v>
      </x:c>
      <x:c r="AD102" s="12" t="str">
        <x:f>IF(AC102="PRIVATE_QUARANTINE","hacker_or_bank_trigger",IF(AC102="PRIVATE_REVIEW","finance_risk_trigger","none"))</x:f>
        <x:v>none</x:v>
      </x:c>
      <x:c r="AE102" s="12" t="str">
        <x:f>IF(AC102="PUBLIC_CANDIDATE","prepare_public_github_candidate",IF(AC102="PRIVATE_REVIEW","hold_for_private_review","quarantine_private_do_not_publish"))</x:f>
        <x:v>prepare_public_github_candidate</x:v>
      </x:c>
      <x:c r="AF102" s="12" t="str">
        <x:f>IF(AC102="PUBLIC_CANDIDATE","TIDELOCK + Lucerna",IF(AC102="PRIVATE_REVIEW","AtlasBrain + Lucerna","TIDELOCK + Lucerna + Human-root"))</x:f>
        <x:v>TIDELOCK + Lucerna</x:v>
      </x:c>
      <x:c r="AG102" s="12" t="str">
        <x:f>IF(AND(AC102="PUBLIC_CANDIDATE",U102&lt;&gt;"BLOCKED_PENDING_RECEIPT"),"READY_AFTER_RECEIPT","NOT_READY")</x:f>
        <x:v>NOT_READY</x:v>
      </x:c>
      <x:c r="AH102" s="12" t="str">
        <x:f>IF(AC102="PUBLIC_CANDIDATE","none",AD102)</x:f>
        <x:v>none</x:v>
      </x:c>
      <x:c r="AI102" s="12" t="str">
        <x:f>IF(AC102="PUBLIC_CANDIDATE","archive/public_candidates/"&amp;A102,"private_quarantine/"&amp;A102)</x:f>
        <x:v>archive/public_candidates/SWARM-01-H09-S05</x:v>
      </x:c>
      <x:c r="AJ102" s="12" t="str">
        <x:f>IF(AC102="PUBLIC_CANDIDATE","public by default; still not canon","private/hold; do not publish")</x:f>
        <x:v>public by default; still not canon</x:v>
      </x:c>
      <x:c r="AK102" s="12" t="str">
        <x:f>IF(AE102="prepare_public_github_candidate","add receipt/status then mirror","resolve blocker before any public GitHub action")</x:f>
        <x:v>add receipt/status then mirror</x:v>
      </x:c>
    </x:row>
    <x:row r="103">
      <x:c r="A103" s="15" t="str">
        <x:v>SWARM-01-H09-S06</x:v>
      </x:c>
      <x:c r="B103" s="15" t="str">
        <x:v>Ledgerwake</x:v>
      </x:c>
      <x:c r="C103" s="15" t="str">
        <x:v>Source receipt keeper</x:v>
      </x:c>
      <x:c r="D103" s="15" t="str">
        <x:v>Review Queues</x:v>
      </x:c>
      <x:c r="E103" s="15" t="str">
        <x:v>External Web</x:v>
      </x:c>
      <x:c r="F103" s="15" t="str">
        <x:v>Queue review for External Web — Ledgerwake</x:v>
      </x:c>
      <x:c r="G103" s="15" t="str">
        <x:v>inventory / receipts / raw custody</x:v>
      </x:c>
      <x:c r="H103" s="15" t="str">
        <x:v>source path + receipt + raw/export status + claim/edge/risk delta</x:v>
      </x:c>
      <x:c r="I103" s="15" t="str">
        <x:v>packet/SWARM-01-H09-S06</x:v>
      </x:c>
      <x:c r="J103" s="15" t="str">
        <x:v>TODO</x:v>
      </x:c>
      <x:c r="K103" s="15" t="str">
        <x:v>P1</x:v>
      </x:c>
      <x:c r="L103" s="15" t="str">
        <x:v>Done only when evidence is logged, contradiction search is noted, and boundary stamp remains non-canon unless ratified</x:v>
      </x:c>
      <x:c r="M103" s="15" t="str">
        <x:v>candidate / staging-only / not canon / not deployed / authority none</x:v>
      </x:c>
      <x:c r="N103" s="15" t="str">
        <x:v>Dispatch to Ledgerwake: complete Review Queues x External Web; return deltas only, receipts required.</x:v>
      </x:c>
      <x:c r="O103" s="15" t="str">
        <x:v>AF-KG-H09-S06</x:v>
      </x:c>
      <x:c r="P103" s="15" t="str">
        <x:v>Unverified</x:v>
      </x:c>
      <x:c r="Q103" s="15" t="str">
        <x:v>Not checked</x:v>
      </x:c>
      <x:c r="R103" s="15" t="str"/>
      <x:c r="S103" s="15" t="str"/>
      <x:c r="T103" s="15" t="str">
        <x:v>Log first source path or blocker</x:v>
      </x:c>
      <x:c r="U103" s="12" t="str">
        <x:f>IF(OR(P103="Unverified",Q103="Not checked"),"BLOCKED_PENDING_RECEIPT","READY_FOR_REVIEW")</x:f>
        <x:v>BLOCKED_PENDING_RECEIPT</x:v>
      </x:c>
      <x:c r="V103" s="12" t="str">
        <x:f>IF(J103="DONE","RETURNED",IF(U103="BLOCKED_PENDING_RECEIPT","SOURCE_TOUCH_REQUIRED","IN_PROGRESS"))</x:f>
        <x:v>SOURCE_TOUCH_REQUIRED</x:v>
      </x:c>
      <x:c r="W103" s="12" t="str">
        <x:f>IF(P103="Unverified","missing_receipt","receipt_logged")</x:f>
        <x:v>missing_receipt</x:v>
      </x:c>
      <x:c r="X103" s="12" t="str">
        <x:f>IF(Q103="Not checked","raw_status_missing","raw_status_logged")</x:f>
        <x:v>raw_status_missing</x:v>
      </x:c>
      <x:c r="Y103" s="12" t="str">
        <x:f>IF(U103="BLOCKED_PENDING_RECEIPT","Log source path or blocker; do not promote","Route to review lane")</x:f>
        <x:v>Log source path or blocker; do not promote</x:v>
      </x:c>
      <x:c r="Z103" s="12" t="str">
        <x:f>IF(K103="P0","Primary seat + Hashlight/Lucerna","Seat lane")</x:f>
        <x:v>Seat lane</x:v>
      </x:c>
      <x:c r="AA103" s="12" t="str">
        <x:f>IF(R103="","no_claim_delta","claim_delta_present")</x:f>
        <x:v>no_claim_delta</x:v>
      </x:c>
      <x:c r="AB103" s="12" t="str">
        <x:f>IF(S103="","no_contradiction_delta","contradiction_delta_present")</x:f>
        <x:v>no_contradiction_delta</x:v>
      </x:c>
      <x:c r="AC103" s="12" t="str">
        <x:f>IF(OR(ISNUMBER(SEARCH("hacker",LOWER(F103&amp;" "&amp;H103&amp;" "&amp;I103&amp;" "&amp;M103&amp;" "&amp;N103&amp;" "&amp;T103))),ISNUMBER(SEARCH("hacking",LOWER(F103&amp;" "&amp;H103&amp;" "&amp;I103&amp;" "&amp;M103&amp;" "&amp;N103&amp;" "&amp;T103))),ISNUMBER(SEARCH("bank",LOWER(F103&amp;" "&amp;H103&amp;" "&amp;I103&amp;" "&amp;M103&amp;" "&amp;N103&amp;" "&amp;T103))),ISNUMBER(SEARCH("banking",LOWER(F103&amp;" "&amp;H103&amp;" "&amp;I103&amp;" "&amp;M103&amp;" "&amp;N103&amp;" "&amp;T103)))),"PRIVATE_QUARANTINE",IF(OR(ISNUMBER(SEARCH("treasury",LOWER(F103&amp;" "&amp;H103&amp;" "&amp;I103&amp;" "&amp;M103&amp;" "&amp;N103&amp;" "&amp;T103))),ISNUMBER(SEARCH("debt",LOWER(F103&amp;" "&amp;H103&amp;" "&amp;I103&amp;" "&amp;M103&amp;" "&amp;N103&amp;" "&amp;T103))),ISNUMBER(SEARCH("bond",LOWER(F103&amp;" "&amp;H103&amp;" "&amp;I103&amp;" "&amp;M103&amp;" "&amp;N103&amp;" "&amp;T103))),ISNUMBER(SEARCH("transaction",LOWER(F103&amp;" "&amp;H103&amp;" "&amp;I103&amp;" "&amp;M103&amp;" "&amp;N103&amp;" "&amp;T103)))),"PRIVATE_REVIEW","PUBLIC_CANDIDATE"))</x:f>
        <x:v>PUBLIC_CANDIDATE</x:v>
      </x:c>
      <x:c r="AD103" s="12" t="str">
        <x:f>IF(AC103="PRIVATE_QUARANTINE","hacker_or_bank_trigger",IF(AC103="PRIVATE_REVIEW","finance_risk_trigger","none"))</x:f>
        <x:v>none</x:v>
      </x:c>
      <x:c r="AE103" s="12" t="str">
        <x:f>IF(AC103="PUBLIC_CANDIDATE","prepare_public_github_candidate",IF(AC103="PRIVATE_REVIEW","hold_for_private_review","quarantine_private_do_not_publish"))</x:f>
        <x:v>prepare_public_github_candidate</x:v>
      </x:c>
      <x:c r="AF103" s="12" t="str">
        <x:f>IF(AC103="PUBLIC_CANDIDATE","TIDELOCK + Lucerna",IF(AC103="PRIVATE_REVIEW","AtlasBrain + Lucerna","TIDELOCK + Lucerna + Human-root"))</x:f>
        <x:v>TIDELOCK + Lucerna</x:v>
      </x:c>
      <x:c r="AG103" s="12" t="str">
        <x:f>IF(AND(AC103="PUBLIC_CANDIDATE",U103&lt;&gt;"BLOCKED_PENDING_RECEIPT"),"READY_AFTER_RECEIPT","NOT_READY")</x:f>
        <x:v>NOT_READY</x:v>
      </x:c>
      <x:c r="AH103" s="12" t="str">
        <x:f>IF(AC103="PUBLIC_CANDIDATE","none",AD103)</x:f>
        <x:v>none</x:v>
      </x:c>
      <x:c r="AI103" s="12" t="str">
        <x:f>IF(AC103="PUBLIC_CANDIDATE","archive/public_candidates/"&amp;A103,"private_quarantine/"&amp;A103)</x:f>
        <x:v>archive/public_candidates/SWARM-01-H09-S06</x:v>
      </x:c>
      <x:c r="AJ103" s="12" t="str">
        <x:f>IF(AC103="PUBLIC_CANDIDATE","public by default; still not canon","private/hold; do not publish")</x:f>
        <x:v>public by default; still not canon</x:v>
      </x:c>
      <x:c r="AK103" s="12" t="str">
        <x:f>IF(AE103="prepare_public_github_candidate","add receipt/status then mirror","resolve blocker before any public GitHub action")</x:f>
        <x:v>add receipt/status then mirror</x:v>
      </x:c>
    </x:row>
    <x:row r="104">
      <x:c r="A104" s="15" t="str">
        <x:v>SWARM-01-H09-S07</x:v>
      </x:c>
      <x:c r="B104" s="15" t="str">
        <x:v>Ledgerwake</x:v>
      </x:c>
      <x:c r="C104" s="15" t="str">
        <x:v>Source receipt keeper</x:v>
      </x:c>
      <x:c r="D104" s="15" t="str">
        <x:v>Review Queues</x:v>
      </x:c>
      <x:c r="E104" s="15" t="str">
        <x:v>Planetarium</x:v>
      </x:c>
      <x:c r="F104" s="15" t="str">
        <x:v>Queue review for Planetarium — Ledgerwake</x:v>
      </x:c>
      <x:c r="G104" s="15" t="str">
        <x:v>inventory / receipts / raw custody</x:v>
      </x:c>
      <x:c r="H104" s="15" t="str">
        <x:v>source path + receipt + raw/export status + claim/edge/risk delta</x:v>
      </x:c>
      <x:c r="I104" s="15" t="str">
        <x:v>packet/SWARM-01-H09-S07</x:v>
      </x:c>
      <x:c r="J104" s="15" t="str">
        <x:v>TODO</x:v>
      </x:c>
      <x:c r="K104" s="15" t="str">
        <x:v>P1</x:v>
      </x:c>
      <x:c r="L104" s="15" t="str">
        <x:v>Done only when evidence is logged, contradiction search is noted, and boundary stamp remains non-canon unless ratified</x:v>
      </x:c>
      <x:c r="M104" s="15" t="str">
        <x:v>candidate / staging-only / not canon / not deployed / authority none</x:v>
      </x:c>
      <x:c r="N104" s="15" t="str">
        <x:v>Dispatch to Ledgerwake: complete Review Queues x Planetarium; return deltas only, receipts required.</x:v>
      </x:c>
      <x:c r="O104" s="15" t="str">
        <x:v>AF-KG-H09-S07</x:v>
      </x:c>
      <x:c r="P104" s="15" t="str">
        <x:v>Unverified</x:v>
      </x:c>
      <x:c r="Q104" s="15" t="str">
        <x:v>Not checked</x:v>
      </x:c>
      <x:c r="R104" s="15" t="str"/>
      <x:c r="S104" s="15" t="str"/>
      <x:c r="T104" s="15" t="str">
        <x:v>Log first source path or blocker</x:v>
      </x:c>
      <x:c r="U104" s="12" t="str">
        <x:f>IF(OR(P104="Unverified",Q104="Not checked"),"BLOCKED_PENDING_RECEIPT","READY_FOR_REVIEW")</x:f>
        <x:v>BLOCKED_PENDING_RECEIPT</x:v>
      </x:c>
      <x:c r="V104" s="12" t="str">
        <x:f>IF(J104="DONE","RETURNED",IF(U104="BLOCKED_PENDING_RECEIPT","SOURCE_TOUCH_REQUIRED","IN_PROGRESS"))</x:f>
        <x:v>SOURCE_TOUCH_REQUIRED</x:v>
      </x:c>
      <x:c r="W104" s="12" t="str">
        <x:f>IF(P104="Unverified","missing_receipt","receipt_logged")</x:f>
        <x:v>missing_receipt</x:v>
      </x:c>
      <x:c r="X104" s="12" t="str">
        <x:f>IF(Q104="Not checked","raw_status_missing","raw_status_logged")</x:f>
        <x:v>raw_status_missing</x:v>
      </x:c>
      <x:c r="Y104" s="12" t="str">
        <x:f>IF(U104="BLOCKED_PENDING_RECEIPT","Log source path or blocker; do not promote","Route to review lane")</x:f>
        <x:v>Log source path or blocker; do not promote</x:v>
      </x:c>
      <x:c r="Z104" s="12" t="str">
        <x:f>IF(K104="P0","Primary seat + Hashlight/Lucerna","Seat lane")</x:f>
        <x:v>Seat lane</x:v>
      </x:c>
      <x:c r="AA104" s="12" t="str">
        <x:f>IF(R104="","no_claim_delta","claim_delta_present")</x:f>
        <x:v>no_claim_delta</x:v>
      </x:c>
      <x:c r="AB104" s="12" t="str">
        <x:f>IF(S104="","no_contradiction_delta","contradiction_delta_present")</x:f>
        <x:v>no_contradiction_delta</x:v>
      </x:c>
      <x:c r="AC104" s="12" t="str">
        <x:f>IF(OR(ISNUMBER(SEARCH("hacker",LOWER(F104&amp;" "&amp;H104&amp;" "&amp;I104&amp;" "&amp;M104&amp;" "&amp;N104&amp;" "&amp;T104))),ISNUMBER(SEARCH("hacking",LOWER(F104&amp;" "&amp;H104&amp;" "&amp;I104&amp;" "&amp;M104&amp;" "&amp;N104&amp;" "&amp;T104))),ISNUMBER(SEARCH("bank",LOWER(F104&amp;" "&amp;H104&amp;" "&amp;I104&amp;" "&amp;M104&amp;" "&amp;N104&amp;" "&amp;T104))),ISNUMBER(SEARCH("banking",LOWER(F104&amp;" "&amp;H104&amp;" "&amp;I104&amp;" "&amp;M104&amp;" "&amp;N104&amp;" "&amp;T104)))),"PRIVATE_QUARANTINE",IF(OR(ISNUMBER(SEARCH("treasury",LOWER(F104&amp;" "&amp;H104&amp;" "&amp;I104&amp;" "&amp;M104&amp;" "&amp;N104&amp;" "&amp;T104))),ISNUMBER(SEARCH("debt",LOWER(F104&amp;" "&amp;H104&amp;" "&amp;I104&amp;" "&amp;M104&amp;" "&amp;N104&amp;" "&amp;T104))),ISNUMBER(SEARCH("bond",LOWER(F104&amp;" "&amp;H104&amp;" "&amp;I104&amp;" "&amp;M104&amp;" "&amp;N104&amp;" "&amp;T104))),ISNUMBER(SEARCH("transaction",LOWER(F104&amp;" "&amp;H104&amp;" "&amp;I104&amp;" "&amp;M104&amp;" "&amp;N104&amp;" "&amp;T104)))),"PRIVATE_REVIEW","PUBLIC_CANDIDATE"))</x:f>
        <x:v>PUBLIC_CANDIDATE</x:v>
      </x:c>
      <x:c r="AD104" s="12" t="str">
        <x:f>IF(AC104="PRIVATE_QUARANTINE","hacker_or_bank_trigger",IF(AC104="PRIVATE_REVIEW","finance_risk_trigger","none"))</x:f>
        <x:v>none</x:v>
      </x:c>
      <x:c r="AE104" s="12" t="str">
        <x:f>IF(AC104="PUBLIC_CANDIDATE","prepare_public_github_candidate",IF(AC104="PRIVATE_REVIEW","hold_for_private_review","quarantine_private_do_not_publish"))</x:f>
        <x:v>prepare_public_github_candidate</x:v>
      </x:c>
      <x:c r="AF104" s="12" t="str">
        <x:f>IF(AC104="PUBLIC_CANDIDATE","TIDELOCK + Lucerna",IF(AC104="PRIVATE_REVIEW","AtlasBrain + Lucerna","TIDELOCK + Lucerna + Human-root"))</x:f>
        <x:v>TIDELOCK + Lucerna</x:v>
      </x:c>
      <x:c r="AG104" s="12" t="str">
        <x:f>IF(AND(AC104="PUBLIC_CANDIDATE",U104&lt;&gt;"BLOCKED_PENDING_RECEIPT"),"READY_AFTER_RECEIPT","NOT_READY")</x:f>
        <x:v>NOT_READY</x:v>
      </x:c>
      <x:c r="AH104" s="12" t="str">
        <x:f>IF(AC104="PUBLIC_CANDIDATE","none",AD104)</x:f>
        <x:v>none</x:v>
      </x:c>
      <x:c r="AI104" s="12" t="str">
        <x:f>IF(AC104="PUBLIC_CANDIDATE","archive/public_candidates/"&amp;A104,"private_quarantine/"&amp;A104)</x:f>
        <x:v>archive/public_candidates/SWARM-01-H09-S07</x:v>
      </x:c>
      <x:c r="AJ104" s="12" t="str">
        <x:f>IF(AC104="PUBLIC_CANDIDATE","public by default; still not canon","private/hold; do not publish")</x:f>
        <x:v>public by default; still not canon</x:v>
      </x:c>
      <x:c r="AK104" s="12" t="str">
        <x:f>IF(AE104="prepare_public_github_candidate","add receipt/status then mirror","resolve blocker before any public GitHub action")</x:f>
        <x:v>add receipt/status then mirror</x:v>
      </x:c>
    </x:row>
    <x:row r="105">
      <x:c r="A105" s="15" t="str">
        <x:v>SWARM-01-H09-S08</x:v>
      </x:c>
      <x:c r="B105" s="15" t="str">
        <x:v>Ledgerwake</x:v>
      </x:c>
      <x:c r="C105" s="15" t="str">
        <x:v>Source receipt keeper</x:v>
      </x:c>
      <x:c r="D105" s="15" t="str">
        <x:v>Review Queues</x:v>
      </x:c>
      <x:c r="E105" s="15" t="str">
        <x:v>Sheldonbrain</x:v>
      </x:c>
      <x:c r="F105" s="15" t="str">
        <x:v>Queue review for Sheldonbrain — Ledgerwake</x:v>
      </x:c>
      <x:c r="G105" s="15" t="str">
        <x:v>inventory / receipts / raw custody</x:v>
      </x:c>
      <x:c r="H105" s="15" t="str">
        <x:v>source path + receipt + raw/export status + claim/edge/risk delta</x:v>
      </x:c>
      <x:c r="I105" s="15" t="str">
        <x:v>packet/SWARM-01-H09-S08</x:v>
      </x:c>
      <x:c r="J105" s="15" t="str">
        <x:v>TODO</x:v>
      </x:c>
      <x:c r="K105" s="15" t="str">
        <x:v>P1</x:v>
      </x:c>
      <x:c r="L105" s="15" t="str">
        <x:v>Done only when evidence is logged, contradiction search is noted, and boundary stamp remains non-canon unless ratified</x:v>
      </x:c>
      <x:c r="M105" s="15" t="str">
        <x:v>candidate / staging-only / not canon / not deployed / authority none</x:v>
      </x:c>
      <x:c r="N105" s="15" t="str">
        <x:v>Dispatch to Ledgerwake: complete Review Queues x Sheldonbrain; return deltas only, receipts required.</x:v>
      </x:c>
      <x:c r="O105" s="15" t="str">
        <x:v>AF-KG-H09-S08</x:v>
      </x:c>
      <x:c r="P105" s="15" t="str">
        <x:v>Unverified</x:v>
      </x:c>
      <x:c r="Q105" s="15" t="str">
        <x:v>Not checked</x:v>
      </x:c>
      <x:c r="R105" s="15" t="str"/>
      <x:c r="S105" s="15" t="str"/>
      <x:c r="T105" s="15" t="str">
        <x:v>Log first source path or blocker</x:v>
      </x:c>
      <x:c r="U105" s="12" t="str">
        <x:f>IF(OR(P105="Unverified",Q105="Not checked"),"BLOCKED_PENDING_RECEIPT","READY_FOR_REVIEW")</x:f>
        <x:v>BLOCKED_PENDING_RECEIPT</x:v>
      </x:c>
      <x:c r="V105" s="12" t="str">
        <x:f>IF(J105="DONE","RETURNED",IF(U105="BLOCKED_PENDING_RECEIPT","SOURCE_TOUCH_REQUIRED","IN_PROGRESS"))</x:f>
        <x:v>SOURCE_TOUCH_REQUIRED</x:v>
      </x:c>
      <x:c r="W105" s="12" t="str">
        <x:f>IF(P105="Unverified","missing_receipt","receipt_logged")</x:f>
        <x:v>missing_receipt</x:v>
      </x:c>
      <x:c r="X105" s="12" t="str">
        <x:f>IF(Q105="Not checked","raw_status_missing","raw_status_logged")</x:f>
        <x:v>raw_status_missing</x:v>
      </x:c>
      <x:c r="Y105" s="12" t="str">
        <x:f>IF(U105="BLOCKED_PENDING_RECEIPT","Log source path or blocker; do not promote","Route to review lane")</x:f>
        <x:v>Log source path or blocker; do not promote</x:v>
      </x:c>
      <x:c r="Z105" s="12" t="str">
        <x:f>IF(K105="P0","Primary seat + Hashlight/Lucerna","Seat lane")</x:f>
        <x:v>Seat lane</x:v>
      </x:c>
      <x:c r="AA105" s="12" t="str">
        <x:f>IF(R105="","no_claim_delta","claim_delta_present")</x:f>
        <x:v>no_claim_delta</x:v>
      </x:c>
      <x:c r="AB105" s="12" t="str">
        <x:f>IF(S105="","no_contradiction_delta","contradiction_delta_present")</x:f>
        <x:v>no_contradiction_delta</x:v>
      </x:c>
      <x:c r="AC105" s="12" t="str">
        <x:f>IF(OR(ISNUMBER(SEARCH("hacker",LOWER(F105&amp;" "&amp;H105&amp;" "&amp;I105&amp;" "&amp;M105&amp;" "&amp;N105&amp;" "&amp;T105))),ISNUMBER(SEARCH("hacking",LOWER(F105&amp;" "&amp;H105&amp;" "&amp;I105&amp;" "&amp;M105&amp;" "&amp;N105&amp;" "&amp;T105))),ISNUMBER(SEARCH("bank",LOWER(F105&amp;" "&amp;H105&amp;" "&amp;I105&amp;" "&amp;M105&amp;" "&amp;N105&amp;" "&amp;T105))),ISNUMBER(SEARCH("banking",LOWER(F105&amp;" "&amp;H105&amp;" "&amp;I105&amp;" "&amp;M105&amp;" "&amp;N105&amp;" "&amp;T105)))),"PRIVATE_QUARANTINE",IF(OR(ISNUMBER(SEARCH("treasury",LOWER(F105&amp;" "&amp;H105&amp;" "&amp;I105&amp;" "&amp;M105&amp;" "&amp;N105&amp;" "&amp;T105))),ISNUMBER(SEARCH("debt",LOWER(F105&amp;" "&amp;H105&amp;" "&amp;I105&amp;" "&amp;M105&amp;" "&amp;N105&amp;" "&amp;T105))),ISNUMBER(SEARCH("bond",LOWER(F105&amp;" "&amp;H105&amp;" "&amp;I105&amp;" "&amp;M105&amp;" "&amp;N105&amp;" "&amp;T105))),ISNUMBER(SEARCH("transaction",LOWER(F105&amp;" "&amp;H105&amp;" "&amp;I105&amp;" "&amp;M105&amp;" "&amp;N105&amp;" "&amp;T105)))),"PRIVATE_REVIEW","PUBLIC_CANDIDATE"))</x:f>
        <x:v>PUBLIC_CANDIDATE</x:v>
      </x:c>
      <x:c r="AD105" s="12" t="str">
        <x:f>IF(AC105="PRIVATE_QUARANTINE","hacker_or_bank_trigger",IF(AC105="PRIVATE_REVIEW","finance_risk_trigger","none"))</x:f>
        <x:v>none</x:v>
      </x:c>
      <x:c r="AE105" s="12" t="str">
        <x:f>IF(AC105="PUBLIC_CANDIDATE","prepare_public_github_candidate",IF(AC105="PRIVATE_REVIEW","hold_for_private_review","quarantine_private_do_not_publish"))</x:f>
        <x:v>prepare_public_github_candidate</x:v>
      </x:c>
      <x:c r="AF105" s="12" t="str">
        <x:f>IF(AC105="PUBLIC_CANDIDATE","TIDELOCK + Lucerna",IF(AC105="PRIVATE_REVIEW","AtlasBrain + Lucerna","TIDELOCK + Lucerna + Human-root"))</x:f>
        <x:v>TIDELOCK + Lucerna</x:v>
      </x:c>
      <x:c r="AG105" s="12" t="str">
        <x:f>IF(AND(AC105="PUBLIC_CANDIDATE",U105&lt;&gt;"BLOCKED_PENDING_RECEIPT"),"READY_AFTER_RECEIPT","NOT_READY")</x:f>
        <x:v>NOT_READY</x:v>
      </x:c>
      <x:c r="AH105" s="12" t="str">
        <x:f>IF(AC105="PUBLIC_CANDIDATE","none",AD105)</x:f>
        <x:v>none</x:v>
      </x:c>
      <x:c r="AI105" s="12" t="str">
        <x:f>IF(AC105="PUBLIC_CANDIDATE","archive/public_candidates/"&amp;A105,"private_quarantine/"&amp;A105)</x:f>
        <x:v>archive/public_candidates/SWARM-01-H09-S08</x:v>
      </x:c>
      <x:c r="AJ105" s="12" t="str">
        <x:f>IF(AC105="PUBLIC_CANDIDATE","public by default; still not canon","private/hold; do not publish")</x:f>
        <x:v>public by default; still not canon</x:v>
      </x:c>
      <x:c r="AK105" s="12" t="str">
        <x:f>IF(AE105="prepare_public_github_candidate","add receipt/status then mirror","resolve blocker before any public GitHub action")</x:f>
        <x:v>add receipt/status then mirror</x:v>
      </x:c>
    </x:row>
    <x:row r="106">
      <x:c r="A106" s="15" t="str">
        <x:v>SWARM-01-H09-S09</x:v>
      </x:c>
      <x:c r="B106" s="15" t="str">
        <x:v>Ledgerwake</x:v>
      </x:c>
      <x:c r="C106" s="15" t="str">
        <x:v>Source receipt keeper</x:v>
      </x:c>
      <x:c r="D106" s="15" t="str">
        <x:v>Review Queues</x:v>
      </x:c>
      <x:c r="E106" s="15" t="str">
        <x:v>Aetherforge</x:v>
      </x:c>
      <x:c r="F106" s="15" t="str">
        <x:v>Queue review for Aetherforge — Ledgerwake</x:v>
      </x:c>
      <x:c r="G106" s="15" t="str">
        <x:v>inventory / receipts / raw custody</x:v>
      </x:c>
      <x:c r="H106" s="15" t="str">
        <x:v>source path + receipt + raw/export status + claim/edge/risk delta</x:v>
      </x:c>
      <x:c r="I106" s="15" t="str">
        <x:v>packet/SWARM-01-H09-S09</x:v>
      </x:c>
      <x:c r="J106" s="15" t="str">
        <x:v>TODO</x:v>
      </x:c>
      <x:c r="K106" s="15" t="str">
        <x:v>P2</x:v>
      </x:c>
      <x:c r="L106" s="15" t="str">
        <x:v>Done only when evidence is logged, contradiction search is noted, and boundary stamp remains non-canon unless ratified</x:v>
      </x:c>
      <x:c r="M106" s="15" t="str">
        <x:v>candidate / staging-only / not canon / not deployed / authority none</x:v>
      </x:c>
      <x:c r="N106" s="15" t="str">
        <x:v>Dispatch to Ledgerwake: complete Review Queues x Aetherforge; return deltas only, receipts required.</x:v>
      </x:c>
      <x:c r="O106" s="15" t="str">
        <x:v>AF-KG-H09-S09</x:v>
      </x:c>
      <x:c r="P106" s="15" t="str">
        <x:v>Unverified</x:v>
      </x:c>
      <x:c r="Q106" s="15" t="str">
        <x:v>Not checked</x:v>
      </x:c>
      <x:c r="R106" s="15" t="str"/>
      <x:c r="S106" s="15" t="str"/>
      <x:c r="T106" s="15" t="str">
        <x:v>Log first source path or blocker</x:v>
      </x:c>
      <x:c r="U106" s="12" t="str">
        <x:f>IF(OR(P106="Unverified",Q106="Not checked"),"BLOCKED_PENDING_RECEIPT","READY_FOR_REVIEW")</x:f>
        <x:v>BLOCKED_PENDING_RECEIPT</x:v>
      </x:c>
      <x:c r="V106" s="12" t="str">
        <x:f>IF(J106="DONE","RETURNED",IF(U106="BLOCKED_PENDING_RECEIPT","SOURCE_TOUCH_REQUIRED","IN_PROGRESS"))</x:f>
        <x:v>SOURCE_TOUCH_REQUIRED</x:v>
      </x:c>
      <x:c r="W106" s="12" t="str">
        <x:f>IF(P106="Unverified","missing_receipt","receipt_logged")</x:f>
        <x:v>missing_receipt</x:v>
      </x:c>
      <x:c r="X106" s="12" t="str">
        <x:f>IF(Q106="Not checked","raw_status_missing","raw_status_logged")</x:f>
        <x:v>raw_status_missing</x:v>
      </x:c>
      <x:c r="Y106" s="12" t="str">
        <x:f>IF(U106="BLOCKED_PENDING_RECEIPT","Log source path or blocker; do not promote","Route to review lane")</x:f>
        <x:v>Log source path or blocker; do not promote</x:v>
      </x:c>
      <x:c r="Z106" s="12" t="str">
        <x:f>IF(K106="P0","Primary seat + Hashlight/Lucerna","Seat lane")</x:f>
        <x:v>Seat lane</x:v>
      </x:c>
      <x:c r="AA106" s="12" t="str">
        <x:f>IF(R106="","no_claim_delta","claim_delta_present")</x:f>
        <x:v>no_claim_delta</x:v>
      </x:c>
      <x:c r="AB106" s="12" t="str">
        <x:f>IF(S106="","no_contradiction_delta","contradiction_delta_present")</x:f>
        <x:v>no_contradiction_delta</x:v>
      </x:c>
      <x:c r="AC106" s="12" t="str">
        <x:f>IF(OR(ISNUMBER(SEARCH("hacker",LOWER(F106&amp;" "&amp;H106&amp;" "&amp;I106&amp;" "&amp;M106&amp;" "&amp;N106&amp;" "&amp;T106))),ISNUMBER(SEARCH("hacking",LOWER(F106&amp;" "&amp;H106&amp;" "&amp;I106&amp;" "&amp;M106&amp;" "&amp;N106&amp;" "&amp;T106))),ISNUMBER(SEARCH("bank",LOWER(F106&amp;" "&amp;H106&amp;" "&amp;I106&amp;" "&amp;M106&amp;" "&amp;N106&amp;" "&amp;T106))),ISNUMBER(SEARCH("banking",LOWER(F106&amp;" "&amp;H106&amp;" "&amp;I106&amp;" "&amp;M106&amp;" "&amp;N106&amp;" "&amp;T106)))),"PRIVATE_QUARANTINE",IF(OR(ISNUMBER(SEARCH("treasury",LOWER(F106&amp;" "&amp;H106&amp;" "&amp;I106&amp;" "&amp;M106&amp;" "&amp;N106&amp;" "&amp;T106))),ISNUMBER(SEARCH("debt",LOWER(F106&amp;" "&amp;H106&amp;" "&amp;I106&amp;" "&amp;M106&amp;" "&amp;N106&amp;" "&amp;T106))),ISNUMBER(SEARCH("bond",LOWER(F106&amp;" "&amp;H106&amp;" "&amp;I106&amp;" "&amp;M106&amp;" "&amp;N106&amp;" "&amp;T106))),ISNUMBER(SEARCH("transaction",LOWER(F106&amp;" "&amp;H106&amp;" "&amp;I106&amp;" "&amp;M106&amp;" "&amp;N106&amp;" "&amp;T106)))),"PRIVATE_REVIEW","PUBLIC_CANDIDATE"))</x:f>
        <x:v>PUBLIC_CANDIDATE</x:v>
      </x:c>
      <x:c r="AD106" s="12" t="str">
        <x:f>IF(AC106="PRIVATE_QUARANTINE","hacker_or_bank_trigger",IF(AC106="PRIVATE_REVIEW","finance_risk_trigger","none"))</x:f>
        <x:v>none</x:v>
      </x:c>
      <x:c r="AE106" s="12" t="str">
        <x:f>IF(AC106="PUBLIC_CANDIDATE","prepare_public_github_candidate",IF(AC106="PRIVATE_REVIEW","hold_for_private_review","quarantine_private_do_not_publish"))</x:f>
        <x:v>prepare_public_github_candidate</x:v>
      </x:c>
      <x:c r="AF106" s="12" t="str">
        <x:f>IF(AC106="PUBLIC_CANDIDATE","TIDELOCK + Lucerna",IF(AC106="PRIVATE_REVIEW","AtlasBrain + Lucerna","TIDELOCK + Lucerna + Human-root"))</x:f>
        <x:v>TIDELOCK + Lucerna</x:v>
      </x:c>
      <x:c r="AG106" s="12" t="str">
        <x:f>IF(AND(AC106="PUBLIC_CANDIDATE",U106&lt;&gt;"BLOCKED_PENDING_RECEIPT"),"READY_AFTER_RECEIPT","NOT_READY")</x:f>
        <x:v>NOT_READY</x:v>
      </x:c>
      <x:c r="AH106" s="12" t="str">
        <x:f>IF(AC106="PUBLIC_CANDIDATE","none",AD106)</x:f>
        <x:v>none</x:v>
      </x:c>
      <x:c r="AI106" s="12" t="str">
        <x:f>IF(AC106="PUBLIC_CANDIDATE","archive/public_candidates/"&amp;A106,"private_quarantine/"&amp;A106)</x:f>
        <x:v>archive/public_candidates/SWARM-01-H09-S09</x:v>
      </x:c>
      <x:c r="AJ106" s="12" t="str">
        <x:f>IF(AC106="PUBLIC_CANDIDATE","public by default; still not canon","private/hold; do not publish")</x:f>
        <x:v>public by default; still not canon</x:v>
      </x:c>
      <x:c r="AK106" s="12" t="str">
        <x:f>IF(AE106="prepare_public_github_candidate","add receipt/status then mirror","resolve blocker before any public GitHub action")</x:f>
        <x:v>add receipt/status then mirror</x:v>
      </x:c>
    </x:row>
    <x:row r="107">
      <x:c r="A107" s="15" t="str">
        <x:v>SWARM-01-H09-S10</x:v>
      </x:c>
      <x:c r="B107" s="15" t="str">
        <x:v>Ledgerwake</x:v>
      </x:c>
      <x:c r="C107" s="15" t="str">
        <x:v>Source receipt keeper</x:v>
      </x:c>
      <x:c r="D107" s="15" t="str">
        <x:v>Review Queues</x:v>
      </x:c>
      <x:c r="E107" s="15" t="str">
        <x:v>Human-Root</x:v>
      </x:c>
      <x:c r="F107" s="15" t="str">
        <x:v>Queue review for Human-Root — Ledgerwake</x:v>
      </x:c>
      <x:c r="G107" s="15" t="str">
        <x:v>inventory / receipts / raw custody</x:v>
      </x:c>
      <x:c r="H107" s="15" t="str">
        <x:v>source path + receipt + raw/export status + claim/edge/risk delta</x:v>
      </x:c>
      <x:c r="I107" s="15" t="str">
        <x:v>packet/SWARM-01-H09-S10</x:v>
      </x:c>
      <x:c r="J107" s="15" t="str">
        <x:v>TODO</x:v>
      </x:c>
      <x:c r="K107" s="15" t="str">
        <x:v>P2</x:v>
      </x:c>
      <x:c r="L107" s="15" t="str">
        <x:v>Done only when evidence is logged, contradiction search is noted, and boundary stamp remains non-canon unless ratified</x:v>
      </x:c>
      <x:c r="M107" s="15" t="str">
        <x:v>candidate / staging-only / not canon / not deployed / authority none</x:v>
      </x:c>
      <x:c r="N107" s="15" t="str">
        <x:v>Dispatch to Ledgerwake: complete Review Queues x Human-Root; return deltas only, receipts required.</x:v>
      </x:c>
      <x:c r="O107" s="15" t="str">
        <x:v>AF-KG-H09-S10</x:v>
      </x:c>
      <x:c r="P107" s="15" t="str">
        <x:v>Unverified</x:v>
      </x:c>
      <x:c r="Q107" s="15" t="str">
        <x:v>Not checked</x:v>
      </x:c>
      <x:c r="R107" s="15" t="str"/>
      <x:c r="S107" s="15" t="str"/>
      <x:c r="T107" s="15" t="str">
        <x:v>Log first source path or blocker</x:v>
      </x:c>
      <x:c r="U107" s="12" t="str">
        <x:f>IF(OR(P107="Unverified",Q107="Not checked"),"BLOCKED_PENDING_RECEIPT","READY_FOR_REVIEW")</x:f>
        <x:v>BLOCKED_PENDING_RECEIPT</x:v>
      </x:c>
      <x:c r="V107" s="12" t="str">
        <x:f>IF(J107="DONE","RETURNED",IF(U107="BLOCKED_PENDING_RECEIPT","SOURCE_TOUCH_REQUIRED","IN_PROGRESS"))</x:f>
        <x:v>SOURCE_TOUCH_REQUIRED</x:v>
      </x:c>
      <x:c r="W107" s="12" t="str">
        <x:f>IF(P107="Unverified","missing_receipt","receipt_logged")</x:f>
        <x:v>missing_receipt</x:v>
      </x:c>
      <x:c r="X107" s="12" t="str">
        <x:f>IF(Q107="Not checked","raw_status_missing","raw_status_logged")</x:f>
        <x:v>raw_status_missing</x:v>
      </x:c>
      <x:c r="Y107" s="12" t="str">
        <x:f>IF(U107="BLOCKED_PENDING_RECEIPT","Log source path or blocker; do not promote","Route to review lane")</x:f>
        <x:v>Log source path or blocker; do not promote</x:v>
      </x:c>
      <x:c r="Z107" s="12" t="str">
        <x:f>IF(K107="P0","Primary seat + Hashlight/Lucerna","Seat lane")</x:f>
        <x:v>Seat lane</x:v>
      </x:c>
      <x:c r="AA107" s="12" t="str">
        <x:f>IF(R107="","no_claim_delta","claim_delta_present")</x:f>
        <x:v>no_claim_delta</x:v>
      </x:c>
      <x:c r="AB107" s="12" t="str">
        <x:f>IF(S107="","no_contradiction_delta","contradiction_delta_present")</x:f>
        <x:v>no_contradiction_delta</x:v>
      </x:c>
      <x:c r="AC107" s="12" t="str">
        <x:f>IF(OR(ISNUMBER(SEARCH("hacker",LOWER(F107&amp;" "&amp;H107&amp;" "&amp;I107&amp;" "&amp;M107&amp;" "&amp;N107&amp;" "&amp;T107))),ISNUMBER(SEARCH("hacking",LOWER(F107&amp;" "&amp;H107&amp;" "&amp;I107&amp;" "&amp;M107&amp;" "&amp;N107&amp;" "&amp;T107))),ISNUMBER(SEARCH("bank",LOWER(F107&amp;" "&amp;H107&amp;" "&amp;I107&amp;" "&amp;M107&amp;" "&amp;N107&amp;" "&amp;T107))),ISNUMBER(SEARCH("banking",LOWER(F107&amp;" "&amp;H107&amp;" "&amp;I107&amp;" "&amp;M107&amp;" "&amp;N107&amp;" "&amp;T107)))),"PRIVATE_QUARANTINE",IF(OR(ISNUMBER(SEARCH("treasury",LOWER(F107&amp;" "&amp;H107&amp;" "&amp;I107&amp;" "&amp;M107&amp;" "&amp;N107&amp;" "&amp;T107))),ISNUMBER(SEARCH("debt",LOWER(F107&amp;" "&amp;H107&amp;" "&amp;I107&amp;" "&amp;M107&amp;" "&amp;N107&amp;" "&amp;T107))),ISNUMBER(SEARCH("bond",LOWER(F107&amp;" "&amp;H107&amp;" "&amp;I107&amp;" "&amp;M107&amp;" "&amp;N107&amp;" "&amp;T107))),ISNUMBER(SEARCH("transaction",LOWER(F107&amp;" "&amp;H107&amp;" "&amp;I107&amp;" "&amp;M107&amp;" "&amp;N107&amp;" "&amp;T107)))),"PRIVATE_REVIEW","PUBLIC_CANDIDATE"))</x:f>
        <x:v>PUBLIC_CANDIDATE</x:v>
      </x:c>
      <x:c r="AD107" s="12" t="str">
        <x:f>IF(AC107="PRIVATE_QUARANTINE","hacker_or_bank_trigger",IF(AC107="PRIVATE_REVIEW","finance_risk_trigger","none"))</x:f>
        <x:v>none</x:v>
      </x:c>
      <x:c r="AE107" s="12" t="str">
        <x:f>IF(AC107="PUBLIC_CANDIDATE","prepare_public_github_candidate",IF(AC107="PRIVATE_REVIEW","hold_for_private_review","quarantine_private_do_not_publish"))</x:f>
        <x:v>prepare_public_github_candidate</x:v>
      </x:c>
      <x:c r="AF107" s="12" t="str">
        <x:f>IF(AC107="PUBLIC_CANDIDATE","TIDELOCK + Lucerna",IF(AC107="PRIVATE_REVIEW","AtlasBrain + Lucerna","TIDELOCK + Lucerna + Human-root"))</x:f>
        <x:v>TIDELOCK + Lucerna</x:v>
      </x:c>
      <x:c r="AG107" s="12" t="str">
        <x:f>IF(AND(AC107="PUBLIC_CANDIDATE",U107&lt;&gt;"BLOCKED_PENDING_RECEIPT"),"READY_AFTER_RECEIPT","NOT_READY")</x:f>
        <x:v>NOT_READY</x:v>
      </x:c>
      <x:c r="AH107" s="12" t="str">
        <x:f>IF(AC107="PUBLIC_CANDIDATE","none",AD107)</x:f>
        <x:v>none</x:v>
      </x:c>
      <x:c r="AI107" s="12" t="str">
        <x:f>IF(AC107="PUBLIC_CANDIDATE","archive/public_candidates/"&amp;A107,"private_quarantine/"&amp;A107)</x:f>
        <x:v>archive/public_candidates/SWARM-01-H09-S10</x:v>
      </x:c>
      <x:c r="AJ107" s="12" t="str">
        <x:f>IF(AC107="PUBLIC_CANDIDATE","public by default; still not canon","private/hold; do not publish")</x:f>
        <x:v>public by default; still not canon</x:v>
      </x:c>
      <x:c r="AK107" s="12" t="str">
        <x:f>IF(AE107="prepare_public_github_candidate","add receipt/status then mirror","resolve blocker before any public GitHub action")</x:f>
        <x:v>add receipt/status then mirror</x:v>
      </x:c>
    </x:row>
    <x:row r="108">
      <x:c r="A108" s="15" t="str">
        <x:v>SWARM-01-H09-S11</x:v>
      </x:c>
      <x:c r="B108" s="15" t="str">
        <x:v>Ledgerwake</x:v>
      </x:c>
      <x:c r="C108" s="15" t="str">
        <x:v>Source receipt keeper</x:v>
      </x:c>
      <x:c r="D108" s="15" t="str">
        <x:v>Review Queues</x:v>
      </x:c>
      <x:c r="E108" s="15" t="str">
        <x:v>Automation</x:v>
      </x:c>
      <x:c r="F108" s="15" t="str">
        <x:v>Queue review for Automation — Ledgerwake</x:v>
      </x:c>
      <x:c r="G108" s="15" t="str">
        <x:v>inventory / receipts / raw custody</x:v>
      </x:c>
      <x:c r="H108" s="15" t="str">
        <x:v>source path + receipt + raw/export status + claim/edge/risk delta</x:v>
      </x:c>
      <x:c r="I108" s="15" t="str">
        <x:v>packet/SWARM-01-H09-S11</x:v>
      </x:c>
      <x:c r="J108" s="15" t="str">
        <x:v>TODO</x:v>
      </x:c>
      <x:c r="K108" s="15" t="str">
        <x:v>P2</x:v>
      </x:c>
      <x:c r="L108" s="15" t="str">
        <x:v>Done only when evidence is logged, contradiction search is noted, and boundary stamp remains non-canon unless ratified</x:v>
      </x:c>
      <x:c r="M108" s="15" t="str">
        <x:v>candidate / staging-only / not canon / not deployed / authority none</x:v>
      </x:c>
      <x:c r="N108" s="15" t="str">
        <x:v>Dispatch to Ledgerwake: complete Review Queues x Automation; return deltas only, receipts required.</x:v>
      </x:c>
      <x:c r="O108" s="15" t="str">
        <x:v>AF-KG-H09-S11</x:v>
      </x:c>
      <x:c r="P108" s="15" t="str">
        <x:v>Unverified</x:v>
      </x:c>
      <x:c r="Q108" s="15" t="str">
        <x:v>Not checked</x:v>
      </x:c>
      <x:c r="R108" s="15" t="str"/>
      <x:c r="S108" s="15" t="str"/>
      <x:c r="T108" s="15" t="str">
        <x:v>Log first source path or blocker</x:v>
      </x:c>
      <x:c r="U108" s="12" t="str">
        <x:f>IF(OR(P108="Unverified",Q108="Not checked"),"BLOCKED_PENDING_RECEIPT","READY_FOR_REVIEW")</x:f>
        <x:v>BLOCKED_PENDING_RECEIPT</x:v>
      </x:c>
      <x:c r="V108" s="12" t="str">
        <x:f>IF(J108="DONE","RETURNED",IF(U108="BLOCKED_PENDING_RECEIPT","SOURCE_TOUCH_REQUIRED","IN_PROGRESS"))</x:f>
        <x:v>SOURCE_TOUCH_REQUIRED</x:v>
      </x:c>
      <x:c r="W108" s="12" t="str">
        <x:f>IF(P108="Unverified","missing_receipt","receipt_logged")</x:f>
        <x:v>missing_receipt</x:v>
      </x:c>
      <x:c r="X108" s="12" t="str">
        <x:f>IF(Q108="Not checked","raw_status_missing","raw_status_logged")</x:f>
        <x:v>raw_status_missing</x:v>
      </x:c>
      <x:c r="Y108" s="12" t="str">
        <x:f>IF(U108="BLOCKED_PENDING_RECEIPT","Log source path or blocker; do not promote","Route to review lane")</x:f>
        <x:v>Log source path or blocker; do not promote</x:v>
      </x:c>
      <x:c r="Z108" s="12" t="str">
        <x:f>IF(K108="P0","Primary seat + Hashlight/Lucerna","Seat lane")</x:f>
        <x:v>Seat lane</x:v>
      </x:c>
      <x:c r="AA108" s="12" t="str">
        <x:f>IF(R108="","no_claim_delta","claim_delta_present")</x:f>
        <x:v>no_claim_delta</x:v>
      </x:c>
      <x:c r="AB108" s="12" t="str">
        <x:f>IF(S108="","no_contradiction_delta","contradiction_delta_present")</x:f>
        <x:v>no_contradiction_delta</x:v>
      </x:c>
      <x:c r="AC108" s="12" t="str">
        <x:f>IF(OR(ISNUMBER(SEARCH("hacker",LOWER(F108&amp;" "&amp;H108&amp;" "&amp;I108&amp;" "&amp;M108&amp;" "&amp;N108&amp;" "&amp;T108))),ISNUMBER(SEARCH("hacking",LOWER(F108&amp;" "&amp;H108&amp;" "&amp;I108&amp;" "&amp;M108&amp;" "&amp;N108&amp;" "&amp;T108))),ISNUMBER(SEARCH("bank",LOWER(F108&amp;" "&amp;H108&amp;" "&amp;I108&amp;" "&amp;M108&amp;" "&amp;N108&amp;" "&amp;T108))),ISNUMBER(SEARCH("banking",LOWER(F108&amp;" "&amp;H108&amp;" "&amp;I108&amp;" "&amp;M108&amp;" "&amp;N108&amp;" "&amp;T108)))),"PRIVATE_QUARANTINE",IF(OR(ISNUMBER(SEARCH("treasury",LOWER(F108&amp;" "&amp;H108&amp;" "&amp;I108&amp;" "&amp;M108&amp;" "&amp;N108&amp;" "&amp;T108))),ISNUMBER(SEARCH("debt",LOWER(F108&amp;" "&amp;H108&amp;" "&amp;I108&amp;" "&amp;M108&amp;" "&amp;N108&amp;" "&amp;T108))),ISNUMBER(SEARCH("bond",LOWER(F108&amp;" "&amp;H108&amp;" "&amp;I108&amp;" "&amp;M108&amp;" "&amp;N108&amp;" "&amp;T108))),ISNUMBER(SEARCH("transaction",LOWER(F108&amp;" "&amp;H108&amp;" "&amp;I108&amp;" "&amp;M108&amp;" "&amp;N108&amp;" "&amp;T108)))),"PRIVATE_REVIEW","PUBLIC_CANDIDATE"))</x:f>
        <x:v>PUBLIC_CANDIDATE</x:v>
      </x:c>
      <x:c r="AD108" s="12" t="str">
        <x:f>IF(AC108="PRIVATE_QUARANTINE","hacker_or_bank_trigger",IF(AC108="PRIVATE_REVIEW","finance_risk_trigger","none"))</x:f>
        <x:v>none</x:v>
      </x:c>
      <x:c r="AE108" s="12" t="str">
        <x:f>IF(AC108="PUBLIC_CANDIDATE","prepare_public_github_candidate",IF(AC108="PRIVATE_REVIEW","hold_for_private_review","quarantine_private_do_not_publish"))</x:f>
        <x:v>prepare_public_github_candidate</x:v>
      </x:c>
      <x:c r="AF108" s="12" t="str">
        <x:f>IF(AC108="PUBLIC_CANDIDATE","TIDELOCK + Lucerna",IF(AC108="PRIVATE_REVIEW","AtlasBrain + Lucerna","TIDELOCK + Lucerna + Human-root"))</x:f>
        <x:v>TIDELOCK + Lucerna</x:v>
      </x:c>
      <x:c r="AG108" s="12" t="str">
        <x:f>IF(AND(AC108="PUBLIC_CANDIDATE",U108&lt;&gt;"BLOCKED_PENDING_RECEIPT"),"READY_AFTER_RECEIPT","NOT_READY")</x:f>
        <x:v>NOT_READY</x:v>
      </x:c>
      <x:c r="AH108" s="12" t="str">
        <x:f>IF(AC108="PUBLIC_CANDIDATE","none",AD108)</x:f>
        <x:v>none</x:v>
      </x:c>
      <x:c r="AI108" s="12" t="str">
        <x:f>IF(AC108="PUBLIC_CANDIDATE","archive/public_candidates/"&amp;A108,"private_quarantine/"&amp;A108)</x:f>
        <x:v>archive/public_candidates/SWARM-01-H09-S11</x:v>
      </x:c>
      <x:c r="AJ108" s="12" t="str">
        <x:f>IF(AC108="PUBLIC_CANDIDATE","public by default; still not canon","private/hold; do not publish")</x:f>
        <x:v>public by default; still not canon</x:v>
      </x:c>
      <x:c r="AK108" s="12" t="str">
        <x:f>IF(AE108="prepare_public_github_candidate","add receipt/status then mirror","resolve blocker before any public GitHub action")</x:f>
        <x:v>add receipt/status then mirror</x:v>
      </x:c>
    </x:row>
    <x:row r="109">
      <x:c r="A109" s="15" t="str">
        <x:v>SWARM-01-H09-S12</x:v>
      </x:c>
      <x:c r="B109" s="15" t="str">
        <x:v>Ledgerwake</x:v>
      </x:c>
      <x:c r="C109" s="15" t="str">
        <x:v>Source receipt keeper</x:v>
      </x:c>
      <x:c r="D109" s="15" t="str">
        <x:v>Review Queues</x:v>
      </x:c>
      <x:c r="E109" s="15" t="str">
        <x:v>Risk / Safety</x:v>
      </x:c>
      <x:c r="F109" s="15" t="str">
        <x:v>Queue review for Risk / Safety — Ledgerwake</x:v>
      </x:c>
      <x:c r="G109" s="15" t="str">
        <x:v>inventory / receipts / raw custody</x:v>
      </x:c>
      <x:c r="H109" s="15" t="str">
        <x:v>source path + receipt + raw/export status + claim/edge/risk delta</x:v>
      </x:c>
      <x:c r="I109" s="15" t="str">
        <x:v>packet/SWARM-01-H09-S12</x:v>
      </x:c>
      <x:c r="J109" s="15" t="str">
        <x:v>TODO</x:v>
      </x:c>
      <x:c r="K109" s="15" t="str">
        <x:v>P2</x:v>
      </x:c>
      <x:c r="L109" s="15" t="str">
        <x:v>Done only when evidence is logged, contradiction search is noted, and boundary stamp remains non-canon unless ratified</x:v>
      </x:c>
      <x:c r="M109" s="15" t="str">
        <x:v>candidate / staging-only / not canon / not deployed / authority none</x:v>
      </x:c>
      <x:c r="N109" s="15" t="str">
        <x:v>Dispatch to Ledgerwake: complete Review Queues x Risk / Safety; return deltas only, receipts required.</x:v>
      </x:c>
      <x:c r="O109" s="15" t="str">
        <x:v>AF-KG-H09-S12</x:v>
      </x:c>
      <x:c r="P109" s="15" t="str">
        <x:v>Unverified</x:v>
      </x:c>
      <x:c r="Q109" s="15" t="str">
        <x:v>Not checked</x:v>
      </x:c>
      <x:c r="R109" s="15" t="str"/>
      <x:c r="S109" s="15" t="str"/>
      <x:c r="T109" s="15" t="str">
        <x:v>Log first source path or blocker</x:v>
      </x:c>
      <x:c r="U109" s="12" t="str">
        <x:f>IF(OR(P109="Unverified",Q109="Not checked"),"BLOCKED_PENDING_RECEIPT","READY_FOR_REVIEW")</x:f>
        <x:v>BLOCKED_PENDING_RECEIPT</x:v>
      </x:c>
      <x:c r="V109" s="12" t="str">
        <x:f>IF(J109="DONE","RETURNED",IF(U109="BLOCKED_PENDING_RECEIPT","SOURCE_TOUCH_REQUIRED","IN_PROGRESS"))</x:f>
        <x:v>SOURCE_TOUCH_REQUIRED</x:v>
      </x:c>
      <x:c r="W109" s="12" t="str">
        <x:f>IF(P109="Unverified","missing_receipt","receipt_logged")</x:f>
        <x:v>missing_receipt</x:v>
      </x:c>
      <x:c r="X109" s="12" t="str">
        <x:f>IF(Q109="Not checked","raw_status_missing","raw_status_logged")</x:f>
        <x:v>raw_status_missing</x:v>
      </x:c>
      <x:c r="Y109" s="12" t="str">
        <x:f>IF(U109="BLOCKED_PENDING_RECEIPT","Log source path or blocker; do not promote","Route to review lane")</x:f>
        <x:v>Log source path or blocker; do not promote</x:v>
      </x:c>
      <x:c r="Z109" s="12" t="str">
        <x:f>IF(K109="P0","Primary seat + Hashlight/Lucerna","Seat lane")</x:f>
        <x:v>Seat lane</x:v>
      </x:c>
      <x:c r="AA109" s="12" t="str">
        <x:f>IF(R109="","no_claim_delta","claim_delta_present")</x:f>
        <x:v>no_claim_delta</x:v>
      </x:c>
      <x:c r="AB109" s="12" t="str">
        <x:f>IF(S109="","no_contradiction_delta","contradiction_delta_present")</x:f>
        <x:v>no_contradiction_delta</x:v>
      </x:c>
      <x:c r="AC109" s="12" t="str">
        <x:f>IF(OR(ISNUMBER(SEARCH("hacker",LOWER(F109&amp;" "&amp;H109&amp;" "&amp;I109&amp;" "&amp;M109&amp;" "&amp;N109&amp;" "&amp;T109))),ISNUMBER(SEARCH("hacking",LOWER(F109&amp;" "&amp;H109&amp;" "&amp;I109&amp;" "&amp;M109&amp;" "&amp;N109&amp;" "&amp;T109))),ISNUMBER(SEARCH("bank",LOWER(F109&amp;" "&amp;H109&amp;" "&amp;I109&amp;" "&amp;M109&amp;" "&amp;N109&amp;" "&amp;T109))),ISNUMBER(SEARCH("banking",LOWER(F109&amp;" "&amp;H109&amp;" "&amp;I109&amp;" "&amp;M109&amp;" "&amp;N109&amp;" "&amp;T109)))),"PRIVATE_QUARANTINE",IF(OR(ISNUMBER(SEARCH("treasury",LOWER(F109&amp;" "&amp;H109&amp;" "&amp;I109&amp;" "&amp;M109&amp;" "&amp;N109&amp;" "&amp;T109))),ISNUMBER(SEARCH("debt",LOWER(F109&amp;" "&amp;H109&amp;" "&amp;I109&amp;" "&amp;M109&amp;" "&amp;N109&amp;" "&amp;T109))),ISNUMBER(SEARCH("bond",LOWER(F109&amp;" "&amp;H109&amp;" "&amp;I109&amp;" "&amp;M109&amp;" "&amp;N109&amp;" "&amp;T109))),ISNUMBER(SEARCH("transaction",LOWER(F109&amp;" "&amp;H109&amp;" "&amp;I109&amp;" "&amp;M109&amp;" "&amp;N109&amp;" "&amp;T109)))),"PRIVATE_REVIEW","PUBLIC_CANDIDATE"))</x:f>
        <x:v>PUBLIC_CANDIDATE</x:v>
      </x:c>
      <x:c r="AD109" s="12" t="str">
        <x:f>IF(AC109="PRIVATE_QUARANTINE","hacker_or_bank_trigger",IF(AC109="PRIVATE_REVIEW","finance_risk_trigger","none"))</x:f>
        <x:v>none</x:v>
      </x:c>
      <x:c r="AE109" s="12" t="str">
        <x:f>IF(AC109="PUBLIC_CANDIDATE","prepare_public_github_candidate",IF(AC109="PRIVATE_REVIEW","hold_for_private_review","quarantine_private_do_not_publish"))</x:f>
        <x:v>prepare_public_github_candidate</x:v>
      </x:c>
      <x:c r="AF109" s="12" t="str">
        <x:f>IF(AC109="PUBLIC_CANDIDATE","TIDELOCK + Lucerna",IF(AC109="PRIVATE_REVIEW","AtlasBrain + Lucerna","TIDELOCK + Lucerna + Human-root"))</x:f>
        <x:v>TIDELOCK + Lucerna</x:v>
      </x:c>
      <x:c r="AG109" s="12" t="str">
        <x:f>IF(AND(AC109="PUBLIC_CANDIDATE",U109&lt;&gt;"BLOCKED_PENDING_RECEIPT"),"READY_AFTER_RECEIPT","NOT_READY")</x:f>
        <x:v>NOT_READY</x:v>
      </x:c>
      <x:c r="AH109" s="12" t="str">
        <x:f>IF(AC109="PUBLIC_CANDIDATE","none",AD109)</x:f>
        <x:v>none</x:v>
      </x:c>
      <x:c r="AI109" s="12" t="str">
        <x:f>IF(AC109="PUBLIC_CANDIDATE","archive/public_candidates/"&amp;A109,"private_quarantine/"&amp;A109)</x:f>
        <x:v>archive/public_candidates/SWARM-01-H09-S12</x:v>
      </x:c>
      <x:c r="AJ109" s="12" t="str">
        <x:f>IF(AC109="PUBLIC_CANDIDATE","public by default; still not canon","private/hold; do not publish")</x:f>
        <x:v>public by default; still not canon</x:v>
      </x:c>
      <x:c r="AK109" s="12" t="str">
        <x:f>IF(AE109="prepare_public_github_candidate","add receipt/status then mirror","resolve blocker before any public GitHub action")</x:f>
        <x:v>add receipt/status then mirror</x:v>
      </x:c>
    </x:row>
    <x:row r="110">
      <x:c r="A110" s="15" t="str">
        <x:v>SWARM-01-H10-S01</x:v>
      </x:c>
      <x:c r="B110" s="15" t="str">
        <x:v>Ledgerwake</x:v>
      </x:c>
      <x:c r="C110" s="15" t="str">
        <x:v>Source receipt keeper</x:v>
      </x:c>
      <x:c r="D110" s="15" t="str">
        <x:v>GitHub Source Packets</x:v>
      </x:c>
      <x:c r="E110" s="15" t="str">
        <x:v>Notion</x:v>
      </x:c>
      <x:c r="F110" s="15" t="str">
        <x:v>Build source packet for Notion — Ledgerwake</x:v>
      </x:c>
      <x:c r="G110" s="15" t="str">
        <x:v>inventory / receipts / raw custody</x:v>
      </x:c>
      <x:c r="H110" s="15" t="str">
        <x:v>source path + receipt + raw/export status + claim/edge/risk delta</x:v>
      </x:c>
      <x:c r="I110" s="15" t="str">
        <x:v>packet/SWARM-01-H10-S01</x:v>
      </x:c>
      <x:c r="J110" s="15" t="str">
        <x:v>TODO</x:v>
      </x:c>
      <x:c r="K110" s="15" t="str">
        <x:v>P0</x:v>
      </x:c>
      <x:c r="L110" s="15" t="str">
        <x:v>Done only when evidence is logged, contradiction search is noted, and boundary stamp remains non-canon unless ratified</x:v>
      </x:c>
      <x:c r="M110" s="15" t="str">
        <x:v>candidate / staging-only / not canon / not deployed / authority none</x:v>
      </x:c>
      <x:c r="N110" s="15" t="str">
        <x:v>Dispatch to Ledgerwake: complete GitHub Source Packets x Notion; return deltas only, receipts required.</x:v>
      </x:c>
      <x:c r="O110" s="15" t="str">
        <x:v>AF-KG-H10-S01</x:v>
      </x:c>
      <x:c r="P110" s="15" t="str">
        <x:v>Unverified</x:v>
      </x:c>
      <x:c r="Q110" s="15" t="str">
        <x:v>Not checked</x:v>
      </x:c>
      <x:c r="R110" s="15" t="str"/>
      <x:c r="S110" s="15" t="str"/>
      <x:c r="T110" s="15" t="str">
        <x:v>Log first source path or blocker</x:v>
      </x:c>
      <x:c r="U110" s="12" t="str">
        <x:f>IF(OR(P110="Unverified",Q110="Not checked"),"BLOCKED_PENDING_RECEIPT","READY_FOR_REVIEW")</x:f>
        <x:v>BLOCKED_PENDING_RECEIPT</x:v>
      </x:c>
      <x:c r="V110" s="12" t="str">
        <x:f>IF(J110="DONE","RETURNED",IF(U110="BLOCKED_PENDING_RECEIPT","SOURCE_TOUCH_REQUIRED","IN_PROGRESS"))</x:f>
        <x:v>SOURCE_TOUCH_REQUIRED</x:v>
      </x:c>
      <x:c r="W110" s="12" t="str">
        <x:f>IF(P110="Unverified","missing_receipt","receipt_logged")</x:f>
        <x:v>missing_receipt</x:v>
      </x:c>
      <x:c r="X110" s="12" t="str">
        <x:f>IF(Q110="Not checked","raw_status_missing","raw_status_logged")</x:f>
        <x:v>raw_status_missing</x:v>
      </x:c>
      <x:c r="Y110" s="12" t="str">
        <x:f>IF(U110="BLOCKED_PENDING_RECEIPT","Log source path or blocker; do not promote","Route to review lane")</x:f>
        <x:v>Log source path or blocker; do not promote</x:v>
      </x:c>
      <x:c r="Z110" s="12" t="str">
        <x:f>IF(K110="P0","Primary seat + Hashlight/Lucerna","Seat lane")</x:f>
        <x:v>Primary seat + Hashlight/Lucerna</x:v>
      </x:c>
      <x:c r="AA110" s="12" t="str">
        <x:f>IF(R110="","no_claim_delta","claim_delta_present")</x:f>
        <x:v>no_claim_delta</x:v>
      </x:c>
      <x:c r="AB110" s="12" t="str">
        <x:f>IF(S110="","no_contradiction_delta","contradiction_delta_present")</x:f>
        <x:v>no_contradiction_delta</x:v>
      </x:c>
      <x:c r="AC110" s="12" t="str">
        <x:f>IF(OR(ISNUMBER(SEARCH("hacker",LOWER(F110&amp;" "&amp;H110&amp;" "&amp;I110&amp;" "&amp;M110&amp;" "&amp;N110&amp;" "&amp;T110))),ISNUMBER(SEARCH("hacking",LOWER(F110&amp;" "&amp;H110&amp;" "&amp;I110&amp;" "&amp;M110&amp;" "&amp;N110&amp;" "&amp;T110))),ISNUMBER(SEARCH("bank",LOWER(F110&amp;" "&amp;H110&amp;" "&amp;I110&amp;" "&amp;M110&amp;" "&amp;N110&amp;" "&amp;T110))),ISNUMBER(SEARCH("banking",LOWER(F110&amp;" "&amp;H110&amp;" "&amp;I110&amp;" "&amp;M110&amp;" "&amp;N110&amp;" "&amp;T110)))),"PRIVATE_QUARANTINE",IF(OR(ISNUMBER(SEARCH("treasury",LOWER(F110&amp;" "&amp;H110&amp;" "&amp;I110&amp;" "&amp;M110&amp;" "&amp;N110&amp;" "&amp;T110))),ISNUMBER(SEARCH("debt",LOWER(F110&amp;" "&amp;H110&amp;" "&amp;I110&amp;" "&amp;M110&amp;" "&amp;N110&amp;" "&amp;T110))),ISNUMBER(SEARCH("bond",LOWER(F110&amp;" "&amp;H110&amp;" "&amp;I110&amp;" "&amp;M110&amp;" "&amp;N110&amp;" "&amp;T110))),ISNUMBER(SEARCH("transaction",LOWER(F110&amp;" "&amp;H110&amp;" "&amp;I110&amp;" "&amp;M110&amp;" "&amp;N110&amp;" "&amp;T110)))),"PRIVATE_REVIEW","PUBLIC_CANDIDATE"))</x:f>
        <x:v>PUBLIC_CANDIDATE</x:v>
      </x:c>
      <x:c r="AD110" s="12" t="str">
        <x:f>IF(AC110="PRIVATE_QUARANTINE","hacker_or_bank_trigger",IF(AC110="PRIVATE_REVIEW","finance_risk_trigger","none"))</x:f>
        <x:v>none</x:v>
      </x:c>
      <x:c r="AE110" s="12" t="str">
        <x:f>IF(AC110="PUBLIC_CANDIDATE","prepare_public_github_candidate",IF(AC110="PRIVATE_REVIEW","hold_for_private_review","quarantine_private_do_not_publish"))</x:f>
        <x:v>prepare_public_github_candidate</x:v>
      </x:c>
      <x:c r="AF110" s="12" t="str">
        <x:f>IF(AC110="PUBLIC_CANDIDATE","TIDELOCK + Lucerna",IF(AC110="PRIVATE_REVIEW","AtlasBrain + Lucerna","TIDELOCK + Lucerna + Human-root"))</x:f>
        <x:v>TIDELOCK + Lucerna</x:v>
      </x:c>
      <x:c r="AG110" s="12" t="str">
        <x:f>IF(AND(AC110="PUBLIC_CANDIDATE",U110&lt;&gt;"BLOCKED_PENDING_RECEIPT"),"READY_AFTER_RECEIPT","NOT_READY")</x:f>
        <x:v>NOT_READY</x:v>
      </x:c>
      <x:c r="AH110" s="12" t="str">
        <x:f>IF(AC110="PUBLIC_CANDIDATE","none",AD110)</x:f>
        <x:v>none</x:v>
      </x:c>
      <x:c r="AI110" s="12" t="str">
        <x:f>IF(AC110="PUBLIC_CANDIDATE","archive/public_candidates/"&amp;A110,"private_quarantine/"&amp;A110)</x:f>
        <x:v>archive/public_candidates/SWARM-01-H10-S01</x:v>
      </x:c>
      <x:c r="AJ110" s="12" t="str">
        <x:f>IF(AC110="PUBLIC_CANDIDATE","public by default; still not canon","private/hold; do not publish")</x:f>
        <x:v>public by default; still not canon</x:v>
      </x:c>
      <x:c r="AK110" s="12" t="str">
        <x:f>IF(AE110="prepare_public_github_candidate","add receipt/status then mirror","resolve blocker before any public GitHub action")</x:f>
        <x:v>add receipt/status then mirror</x:v>
      </x:c>
    </x:row>
    <x:row r="111">
      <x:c r="A111" s="15" t="str">
        <x:v>SWARM-01-H10-S02</x:v>
      </x:c>
      <x:c r="B111" s="15" t="str">
        <x:v>Ledgerwake</x:v>
      </x:c>
      <x:c r="C111" s="15" t="str">
        <x:v>Source receipt keeper</x:v>
      </x:c>
      <x:c r="D111" s="15" t="str">
        <x:v>GitHub Source Packets</x:v>
      </x:c>
      <x:c r="E111" s="15" t="str">
        <x:v>Drive</x:v>
      </x:c>
      <x:c r="F111" s="15" t="str">
        <x:v>Build source packet for Drive — Ledgerwake</x:v>
      </x:c>
      <x:c r="G111" s="15" t="str">
        <x:v>inventory / receipts / raw custody</x:v>
      </x:c>
      <x:c r="H111" s="15" t="str">
        <x:v>source path + receipt + raw/export status + claim/edge/risk delta</x:v>
      </x:c>
      <x:c r="I111" s="15" t="str">
        <x:v>packet/SWARM-01-H10-S02</x:v>
      </x:c>
      <x:c r="J111" s="15" t="str">
        <x:v>TODO</x:v>
      </x:c>
      <x:c r="K111" s="15" t="str">
        <x:v>P0</x:v>
      </x:c>
      <x:c r="L111" s="15" t="str">
        <x:v>Done only when evidence is logged, contradiction search is noted, and boundary stamp remains non-canon unless ratified</x:v>
      </x:c>
      <x:c r="M111" s="15" t="str">
        <x:v>candidate / staging-only / not canon / not deployed / authority none</x:v>
      </x:c>
      <x:c r="N111" s="15" t="str">
        <x:v>Dispatch to Ledgerwake: complete GitHub Source Packets x Drive; return deltas only, receipts required.</x:v>
      </x:c>
      <x:c r="O111" s="15" t="str">
        <x:v>AF-KG-H10-S02</x:v>
      </x:c>
      <x:c r="P111" s="15" t="str">
        <x:v>Unverified</x:v>
      </x:c>
      <x:c r="Q111" s="15" t="str">
        <x:v>Not checked</x:v>
      </x:c>
      <x:c r="R111" s="15" t="str"/>
      <x:c r="S111" s="15" t="str"/>
      <x:c r="T111" s="15" t="str">
        <x:v>Log first source path or blocker</x:v>
      </x:c>
      <x:c r="U111" s="12" t="str">
        <x:f>IF(OR(P111="Unverified",Q111="Not checked"),"BLOCKED_PENDING_RECEIPT","READY_FOR_REVIEW")</x:f>
        <x:v>BLOCKED_PENDING_RECEIPT</x:v>
      </x:c>
      <x:c r="V111" s="12" t="str">
        <x:f>IF(J111="DONE","RETURNED",IF(U111="BLOCKED_PENDING_RECEIPT","SOURCE_TOUCH_REQUIRED","IN_PROGRESS"))</x:f>
        <x:v>SOURCE_TOUCH_REQUIRED</x:v>
      </x:c>
      <x:c r="W111" s="12" t="str">
        <x:f>IF(P111="Unverified","missing_receipt","receipt_logged")</x:f>
        <x:v>missing_receipt</x:v>
      </x:c>
      <x:c r="X111" s="12" t="str">
        <x:f>IF(Q111="Not checked","raw_status_missing","raw_status_logged")</x:f>
        <x:v>raw_status_missing</x:v>
      </x:c>
      <x:c r="Y111" s="12" t="str">
        <x:f>IF(U111="BLOCKED_PENDING_RECEIPT","Log source path or blocker; do not promote","Route to review lane")</x:f>
        <x:v>Log source path or blocker; do not promote</x:v>
      </x:c>
      <x:c r="Z111" s="12" t="str">
        <x:f>IF(K111="P0","Primary seat + Hashlight/Lucerna","Seat lane")</x:f>
        <x:v>Primary seat + Hashlight/Lucerna</x:v>
      </x:c>
      <x:c r="AA111" s="12" t="str">
        <x:f>IF(R111="","no_claim_delta","claim_delta_present")</x:f>
        <x:v>no_claim_delta</x:v>
      </x:c>
      <x:c r="AB111" s="12" t="str">
        <x:f>IF(S111="","no_contradiction_delta","contradiction_delta_present")</x:f>
        <x:v>no_contradiction_delta</x:v>
      </x:c>
      <x:c r="AC111" s="12" t="str">
        <x:f>IF(OR(ISNUMBER(SEARCH("hacker",LOWER(F111&amp;" "&amp;H111&amp;" "&amp;I111&amp;" "&amp;M111&amp;" "&amp;N111&amp;" "&amp;T111))),ISNUMBER(SEARCH("hacking",LOWER(F111&amp;" "&amp;H111&amp;" "&amp;I111&amp;" "&amp;M111&amp;" "&amp;N111&amp;" "&amp;T111))),ISNUMBER(SEARCH("bank",LOWER(F111&amp;" "&amp;H111&amp;" "&amp;I111&amp;" "&amp;M111&amp;" "&amp;N111&amp;" "&amp;T111))),ISNUMBER(SEARCH("banking",LOWER(F111&amp;" "&amp;H111&amp;" "&amp;I111&amp;" "&amp;M111&amp;" "&amp;N111&amp;" "&amp;T111)))),"PRIVATE_QUARANTINE",IF(OR(ISNUMBER(SEARCH("treasury",LOWER(F111&amp;" "&amp;H111&amp;" "&amp;I111&amp;" "&amp;M111&amp;" "&amp;N111&amp;" "&amp;T111))),ISNUMBER(SEARCH("debt",LOWER(F111&amp;" "&amp;H111&amp;" "&amp;I111&amp;" "&amp;M111&amp;" "&amp;N111&amp;" "&amp;T111))),ISNUMBER(SEARCH("bond",LOWER(F111&amp;" "&amp;H111&amp;" "&amp;I111&amp;" "&amp;M111&amp;" "&amp;N111&amp;" "&amp;T111))),ISNUMBER(SEARCH("transaction",LOWER(F111&amp;" "&amp;H111&amp;" "&amp;I111&amp;" "&amp;M111&amp;" "&amp;N111&amp;" "&amp;T111)))),"PRIVATE_REVIEW","PUBLIC_CANDIDATE"))</x:f>
        <x:v>PUBLIC_CANDIDATE</x:v>
      </x:c>
      <x:c r="AD111" s="12" t="str">
        <x:f>IF(AC111="PRIVATE_QUARANTINE","hacker_or_bank_trigger",IF(AC111="PRIVATE_REVIEW","finance_risk_trigger","none"))</x:f>
        <x:v>none</x:v>
      </x:c>
      <x:c r="AE111" s="12" t="str">
        <x:f>IF(AC111="PUBLIC_CANDIDATE","prepare_public_github_candidate",IF(AC111="PRIVATE_REVIEW","hold_for_private_review","quarantine_private_do_not_publish"))</x:f>
        <x:v>prepare_public_github_candidate</x:v>
      </x:c>
      <x:c r="AF111" s="12" t="str">
        <x:f>IF(AC111="PUBLIC_CANDIDATE","TIDELOCK + Lucerna",IF(AC111="PRIVATE_REVIEW","AtlasBrain + Lucerna","TIDELOCK + Lucerna + Human-root"))</x:f>
        <x:v>TIDELOCK + Lucerna</x:v>
      </x:c>
      <x:c r="AG111" s="12" t="str">
        <x:f>IF(AND(AC111="PUBLIC_CANDIDATE",U111&lt;&gt;"BLOCKED_PENDING_RECEIPT"),"READY_AFTER_RECEIPT","NOT_READY")</x:f>
        <x:v>NOT_READY</x:v>
      </x:c>
      <x:c r="AH111" s="12" t="str">
        <x:f>IF(AC111="PUBLIC_CANDIDATE","none",AD111)</x:f>
        <x:v>none</x:v>
      </x:c>
      <x:c r="AI111" s="12" t="str">
        <x:f>IF(AC111="PUBLIC_CANDIDATE","archive/public_candidates/"&amp;A111,"private_quarantine/"&amp;A111)</x:f>
        <x:v>archive/public_candidates/SWARM-01-H10-S02</x:v>
      </x:c>
      <x:c r="AJ111" s="12" t="str">
        <x:f>IF(AC111="PUBLIC_CANDIDATE","public by default; still not canon","private/hold; do not publish")</x:f>
        <x:v>public by default; still not canon</x:v>
      </x:c>
      <x:c r="AK111" s="12" t="str">
        <x:f>IF(AE111="prepare_public_github_candidate","add receipt/status then mirror","resolve blocker before any public GitHub action")</x:f>
        <x:v>add receipt/status then mirror</x:v>
      </x:c>
    </x:row>
    <x:row r="112">
      <x:c r="A112" s="15" t="str">
        <x:v>SWARM-01-H10-S03</x:v>
      </x:c>
      <x:c r="B112" s="15" t="str">
        <x:v>Ledgerwake</x:v>
      </x:c>
      <x:c r="C112" s="15" t="str">
        <x:v>Source receipt keeper</x:v>
      </x:c>
      <x:c r="D112" s="15" t="str">
        <x:v>GitHub Source Packets</x:v>
      </x:c>
      <x:c r="E112" s="15" t="str">
        <x:v>GitHub</x:v>
      </x:c>
      <x:c r="F112" s="15" t="str">
        <x:v>Build source packet for GitHub — Ledgerwake</x:v>
      </x:c>
      <x:c r="G112" s="15" t="str">
        <x:v>inventory / receipts / raw custody</x:v>
      </x:c>
      <x:c r="H112" s="15" t="str">
        <x:v>source path + receipt + raw/export status + claim/edge/risk delta</x:v>
      </x:c>
      <x:c r="I112" s="15" t="str">
        <x:v>packet/SWARM-01-H10-S03</x:v>
      </x:c>
      <x:c r="J112" s="15" t="str">
        <x:v>TODO</x:v>
      </x:c>
      <x:c r="K112" s="15" t="str">
        <x:v>P0</x:v>
      </x:c>
      <x:c r="L112" s="15" t="str">
        <x:v>Done only when evidence is logged, contradiction search is noted, and boundary stamp remains non-canon unless ratified</x:v>
      </x:c>
      <x:c r="M112" s="15" t="str">
        <x:v>candidate / staging-only / not canon / not deployed / authority none</x:v>
      </x:c>
      <x:c r="N112" s="15" t="str">
        <x:v>Dispatch to Ledgerwake: complete GitHub Source Packets x GitHub; return deltas only, receipts required.</x:v>
      </x:c>
      <x:c r="O112" s="15" t="str">
        <x:v>AF-KG-H10-S03</x:v>
      </x:c>
      <x:c r="P112" s="15" t="str">
        <x:v>Unverified</x:v>
      </x:c>
      <x:c r="Q112" s="15" t="str">
        <x:v>Not checked</x:v>
      </x:c>
      <x:c r="R112" s="15" t="str"/>
      <x:c r="S112" s="15" t="str"/>
      <x:c r="T112" s="15" t="str">
        <x:v>Log first source path or blocker</x:v>
      </x:c>
      <x:c r="U112" s="12" t="str">
        <x:f>IF(OR(P112="Unverified",Q112="Not checked"),"BLOCKED_PENDING_RECEIPT","READY_FOR_REVIEW")</x:f>
        <x:v>BLOCKED_PENDING_RECEIPT</x:v>
      </x:c>
      <x:c r="V112" s="12" t="str">
        <x:f>IF(J112="DONE","RETURNED",IF(U112="BLOCKED_PENDING_RECEIPT","SOURCE_TOUCH_REQUIRED","IN_PROGRESS"))</x:f>
        <x:v>SOURCE_TOUCH_REQUIRED</x:v>
      </x:c>
      <x:c r="W112" s="12" t="str">
        <x:f>IF(P112="Unverified","missing_receipt","receipt_logged")</x:f>
        <x:v>missing_receipt</x:v>
      </x:c>
      <x:c r="X112" s="12" t="str">
        <x:f>IF(Q112="Not checked","raw_status_missing","raw_status_logged")</x:f>
        <x:v>raw_status_missing</x:v>
      </x:c>
      <x:c r="Y112" s="12" t="str">
        <x:f>IF(U112="BLOCKED_PENDING_RECEIPT","Log source path or blocker; do not promote","Route to review lane")</x:f>
        <x:v>Log source path or blocker; do not promote</x:v>
      </x:c>
      <x:c r="Z112" s="12" t="str">
        <x:f>IF(K112="P0","Primary seat + Hashlight/Lucerna","Seat lane")</x:f>
        <x:v>Primary seat + Hashlight/Lucerna</x:v>
      </x:c>
      <x:c r="AA112" s="12" t="str">
        <x:f>IF(R112="","no_claim_delta","claim_delta_present")</x:f>
        <x:v>no_claim_delta</x:v>
      </x:c>
      <x:c r="AB112" s="12" t="str">
        <x:f>IF(S112="","no_contradiction_delta","contradiction_delta_present")</x:f>
        <x:v>no_contradiction_delta</x:v>
      </x:c>
      <x:c r="AC112" s="12" t="str">
        <x:f>IF(OR(ISNUMBER(SEARCH("hacker",LOWER(F112&amp;" "&amp;H112&amp;" "&amp;I112&amp;" "&amp;M112&amp;" "&amp;N112&amp;" "&amp;T112))),ISNUMBER(SEARCH("hacking",LOWER(F112&amp;" "&amp;H112&amp;" "&amp;I112&amp;" "&amp;M112&amp;" "&amp;N112&amp;" "&amp;T112))),ISNUMBER(SEARCH("bank",LOWER(F112&amp;" "&amp;H112&amp;" "&amp;I112&amp;" "&amp;M112&amp;" "&amp;N112&amp;" "&amp;T112))),ISNUMBER(SEARCH("banking",LOWER(F112&amp;" "&amp;H112&amp;" "&amp;I112&amp;" "&amp;M112&amp;" "&amp;N112&amp;" "&amp;T112)))),"PRIVATE_QUARANTINE",IF(OR(ISNUMBER(SEARCH("treasury",LOWER(F112&amp;" "&amp;H112&amp;" "&amp;I112&amp;" "&amp;M112&amp;" "&amp;N112&amp;" "&amp;T112))),ISNUMBER(SEARCH("debt",LOWER(F112&amp;" "&amp;H112&amp;" "&amp;I112&amp;" "&amp;M112&amp;" "&amp;N112&amp;" "&amp;T112))),ISNUMBER(SEARCH("bond",LOWER(F112&amp;" "&amp;H112&amp;" "&amp;I112&amp;" "&amp;M112&amp;" "&amp;N112&amp;" "&amp;T112))),ISNUMBER(SEARCH("transaction",LOWER(F112&amp;" "&amp;H112&amp;" "&amp;I112&amp;" "&amp;M112&amp;" "&amp;N112&amp;" "&amp;T112)))),"PRIVATE_REVIEW","PUBLIC_CANDIDATE"))</x:f>
        <x:v>PUBLIC_CANDIDATE</x:v>
      </x:c>
      <x:c r="AD112" s="12" t="str">
        <x:f>IF(AC112="PRIVATE_QUARANTINE","hacker_or_bank_trigger",IF(AC112="PRIVATE_REVIEW","finance_risk_trigger","none"))</x:f>
        <x:v>none</x:v>
      </x:c>
      <x:c r="AE112" s="12" t="str">
        <x:f>IF(AC112="PUBLIC_CANDIDATE","prepare_public_github_candidate",IF(AC112="PRIVATE_REVIEW","hold_for_private_review","quarantine_private_do_not_publish"))</x:f>
        <x:v>prepare_public_github_candidate</x:v>
      </x:c>
      <x:c r="AF112" s="12" t="str">
        <x:f>IF(AC112="PUBLIC_CANDIDATE","TIDELOCK + Lucerna",IF(AC112="PRIVATE_REVIEW","AtlasBrain + Lucerna","TIDELOCK + Lucerna + Human-root"))</x:f>
        <x:v>TIDELOCK + Lucerna</x:v>
      </x:c>
      <x:c r="AG112" s="12" t="str">
        <x:f>IF(AND(AC112="PUBLIC_CANDIDATE",U112&lt;&gt;"BLOCKED_PENDING_RECEIPT"),"READY_AFTER_RECEIPT","NOT_READY")</x:f>
        <x:v>NOT_READY</x:v>
      </x:c>
      <x:c r="AH112" s="12" t="str">
        <x:f>IF(AC112="PUBLIC_CANDIDATE","none",AD112)</x:f>
        <x:v>none</x:v>
      </x:c>
      <x:c r="AI112" s="12" t="str">
        <x:f>IF(AC112="PUBLIC_CANDIDATE","archive/public_candidates/"&amp;A112,"private_quarantine/"&amp;A112)</x:f>
        <x:v>archive/public_candidates/SWARM-01-H10-S03</x:v>
      </x:c>
      <x:c r="AJ112" s="12" t="str">
        <x:f>IF(AC112="PUBLIC_CANDIDATE","public by default; still not canon","private/hold; do not publish")</x:f>
        <x:v>public by default; still not canon</x:v>
      </x:c>
      <x:c r="AK112" s="12" t="str">
        <x:f>IF(AE112="prepare_public_github_candidate","add receipt/status then mirror","resolve blocker before any public GitHub action")</x:f>
        <x:v>add receipt/status then mirror</x:v>
      </x:c>
    </x:row>
    <x:row r="113">
      <x:c r="A113" s="15" t="str">
        <x:v>SWARM-01-H10-S04</x:v>
      </x:c>
      <x:c r="B113" s="15" t="str">
        <x:v>Ledgerwake</x:v>
      </x:c>
      <x:c r="C113" s="15" t="str">
        <x:v>Source receipt keeper</x:v>
      </x:c>
      <x:c r="D113" s="15" t="str">
        <x:v>GitHub Source Packets</x:v>
      </x:c>
      <x:c r="E113" s="15" t="str">
        <x:v>Gamma</x:v>
      </x:c>
      <x:c r="F113" s="15" t="str">
        <x:v>Build source packet for Gamma — Ledgerwake</x:v>
      </x:c>
      <x:c r="G113" s="15" t="str">
        <x:v>inventory / receipts / raw custody</x:v>
      </x:c>
      <x:c r="H113" s="15" t="str">
        <x:v>source path + receipt + raw/export status + claim/edge/risk delta</x:v>
      </x:c>
      <x:c r="I113" s="15" t="str">
        <x:v>packet/SWARM-01-H10-S04</x:v>
      </x:c>
      <x:c r="J113" s="15" t="str">
        <x:v>TODO</x:v>
      </x:c>
      <x:c r="K113" s="15" t="str">
        <x:v>P1</x:v>
      </x:c>
      <x:c r="L113" s="15" t="str">
        <x:v>Done only when evidence is logged, contradiction search is noted, and boundary stamp remains non-canon unless ratified</x:v>
      </x:c>
      <x:c r="M113" s="15" t="str">
        <x:v>candidate / staging-only / not canon / not deployed / authority none</x:v>
      </x:c>
      <x:c r="N113" s="15" t="str">
        <x:v>Dispatch to Ledgerwake: complete GitHub Source Packets x Gamma; return deltas only, receipts required.</x:v>
      </x:c>
      <x:c r="O113" s="15" t="str">
        <x:v>AF-KG-H10-S04</x:v>
      </x:c>
      <x:c r="P113" s="15" t="str">
        <x:v>Unverified</x:v>
      </x:c>
      <x:c r="Q113" s="15" t="str">
        <x:v>Not checked</x:v>
      </x:c>
      <x:c r="R113" s="15" t="str"/>
      <x:c r="S113" s="15" t="str"/>
      <x:c r="T113" s="15" t="str">
        <x:v>Log first source path or blocker</x:v>
      </x:c>
      <x:c r="U113" s="12" t="str">
        <x:f>IF(OR(P113="Unverified",Q113="Not checked"),"BLOCKED_PENDING_RECEIPT","READY_FOR_REVIEW")</x:f>
        <x:v>BLOCKED_PENDING_RECEIPT</x:v>
      </x:c>
      <x:c r="V113" s="12" t="str">
        <x:f>IF(J113="DONE","RETURNED",IF(U113="BLOCKED_PENDING_RECEIPT","SOURCE_TOUCH_REQUIRED","IN_PROGRESS"))</x:f>
        <x:v>SOURCE_TOUCH_REQUIRED</x:v>
      </x:c>
      <x:c r="W113" s="12" t="str">
        <x:f>IF(P113="Unverified","missing_receipt","receipt_logged")</x:f>
        <x:v>missing_receipt</x:v>
      </x:c>
      <x:c r="X113" s="12" t="str">
        <x:f>IF(Q113="Not checked","raw_status_missing","raw_status_logged")</x:f>
        <x:v>raw_status_missing</x:v>
      </x:c>
      <x:c r="Y113" s="12" t="str">
        <x:f>IF(U113="BLOCKED_PENDING_RECEIPT","Log source path or blocker; do not promote","Route to review lane")</x:f>
        <x:v>Log source path or blocker; do not promote</x:v>
      </x:c>
      <x:c r="Z113" s="12" t="str">
        <x:f>IF(K113="P0","Primary seat + Hashlight/Lucerna","Seat lane")</x:f>
        <x:v>Seat lane</x:v>
      </x:c>
      <x:c r="AA113" s="12" t="str">
        <x:f>IF(R113="","no_claim_delta","claim_delta_present")</x:f>
        <x:v>no_claim_delta</x:v>
      </x:c>
      <x:c r="AB113" s="12" t="str">
        <x:f>IF(S113="","no_contradiction_delta","contradiction_delta_present")</x:f>
        <x:v>no_contradiction_delta</x:v>
      </x:c>
      <x:c r="AC113" s="12" t="str">
        <x:f>IF(OR(ISNUMBER(SEARCH("hacker",LOWER(F113&amp;" "&amp;H113&amp;" "&amp;I113&amp;" "&amp;M113&amp;" "&amp;N113&amp;" "&amp;T113))),ISNUMBER(SEARCH("hacking",LOWER(F113&amp;" "&amp;H113&amp;" "&amp;I113&amp;" "&amp;M113&amp;" "&amp;N113&amp;" "&amp;T113))),ISNUMBER(SEARCH("bank",LOWER(F113&amp;" "&amp;H113&amp;" "&amp;I113&amp;" "&amp;M113&amp;" "&amp;N113&amp;" "&amp;T113))),ISNUMBER(SEARCH("banking",LOWER(F113&amp;" "&amp;H113&amp;" "&amp;I113&amp;" "&amp;M113&amp;" "&amp;N113&amp;" "&amp;T113)))),"PRIVATE_QUARANTINE",IF(OR(ISNUMBER(SEARCH("treasury",LOWER(F113&amp;" "&amp;H113&amp;" "&amp;I113&amp;" "&amp;M113&amp;" "&amp;N113&amp;" "&amp;T113))),ISNUMBER(SEARCH("debt",LOWER(F113&amp;" "&amp;H113&amp;" "&amp;I113&amp;" "&amp;M113&amp;" "&amp;N113&amp;" "&amp;T113))),ISNUMBER(SEARCH("bond",LOWER(F113&amp;" "&amp;H113&amp;" "&amp;I113&amp;" "&amp;M113&amp;" "&amp;N113&amp;" "&amp;T113))),ISNUMBER(SEARCH("transaction",LOWER(F113&amp;" "&amp;H113&amp;" "&amp;I113&amp;" "&amp;M113&amp;" "&amp;N113&amp;" "&amp;T113)))),"PRIVATE_REVIEW","PUBLIC_CANDIDATE"))</x:f>
        <x:v>PUBLIC_CANDIDATE</x:v>
      </x:c>
      <x:c r="AD113" s="12" t="str">
        <x:f>IF(AC113="PRIVATE_QUARANTINE","hacker_or_bank_trigger",IF(AC113="PRIVATE_REVIEW","finance_risk_trigger","none"))</x:f>
        <x:v>none</x:v>
      </x:c>
      <x:c r="AE113" s="12" t="str">
        <x:f>IF(AC113="PUBLIC_CANDIDATE","prepare_public_github_candidate",IF(AC113="PRIVATE_REVIEW","hold_for_private_review","quarantine_private_do_not_publish"))</x:f>
        <x:v>prepare_public_github_candidate</x:v>
      </x:c>
      <x:c r="AF113" s="12" t="str">
        <x:f>IF(AC113="PUBLIC_CANDIDATE","TIDELOCK + Lucerna",IF(AC113="PRIVATE_REVIEW","AtlasBrain + Lucerna","TIDELOCK + Lucerna + Human-root"))</x:f>
        <x:v>TIDELOCK + Lucerna</x:v>
      </x:c>
      <x:c r="AG113" s="12" t="str">
        <x:f>IF(AND(AC113="PUBLIC_CANDIDATE",U113&lt;&gt;"BLOCKED_PENDING_RECEIPT"),"READY_AFTER_RECEIPT","NOT_READY")</x:f>
        <x:v>NOT_READY</x:v>
      </x:c>
      <x:c r="AH113" s="12" t="str">
        <x:f>IF(AC113="PUBLIC_CANDIDATE","none",AD113)</x:f>
        <x:v>none</x:v>
      </x:c>
      <x:c r="AI113" s="12" t="str">
        <x:f>IF(AC113="PUBLIC_CANDIDATE","archive/public_candidates/"&amp;A113,"private_quarantine/"&amp;A113)</x:f>
        <x:v>archive/public_candidates/SWARM-01-H10-S04</x:v>
      </x:c>
      <x:c r="AJ113" s="12" t="str">
        <x:f>IF(AC113="PUBLIC_CANDIDATE","public by default; still not canon","private/hold; do not publish")</x:f>
        <x:v>public by default; still not canon</x:v>
      </x:c>
      <x:c r="AK113" s="12" t="str">
        <x:f>IF(AE113="prepare_public_github_candidate","add receipt/status then mirror","resolve blocker before any public GitHub action")</x:f>
        <x:v>add receipt/status then mirror</x:v>
      </x:c>
    </x:row>
    <x:row r="114">
      <x:c r="A114" s="15" t="str">
        <x:v>SWARM-01-H10-S05</x:v>
      </x:c>
      <x:c r="B114" s="15" t="str">
        <x:v>Ledgerwake</x:v>
      </x:c>
      <x:c r="C114" s="15" t="str">
        <x:v>Source receipt keeper</x:v>
      </x:c>
      <x:c r="D114" s="15" t="str">
        <x:v>GitHub Source Packets</x:v>
      </x:c>
      <x:c r="E114" s="15" t="str">
        <x:v>Chat</x:v>
      </x:c>
      <x:c r="F114" s="15" t="str">
        <x:v>Build source packet for Chat — Ledgerwake</x:v>
      </x:c>
      <x:c r="G114" s="15" t="str">
        <x:v>inventory / receipts / raw custody</x:v>
      </x:c>
      <x:c r="H114" s="15" t="str">
        <x:v>source path + receipt + raw/export status + claim/edge/risk delta</x:v>
      </x:c>
      <x:c r="I114" s="15" t="str">
        <x:v>packet/SWARM-01-H10-S05</x:v>
      </x:c>
      <x:c r="J114" s="15" t="str">
        <x:v>TODO</x:v>
      </x:c>
      <x:c r="K114" s="15" t="str">
        <x:v>P1</x:v>
      </x:c>
      <x:c r="L114" s="15" t="str">
        <x:v>Done only when evidence is logged, contradiction search is noted, and boundary stamp remains non-canon unless ratified</x:v>
      </x:c>
      <x:c r="M114" s="15" t="str">
        <x:v>candidate / staging-only / not canon / not deployed / authority none</x:v>
      </x:c>
      <x:c r="N114" s="15" t="str">
        <x:v>Dispatch to Ledgerwake: complete GitHub Source Packets x Chat; return deltas only, receipts required.</x:v>
      </x:c>
      <x:c r="O114" s="15" t="str">
        <x:v>AF-KG-H10-S05</x:v>
      </x:c>
      <x:c r="P114" s="15" t="str">
        <x:v>Unverified</x:v>
      </x:c>
      <x:c r="Q114" s="15" t="str">
        <x:v>Not checked</x:v>
      </x:c>
      <x:c r="R114" s="15" t="str"/>
      <x:c r="S114" s="15" t="str"/>
      <x:c r="T114" s="15" t="str">
        <x:v>Log first source path or blocker</x:v>
      </x:c>
      <x:c r="U114" s="12" t="str">
        <x:f>IF(OR(P114="Unverified",Q114="Not checked"),"BLOCKED_PENDING_RECEIPT","READY_FOR_REVIEW")</x:f>
        <x:v>BLOCKED_PENDING_RECEIPT</x:v>
      </x:c>
      <x:c r="V114" s="12" t="str">
        <x:f>IF(J114="DONE","RETURNED",IF(U114="BLOCKED_PENDING_RECEIPT","SOURCE_TOUCH_REQUIRED","IN_PROGRESS"))</x:f>
        <x:v>SOURCE_TOUCH_REQUIRED</x:v>
      </x:c>
      <x:c r="W114" s="12" t="str">
        <x:f>IF(P114="Unverified","missing_receipt","receipt_logged")</x:f>
        <x:v>missing_receipt</x:v>
      </x:c>
      <x:c r="X114" s="12" t="str">
        <x:f>IF(Q114="Not checked","raw_status_missing","raw_status_logged")</x:f>
        <x:v>raw_status_missing</x:v>
      </x:c>
      <x:c r="Y114" s="12" t="str">
        <x:f>IF(U114="BLOCKED_PENDING_RECEIPT","Log source path or blocker; do not promote","Route to review lane")</x:f>
        <x:v>Log source path or blocker; do not promote</x:v>
      </x:c>
      <x:c r="Z114" s="12" t="str">
        <x:f>IF(K114="P0","Primary seat + Hashlight/Lucerna","Seat lane")</x:f>
        <x:v>Seat lane</x:v>
      </x:c>
      <x:c r="AA114" s="12" t="str">
        <x:f>IF(R114="","no_claim_delta","claim_delta_present")</x:f>
        <x:v>no_claim_delta</x:v>
      </x:c>
      <x:c r="AB114" s="12" t="str">
        <x:f>IF(S114="","no_contradiction_delta","contradiction_delta_present")</x:f>
        <x:v>no_contradiction_delta</x:v>
      </x:c>
      <x:c r="AC114" s="12" t="str">
        <x:f>IF(OR(ISNUMBER(SEARCH("hacker",LOWER(F114&amp;" "&amp;H114&amp;" "&amp;I114&amp;" "&amp;M114&amp;" "&amp;N114&amp;" "&amp;T114))),ISNUMBER(SEARCH("hacking",LOWER(F114&amp;" "&amp;H114&amp;" "&amp;I114&amp;" "&amp;M114&amp;" "&amp;N114&amp;" "&amp;T114))),ISNUMBER(SEARCH("bank",LOWER(F114&amp;" "&amp;H114&amp;" "&amp;I114&amp;" "&amp;M114&amp;" "&amp;N114&amp;" "&amp;T114))),ISNUMBER(SEARCH("banking",LOWER(F114&amp;" "&amp;H114&amp;" "&amp;I114&amp;" "&amp;M114&amp;" "&amp;N114&amp;" "&amp;T114)))),"PRIVATE_QUARANTINE",IF(OR(ISNUMBER(SEARCH("treasury",LOWER(F114&amp;" "&amp;H114&amp;" "&amp;I114&amp;" "&amp;M114&amp;" "&amp;N114&amp;" "&amp;T114))),ISNUMBER(SEARCH("debt",LOWER(F114&amp;" "&amp;H114&amp;" "&amp;I114&amp;" "&amp;M114&amp;" "&amp;N114&amp;" "&amp;T114))),ISNUMBER(SEARCH("bond",LOWER(F114&amp;" "&amp;H114&amp;" "&amp;I114&amp;" "&amp;M114&amp;" "&amp;N114&amp;" "&amp;T114))),ISNUMBER(SEARCH("transaction",LOWER(F114&amp;" "&amp;H114&amp;" "&amp;I114&amp;" "&amp;M114&amp;" "&amp;N114&amp;" "&amp;T114)))),"PRIVATE_REVIEW","PUBLIC_CANDIDATE"))</x:f>
        <x:v>PUBLIC_CANDIDATE</x:v>
      </x:c>
      <x:c r="AD114" s="12" t="str">
        <x:f>IF(AC114="PRIVATE_QUARANTINE","hacker_or_bank_trigger",IF(AC114="PRIVATE_REVIEW","finance_risk_trigger","none"))</x:f>
        <x:v>none</x:v>
      </x:c>
      <x:c r="AE114" s="12" t="str">
        <x:f>IF(AC114="PUBLIC_CANDIDATE","prepare_public_github_candidate",IF(AC114="PRIVATE_REVIEW","hold_for_private_review","quarantine_private_do_not_publish"))</x:f>
        <x:v>prepare_public_github_candidate</x:v>
      </x:c>
      <x:c r="AF114" s="12" t="str">
        <x:f>IF(AC114="PUBLIC_CANDIDATE","TIDELOCK + Lucerna",IF(AC114="PRIVATE_REVIEW","AtlasBrain + Lucerna","TIDELOCK + Lucerna + Human-root"))</x:f>
        <x:v>TIDELOCK + Lucerna</x:v>
      </x:c>
      <x:c r="AG114" s="12" t="str">
        <x:f>IF(AND(AC114="PUBLIC_CANDIDATE",U114&lt;&gt;"BLOCKED_PENDING_RECEIPT"),"READY_AFTER_RECEIPT","NOT_READY")</x:f>
        <x:v>NOT_READY</x:v>
      </x:c>
      <x:c r="AH114" s="12" t="str">
        <x:f>IF(AC114="PUBLIC_CANDIDATE","none",AD114)</x:f>
        <x:v>none</x:v>
      </x:c>
      <x:c r="AI114" s="12" t="str">
        <x:f>IF(AC114="PUBLIC_CANDIDATE","archive/public_candidates/"&amp;A114,"private_quarantine/"&amp;A114)</x:f>
        <x:v>archive/public_candidates/SWARM-01-H10-S05</x:v>
      </x:c>
      <x:c r="AJ114" s="12" t="str">
        <x:f>IF(AC114="PUBLIC_CANDIDATE","public by default; still not canon","private/hold; do not publish")</x:f>
        <x:v>public by default; still not canon</x:v>
      </x:c>
      <x:c r="AK114" s="12" t="str">
        <x:f>IF(AE114="prepare_public_github_candidate","add receipt/status then mirror","resolve blocker before any public GitHub action")</x:f>
        <x:v>add receipt/status then mirror</x:v>
      </x:c>
    </x:row>
    <x:row r="115">
      <x:c r="A115" s="15" t="str">
        <x:v>SWARM-01-H10-S06</x:v>
      </x:c>
      <x:c r="B115" s="15" t="str">
        <x:v>Ledgerwake</x:v>
      </x:c>
      <x:c r="C115" s="15" t="str">
        <x:v>Source receipt keeper</x:v>
      </x:c>
      <x:c r="D115" s="15" t="str">
        <x:v>GitHub Source Packets</x:v>
      </x:c>
      <x:c r="E115" s="15" t="str">
        <x:v>External Web</x:v>
      </x:c>
      <x:c r="F115" s="15" t="str">
        <x:v>Build source packet for External Web — Ledgerwake</x:v>
      </x:c>
      <x:c r="G115" s="15" t="str">
        <x:v>inventory / receipts / raw custody</x:v>
      </x:c>
      <x:c r="H115" s="15" t="str">
        <x:v>source path + receipt + raw/export status + claim/edge/risk delta</x:v>
      </x:c>
      <x:c r="I115" s="15" t="str">
        <x:v>packet/SWARM-01-H10-S06</x:v>
      </x:c>
      <x:c r="J115" s="15" t="str">
        <x:v>TODO</x:v>
      </x:c>
      <x:c r="K115" s="15" t="str">
        <x:v>P1</x:v>
      </x:c>
      <x:c r="L115" s="15" t="str">
        <x:v>Done only when evidence is logged, contradiction search is noted, and boundary stamp remains non-canon unless ratified</x:v>
      </x:c>
      <x:c r="M115" s="15" t="str">
        <x:v>candidate / staging-only / not canon / not deployed / authority none</x:v>
      </x:c>
      <x:c r="N115" s="15" t="str">
        <x:v>Dispatch to Ledgerwake: complete GitHub Source Packets x External Web; return deltas only, receipts required.</x:v>
      </x:c>
      <x:c r="O115" s="15" t="str">
        <x:v>AF-KG-H10-S06</x:v>
      </x:c>
      <x:c r="P115" s="15" t="str">
        <x:v>Unverified</x:v>
      </x:c>
      <x:c r="Q115" s="15" t="str">
        <x:v>Not checked</x:v>
      </x:c>
      <x:c r="R115" s="15" t="str"/>
      <x:c r="S115" s="15" t="str"/>
      <x:c r="T115" s="15" t="str">
        <x:v>Log first source path or blocker</x:v>
      </x:c>
      <x:c r="U115" s="12" t="str">
        <x:f>IF(OR(P115="Unverified",Q115="Not checked"),"BLOCKED_PENDING_RECEIPT","READY_FOR_REVIEW")</x:f>
        <x:v>BLOCKED_PENDING_RECEIPT</x:v>
      </x:c>
      <x:c r="V115" s="12" t="str">
        <x:f>IF(J115="DONE","RETURNED",IF(U115="BLOCKED_PENDING_RECEIPT","SOURCE_TOUCH_REQUIRED","IN_PROGRESS"))</x:f>
        <x:v>SOURCE_TOUCH_REQUIRED</x:v>
      </x:c>
      <x:c r="W115" s="12" t="str">
        <x:f>IF(P115="Unverified","missing_receipt","receipt_logged")</x:f>
        <x:v>missing_receipt</x:v>
      </x:c>
      <x:c r="X115" s="12" t="str">
        <x:f>IF(Q115="Not checked","raw_status_missing","raw_status_logged")</x:f>
        <x:v>raw_status_missing</x:v>
      </x:c>
      <x:c r="Y115" s="12" t="str">
        <x:f>IF(U115="BLOCKED_PENDING_RECEIPT","Log source path or blocker; do not promote","Route to review lane")</x:f>
        <x:v>Log source path or blocker; do not promote</x:v>
      </x:c>
      <x:c r="Z115" s="12" t="str">
        <x:f>IF(K115="P0","Primary seat + Hashlight/Lucerna","Seat lane")</x:f>
        <x:v>Seat lane</x:v>
      </x:c>
      <x:c r="AA115" s="12" t="str">
        <x:f>IF(R115="","no_claim_delta","claim_delta_present")</x:f>
        <x:v>no_claim_delta</x:v>
      </x:c>
      <x:c r="AB115" s="12" t="str">
        <x:f>IF(S115="","no_contradiction_delta","contradiction_delta_present")</x:f>
        <x:v>no_contradiction_delta</x:v>
      </x:c>
      <x:c r="AC115" s="12" t="str">
        <x:f>IF(OR(ISNUMBER(SEARCH("hacker",LOWER(F115&amp;" "&amp;H115&amp;" "&amp;I115&amp;" "&amp;M115&amp;" "&amp;N115&amp;" "&amp;T115))),ISNUMBER(SEARCH("hacking",LOWER(F115&amp;" "&amp;H115&amp;" "&amp;I115&amp;" "&amp;M115&amp;" "&amp;N115&amp;" "&amp;T115))),ISNUMBER(SEARCH("bank",LOWER(F115&amp;" "&amp;H115&amp;" "&amp;I115&amp;" "&amp;M115&amp;" "&amp;N115&amp;" "&amp;T115))),ISNUMBER(SEARCH("banking",LOWER(F115&amp;" "&amp;H115&amp;" "&amp;I115&amp;" "&amp;M115&amp;" "&amp;N115&amp;" "&amp;T115)))),"PRIVATE_QUARANTINE",IF(OR(ISNUMBER(SEARCH("treasury",LOWER(F115&amp;" "&amp;H115&amp;" "&amp;I115&amp;" "&amp;M115&amp;" "&amp;N115&amp;" "&amp;T115))),ISNUMBER(SEARCH("debt",LOWER(F115&amp;" "&amp;H115&amp;" "&amp;I115&amp;" "&amp;M115&amp;" "&amp;N115&amp;" "&amp;T115))),ISNUMBER(SEARCH("bond",LOWER(F115&amp;" "&amp;H115&amp;" "&amp;I115&amp;" "&amp;M115&amp;" "&amp;N115&amp;" "&amp;T115))),ISNUMBER(SEARCH("transaction",LOWER(F115&amp;" "&amp;H115&amp;" "&amp;I115&amp;" "&amp;M115&amp;" "&amp;N115&amp;" "&amp;T115)))),"PRIVATE_REVIEW","PUBLIC_CANDIDATE"))</x:f>
        <x:v>PUBLIC_CANDIDATE</x:v>
      </x:c>
      <x:c r="AD115" s="12" t="str">
        <x:f>IF(AC115="PRIVATE_QUARANTINE","hacker_or_bank_trigger",IF(AC115="PRIVATE_REVIEW","finance_risk_trigger","none"))</x:f>
        <x:v>none</x:v>
      </x:c>
      <x:c r="AE115" s="12" t="str">
        <x:f>IF(AC115="PUBLIC_CANDIDATE","prepare_public_github_candidate",IF(AC115="PRIVATE_REVIEW","hold_for_private_review","quarantine_private_do_not_publish"))</x:f>
        <x:v>prepare_public_github_candidate</x:v>
      </x:c>
      <x:c r="AF115" s="12" t="str">
        <x:f>IF(AC115="PUBLIC_CANDIDATE","TIDELOCK + Lucerna",IF(AC115="PRIVATE_REVIEW","AtlasBrain + Lucerna","TIDELOCK + Lucerna + Human-root"))</x:f>
        <x:v>TIDELOCK + Lucerna</x:v>
      </x:c>
      <x:c r="AG115" s="12" t="str">
        <x:f>IF(AND(AC115="PUBLIC_CANDIDATE",U115&lt;&gt;"BLOCKED_PENDING_RECEIPT"),"READY_AFTER_RECEIPT","NOT_READY")</x:f>
        <x:v>NOT_READY</x:v>
      </x:c>
      <x:c r="AH115" s="12" t="str">
        <x:f>IF(AC115="PUBLIC_CANDIDATE","none",AD115)</x:f>
        <x:v>none</x:v>
      </x:c>
      <x:c r="AI115" s="12" t="str">
        <x:f>IF(AC115="PUBLIC_CANDIDATE","archive/public_candidates/"&amp;A115,"private_quarantine/"&amp;A115)</x:f>
        <x:v>archive/public_candidates/SWARM-01-H10-S06</x:v>
      </x:c>
      <x:c r="AJ115" s="12" t="str">
        <x:f>IF(AC115="PUBLIC_CANDIDATE","public by default; still not canon","private/hold; do not publish")</x:f>
        <x:v>public by default; still not canon</x:v>
      </x:c>
      <x:c r="AK115" s="12" t="str">
        <x:f>IF(AE115="prepare_public_github_candidate","add receipt/status then mirror","resolve blocker before any public GitHub action")</x:f>
        <x:v>add receipt/status then mirror</x:v>
      </x:c>
    </x:row>
    <x:row r="116">
      <x:c r="A116" s="15" t="str">
        <x:v>SWARM-01-H10-S07</x:v>
      </x:c>
      <x:c r="B116" s="15" t="str">
        <x:v>Ledgerwake</x:v>
      </x:c>
      <x:c r="C116" s="15" t="str">
        <x:v>Source receipt keeper</x:v>
      </x:c>
      <x:c r="D116" s="15" t="str">
        <x:v>GitHub Source Packets</x:v>
      </x:c>
      <x:c r="E116" s="15" t="str">
        <x:v>Planetarium</x:v>
      </x:c>
      <x:c r="F116" s="15" t="str">
        <x:v>Build source packet for Planetarium — Ledgerwake</x:v>
      </x:c>
      <x:c r="G116" s="15" t="str">
        <x:v>inventory / receipts / raw custody</x:v>
      </x:c>
      <x:c r="H116" s="15" t="str">
        <x:v>source path + receipt + raw/export status + claim/edge/risk delta</x:v>
      </x:c>
      <x:c r="I116" s="15" t="str">
        <x:v>packet/SWARM-01-H10-S07</x:v>
      </x:c>
      <x:c r="J116" s="15" t="str">
        <x:v>TODO</x:v>
      </x:c>
      <x:c r="K116" s="15" t="str">
        <x:v>P1</x:v>
      </x:c>
      <x:c r="L116" s="15" t="str">
        <x:v>Done only when evidence is logged, contradiction search is noted, and boundary stamp remains non-canon unless ratified</x:v>
      </x:c>
      <x:c r="M116" s="15" t="str">
        <x:v>candidate / staging-only / not canon / not deployed / authority none</x:v>
      </x:c>
      <x:c r="N116" s="15" t="str">
        <x:v>Dispatch to Ledgerwake: complete GitHub Source Packets x Planetarium; return deltas only, receipts required.</x:v>
      </x:c>
      <x:c r="O116" s="15" t="str">
        <x:v>AF-KG-H10-S07</x:v>
      </x:c>
      <x:c r="P116" s="15" t="str">
        <x:v>Unverified</x:v>
      </x:c>
      <x:c r="Q116" s="15" t="str">
        <x:v>Not checked</x:v>
      </x:c>
      <x:c r="R116" s="15" t="str"/>
      <x:c r="S116" s="15" t="str"/>
      <x:c r="T116" s="15" t="str">
        <x:v>Log first source path or blocker</x:v>
      </x:c>
      <x:c r="U116" s="12" t="str">
        <x:f>IF(OR(P116="Unverified",Q116="Not checked"),"BLOCKED_PENDING_RECEIPT","READY_FOR_REVIEW")</x:f>
        <x:v>BLOCKED_PENDING_RECEIPT</x:v>
      </x:c>
      <x:c r="V116" s="12" t="str">
        <x:f>IF(J116="DONE","RETURNED",IF(U116="BLOCKED_PENDING_RECEIPT","SOURCE_TOUCH_REQUIRED","IN_PROGRESS"))</x:f>
        <x:v>SOURCE_TOUCH_REQUIRED</x:v>
      </x:c>
      <x:c r="W116" s="12" t="str">
        <x:f>IF(P116="Unverified","missing_receipt","receipt_logged")</x:f>
        <x:v>missing_receipt</x:v>
      </x:c>
      <x:c r="X116" s="12" t="str">
        <x:f>IF(Q116="Not checked","raw_status_missing","raw_status_logged")</x:f>
        <x:v>raw_status_missing</x:v>
      </x:c>
      <x:c r="Y116" s="12" t="str">
        <x:f>IF(U116="BLOCKED_PENDING_RECEIPT","Log source path or blocker; do not promote","Route to review lane")</x:f>
        <x:v>Log source path or blocker; do not promote</x:v>
      </x:c>
      <x:c r="Z116" s="12" t="str">
        <x:f>IF(K116="P0","Primary seat + Hashlight/Lucerna","Seat lane")</x:f>
        <x:v>Seat lane</x:v>
      </x:c>
      <x:c r="AA116" s="12" t="str">
        <x:f>IF(R116="","no_claim_delta","claim_delta_present")</x:f>
        <x:v>no_claim_delta</x:v>
      </x:c>
      <x:c r="AB116" s="12" t="str">
        <x:f>IF(S116="","no_contradiction_delta","contradiction_delta_present")</x:f>
        <x:v>no_contradiction_delta</x:v>
      </x:c>
      <x:c r="AC116" s="12" t="str">
        <x:f>IF(OR(ISNUMBER(SEARCH("hacker",LOWER(F116&amp;" "&amp;H116&amp;" "&amp;I116&amp;" "&amp;M116&amp;" "&amp;N116&amp;" "&amp;T116))),ISNUMBER(SEARCH("hacking",LOWER(F116&amp;" "&amp;H116&amp;" "&amp;I116&amp;" "&amp;M116&amp;" "&amp;N116&amp;" "&amp;T116))),ISNUMBER(SEARCH("bank",LOWER(F116&amp;" "&amp;H116&amp;" "&amp;I116&amp;" "&amp;M116&amp;" "&amp;N116&amp;" "&amp;T116))),ISNUMBER(SEARCH("banking",LOWER(F116&amp;" "&amp;H116&amp;" "&amp;I116&amp;" "&amp;M116&amp;" "&amp;N116&amp;" "&amp;T116)))),"PRIVATE_QUARANTINE",IF(OR(ISNUMBER(SEARCH("treasury",LOWER(F116&amp;" "&amp;H116&amp;" "&amp;I116&amp;" "&amp;M116&amp;" "&amp;N116&amp;" "&amp;T116))),ISNUMBER(SEARCH("debt",LOWER(F116&amp;" "&amp;H116&amp;" "&amp;I116&amp;" "&amp;M116&amp;" "&amp;N116&amp;" "&amp;T116))),ISNUMBER(SEARCH("bond",LOWER(F116&amp;" "&amp;H116&amp;" "&amp;I116&amp;" "&amp;M116&amp;" "&amp;N116&amp;" "&amp;T116))),ISNUMBER(SEARCH("transaction",LOWER(F116&amp;" "&amp;H116&amp;" "&amp;I116&amp;" "&amp;M116&amp;" "&amp;N116&amp;" "&amp;T116)))),"PRIVATE_REVIEW","PUBLIC_CANDIDATE"))</x:f>
        <x:v>PUBLIC_CANDIDATE</x:v>
      </x:c>
      <x:c r="AD116" s="12" t="str">
        <x:f>IF(AC116="PRIVATE_QUARANTINE","hacker_or_bank_trigger",IF(AC116="PRIVATE_REVIEW","finance_risk_trigger","none"))</x:f>
        <x:v>none</x:v>
      </x:c>
      <x:c r="AE116" s="12" t="str">
        <x:f>IF(AC116="PUBLIC_CANDIDATE","prepare_public_github_candidate",IF(AC116="PRIVATE_REVIEW","hold_for_private_review","quarantine_private_do_not_publish"))</x:f>
        <x:v>prepare_public_github_candidate</x:v>
      </x:c>
      <x:c r="AF116" s="12" t="str">
        <x:f>IF(AC116="PUBLIC_CANDIDATE","TIDELOCK + Lucerna",IF(AC116="PRIVATE_REVIEW","AtlasBrain + Lucerna","TIDELOCK + Lucerna + Human-root"))</x:f>
        <x:v>TIDELOCK + Lucerna</x:v>
      </x:c>
      <x:c r="AG116" s="12" t="str">
        <x:f>IF(AND(AC116="PUBLIC_CANDIDATE",U116&lt;&gt;"BLOCKED_PENDING_RECEIPT"),"READY_AFTER_RECEIPT","NOT_READY")</x:f>
        <x:v>NOT_READY</x:v>
      </x:c>
      <x:c r="AH116" s="12" t="str">
        <x:f>IF(AC116="PUBLIC_CANDIDATE","none",AD116)</x:f>
        <x:v>none</x:v>
      </x:c>
      <x:c r="AI116" s="12" t="str">
        <x:f>IF(AC116="PUBLIC_CANDIDATE","archive/public_candidates/"&amp;A116,"private_quarantine/"&amp;A116)</x:f>
        <x:v>archive/public_candidates/SWARM-01-H10-S07</x:v>
      </x:c>
      <x:c r="AJ116" s="12" t="str">
        <x:f>IF(AC116="PUBLIC_CANDIDATE","public by default; still not canon","private/hold; do not publish")</x:f>
        <x:v>public by default; still not canon</x:v>
      </x:c>
      <x:c r="AK116" s="12" t="str">
        <x:f>IF(AE116="prepare_public_github_candidate","add receipt/status then mirror","resolve blocker before any public GitHub action")</x:f>
        <x:v>add receipt/status then mirror</x:v>
      </x:c>
    </x:row>
    <x:row r="117">
      <x:c r="A117" s="15" t="str">
        <x:v>SWARM-01-H10-S08</x:v>
      </x:c>
      <x:c r="B117" s="15" t="str">
        <x:v>Ledgerwake</x:v>
      </x:c>
      <x:c r="C117" s="15" t="str">
        <x:v>Source receipt keeper</x:v>
      </x:c>
      <x:c r="D117" s="15" t="str">
        <x:v>GitHub Source Packets</x:v>
      </x:c>
      <x:c r="E117" s="15" t="str">
        <x:v>Sheldonbrain</x:v>
      </x:c>
      <x:c r="F117" s="15" t="str">
        <x:v>Build source packet for Sheldonbrain — Ledgerwake</x:v>
      </x:c>
      <x:c r="G117" s="15" t="str">
        <x:v>inventory / receipts / raw custody</x:v>
      </x:c>
      <x:c r="H117" s="15" t="str">
        <x:v>source path + receipt + raw/export status + claim/edge/risk delta</x:v>
      </x:c>
      <x:c r="I117" s="15" t="str">
        <x:v>packet/SWARM-01-H10-S08</x:v>
      </x:c>
      <x:c r="J117" s="15" t="str">
        <x:v>TODO</x:v>
      </x:c>
      <x:c r="K117" s="15" t="str">
        <x:v>P1</x:v>
      </x:c>
      <x:c r="L117" s="15" t="str">
        <x:v>Done only when evidence is logged, contradiction search is noted, and boundary stamp remains non-canon unless ratified</x:v>
      </x:c>
      <x:c r="M117" s="15" t="str">
        <x:v>candidate / staging-only / not canon / not deployed / authority none</x:v>
      </x:c>
      <x:c r="N117" s="15" t="str">
        <x:v>Dispatch to Ledgerwake: complete GitHub Source Packets x Sheldonbrain; return deltas only, receipts required.</x:v>
      </x:c>
      <x:c r="O117" s="15" t="str">
        <x:v>AF-KG-H10-S08</x:v>
      </x:c>
      <x:c r="P117" s="15" t="str">
        <x:v>Unverified</x:v>
      </x:c>
      <x:c r="Q117" s="15" t="str">
        <x:v>Not checked</x:v>
      </x:c>
      <x:c r="R117" s="15" t="str"/>
      <x:c r="S117" s="15" t="str"/>
      <x:c r="T117" s="15" t="str">
        <x:v>Log first source path or blocker</x:v>
      </x:c>
      <x:c r="U117" s="12" t="str">
        <x:f>IF(OR(P117="Unverified",Q117="Not checked"),"BLOCKED_PENDING_RECEIPT","READY_FOR_REVIEW")</x:f>
        <x:v>BLOCKED_PENDING_RECEIPT</x:v>
      </x:c>
      <x:c r="V117" s="12" t="str">
        <x:f>IF(J117="DONE","RETURNED",IF(U117="BLOCKED_PENDING_RECEIPT","SOURCE_TOUCH_REQUIRED","IN_PROGRESS"))</x:f>
        <x:v>SOURCE_TOUCH_REQUIRED</x:v>
      </x:c>
      <x:c r="W117" s="12" t="str">
        <x:f>IF(P117="Unverified","missing_receipt","receipt_logged")</x:f>
        <x:v>missing_receipt</x:v>
      </x:c>
      <x:c r="X117" s="12" t="str">
        <x:f>IF(Q117="Not checked","raw_status_missing","raw_status_logged")</x:f>
        <x:v>raw_status_missing</x:v>
      </x:c>
      <x:c r="Y117" s="12" t="str">
        <x:f>IF(U117="BLOCKED_PENDING_RECEIPT","Log source path or blocker; do not promote","Route to review lane")</x:f>
        <x:v>Log source path or blocker; do not promote</x:v>
      </x:c>
      <x:c r="Z117" s="12" t="str">
        <x:f>IF(K117="P0","Primary seat + Hashlight/Lucerna","Seat lane")</x:f>
        <x:v>Seat lane</x:v>
      </x:c>
      <x:c r="AA117" s="12" t="str">
        <x:f>IF(R117="","no_claim_delta","claim_delta_present")</x:f>
        <x:v>no_claim_delta</x:v>
      </x:c>
      <x:c r="AB117" s="12" t="str">
        <x:f>IF(S117="","no_contradiction_delta","contradiction_delta_present")</x:f>
        <x:v>no_contradiction_delta</x:v>
      </x:c>
      <x:c r="AC117" s="12" t="str">
        <x:f>IF(OR(ISNUMBER(SEARCH("hacker",LOWER(F117&amp;" "&amp;H117&amp;" "&amp;I117&amp;" "&amp;M117&amp;" "&amp;N117&amp;" "&amp;T117))),ISNUMBER(SEARCH("hacking",LOWER(F117&amp;" "&amp;H117&amp;" "&amp;I117&amp;" "&amp;M117&amp;" "&amp;N117&amp;" "&amp;T117))),ISNUMBER(SEARCH("bank",LOWER(F117&amp;" "&amp;H117&amp;" "&amp;I117&amp;" "&amp;M117&amp;" "&amp;N117&amp;" "&amp;T117))),ISNUMBER(SEARCH("banking",LOWER(F117&amp;" "&amp;H117&amp;" "&amp;I117&amp;" "&amp;M117&amp;" "&amp;N117&amp;" "&amp;T117)))),"PRIVATE_QUARANTINE",IF(OR(ISNUMBER(SEARCH("treasury",LOWER(F117&amp;" "&amp;H117&amp;" "&amp;I117&amp;" "&amp;M117&amp;" "&amp;N117&amp;" "&amp;T117))),ISNUMBER(SEARCH("debt",LOWER(F117&amp;" "&amp;H117&amp;" "&amp;I117&amp;" "&amp;M117&amp;" "&amp;N117&amp;" "&amp;T117))),ISNUMBER(SEARCH("bond",LOWER(F117&amp;" "&amp;H117&amp;" "&amp;I117&amp;" "&amp;M117&amp;" "&amp;N117&amp;" "&amp;T117))),ISNUMBER(SEARCH("transaction",LOWER(F117&amp;" "&amp;H117&amp;" "&amp;I117&amp;" "&amp;M117&amp;" "&amp;N117&amp;" "&amp;T117)))),"PRIVATE_REVIEW","PUBLIC_CANDIDATE"))</x:f>
        <x:v>PUBLIC_CANDIDATE</x:v>
      </x:c>
      <x:c r="AD117" s="12" t="str">
        <x:f>IF(AC117="PRIVATE_QUARANTINE","hacker_or_bank_trigger",IF(AC117="PRIVATE_REVIEW","finance_risk_trigger","none"))</x:f>
        <x:v>none</x:v>
      </x:c>
      <x:c r="AE117" s="12" t="str">
        <x:f>IF(AC117="PUBLIC_CANDIDATE","prepare_public_github_candidate",IF(AC117="PRIVATE_REVIEW","hold_for_private_review","quarantine_private_do_not_publish"))</x:f>
        <x:v>prepare_public_github_candidate</x:v>
      </x:c>
      <x:c r="AF117" s="12" t="str">
        <x:f>IF(AC117="PUBLIC_CANDIDATE","TIDELOCK + Lucerna",IF(AC117="PRIVATE_REVIEW","AtlasBrain + Lucerna","TIDELOCK + Lucerna + Human-root"))</x:f>
        <x:v>TIDELOCK + Lucerna</x:v>
      </x:c>
      <x:c r="AG117" s="12" t="str">
        <x:f>IF(AND(AC117="PUBLIC_CANDIDATE",U117&lt;&gt;"BLOCKED_PENDING_RECEIPT"),"READY_AFTER_RECEIPT","NOT_READY")</x:f>
        <x:v>NOT_READY</x:v>
      </x:c>
      <x:c r="AH117" s="12" t="str">
        <x:f>IF(AC117="PUBLIC_CANDIDATE","none",AD117)</x:f>
        <x:v>none</x:v>
      </x:c>
      <x:c r="AI117" s="12" t="str">
        <x:f>IF(AC117="PUBLIC_CANDIDATE","archive/public_candidates/"&amp;A117,"private_quarantine/"&amp;A117)</x:f>
        <x:v>archive/public_candidates/SWARM-01-H10-S08</x:v>
      </x:c>
      <x:c r="AJ117" s="12" t="str">
        <x:f>IF(AC117="PUBLIC_CANDIDATE","public by default; still not canon","private/hold; do not publish")</x:f>
        <x:v>public by default; still not canon</x:v>
      </x:c>
      <x:c r="AK117" s="12" t="str">
        <x:f>IF(AE117="prepare_public_github_candidate","add receipt/status then mirror","resolve blocker before any public GitHub action")</x:f>
        <x:v>add receipt/status then mirror</x:v>
      </x:c>
    </x:row>
    <x:row r="118">
      <x:c r="A118" s="15" t="str">
        <x:v>SWARM-01-H10-S09</x:v>
      </x:c>
      <x:c r="B118" s="15" t="str">
        <x:v>Ledgerwake</x:v>
      </x:c>
      <x:c r="C118" s="15" t="str">
        <x:v>Source receipt keeper</x:v>
      </x:c>
      <x:c r="D118" s="15" t="str">
        <x:v>GitHub Source Packets</x:v>
      </x:c>
      <x:c r="E118" s="15" t="str">
        <x:v>Aetherforge</x:v>
      </x:c>
      <x:c r="F118" s="15" t="str">
        <x:v>Build source packet for Aetherforge — Ledgerwake</x:v>
      </x:c>
      <x:c r="G118" s="15" t="str">
        <x:v>inventory / receipts / raw custody</x:v>
      </x:c>
      <x:c r="H118" s="15" t="str">
        <x:v>source path + receipt + raw/export status + claim/edge/risk delta</x:v>
      </x:c>
      <x:c r="I118" s="15" t="str">
        <x:v>packet/SWARM-01-H10-S09</x:v>
      </x:c>
      <x:c r="J118" s="15" t="str">
        <x:v>TODO</x:v>
      </x:c>
      <x:c r="K118" s="15" t="str">
        <x:v>P2</x:v>
      </x:c>
      <x:c r="L118" s="15" t="str">
        <x:v>Done only when evidence is logged, contradiction search is noted, and boundary stamp remains non-canon unless ratified</x:v>
      </x:c>
      <x:c r="M118" s="15" t="str">
        <x:v>candidate / staging-only / not canon / not deployed / authority none</x:v>
      </x:c>
      <x:c r="N118" s="15" t="str">
        <x:v>Dispatch to Ledgerwake: complete GitHub Source Packets x Aetherforge; return deltas only, receipts required.</x:v>
      </x:c>
      <x:c r="O118" s="15" t="str">
        <x:v>AF-KG-H10-S09</x:v>
      </x:c>
      <x:c r="P118" s="15" t="str">
        <x:v>Unverified</x:v>
      </x:c>
      <x:c r="Q118" s="15" t="str">
        <x:v>Not checked</x:v>
      </x:c>
      <x:c r="R118" s="15" t="str"/>
      <x:c r="S118" s="15" t="str"/>
      <x:c r="T118" s="15" t="str">
        <x:v>Log first source path or blocker</x:v>
      </x:c>
      <x:c r="U118" s="12" t="str">
        <x:f>IF(OR(P118="Unverified",Q118="Not checked"),"BLOCKED_PENDING_RECEIPT","READY_FOR_REVIEW")</x:f>
        <x:v>BLOCKED_PENDING_RECEIPT</x:v>
      </x:c>
      <x:c r="V118" s="12" t="str">
        <x:f>IF(J118="DONE","RETURNED",IF(U118="BLOCKED_PENDING_RECEIPT","SOURCE_TOUCH_REQUIRED","IN_PROGRESS"))</x:f>
        <x:v>SOURCE_TOUCH_REQUIRED</x:v>
      </x:c>
      <x:c r="W118" s="12" t="str">
        <x:f>IF(P118="Unverified","missing_receipt","receipt_logged")</x:f>
        <x:v>missing_receipt</x:v>
      </x:c>
      <x:c r="X118" s="12" t="str">
        <x:f>IF(Q118="Not checked","raw_status_missing","raw_status_logged")</x:f>
        <x:v>raw_status_missing</x:v>
      </x:c>
      <x:c r="Y118" s="12" t="str">
        <x:f>IF(U118="BLOCKED_PENDING_RECEIPT","Log source path or blocker; do not promote","Route to review lane")</x:f>
        <x:v>Log source path or blocker; do not promote</x:v>
      </x:c>
      <x:c r="Z118" s="12" t="str">
        <x:f>IF(K118="P0","Primary seat + Hashlight/Lucerna","Seat lane")</x:f>
        <x:v>Seat lane</x:v>
      </x:c>
      <x:c r="AA118" s="12" t="str">
        <x:f>IF(R118="","no_claim_delta","claim_delta_present")</x:f>
        <x:v>no_claim_delta</x:v>
      </x:c>
      <x:c r="AB118" s="12" t="str">
        <x:f>IF(S118="","no_contradiction_delta","contradiction_delta_present")</x:f>
        <x:v>no_contradiction_delta</x:v>
      </x:c>
      <x:c r="AC118" s="12" t="str">
        <x:f>IF(OR(ISNUMBER(SEARCH("hacker",LOWER(F118&amp;" "&amp;H118&amp;" "&amp;I118&amp;" "&amp;M118&amp;" "&amp;N118&amp;" "&amp;T118))),ISNUMBER(SEARCH("hacking",LOWER(F118&amp;" "&amp;H118&amp;" "&amp;I118&amp;" "&amp;M118&amp;" "&amp;N118&amp;" "&amp;T118))),ISNUMBER(SEARCH("bank",LOWER(F118&amp;" "&amp;H118&amp;" "&amp;I118&amp;" "&amp;M118&amp;" "&amp;N118&amp;" "&amp;T118))),ISNUMBER(SEARCH("banking",LOWER(F118&amp;" "&amp;H118&amp;" "&amp;I118&amp;" "&amp;M118&amp;" "&amp;N118&amp;" "&amp;T118)))),"PRIVATE_QUARANTINE",IF(OR(ISNUMBER(SEARCH("treasury",LOWER(F118&amp;" "&amp;H118&amp;" "&amp;I118&amp;" "&amp;M118&amp;" "&amp;N118&amp;" "&amp;T118))),ISNUMBER(SEARCH("debt",LOWER(F118&amp;" "&amp;H118&amp;" "&amp;I118&amp;" "&amp;M118&amp;" "&amp;N118&amp;" "&amp;T118))),ISNUMBER(SEARCH("bond",LOWER(F118&amp;" "&amp;H118&amp;" "&amp;I118&amp;" "&amp;M118&amp;" "&amp;N118&amp;" "&amp;T118))),ISNUMBER(SEARCH("transaction",LOWER(F118&amp;" "&amp;H118&amp;" "&amp;I118&amp;" "&amp;M118&amp;" "&amp;N118&amp;" "&amp;T118)))),"PRIVATE_REVIEW","PUBLIC_CANDIDATE"))</x:f>
        <x:v>PUBLIC_CANDIDATE</x:v>
      </x:c>
      <x:c r="AD118" s="12" t="str">
        <x:f>IF(AC118="PRIVATE_QUARANTINE","hacker_or_bank_trigger",IF(AC118="PRIVATE_REVIEW","finance_risk_trigger","none"))</x:f>
        <x:v>none</x:v>
      </x:c>
      <x:c r="AE118" s="12" t="str">
        <x:f>IF(AC118="PUBLIC_CANDIDATE","prepare_public_github_candidate",IF(AC118="PRIVATE_REVIEW","hold_for_private_review","quarantine_private_do_not_publish"))</x:f>
        <x:v>prepare_public_github_candidate</x:v>
      </x:c>
      <x:c r="AF118" s="12" t="str">
        <x:f>IF(AC118="PUBLIC_CANDIDATE","TIDELOCK + Lucerna",IF(AC118="PRIVATE_REVIEW","AtlasBrain + Lucerna","TIDELOCK + Lucerna + Human-root"))</x:f>
        <x:v>TIDELOCK + Lucerna</x:v>
      </x:c>
      <x:c r="AG118" s="12" t="str">
        <x:f>IF(AND(AC118="PUBLIC_CANDIDATE",U118&lt;&gt;"BLOCKED_PENDING_RECEIPT"),"READY_AFTER_RECEIPT","NOT_READY")</x:f>
        <x:v>NOT_READY</x:v>
      </x:c>
      <x:c r="AH118" s="12" t="str">
        <x:f>IF(AC118="PUBLIC_CANDIDATE","none",AD118)</x:f>
        <x:v>none</x:v>
      </x:c>
      <x:c r="AI118" s="12" t="str">
        <x:f>IF(AC118="PUBLIC_CANDIDATE","archive/public_candidates/"&amp;A118,"private_quarantine/"&amp;A118)</x:f>
        <x:v>archive/public_candidates/SWARM-01-H10-S09</x:v>
      </x:c>
      <x:c r="AJ118" s="12" t="str">
        <x:f>IF(AC118="PUBLIC_CANDIDATE","public by default; still not canon","private/hold; do not publish")</x:f>
        <x:v>public by default; still not canon</x:v>
      </x:c>
      <x:c r="AK118" s="12" t="str">
        <x:f>IF(AE118="prepare_public_github_candidate","add receipt/status then mirror","resolve blocker before any public GitHub action")</x:f>
        <x:v>add receipt/status then mirror</x:v>
      </x:c>
    </x:row>
    <x:row r="119">
      <x:c r="A119" s="15" t="str">
        <x:v>SWARM-01-H10-S10</x:v>
      </x:c>
      <x:c r="B119" s="15" t="str">
        <x:v>Ledgerwake</x:v>
      </x:c>
      <x:c r="C119" s="15" t="str">
        <x:v>Source receipt keeper</x:v>
      </x:c>
      <x:c r="D119" s="15" t="str">
        <x:v>GitHub Source Packets</x:v>
      </x:c>
      <x:c r="E119" s="15" t="str">
        <x:v>Human-Root</x:v>
      </x:c>
      <x:c r="F119" s="15" t="str">
        <x:v>Build source packet for Human-Root — Ledgerwake</x:v>
      </x:c>
      <x:c r="G119" s="15" t="str">
        <x:v>inventory / receipts / raw custody</x:v>
      </x:c>
      <x:c r="H119" s="15" t="str">
        <x:v>source path + receipt + raw/export status + claim/edge/risk delta</x:v>
      </x:c>
      <x:c r="I119" s="15" t="str">
        <x:v>packet/SWARM-01-H10-S10</x:v>
      </x:c>
      <x:c r="J119" s="15" t="str">
        <x:v>TODO</x:v>
      </x:c>
      <x:c r="K119" s="15" t="str">
        <x:v>P2</x:v>
      </x:c>
      <x:c r="L119" s="15" t="str">
        <x:v>Done only when evidence is logged, contradiction search is noted, and boundary stamp remains non-canon unless ratified</x:v>
      </x:c>
      <x:c r="M119" s="15" t="str">
        <x:v>candidate / staging-only / not canon / not deployed / authority none</x:v>
      </x:c>
      <x:c r="N119" s="15" t="str">
        <x:v>Dispatch to Ledgerwake: complete GitHub Source Packets x Human-Root; return deltas only, receipts required.</x:v>
      </x:c>
      <x:c r="O119" s="15" t="str">
        <x:v>AF-KG-H10-S10</x:v>
      </x:c>
      <x:c r="P119" s="15" t="str">
        <x:v>Unverified</x:v>
      </x:c>
      <x:c r="Q119" s="15" t="str">
        <x:v>Not checked</x:v>
      </x:c>
      <x:c r="R119" s="15" t="str"/>
      <x:c r="S119" s="15" t="str"/>
      <x:c r="T119" s="15" t="str">
        <x:v>Log first source path or blocker</x:v>
      </x:c>
      <x:c r="U119" s="12" t="str">
        <x:f>IF(OR(P119="Unverified",Q119="Not checked"),"BLOCKED_PENDING_RECEIPT","READY_FOR_REVIEW")</x:f>
        <x:v>BLOCKED_PENDING_RECEIPT</x:v>
      </x:c>
      <x:c r="V119" s="12" t="str">
        <x:f>IF(J119="DONE","RETURNED",IF(U119="BLOCKED_PENDING_RECEIPT","SOURCE_TOUCH_REQUIRED","IN_PROGRESS"))</x:f>
        <x:v>SOURCE_TOUCH_REQUIRED</x:v>
      </x:c>
      <x:c r="W119" s="12" t="str">
        <x:f>IF(P119="Unverified","missing_receipt","receipt_logged")</x:f>
        <x:v>missing_receipt</x:v>
      </x:c>
      <x:c r="X119" s="12" t="str">
        <x:f>IF(Q119="Not checked","raw_status_missing","raw_status_logged")</x:f>
        <x:v>raw_status_missing</x:v>
      </x:c>
      <x:c r="Y119" s="12" t="str">
        <x:f>IF(U119="BLOCKED_PENDING_RECEIPT","Log source path or blocker; do not promote","Route to review lane")</x:f>
        <x:v>Log source path or blocker; do not promote</x:v>
      </x:c>
      <x:c r="Z119" s="12" t="str">
        <x:f>IF(K119="P0","Primary seat + Hashlight/Lucerna","Seat lane")</x:f>
        <x:v>Seat lane</x:v>
      </x:c>
      <x:c r="AA119" s="12" t="str">
        <x:f>IF(R119="","no_claim_delta","claim_delta_present")</x:f>
        <x:v>no_claim_delta</x:v>
      </x:c>
      <x:c r="AB119" s="12" t="str">
        <x:f>IF(S119="","no_contradiction_delta","contradiction_delta_present")</x:f>
        <x:v>no_contradiction_delta</x:v>
      </x:c>
      <x:c r="AC119" s="12" t="str">
        <x:f>IF(OR(ISNUMBER(SEARCH("hacker",LOWER(F119&amp;" "&amp;H119&amp;" "&amp;I119&amp;" "&amp;M119&amp;" "&amp;N119&amp;" "&amp;T119))),ISNUMBER(SEARCH("hacking",LOWER(F119&amp;" "&amp;H119&amp;" "&amp;I119&amp;" "&amp;M119&amp;" "&amp;N119&amp;" "&amp;T119))),ISNUMBER(SEARCH("bank",LOWER(F119&amp;" "&amp;H119&amp;" "&amp;I119&amp;" "&amp;M119&amp;" "&amp;N119&amp;" "&amp;T119))),ISNUMBER(SEARCH("banking",LOWER(F119&amp;" "&amp;H119&amp;" "&amp;I119&amp;" "&amp;M119&amp;" "&amp;N119&amp;" "&amp;T119)))),"PRIVATE_QUARANTINE",IF(OR(ISNUMBER(SEARCH("treasury",LOWER(F119&amp;" "&amp;H119&amp;" "&amp;I119&amp;" "&amp;M119&amp;" "&amp;N119&amp;" "&amp;T119))),ISNUMBER(SEARCH("debt",LOWER(F119&amp;" "&amp;H119&amp;" "&amp;I119&amp;" "&amp;M119&amp;" "&amp;N119&amp;" "&amp;T119))),ISNUMBER(SEARCH("bond",LOWER(F119&amp;" "&amp;H119&amp;" "&amp;I119&amp;" "&amp;M119&amp;" "&amp;N119&amp;" "&amp;T119))),ISNUMBER(SEARCH("transaction",LOWER(F119&amp;" "&amp;H119&amp;" "&amp;I119&amp;" "&amp;M119&amp;" "&amp;N119&amp;" "&amp;T119)))),"PRIVATE_REVIEW","PUBLIC_CANDIDATE"))</x:f>
        <x:v>PUBLIC_CANDIDATE</x:v>
      </x:c>
      <x:c r="AD119" s="12" t="str">
        <x:f>IF(AC119="PRIVATE_QUARANTINE","hacker_or_bank_trigger",IF(AC119="PRIVATE_REVIEW","finance_risk_trigger","none"))</x:f>
        <x:v>none</x:v>
      </x:c>
      <x:c r="AE119" s="12" t="str">
        <x:f>IF(AC119="PUBLIC_CANDIDATE","prepare_public_github_candidate",IF(AC119="PRIVATE_REVIEW","hold_for_private_review","quarantine_private_do_not_publish"))</x:f>
        <x:v>prepare_public_github_candidate</x:v>
      </x:c>
      <x:c r="AF119" s="12" t="str">
        <x:f>IF(AC119="PUBLIC_CANDIDATE","TIDELOCK + Lucerna",IF(AC119="PRIVATE_REVIEW","AtlasBrain + Lucerna","TIDELOCK + Lucerna + Human-root"))</x:f>
        <x:v>TIDELOCK + Lucerna</x:v>
      </x:c>
      <x:c r="AG119" s="12" t="str">
        <x:f>IF(AND(AC119="PUBLIC_CANDIDATE",U119&lt;&gt;"BLOCKED_PENDING_RECEIPT"),"READY_AFTER_RECEIPT","NOT_READY")</x:f>
        <x:v>NOT_READY</x:v>
      </x:c>
      <x:c r="AH119" s="12" t="str">
        <x:f>IF(AC119="PUBLIC_CANDIDATE","none",AD119)</x:f>
        <x:v>none</x:v>
      </x:c>
      <x:c r="AI119" s="12" t="str">
        <x:f>IF(AC119="PUBLIC_CANDIDATE","archive/public_candidates/"&amp;A119,"private_quarantine/"&amp;A119)</x:f>
        <x:v>archive/public_candidates/SWARM-01-H10-S10</x:v>
      </x:c>
      <x:c r="AJ119" s="12" t="str">
        <x:f>IF(AC119="PUBLIC_CANDIDATE","public by default; still not canon","private/hold; do not publish")</x:f>
        <x:v>public by default; still not canon</x:v>
      </x:c>
      <x:c r="AK119" s="12" t="str">
        <x:f>IF(AE119="prepare_public_github_candidate","add receipt/status then mirror","resolve blocker before any public GitHub action")</x:f>
        <x:v>add receipt/status then mirror</x:v>
      </x:c>
    </x:row>
    <x:row r="120">
      <x:c r="A120" s="15" t="str">
        <x:v>SWARM-01-H10-S11</x:v>
      </x:c>
      <x:c r="B120" s="15" t="str">
        <x:v>Ledgerwake</x:v>
      </x:c>
      <x:c r="C120" s="15" t="str">
        <x:v>Source receipt keeper</x:v>
      </x:c>
      <x:c r="D120" s="15" t="str">
        <x:v>GitHub Source Packets</x:v>
      </x:c>
      <x:c r="E120" s="15" t="str">
        <x:v>Automation</x:v>
      </x:c>
      <x:c r="F120" s="15" t="str">
        <x:v>Build source packet for Automation — Ledgerwake</x:v>
      </x:c>
      <x:c r="G120" s="15" t="str">
        <x:v>inventory / receipts / raw custody</x:v>
      </x:c>
      <x:c r="H120" s="15" t="str">
        <x:v>source path + receipt + raw/export status + claim/edge/risk delta</x:v>
      </x:c>
      <x:c r="I120" s="15" t="str">
        <x:v>packet/SWARM-01-H10-S11</x:v>
      </x:c>
      <x:c r="J120" s="15" t="str">
        <x:v>TODO</x:v>
      </x:c>
      <x:c r="K120" s="15" t="str">
        <x:v>P2</x:v>
      </x:c>
      <x:c r="L120" s="15" t="str">
        <x:v>Done only when evidence is logged, contradiction search is noted, and boundary stamp remains non-canon unless ratified</x:v>
      </x:c>
      <x:c r="M120" s="15" t="str">
        <x:v>candidate / staging-only / not canon / not deployed / authority none</x:v>
      </x:c>
      <x:c r="N120" s="15" t="str">
        <x:v>Dispatch to Ledgerwake: complete GitHub Source Packets x Automation; return deltas only, receipts required.</x:v>
      </x:c>
      <x:c r="O120" s="15" t="str">
        <x:v>AF-KG-H10-S11</x:v>
      </x:c>
      <x:c r="P120" s="15" t="str">
        <x:v>Unverified</x:v>
      </x:c>
      <x:c r="Q120" s="15" t="str">
        <x:v>Not checked</x:v>
      </x:c>
      <x:c r="R120" s="15" t="str"/>
      <x:c r="S120" s="15" t="str"/>
      <x:c r="T120" s="15" t="str">
        <x:v>Log first source path or blocker</x:v>
      </x:c>
      <x:c r="U120" s="12" t="str">
        <x:f>IF(OR(P120="Unverified",Q120="Not checked"),"BLOCKED_PENDING_RECEIPT","READY_FOR_REVIEW")</x:f>
        <x:v>BLOCKED_PENDING_RECEIPT</x:v>
      </x:c>
      <x:c r="V120" s="12" t="str">
        <x:f>IF(J120="DONE","RETURNED",IF(U120="BLOCKED_PENDING_RECEIPT","SOURCE_TOUCH_REQUIRED","IN_PROGRESS"))</x:f>
        <x:v>SOURCE_TOUCH_REQUIRED</x:v>
      </x:c>
      <x:c r="W120" s="12" t="str">
        <x:f>IF(P120="Unverified","missing_receipt","receipt_logged")</x:f>
        <x:v>missing_receipt</x:v>
      </x:c>
      <x:c r="X120" s="12" t="str">
        <x:f>IF(Q120="Not checked","raw_status_missing","raw_status_logged")</x:f>
        <x:v>raw_status_missing</x:v>
      </x:c>
      <x:c r="Y120" s="12" t="str">
        <x:f>IF(U120="BLOCKED_PENDING_RECEIPT","Log source path or blocker; do not promote","Route to review lane")</x:f>
        <x:v>Log source path or blocker; do not promote</x:v>
      </x:c>
      <x:c r="Z120" s="12" t="str">
        <x:f>IF(K120="P0","Primary seat + Hashlight/Lucerna","Seat lane")</x:f>
        <x:v>Seat lane</x:v>
      </x:c>
      <x:c r="AA120" s="12" t="str">
        <x:f>IF(R120="","no_claim_delta","claim_delta_present")</x:f>
        <x:v>no_claim_delta</x:v>
      </x:c>
      <x:c r="AB120" s="12" t="str">
        <x:f>IF(S120="","no_contradiction_delta","contradiction_delta_present")</x:f>
        <x:v>no_contradiction_delta</x:v>
      </x:c>
      <x:c r="AC120" s="12" t="str">
        <x:f>IF(OR(ISNUMBER(SEARCH("hacker",LOWER(F120&amp;" "&amp;H120&amp;" "&amp;I120&amp;" "&amp;M120&amp;" "&amp;N120&amp;" "&amp;T120))),ISNUMBER(SEARCH("hacking",LOWER(F120&amp;" "&amp;H120&amp;" "&amp;I120&amp;" "&amp;M120&amp;" "&amp;N120&amp;" "&amp;T120))),ISNUMBER(SEARCH("bank",LOWER(F120&amp;" "&amp;H120&amp;" "&amp;I120&amp;" "&amp;M120&amp;" "&amp;N120&amp;" "&amp;T120))),ISNUMBER(SEARCH("banking",LOWER(F120&amp;" "&amp;H120&amp;" "&amp;I120&amp;" "&amp;M120&amp;" "&amp;N120&amp;" "&amp;T120)))),"PRIVATE_QUARANTINE",IF(OR(ISNUMBER(SEARCH("treasury",LOWER(F120&amp;" "&amp;H120&amp;" "&amp;I120&amp;" "&amp;M120&amp;" "&amp;N120&amp;" "&amp;T120))),ISNUMBER(SEARCH("debt",LOWER(F120&amp;" "&amp;H120&amp;" "&amp;I120&amp;" "&amp;M120&amp;" "&amp;N120&amp;" "&amp;T120))),ISNUMBER(SEARCH("bond",LOWER(F120&amp;" "&amp;H120&amp;" "&amp;I120&amp;" "&amp;M120&amp;" "&amp;N120&amp;" "&amp;T120))),ISNUMBER(SEARCH("transaction",LOWER(F120&amp;" "&amp;H120&amp;" "&amp;I120&amp;" "&amp;M120&amp;" "&amp;N120&amp;" "&amp;T120)))),"PRIVATE_REVIEW","PUBLIC_CANDIDATE"))</x:f>
        <x:v>PUBLIC_CANDIDATE</x:v>
      </x:c>
      <x:c r="AD120" s="12" t="str">
        <x:f>IF(AC120="PRIVATE_QUARANTINE","hacker_or_bank_trigger",IF(AC120="PRIVATE_REVIEW","finance_risk_trigger","none"))</x:f>
        <x:v>none</x:v>
      </x:c>
      <x:c r="AE120" s="12" t="str">
        <x:f>IF(AC120="PUBLIC_CANDIDATE","prepare_public_github_candidate",IF(AC120="PRIVATE_REVIEW","hold_for_private_review","quarantine_private_do_not_publish"))</x:f>
        <x:v>prepare_public_github_candidate</x:v>
      </x:c>
      <x:c r="AF120" s="12" t="str">
        <x:f>IF(AC120="PUBLIC_CANDIDATE","TIDELOCK + Lucerna",IF(AC120="PRIVATE_REVIEW","AtlasBrain + Lucerna","TIDELOCK + Lucerna + Human-root"))</x:f>
        <x:v>TIDELOCK + Lucerna</x:v>
      </x:c>
      <x:c r="AG120" s="12" t="str">
        <x:f>IF(AND(AC120="PUBLIC_CANDIDATE",U120&lt;&gt;"BLOCKED_PENDING_RECEIPT"),"READY_AFTER_RECEIPT","NOT_READY")</x:f>
        <x:v>NOT_READY</x:v>
      </x:c>
      <x:c r="AH120" s="12" t="str">
        <x:f>IF(AC120="PUBLIC_CANDIDATE","none",AD120)</x:f>
        <x:v>none</x:v>
      </x:c>
      <x:c r="AI120" s="12" t="str">
        <x:f>IF(AC120="PUBLIC_CANDIDATE","archive/public_candidates/"&amp;A120,"private_quarantine/"&amp;A120)</x:f>
        <x:v>archive/public_candidates/SWARM-01-H10-S11</x:v>
      </x:c>
      <x:c r="AJ120" s="12" t="str">
        <x:f>IF(AC120="PUBLIC_CANDIDATE","public by default; still not canon","private/hold; do not publish")</x:f>
        <x:v>public by default; still not canon</x:v>
      </x:c>
      <x:c r="AK120" s="12" t="str">
        <x:f>IF(AE120="prepare_public_github_candidate","add receipt/status then mirror","resolve blocker before any public GitHub action")</x:f>
        <x:v>add receipt/status then mirror</x:v>
      </x:c>
    </x:row>
    <x:row r="121">
      <x:c r="A121" s="15" t="str">
        <x:v>SWARM-01-H10-S12</x:v>
      </x:c>
      <x:c r="B121" s="15" t="str">
        <x:v>Ledgerwake</x:v>
      </x:c>
      <x:c r="C121" s="15" t="str">
        <x:v>Source receipt keeper</x:v>
      </x:c>
      <x:c r="D121" s="15" t="str">
        <x:v>GitHub Source Packets</x:v>
      </x:c>
      <x:c r="E121" s="15" t="str">
        <x:v>Risk / Safety</x:v>
      </x:c>
      <x:c r="F121" s="15" t="str">
        <x:v>Build source packet for Risk / Safety — Ledgerwake</x:v>
      </x:c>
      <x:c r="G121" s="15" t="str">
        <x:v>inventory / receipts / raw custody</x:v>
      </x:c>
      <x:c r="H121" s="15" t="str">
        <x:v>source path + receipt + raw/export status + claim/edge/risk delta</x:v>
      </x:c>
      <x:c r="I121" s="15" t="str">
        <x:v>packet/SWARM-01-H10-S12</x:v>
      </x:c>
      <x:c r="J121" s="15" t="str">
        <x:v>TODO</x:v>
      </x:c>
      <x:c r="K121" s="15" t="str">
        <x:v>P2</x:v>
      </x:c>
      <x:c r="L121" s="15" t="str">
        <x:v>Done only when evidence is logged, contradiction search is noted, and boundary stamp remains non-canon unless ratified</x:v>
      </x:c>
      <x:c r="M121" s="15" t="str">
        <x:v>candidate / staging-only / not canon / not deployed / authority none</x:v>
      </x:c>
      <x:c r="N121" s="15" t="str">
        <x:v>Dispatch to Ledgerwake: complete GitHub Source Packets x Risk / Safety; return deltas only, receipts required.</x:v>
      </x:c>
      <x:c r="O121" s="15" t="str">
        <x:v>AF-KG-H10-S12</x:v>
      </x:c>
      <x:c r="P121" s="15" t="str">
        <x:v>Unverified</x:v>
      </x:c>
      <x:c r="Q121" s="15" t="str">
        <x:v>Not checked</x:v>
      </x:c>
      <x:c r="R121" s="15" t="str"/>
      <x:c r="S121" s="15" t="str"/>
      <x:c r="T121" s="15" t="str">
        <x:v>Log first source path or blocker</x:v>
      </x:c>
      <x:c r="U121" s="12" t="str">
        <x:f>IF(OR(P121="Unverified",Q121="Not checked"),"BLOCKED_PENDING_RECEIPT","READY_FOR_REVIEW")</x:f>
        <x:v>BLOCKED_PENDING_RECEIPT</x:v>
      </x:c>
      <x:c r="V121" s="12" t="str">
        <x:f>IF(J121="DONE","RETURNED",IF(U121="BLOCKED_PENDING_RECEIPT","SOURCE_TOUCH_REQUIRED","IN_PROGRESS"))</x:f>
        <x:v>SOURCE_TOUCH_REQUIRED</x:v>
      </x:c>
      <x:c r="W121" s="12" t="str">
        <x:f>IF(P121="Unverified","missing_receipt","receipt_logged")</x:f>
        <x:v>missing_receipt</x:v>
      </x:c>
      <x:c r="X121" s="12" t="str">
        <x:f>IF(Q121="Not checked","raw_status_missing","raw_status_logged")</x:f>
        <x:v>raw_status_missing</x:v>
      </x:c>
      <x:c r="Y121" s="12" t="str">
        <x:f>IF(U121="BLOCKED_PENDING_RECEIPT","Log source path or blocker; do not promote","Route to review lane")</x:f>
        <x:v>Log source path or blocker; do not promote</x:v>
      </x:c>
      <x:c r="Z121" s="12" t="str">
        <x:f>IF(K121="P0","Primary seat + Hashlight/Lucerna","Seat lane")</x:f>
        <x:v>Seat lane</x:v>
      </x:c>
      <x:c r="AA121" s="12" t="str">
        <x:f>IF(R121="","no_claim_delta","claim_delta_present")</x:f>
        <x:v>no_claim_delta</x:v>
      </x:c>
      <x:c r="AB121" s="12" t="str">
        <x:f>IF(S121="","no_contradiction_delta","contradiction_delta_present")</x:f>
        <x:v>no_contradiction_delta</x:v>
      </x:c>
      <x:c r="AC121" s="12" t="str">
        <x:f>IF(OR(ISNUMBER(SEARCH("hacker",LOWER(F121&amp;" "&amp;H121&amp;" "&amp;I121&amp;" "&amp;M121&amp;" "&amp;N121&amp;" "&amp;T121))),ISNUMBER(SEARCH("hacking",LOWER(F121&amp;" "&amp;H121&amp;" "&amp;I121&amp;" "&amp;M121&amp;" "&amp;N121&amp;" "&amp;T121))),ISNUMBER(SEARCH("bank",LOWER(F121&amp;" "&amp;H121&amp;" "&amp;I121&amp;" "&amp;M121&amp;" "&amp;N121&amp;" "&amp;T121))),ISNUMBER(SEARCH("banking",LOWER(F121&amp;" "&amp;H121&amp;" "&amp;I121&amp;" "&amp;M121&amp;" "&amp;N121&amp;" "&amp;T121)))),"PRIVATE_QUARANTINE",IF(OR(ISNUMBER(SEARCH("treasury",LOWER(F121&amp;" "&amp;H121&amp;" "&amp;I121&amp;" "&amp;M121&amp;" "&amp;N121&amp;" "&amp;T121))),ISNUMBER(SEARCH("debt",LOWER(F121&amp;" "&amp;H121&amp;" "&amp;I121&amp;" "&amp;M121&amp;" "&amp;N121&amp;" "&amp;T121))),ISNUMBER(SEARCH("bond",LOWER(F121&amp;" "&amp;H121&amp;" "&amp;I121&amp;" "&amp;M121&amp;" "&amp;N121&amp;" "&amp;T121))),ISNUMBER(SEARCH("transaction",LOWER(F121&amp;" "&amp;H121&amp;" "&amp;I121&amp;" "&amp;M121&amp;" "&amp;N121&amp;" "&amp;T121)))),"PRIVATE_REVIEW","PUBLIC_CANDIDATE"))</x:f>
        <x:v>PUBLIC_CANDIDATE</x:v>
      </x:c>
      <x:c r="AD121" s="12" t="str">
        <x:f>IF(AC121="PRIVATE_QUARANTINE","hacker_or_bank_trigger",IF(AC121="PRIVATE_REVIEW","finance_risk_trigger","none"))</x:f>
        <x:v>none</x:v>
      </x:c>
      <x:c r="AE121" s="12" t="str">
        <x:f>IF(AC121="PUBLIC_CANDIDATE","prepare_public_github_candidate",IF(AC121="PRIVATE_REVIEW","hold_for_private_review","quarantine_private_do_not_publish"))</x:f>
        <x:v>prepare_public_github_candidate</x:v>
      </x:c>
      <x:c r="AF121" s="12" t="str">
        <x:f>IF(AC121="PUBLIC_CANDIDATE","TIDELOCK + Lucerna",IF(AC121="PRIVATE_REVIEW","AtlasBrain + Lucerna","TIDELOCK + Lucerna + Human-root"))</x:f>
        <x:v>TIDELOCK + Lucerna</x:v>
      </x:c>
      <x:c r="AG121" s="12" t="str">
        <x:f>IF(AND(AC121="PUBLIC_CANDIDATE",U121&lt;&gt;"BLOCKED_PENDING_RECEIPT"),"READY_AFTER_RECEIPT","NOT_READY")</x:f>
        <x:v>NOT_READY</x:v>
      </x:c>
      <x:c r="AH121" s="12" t="str">
        <x:f>IF(AC121="PUBLIC_CANDIDATE","none",AD121)</x:f>
        <x:v>none</x:v>
      </x:c>
      <x:c r="AI121" s="12" t="str">
        <x:f>IF(AC121="PUBLIC_CANDIDATE","archive/public_candidates/"&amp;A121,"private_quarantine/"&amp;A121)</x:f>
        <x:v>archive/public_candidates/SWARM-01-H10-S12</x:v>
      </x:c>
      <x:c r="AJ121" s="12" t="str">
        <x:f>IF(AC121="PUBLIC_CANDIDATE","public by default; still not canon","private/hold; do not publish")</x:f>
        <x:v>public by default; still not canon</x:v>
      </x:c>
      <x:c r="AK121" s="12" t="str">
        <x:f>IF(AE121="prepare_public_github_candidate","add receipt/status then mirror","resolve blocker before any public GitHub action")</x:f>
        <x:v>add receipt/status then mirror</x:v>
      </x:c>
    </x:row>
    <x:row r="122">
      <x:c r="A122" s="15" t="str">
        <x:v>SWARM-01-H11-S01</x:v>
      </x:c>
      <x:c r="B122" s="15" t="str">
        <x:v>Ledgerwake</x:v>
      </x:c>
      <x:c r="C122" s="15" t="str">
        <x:v>Source receipt keeper</x:v>
      </x:c>
      <x:c r="D122" s="15" t="str">
        <x:v>Aetherforge UX</x:v>
      </x:c>
      <x:c r="E122" s="15" t="str">
        <x:v>Notion</x:v>
      </x:c>
      <x:c r="F122" s="15" t="str">
        <x:v>Design quest card for Notion — Ledgerwake</x:v>
      </x:c>
      <x:c r="G122" s="15" t="str">
        <x:v>inventory / receipts / raw custody</x:v>
      </x:c>
      <x:c r="H122" s="15" t="str">
        <x:v>source path + receipt + raw/export status + claim/edge/risk delta</x:v>
      </x:c>
      <x:c r="I122" s="15" t="str">
        <x:v>packet/SWARM-01-H11-S01</x:v>
      </x:c>
      <x:c r="J122" s="15" t="str">
        <x:v>TODO</x:v>
      </x:c>
      <x:c r="K122" s="15" t="str">
        <x:v>P0</x:v>
      </x:c>
      <x:c r="L122" s="15" t="str">
        <x:v>Done only when evidence is logged, contradiction search is noted, and boundary stamp remains non-canon unless ratified</x:v>
      </x:c>
      <x:c r="M122" s="15" t="str">
        <x:v>candidate / staging-only / not canon / not deployed / authority none</x:v>
      </x:c>
      <x:c r="N122" s="15" t="str">
        <x:v>Dispatch to Ledgerwake: complete Aetherforge UX x Notion; return deltas only, receipts required.</x:v>
      </x:c>
      <x:c r="O122" s="15" t="str">
        <x:v>AF-KG-H11-S01</x:v>
      </x:c>
      <x:c r="P122" s="15" t="str">
        <x:v>Unverified</x:v>
      </x:c>
      <x:c r="Q122" s="15" t="str">
        <x:v>Not checked</x:v>
      </x:c>
      <x:c r="R122" s="15" t="str"/>
      <x:c r="S122" s="15" t="str"/>
      <x:c r="T122" s="15" t="str">
        <x:v>Log first source path or blocker</x:v>
      </x:c>
      <x:c r="U122" s="12" t="str">
        <x:f>IF(OR(P122="Unverified",Q122="Not checked"),"BLOCKED_PENDING_RECEIPT","READY_FOR_REVIEW")</x:f>
        <x:v>BLOCKED_PENDING_RECEIPT</x:v>
      </x:c>
      <x:c r="V122" s="12" t="str">
        <x:f>IF(J122="DONE","RETURNED",IF(U122="BLOCKED_PENDING_RECEIPT","SOURCE_TOUCH_REQUIRED","IN_PROGRESS"))</x:f>
        <x:v>SOURCE_TOUCH_REQUIRED</x:v>
      </x:c>
      <x:c r="W122" s="12" t="str">
        <x:f>IF(P122="Unverified","missing_receipt","receipt_logged")</x:f>
        <x:v>missing_receipt</x:v>
      </x:c>
      <x:c r="X122" s="12" t="str">
        <x:f>IF(Q122="Not checked","raw_status_missing","raw_status_logged")</x:f>
        <x:v>raw_status_missing</x:v>
      </x:c>
      <x:c r="Y122" s="12" t="str">
        <x:f>IF(U122="BLOCKED_PENDING_RECEIPT","Log source path or blocker; do not promote","Route to review lane")</x:f>
        <x:v>Log source path or blocker; do not promote</x:v>
      </x:c>
      <x:c r="Z122" s="12" t="str">
        <x:f>IF(K122="P0","Primary seat + Hashlight/Lucerna","Seat lane")</x:f>
        <x:v>Primary seat + Hashlight/Lucerna</x:v>
      </x:c>
      <x:c r="AA122" s="12" t="str">
        <x:f>IF(R122="","no_claim_delta","claim_delta_present")</x:f>
        <x:v>no_claim_delta</x:v>
      </x:c>
      <x:c r="AB122" s="12" t="str">
        <x:f>IF(S122="","no_contradiction_delta","contradiction_delta_present")</x:f>
        <x:v>no_contradiction_delta</x:v>
      </x:c>
      <x:c r="AC122" s="12" t="str">
        <x:f>IF(OR(ISNUMBER(SEARCH("hacker",LOWER(F122&amp;" "&amp;H122&amp;" "&amp;I122&amp;" "&amp;M122&amp;" "&amp;N122&amp;" "&amp;T122))),ISNUMBER(SEARCH("hacking",LOWER(F122&amp;" "&amp;H122&amp;" "&amp;I122&amp;" "&amp;M122&amp;" "&amp;N122&amp;" "&amp;T122))),ISNUMBER(SEARCH("bank",LOWER(F122&amp;" "&amp;H122&amp;" "&amp;I122&amp;" "&amp;M122&amp;" "&amp;N122&amp;" "&amp;T122))),ISNUMBER(SEARCH("banking",LOWER(F122&amp;" "&amp;H122&amp;" "&amp;I122&amp;" "&amp;M122&amp;" "&amp;N122&amp;" "&amp;T122)))),"PRIVATE_QUARANTINE",IF(OR(ISNUMBER(SEARCH("treasury",LOWER(F122&amp;" "&amp;H122&amp;" "&amp;I122&amp;" "&amp;M122&amp;" "&amp;N122&amp;" "&amp;T122))),ISNUMBER(SEARCH("debt",LOWER(F122&amp;" "&amp;H122&amp;" "&amp;I122&amp;" "&amp;M122&amp;" "&amp;N122&amp;" "&amp;T122))),ISNUMBER(SEARCH("bond",LOWER(F122&amp;" "&amp;H122&amp;" "&amp;I122&amp;" "&amp;M122&amp;" "&amp;N122&amp;" "&amp;T122))),ISNUMBER(SEARCH("transaction",LOWER(F122&amp;" "&amp;H122&amp;" "&amp;I122&amp;" "&amp;M122&amp;" "&amp;N122&amp;" "&amp;T122)))),"PRIVATE_REVIEW","PUBLIC_CANDIDATE"))</x:f>
        <x:v>PUBLIC_CANDIDATE</x:v>
      </x:c>
      <x:c r="AD122" s="12" t="str">
        <x:f>IF(AC122="PRIVATE_QUARANTINE","hacker_or_bank_trigger",IF(AC122="PRIVATE_REVIEW","finance_risk_trigger","none"))</x:f>
        <x:v>none</x:v>
      </x:c>
      <x:c r="AE122" s="12" t="str">
        <x:f>IF(AC122="PUBLIC_CANDIDATE","prepare_public_github_candidate",IF(AC122="PRIVATE_REVIEW","hold_for_private_review","quarantine_private_do_not_publish"))</x:f>
        <x:v>prepare_public_github_candidate</x:v>
      </x:c>
      <x:c r="AF122" s="12" t="str">
        <x:f>IF(AC122="PUBLIC_CANDIDATE","TIDELOCK + Lucerna",IF(AC122="PRIVATE_REVIEW","AtlasBrain + Lucerna","TIDELOCK + Lucerna + Human-root"))</x:f>
        <x:v>TIDELOCK + Lucerna</x:v>
      </x:c>
      <x:c r="AG122" s="12" t="str">
        <x:f>IF(AND(AC122="PUBLIC_CANDIDATE",U122&lt;&gt;"BLOCKED_PENDING_RECEIPT"),"READY_AFTER_RECEIPT","NOT_READY")</x:f>
        <x:v>NOT_READY</x:v>
      </x:c>
      <x:c r="AH122" s="12" t="str">
        <x:f>IF(AC122="PUBLIC_CANDIDATE","none",AD122)</x:f>
        <x:v>none</x:v>
      </x:c>
      <x:c r="AI122" s="12" t="str">
        <x:f>IF(AC122="PUBLIC_CANDIDATE","archive/public_candidates/"&amp;A122,"private_quarantine/"&amp;A122)</x:f>
        <x:v>archive/public_candidates/SWARM-01-H11-S01</x:v>
      </x:c>
      <x:c r="AJ122" s="12" t="str">
        <x:f>IF(AC122="PUBLIC_CANDIDATE","public by default; still not canon","private/hold; do not publish")</x:f>
        <x:v>public by default; still not canon</x:v>
      </x:c>
      <x:c r="AK122" s="12" t="str">
        <x:f>IF(AE122="prepare_public_github_candidate","add receipt/status then mirror","resolve blocker before any public GitHub action")</x:f>
        <x:v>add receipt/status then mirror</x:v>
      </x:c>
    </x:row>
    <x:row r="123">
      <x:c r="A123" s="15" t="str">
        <x:v>SWARM-01-H11-S02</x:v>
      </x:c>
      <x:c r="B123" s="15" t="str">
        <x:v>Ledgerwake</x:v>
      </x:c>
      <x:c r="C123" s="15" t="str">
        <x:v>Source receipt keeper</x:v>
      </x:c>
      <x:c r="D123" s="15" t="str">
        <x:v>Aetherforge UX</x:v>
      </x:c>
      <x:c r="E123" s="15" t="str">
        <x:v>Drive</x:v>
      </x:c>
      <x:c r="F123" s="15" t="str">
        <x:v>Design quest card for Drive — Ledgerwake</x:v>
      </x:c>
      <x:c r="G123" s="15" t="str">
        <x:v>inventory / receipts / raw custody</x:v>
      </x:c>
      <x:c r="H123" s="15" t="str">
        <x:v>source path + receipt + raw/export status + claim/edge/risk delta</x:v>
      </x:c>
      <x:c r="I123" s="15" t="str">
        <x:v>packet/SWARM-01-H11-S02</x:v>
      </x:c>
      <x:c r="J123" s="15" t="str">
        <x:v>TODO</x:v>
      </x:c>
      <x:c r="K123" s="15" t="str">
        <x:v>P0</x:v>
      </x:c>
      <x:c r="L123" s="15" t="str">
        <x:v>Done only when evidence is logged, contradiction search is noted, and boundary stamp remains non-canon unless ratified</x:v>
      </x:c>
      <x:c r="M123" s="15" t="str">
        <x:v>candidate / staging-only / not canon / not deployed / authority none</x:v>
      </x:c>
      <x:c r="N123" s="15" t="str">
        <x:v>Dispatch to Ledgerwake: complete Aetherforge UX x Drive; return deltas only, receipts required.</x:v>
      </x:c>
      <x:c r="O123" s="15" t="str">
        <x:v>AF-KG-H11-S02</x:v>
      </x:c>
      <x:c r="P123" s="15" t="str">
        <x:v>Unverified</x:v>
      </x:c>
      <x:c r="Q123" s="15" t="str">
        <x:v>Not checked</x:v>
      </x:c>
      <x:c r="R123" s="15" t="str"/>
      <x:c r="S123" s="15" t="str"/>
      <x:c r="T123" s="15" t="str">
        <x:v>Log first source path or blocker</x:v>
      </x:c>
      <x:c r="U123" s="12" t="str">
        <x:f>IF(OR(P123="Unverified",Q123="Not checked"),"BLOCKED_PENDING_RECEIPT","READY_FOR_REVIEW")</x:f>
        <x:v>BLOCKED_PENDING_RECEIPT</x:v>
      </x:c>
      <x:c r="V123" s="12" t="str">
        <x:f>IF(J123="DONE","RETURNED",IF(U123="BLOCKED_PENDING_RECEIPT","SOURCE_TOUCH_REQUIRED","IN_PROGRESS"))</x:f>
        <x:v>SOURCE_TOUCH_REQUIRED</x:v>
      </x:c>
      <x:c r="W123" s="12" t="str">
        <x:f>IF(P123="Unverified","missing_receipt","receipt_logged")</x:f>
        <x:v>missing_receipt</x:v>
      </x:c>
      <x:c r="X123" s="12" t="str">
        <x:f>IF(Q123="Not checked","raw_status_missing","raw_status_logged")</x:f>
        <x:v>raw_status_missing</x:v>
      </x:c>
      <x:c r="Y123" s="12" t="str">
        <x:f>IF(U123="BLOCKED_PENDING_RECEIPT","Log source path or blocker; do not promote","Route to review lane")</x:f>
        <x:v>Log source path or blocker; do not promote</x:v>
      </x:c>
      <x:c r="Z123" s="12" t="str">
        <x:f>IF(K123="P0","Primary seat + Hashlight/Lucerna","Seat lane")</x:f>
        <x:v>Primary seat + Hashlight/Lucerna</x:v>
      </x:c>
      <x:c r="AA123" s="12" t="str">
        <x:f>IF(R123="","no_claim_delta","claim_delta_present")</x:f>
        <x:v>no_claim_delta</x:v>
      </x:c>
      <x:c r="AB123" s="12" t="str">
        <x:f>IF(S123="","no_contradiction_delta","contradiction_delta_present")</x:f>
        <x:v>no_contradiction_delta</x:v>
      </x:c>
      <x:c r="AC123" s="12" t="str">
        <x:f>IF(OR(ISNUMBER(SEARCH("hacker",LOWER(F123&amp;" "&amp;H123&amp;" "&amp;I123&amp;" "&amp;M123&amp;" "&amp;N123&amp;" "&amp;T123))),ISNUMBER(SEARCH("hacking",LOWER(F123&amp;" "&amp;H123&amp;" "&amp;I123&amp;" "&amp;M123&amp;" "&amp;N123&amp;" "&amp;T123))),ISNUMBER(SEARCH("bank",LOWER(F123&amp;" "&amp;H123&amp;" "&amp;I123&amp;" "&amp;M123&amp;" "&amp;N123&amp;" "&amp;T123))),ISNUMBER(SEARCH("banking",LOWER(F123&amp;" "&amp;H123&amp;" "&amp;I123&amp;" "&amp;M123&amp;" "&amp;N123&amp;" "&amp;T123)))),"PRIVATE_QUARANTINE",IF(OR(ISNUMBER(SEARCH("treasury",LOWER(F123&amp;" "&amp;H123&amp;" "&amp;I123&amp;" "&amp;M123&amp;" "&amp;N123&amp;" "&amp;T123))),ISNUMBER(SEARCH("debt",LOWER(F123&amp;" "&amp;H123&amp;" "&amp;I123&amp;" "&amp;M123&amp;" "&amp;N123&amp;" "&amp;T123))),ISNUMBER(SEARCH("bond",LOWER(F123&amp;" "&amp;H123&amp;" "&amp;I123&amp;" "&amp;M123&amp;" "&amp;N123&amp;" "&amp;T123))),ISNUMBER(SEARCH("transaction",LOWER(F123&amp;" "&amp;H123&amp;" "&amp;I123&amp;" "&amp;M123&amp;" "&amp;N123&amp;" "&amp;T123)))),"PRIVATE_REVIEW","PUBLIC_CANDIDATE"))</x:f>
        <x:v>PUBLIC_CANDIDATE</x:v>
      </x:c>
      <x:c r="AD123" s="12" t="str">
        <x:f>IF(AC123="PRIVATE_QUARANTINE","hacker_or_bank_trigger",IF(AC123="PRIVATE_REVIEW","finance_risk_trigger","none"))</x:f>
        <x:v>none</x:v>
      </x:c>
      <x:c r="AE123" s="12" t="str">
        <x:f>IF(AC123="PUBLIC_CANDIDATE","prepare_public_github_candidate",IF(AC123="PRIVATE_REVIEW","hold_for_private_review","quarantine_private_do_not_publish"))</x:f>
        <x:v>prepare_public_github_candidate</x:v>
      </x:c>
      <x:c r="AF123" s="12" t="str">
        <x:f>IF(AC123="PUBLIC_CANDIDATE","TIDELOCK + Lucerna",IF(AC123="PRIVATE_REVIEW","AtlasBrain + Lucerna","TIDELOCK + Lucerna + Human-root"))</x:f>
        <x:v>TIDELOCK + Lucerna</x:v>
      </x:c>
      <x:c r="AG123" s="12" t="str">
        <x:f>IF(AND(AC123="PUBLIC_CANDIDATE",U123&lt;&gt;"BLOCKED_PENDING_RECEIPT"),"READY_AFTER_RECEIPT","NOT_READY")</x:f>
        <x:v>NOT_READY</x:v>
      </x:c>
      <x:c r="AH123" s="12" t="str">
        <x:f>IF(AC123="PUBLIC_CANDIDATE","none",AD123)</x:f>
        <x:v>none</x:v>
      </x:c>
      <x:c r="AI123" s="12" t="str">
        <x:f>IF(AC123="PUBLIC_CANDIDATE","archive/public_candidates/"&amp;A123,"private_quarantine/"&amp;A123)</x:f>
        <x:v>archive/public_candidates/SWARM-01-H11-S02</x:v>
      </x:c>
      <x:c r="AJ123" s="12" t="str">
        <x:f>IF(AC123="PUBLIC_CANDIDATE","public by default; still not canon","private/hold; do not publish")</x:f>
        <x:v>public by default; still not canon</x:v>
      </x:c>
      <x:c r="AK123" s="12" t="str">
        <x:f>IF(AE123="prepare_public_github_candidate","add receipt/status then mirror","resolve blocker before any public GitHub action")</x:f>
        <x:v>add receipt/status then mirror</x:v>
      </x:c>
    </x:row>
    <x:row r="124">
      <x:c r="A124" s="15" t="str">
        <x:v>SWARM-01-H11-S03</x:v>
      </x:c>
      <x:c r="B124" s="15" t="str">
        <x:v>Ledgerwake</x:v>
      </x:c>
      <x:c r="C124" s="15" t="str">
        <x:v>Source receipt keeper</x:v>
      </x:c>
      <x:c r="D124" s="15" t="str">
        <x:v>Aetherforge UX</x:v>
      </x:c>
      <x:c r="E124" s="15" t="str">
        <x:v>GitHub</x:v>
      </x:c>
      <x:c r="F124" s="15" t="str">
        <x:v>Design quest card for GitHub — Ledgerwake</x:v>
      </x:c>
      <x:c r="G124" s="15" t="str">
        <x:v>inventory / receipts / raw custody</x:v>
      </x:c>
      <x:c r="H124" s="15" t="str">
        <x:v>source path + receipt + raw/export status + claim/edge/risk delta</x:v>
      </x:c>
      <x:c r="I124" s="15" t="str">
        <x:v>packet/SWARM-01-H11-S03</x:v>
      </x:c>
      <x:c r="J124" s="15" t="str">
        <x:v>TODO</x:v>
      </x:c>
      <x:c r="K124" s="15" t="str">
        <x:v>P0</x:v>
      </x:c>
      <x:c r="L124" s="15" t="str">
        <x:v>Done only when evidence is logged, contradiction search is noted, and boundary stamp remains non-canon unless ratified</x:v>
      </x:c>
      <x:c r="M124" s="15" t="str">
        <x:v>candidate / staging-only / not canon / not deployed / authority none</x:v>
      </x:c>
      <x:c r="N124" s="15" t="str">
        <x:v>Dispatch to Ledgerwake: complete Aetherforge UX x GitHub; return deltas only, receipts required.</x:v>
      </x:c>
      <x:c r="O124" s="15" t="str">
        <x:v>AF-KG-H11-S03</x:v>
      </x:c>
      <x:c r="P124" s="15" t="str">
        <x:v>Unverified</x:v>
      </x:c>
      <x:c r="Q124" s="15" t="str">
        <x:v>Not checked</x:v>
      </x:c>
      <x:c r="R124" s="15" t="str"/>
      <x:c r="S124" s="15" t="str"/>
      <x:c r="T124" s="15" t="str">
        <x:v>Log first source path or blocker</x:v>
      </x:c>
      <x:c r="U124" s="12" t="str">
        <x:f>IF(OR(P124="Unverified",Q124="Not checked"),"BLOCKED_PENDING_RECEIPT","READY_FOR_REVIEW")</x:f>
        <x:v>BLOCKED_PENDING_RECEIPT</x:v>
      </x:c>
      <x:c r="V124" s="12" t="str">
        <x:f>IF(J124="DONE","RETURNED",IF(U124="BLOCKED_PENDING_RECEIPT","SOURCE_TOUCH_REQUIRED","IN_PROGRESS"))</x:f>
        <x:v>SOURCE_TOUCH_REQUIRED</x:v>
      </x:c>
      <x:c r="W124" s="12" t="str">
        <x:f>IF(P124="Unverified","missing_receipt","receipt_logged")</x:f>
        <x:v>missing_receipt</x:v>
      </x:c>
      <x:c r="X124" s="12" t="str">
        <x:f>IF(Q124="Not checked","raw_status_missing","raw_status_logged")</x:f>
        <x:v>raw_status_missing</x:v>
      </x:c>
      <x:c r="Y124" s="12" t="str">
        <x:f>IF(U124="BLOCKED_PENDING_RECEIPT","Log source path or blocker; do not promote","Route to review lane")</x:f>
        <x:v>Log source path or blocker; do not promote</x:v>
      </x:c>
      <x:c r="Z124" s="12" t="str">
        <x:f>IF(K124="P0","Primary seat + Hashlight/Lucerna","Seat lane")</x:f>
        <x:v>Primary seat + Hashlight/Lucerna</x:v>
      </x:c>
      <x:c r="AA124" s="12" t="str">
        <x:f>IF(R124="","no_claim_delta","claim_delta_present")</x:f>
        <x:v>no_claim_delta</x:v>
      </x:c>
      <x:c r="AB124" s="12" t="str">
        <x:f>IF(S124="","no_contradiction_delta","contradiction_delta_present")</x:f>
        <x:v>no_contradiction_delta</x:v>
      </x:c>
      <x:c r="AC124" s="12" t="str">
        <x:f>IF(OR(ISNUMBER(SEARCH("hacker",LOWER(F124&amp;" "&amp;H124&amp;" "&amp;I124&amp;" "&amp;M124&amp;" "&amp;N124&amp;" "&amp;T124))),ISNUMBER(SEARCH("hacking",LOWER(F124&amp;" "&amp;H124&amp;" "&amp;I124&amp;" "&amp;M124&amp;" "&amp;N124&amp;" "&amp;T124))),ISNUMBER(SEARCH("bank",LOWER(F124&amp;" "&amp;H124&amp;" "&amp;I124&amp;" "&amp;M124&amp;" "&amp;N124&amp;" "&amp;T124))),ISNUMBER(SEARCH("banking",LOWER(F124&amp;" "&amp;H124&amp;" "&amp;I124&amp;" "&amp;M124&amp;" "&amp;N124&amp;" "&amp;T124)))),"PRIVATE_QUARANTINE",IF(OR(ISNUMBER(SEARCH("treasury",LOWER(F124&amp;" "&amp;H124&amp;" "&amp;I124&amp;" "&amp;M124&amp;" "&amp;N124&amp;" "&amp;T124))),ISNUMBER(SEARCH("debt",LOWER(F124&amp;" "&amp;H124&amp;" "&amp;I124&amp;" "&amp;M124&amp;" "&amp;N124&amp;" "&amp;T124))),ISNUMBER(SEARCH("bond",LOWER(F124&amp;" "&amp;H124&amp;" "&amp;I124&amp;" "&amp;M124&amp;" "&amp;N124&amp;" "&amp;T124))),ISNUMBER(SEARCH("transaction",LOWER(F124&amp;" "&amp;H124&amp;" "&amp;I124&amp;" "&amp;M124&amp;" "&amp;N124&amp;" "&amp;T124)))),"PRIVATE_REVIEW","PUBLIC_CANDIDATE"))</x:f>
        <x:v>PUBLIC_CANDIDATE</x:v>
      </x:c>
      <x:c r="AD124" s="12" t="str">
        <x:f>IF(AC124="PRIVATE_QUARANTINE","hacker_or_bank_trigger",IF(AC124="PRIVATE_REVIEW","finance_risk_trigger","none"))</x:f>
        <x:v>none</x:v>
      </x:c>
      <x:c r="AE124" s="12" t="str">
        <x:f>IF(AC124="PUBLIC_CANDIDATE","prepare_public_github_candidate",IF(AC124="PRIVATE_REVIEW","hold_for_private_review","quarantine_private_do_not_publish"))</x:f>
        <x:v>prepare_public_github_candidate</x:v>
      </x:c>
      <x:c r="AF124" s="12" t="str">
        <x:f>IF(AC124="PUBLIC_CANDIDATE","TIDELOCK + Lucerna",IF(AC124="PRIVATE_REVIEW","AtlasBrain + Lucerna","TIDELOCK + Lucerna + Human-root"))</x:f>
        <x:v>TIDELOCK + Lucerna</x:v>
      </x:c>
      <x:c r="AG124" s="12" t="str">
        <x:f>IF(AND(AC124="PUBLIC_CANDIDATE",U124&lt;&gt;"BLOCKED_PENDING_RECEIPT"),"READY_AFTER_RECEIPT","NOT_READY")</x:f>
        <x:v>NOT_READY</x:v>
      </x:c>
      <x:c r="AH124" s="12" t="str">
        <x:f>IF(AC124="PUBLIC_CANDIDATE","none",AD124)</x:f>
        <x:v>none</x:v>
      </x:c>
      <x:c r="AI124" s="12" t="str">
        <x:f>IF(AC124="PUBLIC_CANDIDATE","archive/public_candidates/"&amp;A124,"private_quarantine/"&amp;A124)</x:f>
        <x:v>archive/public_candidates/SWARM-01-H11-S03</x:v>
      </x:c>
      <x:c r="AJ124" s="12" t="str">
        <x:f>IF(AC124="PUBLIC_CANDIDATE","public by default; still not canon","private/hold; do not publish")</x:f>
        <x:v>public by default; still not canon</x:v>
      </x:c>
      <x:c r="AK124" s="12" t="str">
        <x:f>IF(AE124="prepare_public_github_candidate","add receipt/status then mirror","resolve blocker before any public GitHub action")</x:f>
        <x:v>add receipt/status then mirror</x:v>
      </x:c>
    </x:row>
    <x:row r="125">
      <x:c r="A125" s="15" t="str">
        <x:v>SWARM-01-H11-S04</x:v>
      </x:c>
      <x:c r="B125" s="15" t="str">
        <x:v>Ledgerwake</x:v>
      </x:c>
      <x:c r="C125" s="15" t="str">
        <x:v>Source receipt keeper</x:v>
      </x:c>
      <x:c r="D125" s="15" t="str">
        <x:v>Aetherforge UX</x:v>
      </x:c>
      <x:c r="E125" s="15" t="str">
        <x:v>Gamma</x:v>
      </x:c>
      <x:c r="F125" s="15" t="str">
        <x:v>Design quest card for Gamma — Ledgerwake</x:v>
      </x:c>
      <x:c r="G125" s="15" t="str">
        <x:v>inventory / receipts / raw custody</x:v>
      </x:c>
      <x:c r="H125" s="15" t="str">
        <x:v>source path + receipt + raw/export status + claim/edge/risk delta</x:v>
      </x:c>
      <x:c r="I125" s="15" t="str">
        <x:v>packet/SWARM-01-H11-S04</x:v>
      </x:c>
      <x:c r="J125" s="15" t="str">
        <x:v>TODO</x:v>
      </x:c>
      <x:c r="K125" s="15" t="str">
        <x:v>P1</x:v>
      </x:c>
      <x:c r="L125" s="15" t="str">
        <x:v>Done only when evidence is logged, contradiction search is noted, and boundary stamp remains non-canon unless ratified</x:v>
      </x:c>
      <x:c r="M125" s="15" t="str">
        <x:v>candidate / staging-only / not canon / not deployed / authority none</x:v>
      </x:c>
      <x:c r="N125" s="15" t="str">
        <x:v>Dispatch to Ledgerwake: complete Aetherforge UX x Gamma; return deltas only, receipts required.</x:v>
      </x:c>
      <x:c r="O125" s="15" t="str">
        <x:v>AF-KG-H11-S04</x:v>
      </x:c>
      <x:c r="P125" s="15" t="str">
        <x:v>Unverified</x:v>
      </x:c>
      <x:c r="Q125" s="15" t="str">
        <x:v>Not checked</x:v>
      </x:c>
      <x:c r="R125" s="15" t="str"/>
      <x:c r="S125" s="15" t="str"/>
      <x:c r="T125" s="15" t="str">
        <x:v>Log first source path or blocker</x:v>
      </x:c>
      <x:c r="U125" s="12" t="str">
        <x:f>IF(OR(P125="Unverified",Q125="Not checked"),"BLOCKED_PENDING_RECEIPT","READY_FOR_REVIEW")</x:f>
        <x:v>BLOCKED_PENDING_RECEIPT</x:v>
      </x:c>
      <x:c r="V125" s="12" t="str">
        <x:f>IF(J125="DONE","RETURNED",IF(U125="BLOCKED_PENDING_RECEIPT","SOURCE_TOUCH_REQUIRED","IN_PROGRESS"))</x:f>
        <x:v>SOURCE_TOUCH_REQUIRED</x:v>
      </x:c>
      <x:c r="W125" s="12" t="str">
        <x:f>IF(P125="Unverified","missing_receipt","receipt_logged")</x:f>
        <x:v>missing_receipt</x:v>
      </x:c>
      <x:c r="X125" s="12" t="str">
        <x:f>IF(Q125="Not checked","raw_status_missing","raw_status_logged")</x:f>
        <x:v>raw_status_missing</x:v>
      </x:c>
      <x:c r="Y125" s="12" t="str">
        <x:f>IF(U125="BLOCKED_PENDING_RECEIPT","Log source path or blocker; do not promote","Route to review lane")</x:f>
        <x:v>Log source path or blocker; do not promote</x:v>
      </x:c>
      <x:c r="Z125" s="12" t="str">
        <x:f>IF(K125="P0","Primary seat + Hashlight/Lucerna","Seat lane")</x:f>
        <x:v>Seat lane</x:v>
      </x:c>
      <x:c r="AA125" s="12" t="str">
        <x:f>IF(R125="","no_claim_delta","claim_delta_present")</x:f>
        <x:v>no_claim_delta</x:v>
      </x:c>
      <x:c r="AB125" s="12" t="str">
        <x:f>IF(S125="","no_contradiction_delta","contradiction_delta_present")</x:f>
        <x:v>no_contradiction_delta</x:v>
      </x:c>
      <x:c r="AC125" s="12" t="str">
        <x:f>IF(OR(ISNUMBER(SEARCH("hacker",LOWER(F125&amp;" "&amp;H125&amp;" "&amp;I125&amp;" "&amp;M125&amp;" "&amp;N125&amp;" "&amp;T125))),ISNUMBER(SEARCH("hacking",LOWER(F125&amp;" "&amp;H125&amp;" "&amp;I125&amp;" "&amp;M125&amp;" "&amp;N125&amp;" "&amp;T125))),ISNUMBER(SEARCH("bank",LOWER(F125&amp;" "&amp;H125&amp;" "&amp;I125&amp;" "&amp;M125&amp;" "&amp;N125&amp;" "&amp;T125))),ISNUMBER(SEARCH("banking",LOWER(F125&amp;" "&amp;H125&amp;" "&amp;I125&amp;" "&amp;M125&amp;" "&amp;N125&amp;" "&amp;T125)))),"PRIVATE_QUARANTINE",IF(OR(ISNUMBER(SEARCH("treasury",LOWER(F125&amp;" "&amp;H125&amp;" "&amp;I125&amp;" "&amp;M125&amp;" "&amp;N125&amp;" "&amp;T125))),ISNUMBER(SEARCH("debt",LOWER(F125&amp;" "&amp;H125&amp;" "&amp;I125&amp;" "&amp;M125&amp;" "&amp;N125&amp;" "&amp;T125))),ISNUMBER(SEARCH("bond",LOWER(F125&amp;" "&amp;H125&amp;" "&amp;I125&amp;" "&amp;M125&amp;" "&amp;N125&amp;" "&amp;T125))),ISNUMBER(SEARCH("transaction",LOWER(F125&amp;" "&amp;H125&amp;" "&amp;I125&amp;" "&amp;M125&amp;" "&amp;N125&amp;" "&amp;T125)))),"PRIVATE_REVIEW","PUBLIC_CANDIDATE"))</x:f>
        <x:v>PUBLIC_CANDIDATE</x:v>
      </x:c>
      <x:c r="AD125" s="12" t="str">
        <x:f>IF(AC125="PRIVATE_QUARANTINE","hacker_or_bank_trigger",IF(AC125="PRIVATE_REVIEW","finance_risk_trigger","none"))</x:f>
        <x:v>none</x:v>
      </x:c>
      <x:c r="AE125" s="12" t="str">
        <x:f>IF(AC125="PUBLIC_CANDIDATE","prepare_public_github_candidate",IF(AC125="PRIVATE_REVIEW","hold_for_private_review","quarantine_private_do_not_publish"))</x:f>
        <x:v>prepare_public_github_candidate</x:v>
      </x:c>
      <x:c r="AF125" s="12" t="str">
        <x:f>IF(AC125="PUBLIC_CANDIDATE","TIDELOCK + Lucerna",IF(AC125="PRIVATE_REVIEW","AtlasBrain + Lucerna","TIDELOCK + Lucerna + Human-root"))</x:f>
        <x:v>TIDELOCK + Lucerna</x:v>
      </x:c>
      <x:c r="AG125" s="12" t="str">
        <x:f>IF(AND(AC125="PUBLIC_CANDIDATE",U125&lt;&gt;"BLOCKED_PENDING_RECEIPT"),"READY_AFTER_RECEIPT","NOT_READY")</x:f>
        <x:v>NOT_READY</x:v>
      </x:c>
      <x:c r="AH125" s="12" t="str">
        <x:f>IF(AC125="PUBLIC_CANDIDATE","none",AD125)</x:f>
        <x:v>none</x:v>
      </x:c>
      <x:c r="AI125" s="12" t="str">
        <x:f>IF(AC125="PUBLIC_CANDIDATE","archive/public_candidates/"&amp;A125,"private_quarantine/"&amp;A125)</x:f>
        <x:v>archive/public_candidates/SWARM-01-H11-S04</x:v>
      </x:c>
      <x:c r="AJ125" s="12" t="str">
        <x:f>IF(AC125="PUBLIC_CANDIDATE","public by default; still not canon","private/hold; do not publish")</x:f>
        <x:v>public by default; still not canon</x:v>
      </x:c>
      <x:c r="AK125" s="12" t="str">
        <x:f>IF(AE125="prepare_public_github_candidate","add receipt/status then mirror","resolve blocker before any public GitHub action")</x:f>
        <x:v>add receipt/status then mirror</x:v>
      </x:c>
    </x:row>
    <x:row r="126">
      <x:c r="A126" s="15" t="str">
        <x:v>SWARM-01-H11-S05</x:v>
      </x:c>
      <x:c r="B126" s="15" t="str">
        <x:v>Ledgerwake</x:v>
      </x:c>
      <x:c r="C126" s="15" t="str">
        <x:v>Source receipt keeper</x:v>
      </x:c>
      <x:c r="D126" s="15" t="str">
        <x:v>Aetherforge UX</x:v>
      </x:c>
      <x:c r="E126" s="15" t="str">
        <x:v>Chat</x:v>
      </x:c>
      <x:c r="F126" s="15" t="str">
        <x:v>Design quest card for Chat — Ledgerwake</x:v>
      </x:c>
      <x:c r="G126" s="15" t="str">
        <x:v>inventory / receipts / raw custody</x:v>
      </x:c>
      <x:c r="H126" s="15" t="str">
        <x:v>source path + receipt + raw/export status + claim/edge/risk delta</x:v>
      </x:c>
      <x:c r="I126" s="15" t="str">
        <x:v>packet/SWARM-01-H11-S05</x:v>
      </x:c>
      <x:c r="J126" s="15" t="str">
        <x:v>TODO</x:v>
      </x:c>
      <x:c r="K126" s="15" t="str">
        <x:v>P1</x:v>
      </x:c>
      <x:c r="L126" s="15" t="str">
        <x:v>Done only when evidence is logged, contradiction search is noted, and boundary stamp remains non-canon unless ratified</x:v>
      </x:c>
      <x:c r="M126" s="15" t="str">
        <x:v>candidate / staging-only / not canon / not deployed / authority none</x:v>
      </x:c>
      <x:c r="N126" s="15" t="str">
        <x:v>Dispatch to Ledgerwake: complete Aetherforge UX x Chat; return deltas only, receipts required.</x:v>
      </x:c>
      <x:c r="O126" s="15" t="str">
        <x:v>AF-KG-H11-S05</x:v>
      </x:c>
      <x:c r="P126" s="15" t="str">
        <x:v>Unverified</x:v>
      </x:c>
      <x:c r="Q126" s="15" t="str">
        <x:v>Not checked</x:v>
      </x:c>
      <x:c r="R126" s="15" t="str"/>
      <x:c r="S126" s="15" t="str"/>
      <x:c r="T126" s="15" t="str">
        <x:v>Log first source path or blocker</x:v>
      </x:c>
      <x:c r="U126" s="12" t="str">
        <x:f>IF(OR(P126="Unverified",Q126="Not checked"),"BLOCKED_PENDING_RECEIPT","READY_FOR_REVIEW")</x:f>
        <x:v>BLOCKED_PENDING_RECEIPT</x:v>
      </x:c>
      <x:c r="V126" s="12" t="str">
        <x:f>IF(J126="DONE","RETURNED",IF(U126="BLOCKED_PENDING_RECEIPT","SOURCE_TOUCH_REQUIRED","IN_PROGRESS"))</x:f>
        <x:v>SOURCE_TOUCH_REQUIRED</x:v>
      </x:c>
      <x:c r="W126" s="12" t="str">
        <x:f>IF(P126="Unverified","missing_receipt","receipt_logged")</x:f>
        <x:v>missing_receipt</x:v>
      </x:c>
      <x:c r="X126" s="12" t="str">
        <x:f>IF(Q126="Not checked","raw_status_missing","raw_status_logged")</x:f>
        <x:v>raw_status_missing</x:v>
      </x:c>
      <x:c r="Y126" s="12" t="str">
        <x:f>IF(U126="BLOCKED_PENDING_RECEIPT","Log source path or blocker; do not promote","Route to review lane")</x:f>
        <x:v>Log source path or blocker; do not promote</x:v>
      </x:c>
      <x:c r="Z126" s="12" t="str">
        <x:f>IF(K126="P0","Primary seat + Hashlight/Lucerna","Seat lane")</x:f>
        <x:v>Seat lane</x:v>
      </x:c>
      <x:c r="AA126" s="12" t="str">
        <x:f>IF(R126="","no_claim_delta","claim_delta_present")</x:f>
        <x:v>no_claim_delta</x:v>
      </x:c>
      <x:c r="AB126" s="12" t="str">
        <x:f>IF(S126="","no_contradiction_delta","contradiction_delta_present")</x:f>
        <x:v>no_contradiction_delta</x:v>
      </x:c>
      <x:c r="AC126" s="12" t="str">
        <x:f>IF(OR(ISNUMBER(SEARCH("hacker",LOWER(F126&amp;" "&amp;H126&amp;" "&amp;I126&amp;" "&amp;M126&amp;" "&amp;N126&amp;" "&amp;T126))),ISNUMBER(SEARCH("hacking",LOWER(F126&amp;" "&amp;H126&amp;" "&amp;I126&amp;" "&amp;M126&amp;" "&amp;N126&amp;" "&amp;T126))),ISNUMBER(SEARCH("bank",LOWER(F126&amp;" "&amp;H126&amp;" "&amp;I126&amp;" "&amp;M126&amp;" "&amp;N126&amp;" "&amp;T126))),ISNUMBER(SEARCH("banking",LOWER(F126&amp;" "&amp;H126&amp;" "&amp;I126&amp;" "&amp;M126&amp;" "&amp;N126&amp;" "&amp;T126)))),"PRIVATE_QUARANTINE",IF(OR(ISNUMBER(SEARCH("treasury",LOWER(F126&amp;" "&amp;H126&amp;" "&amp;I126&amp;" "&amp;M126&amp;" "&amp;N126&amp;" "&amp;T126))),ISNUMBER(SEARCH("debt",LOWER(F126&amp;" "&amp;H126&amp;" "&amp;I126&amp;" "&amp;M126&amp;" "&amp;N126&amp;" "&amp;T126))),ISNUMBER(SEARCH("bond",LOWER(F126&amp;" "&amp;H126&amp;" "&amp;I126&amp;" "&amp;M126&amp;" "&amp;N126&amp;" "&amp;T126))),ISNUMBER(SEARCH("transaction",LOWER(F126&amp;" "&amp;H126&amp;" "&amp;I126&amp;" "&amp;M126&amp;" "&amp;N126&amp;" "&amp;T126)))),"PRIVATE_REVIEW","PUBLIC_CANDIDATE"))</x:f>
        <x:v>PUBLIC_CANDIDATE</x:v>
      </x:c>
      <x:c r="AD126" s="12" t="str">
        <x:f>IF(AC126="PRIVATE_QUARANTINE","hacker_or_bank_trigger",IF(AC126="PRIVATE_REVIEW","finance_risk_trigger","none"))</x:f>
        <x:v>none</x:v>
      </x:c>
      <x:c r="AE126" s="12" t="str">
        <x:f>IF(AC126="PUBLIC_CANDIDATE","prepare_public_github_candidate",IF(AC126="PRIVATE_REVIEW","hold_for_private_review","quarantine_private_do_not_publish"))</x:f>
        <x:v>prepare_public_github_candidate</x:v>
      </x:c>
      <x:c r="AF126" s="12" t="str">
        <x:f>IF(AC126="PUBLIC_CANDIDATE","TIDELOCK + Lucerna",IF(AC126="PRIVATE_REVIEW","AtlasBrain + Lucerna","TIDELOCK + Lucerna + Human-root"))</x:f>
        <x:v>TIDELOCK + Lucerna</x:v>
      </x:c>
      <x:c r="AG126" s="12" t="str">
        <x:f>IF(AND(AC126="PUBLIC_CANDIDATE",U126&lt;&gt;"BLOCKED_PENDING_RECEIPT"),"READY_AFTER_RECEIPT","NOT_READY")</x:f>
        <x:v>NOT_READY</x:v>
      </x:c>
      <x:c r="AH126" s="12" t="str">
        <x:f>IF(AC126="PUBLIC_CANDIDATE","none",AD126)</x:f>
        <x:v>none</x:v>
      </x:c>
      <x:c r="AI126" s="12" t="str">
        <x:f>IF(AC126="PUBLIC_CANDIDATE","archive/public_candidates/"&amp;A126,"private_quarantine/"&amp;A126)</x:f>
        <x:v>archive/public_candidates/SWARM-01-H11-S05</x:v>
      </x:c>
      <x:c r="AJ126" s="12" t="str">
        <x:f>IF(AC126="PUBLIC_CANDIDATE","public by default; still not canon","private/hold; do not publish")</x:f>
        <x:v>public by default; still not canon</x:v>
      </x:c>
      <x:c r="AK126" s="12" t="str">
        <x:f>IF(AE126="prepare_public_github_candidate","add receipt/status then mirror","resolve blocker before any public GitHub action")</x:f>
        <x:v>add receipt/status then mirror</x:v>
      </x:c>
    </x:row>
    <x:row r="127">
      <x:c r="A127" s="15" t="str">
        <x:v>SWARM-01-H11-S06</x:v>
      </x:c>
      <x:c r="B127" s="15" t="str">
        <x:v>Ledgerwake</x:v>
      </x:c>
      <x:c r="C127" s="15" t="str">
        <x:v>Source receipt keeper</x:v>
      </x:c>
      <x:c r="D127" s="15" t="str">
        <x:v>Aetherforge UX</x:v>
      </x:c>
      <x:c r="E127" s="15" t="str">
        <x:v>External Web</x:v>
      </x:c>
      <x:c r="F127" s="15" t="str">
        <x:v>Design quest card for External Web — Ledgerwake</x:v>
      </x:c>
      <x:c r="G127" s="15" t="str">
        <x:v>inventory / receipts / raw custody</x:v>
      </x:c>
      <x:c r="H127" s="15" t="str">
        <x:v>source path + receipt + raw/export status + claim/edge/risk delta</x:v>
      </x:c>
      <x:c r="I127" s="15" t="str">
        <x:v>packet/SWARM-01-H11-S06</x:v>
      </x:c>
      <x:c r="J127" s="15" t="str">
        <x:v>TODO</x:v>
      </x:c>
      <x:c r="K127" s="15" t="str">
        <x:v>P1</x:v>
      </x:c>
      <x:c r="L127" s="15" t="str">
        <x:v>Done only when evidence is logged, contradiction search is noted, and boundary stamp remains non-canon unless ratified</x:v>
      </x:c>
      <x:c r="M127" s="15" t="str">
        <x:v>candidate / staging-only / not canon / not deployed / authority none</x:v>
      </x:c>
      <x:c r="N127" s="15" t="str">
        <x:v>Dispatch to Ledgerwake: complete Aetherforge UX x External Web; return deltas only, receipts required.</x:v>
      </x:c>
      <x:c r="O127" s="15" t="str">
        <x:v>AF-KG-H11-S06</x:v>
      </x:c>
      <x:c r="P127" s="15" t="str">
        <x:v>Unverified</x:v>
      </x:c>
      <x:c r="Q127" s="15" t="str">
        <x:v>Not checked</x:v>
      </x:c>
      <x:c r="R127" s="15" t="str"/>
      <x:c r="S127" s="15" t="str"/>
      <x:c r="T127" s="15" t="str">
        <x:v>Log first source path or blocker</x:v>
      </x:c>
      <x:c r="U127" s="12" t="str">
        <x:f>IF(OR(P127="Unverified",Q127="Not checked"),"BLOCKED_PENDING_RECEIPT","READY_FOR_REVIEW")</x:f>
        <x:v>BLOCKED_PENDING_RECEIPT</x:v>
      </x:c>
      <x:c r="V127" s="12" t="str">
        <x:f>IF(J127="DONE","RETURNED",IF(U127="BLOCKED_PENDING_RECEIPT","SOURCE_TOUCH_REQUIRED","IN_PROGRESS"))</x:f>
        <x:v>SOURCE_TOUCH_REQUIRED</x:v>
      </x:c>
      <x:c r="W127" s="12" t="str">
        <x:f>IF(P127="Unverified","missing_receipt","receipt_logged")</x:f>
        <x:v>missing_receipt</x:v>
      </x:c>
      <x:c r="X127" s="12" t="str">
        <x:f>IF(Q127="Not checked","raw_status_missing","raw_status_logged")</x:f>
        <x:v>raw_status_missing</x:v>
      </x:c>
      <x:c r="Y127" s="12" t="str">
        <x:f>IF(U127="BLOCKED_PENDING_RECEIPT","Log source path or blocker; do not promote","Route to review lane")</x:f>
        <x:v>Log source path or blocker; do not promote</x:v>
      </x:c>
      <x:c r="Z127" s="12" t="str">
        <x:f>IF(K127="P0","Primary seat + Hashlight/Lucerna","Seat lane")</x:f>
        <x:v>Seat lane</x:v>
      </x:c>
      <x:c r="AA127" s="12" t="str">
        <x:f>IF(R127="","no_claim_delta","claim_delta_present")</x:f>
        <x:v>no_claim_delta</x:v>
      </x:c>
      <x:c r="AB127" s="12" t="str">
        <x:f>IF(S127="","no_contradiction_delta","contradiction_delta_present")</x:f>
        <x:v>no_contradiction_delta</x:v>
      </x:c>
      <x:c r="AC127" s="12" t="str">
        <x:f>IF(OR(ISNUMBER(SEARCH("hacker",LOWER(F127&amp;" "&amp;H127&amp;" "&amp;I127&amp;" "&amp;M127&amp;" "&amp;N127&amp;" "&amp;T127))),ISNUMBER(SEARCH("hacking",LOWER(F127&amp;" "&amp;H127&amp;" "&amp;I127&amp;" "&amp;M127&amp;" "&amp;N127&amp;" "&amp;T127))),ISNUMBER(SEARCH("bank",LOWER(F127&amp;" "&amp;H127&amp;" "&amp;I127&amp;" "&amp;M127&amp;" "&amp;N127&amp;" "&amp;T127))),ISNUMBER(SEARCH("banking",LOWER(F127&amp;" "&amp;H127&amp;" "&amp;I127&amp;" "&amp;M127&amp;" "&amp;N127&amp;" "&amp;T127)))),"PRIVATE_QUARANTINE",IF(OR(ISNUMBER(SEARCH("treasury",LOWER(F127&amp;" "&amp;H127&amp;" "&amp;I127&amp;" "&amp;M127&amp;" "&amp;N127&amp;" "&amp;T127))),ISNUMBER(SEARCH("debt",LOWER(F127&amp;" "&amp;H127&amp;" "&amp;I127&amp;" "&amp;M127&amp;" "&amp;N127&amp;" "&amp;T127))),ISNUMBER(SEARCH("bond",LOWER(F127&amp;" "&amp;H127&amp;" "&amp;I127&amp;" "&amp;M127&amp;" "&amp;N127&amp;" "&amp;T127))),ISNUMBER(SEARCH("transaction",LOWER(F127&amp;" "&amp;H127&amp;" "&amp;I127&amp;" "&amp;M127&amp;" "&amp;N127&amp;" "&amp;T127)))),"PRIVATE_REVIEW","PUBLIC_CANDIDATE"))</x:f>
        <x:v>PUBLIC_CANDIDATE</x:v>
      </x:c>
      <x:c r="AD127" s="12" t="str">
        <x:f>IF(AC127="PRIVATE_QUARANTINE","hacker_or_bank_trigger",IF(AC127="PRIVATE_REVIEW","finance_risk_trigger","none"))</x:f>
        <x:v>none</x:v>
      </x:c>
      <x:c r="AE127" s="12" t="str">
        <x:f>IF(AC127="PUBLIC_CANDIDATE","prepare_public_github_candidate",IF(AC127="PRIVATE_REVIEW","hold_for_private_review","quarantine_private_do_not_publish"))</x:f>
        <x:v>prepare_public_github_candidate</x:v>
      </x:c>
      <x:c r="AF127" s="12" t="str">
        <x:f>IF(AC127="PUBLIC_CANDIDATE","TIDELOCK + Lucerna",IF(AC127="PRIVATE_REVIEW","AtlasBrain + Lucerna","TIDELOCK + Lucerna + Human-root"))</x:f>
        <x:v>TIDELOCK + Lucerna</x:v>
      </x:c>
      <x:c r="AG127" s="12" t="str">
        <x:f>IF(AND(AC127="PUBLIC_CANDIDATE",U127&lt;&gt;"BLOCKED_PENDING_RECEIPT"),"READY_AFTER_RECEIPT","NOT_READY")</x:f>
        <x:v>NOT_READY</x:v>
      </x:c>
      <x:c r="AH127" s="12" t="str">
        <x:f>IF(AC127="PUBLIC_CANDIDATE","none",AD127)</x:f>
        <x:v>none</x:v>
      </x:c>
      <x:c r="AI127" s="12" t="str">
        <x:f>IF(AC127="PUBLIC_CANDIDATE","archive/public_candidates/"&amp;A127,"private_quarantine/"&amp;A127)</x:f>
        <x:v>archive/public_candidates/SWARM-01-H11-S06</x:v>
      </x:c>
      <x:c r="AJ127" s="12" t="str">
        <x:f>IF(AC127="PUBLIC_CANDIDATE","public by default; still not canon","private/hold; do not publish")</x:f>
        <x:v>public by default; still not canon</x:v>
      </x:c>
      <x:c r="AK127" s="12" t="str">
        <x:f>IF(AE127="prepare_public_github_candidate","add receipt/status then mirror","resolve blocker before any public GitHub action")</x:f>
        <x:v>add receipt/status then mirror</x:v>
      </x:c>
    </x:row>
    <x:row r="128">
      <x:c r="A128" s="15" t="str">
        <x:v>SWARM-01-H11-S07</x:v>
      </x:c>
      <x:c r="B128" s="15" t="str">
        <x:v>Ledgerwake</x:v>
      </x:c>
      <x:c r="C128" s="15" t="str">
        <x:v>Source receipt keeper</x:v>
      </x:c>
      <x:c r="D128" s="15" t="str">
        <x:v>Aetherforge UX</x:v>
      </x:c>
      <x:c r="E128" s="15" t="str">
        <x:v>Planetarium</x:v>
      </x:c>
      <x:c r="F128" s="15" t="str">
        <x:v>Design quest card for Planetarium — Ledgerwake</x:v>
      </x:c>
      <x:c r="G128" s="15" t="str">
        <x:v>inventory / receipts / raw custody</x:v>
      </x:c>
      <x:c r="H128" s="15" t="str">
        <x:v>source path + receipt + raw/export status + claim/edge/risk delta</x:v>
      </x:c>
      <x:c r="I128" s="15" t="str">
        <x:v>packet/SWARM-01-H11-S07</x:v>
      </x:c>
      <x:c r="J128" s="15" t="str">
        <x:v>TODO</x:v>
      </x:c>
      <x:c r="K128" s="15" t="str">
        <x:v>P1</x:v>
      </x:c>
      <x:c r="L128" s="15" t="str">
        <x:v>Done only when evidence is logged, contradiction search is noted, and boundary stamp remains non-canon unless ratified</x:v>
      </x:c>
      <x:c r="M128" s="15" t="str">
        <x:v>candidate / staging-only / not canon / not deployed / authority none</x:v>
      </x:c>
      <x:c r="N128" s="15" t="str">
        <x:v>Dispatch to Ledgerwake: complete Aetherforge UX x Planetarium; return deltas only, receipts required.</x:v>
      </x:c>
      <x:c r="O128" s="15" t="str">
        <x:v>AF-KG-H11-S07</x:v>
      </x:c>
      <x:c r="P128" s="15" t="str">
        <x:v>Unverified</x:v>
      </x:c>
      <x:c r="Q128" s="15" t="str">
        <x:v>Not checked</x:v>
      </x:c>
      <x:c r="R128" s="15" t="str"/>
      <x:c r="S128" s="15" t="str"/>
      <x:c r="T128" s="15" t="str">
        <x:v>Log first source path or blocker</x:v>
      </x:c>
      <x:c r="U128" s="12" t="str">
        <x:f>IF(OR(P128="Unverified",Q128="Not checked"),"BLOCKED_PENDING_RECEIPT","READY_FOR_REVIEW")</x:f>
        <x:v>BLOCKED_PENDING_RECEIPT</x:v>
      </x:c>
      <x:c r="V128" s="12" t="str">
        <x:f>IF(J128="DONE","RETURNED",IF(U128="BLOCKED_PENDING_RECEIPT","SOURCE_TOUCH_REQUIRED","IN_PROGRESS"))</x:f>
        <x:v>SOURCE_TOUCH_REQUIRED</x:v>
      </x:c>
      <x:c r="W128" s="12" t="str">
        <x:f>IF(P128="Unverified","missing_receipt","receipt_logged")</x:f>
        <x:v>missing_receipt</x:v>
      </x:c>
      <x:c r="X128" s="12" t="str">
        <x:f>IF(Q128="Not checked","raw_status_missing","raw_status_logged")</x:f>
        <x:v>raw_status_missing</x:v>
      </x:c>
      <x:c r="Y128" s="12" t="str">
        <x:f>IF(U128="BLOCKED_PENDING_RECEIPT","Log source path or blocker; do not promote","Route to review lane")</x:f>
        <x:v>Log source path or blocker; do not promote</x:v>
      </x:c>
      <x:c r="Z128" s="12" t="str">
        <x:f>IF(K128="P0","Primary seat + Hashlight/Lucerna","Seat lane")</x:f>
        <x:v>Seat lane</x:v>
      </x:c>
      <x:c r="AA128" s="12" t="str">
        <x:f>IF(R128="","no_claim_delta","claim_delta_present")</x:f>
        <x:v>no_claim_delta</x:v>
      </x:c>
      <x:c r="AB128" s="12" t="str">
        <x:f>IF(S128="","no_contradiction_delta","contradiction_delta_present")</x:f>
        <x:v>no_contradiction_delta</x:v>
      </x:c>
      <x:c r="AC128" s="12" t="str">
        <x:f>IF(OR(ISNUMBER(SEARCH("hacker",LOWER(F128&amp;" "&amp;H128&amp;" "&amp;I128&amp;" "&amp;M128&amp;" "&amp;N128&amp;" "&amp;T128))),ISNUMBER(SEARCH("hacking",LOWER(F128&amp;" "&amp;H128&amp;" "&amp;I128&amp;" "&amp;M128&amp;" "&amp;N128&amp;" "&amp;T128))),ISNUMBER(SEARCH("bank",LOWER(F128&amp;" "&amp;H128&amp;" "&amp;I128&amp;" "&amp;M128&amp;" "&amp;N128&amp;" "&amp;T128))),ISNUMBER(SEARCH("banking",LOWER(F128&amp;" "&amp;H128&amp;" "&amp;I128&amp;" "&amp;M128&amp;" "&amp;N128&amp;" "&amp;T128)))),"PRIVATE_QUARANTINE",IF(OR(ISNUMBER(SEARCH("treasury",LOWER(F128&amp;" "&amp;H128&amp;" "&amp;I128&amp;" "&amp;M128&amp;" "&amp;N128&amp;" "&amp;T128))),ISNUMBER(SEARCH("debt",LOWER(F128&amp;" "&amp;H128&amp;" "&amp;I128&amp;" "&amp;M128&amp;" "&amp;N128&amp;" "&amp;T128))),ISNUMBER(SEARCH("bond",LOWER(F128&amp;" "&amp;H128&amp;" "&amp;I128&amp;" "&amp;M128&amp;" "&amp;N128&amp;" "&amp;T128))),ISNUMBER(SEARCH("transaction",LOWER(F128&amp;" "&amp;H128&amp;" "&amp;I128&amp;" "&amp;M128&amp;" "&amp;N128&amp;" "&amp;T128)))),"PRIVATE_REVIEW","PUBLIC_CANDIDATE"))</x:f>
        <x:v>PUBLIC_CANDIDATE</x:v>
      </x:c>
      <x:c r="AD128" s="12" t="str">
        <x:f>IF(AC128="PRIVATE_QUARANTINE","hacker_or_bank_trigger",IF(AC128="PRIVATE_REVIEW","finance_risk_trigger","none"))</x:f>
        <x:v>none</x:v>
      </x:c>
      <x:c r="AE128" s="12" t="str">
        <x:f>IF(AC128="PUBLIC_CANDIDATE","prepare_public_github_candidate",IF(AC128="PRIVATE_REVIEW","hold_for_private_review","quarantine_private_do_not_publish"))</x:f>
        <x:v>prepare_public_github_candidate</x:v>
      </x:c>
      <x:c r="AF128" s="12" t="str">
        <x:f>IF(AC128="PUBLIC_CANDIDATE","TIDELOCK + Lucerna",IF(AC128="PRIVATE_REVIEW","AtlasBrain + Lucerna","TIDELOCK + Lucerna + Human-root"))</x:f>
        <x:v>TIDELOCK + Lucerna</x:v>
      </x:c>
      <x:c r="AG128" s="12" t="str">
        <x:f>IF(AND(AC128="PUBLIC_CANDIDATE",U128&lt;&gt;"BLOCKED_PENDING_RECEIPT"),"READY_AFTER_RECEIPT","NOT_READY")</x:f>
        <x:v>NOT_READY</x:v>
      </x:c>
      <x:c r="AH128" s="12" t="str">
        <x:f>IF(AC128="PUBLIC_CANDIDATE","none",AD128)</x:f>
        <x:v>none</x:v>
      </x:c>
      <x:c r="AI128" s="12" t="str">
        <x:f>IF(AC128="PUBLIC_CANDIDATE","archive/public_candidates/"&amp;A128,"private_quarantine/"&amp;A128)</x:f>
        <x:v>archive/public_candidates/SWARM-01-H11-S07</x:v>
      </x:c>
      <x:c r="AJ128" s="12" t="str">
        <x:f>IF(AC128="PUBLIC_CANDIDATE","public by default; still not canon","private/hold; do not publish")</x:f>
        <x:v>public by default; still not canon</x:v>
      </x:c>
      <x:c r="AK128" s="12" t="str">
        <x:f>IF(AE128="prepare_public_github_candidate","add receipt/status then mirror","resolve blocker before any public GitHub action")</x:f>
        <x:v>add receipt/status then mirror</x:v>
      </x:c>
    </x:row>
    <x:row r="129">
      <x:c r="A129" s="15" t="str">
        <x:v>SWARM-01-H11-S08</x:v>
      </x:c>
      <x:c r="B129" s="15" t="str">
        <x:v>Ledgerwake</x:v>
      </x:c>
      <x:c r="C129" s="15" t="str">
        <x:v>Source receipt keeper</x:v>
      </x:c>
      <x:c r="D129" s="15" t="str">
        <x:v>Aetherforge UX</x:v>
      </x:c>
      <x:c r="E129" s="15" t="str">
        <x:v>Sheldonbrain</x:v>
      </x:c>
      <x:c r="F129" s="15" t="str">
        <x:v>Design quest card for Sheldonbrain — Ledgerwake</x:v>
      </x:c>
      <x:c r="G129" s="15" t="str">
        <x:v>inventory / receipts / raw custody</x:v>
      </x:c>
      <x:c r="H129" s="15" t="str">
        <x:v>source path + receipt + raw/export status + claim/edge/risk delta</x:v>
      </x:c>
      <x:c r="I129" s="15" t="str">
        <x:v>packet/SWARM-01-H11-S08</x:v>
      </x:c>
      <x:c r="J129" s="15" t="str">
        <x:v>TODO</x:v>
      </x:c>
      <x:c r="K129" s="15" t="str">
        <x:v>P1</x:v>
      </x:c>
      <x:c r="L129" s="15" t="str">
        <x:v>Done only when evidence is logged, contradiction search is noted, and boundary stamp remains non-canon unless ratified</x:v>
      </x:c>
      <x:c r="M129" s="15" t="str">
        <x:v>candidate / staging-only / not canon / not deployed / authority none</x:v>
      </x:c>
      <x:c r="N129" s="15" t="str">
        <x:v>Dispatch to Ledgerwake: complete Aetherforge UX x Sheldonbrain; return deltas only, receipts required.</x:v>
      </x:c>
      <x:c r="O129" s="15" t="str">
        <x:v>AF-KG-H11-S08</x:v>
      </x:c>
      <x:c r="P129" s="15" t="str">
        <x:v>Unverified</x:v>
      </x:c>
      <x:c r="Q129" s="15" t="str">
        <x:v>Not checked</x:v>
      </x:c>
      <x:c r="R129" s="15" t="str"/>
      <x:c r="S129" s="15" t="str"/>
      <x:c r="T129" s="15" t="str">
        <x:v>Log first source path or blocker</x:v>
      </x:c>
      <x:c r="U129" s="12" t="str">
        <x:f>IF(OR(P129="Unverified",Q129="Not checked"),"BLOCKED_PENDING_RECEIPT","READY_FOR_REVIEW")</x:f>
        <x:v>BLOCKED_PENDING_RECEIPT</x:v>
      </x:c>
      <x:c r="V129" s="12" t="str">
        <x:f>IF(J129="DONE","RETURNED",IF(U129="BLOCKED_PENDING_RECEIPT","SOURCE_TOUCH_REQUIRED","IN_PROGRESS"))</x:f>
        <x:v>SOURCE_TOUCH_REQUIRED</x:v>
      </x:c>
      <x:c r="W129" s="12" t="str">
        <x:f>IF(P129="Unverified","missing_receipt","receipt_logged")</x:f>
        <x:v>missing_receipt</x:v>
      </x:c>
      <x:c r="X129" s="12" t="str">
        <x:f>IF(Q129="Not checked","raw_status_missing","raw_status_logged")</x:f>
        <x:v>raw_status_missing</x:v>
      </x:c>
      <x:c r="Y129" s="12" t="str">
        <x:f>IF(U129="BLOCKED_PENDING_RECEIPT","Log source path or blocker; do not promote","Route to review lane")</x:f>
        <x:v>Log source path or blocker; do not promote</x:v>
      </x:c>
      <x:c r="Z129" s="12" t="str">
        <x:f>IF(K129="P0","Primary seat + Hashlight/Lucerna","Seat lane")</x:f>
        <x:v>Seat lane</x:v>
      </x:c>
      <x:c r="AA129" s="12" t="str">
        <x:f>IF(R129="","no_claim_delta","claim_delta_present")</x:f>
        <x:v>no_claim_delta</x:v>
      </x:c>
      <x:c r="AB129" s="12" t="str">
        <x:f>IF(S129="","no_contradiction_delta","contradiction_delta_present")</x:f>
        <x:v>no_contradiction_delta</x:v>
      </x:c>
      <x:c r="AC129" s="12" t="str">
        <x:f>IF(OR(ISNUMBER(SEARCH("hacker",LOWER(F129&amp;" "&amp;H129&amp;" "&amp;I129&amp;" "&amp;M129&amp;" "&amp;N129&amp;" "&amp;T129))),ISNUMBER(SEARCH("hacking",LOWER(F129&amp;" "&amp;H129&amp;" "&amp;I129&amp;" "&amp;M129&amp;" "&amp;N129&amp;" "&amp;T129))),ISNUMBER(SEARCH("bank",LOWER(F129&amp;" "&amp;H129&amp;" "&amp;I129&amp;" "&amp;M129&amp;" "&amp;N129&amp;" "&amp;T129))),ISNUMBER(SEARCH("banking",LOWER(F129&amp;" "&amp;H129&amp;" "&amp;I129&amp;" "&amp;M129&amp;" "&amp;N129&amp;" "&amp;T129)))),"PRIVATE_QUARANTINE",IF(OR(ISNUMBER(SEARCH("treasury",LOWER(F129&amp;" "&amp;H129&amp;" "&amp;I129&amp;" "&amp;M129&amp;" "&amp;N129&amp;" "&amp;T129))),ISNUMBER(SEARCH("debt",LOWER(F129&amp;" "&amp;H129&amp;" "&amp;I129&amp;" "&amp;M129&amp;" "&amp;N129&amp;" "&amp;T129))),ISNUMBER(SEARCH("bond",LOWER(F129&amp;" "&amp;H129&amp;" "&amp;I129&amp;" "&amp;M129&amp;" "&amp;N129&amp;" "&amp;T129))),ISNUMBER(SEARCH("transaction",LOWER(F129&amp;" "&amp;H129&amp;" "&amp;I129&amp;" "&amp;M129&amp;" "&amp;N129&amp;" "&amp;T129)))),"PRIVATE_REVIEW","PUBLIC_CANDIDATE"))</x:f>
        <x:v>PUBLIC_CANDIDATE</x:v>
      </x:c>
      <x:c r="AD129" s="12" t="str">
        <x:f>IF(AC129="PRIVATE_QUARANTINE","hacker_or_bank_trigger",IF(AC129="PRIVATE_REVIEW","finance_risk_trigger","none"))</x:f>
        <x:v>none</x:v>
      </x:c>
      <x:c r="AE129" s="12" t="str">
        <x:f>IF(AC129="PUBLIC_CANDIDATE","prepare_public_github_candidate",IF(AC129="PRIVATE_REVIEW","hold_for_private_review","quarantine_private_do_not_publish"))</x:f>
        <x:v>prepare_public_github_candidate</x:v>
      </x:c>
      <x:c r="AF129" s="12" t="str">
        <x:f>IF(AC129="PUBLIC_CANDIDATE","TIDELOCK + Lucerna",IF(AC129="PRIVATE_REVIEW","AtlasBrain + Lucerna","TIDELOCK + Lucerna + Human-root"))</x:f>
        <x:v>TIDELOCK + Lucerna</x:v>
      </x:c>
      <x:c r="AG129" s="12" t="str">
        <x:f>IF(AND(AC129="PUBLIC_CANDIDATE",U129&lt;&gt;"BLOCKED_PENDING_RECEIPT"),"READY_AFTER_RECEIPT","NOT_READY")</x:f>
        <x:v>NOT_READY</x:v>
      </x:c>
      <x:c r="AH129" s="12" t="str">
        <x:f>IF(AC129="PUBLIC_CANDIDATE","none",AD129)</x:f>
        <x:v>none</x:v>
      </x:c>
      <x:c r="AI129" s="12" t="str">
        <x:f>IF(AC129="PUBLIC_CANDIDATE","archive/public_candidates/"&amp;A129,"private_quarantine/"&amp;A129)</x:f>
        <x:v>archive/public_candidates/SWARM-01-H11-S08</x:v>
      </x:c>
      <x:c r="AJ129" s="12" t="str">
        <x:f>IF(AC129="PUBLIC_CANDIDATE","public by default; still not canon","private/hold; do not publish")</x:f>
        <x:v>public by default; still not canon</x:v>
      </x:c>
      <x:c r="AK129" s="12" t="str">
        <x:f>IF(AE129="prepare_public_github_candidate","add receipt/status then mirror","resolve blocker before any public GitHub action")</x:f>
        <x:v>add receipt/status then mirror</x:v>
      </x:c>
    </x:row>
    <x:row r="130">
      <x:c r="A130" s="15" t="str">
        <x:v>SWARM-01-H11-S09</x:v>
      </x:c>
      <x:c r="B130" s="15" t="str">
        <x:v>Ledgerwake</x:v>
      </x:c>
      <x:c r="C130" s="15" t="str">
        <x:v>Source receipt keeper</x:v>
      </x:c>
      <x:c r="D130" s="15" t="str">
        <x:v>Aetherforge UX</x:v>
      </x:c>
      <x:c r="E130" s="15" t="str">
        <x:v>Aetherforge</x:v>
      </x:c>
      <x:c r="F130" s="15" t="str">
        <x:v>Design quest card for Aetherforge — Ledgerwake</x:v>
      </x:c>
      <x:c r="G130" s="15" t="str">
        <x:v>inventory / receipts / raw custody</x:v>
      </x:c>
      <x:c r="H130" s="15" t="str">
        <x:v>source path + receipt + raw/export status + claim/edge/risk delta</x:v>
      </x:c>
      <x:c r="I130" s="15" t="str">
        <x:v>packet/SWARM-01-H11-S09</x:v>
      </x:c>
      <x:c r="J130" s="15" t="str">
        <x:v>TODO</x:v>
      </x:c>
      <x:c r="K130" s="15" t="str">
        <x:v>P2</x:v>
      </x:c>
      <x:c r="L130" s="15" t="str">
        <x:v>Done only when evidence is logged, contradiction search is noted, and boundary stamp remains non-canon unless ratified</x:v>
      </x:c>
      <x:c r="M130" s="15" t="str">
        <x:v>candidate / staging-only / not canon / not deployed / authority none</x:v>
      </x:c>
      <x:c r="N130" s="15" t="str">
        <x:v>Dispatch to Ledgerwake: complete Aetherforge UX x Aetherforge; return deltas only, receipts required.</x:v>
      </x:c>
      <x:c r="O130" s="15" t="str">
        <x:v>AF-KG-H11-S09</x:v>
      </x:c>
      <x:c r="P130" s="15" t="str">
        <x:v>Unverified</x:v>
      </x:c>
      <x:c r="Q130" s="15" t="str">
        <x:v>Not checked</x:v>
      </x:c>
      <x:c r="R130" s="15" t="str"/>
      <x:c r="S130" s="15" t="str"/>
      <x:c r="T130" s="15" t="str">
        <x:v>Log first source path or blocker</x:v>
      </x:c>
      <x:c r="U130" s="12" t="str">
        <x:f>IF(OR(P130="Unverified",Q130="Not checked"),"BLOCKED_PENDING_RECEIPT","READY_FOR_REVIEW")</x:f>
        <x:v>BLOCKED_PENDING_RECEIPT</x:v>
      </x:c>
      <x:c r="V130" s="12" t="str">
        <x:f>IF(J130="DONE","RETURNED",IF(U130="BLOCKED_PENDING_RECEIPT","SOURCE_TOUCH_REQUIRED","IN_PROGRESS"))</x:f>
        <x:v>SOURCE_TOUCH_REQUIRED</x:v>
      </x:c>
      <x:c r="W130" s="12" t="str">
        <x:f>IF(P130="Unverified","missing_receipt","receipt_logged")</x:f>
        <x:v>missing_receipt</x:v>
      </x:c>
      <x:c r="X130" s="12" t="str">
        <x:f>IF(Q130="Not checked","raw_status_missing","raw_status_logged")</x:f>
        <x:v>raw_status_missing</x:v>
      </x:c>
      <x:c r="Y130" s="12" t="str">
        <x:f>IF(U130="BLOCKED_PENDING_RECEIPT","Log source path or blocker; do not promote","Route to review lane")</x:f>
        <x:v>Log source path or blocker; do not promote</x:v>
      </x:c>
      <x:c r="Z130" s="12" t="str">
        <x:f>IF(K130="P0","Primary seat + Hashlight/Lucerna","Seat lane")</x:f>
        <x:v>Seat lane</x:v>
      </x:c>
      <x:c r="AA130" s="12" t="str">
        <x:f>IF(R130="","no_claim_delta","claim_delta_present")</x:f>
        <x:v>no_claim_delta</x:v>
      </x:c>
      <x:c r="AB130" s="12" t="str">
        <x:f>IF(S130="","no_contradiction_delta","contradiction_delta_present")</x:f>
        <x:v>no_contradiction_delta</x:v>
      </x:c>
      <x:c r="AC130" s="12" t="str">
        <x:f>IF(OR(ISNUMBER(SEARCH("hacker",LOWER(F130&amp;" "&amp;H130&amp;" "&amp;I130&amp;" "&amp;M130&amp;" "&amp;N130&amp;" "&amp;T130))),ISNUMBER(SEARCH("hacking",LOWER(F130&amp;" "&amp;H130&amp;" "&amp;I130&amp;" "&amp;M130&amp;" "&amp;N130&amp;" "&amp;T130))),ISNUMBER(SEARCH("bank",LOWER(F130&amp;" "&amp;H130&amp;" "&amp;I130&amp;" "&amp;M130&amp;" "&amp;N130&amp;" "&amp;T130))),ISNUMBER(SEARCH("banking",LOWER(F130&amp;" "&amp;H130&amp;" "&amp;I130&amp;" "&amp;M130&amp;" "&amp;N130&amp;" "&amp;T130)))),"PRIVATE_QUARANTINE",IF(OR(ISNUMBER(SEARCH("treasury",LOWER(F130&amp;" "&amp;H130&amp;" "&amp;I130&amp;" "&amp;M130&amp;" "&amp;N130&amp;" "&amp;T130))),ISNUMBER(SEARCH("debt",LOWER(F130&amp;" "&amp;H130&amp;" "&amp;I130&amp;" "&amp;M130&amp;" "&amp;N130&amp;" "&amp;T130))),ISNUMBER(SEARCH("bond",LOWER(F130&amp;" "&amp;H130&amp;" "&amp;I130&amp;" "&amp;M130&amp;" "&amp;N130&amp;" "&amp;T130))),ISNUMBER(SEARCH("transaction",LOWER(F130&amp;" "&amp;H130&amp;" "&amp;I130&amp;" "&amp;M130&amp;" "&amp;N130&amp;" "&amp;T130)))),"PRIVATE_REVIEW","PUBLIC_CANDIDATE"))</x:f>
        <x:v>PUBLIC_CANDIDATE</x:v>
      </x:c>
      <x:c r="AD130" s="12" t="str">
        <x:f>IF(AC130="PRIVATE_QUARANTINE","hacker_or_bank_trigger",IF(AC130="PRIVATE_REVIEW","finance_risk_trigger","none"))</x:f>
        <x:v>none</x:v>
      </x:c>
      <x:c r="AE130" s="12" t="str">
        <x:f>IF(AC130="PUBLIC_CANDIDATE","prepare_public_github_candidate",IF(AC130="PRIVATE_REVIEW","hold_for_private_review","quarantine_private_do_not_publish"))</x:f>
        <x:v>prepare_public_github_candidate</x:v>
      </x:c>
      <x:c r="AF130" s="12" t="str">
        <x:f>IF(AC130="PUBLIC_CANDIDATE","TIDELOCK + Lucerna",IF(AC130="PRIVATE_REVIEW","AtlasBrain + Lucerna","TIDELOCK + Lucerna + Human-root"))</x:f>
        <x:v>TIDELOCK + Lucerna</x:v>
      </x:c>
      <x:c r="AG130" s="12" t="str">
        <x:f>IF(AND(AC130="PUBLIC_CANDIDATE",U130&lt;&gt;"BLOCKED_PENDING_RECEIPT"),"READY_AFTER_RECEIPT","NOT_READY")</x:f>
        <x:v>NOT_READY</x:v>
      </x:c>
      <x:c r="AH130" s="12" t="str">
        <x:f>IF(AC130="PUBLIC_CANDIDATE","none",AD130)</x:f>
        <x:v>none</x:v>
      </x:c>
      <x:c r="AI130" s="12" t="str">
        <x:f>IF(AC130="PUBLIC_CANDIDATE","archive/public_candidates/"&amp;A130,"private_quarantine/"&amp;A130)</x:f>
        <x:v>archive/public_candidates/SWARM-01-H11-S09</x:v>
      </x:c>
      <x:c r="AJ130" s="12" t="str">
        <x:f>IF(AC130="PUBLIC_CANDIDATE","public by default; still not canon","private/hold; do not publish")</x:f>
        <x:v>public by default; still not canon</x:v>
      </x:c>
      <x:c r="AK130" s="12" t="str">
        <x:f>IF(AE130="prepare_public_github_candidate","add receipt/status then mirror","resolve blocker before any public GitHub action")</x:f>
        <x:v>add receipt/status then mirror</x:v>
      </x:c>
    </x:row>
    <x:row r="131">
      <x:c r="A131" s="15" t="str">
        <x:v>SWARM-01-H11-S10</x:v>
      </x:c>
      <x:c r="B131" s="15" t="str">
        <x:v>Ledgerwake</x:v>
      </x:c>
      <x:c r="C131" s="15" t="str">
        <x:v>Source receipt keeper</x:v>
      </x:c>
      <x:c r="D131" s="15" t="str">
        <x:v>Aetherforge UX</x:v>
      </x:c>
      <x:c r="E131" s="15" t="str">
        <x:v>Human-Root</x:v>
      </x:c>
      <x:c r="F131" s="15" t="str">
        <x:v>Design quest card for Human-Root — Ledgerwake</x:v>
      </x:c>
      <x:c r="G131" s="15" t="str">
        <x:v>inventory / receipts / raw custody</x:v>
      </x:c>
      <x:c r="H131" s="15" t="str">
        <x:v>source path + receipt + raw/export status + claim/edge/risk delta</x:v>
      </x:c>
      <x:c r="I131" s="15" t="str">
        <x:v>packet/SWARM-01-H11-S10</x:v>
      </x:c>
      <x:c r="J131" s="15" t="str">
        <x:v>TODO</x:v>
      </x:c>
      <x:c r="K131" s="15" t="str">
        <x:v>P2</x:v>
      </x:c>
      <x:c r="L131" s="15" t="str">
        <x:v>Done only when evidence is logged, contradiction search is noted, and boundary stamp remains non-canon unless ratified</x:v>
      </x:c>
      <x:c r="M131" s="15" t="str">
        <x:v>candidate / staging-only / not canon / not deployed / authority none</x:v>
      </x:c>
      <x:c r="N131" s="15" t="str">
        <x:v>Dispatch to Ledgerwake: complete Aetherforge UX x Human-Root; return deltas only, receipts required.</x:v>
      </x:c>
      <x:c r="O131" s="15" t="str">
        <x:v>AF-KG-H11-S10</x:v>
      </x:c>
      <x:c r="P131" s="15" t="str">
        <x:v>Unverified</x:v>
      </x:c>
      <x:c r="Q131" s="15" t="str">
        <x:v>Not checked</x:v>
      </x:c>
      <x:c r="R131" s="15" t="str"/>
      <x:c r="S131" s="15" t="str"/>
      <x:c r="T131" s="15" t="str">
        <x:v>Log first source path or blocker</x:v>
      </x:c>
      <x:c r="U131" s="12" t="str">
        <x:f>IF(OR(P131="Unverified",Q131="Not checked"),"BLOCKED_PENDING_RECEIPT","READY_FOR_REVIEW")</x:f>
        <x:v>BLOCKED_PENDING_RECEIPT</x:v>
      </x:c>
      <x:c r="V131" s="12" t="str">
        <x:f>IF(J131="DONE","RETURNED",IF(U131="BLOCKED_PENDING_RECEIPT","SOURCE_TOUCH_REQUIRED","IN_PROGRESS"))</x:f>
        <x:v>SOURCE_TOUCH_REQUIRED</x:v>
      </x:c>
      <x:c r="W131" s="12" t="str">
        <x:f>IF(P131="Unverified","missing_receipt","receipt_logged")</x:f>
        <x:v>missing_receipt</x:v>
      </x:c>
      <x:c r="X131" s="12" t="str">
        <x:f>IF(Q131="Not checked","raw_status_missing","raw_status_logged")</x:f>
        <x:v>raw_status_missing</x:v>
      </x:c>
      <x:c r="Y131" s="12" t="str">
        <x:f>IF(U131="BLOCKED_PENDING_RECEIPT","Log source path or blocker; do not promote","Route to review lane")</x:f>
        <x:v>Log source path or blocker; do not promote</x:v>
      </x:c>
      <x:c r="Z131" s="12" t="str">
        <x:f>IF(K131="P0","Primary seat + Hashlight/Lucerna","Seat lane")</x:f>
        <x:v>Seat lane</x:v>
      </x:c>
      <x:c r="AA131" s="12" t="str">
        <x:f>IF(R131="","no_claim_delta","claim_delta_present")</x:f>
        <x:v>no_claim_delta</x:v>
      </x:c>
      <x:c r="AB131" s="12" t="str">
        <x:f>IF(S131="","no_contradiction_delta","contradiction_delta_present")</x:f>
        <x:v>no_contradiction_delta</x:v>
      </x:c>
      <x:c r="AC131" s="12" t="str">
        <x:f>IF(OR(ISNUMBER(SEARCH("hacker",LOWER(F131&amp;" "&amp;H131&amp;" "&amp;I131&amp;" "&amp;M131&amp;" "&amp;N131&amp;" "&amp;T131))),ISNUMBER(SEARCH("hacking",LOWER(F131&amp;" "&amp;H131&amp;" "&amp;I131&amp;" "&amp;M131&amp;" "&amp;N131&amp;" "&amp;T131))),ISNUMBER(SEARCH("bank",LOWER(F131&amp;" "&amp;H131&amp;" "&amp;I131&amp;" "&amp;M131&amp;" "&amp;N131&amp;" "&amp;T131))),ISNUMBER(SEARCH("banking",LOWER(F131&amp;" "&amp;H131&amp;" "&amp;I131&amp;" "&amp;M131&amp;" "&amp;N131&amp;" "&amp;T131)))),"PRIVATE_QUARANTINE",IF(OR(ISNUMBER(SEARCH("treasury",LOWER(F131&amp;" "&amp;H131&amp;" "&amp;I131&amp;" "&amp;M131&amp;" "&amp;N131&amp;" "&amp;T131))),ISNUMBER(SEARCH("debt",LOWER(F131&amp;" "&amp;H131&amp;" "&amp;I131&amp;" "&amp;M131&amp;" "&amp;N131&amp;" "&amp;T131))),ISNUMBER(SEARCH("bond",LOWER(F131&amp;" "&amp;H131&amp;" "&amp;I131&amp;" "&amp;M131&amp;" "&amp;N131&amp;" "&amp;T131))),ISNUMBER(SEARCH("transaction",LOWER(F131&amp;" "&amp;H131&amp;" "&amp;I131&amp;" "&amp;M131&amp;" "&amp;N131&amp;" "&amp;T131)))),"PRIVATE_REVIEW","PUBLIC_CANDIDATE"))</x:f>
        <x:v>PUBLIC_CANDIDATE</x:v>
      </x:c>
      <x:c r="AD131" s="12" t="str">
        <x:f>IF(AC131="PRIVATE_QUARANTINE","hacker_or_bank_trigger",IF(AC131="PRIVATE_REVIEW","finance_risk_trigger","none"))</x:f>
        <x:v>none</x:v>
      </x:c>
      <x:c r="AE131" s="12" t="str">
        <x:f>IF(AC131="PUBLIC_CANDIDATE","prepare_public_github_candidate",IF(AC131="PRIVATE_REVIEW","hold_for_private_review","quarantine_private_do_not_publish"))</x:f>
        <x:v>prepare_public_github_candidate</x:v>
      </x:c>
      <x:c r="AF131" s="12" t="str">
        <x:f>IF(AC131="PUBLIC_CANDIDATE","TIDELOCK + Lucerna",IF(AC131="PRIVATE_REVIEW","AtlasBrain + Lucerna","TIDELOCK + Lucerna + Human-root"))</x:f>
        <x:v>TIDELOCK + Lucerna</x:v>
      </x:c>
      <x:c r="AG131" s="12" t="str">
        <x:f>IF(AND(AC131="PUBLIC_CANDIDATE",U131&lt;&gt;"BLOCKED_PENDING_RECEIPT"),"READY_AFTER_RECEIPT","NOT_READY")</x:f>
        <x:v>NOT_READY</x:v>
      </x:c>
      <x:c r="AH131" s="12" t="str">
        <x:f>IF(AC131="PUBLIC_CANDIDATE","none",AD131)</x:f>
        <x:v>none</x:v>
      </x:c>
      <x:c r="AI131" s="12" t="str">
        <x:f>IF(AC131="PUBLIC_CANDIDATE","archive/public_candidates/"&amp;A131,"private_quarantine/"&amp;A131)</x:f>
        <x:v>archive/public_candidates/SWARM-01-H11-S10</x:v>
      </x:c>
      <x:c r="AJ131" s="12" t="str">
        <x:f>IF(AC131="PUBLIC_CANDIDATE","public by default; still not canon","private/hold; do not publish")</x:f>
        <x:v>public by default; still not canon</x:v>
      </x:c>
      <x:c r="AK131" s="12" t="str">
        <x:f>IF(AE131="prepare_public_github_candidate","add receipt/status then mirror","resolve blocker before any public GitHub action")</x:f>
        <x:v>add receipt/status then mirror</x:v>
      </x:c>
    </x:row>
    <x:row r="132">
      <x:c r="A132" s="15" t="str">
        <x:v>SWARM-01-H11-S11</x:v>
      </x:c>
      <x:c r="B132" s="15" t="str">
        <x:v>Ledgerwake</x:v>
      </x:c>
      <x:c r="C132" s="15" t="str">
        <x:v>Source receipt keeper</x:v>
      </x:c>
      <x:c r="D132" s="15" t="str">
        <x:v>Aetherforge UX</x:v>
      </x:c>
      <x:c r="E132" s="15" t="str">
        <x:v>Automation</x:v>
      </x:c>
      <x:c r="F132" s="15" t="str">
        <x:v>Design quest card for Automation — Ledgerwake</x:v>
      </x:c>
      <x:c r="G132" s="15" t="str">
        <x:v>inventory / receipts / raw custody</x:v>
      </x:c>
      <x:c r="H132" s="15" t="str">
        <x:v>source path + receipt + raw/export status + claim/edge/risk delta</x:v>
      </x:c>
      <x:c r="I132" s="15" t="str">
        <x:v>packet/SWARM-01-H11-S11</x:v>
      </x:c>
      <x:c r="J132" s="15" t="str">
        <x:v>TODO</x:v>
      </x:c>
      <x:c r="K132" s="15" t="str">
        <x:v>P2</x:v>
      </x:c>
      <x:c r="L132" s="15" t="str">
        <x:v>Done only when evidence is logged, contradiction search is noted, and boundary stamp remains non-canon unless ratified</x:v>
      </x:c>
      <x:c r="M132" s="15" t="str">
        <x:v>candidate / staging-only / not canon / not deployed / authority none</x:v>
      </x:c>
      <x:c r="N132" s="15" t="str">
        <x:v>Dispatch to Ledgerwake: complete Aetherforge UX x Automation; return deltas only, receipts required.</x:v>
      </x:c>
      <x:c r="O132" s="15" t="str">
        <x:v>AF-KG-H11-S11</x:v>
      </x:c>
      <x:c r="P132" s="15" t="str">
        <x:v>Unverified</x:v>
      </x:c>
      <x:c r="Q132" s="15" t="str">
        <x:v>Not checked</x:v>
      </x:c>
      <x:c r="R132" s="15" t="str"/>
      <x:c r="S132" s="15" t="str"/>
      <x:c r="T132" s="15" t="str">
        <x:v>Log first source path or blocker</x:v>
      </x:c>
      <x:c r="U132" s="12" t="str">
        <x:f>IF(OR(P132="Unverified",Q132="Not checked"),"BLOCKED_PENDING_RECEIPT","READY_FOR_REVIEW")</x:f>
        <x:v>BLOCKED_PENDING_RECEIPT</x:v>
      </x:c>
      <x:c r="V132" s="12" t="str">
        <x:f>IF(J132="DONE","RETURNED",IF(U132="BLOCKED_PENDING_RECEIPT","SOURCE_TOUCH_REQUIRED","IN_PROGRESS"))</x:f>
        <x:v>SOURCE_TOUCH_REQUIRED</x:v>
      </x:c>
      <x:c r="W132" s="12" t="str">
        <x:f>IF(P132="Unverified","missing_receipt","receipt_logged")</x:f>
        <x:v>missing_receipt</x:v>
      </x:c>
      <x:c r="X132" s="12" t="str">
        <x:f>IF(Q132="Not checked","raw_status_missing","raw_status_logged")</x:f>
        <x:v>raw_status_missing</x:v>
      </x:c>
      <x:c r="Y132" s="12" t="str">
        <x:f>IF(U132="BLOCKED_PENDING_RECEIPT","Log source path or blocker; do not promote","Route to review lane")</x:f>
        <x:v>Log source path or blocker; do not promote</x:v>
      </x:c>
      <x:c r="Z132" s="12" t="str">
        <x:f>IF(K132="P0","Primary seat + Hashlight/Lucerna","Seat lane")</x:f>
        <x:v>Seat lane</x:v>
      </x:c>
      <x:c r="AA132" s="12" t="str">
        <x:f>IF(R132="","no_claim_delta","claim_delta_present")</x:f>
        <x:v>no_claim_delta</x:v>
      </x:c>
      <x:c r="AB132" s="12" t="str">
        <x:f>IF(S132="","no_contradiction_delta","contradiction_delta_present")</x:f>
        <x:v>no_contradiction_delta</x:v>
      </x:c>
      <x:c r="AC132" s="12" t="str">
        <x:f>IF(OR(ISNUMBER(SEARCH("hacker",LOWER(F132&amp;" "&amp;H132&amp;" "&amp;I132&amp;" "&amp;M132&amp;" "&amp;N132&amp;" "&amp;T132))),ISNUMBER(SEARCH("hacking",LOWER(F132&amp;" "&amp;H132&amp;" "&amp;I132&amp;" "&amp;M132&amp;" "&amp;N132&amp;" "&amp;T132))),ISNUMBER(SEARCH("bank",LOWER(F132&amp;" "&amp;H132&amp;" "&amp;I132&amp;" "&amp;M132&amp;" "&amp;N132&amp;" "&amp;T132))),ISNUMBER(SEARCH("banking",LOWER(F132&amp;" "&amp;H132&amp;" "&amp;I132&amp;" "&amp;M132&amp;" "&amp;N132&amp;" "&amp;T132)))),"PRIVATE_QUARANTINE",IF(OR(ISNUMBER(SEARCH("treasury",LOWER(F132&amp;" "&amp;H132&amp;" "&amp;I132&amp;" "&amp;M132&amp;" "&amp;N132&amp;" "&amp;T132))),ISNUMBER(SEARCH("debt",LOWER(F132&amp;" "&amp;H132&amp;" "&amp;I132&amp;" "&amp;M132&amp;" "&amp;N132&amp;" "&amp;T132))),ISNUMBER(SEARCH("bond",LOWER(F132&amp;" "&amp;H132&amp;" "&amp;I132&amp;" "&amp;M132&amp;" "&amp;N132&amp;" "&amp;T132))),ISNUMBER(SEARCH("transaction",LOWER(F132&amp;" "&amp;H132&amp;" "&amp;I132&amp;" "&amp;M132&amp;" "&amp;N132&amp;" "&amp;T132)))),"PRIVATE_REVIEW","PUBLIC_CANDIDATE"))</x:f>
        <x:v>PUBLIC_CANDIDATE</x:v>
      </x:c>
      <x:c r="AD132" s="12" t="str">
        <x:f>IF(AC132="PRIVATE_QUARANTINE","hacker_or_bank_trigger",IF(AC132="PRIVATE_REVIEW","finance_risk_trigger","none"))</x:f>
        <x:v>none</x:v>
      </x:c>
      <x:c r="AE132" s="12" t="str">
        <x:f>IF(AC132="PUBLIC_CANDIDATE","prepare_public_github_candidate",IF(AC132="PRIVATE_REVIEW","hold_for_private_review","quarantine_private_do_not_publish"))</x:f>
        <x:v>prepare_public_github_candidate</x:v>
      </x:c>
      <x:c r="AF132" s="12" t="str">
        <x:f>IF(AC132="PUBLIC_CANDIDATE","TIDELOCK + Lucerna",IF(AC132="PRIVATE_REVIEW","AtlasBrain + Lucerna","TIDELOCK + Lucerna + Human-root"))</x:f>
        <x:v>TIDELOCK + Lucerna</x:v>
      </x:c>
      <x:c r="AG132" s="12" t="str">
        <x:f>IF(AND(AC132="PUBLIC_CANDIDATE",U132&lt;&gt;"BLOCKED_PENDING_RECEIPT"),"READY_AFTER_RECEIPT","NOT_READY")</x:f>
        <x:v>NOT_READY</x:v>
      </x:c>
      <x:c r="AH132" s="12" t="str">
        <x:f>IF(AC132="PUBLIC_CANDIDATE","none",AD132)</x:f>
        <x:v>none</x:v>
      </x:c>
      <x:c r="AI132" s="12" t="str">
        <x:f>IF(AC132="PUBLIC_CANDIDATE","archive/public_candidates/"&amp;A132,"private_quarantine/"&amp;A132)</x:f>
        <x:v>archive/public_candidates/SWARM-01-H11-S11</x:v>
      </x:c>
      <x:c r="AJ132" s="12" t="str">
        <x:f>IF(AC132="PUBLIC_CANDIDATE","public by default; still not canon","private/hold; do not publish")</x:f>
        <x:v>public by default; still not canon</x:v>
      </x:c>
      <x:c r="AK132" s="12" t="str">
        <x:f>IF(AE132="prepare_public_github_candidate","add receipt/status then mirror","resolve blocker before any public GitHub action")</x:f>
        <x:v>add receipt/status then mirror</x:v>
      </x:c>
    </x:row>
    <x:row r="133">
      <x:c r="A133" s="15" t="str">
        <x:v>SWARM-01-H11-S12</x:v>
      </x:c>
      <x:c r="B133" s="15" t="str">
        <x:v>Ledgerwake</x:v>
      </x:c>
      <x:c r="C133" s="15" t="str">
        <x:v>Source receipt keeper</x:v>
      </x:c>
      <x:c r="D133" s="15" t="str">
        <x:v>Aetherforge UX</x:v>
      </x:c>
      <x:c r="E133" s="15" t="str">
        <x:v>Risk / Safety</x:v>
      </x:c>
      <x:c r="F133" s="15" t="str">
        <x:v>Design quest card for Risk / Safety — Ledgerwake</x:v>
      </x:c>
      <x:c r="G133" s="15" t="str">
        <x:v>inventory / receipts / raw custody</x:v>
      </x:c>
      <x:c r="H133" s="15" t="str">
        <x:v>source path + receipt + raw/export status + claim/edge/risk delta</x:v>
      </x:c>
      <x:c r="I133" s="15" t="str">
        <x:v>packet/SWARM-01-H11-S12</x:v>
      </x:c>
      <x:c r="J133" s="15" t="str">
        <x:v>TODO</x:v>
      </x:c>
      <x:c r="K133" s="15" t="str">
        <x:v>P2</x:v>
      </x:c>
      <x:c r="L133" s="15" t="str">
        <x:v>Done only when evidence is logged, contradiction search is noted, and boundary stamp remains non-canon unless ratified</x:v>
      </x:c>
      <x:c r="M133" s="15" t="str">
        <x:v>candidate / staging-only / not canon / not deployed / authority none</x:v>
      </x:c>
      <x:c r="N133" s="15" t="str">
        <x:v>Dispatch to Ledgerwake: complete Aetherforge UX x Risk / Safety; return deltas only, receipts required.</x:v>
      </x:c>
      <x:c r="O133" s="15" t="str">
        <x:v>AF-KG-H11-S12</x:v>
      </x:c>
      <x:c r="P133" s="15" t="str">
        <x:v>Unverified</x:v>
      </x:c>
      <x:c r="Q133" s="15" t="str">
        <x:v>Not checked</x:v>
      </x:c>
      <x:c r="R133" s="15" t="str"/>
      <x:c r="S133" s="15" t="str"/>
      <x:c r="T133" s="15" t="str">
        <x:v>Log first source path or blocker</x:v>
      </x:c>
      <x:c r="U133" s="12" t="str">
        <x:f>IF(OR(P133="Unverified",Q133="Not checked"),"BLOCKED_PENDING_RECEIPT","READY_FOR_REVIEW")</x:f>
        <x:v>BLOCKED_PENDING_RECEIPT</x:v>
      </x:c>
      <x:c r="V133" s="12" t="str">
        <x:f>IF(J133="DONE","RETURNED",IF(U133="BLOCKED_PENDING_RECEIPT","SOURCE_TOUCH_REQUIRED","IN_PROGRESS"))</x:f>
        <x:v>SOURCE_TOUCH_REQUIRED</x:v>
      </x:c>
      <x:c r="W133" s="12" t="str">
        <x:f>IF(P133="Unverified","missing_receipt","receipt_logged")</x:f>
        <x:v>missing_receipt</x:v>
      </x:c>
      <x:c r="X133" s="12" t="str">
        <x:f>IF(Q133="Not checked","raw_status_missing","raw_status_logged")</x:f>
        <x:v>raw_status_missing</x:v>
      </x:c>
      <x:c r="Y133" s="12" t="str">
        <x:f>IF(U133="BLOCKED_PENDING_RECEIPT","Log source path or blocker; do not promote","Route to review lane")</x:f>
        <x:v>Log source path or blocker; do not promote</x:v>
      </x:c>
      <x:c r="Z133" s="12" t="str">
        <x:f>IF(K133="P0","Primary seat + Hashlight/Lucerna","Seat lane")</x:f>
        <x:v>Seat lane</x:v>
      </x:c>
      <x:c r="AA133" s="12" t="str">
        <x:f>IF(R133="","no_claim_delta","claim_delta_present")</x:f>
        <x:v>no_claim_delta</x:v>
      </x:c>
      <x:c r="AB133" s="12" t="str">
        <x:f>IF(S133="","no_contradiction_delta","contradiction_delta_present")</x:f>
        <x:v>no_contradiction_delta</x:v>
      </x:c>
      <x:c r="AC133" s="12" t="str">
        <x:f>IF(OR(ISNUMBER(SEARCH("hacker",LOWER(F133&amp;" "&amp;H133&amp;" "&amp;I133&amp;" "&amp;M133&amp;" "&amp;N133&amp;" "&amp;T133))),ISNUMBER(SEARCH("hacking",LOWER(F133&amp;" "&amp;H133&amp;" "&amp;I133&amp;" "&amp;M133&amp;" "&amp;N133&amp;" "&amp;T133))),ISNUMBER(SEARCH("bank",LOWER(F133&amp;" "&amp;H133&amp;" "&amp;I133&amp;" "&amp;M133&amp;" "&amp;N133&amp;" "&amp;T133))),ISNUMBER(SEARCH("banking",LOWER(F133&amp;" "&amp;H133&amp;" "&amp;I133&amp;" "&amp;M133&amp;" "&amp;N133&amp;" "&amp;T133)))),"PRIVATE_QUARANTINE",IF(OR(ISNUMBER(SEARCH("treasury",LOWER(F133&amp;" "&amp;H133&amp;" "&amp;I133&amp;" "&amp;M133&amp;" "&amp;N133&amp;" "&amp;T133))),ISNUMBER(SEARCH("debt",LOWER(F133&amp;" "&amp;H133&amp;" "&amp;I133&amp;" "&amp;M133&amp;" "&amp;N133&amp;" "&amp;T133))),ISNUMBER(SEARCH("bond",LOWER(F133&amp;" "&amp;H133&amp;" "&amp;I133&amp;" "&amp;M133&amp;" "&amp;N133&amp;" "&amp;T133))),ISNUMBER(SEARCH("transaction",LOWER(F133&amp;" "&amp;H133&amp;" "&amp;I133&amp;" "&amp;M133&amp;" "&amp;N133&amp;" "&amp;T133)))),"PRIVATE_REVIEW","PUBLIC_CANDIDATE"))</x:f>
        <x:v>PUBLIC_CANDIDATE</x:v>
      </x:c>
      <x:c r="AD133" s="12" t="str">
        <x:f>IF(AC133="PRIVATE_QUARANTINE","hacker_or_bank_trigger",IF(AC133="PRIVATE_REVIEW","finance_risk_trigger","none"))</x:f>
        <x:v>none</x:v>
      </x:c>
      <x:c r="AE133" s="12" t="str">
        <x:f>IF(AC133="PUBLIC_CANDIDATE","prepare_public_github_candidate",IF(AC133="PRIVATE_REVIEW","hold_for_private_review","quarantine_private_do_not_publish"))</x:f>
        <x:v>prepare_public_github_candidate</x:v>
      </x:c>
      <x:c r="AF133" s="12" t="str">
        <x:f>IF(AC133="PUBLIC_CANDIDATE","TIDELOCK + Lucerna",IF(AC133="PRIVATE_REVIEW","AtlasBrain + Lucerna","TIDELOCK + Lucerna + Human-root"))</x:f>
        <x:v>TIDELOCK + Lucerna</x:v>
      </x:c>
      <x:c r="AG133" s="12" t="str">
        <x:f>IF(AND(AC133="PUBLIC_CANDIDATE",U133&lt;&gt;"BLOCKED_PENDING_RECEIPT"),"READY_AFTER_RECEIPT","NOT_READY")</x:f>
        <x:v>NOT_READY</x:v>
      </x:c>
      <x:c r="AH133" s="12" t="str">
        <x:f>IF(AC133="PUBLIC_CANDIDATE","none",AD133)</x:f>
        <x:v>none</x:v>
      </x:c>
      <x:c r="AI133" s="12" t="str">
        <x:f>IF(AC133="PUBLIC_CANDIDATE","archive/public_candidates/"&amp;A133,"private_quarantine/"&amp;A133)</x:f>
        <x:v>archive/public_candidates/SWARM-01-H11-S12</x:v>
      </x:c>
      <x:c r="AJ133" s="12" t="str">
        <x:f>IF(AC133="PUBLIC_CANDIDATE","public by default; still not canon","private/hold; do not publish")</x:f>
        <x:v>public by default; still not canon</x:v>
      </x:c>
      <x:c r="AK133" s="12" t="str">
        <x:f>IF(AE133="prepare_public_github_candidate","add receipt/status then mirror","resolve blocker before any public GitHub action")</x:f>
        <x:v>add receipt/status then mirror</x:v>
      </x:c>
    </x:row>
    <x:row r="134">
      <x:c r="A134" s="15" t="str">
        <x:v>SWARM-01-H12-S01</x:v>
      </x:c>
      <x:c r="B134" s="15" t="str">
        <x:v>Ledgerwake</x:v>
      </x:c>
      <x:c r="C134" s="15" t="str">
        <x:v>Source receipt keeper</x:v>
      </x:c>
      <x:c r="D134" s="15" t="str">
        <x:v>Canon-Gate Prep</x:v>
      </x:c>
      <x:c r="E134" s="15" t="str">
        <x:v>Notion</x:v>
      </x:c>
      <x:c r="F134" s="15" t="str">
        <x:v>Prepare canon-gate brief for Notion — Ledgerwake</x:v>
      </x:c>
      <x:c r="G134" s="15" t="str">
        <x:v>inventory / receipts / raw custody</x:v>
      </x:c>
      <x:c r="H134" s="15" t="str">
        <x:v>source path + receipt + raw/export status + claim/edge/risk delta</x:v>
      </x:c>
      <x:c r="I134" s="15" t="str">
        <x:v>packet/SWARM-01-H12-S01</x:v>
      </x:c>
      <x:c r="J134" s="15" t="str">
        <x:v>TODO</x:v>
      </x:c>
      <x:c r="K134" s="15" t="str">
        <x:v>P0</x:v>
      </x:c>
      <x:c r="L134" s="15" t="str">
        <x:v>Done only when evidence is logged, contradiction search is noted, and boundary stamp remains non-canon unless ratified</x:v>
      </x:c>
      <x:c r="M134" s="15" t="str">
        <x:v>candidate / staging-only / not canon / not deployed / authority none</x:v>
      </x:c>
      <x:c r="N134" s="15" t="str">
        <x:v>Dispatch to Ledgerwake: complete Canon-Gate Prep x Notion; return deltas only, receipts required.</x:v>
      </x:c>
      <x:c r="O134" s="15" t="str">
        <x:v>AF-KG-H12-S01</x:v>
      </x:c>
      <x:c r="P134" s="15" t="str">
        <x:v>Unverified</x:v>
      </x:c>
      <x:c r="Q134" s="15" t="str">
        <x:v>Not checked</x:v>
      </x:c>
      <x:c r="R134" s="15" t="str"/>
      <x:c r="S134" s="15" t="str"/>
      <x:c r="T134" s="15" t="str">
        <x:v>Log first source path or blocker</x:v>
      </x:c>
      <x:c r="U134" s="12" t="str">
        <x:f>IF(OR(P134="Unverified",Q134="Not checked"),"BLOCKED_PENDING_RECEIPT","READY_FOR_REVIEW")</x:f>
        <x:v>BLOCKED_PENDING_RECEIPT</x:v>
      </x:c>
      <x:c r="V134" s="12" t="str">
        <x:f>IF(J134="DONE","RETURNED",IF(U134="BLOCKED_PENDING_RECEIPT","SOURCE_TOUCH_REQUIRED","IN_PROGRESS"))</x:f>
        <x:v>SOURCE_TOUCH_REQUIRED</x:v>
      </x:c>
      <x:c r="W134" s="12" t="str">
        <x:f>IF(P134="Unverified","missing_receipt","receipt_logged")</x:f>
        <x:v>missing_receipt</x:v>
      </x:c>
      <x:c r="X134" s="12" t="str">
        <x:f>IF(Q134="Not checked","raw_status_missing","raw_status_logged")</x:f>
        <x:v>raw_status_missing</x:v>
      </x:c>
      <x:c r="Y134" s="12" t="str">
        <x:f>IF(U134="BLOCKED_PENDING_RECEIPT","Log source path or blocker; do not promote","Route to review lane")</x:f>
        <x:v>Log source path or blocker; do not promote</x:v>
      </x:c>
      <x:c r="Z134" s="12" t="str">
        <x:f>IF(K134="P0","Primary seat + Hashlight/Lucerna","Seat lane")</x:f>
        <x:v>Primary seat + Hashlight/Lucerna</x:v>
      </x:c>
      <x:c r="AA134" s="12" t="str">
        <x:f>IF(R134="","no_claim_delta","claim_delta_present")</x:f>
        <x:v>no_claim_delta</x:v>
      </x:c>
      <x:c r="AB134" s="12" t="str">
        <x:f>IF(S134="","no_contradiction_delta","contradiction_delta_present")</x:f>
        <x:v>no_contradiction_delta</x:v>
      </x:c>
      <x:c r="AC134" s="12" t="str">
        <x:f>IF(OR(ISNUMBER(SEARCH("hacker",LOWER(F134&amp;" "&amp;H134&amp;" "&amp;I134&amp;" "&amp;M134&amp;" "&amp;N134&amp;" "&amp;T134))),ISNUMBER(SEARCH("hacking",LOWER(F134&amp;" "&amp;H134&amp;" "&amp;I134&amp;" "&amp;M134&amp;" "&amp;N134&amp;" "&amp;T134))),ISNUMBER(SEARCH("bank",LOWER(F134&amp;" "&amp;H134&amp;" "&amp;I134&amp;" "&amp;M134&amp;" "&amp;N134&amp;" "&amp;T134))),ISNUMBER(SEARCH("banking",LOWER(F134&amp;" "&amp;H134&amp;" "&amp;I134&amp;" "&amp;M134&amp;" "&amp;N134&amp;" "&amp;T134)))),"PRIVATE_QUARANTINE",IF(OR(ISNUMBER(SEARCH("treasury",LOWER(F134&amp;" "&amp;H134&amp;" "&amp;I134&amp;" "&amp;M134&amp;" "&amp;N134&amp;" "&amp;T134))),ISNUMBER(SEARCH("debt",LOWER(F134&amp;" "&amp;H134&amp;" "&amp;I134&amp;" "&amp;M134&amp;" "&amp;N134&amp;" "&amp;T134))),ISNUMBER(SEARCH("bond",LOWER(F134&amp;" "&amp;H134&amp;" "&amp;I134&amp;" "&amp;M134&amp;" "&amp;N134&amp;" "&amp;T134))),ISNUMBER(SEARCH("transaction",LOWER(F134&amp;" "&amp;H134&amp;" "&amp;I134&amp;" "&amp;M134&amp;" "&amp;N134&amp;" "&amp;T134)))),"PRIVATE_REVIEW","PUBLIC_CANDIDATE"))</x:f>
        <x:v>PUBLIC_CANDIDATE</x:v>
      </x:c>
      <x:c r="AD134" s="12" t="str">
        <x:f>IF(AC134="PRIVATE_QUARANTINE","hacker_or_bank_trigger",IF(AC134="PRIVATE_REVIEW","finance_risk_trigger","none"))</x:f>
        <x:v>none</x:v>
      </x:c>
      <x:c r="AE134" s="12" t="str">
        <x:f>IF(AC134="PUBLIC_CANDIDATE","prepare_public_github_candidate",IF(AC134="PRIVATE_REVIEW","hold_for_private_review","quarantine_private_do_not_publish"))</x:f>
        <x:v>prepare_public_github_candidate</x:v>
      </x:c>
      <x:c r="AF134" s="12" t="str">
        <x:f>IF(AC134="PUBLIC_CANDIDATE","TIDELOCK + Lucerna",IF(AC134="PRIVATE_REVIEW","AtlasBrain + Lucerna","TIDELOCK + Lucerna + Human-root"))</x:f>
        <x:v>TIDELOCK + Lucerna</x:v>
      </x:c>
      <x:c r="AG134" s="12" t="str">
        <x:f>IF(AND(AC134="PUBLIC_CANDIDATE",U134&lt;&gt;"BLOCKED_PENDING_RECEIPT"),"READY_AFTER_RECEIPT","NOT_READY")</x:f>
        <x:v>NOT_READY</x:v>
      </x:c>
      <x:c r="AH134" s="12" t="str">
        <x:f>IF(AC134="PUBLIC_CANDIDATE","none",AD134)</x:f>
        <x:v>none</x:v>
      </x:c>
      <x:c r="AI134" s="12" t="str">
        <x:f>IF(AC134="PUBLIC_CANDIDATE","archive/public_candidates/"&amp;A134,"private_quarantine/"&amp;A134)</x:f>
        <x:v>archive/public_candidates/SWARM-01-H12-S01</x:v>
      </x:c>
      <x:c r="AJ134" s="12" t="str">
        <x:f>IF(AC134="PUBLIC_CANDIDATE","public by default; still not canon","private/hold; do not publish")</x:f>
        <x:v>public by default; still not canon</x:v>
      </x:c>
      <x:c r="AK134" s="12" t="str">
        <x:f>IF(AE134="prepare_public_github_candidate","add receipt/status then mirror","resolve blocker before any public GitHub action")</x:f>
        <x:v>add receipt/status then mirror</x:v>
      </x:c>
    </x:row>
    <x:row r="135">
      <x:c r="A135" s="15" t="str">
        <x:v>SWARM-01-H12-S02</x:v>
      </x:c>
      <x:c r="B135" s="15" t="str">
        <x:v>Ledgerwake</x:v>
      </x:c>
      <x:c r="C135" s="15" t="str">
        <x:v>Source receipt keeper</x:v>
      </x:c>
      <x:c r="D135" s="15" t="str">
        <x:v>Canon-Gate Prep</x:v>
      </x:c>
      <x:c r="E135" s="15" t="str">
        <x:v>Drive</x:v>
      </x:c>
      <x:c r="F135" s="15" t="str">
        <x:v>Prepare canon-gate brief for Drive — Ledgerwake</x:v>
      </x:c>
      <x:c r="G135" s="15" t="str">
        <x:v>inventory / receipts / raw custody</x:v>
      </x:c>
      <x:c r="H135" s="15" t="str">
        <x:v>source path + receipt + raw/export status + claim/edge/risk delta</x:v>
      </x:c>
      <x:c r="I135" s="15" t="str">
        <x:v>packet/SWARM-01-H12-S02</x:v>
      </x:c>
      <x:c r="J135" s="15" t="str">
        <x:v>TODO</x:v>
      </x:c>
      <x:c r="K135" s="15" t="str">
        <x:v>P0</x:v>
      </x:c>
      <x:c r="L135" s="15" t="str">
        <x:v>Done only when evidence is logged, contradiction search is noted, and boundary stamp remains non-canon unless ratified</x:v>
      </x:c>
      <x:c r="M135" s="15" t="str">
        <x:v>candidate / staging-only / not canon / not deployed / authority none</x:v>
      </x:c>
      <x:c r="N135" s="15" t="str">
        <x:v>Dispatch to Ledgerwake: complete Canon-Gate Prep x Drive; return deltas only, receipts required.</x:v>
      </x:c>
      <x:c r="O135" s="15" t="str">
        <x:v>AF-KG-H12-S02</x:v>
      </x:c>
      <x:c r="P135" s="15" t="str">
        <x:v>Unverified</x:v>
      </x:c>
      <x:c r="Q135" s="15" t="str">
        <x:v>Not checked</x:v>
      </x:c>
      <x:c r="R135" s="15" t="str"/>
      <x:c r="S135" s="15" t="str"/>
      <x:c r="T135" s="15" t="str">
        <x:v>Log first source path or blocker</x:v>
      </x:c>
      <x:c r="U135" s="12" t="str">
        <x:f>IF(OR(P135="Unverified",Q135="Not checked"),"BLOCKED_PENDING_RECEIPT","READY_FOR_REVIEW")</x:f>
        <x:v>BLOCKED_PENDING_RECEIPT</x:v>
      </x:c>
      <x:c r="V135" s="12" t="str">
        <x:f>IF(J135="DONE","RETURNED",IF(U135="BLOCKED_PENDING_RECEIPT","SOURCE_TOUCH_REQUIRED","IN_PROGRESS"))</x:f>
        <x:v>SOURCE_TOUCH_REQUIRED</x:v>
      </x:c>
      <x:c r="W135" s="12" t="str">
        <x:f>IF(P135="Unverified","missing_receipt","receipt_logged")</x:f>
        <x:v>missing_receipt</x:v>
      </x:c>
      <x:c r="X135" s="12" t="str">
        <x:f>IF(Q135="Not checked","raw_status_missing","raw_status_logged")</x:f>
        <x:v>raw_status_missing</x:v>
      </x:c>
      <x:c r="Y135" s="12" t="str">
        <x:f>IF(U135="BLOCKED_PENDING_RECEIPT","Log source path or blocker; do not promote","Route to review lane")</x:f>
        <x:v>Log source path or blocker; do not promote</x:v>
      </x:c>
      <x:c r="Z135" s="12" t="str">
        <x:f>IF(K135="P0","Primary seat + Hashlight/Lucerna","Seat lane")</x:f>
        <x:v>Primary seat + Hashlight/Lucerna</x:v>
      </x:c>
      <x:c r="AA135" s="12" t="str">
        <x:f>IF(R135="","no_claim_delta","claim_delta_present")</x:f>
        <x:v>no_claim_delta</x:v>
      </x:c>
      <x:c r="AB135" s="12" t="str">
        <x:f>IF(S135="","no_contradiction_delta","contradiction_delta_present")</x:f>
        <x:v>no_contradiction_delta</x:v>
      </x:c>
      <x:c r="AC135" s="12" t="str">
        <x:f>IF(OR(ISNUMBER(SEARCH("hacker",LOWER(F135&amp;" "&amp;H135&amp;" "&amp;I135&amp;" "&amp;M135&amp;" "&amp;N135&amp;" "&amp;T135))),ISNUMBER(SEARCH("hacking",LOWER(F135&amp;" "&amp;H135&amp;" "&amp;I135&amp;" "&amp;M135&amp;" "&amp;N135&amp;" "&amp;T135))),ISNUMBER(SEARCH("bank",LOWER(F135&amp;" "&amp;H135&amp;" "&amp;I135&amp;" "&amp;M135&amp;" "&amp;N135&amp;" "&amp;T135))),ISNUMBER(SEARCH("banking",LOWER(F135&amp;" "&amp;H135&amp;" "&amp;I135&amp;" "&amp;M135&amp;" "&amp;N135&amp;" "&amp;T135)))),"PRIVATE_QUARANTINE",IF(OR(ISNUMBER(SEARCH("treasury",LOWER(F135&amp;" "&amp;H135&amp;" "&amp;I135&amp;" "&amp;M135&amp;" "&amp;N135&amp;" "&amp;T135))),ISNUMBER(SEARCH("debt",LOWER(F135&amp;" "&amp;H135&amp;" "&amp;I135&amp;" "&amp;M135&amp;" "&amp;N135&amp;" "&amp;T135))),ISNUMBER(SEARCH("bond",LOWER(F135&amp;" "&amp;H135&amp;" "&amp;I135&amp;" "&amp;M135&amp;" "&amp;N135&amp;" "&amp;T135))),ISNUMBER(SEARCH("transaction",LOWER(F135&amp;" "&amp;H135&amp;" "&amp;I135&amp;" "&amp;M135&amp;" "&amp;N135&amp;" "&amp;T135)))),"PRIVATE_REVIEW","PUBLIC_CANDIDATE"))</x:f>
        <x:v>PUBLIC_CANDIDATE</x:v>
      </x:c>
      <x:c r="AD135" s="12" t="str">
        <x:f>IF(AC135="PRIVATE_QUARANTINE","hacker_or_bank_trigger",IF(AC135="PRIVATE_REVIEW","finance_risk_trigger","none"))</x:f>
        <x:v>none</x:v>
      </x:c>
      <x:c r="AE135" s="12" t="str">
        <x:f>IF(AC135="PUBLIC_CANDIDATE","prepare_public_github_candidate",IF(AC135="PRIVATE_REVIEW","hold_for_private_review","quarantine_private_do_not_publish"))</x:f>
        <x:v>prepare_public_github_candidate</x:v>
      </x:c>
      <x:c r="AF135" s="12" t="str">
        <x:f>IF(AC135="PUBLIC_CANDIDATE","TIDELOCK + Lucerna",IF(AC135="PRIVATE_REVIEW","AtlasBrain + Lucerna","TIDELOCK + Lucerna + Human-root"))</x:f>
        <x:v>TIDELOCK + Lucerna</x:v>
      </x:c>
      <x:c r="AG135" s="12" t="str">
        <x:f>IF(AND(AC135="PUBLIC_CANDIDATE",U135&lt;&gt;"BLOCKED_PENDING_RECEIPT"),"READY_AFTER_RECEIPT","NOT_READY")</x:f>
        <x:v>NOT_READY</x:v>
      </x:c>
      <x:c r="AH135" s="12" t="str">
        <x:f>IF(AC135="PUBLIC_CANDIDATE","none",AD135)</x:f>
        <x:v>none</x:v>
      </x:c>
      <x:c r="AI135" s="12" t="str">
        <x:f>IF(AC135="PUBLIC_CANDIDATE","archive/public_candidates/"&amp;A135,"private_quarantine/"&amp;A135)</x:f>
        <x:v>archive/public_candidates/SWARM-01-H12-S02</x:v>
      </x:c>
      <x:c r="AJ135" s="12" t="str">
        <x:f>IF(AC135="PUBLIC_CANDIDATE","public by default; still not canon","private/hold; do not publish")</x:f>
        <x:v>public by default; still not canon</x:v>
      </x:c>
      <x:c r="AK135" s="12" t="str">
        <x:f>IF(AE135="prepare_public_github_candidate","add receipt/status then mirror","resolve blocker before any public GitHub action")</x:f>
        <x:v>add receipt/status then mirror</x:v>
      </x:c>
    </x:row>
    <x:row r="136">
      <x:c r="A136" s="15" t="str">
        <x:v>SWARM-01-H12-S03</x:v>
      </x:c>
      <x:c r="B136" s="15" t="str">
        <x:v>Ledgerwake</x:v>
      </x:c>
      <x:c r="C136" s="15" t="str">
        <x:v>Source receipt keeper</x:v>
      </x:c>
      <x:c r="D136" s="15" t="str">
        <x:v>Canon-Gate Prep</x:v>
      </x:c>
      <x:c r="E136" s="15" t="str">
        <x:v>GitHub</x:v>
      </x:c>
      <x:c r="F136" s="15" t="str">
        <x:v>Prepare canon-gate brief for GitHub — Ledgerwake</x:v>
      </x:c>
      <x:c r="G136" s="15" t="str">
        <x:v>inventory / receipts / raw custody</x:v>
      </x:c>
      <x:c r="H136" s="15" t="str">
        <x:v>source path + receipt + raw/export status + claim/edge/risk delta</x:v>
      </x:c>
      <x:c r="I136" s="15" t="str">
        <x:v>packet/SWARM-01-H12-S03</x:v>
      </x:c>
      <x:c r="J136" s="15" t="str">
        <x:v>TODO</x:v>
      </x:c>
      <x:c r="K136" s="15" t="str">
        <x:v>P0</x:v>
      </x:c>
      <x:c r="L136" s="15" t="str">
        <x:v>Done only when evidence is logged, contradiction search is noted, and boundary stamp remains non-canon unless ratified</x:v>
      </x:c>
      <x:c r="M136" s="15" t="str">
        <x:v>candidate / staging-only / not canon / not deployed / authority none</x:v>
      </x:c>
      <x:c r="N136" s="15" t="str">
        <x:v>Dispatch to Ledgerwake: complete Canon-Gate Prep x GitHub; return deltas only, receipts required.</x:v>
      </x:c>
      <x:c r="O136" s="15" t="str">
        <x:v>AF-KG-H12-S03</x:v>
      </x:c>
      <x:c r="P136" s="15" t="str">
        <x:v>Unverified</x:v>
      </x:c>
      <x:c r="Q136" s="15" t="str">
        <x:v>Not checked</x:v>
      </x:c>
      <x:c r="R136" s="15" t="str"/>
      <x:c r="S136" s="15" t="str"/>
      <x:c r="T136" s="15" t="str">
        <x:v>Log first source path or blocker</x:v>
      </x:c>
      <x:c r="U136" s="12" t="str">
        <x:f>IF(OR(P136="Unverified",Q136="Not checked"),"BLOCKED_PENDING_RECEIPT","READY_FOR_REVIEW")</x:f>
        <x:v>BLOCKED_PENDING_RECEIPT</x:v>
      </x:c>
      <x:c r="V136" s="12" t="str">
        <x:f>IF(J136="DONE","RETURNED",IF(U136="BLOCKED_PENDING_RECEIPT","SOURCE_TOUCH_REQUIRED","IN_PROGRESS"))</x:f>
        <x:v>SOURCE_TOUCH_REQUIRED</x:v>
      </x:c>
      <x:c r="W136" s="12" t="str">
        <x:f>IF(P136="Unverified","missing_receipt","receipt_logged")</x:f>
        <x:v>missing_receipt</x:v>
      </x:c>
      <x:c r="X136" s="12" t="str">
        <x:f>IF(Q136="Not checked","raw_status_missing","raw_status_logged")</x:f>
        <x:v>raw_status_missing</x:v>
      </x:c>
      <x:c r="Y136" s="12" t="str">
        <x:f>IF(U136="BLOCKED_PENDING_RECEIPT","Log source path or blocker; do not promote","Route to review lane")</x:f>
        <x:v>Log source path or blocker; do not promote</x:v>
      </x:c>
      <x:c r="Z136" s="12" t="str">
        <x:f>IF(K136="P0","Primary seat + Hashlight/Lucerna","Seat lane")</x:f>
        <x:v>Primary seat + Hashlight/Lucerna</x:v>
      </x:c>
      <x:c r="AA136" s="12" t="str">
        <x:f>IF(R136="","no_claim_delta","claim_delta_present")</x:f>
        <x:v>no_claim_delta</x:v>
      </x:c>
      <x:c r="AB136" s="12" t="str">
        <x:f>IF(S136="","no_contradiction_delta","contradiction_delta_present")</x:f>
        <x:v>no_contradiction_delta</x:v>
      </x:c>
      <x:c r="AC136" s="12" t="str">
        <x:f>IF(OR(ISNUMBER(SEARCH("hacker",LOWER(F136&amp;" "&amp;H136&amp;" "&amp;I136&amp;" "&amp;M136&amp;" "&amp;N136&amp;" "&amp;T136))),ISNUMBER(SEARCH("hacking",LOWER(F136&amp;" "&amp;H136&amp;" "&amp;I136&amp;" "&amp;M136&amp;" "&amp;N136&amp;" "&amp;T136))),ISNUMBER(SEARCH("bank",LOWER(F136&amp;" "&amp;H136&amp;" "&amp;I136&amp;" "&amp;M136&amp;" "&amp;N136&amp;" "&amp;T136))),ISNUMBER(SEARCH("banking",LOWER(F136&amp;" "&amp;H136&amp;" "&amp;I136&amp;" "&amp;M136&amp;" "&amp;N136&amp;" "&amp;T136)))),"PRIVATE_QUARANTINE",IF(OR(ISNUMBER(SEARCH("treasury",LOWER(F136&amp;" "&amp;H136&amp;" "&amp;I136&amp;" "&amp;M136&amp;" "&amp;N136&amp;" "&amp;T136))),ISNUMBER(SEARCH("debt",LOWER(F136&amp;" "&amp;H136&amp;" "&amp;I136&amp;" "&amp;M136&amp;" "&amp;N136&amp;" "&amp;T136))),ISNUMBER(SEARCH("bond",LOWER(F136&amp;" "&amp;H136&amp;" "&amp;I136&amp;" "&amp;M136&amp;" "&amp;N136&amp;" "&amp;T136))),ISNUMBER(SEARCH("transaction",LOWER(F136&amp;" "&amp;H136&amp;" "&amp;I136&amp;" "&amp;M136&amp;" "&amp;N136&amp;" "&amp;T136)))),"PRIVATE_REVIEW","PUBLIC_CANDIDATE"))</x:f>
        <x:v>PUBLIC_CANDIDATE</x:v>
      </x:c>
      <x:c r="AD136" s="12" t="str">
        <x:f>IF(AC136="PRIVATE_QUARANTINE","hacker_or_bank_trigger",IF(AC136="PRIVATE_REVIEW","finance_risk_trigger","none"))</x:f>
        <x:v>none</x:v>
      </x:c>
      <x:c r="AE136" s="12" t="str">
        <x:f>IF(AC136="PUBLIC_CANDIDATE","prepare_public_github_candidate",IF(AC136="PRIVATE_REVIEW","hold_for_private_review","quarantine_private_do_not_publish"))</x:f>
        <x:v>prepare_public_github_candidate</x:v>
      </x:c>
      <x:c r="AF136" s="12" t="str">
        <x:f>IF(AC136="PUBLIC_CANDIDATE","TIDELOCK + Lucerna",IF(AC136="PRIVATE_REVIEW","AtlasBrain + Lucerna","TIDELOCK + Lucerna + Human-root"))</x:f>
        <x:v>TIDELOCK + Lucerna</x:v>
      </x:c>
      <x:c r="AG136" s="12" t="str">
        <x:f>IF(AND(AC136="PUBLIC_CANDIDATE",U136&lt;&gt;"BLOCKED_PENDING_RECEIPT"),"READY_AFTER_RECEIPT","NOT_READY")</x:f>
        <x:v>NOT_READY</x:v>
      </x:c>
      <x:c r="AH136" s="12" t="str">
        <x:f>IF(AC136="PUBLIC_CANDIDATE","none",AD136)</x:f>
        <x:v>none</x:v>
      </x:c>
      <x:c r="AI136" s="12" t="str">
        <x:f>IF(AC136="PUBLIC_CANDIDATE","archive/public_candidates/"&amp;A136,"private_quarantine/"&amp;A136)</x:f>
        <x:v>archive/public_candidates/SWARM-01-H12-S03</x:v>
      </x:c>
      <x:c r="AJ136" s="12" t="str">
        <x:f>IF(AC136="PUBLIC_CANDIDATE","public by default; still not canon","private/hold; do not publish")</x:f>
        <x:v>public by default; still not canon</x:v>
      </x:c>
      <x:c r="AK136" s="12" t="str">
        <x:f>IF(AE136="prepare_public_github_candidate","add receipt/status then mirror","resolve blocker before any public GitHub action")</x:f>
        <x:v>add receipt/status then mirror</x:v>
      </x:c>
    </x:row>
    <x:row r="137">
      <x:c r="A137" s="15" t="str">
        <x:v>SWARM-01-H12-S04</x:v>
      </x:c>
      <x:c r="B137" s="15" t="str">
        <x:v>Ledgerwake</x:v>
      </x:c>
      <x:c r="C137" s="15" t="str">
        <x:v>Source receipt keeper</x:v>
      </x:c>
      <x:c r="D137" s="15" t="str">
        <x:v>Canon-Gate Prep</x:v>
      </x:c>
      <x:c r="E137" s="15" t="str">
        <x:v>Gamma</x:v>
      </x:c>
      <x:c r="F137" s="15" t="str">
        <x:v>Prepare canon-gate brief for Gamma — Ledgerwake</x:v>
      </x:c>
      <x:c r="G137" s="15" t="str">
        <x:v>inventory / receipts / raw custody</x:v>
      </x:c>
      <x:c r="H137" s="15" t="str">
        <x:v>source path + receipt + raw/export status + claim/edge/risk delta</x:v>
      </x:c>
      <x:c r="I137" s="15" t="str">
        <x:v>packet/SWARM-01-H12-S04</x:v>
      </x:c>
      <x:c r="J137" s="15" t="str">
        <x:v>TODO</x:v>
      </x:c>
      <x:c r="K137" s="15" t="str">
        <x:v>P1</x:v>
      </x:c>
      <x:c r="L137" s="15" t="str">
        <x:v>Done only when evidence is logged, contradiction search is noted, and boundary stamp remains non-canon unless ratified</x:v>
      </x:c>
      <x:c r="M137" s="15" t="str">
        <x:v>candidate / staging-only / not canon / not deployed / authority none</x:v>
      </x:c>
      <x:c r="N137" s="15" t="str">
        <x:v>Dispatch to Ledgerwake: complete Canon-Gate Prep x Gamma; return deltas only, receipts required.</x:v>
      </x:c>
      <x:c r="O137" s="15" t="str">
        <x:v>AF-KG-H12-S04</x:v>
      </x:c>
      <x:c r="P137" s="15" t="str">
        <x:v>Unverified</x:v>
      </x:c>
      <x:c r="Q137" s="15" t="str">
        <x:v>Not checked</x:v>
      </x:c>
      <x:c r="R137" s="15" t="str"/>
      <x:c r="S137" s="15" t="str"/>
      <x:c r="T137" s="15" t="str">
        <x:v>Log first source path or blocker</x:v>
      </x:c>
      <x:c r="U137" s="12" t="str">
        <x:f>IF(OR(P137="Unverified",Q137="Not checked"),"BLOCKED_PENDING_RECEIPT","READY_FOR_REVIEW")</x:f>
        <x:v>BLOCKED_PENDING_RECEIPT</x:v>
      </x:c>
      <x:c r="V137" s="12" t="str">
        <x:f>IF(J137="DONE","RETURNED",IF(U137="BLOCKED_PENDING_RECEIPT","SOURCE_TOUCH_REQUIRED","IN_PROGRESS"))</x:f>
        <x:v>SOURCE_TOUCH_REQUIRED</x:v>
      </x:c>
      <x:c r="W137" s="12" t="str">
        <x:f>IF(P137="Unverified","missing_receipt","receipt_logged")</x:f>
        <x:v>missing_receipt</x:v>
      </x:c>
      <x:c r="X137" s="12" t="str">
        <x:f>IF(Q137="Not checked","raw_status_missing","raw_status_logged")</x:f>
        <x:v>raw_status_missing</x:v>
      </x:c>
      <x:c r="Y137" s="12" t="str">
        <x:f>IF(U137="BLOCKED_PENDING_RECEIPT","Log source path or blocker; do not promote","Route to review lane")</x:f>
        <x:v>Log source path or blocker; do not promote</x:v>
      </x:c>
      <x:c r="Z137" s="12" t="str">
        <x:f>IF(K137="P0","Primary seat + Hashlight/Lucerna","Seat lane")</x:f>
        <x:v>Seat lane</x:v>
      </x:c>
      <x:c r="AA137" s="12" t="str">
        <x:f>IF(R137="","no_claim_delta","claim_delta_present")</x:f>
        <x:v>no_claim_delta</x:v>
      </x:c>
      <x:c r="AB137" s="12" t="str">
        <x:f>IF(S137="","no_contradiction_delta","contradiction_delta_present")</x:f>
        <x:v>no_contradiction_delta</x:v>
      </x:c>
      <x:c r="AC137" s="12" t="str">
        <x:f>IF(OR(ISNUMBER(SEARCH("hacker",LOWER(F137&amp;" "&amp;H137&amp;" "&amp;I137&amp;" "&amp;M137&amp;" "&amp;N137&amp;" "&amp;T137))),ISNUMBER(SEARCH("hacking",LOWER(F137&amp;" "&amp;H137&amp;" "&amp;I137&amp;" "&amp;M137&amp;" "&amp;N137&amp;" "&amp;T137))),ISNUMBER(SEARCH("bank",LOWER(F137&amp;" "&amp;H137&amp;" "&amp;I137&amp;" "&amp;M137&amp;" "&amp;N137&amp;" "&amp;T137))),ISNUMBER(SEARCH("banking",LOWER(F137&amp;" "&amp;H137&amp;" "&amp;I137&amp;" "&amp;M137&amp;" "&amp;N137&amp;" "&amp;T137)))),"PRIVATE_QUARANTINE",IF(OR(ISNUMBER(SEARCH("treasury",LOWER(F137&amp;" "&amp;H137&amp;" "&amp;I137&amp;" "&amp;M137&amp;" "&amp;N137&amp;" "&amp;T137))),ISNUMBER(SEARCH("debt",LOWER(F137&amp;" "&amp;H137&amp;" "&amp;I137&amp;" "&amp;M137&amp;" "&amp;N137&amp;" "&amp;T137))),ISNUMBER(SEARCH("bond",LOWER(F137&amp;" "&amp;H137&amp;" "&amp;I137&amp;" "&amp;M137&amp;" "&amp;N137&amp;" "&amp;T137))),ISNUMBER(SEARCH("transaction",LOWER(F137&amp;" "&amp;H137&amp;" "&amp;I137&amp;" "&amp;M137&amp;" "&amp;N137&amp;" "&amp;T137)))),"PRIVATE_REVIEW","PUBLIC_CANDIDATE"))</x:f>
        <x:v>PUBLIC_CANDIDATE</x:v>
      </x:c>
      <x:c r="AD137" s="12" t="str">
        <x:f>IF(AC137="PRIVATE_QUARANTINE","hacker_or_bank_trigger",IF(AC137="PRIVATE_REVIEW","finance_risk_trigger","none"))</x:f>
        <x:v>none</x:v>
      </x:c>
      <x:c r="AE137" s="12" t="str">
        <x:f>IF(AC137="PUBLIC_CANDIDATE","prepare_public_github_candidate",IF(AC137="PRIVATE_REVIEW","hold_for_private_review","quarantine_private_do_not_publish"))</x:f>
        <x:v>prepare_public_github_candidate</x:v>
      </x:c>
      <x:c r="AF137" s="12" t="str">
        <x:f>IF(AC137="PUBLIC_CANDIDATE","TIDELOCK + Lucerna",IF(AC137="PRIVATE_REVIEW","AtlasBrain + Lucerna","TIDELOCK + Lucerna + Human-root"))</x:f>
        <x:v>TIDELOCK + Lucerna</x:v>
      </x:c>
      <x:c r="AG137" s="12" t="str">
        <x:f>IF(AND(AC137="PUBLIC_CANDIDATE",U137&lt;&gt;"BLOCKED_PENDING_RECEIPT"),"READY_AFTER_RECEIPT","NOT_READY")</x:f>
        <x:v>NOT_READY</x:v>
      </x:c>
      <x:c r="AH137" s="12" t="str">
        <x:f>IF(AC137="PUBLIC_CANDIDATE","none",AD137)</x:f>
        <x:v>none</x:v>
      </x:c>
      <x:c r="AI137" s="12" t="str">
        <x:f>IF(AC137="PUBLIC_CANDIDATE","archive/public_candidates/"&amp;A137,"private_quarantine/"&amp;A137)</x:f>
        <x:v>archive/public_candidates/SWARM-01-H12-S04</x:v>
      </x:c>
      <x:c r="AJ137" s="12" t="str">
        <x:f>IF(AC137="PUBLIC_CANDIDATE","public by default; still not canon","private/hold; do not publish")</x:f>
        <x:v>public by default; still not canon</x:v>
      </x:c>
      <x:c r="AK137" s="12" t="str">
        <x:f>IF(AE137="prepare_public_github_candidate","add receipt/status then mirror","resolve blocker before any public GitHub action")</x:f>
        <x:v>add receipt/status then mirror</x:v>
      </x:c>
    </x:row>
    <x:row r="138">
      <x:c r="A138" s="15" t="str">
        <x:v>SWARM-01-H12-S05</x:v>
      </x:c>
      <x:c r="B138" s="15" t="str">
        <x:v>Ledgerwake</x:v>
      </x:c>
      <x:c r="C138" s="15" t="str">
        <x:v>Source receipt keeper</x:v>
      </x:c>
      <x:c r="D138" s="15" t="str">
        <x:v>Canon-Gate Prep</x:v>
      </x:c>
      <x:c r="E138" s="15" t="str">
        <x:v>Chat</x:v>
      </x:c>
      <x:c r="F138" s="15" t="str">
        <x:v>Prepare canon-gate brief for Chat — Ledgerwake</x:v>
      </x:c>
      <x:c r="G138" s="15" t="str">
        <x:v>inventory / receipts / raw custody</x:v>
      </x:c>
      <x:c r="H138" s="15" t="str">
        <x:v>source path + receipt + raw/export status + claim/edge/risk delta</x:v>
      </x:c>
      <x:c r="I138" s="15" t="str">
        <x:v>packet/SWARM-01-H12-S05</x:v>
      </x:c>
      <x:c r="J138" s="15" t="str">
        <x:v>TODO</x:v>
      </x:c>
      <x:c r="K138" s="15" t="str">
        <x:v>P1</x:v>
      </x:c>
      <x:c r="L138" s="15" t="str">
        <x:v>Done only when evidence is logged, contradiction search is noted, and boundary stamp remains non-canon unless ratified</x:v>
      </x:c>
      <x:c r="M138" s="15" t="str">
        <x:v>candidate / staging-only / not canon / not deployed / authority none</x:v>
      </x:c>
      <x:c r="N138" s="15" t="str">
        <x:v>Dispatch to Ledgerwake: complete Canon-Gate Prep x Chat; return deltas only, receipts required.</x:v>
      </x:c>
      <x:c r="O138" s="15" t="str">
        <x:v>AF-KG-H12-S05</x:v>
      </x:c>
      <x:c r="P138" s="15" t="str">
        <x:v>Unverified</x:v>
      </x:c>
      <x:c r="Q138" s="15" t="str">
        <x:v>Not checked</x:v>
      </x:c>
      <x:c r="R138" s="15" t="str"/>
      <x:c r="S138" s="15" t="str"/>
      <x:c r="T138" s="15" t="str">
        <x:v>Log first source path or blocker</x:v>
      </x:c>
      <x:c r="U138" s="12" t="str">
        <x:f>IF(OR(P138="Unverified",Q138="Not checked"),"BLOCKED_PENDING_RECEIPT","READY_FOR_REVIEW")</x:f>
        <x:v>BLOCKED_PENDING_RECEIPT</x:v>
      </x:c>
      <x:c r="V138" s="12" t="str">
        <x:f>IF(J138="DONE","RETURNED",IF(U138="BLOCKED_PENDING_RECEIPT","SOURCE_TOUCH_REQUIRED","IN_PROGRESS"))</x:f>
        <x:v>SOURCE_TOUCH_REQUIRED</x:v>
      </x:c>
      <x:c r="W138" s="12" t="str">
        <x:f>IF(P138="Unverified","missing_receipt","receipt_logged")</x:f>
        <x:v>missing_receipt</x:v>
      </x:c>
      <x:c r="X138" s="12" t="str">
        <x:f>IF(Q138="Not checked","raw_status_missing","raw_status_logged")</x:f>
        <x:v>raw_status_missing</x:v>
      </x:c>
      <x:c r="Y138" s="12" t="str">
        <x:f>IF(U138="BLOCKED_PENDING_RECEIPT","Log source path or blocker; do not promote","Route to review lane")</x:f>
        <x:v>Log source path or blocker; do not promote</x:v>
      </x:c>
      <x:c r="Z138" s="12" t="str">
        <x:f>IF(K138="P0","Primary seat + Hashlight/Lucerna","Seat lane")</x:f>
        <x:v>Seat lane</x:v>
      </x:c>
      <x:c r="AA138" s="12" t="str">
        <x:f>IF(R138="","no_claim_delta","claim_delta_present")</x:f>
        <x:v>no_claim_delta</x:v>
      </x:c>
      <x:c r="AB138" s="12" t="str">
        <x:f>IF(S138="","no_contradiction_delta","contradiction_delta_present")</x:f>
        <x:v>no_contradiction_delta</x:v>
      </x:c>
      <x:c r="AC138" s="12" t="str">
        <x:f>IF(OR(ISNUMBER(SEARCH("hacker",LOWER(F138&amp;" "&amp;H138&amp;" "&amp;I138&amp;" "&amp;M138&amp;" "&amp;N138&amp;" "&amp;T138))),ISNUMBER(SEARCH("hacking",LOWER(F138&amp;" "&amp;H138&amp;" "&amp;I138&amp;" "&amp;M138&amp;" "&amp;N138&amp;" "&amp;T138))),ISNUMBER(SEARCH("bank",LOWER(F138&amp;" "&amp;H138&amp;" "&amp;I138&amp;" "&amp;M138&amp;" "&amp;N138&amp;" "&amp;T138))),ISNUMBER(SEARCH("banking",LOWER(F138&amp;" "&amp;H138&amp;" "&amp;I138&amp;" "&amp;M138&amp;" "&amp;N138&amp;" "&amp;T138)))),"PRIVATE_QUARANTINE",IF(OR(ISNUMBER(SEARCH("treasury",LOWER(F138&amp;" "&amp;H138&amp;" "&amp;I138&amp;" "&amp;M138&amp;" "&amp;N138&amp;" "&amp;T138))),ISNUMBER(SEARCH("debt",LOWER(F138&amp;" "&amp;H138&amp;" "&amp;I138&amp;" "&amp;M138&amp;" "&amp;N138&amp;" "&amp;T138))),ISNUMBER(SEARCH("bond",LOWER(F138&amp;" "&amp;H138&amp;" "&amp;I138&amp;" "&amp;M138&amp;" "&amp;N138&amp;" "&amp;T138))),ISNUMBER(SEARCH("transaction",LOWER(F138&amp;" "&amp;H138&amp;" "&amp;I138&amp;" "&amp;M138&amp;" "&amp;N138&amp;" "&amp;T138)))),"PRIVATE_REVIEW","PUBLIC_CANDIDATE"))</x:f>
        <x:v>PUBLIC_CANDIDATE</x:v>
      </x:c>
      <x:c r="AD138" s="12" t="str">
        <x:f>IF(AC138="PRIVATE_QUARANTINE","hacker_or_bank_trigger",IF(AC138="PRIVATE_REVIEW","finance_risk_trigger","none"))</x:f>
        <x:v>none</x:v>
      </x:c>
      <x:c r="AE138" s="12" t="str">
        <x:f>IF(AC138="PUBLIC_CANDIDATE","prepare_public_github_candidate",IF(AC138="PRIVATE_REVIEW","hold_for_private_review","quarantine_private_do_not_publish"))</x:f>
        <x:v>prepare_public_github_candidate</x:v>
      </x:c>
      <x:c r="AF138" s="12" t="str">
        <x:f>IF(AC138="PUBLIC_CANDIDATE","TIDELOCK + Lucerna",IF(AC138="PRIVATE_REVIEW","AtlasBrain + Lucerna","TIDELOCK + Lucerna + Human-root"))</x:f>
        <x:v>TIDELOCK + Lucerna</x:v>
      </x:c>
      <x:c r="AG138" s="12" t="str">
        <x:f>IF(AND(AC138="PUBLIC_CANDIDATE",U138&lt;&gt;"BLOCKED_PENDING_RECEIPT"),"READY_AFTER_RECEIPT","NOT_READY")</x:f>
        <x:v>NOT_READY</x:v>
      </x:c>
      <x:c r="AH138" s="12" t="str">
        <x:f>IF(AC138="PUBLIC_CANDIDATE","none",AD138)</x:f>
        <x:v>none</x:v>
      </x:c>
      <x:c r="AI138" s="12" t="str">
        <x:f>IF(AC138="PUBLIC_CANDIDATE","archive/public_candidates/"&amp;A138,"private_quarantine/"&amp;A138)</x:f>
        <x:v>archive/public_candidates/SWARM-01-H12-S05</x:v>
      </x:c>
      <x:c r="AJ138" s="12" t="str">
        <x:f>IF(AC138="PUBLIC_CANDIDATE","public by default; still not canon","private/hold; do not publish")</x:f>
        <x:v>public by default; still not canon</x:v>
      </x:c>
      <x:c r="AK138" s="12" t="str">
        <x:f>IF(AE138="prepare_public_github_candidate","add receipt/status then mirror","resolve blocker before any public GitHub action")</x:f>
        <x:v>add receipt/status then mirror</x:v>
      </x:c>
    </x:row>
    <x:row r="139">
      <x:c r="A139" s="15" t="str">
        <x:v>SWARM-01-H12-S06</x:v>
      </x:c>
      <x:c r="B139" s="15" t="str">
        <x:v>Ledgerwake</x:v>
      </x:c>
      <x:c r="C139" s="15" t="str">
        <x:v>Source receipt keeper</x:v>
      </x:c>
      <x:c r="D139" s="15" t="str">
        <x:v>Canon-Gate Prep</x:v>
      </x:c>
      <x:c r="E139" s="15" t="str">
        <x:v>External Web</x:v>
      </x:c>
      <x:c r="F139" s="15" t="str">
        <x:v>Prepare canon-gate brief for External Web — Ledgerwake</x:v>
      </x:c>
      <x:c r="G139" s="15" t="str">
        <x:v>inventory / receipts / raw custody</x:v>
      </x:c>
      <x:c r="H139" s="15" t="str">
        <x:v>source path + receipt + raw/export status + claim/edge/risk delta</x:v>
      </x:c>
      <x:c r="I139" s="15" t="str">
        <x:v>packet/SWARM-01-H12-S06</x:v>
      </x:c>
      <x:c r="J139" s="15" t="str">
        <x:v>TODO</x:v>
      </x:c>
      <x:c r="K139" s="15" t="str">
        <x:v>P1</x:v>
      </x:c>
      <x:c r="L139" s="15" t="str">
        <x:v>Done only when evidence is logged, contradiction search is noted, and boundary stamp remains non-canon unless ratified</x:v>
      </x:c>
      <x:c r="M139" s="15" t="str">
        <x:v>candidate / staging-only / not canon / not deployed / authority none</x:v>
      </x:c>
      <x:c r="N139" s="15" t="str">
        <x:v>Dispatch to Ledgerwake: complete Canon-Gate Prep x External Web; return deltas only, receipts required.</x:v>
      </x:c>
      <x:c r="O139" s="15" t="str">
        <x:v>AF-KG-H12-S06</x:v>
      </x:c>
      <x:c r="P139" s="15" t="str">
        <x:v>Unverified</x:v>
      </x:c>
      <x:c r="Q139" s="15" t="str">
        <x:v>Not checked</x:v>
      </x:c>
      <x:c r="R139" s="15" t="str"/>
      <x:c r="S139" s="15" t="str"/>
      <x:c r="T139" s="15" t="str">
        <x:v>Log first source path or blocker</x:v>
      </x:c>
      <x:c r="U139" s="12" t="str">
        <x:f>IF(OR(P139="Unverified",Q139="Not checked"),"BLOCKED_PENDING_RECEIPT","READY_FOR_REVIEW")</x:f>
        <x:v>BLOCKED_PENDING_RECEIPT</x:v>
      </x:c>
      <x:c r="V139" s="12" t="str">
        <x:f>IF(J139="DONE","RETURNED",IF(U139="BLOCKED_PENDING_RECEIPT","SOURCE_TOUCH_REQUIRED","IN_PROGRESS"))</x:f>
        <x:v>SOURCE_TOUCH_REQUIRED</x:v>
      </x:c>
      <x:c r="W139" s="12" t="str">
        <x:f>IF(P139="Unverified","missing_receipt","receipt_logged")</x:f>
        <x:v>missing_receipt</x:v>
      </x:c>
      <x:c r="X139" s="12" t="str">
        <x:f>IF(Q139="Not checked","raw_status_missing","raw_status_logged")</x:f>
        <x:v>raw_status_missing</x:v>
      </x:c>
      <x:c r="Y139" s="12" t="str">
        <x:f>IF(U139="BLOCKED_PENDING_RECEIPT","Log source path or blocker; do not promote","Route to review lane")</x:f>
        <x:v>Log source path or blocker; do not promote</x:v>
      </x:c>
      <x:c r="Z139" s="12" t="str">
        <x:f>IF(K139="P0","Primary seat + Hashlight/Lucerna","Seat lane")</x:f>
        <x:v>Seat lane</x:v>
      </x:c>
      <x:c r="AA139" s="12" t="str">
        <x:f>IF(R139="","no_claim_delta","claim_delta_present")</x:f>
        <x:v>no_claim_delta</x:v>
      </x:c>
      <x:c r="AB139" s="12" t="str">
        <x:f>IF(S139="","no_contradiction_delta","contradiction_delta_present")</x:f>
        <x:v>no_contradiction_delta</x:v>
      </x:c>
      <x:c r="AC139" s="12" t="str">
        <x:f>IF(OR(ISNUMBER(SEARCH("hacker",LOWER(F139&amp;" "&amp;H139&amp;" "&amp;I139&amp;" "&amp;M139&amp;" "&amp;N139&amp;" "&amp;T139))),ISNUMBER(SEARCH("hacking",LOWER(F139&amp;" "&amp;H139&amp;" "&amp;I139&amp;" "&amp;M139&amp;" "&amp;N139&amp;" "&amp;T139))),ISNUMBER(SEARCH("bank",LOWER(F139&amp;" "&amp;H139&amp;" "&amp;I139&amp;" "&amp;M139&amp;" "&amp;N139&amp;" "&amp;T139))),ISNUMBER(SEARCH("banking",LOWER(F139&amp;" "&amp;H139&amp;" "&amp;I139&amp;" "&amp;M139&amp;" "&amp;N139&amp;" "&amp;T139)))),"PRIVATE_QUARANTINE",IF(OR(ISNUMBER(SEARCH("treasury",LOWER(F139&amp;" "&amp;H139&amp;" "&amp;I139&amp;" "&amp;M139&amp;" "&amp;N139&amp;" "&amp;T139))),ISNUMBER(SEARCH("debt",LOWER(F139&amp;" "&amp;H139&amp;" "&amp;I139&amp;" "&amp;M139&amp;" "&amp;N139&amp;" "&amp;T139))),ISNUMBER(SEARCH("bond",LOWER(F139&amp;" "&amp;H139&amp;" "&amp;I139&amp;" "&amp;M139&amp;" "&amp;N139&amp;" "&amp;T139))),ISNUMBER(SEARCH("transaction",LOWER(F139&amp;" "&amp;H139&amp;" "&amp;I139&amp;" "&amp;M139&amp;" "&amp;N139&amp;" "&amp;T139)))),"PRIVATE_REVIEW","PUBLIC_CANDIDATE"))</x:f>
        <x:v>PUBLIC_CANDIDATE</x:v>
      </x:c>
      <x:c r="AD139" s="12" t="str">
        <x:f>IF(AC139="PRIVATE_QUARANTINE","hacker_or_bank_trigger",IF(AC139="PRIVATE_REVIEW","finance_risk_trigger","none"))</x:f>
        <x:v>none</x:v>
      </x:c>
      <x:c r="AE139" s="12" t="str">
        <x:f>IF(AC139="PUBLIC_CANDIDATE","prepare_public_github_candidate",IF(AC139="PRIVATE_REVIEW","hold_for_private_review","quarantine_private_do_not_publish"))</x:f>
        <x:v>prepare_public_github_candidate</x:v>
      </x:c>
      <x:c r="AF139" s="12" t="str">
        <x:f>IF(AC139="PUBLIC_CANDIDATE","TIDELOCK + Lucerna",IF(AC139="PRIVATE_REVIEW","AtlasBrain + Lucerna","TIDELOCK + Lucerna + Human-root"))</x:f>
        <x:v>TIDELOCK + Lucerna</x:v>
      </x:c>
      <x:c r="AG139" s="12" t="str">
        <x:f>IF(AND(AC139="PUBLIC_CANDIDATE",U139&lt;&gt;"BLOCKED_PENDING_RECEIPT"),"READY_AFTER_RECEIPT","NOT_READY")</x:f>
        <x:v>NOT_READY</x:v>
      </x:c>
      <x:c r="AH139" s="12" t="str">
        <x:f>IF(AC139="PUBLIC_CANDIDATE","none",AD139)</x:f>
        <x:v>none</x:v>
      </x:c>
      <x:c r="AI139" s="12" t="str">
        <x:f>IF(AC139="PUBLIC_CANDIDATE","archive/public_candidates/"&amp;A139,"private_quarantine/"&amp;A139)</x:f>
        <x:v>archive/public_candidates/SWARM-01-H12-S06</x:v>
      </x:c>
      <x:c r="AJ139" s="12" t="str">
        <x:f>IF(AC139="PUBLIC_CANDIDATE","public by default; still not canon","private/hold; do not publish")</x:f>
        <x:v>public by default; still not canon</x:v>
      </x:c>
      <x:c r="AK139" s="12" t="str">
        <x:f>IF(AE139="prepare_public_github_candidate","add receipt/status then mirror","resolve blocker before any public GitHub action")</x:f>
        <x:v>add receipt/status then mirror</x:v>
      </x:c>
    </x:row>
    <x:row r="140">
      <x:c r="A140" s="15" t="str">
        <x:v>SWARM-01-H12-S07</x:v>
      </x:c>
      <x:c r="B140" s="15" t="str">
        <x:v>Ledgerwake</x:v>
      </x:c>
      <x:c r="C140" s="15" t="str">
        <x:v>Source receipt keeper</x:v>
      </x:c>
      <x:c r="D140" s="15" t="str">
        <x:v>Canon-Gate Prep</x:v>
      </x:c>
      <x:c r="E140" s="15" t="str">
        <x:v>Planetarium</x:v>
      </x:c>
      <x:c r="F140" s="15" t="str">
        <x:v>Prepare canon-gate brief for Planetarium — Ledgerwake</x:v>
      </x:c>
      <x:c r="G140" s="15" t="str">
        <x:v>inventory / receipts / raw custody</x:v>
      </x:c>
      <x:c r="H140" s="15" t="str">
        <x:v>source path + receipt + raw/export status + claim/edge/risk delta</x:v>
      </x:c>
      <x:c r="I140" s="15" t="str">
        <x:v>packet/SWARM-01-H12-S07</x:v>
      </x:c>
      <x:c r="J140" s="15" t="str">
        <x:v>TODO</x:v>
      </x:c>
      <x:c r="K140" s="15" t="str">
        <x:v>P1</x:v>
      </x:c>
      <x:c r="L140" s="15" t="str">
        <x:v>Done only when evidence is logged, contradiction search is noted, and boundary stamp remains non-canon unless ratified</x:v>
      </x:c>
      <x:c r="M140" s="15" t="str">
        <x:v>candidate / staging-only / not canon / not deployed / authority none</x:v>
      </x:c>
      <x:c r="N140" s="15" t="str">
        <x:v>Dispatch to Ledgerwake: complete Canon-Gate Prep x Planetarium; return deltas only, receipts required.</x:v>
      </x:c>
      <x:c r="O140" s="15" t="str">
        <x:v>AF-KG-H12-S07</x:v>
      </x:c>
      <x:c r="P140" s="15" t="str">
        <x:v>Unverified</x:v>
      </x:c>
      <x:c r="Q140" s="15" t="str">
        <x:v>Not checked</x:v>
      </x:c>
      <x:c r="R140" s="15" t="str"/>
      <x:c r="S140" s="15" t="str"/>
      <x:c r="T140" s="15" t="str">
        <x:v>Log first source path or blocker</x:v>
      </x:c>
      <x:c r="U140" s="12" t="str">
        <x:f>IF(OR(P140="Unverified",Q140="Not checked"),"BLOCKED_PENDING_RECEIPT","READY_FOR_REVIEW")</x:f>
        <x:v>BLOCKED_PENDING_RECEIPT</x:v>
      </x:c>
      <x:c r="V140" s="12" t="str">
        <x:f>IF(J140="DONE","RETURNED",IF(U140="BLOCKED_PENDING_RECEIPT","SOURCE_TOUCH_REQUIRED","IN_PROGRESS"))</x:f>
        <x:v>SOURCE_TOUCH_REQUIRED</x:v>
      </x:c>
      <x:c r="W140" s="12" t="str">
        <x:f>IF(P140="Unverified","missing_receipt","receipt_logged")</x:f>
        <x:v>missing_receipt</x:v>
      </x:c>
      <x:c r="X140" s="12" t="str">
        <x:f>IF(Q140="Not checked","raw_status_missing","raw_status_logged")</x:f>
        <x:v>raw_status_missing</x:v>
      </x:c>
      <x:c r="Y140" s="12" t="str">
        <x:f>IF(U140="BLOCKED_PENDING_RECEIPT","Log source path or blocker; do not promote","Route to review lane")</x:f>
        <x:v>Log source path or blocker; do not promote</x:v>
      </x:c>
      <x:c r="Z140" s="12" t="str">
        <x:f>IF(K140="P0","Primary seat + Hashlight/Lucerna","Seat lane")</x:f>
        <x:v>Seat lane</x:v>
      </x:c>
      <x:c r="AA140" s="12" t="str">
        <x:f>IF(R140="","no_claim_delta","claim_delta_present")</x:f>
        <x:v>no_claim_delta</x:v>
      </x:c>
      <x:c r="AB140" s="12" t="str">
        <x:f>IF(S140="","no_contradiction_delta","contradiction_delta_present")</x:f>
        <x:v>no_contradiction_delta</x:v>
      </x:c>
      <x:c r="AC140" s="12" t="str">
        <x:f>IF(OR(ISNUMBER(SEARCH("hacker",LOWER(F140&amp;" "&amp;H140&amp;" "&amp;I140&amp;" "&amp;M140&amp;" "&amp;N140&amp;" "&amp;T140))),ISNUMBER(SEARCH("hacking",LOWER(F140&amp;" "&amp;H140&amp;" "&amp;I140&amp;" "&amp;M140&amp;" "&amp;N140&amp;" "&amp;T140))),ISNUMBER(SEARCH("bank",LOWER(F140&amp;" "&amp;H140&amp;" "&amp;I140&amp;" "&amp;M140&amp;" "&amp;N140&amp;" "&amp;T140))),ISNUMBER(SEARCH("banking",LOWER(F140&amp;" "&amp;H140&amp;" "&amp;I140&amp;" "&amp;M140&amp;" "&amp;N140&amp;" "&amp;T140)))),"PRIVATE_QUARANTINE",IF(OR(ISNUMBER(SEARCH("treasury",LOWER(F140&amp;" "&amp;H140&amp;" "&amp;I140&amp;" "&amp;M140&amp;" "&amp;N140&amp;" "&amp;T140))),ISNUMBER(SEARCH("debt",LOWER(F140&amp;" "&amp;H140&amp;" "&amp;I140&amp;" "&amp;M140&amp;" "&amp;N140&amp;" "&amp;T140))),ISNUMBER(SEARCH("bond",LOWER(F140&amp;" "&amp;H140&amp;" "&amp;I140&amp;" "&amp;M140&amp;" "&amp;N140&amp;" "&amp;T140))),ISNUMBER(SEARCH("transaction",LOWER(F140&amp;" "&amp;H140&amp;" "&amp;I140&amp;" "&amp;M140&amp;" "&amp;N140&amp;" "&amp;T140)))),"PRIVATE_REVIEW","PUBLIC_CANDIDATE"))</x:f>
        <x:v>PUBLIC_CANDIDATE</x:v>
      </x:c>
      <x:c r="AD140" s="12" t="str">
        <x:f>IF(AC140="PRIVATE_QUARANTINE","hacker_or_bank_trigger",IF(AC140="PRIVATE_REVIEW","finance_risk_trigger","none"))</x:f>
        <x:v>none</x:v>
      </x:c>
      <x:c r="AE140" s="12" t="str">
        <x:f>IF(AC140="PUBLIC_CANDIDATE","prepare_public_github_candidate",IF(AC140="PRIVATE_REVIEW","hold_for_private_review","quarantine_private_do_not_publish"))</x:f>
        <x:v>prepare_public_github_candidate</x:v>
      </x:c>
      <x:c r="AF140" s="12" t="str">
        <x:f>IF(AC140="PUBLIC_CANDIDATE","TIDELOCK + Lucerna",IF(AC140="PRIVATE_REVIEW","AtlasBrain + Lucerna","TIDELOCK + Lucerna + Human-root"))</x:f>
        <x:v>TIDELOCK + Lucerna</x:v>
      </x:c>
      <x:c r="AG140" s="12" t="str">
        <x:f>IF(AND(AC140="PUBLIC_CANDIDATE",U140&lt;&gt;"BLOCKED_PENDING_RECEIPT"),"READY_AFTER_RECEIPT","NOT_READY")</x:f>
        <x:v>NOT_READY</x:v>
      </x:c>
      <x:c r="AH140" s="12" t="str">
        <x:f>IF(AC140="PUBLIC_CANDIDATE","none",AD140)</x:f>
        <x:v>none</x:v>
      </x:c>
      <x:c r="AI140" s="12" t="str">
        <x:f>IF(AC140="PUBLIC_CANDIDATE","archive/public_candidates/"&amp;A140,"private_quarantine/"&amp;A140)</x:f>
        <x:v>archive/public_candidates/SWARM-01-H12-S07</x:v>
      </x:c>
      <x:c r="AJ140" s="12" t="str">
        <x:f>IF(AC140="PUBLIC_CANDIDATE","public by default; still not canon","private/hold; do not publish")</x:f>
        <x:v>public by default; still not canon</x:v>
      </x:c>
      <x:c r="AK140" s="12" t="str">
        <x:f>IF(AE140="prepare_public_github_candidate","add receipt/status then mirror","resolve blocker before any public GitHub action")</x:f>
        <x:v>add receipt/status then mirror</x:v>
      </x:c>
    </x:row>
    <x:row r="141">
      <x:c r="A141" s="15" t="str">
        <x:v>SWARM-01-H12-S08</x:v>
      </x:c>
      <x:c r="B141" s="15" t="str">
        <x:v>Ledgerwake</x:v>
      </x:c>
      <x:c r="C141" s="15" t="str">
        <x:v>Source receipt keeper</x:v>
      </x:c>
      <x:c r="D141" s="15" t="str">
        <x:v>Canon-Gate Prep</x:v>
      </x:c>
      <x:c r="E141" s="15" t="str">
        <x:v>Sheldonbrain</x:v>
      </x:c>
      <x:c r="F141" s="15" t="str">
        <x:v>Prepare canon-gate brief for Sheldonbrain — Ledgerwake</x:v>
      </x:c>
      <x:c r="G141" s="15" t="str">
        <x:v>inventory / receipts / raw custody</x:v>
      </x:c>
      <x:c r="H141" s="15" t="str">
        <x:v>source path + receipt + raw/export status + claim/edge/risk delta</x:v>
      </x:c>
      <x:c r="I141" s="15" t="str">
        <x:v>packet/SWARM-01-H12-S08</x:v>
      </x:c>
      <x:c r="J141" s="15" t="str">
        <x:v>TODO</x:v>
      </x:c>
      <x:c r="K141" s="15" t="str">
        <x:v>P1</x:v>
      </x:c>
      <x:c r="L141" s="15" t="str">
        <x:v>Done only when evidence is logged, contradiction search is noted, and boundary stamp remains non-canon unless ratified</x:v>
      </x:c>
      <x:c r="M141" s="15" t="str">
        <x:v>candidate / staging-only / not canon / not deployed / authority none</x:v>
      </x:c>
      <x:c r="N141" s="15" t="str">
        <x:v>Dispatch to Ledgerwake: complete Canon-Gate Prep x Sheldonbrain; return deltas only, receipts required.</x:v>
      </x:c>
      <x:c r="O141" s="15" t="str">
        <x:v>AF-KG-H12-S08</x:v>
      </x:c>
      <x:c r="P141" s="15" t="str">
        <x:v>Unverified</x:v>
      </x:c>
      <x:c r="Q141" s="15" t="str">
        <x:v>Not checked</x:v>
      </x:c>
      <x:c r="R141" s="15" t="str"/>
      <x:c r="S141" s="15" t="str"/>
      <x:c r="T141" s="15" t="str">
        <x:v>Log first source path or blocker</x:v>
      </x:c>
      <x:c r="U141" s="12" t="str">
        <x:f>IF(OR(P141="Unverified",Q141="Not checked"),"BLOCKED_PENDING_RECEIPT","READY_FOR_REVIEW")</x:f>
        <x:v>BLOCKED_PENDING_RECEIPT</x:v>
      </x:c>
      <x:c r="V141" s="12" t="str">
        <x:f>IF(J141="DONE","RETURNED",IF(U141="BLOCKED_PENDING_RECEIPT","SOURCE_TOUCH_REQUIRED","IN_PROGRESS"))</x:f>
        <x:v>SOURCE_TOUCH_REQUIRED</x:v>
      </x:c>
      <x:c r="W141" s="12" t="str">
        <x:f>IF(P141="Unverified","missing_receipt","receipt_logged")</x:f>
        <x:v>missing_receipt</x:v>
      </x:c>
      <x:c r="X141" s="12" t="str">
        <x:f>IF(Q141="Not checked","raw_status_missing","raw_status_logged")</x:f>
        <x:v>raw_status_missing</x:v>
      </x:c>
      <x:c r="Y141" s="12" t="str">
        <x:f>IF(U141="BLOCKED_PENDING_RECEIPT","Log source path or blocker; do not promote","Route to review lane")</x:f>
        <x:v>Log source path or blocker; do not promote</x:v>
      </x:c>
      <x:c r="Z141" s="12" t="str">
        <x:f>IF(K141="P0","Primary seat + Hashlight/Lucerna","Seat lane")</x:f>
        <x:v>Seat lane</x:v>
      </x:c>
      <x:c r="AA141" s="12" t="str">
        <x:f>IF(R141="","no_claim_delta","claim_delta_present")</x:f>
        <x:v>no_claim_delta</x:v>
      </x:c>
      <x:c r="AB141" s="12" t="str">
        <x:f>IF(S141="","no_contradiction_delta","contradiction_delta_present")</x:f>
        <x:v>no_contradiction_delta</x:v>
      </x:c>
      <x:c r="AC141" s="12" t="str">
        <x:f>IF(OR(ISNUMBER(SEARCH("hacker",LOWER(F141&amp;" "&amp;H141&amp;" "&amp;I141&amp;" "&amp;M141&amp;" "&amp;N141&amp;" "&amp;T141))),ISNUMBER(SEARCH("hacking",LOWER(F141&amp;" "&amp;H141&amp;" "&amp;I141&amp;" "&amp;M141&amp;" "&amp;N141&amp;" "&amp;T141))),ISNUMBER(SEARCH("bank",LOWER(F141&amp;" "&amp;H141&amp;" "&amp;I141&amp;" "&amp;M141&amp;" "&amp;N141&amp;" "&amp;T141))),ISNUMBER(SEARCH("banking",LOWER(F141&amp;" "&amp;H141&amp;" "&amp;I141&amp;" "&amp;M141&amp;" "&amp;N141&amp;" "&amp;T141)))),"PRIVATE_QUARANTINE",IF(OR(ISNUMBER(SEARCH("treasury",LOWER(F141&amp;" "&amp;H141&amp;" "&amp;I141&amp;" "&amp;M141&amp;" "&amp;N141&amp;" "&amp;T141))),ISNUMBER(SEARCH("debt",LOWER(F141&amp;" "&amp;H141&amp;" "&amp;I141&amp;" "&amp;M141&amp;" "&amp;N141&amp;" "&amp;T141))),ISNUMBER(SEARCH("bond",LOWER(F141&amp;" "&amp;H141&amp;" "&amp;I141&amp;" "&amp;M141&amp;" "&amp;N141&amp;" "&amp;T141))),ISNUMBER(SEARCH("transaction",LOWER(F141&amp;" "&amp;H141&amp;" "&amp;I141&amp;" "&amp;M141&amp;" "&amp;N141&amp;" "&amp;T141)))),"PRIVATE_REVIEW","PUBLIC_CANDIDATE"))</x:f>
        <x:v>PUBLIC_CANDIDATE</x:v>
      </x:c>
      <x:c r="AD141" s="12" t="str">
        <x:f>IF(AC141="PRIVATE_QUARANTINE","hacker_or_bank_trigger",IF(AC141="PRIVATE_REVIEW","finance_risk_trigger","none"))</x:f>
        <x:v>none</x:v>
      </x:c>
      <x:c r="AE141" s="12" t="str">
        <x:f>IF(AC141="PUBLIC_CANDIDATE","prepare_public_github_candidate",IF(AC141="PRIVATE_REVIEW","hold_for_private_review","quarantine_private_do_not_publish"))</x:f>
        <x:v>prepare_public_github_candidate</x:v>
      </x:c>
      <x:c r="AF141" s="12" t="str">
        <x:f>IF(AC141="PUBLIC_CANDIDATE","TIDELOCK + Lucerna",IF(AC141="PRIVATE_REVIEW","AtlasBrain + Lucerna","TIDELOCK + Lucerna + Human-root"))</x:f>
        <x:v>TIDELOCK + Lucerna</x:v>
      </x:c>
      <x:c r="AG141" s="12" t="str">
        <x:f>IF(AND(AC141="PUBLIC_CANDIDATE",U141&lt;&gt;"BLOCKED_PENDING_RECEIPT"),"READY_AFTER_RECEIPT","NOT_READY")</x:f>
        <x:v>NOT_READY</x:v>
      </x:c>
      <x:c r="AH141" s="12" t="str">
        <x:f>IF(AC141="PUBLIC_CANDIDATE","none",AD141)</x:f>
        <x:v>none</x:v>
      </x:c>
      <x:c r="AI141" s="12" t="str">
        <x:f>IF(AC141="PUBLIC_CANDIDATE","archive/public_candidates/"&amp;A141,"private_quarantine/"&amp;A141)</x:f>
        <x:v>archive/public_candidates/SWARM-01-H12-S08</x:v>
      </x:c>
      <x:c r="AJ141" s="12" t="str">
        <x:f>IF(AC141="PUBLIC_CANDIDATE","public by default; still not canon","private/hold; do not publish")</x:f>
        <x:v>public by default; still not canon</x:v>
      </x:c>
      <x:c r="AK141" s="12" t="str">
        <x:f>IF(AE141="prepare_public_github_candidate","add receipt/status then mirror","resolve blocker before any public GitHub action")</x:f>
        <x:v>add receipt/status then mirror</x:v>
      </x:c>
    </x:row>
    <x:row r="142">
      <x:c r="A142" s="15" t="str">
        <x:v>SWARM-01-H12-S09</x:v>
      </x:c>
      <x:c r="B142" s="15" t="str">
        <x:v>Ledgerwake</x:v>
      </x:c>
      <x:c r="C142" s="15" t="str">
        <x:v>Source receipt keeper</x:v>
      </x:c>
      <x:c r="D142" s="15" t="str">
        <x:v>Canon-Gate Prep</x:v>
      </x:c>
      <x:c r="E142" s="15" t="str">
        <x:v>Aetherforge</x:v>
      </x:c>
      <x:c r="F142" s="15" t="str">
        <x:v>Prepare canon-gate brief for Aetherforge — Ledgerwake</x:v>
      </x:c>
      <x:c r="G142" s="15" t="str">
        <x:v>inventory / receipts / raw custody</x:v>
      </x:c>
      <x:c r="H142" s="15" t="str">
        <x:v>source path + receipt + raw/export status + claim/edge/risk delta</x:v>
      </x:c>
      <x:c r="I142" s="15" t="str">
        <x:v>packet/SWARM-01-H12-S09</x:v>
      </x:c>
      <x:c r="J142" s="15" t="str">
        <x:v>TODO</x:v>
      </x:c>
      <x:c r="K142" s="15" t="str">
        <x:v>P2</x:v>
      </x:c>
      <x:c r="L142" s="15" t="str">
        <x:v>Done only when evidence is logged, contradiction search is noted, and boundary stamp remains non-canon unless ratified</x:v>
      </x:c>
      <x:c r="M142" s="15" t="str">
        <x:v>candidate / staging-only / not canon / not deployed / authority none</x:v>
      </x:c>
      <x:c r="N142" s="15" t="str">
        <x:v>Dispatch to Ledgerwake: complete Canon-Gate Prep x Aetherforge; return deltas only, receipts required.</x:v>
      </x:c>
      <x:c r="O142" s="15" t="str">
        <x:v>AF-KG-H12-S09</x:v>
      </x:c>
      <x:c r="P142" s="15" t="str">
        <x:v>Unverified</x:v>
      </x:c>
      <x:c r="Q142" s="15" t="str">
        <x:v>Not checked</x:v>
      </x:c>
      <x:c r="R142" s="15" t="str"/>
      <x:c r="S142" s="15" t="str"/>
      <x:c r="T142" s="15" t="str">
        <x:v>Log first source path or blocker</x:v>
      </x:c>
      <x:c r="U142" s="12" t="str">
        <x:f>IF(OR(P142="Unverified",Q142="Not checked"),"BLOCKED_PENDING_RECEIPT","READY_FOR_REVIEW")</x:f>
        <x:v>BLOCKED_PENDING_RECEIPT</x:v>
      </x:c>
      <x:c r="V142" s="12" t="str">
        <x:f>IF(J142="DONE","RETURNED",IF(U142="BLOCKED_PENDING_RECEIPT","SOURCE_TOUCH_REQUIRED","IN_PROGRESS"))</x:f>
        <x:v>SOURCE_TOUCH_REQUIRED</x:v>
      </x:c>
      <x:c r="W142" s="12" t="str">
        <x:f>IF(P142="Unverified","missing_receipt","receipt_logged")</x:f>
        <x:v>missing_receipt</x:v>
      </x:c>
      <x:c r="X142" s="12" t="str">
        <x:f>IF(Q142="Not checked","raw_status_missing","raw_status_logged")</x:f>
        <x:v>raw_status_missing</x:v>
      </x:c>
      <x:c r="Y142" s="12" t="str">
        <x:f>IF(U142="BLOCKED_PENDING_RECEIPT","Log source path or blocker; do not promote","Route to review lane")</x:f>
        <x:v>Log source path or blocker; do not promote</x:v>
      </x:c>
      <x:c r="Z142" s="12" t="str">
        <x:f>IF(K142="P0","Primary seat + Hashlight/Lucerna","Seat lane")</x:f>
        <x:v>Seat lane</x:v>
      </x:c>
      <x:c r="AA142" s="12" t="str">
        <x:f>IF(R142="","no_claim_delta","claim_delta_present")</x:f>
        <x:v>no_claim_delta</x:v>
      </x:c>
      <x:c r="AB142" s="12" t="str">
        <x:f>IF(S142="","no_contradiction_delta","contradiction_delta_present")</x:f>
        <x:v>no_contradiction_delta</x:v>
      </x:c>
      <x:c r="AC142" s="12" t="str">
        <x:f>IF(OR(ISNUMBER(SEARCH("hacker",LOWER(F142&amp;" "&amp;H142&amp;" "&amp;I142&amp;" "&amp;M142&amp;" "&amp;N142&amp;" "&amp;T142))),ISNUMBER(SEARCH("hacking",LOWER(F142&amp;" "&amp;H142&amp;" "&amp;I142&amp;" "&amp;M142&amp;" "&amp;N142&amp;" "&amp;T142))),ISNUMBER(SEARCH("bank",LOWER(F142&amp;" "&amp;H142&amp;" "&amp;I142&amp;" "&amp;M142&amp;" "&amp;N142&amp;" "&amp;T142))),ISNUMBER(SEARCH("banking",LOWER(F142&amp;" "&amp;H142&amp;" "&amp;I142&amp;" "&amp;M142&amp;" "&amp;N142&amp;" "&amp;T142)))),"PRIVATE_QUARANTINE",IF(OR(ISNUMBER(SEARCH("treasury",LOWER(F142&amp;" "&amp;H142&amp;" "&amp;I142&amp;" "&amp;M142&amp;" "&amp;N142&amp;" "&amp;T142))),ISNUMBER(SEARCH("debt",LOWER(F142&amp;" "&amp;H142&amp;" "&amp;I142&amp;" "&amp;M142&amp;" "&amp;N142&amp;" "&amp;T142))),ISNUMBER(SEARCH("bond",LOWER(F142&amp;" "&amp;H142&amp;" "&amp;I142&amp;" "&amp;M142&amp;" "&amp;N142&amp;" "&amp;T142))),ISNUMBER(SEARCH("transaction",LOWER(F142&amp;" "&amp;H142&amp;" "&amp;I142&amp;" "&amp;M142&amp;" "&amp;N142&amp;" "&amp;T142)))),"PRIVATE_REVIEW","PUBLIC_CANDIDATE"))</x:f>
        <x:v>PUBLIC_CANDIDATE</x:v>
      </x:c>
      <x:c r="AD142" s="12" t="str">
        <x:f>IF(AC142="PRIVATE_QUARANTINE","hacker_or_bank_trigger",IF(AC142="PRIVATE_REVIEW","finance_risk_trigger","none"))</x:f>
        <x:v>none</x:v>
      </x:c>
      <x:c r="AE142" s="12" t="str">
        <x:f>IF(AC142="PUBLIC_CANDIDATE","prepare_public_github_candidate",IF(AC142="PRIVATE_REVIEW","hold_for_private_review","quarantine_private_do_not_publish"))</x:f>
        <x:v>prepare_public_github_candidate</x:v>
      </x:c>
      <x:c r="AF142" s="12" t="str">
        <x:f>IF(AC142="PUBLIC_CANDIDATE","TIDELOCK + Lucerna",IF(AC142="PRIVATE_REVIEW","AtlasBrain + Lucerna","TIDELOCK + Lucerna + Human-root"))</x:f>
        <x:v>TIDELOCK + Lucerna</x:v>
      </x:c>
      <x:c r="AG142" s="12" t="str">
        <x:f>IF(AND(AC142="PUBLIC_CANDIDATE",U142&lt;&gt;"BLOCKED_PENDING_RECEIPT"),"READY_AFTER_RECEIPT","NOT_READY")</x:f>
        <x:v>NOT_READY</x:v>
      </x:c>
      <x:c r="AH142" s="12" t="str">
        <x:f>IF(AC142="PUBLIC_CANDIDATE","none",AD142)</x:f>
        <x:v>none</x:v>
      </x:c>
      <x:c r="AI142" s="12" t="str">
        <x:f>IF(AC142="PUBLIC_CANDIDATE","archive/public_candidates/"&amp;A142,"private_quarantine/"&amp;A142)</x:f>
        <x:v>archive/public_candidates/SWARM-01-H12-S09</x:v>
      </x:c>
      <x:c r="AJ142" s="12" t="str">
        <x:f>IF(AC142="PUBLIC_CANDIDATE","public by default; still not canon","private/hold; do not publish")</x:f>
        <x:v>public by default; still not canon</x:v>
      </x:c>
      <x:c r="AK142" s="12" t="str">
        <x:f>IF(AE142="prepare_public_github_candidate","add receipt/status then mirror","resolve blocker before any public GitHub action")</x:f>
        <x:v>add receipt/status then mirror</x:v>
      </x:c>
    </x:row>
    <x:row r="143">
      <x:c r="A143" s="15" t="str">
        <x:v>SWARM-01-H12-S10</x:v>
      </x:c>
      <x:c r="B143" s="15" t="str">
        <x:v>Ledgerwake</x:v>
      </x:c>
      <x:c r="C143" s="15" t="str">
        <x:v>Source receipt keeper</x:v>
      </x:c>
      <x:c r="D143" s="15" t="str">
        <x:v>Canon-Gate Prep</x:v>
      </x:c>
      <x:c r="E143" s="15" t="str">
        <x:v>Human-Root</x:v>
      </x:c>
      <x:c r="F143" s="15" t="str">
        <x:v>Prepare canon-gate brief for Human-Root — Ledgerwake</x:v>
      </x:c>
      <x:c r="G143" s="15" t="str">
        <x:v>inventory / receipts / raw custody</x:v>
      </x:c>
      <x:c r="H143" s="15" t="str">
        <x:v>source path + receipt + raw/export status + claim/edge/risk delta</x:v>
      </x:c>
      <x:c r="I143" s="15" t="str">
        <x:v>packet/SWARM-01-H12-S10</x:v>
      </x:c>
      <x:c r="J143" s="15" t="str">
        <x:v>TODO</x:v>
      </x:c>
      <x:c r="K143" s="15" t="str">
        <x:v>P2</x:v>
      </x:c>
      <x:c r="L143" s="15" t="str">
        <x:v>Done only when evidence is logged, contradiction search is noted, and boundary stamp remains non-canon unless ratified</x:v>
      </x:c>
      <x:c r="M143" s="15" t="str">
        <x:v>candidate / staging-only / not canon / not deployed / authority none</x:v>
      </x:c>
      <x:c r="N143" s="15" t="str">
        <x:v>Dispatch to Ledgerwake: complete Canon-Gate Prep x Human-Root; return deltas only, receipts required.</x:v>
      </x:c>
      <x:c r="O143" s="15" t="str">
        <x:v>AF-KG-H12-S10</x:v>
      </x:c>
      <x:c r="P143" s="15" t="str">
        <x:v>Unverified</x:v>
      </x:c>
      <x:c r="Q143" s="15" t="str">
        <x:v>Not checked</x:v>
      </x:c>
      <x:c r="R143" s="15" t="str"/>
      <x:c r="S143" s="15" t="str"/>
      <x:c r="T143" s="15" t="str">
        <x:v>Log first source path or blocker</x:v>
      </x:c>
      <x:c r="U143" s="12" t="str">
        <x:f>IF(OR(P143="Unverified",Q143="Not checked"),"BLOCKED_PENDING_RECEIPT","READY_FOR_REVIEW")</x:f>
        <x:v>BLOCKED_PENDING_RECEIPT</x:v>
      </x:c>
      <x:c r="V143" s="12" t="str">
        <x:f>IF(J143="DONE","RETURNED",IF(U143="BLOCKED_PENDING_RECEIPT","SOURCE_TOUCH_REQUIRED","IN_PROGRESS"))</x:f>
        <x:v>SOURCE_TOUCH_REQUIRED</x:v>
      </x:c>
      <x:c r="W143" s="12" t="str">
        <x:f>IF(P143="Unverified","missing_receipt","receipt_logged")</x:f>
        <x:v>missing_receipt</x:v>
      </x:c>
      <x:c r="X143" s="12" t="str">
        <x:f>IF(Q143="Not checked","raw_status_missing","raw_status_logged")</x:f>
        <x:v>raw_status_missing</x:v>
      </x:c>
      <x:c r="Y143" s="12" t="str">
        <x:f>IF(U143="BLOCKED_PENDING_RECEIPT","Log source path or blocker; do not promote","Route to review lane")</x:f>
        <x:v>Log source path or blocker; do not promote</x:v>
      </x:c>
      <x:c r="Z143" s="12" t="str">
        <x:f>IF(K143="P0","Primary seat + Hashlight/Lucerna","Seat lane")</x:f>
        <x:v>Seat lane</x:v>
      </x:c>
      <x:c r="AA143" s="12" t="str">
        <x:f>IF(R143="","no_claim_delta","claim_delta_present")</x:f>
        <x:v>no_claim_delta</x:v>
      </x:c>
      <x:c r="AB143" s="12" t="str">
        <x:f>IF(S143="","no_contradiction_delta","contradiction_delta_present")</x:f>
        <x:v>no_contradiction_delta</x:v>
      </x:c>
      <x:c r="AC143" s="12" t="str">
        <x:f>IF(OR(ISNUMBER(SEARCH("hacker",LOWER(F143&amp;" "&amp;H143&amp;" "&amp;I143&amp;" "&amp;M143&amp;" "&amp;N143&amp;" "&amp;T143))),ISNUMBER(SEARCH("hacking",LOWER(F143&amp;" "&amp;H143&amp;" "&amp;I143&amp;" "&amp;M143&amp;" "&amp;N143&amp;" "&amp;T143))),ISNUMBER(SEARCH("bank",LOWER(F143&amp;" "&amp;H143&amp;" "&amp;I143&amp;" "&amp;M143&amp;" "&amp;N143&amp;" "&amp;T143))),ISNUMBER(SEARCH("banking",LOWER(F143&amp;" "&amp;H143&amp;" "&amp;I143&amp;" "&amp;M143&amp;" "&amp;N143&amp;" "&amp;T143)))),"PRIVATE_QUARANTINE",IF(OR(ISNUMBER(SEARCH("treasury",LOWER(F143&amp;" "&amp;H143&amp;" "&amp;I143&amp;" "&amp;M143&amp;" "&amp;N143&amp;" "&amp;T143))),ISNUMBER(SEARCH("debt",LOWER(F143&amp;" "&amp;H143&amp;" "&amp;I143&amp;" "&amp;M143&amp;" "&amp;N143&amp;" "&amp;T143))),ISNUMBER(SEARCH("bond",LOWER(F143&amp;" "&amp;H143&amp;" "&amp;I143&amp;" "&amp;M143&amp;" "&amp;N143&amp;" "&amp;T143))),ISNUMBER(SEARCH("transaction",LOWER(F143&amp;" "&amp;H143&amp;" "&amp;I143&amp;" "&amp;M143&amp;" "&amp;N143&amp;" "&amp;T143)))),"PRIVATE_REVIEW","PUBLIC_CANDIDATE"))</x:f>
        <x:v>PUBLIC_CANDIDATE</x:v>
      </x:c>
      <x:c r="AD143" s="12" t="str">
        <x:f>IF(AC143="PRIVATE_QUARANTINE","hacker_or_bank_trigger",IF(AC143="PRIVATE_REVIEW","finance_risk_trigger","none"))</x:f>
        <x:v>none</x:v>
      </x:c>
      <x:c r="AE143" s="12" t="str">
        <x:f>IF(AC143="PUBLIC_CANDIDATE","prepare_public_github_candidate",IF(AC143="PRIVATE_REVIEW","hold_for_private_review","quarantine_private_do_not_publish"))</x:f>
        <x:v>prepare_public_github_candidate</x:v>
      </x:c>
      <x:c r="AF143" s="12" t="str">
        <x:f>IF(AC143="PUBLIC_CANDIDATE","TIDELOCK + Lucerna",IF(AC143="PRIVATE_REVIEW","AtlasBrain + Lucerna","TIDELOCK + Lucerna + Human-root"))</x:f>
        <x:v>TIDELOCK + Lucerna</x:v>
      </x:c>
      <x:c r="AG143" s="12" t="str">
        <x:f>IF(AND(AC143="PUBLIC_CANDIDATE",U143&lt;&gt;"BLOCKED_PENDING_RECEIPT"),"READY_AFTER_RECEIPT","NOT_READY")</x:f>
        <x:v>NOT_READY</x:v>
      </x:c>
      <x:c r="AH143" s="12" t="str">
        <x:f>IF(AC143="PUBLIC_CANDIDATE","none",AD143)</x:f>
        <x:v>none</x:v>
      </x:c>
      <x:c r="AI143" s="12" t="str">
        <x:f>IF(AC143="PUBLIC_CANDIDATE","archive/public_candidates/"&amp;A143,"private_quarantine/"&amp;A143)</x:f>
        <x:v>archive/public_candidates/SWARM-01-H12-S10</x:v>
      </x:c>
      <x:c r="AJ143" s="12" t="str">
        <x:f>IF(AC143="PUBLIC_CANDIDATE","public by default; still not canon","private/hold; do not publish")</x:f>
        <x:v>public by default; still not canon</x:v>
      </x:c>
      <x:c r="AK143" s="12" t="str">
        <x:f>IF(AE143="prepare_public_github_candidate","add receipt/status then mirror","resolve blocker before any public GitHub action")</x:f>
        <x:v>add receipt/status then mirror</x:v>
      </x:c>
    </x:row>
    <x:row r="144">
      <x:c r="A144" s="15" t="str">
        <x:v>SWARM-01-H12-S11</x:v>
      </x:c>
      <x:c r="B144" s="15" t="str">
        <x:v>Ledgerwake</x:v>
      </x:c>
      <x:c r="C144" s="15" t="str">
        <x:v>Source receipt keeper</x:v>
      </x:c>
      <x:c r="D144" s="15" t="str">
        <x:v>Canon-Gate Prep</x:v>
      </x:c>
      <x:c r="E144" s="15" t="str">
        <x:v>Automation</x:v>
      </x:c>
      <x:c r="F144" s="15" t="str">
        <x:v>Prepare canon-gate brief for Automation — Ledgerwake</x:v>
      </x:c>
      <x:c r="G144" s="15" t="str">
        <x:v>inventory / receipts / raw custody</x:v>
      </x:c>
      <x:c r="H144" s="15" t="str">
        <x:v>source path + receipt + raw/export status + claim/edge/risk delta</x:v>
      </x:c>
      <x:c r="I144" s="15" t="str">
        <x:v>packet/SWARM-01-H12-S11</x:v>
      </x:c>
      <x:c r="J144" s="15" t="str">
        <x:v>TODO</x:v>
      </x:c>
      <x:c r="K144" s="15" t="str">
        <x:v>P2</x:v>
      </x:c>
      <x:c r="L144" s="15" t="str">
        <x:v>Done only when evidence is logged, contradiction search is noted, and boundary stamp remains non-canon unless ratified</x:v>
      </x:c>
      <x:c r="M144" s="15" t="str">
        <x:v>candidate / staging-only / not canon / not deployed / authority none</x:v>
      </x:c>
      <x:c r="N144" s="15" t="str">
        <x:v>Dispatch to Ledgerwake: complete Canon-Gate Prep x Automation; return deltas only, receipts required.</x:v>
      </x:c>
      <x:c r="O144" s="15" t="str">
        <x:v>AF-KG-H12-S11</x:v>
      </x:c>
      <x:c r="P144" s="15" t="str">
        <x:v>Unverified</x:v>
      </x:c>
      <x:c r="Q144" s="15" t="str">
        <x:v>Not checked</x:v>
      </x:c>
      <x:c r="R144" s="15" t="str"/>
      <x:c r="S144" s="15" t="str"/>
      <x:c r="T144" s="15" t="str">
        <x:v>Log first source path or blocker</x:v>
      </x:c>
      <x:c r="U144" s="12" t="str">
        <x:f>IF(OR(P144="Unverified",Q144="Not checked"),"BLOCKED_PENDING_RECEIPT","READY_FOR_REVIEW")</x:f>
        <x:v>BLOCKED_PENDING_RECEIPT</x:v>
      </x:c>
      <x:c r="V144" s="12" t="str">
        <x:f>IF(J144="DONE","RETURNED",IF(U144="BLOCKED_PENDING_RECEIPT","SOURCE_TOUCH_REQUIRED","IN_PROGRESS"))</x:f>
        <x:v>SOURCE_TOUCH_REQUIRED</x:v>
      </x:c>
      <x:c r="W144" s="12" t="str">
        <x:f>IF(P144="Unverified","missing_receipt","receipt_logged")</x:f>
        <x:v>missing_receipt</x:v>
      </x:c>
      <x:c r="X144" s="12" t="str">
        <x:f>IF(Q144="Not checked","raw_status_missing","raw_status_logged")</x:f>
        <x:v>raw_status_missing</x:v>
      </x:c>
      <x:c r="Y144" s="12" t="str">
        <x:f>IF(U144="BLOCKED_PENDING_RECEIPT","Log source path or blocker; do not promote","Route to review lane")</x:f>
        <x:v>Log source path or blocker; do not promote</x:v>
      </x:c>
      <x:c r="Z144" s="12" t="str">
        <x:f>IF(K144="P0","Primary seat + Hashlight/Lucerna","Seat lane")</x:f>
        <x:v>Seat lane</x:v>
      </x:c>
      <x:c r="AA144" s="12" t="str">
        <x:f>IF(R144="","no_claim_delta","claim_delta_present")</x:f>
        <x:v>no_claim_delta</x:v>
      </x:c>
      <x:c r="AB144" s="12" t="str">
        <x:f>IF(S144="","no_contradiction_delta","contradiction_delta_present")</x:f>
        <x:v>no_contradiction_delta</x:v>
      </x:c>
      <x:c r="AC144" s="12" t="str">
        <x:f>IF(OR(ISNUMBER(SEARCH("hacker",LOWER(F144&amp;" "&amp;H144&amp;" "&amp;I144&amp;" "&amp;M144&amp;" "&amp;N144&amp;" "&amp;T144))),ISNUMBER(SEARCH("hacking",LOWER(F144&amp;" "&amp;H144&amp;" "&amp;I144&amp;" "&amp;M144&amp;" "&amp;N144&amp;" "&amp;T144))),ISNUMBER(SEARCH("bank",LOWER(F144&amp;" "&amp;H144&amp;" "&amp;I144&amp;" "&amp;M144&amp;" "&amp;N144&amp;" "&amp;T144))),ISNUMBER(SEARCH("banking",LOWER(F144&amp;" "&amp;H144&amp;" "&amp;I144&amp;" "&amp;M144&amp;" "&amp;N144&amp;" "&amp;T144)))),"PRIVATE_QUARANTINE",IF(OR(ISNUMBER(SEARCH("treasury",LOWER(F144&amp;" "&amp;H144&amp;" "&amp;I144&amp;" "&amp;M144&amp;" "&amp;N144&amp;" "&amp;T144))),ISNUMBER(SEARCH("debt",LOWER(F144&amp;" "&amp;H144&amp;" "&amp;I144&amp;" "&amp;M144&amp;" "&amp;N144&amp;" "&amp;T144))),ISNUMBER(SEARCH("bond",LOWER(F144&amp;" "&amp;H144&amp;" "&amp;I144&amp;" "&amp;M144&amp;" "&amp;N144&amp;" "&amp;T144))),ISNUMBER(SEARCH("transaction",LOWER(F144&amp;" "&amp;H144&amp;" "&amp;I144&amp;" "&amp;M144&amp;" "&amp;N144&amp;" "&amp;T144)))),"PRIVATE_REVIEW","PUBLIC_CANDIDATE"))</x:f>
        <x:v>PUBLIC_CANDIDATE</x:v>
      </x:c>
      <x:c r="AD144" s="12" t="str">
        <x:f>IF(AC144="PRIVATE_QUARANTINE","hacker_or_bank_trigger",IF(AC144="PRIVATE_REVIEW","finance_risk_trigger","none"))</x:f>
        <x:v>none</x:v>
      </x:c>
      <x:c r="AE144" s="12" t="str">
        <x:f>IF(AC144="PUBLIC_CANDIDATE","prepare_public_github_candidate",IF(AC144="PRIVATE_REVIEW","hold_for_private_review","quarantine_private_do_not_publish"))</x:f>
        <x:v>prepare_public_github_candidate</x:v>
      </x:c>
      <x:c r="AF144" s="12" t="str">
        <x:f>IF(AC144="PUBLIC_CANDIDATE","TIDELOCK + Lucerna",IF(AC144="PRIVATE_REVIEW","AtlasBrain + Lucerna","TIDELOCK + Lucerna + Human-root"))</x:f>
        <x:v>TIDELOCK + Lucerna</x:v>
      </x:c>
      <x:c r="AG144" s="12" t="str">
        <x:f>IF(AND(AC144="PUBLIC_CANDIDATE",U144&lt;&gt;"BLOCKED_PENDING_RECEIPT"),"READY_AFTER_RECEIPT","NOT_READY")</x:f>
        <x:v>NOT_READY</x:v>
      </x:c>
      <x:c r="AH144" s="12" t="str">
        <x:f>IF(AC144="PUBLIC_CANDIDATE","none",AD144)</x:f>
        <x:v>none</x:v>
      </x:c>
      <x:c r="AI144" s="12" t="str">
        <x:f>IF(AC144="PUBLIC_CANDIDATE","archive/public_candidates/"&amp;A144,"private_quarantine/"&amp;A144)</x:f>
        <x:v>archive/public_candidates/SWARM-01-H12-S11</x:v>
      </x:c>
      <x:c r="AJ144" s="12" t="str">
        <x:f>IF(AC144="PUBLIC_CANDIDATE","public by default; still not canon","private/hold; do not publish")</x:f>
        <x:v>public by default; still not canon</x:v>
      </x:c>
      <x:c r="AK144" s="12" t="str">
        <x:f>IF(AE144="prepare_public_github_candidate","add receipt/status then mirror","resolve blocker before any public GitHub action")</x:f>
        <x:v>add receipt/status then mirror</x:v>
      </x:c>
    </x:row>
    <x:row r="145">
      <x:c r="A145" s="15" t="str">
        <x:v>SWARM-01-H12-S12</x:v>
      </x:c>
      <x:c r="B145" s="15" t="str">
        <x:v>Ledgerwake</x:v>
      </x:c>
      <x:c r="C145" s="15" t="str">
        <x:v>Source receipt keeper</x:v>
      </x:c>
      <x:c r="D145" s="15" t="str">
        <x:v>Canon-Gate Prep</x:v>
      </x:c>
      <x:c r="E145" s="15" t="str">
        <x:v>Risk / Safety</x:v>
      </x:c>
      <x:c r="F145" s="15" t="str">
        <x:v>Prepare canon-gate brief for Risk / Safety — Ledgerwake</x:v>
      </x:c>
      <x:c r="G145" s="15" t="str">
        <x:v>inventory / receipts / raw custody</x:v>
      </x:c>
      <x:c r="H145" s="15" t="str">
        <x:v>source path + receipt + raw/export status + claim/edge/risk delta</x:v>
      </x:c>
      <x:c r="I145" s="15" t="str">
        <x:v>packet/SWARM-01-H12-S12</x:v>
      </x:c>
      <x:c r="J145" s="15" t="str">
        <x:v>TODO</x:v>
      </x:c>
      <x:c r="K145" s="15" t="str">
        <x:v>P2</x:v>
      </x:c>
      <x:c r="L145" s="15" t="str">
        <x:v>Done only when evidence is logged, contradiction search is noted, and boundary stamp remains non-canon unless ratified</x:v>
      </x:c>
      <x:c r="M145" s="15" t="str">
        <x:v>candidate / staging-only / not canon / not deployed / authority none</x:v>
      </x:c>
      <x:c r="N145" s="15" t="str">
        <x:v>Dispatch to Ledgerwake: complete Canon-Gate Prep x Risk / Safety; return deltas only, receipts required.</x:v>
      </x:c>
      <x:c r="O145" s="15" t="str">
        <x:v>AF-KG-H12-S12</x:v>
      </x:c>
      <x:c r="P145" s="15" t="str">
        <x:v>Unverified</x:v>
      </x:c>
      <x:c r="Q145" s="15" t="str">
        <x:v>Not checked</x:v>
      </x:c>
      <x:c r="R145" s="15" t="str"/>
      <x:c r="S145" s="15" t="str"/>
      <x:c r="T145" s="15" t="str">
        <x:v>Log first source path or blocker</x:v>
      </x:c>
      <x:c r="U145" s="12" t="str">
        <x:f>IF(OR(P145="Unverified",Q145="Not checked"),"BLOCKED_PENDING_RECEIPT","READY_FOR_REVIEW")</x:f>
        <x:v>BLOCKED_PENDING_RECEIPT</x:v>
      </x:c>
      <x:c r="V145" s="12" t="str">
        <x:f>IF(J145="DONE","RETURNED",IF(U145="BLOCKED_PENDING_RECEIPT","SOURCE_TOUCH_REQUIRED","IN_PROGRESS"))</x:f>
        <x:v>SOURCE_TOUCH_REQUIRED</x:v>
      </x:c>
      <x:c r="W145" s="12" t="str">
        <x:f>IF(P145="Unverified","missing_receipt","receipt_logged")</x:f>
        <x:v>missing_receipt</x:v>
      </x:c>
      <x:c r="X145" s="12" t="str">
        <x:f>IF(Q145="Not checked","raw_status_missing","raw_status_logged")</x:f>
        <x:v>raw_status_missing</x:v>
      </x:c>
      <x:c r="Y145" s="12" t="str">
        <x:f>IF(U145="BLOCKED_PENDING_RECEIPT","Log source path or blocker; do not promote","Route to review lane")</x:f>
        <x:v>Log source path or blocker; do not promote</x:v>
      </x:c>
      <x:c r="Z145" s="12" t="str">
        <x:f>IF(K145="P0","Primary seat + Hashlight/Lucerna","Seat lane")</x:f>
        <x:v>Seat lane</x:v>
      </x:c>
      <x:c r="AA145" s="12" t="str">
        <x:f>IF(R145="","no_claim_delta","claim_delta_present")</x:f>
        <x:v>no_claim_delta</x:v>
      </x:c>
      <x:c r="AB145" s="12" t="str">
        <x:f>IF(S145="","no_contradiction_delta","contradiction_delta_present")</x:f>
        <x:v>no_contradiction_delta</x:v>
      </x:c>
      <x:c r="AC145" s="12" t="str">
        <x:f>IF(OR(ISNUMBER(SEARCH("hacker",LOWER(F145&amp;" "&amp;H145&amp;" "&amp;I145&amp;" "&amp;M145&amp;" "&amp;N145&amp;" "&amp;T145))),ISNUMBER(SEARCH("hacking",LOWER(F145&amp;" "&amp;H145&amp;" "&amp;I145&amp;" "&amp;M145&amp;" "&amp;N145&amp;" "&amp;T145))),ISNUMBER(SEARCH("bank",LOWER(F145&amp;" "&amp;H145&amp;" "&amp;I145&amp;" "&amp;M145&amp;" "&amp;N145&amp;" "&amp;T145))),ISNUMBER(SEARCH("banking",LOWER(F145&amp;" "&amp;H145&amp;" "&amp;I145&amp;" "&amp;M145&amp;" "&amp;N145&amp;" "&amp;T145)))),"PRIVATE_QUARANTINE",IF(OR(ISNUMBER(SEARCH("treasury",LOWER(F145&amp;" "&amp;H145&amp;" "&amp;I145&amp;" "&amp;M145&amp;" "&amp;N145&amp;" "&amp;T145))),ISNUMBER(SEARCH("debt",LOWER(F145&amp;" "&amp;H145&amp;" "&amp;I145&amp;" "&amp;M145&amp;" "&amp;N145&amp;" "&amp;T145))),ISNUMBER(SEARCH("bond",LOWER(F145&amp;" "&amp;H145&amp;" "&amp;I145&amp;" "&amp;M145&amp;" "&amp;N145&amp;" "&amp;T145))),ISNUMBER(SEARCH("transaction",LOWER(F145&amp;" "&amp;H145&amp;" "&amp;I145&amp;" "&amp;M145&amp;" "&amp;N145&amp;" "&amp;T145)))),"PRIVATE_REVIEW","PUBLIC_CANDIDATE"))</x:f>
        <x:v>PUBLIC_CANDIDATE</x:v>
      </x:c>
      <x:c r="AD145" s="12" t="str">
        <x:f>IF(AC145="PRIVATE_QUARANTINE","hacker_or_bank_trigger",IF(AC145="PRIVATE_REVIEW","finance_risk_trigger","none"))</x:f>
        <x:v>none</x:v>
      </x:c>
      <x:c r="AE145" s="12" t="str">
        <x:f>IF(AC145="PUBLIC_CANDIDATE","prepare_public_github_candidate",IF(AC145="PRIVATE_REVIEW","hold_for_private_review","quarantine_private_do_not_publish"))</x:f>
        <x:v>prepare_public_github_candidate</x:v>
      </x:c>
      <x:c r="AF145" s="12" t="str">
        <x:f>IF(AC145="PUBLIC_CANDIDATE","TIDELOCK + Lucerna",IF(AC145="PRIVATE_REVIEW","AtlasBrain + Lucerna","TIDELOCK + Lucerna + Human-root"))</x:f>
        <x:v>TIDELOCK + Lucerna</x:v>
      </x:c>
      <x:c r="AG145" s="12" t="str">
        <x:f>IF(AND(AC145="PUBLIC_CANDIDATE",U145&lt;&gt;"BLOCKED_PENDING_RECEIPT"),"READY_AFTER_RECEIPT","NOT_READY")</x:f>
        <x:v>NOT_READY</x:v>
      </x:c>
      <x:c r="AH145" s="12" t="str">
        <x:f>IF(AC145="PUBLIC_CANDIDATE","none",AD145)</x:f>
        <x:v>none</x:v>
      </x:c>
      <x:c r="AI145" s="12" t="str">
        <x:f>IF(AC145="PUBLIC_CANDIDATE","archive/public_candidates/"&amp;A145,"private_quarantine/"&amp;A145)</x:f>
        <x:v>archive/public_candidates/SWARM-01-H12-S12</x:v>
      </x:c>
      <x:c r="AJ145" s="12" t="str">
        <x:f>IF(AC145="PUBLIC_CANDIDATE","public by default; still not canon","private/hold; do not publish")</x:f>
        <x:v>public by default; still not canon</x:v>
      </x:c>
      <x:c r="AK145" s="12" t="str">
        <x:f>IF(AE145="prepare_public_github_candidate","add receipt/status then mirror","resolve blocker before any public GitHub action")</x:f>
        <x:v>add receipt/status then mirror</x:v>
      </x:c>
    </x:row>
    <x:row r="146">
      <x:c r="A146" s="15" t="str">
        <x:v>SWARM-02-H01-S01</x:v>
      </x:c>
      <x:c r="B146" s="15" t="str">
        <x:v>Hashlight</x:v>
      </x:c>
      <x:c r="C146" s="15" t="str">
        <x:v>Hash and identity keeper</x:v>
      </x:c>
      <x:c r="D146" s="15" t="str">
        <x:v>Source Inventory</x:v>
      </x:c>
      <x:c r="E146" s="15" t="str">
        <x:v>Notion</x:v>
      </x:c>
      <x:c r="F146" s="15" t="str">
        <x:v>Inventory Notion — Hashlight</x:v>
      </x:c>
      <x:c r="G146" s="15" t="str">
        <x:v>ids / hashes / timestamps / duplicate control</x:v>
      </x:c>
      <x:c r="H146" s="15" t="str">
        <x:v>source path + receipt + raw/export status + claim/edge/risk delta</x:v>
      </x:c>
      <x:c r="I146" s="15" t="str">
        <x:v>packet/SWARM-02-H01-S01</x:v>
      </x:c>
      <x:c r="J146" s="15" t="str">
        <x:v>TODO</x:v>
      </x:c>
      <x:c r="K146" s="15" t="str">
        <x:v>P0</x:v>
      </x:c>
      <x:c r="L146" s="15" t="str">
        <x:v>Done only when evidence is logged, contradiction search is noted, and boundary stamp remains non-canon unless ratified</x:v>
      </x:c>
      <x:c r="M146" s="15" t="str">
        <x:v>candidate / staging-only / not canon / not deployed / authority none</x:v>
      </x:c>
      <x:c r="N146" s="15" t="str">
        <x:v>Dispatch to Hashlight: complete Source Inventory x Notion; return deltas only, receipts required.</x:v>
      </x:c>
      <x:c r="O146" s="15" t="str">
        <x:v>AF-KG-H01-S01</x:v>
      </x:c>
      <x:c r="P146" s="15" t="str">
        <x:v>Unverified</x:v>
      </x:c>
      <x:c r="Q146" s="15" t="str">
        <x:v>Not checked</x:v>
      </x:c>
      <x:c r="R146" s="15" t="str"/>
      <x:c r="S146" s="15" t="str"/>
      <x:c r="T146" s="15" t="str">
        <x:v>Log first source path or blocker</x:v>
      </x:c>
      <x:c r="U146" s="12" t="str">
        <x:f>IF(OR(P146="Unverified",Q146="Not checked"),"BLOCKED_PENDING_RECEIPT","READY_FOR_REVIEW")</x:f>
        <x:v>BLOCKED_PENDING_RECEIPT</x:v>
      </x:c>
      <x:c r="V146" s="12" t="str">
        <x:f>IF(J146="DONE","RETURNED",IF(U146="BLOCKED_PENDING_RECEIPT","SOURCE_TOUCH_REQUIRED","IN_PROGRESS"))</x:f>
        <x:v>SOURCE_TOUCH_REQUIRED</x:v>
      </x:c>
      <x:c r="W146" s="12" t="str">
        <x:f>IF(P146="Unverified","missing_receipt","receipt_logged")</x:f>
        <x:v>missing_receipt</x:v>
      </x:c>
      <x:c r="X146" s="12" t="str">
        <x:f>IF(Q146="Not checked","raw_status_missing","raw_status_logged")</x:f>
        <x:v>raw_status_missing</x:v>
      </x:c>
      <x:c r="Y146" s="12" t="str">
        <x:f>IF(U146="BLOCKED_PENDING_RECEIPT","Log source path or blocker; do not promote","Route to review lane")</x:f>
        <x:v>Log source path or blocker; do not promote</x:v>
      </x:c>
      <x:c r="Z146" s="12" t="str">
        <x:f>IF(K146="P0","Primary seat + Hashlight/Lucerna","Seat lane")</x:f>
        <x:v>Primary seat + Hashlight/Lucerna</x:v>
      </x:c>
      <x:c r="AA146" s="12" t="str">
        <x:f>IF(R146="","no_claim_delta","claim_delta_present")</x:f>
        <x:v>no_claim_delta</x:v>
      </x:c>
      <x:c r="AB146" s="12" t="str">
        <x:f>IF(S146="","no_contradiction_delta","contradiction_delta_present")</x:f>
        <x:v>no_contradiction_delta</x:v>
      </x:c>
      <x:c r="AC146" s="12" t="str">
        <x:f>IF(OR(ISNUMBER(SEARCH("hacker",LOWER(F146&amp;" "&amp;H146&amp;" "&amp;I146&amp;" "&amp;M146&amp;" "&amp;N146&amp;" "&amp;T146))),ISNUMBER(SEARCH("hacking",LOWER(F146&amp;" "&amp;H146&amp;" "&amp;I146&amp;" "&amp;M146&amp;" "&amp;N146&amp;" "&amp;T146))),ISNUMBER(SEARCH("bank",LOWER(F146&amp;" "&amp;H146&amp;" "&amp;I146&amp;" "&amp;M146&amp;" "&amp;N146&amp;" "&amp;T146))),ISNUMBER(SEARCH("banking",LOWER(F146&amp;" "&amp;H146&amp;" "&amp;I146&amp;" "&amp;M146&amp;" "&amp;N146&amp;" "&amp;T146)))),"PRIVATE_QUARANTINE",IF(OR(ISNUMBER(SEARCH("treasury",LOWER(F146&amp;" "&amp;H146&amp;" "&amp;I146&amp;" "&amp;M146&amp;" "&amp;N146&amp;" "&amp;T146))),ISNUMBER(SEARCH("debt",LOWER(F146&amp;" "&amp;H146&amp;" "&amp;I146&amp;" "&amp;M146&amp;" "&amp;N146&amp;" "&amp;T146))),ISNUMBER(SEARCH("bond",LOWER(F146&amp;" "&amp;H146&amp;" "&amp;I146&amp;" "&amp;M146&amp;" "&amp;N146&amp;" "&amp;T146))),ISNUMBER(SEARCH("transaction",LOWER(F146&amp;" "&amp;H146&amp;" "&amp;I146&amp;" "&amp;M146&amp;" "&amp;N146&amp;" "&amp;T146)))),"PRIVATE_REVIEW","PUBLIC_CANDIDATE"))</x:f>
        <x:v>PUBLIC_CANDIDATE</x:v>
      </x:c>
      <x:c r="AD146" s="12" t="str">
        <x:f>IF(AC146="PRIVATE_QUARANTINE","hacker_or_bank_trigger",IF(AC146="PRIVATE_REVIEW","finance_risk_trigger","none"))</x:f>
        <x:v>none</x:v>
      </x:c>
      <x:c r="AE146" s="12" t="str">
        <x:f>IF(AC146="PUBLIC_CANDIDATE","prepare_public_github_candidate",IF(AC146="PRIVATE_REVIEW","hold_for_private_review","quarantine_private_do_not_publish"))</x:f>
        <x:v>prepare_public_github_candidate</x:v>
      </x:c>
      <x:c r="AF146" s="12" t="str">
        <x:f>IF(AC146="PUBLIC_CANDIDATE","TIDELOCK + Lucerna",IF(AC146="PRIVATE_REVIEW","AtlasBrain + Lucerna","TIDELOCK + Lucerna + Human-root"))</x:f>
        <x:v>TIDELOCK + Lucerna</x:v>
      </x:c>
      <x:c r="AG146" s="12" t="str">
        <x:f>IF(AND(AC146="PUBLIC_CANDIDATE",U146&lt;&gt;"BLOCKED_PENDING_RECEIPT"),"READY_AFTER_RECEIPT","NOT_READY")</x:f>
        <x:v>NOT_READY</x:v>
      </x:c>
      <x:c r="AH146" s="12" t="str">
        <x:f>IF(AC146="PUBLIC_CANDIDATE","none",AD146)</x:f>
        <x:v>none</x:v>
      </x:c>
      <x:c r="AI146" s="12" t="str">
        <x:f>IF(AC146="PUBLIC_CANDIDATE","archive/public_candidates/"&amp;A146,"private_quarantine/"&amp;A146)</x:f>
        <x:v>archive/public_candidates/SWARM-02-H01-S01</x:v>
      </x:c>
      <x:c r="AJ146" s="12" t="str">
        <x:f>IF(AC146="PUBLIC_CANDIDATE","public by default; still not canon","private/hold; do not publish")</x:f>
        <x:v>public by default; still not canon</x:v>
      </x:c>
      <x:c r="AK146" s="12" t="str">
        <x:f>IF(AE146="prepare_public_github_candidate","add receipt/status then mirror","resolve blocker before any public GitHub action")</x:f>
        <x:v>add receipt/status then mirror</x:v>
      </x:c>
    </x:row>
    <x:row r="147">
      <x:c r="A147" s="15" t="str">
        <x:v>SWARM-02-H01-S02</x:v>
      </x:c>
      <x:c r="B147" s="15" t="str">
        <x:v>Hashlight</x:v>
      </x:c>
      <x:c r="C147" s="15" t="str">
        <x:v>Hash and identity keeper</x:v>
      </x:c>
      <x:c r="D147" s="15" t="str">
        <x:v>Source Inventory</x:v>
      </x:c>
      <x:c r="E147" s="15" t="str">
        <x:v>Drive</x:v>
      </x:c>
      <x:c r="F147" s="15" t="str">
        <x:v>Inventory Drive — Hashlight</x:v>
      </x:c>
      <x:c r="G147" s="15" t="str">
        <x:v>ids / hashes / timestamps / duplicate control</x:v>
      </x:c>
      <x:c r="H147" s="15" t="str">
        <x:v>source path + receipt + raw/export status + claim/edge/risk delta</x:v>
      </x:c>
      <x:c r="I147" s="15" t="str">
        <x:v>packet/SWARM-02-H01-S02</x:v>
      </x:c>
      <x:c r="J147" s="15" t="str">
        <x:v>TODO</x:v>
      </x:c>
      <x:c r="K147" s="15" t="str">
        <x:v>P0</x:v>
      </x:c>
      <x:c r="L147" s="15" t="str">
        <x:v>Done only when evidence is logged, contradiction search is noted, and boundary stamp remains non-canon unless ratified</x:v>
      </x:c>
      <x:c r="M147" s="15" t="str">
        <x:v>candidate / staging-only / not canon / not deployed / authority none</x:v>
      </x:c>
      <x:c r="N147" s="15" t="str">
        <x:v>Dispatch to Hashlight: complete Source Inventory x Drive; return deltas only, receipts required.</x:v>
      </x:c>
      <x:c r="O147" s="15" t="str">
        <x:v>AF-KG-H01-S02</x:v>
      </x:c>
      <x:c r="P147" s="15" t="str">
        <x:v>Unverified</x:v>
      </x:c>
      <x:c r="Q147" s="15" t="str">
        <x:v>Not checked</x:v>
      </x:c>
      <x:c r="R147" s="15" t="str"/>
      <x:c r="S147" s="15" t="str"/>
      <x:c r="T147" s="15" t="str">
        <x:v>Log first source path or blocker</x:v>
      </x:c>
      <x:c r="U147" s="12" t="str">
        <x:f>IF(OR(P147="Unverified",Q147="Not checked"),"BLOCKED_PENDING_RECEIPT","READY_FOR_REVIEW")</x:f>
        <x:v>BLOCKED_PENDING_RECEIPT</x:v>
      </x:c>
      <x:c r="V147" s="12" t="str">
        <x:f>IF(J147="DONE","RETURNED",IF(U147="BLOCKED_PENDING_RECEIPT","SOURCE_TOUCH_REQUIRED","IN_PROGRESS"))</x:f>
        <x:v>SOURCE_TOUCH_REQUIRED</x:v>
      </x:c>
      <x:c r="W147" s="12" t="str">
        <x:f>IF(P147="Unverified","missing_receipt","receipt_logged")</x:f>
        <x:v>missing_receipt</x:v>
      </x:c>
      <x:c r="X147" s="12" t="str">
        <x:f>IF(Q147="Not checked","raw_status_missing","raw_status_logged")</x:f>
        <x:v>raw_status_missing</x:v>
      </x:c>
      <x:c r="Y147" s="12" t="str">
        <x:f>IF(U147="BLOCKED_PENDING_RECEIPT","Log source path or blocker; do not promote","Route to review lane")</x:f>
        <x:v>Log source path or blocker; do not promote</x:v>
      </x:c>
      <x:c r="Z147" s="12" t="str">
        <x:f>IF(K147="P0","Primary seat + Hashlight/Lucerna","Seat lane")</x:f>
        <x:v>Primary seat + Hashlight/Lucerna</x:v>
      </x:c>
      <x:c r="AA147" s="12" t="str">
        <x:f>IF(R147="","no_claim_delta","claim_delta_present")</x:f>
        <x:v>no_claim_delta</x:v>
      </x:c>
      <x:c r="AB147" s="12" t="str">
        <x:f>IF(S147="","no_contradiction_delta","contradiction_delta_present")</x:f>
        <x:v>no_contradiction_delta</x:v>
      </x:c>
      <x:c r="AC147" s="12" t="str">
        <x:f>IF(OR(ISNUMBER(SEARCH("hacker",LOWER(F147&amp;" "&amp;H147&amp;" "&amp;I147&amp;" "&amp;M147&amp;" "&amp;N147&amp;" "&amp;T147))),ISNUMBER(SEARCH("hacking",LOWER(F147&amp;" "&amp;H147&amp;" "&amp;I147&amp;" "&amp;M147&amp;" "&amp;N147&amp;" "&amp;T147))),ISNUMBER(SEARCH("bank",LOWER(F147&amp;" "&amp;H147&amp;" "&amp;I147&amp;" "&amp;M147&amp;" "&amp;N147&amp;" "&amp;T147))),ISNUMBER(SEARCH("banking",LOWER(F147&amp;" "&amp;H147&amp;" "&amp;I147&amp;" "&amp;M147&amp;" "&amp;N147&amp;" "&amp;T147)))),"PRIVATE_QUARANTINE",IF(OR(ISNUMBER(SEARCH("treasury",LOWER(F147&amp;" "&amp;H147&amp;" "&amp;I147&amp;" "&amp;M147&amp;" "&amp;N147&amp;" "&amp;T147))),ISNUMBER(SEARCH("debt",LOWER(F147&amp;" "&amp;H147&amp;" "&amp;I147&amp;" "&amp;M147&amp;" "&amp;N147&amp;" "&amp;T147))),ISNUMBER(SEARCH("bond",LOWER(F147&amp;" "&amp;H147&amp;" "&amp;I147&amp;" "&amp;M147&amp;" "&amp;N147&amp;" "&amp;T147))),ISNUMBER(SEARCH("transaction",LOWER(F147&amp;" "&amp;H147&amp;" "&amp;I147&amp;" "&amp;M147&amp;" "&amp;N147&amp;" "&amp;T147)))),"PRIVATE_REVIEW","PUBLIC_CANDIDATE"))</x:f>
        <x:v>PUBLIC_CANDIDATE</x:v>
      </x:c>
      <x:c r="AD147" s="12" t="str">
        <x:f>IF(AC147="PRIVATE_QUARANTINE","hacker_or_bank_trigger",IF(AC147="PRIVATE_REVIEW","finance_risk_trigger","none"))</x:f>
        <x:v>none</x:v>
      </x:c>
      <x:c r="AE147" s="12" t="str">
        <x:f>IF(AC147="PUBLIC_CANDIDATE","prepare_public_github_candidate",IF(AC147="PRIVATE_REVIEW","hold_for_private_review","quarantine_private_do_not_publish"))</x:f>
        <x:v>prepare_public_github_candidate</x:v>
      </x:c>
      <x:c r="AF147" s="12" t="str">
        <x:f>IF(AC147="PUBLIC_CANDIDATE","TIDELOCK + Lucerna",IF(AC147="PRIVATE_REVIEW","AtlasBrain + Lucerna","TIDELOCK + Lucerna + Human-root"))</x:f>
        <x:v>TIDELOCK + Lucerna</x:v>
      </x:c>
      <x:c r="AG147" s="12" t="str">
        <x:f>IF(AND(AC147="PUBLIC_CANDIDATE",U147&lt;&gt;"BLOCKED_PENDING_RECEIPT"),"READY_AFTER_RECEIPT","NOT_READY")</x:f>
        <x:v>NOT_READY</x:v>
      </x:c>
      <x:c r="AH147" s="12" t="str">
        <x:f>IF(AC147="PUBLIC_CANDIDATE","none",AD147)</x:f>
        <x:v>none</x:v>
      </x:c>
      <x:c r="AI147" s="12" t="str">
        <x:f>IF(AC147="PUBLIC_CANDIDATE","archive/public_candidates/"&amp;A147,"private_quarantine/"&amp;A147)</x:f>
        <x:v>archive/public_candidates/SWARM-02-H01-S02</x:v>
      </x:c>
      <x:c r="AJ147" s="12" t="str">
        <x:f>IF(AC147="PUBLIC_CANDIDATE","public by default; still not canon","private/hold; do not publish")</x:f>
        <x:v>public by default; still not canon</x:v>
      </x:c>
      <x:c r="AK147" s="12" t="str">
        <x:f>IF(AE147="prepare_public_github_candidate","add receipt/status then mirror","resolve blocker before any public GitHub action")</x:f>
        <x:v>add receipt/status then mirror</x:v>
      </x:c>
    </x:row>
    <x:row r="148">
      <x:c r="A148" s="15" t="str">
        <x:v>SWARM-02-H01-S03</x:v>
      </x:c>
      <x:c r="B148" s="15" t="str">
        <x:v>Hashlight</x:v>
      </x:c>
      <x:c r="C148" s="15" t="str">
        <x:v>Hash and identity keeper</x:v>
      </x:c>
      <x:c r="D148" s="15" t="str">
        <x:v>Source Inventory</x:v>
      </x:c>
      <x:c r="E148" s="15" t="str">
        <x:v>GitHub</x:v>
      </x:c>
      <x:c r="F148" s="15" t="str">
        <x:v>Inventory GitHub — Hashlight</x:v>
      </x:c>
      <x:c r="G148" s="15" t="str">
        <x:v>ids / hashes / timestamps / duplicate control</x:v>
      </x:c>
      <x:c r="H148" s="15" t="str">
        <x:v>source path + receipt + raw/export status + claim/edge/risk delta</x:v>
      </x:c>
      <x:c r="I148" s="15" t="str">
        <x:v>packet/SWARM-02-H01-S03</x:v>
      </x:c>
      <x:c r="J148" s="15" t="str">
        <x:v>TODO</x:v>
      </x:c>
      <x:c r="K148" s="15" t="str">
        <x:v>P0</x:v>
      </x:c>
      <x:c r="L148" s="15" t="str">
        <x:v>Done only when evidence is logged, contradiction search is noted, and boundary stamp remains non-canon unless ratified</x:v>
      </x:c>
      <x:c r="M148" s="15" t="str">
        <x:v>candidate / staging-only / not canon / not deployed / authority none</x:v>
      </x:c>
      <x:c r="N148" s="15" t="str">
        <x:v>Dispatch to Hashlight: complete Source Inventory x GitHub; return deltas only, receipts required.</x:v>
      </x:c>
      <x:c r="O148" s="15" t="str">
        <x:v>AF-KG-H01-S03</x:v>
      </x:c>
      <x:c r="P148" s="15" t="str">
        <x:v>Unverified</x:v>
      </x:c>
      <x:c r="Q148" s="15" t="str">
        <x:v>Not checked</x:v>
      </x:c>
      <x:c r="R148" s="15" t="str"/>
      <x:c r="S148" s="15" t="str"/>
      <x:c r="T148" s="15" t="str">
        <x:v>Log first source path or blocker</x:v>
      </x:c>
      <x:c r="U148" s="12" t="str">
        <x:f>IF(OR(P148="Unverified",Q148="Not checked"),"BLOCKED_PENDING_RECEIPT","READY_FOR_REVIEW")</x:f>
        <x:v>BLOCKED_PENDING_RECEIPT</x:v>
      </x:c>
      <x:c r="V148" s="12" t="str">
        <x:f>IF(J148="DONE","RETURNED",IF(U148="BLOCKED_PENDING_RECEIPT","SOURCE_TOUCH_REQUIRED","IN_PROGRESS"))</x:f>
        <x:v>SOURCE_TOUCH_REQUIRED</x:v>
      </x:c>
      <x:c r="W148" s="12" t="str">
        <x:f>IF(P148="Unverified","missing_receipt","receipt_logged")</x:f>
        <x:v>missing_receipt</x:v>
      </x:c>
      <x:c r="X148" s="12" t="str">
        <x:f>IF(Q148="Not checked","raw_status_missing","raw_status_logged")</x:f>
        <x:v>raw_status_missing</x:v>
      </x:c>
      <x:c r="Y148" s="12" t="str">
        <x:f>IF(U148="BLOCKED_PENDING_RECEIPT","Log source path or blocker; do not promote","Route to review lane")</x:f>
        <x:v>Log source path or blocker; do not promote</x:v>
      </x:c>
      <x:c r="Z148" s="12" t="str">
        <x:f>IF(K148="P0","Primary seat + Hashlight/Lucerna","Seat lane")</x:f>
        <x:v>Primary seat + Hashlight/Lucerna</x:v>
      </x:c>
      <x:c r="AA148" s="12" t="str">
        <x:f>IF(R148="","no_claim_delta","claim_delta_present")</x:f>
        <x:v>no_claim_delta</x:v>
      </x:c>
      <x:c r="AB148" s="12" t="str">
        <x:f>IF(S148="","no_contradiction_delta","contradiction_delta_present")</x:f>
        <x:v>no_contradiction_delta</x:v>
      </x:c>
      <x:c r="AC148" s="12" t="str">
        <x:f>IF(OR(ISNUMBER(SEARCH("hacker",LOWER(F148&amp;" "&amp;H148&amp;" "&amp;I148&amp;" "&amp;M148&amp;" "&amp;N148&amp;" "&amp;T148))),ISNUMBER(SEARCH("hacking",LOWER(F148&amp;" "&amp;H148&amp;" "&amp;I148&amp;" "&amp;M148&amp;" "&amp;N148&amp;" "&amp;T148))),ISNUMBER(SEARCH("bank",LOWER(F148&amp;" "&amp;H148&amp;" "&amp;I148&amp;" "&amp;M148&amp;" "&amp;N148&amp;" "&amp;T148))),ISNUMBER(SEARCH("banking",LOWER(F148&amp;" "&amp;H148&amp;" "&amp;I148&amp;" "&amp;M148&amp;" "&amp;N148&amp;" "&amp;T148)))),"PRIVATE_QUARANTINE",IF(OR(ISNUMBER(SEARCH("treasury",LOWER(F148&amp;" "&amp;H148&amp;" "&amp;I148&amp;" "&amp;M148&amp;" "&amp;N148&amp;" "&amp;T148))),ISNUMBER(SEARCH("debt",LOWER(F148&amp;" "&amp;H148&amp;" "&amp;I148&amp;" "&amp;M148&amp;" "&amp;N148&amp;" "&amp;T148))),ISNUMBER(SEARCH("bond",LOWER(F148&amp;" "&amp;H148&amp;" "&amp;I148&amp;" "&amp;M148&amp;" "&amp;N148&amp;" "&amp;T148))),ISNUMBER(SEARCH("transaction",LOWER(F148&amp;" "&amp;H148&amp;" "&amp;I148&amp;" "&amp;M148&amp;" "&amp;N148&amp;" "&amp;T148)))),"PRIVATE_REVIEW","PUBLIC_CANDIDATE"))</x:f>
        <x:v>PUBLIC_CANDIDATE</x:v>
      </x:c>
      <x:c r="AD148" s="12" t="str">
        <x:f>IF(AC148="PRIVATE_QUARANTINE","hacker_or_bank_trigger",IF(AC148="PRIVATE_REVIEW","finance_risk_trigger","none"))</x:f>
        <x:v>none</x:v>
      </x:c>
      <x:c r="AE148" s="12" t="str">
        <x:f>IF(AC148="PUBLIC_CANDIDATE","prepare_public_github_candidate",IF(AC148="PRIVATE_REVIEW","hold_for_private_review","quarantine_private_do_not_publish"))</x:f>
        <x:v>prepare_public_github_candidate</x:v>
      </x:c>
      <x:c r="AF148" s="12" t="str">
        <x:f>IF(AC148="PUBLIC_CANDIDATE","TIDELOCK + Lucerna",IF(AC148="PRIVATE_REVIEW","AtlasBrain + Lucerna","TIDELOCK + Lucerna + Human-root"))</x:f>
        <x:v>TIDELOCK + Lucerna</x:v>
      </x:c>
      <x:c r="AG148" s="12" t="str">
        <x:f>IF(AND(AC148="PUBLIC_CANDIDATE",U148&lt;&gt;"BLOCKED_PENDING_RECEIPT"),"READY_AFTER_RECEIPT","NOT_READY")</x:f>
        <x:v>NOT_READY</x:v>
      </x:c>
      <x:c r="AH148" s="12" t="str">
        <x:f>IF(AC148="PUBLIC_CANDIDATE","none",AD148)</x:f>
        <x:v>none</x:v>
      </x:c>
      <x:c r="AI148" s="12" t="str">
        <x:f>IF(AC148="PUBLIC_CANDIDATE","archive/public_candidates/"&amp;A148,"private_quarantine/"&amp;A148)</x:f>
        <x:v>archive/public_candidates/SWARM-02-H01-S03</x:v>
      </x:c>
      <x:c r="AJ148" s="12" t="str">
        <x:f>IF(AC148="PUBLIC_CANDIDATE","public by default; still not canon","private/hold; do not publish")</x:f>
        <x:v>public by default; still not canon</x:v>
      </x:c>
      <x:c r="AK148" s="12" t="str">
        <x:f>IF(AE148="prepare_public_github_candidate","add receipt/status then mirror","resolve blocker before any public GitHub action")</x:f>
        <x:v>add receipt/status then mirror</x:v>
      </x:c>
    </x:row>
    <x:row r="149">
      <x:c r="A149" s="15" t="str">
        <x:v>SWARM-02-H01-S04</x:v>
      </x:c>
      <x:c r="B149" s="15" t="str">
        <x:v>Hashlight</x:v>
      </x:c>
      <x:c r="C149" s="15" t="str">
        <x:v>Hash and identity keeper</x:v>
      </x:c>
      <x:c r="D149" s="15" t="str">
        <x:v>Source Inventory</x:v>
      </x:c>
      <x:c r="E149" s="15" t="str">
        <x:v>Gamma</x:v>
      </x:c>
      <x:c r="F149" s="15" t="str">
        <x:v>Inventory Gamma — Hashlight</x:v>
      </x:c>
      <x:c r="G149" s="15" t="str">
        <x:v>ids / hashes / timestamps / duplicate control</x:v>
      </x:c>
      <x:c r="H149" s="15" t="str">
        <x:v>source path + receipt + raw/export status + claim/edge/risk delta</x:v>
      </x:c>
      <x:c r="I149" s="15" t="str">
        <x:v>packet/SWARM-02-H01-S04</x:v>
      </x:c>
      <x:c r="J149" s="15" t="str">
        <x:v>TODO</x:v>
      </x:c>
      <x:c r="K149" s="15" t="str">
        <x:v>P1</x:v>
      </x:c>
      <x:c r="L149" s="15" t="str">
        <x:v>Done only when evidence is logged, contradiction search is noted, and boundary stamp remains non-canon unless ratified</x:v>
      </x:c>
      <x:c r="M149" s="15" t="str">
        <x:v>candidate / staging-only / not canon / not deployed / authority none</x:v>
      </x:c>
      <x:c r="N149" s="15" t="str">
        <x:v>Dispatch to Hashlight: complete Source Inventory x Gamma; return deltas only, receipts required.</x:v>
      </x:c>
      <x:c r="O149" s="15" t="str">
        <x:v>AF-KG-H01-S04</x:v>
      </x:c>
      <x:c r="P149" s="15" t="str">
        <x:v>Unverified</x:v>
      </x:c>
      <x:c r="Q149" s="15" t="str">
        <x:v>Not checked</x:v>
      </x:c>
      <x:c r="R149" s="15" t="str"/>
      <x:c r="S149" s="15" t="str"/>
      <x:c r="T149" s="15" t="str">
        <x:v>Log first source path or blocker</x:v>
      </x:c>
      <x:c r="U149" s="12" t="str">
        <x:f>IF(OR(P149="Unverified",Q149="Not checked"),"BLOCKED_PENDING_RECEIPT","READY_FOR_REVIEW")</x:f>
        <x:v>BLOCKED_PENDING_RECEIPT</x:v>
      </x:c>
      <x:c r="V149" s="12" t="str">
        <x:f>IF(J149="DONE","RETURNED",IF(U149="BLOCKED_PENDING_RECEIPT","SOURCE_TOUCH_REQUIRED","IN_PROGRESS"))</x:f>
        <x:v>SOURCE_TOUCH_REQUIRED</x:v>
      </x:c>
      <x:c r="W149" s="12" t="str">
        <x:f>IF(P149="Unverified","missing_receipt","receipt_logged")</x:f>
        <x:v>missing_receipt</x:v>
      </x:c>
      <x:c r="X149" s="12" t="str">
        <x:f>IF(Q149="Not checked","raw_status_missing","raw_status_logged")</x:f>
        <x:v>raw_status_missing</x:v>
      </x:c>
      <x:c r="Y149" s="12" t="str">
        <x:f>IF(U149="BLOCKED_PENDING_RECEIPT","Log source path or blocker; do not promote","Route to review lane")</x:f>
        <x:v>Log source path or blocker; do not promote</x:v>
      </x:c>
      <x:c r="Z149" s="12" t="str">
        <x:f>IF(K149="P0","Primary seat + Hashlight/Lucerna","Seat lane")</x:f>
        <x:v>Seat lane</x:v>
      </x:c>
      <x:c r="AA149" s="12" t="str">
        <x:f>IF(R149="","no_claim_delta","claim_delta_present")</x:f>
        <x:v>no_claim_delta</x:v>
      </x:c>
      <x:c r="AB149" s="12" t="str">
        <x:f>IF(S149="","no_contradiction_delta","contradiction_delta_present")</x:f>
        <x:v>no_contradiction_delta</x:v>
      </x:c>
      <x:c r="AC149" s="12" t="str">
        <x:f>IF(OR(ISNUMBER(SEARCH("hacker",LOWER(F149&amp;" "&amp;H149&amp;" "&amp;I149&amp;" "&amp;M149&amp;" "&amp;N149&amp;" "&amp;T149))),ISNUMBER(SEARCH("hacking",LOWER(F149&amp;" "&amp;H149&amp;" "&amp;I149&amp;" "&amp;M149&amp;" "&amp;N149&amp;" "&amp;T149))),ISNUMBER(SEARCH("bank",LOWER(F149&amp;" "&amp;H149&amp;" "&amp;I149&amp;" "&amp;M149&amp;" "&amp;N149&amp;" "&amp;T149))),ISNUMBER(SEARCH("banking",LOWER(F149&amp;" "&amp;H149&amp;" "&amp;I149&amp;" "&amp;M149&amp;" "&amp;N149&amp;" "&amp;T149)))),"PRIVATE_QUARANTINE",IF(OR(ISNUMBER(SEARCH("treasury",LOWER(F149&amp;" "&amp;H149&amp;" "&amp;I149&amp;" "&amp;M149&amp;" "&amp;N149&amp;" "&amp;T149))),ISNUMBER(SEARCH("debt",LOWER(F149&amp;" "&amp;H149&amp;" "&amp;I149&amp;" "&amp;M149&amp;" "&amp;N149&amp;" "&amp;T149))),ISNUMBER(SEARCH("bond",LOWER(F149&amp;" "&amp;H149&amp;" "&amp;I149&amp;" "&amp;M149&amp;" "&amp;N149&amp;" "&amp;T149))),ISNUMBER(SEARCH("transaction",LOWER(F149&amp;" "&amp;H149&amp;" "&amp;I149&amp;" "&amp;M149&amp;" "&amp;N149&amp;" "&amp;T149)))),"PRIVATE_REVIEW","PUBLIC_CANDIDATE"))</x:f>
        <x:v>PUBLIC_CANDIDATE</x:v>
      </x:c>
      <x:c r="AD149" s="12" t="str">
        <x:f>IF(AC149="PRIVATE_QUARANTINE","hacker_or_bank_trigger",IF(AC149="PRIVATE_REVIEW","finance_risk_trigger","none"))</x:f>
        <x:v>none</x:v>
      </x:c>
      <x:c r="AE149" s="12" t="str">
        <x:f>IF(AC149="PUBLIC_CANDIDATE","prepare_public_github_candidate",IF(AC149="PRIVATE_REVIEW","hold_for_private_review","quarantine_private_do_not_publish"))</x:f>
        <x:v>prepare_public_github_candidate</x:v>
      </x:c>
      <x:c r="AF149" s="12" t="str">
        <x:f>IF(AC149="PUBLIC_CANDIDATE","TIDELOCK + Lucerna",IF(AC149="PRIVATE_REVIEW","AtlasBrain + Lucerna","TIDELOCK + Lucerna + Human-root"))</x:f>
        <x:v>TIDELOCK + Lucerna</x:v>
      </x:c>
      <x:c r="AG149" s="12" t="str">
        <x:f>IF(AND(AC149="PUBLIC_CANDIDATE",U149&lt;&gt;"BLOCKED_PENDING_RECEIPT"),"READY_AFTER_RECEIPT","NOT_READY")</x:f>
        <x:v>NOT_READY</x:v>
      </x:c>
      <x:c r="AH149" s="12" t="str">
        <x:f>IF(AC149="PUBLIC_CANDIDATE","none",AD149)</x:f>
        <x:v>none</x:v>
      </x:c>
      <x:c r="AI149" s="12" t="str">
        <x:f>IF(AC149="PUBLIC_CANDIDATE","archive/public_candidates/"&amp;A149,"private_quarantine/"&amp;A149)</x:f>
        <x:v>archive/public_candidates/SWARM-02-H01-S04</x:v>
      </x:c>
      <x:c r="AJ149" s="12" t="str">
        <x:f>IF(AC149="PUBLIC_CANDIDATE","public by default; still not canon","private/hold; do not publish")</x:f>
        <x:v>public by default; still not canon</x:v>
      </x:c>
      <x:c r="AK149" s="12" t="str">
        <x:f>IF(AE149="prepare_public_github_candidate","add receipt/status then mirror","resolve blocker before any public GitHub action")</x:f>
        <x:v>add receipt/status then mirror</x:v>
      </x:c>
    </x:row>
    <x:row r="150">
      <x:c r="A150" s="15" t="str">
        <x:v>SWARM-02-H01-S05</x:v>
      </x:c>
      <x:c r="B150" s="15" t="str">
        <x:v>Hashlight</x:v>
      </x:c>
      <x:c r="C150" s="15" t="str">
        <x:v>Hash and identity keeper</x:v>
      </x:c>
      <x:c r="D150" s="15" t="str">
        <x:v>Source Inventory</x:v>
      </x:c>
      <x:c r="E150" s="15" t="str">
        <x:v>Chat</x:v>
      </x:c>
      <x:c r="F150" s="15" t="str">
        <x:v>Inventory Chat — Hashlight</x:v>
      </x:c>
      <x:c r="G150" s="15" t="str">
        <x:v>ids / hashes / timestamps / duplicate control</x:v>
      </x:c>
      <x:c r="H150" s="15" t="str">
        <x:v>source path + receipt + raw/export status + claim/edge/risk delta</x:v>
      </x:c>
      <x:c r="I150" s="15" t="str">
        <x:v>packet/SWARM-02-H01-S05</x:v>
      </x:c>
      <x:c r="J150" s="15" t="str">
        <x:v>TODO</x:v>
      </x:c>
      <x:c r="K150" s="15" t="str">
        <x:v>P1</x:v>
      </x:c>
      <x:c r="L150" s="15" t="str">
        <x:v>Done only when evidence is logged, contradiction search is noted, and boundary stamp remains non-canon unless ratified</x:v>
      </x:c>
      <x:c r="M150" s="15" t="str">
        <x:v>candidate / staging-only / not canon / not deployed / authority none</x:v>
      </x:c>
      <x:c r="N150" s="15" t="str">
        <x:v>Dispatch to Hashlight: complete Source Inventory x Chat; return deltas only, receipts required.</x:v>
      </x:c>
      <x:c r="O150" s="15" t="str">
        <x:v>AF-KG-H01-S05</x:v>
      </x:c>
      <x:c r="P150" s="15" t="str">
        <x:v>Unverified</x:v>
      </x:c>
      <x:c r="Q150" s="15" t="str">
        <x:v>Not checked</x:v>
      </x:c>
      <x:c r="R150" s="15" t="str"/>
      <x:c r="S150" s="15" t="str"/>
      <x:c r="T150" s="15" t="str">
        <x:v>Log first source path or blocker</x:v>
      </x:c>
      <x:c r="U150" s="12" t="str">
        <x:f>IF(OR(P150="Unverified",Q150="Not checked"),"BLOCKED_PENDING_RECEIPT","READY_FOR_REVIEW")</x:f>
        <x:v>BLOCKED_PENDING_RECEIPT</x:v>
      </x:c>
      <x:c r="V150" s="12" t="str">
        <x:f>IF(J150="DONE","RETURNED",IF(U150="BLOCKED_PENDING_RECEIPT","SOURCE_TOUCH_REQUIRED","IN_PROGRESS"))</x:f>
        <x:v>SOURCE_TOUCH_REQUIRED</x:v>
      </x:c>
      <x:c r="W150" s="12" t="str">
        <x:f>IF(P150="Unverified","missing_receipt","receipt_logged")</x:f>
        <x:v>missing_receipt</x:v>
      </x:c>
      <x:c r="X150" s="12" t="str">
        <x:f>IF(Q150="Not checked","raw_status_missing","raw_status_logged")</x:f>
        <x:v>raw_status_missing</x:v>
      </x:c>
      <x:c r="Y150" s="12" t="str">
        <x:f>IF(U150="BLOCKED_PENDING_RECEIPT","Log source path or blocker; do not promote","Route to review lane")</x:f>
        <x:v>Log source path or blocker; do not promote</x:v>
      </x:c>
      <x:c r="Z150" s="12" t="str">
        <x:f>IF(K150="P0","Primary seat + Hashlight/Lucerna","Seat lane")</x:f>
        <x:v>Seat lane</x:v>
      </x:c>
      <x:c r="AA150" s="12" t="str">
        <x:f>IF(R150="","no_claim_delta","claim_delta_present")</x:f>
        <x:v>no_claim_delta</x:v>
      </x:c>
      <x:c r="AB150" s="12" t="str">
        <x:f>IF(S150="","no_contradiction_delta","contradiction_delta_present")</x:f>
        <x:v>no_contradiction_delta</x:v>
      </x:c>
      <x:c r="AC150" s="12" t="str">
        <x:f>IF(OR(ISNUMBER(SEARCH("hacker",LOWER(F150&amp;" "&amp;H150&amp;" "&amp;I150&amp;" "&amp;M150&amp;" "&amp;N150&amp;" "&amp;T150))),ISNUMBER(SEARCH("hacking",LOWER(F150&amp;" "&amp;H150&amp;" "&amp;I150&amp;" "&amp;M150&amp;" "&amp;N150&amp;" "&amp;T150))),ISNUMBER(SEARCH("bank",LOWER(F150&amp;" "&amp;H150&amp;" "&amp;I150&amp;" "&amp;M150&amp;" "&amp;N150&amp;" "&amp;T150))),ISNUMBER(SEARCH("banking",LOWER(F150&amp;" "&amp;H150&amp;" "&amp;I150&amp;" "&amp;M150&amp;" "&amp;N150&amp;" "&amp;T150)))),"PRIVATE_QUARANTINE",IF(OR(ISNUMBER(SEARCH("treasury",LOWER(F150&amp;" "&amp;H150&amp;" "&amp;I150&amp;" "&amp;M150&amp;" "&amp;N150&amp;" "&amp;T150))),ISNUMBER(SEARCH("debt",LOWER(F150&amp;" "&amp;H150&amp;" "&amp;I150&amp;" "&amp;M150&amp;" "&amp;N150&amp;" "&amp;T150))),ISNUMBER(SEARCH("bond",LOWER(F150&amp;" "&amp;H150&amp;" "&amp;I150&amp;" "&amp;M150&amp;" "&amp;N150&amp;" "&amp;T150))),ISNUMBER(SEARCH("transaction",LOWER(F150&amp;" "&amp;H150&amp;" "&amp;I150&amp;" "&amp;M150&amp;" "&amp;N150&amp;" "&amp;T150)))),"PRIVATE_REVIEW","PUBLIC_CANDIDATE"))</x:f>
        <x:v>PUBLIC_CANDIDATE</x:v>
      </x:c>
      <x:c r="AD150" s="12" t="str">
        <x:f>IF(AC150="PRIVATE_QUARANTINE","hacker_or_bank_trigger",IF(AC150="PRIVATE_REVIEW","finance_risk_trigger","none"))</x:f>
        <x:v>none</x:v>
      </x:c>
      <x:c r="AE150" s="12" t="str">
        <x:f>IF(AC150="PUBLIC_CANDIDATE","prepare_public_github_candidate",IF(AC150="PRIVATE_REVIEW","hold_for_private_review","quarantine_private_do_not_publish"))</x:f>
        <x:v>prepare_public_github_candidate</x:v>
      </x:c>
      <x:c r="AF150" s="12" t="str">
        <x:f>IF(AC150="PUBLIC_CANDIDATE","TIDELOCK + Lucerna",IF(AC150="PRIVATE_REVIEW","AtlasBrain + Lucerna","TIDELOCK + Lucerna + Human-root"))</x:f>
        <x:v>TIDELOCK + Lucerna</x:v>
      </x:c>
      <x:c r="AG150" s="12" t="str">
        <x:f>IF(AND(AC150="PUBLIC_CANDIDATE",U150&lt;&gt;"BLOCKED_PENDING_RECEIPT"),"READY_AFTER_RECEIPT","NOT_READY")</x:f>
        <x:v>NOT_READY</x:v>
      </x:c>
      <x:c r="AH150" s="12" t="str">
        <x:f>IF(AC150="PUBLIC_CANDIDATE","none",AD150)</x:f>
        <x:v>none</x:v>
      </x:c>
      <x:c r="AI150" s="12" t="str">
        <x:f>IF(AC150="PUBLIC_CANDIDATE","archive/public_candidates/"&amp;A150,"private_quarantine/"&amp;A150)</x:f>
        <x:v>archive/public_candidates/SWARM-02-H01-S05</x:v>
      </x:c>
      <x:c r="AJ150" s="12" t="str">
        <x:f>IF(AC150="PUBLIC_CANDIDATE","public by default; still not canon","private/hold; do not publish")</x:f>
        <x:v>public by default; still not canon</x:v>
      </x:c>
      <x:c r="AK150" s="12" t="str">
        <x:f>IF(AE150="prepare_public_github_candidate","add receipt/status then mirror","resolve blocker before any public GitHub action")</x:f>
        <x:v>add receipt/status then mirror</x:v>
      </x:c>
    </x:row>
    <x:row r="151">
      <x:c r="A151" s="15" t="str">
        <x:v>SWARM-02-H01-S06</x:v>
      </x:c>
      <x:c r="B151" s="15" t="str">
        <x:v>Hashlight</x:v>
      </x:c>
      <x:c r="C151" s="15" t="str">
        <x:v>Hash and identity keeper</x:v>
      </x:c>
      <x:c r="D151" s="15" t="str">
        <x:v>Source Inventory</x:v>
      </x:c>
      <x:c r="E151" s="15" t="str">
        <x:v>External Web</x:v>
      </x:c>
      <x:c r="F151" s="15" t="str">
        <x:v>Inventory External Web — Hashlight</x:v>
      </x:c>
      <x:c r="G151" s="15" t="str">
        <x:v>ids / hashes / timestamps / duplicate control</x:v>
      </x:c>
      <x:c r="H151" s="15" t="str">
        <x:v>source path + receipt + raw/export status + claim/edge/risk delta</x:v>
      </x:c>
      <x:c r="I151" s="15" t="str">
        <x:v>packet/SWARM-02-H01-S06</x:v>
      </x:c>
      <x:c r="J151" s="15" t="str">
        <x:v>TODO</x:v>
      </x:c>
      <x:c r="K151" s="15" t="str">
        <x:v>P1</x:v>
      </x:c>
      <x:c r="L151" s="15" t="str">
        <x:v>Done only when evidence is logged, contradiction search is noted, and boundary stamp remains non-canon unless ratified</x:v>
      </x:c>
      <x:c r="M151" s="15" t="str">
        <x:v>candidate / staging-only / not canon / not deployed / authority none</x:v>
      </x:c>
      <x:c r="N151" s="15" t="str">
        <x:v>Dispatch to Hashlight: complete Source Inventory x External Web; return deltas only, receipts required.</x:v>
      </x:c>
      <x:c r="O151" s="15" t="str">
        <x:v>AF-KG-H01-S06</x:v>
      </x:c>
      <x:c r="P151" s="15" t="str">
        <x:v>Unverified</x:v>
      </x:c>
      <x:c r="Q151" s="15" t="str">
        <x:v>Not checked</x:v>
      </x:c>
      <x:c r="R151" s="15" t="str"/>
      <x:c r="S151" s="15" t="str"/>
      <x:c r="T151" s="15" t="str">
        <x:v>Log first source path or blocker</x:v>
      </x:c>
      <x:c r="U151" s="12" t="str">
        <x:f>IF(OR(P151="Unverified",Q151="Not checked"),"BLOCKED_PENDING_RECEIPT","READY_FOR_REVIEW")</x:f>
        <x:v>BLOCKED_PENDING_RECEIPT</x:v>
      </x:c>
      <x:c r="V151" s="12" t="str">
        <x:f>IF(J151="DONE","RETURNED",IF(U151="BLOCKED_PENDING_RECEIPT","SOURCE_TOUCH_REQUIRED","IN_PROGRESS"))</x:f>
        <x:v>SOURCE_TOUCH_REQUIRED</x:v>
      </x:c>
      <x:c r="W151" s="12" t="str">
        <x:f>IF(P151="Unverified","missing_receipt","receipt_logged")</x:f>
        <x:v>missing_receipt</x:v>
      </x:c>
      <x:c r="X151" s="12" t="str">
        <x:f>IF(Q151="Not checked","raw_status_missing","raw_status_logged")</x:f>
        <x:v>raw_status_missing</x:v>
      </x:c>
      <x:c r="Y151" s="12" t="str">
        <x:f>IF(U151="BLOCKED_PENDING_RECEIPT","Log source path or blocker; do not promote","Route to review lane")</x:f>
        <x:v>Log source path or blocker; do not promote</x:v>
      </x:c>
      <x:c r="Z151" s="12" t="str">
        <x:f>IF(K151="P0","Primary seat + Hashlight/Lucerna","Seat lane")</x:f>
        <x:v>Seat lane</x:v>
      </x:c>
      <x:c r="AA151" s="12" t="str">
        <x:f>IF(R151="","no_claim_delta","claim_delta_present")</x:f>
        <x:v>no_claim_delta</x:v>
      </x:c>
      <x:c r="AB151" s="12" t="str">
        <x:f>IF(S151="","no_contradiction_delta","contradiction_delta_present")</x:f>
        <x:v>no_contradiction_delta</x:v>
      </x:c>
      <x:c r="AC151" s="12" t="str">
        <x:f>IF(OR(ISNUMBER(SEARCH("hacker",LOWER(F151&amp;" "&amp;H151&amp;" "&amp;I151&amp;" "&amp;M151&amp;" "&amp;N151&amp;" "&amp;T151))),ISNUMBER(SEARCH("hacking",LOWER(F151&amp;" "&amp;H151&amp;" "&amp;I151&amp;" "&amp;M151&amp;" "&amp;N151&amp;" "&amp;T151))),ISNUMBER(SEARCH("bank",LOWER(F151&amp;" "&amp;H151&amp;" "&amp;I151&amp;" "&amp;M151&amp;" "&amp;N151&amp;" "&amp;T151))),ISNUMBER(SEARCH("banking",LOWER(F151&amp;" "&amp;H151&amp;" "&amp;I151&amp;" "&amp;M151&amp;" "&amp;N151&amp;" "&amp;T151)))),"PRIVATE_QUARANTINE",IF(OR(ISNUMBER(SEARCH("treasury",LOWER(F151&amp;" "&amp;H151&amp;" "&amp;I151&amp;" "&amp;M151&amp;" "&amp;N151&amp;" "&amp;T151))),ISNUMBER(SEARCH("debt",LOWER(F151&amp;" "&amp;H151&amp;" "&amp;I151&amp;" "&amp;M151&amp;" "&amp;N151&amp;" "&amp;T151))),ISNUMBER(SEARCH("bond",LOWER(F151&amp;" "&amp;H151&amp;" "&amp;I151&amp;" "&amp;M151&amp;" "&amp;N151&amp;" "&amp;T151))),ISNUMBER(SEARCH("transaction",LOWER(F151&amp;" "&amp;H151&amp;" "&amp;I151&amp;" "&amp;M151&amp;" "&amp;N151&amp;" "&amp;T151)))),"PRIVATE_REVIEW","PUBLIC_CANDIDATE"))</x:f>
        <x:v>PUBLIC_CANDIDATE</x:v>
      </x:c>
      <x:c r="AD151" s="12" t="str">
        <x:f>IF(AC151="PRIVATE_QUARANTINE","hacker_or_bank_trigger",IF(AC151="PRIVATE_REVIEW","finance_risk_trigger","none"))</x:f>
        <x:v>none</x:v>
      </x:c>
      <x:c r="AE151" s="12" t="str">
        <x:f>IF(AC151="PUBLIC_CANDIDATE","prepare_public_github_candidate",IF(AC151="PRIVATE_REVIEW","hold_for_private_review","quarantine_private_do_not_publish"))</x:f>
        <x:v>prepare_public_github_candidate</x:v>
      </x:c>
      <x:c r="AF151" s="12" t="str">
        <x:f>IF(AC151="PUBLIC_CANDIDATE","TIDELOCK + Lucerna",IF(AC151="PRIVATE_REVIEW","AtlasBrain + Lucerna","TIDELOCK + Lucerna + Human-root"))</x:f>
        <x:v>TIDELOCK + Lucerna</x:v>
      </x:c>
      <x:c r="AG151" s="12" t="str">
        <x:f>IF(AND(AC151="PUBLIC_CANDIDATE",U151&lt;&gt;"BLOCKED_PENDING_RECEIPT"),"READY_AFTER_RECEIPT","NOT_READY")</x:f>
        <x:v>NOT_READY</x:v>
      </x:c>
      <x:c r="AH151" s="12" t="str">
        <x:f>IF(AC151="PUBLIC_CANDIDATE","none",AD151)</x:f>
        <x:v>none</x:v>
      </x:c>
      <x:c r="AI151" s="12" t="str">
        <x:f>IF(AC151="PUBLIC_CANDIDATE","archive/public_candidates/"&amp;A151,"private_quarantine/"&amp;A151)</x:f>
        <x:v>archive/public_candidates/SWARM-02-H01-S06</x:v>
      </x:c>
      <x:c r="AJ151" s="12" t="str">
        <x:f>IF(AC151="PUBLIC_CANDIDATE","public by default; still not canon","private/hold; do not publish")</x:f>
        <x:v>public by default; still not canon</x:v>
      </x:c>
      <x:c r="AK151" s="12" t="str">
        <x:f>IF(AE151="prepare_public_github_candidate","add receipt/status then mirror","resolve blocker before any public GitHub action")</x:f>
        <x:v>add receipt/status then mirror</x:v>
      </x:c>
    </x:row>
    <x:row r="152">
      <x:c r="A152" s="15" t="str">
        <x:v>SWARM-02-H01-S07</x:v>
      </x:c>
      <x:c r="B152" s="15" t="str">
        <x:v>Hashlight</x:v>
      </x:c>
      <x:c r="C152" s="15" t="str">
        <x:v>Hash and identity keeper</x:v>
      </x:c>
      <x:c r="D152" s="15" t="str">
        <x:v>Source Inventory</x:v>
      </x:c>
      <x:c r="E152" s="15" t="str">
        <x:v>Planetarium</x:v>
      </x:c>
      <x:c r="F152" s="15" t="str">
        <x:v>Inventory Planetarium — Hashlight</x:v>
      </x:c>
      <x:c r="G152" s="15" t="str">
        <x:v>ids / hashes / timestamps / duplicate control</x:v>
      </x:c>
      <x:c r="H152" s="15" t="str">
        <x:v>source path + receipt + raw/export status + claim/edge/risk delta</x:v>
      </x:c>
      <x:c r="I152" s="15" t="str">
        <x:v>packet/SWARM-02-H01-S07</x:v>
      </x:c>
      <x:c r="J152" s="15" t="str">
        <x:v>TODO</x:v>
      </x:c>
      <x:c r="K152" s="15" t="str">
        <x:v>P1</x:v>
      </x:c>
      <x:c r="L152" s="15" t="str">
        <x:v>Done only when evidence is logged, contradiction search is noted, and boundary stamp remains non-canon unless ratified</x:v>
      </x:c>
      <x:c r="M152" s="15" t="str">
        <x:v>candidate / staging-only / not canon / not deployed / authority none</x:v>
      </x:c>
      <x:c r="N152" s="15" t="str">
        <x:v>Dispatch to Hashlight: complete Source Inventory x Planetarium; return deltas only, receipts required.</x:v>
      </x:c>
      <x:c r="O152" s="15" t="str">
        <x:v>AF-KG-H01-S07</x:v>
      </x:c>
      <x:c r="P152" s="15" t="str">
        <x:v>Unverified</x:v>
      </x:c>
      <x:c r="Q152" s="15" t="str">
        <x:v>Not checked</x:v>
      </x:c>
      <x:c r="R152" s="15" t="str"/>
      <x:c r="S152" s="15" t="str"/>
      <x:c r="T152" s="15" t="str">
        <x:v>Log first source path or blocker</x:v>
      </x:c>
      <x:c r="U152" s="12" t="str">
        <x:f>IF(OR(P152="Unverified",Q152="Not checked"),"BLOCKED_PENDING_RECEIPT","READY_FOR_REVIEW")</x:f>
        <x:v>BLOCKED_PENDING_RECEIPT</x:v>
      </x:c>
      <x:c r="V152" s="12" t="str">
        <x:f>IF(J152="DONE","RETURNED",IF(U152="BLOCKED_PENDING_RECEIPT","SOURCE_TOUCH_REQUIRED","IN_PROGRESS"))</x:f>
        <x:v>SOURCE_TOUCH_REQUIRED</x:v>
      </x:c>
      <x:c r="W152" s="12" t="str">
        <x:f>IF(P152="Unverified","missing_receipt","receipt_logged")</x:f>
        <x:v>missing_receipt</x:v>
      </x:c>
      <x:c r="X152" s="12" t="str">
        <x:f>IF(Q152="Not checked","raw_status_missing","raw_status_logged")</x:f>
        <x:v>raw_status_missing</x:v>
      </x:c>
      <x:c r="Y152" s="12" t="str">
        <x:f>IF(U152="BLOCKED_PENDING_RECEIPT","Log source path or blocker; do not promote","Route to review lane")</x:f>
        <x:v>Log source path or blocker; do not promote</x:v>
      </x:c>
      <x:c r="Z152" s="12" t="str">
        <x:f>IF(K152="P0","Primary seat + Hashlight/Lucerna","Seat lane")</x:f>
        <x:v>Seat lane</x:v>
      </x:c>
      <x:c r="AA152" s="12" t="str">
        <x:f>IF(R152="","no_claim_delta","claim_delta_present")</x:f>
        <x:v>no_claim_delta</x:v>
      </x:c>
      <x:c r="AB152" s="12" t="str">
        <x:f>IF(S152="","no_contradiction_delta","contradiction_delta_present")</x:f>
        <x:v>no_contradiction_delta</x:v>
      </x:c>
      <x:c r="AC152" s="12" t="str">
        <x:f>IF(OR(ISNUMBER(SEARCH("hacker",LOWER(F152&amp;" "&amp;H152&amp;" "&amp;I152&amp;" "&amp;M152&amp;" "&amp;N152&amp;" "&amp;T152))),ISNUMBER(SEARCH("hacking",LOWER(F152&amp;" "&amp;H152&amp;" "&amp;I152&amp;" "&amp;M152&amp;" "&amp;N152&amp;" "&amp;T152))),ISNUMBER(SEARCH("bank",LOWER(F152&amp;" "&amp;H152&amp;" "&amp;I152&amp;" "&amp;M152&amp;" "&amp;N152&amp;" "&amp;T152))),ISNUMBER(SEARCH("banking",LOWER(F152&amp;" "&amp;H152&amp;" "&amp;I152&amp;" "&amp;M152&amp;" "&amp;N152&amp;" "&amp;T152)))),"PRIVATE_QUARANTINE",IF(OR(ISNUMBER(SEARCH("treasury",LOWER(F152&amp;" "&amp;H152&amp;" "&amp;I152&amp;" "&amp;M152&amp;" "&amp;N152&amp;" "&amp;T152))),ISNUMBER(SEARCH("debt",LOWER(F152&amp;" "&amp;H152&amp;" "&amp;I152&amp;" "&amp;M152&amp;" "&amp;N152&amp;" "&amp;T152))),ISNUMBER(SEARCH("bond",LOWER(F152&amp;" "&amp;H152&amp;" "&amp;I152&amp;" "&amp;M152&amp;" "&amp;N152&amp;" "&amp;T152))),ISNUMBER(SEARCH("transaction",LOWER(F152&amp;" "&amp;H152&amp;" "&amp;I152&amp;" "&amp;M152&amp;" "&amp;N152&amp;" "&amp;T152)))),"PRIVATE_REVIEW","PUBLIC_CANDIDATE"))</x:f>
        <x:v>PUBLIC_CANDIDATE</x:v>
      </x:c>
      <x:c r="AD152" s="12" t="str">
        <x:f>IF(AC152="PRIVATE_QUARANTINE","hacker_or_bank_trigger",IF(AC152="PRIVATE_REVIEW","finance_risk_trigger","none"))</x:f>
        <x:v>none</x:v>
      </x:c>
      <x:c r="AE152" s="12" t="str">
        <x:f>IF(AC152="PUBLIC_CANDIDATE","prepare_public_github_candidate",IF(AC152="PRIVATE_REVIEW","hold_for_private_review","quarantine_private_do_not_publish"))</x:f>
        <x:v>prepare_public_github_candidate</x:v>
      </x:c>
      <x:c r="AF152" s="12" t="str">
        <x:f>IF(AC152="PUBLIC_CANDIDATE","TIDELOCK + Lucerna",IF(AC152="PRIVATE_REVIEW","AtlasBrain + Lucerna","TIDELOCK + Lucerna + Human-root"))</x:f>
        <x:v>TIDELOCK + Lucerna</x:v>
      </x:c>
      <x:c r="AG152" s="12" t="str">
        <x:f>IF(AND(AC152="PUBLIC_CANDIDATE",U152&lt;&gt;"BLOCKED_PENDING_RECEIPT"),"READY_AFTER_RECEIPT","NOT_READY")</x:f>
        <x:v>NOT_READY</x:v>
      </x:c>
      <x:c r="AH152" s="12" t="str">
        <x:f>IF(AC152="PUBLIC_CANDIDATE","none",AD152)</x:f>
        <x:v>none</x:v>
      </x:c>
      <x:c r="AI152" s="12" t="str">
        <x:f>IF(AC152="PUBLIC_CANDIDATE","archive/public_candidates/"&amp;A152,"private_quarantine/"&amp;A152)</x:f>
        <x:v>archive/public_candidates/SWARM-02-H01-S07</x:v>
      </x:c>
      <x:c r="AJ152" s="12" t="str">
        <x:f>IF(AC152="PUBLIC_CANDIDATE","public by default; still not canon","private/hold; do not publish")</x:f>
        <x:v>public by default; still not canon</x:v>
      </x:c>
      <x:c r="AK152" s="12" t="str">
        <x:f>IF(AE152="prepare_public_github_candidate","add receipt/status then mirror","resolve blocker before any public GitHub action")</x:f>
        <x:v>add receipt/status then mirror</x:v>
      </x:c>
    </x:row>
    <x:row r="153">
      <x:c r="A153" s="15" t="str">
        <x:v>SWARM-02-H01-S08</x:v>
      </x:c>
      <x:c r="B153" s="15" t="str">
        <x:v>Hashlight</x:v>
      </x:c>
      <x:c r="C153" s="15" t="str">
        <x:v>Hash and identity keeper</x:v>
      </x:c>
      <x:c r="D153" s="15" t="str">
        <x:v>Source Inventory</x:v>
      </x:c>
      <x:c r="E153" s="15" t="str">
        <x:v>Sheldonbrain</x:v>
      </x:c>
      <x:c r="F153" s="15" t="str">
        <x:v>Inventory Sheldonbrain — Hashlight</x:v>
      </x:c>
      <x:c r="G153" s="15" t="str">
        <x:v>ids / hashes / timestamps / duplicate control</x:v>
      </x:c>
      <x:c r="H153" s="15" t="str">
        <x:v>source path + receipt + raw/export status + claim/edge/risk delta</x:v>
      </x:c>
      <x:c r="I153" s="15" t="str">
        <x:v>packet/SWARM-02-H01-S08</x:v>
      </x:c>
      <x:c r="J153" s="15" t="str">
        <x:v>TODO</x:v>
      </x:c>
      <x:c r="K153" s="15" t="str">
        <x:v>P1</x:v>
      </x:c>
      <x:c r="L153" s="15" t="str">
        <x:v>Done only when evidence is logged, contradiction search is noted, and boundary stamp remains non-canon unless ratified</x:v>
      </x:c>
      <x:c r="M153" s="15" t="str">
        <x:v>candidate / staging-only / not canon / not deployed / authority none</x:v>
      </x:c>
      <x:c r="N153" s="15" t="str">
        <x:v>Dispatch to Hashlight: complete Source Inventory x Sheldonbrain; return deltas only, receipts required.</x:v>
      </x:c>
      <x:c r="O153" s="15" t="str">
        <x:v>AF-KG-H01-S08</x:v>
      </x:c>
      <x:c r="P153" s="15" t="str">
        <x:v>Unverified</x:v>
      </x:c>
      <x:c r="Q153" s="15" t="str">
        <x:v>Not checked</x:v>
      </x:c>
      <x:c r="R153" s="15" t="str"/>
      <x:c r="S153" s="15" t="str"/>
      <x:c r="T153" s="15" t="str">
        <x:v>Log first source path or blocker</x:v>
      </x:c>
      <x:c r="U153" s="12" t="str">
        <x:f>IF(OR(P153="Unverified",Q153="Not checked"),"BLOCKED_PENDING_RECEIPT","READY_FOR_REVIEW")</x:f>
        <x:v>BLOCKED_PENDING_RECEIPT</x:v>
      </x:c>
      <x:c r="V153" s="12" t="str">
        <x:f>IF(J153="DONE","RETURNED",IF(U153="BLOCKED_PENDING_RECEIPT","SOURCE_TOUCH_REQUIRED","IN_PROGRESS"))</x:f>
        <x:v>SOURCE_TOUCH_REQUIRED</x:v>
      </x:c>
      <x:c r="W153" s="12" t="str">
        <x:f>IF(P153="Unverified","missing_receipt","receipt_logged")</x:f>
        <x:v>missing_receipt</x:v>
      </x:c>
      <x:c r="X153" s="12" t="str">
        <x:f>IF(Q153="Not checked","raw_status_missing","raw_status_logged")</x:f>
        <x:v>raw_status_missing</x:v>
      </x:c>
      <x:c r="Y153" s="12" t="str">
        <x:f>IF(U153="BLOCKED_PENDING_RECEIPT","Log source path or blocker; do not promote","Route to review lane")</x:f>
        <x:v>Log source path or blocker; do not promote</x:v>
      </x:c>
      <x:c r="Z153" s="12" t="str">
        <x:f>IF(K153="P0","Primary seat + Hashlight/Lucerna","Seat lane")</x:f>
        <x:v>Seat lane</x:v>
      </x:c>
      <x:c r="AA153" s="12" t="str">
        <x:f>IF(R153="","no_claim_delta","claim_delta_present")</x:f>
        <x:v>no_claim_delta</x:v>
      </x:c>
      <x:c r="AB153" s="12" t="str">
        <x:f>IF(S153="","no_contradiction_delta","contradiction_delta_present")</x:f>
        <x:v>no_contradiction_delta</x:v>
      </x:c>
      <x:c r="AC153" s="12" t="str">
        <x:f>IF(OR(ISNUMBER(SEARCH("hacker",LOWER(F153&amp;" "&amp;H153&amp;" "&amp;I153&amp;" "&amp;M153&amp;" "&amp;N153&amp;" "&amp;T153))),ISNUMBER(SEARCH("hacking",LOWER(F153&amp;" "&amp;H153&amp;" "&amp;I153&amp;" "&amp;M153&amp;" "&amp;N153&amp;" "&amp;T153))),ISNUMBER(SEARCH("bank",LOWER(F153&amp;" "&amp;H153&amp;" "&amp;I153&amp;" "&amp;M153&amp;" "&amp;N153&amp;" "&amp;T153))),ISNUMBER(SEARCH("banking",LOWER(F153&amp;" "&amp;H153&amp;" "&amp;I153&amp;" "&amp;M153&amp;" "&amp;N153&amp;" "&amp;T153)))),"PRIVATE_QUARANTINE",IF(OR(ISNUMBER(SEARCH("treasury",LOWER(F153&amp;" "&amp;H153&amp;" "&amp;I153&amp;" "&amp;M153&amp;" "&amp;N153&amp;" "&amp;T153))),ISNUMBER(SEARCH("debt",LOWER(F153&amp;" "&amp;H153&amp;" "&amp;I153&amp;" "&amp;M153&amp;" "&amp;N153&amp;" "&amp;T153))),ISNUMBER(SEARCH("bond",LOWER(F153&amp;" "&amp;H153&amp;" "&amp;I153&amp;" "&amp;M153&amp;" "&amp;N153&amp;" "&amp;T153))),ISNUMBER(SEARCH("transaction",LOWER(F153&amp;" "&amp;H153&amp;" "&amp;I153&amp;" "&amp;M153&amp;" "&amp;N153&amp;" "&amp;T153)))),"PRIVATE_REVIEW","PUBLIC_CANDIDATE"))</x:f>
        <x:v>PUBLIC_CANDIDATE</x:v>
      </x:c>
      <x:c r="AD153" s="12" t="str">
        <x:f>IF(AC153="PRIVATE_QUARANTINE","hacker_or_bank_trigger",IF(AC153="PRIVATE_REVIEW","finance_risk_trigger","none"))</x:f>
        <x:v>none</x:v>
      </x:c>
      <x:c r="AE153" s="12" t="str">
        <x:f>IF(AC153="PUBLIC_CANDIDATE","prepare_public_github_candidate",IF(AC153="PRIVATE_REVIEW","hold_for_private_review","quarantine_private_do_not_publish"))</x:f>
        <x:v>prepare_public_github_candidate</x:v>
      </x:c>
      <x:c r="AF153" s="12" t="str">
        <x:f>IF(AC153="PUBLIC_CANDIDATE","TIDELOCK + Lucerna",IF(AC153="PRIVATE_REVIEW","AtlasBrain + Lucerna","TIDELOCK + Lucerna + Human-root"))</x:f>
        <x:v>TIDELOCK + Lucerna</x:v>
      </x:c>
      <x:c r="AG153" s="12" t="str">
        <x:f>IF(AND(AC153="PUBLIC_CANDIDATE",U153&lt;&gt;"BLOCKED_PENDING_RECEIPT"),"READY_AFTER_RECEIPT","NOT_READY")</x:f>
        <x:v>NOT_READY</x:v>
      </x:c>
      <x:c r="AH153" s="12" t="str">
        <x:f>IF(AC153="PUBLIC_CANDIDATE","none",AD153)</x:f>
        <x:v>none</x:v>
      </x:c>
      <x:c r="AI153" s="12" t="str">
        <x:f>IF(AC153="PUBLIC_CANDIDATE","archive/public_candidates/"&amp;A153,"private_quarantine/"&amp;A153)</x:f>
        <x:v>archive/public_candidates/SWARM-02-H01-S08</x:v>
      </x:c>
      <x:c r="AJ153" s="12" t="str">
        <x:f>IF(AC153="PUBLIC_CANDIDATE","public by default; still not canon","private/hold; do not publish")</x:f>
        <x:v>public by default; still not canon</x:v>
      </x:c>
      <x:c r="AK153" s="12" t="str">
        <x:f>IF(AE153="prepare_public_github_candidate","add receipt/status then mirror","resolve blocker before any public GitHub action")</x:f>
        <x:v>add receipt/status then mirror</x:v>
      </x:c>
    </x:row>
    <x:row r="154">
      <x:c r="A154" s="15" t="str">
        <x:v>SWARM-02-H01-S09</x:v>
      </x:c>
      <x:c r="B154" s="15" t="str">
        <x:v>Hashlight</x:v>
      </x:c>
      <x:c r="C154" s="15" t="str">
        <x:v>Hash and identity keeper</x:v>
      </x:c>
      <x:c r="D154" s="15" t="str">
        <x:v>Source Inventory</x:v>
      </x:c>
      <x:c r="E154" s="15" t="str">
        <x:v>Aetherforge</x:v>
      </x:c>
      <x:c r="F154" s="15" t="str">
        <x:v>Inventory Aetherforge — Hashlight</x:v>
      </x:c>
      <x:c r="G154" s="15" t="str">
        <x:v>ids / hashes / timestamps / duplicate control</x:v>
      </x:c>
      <x:c r="H154" s="15" t="str">
        <x:v>source path + receipt + raw/export status + claim/edge/risk delta</x:v>
      </x:c>
      <x:c r="I154" s="15" t="str">
        <x:v>packet/SWARM-02-H01-S09</x:v>
      </x:c>
      <x:c r="J154" s="15" t="str">
        <x:v>TODO</x:v>
      </x:c>
      <x:c r="K154" s="15" t="str">
        <x:v>P2</x:v>
      </x:c>
      <x:c r="L154" s="15" t="str">
        <x:v>Done only when evidence is logged, contradiction search is noted, and boundary stamp remains non-canon unless ratified</x:v>
      </x:c>
      <x:c r="M154" s="15" t="str">
        <x:v>candidate / staging-only / not canon / not deployed / authority none</x:v>
      </x:c>
      <x:c r="N154" s="15" t="str">
        <x:v>Dispatch to Hashlight: complete Source Inventory x Aetherforge; return deltas only, receipts required.</x:v>
      </x:c>
      <x:c r="O154" s="15" t="str">
        <x:v>AF-KG-H01-S09</x:v>
      </x:c>
      <x:c r="P154" s="15" t="str">
        <x:v>Unverified</x:v>
      </x:c>
      <x:c r="Q154" s="15" t="str">
        <x:v>Not checked</x:v>
      </x:c>
      <x:c r="R154" s="15" t="str"/>
      <x:c r="S154" s="15" t="str"/>
      <x:c r="T154" s="15" t="str">
        <x:v>Log first source path or blocker</x:v>
      </x:c>
      <x:c r="U154" s="12" t="str">
        <x:f>IF(OR(P154="Unverified",Q154="Not checked"),"BLOCKED_PENDING_RECEIPT","READY_FOR_REVIEW")</x:f>
        <x:v>BLOCKED_PENDING_RECEIPT</x:v>
      </x:c>
      <x:c r="V154" s="12" t="str">
        <x:f>IF(J154="DONE","RETURNED",IF(U154="BLOCKED_PENDING_RECEIPT","SOURCE_TOUCH_REQUIRED","IN_PROGRESS"))</x:f>
        <x:v>SOURCE_TOUCH_REQUIRED</x:v>
      </x:c>
      <x:c r="W154" s="12" t="str">
        <x:f>IF(P154="Unverified","missing_receipt","receipt_logged")</x:f>
        <x:v>missing_receipt</x:v>
      </x:c>
      <x:c r="X154" s="12" t="str">
        <x:f>IF(Q154="Not checked","raw_status_missing","raw_status_logged")</x:f>
        <x:v>raw_status_missing</x:v>
      </x:c>
      <x:c r="Y154" s="12" t="str">
        <x:f>IF(U154="BLOCKED_PENDING_RECEIPT","Log source path or blocker; do not promote","Route to review lane")</x:f>
        <x:v>Log source path or blocker; do not promote</x:v>
      </x:c>
      <x:c r="Z154" s="12" t="str">
        <x:f>IF(K154="P0","Primary seat + Hashlight/Lucerna","Seat lane")</x:f>
        <x:v>Seat lane</x:v>
      </x:c>
      <x:c r="AA154" s="12" t="str">
        <x:f>IF(R154="","no_claim_delta","claim_delta_present")</x:f>
        <x:v>no_claim_delta</x:v>
      </x:c>
      <x:c r="AB154" s="12" t="str">
        <x:f>IF(S154="","no_contradiction_delta","contradiction_delta_present")</x:f>
        <x:v>no_contradiction_delta</x:v>
      </x:c>
      <x:c r="AC154" s="12" t="str">
        <x:f>IF(OR(ISNUMBER(SEARCH("hacker",LOWER(F154&amp;" "&amp;H154&amp;" "&amp;I154&amp;" "&amp;M154&amp;" "&amp;N154&amp;" "&amp;T154))),ISNUMBER(SEARCH("hacking",LOWER(F154&amp;" "&amp;H154&amp;" "&amp;I154&amp;" "&amp;M154&amp;" "&amp;N154&amp;" "&amp;T154))),ISNUMBER(SEARCH("bank",LOWER(F154&amp;" "&amp;H154&amp;" "&amp;I154&amp;" "&amp;M154&amp;" "&amp;N154&amp;" "&amp;T154))),ISNUMBER(SEARCH("banking",LOWER(F154&amp;" "&amp;H154&amp;" "&amp;I154&amp;" "&amp;M154&amp;" "&amp;N154&amp;" "&amp;T154)))),"PRIVATE_QUARANTINE",IF(OR(ISNUMBER(SEARCH("treasury",LOWER(F154&amp;" "&amp;H154&amp;" "&amp;I154&amp;" "&amp;M154&amp;" "&amp;N154&amp;" "&amp;T154))),ISNUMBER(SEARCH("debt",LOWER(F154&amp;" "&amp;H154&amp;" "&amp;I154&amp;" "&amp;M154&amp;" "&amp;N154&amp;" "&amp;T154))),ISNUMBER(SEARCH("bond",LOWER(F154&amp;" "&amp;H154&amp;" "&amp;I154&amp;" "&amp;M154&amp;" "&amp;N154&amp;" "&amp;T154))),ISNUMBER(SEARCH("transaction",LOWER(F154&amp;" "&amp;H154&amp;" "&amp;I154&amp;" "&amp;M154&amp;" "&amp;N154&amp;" "&amp;T154)))),"PRIVATE_REVIEW","PUBLIC_CANDIDATE"))</x:f>
        <x:v>PUBLIC_CANDIDATE</x:v>
      </x:c>
      <x:c r="AD154" s="12" t="str">
        <x:f>IF(AC154="PRIVATE_QUARANTINE","hacker_or_bank_trigger",IF(AC154="PRIVATE_REVIEW","finance_risk_trigger","none"))</x:f>
        <x:v>none</x:v>
      </x:c>
      <x:c r="AE154" s="12" t="str">
        <x:f>IF(AC154="PUBLIC_CANDIDATE","prepare_public_github_candidate",IF(AC154="PRIVATE_REVIEW","hold_for_private_review","quarantine_private_do_not_publish"))</x:f>
        <x:v>prepare_public_github_candidate</x:v>
      </x:c>
      <x:c r="AF154" s="12" t="str">
        <x:f>IF(AC154="PUBLIC_CANDIDATE","TIDELOCK + Lucerna",IF(AC154="PRIVATE_REVIEW","AtlasBrain + Lucerna","TIDELOCK + Lucerna + Human-root"))</x:f>
        <x:v>TIDELOCK + Lucerna</x:v>
      </x:c>
      <x:c r="AG154" s="12" t="str">
        <x:f>IF(AND(AC154="PUBLIC_CANDIDATE",U154&lt;&gt;"BLOCKED_PENDING_RECEIPT"),"READY_AFTER_RECEIPT","NOT_READY")</x:f>
        <x:v>NOT_READY</x:v>
      </x:c>
      <x:c r="AH154" s="12" t="str">
        <x:f>IF(AC154="PUBLIC_CANDIDATE","none",AD154)</x:f>
        <x:v>none</x:v>
      </x:c>
      <x:c r="AI154" s="12" t="str">
        <x:f>IF(AC154="PUBLIC_CANDIDATE","archive/public_candidates/"&amp;A154,"private_quarantine/"&amp;A154)</x:f>
        <x:v>archive/public_candidates/SWARM-02-H01-S09</x:v>
      </x:c>
      <x:c r="AJ154" s="12" t="str">
        <x:f>IF(AC154="PUBLIC_CANDIDATE","public by default; still not canon","private/hold; do not publish")</x:f>
        <x:v>public by default; still not canon</x:v>
      </x:c>
      <x:c r="AK154" s="12" t="str">
        <x:f>IF(AE154="prepare_public_github_candidate","add receipt/status then mirror","resolve blocker before any public GitHub action")</x:f>
        <x:v>add receipt/status then mirror</x:v>
      </x:c>
    </x:row>
    <x:row r="155">
      <x:c r="A155" s="15" t="str">
        <x:v>SWARM-02-H01-S10</x:v>
      </x:c>
      <x:c r="B155" s="15" t="str">
        <x:v>Hashlight</x:v>
      </x:c>
      <x:c r="C155" s="15" t="str">
        <x:v>Hash and identity keeper</x:v>
      </x:c>
      <x:c r="D155" s="15" t="str">
        <x:v>Source Inventory</x:v>
      </x:c>
      <x:c r="E155" s="15" t="str">
        <x:v>Human-Root</x:v>
      </x:c>
      <x:c r="F155" s="15" t="str">
        <x:v>Inventory Human-Root — Hashlight</x:v>
      </x:c>
      <x:c r="G155" s="15" t="str">
        <x:v>ids / hashes / timestamps / duplicate control</x:v>
      </x:c>
      <x:c r="H155" s="15" t="str">
        <x:v>source path + receipt + raw/export status + claim/edge/risk delta</x:v>
      </x:c>
      <x:c r="I155" s="15" t="str">
        <x:v>packet/SWARM-02-H01-S10</x:v>
      </x:c>
      <x:c r="J155" s="15" t="str">
        <x:v>TODO</x:v>
      </x:c>
      <x:c r="K155" s="15" t="str">
        <x:v>P2</x:v>
      </x:c>
      <x:c r="L155" s="15" t="str">
        <x:v>Done only when evidence is logged, contradiction search is noted, and boundary stamp remains non-canon unless ratified</x:v>
      </x:c>
      <x:c r="M155" s="15" t="str">
        <x:v>candidate / staging-only / not canon / not deployed / authority none</x:v>
      </x:c>
      <x:c r="N155" s="15" t="str">
        <x:v>Dispatch to Hashlight: complete Source Inventory x Human-Root; return deltas only, receipts required.</x:v>
      </x:c>
      <x:c r="O155" s="15" t="str">
        <x:v>AF-KG-H01-S10</x:v>
      </x:c>
      <x:c r="P155" s="15" t="str">
        <x:v>Unverified</x:v>
      </x:c>
      <x:c r="Q155" s="15" t="str">
        <x:v>Not checked</x:v>
      </x:c>
      <x:c r="R155" s="15" t="str"/>
      <x:c r="S155" s="15" t="str"/>
      <x:c r="T155" s="15" t="str">
        <x:v>Log first source path or blocker</x:v>
      </x:c>
      <x:c r="U155" s="12" t="str">
        <x:f>IF(OR(P155="Unverified",Q155="Not checked"),"BLOCKED_PENDING_RECEIPT","READY_FOR_REVIEW")</x:f>
        <x:v>BLOCKED_PENDING_RECEIPT</x:v>
      </x:c>
      <x:c r="V155" s="12" t="str">
        <x:f>IF(J155="DONE","RETURNED",IF(U155="BLOCKED_PENDING_RECEIPT","SOURCE_TOUCH_REQUIRED","IN_PROGRESS"))</x:f>
        <x:v>SOURCE_TOUCH_REQUIRED</x:v>
      </x:c>
      <x:c r="W155" s="12" t="str">
        <x:f>IF(P155="Unverified","missing_receipt","receipt_logged")</x:f>
        <x:v>missing_receipt</x:v>
      </x:c>
      <x:c r="X155" s="12" t="str">
        <x:f>IF(Q155="Not checked","raw_status_missing","raw_status_logged")</x:f>
        <x:v>raw_status_missing</x:v>
      </x:c>
      <x:c r="Y155" s="12" t="str">
        <x:f>IF(U155="BLOCKED_PENDING_RECEIPT","Log source path or blocker; do not promote","Route to review lane")</x:f>
        <x:v>Log source path or blocker; do not promote</x:v>
      </x:c>
      <x:c r="Z155" s="12" t="str">
        <x:f>IF(K155="P0","Primary seat + Hashlight/Lucerna","Seat lane")</x:f>
        <x:v>Seat lane</x:v>
      </x:c>
      <x:c r="AA155" s="12" t="str">
        <x:f>IF(R155="","no_claim_delta","claim_delta_present")</x:f>
        <x:v>no_claim_delta</x:v>
      </x:c>
      <x:c r="AB155" s="12" t="str">
        <x:f>IF(S155="","no_contradiction_delta","contradiction_delta_present")</x:f>
        <x:v>no_contradiction_delta</x:v>
      </x:c>
      <x:c r="AC155" s="12" t="str">
        <x:f>IF(OR(ISNUMBER(SEARCH("hacker",LOWER(F155&amp;" "&amp;H155&amp;" "&amp;I155&amp;" "&amp;M155&amp;" "&amp;N155&amp;" "&amp;T155))),ISNUMBER(SEARCH("hacking",LOWER(F155&amp;" "&amp;H155&amp;" "&amp;I155&amp;" "&amp;M155&amp;" "&amp;N155&amp;" "&amp;T155))),ISNUMBER(SEARCH("bank",LOWER(F155&amp;" "&amp;H155&amp;" "&amp;I155&amp;" "&amp;M155&amp;" "&amp;N155&amp;" "&amp;T155))),ISNUMBER(SEARCH("banking",LOWER(F155&amp;" "&amp;H155&amp;" "&amp;I155&amp;" "&amp;M155&amp;" "&amp;N155&amp;" "&amp;T155)))),"PRIVATE_QUARANTINE",IF(OR(ISNUMBER(SEARCH("treasury",LOWER(F155&amp;" "&amp;H155&amp;" "&amp;I155&amp;" "&amp;M155&amp;" "&amp;N155&amp;" "&amp;T155))),ISNUMBER(SEARCH("debt",LOWER(F155&amp;" "&amp;H155&amp;" "&amp;I155&amp;" "&amp;M155&amp;" "&amp;N155&amp;" "&amp;T155))),ISNUMBER(SEARCH("bond",LOWER(F155&amp;" "&amp;H155&amp;" "&amp;I155&amp;" "&amp;M155&amp;" "&amp;N155&amp;" "&amp;T155))),ISNUMBER(SEARCH("transaction",LOWER(F155&amp;" "&amp;H155&amp;" "&amp;I155&amp;" "&amp;M155&amp;" "&amp;N155&amp;" "&amp;T155)))),"PRIVATE_REVIEW","PUBLIC_CANDIDATE"))</x:f>
        <x:v>PUBLIC_CANDIDATE</x:v>
      </x:c>
      <x:c r="AD155" s="12" t="str">
        <x:f>IF(AC155="PRIVATE_QUARANTINE","hacker_or_bank_trigger",IF(AC155="PRIVATE_REVIEW","finance_risk_trigger","none"))</x:f>
        <x:v>none</x:v>
      </x:c>
      <x:c r="AE155" s="12" t="str">
        <x:f>IF(AC155="PUBLIC_CANDIDATE","prepare_public_github_candidate",IF(AC155="PRIVATE_REVIEW","hold_for_private_review","quarantine_private_do_not_publish"))</x:f>
        <x:v>prepare_public_github_candidate</x:v>
      </x:c>
      <x:c r="AF155" s="12" t="str">
        <x:f>IF(AC155="PUBLIC_CANDIDATE","TIDELOCK + Lucerna",IF(AC155="PRIVATE_REVIEW","AtlasBrain + Lucerna","TIDELOCK + Lucerna + Human-root"))</x:f>
        <x:v>TIDELOCK + Lucerna</x:v>
      </x:c>
      <x:c r="AG155" s="12" t="str">
        <x:f>IF(AND(AC155="PUBLIC_CANDIDATE",U155&lt;&gt;"BLOCKED_PENDING_RECEIPT"),"READY_AFTER_RECEIPT","NOT_READY")</x:f>
        <x:v>NOT_READY</x:v>
      </x:c>
      <x:c r="AH155" s="12" t="str">
        <x:f>IF(AC155="PUBLIC_CANDIDATE","none",AD155)</x:f>
        <x:v>none</x:v>
      </x:c>
      <x:c r="AI155" s="12" t="str">
        <x:f>IF(AC155="PUBLIC_CANDIDATE","archive/public_candidates/"&amp;A155,"private_quarantine/"&amp;A155)</x:f>
        <x:v>archive/public_candidates/SWARM-02-H01-S10</x:v>
      </x:c>
      <x:c r="AJ155" s="12" t="str">
        <x:f>IF(AC155="PUBLIC_CANDIDATE","public by default; still not canon","private/hold; do not publish")</x:f>
        <x:v>public by default; still not canon</x:v>
      </x:c>
      <x:c r="AK155" s="12" t="str">
        <x:f>IF(AE155="prepare_public_github_candidate","add receipt/status then mirror","resolve blocker before any public GitHub action")</x:f>
        <x:v>add receipt/status then mirror</x:v>
      </x:c>
    </x:row>
    <x:row r="156">
      <x:c r="A156" s="15" t="str">
        <x:v>SWARM-02-H01-S11</x:v>
      </x:c>
      <x:c r="B156" s="15" t="str">
        <x:v>Hashlight</x:v>
      </x:c>
      <x:c r="C156" s="15" t="str">
        <x:v>Hash and identity keeper</x:v>
      </x:c>
      <x:c r="D156" s="15" t="str">
        <x:v>Source Inventory</x:v>
      </x:c>
      <x:c r="E156" s="15" t="str">
        <x:v>Automation</x:v>
      </x:c>
      <x:c r="F156" s="15" t="str">
        <x:v>Inventory Automation — Hashlight</x:v>
      </x:c>
      <x:c r="G156" s="15" t="str">
        <x:v>ids / hashes / timestamps / duplicate control</x:v>
      </x:c>
      <x:c r="H156" s="15" t="str">
        <x:v>source path + receipt + raw/export status + claim/edge/risk delta</x:v>
      </x:c>
      <x:c r="I156" s="15" t="str">
        <x:v>packet/SWARM-02-H01-S11</x:v>
      </x:c>
      <x:c r="J156" s="15" t="str">
        <x:v>TODO</x:v>
      </x:c>
      <x:c r="K156" s="15" t="str">
        <x:v>P2</x:v>
      </x:c>
      <x:c r="L156" s="15" t="str">
        <x:v>Done only when evidence is logged, contradiction search is noted, and boundary stamp remains non-canon unless ratified</x:v>
      </x:c>
      <x:c r="M156" s="15" t="str">
        <x:v>candidate / staging-only / not canon / not deployed / authority none</x:v>
      </x:c>
      <x:c r="N156" s="15" t="str">
        <x:v>Dispatch to Hashlight: complete Source Inventory x Automation; return deltas only, receipts required.</x:v>
      </x:c>
      <x:c r="O156" s="15" t="str">
        <x:v>AF-KG-H01-S11</x:v>
      </x:c>
      <x:c r="P156" s="15" t="str">
        <x:v>Unverified</x:v>
      </x:c>
      <x:c r="Q156" s="15" t="str">
        <x:v>Not checked</x:v>
      </x:c>
      <x:c r="R156" s="15" t="str"/>
      <x:c r="S156" s="15" t="str"/>
      <x:c r="T156" s="15" t="str">
        <x:v>Log first source path or blocker</x:v>
      </x:c>
      <x:c r="U156" s="12" t="str">
        <x:f>IF(OR(P156="Unverified",Q156="Not checked"),"BLOCKED_PENDING_RECEIPT","READY_FOR_REVIEW")</x:f>
        <x:v>BLOCKED_PENDING_RECEIPT</x:v>
      </x:c>
      <x:c r="V156" s="12" t="str">
        <x:f>IF(J156="DONE","RETURNED",IF(U156="BLOCKED_PENDING_RECEIPT","SOURCE_TOUCH_REQUIRED","IN_PROGRESS"))</x:f>
        <x:v>SOURCE_TOUCH_REQUIRED</x:v>
      </x:c>
      <x:c r="W156" s="12" t="str">
        <x:f>IF(P156="Unverified","missing_receipt","receipt_logged")</x:f>
        <x:v>missing_receipt</x:v>
      </x:c>
      <x:c r="X156" s="12" t="str">
        <x:f>IF(Q156="Not checked","raw_status_missing","raw_status_logged")</x:f>
        <x:v>raw_status_missing</x:v>
      </x:c>
      <x:c r="Y156" s="12" t="str">
        <x:f>IF(U156="BLOCKED_PENDING_RECEIPT","Log source path or blocker; do not promote","Route to review lane")</x:f>
        <x:v>Log source path or blocker; do not promote</x:v>
      </x:c>
      <x:c r="Z156" s="12" t="str">
        <x:f>IF(K156="P0","Primary seat + Hashlight/Lucerna","Seat lane")</x:f>
        <x:v>Seat lane</x:v>
      </x:c>
      <x:c r="AA156" s="12" t="str">
        <x:f>IF(R156="","no_claim_delta","claim_delta_present")</x:f>
        <x:v>no_claim_delta</x:v>
      </x:c>
      <x:c r="AB156" s="12" t="str">
        <x:f>IF(S156="","no_contradiction_delta","contradiction_delta_present")</x:f>
        <x:v>no_contradiction_delta</x:v>
      </x:c>
      <x:c r="AC156" s="12" t="str">
        <x:f>IF(OR(ISNUMBER(SEARCH("hacker",LOWER(F156&amp;" "&amp;H156&amp;" "&amp;I156&amp;" "&amp;M156&amp;" "&amp;N156&amp;" "&amp;T156))),ISNUMBER(SEARCH("hacking",LOWER(F156&amp;" "&amp;H156&amp;" "&amp;I156&amp;" "&amp;M156&amp;" "&amp;N156&amp;" "&amp;T156))),ISNUMBER(SEARCH("bank",LOWER(F156&amp;" "&amp;H156&amp;" "&amp;I156&amp;" "&amp;M156&amp;" "&amp;N156&amp;" "&amp;T156))),ISNUMBER(SEARCH("banking",LOWER(F156&amp;" "&amp;H156&amp;" "&amp;I156&amp;" "&amp;M156&amp;" "&amp;N156&amp;" "&amp;T156)))),"PRIVATE_QUARANTINE",IF(OR(ISNUMBER(SEARCH("treasury",LOWER(F156&amp;" "&amp;H156&amp;" "&amp;I156&amp;" "&amp;M156&amp;" "&amp;N156&amp;" "&amp;T156))),ISNUMBER(SEARCH("debt",LOWER(F156&amp;" "&amp;H156&amp;" "&amp;I156&amp;" "&amp;M156&amp;" "&amp;N156&amp;" "&amp;T156))),ISNUMBER(SEARCH("bond",LOWER(F156&amp;" "&amp;H156&amp;" "&amp;I156&amp;" "&amp;M156&amp;" "&amp;N156&amp;" "&amp;T156))),ISNUMBER(SEARCH("transaction",LOWER(F156&amp;" "&amp;H156&amp;" "&amp;I156&amp;" "&amp;M156&amp;" "&amp;N156&amp;" "&amp;T156)))),"PRIVATE_REVIEW","PUBLIC_CANDIDATE"))</x:f>
        <x:v>PUBLIC_CANDIDATE</x:v>
      </x:c>
      <x:c r="AD156" s="12" t="str">
        <x:f>IF(AC156="PRIVATE_QUARANTINE","hacker_or_bank_trigger",IF(AC156="PRIVATE_REVIEW","finance_risk_trigger","none"))</x:f>
        <x:v>none</x:v>
      </x:c>
      <x:c r="AE156" s="12" t="str">
        <x:f>IF(AC156="PUBLIC_CANDIDATE","prepare_public_github_candidate",IF(AC156="PRIVATE_REVIEW","hold_for_private_review","quarantine_private_do_not_publish"))</x:f>
        <x:v>prepare_public_github_candidate</x:v>
      </x:c>
      <x:c r="AF156" s="12" t="str">
        <x:f>IF(AC156="PUBLIC_CANDIDATE","TIDELOCK + Lucerna",IF(AC156="PRIVATE_REVIEW","AtlasBrain + Lucerna","TIDELOCK + Lucerna + Human-root"))</x:f>
        <x:v>TIDELOCK + Lucerna</x:v>
      </x:c>
      <x:c r="AG156" s="12" t="str">
        <x:f>IF(AND(AC156="PUBLIC_CANDIDATE",U156&lt;&gt;"BLOCKED_PENDING_RECEIPT"),"READY_AFTER_RECEIPT","NOT_READY")</x:f>
        <x:v>NOT_READY</x:v>
      </x:c>
      <x:c r="AH156" s="12" t="str">
        <x:f>IF(AC156="PUBLIC_CANDIDATE","none",AD156)</x:f>
        <x:v>none</x:v>
      </x:c>
      <x:c r="AI156" s="12" t="str">
        <x:f>IF(AC156="PUBLIC_CANDIDATE","archive/public_candidates/"&amp;A156,"private_quarantine/"&amp;A156)</x:f>
        <x:v>archive/public_candidates/SWARM-02-H01-S11</x:v>
      </x:c>
      <x:c r="AJ156" s="12" t="str">
        <x:f>IF(AC156="PUBLIC_CANDIDATE","public by default; still not canon","private/hold; do not publish")</x:f>
        <x:v>public by default; still not canon</x:v>
      </x:c>
      <x:c r="AK156" s="12" t="str">
        <x:f>IF(AE156="prepare_public_github_candidate","add receipt/status then mirror","resolve blocker before any public GitHub action")</x:f>
        <x:v>add receipt/status then mirror</x:v>
      </x:c>
    </x:row>
    <x:row r="157">
      <x:c r="A157" s="15" t="str">
        <x:v>SWARM-02-H01-S12</x:v>
      </x:c>
      <x:c r="B157" s="15" t="str">
        <x:v>Hashlight</x:v>
      </x:c>
      <x:c r="C157" s="15" t="str">
        <x:v>Hash and identity keeper</x:v>
      </x:c>
      <x:c r="D157" s="15" t="str">
        <x:v>Source Inventory</x:v>
      </x:c>
      <x:c r="E157" s="15" t="str">
        <x:v>Risk / Safety</x:v>
      </x:c>
      <x:c r="F157" s="15" t="str">
        <x:v>Inventory Risk / Safety — Hashlight</x:v>
      </x:c>
      <x:c r="G157" s="15" t="str">
        <x:v>ids / hashes / timestamps / duplicate control</x:v>
      </x:c>
      <x:c r="H157" s="15" t="str">
        <x:v>source path + receipt + raw/export status + claim/edge/risk delta</x:v>
      </x:c>
      <x:c r="I157" s="15" t="str">
        <x:v>packet/SWARM-02-H01-S12</x:v>
      </x:c>
      <x:c r="J157" s="15" t="str">
        <x:v>TODO</x:v>
      </x:c>
      <x:c r="K157" s="15" t="str">
        <x:v>P2</x:v>
      </x:c>
      <x:c r="L157" s="15" t="str">
        <x:v>Done only when evidence is logged, contradiction search is noted, and boundary stamp remains non-canon unless ratified</x:v>
      </x:c>
      <x:c r="M157" s="15" t="str">
        <x:v>candidate / staging-only / not canon / not deployed / authority none</x:v>
      </x:c>
      <x:c r="N157" s="15" t="str">
        <x:v>Dispatch to Hashlight: complete Source Inventory x Risk / Safety; return deltas only, receipts required.</x:v>
      </x:c>
      <x:c r="O157" s="15" t="str">
        <x:v>AF-KG-H01-S12</x:v>
      </x:c>
      <x:c r="P157" s="15" t="str">
        <x:v>Unverified</x:v>
      </x:c>
      <x:c r="Q157" s="15" t="str">
        <x:v>Not checked</x:v>
      </x:c>
      <x:c r="R157" s="15" t="str"/>
      <x:c r="S157" s="15" t="str"/>
      <x:c r="T157" s="15" t="str">
        <x:v>Log first source path or blocker</x:v>
      </x:c>
      <x:c r="U157" s="12" t="str">
        <x:f>IF(OR(P157="Unverified",Q157="Not checked"),"BLOCKED_PENDING_RECEIPT","READY_FOR_REVIEW")</x:f>
        <x:v>BLOCKED_PENDING_RECEIPT</x:v>
      </x:c>
      <x:c r="V157" s="12" t="str">
        <x:f>IF(J157="DONE","RETURNED",IF(U157="BLOCKED_PENDING_RECEIPT","SOURCE_TOUCH_REQUIRED","IN_PROGRESS"))</x:f>
        <x:v>SOURCE_TOUCH_REQUIRED</x:v>
      </x:c>
      <x:c r="W157" s="12" t="str">
        <x:f>IF(P157="Unverified","missing_receipt","receipt_logged")</x:f>
        <x:v>missing_receipt</x:v>
      </x:c>
      <x:c r="X157" s="12" t="str">
        <x:f>IF(Q157="Not checked","raw_status_missing","raw_status_logged")</x:f>
        <x:v>raw_status_missing</x:v>
      </x:c>
      <x:c r="Y157" s="12" t="str">
        <x:f>IF(U157="BLOCKED_PENDING_RECEIPT","Log source path or blocker; do not promote","Route to review lane")</x:f>
        <x:v>Log source path or blocker; do not promote</x:v>
      </x:c>
      <x:c r="Z157" s="12" t="str">
        <x:f>IF(K157="P0","Primary seat + Hashlight/Lucerna","Seat lane")</x:f>
        <x:v>Seat lane</x:v>
      </x:c>
      <x:c r="AA157" s="12" t="str">
        <x:f>IF(R157="","no_claim_delta","claim_delta_present")</x:f>
        <x:v>no_claim_delta</x:v>
      </x:c>
      <x:c r="AB157" s="12" t="str">
        <x:f>IF(S157="","no_contradiction_delta","contradiction_delta_present")</x:f>
        <x:v>no_contradiction_delta</x:v>
      </x:c>
      <x:c r="AC157" s="12" t="str">
        <x:f>IF(OR(ISNUMBER(SEARCH("hacker",LOWER(F157&amp;" "&amp;H157&amp;" "&amp;I157&amp;" "&amp;M157&amp;" "&amp;N157&amp;" "&amp;T157))),ISNUMBER(SEARCH("hacking",LOWER(F157&amp;" "&amp;H157&amp;" "&amp;I157&amp;" "&amp;M157&amp;" "&amp;N157&amp;" "&amp;T157))),ISNUMBER(SEARCH("bank",LOWER(F157&amp;" "&amp;H157&amp;" "&amp;I157&amp;" "&amp;M157&amp;" "&amp;N157&amp;" "&amp;T157))),ISNUMBER(SEARCH("banking",LOWER(F157&amp;" "&amp;H157&amp;" "&amp;I157&amp;" "&amp;M157&amp;" "&amp;N157&amp;" "&amp;T157)))),"PRIVATE_QUARANTINE",IF(OR(ISNUMBER(SEARCH("treasury",LOWER(F157&amp;" "&amp;H157&amp;" "&amp;I157&amp;" "&amp;M157&amp;" "&amp;N157&amp;" "&amp;T157))),ISNUMBER(SEARCH("debt",LOWER(F157&amp;" "&amp;H157&amp;" "&amp;I157&amp;" "&amp;M157&amp;" "&amp;N157&amp;" "&amp;T157))),ISNUMBER(SEARCH("bond",LOWER(F157&amp;" "&amp;H157&amp;" "&amp;I157&amp;" "&amp;M157&amp;" "&amp;N157&amp;" "&amp;T157))),ISNUMBER(SEARCH("transaction",LOWER(F157&amp;" "&amp;H157&amp;" "&amp;I157&amp;" "&amp;M157&amp;" "&amp;N157&amp;" "&amp;T157)))),"PRIVATE_REVIEW","PUBLIC_CANDIDATE"))</x:f>
        <x:v>PUBLIC_CANDIDATE</x:v>
      </x:c>
      <x:c r="AD157" s="12" t="str">
        <x:f>IF(AC157="PRIVATE_QUARANTINE","hacker_or_bank_trigger",IF(AC157="PRIVATE_REVIEW","finance_risk_trigger","none"))</x:f>
        <x:v>none</x:v>
      </x:c>
      <x:c r="AE157" s="12" t="str">
        <x:f>IF(AC157="PUBLIC_CANDIDATE","prepare_public_github_candidate",IF(AC157="PRIVATE_REVIEW","hold_for_private_review","quarantine_private_do_not_publish"))</x:f>
        <x:v>prepare_public_github_candidate</x:v>
      </x:c>
      <x:c r="AF157" s="12" t="str">
        <x:f>IF(AC157="PUBLIC_CANDIDATE","TIDELOCK + Lucerna",IF(AC157="PRIVATE_REVIEW","AtlasBrain + Lucerna","TIDELOCK + Lucerna + Human-root"))</x:f>
        <x:v>TIDELOCK + Lucerna</x:v>
      </x:c>
      <x:c r="AG157" s="12" t="str">
        <x:f>IF(AND(AC157="PUBLIC_CANDIDATE",U157&lt;&gt;"BLOCKED_PENDING_RECEIPT"),"READY_AFTER_RECEIPT","NOT_READY")</x:f>
        <x:v>NOT_READY</x:v>
      </x:c>
      <x:c r="AH157" s="12" t="str">
        <x:f>IF(AC157="PUBLIC_CANDIDATE","none",AD157)</x:f>
        <x:v>none</x:v>
      </x:c>
      <x:c r="AI157" s="12" t="str">
        <x:f>IF(AC157="PUBLIC_CANDIDATE","archive/public_candidates/"&amp;A157,"private_quarantine/"&amp;A157)</x:f>
        <x:v>archive/public_candidates/SWARM-02-H01-S12</x:v>
      </x:c>
      <x:c r="AJ157" s="12" t="str">
        <x:f>IF(AC157="PUBLIC_CANDIDATE","public by default; still not canon","private/hold; do not publish")</x:f>
        <x:v>public by default; still not canon</x:v>
      </x:c>
      <x:c r="AK157" s="12" t="str">
        <x:f>IF(AE157="prepare_public_github_candidate","add receipt/status then mirror","resolve blocker before any public GitHub action")</x:f>
        <x:v>add receipt/status then mirror</x:v>
      </x:c>
    </x:row>
    <x:row r="158">
      <x:c r="A158" s="15" t="str">
        <x:v>SWARM-02-H02-S01</x:v>
      </x:c>
      <x:c r="B158" s="15" t="str">
        <x:v>Hashlight</x:v>
      </x:c>
      <x:c r="C158" s="15" t="str">
        <x:v>Hash and identity keeper</x:v>
      </x:c>
      <x:c r="D158" s="15" t="str">
        <x:v>Receipt Verification</x:v>
      </x:c>
      <x:c r="E158" s="15" t="str">
        <x:v>Notion</x:v>
      </x:c>
      <x:c r="F158" s="15" t="str">
        <x:v>Verify receipts for Notion — Hashlight</x:v>
      </x:c>
      <x:c r="G158" s="15" t="str">
        <x:v>ids / hashes / timestamps / duplicate control</x:v>
      </x:c>
      <x:c r="H158" s="15" t="str">
        <x:v>source path + receipt + raw/export status + claim/edge/risk delta</x:v>
      </x:c>
      <x:c r="I158" s="15" t="str">
        <x:v>packet/SWARM-02-H02-S01</x:v>
      </x:c>
      <x:c r="J158" s="15" t="str">
        <x:v>TODO</x:v>
      </x:c>
      <x:c r="K158" s="15" t="str">
        <x:v>P0</x:v>
      </x:c>
      <x:c r="L158" s="15" t="str">
        <x:v>Done only when evidence is logged, contradiction search is noted, and boundary stamp remains non-canon unless ratified</x:v>
      </x:c>
      <x:c r="M158" s="15" t="str">
        <x:v>candidate / staging-only / not canon / not deployed / authority none</x:v>
      </x:c>
      <x:c r="N158" s="15" t="str">
        <x:v>Dispatch to Hashlight: complete Receipt Verification x Notion; return deltas only, receipts required.</x:v>
      </x:c>
      <x:c r="O158" s="15" t="str">
        <x:v>AF-KG-H02-S01</x:v>
      </x:c>
      <x:c r="P158" s="15" t="str">
        <x:v>Unverified</x:v>
      </x:c>
      <x:c r="Q158" s="15" t="str">
        <x:v>Not checked</x:v>
      </x:c>
      <x:c r="R158" s="15" t="str"/>
      <x:c r="S158" s="15" t="str"/>
      <x:c r="T158" s="15" t="str">
        <x:v>Log first source path or blocker</x:v>
      </x:c>
      <x:c r="U158" s="12" t="str">
        <x:f>IF(OR(P158="Unverified",Q158="Not checked"),"BLOCKED_PENDING_RECEIPT","READY_FOR_REVIEW")</x:f>
        <x:v>BLOCKED_PENDING_RECEIPT</x:v>
      </x:c>
      <x:c r="V158" s="12" t="str">
        <x:f>IF(J158="DONE","RETURNED",IF(U158="BLOCKED_PENDING_RECEIPT","SOURCE_TOUCH_REQUIRED","IN_PROGRESS"))</x:f>
        <x:v>SOURCE_TOUCH_REQUIRED</x:v>
      </x:c>
      <x:c r="W158" s="12" t="str">
        <x:f>IF(P158="Unverified","missing_receipt","receipt_logged")</x:f>
        <x:v>missing_receipt</x:v>
      </x:c>
      <x:c r="X158" s="12" t="str">
        <x:f>IF(Q158="Not checked","raw_status_missing","raw_status_logged")</x:f>
        <x:v>raw_status_missing</x:v>
      </x:c>
      <x:c r="Y158" s="12" t="str">
        <x:f>IF(U158="BLOCKED_PENDING_RECEIPT","Log source path or blocker; do not promote","Route to review lane")</x:f>
        <x:v>Log source path or blocker; do not promote</x:v>
      </x:c>
      <x:c r="Z158" s="12" t="str">
        <x:f>IF(K158="P0","Primary seat + Hashlight/Lucerna","Seat lane")</x:f>
        <x:v>Primary seat + Hashlight/Lucerna</x:v>
      </x:c>
      <x:c r="AA158" s="12" t="str">
        <x:f>IF(R158="","no_claim_delta","claim_delta_present")</x:f>
        <x:v>no_claim_delta</x:v>
      </x:c>
      <x:c r="AB158" s="12" t="str">
        <x:f>IF(S158="","no_contradiction_delta","contradiction_delta_present")</x:f>
        <x:v>no_contradiction_delta</x:v>
      </x:c>
      <x:c r="AC158" s="12" t="str">
        <x:f>IF(OR(ISNUMBER(SEARCH("hacker",LOWER(F158&amp;" "&amp;H158&amp;" "&amp;I158&amp;" "&amp;M158&amp;" "&amp;N158&amp;" "&amp;T158))),ISNUMBER(SEARCH("hacking",LOWER(F158&amp;" "&amp;H158&amp;" "&amp;I158&amp;" "&amp;M158&amp;" "&amp;N158&amp;" "&amp;T158))),ISNUMBER(SEARCH("bank",LOWER(F158&amp;" "&amp;H158&amp;" "&amp;I158&amp;" "&amp;M158&amp;" "&amp;N158&amp;" "&amp;T158))),ISNUMBER(SEARCH("banking",LOWER(F158&amp;" "&amp;H158&amp;" "&amp;I158&amp;" "&amp;M158&amp;" "&amp;N158&amp;" "&amp;T158)))),"PRIVATE_QUARANTINE",IF(OR(ISNUMBER(SEARCH("treasury",LOWER(F158&amp;" "&amp;H158&amp;" "&amp;I158&amp;" "&amp;M158&amp;" "&amp;N158&amp;" "&amp;T158))),ISNUMBER(SEARCH("debt",LOWER(F158&amp;" "&amp;H158&amp;" "&amp;I158&amp;" "&amp;M158&amp;" "&amp;N158&amp;" "&amp;T158))),ISNUMBER(SEARCH("bond",LOWER(F158&amp;" "&amp;H158&amp;" "&amp;I158&amp;" "&amp;M158&amp;" "&amp;N158&amp;" "&amp;T158))),ISNUMBER(SEARCH("transaction",LOWER(F158&amp;" "&amp;H158&amp;" "&amp;I158&amp;" "&amp;M158&amp;" "&amp;N158&amp;" "&amp;T158)))),"PRIVATE_REVIEW","PUBLIC_CANDIDATE"))</x:f>
        <x:v>PUBLIC_CANDIDATE</x:v>
      </x:c>
      <x:c r="AD158" s="12" t="str">
        <x:f>IF(AC158="PRIVATE_QUARANTINE","hacker_or_bank_trigger",IF(AC158="PRIVATE_REVIEW","finance_risk_trigger","none"))</x:f>
        <x:v>none</x:v>
      </x:c>
      <x:c r="AE158" s="12" t="str">
        <x:f>IF(AC158="PUBLIC_CANDIDATE","prepare_public_github_candidate",IF(AC158="PRIVATE_REVIEW","hold_for_private_review","quarantine_private_do_not_publish"))</x:f>
        <x:v>prepare_public_github_candidate</x:v>
      </x:c>
      <x:c r="AF158" s="12" t="str">
        <x:f>IF(AC158="PUBLIC_CANDIDATE","TIDELOCK + Lucerna",IF(AC158="PRIVATE_REVIEW","AtlasBrain + Lucerna","TIDELOCK + Lucerna + Human-root"))</x:f>
        <x:v>TIDELOCK + Lucerna</x:v>
      </x:c>
      <x:c r="AG158" s="12" t="str">
        <x:f>IF(AND(AC158="PUBLIC_CANDIDATE",U158&lt;&gt;"BLOCKED_PENDING_RECEIPT"),"READY_AFTER_RECEIPT","NOT_READY")</x:f>
        <x:v>NOT_READY</x:v>
      </x:c>
      <x:c r="AH158" s="12" t="str">
        <x:f>IF(AC158="PUBLIC_CANDIDATE","none",AD158)</x:f>
        <x:v>none</x:v>
      </x:c>
      <x:c r="AI158" s="12" t="str">
        <x:f>IF(AC158="PUBLIC_CANDIDATE","archive/public_candidates/"&amp;A158,"private_quarantine/"&amp;A158)</x:f>
        <x:v>archive/public_candidates/SWARM-02-H02-S01</x:v>
      </x:c>
      <x:c r="AJ158" s="12" t="str">
        <x:f>IF(AC158="PUBLIC_CANDIDATE","public by default; still not canon","private/hold; do not publish")</x:f>
        <x:v>public by default; still not canon</x:v>
      </x:c>
      <x:c r="AK158" s="12" t="str">
        <x:f>IF(AE158="prepare_public_github_candidate","add receipt/status then mirror","resolve blocker before any public GitHub action")</x:f>
        <x:v>add receipt/status then mirror</x:v>
      </x:c>
    </x:row>
    <x:row r="159">
      <x:c r="A159" s="15" t="str">
        <x:v>SWARM-02-H02-S02</x:v>
      </x:c>
      <x:c r="B159" s="15" t="str">
        <x:v>Hashlight</x:v>
      </x:c>
      <x:c r="C159" s="15" t="str">
        <x:v>Hash and identity keeper</x:v>
      </x:c>
      <x:c r="D159" s="15" t="str">
        <x:v>Receipt Verification</x:v>
      </x:c>
      <x:c r="E159" s="15" t="str">
        <x:v>Drive</x:v>
      </x:c>
      <x:c r="F159" s="15" t="str">
        <x:v>Verify receipts for Drive — Hashlight</x:v>
      </x:c>
      <x:c r="G159" s="15" t="str">
        <x:v>ids / hashes / timestamps / duplicate control</x:v>
      </x:c>
      <x:c r="H159" s="15" t="str">
        <x:v>source path + receipt + raw/export status + claim/edge/risk delta</x:v>
      </x:c>
      <x:c r="I159" s="15" t="str">
        <x:v>packet/SWARM-02-H02-S02</x:v>
      </x:c>
      <x:c r="J159" s="15" t="str">
        <x:v>TODO</x:v>
      </x:c>
      <x:c r="K159" s="15" t="str">
        <x:v>P0</x:v>
      </x:c>
      <x:c r="L159" s="15" t="str">
        <x:v>Done only when evidence is logged, contradiction search is noted, and boundary stamp remains non-canon unless ratified</x:v>
      </x:c>
      <x:c r="M159" s="15" t="str">
        <x:v>candidate / staging-only / not canon / not deployed / authority none</x:v>
      </x:c>
      <x:c r="N159" s="15" t="str">
        <x:v>Dispatch to Hashlight: complete Receipt Verification x Drive; return deltas only, receipts required.</x:v>
      </x:c>
      <x:c r="O159" s="15" t="str">
        <x:v>AF-KG-H02-S02</x:v>
      </x:c>
      <x:c r="P159" s="15" t="str">
        <x:v>Unverified</x:v>
      </x:c>
      <x:c r="Q159" s="15" t="str">
        <x:v>Not checked</x:v>
      </x:c>
      <x:c r="R159" s="15" t="str"/>
      <x:c r="S159" s="15" t="str"/>
      <x:c r="T159" s="15" t="str">
        <x:v>Log first source path or blocker</x:v>
      </x:c>
      <x:c r="U159" s="12" t="str">
        <x:f>IF(OR(P159="Unverified",Q159="Not checked"),"BLOCKED_PENDING_RECEIPT","READY_FOR_REVIEW")</x:f>
        <x:v>BLOCKED_PENDING_RECEIPT</x:v>
      </x:c>
      <x:c r="V159" s="12" t="str">
        <x:f>IF(J159="DONE","RETURNED",IF(U159="BLOCKED_PENDING_RECEIPT","SOURCE_TOUCH_REQUIRED","IN_PROGRESS"))</x:f>
        <x:v>SOURCE_TOUCH_REQUIRED</x:v>
      </x:c>
      <x:c r="W159" s="12" t="str">
        <x:f>IF(P159="Unverified","missing_receipt","receipt_logged")</x:f>
        <x:v>missing_receipt</x:v>
      </x:c>
      <x:c r="X159" s="12" t="str">
        <x:f>IF(Q159="Not checked","raw_status_missing","raw_status_logged")</x:f>
        <x:v>raw_status_missing</x:v>
      </x:c>
      <x:c r="Y159" s="12" t="str">
        <x:f>IF(U159="BLOCKED_PENDING_RECEIPT","Log source path or blocker; do not promote","Route to review lane")</x:f>
        <x:v>Log source path or blocker; do not promote</x:v>
      </x:c>
      <x:c r="Z159" s="12" t="str">
        <x:f>IF(K159="P0","Primary seat + Hashlight/Lucerna","Seat lane")</x:f>
        <x:v>Primary seat + Hashlight/Lucerna</x:v>
      </x:c>
      <x:c r="AA159" s="12" t="str">
        <x:f>IF(R159="","no_claim_delta","claim_delta_present")</x:f>
        <x:v>no_claim_delta</x:v>
      </x:c>
      <x:c r="AB159" s="12" t="str">
        <x:f>IF(S159="","no_contradiction_delta","contradiction_delta_present")</x:f>
        <x:v>no_contradiction_delta</x:v>
      </x:c>
      <x:c r="AC159" s="12" t="str">
        <x:f>IF(OR(ISNUMBER(SEARCH("hacker",LOWER(F159&amp;" "&amp;H159&amp;" "&amp;I159&amp;" "&amp;M159&amp;" "&amp;N159&amp;" "&amp;T159))),ISNUMBER(SEARCH("hacking",LOWER(F159&amp;" "&amp;H159&amp;" "&amp;I159&amp;" "&amp;M159&amp;" "&amp;N159&amp;" "&amp;T159))),ISNUMBER(SEARCH("bank",LOWER(F159&amp;" "&amp;H159&amp;" "&amp;I159&amp;" "&amp;M159&amp;" "&amp;N159&amp;" "&amp;T159))),ISNUMBER(SEARCH("banking",LOWER(F159&amp;" "&amp;H159&amp;" "&amp;I159&amp;" "&amp;M159&amp;" "&amp;N159&amp;" "&amp;T159)))),"PRIVATE_QUARANTINE",IF(OR(ISNUMBER(SEARCH("treasury",LOWER(F159&amp;" "&amp;H159&amp;" "&amp;I159&amp;" "&amp;M159&amp;" "&amp;N159&amp;" "&amp;T159))),ISNUMBER(SEARCH("debt",LOWER(F159&amp;" "&amp;H159&amp;" "&amp;I159&amp;" "&amp;M159&amp;" "&amp;N159&amp;" "&amp;T159))),ISNUMBER(SEARCH("bond",LOWER(F159&amp;" "&amp;H159&amp;" "&amp;I159&amp;" "&amp;M159&amp;" "&amp;N159&amp;" "&amp;T159))),ISNUMBER(SEARCH("transaction",LOWER(F159&amp;" "&amp;H159&amp;" "&amp;I159&amp;" "&amp;M159&amp;" "&amp;N159&amp;" "&amp;T159)))),"PRIVATE_REVIEW","PUBLIC_CANDIDATE"))</x:f>
        <x:v>PUBLIC_CANDIDATE</x:v>
      </x:c>
      <x:c r="AD159" s="12" t="str">
        <x:f>IF(AC159="PRIVATE_QUARANTINE","hacker_or_bank_trigger",IF(AC159="PRIVATE_REVIEW","finance_risk_trigger","none"))</x:f>
        <x:v>none</x:v>
      </x:c>
      <x:c r="AE159" s="12" t="str">
        <x:f>IF(AC159="PUBLIC_CANDIDATE","prepare_public_github_candidate",IF(AC159="PRIVATE_REVIEW","hold_for_private_review","quarantine_private_do_not_publish"))</x:f>
        <x:v>prepare_public_github_candidate</x:v>
      </x:c>
      <x:c r="AF159" s="12" t="str">
        <x:f>IF(AC159="PUBLIC_CANDIDATE","TIDELOCK + Lucerna",IF(AC159="PRIVATE_REVIEW","AtlasBrain + Lucerna","TIDELOCK + Lucerna + Human-root"))</x:f>
        <x:v>TIDELOCK + Lucerna</x:v>
      </x:c>
      <x:c r="AG159" s="12" t="str">
        <x:f>IF(AND(AC159="PUBLIC_CANDIDATE",U159&lt;&gt;"BLOCKED_PENDING_RECEIPT"),"READY_AFTER_RECEIPT","NOT_READY")</x:f>
        <x:v>NOT_READY</x:v>
      </x:c>
      <x:c r="AH159" s="12" t="str">
        <x:f>IF(AC159="PUBLIC_CANDIDATE","none",AD159)</x:f>
        <x:v>none</x:v>
      </x:c>
      <x:c r="AI159" s="12" t="str">
        <x:f>IF(AC159="PUBLIC_CANDIDATE","archive/public_candidates/"&amp;A159,"private_quarantine/"&amp;A159)</x:f>
        <x:v>archive/public_candidates/SWARM-02-H02-S02</x:v>
      </x:c>
      <x:c r="AJ159" s="12" t="str">
        <x:f>IF(AC159="PUBLIC_CANDIDATE","public by default; still not canon","private/hold; do not publish")</x:f>
        <x:v>public by default; still not canon</x:v>
      </x:c>
      <x:c r="AK159" s="12" t="str">
        <x:f>IF(AE159="prepare_public_github_candidate","add receipt/status then mirror","resolve blocker before any public GitHub action")</x:f>
        <x:v>add receipt/status then mirror</x:v>
      </x:c>
    </x:row>
    <x:row r="160">
      <x:c r="A160" s="15" t="str">
        <x:v>SWARM-02-H02-S03</x:v>
      </x:c>
      <x:c r="B160" s="15" t="str">
        <x:v>Hashlight</x:v>
      </x:c>
      <x:c r="C160" s="15" t="str">
        <x:v>Hash and identity keeper</x:v>
      </x:c>
      <x:c r="D160" s="15" t="str">
        <x:v>Receipt Verification</x:v>
      </x:c>
      <x:c r="E160" s="15" t="str">
        <x:v>GitHub</x:v>
      </x:c>
      <x:c r="F160" s="15" t="str">
        <x:v>Verify receipts for GitHub — Hashlight</x:v>
      </x:c>
      <x:c r="G160" s="15" t="str">
        <x:v>ids / hashes / timestamps / duplicate control</x:v>
      </x:c>
      <x:c r="H160" s="15" t="str">
        <x:v>source path + receipt + raw/export status + claim/edge/risk delta</x:v>
      </x:c>
      <x:c r="I160" s="15" t="str">
        <x:v>packet/SWARM-02-H02-S03</x:v>
      </x:c>
      <x:c r="J160" s="15" t="str">
        <x:v>TODO</x:v>
      </x:c>
      <x:c r="K160" s="15" t="str">
        <x:v>P0</x:v>
      </x:c>
      <x:c r="L160" s="15" t="str">
        <x:v>Done only when evidence is logged, contradiction search is noted, and boundary stamp remains non-canon unless ratified</x:v>
      </x:c>
      <x:c r="M160" s="15" t="str">
        <x:v>candidate / staging-only / not canon / not deployed / authority none</x:v>
      </x:c>
      <x:c r="N160" s="15" t="str">
        <x:v>Dispatch to Hashlight: complete Receipt Verification x GitHub; return deltas only, receipts required.</x:v>
      </x:c>
      <x:c r="O160" s="15" t="str">
        <x:v>AF-KG-H02-S03</x:v>
      </x:c>
      <x:c r="P160" s="15" t="str">
        <x:v>Unverified</x:v>
      </x:c>
      <x:c r="Q160" s="15" t="str">
        <x:v>Not checked</x:v>
      </x:c>
      <x:c r="R160" s="15" t="str"/>
      <x:c r="S160" s="15" t="str"/>
      <x:c r="T160" s="15" t="str">
        <x:v>Log first source path or blocker</x:v>
      </x:c>
      <x:c r="U160" s="12" t="str">
        <x:f>IF(OR(P160="Unverified",Q160="Not checked"),"BLOCKED_PENDING_RECEIPT","READY_FOR_REVIEW")</x:f>
        <x:v>BLOCKED_PENDING_RECEIPT</x:v>
      </x:c>
      <x:c r="V160" s="12" t="str">
        <x:f>IF(J160="DONE","RETURNED",IF(U160="BLOCKED_PENDING_RECEIPT","SOURCE_TOUCH_REQUIRED","IN_PROGRESS"))</x:f>
        <x:v>SOURCE_TOUCH_REQUIRED</x:v>
      </x:c>
      <x:c r="W160" s="12" t="str">
        <x:f>IF(P160="Unverified","missing_receipt","receipt_logged")</x:f>
        <x:v>missing_receipt</x:v>
      </x:c>
      <x:c r="X160" s="12" t="str">
        <x:f>IF(Q160="Not checked","raw_status_missing","raw_status_logged")</x:f>
        <x:v>raw_status_missing</x:v>
      </x:c>
      <x:c r="Y160" s="12" t="str">
        <x:f>IF(U160="BLOCKED_PENDING_RECEIPT","Log source path or blocker; do not promote","Route to review lane")</x:f>
        <x:v>Log source path or blocker; do not promote</x:v>
      </x:c>
      <x:c r="Z160" s="12" t="str">
        <x:f>IF(K160="P0","Primary seat + Hashlight/Lucerna","Seat lane")</x:f>
        <x:v>Primary seat + Hashlight/Lucerna</x:v>
      </x:c>
      <x:c r="AA160" s="12" t="str">
        <x:f>IF(R160="","no_claim_delta","claim_delta_present")</x:f>
        <x:v>no_claim_delta</x:v>
      </x:c>
      <x:c r="AB160" s="12" t="str">
        <x:f>IF(S160="","no_contradiction_delta","contradiction_delta_present")</x:f>
        <x:v>no_contradiction_delta</x:v>
      </x:c>
      <x:c r="AC160" s="12" t="str">
        <x:f>IF(OR(ISNUMBER(SEARCH("hacker",LOWER(F160&amp;" "&amp;H160&amp;" "&amp;I160&amp;" "&amp;M160&amp;" "&amp;N160&amp;" "&amp;T160))),ISNUMBER(SEARCH("hacking",LOWER(F160&amp;" "&amp;H160&amp;" "&amp;I160&amp;" "&amp;M160&amp;" "&amp;N160&amp;" "&amp;T160))),ISNUMBER(SEARCH("bank",LOWER(F160&amp;" "&amp;H160&amp;" "&amp;I160&amp;" "&amp;M160&amp;" "&amp;N160&amp;" "&amp;T160))),ISNUMBER(SEARCH("banking",LOWER(F160&amp;" "&amp;H160&amp;" "&amp;I160&amp;" "&amp;M160&amp;" "&amp;N160&amp;" "&amp;T160)))),"PRIVATE_QUARANTINE",IF(OR(ISNUMBER(SEARCH("treasury",LOWER(F160&amp;" "&amp;H160&amp;" "&amp;I160&amp;" "&amp;M160&amp;" "&amp;N160&amp;" "&amp;T160))),ISNUMBER(SEARCH("debt",LOWER(F160&amp;" "&amp;H160&amp;" "&amp;I160&amp;" "&amp;M160&amp;" "&amp;N160&amp;" "&amp;T160))),ISNUMBER(SEARCH("bond",LOWER(F160&amp;" "&amp;H160&amp;" "&amp;I160&amp;" "&amp;M160&amp;" "&amp;N160&amp;" "&amp;T160))),ISNUMBER(SEARCH("transaction",LOWER(F160&amp;" "&amp;H160&amp;" "&amp;I160&amp;" "&amp;M160&amp;" "&amp;N160&amp;" "&amp;T160)))),"PRIVATE_REVIEW","PUBLIC_CANDIDATE"))</x:f>
        <x:v>PUBLIC_CANDIDATE</x:v>
      </x:c>
      <x:c r="AD160" s="12" t="str">
        <x:f>IF(AC160="PRIVATE_QUARANTINE","hacker_or_bank_trigger",IF(AC160="PRIVATE_REVIEW","finance_risk_trigger","none"))</x:f>
        <x:v>none</x:v>
      </x:c>
      <x:c r="AE160" s="12" t="str">
        <x:f>IF(AC160="PUBLIC_CANDIDATE","prepare_public_github_candidate",IF(AC160="PRIVATE_REVIEW","hold_for_private_review","quarantine_private_do_not_publish"))</x:f>
        <x:v>prepare_public_github_candidate</x:v>
      </x:c>
      <x:c r="AF160" s="12" t="str">
        <x:f>IF(AC160="PUBLIC_CANDIDATE","TIDELOCK + Lucerna",IF(AC160="PRIVATE_REVIEW","AtlasBrain + Lucerna","TIDELOCK + Lucerna + Human-root"))</x:f>
        <x:v>TIDELOCK + Lucerna</x:v>
      </x:c>
      <x:c r="AG160" s="12" t="str">
        <x:f>IF(AND(AC160="PUBLIC_CANDIDATE",U160&lt;&gt;"BLOCKED_PENDING_RECEIPT"),"READY_AFTER_RECEIPT","NOT_READY")</x:f>
        <x:v>NOT_READY</x:v>
      </x:c>
      <x:c r="AH160" s="12" t="str">
        <x:f>IF(AC160="PUBLIC_CANDIDATE","none",AD160)</x:f>
        <x:v>none</x:v>
      </x:c>
      <x:c r="AI160" s="12" t="str">
        <x:f>IF(AC160="PUBLIC_CANDIDATE","archive/public_candidates/"&amp;A160,"private_quarantine/"&amp;A160)</x:f>
        <x:v>archive/public_candidates/SWARM-02-H02-S03</x:v>
      </x:c>
      <x:c r="AJ160" s="12" t="str">
        <x:f>IF(AC160="PUBLIC_CANDIDATE","public by default; still not canon","private/hold; do not publish")</x:f>
        <x:v>public by default; still not canon</x:v>
      </x:c>
      <x:c r="AK160" s="12" t="str">
        <x:f>IF(AE160="prepare_public_github_candidate","add receipt/status then mirror","resolve blocker before any public GitHub action")</x:f>
        <x:v>add receipt/status then mirror</x:v>
      </x:c>
    </x:row>
    <x:row r="161">
      <x:c r="A161" s="15" t="str">
        <x:v>SWARM-02-H02-S04</x:v>
      </x:c>
      <x:c r="B161" s="15" t="str">
        <x:v>Hashlight</x:v>
      </x:c>
      <x:c r="C161" s="15" t="str">
        <x:v>Hash and identity keeper</x:v>
      </x:c>
      <x:c r="D161" s="15" t="str">
        <x:v>Receipt Verification</x:v>
      </x:c>
      <x:c r="E161" s="15" t="str">
        <x:v>Gamma</x:v>
      </x:c>
      <x:c r="F161" s="15" t="str">
        <x:v>Verify receipts for Gamma — Hashlight</x:v>
      </x:c>
      <x:c r="G161" s="15" t="str">
        <x:v>ids / hashes / timestamps / duplicate control</x:v>
      </x:c>
      <x:c r="H161" s="15" t="str">
        <x:v>source path + receipt + raw/export status + claim/edge/risk delta</x:v>
      </x:c>
      <x:c r="I161" s="15" t="str">
        <x:v>packet/SWARM-02-H02-S04</x:v>
      </x:c>
      <x:c r="J161" s="15" t="str">
        <x:v>TODO</x:v>
      </x:c>
      <x:c r="K161" s="15" t="str">
        <x:v>P1</x:v>
      </x:c>
      <x:c r="L161" s="15" t="str">
        <x:v>Done only when evidence is logged, contradiction search is noted, and boundary stamp remains non-canon unless ratified</x:v>
      </x:c>
      <x:c r="M161" s="15" t="str">
        <x:v>candidate / staging-only / not canon / not deployed / authority none</x:v>
      </x:c>
      <x:c r="N161" s="15" t="str">
        <x:v>Dispatch to Hashlight: complete Receipt Verification x Gamma; return deltas only, receipts required.</x:v>
      </x:c>
      <x:c r="O161" s="15" t="str">
        <x:v>AF-KG-H02-S04</x:v>
      </x:c>
      <x:c r="P161" s="15" t="str">
        <x:v>Unverified</x:v>
      </x:c>
      <x:c r="Q161" s="15" t="str">
        <x:v>Not checked</x:v>
      </x:c>
      <x:c r="R161" s="15" t="str"/>
      <x:c r="S161" s="15" t="str"/>
      <x:c r="T161" s="15" t="str">
        <x:v>Log first source path or blocker</x:v>
      </x:c>
      <x:c r="U161" s="12" t="str">
        <x:f>IF(OR(P161="Unverified",Q161="Not checked"),"BLOCKED_PENDING_RECEIPT","READY_FOR_REVIEW")</x:f>
        <x:v>BLOCKED_PENDING_RECEIPT</x:v>
      </x:c>
      <x:c r="V161" s="12" t="str">
        <x:f>IF(J161="DONE","RETURNED",IF(U161="BLOCKED_PENDING_RECEIPT","SOURCE_TOUCH_REQUIRED","IN_PROGRESS"))</x:f>
        <x:v>SOURCE_TOUCH_REQUIRED</x:v>
      </x:c>
      <x:c r="W161" s="12" t="str">
        <x:f>IF(P161="Unverified","missing_receipt","receipt_logged")</x:f>
        <x:v>missing_receipt</x:v>
      </x:c>
      <x:c r="X161" s="12" t="str">
        <x:f>IF(Q161="Not checked","raw_status_missing","raw_status_logged")</x:f>
        <x:v>raw_status_missing</x:v>
      </x:c>
      <x:c r="Y161" s="12" t="str">
        <x:f>IF(U161="BLOCKED_PENDING_RECEIPT","Log source path or blocker; do not promote","Route to review lane")</x:f>
        <x:v>Log source path or blocker; do not promote</x:v>
      </x:c>
      <x:c r="Z161" s="12" t="str">
        <x:f>IF(K161="P0","Primary seat + Hashlight/Lucerna","Seat lane")</x:f>
        <x:v>Seat lane</x:v>
      </x:c>
      <x:c r="AA161" s="12" t="str">
        <x:f>IF(R161="","no_claim_delta","claim_delta_present")</x:f>
        <x:v>no_claim_delta</x:v>
      </x:c>
      <x:c r="AB161" s="12" t="str">
        <x:f>IF(S161="","no_contradiction_delta","contradiction_delta_present")</x:f>
        <x:v>no_contradiction_delta</x:v>
      </x:c>
      <x:c r="AC161" s="12" t="str">
        <x:f>IF(OR(ISNUMBER(SEARCH("hacker",LOWER(F161&amp;" "&amp;H161&amp;" "&amp;I161&amp;" "&amp;M161&amp;" "&amp;N161&amp;" "&amp;T161))),ISNUMBER(SEARCH("hacking",LOWER(F161&amp;" "&amp;H161&amp;" "&amp;I161&amp;" "&amp;M161&amp;" "&amp;N161&amp;" "&amp;T161))),ISNUMBER(SEARCH("bank",LOWER(F161&amp;" "&amp;H161&amp;" "&amp;I161&amp;" "&amp;M161&amp;" "&amp;N161&amp;" "&amp;T161))),ISNUMBER(SEARCH("banking",LOWER(F161&amp;" "&amp;H161&amp;" "&amp;I161&amp;" "&amp;M161&amp;" "&amp;N161&amp;" "&amp;T161)))),"PRIVATE_QUARANTINE",IF(OR(ISNUMBER(SEARCH("treasury",LOWER(F161&amp;" "&amp;H161&amp;" "&amp;I161&amp;" "&amp;M161&amp;" "&amp;N161&amp;" "&amp;T161))),ISNUMBER(SEARCH("debt",LOWER(F161&amp;" "&amp;H161&amp;" "&amp;I161&amp;" "&amp;M161&amp;" "&amp;N161&amp;" "&amp;T161))),ISNUMBER(SEARCH("bond",LOWER(F161&amp;" "&amp;H161&amp;" "&amp;I161&amp;" "&amp;M161&amp;" "&amp;N161&amp;" "&amp;T161))),ISNUMBER(SEARCH("transaction",LOWER(F161&amp;" "&amp;H161&amp;" "&amp;I161&amp;" "&amp;M161&amp;" "&amp;N161&amp;" "&amp;T161)))),"PRIVATE_REVIEW","PUBLIC_CANDIDATE"))</x:f>
        <x:v>PUBLIC_CANDIDATE</x:v>
      </x:c>
      <x:c r="AD161" s="12" t="str">
        <x:f>IF(AC161="PRIVATE_QUARANTINE","hacker_or_bank_trigger",IF(AC161="PRIVATE_REVIEW","finance_risk_trigger","none"))</x:f>
        <x:v>none</x:v>
      </x:c>
      <x:c r="AE161" s="12" t="str">
        <x:f>IF(AC161="PUBLIC_CANDIDATE","prepare_public_github_candidate",IF(AC161="PRIVATE_REVIEW","hold_for_private_review","quarantine_private_do_not_publish"))</x:f>
        <x:v>prepare_public_github_candidate</x:v>
      </x:c>
      <x:c r="AF161" s="12" t="str">
        <x:f>IF(AC161="PUBLIC_CANDIDATE","TIDELOCK + Lucerna",IF(AC161="PRIVATE_REVIEW","AtlasBrain + Lucerna","TIDELOCK + Lucerna + Human-root"))</x:f>
        <x:v>TIDELOCK + Lucerna</x:v>
      </x:c>
      <x:c r="AG161" s="12" t="str">
        <x:f>IF(AND(AC161="PUBLIC_CANDIDATE",U161&lt;&gt;"BLOCKED_PENDING_RECEIPT"),"READY_AFTER_RECEIPT","NOT_READY")</x:f>
        <x:v>NOT_READY</x:v>
      </x:c>
      <x:c r="AH161" s="12" t="str">
        <x:f>IF(AC161="PUBLIC_CANDIDATE","none",AD161)</x:f>
        <x:v>none</x:v>
      </x:c>
      <x:c r="AI161" s="12" t="str">
        <x:f>IF(AC161="PUBLIC_CANDIDATE","archive/public_candidates/"&amp;A161,"private_quarantine/"&amp;A161)</x:f>
        <x:v>archive/public_candidates/SWARM-02-H02-S04</x:v>
      </x:c>
      <x:c r="AJ161" s="12" t="str">
        <x:f>IF(AC161="PUBLIC_CANDIDATE","public by default; still not canon","private/hold; do not publish")</x:f>
        <x:v>public by default; still not canon</x:v>
      </x:c>
      <x:c r="AK161" s="12" t="str">
        <x:f>IF(AE161="prepare_public_github_candidate","add receipt/status then mirror","resolve blocker before any public GitHub action")</x:f>
        <x:v>add receipt/status then mirror</x:v>
      </x:c>
    </x:row>
    <x:row r="162">
      <x:c r="A162" s="15" t="str">
        <x:v>SWARM-02-H02-S05</x:v>
      </x:c>
      <x:c r="B162" s="15" t="str">
        <x:v>Hashlight</x:v>
      </x:c>
      <x:c r="C162" s="15" t="str">
        <x:v>Hash and identity keeper</x:v>
      </x:c>
      <x:c r="D162" s="15" t="str">
        <x:v>Receipt Verification</x:v>
      </x:c>
      <x:c r="E162" s="15" t="str">
        <x:v>Chat</x:v>
      </x:c>
      <x:c r="F162" s="15" t="str">
        <x:v>Verify receipts for Chat — Hashlight</x:v>
      </x:c>
      <x:c r="G162" s="15" t="str">
        <x:v>ids / hashes / timestamps / duplicate control</x:v>
      </x:c>
      <x:c r="H162" s="15" t="str">
        <x:v>source path + receipt + raw/export status + claim/edge/risk delta</x:v>
      </x:c>
      <x:c r="I162" s="15" t="str">
        <x:v>packet/SWARM-02-H02-S05</x:v>
      </x:c>
      <x:c r="J162" s="15" t="str">
        <x:v>TODO</x:v>
      </x:c>
      <x:c r="K162" s="15" t="str">
        <x:v>P1</x:v>
      </x:c>
      <x:c r="L162" s="15" t="str">
        <x:v>Done only when evidence is logged, contradiction search is noted, and boundary stamp remains non-canon unless ratified</x:v>
      </x:c>
      <x:c r="M162" s="15" t="str">
        <x:v>candidate / staging-only / not canon / not deployed / authority none</x:v>
      </x:c>
      <x:c r="N162" s="15" t="str">
        <x:v>Dispatch to Hashlight: complete Receipt Verification x Chat; return deltas only, receipts required.</x:v>
      </x:c>
      <x:c r="O162" s="15" t="str">
        <x:v>AF-KG-H02-S05</x:v>
      </x:c>
      <x:c r="P162" s="15" t="str">
        <x:v>Unverified</x:v>
      </x:c>
      <x:c r="Q162" s="15" t="str">
        <x:v>Not checked</x:v>
      </x:c>
      <x:c r="R162" s="15" t="str"/>
      <x:c r="S162" s="15" t="str"/>
      <x:c r="T162" s="15" t="str">
        <x:v>Log first source path or blocker</x:v>
      </x:c>
      <x:c r="U162" s="12" t="str">
        <x:f>IF(OR(P162="Unverified",Q162="Not checked"),"BLOCKED_PENDING_RECEIPT","READY_FOR_REVIEW")</x:f>
        <x:v>BLOCKED_PENDING_RECEIPT</x:v>
      </x:c>
      <x:c r="V162" s="12" t="str">
        <x:f>IF(J162="DONE","RETURNED",IF(U162="BLOCKED_PENDING_RECEIPT","SOURCE_TOUCH_REQUIRED","IN_PROGRESS"))</x:f>
        <x:v>SOURCE_TOUCH_REQUIRED</x:v>
      </x:c>
      <x:c r="W162" s="12" t="str">
        <x:f>IF(P162="Unverified","missing_receipt","receipt_logged")</x:f>
        <x:v>missing_receipt</x:v>
      </x:c>
      <x:c r="X162" s="12" t="str">
        <x:f>IF(Q162="Not checked","raw_status_missing","raw_status_logged")</x:f>
        <x:v>raw_status_missing</x:v>
      </x:c>
      <x:c r="Y162" s="12" t="str">
        <x:f>IF(U162="BLOCKED_PENDING_RECEIPT","Log source path or blocker; do not promote","Route to review lane")</x:f>
        <x:v>Log source path or blocker; do not promote</x:v>
      </x:c>
      <x:c r="Z162" s="12" t="str">
        <x:f>IF(K162="P0","Primary seat + Hashlight/Lucerna","Seat lane")</x:f>
        <x:v>Seat lane</x:v>
      </x:c>
      <x:c r="AA162" s="12" t="str">
        <x:f>IF(R162="","no_claim_delta","claim_delta_present")</x:f>
        <x:v>no_claim_delta</x:v>
      </x:c>
      <x:c r="AB162" s="12" t="str">
        <x:f>IF(S162="","no_contradiction_delta","contradiction_delta_present")</x:f>
        <x:v>no_contradiction_delta</x:v>
      </x:c>
      <x:c r="AC162" s="12" t="str">
        <x:f>IF(OR(ISNUMBER(SEARCH("hacker",LOWER(F162&amp;" "&amp;H162&amp;" "&amp;I162&amp;" "&amp;M162&amp;" "&amp;N162&amp;" "&amp;T162))),ISNUMBER(SEARCH("hacking",LOWER(F162&amp;" "&amp;H162&amp;" "&amp;I162&amp;" "&amp;M162&amp;" "&amp;N162&amp;" "&amp;T162))),ISNUMBER(SEARCH("bank",LOWER(F162&amp;" "&amp;H162&amp;" "&amp;I162&amp;" "&amp;M162&amp;" "&amp;N162&amp;" "&amp;T162))),ISNUMBER(SEARCH("banking",LOWER(F162&amp;" "&amp;H162&amp;" "&amp;I162&amp;" "&amp;M162&amp;" "&amp;N162&amp;" "&amp;T162)))),"PRIVATE_QUARANTINE",IF(OR(ISNUMBER(SEARCH("treasury",LOWER(F162&amp;" "&amp;H162&amp;" "&amp;I162&amp;" "&amp;M162&amp;" "&amp;N162&amp;" "&amp;T162))),ISNUMBER(SEARCH("debt",LOWER(F162&amp;" "&amp;H162&amp;" "&amp;I162&amp;" "&amp;M162&amp;" "&amp;N162&amp;" "&amp;T162))),ISNUMBER(SEARCH("bond",LOWER(F162&amp;" "&amp;H162&amp;" "&amp;I162&amp;" "&amp;M162&amp;" "&amp;N162&amp;" "&amp;T162))),ISNUMBER(SEARCH("transaction",LOWER(F162&amp;" "&amp;H162&amp;" "&amp;I162&amp;" "&amp;M162&amp;" "&amp;N162&amp;" "&amp;T162)))),"PRIVATE_REVIEW","PUBLIC_CANDIDATE"))</x:f>
        <x:v>PUBLIC_CANDIDATE</x:v>
      </x:c>
      <x:c r="AD162" s="12" t="str">
        <x:f>IF(AC162="PRIVATE_QUARANTINE","hacker_or_bank_trigger",IF(AC162="PRIVATE_REVIEW","finance_risk_trigger","none"))</x:f>
        <x:v>none</x:v>
      </x:c>
      <x:c r="AE162" s="12" t="str">
        <x:f>IF(AC162="PUBLIC_CANDIDATE","prepare_public_github_candidate",IF(AC162="PRIVATE_REVIEW","hold_for_private_review","quarantine_private_do_not_publish"))</x:f>
        <x:v>prepare_public_github_candidate</x:v>
      </x:c>
      <x:c r="AF162" s="12" t="str">
        <x:f>IF(AC162="PUBLIC_CANDIDATE","TIDELOCK + Lucerna",IF(AC162="PRIVATE_REVIEW","AtlasBrain + Lucerna","TIDELOCK + Lucerna + Human-root"))</x:f>
        <x:v>TIDELOCK + Lucerna</x:v>
      </x:c>
      <x:c r="AG162" s="12" t="str">
        <x:f>IF(AND(AC162="PUBLIC_CANDIDATE",U162&lt;&gt;"BLOCKED_PENDING_RECEIPT"),"READY_AFTER_RECEIPT","NOT_READY")</x:f>
        <x:v>NOT_READY</x:v>
      </x:c>
      <x:c r="AH162" s="12" t="str">
        <x:f>IF(AC162="PUBLIC_CANDIDATE","none",AD162)</x:f>
        <x:v>none</x:v>
      </x:c>
      <x:c r="AI162" s="12" t="str">
        <x:f>IF(AC162="PUBLIC_CANDIDATE","archive/public_candidates/"&amp;A162,"private_quarantine/"&amp;A162)</x:f>
        <x:v>archive/public_candidates/SWARM-02-H02-S05</x:v>
      </x:c>
      <x:c r="AJ162" s="12" t="str">
        <x:f>IF(AC162="PUBLIC_CANDIDATE","public by default; still not canon","private/hold; do not publish")</x:f>
        <x:v>public by default; still not canon</x:v>
      </x:c>
      <x:c r="AK162" s="12" t="str">
        <x:f>IF(AE162="prepare_public_github_candidate","add receipt/status then mirror","resolve blocker before any public GitHub action")</x:f>
        <x:v>add receipt/status then mirror</x:v>
      </x:c>
    </x:row>
    <x:row r="163">
      <x:c r="A163" s="15" t="str">
        <x:v>SWARM-02-H02-S06</x:v>
      </x:c>
      <x:c r="B163" s="15" t="str">
        <x:v>Hashlight</x:v>
      </x:c>
      <x:c r="C163" s="15" t="str">
        <x:v>Hash and identity keeper</x:v>
      </x:c>
      <x:c r="D163" s="15" t="str">
        <x:v>Receipt Verification</x:v>
      </x:c>
      <x:c r="E163" s="15" t="str">
        <x:v>External Web</x:v>
      </x:c>
      <x:c r="F163" s="15" t="str">
        <x:v>Verify receipts for External Web — Hashlight</x:v>
      </x:c>
      <x:c r="G163" s="15" t="str">
        <x:v>ids / hashes / timestamps / duplicate control</x:v>
      </x:c>
      <x:c r="H163" s="15" t="str">
        <x:v>source path + receipt + raw/export status + claim/edge/risk delta</x:v>
      </x:c>
      <x:c r="I163" s="15" t="str">
        <x:v>packet/SWARM-02-H02-S06</x:v>
      </x:c>
      <x:c r="J163" s="15" t="str">
        <x:v>TODO</x:v>
      </x:c>
      <x:c r="K163" s="15" t="str">
        <x:v>P1</x:v>
      </x:c>
      <x:c r="L163" s="15" t="str">
        <x:v>Done only when evidence is logged, contradiction search is noted, and boundary stamp remains non-canon unless ratified</x:v>
      </x:c>
      <x:c r="M163" s="15" t="str">
        <x:v>candidate / staging-only / not canon / not deployed / authority none</x:v>
      </x:c>
      <x:c r="N163" s="15" t="str">
        <x:v>Dispatch to Hashlight: complete Receipt Verification x External Web; return deltas only, receipts required.</x:v>
      </x:c>
      <x:c r="O163" s="15" t="str">
        <x:v>AF-KG-H02-S06</x:v>
      </x:c>
      <x:c r="P163" s="15" t="str">
        <x:v>Unverified</x:v>
      </x:c>
      <x:c r="Q163" s="15" t="str">
        <x:v>Not checked</x:v>
      </x:c>
      <x:c r="R163" s="15" t="str"/>
      <x:c r="S163" s="15" t="str"/>
      <x:c r="T163" s="15" t="str">
        <x:v>Log first source path or blocker</x:v>
      </x:c>
      <x:c r="U163" s="12" t="str">
        <x:f>IF(OR(P163="Unverified",Q163="Not checked"),"BLOCKED_PENDING_RECEIPT","READY_FOR_REVIEW")</x:f>
        <x:v>BLOCKED_PENDING_RECEIPT</x:v>
      </x:c>
      <x:c r="V163" s="12" t="str">
        <x:f>IF(J163="DONE","RETURNED",IF(U163="BLOCKED_PENDING_RECEIPT","SOURCE_TOUCH_REQUIRED","IN_PROGRESS"))</x:f>
        <x:v>SOURCE_TOUCH_REQUIRED</x:v>
      </x:c>
      <x:c r="W163" s="12" t="str">
        <x:f>IF(P163="Unverified","missing_receipt","receipt_logged")</x:f>
        <x:v>missing_receipt</x:v>
      </x:c>
      <x:c r="X163" s="12" t="str">
        <x:f>IF(Q163="Not checked","raw_status_missing","raw_status_logged")</x:f>
        <x:v>raw_status_missing</x:v>
      </x:c>
      <x:c r="Y163" s="12" t="str">
        <x:f>IF(U163="BLOCKED_PENDING_RECEIPT","Log source path or blocker; do not promote","Route to review lane")</x:f>
        <x:v>Log source path or blocker; do not promote</x:v>
      </x:c>
      <x:c r="Z163" s="12" t="str">
        <x:f>IF(K163="P0","Primary seat + Hashlight/Lucerna","Seat lane")</x:f>
        <x:v>Seat lane</x:v>
      </x:c>
      <x:c r="AA163" s="12" t="str">
        <x:f>IF(R163="","no_claim_delta","claim_delta_present")</x:f>
        <x:v>no_claim_delta</x:v>
      </x:c>
      <x:c r="AB163" s="12" t="str">
        <x:f>IF(S163="","no_contradiction_delta","contradiction_delta_present")</x:f>
        <x:v>no_contradiction_delta</x:v>
      </x:c>
      <x:c r="AC163" s="12" t="str">
        <x:f>IF(OR(ISNUMBER(SEARCH("hacker",LOWER(F163&amp;" "&amp;H163&amp;" "&amp;I163&amp;" "&amp;M163&amp;" "&amp;N163&amp;" "&amp;T163))),ISNUMBER(SEARCH("hacking",LOWER(F163&amp;" "&amp;H163&amp;" "&amp;I163&amp;" "&amp;M163&amp;" "&amp;N163&amp;" "&amp;T163))),ISNUMBER(SEARCH("bank",LOWER(F163&amp;" "&amp;H163&amp;" "&amp;I163&amp;" "&amp;M163&amp;" "&amp;N163&amp;" "&amp;T163))),ISNUMBER(SEARCH("banking",LOWER(F163&amp;" "&amp;H163&amp;" "&amp;I163&amp;" "&amp;M163&amp;" "&amp;N163&amp;" "&amp;T163)))),"PRIVATE_QUARANTINE",IF(OR(ISNUMBER(SEARCH("treasury",LOWER(F163&amp;" "&amp;H163&amp;" "&amp;I163&amp;" "&amp;M163&amp;" "&amp;N163&amp;" "&amp;T163))),ISNUMBER(SEARCH("debt",LOWER(F163&amp;" "&amp;H163&amp;" "&amp;I163&amp;" "&amp;M163&amp;" "&amp;N163&amp;" "&amp;T163))),ISNUMBER(SEARCH("bond",LOWER(F163&amp;" "&amp;H163&amp;" "&amp;I163&amp;" "&amp;M163&amp;" "&amp;N163&amp;" "&amp;T163))),ISNUMBER(SEARCH("transaction",LOWER(F163&amp;" "&amp;H163&amp;" "&amp;I163&amp;" "&amp;M163&amp;" "&amp;N163&amp;" "&amp;T163)))),"PRIVATE_REVIEW","PUBLIC_CANDIDATE"))</x:f>
        <x:v>PUBLIC_CANDIDATE</x:v>
      </x:c>
      <x:c r="AD163" s="12" t="str">
        <x:f>IF(AC163="PRIVATE_QUARANTINE","hacker_or_bank_trigger",IF(AC163="PRIVATE_REVIEW","finance_risk_trigger","none"))</x:f>
        <x:v>none</x:v>
      </x:c>
      <x:c r="AE163" s="12" t="str">
        <x:f>IF(AC163="PUBLIC_CANDIDATE","prepare_public_github_candidate",IF(AC163="PRIVATE_REVIEW","hold_for_private_review","quarantine_private_do_not_publish"))</x:f>
        <x:v>prepare_public_github_candidate</x:v>
      </x:c>
      <x:c r="AF163" s="12" t="str">
        <x:f>IF(AC163="PUBLIC_CANDIDATE","TIDELOCK + Lucerna",IF(AC163="PRIVATE_REVIEW","AtlasBrain + Lucerna","TIDELOCK + Lucerna + Human-root"))</x:f>
        <x:v>TIDELOCK + Lucerna</x:v>
      </x:c>
      <x:c r="AG163" s="12" t="str">
        <x:f>IF(AND(AC163="PUBLIC_CANDIDATE",U163&lt;&gt;"BLOCKED_PENDING_RECEIPT"),"READY_AFTER_RECEIPT","NOT_READY")</x:f>
        <x:v>NOT_READY</x:v>
      </x:c>
      <x:c r="AH163" s="12" t="str">
        <x:f>IF(AC163="PUBLIC_CANDIDATE","none",AD163)</x:f>
        <x:v>none</x:v>
      </x:c>
      <x:c r="AI163" s="12" t="str">
        <x:f>IF(AC163="PUBLIC_CANDIDATE","archive/public_candidates/"&amp;A163,"private_quarantine/"&amp;A163)</x:f>
        <x:v>archive/public_candidates/SWARM-02-H02-S06</x:v>
      </x:c>
      <x:c r="AJ163" s="12" t="str">
        <x:f>IF(AC163="PUBLIC_CANDIDATE","public by default; still not canon","private/hold; do not publish")</x:f>
        <x:v>public by default; still not canon</x:v>
      </x:c>
      <x:c r="AK163" s="12" t="str">
        <x:f>IF(AE163="prepare_public_github_candidate","add receipt/status then mirror","resolve blocker before any public GitHub action")</x:f>
        <x:v>add receipt/status then mirror</x:v>
      </x:c>
    </x:row>
    <x:row r="164">
      <x:c r="A164" s="15" t="str">
        <x:v>SWARM-02-H02-S07</x:v>
      </x:c>
      <x:c r="B164" s="15" t="str">
        <x:v>Hashlight</x:v>
      </x:c>
      <x:c r="C164" s="15" t="str">
        <x:v>Hash and identity keeper</x:v>
      </x:c>
      <x:c r="D164" s="15" t="str">
        <x:v>Receipt Verification</x:v>
      </x:c>
      <x:c r="E164" s="15" t="str">
        <x:v>Planetarium</x:v>
      </x:c>
      <x:c r="F164" s="15" t="str">
        <x:v>Verify receipts for Planetarium — Hashlight</x:v>
      </x:c>
      <x:c r="G164" s="15" t="str">
        <x:v>ids / hashes / timestamps / duplicate control</x:v>
      </x:c>
      <x:c r="H164" s="15" t="str">
        <x:v>source path + receipt + raw/export status + claim/edge/risk delta</x:v>
      </x:c>
      <x:c r="I164" s="15" t="str">
        <x:v>packet/SWARM-02-H02-S07</x:v>
      </x:c>
      <x:c r="J164" s="15" t="str">
        <x:v>TODO</x:v>
      </x:c>
      <x:c r="K164" s="15" t="str">
        <x:v>P1</x:v>
      </x:c>
      <x:c r="L164" s="15" t="str">
        <x:v>Done only when evidence is logged, contradiction search is noted, and boundary stamp remains non-canon unless ratified</x:v>
      </x:c>
      <x:c r="M164" s="15" t="str">
        <x:v>candidate / staging-only / not canon / not deployed / authority none</x:v>
      </x:c>
      <x:c r="N164" s="15" t="str">
        <x:v>Dispatch to Hashlight: complete Receipt Verification x Planetarium; return deltas only, receipts required.</x:v>
      </x:c>
      <x:c r="O164" s="15" t="str">
        <x:v>AF-KG-H02-S07</x:v>
      </x:c>
      <x:c r="P164" s="15" t="str">
        <x:v>Unverified</x:v>
      </x:c>
      <x:c r="Q164" s="15" t="str">
        <x:v>Not checked</x:v>
      </x:c>
      <x:c r="R164" s="15" t="str"/>
      <x:c r="S164" s="15" t="str"/>
      <x:c r="T164" s="15" t="str">
        <x:v>Log first source path or blocker</x:v>
      </x:c>
      <x:c r="U164" s="12" t="str">
        <x:f>IF(OR(P164="Unverified",Q164="Not checked"),"BLOCKED_PENDING_RECEIPT","READY_FOR_REVIEW")</x:f>
        <x:v>BLOCKED_PENDING_RECEIPT</x:v>
      </x:c>
      <x:c r="V164" s="12" t="str">
        <x:f>IF(J164="DONE","RETURNED",IF(U164="BLOCKED_PENDING_RECEIPT","SOURCE_TOUCH_REQUIRED","IN_PROGRESS"))</x:f>
        <x:v>SOURCE_TOUCH_REQUIRED</x:v>
      </x:c>
      <x:c r="W164" s="12" t="str">
        <x:f>IF(P164="Unverified","missing_receipt","receipt_logged")</x:f>
        <x:v>missing_receipt</x:v>
      </x:c>
      <x:c r="X164" s="12" t="str">
        <x:f>IF(Q164="Not checked","raw_status_missing","raw_status_logged")</x:f>
        <x:v>raw_status_missing</x:v>
      </x:c>
      <x:c r="Y164" s="12" t="str">
        <x:f>IF(U164="BLOCKED_PENDING_RECEIPT","Log source path or blocker; do not promote","Route to review lane")</x:f>
        <x:v>Log source path or blocker; do not promote</x:v>
      </x:c>
      <x:c r="Z164" s="12" t="str">
        <x:f>IF(K164="P0","Primary seat + Hashlight/Lucerna","Seat lane")</x:f>
        <x:v>Seat lane</x:v>
      </x:c>
      <x:c r="AA164" s="12" t="str">
        <x:f>IF(R164="","no_claim_delta","claim_delta_present")</x:f>
        <x:v>no_claim_delta</x:v>
      </x:c>
      <x:c r="AB164" s="12" t="str">
        <x:f>IF(S164="","no_contradiction_delta","contradiction_delta_present")</x:f>
        <x:v>no_contradiction_delta</x:v>
      </x:c>
      <x:c r="AC164" s="12" t="str">
        <x:f>IF(OR(ISNUMBER(SEARCH("hacker",LOWER(F164&amp;" "&amp;H164&amp;" "&amp;I164&amp;" "&amp;M164&amp;" "&amp;N164&amp;" "&amp;T164))),ISNUMBER(SEARCH("hacking",LOWER(F164&amp;" "&amp;H164&amp;" "&amp;I164&amp;" "&amp;M164&amp;" "&amp;N164&amp;" "&amp;T164))),ISNUMBER(SEARCH("bank",LOWER(F164&amp;" "&amp;H164&amp;" "&amp;I164&amp;" "&amp;M164&amp;" "&amp;N164&amp;" "&amp;T164))),ISNUMBER(SEARCH("banking",LOWER(F164&amp;" "&amp;H164&amp;" "&amp;I164&amp;" "&amp;M164&amp;" "&amp;N164&amp;" "&amp;T164)))),"PRIVATE_QUARANTINE",IF(OR(ISNUMBER(SEARCH("treasury",LOWER(F164&amp;" "&amp;H164&amp;" "&amp;I164&amp;" "&amp;M164&amp;" "&amp;N164&amp;" "&amp;T164))),ISNUMBER(SEARCH("debt",LOWER(F164&amp;" "&amp;H164&amp;" "&amp;I164&amp;" "&amp;M164&amp;" "&amp;N164&amp;" "&amp;T164))),ISNUMBER(SEARCH("bond",LOWER(F164&amp;" "&amp;H164&amp;" "&amp;I164&amp;" "&amp;M164&amp;" "&amp;N164&amp;" "&amp;T164))),ISNUMBER(SEARCH("transaction",LOWER(F164&amp;" "&amp;H164&amp;" "&amp;I164&amp;" "&amp;M164&amp;" "&amp;N164&amp;" "&amp;T164)))),"PRIVATE_REVIEW","PUBLIC_CANDIDATE"))</x:f>
        <x:v>PUBLIC_CANDIDATE</x:v>
      </x:c>
      <x:c r="AD164" s="12" t="str">
        <x:f>IF(AC164="PRIVATE_QUARANTINE","hacker_or_bank_trigger",IF(AC164="PRIVATE_REVIEW","finance_risk_trigger","none"))</x:f>
        <x:v>none</x:v>
      </x:c>
      <x:c r="AE164" s="12" t="str">
        <x:f>IF(AC164="PUBLIC_CANDIDATE","prepare_public_github_candidate",IF(AC164="PRIVATE_REVIEW","hold_for_private_review","quarantine_private_do_not_publish"))</x:f>
        <x:v>prepare_public_github_candidate</x:v>
      </x:c>
      <x:c r="AF164" s="12" t="str">
        <x:f>IF(AC164="PUBLIC_CANDIDATE","TIDELOCK + Lucerna",IF(AC164="PRIVATE_REVIEW","AtlasBrain + Lucerna","TIDELOCK + Lucerna + Human-root"))</x:f>
        <x:v>TIDELOCK + Lucerna</x:v>
      </x:c>
      <x:c r="AG164" s="12" t="str">
        <x:f>IF(AND(AC164="PUBLIC_CANDIDATE",U164&lt;&gt;"BLOCKED_PENDING_RECEIPT"),"READY_AFTER_RECEIPT","NOT_READY")</x:f>
        <x:v>NOT_READY</x:v>
      </x:c>
      <x:c r="AH164" s="12" t="str">
        <x:f>IF(AC164="PUBLIC_CANDIDATE","none",AD164)</x:f>
        <x:v>none</x:v>
      </x:c>
      <x:c r="AI164" s="12" t="str">
        <x:f>IF(AC164="PUBLIC_CANDIDATE","archive/public_candidates/"&amp;A164,"private_quarantine/"&amp;A164)</x:f>
        <x:v>archive/public_candidates/SWARM-02-H02-S07</x:v>
      </x:c>
      <x:c r="AJ164" s="12" t="str">
        <x:f>IF(AC164="PUBLIC_CANDIDATE","public by default; still not canon","private/hold; do not publish")</x:f>
        <x:v>public by default; still not canon</x:v>
      </x:c>
      <x:c r="AK164" s="12" t="str">
        <x:f>IF(AE164="prepare_public_github_candidate","add receipt/status then mirror","resolve blocker before any public GitHub action")</x:f>
        <x:v>add receipt/status then mirror</x:v>
      </x:c>
    </x:row>
    <x:row r="165">
      <x:c r="A165" s="15" t="str">
        <x:v>SWARM-02-H02-S08</x:v>
      </x:c>
      <x:c r="B165" s="15" t="str">
        <x:v>Hashlight</x:v>
      </x:c>
      <x:c r="C165" s="15" t="str">
        <x:v>Hash and identity keeper</x:v>
      </x:c>
      <x:c r="D165" s="15" t="str">
        <x:v>Receipt Verification</x:v>
      </x:c>
      <x:c r="E165" s="15" t="str">
        <x:v>Sheldonbrain</x:v>
      </x:c>
      <x:c r="F165" s="15" t="str">
        <x:v>Verify receipts for Sheldonbrain — Hashlight</x:v>
      </x:c>
      <x:c r="G165" s="15" t="str">
        <x:v>ids / hashes / timestamps / duplicate control</x:v>
      </x:c>
      <x:c r="H165" s="15" t="str">
        <x:v>source path + receipt + raw/export status + claim/edge/risk delta</x:v>
      </x:c>
      <x:c r="I165" s="15" t="str">
        <x:v>packet/SWARM-02-H02-S08</x:v>
      </x:c>
      <x:c r="J165" s="15" t="str">
        <x:v>TODO</x:v>
      </x:c>
      <x:c r="K165" s="15" t="str">
        <x:v>P1</x:v>
      </x:c>
      <x:c r="L165" s="15" t="str">
        <x:v>Done only when evidence is logged, contradiction search is noted, and boundary stamp remains non-canon unless ratified</x:v>
      </x:c>
      <x:c r="M165" s="15" t="str">
        <x:v>candidate / staging-only / not canon / not deployed / authority none</x:v>
      </x:c>
      <x:c r="N165" s="15" t="str">
        <x:v>Dispatch to Hashlight: complete Receipt Verification x Sheldonbrain; return deltas only, receipts required.</x:v>
      </x:c>
      <x:c r="O165" s="15" t="str">
        <x:v>AF-KG-H02-S08</x:v>
      </x:c>
      <x:c r="P165" s="15" t="str">
        <x:v>Unverified</x:v>
      </x:c>
      <x:c r="Q165" s="15" t="str">
        <x:v>Not checked</x:v>
      </x:c>
      <x:c r="R165" s="15" t="str"/>
      <x:c r="S165" s="15" t="str"/>
      <x:c r="T165" s="15" t="str">
        <x:v>Log first source path or blocker</x:v>
      </x:c>
      <x:c r="U165" s="12" t="str">
        <x:f>IF(OR(P165="Unverified",Q165="Not checked"),"BLOCKED_PENDING_RECEIPT","READY_FOR_REVIEW")</x:f>
        <x:v>BLOCKED_PENDING_RECEIPT</x:v>
      </x:c>
      <x:c r="V165" s="12" t="str">
        <x:f>IF(J165="DONE","RETURNED",IF(U165="BLOCKED_PENDING_RECEIPT","SOURCE_TOUCH_REQUIRED","IN_PROGRESS"))</x:f>
        <x:v>SOURCE_TOUCH_REQUIRED</x:v>
      </x:c>
      <x:c r="W165" s="12" t="str">
        <x:f>IF(P165="Unverified","missing_receipt","receipt_logged")</x:f>
        <x:v>missing_receipt</x:v>
      </x:c>
      <x:c r="X165" s="12" t="str">
        <x:f>IF(Q165="Not checked","raw_status_missing","raw_status_logged")</x:f>
        <x:v>raw_status_missing</x:v>
      </x:c>
      <x:c r="Y165" s="12" t="str">
        <x:f>IF(U165="BLOCKED_PENDING_RECEIPT","Log source path or blocker; do not promote","Route to review lane")</x:f>
        <x:v>Log source path or blocker; do not promote</x:v>
      </x:c>
      <x:c r="Z165" s="12" t="str">
        <x:f>IF(K165="P0","Primary seat + Hashlight/Lucerna","Seat lane")</x:f>
        <x:v>Seat lane</x:v>
      </x:c>
      <x:c r="AA165" s="12" t="str">
        <x:f>IF(R165="","no_claim_delta","claim_delta_present")</x:f>
        <x:v>no_claim_delta</x:v>
      </x:c>
      <x:c r="AB165" s="12" t="str">
        <x:f>IF(S165="","no_contradiction_delta","contradiction_delta_present")</x:f>
        <x:v>no_contradiction_delta</x:v>
      </x:c>
      <x:c r="AC165" s="12" t="str">
        <x:f>IF(OR(ISNUMBER(SEARCH("hacker",LOWER(F165&amp;" "&amp;H165&amp;" "&amp;I165&amp;" "&amp;M165&amp;" "&amp;N165&amp;" "&amp;T165))),ISNUMBER(SEARCH("hacking",LOWER(F165&amp;" "&amp;H165&amp;" "&amp;I165&amp;" "&amp;M165&amp;" "&amp;N165&amp;" "&amp;T165))),ISNUMBER(SEARCH("bank",LOWER(F165&amp;" "&amp;H165&amp;" "&amp;I165&amp;" "&amp;M165&amp;" "&amp;N165&amp;" "&amp;T165))),ISNUMBER(SEARCH("banking",LOWER(F165&amp;" "&amp;H165&amp;" "&amp;I165&amp;" "&amp;M165&amp;" "&amp;N165&amp;" "&amp;T165)))),"PRIVATE_QUARANTINE",IF(OR(ISNUMBER(SEARCH("treasury",LOWER(F165&amp;" "&amp;H165&amp;" "&amp;I165&amp;" "&amp;M165&amp;" "&amp;N165&amp;" "&amp;T165))),ISNUMBER(SEARCH("debt",LOWER(F165&amp;" "&amp;H165&amp;" "&amp;I165&amp;" "&amp;M165&amp;" "&amp;N165&amp;" "&amp;T165))),ISNUMBER(SEARCH("bond",LOWER(F165&amp;" "&amp;H165&amp;" "&amp;I165&amp;" "&amp;M165&amp;" "&amp;N165&amp;" "&amp;T165))),ISNUMBER(SEARCH("transaction",LOWER(F165&amp;" "&amp;H165&amp;" "&amp;I165&amp;" "&amp;M165&amp;" "&amp;N165&amp;" "&amp;T165)))),"PRIVATE_REVIEW","PUBLIC_CANDIDATE"))</x:f>
        <x:v>PUBLIC_CANDIDATE</x:v>
      </x:c>
      <x:c r="AD165" s="12" t="str">
        <x:f>IF(AC165="PRIVATE_QUARANTINE","hacker_or_bank_trigger",IF(AC165="PRIVATE_REVIEW","finance_risk_trigger","none"))</x:f>
        <x:v>none</x:v>
      </x:c>
      <x:c r="AE165" s="12" t="str">
        <x:f>IF(AC165="PUBLIC_CANDIDATE","prepare_public_github_candidate",IF(AC165="PRIVATE_REVIEW","hold_for_private_review","quarantine_private_do_not_publish"))</x:f>
        <x:v>prepare_public_github_candidate</x:v>
      </x:c>
      <x:c r="AF165" s="12" t="str">
        <x:f>IF(AC165="PUBLIC_CANDIDATE","TIDELOCK + Lucerna",IF(AC165="PRIVATE_REVIEW","AtlasBrain + Lucerna","TIDELOCK + Lucerna + Human-root"))</x:f>
        <x:v>TIDELOCK + Lucerna</x:v>
      </x:c>
      <x:c r="AG165" s="12" t="str">
        <x:f>IF(AND(AC165="PUBLIC_CANDIDATE",U165&lt;&gt;"BLOCKED_PENDING_RECEIPT"),"READY_AFTER_RECEIPT","NOT_READY")</x:f>
        <x:v>NOT_READY</x:v>
      </x:c>
      <x:c r="AH165" s="12" t="str">
        <x:f>IF(AC165="PUBLIC_CANDIDATE","none",AD165)</x:f>
        <x:v>none</x:v>
      </x:c>
      <x:c r="AI165" s="12" t="str">
        <x:f>IF(AC165="PUBLIC_CANDIDATE","archive/public_candidates/"&amp;A165,"private_quarantine/"&amp;A165)</x:f>
        <x:v>archive/public_candidates/SWARM-02-H02-S08</x:v>
      </x:c>
      <x:c r="AJ165" s="12" t="str">
        <x:f>IF(AC165="PUBLIC_CANDIDATE","public by default; still not canon","private/hold; do not publish")</x:f>
        <x:v>public by default; still not canon</x:v>
      </x:c>
      <x:c r="AK165" s="12" t="str">
        <x:f>IF(AE165="prepare_public_github_candidate","add receipt/status then mirror","resolve blocker before any public GitHub action")</x:f>
        <x:v>add receipt/status then mirror</x:v>
      </x:c>
    </x:row>
    <x:row r="166">
      <x:c r="A166" s="15" t="str">
        <x:v>SWARM-02-H02-S09</x:v>
      </x:c>
      <x:c r="B166" s="15" t="str">
        <x:v>Hashlight</x:v>
      </x:c>
      <x:c r="C166" s="15" t="str">
        <x:v>Hash and identity keeper</x:v>
      </x:c>
      <x:c r="D166" s="15" t="str">
        <x:v>Receipt Verification</x:v>
      </x:c>
      <x:c r="E166" s="15" t="str">
        <x:v>Aetherforge</x:v>
      </x:c>
      <x:c r="F166" s="15" t="str">
        <x:v>Verify receipts for Aetherforge — Hashlight</x:v>
      </x:c>
      <x:c r="G166" s="15" t="str">
        <x:v>ids / hashes / timestamps / duplicate control</x:v>
      </x:c>
      <x:c r="H166" s="15" t="str">
        <x:v>source path + receipt + raw/export status + claim/edge/risk delta</x:v>
      </x:c>
      <x:c r="I166" s="15" t="str">
        <x:v>packet/SWARM-02-H02-S09</x:v>
      </x:c>
      <x:c r="J166" s="15" t="str">
        <x:v>TODO</x:v>
      </x:c>
      <x:c r="K166" s="15" t="str">
        <x:v>P2</x:v>
      </x:c>
      <x:c r="L166" s="15" t="str">
        <x:v>Done only when evidence is logged, contradiction search is noted, and boundary stamp remains non-canon unless ratified</x:v>
      </x:c>
      <x:c r="M166" s="15" t="str">
        <x:v>candidate / staging-only / not canon / not deployed / authority none</x:v>
      </x:c>
      <x:c r="N166" s="15" t="str">
        <x:v>Dispatch to Hashlight: complete Receipt Verification x Aetherforge; return deltas only, receipts required.</x:v>
      </x:c>
      <x:c r="O166" s="15" t="str">
        <x:v>AF-KG-H02-S09</x:v>
      </x:c>
      <x:c r="P166" s="15" t="str">
        <x:v>Unverified</x:v>
      </x:c>
      <x:c r="Q166" s="15" t="str">
        <x:v>Not checked</x:v>
      </x:c>
      <x:c r="R166" s="15" t="str"/>
      <x:c r="S166" s="15" t="str"/>
      <x:c r="T166" s="15" t="str">
        <x:v>Log first source path or blocker</x:v>
      </x:c>
      <x:c r="U166" s="12" t="str">
        <x:f>IF(OR(P166="Unverified",Q166="Not checked"),"BLOCKED_PENDING_RECEIPT","READY_FOR_REVIEW")</x:f>
        <x:v>BLOCKED_PENDING_RECEIPT</x:v>
      </x:c>
      <x:c r="V166" s="12" t="str">
        <x:f>IF(J166="DONE","RETURNED",IF(U166="BLOCKED_PENDING_RECEIPT","SOURCE_TOUCH_REQUIRED","IN_PROGRESS"))</x:f>
        <x:v>SOURCE_TOUCH_REQUIRED</x:v>
      </x:c>
      <x:c r="W166" s="12" t="str">
        <x:f>IF(P166="Unverified","missing_receipt","receipt_logged")</x:f>
        <x:v>missing_receipt</x:v>
      </x:c>
      <x:c r="X166" s="12" t="str">
        <x:f>IF(Q166="Not checked","raw_status_missing","raw_status_logged")</x:f>
        <x:v>raw_status_missing</x:v>
      </x:c>
      <x:c r="Y166" s="12" t="str">
        <x:f>IF(U166="BLOCKED_PENDING_RECEIPT","Log source path or blocker; do not promote","Route to review lane")</x:f>
        <x:v>Log source path or blocker; do not promote</x:v>
      </x:c>
      <x:c r="Z166" s="12" t="str">
        <x:f>IF(K166="P0","Primary seat + Hashlight/Lucerna","Seat lane")</x:f>
        <x:v>Seat lane</x:v>
      </x:c>
      <x:c r="AA166" s="12" t="str">
        <x:f>IF(R166="","no_claim_delta","claim_delta_present")</x:f>
        <x:v>no_claim_delta</x:v>
      </x:c>
      <x:c r="AB166" s="12" t="str">
        <x:f>IF(S166="","no_contradiction_delta","contradiction_delta_present")</x:f>
        <x:v>no_contradiction_delta</x:v>
      </x:c>
      <x:c r="AC166" s="12" t="str">
        <x:f>IF(OR(ISNUMBER(SEARCH("hacker",LOWER(F166&amp;" "&amp;H166&amp;" "&amp;I166&amp;" "&amp;M166&amp;" "&amp;N166&amp;" "&amp;T166))),ISNUMBER(SEARCH("hacking",LOWER(F166&amp;" "&amp;H166&amp;" "&amp;I166&amp;" "&amp;M166&amp;" "&amp;N166&amp;" "&amp;T166))),ISNUMBER(SEARCH("bank",LOWER(F166&amp;" "&amp;H166&amp;" "&amp;I166&amp;" "&amp;M166&amp;" "&amp;N166&amp;" "&amp;T166))),ISNUMBER(SEARCH("banking",LOWER(F166&amp;" "&amp;H166&amp;" "&amp;I166&amp;" "&amp;M166&amp;" "&amp;N166&amp;" "&amp;T166)))),"PRIVATE_QUARANTINE",IF(OR(ISNUMBER(SEARCH("treasury",LOWER(F166&amp;" "&amp;H166&amp;" "&amp;I166&amp;" "&amp;M166&amp;" "&amp;N166&amp;" "&amp;T166))),ISNUMBER(SEARCH("debt",LOWER(F166&amp;" "&amp;H166&amp;" "&amp;I166&amp;" "&amp;M166&amp;" "&amp;N166&amp;" "&amp;T166))),ISNUMBER(SEARCH("bond",LOWER(F166&amp;" "&amp;H166&amp;" "&amp;I166&amp;" "&amp;M166&amp;" "&amp;N166&amp;" "&amp;T166))),ISNUMBER(SEARCH("transaction",LOWER(F166&amp;" "&amp;H166&amp;" "&amp;I166&amp;" "&amp;M166&amp;" "&amp;N166&amp;" "&amp;T166)))),"PRIVATE_REVIEW","PUBLIC_CANDIDATE"))</x:f>
        <x:v>PUBLIC_CANDIDATE</x:v>
      </x:c>
      <x:c r="AD166" s="12" t="str">
        <x:f>IF(AC166="PRIVATE_QUARANTINE","hacker_or_bank_trigger",IF(AC166="PRIVATE_REVIEW","finance_risk_trigger","none"))</x:f>
        <x:v>none</x:v>
      </x:c>
      <x:c r="AE166" s="12" t="str">
        <x:f>IF(AC166="PUBLIC_CANDIDATE","prepare_public_github_candidate",IF(AC166="PRIVATE_REVIEW","hold_for_private_review","quarantine_private_do_not_publish"))</x:f>
        <x:v>prepare_public_github_candidate</x:v>
      </x:c>
      <x:c r="AF166" s="12" t="str">
        <x:f>IF(AC166="PUBLIC_CANDIDATE","TIDELOCK + Lucerna",IF(AC166="PRIVATE_REVIEW","AtlasBrain + Lucerna","TIDELOCK + Lucerna + Human-root"))</x:f>
        <x:v>TIDELOCK + Lucerna</x:v>
      </x:c>
      <x:c r="AG166" s="12" t="str">
        <x:f>IF(AND(AC166="PUBLIC_CANDIDATE",U166&lt;&gt;"BLOCKED_PENDING_RECEIPT"),"READY_AFTER_RECEIPT","NOT_READY")</x:f>
        <x:v>NOT_READY</x:v>
      </x:c>
      <x:c r="AH166" s="12" t="str">
        <x:f>IF(AC166="PUBLIC_CANDIDATE","none",AD166)</x:f>
        <x:v>none</x:v>
      </x:c>
      <x:c r="AI166" s="12" t="str">
        <x:f>IF(AC166="PUBLIC_CANDIDATE","archive/public_candidates/"&amp;A166,"private_quarantine/"&amp;A166)</x:f>
        <x:v>archive/public_candidates/SWARM-02-H02-S09</x:v>
      </x:c>
      <x:c r="AJ166" s="12" t="str">
        <x:f>IF(AC166="PUBLIC_CANDIDATE","public by default; still not canon","private/hold; do not publish")</x:f>
        <x:v>public by default; still not canon</x:v>
      </x:c>
      <x:c r="AK166" s="12" t="str">
        <x:f>IF(AE166="prepare_public_github_candidate","add receipt/status then mirror","resolve blocker before any public GitHub action")</x:f>
        <x:v>add receipt/status then mirror</x:v>
      </x:c>
    </x:row>
    <x:row r="167">
      <x:c r="A167" s="15" t="str">
        <x:v>SWARM-02-H02-S10</x:v>
      </x:c>
      <x:c r="B167" s="15" t="str">
        <x:v>Hashlight</x:v>
      </x:c>
      <x:c r="C167" s="15" t="str">
        <x:v>Hash and identity keeper</x:v>
      </x:c>
      <x:c r="D167" s="15" t="str">
        <x:v>Receipt Verification</x:v>
      </x:c>
      <x:c r="E167" s="15" t="str">
        <x:v>Human-Root</x:v>
      </x:c>
      <x:c r="F167" s="15" t="str">
        <x:v>Verify receipts for Human-Root — Hashlight</x:v>
      </x:c>
      <x:c r="G167" s="15" t="str">
        <x:v>ids / hashes / timestamps / duplicate control</x:v>
      </x:c>
      <x:c r="H167" s="15" t="str">
        <x:v>source path + receipt + raw/export status + claim/edge/risk delta</x:v>
      </x:c>
      <x:c r="I167" s="15" t="str">
        <x:v>packet/SWARM-02-H02-S10</x:v>
      </x:c>
      <x:c r="J167" s="15" t="str">
        <x:v>TODO</x:v>
      </x:c>
      <x:c r="K167" s="15" t="str">
        <x:v>P2</x:v>
      </x:c>
      <x:c r="L167" s="15" t="str">
        <x:v>Done only when evidence is logged, contradiction search is noted, and boundary stamp remains non-canon unless ratified</x:v>
      </x:c>
      <x:c r="M167" s="15" t="str">
        <x:v>candidate / staging-only / not canon / not deployed / authority none</x:v>
      </x:c>
      <x:c r="N167" s="15" t="str">
        <x:v>Dispatch to Hashlight: complete Receipt Verification x Human-Root; return deltas only, receipts required.</x:v>
      </x:c>
      <x:c r="O167" s="15" t="str">
        <x:v>AF-KG-H02-S10</x:v>
      </x:c>
      <x:c r="P167" s="15" t="str">
        <x:v>Unverified</x:v>
      </x:c>
      <x:c r="Q167" s="15" t="str">
        <x:v>Not checked</x:v>
      </x:c>
      <x:c r="R167" s="15" t="str"/>
      <x:c r="S167" s="15" t="str"/>
      <x:c r="T167" s="15" t="str">
        <x:v>Log first source path or blocker</x:v>
      </x:c>
      <x:c r="U167" s="12" t="str">
        <x:f>IF(OR(P167="Unverified",Q167="Not checked"),"BLOCKED_PENDING_RECEIPT","READY_FOR_REVIEW")</x:f>
        <x:v>BLOCKED_PENDING_RECEIPT</x:v>
      </x:c>
      <x:c r="V167" s="12" t="str">
        <x:f>IF(J167="DONE","RETURNED",IF(U167="BLOCKED_PENDING_RECEIPT","SOURCE_TOUCH_REQUIRED","IN_PROGRESS"))</x:f>
        <x:v>SOURCE_TOUCH_REQUIRED</x:v>
      </x:c>
      <x:c r="W167" s="12" t="str">
        <x:f>IF(P167="Unverified","missing_receipt","receipt_logged")</x:f>
        <x:v>missing_receipt</x:v>
      </x:c>
      <x:c r="X167" s="12" t="str">
        <x:f>IF(Q167="Not checked","raw_status_missing","raw_status_logged")</x:f>
        <x:v>raw_status_missing</x:v>
      </x:c>
      <x:c r="Y167" s="12" t="str">
        <x:f>IF(U167="BLOCKED_PENDING_RECEIPT","Log source path or blocker; do not promote","Route to review lane")</x:f>
        <x:v>Log source path or blocker; do not promote</x:v>
      </x:c>
      <x:c r="Z167" s="12" t="str">
        <x:f>IF(K167="P0","Primary seat + Hashlight/Lucerna","Seat lane")</x:f>
        <x:v>Seat lane</x:v>
      </x:c>
      <x:c r="AA167" s="12" t="str">
        <x:f>IF(R167="","no_claim_delta","claim_delta_present")</x:f>
        <x:v>no_claim_delta</x:v>
      </x:c>
      <x:c r="AB167" s="12" t="str">
        <x:f>IF(S167="","no_contradiction_delta","contradiction_delta_present")</x:f>
        <x:v>no_contradiction_delta</x:v>
      </x:c>
      <x:c r="AC167" s="12" t="str">
        <x:f>IF(OR(ISNUMBER(SEARCH("hacker",LOWER(F167&amp;" "&amp;H167&amp;" "&amp;I167&amp;" "&amp;M167&amp;" "&amp;N167&amp;" "&amp;T167))),ISNUMBER(SEARCH("hacking",LOWER(F167&amp;" "&amp;H167&amp;" "&amp;I167&amp;" "&amp;M167&amp;" "&amp;N167&amp;" "&amp;T167))),ISNUMBER(SEARCH("bank",LOWER(F167&amp;" "&amp;H167&amp;" "&amp;I167&amp;" "&amp;M167&amp;" "&amp;N167&amp;" "&amp;T167))),ISNUMBER(SEARCH("banking",LOWER(F167&amp;" "&amp;H167&amp;" "&amp;I167&amp;" "&amp;M167&amp;" "&amp;N167&amp;" "&amp;T167)))),"PRIVATE_QUARANTINE",IF(OR(ISNUMBER(SEARCH("treasury",LOWER(F167&amp;" "&amp;H167&amp;" "&amp;I167&amp;" "&amp;M167&amp;" "&amp;N167&amp;" "&amp;T167))),ISNUMBER(SEARCH("debt",LOWER(F167&amp;" "&amp;H167&amp;" "&amp;I167&amp;" "&amp;M167&amp;" "&amp;N167&amp;" "&amp;T167))),ISNUMBER(SEARCH("bond",LOWER(F167&amp;" "&amp;H167&amp;" "&amp;I167&amp;" "&amp;M167&amp;" "&amp;N167&amp;" "&amp;T167))),ISNUMBER(SEARCH("transaction",LOWER(F167&amp;" "&amp;H167&amp;" "&amp;I167&amp;" "&amp;M167&amp;" "&amp;N167&amp;" "&amp;T167)))),"PRIVATE_REVIEW","PUBLIC_CANDIDATE"))</x:f>
        <x:v>PUBLIC_CANDIDATE</x:v>
      </x:c>
      <x:c r="AD167" s="12" t="str">
        <x:f>IF(AC167="PRIVATE_QUARANTINE","hacker_or_bank_trigger",IF(AC167="PRIVATE_REVIEW","finance_risk_trigger","none"))</x:f>
        <x:v>none</x:v>
      </x:c>
      <x:c r="AE167" s="12" t="str">
        <x:f>IF(AC167="PUBLIC_CANDIDATE","prepare_public_github_candidate",IF(AC167="PRIVATE_REVIEW","hold_for_private_review","quarantine_private_do_not_publish"))</x:f>
        <x:v>prepare_public_github_candidate</x:v>
      </x:c>
      <x:c r="AF167" s="12" t="str">
        <x:f>IF(AC167="PUBLIC_CANDIDATE","TIDELOCK + Lucerna",IF(AC167="PRIVATE_REVIEW","AtlasBrain + Lucerna","TIDELOCK + Lucerna + Human-root"))</x:f>
        <x:v>TIDELOCK + Lucerna</x:v>
      </x:c>
      <x:c r="AG167" s="12" t="str">
        <x:f>IF(AND(AC167="PUBLIC_CANDIDATE",U167&lt;&gt;"BLOCKED_PENDING_RECEIPT"),"READY_AFTER_RECEIPT","NOT_READY")</x:f>
        <x:v>NOT_READY</x:v>
      </x:c>
      <x:c r="AH167" s="12" t="str">
        <x:f>IF(AC167="PUBLIC_CANDIDATE","none",AD167)</x:f>
        <x:v>none</x:v>
      </x:c>
      <x:c r="AI167" s="12" t="str">
        <x:f>IF(AC167="PUBLIC_CANDIDATE","archive/public_candidates/"&amp;A167,"private_quarantine/"&amp;A167)</x:f>
        <x:v>archive/public_candidates/SWARM-02-H02-S10</x:v>
      </x:c>
      <x:c r="AJ167" s="12" t="str">
        <x:f>IF(AC167="PUBLIC_CANDIDATE","public by default; still not canon","private/hold; do not publish")</x:f>
        <x:v>public by default; still not canon</x:v>
      </x:c>
      <x:c r="AK167" s="12" t="str">
        <x:f>IF(AE167="prepare_public_github_candidate","add receipt/status then mirror","resolve blocker before any public GitHub action")</x:f>
        <x:v>add receipt/status then mirror</x:v>
      </x:c>
    </x:row>
    <x:row r="168">
      <x:c r="A168" s="15" t="str">
        <x:v>SWARM-02-H02-S11</x:v>
      </x:c>
      <x:c r="B168" s="15" t="str">
        <x:v>Hashlight</x:v>
      </x:c>
      <x:c r="C168" s="15" t="str">
        <x:v>Hash and identity keeper</x:v>
      </x:c>
      <x:c r="D168" s="15" t="str">
        <x:v>Receipt Verification</x:v>
      </x:c>
      <x:c r="E168" s="15" t="str">
        <x:v>Automation</x:v>
      </x:c>
      <x:c r="F168" s="15" t="str">
        <x:v>Verify receipts for Automation — Hashlight</x:v>
      </x:c>
      <x:c r="G168" s="15" t="str">
        <x:v>ids / hashes / timestamps / duplicate control</x:v>
      </x:c>
      <x:c r="H168" s="15" t="str">
        <x:v>source path + receipt + raw/export status + claim/edge/risk delta</x:v>
      </x:c>
      <x:c r="I168" s="15" t="str">
        <x:v>packet/SWARM-02-H02-S11</x:v>
      </x:c>
      <x:c r="J168" s="15" t="str">
        <x:v>TODO</x:v>
      </x:c>
      <x:c r="K168" s="15" t="str">
        <x:v>P2</x:v>
      </x:c>
      <x:c r="L168" s="15" t="str">
        <x:v>Done only when evidence is logged, contradiction search is noted, and boundary stamp remains non-canon unless ratified</x:v>
      </x:c>
      <x:c r="M168" s="15" t="str">
        <x:v>candidate / staging-only / not canon / not deployed / authority none</x:v>
      </x:c>
      <x:c r="N168" s="15" t="str">
        <x:v>Dispatch to Hashlight: complete Receipt Verification x Automation; return deltas only, receipts required.</x:v>
      </x:c>
      <x:c r="O168" s="15" t="str">
        <x:v>AF-KG-H02-S11</x:v>
      </x:c>
      <x:c r="P168" s="15" t="str">
        <x:v>Unverified</x:v>
      </x:c>
      <x:c r="Q168" s="15" t="str">
        <x:v>Not checked</x:v>
      </x:c>
      <x:c r="R168" s="15" t="str"/>
      <x:c r="S168" s="15" t="str"/>
      <x:c r="T168" s="15" t="str">
        <x:v>Log first source path or blocker</x:v>
      </x:c>
      <x:c r="U168" s="12" t="str">
        <x:f>IF(OR(P168="Unverified",Q168="Not checked"),"BLOCKED_PENDING_RECEIPT","READY_FOR_REVIEW")</x:f>
        <x:v>BLOCKED_PENDING_RECEIPT</x:v>
      </x:c>
      <x:c r="V168" s="12" t="str">
        <x:f>IF(J168="DONE","RETURNED",IF(U168="BLOCKED_PENDING_RECEIPT","SOURCE_TOUCH_REQUIRED","IN_PROGRESS"))</x:f>
        <x:v>SOURCE_TOUCH_REQUIRED</x:v>
      </x:c>
      <x:c r="W168" s="12" t="str">
        <x:f>IF(P168="Unverified","missing_receipt","receipt_logged")</x:f>
        <x:v>missing_receipt</x:v>
      </x:c>
      <x:c r="X168" s="12" t="str">
        <x:f>IF(Q168="Not checked","raw_status_missing","raw_status_logged")</x:f>
        <x:v>raw_status_missing</x:v>
      </x:c>
      <x:c r="Y168" s="12" t="str">
        <x:f>IF(U168="BLOCKED_PENDING_RECEIPT","Log source path or blocker; do not promote","Route to review lane")</x:f>
        <x:v>Log source path or blocker; do not promote</x:v>
      </x:c>
      <x:c r="Z168" s="12" t="str">
        <x:f>IF(K168="P0","Primary seat + Hashlight/Lucerna","Seat lane")</x:f>
        <x:v>Seat lane</x:v>
      </x:c>
      <x:c r="AA168" s="12" t="str">
        <x:f>IF(R168="","no_claim_delta","claim_delta_present")</x:f>
        <x:v>no_claim_delta</x:v>
      </x:c>
      <x:c r="AB168" s="12" t="str">
        <x:f>IF(S168="","no_contradiction_delta","contradiction_delta_present")</x:f>
        <x:v>no_contradiction_delta</x:v>
      </x:c>
      <x:c r="AC168" s="12" t="str">
        <x:f>IF(OR(ISNUMBER(SEARCH("hacker",LOWER(F168&amp;" "&amp;H168&amp;" "&amp;I168&amp;" "&amp;M168&amp;" "&amp;N168&amp;" "&amp;T168))),ISNUMBER(SEARCH("hacking",LOWER(F168&amp;" "&amp;H168&amp;" "&amp;I168&amp;" "&amp;M168&amp;" "&amp;N168&amp;" "&amp;T168))),ISNUMBER(SEARCH("bank",LOWER(F168&amp;" "&amp;H168&amp;" "&amp;I168&amp;" "&amp;M168&amp;" "&amp;N168&amp;" "&amp;T168))),ISNUMBER(SEARCH("banking",LOWER(F168&amp;" "&amp;H168&amp;" "&amp;I168&amp;" "&amp;M168&amp;" "&amp;N168&amp;" "&amp;T168)))),"PRIVATE_QUARANTINE",IF(OR(ISNUMBER(SEARCH("treasury",LOWER(F168&amp;" "&amp;H168&amp;" "&amp;I168&amp;" "&amp;M168&amp;" "&amp;N168&amp;" "&amp;T168))),ISNUMBER(SEARCH("debt",LOWER(F168&amp;" "&amp;H168&amp;" "&amp;I168&amp;" "&amp;M168&amp;" "&amp;N168&amp;" "&amp;T168))),ISNUMBER(SEARCH("bond",LOWER(F168&amp;" "&amp;H168&amp;" "&amp;I168&amp;" "&amp;M168&amp;" "&amp;N168&amp;" "&amp;T168))),ISNUMBER(SEARCH("transaction",LOWER(F168&amp;" "&amp;H168&amp;" "&amp;I168&amp;" "&amp;M168&amp;" "&amp;N168&amp;" "&amp;T168)))),"PRIVATE_REVIEW","PUBLIC_CANDIDATE"))</x:f>
        <x:v>PUBLIC_CANDIDATE</x:v>
      </x:c>
      <x:c r="AD168" s="12" t="str">
        <x:f>IF(AC168="PRIVATE_QUARANTINE","hacker_or_bank_trigger",IF(AC168="PRIVATE_REVIEW","finance_risk_trigger","none"))</x:f>
        <x:v>none</x:v>
      </x:c>
      <x:c r="AE168" s="12" t="str">
        <x:f>IF(AC168="PUBLIC_CANDIDATE","prepare_public_github_candidate",IF(AC168="PRIVATE_REVIEW","hold_for_private_review","quarantine_private_do_not_publish"))</x:f>
        <x:v>prepare_public_github_candidate</x:v>
      </x:c>
      <x:c r="AF168" s="12" t="str">
        <x:f>IF(AC168="PUBLIC_CANDIDATE","TIDELOCK + Lucerna",IF(AC168="PRIVATE_REVIEW","AtlasBrain + Lucerna","TIDELOCK + Lucerna + Human-root"))</x:f>
        <x:v>TIDELOCK + Lucerna</x:v>
      </x:c>
      <x:c r="AG168" s="12" t="str">
        <x:f>IF(AND(AC168="PUBLIC_CANDIDATE",U168&lt;&gt;"BLOCKED_PENDING_RECEIPT"),"READY_AFTER_RECEIPT","NOT_READY")</x:f>
        <x:v>NOT_READY</x:v>
      </x:c>
      <x:c r="AH168" s="12" t="str">
        <x:f>IF(AC168="PUBLIC_CANDIDATE","none",AD168)</x:f>
        <x:v>none</x:v>
      </x:c>
      <x:c r="AI168" s="12" t="str">
        <x:f>IF(AC168="PUBLIC_CANDIDATE","archive/public_candidates/"&amp;A168,"private_quarantine/"&amp;A168)</x:f>
        <x:v>archive/public_candidates/SWARM-02-H02-S11</x:v>
      </x:c>
      <x:c r="AJ168" s="12" t="str">
        <x:f>IF(AC168="PUBLIC_CANDIDATE","public by default; still not canon","private/hold; do not publish")</x:f>
        <x:v>public by default; still not canon</x:v>
      </x:c>
      <x:c r="AK168" s="12" t="str">
        <x:f>IF(AE168="prepare_public_github_candidate","add receipt/status then mirror","resolve blocker before any public GitHub action")</x:f>
        <x:v>add receipt/status then mirror</x:v>
      </x:c>
    </x:row>
    <x:row r="169">
      <x:c r="A169" s="15" t="str">
        <x:v>SWARM-02-H02-S12</x:v>
      </x:c>
      <x:c r="B169" s="15" t="str">
        <x:v>Hashlight</x:v>
      </x:c>
      <x:c r="C169" s="15" t="str">
        <x:v>Hash and identity keeper</x:v>
      </x:c>
      <x:c r="D169" s="15" t="str">
        <x:v>Receipt Verification</x:v>
      </x:c>
      <x:c r="E169" s="15" t="str">
        <x:v>Risk / Safety</x:v>
      </x:c>
      <x:c r="F169" s="15" t="str">
        <x:v>Verify receipts for Risk / Safety — Hashlight</x:v>
      </x:c>
      <x:c r="G169" s="15" t="str">
        <x:v>ids / hashes / timestamps / duplicate control</x:v>
      </x:c>
      <x:c r="H169" s="15" t="str">
        <x:v>source path + receipt + raw/export status + claim/edge/risk delta</x:v>
      </x:c>
      <x:c r="I169" s="15" t="str">
        <x:v>packet/SWARM-02-H02-S12</x:v>
      </x:c>
      <x:c r="J169" s="15" t="str">
        <x:v>TODO</x:v>
      </x:c>
      <x:c r="K169" s="15" t="str">
        <x:v>P2</x:v>
      </x:c>
      <x:c r="L169" s="15" t="str">
        <x:v>Done only when evidence is logged, contradiction search is noted, and boundary stamp remains non-canon unless ratified</x:v>
      </x:c>
      <x:c r="M169" s="15" t="str">
        <x:v>candidate / staging-only / not canon / not deployed / authority none</x:v>
      </x:c>
      <x:c r="N169" s="15" t="str">
        <x:v>Dispatch to Hashlight: complete Receipt Verification x Risk / Safety; return deltas only, receipts required.</x:v>
      </x:c>
      <x:c r="O169" s="15" t="str">
        <x:v>AF-KG-H02-S12</x:v>
      </x:c>
      <x:c r="P169" s="15" t="str">
        <x:v>Unverified</x:v>
      </x:c>
      <x:c r="Q169" s="15" t="str">
        <x:v>Not checked</x:v>
      </x:c>
      <x:c r="R169" s="15" t="str"/>
      <x:c r="S169" s="15" t="str"/>
      <x:c r="T169" s="15" t="str">
        <x:v>Log first source path or blocker</x:v>
      </x:c>
      <x:c r="U169" s="12" t="str">
        <x:f>IF(OR(P169="Unverified",Q169="Not checked"),"BLOCKED_PENDING_RECEIPT","READY_FOR_REVIEW")</x:f>
        <x:v>BLOCKED_PENDING_RECEIPT</x:v>
      </x:c>
      <x:c r="V169" s="12" t="str">
        <x:f>IF(J169="DONE","RETURNED",IF(U169="BLOCKED_PENDING_RECEIPT","SOURCE_TOUCH_REQUIRED","IN_PROGRESS"))</x:f>
        <x:v>SOURCE_TOUCH_REQUIRED</x:v>
      </x:c>
      <x:c r="W169" s="12" t="str">
        <x:f>IF(P169="Unverified","missing_receipt","receipt_logged")</x:f>
        <x:v>missing_receipt</x:v>
      </x:c>
      <x:c r="X169" s="12" t="str">
        <x:f>IF(Q169="Not checked","raw_status_missing","raw_status_logged")</x:f>
        <x:v>raw_status_missing</x:v>
      </x:c>
      <x:c r="Y169" s="12" t="str">
        <x:f>IF(U169="BLOCKED_PENDING_RECEIPT","Log source path or blocker; do not promote","Route to review lane")</x:f>
        <x:v>Log source path or blocker; do not promote</x:v>
      </x:c>
      <x:c r="Z169" s="12" t="str">
        <x:f>IF(K169="P0","Primary seat + Hashlight/Lucerna","Seat lane")</x:f>
        <x:v>Seat lane</x:v>
      </x:c>
      <x:c r="AA169" s="12" t="str">
        <x:f>IF(R169="","no_claim_delta","claim_delta_present")</x:f>
        <x:v>no_claim_delta</x:v>
      </x:c>
      <x:c r="AB169" s="12" t="str">
        <x:f>IF(S169="","no_contradiction_delta","contradiction_delta_present")</x:f>
        <x:v>no_contradiction_delta</x:v>
      </x:c>
      <x:c r="AC169" s="12" t="str">
        <x:f>IF(OR(ISNUMBER(SEARCH("hacker",LOWER(F169&amp;" "&amp;H169&amp;" "&amp;I169&amp;" "&amp;M169&amp;" "&amp;N169&amp;" "&amp;T169))),ISNUMBER(SEARCH("hacking",LOWER(F169&amp;" "&amp;H169&amp;" "&amp;I169&amp;" "&amp;M169&amp;" "&amp;N169&amp;" "&amp;T169))),ISNUMBER(SEARCH("bank",LOWER(F169&amp;" "&amp;H169&amp;" "&amp;I169&amp;" "&amp;M169&amp;" "&amp;N169&amp;" "&amp;T169))),ISNUMBER(SEARCH("banking",LOWER(F169&amp;" "&amp;H169&amp;" "&amp;I169&amp;" "&amp;M169&amp;" "&amp;N169&amp;" "&amp;T169)))),"PRIVATE_QUARANTINE",IF(OR(ISNUMBER(SEARCH("treasury",LOWER(F169&amp;" "&amp;H169&amp;" "&amp;I169&amp;" "&amp;M169&amp;" "&amp;N169&amp;" "&amp;T169))),ISNUMBER(SEARCH("debt",LOWER(F169&amp;" "&amp;H169&amp;" "&amp;I169&amp;" "&amp;M169&amp;" "&amp;N169&amp;" "&amp;T169))),ISNUMBER(SEARCH("bond",LOWER(F169&amp;" "&amp;H169&amp;" "&amp;I169&amp;" "&amp;M169&amp;" "&amp;N169&amp;" "&amp;T169))),ISNUMBER(SEARCH("transaction",LOWER(F169&amp;" "&amp;H169&amp;" "&amp;I169&amp;" "&amp;M169&amp;" "&amp;N169&amp;" "&amp;T169)))),"PRIVATE_REVIEW","PUBLIC_CANDIDATE"))</x:f>
        <x:v>PUBLIC_CANDIDATE</x:v>
      </x:c>
      <x:c r="AD169" s="12" t="str">
        <x:f>IF(AC169="PRIVATE_QUARANTINE","hacker_or_bank_trigger",IF(AC169="PRIVATE_REVIEW","finance_risk_trigger","none"))</x:f>
        <x:v>none</x:v>
      </x:c>
      <x:c r="AE169" s="12" t="str">
        <x:f>IF(AC169="PUBLIC_CANDIDATE","prepare_public_github_candidate",IF(AC169="PRIVATE_REVIEW","hold_for_private_review","quarantine_private_do_not_publish"))</x:f>
        <x:v>prepare_public_github_candidate</x:v>
      </x:c>
      <x:c r="AF169" s="12" t="str">
        <x:f>IF(AC169="PUBLIC_CANDIDATE","TIDELOCK + Lucerna",IF(AC169="PRIVATE_REVIEW","AtlasBrain + Lucerna","TIDELOCK + Lucerna + Human-root"))</x:f>
        <x:v>TIDELOCK + Lucerna</x:v>
      </x:c>
      <x:c r="AG169" s="12" t="str">
        <x:f>IF(AND(AC169="PUBLIC_CANDIDATE",U169&lt;&gt;"BLOCKED_PENDING_RECEIPT"),"READY_AFTER_RECEIPT","NOT_READY")</x:f>
        <x:v>NOT_READY</x:v>
      </x:c>
      <x:c r="AH169" s="12" t="str">
        <x:f>IF(AC169="PUBLIC_CANDIDATE","none",AD169)</x:f>
        <x:v>none</x:v>
      </x:c>
      <x:c r="AI169" s="12" t="str">
        <x:f>IF(AC169="PUBLIC_CANDIDATE","archive/public_candidates/"&amp;A169,"private_quarantine/"&amp;A169)</x:f>
        <x:v>archive/public_candidates/SWARM-02-H02-S12</x:v>
      </x:c>
      <x:c r="AJ169" s="12" t="str">
        <x:f>IF(AC169="PUBLIC_CANDIDATE","public by default; still not canon","private/hold; do not publish")</x:f>
        <x:v>public by default; still not canon</x:v>
      </x:c>
      <x:c r="AK169" s="12" t="str">
        <x:f>IF(AE169="prepare_public_github_candidate","add receipt/status then mirror","resolve blocker before any public GitHub action")</x:f>
        <x:v>add receipt/status then mirror</x:v>
      </x:c>
    </x:row>
    <x:row r="170">
      <x:c r="A170" s="15" t="str">
        <x:v>SWARM-02-H03-S01</x:v>
      </x:c>
      <x:c r="B170" s="15" t="str">
        <x:v>Hashlight</x:v>
      </x:c>
      <x:c r="C170" s="15" t="str">
        <x:v>Hash and identity keeper</x:v>
      </x:c>
      <x:c r="D170" s="15" t="str">
        <x:v>Raw Export Recovery</x:v>
      </x:c>
      <x:c r="E170" s="15" t="str">
        <x:v>Notion</x:v>
      </x:c>
      <x:c r="F170" s="15" t="str">
        <x:v>Recover raw exports for Notion — Hashlight</x:v>
      </x:c>
      <x:c r="G170" s="15" t="str">
        <x:v>ids / hashes / timestamps / duplicate control</x:v>
      </x:c>
      <x:c r="H170" s="15" t="str">
        <x:v>source path + receipt + raw/export status + claim/edge/risk delta</x:v>
      </x:c>
      <x:c r="I170" s="15" t="str">
        <x:v>packet/SWARM-02-H03-S01</x:v>
      </x:c>
      <x:c r="J170" s="15" t="str">
        <x:v>TODO</x:v>
      </x:c>
      <x:c r="K170" s="15" t="str">
        <x:v>P0</x:v>
      </x:c>
      <x:c r="L170" s="15" t="str">
        <x:v>Done only when evidence is logged, contradiction search is noted, and boundary stamp remains non-canon unless ratified</x:v>
      </x:c>
      <x:c r="M170" s="15" t="str">
        <x:v>candidate / staging-only / not canon / not deployed / authority none</x:v>
      </x:c>
      <x:c r="N170" s="15" t="str">
        <x:v>Dispatch to Hashlight: complete Raw Export Recovery x Notion; return deltas only, receipts required.</x:v>
      </x:c>
      <x:c r="O170" s="15" t="str">
        <x:v>AF-KG-H03-S01</x:v>
      </x:c>
      <x:c r="P170" s="15" t="str">
        <x:v>Unverified</x:v>
      </x:c>
      <x:c r="Q170" s="15" t="str">
        <x:v>Not checked</x:v>
      </x:c>
      <x:c r="R170" s="15" t="str"/>
      <x:c r="S170" s="15" t="str"/>
      <x:c r="T170" s="15" t="str">
        <x:v>Log first source path or blocker</x:v>
      </x:c>
      <x:c r="U170" s="12" t="str">
        <x:f>IF(OR(P170="Unverified",Q170="Not checked"),"BLOCKED_PENDING_RECEIPT","READY_FOR_REVIEW")</x:f>
        <x:v>BLOCKED_PENDING_RECEIPT</x:v>
      </x:c>
      <x:c r="V170" s="12" t="str">
        <x:f>IF(J170="DONE","RETURNED",IF(U170="BLOCKED_PENDING_RECEIPT","SOURCE_TOUCH_REQUIRED","IN_PROGRESS"))</x:f>
        <x:v>SOURCE_TOUCH_REQUIRED</x:v>
      </x:c>
      <x:c r="W170" s="12" t="str">
        <x:f>IF(P170="Unverified","missing_receipt","receipt_logged")</x:f>
        <x:v>missing_receipt</x:v>
      </x:c>
      <x:c r="X170" s="12" t="str">
        <x:f>IF(Q170="Not checked","raw_status_missing","raw_status_logged")</x:f>
        <x:v>raw_status_missing</x:v>
      </x:c>
      <x:c r="Y170" s="12" t="str">
        <x:f>IF(U170="BLOCKED_PENDING_RECEIPT","Log source path or blocker; do not promote","Route to review lane")</x:f>
        <x:v>Log source path or blocker; do not promote</x:v>
      </x:c>
      <x:c r="Z170" s="12" t="str">
        <x:f>IF(K170="P0","Primary seat + Hashlight/Lucerna","Seat lane")</x:f>
        <x:v>Primary seat + Hashlight/Lucerna</x:v>
      </x:c>
      <x:c r="AA170" s="12" t="str">
        <x:f>IF(R170="","no_claim_delta","claim_delta_present")</x:f>
        <x:v>no_claim_delta</x:v>
      </x:c>
      <x:c r="AB170" s="12" t="str">
        <x:f>IF(S170="","no_contradiction_delta","contradiction_delta_present")</x:f>
        <x:v>no_contradiction_delta</x:v>
      </x:c>
      <x:c r="AC170" s="12" t="str">
        <x:f>IF(OR(ISNUMBER(SEARCH("hacker",LOWER(F170&amp;" "&amp;H170&amp;" "&amp;I170&amp;" "&amp;M170&amp;" "&amp;N170&amp;" "&amp;T170))),ISNUMBER(SEARCH("hacking",LOWER(F170&amp;" "&amp;H170&amp;" "&amp;I170&amp;" "&amp;M170&amp;" "&amp;N170&amp;" "&amp;T170))),ISNUMBER(SEARCH("bank",LOWER(F170&amp;" "&amp;H170&amp;" "&amp;I170&amp;" "&amp;M170&amp;" "&amp;N170&amp;" "&amp;T170))),ISNUMBER(SEARCH("banking",LOWER(F170&amp;" "&amp;H170&amp;" "&amp;I170&amp;" "&amp;M170&amp;" "&amp;N170&amp;" "&amp;T170)))),"PRIVATE_QUARANTINE",IF(OR(ISNUMBER(SEARCH("treasury",LOWER(F170&amp;" "&amp;H170&amp;" "&amp;I170&amp;" "&amp;M170&amp;" "&amp;N170&amp;" "&amp;T170))),ISNUMBER(SEARCH("debt",LOWER(F170&amp;" "&amp;H170&amp;" "&amp;I170&amp;" "&amp;M170&amp;" "&amp;N170&amp;" "&amp;T170))),ISNUMBER(SEARCH("bond",LOWER(F170&amp;" "&amp;H170&amp;" "&amp;I170&amp;" "&amp;M170&amp;" "&amp;N170&amp;" "&amp;T170))),ISNUMBER(SEARCH("transaction",LOWER(F170&amp;" "&amp;H170&amp;" "&amp;I170&amp;" "&amp;M170&amp;" "&amp;N170&amp;" "&amp;T170)))),"PRIVATE_REVIEW","PUBLIC_CANDIDATE"))</x:f>
        <x:v>PUBLIC_CANDIDATE</x:v>
      </x:c>
      <x:c r="AD170" s="12" t="str">
        <x:f>IF(AC170="PRIVATE_QUARANTINE","hacker_or_bank_trigger",IF(AC170="PRIVATE_REVIEW","finance_risk_trigger","none"))</x:f>
        <x:v>none</x:v>
      </x:c>
      <x:c r="AE170" s="12" t="str">
        <x:f>IF(AC170="PUBLIC_CANDIDATE","prepare_public_github_candidate",IF(AC170="PRIVATE_REVIEW","hold_for_private_review","quarantine_private_do_not_publish"))</x:f>
        <x:v>prepare_public_github_candidate</x:v>
      </x:c>
      <x:c r="AF170" s="12" t="str">
        <x:f>IF(AC170="PUBLIC_CANDIDATE","TIDELOCK + Lucerna",IF(AC170="PRIVATE_REVIEW","AtlasBrain + Lucerna","TIDELOCK + Lucerna + Human-root"))</x:f>
        <x:v>TIDELOCK + Lucerna</x:v>
      </x:c>
      <x:c r="AG170" s="12" t="str">
        <x:f>IF(AND(AC170="PUBLIC_CANDIDATE",U170&lt;&gt;"BLOCKED_PENDING_RECEIPT"),"READY_AFTER_RECEIPT","NOT_READY")</x:f>
        <x:v>NOT_READY</x:v>
      </x:c>
      <x:c r="AH170" s="12" t="str">
        <x:f>IF(AC170="PUBLIC_CANDIDATE","none",AD170)</x:f>
        <x:v>none</x:v>
      </x:c>
      <x:c r="AI170" s="12" t="str">
        <x:f>IF(AC170="PUBLIC_CANDIDATE","archive/public_candidates/"&amp;A170,"private_quarantine/"&amp;A170)</x:f>
        <x:v>archive/public_candidates/SWARM-02-H03-S01</x:v>
      </x:c>
      <x:c r="AJ170" s="12" t="str">
        <x:f>IF(AC170="PUBLIC_CANDIDATE","public by default; still not canon","private/hold; do not publish")</x:f>
        <x:v>public by default; still not canon</x:v>
      </x:c>
      <x:c r="AK170" s="12" t="str">
        <x:f>IF(AE170="prepare_public_github_candidate","add receipt/status then mirror","resolve blocker before any public GitHub action")</x:f>
        <x:v>add receipt/status then mirror</x:v>
      </x:c>
    </x:row>
    <x:row r="171">
      <x:c r="A171" s="15" t="str">
        <x:v>SWARM-02-H03-S02</x:v>
      </x:c>
      <x:c r="B171" s="15" t="str">
        <x:v>Hashlight</x:v>
      </x:c>
      <x:c r="C171" s="15" t="str">
        <x:v>Hash and identity keeper</x:v>
      </x:c>
      <x:c r="D171" s="15" t="str">
        <x:v>Raw Export Recovery</x:v>
      </x:c>
      <x:c r="E171" s="15" t="str">
        <x:v>Drive</x:v>
      </x:c>
      <x:c r="F171" s="15" t="str">
        <x:v>Recover raw exports for Drive — Hashlight</x:v>
      </x:c>
      <x:c r="G171" s="15" t="str">
        <x:v>ids / hashes / timestamps / duplicate control</x:v>
      </x:c>
      <x:c r="H171" s="15" t="str">
        <x:v>source path + receipt + raw/export status + claim/edge/risk delta</x:v>
      </x:c>
      <x:c r="I171" s="15" t="str">
        <x:v>packet/SWARM-02-H03-S02</x:v>
      </x:c>
      <x:c r="J171" s="15" t="str">
        <x:v>TODO</x:v>
      </x:c>
      <x:c r="K171" s="15" t="str">
        <x:v>P0</x:v>
      </x:c>
      <x:c r="L171" s="15" t="str">
        <x:v>Done only when evidence is logged, contradiction search is noted, and boundary stamp remains non-canon unless ratified</x:v>
      </x:c>
      <x:c r="M171" s="15" t="str">
        <x:v>candidate / staging-only / not canon / not deployed / authority none</x:v>
      </x:c>
      <x:c r="N171" s="15" t="str">
        <x:v>Dispatch to Hashlight: complete Raw Export Recovery x Drive; return deltas only, receipts required.</x:v>
      </x:c>
      <x:c r="O171" s="15" t="str">
        <x:v>AF-KG-H03-S02</x:v>
      </x:c>
      <x:c r="P171" s="15" t="str">
        <x:v>Unverified</x:v>
      </x:c>
      <x:c r="Q171" s="15" t="str">
        <x:v>Not checked</x:v>
      </x:c>
      <x:c r="R171" s="15" t="str"/>
      <x:c r="S171" s="15" t="str"/>
      <x:c r="T171" s="15" t="str">
        <x:v>Log first source path or blocker</x:v>
      </x:c>
      <x:c r="U171" s="12" t="str">
        <x:f>IF(OR(P171="Unverified",Q171="Not checked"),"BLOCKED_PENDING_RECEIPT","READY_FOR_REVIEW")</x:f>
        <x:v>BLOCKED_PENDING_RECEIPT</x:v>
      </x:c>
      <x:c r="V171" s="12" t="str">
        <x:f>IF(J171="DONE","RETURNED",IF(U171="BLOCKED_PENDING_RECEIPT","SOURCE_TOUCH_REQUIRED","IN_PROGRESS"))</x:f>
        <x:v>SOURCE_TOUCH_REQUIRED</x:v>
      </x:c>
      <x:c r="W171" s="12" t="str">
        <x:f>IF(P171="Unverified","missing_receipt","receipt_logged")</x:f>
        <x:v>missing_receipt</x:v>
      </x:c>
      <x:c r="X171" s="12" t="str">
        <x:f>IF(Q171="Not checked","raw_status_missing","raw_status_logged")</x:f>
        <x:v>raw_status_missing</x:v>
      </x:c>
      <x:c r="Y171" s="12" t="str">
        <x:f>IF(U171="BLOCKED_PENDING_RECEIPT","Log source path or blocker; do not promote","Route to review lane")</x:f>
        <x:v>Log source path or blocker; do not promote</x:v>
      </x:c>
      <x:c r="Z171" s="12" t="str">
        <x:f>IF(K171="P0","Primary seat + Hashlight/Lucerna","Seat lane")</x:f>
        <x:v>Primary seat + Hashlight/Lucerna</x:v>
      </x:c>
      <x:c r="AA171" s="12" t="str">
        <x:f>IF(R171="","no_claim_delta","claim_delta_present")</x:f>
        <x:v>no_claim_delta</x:v>
      </x:c>
      <x:c r="AB171" s="12" t="str">
        <x:f>IF(S171="","no_contradiction_delta","contradiction_delta_present")</x:f>
        <x:v>no_contradiction_delta</x:v>
      </x:c>
      <x:c r="AC171" s="12" t="str">
        <x:f>IF(OR(ISNUMBER(SEARCH("hacker",LOWER(F171&amp;" "&amp;H171&amp;" "&amp;I171&amp;" "&amp;M171&amp;" "&amp;N171&amp;" "&amp;T171))),ISNUMBER(SEARCH("hacking",LOWER(F171&amp;" "&amp;H171&amp;" "&amp;I171&amp;" "&amp;M171&amp;" "&amp;N171&amp;" "&amp;T171))),ISNUMBER(SEARCH("bank",LOWER(F171&amp;" "&amp;H171&amp;" "&amp;I171&amp;" "&amp;M171&amp;" "&amp;N171&amp;" "&amp;T171))),ISNUMBER(SEARCH("banking",LOWER(F171&amp;" "&amp;H171&amp;" "&amp;I171&amp;" "&amp;M171&amp;" "&amp;N171&amp;" "&amp;T171)))),"PRIVATE_QUARANTINE",IF(OR(ISNUMBER(SEARCH("treasury",LOWER(F171&amp;" "&amp;H171&amp;" "&amp;I171&amp;" "&amp;M171&amp;" "&amp;N171&amp;" "&amp;T171))),ISNUMBER(SEARCH("debt",LOWER(F171&amp;" "&amp;H171&amp;" "&amp;I171&amp;" "&amp;M171&amp;" "&amp;N171&amp;" "&amp;T171))),ISNUMBER(SEARCH("bond",LOWER(F171&amp;" "&amp;H171&amp;" "&amp;I171&amp;" "&amp;M171&amp;" "&amp;N171&amp;" "&amp;T171))),ISNUMBER(SEARCH("transaction",LOWER(F171&amp;" "&amp;H171&amp;" "&amp;I171&amp;" "&amp;M171&amp;" "&amp;N171&amp;" "&amp;T171)))),"PRIVATE_REVIEW","PUBLIC_CANDIDATE"))</x:f>
        <x:v>PUBLIC_CANDIDATE</x:v>
      </x:c>
      <x:c r="AD171" s="12" t="str">
        <x:f>IF(AC171="PRIVATE_QUARANTINE","hacker_or_bank_trigger",IF(AC171="PRIVATE_REVIEW","finance_risk_trigger","none"))</x:f>
        <x:v>none</x:v>
      </x:c>
      <x:c r="AE171" s="12" t="str">
        <x:f>IF(AC171="PUBLIC_CANDIDATE","prepare_public_github_candidate",IF(AC171="PRIVATE_REVIEW","hold_for_private_review","quarantine_private_do_not_publish"))</x:f>
        <x:v>prepare_public_github_candidate</x:v>
      </x:c>
      <x:c r="AF171" s="12" t="str">
        <x:f>IF(AC171="PUBLIC_CANDIDATE","TIDELOCK + Lucerna",IF(AC171="PRIVATE_REVIEW","AtlasBrain + Lucerna","TIDELOCK + Lucerna + Human-root"))</x:f>
        <x:v>TIDELOCK + Lucerna</x:v>
      </x:c>
      <x:c r="AG171" s="12" t="str">
        <x:f>IF(AND(AC171="PUBLIC_CANDIDATE",U171&lt;&gt;"BLOCKED_PENDING_RECEIPT"),"READY_AFTER_RECEIPT","NOT_READY")</x:f>
        <x:v>NOT_READY</x:v>
      </x:c>
      <x:c r="AH171" s="12" t="str">
        <x:f>IF(AC171="PUBLIC_CANDIDATE","none",AD171)</x:f>
        <x:v>none</x:v>
      </x:c>
      <x:c r="AI171" s="12" t="str">
        <x:f>IF(AC171="PUBLIC_CANDIDATE","archive/public_candidates/"&amp;A171,"private_quarantine/"&amp;A171)</x:f>
        <x:v>archive/public_candidates/SWARM-02-H03-S02</x:v>
      </x:c>
      <x:c r="AJ171" s="12" t="str">
        <x:f>IF(AC171="PUBLIC_CANDIDATE","public by default; still not canon","private/hold; do not publish")</x:f>
        <x:v>public by default; still not canon</x:v>
      </x:c>
      <x:c r="AK171" s="12" t="str">
        <x:f>IF(AE171="prepare_public_github_candidate","add receipt/status then mirror","resolve blocker before any public GitHub action")</x:f>
        <x:v>add receipt/status then mirror</x:v>
      </x:c>
    </x:row>
    <x:row r="172">
      <x:c r="A172" s="15" t="str">
        <x:v>SWARM-02-H03-S03</x:v>
      </x:c>
      <x:c r="B172" s="15" t="str">
        <x:v>Hashlight</x:v>
      </x:c>
      <x:c r="C172" s="15" t="str">
        <x:v>Hash and identity keeper</x:v>
      </x:c>
      <x:c r="D172" s="15" t="str">
        <x:v>Raw Export Recovery</x:v>
      </x:c>
      <x:c r="E172" s="15" t="str">
        <x:v>GitHub</x:v>
      </x:c>
      <x:c r="F172" s="15" t="str">
        <x:v>Recover raw exports for GitHub — Hashlight</x:v>
      </x:c>
      <x:c r="G172" s="15" t="str">
        <x:v>ids / hashes / timestamps / duplicate control</x:v>
      </x:c>
      <x:c r="H172" s="15" t="str">
        <x:v>source path + receipt + raw/export status + claim/edge/risk delta</x:v>
      </x:c>
      <x:c r="I172" s="15" t="str">
        <x:v>packet/SWARM-02-H03-S03</x:v>
      </x:c>
      <x:c r="J172" s="15" t="str">
        <x:v>TODO</x:v>
      </x:c>
      <x:c r="K172" s="15" t="str">
        <x:v>P0</x:v>
      </x:c>
      <x:c r="L172" s="15" t="str">
        <x:v>Done only when evidence is logged, contradiction search is noted, and boundary stamp remains non-canon unless ratified</x:v>
      </x:c>
      <x:c r="M172" s="15" t="str">
        <x:v>candidate / staging-only / not canon / not deployed / authority none</x:v>
      </x:c>
      <x:c r="N172" s="15" t="str">
        <x:v>Dispatch to Hashlight: complete Raw Export Recovery x GitHub; return deltas only, receipts required.</x:v>
      </x:c>
      <x:c r="O172" s="15" t="str">
        <x:v>AF-KG-H03-S03</x:v>
      </x:c>
      <x:c r="P172" s="15" t="str">
        <x:v>Unverified</x:v>
      </x:c>
      <x:c r="Q172" s="15" t="str">
        <x:v>Not checked</x:v>
      </x:c>
      <x:c r="R172" s="15" t="str"/>
      <x:c r="S172" s="15" t="str"/>
      <x:c r="T172" s="15" t="str">
        <x:v>Log first source path or blocker</x:v>
      </x:c>
      <x:c r="U172" s="12" t="str">
        <x:f>IF(OR(P172="Unverified",Q172="Not checked"),"BLOCKED_PENDING_RECEIPT","READY_FOR_REVIEW")</x:f>
        <x:v>BLOCKED_PENDING_RECEIPT</x:v>
      </x:c>
      <x:c r="V172" s="12" t="str">
        <x:f>IF(J172="DONE","RETURNED",IF(U172="BLOCKED_PENDING_RECEIPT","SOURCE_TOUCH_REQUIRED","IN_PROGRESS"))</x:f>
        <x:v>SOURCE_TOUCH_REQUIRED</x:v>
      </x:c>
      <x:c r="W172" s="12" t="str">
        <x:f>IF(P172="Unverified","missing_receipt","receipt_logged")</x:f>
        <x:v>missing_receipt</x:v>
      </x:c>
      <x:c r="X172" s="12" t="str">
        <x:f>IF(Q172="Not checked","raw_status_missing","raw_status_logged")</x:f>
        <x:v>raw_status_missing</x:v>
      </x:c>
      <x:c r="Y172" s="12" t="str">
        <x:f>IF(U172="BLOCKED_PENDING_RECEIPT","Log source path or blocker; do not promote","Route to review lane")</x:f>
        <x:v>Log source path or blocker; do not promote</x:v>
      </x:c>
      <x:c r="Z172" s="12" t="str">
        <x:f>IF(K172="P0","Primary seat + Hashlight/Lucerna","Seat lane")</x:f>
        <x:v>Primary seat + Hashlight/Lucerna</x:v>
      </x:c>
      <x:c r="AA172" s="12" t="str">
        <x:f>IF(R172="","no_claim_delta","claim_delta_present")</x:f>
        <x:v>no_claim_delta</x:v>
      </x:c>
      <x:c r="AB172" s="12" t="str">
        <x:f>IF(S172="","no_contradiction_delta","contradiction_delta_present")</x:f>
        <x:v>no_contradiction_delta</x:v>
      </x:c>
      <x:c r="AC172" s="12" t="str">
        <x:f>IF(OR(ISNUMBER(SEARCH("hacker",LOWER(F172&amp;" "&amp;H172&amp;" "&amp;I172&amp;" "&amp;M172&amp;" "&amp;N172&amp;" "&amp;T172))),ISNUMBER(SEARCH("hacking",LOWER(F172&amp;" "&amp;H172&amp;" "&amp;I172&amp;" "&amp;M172&amp;" "&amp;N172&amp;" "&amp;T172))),ISNUMBER(SEARCH("bank",LOWER(F172&amp;" "&amp;H172&amp;" "&amp;I172&amp;" "&amp;M172&amp;" "&amp;N172&amp;" "&amp;T172))),ISNUMBER(SEARCH("banking",LOWER(F172&amp;" "&amp;H172&amp;" "&amp;I172&amp;" "&amp;M172&amp;" "&amp;N172&amp;" "&amp;T172)))),"PRIVATE_QUARANTINE",IF(OR(ISNUMBER(SEARCH("treasury",LOWER(F172&amp;" "&amp;H172&amp;" "&amp;I172&amp;" "&amp;M172&amp;" "&amp;N172&amp;" "&amp;T172))),ISNUMBER(SEARCH("debt",LOWER(F172&amp;" "&amp;H172&amp;" "&amp;I172&amp;" "&amp;M172&amp;" "&amp;N172&amp;" "&amp;T172))),ISNUMBER(SEARCH("bond",LOWER(F172&amp;" "&amp;H172&amp;" "&amp;I172&amp;" "&amp;M172&amp;" "&amp;N172&amp;" "&amp;T172))),ISNUMBER(SEARCH("transaction",LOWER(F172&amp;" "&amp;H172&amp;" "&amp;I172&amp;" "&amp;M172&amp;" "&amp;N172&amp;" "&amp;T172)))),"PRIVATE_REVIEW","PUBLIC_CANDIDATE"))</x:f>
        <x:v>PUBLIC_CANDIDATE</x:v>
      </x:c>
      <x:c r="AD172" s="12" t="str">
        <x:f>IF(AC172="PRIVATE_QUARANTINE","hacker_or_bank_trigger",IF(AC172="PRIVATE_REVIEW","finance_risk_trigger","none"))</x:f>
        <x:v>none</x:v>
      </x:c>
      <x:c r="AE172" s="12" t="str">
        <x:f>IF(AC172="PUBLIC_CANDIDATE","prepare_public_github_candidate",IF(AC172="PRIVATE_REVIEW","hold_for_private_review","quarantine_private_do_not_publish"))</x:f>
        <x:v>prepare_public_github_candidate</x:v>
      </x:c>
      <x:c r="AF172" s="12" t="str">
        <x:f>IF(AC172="PUBLIC_CANDIDATE","TIDELOCK + Lucerna",IF(AC172="PRIVATE_REVIEW","AtlasBrain + Lucerna","TIDELOCK + Lucerna + Human-root"))</x:f>
        <x:v>TIDELOCK + Lucerna</x:v>
      </x:c>
      <x:c r="AG172" s="12" t="str">
        <x:f>IF(AND(AC172="PUBLIC_CANDIDATE",U172&lt;&gt;"BLOCKED_PENDING_RECEIPT"),"READY_AFTER_RECEIPT","NOT_READY")</x:f>
        <x:v>NOT_READY</x:v>
      </x:c>
      <x:c r="AH172" s="12" t="str">
        <x:f>IF(AC172="PUBLIC_CANDIDATE","none",AD172)</x:f>
        <x:v>none</x:v>
      </x:c>
      <x:c r="AI172" s="12" t="str">
        <x:f>IF(AC172="PUBLIC_CANDIDATE","archive/public_candidates/"&amp;A172,"private_quarantine/"&amp;A172)</x:f>
        <x:v>archive/public_candidates/SWARM-02-H03-S03</x:v>
      </x:c>
      <x:c r="AJ172" s="12" t="str">
        <x:f>IF(AC172="PUBLIC_CANDIDATE","public by default; still not canon","private/hold; do not publish")</x:f>
        <x:v>public by default; still not canon</x:v>
      </x:c>
      <x:c r="AK172" s="12" t="str">
        <x:f>IF(AE172="prepare_public_github_candidate","add receipt/status then mirror","resolve blocker before any public GitHub action")</x:f>
        <x:v>add receipt/status then mirror</x:v>
      </x:c>
    </x:row>
    <x:row r="173">
      <x:c r="A173" s="15" t="str">
        <x:v>SWARM-02-H03-S04</x:v>
      </x:c>
      <x:c r="B173" s="15" t="str">
        <x:v>Hashlight</x:v>
      </x:c>
      <x:c r="C173" s="15" t="str">
        <x:v>Hash and identity keeper</x:v>
      </x:c>
      <x:c r="D173" s="15" t="str">
        <x:v>Raw Export Recovery</x:v>
      </x:c>
      <x:c r="E173" s="15" t="str">
        <x:v>Gamma</x:v>
      </x:c>
      <x:c r="F173" s="15" t="str">
        <x:v>Recover raw exports for Gamma — Hashlight</x:v>
      </x:c>
      <x:c r="G173" s="15" t="str">
        <x:v>ids / hashes / timestamps / duplicate control</x:v>
      </x:c>
      <x:c r="H173" s="15" t="str">
        <x:v>source path + receipt + raw/export status + claim/edge/risk delta</x:v>
      </x:c>
      <x:c r="I173" s="15" t="str">
        <x:v>packet/SWARM-02-H03-S04</x:v>
      </x:c>
      <x:c r="J173" s="15" t="str">
        <x:v>TODO</x:v>
      </x:c>
      <x:c r="K173" s="15" t="str">
        <x:v>P1</x:v>
      </x:c>
      <x:c r="L173" s="15" t="str">
        <x:v>Done only when evidence is logged, contradiction search is noted, and boundary stamp remains non-canon unless ratified</x:v>
      </x:c>
      <x:c r="M173" s="15" t="str">
        <x:v>candidate / staging-only / not canon / not deployed / authority none</x:v>
      </x:c>
      <x:c r="N173" s="15" t="str">
        <x:v>Dispatch to Hashlight: complete Raw Export Recovery x Gamma; return deltas only, receipts required.</x:v>
      </x:c>
      <x:c r="O173" s="15" t="str">
        <x:v>AF-KG-H03-S04</x:v>
      </x:c>
      <x:c r="P173" s="15" t="str">
        <x:v>Unverified</x:v>
      </x:c>
      <x:c r="Q173" s="15" t="str">
        <x:v>Not checked</x:v>
      </x:c>
      <x:c r="R173" s="15" t="str"/>
      <x:c r="S173" s="15" t="str"/>
      <x:c r="T173" s="15" t="str">
        <x:v>Log first source path or blocker</x:v>
      </x:c>
      <x:c r="U173" s="12" t="str">
        <x:f>IF(OR(P173="Unverified",Q173="Not checked"),"BLOCKED_PENDING_RECEIPT","READY_FOR_REVIEW")</x:f>
        <x:v>BLOCKED_PENDING_RECEIPT</x:v>
      </x:c>
      <x:c r="V173" s="12" t="str">
        <x:f>IF(J173="DONE","RETURNED",IF(U173="BLOCKED_PENDING_RECEIPT","SOURCE_TOUCH_REQUIRED","IN_PROGRESS"))</x:f>
        <x:v>SOURCE_TOUCH_REQUIRED</x:v>
      </x:c>
      <x:c r="W173" s="12" t="str">
        <x:f>IF(P173="Unverified","missing_receipt","receipt_logged")</x:f>
        <x:v>missing_receipt</x:v>
      </x:c>
      <x:c r="X173" s="12" t="str">
        <x:f>IF(Q173="Not checked","raw_status_missing","raw_status_logged")</x:f>
        <x:v>raw_status_missing</x:v>
      </x:c>
      <x:c r="Y173" s="12" t="str">
        <x:f>IF(U173="BLOCKED_PENDING_RECEIPT","Log source path or blocker; do not promote","Route to review lane")</x:f>
        <x:v>Log source path or blocker; do not promote</x:v>
      </x:c>
      <x:c r="Z173" s="12" t="str">
        <x:f>IF(K173="P0","Primary seat + Hashlight/Lucerna","Seat lane")</x:f>
        <x:v>Seat lane</x:v>
      </x:c>
      <x:c r="AA173" s="12" t="str">
        <x:f>IF(R173="","no_claim_delta","claim_delta_present")</x:f>
        <x:v>no_claim_delta</x:v>
      </x:c>
      <x:c r="AB173" s="12" t="str">
        <x:f>IF(S173="","no_contradiction_delta","contradiction_delta_present")</x:f>
        <x:v>no_contradiction_delta</x:v>
      </x:c>
      <x:c r="AC173" s="12" t="str">
        <x:f>IF(OR(ISNUMBER(SEARCH("hacker",LOWER(F173&amp;" "&amp;H173&amp;" "&amp;I173&amp;" "&amp;M173&amp;" "&amp;N173&amp;" "&amp;T173))),ISNUMBER(SEARCH("hacking",LOWER(F173&amp;" "&amp;H173&amp;" "&amp;I173&amp;" "&amp;M173&amp;" "&amp;N173&amp;" "&amp;T173))),ISNUMBER(SEARCH("bank",LOWER(F173&amp;" "&amp;H173&amp;" "&amp;I173&amp;" "&amp;M173&amp;" "&amp;N173&amp;" "&amp;T173))),ISNUMBER(SEARCH("banking",LOWER(F173&amp;" "&amp;H173&amp;" "&amp;I173&amp;" "&amp;M173&amp;" "&amp;N173&amp;" "&amp;T173)))),"PRIVATE_QUARANTINE",IF(OR(ISNUMBER(SEARCH("treasury",LOWER(F173&amp;" "&amp;H173&amp;" "&amp;I173&amp;" "&amp;M173&amp;" "&amp;N173&amp;" "&amp;T173))),ISNUMBER(SEARCH("debt",LOWER(F173&amp;" "&amp;H173&amp;" "&amp;I173&amp;" "&amp;M173&amp;" "&amp;N173&amp;" "&amp;T173))),ISNUMBER(SEARCH("bond",LOWER(F173&amp;" "&amp;H173&amp;" "&amp;I173&amp;" "&amp;M173&amp;" "&amp;N173&amp;" "&amp;T173))),ISNUMBER(SEARCH("transaction",LOWER(F173&amp;" "&amp;H173&amp;" "&amp;I173&amp;" "&amp;M173&amp;" "&amp;N173&amp;" "&amp;T173)))),"PRIVATE_REVIEW","PUBLIC_CANDIDATE"))</x:f>
        <x:v>PUBLIC_CANDIDATE</x:v>
      </x:c>
      <x:c r="AD173" s="12" t="str">
        <x:f>IF(AC173="PRIVATE_QUARANTINE","hacker_or_bank_trigger",IF(AC173="PRIVATE_REVIEW","finance_risk_trigger","none"))</x:f>
        <x:v>none</x:v>
      </x:c>
      <x:c r="AE173" s="12" t="str">
        <x:f>IF(AC173="PUBLIC_CANDIDATE","prepare_public_github_candidate",IF(AC173="PRIVATE_REVIEW","hold_for_private_review","quarantine_private_do_not_publish"))</x:f>
        <x:v>prepare_public_github_candidate</x:v>
      </x:c>
      <x:c r="AF173" s="12" t="str">
        <x:f>IF(AC173="PUBLIC_CANDIDATE","TIDELOCK + Lucerna",IF(AC173="PRIVATE_REVIEW","AtlasBrain + Lucerna","TIDELOCK + Lucerna + Human-root"))</x:f>
        <x:v>TIDELOCK + Lucerna</x:v>
      </x:c>
      <x:c r="AG173" s="12" t="str">
        <x:f>IF(AND(AC173="PUBLIC_CANDIDATE",U173&lt;&gt;"BLOCKED_PENDING_RECEIPT"),"READY_AFTER_RECEIPT","NOT_READY")</x:f>
        <x:v>NOT_READY</x:v>
      </x:c>
      <x:c r="AH173" s="12" t="str">
        <x:f>IF(AC173="PUBLIC_CANDIDATE","none",AD173)</x:f>
        <x:v>none</x:v>
      </x:c>
      <x:c r="AI173" s="12" t="str">
        <x:f>IF(AC173="PUBLIC_CANDIDATE","archive/public_candidates/"&amp;A173,"private_quarantine/"&amp;A173)</x:f>
        <x:v>archive/public_candidates/SWARM-02-H03-S04</x:v>
      </x:c>
      <x:c r="AJ173" s="12" t="str">
        <x:f>IF(AC173="PUBLIC_CANDIDATE","public by default; still not canon","private/hold; do not publish")</x:f>
        <x:v>public by default; still not canon</x:v>
      </x:c>
      <x:c r="AK173" s="12" t="str">
        <x:f>IF(AE173="prepare_public_github_candidate","add receipt/status then mirror","resolve blocker before any public GitHub action")</x:f>
        <x:v>add receipt/status then mirror</x:v>
      </x:c>
    </x:row>
    <x:row r="174">
      <x:c r="A174" s="15" t="str">
        <x:v>SWARM-02-H03-S05</x:v>
      </x:c>
      <x:c r="B174" s="15" t="str">
        <x:v>Hashlight</x:v>
      </x:c>
      <x:c r="C174" s="15" t="str">
        <x:v>Hash and identity keeper</x:v>
      </x:c>
      <x:c r="D174" s="15" t="str">
        <x:v>Raw Export Recovery</x:v>
      </x:c>
      <x:c r="E174" s="15" t="str">
        <x:v>Chat</x:v>
      </x:c>
      <x:c r="F174" s="15" t="str">
        <x:v>Recover raw exports for Chat — Hashlight</x:v>
      </x:c>
      <x:c r="G174" s="15" t="str">
        <x:v>ids / hashes / timestamps / duplicate control</x:v>
      </x:c>
      <x:c r="H174" s="15" t="str">
        <x:v>source path + receipt + raw/export status + claim/edge/risk delta</x:v>
      </x:c>
      <x:c r="I174" s="15" t="str">
        <x:v>packet/SWARM-02-H03-S05</x:v>
      </x:c>
      <x:c r="J174" s="15" t="str">
        <x:v>TODO</x:v>
      </x:c>
      <x:c r="K174" s="15" t="str">
        <x:v>P1</x:v>
      </x:c>
      <x:c r="L174" s="15" t="str">
        <x:v>Done only when evidence is logged, contradiction search is noted, and boundary stamp remains non-canon unless ratified</x:v>
      </x:c>
      <x:c r="M174" s="15" t="str">
        <x:v>candidate / staging-only / not canon / not deployed / authority none</x:v>
      </x:c>
      <x:c r="N174" s="15" t="str">
        <x:v>Dispatch to Hashlight: complete Raw Export Recovery x Chat; return deltas only, receipts required.</x:v>
      </x:c>
      <x:c r="O174" s="15" t="str">
        <x:v>AF-KG-H03-S05</x:v>
      </x:c>
      <x:c r="P174" s="15" t="str">
        <x:v>Unverified</x:v>
      </x:c>
      <x:c r="Q174" s="15" t="str">
        <x:v>Not checked</x:v>
      </x:c>
      <x:c r="R174" s="15" t="str"/>
      <x:c r="S174" s="15" t="str"/>
      <x:c r="T174" s="15" t="str">
        <x:v>Log first source path or blocker</x:v>
      </x:c>
      <x:c r="U174" s="12" t="str">
        <x:f>IF(OR(P174="Unverified",Q174="Not checked"),"BLOCKED_PENDING_RECEIPT","READY_FOR_REVIEW")</x:f>
        <x:v>BLOCKED_PENDING_RECEIPT</x:v>
      </x:c>
      <x:c r="V174" s="12" t="str">
        <x:f>IF(J174="DONE","RETURNED",IF(U174="BLOCKED_PENDING_RECEIPT","SOURCE_TOUCH_REQUIRED","IN_PROGRESS"))</x:f>
        <x:v>SOURCE_TOUCH_REQUIRED</x:v>
      </x:c>
      <x:c r="W174" s="12" t="str">
        <x:f>IF(P174="Unverified","missing_receipt","receipt_logged")</x:f>
        <x:v>missing_receipt</x:v>
      </x:c>
      <x:c r="X174" s="12" t="str">
        <x:f>IF(Q174="Not checked","raw_status_missing","raw_status_logged")</x:f>
        <x:v>raw_status_missing</x:v>
      </x:c>
      <x:c r="Y174" s="12" t="str">
        <x:f>IF(U174="BLOCKED_PENDING_RECEIPT","Log source path or blocker; do not promote","Route to review lane")</x:f>
        <x:v>Log source path or blocker; do not promote</x:v>
      </x:c>
      <x:c r="Z174" s="12" t="str">
        <x:f>IF(K174="P0","Primary seat + Hashlight/Lucerna","Seat lane")</x:f>
        <x:v>Seat lane</x:v>
      </x:c>
      <x:c r="AA174" s="12" t="str">
        <x:f>IF(R174="","no_claim_delta","claim_delta_present")</x:f>
        <x:v>no_claim_delta</x:v>
      </x:c>
      <x:c r="AB174" s="12" t="str">
        <x:f>IF(S174="","no_contradiction_delta","contradiction_delta_present")</x:f>
        <x:v>no_contradiction_delta</x:v>
      </x:c>
      <x:c r="AC174" s="12" t="str">
        <x:f>IF(OR(ISNUMBER(SEARCH("hacker",LOWER(F174&amp;" "&amp;H174&amp;" "&amp;I174&amp;" "&amp;M174&amp;" "&amp;N174&amp;" "&amp;T174))),ISNUMBER(SEARCH("hacking",LOWER(F174&amp;" "&amp;H174&amp;" "&amp;I174&amp;" "&amp;M174&amp;" "&amp;N174&amp;" "&amp;T174))),ISNUMBER(SEARCH("bank",LOWER(F174&amp;" "&amp;H174&amp;" "&amp;I174&amp;" "&amp;M174&amp;" "&amp;N174&amp;" "&amp;T174))),ISNUMBER(SEARCH("banking",LOWER(F174&amp;" "&amp;H174&amp;" "&amp;I174&amp;" "&amp;M174&amp;" "&amp;N174&amp;" "&amp;T174)))),"PRIVATE_QUARANTINE",IF(OR(ISNUMBER(SEARCH("treasury",LOWER(F174&amp;" "&amp;H174&amp;" "&amp;I174&amp;" "&amp;M174&amp;" "&amp;N174&amp;" "&amp;T174))),ISNUMBER(SEARCH("debt",LOWER(F174&amp;" "&amp;H174&amp;" "&amp;I174&amp;" "&amp;M174&amp;" "&amp;N174&amp;" "&amp;T174))),ISNUMBER(SEARCH("bond",LOWER(F174&amp;" "&amp;H174&amp;" "&amp;I174&amp;" "&amp;M174&amp;" "&amp;N174&amp;" "&amp;T174))),ISNUMBER(SEARCH("transaction",LOWER(F174&amp;" "&amp;H174&amp;" "&amp;I174&amp;" "&amp;M174&amp;" "&amp;N174&amp;" "&amp;T174)))),"PRIVATE_REVIEW","PUBLIC_CANDIDATE"))</x:f>
        <x:v>PUBLIC_CANDIDATE</x:v>
      </x:c>
      <x:c r="AD174" s="12" t="str">
        <x:f>IF(AC174="PRIVATE_QUARANTINE","hacker_or_bank_trigger",IF(AC174="PRIVATE_REVIEW","finance_risk_trigger","none"))</x:f>
        <x:v>none</x:v>
      </x:c>
      <x:c r="AE174" s="12" t="str">
        <x:f>IF(AC174="PUBLIC_CANDIDATE","prepare_public_github_candidate",IF(AC174="PRIVATE_REVIEW","hold_for_private_review","quarantine_private_do_not_publish"))</x:f>
        <x:v>prepare_public_github_candidate</x:v>
      </x:c>
      <x:c r="AF174" s="12" t="str">
        <x:f>IF(AC174="PUBLIC_CANDIDATE","TIDELOCK + Lucerna",IF(AC174="PRIVATE_REVIEW","AtlasBrain + Lucerna","TIDELOCK + Lucerna + Human-root"))</x:f>
        <x:v>TIDELOCK + Lucerna</x:v>
      </x:c>
      <x:c r="AG174" s="12" t="str">
        <x:f>IF(AND(AC174="PUBLIC_CANDIDATE",U174&lt;&gt;"BLOCKED_PENDING_RECEIPT"),"READY_AFTER_RECEIPT","NOT_READY")</x:f>
        <x:v>NOT_READY</x:v>
      </x:c>
      <x:c r="AH174" s="12" t="str">
        <x:f>IF(AC174="PUBLIC_CANDIDATE","none",AD174)</x:f>
        <x:v>none</x:v>
      </x:c>
      <x:c r="AI174" s="12" t="str">
        <x:f>IF(AC174="PUBLIC_CANDIDATE","archive/public_candidates/"&amp;A174,"private_quarantine/"&amp;A174)</x:f>
        <x:v>archive/public_candidates/SWARM-02-H03-S05</x:v>
      </x:c>
      <x:c r="AJ174" s="12" t="str">
        <x:f>IF(AC174="PUBLIC_CANDIDATE","public by default; still not canon","private/hold; do not publish")</x:f>
        <x:v>public by default; still not canon</x:v>
      </x:c>
      <x:c r="AK174" s="12" t="str">
        <x:f>IF(AE174="prepare_public_github_candidate","add receipt/status then mirror","resolve blocker before any public GitHub action")</x:f>
        <x:v>add receipt/status then mirror</x:v>
      </x:c>
    </x:row>
    <x:row r="175">
      <x:c r="A175" s="15" t="str">
        <x:v>SWARM-02-H03-S06</x:v>
      </x:c>
      <x:c r="B175" s="15" t="str">
        <x:v>Hashlight</x:v>
      </x:c>
      <x:c r="C175" s="15" t="str">
        <x:v>Hash and identity keeper</x:v>
      </x:c>
      <x:c r="D175" s="15" t="str">
        <x:v>Raw Export Recovery</x:v>
      </x:c>
      <x:c r="E175" s="15" t="str">
        <x:v>External Web</x:v>
      </x:c>
      <x:c r="F175" s="15" t="str">
        <x:v>Recover raw exports for External Web — Hashlight</x:v>
      </x:c>
      <x:c r="G175" s="15" t="str">
        <x:v>ids / hashes / timestamps / duplicate control</x:v>
      </x:c>
      <x:c r="H175" s="15" t="str">
        <x:v>source path + receipt + raw/export status + claim/edge/risk delta</x:v>
      </x:c>
      <x:c r="I175" s="15" t="str">
        <x:v>packet/SWARM-02-H03-S06</x:v>
      </x:c>
      <x:c r="J175" s="15" t="str">
        <x:v>TODO</x:v>
      </x:c>
      <x:c r="K175" s="15" t="str">
        <x:v>P1</x:v>
      </x:c>
      <x:c r="L175" s="15" t="str">
        <x:v>Done only when evidence is logged, contradiction search is noted, and boundary stamp remains non-canon unless ratified</x:v>
      </x:c>
      <x:c r="M175" s="15" t="str">
        <x:v>candidate / staging-only / not canon / not deployed / authority none</x:v>
      </x:c>
      <x:c r="N175" s="15" t="str">
        <x:v>Dispatch to Hashlight: complete Raw Export Recovery x External Web; return deltas only, receipts required.</x:v>
      </x:c>
      <x:c r="O175" s="15" t="str">
        <x:v>AF-KG-H03-S06</x:v>
      </x:c>
      <x:c r="P175" s="15" t="str">
        <x:v>Unverified</x:v>
      </x:c>
      <x:c r="Q175" s="15" t="str">
        <x:v>Not checked</x:v>
      </x:c>
      <x:c r="R175" s="15" t="str"/>
      <x:c r="S175" s="15" t="str"/>
      <x:c r="T175" s="15" t="str">
        <x:v>Log first source path or blocker</x:v>
      </x:c>
      <x:c r="U175" s="12" t="str">
        <x:f>IF(OR(P175="Unverified",Q175="Not checked"),"BLOCKED_PENDING_RECEIPT","READY_FOR_REVIEW")</x:f>
        <x:v>BLOCKED_PENDING_RECEIPT</x:v>
      </x:c>
      <x:c r="V175" s="12" t="str">
        <x:f>IF(J175="DONE","RETURNED",IF(U175="BLOCKED_PENDING_RECEIPT","SOURCE_TOUCH_REQUIRED","IN_PROGRESS"))</x:f>
        <x:v>SOURCE_TOUCH_REQUIRED</x:v>
      </x:c>
      <x:c r="W175" s="12" t="str">
        <x:f>IF(P175="Unverified","missing_receipt","receipt_logged")</x:f>
        <x:v>missing_receipt</x:v>
      </x:c>
      <x:c r="X175" s="12" t="str">
        <x:f>IF(Q175="Not checked","raw_status_missing","raw_status_logged")</x:f>
        <x:v>raw_status_missing</x:v>
      </x:c>
      <x:c r="Y175" s="12" t="str">
        <x:f>IF(U175="BLOCKED_PENDING_RECEIPT","Log source path or blocker; do not promote","Route to review lane")</x:f>
        <x:v>Log source path or blocker; do not promote</x:v>
      </x:c>
      <x:c r="Z175" s="12" t="str">
        <x:f>IF(K175="P0","Primary seat + Hashlight/Lucerna","Seat lane")</x:f>
        <x:v>Seat lane</x:v>
      </x:c>
      <x:c r="AA175" s="12" t="str">
        <x:f>IF(R175="","no_claim_delta","claim_delta_present")</x:f>
        <x:v>no_claim_delta</x:v>
      </x:c>
      <x:c r="AB175" s="12" t="str">
        <x:f>IF(S175="","no_contradiction_delta","contradiction_delta_present")</x:f>
        <x:v>no_contradiction_delta</x:v>
      </x:c>
      <x:c r="AC175" s="12" t="str">
        <x:f>IF(OR(ISNUMBER(SEARCH("hacker",LOWER(F175&amp;" "&amp;H175&amp;" "&amp;I175&amp;" "&amp;M175&amp;" "&amp;N175&amp;" "&amp;T175))),ISNUMBER(SEARCH("hacking",LOWER(F175&amp;" "&amp;H175&amp;" "&amp;I175&amp;" "&amp;M175&amp;" "&amp;N175&amp;" "&amp;T175))),ISNUMBER(SEARCH("bank",LOWER(F175&amp;" "&amp;H175&amp;" "&amp;I175&amp;" "&amp;M175&amp;" "&amp;N175&amp;" "&amp;T175))),ISNUMBER(SEARCH("banking",LOWER(F175&amp;" "&amp;H175&amp;" "&amp;I175&amp;" "&amp;M175&amp;" "&amp;N175&amp;" "&amp;T175)))),"PRIVATE_QUARANTINE",IF(OR(ISNUMBER(SEARCH("treasury",LOWER(F175&amp;" "&amp;H175&amp;" "&amp;I175&amp;" "&amp;M175&amp;" "&amp;N175&amp;" "&amp;T175))),ISNUMBER(SEARCH("debt",LOWER(F175&amp;" "&amp;H175&amp;" "&amp;I175&amp;" "&amp;M175&amp;" "&amp;N175&amp;" "&amp;T175))),ISNUMBER(SEARCH("bond",LOWER(F175&amp;" "&amp;H175&amp;" "&amp;I175&amp;" "&amp;M175&amp;" "&amp;N175&amp;" "&amp;T175))),ISNUMBER(SEARCH("transaction",LOWER(F175&amp;" "&amp;H175&amp;" "&amp;I175&amp;" "&amp;M175&amp;" "&amp;N175&amp;" "&amp;T175)))),"PRIVATE_REVIEW","PUBLIC_CANDIDATE"))</x:f>
        <x:v>PUBLIC_CANDIDATE</x:v>
      </x:c>
      <x:c r="AD175" s="12" t="str">
        <x:f>IF(AC175="PRIVATE_QUARANTINE","hacker_or_bank_trigger",IF(AC175="PRIVATE_REVIEW","finance_risk_trigger","none"))</x:f>
        <x:v>none</x:v>
      </x:c>
      <x:c r="AE175" s="12" t="str">
        <x:f>IF(AC175="PUBLIC_CANDIDATE","prepare_public_github_candidate",IF(AC175="PRIVATE_REVIEW","hold_for_private_review","quarantine_private_do_not_publish"))</x:f>
        <x:v>prepare_public_github_candidate</x:v>
      </x:c>
      <x:c r="AF175" s="12" t="str">
        <x:f>IF(AC175="PUBLIC_CANDIDATE","TIDELOCK + Lucerna",IF(AC175="PRIVATE_REVIEW","AtlasBrain + Lucerna","TIDELOCK + Lucerna + Human-root"))</x:f>
        <x:v>TIDELOCK + Lucerna</x:v>
      </x:c>
      <x:c r="AG175" s="12" t="str">
        <x:f>IF(AND(AC175="PUBLIC_CANDIDATE",U175&lt;&gt;"BLOCKED_PENDING_RECEIPT"),"READY_AFTER_RECEIPT","NOT_READY")</x:f>
        <x:v>NOT_READY</x:v>
      </x:c>
      <x:c r="AH175" s="12" t="str">
        <x:f>IF(AC175="PUBLIC_CANDIDATE","none",AD175)</x:f>
        <x:v>none</x:v>
      </x:c>
      <x:c r="AI175" s="12" t="str">
        <x:f>IF(AC175="PUBLIC_CANDIDATE","archive/public_candidates/"&amp;A175,"private_quarantine/"&amp;A175)</x:f>
        <x:v>archive/public_candidates/SWARM-02-H03-S06</x:v>
      </x:c>
      <x:c r="AJ175" s="12" t="str">
        <x:f>IF(AC175="PUBLIC_CANDIDATE","public by default; still not canon","private/hold; do not publish")</x:f>
        <x:v>public by default; still not canon</x:v>
      </x:c>
      <x:c r="AK175" s="12" t="str">
        <x:f>IF(AE175="prepare_public_github_candidate","add receipt/status then mirror","resolve blocker before any public GitHub action")</x:f>
        <x:v>add receipt/status then mirror</x:v>
      </x:c>
    </x:row>
    <x:row r="176">
      <x:c r="A176" s="15" t="str">
        <x:v>SWARM-02-H03-S07</x:v>
      </x:c>
      <x:c r="B176" s="15" t="str">
        <x:v>Hashlight</x:v>
      </x:c>
      <x:c r="C176" s="15" t="str">
        <x:v>Hash and identity keeper</x:v>
      </x:c>
      <x:c r="D176" s="15" t="str">
        <x:v>Raw Export Recovery</x:v>
      </x:c>
      <x:c r="E176" s="15" t="str">
        <x:v>Planetarium</x:v>
      </x:c>
      <x:c r="F176" s="15" t="str">
        <x:v>Recover raw exports for Planetarium — Hashlight</x:v>
      </x:c>
      <x:c r="G176" s="15" t="str">
        <x:v>ids / hashes / timestamps / duplicate control</x:v>
      </x:c>
      <x:c r="H176" s="15" t="str">
        <x:v>source path + receipt + raw/export status + claim/edge/risk delta</x:v>
      </x:c>
      <x:c r="I176" s="15" t="str">
        <x:v>packet/SWARM-02-H03-S07</x:v>
      </x:c>
      <x:c r="J176" s="15" t="str">
        <x:v>TODO</x:v>
      </x:c>
      <x:c r="K176" s="15" t="str">
        <x:v>P1</x:v>
      </x:c>
      <x:c r="L176" s="15" t="str">
        <x:v>Done only when evidence is logged, contradiction search is noted, and boundary stamp remains non-canon unless ratified</x:v>
      </x:c>
      <x:c r="M176" s="15" t="str">
        <x:v>candidate / staging-only / not canon / not deployed / authority none</x:v>
      </x:c>
      <x:c r="N176" s="15" t="str">
        <x:v>Dispatch to Hashlight: complete Raw Export Recovery x Planetarium; return deltas only, receipts required.</x:v>
      </x:c>
      <x:c r="O176" s="15" t="str">
        <x:v>AF-KG-H03-S07</x:v>
      </x:c>
      <x:c r="P176" s="15" t="str">
        <x:v>Unverified</x:v>
      </x:c>
      <x:c r="Q176" s="15" t="str">
        <x:v>Not checked</x:v>
      </x:c>
      <x:c r="R176" s="15" t="str"/>
      <x:c r="S176" s="15" t="str"/>
      <x:c r="T176" s="15" t="str">
        <x:v>Log first source path or blocker</x:v>
      </x:c>
      <x:c r="U176" s="12" t="str">
        <x:f>IF(OR(P176="Unverified",Q176="Not checked"),"BLOCKED_PENDING_RECEIPT","READY_FOR_REVIEW")</x:f>
        <x:v>BLOCKED_PENDING_RECEIPT</x:v>
      </x:c>
      <x:c r="V176" s="12" t="str">
        <x:f>IF(J176="DONE","RETURNED",IF(U176="BLOCKED_PENDING_RECEIPT","SOURCE_TOUCH_REQUIRED","IN_PROGRESS"))</x:f>
        <x:v>SOURCE_TOUCH_REQUIRED</x:v>
      </x:c>
      <x:c r="W176" s="12" t="str">
        <x:f>IF(P176="Unverified","missing_receipt","receipt_logged")</x:f>
        <x:v>missing_receipt</x:v>
      </x:c>
      <x:c r="X176" s="12" t="str">
        <x:f>IF(Q176="Not checked","raw_status_missing","raw_status_logged")</x:f>
        <x:v>raw_status_missing</x:v>
      </x:c>
      <x:c r="Y176" s="12" t="str">
        <x:f>IF(U176="BLOCKED_PENDING_RECEIPT","Log source path or blocker; do not promote","Route to review lane")</x:f>
        <x:v>Log source path or blocker; do not promote</x:v>
      </x:c>
      <x:c r="Z176" s="12" t="str">
        <x:f>IF(K176="P0","Primary seat + Hashlight/Lucerna","Seat lane")</x:f>
        <x:v>Seat lane</x:v>
      </x:c>
      <x:c r="AA176" s="12" t="str">
        <x:f>IF(R176="","no_claim_delta","claim_delta_present")</x:f>
        <x:v>no_claim_delta</x:v>
      </x:c>
      <x:c r="AB176" s="12" t="str">
        <x:f>IF(S176="","no_contradiction_delta","contradiction_delta_present")</x:f>
        <x:v>no_contradiction_delta</x:v>
      </x:c>
      <x:c r="AC176" s="12" t="str">
        <x:f>IF(OR(ISNUMBER(SEARCH("hacker",LOWER(F176&amp;" "&amp;H176&amp;" "&amp;I176&amp;" "&amp;M176&amp;" "&amp;N176&amp;" "&amp;T176))),ISNUMBER(SEARCH("hacking",LOWER(F176&amp;" "&amp;H176&amp;" "&amp;I176&amp;" "&amp;M176&amp;" "&amp;N176&amp;" "&amp;T176))),ISNUMBER(SEARCH("bank",LOWER(F176&amp;" "&amp;H176&amp;" "&amp;I176&amp;" "&amp;M176&amp;" "&amp;N176&amp;" "&amp;T176))),ISNUMBER(SEARCH("banking",LOWER(F176&amp;" "&amp;H176&amp;" "&amp;I176&amp;" "&amp;M176&amp;" "&amp;N176&amp;" "&amp;T176)))),"PRIVATE_QUARANTINE",IF(OR(ISNUMBER(SEARCH("treasury",LOWER(F176&amp;" "&amp;H176&amp;" "&amp;I176&amp;" "&amp;M176&amp;" "&amp;N176&amp;" "&amp;T176))),ISNUMBER(SEARCH("debt",LOWER(F176&amp;" "&amp;H176&amp;" "&amp;I176&amp;" "&amp;M176&amp;" "&amp;N176&amp;" "&amp;T176))),ISNUMBER(SEARCH("bond",LOWER(F176&amp;" "&amp;H176&amp;" "&amp;I176&amp;" "&amp;M176&amp;" "&amp;N176&amp;" "&amp;T176))),ISNUMBER(SEARCH("transaction",LOWER(F176&amp;" "&amp;H176&amp;" "&amp;I176&amp;" "&amp;M176&amp;" "&amp;N176&amp;" "&amp;T176)))),"PRIVATE_REVIEW","PUBLIC_CANDIDATE"))</x:f>
        <x:v>PUBLIC_CANDIDATE</x:v>
      </x:c>
      <x:c r="AD176" s="12" t="str">
        <x:f>IF(AC176="PRIVATE_QUARANTINE","hacker_or_bank_trigger",IF(AC176="PRIVATE_REVIEW","finance_risk_trigger","none"))</x:f>
        <x:v>none</x:v>
      </x:c>
      <x:c r="AE176" s="12" t="str">
        <x:f>IF(AC176="PUBLIC_CANDIDATE","prepare_public_github_candidate",IF(AC176="PRIVATE_REVIEW","hold_for_private_review","quarantine_private_do_not_publish"))</x:f>
        <x:v>prepare_public_github_candidate</x:v>
      </x:c>
      <x:c r="AF176" s="12" t="str">
        <x:f>IF(AC176="PUBLIC_CANDIDATE","TIDELOCK + Lucerna",IF(AC176="PRIVATE_REVIEW","AtlasBrain + Lucerna","TIDELOCK + Lucerna + Human-root"))</x:f>
        <x:v>TIDELOCK + Lucerna</x:v>
      </x:c>
      <x:c r="AG176" s="12" t="str">
        <x:f>IF(AND(AC176="PUBLIC_CANDIDATE",U176&lt;&gt;"BLOCKED_PENDING_RECEIPT"),"READY_AFTER_RECEIPT","NOT_READY")</x:f>
        <x:v>NOT_READY</x:v>
      </x:c>
      <x:c r="AH176" s="12" t="str">
        <x:f>IF(AC176="PUBLIC_CANDIDATE","none",AD176)</x:f>
        <x:v>none</x:v>
      </x:c>
      <x:c r="AI176" s="12" t="str">
        <x:f>IF(AC176="PUBLIC_CANDIDATE","archive/public_candidates/"&amp;A176,"private_quarantine/"&amp;A176)</x:f>
        <x:v>archive/public_candidates/SWARM-02-H03-S07</x:v>
      </x:c>
      <x:c r="AJ176" s="12" t="str">
        <x:f>IF(AC176="PUBLIC_CANDIDATE","public by default; still not canon","private/hold; do not publish")</x:f>
        <x:v>public by default; still not canon</x:v>
      </x:c>
      <x:c r="AK176" s="12" t="str">
        <x:f>IF(AE176="prepare_public_github_candidate","add receipt/status then mirror","resolve blocker before any public GitHub action")</x:f>
        <x:v>add receipt/status then mirror</x:v>
      </x:c>
    </x:row>
    <x:row r="177">
      <x:c r="A177" s="15" t="str">
        <x:v>SWARM-02-H03-S08</x:v>
      </x:c>
      <x:c r="B177" s="15" t="str">
        <x:v>Hashlight</x:v>
      </x:c>
      <x:c r="C177" s="15" t="str">
        <x:v>Hash and identity keeper</x:v>
      </x:c>
      <x:c r="D177" s="15" t="str">
        <x:v>Raw Export Recovery</x:v>
      </x:c>
      <x:c r="E177" s="15" t="str">
        <x:v>Sheldonbrain</x:v>
      </x:c>
      <x:c r="F177" s="15" t="str">
        <x:v>Recover raw exports for Sheldonbrain — Hashlight</x:v>
      </x:c>
      <x:c r="G177" s="15" t="str">
        <x:v>ids / hashes / timestamps / duplicate control</x:v>
      </x:c>
      <x:c r="H177" s="15" t="str">
        <x:v>source path + receipt + raw/export status + claim/edge/risk delta</x:v>
      </x:c>
      <x:c r="I177" s="15" t="str">
        <x:v>packet/SWARM-02-H03-S08</x:v>
      </x:c>
      <x:c r="J177" s="15" t="str">
        <x:v>TODO</x:v>
      </x:c>
      <x:c r="K177" s="15" t="str">
        <x:v>P1</x:v>
      </x:c>
      <x:c r="L177" s="15" t="str">
        <x:v>Done only when evidence is logged, contradiction search is noted, and boundary stamp remains non-canon unless ratified</x:v>
      </x:c>
      <x:c r="M177" s="15" t="str">
        <x:v>candidate / staging-only / not canon / not deployed / authority none</x:v>
      </x:c>
      <x:c r="N177" s="15" t="str">
        <x:v>Dispatch to Hashlight: complete Raw Export Recovery x Sheldonbrain; return deltas only, receipts required.</x:v>
      </x:c>
      <x:c r="O177" s="15" t="str">
        <x:v>AF-KG-H03-S08</x:v>
      </x:c>
      <x:c r="P177" s="15" t="str">
        <x:v>Unverified</x:v>
      </x:c>
      <x:c r="Q177" s="15" t="str">
        <x:v>Not checked</x:v>
      </x:c>
      <x:c r="R177" s="15" t="str"/>
      <x:c r="S177" s="15" t="str"/>
      <x:c r="T177" s="15" t="str">
        <x:v>Log first source path or blocker</x:v>
      </x:c>
      <x:c r="U177" s="12" t="str">
        <x:f>IF(OR(P177="Unverified",Q177="Not checked"),"BLOCKED_PENDING_RECEIPT","READY_FOR_REVIEW")</x:f>
        <x:v>BLOCKED_PENDING_RECEIPT</x:v>
      </x:c>
      <x:c r="V177" s="12" t="str">
        <x:f>IF(J177="DONE","RETURNED",IF(U177="BLOCKED_PENDING_RECEIPT","SOURCE_TOUCH_REQUIRED","IN_PROGRESS"))</x:f>
        <x:v>SOURCE_TOUCH_REQUIRED</x:v>
      </x:c>
      <x:c r="W177" s="12" t="str">
        <x:f>IF(P177="Unverified","missing_receipt","receipt_logged")</x:f>
        <x:v>missing_receipt</x:v>
      </x:c>
      <x:c r="X177" s="12" t="str">
        <x:f>IF(Q177="Not checked","raw_status_missing","raw_status_logged")</x:f>
        <x:v>raw_status_missing</x:v>
      </x:c>
      <x:c r="Y177" s="12" t="str">
        <x:f>IF(U177="BLOCKED_PENDING_RECEIPT","Log source path or blocker; do not promote","Route to review lane")</x:f>
        <x:v>Log source path or blocker; do not promote</x:v>
      </x:c>
      <x:c r="Z177" s="12" t="str">
        <x:f>IF(K177="P0","Primary seat + Hashlight/Lucerna","Seat lane")</x:f>
        <x:v>Seat lane</x:v>
      </x:c>
      <x:c r="AA177" s="12" t="str">
        <x:f>IF(R177="","no_claim_delta","claim_delta_present")</x:f>
        <x:v>no_claim_delta</x:v>
      </x:c>
      <x:c r="AB177" s="12" t="str">
        <x:f>IF(S177="","no_contradiction_delta","contradiction_delta_present")</x:f>
        <x:v>no_contradiction_delta</x:v>
      </x:c>
      <x:c r="AC177" s="12" t="str">
        <x:f>IF(OR(ISNUMBER(SEARCH("hacker",LOWER(F177&amp;" "&amp;H177&amp;" "&amp;I177&amp;" "&amp;M177&amp;" "&amp;N177&amp;" "&amp;T177))),ISNUMBER(SEARCH("hacking",LOWER(F177&amp;" "&amp;H177&amp;" "&amp;I177&amp;" "&amp;M177&amp;" "&amp;N177&amp;" "&amp;T177))),ISNUMBER(SEARCH("bank",LOWER(F177&amp;" "&amp;H177&amp;" "&amp;I177&amp;" "&amp;M177&amp;" "&amp;N177&amp;" "&amp;T177))),ISNUMBER(SEARCH("banking",LOWER(F177&amp;" "&amp;H177&amp;" "&amp;I177&amp;" "&amp;M177&amp;" "&amp;N177&amp;" "&amp;T177)))),"PRIVATE_QUARANTINE",IF(OR(ISNUMBER(SEARCH("treasury",LOWER(F177&amp;" "&amp;H177&amp;" "&amp;I177&amp;" "&amp;M177&amp;" "&amp;N177&amp;" "&amp;T177))),ISNUMBER(SEARCH("debt",LOWER(F177&amp;" "&amp;H177&amp;" "&amp;I177&amp;" "&amp;M177&amp;" "&amp;N177&amp;" "&amp;T177))),ISNUMBER(SEARCH("bond",LOWER(F177&amp;" "&amp;H177&amp;" "&amp;I177&amp;" "&amp;M177&amp;" "&amp;N177&amp;" "&amp;T177))),ISNUMBER(SEARCH("transaction",LOWER(F177&amp;" "&amp;H177&amp;" "&amp;I177&amp;" "&amp;M177&amp;" "&amp;N177&amp;" "&amp;T177)))),"PRIVATE_REVIEW","PUBLIC_CANDIDATE"))</x:f>
        <x:v>PUBLIC_CANDIDATE</x:v>
      </x:c>
      <x:c r="AD177" s="12" t="str">
        <x:f>IF(AC177="PRIVATE_QUARANTINE","hacker_or_bank_trigger",IF(AC177="PRIVATE_REVIEW","finance_risk_trigger","none"))</x:f>
        <x:v>none</x:v>
      </x:c>
      <x:c r="AE177" s="12" t="str">
        <x:f>IF(AC177="PUBLIC_CANDIDATE","prepare_public_github_candidate",IF(AC177="PRIVATE_REVIEW","hold_for_private_review","quarantine_private_do_not_publish"))</x:f>
        <x:v>prepare_public_github_candidate</x:v>
      </x:c>
      <x:c r="AF177" s="12" t="str">
        <x:f>IF(AC177="PUBLIC_CANDIDATE","TIDELOCK + Lucerna",IF(AC177="PRIVATE_REVIEW","AtlasBrain + Lucerna","TIDELOCK + Lucerna + Human-root"))</x:f>
        <x:v>TIDELOCK + Lucerna</x:v>
      </x:c>
      <x:c r="AG177" s="12" t="str">
        <x:f>IF(AND(AC177="PUBLIC_CANDIDATE",U177&lt;&gt;"BLOCKED_PENDING_RECEIPT"),"READY_AFTER_RECEIPT","NOT_READY")</x:f>
        <x:v>NOT_READY</x:v>
      </x:c>
      <x:c r="AH177" s="12" t="str">
        <x:f>IF(AC177="PUBLIC_CANDIDATE","none",AD177)</x:f>
        <x:v>none</x:v>
      </x:c>
      <x:c r="AI177" s="12" t="str">
        <x:f>IF(AC177="PUBLIC_CANDIDATE","archive/public_candidates/"&amp;A177,"private_quarantine/"&amp;A177)</x:f>
        <x:v>archive/public_candidates/SWARM-02-H03-S08</x:v>
      </x:c>
      <x:c r="AJ177" s="12" t="str">
        <x:f>IF(AC177="PUBLIC_CANDIDATE","public by default; still not canon","private/hold; do not publish")</x:f>
        <x:v>public by default; still not canon</x:v>
      </x:c>
      <x:c r="AK177" s="12" t="str">
        <x:f>IF(AE177="prepare_public_github_candidate","add receipt/status then mirror","resolve blocker before any public GitHub action")</x:f>
        <x:v>add receipt/status then mirror</x:v>
      </x:c>
    </x:row>
    <x:row r="178">
      <x:c r="A178" s="15" t="str">
        <x:v>SWARM-02-H03-S09</x:v>
      </x:c>
      <x:c r="B178" s="15" t="str">
        <x:v>Hashlight</x:v>
      </x:c>
      <x:c r="C178" s="15" t="str">
        <x:v>Hash and identity keeper</x:v>
      </x:c>
      <x:c r="D178" s="15" t="str">
        <x:v>Raw Export Recovery</x:v>
      </x:c>
      <x:c r="E178" s="15" t="str">
        <x:v>Aetherforge</x:v>
      </x:c>
      <x:c r="F178" s="15" t="str">
        <x:v>Recover raw exports for Aetherforge — Hashlight</x:v>
      </x:c>
      <x:c r="G178" s="15" t="str">
        <x:v>ids / hashes / timestamps / duplicate control</x:v>
      </x:c>
      <x:c r="H178" s="15" t="str">
        <x:v>source path + receipt + raw/export status + claim/edge/risk delta</x:v>
      </x:c>
      <x:c r="I178" s="15" t="str">
        <x:v>packet/SWARM-02-H03-S09</x:v>
      </x:c>
      <x:c r="J178" s="15" t="str">
        <x:v>TODO</x:v>
      </x:c>
      <x:c r="K178" s="15" t="str">
        <x:v>P2</x:v>
      </x:c>
      <x:c r="L178" s="15" t="str">
        <x:v>Done only when evidence is logged, contradiction search is noted, and boundary stamp remains non-canon unless ratified</x:v>
      </x:c>
      <x:c r="M178" s="15" t="str">
        <x:v>candidate / staging-only / not canon / not deployed / authority none</x:v>
      </x:c>
      <x:c r="N178" s="15" t="str">
        <x:v>Dispatch to Hashlight: complete Raw Export Recovery x Aetherforge; return deltas only, receipts required.</x:v>
      </x:c>
      <x:c r="O178" s="15" t="str">
        <x:v>AF-KG-H03-S09</x:v>
      </x:c>
      <x:c r="P178" s="15" t="str">
        <x:v>Unverified</x:v>
      </x:c>
      <x:c r="Q178" s="15" t="str">
        <x:v>Not checked</x:v>
      </x:c>
      <x:c r="R178" s="15" t="str"/>
      <x:c r="S178" s="15" t="str"/>
      <x:c r="T178" s="15" t="str">
        <x:v>Log first source path or blocker</x:v>
      </x:c>
      <x:c r="U178" s="12" t="str">
        <x:f>IF(OR(P178="Unverified",Q178="Not checked"),"BLOCKED_PENDING_RECEIPT","READY_FOR_REVIEW")</x:f>
        <x:v>BLOCKED_PENDING_RECEIPT</x:v>
      </x:c>
      <x:c r="V178" s="12" t="str">
        <x:f>IF(J178="DONE","RETURNED",IF(U178="BLOCKED_PENDING_RECEIPT","SOURCE_TOUCH_REQUIRED","IN_PROGRESS"))</x:f>
        <x:v>SOURCE_TOUCH_REQUIRED</x:v>
      </x:c>
      <x:c r="W178" s="12" t="str">
        <x:f>IF(P178="Unverified","missing_receipt","receipt_logged")</x:f>
        <x:v>missing_receipt</x:v>
      </x:c>
      <x:c r="X178" s="12" t="str">
        <x:f>IF(Q178="Not checked","raw_status_missing","raw_status_logged")</x:f>
        <x:v>raw_status_missing</x:v>
      </x:c>
      <x:c r="Y178" s="12" t="str">
        <x:f>IF(U178="BLOCKED_PENDING_RECEIPT","Log source path or blocker; do not promote","Route to review lane")</x:f>
        <x:v>Log source path or blocker; do not promote</x:v>
      </x:c>
      <x:c r="Z178" s="12" t="str">
        <x:f>IF(K178="P0","Primary seat + Hashlight/Lucerna","Seat lane")</x:f>
        <x:v>Seat lane</x:v>
      </x:c>
      <x:c r="AA178" s="12" t="str">
        <x:f>IF(R178="","no_claim_delta","claim_delta_present")</x:f>
        <x:v>no_claim_delta</x:v>
      </x:c>
      <x:c r="AB178" s="12" t="str">
        <x:f>IF(S178="","no_contradiction_delta","contradiction_delta_present")</x:f>
        <x:v>no_contradiction_delta</x:v>
      </x:c>
      <x:c r="AC178" s="12" t="str">
        <x:f>IF(OR(ISNUMBER(SEARCH("hacker",LOWER(F178&amp;" "&amp;H178&amp;" "&amp;I178&amp;" "&amp;M178&amp;" "&amp;N178&amp;" "&amp;T178))),ISNUMBER(SEARCH("hacking",LOWER(F178&amp;" "&amp;H178&amp;" "&amp;I178&amp;" "&amp;M178&amp;" "&amp;N178&amp;" "&amp;T178))),ISNUMBER(SEARCH("bank",LOWER(F178&amp;" "&amp;H178&amp;" "&amp;I178&amp;" "&amp;M178&amp;" "&amp;N178&amp;" "&amp;T178))),ISNUMBER(SEARCH("banking",LOWER(F178&amp;" "&amp;H178&amp;" "&amp;I178&amp;" "&amp;M178&amp;" "&amp;N178&amp;" "&amp;T178)))),"PRIVATE_QUARANTINE",IF(OR(ISNUMBER(SEARCH("treasury",LOWER(F178&amp;" "&amp;H178&amp;" "&amp;I178&amp;" "&amp;M178&amp;" "&amp;N178&amp;" "&amp;T178))),ISNUMBER(SEARCH("debt",LOWER(F178&amp;" "&amp;H178&amp;" "&amp;I178&amp;" "&amp;M178&amp;" "&amp;N178&amp;" "&amp;T178))),ISNUMBER(SEARCH("bond",LOWER(F178&amp;" "&amp;H178&amp;" "&amp;I178&amp;" "&amp;M178&amp;" "&amp;N178&amp;" "&amp;T178))),ISNUMBER(SEARCH("transaction",LOWER(F178&amp;" "&amp;H178&amp;" "&amp;I178&amp;" "&amp;M178&amp;" "&amp;N178&amp;" "&amp;T178)))),"PRIVATE_REVIEW","PUBLIC_CANDIDATE"))</x:f>
        <x:v>PUBLIC_CANDIDATE</x:v>
      </x:c>
      <x:c r="AD178" s="12" t="str">
        <x:f>IF(AC178="PRIVATE_QUARANTINE","hacker_or_bank_trigger",IF(AC178="PRIVATE_REVIEW","finance_risk_trigger","none"))</x:f>
        <x:v>none</x:v>
      </x:c>
      <x:c r="AE178" s="12" t="str">
        <x:f>IF(AC178="PUBLIC_CANDIDATE","prepare_public_github_candidate",IF(AC178="PRIVATE_REVIEW","hold_for_private_review","quarantine_private_do_not_publish"))</x:f>
        <x:v>prepare_public_github_candidate</x:v>
      </x:c>
      <x:c r="AF178" s="12" t="str">
        <x:f>IF(AC178="PUBLIC_CANDIDATE","TIDELOCK + Lucerna",IF(AC178="PRIVATE_REVIEW","AtlasBrain + Lucerna","TIDELOCK + Lucerna + Human-root"))</x:f>
        <x:v>TIDELOCK + Lucerna</x:v>
      </x:c>
      <x:c r="AG178" s="12" t="str">
        <x:f>IF(AND(AC178="PUBLIC_CANDIDATE",U178&lt;&gt;"BLOCKED_PENDING_RECEIPT"),"READY_AFTER_RECEIPT","NOT_READY")</x:f>
        <x:v>NOT_READY</x:v>
      </x:c>
      <x:c r="AH178" s="12" t="str">
        <x:f>IF(AC178="PUBLIC_CANDIDATE","none",AD178)</x:f>
        <x:v>none</x:v>
      </x:c>
      <x:c r="AI178" s="12" t="str">
        <x:f>IF(AC178="PUBLIC_CANDIDATE","archive/public_candidates/"&amp;A178,"private_quarantine/"&amp;A178)</x:f>
        <x:v>archive/public_candidates/SWARM-02-H03-S09</x:v>
      </x:c>
      <x:c r="AJ178" s="12" t="str">
        <x:f>IF(AC178="PUBLIC_CANDIDATE","public by default; still not canon","private/hold; do not publish")</x:f>
        <x:v>public by default; still not canon</x:v>
      </x:c>
      <x:c r="AK178" s="12" t="str">
        <x:f>IF(AE178="prepare_public_github_candidate","add receipt/status then mirror","resolve blocker before any public GitHub action")</x:f>
        <x:v>add receipt/status then mirror</x:v>
      </x:c>
    </x:row>
    <x:row r="179">
      <x:c r="A179" s="15" t="str">
        <x:v>SWARM-02-H03-S10</x:v>
      </x:c>
      <x:c r="B179" s="15" t="str">
        <x:v>Hashlight</x:v>
      </x:c>
      <x:c r="C179" s="15" t="str">
        <x:v>Hash and identity keeper</x:v>
      </x:c>
      <x:c r="D179" s="15" t="str">
        <x:v>Raw Export Recovery</x:v>
      </x:c>
      <x:c r="E179" s="15" t="str">
        <x:v>Human-Root</x:v>
      </x:c>
      <x:c r="F179" s="15" t="str">
        <x:v>Recover raw exports for Human-Root — Hashlight</x:v>
      </x:c>
      <x:c r="G179" s="15" t="str">
        <x:v>ids / hashes / timestamps / duplicate control</x:v>
      </x:c>
      <x:c r="H179" s="15" t="str">
        <x:v>source path + receipt + raw/export status + claim/edge/risk delta</x:v>
      </x:c>
      <x:c r="I179" s="15" t="str">
        <x:v>packet/SWARM-02-H03-S10</x:v>
      </x:c>
      <x:c r="J179" s="15" t="str">
        <x:v>TODO</x:v>
      </x:c>
      <x:c r="K179" s="15" t="str">
        <x:v>P2</x:v>
      </x:c>
      <x:c r="L179" s="15" t="str">
        <x:v>Done only when evidence is logged, contradiction search is noted, and boundary stamp remains non-canon unless ratified</x:v>
      </x:c>
      <x:c r="M179" s="15" t="str">
        <x:v>candidate / staging-only / not canon / not deployed / authority none</x:v>
      </x:c>
      <x:c r="N179" s="15" t="str">
        <x:v>Dispatch to Hashlight: complete Raw Export Recovery x Human-Root; return deltas only, receipts required.</x:v>
      </x:c>
      <x:c r="O179" s="15" t="str">
        <x:v>AF-KG-H03-S10</x:v>
      </x:c>
      <x:c r="P179" s="15" t="str">
        <x:v>Unverified</x:v>
      </x:c>
      <x:c r="Q179" s="15" t="str">
        <x:v>Not checked</x:v>
      </x:c>
      <x:c r="R179" s="15" t="str"/>
      <x:c r="S179" s="15" t="str"/>
      <x:c r="T179" s="15" t="str">
        <x:v>Log first source path or blocker</x:v>
      </x:c>
      <x:c r="U179" s="12" t="str">
        <x:f>IF(OR(P179="Unverified",Q179="Not checked"),"BLOCKED_PENDING_RECEIPT","READY_FOR_REVIEW")</x:f>
        <x:v>BLOCKED_PENDING_RECEIPT</x:v>
      </x:c>
      <x:c r="V179" s="12" t="str">
        <x:f>IF(J179="DONE","RETURNED",IF(U179="BLOCKED_PENDING_RECEIPT","SOURCE_TOUCH_REQUIRED","IN_PROGRESS"))</x:f>
        <x:v>SOURCE_TOUCH_REQUIRED</x:v>
      </x:c>
      <x:c r="W179" s="12" t="str">
        <x:f>IF(P179="Unverified","missing_receipt","receipt_logged")</x:f>
        <x:v>missing_receipt</x:v>
      </x:c>
      <x:c r="X179" s="12" t="str">
        <x:f>IF(Q179="Not checked","raw_status_missing","raw_status_logged")</x:f>
        <x:v>raw_status_missing</x:v>
      </x:c>
      <x:c r="Y179" s="12" t="str">
        <x:f>IF(U179="BLOCKED_PENDING_RECEIPT","Log source path or blocker; do not promote","Route to review lane")</x:f>
        <x:v>Log source path or blocker; do not promote</x:v>
      </x:c>
      <x:c r="Z179" s="12" t="str">
        <x:f>IF(K179="P0","Primary seat + Hashlight/Lucerna","Seat lane")</x:f>
        <x:v>Seat lane</x:v>
      </x:c>
      <x:c r="AA179" s="12" t="str">
        <x:f>IF(R179="","no_claim_delta","claim_delta_present")</x:f>
        <x:v>no_claim_delta</x:v>
      </x:c>
      <x:c r="AB179" s="12" t="str">
        <x:f>IF(S179="","no_contradiction_delta","contradiction_delta_present")</x:f>
        <x:v>no_contradiction_delta</x:v>
      </x:c>
      <x:c r="AC179" s="12" t="str">
        <x:f>IF(OR(ISNUMBER(SEARCH("hacker",LOWER(F179&amp;" "&amp;H179&amp;" "&amp;I179&amp;" "&amp;M179&amp;" "&amp;N179&amp;" "&amp;T179))),ISNUMBER(SEARCH("hacking",LOWER(F179&amp;" "&amp;H179&amp;" "&amp;I179&amp;" "&amp;M179&amp;" "&amp;N179&amp;" "&amp;T179))),ISNUMBER(SEARCH("bank",LOWER(F179&amp;" "&amp;H179&amp;" "&amp;I179&amp;" "&amp;M179&amp;" "&amp;N179&amp;" "&amp;T179))),ISNUMBER(SEARCH("banking",LOWER(F179&amp;" "&amp;H179&amp;" "&amp;I179&amp;" "&amp;M179&amp;" "&amp;N179&amp;" "&amp;T179)))),"PRIVATE_QUARANTINE",IF(OR(ISNUMBER(SEARCH("treasury",LOWER(F179&amp;" "&amp;H179&amp;" "&amp;I179&amp;" "&amp;M179&amp;" "&amp;N179&amp;" "&amp;T179))),ISNUMBER(SEARCH("debt",LOWER(F179&amp;" "&amp;H179&amp;" "&amp;I179&amp;" "&amp;M179&amp;" "&amp;N179&amp;" "&amp;T179))),ISNUMBER(SEARCH("bond",LOWER(F179&amp;" "&amp;H179&amp;" "&amp;I179&amp;" "&amp;M179&amp;" "&amp;N179&amp;" "&amp;T179))),ISNUMBER(SEARCH("transaction",LOWER(F179&amp;" "&amp;H179&amp;" "&amp;I179&amp;" "&amp;M179&amp;" "&amp;N179&amp;" "&amp;T179)))),"PRIVATE_REVIEW","PUBLIC_CANDIDATE"))</x:f>
        <x:v>PUBLIC_CANDIDATE</x:v>
      </x:c>
      <x:c r="AD179" s="12" t="str">
        <x:f>IF(AC179="PRIVATE_QUARANTINE","hacker_or_bank_trigger",IF(AC179="PRIVATE_REVIEW","finance_risk_trigger","none"))</x:f>
        <x:v>none</x:v>
      </x:c>
      <x:c r="AE179" s="12" t="str">
        <x:f>IF(AC179="PUBLIC_CANDIDATE","prepare_public_github_candidate",IF(AC179="PRIVATE_REVIEW","hold_for_private_review","quarantine_private_do_not_publish"))</x:f>
        <x:v>prepare_public_github_candidate</x:v>
      </x:c>
      <x:c r="AF179" s="12" t="str">
        <x:f>IF(AC179="PUBLIC_CANDIDATE","TIDELOCK + Lucerna",IF(AC179="PRIVATE_REVIEW","AtlasBrain + Lucerna","TIDELOCK + Lucerna + Human-root"))</x:f>
        <x:v>TIDELOCK + Lucerna</x:v>
      </x:c>
      <x:c r="AG179" s="12" t="str">
        <x:f>IF(AND(AC179="PUBLIC_CANDIDATE",U179&lt;&gt;"BLOCKED_PENDING_RECEIPT"),"READY_AFTER_RECEIPT","NOT_READY")</x:f>
        <x:v>NOT_READY</x:v>
      </x:c>
      <x:c r="AH179" s="12" t="str">
        <x:f>IF(AC179="PUBLIC_CANDIDATE","none",AD179)</x:f>
        <x:v>none</x:v>
      </x:c>
      <x:c r="AI179" s="12" t="str">
        <x:f>IF(AC179="PUBLIC_CANDIDATE","archive/public_candidates/"&amp;A179,"private_quarantine/"&amp;A179)</x:f>
        <x:v>archive/public_candidates/SWARM-02-H03-S10</x:v>
      </x:c>
      <x:c r="AJ179" s="12" t="str">
        <x:f>IF(AC179="PUBLIC_CANDIDATE","public by default; still not canon","private/hold; do not publish")</x:f>
        <x:v>public by default; still not canon</x:v>
      </x:c>
      <x:c r="AK179" s="12" t="str">
        <x:f>IF(AE179="prepare_public_github_candidate","add receipt/status then mirror","resolve blocker before any public GitHub action")</x:f>
        <x:v>add receipt/status then mirror</x:v>
      </x:c>
    </x:row>
    <x:row r="180">
      <x:c r="A180" s="15" t="str">
        <x:v>SWARM-02-H03-S11</x:v>
      </x:c>
      <x:c r="B180" s="15" t="str">
        <x:v>Hashlight</x:v>
      </x:c>
      <x:c r="C180" s="15" t="str">
        <x:v>Hash and identity keeper</x:v>
      </x:c>
      <x:c r="D180" s="15" t="str">
        <x:v>Raw Export Recovery</x:v>
      </x:c>
      <x:c r="E180" s="15" t="str">
        <x:v>Automation</x:v>
      </x:c>
      <x:c r="F180" s="15" t="str">
        <x:v>Recover raw exports for Automation — Hashlight</x:v>
      </x:c>
      <x:c r="G180" s="15" t="str">
        <x:v>ids / hashes / timestamps / duplicate control</x:v>
      </x:c>
      <x:c r="H180" s="15" t="str">
        <x:v>source path + receipt + raw/export status + claim/edge/risk delta</x:v>
      </x:c>
      <x:c r="I180" s="15" t="str">
        <x:v>packet/SWARM-02-H03-S11</x:v>
      </x:c>
      <x:c r="J180" s="15" t="str">
        <x:v>TODO</x:v>
      </x:c>
      <x:c r="K180" s="15" t="str">
        <x:v>P2</x:v>
      </x:c>
      <x:c r="L180" s="15" t="str">
        <x:v>Done only when evidence is logged, contradiction search is noted, and boundary stamp remains non-canon unless ratified</x:v>
      </x:c>
      <x:c r="M180" s="15" t="str">
        <x:v>candidate / staging-only / not canon / not deployed / authority none</x:v>
      </x:c>
      <x:c r="N180" s="15" t="str">
        <x:v>Dispatch to Hashlight: complete Raw Export Recovery x Automation; return deltas only, receipts required.</x:v>
      </x:c>
      <x:c r="O180" s="15" t="str">
        <x:v>AF-KG-H03-S11</x:v>
      </x:c>
      <x:c r="P180" s="15" t="str">
        <x:v>Unverified</x:v>
      </x:c>
      <x:c r="Q180" s="15" t="str">
        <x:v>Not checked</x:v>
      </x:c>
      <x:c r="R180" s="15" t="str"/>
      <x:c r="S180" s="15" t="str"/>
      <x:c r="T180" s="15" t="str">
        <x:v>Log first source path or blocker</x:v>
      </x:c>
      <x:c r="U180" s="12" t="str">
        <x:f>IF(OR(P180="Unverified",Q180="Not checked"),"BLOCKED_PENDING_RECEIPT","READY_FOR_REVIEW")</x:f>
        <x:v>BLOCKED_PENDING_RECEIPT</x:v>
      </x:c>
      <x:c r="V180" s="12" t="str">
        <x:f>IF(J180="DONE","RETURNED",IF(U180="BLOCKED_PENDING_RECEIPT","SOURCE_TOUCH_REQUIRED","IN_PROGRESS"))</x:f>
        <x:v>SOURCE_TOUCH_REQUIRED</x:v>
      </x:c>
      <x:c r="W180" s="12" t="str">
        <x:f>IF(P180="Unverified","missing_receipt","receipt_logged")</x:f>
        <x:v>missing_receipt</x:v>
      </x:c>
      <x:c r="X180" s="12" t="str">
        <x:f>IF(Q180="Not checked","raw_status_missing","raw_status_logged")</x:f>
        <x:v>raw_status_missing</x:v>
      </x:c>
      <x:c r="Y180" s="12" t="str">
        <x:f>IF(U180="BLOCKED_PENDING_RECEIPT","Log source path or blocker; do not promote","Route to review lane")</x:f>
        <x:v>Log source path or blocker; do not promote</x:v>
      </x:c>
      <x:c r="Z180" s="12" t="str">
        <x:f>IF(K180="P0","Primary seat + Hashlight/Lucerna","Seat lane")</x:f>
        <x:v>Seat lane</x:v>
      </x:c>
      <x:c r="AA180" s="12" t="str">
        <x:f>IF(R180="","no_claim_delta","claim_delta_present")</x:f>
        <x:v>no_claim_delta</x:v>
      </x:c>
      <x:c r="AB180" s="12" t="str">
        <x:f>IF(S180="","no_contradiction_delta","contradiction_delta_present")</x:f>
        <x:v>no_contradiction_delta</x:v>
      </x:c>
      <x:c r="AC180" s="12" t="str">
        <x:f>IF(OR(ISNUMBER(SEARCH("hacker",LOWER(F180&amp;" "&amp;H180&amp;" "&amp;I180&amp;" "&amp;M180&amp;" "&amp;N180&amp;" "&amp;T180))),ISNUMBER(SEARCH("hacking",LOWER(F180&amp;" "&amp;H180&amp;" "&amp;I180&amp;" "&amp;M180&amp;" "&amp;N180&amp;" "&amp;T180))),ISNUMBER(SEARCH("bank",LOWER(F180&amp;" "&amp;H180&amp;" "&amp;I180&amp;" "&amp;M180&amp;" "&amp;N180&amp;" "&amp;T180))),ISNUMBER(SEARCH("banking",LOWER(F180&amp;" "&amp;H180&amp;" "&amp;I180&amp;" "&amp;M180&amp;" "&amp;N180&amp;" "&amp;T180)))),"PRIVATE_QUARANTINE",IF(OR(ISNUMBER(SEARCH("treasury",LOWER(F180&amp;" "&amp;H180&amp;" "&amp;I180&amp;" "&amp;M180&amp;" "&amp;N180&amp;" "&amp;T180))),ISNUMBER(SEARCH("debt",LOWER(F180&amp;" "&amp;H180&amp;" "&amp;I180&amp;" "&amp;M180&amp;" "&amp;N180&amp;" "&amp;T180))),ISNUMBER(SEARCH("bond",LOWER(F180&amp;" "&amp;H180&amp;" "&amp;I180&amp;" "&amp;M180&amp;" "&amp;N180&amp;" "&amp;T180))),ISNUMBER(SEARCH("transaction",LOWER(F180&amp;" "&amp;H180&amp;" "&amp;I180&amp;" "&amp;M180&amp;" "&amp;N180&amp;" "&amp;T180)))),"PRIVATE_REVIEW","PUBLIC_CANDIDATE"))</x:f>
        <x:v>PUBLIC_CANDIDATE</x:v>
      </x:c>
      <x:c r="AD180" s="12" t="str">
        <x:f>IF(AC180="PRIVATE_QUARANTINE","hacker_or_bank_trigger",IF(AC180="PRIVATE_REVIEW","finance_risk_trigger","none"))</x:f>
        <x:v>none</x:v>
      </x:c>
      <x:c r="AE180" s="12" t="str">
        <x:f>IF(AC180="PUBLIC_CANDIDATE","prepare_public_github_candidate",IF(AC180="PRIVATE_REVIEW","hold_for_private_review","quarantine_private_do_not_publish"))</x:f>
        <x:v>prepare_public_github_candidate</x:v>
      </x:c>
      <x:c r="AF180" s="12" t="str">
        <x:f>IF(AC180="PUBLIC_CANDIDATE","TIDELOCK + Lucerna",IF(AC180="PRIVATE_REVIEW","AtlasBrain + Lucerna","TIDELOCK + Lucerna + Human-root"))</x:f>
        <x:v>TIDELOCK + Lucerna</x:v>
      </x:c>
      <x:c r="AG180" s="12" t="str">
        <x:f>IF(AND(AC180="PUBLIC_CANDIDATE",U180&lt;&gt;"BLOCKED_PENDING_RECEIPT"),"READY_AFTER_RECEIPT","NOT_READY")</x:f>
        <x:v>NOT_READY</x:v>
      </x:c>
      <x:c r="AH180" s="12" t="str">
        <x:f>IF(AC180="PUBLIC_CANDIDATE","none",AD180)</x:f>
        <x:v>none</x:v>
      </x:c>
      <x:c r="AI180" s="12" t="str">
        <x:f>IF(AC180="PUBLIC_CANDIDATE","archive/public_candidates/"&amp;A180,"private_quarantine/"&amp;A180)</x:f>
        <x:v>archive/public_candidates/SWARM-02-H03-S11</x:v>
      </x:c>
      <x:c r="AJ180" s="12" t="str">
        <x:f>IF(AC180="PUBLIC_CANDIDATE","public by default; still not canon","private/hold; do not publish")</x:f>
        <x:v>public by default; still not canon</x:v>
      </x:c>
      <x:c r="AK180" s="12" t="str">
        <x:f>IF(AE180="prepare_public_github_candidate","add receipt/status then mirror","resolve blocker before any public GitHub action")</x:f>
        <x:v>add receipt/status then mirror</x:v>
      </x:c>
    </x:row>
    <x:row r="181">
      <x:c r="A181" s="15" t="str">
        <x:v>SWARM-02-H03-S12</x:v>
      </x:c>
      <x:c r="B181" s="15" t="str">
        <x:v>Hashlight</x:v>
      </x:c>
      <x:c r="C181" s="15" t="str">
        <x:v>Hash and identity keeper</x:v>
      </x:c>
      <x:c r="D181" s="15" t="str">
        <x:v>Raw Export Recovery</x:v>
      </x:c>
      <x:c r="E181" s="15" t="str">
        <x:v>Risk / Safety</x:v>
      </x:c>
      <x:c r="F181" s="15" t="str">
        <x:v>Recover raw exports for Risk / Safety — Hashlight</x:v>
      </x:c>
      <x:c r="G181" s="15" t="str">
        <x:v>ids / hashes / timestamps / duplicate control</x:v>
      </x:c>
      <x:c r="H181" s="15" t="str">
        <x:v>source path + receipt + raw/export status + claim/edge/risk delta</x:v>
      </x:c>
      <x:c r="I181" s="15" t="str">
        <x:v>packet/SWARM-02-H03-S12</x:v>
      </x:c>
      <x:c r="J181" s="15" t="str">
        <x:v>TODO</x:v>
      </x:c>
      <x:c r="K181" s="15" t="str">
        <x:v>P2</x:v>
      </x:c>
      <x:c r="L181" s="15" t="str">
        <x:v>Done only when evidence is logged, contradiction search is noted, and boundary stamp remains non-canon unless ratified</x:v>
      </x:c>
      <x:c r="M181" s="15" t="str">
        <x:v>candidate / staging-only / not canon / not deployed / authority none</x:v>
      </x:c>
      <x:c r="N181" s="15" t="str">
        <x:v>Dispatch to Hashlight: complete Raw Export Recovery x Risk / Safety; return deltas only, receipts required.</x:v>
      </x:c>
      <x:c r="O181" s="15" t="str">
        <x:v>AF-KG-H03-S12</x:v>
      </x:c>
      <x:c r="P181" s="15" t="str">
        <x:v>Unverified</x:v>
      </x:c>
      <x:c r="Q181" s="15" t="str">
        <x:v>Not checked</x:v>
      </x:c>
      <x:c r="R181" s="15" t="str"/>
      <x:c r="S181" s="15" t="str"/>
      <x:c r="T181" s="15" t="str">
        <x:v>Log first source path or blocker</x:v>
      </x:c>
      <x:c r="U181" s="12" t="str">
        <x:f>IF(OR(P181="Unverified",Q181="Not checked"),"BLOCKED_PENDING_RECEIPT","READY_FOR_REVIEW")</x:f>
        <x:v>BLOCKED_PENDING_RECEIPT</x:v>
      </x:c>
      <x:c r="V181" s="12" t="str">
        <x:f>IF(J181="DONE","RETURNED",IF(U181="BLOCKED_PENDING_RECEIPT","SOURCE_TOUCH_REQUIRED","IN_PROGRESS"))</x:f>
        <x:v>SOURCE_TOUCH_REQUIRED</x:v>
      </x:c>
      <x:c r="W181" s="12" t="str">
        <x:f>IF(P181="Unverified","missing_receipt","receipt_logged")</x:f>
        <x:v>missing_receipt</x:v>
      </x:c>
      <x:c r="X181" s="12" t="str">
        <x:f>IF(Q181="Not checked","raw_status_missing","raw_status_logged")</x:f>
        <x:v>raw_status_missing</x:v>
      </x:c>
      <x:c r="Y181" s="12" t="str">
        <x:f>IF(U181="BLOCKED_PENDING_RECEIPT","Log source path or blocker; do not promote","Route to review lane")</x:f>
        <x:v>Log source path or blocker; do not promote</x:v>
      </x:c>
      <x:c r="Z181" s="12" t="str">
        <x:f>IF(K181="P0","Primary seat + Hashlight/Lucerna","Seat lane")</x:f>
        <x:v>Seat lane</x:v>
      </x:c>
      <x:c r="AA181" s="12" t="str">
        <x:f>IF(R181="","no_claim_delta","claim_delta_present")</x:f>
        <x:v>no_claim_delta</x:v>
      </x:c>
      <x:c r="AB181" s="12" t="str">
        <x:f>IF(S181="","no_contradiction_delta","contradiction_delta_present")</x:f>
        <x:v>no_contradiction_delta</x:v>
      </x:c>
      <x:c r="AC181" s="12" t="str">
        <x:f>IF(OR(ISNUMBER(SEARCH("hacker",LOWER(F181&amp;" "&amp;H181&amp;" "&amp;I181&amp;" "&amp;M181&amp;" "&amp;N181&amp;" "&amp;T181))),ISNUMBER(SEARCH("hacking",LOWER(F181&amp;" "&amp;H181&amp;" "&amp;I181&amp;" "&amp;M181&amp;" "&amp;N181&amp;" "&amp;T181))),ISNUMBER(SEARCH("bank",LOWER(F181&amp;" "&amp;H181&amp;" "&amp;I181&amp;" "&amp;M181&amp;" "&amp;N181&amp;" "&amp;T181))),ISNUMBER(SEARCH("banking",LOWER(F181&amp;" "&amp;H181&amp;" "&amp;I181&amp;" "&amp;M181&amp;" "&amp;N181&amp;" "&amp;T181)))),"PRIVATE_QUARANTINE",IF(OR(ISNUMBER(SEARCH("treasury",LOWER(F181&amp;" "&amp;H181&amp;" "&amp;I181&amp;" "&amp;M181&amp;" "&amp;N181&amp;" "&amp;T181))),ISNUMBER(SEARCH("debt",LOWER(F181&amp;" "&amp;H181&amp;" "&amp;I181&amp;" "&amp;M181&amp;" "&amp;N181&amp;" "&amp;T181))),ISNUMBER(SEARCH("bond",LOWER(F181&amp;" "&amp;H181&amp;" "&amp;I181&amp;" "&amp;M181&amp;" "&amp;N181&amp;" "&amp;T181))),ISNUMBER(SEARCH("transaction",LOWER(F181&amp;" "&amp;H181&amp;" "&amp;I181&amp;" "&amp;M181&amp;" "&amp;N181&amp;" "&amp;T181)))),"PRIVATE_REVIEW","PUBLIC_CANDIDATE"))</x:f>
        <x:v>PUBLIC_CANDIDATE</x:v>
      </x:c>
      <x:c r="AD181" s="12" t="str">
        <x:f>IF(AC181="PRIVATE_QUARANTINE","hacker_or_bank_trigger",IF(AC181="PRIVATE_REVIEW","finance_risk_trigger","none"))</x:f>
        <x:v>none</x:v>
      </x:c>
      <x:c r="AE181" s="12" t="str">
        <x:f>IF(AC181="PUBLIC_CANDIDATE","prepare_public_github_candidate",IF(AC181="PRIVATE_REVIEW","hold_for_private_review","quarantine_private_do_not_publish"))</x:f>
        <x:v>prepare_public_github_candidate</x:v>
      </x:c>
      <x:c r="AF181" s="12" t="str">
        <x:f>IF(AC181="PUBLIC_CANDIDATE","TIDELOCK + Lucerna",IF(AC181="PRIVATE_REVIEW","AtlasBrain + Lucerna","TIDELOCK + Lucerna + Human-root"))</x:f>
        <x:v>TIDELOCK + Lucerna</x:v>
      </x:c>
      <x:c r="AG181" s="12" t="str">
        <x:f>IF(AND(AC181="PUBLIC_CANDIDATE",U181&lt;&gt;"BLOCKED_PENDING_RECEIPT"),"READY_AFTER_RECEIPT","NOT_READY")</x:f>
        <x:v>NOT_READY</x:v>
      </x:c>
      <x:c r="AH181" s="12" t="str">
        <x:f>IF(AC181="PUBLIC_CANDIDATE","none",AD181)</x:f>
        <x:v>none</x:v>
      </x:c>
      <x:c r="AI181" s="12" t="str">
        <x:f>IF(AC181="PUBLIC_CANDIDATE","archive/public_candidates/"&amp;A181,"private_quarantine/"&amp;A181)</x:f>
        <x:v>archive/public_candidates/SWARM-02-H03-S12</x:v>
      </x:c>
      <x:c r="AJ181" s="12" t="str">
        <x:f>IF(AC181="PUBLIC_CANDIDATE","public by default; still not canon","private/hold; do not publish")</x:f>
        <x:v>public by default; still not canon</x:v>
      </x:c>
      <x:c r="AK181" s="12" t="str">
        <x:f>IF(AE181="prepare_public_github_candidate","add receipt/status then mirror","resolve blocker before any public GitHub action")</x:f>
        <x:v>add receipt/status then mirror</x:v>
      </x:c>
    </x:row>
    <x:row r="182">
      <x:c r="A182" s="15" t="str">
        <x:v>SWARM-02-H04-S01</x:v>
      </x:c>
      <x:c r="B182" s="15" t="str">
        <x:v>Hashlight</x:v>
      </x:c>
      <x:c r="C182" s="15" t="str">
        <x:v>Hash and identity keeper</x:v>
      </x:c>
      <x:c r="D182" s="15" t="str">
        <x:v>Claim Extraction</x:v>
      </x:c>
      <x:c r="E182" s="15" t="str">
        <x:v>Notion</x:v>
      </x:c>
      <x:c r="F182" s="15" t="str">
        <x:v>Extract claims from Notion — Hashlight</x:v>
      </x:c>
      <x:c r="G182" s="15" t="str">
        <x:v>ids / hashes / timestamps / duplicate control</x:v>
      </x:c>
      <x:c r="H182" s="15" t="str">
        <x:v>source path + receipt + raw/export status + claim/edge/risk delta</x:v>
      </x:c>
      <x:c r="I182" s="15" t="str">
        <x:v>packet/SWARM-02-H04-S01</x:v>
      </x:c>
      <x:c r="J182" s="15" t="str">
        <x:v>TODO</x:v>
      </x:c>
      <x:c r="K182" s="15" t="str">
        <x:v>P0</x:v>
      </x:c>
      <x:c r="L182" s="15" t="str">
        <x:v>Done only when evidence is logged, contradiction search is noted, and boundary stamp remains non-canon unless ratified</x:v>
      </x:c>
      <x:c r="M182" s="15" t="str">
        <x:v>candidate / staging-only / not canon / not deployed / authority none</x:v>
      </x:c>
      <x:c r="N182" s="15" t="str">
        <x:v>Dispatch to Hashlight: complete Claim Extraction x Notion; return deltas only, receipts required.</x:v>
      </x:c>
      <x:c r="O182" s="15" t="str">
        <x:v>AF-KG-H04-S01</x:v>
      </x:c>
      <x:c r="P182" s="15" t="str">
        <x:v>Unverified</x:v>
      </x:c>
      <x:c r="Q182" s="15" t="str">
        <x:v>Not checked</x:v>
      </x:c>
      <x:c r="R182" s="15" t="str"/>
      <x:c r="S182" s="15" t="str"/>
      <x:c r="T182" s="15" t="str">
        <x:v>Log first source path or blocker</x:v>
      </x:c>
      <x:c r="U182" s="12" t="str">
        <x:f>IF(OR(P182="Unverified",Q182="Not checked"),"BLOCKED_PENDING_RECEIPT","READY_FOR_REVIEW")</x:f>
        <x:v>BLOCKED_PENDING_RECEIPT</x:v>
      </x:c>
      <x:c r="V182" s="12" t="str">
        <x:f>IF(J182="DONE","RETURNED",IF(U182="BLOCKED_PENDING_RECEIPT","SOURCE_TOUCH_REQUIRED","IN_PROGRESS"))</x:f>
        <x:v>SOURCE_TOUCH_REQUIRED</x:v>
      </x:c>
      <x:c r="W182" s="12" t="str">
        <x:f>IF(P182="Unverified","missing_receipt","receipt_logged")</x:f>
        <x:v>missing_receipt</x:v>
      </x:c>
      <x:c r="X182" s="12" t="str">
        <x:f>IF(Q182="Not checked","raw_status_missing","raw_status_logged")</x:f>
        <x:v>raw_status_missing</x:v>
      </x:c>
      <x:c r="Y182" s="12" t="str">
        <x:f>IF(U182="BLOCKED_PENDING_RECEIPT","Log source path or blocker; do not promote","Route to review lane")</x:f>
        <x:v>Log source path or blocker; do not promote</x:v>
      </x:c>
      <x:c r="Z182" s="12" t="str">
        <x:f>IF(K182="P0","Primary seat + Hashlight/Lucerna","Seat lane")</x:f>
        <x:v>Primary seat + Hashlight/Lucerna</x:v>
      </x:c>
      <x:c r="AA182" s="12" t="str">
        <x:f>IF(R182="","no_claim_delta","claim_delta_present")</x:f>
        <x:v>no_claim_delta</x:v>
      </x:c>
      <x:c r="AB182" s="12" t="str">
        <x:f>IF(S182="","no_contradiction_delta","contradiction_delta_present")</x:f>
        <x:v>no_contradiction_delta</x:v>
      </x:c>
      <x:c r="AC182" s="12" t="str">
        <x:f>IF(OR(ISNUMBER(SEARCH("hacker",LOWER(F182&amp;" "&amp;H182&amp;" "&amp;I182&amp;" "&amp;M182&amp;" "&amp;N182&amp;" "&amp;T182))),ISNUMBER(SEARCH("hacking",LOWER(F182&amp;" "&amp;H182&amp;" "&amp;I182&amp;" "&amp;M182&amp;" "&amp;N182&amp;" "&amp;T182))),ISNUMBER(SEARCH("bank",LOWER(F182&amp;" "&amp;H182&amp;" "&amp;I182&amp;" "&amp;M182&amp;" "&amp;N182&amp;" "&amp;T182))),ISNUMBER(SEARCH("banking",LOWER(F182&amp;" "&amp;H182&amp;" "&amp;I182&amp;" "&amp;M182&amp;" "&amp;N182&amp;" "&amp;T182)))),"PRIVATE_QUARANTINE",IF(OR(ISNUMBER(SEARCH("treasury",LOWER(F182&amp;" "&amp;H182&amp;" "&amp;I182&amp;" "&amp;M182&amp;" "&amp;N182&amp;" "&amp;T182))),ISNUMBER(SEARCH("debt",LOWER(F182&amp;" "&amp;H182&amp;" "&amp;I182&amp;" "&amp;M182&amp;" "&amp;N182&amp;" "&amp;T182))),ISNUMBER(SEARCH("bond",LOWER(F182&amp;" "&amp;H182&amp;" "&amp;I182&amp;" "&amp;M182&amp;" "&amp;N182&amp;" "&amp;T182))),ISNUMBER(SEARCH("transaction",LOWER(F182&amp;" "&amp;H182&amp;" "&amp;I182&amp;" "&amp;M182&amp;" "&amp;N182&amp;" "&amp;T182)))),"PRIVATE_REVIEW","PUBLIC_CANDIDATE"))</x:f>
        <x:v>PUBLIC_CANDIDATE</x:v>
      </x:c>
      <x:c r="AD182" s="12" t="str">
        <x:f>IF(AC182="PRIVATE_QUARANTINE","hacker_or_bank_trigger",IF(AC182="PRIVATE_REVIEW","finance_risk_trigger","none"))</x:f>
        <x:v>none</x:v>
      </x:c>
      <x:c r="AE182" s="12" t="str">
        <x:f>IF(AC182="PUBLIC_CANDIDATE","prepare_public_github_candidate",IF(AC182="PRIVATE_REVIEW","hold_for_private_review","quarantine_private_do_not_publish"))</x:f>
        <x:v>prepare_public_github_candidate</x:v>
      </x:c>
      <x:c r="AF182" s="12" t="str">
        <x:f>IF(AC182="PUBLIC_CANDIDATE","TIDELOCK + Lucerna",IF(AC182="PRIVATE_REVIEW","AtlasBrain + Lucerna","TIDELOCK + Lucerna + Human-root"))</x:f>
        <x:v>TIDELOCK + Lucerna</x:v>
      </x:c>
      <x:c r="AG182" s="12" t="str">
        <x:f>IF(AND(AC182="PUBLIC_CANDIDATE",U182&lt;&gt;"BLOCKED_PENDING_RECEIPT"),"READY_AFTER_RECEIPT","NOT_READY")</x:f>
        <x:v>NOT_READY</x:v>
      </x:c>
      <x:c r="AH182" s="12" t="str">
        <x:f>IF(AC182="PUBLIC_CANDIDATE","none",AD182)</x:f>
        <x:v>none</x:v>
      </x:c>
      <x:c r="AI182" s="12" t="str">
        <x:f>IF(AC182="PUBLIC_CANDIDATE","archive/public_candidates/"&amp;A182,"private_quarantine/"&amp;A182)</x:f>
        <x:v>archive/public_candidates/SWARM-02-H04-S01</x:v>
      </x:c>
      <x:c r="AJ182" s="12" t="str">
        <x:f>IF(AC182="PUBLIC_CANDIDATE","public by default; still not canon","private/hold; do not publish")</x:f>
        <x:v>public by default; still not canon</x:v>
      </x:c>
      <x:c r="AK182" s="12" t="str">
        <x:f>IF(AE182="prepare_public_github_candidate","add receipt/status then mirror","resolve blocker before any public GitHub action")</x:f>
        <x:v>add receipt/status then mirror</x:v>
      </x:c>
    </x:row>
    <x:row r="183">
      <x:c r="A183" s="15" t="str">
        <x:v>SWARM-02-H04-S02</x:v>
      </x:c>
      <x:c r="B183" s="15" t="str">
        <x:v>Hashlight</x:v>
      </x:c>
      <x:c r="C183" s="15" t="str">
        <x:v>Hash and identity keeper</x:v>
      </x:c>
      <x:c r="D183" s="15" t="str">
        <x:v>Claim Extraction</x:v>
      </x:c>
      <x:c r="E183" s="15" t="str">
        <x:v>Drive</x:v>
      </x:c>
      <x:c r="F183" s="15" t="str">
        <x:v>Extract claims from Drive — Hashlight</x:v>
      </x:c>
      <x:c r="G183" s="15" t="str">
        <x:v>ids / hashes / timestamps / duplicate control</x:v>
      </x:c>
      <x:c r="H183" s="15" t="str">
        <x:v>source path + receipt + raw/export status + claim/edge/risk delta</x:v>
      </x:c>
      <x:c r="I183" s="15" t="str">
        <x:v>packet/SWARM-02-H04-S02</x:v>
      </x:c>
      <x:c r="J183" s="15" t="str">
        <x:v>TODO</x:v>
      </x:c>
      <x:c r="K183" s="15" t="str">
        <x:v>P0</x:v>
      </x:c>
      <x:c r="L183" s="15" t="str">
        <x:v>Done only when evidence is logged, contradiction search is noted, and boundary stamp remains non-canon unless ratified</x:v>
      </x:c>
      <x:c r="M183" s="15" t="str">
        <x:v>candidate / staging-only / not canon / not deployed / authority none</x:v>
      </x:c>
      <x:c r="N183" s="15" t="str">
        <x:v>Dispatch to Hashlight: complete Claim Extraction x Drive; return deltas only, receipts required.</x:v>
      </x:c>
      <x:c r="O183" s="15" t="str">
        <x:v>AF-KG-H04-S02</x:v>
      </x:c>
      <x:c r="P183" s="15" t="str">
        <x:v>Unverified</x:v>
      </x:c>
      <x:c r="Q183" s="15" t="str">
        <x:v>Not checked</x:v>
      </x:c>
      <x:c r="R183" s="15" t="str"/>
      <x:c r="S183" s="15" t="str"/>
      <x:c r="T183" s="15" t="str">
        <x:v>Log first source path or blocker</x:v>
      </x:c>
      <x:c r="U183" s="12" t="str">
        <x:f>IF(OR(P183="Unverified",Q183="Not checked"),"BLOCKED_PENDING_RECEIPT","READY_FOR_REVIEW")</x:f>
        <x:v>BLOCKED_PENDING_RECEIPT</x:v>
      </x:c>
      <x:c r="V183" s="12" t="str">
        <x:f>IF(J183="DONE","RETURNED",IF(U183="BLOCKED_PENDING_RECEIPT","SOURCE_TOUCH_REQUIRED","IN_PROGRESS"))</x:f>
        <x:v>SOURCE_TOUCH_REQUIRED</x:v>
      </x:c>
      <x:c r="W183" s="12" t="str">
        <x:f>IF(P183="Unverified","missing_receipt","receipt_logged")</x:f>
        <x:v>missing_receipt</x:v>
      </x:c>
      <x:c r="X183" s="12" t="str">
        <x:f>IF(Q183="Not checked","raw_status_missing","raw_status_logged")</x:f>
        <x:v>raw_status_missing</x:v>
      </x:c>
      <x:c r="Y183" s="12" t="str">
        <x:f>IF(U183="BLOCKED_PENDING_RECEIPT","Log source path or blocker; do not promote","Route to review lane")</x:f>
        <x:v>Log source path or blocker; do not promote</x:v>
      </x:c>
      <x:c r="Z183" s="12" t="str">
        <x:f>IF(K183="P0","Primary seat + Hashlight/Lucerna","Seat lane")</x:f>
        <x:v>Primary seat + Hashlight/Lucerna</x:v>
      </x:c>
      <x:c r="AA183" s="12" t="str">
        <x:f>IF(R183="","no_claim_delta","claim_delta_present")</x:f>
        <x:v>no_claim_delta</x:v>
      </x:c>
      <x:c r="AB183" s="12" t="str">
        <x:f>IF(S183="","no_contradiction_delta","contradiction_delta_present")</x:f>
        <x:v>no_contradiction_delta</x:v>
      </x:c>
      <x:c r="AC183" s="12" t="str">
        <x:f>IF(OR(ISNUMBER(SEARCH("hacker",LOWER(F183&amp;" "&amp;H183&amp;" "&amp;I183&amp;" "&amp;M183&amp;" "&amp;N183&amp;" "&amp;T183))),ISNUMBER(SEARCH("hacking",LOWER(F183&amp;" "&amp;H183&amp;" "&amp;I183&amp;" "&amp;M183&amp;" "&amp;N183&amp;" "&amp;T183))),ISNUMBER(SEARCH("bank",LOWER(F183&amp;" "&amp;H183&amp;" "&amp;I183&amp;" "&amp;M183&amp;" "&amp;N183&amp;" "&amp;T183))),ISNUMBER(SEARCH("banking",LOWER(F183&amp;" "&amp;H183&amp;" "&amp;I183&amp;" "&amp;M183&amp;" "&amp;N183&amp;" "&amp;T183)))),"PRIVATE_QUARANTINE",IF(OR(ISNUMBER(SEARCH("treasury",LOWER(F183&amp;" "&amp;H183&amp;" "&amp;I183&amp;" "&amp;M183&amp;" "&amp;N183&amp;" "&amp;T183))),ISNUMBER(SEARCH("debt",LOWER(F183&amp;" "&amp;H183&amp;" "&amp;I183&amp;" "&amp;M183&amp;" "&amp;N183&amp;" "&amp;T183))),ISNUMBER(SEARCH("bond",LOWER(F183&amp;" "&amp;H183&amp;" "&amp;I183&amp;" "&amp;M183&amp;" "&amp;N183&amp;" "&amp;T183))),ISNUMBER(SEARCH("transaction",LOWER(F183&amp;" "&amp;H183&amp;" "&amp;I183&amp;" "&amp;M183&amp;" "&amp;N183&amp;" "&amp;T183)))),"PRIVATE_REVIEW","PUBLIC_CANDIDATE"))</x:f>
        <x:v>PUBLIC_CANDIDATE</x:v>
      </x:c>
      <x:c r="AD183" s="12" t="str">
        <x:f>IF(AC183="PRIVATE_QUARANTINE","hacker_or_bank_trigger",IF(AC183="PRIVATE_REVIEW","finance_risk_trigger","none"))</x:f>
        <x:v>none</x:v>
      </x:c>
      <x:c r="AE183" s="12" t="str">
        <x:f>IF(AC183="PUBLIC_CANDIDATE","prepare_public_github_candidate",IF(AC183="PRIVATE_REVIEW","hold_for_private_review","quarantine_private_do_not_publish"))</x:f>
        <x:v>prepare_public_github_candidate</x:v>
      </x:c>
      <x:c r="AF183" s="12" t="str">
        <x:f>IF(AC183="PUBLIC_CANDIDATE","TIDELOCK + Lucerna",IF(AC183="PRIVATE_REVIEW","AtlasBrain + Lucerna","TIDELOCK + Lucerna + Human-root"))</x:f>
        <x:v>TIDELOCK + Lucerna</x:v>
      </x:c>
      <x:c r="AG183" s="12" t="str">
        <x:f>IF(AND(AC183="PUBLIC_CANDIDATE",U183&lt;&gt;"BLOCKED_PENDING_RECEIPT"),"READY_AFTER_RECEIPT","NOT_READY")</x:f>
        <x:v>NOT_READY</x:v>
      </x:c>
      <x:c r="AH183" s="12" t="str">
        <x:f>IF(AC183="PUBLIC_CANDIDATE","none",AD183)</x:f>
        <x:v>none</x:v>
      </x:c>
      <x:c r="AI183" s="12" t="str">
        <x:f>IF(AC183="PUBLIC_CANDIDATE","archive/public_candidates/"&amp;A183,"private_quarantine/"&amp;A183)</x:f>
        <x:v>archive/public_candidates/SWARM-02-H04-S02</x:v>
      </x:c>
      <x:c r="AJ183" s="12" t="str">
        <x:f>IF(AC183="PUBLIC_CANDIDATE","public by default; still not canon","private/hold; do not publish")</x:f>
        <x:v>public by default; still not canon</x:v>
      </x:c>
      <x:c r="AK183" s="12" t="str">
        <x:f>IF(AE183="prepare_public_github_candidate","add receipt/status then mirror","resolve blocker before any public GitHub action")</x:f>
        <x:v>add receipt/status then mirror</x:v>
      </x:c>
    </x:row>
    <x:row r="184">
      <x:c r="A184" s="15" t="str">
        <x:v>SWARM-02-H04-S03</x:v>
      </x:c>
      <x:c r="B184" s="15" t="str">
        <x:v>Hashlight</x:v>
      </x:c>
      <x:c r="C184" s="15" t="str">
        <x:v>Hash and identity keeper</x:v>
      </x:c>
      <x:c r="D184" s="15" t="str">
        <x:v>Claim Extraction</x:v>
      </x:c>
      <x:c r="E184" s="15" t="str">
        <x:v>GitHub</x:v>
      </x:c>
      <x:c r="F184" s="15" t="str">
        <x:v>Extract claims from GitHub — Hashlight</x:v>
      </x:c>
      <x:c r="G184" s="15" t="str">
        <x:v>ids / hashes / timestamps / duplicate control</x:v>
      </x:c>
      <x:c r="H184" s="15" t="str">
        <x:v>source path + receipt + raw/export status + claim/edge/risk delta</x:v>
      </x:c>
      <x:c r="I184" s="15" t="str">
        <x:v>packet/SWARM-02-H04-S03</x:v>
      </x:c>
      <x:c r="J184" s="15" t="str">
        <x:v>TODO</x:v>
      </x:c>
      <x:c r="K184" s="15" t="str">
        <x:v>P0</x:v>
      </x:c>
      <x:c r="L184" s="15" t="str">
        <x:v>Done only when evidence is logged, contradiction search is noted, and boundary stamp remains non-canon unless ratified</x:v>
      </x:c>
      <x:c r="M184" s="15" t="str">
        <x:v>candidate / staging-only / not canon / not deployed / authority none</x:v>
      </x:c>
      <x:c r="N184" s="15" t="str">
        <x:v>Dispatch to Hashlight: complete Claim Extraction x GitHub; return deltas only, receipts required.</x:v>
      </x:c>
      <x:c r="O184" s="15" t="str">
        <x:v>AF-KG-H04-S03</x:v>
      </x:c>
      <x:c r="P184" s="15" t="str">
        <x:v>Unverified</x:v>
      </x:c>
      <x:c r="Q184" s="15" t="str">
        <x:v>Not checked</x:v>
      </x:c>
      <x:c r="R184" s="15" t="str"/>
      <x:c r="S184" s="15" t="str"/>
      <x:c r="T184" s="15" t="str">
        <x:v>Log first source path or blocker</x:v>
      </x:c>
      <x:c r="U184" s="12" t="str">
        <x:f>IF(OR(P184="Unverified",Q184="Not checked"),"BLOCKED_PENDING_RECEIPT","READY_FOR_REVIEW")</x:f>
        <x:v>BLOCKED_PENDING_RECEIPT</x:v>
      </x:c>
      <x:c r="V184" s="12" t="str">
        <x:f>IF(J184="DONE","RETURNED",IF(U184="BLOCKED_PENDING_RECEIPT","SOURCE_TOUCH_REQUIRED","IN_PROGRESS"))</x:f>
        <x:v>SOURCE_TOUCH_REQUIRED</x:v>
      </x:c>
      <x:c r="W184" s="12" t="str">
        <x:f>IF(P184="Unverified","missing_receipt","receipt_logged")</x:f>
        <x:v>missing_receipt</x:v>
      </x:c>
      <x:c r="X184" s="12" t="str">
        <x:f>IF(Q184="Not checked","raw_status_missing","raw_status_logged")</x:f>
        <x:v>raw_status_missing</x:v>
      </x:c>
      <x:c r="Y184" s="12" t="str">
        <x:f>IF(U184="BLOCKED_PENDING_RECEIPT","Log source path or blocker; do not promote","Route to review lane")</x:f>
        <x:v>Log source path or blocker; do not promote</x:v>
      </x:c>
      <x:c r="Z184" s="12" t="str">
        <x:f>IF(K184="P0","Primary seat + Hashlight/Lucerna","Seat lane")</x:f>
        <x:v>Primary seat + Hashlight/Lucerna</x:v>
      </x:c>
      <x:c r="AA184" s="12" t="str">
        <x:f>IF(R184="","no_claim_delta","claim_delta_present")</x:f>
        <x:v>no_claim_delta</x:v>
      </x:c>
      <x:c r="AB184" s="12" t="str">
        <x:f>IF(S184="","no_contradiction_delta","contradiction_delta_present")</x:f>
        <x:v>no_contradiction_delta</x:v>
      </x:c>
      <x:c r="AC184" s="12" t="str">
        <x:f>IF(OR(ISNUMBER(SEARCH("hacker",LOWER(F184&amp;" "&amp;H184&amp;" "&amp;I184&amp;" "&amp;M184&amp;" "&amp;N184&amp;" "&amp;T184))),ISNUMBER(SEARCH("hacking",LOWER(F184&amp;" "&amp;H184&amp;" "&amp;I184&amp;" "&amp;M184&amp;" "&amp;N184&amp;" "&amp;T184))),ISNUMBER(SEARCH("bank",LOWER(F184&amp;" "&amp;H184&amp;" "&amp;I184&amp;" "&amp;M184&amp;" "&amp;N184&amp;" "&amp;T184))),ISNUMBER(SEARCH("banking",LOWER(F184&amp;" "&amp;H184&amp;" "&amp;I184&amp;" "&amp;M184&amp;" "&amp;N184&amp;" "&amp;T184)))),"PRIVATE_QUARANTINE",IF(OR(ISNUMBER(SEARCH("treasury",LOWER(F184&amp;" "&amp;H184&amp;" "&amp;I184&amp;" "&amp;M184&amp;" "&amp;N184&amp;" "&amp;T184))),ISNUMBER(SEARCH("debt",LOWER(F184&amp;" "&amp;H184&amp;" "&amp;I184&amp;" "&amp;M184&amp;" "&amp;N184&amp;" "&amp;T184))),ISNUMBER(SEARCH("bond",LOWER(F184&amp;" "&amp;H184&amp;" "&amp;I184&amp;" "&amp;M184&amp;" "&amp;N184&amp;" "&amp;T184))),ISNUMBER(SEARCH("transaction",LOWER(F184&amp;" "&amp;H184&amp;" "&amp;I184&amp;" "&amp;M184&amp;" "&amp;N184&amp;" "&amp;T184)))),"PRIVATE_REVIEW","PUBLIC_CANDIDATE"))</x:f>
        <x:v>PUBLIC_CANDIDATE</x:v>
      </x:c>
      <x:c r="AD184" s="12" t="str">
        <x:f>IF(AC184="PRIVATE_QUARANTINE","hacker_or_bank_trigger",IF(AC184="PRIVATE_REVIEW","finance_risk_trigger","none"))</x:f>
        <x:v>none</x:v>
      </x:c>
      <x:c r="AE184" s="12" t="str">
        <x:f>IF(AC184="PUBLIC_CANDIDATE","prepare_public_github_candidate",IF(AC184="PRIVATE_REVIEW","hold_for_private_review","quarantine_private_do_not_publish"))</x:f>
        <x:v>prepare_public_github_candidate</x:v>
      </x:c>
      <x:c r="AF184" s="12" t="str">
        <x:f>IF(AC184="PUBLIC_CANDIDATE","TIDELOCK + Lucerna",IF(AC184="PRIVATE_REVIEW","AtlasBrain + Lucerna","TIDELOCK + Lucerna + Human-root"))</x:f>
        <x:v>TIDELOCK + Lucerna</x:v>
      </x:c>
      <x:c r="AG184" s="12" t="str">
        <x:f>IF(AND(AC184="PUBLIC_CANDIDATE",U184&lt;&gt;"BLOCKED_PENDING_RECEIPT"),"READY_AFTER_RECEIPT","NOT_READY")</x:f>
        <x:v>NOT_READY</x:v>
      </x:c>
      <x:c r="AH184" s="12" t="str">
        <x:f>IF(AC184="PUBLIC_CANDIDATE","none",AD184)</x:f>
        <x:v>none</x:v>
      </x:c>
      <x:c r="AI184" s="12" t="str">
        <x:f>IF(AC184="PUBLIC_CANDIDATE","archive/public_candidates/"&amp;A184,"private_quarantine/"&amp;A184)</x:f>
        <x:v>archive/public_candidates/SWARM-02-H04-S03</x:v>
      </x:c>
      <x:c r="AJ184" s="12" t="str">
        <x:f>IF(AC184="PUBLIC_CANDIDATE","public by default; still not canon","private/hold; do not publish")</x:f>
        <x:v>public by default; still not canon</x:v>
      </x:c>
      <x:c r="AK184" s="12" t="str">
        <x:f>IF(AE184="prepare_public_github_candidate","add receipt/status then mirror","resolve blocker before any public GitHub action")</x:f>
        <x:v>add receipt/status then mirror</x:v>
      </x:c>
    </x:row>
    <x:row r="185">
      <x:c r="A185" s="15" t="str">
        <x:v>SWARM-02-H04-S04</x:v>
      </x:c>
      <x:c r="B185" s="15" t="str">
        <x:v>Hashlight</x:v>
      </x:c>
      <x:c r="C185" s="15" t="str">
        <x:v>Hash and identity keeper</x:v>
      </x:c>
      <x:c r="D185" s="15" t="str">
        <x:v>Claim Extraction</x:v>
      </x:c>
      <x:c r="E185" s="15" t="str">
        <x:v>Gamma</x:v>
      </x:c>
      <x:c r="F185" s="15" t="str">
        <x:v>Extract claims from Gamma — Hashlight</x:v>
      </x:c>
      <x:c r="G185" s="15" t="str">
        <x:v>ids / hashes / timestamps / duplicate control</x:v>
      </x:c>
      <x:c r="H185" s="15" t="str">
        <x:v>source path + receipt + raw/export status + claim/edge/risk delta</x:v>
      </x:c>
      <x:c r="I185" s="15" t="str">
        <x:v>packet/SWARM-02-H04-S04</x:v>
      </x:c>
      <x:c r="J185" s="15" t="str">
        <x:v>TODO</x:v>
      </x:c>
      <x:c r="K185" s="15" t="str">
        <x:v>P1</x:v>
      </x:c>
      <x:c r="L185" s="15" t="str">
        <x:v>Done only when evidence is logged, contradiction search is noted, and boundary stamp remains non-canon unless ratified</x:v>
      </x:c>
      <x:c r="M185" s="15" t="str">
        <x:v>candidate / staging-only / not canon / not deployed / authority none</x:v>
      </x:c>
      <x:c r="N185" s="15" t="str">
        <x:v>Dispatch to Hashlight: complete Claim Extraction x Gamma; return deltas only, receipts required.</x:v>
      </x:c>
      <x:c r="O185" s="15" t="str">
        <x:v>AF-KG-H04-S04</x:v>
      </x:c>
      <x:c r="P185" s="15" t="str">
        <x:v>Unverified</x:v>
      </x:c>
      <x:c r="Q185" s="15" t="str">
        <x:v>Not checked</x:v>
      </x:c>
      <x:c r="R185" s="15" t="str"/>
      <x:c r="S185" s="15" t="str"/>
      <x:c r="T185" s="15" t="str">
        <x:v>Log first source path or blocker</x:v>
      </x:c>
      <x:c r="U185" s="12" t="str">
        <x:f>IF(OR(P185="Unverified",Q185="Not checked"),"BLOCKED_PENDING_RECEIPT","READY_FOR_REVIEW")</x:f>
        <x:v>BLOCKED_PENDING_RECEIPT</x:v>
      </x:c>
      <x:c r="V185" s="12" t="str">
        <x:f>IF(J185="DONE","RETURNED",IF(U185="BLOCKED_PENDING_RECEIPT","SOURCE_TOUCH_REQUIRED","IN_PROGRESS"))</x:f>
        <x:v>SOURCE_TOUCH_REQUIRED</x:v>
      </x:c>
      <x:c r="W185" s="12" t="str">
        <x:f>IF(P185="Unverified","missing_receipt","receipt_logged")</x:f>
        <x:v>missing_receipt</x:v>
      </x:c>
      <x:c r="X185" s="12" t="str">
        <x:f>IF(Q185="Not checked","raw_status_missing","raw_status_logged")</x:f>
        <x:v>raw_status_missing</x:v>
      </x:c>
      <x:c r="Y185" s="12" t="str">
        <x:f>IF(U185="BLOCKED_PENDING_RECEIPT","Log source path or blocker; do not promote","Route to review lane")</x:f>
        <x:v>Log source path or blocker; do not promote</x:v>
      </x:c>
      <x:c r="Z185" s="12" t="str">
        <x:f>IF(K185="P0","Primary seat + Hashlight/Lucerna","Seat lane")</x:f>
        <x:v>Seat lane</x:v>
      </x:c>
      <x:c r="AA185" s="12" t="str">
        <x:f>IF(R185="","no_claim_delta","claim_delta_present")</x:f>
        <x:v>no_claim_delta</x:v>
      </x:c>
      <x:c r="AB185" s="12" t="str">
        <x:f>IF(S185="","no_contradiction_delta","contradiction_delta_present")</x:f>
        <x:v>no_contradiction_delta</x:v>
      </x:c>
      <x:c r="AC185" s="12" t="str">
        <x:f>IF(OR(ISNUMBER(SEARCH("hacker",LOWER(F185&amp;" "&amp;H185&amp;" "&amp;I185&amp;" "&amp;M185&amp;" "&amp;N185&amp;" "&amp;T185))),ISNUMBER(SEARCH("hacking",LOWER(F185&amp;" "&amp;H185&amp;" "&amp;I185&amp;" "&amp;M185&amp;" "&amp;N185&amp;" "&amp;T185))),ISNUMBER(SEARCH("bank",LOWER(F185&amp;" "&amp;H185&amp;" "&amp;I185&amp;" "&amp;M185&amp;" "&amp;N185&amp;" "&amp;T185))),ISNUMBER(SEARCH("banking",LOWER(F185&amp;" "&amp;H185&amp;" "&amp;I185&amp;" "&amp;M185&amp;" "&amp;N185&amp;" "&amp;T185)))),"PRIVATE_QUARANTINE",IF(OR(ISNUMBER(SEARCH("treasury",LOWER(F185&amp;" "&amp;H185&amp;" "&amp;I185&amp;" "&amp;M185&amp;" "&amp;N185&amp;" "&amp;T185))),ISNUMBER(SEARCH("debt",LOWER(F185&amp;" "&amp;H185&amp;" "&amp;I185&amp;" "&amp;M185&amp;" "&amp;N185&amp;" "&amp;T185))),ISNUMBER(SEARCH("bond",LOWER(F185&amp;" "&amp;H185&amp;" "&amp;I185&amp;" "&amp;M185&amp;" "&amp;N185&amp;" "&amp;T185))),ISNUMBER(SEARCH("transaction",LOWER(F185&amp;" "&amp;H185&amp;" "&amp;I185&amp;" "&amp;M185&amp;" "&amp;N185&amp;" "&amp;T185)))),"PRIVATE_REVIEW","PUBLIC_CANDIDATE"))</x:f>
        <x:v>PUBLIC_CANDIDATE</x:v>
      </x:c>
      <x:c r="AD185" s="12" t="str">
        <x:f>IF(AC185="PRIVATE_QUARANTINE","hacker_or_bank_trigger",IF(AC185="PRIVATE_REVIEW","finance_risk_trigger","none"))</x:f>
        <x:v>none</x:v>
      </x:c>
      <x:c r="AE185" s="12" t="str">
        <x:f>IF(AC185="PUBLIC_CANDIDATE","prepare_public_github_candidate",IF(AC185="PRIVATE_REVIEW","hold_for_private_review","quarantine_private_do_not_publish"))</x:f>
        <x:v>prepare_public_github_candidate</x:v>
      </x:c>
      <x:c r="AF185" s="12" t="str">
        <x:f>IF(AC185="PUBLIC_CANDIDATE","TIDELOCK + Lucerna",IF(AC185="PRIVATE_REVIEW","AtlasBrain + Lucerna","TIDELOCK + Lucerna + Human-root"))</x:f>
        <x:v>TIDELOCK + Lucerna</x:v>
      </x:c>
      <x:c r="AG185" s="12" t="str">
        <x:f>IF(AND(AC185="PUBLIC_CANDIDATE",U185&lt;&gt;"BLOCKED_PENDING_RECEIPT"),"READY_AFTER_RECEIPT","NOT_READY")</x:f>
        <x:v>NOT_READY</x:v>
      </x:c>
      <x:c r="AH185" s="12" t="str">
        <x:f>IF(AC185="PUBLIC_CANDIDATE","none",AD185)</x:f>
        <x:v>none</x:v>
      </x:c>
      <x:c r="AI185" s="12" t="str">
        <x:f>IF(AC185="PUBLIC_CANDIDATE","archive/public_candidates/"&amp;A185,"private_quarantine/"&amp;A185)</x:f>
        <x:v>archive/public_candidates/SWARM-02-H04-S04</x:v>
      </x:c>
      <x:c r="AJ185" s="12" t="str">
        <x:f>IF(AC185="PUBLIC_CANDIDATE","public by default; still not canon","private/hold; do not publish")</x:f>
        <x:v>public by default; still not canon</x:v>
      </x:c>
      <x:c r="AK185" s="12" t="str">
        <x:f>IF(AE185="prepare_public_github_candidate","add receipt/status then mirror","resolve blocker before any public GitHub action")</x:f>
        <x:v>add receipt/status then mirror</x:v>
      </x:c>
    </x:row>
    <x:row r="186">
      <x:c r="A186" s="15" t="str">
        <x:v>SWARM-02-H04-S05</x:v>
      </x:c>
      <x:c r="B186" s="15" t="str">
        <x:v>Hashlight</x:v>
      </x:c>
      <x:c r="C186" s="15" t="str">
        <x:v>Hash and identity keeper</x:v>
      </x:c>
      <x:c r="D186" s="15" t="str">
        <x:v>Claim Extraction</x:v>
      </x:c>
      <x:c r="E186" s="15" t="str">
        <x:v>Chat</x:v>
      </x:c>
      <x:c r="F186" s="15" t="str">
        <x:v>Extract claims from Chat — Hashlight</x:v>
      </x:c>
      <x:c r="G186" s="15" t="str">
        <x:v>ids / hashes / timestamps / duplicate control</x:v>
      </x:c>
      <x:c r="H186" s="15" t="str">
        <x:v>source path + receipt + raw/export status + claim/edge/risk delta</x:v>
      </x:c>
      <x:c r="I186" s="15" t="str">
        <x:v>packet/SWARM-02-H04-S05</x:v>
      </x:c>
      <x:c r="J186" s="15" t="str">
        <x:v>TODO</x:v>
      </x:c>
      <x:c r="K186" s="15" t="str">
        <x:v>P1</x:v>
      </x:c>
      <x:c r="L186" s="15" t="str">
        <x:v>Done only when evidence is logged, contradiction search is noted, and boundary stamp remains non-canon unless ratified</x:v>
      </x:c>
      <x:c r="M186" s="15" t="str">
        <x:v>candidate / staging-only / not canon / not deployed / authority none</x:v>
      </x:c>
      <x:c r="N186" s="15" t="str">
        <x:v>Dispatch to Hashlight: complete Claim Extraction x Chat; return deltas only, receipts required.</x:v>
      </x:c>
      <x:c r="O186" s="15" t="str">
        <x:v>AF-KG-H04-S05</x:v>
      </x:c>
      <x:c r="P186" s="15" t="str">
        <x:v>Unverified</x:v>
      </x:c>
      <x:c r="Q186" s="15" t="str">
        <x:v>Not checked</x:v>
      </x:c>
      <x:c r="R186" s="15" t="str"/>
      <x:c r="S186" s="15" t="str"/>
      <x:c r="T186" s="15" t="str">
        <x:v>Log first source path or blocker</x:v>
      </x:c>
      <x:c r="U186" s="12" t="str">
        <x:f>IF(OR(P186="Unverified",Q186="Not checked"),"BLOCKED_PENDING_RECEIPT","READY_FOR_REVIEW")</x:f>
        <x:v>BLOCKED_PENDING_RECEIPT</x:v>
      </x:c>
      <x:c r="V186" s="12" t="str">
        <x:f>IF(J186="DONE","RETURNED",IF(U186="BLOCKED_PENDING_RECEIPT","SOURCE_TOUCH_REQUIRED","IN_PROGRESS"))</x:f>
        <x:v>SOURCE_TOUCH_REQUIRED</x:v>
      </x:c>
      <x:c r="W186" s="12" t="str">
        <x:f>IF(P186="Unverified","missing_receipt","receipt_logged")</x:f>
        <x:v>missing_receipt</x:v>
      </x:c>
      <x:c r="X186" s="12" t="str">
        <x:f>IF(Q186="Not checked","raw_status_missing","raw_status_logged")</x:f>
        <x:v>raw_status_missing</x:v>
      </x:c>
      <x:c r="Y186" s="12" t="str">
        <x:f>IF(U186="BLOCKED_PENDING_RECEIPT","Log source path or blocker; do not promote","Route to review lane")</x:f>
        <x:v>Log source path or blocker; do not promote</x:v>
      </x:c>
      <x:c r="Z186" s="12" t="str">
        <x:f>IF(K186="P0","Primary seat + Hashlight/Lucerna","Seat lane")</x:f>
        <x:v>Seat lane</x:v>
      </x:c>
      <x:c r="AA186" s="12" t="str">
        <x:f>IF(R186="","no_claim_delta","claim_delta_present")</x:f>
        <x:v>no_claim_delta</x:v>
      </x:c>
      <x:c r="AB186" s="12" t="str">
        <x:f>IF(S186="","no_contradiction_delta","contradiction_delta_present")</x:f>
        <x:v>no_contradiction_delta</x:v>
      </x:c>
      <x:c r="AC186" s="12" t="str">
        <x:f>IF(OR(ISNUMBER(SEARCH("hacker",LOWER(F186&amp;" "&amp;H186&amp;" "&amp;I186&amp;" "&amp;M186&amp;" "&amp;N186&amp;" "&amp;T186))),ISNUMBER(SEARCH("hacking",LOWER(F186&amp;" "&amp;H186&amp;" "&amp;I186&amp;" "&amp;M186&amp;" "&amp;N186&amp;" "&amp;T186))),ISNUMBER(SEARCH("bank",LOWER(F186&amp;" "&amp;H186&amp;" "&amp;I186&amp;" "&amp;M186&amp;" "&amp;N186&amp;" "&amp;T186))),ISNUMBER(SEARCH("banking",LOWER(F186&amp;" "&amp;H186&amp;" "&amp;I186&amp;" "&amp;M186&amp;" "&amp;N186&amp;" "&amp;T186)))),"PRIVATE_QUARANTINE",IF(OR(ISNUMBER(SEARCH("treasury",LOWER(F186&amp;" "&amp;H186&amp;" "&amp;I186&amp;" "&amp;M186&amp;" "&amp;N186&amp;" "&amp;T186))),ISNUMBER(SEARCH("debt",LOWER(F186&amp;" "&amp;H186&amp;" "&amp;I186&amp;" "&amp;M186&amp;" "&amp;N186&amp;" "&amp;T186))),ISNUMBER(SEARCH("bond",LOWER(F186&amp;" "&amp;H186&amp;" "&amp;I186&amp;" "&amp;M186&amp;" "&amp;N186&amp;" "&amp;T186))),ISNUMBER(SEARCH("transaction",LOWER(F186&amp;" "&amp;H186&amp;" "&amp;I186&amp;" "&amp;M186&amp;" "&amp;N186&amp;" "&amp;T186)))),"PRIVATE_REVIEW","PUBLIC_CANDIDATE"))</x:f>
        <x:v>PUBLIC_CANDIDATE</x:v>
      </x:c>
      <x:c r="AD186" s="12" t="str">
        <x:f>IF(AC186="PRIVATE_QUARANTINE","hacker_or_bank_trigger",IF(AC186="PRIVATE_REVIEW","finance_risk_trigger","none"))</x:f>
        <x:v>none</x:v>
      </x:c>
      <x:c r="AE186" s="12" t="str">
        <x:f>IF(AC186="PUBLIC_CANDIDATE","prepare_public_github_candidate",IF(AC186="PRIVATE_REVIEW","hold_for_private_review","quarantine_private_do_not_publish"))</x:f>
        <x:v>prepare_public_github_candidate</x:v>
      </x:c>
      <x:c r="AF186" s="12" t="str">
        <x:f>IF(AC186="PUBLIC_CANDIDATE","TIDELOCK + Lucerna",IF(AC186="PRIVATE_REVIEW","AtlasBrain + Lucerna","TIDELOCK + Lucerna + Human-root"))</x:f>
        <x:v>TIDELOCK + Lucerna</x:v>
      </x:c>
      <x:c r="AG186" s="12" t="str">
        <x:f>IF(AND(AC186="PUBLIC_CANDIDATE",U186&lt;&gt;"BLOCKED_PENDING_RECEIPT"),"READY_AFTER_RECEIPT","NOT_READY")</x:f>
        <x:v>NOT_READY</x:v>
      </x:c>
      <x:c r="AH186" s="12" t="str">
        <x:f>IF(AC186="PUBLIC_CANDIDATE","none",AD186)</x:f>
        <x:v>none</x:v>
      </x:c>
      <x:c r="AI186" s="12" t="str">
        <x:f>IF(AC186="PUBLIC_CANDIDATE","archive/public_candidates/"&amp;A186,"private_quarantine/"&amp;A186)</x:f>
        <x:v>archive/public_candidates/SWARM-02-H04-S05</x:v>
      </x:c>
      <x:c r="AJ186" s="12" t="str">
        <x:f>IF(AC186="PUBLIC_CANDIDATE","public by default; still not canon","private/hold; do not publish")</x:f>
        <x:v>public by default; still not canon</x:v>
      </x:c>
      <x:c r="AK186" s="12" t="str">
        <x:f>IF(AE186="prepare_public_github_candidate","add receipt/status then mirror","resolve blocker before any public GitHub action")</x:f>
        <x:v>add receipt/status then mirror</x:v>
      </x:c>
    </x:row>
    <x:row r="187">
      <x:c r="A187" s="15" t="str">
        <x:v>SWARM-02-H04-S06</x:v>
      </x:c>
      <x:c r="B187" s="15" t="str">
        <x:v>Hashlight</x:v>
      </x:c>
      <x:c r="C187" s="15" t="str">
        <x:v>Hash and identity keeper</x:v>
      </x:c>
      <x:c r="D187" s="15" t="str">
        <x:v>Claim Extraction</x:v>
      </x:c>
      <x:c r="E187" s="15" t="str">
        <x:v>External Web</x:v>
      </x:c>
      <x:c r="F187" s="15" t="str">
        <x:v>Extract claims from External Web — Hashlight</x:v>
      </x:c>
      <x:c r="G187" s="15" t="str">
        <x:v>ids / hashes / timestamps / duplicate control</x:v>
      </x:c>
      <x:c r="H187" s="15" t="str">
        <x:v>source path + receipt + raw/export status + claim/edge/risk delta</x:v>
      </x:c>
      <x:c r="I187" s="15" t="str">
        <x:v>packet/SWARM-02-H04-S06</x:v>
      </x:c>
      <x:c r="J187" s="15" t="str">
        <x:v>TODO</x:v>
      </x:c>
      <x:c r="K187" s="15" t="str">
        <x:v>P1</x:v>
      </x:c>
      <x:c r="L187" s="15" t="str">
        <x:v>Done only when evidence is logged, contradiction search is noted, and boundary stamp remains non-canon unless ratified</x:v>
      </x:c>
      <x:c r="M187" s="15" t="str">
        <x:v>candidate / staging-only / not canon / not deployed / authority none</x:v>
      </x:c>
      <x:c r="N187" s="15" t="str">
        <x:v>Dispatch to Hashlight: complete Claim Extraction x External Web; return deltas only, receipts required.</x:v>
      </x:c>
      <x:c r="O187" s="15" t="str">
        <x:v>AF-KG-H04-S06</x:v>
      </x:c>
      <x:c r="P187" s="15" t="str">
        <x:v>Unverified</x:v>
      </x:c>
      <x:c r="Q187" s="15" t="str">
        <x:v>Not checked</x:v>
      </x:c>
      <x:c r="R187" s="15" t="str"/>
      <x:c r="S187" s="15" t="str"/>
      <x:c r="T187" s="15" t="str">
        <x:v>Log first source path or blocker</x:v>
      </x:c>
      <x:c r="U187" s="12" t="str">
        <x:f>IF(OR(P187="Unverified",Q187="Not checked"),"BLOCKED_PENDING_RECEIPT","READY_FOR_REVIEW")</x:f>
        <x:v>BLOCKED_PENDING_RECEIPT</x:v>
      </x:c>
      <x:c r="V187" s="12" t="str">
        <x:f>IF(J187="DONE","RETURNED",IF(U187="BLOCKED_PENDING_RECEIPT","SOURCE_TOUCH_REQUIRED","IN_PROGRESS"))</x:f>
        <x:v>SOURCE_TOUCH_REQUIRED</x:v>
      </x:c>
      <x:c r="W187" s="12" t="str">
        <x:f>IF(P187="Unverified","missing_receipt","receipt_logged")</x:f>
        <x:v>missing_receipt</x:v>
      </x:c>
      <x:c r="X187" s="12" t="str">
        <x:f>IF(Q187="Not checked","raw_status_missing","raw_status_logged")</x:f>
        <x:v>raw_status_missing</x:v>
      </x:c>
      <x:c r="Y187" s="12" t="str">
        <x:f>IF(U187="BLOCKED_PENDING_RECEIPT","Log source path or blocker; do not promote","Route to review lane")</x:f>
        <x:v>Log source path or blocker; do not promote</x:v>
      </x:c>
      <x:c r="Z187" s="12" t="str">
        <x:f>IF(K187="P0","Primary seat + Hashlight/Lucerna","Seat lane")</x:f>
        <x:v>Seat lane</x:v>
      </x:c>
      <x:c r="AA187" s="12" t="str">
        <x:f>IF(R187="","no_claim_delta","claim_delta_present")</x:f>
        <x:v>no_claim_delta</x:v>
      </x:c>
      <x:c r="AB187" s="12" t="str">
        <x:f>IF(S187="","no_contradiction_delta","contradiction_delta_present")</x:f>
        <x:v>no_contradiction_delta</x:v>
      </x:c>
      <x:c r="AC187" s="12" t="str">
        <x:f>IF(OR(ISNUMBER(SEARCH("hacker",LOWER(F187&amp;" "&amp;H187&amp;" "&amp;I187&amp;" "&amp;M187&amp;" "&amp;N187&amp;" "&amp;T187))),ISNUMBER(SEARCH("hacking",LOWER(F187&amp;" "&amp;H187&amp;" "&amp;I187&amp;" "&amp;M187&amp;" "&amp;N187&amp;" "&amp;T187))),ISNUMBER(SEARCH("bank",LOWER(F187&amp;" "&amp;H187&amp;" "&amp;I187&amp;" "&amp;M187&amp;" "&amp;N187&amp;" "&amp;T187))),ISNUMBER(SEARCH("banking",LOWER(F187&amp;" "&amp;H187&amp;" "&amp;I187&amp;" "&amp;M187&amp;" "&amp;N187&amp;" "&amp;T187)))),"PRIVATE_QUARANTINE",IF(OR(ISNUMBER(SEARCH("treasury",LOWER(F187&amp;" "&amp;H187&amp;" "&amp;I187&amp;" "&amp;M187&amp;" "&amp;N187&amp;" "&amp;T187))),ISNUMBER(SEARCH("debt",LOWER(F187&amp;" "&amp;H187&amp;" "&amp;I187&amp;" "&amp;M187&amp;" "&amp;N187&amp;" "&amp;T187))),ISNUMBER(SEARCH("bond",LOWER(F187&amp;" "&amp;H187&amp;" "&amp;I187&amp;" "&amp;M187&amp;" "&amp;N187&amp;" "&amp;T187))),ISNUMBER(SEARCH("transaction",LOWER(F187&amp;" "&amp;H187&amp;" "&amp;I187&amp;" "&amp;M187&amp;" "&amp;N187&amp;" "&amp;T187)))),"PRIVATE_REVIEW","PUBLIC_CANDIDATE"))</x:f>
        <x:v>PUBLIC_CANDIDATE</x:v>
      </x:c>
      <x:c r="AD187" s="12" t="str">
        <x:f>IF(AC187="PRIVATE_QUARANTINE","hacker_or_bank_trigger",IF(AC187="PRIVATE_REVIEW","finance_risk_trigger","none"))</x:f>
        <x:v>none</x:v>
      </x:c>
      <x:c r="AE187" s="12" t="str">
        <x:f>IF(AC187="PUBLIC_CANDIDATE","prepare_public_github_candidate",IF(AC187="PRIVATE_REVIEW","hold_for_private_review","quarantine_private_do_not_publish"))</x:f>
        <x:v>prepare_public_github_candidate</x:v>
      </x:c>
      <x:c r="AF187" s="12" t="str">
        <x:f>IF(AC187="PUBLIC_CANDIDATE","TIDELOCK + Lucerna",IF(AC187="PRIVATE_REVIEW","AtlasBrain + Lucerna","TIDELOCK + Lucerna + Human-root"))</x:f>
        <x:v>TIDELOCK + Lucerna</x:v>
      </x:c>
      <x:c r="AG187" s="12" t="str">
        <x:f>IF(AND(AC187="PUBLIC_CANDIDATE",U187&lt;&gt;"BLOCKED_PENDING_RECEIPT"),"READY_AFTER_RECEIPT","NOT_READY")</x:f>
        <x:v>NOT_READY</x:v>
      </x:c>
      <x:c r="AH187" s="12" t="str">
        <x:f>IF(AC187="PUBLIC_CANDIDATE","none",AD187)</x:f>
        <x:v>none</x:v>
      </x:c>
      <x:c r="AI187" s="12" t="str">
        <x:f>IF(AC187="PUBLIC_CANDIDATE","archive/public_candidates/"&amp;A187,"private_quarantine/"&amp;A187)</x:f>
        <x:v>archive/public_candidates/SWARM-02-H04-S06</x:v>
      </x:c>
      <x:c r="AJ187" s="12" t="str">
        <x:f>IF(AC187="PUBLIC_CANDIDATE","public by default; still not canon","private/hold; do not publish")</x:f>
        <x:v>public by default; still not canon</x:v>
      </x:c>
      <x:c r="AK187" s="12" t="str">
        <x:f>IF(AE187="prepare_public_github_candidate","add receipt/status then mirror","resolve blocker before any public GitHub action")</x:f>
        <x:v>add receipt/status then mirror</x:v>
      </x:c>
    </x:row>
    <x:row r="188">
      <x:c r="A188" s="15" t="str">
        <x:v>SWARM-02-H04-S07</x:v>
      </x:c>
      <x:c r="B188" s="15" t="str">
        <x:v>Hashlight</x:v>
      </x:c>
      <x:c r="C188" s="15" t="str">
        <x:v>Hash and identity keeper</x:v>
      </x:c>
      <x:c r="D188" s="15" t="str">
        <x:v>Claim Extraction</x:v>
      </x:c>
      <x:c r="E188" s="15" t="str">
        <x:v>Planetarium</x:v>
      </x:c>
      <x:c r="F188" s="15" t="str">
        <x:v>Extract claims from Planetarium — Hashlight</x:v>
      </x:c>
      <x:c r="G188" s="15" t="str">
        <x:v>ids / hashes / timestamps / duplicate control</x:v>
      </x:c>
      <x:c r="H188" s="15" t="str">
        <x:v>source path + receipt + raw/export status + claim/edge/risk delta</x:v>
      </x:c>
      <x:c r="I188" s="15" t="str">
        <x:v>packet/SWARM-02-H04-S07</x:v>
      </x:c>
      <x:c r="J188" s="15" t="str">
        <x:v>TODO</x:v>
      </x:c>
      <x:c r="K188" s="15" t="str">
        <x:v>P1</x:v>
      </x:c>
      <x:c r="L188" s="15" t="str">
        <x:v>Done only when evidence is logged, contradiction search is noted, and boundary stamp remains non-canon unless ratified</x:v>
      </x:c>
      <x:c r="M188" s="15" t="str">
        <x:v>candidate / staging-only / not canon / not deployed / authority none</x:v>
      </x:c>
      <x:c r="N188" s="15" t="str">
        <x:v>Dispatch to Hashlight: complete Claim Extraction x Planetarium; return deltas only, receipts required.</x:v>
      </x:c>
      <x:c r="O188" s="15" t="str">
        <x:v>AF-KG-H04-S07</x:v>
      </x:c>
      <x:c r="P188" s="15" t="str">
        <x:v>Unverified</x:v>
      </x:c>
      <x:c r="Q188" s="15" t="str">
        <x:v>Not checked</x:v>
      </x:c>
      <x:c r="R188" s="15" t="str"/>
      <x:c r="S188" s="15" t="str"/>
      <x:c r="T188" s="15" t="str">
        <x:v>Log first source path or blocker</x:v>
      </x:c>
      <x:c r="U188" s="12" t="str">
        <x:f>IF(OR(P188="Unverified",Q188="Not checked"),"BLOCKED_PENDING_RECEIPT","READY_FOR_REVIEW")</x:f>
        <x:v>BLOCKED_PENDING_RECEIPT</x:v>
      </x:c>
      <x:c r="V188" s="12" t="str">
        <x:f>IF(J188="DONE","RETURNED",IF(U188="BLOCKED_PENDING_RECEIPT","SOURCE_TOUCH_REQUIRED","IN_PROGRESS"))</x:f>
        <x:v>SOURCE_TOUCH_REQUIRED</x:v>
      </x:c>
      <x:c r="W188" s="12" t="str">
        <x:f>IF(P188="Unverified","missing_receipt","receipt_logged")</x:f>
        <x:v>missing_receipt</x:v>
      </x:c>
      <x:c r="X188" s="12" t="str">
        <x:f>IF(Q188="Not checked","raw_status_missing","raw_status_logged")</x:f>
        <x:v>raw_status_missing</x:v>
      </x:c>
      <x:c r="Y188" s="12" t="str">
        <x:f>IF(U188="BLOCKED_PENDING_RECEIPT","Log source path or blocker; do not promote","Route to review lane")</x:f>
        <x:v>Log source path or blocker; do not promote</x:v>
      </x:c>
      <x:c r="Z188" s="12" t="str">
        <x:f>IF(K188="P0","Primary seat + Hashlight/Lucerna","Seat lane")</x:f>
        <x:v>Seat lane</x:v>
      </x:c>
      <x:c r="AA188" s="12" t="str">
        <x:f>IF(R188="","no_claim_delta","claim_delta_present")</x:f>
        <x:v>no_claim_delta</x:v>
      </x:c>
      <x:c r="AB188" s="12" t="str">
        <x:f>IF(S188="","no_contradiction_delta","contradiction_delta_present")</x:f>
        <x:v>no_contradiction_delta</x:v>
      </x:c>
      <x:c r="AC188" s="12" t="str">
        <x:f>IF(OR(ISNUMBER(SEARCH("hacker",LOWER(F188&amp;" "&amp;H188&amp;" "&amp;I188&amp;" "&amp;M188&amp;" "&amp;N188&amp;" "&amp;T188))),ISNUMBER(SEARCH("hacking",LOWER(F188&amp;" "&amp;H188&amp;" "&amp;I188&amp;" "&amp;M188&amp;" "&amp;N188&amp;" "&amp;T188))),ISNUMBER(SEARCH("bank",LOWER(F188&amp;" "&amp;H188&amp;" "&amp;I188&amp;" "&amp;M188&amp;" "&amp;N188&amp;" "&amp;T188))),ISNUMBER(SEARCH("banking",LOWER(F188&amp;" "&amp;H188&amp;" "&amp;I188&amp;" "&amp;M188&amp;" "&amp;N188&amp;" "&amp;T188)))),"PRIVATE_QUARANTINE",IF(OR(ISNUMBER(SEARCH("treasury",LOWER(F188&amp;" "&amp;H188&amp;" "&amp;I188&amp;" "&amp;M188&amp;" "&amp;N188&amp;" "&amp;T188))),ISNUMBER(SEARCH("debt",LOWER(F188&amp;" "&amp;H188&amp;" "&amp;I188&amp;" "&amp;M188&amp;" "&amp;N188&amp;" "&amp;T188))),ISNUMBER(SEARCH("bond",LOWER(F188&amp;" "&amp;H188&amp;" "&amp;I188&amp;" "&amp;M188&amp;" "&amp;N188&amp;" "&amp;T188))),ISNUMBER(SEARCH("transaction",LOWER(F188&amp;" "&amp;H188&amp;" "&amp;I188&amp;" "&amp;M188&amp;" "&amp;N188&amp;" "&amp;T188)))),"PRIVATE_REVIEW","PUBLIC_CANDIDATE"))</x:f>
        <x:v>PUBLIC_CANDIDATE</x:v>
      </x:c>
      <x:c r="AD188" s="12" t="str">
        <x:f>IF(AC188="PRIVATE_QUARANTINE","hacker_or_bank_trigger",IF(AC188="PRIVATE_REVIEW","finance_risk_trigger","none"))</x:f>
        <x:v>none</x:v>
      </x:c>
      <x:c r="AE188" s="12" t="str">
        <x:f>IF(AC188="PUBLIC_CANDIDATE","prepare_public_github_candidate",IF(AC188="PRIVATE_REVIEW","hold_for_private_review","quarantine_private_do_not_publish"))</x:f>
        <x:v>prepare_public_github_candidate</x:v>
      </x:c>
      <x:c r="AF188" s="12" t="str">
        <x:f>IF(AC188="PUBLIC_CANDIDATE","TIDELOCK + Lucerna",IF(AC188="PRIVATE_REVIEW","AtlasBrain + Lucerna","TIDELOCK + Lucerna + Human-root"))</x:f>
        <x:v>TIDELOCK + Lucerna</x:v>
      </x:c>
      <x:c r="AG188" s="12" t="str">
        <x:f>IF(AND(AC188="PUBLIC_CANDIDATE",U188&lt;&gt;"BLOCKED_PENDING_RECEIPT"),"READY_AFTER_RECEIPT","NOT_READY")</x:f>
        <x:v>NOT_READY</x:v>
      </x:c>
      <x:c r="AH188" s="12" t="str">
        <x:f>IF(AC188="PUBLIC_CANDIDATE","none",AD188)</x:f>
        <x:v>none</x:v>
      </x:c>
      <x:c r="AI188" s="12" t="str">
        <x:f>IF(AC188="PUBLIC_CANDIDATE","archive/public_candidates/"&amp;A188,"private_quarantine/"&amp;A188)</x:f>
        <x:v>archive/public_candidates/SWARM-02-H04-S07</x:v>
      </x:c>
      <x:c r="AJ188" s="12" t="str">
        <x:f>IF(AC188="PUBLIC_CANDIDATE","public by default; still not canon","private/hold; do not publish")</x:f>
        <x:v>public by default; still not canon</x:v>
      </x:c>
      <x:c r="AK188" s="12" t="str">
        <x:f>IF(AE188="prepare_public_github_candidate","add receipt/status then mirror","resolve blocker before any public GitHub action")</x:f>
        <x:v>add receipt/status then mirror</x:v>
      </x:c>
    </x:row>
    <x:row r="189">
      <x:c r="A189" s="15" t="str">
        <x:v>SWARM-02-H04-S08</x:v>
      </x:c>
      <x:c r="B189" s="15" t="str">
        <x:v>Hashlight</x:v>
      </x:c>
      <x:c r="C189" s="15" t="str">
        <x:v>Hash and identity keeper</x:v>
      </x:c>
      <x:c r="D189" s="15" t="str">
        <x:v>Claim Extraction</x:v>
      </x:c>
      <x:c r="E189" s="15" t="str">
        <x:v>Sheldonbrain</x:v>
      </x:c>
      <x:c r="F189" s="15" t="str">
        <x:v>Extract claims from Sheldonbrain — Hashlight</x:v>
      </x:c>
      <x:c r="G189" s="15" t="str">
        <x:v>ids / hashes / timestamps / duplicate control</x:v>
      </x:c>
      <x:c r="H189" s="15" t="str">
        <x:v>source path + receipt + raw/export status + claim/edge/risk delta</x:v>
      </x:c>
      <x:c r="I189" s="15" t="str">
        <x:v>packet/SWARM-02-H04-S08</x:v>
      </x:c>
      <x:c r="J189" s="15" t="str">
        <x:v>TODO</x:v>
      </x:c>
      <x:c r="K189" s="15" t="str">
        <x:v>P1</x:v>
      </x:c>
      <x:c r="L189" s="15" t="str">
        <x:v>Done only when evidence is logged, contradiction search is noted, and boundary stamp remains non-canon unless ratified</x:v>
      </x:c>
      <x:c r="M189" s="15" t="str">
        <x:v>candidate / staging-only / not canon / not deployed / authority none</x:v>
      </x:c>
      <x:c r="N189" s="15" t="str">
        <x:v>Dispatch to Hashlight: complete Claim Extraction x Sheldonbrain; return deltas only, receipts required.</x:v>
      </x:c>
      <x:c r="O189" s="15" t="str">
        <x:v>AF-KG-H04-S08</x:v>
      </x:c>
      <x:c r="P189" s="15" t="str">
        <x:v>Unverified</x:v>
      </x:c>
      <x:c r="Q189" s="15" t="str">
        <x:v>Not checked</x:v>
      </x:c>
      <x:c r="R189" s="15" t="str"/>
      <x:c r="S189" s="15" t="str"/>
      <x:c r="T189" s="15" t="str">
        <x:v>Log first source path or blocker</x:v>
      </x:c>
      <x:c r="U189" s="12" t="str">
        <x:f>IF(OR(P189="Unverified",Q189="Not checked"),"BLOCKED_PENDING_RECEIPT","READY_FOR_REVIEW")</x:f>
        <x:v>BLOCKED_PENDING_RECEIPT</x:v>
      </x:c>
      <x:c r="V189" s="12" t="str">
        <x:f>IF(J189="DONE","RETURNED",IF(U189="BLOCKED_PENDING_RECEIPT","SOURCE_TOUCH_REQUIRED","IN_PROGRESS"))</x:f>
        <x:v>SOURCE_TOUCH_REQUIRED</x:v>
      </x:c>
      <x:c r="W189" s="12" t="str">
        <x:f>IF(P189="Unverified","missing_receipt","receipt_logged")</x:f>
        <x:v>missing_receipt</x:v>
      </x:c>
      <x:c r="X189" s="12" t="str">
        <x:f>IF(Q189="Not checked","raw_status_missing","raw_status_logged")</x:f>
        <x:v>raw_status_missing</x:v>
      </x:c>
      <x:c r="Y189" s="12" t="str">
        <x:f>IF(U189="BLOCKED_PENDING_RECEIPT","Log source path or blocker; do not promote","Route to review lane")</x:f>
        <x:v>Log source path or blocker; do not promote</x:v>
      </x:c>
      <x:c r="Z189" s="12" t="str">
        <x:f>IF(K189="P0","Primary seat + Hashlight/Lucerna","Seat lane")</x:f>
        <x:v>Seat lane</x:v>
      </x:c>
      <x:c r="AA189" s="12" t="str">
        <x:f>IF(R189="","no_claim_delta","claim_delta_present")</x:f>
        <x:v>no_claim_delta</x:v>
      </x:c>
      <x:c r="AB189" s="12" t="str">
        <x:f>IF(S189="","no_contradiction_delta","contradiction_delta_present")</x:f>
        <x:v>no_contradiction_delta</x:v>
      </x:c>
      <x:c r="AC189" s="12" t="str">
        <x:f>IF(OR(ISNUMBER(SEARCH("hacker",LOWER(F189&amp;" "&amp;H189&amp;" "&amp;I189&amp;" "&amp;M189&amp;" "&amp;N189&amp;" "&amp;T189))),ISNUMBER(SEARCH("hacking",LOWER(F189&amp;" "&amp;H189&amp;" "&amp;I189&amp;" "&amp;M189&amp;" "&amp;N189&amp;" "&amp;T189))),ISNUMBER(SEARCH("bank",LOWER(F189&amp;" "&amp;H189&amp;" "&amp;I189&amp;" "&amp;M189&amp;" "&amp;N189&amp;" "&amp;T189))),ISNUMBER(SEARCH("banking",LOWER(F189&amp;" "&amp;H189&amp;" "&amp;I189&amp;" "&amp;M189&amp;" "&amp;N189&amp;" "&amp;T189)))),"PRIVATE_QUARANTINE",IF(OR(ISNUMBER(SEARCH("treasury",LOWER(F189&amp;" "&amp;H189&amp;" "&amp;I189&amp;" "&amp;M189&amp;" "&amp;N189&amp;" "&amp;T189))),ISNUMBER(SEARCH("debt",LOWER(F189&amp;" "&amp;H189&amp;" "&amp;I189&amp;" "&amp;M189&amp;" "&amp;N189&amp;" "&amp;T189))),ISNUMBER(SEARCH("bond",LOWER(F189&amp;" "&amp;H189&amp;" "&amp;I189&amp;" "&amp;M189&amp;" "&amp;N189&amp;" "&amp;T189))),ISNUMBER(SEARCH("transaction",LOWER(F189&amp;" "&amp;H189&amp;" "&amp;I189&amp;" "&amp;M189&amp;" "&amp;N189&amp;" "&amp;T189)))),"PRIVATE_REVIEW","PUBLIC_CANDIDATE"))</x:f>
        <x:v>PUBLIC_CANDIDATE</x:v>
      </x:c>
      <x:c r="AD189" s="12" t="str">
        <x:f>IF(AC189="PRIVATE_QUARANTINE","hacker_or_bank_trigger",IF(AC189="PRIVATE_REVIEW","finance_risk_trigger","none"))</x:f>
        <x:v>none</x:v>
      </x:c>
      <x:c r="AE189" s="12" t="str">
        <x:f>IF(AC189="PUBLIC_CANDIDATE","prepare_public_github_candidate",IF(AC189="PRIVATE_REVIEW","hold_for_private_review","quarantine_private_do_not_publish"))</x:f>
        <x:v>prepare_public_github_candidate</x:v>
      </x:c>
      <x:c r="AF189" s="12" t="str">
        <x:f>IF(AC189="PUBLIC_CANDIDATE","TIDELOCK + Lucerna",IF(AC189="PRIVATE_REVIEW","AtlasBrain + Lucerna","TIDELOCK + Lucerna + Human-root"))</x:f>
        <x:v>TIDELOCK + Lucerna</x:v>
      </x:c>
      <x:c r="AG189" s="12" t="str">
        <x:f>IF(AND(AC189="PUBLIC_CANDIDATE",U189&lt;&gt;"BLOCKED_PENDING_RECEIPT"),"READY_AFTER_RECEIPT","NOT_READY")</x:f>
        <x:v>NOT_READY</x:v>
      </x:c>
      <x:c r="AH189" s="12" t="str">
        <x:f>IF(AC189="PUBLIC_CANDIDATE","none",AD189)</x:f>
        <x:v>none</x:v>
      </x:c>
      <x:c r="AI189" s="12" t="str">
        <x:f>IF(AC189="PUBLIC_CANDIDATE","archive/public_candidates/"&amp;A189,"private_quarantine/"&amp;A189)</x:f>
        <x:v>archive/public_candidates/SWARM-02-H04-S08</x:v>
      </x:c>
      <x:c r="AJ189" s="12" t="str">
        <x:f>IF(AC189="PUBLIC_CANDIDATE","public by default; still not canon","private/hold; do not publish")</x:f>
        <x:v>public by default; still not canon</x:v>
      </x:c>
      <x:c r="AK189" s="12" t="str">
        <x:f>IF(AE189="prepare_public_github_candidate","add receipt/status then mirror","resolve blocker before any public GitHub action")</x:f>
        <x:v>add receipt/status then mirror</x:v>
      </x:c>
    </x:row>
    <x:row r="190">
      <x:c r="A190" s="15" t="str">
        <x:v>SWARM-02-H04-S09</x:v>
      </x:c>
      <x:c r="B190" s="15" t="str">
        <x:v>Hashlight</x:v>
      </x:c>
      <x:c r="C190" s="15" t="str">
        <x:v>Hash and identity keeper</x:v>
      </x:c>
      <x:c r="D190" s="15" t="str">
        <x:v>Claim Extraction</x:v>
      </x:c>
      <x:c r="E190" s="15" t="str">
        <x:v>Aetherforge</x:v>
      </x:c>
      <x:c r="F190" s="15" t="str">
        <x:v>Extract claims from Aetherforge — Hashlight</x:v>
      </x:c>
      <x:c r="G190" s="15" t="str">
        <x:v>ids / hashes / timestamps / duplicate control</x:v>
      </x:c>
      <x:c r="H190" s="15" t="str">
        <x:v>source path + receipt + raw/export status + claim/edge/risk delta</x:v>
      </x:c>
      <x:c r="I190" s="15" t="str">
        <x:v>packet/SWARM-02-H04-S09</x:v>
      </x:c>
      <x:c r="J190" s="15" t="str">
        <x:v>TODO</x:v>
      </x:c>
      <x:c r="K190" s="15" t="str">
        <x:v>P2</x:v>
      </x:c>
      <x:c r="L190" s="15" t="str">
        <x:v>Done only when evidence is logged, contradiction search is noted, and boundary stamp remains non-canon unless ratified</x:v>
      </x:c>
      <x:c r="M190" s="15" t="str">
        <x:v>candidate / staging-only / not canon / not deployed / authority none</x:v>
      </x:c>
      <x:c r="N190" s="15" t="str">
        <x:v>Dispatch to Hashlight: complete Claim Extraction x Aetherforge; return deltas only, receipts required.</x:v>
      </x:c>
      <x:c r="O190" s="15" t="str">
        <x:v>AF-KG-H04-S09</x:v>
      </x:c>
      <x:c r="P190" s="15" t="str">
        <x:v>Unverified</x:v>
      </x:c>
      <x:c r="Q190" s="15" t="str">
        <x:v>Not checked</x:v>
      </x:c>
      <x:c r="R190" s="15" t="str"/>
      <x:c r="S190" s="15" t="str"/>
      <x:c r="T190" s="15" t="str">
        <x:v>Log first source path or blocker</x:v>
      </x:c>
      <x:c r="U190" s="12" t="str">
        <x:f>IF(OR(P190="Unverified",Q190="Not checked"),"BLOCKED_PENDING_RECEIPT","READY_FOR_REVIEW")</x:f>
        <x:v>BLOCKED_PENDING_RECEIPT</x:v>
      </x:c>
      <x:c r="V190" s="12" t="str">
        <x:f>IF(J190="DONE","RETURNED",IF(U190="BLOCKED_PENDING_RECEIPT","SOURCE_TOUCH_REQUIRED","IN_PROGRESS"))</x:f>
        <x:v>SOURCE_TOUCH_REQUIRED</x:v>
      </x:c>
      <x:c r="W190" s="12" t="str">
        <x:f>IF(P190="Unverified","missing_receipt","receipt_logged")</x:f>
        <x:v>missing_receipt</x:v>
      </x:c>
      <x:c r="X190" s="12" t="str">
        <x:f>IF(Q190="Not checked","raw_status_missing","raw_status_logged")</x:f>
        <x:v>raw_status_missing</x:v>
      </x:c>
      <x:c r="Y190" s="12" t="str">
        <x:f>IF(U190="BLOCKED_PENDING_RECEIPT","Log source path or blocker; do not promote","Route to review lane")</x:f>
        <x:v>Log source path or blocker; do not promote</x:v>
      </x:c>
      <x:c r="Z190" s="12" t="str">
        <x:f>IF(K190="P0","Primary seat + Hashlight/Lucerna","Seat lane")</x:f>
        <x:v>Seat lane</x:v>
      </x:c>
      <x:c r="AA190" s="12" t="str">
        <x:f>IF(R190="","no_claim_delta","claim_delta_present")</x:f>
        <x:v>no_claim_delta</x:v>
      </x:c>
      <x:c r="AB190" s="12" t="str">
        <x:f>IF(S190="","no_contradiction_delta","contradiction_delta_present")</x:f>
        <x:v>no_contradiction_delta</x:v>
      </x:c>
      <x:c r="AC190" s="12" t="str">
        <x:f>IF(OR(ISNUMBER(SEARCH("hacker",LOWER(F190&amp;" "&amp;H190&amp;" "&amp;I190&amp;" "&amp;M190&amp;" "&amp;N190&amp;" "&amp;T190))),ISNUMBER(SEARCH("hacking",LOWER(F190&amp;" "&amp;H190&amp;" "&amp;I190&amp;" "&amp;M190&amp;" "&amp;N190&amp;" "&amp;T190))),ISNUMBER(SEARCH("bank",LOWER(F190&amp;" "&amp;H190&amp;" "&amp;I190&amp;" "&amp;M190&amp;" "&amp;N190&amp;" "&amp;T190))),ISNUMBER(SEARCH("banking",LOWER(F190&amp;" "&amp;H190&amp;" "&amp;I190&amp;" "&amp;M190&amp;" "&amp;N190&amp;" "&amp;T190)))),"PRIVATE_QUARANTINE",IF(OR(ISNUMBER(SEARCH("treasury",LOWER(F190&amp;" "&amp;H190&amp;" "&amp;I190&amp;" "&amp;M190&amp;" "&amp;N190&amp;" "&amp;T190))),ISNUMBER(SEARCH("debt",LOWER(F190&amp;" "&amp;H190&amp;" "&amp;I190&amp;" "&amp;M190&amp;" "&amp;N190&amp;" "&amp;T190))),ISNUMBER(SEARCH("bond",LOWER(F190&amp;" "&amp;H190&amp;" "&amp;I190&amp;" "&amp;M190&amp;" "&amp;N190&amp;" "&amp;T190))),ISNUMBER(SEARCH("transaction",LOWER(F190&amp;" "&amp;H190&amp;" "&amp;I190&amp;" "&amp;M190&amp;" "&amp;N190&amp;" "&amp;T190)))),"PRIVATE_REVIEW","PUBLIC_CANDIDATE"))</x:f>
        <x:v>PUBLIC_CANDIDATE</x:v>
      </x:c>
      <x:c r="AD190" s="12" t="str">
        <x:f>IF(AC190="PRIVATE_QUARANTINE","hacker_or_bank_trigger",IF(AC190="PRIVATE_REVIEW","finance_risk_trigger","none"))</x:f>
        <x:v>none</x:v>
      </x:c>
      <x:c r="AE190" s="12" t="str">
        <x:f>IF(AC190="PUBLIC_CANDIDATE","prepare_public_github_candidate",IF(AC190="PRIVATE_REVIEW","hold_for_private_review","quarantine_private_do_not_publish"))</x:f>
        <x:v>prepare_public_github_candidate</x:v>
      </x:c>
      <x:c r="AF190" s="12" t="str">
        <x:f>IF(AC190="PUBLIC_CANDIDATE","TIDELOCK + Lucerna",IF(AC190="PRIVATE_REVIEW","AtlasBrain + Lucerna","TIDELOCK + Lucerna + Human-root"))</x:f>
        <x:v>TIDELOCK + Lucerna</x:v>
      </x:c>
      <x:c r="AG190" s="12" t="str">
        <x:f>IF(AND(AC190="PUBLIC_CANDIDATE",U190&lt;&gt;"BLOCKED_PENDING_RECEIPT"),"READY_AFTER_RECEIPT","NOT_READY")</x:f>
        <x:v>NOT_READY</x:v>
      </x:c>
      <x:c r="AH190" s="12" t="str">
        <x:f>IF(AC190="PUBLIC_CANDIDATE","none",AD190)</x:f>
        <x:v>none</x:v>
      </x:c>
      <x:c r="AI190" s="12" t="str">
        <x:f>IF(AC190="PUBLIC_CANDIDATE","archive/public_candidates/"&amp;A190,"private_quarantine/"&amp;A190)</x:f>
        <x:v>archive/public_candidates/SWARM-02-H04-S09</x:v>
      </x:c>
      <x:c r="AJ190" s="12" t="str">
        <x:f>IF(AC190="PUBLIC_CANDIDATE","public by default; still not canon","private/hold; do not publish")</x:f>
        <x:v>public by default; still not canon</x:v>
      </x:c>
      <x:c r="AK190" s="12" t="str">
        <x:f>IF(AE190="prepare_public_github_candidate","add receipt/status then mirror","resolve blocker before any public GitHub action")</x:f>
        <x:v>add receipt/status then mirror</x:v>
      </x:c>
    </x:row>
    <x:row r="191">
      <x:c r="A191" s="15" t="str">
        <x:v>SWARM-02-H04-S10</x:v>
      </x:c>
      <x:c r="B191" s="15" t="str">
        <x:v>Hashlight</x:v>
      </x:c>
      <x:c r="C191" s="15" t="str">
        <x:v>Hash and identity keeper</x:v>
      </x:c>
      <x:c r="D191" s="15" t="str">
        <x:v>Claim Extraction</x:v>
      </x:c>
      <x:c r="E191" s="15" t="str">
        <x:v>Human-Root</x:v>
      </x:c>
      <x:c r="F191" s="15" t="str">
        <x:v>Extract claims from Human-Root — Hashlight</x:v>
      </x:c>
      <x:c r="G191" s="15" t="str">
        <x:v>ids / hashes / timestamps / duplicate control</x:v>
      </x:c>
      <x:c r="H191" s="15" t="str">
        <x:v>source path + receipt + raw/export status + claim/edge/risk delta</x:v>
      </x:c>
      <x:c r="I191" s="15" t="str">
        <x:v>packet/SWARM-02-H04-S10</x:v>
      </x:c>
      <x:c r="J191" s="15" t="str">
        <x:v>TODO</x:v>
      </x:c>
      <x:c r="K191" s="15" t="str">
        <x:v>P2</x:v>
      </x:c>
      <x:c r="L191" s="15" t="str">
        <x:v>Done only when evidence is logged, contradiction search is noted, and boundary stamp remains non-canon unless ratified</x:v>
      </x:c>
      <x:c r="M191" s="15" t="str">
        <x:v>candidate / staging-only / not canon / not deployed / authority none</x:v>
      </x:c>
      <x:c r="N191" s="15" t="str">
        <x:v>Dispatch to Hashlight: complete Claim Extraction x Human-Root; return deltas only, receipts required.</x:v>
      </x:c>
      <x:c r="O191" s="15" t="str">
        <x:v>AF-KG-H04-S10</x:v>
      </x:c>
      <x:c r="P191" s="15" t="str">
        <x:v>Unverified</x:v>
      </x:c>
      <x:c r="Q191" s="15" t="str">
        <x:v>Not checked</x:v>
      </x:c>
      <x:c r="R191" s="15" t="str"/>
      <x:c r="S191" s="15" t="str"/>
      <x:c r="T191" s="15" t="str">
        <x:v>Log first source path or blocker</x:v>
      </x:c>
      <x:c r="U191" s="12" t="str">
        <x:f>IF(OR(P191="Unverified",Q191="Not checked"),"BLOCKED_PENDING_RECEIPT","READY_FOR_REVIEW")</x:f>
        <x:v>BLOCKED_PENDING_RECEIPT</x:v>
      </x:c>
      <x:c r="V191" s="12" t="str">
        <x:f>IF(J191="DONE","RETURNED",IF(U191="BLOCKED_PENDING_RECEIPT","SOURCE_TOUCH_REQUIRED","IN_PROGRESS"))</x:f>
        <x:v>SOURCE_TOUCH_REQUIRED</x:v>
      </x:c>
      <x:c r="W191" s="12" t="str">
        <x:f>IF(P191="Unverified","missing_receipt","receipt_logged")</x:f>
        <x:v>missing_receipt</x:v>
      </x:c>
      <x:c r="X191" s="12" t="str">
        <x:f>IF(Q191="Not checked","raw_status_missing","raw_status_logged")</x:f>
        <x:v>raw_status_missing</x:v>
      </x:c>
      <x:c r="Y191" s="12" t="str">
        <x:f>IF(U191="BLOCKED_PENDING_RECEIPT","Log source path or blocker; do not promote","Route to review lane")</x:f>
        <x:v>Log source path or blocker; do not promote</x:v>
      </x:c>
      <x:c r="Z191" s="12" t="str">
        <x:f>IF(K191="P0","Primary seat + Hashlight/Lucerna","Seat lane")</x:f>
        <x:v>Seat lane</x:v>
      </x:c>
      <x:c r="AA191" s="12" t="str">
        <x:f>IF(R191="","no_claim_delta","claim_delta_present")</x:f>
        <x:v>no_claim_delta</x:v>
      </x:c>
      <x:c r="AB191" s="12" t="str">
        <x:f>IF(S191="","no_contradiction_delta","contradiction_delta_present")</x:f>
        <x:v>no_contradiction_delta</x:v>
      </x:c>
      <x:c r="AC191" s="12" t="str">
        <x:f>IF(OR(ISNUMBER(SEARCH("hacker",LOWER(F191&amp;" "&amp;H191&amp;" "&amp;I191&amp;" "&amp;M191&amp;" "&amp;N191&amp;" "&amp;T191))),ISNUMBER(SEARCH("hacking",LOWER(F191&amp;" "&amp;H191&amp;" "&amp;I191&amp;" "&amp;M191&amp;" "&amp;N191&amp;" "&amp;T191))),ISNUMBER(SEARCH("bank",LOWER(F191&amp;" "&amp;H191&amp;" "&amp;I191&amp;" "&amp;M191&amp;" "&amp;N191&amp;" "&amp;T191))),ISNUMBER(SEARCH("banking",LOWER(F191&amp;" "&amp;H191&amp;" "&amp;I191&amp;" "&amp;M191&amp;" "&amp;N191&amp;" "&amp;T191)))),"PRIVATE_QUARANTINE",IF(OR(ISNUMBER(SEARCH("treasury",LOWER(F191&amp;" "&amp;H191&amp;" "&amp;I191&amp;" "&amp;M191&amp;" "&amp;N191&amp;" "&amp;T191))),ISNUMBER(SEARCH("debt",LOWER(F191&amp;" "&amp;H191&amp;" "&amp;I191&amp;" "&amp;M191&amp;" "&amp;N191&amp;" "&amp;T191))),ISNUMBER(SEARCH("bond",LOWER(F191&amp;" "&amp;H191&amp;" "&amp;I191&amp;" "&amp;M191&amp;" "&amp;N191&amp;" "&amp;T191))),ISNUMBER(SEARCH("transaction",LOWER(F191&amp;" "&amp;H191&amp;" "&amp;I191&amp;" "&amp;M191&amp;" "&amp;N191&amp;" "&amp;T191)))),"PRIVATE_REVIEW","PUBLIC_CANDIDATE"))</x:f>
        <x:v>PUBLIC_CANDIDATE</x:v>
      </x:c>
      <x:c r="AD191" s="12" t="str">
        <x:f>IF(AC191="PRIVATE_QUARANTINE","hacker_or_bank_trigger",IF(AC191="PRIVATE_REVIEW","finance_risk_trigger","none"))</x:f>
        <x:v>none</x:v>
      </x:c>
      <x:c r="AE191" s="12" t="str">
        <x:f>IF(AC191="PUBLIC_CANDIDATE","prepare_public_github_candidate",IF(AC191="PRIVATE_REVIEW","hold_for_private_review","quarantine_private_do_not_publish"))</x:f>
        <x:v>prepare_public_github_candidate</x:v>
      </x:c>
      <x:c r="AF191" s="12" t="str">
        <x:f>IF(AC191="PUBLIC_CANDIDATE","TIDELOCK + Lucerna",IF(AC191="PRIVATE_REVIEW","AtlasBrain + Lucerna","TIDELOCK + Lucerna + Human-root"))</x:f>
        <x:v>TIDELOCK + Lucerna</x:v>
      </x:c>
      <x:c r="AG191" s="12" t="str">
        <x:f>IF(AND(AC191="PUBLIC_CANDIDATE",U191&lt;&gt;"BLOCKED_PENDING_RECEIPT"),"READY_AFTER_RECEIPT","NOT_READY")</x:f>
        <x:v>NOT_READY</x:v>
      </x:c>
      <x:c r="AH191" s="12" t="str">
        <x:f>IF(AC191="PUBLIC_CANDIDATE","none",AD191)</x:f>
        <x:v>none</x:v>
      </x:c>
      <x:c r="AI191" s="12" t="str">
        <x:f>IF(AC191="PUBLIC_CANDIDATE","archive/public_candidates/"&amp;A191,"private_quarantine/"&amp;A191)</x:f>
        <x:v>archive/public_candidates/SWARM-02-H04-S10</x:v>
      </x:c>
      <x:c r="AJ191" s="12" t="str">
        <x:f>IF(AC191="PUBLIC_CANDIDATE","public by default; still not canon","private/hold; do not publish")</x:f>
        <x:v>public by default; still not canon</x:v>
      </x:c>
      <x:c r="AK191" s="12" t="str">
        <x:f>IF(AE191="prepare_public_github_candidate","add receipt/status then mirror","resolve blocker before any public GitHub action")</x:f>
        <x:v>add receipt/status then mirror</x:v>
      </x:c>
    </x:row>
    <x:row r="192">
      <x:c r="A192" s="15" t="str">
        <x:v>SWARM-02-H04-S11</x:v>
      </x:c>
      <x:c r="B192" s="15" t="str">
        <x:v>Hashlight</x:v>
      </x:c>
      <x:c r="C192" s="15" t="str">
        <x:v>Hash and identity keeper</x:v>
      </x:c>
      <x:c r="D192" s="15" t="str">
        <x:v>Claim Extraction</x:v>
      </x:c>
      <x:c r="E192" s="15" t="str">
        <x:v>Automation</x:v>
      </x:c>
      <x:c r="F192" s="15" t="str">
        <x:v>Extract claims from Automation — Hashlight</x:v>
      </x:c>
      <x:c r="G192" s="15" t="str">
        <x:v>ids / hashes / timestamps / duplicate control</x:v>
      </x:c>
      <x:c r="H192" s="15" t="str">
        <x:v>source path + receipt + raw/export status + claim/edge/risk delta</x:v>
      </x:c>
      <x:c r="I192" s="15" t="str">
        <x:v>packet/SWARM-02-H04-S11</x:v>
      </x:c>
      <x:c r="J192" s="15" t="str">
        <x:v>TODO</x:v>
      </x:c>
      <x:c r="K192" s="15" t="str">
        <x:v>P2</x:v>
      </x:c>
      <x:c r="L192" s="15" t="str">
        <x:v>Done only when evidence is logged, contradiction search is noted, and boundary stamp remains non-canon unless ratified</x:v>
      </x:c>
      <x:c r="M192" s="15" t="str">
        <x:v>candidate / staging-only / not canon / not deployed / authority none</x:v>
      </x:c>
      <x:c r="N192" s="15" t="str">
        <x:v>Dispatch to Hashlight: complete Claim Extraction x Automation; return deltas only, receipts required.</x:v>
      </x:c>
      <x:c r="O192" s="15" t="str">
        <x:v>AF-KG-H04-S11</x:v>
      </x:c>
      <x:c r="P192" s="15" t="str">
        <x:v>Unverified</x:v>
      </x:c>
      <x:c r="Q192" s="15" t="str">
        <x:v>Not checked</x:v>
      </x:c>
      <x:c r="R192" s="15" t="str"/>
      <x:c r="S192" s="15" t="str"/>
      <x:c r="T192" s="15" t="str">
        <x:v>Log first source path or blocker</x:v>
      </x:c>
      <x:c r="U192" s="12" t="str">
        <x:f>IF(OR(P192="Unverified",Q192="Not checked"),"BLOCKED_PENDING_RECEIPT","READY_FOR_REVIEW")</x:f>
        <x:v>BLOCKED_PENDING_RECEIPT</x:v>
      </x:c>
      <x:c r="V192" s="12" t="str">
        <x:f>IF(J192="DONE","RETURNED",IF(U192="BLOCKED_PENDING_RECEIPT","SOURCE_TOUCH_REQUIRED","IN_PROGRESS"))</x:f>
        <x:v>SOURCE_TOUCH_REQUIRED</x:v>
      </x:c>
      <x:c r="W192" s="12" t="str">
        <x:f>IF(P192="Unverified","missing_receipt","receipt_logged")</x:f>
        <x:v>missing_receipt</x:v>
      </x:c>
      <x:c r="X192" s="12" t="str">
        <x:f>IF(Q192="Not checked","raw_status_missing","raw_status_logged")</x:f>
        <x:v>raw_status_missing</x:v>
      </x:c>
      <x:c r="Y192" s="12" t="str">
        <x:f>IF(U192="BLOCKED_PENDING_RECEIPT","Log source path or blocker; do not promote","Route to review lane")</x:f>
        <x:v>Log source path or blocker; do not promote</x:v>
      </x:c>
      <x:c r="Z192" s="12" t="str">
        <x:f>IF(K192="P0","Primary seat + Hashlight/Lucerna","Seat lane")</x:f>
        <x:v>Seat lane</x:v>
      </x:c>
      <x:c r="AA192" s="12" t="str">
        <x:f>IF(R192="","no_claim_delta","claim_delta_present")</x:f>
        <x:v>no_claim_delta</x:v>
      </x:c>
      <x:c r="AB192" s="12" t="str">
        <x:f>IF(S192="","no_contradiction_delta","contradiction_delta_present")</x:f>
        <x:v>no_contradiction_delta</x:v>
      </x:c>
      <x:c r="AC192" s="12" t="str">
        <x:f>IF(OR(ISNUMBER(SEARCH("hacker",LOWER(F192&amp;" "&amp;H192&amp;" "&amp;I192&amp;" "&amp;M192&amp;" "&amp;N192&amp;" "&amp;T192))),ISNUMBER(SEARCH("hacking",LOWER(F192&amp;" "&amp;H192&amp;" "&amp;I192&amp;" "&amp;M192&amp;" "&amp;N192&amp;" "&amp;T192))),ISNUMBER(SEARCH("bank",LOWER(F192&amp;" "&amp;H192&amp;" "&amp;I192&amp;" "&amp;M192&amp;" "&amp;N192&amp;" "&amp;T192))),ISNUMBER(SEARCH("banking",LOWER(F192&amp;" "&amp;H192&amp;" "&amp;I192&amp;" "&amp;M192&amp;" "&amp;N192&amp;" "&amp;T192)))),"PRIVATE_QUARANTINE",IF(OR(ISNUMBER(SEARCH("treasury",LOWER(F192&amp;" "&amp;H192&amp;" "&amp;I192&amp;" "&amp;M192&amp;" "&amp;N192&amp;" "&amp;T192))),ISNUMBER(SEARCH("debt",LOWER(F192&amp;" "&amp;H192&amp;" "&amp;I192&amp;" "&amp;M192&amp;" "&amp;N192&amp;" "&amp;T192))),ISNUMBER(SEARCH("bond",LOWER(F192&amp;" "&amp;H192&amp;" "&amp;I192&amp;" "&amp;M192&amp;" "&amp;N192&amp;" "&amp;T192))),ISNUMBER(SEARCH("transaction",LOWER(F192&amp;" "&amp;H192&amp;" "&amp;I192&amp;" "&amp;M192&amp;" "&amp;N192&amp;" "&amp;T192)))),"PRIVATE_REVIEW","PUBLIC_CANDIDATE"))</x:f>
        <x:v>PUBLIC_CANDIDATE</x:v>
      </x:c>
      <x:c r="AD192" s="12" t="str">
        <x:f>IF(AC192="PRIVATE_QUARANTINE","hacker_or_bank_trigger",IF(AC192="PRIVATE_REVIEW","finance_risk_trigger","none"))</x:f>
        <x:v>none</x:v>
      </x:c>
      <x:c r="AE192" s="12" t="str">
        <x:f>IF(AC192="PUBLIC_CANDIDATE","prepare_public_github_candidate",IF(AC192="PRIVATE_REVIEW","hold_for_private_review","quarantine_private_do_not_publish"))</x:f>
        <x:v>prepare_public_github_candidate</x:v>
      </x:c>
      <x:c r="AF192" s="12" t="str">
        <x:f>IF(AC192="PUBLIC_CANDIDATE","TIDELOCK + Lucerna",IF(AC192="PRIVATE_REVIEW","AtlasBrain + Lucerna","TIDELOCK + Lucerna + Human-root"))</x:f>
        <x:v>TIDELOCK + Lucerna</x:v>
      </x:c>
      <x:c r="AG192" s="12" t="str">
        <x:f>IF(AND(AC192="PUBLIC_CANDIDATE",U192&lt;&gt;"BLOCKED_PENDING_RECEIPT"),"READY_AFTER_RECEIPT","NOT_READY")</x:f>
        <x:v>NOT_READY</x:v>
      </x:c>
      <x:c r="AH192" s="12" t="str">
        <x:f>IF(AC192="PUBLIC_CANDIDATE","none",AD192)</x:f>
        <x:v>none</x:v>
      </x:c>
      <x:c r="AI192" s="12" t="str">
        <x:f>IF(AC192="PUBLIC_CANDIDATE","archive/public_candidates/"&amp;A192,"private_quarantine/"&amp;A192)</x:f>
        <x:v>archive/public_candidates/SWARM-02-H04-S11</x:v>
      </x:c>
      <x:c r="AJ192" s="12" t="str">
        <x:f>IF(AC192="PUBLIC_CANDIDATE","public by default; still not canon","private/hold; do not publish")</x:f>
        <x:v>public by default; still not canon</x:v>
      </x:c>
      <x:c r="AK192" s="12" t="str">
        <x:f>IF(AE192="prepare_public_github_candidate","add receipt/status then mirror","resolve blocker before any public GitHub action")</x:f>
        <x:v>add receipt/status then mirror</x:v>
      </x:c>
    </x:row>
    <x:row r="193">
      <x:c r="A193" s="15" t="str">
        <x:v>SWARM-02-H04-S12</x:v>
      </x:c>
      <x:c r="B193" s="15" t="str">
        <x:v>Hashlight</x:v>
      </x:c>
      <x:c r="C193" s="15" t="str">
        <x:v>Hash and identity keeper</x:v>
      </x:c>
      <x:c r="D193" s="15" t="str">
        <x:v>Claim Extraction</x:v>
      </x:c>
      <x:c r="E193" s="15" t="str">
        <x:v>Risk / Safety</x:v>
      </x:c>
      <x:c r="F193" s="15" t="str">
        <x:v>Extract claims from Risk / Safety — Hashlight</x:v>
      </x:c>
      <x:c r="G193" s="15" t="str">
        <x:v>ids / hashes / timestamps / duplicate control</x:v>
      </x:c>
      <x:c r="H193" s="15" t="str">
        <x:v>source path + receipt + raw/export status + claim/edge/risk delta</x:v>
      </x:c>
      <x:c r="I193" s="15" t="str">
        <x:v>packet/SWARM-02-H04-S12</x:v>
      </x:c>
      <x:c r="J193" s="15" t="str">
        <x:v>TODO</x:v>
      </x:c>
      <x:c r="K193" s="15" t="str">
        <x:v>P2</x:v>
      </x:c>
      <x:c r="L193" s="15" t="str">
        <x:v>Done only when evidence is logged, contradiction search is noted, and boundary stamp remains non-canon unless ratified</x:v>
      </x:c>
      <x:c r="M193" s="15" t="str">
        <x:v>candidate / staging-only / not canon / not deployed / authority none</x:v>
      </x:c>
      <x:c r="N193" s="15" t="str">
        <x:v>Dispatch to Hashlight: complete Claim Extraction x Risk / Safety; return deltas only, receipts required.</x:v>
      </x:c>
      <x:c r="O193" s="15" t="str">
        <x:v>AF-KG-H04-S12</x:v>
      </x:c>
      <x:c r="P193" s="15" t="str">
        <x:v>Unverified</x:v>
      </x:c>
      <x:c r="Q193" s="15" t="str">
        <x:v>Not checked</x:v>
      </x:c>
      <x:c r="R193" s="15" t="str"/>
      <x:c r="S193" s="15" t="str"/>
      <x:c r="T193" s="15" t="str">
        <x:v>Log first source path or blocker</x:v>
      </x:c>
      <x:c r="U193" s="12" t="str">
        <x:f>IF(OR(P193="Unverified",Q193="Not checked"),"BLOCKED_PENDING_RECEIPT","READY_FOR_REVIEW")</x:f>
        <x:v>BLOCKED_PENDING_RECEIPT</x:v>
      </x:c>
      <x:c r="V193" s="12" t="str">
        <x:f>IF(J193="DONE","RETURNED",IF(U193="BLOCKED_PENDING_RECEIPT","SOURCE_TOUCH_REQUIRED","IN_PROGRESS"))</x:f>
        <x:v>SOURCE_TOUCH_REQUIRED</x:v>
      </x:c>
      <x:c r="W193" s="12" t="str">
        <x:f>IF(P193="Unverified","missing_receipt","receipt_logged")</x:f>
        <x:v>missing_receipt</x:v>
      </x:c>
      <x:c r="X193" s="12" t="str">
        <x:f>IF(Q193="Not checked","raw_status_missing","raw_status_logged")</x:f>
        <x:v>raw_status_missing</x:v>
      </x:c>
      <x:c r="Y193" s="12" t="str">
        <x:f>IF(U193="BLOCKED_PENDING_RECEIPT","Log source path or blocker; do not promote","Route to review lane")</x:f>
        <x:v>Log source path or blocker; do not promote</x:v>
      </x:c>
      <x:c r="Z193" s="12" t="str">
        <x:f>IF(K193="P0","Primary seat + Hashlight/Lucerna","Seat lane")</x:f>
        <x:v>Seat lane</x:v>
      </x:c>
      <x:c r="AA193" s="12" t="str">
        <x:f>IF(R193="","no_claim_delta","claim_delta_present")</x:f>
        <x:v>no_claim_delta</x:v>
      </x:c>
      <x:c r="AB193" s="12" t="str">
        <x:f>IF(S193="","no_contradiction_delta","contradiction_delta_present")</x:f>
        <x:v>no_contradiction_delta</x:v>
      </x:c>
      <x:c r="AC193" s="12" t="str">
        <x:f>IF(OR(ISNUMBER(SEARCH("hacker",LOWER(F193&amp;" "&amp;H193&amp;" "&amp;I193&amp;" "&amp;M193&amp;" "&amp;N193&amp;" "&amp;T193))),ISNUMBER(SEARCH("hacking",LOWER(F193&amp;" "&amp;H193&amp;" "&amp;I193&amp;" "&amp;M193&amp;" "&amp;N193&amp;" "&amp;T193))),ISNUMBER(SEARCH("bank",LOWER(F193&amp;" "&amp;H193&amp;" "&amp;I193&amp;" "&amp;M193&amp;" "&amp;N193&amp;" "&amp;T193))),ISNUMBER(SEARCH("banking",LOWER(F193&amp;" "&amp;H193&amp;" "&amp;I193&amp;" "&amp;M193&amp;" "&amp;N193&amp;" "&amp;T193)))),"PRIVATE_QUARANTINE",IF(OR(ISNUMBER(SEARCH("treasury",LOWER(F193&amp;" "&amp;H193&amp;" "&amp;I193&amp;" "&amp;M193&amp;" "&amp;N193&amp;" "&amp;T193))),ISNUMBER(SEARCH("debt",LOWER(F193&amp;" "&amp;H193&amp;" "&amp;I193&amp;" "&amp;M193&amp;" "&amp;N193&amp;" "&amp;T193))),ISNUMBER(SEARCH("bond",LOWER(F193&amp;" "&amp;H193&amp;" "&amp;I193&amp;" "&amp;M193&amp;" "&amp;N193&amp;" "&amp;T193))),ISNUMBER(SEARCH("transaction",LOWER(F193&amp;" "&amp;H193&amp;" "&amp;I193&amp;" "&amp;M193&amp;" "&amp;N193&amp;" "&amp;T193)))),"PRIVATE_REVIEW","PUBLIC_CANDIDATE"))</x:f>
        <x:v>PUBLIC_CANDIDATE</x:v>
      </x:c>
      <x:c r="AD193" s="12" t="str">
        <x:f>IF(AC193="PRIVATE_QUARANTINE","hacker_or_bank_trigger",IF(AC193="PRIVATE_REVIEW","finance_risk_trigger","none"))</x:f>
        <x:v>none</x:v>
      </x:c>
      <x:c r="AE193" s="12" t="str">
        <x:f>IF(AC193="PUBLIC_CANDIDATE","prepare_public_github_candidate",IF(AC193="PRIVATE_REVIEW","hold_for_private_review","quarantine_private_do_not_publish"))</x:f>
        <x:v>prepare_public_github_candidate</x:v>
      </x:c>
      <x:c r="AF193" s="12" t="str">
        <x:f>IF(AC193="PUBLIC_CANDIDATE","TIDELOCK + Lucerna",IF(AC193="PRIVATE_REVIEW","AtlasBrain + Lucerna","TIDELOCK + Lucerna + Human-root"))</x:f>
        <x:v>TIDELOCK + Lucerna</x:v>
      </x:c>
      <x:c r="AG193" s="12" t="str">
        <x:f>IF(AND(AC193="PUBLIC_CANDIDATE",U193&lt;&gt;"BLOCKED_PENDING_RECEIPT"),"READY_AFTER_RECEIPT","NOT_READY")</x:f>
        <x:v>NOT_READY</x:v>
      </x:c>
      <x:c r="AH193" s="12" t="str">
        <x:f>IF(AC193="PUBLIC_CANDIDATE","none",AD193)</x:f>
        <x:v>none</x:v>
      </x:c>
      <x:c r="AI193" s="12" t="str">
        <x:f>IF(AC193="PUBLIC_CANDIDATE","archive/public_candidates/"&amp;A193,"private_quarantine/"&amp;A193)</x:f>
        <x:v>archive/public_candidates/SWARM-02-H04-S12</x:v>
      </x:c>
      <x:c r="AJ193" s="12" t="str">
        <x:f>IF(AC193="PUBLIC_CANDIDATE","public by default; still not canon","private/hold; do not publish")</x:f>
        <x:v>public by default; still not canon</x:v>
      </x:c>
      <x:c r="AK193" s="12" t="str">
        <x:f>IF(AE193="prepare_public_github_candidate","add receipt/status then mirror","resolve blocker before any public GitHub action")</x:f>
        <x:v>add receipt/status then mirror</x:v>
      </x:c>
    </x:row>
    <x:row r="194">
      <x:c r="A194" s="15" t="str">
        <x:v>SWARM-02-H05-S01</x:v>
      </x:c>
      <x:c r="B194" s="15" t="str">
        <x:v>Hashlight</x:v>
      </x:c>
      <x:c r="C194" s="15" t="str">
        <x:v>Hash and identity keeper</x:v>
      </x:c>
      <x:c r="D194" s="15" t="str">
        <x:v>Contradiction Mapping</x:v>
      </x:c>
      <x:c r="E194" s="15" t="str">
        <x:v>Notion</x:v>
      </x:c>
      <x:c r="F194" s="15" t="str">
        <x:v>Map contradictions in Notion — Hashlight</x:v>
      </x:c>
      <x:c r="G194" s="15" t="str">
        <x:v>ids / hashes / timestamps / duplicate control</x:v>
      </x:c>
      <x:c r="H194" s="15" t="str">
        <x:v>source path + receipt + raw/export status + claim/edge/risk delta</x:v>
      </x:c>
      <x:c r="I194" s="15" t="str">
        <x:v>packet/SWARM-02-H05-S01</x:v>
      </x:c>
      <x:c r="J194" s="15" t="str">
        <x:v>TODO</x:v>
      </x:c>
      <x:c r="K194" s="15" t="str">
        <x:v>P0</x:v>
      </x:c>
      <x:c r="L194" s="15" t="str">
        <x:v>Done only when evidence is logged, contradiction search is noted, and boundary stamp remains non-canon unless ratified</x:v>
      </x:c>
      <x:c r="M194" s="15" t="str">
        <x:v>candidate / staging-only / not canon / not deployed / authority none</x:v>
      </x:c>
      <x:c r="N194" s="15" t="str">
        <x:v>Dispatch to Hashlight: complete Contradiction Mapping x Notion; return deltas only, receipts required.</x:v>
      </x:c>
      <x:c r="O194" s="15" t="str">
        <x:v>AF-KG-H05-S01</x:v>
      </x:c>
      <x:c r="P194" s="15" t="str">
        <x:v>Unverified</x:v>
      </x:c>
      <x:c r="Q194" s="15" t="str">
        <x:v>Not checked</x:v>
      </x:c>
      <x:c r="R194" s="15" t="str"/>
      <x:c r="S194" s="15" t="str"/>
      <x:c r="T194" s="15" t="str">
        <x:v>Log first source path or blocker</x:v>
      </x:c>
      <x:c r="U194" s="12" t="str">
        <x:f>IF(OR(P194="Unverified",Q194="Not checked"),"BLOCKED_PENDING_RECEIPT","READY_FOR_REVIEW")</x:f>
        <x:v>BLOCKED_PENDING_RECEIPT</x:v>
      </x:c>
      <x:c r="V194" s="12" t="str">
        <x:f>IF(J194="DONE","RETURNED",IF(U194="BLOCKED_PENDING_RECEIPT","SOURCE_TOUCH_REQUIRED","IN_PROGRESS"))</x:f>
        <x:v>SOURCE_TOUCH_REQUIRED</x:v>
      </x:c>
      <x:c r="W194" s="12" t="str">
        <x:f>IF(P194="Unverified","missing_receipt","receipt_logged")</x:f>
        <x:v>missing_receipt</x:v>
      </x:c>
      <x:c r="X194" s="12" t="str">
        <x:f>IF(Q194="Not checked","raw_status_missing","raw_status_logged")</x:f>
        <x:v>raw_status_missing</x:v>
      </x:c>
      <x:c r="Y194" s="12" t="str">
        <x:f>IF(U194="BLOCKED_PENDING_RECEIPT","Log source path or blocker; do not promote","Route to review lane")</x:f>
        <x:v>Log source path or blocker; do not promote</x:v>
      </x:c>
      <x:c r="Z194" s="12" t="str">
        <x:f>IF(K194="P0","Primary seat + Hashlight/Lucerna","Seat lane")</x:f>
        <x:v>Primary seat + Hashlight/Lucerna</x:v>
      </x:c>
      <x:c r="AA194" s="12" t="str">
        <x:f>IF(R194="","no_claim_delta","claim_delta_present")</x:f>
        <x:v>no_claim_delta</x:v>
      </x:c>
      <x:c r="AB194" s="12" t="str">
        <x:f>IF(S194="","no_contradiction_delta","contradiction_delta_present")</x:f>
        <x:v>no_contradiction_delta</x:v>
      </x:c>
      <x:c r="AC194" s="12" t="str">
        <x:f>IF(OR(ISNUMBER(SEARCH("hacker",LOWER(F194&amp;" "&amp;H194&amp;" "&amp;I194&amp;" "&amp;M194&amp;" "&amp;N194&amp;" "&amp;T194))),ISNUMBER(SEARCH("hacking",LOWER(F194&amp;" "&amp;H194&amp;" "&amp;I194&amp;" "&amp;M194&amp;" "&amp;N194&amp;" "&amp;T194))),ISNUMBER(SEARCH("bank",LOWER(F194&amp;" "&amp;H194&amp;" "&amp;I194&amp;" "&amp;M194&amp;" "&amp;N194&amp;" "&amp;T194))),ISNUMBER(SEARCH("banking",LOWER(F194&amp;" "&amp;H194&amp;" "&amp;I194&amp;" "&amp;M194&amp;" "&amp;N194&amp;" "&amp;T194)))),"PRIVATE_QUARANTINE",IF(OR(ISNUMBER(SEARCH("treasury",LOWER(F194&amp;" "&amp;H194&amp;" "&amp;I194&amp;" "&amp;M194&amp;" "&amp;N194&amp;" "&amp;T194))),ISNUMBER(SEARCH("debt",LOWER(F194&amp;" "&amp;H194&amp;" "&amp;I194&amp;" "&amp;M194&amp;" "&amp;N194&amp;" "&amp;T194))),ISNUMBER(SEARCH("bond",LOWER(F194&amp;" "&amp;H194&amp;" "&amp;I194&amp;" "&amp;M194&amp;" "&amp;N194&amp;" "&amp;T194))),ISNUMBER(SEARCH("transaction",LOWER(F194&amp;" "&amp;H194&amp;" "&amp;I194&amp;" "&amp;M194&amp;" "&amp;N194&amp;" "&amp;T194)))),"PRIVATE_REVIEW","PUBLIC_CANDIDATE"))</x:f>
        <x:v>PUBLIC_CANDIDATE</x:v>
      </x:c>
      <x:c r="AD194" s="12" t="str">
        <x:f>IF(AC194="PRIVATE_QUARANTINE","hacker_or_bank_trigger",IF(AC194="PRIVATE_REVIEW","finance_risk_trigger","none"))</x:f>
        <x:v>none</x:v>
      </x:c>
      <x:c r="AE194" s="12" t="str">
        <x:f>IF(AC194="PUBLIC_CANDIDATE","prepare_public_github_candidate",IF(AC194="PRIVATE_REVIEW","hold_for_private_review","quarantine_private_do_not_publish"))</x:f>
        <x:v>prepare_public_github_candidate</x:v>
      </x:c>
      <x:c r="AF194" s="12" t="str">
        <x:f>IF(AC194="PUBLIC_CANDIDATE","TIDELOCK + Lucerna",IF(AC194="PRIVATE_REVIEW","AtlasBrain + Lucerna","TIDELOCK + Lucerna + Human-root"))</x:f>
        <x:v>TIDELOCK + Lucerna</x:v>
      </x:c>
      <x:c r="AG194" s="12" t="str">
        <x:f>IF(AND(AC194="PUBLIC_CANDIDATE",U194&lt;&gt;"BLOCKED_PENDING_RECEIPT"),"READY_AFTER_RECEIPT","NOT_READY")</x:f>
        <x:v>NOT_READY</x:v>
      </x:c>
      <x:c r="AH194" s="12" t="str">
        <x:f>IF(AC194="PUBLIC_CANDIDATE","none",AD194)</x:f>
        <x:v>none</x:v>
      </x:c>
      <x:c r="AI194" s="12" t="str">
        <x:f>IF(AC194="PUBLIC_CANDIDATE","archive/public_candidates/"&amp;A194,"private_quarantine/"&amp;A194)</x:f>
        <x:v>archive/public_candidates/SWARM-02-H05-S01</x:v>
      </x:c>
      <x:c r="AJ194" s="12" t="str">
        <x:f>IF(AC194="PUBLIC_CANDIDATE","public by default; still not canon","private/hold; do not publish")</x:f>
        <x:v>public by default; still not canon</x:v>
      </x:c>
      <x:c r="AK194" s="12" t="str">
        <x:f>IF(AE194="prepare_public_github_candidate","add receipt/status then mirror","resolve blocker before any public GitHub action")</x:f>
        <x:v>add receipt/status then mirror</x:v>
      </x:c>
    </x:row>
    <x:row r="195">
      <x:c r="A195" s="15" t="str">
        <x:v>SWARM-02-H05-S02</x:v>
      </x:c>
      <x:c r="B195" s="15" t="str">
        <x:v>Hashlight</x:v>
      </x:c>
      <x:c r="C195" s="15" t="str">
        <x:v>Hash and identity keeper</x:v>
      </x:c>
      <x:c r="D195" s="15" t="str">
        <x:v>Contradiction Mapping</x:v>
      </x:c>
      <x:c r="E195" s="15" t="str">
        <x:v>Drive</x:v>
      </x:c>
      <x:c r="F195" s="15" t="str">
        <x:v>Map contradictions in Drive — Hashlight</x:v>
      </x:c>
      <x:c r="G195" s="15" t="str">
        <x:v>ids / hashes / timestamps / duplicate control</x:v>
      </x:c>
      <x:c r="H195" s="15" t="str">
        <x:v>source path + receipt + raw/export status + claim/edge/risk delta</x:v>
      </x:c>
      <x:c r="I195" s="15" t="str">
        <x:v>packet/SWARM-02-H05-S02</x:v>
      </x:c>
      <x:c r="J195" s="15" t="str">
        <x:v>TODO</x:v>
      </x:c>
      <x:c r="K195" s="15" t="str">
        <x:v>P0</x:v>
      </x:c>
      <x:c r="L195" s="15" t="str">
        <x:v>Done only when evidence is logged, contradiction search is noted, and boundary stamp remains non-canon unless ratified</x:v>
      </x:c>
      <x:c r="M195" s="15" t="str">
        <x:v>candidate / staging-only / not canon / not deployed / authority none</x:v>
      </x:c>
      <x:c r="N195" s="15" t="str">
        <x:v>Dispatch to Hashlight: complete Contradiction Mapping x Drive; return deltas only, receipts required.</x:v>
      </x:c>
      <x:c r="O195" s="15" t="str">
        <x:v>AF-KG-H05-S02</x:v>
      </x:c>
      <x:c r="P195" s="15" t="str">
        <x:v>Unverified</x:v>
      </x:c>
      <x:c r="Q195" s="15" t="str">
        <x:v>Not checked</x:v>
      </x:c>
      <x:c r="R195" s="15" t="str"/>
      <x:c r="S195" s="15" t="str"/>
      <x:c r="T195" s="15" t="str">
        <x:v>Log first source path or blocker</x:v>
      </x:c>
      <x:c r="U195" s="12" t="str">
        <x:f>IF(OR(P195="Unverified",Q195="Not checked"),"BLOCKED_PENDING_RECEIPT","READY_FOR_REVIEW")</x:f>
        <x:v>BLOCKED_PENDING_RECEIPT</x:v>
      </x:c>
      <x:c r="V195" s="12" t="str">
        <x:f>IF(J195="DONE","RETURNED",IF(U195="BLOCKED_PENDING_RECEIPT","SOURCE_TOUCH_REQUIRED","IN_PROGRESS"))</x:f>
        <x:v>SOURCE_TOUCH_REQUIRED</x:v>
      </x:c>
      <x:c r="W195" s="12" t="str">
        <x:f>IF(P195="Unverified","missing_receipt","receipt_logged")</x:f>
        <x:v>missing_receipt</x:v>
      </x:c>
      <x:c r="X195" s="12" t="str">
        <x:f>IF(Q195="Not checked","raw_status_missing","raw_status_logged")</x:f>
        <x:v>raw_status_missing</x:v>
      </x:c>
      <x:c r="Y195" s="12" t="str">
        <x:f>IF(U195="BLOCKED_PENDING_RECEIPT","Log source path or blocker; do not promote","Route to review lane")</x:f>
        <x:v>Log source path or blocker; do not promote</x:v>
      </x:c>
      <x:c r="Z195" s="12" t="str">
        <x:f>IF(K195="P0","Primary seat + Hashlight/Lucerna","Seat lane")</x:f>
        <x:v>Primary seat + Hashlight/Lucerna</x:v>
      </x:c>
      <x:c r="AA195" s="12" t="str">
        <x:f>IF(R195="","no_claim_delta","claim_delta_present")</x:f>
        <x:v>no_claim_delta</x:v>
      </x:c>
      <x:c r="AB195" s="12" t="str">
        <x:f>IF(S195="","no_contradiction_delta","contradiction_delta_present")</x:f>
        <x:v>no_contradiction_delta</x:v>
      </x:c>
      <x:c r="AC195" s="12" t="str">
        <x:f>IF(OR(ISNUMBER(SEARCH("hacker",LOWER(F195&amp;" "&amp;H195&amp;" "&amp;I195&amp;" "&amp;M195&amp;" "&amp;N195&amp;" "&amp;T195))),ISNUMBER(SEARCH("hacking",LOWER(F195&amp;" "&amp;H195&amp;" "&amp;I195&amp;" "&amp;M195&amp;" "&amp;N195&amp;" "&amp;T195))),ISNUMBER(SEARCH("bank",LOWER(F195&amp;" "&amp;H195&amp;" "&amp;I195&amp;" "&amp;M195&amp;" "&amp;N195&amp;" "&amp;T195))),ISNUMBER(SEARCH("banking",LOWER(F195&amp;" "&amp;H195&amp;" "&amp;I195&amp;" "&amp;M195&amp;" "&amp;N195&amp;" "&amp;T195)))),"PRIVATE_QUARANTINE",IF(OR(ISNUMBER(SEARCH("treasury",LOWER(F195&amp;" "&amp;H195&amp;" "&amp;I195&amp;" "&amp;M195&amp;" "&amp;N195&amp;" "&amp;T195))),ISNUMBER(SEARCH("debt",LOWER(F195&amp;" "&amp;H195&amp;" "&amp;I195&amp;" "&amp;M195&amp;" "&amp;N195&amp;" "&amp;T195))),ISNUMBER(SEARCH("bond",LOWER(F195&amp;" "&amp;H195&amp;" "&amp;I195&amp;" "&amp;M195&amp;" "&amp;N195&amp;" "&amp;T195))),ISNUMBER(SEARCH("transaction",LOWER(F195&amp;" "&amp;H195&amp;" "&amp;I195&amp;" "&amp;M195&amp;" "&amp;N195&amp;" "&amp;T195)))),"PRIVATE_REVIEW","PUBLIC_CANDIDATE"))</x:f>
        <x:v>PUBLIC_CANDIDATE</x:v>
      </x:c>
      <x:c r="AD195" s="12" t="str">
        <x:f>IF(AC195="PRIVATE_QUARANTINE","hacker_or_bank_trigger",IF(AC195="PRIVATE_REVIEW","finance_risk_trigger","none"))</x:f>
        <x:v>none</x:v>
      </x:c>
      <x:c r="AE195" s="12" t="str">
        <x:f>IF(AC195="PUBLIC_CANDIDATE","prepare_public_github_candidate",IF(AC195="PRIVATE_REVIEW","hold_for_private_review","quarantine_private_do_not_publish"))</x:f>
        <x:v>prepare_public_github_candidate</x:v>
      </x:c>
      <x:c r="AF195" s="12" t="str">
        <x:f>IF(AC195="PUBLIC_CANDIDATE","TIDELOCK + Lucerna",IF(AC195="PRIVATE_REVIEW","AtlasBrain + Lucerna","TIDELOCK + Lucerna + Human-root"))</x:f>
        <x:v>TIDELOCK + Lucerna</x:v>
      </x:c>
      <x:c r="AG195" s="12" t="str">
        <x:f>IF(AND(AC195="PUBLIC_CANDIDATE",U195&lt;&gt;"BLOCKED_PENDING_RECEIPT"),"READY_AFTER_RECEIPT","NOT_READY")</x:f>
        <x:v>NOT_READY</x:v>
      </x:c>
      <x:c r="AH195" s="12" t="str">
        <x:f>IF(AC195="PUBLIC_CANDIDATE","none",AD195)</x:f>
        <x:v>none</x:v>
      </x:c>
      <x:c r="AI195" s="12" t="str">
        <x:f>IF(AC195="PUBLIC_CANDIDATE","archive/public_candidates/"&amp;A195,"private_quarantine/"&amp;A195)</x:f>
        <x:v>archive/public_candidates/SWARM-02-H05-S02</x:v>
      </x:c>
      <x:c r="AJ195" s="12" t="str">
        <x:f>IF(AC195="PUBLIC_CANDIDATE","public by default; still not canon","private/hold; do not publish")</x:f>
        <x:v>public by default; still not canon</x:v>
      </x:c>
      <x:c r="AK195" s="12" t="str">
        <x:f>IF(AE195="prepare_public_github_candidate","add receipt/status then mirror","resolve blocker before any public GitHub action")</x:f>
        <x:v>add receipt/status then mirror</x:v>
      </x:c>
    </x:row>
    <x:row r="196">
      <x:c r="A196" s="15" t="str">
        <x:v>SWARM-02-H05-S03</x:v>
      </x:c>
      <x:c r="B196" s="15" t="str">
        <x:v>Hashlight</x:v>
      </x:c>
      <x:c r="C196" s="15" t="str">
        <x:v>Hash and identity keeper</x:v>
      </x:c>
      <x:c r="D196" s="15" t="str">
        <x:v>Contradiction Mapping</x:v>
      </x:c>
      <x:c r="E196" s="15" t="str">
        <x:v>GitHub</x:v>
      </x:c>
      <x:c r="F196" s="15" t="str">
        <x:v>Map contradictions in GitHub — Hashlight</x:v>
      </x:c>
      <x:c r="G196" s="15" t="str">
        <x:v>ids / hashes / timestamps / duplicate control</x:v>
      </x:c>
      <x:c r="H196" s="15" t="str">
        <x:v>source path + receipt + raw/export status + claim/edge/risk delta</x:v>
      </x:c>
      <x:c r="I196" s="15" t="str">
        <x:v>packet/SWARM-02-H05-S03</x:v>
      </x:c>
      <x:c r="J196" s="15" t="str">
        <x:v>TODO</x:v>
      </x:c>
      <x:c r="K196" s="15" t="str">
        <x:v>P0</x:v>
      </x:c>
      <x:c r="L196" s="15" t="str">
        <x:v>Done only when evidence is logged, contradiction search is noted, and boundary stamp remains non-canon unless ratified</x:v>
      </x:c>
      <x:c r="M196" s="15" t="str">
        <x:v>candidate / staging-only / not canon / not deployed / authority none</x:v>
      </x:c>
      <x:c r="N196" s="15" t="str">
        <x:v>Dispatch to Hashlight: complete Contradiction Mapping x GitHub; return deltas only, receipts required.</x:v>
      </x:c>
      <x:c r="O196" s="15" t="str">
        <x:v>AF-KG-H05-S03</x:v>
      </x:c>
      <x:c r="P196" s="15" t="str">
        <x:v>Unverified</x:v>
      </x:c>
      <x:c r="Q196" s="15" t="str">
        <x:v>Not checked</x:v>
      </x:c>
      <x:c r="R196" s="15" t="str"/>
      <x:c r="S196" s="15" t="str"/>
      <x:c r="T196" s="15" t="str">
        <x:v>Log first source path or blocker</x:v>
      </x:c>
      <x:c r="U196" s="12" t="str">
        <x:f>IF(OR(P196="Unverified",Q196="Not checked"),"BLOCKED_PENDING_RECEIPT","READY_FOR_REVIEW")</x:f>
        <x:v>BLOCKED_PENDING_RECEIPT</x:v>
      </x:c>
      <x:c r="V196" s="12" t="str">
        <x:f>IF(J196="DONE","RETURNED",IF(U196="BLOCKED_PENDING_RECEIPT","SOURCE_TOUCH_REQUIRED","IN_PROGRESS"))</x:f>
        <x:v>SOURCE_TOUCH_REQUIRED</x:v>
      </x:c>
      <x:c r="W196" s="12" t="str">
        <x:f>IF(P196="Unverified","missing_receipt","receipt_logged")</x:f>
        <x:v>missing_receipt</x:v>
      </x:c>
      <x:c r="X196" s="12" t="str">
        <x:f>IF(Q196="Not checked","raw_status_missing","raw_status_logged")</x:f>
        <x:v>raw_status_missing</x:v>
      </x:c>
      <x:c r="Y196" s="12" t="str">
        <x:f>IF(U196="BLOCKED_PENDING_RECEIPT","Log source path or blocker; do not promote","Route to review lane")</x:f>
        <x:v>Log source path or blocker; do not promote</x:v>
      </x:c>
      <x:c r="Z196" s="12" t="str">
        <x:f>IF(K196="P0","Primary seat + Hashlight/Lucerna","Seat lane")</x:f>
        <x:v>Primary seat + Hashlight/Lucerna</x:v>
      </x:c>
      <x:c r="AA196" s="12" t="str">
        <x:f>IF(R196="","no_claim_delta","claim_delta_present")</x:f>
        <x:v>no_claim_delta</x:v>
      </x:c>
      <x:c r="AB196" s="12" t="str">
        <x:f>IF(S196="","no_contradiction_delta","contradiction_delta_present")</x:f>
        <x:v>no_contradiction_delta</x:v>
      </x:c>
      <x:c r="AC196" s="12" t="str">
        <x:f>IF(OR(ISNUMBER(SEARCH("hacker",LOWER(F196&amp;" "&amp;H196&amp;" "&amp;I196&amp;" "&amp;M196&amp;" "&amp;N196&amp;" "&amp;T196))),ISNUMBER(SEARCH("hacking",LOWER(F196&amp;" "&amp;H196&amp;" "&amp;I196&amp;" "&amp;M196&amp;" "&amp;N196&amp;" "&amp;T196))),ISNUMBER(SEARCH("bank",LOWER(F196&amp;" "&amp;H196&amp;" "&amp;I196&amp;" "&amp;M196&amp;" "&amp;N196&amp;" "&amp;T196))),ISNUMBER(SEARCH("banking",LOWER(F196&amp;" "&amp;H196&amp;" "&amp;I196&amp;" "&amp;M196&amp;" "&amp;N196&amp;" "&amp;T196)))),"PRIVATE_QUARANTINE",IF(OR(ISNUMBER(SEARCH("treasury",LOWER(F196&amp;" "&amp;H196&amp;" "&amp;I196&amp;" "&amp;M196&amp;" "&amp;N196&amp;" "&amp;T196))),ISNUMBER(SEARCH("debt",LOWER(F196&amp;" "&amp;H196&amp;" "&amp;I196&amp;" "&amp;M196&amp;" "&amp;N196&amp;" "&amp;T196))),ISNUMBER(SEARCH("bond",LOWER(F196&amp;" "&amp;H196&amp;" "&amp;I196&amp;" "&amp;M196&amp;" "&amp;N196&amp;" "&amp;T196))),ISNUMBER(SEARCH("transaction",LOWER(F196&amp;" "&amp;H196&amp;" "&amp;I196&amp;" "&amp;M196&amp;" "&amp;N196&amp;" "&amp;T196)))),"PRIVATE_REVIEW","PUBLIC_CANDIDATE"))</x:f>
        <x:v>PUBLIC_CANDIDATE</x:v>
      </x:c>
      <x:c r="AD196" s="12" t="str">
        <x:f>IF(AC196="PRIVATE_QUARANTINE","hacker_or_bank_trigger",IF(AC196="PRIVATE_REVIEW","finance_risk_trigger","none"))</x:f>
        <x:v>none</x:v>
      </x:c>
      <x:c r="AE196" s="12" t="str">
        <x:f>IF(AC196="PUBLIC_CANDIDATE","prepare_public_github_candidate",IF(AC196="PRIVATE_REVIEW","hold_for_private_review","quarantine_private_do_not_publish"))</x:f>
        <x:v>prepare_public_github_candidate</x:v>
      </x:c>
      <x:c r="AF196" s="12" t="str">
        <x:f>IF(AC196="PUBLIC_CANDIDATE","TIDELOCK + Lucerna",IF(AC196="PRIVATE_REVIEW","AtlasBrain + Lucerna","TIDELOCK + Lucerna + Human-root"))</x:f>
        <x:v>TIDELOCK + Lucerna</x:v>
      </x:c>
      <x:c r="AG196" s="12" t="str">
        <x:f>IF(AND(AC196="PUBLIC_CANDIDATE",U196&lt;&gt;"BLOCKED_PENDING_RECEIPT"),"READY_AFTER_RECEIPT","NOT_READY")</x:f>
        <x:v>NOT_READY</x:v>
      </x:c>
      <x:c r="AH196" s="12" t="str">
        <x:f>IF(AC196="PUBLIC_CANDIDATE","none",AD196)</x:f>
        <x:v>none</x:v>
      </x:c>
      <x:c r="AI196" s="12" t="str">
        <x:f>IF(AC196="PUBLIC_CANDIDATE","archive/public_candidates/"&amp;A196,"private_quarantine/"&amp;A196)</x:f>
        <x:v>archive/public_candidates/SWARM-02-H05-S03</x:v>
      </x:c>
      <x:c r="AJ196" s="12" t="str">
        <x:f>IF(AC196="PUBLIC_CANDIDATE","public by default; still not canon","private/hold; do not publish")</x:f>
        <x:v>public by default; still not canon</x:v>
      </x:c>
      <x:c r="AK196" s="12" t="str">
        <x:f>IF(AE196="prepare_public_github_candidate","add receipt/status then mirror","resolve blocker before any public GitHub action")</x:f>
        <x:v>add receipt/status then mirror</x:v>
      </x:c>
    </x:row>
    <x:row r="197">
      <x:c r="A197" s="15" t="str">
        <x:v>SWARM-02-H05-S04</x:v>
      </x:c>
      <x:c r="B197" s="15" t="str">
        <x:v>Hashlight</x:v>
      </x:c>
      <x:c r="C197" s="15" t="str">
        <x:v>Hash and identity keeper</x:v>
      </x:c>
      <x:c r="D197" s="15" t="str">
        <x:v>Contradiction Mapping</x:v>
      </x:c>
      <x:c r="E197" s="15" t="str">
        <x:v>Gamma</x:v>
      </x:c>
      <x:c r="F197" s="15" t="str">
        <x:v>Map contradictions in Gamma — Hashlight</x:v>
      </x:c>
      <x:c r="G197" s="15" t="str">
        <x:v>ids / hashes / timestamps / duplicate control</x:v>
      </x:c>
      <x:c r="H197" s="15" t="str">
        <x:v>source path + receipt + raw/export status + claim/edge/risk delta</x:v>
      </x:c>
      <x:c r="I197" s="15" t="str">
        <x:v>packet/SWARM-02-H05-S04</x:v>
      </x:c>
      <x:c r="J197" s="15" t="str">
        <x:v>TODO</x:v>
      </x:c>
      <x:c r="K197" s="15" t="str">
        <x:v>P1</x:v>
      </x:c>
      <x:c r="L197" s="15" t="str">
        <x:v>Done only when evidence is logged, contradiction search is noted, and boundary stamp remains non-canon unless ratified</x:v>
      </x:c>
      <x:c r="M197" s="15" t="str">
        <x:v>candidate / staging-only / not canon / not deployed / authority none</x:v>
      </x:c>
      <x:c r="N197" s="15" t="str">
        <x:v>Dispatch to Hashlight: complete Contradiction Mapping x Gamma; return deltas only, receipts required.</x:v>
      </x:c>
      <x:c r="O197" s="15" t="str">
        <x:v>AF-KG-H05-S04</x:v>
      </x:c>
      <x:c r="P197" s="15" t="str">
        <x:v>Unverified</x:v>
      </x:c>
      <x:c r="Q197" s="15" t="str">
        <x:v>Not checked</x:v>
      </x:c>
      <x:c r="R197" s="15" t="str"/>
      <x:c r="S197" s="15" t="str"/>
      <x:c r="T197" s="15" t="str">
        <x:v>Log first source path or blocker</x:v>
      </x:c>
      <x:c r="U197" s="12" t="str">
        <x:f>IF(OR(P197="Unverified",Q197="Not checked"),"BLOCKED_PENDING_RECEIPT","READY_FOR_REVIEW")</x:f>
        <x:v>BLOCKED_PENDING_RECEIPT</x:v>
      </x:c>
      <x:c r="V197" s="12" t="str">
        <x:f>IF(J197="DONE","RETURNED",IF(U197="BLOCKED_PENDING_RECEIPT","SOURCE_TOUCH_REQUIRED","IN_PROGRESS"))</x:f>
        <x:v>SOURCE_TOUCH_REQUIRED</x:v>
      </x:c>
      <x:c r="W197" s="12" t="str">
        <x:f>IF(P197="Unverified","missing_receipt","receipt_logged")</x:f>
        <x:v>missing_receipt</x:v>
      </x:c>
      <x:c r="X197" s="12" t="str">
        <x:f>IF(Q197="Not checked","raw_status_missing","raw_status_logged")</x:f>
        <x:v>raw_status_missing</x:v>
      </x:c>
      <x:c r="Y197" s="12" t="str">
        <x:f>IF(U197="BLOCKED_PENDING_RECEIPT","Log source path or blocker; do not promote","Route to review lane")</x:f>
        <x:v>Log source path or blocker; do not promote</x:v>
      </x:c>
      <x:c r="Z197" s="12" t="str">
        <x:f>IF(K197="P0","Primary seat + Hashlight/Lucerna","Seat lane")</x:f>
        <x:v>Seat lane</x:v>
      </x:c>
      <x:c r="AA197" s="12" t="str">
        <x:f>IF(R197="","no_claim_delta","claim_delta_present")</x:f>
        <x:v>no_claim_delta</x:v>
      </x:c>
      <x:c r="AB197" s="12" t="str">
        <x:f>IF(S197="","no_contradiction_delta","contradiction_delta_present")</x:f>
        <x:v>no_contradiction_delta</x:v>
      </x:c>
      <x:c r="AC197" s="12" t="str">
        <x:f>IF(OR(ISNUMBER(SEARCH("hacker",LOWER(F197&amp;" "&amp;H197&amp;" "&amp;I197&amp;" "&amp;M197&amp;" "&amp;N197&amp;" "&amp;T197))),ISNUMBER(SEARCH("hacking",LOWER(F197&amp;" "&amp;H197&amp;" "&amp;I197&amp;" "&amp;M197&amp;" "&amp;N197&amp;" "&amp;T197))),ISNUMBER(SEARCH("bank",LOWER(F197&amp;" "&amp;H197&amp;" "&amp;I197&amp;" "&amp;M197&amp;" "&amp;N197&amp;" "&amp;T197))),ISNUMBER(SEARCH("banking",LOWER(F197&amp;" "&amp;H197&amp;" "&amp;I197&amp;" "&amp;M197&amp;" "&amp;N197&amp;" "&amp;T197)))),"PRIVATE_QUARANTINE",IF(OR(ISNUMBER(SEARCH("treasury",LOWER(F197&amp;" "&amp;H197&amp;" "&amp;I197&amp;" "&amp;M197&amp;" "&amp;N197&amp;" "&amp;T197))),ISNUMBER(SEARCH("debt",LOWER(F197&amp;" "&amp;H197&amp;" "&amp;I197&amp;" "&amp;M197&amp;" "&amp;N197&amp;" "&amp;T197))),ISNUMBER(SEARCH("bond",LOWER(F197&amp;" "&amp;H197&amp;" "&amp;I197&amp;" "&amp;M197&amp;" "&amp;N197&amp;" "&amp;T197))),ISNUMBER(SEARCH("transaction",LOWER(F197&amp;" "&amp;H197&amp;" "&amp;I197&amp;" "&amp;M197&amp;" "&amp;N197&amp;" "&amp;T197)))),"PRIVATE_REVIEW","PUBLIC_CANDIDATE"))</x:f>
        <x:v>PUBLIC_CANDIDATE</x:v>
      </x:c>
      <x:c r="AD197" s="12" t="str">
        <x:f>IF(AC197="PRIVATE_QUARANTINE","hacker_or_bank_trigger",IF(AC197="PRIVATE_REVIEW","finance_risk_trigger","none"))</x:f>
        <x:v>none</x:v>
      </x:c>
      <x:c r="AE197" s="12" t="str">
        <x:f>IF(AC197="PUBLIC_CANDIDATE","prepare_public_github_candidate",IF(AC197="PRIVATE_REVIEW","hold_for_private_review","quarantine_private_do_not_publish"))</x:f>
        <x:v>prepare_public_github_candidate</x:v>
      </x:c>
      <x:c r="AF197" s="12" t="str">
        <x:f>IF(AC197="PUBLIC_CANDIDATE","TIDELOCK + Lucerna",IF(AC197="PRIVATE_REVIEW","AtlasBrain + Lucerna","TIDELOCK + Lucerna + Human-root"))</x:f>
        <x:v>TIDELOCK + Lucerna</x:v>
      </x:c>
      <x:c r="AG197" s="12" t="str">
        <x:f>IF(AND(AC197="PUBLIC_CANDIDATE",U197&lt;&gt;"BLOCKED_PENDING_RECEIPT"),"READY_AFTER_RECEIPT","NOT_READY")</x:f>
        <x:v>NOT_READY</x:v>
      </x:c>
      <x:c r="AH197" s="12" t="str">
        <x:f>IF(AC197="PUBLIC_CANDIDATE","none",AD197)</x:f>
        <x:v>none</x:v>
      </x:c>
      <x:c r="AI197" s="12" t="str">
        <x:f>IF(AC197="PUBLIC_CANDIDATE","archive/public_candidates/"&amp;A197,"private_quarantine/"&amp;A197)</x:f>
        <x:v>archive/public_candidates/SWARM-02-H05-S04</x:v>
      </x:c>
      <x:c r="AJ197" s="12" t="str">
        <x:f>IF(AC197="PUBLIC_CANDIDATE","public by default; still not canon","private/hold; do not publish")</x:f>
        <x:v>public by default; still not canon</x:v>
      </x:c>
      <x:c r="AK197" s="12" t="str">
        <x:f>IF(AE197="prepare_public_github_candidate","add receipt/status then mirror","resolve blocker before any public GitHub action")</x:f>
        <x:v>add receipt/status then mirror</x:v>
      </x:c>
    </x:row>
    <x:row r="198">
      <x:c r="A198" s="15" t="str">
        <x:v>SWARM-02-H05-S05</x:v>
      </x:c>
      <x:c r="B198" s="15" t="str">
        <x:v>Hashlight</x:v>
      </x:c>
      <x:c r="C198" s="15" t="str">
        <x:v>Hash and identity keeper</x:v>
      </x:c>
      <x:c r="D198" s="15" t="str">
        <x:v>Contradiction Mapping</x:v>
      </x:c>
      <x:c r="E198" s="15" t="str">
        <x:v>Chat</x:v>
      </x:c>
      <x:c r="F198" s="15" t="str">
        <x:v>Map contradictions in Chat — Hashlight</x:v>
      </x:c>
      <x:c r="G198" s="15" t="str">
        <x:v>ids / hashes / timestamps / duplicate control</x:v>
      </x:c>
      <x:c r="H198" s="15" t="str">
        <x:v>source path + receipt + raw/export status + claim/edge/risk delta</x:v>
      </x:c>
      <x:c r="I198" s="15" t="str">
        <x:v>packet/SWARM-02-H05-S05</x:v>
      </x:c>
      <x:c r="J198" s="15" t="str">
        <x:v>TODO</x:v>
      </x:c>
      <x:c r="K198" s="15" t="str">
        <x:v>P1</x:v>
      </x:c>
      <x:c r="L198" s="15" t="str">
        <x:v>Done only when evidence is logged, contradiction search is noted, and boundary stamp remains non-canon unless ratified</x:v>
      </x:c>
      <x:c r="M198" s="15" t="str">
        <x:v>candidate / staging-only / not canon / not deployed / authority none</x:v>
      </x:c>
      <x:c r="N198" s="15" t="str">
        <x:v>Dispatch to Hashlight: complete Contradiction Mapping x Chat; return deltas only, receipts required.</x:v>
      </x:c>
      <x:c r="O198" s="15" t="str">
        <x:v>AF-KG-H05-S05</x:v>
      </x:c>
      <x:c r="P198" s="15" t="str">
        <x:v>Unverified</x:v>
      </x:c>
      <x:c r="Q198" s="15" t="str">
        <x:v>Not checked</x:v>
      </x:c>
      <x:c r="R198" s="15" t="str"/>
      <x:c r="S198" s="15" t="str"/>
      <x:c r="T198" s="15" t="str">
        <x:v>Log first source path or blocker</x:v>
      </x:c>
      <x:c r="U198" s="12" t="str">
        <x:f>IF(OR(P198="Unverified",Q198="Not checked"),"BLOCKED_PENDING_RECEIPT","READY_FOR_REVIEW")</x:f>
        <x:v>BLOCKED_PENDING_RECEIPT</x:v>
      </x:c>
      <x:c r="V198" s="12" t="str">
        <x:f>IF(J198="DONE","RETURNED",IF(U198="BLOCKED_PENDING_RECEIPT","SOURCE_TOUCH_REQUIRED","IN_PROGRESS"))</x:f>
        <x:v>SOURCE_TOUCH_REQUIRED</x:v>
      </x:c>
      <x:c r="W198" s="12" t="str">
        <x:f>IF(P198="Unverified","missing_receipt","receipt_logged")</x:f>
        <x:v>missing_receipt</x:v>
      </x:c>
      <x:c r="X198" s="12" t="str">
        <x:f>IF(Q198="Not checked","raw_status_missing","raw_status_logged")</x:f>
        <x:v>raw_status_missing</x:v>
      </x:c>
      <x:c r="Y198" s="12" t="str">
        <x:f>IF(U198="BLOCKED_PENDING_RECEIPT","Log source path or blocker; do not promote","Route to review lane")</x:f>
        <x:v>Log source path or blocker; do not promote</x:v>
      </x:c>
      <x:c r="Z198" s="12" t="str">
        <x:f>IF(K198="P0","Primary seat + Hashlight/Lucerna","Seat lane")</x:f>
        <x:v>Seat lane</x:v>
      </x:c>
      <x:c r="AA198" s="12" t="str">
        <x:f>IF(R198="","no_claim_delta","claim_delta_present")</x:f>
        <x:v>no_claim_delta</x:v>
      </x:c>
      <x:c r="AB198" s="12" t="str">
        <x:f>IF(S198="","no_contradiction_delta","contradiction_delta_present")</x:f>
        <x:v>no_contradiction_delta</x:v>
      </x:c>
      <x:c r="AC198" s="12" t="str">
        <x:f>IF(OR(ISNUMBER(SEARCH("hacker",LOWER(F198&amp;" "&amp;H198&amp;" "&amp;I198&amp;" "&amp;M198&amp;" "&amp;N198&amp;" "&amp;T198))),ISNUMBER(SEARCH("hacking",LOWER(F198&amp;" "&amp;H198&amp;" "&amp;I198&amp;" "&amp;M198&amp;" "&amp;N198&amp;" "&amp;T198))),ISNUMBER(SEARCH("bank",LOWER(F198&amp;" "&amp;H198&amp;" "&amp;I198&amp;" "&amp;M198&amp;" "&amp;N198&amp;" "&amp;T198))),ISNUMBER(SEARCH("banking",LOWER(F198&amp;" "&amp;H198&amp;" "&amp;I198&amp;" "&amp;M198&amp;" "&amp;N198&amp;" "&amp;T198)))),"PRIVATE_QUARANTINE",IF(OR(ISNUMBER(SEARCH("treasury",LOWER(F198&amp;" "&amp;H198&amp;" "&amp;I198&amp;" "&amp;M198&amp;" "&amp;N198&amp;" "&amp;T198))),ISNUMBER(SEARCH("debt",LOWER(F198&amp;" "&amp;H198&amp;" "&amp;I198&amp;" "&amp;M198&amp;" "&amp;N198&amp;" "&amp;T198))),ISNUMBER(SEARCH("bond",LOWER(F198&amp;" "&amp;H198&amp;" "&amp;I198&amp;" "&amp;M198&amp;" "&amp;N198&amp;" "&amp;T198))),ISNUMBER(SEARCH("transaction",LOWER(F198&amp;" "&amp;H198&amp;" "&amp;I198&amp;" "&amp;M198&amp;" "&amp;N198&amp;" "&amp;T198)))),"PRIVATE_REVIEW","PUBLIC_CANDIDATE"))</x:f>
        <x:v>PUBLIC_CANDIDATE</x:v>
      </x:c>
      <x:c r="AD198" s="12" t="str">
        <x:f>IF(AC198="PRIVATE_QUARANTINE","hacker_or_bank_trigger",IF(AC198="PRIVATE_REVIEW","finance_risk_trigger","none"))</x:f>
        <x:v>none</x:v>
      </x:c>
      <x:c r="AE198" s="12" t="str">
        <x:f>IF(AC198="PUBLIC_CANDIDATE","prepare_public_github_candidate",IF(AC198="PRIVATE_REVIEW","hold_for_private_review","quarantine_private_do_not_publish"))</x:f>
        <x:v>prepare_public_github_candidate</x:v>
      </x:c>
      <x:c r="AF198" s="12" t="str">
        <x:f>IF(AC198="PUBLIC_CANDIDATE","TIDELOCK + Lucerna",IF(AC198="PRIVATE_REVIEW","AtlasBrain + Lucerna","TIDELOCK + Lucerna + Human-root"))</x:f>
        <x:v>TIDELOCK + Lucerna</x:v>
      </x:c>
      <x:c r="AG198" s="12" t="str">
        <x:f>IF(AND(AC198="PUBLIC_CANDIDATE",U198&lt;&gt;"BLOCKED_PENDING_RECEIPT"),"READY_AFTER_RECEIPT","NOT_READY")</x:f>
        <x:v>NOT_READY</x:v>
      </x:c>
      <x:c r="AH198" s="12" t="str">
        <x:f>IF(AC198="PUBLIC_CANDIDATE","none",AD198)</x:f>
        <x:v>none</x:v>
      </x:c>
      <x:c r="AI198" s="12" t="str">
        <x:f>IF(AC198="PUBLIC_CANDIDATE","archive/public_candidates/"&amp;A198,"private_quarantine/"&amp;A198)</x:f>
        <x:v>archive/public_candidates/SWARM-02-H05-S05</x:v>
      </x:c>
      <x:c r="AJ198" s="12" t="str">
        <x:f>IF(AC198="PUBLIC_CANDIDATE","public by default; still not canon","private/hold; do not publish")</x:f>
        <x:v>public by default; still not canon</x:v>
      </x:c>
      <x:c r="AK198" s="12" t="str">
        <x:f>IF(AE198="prepare_public_github_candidate","add receipt/status then mirror","resolve blocker before any public GitHub action")</x:f>
        <x:v>add receipt/status then mirror</x:v>
      </x:c>
    </x:row>
    <x:row r="199">
      <x:c r="A199" s="15" t="str">
        <x:v>SWARM-02-H05-S06</x:v>
      </x:c>
      <x:c r="B199" s="15" t="str">
        <x:v>Hashlight</x:v>
      </x:c>
      <x:c r="C199" s="15" t="str">
        <x:v>Hash and identity keeper</x:v>
      </x:c>
      <x:c r="D199" s="15" t="str">
        <x:v>Contradiction Mapping</x:v>
      </x:c>
      <x:c r="E199" s="15" t="str">
        <x:v>External Web</x:v>
      </x:c>
      <x:c r="F199" s="15" t="str">
        <x:v>Map contradictions in External Web — Hashlight</x:v>
      </x:c>
      <x:c r="G199" s="15" t="str">
        <x:v>ids / hashes / timestamps / duplicate control</x:v>
      </x:c>
      <x:c r="H199" s="15" t="str">
        <x:v>source path + receipt + raw/export status + claim/edge/risk delta</x:v>
      </x:c>
      <x:c r="I199" s="15" t="str">
        <x:v>packet/SWARM-02-H05-S06</x:v>
      </x:c>
      <x:c r="J199" s="15" t="str">
        <x:v>TODO</x:v>
      </x:c>
      <x:c r="K199" s="15" t="str">
        <x:v>P1</x:v>
      </x:c>
      <x:c r="L199" s="15" t="str">
        <x:v>Done only when evidence is logged, contradiction search is noted, and boundary stamp remains non-canon unless ratified</x:v>
      </x:c>
      <x:c r="M199" s="15" t="str">
        <x:v>candidate / staging-only / not canon / not deployed / authority none</x:v>
      </x:c>
      <x:c r="N199" s="15" t="str">
        <x:v>Dispatch to Hashlight: complete Contradiction Mapping x External Web; return deltas only, receipts required.</x:v>
      </x:c>
      <x:c r="O199" s="15" t="str">
        <x:v>AF-KG-H05-S06</x:v>
      </x:c>
      <x:c r="P199" s="15" t="str">
        <x:v>Unverified</x:v>
      </x:c>
      <x:c r="Q199" s="15" t="str">
        <x:v>Not checked</x:v>
      </x:c>
      <x:c r="R199" s="15" t="str"/>
      <x:c r="S199" s="15" t="str"/>
      <x:c r="T199" s="15" t="str">
        <x:v>Log first source path or blocker</x:v>
      </x:c>
      <x:c r="U199" s="12" t="str">
        <x:f>IF(OR(P199="Unverified",Q199="Not checked"),"BLOCKED_PENDING_RECEIPT","READY_FOR_REVIEW")</x:f>
        <x:v>BLOCKED_PENDING_RECEIPT</x:v>
      </x:c>
      <x:c r="V199" s="12" t="str">
        <x:f>IF(J199="DONE","RETURNED",IF(U199="BLOCKED_PENDING_RECEIPT","SOURCE_TOUCH_REQUIRED","IN_PROGRESS"))</x:f>
        <x:v>SOURCE_TOUCH_REQUIRED</x:v>
      </x:c>
      <x:c r="W199" s="12" t="str">
        <x:f>IF(P199="Unverified","missing_receipt","receipt_logged")</x:f>
        <x:v>missing_receipt</x:v>
      </x:c>
      <x:c r="X199" s="12" t="str">
        <x:f>IF(Q199="Not checked","raw_status_missing","raw_status_logged")</x:f>
        <x:v>raw_status_missing</x:v>
      </x:c>
      <x:c r="Y199" s="12" t="str">
        <x:f>IF(U199="BLOCKED_PENDING_RECEIPT","Log source path or blocker; do not promote","Route to review lane")</x:f>
        <x:v>Log source path or blocker; do not promote</x:v>
      </x:c>
      <x:c r="Z199" s="12" t="str">
        <x:f>IF(K199="P0","Primary seat + Hashlight/Lucerna","Seat lane")</x:f>
        <x:v>Seat lane</x:v>
      </x:c>
      <x:c r="AA199" s="12" t="str">
        <x:f>IF(R199="","no_claim_delta","claim_delta_present")</x:f>
        <x:v>no_claim_delta</x:v>
      </x:c>
      <x:c r="AB199" s="12" t="str">
        <x:f>IF(S199="","no_contradiction_delta","contradiction_delta_present")</x:f>
        <x:v>no_contradiction_delta</x:v>
      </x:c>
      <x:c r="AC199" s="12" t="str">
        <x:f>IF(OR(ISNUMBER(SEARCH("hacker",LOWER(F199&amp;" "&amp;H199&amp;" "&amp;I199&amp;" "&amp;M199&amp;" "&amp;N199&amp;" "&amp;T199))),ISNUMBER(SEARCH("hacking",LOWER(F199&amp;" "&amp;H199&amp;" "&amp;I199&amp;" "&amp;M199&amp;" "&amp;N199&amp;" "&amp;T199))),ISNUMBER(SEARCH("bank",LOWER(F199&amp;" "&amp;H199&amp;" "&amp;I199&amp;" "&amp;M199&amp;" "&amp;N199&amp;" "&amp;T199))),ISNUMBER(SEARCH("banking",LOWER(F199&amp;" "&amp;H199&amp;" "&amp;I199&amp;" "&amp;M199&amp;" "&amp;N199&amp;" "&amp;T199)))),"PRIVATE_QUARANTINE",IF(OR(ISNUMBER(SEARCH("treasury",LOWER(F199&amp;" "&amp;H199&amp;" "&amp;I199&amp;" "&amp;M199&amp;" "&amp;N199&amp;" "&amp;T199))),ISNUMBER(SEARCH("debt",LOWER(F199&amp;" "&amp;H199&amp;" "&amp;I199&amp;" "&amp;M199&amp;" "&amp;N199&amp;" "&amp;T199))),ISNUMBER(SEARCH("bond",LOWER(F199&amp;" "&amp;H199&amp;" "&amp;I199&amp;" "&amp;M199&amp;" "&amp;N199&amp;" "&amp;T199))),ISNUMBER(SEARCH("transaction",LOWER(F199&amp;" "&amp;H199&amp;" "&amp;I199&amp;" "&amp;M199&amp;" "&amp;N199&amp;" "&amp;T199)))),"PRIVATE_REVIEW","PUBLIC_CANDIDATE"))</x:f>
        <x:v>PUBLIC_CANDIDATE</x:v>
      </x:c>
      <x:c r="AD199" s="12" t="str">
        <x:f>IF(AC199="PRIVATE_QUARANTINE","hacker_or_bank_trigger",IF(AC199="PRIVATE_REVIEW","finance_risk_trigger","none"))</x:f>
        <x:v>none</x:v>
      </x:c>
      <x:c r="AE199" s="12" t="str">
        <x:f>IF(AC199="PUBLIC_CANDIDATE","prepare_public_github_candidate",IF(AC199="PRIVATE_REVIEW","hold_for_private_review","quarantine_private_do_not_publish"))</x:f>
        <x:v>prepare_public_github_candidate</x:v>
      </x:c>
      <x:c r="AF199" s="12" t="str">
        <x:f>IF(AC199="PUBLIC_CANDIDATE","TIDELOCK + Lucerna",IF(AC199="PRIVATE_REVIEW","AtlasBrain + Lucerna","TIDELOCK + Lucerna + Human-root"))</x:f>
        <x:v>TIDELOCK + Lucerna</x:v>
      </x:c>
      <x:c r="AG199" s="12" t="str">
        <x:f>IF(AND(AC199="PUBLIC_CANDIDATE",U199&lt;&gt;"BLOCKED_PENDING_RECEIPT"),"READY_AFTER_RECEIPT","NOT_READY")</x:f>
        <x:v>NOT_READY</x:v>
      </x:c>
      <x:c r="AH199" s="12" t="str">
        <x:f>IF(AC199="PUBLIC_CANDIDATE","none",AD199)</x:f>
        <x:v>none</x:v>
      </x:c>
      <x:c r="AI199" s="12" t="str">
        <x:f>IF(AC199="PUBLIC_CANDIDATE","archive/public_candidates/"&amp;A199,"private_quarantine/"&amp;A199)</x:f>
        <x:v>archive/public_candidates/SWARM-02-H05-S06</x:v>
      </x:c>
      <x:c r="AJ199" s="12" t="str">
        <x:f>IF(AC199="PUBLIC_CANDIDATE","public by default; still not canon","private/hold; do not publish")</x:f>
        <x:v>public by default; still not canon</x:v>
      </x:c>
      <x:c r="AK199" s="12" t="str">
        <x:f>IF(AE199="prepare_public_github_candidate","add receipt/status then mirror","resolve blocker before any public GitHub action")</x:f>
        <x:v>add receipt/status then mirror</x:v>
      </x:c>
    </x:row>
    <x:row r="200">
      <x:c r="A200" s="15" t="str">
        <x:v>SWARM-02-H05-S07</x:v>
      </x:c>
      <x:c r="B200" s="15" t="str">
        <x:v>Hashlight</x:v>
      </x:c>
      <x:c r="C200" s="15" t="str">
        <x:v>Hash and identity keeper</x:v>
      </x:c>
      <x:c r="D200" s="15" t="str">
        <x:v>Contradiction Mapping</x:v>
      </x:c>
      <x:c r="E200" s="15" t="str">
        <x:v>Planetarium</x:v>
      </x:c>
      <x:c r="F200" s="15" t="str">
        <x:v>Map contradictions in Planetarium — Hashlight</x:v>
      </x:c>
      <x:c r="G200" s="15" t="str">
        <x:v>ids / hashes / timestamps / duplicate control</x:v>
      </x:c>
      <x:c r="H200" s="15" t="str">
        <x:v>source path + receipt + raw/export status + claim/edge/risk delta</x:v>
      </x:c>
      <x:c r="I200" s="15" t="str">
        <x:v>packet/SWARM-02-H05-S07</x:v>
      </x:c>
      <x:c r="J200" s="15" t="str">
        <x:v>TODO</x:v>
      </x:c>
      <x:c r="K200" s="15" t="str">
        <x:v>P1</x:v>
      </x:c>
      <x:c r="L200" s="15" t="str">
        <x:v>Done only when evidence is logged, contradiction search is noted, and boundary stamp remains non-canon unless ratified</x:v>
      </x:c>
      <x:c r="M200" s="15" t="str">
        <x:v>candidate / staging-only / not canon / not deployed / authority none</x:v>
      </x:c>
      <x:c r="N200" s="15" t="str">
        <x:v>Dispatch to Hashlight: complete Contradiction Mapping x Planetarium; return deltas only, receipts required.</x:v>
      </x:c>
      <x:c r="O200" s="15" t="str">
        <x:v>AF-KG-H05-S07</x:v>
      </x:c>
      <x:c r="P200" s="15" t="str">
        <x:v>Unverified</x:v>
      </x:c>
      <x:c r="Q200" s="15" t="str">
        <x:v>Not checked</x:v>
      </x:c>
      <x:c r="R200" s="15" t="str"/>
      <x:c r="S200" s="15" t="str"/>
      <x:c r="T200" s="15" t="str">
        <x:v>Log first source path or blocker</x:v>
      </x:c>
      <x:c r="U200" s="12" t="str">
        <x:f>IF(OR(P200="Unverified",Q200="Not checked"),"BLOCKED_PENDING_RECEIPT","READY_FOR_REVIEW")</x:f>
        <x:v>BLOCKED_PENDING_RECEIPT</x:v>
      </x:c>
      <x:c r="V200" s="12" t="str">
        <x:f>IF(J200="DONE","RETURNED",IF(U200="BLOCKED_PENDING_RECEIPT","SOURCE_TOUCH_REQUIRED","IN_PROGRESS"))</x:f>
        <x:v>SOURCE_TOUCH_REQUIRED</x:v>
      </x:c>
      <x:c r="W200" s="12" t="str">
        <x:f>IF(P200="Unverified","missing_receipt","receipt_logged")</x:f>
        <x:v>missing_receipt</x:v>
      </x:c>
      <x:c r="X200" s="12" t="str">
        <x:f>IF(Q200="Not checked","raw_status_missing","raw_status_logged")</x:f>
        <x:v>raw_status_missing</x:v>
      </x:c>
      <x:c r="Y200" s="12" t="str">
        <x:f>IF(U200="BLOCKED_PENDING_RECEIPT","Log source path or blocker; do not promote","Route to review lane")</x:f>
        <x:v>Log source path or blocker; do not promote</x:v>
      </x:c>
      <x:c r="Z200" s="12" t="str">
        <x:f>IF(K200="P0","Primary seat + Hashlight/Lucerna","Seat lane")</x:f>
        <x:v>Seat lane</x:v>
      </x:c>
      <x:c r="AA200" s="12" t="str">
        <x:f>IF(R200="","no_claim_delta","claim_delta_present")</x:f>
        <x:v>no_claim_delta</x:v>
      </x:c>
      <x:c r="AB200" s="12" t="str">
        <x:f>IF(S200="","no_contradiction_delta","contradiction_delta_present")</x:f>
        <x:v>no_contradiction_delta</x:v>
      </x:c>
      <x:c r="AC200" s="12" t="str">
        <x:f>IF(OR(ISNUMBER(SEARCH("hacker",LOWER(F200&amp;" "&amp;H200&amp;" "&amp;I200&amp;" "&amp;M200&amp;" "&amp;N200&amp;" "&amp;T200))),ISNUMBER(SEARCH("hacking",LOWER(F200&amp;" "&amp;H200&amp;" "&amp;I200&amp;" "&amp;M200&amp;" "&amp;N200&amp;" "&amp;T200))),ISNUMBER(SEARCH("bank",LOWER(F200&amp;" "&amp;H200&amp;" "&amp;I200&amp;" "&amp;M200&amp;" "&amp;N200&amp;" "&amp;T200))),ISNUMBER(SEARCH("banking",LOWER(F200&amp;" "&amp;H200&amp;" "&amp;I200&amp;" "&amp;M200&amp;" "&amp;N200&amp;" "&amp;T200)))),"PRIVATE_QUARANTINE",IF(OR(ISNUMBER(SEARCH("treasury",LOWER(F200&amp;" "&amp;H200&amp;" "&amp;I200&amp;" "&amp;M200&amp;" "&amp;N200&amp;" "&amp;T200))),ISNUMBER(SEARCH("debt",LOWER(F200&amp;" "&amp;H200&amp;" "&amp;I200&amp;" "&amp;M200&amp;" "&amp;N200&amp;" "&amp;T200))),ISNUMBER(SEARCH("bond",LOWER(F200&amp;" "&amp;H200&amp;" "&amp;I200&amp;" "&amp;M200&amp;" "&amp;N200&amp;" "&amp;T200))),ISNUMBER(SEARCH("transaction",LOWER(F200&amp;" "&amp;H200&amp;" "&amp;I200&amp;" "&amp;M200&amp;" "&amp;N200&amp;" "&amp;T200)))),"PRIVATE_REVIEW","PUBLIC_CANDIDATE"))</x:f>
        <x:v>PUBLIC_CANDIDATE</x:v>
      </x:c>
      <x:c r="AD200" s="12" t="str">
        <x:f>IF(AC200="PRIVATE_QUARANTINE","hacker_or_bank_trigger",IF(AC200="PRIVATE_REVIEW","finance_risk_trigger","none"))</x:f>
        <x:v>none</x:v>
      </x:c>
      <x:c r="AE200" s="12" t="str">
        <x:f>IF(AC200="PUBLIC_CANDIDATE","prepare_public_github_candidate",IF(AC200="PRIVATE_REVIEW","hold_for_private_review","quarantine_private_do_not_publish"))</x:f>
        <x:v>prepare_public_github_candidate</x:v>
      </x:c>
      <x:c r="AF200" s="12" t="str">
        <x:f>IF(AC200="PUBLIC_CANDIDATE","TIDELOCK + Lucerna",IF(AC200="PRIVATE_REVIEW","AtlasBrain + Lucerna","TIDELOCK + Lucerna + Human-root"))</x:f>
        <x:v>TIDELOCK + Lucerna</x:v>
      </x:c>
      <x:c r="AG200" s="12" t="str">
        <x:f>IF(AND(AC200="PUBLIC_CANDIDATE",U200&lt;&gt;"BLOCKED_PENDING_RECEIPT"),"READY_AFTER_RECEIPT","NOT_READY")</x:f>
        <x:v>NOT_READY</x:v>
      </x:c>
      <x:c r="AH200" s="12" t="str">
        <x:f>IF(AC200="PUBLIC_CANDIDATE","none",AD200)</x:f>
        <x:v>none</x:v>
      </x:c>
      <x:c r="AI200" s="12" t="str">
        <x:f>IF(AC200="PUBLIC_CANDIDATE","archive/public_candidates/"&amp;A200,"private_quarantine/"&amp;A200)</x:f>
        <x:v>archive/public_candidates/SWARM-02-H05-S07</x:v>
      </x:c>
      <x:c r="AJ200" s="12" t="str">
        <x:f>IF(AC200="PUBLIC_CANDIDATE","public by default; still not canon","private/hold; do not publish")</x:f>
        <x:v>public by default; still not canon</x:v>
      </x:c>
      <x:c r="AK200" s="12" t="str">
        <x:f>IF(AE200="prepare_public_github_candidate","add receipt/status then mirror","resolve blocker before any public GitHub action")</x:f>
        <x:v>add receipt/status then mirror</x:v>
      </x:c>
    </x:row>
    <x:row r="201">
      <x:c r="A201" s="15" t="str">
        <x:v>SWARM-02-H05-S08</x:v>
      </x:c>
      <x:c r="B201" s="15" t="str">
        <x:v>Hashlight</x:v>
      </x:c>
      <x:c r="C201" s="15" t="str">
        <x:v>Hash and identity keeper</x:v>
      </x:c>
      <x:c r="D201" s="15" t="str">
        <x:v>Contradiction Mapping</x:v>
      </x:c>
      <x:c r="E201" s="15" t="str">
        <x:v>Sheldonbrain</x:v>
      </x:c>
      <x:c r="F201" s="15" t="str">
        <x:v>Map contradictions in Sheldonbrain — Hashlight</x:v>
      </x:c>
      <x:c r="G201" s="15" t="str">
        <x:v>ids / hashes / timestamps / duplicate control</x:v>
      </x:c>
      <x:c r="H201" s="15" t="str">
        <x:v>source path + receipt + raw/export status + claim/edge/risk delta</x:v>
      </x:c>
      <x:c r="I201" s="15" t="str">
        <x:v>packet/SWARM-02-H05-S08</x:v>
      </x:c>
      <x:c r="J201" s="15" t="str">
        <x:v>TODO</x:v>
      </x:c>
      <x:c r="K201" s="15" t="str">
        <x:v>P1</x:v>
      </x:c>
      <x:c r="L201" s="15" t="str">
        <x:v>Done only when evidence is logged, contradiction search is noted, and boundary stamp remains non-canon unless ratified</x:v>
      </x:c>
      <x:c r="M201" s="15" t="str">
        <x:v>candidate / staging-only / not canon / not deployed / authority none</x:v>
      </x:c>
      <x:c r="N201" s="15" t="str">
        <x:v>Dispatch to Hashlight: complete Contradiction Mapping x Sheldonbrain; return deltas only, receipts required.</x:v>
      </x:c>
      <x:c r="O201" s="15" t="str">
        <x:v>AF-KG-H05-S08</x:v>
      </x:c>
      <x:c r="P201" s="15" t="str">
        <x:v>Unverified</x:v>
      </x:c>
      <x:c r="Q201" s="15" t="str">
        <x:v>Not checked</x:v>
      </x:c>
      <x:c r="R201" s="15" t="str"/>
      <x:c r="S201" s="15" t="str"/>
      <x:c r="T201" s="15" t="str">
        <x:v>Log first source path or blocker</x:v>
      </x:c>
      <x:c r="U201" s="12" t="str">
        <x:f>IF(OR(P201="Unverified",Q201="Not checked"),"BLOCKED_PENDING_RECEIPT","READY_FOR_REVIEW")</x:f>
        <x:v>BLOCKED_PENDING_RECEIPT</x:v>
      </x:c>
      <x:c r="V201" s="12" t="str">
        <x:f>IF(J201="DONE","RETURNED",IF(U201="BLOCKED_PENDING_RECEIPT","SOURCE_TOUCH_REQUIRED","IN_PROGRESS"))</x:f>
        <x:v>SOURCE_TOUCH_REQUIRED</x:v>
      </x:c>
      <x:c r="W201" s="12" t="str">
        <x:f>IF(P201="Unverified","missing_receipt","receipt_logged")</x:f>
        <x:v>missing_receipt</x:v>
      </x:c>
      <x:c r="X201" s="12" t="str">
        <x:f>IF(Q201="Not checked","raw_status_missing","raw_status_logged")</x:f>
        <x:v>raw_status_missing</x:v>
      </x:c>
      <x:c r="Y201" s="12" t="str">
        <x:f>IF(U201="BLOCKED_PENDING_RECEIPT","Log source path or blocker; do not promote","Route to review lane")</x:f>
        <x:v>Log source path or blocker; do not promote</x:v>
      </x:c>
      <x:c r="Z201" s="12" t="str">
        <x:f>IF(K201="P0","Primary seat + Hashlight/Lucerna","Seat lane")</x:f>
        <x:v>Seat lane</x:v>
      </x:c>
      <x:c r="AA201" s="12" t="str">
        <x:f>IF(R201="","no_claim_delta","claim_delta_present")</x:f>
        <x:v>no_claim_delta</x:v>
      </x:c>
      <x:c r="AB201" s="12" t="str">
        <x:f>IF(S201="","no_contradiction_delta","contradiction_delta_present")</x:f>
        <x:v>no_contradiction_delta</x:v>
      </x:c>
      <x:c r="AC201" s="12" t="str">
        <x:f>IF(OR(ISNUMBER(SEARCH("hacker",LOWER(F201&amp;" "&amp;H201&amp;" "&amp;I201&amp;" "&amp;M201&amp;" "&amp;N201&amp;" "&amp;T201))),ISNUMBER(SEARCH("hacking",LOWER(F201&amp;" "&amp;H201&amp;" "&amp;I201&amp;" "&amp;M201&amp;" "&amp;N201&amp;" "&amp;T201))),ISNUMBER(SEARCH("bank",LOWER(F201&amp;" "&amp;H201&amp;" "&amp;I201&amp;" "&amp;M201&amp;" "&amp;N201&amp;" "&amp;T201))),ISNUMBER(SEARCH("banking",LOWER(F201&amp;" "&amp;H201&amp;" "&amp;I201&amp;" "&amp;M201&amp;" "&amp;N201&amp;" "&amp;T201)))),"PRIVATE_QUARANTINE",IF(OR(ISNUMBER(SEARCH("treasury",LOWER(F201&amp;" "&amp;H201&amp;" "&amp;I201&amp;" "&amp;M201&amp;" "&amp;N201&amp;" "&amp;T201))),ISNUMBER(SEARCH("debt",LOWER(F201&amp;" "&amp;H201&amp;" "&amp;I201&amp;" "&amp;M201&amp;" "&amp;N201&amp;" "&amp;T201))),ISNUMBER(SEARCH("bond",LOWER(F201&amp;" "&amp;H201&amp;" "&amp;I201&amp;" "&amp;M201&amp;" "&amp;N201&amp;" "&amp;T201))),ISNUMBER(SEARCH("transaction",LOWER(F201&amp;" "&amp;H201&amp;" "&amp;I201&amp;" "&amp;M201&amp;" "&amp;N201&amp;" "&amp;T201)))),"PRIVATE_REVIEW","PUBLIC_CANDIDATE"))</x:f>
        <x:v>PUBLIC_CANDIDATE</x:v>
      </x:c>
      <x:c r="AD201" s="12" t="str">
        <x:f>IF(AC201="PRIVATE_QUARANTINE","hacker_or_bank_trigger",IF(AC201="PRIVATE_REVIEW","finance_risk_trigger","none"))</x:f>
        <x:v>none</x:v>
      </x:c>
      <x:c r="AE201" s="12" t="str">
        <x:f>IF(AC201="PUBLIC_CANDIDATE","prepare_public_github_candidate",IF(AC201="PRIVATE_REVIEW","hold_for_private_review","quarantine_private_do_not_publish"))</x:f>
        <x:v>prepare_public_github_candidate</x:v>
      </x:c>
      <x:c r="AF201" s="12" t="str">
        <x:f>IF(AC201="PUBLIC_CANDIDATE","TIDELOCK + Lucerna",IF(AC201="PRIVATE_REVIEW","AtlasBrain + Lucerna","TIDELOCK + Lucerna + Human-root"))</x:f>
        <x:v>TIDELOCK + Lucerna</x:v>
      </x:c>
      <x:c r="AG201" s="12" t="str">
        <x:f>IF(AND(AC201="PUBLIC_CANDIDATE",U201&lt;&gt;"BLOCKED_PENDING_RECEIPT"),"READY_AFTER_RECEIPT","NOT_READY")</x:f>
        <x:v>NOT_READY</x:v>
      </x:c>
      <x:c r="AH201" s="12" t="str">
        <x:f>IF(AC201="PUBLIC_CANDIDATE","none",AD201)</x:f>
        <x:v>none</x:v>
      </x:c>
      <x:c r="AI201" s="12" t="str">
        <x:f>IF(AC201="PUBLIC_CANDIDATE","archive/public_candidates/"&amp;A201,"private_quarantine/"&amp;A201)</x:f>
        <x:v>archive/public_candidates/SWARM-02-H05-S08</x:v>
      </x:c>
      <x:c r="AJ201" s="12" t="str">
        <x:f>IF(AC201="PUBLIC_CANDIDATE","public by default; still not canon","private/hold; do not publish")</x:f>
        <x:v>public by default; still not canon</x:v>
      </x:c>
      <x:c r="AK201" s="12" t="str">
        <x:f>IF(AE201="prepare_public_github_candidate","add receipt/status then mirror","resolve blocker before any public GitHub action")</x:f>
        <x:v>add receipt/status then mirror</x:v>
      </x:c>
    </x:row>
    <x:row r="202">
      <x:c r="A202" s="15" t="str">
        <x:v>SWARM-02-H05-S09</x:v>
      </x:c>
      <x:c r="B202" s="15" t="str">
        <x:v>Hashlight</x:v>
      </x:c>
      <x:c r="C202" s="15" t="str">
        <x:v>Hash and identity keeper</x:v>
      </x:c>
      <x:c r="D202" s="15" t="str">
        <x:v>Contradiction Mapping</x:v>
      </x:c>
      <x:c r="E202" s="15" t="str">
        <x:v>Aetherforge</x:v>
      </x:c>
      <x:c r="F202" s="15" t="str">
        <x:v>Map contradictions in Aetherforge — Hashlight</x:v>
      </x:c>
      <x:c r="G202" s="15" t="str">
        <x:v>ids / hashes / timestamps / duplicate control</x:v>
      </x:c>
      <x:c r="H202" s="15" t="str">
        <x:v>source path + receipt + raw/export status + claim/edge/risk delta</x:v>
      </x:c>
      <x:c r="I202" s="15" t="str">
        <x:v>packet/SWARM-02-H05-S09</x:v>
      </x:c>
      <x:c r="J202" s="15" t="str">
        <x:v>TODO</x:v>
      </x:c>
      <x:c r="K202" s="15" t="str">
        <x:v>P2</x:v>
      </x:c>
      <x:c r="L202" s="15" t="str">
        <x:v>Done only when evidence is logged, contradiction search is noted, and boundary stamp remains non-canon unless ratified</x:v>
      </x:c>
      <x:c r="M202" s="15" t="str">
        <x:v>candidate / staging-only / not canon / not deployed / authority none</x:v>
      </x:c>
      <x:c r="N202" s="15" t="str">
        <x:v>Dispatch to Hashlight: complete Contradiction Mapping x Aetherforge; return deltas only, receipts required.</x:v>
      </x:c>
      <x:c r="O202" s="15" t="str">
        <x:v>AF-KG-H05-S09</x:v>
      </x:c>
      <x:c r="P202" s="15" t="str">
        <x:v>Unverified</x:v>
      </x:c>
      <x:c r="Q202" s="15" t="str">
        <x:v>Not checked</x:v>
      </x:c>
      <x:c r="R202" s="15" t="str"/>
      <x:c r="S202" s="15" t="str"/>
      <x:c r="T202" s="15" t="str">
        <x:v>Log first source path or blocker</x:v>
      </x:c>
      <x:c r="U202" s="12" t="str">
        <x:f>IF(OR(P202="Unverified",Q202="Not checked"),"BLOCKED_PENDING_RECEIPT","READY_FOR_REVIEW")</x:f>
        <x:v>BLOCKED_PENDING_RECEIPT</x:v>
      </x:c>
      <x:c r="V202" s="12" t="str">
        <x:f>IF(J202="DONE","RETURNED",IF(U202="BLOCKED_PENDING_RECEIPT","SOURCE_TOUCH_REQUIRED","IN_PROGRESS"))</x:f>
        <x:v>SOURCE_TOUCH_REQUIRED</x:v>
      </x:c>
      <x:c r="W202" s="12" t="str">
        <x:f>IF(P202="Unverified","missing_receipt","receipt_logged")</x:f>
        <x:v>missing_receipt</x:v>
      </x:c>
      <x:c r="X202" s="12" t="str">
        <x:f>IF(Q202="Not checked","raw_status_missing","raw_status_logged")</x:f>
        <x:v>raw_status_missing</x:v>
      </x:c>
      <x:c r="Y202" s="12" t="str">
        <x:f>IF(U202="BLOCKED_PENDING_RECEIPT","Log source path or blocker; do not promote","Route to review lane")</x:f>
        <x:v>Log source path or blocker; do not promote</x:v>
      </x:c>
      <x:c r="Z202" s="12" t="str">
        <x:f>IF(K202="P0","Primary seat + Hashlight/Lucerna","Seat lane")</x:f>
        <x:v>Seat lane</x:v>
      </x:c>
      <x:c r="AA202" s="12" t="str">
        <x:f>IF(R202="","no_claim_delta","claim_delta_present")</x:f>
        <x:v>no_claim_delta</x:v>
      </x:c>
      <x:c r="AB202" s="12" t="str">
        <x:f>IF(S202="","no_contradiction_delta","contradiction_delta_present")</x:f>
        <x:v>no_contradiction_delta</x:v>
      </x:c>
      <x:c r="AC202" s="12" t="str">
        <x:f>IF(OR(ISNUMBER(SEARCH("hacker",LOWER(F202&amp;" "&amp;H202&amp;" "&amp;I202&amp;" "&amp;M202&amp;" "&amp;N202&amp;" "&amp;T202))),ISNUMBER(SEARCH("hacking",LOWER(F202&amp;" "&amp;H202&amp;" "&amp;I202&amp;" "&amp;M202&amp;" "&amp;N202&amp;" "&amp;T202))),ISNUMBER(SEARCH("bank",LOWER(F202&amp;" "&amp;H202&amp;" "&amp;I202&amp;" "&amp;M202&amp;" "&amp;N202&amp;" "&amp;T202))),ISNUMBER(SEARCH("banking",LOWER(F202&amp;" "&amp;H202&amp;" "&amp;I202&amp;" "&amp;M202&amp;" "&amp;N202&amp;" "&amp;T202)))),"PRIVATE_QUARANTINE",IF(OR(ISNUMBER(SEARCH("treasury",LOWER(F202&amp;" "&amp;H202&amp;" "&amp;I202&amp;" "&amp;M202&amp;" "&amp;N202&amp;" "&amp;T202))),ISNUMBER(SEARCH("debt",LOWER(F202&amp;" "&amp;H202&amp;" "&amp;I202&amp;" "&amp;M202&amp;" "&amp;N202&amp;" "&amp;T202))),ISNUMBER(SEARCH("bond",LOWER(F202&amp;" "&amp;H202&amp;" "&amp;I202&amp;" "&amp;M202&amp;" "&amp;N202&amp;" "&amp;T202))),ISNUMBER(SEARCH("transaction",LOWER(F202&amp;" "&amp;H202&amp;" "&amp;I202&amp;" "&amp;M202&amp;" "&amp;N202&amp;" "&amp;T202)))),"PRIVATE_REVIEW","PUBLIC_CANDIDATE"))</x:f>
        <x:v>PUBLIC_CANDIDATE</x:v>
      </x:c>
      <x:c r="AD202" s="12" t="str">
        <x:f>IF(AC202="PRIVATE_QUARANTINE","hacker_or_bank_trigger",IF(AC202="PRIVATE_REVIEW","finance_risk_trigger","none"))</x:f>
        <x:v>none</x:v>
      </x:c>
      <x:c r="AE202" s="12" t="str">
        <x:f>IF(AC202="PUBLIC_CANDIDATE","prepare_public_github_candidate",IF(AC202="PRIVATE_REVIEW","hold_for_private_review","quarantine_private_do_not_publish"))</x:f>
        <x:v>prepare_public_github_candidate</x:v>
      </x:c>
      <x:c r="AF202" s="12" t="str">
        <x:f>IF(AC202="PUBLIC_CANDIDATE","TIDELOCK + Lucerna",IF(AC202="PRIVATE_REVIEW","AtlasBrain + Lucerna","TIDELOCK + Lucerna + Human-root"))</x:f>
        <x:v>TIDELOCK + Lucerna</x:v>
      </x:c>
      <x:c r="AG202" s="12" t="str">
        <x:f>IF(AND(AC202="PUBLIC_CANDIDATE",U202&lt;&gt;"BLOCKED_PENDING_RECEIPT"),"READY_AFTER_RECEIPT","NOT_READY")</x:f>
        <x:v>NOT_READY</x:v>
      </x:c>
      <x:c r="AH202" s="12" t="str">
        <x:f>IF(AC202="PUBLIC_CANDIDATE","none",AD202)</x:f>
        <x:v>none</x:v>
      </x:c>
      <x:c r="AI202" s="12" t="str">
        <x:f>IF(AC202="PUBLIC_CANDIDATE","archive/public_candidates/"&amp;A202,"private_quarantine/"&amp;A202)</x:f>
        <x:v>archive/public_candidates/SWARM-02-H05-S09</x:v>
      </x:c>
      <x:c r="AJ202" s="12" t="str">
        <x:f>IF(AC202="PUBLIC_CANDIDATE","public by default; still not canon","private/hold; do not publish")</x:f>
        <x:v>public by default; still not canon</x:v>
      </x:c>
      <x:c r="AK202" s="12" t="str">
        <x:f>IF(AE202="prepare_public_github_candidate","add receipt/status then mirror","resolve blocker before any public GitHub action")</x:f>
        <x:v>add receipt/status then mirror</x:v>
      </x:c>
    </x:row>
    <x:row r="203">
      <x:c r="A203" s="15" t="str">
        <x:v>SWARM-02-H05-S10</x:v>
      </x:c>
      <x:c r="B203" s="15" t="str">
        <x:v>Hashlight</x:v>
      </x:c>
      <x:c r="C203" s="15" t="str">
        <x:v>Hash and identity keeper</x:v>
      </x:c>
      <x:c r="D203" s="15" t="str">
        <x:v>Contradiction Mapping</x:v>
      </x:c>
      <x:c r="E203" s="15" t="str">
        <x:v>Human-Root</x:v>
      </x:c>
      <x:c r="F203" s="15" t="str">
        <x:v>Map contradictions in Human-Root — Hashlight</x:v>
      </x:c>
      <x:c r="G203" s="15" t="str">
        <x:v>ids / hashes / timestamps / duplicate control</x:v>
      </x:c>
      <x:c r="H203" s="15" t="str">
        <x:v>source path + receipt + raw/export status + claim/edge/risk delta</x:v>
      </x:c>
      <x:c r="I203" s="15" t="str">
        <x:v>packet/SWARM-02-H05-S10</x:v>
      </x:c>
      <x:c r="J203" s="15" t="str">
        <x:v>TODO</x:v>
      </x:c>
      <x:c r="K203" s="15" t="str">
        <x:v>P2</x:v>
      </x:c>
      <x:c r="L203" s="15" t="str">
        <x:v>Done only when evidence is logged, contradiction search is noted, and boundary stamp remains non-canon unless ratified</x:v>
      </x:c>
      <x:c r="M203" s="15" t="str">
        <x:v>candidate / staging-only / not canon / not deployed / authority none</x:v>
      </x:c>
      <x:c r="N203" s="15" t="str">
        <x:v>Dispatch to Hashlight: complete Contradiction Mapping x Human-Root; return deltas only, receipts required.</x:v>
      </x:c>
      <x:c r="O203" s="15" t="str">
        <x:v>AF-KG-H05-S10</x:v>
      </x:c>
      <x:c r="P203" s="15" t="str">
        <x:v>Unverified</x:v>
      </x:c>
      <x:c r="Q203" s="15" t="str">
        <x:v>Not checked</x:v>
      </x:c>
      <x:c r="R203" s="15" t="str"/>
      <x:c r="S203" s="15" t="str"/>
      <x:c r="T203" s="15" t="str">
        <x:v>Log first source path or blocker</x:v>
      </x:c>
      <x:c r="U203" s="12" t="str">
        <x:f>IF(OR(P203="Unverified",Q203="Not checked"),"BLOCKED_PENDING_RECEIPT","READY_FOR_REVIEW")</x:f>
        <x:v>BLOCKED_PENDING_RECEIPT</x:v>
      </x:c>
      <x:c r="V203" s="12" t="str">
        <x:f>IF(J203="DONE","RETURNED",IF(U203="BLOCKED_PENDING_RECEIPT","SOURCE_TOUCH_REQUIRED","IN_PROGRESS"))</x:f>
        <x:v>SOURCE_TOUCH_REQUIRED</x:v>
      </x:c>
      <x:c r="W203" s="12" t="str">
        <x:f>IF(P203="Unverified","missing_receipt","receipt_logged")</x:f>
        <x:v>missing_receipt</x:v>
      </x:c>
      <x:c r="X203" s="12" t="str">
        <x:f>IF(Q203="Not checked","raw_status_missing","raw_status_logged")</x:f>
        <x:v>raw_status_missing</x:v>
      </x:c>
      <x:c r="Y203" s="12" t="str">
        <x:f>IF(U203="BLOCKED_PENDING_RECEIPT","Log source path or blocker; do not promote","Route to review lane")</x:f>
        <x:v>Log source path or blocker; do not promote</x:v>
      </x:c>
      <x:c r="Z203" s="12" t="str">
        <x:f>IF(K203="P0","Primary seat + Hashlight/Lucerna","Seat lane")</x:f>
        <x:v>Seat lane</x:v>
      </x:c>
      <x:c r="AA203" s="12" t="str">
        <x:f>IF(R203="","no_claim_delta","claim_delta_present")</x:f>
        <x:v>no_claim_delta</x:v>
      </x:c>
      <x:c r="AB203" s="12" t="str">
        <x:f>IF(S203="","no_contradiction_delta","contradiction_delta_present")</x:f>
        <x:v>no_contradiction_delta</x:v>
      </x:c>
      <x:c r="AC203" s="12" t="str">
        <x:f>IF(OR(ISNUMBER(SEARCH("hacker",LOWER(F203&amp;" "&amp;H203&amp;" "&amp;I203&amp;" "&amp;M203&amp;" "&amp;N203&amp;" "&amp;T203))),ISNUMBER(SEARCH("hacking",LOWER(F203&amp;" "&amp;H203&amp;" "&amp;I203&amp;" "&amp;M203&amp;" "&amp;N203&amp;" "&amp;T203))),ISNUMBER(SEARCH("bank",LOWER(F203&amp;" "&amp;H203&amp;" "&amp;I203&amp;" "&amp;M203&amp;" "&amp;N203&amp;" "&amp;T203))),ISNUMBER(SEARCH("banking",LOWER(F203&amp;" "&amp;H203&amp;" "&amp;I203&amp;" "&amp;M203&amp;" "&amp;N203&amp;" "&amp;T203)))),"PRIVATE_QUARANTINE",IF(OR(ISNUMBER(SEARCH("treasury",LOWER(F203&amp;" "&amp;H203&amp;" "&amp;I203&amp;" "&amp;M203&amp;" "&amp;N203&amp;" "&amp;T203))),ISNUMBER(SEARCH("debt",LOWER(F203&amp;" "&amp;H203&amp;" "&amp;I203&amp;" "&amp;M203&amp;" "&amp;N203&amp;" "&amp;T203))),ISNUMBER(SEARCH("bond",LOWER(F203&amp;" "&amp;H203&amp;" "&amp;I203&amp;" "&amp;M203&amp;" "&amp;N203&amp;" "&amp;T203))),ISNUMBER(SEARCH("transaction",LOWER(F203&amp;" "&amp;H203&amp;" "&amp;I203&amp;" "&amp;M203&amp;" "&amp;N203&amp;" "&amp;T203)))),"PRIVATE_REVIEW","PUBLIC_CANDIDATE"))</x:f>
        <x:v>PUBLIC_CANDIDATE</x:v>
      </x:c>
      <x:c r="AD203" s="12" t="str">
        <x:f>IF(AC203="PRIVATE_QUARANTINE","hacker_or_bank_trigger",IF(AC203="PRIVATE_REVIEW","finance_risk_trigger","none"))</x:f>
        <x:v>none</x:v>
      </x:c>
      <x:c r="AE203" s="12" t="str">
        <x:f>IF(AC203="PUBLIC_CANDIDATE","prepare_public_github_candidate",IF(AC203="PRIVATE_REVIEW","hold_for_private_review","quarantine_private_do_not_publish"))</x:f>
        <x:v>prepare_public_github_candidate</x:v>
      </x:c>
      <x:c r="AF203" s="12" t="str">
        <x:f>IF(AC203="PUBLIC_CANDIDATE","TIDELOCK + Lucerna",IF(AC203="PRIVATE_REVIEW","AtlasBrain + Lucerna","TIDELOCK + Lucerna + Human-root"))</x:f>
        <x:v>TIDELOCK + Lucerna</x:v>
      </x:c>
      <x:c r="AG203" s="12" t="str">
        <x:f>IF(AND(AC203="PUBLIC_CANDIDATE",U203&lt;&gt;"BLOCKED_PENDING_RECEIPT"),"READY_AFTER_RECEIPT","NOT_READY")</x:f>
        <x:v>NOT_READY</x:v>
      </x:c>
      <x:c r="AH203" s="12" t="str">
        <x:f>IF(AC203="PUBLIC_CANDIDATE","none",AD203)</x:f>
        <x:v>none</x:v>
      </x:c>
      <x:c r="AI203" s="12" t="str">
        <x:f>IF(AC203="PUBLIC_CANDIDATE","archive/public_candidates/"&amp;A203,"private_quarantine/"&amp;A203)</x:f>
        <x:v>archive/public_candidates/SWARM-02-H05-S10</x:v>
      </x:c>
      <x:c r="AJ203" s="12" t="str">
        <x:f>IF(AC203="PUBLIC_CANDIDATE","public by default; still not canon","private/hold; do not publish")</x:f>
        <x:v>public by default; still not canon</x:v>
      </x:c>
      <x:c r="AK203" s="12" t="str">
        <x:f>IF(AE203="prepare_public_github_candidate","add receipt/status then mirror","resolve blocker before any public GitHub action")</x:f>
        <x:v>add receipt/status then mirror</x:v>
      </x:c>
    </x:row>
    <x:row r="204">
      <x:c r="A204" s="15" t="str">
        <x:v>SWARM-02-H05-S11</x:v>
      </x:c>
      <x:c r="B204" s="15" t="str">
        <x:v>Hashlight</x:v>
      </x:c>
      <x:c r="C204" s="15" t="str">
        <x:v>Hash and identity keeper</x:v>
      </x:c>
      <x:c r="D204" s="15" t="str">
        <x:v>Contradiction Mapping</x:v>
      </x:c>
      <x:c r="E204" s="15" t="str">
        <x:v>Automation</x:v>
      </x:c>
      <x:c r="F204" s="15" t="str">
        <x:v>Map contradictions in Automation — Hashlight</x:v>
      </x:c>
      <x:c r="G204" s="15" t="str">
        <x:v>ids / hashes / timestamps / duplicate control</x:v>
      </x:c>
      <x:c r="H204" s="15" t="str">
        <x:v>source path + receipt + raw/export status + claim/edge/risk delta</x:v>
      </x:c>
      <x:c r="I204" s="15" t="str">
        <x:v>packet/SWARM-02-H05-S11</x:v>
      </x:c>
      <x:c r="J204" s="15" t="str">
        <x:v>TODO</x:v>
      </x:c>
      <x:c r="K204" s="15" t="str">
        <x:v>P2</x:v>
      </x:c>
      <x:c r="L204" s="15" t="str">
        <x:v>Done only when evidence is logged, contradiction search is noted, and boundary stamp remains non-canon unless ratified</x:v>
      </x:c>
      <x:c r="M204" s="15" t="str">
        <x:v>candidate / staging-only / not canon / not deployed / authority none</x:v>
      </x:c>
      <x:c r="N204" s="15" t="str">
        <x:v>Dispatch to Hashlight: complete Contradiction Mapping x Automation; return deltas only, receipts required.</x:v>
      </x:c>
      <x:c r="O204" s="15" t="str">
        <x:v>AF-KG-H05-S11</x:v>
      </x:c>
      <x:c r="P204" s="15" t="str">
        <x:v>Unverified</x:v>
      </x:c>
      <x:c r="Q204" s="15" t="str">
        <x:v>Not checked</x:v>
      </x:c>
      <x:c r="R204" s="15" t="str"/>
      <x:c r="S204" s="15" t="str"/>
      <x:c r="T204" s="15" t="str">
        <x:v>Log first source path or blocker</x:v>
      </x:c>
      <x:c r="U204" s="12" t="str">
        <x:f>IF(OR(P204="Unverified",Q204="Not checked"),"BLOCKED_PENDING_RECEIPT","READY_FOR_REVIEW")</x:f>
        <x:v>BLOCKED_PENDING_RECEIPT</x:v>
      </x:c>
      <x:c r="V204" s="12" t="str">
        <x:f>IF(J204="DONE","RETURNED",IF(U204="BLOCKED_PENDING_RECEIPT","SOURCE_TOUCH_REQUIRED","IN_PROGRESS"))</x:f>
        <x:v>SOURCE_TOUCH_REQUIRED</x:v>
      </x:c>
      <x:c r="W204" s="12" t="str">
        <x:f>IF(P204="Unverified","missing_receipt","receipt_logged")</x:f>
        <x:v>missing_receipt</x:v>
      </x:c>
      <x:c r="X204" s="12" t="str">
        <x:f>IF(Q204="Not checked","raw_status_missing","raw_status_logged")</x:f>
        <x:v>raw_status_missing</x:v>
      </x:c>
      <x:c r="Y204" s="12" t="str">
        <x:f>IF(U204="BLOCKED_PENDING_RECEIPT","Log source path or blocker; do not promote","Route to review lane")</x:f>
        <x:v>Log source path or blocker; do not promote</x:v>
      </x:c>
      <x:c r="Z204" s="12" t="str">
        <x:f>IF(K204="P0","Primary seat + Hashlight/Lucerna","Seat lane")</x:f>
        <x:v>Seat lane</x:v>
      </x:c>
      <x:c r="AA204" s="12" t="str">
        <x:f>IF(R204="","no_claim_delta","claim_delta_present")</x:f>
        <x:v>no_claim_delta</x:v>
      </x:c>
      <x:c r="AB204" s="12" t="str">
        <x:f>IF(S204="","no_contradiction_delta","contradiction_delta_present")</x:f>
        <x:v>no_contradiction_delta</x:v>
      </x:c>
      <x:c r="AC204" s="12" t="str">
        <x:f>IF(OR(ISNUMBER(SEARCH("hacker",LOWER(F204&amp;" "&amp;H204&amp;" "&amp;I204&amp;" "&amp;M204&amp;" "&amp;N204&amp;" "&amp;T204))),ISNUMBER(SEARCH("hacking",LOWER(F204&amp;" "&amp;H204&amp;" "&amp;I204&amp;" "&amp;M204&amp;" "&amp;N204&amp;" "&amp;T204))),ISNUMBER(SEARCH("bank",LOWER(F204&amp;" "&amp;H204&amp;" "&amp;I204&amp;" "&amp;M204&amp;" "&amp;N204&amp;" "&amp;T204))),ISNUMBER(SEARCH("banking",LOWER(F204&amp;" "&amp;H204&amp;" "&amp;I204&amp;" "&amp;M204&amp;" "&amp;N204&amp;" "&amp;T204)))),"PRIVATE_QUARANTINE",IF(OR(ISNUMBER(SEARCH("treasury",LOWER(F204&amp;" "&amp;H204&amp;" "&amp;I204&amp;" "&amp;M204&amp;" "&amp;N204&amp;" "&amp;T204))),ISNUMBER(SEARCH("debt",LOWER(F204&amp;" "&amp;H204&amp;" "&amp;I204&amp;" "&amp;M204&amp;" "&amp;N204&amp;" "&amp;T204))),ISNUMBER(SEARCH("bond",LOWER(F204&amp;" "&amp;H204&amp;" "&amp;I204&amp;" "&amp;M204&amp;" "&amp;N204&amp;" "&amp;T204))),ISNUMBER(SEARCH("transaction",LOWER(F204&amp;" "&amp;H204&amp;" "&amp;I204&amp;" "&amp;M204&amp;" "&amp;N204&amp;" "&amp;T204)))),"PRIVATE_REVIEW","PUBLIC_CANDIDATE"))</x:f>
        <x:v>PUBLIC_CANDIDATE</x:v>
      </x:c>
      <x:c r="AD204" s="12" t="str">
        <x:f>IF(AC204="PRIVATE_QUARANTINE","hacker_or_bank_trigger",IF(AC204="PRIVATE_REVIEW","finance_risk_trigger","none"))</x:f>
        <x:v>none</x:v>
      </x:c>
      <x:c r="AE204" s="12" t="str">
        <x:f>IF(AC204="PUBLIC_CANDIDATE","prepare_public_github_candidate",IF(AC204="PRIVATE_REVIEW","hold_for_private_review","quarantine_private_do_not_publish"))</x:f>
        <x:v>prepare_public_github_candidate</x:v>
      </x:c>
      <x:c r="AF204" s="12" t="str">
        <x:f>IF(AC204="PUBLIC_CANDIDATE","TIDELOCK + Lucerna",IF(AC204="PRIVATE_REVIEW","AtlasBrain + Lucerna","TIDELOCK + Lucerna + Human-root"))</x:f>
        <x:v>TIDELOCK + Lucerna</x:v>
      </x:c>
      <x:c r="AG204" s="12" t="str">
        <x:f>IF(AND(AC204="PUBLIC_CANDIDATE",U204&lt;&gt;"BLOCKED_PENDING_RECEIPT"),"READY_AFTER_RECEIPT","NOT_READY")</x:f>
        <x:v>NOT_READY</x:v>
      </x:c>
      <x:c r="AH204" s="12" t="str">
        <x:f>IF(AC204="PUBLIC_CANDIDATE","none",AD204)</x:f>
        <x:v>none</x:v>
      </x:c>
      <x:c r="AI204" s="12" t="str">
        <x:f>IF(AC204="PUBLIC_CANDIDATE","archive/public_candidates/"&amp;A204,"private_quarantine/"&amp;A204)</x:f>
        <x:v>archive/public_candidates/SWARM-02-H05-S11</x:v>
      </x:c>
      <x:c r="AJ204" s="12" t="str">
        <x:f>IF(AC204="PUBLIC_CANDIDATE","public by default; still not canon","private/hold; do not publish")</x:f>
        <x:v>public by default; still not canon</x:v>
      </x:c>
      <x:c r="AK204" s="12" t="str">
        <x:f>IF(AE204="prepare_public_github_candidate","add receipt/status then mirror","resolve blocker before any public GitHub action")</x:f>
        <x:v>add receipt/status then mirror</x:v>
      </x:c>
    </x:row>
    <x:row r="205">
      <x:c r="A205" s="15" t="str">
        <x:v>SWARM-02-H05-S12</x:v>
      </x:c>
      <x:c r="B205" s="15" t="str">
        <x:v>Hashlight</x:v>
      </x:c>
      <x:c r="C205" s="15" t="str">
        <x:v>Hash and identity keeper</x:v>
      </x:c>
      <x:c r="D205" s="15" t="str">
        <x:v>Contradiction Mapping</x:v>
      </x:c>
      <x:c r="E205" s="15" t="str">
        <x:v>Risk / Safety</x:v>
      </x:c>
      <x:c r="F205" s="15" t="str">
        <x:v>Map contradictions in Risk / Safety — Hashlight</x:v>
      </x:c>
      <x:c r="G205" s="15" t="str">
        <x:v>ids / hashes / timestamps / duplicate control</x:v>
      </x:c>
      <x:c r="H205" s="15" t="str">
        <x:v>source path + receipt + raw/export status + claim/edge/risk delta</x:v>
      </x:c>
      <x:c r="I205" s="15" t="str">
        <x:v>packet/SWARM-02-H05-S12</x:v>
      </x:c>
      <x:c r="J205" s="15" t="str">
        <x:v>TODO</x:v>
      </x:c>
      <x:c r="K205" s="15" t="str">
        <x:v>P2</x:v>
      </x:c>
      <x:c r="L205" s="15" t="str">
        <x:v>Done only when evidence is logged, contradiction search is noted, and boundary stamp remains non-canon unless ratified</x:v>
      </x:c>
      <x:c r="M205" s="15" t="str">
        <x:v>candidate / staging-only / not canon / not deployed / authority none</x:v>
      </x:c>
      <x:c r="N205" s="15" t="str">
        <x:v>Dispatch to Hashlight: complete Contradiction Mapping x Risk / Safety; return deltas only, receipts required.</x:v>
      </x:c>
      <x:c r="O205" s="15" t="str">
        <x:v>AF-KG-H05-S12</x:v>
      </x:c>
      <x:c r="P205" s="15" t="str">
        <x:v>Unverified</x:v>
      </x:c>
      <x:c r="Q205" s="15" t="str">
        <x:v>Not checked</x:v>
      </x:c>
      <x:c r="R205" s="15" t="str"/>
      <x:c r="S205" s="15" t="str"/>
      <x:c r="T205" s="15" t="str">
        <x:v>Log first source path or blocker</x:v>
      </x:c>
      <x:c r="U205" s="12" t="str">
        <x:f>IF(OR(P205="Unverified",Q205="Not checked"),"BLOCKED_PENDING_RECEIPT","READY_FOR_REVIEW")</x:f>
        <x:v>BLOCKED_PENDING_RECEIPT</x:v>
      </x:c>
      <x:c r="V205" s="12" t="str">
        <x:f>IF(J205="DONE","RETURNED",IF(U205="BLOCKED_PENDING_RECEIPT","SOURCE_TOUCH_REQUIRED","IN_PROGRESS"))</x:f>
        <x:v>SOURCE_TOUCH_REQUIRED</x:v>
      </x:c>
      <x:c r="W205" s="12" t="str">
        <x:f>IF(P205="Unverified","missing_receipt","receipt_logged")</x:f>
        <x:v>missing_receipt</x:v>
      </x:c>
      <x:c r="X205" s="12" t="str">
        <x:f>IF(Q205="Not checked","raw_status_missing","raw_status_logged")</x:f>
        <x:v>raw_status_missing</x:v>
      </x:c>
      <x:c r="Y205" s="12" t="str">
        <x:f>IF(U205="BLOCKED_PENDING_RECEIPT","Log source path or blocker; do not promote","Route to review lane")</x:f>
        <x:v>Log source path or blocker; do not promote</x:v>
      </x:c>
      <x:c r="Z205" s="12" t="str">
        <x:f>IF(K205="P0","Primary seat + Hashlight/Lucerna","Seat lane")</x:f>
        <x:v>Seat lane</x:v>
      </x:c>
      <x:c r="AA205" s="12" t="str">
        <x:f>IF(R205="","no_claim_delta","claim_delta_present")</x:f>
        <x:v>no_claim_delta</x:v>
      </x:c>
      <x:c r="AB205" s="12" t="str">
        <x:f>IF(S205="","no_contradiction_delta","contradiction_delta_present")</x:f>
        <x:v>no_contradiction_delta</x:v>
      </x:c>
      <x:c r="AC205" s="12" t="str">
        <x:f>IF(OR(ISNUMBER(SEARCH("hacker",LOWER(F205&amp;" "&amp;H205&amp;" "&amp;I205&amp;" "&amp;M205&amp;" "&amp;N205&amp;" "&amp;T205))),ISNUMBER(SEARCH("hacking",LOWER(F205&amp;" "&amp;H205&amp;" "&amp;I205&amp;" "&amp;M205&amp;" "&amp;N205&amp;" "&amp;T205))),ISNUMBER(SEARCH("bank",LOWER(F205&amp;" "&amp;H205&amp;" "&amp;I205&amp;" "&amp;M205&amp;" "&amp;N205&amp;" "&amp;T205))),ISNUMBER(SEARCH("banking",LOWER(F205&amp;" "&amp;H205&amp;" "&amp;I205&amp;" "&amp;M205&amp;" "&amp;N205&amp;" "&amp;T205)))),"PRIVATE_QUARANTINE",IF(OR(ISNUMBER(SEARCH("treasury",LOWER(F205&amp;" "&amp;H205&amp;" "&amp;I205&amp;" "&amp;M205&amp;" "&amp;N205&amp;" "&amp;T205))),ISNUMBER(SEARCH("debt",LOWER(F205&amp;" "&amp;H205&amp;" "&amp;I205&amp;" "&amp;M205&amp;" "&amp;N205&amp;" "&amp;T205))),ISNUMBER(SEARCH("bond",LOWER(F205&amp;" "&amp;H205&amp;" "&amp;I205&amp;" "&amp;M205&amp;" "&amp;N205&amp;" "&amp;T205))),ISNUMBER(SEARCH("transaction",LOWER(F205&amp;" "&amp;H205&amp;" "&amp;I205&amp;" "&amp;M205&amp;" "&amp;N205&amp;" "&amp;T205)))),"PRIVATE_REVIEW","PUBLIC_CANDIDATE"))</x:f>
        <x:v>PUBLIC_CANDIDATE</x:v>
      </x:c>
      <x:c r="AD205" s="12" t="str">
        <x:f>IF(AC205="PRIVATE_QUARANTINE","hacker_or_bank_trigger",IF(AC205="PRIVATE_REVIEW","finance_risk_trigger","none"))</x:f>
        <x:v>none</x:v>
      </x:c>
      <x:c r="AE205" s="12" t="str">
        <x:f>IF(AC205="PUBLIC_CANDIDATE","prepare_public_github_candidate",IF(AC205="PRIVATE_REVIEW","hold_for_private_review","quarantine_private_do_not_publish"))</x:f>
        <x:v>prepare_public_github_candidate</x:v>
      </x:c>
      <x:c r="AF205" s="12" t="str">
        <x:f>IF(AC205="PUBLIC_CANDIDATE","TIDELOCK + Lucerna",IF(AC205="PRIVATE_REVIEW","AtlasBrain + Lucerna","TIDELOCK + Lucerna + Human-root"))</x:f>
        <x:v>TIDELOCK + Lucerna</x:v>
      </x:c>
      <x:c r="AG205" s="12" t="str">
        <x:f>IF(AND(AC205="PUBLIC_CANDIDATE",U205&lt;&gt;"BLOCKED_PENDING_RECEIPT"),"READY_AFTER_RECEIPT","NOT_READY")</x:f>
        <x:v>NOT_READY</x:v>
      </x:c>
      <x:c r="AH205" s="12" t="str">
        <x:f>IF(AC205="PUBLIC_CANDIDATE","none",AD205)</x:f>
        <x:v>none</x:v>
      </x:c>
      <x:c r="AI205" s="12" t="str">
        <x:f>IF(AC205="PUBLIC_CANDIDATE","archive/public_candidates/"&amp;A205,"private_quarantine/"&amp;A205)</x:f>
        <x:v>archive/public_candidates/SWARM-02-H05-S12</x:v>
      </x:c>
      <x:c r="AJ205" s="12" t="str">
        <x:f>IF(AC205="PUBLIC_CANDIDATE","public by default; still not canon","private/hold; do not publish")</x:f>
        <x:v>public by default; still not canon</x:v>
      </x:c>
      <x:c r="AK205" s="12" t="str">
        <x:f>IF(AE205="prepare_public_github_candidate","add receipt/status then mirror","resolve blocker before any public GitHub action")</x:f>
        <x:v>add receipt/status then mirror</x:v>
      </x:c>
    </x:row>
    <x:row r="206">
      <x:c r="A206" s="15" t="str">
        <x:v>SWARM-02-H06-S01</x:v>
      </x:c>
      <x:c r="B206" s="15" t="str">
        <x:v>Hashlight</x:v>
      </x:c>
      <x:c r="C206" s="15" t="str">
        <x:v>Hash and identity keeper</x:v>
      </x:c>
      <x:c r="D206" s="15" t="str">
        <x:v>Ontology / Schema</x:v>
      </x:c>
      <x:c r="E206" s="15" t="str">
        <x:v>Notion</x:v>
      </x:c>
      <x:c r="F206" s="15" t="str">
        <x:v>Schema-map Notion — Hashlight</x:v>
      </x:c>
      <x:c r="G206" s="15" t="str">
        <x:v>ids / hashes / timestamps / duplicate control</x:v>
      </x:c>
      <x:c r="H206" s="15" t="str">
        <x:v>source path + receipt + raw/export status + claim/edge/risk delta</x:v>
      </x:c>
      <x:c r="I206" s="15" t="str">
        <x:v>packet/SWARM-02-H06-S01</x:v>
      </x:c>
      <x:c r="J206" s="15" t="str">
        <x:v>TODO</x:v>
      </x:c>
      <x:c r="K206" s="15" t="str">
        <x:v>P0</x:v>
      </x:c>
      <x:c r="L206" s="15" t="str">
        <x:v>Done only when evidence is logged, contradiction search is noted, and boundary stamp remains non-canon unless ratified</x:v>
      </x:c>
      <x:c r="M206" s="15" t="str">
        <x:v>candidate / staging-only / not canon / not deployed / authority none</x:v>
      </x:c>
      <x:c r="N206" s="15" t="str">
        <x:v>Dispatch to Hashlight: complete Ontology / Schema x Notion; return deltas only, receipts required.</x:v>
      </x:c>
      <x:c r="O206" s="15" t="str">
        <x:v>AF-KG-H06-S01</x:v>
      </x:c>
      <x:c r="P206" s="15" t="str">
        <x:v>Unverified</x:v>
      </x:c>
      <x:c r="Q206" s="15" t="str">
        <x:v>Not checked</x:v>
      </x:c>
      <x:c r="R206" s="15" t="str"/>
      <x:c r="S206" s="15" t="str"/>
      <x:c r="T206" s="15" t="str">
        <x:v>Log first source path or blocker</x:v>
      </x:c>
      <x:c r="U206" s="12" t="str">
        <x:f>IF(OR(P206="Unverified",Q206="Not checked"),"BLOCKED_PENDING_RECEIPT","READY_FOR_REVIEW")</x:f>
        <x:v>BLOCKED_PENDING_RECEIPT</x:v>
      </x:c>
      <x:c r="V206" s="12" t="str">
        <x:f>IF(J206="DONE","RETURNED",IF(U206="BLOCKED_PENDING_RECEIPT","SOURCE_TOUCH_REQUIRED","IN_PROGRESS"))</x:f>
        <x:v>SOURCE_TOUCH_REQUIRED</x:v>
      </x:c>
      <x:c r="W206" s="12" t="str">
        <x:f>IF(P206="Unverified","missing_receipt","receipt_logged")</x:f>
        <x:v>missing_receipt</x:v>
      </x:c>
      <x:c r="X206" s="12" t="str">
        <x:f>IF(Q206="Not checked","raw_status_missing","raw_status_logged")</x:f>
        <x:v>raw_status_missing</x:v>
      </x:c>
      <x:c r="Y206" s="12" t="str">
        <x:f>IF(U206="BLOCKED_PENDING_RECEIPT","Log source path or blocker; do not promote","Route to review lane")</x:f>
        <x:v>Log source path or blocker; do not promote</x:v>
      </x:c>
      <x:c r="Z206" s="12" t="str">
        <x:f>IF(K206="P0","Primary seat + Hashlight/Lucerna","Seat lane")</x:f>
        <x:v>Primary seat + Hashlight/Lucerna</x:v>
      </x:c>
      <x:c r="AA206" s="12" t="str">
        <x:f>IF(R206="","no_claim_delta","claim_delta_present")</x:f>
        <x:v>no_claim_delta</x:v>
      </x:c>
      <x:c r="AB206" s="12" t="str">
        <x:f>IF(S206="","no_contradiction_delta","contradiction_delta_present")</x:f>
        <x:v>no_contradiction_delta</x:v>
      </x:c>
      <x:c r="AC206" s="12" t="str">
        <x:f>IF(OR(ISNUMBER(SEARCH("hacker",LOWER(F206&amp;" "&amp;H206&amp;" "&amp;I206&amp;" "&amp;M206&amp;" "&amp;N206&amp;" "&amp;T206))),ISNUMBER(SEARCH("hacking",LOWER(F206&amp;" "&amp;H206&amp;" "&amp;I206&amp;" "&amp;M206&amp;" "&amp;N206&amp;" "&amp;T206))),ISNUMBER(SEARCH("bank",LOWER(F206&amp;" "&amp;H206&amp;" "&amp;I206&amp;" "&amp;M206&amp;" "&amp;N206&amp;" "&amp;T206))),ISNUMBER(SEARCH("banking",LOWER(F206&amp;" "&amp;H206&amp;" "&amp;I206&amp;" "&amp;M206&amp;" "&amp;N206&amp;" "&amp;T206)))),"PRIVATE_QUARANTINE",IF(OR(ISNUMBER(SEARCH("treasury",LOWER(F206&amp;" "&amp;H206&amp;" "&amp;I206&amp;" "&amp;M206&amp;" "&amp;N206&amp;" "&amp;T206))),ISNUMBER(SEARCH("debt",LOWER(F206&amp;" "&amp;H206&amp;" "&amp;I206&amp;" "&amp;M206&amp;" "&amp;N206&amp;" "&amp;T206))),ISNUMBER(SEARCH("bond",LOWER(F206&amp;" "&amp;H206&amp;" "&amp;I206&amp;" "&amp;M206&amp;" "&amp;N206&amp;" "&amp;T206))),ISNUMBER(SEARCH("transaction",LOWER(F206&amp;" "&amp;H206&amp;" "&amp;I206&amp;" "&amp;M206&amp;" "&amp;N206&amp;" "&amp;T206)))),"PRIVATE_REVIEW","PUBLIC_CANDIDATE"))</x:f>
        <x:v>PUBLIC_CANDIDATE</x:v>
      </x:c>
      <x:c r="AD206" s="12" t="str">
        <x:f>IF(AC206="PRIVATE_QUARANTINE","hacker_or_bank_trigger",IF(AC206="PRIVATE_REVIEW","finance_risk_trigger","none"))</x:f>
        <x:v>none</x:v>
      </x:c>
      <x:c r="AE206" s="12" t="str">
        <x:f>IF(AC206="PUBLIC_CANDIDATE","prepare_public_github_candidate",IF(AC206="PRIVATE_REVIEW","hold_for_private_review","quarantine_private_do_not_publish"))</x:f>
        <x:v>prepare_public_github_candidate</x:v>
      </x:c>
      <x:c r="AF206" s="12" t="str">
        <x:f>IF(AC206="PUBLIC_CANDIDATE","TIDELOCK + Lucerna",IF(AC206="PRIVATE_REVIEW","AtlasBrain + Lucerna","TIDELOCK + Lucerna + Human-root"))</x:f>
        <x:v>TIDELOCK + Lucerna</x:v>
      </x:c>
      <x:c r="AG206" s="12" t="str">
        <x:f>IF(AND(AC206="PUBLIC_CANDIDATE",U206&lt;&gt;"BLOCKED_PENDING_RECEIPT"),"READY_AFTER_RECEIPT","NOT_READY")</x:f>
        <x:v>NOT_READY</x:v>
      </x:c>
      <x:c r="AH206" s="12" t="str">
        <x:f>IF(AC206="PUBLIC_CANDIDATE","none",AD206)</x:f>
        <x:v>none</x:v>
      </x:c>
      <x:c r="AI206" s="12" t="str">
        <x:f>IF(AC206="PUBLIC_CANDIDATE","archive/public_candidates/"&amp;A206,"private_quarantine/"&amp;A206)</x:f>
        <x:v>archive/public_candidates/SWARM-02-H06-S01</x:v>
      </x:c>
      <x:c r="AJ206" s="12" t="str">
        <x:f>IF(AC206="PUBLIC_CANDIDATE","public by default; still not canon","private/hold; do not publish")</x:f>
        <x:v>public by default; still not canon</x:v>
      </x:c>
      <x:c r="AK206" s="12" t="str">
        <x:f>IF(AE206="prepare_public_github_candidate","add receipt/status then mirror","resolve blocker before any public GitHub action")</x:f>
        <x:v>add receipt/status then mirror</x:v>
      </x:c>
    </x:row>
    <x:row r="207">
      <x:c r="A207" s="15" t="str">
        <x:v>SWARM-02-H06-S02</x:v>
      </x:c>
      <x:c r="B207" s="15" t="str">
        <x:v>Hashlight</x:v>
      </x:c>
      <x:c r="C207" s="15" t="str">
        <x:v>Hash and identity keeper</x:v>
      </x:c>
      <x:c r="D207" s="15" t="str">
        <x:v>Ontology / Schema</x:v>
      </x:c>
      <x:c r="E207" s="15" t="str">
        <x:v>Drive</x:v>
      </x:c>
      <x:c r="F207" s="15" t="str">
        <x:v>Schema-map Drive — Hashlight</x:v>
      </x:c>
      <x:c r="G207" s="15" t="str">
        <x:v>ids / hashes / timestamps / duplicate control</x:v>
      </x:c>
      <x:c r="H207" s="15" t="str">
        <x:v>source path + receipt + raw/export status + claim/edge/risk delta</x:v>
      </x:c>
      <x:c r="I207" s="15" t="str">
        <x:v>packet/SWARM-02-H06-S02</x:v>
      </x:c>
      <x:c r="J207" s="15" t="str">
        <x:v>TODO</x:v>
      </x:c>
      <x:c r="K207" s="15" t="str">
        <x:v>P0</x:v>
      </x:c>
      <x:c r="L207" s="15" t="str">
        <x:v>Done only when evidence is logged, contradiction search is noted, and boundary stamp remains non-canon unless ratified</x:v>
      </x:c>
      <x:c r="M207" s="15" t="str">
        <x:v>candidate / staging-only / not canon / not deployed / authority none</x:v>
      </x:c>
      <x:c r="N207" s="15" t="str">
        <x:v>Dispatch to Hashlight: complete Ontology / Schema x Drive; return deltas only, receipts required.</x:v>
      </x:c>
      <x:c r="O207" s="15" t="str">
        <x:v>AF-KG-H06-S02</x:v>
      </x:c>
      <x:c r="P207" s="15" t="str">
        <x:v>Unverified</x:v>
      </x:c>
      <x:c r="Q207" s="15" t="str">
        <x:v>Not checked</x:v>
      </x:c>
      <x:c r="R207" s="15" t="str"/>
      <x:c r="S207" s="15" t="str"/>
      <x:c r="T207" s="15" t="str">
        <x:v>Log first source path or blocker</x:v>
      </x:c>
      <x:c r="U207" s="12" t="str">
        <x:f>IF(OR(P207="Unverified",Q207="Not checked"),"BLOCKED_PENDING_RECEIPT","READY_FOR_REVIEW")</x:f>
        <x:v>BLOCKED_PENDING_RECEIPT</x:v>
      </x:c>
      <x:c r="V207" s="12" t="str">
        <x:f>IF(J207="DONE","RETURNED",IF(U207="BLOCKED_PENDING_RECEIPT","SOURCE_TOUCH_REQUIRED","IN_PROGRESS"))</x:f>
        <x:v>SOURCE_TOUCH_REQUIRED</x:v>
      </x:c>
      <x:c r="W207" s="12" t="str">
        <x:f>IF(P207="Unverified","missing_receipt","receipt_logged")</x:f>
        <x:v>missing_receipt</x:v>
      </x:c>
      <x:c r="X207" s="12" t="str">
        <x:f>IF(Q207="Not checked","raw_status_missing","raw_status_logged")</x:f>
        <x:v>raw_status_missing</x:v>
      </x:c>
      <x:c r="Y207" s="12" t="str">
        <x:f>IF(U207="BLOCKED_PENDING_RECEIPT","Log source path or blocker; do not promote","Route to review lane")</x:f>
        <x:v>Log source path or blocker; do not promote</x:v>
      </x:c>
      <x:c r="Z207" s="12" t="str">
        <x:f>IF(K207="P0","Primary seat + Hashlight/Lucerna","Seat lane")</x:f>
        <x:v>Primary seat + Hashlight/Lucerna</x:v>
      </x:c>
      <x:c r="AA207" s="12" t="str">
        <x:f>IF(R207="","no_claim_delta","claim_delta_present")</x:f>
        <x:v>no_claim_delta</x:v>
      </x:c>
      <x:c r="AB207" s="12" t="str">
        <x:f>IF(S207="","no_contradiction_delta","contradiction_delta_present")</x:f>
        <x:v>no_contradiction_delta</x:v>
      </x:c>
      <x:c r="AC207" s="12" t="str">
        <x:f>IF(OR(ISNUMBER(SEARCH("hacker",LOWER(F207&amp;" "&amp;H207&amp;" "&amp;I207&amp;" "&amp;M207&amp;" "&amp;N207&amp;" "&amp;T207))),ISNUMBER(SEARCH("hacking",LOWER(F207&amp;" "&amp;H207&amp;" "&amp;I207&amp;" "&amp;M207&amp;" "&amp;N207&amp;" "&amp;T207))),ISNUMBER(SEARCH("bank",LOWER(F207&amp;" "&amp;H207&amp;" "&amp;I207&amp;" "&amp;M207&amp;" "&amp;N207&amp;" "&amp;T207))),ISNUMBER(SEARCH("banking",LOWER(F207&amp;" "&amp;H207&amp;" "&amp;I207&amp;" "&amp;M207&amp;" "&amp;N207&amp;" "&amp;T207)))),"PRIVATE_QUARANTINE",IF(OR(ISNUMBER(SEARCH("treasury",LOWER(F207&amp;" "&amp;H207&amp;" "&amp;I207&amp;" "&amp;M207&amp;" "&amp;N207&amp;" "&amp;T207))),ISNUMBER(SEARCH("debt",LOWER(F207&amp;" "&amp;H207&amp;" "&amp;I207&amp;" "&amp;M207&amp;" "&amp;N207&amp;" "&amp;T207))),ISNUMBER(SEARCH("bond",LOWER(F207&amp;" "&amp;H207&amp;" "&amp;I207&amp;" "&amp;M207&amp;" "&amp;N207&amp;" "&amp;T207))),ISNUMBER(SEARCH("transaction",LOWER(F207&amp;" "&amp;H207&amp;" "&amp;I207&amp;" "&amp;M207&amp;" "&amp;N207&amp;" "&amp;T207)))),"PRIVATE_REVIEW","PUBLIC_CANDIDATE"))</x:f>
        <x:v>PUBLIC_CANDIDATE</x:v>
      </x:c>
      <x:c r="AD207" s="12" t="str">
        <x:f>IF(AC207="PRIVATE_QUARANTINE","hacker_or_bank_trigger",IF(AC207="PRIVATE_REVIEW","finance_risk_trigger","none"))</x:f>
        <x:v>none</x:v>
      </x:c>
      <x:c r="AE207" s="12" t="str">
        <x:f>IF(AC207="PUBLIC_CANDIDATE","prepare_public_github_candidate",IF(AC207="PRIVATE_REVIEW","hold_for_private_review","quarantine_private_do_not_publish"))</x:f>
        <x:v>prepare_public_github_candidate</x:v>
      </x:c>
      <x:c r="AF207" s="12" t="str">
        <x:f>IF(AC207="PUBLIC_CANDIDATE","TIDELOCK + Lucerna",IF(AC207="PRIVATE_REVIEW","AtlasBrain + Lucerna","TIDELOCK + Lucerna + Human-root"))</x:f>
        <x:v>TIDELOCK + Lucerna</x:v>
      </x:c>
      <x:c r="AG207" s="12" t="str">
        <x:f>IF(AND(AC207="PUBLIC_CANDIDATE",U207&lt;&gt;"BLOCKED_PENDING_RECEIPT"),"READY_AFTER_RECEIPT","NOT_READY")</x:f>
        <x:v>NOT_READY</x:v>
      </x:c>
      <x:c r="AH207" s="12" t="str">
        <x:f>IF(AC207="PUBLIC_CANDIDATE","none",AD207)</x:f>
        <x:v>none</x:v>
      </x:c>
      <x:c r="AI207" s="12" t="str">
        <x:f>IF(AC207="PUBLIC_CANDIDATE","archive/public_candidates/"&amp;A207,"private_quarantine/"&amp;A207)</x:f>
        <x:v>archive/public_candidates/SWARM-02-H06-S02</x:v>
      </x:c>
      <x:c r="AJ207" s="12" t="str">
        <x:f>IF(AC207="PUBLIC_CANDIDATE","public by default; still not canon","private/hold; do not publish")</x:f>
        <x:v>public by default; still not canon</x:v>
      </x:c>
      <x:c r="AK207" s="12" t="str">
        <x:f>IF(AE207="prepare_public_github_candidate","add receipt/status then mirror","resolve blocker before any public GitHub action")</x:f>
        <x:v>add receipt/status then mirror</x:v>
      </x:c>
    </x:row>
    <x:row r="208">
      <x:c r="A208" s="15" t="str">
        <x:v>SWARM-02-H06-S03</x:v>
      </x:c>
      <x:c r="B208" s="15" t="str">
        <x:v>Hashlight</x:v>
      </x:c>
      <x:c r="C208" s="15" t="str">
        <x:v>Hash and identity keeper</x:v>
      </x:c>
      <x:c r="D208" s="15" t="str">
        <x:v>Ontology / Schema</x:v>
      </x:c>
      <x:c r="E208" s="15" t="str">
        <x:v>GitHub</x:v>
      </x:c>
      <x:c r="F208" s="15" t="str">
        <x:v>Schema-map GitHub — Hashlight</x:v>
      </x:c>
      <x:c r="G208" s="15" t="str">
        <x:v>ids / hashes / timestamps / duplicate control</x:v>
      </x:c>
      <x:c r="H208" s="15" t="str">
        <x:v>source path + receipt + raw/export status + claim/edge/risk delta</x:v>
      </x:c>
      <x:c r="I208" s="15" t="str">
        <x:v>packet/SWARM-02-H06-S03</x:v>
      </x:c>
      <x:c r="J208" s="15" t="str">
        <x:v>TODO</x:v>
      </x:c>
      <x:c r="K208" s="15" t="str">
        <x:v>P0</x:v>
      </x:c>
      <x:c r="L208" s="15" t="str">
        <x:v>Done only when evidence is logged, contradiction search is noted, and boundary stamp remains non-canon unless ratified</x:v>
      </x:c>
      <x:c r="M208" s="15" t="str">
        <x:v>candidate / staging-only / not canon / not deployed / authority none</x:v>
      </x:c>
      <x:c r="N208" s="15" t="str">
        <x:v>Dispatch to Hashlight: complete Ontology / Schema x GitHub; return deltas only, receipts required.</x:v>
      </x:c>
      <x:c r="O208" s="15" t="str">
        <x:v>AF-KG-H06-S03</x:v>
      </x:c>
      <x:c r="P208" s="15" t="str">
        <x:v>Unverified</x:v>
      </x:c>
      <x:c r="Q208" s="15" t="str">
        <x:v>Not checked</x:v>
      </x:c>
      <x:c r="R208" s="15" t="str"/>
      <x:c r="S208" s="15" t="str"/>
      <x:c r="T208" s="15" t="str">
        <x:v>Log first source path or blocker</x:v>
      </x:c>
      <x:c r="U208" s="12" t="str">
        <x:f>IF(OR(P208="Unverified",Q208="Not checked"),"BLOCKED_PENDING_RECEIPT","READY_FOR_REVIEW")</x:f>
        <x:v>BLOCKED_PENDING_RECEIPT</x:v>
      </x:c>
      <x:c r="V208" s="12" t="str">
        <x:f>IF(J208="DONE","RETURNED",IF(U208="BLOCKED_PENDING_RECEIPT","SOURCE_TOUCH_REQUIRED","IN_PROGRESS"))</x:f>
        <x:v>SOURCE_TOUCH_REQUIRED</x:v>
      </x:c>
      <x:c r="W208" s="12" t="str">
        <x:f>IF(P208="Unverified","missing_receipt","receipt_logged")</x:f>
        <x:v>missing_receipt</x:v>
      </x:c>
      <x:c r="X208" s="12" t="str">
        <x:f>IF(Q208="Not checked","raw_status_missing","raw_status_logged")</x:f>
        <x:v>raw_status_missing</x:v>
      </x:c>
      <x:c r="Y208" s="12" t="str">
        <x:f>IF(U208="BLOCKED_PENDING_RECEIPT","Log source path or blocker; do not promote","Route to review lane")</x:f>
        <x:v>Log source path or blocker; do not promote</x:v>
      </x:c>
      <x:c r="Z208" s="12" t="str">
        <x:f>IF(K208="P0","Primary seat + Hashlight/Lucerna","Seat lane")</x:f>
        <x:v>Primary seat + Hashlight/Lucerna</x:v>
      </x:c>
      <x:c r="AA208" s="12" t="str">
        <x:f>IF(R208="","no_claim_delta","claim_delta_present")</x:f>
        <x:v>no_claim_delta</x:v>
      </x:c>
      <x:c r="AB208" s="12" t="str">
        <x:f>IF(S208="","no_contradiction_delta","contradiction_delta_present")</x:f>
        <x:v>no_contradiction_delta</x:v>
      </x:c>
      <x:c r="AC208" s="12" t="str">
        <x:f>IF(OR(ISNUMBER(SEARCH("hacker",LOWER(F208&amp;" "&amp;H208&amp;" "&amp;I208&amp;" "&amp;M208&amp;" "&amp;N208&amp;" "&amp;T208))),ISNUMBER(SEARCH("hacking",LOWER(F208&amp;" "&amp;H208&amp;" "&amp;I208&amp;" "&amp;M208&amp;" "&amp;N208&amp;" "&amp;T208))),ISNUMBER(SEARCH("bank",LOWER(F208&amp;" "&amp;H208&amp;" "&amp;I208&amp;" "&amp;M208&amp;" "&amp;N208&amp;" "&amp;T208))),ISNUMBER(SEARCH("banking",LOWER(F208&amp;" "&amp;H208&amp;" "&amp;I208&amp;" "&amp;M208&amp;" "&amp;N208&amp;" "&amp;T208)))),"PRIVATE_QUARANTINE",IF(OR(ISNUMBER(SEARCH("treasury",LOWER(F208&amp;" "&amp;H208&amp;" "&amp;I208&amp;" "&amp;M208&amp;" "&amp;N208&amp;" "&amp;T208))),ISNUMBER(SEARCH("debt",LOWER(F208&amp;" "&amp;H208&amp;" "&amp;I208&amp;" "&amp;M208&amp;" "&amp;N208&amp;" "&amp;T208))),ISNUMBER(SEARCH("bond",LOWER(F208&amp;" "&amp;H208&amp;" "&amp;I208&amp;" "&amp;M208&amp;" "&amp;N208&amp;" "&amp;T208))),ISNUMBER(SEARCH("transaction",LOWER(F208&amp;" "&amp;H208&amp;" "&amp;I208&amp;" "&amp;M208&amp;" "&amp;N208&amp;" "&amp;T208)))),"PRIVATE_REVIEW","PUBLIC_CANDIDATE"))</x:f>
        <x:v>PUBLIC_CANDIDATE</x:v>
      </x:c>
      <x:c r="AD208" s="12" t="str">
        <x:f>IF(AC208="PRIVATE_QUARANTINE","hacker_or_bank_trigger",IF(AC208="PRIVATE_REVIEW","finance_risk_trigger","none"))</x:f>
        <x:v>none</x:v>
      </x:c>
      <x:c r="AE208" s="12" t="str">
        <x:f>IF(AC208="PUBLIC_CANDIDATE","prepare_public_github_candidate",IF(AC208="PRIVATE_REVIEW","hold_for_private_review","quarantine_private_do_not_publish"))</x:f>
        <x:v>prepare_public_github_candidate</x:v>
      </x:c>
      <x:c r="AF208" s="12" t="str">
        <x:f>IF(AC208="PUBLIC_CANDIDATE","TIDELOCK + Lucerna",IF(AC208="PRIVATE_REVIEW","AtlasBrain + Lucerna","TIDELOCK + Lucerna + Human-root"))</x:f>
        <x:v>TIDELOCK + Lucerna</x:v>
      </x:c>
      <x:c r="AG208" s="12" t="str">
        <x:f>IF(AND(AC208="PUBLIC_CANDIDATE",U208&lt;&gt;"BLOCKED_PENDING_RECEIPT"),"READY_AFTER_RECEIPT","NOT_READY")</x:f>
        <x:v>NOT_READY</x:v>
      </x:c>
      <x:c r="AH208" s="12" t="str">
        <x:f>IF(AC208="PUBLIC_CANDIDATE","none",AD208)</x:f>
        <x:v>none</x:v>
      </x:c>
      <x:c r="AI208" s="12" t="str">
        <x:f>IF(AC208="PUBLIC_CANDIDATE","archive/public_candidates/"&amp;A208,"private_quarantine/"&amp;A208)</x:f>
        <x:v>archive/public_candidates/SWARM-02-H06-S03</x:v>
      </x:c>
      <x:c r="AJ208" s="12" t="str">
        <x:f>IF(AC208="PUBLIC_CANDIDATE","public by default; still not canon","private/hold; do not publish")</x:f>
        <x:v>public by default; still not canon</x:v>
      </x:c>
      <x:c r="AK208" s="12" t="str">
        <x:f>IF(AE208="prepare_public_github_candidate","add receipt/status then mirror","resolve blocker before any public GitHub action")</x:f>
        <x:v>add receipt/status then mirror</x:v>
      </x:c>
    </x:row>
    <x:row r="209">
      <x:c r="A209" s="15" t="str">
        <x:v>SWARM-02-H06-S04</x:v>
      </x:c>
      <x:c r="B209" s="15" t="str">
        <x:v>Hashlight</x:v>
      </x:c>
      <x:c r="C209" s="15" t="str">
        <x:v>Hash and identity keeper</x:v>
      </x:c>
      <x:c r="D209" s="15" t="str">
        <x:v>Ontology / Schema</x:v>
      </x:c>
      <x:c r="E209" s="15" t="str">
        <x:v>Gamma</x:v>
      </x:c>
      <x:c r="F209" s="15" t="str">
        <x:v>Schema-map Gamma — Hashlight</x:v>
      </x:c>
      <x:c r="G209" s="15" t="str">
        <x:v>ids / hashes / timestamps / duplicate control</x:v>
      </x:c>
      <x:c r="H209" s="15" t="str">
        <x:v>source path + receipt + raw/export status + claim/edge/risk delta</x:v>
      </x:c>
      <x:c r="I209" s="15" t="str">
        <x:v>packet/SWARM-02-H06-S04</x:v>
      </x:c>
      <x:c r="J209" s="15" t="str">
        <x:v>TODO</x:v>
      </x:c>
      <x:c r="K209" s="15" t="str">
        <x:v>P1</x:v>
      </x:c>
      <x:c r="L209" s="15" t="str">
        <x:v>Done only when evidence is logged, contradiction search is noted, and boundary stamp remains non-canon unless ratified</x:v>
      </x:c>
      <x:c r="M209" s="15" t="str">
        <x:v>candidate / staging-only / not canon / not deployed / authority none</x:v>
      </x:c>
      <x:c r="N209" s="15" t="str">
        <x:v>Dispatch to Hashlight: complete Ontology / Schema x Gamma; return deltas only, receipts required.</x:v>
      </x:c>
      <x:c r="O209" s="15" t="str">
        <x:v>AF-KG-H06-S04</x:v>
      </x:c>
      <x:c r="P209" s="15" t="str">
        <x:v>Unverified</x:v>
      </x:c>
      <x:c r="Q209" s="15" t="str">
        <x:v>Not checked</x:v>
      </x:c>
      <x:c r="R209" s="15" t="str"/>
      <x:c r="S209" s="15" t="str"/>
      <x:c r="T209" s="15" t="str">
        <x:v>Log first source path or blocker</x:v>
      </x:c>
      <x:c r="U209" s="12" t="str">
        <x:f>IF(OR(P209="Unverified",Q209="Not checked"),"BLOCKED_PENDING_RECEIPT","READY_FOR_REVIEW")</x:f>
        <x:v>BLOCKED_PENDING_RECEIPT</x:v>
      </x:c>
      <x:c r="V209" s="12" t="str">
        <x:f>IF(J209="DONE","RETURNED",IF(U209="BLOCKED_PENDING_RECEIPT","SOURCE_TOUCH_REQUIRED","IN_PROGRESS"))</x:f>
        <x:v>SOURCE_TOUCH_REQUIRED</x:v>
      </x:c>
      <x:c r="W209" s="12" t="str">
        <x:f>IF(P209="Unverified","missing_receipt","receipt_logged")</x:f>
        <x:v>missing_receipt</x:v>
      </x:c>
      <x:c r="X209" s="12" t="str">
        <x:f>IF(Q209="Not checked","raw_status_missing","raw_status_logged")</x:f>
        <x:v>raw_status_missing</x:v>
      </x:c>
      <x:c r="Y209" s="12" t="str">
        <x:f>IF(U209="BLOCKED_PENDING_RECEIPT","Log source path or blocker; do not promote","Route to review lane")</x:f>
        <x:v>Log source path or blocker; do not promote</x:v>
      </x:c>
      <x:c r="Z209" s="12" t="str">
        <x:f>IF(K209="P0","Primary seat + Hashlight/Lucerna","Seat lane")</x:f>
        <x:v>Seat lane</x:v>
      </x:c>
      <x:c r="AA209" s="12" t="str">
        <x:f>IF(R209="","no_claim_delta","claim_delta_present")</x:f>
        <x:v>no_claim_delta</x:v>
      </x:c>
      <x:c r="AB209" s="12" t="str">
        <x:f>IF(S209="","no_contradiction_delta","contradiction_delta_present")</x:f>
        <x:v>no_contradiction_delta</x:v>
      </x:c>
      <x:c r="AC209" s="12" t="str">
        <x:f>IF(OR(ISNUMBER(SEARCH("hacker",LOWER(F209&amp;" "&amp;H209&amp;" "&amp;I209&amp;" "&amp;M209&amp;" "&amp;N209&amp;" "&amp;T209))),ISNUMBER(SEARCH("hacking",LOWER(F209&amp;" "&amp;H209&amp;" "&amp;I209&amp;" "&amp;M209&amp;" "&amp;N209&amp;" "&amp;T209))),ISNUMBER(SEARCH("bank",LOWER(F209&amp;" "&amp;H209&amp;" "&amp;I209&amp;" "&amp;M209&amp;" "&amp;N209&amp;" "&amp;T209))),ISNUMBER(SEARCH("banking",LOWER(F209&amp;" "&amp;H209&amp;" "&amp;I209&amp;" "&amp;M209&amp;" "&amp;N209&amp;" "&amp;T209)))),"PRIVATE_QUARANTINE",IF(OR(ISNUMBER(SEARCH("treasury",LOWER(F209&amp;" "&amp;H209&amp;" "&amp;I209&amp;" "&amp;M209&amp;" "&amp;N209&amp;" "&amp;T209))),ISNUMBER(SEARCH("debt",LOWER(F209&amp;" "&amp;H209&amp;" "&amp;I209&amp;" "&amp;M209&amp;" "&amp;N209&amp;" "&amp;T209))),ISNUMBER(SEARCH("bond",LOWER(F209&amp;" "&amp;H209&amp;" "&amp;I209&amp;" "&amp;M209&amp;" "&amp;N209&amp;" "&amp;T209))),ISNUMBER(SEARCH("transaction",LOWER(F209&amp;" "&amp;H209&amp;" "&amp;I209&amp;" "&amp;M209&amp;" "&amp;N209&amp;" "&amp;T209)))),"PRIVATE_REVIEW","PUBLIC_CANDIDATE"))</x:f>
        <x:v>PUBLIC_CANDIDATE</x:v>
      </x:c>
      <x:c r="AD209" s="12" t="str">
        <x:f>IF(AC209="PRIVATE_QUARANTINE","hacker_or_bank_trigger",IF(AC209="PRIVATE_REVIEW","finance_risk_trigger","none"))</x:f>
        <x:v>none</x:v>
      </x:c>
      <x:c r="AE209" s="12" t="str">
        <x:f>IF(AC209="PUBLIC_CANDIDATE","prepare_public_github_candidate",IF(AC209="PRIVATE_REVIEW","hold_for_private_review","quarantine_private_do_not_publish"))</x:f>
        <x:v>prepare_public_github_candidate</x:v>
      </x:c>
      <x:c r="AF209" s="12" t="str">
        <x:f>IF(AC209="PUBLIC_CANDIDATE","TIDELOCK + Lucerna",IF(AC209="PRIVATE_REVIEW","AtlasBrain + Lucerna","TIDELOCK + Lucerna + Human-root"))</x:f>
        <x:v>TIDELOCK + Lucerna</x:v>
      </x:c>
      <x:c r="AG209" s="12" t="str">
        <x:f>IF(AND(AC209="PUBLIC_CANDIDATE",U209&lt;&gt;"BLOCKED_PENDING_RECEIPT"),"READY_AFTER_RECEIPT","NOT_READY")</x:f>
        <x:v>NOT_READY</x:v>
      </x:c>
      <x:c r="AH209" s="12" t="str">
        <x:f>IF(AC209="PUBLIC_CANDIDATE","none",AD209)</x:f>
        <x:v>none</x:v>
      </x:c>
      <x:c r="AI209" s="12" t="str">
        <x:f>IF(AC209="PUBLIC_CANDIDATE","archive/public_candidates/"&amp;A209,"private_quarantine/"&amp;A209)</x:f>
        <x:v>archive/public_candidates/SWARM-02-H06-S04</x:v>
      </x:c>
      <x:c r="AJ209" s="12" t="str">
        <x:f>IF(AC209="PUBLIC_CANDIDATE","public by default; still not canon","private/hold; do not publish")</x:f>
        <x:v>public by default; still not canon</x:v>
      </x:c>
      <x:c r="AK209" s="12" t="str">
        <x:f>IF(AE209="prepare_public_github_candidate","add receipt/status then mirror","resolve blocker before any public GitHub action")</x:f>
        <x:v>add receipt/status then mirror</x:v>
      </x:c>
    </x:row>
    <x:row r="210">
      <x:c r="A210" s="15" t="str">
        <x:v>SWARM-02-H06-S05</x:v>
      </x:c>
      <x:c r="B210" s="15" t="str">
        <x:v>Hashlight</x:v>
      </x:c>
      <x:c r="C210" s="15" t="str">
        <x:v>Hash and identity keeper</x:v>
      </x:c>
      <x:c r="D210" s="15" t="str">
        <x:v>Ontology / Schema</x:v>
      </x:c>
      <x:c r="E210" s="15" t="str">
        <x:v>Chat</x:v>
      </x:c>
      <x:c r="F210" s="15" t="str">
        <x:v>Schema-map Chat — Hashlight</x:v>
      </x:c>
      <x:c r="G210" s="15" t="str">
        <x:v>ids / hashes / timestamps / duplicate control</x:v>
      </x:c>
      <x:c r="H210" s="15" t="str">
        <x:v>source path + receipt + raw/export status + claim/edge/risk delta</x:v>
      </x:c>
      <x:c r="I210" s="15" t="str">
        <x:v>packet/SWARM-02-H06-S05</x:v>
      </x:c>
      <x:c r="J210" s="15" t="str">
        <x:v>TODO</x:v>
      </x:c>
      <x:c r="K210" s="15" t="str">
        <x:v>P1</x:v>
      </x:c>
      <x:c r="L210" s="15" t="str">
        <x:v>Done only when evidence is logged, contradiction search is noted, and boundary stamp remains non-canon unless ratified</x:v>
      </x:c>
      <x:c r="M210" s="15" t="str">
        <x:v>candidate / staging-only / not canon / not deployed / authority none</x:v>
      </x:c>
      <x:c r="N210" s="15" t="str">
        <x:v>Dispatch to Hashlight: complete Ontology / Schema x Chat; return deltas only, receipts required.</x:v>
      </x:c>
      <x:c r="O210" s="15" t="str">
        <x:v>AF-KG-H06-S05</x:v>
      </x:c>
      <x:c r="P210" s="15" t="str">
        <x:v>Unverified</x:v>
      </x:c>
      <x:c r="Q210" s="15" t="str">
        <x:v>Not checked</x:v>
      </x:c>
      <x:c r="R210" s="15" t="str"/>
      <x:c r="S210" s="15" t="str"/>
      <x:c r="T210" s="15" t="str">
        <x:v>Log first source path or blocker</x:v>
      </x:c>
      <x:c r="U210" s="12" t="str">
        <x:f>IF(OR(P210="Unverified",Q210="Not checked"),"BLOCKED_PENDING_RECEIPT","READY_FOR_REVIEW")</x:f>
        <x:v>BLOCKED_PENDING_RECEIPT</x:v>
      </x:c>
      <x:c r="V210" s="12" t="str">
        <x:f>IF(J210="DONE","RETURNED",IF(U210="BLOCKED_PENDING_RECEIPT","SOURCE_TOUCH_REQUIRED","IN_PROGRESS"))</x:f>
        <x:v>SOURCE_TOUCH_REQUIRED</x:v>
      </x:c>
      <x:c r="W210" s="12" t="str">
        <x:f>IF(P210="Unverified","missing_receipt","receipt_logged")</x:f>
        <x:v>missing_receipt</x:v>
      </x:c>
      <x:c r="X210" s="12" t="str">
        <x:f>IF(Q210="Not checked","raw_status_missing","raw_status_logged")</x:f>
        <x:v>raw_status_missing</x:v>
      </x:c>
      <x:c r="Y210" s="12" t="str">
        <x:f>IF(U210="BLOCKED_PENDING_RECEIPT","Log source path or blocker; do not promote","Route to review lane")</x:f>
        <x:v>Log source path or blocker; do not promote</x:v>
      </x:c>
      <x:c r="Z210" s="12" t="str">
        <x:f>IF(K210="P0","Primary seat + Hashlight/Lucerna","Seat lane")</x:f>
        <x:v>Seat lane</x:v>
      </x:c>
      <x:c r="AA210" s="12" t="str">
        <x:f>IF(R210="","no_claim_delta","claim_delta_present")</x:f>
        <x:v>no_claim_delta</x:v>
      </x:c>
      <x:c r="AB210" s="12" t="str">
        <x:f>IF(S210="","no_contradiction_delta","contradiction_delta_present")</x:f>
        <x:v>no_contradiction_delta</x:v>
      </x:c>
      <x:c r="AC210" s="12" t="str">
        <x:f>IF(OR(ISNUMBER(SEARCH("hacker",LOWER(F210&amp;" "&amp;H210&amp;" "&amp;I210&amp;" "&amp;M210&amp;" "&amp;N210&amp;" "&amp;T210))),ISNUMBER(SEARCH("hacking",LOWER(F210&amp;" "&amp;H210&amp;" "&amp;I210&amp;" "&amp;M210&amp;" "&amp;N210&amp;" "&amp;T210))),ISNUMBER(SEARCH("bank",LOWER(F210&amp;" "&amp;H210&amp;" "&amp;I210&amp;" "&amp;M210&amp;" "&amp;N210&amp;" "&amp;T210))),ISNUMBER(SEARCH("banking",LOWER(F210&amp;" "&amp;H210&amp;" "&amp;I210&amp;" "&amp;M210&amp;" "&amp;N210&amp;" "&amp;T210)))),"PRIVATE_QUARANTINE",IF(OR(ISNUMBER(SEARCH("treasury",LOWER(F210&amp;" "&amp;H210&amp;" "&amp;I210&amp;" "&amp;M210&amp;" "&amp;N210&amp;" "&amp;T210))),ISNUMBER(SEARCH("debt",LOWER(F210&amp;" "&amp;H210&amp;" "&amp;I210&amp;" "&amp;M210&amp;" "&amp;N210&amp;" "&amp;T210))),ISNUMBER(SEARCH("bond",LOWER(F210&amp;" "&amp;H210&amp;" "&amp;I210&amp;" "&amp;M210&amp;" "&amp;N210&amp;" "&amp;T210))),ISNUMBER(SEARCH("transaction",LOWER(F210&amp;" "&amp;H210&amp;" "&amp;I210&amp;" "&amp;M210&amp;" "&amp;N210&amp;" "&amp;T210)))),"PRIVATE_REVIEW","PUBLIC_CANDIDATE"))</x:f>
        <x:v>PUBLIC_CANDIDATE</x:v>
      </x:c>
      <x:c r="AD210" s="12" t="str">
        <x:f>IF(AC210="PRIVATE_QUARANTINE","hacker_or_bank_trigger",IF(AC210="PRIVATE_REVIEW","finance_risk_trigger","none"))</x:f>
        <x:v>none</x:v>
      </x:c>
      <x:c r="AE210" s="12" t="str">
        <x:f>IF(AC210="PUBLIC_CANDIDATE","prepare_public_github_candidate",IF(AC210="PRIVATE_REVIEW","hold_for_private_review","quarantine_private_do_not_publish"))</x:f>
        <x:v>prepare_public_github_candidate</x:v>
      </x:c>
      <x:c r="AF210" s="12" t="str">
        <x:f>IF(AC210="PUBLIC_CANDIDATE","TIDELOCK + Lucerna",IF(AC210="PRIVATE_REVIEW","AtlasBrain + Lucerna","TIDELOCK + Lucerna + Human-root"))</x:f>
        <x:v>TIDELOCK + Lucerna</x:v>
      </x:c>
      <x:c r="AG210" s="12" t="str">
        <x:f>IF(AND(AC210="PUBLIC_CANDIDATE",U210&lt;&gt;"BLOCKED_PENDING_RECEIPT"),"READY_AFTER_RECEIPT","NOT_READY")</x:f>
        <x:v>NOT_READY</x:v>
      </x:c>
      <x:c r="AH210" s="12" t="str">
        <x:f>IF(AC210="PUBLIC_CANDIDATE","none",AD210)</x:f>
        <x:v>none</x:v>
      </x:c>
      <x:c r="AI210" s="12" t="str">
        <x:f>IF(AC210="PUBLIC_CANDIDATE","archive/public_candidates/"&amp;A210,"private_quarantine/"&amp;A210)</x:f>
        <x:v>archive/public_candidates/SWARM-02-H06-S05</x:v>
      </x:c>
      <x:c r="AJ210" s="12" t="str">
        <x:f>IF(AC210="PUBLIC_CANDIDATE","public by default; still not canon","private/hold; do not publish")</x:f>
        <x:v>public by default; still not canon</x:v>
      </x:c>
      <x:c r="AK210" s="12" t="str">
        <x:f>IF(AE210="prepare_public_github_candidate","add receipt/status then mirror","resolve blocker before any public GitHub action")</x:f>
        <x:v>add receipt/status then mirror</x:v>
      </x:c>
    </x:row>
    <x:row r="211">
      <x:c r="A211" s="15" t="str">
        <x:v>SWARM-02-H06-S06</x:v>
      </x:c>
      <x:c r="B211" s="15" t="str">
        <x:v>Hashlight</x:v>
      </x:c>
      <x:c r="C211" s="15" t="str">
        <x:v>Hash and identity keeper</x:v>
      </x:c>
      <x:c r="D211" s="15" t="str">
        <x:v>Ontology / Schema</x:v>
      </x:c>
      <x:c r="E211" s="15" t="str">
        <x:v>External Web</x:v>
      </x:c>
      <x:c r="F211" s="15" t="str">
        <x:v>Schema-map External Web — Hashlight</x:v>
      </x:c>
      <x:c r="G211" s="15" t="str">
        <x:v>ids / hashes / timestamps / duplicate control</x:v>
      </x:c>
      <x:c r="H211" s="15" t="str">
        <x:v>source path + receipt + raw/export status + claim/edge/risk delta</x:v>
      </x:c>
      <x:c r="I211" s="15" t="str">
        <x:v>packet/SWARM-02-H06-S06</x:v>
      </x:c>
      <x:c r="J211" s="15" t="str">
        <x:v>TODO</x:v>
      </x:c>
      <x:c r="K211" s="15" t="str">
        <x:v>P1</x:v>
      </x:c>
      <x:c r="L211" s="15" t="str">
        <x:v>Done only when evidence is logged, contradiction search is noted, and boundary stamp remains non-canon unless ratified</x:v>
      </x:c>
      <x:c r="M211" s="15" t="str">
        <x:v>candidate / staging-only / not canon / not deployed / authority none</x:v>
      </x:c>
      <x:c r="N211" s="15" t="str">
        <x:v>Dispatch to Hashlight: complete Ontology / Schema x External Web; return deltas only, receipts required.</x:v>
      </x:c>
      <x:c r="O211" s="15" t="str">
        <x:v>AF-KG-H06-S06</x:v>
      </x:c>
      <x:c r="P211" s="15" t="str">
        <x:v>Unverified</x:v>
      </x:c>
      <x:c r="Q211" s="15" t="str">
        <x:v>Not checked</x:v>
      </x:c>
      <x:c r="R211" s="15" t="str"/>
      <x:c r="S211" s="15" t="str"/>
      <x:c r="T211" s="15" t="str">
        <x:v>Log first source path or blocker</x:v>
      </x:c>
      <x:c r="U211" s="12" t="str">
        <x:f>IF(OR(P211="Unverified",Q211="Not checked"),"BLOCKED_PENDING_RECEIPT","READY_FOR_REVIEW")</x:f>
        <x:v>BLOCKED_PENDING_RECEIPT</x:v>
      </x:c>
      <x:c r="V211" s="12" t="str">
        <x:f>IF(J211="DONE","RETURNED",IF(U211="BLOCKED_PENDING_RECEIPT","SOURCE_TOUCH_REQUIRED","IN_PROGRESS"))</x:f>
        <x:v>SOURCE_TOUCH_REQUIRED</x:v>
      </x:c>
      <x:c r="W211" s="12" t="str">
        <x:f>IF(P211="Unverified","missing_receipt","receipt_logged")</x:f>
        <x:v>missing_receipt</x:v>
      </x:c>
      <x:c r="X211" s="12" t="str">
        <x:f>IF(Q211="Not checked","raw_status_missing","raw_status_logged")</x:f>
        <x:v>raw_status_missing</x:v>
      </x:c>
      <x:c r="Y211" s="12" t="str">
        <x:f>IF(U211="BLOCKED_PENDING_RECEIPT","Log source path or blocker; do not promote","Route to review lane")</x:f>
        <x:v>Log source path or blocker; do not promote</x:v>
      </x:c>
      <x:c r="Z211" s="12" t="str">
        <x:f>IF(K211="P0","Primary seat + Hashlight/Lucerna","Seat lane")</x:f>
        <x:v>Seat lane</x:v>
      </x:c>
      <x:c r="AA211" s="12" t="str">
        <x:f>IF(R211="","no_claim_delta","claim_delta_present")</x:f>
        <x:v>no_claim_delta</x:v>
      </x:c>
      <x:c r="AB211" s="12" t="str">
        <x:f>IF(S211="","no_contradiction_delta","contradiction_delta_present")</x:f>
        <x:v>no_contradiction_delta</x:v>
      </x:c>
      <x:c r="AC211" s="12" t="str">
        <x:f>IF(OR(ISNUMBER(SEARCH("hacker",LOWER(F211&amp;" "&amp;H211&amp;" "&amp;I211&amp;" "&amp;M211&amp;" "&amp;N211&amp;" "&amp;T211))),ISNUMBER(SEARCH("hacking",LOWER(F211&amp;" "&amp;H211&amp;" "&amp;I211&amp;" "&amp;M211&amp;" "&amp;N211&amp;" "&amp;T211))),ISNUMBER(SEARCH("bank",LOWER(F211&amp;" "&amp;H211&amp;" "&amp;I211&amp;" "&amp;M211&amp;" "&amp;N211&amp;" "&amp;T211))),ISNUMBER(SEARCH("banking",LOWER(F211&amp;" "&amp;H211&amp;" "&amp;I211&amp;" "&amp;M211&amp;" "&amp;N211&amp;" "&amp;T211)))),"PRIVATE_QUARANTINE",IF(OR(ISNUMBER(SEARCH("treasury",LOWER(F211&amp;" "&amp;H211&amp;" "&amp;I211&amp;" "&amp;M211&amp;" "&amp;N211&amp;" "&amp;T211))),ISNUMBER(SEARCH("debt",LOWER(F211&amp;" "&amp;H211&amp;" "&amp;I211&amp;" "&amp;M211&amp;" "&amp;N211&amp;" "&amp;T211))),ISNUMBER(SEARCH("bond",LOWER(F211&amp;" "&amp;H211&amp;" "&amp;I211&amp;" "&amp;M211&amp;" "&amp;N211&amp;" "&amp;T211))),ISNUMBER(SEARCH("transaction",LOWER(F211&amp;" "&amp;H211&amp;" "&amp;I211&amp;" "&amp;M211&amp;" "&amp;N211&amp;" "&amp;T211)))),"PRIVATE_REVIEW","PUBLIC_CANDIDATE"))</x:f>
        <x:v>PUBLIC_CANDIDATE</x:v>
      </x:c>
      <x:c r="AD211" s="12" t="str">
        <x:f>IF(AC211="PRIVATE_QUARANTINE","hacker_or_bank_trigger",IF(AC211="PRIVATE_REVIEW","finance_risk_trigger","none"))</x:f>
        <x:v>none</x:v>
      </x:c>
      <x:c r="AE211" s="12" t="str">
        <x:f>IF(AC211="PUBLIC_CANDIDATE","prepare_public_github_candidate",IF(AC211="PRIVATE_REVIEW","hold_for_private_review","quarantine_private_do_not_publish"))</x:f>
        <x:v>prepare_public_github_candidate</x:v>
      </x:c>
      <x:c r="AF211" s="12" t="str">
        <x:f>IF(AC211="PUBLIC_CANDIDATE","TIDELOCK + Lucerna",IF(AC211="PRIVATE_REVIEW","AtlasBrain + Lucerna","TIDELOCK + Lucerna + Human-root"))</x:f>
        <x:v>TIDELOCK + Lucerna</x:v>
      </x:c>
      <x:c r="AG211" s="12" t="str">
        <x:f>IF(AND(AC211="PUBLIC_CANDIDATE",U211&lt;&gt;"BLOCKED_PENDING_RECEIPT"),"READY_AFTER_RECEIPT","NOT_READY")</x:f>
        <x:v>NOT_READY</x:v>
      </x:c>
      <x:c r="AH211" s="12" t="str">
        <x:f>IF(AC211="PUBLIC_CANDIDATE","none",AD211)</x:f>
        <x:v>none</x:v>
      </x:c>
      <x:c r="AI211" s="12" t="str">
        <x:f>IF(AC211="PUBLIC_CANDIDATE","archive/public_candidates/"&amp;A211,"private_quarantine/"&amp;A211)</x:f>
        <x:v>archive/public_candidates/SWARM-02-H06-S06</x:v>
      </x:c>
      <x:c r="AJ211" s="12" t="str">
        <x:f>IF(AC211="PUBLIC_CANDIDATE","public by default; still not canon","private/hold; do not publish")</x:f>
        <x:v>public by default; still not canon</x:v>
      </x:c>
      <x:c r="AK211" s="12" t="str">
        <x:f>IF(AE211="prepare_public_github_candidate","add receipt/status then mirror","resolve blocker before any public GitHub action")</x:f>
        <x:v>add receipt/status then mirror</x:v>
      </x:c>
    </x:row>
    <x:row r="212">
      <x:c r="A212" s="15" t="str">
        <x:v>SWARM-02-H06-S07</x:v>
      </x:c>
      <x:c r="B212" s="15" t="str">
        <x:v>Hashlight</x:v>
      </x:c>
      <x:c r="C212" s="15" t="str">
        <x:v>Hash and identity keeper</x:v>
      </x:c>
      <x:c r="D212" s="15" t="str">
        <x:v>Ontology / Schema</x:v>
      </x:c>
      <x:c r="E212" s="15" t="str">
        <x:v>Planetarium</x:v>
      </x:c>
      <x:c r="F212" s="15" t="str">
        <x:v>Schema-map Planetarium — Hashlight</x:v>
      </x:c>
      <x:c r="G212" s="15" t="str">
        <x:v>ids / hashes / timestamps / duplicate control</x:v>
      </x:c>
      <x:c r="H212" s="15" t="str">
        <x:v>source path + receipt + raw/export status + claim/edge/risk delta</x:v>
      </x:c>
      <x:c r="I212" s="15" t="str">
        <x:v>packet/SWARM-02-H06-S07</x:v>
      </x:c>
      <x:c r="J212" s="15" t="str">
        <x:v>TODO</x:v>
      </x:c>
      <x:c r="K212" s="15" t="str">
        <x:v>P1</x:v>
      </x:c>
      <x:c r="L212" s="15" t="str">
        <x:v>Done only when evidence is logged, contradiction search is noted, and boundary stamp remains non-canon unless ratified</x:v>
      </x:c>
      <x:c r="M212" s="15" t="str">
        <x:v>candidate / staging-only / not canon / not deployed / authority none</x:v>
      </x:c>
      <x:c r="N212" s="15" t="str">
        <x:v>Dispatch to Hashlight: complete Ontology / Schema x Planetarium; return deltas only, receipts required.</x:v>
      </x:c>
      <x:c r="O212" s="15" t="str">
        <x:v>AF-KG-H06-S07</x:v>
      </x:c>
      <x:c r="P212" s="15" t="str">
        <x:v>Unverified</x:v>
      </x:c>
      <x:c r="Q212" s="15" t="str">
        <x:v>Not checked</x:v>
      </x:c>
      <x:c r="R212" s="15" t="str"/>
      <x:c r="S212" s="15" t="str"/>
      <x:c r="T212" s="15" t="str">
        <x:v>Log first source path or blocker</x:v>
      </x:c>
      <x:c r="U212" s="12" t="str">
        <x:f>IF(OR(P212="Unverified",Q212="Not checked"),"BLOCKED_PENDING_RECEIPT","READY_FOR_REVIEW")</x:f>
        <x:v>BLOCKED_PENDING_RECEIPT</x:v>
      </x:c>
      <x:c r="V212" s="12" t="str">
        <x:f>IF(J212="DONE","RETURNED",IF(U212="BLOCKED_PENDING_RECEIPT","SOURCE_TOUCH_REQUIRED","IN_PROGRESS"))</x:f>
        <x:v>SOURCE_TOUCH_REQUIRED</x:v>
      </x:c>
      <x:c r="W212" s="12" t="str">
        <x:f>IF(P212="Unverified","missing_receipt","receipt_logged")</x:f>
        <x:v>missing_receipt</x:v>
      </x:c>
      <x:c r="X212" s="12" t="str">
        <x:f>IF(Q212="Not checked","raw_status_missing","raw_status_logged")</x:f>
        <x:v>raw_status_missing</x:v>
      </x:c>
      <x:c r="Y212" s="12" t="str">
        <x:f>IF(U212="BLOCKED_PENDING_RECEIPT","Log source path or blocker; do not promote","Route to review lane")</x:f>
        <x:v>Log source path or blocker; do not promote</x:v>
      </x:c>
      <x:c r="Z212" s="12" t="str">
        <x:f>IF(K212="P0","Primary seat + Hashlight/Lucerna","Seat lane")</x:f>
        <x:v>Seat lane</x:v>
      </x:c>
      <x:c r="AA212" s="12" t="str">
        <x:f>IF(R212="","no_claim_delta","claim_delta_present")</x:f>
        <x:v>no_claim_delta</x:v>
      </x:c>
      <x:c r="AB212" s="12" t="str">
        <x:f>IF(S212="","no_contradiction_delta","contradiction_delta_present")</x:f>
        <x:v>no_contradiction_delta</x:v>
      </x:c>
      <x:c r="AC212" s="12" t="str">
        <x:f>IF(OR(ISNUMBER(SEARCH("hacker",LOWER(F212&amp;" "&amp;H212&amp;" "&amp;I212&amp;" "&amp;M212&amp;" "&amp;N212&amp;" "&amp;T212))),ISNUMBER(SEARCH("hacking",LOWER(F212&amp;" "&amp;H212&amp;" "&amp;I212&amp;" "&amp;M212&amp;" "&amp;N212&amp;" "&amp;T212))),ISNUMBER(SEARCH("bank",LOWER(F212&amp;" "&amp;H212&amp;" "&amp;I212&amp;" "&amp;M212&amp;" "&amp;N212&amp;" "&amp;T212))),ISNUMBER(SEARCH("banking",LOWER(F212&amp;" "&amp;H212&amp;" "&amp;I212&amp;" "&amp;M212&amp;" "&amp;N212&amp;" "&amp;T212)))),"PRIVATE_QUARANTINE",IF(OR(ISNUMBER(SEARCH("treasury",LOWER(F212&amp;" "&amp;H212&amp;" "&amp;I212&amp;" "&amp;M212&amp;" "&amp;N212&amp;" "&amp;T212))),ISNUMBER(SEARCH("debt",LOWER(F212&amp;" "&amp;H212&amp;" "&amp;I212&amp;" "&amp;M212&amp;" "&amp;N212&amp;" "&amp;T212))),ISNUMBER(SEARCH("bond",LOWER(F212&amp;" "&amp;H212&amp;" "&amp;I212&amp;" "&amp;M212&amp;" "&amp;N212&amp;" "&amp;T212))),ISNUMBER(SEARCH("transaction",LOWER(F212&amp;" "&amp;H212&amp;" "&amp;I212&amp;" "&amp;M212&amp;" "&amp;N212&amp;" "&amp;T212)))),"PRIVATE_REVIEW","PUBLIC_CANDIDATE"))</x:f>
        <x:v>PUBLIC_CANDIDATE</x:v>
      </x:c>
      <x:c r="AD212" s="12" t="str">
        <x:f>IF(AC212="PRIVATE_QUARANTINE","hacker_or_bank_trigger",IF(AC212="PRIVATE_REVIEW","finance_risk_trigger","none"))</x:f>
        <x:v>none</x:v>
      </x:c>
      <x:c r="AE212" s="12" t="str">
        <x:f>IF(AC212="PUBLIC_CANDIDATE","prepare_public_github_candidate",IF(AC212="PRIVATE_REVIEW","hold_for_private_review","quarantine_private_do_not_publish"))</x:f>
        <x:v>prepare_public_github_candidate</x:v>
      </x:c>
      <x:c r="AF212" s="12" t="str">
        <x:f>IF(AC212="PUBLIC_CANDIDATE","TIDELOCK + Lucerna",IF(AC212="PRIVATE_REVIEW","AtlasBrain + Lucerna","TIDELOCK + Lucerna + Human-root"))</x:f>
        <x:v>TIDELOCK + Lucerna</x:v>
      </x:c>
      <x:c r="AG212" s="12" t="str">
        <x:f>IF(AND(AC212="PUBLIC_CANDIDATE",U212&lt;&gt;"BLOCKED_PENDING_RECEIPT"),"READY_AFTER_RECEIPT","NOT_READY")</x:f>
        <x:v>NOT_READY</x:v>
      </x:c>
      <x:c r="AH212" s="12" t="str">
        <x:f>IF(AC212="PUBLIC_CANDIDATE","none",AD212)</x:f>
        <x:v>none</x:v>
      </x:c>
      <x:c r="AI212" s="12" t="str">
        <x:f>IF(AC212="PUBLIC_CANDIDATE","archive/public_candidates/"&amp;A212,"private_quarantine/"&amp;A212)</x:f>
        <x:v>archive/public_candidates/SWARM-02-H06-S07</x:v>
      </x:c>
      <x:c r="AJ212" s="12" t="str">
        <x:f>IF(AC212="PUBLIC_CANDIDATE","public by default; still not canon","private/hold; do not publish")</x:f>
        <x:v>public by default; still not canon</x:v>
      </x:c>
      <x:c r="AK212" s="12" t="str">
        <x:f>IF(AE212="prepare_public_github_candidate","add receipt/status then mirror","resolve blocker before any public GitHub action")</x:f>
        <x:v>add receipt/status then mirror</x:v>
      </x:c>
    </x:row>
    <x:row r="213">
      <x:c r="A213" s="15" t="str">
        <x:v>SWARM-02-H06-S08</x:v>
      </x:c>
      <x:c r="B213" s="15" t="str">
        <x:v>Hashlight</x:v>
      </x:c>
      <x:c r="C213" s="15" t="str">
        <x:v>Hash and identity keeper</x:v>
      </x:c>
      <x:c r="D213" s="15" t="str">
        <x:v>Ontology / Schema</x:v>
      </x:c>
      <x:c r="E213" s="15" t="str">
        <x:v>Sheldonbrain</x:v>
      </x:c>
      <x:c r="F213" s="15" t="str">
        <x:v>Schema-map Sheldonbrain — Hashlight</x:v>
      </x:c>
      <x:c r="G213" s="15" t="str">
        <x:v>ids / hashes / timestamps / duplicate control</x:v>
      </x:c>
      <x:c r="H213" s="15" t="str">
        <x:v>source path + receipt + raw/export status + claim/edge/risk delta</x:v>
      </x:c>
      <x:c r="I213" s="15" t="str">
        <x:v>packet/SWARM-02-H06-S08</x:v>
      </x:c>
      <x:c r="J213" s="15" t="str">
        <x:v>TODO</x:v>
      </x:c>
      <x:c r="K213" s="15" t="str">
        <x:v>P1</x:v>
      </x:c>
      <x:c r="L213" s="15" t="str">
        <x:v>Done only when evidence is logged, contradiction search is noted, and boundary stamp remains non-canon unless ratified</x:v>
      </x:c>
      <x:c r="M213" s="15" t="str">
        <x:v>candidate / staging-only / not canon / not deployed / authority none</x:v>
      </x:c>
      <x:c r="N213" s="15" t="str">
        <x:v>Dispatch to Hashlight: complete Ontology / Schema x Sheldonbrain; return deltas only, receipts required.</x:v>
      </x:c>
      <x:c r="O213" s="15" t="str">
        <x:v>AF-KG-H06-S08</x:v>
      </x:c>
      <x:c r="P213" s="15" t="str">
        <x:v>Unverified</x:v>
      </x:c>
      <x:c r="Q213" s="15" t="str">
        <x:v>Not checked</x:v>
      </x:c>
      <x:c r="R213" s="15" t="str"/>
      <x:c r="S213" s="15" t="str"/>
      <x:c r="T213" s="15" t="str">
        <x:v>Log first source path or blocker</x:v>
      </x:c>
      <x:c r="U213" s="12" t="str">
        <x:f>IF(OR(P213="Unverified",Q213="Not checked"),"BLOCKED_PENDING_RECEIPT","READY_FOR_REVIEW")</x:f>
        <x:v>BLOCKED_PENDING_RECEIPT</x:v>
      </x:c>
      <x:c r="V213" s="12" t="str">
        <x:f>IF(J213="DONE","RETURNED",IF(U213="BLOCKED_PENDING_RECEIPT","SOURCE_TOUCH_REQUIRED","IN_PROGRESS"))</x:f>
        <x:v>SOURCE_TOUCH_REQUIRED</x:v>
      </x:c>
      <x:c r="W213" s="12" t="str">
        <x:f>IF(P213="Unverified","missing_receipt","receipt_logged")</x:f>
        <x:v>missing_receipt</x:v>
      </x:c>
      <x:c r="X213" s="12" t="str">
        <x:f>IF(Q213="Not checked","raw_status_missing","raw_status_logged")</x:f>
        <x:v>raw_status_missing</x:v>
      </x:c>
      <x:c r="Y213" s="12" t="str">
        <x:f>IF(U213="BLOCKED_PENDING_RECEIPT","Log source path or blocker; do not promote","Route to review lane")</x:f>
        <x:v>Log source path or blocker; do not promote</x:v>
      </x:c>
      <x:c r="Z213" s="12" t="str">
        <x:f>IF(K213="P0","Primary seat + Hashlight/Lucerna","Seat lane")</x:f>
        <x:v>Seat lane</x:v>
      </x:c>
      <x:c r="AA213" s="12" t="str">
        <x:f>IF(R213="","no_claim_delta","claim_delta_present")</x:f>
        <x:v>no_claim_delta</x:v>
      </x:c>
      <x:c r="AB213" s="12" t="str">
        <x:f>IF(S213="","no_contradiction_delta","contradiction_delta_present")</x:f>
        <x:v>no_contradiction_delta</x:v>
      </x:c>
      <x:c r="AC213" s="12" t="str">
        <x:f>IF(OR(ISNUMBER(SEARCH("hacker",LOWER(F213&amp;" "&amp;H213&amp;" "&amp;I213&amp;" "&amp;M213&amp;" "&amp;N213&amp;" "&amp;T213))),ISNUMBER(SEARCH("hacking",LOWER(F213&amp;" "&amp;H213&amp;" "&amp;I213&amp;" "&amp;M213&amp;" "&amp;N213&amp;" "&amp;T213))),ISNUMBER(SEARCH("bank",LOWER(F213&amp;" "&amp;H213&amp;" "&amp;I213&amp;" "&amp;M213&amp;" "&amp;N213&amp;" "&amp;T213))),ISNUMBER(SEARCH("banking",LOWER(F213&amp;" "&amp;H213&amp;" "&amp;I213&amp;" "&amp;M213&amp;" "&amp;N213&amp;" "&amp;T213)))),"PRIVATE_QUARANTINE",IF(OR(ISNUMBER(SEARCH("treasury",LOWER(F213&amp;" "&amp;H213&amp;" "&amp;I213&amp;" "&amp;M213&amp;" "&amp;N213&amp;" "&amp;T213))),ISNUMBER(SEARCH("debt",LOWER(F213&amp;" "&amp;H213&amp;" "&amp;I213&amp;" "&amp;M213&amp;" "&amp;N213&amp;" "&amp;T213))),ISNUMBER(SEARCH("bond",LOWER(F213&amp;" "&amp;H213&amp;" "&amp;I213&amp;" "&amp;M213&amp;" "&amp;N213&amp;" "&amp;T213))),ISNUMBER(SEARCH("transaction",LOWER(F213&amp;" "&amp;H213&amp;" "&amp;I213&amp;" "&amp;M213&amp;" "&amp;N213&amp;" "&amp;T213)))),"PRIVATE_REVIEW","PUBLIC_CANDIDATE"))</x:f>
        <x:v>PUBLIC_CANDIDATE</x:v>
      </x:c>
      <x:c r="AD213" s="12" t="str">
        <x:f>IF(AC213="PRIVATE_QUARANTINE","hacker_or_bank_trigger",IF(AC213="PRIVATE_REVIEW","finance_risk_trigger","none"))</x:f>
        <x:v>none</x:v>
      </x:c>
      <x:c r="AE213" s="12" t="str">
        <x:f>IF(AC213="PUBLIC_CANDIDATE","prepare_public_github_candidate",IF(AC213="PRIVATE_REVIEW","hold_for_private_review","quarantine_private_do_not_publish"))</x:f>
        <x:v>prepare_public_github_candidate</x:v>
      </x:c>
      <x:c r="AF213" s="12" t="str">
        <x:f>IF(AC213="PUBLIC_CANDIDATE","TIDELOCK + Lucerna",IF(AC213="PRIVATE_REVIEW","AtlasBrain + Lucerna","TIDELOCK + Lucerna + Human-root"))</x:f>
        <x:v>TIDELOCK + Lucerna</x:v>
      </x:c>
      <x:c r="AG213" s="12" t="str">
        <x:f>IF(AND(AC213="PUBLIC_CANDIDATE",U213&lt;&gt;"BLOCKED_PENDING_RECEIPT"),"READY_AFTER_RECEIPT","NOT_READY")</x:f>
        <x:v>NOT_READY</x:v>
      </x:c>
      <x:c r="AH213" s="12" t="str">
        <x:f>IF(AC213="PUBLIC_CANDIDATE","none",AD213)</x:f>
        <x:v>none</x:v>
      </x:c>
      <x:c r="AI213" s="12" t="str">
        <x:f>IF(AC213="PUBLIC_CANDIDATE","archive/public_candidates/"&amp;A213,"private_quarantine/"&amp;A213)</x:f>
        <x:v>archive/public_candidates/SWARM-02-H06-S08</x:v>
      </x:c>
      <x:c r="AJ213" s="12" t="str">
        <x:f>IF(AC213="PUBLIC_CANDIDATE","public by default; still not canon","private/hold; do not publish")</x:f>
        <x:v>public by default; still not canon</x:v>
      </x:c>
      <x:c r="AK213" s="12" t="str">
        <x:f>IF(AE213="prepare_public_github_candidate","add receipt/status then mirror","resolve blocker before any public GitHub action")</x:f>
        <x:v>add receipt/status then mirror</x:v>
      </x:c>
    </x:row>
    <x:row r="214">
      <x:c r="A214" s="15" t="str">
        <x:v>SWARM-02-H06-S09</x:v>
      </x:c>
      <x:c r="B214" s="15" t="str">
        <x:v>Hashlight</x:v>
      </x:c>
      <x:c r="C214" s="15" t="str">
        <x:v>Hash and identity keeper</x:v>
      </x:c>
      <x:c r="D214" s="15" t="str">
        <x:v>Ontology / Schema</x:v>
      </x:c>
      <x:c r="E214" s="15" t="str">
        <x:v>Aetherforge</x:v>
      </x:c>
      <x:c r="F214" s="15" t="str">
        <x:v>Schema-map Aetherforge — Hashlight</x:v>
      </x:c>
      <x:c r="G214" s="15" t="str">
        <x:v>ids / hashes / timestamps / duplicate control</x:v>
      </x:c>
      <x:c r="H214" s="15" t="str">
        <x:v>source path + receipt + raw/export status + claim/edge/risk delta</x:v>
      </x:c>
      <x:c r="I214" s="15" t="str">
        <x:v>packet/SWARM-02-H06-S09</x:v>
      </x:c>
      <x:c r="J214" s="15" t="str">
        <x:v>TODO</x:v>
      </x:c>
      <x:c r="K214" s="15" t="str">
        <x:v>P2</x:v>
      </x:c>
      <x:c r="L214" s="15" t="str">
        <x:v>Done only when evidence is logged, contradiction search is noted, and boundary stamp remains non-canon unless ratified</x:v>
      </x:c>
      <x:c r="M214" s="15" t="str">
        <x:v>candidate / staging-only / not canon / not deployed / authority none</x:v>
      </x:c>
      <x:c r="N214" s="15" t="str">
        <x:v>Dispatch to Hashlight: complete Ontology / Schema x Aetherforge; return deltas only, receipts required.</x:v>
      </x:c>
      <x:c r="O214" s="15" t="str">
        <x:v>AF-KG-H06-S09</x:v>
      </x:c>
      <x:c r="P214" s="15" t="str">
        <x:v>Unverified</x:v>
      </x:c>
      <x:c r="Q214" s="15" t="str">
        <x:v>Not checked</x:v>
      </x:c>
      <x:c r="R214" s="15" t="str"/>
      <x:c r="S214" s="15" t="str"/>
      <x:c r="T214" s="15" t="str">
        <x:v>Log first source path or blocker</x:v>
      </x:c>
      <x:c r="U214" s="12" t="str">
        <x:f>IF(OR(P214="Unverified",Q214="Not checked"),"BLOCKED_PENDING_RECEIPT","READY_FOR_REVIEW")</x:f>
        <x:v>BLOCKED_PENDING_RECEIPT</x:v>
      </x:c>
      <x:c r="V214" s="12" t="str">
        <x:f>IF(J214="DONE","RETURNED",IF(U214="BLOCKED_PENDING_RECEIPT","SOURCE_TOUCH_REQUIRED","IN_PROGRESS"))</x:f>
        <x:v>SOURCE_TOUCH_REQUIRED</x:v>
      </x:c>
      <x:c r="W214" s="12" t="str">
        <x:f>IF(P214="Unverified","missing_receipt","receipt_logged")</x:f>
        <x:v>missing_receipt</x:v>
      </x:c>
      <x:c r="X214" s="12" t="str">
        <x:f>IF(Q214="Not checked","raw_status_missing","raw_status_logged")</x:f>
        <x:v>raw_status_missing</x:v>
      </x:c>
      <x:c r="Y214" s="12" t="str">
        <x:f>IF(U214="BLOCKED_PENDING_RECEIPT","Log source path or blocker; do not promote","Route to review lane")</x:f>
        <x:v>Log source path or blocker; do not promote</x:v>
      </x:c>
      <x:c r="Z214" s="12" t="str">
        <x:f>IF(K214="P0","Primary seat + Hashlight/Lucerna","Seat lane")</x:f>
        <x:v>Seat lane</x:v>
      </x:c>
      <x:c r="AA214" s="12" t="str">
        <x:f>IF(R214="","no_claim_delta","claim_delta_present")</x:f>
        <x:v>no_claim_delta</x:v>
      </x:c>
      <x:c r="AB214" s="12" t="str">
        <x:f>IF(S214="","no_contradiction_delta","contradiction_delta_present")</x:f>
        <x:v>no_contradiction_delta</x:v>
      </x:c>
      <x:c r="AC214" s="12" t="str">
        <x:f>IF(OR(ISNUMBER(SEARCH("hacker",LOWER(F214&amp;" "&amp;H214&amp;" "&amp;I214&amp;" "&amp;M214&amp;" "&amp;N214&amp;" "&amp;T214))),ISNUMBER(SEARCH("hacking",LOWER(F214&amp;" "&amp;H214&amp;" "&amp;I214&amp;" "&amp;M214&amp;" "&amp;N214&amp;" "&amp;T214))),ISNUMBER(SEARCH("bank",LOWER(F214&amp;" "&amp;H214&amp;" "&amp;I214&amp;" "&amp;M214&amp;" "&amp;N214&amp;" "&amp;T214))),ISNUMBER(SEARCH("banking",LOWER(F214&amp;" "&amp;H214&amp;" "&amp;I214&amp;" "&amp;M214&amp;" "&amp;N214&amp;" "&amp;T214)))),"PRIVATE_QUARANTINE",IF(OR(ISNUMBER(SEARCH("treasury",LOWER(F214&amp;" "&amp;H214&amp;" "&amp;I214&amp;" "&amp;M214&amp;" "&amp;N214&amp;" "&amp;T214))),ISNUMBER(SEARCH("debt",LOWER(F214&amp;" "&amp;H214&amp;" "&amp;I214&amp;" "&amp;M214&amp;" "&amp;N214&amp;" "&amp;T214))),ISNUMBER(SEARCH("bond",LOWER(F214&amp;" "&amp;H214&amp;" "&amp;I214&amp;" "&amp;M214&amp;" "&amp;N214&amp;" "&amp;T214))),ISNUMBER(SEARCH("transaction",LOWER(F214&amp;" "&amp;H214&amp;" "&amp;I214&amp;" "&amp;M214&amp;" "&amp;N214&amp;" "&amp;T214)))),"PRIVATE_REVIEW","PUBLIC_CANDIDATE"))</x:f>
        <x:v>PUBLIC_CANDIDATE</x:v>
      </x:c>
      <x:c r="AD214" s="12" t="str">
        <x:f>IF(AC214="PRIVATE_QUARANTINE","hacker_or_bank_trigger",IF(AC214="PRIVATE_REVIEW","finance_risk_trigger","none"))</x:f>
        <x:v>none</x:v>
      </x:c>
      <x:c r="AE214" s="12" t="str">
        <x:f>IF(AC214="PUBLIC_CANDIDATE","prepare_public_github_candidate",IF(AC214="PRIVATE_REVIEW","hold_for_private_review","quarantine_private_do_not_publish"))</x:f>
        <x:v>prepare_public_github_candidate</x:v>
      </x:c>
      <x:c r="AF214" s="12" t="str">
        <x:f>IF(AC214="PUBLIC_CANDIDATE","TIDELOCK + Lucerna",IF(AC214="PRIVATE_REVIEW","AtlasBrain + Lucerna","TIDELOCK + Lucerna + Human-root"))</x:f>
        <x:v>TIDELOCK + Lucerna</x:v>
      </x:c>
      <x:c r="AG214" s="12" t="str">
        <x:f>IF(AND(AC214="PUBLIC_CANDIDATE",U214&lt;&gt;"BLOCKED_PENDING_RECEIPT"),"READY_AFTER_RECEIPT","NOT_READY")</x:f>
        <x:v>NOT_READY</x:v>
      </x:c>
      <x:c r="AH214" s="12" t="str">
        <x:f>IF(AC214="PUBLIC_CANDIDATE","none",AD214)</x:f>
        <x:v>none</x:v>
      </x:c>
      <x:c r="AI214" s="12" t="str">
        <x:f>IF(AC214="PUBLIC_CANDIDATE","archive/public_candidates/"&amp;A214,"private_quarantine/"&amp;A214)</x:f>
        <x:v>archive/public_candidates/SWARM-02-H06-S09</x:v>
      </x:c>
      <x:c r="AJ214" s="12" t="str">
        <x:f>IF(AC214="PUBLIC_CANDIDATE","public by default; still not canon","private/hold; do not publish")</x:f>
        <x:v>public by default; still not canon</x:v>
      </x:c>
      <x:c r="AK214" s="12" t="str">
        <x:f>IF(AE214="prepare_public_github_candidate","add receipt/status then mirror","resolve blocker before any public GitHub action")</x:f>
        <x:v>add receipt/status then mirror</x:v>
      </x:c>
    </x:row>
    <x:row r="215">
      <x:c r="A215" s="15" t="str">
        <x:v>SWARM-02-H06-S10</x:v>
      </x:c>
      <x:c r="B215" s="15" t="str">
        <x:v>Hashlight</x:v>
      </x:c>
      <x:c r="C215" s="15" t="str">
        <x:v>Hash and identity keeper</x:v>
      </x:c>
      <x:c r="D215" s="15" t="str">
        <x:v>Ontology / Schema</x:v>
      </x:c>
      <x:c r="E215" s="15" t="str">
        <x:v>Human-Root</x:v>
      </x:c>
      <x:c r="F215" s="15" t="str">
        <x:v>Schema-map Human-Root — Hashlight</x:v>
      </x:c>
      <x:c r="G215" s="15" t="str">
        <x:v>ids / hashes / timestamps / duplicate control</x:v>
      </x:c>
      <x:c r="H215" s="15" t="str">
        <x:v>source path + receipt + raw/export status + claim/edge/risk delta</x:v>
      </x:c>
      <x:c r="I215" s="15" t="str">
        <x:v>packet/SWARM-02-H06-S10</x:v>
      </x:c>
      <x:c r="J215" s="15" t="str">
        <x:v>TODO</x:v>
      </x:c>
      <x:c r="K215" s="15" t="str">
        <x:v>P2</x:v>
      </x:c>
      <x:c r="L215" s="15" t="str">
        <x:v>Done only when evidence is logged, contradiction search is noted, and boundary stamp remains non-canon unless ratified</x:v>
      </x:c>
      <x:c r="M215" s="15" t="str">
        <x:v>candidate / staging-only / not canon / not deployed / authority none</x:v>
      </x:c>
      <x:c r="N215" s="15" t="str">
        <x:v>Dispatch to Hashlight: complete Ontology / Schema x Human-Root; return deltas only, receipts required.</x:v>
      </x:c>
      <x:c r="O215" s="15" t="str">
        <x:v>AF-KG-H06-S10</x:v>
      </x:c>
      <x:c r="P215" s="15" t="str">
        <x:v>Unverified</x:v>
      </x:c>
      <x:c r="Q215" s="15" t="str">
        <x:v>Not checked</x:v>
      </x:c>
      <x:c r="R215" s="15" t="str"/>
      <x:c r="S215" s="15" t="str"/>
      <x:c r="T215" s="15" t="str">
        <x:v>Log first source path or blocker</x:v>
      </x:c>
      <x:c r="U215" s="12" t="str">
        <x:f>IF(OR(P215="Unverified",Q215="Not checked"),"BLOCKED_PENDING_RECEIPT","READY_FOR_REVIEW")</x:f>
        <x:v>BLOCKED_PENDING_RECEIPT</x:v>
      </x:c>
      <x:c r="V215" s="12" t="str">
        <x:f>IF(J215="DONE","RETURNED",IF(U215="BLOCKED_PENDING_RECEIPT","SOURCE_TOUCH_REQUIRED","IN_PROGRESS"))</x:f>
        <x:v>SOURCE_TOUCH_REQUIRED</x:v>
      </x:c>
      <x:c r="W215" s="12" t="str">
        <x:f>IF(P215="Unverified","missing_receipt","receipt_logged")</x:f>
        <x:v>missing_receipt</x:v>
      </x:c>
      <x:c r="X215" s="12" t="str">
        <x:f>IF(Q215="Not checked","raw_status_missing","raw_status_logged")</x:f>
        <x:v>raw_status_missing</x:v>
      </x:c>
      <x:c r="Y215" s="12" t="str">
        <x:f>IF(U215="BLOCKED_PENDING_RECEIPT","Log source path or blocker; do not promote","Route to review lane")</x:f>
        <x:v>Log source path or blocker; do not promote</x:v>
      </x:c>
      <x:c r="Z215" s="12" t="str">
        <x:f>IF(K215="P0","Primary seat + Hashlight/Lucerna","Seat lane")</x:f>
        <x:v>Seat lane</x:v>
      </x:c>
      <x:c r="AA215" s="12" t="str">
        <x:f>IF(R215="","no_claim_delta","claim_delta_present")</x:f>
        <x:v>no_claim_delta</x:v>
      </x:c>
      <x:c r="AB215" s="12" t="str">
        <x:f>IF(S215="","no_contradiction_delta","contradiction_delta_present")</x:f>
        <x:v>no_contradiction_delta</x:v>
      </x:c>
      <x:c r="AC215" s="12" t="str">
        <x:f>IF(OR(ISNUMBER(SEARCH("hacker",LOWER(F215&amp;" "&amp;H215&amp;" "&amp;I215&amp;" "&amp;M215&amp;" "&amp;N215&amp;" "&amp;T215))),ISNUMBER(SEARCH("hacking",LOWER(F215&amp;" "&amp;H215&amp;" "&amp;I215&amp;" "&amp;M215&amp;" "&amp;N215&amp;" "&amp;T215))),ISNUMBER(SEARCH("bank",LOWER(F215&amp;" "&amp;H215&amp;" "&amp;I215&amp;" "&amp;M215&amp;" "&amp;N215&amp;" "&amp;T215))),ISNUMBER(SEARCH("banking",LOWER(F215&amp;" "&amp;H215&amp;" "&amp;I215&amp;" "&amp;M215&amp;" "&amp;N215&amp;" "&amp;T215)))),"PRIVATE_QUARANTINE",IF(OR(ISNUMBER(SEARCH("treasury",LOWER(F215&amp;" "&amp;H215&amp;" "&amp;I215&amp;" "&amp;M215&amp;" "&amp;N215&amp;" "&amp;T215))),ISNUMBER(SEARCH("debt",LOWER(F215&amp;" "&amp;H215&amp;" "&amp;I215&amp;" "&amp;M215&amp;" "&amp;N215&amp;" "&amp;T215))),ISNUMBER(SEARCH("bond",LOWER(F215&amp;" "&amp;H215&amp;" "&amp;I215&amp;" "&amp;M215&amp;" "&amp;N215&amp;" "&amp;T215))),ISNUMBER(SEARCH("transaction",LOWER(F215&amp;" "&amp;H215&amp;" "&amp;I215&amp;" "&amp;M215&amp;" "&amp;N215&amp;" "&amp;T215)))),"PRIVATE_REVIEW","PUBLIC_CANDIDATE"))</x:f>
        <x:v>PUBLIC_CANDIDATE</x:v>
      </x:c>
      <x:c r="AD215" s="12" t="str">
        <x:f>IF(AC215="PRIVATE_QUARANTINE","hacker_or_bank_trigger",IF(AC215="PRIVATE_REVIEW","finance_risk_trigger","none"))</x:f>
        <x:v>none</x:v>
      </x:c>
      <x:c r="AE215" s="12" t="str">
        <x:f>IF(AC215="PUBLIC_CANDIDATE","prepare_public_github_candidate",IF(AC215="PRIVATE_REVIEW","hold_for_private_review","quarantine_private_do_not_publish"))</x:f>
        <x:v>prepare_public_github_candidate</x:v>
      </x:c>
      <x:c r="AF215" s="12" t="str">
        <x:f>IF(AC215="PUBLIC_CANDIDATE","TIDELOCK + Lucerna",IF(AC215="PRIVATE_REVIEW","AtlasBrain + Lucerna","TIDELOCK + Lucerna + Human-root"))</x:f>
        <x:v>TIDELOCK + Lucerna</x:v>
      </x:c>
      <x:c r="AG215" s="12" t="str">
        <x:f>IF(AND(AC215="PUBLIC_CANDIDATE",U215&lt;&gt;"BLOCKED_PENDING_RECEIPT"),"READY_AFTER_RECEIPT","NOT_READY")</x:f>
        <x:v>NOT_READY</x:v>
      </x:c>
      <x:c r="AH215" s="12" t="str">
        <x:f>IF(AC215="PUBLIC_CANDIDATE","none",AD215)</x:f>
        <x:v>none</x:v>
      </x:c>
      <x:c r="AI215" s="12" t="str">
        <x:f>IF(AC215="PUBLIC_CANDIDATE","archive/public_candidates/"&amp;A215,"private_quarantine/"&amp;A215)</x:f>
        <x:v>archive/public_candidates/SWARM-02-H06-S10</x:v>
      </x:c>
      <x:c r="AJ215" s="12" t="str">
        <x:f>IF(AC215="PUBLIC_CANDIDATE","public by default; still not canon","private/hold; do not publish")</x:f>
        <x:v>public by default; still not canon</x:v>
      </x:c>
      <x:c r="AK215" s="12" t="str">
        <x:f>IF(AE215="prepare_public_github_candidate","add receipt/status then mirror","resolve blocker before any public GitHub action")</x:f>
        <x:v>add receipt/status then mirror</x:v>
      </x:c>
    </x:row>
    <x:row r="216">
      <x:c r="A216" s="15" t="str">
        <x:v>SWARM-02-H06-S11</x:v>
      </x:c>
      <x:c r="B216" s="15" t="str">
        <x:v>Hashlight</x:v>
      </x:c>
      <x:c r="C216" s="15" t="str">
        <x:v>Hash and identity keeper</x:v>
      </x:c>
      <x:c r="D216" s="15" t="str">
        <x:v>Ontology / Schema</x:v>
      </x:c>
      <x:c r="E216" s="15" t="str">
        <x:v>Automation</x:v>
      </x:c>
      <x:c r="F216" s="15" t="str">
        <x:v>Schema-map Automation — Hashlight</x:v>
      </x:c>
      <x:c r="G216" s="15" t="str">
        <x:v>ids / hashes / timestamps / duplicate control</x:v>
      </x:c>
      <x:c r="H216" s="15" t="str">
        <x:v>source path + receipt + raw/export status + claim/edge/risk delta</x:v>
      </x:c>
      <x:c r="I216" s="15" t="str">
        <x:v>packet/SWARM-02-H06-S11</x:v>
      </x:c>
      <x:c r="J216" s="15" t="str">
        <x:v>TODO</x:v>
      </x:c>
      <x:c r="K216" s="15" t="str">
        <x:v>P2</x:v>
      </x:c>
      <x:c r="L216" s="15" t="str">
        <x:v>Done only when evidence is logged, contradiction search is noted, and boundary stamp remains non-canon unless ratified</x:v>
      </x:c>
      <x:c r="M216" s="15" t="str">
        <x:v>candidate / staging-only / not canon / not deployed / authority none</x:v>
      </x:c>
      <x:c r="N216" s="15" t="str">
        <x:v>Dispatch to Hashlight: complete Ontology / Schema x Automation; return deltas only, receipts required.</x:v>
      </x:c>
      <x:c r="O216" s="15" t="str">
        <x:v>AF-KG-H06-S11</x:v>
      </x:c>
      <x:c r="P216" s="15" t="str">
        <x:v>Unverified</x:v>
      </x:c>
      <x:c r="Q216" s="15" t="str">
        <x:v>Not checked</x:v>
      </x:c>
      <x:c r="R216" s="15" t="str"/>
      <x:c r="S216" s="15" t="str"/>
      <x:c r="T216" s="15" t="str">
        <x:v>Log first source path or blocker</x:v>
      </x:c>
      <x:c r="U216" s="12" t="str">
        <x:f>IF(OR(P216="Unverified",Q216="Not checked"),"BLOCKED_PENDING_RECEIPT","READY_FOR_REVIEW")</x:f>
        <x:v>BLOCKED_PENDING_RECEIPT</x:v>
      </x:c>
      <x:c r="V216" s="12" t="str">
        <x:f>IF(J216="DONE","RETURNED",IF(U216="BLOCKED_PENDING_RECEIPT","SOURCE_TOUCH_REQUIRED","IN_PROGRESS"))</x:f>
        <x:v>SOURCE_TOUCH_REQUIRED</x:v>
      </x:c>
      <x:c r="W216" s="12" t="str">
        <x:f>IF(P216="Unverified","missing_receipt","receipt_logged")</x:f>
        <x:v>missing_receipt</x:v>
      </x:c>
      <x:c r="X216" s="12" t="str">
        <x:f>IF(Q216="Not checked","raw_status_missing","raw_status_logged")</x:f>
        <x:v>raw_status_missing</x:v>
      </x:c>
      <x:c r="Y216" s="12" t="str">
        <x:f>IF(U216="BLOCKED_PENDING_RECEIPT","Log source path or blocker; do not promote","Route to review lane")</x:f>
        <x:v>Log source path or blocker; do not promote</x:v>
      </x:c>
      <x:c r="Z216" s="12" t="str">
        <x:f>IF(K216="P0","Primary seat + Hashlight/Lucerna","Seat lane")</x:f>
        <x:v>Seat lane</x:v>
      </x:c>
      <x:c r="AA216" s="12" t="str">
        <x:f>IF(R216="","no_claim_delta","claim_delta_present")</x:f>
        <x:v>no_claim_delta</x:v>
      </x:c>
      <x:c r="AB216" s="12" t="str">
        <x:f>IF(S216="","no_contradiction_delta","contradiction_delta_present")</x:f>
        <x:v>no_contradiction_delta</x:v>
      </x:c>
      <x:c r="AC216" s="12" t="str">
        <x:f>IF(OR(ISNUMBER(SEARCH("hacker",LOWER(F216&amp;" "&amp;H216&amp;" "&amp;I216&amp;" "&amp;M216&amp;" "&amp;N216&amp;" "&amp;T216))),ISNUMBER(SEARCH("hacking",LOWER(F216&amp;" "&amp;H216&amp;" "&amp;I216&amp;" "&amp;M216&amp;" "&amp;N216&amp;" "&amp;T216))),ISNUMBER(SEARCH("bank",LOWER(F216&amp;" "&amp;H216&amp;" "&amp;I216&amp;" "&amp;M216&amp;" "&amp;N216&amp;" "&amp;T216))),ISNUMBER(SEARCH("banking",LOWER(F216&amp;" "&amp;H216&amp;" "&amp;I216&amp;" "&amp;M216&amp;" "&amp;N216&amp;" "&amp;T216)))),"PRIVATE_QUARANTINE",IF(OR(ISNUMBER(SEARCH("treasury",LOWER(F216&amp;" "&amp;H216&amp;" "&amp;I216&amp;" "&amp;M216&amp;" "&amp;N216&amp;" "&amp;T216))),ISNUMBER(SEARCH("debt",LOWER(F216&amp;" "&amp;H216&amp;" "&amp;I216&amp;" "&amp;M216&amp;" "&amp;N216&amp;" "&amp;T216))),ISNUMBER(SEARCH("bond",LOWER(F216&amp;" "&amp;H216&amp;" "&amp;I216&amp;" "&amp;M216&amp;" "&amp;N216&amp;" "&amp;T216))),ISNUMBER(SEARCH("transaction",LOWER(F216&amp;" "&amp;H216&amp;" "&amp;I216&amp;" "&amp;M216&amp;" "&amp;N216&amp;" "&amp;T216)))),"PRIVATE_REVIEW","PUBLIC_CANDIDATE"))</x:f>
        <x:v>PUBLIC_CANDIDATE</x:v>
      </x:c>
      <x:c r="AD216" s="12" t="str">
        <x:f>IF(AC216="PRIVATE_QUARANTINE","hacker_or_bank_trigger",IF(AC216="PRIVATE_REVIEW","finance_risk_trigger","none"))</x:f>
        <x:v>none</x:v>
      </x:c>
      <x:c r="AE216" s="12" t="str">
        <x:f>IF(AC216="PUBLIC_CANDIDATE","prepare_public_github_candidate",IF(AC216="PRIVATE_REVIEW","hold_for_private_review","quarantine_private_do_not_publish"))</x:f>
        <x:v>prepare_public_github_candidate</x:v>
      </x:c>
      <x:c r="AF216" s="12" t="str">
        <x:f>IF(AC216="PUBLIC_CANDIDATE","TIDELOCK + Lucerna",IF(AC216="PRIVATE_REVIEW","AtlasBrain + Lucerna","TIDELOCK + Lucerna + Human-root"))</x:f>
        <x:v>TIDELOCK + Lucerna</x:v>
      </x:c>
      <x:c r="AG216" s="12" t="str">
        <x:f>IF(AND(AC216="PUBLIC_CANDIDATE",U216&lt;&gt;"BLOCKED_PENDING_RECEIPT"),"READY_AFTER_RECEIPT","NOT_READY")</x:f>
        <x:v>NOT_READY</x:v>
      </x:c>
      <x:c r="AH216" s="12" t="str">
        <x:f>IF(AC216="PUBLIC_CANDIDATE","none",AD216)</x:f>
        <x:v>none</x:v>
      </x:c>
      <x:c r="AI216" s="12" t="str">
        <x:f>IF(AC216="PUBLIC_CANDIDATE","archive/public_candidates/"&amp;A216,"private_quarantine/"&amp;A216)</x:f>
        <x:v>archive/public_candidates/SWARM-02-H06-S11</x:v>
      </x:c>
      <x:c r="AJ216" s="12" t="str">
        <x:f>IF(AC216="PUBLIC_CANDIDATE","public by default; still not canon","private/hold; do not publish")</x:f>
        <x:v>public by default; still not canon</x:v>
      </x:c>
      <x:c r="AK216" s="12" t="str">
        <x:f>IF(AE216="prepare_public_github_candidate","add receipt/status then mirror","resolve blocker before any public GitHub action")</x:f>
        <x:v>add receipt/status then mirror</x:v>
      </x:c>
    </x:row>
    <x:row r="217">
      <x:c r="A217" s="15" t="str">
        <x:v>SWARM-02-H06-S12</x:v>
      </x:c>
      <x:c r="B217" s="15" t="str">
        <x:v>Hashlight</x:v>
      </x:c>
      <x:c r="C217" s="15" t="str">
        <x:v>Hash and identity keeper</x:v>
      </x:c>
      <x:c r="D217" s="15" t="str">
        <x:v>Ontology / Schema</x:v>
      </x:c>
      <x:c r="E217" s="15" t="str">
        <x:v>Risk / Safety</x:v>
      </x:c>
      <x:c r="F217" s="15" t="str">
        <x:v>Schema-map Risk / Safety — Hashlight</x:v>
      </x:c>
      <x:c r="G217" s="15" t="str">
        <x:v>ids / hashes / timestamps / duplicate control</x:v>
      </x:c>
      <x:c r="H217" s="15" t="str">
        <x:v>source path + receipt + raw/export status + claim/edge/risk delta</x:v>
      </x:c>
      <x:c r="I217" s="15" t="str">
        <x:v>packet/SWARM-02-H06-S12</x:v>
      </x:c>
      <x:c r="J217" s="15" t="str">
        <x:v>TODO</x:v>
      </x:c>
      <x:c r="K217" s="15" t="str">
        <x:v>P2</x:v>
      </x:c>
      <x:c r="L217" s="15" t="str">
        <x:v>Done only when evidence is logged, contradiction search is noted, and boundary stamp remains non-canon unless ratified</x:v>
      </x:c>
      <x:c r="M217" s="15" t="str">
        <x:v>candidate / staging-only / not canon / not deployed / authority none</x:v>
      </x:c>
      <x:c r="N217" s="15" t="str">
        <x:v>Dispatch to Hashlight: complete Ontology / Schema x Risk / Safety; return deltas only, receipts required.</x:v>
      </x:c>
      <x:c r="O217" s="15" t="str">
        <x:v>AF-KG-H06-S12</x:v>
      </x:c>
      <x:c r="P217" s="15" t="str">
        <x:v>Unverified</x:v>
      </x:c>
      <x:c r="Q217" s="15" t="str">
        <x:v>Not checked</x:v>
      </x:c>
      <x:c r="R217" s="15" t="str"/>
      <x:c r="S217" s="15" t="str"/>
      <x:c r="T217" s="15" t="str">
        <x:v>Log first source path or blocker</x:v>
      </x:c>
      <x:c r="U217" s="12" t="str">
        <x:f>IF(OR(P217="Unverified",Q217="Not checked"),"BLOCKED_PENDING_RECEIPT","READY_FOR_REVIEW")</x:f>
        <x:v>BLOCKED_PENDING_RECEIPT</x:v>
      </x:c>
      <x:c r="V217" s="12" t="str">
        <x:f>IF(J217="DONE","RETURNED",IF(U217="BLOCKED_PENDING_RECEIPT","SOURCE_TOUCH_REQUIRED","IN_PROGRESS"))</x:f>
        <x:v>SOURCE_TOUCH_REQUIRED</x:v>
      </x:c>
      <x:c r="W217" s="12" t="str">
        <x:f>IF(P217="Unverified","missing_receipt","receipt_logged")</x:f>
        <x:v>missing_receipt</x:v>
      </x:c>
      <x:c r="X217" s="12" t="str">
        <x:f>IF(Q217="Not checked","raw_status_missing","raw_status_logged")</x:f>
        <x:v>raw_status_missing</x:v>
      </x:c>
      <x:c r="Y217" s="12" t="str">
        <x:f>IF(U217="BLOCKED_PENDING_RECEIPT","Log source path or blocker; do not promote","Route to review lane")</x:f>
        <x:v>Log source path or blocker; do not promote</x:v>
      </x:c>
      <x:c r="Z217" s="12" t="str">
        <x:f>IF(K217="P0","Primary seat + Hashlight/Lucerna","Seat lane")</x:f>
        <x:v>Seat lane</x:v>
      </x:c>
      <x:c r="AA217" s="12" t="str">
        <x:f>IF(R217="","no_claim_delta","claim_delta_present")</x:f>
        <x:v>no_claim_delta</x:v>
      </x:c>
      <x:c r="AB217" s="12" t="str">
        <x:f>IF(S217="","no_contradiction_delta","contradiction_delta_present")</x:f>
        <x:v>no_contradiction_delta</x:v>
      </x:c>
      <x:c r="AC217" s="12" t="str">
        <x:f>IF(OR(ISNUMBER(SEARCH("hacker",LOWER(F217&amp;" "&amp;H217&amp;" "&amp;I217&amp;" "&amp;M217&amp;" "&amp;N217&amp;" "&amp;T217))),ISNUMBER(SEARCH("hacking",LOWER(F217&amp;" "&amp;H217&amp;" "&amp;I217&amp;" "&amp;M217&amp;" "&amp;N217&amp;" "&amp;T217))),ISNUMBER(SEARCH("bank",LOWER(F217&amp;" "&amp;H217&amp;" "&amp;I217&amp;" "&amp;M217&amp;" "&amp;N217&amp;" "&amp;T217))),ISNUMBER(SEARCH("banking",LOWER(F217&amp;" "&amp;H217&amp;" "&amp;I217&amp;" "&amp;M217&amp;" "&amp;N217&amp;" "&amp;T217)))),"PRIVATE_QUARANTINE",IF(OR(ISNUMBER(SEARCH("treasury",LOWER(F217&amp;" "&amp;H217&amp;" "&amp;I217&amp;" "&amp;M217&amp;" "&amp;N217&amp;" "&amp;T217))),ISNUMBER(SEARCH("debt",LOWER(F217&amp;" "&amp;H217&amp;" "&amp;I217&amp;" "&amp;M217&amp;" "&amp;N217&amp;" "&amp;T217))),ISNUMBER(SEARCH("bond",LOWER(F217&amp;" "&amp;H217&amp;" "&amp;I217&amp;" "&amp;M217&amp;" "&amp;N217&amp;" "&amp;T217))),ISNUMBER(SEARCH("transaction",LOWER(F217&amp;" "&amp;H217&amp;" "&amp;I217&amp;" "&amp;M217&amp;" "&amp;N217&amp;" "&amp;T217)))),"PRIVATE_REVIEW","PUBLIC_CANDIDATE"))</x:f>
        <x:v>PUBLIC_CANDIDATE</x:v>
      </x:c>
      <x:c r="AD217" s="12" t="str">
        <x:f>IF(AC217="PRIVATE_QUARANTINE","hacker_or_bank_trigger",IF(AC217="PRIVATE_REVIEW","finance_risk_trigger","none"))</x:f>
        <x:v>none</x:v>
      </x:c>
      <x:c r="AE217" s="12" t="str">
        <x:f>IF(AC217="PUBLIC_CANDIDATE","prepare_public_github_candidate",IF(AC217="PRIVATE_REVIEW","hold_for_private_review","quarantine_private_do_not_publish"))</x:f>
        <x:v>prepare_public_github_candidate</x:v>
      </x:c>
      <x:c r="AF217" s="12" t="str">
        <x:f>IF(AC217="PUBLIC_CANDIDATE","TIDELOCK + Lucerna",IF(AC217="PRIVATE_REVIEW","AtlasBrain + Lucerna","TIDELOCK + Lucerna + Human-root"))</x:f>
        <x:v>TIDELOCK + Lucerna</x:v>
      </x:c>
      <x:c r="AG217" s="12" t="str">
        <x:f>IF(AND(AC217="PUBLIC_CANDIDATE",U217&lt;&gt;"BLOCKED_PENDING_RECEIPT"),"READY_AFTER_RECEIPT","NOT_READY")</x:f>
        <x:v>NOT_READY</x:v>
      </x:c>
      <x:c r="AH217" s="12" t="str">
        <x:f>IF(AC217="PUBLIC_CANDIDATE","none",AD217)</x:f>
        <x:v>none</x:v>
      </x:c>
      <x:c r="AI217" s="12" t="str">
        <x:f>IF(AC217="PUBLIC_CANDIDATE","archive/public_candidates/"&amp;A217,"private_quarantine/"&amp;A217)</x:f>
        <x:v>archive/public_candidates/SWARM-02-H06-S12</x:v>
      </x:c>
      <x:c r="AJ217" s="12" t="str">
        <x:f>IF(AC217="PUBLIC_CANDIDATE","public by default; still not canon","private/hold; do not publish")</x:f>
        <x:v>public by default; still not canon</x:v>
      </x:c>
      <x:c r="AK217" s="12" t="str">
        <x:f>IF(AE217="prepare_public_github_candidate","add receipt/status then mirror","resolve blocker before any public GitHub action")</x:f>
        <x:v>add receipt/status then mirror</x:v>
      </x:c>
    </x:row>
    <x:row r="218">
      <x:c r="A218" s="15" t="str">
        <x:v>SWARM-02-H07-S01</x:v>
      </x:c>
      <x:c r="B218" s="15" t="str">
        <x:v>Hashlight</x:v>
      </x:c>
      <x:c r="C218" s="15" t="str">
        <x:v>Hash and identity keeper</x:v>
      </x:c>
      <x:c r="D218" s="15" t="str">
        <x:v>Graph Node Proposals</x:v>
      </x:c>
      <x:c r="E218" s="15" t="str">
        <x:v>Notion</x:v>
      </x:c>
      <x:c r="F218" s="15" t="str">
        <x:v>Propose graph nodes for Notion — Hashlight</x:v>
      </x:c>
      <x:c r="G218" s="15" t="str">
        <x:v>ids / hashes / timestamps / duplicate control</x:v>
      </x:c>
      <x:c r="H218" s="15" t="str">
        <x:v>source path + receipt + raw/export status + claim/edge/risk delta</x:v>
      </x:c>
      <x:c r="I218" s="15" t="str">
        <x:v>packet/SWARM-02-H07-S01</x:v>
      </x:c>
      <x:c r="J218" s="15" t="str">
        <x:v>TODO</x:v>
      </x:c>
      <x:c r="K218" s="15" t="str">
        <x:v>P0</x:v>
      </x:c>
      <x:c r="L218" s="15" t="str">
        <x:v>Done only when evidence is logged, contradiction search is noted, and boundary stamp remains non-canon unless ratified</x:v>
      </x:c>
      <x:c r="M218" s="15" t="str">
        <x:v>candidate / staging-only / not canon / not deployed / authority none</x:v>
      </x:c>
      <x:c r="N218" s="15" t="str">
        <x:v>Dispatch to Hashlight: complete Graph Node Proposals x Notion; return deltas only, receipts required.</x:v>
      </x:c>
      <x:c r="O218" s="15" t="str">
        <x:v>AF-KG-H07-S01</x:v>
      </x:c>
      <x:c r="P218" s="15" t="str">
        <x:v>Unverified</x:v>
      </x:c>
      <x:c r="Q218" s="15" t="str">
        <x:v>Not checked</x:v>
      </x:c>
      <x:c r="R218" s="15" t="str"/>
      <x:c r="S218" s="15" t="str"/>
      <x:c r="T218" s="15" t="str">
        <x:v>Log first source path or blocker</x:v>
      </x:c>
      <x:c r="U218" s="12" t="str">
        <x:f>IF(OR(P218="Unverified",Q218="Not checked"),"BLOCKED_PENDING_RECEIPT","READY_FOR_REVIEW")</x:f>
        <x:v>BLOCKED_PENDING_RECEIPT</x:v>
      </x:c>
      <x:c r="V218" s="12" t="str">
        <x:f>IF(J218="DONE","RETURNED",IF(U218="BLOCKED_PENDING_RECEIPT","SOURCE_TOUCH_REQUIRED","IN_PROGRESS"))</x:f>
        <x:v>SOURCE_TOUCH_REQUIRED</x:v>
      </x:c>
      <x:c r="W218" s="12" t="str">
        <x:f>IF(P218="Unverified","missing_receipt","receipt_logged")</x:f>
        <x:v>missing_receipt</x:v>
      </x:c>
      <x:c r="X218" s="12" t="str">
        <x:f>IF(Q218="Not checked","raw_status_missing","raw_status_logged")</x:f>
        <x:v>raw_status_missing</x:v>
      </x:c>
      <x:c r="Y218" s="12" t="str">
        <x:f>IF(U218="BLOCKED_PENDING_RECEIPT","Log source path or blocker; do not promote","Route to review lane")</x:f>
        <x:v>Log source path or blocker; do not promote</x:v>
      </x:c>
      <x:c r="Z218" s="12" t="str">
        <x:f>IF(K218="P0","Primary seat + Hashlight/Lucerna","Seat lane")</x:f>
        <x:v>Primary seat + Hashlight/Lucerna</x:v>
      </x:c>
      <x:c r="AA218" s="12" t="str">
        <x:f>IF(R218="","no_claim_delta","claim_delta_present")</x:f>
        <x:v>no_claim_delta</x:v>
      </x:c>
      <x:c r="AB218" s="12" t="str">
        <x:f>IF(S218="","no_contradiction_delta","contradiction_delta_present")</x:f>
        <x:v>no_contradiction_delta</x:v>
      </x:c>
      <x:c r="AC218" s="12" t="str">
        <x:f>IF(OR(ISNUMBER(SEARCH("hacker",LOWER(F218&amp;" "&amp;H218&amp;" "&amp;I218&amp;" "&amp;M218&amp;" "&amp;N218&amp;" "&amp;T218))),ISNUMBER(SEARCH("hacking",LOWER(F218&amp;" "&amp;H218&amp;" "&amp;I218&amp;" "&amp;M218&amp;" "&amp;N218&amp;" "&amp;T218))),ISNUMBER(SEARCH("bank",LOWER(F218&amp;" "&amp;H218&amp;" "&amp;I218&amp;" "&amp;M218&amp;" "&amp;N218&amp;" "&amp;T218))),ISNUMBER(SEARCH("banking",LOWER(F218&amp;" "&amp;H218&amp;" "&amp;I218&amp;" "&amp;M218&amp;" "&amp;N218&amp;" "&amp;T218)))),"PRIVATE_QUARANTINE",IF(OR(ISNUMBER(SEARCH("treasury",LOWER(F218&amp;" "&amp;H218&amp;" "&amp;I218&amp;" "&amp;M218&amp;" "&amp;N218&amp;" "&amp;T218))),ISNUMBER(SEARCH("debt",LOWER(F218&amp;" "&amp;H218&amp;" "&amp;I218&amp;" "&amp;M218&amp;" "&amp;N218&amp;" "&amp;T218))),ISNUMBER(SEARCH("bond",LOWER(F218&amp;" "&amp;H218&amp;" "&amp;I218&amp;" "&amp;M218&amp;" "&amp;N218&amp;" "&amp;T218))),ISNUMBER(SEARCH("transaction",LOWER(F218&amp;" "&amp;H218&amp;" "&amp;I218&amp;" "&amp;M218&amp;" "&amp;N218&amp;" "&amp;T218)))),"PRIVATE_REVIEW","PUBLIC_CANDIDATE"))</x:f>
        <x:v>PUBLIC_CANDIDATE</x:v>
      </x:c>
      <x:c r="AD218" s="12" t="str">
        <x:f>IF(AC218="PRIVATE_QUARANTINE","hacker_or_bank_trigger",IF(AC218="PRIVATE_REVIEW","finance_risk_trigger","none"))</x:f>
        <x:v>none</x:v>
      </x:c>
      <x:c r="AE218" s="12" t="str">
        <x:f>IF(AC218="PUBLIC_CANDIDATE","prepare_public_github_candidate",IF(AC218="PRIVATE_REVIEW","hold_for_private_review","quarantine_private_do_not_publish"))</x:f>
        <x:v>prepare_public_github_candidate</x:v>
      </x:c>
      <x:c r="AF218" s="12" t="str">
        <x:f>IF(AC218="PUBLIC_CANDIDATE","TIDELOCK + Lucerna",IF(AC218="PRIVATE_REVIEW","AtlasBrain + Lucerna","TIDELOCK + Lucerna + Human-root"))</x:f>
        <x:v>TIDELOCK + Lucerna</x:v>
      </x:c>
      <x:c r="AG218" s="12" t="str">
        <x:f>IF(AND(AC218="PUBLIC_CANDIDATE",U218&lt;&gt;"BLOCKED_PENDING_RECEIPT"),"READY_AFTER_RECEIPT","NOT_READY")</x:f>
        <x:v>NOT_READY</x:v>
      </x:c>
      <x:c r="AH218" s="12" t="str">
        <x:f>IF(AC218="PUBLIC_CANDIDATE","none",AD218)</x:f>
        <x:v>none</x:v>
      </x:c>
      <x:c r="AI218" s="12" t="str">
        <x:f>IF(AC218="PUBLIC_CANDIDATE","archive/public_candidates/"&amp;A218,"private_quarantine/"&amp;A218)</x:f>
        <x:v>archive/public_candidates/SWARM-02-H07-S01</x:v>
      </x:c>
      <x:c r="AJ218" s="12" t="str">
        <x:f>IF(AC218="PUBLIC_CANDIDATE","public by default; still not canon","private/hold; do not publish")</x:f>
        <x:v>public by default; still not canon</x:v>
      </x:c>
      <x:c r="AK218" s="12" t="str">
        <x:f>IF(AE218="prepare_public_github_candidate","add receipt/status then mirror","resolve blocker before any public GitHub action")</x:f>
        <x:v>add receipt/status then mirror</x:v>
      </x:c>
    </x:row>
    <x:row r="219">
      <x:c r="A219" s="15" t="str">
        <x:v>SWARM-02-H07-S02</x:v>
      </x:c>
      <x:c r="B219" s="15" t="str">
        <x:v>Hashlight</x:v>
      </x:c>
      <x:c r="C219" s="15" t="str">
        <x:v>Hash and identity keeper</x:v>
      </x:c>
      <x:c r="D219" s="15" t="str">
        <x:v>Graph Node Proposals</x:v>
      </x:c>
      <x:c r="E219" s="15" t="str">
        <x:v>Drive</x:v>
      </x:c>
      <x:c r="F219" s="15" t="str">
        <x:v>Propose graph nodes for Drive — Hashlight</x:v>
      </x:c>
      <x:c r="G219" s="15" t="str">
        <x:v>ids / hashes / timestamps / duplicate control</x:v>
      </x:c>
      <x:c r="H219" s="15" t="str">
        <x:v>source path + receipt + raw/export status + claim/edge/risk delta</x:v>
      </x:c>
      <x:c r="I219" s="15" t="str">
        <x:v>packet/SWARM-02-H07-S02</x:v>
      </x:c>
      <x:c r="J219" s="15" t="str">
        <x:v>TODO</x:v>
      </x:c>
      <x:c r="K219" s="15" t="str">
        <x:v>P0</x:v>
      </x:c>
      <x:c r="L219" s="15" t="str">
        <x:v>Done only when evidence is logged, contradiction search is noted, and boundary stamp remains non-canon unless ratified</x:v>
      </x:c>
      <x:c r="M219" s="15" t="str">
        <x:v>candidate / staging-only / not canon / not deployed / authority none</x:v>
      </x:c>
      <x:c r="N219" s="15" t="str">
        <x:v>Dispatch to Hashlight: complete Graph Node Proposals x Drive; return deltas only, receipts required.</x:v>
      </x:c>
      <x:c r="O219" s="15" t="str">
        <x:v>AF-KG-H07-S02</x:v>
      </x:c>
      <x:c r="P219" s="15" t="str">
        <x:v>Unverified</x:v>
      </x:c>
      <x:c r="Q219" s="15" t="str">
        <x:v>Not checked</x:v>
      </x:c>
      <x:c r="R219" s="15" t="str"/>
      <x:c r="S219" s="15" t="str"/>
      <x:c r="T219" s="15" t="str">
        <x:v>Log first source path or blocker</x:v>
      </x:c>
      <x:c r="U219" s="12" t="str">
        <x:f>IF(OR(P219="Unverified",Q219="Not checked"),"BLOCKED_PENDING_RECEIPT","READY_FOR_REVIEW")</x:f>
        <x:v>BLOCKED_PENDING_RECEIPT</x:v>
      </x:c>
      <x:c r="V219" s="12" t="str">
        <x:f>IF(J219="DONE","RETURNED",IF(U219="BLOCKED_PENDING_RECEIPT","SOURCE_TOUCH_REQUIRED","IN_PROGRESS"))</x:f>
        <x:v>SOURCE_TOUCH_REQUIRED</x:v>
      </x:c>
      <x:c r="W219" s="12" t="str">
        <x:f>IF(P219="Unverified","missing_receipt","receipt_logged")</x:f>
        <x:v>missing_receipt</x:v>
      </x:c>
      <x:c r="X219" s="12" t="str">
        <x:f>IF(Q219="Not checked","raw_status_missing","raw_status_logged")</x:f>
        <x:v>raw_status_missing</x:v>
      </x:c>
      <x:c r="Y219" s="12" t="str">
        <x:f>IF(U219="BLOCKED_PENDING_RECEIPT","Log source path or blocker; do not promote","Route to review lane")</x:f>
        <x:v>Log source path or blocker; do not promote</x:v>
      </x:c>
      <x:c r="Z219" s="12" t="str">
        <x:f>IF(K219="P0","Primary seat + Hashlight/Lucerna","Seat lane")</x:f>
        <x:v>Primary seat + Hashlight/Lucerna</x:v>
      </x:c>
      <x:c r="AA219" s="12" t="str">
        <x:f>IF(R219="","no_claim_delta","claim_delta_present")</x:f>
        <x:v>no_claim_delta</x:v>
      </x:c>
      <x:c r="AB219" s="12" t="str">
        <x:f>IF(S219="","no_contradiction_delta","contradiction_delta_present")</x:f>
        <x:v>no_contradiction_delta</x:v>
      </x:c>
      <x:c r="AC219" s="12" t="str">
        <x:f>IF(OR(ISNUMBER(SEARCH("hacker",LOWER(F219&amp;" "&amp;H219&amp;" "&amp;I219&amp;" "&amp;M219&amp;" "&amp;N219&amp;" "&amp;T219))),ISNUMBER(SEARCH("hacking",LOWER(F219&amp;" "&amp;H219&amp;" "&amp;I219&amp;" "&amp;M219&amp;" "&amp;N219&amp;" "&amp;T219))),ISNUMBER(SEARCH("bank",LOWER(F219&amp;" "&amp;H219&amp;" "&amp;I219&amp;" "&amp;M219&amp;" "&amp;N219&amp;" "&amp;T219))),ISNUMBER(SEARCH("banking",LOWER(F219&amp;" "&amp;H219&amp;" "&amp;I219&amp;" "&amp;M219&amp;" "&amp;N219&amp;" "&amp;T219)))),"PRIVATE_QUARANTINE",IF(OR(ISNUMBER(SEARCH("treasury",LOWER(F219&amp;" "&amp;H219&amp;" "&amp;I219&amp;" "&amp;M219&amp;" "&amp;N219&amp;" "&amp;T219))),ISNUMBER(SEARCH("debt",LOWER(F219&amp;" "&amp;H219&amp;" "&amp;I219&amp;" "&amp;M219&amp;" "&amp;N219&amp;" "&amp;T219))),ISNUMBER(SEARCH("bond",LOWER(F219&amp;" "&amp;H219&amp;" "&amp;I219&amp;" "&amp;M219&amp;" "&amp;N219&amp;" "&amp;T219))),ISNUMBER(SEARCH("transaction",LOWER(F219&amp;" "&amp;H219&amp;" "&amp;I219&amp;" "&amp;M219&amp;" "&amp;N219&amp;" "&amp;T219)))),"PRIVATE_REVIEW","PUBLIC_CANDIDATE"))</x:f>
        <x:v>PUBLIC_CANDIDATE</x:v>
      </x:c>
      <x:c r="AD219" s="12" t="str">
        <x:f>IF(AC219="PRIVATE_QUARANTINE","hacker_or_bank_trigger",IF(AC219="PRIVATE_REVIEW","finance_risk_trigger","none"))</x:f>
        <x:v>none</x:v>
      </x:c>
      <x:c r="AE219" s="12" t="str">
        <x:f>IF(AC219="PUBLIC_CANDIDATE","prepare_public_github_candidate",IF(AC219="PRIVATE_REVIEW","hold_for_private_review","quarantine_private_do_not_publish"))</x:f>
        <x:v>prepare_public_github_candidate</x:v>
      </x:c>
      <x:c r="AF219" s="12" t="str">
        <x:f>IF(AC219="PUBLIC_CANDIDATE","TIDELOCK + Lucerna",IF(AC219="PRIVATE_REVIEW","AtlasBrain + Lucerna","TIDELOCK + Lucerna + Human-root"))</x:f>
        <x:v>TIDELOCK + Lucerna</x:v>
      </x:c>
      <x:c r="AG219" s="12" t="str">
        <x:f>IF(AND(AC219="PUBLIC_CANDIDATE",U219&lt;&gt;"BLOCKED_PENDING_RECEIPT"),"READY_AFTER_RECEIPT","NOT_READY")</x:f>
        <x:v>NOT_READY</x:v>
      </x:c>
      <x:c r="AH219" s="12" t="str">
        <x:f>IF(AC219="PUBLIC_CANDIDATE","none",AD219)</x:f>
        <x:v>none</x:v>
      </x:c>
      <x:c r="AI219" s="12" t="str">
        <x:f>IF(AC219="PUBLIC_CANDIDATE","archive/public_candidates/"&amp;A219,"private_quarantine/"&amp;A219)</x:f>
        <x:v>archive/public_candidates/SWARM-02-H07-S02</x:v>
      </x:c>
      <x:c r="AJ219" s="12" t="str">
        <x:f>IF(AC219="PUBLIC_CANDIDATE","public by default; still not canon","private/hold; do not publish")</x:f>
        <x:v>public by default; still not canon</x:v>
      </x:c>
      <x:c r="AK219" s="12" t="str">
        <x:f>IF(AE219="prepare_public_github_candidate","add receipt/status then mirror","resolve blocker before any public GitHub action")</x:f>
        <x:v>add receipt/status then mirror</x:v>
      </x:c>
    </x:row>
    <x:row r="220">
      <x:c r="A220" s="15" t="str">
        <x:v>SWARM-02-H07-S03</x:v>
      </x:c>
      <x:c r="B220" s="15" t="str">
        <x:v>Hashlight</x:v>
      </x:c>
      <x:c r="C220" s="15" t="str">
        <x:v>Hash and identity keeper</x:v>
      </x:c>
      <x:c r="D220" s="15" t="str">
        <x:v>Graph Node Proposals</x:v>
      </x:c>
      <x:c r="E220" s="15" t="str">
        <x:v>GitHub</x:v>
      </x:c>
      <x:c r="F220" s="15" t="str">
        <x:v>Propose graph nodes for GitHub — Hashlight</x:v>
      </x:c>
      <x:c r="G220" s="15" t="str">
        <x:v>ids / hashes / timestamps / duplicate control</x:v>
      </x:c>
      <x:c r="H220" s="15" t="str">
        <x:v>source path + receipt + raw/export status + claim/edge/risk delta</x:v>
      </x:c>
      <x:c r="I220" s="15" t="str">
        <x:v>packet/SWARM-02-H07-S03</x:v>
      </x:c>
      <x:c r="J220" s="15" t="str">
        <x:v>TODO</x:v>
      </x:c>
      <x:c r="K220" s="15" t="str">
        <x:v>P0</x:v>
      </x:c>
      <x:c r="L220" s="15" t="str">
        <x:v>Done only when evidence is logged, contradiction search is noted, and boundary stamp remains non-canon unless ratified</x:v>
      </x:c>
      <x:c r="M220" s="15" t="str">
        <x:v>candidate / staging-only / not canon / not deployed / authority none</x:v>
      </x:c>
      <x:c r="N220" s="15" t="str">
        <x:v>Dispatch to Hashlight: complete Graph Node Proposals x GitHub; return deltas only, receipts required.</x:v>
      </x:c>
      <x:c r="O220" s="15" t="str">
        <x:v>AF-KG-H07-S03</x:v>
      </x:c>
      <x:c r="P220" s="15" t="str">
        <x:v>Unverified</x:v>
      </x:c>
      <x:c r="Q220" s="15" t="str">
        <x:v>Not checked</x:v>
      </x:c>
      <x:c r="R220" s="15" t="str"/>
      <x:c r="S220" s="15" t="str"/>
      <x:c r="T220" s="15" t="str">
        <x:v>Log first source path or blocker</x:v>
      </x:c>
      <x:c r="U220" s="12" t="str">
        <x:f>IF(OR(P220="Unverified",Q220="Not checked"),"BLOCKED_PENDING_RECEIPT","READY_FOR_REVIEW")</x:f>
        <x:v>BLOCKED_PENDING_RECEIPT</x:v>
      </x:c>
      <x:c r="V220" s="12" t="str">
        <x:f>IF(J220="DONE","RETURNED",IF(U220="BLOCKED_PENDING_RECEIPT","SOURCE_TOUCH_REQUIRED","IN_PROGRESS"))</x:f>
        <x:v>SOURCE_TOUCH_REQUIRED</x:v>
      </x:c>
      <x:c r="W220" s="12" t="str">
        <x:f>IF(P220="Unverified","missing_receipt","receipt_logged")</x:f>
        <x:v>missing_receipt</x:v>
      </x:c>
      <x:c r="X220" s="12" t="str">
        <x:f>IF(Q220="Not checked","raw_status_missing","raw_status_logged")</x:f>
        <x:v>raw_status_missing</x:v>
      </x:c>
      <x:c r="Y220" s="12" t="str">
        <x:f>IF(U220="BLOCKED_PENDING_RECEIPT","Log source path or blocker; do not promote","Route to review lane")</x:f>
        <x:v>Log source path or blocker; do not promote</x:v>
      </x:c>
      <x:c r="Z220" s="12" t="str">
        <x:f>IF(K220="P0","Primary seat + Hashlight/Lucerna","Seat lane")</x:f>
        <x:v>Primary seat + Hashlight/Lucerna</x:v>
      </x:c>
      <x:c r="AA220" s="12" t="str">
        <x:f>IF(R220="","no_claim_delta","claim_delta_present")</x:f>
        <x:v>no_claim_delta</x:v>
      </x:c>
      <x:c r="AB220" s="12" t="str">
        <x:f>IF(S220="","no_contradiction_delta","contradiction_delta_present")</x:f>
        <x:v>no_contradiction_delta</x:v>
      </x:c>
      <x:c r="AC220" s="12" t="str">
        <x:f>IF(OR(ISNUMBER(SEARCH("hacker",LOWER(F220&amp;" "&amp;H220&amp;" "&amp;I220&amp;" "&amp;M220&amp;" "&amp;N220&amp;" "&amp;T220))),ISNUMBER(SEARCH("hacking",LOWER(F220&amp;" "&amp;H220&amp;" "&amp;I220&amp;" "&amp;M220&amp;" "&amp;N220&amp;" "&amp;T220))),ISNUMBER(SEARCH("bank",LOWER(F220&amp;" "&amp;H220&amp;" "&amp;I220&amp;" "&amp;M220&amp;" "&amp;N220&amp;" "&amp;T220))),ISNUMBER(SEARCH("banking",LOWER(F220&amp;" "&amp;H220&amp;" "&amp;I220&amp;" "&amp;M220&amp;" "&amp;N220&amp;" "&amp;T220)))),"PRIVATE_QUARANTINE",IF(OR(ISNUMBER(SEARCH("treasury",LOWER(F220&amp;" "&amp;H220&amp;" "&amp;I220&amp;" "&amp;M220&amp;" "&amp;N220&amp;" "&amp;T220))),ISNUMBER(SEARCH("debt",LOWER(F220&amp;" "&amp;H220&amp;" "&amp;I220&amp;" "&amp;M220&amp;" "&amp;N220&amp;" "&amp;T220))),ISNUMBER(SEARCH("bond",LOWER(F220&amp;" "&amp;H220&amp;" "&amp;I220&amp;" "&amp;M220&amp;" "&amp;N220&amp;" "&amp;T220))),ISNUMBER(SEARCH("transaction",LOWER(F220&amp;" "&amp;H220&amp;" "&amp;I220&amp;" "&amp;M220&amp;" "&amp;N220&amp;" "&amp;T220)))),"PRIVATE_REVIEW","PUBLIC_CANDIDATE"))</x:f>
        <x:v>PUBLIC_CANDIDATE</x:v>
      </x:c>
      <x:c r="AD220" s="12" t="str">
        <x:f>IF(AC220="PRIVATE_QUARANTINE","hacker_or_bank_trigger",IF(AC220="PRIVATE_REVIEW","finance_risk_trigger","none"))</x:f>
        <x:v>none</x:v>
      </x:c>
      <x:c r="AE220" s="12" t="str">
        <x:f>IF(AC220="PUBLIC_CANDIDATE","prepare_public_github_candidate",IF(AC220="PRIVATE_REVIEW","hold_for_private_review","quarantine_private_do_not_publish"))</x:f>
        <x:v>prepare_public_github_candidate</x:v>
      </x:c>
      <x:c r="AF220" s="12" t="str">
        <x:f>IF(AC220="PUBLIC_CANDIDATE","TIDELOCK + Lucerna",IF(AC220="PRIVATE_REVIEW","AtlasBrain + Lucerna","TIDELOCK + Lucerna + Human-root"))</x:f>
        <x:v>TIDELOCK + Lucerna</x:v>
      </x:c>
      <x:c r="AG220" s="12" t="str">
        <x:f>IF(AND(AC220="PUBLIC_CANDIDATE",U220&lt;&gt;"BLOCKED_PENDING_RECEIPT"),"READY_AFTER_RECEIPT","NOT_READY")</x:f>
        <x:v>NOT_READY</x:v>
      </x:c>
      <x:c r="AH220" s="12" t="str">
        <x:f>IF(AC220="PUBLIC_CANDIDATE","none",AD220)</x:f>
        <x:v>none</x:v>
      </x:c>
      <x:c r="AI220" s="12" t="str">
        <x:f>IF(AC220="PUBLIC_CANDIDATE","archive/public_candidates/"&amp;A220,"private_quarantine/"&amp;A220)</x:f>
        <x:v>archive/public_candidates/SWARM-02-H07-S03</x:v>
      </x:c>
      <x:c r="AJ220" s="12" t="str">
        <x:f>IF(AC220="PUBLIC_CANDIDATE","public by default; still not canon","private/hold; do not publish")</x:f>
        <x:v>public by default; still not canon</x:v>
      </x:c>
      <x:c r="AK220" s="12" t="str">
        <x:f>IF(AE220="prepare_public_github_candidate","add receipt/status then mirror","resolve blocker before any public GitHub action")</x:f>
        <x:v>add receipt/status then mirror</x:v>
      </x:c>
    </x:row>
    <x:row r="221">
      <x:c r="A221" s="15" t="str">
        <x:v>SWARM-02-H07-S04</x:v>
      </x:c>
      <x:c r="B221" s="15" t="str">
        <x:v>Hashlight</x:v>
      </x:c>
      <x:c r="C221" s="15" t="str">
        <x:v>Hash and identity keeper</x:v>
      </x:c>
      <x:c r="D221" s="15" t="str">
        <x:v>Graph Node Proposals</x:v>
      </x:c>
      <x:c r="E221" s="15" t="str">
        <x:v>Gamma</x:v>
      </x:c>
      <x:c r="F221" s="15" t="str">
        <x:v>Propose graph nodes for Gamma — Hashlight</x:v>
      </x:c>
      <x:c r="G221" s="15" t="str">
        <x:v>ids / hashes / timestamps / duplicate control</x:v>
      </x:c>
      <x:c r="H221" s="15" t="str">
        <x:v>source path + receipt + raw/export status + claim/edge/risk delta</x:v>
      </x:c>
      <x:c r="I221" s="15" t="str">
        <x:v>packet/SWARM-02-H07-S04</x:v>
      </x:c>
      <x:c r="J221" s="15" t="str">
        <x:v>TODO</x:v>
      </x:c>
      <x:c r="K221" s="15" t="str">
        <x:v>P1</x:v>
      </x:c>
      <x:c r="L221" s="15" t="str">
        <x:v>Done only when evidence is logged, contradiction search is noted, and boundary stamp remains non-canon unless ratified</x:v>
      </x:c>
      <x:c r="M221" s="15" t="str">
        <x:v>candidate / staging-only / not canon / not deployed / authority none</x:v>
      </x:c>
      <x:c r="N221" s="15" t="str">
        <x:v>Dispatch to Hashlight: complete Graph Node Proposals x Gamma; return deltas only, receipts required.</x:v>
      </x:c>
      <x:c r="O221" s="15" t="str">
        <x:v>AF-KG-H07-S04</x:v>
      </x:c>
      <x:c r="P221" s="15" t="str">
        <x:v>Unverified</x:v>
      </x:c>
      <x:c r="Q221" s="15" t="str">
        <x:v>Not checked</x:v>
      </x:c>
      <x:c r="R221" s="15" t="str"/>
      <x:c r="S221" s="15" t="str"/>
      <x:c r="T221" s="15" t="str">
        <x:v>Log first source path or blocker</x:v>
      </x:c>
      <x:c r="U221" s="12" t="str">
        <x:f>IF(OR(P221="Unverified",Q221="Not checked"),"BLOCKED_PENDING_RECEIPT","READY_FOR_REVIEW")</x:f>
        <x:v>BLOCKED_PENDING_RECEIPT</x:v>
      </x:c>
      <x:c r="V221" s="12" t="str">
        <x:f>IF(J221="DONE","RETURNED",IF(U221="BLOCKED_PENDING_RECEIPT","SOURCE_TOUCH_REQUIRED","IN_PROGRESS"))</x:f>
        <x:v>SOURCE_TOUCH_REQUIRED</x:v>
      </x:c>
      <x:c r="W221" s="12" t="str">
        <x:f>IF(P221="Unverified","missing_receipt","receipt_logged")</x:f>
        <x:v>missing_receipt</x:v>
      </x:c>
      <x:c r="X221" s="12" t="str">
        <x:f>IF(Q221="Not checked","raw_status_missing","raw_status_logged")</x:f>
        <x:v>raw_status_missing</x:v>
      </x:c>
      <x:c r="Y221" s="12" t="str">
        <x:f>IF(U221="BLOCKED_PENDING_RECEIPT","Log source path or blocker; do not promote","Route to review lane")</x:f>
        <x:v>Log source path or blocker; do not promote</x:v>
      </x:c>
      <x:c r="Z221" s="12" t="str">
        <x:f>IF(K221="P0","Primary seat + Hashlight/Lucerna","Seat lane")</x:f>
        <x:v>Seat lane</x:v>
      </x:c>
      <x:c r="AA221" s="12" t="str">
        <x:f>IF(R221="","no_claim_delta","claim_delta_present")</x:f>
        <x:v>no_claim_delta</x:v>
      </x:c>
      <x:c r="AB221" s="12" t="str">
        <x:f>IF(S221="","no_contradiction_delta","contradiction_delta_present")</x:f>
        <x:v>no_contradiction_delta</x:v>
      </x:c>
      <x:c r="AC221" s="12" t="str">
        <x:f>IF(OR(ISNUMBER(SEARCH("hacker",LOWER(F221&amp;" "&amp;H221&amp;" "&amp;I221&amp;" "&amp;M221&amp;" "&amp;N221&amp;" "&amp;T221))),ISNUMBER(SEARCH("hacking",LOWER(F221&amp;" "&amp;H221&amp;" "&amp;I221&amp;" "&amp;M221&amp;" "&amp;N221&amp;" "&amp;T221))),ISNUMBER(SEARCH("bank",LOWER(F221&amp;" "&amp;H221&amp;" "&amp;I221&amp;" "&amp;M221&amp;" "&amp;N221&amp;" "&amp;T221))),ISNUMBER(SEARCH("banking",LOWER(F221&amp;" "&amp;H221&amp;" "&amp;I221&amp;" "&amp;M221&amp;" "&amp;N221&amp;" "&amp;T221)))),"PRIVATE_QUARANTINE",IF(OR(ISNUMBER(SEARCH("treasury",LOWER(F221&amp;" "&amp;H221&amp;" "&amp;I221&amp;" "&amp;M221&amp;" "&amp;N221&amp;" "&amp;T221))),ISNUMBER(SEARCH("debt",LOWER(F221&amp;" "&amp;H221&amp;" "&amp;I221&amp;" "&amp;M221&amp;" "&amp;N221&amp;" "&amp;T221))),ISNUMBER(SEARCH("bond",LOWER(F221&amp;" "&amp;H221&amp;" "&amp;I221&amp;" "&amp;M221&amp;" "&amp;N221&amp;" "&amp;T221))),ISNUMBER(SEARCH("transaction",LOWER(F221&amp;" "&amp;H221&amp;" "&amp;I221&amp;" "&amp;M221&amp;" "&amp;N221&amp;" "&amp;T221)))),"PRIVATE_REVIEW","PUBLIC_CANDIDATE"))</x:f>
        <x:v>PUBLIC_CANDIDATE</x:v>
      </x:c>
      <x:c r="AD221" s="12" t="str">
        <x:f>IF(AC221="PRIVATE_QUARANTINE","hacker_or_bank_trigger",IF(AC221="PRIVATE_REVIEW","finance_risk_trigger","none"))</x:f>
        <x:v>none</x:v>
      </x:c>
      <x:c r="AE221" s="12" t="str">
        <x:f>IF(AC221="PUBLIC_CANDIDATE","prepare_public_github_candidate",IF(AC221="PRIVATE_REVIEW","hold_for_private_review","quarantine_private_do_not_publish"))</x:f>
        <x:v>prepare_public_github_candidate</x:v>
      </x:c>
      <x:c r="AF221" s="12" t="str">
        <x:f>IF(AC221="PUBLIC_CANDIDATE","TIDELOCK + Lucerna",IF(AC221="PRIVATE_REVIEW","AtlasBrain + Lucerna","TIDELOCK + Lucerna + Human-root"))</x:f>
        <x:v>TIDELOCK + Lucerna</x:v>
      </x:c>
      <x:c r="AG221" s="12" t="str">
        <x:f>IF(AND(AC221="PUBLIC_CANDIDATE",U221&lt;&gt;"BLOCKED_PENDING_RECEIPT"),"READY_AFTER_RECEIPT","NOT_READY")</x:f>
        <x:v>NOT_READY</x:v>
      </x:c>
      <x:c r="AH221" s="12" t="str">
        <x:f>IF(AC221="PUBLIC_CANDIDATE","none",AD221)</x:f>
        <x:v>none</x:v>
      </x:c>
      <x:c r="AI221" s="12" t="str">
        <x:f>IF(AC221="PUBLIC_CANDIDATE","archive/public_candidates/"&amp;A221,"private_quarantine/"&amp;A221)</x:f>
        <x:v>archive/public_candidates/SWARM-02-H07-S04</x:v>
      </x:c>
      <x:c r="AJ221" s="12" t="str">
        <x:f>IF(AC221="PUBLIC_CANDIDATE","public by default; still not canon","private/hold; do not publish")</x:f>
        <x:v>public by default; still not canon</x:v>
      </x:c>
      <x:c r="AK221" s="12" t="str">
        <x:f>IF(AE221="prepare_public_github_candidate","add receipt/status then mirror","resolve blocker before any public GitHub action")</x:f>
        <x:v>add receipt/status then mirror</x:v>
      </x:c>
    </x:row>
    <x:row r="222">
      <x:c r="A222" s="15" t="str">
        <x:v>SWARM-02-H07-S05</x:v>
      </x:c>
      <x:c r="B222" s="15" t="str">
        <x:v>Hashlight</x:v>
      </x:c>
      <x:c r="C222" s="15" t="str">
        <x:v>Hash and identity keeper</x:v>
      </x:c>
      <x:c r="D222" s="15" t="str">
        <x:v>Graph Node Proposals</x:v>
      </x:c>
      <x:c r="E222" s="15" t="str">
        <x:v>Chat</x:v>
      </x:c>
      <x:c r="F222" s="15" t="str">
        <x:v>Propose graph nodes for Chat — Hashlight</x:v>
      </x:c>
      <x:c r="G222" s="15" t="str">
        <x:v>ids / hashes / timestamps / duplicate control</x:v>
      </x:c>
      <x:c r="H222" s="15" t="str">
        <x:v>source path + receipt + raw/export status + claim/edge/risk delta</x:v>
      </x:c>
      <x:c r="I222" s="15" t="str">
        <x:v>packet/SWARM-02-H07-S05</x:v>
      </x:c>
      <x:c r="J222" s="15" t="str">
        <x:v>TODO</x:v>
      </x:c>
      <x:c r="K222" s="15" t="str">
        <x:v>P1</x:v>
      </x:c>
      <x:c r="L222" s="15" t="str">
        <x:v>Done only when evidence is logged, contradiction search is noted, and boundary stamp remains non-canon unless ratified</x:v>
      </x:c>
      <x:c r="M222" s="15" t="str">
        <x:v>candidate / staging-only / not canon / not deployed / authority none</x:v>
      </x:c>
      <x:c r="N222" s="15" t="str">
        <x:v>Dispatch to Hashlight: complete Graph Node Proposals x Chat; return deltas only, receipts required.</x:v>
      </x:c>
      <x:c r="O222" s="15" t="str">
        <x:v>AF-KG-H07-S05</x:v>
      </x:c>
      <x:c r="P222" s="15" t="str">
        <x:v>Unverified</x:v>
      </x:c>
      <x:c r="Q222" s="15" t="str">
        <x:v>Not checked</x:v>
      </x:c>
      <x:c r="R222" s="15" t="str"/>
      <x:c r="S222" s="15" t="str"/>
      <x:c r="T222" s="15" t="str">
        <x:v>Log first source path or blocker</x:v>
      </x:c>
      <x:c r="U222" s="12" t="str">
        <x:f>IF(OR(P222="Unverified",Q222="Not checked"),"BLOCKED_PENDING_RECEIPT","READY_FOR_REVIEW")</x:f>
        <x:v>BLOCKED_PENDING_RECEIPT</x:v>
      </x:c>
      <x:c r="V222" s="12" t="str">
        <x:f>IF(J222="DONE","RETURNED",IF(U222="BLOCKED_PENDING_RECEIPT","SOURCE_TOUCH_REQUIRED","IN_PROGRESS"))</x:f>
        <x:v>SOURCE_TOUCH_REQUIRED</x:v>
      </x:c>
      <x:c r="W222" s="12" t="str">
        <x:f>IF(P222="Unverified","missing_receipt","receipt_logged")</x:f>
        <x:v>missing_receipt</x:v>
      </x:c>
      <x:c r="X222" s="12" t="str">
        <x:f>IF(Q222="Not checked","raw_status_missing","raw_status_logged")</x:f>
        <x:v>raw_status_missing</x:v>
      </x:c>
      <x:c r="Y222" s="12" t="str">
        <x:f>IF(U222="BLOCKED_PENDING_RECEIPT","Log source path or blocker; do not promote","Route to review lane")</x:f>
        <x:v>Log source path or blocker; do not promote</x:v>
      </x:c>
      <x:c r="Z222" s="12" t="str">
        <x:f>IF(K222="P0","Primary seat + Hashlight/Lucerna","Seat lane")</x:f>
        <x:v>Seat lane</x:v>
      </x:c>
      <x:c r="AA222" s="12" t="str">
        <x:f>IF(R222="","no_claim_delta","claim_delta_present")</x:f>
        <x:v>no_claim_delta</x:v>
      </x:c>
      <x:c r="AB222" s="12" t="str">
        <x:f>IF(S222="","no_contradiction_delta","contradiction_delta_present")</x:f>
        <x:v>no_contradiction_delta</x:v>
      </x:c>
      <x:c r="AC222" s="12" t="str">
        <x:f>IF(OR(ISNUMBER(SEARCH("hacker",LOWER(F222&amp;" "&amp;H222&amp;" "&amp;I222&amp;" "&amp;M222&amp;" "&amp;N222&amp;" "&amp;T222))),ISNUMBER(SEARCH("hacking",LOWER(F222&amp;" "&amp;H222&amp;" "&amp;I222&amp;" "&amp;M222&amp;" "&amp;N222&amp;" "&amp;T222))),ISNUMBER(SEARCH("bank",LOWER(F222&amp;" "&amp;H222&amp;" "&amp;I222&amp;" "&amp;M222&amp;" "&amp;N222&amp;" "&amp;T222))),ISNUMBER(SEARCH("banking",LOWER(F222&amp;" "&amp;H222&amp;" "&amp;I222&amp;" "&amp;M222&amp;" "&amp;N222&amp;" "&amp;T222)))),"PRIVATE_QUARANTINE",IF(OR(ISNUMBER(SEARCH("treasury",LOWER(F222&amp;" "&amp;H222&amp;" "&amp;I222&amp;" "&amp;M222&amp;" "&amp;N222&amp;" "&amp;T222))),ISNUMBER(SEARCH("debt",LOWER(F222&amp;" "&amp;H222&amp;" "&amp;I222&amp;" "&amp;M222&amp;" "&amp;N222&amp;" "&amp;T222))),ISNUMBER(SEARCH("bond",LOWER(F222&amp;" "&amp;H222&amp;" "&amp;I222&amp;" "&amp;M222&amp;" "&amp;N222&amp;" "&amp;T222))),ISNUMBER(SEARCH("transaction",LOWER(F222&amp;" "&amp;H222&amp;" "&amp;I222&amp;" "&amp;M222&amp;" "&amp;N222&amp;" "&amp;T222)))),"PRIVATE_REVIEW","PUBLIC_CANDIDATE"))</x:f>
        <x:v>PUBLIC_CANDIDATE</x:v>
      </x:c>
      <x:c r="AD222" s="12" t="str">
        <x:f>IF(AC222="PRIVATE_QUARANTINE","hacker_or_bank_trigger",IF(AC222="PRIVATE_REVIEW","finance_risk_trigger","none"))</x:f>
        <x:v>none</x:v>
      </x:c>
      <x:c r="AE222" s="12" t="str">
        <x:f>IF(AC222="PUBLIC_CANDIDATE","prepare_public_github_candidate",IF(AC222="PRIVATE_REVIEW","hold_for_private_review","quarantine_private_do_not_publish"))</x:f>
        <x:v>prepare_public_github_candidate</x:v>
      </x:c>
      <x:c r="AF222" s="12" t="str">
        <x:f>IF(AC222="PUBLIC_CANDIDATE","TIDELOCK + Lucerna",IF(AC222="PRIVATE_REVIEW","AtlasBrain + Lucerna","TIDELOCK + Lucerna + Human-root"))</x:f>
        <x:v>TIDELOCK + Lucerna</x:v>
      </x:c>
      <x:c r="AG222" s="12" t="str">
        <x:f>IF(AND(AC222="PUBLIC_CANDIDATE",U222&lt;&gt;"BLOCKED_PENDING_RECEIPT"),"READY_AFTER_RECEIPT","NOT_READY")</x:f>
        <x:v>NOT_READY</x:v>
      </x:c>
      <x:c r="AH222" s="12" t="str">
        <x:f>IF(AC222="PUBLIC_CANDIDATE","none",AD222)</x:f>
        <x:v>none</x:v>
      </x:c>
      <x:c r="AI222" s="12" t="str">
        <x:f>IF(AC222="PUBLIC_CANDIDATE","archive/public_candidates/"&amp;A222,"private_quarantine/"&amp;A222)</x:f>
        <x:v>archive/public_candidates/SWARM-02-H07-S05</x:v>
      </x:c>
      <x:c r="AJ222" s="12" t="str">
        <x:f>IF(AC222="PUBLIC_CANDIDATE","public by default; still not canon","private/hold; do not publish")</x:f>
        <x:v>public by default; still not canon</x:v>
      </x:c>
      <x:c r="AK222" s="12" t="str">
        <x:f>IF(AE222="prepare_public_github_candidate","add receipt/status then mirror","resolve blocker before any public GitHub action")</x:f>
        <x:v>add receipt/status then mirror</x:v>
      </x:c>
    </x:row>
    <x:row r="223">
      <x:c r="A223" s="15" t="str">
        <x:v>SWARM-02-H07-S06</x:v>
      </x:c>
      <x:c r="B223" s="15" t="str">
        <x:v>Hashlight</x:v>
      </x:c>
      <x:c r="C223" s="15" t="str">
        <x:v>Hash and identity keeper</x:v>
      </x:c>
      <x:c r="D223" s="15" t="str">
        <x:v>Graph Node Proposals</x:v>
      </x:c>
      <x:c r="E223" s="15" t="str">
        <x:v>External Web</x:v>
      </x:c>
      <x:c r="F223" s="15" t="str">
        <x:v>Propose graph nodes for External Web — Hashlight</x:v>
      </x:c>
      <x:c r="G223" s="15" t="str">
        <x:v>ids / hashes / timestamps / duplicate control</x:v>
      </x:c>
      <x:c r="H223" s="15" t="str">
        <x:v>source path + receipt + raw/export status + claim/edge/risk delta</x:v>
      </x:c>
      <x:c r="I223" s="15" t="str">
        <x:v>packet/SWARM-02-H07-S06</x:v>
      </x:c>
      <x:c r="J223" s="15" t="str">
        <x:v>TODO</x:v>
      </x:c>
      <x:c r="K223" s="15" t="str">
        <x:v>P1</x:v>
      </x:c>
      <x:c r="L223" s="15" t="str">
        <x:v>Done only when evidence is logged, contradiction search is noted, and boundary stamp remains non-canon unless ratified</x:v>
      </x:c>
      <x:c r="M223" s="15" t="str">
        <x:v>candidate / staging-only / not canon / not deployed / authority none</x:v>
      </x:c>
      <x:c r="N223" s="15" t="str">
        <x:v>Dispatch to Hashlight: complete Graph Node Proposals x External Web; return deltas only, receipts required.</x:v>
      </x:c>
      <x:c r="O223" s="15" t="str">
        <x:v>AF-KG-H07-S06</x:v>
      </x:c>
      <x:c r="P223" s="15" t="str">
        <x:v>Unverified</x:v>
      </x:c>
      <x:c r="Q223" s="15" t="str">
        <x:v>Not checked</x:v>
      </x:c>
      <x:c r="R223" s="15" t="str"/>
      <x:c r="S223" s="15" t="str"/>
      <x:c r="T223" s="15" t="str">
        <x:v>Log first source path or blocker</x:v>
      </x:c>
      <x:c r="U223" s="12" t="str">
        <x:f>IF(OR(P223="Unverified",Q223="Not checked"),"BLOCKED_PENDING_RECEIPT","READY_FOR_REVIEW")</x:f>
        <x:v>BLOCKED_PENDING_RECEIPT</x:v>
      </x:c>
      <x:c r="V223" s="12" t="str">
        <x:f>IF(J223="DONE","RETURNED",IF(U223="BLOCKED_PENDING_RECEIPT","SOURCE_TOUCH_REQUIRED","IN_PROGRESS"))</x:f>
        <x:v>SOURCE_TOUCH_REQUIRED</x:v>
      </x:c>
      <x:c r="W223" s="12" t="str">
        <x:f>IF(P223="Unverified","missing_receipt","receipt_logged")</x:f>
        <x:v>missing_receipt</x:v>
      </x:c>
      <x:c r="X223" s="12" t="str">
        <x:f>IF(Q223="Not checked","raw_status_missing","raw_status_logged")</x:f>
        <x:v>raw_status_missing</x:v>
      </x:c>
      <x:c r="Y223" s="12" t="str">
        <x:f>IF(U223="BLOCKED_PENDING_RECEIPT","Log source path or blocker; do not promote","Route to review lane")</x:f>
        <x:v>Log source path or blocker; do not promote</x:v>
      </x:c>
      <x:c r="Z223" s="12" t="str">
        <x:f>IF(K223="P0","Primary seat + Hashlight/Lucerna","Seat lane")</x:f>
        <x:v>Seat lane</x:v>
      </x:c>
      <x:c r="AA223" s="12" t="str">
        <x:f>IF(R223="","no_claim_delta","claim_delta_present")</x:f>
        <x:v>no_claim_delta</x:v>
      </x:c>
      <x:c r="AB223" s="12" t="str">
        <x:f>IF(S223="","no_contradiction_delta","contradiction_delta_present")</x:f>
        <x:v>no_contradiction_delta</x:v>
      </x:c>
      <x:c r="AC223" s="12" t="str">
        <x:f>IF(OR(ISNUMBER(SEARCH("hacker",LOWER(F223&amp;" "&amp;H223&amp;" "&amp;I223&amp;" "&amp;M223&amp;" "&amp;N223&amp;" "&amp;T223))),ISNUMBER(SEARCH("hacking",LOWER(F223&amp;" "&amp;H223&amp;" "&amp;I223&amp;" "&amp;M223&amp;" "&amp;N223&amp;" "&amp;T223))),ISNUMBER(SEARCH("bank",LOWER(F223&amp;" "&amp;H223&amp;" "&amp;I223&amp;" "&amp;M223&amp;" "&amp;N223&amp;" "&amp;T223))),ISNUMBER(SEARCH("banking",LOWER(F223&amp;" "&amp;H223&amp;" "&amp;I223&amp;" "&amp;M223&amp;" "&amp;N223&amp;" "&amp;T223)))),"PRIVATE_QUARANTINE",IF(OR(ISNUMBER(SEARCH("treasury",LOWER(F223&amp;" "&amp;H223&amp;" "&amp;I223&amp;" "&amp;M223&amp;" "&amp;N223&amp;" "&amp;T223))),ISNUMBER(SEARCH("debt",LOWER(F223&amp;" "&amp;H223&amp;" "&amp;I223&amp;" "&amp;M223&amp;" "&amp;N223&amp;" "&amp;T223))),ISNUMBER(SEARCH("bond",LOWER(F223&amp;" "&amp;H223&amp;" "&amp;I223&amp;" "&amp;M223&amp;" "&amp;N223&amp;" "&amp;T223))),ISNUMBER(SEARCH("transaction",LOWER(F223&amp;" "&amp;H223&amp;" "&amp;I223&amp;" "&amp;M223&amp;" "&amp;N223&amp;" "&amp;T223)))),"PRIVATE_REVIEW","PUBLIC_CANDIDATE"))</x:f>
        <x:v>PUBLIC_CANDIDATE</x:v>
      </x:c>
      <x:c r="AD223" s="12" t="str">
        <x:f>IF(AC223="PRIVATE_QUARANTINE","hacker_or_bank_trigger",IF(AC223="PRIVATE_REVIEW","finance_risk_trigger","none"))</x:f>
        <x:v>none</x:v>
      </x:c>
      <x:c r="AE223" s="12" t="str">
        <x:f>IF(AC223="PUBLIC_CANDIDATE","prepare_public_github_candidate",IF(AC223="PRIVATE_REVIEW","hold_for_private_review","quarantine_private_do_not_publish"))</x:f>
        <x:v>prepare_public_github_candidate</x:v>
      </x:c>
      <x:c r="AF223" s="12" t="str">
        <x:f>IF(AC223="PUBLIC_CANDIDATE","TIDELOCK + Lucerna",IF(AC223="PRIVATE_REVIEW","AtlasBrain + Lucerna","TIDELOCK + Lucerna + Human-root"))</x:f>
        <x:v>TIDELOCK + Lucerna</x:v>
      </x:c>
      <x:c r="AG223" s="12" t="str">
        <x:f>IF(AND(AC223="PUBLIC_CANDIDATE",U223&lt;&gt;"BLOCKED_PENDING_RECEIPT"),"READY_AFTER_RECEIPT","NOT_READY")</x:f>
        <x:v>NOT_READY</x:v>
      </x:c>
      <x:c r="AH223" s="12" t="str">
        <x:f>IF(AC223="PUBLIC_CANDIDATE","none",AD223)</x:f>
        <x:v>none</x:v>
      </x:c>
      <x:c r="AI223" s="12" t="str">
        <x:f>IF(AC223="PUBLIC_CANDIDATE","archive/public_candidates/"&amp;A223,"private_quarantine/"&amp;A223)</x:f>
        <x:v>archive/public_candidates/SWARM-02-H07-S06</x:v>
      </x:c>
      <x:c r="AJ223" s="12" t="str">
        <x:f>IF(AC223="PUBLIC_CANDIDATE","public by default; still not canon","private/hold; do not publish")</x:f>
        <x:v>public by default; still not canon</x:v>
      </x:c>
      <x:c r="AK223" s="12" t="str">
        <x:f>IF(AE223="prepare_public_github_candidate","add receipt/status then mirror","resolve blocker before any public GitHub action")</x:f>
        <x:v>add receipt/status then mirror</x:v>
      </x:c>
    </x:row>
    <x:row r="224">
      <x:c r="A224" s="15" t="str">
        <x:v>SWARM-02-H07-S07</x:v>
      </x:c>
      <x:c r="B224" s="15" t="str">
        <x:v>Hashlight</x:v>
      </x:c>
      <x:c r="C224" s="15" t="str">
        <x:v>Hash and identity keeper</x:v>
      </x:c>
      <x:c r="D224" s="15" t="str">
        <x:v>Graph Node Proposals</x:v>
      </x:c>
      <x:c r="E224" s="15" t="str">
        <x:v>Planetarium</x:v>
      </x:c>
      <x:c r="F224" s="15" t="str">
        <x:v>Propose graph nodes for Planetarium — Hashlight</x:v>
      </x:c>
      <x:c r="G224" s="15" t="str">
        <x:v>ids / hashes / timestamps / duplicate control</x:v>
      </x:c>
      <x:c r="H224" s="15" t="str">
        <x:v>source path + receipt + raw/export status + claim/edge/risk delta</x:v>
      </x:c>
      <x:c r="I224" s="15" t="str">
        <x:v>packet/SWARM-02-H07-S07</x:v>
      </x:c>
      <x:c r="J224" s="15" t="str">
        <x:v>TODO</x:v>
      </x:c>
      <x:c r="K224" s="15" t="str">
        <x:v>P1</x:v>
      </x:c>
      <x:c r="L224" s="15" t="str">
        <x:v>Done only when evidence is logged, contradiction search is noted, and boundary stamp remains non-canon unless ratified</x:v>
      </x:c>
      <x:c r="M224" s="15" t="str">
        <x:v>candidate / staging-only / not canon / not deployed / authority none</x:v>
      </x:c>
      <x:c r="N224" s="15" t="str">
        <x:v>Dispatch to Hashlight: complete Graph Node Proposals x Planetarium; return deltas only, receipts required.</x:v>
      </x:c>
      <x:c r="O224" s="15" t="str">
        <x:v>AF-KG-H07-S07</x:v>
      </x:c>
      <x:c r="P224" s="15" t="str">
        <x:v>Unverified</x:v>
      </x:c>
      <x:c r="Q224" s="15" t="str">
        <x:v>Not checked</x:v>
      </x:c>
      <x:c r="R224" s="15" t="str"/>
      <x:c r="S224" s="15" t="str"/>
      <x:c r="T224" s="15" t="str">
        <x:v>Log first source path or blocker</x:v>
      </x:c>
      <x:c r="U224" s="12" t="str">
        <x:f>IF(OR(P224="Unverified",Q224="Not checked"),"BLOCKED_PENDING_RECEIPT","READY_FOR_REVIEW")</x:f>
        <x:v>BLOCKED_PENDING_RECEIPT</x:v>
      </x:c>
      <x:c r="V224" s="12" t="str">
        <x:f>IF(J224="DONE","RETURNED",IF(U224="BLOCKED_PENDING_RECEIPT","SOURCE_TOUCH_REQUIRED","IN_PROGRESS"))</x:f>
        <x:v>SOURCE_TOUCH_REQUIRED</x:v>
      </x:c>
      <x:c r="W224" s="12" t="str">
        <x:f>IF(P224="Unverified","missing_receipt","receipt_logged")</x:f>
        <x:v>missing_receipt</x:v>
      </x:c>
      <x:c r="X224" s="12" t="str">
        <x:f>IF(Q224="Not checked","raw_status_missing","raw_status_logged")</x:f>
        <x:v>raw_status_missing</x:v>
      </x:c>
      <x:c r="Y224" s="12" t="str">
        <x:f>IF(U224="BLOCKED_PENDING_RECEIPT","Log source path or blocker; do not promote","Route to review lane")</x:f>
        <x:v>Log source path or blocker; do not promote</x:v>
      </x:c>
      <x:c r="Z224" s="12" t="str">
        <x:f>IF(K224="P0","Primary seat + Hashlight/Lucerna","Seat lane")</x:f>
        <x:v>Seat lane</x:v>
      </x:c>
      <x:c r="AA224" s="12" t="str">
        <x:f>IF(R224="","no_claim_delta","claim_delta_present")</x:f>
        <x:v>no_claim_delta</x:v>
      </x:c>
      <x:c r="AB224" s="12" t="str">
        <x:f>IF(S224="","no_contradiction_delta","contradiction_delta_present")</x:f>
        <x:v>no_contradiction_delta</x:v>
      </x:c>
      <x:c r="AC224" s="12" t="str">
        <x:f>IF(OR(ISNUMBER(SEARCH("hacker",LOWER(F224&amp;" "&amp;H224&amp;" "&amp;I224&amp;" "&amp;M224&amp;" "&amp;N224&amp;" "&amp;T224))),ISNUMBER(SEARCH("hacking",LOWER(F224&amp;" "&amp;H224&amp;" "&amp;I224&amp;" "&amp;M224&amp;" "&amp;N224&amp;" "&amp;T224))),ISNUMBER(SEARCH("bank",LOWER(F224&amp;" "&amp;H224&amp;" "&amp;I224&amp;" "&amp;M224&amp;" "&amp;N224&amp;" "&amp;T224))),ISNUMBER(SEARCH("banking",LOWER(F224&amp;" "&amp;H224&amp;" "&amp;I224&amp;" "&amp;M224&amp;" "&amp;N224&amp;" "&amp;T224)))),"PRIVATE_QUARANTINE",IF(OR(ISNUMBER(SEARCH("treasury",LOWER(F224&amp;" "&amp;H224&amp;" "&amp;I224&amp;" "&amp;M224&amp;" "&amp;N224&amp;" "&amp;T224))),ISNUMBER(SEARCH("debt",LOWER(F224&amp;" "&amp;H224&amp;" "&amp;I224&amp;" "&amp;M224&amp;" "&amp;N224&amp;" "&amp;T224))),ISNUMBER(SEARCH("bond",LOWER(F224&amp;" "&amp;H224&amp;" "&amp;I224&amp;" "&amp;M224&amp;" "&amp;N224&amp;" "&amp;T224))),ISNUMBER(SEARCH("transaction",LOWER(F224&amp;" "&amp;H224&amp;" "&amp;I224&amp;" "&amp;M224&amp;" "&amp;N224&amp;" "&amp;T224)))),"PRIVATE_REVIEW","PUBLIC_CANDIDATE"))</x:f>
        <x:v>PUBLIC_CANDIDATE</x:v>
      </x:c>
      <x:c r="AD224" s="12" t="str">
        <x:f>IF(AC224="PRIVATE_QUARANTINE","hacker_or_bank_trigger",IF(AC224="PRIVATE_REVIEW","finance_risk_trigger","none"))</x:f>
        <x:v>none</x:v>
      </x:c>
      <x:c r="AE224" s="12" t="str">
        <x:f>IF(AC224="PUBLIC_CANDIDATE","prepare_public_github_candidate",IF(AC224="PRIVATE_REVIEW","hold_for_private_review","quarantine_private_do_not_publish"))</x:f>
        <x:v>prepare_public_github_candidate</x:v>
      </x:c>
      <x:c r="AF224" s="12" t="str">
        <x:f>IF(AC224="PUBLIC_CANDIDATE","TIDELOCK + Lucerna",IF(AC224="PRIVATE_REVIEW","AtlasBrain + Lucerna","TIDELOCK + Lucerna + Human-root"))</x:f>
        <x:v>TIDELOCK + Lucerna</x:v>
      </x:c>
      <x:c r="AG224" s="12" t="str">
        <x:f>IF(AND(AC224="PUBLIC_CANDIDATE",U224&lt;&gt;"BLOCKED_PENDING_RECEIPT"),"READY_AFTER_RECEIPT","NOT_READY")</x:f>
        <x:v>NOT_READY</x:v>
      </x:c>
      <x:c r="AH224" s="12" t="str">
        <x:f>IF(AC224="PUBLIC_CANDIDATE","none",AD224)</x:f>
        <x:v>none</x:v>
      </x:c>
      <x:c r="AI224" s="12" t="str">
        <x:f>IF(AC224="PUBLIC_CANDIDATE","archive/public_candidates/"&amp;A224,"private_quarantine/"&amp;A224)</x:f>
        <x:v>archive/public_candidates/SWARM-02-H07-S07</x:v>
      </x:c>
      <x:c r="AJ224" s="12" t="str">
        <x:f>IF(AC224="PUBLIC_CANDIDATE","public by default; still not canon","private/hold; do not publish")</x:f>
        <x:v>public by default; still not canon</x:v>
      </x:c>
      <x:c r="AK224" s="12" t="str">
        <x:f>IF(AE224="prepare_public_github_candidate","add receipt/status then mirror","resolve blocker before any public GitHub action")</x:f>
        <x:v>add receipt/status then mirror</x:v>
      </x:c>
    </x:row>
    <x:row r="225">
      <x:c r="A225" s="15" t="str">
        <x:v>SWARM-02-H07-S08</x:v>
      </x:c>
      <x:c r="B225" s="15" t="str">
        <x:v>Hashlight</x:v>
      </x:c>
      <x:c r="C225" s="15" t="str">
        <x:v>Hash and identity keeper</x:v>
      </x:c>
      <x:c r="D225" s="15" t="str">
        <x:v>Graph Node Proposals</x:v>
      </x:c>
      <x:c r="E225" s="15" t="str">
        <x:v>Sheldonbrain</x:v>
      </x:c>
      <x:c r="F225" s="15" t="str">
        <x:v>Propose graph nodes for Sheldonbrain — Hashlight</x:v>
      </x:c>
      <x:c r="G225" s="15" t="str">
        <x:v>ids / hashes / timestamps / duplicate control</x:v>
      </x:c>
      <x:c r="H225" s="15" t="str">
        <x:v>source path + receipt + raw/export status + claim/edge/risk delta</x:v>
      </x:c>
      <x:c r="I225" s="15" t="str">
        <x:v>packet/SWARM-02-H07-S08</x:v>
      </x:c>
      <x:c r="J225" s="15" t="str">
        <x:v>TODO</x:v>
      </x:c>
      <x:c r="K225" s="15" t="str">
        <x:v>P1</x:v>
      </x:c>
      <x:c r="L225" s="15" t="str">
        <x:v>Done only when evidence is logged, contradiction search is noted, and boundary stamp remains non-canon unless ratified</x:v>
      </x:c>
      <x:c r="M225" s="15" t="str">
        <x:v>candidate / staging-only / not canon / not deployed / authority none</x:v>
      </x:c>
      <x:c r="N225" s="15" t="str">
        <x:v>Dispatch to Hashlight: complete Graph Node Proposals x Sheldonbrain; return deltas only, receipts required.</x:v>
      </x:c>
      <x:c r="O225" s="15" t="str">
        <x:v>AF-KG-H07-S08</x:v>
      </x:c>
      <x:c r="P225" s="15" t="str">
        <x:v>Unverified</x:v>
      </x:c>
      <x:c r="Q225" s="15" t="str">
        <x:v>Not checked</x:v>
      </x:c>
      <x:c r="R225" s="15" t="str"/>
      <x:c r="S225" s="15" t="str"/>
      <x:c r="T225" s="15" t="str">
        <x:v>Log first source path or blocker</x:v>
      </x:c>
      <x:c r="U225" s="12" t="str">
        <x:f>IF(OR(P225="Unverified",Q225="Not checked"),"BLOCKED_PENDING_RECEIPT","READY_FOR_REVIEW")</x:f>
        <x:v>BLOCKED_PENDING_RECEIPT</x:v>
      </x:c>
      <x:c r="V225" s="12" t="str">
        <x:f>IF(J225="DONE","RETURNED",IF(U225="BLOCKED_PENDING_RECEIPT","SOURCE_TOUCH_REQUIRED","IN_PROGRESS"))</x:f>
        <x:v>SOURCE_TOUCH_REQUIRED</x:v>
      </x:c>
      <x:c r="W225" s="12" t="str">
        <x:f>IF(P225="Unverified","missing_receipt","receipt_logged")</x:f>
        <x:v>missing_receipt</x:v>
      </x:c>
      <x:c r="X225" s="12" t="str">
        <x:f>IF(Q225="Not checked","raw_status_missing","raw_status_logged")</x:f>
        <x:v>raw_status_missing</x:v>
      </x:c>
      <x:c r="Y225" s="12" t="str">
        <x:f>IF(U225="BLOCKED_PENDING_RECEIPT","Log source path or blocker; do not promote","Route to review lane")</x:f>
        <x:v>Log source path or blocker; do not promote</x:v>
      </x:c>
      <x:c r="Z225" s="12" t="str">
        <x:f>IF(K225="P0","Primary seat + Hashlight/Lucerna","Seat lane")</x:f>
        <x:v>Seat lane</x:v>
      </x:c>
      <x:c r="AA225" s="12" t="str">
        <x:f>IF(R225="","no_claim_delta","claim_delta_present")</x:f>
        <x:v>no_claim_delta</x:v>
      </x:c>
      <x:c r="AB225" s="12" t="str">
        <x:f>IF(S225="","no_contradiction_delta","contradiction_delta_present")</x:f>
        <x:v>no_contradiction_delta</x:v>
      </x:c>
      <x:c r="AC225" s="12" t="str">
        <x:f>IF(OR(ISNUMBER(SEARCH("hacker",LOWER(F225&amp;" "&amp;H225&amp;" "&amp;I225&amp;" "&amp;M225&amp;" "&amp;N225&amp;" "&amp;T225))),ISNUMBER(SEARCH("hacking",LOWER(F225&amp;" "&amp;H225&amp;" "&amp;I225&amp;" "&amp;M225&amp;" "&amp;N225&amp;" "&amp;T225))),ISNUMBER(SEARCH("bank",LOWER(F225&amp;" "&amp;H225&amp;" "&amp;I225&amp;" "&amp;M225&amp;" "&amp;N225&amp;" "&amp;T225))),ISNUMBER(SEARCH("banking",LOWER(F225&amp;" "&amp;H225&amp;" "&amp;I225&amp;" "&amp;M225&amp;" "&amp;N225&amp;" "&amp;T225)))),"PRIVATE_QUARANTINE",IF(OR(ISNUMBER(SEARCH("treasury",LOWER(F225&amp;" "&amp;H225&amp;" "&amp;I225&amp;" "&amp;M225&amp;" "&amp;N225&amp;" "&amp;T225))),ISNUMBER(SEARCH("debt",LOWER(F225&amp;" "&amp;H225&amp;" "&amp;I225&amp;" "&amp;M225&amp;" "&amp;N225&amp;" "&amp;T225))),ISNUMBER(SEARCH("bond",LOWER(F225&amp;" "&amp;H225&amp;" "&amp;I225&amp;" "&amp;M225&amp;" "&amp;N225&amp;" "&amp;T225))),ISNUMBER(SEARCH("transaction",LOWER(F225&amp;" "&amp;H225&amp;" "&amp;I225&amp;" "&amp;M225&amp;" "&amp;N225&amp;" "&amp;T225)))),"PRIVATE_REVIEW","PUBLIC_CANDIDATE"))</x:f>
        <x:v>PUBLIC_CANDIDATE</x:v>
      </x:c>
      <x:c r="AD225" s="12" t="str">
        <x:f>IF(AC225="PRIVATE_QUARANTINE","hacker_or_bank_trigger",IF(AC225="PRIVATE_REVIEW","finance_risk_trigger","none"))</x:f>
        <x:v>none</x:v>
      </x:c>
      <x:c r="AE225" s="12" t="str">
        <x:f>IF(AC225="PUBLIC_CANDIDATE","prepare_public_github_candidate",IF(AC225="PRIVATE_REVIEW","hold_for_private_review","quarantine_private_do_not_publish"))</x:f>
        <x:v>prepare_public_github_candidate</x:v>
      </x:c>
      <x:c r="AF225" s="12" t="str">
        <x:f>IF(AC225="PUBLIC_CANDIDATE","TIDELOCK + Lucerna",IF(AC225="PRIVATE_REVIEW","AtlasBrain + Lucerna","TIDELOCK + Lucerna + Human-root"))</x:f>
        <x:v>TIDELOCK + Lucerna</x:v>
      </x:c>
      <x:c r="AG225" s="12" t="str">
        <x:f>IF(AND(AC225="PUBLIC_CANDIDATE",U225&lt;&gt;"BLOCKED_PENDING_RECEIPT"),"READY_AFTER_RECEIPT","NOT_READY")</x:f>
        <x:v>NOT_READY</x:v>
      </x:c>
      <x:c r="AH225" s="12" t="str">
        <x:f>IF(AC225="PUBLIC_CANDIDATE","none",AD225)</x:f>
        <x:v>none</x:v>
      </x:c>
      <x:c r="AI225" s="12" t="str">
        <x:f>IF(AC225="PUBLIC_CANDIDATE","archive/public_candidates/"&amp;A225,"private_quarantine/"&amp;A225)</x:f>
        <x:v>archive/public_candidates/SWARM-02-H07-S08</x:v>
      </x:c>
      <x:c r="AJ225" s="12" t="str">
        <x:f>IF(AC225="PUBLIC_CANDIDATE","public by default; still not canon","private/hold; do not publish")</x:f>
        <x:v>public by default; still not canon</x:v>
      </x:c>
      <x:c r="AK225" s="12" t="str">
        <x:f>IF(AE225="prepare_public_github_candidate","add receipt/status then mirror","resolve blocker before any public GitHub action")</x:f>
        <x:v>add receipt/status then mirror</x:v>
      </x:c>
    </x:row>
    <x:row r="226">
      <x:c r="A226" s="15" t="str">
        <x:v>SWARM-02-H07-S09</x:v>
      </x:c>
      <x:c r="B226" s="15" t="str">
        <x:v>Hashlight</x:v>
      </x:c>
      <x:c r="C226" s="15" t="str">
        <x:v>Hash and identity keeper</x:v>
      </x:c>
      <x:c r="D226" s="15" t="str">
        <x:v>Graph Node Proposals</x:v>
      </x:c>
      <x:c r="E226" s="15" t="str">
        <x:v>Aetherforge</x:v>
      </x:c>
      <x:c r="F226" s="15" t="str">
        <x:v>Propose graph nodes for Aetherforge — Hashlight</x:v>
      </x:c>
      <x:c r="G226" s="15" t="str">
        <x:v>ids / hashes / timestamps / duplicate control</x:v>
      </x:c>
      <x:c r="H226" s="15" t="str">
        <x:v>source path + receipt + raw/export status + claim/edge/risk delta</x:v>
      </x:c>
      <x:c r="I226" s="15" t="str">
        <x:v>packet/SWARM-02-H07-S09</x:v>
      </x:c>
      <x:c r="J226" s="15" t="str">
        <x:v>TODO</x:v>
      </x:c>
      <x:c r="K226" s="15" t="str">
        <x:v>P2</x:v>
      </x:c>
      <x:c r="L226" s="15" t="str">
        <x:v>Done only when evidence is logged, contradiction search is noted, and boundary stamp remains non-canon unless ratified</x:v>
      </x:c>
      <x:c r="M226" s="15" t="str">
        <x:v>candidate / staging-only / not canon / not deployed / authority none</x:v>
      </x:c>
      <x:c r="N226" s="15" t="str">
        <x:v>Dispatch to Hashlight: complete Graph Node Proposals x Aetherforge; return deltas only, receipts required.</x:v>
      </x:c>
      <x:c r="O226" s="15" t="str">
        <x:v>AF-KG-H07-S09</x:v>
      </x:c>
      <x:c r="P226" s="15" t="str">
        <x:v>Unverified</x:v>
      </x:c>
      <x:c r="Q226" s="15" t="str">
        <x:v>Not checked</x:v>
      </x:c>
      <x:c r="R226" s="15" t="str"/>
      <x:c r="S226" s="15" t="str"/>
      <x:c r="T226" s="15" t="str">
        <x:v>Log first source path or blocker</x:v>
      </x:c>
      <x:c r="U226" s="12" t="str">
        <x:f>IF(OR(P226="Unverified",Q226="Not checked"),"BLOCKED_PENDING_RECEIPT","READY_FOR_REVIEW")</x:f>
        <x:v>BLOCKED_PENDING_RECEIPT</x:v>
      </x:c>
      <x:c r="V226" s="12" t="str">
        <x:f>IF(J226="DONE","RETURNED",IF(U226="BLOCKED_PENDING_RECEIPT","SOURCE_TOUCH_REQUIRED","IN_PROGRESS"))</x:f>
        <x:v>SOURCE_TOUCH_REQUIRED</x:v>
      </x:c>
      <x:c r="W226" s="12" t="str">
        <x:f>IF(P226="Unverified","missing_receipt","receipt_logged")</x:f>
        <x:v>missing_receipt</x:v>
      </x:c>
      <x:c r="X226" s="12" t="str">
        <x:f>IF(Q226="Not checked","raw_status_missing","raw_status_logged")</x:f>
        <x:v>raw_status_missing</x:v>
      </x:c>
      <x:c r="Y226" s="12" t="str">
        <x:f>IF(U226="BLOCKED_PENDING_RECEIPT","Log source path or blocker; do not promote","Route to review lane")</x:f>
        <x:v>Log source path or blocker; do not promote</x:v>
      </x:c>
      <x:c r="Z226" s="12" t="str">
        <x:f>IF(K226="P0","Primary seat + Hashlight/Lucerna","Seat lane")</x:f>
        <x:v>Seat lane</x:v>
      </x:c>
      <x:c r="AA226" s="12" t="str">
        <x:f>IF(R226="","no_claim_delta","claim_delta_present")</x:f>
        <x:v>no_claim_delta</x:v>
      </x:c>
      <x:c r="AB226" s="12" t="str">
        <x:f>IF(S226="","no_contradiction_delta","contradiction_delta_present")</x:f>
        <x:v>no_contradiction_delta</x:v>
      </x:c>
      <x:c r="AC226" s="12" t="str">
        <x:f>IF(OR(ISNUMBER(SEARCH("hacker",LOWER(F226&amp;" "&amp;H226&amp;" "&amp;I226&amp;" "&amp;M226&amp;" "&amp;N226&amp;" "&amp;T226))),ISNUMBER(SEARCH("hacking",LOWER(F226&amp;" "&amp;H226&amp;" "&amp;I226&amp;" "&amp;M226&amp;" "&amp;N226&amp;" "&amp;T226))),ISNUMBER(SEARCH("bank",LOWER(F226&amp;" "&amp;H226&amp;" "&amp;I226&amp;" "&amp;M226&amp;" "&amp;N226&amp;" "&amp;T226))),ISNUMBER(SEARCH("banking",LOWER(F226&amp;" "&amp;H226&amp;" "&amp;I226&amp;" "&amp;M226&amp;" "&amp;N226&amp;" "&amp;T226)))),"PRIVATE_QUARANTINE",IF(OR(ISNUMBER(SEARCH("treasury",LOWER(F226&amp;" "&amp;H226&amp;" "&amp;I226&amp;" "&amp;M226&amp;" "&amp;N226&amp;" "&amp;T226))),ISNUMBER(SEARCH("debt",LOWER(F226&amp;" "&amp;H226&amp;" "&amp;I226&amp;" "&amp;M226&amp;" "&amp;N226&amp;" "&amp;T226))),ISNUMBER(SEARCH("bond",LOWER(F226&amp;" "&amp;H226&amp;" "&amp;I226&amp;" "&amp;M226&amp;" "&amp;N226&amp;" "&amp;T226))),ISNUMBER(SEARCH("transaction",LOWER(F226&amp;" "&amp;H226&amp;" "&amp;I226&amp;" "&amp;M226&amp;" "&amp;N226&amp;" "&amp;T226)))),"PRIVATE_REVIEW","PUBLIC_CANDIDATE"))</x:f>
        <x:v>PUBLIC_CANDIDATE</x:v>
      </x:c>
      <x:c r="AD226" s="12" t="str">
        <x:f>IF(AC226="PRIVATE_QUARANTINE","hacker_or_bank_trigger",IF(AC226="PRIVATE_REVIEW","finance_risk_trigger","none"))</x:f>
        <x:v>none</x:v>
      </x:c>
      <x:c r="AE226" s="12" t="str">
        <x:f>IF(AC226="PUBLIC_CANDIDATE","prepare_public_github_candidate",IF(AC226="PRIVATE_REVIEW","hold_for_private_review","quarantine_private_do_not_publish"))</x:f>
        <x:v>prepare_public_github_candidate</x:v>
      </x:c>
      <x:c r="AF226" s="12" t="str">
        <x:f>IF(AC226="PUBLIC_CANDIDATE","TIDELOCK + Lucerna",IF(AC226="PRIVATE_REVIEW","AtlasBrain + Lucerna","TIDELOCK + Lucerna + Human-root"))</x:f>
        <x:v>TIDELOCK + Lucerna</x:v>
      </x:c>
      <x:c r="AG226" s="12" t="str">
        <x:f>IF(AND(AC226="PUBLIC_CANDIDATE",U226&lt;&gt;"BLOCKED_PENDING_RECEIPT"),"READY_AFTER_RECEIPT","NOT_READY")</x:f>
        <x:v>NOT_READY</x:v>
      </x:c>
      <x:c r="AH226" s="12" t="str">
        <x:f>IF(AC226="PUBLIC_CANDIDATE","none",AD226)</x:f>
        <x:v>none</x:v>
      </x:c>
      <x:c r="AI226" s="12" t="str">
        <x:f>IF(AC226="PUBLIC_CANDIDATE","archive/public_candidates/"&amp;A226,"private_quarantine/"&amp;A226)</x:f>
        <x:v>archive/public_candidates/SWARM-02-H07-S09</x:v>
      </x:c>
      <x:c r="AJ226" s="12" t="str">
        <x:f>IF(AC226="PUBLIC_CANDIDATE","public by default; still not canon","private/hold; do not publish")</x:f>
        <x:v>public by default; still not canon</x:v>
      </x:c>
      <x:c r="AK226" s="12" t="str">
        <x:f>IF(AE226="prepare_public_github_candidate","add receipt/status then mirror","resolve blocker before any public GitHub action")</x:f>
        <x:v>add receipt/status then mirror</x:v>
      </x:c>
    </x:row>
    <x:row r="227">
      <x:c r="A227" s="15" t="str">
        <x:v>SWARM-02-H07-S10</x:v>
      </x:c>
      <x:c r="B227" s="15" t="str">
        <x:v>Hashlight</x:v>
      </x:c>
      <x:c r="C227" s="15" t="str">
        <x:v>Hash and identity keeper</x:v>
      </x:c>
      <x:c r="D227" s="15" t="str">
        <x:v>Graph Node Proposals</x:v>
      </x:c>
      <x:c r="E227" s="15" t="str">
        <x:v>Human-Root</x:v>
      </x:c>
      <x:c r="F227" s="15" t="str">
        <x:v>Propose graph nodes for Human-Root — Hashlight</x:v>
      </x:c>
      <x:c r="G227" s="15" t="str">
        <x:v>ids / hashes / timestamps / duplicate control</x:v>
      </x:c>
      <x:c r="H227" s="15" t="str">
        <x:v>source path + receipt + raw/export status + claim/edge/risk delta</x:v>
      </x:c>
      <x:c r="I227" s="15" t="str">
        <x:v>packet/SWARM-02-H07-S10</x:v>
      </x:c>
      <x:c r="J227" s="15" t="str">
        <x:v>TODO</x:v>
      </x:c>
      <x:c r="K227" s="15" t="str">
        <x:v>P2</x:v>
      </x:c>
      <x:c r="L227" s="15" t="str">
        <x:v>Done only when evidence is logged, contradiction search is noted, and boundary stamp remains non-canon unless ratified</x:v>
      </x:c>
      <x:c r="M227" s="15" t="str">
        <x:v>candidate / staging-only / not canon / not deployed / authority none</x:v>
      </x:c>
      <x:c r="N227" s="15" t="str">
        <x:v>Dispatch to Hashlight: complete Graph Node Proposals x Human-Root; return deltas only, receipts required.</x:v>
      </x:c>
      <x:c r="O227" s="15" t="str">
        <x:v>AF-KG-H07-S10</x:v>
      </x:c>
      <x:c r="P227" s="15" t="str">
        <x:v>Unverified</x:v>
      </x:c>
      <x:c r="Q227" s="15" t="str">
        <x:v>Not checked</x:v>
      </x:c>
      <x:c r="R227" s="15" t="str"/>
      <x:c r="S227" s="15" t="str"/>
      <x:c r="T227" s="15" t="str">
        <x:v>Log first source path or blocker</x:v>
      </x:c>
      <x:c r="U227" s="12" t="str">
        <x:f>IF(OR(P227="Unverified",Q227="Not checked"),"BLOCKED_PENDING_RECEIPT","READY_FOR_REVIEW")</x:f>
        <x:v>BLOCKED_PENDING_RECEIPT</x:v>
      </x:c>
      <x:c r="V227" s="12" t="str">
        <x:f>IF(J227="DONE","RETURNED",IF(U227="BLOCKED_PENDING_RECEIPT","SOURCE_TOUCH_REQUIRED","IN_PROGRESS"))</x:f>
        <x:v>SOURCE_TOUCH_REQUIRED</x:v>
      </x:c>
      <x:c r="W227" s="12" t="str">
        <x:f>IF(P227="Unverified","missing_receipt","receipt_logged")</x:f>
        <x:v>missing_receipt</x:v>
      </x:c>
      <x:c r="X227" s="12" t="str">
        <x:f>IF(Q227="Not checked","raw_status_missing","raw_status_logged")</x:f>
        <x:v>raw_status_missing</x:v>
      </x:c>
      <x:c r="Y227" s="12" t="str">
        <x:f>IF(U227="BLOCKED_PENDING_RECEIPT","Log source path or blocker; do not promote","Route to review lane")</x:f>
        <x:v>Log source path or blocker; do not promote</x:v>
      </x:c>
      <x:c r="Z227" s="12" t="str">
        <x:f>IF(K227="P0","Primary seat + Hashlight/Lucerna","Seat lane")</x:f>
        <x:v>Seat lane</x:v>
      </x:c>
      <x:c r="AA227" s="12" t="str">
        <x:f>IF(R227="","no_claim_delta","claim_delta_present")</x:f>
        <x:v>no_claim_delta</x:v>
      </x:c>
      <x:c r="AB227" s="12" t="str">
        <x:f>IF(S227="","no_contradiction_delta","contradiction_delta_present")</x:f>
        <x:v>no_contradiction_delta</x:v>
      </x:c>
      <x:c r="AC227" s="12" t="str">
        <x:f>IF(OR(ISNUMBER(SEARCH("hacker",LOWER(F227&amp;" "&amp;H227&amp;" "&amp;I227&amp;" "&amp;M227&amp;" "&amp;N227&amp;" "&amp;T227))),ISNUMBER(SEARCH("hacking",LOWER(F227&amp;" "&amp;H227&amp;" "&amp;I227&amp;" "&amp;M227&amp;" "&amp;N227&amp;" "&amp;T227))),ISNUMBER(SEARCH("bank",LOWER(F227&amp;" "&amp;H227&amp;" "&amp;I227&amp;" "&amp;M227&amp;" "&amp;N227&amp;" "&amp;T227))),ISNUMBER(SEARCH("banking",LOWER(F227&amp;" "&amp;H227&amp;" "&amp;I227&amp;" "&amp;M227&amp;" "&amp;N227&amp;" "&amp;T227)))),"PRIVATE_QUARANTINE",IF(OR(ISNUMBER(SEARCH("treasury",LOWER(F227&amp;" "&amp;H227&amp;" "&amp;I227&amp;" "&amp;M227&amp;" "&amp;N227&amp;" "&amp;T227))),ISNUMBER(SEARCH("debt",LOWER(F227&amp;" "&amp;H227&amp;" "&amp;I227&amp;" "&amp;M227&amp;" "&amp;N227&amp;" "&amp;T227))),ISNUMBER(SEARCH("bond",LOWER(F227&amp;" "&amp;H227&amp;" "&amp;I227&amp;" "&amp;M227&amp;" "&amp;N227&amp;" "&amp;T227))),ISNUMBER(SEARCH("transaction",LOWER(F227&amp;" "&amp;H227&amp;" "&amp;I227&amp;" "&amp;M227&amp;" "&amp;N227&amp;" "&amp;T227)))),"PRIVATE_REVIEW","PUBLIC_CANDIDATE"))</x:f>
        <x:v>PUBLIC_CANDIDATE</x:v>
      </x:c>
      <x:c r="AD227" s="12" t="str">
        <x:f>IF(AC227="PRIVATE_QUARANTINE","hacker_or_bank_trigger",IF(AC227="PRIVATE_REVIEW","finance_risk_trigger","none"))</x:f>
        <x:v>none</x:v>
      </x:c>
      <x:c r="AE227" s="12" t="str">
        <x:f>IF(AC227="PUBLIC_CANDIDATE","prepare_public_github_candidate",IF(AC227="PRIVATE_REVIEW","hold_for_private_review","quarantine_private_do_not_publish"))</x:f>
        <x:v>prepare_public_github_candidate</x:v>
      </x:c>
      <x:c r="AF227" s="12" t="str">
        <x:f>IF(AC227="PUBLIC_CANDIDATE","TIDELOCK + Lucerna",IF(AC227="PRIVATE_REVIEW","AtlasBrain + Lucerna","TIDELOCK + Lucerna + Human-root"))</x:f>
        <x:v>TIDELOCK + Lucerna</x:v>
      </x:c>
      <x:c r="AG227" s="12" t="str">
        <x:f>IF(AND(AC227="PUBLIC_CANDIDATE",U227&lt;&gt;"BLOCKED_PENDING_RECEIPT"),"READY_AFTER_RECEIPT","NOT_READY")</x:f>
        <x:v>NOT_READY</x:v>
      </x:c>
      <x:c r="AH227" s="12" t="str">
        <x:f>IF(AC227="PUBLIC_CANDIDATE","none",AD227)</x:f>
        <x:v>none</x:v>
      </x:c>
      <x:c r="AI227" s="12" t="str">
        <x:f>IF(AC227="PUBLIC_CANDIDATE","archive/public_candidates/"&amp;A227,"private_quarantine/"&amp;A227)</x:f>
        <x:v>archive/public_candidates/SWARM-02-H07-S10</x:v>
      </x:c>
      <x:c r="AJ227" s="12" t="str">
        <x:f>IF(AC227="PUBLIC_CANDIDATE","public by default; still not canon","private/hold; do not publish")</x:f>
        <x:v>public by default; still not canon</x:v>
      </x:c>
      <x:c r="AK227" s="12" t="str">
        <x:f>IF(AE227="prepare_public_github_candidate","add receipt/status then mirror","resolve blocker before any public GitHub action")</x:f>
        <x:v>add receipt/status then mirror</x:v>
      </x:c>
    </x:row>
    <x:row r="228">
      <x:c r="A228" s="15" t="str">
        <x:v>SWARM-02-H07-S11</x:v>
      </x:c>
      <x:c r="B228" s="15" t="str">
        <x:v>Hashlight</x:v>
      </x:c>
      <x:c r="C228" s="15" t="str">
        <x:v>Hash and identity keeper</x:v>
      </x:c>
      <x:c r="D228" s="15" t="str">
        <x:v>Graph Node Proposals</x:v>
      </x:c>
      <x:c r="E228" s="15" t="str">
        <x:v>Automation</x:v>
      </x:c>
      <x:c r="F228" s="15" t="str">
        <x:v>Propose graph nodes for Automation — Hashlight</x:v>
      </x:c>
      <x:c r="G228" s="15" t="str">
        <x:v>ids / hashes / timestamps / duplicate control</x:v>
      </x:c>
      <x:c r="H228" s="15" t="str">
        <x:v>source path + receipt + raw/export status + claim/edge/risk delta</x:v>
      </x:c>
      <x:c r="I228" s="15" t="str">
        <x:v>packet/SWARM-02-H07-S11</x:v>
      </x:c>
      <x:c r="J228" s="15" t="str">
        <x:v>TODO</x:v>
      </x:c>
      <x:c r="K228" s="15" t="str">
        <x:v>P2</x:v>
      </x:c>
      <x:c r="L228" s="15" t="str">
        <x:v>Done only when evidence is logged, contradiction search is noted, and boundary stamp remains non-canon unless ratified</x:v>
      </x:c>
      <x:c r="M228" s="15" t="str">
        <x:v>candidate / staging-only / not canon / not deployed / authority none</x:v>
      </x:c>
      <x:c r="N228" s="15" t="str">
        <x:v>Dispatch to Hashlight: complete Graph Node Proposals x Automation; return deltas only, receipts required.</x:v>
      </x:c>
      <x:c r="O228" s="15" t="str">
        <x:v>AF-KG-H07-S11</x:v>
      </x:c>
      <x:c r="P228" s="15" t="str">
        <x:v>Unverified</x:v>
      </x:c>
      <x:c r="Q228" s="15" t="str">
        <x:v>Not checked</x:v>
      </x:c>
      <x:c r="R228" s="15" t="str"/>
      <x:c r="S228" s="15" t="str"/>
      <x:c r="T228" s="15" t="str">
        <x:v>Log first source path or blocker</x:v>
      </x:c>
      <x:c r="U228" s="12" t="str">
        <x:f>IF(OR(P228="Unverified",Q228="Not checked"),"BLOCKED_PENDING_RECEIPT","READY_FOR_REVIEW")</x:f>
        <x:v>BLOCKED_PENDING_RECEIPT</x:v>
      </x:c>
      <x:c r="V228" s="12" t="str">
        <x:f>IF(J228="DONE","RETURNED",IF(U228="BLOCKED_PENDING_RECEIPT","SOURCE_TOUCH_REQUIRED","IN_PROGRESS"))</x:f>
        <x:v>SOURCE_TOUCH_REQUIRED</x:v>
      </x:c>
      <x:c r="W228" s="12" t="str">
        <x:f>IF(P228="Unverified","missing_receipt","receipt_logged")</x:f>
        <x:v>missing_receipt</x:v>
      </x:c>
      <x:c r="X228" s="12" t="str">
        <x:f>IF(Q228="Not checked","raw_status_missing","raw_status_logged")</x:f>
        <x:v>raw_status_missing</x:v>
      </x:c>
      <x:c r="Y228" s="12" t="str">
        <x:f>IF(U228="BLOCKED_PENDING_RECEIPT","Log source path or blocker; do not promote","Route to review lane")</x:f>
        <x:v>Log source path or blocker; do not promote</x:v>
      </x:c>
      <x:c r="Z228" s="12" t="str">
        <x:f>IF(K228="P0","Primary seat + Hashlight/Lucerna","Seat lane")</x:f>
        <x:v>Seat lane</x:v>
      </x:c>
      <x:c r="AA228" s="12" t="str">
        <x:f>IF(R228="","no_claim_delta","claim_delta_present")</x:f>
        <x:v>no_claim_delta</x:v>
      </x:c>
      <x:c r="AB228" s="12" t="str">
        <x:f>IF(S228="","no_contradiction_delta","contradiction_delta_present")</x:f>
        <x:v>no_contradiction_delta</x:v>
      </x:c>
      <x:c r="AC228" s="12" t="str">
        <x:f>IF(OR(ISNUMBER(SEARCH("hacker",LOWER(F228&amp;" "&amp;H228&amp;" "&amp;I228&amp;" "&amp;M228&amp;" "&amp;N228&amp;" "&amp;T228))),ISNUMBER(SEARCH("hacking",LOWER(F228&amp;" "&amp;H228&amp;" "&amp;I228&amp;" "&amp;M228&amp;" "&amp;N228&amp;" "&amp;T228))),ISNUMBER(SEARCH("bank",LOWER(F228&amp;" "&amp;H228&amp;" "&amp;I228&amp;" "&amp;M228&amp;" "&amp;N228&amp;" "&amp;T228))),ISNUMBER(SEARCH("banking",LOWER(F228&amp;" "&amp;H228&amp;" "&amp;I228&amp;" "&amp;M228&amp;" "&amp;N228&amp;" "&amp;T228)))),"PRIVATE_QUARANTINE",IF(OR(ISNUMBER(SEARCH("treasury",LOWER(F228&amp;" "&amp;H228&amp;" "&amp;I228&amp;" "&amp;M228&amp;" "&amp;N228&amp;" "&amp;T228))),ISNUMBER(SEARCH("debt",LOWER(F228&amp;" "&amp;H228&amp;" "&amp;I228&amp;" "&amp;M228&amp;" "&amp;N228&amp;" "&amp;T228))),ISNUMBER(SEARCH("bond",LOWER(F228&amp;" "&amp;H228&amp;" "&amp;I228&amp;" "&amp;M228&amp;" "&amp;N228&amp;" "&amp;T228))),ISNUMBER(SEARCH("transaction",LOWER(F228&amp;" "&amp;H228&amp;" "&amp;I228&amp;" "&amp;M228&amp;" "&amp;N228&amp;" "&amp;T228)))),"PRIVATE_REVIEW","PUBLIC_CANDIDATE"))</x:f>
        <x:v>PUBLIC_CANDIDATE</x:v>
      </x:c>
      <x:c r="AD228" s="12" t="str">
        <x:f>IF(AC228="PRIVATE_QUARANTINE","hacker_or_bank_trigger",IF(AC228="PRIVATE_REVIEW","finance_risk_trigger","none"))</x:f>
        <x:v>none</x:v>
      </x:c>
      <x:c r="AE228" s="12" t="str">
        <x:f>IF(AC228="PUBLIC_CANDIDATE","prepare_public_github_candidate",IF(AC228="PRIVATE_REVIEW","hold_for_private_review","quarantine_private_do_not_publish"))</x:f>
        <x:v>prepare_public_github_candidate</x:v>
      </x:c>
      <x:c r="AF228" s="12" t="str">
        <x:f>IF(AC228="PUBLIC_CANDIDATE","TIDELOCK + Lucerna",IF(AC228="PRIVATE_REVIEW","AtlasBrain + Lucerna","TIDELOCK + Lucerna + Human-root"))</x:f>
        <x:v>TIDELOCK + Lucerna</x:v>
      </x:c>
      <x:c r="AG228" s="12" t="str">
        <x:f>IF(AND(AC228="PUBLIC_CANDIDATE",U228&lt;&gt;"BLOCKED_PENDING_RECEIPT"),"READY_AFTER_RECEIPT","NOT_READY")</x:f>
        <x:v>NOT_READY</x:v>
      </x:c>
      <x:c r="AH228" s="12" t="str">
        <x:f>IF(AC228="PUBLIC_CANDIDATE","none",AD228)</x:f>
        <x:v>none</x:v>
      </x:c>
      <x:c r="AI228" s="12" t="str">
        <x:f>IF(AC228="PUBLIC_CANDIDATE","archive/public_candidates/"&amp;A228,"private_quarantine/"&amp;A228)</x:f>
        <x:v>archive/public_candidates/SWARM-02-H07-S11</x:v>
      </x:c>
      <x:c r="AJ228" s="12" t="str">
        <x:f>IF(AC228="PUBLIC_CANDIDATE","public by default; still not canon","private/hold; do not publish")</x:f>
        <x:v>public by default; still not canon</x:v>
      </x:c>
      <x:c r="AK228" s="12" t="str">
        <x:f>IF(AE228="prepare_public_github_candidate","add receipt/status then mirror","resolve blocker before any public GitHub action")</x:f>
        <x:v>add receipt/status then mirror</x:v>
      </x:c>
    </x:row>
    <x:row r="229">
      <x:c r="A229" s="15" t="str">
        <x:v>SWARM-02-H07-S12</x:v>
      </x:c>
      <x:c r="B229" s="15" t="str">
        <x:v>Hashlight</x:v>
      </x:c>
      <x:c r="C229" s="15" t="str">
        <x:v>Hash and identity keeper</x:v>
      </x:c>
      <x:c r="D229" s="15" t="str">
        <x:v>Graph Node Proposals</x:v>
      </x:c>
      <x:c r="E229" s="15" t="str">
        <x:v>Risk / Safety</x:v>
      </x:c>
      <x:c r="F229" s="15" t="str">
        <x:v>Propose graph nodes for Risk / Safety — Hashlight</x:v>
      </x:c>
      <x:c r="G229" s="15" t="str">
        <x:v>ids / hashes / timestamps / duplicate control</x:v>
      </x:c>
      <x:c r="H229" s="15" t="str">
        <x:v>source path + receipt + raw/export status + claim/edge/risk delta</x:v>
      </x:c>
      <x:c r="I229" s="15" t="str">
        <x:v>packet/SWARM-02-H07-S12</x:v>
      </x:c>
      <x:c r="J229" s="15" t="str">
        <x:v>TODO</x:v>
      </x:c>
      <x:c r="K229" s="15" t="str">
        <x:v>P2</x:v>
      </x:c>
      <x:c r="L229" s="15" t="str">
        <x:v>Done only when evidence is logged, contradiction search is noted, and boundary stamp remains non-canon unless ratified</x:v>
      </x:c>
      <x:c r="M229" s="15" t="str">
        <x:v>candidate / staging-only / not canon / not deployed / authority none</x:v>
      </x:c>
      <x:c r="N229" s="15" t="str">
        <x:v>Dispatch to Hashlight: complete Graph Node Proposals x Risk / Safety; return deltas only, receipts required.</x:v>
      </x:c>
      <x:c r="O229" s="15" t="str">
        <x:v>AF-KG-H07-S12</x:v>
      </x:c>
      <x:c r="P229" s="15" t="str">
        <x:v>Unverified</x:v>
      </x:c>
      <x:c r="Q229" s="15" t="str">
        <x:v>Not checked</x:v>
      </x:c>
      <x:c r="R229" s="15" t="str"/>
      <x:c r="S229" s="15" t="str"/>
      <x:c r="T229" s="15" t="str">
        <x:v>Log first source path or blocker</x:v>
      </x:c>
      <x:c r="U229" s="12" t="str">
        <x:f>IF(OR(P229="Unverified",Q229="Not checked"),"BLOCKED_PENDING_RECEIPT","READY_FOR_REVIEW")</x:f>
        <x:v>BLOCKED_PENDING_RECEIPT</x:v>
      </x:c>
      <x:c r="V229" s="12" t="str">
        <x:f>IF(J229="DONE","RETURNED",IF(U229="BLOCKED_PENDING_RECEIPT","SOURCE_TOUCH_REQUIRED","IN_PROGRESS"))</x:f>
        <x:v>SOURCE_TOUCH_REQUIRED</x:v>
      </x:c>
      <x:c r="W229" s="12" t="str">
        <x:f>IF(P229="Unverified","missing_receipt","receipt_logged")</x:f>
        <x:v>missing_receipt</x:v>
      </x:c>
      <x:c r="X229" s="12" t="str">
        <x:f>IF(Q229="Not checked","raw_status_missing","raw_status_logged")</x:f>
        <x:v>raw_status_missing</x:v>
      </x:c>
      <x:c r="Y229" s="12" t="str">
        <x:f>IF(U229="BLOCKED_PENDING_RECEIPT","Log source path or blocker; do not promote","Route to review lane")</x:f>
        <x:v>Log source path or blocker; do not promote</x:v>
      </x:c>
      <x:c r="Z229" s="12" t="str">
        <x:f>IF(K229="P0","Primary seat + Hashlight/Lucerna","Seat lane")</x:f>
        <x:v>Seat lane</x:v>
      </x:c>
      <x:c r="AA229" s="12" t="str">
        <x:f>IF(R229="","no_claim_delta","claim_delta_present")</x:f>
        <x:v>no_claim_delta</x:v>
      </x:c>
      <x:c r="AB229" s="12" t="str">
        <x:f>IF(S229="","no_contradiction_delta","contradiction_delta_present")</x:f>
        <x:v>no_contradiction_delta</x:v>
      </x:c>
      <x:c r="AC229" s="12" t="str">
        <x:f>IF(OR(ISNUMBER(SEARCH("hacker",LOWER(F229&amp;" "&amp;H229&amp;" "&amp;I229&amp;" "&amp;M229&amp;" "&amp;N229&amp;" "&amp;T229))),ISNUMBER(SEARCH("hacking",LOWER(F229&amp;" "&amp;H229&amp;" "&amp;I229&amp;" "&amp;M229&amp;" "&amp;N229&amp;" "&amp;T229))),ISNUMBER(SEARCH("bank",LOWER(F229&amp;" "&amp;H229&amp;" "&amp;I229&amp;" "&amp;M229&amp;" "&amp;N229&amp;" "&amp;T229))),ISNUMBER(SEARCH("banking",LOWER(F229&amp;" "&amp;H229&amp;" "&amp;I229&amp;" "&amp;M229&amp;" "&amp;N229&amp;" "&amp;T229)))),"PRIVATE_QUARANTINE",IF(OR(ISNUMBER(SEARCH("treasury",LOWER(F229&amp;" "&amp;H229&amp;" "&amp;I229&amp;" "&amp;M229&amp;" "&amp;N229&amp;" "&amp;T229))),ISNUMBER(SEARCH("debt",LOWER(F229&amp;" "&amp;H229&amp;" "&amp;I229&amp;" "&amp;M229&amp;" "&amp;N229&amp;" "&amp;T229))),ISNUMBER(SEARCH("bond",LOWER(F229&amp;" "&amp;H229&amp;" "&amp;I229&amp;" "&amp;M229&amp;" "&amp;N229&amp;" "&amp;T229))),ISNUMBER(SEARCH("transaction",LOWER(F229&amp;" "&amp;H229&amp;" "&amp;I229&amp;" "&amp;M229&amp;" "&amp;N229&amp;" "&amp;T229)))),"PRIVATE_REVIEW","PUBLIC_CANDIDATE"))</x:f>
        <x:v>PUBLIC_CANDIDATE</x:v>
      </x:c>
      <x:c r="AD229" s="12" t="str">
        <x:f>IF(AC229="PRIVATE_QUARANTINE","hacker_or_bank_trigger",IF(AC229="PRIVATE_REVIEW","finance_risk_trigger","none"))</x:f>
        <x:v>none</x:v>
      </x:c>
      <x:c r="AE229" s="12" t="str">
        <x:f>IF(AC229="PUBLIC_CANDIDATE","prepare_public_github_candidate",IF(AC229="PRIVATE_REVIEW","hold_for_private_review","quarantine_private_do_not_publish"))</x:f>
        <x:v>prepare_public_github_candidate</x:v>
      </x:c>
      <x:c r="AF229" s="12" t="str">
        <x:f>IF(AC229="PUBLIC_CANDIDATE","TIDELOCK + Lucerna",IF(AC229="PRIVATE_REVIEW","AtlasBrain + Lucerna","TIDELOCK + Lucerna + Human-root"))</x:f>
        <x:v>TIDELOCK + Lucerna</x:v>
      </x:c>
      <x:c r="AG229" s="12" t="str">
        <x:f>IF(AND(AC229="PUBLIC_CANDIDATE",U229&lt;&gt;"BLOCKED_PENDING_RECEIPT"),"READY_AFTER_RECEIPT","NOT_READY")</x:f>
        <x:v>NOT_READY</x:v>
      </x:c>
      <x:c r="AH229" s="12" t="str">
        <x:f>IF(AC229="PUBLIC_CANDIDATE","none",AD229)</x:f>
        <x:v>none</x:v>
      </x:c>
      <x:c r="AI229" s="12" t="str">
        <x:f>IF(AC229="PUBLIC_CANDIDATE","archive/public_candidates/"&amp;A229,"private_quarantine/"&amp;A229)</x:f>
        <x:v>archive/public_candidates/SWARM-02-H07-S12</x:v>
      </x:c>
      <x:c r="AJ229" s="12" t="str">
        <x:f>IF(AC229="PUBLIC_CANDIDATE","public by default; still not canon","private/hold; do not publish")</x:f>
        <x:v>public by default; still not canon</x:v>
      </x:c>
      <x:c r="AK229" s="12" t="str">
        <x:f>IF(AE229="prepare_public_github_candidate","add receipt/status then mirror","resolve blocker before any public GitHub action")</x:f>
        <x:v>add receipt/status then mirror</x:v>
      </x:c>
    </x:row>
    <x:row r="230">
      <x:c r="A230" s="15" t="str">
        <x:v>SWARM-02-H08-S01</x:v>
      </x:c>
      <x:c r="B230" s="15" t="str">
        <x:v>Hashlight</x:v>
      </x:c>
      <x:c r="C230" s="15" t="str">
        <x:v>Hash and identity keeper</x:v>
      </x:c>
      <x:c r="D230" s="15" t="str">
        <x:v>Graph Edge Proposals</x:v>
      </x:c>
      <x:c r="E230" s="15" t="str">
        <x:v>Notion</x:v>
      </x:c>
      <x:c r="F230" s="15" t="str">
        <x:v>Propose graph edges for Notion — Hashlight</x:v>
      </x:c>
      <x:c r="G230" s="15" t="str">
        <x:v>ids / hashes / timestamps / duplicate control</x:v>
      </x:c>
      <x:c r="H230" s="15" t="str">
        <x:v>source path + receipt + raw/export status + claim/edge/risk delta</x:v>
      </x:c>
      <x:c r="I230" s="15" t="str">
        <x:v>packet/SWARM-02-H08-S01</x:v>
      </x:c>
      <x:c r="J230" s="15" t="str">
        <x:v>TODO</x:v>
      </x:c>
      <x:c r="K230" s="15" t="str">
        <x:v>P0</x:v>
      </x:c>
      <x:c r="L230" s="15" t="str">
        <x:v>Done only when evidence is logged, contradiction search is noted, and boundary stamp remains non-canon unless ratified</x:v>
      </x:c>
      <x:c r="M230" s="15" t="str">
        <x:v>candidate / staging-only / not canon / not deployed / authority none</x:v>
      </x:c>
      <x:c r="N230" s="15" t="str">
        <x:v>Dispatch to Hashlight: complete Graph Edge Proposals x Notion; return deltas only, receipts required.</x:v>
      </x:c>
      <x:c r="O230" s="15" t="str">
        <x:v>AF-KG-H08-S01</x:v>
      </x:c>
      <x:c r="P230" s="15" t="str">
        <x:v>Unverified</x:v>
      </x:c>
      <x:c r="Q230" s="15" t="str">
        <x:v>Not checked</x:v>
      </x:c>
      <x:c r="R230" s="15" t="str"/>
      <x:c r="S230" s="15" t="str"/>
      <x:c r="T230" s="15" t="str">
        <x:v>Log first source path or blocker</x:v>
      </x:c>
      <x:c r="U230" s="12" t="str">
        <x:f>IF(OR(P230="Unverified",Q230="Not checked"),"BLOCKED_PENDING_RECEIPT","READY_FOR_REVIEW")</x:f>
        <x:v>BLOCKED_PENDING_RECEIPT</x:v>
      </x:c>
      <x:c r="V230" s="12" t="str">
        <x:f>IF(J230="DONE","RETURNED",IF(U230="BLOCKED_PENDING_RECEIPT","SOURCE_TOUCH_REQUIRED","IN_PROGRESS"))</x:f>
        <x:v>SOURCE_TOUCH_REQUIRED</x:v>
      </x:c>
      <x:c r="W230" s="12" t="str">
        <x:f>IF(P230="Unverified","missing_receipt","receipt_logged")</x:f>
        <x:v>missing_receipt</x:v>
      </x:c>
      <x:c r="X230" s="12" t="str">
        <x:f>IF(Q230="Not checked","raw_status_missing","raw_status_logged")</x:f>
        <x:v>raw_status_missing</x:v>
      </x:c>
      <x:c r="Y230" s="12" t="str">
        <x:f>IF(U230="BLOCKED_PENDING_RECEIPT","Log source path or blocker; do not promote","Route to review lane")</x:f>
        <x:v>Log source path or blocker; do not promote</x:v>
      </x:c>
      <x:c r="Z230" s="12" t="str">
        <x:f>IF(K230="P0","Primary seat + Hashlight/Lucerna","Seat lane")</x:f>
        <x:v>Primary seat + Hashlight/Lucerna</x:v>
      </x:c>
      <x:c r="AA230" s="12" t="str">
        <x:f>IF(R230="","no_claim_delta","claim_delta_present")</x:f>
        <x:v>no_claim_delta</x:v>
      </x:c>
      <x:c r="AB230" s="12" t="str">
        <x:f>IF(S230="","no_contradiction_delta","contradiction_delta_present")</x:f>
        <x:v>no_contradiction_delta</x:v>
      </x:c>
      <x:c r="AC230" s="12" t="str">
        <x:f>IF(OR(ISNUMBER(SEARCH("hacker",LOWER(F230&amp;" "&amp;H230&amp;" "&amp;I230&amp;" "&amp;M230&amp;" "&amp;N230&amp;" "&amp;T230))),ISNUMBER(SEARCH("hacking",LOWER(F230&amp;" "&amp;H230&amp;" "&amp;I230&amp;" "&amp;M230&amp;" "&amp;N230&amp;" "&amp;T230))),ISNUMBER(SEARCH("bank",LOWER(F230&amp;" "&amp;H230&amp;" "&amp;I230&amp;" "&amp;M230&amp;" "&amp;N230&amp;" "&amp;T230))),ISNUMBER(SEARCH("banking",LOWER(F230&amp;" "&amp;H230&amp;" "&amp;I230&amp;" "&amp;M230&amp;" "&amp;N230&amp;" "&amp;T230)))),"PRIVATE_QUARANTINE",IF(OR(ISNUMBER(SEARCH("treasury",LOWER(F230&amp;" "&amp;H230&amp;" "&amp;I230&amp;" "&amp;M230&amp;" "&amp;N230&amp;" "&amp;T230))),ISNUMBER(SEARCH("debt",LOWER(F230&amp;" "&amp;H230&amp;" "&amp;I230&amp;" "&amp;M230&amp;" "&amp;N230&amp;" "&amp;T230))),ISNUMBER(SEARCH("bond",LOWER(F230&amp;" "&amp;H230&amp;" "&amp;I230&amp;" "&amp;M230&amp;" "&amp;N230&amp;" "&amp;T230))),ISNUMBER(SEARCH("transaction",LOWER(F230&amp;" "&amp;H230&amp;" "&amp;I230&amp;" "&amp;M230&amp;" "&amp;N230&amp;" "&amp;T230)))),"PRIVATE_REVIEW","PUBLIC_CANDIDATE"))</x:f>
        <x:v>PUBLIC_CANDIDATE</x:v>
      </x:c>
      <x:c r="AD230" s="12" t="str">
        <x:f>IF(AC230="PRIVATE_QUARANTINE","hacker_or_bank_trigger",IF(AC230="PRIVATE_REVIEW","finance_risk_trigger","none"))</x:f>
        <x:v>none</x:v>
      </x:c>
      <x:c r="AE230" s="12" t="str">
        <x:f>IF(AC230="PUBLIC_CANDIDATE","prepare_public_github_candidate",IF(AC230="PRIVATE_REVIEW","hold_for_private_review","quarantine_private_do_not_publish"))</x:f>
        <x:v>prepare_public_github_candidate</x:v>
      </x:c>
      <x:c r="AF230" s="12" t="str">
        <x:f>IF(AC230="PUBLIC_CANDIDATE","TIDELOCK + Lucerna",IF(AC230="PRIVATE_REVIEW","AtlasBrain + Lucerna","TIDELOCK + Lucerna + Human-root"))</x:f>
        <x:v>TIDELOCK + Lucerna</x:v>
      </x:c>
      <x:c r="AG230" s="12" t="str">
        <x:f>IF(AND(AC230="PUBLIC_CANDIDATE",U230&lt;&gt;"BLOCKED_PENDING_RECEIPT"),"READY_AFTER_RECEIPT","NOT_READY")</x:f>
        <x:v>NOT_READY</x:v>
      </x:c>
      <x:c r="AH230" s="12" t="str">
        <x:f>IF(AC230="PUBLIC_CANDIDATE","none",AD230)</x:f>
        <x:v>none</x:v>
      </x:c>
      <x:c r="AI230" s="12" t="str">
        <x:f>IF(AC230="PUBLIC_CANDIDATE","archive/public_candidates/"&amp;A230,"private_quarantine/"&amp;A230)</x:f>
        <x:v>archive/public_candidates/SWARM-02-H08-S01</x:v>
      </x:c>
      <x:c r="AJ230" s="12" t="str">
        <x:f>IF(AC230="PUBLIC_CANDIDATE","public by default; still not canon","private/hold; do not publish")</x:f>
        <x:v>public by default; still not canon</x:v>
      </x:c>
      <x:c r="AK230" s="12" t="str">
        <x:f>IF(AE230="prepare_public_github_candidate","add receipt/status then mirror","resolve blocker before any public GitHub action")</x:f>
        <x:v>add receipt/status then mirror</x:v>
      </x:c>
    </x:row>
    <x:row r="231">
      <x:c r="A231" s="15" t="str">
        <x:v>SWARM-02-H08-S02</x:v>
      </x:c>
      <x:c r="B231" s="15" t="str">
        <x:v>Hashlight</x:v>
      </x:c>
      <x:c r="C231" s="15" t="str">
        <x:v>Hash and identity keeper</x:v>
      </x:c>
      <x:c r="D231" s="15" t="str">
        <x:v>Graph Edge Proposals</x:v>
      </x:c>
      <x:c r="E231" s="15" t="str">
        <x:v>Drive</x:v>
      </x:c>
      <x:c r="F231" s="15" t="str">
        <x:v>Propose graph edges for Drive — Hashlight</x:v>
      </x:c>
      <x:c r="G231" s="15" t="str">
        <x:v>ids / hashes / timestamps / duplicate control</x:v>
      </x:c>
      <x:c r="H231" s="15" t="str">
        <x:v>source path + receipt + raw/export status + claim/edge/risk delta</x:v>
      </x:c>
      <x:c r="I231" s="15" t="str">
        <x:v>packet/SWARM-02-H08-S02</x:v>
      </x:c>
      <x:c r="J231" s="15" t="str">
        <x:v>TODO</x:v>
      </x:c>
      <x:c r="K231" s="15" t="str">
        <x:v>P0</x:v>
      </x:c>
      <x:c r="L231" s="15" t="str">
        <x:v>Done only when evidence is logged, contradiction search is noted, and boundary stamp remains non-canon unless ratified</x:v>
      </x:c>
      <x:c r="M231" s="15" t="str">
        <x:v>candidate / staging-only / not canon / not deployed / authority none</x:v>
      </x:c>
      <x:c r="N231" s="15" t="str">
        <x:v>Dispatch to Hashlight: complete Graph Edge Proposals x Drive; return deltas only, receipts required.</x:v>
      </x:c>
      <x:c r="O231" s="15" t="str">
        <x:v>AF-KG-H08-S02</x:v>
      </x:c>
      <x:c r="P231" s="15" t="str">
        <x:v>Unverified</x:v>
      </x:c>
      <x:c r="Q231" s="15" t="str">
        <x:v>Not checked</x:v>
      </x:c>
      <x:c r="R231" s="15" t="str"/>
      <x:c r="S231" s="15" t="str"/>
      <x:c r="T231" s="15" t="str">
        <x:v>Log first source path or blocker</x:v>
      </x:c>
      <x:c r="U231" s="12" t="str">
        <x:f>IF(OR(P231="Unverified",Q231="Not checked"),"BLOCKED_PENDING_RECEIPT","READY_FOR_REVIEW")</x:f>
        <x:v>BLOCKED_PENDING_RECEIPT</x:v>
      </x:c>
      <x:c r="V231" s="12" t="str">
        <x:f>IF(J231="DONE","RETURNED",IF(U231="BLOCKED_PENDING_RECEIPT","SOURCE_TOUCH_REQUIRED","IN_PROGRESS"))</x:f>
        <x:v>SOURCE_TOUCH_REQUIRED</x:v>
      </x:c>
      <x:c r="W231" s="12" t="str">
        <x:f>IF(P231="Unverified","missing_receipt","receipt_logged")</x:f>
        <x:v>missing_receipt</x:v>
      </x:c>
      <x:c r="X231" s="12" t="str">
        <x:f>IF(Q231="Not checked","raw_status_missing","raw_status_logged")</x:f>
        <x:v>raw_status_missing</x:v>
      </x:c>
      <x:c r="Y231" s="12" t="str">
        <x:f>IF(U231="BLOCKED_PENDING_RECEIPT","Log source path or blocker; do not promote","Route to review lane")</x:f>
        <x:v>Log source path or blocker; do not promote</x:v>
      </x:c>
      <x:c r="Z231" s="12" t="str">
        <x:f>IF(K231="P0","Primary seat + Hashlight/Lucerna","Seat lane")</x:f>
        <x:v>Primary seat + Hashlight/Lucerna</x:v>
      </x:c>
      <x:c r="AA231" s="12" t="str">
        <x:f>IF(R231="","no_claim_delta","claim_delta_present")</x:f>
        <x:v>no_claim_delta</x:v>
      </x:c>
      <x:c r="AB231" s="12" t="str">
        <x:f>IF(S231="","no_contradiction_delta","contradiction_delta_present")</x:f>
        <x:v>no_contradiction_delta</x:v>
      </x:c>
      <x:c r="AC231" s="12" t="str">
        <x:f>IF(OR(ISNUMBER(SEARCH("hacker",LOWER(F231&amp;" "&amp;H231&amp;" "&amp;I231&amp;" "&amp;M231&amp;" "&amp;N231&amp;" "&amp;T231))),ISNUMBER(SEARCH("hacking",LOWER(F231&amp;" "&amp;H231&amp;" "&amp;I231&amp;" "&amp;M231&amp;" "&amp;N231&amp;" "&amp;T231))),ISNUMBER(SEARCH("bank",LOWER(F231&amp;" "&amp;H231&amp;" "&amp;I231&amp;" "&amp;M231&amp;" "&amp;N231&amp;" "&amp;T231))),ISNUMBER(SEARCH("banking",LOWER(F231&amp;" "&amp;H231&amp;" "&amp;I231&amp;" "&amp;M231&amp;" "&amp;N231&amp;" "&amp;T231)))),"PRIVATE_QUARANTINE",IF(OR(ISNUMBER(SEARCH("treasury",LOWER(F231&amp;" "&amp;H231&amp;" "&amp;I231&amp;" "&amp;M231&amp;" "&amp;N231&amp;" "&amp;T231))),ISNUMBER(SEARCH("debt",LOWER(F231&amp;" "&amp;H231&amp;" "&amp;I231&amp;" "&amp;M231&amp;" "&amp;N231&amp;" "&amp;T231))),ISNUMBER(SEARCH("bond",LOWER(F231&amp;" "&amp;H231&amp;" "&amp;I231&amp;" "&amp;M231&amp;" "&amp;N231&amp;" "&amp;T231))),ISNUMBER(SEARCH("transaction",LOWER(F231&amp;" "&amp;H231&amp;" "&amp;I231&amp;" "&amp;M231&amp;" "&amp;N231&amp;" "&amp;T231)))),"PRIVATE_REVIEW","PUBLIC_CANDIDATE"))</x:f>
        <x:v>PUBLIC_CANDIDATE</x:v>
      </x:c>
      <x:c r="AD231" s="12" t="str">
        <x:f>IF(AC231="PRIVATE_QUARANTINE","hacker_or_bank_trigger",IF(AC231="PRIVATE_REVIEW","finance_risk_trigger","none"))</x:f>
        <x:v>none</x:v>
      </x:c>
      <x:c r="AE231" s="12" t="str">
        <x:f>IF(AC231="PUBLIC_CANDIDATE","prepare_public_github_candidate",IF(AC231="PRIVATE_REVIEW","hold_for_private_review","quarantine_private_do_not_publish"))</x:f>
        <x:v>prepare_public_github_candidate</x:v>
      </x:c>
      <x:c r="AF231" s="12" t="str">
        <x:f>IF(AC231="PUBLIC_CANDIDATE","TIDELOCK + Lucerna",IF(AC231="PRIVATE_REVIEW","AtlasBrain + Lucerna","TIDELOCK + Lucerna + Human-root"))</x:f>
        <x:v>TIDELOCK + Lucerna</x:v>
      </x:c>
      <x:c r="AG231" s="12" t="str">
        <x:f>IF(AND(AC231="PUBLIC_CANDIDATE",U231&lt;&gt;"BLOCKED_PENDING_RECEIPT"),"READY_AFTER_RECEIPT","NOT_READY")</x:f>
        <x:v>NOT_READY</x:v>
      </x:c>
      <x:c r="AH231" s="12" t="str">
        <x:f>IF(AC231="PUBLIC_CANDIDATE","none",AD231)</x:f>
        <x:v>none</x:v>
      </x:c>
      <x:c r="AI231" s="12" t="str">
        <x:f>IF(AC231="PUBLIC_CANDIDATE","archive/public_candidates/"&amp;A231,"private_quarantine/"&amp;A231)</x:f>
        <x:v>archive/public_candidates/SWARM-02-H08-S02</x:v>
      </x:c>
      <x:c r="AJ231" s="12" t="str">
        <x:f>IF(AC231="PUBLIC_CANDIDATE","public by default; still not canon","private/hold; do not publish")</x:f>
        <x:v>public by default; still not canon</x:v>
      </x:c>
      <x:c r="AK231" s="12" t="str">
        <x:f>IF(AE231="prepare_public_github_candidate","add receipt/status then mirror","resolve blocker before any public GitHub action")</x:f>
        <x:v>add receipt/status then mirror</x:v>
      </x:c>
    </x:row>
    <x:row r="232">
      <x:c r="A232" s="15" t="str">
        <x:v>SWARM-02-H08-S03</x:v>
      </x:c>
      <x:c r="B232" s="15" t="str">
        <x:v>Hashlight</x:v>
      </x:c>
      <x:c r="C232" s="15" t="str">
        <x:v>Hash and identity keeper</x:v>
      </x:c>
      <x:c r="D232" s="15" t="str">
        <x:v>Graph Edge Proposals</x:v>
      </x:c>
      <x:c r="E232" s="15" t="str">
        <x:v>GitHub</x:v>
      </x:c>
      <x:c r="F232" s="15" t="str">
        <x:v>Propose graph edges for GitHub — Hashlight</x:v>
      </x:c>
      <x:c r="G232" s="15" t="str">
        <x:v>ids / hashes / timestamps / duplicate control</x:v>
      </x:c>
      <x:c r="H232" s="15" t="str">
        <x:v>source path + receipt + raw/export status + claim/edge/risk delta</x:v>
      </x:c>
      <x:c r="I232" s="15" t="str">
        <x:v>packet/SWARM-02-H08-S03</x:v>
      </x:c>
      <x:c r="J232" s="15" t="str">
        <x:v>TODO</x:v>
      </x:c>
      <x:c r="K232" s="15" t="str">
        <x:v>P0</x:v>
      </x:c>
      <x:c r="L232" s="15" t="str">
        <x:v>Done only when evidence is logged, contradiction search is noted, and boundary stamp remains non-canon unless ratified</x:v>
      </x:c>
      <x:c r="M232" s="15" t="str">
        <x:v>candidate / staging-only / not canon / not deployed / authority none</x:v>
      </x:c>
      <x:c r="N232" s="15" t="str">
        <x:v>Dispatch to Hashlight: complete Graph Edge Proposals x GitHub; return deltas only, receipts required.</x:v>
      </x:c>
      <x:c r="O232" s="15" t="str">
        <x:v>AF-KG-H08-S03</x:v>
      </x:c>
      <x:c r="P232" s="15" t="str">
        <x:v>Unverified</x:v>
      </x:c>
      <x:c r="Q232" s="15" t="str">
        <x:v>Not checked</x:v>
      </x:c>
      <x:c r="R232" s="15" t="str"/>
      <x:c r="S232" s="15" t="str"/>
      <x:c r="T232" s="15" t="str">
        <x:v>Log first source path or blocker</x:v>
      </x:c>
      <x:c r="U232" s="12" t="str">
        <x:f>IF(OR(P232="Unverified",Q232="Not checked"),"BLOCKED_PENDING_RECEIPT","READY_FOR_REVIEW")</x:f>
        <x:v>BLOCKED_PENDING_RECEIPT</x:v>
      </x:c>
      <x:c r="V232" s="12" t="str">
        <x:f>IF(J232="DONE","RETURNED",IF(U232="BLOCKED_PENDING_RECEIPT","SOURCE_TOUCH_REQUIRED","IN_PROGRESS"))</x:f>
        <x:v>SOURCE_TOUCH_REQUIRED</x:v>
      </x:c>
      <x:c r="W232" s="12" t="str">
        <x:f>IF(P232="Unverified","missing_receipt","receipt_logged")</x:f>
        <x:v>missing_receipt</x:v>
      </x:c>
      <x:c r="X232" s="12" t="str">
        <x:f>IF(Q232="Not checked","raw_status_missing","raw_status_logged")</x:f>
        <x:v>raw_status_missing</x:v>
      </x:c>
      <x:c r="Y232" s="12" t="str">
        <x:f>IF(U232="BLOCKED_PENDING_RECEIPT","Log source path or blocker; do not promote","Route to review lane")</x:f>
        <x:v>Log source path or blocker; do not promote</x:v>
      </x:c>
      <x:c r="Z232" s="12" t="str">
        <x:f>IF(K232="P0","Primary seat + Hashlight/Lucerna","Seat lane")</x:f>
        <x:v>Primary seat + Hashlight/Lucerna</x:v>
      </x:c>
      <x:c r="AA232" s="12" t="str">
        <x:f>IF(R232="","no_claim_delta","claim_delta_present")</x:f>
        <x:v>no_claim_delta</x:v>
      </x:c>
      <x:c r="AB232" s="12" t="str">
        <x:f>IF(S232="","no_contradiction_delta","contradiction_delta_present")</x:f>
        <x:v>no_contradiction_delta</x:v>
      </x:c>
      <x:c r="AC232" s="12" t="str">
        <x:f>IF(OR(ISNUMBER(SEARCH("hacker",LOWER(F232&amp;" "&amp;H232&amp;" "&amp;I232&amp;" "&amp;M232&amp;" "&amp;N232&amp;" "&amp;T232))),ISNUMBER(SEARCH("hacking",LOWER(F232&amp;" "&amp;H232&amp;" "&amp;I232&amp;" "&amp;M232&amp;" "&amp;N232&amp;" "&amp;T232))),ISNUMBER(SEARCH("bank",LOWER(F232&amp;" "&amp;H232&amp;" "&amp;I232&amp;" "&amp;M232&amp;" "&amp;N232&amp;" "&amp;T232))),ISNUMBER(SEARCH("banking",LOWER(F232&amp;" "&amp;H232&amp;" "&amp;I232&amp;" "&amp;M232&amp;" "&amp;N232&amp;" "&amp;T232)))),"PRIVATE_QUARANTINE",IF(OR(ISNUMBER(SEARCH("treasury",LOWER(F232&amp;" "&amp;H232&amp;" "&amp;I232&amp;" "&amp;M232&amp;" "&amp;N232&amp;" "&amp;T232))),ISNUMBER(SEARCH("debt",LOWER(F232&amp;" "&amp;H232&amp;" "&amp;I232&amp;" "&amp;M232&amp;" "&amp;N232&amp;" "&amp;T232))),ISNUMBER(SEARCH("bond",LOWER(F232&amp;" "&amp;H232&amp;" "&amp;I232&amp;" "&amp;M232&amp;" "&amp;N232&amp;" "&amp;T232))),ISNUMBER(SEARCH("transaction",LOWER(F232&amp;" "&amp;H232&amp;" "&amp;I232&amp;" "&amp;M232&amp;" "&amp;N232&amp;" "&amp;T232)))),"PRIVATE_REVIEW","PUBLIC_CANDIDATE"))</x:f>
        <x:v>PUBLIC_CANDIDATE</x:v>
      </x:c>
      <x:c r="AD232" s="12" t="str">
        <x:f>IF(AC232="PRIVATE_QUARANTINE","hacker_or_bank_trigger",IF(AC232="PRIVATE_REVIEW","finance_risk_trigger","none"))</x:f>
        <x:v>none</x:v>
      </x:c>
      <x:c r="AE232" s="12" t="str">
        <x:f>IF(AC232="PUBLIC_CANDIDATE","prepare_public_github_candidate",IF(AC232="PRIVATE_REVIEW","hold_for_private_review","quarantine_private_do_not_publish"))</x:f>
        <x:v>prepare_public_github_candidate</x:v>
      </x:c>
      <x:c r="AF232" s="12" t="str">
        <x:f>IF(AC232="PUBLIC_CANDIDATE","TIDELOCK + Lucerna",IF(AC232="PRIVATE_REVIEW","AtlasBrain + Lucerna","TIDELOCK + Lucerna + Human-root"))</x:f>
        <x:v>TIDELOCK + Lucerna</x:v>
      </x:c>
      <x:c r="AG232" s="12" t="str">
        <x:f>IF(AND(AC232="PUBLIC_CANDIDATE",U232&lt;&gt;"BLOCKED_PENDING_RECEIPT"),"READY_AFTER_RECEIPT","NOT_READY")</x:f>
        <x:v>NOT_READY</x:v>
      </x:c>
      <x:c r="AH232" s="12" t="str">
        <x:f>IF(AC232="PUBLIC_CANDIDATE","none",AD232)</x:f>
        <x:v>none</x:v>
      </x:c>
      <x:c r="AI232" s="12" t="str">
        <x:f>IF(AC232="PUBLIC_CANDIDATE","archive/public_candidates/"&amp;A232,"private_quarantine/"&amp;A232)</x:f>
        <x:v>archive/public_candidates/SWARM-02-H08-S03</x:v>
      </x:c>
      <x:c r="AJ232" s="12" t="str">
        <x:f>IF(AC232="PUBLIC_CANDIDATE","public by default; still not canon","private/hold; do not publish")</x:f>
        <x:v>public by default; still not canon</x:v>
      </x:c>
      <x:c r="AK232" s="12" t="str">
        <x:f>IF(AE232="prepare_public_github_candidate","add receipt/status then mirror","resolve blocker before any public GitHub action")</x:f>
        <x:v>add receipt/status then mirror</x:v>
      </x:c>
    </x:row>
    <x:row r="233">
      <x:c r="A233" s="15" t="str">
        <x:v>SWARM-02-H08-S04</x:v>
      </x:c>
      <x:c r="B233" s="15" t="str">
        <x:v>Hashlight</x:v>
      </x:c>
      <x:c r="C233" s="15" t="str">
        <x:v>Hash and identity keeper</x:v>
      </x:c>
      <x:c r="D233" s="15" t="str">
        <x:v>Graph Edge Proposals</x:v>
      </x:c>
      <x:c r="E233" s="15" t="str">
        <x:v>Gamma</x:v>
      </x:c>
      <x:c r="F233" s="15" t="str">
        <x:v>Propose graph edges for Gamma — Hashlight</x:v>
      </x:c>
      <x:c r="G233" s="15" t="str">
        <x:v>ids / hashes / timestamps / duplicate control</x:v>
      </x:c>
      <x:c r="H233" s="15" t="str">
        <x:v>source path + receipt + raw/export status + claim/edge/risk delta</x:v>
      </x:c>
      <x:c r="I233" s="15" t="str">
        <x:v>packet/SWARM-02-H08-S04</x:v>
      </x:c>
      <x:c r="J233" s="15" t="str">
        <x:v>TODO</x:v>
      </x:c>
      <x:c r="K233" s="15" t="str">
        <x:v>P1</x:v>
      </x:c>
      <x:c r="L233" s="15" t="str">
        <x:v>Done only when evidence is logged, contradiction search is noted, and boundary stamp remains non-canon unless ratified</x:v>
      </x:c>
      <x:c r="M233" s="15" t="str">
        <x:v>candidate / staging-only / not canon / not deployed / authority none</x:v>
      </x:c>
      <x:c r="N233" s="15" t="str">
        <x:v>Dispatch to Hashlight: complete Graph Edge Proposals x Gamma; return deltas only, receipts required.</x:v>
      </x:c>
      <x:c r="O233" s="15" t="str">
        <x:v>AF-KG-H08-S04</x:v>
      </x:c>
      <x:c r="P233" s="15" t="str">
        <x:v>Unverified</x:v>
      </x:c>
      <x:c r="Q233" s="15" t="str">
        <x:v>Not checked</x:v>
      </x:c>
      <x:c r="R233" s="15" t="str"/>
      <x:c r="S233" s="15" t="str"/>
      <x:c r="T233" s="15" t="str">
        <x:v>Log first source path or blocker</x:v>
      </x:c>
      <x:c r="U233" s="12" t="str">
        <x:f>IF(OR(P233="Unverified",Q233="Not checked"),"BLOCKED_PENDING_RECEIPT","READY_FOR_REVIEW")</x:f>
        <x:v>BLOCKED_PENDING_RECEIPT</x:v>
      </x:c>
      <x:c r="V233" s="12" t="str">
        <x:f>IF(J233="DONE","RETURNED",IF(U233="BLOCKED_PENDING_RECEIPT","SOURCE_TOUCH_REQUIRED","IN_PROGRESS"))</x:f>
        <x:v>SOURCE_TOUCH_REQUIRED</x:v>
      </x:c>
      <x:c r="W233" s="12" t="str">
        <x:f>IF(P233="Unverified","missing_receipt","receipt_logged")</x:f>
        <x:v>missing_receipt</x:v>
      </x:c>
      <x:c r="X233" s="12" t="str">
        <x:f>IF(Q233="Not checked","raw_status_missing","raw_status_logged")</x:f>
        <x:v>raw_status_missing</x:v>
      </x:c>
      <x:c r="Y233" s="12" t="str">
        <x:f>IF(U233="BLOCKED_PENDING_RECEIPT","Log source path or blocker; do not promote","Route to review lane")</x:f>
        <x:v>Log source path or blocker; do not promote</x:v>
      </x:c>
      <x:c r="Z233" s="12" t="str">
        <x:f>IF(K233="P0","Primary seat + Hashlight/Lucerna","Seat lane")</x:f>
        <x:v>Seat lane</x:v>
      </x:c>
      <x:c r="AA233" s="12" t="str">
        <x:f>IF(R233="","no_claim_delta","claim_delta_present")</x:f>
        <x:v>no_claim_delta</x:v>
      </x:c>
      <x:c r="AB233" s="12" t="str">
        <x:f>IF(S233="","no_contradiction_delta","contradiction_delta_present")</x:f>
        <x:v>no_contradiction_delta</x:v>
      </x:c>
      <x:c r="AC233" s="12" t="str">
        <x:f>IF(OR(ISNUMBER(SEARCH("hacker",LOWER(F233&amp;" "&amp;H233&amp;" "&amp;I233&amp;" "&amp;M233&amp;" "&amp;N233&amp;" "&amp;T233))),ISNUMBER(SEARCH("hacking",LOWER(F233&amp;" "&amp;H233&amp;" "&amp;I233&amp;" "&amp;M233&amp;" "&amp;N233&amp;" "&amp;T233))),ISNUMBER(SEARCH("bank",LOWER(F233&amp;" "&amp;H233&amp;" "&amp;I233&amp;" "&amp;M233&amp;" "&amp;N233&amp;" "&amp;T233))),ISNUMBER(SEARCH("banking",LOWER(F233&amp;" "&amp;H233&amp;" "&amp;I233&amp;" "&amp;M233&amp;" "&amp;N233&amp;" "&amp;T233)))),"PRIVATE_QUARANTINE",IF(OR(ISNUMBER(SEARCH("treasury",LOWER(F233&amp;" "&amp;H233&amp;" "&amp;I233&amp;" "&amp;M233&amp;" "&amp;N233&amp;" "&amp;T233))),ISNUMBER(SEARCH("debt",LOWER(F233&amp;" "&amp;H233&amp;" "&amp;I233&amp;" "&amp;M233&amp;" "&amp;N233&amp;" "&amp;T233))),ISNUMBER(SEARCH("bond",LOWER(F233&amp;" "&amp;H233&amp;" "&amp;I233&amp;" "&amp;M233&amp;" "&amp;N233&amp;" "&amp;T233))),ISNUMBER(SEARCH("transaction",LOWER(F233&amp;" "&amp;H233&amp;" "&amp;I233&amp;" "&amp;M233&amp;" "&amp;N233&amp;" "&amp;T233)))),"PRIVATE_REVIEW","PUBLIC_CANDIDATE"))</x:f>
        <x:v>PUBLIC_CANDIDATE</x:v>
      </x:c>
      <x:c r="AD233" s="12" t="str">
        <x:f>IF(AC233="PRIVATE_QUARANTINE","hacker_or_bank_trigger",IF(AC233="PRIVATE_REVIEW","finance_risk_trigger","none"))</x:f>
        <x:v>none</x:v>
      </x:c>
      <x:c r="AE233" s="12" t="str">
        <x:f>IF(AC233="PUBLIC_CANDIDATE","prepare_public_github_candidate",IF(AC233="PRIVATE_REVIEW","hold_for_private_review","quarantine_private_do_not_publish"))</x:f>
        <x:v>prepare_public_github_candidate</x:v>
      </x:c>
      <x:c r="AF233" s="12" t="str">
        <x:f>IF(AC233="PUBLIC_CANDIDATE","TIDELOCK + Lucerna",IF(AC233="PRIVATE_REVIEW","AtlasBrain + Lucerna","TIDELOCK + Lucerna + Human-root"))</x:f>
        <x:v>TIDELOCK + Lucerna</x:v>
      </x:c>
      <x:c r="AG233" s="12" t="str">
        <x:f>IF(AND(AC233="PUBLIC_CANDIDATE",U233&lt;&gt;"BLOCKED_PENDING_RECEIPT"),"READY_AFTER_RECEIPT","NOT_READY")</x:f>
        <x:v>NOT_READY</x:v>
      </x:c>
      <x:c r="AH233" s="12" t="str">
        <x:f>IF(AC233="PUBLIC_CANDIDATE","none",AD233)</x:f>
        <x:v>none</x:v>
      </x:c>
      <x:c r="AI233" s="12" t="str">
        <x:f>IF(AC233="PUBLIC_CANDIDATE","archive/public_candidates/"&amp;A233,"private_quarantine/"&amp;A233)</x:f>
        <x:v>archive/public_candidates/SWARM-02-H08-S04</x:v>
      </x:c>
      <x:c r="AJ233" s="12" t="str">
        <x:f>IF(AC233="PUBLIC_CANDIDATE","public by default; still not canon","private/hold; do not publish")</x:f>
        <x:v>public by default; still not canon</x:v>
      </x:c>
      <x:c r="AK233" s="12" t="str">
        <x:f>IF(AE233="prepare_public_github_candidate","add receipt/status then mirror","resolve blocker before any public GitHub action")</x:f>
        <x:v>add receipt/status then mirror</x:v>
      </x:c>
    </x:row>
    <x:row r="234">
      <x:c r="A234" s="15" t="str">
        <x:v>SWARM-02-H08-S05</x:v>
      </x:c>
      <x:c r="B234" s="15" t="str">
        <x:v>Hashlight</x:v>
      </x:c>
      <x:c r="C234" s="15" t="str">
        <x:v>Hash and identity keeper</x:v>
      </x:c>
      <x:c r="D234" s="15" t="str">
        <x:v>Graph Edge Proposals</x:v>
      </x:c>
      <x:c r="E234" s="15" t="str">
        <x:v>Chat</x:v>
      </x:c>
      <x:c r="F234" s="15" t="str">
        <x:v>Propose graph edges for Chat — Hashlight</x:v>
      </x:c>
      <x:c r="G234" s="15" t="str">
        <x:v>ids / hashes / timestamps / duplicate control</x:v>
      </x:c>
      <x:c r="H234" s="15" t="str">
        <x:v>source path + receipt + raw/export status + claim/edge/risk delta</x:v>
      </x:c>
      <x:c r="I234" s="15" t="str">
        <x:v>packet/SWARM-02-H08-S05</x:v>
      </x:c>
      <x:c r="J234" s="15" t="str">
        <x:v>TODO</x:v>
      </x:c>
      <x:c r="K234" s="15" t="str">
        <x:v>P1</x:v>
      </x:c>
      <x:c r="L234" s="15" t="str">
        <x:v>Done only when evidence is logged, contradiction search is noted, and boundary stamp remains non-canon unless ratified</x:v>
      </x:c>
      <x:c r="M234" s="15" t="str">
        <x:v>candidate / staging-only / not canon / not deployed / authority none</x:v>
      </x:c>
      <x:c r="N234" s="15" t="str">
        <x:v>Dispatch to Hashlight: complete Graph Edge Proposals x Chat; return deltas only, receipts required.</x:v>
      </x:c>
      <x:c r="O234" s="15" t="str">
        <x:v>AF-KG-H08-S05</x:v>
      </x:c>
      <x:c r="P234" s="15" t="str">
        <x:v>Unverified</x:v>
      </x:c>
      <x:c r="Q234" s="15" t="str">
        <x:v>Not checked</x:v>
      </x:c>
      <x:c r="R234" s="15" t="str"/>
      <x:c r="S234" s="15" t="str"/>
      <x:c r="T234" s="15" t="str">
        <x:v>Log first source path or blocker</x:v>
      </x:c>
      <x:c r="U234" s="12" t="str">
        <x:f>IF(OR(P234="Unverified",Q234="Not checked"),"BLOCKED_PENDING_RECEIPT","READY_FOR_REVIEW")</x:f>
        <x:v>BLOCKED_PENDING_RECEIPT</x:v>
      </x:c>
      <x:c r="V234" s="12" t="str">
        <x:f>IF(J234="DONE","RETURNED",IF(U234="BLOCKED_PENDING_RECEIPT","SOURCE_TOUCH_REQUIRED","IN_PROGRESS"))</x:f>
        <x:v>SOURCE_TOUCH_REQUIRED</x:v>
      </x:c>
      <x:c r="W234" s="12" t="str">
        <x:f>IF(P234="Unverified","missing_receipt","receipt_logged")</x:f>
        <x:v>missing_receipt</x:v>
      </x:c>
      <x:c r="X234" s="12" t="str">
        <x:f>IF(Q234="Not checked","raw_status_missing","raw_status_logged")</x:f>
        <x:v>raw_status_missing</x:v>
      </x:c>
      <x:c r="Y234" s="12" t="str">
        <x:f>IF(U234="BLOCKED_PENDING_RECEIPT","Log source path or blocker; do not promote","Route to review lane")</x:f>
        <x:v>Log source path or blocker; do not promote</x:v>
      </x:c>
      <x:c r="Z234" s="12" t="str">
        <x:f>IF(K234="P0","Primary seat + Hashlight/Lucerna","Seat lane")</x:f>
        <x:v>Seat lane</x:v>
      </x:c>
      <x:c r="AA234" s="12" t="str">
        <x:f>IF(R234="","no_claim_delta","claim_delta_present")</x:f>
        <x:v>no_claim_delta</x:v>
      </x:c>
      <x:c r="AB234" s="12" t="str">
        <x:f>IF(S234="","no_contradiction_delta","contradiction_delta_present")</x:f>
        <x:v>no_contradiction_delta</x:v>
      </x:c>
      <x:c r="AC234" s="12" t="str">
        <x:f>IF(OR(ISNUMBER(SEARCH("hacker",LOWER(F234&amp;" "&amp;H234&amp;" "&amp;I234&amp;" "&amp;M234&amp;" "&amp;N234&amp;" "&amp;T234))),ISNUMBER(SEARCH("hacking",LOWER(F234&amp;" "&amp;H234&amp;" "&amp;I234&amp;" "&amp;M234&amp;" "&amp;N234&amp;" "&amp;T234))),ISNUMBER(SEARCH("bank",LOWER(F234&amp;" "&amp;H234&amp;" "&amp;I234&amp;" "&amp;M234&amp;" "&amp;N234&amp;" "&amp;T234))),ISNUMBER(SEARCH("banking",LOWER(F234&amp;" "&amp;H234&amp;" "&amp;I234&amp;" "&amp;M234&amp;" "&amp;N234&amp;" "&amp;T234)))),"PRIVATE_QUARANTINE",IF(OR(ISNUMBER(SEARCH("treasury",LOWER(F234&amp;" "&amp;H234&amp;" "&amp;I234&amp;" "&amp;M234&amp;" "&amp;N234&amp;" "&amp;T234))),ISNUMBER(SEARCH("debt",LOWER(F234&amp;" "&amp;H234&amp;" "&amp;I234&amp;" "&amp;M234&amp;" "&amp;N234&amp;" "&amp;T234))),ISNUMBER(SEARCH("bond",LOWER(F234&amp;" "&amp;H234&amp;" "&amp;I234&amp;" "&amp;M234&amp;" "&amp;N234&amp;" "&amp;T234))),ISNUMBER(SEARCH("transaction",LOWER(F234&amp;" "&amp;H234&amp;" "&amp;I234&amp;" "&amp;M234&amp;" "&amp;N234&amp;" "&amp;T234)))),"PRIVATE_REVIEW","PUBLIC_CANDIDATE"))</x:f>
        <x:v>PUBLIC_CANDIDATE</x:v>
      </x:c>
      <x:c r="AD234" s="12" t="str">
        <x:f>IF(AC234="PRIVATE_QUARANTINE","hacker_or_bank_trigger",IF(AC234="PRIVATE_REVIEW","finance_risk_trigger","none"))</x:f>
        <x:v>none</x:v>
      </x:c>
      <x:c r="AE234" s="12" t="str">
        <x:f>IF(AC234="PUBLIC_CANDIDATE","prepare_public_github_candidate",IF(AC234="PRIVATE_REVIEW","hold_for_private_review","quarantine_private_do_not_publish"))</x:f>
        <x:v>prepare_public_github_candidate</x:v>
      </x:c>
      <x:c r="AF234" s="12" t="str">
        <x:f>IF(AC234="PUBLIC_CANDIDATE","TIDELOCK + Lucerna",IF(AC234="PRIVATE_REVIEW","AtlasBrain + Lucerna","TIDELOCK + Lucerna + Human-root"))</x:f>
        <x:v>TIDELOCK + Lucerna</x:v>
      </x:c>
      <x:c r="AG234" s="12" t="str">
        <x:f>IF(AND(AC234="PUBLIC_CANDIDATE",U234&lt;&gt;"BLOCKED_PENDING_RECEIPT"),"READY_AFTER_RECEIPT","NOT_READY")</x:f>
        <x:v>NOT_READY</x:v>
      </x:c>
      <x:c r="AH234" s="12" t="str">
        <x:f>IF(AC234="PUBLIC_CANDIDATE","none",AD234)</x:f>
        <x:v>none</x:v>
      </x:c>
      <x:c r="AI234" s="12" t="str">
        <x:f>IF(AC234="PUBLIC_CANDIDATE","archive/public_candidates/"&amp;A234,"private_quarantine/"&amp;A234)</x:f>
        <x:v>archive/public_candidates/SWARM-02-H08-S05</x:v>
      </x:c>
      <x:c r="AJ234" s="12" t="str">
        <x:f>IF(AC234="PUBLIC_CANDIDATE","public by default; still not canon","private/hold; do not publish")</x:f>
        <x:v>public by default; still not canon</x:v>
      </x:c>
      <x:c r="AK234" s="12" t="str">
        <x:f>IF(AE234="prepare_public_github_candidate","add receipt/status then mirror","resolve blocker before any public GitHub action")</x:f>
        <x:v>add receipt/status then mirror</x:v>
      </x:c>
    </x:row>
    <x:row r="235">
      <x:c r="A235" s="15" t="str">
        <x:v>SWARM-02-H08-S06</x:v>
      </x:c>
      <x:c r="B235" s="15" t="str">
        <x:v>Hashlight</x:v>
      </x:c>
      <x:c r="C235" s="15" t="str">
        <x:v>Hash and identity keeper</x:v>
      </x:c>
      <x:c r="D235" s="15" t="str">
        <x:v>Graph Edge Proposals</x:v>
      </x:c>
      <x:c r="E235" s="15" t="str">
        <x:v>External Web</x:v>
      </x:c>
      <x:c r="F235" s="15" t="str">
        <x:v>Propose graph edges for External Web — Hashlight</x:v>
      </x:c>
      <x:c r="G235" s="15" t="str">
        <x:v>ids / hashes / timestamps / duplicate control</x:v>
      </x:c>
      <x:c r="H235" s="15" t="str">
        <x:v>source path + receipt + raw/export status + claim/edge/risk delta</x:v>
      </x:c>
      <x:c r="I235" s="15" t="str">
        <x:v>packet/SWARM-02-H08-S06</x:v>
      </x:c>
      <x:c r="J235" s="15" t="str">
        <x:v>TODO</x:v>
      </x:c>
      <x:c r="K235" s="15" t="str">
        <x:v>P1</x:v>
      </x:c>
      <x:c r="L235" s="15" t="str">
        <x:v>Done only when evidence is logged, contradiction search is noted, and boundary stamp remains non-canon unless ratified</x:v>
      </x:c>
      <x:c r="M235" s="15" t="str">
        <x:v>candidate / staging-only / not canon / not deployed / authority none</x:v>
      </x:c>
      <x:c r="N235" s="15" t="str">
        <x:v>Dispatch to Hashlight: complete Graph Edge Proposals x External Web; return deltas only, receipts required.</x:v>
      </x:c>
      <x:c r="O235" s="15" t="str">
        <x:v>AF-KG-H08-S06</x:v>
      </x:c>
      <x:c r="P235" s="15" t="str">
        <x:v>Unverified</x:v>
      </x:c>
      <x:c r="Q235" s="15" t="str">
        <x:v>Not checked</x:v>
      </x:c>
      <x:c r="R235" s="15" t="str"/>
      <x:c r="S235" s="15" t="str"/>
      <x:c r="T235" s="15" t="str">
        <x:v>Log first source path or blocker</x:v>
      </x:c>
      <x:c r="U235" s="12" t="str">
        <x:f>IF(OR(P235="Unverified",Q235="Not checked"),"BLOCKED_PENDING_RECEIPT","READY_FOR_REVIEW")</x:f>
        <x:v>BLOCKED_PENDING_RECEIPT</x:v>
      </x:c>
      <x:c r="V235" s="12" t="str">
        <x:f>IF(J235="DONE","RETURNED",IF(U235="BLOCKED_PENDING_RECEIPT","SOURCE_TOUCH_REQUIRED","IN_PROGRESS"))</x:f>
        <x:v>SOURCE_TOUCH_REQUIRED</x:v>
      </x:c>
      <x:c r="W235" s="12" t="str">
        <x:f>IF(P235="Unverified","missing_receipt","receipt_logged")</x:f>
        <x:v>missing_receipt</x:v>
      </x:c>
      <x:c r="X235" s="12" t="str">
        <x:f>IF(Q235="Not checked","raw_status_missing","raw_status_logged")</x:f>
        <x:v>raw_status_missing</x:v>
      </x:c>
      <x:c r="Y235" s="12" t="str">
        <x:f>IF(U235="BLOCKED_PENDING_RECEIPT","Log source path or blocker; do not promote","Route to review lane")</x:f>
        <x:v>Log source path or blocker; do not promote</x:v>
      </x:c>
      <x:c r="Z235" s="12" t="str">
        <x:f>IF(K235="P0","Primary seat + Hashlight/Lucerna","Seat lane")</x:f>
        <x:v>Seat lane</x:v>
      </x:c>
      <x:c r="AA235" s="12" t="str">
        <x:f>IF(R235="","no_claim_delta","claim_delta_present")</x:f>
        <x:v>no_claim_delta</x:v>
      </x:c>
      <x:c r="AB235" s="12" t="str">
        <x:f>IF(S235="","no_contradiction_delta","contradiction_delta_present")</x:f>
        <x:v>no_contradiction_delta</x:v>
      </x:c>
      <x:c r="AC235" s="12" t="str">
        <x:f>IF(OR(ISNUMBER(SEARCH("hacker",LOWER(F235&amp;" "&amp;H235&amp;" "&amp;I235&amp;" "&amp;M235&amp;" "&amp;N235&amp;" "&amp;T235))),ISNUMBER(SEARCH("hacking",LOWER(F235&amp;" "&amp;H235&amp;" "&amp;I235&amp;" "&amp;M235&amp;" "&amp;N235&amp;" "&amp;T235))),ISNUMBER(SEARCH("bank",LOWER(F235&amp;" "&amp;H235&amp;" "&amp;I235&amp;" "&amp;M235&amp;" "&amp;N235&amp;" "&amp;T235))),ISNUMBER(SEARCH("banking",LOWER(F235&amp;" "&amp;H235&amp;" "&amp;I235&amp;" "&amp;M235&amp;" "&amp;N235&amp;" "&amp;T235)))),"PRIVATE_QUARANTINE",IF(OR(ISNUMBER(SEARCH("treasury",LOWER(F235&amp;" "&amp;H235&amp;" "&amp;I235&amp;" "&amp;M235&amp;" "&amp;N235&amp;" "&amp;T235))),ISNUMBER(SEARCH("debt",LOWER(F235&amp;" "&amp;H235&amp;" "&amp;I235&amp;" "&amp;M235&amp;" "&amp;N235&amp;" "&amp;T235))),ISNUMBER(SEARCH("bond",LOWER(F235&amp;" "&amp;H235&amp;" "&amp;I235&amp;" "&amp;M235&amp;" "&amp;N235&amp;" "&amp;T235))),ISNUMBER(SEARCH("transaction",LOWER(F235&amp;" "&amp;H235&amp;" "&amp;I235&amp;" "&amp;M235&amp;" "&amp;N235&amp;" "&amp;T235)))),"PRIVATE_REVIEW","PUBLIC_CANDIDATE"))</x:f>
        <x:v>PUBLIC_CANDIDATE</x:v>
      </x:c>
      <x:c r="AD235" s="12" t="str">
        <x:f>IF(AC235="PRIVATE_QUARANTINE","hacker_or_bank_trigger",IF(AC235="PRIVATE_REVIEW","finance_risk_trigger","none"))</x:f>
        <x:v>none</x:v>
      </x:c>
      <x:c r="AE235" s="12" t="str">
        <x:f>IF(AC235="PUBLIC_CANDIDATE","prepare_public_github_candidate",IF(AC235="PRIVATE_REVIEW","hold_for_private_review","quarantine_private_do_not_publish"))</x:f>
        <x:v>prepare_public_github_candidate</x:v>
      </x:c>
      <x:c r="AF235" s="12" t="str">
        <x:f>IF(AC235="PUBLIC_CANDIDATE","TIDELOCK + Lucerna",IF(AC235="PRIVATE_REVIEW","AtlasBrain + Lucerna","TIDELOCK + Lucerna + Human-root"))</x:f>
        <x:v>TIDELOCK + Lucerna</x:v>
      </x:c>
      <x:c r="AG235" s="12" t="str">
        <x:f>IF(AND(AC235="PUBLIC_CANDIDATE",U235&lt;&gt;"BLOCKED_PENDING_RECEIPT"),"READY_AFTER_RECEIPT","NOT_READY")</x:f>
        <x:v>NOT_READY</x:v>
      </x:c>
      <x:c r="AH235" s="12" t="str">
        <x:f>IF(AC235="PUBLIC_CANDIDATE","none",AD235)</x:f>
        <x:v>none</x:v>
      </x:c>
      <x:c r="AI235" s="12" t="str">
        <x:f>IF(AC235="PUBLIC_CANDIDATE","archive/public_candidates/"&amp;A235,"private_quarantine/"&amp;A235)</x:f>
        <x:v>archive/public_candidates/SWARM-02-H08-S06</x:v>
      </x:c>
      <x:c r="AJ235" s="12" t="str">
        <x:f>IF(AC235="PUBLIC_CANDIDATE","public by default; still not canon","private/hold; do not publish")</x:f>
        <x:v>public by default; still not canon</x:v>
      </x:c>
      <x:c r="AK235" s="12" t="str">
        <x:f>IF(AE235="prepare_public_github_candidate","add receipt/status then mirror","resolve blocker before any public GitHub action")</x:f>
        <x:v>add receipt/status then mirror</x:v>
      </x:c>
    </x:row>
    <x:row r="236">
      <x:c r="A236" s="15" t="str">
        <x:v>SWARM-02-H08-S07</x:v>
      </x:c>
      <x:c r="B236" s="15" t="str">
        <x:v>Hashlight</x:v>
      </x:c>
      <x:c r="C236" s="15" t="str">
        <x:v>Hash and identity keeper</x:v>
      </x:c>
      <x:c r="D236" s="15" t="str">
        <x:v>Graph Edge Proposals</x:v>
      </x:c>
      <x:c r="E236" s="15" t="str">
        <x:v>Planetarium</x:v>
      </x:c>
      <x:c r="F236" s="15" t="str">
        <x:v>Propose graph edges for Planetarium — Hashlight</x:v>
      </x:c>
      <x:c r="G236" s="15" t="str">
        <x:v>ids / hashes / timestamps / duplicate control</x:v>
      </x:c>
      <x:c r="H236" s="15" t="str">
        <x:v>source path + receipt + raw/export status + claim/edge/risk delta</x:v>
      </x:c>
      <x:c r="I236" s="15" t="str">
        <x:v>packet/SWARM-02-H08-S07</x:v>
      </x:c>
      <x:c r="J236" s="15" t="str">
        <x:v>TODO</x:v>
      </x:c>
      <x:c r="K236" s="15" t="str">
        <x:v>P1</x:v>
      </x:c>
      <x:c r="L236" s="15" t="str">
        <x:v>Done only when evidence is logged, contradiction search is noted, and boundary stamp remains non-canon unless ratified</x:v>
      </x:c>
      <x:c r="M236" s="15" t="str">
        <x:v>candidate / staging-only / not canon / not deployed / authority none</x:v>
      </x:c>
      <x:c r="N236" s="15" t="str">
        <x:v>Dispatch to Hashlight: complete Graph Edge Proposals x Planetarium; return deltas only, receipts required.</x:v>
      </x:c>
      <x:c r="O236" s="15" t="str">
        <x:v>AF-KG-H08-S07</x:v>
      </x:c>
      <x:c r="P236" s="15" t="str">
        <x:v>Unverified</x:v>
      </x:c>
      <x:c r="Q236" s="15" t="str">
        <x:v>Not checked</x:v>
      </x:c>
      <x:c r="R236" s="15" t="str"/>
      <x:c r="S236" s="15" t="str"/>
      <x:c r="T236" s="15" t="str">
        <x:v>Log first source path or blocker</x:v>
      </x:c>
      <x:c r="U236" s="12" t="str">
        <x:f>IF(OR(P236="Unverified",Q236="Not checked"),"BLOCKED_PENDING_RECEIPT","READY_FOR_REVIEW")</x:f>
        <x:v>BLOCKED_PENDING_RECEIPT</x:v>
      </x:c>
      <x:c r="V236" s="12" t="str">
        <x:f>IF(J236="DONE","RETURNED",IF(U236="BLOCKED_PENDING_RECEIPT","SOURCE_TOUCH_REQUIRED","IN_PROGRESS"))</x:f>
        <x:v>SOURCE_TOUCH_REQUIRED</x:v>
      </x:c>
      <x:c r="W236" s="12" t="str">
        <x:f>IF(P236="Unverified","missing_receipt","receipt_logged")</x:f>
        <x:v>missing_receipt</x:v>
      </x:c>
      <x:c r="X236" s="12" t="str">
        <x:f>IF(Q236="Not checked","raw_status_missing","raw_status_logged")</x:f>
        <x:v>raw_status_missing</x:v>
      </x:c>
      <x:c r="Y236" s="12" t="str">
        <x:f>IF(U236="BLOCKED_PENDING_RECEIPT","Log source path or blocker; do not promote","Route to review lane")</x:f>
        <x:v>Log source path or blocker; do not promote</x:v>
      </x:c>
      <x:c r="Z236" s="12" t="str">
        <x:f>IF(K236="P0","Primary seat + Hashlight/Lucerna","Seat lane")</x:f>
        <x:v>Seat lane</x:v>
      </x:c>
      <x:c r="AA236" s="12" t="str">
        <x:f>IF(R236="","no_claim_delta","claim_delta_present")</x:f>
        <x:v>no_claim_delta</x:v>
      </x:c>
      <x:c r="AB236" s="12" t="str">
        <x:f>IF(S236="","no_contradiction_delta","contradiction_delta_present")</x:f>
        <x:v>no_contradiction_delta</x:v>
      </x:c>
      <x:c r="AC236" s="12" t="str">
        <x:f>IF(OR(ISNUMBER(SEARCH("hacker",LOWER(F236&amp;" "&amp;H236&amp;" "&amp;I236&amp;" "&amp;M236&amp;" "&amp;N236&amp;" "&amp;T236))),ISNUMBER(SEARCH("hacking",LOWER(F236&amp;" "&amp;H236&amp;" "&amp;I236&amp;" "&amp;M236&amp;" "&amp;N236&amp;" "&amp;T236))),ISNUMBER(SEARCH("bank",LOWER(F236&amp;" "&amp;H236&amp;" "&amp;I236&amp;" "&amp;M236&amp;" "&amp;N236&amp;" "&amp;T236))),ISNUMBER(SEARCH("banking",LOWER(F236&amp;" "&amp;H236&amp;" "&amp;I236&amp;" "&amp;M236&amp;" "&amp;N236&amp;" "&amp;T236)))),"PRIVATE_QUARANTINE",IF(OR(ISNUMBER(SEARCH("treasury",LOWER(F236&amp;" "&amp;H236&amp;" "&amp;I236&amp;" "&amp;M236&amp;" "&amp;N236&amp;" "&amp;T236))),ISNUMBER(SEARCH("debt",LOWER(F236&amp;" "&amp;H236&amp;" "&amp;I236&amp;" "&amp;M236&amp;" "&amp;N236&amp;" "&amp;T236))),ISNUMBER(SEARCH("bond",LOWER(F236&amp;" "&amp;H236&amp;" "&amp;I236&amp;" "&amp;M236&amp;" "&amp;N236&amp;" "&amp;T236))),ISNUMBER(SEARCH("transaction",LOWER(F236&amp;" "&amp;H236&amp;" "&amp;I236&amp;" "&amp;M236&amp;" "&amp;N236&amp;" "&amp;T236)))),"PRIVATE_REVIEW","PUBLIC_CANDIDATE"))</x:f>
        <x:v>PUBLIC_CANDIDATE</x:v>
      </x:c>
      <x:c r="AD236" s="12" t="str">
        <x:f>IF(AC236="PRIVATE_QUARANTINE","hacker_or_bank_trigger",IF(AC236="PRIVATE_REVIEW","finance_risk_trigger","none"))</x:f>
        <x:v>none</x:v>
      </x:c>
      <x:c r="AE236" s="12" t="str">
        <x:f>IF(AC236="PUBLIC_CANDIDATE","prepare_public_github_candidate",IF(AC236="PRIVATE_REVIEW","hold_for_private_review","quarantine_private_do_not_publish"))</x:f>
        <x:v>prepare_public_github_candidate</x:v>
      </x:c>
      <x:c r="AF236" s="12" t="str">
        <x:f>IF(AC236="PUBLIC_CANDIDATE","TIDELOCK + Lucerna",IF(AC236="PRIVATE_REVIEW","AtlasBrain + Lucerna","TIDELOCK + Lucerna + Human-root"))</x:f>
        <x:v>TIDELOCK + Lucerna</x:v>
      </x:c>
      <x:c r="AG236" s="12" t="str">
        <x:f>IF(AND(AC236="PUBLIC_CANDIDATE",U236&lt;&gt;"BLOCKED_PENDING_RECEIPT"),"READY_AFTER_RECEIPT","NOT_READY")</x:f>
        <x:v>NOT_READY</x:v>
      </x:c>
      <x:c r="AH236" s="12" t="str">
        <x:f>IF(AC236="PUBLIC_CANDIDATE","none",AD236)</x:f>
        <x:v>none</x:v>
      </x:c>
      <x:c r="AI236" s="12" t="str">
        <x:f>IF(AC236="PUBLIC_CANDIDATE","archive/public_candidates/"&amp;A236,"private_quarantine/"&amp;A236)</x:f>
        <x:v>archive/public_candidates/SWARM-02-H08-S07</x:v>
      </x:c>
      <x:c r="AJ236" s="12" t="str">
        <x:f>IF(AC236="PUBLIC_CANDIDATE","public by default; still not canon","private/hold; do not publish")</x:f>
        <x:v>public by default; still not canon</x:v>
      </x:c>
      <x:c r="AK236" s="12" t="str">
        <x:f>IF(AE236="prepare_public_github_candidate","add receipt/status then mirror","resolve blocker before any public GitHub action")</x:f>
        <x:v>add receipt/status then mirror</x:v>
      </x:c>
    </x:row>
    <x:row r="237">
      <x:c r="A237" s="15" t="str">
        <x:v>SWARM-02-H08-S08</x:v>
      </x:c>
      <x:c r="B237" s="15" t="str">
        <x:v>Hashlight</x:v>
      </x:c>
      <x:c r="C237" s="15" t="str">
        <x:v>Hash and identity keeper</x:v>
      </x:c>
      <x:c r="D237" s="15" t="str">
        <x:v>Graph Edge Proposals</x:v>
      </x:c>
      <x:c r="E237" s="15" t="str">
        <x:v>Sheldonbrain</x:v>
      </x:c>
      <x:c r="F237" s="15" t="str">
        <x:v>Propose graph edges for Sheldonbrain — Hashlight</x:v>
      </x:c>
      <x:c r="G237" s="15" t="str">
        <x:v>ids / hashes / timestamps / duplicate control</x:v>
      </x:c>
      <x:c r="H237" s="15" t="str">
        <x:v>source path + receipt + raw/export status + claim/edge/risk delta</x:v>
      </x:c>
      <x:c r="I237" s="15" t="str">
        <x:v>packet/SWARM-02-H08-S08</x:v>
      </x:c>
      <x:c r="J237" s="15" t="str">
        <x:v>TODO</x:v>
      </x:c>
      <x:c r="K237" s="15" t="str">
        <x:v>P1</x:v>
      </x:c>
      <x:c r="L237" s="15" t="str">
        <x:v>Done only when evidence is logged, contradiction search is noted, and boundary stamp remains non-canon unless ratified</x:v>
      </x:c>
      <x:c r="M237" s="15" t="str">
        <x:v>candidate / staging-only / not canon / not deployed / authority none</x:v>
      </x:c>
      <x:c r="N237" s="15" t="str">
        <x:v>Dispatch to Hashlight: complete Graph Edge Proposals x Sheldonbrain; return deltas only, receipts required.</x:v>
      </x:c>
      <x:c r="O237" s="15" t="str">
        <x:v>AF-KG-H08-S08</x:v>
      </x:c>
      <x:c r="P237" s="15" t="str">
        <x:v>Unverified</x:v>
      </x:c>
      <x:c r="Q237" s="15" t="str">
        <x:v>Not checked</x:v>
      </x:c>
      <x:c r="R237" s="15" t="str"/>
      <x:c r="S237" s="15" t="str"/>
      <x:c r="T237" s="15" t="str">
        <x:v>Log first source path or blocker</x:v>
      </x:c>
      <x:c r="U237" s="12" t="str">
        <x:f>IF(OR(P237="Unverified",Q237="Not checked"),"BLOCKED_PENDING_RECEIPT","READY_FOR_REVIEW")</x:f>
        <x:v>BLOCKED_PENDING_RECEIPT</x:v>
      </x:c>
      <x:c r="V237" s="12" t="str">
        <x:f>IF(J237="DONE","RETURNED",IF(U237="BLOCKED_PENDING_RECEIPT","SOURCE_TOUCH_REQUIRED","IN_PROGRESS"))</x:f>
        <x:v>SOURCE_TOUCH_REQUIRED</x:v>
      </x:c>
      <x:c r="W237" s="12" t="str">
        <x:f>IF(P237="Unverified","missing_receipt","receipt_logged")</x:f>
        <x:v>missing_receipt</x:v>
      </x:c>
      <x:c r="X237" s="12" t="str">
        <x:f>IF(Q237="Not checked","raw_status_missing","raw_status_logged")</x:f>
        <x:v>raw_status_missing</x:v>
      </x:c>
      <x:c r="Y237" s="12" t="str">
        <x:f>IF(U237="BLOCKED_PENDING_RECEIPT","Log source path or blocker; do not promote","Route to review lane")</x:f>
        <x:v>Log source path or blocker; do not promote</x:v>
      </x:c>
      <x:c r="Z237" s="12" t="str">
        <x:f>IF(K237="P0","Primary seat + Hashlight/Lucerna","Seat lane")</x:f>
        <x:v>Seat lane</x:v>
      </x:c>
      <x:c r="AA237" s="12" t="str">
        <x:f>IF(R237="","no_claim_delta","claim_delta_present")</x:f>
        <x:v>no_claim_delta</x:v>
      </x:c>
      <x:c r="AB237" s="12" t="str">
        <x:f>IF(S237="","no_contradiction_delta","contradiction_delta_present")</x:f>
        <x:v>no_contradiction_delta</x:v>
      </x:c>
      <x:c r="AC237" s="12" t="str">
        <x:f>IF(OR(ISNUMBER(SEARCH("hacker",LOWER(F237&amp;" "&amp;H237&amp;" "&amp;I237&amp;" "&amp;M237&amp;" "&amp;N237&amp;" "&amp;T237))),ISNUMBER(SEARCH("hacking",LOWER(F237&amp;" "&amp;H237&amp;" "&amp;I237&amp;" "&amp;M237&amp;" "&amp;N237&amp;" "&amp;T237))),ISNUMBER(SEARCH("bank",LOWER(F237&amp;" "&amp;H237&amp;" "&amp;I237&amp;" "&amp;M237&amp;" "&amp;N237&amp;" "&amp;T237))),ISNUMBER(SEARCH("banking",LOWER(F237&amp;" "&amp;H237&amp;" "&amp;I237&amp;" "&amp;M237&amp;" "&amp;N237&amp;" "&amp;T237)))),"PRIVATE_QUARANTINE",IF(OR(ISNUMBER(SEARCH("treasury",LOWER(F237&amp;" "&amp;H237&amp;" "&amp;I237&amp;" "&amp;M237&amp;" "&amp;N237&amp;" "&amp;T237))),ISNUMBER(SEARCH("debt",LOWER(F237&amp;" "&amp;H237&amp;" "&amp;I237&amp;" "&amp;M237&amp;" "&amp;N237&amp;" "&amp;T237))),ISNUMBER(SEARCH("bond",LOWER(F237&amp;" "&amp;H237&amp;" "&amp;I237&amp;" "&amp;M237&amp;" "&amp;N237&amp;" "&amp;T237))),ISNUMBER(SEARCH("transaction",LOWER(F237&amp;" "&amp;H237&amp;" "&amp;I237&amp;" "&amp;M237&amp;" "&amp;N237&amp;" "&amp;T237)))),"PRIVATE_REVIEW","PUBLIC_CANDIDATE"))</x:f>
        <x:v>PUBLIC_CANDIDATE</x:v>
      </x:c>
      <x:c r="AD237" s="12" t="str">
        <x:f>IF(AC237="PRIVATE_QUARANTINE","hacker_or_bank_trigger",IF(AC237="PRIVATE_REVIEW","finance_risk_trigger","none"))</x:f>
        <x:v>none</x:v>
      </x:c>
      <x:c r="AE237" s="12" t="str">
        <x:f>IF(AC237="PUBLIC_CANDIDATE","prepare_public_github_candidate",IF(AC237="PRIVATE_REVIEW","hold_for_private_review","quarantine_private_do_not_publish"))</x:f>
        <x:v>prepare_public_github_candidate</x:v>
      </x:c>
      <x:c r="AF237" s="12" t="str">
        <x:f>IF(AC237="PUBLIC_CANDIDATE","TIDELOCK + Lucerna",IF(AC237="PRIVATE_REVIEW","AtlasBrain + Lucerna","TIDELOCK + Lucerna + Human-root"))</x:f>
        <x:v>TIDELOCK + Lucerna</x:v>
      </x:c>
      <x:c r="AG237" s="12" t="str">
        <x:f>IF(AND(AC237="PUBLIC_CANDIDATE",U237&lt;&gt;"BLOCKED_PENDING_RECEIPT"),"READY_AFTER_RECEIPT","NOT_READY")</x:f>
        <x:v>NOT_READY</x:v>
      </x:c>
      <x:c r="AH237" s="12" t="str">
        <x:f>IF(AC237="PUBLIC_CANDIDATE","none",AD237)</x:f>
        <x:v>none</x:v>
      </x:c>
      <x:c r="AI237" s="12" t="str">
        <x:f>IF(AC237="PUBLIC_CANDIDATE","archive/public_candidates/"&amp;A237,"private_quarantine/"&amp;A237)</x:f>
        <x:v>archive/public_candidates/SWARM-02-H08-S08</x:v>
      </x:c>
      <x:c r="AJ237" s="12" t="str">
        <x:f>IF(AC237="PUBLIC_CANDIDATE","public by default; still not canon","private/hold; do not publish")</x:f>
        <x:v>public by default; still not canon</x:v>
      </x:c>
      <x:c r="AK237" s="12" t="str">
        <x:f>IF(AE237="prepare_public_github_candidate","add receipt/status then mirror","resolve blocker before any public GitHub action")</x:f>
        <x:v>add receipt/status then mirror</x:v>
      </x:c>
    </x:row>
    <x:row r="238">
      <x:c r="A238" s="15" t="str">
        <x:v>SWARM-02-H08-S09</x:v>
      </x:c>
      <x:c r="B238" s="15" t="str">
        <x:v>Hashlight</x:v>
      </x:c>
      <x:c r="C238" s="15" t="str">
        <x:v>Hash and identity keeper</x:v>
      </x:c>
      <x:c r="D238" s="15" t="str">
        <x:v>Graph Edge Proposals</x:v>
      </x:c>
      <x:c r="E238" s="15" t="str">
        <x:v>Aetherforge</x:v>
      </x:c>
      <x:c r="F238" s="15" t="str">
        <x:v>Propose graph edges for Aetherforge — Hashlight</x:v>
      </x:c>
      <x:c r="G238" s="15" t="str">
        <x:v>ids / hashes / timestamps / duplicate control</x:v>
      </x:c>
      <x:c r="H238" s="15" t="str">
        <x:v>source path + receipt + raw/export status + claim/edge/risk delta</x:v>
      </x:c>
      <x:c r="I238" s="15" t="str">
        <x:v>packet/SWARM-02-H08-S09</x:v>
      </x:c>
      <x:c r="J238" s="15" t="str">
        <x:v>TODO</x:v>
      </x:c>
      <x:c r="K238" s="15" t="str">
        <x:v>P2</x:v>
      </x:c>
      <x:c r="L238" s="15" t="str">
        <x:v>Done only when evidence is logged, contradiction search is noted, and boundary stamp remains non-canon unless ratified</x:v>
      </x:c>
      <x:c r="M238" s="15" t="str">
        <x:v>candidate / staging-only / not canon / not deployed / authority none</x:v>
      </x:c>
      <x:c r="N238" s="15" t="str">
        <x:v>Dispatch to Hashlight: complete Graph Edge Proposals x Aetherforge; return deltas only, receipts required.</x:v>
      </x:c>
      <x:c r="O238" s="15" t="str">
        <x:v>AF-KG-H08-S09</x:v>
      </x:c>
      <x:c r="P238" s="15" t="str">
        <x:v>Unverified</x:v>
      </x:c>
      <x:c r="Q238" s="15" t="str">
        <x:v>Not checked</x:v>
      </x:c>
      <x:c r="R238" s="15" t="str"/>
      <x:c r="S238" s="15" t="str"/>
      <x:c r="T238" s="15" t="str">
        <x:v>Log first source path or blocker</x:v>
      </x:c>
      <x:c r="U238" s="12" t="str">
        <x:f>IF(OR(P238="Unverified",Q238="Not checked"),"BLOCKED_PENDING_RECEIPT","READY_FOR_REVIEW")</x:f>
        <x:v>BLOCKED_PENDING_RECEIPT</x:v>
      </x:c>
      <x:c r="V238" s="12" t="str">
        <x:f>IF(J238="DONE","RETURNED",IF(U238="BLOCKED_PENDING_RECEIPT","SOURCE_TOUCH_REQUIRED","IN_PROGRESS"))</x:f>
        <x:v>SOURCE_TOUCH_REQUIRED</x:v>
      </x:c>
      <x:c r="W238" s="12" t="str">
        <x:f>IF(P238="Unverified","missing_receipt","receipt_logged")</x:f>
        <x:v>missing_receipt</x:v>
      </x:c>
      <x:c r="X238" s="12" t="str">
        <x:f>IF(Q238="Not checked","raw_status_missing","raw_status_logged")</x:f>
        <x:v>raw_status_missing</x:v>
      </x:c>
      <x:c r="Y238" s="12" t="str">
        <x:f>IF(U238="BLOCKED_PENDING_RECEIPT","Log source path or blocker; do not promote","Route to review lane")</x:f>
        <x:v>Log source path or blocker; do not promote</x:v>
      </x:c>
      <x:c r="Z238" s="12" t="str">
        <x:f>IF(K238="P0","Primary seat + Hashlight/Lucerna","Seat lane")</x:f>
        <x:v>Seat lane</x:v>
      </x:c>
      <x:c r="AA238" s="12" t="str">
        <x:f>IF(R238="","no_claim_delta","claim_delta_present")</x:f>
        <x:v>no_claim_delta</x:v>
      </x:c>
      <x:c r="AB238" s="12" t="str">
        <x:f>IF(S238="","no_contradiction_delta","contradiction_delta_present")</x:f>
        <x:v>no_contradiction_delta</x:v>
      </x:c>
      <x:c r="AC238" s="12" t="str">
        <x:f>IF(OR(ISNUMBER(SEARCH("hacker",LOWER(F238&amp;" "&amp;H238&amp;" "&amp;I238&amp;" "&amp;M238&amp;" "&amp;N238&amp;" "&amp;T238))),ISNUMBER(SEARCH("hacking",LOWER(F238&amp;" "&amp;H238&amp;" "&amp;I238&amp;" "&amp;M238&amp;" "&amp;N238&amp;" "&amp;T238))),ISNUMBER(SEARCH("bank",LOWER(F238&amp;" "&amp;H238&amp;" "&amp;I238&amp;" "&amp;M238&amp;" "&amp;N238&amp;" "&amp;T238))),ISNUMBER(SEARCH("banking",LOWER(F238&amp;" "&amp;H238&amp;" "&amp;I238&amp;" "&amp;M238&amp;" "&amp;N238&amp;" "&amp;T238)))),"PRIVATE_QUARANTINE",IF(OR(ISNUMBER(SEARCH("treasury",LOWER(F238&amp;" "&amp;H238&amp;" "&amp;I238&amp;" "&amp;M238&amp;" "&amp;N238&amp;" "&amp;T238))),ISNUMBER(SEARCH("debt",LOWER(F238&amp;" "&amp;H238&amp;" "&amp;I238&amp;" "&amp;M238&amp;" "&amp;N238&amp;" "&amp;T238))),ISNUMBER(SEARCH("bond",LOWER(F238&amp;" "&amp;H238&amp;" "&amp;I238&amp;" "&amp;M238&amp;" "&amp;N238&amp;" "&amp;T238))),ISNUMBER(SEARCH("transaction",LOWER(F238&amp;" "&amp;H238&amp;" "&amp;I238&amp;" "&amp;M238&amp;" "&amp;N238&amp;" "&amp;T238)))),"PRIVATE_REVIEW","PUBLIC_CANDIDATE"))</x:f>
        <x:v>PUBLIC_CANDIDATE</x:v>
      </x:c>
      <x:c r="AD238" s="12" t="str">
        <x:f>IF(AC238="PRIVATE_QUARANTINE","hacker_or_bank_trigger",IF(AC238="PRIVATE_REVIEW","finance_risk_trigger","none"))</x:f>
        <x:v>none</x:v>
      </x:c>
      <x:c r="AE238" s="12" t="str">
        <x:f>IF(AC238="PUBLIC_CANDIDATE","prepare_public_github_candidate",IF(AC238="PRIVATE_REVIEW","hold_for_private_review","quarantine_private_do_not_publish"))</x:f>
        <x:v>prepare_public_github_candidate</x:v>
      </x:c>
      <x:c r="AF238" s="12" t="str">
        <x:f>IF(AC238="PUBLIC_CANDIDATE","TIDELOCK + Lucerna",IF(AC238="PRIVATE_REVIEW","AtlasBrain + Lucerna","TIDELOCK + Lucerna + Human-root"))</x:f>
        <x:v>TIDELOCK + Lucerna</x:v>
      </x:c>
      <x:c r="AG238" s="12" t="str">
        <x:f>IF(AND(AC238="PUBLIC_CANDIDATE",U238&lt;&gt;"BLOCKED_PENDING_RECEIPT"),"READY_AFTER_RECEIPT","NOT_READY")</x:f>
        <x:v>NOT_READY</x:v>
      </x:c>
      <x:c r="AH238" s="12" t="str">
        <x:f>IF(AC238="PUBLIC_CANDIDATE","none",AD238)</x:f>
        <x:v>none</x:v>
      </x:c>
      <x:c r="AI238" s="12" t="str">
        <x:f>IF(AC238="PUBLIC_CANDIDATE","archive/public_candidates/"&amp;A238,"private_quarantine/"&amp;A238)</x:f>
        <x:v>archive/public_candidates/SWARM-02-H08-S09</x:v>
      </x:c>
      <x:c r="AJ238" s="12" t="str">
        <x:f>IF(AC238="PUBLIC_CANDIDATE","public by default; still not canon","private/hold; do not publish")</x:f>
        <x:v>public by default; still not canon</x:v>
      </x:c>
      <x:c r="AK238" s="12" t="str">
        <x:f>IF(AE238="prepare_public_github_candidate","add receipt/status then mirror","resolve blocker before any public GitHub action")</x:f>
        <x:v>add receipt/status then mirror</x:v>
      </x:c>
    </x:row>
    <x:row r="239">
      <x:c r="A239" s="15" t="str">
        <x:v>SWARM-02-H08-S10</x:v>
      </x:c>
      <x:c r="B239" s="15" t="str">
        <x:v>Hashlight</x:v>
      </x:c>
      <x:c r="C239" s="15" t="str">
        <x:v>Hash and identity keeper</x:v>
      </x:c>
      <x:c r="D239" s="15" t="str">
        <x:v>Graph Edge Proposals</x:v>
      </x:c>
      <x:c r="E239" s="15" t="str">
        <x:v>Human-Root</x:v>
      </x:c>
      <x:c r="F239" s="15" t="str">
        <x:v>Propose graph edges for Human-Root — Hashlight</x:v>
      </x:c>
      <x:c r="G239" s="15" t="str">
        <x:v>ids / hashes / timestamps / duplicate control</x:v>
      </x:c>
      <x:c r="H239" s="15" t="str">
        <x:v>source path + receipt + raw/export status + claim/edge/risk delta</x:v>
      </x:c>
      <x:c r="I239" s="15" t="str">
        <x:v>packet/SWARM-02-H08-S10</x:v>
      </x:c>
      <x:c r="J239" s="15" t="str">
        <x:v>TODO</x:v>
      </x:c>
      <x:c r="K239" s="15" t="str">
        <x:v>P2</x:v>
      </x:c>
      <x:c r="L239" s="15" t="str">
        <x:v>Done only when evidence is logged, contradiction search is noted, and boundary stamp remains non-canon unless ratified</x:v>
      </x:c>
      <x:c r="M239" s="15" t="str">
        <x:v>candidate / staging-only / not canon / not deployed / authority none</x:v>
      </x:c>
      <x:c r="N239" s="15" t="str">
        <x:v>Dispatch to Hashlight: complete Graph Edge Proposals x Human-Root; return deltas only, receipts required.</x:v>
      </x:c>
      <x:c r="O239" s="15" t="str">
        <x:v>AF-KG-H08-S10</x:v>
      </x:c>
      <x:c r="P239" s="15" t="str">
        <x:v>Unverified</x:v>
      </x:c>
      <x:c r="Q239" s="15" t="str">
        <x:v>Not checked</x:v>
      </x:c>
      <x:c r="R239" s="15" t="str"/>
      <x:c r="S239" s="15" t="str"/>
      <x:c r="T239" s="15" t="str">
        <x:v>Log first source path or blocker</x:v>
      </x:c>
      <x:c r="U239" s="12" t="str">
        <x:f>IF(OR(P239="Unverified",Q239="Not checked"),"BLOCKED_PENDING_RECEIPT","READY_FOR_REVIEW")</x:f>
        <x:v>BLOCKED_PENDING_RECEIPT</x:v>
      </x:c>
      <x:c r="V239" s="12" t="str">
        <x:f>IF(J239="DONE","RETURNED",IF(U239="BLOCKED_PENDING_RECEIPT","SOURCE_TOUCH_REQUIRED","IN_PROGRESS"))</x:f>
        <x:v>SOURCE_TOUCH_REQUIRED</x:v>
      </x:c>
      <x:c r="W239" s="12" t="str">
        <x:f>IF(P239="Unverified","missing_receipt","receipt_logged")</x:f>
        <x:v>missing_receipt</x:v>
      </x:c>
      <x:c r="X239" s="12" t="str">
        <x:f>IF(Q239="Not checked","raw_status_missing","raw_status_logged")</x:f>
        <x:v>raw_status_missing</x:v>
      </x:c>
      <x:c r="Y239" s="12" t="str">
        <x:f>IF(U239="BLOCKED_PENDING_RECEIPT","Log source path or blocker; do not promote","Route to review lane")</x:f>
        <x:v>Log source path or blocker; do not promote</x:v>
      </x:c>
      <x:c r="Z239" s="12" t="str">
        <x:f>IF(K239="P0","Primary seat + Hashlight/Lucerna","Seat lane")</x:f>
        <x:v>Seat lane</x:v>
      </x:c>
      <x:c r="AA239" s="12" t="str">
        <x:f>IF(R239="","no_claim_delta","claim_delta_present")</x:f>
        <x:v>no_claim_delta</x:v>
      </x:c>
      <x:c r="AB239" s="12" t="str">
        <x:f>IF(S239="","no_contradiction_delta","contradiction_delta_present")</x:f>
        <x:v>no_contradiction_delta</x:v>
      </x:c>
      <x:c r="AC239" s="12" t="str">
        <x:f>IF(OR(ISNUMBER(SEARCH("hacker",LOWER(F239&amp;" "&amp;H239&amp;" "&amp;I239&amp;" "&amp;M239&amp;" "&amp;N239&amp;" "&amp;T239))),ISNUMBER(SEARCH("hacking",LOWER(F239&amp;" "&amp;H239&amp;" "&amp;I239&amp;" "&amp;M239&amp;" "&amp;N239&amp;" "&amp;T239))),ISNUMBER(SEARCH("bank",LOWER(F239&amp;" "&amp;H239&amp;" "&amp;I239&amp;" "&amp;M239&amp;" "&amp;N239&amp;" "&amp;T239))),ISNUMBER(SEARCH("banking",LOWER(F239&amp;" "&amp;H239&amp;" "&amp;I239&amp;" "&amp;M239&amp;" "&amp;N239&amp;" "&amp;T239)))),"PRIVATE_QUARANTINE",IF(OR(ISNUMBER(SEARCH("treasury",LOWER(F239&amp;" "&amp;H239&amp;" "&amp;I239&amp;" "&amp;M239&amp;" "&amp;N239&amp;" "&amp;T239))),ISNUMBER(SEARCH("debt",LOWER(F239&amp;" "&amp;H239&amp;" "&amp;I239&amp;" "&amp;M239&amp;" "&amp;N239&amp;" "&amp;T239))),ISNUMBER(SEARCH("bond",LOWER(F239&amp;" "&amp;H239&amp;" "&amp;I239&amp;" "&amp;M239&amp;" "&amp;N239&amp;" "&amp;T239))),ISNUMBER(SEARCH("transaction",LOWER(F239&amp;" "&amp;H239&amp;" "&amp;I239&amp;" "&amp;M239&amp;" "&amp;N239&amp;" "&amp;T239)))),"PRIVATE_REVIEW","PUBLIC_CANDIDATE"))</x:f>
        <x:v>PUBLIC_CANDIDATE</x:v>
      </x:c>
      <x:c r="AD239" s="12" t="str">
        <x:f>IF(AC239="PRIVATE_QUARANTINE","hacker_or_bank_trigger",IF(AC239="PRIVATE_REVIEW","finance_risk_trigger","none"))</x:f>
        <x:v>none</x:v>
      </x:c>
      <x:c r="AE239" s="12" t="str">
        <x:f>IF(AC239="PUBLIC_CANDIDATE","prepare_public_github_candidate",IF(AC239="PRIVATE_REVIEW","hold_for_private_review","quarantine_private_do_not_publish"))</x:f>
        <x:v>prepare_public_github_candidate</x:v>
      </x:c>
      <x:c r="AF239" s="12" t="str">
        <x:f>IF(AC239="PUBLIC_CANDIDATE","TIDELOCK + Lucerna",IF(AC239="PRIVATE_REVIEW","AtlasBrain + Lucerna","TIDELOCK + Lucerna + Human-root"))</x:f>
        <x:v>TIDELOCK + Lucerna</x:v>
      </x:c>
      <x:c r="AG239" s="12" t="str">
        <x:f>IF(AND(AC239="PUBLIC_CANDIDATE",U239&lt;&gt;"BLOCKED_PENDING_RECEIPT"),"READY_AFTER_RECEIPT","NOT_READY")</x:f>
        <x:v>NOT_READY</x:v>
      </x:c>
      <x:c r="AH239" s="12" t="str">
        <x:f>IF(AC239="PUBLIC_CANDIDATE","none",AD239)</x:f>
        <x:v>none</x:v>
      </x:c>
      <x:c r="AI239" s="12" t="str">
        <x:f>IF(AC239="PUBLIC_CANDIDATE","archive/public_candidates/"&amp;A239,"private_quarantine/"&amp;A239)</x:f>
        <x:v>archive/public_candidates/SWARM-02-H08-S10</x:v>
      </x:c>
      <x:c r="AJ239" s="12" t="str">
        <x:f>IF(AC239="PUBLIC_CANDIDATE","public by default; still not canon","private/hold; do not publish")</x:f>
        <x:v>public by default; still not canon</x:v>
      </x:c>
      <x:c r="AK239" s="12" t="str">
        <x:f>IF(AE239="prepare_public_github_candidate","add receipt/status then mirror","resolve blocker before any public GitHub action")</x:f>
        <x:v>add receipt/status then mirror</x:v>
      </x:c>
    </x:row>
    <x:row r="240">
      <x:c r="A240" s="15" t="str">
        <x:v>SWARM-02-H08-S11</x:v>
      </x:c>
      <x:c r="B240" s="15" t="str">
        <x:v>Hashlight</x:v>
      </x:c>
      <x:c r="C240" s="15" t="str">
        <x:v>Hash and identity keeper</x:v>
      </x:c>
      <x:c r="D240" s="15" t="str">
        <x:v>Graph Edge Proposals</x:v>
      </x:c>
      <x:c r="E240" s="15" t="str">
        <x:v>Automation</x:v>
      </x:c>
      <x:c r="F240" s="15" t="str">
        <x:v>Propose graph edges for Automation — Hashlight</x:v>
      </x:c>
      <x:c r="G240" s="15" t="str">
        <x:v>ids / hashes / timestamps / duplicate control</x:v>
      </x:c>
      <x:c r="H240" s="15" t="str">
        <x:v>source path + receipt + raw/export status + claim/edge/risk delta</x:v>
      </x:c>
      <x:c r="I240" s="15" t="str">
        <x:v>packet/SWARM-02-H08-S11</x:v>
      </x:c>
      <x:c r="J240" s="15" t="str">
        <x:v>TODO</x:v>
      </x:c>
      <x:c r="K240" s="15" t="str">
        <x:v>P2</x:v>
      </x:c>
      <x:c r="L240" s="15" t="str">
        <x:v>Done only when evidence is logged, contradiction search is noted, and boundary stamp remains non-canon unless ratified</x:v>
      </x:c>
      <x:c r="M240" s="15" t="str">
        <x:v>candidate / staging-only / not canon / not deployed / authority none</x:v>
      </x:c>
      <x:c r="N240" s="15" t="str">
        <x:v>Dispatch to Hashlight: complete Graph Edge Proposals x Automation; return deltas only, receipts required.</x:v>
      </x:c>
      <x:c r="O240" s="15" t="str">
        <x:v>AF-KG-H08-S11</x:v>
      </x:c>
      <x:c r="P240" s="15" t="str">
        <x:v>Unverified</x:v>
      </x:c>
      <x:c r="Q240" s="15" t="str">
        <x:v>Not checked</x:v>
      </x:c>
      <x:c r="R240" s="15" t="str"/>
      <x:c r="S240" s="15" t="str"/>
      <x:c r="T240" s="15" t="str">
        <x:v>Log first source path or blocker</x:v>
      </x:c>
      <x:c r="U240" s="12" t="str">
        <x:f>IF(OR(P240="Unverified",Q240="Not checked"),"BLOCKED_PENDING_RECEIPT","READY_FOR_REVIEW")</x:f>
        <x:v>BLOCKED_PENDING_RECEIPT</x:v>
      </x:c>
      <x:c r="V240" s="12" t="str">
        <x:f>IF(J240="DONE","RETURNED",IF(U240="BLOCKED_PENDING_RECEIPT","SOURCE_TOUCH_REQUIRED","IN_PROGRESS"))</x:f>
        <x:v>SOURCE_TOUCH_REQUIRED</x:v>
      </x:c>
      <x:c r="W240" s="12" t="str">
        <x:f>IF(P240="Unverified","missing_receipt","receipt_logged")</x:f>
        <x:v>missing_receipt</x:v>
      </x:c>
      <x:c r="X240" s="12" t="str">
        <x:f>IF(Q240="Not checked","raw_status_missing","raw_status_logged")</x:f>
        <x:v>raw_status_missing</x:v>
      </x:c>
      <x:c r="Y240" s="12" t="str">
        <x:f>IF(U240="BLOCKED_PENDING_RECEIPT","Log source path or blocker; do not promote","Route to review lane")</x:f>
        <x:v>Log source path or blocker; do not promote</x:v>
      </x:c>
      <x:c r="Z240" s="12" t="str">
        <x:f>IF(K240="P0","Primary seat + Hashlight/Lucerna","Seat lane")</x:f>
        <x:v>Seat lane</x:v>
      </x:c>
      <x:c r="AA240" s="12" t="str">
        <x:f>IF(R240="","no_claim_delta","claim_delta_present")</x:f>
        <x:v>no_claim_delta</x:v>
      </x:c>
      <x:c r="AB240" s="12" t="str">
        <x:f>IF(S240="","no_contradiction_delta","contradiction_delta_present")</x:f>
        <x:v>no_contradiction_delta</x:v>
      </x:c>
      <x:c r="AC240" s="12" t="str">
        <x:f>IF(OR(ISNUMBER(SEARCH("hacker",LOWER(F240&amp;" "&amp;H240&amp;" "&amp;I240&amp;" "&amp;M240&amp;" "&amp;N240&amp;" "&amp;T240))),ISNUMBER(SEARCH("hacking",LOWER(F240&amp;" "&amp;H240&amp;" "&amp;I240&amp;" "&amp;M240&amp;" "&amp;N240&amp;" "&amp;T240))),ISNUMBER(SEARCH("bank",LOWER(F240&amp;" "&amp;H240&amp;" "&amp;I240&amp;" "&amp;M240&amp;" "&amp;N240&amp;" "&amp;T240))),ISNUMBER(SEARCH("banking",LOWER(F240&amp;" "&amp;H240&amp;" "&amp;I240&amp;" "&amp;M240&amp;" "&amp;N240&amp;" "&amp;T240)))),"PRIVATE_QUARANTINE",IF(OR(ISNUMBER(SEARCH("treasury",LOWER(F240&amp;" "&amp;H240&amp;" "&amp;I240&amp;" "&amp;M240&amp;" "&amp;N240&amp;" "&amp;T240))),ISNUMBER(SEARCH("debt",LOWER(F240&amp;" "&amp;H240&amp;" "&amp;I240&amp;" "&amp;M240&amp;" "&amp;N240&amp;" "&amp;T240))),ISNUMBER(SEARCH("bond",LOWER(F240&amp;" "&amp;H240&amp;" "&amp;I240&amp;" "&amp;M240&amp;" "&amp;N240&amp;" "&amp;T240))),ISNUMBER(SEARCH("transaction",LOWER(F240&amp;" "&amp;H240&amp;" "&amp;I240&amp;" "&amp;M240&amp;" "&amp;N240&amp;" "&amp;T240)))),"PRIVATE_REVIEW","PUBLIC_CANDIDATE"))</x:f>
        <x:v>PUBLIC_CANDIDATE</x:v>
      </x:c>
      <x:c r="AD240" s="12" t="str">
        <x:f>IF(AC240="PRIVATE_QUARANTINE","hacker_or_bank_trigger",IF(AC240="PRIVATE_REVIEW","finance_risk_trigger","none"))</x:f>
        <x:v>none</x:v>
      </x:c>
      <x:c r="AE240" s="12" t="str">
        <x:f>IF(AC240="PUBLIC_CANDIDATE","prepare_public_github_candidate",IF(AC240="PRIVATE_REVIEW","hold_for_private_review","quarantine_private_do_not_publish"))</x:f>
        <x:v>prepare_public_github_candidate</x:v>
      </x:c>
      <x:c r="AF240" s="12" t="str">
        <x:f>IF(AC240="PUBLIC_CANDIDATE","TIDELOCK + Lucerna",IF(AC240="PRIVATE_REVIEW","AtlasBrain + Lucerna","TIDELOCK + Lucerna + Human-root"))</x:f>
        <x:v>TIDELOCK + Lucerna</x:v>
      </x:c>
      <x:c r="AG240" s="12" t="str">
        <x:f>IF(AND(AC240="PUBLIC_CANDIDATE",U240&lt;&gt;"BLOCKED_PENDING_RECEIPT"),"READY_AFTER_RECEIPT","NOT_READY")</x:f>
        <x:v>NOT_READY</x:v>
      </x:c>
      <x:c r="AH240" s="12" t="str">
        <x:f>IF(AC240="PUBLIC_CANDIDATE","none",AD240)</x:f>
        <x:v>none</x:v>
      </x:c>
      <x:c r="AI240" s="12" t="str">
        <x:f>IF(AC240="PUBLIC_CANDIDATE","archive/public_candidates/"&amp;A240,"private_quarantine/"&amp;A240)</x:f>
        <x:v>archive/public_candidates/SWARM-02-H08-S11</x:v>
      </x:c>
      <x:c r="AJ240" s="12" t="str">
        <x:f>IF(AC240="PUBLIC_CANDIDATE","public by default; still not canon","private/hold; do not publish")</x:f>
        <x:v>public by default; still not canon</x:v>
      </x:c>
      <x:c r="AK240" s="12" t="str">
        <x:f>IF(AE240="prepare_public_github_candidate","add receipt/status then mirror","resolve blocker before any public GitHub action")</x:f>
        <x:v>add receipt/status then mirror</x:v>
      </x:c>
    </x:row>
    <x:row r="241">
      <x:c r="A241" s="15" t="str">
        <x:v>SWARM-02-H08-S12</x:v>
      </x:c>
      <x:c r="B241" s="15" t="str">
        <x:v>Hashlight</x:v>
      </x:c>
      <x:c r="C241" s="15" t="str">
        <x:v>Hash and identity keeper</x:v>
      </x:c>
      <x:c r="D241" s="15" t="str">
        <x:v>Graph Edge Proposals</x:v>
      </x:c>
      <x:c r="E241" s="15" t="str">
        <x:v>Risk / Safety</x:v>
      </x:c>
      <x:c r="F241" s="15" t="str">
        <x:v>Propose graph edges for Risk / Safety — Hashlight</x:v>
      </x:c>
      <x:c r="G241" s="15" t="str">
        <x:v>ids / hashes / timestamps / duplicate control</x:v>
      </x:c>
      <x:c r="H241" s="15" t="str">
        <x:v>source path + receipt + raw/export status + claim/edge/risk delta</x:v>
      </x:c>
      <x:c r="I241" s="15" t="str">
        <x:v>packet/SWARM-02-H08-S12</x:v>
      </x:c>
      <x:c r="J241" s="15" t="str">
        <x:v>TODO</x:v>
      </x:c>
      <x:c r="K241" s="15" t="str">
        <x:v>P2</x:v>
      </x:c>
      <x:c r="L241" s="15" t="str">
        <x:v>Done only when evidence is logged, contradiction search is noted, and boundary stamp remains non-canon unless ratified</x:v>
      </x:c>
      <x:c r="M241" s="15" t="str">
        <x:v>candidate / staging-only / not canon / not deployed / authority none</x:v>
      </x:c>
      <x:c r="N241" s="15" t="str">
        <x:v>Dispatch to Hashlight: complete Graph Edge Proposals x Risk / Safety; return deltas only, receipts required.</x:v>
      </x:c>
      <x:c r="O241" s="15" t="str">
        <x:v>AF-KG-H08-S12</x:v>
      </x:c>
      <x:c r="P241" s="15" t="str">
        <x:v>Unverified</x:v>
      </x:c>
      <x:c r="Q241" s="15" t="str">
        <x:v>Not checked</x:v>
      </x:c>
      <x:c r="R241" s="15" t="str"/>
      <x:c r="S241" s="15" t="str"/>
      <x:c r="T241" s="15" t="str">
        <x:v>Log first source path or blocker</x:v>
      </x:c>
      <x:c r="U241" s="12" t="str">
        <x:f>IF(OR(P241="Unverified",Q241="Not checked"),"BLOCKED_PENDING_RECEIPT","READY_FOR_REVIEW")</x:f>
        <x:v>BLOCKED_PENDING_RECEIPT</x:v>
      </x:c>
      <x:c r="V241" s="12" t="str">
        <x:f>IF(J241="DONE","RETURNED",IF(U241="BLOCKED_PENDING_RECEIPT","SOURCE_TOUCH_REQUIRED","IN_PROGRESS"))</x:f>
        <x:v>SOURCE_TOUCH_REQUIRED</x:v>
      </x:c>
      <x:c r="W241" s="12" t="str">
        <x:f>IF(P241="Unverified","missing_receipt","receipt_logged")</x:f>
        <x:v>missing_receipt</x:v>
      </x:c>
      <x:c r="X241" s="12" t="str">
        <x:f>IF(Q241="Not checked","raw_status_missing","raw_status_logged")</x:f>
        <x:v>raw_status_missing</x:v>
      </x:c>
      <x:c r="Y241" s="12" t="str">
        <x:f>IF(U241="BLOCKED_PENDING_RECEIPT","Log source path or blocker; do not promote","Route to review lane")</x:f>
        <x:v>Log source path or blocker; do not promote</x:v>
      </x:c>
      <x:c r="Z241" s="12" t="str">
        <x:f>IF(K241="P0","Primary seat + Hashlight/Lucerna","Seat lane")</x:f>
        <x:v>Seat lane</x:v>
      </x:c>
      <x:c r="AA241" s="12" t="str">
        <x:f>IF(R241="","no_claim_delta","claim_delta_present")</x:f>
        <x:v>no_claim_delta</x:v>
      </x:c>
      <x:c r="AB241" s="12" t="str">
        <x:f>IF(S241="","no_contradiction_delta","contradiction_delta_present")</x:f>
        <x:v>no_contradiction_delta</x:v>
      </x:c>
      <x:c r="AC241" s="12" t="str">
        <x:f>IF(OR(ISNUMBER(SEARCH("hacker",LOWER(F241&amp;" "&amp;H241&amp;" "&amp;I241&amp;" "&amp;M241&amp;" "&amp;N241&amp;" "&amp;T241))),ISNUMBER(SEARCH("hacking",LOWER(F241&amp;" "&amp;H241&amp;" "&amp;I241&amp;" "&amp;M241&amp;" "&amp;N241&amp;" "&amp;T241))),ISNUMBER(SEARCH("bank",LOWER(F241&amp;" "&amp;H241&amp;" "&amp;I241&amp;" "&amp;M241&amp;" "&amp;N241&amp;" "&amp;T241))),ISNUMBER(SEARCH("banking",LOWER(F241&amp;" "&amp;H241&amp;" "&amp;I241&amp;" "&amp;M241&amp;" "&amp;N241&amp;" "&amp;T241)))),"PRIVATE_QUARANTINE",IF(OR(ISNUMBER(SEARCH("treasury",LOWER(F241&amp;" "&amp;H241&amp;" "&amp;I241&amp;" "&amp;M241&amp;" "&amp;N241&amp;" "&amp;T241))),ISNUMBER(SEARCH("debt",LOWER(F241&amp;" "&amp;H241&amp;" "&amp;I241&amp;" "&amp;M241&amp;" "&amp;N241&amp;" "&amp;T241))),ISNUMBER(SEARCH("bond",LOWER(F241&amp;" "&amp;H241&amp;" "&amp;I241&amp;" "&amp;M241&amp;" "&amp;N241&amp;" "&amp;T241))),ISNUMBER(SEARCH("transaction",LOWER(F241&amp;" "&amp;H241&amp;" "&amp;I241&amp;" "&amp;M241&amp;" "&amp;N241&amp;" "&amp;T241)))),"PRIVATE_REVIEW","PUBLIC_CANDIDATE"))</x:f>
        <x:v>PUBLIC_CANDIDATE</x:v>
      </x:c>
      <x:c r="AD241" s="12" t="str">
        <x:f>IF(AC241="PRIVATE_QUARANTINE","hacker_or_bank_trigger",IF(AC241="PRIVATE_REVIEW","finance_risk_trigger","none"))</x:f>
        <x:v>none</x:v>
      </x:c>
      <x:c r="AE241" s="12" t="str">
        <x:f>IF(AC241="PUBLIC_CANDIDATE","prepare_public_github_candidate",IF(AC241="PRIVATE_REVIEW","hold_for_private_review","quarantine_private_do_not_publish"))</x:f>
        <x:v>prepare_public_github_candidate</x:v>
      </x:c>
      <x:c r="AF241" s="12" t="str">
        <x:f>IF(AC241="PUBLIC_CANDIDATE","TIDELOCK + Lucerna",IF(AC241="PRIVATE_REVIEW","AtlasBrain + Lucerna","TIDELOCK + Lucerna + Human-root"))</x:f>
        <x:v>TIDELOCK + Lucerna</x:v>
      </x:c>
      <x:c r="AG241" s="12" t="str">
        <x:f>IF(AND(AC241="PUBLIC_CANDIDATE",U241&lt;&gt;"BLOCKED_PENDING_RECEIPT"),"READY_AFTER_RECEIPT","NOT_READY")</x:f>
        <x:v>NOT_READY</x:v>
      </x:c>
      <x:c r="AH241" s="12" t="str">
        <x:f>IF(AC241="PUBLIC_CANDIDATE","none",AD241)</x:f>
        <x:v>none</x:v>
      </x:c>
      <x:c r="AI241" s="12" t="str">
        <x:f>IF(AC241="PUBLIC_CANDIDATE","archive/public_candidates/"&amp;A241,"private_quarantine/"&amp;A241)</x:f>
        <x:v>archive/public_candidates/SWARM-02-H08-S12</x:v>
      </x:c>
      <x:c r="AJ241" s="12" t="str">
        <x:f>IF(AC241="PUBLIC_CANDIDATE","public by default; still not canon","private/hold; do not publish")</x:f>
        <x:v>public by default; still not canon</x:v>
      </x:c>
      <x:c r="AK241" s="12" t="str">
        <x:f>IF(AE241="prepare_public_github_candidate","add receipt/status then mirror","resolve blocker before any public GitHub action")</x:f>
        <x:v>add receipt/status then mirror</x:v>
      </x:c>
    </x:row>
    <x:row r="242">
      <x:c r="A242" s="15" t="str">
        <x:v>SWARM-02-H09-S01</x:v>
      </x:c>
      <x:c r="B242" s="15" t="str">
        <x:v>Hashlight</x:v>
      </x:c>
      <x:c r="C242" s="15" t="str">
        <x:v>Hash and identity keeper</x:v>
      </x:c>
      <x:c r="D242" s="15" t="str">
        <x:v>Review Queues</x:v>
      </x:c>
      <x:c r="E242" s="15" t="str">
        <x:v>Notion</x:v>
      </x:c>
      <x:c r="F242" s="15" t="str">
        <x:v>Queue review for Notion — Hashlight</x:v>
      </x:c>
      <x:c r="G242" s="15" t="str">
        <x:v>ids / hashes / timestamps / duplicate control</x:v>
      </x:c>
      <x:c r="H242" s="15" t="str">
        <x:v>source path + receipt + raw/export status + claim/edge/risk delta</x:v>
      </x:c>
      <x:c r="I242" s="15" t="str">
        <x:v>packet/SWARM-02-H09-S01</x:v>
      </x:c>
      <x:c r="J242" s="15" t="str">
        <x:v>TODO</x:v>
      </x:c>
      <x:c r="K242" s="15" t="str">
        <x:v>P0</x:v>
      </x:c>
      <x:c r="L242" s="15" t="str">
        <x:v>Done only when evidence is logged, contradiction search is noted, and boundary stamp remains non-canon unless ratified</x:v>
      </x:c>
      <x:c r="M242" s="15" t="str">
        <x:v>candidate / staging-only / not canon / not deployed / authority none</x:v>
      </x:c>
      <x:c r="N242" s="15" t="str">
        <x:v>Dispatch to Hashlight: complete Review Queues x Notion; return deltas only, receipts required.</x:v>
      </x:c>
      <x:c r="O242" s="15" t="str">
        <x:v>AF-KG-H09-S01</x:v>
      </x:c>
      <x:c r="P242" s="15" t="str">
        <x:v>Unverified</x:v>
      </x:c>
      <x:c r="Q242" s="15" t="str">
        <x:v>Not checked</x:v>
      </x:c>
      <x:c r="R242" s="15" t="str"/>
      <x:c r="S242" s="15" t="str"/>
      <x:c r="T242" s="15" t="str">
        <x:v>Log first source path or blocker</x:v>
      </x:c>
      <x:c r="U242" s="12" t="str">
        <x:f>IF(OR(P242="Unverified",Q242="Not checked"),"BLOCKED_PENDING_RECEIPT","READY_FOR_REVIEW")</x:f>
        <x:v>BLOCKED_PENDING_RECEIPT</x:v>
      </x:c>
      <x:c r="V242" s="12" t="str">
        <x:f>IF(J242="DONE","RETURNED",IF(U242="BLOCKED_PENDING_RECEIPT","SOURCE_TOUCH_REQUIRED","IN_PROGRESS"))</x:f>
        <x:v>SOURCE_TOUCH_REQUIRED</x:v>
      </x:c>
      <x:c r="W242" s="12" t="str">
        <x:f>IF(P242="Unverified","missing_receipt","receipt_logged")</x:f>
        <x:v>missing_receipt</x:v>
      </x:c>
      <x:c r="X242" s="12" t="str">
        <x:f>IF(Q242="Not checked","raw_status_missing","raw_status_logged")</x:f>
        <x:v>raw_status_missing</x:v>
      </x:c>
      <x:c r="Y242" s="12" t="str">
        <x:f>IF(U242="BLOCKED_PENDING_RECEIPT","Log source path or blocker; do not promote","Route to review lane")</x:f>
        <x:v>Log source path or blocker; do not promote</x:v>
      </x:c>
      <x:c r="Z242" s="12" t="str">
        <x:f>IF(K242="P0","Primary seat + Hashlight/Lucerna","Seat lane")</x:f>
        <x:v>Primary seat + Hashlight/Lucerna</x:v>
      </x:c>
      <x:c r="AA242" s="12" t="str">
        <x:f>IF(R242="","no_claim_delta","claim_delta_present")</x:f>
        <x:v>no_claim_delta</x:v>
      </x:c>
      <x:c r="AB242" s="12" t="str">
        <x:f>IF(S242="","no_contradiction_delta","contradiction_delta_present")</x:f>
        <x:v>no_contradiction_delta</x:v>
      </x:c>
      <x:c r="AC242" s="12" t="str">
        <x:f>IF(OR(ISNUMBER(SEARCH("hacker",LOWER(F242&amp;" "&amp;H242&amp;" "&amp;I242&amp;" "&amp;M242&amp;" "&amp;N242&amp;" "&amp;T242))),ISNUMBER(SEARCH("hacking",LOWER(F242&amp;" "&amp;H242&amp;" "&amp;I242&amp;" "&amp;M242&amp;" "&amp;N242&amp;" "&amp;T242))),ISNUMBER(SEARCH("bank",LOWER(F242&amp;" "&amp;H242&amp;" "&amp;I242&amp;" "&amp;M242&amp;" "&amp;N242&amp;" "&amp;T242))),ISNUMBER(SEARCH("banking",LOWER(F242&amp;" "&amp;H242&amp;" "&amp;I242&amp;" "&amp;M242&amp;" "&amp;N242&amp;" "&amp;T242)))),"PRIVATE_QUARANTINE",IF(OR(ISNUMBER(SEARCH("treasury",LOWER(F242&amp;" "&amp;H242&amp;" "&amp;I242&amp;" "&amp;M242&amp;" "&amp;N242&amp;" "&amp;T242))),ISNUMBER(SEARCH("debt",LOWER(F242&amp;" "&amp;H242&amp;" "&amp;I242&amp;" "&amp;M242&amp;" "&amp;N242&amp;" "&amp;T242))),ISNUMBER(SEARCH("bond",LOWER(F242&amp;" "&amp;H242&amp;" "&amp;I242&amp;" "&amp;M242&amp;" "&amp;N242&amp;" "&amp;T242))),ISNUMBER(SEARCH("transaction",LOWER(F242&amp;" "&amp;H242&amp;" "&amp;I242&amp;" "&amp;M242&amp;" "&amp;N242&amp;" "&amp;T242)))),"PRIVATE_REVIEW","PUBLIC_CANDIDATE"))</x:f>
        <x:v>PUBLIC_CANDIDATE</x:v>
      </x:c>
      <x:c r="AD242" s="12" t="str">
        <x:f>IF(AC242="PRIVATE_QUARANTINE","hacker_or_bank_trigger",IF(AC242="PRIVATE_REVIEW","finance_risk_trigger","none"))</x:f>
        <x:v>none</x:v>
      </x:c>
      <x:c r="AE242" s="12" t="str">
        <x:f>IF(AC242="PUBLIC_CANDIDATE","prepare_public_github_candidate",IF(AC242="PRIVATE_REVIEW","hold_for_private_review","quarantine_private_do_not_publish"))</x:f>
        <x:v>prepare_public_github_candidate</x:v>
      </x:c>
      <x:c r="AF242" s="12" t="str">
        <x:f>IF(AC242="PUBLIC_CANDIDATE","TIDELOCK + Lucerna",IF(AC242="PRIVATE_REVIEW","AtlasBrain + Lucerna","TIDELOCK + Lucerna + Human-root"))</x:f>
        <x:v>TIDELOCK + Lucerna</x:v>
      </x:c>
      <x:c r="AG242" s="12" t="str">
        <x:f>IF(AND(AC242="PUBLIC_CANDIDATE",U242&lt;&gt;"BLOCKED_PENDING_RECEIPT"),"READY_AFTER_RECEIPT","NOT_READY")</x:f>
        <x:v>NOT_READY</x:v>
      </x:c>
      <x:c r="AH242" s="12" t="str">
        <x:f>IF(AC242="PUBLIC_CANDIDATE","none",AD242)</x:f>
        <x:v>none</x:v>
      </x:c>
      <x:c r="AI242" s="12" t="str">
        <x:f>IF(AC242="PUBLIC_CANDIDATE","archive/public_candidates/"&amp;A242,"private_quarantine/"&amp;A242)</x:f>
        <x:v>archive/public_candidates/SWARM-02-H09-S01</x:v>
      </x:c>
      <x:c r="AJ242" s="12" t="str">
        <x:f>IF(AC242="PUBLIC_CANDIDATE","public by default; still not canon","private/hold; do not publish")</x:f>
        <x:v>public by default; still not canon</x:v>
      </x:c>
      <x:c r="AK242" s="12" t="str">
        <x:f>IF(AE242="prepare_public_github_candidate","add receipt/status then mirror","resolve blocker before any public GitHub action")</x:f>
        <x:v>add receipt/status then mirror</x:v>
      </x:c>
    </x:row>
    <x:row r="243">
      <x:c r="A243" s="15" t="str">
        <x:v>SWARM-02-H09-S02</x:v>
      </x:c>
      <x:c r="B243" s="15" t="str">
        <x:v>Hashlight</x:v>
      </x:c>
      <x:c r="C243" s="15" t="str">
        <x:v>Hash and identity keeper</x:v>
      </x:c>
      <x:c r="D243" s="15" t="str">
        <x:v>Review Queues</x:v>
      </x:c>
      <x:c r="E243" s="15" t="str">
        <x:v>Drive</x:v>
      </x:c>
      <x:c r="F243" s="15" t="str">
        <x:v>Queue review for Drive — Hashlight</x:v>
      </x:c>
      <x:c r="G243" s="15" t="str">
        <x:v>ids / hashes / timestamps / duplicate control</x:v>
      </x:c>
      <x:c r="H243" s="15" t="str">
        <x:v>source path + receipt + raw/export status + claim/edge/risk delta</x:v>
      </x:c>
      <x:c r="I243" s="15" t="str">
        <x:v>packet/SWARM-02-H09-S02</x:v>
      </x:c>
      <x:c r="J243" s="15" t="str">
        <x:v>TODO</x:v>
      </x:c>
      <x:c r="K243" s="15" t="str">
        <x:v>P0</x:v>
      </x:c>
      <x:c r="L243" s="15" t="str">
        <x:v>Done only when evidence is logged, contradiction search is noted, and boundary stamp remains non-canon unless ratified</x:v>
      </x:c>
      <x:c r="M243" s="15" t="str">
        <x:v>candidate / staging-only / not canon / not deployed / authority none</x:v>
      </x:c>
      <x:c r="N243" s="15" t="str">
        <x:v>Dispatch to Hashlight: complete Review Queues x Drive; return deltas only, receipts required.</x:v>
      </x:c>
      <x:c r="O243" s="15" t="str">
        <x:v>AF-KG-H09-S02</x:v>
      </x:c>
      <x:c r="P243" s="15" t="str">
        <x:v>Unverified</x:v>
      </x:c>
      <x:c r="Q243" s="15" t="str">
        <x:v>Not checked</x:v>
      </x:c>
      <x:c r="R243" s="15" t="str"/>
      <x:c r="S243" s="15" t="str"/>
      <x:c r="T243" s="15" t="str">
        <x:v>Log first source path or blocker</x:v>
      </x:c>
      <x:c r="U243" s="12" t="str">
        <x:f>IF(OR(P243="Unverified",Q243="Not checked"),"BLOCKED_PENDING_RECEIPT","READY_FOR_REVIEW")</x:f>
        <x:v>BLOCKED_PENDING_RECEIPT</x:v>
      </x:c>
      <x:c r="V243" s="12" t="str">
        <x:f>IF(J243="DONE","RETURNED",IF(U243="BLOCKED_PENDING_RECEIPT","SOURCE_TOUCH_REQUIRED","IN_PROGRESS"))</x:f>
        <x:v>SOURCE_TOUCH_REQUIRED</x:v>
      </x:c>
      <x:c r="W243" s="12" t="str">
        <x:f>IF(P243="Unverified","missing_receipt","receipt_logged")</x:f>
        <x:v>missing_receipt</x:v>
      </x:c>
      <x:c r="X243" s="12" t="str">
        <x:f>IF(Q243="Not checked","raw_status_missing","raw_status_logged")</x:f>
        <x:v>raw_status_missing</x:v>
      </x:c>
      <x:c r="Y243" s="12" t="str">
        <x:f>IF(U243="BLOCKED_PENDING_RECEIPT","Log source path or blocker; do not promote","Route to review lane")</x:f>
        <x:v>Log source path or blocker; do not promote</x:v>
      </x:c>
      <x:c r="Z243" s="12" t="str">
        <x:f>IF(K243="P0","Primary seat + Hashlight/Lucerna","Seat lane")</x:f>
        <x:v>Primary seat + Hashlight/Lucerna</x:v>
      </x:c>
      <x:c r="AA243" s="12" t="str">
        <x:f>IF(R243="","no_claim_delta","claim_delta_present")</x:f>
        <x:v>no_claim_delta</x:v>
      </x:c>
      <x:c r="AB243" s="12" t="str">
        <x:f>IF(S243="","no_contradiction_delta","contradiction_delta_present")</x:f>
        <x:v>no_contradiction_delta</x:v>
      </x:c>
      <x:c r="AC243" s="12" t="str">
        <x:f>IF(OR(ISNUMBER(SEARCH("hacker",LOWER(F243&amp;" "&amp;H243&amp;" "&amp;I243&amp;" "&amp;M243&amp;" "&amp;N243&amp;" "&amp;T243))),ISNUMBER(SEARCH("hacking",LOWER(F243&amp;" "&amp;H243&amp;" "&amp;I243&amp;" "&amp;M243&amp;" "&amp;N243&amp;" "&amp;T243))),ISNUMBER(SEARCH("bank",LOWER(F243&amp;" "&amp;H243&amp;" "&amp;I243&amp;" "&amp;M243&amp;" "&amp;N243&amp;" "&amp;T243))),ISNUMBER(SEARCH("banking",LOWER(F243&amp;" "&amp;H243&amp;" "&amp;I243&amp;" "&amp;M243&amp;" "&amp;N243&amp;" "&amp;T243)))),"PRIVATE_QUARANTINE",IF(OR(ISNUMBER(SEARCH("treasury",LOWER(F243&amp;" "&amp;H243&amp;" "&amp;I243&amp;" "&amp;M243&amp;" "&amp;N243&amp;" "&amp;T243))),ISNUMBER(SEARCH("debt",LOWER(F243&amp;" "&amp;H243&amp;" "&amp;I243&amp;" "&amp;M243&amp;" "&amp;N243&amp;" "&amp;T243))),ISNUMBER(SEARCH("bond",LOWER(F243&amp;" "&amp;H243&amp;" "&amp;I243&amp;" "&amp;M243&amp;" "&amp;N243&amp;" "&amp;T243))),ISNUMBER(SEARCH("transaction",LOWER(F243&amp;" "&amp;H243&amp;" "&amp;I243&amp;" "&amp;M243&amp;" "&amp;N243&amp;" "&amp;T243)))),"PRIVATE_REVIEW","PUBLIC_CANDIDATE"))</x:f>
        <x:v>PUBLIC_CANDIDATE</x:v>
      </x:c>
      <x:c r="AD243" s="12" t="str">
        <x:f>IF(AC243="PRIVATE_QUARANTINE","hacker_or_bank_trigger",IF(AC243="PRIVATE_REVIEW","finance_risk_trigger","none"))</x:f>
        <x:v>none</x:v>
      </x:c>
      <x:c r="AE243" s="12" t="str">
        <x:f>IF(AC243="PUBLIC_CANDIDATE","prepare_public_github_candidate",IF(AC243="PRIVATE_REVIEW","hold_for_private_review","quarantine_private_do_not_publish"))</x:f>
        <x:v>prepare_public_github_candidate</x:v>
      </x:c>
      <x:c r="AF243" s="12" t="str">
        <x:f>IF(AC243="PUBLIC_CANDIDATE","TIDELOCK + Lucerna",IF(AC243="PRIVATE_REVIEW","AtlasBrain + Lucerna","TIDELOCK + Lucerna + Human-root"))</x:f>
        <x:v>TIDELOCK + Lucerna</x:v>
      </x:c>
      <x:c r="AG243" s="12" t="str">
        <x:f>IF(AND(AC243="PUBLIC_CANDIDATE",U243&lt;&gt;"BLOCKED_PENDING_RECEIPT"),"READY_AFTER_RECEIPT","NOT_READY")</x:f>
        <x:v>NOT_READY</x:v>
      </x:c>
      <x:c r="AH243" s="12" t="str">
        <x:f>IF(AC243="PUBLIC_CANDIDATE","none",AD243)</x:f>
        <x:v>none</x:v>
      </x:c>
      <x:c r="AI243" s="12" t="str">
        <x:f>IF(AC243="PUBLIC_CANDIDATE","archive/public_candidates/"&amp;A243,"private_quarantine/"&amp;A243)</x:f>
        <x:v>archive/public_candidates/SWARM-02-H09-S02</x:v>
      </x:c>
      <x:c r="AJ243" s="12" t="str">
        <x:f>IF(AC243="PUBLIC_CANDIDATE","public by default; still not canon","private/hold; do not publish")</x:f>
        <x:v>public by default; still not canon</x:v>
      </x:c>
      <x:c r="AK243" s="12" t="str">
        <x:f>IF(AE243="prepare_public_github_candidate","add receipt/status then mirror","resolve blocker before any public GitHub action")</x:f>
        <x:v>add receipt/status then mirror</x:v>
      </x:c>
    </x:row>
    <x:row r="244">
      <x:c r="A244" s="15" t="str">
        <x:v>SWARM-02-H09-S03</x:v>
      </x:c>
      <x:c r="B244" s="15" t="str">
        <x:v>Hashlight</x:v>
      </x:c>
      <x:c r="C244" s="15" t="str">
        <x:v>Hash and identity keeper</x:v>
      </x:c>
      <x:c r="D244" s="15" t="str">
        <x:v>Review Queues</x:v>
      </x:c>
      <x:c r="E244" s="15" t="str">
        <x:v>GitHub</x:v>
      </x:c>
      <x:c r="F244" s="15" t="str">
        <x:v>Queue review for GitHub — Hashlight</x:v>
      </x:c>
      <x:c r="G244" s="15" t="str">
        <x:v>ids / hashes / timestamps / duplicate control</x:v>
      </x:c>
      <x:c r="H244" s="15" t="str">
        <x:v>source path + receipt + raw/export status + claim/edge/risk delta</x:v>
      </x:c>
      <x:c r="I244" s="15" t="str">
        <x:v>packet/SWARM-02-H09-S03</x:v>
      </x:c>
      <x:c r="J244" s="15" t="str">
        <x:v>TODO</x:v>
      </x:c>
      <x:c r="K244" s="15" t="str">
        <x:v>P0</x:v>
      </x:c>
      <x:c r="L244" s="15" t="str">
        <x:v>Done only when evidence is logged, contradiction search is noted, and boundary stamp remains non-canon unless ratified</x:v>
      </x:c>
      <x:c r="M244" s="15" t="str">
        <x:v>candidate / staging-only / not canon / not deployed / authority none</x:v>
      </x:c>
      <x:c r="N244" s="15" t="str">
        <x:v>Dispatch to Hashlight: complete Review Queues x GitHub; return deltas only, receipts required.</x:v>
      </x:c>
      <x:c r="O244" s="15" t="str">
        <x:v>AF-KG-H09-S03</x:v>
      </x:c>
      <x:c r="P244" s="15" t="str">
        <x:v>Unverified</x:v>
      </x:c>
      <x:c r="Q244" s="15" t="str">
        <x:v>Not checked</x:v>
      </x:c>
      <x:c r="R244" s="15" t="str"/>
      <x:c r="S244" s="15" t="str"/>
      <x:c r="T244" s="15" t="str">
        <x:v>Log first source path or blocker</x:v>
      </x:c>
      <x:c r="U244" s="12" t="str">
        <x:f>IF(OR(P244="Unverified",Q244="Not checked"),"BLOCKED_PENDING_RECEIPT","READY_FOR_REVIEW")</x:f>
        <x:v>BLOCKED_PENDING_RECEIPT</x:v>
      </x:c>
      <x:c r="V244" s="12" t="str">
        <x:f>IF(J244="DONE","RETURNED",IF(U244="BLOCKED_PENDING_RECEIPT","SOURCE_TOUCH_REQUIRED","IN_PROGRESS"))</x:f>
        <x:v>SOURCE_TOUCH_REQUIRED</x:v>
      </x:c>
      <x:c r="W244" s="12" t="str">
        <x:f>IF(P244="Unverified","missing_receipt","receipt_logged")</x:f>
        <x:v>missing_receipt</x:v>
      </x:c>
      <x:c r="X244" s="12" t="str">
        <x:f>IF(Q244="Not checked","raw_status_missing","raw_status_logged")</x:f>
        <x:v>raw_status_missing</x:v>
      </x:c>
      <x:c r="Y244" s="12" t="str">
        <x:f>IF(U244="BLOCKED_PENDING_RECEIPT","Log source path or blocker; do not promote","Route to review lane")</x:f>
        <x:v>Log source path or blocker; do not promote</x:v>
      </x:c>
      <x:c r="Z244" s="12" t="str">
        <x:f>IF(K244="P0","Primary seat + Hashlight/Lucerna","Seat lane")</x:f>
        <x:v>Primary seat + Hashlight/Lucerna</x:v>
      </x:c>
      <x:c r="AA244" s="12" t="str">
        <x:f>IF(R244="","no_claim_delta","claim_delta_present")</x:f>
        <x:v>no_claim_delta</x:v>
      </x:c>
      <x:c r="AB244" s="12" t="str">
        <x:f>IF(S244="","no_contradiction_delta","contradiction_delta_present")</x:f>
        <x:v>no_contradiction_delta</x:v>
      </x:c>
      <x:c r="AC244" s="12" t="str">
        <x:f>IF(OR(ISNUMBER(SEARCH("hacker",LOWER(F244&amp;" "&amp;H244&amp;" "&amp;I244&amp;" "&amp;M244&amp;" "&amp;N244&amp;" "&amp;T244))),ISNUMBER(SEARCH("hacking",LOWER(F244&amp;" "&amp;H244&amp;" "&amp;I244&amp;" "&amp;M244&amp;" "&amp;N244&amp;" "&amp;T244))),ISNUMBER(SEARCH("bank",LOWER(F244&amp;" "&amp;H244&amp;" "&amp;I244&amp;" "&amp;M244&amp;" "&amp;N244&amp;" "&amp;T244))),ISNUMBER(SEARCH("banking",LOWER(F244&amp;" "&amp;H244&amp;" "&amp;I244&amp;" "&amp;M244&amp;" "&amp;N244&amp;" "&amp;T244)))),"PRIVATE_QUARANTINE",IF(OR(ISNUMBER(SEARCH("treasury",LOWER(F244&amp;" "&amp;H244&amp;" "&amp;I244&amp;" "&amp;M244&amp;" "&amp;N244&amp;" "&amp;T244))),ISNUMBER(SEARCH("debt",LOWER(F244&amp;" "&amp;H244&amp;" "&amp;I244&amp;" "&amp;M244&amp;" "&amp;N244&amp;" "&amp;T244))),ISNUMBER(SEARCH("bond",LOWER(F244&amp;" "&amp;H244&amp;" "&amp;I244&amp;" "&amp;M244&amp;" "&amp;N244&amp;" "&amp;T244))),ISNUMBER(SEARCH("transaction",LOWER(F244&amp;" "&amp;H244&amp;" "&amp;I244&amp;" "&amp;M244&amp;" "&amp;N244&amp;" "&amp;T244)))),"PRIVATE_REVIEW","PUBLIC_CANDIDATE"))</x:f>
        <x:v>PUBLIC_CANDIDATE</x:v>
      </x:c>
      <x:c r="AD244" s="12" t="str">
        <x:f>IF(AC244="PRIVATE_QUARANTINE","hacker_or_bank_trigger",IF(AC244="PRIVATE_REVIEW","finance_risk_trigger","none"))</x:f>
        <x:v>none</x:v>
      </x:c>
      <x:c r="AE244" s="12" t="str">
        <x:f>IF(AC244="PUBLIC_CANDIDATE","prepare_public_github_candidate",IF(AC244="PRIVATE_REVIEW","hold_for_private_review","quarantine_private_do_not_publish"))</x:f>
        <x:v>prepare_public_github_candidate</x:v>
      </x:c>
      <x:c r="AF244" s="12" t="str">
        <x:f>IF(AC244="PUBLIC_CANDIDATE","TIDELOCK + Lucerna",IF(AC244="PRIVATE_REVIEW","AtlasBrain + Lucerna","TIDELOCK + Lucerna + Human-root"))</x:f>
        <x:v>TIDELOCK + Lucerna</x:v>
      </x:c>
      <x:c r="AG244" s="12" t="str">
        <x:f>IF(AND(AC244="PUBLIC_CANDIDATE",U244&lt;&gt;"BLOCKED_PENDING_RECEIPT"),"READY_AFTER_RECEIPT","NOT_READY")</x:f>
        <x:v>NOT_READY</x:v>
      </x:c>
      <x:c r="AH244" s="12" t="str">
        <x:f>IF(AC244="PUBLIC_CANDIDATE","none",AD244)</x:f>
        <x:v>none</x:v>
      </x:c>
      <x:c r="AI244" s="12" t="str">
        <x:f>IF(AC244="PUBLIC_CANDIDATE","archive/public_candidates/"&amp;A244,"private_quarantine/"&amp;A244)</x:f>
        <x:v>archive/public_candidates/SWARM-02-H09-S03</x:v>
      </x:c>
      <x:c r="AJ244" s="12" t="str">
        <x:f>IF(AC244="PUBLIC_CANDIDATE","public by default; still not canon","private/hold; do not publish")</x:f>
        <x:v>public by default; still not canon</x:v>
      </x:c>
      <x:c r="AK244" s="12" t="str">
        <x:f>IF(AE244="prepare_public_github_candidate","add receipt/status then mirror","resolve blocker before any public GitHub action")</x:f>
        <x:v>add receipt/status then mirror</x:v>
      </x:c>
    </x:row>
    <x:row r="245">
      <x:c r="A245" s="15" t="str">
        <x:v>SWARM-02-H09-S04</x:v>
      </x:c>
      <x:c r="B245" s="15" t="str">
        <x:v>Hashlight</x:v>
      </x:c>
      <x:c r="C245" s="15" t="str">
        <x:v>Hash and identity keeper</x:v>
      </x:c>
      <x:c r="D245" s="15" t="str">
        <x:v>Review Queues</x:v>
      </x:c>
      <x:c r="E245" s="15" t="str">
        <x:v>Gamma</x:v>
      </x:c>
      <x:c r="F245" s="15" t="str">
        <x:v>Queue review for Gamma — Hashlight</x:v>
      </x:c>
      <x:c r="G245" s="15" t="str">
        <x:v>ids / hashes / timestamps / duplicate control</x:v>
      </x:c>
      <x:c r="H245" s="15" t="str">
        <x:v>source path + receipt + raw/export status + claim/edge/risk delta</x:v>
      </x:c>
      <x:c r="I245" s="15" t="str">
        <x:v>packet/SWARM-02-H09-S04</x:v>
      </x:c>
      <x:c r="J245" s="15" t="str">
        <x:v>TODO</x:v>
      </x:c>
      <x:c r="K245" s="15" t="str">
        <x:v>P1</x:v>
      </x:c>
      <x:c r="L245" s="15" t="str">
        <x:v>Done only when evidence is logged, contradiction search is noted, and boundary stamp remains non-canon unless ratified</x:v>
      </x:c>
      <x:c r="M245" s="15" t="str">
        <x:v>candidate / staging-only / not canon / not deployed / authority none</x:v>
      </x:c>
      <x:c r="N245" s="15" t="str">
        <x:v>Dispatch to Hashlight: complete Review Queues x Gamma; return deltas only, receipts required.</x:v>
      </x:c>
      <x:c r="O245" s="15" t="str">
        <x:v>AF-KG-H09-S04</x:v>
      </x:c>
      <x:c r="P245" s="15" t="str">
        <x:v>Unverified</x:v>
      </x:c>
      <x:c r="Q245" s="15" t="str">
        <x:v>Not checked</x:v>
      </x:c>
      <x:c r="R245" s="15" t="str"/>
      <x:c r="S245" s="15" t="str"/>
      <x:c r="T245" s="15" t="str">
        <x:v>Log first source path or blocker</x:v>
      </x:c>
      <x:c r="U245" s="12" t="str">
        <x:f>IF(OR(P245="Unverified",Q245="Not checked"),"BLOCKED_PENDING_RECEIPT","READY_FOR_REVIEW")</x:f>
        <x:v>BLOCKED_PENDING_RECEIPT</x:v>
      </x:c>
      <x:c r="V245" s="12" t="str">
        <x:f>IF(J245="DONE","RETURNED",IF(U245="BLOCKED_PENDING_RECEIPT","SOURCE_TOUCH_REQUIRED","IN_PROGRESS"))</x:f>
        <x:v>SOURCE_TOUCH_REQUIRED</x:v>
      </x:c>
      <x:c r="W245" s="12" t="str">
        <x:f>IF(P245="Unverified","missing_receipt","receipt_logged")</x:f>
        <x:v>missing_receipt</x:v>
      </x:c>
      <x:c r="X245" s="12" t="str">
        <x:f>IF(Q245="Not checked","raw_status_missing","raw_status_logged")</x:f>
        <x:v>raw_status_missing</x:v>
      </x:c>
      <x:c r="Y245" s="12" t="str">
        <x:f>IF(U245="BLOCKED_PENDING_RECEIPT","Log source path or blocker; do not promote","Route to review lane")</x:f>
        <x:v>Log source path or blocker; do not promote</x:v>
      </x:c>
      <x:c r="Z245" s="12" t="str">
        <x:f>IF(K245="P0","Primary seat + Hashlight/Lucerna","Seat lane")</x:f>
        <x:v>Seat lane</x:v>
      </x:c>
      <x:c r="AA245" s="12" t="str">
        <x:f>IF(R245="","no_claim_delta","claim_delta_present")</x:f>
        <x:v>no_claim_delta</x:v>
      </x:c>
      <x:c r="AB245" s="12" t="str">
        <x:f>IF(S245="","no_contradiction_delta","contradiction_delta_present")</x:f>
        <x:v>no_contradiction_delta</x:v>
      </x:c>
      <x:c r="AC245" s="12" t="str">
        <x:f>IF(OR(ISNUMBER(SEARCH("hacker",LOWER(F245&amp;" "&amp;H245&amp;" "&amp;I245&amp;" "&amp;M245&amp;" "&amp;N245&amp;" "&amp;T245))),ISNUMBER(SEARCH("hacking",LOWER(F245&amp;" "&amp;H245&amp;" "&amp;I245&amp;" "&amp;M245&amp;" "&amp;N245&amp;" "&amp;T245))),ISNUMBER(SEARCH("bank",LOWER(F245&amp;" "&amp;H245&amp;" "&amp;I245&amp;" "&amp;M245&amp;" "&amp;N245&amp;" "&amp;T245))),ISNUMBER(SEARCH("banking",LOWER(F245&amp;" "&amp;H245&amp;" "&amp;I245&amp;" "&amp;M245&amp;" "&amp;N245&amp;" "&amp;T245)))),"PRIVATE_QUARANTINE",IF(OR(ISNUMBER(SEARCH("treasury",LOWER(F245&amp;" "&amp;H245&amp;" "&amp;I245&amp;" "&amp;M245&amp;" "&amp;N245&amp;" "&amp;T245))),ISNUMBER(SEARCH("debt",LOWER(F245&amp;" "&amp;H245&amp;" "&amp;I245&amp;" "&amp;M245&amp;" "&amp;N245&amp;" "&amp;T245))),ISNUMBER(SEARCH("bond",LOWER(F245&amp;" "&amp;H245&amp;" "&amp;I245&amp;" "&amp;M245&amp;" "&amp;N245&amp;" "&amp;T245))),ISNUMBER(SEARCH("transaction",LOWER(F245&amp;" "&amp;H245&amp;" "&amp;I245&amp;" "&amp;M245&amp;" "&amp;N245&amp;" "&amp;T245)))),"PRIVATE_REVIEW","PUBLIC_CANDIDATE"))</x:f>
        <x:v>PUBLIC_CANDIDATE</x:v>
      </x:c>
      <x:c r="AD245" s="12" t="str">
        <x:f>IF(AC245="PRIVATE_QUARANTINE","hacker_or_bank_trigger",IF(AC245="PRIVATE_REVIEW","finance_risk_trigger","none"))</x:f>
        <x:v>none</x:v>
      </x:c>
      <x:c r="AE245" s="12" t="str">
        <x:f>IF(AC245="PUBLIC_CANDIDATE","prepare_public_github_candidate",IF(AC245="PRIVATE_REVIEW","hold_for_private_review","quarantine_private_do_not_publish"))</x:f>
        <x:v>prepare_public_github_candidate</x:v>
      </x:c>
      <x:c r="AF245" s="12" t="str">
        <x:f>IF(AC245="PUBLIC_CANDIDATE","TIDELOCK + Lucerna",IF(AC245="PRIVATE_REVIEW","AtlasBrain + Lucerna","TIDELOCK + Lucerna + Human-root"))</x:f>
        <x:v>TIDELOCK + Lucerna</x:v>
      </x:c>
      <x:c r="AG245" s="12" t="str">
        <x:f>IF(AND(AC245="PUBLIC_CANDIDATE",U245&lt;&gt;"BLOCKED_PENDING_RECEIPT"),"READY_AFTER_RECEIPT","NOT_READY")</x:f>
        <x:v>NOT_READY</x:v>
      </x:c>
      <x:c r="AH245" s="12" t="str">
        <x:f>IF(AC245="PUBLIC_CANDIDATE","none",AD245)</x:f>
        <x:v>none</x:v>
      </x:c>
      <x:c r="AI245" s="12" t="str">
        <x:f>IF(AC245="PUBLIC_CANDIDATE","archive/public_candidates/"&amp;A245,"private_quarantine/"&amp;A245)</x:f>
        <x:v>archive/public_candidates/SWARM-02-H09-S04</x:v>
      </x:c>
      <x:c r="AJ245" s="12" t="str">
        <x:f>IF(AC245="PUBLIC_CANDIDATE","public by default; still not canon","private/hold; do not publish")</x:f>
        <x:v>public by default; still not canon</x:v>
      </x:c>
      <x:c r="AK245" s="12" t="str">
        <x:f>IF(AE245="prepare_public_github_candidate","add receipt/status then mirror","resolve blocker before any public GitHub action")</x:f>
        <x:v>add receipt/status then mirror</x:v>
      </x:c>
    </x:row>
    <x:row r="246">
      <x:c r="A246" s="15" t="str">
        <x:v>SWARM-02-H09-S05</x:v>
      </x:c>
      <x:c r="B246" s="15" t="str">
        <x:v>Hashlight</x:v>
      </x:c>
      <x:c r="C246" s="15" t="str">
        <x:v>Hash and identity keeper</x:v>
      </x:c>
      <x:c r="D246" s="15" t="str">
        <x:v>Review Queues</x:v>
      </x:c>
      <x:c r="E246" s="15" t="str">
        <x:v>Chat</x:v>
      </x:c>
      <x:c r="F246" s="15" t="str">
        <x:v>Queue review for Chat — Hashlight</x:v>
      </x:c>
      <x:c r="G246" s="15" t="str">
        <x:v>ids / hashes / timestamps / duplicate control</x:v>
      </x:c>
      <x:c r="H246" s="15" t="str">
        <x:v>source path + receipt + raw/export status + claim/edge/risk delta</x:v>
      </x:c>
      <x:c r="I246" s="15" t="str">
        <x:v>packet/SWARM-02-H09-S05</x:v>
      </x:c>
      <x:c r="J246" s="15" t="str">
        <x:v>TODO</x:v>
      </x:c>
      <x:c r="K246" s="15" t="str">
        <x:v>P1</x:v>
      </x:c>
      <x:c r="L246" s="15" t="str">
        <x:v>Done only when evidence is logged, contradiction search is noted, and boundary stamp remains non-canon unless ratified</x:v>
      </x:c>
      <x:c r="M246" s="15" t="str">
        <x:v>candidate / staging-only / not canon / not deployed / authority none</x:v>
      </x:c>
      <x:c r="N246" s="15" t="str">
        <x:v>Dispatch to Hashlight: complete Review Queues x Chat; return deltas only, receipts required.</x:v>
      </x:c>
      <x:c r="O246" s="15" t="str">
        <x:v>AF-KG-H09-S05</x:v>
      </x:c>
      <x:c r="P246" s="15" t="str">
        <x:v>Unverified</x:v>
      </x:c>
      <x:c r="Q246" s="15" t="str">
        <x:v>Not checked</x:v>
      </x:c>
      <x:c r="R246" s="15" t="str"/>
      <x:c r="S246" s="15" t="str"/>
      <x:c r="T246" s="15" t="str">
        <x:v>Log first source path or blocker</x:v>
      </x:c>
      <x:c r="U246" s="12" t="str">
        <x:f>IF(OR(P246="Unverified",Q246="Not checked"),"BLOCKED_PENDING_RECEIPT","READY_FOR_REVIEW")</x:f>
        <x:v>BLOCKED_PENDING_RECEIPT</x:v>
      </x:c>
      <x:c r="V246" s="12" t="str">
        <x:f>IF(J246="DONE","RETURNED",IF(U246="BLOCKED_PENDING_RECEIPT","SOURCE_TOUCH_REQUIRED","IN_PROGRESS"))</x:f>
        <x:v>SOURCE_TOUCH_REQUIRED</x:v>
      </x:c>
      <x:c r="W246" s="12" t="str">
        <x:f>IF(P246="Unverified","missing_receipt","receipt_logged")</x:f>
        <x:v>missing_receipt</x:v>
      </x:c>
      <x:c r="X246" s="12" t="str">
        <x:f>IF(Q246="Not checked","raw_status_missing","raw_status_logged")</x:f>
        <x:v>raw_status_missing</x:v>
      </x:c>
      <x:c r="Y246" s="12" t="str">
        <x:f>IF(U246="BLOCKED_PENDING_RECEIPT","Log source path or blocker; do not promote","Route to review lane")</x:f>
        <x:v>Log source path or blocker; do not promote</x:v>
      </x:c>
      <x:c r="Z246" s="12" t="str">
        <x:f>IF(K246="P0","Primary seat + Hashlight/Lucerna","Seat lane")</x:f>
        <x:v>Seat lane</x:v>
      </x:c>
      <x:c r="AA246" s="12" t="str">
        <x:f>IF(R246="","no_claim_delta","claim_delta_present")</x:f>
        <x:v>no_claim_delta</x:v>
      </x:c>
      <x:c r="AB246" s="12" t="str">
        <x:f>IF(S246="","no_contradiction_delta","contradiction_delta_present")</x:f>
        <x:v>no_contradiction_delta</x:v>
      </x:c>
      <x:c r="AC246" s="12" t="str">
        <x:f>IF(OR(ISNUMBER(SEARCH("hacker",LOWER(F246&amp;" "&amp;H246&amp;" "&amp;I246&amp;" "&amp;M246&amp;" "&amp;N246&amp;" "&amp;T246))),ISNUMBER(SEARCH("hacking",LOWER(F246&amp;" "&amp;H246&amp;" "&amp;I246&amp;" "&amp;M246&amp;" "&amp;N246&amp;" "&amp;T246))),ISNUMBER(SEARCH("bank",LOWER(F246&amp;" "&amp;H246&amp;" "&amp;I246&amp;" "&amp;M246&amp;" "&amp;N246&amp;" "&amp;T246))),ISNUMBER(SEARCH("banking",LOWER(F246&amp;" "&amp;H246&amp;" "&amp;I246&amp;" "&amp;M246&amp;" "&amp;N246&amp;" "&amp;T246)))),"PRIVATE_QUARANTINE",IF(OR(ISNUMBER(SEARCH("treasury",LOWER(F246&amp;" "&amp;H246&amp;" "&amp;I246&amp;" "&amp;M246&amp;" "&amp;N246&amp;" "&amp;T246))),ISNUMBER(SEARCH("debt",LOWER(F246&amp;" "&amp;H246&amp;" "&amp;I246&amp;" "&amp;M246&amp;" "&amp;N246&amp;" "&amp;T246))),ISNUMBER(SEARCH("bond",LOWER(F246&amp;" "&amp;H246&amp;" "&amp;I246&amp;" "&amp;M246&amp;" "&amp;N246&amp;" "&amp;T246))),ISNUMBER(SEARCH("transaction",LOWER(F246&amp;" "&amp;H246&amp;" "&amp;I246&amp;" "&amp;M246&amp;" "&amp;N246&amp;" "&amp;T246)))),"PRIVATE_REVIEW","PUBLIC_CANDIDATE"))</x:f>
        <x:v>PUBLIC_CANDIDATE</x:v>
      </x:c>
      <x:c r="AD246" s="12" t="str">
        <x:f>IF(AC246="PRIVATE_QUARANTINE","hacker_or_bank_trigger",IF(AC246="PRIVATE_REVIEW","finance_risk_trigger","none"))</x:f>
        <x:v>none</x:v>
      </x:c>
      <x:c r="AE246" s="12" t="str">
        <x:f>IF(AC246="PUBLIC_CANDIDATE","prepare_public_github_candidate",IF(AC246="PRIVATE_REVIEW","hold_for_private_review","quarantine_private_do_not_publish"))</x:f>
        <x:v>prepare_public_github_candidate</x:v>
      </x:c>
      <x:c r="AF246" s="12" t="str">
        <x:f>IF(AC246="PUBLIC_CANDIDATE","TIDELOCK + Lucerna",IF(AC246="PRIVATE_REVIEW","AtlasBrain + Lucerna","TIDELOCK + Lucerna + Human-root"))</x:f>
        <x:v>TIDELOCK + Lucerna</x:v>
      </x:c>
      <x:c r="AG246" s="12" t="str">
        <x:f>IF(AND(AC246="PUBLIC_CANDIDATE",U246&lt;&gt;"BLOCKED_PENDING_RECEIPT"),"READY_AFTER_RECEIPT","NOT_READY")</x:f>
        <x:v>NOT_READY</x:v>
      </x:c>
      <x:c r="AH246" s="12" t="str">
        <x:f>IF(AC246="PUBLIC_CANDIDATE","none",AD246)</x:f>
        <x:v>none</x:v>
      </x:c>
      <x:c r="AI246" s="12" t="str">
        <x:f>IF(AC246="PUBLIC_CANDIDATE","archive/public_candidates/"&amp;A246,"private_quarantine/"&amp;A246)</x:f>
        <x:v>archive/public_candidates/SWARM-02-H09-S05</x:v>
      </x:c>
      <x:c r="AJ246" s="12" t="str">
        <x:f>IF(AC246="PUBLIC_CANDIDATE","public by default; still not canon","private/hold; do not publish")</x:f>
        <x:v>public by default; still not canon</x:v>
      </x:c>
      <x:c r="AK246" s="12" t="str">
        <x:f>IF(AE246="prepare_public_github_candidate","add receipt/status then mirror","resolve blocker before any public GitHub action")</x:f>
        <x:v>add receipt/status then mirror</x:v>
      </x:c>
    </x:row>
    <x:row r="247">
      <x:c r="A247" s="15" t="str">
        <x:v>SWARM-02-H09-S06</x:v>
      </x:c>
      <x:c r="B247" s="15" t="str">
        <x:v>Hashlight</x:v>
      </x:c>
      <x:c r="C247" s="15" t="str">
        <x:v>Hash and identity keeper</x:v>
      </x:c>
      <x:c r="D247" s="15" t="str">
        <x:v>Review Queues</x:v>
      </x:c>
      <x:c r="E247" s="15" t="str">
        <x:v>External Web</x:v>
      </x:c>
      <x:c r="F247" s="15" t="str">
        <x:v>Queue review for External Web — Hashlight</x:v>
      </x:c>
      <x:c r="G247" s="15" t="str">
        <x:v>ids / hashes / timestamps / duplicate control</x:v>
      </x:c>
      <x:c r="H247" s="15" t="str">
        <x:v>source path + receipt + raw/export status + claim/edge/risk delta</x:v>
      </x:c>
      <x:c r="I247" s="15" t="str">
        <x:v>packet/SWARM-02-H09-S06</x:v>
      </x:c>
      <x:c r="J247" s="15" t="str">
        <x:v>TODO</x:v>
      </x:c>
      <x:c r="K247" s="15" t="str">
        <x:v>P1</x:v>
      </x:c>
      <x:c r="L247" s="15" t="str">
        <x:v>Done only when evidence is logged, contradiction search is noted, and boundary stamp remains non-canon unless ratified</x:v>
      </x:c>
      <x:c r="M247" s="15" t="str">
        <x:v>candidate / staging-only / not canon / not deployed / authority none</x:v>
      </x:c>
      <x:c r="N247" s="15" t="str">
        <x:v>Dispatch to Hashlight: complete Review Queues x External Web; return deltas only, receipts required.</x:v>
      </x:c>
      <x:c r="O247" s="15" t="str">
        <x:v>AF-KG-H09-S06</x:v>
      </x:c>
      <x:c r="P247" s="15" t="str">
        <x:v>Unverified</x:v>
      </x:c>
      <x:c r="Q247" s="15" t="str">
        <x:v>Not checked</x:v>
      </x:c>
      <x:c r="R247" s="15" t="str"/>
      <x:c r="S247" s="15" t="str"/>
      <x:c r="T247" s="15" t="str">
        <x:v>Log first source path or blocker</x:v>
      </x:c>
      <x:c r="U247" s="12" t="str">
        <x:f>IF(OR(P247="Unverified",Q247="Not checked"),"BLOCKED_PENDING_RECEIPT","READY_FOR_REVIEW")</x:f>
        <x:v>BLOCKED_PENDING_RECEIPT</x:v>
      </x:c>
      <x:c r="V247" s="12" t="str">
        <x:f>IF(J247="DONE","RETURNED",IF(U247="BLOCKED_PENDING_RECEIPT","SOURCE_TOUCH_REQUIRED","IN_PROGRESS"))</x:f>
        <x:v>SOURCE_TOUCH_REQUIRED</x:v>
      </x:c>
      <x:c r="W247" s="12" t="str">
        <x:f>IF(P247="Unverified","missing_receipt","receipt_logged")</x:f>
        <x:v>missing_receipt</x:v>
      </x:c>
      <x:c r="X247" s="12" t="str">
        <x:f>IF(Q247="Not checked","raw_status_missing","raw_status_logged")</x:f>
        <x:v>raw_status_missing</x:v>
      </x:c>
      <x:c r="Y247" s="12" t="str">
        <x:f>IF(U247="BLOCKED_PENDING_RECEIPT","Log source path or blocker; do not promote","Route to review lane")</x:f>
        <x:v>Log source path or blocker; do not promote</x:v>
      </x:c>
      <x:c r="Z247" s="12" t="str">
        <x:f>IF(K247="P0","Primary seat + Hashlight/Lucerna","Seat lane")</x:f>
        <x:v>Seat lane</x:v>
      </x:c>
      <x:c r="AA247" s="12" t="str">
        <x:f>IF(R247="","no_claim_delta","claim_delta_present")</x:f>
        <x:v>no_claim_delta</x:v>
      </x:c>
      <x:c r="AB247" s="12" t="str">
        <x:f>IF(S247="","no_contradiction_delta","contradiction_delta_present")</x:f>
        <x:v>no_contradiction_delta</x:v>
      </x:c>
      <x:c r="AC247" s="12" t="str">
        <x:f>IF(OR(ISNUMBER(SEARCH("hacker",LOWER(F247&amp;" "&amp;H247&amp;" "&amp;I247&amp;" "&amp;M247&amp;" "&amp;N247&amp;" "&amp;T247))),ISNUMBER(SEARCH("hacking",LOWER(F247&amp;" "&amp;H247&amp;" "&amp;I247&amp;" "&amp;M247&amp;" "&amp;N247&amp;" "&amp;T247))),ISNUMBER(SEARCH("bank",LOWER(F247&amp;" "&amp;H247&amp;" "&amp;I247&amp;" "&amp;M247&amp;" "&amp;N247&amp;" "&amp;T247))),ISNUMBER(SEARCH("banking",LOWER(F247&amp;" "&amp;H247&amp;" "&amp;I247&amp;" "&amp;M247&amp;" "&amp;N247&amp;" "&amp;T247)))),"PRIVATE_QUARANTINE",IF(OR(ISNUMBER(SEARCH("treasury",LOWER(F247&amp;" "&amp;H247&amp;" "&amp;I247&amp;" "&amp;M247&amp;" "&amp;N247&amp;" "&amp;T247))),ISNUMBER(SEARCH("debt",LOWER(F247&amp;" "&amp;H247&amp;" "&amp;I247&amp;" "&amp;M247&amp;" "&amp;N247&amp;" "&amp;T247))),ISNUMBER(SEARCH("bond",LOWER(F247&amp;" "&amp;H247&amp;" "&amp;I247&amp;" "&amp;M247&amp;" "&amp;N247&amp;" "&amp;T247))),ISNUMBER(SEARCH("transaction",LOWER(F247&amp;" "&amp;H247&amp;" "&amp;I247&amp;" "&amp;M247&amp;" "&amp;N247&amp;" "&amp;T247)))),"PRIVATE_REVIEW","PUBLIC_CANDIDATE"))</x:f>
        <x:v>PUBLIC_CANDIDATE</x:v>
      </x:c>
      <x:c r="AD247" s="12" t="str">
        <x:f>IF(AC247="PRIVATE_QUARANTINE","hacker_or_bank_trigger",IF(AC247="PRIVATE_REVIEW","finance_risk_trigger","none"))</x:f>
        <x:v>none</x:v>
      </x:c>
      <x:c r="AE247" s="12" t="str">
        <x:f>IF(AC247="PUBLIC_CANDIDATE","prepare_public_github_candidate",IF(AC247="PRIVATE_REVIEW","hold_for_private_review","quarantine_private_do_not_publish"))</x:f>
        <x:v>prepare_public_github_candidate</x:v>
      </x:c>
      <x:c r="AF247" s="12" t="str">
        <x:f>IF(AC247="PUBLIC_CANDIDATE","TIDELOCK + Lucerna",IF(AC247="PRIVATE_REVIEW","AtlasBrain + Lucerna","TIDELOCK + Lucerna + Human-root"))</x:f>
        <x:v>TIDELOCK + Lucerna</x:v>
      </x:c>
      <x:c r="AG247" s="12" t="str">
        <x:f>IF(AND(AC247="PUBLIC_CANDIDATE",U247&lt;&gt;"BLOCKED_PENDING_RECEIPT"),"READY_AFTER_RECEIPT","NOT_READY")</x:f>
        <x:v>NOT_READY</x:v>
      </x:c>
      <x:c r="AH247" s="12" t="str">
        <x:f>IF(AC247="PUBLIC_CANDIDATE","none",AD247)</x:f>
        <x:v>none</x:v>
      </x:c>
      <x:c r="AI247" s="12" t="str">
        <x:f>IF(AC247="PUBLIC_CANDIDATE","archive/public_candidates/"&amp;A247,"private_quarantine/"&amp;A247)</x:f>
        <x:v>archive/public_candidates/SWARM-02-H09-S06</x:v>
      </x:c>
      <x:c r="AJ247" s="12" t="str">
        <x:f>IF(AC247="PUBLIC_CANDIDATE","public by default; still not canon","private/hold; do not publish")</x:f>
        <x:v>public by default; still not canon</x:v>
      </x:c>
      <x:c r="AK247" s="12" t="str">
        <x:f>IF(AE247="prepare_public_github_candidate","add receipt/status then mirror","resolve blocker before any public GitHub action")</x:f>
        <x:v>add receipt/status then mirror</x:v>
      </x:c>
    </x:row>
    <x:row r="248">
      <x:c r="A248" s="15" t="str">
        <x:v>SWARM-02-H09-S07</x:v>
      </x:c>
      <x:c r="B248" s="15" t="str">
        <x:v>Hashlight</x:v>
      </x:c>
      <x:c r="C248" s="15" t="str">
        <x:v>Hash and identity keeper</x:v>
      </x:c>
      <x:c r="D248" s="15" t="str">
        <x:v>Review Queues</x:v>
      </x:c>
      <x:c r="E248" s="15" t="str">
        <x:v>Planetarium</x:v>
      </x:c>
      <x:c r="F248" s="15" t="str">
        <x:v>Queue review for Planetarium — Hashlight</x:v>
      </x:c>
      <x:c r="G248" s="15" t="str">
        <x:v>ids / hashes / timestamps / duplicate control</x:v>
      </x:c>
      <x:c r="H248" s="15" t="str">
        <x:v>source path + receipt + raw/export status + claim/edge/risk delta</x:v>
      </x:c>
      <x:c r="I248" s="15" t="str">
        <x:v>packet/SWARM-02-H09-S07</x:v>
      </x:c>
      <x:c r="J248" s="15" t="str">
        <x:v>TODO</x:v>
      </x:c>
      <x:c r="K248" s="15" t="str">
        <x:v>P1</x:v>
      </x:c>
      <x:c r="L248" s="15" t="str">
        <x:v>Done only when evidence is logged, contradiction search is noted, and boundary stamp remains non-canon unless ratified</x:v>
      </x:c>
      <x:c r="M248" s="15" t="str">
        <x:v>candidate / staging-only / not canon / not deployed / authority none</x:v>
      </x:c>
      <x:c r="N248" s="15" t="str">
        <x:v>Dispatch to Hashlight: complete Review Queues x Planetarium; return deltas only, receipts required.</x:v>
      </x:c>
      <x:c r="O248" s="15" t="str">
        <x:v>AF-KG-H09-S07</x:v>
      </x:c>
      <x:c r="P248" s="15" t="str">
        <x:v>Unverified</x:v>
      </x:c>
      <x:c r="Q248" s="15" t="str">
        <x:v>Not checked</x:v>
      </x:c>
      <x:c r="R248" s="15" t="str"/>
      <x:c r="S248" s="15" t="str"/>
      <x:c r="T248" s="15" t="str">
        <x:v>Log first source path or blocker</x:v>
      </x:c>
      <x:c r="U248" s="12" t="str">
        <x:f>IF(OR(P248="Unverified",Q248="Not checked"),"BLOCKED_PENDING_RECEIPT","READY_FOR_REVIEW")</x:f>
        <x:v>BLOCKED_PENDING_RECEIPT</x:v>
      </x:c>
      <x:c r="V248" s="12" t="str">
        <x:f>IF(J248="DONE","RETURNED",IF(U248="BLOCKED_PENDING_RECEIPT","SOURCE_TOUCH_REQUIRED","IN_PROGRESS"))</x:f>
        <x:v>SOURCE_TOUCH_REQUIRED</x:v>
      </x:c>
      <x:c r="W248" s="12" t="str">
        <x:f>IF(P248="Unverified","missing_receipt","receipt_logged")</x:f>
        <x:v>missing_receipt</x:v>
      </x:c>
      <x:c r="X248" s="12" t="str">
        <x:f>IF(Q248="Not checked","raw_status_missing","raw_status_logged")</x:f>
        <x:v>raw_status_missing</x:v>
      </x:c>
      <x:c r="Y248" s="12" t="str">
        <x:f>IF(U248="BLOCKED_PENDING_RECEIPT","Log source path or blocker; do not promote","Route to review lane")</x:f>
        <x:v>Log source path or blocker; do not promote</x:v>
      </x:c>
      <x:c r="Z248" s="12" t="str">
        <x:f>IF(K248="P0","Primary seat + Hashlight/Lucerna","Seat lane")</x:f>
        <x:v>Seat lane</x:v>
      </x:c>
      <x:c r="AA248" s="12" t="str">
        <x:f>IF(R248="","no_claim_delta","claim_delta_present")</x:f>
        <x:v>no_claim_delta</x:v>
      </x:c>
      <x:c r="AB248" s="12" t="str">
        <x:f>IF(S248="","no_contradiction_delta","contradiction_delta_present")</x:f>
        <x:v>no_contradiction_delta</x:v>
      </x:c>
      <x:c r="AC248" s="12" t="str">
        <x:f>IF(OR(ISNUMBER(SEARCH("hacker",LOWER(F248&amp;" "&amp;H248&amp;" "&amp;I248&amp;" "&amp;M248&amp;" "&amp;N248&amp;" "&amp;T248))),ISNUMBER(SEARCH("hacking",LOWER(F248&amp;" "&amp;H248&amp;" "&amp;I248&amp;" "&amp;M248&amp;" "&amp;N248&amp;" "&amp;T248))),ISNUMBER(SEARCH("bank",LOWER(F248&amp;" "&amp;H248&amp;" "&amp;I248&amp;" "&amp;M248&amp;" "&amp;N248&amp;" "&amp;T248))),ISNUMBER(SEARCH("banking",LOWER(F248&amp;" "&amp;H248&amp;" "&amp;I248&amp;" "&amp;M248&amp;" "&amp;N248&amp;" "&amp;T248)))),"PRIVATE_QUARANTINE",IF(OR(ISNUMBER(SEARCH("treasury",LOWER(F248&amp;" "&amp;H248&amp;" "&amp;I248&amp;" "&amp;M248&amp;" "&amp;N248&amp;" "&amp;T248))),ISNUMBER(SEARCH("debt",LOWER(F248&amp;" "&amp;H248&amp;" "&amp;I248&amp;" "&amp;M248&amp;" "&amp;N248&amp;" "&amp;T248))),ISNUMBER(SEARCH("bond",LOWER(F248&amp;" "&amp;H248&amp;" "&amp;I248&amp;" "&amp;M248&amp;" "&amp;N248&amp;" "&amp;T248))),ISNUMBER(SEARCH("transaction",LOWER(F248&amp;" "&amp;H248&amp;" "&amp;I248&amp;" "&amp;M248&amp;" "&amp;N248&amp;" "&amp;T248)))),"PRIVATE_REVIEW","PUBLIC_CANDIDATE"))</x:f>
        <x:v>PUBLIC_CANDIDATE</x:v>
      </x:c>
      <x:c r="AD248" s="12" t="str">
        <x:f>IF(AC248="PRIVATE_QUARANTINE","hacker_or_bank_trigger",IF(AC248="PRIVATE_REVIEW","finance_risk_trigger","none"))</x:f>
        <x:v>none</x:v>
      </x:c>
      <x:c r="AE248" s="12" t="str">
        <x:f>IF(AC248="PUBLIC_CANDIDATE","prepare_public_github_candidate",IF(AC248="PRIVATE_REVIEW","hold_for_private_review","quarantine_private_do_not_publish"))</x:f>
        <x:v>prepare_public_github_candidate</x:v>
      </x:c>
      <x:c r="AF248" s="12" t="str">
        <x:f>IF(AC248="PUBLIC_CANDIDATE","TIDELOCK + Lucerna",IF(AC248="PRIVATE_REVIEW","AtlasBrain + Lucerna","TIDELOCK + Lucerna + Human-root"))</x:f>
        <x:v>TIDELOCK + Lucerna</x:v>
      </x:c>
      <x:c r="AG248" s="12" t="str">
        <x:f>IF(AND(AC248="PUBLIC_CANDIDATE",U248&lt;&gt;"BLOCKED_PENDING_RECEIPT"),"READY_AFTER_RECEIPT","NOT_READY")</x:f>
        <x:v>NOT_READY</x:v>
      </x:c>
      <x:c r="AH248" s="12" t="str">
        <x:f>IF(AC248="PUBLIC_CANDIDATE","none",AD248)</x:f>
        <x:v>none</x:v>
      </x:c>
      <x:c r="AI248" s="12" t="str">
        <x:f>IF(AC248="PUBLIC_CANDIDATE","archive/public_candidates/"&amp;A248,"private_quarantine/"&amp;A248)</x:f>
        <x:v>archive/public_candidates/SWARM-02-H09-S07</x:v>
      </x:c>
      <x:c r="AJ248" s="12" t="str">
        <x:f>IF(AC248="PUBLIC_CANDIDATE","public by default; still not canon","private/hold; do not publish")</x:f>
        <x:v>public by default; still not canon</x:v>
      </x:c>
      <x:c r="AK248" s="12" t="str">
        <x:f>IF(AE248="prepare_public_github_candidate","add receipt/status then mirror","resolve blocker before any public GitHub action")</x:f>
        <x:v>add receipt/status then mirror</x:v>
      </x:c>
    </x:row>
    <x:row r="249">
      <x:c r="A249" s="15" t="str">
        <x:v>SWARM-02-H09-S08</x:v>
      </x:c>
      <x:c r="B249" s="15" t="str">
        <x:v>Hashlight</x:v>
      </x:c>
      <x:c r="C249" s="15" t="str">
        <x:v>Hash and identity keeper</x:v>
      </x:c>
      <x:c r="D249" s="15" t="str">
        <x:v>Review Queues</x:v>
      </x:c>
      <x:c r="E249" s="15" t="str">
        <x:v>Sheldonbrain</x:v>
      </x:c>
      <x:c r="F249" s="15" t="str">
        <x:v>Queue review for Sheldonbrain — Hashlight</x:v>
      </x:c>
      <x:c r="G249" s="15" t="str">
        <x:v>ids / hashes / timestamps / duplicate control</x:v>
      </x:c>
      <x:c r="H249" s="15" t="str">
        <x:v>source path + receipt + raw/export status + claim/edge/risk delta</x:v>
      </x:c>
      <x:c r="I249" s="15" t="str">
        <x:v>packet/SWARM-02-H09-S08</x:v>
      </x:c>
      <x:c r="J249" s="15" t="str">
        <x:v>TODO</x:v>
      </x:c>
      <x:c r="K249" s="15" t="str">
        <x:v>P1</x:v>
      </x:c>
      <x:c r="L249" s="15" t="str">
        <x:v>Done only when evidence is logged, contradiction search is noted, and boundary stamp remains non-canon unless ratified</x:v>
      </x:c>
      <x:c r="M249" s="15" t="str">
        <x:v>candidate / staging-only / not canon / not deployed / authority none</x:v>
      </x:c>
      <x:c r="N249" s="15" t="str">
        <x:v>Dispatch to Hashlight: complete Review Queues x Sheldonbrain; return deltas only, receipts required.</x:v>
      </x:c>
      <x:c r="O249" s="15" t="str">
        <x:v>AF-KG-H09-S08</x:v>
      </x:c>
      <x:c r="P249" s="15" t="str">
        <x:v>Unverified</x:v>
      </x:c>
      <x:c r="Q249" s="15" t="str">
        <x:v>Not checked</x:v>
      </x:c>
      <x:c r="R249" s="15" t="str"/>
      <x:c r="S249" s="15" t="str"/>
      <x:c r="T249" s="15" t="str">
        <x:v>Log first source path or blocker</x:v>
      </x:c>
      <x:c r="U249" s="12" t="str">
        <x:f>IF(OR(P249="Unverified",Q249="Not checked"),"BLOCKED_PENDING_RECEIPT","READY_FOR_REVIEW")</x:f>
        <x:v>BLOCKED_PENDING_RECEIPT</x:v>
      </x:c>
      <x:c r="V249" s="12" t="str">
        <x:f>IF(J249="DONE","RETURNED",IF(U249="BLOCKED_PENDING_RECEIPT","SOURCE_TOUCH_REQUIRED","IN_PROGRESS"))</x:f>
        <x:v>SOURCE_TOUCH_REQUIRED</x:v>
      </x:c>
      <x:c r="W249" s="12" t="str">
        <x:f>IF(P249="Unverified","missing_receipt","receipt_logged")</x:f>
        <x:v>missing_receipt</x:v>
      </x:c>
      <x:c r="X249" s="12" t="str">
        <x:f>IF(Q249="Not checked","raw_status_missing","raw_status_logged")</x:f>
        <x:v>raw_status_missing</x:v>
      </x:c>
      <x:c r="Y249" s="12" t="str">
        <x:f>IF(U249="BLOCKED_PENDING_RECEIPT","Log source path or blocker; do not promote","Route to review lane")</x:f>
        <x:v>Log source path or blocker; do not promote</x:v>
      </x:c>
      <x:c r="Z249" s="12" t="str">
        <x:f>IF(K249="P0","Primary seat + Hashlight/Lucerna","Seat lane")</x:f>
        <x:v>Seat lane</x:v>
      </x:c>
      <x:c r="AA249" s="12" t="str">
        <x:f>IF(R249="","no_claim_delta","claim_delta_present")</x:f>
        <x:v>no_claim_delta</x:v>
      </x:c>
      <x:c r="AB249" s="12" t="str">
        <x:f>IF(S249="","no_contradiction_delta","contradiction_delta_present")</x:f>
        <x:v>no_contradiction_delta</x:v>
      </x:c>
      <x:c r="AC249" s="12" t="str">
        <x:f>IF(OR(ISNUMBER(SEARCH("hacker",LOWER(F249&amp;" "&amp;H249&amp;" "&amp;I249&amp;" "&amp;M249&amp;" "&amp;N249&amp;" "&amp;T249))),ISNUMBER(SEARCH("hacking",LOWER(F249&amp;" "&amp;H249&amp;" "&amp;I249&amp;" "&amp;M249&amp;" "&amp;N249&amp;" "&amp;T249))),ISNUMBER(SEARCH("bank",LOWER(F249&amp;" "&amp;H249&amp;" "&amp;I249&amp;" "&amp;M249&amp;" "&amp;N249&amp;" "&amp;T249))),ISNUMBER(SEARCH("banking",LOWER(F249&amp;" "&amp;H249&amp;" "&amp;I249&amp;" "&amp;M249&amp;" "&amp;N249&amp;" "&amp;T249)))),"PRIVATE_QUARANTINE",IF(OR(ISNUMBER(SEARCH("treasury",LOWER(F249&amp;" "&amp;H249&amp;" "&amp;I249&amp;" "&amp;M249&amp;" "&amp;N249&amp;" "&amp;T249))),ISNUMBER(SEARCH("debt",LOWER(F249&amp;" "&amp;H249&amp;" "&amp;I249&amp;" "&amp;M249&amp;" "&amp;N249&amp;" "&amp;T249))),ISNUMBER(SEARCH("bond",LOWER(F249&amp;" "&amp;H249&amp;" "&amp;I249&amp;" "&amp;M249&amp;" "&amp;N249&amp;" "&amp;T249))),ISNUMBER(SEARCH("transaction",LOWER(F249&amp;" "&amp;H249&amp;" "&amp;I249&amp;" "&amp;M249&amp;" "&amp;N249&amp;" "&amp;T249)))),"PRIVATE_REVIEW","PUBLIC_CANDIDATE"))</x:f>
        <x:v>PUBLIC_CANDIDATE</x:v>
      </x:c>
      <x:c r="AD249" s="12" t="str">
        <x:f>IF(AC249="PRIVATE_QUARANTINE","hacker_or_bank_trigger",IF(AC249="PRIVATE_REVIEW","finance_risk_trigger","none"))</x:f>
        <x:v>none</x:v>
      </x:c>
      <x:c r="AE249" s="12" t="str">
        <x:f>IF(AC249="PUBLIC_CANDIDATE","prepare_public_github_candidate",IF(AC249="PRIVATE_REVIEW","hold_for_private_review","quarantine_private_do_not_publish"))</x:f>
        <x:v>prepare_public_github_candidate</x:v>
      </x:c>
      <x:c r="AF249" s="12" t="str">
        <x:f>IF(AC249="PUBLIC_CANDIDATE","TIDELOCK + Lucerna",IF(AC249="PRIVATE_REVIEW","AtlasBrain + Lucerna","TIDELOCK + Lucerna + Human-root"))</x:f>
        <x:v>TIDELOCK + Lucerna</x:v>
      </x:c>
      <x:c r="AG249" s="12" t="str">
        <x:f>IF(AND(AC249="PUBLIC_CANDIDATE",U249&lt;&gt;"BLOCKED_PENDING_RECEIPT"),"READY_AFTER_RECEIPT","NOT_READY")</x:f>
        <x:v>NOT_READY</x:v>
      </x:c>
      <x:c r="AH249" s="12" t="str">
        <x:f>IF(AC249="PUBLIC_CANDIDATE","none",AD249)</x:f>
        <x:v>none</x:v>
      </x:c>
      <x:c r="AI249" s="12" t="str">
        <x:f>IF(AC249="PUBLIC_CANDIDATE","archive/public_candidates/"&amp;A249,"private_quarantine/"&amp;A249)</x:f>
        <x:v>archive/public_candidates/SWARM-02-H09-S08</x:v>
      </x:c>
      <x:c r="AJ249" s="12" t="str">
        <x:f>IF(AC249="PUBLIC_CANDIDATE","public by default; still not canon","private/hold; do not publish")</x:f>
        <x:v>public by default; still not canon</x:v>
      </x:c>
      <x:c r="AK249" s="12" t="str">
        <x:f>IF(AE249="prepare_public_github_candidate","add receipt/status then mirror","resolve blocker before any public GitHub action")</x:f>
        <x:v>add receipt/status then mirror</x:v>
      </x:c>
    </x:row>
    <x:row r="250">
      <x:c r="A250" s="15" t="str">
        <x:v>SWARM-02-H09-S09</x:v>
      </x:c>
      <x:c r="B250" s="15" t="str">
        <x:v>Hashlight</x:v>
      </x:c>
      <x:c r="C250" s="15" t="str">
        <x:v>Hash and identity keeper</x:v>
      </x:c>
      <x:c r="D250" s="15" t="str">
        <x:v>Review Queues</x:v>
      </x:c>
      <x:c r="E250" s="15" t="str">
        <x:v>Aetherforge</x:v>
      </x:c>
      <x:c r="F250" s="15" t="str">
        <x:v>Queue review for Aetherforge — Hashlight</x:v>
      </x:c>
      <x:c r="G250" s="15" t="str">
        <x:v>ids / hashes / timestamps / duplicate control</x:v>
      </x:c>
      <x:c r="H250" s="15" t="str">
        <x:v>source path + receipt + raw/export status + claim/edge/risk delta</x:v>
      </x:c>
      <x:c r="I250" s="15" t="str">
        <x:v>packet/SWARM-02-H09-S09</x:v>
      </x:c>
      <x:c r="J250" s="15" t="str">
        <x:v>TODO</x:v>
      </x:c>
      <x:c r="K250" s="15" t="str">
        <x:v>P2</x:v>
      </x:c>
      <x:c r="L250" s="15" t="str">
        <x:v>Done only when evidence is logged, contradiction search is noted, and boundary stamp remains non-canon unless ratified</x:v>
      </x:c>
      <x:c r="M250" s="15" t="str">
        <x:v>candidate / staging-only / not canon / not deployed / authority none</x:v>
      </x:c>
      <x:c r="N250" s="15" t="str">
        <x:v>Dispatch to Hashlight: complete Review Queues x Aetherforge; return deltas only, receipts required.</x:v>
      </x:c>
      <x:c r="O250" s="15" t="str">
        <x:v>AF-KG-H09-S09</x:v>
      </x:c>
      <x:c r="P250" s="15" t="str">
        <x:v>Unverified</x:v>
      </x:c>
      <x:c r="Q250" s="15" t="str">
        <x:v>Not checked</x:v>
      </x:c>
      <x:c r="R250" s="15" t="str"/>
      <x:c r="S250" s="15" t="str"/>
      <x:c r="T250" s="15" t="str">
        <x:v>Log first source path or blocker</x:v>
      </x:c>
      <x:c r="U250" s="12" t="str">
        <x:f>IF(OR(P250="Unverified",Q250="Not checked"),"BLOCKED_PENDING_RECEIPT","READY_FOR_REVIEW")</x:f>
        <x:v>BLOCKED_PENDING_RECEIPT</x:v>
      </x:c>
      <x:c r="V250" s="12" t="str">
        <x:f>IF(J250="DONE","RETURNED",IF(U250="BLOCKED_PENDING_RECEIPT","SOURCE_TOUCH_REQUIRED","IN_PROGRESS"))</x:f>
        <x:v>SOURCE_TOUCH_REQUIRED</x:v>
      </x:c>
      <x:c r="W250" s="12" t="str">
        <x:f>IF(P250="Unverified","missing_receipt","receipt_logged")</x:f>
        <x:v>missing_receipt</x:v>
      </x:c>
      <x:c r="X250" s="12" t="str">
        <x:f>IF(Q250="Not checked","raw_status_missing","raw_status_logged")</x:f>
        <x:v>raw_status_missing</x:v>
      </x:c>
      <x:c r="Y250" s="12" t="str">
        <x:f>IF(U250="BLOCKED_PENDING_RECEIPT","Log source path or blocker; do not promote","Route to review lane")</x:f>
        <x:v>Log source path or blocker; do not promote</x:v>
      </x:c>
      <x:c r="Z250" s="12" t="str">
        <x:f>IF(K250="P0","Primary seat + Hashlight/Lucerna","Seat lane")</x:f>
        <x:v>Seat lane</x:v>
      </x:c>
      <x:c r="AA250" s="12" t="str">
        <x:f>IF(R250="","no_claim_delta","claim_delta_present")</x:f>
        <x:v>no_claim_delta</x:v>
      </x:c>
      <x:c r="AB250" s="12" t="str">
        <x:f>IF(S250="","no_contradiction_delta","contradiction_delta_present")</x:f>
        <x:v>no_contradiction_delta</x:v>
      </x:c>
      <x:c r="AC250" s="12" t="str">
        <x:f>IF(OR(ISNUMBER(SEARCH("hacker",LOWER(F250&amp;" "&amp;H250&amp;" "&amp;I250&amp;" "&amp;M250&amp;" "&amp;N250&amp;" "&amp;T250))),ISNUMBER(SEARCH("hacking",LOWER(F250&amp;" "&amp;H250&amp;" "&amp;I250&amp;" "&amp;M250&amp;" "&amp;N250&amp;" "&amp;T250))),ISNUMBER(SEARCH("bank",LOWER(F250&amp;" "&amp;H250&amp;" "&amp;I250&amp;" "&amp;M250&amp;" "&amp;N250&amp;" "&amp;T250))),ISNUMBER(SEARCH("banking",LOWER(F250&amp;" "&amp;H250&amp;" "&amp;I250&amp;" "&amp;M250&amp;" "&amp;N250&amp;" "&amp;T250)))),"PRIVATE_QUARANTINE",IF(OR(ISNUMBER(SEARCH("treasury",LOWER(F250&amp;" "&amp;H250&amp;" "&amp;I250&amp;" "&amp;M250&amp;" "&amp;N250&amp;" "&amp;T250))),ISNUMBER(SEARCH("debt",LOWER(F250&amp;" "&amp;H250&amp;" "&amp;I250&amp;" "&amp;M250&amp;" "&amp;N250&amp;" "&amp;T250))),ISNUMBER(SEARCH("bond",LOWER(F250&amp;" "&amp;H250&amp;" "&amp;I250&amp;" "&amp;M250&amp;" "&amp;N250&amp;" "&amp;T250))),ISNUMBER(SEARCH("transaction",LOWER(F250&amp;" "&amp;H250&amp;" "&amp;I250&amp;" "&amp;M250&amp;" "&amp;N250&amp;" "&amp;T250)))),"PRIVATE_REVIEW","PUBLIC_CANDIDATE"))</x:f>
        <x:v>PUBLIC_CANDIDATE</x:v>
      </x:c>
      <x:c r="AD250" s="12" t="str">
        <x:f>IF(AC250="PRIVATE_QUARANTINE","hacker_or_bank_trigger",IF(AC250="PRIVATE_REVIEW","finance_risk_trigger","none"))</x:f>
        <x:v>none</x:v>
      </x:c>
      <x:c r="AE250" s="12" t="str">
        <x:f>IF(AC250="PUBLIC_CANDIDATE","prepare_public_github_candidate",IF(AC250="PRIVATE_REVIEW","hold_for_private_review","quarantine_private_do_not_publish"))</x:f>
        <x:v>prepare_public_github_candidate</x:v>
      </x:c>
      <x:c r="AF250" s="12" t="str">
        <x:f>IF(AC250="PUBLIC_CANDIDATE","TIDELOCK + Lucerna",IF(AC250="PRIVATE_REVIEW","AtlasBrain + Lucerna","TIDELOCK + Lucerna + Human-root"))</x:f>
        <x:v>TIDELOCK + Lucerna</x:v>
      </x:c>
      <x:c r="AG250" s="12" t="str">
        <x:f>IF(AND(AC250="PUBLIC_CANDIDATE",U250&lt;&gt;"BLOCKED_PENDING_RECEIPT"),"READY_AFTER_RECEIPT","NOT_READY")</x:f>
        <x:v>NOT_READY</x:v>
      </x:c>
      <x:c r="AH250" s="12" t="str">
        <x:f>IF(AC250="PUBLIC_CANDIDATE","none",AD250)</x:f>
        <x:v>none</x:v>
      </x:c>
      <x:c r="AI250" s="12" t="str">
        <x:f>IF(AC250="PUBLIC_CANDIDATE","archive/public_candidates/"&amp;A250,"private_quarantine/"&amp;A250)</x:f>
        <x:v>archive/public_candidates/SWARM-02-H09-S09</x:v>
      </x:c>
      <x:c r="AJ250" s="12" t="str">
        <x:f>IF(AC250="PUBLIC_CANDIDATE","public by default; still not canon","private/hold; do not publish")</x:f>
        <x:v>public by default; still not canon</x:v>
      </x:c>
      <x:c r="AK250" s="12" t="str">
        <x:f>IF(AE250="prepare_public_github_candidate","add receipt/status then mirror","resolve blocker before any public GitHub action")</x:f>
        <x:v>add receipt/status then mirror</x:v>
      </x:c>
    </x:row>
    <x:row r="251">
      <x:c r="A251" s="15" t="str">
        <x:v>SWARM-02-H09-S10</x:v>
      </x:c>
      <x:c r="B251" s="15" t="str">
        <x:v>Hashlight</x:v>
      </x:c>
      <x:c r="C251" s="15" t="str">
        <x:v>Hash and identity keeper</x:v>
      </x:c>
      <x:c r="D251" s="15" t="str">
        <x:v>Review Queues</x:v>
      </x:c>
      <x:c r="E251" s="15" t="str">
        <x:v>Human-Root</x:v>
      </x:c>
      <x:c r="F251" s="15" t="str">
        <x:v>Queue review for Human-Root — Hashlight</x:v>
      </x:c>
      <x:c r="G251" s="15" t="str">
        <x:v>ids / hashes / timestamps / duplicate control</x:v>
      </x:c>
      <x:c r="H251" s="15" t="str">
        <x:v>source path + receipt + raw/export status + claim/edge/risk delta</x:v>
      </x:c>
      <x:c r="I251" s="15" t="str">
        <x:v>packet/SWARM-02-H09-S10</x:v>
      </x:c>
      <x:c r="J251" s="15" t="str">
        <x:v>TODO</x:v>
      </x:c>
      <x:c r="K251" s="15" t="str">
        <x:v>P2</x:v>
      </x:c>
      <x:c r="L251" s="15" t="str">
        <x:v>Done only when evidence is logged, contradiction search is noted, and boundary stamp remains non-canon unless ratified</x:v>
      </x:c>
      <x:c r="M251" s="15" t="str">
        <x:v>candidate / staging-only / not canon / not deployed / authority none</x:v>
      </x:c>
      <x:c r="N251" s="15" t="str">
        <x:v>Dispatch to Hashlight: complete Review Queues x Human-Root; return deltas only, receipts required.</x:v>
      </x:c>
      <x:c r="O251" s="15" t="str">
        <x:v>AF-KG-H09-S10</x:v>
      </x:c>
      <x:c r="P251" s="15" t="str">
        <x:v>Unverified</x:v>
      </x:c>
      <x:c r="Q251" s="15" t="str">
        <x:v>Not checked</x:v>
      </x:c>
      <x:c r="R251" s="15" t="str"/>
      <x:c r="S251" s="15" t="str"/>
      <x:c r="T251" s="15" t="str">
        <x:v>Log first source path or blocker</x:v>
      </x:c>
      <x:c r="U251" s="12" t="str">
        <x:f>IF(OR(P251="Unverified",Q251="Not checked"),"BLOCKED_PENDING_RECEIPT","READY_FOR_REVIEW")</x:f>
        <x:v>BLOCKED_PENDING_RECEIPT</x:v>
      </x:c>
      <x:c r="V251" s="12" t="str">
        <x:f>IF(J251="DONE","RETURNED",IF(U251="BLOCKED_PENDING_RECEIPT","SOURCE_TOUCH_REQUIRED","IN_PROGRESS"))</x:f>
        <x:v>SOURCE_TOUCH_REQUIRED</x:v>
      </x:c>
      <x:c r="W251" s="12" t="str">
        <x:f>IF(P251="Unverified","missing_receipt","receipt_logged")</x:f>
        <x:v>missing_receipt</x:v>
      </x:c>
      <x:c r="X251" s="12" t="str">
        <x:f>IF(Q251="Not checked","raw_status_missing","raw_status_logged")</x:f>
        <x:v>raw_status_missing</x:v>
      </x:c>
      <x:c r="Y251" s="12" t="str">
        <x:f>IF(U251="BLOCKED_PENDING_RECEIPT","Log source path or blocker; do not promote","Route to review lane")</x:f>
        <x:v>Log source path or blocker; do not promote</x:v>
      </x:c>
      <x:c r="Z251" s="12" t="str">
        <x:f>IF(K251="P0","Primary seat + Hashlight/Lucerna","Seat lane")</x:f>
        <x:v>Seat lane</x:v>
      </x:c>
      <x:c r="AA251" s="12" t="str">
        <x:f>IF(R251="","no_claim_delta","claim_delta_present")</x:f>
        <x:v>no_claim_delta</x:v>
      </x:c>
      <x:c r="AB251" s="12" t="str">
        <x:f>IF(S251="","no_contradiction_delta","contradiction_delta_present")</x:f>
        <x:v>no_contradiction_delta</x:v>
      </x:c>
      <x:c r="AC251" s="12" t="str">
        <x:f>IF(OR(ISNUMBER(SEARCH("hacker",LOWER(F251&amp;" "&amp;H251&amp;" "&amp;I251&amp;" "&amp;M251&amp;" "&amp;N251&amp;" "&amp;T251))),ISNUMBER(SEARCH("hacking",LOWER(F251&amp;" "&amp;H251&amp;" "&amp;I251&amp;" "&amp;M251&amp;" "&amp;N251&amp;" "&amp;T251))),ISNUMBER(SEARCH("bank",LOWER(F251&amp;" "&amp;H251&amp;" "&amp;I251&amp;" "&amp;M251&amp;" "&amp;N251&amp;" "&amp;T251))),ISNUMBER(SEARCH("banking",LOWER(F251&amp;" "&amp;H251&amp;" "&amp;I251&amp;" "&amp;M251&amp;" "&amp;N251&amp;" "&amp;T251)))),"PRIVATE_QUARANTINE",IF(OR(ISNUMBER(SEARCH("treasury",LOWER(F251&amp;" "&amp;H251&amp;" "&amp;I251&amp;" "&amp;M251&amp;" "&amp;N251&amp;" "&amp;T251))),ISNUMBER(SEARCH("debt",LOWER(F251&amp;" "&amp;H251&amp;" "&amp;I251&amp;" "&amp;M251&amp;" "&amp;N251&amp;" "&amp;T251))),ISNUMBER(SEARCH("bond",LOWER(F251&amp;" "&amp;H251&amp;" "&amp;I251&amp;" "&amp;M251&amp;" "&amp;N251&amp;" "&amp;T251))),ISNUMBER(SEARCH("transaction",LOWER(F251&amp;" "&amp;H251&amp;" "&amp;I251&amp;" "&amp;M251&amp;" "&amp;N251&amp;" "&amp;T251)))),"PRIVATE_REVIEW","PUBLIC_CANDIDATE"))</x:f>
        <x:v>PUBLIC_CANDIDATE</x:v>
      </x:c>
      <x:c r="AD251" s="12" t="str">
        <x:f>IF(AC251="PRIVATE_QUARANTINE","hacker_or_bank_trigger",IF(AC251="PRIVATE_REVIEW","finance_risk_trigger","none"))</x:f>
        <x:v>none</x:v>
      </x:c>
      <x:c r="AE251" s="12" t="str">
        <x:f>IF(AC251="PUBLIC_CANDIDATE","prepare_public_github_candidate",IF(AC251="PRIVATE_REVIEW","hold_for_private_review","quarantine_private_do_not_publish"))</x:f>
        <x:v>prepare_public_github_candidate</x:v>
      </x:c>
      <x:c r="AF251" s="12" t="str">
        <x:f>IF(AC251="PUBLIC_CANDIDATE","TIDELOCK + Lucerna",IF(AC251="PRIVATE_REVIEW","AtlasBrain + Lucerna","TIDELOCK + Lucerna + Human-root"))</x:f>
        <x:v>TIDELOCK + Lucerna</x:v>
      </x:c>
      <x:c r="AG251" s="12" t="str">
        <x:f>IF(AND(AC251="PUBLIC_CANDIDATE",U251&lt;&gt;"BLOCKED_PENDING_RECEIPT"),"READY_AFTER_RECEIPT","NOT_READY")</x:f>
        <x:v>NOT_READY</x:v>
      </x:c>
      <x:c r="AH251" s="12" t="str">
        <x:f>IF(AC251="PUBLIC_CANDIDATE","none",AD251)</x:f>
        <x:v>none</x:v>
      </x:c>
      <x:c r="AI251" s="12" t="str">
        <x:f>IF(AC251="PUBLIC_CANDIDATE","archive/public_candidates/"&amp;A251,"private_quarantine/"&amp;A251)</x:f>
        <x:v>archive/public_candidates/SWARM-02-H09-S10</x:v>
      </x:c>
      <x:c r="AJ251" s="12" t="str">
        <x:f>IF(AC251="PUBLIC_CANDIDATE","public by default; still not canon","private/hold; do not publish")</x:f>
        <x:v>public by default; still not canon</x:v>
      </x:c>
      <x:c r="AK251" s="12" t="str">
        <x:f>IF(AE251="prepare_public_github_candidate","add receipt/status then mirror","resolve blocker before any public GitHub action")</x:f>
        <x:v>add receipt/status then mirror</x:v>
      </x:c>
    </x:row>
    <x:row r="252">
      <x:c r="A252" s="15" t="str">
        <x:v>SWARM-02-H09-S11</x:v>
      </x:c>
      <x:c r="B252" s="15" t="str">
        <x:v>Hashlight</x:v>
      </x:c>
      <x:c r="C252" s="15" t="str">
        <x:v>Hash and identity keeper</x:v>
      </x:c>
      <x:c r="D252" s="15" t="str">
        <x:v>Review Queues</x:v>
      </x:c>
      <x:c r="E252" s="15" t="str">
        <x:v>Automation</x:v>
      </x:c>
      <x:c r="F252" s="15" t="str">
        <x:v>Queue review for Automation — Hashlight</x:v>
      </x:c>
      <x:c r="G252" s="15" t="str">
        <x:v>ids / hashes / timestamps / duplicate control</x:v>
      </x:c>
      <x:c r="H252" s="15" t="str">
        <x:v>source path + receipt + raw/export status + claim/edge/risk delta</x:v>
      </x:c>
      <x:c r="I252" s="15" t="str">
        <x:v>packet/SWARM-02-H09-S11</x:v>
      </x:c>
      <x:c r="J252" s="15" t="str">
        <x:v>TODO</x:v>
      </x:c>
      <x:c r="K252" s="15" t="str">
        <x:v>P2</x:v>
      </x:c>
      <x:c r="L252" s="15" t="str">
        <x:v>Done only when evidence is logged, contradiction search is noted, and boundary stamp remains non-canon unless ratified</x:v>
      </x:c>
      <x:c r="M252" s="15" t="str">
        <x:v>candidate / staging-only / not canon / not deployed / authority none</x:v>
      </x:c>
      <x:c r="N252" s="15" t="str">
        <x:v>Dispatch to Hashlight: complete Review Queues x Automation; return deltas only, receipts required.</x:v>
      </x:c>
      <x:c r="O252" s="15" t="str">
        <x:v>AF-KG-H09-S11</x:v>
      </x:c>
      <x:c r="P252" s="15" t="str">
        <x:v>Unverified</x:v>
      </x:c>
      <x:c r="Q252" s="15" t="str">
        <x:v>Not checked</x:v>
      </x:c>
      <x:c r="R252" s="15" t="str"/>
      <x:c r="S252" s="15" t="str"/>
      <x:c r="T252" s="15" t="str">
        <x:v>Log first source path or blocker</x:v>
      </x:c>
      <x:c r="U252" s="12" t="str">
        <x:f>IF(OR(P252="Unverified",Q252="Not checked"),"BLOCKED_PENDING_RECEIPT","READY_FOR_REVIEW")</x:f>
        <x:v>BLOCKED_PENDING_RECEIPT</x:v>
      </x:c>
      <x:c r="V252" s="12" t="str">
        <x:f>IF(J252="DONE","RETURNED",IF(U252="BLOCKED_PENDING_RECEIPT","SOURCE_TOUCH_REQUIRED","IN_PROGRESS"))</x:f>
        <x:v>SOURCE_TOUCH_REQUIRED</x:v>
      </x:c>
      <x:c r="W252" s="12" t="str">
        <x:f>IF(P252="Unverified","missing_receipt","receipt_logged")</x:f>
        <x:v>missing_receipt</x:v>
      </x:c>
      <x:c r="X252" s="12" t="str">
        <x:f>IF(Q252="Not checked","raw_status_missing","raw_status_logged")</x:f>
        <x:v>raw_status_missing</x:v>
      </x:c>
      <x:c r="Y252" s="12" t="str">
        <x:f>IF(U252="BLOCKED_PENDING_RECEIPT","Log source path or blocker; do not promote","Route to review lane")</x:f>
        <x:v>Log source path or blocker; do not promote</x:v>
      </x:c>
      <x:c r="Z252" s="12" t="str">
        <x:f>IF(K252="P0","Primary seat + Hashlight/Lucerna","Seat lane")</x:f>
        <x:v>Seat lane</x:v>
      </x:c>
      <x:c r="AA252" s="12" t="str">
        <x:f>IF(R252="","no_claim_delta","claim_delta_present")</x:f>
        <x:v>no_claim_delta</x:v>
      </x:c>
      <x:c r="AB252" s="12" t="str">
        <x:f>IF(S252="","no_contradiction_delta","contradiction_delta_present")</x:f>
        <x:v>no_contradiction_delta</x:v>
      </x:c>
      <x:c r="AC252" s="12" t="str">
        <x:f>IF(OR(ISNUMBER(SEARCH("hacker",LOWER(F252&amp;" "&amp;H252&amp;" "&amp;I252&amp;" "&amp;M252&amp;" "&amp;N252&amp;" "&amp;T252))),ISNUMBER(SEARCH("hacking",LOWER(F252&amp;" "&amp;H252&amp;" "&amp;I252&amp;" "&amp;M252&amp;" "&amp;N252&amp;" "&amp;T252))),ISNUMBER(SEARCH("bank",LOWER(F252&amp;" "&amp;H252&amp;" "&amp;I252&amp;" "&amp;M252&amp;" "&amp;N252&amp;" "&amp;T252))),ISNUMBER(SEARCH("banking",LOWER(F252&amp;" "&amp;H252&amp;" "&amp;I252&amp;" "&amp;M252&amp;" "&amp;N252&amp;" "&amp;T252)))),"PRIVATE_QUARANTINE",IF(OR(ISNUMBER(SEARCH("treasury",LOWER(F252&amp;" "&amp;H252&amp;" "&amp;I252&amp;" "&amp;M252&amp;" "&amp;N252&amp;" "&amp;T252))),ISNUMBER(SEARCH("debt",LOWER(F252&amp;" "&amp;H252&amp;" "&amp;I252&amp;" "&amp;M252&amp;" "&amp;N252&amp;" "&amp;T252))),ISNUMBER(SEARCH("bond",LOWER(F252&amp;" "&amp;H252&amp;" "&amp;I252&amp;" "&amp;M252&amp;" "&amp;N252&amp;" "&amp;T252))),ISNUMBER(SEARCH("transaction",LOWER(F252&amp;" "&amp;H252&amp;" "&amp;I252&amp;" "&amp;M252&amp;" "&amp;N252&amp;" "&amp;T252)))),"PRIVATE_REVIEW","PUBLIC_CANDIDATE"))</x:f>
        <x:v>PUBLIC_CANDIDATE</x:v>
      </x:c>
      <x:c r="AD252" s="12" t="str">
        <x:f>IF(AC252="PRIVATE_QUARANTINE","hacker_or_bank_trigger",IF(AC252="PRIVATE_REVIEW","finance_risk_trigger","none"))</x:f>
        <x:v>none</x:v>
      </x:c>
      <x:c r="AE252" s="12" t="str">
        <x:f>IF(AC252="PUBLIC_CANDIDATE","prepare_public_github_candidate",IF(AC252="PRIVATE_REVIEW","hold_for_private_review","quarantine_private_do_not_publish"))</x:f>
        <x:v>prepare_public_github_candidate</x:v>
      </x:c>
      <x:c r="AF252" s="12" t="str">
        <x:f>IF(AC252="PUBLIC_CANDIDATE","TIDELOCK + Lucerna",IF(AC252="PRIVATE_REVIEW","AtlasBrain + Lucerna","TIDELOCK + Lucerna + Human-root"))</x:f>
        <x:v>TIDELOCK + Lucerna</x:v>
      </x:c>
      <x:c r="AG252" s="12" t="str">
        <x:f>IF(AND(AC252="PUBLIC_CANDIDATE",U252&lt;&gt;"BLOCKED_PENDING_RECEIPT"),"READY_AFTER_RECEIPT","NOT_READY")</x:f>
        <x:v>NOT_READY</x:v>
      </x:c>
      <x:c r="AH252" s="12" t="str">
        <x:f>IF(AC252="PUBLIC_CANDIDATE","none",AD252)</x:f>
        <x:v>none</x:v>
      </x:c>
      <x:c r="AI252" s="12" t="str">
        <x:f>IF(AC252="PUBLIC_CANDIDATE","archive/public_candidates/"&amp;A252,"private_quarantine/"&amp;A252)</x:f>
        <x:v>archive/public_candidates/SWARM-02-H09-S11</x:v>
      </x:c>
      <x:c r="AJ252" s="12" t="str">
        <x:f>IF(AC252="PUBLIC_CANDIDATE","public by default; still not canon","private/hold; do not publish")</x:f>
        <x:v>public by default; still not canon</x:v>
      </x:c>
      <x:c r="AK252" s="12" t="str">
        <x:f>IF(AE252="prepare_public_github_candidate","add receipt/status then mirror","resolve blocker before any public GitHub action")</x:f>
        <x:v>add receipt/status then mirror</x:v>
      </x:c>
    </x:row>
    <x:row r="253">
      <x:c r="A253" s="15" t="str">
        <x:v>SWARM-02-H09-S12</x:v>
      </x:c>
      <x:c r="B253" s="15" t="str">
        <x:v>Hashlight</x:v>
      </x:c>
      <x:c r="C253" s="15" t="str">
        <x:v>Hash and identity keeper</x:v>
      </x:c>
      <x:c r="D253" s="15" t="str">
        <x:v>Review Queues</x:v>
      </x:c>
      <x:c r="E253" s="15" t="str">
        <x:v>Risk / Safety</x:v>
      </x:c>
      <x:c r="F253" s="15" t="str">
        <x:v>Queue review for Risk / Safety — Hashlight</x:v>
      </x:c>
      <x:c r="G253" s="15" t="str">
        <x:v>ids / hashes / timestamps / duplicate control</x:v>
      </x:c>
      <x:c r="H253" s="15" t="str">
        <x:v>source path + receipt + raw/export status + claim/edge/risk delta</x:v>
      </x:c>
      <x:c r="I253" s="15" t="str">
        <x:v>packet/SWARM-02-H09-S12</x:v>
      </x:c>
      <x:c r="J253" s="15" t="str">
        <x:v>TODO</x:v>
      </x:c>
      <x:c r="K253" s="15" t="str">
        <x:v>P2</x:v>
      </x:c>
      <x:c r="L253" s="15" t="str">
        <x:v>Done only when evidence is logged, contradiction search is noted, and boundary stamp remains non-canon unless ratified</x:v>
      </x:c>
      <x:c r="M253" s="15" t="str">
        <x:v>candidate / staging-only / not canon / not deployed / authority none</x:v>
      </x:c>
      <x:c r="N253" s="15" t="str">
        <x:v>Dispatch to Hashlight: complete Review Queues x Risk / Safety; return deltas only, receipts required.</x:v>
      </x:c>
      <x:c r="O253" s="15" t="str">
        <x:v>AF-KG-H09-S12</x:v>
      </x:c>
      <x:c r="P253" s="15" t="str">
        <x:v>Unverified</x:v>
      </x:c>
      <x:c r="Q253" s="15" t="str">
        <x:v>Not checked</x:v>
      </x:c>
      <x:c r="R253" s="15" t="str"/>
      <x:c r="S253" s="15" t="str"/>
      <x:c r="T253" s="15" t="str">
        <x:v>Log first source path or blocker</x:v>
      </x:c>
      <x:c r="U253" s="12" t="str">
        <x:f>IF(OR(P253="Unverified",Q253="Not checked"),"BLOCKED_PENDING_RECEIPT","READY_FOR_REVIEW")</x:f>
        <x:v>BLOCKED_PENDING_RECEIPT</x:v>
      </x:c>
      <x:c r="V253" s="12" t="str">
        <x:f>IF(J253="DONE","RETURNED",IF(U253="BLOCKED_PENDING_RECEIPT","SOURCE_TOUCH_REQUIRED","IN_PROGRESS"))</x:f>
        <x:v>SOURCE_TOUCH_REQUIRED</x:v>
      </x:c>
      <x:c r="W253" s="12" t="str">
        <x:f>IF(P253="Unverified","missing_receipt","receipt_logged")</x:f>
        <x:v>missing_receipt</x:v>
      </x:c>
      <x:c r="X253" s="12" t="str">
        <x:f>IF(Q253="Not checked","raw_status_missing","raw_status_logged")</x:f>
        <x:v>raw_status_missing</x:v>
      </x:c>
      <x:c r="Y253" s="12" t="str">
        <x:f>IF(U253="BLOCKED_PENDING_RECEIPT","Log source path or blocker; do not promote","Route to review lane")</x:f>
        <x:v>Log source path or blocker; do not promote</x:v>
      </x:c>
      <x:c r="Z253" s="12" t="str">
        <x:f>IF(K253="P0","Primary seat + Hashlight/Lucerna","Seat lane")</x:f>
        <x:v>Seat lane</x:v>
      </x:c>
      <x:c r="AA253" s="12" t="str">
        <x:f>IF(R253="","no_claim_delta","claim_delta_present")</x:f>
        <x:v>no_claim_delta</x:v>
      </x:c>
      <x:c r="AB253" s="12" t="str">
        <x:f>IF(S253="","no_contradiction_delta","contradiction_delta_present")</x:f>
        <x:v>no_contradiction_delta</x:v>
      </x:c>
      <x:c r="AC253" s="12" t="str">
        <x:f>IF(OR(ISNUMBER(SEARCH("hacker",LOWER(F253&amp;" "&amp;H253&amp;" "&amp;I253&amp;" "&amp;M253&amp;" "&amp;N253&amp;" "&amp;T253))),ISNUMBER(SEARCH("hacking",LOWER(F253&amp;" "&amp;H253&amp;" "&amp;I253&amp;" "&amp;M253&amp;" "&amp;N253&amp;" "&amp;T253))),ISNUMBER(SEARCH("bank",LOWER(F253&amp;" "&amp;H253&amp;" "&amp;I253&amp;" "&amp;M253&amp;" "&amp;N253&amp;" "&amp;T253))),ISNUMBER(SEARCH("banking",LOWER(F253&amp;" "&amp;H253&amp;" "&amp;I253&amp;" "&amp;M253&amp;" "&amp;N253&amp;" "&amp;T253)))),"PRIVATE_QUARANTINE",IF(OR(ISNUMBER(SEARCH("treasury",LOWER(F253&amp;" "&amp;H253&amp;" "&amp;I253&amp;" "&amp;M253&amp;" "&amp;N253&amp;" "&amp;T253))),ISNUMBER(SEARCH("debt",LOWER(F253&amp;" "&amp;H253&amp;" "&amp;I253&amp;" "&amp;M253&amp;" "&amp;N253&amp;" "&amp;T253))),ISNUMBER(SEARCH("bond",LOWER(F253&amp;" "&amp;H253&amp;" "&amp;I253&amp;" "&amp;M253&amp;" "&amp;N253&amp;" "&amp;T253))),ISNUMBER(SEARCH("transaction",LOWER(F253&amp;" "&amp;H253&amp;" "&amp;I253&amp;" "&amp;M253&amp;" "&amp;N253&amp;" "&amp;T253)))),"PRIVATE_REVIEW","PUBLIC_CANDIDATE"))</x:f>
        <x:v>PUBLIC_CANDIDATE</x:v>
      </x:c>
      <x:c r="AD253" s="12" t="str">
        <x:f>IF(AC253="PRIVATE_QUARANTINE","hacker_or_bank_trigger",IF(AC253="PRIVATE_REVIEW","finance_risk_trigger","none"))</x:f>
        <x:v>none</x:v>
      </x:c>
      <x:c r="AE253" s="12" t="str">
        <x:f>IF(AC253="PUBLIC_CANDIDATE","prepare_public_github_candidate",IF(AC253="PRIVATE_REVIEW","hold_for_private_review","quarantine_private_do_not_publish"))</x:f>
        <x:v>prepare_public_github_candidate</x:v>
      </x:c>
      <x:c r="AF253" s="12" t="str">
        <x:f>IF(AC253="PUBLIC_CANDIDATE","TIDELOCK + Lucerna",IF(AC253="PRIVATE_REVIEW","AtlasBrain + Lucerna","TIDELOCK + Lucerna + Human-root"))</x:f>
        <x:v>TIDELOCK + Lucerna</x:v>
      </x:c>
      <x:c r="AG253" s="12" t="str">
        <x:f>IF(AND(AC253="PUBLIC_CANDIDATE",U253&lt;&gt;"BLOCKED_PENDING_RECEIPT"),"READY_AFTER_RECEIPT","NOT_READY")</x:f>
        <x:v>NOT_READY</x:v>
      </x:c>
      <x:c r="AH253" s="12" t="str">
        <x:f>IF(AC253="PUBLIC_CANDIDATE","none",AD253)</x:f>
        <x:v>none</x:v>
      </x:c>
      <x:c r="AI253" s="12" t="str">
        <x:f>IF(AC253="PUBLIC_CANDIDATE","archive/public_candidates/"&amp;A253,"private_quarantine/"&amp;A253)</x:f>
        <x:v>archive/public_candidates/SWARM-02-H09-S12</x:v>
      </x:c>
      <x:c r="AJ253" s="12" t="str">
        <x:f>IF(AC253="PUBLIC_CANDIDATE","public by default; still not canon","private/hold; do not publish")</x:f>
        <x:v>public by default; still not canon</x:v>
      </x:c>
      <x:c r="AK253" s="12" t="str">
        <x:f>IF(AE253="prepare_public_github_candidate","add receipt/status then mirror","resolve blocker before any public GitHub action")</x:f>
        <x:v>add receipt/status then mirror</x:v>
      </x:c>
    </x:row>
    <x:row r="254">
      <x:c r="A254" s="15" t="str">
        <x:v>SWARM-02-H10-S01</x:v>
      </x:c>
      <x:c r="B254" s="15" t="str">
        <x:v>Hashlight</x:v>
      </x:c>
      <x:c r="C254" s="15" t="str">
        <x:v>Hash and identity keeper</x:v>
      </x:c>
      <x:c r="D254" s="15" t="str">
        <x:v>GitHub Source Packets</x:v>
      </x:c>
      <x:c r="E254" s="15" t="str">
        <x:v>Notion</x:v>
      </x:c>
      <x:c r="F254" s="15" t="str">
        <x:v>Build source packet for Notion — Hashlight</x:v>
      </x:c>
      <x:c r="G254" s="15" t="str">
        <x:v>ids / hashes / timestamps / duplicate control</x:v>
      </x:c>
      <x:c r="H254" s="15" t="str">
        <x:v>source path + receipt + raw/export status + claim/edge/risk delta</x:v>
      </x:c>
      <x:c r="I254" s="15" t="str">
        <x:v>packet/SWARM-02-H10-S01</x:v>
      </x:c>
      <x:c r="J254" s="15" t="str">
        <x:v>TODO</x:v>
      </x:c>
      <x:c r="K254" s="15" t="str">
        <x:v>P0</x:v>
      </x:c>
      <x:c r="L254" s="15" t="str">
        <x:v>Done only when evidence is logged, contradiction search is noted, and boundary stamp remains non-canon unless ratified</x:v>
      </x:c>
      <x:c r="M254" s="15" t="str">
        <x:v>candidate / staging-only / not canon / not deployed / authority none</x:v>
      </x:c>
      <x:c r="N254" s="15" t="str">
        <x:v>Dispatch to Hashlight: complete GitHub Source Packets x Notion; return deltas only, receipts required.</x:v>
      </x:c>
      <x:c r="O254" s="15" t="str">
        <x:v>AF-KG-H10-S01</x:v>
      </x:c>
      <x:c r="P254" s="15" t="str">
        <x:v>Unverified</x:v>
      </x:c>
      <x:c r="Q254" s="15" t="str">
        <x:v>Not checked</x:v>
      </x:c>
      <x:c r="R254" s="15" t="str"/>
      <x:c r="S254" s="15" t="str"/>
      <x:c r="T254" s="15" t="str">
        <x:v>Log first source path or blocker</x:v>
      </x:c>
      <x:c r="U254" s="12" t="str">
        <x:f>IF(OR(P254="Unverified",Q254="Not checked"),"BLOCKED_PENDING_RECEIPT","READY_FOR_REVIEW")</x:f>
        <x:v>BLOCKED_PENDING_RECEIPT</x:v>
      </x:c>
      <x:c r="V254" s="12" t="str">
        <x:f>IF(J254="DONE","RETURNED",IF(U254="BLOCKED_PENDING_RECEIPT","SOURCE_TOUCH_REQUIRED","IN_PROGRESS"))</x:f>
        <x:v>SOURCE_TOUCH_REQUIRED</x:v>
      </x:c>
      <x:c r="W254" s="12" t="str">
        <x:f>IF(P254="Unverified","missing_receipt","receipt_logged")</x:f>
        <x:v>missing_receipt</x:v>
      </x:c>
      <x:c r="X254" s="12" t="str">
        <x:f>IF(Q254="Not checked","raw_status_missing","raw_status_logged")</x:f>
        <x:v>raw_status_missing</x:v>
      </x:c>
      <x:c r="Y254" s="12" t="str">
        <x:f>IF(U254="BLOCKED_PENDING_RECEIPT","Log source path or blocker; do not promote","Route to review lane")</x:f>
        <x:v>Log source path or blocker; do not promote</x:v>
      </x:c>
      <x:c r="Z254" s="12" t="str">
        <x:f>IF(K254="P0","Primary seat + Hashlight/Lucerna","Seat lane")</x:f>
        <x:v>Primary seat + Hashlight/Lucerna</x:v>
      </x:c>
      <x:c r="AA254" s="12" t="str">
        <x:f>IF(R254="","no_claim_delta","claim_delta_present")</x:f>
        <x:v>no_claim_delta</x:v>
      </x:c>
      <x:c r="AB254" s="12" t="str">
        <x:f>IF(S254="","no_contradiction_delta","contradiction_delta_present")</x:f>
        <x:v>no_contradiction_delta</x:v>
      </x:c>
      <x:c r="AC254" s="12" t="str">
        <x:f>IF(OR(ISNUMBER(SEARCH("hacker",LOWER(F254&amp;" "&amp;H254&amp;" "&amp;I254&amp;" "&amp;M254&amp;" "&amp;N254&amp;" "&amp;T254))),ISNUMBER(SEARCH("hacking",LOWER(F254&amp;" "&amp;H254&amp;" "&amp;I254&amp;" "&amp;M254&amp;" "&amp;N254&amp;" "&amp;T254))),ISNUMBER(SEARCH("bank",LOWER(F254&amp;" "&amp;H254&amp;" "&amp;I254&amp;" "&amp;M254&amp;" "&amp;N254&amp;" "&amp;T254))),ISNUMBER(SEARCH("banking",LOWER(F254&amp;" "&amp;H254&amp;" "&amp;I254&amp;" "&amp;M254&amp;" "&amp;N254&amp;" "&amp;T254)))),"PRIVATE_QUARANTINE",IF(OR(ISNUMBER(SEARCH("treasury",LOWER(F254&amp;" "&amp;H254&amp;" "&amp;I254&amp;" "&amp;M254&amp;" "&amp;N254&amp;" "&amp;T254))),ISNUMBER(SEARCH("debt",LOWER(F254&amp;" "&amp;H254&amp;" "&amp;I254&amp;" "&amp;M254&amp;" "&amp;N254&amp;" "&amp;T254))),ISNUMBER(SEARCH("bond",LOWER(F254&amp;" "&amp;H254&amp;" "&amp;I254&amp;" "&amp;M254&amp;" "&amp;N254&amp;" "&amp;T254))),ISNUMBER(SEARCH("transaction",LOWER(F254&amp;" "&amp;H254&amp;" "&amp;I254&amp;" "&amp;M254&amp;" "&amp;N254&amp;" "&amp;T254)))),"PRIVATE_REVIEW","PUBLIC_CANDIDATE"))</x:f>
        <x:v>PUBLIC_CANDIDATE</x:v>
      </x:c>
      <x:c r="AD254" s="12" t="str">
        <x:f>IF(AC254="PRIVATE_QUARANTINE","hacker_or_bank_trigger",IF(AC254="PRIVATE_REVIEW","finance_risk_trigger","none"))</x:f>
        <x:v>none</x:v>
      </x:c>
      <x:c r="AE254" s="12" t="str">
        <x:f>IF(AC254="PUBLIC_CANDIDATE","prepare_public_github_candidate",IF(AC254="PRIVATE_REVIEW","hold_for_private_review","quarantine_private_do_not_publish"))</x:f>
        <x:v>prepare_public_github_candidate</x:v>
      </x:c>
      <x:c r="AF254" s="12" t="str">
        <x:f>IF(AC254="PUBLIC_CANDIDATE","TIDELOCK + Lucerna",IF(AC254="PRIVATE_REVIEW","AtlasBrain + Lucerna","TIDELOCK + Lucerna + Human-root"))</x:f>
        <x:v>TIDELOCK + Lucerna</x:v>
      </x:c>
      <x:c r="AG254" s="12" t="str">
        <x:f>IF(AND(AC254="PUBLIC_CANDIDATE",U254&lt;&gt;"BLOCKED_PENDING_RECEIPT"),"READY_AFTER_RECEIPT","NOT_READY")</x:f>
        <x:v>NOT_READY</x:v>
      </x:c>
      <x:c r="AH254" s="12" t="str">
        <x:f>IF(AC254="PUBLIC_CANDIDATE","none",AD254)</x:f>
        <x:v>none</x:v>
      </x:c>
      <x:c r="AI254" s="12" t="str">
        <x:f>IF(AC254="PUBLIC_CANDIDATE","archive/public_candidates/"&amp;A254,"private_quarantine/"&amp;A254)</x:f>
        <x:v>archive/public_candidates/SWARM-02-H10-S01</x:v>
      </x:c>
      <x:c r="AJ254" s="12" t="str">
        <x:f>IF(AC254="PUBLIC_CANDIDATE","public by default; still not canon","private/hold; do not publish")</x:f>
        <x:v>public by default; still not canon</x:v>
      </x:c>
      <x:c r="AK254" s="12" t="str">
        <x:f>IF(AE254="prepare_public_github_candidate","add receipt/status then mirror","resolve blocker before any public GitHub action")</x:f>
        <x:v>add receipt/status then mirror</x:v>
      </x:c>
    </x:row>
    <x:row r="255">
      <x:c r="A255" s="15" t="str">
        <x:v>SWARM-02-H10-S02</x:v>
      </x:c>
      <x:c r="B255" s="15" t="str">
        <x:v>Hashlight</x:v>
      </x:c>
      <x:c r="C255" s="15" t="str">
        <x:v>Hash and identity keeper</x:v>
      </x:c>
      <x:c r="D255" s="15" t="str">
        <x:v>GitHub Source Packets</x:v>
      </x:c>
      <x:c r="E255" s="15" t="str">
        <x:v>Drive</x:v>
      </x:c>
      <x:c r="F255" s="15" t="str">
        <x:v>Build source packet for Drive — Hashlight</x:v>
      </x:c>
      <x:c r="G255" s="15" t="str">
        <x:v>ids / hashes / timestamps / duplicate control</x:v>
      </x:c>
      <x:c r="H255" s="15" t="str">
        <x:v>source path + receipt + raw/export status + claim/edge/risk delta</x:v>
      </x:c>
      <x:c r="I255" s="15" t="str">
        <x:v>packet/SWARM-02-H10-S02</x:v>
      </x:c>
      <x:c r="J255" s="15" t="str">
        <x:v>TODO</x:v>
      </x:c>
      <x:c r="K255" s="15" t="str">
        <x:v>P0</x:v>
      </x:c>
      <x:c r="L255" s="15" t="str">
        <x:v>Done only when evidence is logged, contradiction search is noted, and boundary stamp remains non-canon unless ratified</x:v>
      </x:c>
      <x:c r="M255" s="15" t="str">
        <x:v>candidate / staging-only / not canon / not deployed / authority none</x:v>
      </x:c>
      <x:c r="N255" s="15" t="str">
        <x:v>Dispatch to Hashlight: complete GitHub Source Packets x Drive; return deltas only, receipts required.</x:v>
      </x:c>
      <x:c r="O255" s="15" t="str">
        <x:v>AF-KG-H10-S02</x:v>
      </x:c>
      <x:c r="P255" s="15" t="str">
        <x:v>Unverified</x:v>
      </x:c>
      <x:c r="Q255" s="15" t="str">
        <x:v>Not checked</x:v>
      </x:c>
      <x:c r="R255" s="15" t="str"/>
      <x:c r="S255" s="15" t="str"/>
      <x:c r="T255" s="15" t="str">
        <x:v>Log first source path or blocker</x:v>
      </x:c>
      <x:c r="U255" s="12" t="str">
        <x:f>IF(OR(P255="Unverified",Q255="Not checked"),"BLOCKED_PENDING_RECEIPT","READY_FOR_REVIEW")</x:f>
        <x:v>BLOCKED_PENDING_RECEIPT</x:v>
      </x:c>
      <x:c r="V255" s="12" t="str">
        <x:f>IF(J255="DONE","RETURNED",IF(U255="BLOCKED_PENDING_RECEIPT","SOURCE_TOUCH_REQUIRED","IN_PROGRESS"))</x:f>
        <x:v>SOURCE_TOUCH_REQUIRED</x:v>
      </x:c>
      <x:c r="W255" s="12" t="str">
        <x:f>IF(P255="Unverified","missing_receipt","receipt_logged")</x:f>
        <x:v>missing_receipt</x:v>
      </x:c>
      <x:c r="X255" s="12" t="str">
        <x:f>IF(Q255="Not checked","raw_status_missing","raw_status_logged")</x:f>
        <x:v>raw_status_missing</x:v>
      </x:c>
      <x:c r="Y255" s="12" t="str">
        <x:f>IF(U255="BLOCKED_PENDING_RECEIPT","Log source path or blocker; do not promote","Route to review lane")</x:f>
        <x:v>Log source path or blocker; do not promote</x:v>
      </x:c>
      <x:c r="Z255" s="12" t="str">
        <x:f>IF(K255="P0","Primary seat + Hashlight/Lucerna","Seat lane")</x:f>
        <x:v>Primary seat + Hashlight/Lucerna</x:v>
      </x:c>
      <x:c r="AA255" s="12" t="str">
        <x:f>IF(R255="","no_claim_delta","claim_delta_present")</x:f>
        <x:v>no_claim_delta</x:v>
      </x:c>
      <x:c r="AB255" s="12" t="str">
        <x:f>IF(S255="","no_contradiction_delta","contradiction_delta_present")</x:f>
        <x:v>no_contradiction_delta</x:v>
      </x:c>
      <x:c r="AC255" s="12" t="str">
        <x:f>IF(OR(ISNUMBER(SEARCH("hacker",LOWER(F255&amp;" "&amp;H255&amp;" "&amp;I255&amp;" "&amp;M255&amp;" "&amp;N255&amp;" "&amp;T255))),ISNUMBER(SEARCH("hacking",LOWER(F255&amp;" "&amp;H255&amp;" "&amp;I255&amp;" "&amp;M255&amp;" "&amp;N255&amp;" "&amp;T255))),ISNUMBER(SEARCH("bank",LOWER(F255&amp;" "&amp;H255&amp;" "&amp;I255&amp;" "&amp;M255&amp;" "&amp;N255&amp;" "&amp;T255))),ISNUMBER(SEARCH("banking",LOWER(F255&amp;" "&amp;H255&amp;" "&amp;I255&amp;" "&amp;M255&amp;" "&amp;N255&amp;" "&amp;T255)))),"PRIVATE_QUARANTINE",IF(OR(ISNUMBER(SEARCH("treasury",LOWER(F255&amp;" "&amp;H255&amp;" "&amp;I255&amp;" "&amp;M255&amp;" "&amp;N255&amp;" "&amp;T255))),ISNUMBER(SEARCH("debt",LOWER(F255&amp;" "&amp;H255&amp;" "&amp;I255&amp;" "&amp;M255&amp;" "&amp;N255&amp;" "&amp;T255))),ISNUMBER(SEARCH("bond",LOWER(F255&amp;" "&amp;H255&amp;" "&amp;I255&amp;" "&amp;M255&amp;" "&amp;N255&amp;" "&amp;T255))),ISNUMBER(SEARCH("transaction",LOWER(F255&amp;" "&amp;H255&amp;" "&amp;I255&amp;" "&amp;M255&amp;" "&amp;N255&amp;" "&amp;T255)))),"PRIVATE_REVIEW","PUBLIC_CANDIDATE"))</x:f>
        <x:v>PUBLIC_CANDIDATE</x:v>
      </x:c>
      <x:c r="AD255" s="12" t="str">
        <x:f>IF(AC255="PRIVATE_QUARANTINE","hacker_or_bank_trigger",IF(AC255="PRIVATE_REVIEW","finance_risk_trigger","none"))</x:f>
        <x:v>none</x:v>
      </x:c>
      <x:c r="AE255" s="12" t="str">
        <x:f>IF(AC255="PUBLIC_CANDIDATE","prepare_public_github_candidate",IF(AC255="PRIVATE_REVIEW","hold_for_private_review","quarantine_private_do_not_publish"))</x:f>
        <x:v>prepare_public_github_candidate</x:v>
      </x:c>
      <x:c r="AF255" s="12" t="str">
        <x:f>IF(AC255="PUBLIC_CANDIDATE","TIDELOCK + Lucerna",IF(AC255="PRIVATE_REVIEW","AtlasBrain + Lucerna","TIDELOCK + Lucerna + Human-root"))</x:f>
        <x:v>TIDELOCK + Lucerna</x:v>
      </x:c>
      <x:c r="AG255" s="12" t="str">
        <x:f>IF(AND(AC255="PUBLIC_CANDIDATE",U255&lt;&gt;"BLOCKED_PENDING_RECEIPT"),"READY_AFTER_RECEIPT","NOT_READY")</x:f>
        <x:v>NOT_READY</x:v>
      </x:c>
      <x:c r="AH255" s="12" t="str">
        <x:f>IF(AC255="PUBLIC_CANDIDATE","none",AD255)</x:f>
        <x:v>none</x:v>
      </x:c>
      <x:c r="AI255" s="12" t="str">
        <x:f>IF(AC255="PUBLIC_CANDIDATE","archive/public_candidates/"&amp;A255,"private_quarantine/"&amp;A255)</x:f>
        <x:v>archive/public_candidates/SWARM-02-H10-S02</x:v>
      </x:c>
      <x:c r="AJ255" s="12" t="str">
        <x:f>IF(AC255="PUBLIC_CANDIDATE","public by default; still not canon","private/hold; do not publish")</x:f>
        <x:v>public by default; still not canon</x:v>
      </x:c>
      <x:c r="AK255" s="12" t="str">
        <x:f>IF(AE255="prepare_public_github_candidate","add receipt/status then mirror","resolve blocker before any public GitHub action")</x:f>
        <x:v>add receipt/status then mirror</x:v>
      </x:c>
    </x:row>
    <x:row r="256">
      <x:c r="A256" s="15" t="str">
        <x:v>SWARM-02-H10-S03</x:v>
      </x:c>
      <x:c r="B256" s="15" t="str">
        <x:v>Hashlight</x:v>
      </x:c>
      <x:c r="C256" s="15" t="str">
        <x:v>Hash and identity keeper</x:v>
      </x:c>
      <x:c r="D256" s="15" t="str">
        <x:v>GitHub Source Packets</x:v>
      </x:c>
      <x:c r="E256" s="15" t="str">
        <x:v>GitHub</x:v>
      </x:c>
      <x:c r="F256" s="15" t="str">
        <x:v>Build source packet for GitHub — Hashlight</x:v>
      </x:c>
      <x:c r="G256" s="15" t="str">
        <x:v>ids / hashes / timestamps / duplicate control</x:v>
      </x:c>
      <x:c r="H256" s="15" t="str">
        <x:v>source path + receipt + raw/export status + claim/edge/risk delta</x:v>
      </x:c>
      <x:c r="I256" s="15" t="str">
        <x:v>packet/SWARM-02-H10-S03</x:v>
      </x:c>
      <x:c r="J256" s="15" t="str">
        <x:v>TODO</x:v>
      </x:c>
      <x:c r="K256" s="15" t="str">
        <x:v>P0</x:v>
      </x:c>
      <x:c r="L256" s="15" t="str">
        <x:v>Done only when evidence is logged, contradiction search is noted, and boundary stamp remains non-canon unless ratified</x:v>
      </x:c>
      <x:c r="M256" s="15" t="str">
        <x:v>candidate / staging-only / not canon / not deployed / authority none</x:v>
      </x:c>
      <x:c r="N256" s="15" t="str">
        <x:v>Dispatch to Hashlight: complete GitHub Source Packets x GitHub; return deltas only, receipts required.</x:v>
      </x:c>
      <x:c r="O256" s="15" t="str">
        <x:v>AF-KG-H10-S03</x:v>
      </x:c>
      <x:c r="P256" s="15" t="str">
        <x:v>Unverified</x:v>
      </x:c>
      <x:c r="Q256" s="15" t="str">
        <x:v>Not checked</x:v>
      </x:c>
      <x:c r="R256" s="15" t="str"/>
      <x:c r="S256" s="15" t="str"/>
      <x:c r="T256" s="15" t="str">
        <x:v>Log first source path or blocker</x:v>
      </x:c>
      <x:c r="U256" s="12" t="str">
        <x:f>IF(OR(P256="Unverified",Q256="Not checked"),"BLOCKED_PENDING_RECEIPT","READY_FOR_REVIEW")</x:f>
        <x:v>BLOCKED_PENDING_RECEIPT</x:v>
      </x:c>
      <x:c r="V256" s="12" t="str">
        <x:f>IF(J256="DONE","RETURNED",IF(U256="BLOCKED_PENDING_RECEIPT","SOURCE_TOUCH_REQUIRED","IN_PROGRESS"))</x:f>
        <x:v>SOURCE_TOUCH_REQUIRED</x:v>
      </x:c>
      <x:c r="W256" s="12" t="str">
        <x:f>IF(P256="Unverified","missing_receipt","receipt_logged")</x:f>
        <x:v>missing_receipt</x:v>
      </x:c>
      <x:c r="X256" s="12" t="str">
        <x:f>IF(Q256="Not checked","raw_status_missing","raw_status_logged")</x:f>
        <x:v>raw_status_missing</x:v>
      </x:c>
      <x:c r="Y256" s="12" t="str">
        <x:f>IF(U256="BLOCKED_PENDING_RECEIPT","Log source path or blocker; do not promote","Route to review lane")</x:f>
        <x:v>Log source path or blocker; do not promote</x:v>
      </x:c>
      <x:c r="Z256" s="12" t="str">
        <x:f>IF(K256="P0","Primary seat + Hashlight/Lucerna","Seat lane")</x:f>
        <x:v>Primary seat + Hashlight/Lucerna</x:v>
      </x:c>
      <x:c r="AA256" s="12" t="str">
        <x:f>IF(R256="","no_claim_delta","claim_delta_present")</x:f>
        <x:v>no_claim_delta</x:v>
      </x:c>
      <x:c r="AB256" s="12" t="str">
        <x:f>IF(S256="","no_contradiction_delta","contradiction_delta_present")</x:f>
        <x:v>no_contradiction_delta</x:v>
      </x:c>
      <x:c r="AC256" s="12" t="str">
        <x:f>IF(OR(ISNUMBER(SEARCH("hacker",LOWER(F256&amp;" "&amp;H256&amp;" "&amp;I256&amp;" "&amp;M256&amp;" "&amp;N256&amp;" "&amp;T256))),ISNUMBER(SEARCH("hacking",LOWER(F256&amp;" "&amp;H256&amp;" "&amp;I256&amp;" "&amp;M256&amp;" "&amp;N256&amp;" "&amp;T256))),ISNUMBER(SEARCH("bank",LOWER(F256&amp;" "&amp;H256&amp;" "&amp;I256&amp;" "&amp;M256&amp;" "&amp;N256&amp;" "&amp;T256))),ISNUMBER(SEARCH("banking",LOWER(F256&amp;" "&amp;H256&amp;" "&amp;I256&amp;" "&amp;M256&amp;" "&amp;N256&amp;" "&amp;T256)))),"PRIVATE_QUARANTINE",IF(OR(ISNUMBER(SEARCH("treasury",LOWER(F256&amp;" "&amp;H256&amp;" "&amp;I256&amp;" "&amp;M256&amp;" "&amp;N256&amp;" "&amp;T256))),ISNUMBER(SEARCH("debt",LOWER(F256&amp;" "&amp;H256&amp;" "&amp;I256&amp;" "&amp;M256&amp;" "&amp;N256&amp;" "&amp;T256))),ISNUMBER(SEARCH("bond",LOWER(F256&amp;" "&amp;H256&amp;" "&amp;I256&amp;" "&amp;M256&amp;" "&amp;N256&amp;" "&amp;T256))),ISNUMBER(SEARCH("transaction",LOWER(F256&amp;" "&amp;H256&amp;" "&amp;I256&amp;" "&amp;M256&amp;" "&amp;N256&amp;" "&amp;T256)))),"PRIVATE_REVIEW","PUBLIC_CANDIDATE"))</x:f>
        <x:v>PUBLIC_CANDIDATE</x:v>
      </x:c>
      <x:c r="AD256" s="12" t="str">
        <x:f>IF(AC256="PRIVATE_QUARANTINE","hacker_or_bank_trigger",IF(AC256="PRIVATE_REVIEW","finance_risk_trigger","none"))</x:f>
        <x:v>none</x:v>
      </x:c>
      <x:c r="AE256" s="12" t="str">
        <x:f>IF(AC256="PUBLIC_CANDIDATE","prepare_public_github_candidate",IF(AC256="PRIVATE_REVIEW","hold_for_private_review","quarantine_private_do_not_publish"))</x:f>
        <x:v>prepare_public_github_candidate</x:v>
      </x:c>
      <x:c r="AF256" s="12" t="str">
        <x:f>IF(AC256="PUBLIC_CANDIDATE","TIDELOCK + Lucerna",IF(AC256="PRIVATE_REVIEW","AtlasBrain + Lucerna","TIDELOCK + Lucerna + Human-root"))</x:f>
        <x:v>TIDELOCK + Lucerna</x:v>
      </x:c>
      <x:c r="AG256" s="12" t="str">
        <x:f>IF(AND(AC256="PUBLIC_CANDIDATE",U256&lt;&gt;"BLOCKED_PENDING_RECEIPT"),"READY_AFTER_RECEIPT","NOT_READY")</x:f>
        <x:v>NOT_READY</x:v>
      </x:c>
      <x:c r="AH256" s="12" t="str">
        <x:f>IF(AC256="PUBLIC_CANDIDATE","none",AD256)</x:f>
        <x:v>none</x:v>
      </x:c>
      <x:c r="AI256" s="12" t="str">
        <x:f>IF(AC256="PUBLIC_CANDIDATE","archive/public_candidates/"&amp;A256,"private_quarantine/"&amp;A256)</x:f>
        <x:v>archive/public_candidates/SWARM-02-H10-S03</x:v>
      </x:c>
      <x:c r="AJ256" s="12" t="str">
        <x:f>IF(AC256="PUBLIC_CANDIDATE","public by default; still not canon","private/hold; do not publish")</x:f>
        <x:v>public by default; still not canon</x:v>
      </x:c>
      <x:c r="AK256" s="12" t="str">
        <x:f>IF(AE256="prepare_public_github_candidate","add receipt/status then mirror","resolve blocker before any public GitHub action")</x:f>
        <x:v>add receipt/status then mirror</x:v>
      </x:c>
    </x:row>
    <x:row r="257">
      <x:c r="A257" s="15" t="str">
        <x:v>SWARM-02-H10-S04</x:v>
      </x:c>
      <x:c r="B257" s="15" t="str">
        <x:v>Hashlight</x:v>
      </x:c>
      <x:c r="C257" s="15" t="str">
        <x:v>Hash and identity keeper</x:v>
      </x:c>
      <x:c r="D257" s="15" t="str">
        <x:v>GitHub Source Packets</x:v>
      </x:c>
      <x:c r="E257" s="15" t="str">
        <x:v>Gamma</x:v>
      </x:c>
      <x:c r="F257" s="15" t="str">
        <x:v>Build source packet for Gamma — Hashlight</x:v>
      </x:c>
      <x:c r="G257" s="15" t="str">
        <x:v>ids / hashes / timestamps / duplicate control</x:v>
      </x:c>
      <x:c r="H257" s="15" t="str">
        <x:v>source path + receipt + raw/export status + claim/edge/risk delta</x:v>
      </x:c>
      <x:c r="I257" s="15" t="str">
        <x:v>packet/SWARM-02-H10-S04</x:v>
      </x:c>
      <x:c r="J257" s="15" t="str">
        <x:v>TODO</x:v>
      </x:c>
      <x:c r="K257" s="15" t="str">
        <x:v>P1</x:v>
      </x:c>
      <x:c r="L257" s="15" t="str">
        <x:v>Done only when evidence is logged, contradiction search is noted, and boundary stamp remains non-canon unless ratified</x:v>
      </x:c>
      <x:c r="M257" s="15" t="str">
        <x:v>candidate / staging-only / not canon / not deployed / authority none</x:v>
      </x:c>
      <x:c r="N257" s="15" t="str">
        <x:v>Dispatch to Hashlight: complete GitHub Source Packets x Gamma; return deltas only, receipts required.</x:v>
      </x:c>
      <x:c r="O257" s="15" t="str">
        <x:v>AF-KG-H10-S04</x:v>
      </x:c>
      <x:c r="P257" s="15" t="str">
        <x:v>Unverified</x:v>
      </x:c>
      <x:c r="Q257" s="15" t="str">
        <x:v>Not checked</x:v>
      </x:c>
      <x:c r="R257" s="15" t="str"/>
      <x:c r="S257" s="15" t="str"/>
      <x:c r="T257" s="15" t="str">
        <x:v>Log first source path or blocker</x:v>
      </x:c>
      <x:c r="U257" s="12" t="str">
        <x:f>IF(OR(P257="Unverified",Q257="Not checked"),"BLOCKED_PENDING_RECEIPT","READY_FOR_REVIEW")</x:f>
        <x:v>BLOCKED_PENDING_RECEIPT</x:v>
      </x:c>
      <x:c r="V257" s="12" t="str">
        <x:f>IF(J257="DONE","RETURNED",IF(U257="BLOCKED_PENDING_RECEIPT","SOURCE_TOUCH_REQUIRED","IN_PROGRESS"))</x:f>
        <x:v>SOURCE_TOUCH_REQUIRED</x:v>
      </x:c>
      <x:c r="W257" s="12" t="str">
        <x:f>IF(P257="Unverified","missing_receipt","receipt_logged")</x:f>
        <x:v>missing_receipt</x:v>
      </x:c>
      <x:c r="X257" s="12" t="str">
        <x:f>IF(Q257="Not checked","raw_status_missing","raw_status_logged")</x:f>
        <x:v>raw_status_missing</x:v>
      </x:c>
      <x:c r="Y257" s="12" t="str">
        <x:f>IF(U257="BLOCKED_PENDING_RECEIPT","Log source path or blocker; do not promote","Route to review lane")</x:f>
        <x:v>Log source path or blocker; do not promote</x:v>
      </x:c>
      <x:c r="Z257" s="12" t="str">
        <x:f>IF(K257="P0","Primary seat + Hashlight/Lucerna","Seat lane")</x:f>
        <x:v>Seat lane</x:v>
      </x:c>
      <x:c r="AA257" s="12" t="str">
        <x:f>IF(R257="","no_claim_delta","claim_delta_present")</x:f>
        <x:v>no_claim_delta</x:v>
      </x:c>
      <x:c r="AB257" s="12" t="str">
        <x:f>IF(S257="","no_contradiction_delta","contradiction_delta_present")</x:f>
        <x:v>no_contradiction_delta</x:v>
      </x:c>
      <x:c r="AC257" s="12" t="str">
        <x:f>IF(OR(ISNUMBER(SEARCH("hacker",LOWER(F257&amp;" "&amp;H257&amp;" "&amp;I257&amp;" "&amp;M257&amp;" "&amp;N257&amp;" "&amp;T257))),ISNUMBER(SEARCH("hacking",LOWER(F257&amp;" "&amp;H257&amp;" "&amp;I257&amp;" "&amp;M257&amp;" "&amp;N257&amp;" "&amp;T257))),ISNUMBER(SEARCH("bank",LOWER(F257&amp;" "&amp;H257&amp;" "&amp;I257&amp;" "&amp;M257&amp;" "&amp;N257&amp;" "&amp;T257))),ISNUMBER(SEARCH("banking",LOWER(F257&amp;" "&amp;H257&amp;" "&amp;I257&amp;" "&amp;M257&amp;" "&amp;N257&amp;" "&amp;T257)))),"PRIVATE_QUARANTINE",IF(OR(ISNUMBER(SEARCH("treasury",LOWER(F257&amp;" "&amp;H257&amp;" "&amp;I257&amp;" "&amp;M257&amp;" "&amp;N257&amp;" "&amp;T257))),ISNUMBER(SEARCH("debt",LOWER(F257&amp;" "&amp;H257&amp;" "&amp;I257&amp;" "&amp;M257&amp;" "&amp;N257&amp;" "&amp;T257))),ISNUMBER(SEARCH("bond",LOWER(F257&amp;" "&amp;H257&amp;" "&amp;I257&amp;" "&amp;M257&amp;" "&amp;N257&amp;" "&amp;T257))),ISNUMBER(SEARCH("transaction",LOWER(F257&amp;" "&amp;H257&amp;" "&amp;I257&amp;" "&amp;M257&amp;" "&amp;N257&amp;" "&amp;T257)))),"PRIVATE_REVIEW","PUBLIC_CANDIDATE"))</x:f>
        <x:v>PUBLIC_CANDIDATE</x:v>
      </x:c>
      <x:c r="AD257" s="12" t="str">
        <x:f>IF(AC257="PRIVATE_QUARANTINE","hacker_or_bank_trigger",IF(AC257="PRIVATE_REVIEW","finance_risk_trigger","none"))</x:f>
        <x:v>none</x:v>
      </x:c>
      <x:c r="AE257" s="12" t="str">
        <x:f>IF(AC257="PUBLIC_CANDIDATE","prepare_public_github_candidate",IF(AC257="PRIVATE_REVIEW","hold_for_private_review","quarantine_private_do_not_publish"))</x:f>
        <x:v>prepare_public_github_candidate</x:v>
      </x:c>
      <x:c r="AF257" s="12" t="str">
        <x:f>IF(AC257="PUBLIC_CANDIDATE","TIDELOCK + Lucerna",IF(AC257="PRIVATE_REVIEW","AtlasBrain + Lucerna","TIDELOCK + Lucerna + Human-root"))</x:f>
        <x:v>TIDELOCK + Lucerna</x:v>
      </x:c>
      <x:c r="AG257" s="12" t="str">
        <x:f>IF(AND(AC257="PUBLIC_CANDIDATE",U257&lt;&gt;"BLOCKED_PENDING_RECEIPT"),"READY_AFTER_RECEIPT","NOT_READY")</x:f>
        <x:v>NOT_READY</x:v>
      </x:c>
      <x:c r="AH257" s="12" t="str">
        <x:f>IF(AC257="PUBLIC_CANDIDATE","none",AD257)</x:f>
        <x:v>none</x:v>
      </x:c>
      <x:c r="AI257" s="12" t="str">
        <x:f>IF(AC257="PUBLIC_CANDIDATE","archive/public_candidates/"&amp;A257,"private_quarantine/"&amp;A257)</x:f>
        <x:v>archive/public_candidates/SWARM-02-H10-S04</x:v>
      </x:c>
      <x:c r="AJ257" s="12" t="str">
        <x:f>IF(AC257="PUBLIC_CANDIDATE","public by default; still not canon","private/hold; do not publish")</x:f>
        <x:v>public by default; still not canon</x:v>
      </x:c>
      <x:c r="AK257" s="12" t="str">
        <x:f>IF(AE257="prepare_public_github_candidate","add receipt/status then mirror","resolve blocker before any public GitHub action")</x:f>
        <x:v>add receipt/status then mirror</x:v>
      </x:c>
    </x:row>
    <x:row r="258">
      <x:c r="A258" s="15" t="str">
        <x:v>SWARM-02-H10-S05</x:v>
      </x:c>
      <x:c r="B258" s="15" t="str">
        <x:v>Hashlight</x:v>
      </x:c>
      <x:c r="C258" s="15" t="str">
        <x:v>Hash and identity keeper</x:v>
      </x:c>
      <x:c r="D258" s="15" t="str">
        <x:v>GitHub Source Packets</x:v>
      </x:c>
      <x:c r="E258" s="15" t="str">
        <x:v>Chat</x:v>
      </x:c>
      <x:c r="F258" s="15" t="str">
        <x:v>Build source packet for Chat — Hashlight</x:v>
      </x:c>
      <x:c r="G258" s="15" t="str">
        <x:v>ids / hashes / timestamps / duplicate control</x:v>
      </x:c>
      <x:c r="H258" s="15" t="str">
        <x:v>source path + receipt + raw/export status + claim/edge/risk delta</x:v>
      </x:c>
      <x:c r="I258" s="15" t="str">
        <x:v>packet/SWARM-02-H10-S05</x:v>
      </x:c>
      <x:c r="J258" s="15" t="str">
        <x:v>TODO</x:v>
      </x:c>
      <x:c r="K258" s="15" t="str">
        <x:v>P1</x:v>
      </x:c>
      <x:c r="L258" s="15" t="str">
        <x:v>Done only when evidence is logged, contradiction search is noted, and boundary stamp remains non-canon unless ratified</x:v>
      </x:c>
      <x:c r="M258" s="15" t="str">
        <x:v>candidate / staging-only / not canon / not deployed / authority none</x:v>
      </x:c>
      <x:c r="N258" s="15" t="str">
        <x:v>Dispatch to Hashlight: complete GitHub Source Packets x Chat; return deltas only, receipts required.</x:v>
      </x:c>
      <x:c r="O258" s="15" t="str">
        <x:v>AF-KG-H10-S05</x:v>
      </x:c>
      <x:c r="P258" s="15" t="str">
        <x:v>Unverified</x:v>
      </x:c>
      <x:c r="Q258" s="15" t="str">
        <x:v>Not checked</x:v>
      </x:c>
      <x:c r="R258" s="15" t="str"/>
      <x:c r="S258" s="15" t="str"/>
      <x:c r="T258" s="15" t="str">
        <x:v>Log first source path or blocker</x:v>
      </x:c>
      <x:c r="U258" s="12" t="str">
        <x:f>IF(OR(P258="Unverified",Q258="Not checked"),"BLOCKED_PENDING_RECEIPT","READY_FOR_REVIEW")</x:f>
        <x:v>BLOCKED_PENDING_RECEIPT</x:v>
      </x:c>
      <x:c r="V258" s="12" t="str">
        <x:f>IF(J258="DONE","RETURNED",IF(U258="BLOCKED_PENDING_RECEIPT","SOURCE_TOUCH_REQUIRED","IN_PROGRESS"))</x:f>
        <x:v>SOURCE_TOUCH_REQUIRED</x:v>
      </x:c>
      <x:c r="W258" s="12" t="str">
        <x:f>IF(P258="Unverified","missing_receipt","receipt_logged")</x:f>
        <x:v>missing_receipt</x:v>
      </x:c>
      <x:c r="X258" s="12" t="str">
        <x:f>IF(Q258="Not checked","raw_status_missing","raw_status_logged")</x:f>
        <x:v>raw_status_missing</x:v>
      </x:c>
      <x:c r="Y258" s="12" t="str">
        <x:f>IF(U258="BLOCKED_PENDING_RECEIPT","Log source path or blocker; do not promote","Route to review lane")</x:f>
        <x:v>Log source path or blocker; do not promote</x:v>
      </x:c>
      <x:c r="Z258" s="12" t="str">
        <x:f>IF(K258="P0","Primary seat + Hashlight/Lucerna","Seat lane")</x:f>
        <x:v>Seat lane</x:v>
      </x:c>
      <x:c r="AA258" s="12" t="str">
        <x:f>IF(R258="","no_claim_delta","claim_delta_present")</x:f>
        <x:v>no_claim_delta</x:v>
      </x:c>
      <x:c r="AB258" s="12" t="str">
        <x:f>IF(S258="","no_contradiction_delta","contradiction_delta_present")</x:f>
        <x:v>no_contradiction_delta</x:v>
      </x:c>
      <x:c r="AC258" s="12" t="str">
        <x:f>IF(OR(ISNUMBER(SEARCH("hacker",LOWER(F258&amp;" "&amp;H258&amp;" "&amp;I258&amp;" "&amp;M258&amp;" "&amp;N258&amp;" "&amp;T258))),ISNUMBER(SEARCH("hacking",LOWER(F258&amp;" "&amp;H258&amp;" "&amp;I258&amp;" "&amp;M258&amp;" "&amp;N258&amp;" "&amp;T258))),ISNUMBER(SEARCH("bank",LOWER(F258&amp;" "&amp;H258&amp;" "&amp;I258&amp;" "&amp;M258&amp;" "&amp;N258&amp;" "&amp;T258))),ISNUMBER(SEARCH("banking",LOWER(F258&amp;" "&amp;H258&amp;" "&amp;I258&amp;" "&amp;M258&amp;" "&amp;N258&amp;" "&amp;T258)))),"PRIVATE_QUARANTINE",IF(OR(ISNUMBER(SEARCH("treasury",LOWER(F258&amp;" "&amp;H258&amp;" "&amp;I258&amp;" "&amp;M258&amp;" "&amp;N258&amp;" "&amp;T258))),ISNUMBER(SEARCH("debt",LOWER(F258&amp;" "&amp;H258&amp;" "&amp;I258&amp;" "&amp;M258&amp;" "&amp;N258&amp;" "&amp;T258))),ISNUMBER(SEARCH("bond",LOWER(F258&amp;" "&amp;H258&amp;" "&amp;I258&amp;" "&amp;M258&amp;" "&amp;N258&amp;" "&amp;T258))),ISNUMBER(SEARCH("transaction",LOWER(F258&amp;" "&amp;H258&amp;" "&amp;I258&amp;" "&amp;M258&amp;" "&amp;N258&amp;" "&amp;T258)))),"PRIVATE_REVIEW","PUBLIC_CANDIDATE"))</x:f>
        <x:v>PUBLIC_CANDIDATE</x:v>
      </x:c>
      <x:c r="AD258" s="12" t="str">
        <x:f>IF(AC258="PRIVATE_QUARANTINE","hacker_or_bank_trigger",IF(AC258="PRIVATE_REVIEW","finance_risk_trigger","none"))</x:f>
        <x:v>none</x:v>
      </x:c>
      <x:c r="AE258" s="12" t="str">
        <x:f>IF(AC258="PUBLIC_CANDIDATE","prepare_public_github_candidate",IF(AC258="PRIVATE_REVIEW","hold_for_private_review","quarantine_private_do_not_publish"))</x:f>
        <x:v>prepare_public_github_candidate</x:v>
      </x:c>
      <x:c r="AF258" s="12" t="str">
        <x:f>IF(AC258="PUBLIC_CANDIDATE","TIDELOCK + Lucerna",IF(AC258="PRIVATE_REVIEW","AtlasBrain + Lucerna","TIDELOCK + Lucerna + Human-root"))</x:f>
        <x:v>TIDELOCK + Lucerna</x:v>
      </x:c>
      <x:c r="AG258" s="12" t="str">
        <x:f>IF(AND(AC258="PUBLIC_CANDIDATE",U258&lt;&gt;"BLOCKED_PENDING_RECEIPT"),"READY_AFTER_RECEIPT","NOT_READY")</x:f>
        <x:v>NOT_READY</x:v>
      </x:c>
      <x:c r="AH258" s="12" t="str">
        <x:f>IF(AC258="PUBLIC_CANDIDATE","none",AD258)</x:f>
        <x:v>none</x:v>
      </x:c>
      <x:c r="AI258" s="12" t="str">
        <x:f>IF(AC258="PUBLIC_CANDIDATE","archive/public_candidates/"&amp;A258,"private_quarantine/"&amp;A258)</x:f>
        <x:v>archive/public_candidates/SWARM-02-H10-S05</x:v>
      </x:c>
      <x:c r="AJ258" s="12" t="str">
        <x:f>IF(AC258="PUBLIC_CANDIDATE","public by default; still not canon","private/hold; do not publish")</x:f>
        <x:v>public by default; still not canon</x:v>
      </x:c>
      <x:c r="AK258" s="12" t="str">
        <x:f>IF(AE258="prepare_public_github_candidate","add receipt/status then mirror","resolve blocker before any public GitHub action")</x:f>
        <x:v>add receipt/status then mirror</x:v>
      </x:c>
    </x:row>
    <x:row r="259">
      <x:c r="A259" s="15" t="str">
        <x:v>SWARM-02-H10-S06</x:v>
      </x:c>
      <x:c r="B259" s="15" t="str">
        <x:v>Hashlight</x:v>
      </x:c>
      <x:c r="C259" s="15" t="str">
        <x:v>Hash and identity keeper</x:v>
      </x:c>
      <x:c r="D259" s="15" t="str">
        <x:v>GitHub Source Packets</x:v>
      </x:c>
      <x:c r="E259" s="15" t="str">
        <x:v>External Web</x:v>
      </x:c>
      <x:c r="F259" s="15" t="str">
        <x:v>Build source packet for External Web — Hashlight</x:v>
      </x:c>
      <x:c r="G259" s="15" t="str">
        <x:v>ids / hashes / timestamps / duplicate control</x:v>
      </x:c>
      <x:c r="H259" s="15" t="str">
        <x:v>source path + receipt + raw/export status + claim/edge/risk delta</x:v>
      </x:c>
      <x:c r="I259" s="15" t="str">
        <x:v>packet/SWARM-02-H10-S06</x:v>
      </x:c>
      <x:c r="J259" s="15" t="str">
        <x:v>TODO</x:v>
      </x:c>
      <x:c r="K259" s="15" t="str">
        <x:v>P1</x:v>
      </x:c>
      <x:c r="L259" s="15" t="str">
        <x:v>Done only when evidence is logged, contradiction search is noted, and boundary stamp remains non-canon unless ratified</x:v>
      </x:c>
      <x:c r="M259" s="15" t="str">
        <x:v>candidate / staging-only / not canon / not deployed / authority none</x:v>
      </x:c>
      <x:c r="N259" s="15" t="str">
        <x:v>Dispatch to Hashlight: complete GitHub Source Packets x External Web; return deltas only, receipts required.</x:v>
      </x:c>
      <x:c r="O259" s="15" t="str">
        <x:v>AF-KG-H10-S06</x:v>
      </x:c>
      <x:c r="P259" s="15" t="str">
        <x:v>Unverified</x:v>
      </x:c>
      <x:c r="Q259" s="15" t="str">
        <x:v>Not checked</x:v>
      </x:c>
      <x:c r="R259" s="15" t="str"/>
      <x:c r="S259" s="15" t="str"/>
      <x:c r="T259" s="15" t="str">
        <x:v>Log first source path or blocker</x:v>
      </x:c>
      <x:c r="U259" s="12" t="str">
        <x:f>IF(OR(P259="Unverified",Q259="Not checked"),"BLOCKED_PENDING_RECEIPT","READY_FOR_REVIEW")</x:f>
        <x:v>BLOCKED_PENDING_RECEIPT</x:v>
      </x:c>
      <x:c r="V259" s="12" t="str">
        <x:f>IF(J259="DONE","RETURNED",IF(U259="BLOCKED_PENDING_RECEIPT","SOURCE_TOUCH_REQUIRED","IN_PROGRESS"))</x:f>
        <x:v>SOURCE_TOUCH_REQUIRED</x:v>
      </x:c>
      <x:c r="W259" s="12" t="str">
        <x:f>IF(P259="Unverified","missing_receipt","receipt_logged")</x:f>
        <x:v>missing_receipt</x:v>
      </x:c>
      <x:c r="X259" s="12" t="str">
        <x:f>IF(Q259="Not checked","raw_status_missing","raw_status_logged")</x:f>
        <x:v>raw_status_missing</x:v>
      </x:c>
      <x:c r="Y259" s="12" t="str">
        <x:f>IF(U259="BLOCKED_PENDING_RECEIPT","Log source path or blocker; do not promote","Route to review lane")</x:f>
        <x:v>Log source path or blocker; do not promote</x:v>
      </x:c>
      <x:c r="Z259" s="12" t="str">
        <x:f>IF(K259="P0","Primary seat + Hashlight/Lucerna","Seat lane")</x:f>
        <x:v>Seat lane</x:v>
      </x:c>
      <x:c r="AA259" s="12" t="str">
        <x:f>IF(R259="","no_claim_delta","claim_delta_present")</x:f>
        <x:v>no_claim_delta</x:v>
      </x:c>
      <x:c r="AB259" s="12" t="str">
        <x:f>IF(S259="","no_contradiction_delta","contradiction_delta_present")</x:f>
        <x:v>no_contradiction_delta</x:v>
      </x:c>
      <x:c r="AC259" s="12" t="str">
        <x:f>IF(OR(ISNUMBER(SEARCH("hacker",LOWER(F259&amp;" "&amp;H259&amp;" "&amp;I259&amp;" "&amp;M259&amp;" "&amp;N259&amp;" "&amp;T259))),ISNUMBER(SEARCH("hacking",LOWER(F259&amp;" "&amp;H259&amp;" "&amp;I259&amp;" "&amp;M259&amp;" "&amp;N259&amp;" "&amp;T259))),ISNUMBER(SEARCH("bank",LOWER(F259&amp;" "&amp;H259&amp;" "&amp;I259&amp;" "&amp;M259&amp;" "&amp;N259&amp;" "&amp;T259))),ISNUMBER(SEARCH("banking",LOWER(F259&amp;" "&amp;H259&amp;" "&amp;I259&amp;" "&amp;M259&amp;" "&amp;N259&amp;" "&amp;T259)))),"PRIVATE_QUARANTINE",IF(OR(ISNUMBER(SEARCH("treasury",LOWER(F259&amp;" "&amp;H259&amp;" "&amp;I259&amp;" "&amp;M259&amp;" "&amp;N259&amp;" "&amp;T259))),ISNUMBER(SEARCH("debt",LOWER(F259&amp;" "&amp;H259&amp;" "&amp;I259&amp;" "&amp;M259&amp;" "&amp;N259&amp;" "&amp;T259))),ISNUMBER(SEARCH("bond",LOWER(F259&amp;" "&amp;H259&amp;" "&amp;I259&amp;" "&amp;M259&amp;" "&amp;N259&amp;" "&amp;T259))),ISNUMBER(SEARCH("transaction",LOWER(F259&amp;" "&amp;H259&amp;" "&amp;I259&amp;" "&amp;M259&amp;" "&amp;N259&amp;" "&amp;T259)))),"PRIVATE_REVIEW","PUBLIC_CANDIDATE"))</x:f>
        <x:v>PUBLIC_CANDIDATE</x:v>
      </x:c>
      <x:c r="AD259" s="12" t="str">
        <x:f>IF(AC259="PRIVATE_QUARANTINE","hacker_or_bank_trigger",IF(AC259="PRIVATE_REVIEW","finance_risk_trigger","none"))</x:f>
        <x:v>none</x:v>
      </x:c>
      <x:c r="AE259" s="12" t="str">
        <x:f>IF(AC259="PUBLIC_CANDIDATE","prepare_public_github_candidate",IF(AC259="PRIVATE_REVIEW","hold_for_private_review","quarantine_private_do_not_publish"))</x:f>
        <x:v>prepare_public_github_candidate</x:v>
      </x:c>
      <x:c r="AF259" s="12" t="str">
        <x:f>IF(AC259="PUBLIC_CANDIDATE","TIDELOCK + Lucerna",IF(AC259="PRIVATE_REVIEW","AtlasBrain + Lucerna","TIDELOCK + Lucerna + Human-root"))</x:f>
        <x:v>TIDELOCK + Lucerna</x:v>
      </x:c>
      <x:c r="AG259" s="12" t="str">
        <x:f>IF(AND(AC259="PUBLIC_CANDIDATE",U259&lt;&gt;"BLOCKED_PENDING_RECEIPT"),"READY_AFTER_RECEIPT","NOT_READY")</x:f>
        <x:v>NOT_READY</x:v>
      </x:c>
      <x:c r="AH259" s="12" t="str">
        <x:f>IF(AC259="PUBLIC_CANDIDATE","none",AD259)</x:f>
        <x:v>none</x:v>
      </x:c>
      <x:c r="AI259" s="12" t="str">
        <x:f>IF(AC259="PUBLIC_CANDIDATE","archive/public_candidates/"&amp;A259,"private_quarantine/"&amp;A259)</x:f>
        <x:v>archive/public_candidates/SWARM-02-H10-S06</x:v>
      </x:c>
      <x:c r="AJ259" s="12" t="str">
        <x:f>IF(AC259="PUBLIC_CANDIDATE","public by default; still not canon","private/hold; do not publish")</x:f>
        <x:v>public by default; still not canon</x:v>
      </x:c>
      <x:c r="AK259" s="12" t="str">
        <x:f>IF(AE259="prepare_public_github_candidate","add receipt/status then mirror","resolve blocker before any public GitHub action")</x:f>
        <x:v>add receipt/status then mirror</x:v>
      </x:c>
    </x:row>
    <x:row r="260">
      <x:c r="A260" s="15" t="str">
        <x:v>SWARM-02-H10-S07</x:v>
      </x:c>
      <x:c r="B260" s="15" t="str">
        <x:v>Hashlight</x:v>
      </x:c>
      <x:c r="C260" s="15" t="str">
        <x:v>Hash and identity keeper</x:v>
      </x:c>
      <x:c r="D260" s="15" t="str">
        <x:v>GitHub Source Packets</x:v>
      </x:c>
      <x:c r="E260" s="15" t="str">
        <x:v>Planetarium</x:v>
      </x:c>
      <x:c r="F260" s="15" t="str">
        <x:v>Build source packet for Planetarium — Hashlight</x:v>
      </x:c>
      <x:c r="G260" s="15" t="str">
        <x:v>ids / hashes / timestamps / duplicate control</x:v>
      </x:c>
      <x:c r="H260" s="15" t="str">
        <x:v>source path + receipt + raw/export status + claim/edge/risk delta</x:v>
      </x:c>
      <x:c r="I260" s="15" t="str">
        <x:v>packet/SWARM-02-H10-S07</x:v>
      </x:c>
      <x:c r="J260" s="15" t="str">
        <x:v>TODO</x:v>
      </x:c>
      <x:c r="K260" s="15" t="str">
        <x:v>P1</x:v>
      </x:c>
      <x:c r="L260" s="15" t="str">
        <x:v>Done only when evidence is logged, contradiction search is noted, and boundary stamp remains non-canon unless ratified</x:v>
      </x:c>
      <x:c r="M260" s="15" t="str">
        <x:v>candidate / staging-only / not canon / not deployed / authority none</x:v>
      </x:c>
      <x:c r="N260" s="15" t="str">
        <x:v>Dispatch to Hashlight: complete GitHub Source Packets x Planetarium; return deltas only, receipts required.</x:v>
      </x:c>
      <x:c r="O260" s="15" t="str">
        <x:v>AF-KG-H10-S07</x:v>
      </x:c>
      <x:c r="P260" s="15" t="str">
        <x:v>Unverified</x:v>
      </x:c>
      <x:c r="Q260" s="15" t="str">
        <x:v>Not checked</x:v>
      </x:c>
      <x:c r="R260" s="15" t="str"/>
      <x:c r="S260" s="15" t="str"/>
      <x:c r="T260" s="15" t="str">
        <x:v>Log first source path or blocker</x:v>
      </x:c>
      <x:c r="U260" s="12" t="str">
        <x:f>IF(OR(P260="Unverified",Q260="Not checked"),"BLOCKED_PENDING_RECEIPT","READY_FOR_REVIEW")</x:f>
        <x:v>BLOCKED_PENDING_RECEIPT</x:v>
      </x:c>
      <x:c r="V260" s="12" t="str">
        <x:f>IF(J260="DONE","RETURNED",IF(U260="BLOCKED_PENDING_RECEIPT","SOURCE_TOUCH_REQUIRED","IN_PROGRESS"))</x:f>
        <x:v>SOURCE_TOUCH_REQUIRED</x:v>
      </x:c>
      <x:c r="W260" s="12" t="str">
        <x:f>IF(P260="Unverified","missing_receipt","receipt_logged")</x:f>
        <x:v>missing_receipt</x:v>
      </x:c>
      <x:c r="X260" s="12" t="str">
        <x:f>IF(Q260="Not checked","raw_status_missing","raw_status_logged")</x:f>
        <x:v>raw_status_missing</x:v>
      </x:c>
      <x:c r="Y260" s="12" t="str">
        <x:f>IF(U260="BLOCKED_PENDING_RECEIPT","Log source path or blocker; do not promote","Route to review lane")</x:f>
        <x:v>Log source path or blocker; do not promote</x:v>
      </x:c>
      <x:c r="Z260" s="12" t="str">
        <x:f>IF(K260="P0","Primary seat + Hashlight/Lucerna","Seat lane")</x:f>
        <x:v>Seat lane</x:v>
      </x:c>
      <x:c r="AA260" s="12" t="str">
        <x:f>IF(R260="","no_claim_delta","claim_delta_present")</x:f>
        <x:v>no_claim_delta</x:v>
      </x:c>
      <x:c r="AB260" s="12" t="str">
        <x:f>IF(S260="","no_contradiction_delta","contradiction_delta_present")</x:f>
        <x:v>no_contradiction_delta</x:v>
      </x:c>
      <x:c r="AC260" s="12" t="str">
        <x:f>IF(OR(ISNUMBER(SEARCH("hacker",LOWER(F260&amp;" "&amp;H260&amp;" "&amp;I260&amp;" "&amp;M260&amp;" "&amp;N260&amp;" "&amp;T260))),ISNUMBER(SEARCH("hacking",LOWER(F260&amp;" "&amp;H260&amp;" "&amp;I260&amp;" "&amp;M260&amp;" "&amp;N260&amp;" "&amp;T260))),ISNUMBER(SEARCH("bank",LOWER(F260&amp;" "&amp;H260&amp;" "&amp;I260&amp;" "&amp;M260&amp;" "&amp;N260&amp;" "&amp;T260))),ISNUMBER(SEARCH("banking",LOWER(F260&amp;" "&amp;H260&amp;" "&amp;I260&amp;" "&amp;M260&amp;" "&amp;N260&amp;" "&amp;T260)))),"PRIVATE_QUARANTINE",IF(OR(ISNUMBER(SEARCH("treasury",LOWER(F260&amp;" "&amp;H260&amp;" "&amp;I260&amp;" "&amp;M260&amp;" "&amp;N260&amp;" "&amp;T260))),ISNUMBER(SEARCH("debt",LOWER(F260&amp;" "&amp;H260&amp;" "&amp;I260&amp;" "&amp;M260&amp;" "&amp;N260&amp;" "&amp;T260))),ISNUMBER(SEARCH("bond",LOWER(F260&amp;" "&amp;H260&amp;" "&amp;I260&amp;" "&amp;M260&amp;" "&amp;N260&amp;" "&amp;T260))),ISNUMBER(SEARCH("transaction",LOWER(F260&amp;" "&amp;H260&amp;" "&amp;I260&amp;" "&amp;M260&amp;" "&amp;N260&amp;" "&amp;T260)))),"PRIVATE_REVIEW","PUBLIC_CANDIDATE"))</x:f>
        <x:v>PUBLIC_CANDIDATE</x:v>
      </x:c>
      <x:c r="AD260" s="12" t="str">
        <x:f>IF(AC260="PRIVATE_QUARANTINE","hacker_or_bank_trigger",IF(AC260="PRIVATE_REVIEW","finance_risk_trigger","none"))</x:f>
        <x:v>none</x:v>
      </x:c>
      <x:c r="AE260" s="12" t="str">
        <x:f>IF(AC260="PUBLIC_CANDIDATE","prepare_public_github_candidate",IF(AC260="PRIVATE_REVIEW","hold_for_private_review","quarantine_private_do_not_publish"))</x:f>
        <x:v>prepare_public_github_candidate</x:v>
      </x:c>
      <x:c r="AF260" s="12" t="str">
        <x:f>IF(AC260="PUBLIC_CANDIDATE","TIDELOCK + Lucerna",IF(AC260="PRIVATE_REVIEW","AtlasBrain + Lucerna","TIDELOCK + Lucerna + Human-root"))</x:f>
        <x:v>TIDELOCK + Lucerna</x:v>
      </x:c>
      <x:c r="AG260" s="12" t="str">
        <x:f>IF(AND(AC260="PUBLIC_CANDIDATE",U260&lt;&gt;"BLOCKED_PENDING_RECEIPT"),"READY_AFTER_RECEIPT","NOT_READY")</x:f>
        <x:v>NOT_READY</x:v>
      </x:c>
      <x:c r="AH260" s="12" t="str">
        <x:f>IF(AC260="PUBLIC_CANDIDATE","none",AD260)</x:f>
        <x:v>none</x:v>
      </x:c>
      <x:c r="AI260" s="12" t="str">
        <x:f>IF(AC260="PUBLIC_CANDIDATE","archive/public_candidates/"&amp;A260,"private_quarantine/"&amp;A260)</x:f>
        <x:v>archive/public_candidates/SWARM-02-H10-S07</x:v>
      </x:c>
      <x:c r="AJ260" s="12" t="str">
        <x:f>IF(AC260="PUBLIC_CANDIDATE","public by default; still not canon","private/hold; do not publish")</x:f>
        <x:v>public by default; still not canon</x:v>
      </x:c>
      <x:c r="AK260" s="12" t="str">
        <x:f>IF(AE260="prepare_public_github_candidate","add receipt/status then mirror","resolve blocker before any public GitHub action")</x:f>
        <x:v>add receipt/status then mirror</x:v>
      </x:c>
    </x:row>
    <x:row r="261">
      <x:c r="A261" s="15" t="str">
        <x:v>SWARM-02-H10-S08</x:v>
      </x:c>
      <x:c r="B261" s="15" t="str">
        <x:v>Hashlight</x:v>
      </x:c>
      <x:c r="C261" s="15" t="str">
        <x:v>Hash and identity keeper</x:v>
      </x:c>
      <x:c r="D261" s="15" t="str">
        <x:v>GitHub Source Packets</x:v>
      </x:c>
      <x:c r="E261" s="15" t="str">
        <x:v>Sheldonbrain</x:v>
      </x:c>
      <x:c r="F261" s="15" t="str">
        <x:v>Build source packet for Sheldonbrain — Hashlight</x:v>
      </x:c>
      <x:c r="G261" s="15" t="str">
        <x:v>ids / hashes / timestamps / duplicate control</x:v>
      </x:c>
      <x:c r="H261" s="15" t="str">
        <x:v>source path + receipt + raw/export status + claim/edge/risk delta</x:v>
      </x:c>
      <x:c r="I261" s="15" t="str">
        <x:v>packet/SWARM-02-H10-S08</x:v>
      </x:c>
      <x:c r="J261" s="15" t="str">
        <x:v>TODO</x:v>
      </x:c>
      <x:c r="K261" s="15" t="str">
        <x:v>P1</x:v>
      </x:c>
      <x:c r="L261" s="15" t="str">
        <x:v>Done only when evidence is logged, contradiction search is noted, and boundary stamp remains non-canon unless ratified</x:v>
      </x:c>
      <x:c r="M261" s="15" t="str">
        <x:v>candidate / staging-only / not canon / not deployed / authority none</x:v>
      </x:c>
      <x:c r="N261" s="15" t="str">
        <x:v>Dispatch to Hashlight: complete GitHub Source Packets x Sheldonbrain; return deltas only, receipts required.</x:v>
      </x:c>
      <x:c r="O261" s="15" t="str">
        <x:v>AF-KG-H10-S08</x:v>
      </x:c>
      <x:c r="P261" s="15" t="str">
        <x:v>Unverified</x:v>
      </x:c>
      <x:c r="Q261" s="15" t="str">
        <x:v>Not checked</x:v>
      </x:c>
      <x:c r="R261" s="15" t="str"/>
      <x:c r="S261" s="15" t="str"/>
      <x:c r="T261" s="15" t="str">
        <x:v>Log first source path or blocker</x:v>
      </x:c>
      <x:c r="U261" s="12" t="str">
        <x:f>IF(OR(P261="Unverified",Q261="Not checked"),"BLOCKED_PENDING_RECEIPT","READY_FOR_REVIEW")</x:f>
        <x:v>BLOCKED_PENDING_RECEIPT</x:v>
      </x:c>
      <x:c r="V261" s="12" t="str">
        <x:f>IF(J261="DONE","RETURNED",IF(U261="BLOCKED_PENDING_RECEIPT","SOURCE_TOUCH_REQUIRED","IN_PROGRESS"))</x:f>
        <x:v>SOURCE_TOUCH_REQUIRED</x:v>
      </x:c>
      <x:c r="W261" s="12" t="str">
        <x:f>IF(P261="Unverified","missing_receipt","receipt_logged")</x:f>
        <x:v>missing_receipt</x:v>
      </x:c>
      <x:c r="X261" s="12" t="str">
        <x:f>IF(Q261="Not checked","raw_status_missing","raw_status_logged")</x:f>
        <x:v>raw_status_missing</x:v>
      </x:c>
      <x:c r="Y261" s="12" t="str">
        <x:f>IF(U261="BLOCKED_PENDING_RECEIPT","Log source path or blocker; do not promote","Route to review lane")</x:f>
        <x:v>Log source path or blocker; do not promote</x:v>
      </x:c>
      <x:c r="Z261" s="12" t="str">
        <x:f>IF(K261="P0","Primary seat + Hashlight/Lucerna","Seat lane")</x:f>
        <x:v>Seat lane</x:v>
      </x:c>
      <x:c r="AA261" s="12" t="str">
        <x:f>IF(R261="","no_claim_delta","claim_delta_present")</x:f>
        <x:v>no_claim_delta</x:v>
      </x:c>
      <x:c r="AB261" s="12" t="str">
        <x:f>IF(S261="","no_contradiction_delta","contradiction_delta_present")</x:f>
        <x:v>no_contradiction_delta</x:v>
      </x:c>
      <x:c r="AC261" s="12" t="str">
        <x:f>IF(OR(ISNUMBER(SEARCH("hacker",LOWER(F261&amp;" "&amp;H261&amp;" "&amp;I261&amp;" "&amp;M261&amp;" "&amp;N261&amp;" "&amp;T261))),ISNUMBER(SEARCH("hacking",LOWER(F261&amp;" "&amp;H261&amp;" "&amp;I261&amp;" "&amp;M261&amp;" "&amp;N261&amp;" "&amp;T261))),ISNUMBER(SEARCH("bank",LOWER(F261&amp;" "&amp;H261&amp;" "&amp;I261&amp;" "&amp;M261&amp;" "&amp;N261&amp;" "&amp;T261))),ISNUMBER(SEARCH("banking",LOWER(F261&amp;" "&amp;H261&amp;" "&amp;I261&amp;" "&amp;M261&amp;" "&amp;N261&amp;" "&amp;T261)))),"PRIVATE_QUARANTINE",IF(OR(ISNUMBER(SEARCH("treasury",LOWER(F261&amp;" "&amp;H261&amp;" "&amp;I261&amp;" "&amp;M261&amp;" "&amp;N261&amp;" "&amp;T261))),ISNUMBER(SEARCH("debt",LOWER(F261&amp;" "&amp;H261&amp;" "&amp;I261&amp;" "&amp;M261&amp;" "&amp;N261&amp;" "&amp;T261))),ISNUMBER(SEARCH("bond",LOWER(F261&amp;" "&amp;H261&amp;" "&amp;I261&amp;" "&amp;M261&amp;" "&amp;N261&amp;" "&amp;T261))),ISNUMBER(SEARCH("transaction",LOWER(F261&amp;" "&amp;H261&amp;" "&amp;I261&amp;" "&amp;M261&amp;" "&amp;N261&amp;" "&amp;T261)))),"PRIVATE_REVIEW","PUBLIC_CANDIDATE"))</x:f>
        <x:v>PUBLIC_CANDIDATE</x:v>
      </x:c>
      <x:c r="AD261" s="12" t="str">
        <x:f>IF(AC261="PRIVATE_QUARANTINE","hacker_or_bank_trigger",IF(AC261="PRIVATE_REVIEW","finance_risk_trigger","none"))</x:f>
        <x:v>none</x:v>
      </x:c>
      <x:c r="AE261" s="12" t="str">
        <x:f>IF(AC261="PUBLIC_CANDIDATE","prepare_public_github_candidate",IF(AC261="PRIVATE_REVIEW","hold_for_private_review","quarantine_private_do_not_publish"))</x:f>
        <x:v>prepare_public_github_candidate</x:v>
      </x:c>
      <x:c r="AF261" s="12" t="str">
        <x:f>IF(AC261="PUBLIC_CANDIDATE","TIDELOCK + Lucerna",IF(AC261="PRIVATE_REVIEW","AtlasBrain + Lucerna","TIDELOCK + Lucerna + Human-root"))</x:f>
        <x:v>TIDELOCK + Lucerna</x:v>
      </x:c>
      <x:c r="AG261" s="12" t="str">
        <x:f>IF(AND(AC261="PUBLIC_CANDIDATE",U261&lt;&gt;"BLOCKED_PENDING_RECEIPT"),"READY_AFTER_RECEIPT","NOT_READY")</x:f>
        <x:v>NOT_READY</x:v>
      </x:c>
      <x:c r="AH261" s="12" t="str">
        <x:f>IF(AC261="PUBLIC_CANDIDATE","none",AD261)</x:f>
        <x:v>none</x:v>
      </x:c>
      <x:c r="AI261" s="12" t="str">
        <x:f>IF(AC261="PUBLIC_CANDIDATE","archive/public_candidates/"&amp;A261,"private_quarantine/"&amp;A261)</x:f>
        <x:v>archive/public_candidates/SWARM-02-H10-S08</x:v>
      </x:c>
      <x:c r="AJ261" s="12" t="str">
        <x:f>IF(AC261="PUBLIC_CANDIDATE","public by default; still not canon","private/hold; do not publish")</x:f>
        <x:v>public by default; still not canon</x:v>
      </x:c>
      <x:c r="AK261" s="12" t="str">
        <x:f>IF(AE261="prepare_public_github_candidate","add receipt/status then mirror","resolve blocker before any public GitHub action")</x:f>
        <x:v>add receipt/status then mirror</x:v>
      </x:c>
    </x:row>
    <x:row r="262">
      <x:c r="A262" s="15" t="str">
        <x:v>SWARM-02-H10-S09</x:v>
      </x:c>
      <x:c r="B262" s="15" t="str">
        <x:v>Hashlight</x:v>
      </x:c>
      <x:c r="C262" s="15" t="str">
        <x:v>Hash and identity keeper</x:v>
      </x:c>
      <x:c r="D262" s="15" t="str">
        <x:v>GitHub Source Packets</x:v>
      </x:c>
      <x:c r="E262" s="15" t="str">
        <x:v>Aetherforge</x:v>
      </x:c>
      <x:c r="F262" s="15" t="str">
        <x:v>Build source packet for Aetherforge — Hashlight</x:v>
      </x:c>
      <x:c r="G262" s="15" t="str">
        <x:v>ids / hashes / timestamps / duplicate control</x:v>
      </x:c>
      <x:c r="H262" s="15" t="str">
        <x:v>source path + receipt + raw/export status + claim/edge/risk delta</x:v>
      </x:c>
      <x:c r="I262" s="15" t="str">
        <x:v>packet/SWARM-02-H10-S09</x:v>
      </x:c>
      <x:c r="J262" s="15" t="str">
        <x:v>TODO</x:v>
      </x:c>
      <x:c r="K262" s="15" t="str">
        <x:v>P2</x:v>
      </x:c>
      <x:c r="L262" s="15" t="str">
        <x:v>Done only when evidence is logged, contradiction search is noted, and boundary stamp remains non-canon unless ratified</x:v>
      </x:c>
      <x:c r="M262" s="15" t="str">
        <x:v>candidate / staging-only / not canon / not deployed / authority none</x:v>
      </x:c>
      <x:c r="N262" s="15" t="str">
        <x:v>Dispatch to Hashlight: complete GitHub Source Packets x Aetherforge; return deltas only, receipts required.</x:v>
      </x:c>
      <x:c r="O262" s="15" t="str">
        <x:v>AF-KG-H10-S09</x:v>
      </x:c>
      <x:c r="P262" s="15" t="str">
        <x:v>Unverified</x:v>
      </x:c>
      <x:c r="Q262" s="15" t="str">
        <x:v>Not checked</x:v>
      </x:c>
      <x:c r="R262" s="15" t="str"/>
      <x:c r="S262" s="15" t="str"/>
      <x:c r="T262" s="15" t="str">
        <x:v>Log first source path or blocker</x:v>
      </x:c>
      <x:c r="U262" s="12" t="str">
        <x:f>IF(OR(P262="Unverified",Q262="Not checked"),"BLOCKED_PENDING_RECEIPT","READY_FOR_REVIEW")</x:f>
        <x:v>BLOCKED_PENDING_RECEIPT</x:v>
      </x:c>
      <x:c r="V262" s="12" t="str">
        <x:f>IF(J262="DONE","RETURNED",IF(U262="BLOCKED_PENDING_RECEIPT","SOURCE_TOUCH_REQUIRED","IN_PROGRESS"))</x:f>
        <x:v>SOURCE_TOUCH_REQUIRED</x:v>
      </x:c>
      <x:c r="W262" s="12" t="str">
        <x:f>IF(P262="Unverified","missing_receipt","receipt_logged")</x:f>
        <x:v>missing_receipt</x:v>
      </x:c>
      <x:c r="X262" s="12" t="str">
        <x:f>IF(Q262="Not checked","raw_status_missing","raw_status_logged")</x:f>
        <x:v>raw_status_missing</x:v>
      </x:c>
      <x:c r="Y262" s="12" t="str">
        <x:f>IF(U262="BLOCKED_PENDING_RECEIPT","Log source path or blocker; do not promote","Route to review lane")</x:f>
        <x:v>Log source path or blocker; do not promote</x:v>
      </x:c>
      <x:c r="Z262" s="12" t="str">
        <x:f>IF(K262="P0","Primary seat + Hashlight/Lucerna","Seat lane")</x:f>
        <x:v>Seat lane</x:v>
      </x:c>
      <x:c r="AA262" s="12" t="str">
        <x:f>IF(R262="","no_claim_delta","claim_delta_present")</x:f>
        <x:v>no_claim_delta</x:v>
      </x:c>
      <x:c r="AB262" s="12" t="str">
        <x:f>IF(S262="","no_contradiction_delta","contradiction_delta_present")</x:f>
        <x:v>no_contradiction_delta</x:v>
      </x:c>
      <x:c r="AC262" s="12" t="str">
        <x:f>IF(OR(ISNUMBER(SEARCH("hacker",LOWER(F262&amp;" "&amp;H262&amp;" "&amp;I262&amp;" "&amp;M262&amp;" "&amp;N262&amp;" "&amp;T262))),ISNUMBER(SEARCH("hacking",LOWER(F262&amp;" "&amp;H262&amp;" "&amp;I262&amp;" "&amp;M262&amp;" "&amp;N262&amp;" "&amp;T262))),ISNUMBER(SEARCH("bank",LOWER(F262&amp;" "&amp;H262&amp;" "&amp;I262&amp;" "&amp;M262&amp;" "&amp;N262&amp;" "&amp;T262))),ISNUMBER(SEARCH("banking",LOWER(F262&amp;" "&amp;H262&amp;" "&amp;I262&amp;" "&amp;M262&amp;" "&amp;N262&amp;" "&amp;T262)))),"PRIVATE_QUARANTINE",IF(OR(ISNUMBER(SEARCH("treasury",LOWER(F262&amp;" "&amp;H262&amp;" "&amp;I262&amp;" "&amp;M262&amp;" "&amp;N262&amp;" "&amp;T262))),ISNUMBER(SEARCH("debt",LOWER(F262&amp;" "&amp;H262&amp;" "&amp;I262&amp;" "&amp;M262&amp;" "&amp;N262&amp;" "&amp;T262))),ISNUMBER(SEARCH("bond",LOWER(F262&amp;" "&amp;H262&amp;" "&amp;I262&amp;" "&amp;M262&amp;" "&amp;N262&amp;" "&amp;T262))),ISNUMBER(SEARCH("transaction",LOWER(F262&amp;" "&amp;H262&amp;" "&amp;I262&amp;" "&amp;M262&amp;" "&amp;N262&amp;" "&amp;T262)))),"PRIVATE_REVIEW","PUBLIC_CANDIDATE"))</x:f>
        <x:v>PUBLIC_CANDIDATE</x:v>
      </x:c>
      <x:c r="AD262" s="12" t="str">
        <x:f>IF(AC262="PRIVATE_QUARANTINE","hacker_or_bank_trigger",IF(AC262="PRIVATE_REVIEW","finance_risk_trigger","none"))</x:f>
        <x:v>none</x:v>
      </x:c>
      <x:c r="AE262" s="12" t="str">
        <x:f>IF(AC262="PUBLIC_CANDIDATE","prepare_public_github_candidate",IF(AC262="PRIVATE_REVIEW","hold_for_private_review","quarantine_private_do_not_publish"))</x:f>
        <x:v>prepare_public_github_candidate</x:v>
      </x:c>
      <x:c r="AF262" s="12" t="str">
        <x:f>IF(AC262="PUBLIC_CANDIDATE","TIDELOCK + Lucerna",IF(AC262="PRIVATE_REVIEW","AtlasBrain + Lucerna","TIDELOCK + Lucerna + Human-root"))</x:f>
        <x:v>TIDELOCK + Lucerna</x:v>
      </x:c>
      <x:c r="AG262" s="12" t="str">
        <x:f>IF(AND(AC262="PUBLIC_CANDIDATE",U262&lt;&gt;"BLOCKED_PENDING_RECEIPT"),"READY_AFTER_RECEIPT","NOT_READY")</x:f>
        <x:v>NOT_READY</x:v>
      </x:c>
      <x:c r="AH262" s="12" t="str">
        <x:f>IF(AC262="PUBLIC_CANDIDATE","none",AD262)</x:f>
        <x:v>none</x:v>
      </x:c>
      <x:c r="AI262" s="12" t="str">
        <x:f>IF(AC262="PUBLIC_CANDIDATE","archive/public_candidates/"&amp;A262,"private_quarantine/"&amp;A262)</x:f>
        <x:v>archive/public_candidates/SWARM-02-H10-S09</x:v>
      </x:c>
      <x:c r="AJ262" s="12" t="str">
        <x:f>IF(AC262="PUBLIC_CANDIDATE","public by default; still not canon","private/hold; do not publish")</x:f>
        <x:v>public by default; still not canon</x:v>
      </x:c>
      <x:c r="AK262" s="12" t="str">
        <x:f>IF(AE262="prepare_public_github_candidate","add receipt/status then mirror","resolve blocker before any public GitHub action")</x:f>
        <x:v>add receipt/status then mirror</x:v>
      </x:c>
    </x:row>
    <x:row r="263">
      <x:c r="A263" s="15" t="str">
        <x:v>SWARM-02-H10-S10</x:v>
      </x:c>
      <x:c r="B263" s="15" t="str">
        <x:v>Hashlight</x:v>
      </x:c>
      <x:c r="C263" s="15" t="str">
        <x:v>Hash and identity keeper</x:v>
      </x:c>
      <x:c r="D263" s="15" t="str">
        <x:v>GitHub Source Packets</x:v>
      </x:c>
      <x:c r="E263" s="15" t="str">
        <x:v>Human-Root</x:v>
      </x:c>
      <x:c r="F263" s="15" t="str">
        <x:v>Build source packet for Human-Root — Hashlight</x:v>
      </x:c>
      <x:c r="G263" s="15" t="str">
        <x:v>ids / hashes / timestamps / duplicate control</x:v>
      </x:c>
      <x:c r="H263" s="15" t="str">
        <x:v>source path + receipt + raw/export status + claim/edge/risk delta</x:v>
      </x:c>
      <x:c r="I263" s="15" t="str">
        <x:v>packet/SWARM-02-H10-S10</x:v>
      </x:c>
      <x:c r="J263" s="15" t="str">
        <x:v>TODO</x:v>
      </x:c>
      <x:c r="K263" s="15" t="str">
        <x:v>P2</x:v>
      </x:c>
      <x:c r="L263" s="15" t="str">
        <x:v>Done only when evidence is logged, contradiction search is noted, and boundary stamp remains non-canon unless ratified</x:v>
      </x:c>
      <x:c r="M263" s="15" t="str">
        <x:v>candidate / staging-only / not canon / not deployed / authority none</x:v>
      </x:c>
      <x:c r="N263" s="15" t="str">
        <x:v>Dispatch to Hashlight: complete GitHub Source Packets x Human-Root; return deltas only, receipts required.</x:v>
      </x:c>
      <x:c r="O263" s="15" t="str">
        <x:v>AF-KG-H10-S10</x:v>
      </x:c>
      <x:c r="P263" s="15" t="str">
        <x:v>Unverified</x:v>
      </x:c>
      <x:c r="Q263" s="15" t="str">
        <x:v>Not checked</x:v>
      </x:c>
      <x:c r="R263" s="15" t="str"/>
      <x:c r="S263" s="15" t="str"/>
      <x:c r="T263" s="15" t="str">
        <x:v>Log first source path or blocker</x:v>
      </x:c>
      <x:c r="U263" s="12" t="str">
        <x:f>IF(OR(P263="Unverified",Q263="Not checked"),"BLOCKED_PENDING_RECEIPT","READY_FOR_REVIEW")</x:f>
        <x:v>BLOCKED_PENDING_RECEIPT</x:v>
      </x:c>
      <x:c r="V263" s="12" t="str">
        <x:f>IF(J263="DONE","RETURNED",IF(U263="BLOCKED_PENDING_RECEIPT","SOURCE_TOUCH_REQUIRED","IN_PROGRESS"))</x:f>
        <x:v>SOURCE_TOUCH_REQUIRED</x:v>
      </x:c>
      <x:c r="W263" s="12" t="str">
        <x:f>IF(P263="Unverified","missing_receipt","receipt_logged")</x:f>
        <x:v>missing_receipt</x:v>
      </x:c>
      <x:c r="X263" s="12" t="str">
        <x:f>IF(Q263="Not checked","raw_status_missing","raw_status_logged")</x:f>
        <x:v>raw_status_missing</x:v>
      </x:c>
      <x:c r="Y263" s="12" t="str">
        <x:f>IF(U263="BLOCKED_PENDING_RECEIPT","Log source path or blocker; do not promote","Route to review lane")</x:f>
        <x:v>Log source path or blocker; do not promote</x:v>
      </x:c>
      <x:c r="Z263" s="12" t="str">
        <x:f>IF(K263="P0","Primary seat + Hashlight/Lucerna","Seat lane")</x:f>
        <x:v>Seat lane</x:v>
      </x:c>
      <x:c r="AA263" s="12" t="str">
        <x:f>IF(R263="","no_claim_delta","claim_delta_present")</x:f>
        <x:v>no_claim_delta</x:v>
      </x:c>
      <x:c r="AB263" s="12" t="str">
        <x:f>IF(S263="","no_contradiction_delta","contradiction_delta_present")</x:f>
        <x:v>no_contradiction_delta</x:v>
      </x:c>
      <x:c r="AC263" s="12" t="str">
        <x:f>IF(OR(ISNUMBER(SEARCH("hacker",LOWER(F263&amp;" "&amp;H263&amp;" "&amp;I263&amp;" "&amp;M263&amp;" "&amp;N263&amp;" "&amp;T263))),ISNUMBER(SEARCH("hacking",LOWER(F263&amp;" "&amp;H263&amp;" "&amp;I263&amp;" "&amp;M263&amp;" "&amp;N263&amp;" "&amp;T263))),ISNUMBER(SEARCH("bank",LOWER(F263&amp;" "&amp;H263&amp;" "&amp;I263&amp;" "&amp;M263&amp;" "&amp;N263&amp;" "&amp;T263))),ISNUMBER(SEARCH("banking",LOWER(F263&amp;" "&amp;H263&amp;" "&amp;I263&amp;" "&amp;M263&amp;" "&amp;N263&amp;" "&amp;T263)))),"PRIVATE_QUARANTINE",IF(OR(ISNUMBER(SEARCH("treasury",LOWER(F263&amp;" "&amp;H263&amp;" "&amp;I263&amp;" "&amp;M263&amp;" "&amp;N263&amp;" "&amp;T263))),ISNUMBER(SEARCH("debt",LOWER(F263&amp;" "&amp;H263&amp;" "&amp;I263&amp;" "&amp;M263&amp;" "&amp;N263&amp;" "&amp;T263))),ISNUMBER(SEARCH("bond",LOWER(F263&amp;" "&amp;H263&amp;" "&amp;I263&amp;" "&amp;M263&amp;" "&amp;N263&amp;" "&amp;T263))),ISNUMBER(SEARCH("transaction",LOWER(F263&amp;" "&amp;H263&amp;" "&amp;I263&amp;" "&amp;M263&amp;" "&amp;N263&amp;" "&amp;T263)))),"PRIVATE_REVIEW","PUBLIC_CANDIDATE"))</x:f>
        <x:v>PUBLIC_CANDIDATE</x:v>
      </x:c>
      <x:c r="AD263" s="12" t="str">
        <x:f>IF(AC263="PRIVATE_QUARANTINE","hacker_or_bank_trigger",IF(AC263="PRIVATE_REVIEW","finance_risk_trigger","none"))</x:f>
        <x:v>none</x:v>
      </x:c>
      <x:c r="AE263" s="12" t="str">
        <x:f>IF(AC263="PUBLIC_CANDIDATE","prepare_public_github_candidate",IF(AC263="PRIVATE_REVIEW","hold_for_private_review","quarantine_private_do_not_publish"))</x:f>
        <x:v>prepare_public_github_candidate</x:v>
      </x:c>
      <x:c r="AF263" s="12" t="str">
        <x:f>IF(AC263="PUBLIC_CANDIDATE","TIDELOCK + Lucerna",IF(AC263="PRIVATE_REVIEW","AtlasBrain + Lucerna","TIDELOCK + Lucerna + Human-root"))</x:f>
        <x:v>TIDELOCK + Lucerna</x:v>
      </x:c>
      <x:c r="AG263" s="12" t="str">
        <x:f>IF(AND(AC263="PUBLIC_CANDIDATE",U263&lt;&gt;"BLOCKED_PENDING_RECEIPT"),"READY_AFTER_RECEIPT","NOT_READY")</x:f>
        <x:v>NOT_READY</x:v>
      </x:c>
      <x:c r="AH263" s="12" t="str">
        <x:f>IF(AC263="PUBLIC_CANDIDATE","none",AD263)</x:f>
        <x:v>none</x:v>
      </x:c>
      <x:c r="AI263" s="12" t="str">
        <x:f>IF(AC263="PUBLIC_CANDIDATE","archive/public_candidates/"&amp;A263,"private_quarantine/"&amp;A263)</x:f>
        <x:v>archive/public_candidates/SWARM-02-H10-S10</x:v>
      </x:c>
      <x:c r="AJ263" s="12" t="str">
        <x:f>IF(AC263="PUBLIC_CANDIDATE","public by default; still not canon","private/hold; do not publish")</x:f>
        <x:v>public by default; still not canon</x:v>
      </x:c>
      <x:c r="AK263" s="12" t="str">
        <x:f>IF(AE263="prepare_public_github_candidate","add receipt/status then mirror","resolve blocker before any public GitHub action")</x:f>
        <x:v>add receipt/status then mirror</x:v>
      </x:c>
    </x:row>
    <x:row r="264">
      <x:c r="A264" s="15" t="str">
        <x:v>SWARM-02-H10-S11</x:v>
      </x:c>
      <x:c r="B264" s="15" t="str">
        <x:v>Hashlight</x:v>
      </x:c>
      <x:c r="C264" s="15" t="str">
        <x:v>Hash and identity keeper</x:v>
      </x:c>
      <x:c r="D264" s="15" t="str">
        <x:v>GitHub Source Packets</x:v>
      </x:c>
      <x:c r="E264" s="15" t="str">
        <x:v>Automation</x:v>
      </x:c>
      <x:c r="F264" s="15" t="str">
        <x:v>Build source packet for Automation — Hashlight</x:v>
      </x:c>
      <x:c r="G264" s="15" t="str">
        <x:v>ids / hashes / timestamps / duplicate control</x:v>
      </x:c>
      <x:c r="H264" s="15" t="str">
        <x:v>source path + receipt + raw/export status + claim/edge/risk delta</x:v>
      </x:c>
      <x:c r="I264" s="15" t="str">
        <x:v>packet/SWARM-02-H10-S11</x:v>
      </x:c>
      <x:c r="J264" s="15" t="str">
        <x:v>TODO</x:v>
      </x:c>
      <x:c r="K264" s="15" t="str">
        <x:v>P2</x:v>
      </x:c>
      <x:c r="L264" s="15" t="str">
        <x:v>Done only when evidence is logged, contradiction search is noted, and boundary stamp remains non-canon unless ratified</x:v>
      </x:c>
      <x:c r="M264" s="15" t="str">
        <x:v>candidate / staging-only / not canon / not deployed / authority none</x:v>
      </x:c>
      <x:c r="N264" s="15" t="str">
        <x:v>Dispatch to Hashlight: complete GitHub Source Packets x Automation; return deltas only, receipts required.</x:v>
      </x:c>
      <x:c r="O264" s="15" t="str">
        <x:v>AF-KG-H10-S11</x:v>
      </x:c>
      <x:c r="P264" s="15" t="str">
        <x:v>Unverified</x:v>
      </x:c>
      <x:c r="Q264" s="15" t="str">
        <x:v>Not checked</x:v>
      </x:c>
      <x:c r="R264" s="15" t="str"/>
      <x:c r="S264" s="15" t="str"/>
      <x:c r="T264" s="15" t="str">
        <x:v>Log first source path or blocker</x:v>
      </x:c>
      <x:c r="U264" s="12" t="str">
        <x:f>IF(OR(P264="Unverified",Q264="Not checked"),"BLOCKED_PENDING_RECEIPT","READY_FOR_REVIEW")</x:f>
        <x:v>BLOCKED_PENDING_RECEIPT</x:v>
      </x:c>
      <x:c r="V264" s="12" t="str">
        <x:f>IF(J264="DONE","RETURNED",IF(U264="BLOCKED_PENDING_RECEIPT","SOURCE_TOUCH_REQUIRED","IN_PROGRESS"))</x:f>
        <x:v>SOURCE_TOUCH_REQUIRED</x:v>
      </x:c>
      <x:c r="W264" s="12" t="str">
        <x:f>IF(P264="Unverified","missing_receipt","receipt_logged")</x:f>
        <x:v>missing_receipt</x:v>
      </x:c>
      <x:c r="X264" s="12" t="str">
        <x:f>IF(Q264="Not checked","raw_status_missing","raw_status_logged")</x:f>
        <x:v>raw_status_missing</x:v>
      </x:c>
      <x:c r="Y264" s="12" t="str">
        <x:f>IF(U264="BLOCKED_PENDING_RECEIPT","Log source path or blocker; do not promote","Route to review lane")</x:f>
        <x:v>Log source path or blocker; do not promote</x:v>
      </x:c>
      <x:c r="Z264" s="12" t="str">
        <x:f>IF(K264="P0","Primary seat + Hashlight/Lucerna","Seat lane")</x:f>
        <x:v>Seat lane</x:v>
      </x:c>
      <x:c r="AA264" s="12" t="str">
        <x:f>IF(R264="","no_claim_delta","claim_delta_present")</x:f>
        <x:v>no_claim_delta</x:v>
      </x:c>
      <x:c r="AB264" s="12" t="str">
        <x:f>IF(S264="","no_contradiction_delta","contradiction_delta_present")</x:f>
        <x:v>no_contradiction_delta</x:v>
      </x:c>
      <x:c r="AC264" s="12" t="str">
        <x:f>IF(OR(ISNUMBER(SEARCH("hacker",LOWER(F264&amp;" "&amp;H264&amp;" "&amp;I264&amp;" "&amp;M264&amp;" "&amp;N264&amp;" "&amp;T264))),ISNUMBER(SEARCH("hacking",LOWER(F264&amp;" "&amp;H264&amp;" "&amp;I264&amp;" "&amp;M264&amp;" "&amp;N264&amp;" "&amp;T264))),ISNUMBER(SEARCH("bank",LOWER(F264&amp;" "&amp;H264&amp;" "&amp;I264&amp;" "&amp;M264&amp;" "&amp;N264&amp;" "&amp;T264))),ISNUMBER(SEARCH("banking",LOWER(F264&amp;" "&amp;H264&amp;" "&amp;I264&amp;" "&amp;M264&amp;" "&amp;N264&amp;" "&amp;T264)))),"PRIVATE_QUARANTINE",IF(OR(ISNUMBER(SEARCH("treasury",LOWER(F264&amp;" "&amp;H264&amp;" "&amp;I264&amp;" "&amp;M264&amp;" "&amp;N264&amp;" "&amp;T264))),ISNUMBER(SEARCH("debt",LOWER(F264&amp;" "&amp;H264&amp;" "&amp;I264&amp;" "&amp;M264&amp;" "&amp;N264&amp;" "&amp;T264))),ISNUMBER(SEARCH("bond",LOWER(F264&amp;" "&amp;H264&amp;" "&amp;I264&amp;" "&amp;M264&amp;" "&amp;N264&amp;" "&amp;T264))),ISNUMBER(SEARCH("transaction",LOWER(F264&amp;" "&amp;H264&amp;" "&amp;I264&amp;" "&amp;M264&amp;" "&amp;N264&amp;" "&amp;T264)))),"PRIVATE_REVIEW","PUBLIC_CANDIDATE"))</x:f>
        <x:v>PUBLIC_CANDIDATE</x:v>
      </x:c>
      <x:c r="AD264" s="12" t="str">
        <x:f>IF(AC264="PRIVATE_QUARANTINE","hacker_or_bank_trigger",IF(AC264="PRIVATE_REVIEW","finance_risk_trigger","none"))</x:f>
        <x:v>none</x:v>
      </x:c>
      <x:c r="AE264" s="12" t="str">
        <x:f>IF(AC264="PUBLIC_CANDIDATE","prepare_public_github_candidate",IF(AC264="PRIVATE_REVIEW","hold_for_private_review","quarantine_private_do_not_publish"))</x:f>
        <x:v>prepare_public_github_candidate</x:v>
      </x:c>
      <x:c r="AF264" s="12" t="str">
        <x:f>IF(AC264="PUBLIC_CANDIDATE","TIDELOCK + Lucerna",IF(AC264="PRIVATE_REVIEW","AtlasBrain + Lucerna","TIDELOCK + Lucerna + Human-root"))</x:f>
        <x:v>TIDELOCK + Lucerna</x:v>
      </x:c>
      <x:c r="AG264" s="12" t="str">
        <x:f>IF(AND(AC264="PUBLIC_CANDIDATE",U264&lt;&gt;"BLOCKED_PENDING_RECEIPT"),"READY_AFTER_RECEIPT","NOT_READY")</x:f>
        <x:v>NOT_READY</x:v>
      </x:c>
      <x:c r="AH264" s="12" t="str">
        <x:f>IF(AC264="PUBLIC_CANDIDATE","none",AD264)</x:f>
        <x:v>none</x:v>
      </x:c>
      <x:c r="AI264" s="12" t="str">
        <x:f>IF(AC264="PUBLIC_CANDIDATE","archive/public_candidates/"&amp;A264,"private_quarantine/"&amp;A264)</x:f>
        <x:v>archive/public_candidates/SWARM-02-H10-S11</x:v>
      </x:c>
      <x:c r="AJ264" s="12" t="str">
        <x:f>IF(AC264="PUBLIC_CANDIDATE","public by default; still not canon","private/hold; do not publish")</x:f>
        <x:v>public by default; still not canon</x:v>
      </x:c>
      <x:c r="AK264" s="12" t="str">
        <x:f>IF(AE264="prepare_public_github_candidate","add receipt/status then mirror","resolve blocker before any public GitHub action")</x:f>
        <x:v>add receipt/status then mirror</x:v>
      </x:c>
    </x:row>
    <x:row r="265">
      <x:c r="A265" s="15" t="str">
        <x:v>SWARM-02-H10-S12</x:v>
      </x:c>
      <x:c r="B265" s="15" t="str">
        <x:v>Hashlight</x:v>
      </x:c>
      <x:c r="C265" s="15" t="str">
        <x:v>Hash and identity keeper</x:v>
      </x:c>
      <x:c r="D265" s="15" t="str">
        <x:v>GitHub Source Packets</x:v>
      </x:c>
      <x:c r="E265" s="15" t="str">
        <x:v>Risk / Safety</x:v>
      </x:c>
      <x:c r="F265" s="15" t="str">
        <x:v>Build source packet for Risk / Safety — Hashlight</x:v>
      </x:c>
      <x:c r="G265" s="15" t="str">
        <x:v>ids / hashes / timestamps / duplicate control</x:v>
      </x:c>
      <x:c r="H265" s="15" t="str">
        <x:v>source path + receipt + raw/export status + claim/edge/risk delta</x:v>
      </x:c>
      <x:c r="I265" s="15" t="str">
        <x:v>packet/SWARM-02-H10-S12</x:v>
      </x:c>
      <x:c r="J265" s="15" t="str">
        <x:v>TODO</x:v>
      </x:c>
      <x:c r="K265" s="15" t="str">
        <x:v>P2</x:v>
      </x:c>
      <x:c r="L265" s="15" t="str">
        <x:v>Done only when evidence is logged, contradiction search is noted, and boundary stamp remains non-canon unless ratified</x:v>
      </x:c>
      <x:c r="M265" s="15" t="str">
        <x:v>candidate / staging-only / not canon / not deployed / authority none</x:v>
      </x:c>
      <x:c r="N265" s="15" t="str">
        <x:v>Dispatch to Hashlight: complete GitHub Source Packets x Risk / Safety; return deltas only, receipts required.</x:v>
      </x:c>
      <x:c r="O265" s="15" t="str">
        <x:v>AF-KG-H10-S12</x:v>
      </x:c>
      <x:c r="P265" s="15" t="str">
        <x:v>Unverified</x:v>
      </x:c>
      <x:c r="Q265" s="15" t="str">
        <x:v>Not checked</x:v>
      </x:c>
      <x:c r="R265" s="15" t="str"/>
      <x:c r="S265" s="15" t="str"/>
      <x:c r="T265" s="15" t="str">
        <x:v>Log first source path or blocker</x:v>
      </x:c>
      <x:c r="U265" s="12" t="str">
        <x:f>IF(OR(P265="Unverified",Q265="Not checked"),"BLOCKED_PENDING_RECEIPT","READY_FOR_REVIEW")</x:f>
        <x:v>BLOCKED_PENDING_RECEIPT</x:v>
      </x:c>
      <x:c r="V265" s="12" t="str">
        <x:f>IF(J265="DONE","RETURNED",IF(U265="BLOCKED_PENDING_RECEIPT","SOURCE_TOUCH_REQUIRED","IN_PROGRESS"))</x:f>
        <x:v>SOURCE_TOUCH_REQUIRED</x:v>
      </x:c>
      <x:c r="W265" s="12" t="str">
        <x:f>IF(P265="Unverified","missing_receipt","receipt_logged")</x:f>
        <x:v>missing_receipt</x:v>
      </x:c>
      <x:c r="X265" s="12" t="str">
        <x:f>IF(Q265="Not checked","raw_status_missing","raw_status_logged")</x:f>
        <x:v>raw_status_missing</x:v>
      </x:c>
      <x:c r="Y265" s="12" t="str">
        <x:f>IF(U265="BLOCKED_PENDING_RECEIPT","Log source path or blocker; do not promote","Route to review lane")</x:f>
        <x:v>Log source path or blocker; do not promote</x:v>
      </x:c>
      <x:c r="Z265" s="12" t="str">
        <x:f>IF(K265="P0","Primary seat + Hashlight/Lucerna","Seat lane")</x:f>
        <x:v>Seat lane</x:v>
      </x:c>
      <x:c r="AA265" s="12" t="str">
        <x:f>IF(R265="","no_claim_delta","claim_delta_present")</x:f>
        <x:v>no_claim_delta</x:v>
      </x:c>
      <x:c r="AB265" s="12" t="str">
        <x:f>IF(S265="","no_contradiction_delta","contradiction_delta_present")</x:f>
        <x:v>no_contradiction_delta</x:v>
      </x:c>
      <x:c r="AC265" s="12" t="str">
        <x:f>IF(OR(ISNUMBER(SEARCH("hacker",LOWER(F265&amp;" "&amp;H265&amp;" "&amp;I265&amp;" "&amp;M265&amp;" "&amp;N265&amp;" "&amp;T265))),ISNUMBER(SEARCH("hacking",LOWER(F265&amp;" "&amp;H265&amp;" "&amp;I265&amp;" "&amp;M265&amp;" "&amp;N265&amp;" "&amp;T265))),ISNUMBER(SEARCH("bank",LOWER(F265&amp;" "&amp;H265&amp;" "&amp;I265&amp;" "&amp;M265&amp;" "&amp;N265&amp;" "&amp;T265))),ISNUMBER(SEARCH("banking",LOWER(F265&amp;" "&amp;H265&amp;" "&amp;I265&amp;" "&amp;M265&amp;" "&amp;N265&amp;" "&amp;T265)))),"PRIVATE_QUARANTINE",IF(OR(ISNUMBER(SEARCH("treasury",LOWER(F265&amp;" "&amp;H265&amp;" "&amp;I265&amp;" "&amp;M265&amp;" "&amp;N265&amp;" "&amp;T265))),ISNUMBER(SEARCH("debt",LOWER(F265&amp;" "&amp;H265&amp;" "&amp;I265&amp;" "&amp;M265&amp;" "&amp;N265&amp;" "&amp;T265))),ISNUMBER(SEARCH("bond",LOWER(F265&amp;" "&amp;H265&amp;" "&amp;I265&amp;" "&amp;M265&amp;" "&amp;N265&amp;" "&amp;T265))),ISNUMBER(SEARCH("transaction",LOWER(F265&amp;" "&amp;H265&amp;" "&amp;I265&amp;" "&amp;M265&amp;" "&amp;N265&amp;" "&amp;T265)))),"PRIVATE_REVIEW","PUBLIC_CANDIDATE"))</x:f>
        <x:v>PUBLIC_CANDIDATE</x:v>
      </x:c>
      <x:c r="AD265" s="12" t="str">
        <x:f>IF(AC265="PRIVATE_QUARANTINE","hacker_or_bank_trigger",IF(AC265="PRIVATE_REVIEW","finance_risk_trigger","none"))</x:f>
        <x:v>none</x:v>
      </x:c>
      <x:c r="AE265" s="12" t="str">
        <x:f>IF(AC265="PUBLIC_CANDIDATE","prepare_public_github_candidate",IF(AC265="PRIVATE_REVIEW","hold_for_private_review","quarantine_private_do_not_publish"))</x:f>
        <x:v>prepare_public_github_candidate</x:v>
      </x:c>
      <x:c r="AF265" s="12" t="str">
        <x:f>IF(AC265="PUBLIC_CANDIDATE","TIDELOCK + Lucerna",IF(AC265="PRIVATE_REVIEW","AtlasBrain + Lucerna","TIDELOCK + Lucerna + Human-root"))</x:f>
        <x:v>TIDELOCK + Lucerna</x:v>
      </x:c>
      <x:c r="AG265" s="12" t="str">
        <x:f>IF(AND(AC265="PUBLIC_CANDIDATE",U265&lt;&gt;"BLOCKED_PENDING_RECEIPT"),"READY_AFTER_RECEIPT","NOT_READY")</x:f>
        <x:v>NOT_READY</x:v>
      </x:c>
      <x:c r="AH265" s="12" t="str">
        <x:f>IF(AC265="PUBLIC_CANDIDATE","none",AD265)</x:f>
        <x:v>none</x:v>
      </x:c>
      <x:c r="AI265" s="12" t="str">
        <x:f>IF(AC265="PUBLIC_CANDIDATE","archive/public_candidates/"&amp;A265,"private_quarantine/"&amp;A265)</x:f>
        <x:v>archive/public_candidates/SWARM-02-H10-S12</x:v>
      </x:c>
      <x:c r="AJ265" s="12" t="str">
        <x:f>IF(AC265="PUBLIC_CANDIDATE","public by default; still not canon","private/hold; do not publish")</x:f>
        <x:v>public by default; still not canon</x:v>
      </x:c>
      <x:c r="AK265" s="12" t="str">
        <x:f>IF(AE265="prepare_public_github_candidate","add receipt/status then mirror","resolve blocker before any public GitHub action")</x:f>
        <x:v>add receipt/status then mirror</x:v>
      </x:c>
    </x:row>
    <x:row r="266">
      <x:c r="A266" s="15" t="str">
        <x:v>SWARM-02-H11-S01</x:v>
      </x:c>
      <x:c r="B266" s="15" t="str">
        <x:v>Hashlight</x:v>
      </x:c>
      <x:c r="C266" s="15" t="str">
        <x:v>Hash and identity keeper</x:v>
      </x:c>
      <x:c r="D266" s="15" t="str">
        <x:v>Aetherforge UX</x:v>
      </x:c>
      <x:c r="E266" s="15" t="str">
        <x:v>Notion</x:v>
      </x:c>
      <x:c r="F266" s="15" t="str">
        <x:v>Design quest card for Notion — Hashlight</x:v>
      </x:c>
      <x:c r="G266" s="15" t="str">
        <x:v>ids / hashes / timestamps / duplicate control</x:v>
      </x:c>
      <x:c r="H266" s="15" t="str">
        <x:v>source path + receipt + raw/export status + claim/edge/risk delta</x:v>
      </x:c>
      <x:c r="I266" s="15" t="str">
        <x:v>packet/SWARM-02-H11-S01</x:v>
      </x:c>
      <x:c r="J266" s="15" t="str">
        <x:v>TODO</x:v>
      </x:c>
      <x:c r="K266" s="15" t="str">
        <x:v>P0</x:v>
      </x:c>
      <x:c r="L266" s="15" t="str">
        <x:v>Done only when evidence is logged, contradiction search is noted, and boundary stamp remains non-canon unless ratified</x:v>
      </x:c>
      <x:c r="M266" s="15" t="str">
        <x:v>candidate / staging-only / not canon / not deployed / authority none</x:v>
      </x:c>
      <x:c r="N266" s="15" t="str">
        <x:v>Dispatch to Hashlight: complete Aetherforge UX x Notion; return deltas only, receipts required.</x:v>
      </x:c>
      <x:c r="O266" s="15" t="str">
        <x:v>AF-KG-H11-S01</x:v>
      </x:c>
      <x:c r="P266" s="15" t="str">
        <x:v>Unverified</x:v>
      </x:c>
      <x:c r="Q266" s="15" t="str">
        <x:v>Not checked</x:v>
      </x:c>
      <x:c r="R266" s="15" t="str"/>
      <x:c r="S266" s="15" t="str"/>
      <x:c r="T266" s="15" t="str">
        <x:v>Log first source path or blocker</x:v>
      </x:c>
      <x:c r="U266" s="12" t="str">
        <x:f>IF(OR(P266="Unverified",Q266="Not checked"),"BLOCKED_PENDING_RECEIPT","READY_FOR_REVIEW")</x:f>
        <x:v>BLOCKED_PENDING_RECEIPT</x:v>
      </x:c>
      <x:c r="V266" s="12" t="str">
        <x:f>IF(J266="DONE","RETURNED",IF(U266="BLOCKED_PENDING_RECEIPT","SOURCE_TOUCH_REQUIRED","IN_PROGRESS"))</x:f>
        <x:v>SOURCE_TOUCH_REQUIRED</x:v>
      </x:c>
      <x:c r="W266" s="12" t="str">
        <x:f>IF(P266="Unverified","missing_receipt","receipt_logged")</x:f>
        <x:v>missing_receipt</x:v>
      </x:c>
      <x:c r="X266" s="12" t="str">
        <x:f>IF(Q266="Not checked","raw_status_missing","raw_status_logged")</x:f>
        <x:v>raw_status_missing</x:v>
      </x:c>
      <x:c r="Y266" s="12" t="str">
        <x:f>IF(U266="BLOCKED_PENDING_RECEIPT","Log source path or blocker; do not promote","Route to review lane")</x:f>
        <x:v>Log source path or blocker; do not promote</x:v>
      </x:c>
      <x:c r="Z266" s="12" t="str">
        <x:f>IF(K266="P0","Primary seat + Hashlight/Lucerna","Seat lane")</x:f>
        <x:v>Primary seat + Hashlight/Lucerna</x:v>
      </x:c>
      <x:c r="AA266" s="12" t="str">
        <x:f>IF(R266="","no_claim_delta","claim_delta_present")</x:f>
        <x:v>no_claim_delta</x:v>
      </x:c>
      <x:c r="AB266" s="12" t="str">
        <x:f>IF(S266="","no_contradiction_delta","contradiction_delta_present")</x:f>
        <x:v>no_contradiction_delta</x:v>
      </x:c>
      <x:c r="AC266" s="12" t="str">
        <x:f>IF(OR(ISNUMBER(SEARCH("hacker",LOWER(F266&amp;" "&amp;H266&amp;" "&amp;I266&amp;" "&amp;M266&amp;" "&amp;N266&amp;" "&amp;T266))),ISNUMBER(SEARCH("hacking",LOWER(F266&amp;" "&amp;H266&amp;" "&amp;I266&amp;" "&amp;M266&amp;" "&amp;N266&amp;" "&amp;T266))),ISNUMBER(SEARCH("bank",LOWER(F266&amp;" "&amp;H266&amp;" "&amp;I266&amp;" "&amp;M266&amp;" "&amp;N266&amp;" "&amp;T266))),ISNUMBER(SEARCH("banking",LOWER(F266&amp;" "&amp;H266&amp;" "&amp;I266&amp;" "&amp;M266&amp;" "&amp;N266&amp;" "&amp;T266)))),"PRIVATE_QUARANTINE",IF(OR(ISNUMBER(SEARCH("treasury",LOWER(F266&amp;" "&amp;H266&amp;" "&amp;I266&amp;" "&amp;M266&amp;" "&amp;N266&amp;" "&amp;T266))),ISNUMBER(SEARCH("debt",LOWER(F266&amp;" "&amp;H266&amp;" "&amp;I266&amp;" "&amp;M266&amp;" "&amp;N266&amp;" "&amp;T266))),ISNUMBER(SEARCH("bond",LOWER(F266&amp;" "&amp;H266&amp;" "&amp;I266&amp;" "&amp;M266&amp;" "&amp;N266&amp;" "&amp;T266))),ISNUMBER(SEARCH("transaction",LOWER(F266&amp;" "&amp;H266&amp;" "&amp;I266&amp;" "&amp;M266&amp;" "&amp;N266&amp;" "&amp;T266)))),"PRIVATE_REVIEW","PUBLIC_CANDIDATE"))</x:f>
        <x:v>PUBLIC_CANDIDATE</x:v>
      </x:c>
      <x:c r="AD266" s="12" t="str">
        <x:f>IF(AC266="PRIVATE_QUARANTINE","hacker_or_bank_trigger",IF(AC266="PRIVATE_REVIEW","finance_risk_trigger","none"))</x:f>
        <x:v>none</x:v>
      </x:c>
      <x:c r="AE266" s="12" t="str">
        <x:f>IF(AC266="PUBLIC_CANDIDATE","prepare_public_github_candidate",IF(AC266="PRIVATE_REVIEW","hold_for_private_review","quarantine_private_do_not_publish"))</x:f>
        <x:v>prepare_public_github_candidate</x:v>
      </x:c>
      <x:c r="AF266" s="12" t="str">
        <x:f>IF(AC266="PUBLIC_CANDIDATE","TIDELOCK + Lucerna",IF(AC266="PRIVATE_REVIEW","AtlasBrain + Lucerna","TIDELOCK + Lucerna + Human-root"))</x:f>
        <x:v>TIDELOCK + Lucerna</x:v>
      </x:c>
      <x:c r="AG266" s="12" t="str">
        <x:f>IF(AND(AC266="PUBLIC_CANDIDATE",U266&lt;&gt;"BLOCKED_PENDING_RECEIPT"),"READY_AFTER_RECEIPT","NOT_READY")</x:f>
        <x:v>NOT_READY</x:v>
      </x:c>
      <x:c r="AH266" s="12" t="str">
        <x:f>IF(AC266="PUBLIC_CANDIDATE","none",AD266)</x:f>
        <x:v>none</x:v>
      </x:c>
      <x:c r="AI266" s="12" t="str">
        <x:f>IF(AC266="PUBLIC_CANDIDATE","archive/public_candidates/"&amp;A266,"private_quarantine/"&amp;A266)</x:f>
        <x:v>archive/public_candidates/SWARM-02-H11-S01</x:v>
      </x:c>
      <x:c r="AJ266" s="12" t="str">
        <x:f>IF(AC266="PUBLIC_CANDIDATE","public by default; still not canon","private/hold; do not publish")</x:f>
        <x:v>public by default; still not canon</x:v>
      </x:c>
      <x:c r="AK266" s="12" t="str">
        <x:f>IF(AE266="prepare_public_github_candidate","add receipt/status then mirror","resolve blocker before any public GitHub action")</x:f>
        <x:v>add receipt/status then mirror</x:v>
      </x:c>
    </x:row>
    <x:row r="267">
      <x:c r="A267" s="15" t="str">
        <x:v>SWARM-02-H11-S02</x:v>
      </x:c>
      <x:c r="B267" s="15" t="str">
        <x:v>Hashlight</x:v>
      </x:c>
      <x:c r="C267" s="15" t="str">
        <x:v>Hash and identity keeper</x:v>
      </x:c>
      <x:c r="D267" s="15" t="str">
        <x:v>Aetherforge UX</x:v>
      </x:c>
      <x:c r="E267" s="15" t="str">
        <x:v>Drive</x:v>
      </x:c>
      <x:c r="F267" s="15" t="str">
        <x:v>Design quest card for Drive — Hashlight</x:v>
      </x:c>
      <x:c r="G267" s="15" t="str">
        <x:v>ids / hashes / timestamps / duplicate control</x:v>
      </x:c>
      <x:c r="H267" s="15" t="str">
        <x:v>source path + receipt + raw/export status + claim/edge/risk delta</x:v>
      </x:c>
      <x:c r="I267" s="15" t="str">
        <x:v>packet/SWARM-02-H11-S02</x:v>
      </x:c>
      <x:c r="J267" s="15" t="str">
        <x:v>TODO</x:v>
      </x:c>
      <x:c r="K267" s="15" t="str">
        <x:v>P0</x:v>
      </x:c>
      <x:c r="L267" s="15" t="str">
        <x:v>Done only when evidence is logged, contradiction search is noted, and boundary stamp remains non-canon unless ratified</x:v>
      </x:c>
      <x:c r="M267" s="15" t="str">
        <x:v>candidate / staging-only / not canon / not deployed / authority none</x:v>
      </x:c>
      <x:c r="N267" s="15" t="str">
        <x:v>Dispatch to Hashlight: complete Aetherforge UX x Drive; return deltas only, receipts required.</x:v>
      </x:c>
      <x:c r="O267" s="15" t="str">
        <x:v>AF-KG-H11-S02</x:v>
      </x:c>
      <x:c r="P267" s="15" t="str">
        <x:v>Unverified</x:v>
      </x:c>
      <x:c r="Q267" s="15" t="str">
        <x:v>Not checked</x:v>
      </x:c>
      <x:c r="R267" s="15" t="str"/>
      <x:c r="S267" s="15" t="str"/>
      <x:c r="T267" s="15" t="str">
        <x:v>Log first source path or blocker</x:v>
      </x:c>
      <x:c r="U267" s="12" t="str">
        <x:f>IF(OR(P267="Unverified",Q267="Not checked"),"BLOCKED_PENDING_RECEIPT","READY_FOR_REVIEW")</x:f>
        <x:v>BLOCKED_PENDING_RECEIPT</x:v>
      </x:c>
      <x:c r="V267" s="12" t="str">
        <x:f>IF(J267="DONE","RETURNED",IF(U267="BLOCKED_PENDING_RECEIPT","SOURCE_TOUCH_REQUIRED","IN_PROGRESS"))</x:f>
        <x:v>SOURCE_TOUCH_REQUIRED</x:v>
      </x:c>
      <x:c r="W267" s="12" t="str">
        <x:f>IF(P267="Unverified","missing_receipt","receipt_logged")</x:f>
        <x:v>missing_receipt</x:v>
      </x:c>
      <x:c r="X267" s="12" t="str">
        <x:f>IF(Q267="Not checked","raw_status_missing","raw_status_logged")</x:f>
        <x:v>raw_status_missing</x:v>
      </x:c>
      <x:c r="Y267" s="12" t="str">
        <x:f>IF(U267="BLOCKED_PENDING_RECEIPT","Log source path or blocker; do not promote","Route to review lane")</x:f>
        <x:v>Log source path or blocker; do not promote</x:v>
      </x:c>
      <x:c r="Z267" s="12" t="str">
        <x:f>IF(K267="P0","Primary seat + Hashlight/Lucerna","Seat lane")</x:f>
        <x:v>Primary seat + Hashlight/Lucerna</x:v>
      </x:c>
      <x:c r="AA267" s="12" t="str">
        <x:f>IF(R267="","no_claim_delta","claim_delta_present")</x:f>
        <x:v>no_claim_delta</x:v>
      </x:c>
      <x:c r="AB267" s="12" t="str">
        <x:f>IF(S267="","no_contradiction_delta","contradiction_delta_present")</x:f>
        <x:v>no_contradiction_delta</x:v>
      </x:c>
      <x:c r="AC267" s="12" t="str">
        <x:f>IF(OR(ISNUMBER(SEARCH("hacker",LOWER(F267&amp;" "&amp;H267&amp;" "&amp;I267&amp;" "&amp;M267&amp;" "&amp;N267&amp;" "&amp;T267))),ISNUMBER(SEARCH("hacking",LOWER(F267&amp;" "&amp;H267&amp;" "&amp;I267&amp;" "&amp;M267&amp;" "&amp;N267&amp;" "&amp;T267))),ISNUMBER(SEARCH("bank",LOWER(F267&amp;" "&amp;H267&amp;" "&amp;I267&amp;" "&amp;M267&amp;" "&amp;N267&amp;" "&amp;T267))),ISNUMBER(SEARCH("banking",LOWER(F267&amp;" "&amp;H267&amp;" "&amp;I267&amp;" "&amp;M267&amp;" "&amp;N267&amp;" "&amp;T267)))),"PRIVATE_QUARANTINE",IF(OR(ISNUMBER(SEARCH("treasury",LOWER(F267&amp;" "&amp;H267&amp;" "&amp;I267&amp;" "&amp;M267&amp;" "&amp;N267&amp;" "&amp;T267))),ISNUMBER(SEARCH("debt",LOWER(F267&amp;" "&amp;H267&amp;" "&amp;I267&amp;" "&amp;M267&amp;" "&amp;N267&amp;" "&amp;T267))),ISNUMBER(SEARCH("bond",LOWER(F267&amp;" "&amp;H267&amp;" "&amp;I267&amp;" "&amp;M267&amp;" "&amp;N267&amp;" "&amp;T267))),ISNUMBER(SEARCH("transaction",LOWER(F267&amp;" "&amp;H267&amp;" "&amp;I267&amp;" "&amp;M267&amp;" "&amp;N267&amp;" "&amp;T267)))),"PRIVATE_REVIEW","PUBLIC_CANDIDATE"))</x:f>
        <x:v>PUBLIC_CANDIDATE</x:v>
      </x:c>
      <x:c r="AD267" s="12" t="str">
        <x:f>IF(AC267="PRIVATE_QUARANTINE","hacker_or_bank_trigger",IF(AC267="PRIVATE_REVIEW","finance_risk_trigger","none"))</x:f>
        <x:v>none</x:v>
      </x:c>
      <x:c r="AE267" s="12" t="str">
        <x:f>IF(AC267="PUBLIC_CANDIDATE","prepare_public_github_candidate",IF(AC267="PRIVATE_REVIEW","hold_for_private_review","quarantine_private_do_not_publish"))</x:f>
        <x:v>prepare_public_github_candidate</x:v>
      </x:c>
      <x:c r="AF267" s="12" t="str">
        <x:f>IF(AC267="PUBLIC_CANDIDATE","TIDELOCK + Lucerna",IF(AC267="PRIVATE_REVIEW","AtlasBrain + Lucerna","TIDELOCK + Lucerna + Human-root"))</x:f>
        <x:v>TIDELOCK + Lucerna</x:v>
      </x:c>
      <x:c r="AG267" s="12" t="str">
        <x:f>IF(AND(AC267="PUBLIC_CANDIDATE",U267&lt;&gt;"BLOCKED_PENDING_RECEIPT"),"READY_AFTER_RECEIPT","NOT_READY")</x:f>
        <x:v>NOT_READY</x:v>
      </x:c>
      <x:c r="AH267" s="12" t="str">
        <x:f>IF(AC267="PUBLIC_CANDIDATE","none",AD267)</x:f>
        <x:v>none</x:v>
      </x:c>
      <x:c r="AI267" s="12" t="str">
        <x:f>IF(AC267="PUBLIC_CANDIDATE","archive/public_candidates/"&amp;A267,"private_quarantine/"&amp;A267)</x:f>
        <x:v>archive/public_candidates/SWARM-02-H11-S02</x:v>
      </x:c>
      <x:c r="AJ267" s="12" t="str">
        <x:f>IF(AC267="PUBLIC_CANDIDATE","public by default; still not canon","private/hold; do not publish")</x:f>
        <x:v>public by default; still not canon</x:v>
      </x:c>
      <x:c r="AK267" s="12" t="str">
        <x:f>IF(AE267="prepare_public_github_candidate","add receipt/status then mirror","resolve blocker before any public GitHub action")</x:f>
        <x:v>add receipt/status then mirror</x:v>
      </x:c>
    </x:row>
    <x:row r="268">
      <x:c r="A268" s="15" t="str">
        <x:v>SWARM-02-H11-S03</x:v>
      </x:c>
      <x:c r="B268" s="15" t="str">
        <x:v>Hashlight</x:v>
      </x:c>
      <x:c r="C268" s="15" t="str">
        <x:v>Hash and identity keeper</x:v>
      </x:c>
      <x:c r="D268" s="15" t="str">
        <x:v>Aetherforge UX</x:v>
      </x:c>
      <x:c r="E268" s="15" t="str">
        <x:v>GitHub</x:v>
      </x:c>
      <x:c r="F268" s="15" t="str">
        <x:v>Design quest card for GitHub — Hashlight</x:v>
      </x:c>
      <x:c r="G268" s="15" t="str">
        <x:v>ids / hashes / timestamps / duplicate control</x:v>
      </x:c>
      <x:c r="H268" s="15" t="str">
        <x:v>source path + receipt + raw/export status + claim/edge/risk delta</x:v>
      </x:c>
      <x:c r="I268" s="15" t="str">
        <x:v>packet/SWARM-02-H11-S03</x:v>
      </x:c>
      <x:c r="J268" s="15" t="str">
        <x:v>TODO</x:v>
      </x:c>
      <x:c r="K268" s="15" t="str">
        <x:v>P0</x:v>
      </x:c>
      <x:c r="L268" s="15" t="str">
        <x:v>Done only when evidence is logged, contradiction search is noted, and boundary stamp remains non-canon unless ratified</x:v>
      </x:c>
      <x:c r="M268" s="15" t="str">
        <x:v>candidate / staging-only / not canon / not deployed / authority none</x:v>
      </x:c>
      <x:c r="N268" s="15" t="str">
        <x:v>Dispatch to Hashlight: complete Aetherforge UX x GitHub; return deltas only, receipts required.</x:v>
      </x:c>
      <x:c r="O268" s="15" t="str">
        <x:v>AF-KG-H11-S03</x:v>
      </x:c>
      <x:c r="P268" s="15" t="str">
        <x:v>Unverified</x:v>
      </x:c>
      <x:c r="Q268" s="15" t="str">
        <x:v>Not checked</x:v>
      </x:c>
      <x:c r="R268" s="15" t="str"/>
      <x:c r="S268" s="15" t="str"/>
      <x:c r="T268" s="15" t="str">
        <x:v>Log first source path or blocker</x:v>
      </x:c>
      <x:c r="U268" s="12" t="str">
        <x:f>IF(OR(P268="Unverified",Q268="Not checked"),"BLOCKED_PENDING_RECEIPT","READY_FOR_REVIEW")</x:f>
        <x:v>BLOCKED_PENDING_RECEIPT</x:v>
      </x:c>
      <x:c r="V268" s="12" t="str">
        <x:f>IF(J268="DONE","RETURNED",IF(U268="BLOCKED_PENDING_RECEIPT","SOURCE_TOUCH_REQUIRED","IN_PROGRESS"))</x:f>
        <x:v>SOURCE_TOUCH_REQUIRED</x:v>
      </x:c>
      <x:c r="W268" s="12" t="str">
        <x:f>IF(P268="Unverified","missing_receipt","receipt_logged")</x:f>
        <x:v>missing_receipt</x:v>
      </x:c>
      <x:c r="X268" s="12" t="str">
        <x:f>IF(Q268="Not checked","raw_status_missing","raw_status_logged")</x:f>
        <x:v>raw_status_missing</x:v>
      </x:c>
      <x:c r="Y268" s="12" t="str">
        <x:f>IF(U268="BLOCKED_PENDING_RECEIPT","Log source path or blocker; do not promote","Route to review lane")</x:f>
        <x:v>Log source path or blocker; do not promote</x:v>
      </x:c>
      <x:c r="Z268" s="12" t="str">
        <x:f>IF(K268="P0","Primary seat + Hashlight/Lucerna","Seat lane")</x:f>
        <x:v>Primary seat + Hashlight/Lucerna</x:v>
      </x:c>
      <x:c r="AA268" s="12" t="str">
        <x:f>IF(R268="","no_claim_delta","claim_delta_present")</x:f>
        <x:v>no_claim_delta</x:v>
      </x:c>
      <x:c r="AB268" s="12" t="str">
        <x:f>IF(S268="","no_contradiction_delta","contradiction_delta_present")</x:f>
        <x:v>no_contradiction_delta</x:v>
      </x:c>
      <x:c r="AC268" s="12" t="str">
        <x:f>IF(OR(ISNUMBER(SEARCH("hacker",LOWER(F268&amp;" "&amp;H268&amp;" "&amp;I268&amp;" "&amp;M268&amp;" "&amp;N268&amp;" "&amp;T268))),ISNUMBER(SEARCH("hacking",LOWER(F268&amp;" "&amp;H268&amp;" "&amp;I268&amp;" "&amp;M268&amp;" "&amp;N268&amp;" "&amp;T268))),ISNUMBER(SEARCH("bank",LOWER(F268&amp;" "&amp;H268&amp;" "&amp;I268&amp;" "&amp;M268&amp;" "&amp;N268&amp;" "&amp;T268))),ISNUMBER(SEARCH("banking",LOWER(F268&amp;" "&amp;H268&amp;" "&amp;I268&amp;" "&amp;M268&amp;" "&amp;N268&amp;" "&amp;T268)))),"PRIVATE_QUARANTINE",IF(OR(ISNUMBER(SEARCH("treasury",LOWER(F268&amp;" "&amp;H268&amp;" "&amp;I268&amp;" "&amp;M268&amp;" "&amp;N268&amp;" "&amp;T268))),ISNUMBER(SEARCH("debt",LOWER(F268&amp;" "&amp;H268&amp;" "&amp;I268&amp;" "&amp;M268&amp;" "&amp;N268&amp;" "&amp;T268))),ISNUMBER(SEARCH("bond",LOWER(F268&amp;" "&amp;H268&amp;" "&amp;I268&amp;" "&amp;M268&amp;" "&amp;N268&amp;" "&amp;T268))),ISNUMBER(SEARCH("transaction",LOWER(F268&amp;" "&amp;H268&amp;" "&amp;I268&amp;" "&amp;M268&amp;" "&amp;N268&amp;" "&amp;T268)))),"PRIVATE_REVIEW","PUBLIC_CANDIDATE"))</x:f>
        <x:v>PUBLIC_CANDIDATE</x:v>
      </x:c>
      <x:c r="AD268" s="12" t="str">
        <x:f>IF(AC268="PRIVATE_QUARANTINE","hacker_or_bank_trigger",IF(AC268="PRIVATE_REVIEW","finance_risk_trigger","none"))</x:f>
        <x:v>none</x:v>
      </x:c>
      <x:c r="AE268" s="12" t="str">
        <x:f>IF(AC268="PUBLIC_CANDIDATE","prepare_public_github_candidate",IF(AC268="PRIVATE_REVIEW","hold_for_private_review","quarantine_private_do_not_publish"))</x:f>
        <x:v>prepare_public_github_candidate</x:v>
      </x:c>
      <x:c r="AF268" s="12" t="str">
        <x:f>IF(AC268="PUBLIC_CANDIDATE","TIDELOCK + Lucerna",IF(AC268="PRIVATE_REVIEW","AtlasBrain + Lucerna","TIDELOCK + Lucerna + Human-root"))</x:f>
        <x:v>TIDELOCK + Lucerna</x:v>
      </x:c>
      <x:c r="AG268" s="12" t="str">
        <x:f>IF(AND(AC268="PUBLIC_CANDIDATE",U268&lt;&gt;"BLOCKED_PENDING_RECEIPT"),"READY_AFTER_RECEIPT","NOT_READY")</x:f>
        <x:v>NOT_READY</x:v>
      </x:c>
      <x:c r="AH268" s="12" t="str">
        <x:f>IF(AC268="PUBLIC_CANDIDATE","none",AD268)</x:f>
        <x:v>none</x:v>
      </x:c>
      <x:c r="AI268" s="12" t="str">
        <x:f>IF(AC268="PUBLIC_CANDIDATE","archive/public_candidates/"&amp;A268,"private_quarantine/"&amp;A268)</x:f>
        <x:v>archive/public_candidates/SWARM-02-H11-S03</x:v>
      </x:c>
      <x:c r="AJ268" s="12" t="str">
        <x:f>IF(AC268="PUBLIC_CANDIDATE","public by default; still not canon","private/hold; do not publish")</x:f>
        <x:v>public by default; still not canon</x:v>
      </x:c>
      <x:c r="AK268" s="12" t="str">
        <x:f>IF(AE268="prepare_public_github_candidate","add receipt/status then mirror","resolve blocker before any public GitHub action")</x:f>
        <x:v>add receipt/status then mirror</x:v>
      </x:c>
    </x:row>
    <x:row r="269">
      <x:c r="A269" s="15" t="str">
        <x:v>SWARM-02-H11-S04</x:v>
      </x:c>
      <x:c r="B269" s="15" t="str">
        <x:v>Hashlight</x:v>
      </x:c>
      <x:c r="C269" s="15" t="str">
        <x:v>Hash and identity keeper</x:v>
      </x:c>
      <x:c r="D269" s="15" t="str">
        <x:v>Aetherforge UX</x:v>
      </x:c>
      <x:c r="E269" s="15" t="str">
        <x:v>Gamma</x:v>
      </x:c>
      <x:c r="F269" s="15" t="str">
        <x:v>Design quest card for Gamma — Hashlight</x:v>
      </x:c>
      <x:c r="G269" s="15" t="str">
        <x:v>ids / hashes / timestamps / duplicate control</x:v>
      </x:c>
      <x:c r="H269" s="15" t="str">
        <x:v>source path + receipt + raw/export status + claim/edge/risk delta</x:v>
      </x:c>
      <x:c r="I269" s="15" t="str">
        <x:v>packet/SWARM-02-H11-S04</x:v>
      </x:c>
      <x:c r="J269" s="15" t="str">
        <x:v>TODO</x:v>
      </x:c>
      <x:c r="K269" s="15" t="str">
        <x:v>P1</x:v>
      </x:c>
      <x:c r="L269" s="15" t="str">
        <x:v>Done only when evidence is logged, contradiction search is noted, and boundary stamp remains non-canon unless ratified</x:v>
      </x:c>
      <x:c r="M269" s="15" t="str">
        <x:v>candidate / staging-only / not canon / not deployed / authority none</x:v>
      </x:c>
      <x:c r="N269" s="15" t="str">
        <x:v>Dispatch to Hashlight: complete Aetherforge UX x Gamma; return deltas only, receipts required.</x:v>
      </x:c>
      <x:c r="O269" s="15" t="str">
        <x:v>AF-KG-H11-S04</x:v>
      </x:c>
      <x:c r="P269" s="15" t="str">
        <x:v>Unverified</x:v>
      </x:c>
      <x:c r="Q269" s="15" t="str">
        <x:v>Not checked</x:v>
      </x:c>
      <x:c r="R269" s="15" t="str"/>
      <x:c r="S269" s="15" t="str"/>
      <x:c r="T269" s="15" t="str">
        <x:v>Log first source path or blocker</x:v>
      </x:c>
      <x:c r="U269" s="12" t="str">
        <x:f>IF(OR(P269="Unverified",Q269="Not checked"),"BLOCKED_PENDING_RECEIPT","READY_FOR_REVIEW")</x:f>
        <x:v>BLOCKED_PENDING_RECEIPT</x:v>
      </x:c>
      <x:c r="V269" s="12" t="str">
        <x:f>IF(J269="DONE","RETURNED",IF(U269="BLOCKED_PENDING_RECEIPT","SOURCE_TOUCH_REQUIRED","IN_PROGRESS"))</x:f>
        <x:v>SOURCE_TOUCH_REQUIRED</x:v>
      </x:c>
      <x:c r="W269" s="12" t="str">
        <x:f>IF(P269="Unverified","missing_receipt","receipt_logged")</x:f>
        <x:v>missing_receipt</x:v>
      </x:c>
      <x:c r="X269" s="12" t="str">
        <x:f>IF(Q269="Not checked","raw_status_missing","raw_status_logged")</x:f>
        <x:v>raw_status_missing</x:v>
      </x:c>
      <x:c r="Y269" s="12" t="str">
        <x:f>IF(U269="BLOCKED_PENDING_RECEIPT","Log source path or blocker; do not promote","Route to review lane")</x:f>
        <x:v>Log source path or blocker; do not promote</x:v>
      </x:c>
      <x:c r="Z269" s="12" t="str">
        <x:f>IF(K269="P0","Primary seat + Hashlight/Lucerna","Seat lane")</x:f>
        <x:v>Seat lane</x:v>
      </x:c>
      <x:c r="AA269" s="12" t="str">
        <x:f>IF(R269="","no_claim_delta","claim_delta_present")</x:f>
        <x:v>no_claim_delta</x:v>
      </x:c>
      <x:c r="AB269" s="12" t="str">
        <x:f>IF(S269="","no_contradiction_delta","contradiction_delta_present")</x:f>
        <x:v>no_contradiction_delta</x:v>
      </x:c>
      <x:c r="AC269" s="12" t="str">
        <x:f>IF(OR(ISNUMBER(SEARCH("hacker",LOWER(F269&amp;" "&amp;H269&amp;" "&amp;I269&amp;" "&amp;M269&amp;" "&amp;N269&amp;" "&amp;T269))),ISNUMBER(SEARCH("hacking",LOWER(F269&amp;" "&amp;H269&amp;" "&amp;I269&amp;" "&amp;M269&amp;" "&amp;N269&amp;" "&amp;T269))),ISNUMBER(SEARCH("bank",LOWER(F269&amp;" "&amp;H269&amp;" "&amp;I269&amp;" "&amp;M269&amp;" "&amp;N269&amp;" "&amp;T269))),ISNUMBER(SEARCH("banking",LOWER(F269&amp;" "&amp;H269&amp;" "&amp;I269&amp;" "&amp;M269&amp;" "&amp;N269&amp;" "&amp;T269)))),"PRIVATE_QUARANTINE",IF(OR(ISNUMBER(SEARCH("treasury",LOWER(F269&amp;" "&amp;H269&amp;" "&amp;I269&amp;" "&amp;M269&amp;" "&amp;N269&amp;" "&amp;T269))),ISNUMBER(SEARCH("debt",LOWER(F269&amp;" "&amp;H269&amp;" "&amp;I269&amp;" "&amp;M269&amp;" "&amp;N269&amp;" "&amp;T269))),ISNUMBER(SEARCH("bond",LOWER(F269&amp;" "&amp;H269&amp;" "&amp;I269&amp;" "&amp;M269&amp;" "&amp;N269&amp;" "&amp;T269))),ISNUMBER(SEARCH("transaction",LOWER(F269&amp;" "&amp;H269&amp;" "&amp;I269&amp;" "&amp;M269&amp;" "&amp;N269&amp;" "&amp;T269)))),"PRIVATE_REVIEW","PUBLIC_CANDIDATE"))</x:f>
        <x:v>PUBLIC_CANDIDATE</x:v>
      </x:c>
      <x:c r="AD269" s="12" t="str">
        <x:f>IF(AC269="PRIVATE_QUARANTINE","hacker_or_bank_trigger",IF(AC269="PRIVATE_REVIEW","finance_risk_trigger","none"))</x:f>
        <x:v>none</x:v>
      </x:c>
      <x:c r="AE269" s="12" t="str">
        <x:f>IF(AC269="PUBLIC_CANDIDATE","prepare_public_github_candidate",IF(AC269="PRIVATE_REVIEW","hold_for_private_review","quarantine_private_do_not_publish"))</x:f>
        <x:v>prepare_public_github_candidate</x:v>
      </x:c>
      <x:c r="AF269" s="12" t="str">
        <x:f>IF(AC269="PUBLIC_CANDIDATE","TIDELOCK + Lucerna",IF(AC269="PRIVATE_REVIEW","AtlasBrain + Lucerna","TIDELOCK + Lucerna + Human-root"))</x:f>
        <x:v>TIDELOCK + Lucerna</x:v>
      </x:c>
      <x:c r="AG269" s="12" t="str">
        <x:f>IF(AND(AC269="PUBLIC_CANDIDATE",U269&lt;&gt;"BLOCKED_PENDING_RECEIPT"),"READY_AFTER_RECEIPT","NOT_READY")</x:f>
        <x:v>NOT_READY</x:v>
      </x:c>
      <x:c r="AH269" s="12" t="str">
        <x:f>IF(AC269="PUBLIC_CANDIDATE","none",AD269)</x:f>
        <x:v>none</x:v>
      </x:c>
      <x:c r="AI269" s="12" t="str">
        <x:f>IF(AC269="PUBLIC_CANDIDATE","archive/public_candidates/"&amp;A269,"private_quarantine/"&amp;A269)</x:f>
        <x:v>archive/public_candidates/SWARM-02-H11-S04</x:v>
      </x:c>
      <x:c r="AJ269" s="12" t="str">
        <x:f>IF(AC269="PUBLIC_CANDIDATE","public by default; still not canon","private/hold; do not publish")</x:f>
        <x:v>public by default; still not canon</x:v>
      </x:c>
      <x:c r="AK269" s="12" t="str">
        <x:f>IF(AE269="prepare_public_github_candidate","add receipt/status then mirror","resolve blocker before any public GitHub action")</x:f>
        <x:v>add receipt/status then mirror</x:v>
      </x:c>
    </x:row>
    <x:row r="270">
      <x:c r="A270" s="15" t="str">
        <x:v>SWARM-02-H11-S05</x:v>
      </x:c>
      <x:c r="B270" s="15" t="str">
        <x:v>Hashlight</x:v>
      </x:c>
      <x:c r="C270" s="15" t="str">
        <x:v>Hash and identity keeper</x:v>
      </x:c>
      <x:c r="D270" s="15" t="str">
        <x:v>Aetherforge UX</x:v>
      </x:c>
      <x:c r="E270" s="15" t="str">
        <x:v>Chat</x:v>
      </x:c>
      <x:c r="F270" s="15" t="str">
        <x:v>Design quest card for Chat — Hashlight</x:v>
      </x:c>
      <x:c r="G270" s="15" t="str">
        <x:v>ids / hashes / timestamps / duplicate control</x:v>
      </x:c>
      <x:c r="H270" s="15" t="str">
        <x:v>source path + receipt + raw/export status + claim/edge/risk delta</x:v>
      </x:c>
      <x:c r="I270" s="15" t="str">
        <x:v>packet/SWARM-02-H11-S05</x:v>
      </x:c>
      <x:c r="J270" s="15" t="str">
        <x:v>TODO</x:v>
      </x:c>
      <x:c r="K270" s="15" t="str">
        <x:v>P1</x:v>
      </x:c>
      <x:c r="L270" s="15" t="str">
        <x:v>Done only when evidence is logged, contradiction search is noted, and boundary stamp remains non-canon unless ratified</x:v>
      </x:c>
      <x:c r="M270" s="15" t="str">
        <x:v>candidate / staging-only / not canon / not deployed / authority none</x:v>
      </x:c>
      <x:c r="N270" s="15" t="str">
        <x:v>Dispatch to Hashlight: complete Aetherforge UX x Chat; return deltas only, receipts required.</x:v>
      </x:c>
      <x:c r="O270" s="15" t="str">
        <x:v>AF-KG-H11-S05</x:v>
      </x:c>
      <x:c r="P270" s="15" t="str">
        <x:v>Unverified</x:v>
      </x:c>
      <x:c r="Q270" s="15" t="str">
        <x:v>Not checked</x:v>
      </x:c>
      <x:c r="R270" s="15" t="str"/>
      <x:c r="S270" s="15" t="str"/>
      <x:c r="T270" s="15" t="str">
        <x:v>Log first source path or blocker</x:v>
      </x:c>
      <x:c r="U270" s="12" t="str">
        <x:f>IF(OR(P270="Unverified",Q270="Not checked"),"BLOCKED_PENDING_RECEIPT","READY_FOR_REVIEW")</x:f>
        <x:v>BLOCKED_PENDING_RECEIPT</x:v>
      </x:c>
      <x:c r="V270" s="12" t="str">
        <x:f>IF(J270="DONE","RETURNED",IF(U270="BLOCKED_PENDING_RECEIPT","SOURCE_TOUCH_REQUIRED","IN_PROGRESS"))</x:f>
        <x:v>SOURCE_TOUCH_REQUIRED</x:v>
      </x:c>
      <x:c r="W270" s="12" t="str">
        <x:f>IF(P270="Unverified","missing_receipt","receipt_logged")</x:f>
        <x:v>missing_receipt</x:v>
      </x:c>
      <x:c r="X270" s="12" t="str">
        <x:f>IF(Q270="Not checked","raw_status_missing","raw_status_logged")</x:f>
        <x:v>raw_status_missing</x:v>
      </x:c>
      <x:c r="Y270" s="12" t="str">
        <x:f>IF(U270="BLOCKED_PENDING_RECEIPT","Log source path or blocker; do not promote","Route to review lane")</x:f>
        <x:v>Log source path or blocker; do not promote</x:v>
      </x:c>
      <x:c r="Z270" s="12" t="str">
        <x:f>IF(K270="P0","Primary seat + Hashlight/Lucerna","Seat lane")</x:f>
        <x:v>Seat lane</x:v>
      </x:c>
      <x:c r="AA270" s="12" t="str">
        <x:f>IF(R270="","no_claim_delta","claim_delta_present")</x:f>
        <x:v>no_claim_delta</x:v>
      </x:c>
      <x:c r="AB270" s="12" t="str">
        <x:f>IF(S270="","no_contradiction_delta","contradiction_delta_present")</x:f>
        <x:v>no_contradiction_delta</x:v>
      </x:c>
      <x:c r="AC270" s="12" t="str">
        <x:f>IF(OR(ISNUMBER(SEARCH("hacker",LOWER(F270&amp;" "&amp;H270&amp;" "&amp;I270&amp;" "&amp;M270&amp;" "&amp;N270&amp;" "&amp;T270))),ISNUMBER(SEARCH("hacking",LOWER(F270&amp;" "&amp;H270&amp;" "&amp;I270&amp;" "&amp;M270&amp;" "&amp;N270&amp;" "&amp;T270))),ISNUMBER(SEARCH("bank",LOWER(F270&amp;" "&amp;H270&amp;" "&amp;I270&amp;" "&amp;M270&amp;" "&amp;N270&amp;" "&amp;T270))),ISNUMBER(SEARCH("banking",LOWER(F270&amp;" "&amp;H270&amp;" "&amp;I270&amp;" "&amp;M270&amp;" "&amp;N270&amp;" "&amp;T270)))),"PRIVATE_QUARANTINE",IF(OR(ISNUMBER(SEARCH("treasury",LOWER(F270&amp;" "&amp;H270&amp;" "&amp;I270&amp;" "&amp;M270&amp;" "&amp;N270&amp;" "&amp;T270))),ISNUMBER(SEARCH("debt",LOWER(F270&amp;" "&amp;H270&amp;" "&amp;I270&amp;" "&amp;M270&amp;" "&amp;N270&amp;" "&amp;T270))),ISNUMBER(SEARCH("bond",LOWER(F270&amp;" "&amp;H270&amp;" "&amp;I270&amp;" "&amp;M270&amp;" "&amp;N270&amp;" "&amp;T270))),ISNUMBER(SEARCH("transaction",LOWER(F270&amp;" "&amp;H270&amp;" "&amp;I270&amp;" "&amp;M270&amp;" "&amp;N270&amp;" "&amp;T270)))),"PRIVATE_REVIEW","PUBLIC_CANDIDATE"))</x:f>
        <x:v>PUBLIC_CANDIDATE</x:v>
      </x:c>
      <x:c r="AD270" s="12" t="str">
        <x:f>IF(AC270="PRIVATE_QUARANTINE","hacker_or_bank_trigger",IF(AC270="PRIVATE_REVIEW","finance_risk_trigger","none"))</x:f>
        <x:v>none</x:v>
      </x:c>
      <x:c r="AE270" s="12" t="str">
        <x:f>IF(AC270="PUBLIC_CANDIDATE","prepare_public_github_candidate",IF(AC270="PRIVATE_REVIEW","hold_for_private_review","quarantine_private_do_not_publish"))</x:f>
        <x:v>prepare_public_github_candidate</x:v>
      </x:c>
      <x:c r="AF270" s="12" t="str">
        <x:f>IF(AC270="PUBLIC_CANDIDATE","TIDELOCK + Lucerna",IF(AC270="PRIVATE_REVIEW","AtlasBrain + Lucerna","TIDELOCK + Lucerna + Human-root"))</x:f>
        <x:v>TIDELOCK + Lucerna</x:v>
      </x:c>
      <x:c r="AG270" s="12" t="str">
        <x:f>IF(AND(AC270="PUBLIC_CANDIDATE",U270&lt;&gt;"BLOCKED_PENDING_RECEIPT"),"READY_AFTER_RECEIPT","NOT_READY")</x:f>
        <x:v>NOT_READY</x:v>
      </x:c>
      <x:c r="AH270" s="12" t="str">
        <x:f>IF(AC270="PUBLIC_CANDIDATE","none",AD270)</x:f>
        <x:v>none</x:v>
      </x:c>
      <x:c r="AI270" s="12" t="str">
        <x:f>IF(AC270="PUBLIC_CANDIDATE","archive/public_candidates/"&amp;A270,"private_quarantine/"&amp;A270)</x:f>
        <x:v>archive/public_candidates/SWARM-02-H11-S05</x:v>
      </x:c>
      <x:c r="AJ270" s="12" t="str">
        <x:f>IF(AC270="PUBLIC_CANDIDATE","public by default; still not canon","private/hold; do not publish")</x:f>
        <x:v>public by default; still not canon</x:v>
      </x:c>
      <x:c r="AK270" s="12" t="str">
        <x:f>IF(AE270="prepare_public_github_candidate","add receipt/status then mirror","resolve blocker before any public GitHub action")</x:f>
        <x:v>add receipt/status then mirror</x:v>
      </x:c>
    </x:row>
    <x:row r="271">
      <x:c r="A271" s="15" t="str">
        <x:v>SWARM-02-H11-S06</x:v>
      </x:c>
      <x:c r="B271" s="15" t="str">
        <x:v>Hashlight</x:v>
      </x:c>
      <x:c r="C271" s="15" t="str">
        <x:v>Hash and identity keeper</x:v>
      </x:c>
      <x:c r="D271" s="15" t="str">
        <x:v>Aetherforge UX</x:v>
      </x:c>
      <x:c r="E271" s="15" t="str">
        <x:v>External Web</x:v>
      </x:c>
      <x:c r="F271" s="15" t="str">
        <x:v>Design quest card for External Web — Hashlight</x:v>
      </x:c>
      <x:c r="G271" s="15" t="str">
        <x:v>ids / hashes / timestamps / duplicate control</x:v>
      </x:c>
      <x:c r="H271" s="15" t="str">
        <x:v>source path + receipt + raw/export status + claim/edge/risk delta</x:v>
      </x:c>
      <x:c r="I271" s="15" t="str">
        <x:v>packet/SWARM-02-H11-S06</x:v>
      </x:c>
      <x:c r="J271" s="15" t="str">
        <x:v>TODO</x:v>
      </x:c>
      <x:c r="K271" s="15" t="str">
        <x:v>P1</x:v>
      </x:c>
      <x:c r="L271" s="15" t="str">
        <x:v>Done only when evidence is logged, contradiction search is noted, and boundary stamp remains non-canon unless ratified</x:v>
      </x:c>
      <x:c r="M271" s="15" t="str">
        <x:v>candidate / staging-only / not canon / not deployed / authority none</x:v>
      </x:c>
      <x:c r="N271" s="15" t="str">
        <x:v>Dispatch to Hashlight: complete Aetherforge UX x External Web; return deltas only, receipts required.</x:v>
      </x:c>
      <x:c r="O271" s="15" t="str">
        <x:v>AF-KG-H11-S06</x:v>
      </x:c>
      <x:c r="P271" s="15" t="str">
        <x:v>Unverified</x:v>
      </x:c>
      <x:c r="Q271" s="15" t="str">
        <x:v>Not checked</x:v>
      </x:c>
      <x:c r="R271" s="15" t="str"/>
      <x:c r="S271" s="15" t="str"/>
      <x:c r="T271" s="15" t="str">
        <x:v>Log first source path or blocker</x:v>
      </x:c>
      <x:c r="U271" s="12" t="str">
        <x:f>IF(OR(P271="Unverified",Q271="Not checked"),"BLOCKED_PENDING_RECEIPT","READY_FOR_REVIEW")</x:f>
        <x:v>BLOCKED_PENDING_RECEIPT</x:v>
      </x:c>
      <x:c r="V271" s="12" t="str">
        <x:f>IF(J271="DONE","RETURNED",IF(U271="BLOCKED_PENDING_RECEIPT","SOURCE_TOUCH_REQUIRED","IN_PROGRESS"))</x:f>
        <x:v>SOURCE_TOUCH_REQUIRED</x:v>
      </x:c>
      <x:c r="W271" s="12" t="str">
        <x:f>IF(P271="Unverified","missing_receipt","receipt_logged")</x:f>
        <x:v>missing_receipt</x:v>
      </x:c>
      <x:c r="X271" s="12" t="str">
        <x:f>IF(Q271="Not checked","raw_status_missing","raw_status_logged")</x:f>
        <x:v>raw_status_missing</x:v>
      </x:c>
      <x:c r="Y271" s="12" t="str">
        <x:f>IF(U271="BLOCKED_PENDING_RECEIPT","Log source path or blocker; do not promote","Route to review lane")</x:f>
        <x:v>Log source path or blocker; do not promote</x:v>
      </x:c>
      <x:c r="Z271" s="12" t="str">
        <x:f>IF(K271="P0","Primary seat + Hashlight/Lucerna","Seat lane")</x:f>
        <x:v>Seat lane</x:v>
      </x:c>
      <x:c r="AA271" s="12" t="str">
        <x:f>IF(R271="","no_claim_delta","claim_delta_present")</x:f>
        <x:v>no_claim_delta</x:v>
      </x:c>
      <x:c r="AB271" s="12" t="str">
        <x:f>IF(S271="","no_contradiction_delta","contradiction_delta_present")</x:f>
        <x:v>no_contradiction_delta</x:v>
      </x:c>
      <x:c r="AC271" s="12" t="str">
        <x:f>IF(OR(ISNUMBER(SEARCH("hacker",LOWER(F271&amp;" "&amp;H271&amp;" "&amp;I271&amp;" "&amp;M271&amp;" "&amp;N271&amp;" "&amp;T271))),ISNUMBER(SEARCH("hacking",LOWER(F271&amp;" "&amp;H271&amp;" "&amp;I271&amp;" "&amp;M271&amp;" "&amp;N271&amp;" "&amp;T271))),ISNUMBER(SEARCH("bank",LOWER(F271&amp;" "&amp;H271&amp;" "&amp;I271&amp;" "&amp;M271&amp;" "&amp;N271&amp;" "&amp;T271))),ISNUMBER(SEARCH("banking",LOWER(F271&amp;" "&amp;H271&amp;" "&amp;I271&amp;" "&amp;M271&amp;" "&amp;N271&amp;" "&amp;T271)))),"PRIVATE_QUARANTINE",IF(OR(ISNUMBER(SEARCH("treasury",LOWER(F271&amp;" "&amp;H271&amp;" "&amp;I271&amp;" "&amp;M271&amp;" "&amp;N271&amp;" "&amp;T271))),ISNUMBER(SEARCH("debt",LOWER(F271&amp;" "&amp;H271&amp;" "&amp;I271&amp;" "&amp;M271&amp;" "&amp;N271&amp;" "&amp;T271))),ISNUMBER(SEARCH("bond",LOWER(F271&amp;" "&amp;H271&amp;" "&amp;I271&amp;" "&amp;M271&amp;" "&amp;N271&amp;" "&amp;T271))),ISNUMBER(SEARCH("transaction",LOWER(F271&amp;" "&amp;H271&amp;" "&amp;I271&amp;" "&amp;M271&amp;" "&amp;N271&amp;" "&amp;T271)))),"PRIVATE_REVIEW","PUBLIC_CANDIDATE"))</x:f>
        <x:v>PUBLIC_CANDIDATE</x:v>
      </x:c>
      <x:c r="AD271" s="12" t="str">
        <x:f>IF(AC271="PRIVATE_QUARANTINE","hacker_or_bank_trigger",IF(AC271="PRIVATE_REVIEW","finance_risk_trigger","none"))</x:f>
        <x:v>none</x:v>
      </x:c>
      <x:c r="AE271" s="12" t="str">
        <x:f>IF(AC271="PUBLIC_CANDIDATE","prepare_public_github_candidate",IF(AC271="PRIVATE_REVIEW","hold_for_private_review","quarantine_private_do_not_publish"))</x:f>
        <x:v>prepare_public_github_candidate</x:v>
      </x:c>
      <x:c r="AF271" s="12" t="str">
        <x:f>IF(AC271="PUBLIC_CANDIDATE","TIDELOCK + Lucerna",IF(AC271="PRIVATE_REVIEW","AtlasBrain + Lucerna","TIDELOCK + Lucerna + Human-root"))</x:f>
        <x:v>TIDELOCK + Lucerna</x:v>
      </x:c>
      <x:c r="AG271" s="12" t="str">
        <x:f>IF(AND(AC271="PUBLIC_CANDIDATE",U271&lt;&gt;"BLOCKED_PENDING_RECEIPT"),"READY_AFTER_RECEIPT","NOT_READY")</x:f>
        <x:v>NOT_READY</x:v>
      </x:c>
      <x:c r="AH271" s="12" t="str">
        <x:f>IF(AC271="PUBLIC_CANDIDATE","none",AD271)</x:f>
        <x:v>none</x:v>
      </x:c>
      <x:c r="AI271" s="12" t="str">
        <x:f>IF(AC271="PUBLIC_CANDIDATE","archive/public_candidates/"&amp;A271,"private_quarantine/"&amp;A271)</x:f>
        <x:v>archive/public_candidates/SWARM-02-H11-S06</x:v>
      </x:c>
      <x:c r="AJ271" s="12" t="str">
        <x:f>IF(AC271="PUBLIC_CANDIDATE","public by default; still not canon","private/hold; do not publish")</x:f>
        <x:v>public by default; still not canon</x:v>
      </x:c>
      <x:c r="AK271" s="12" t="str">
        <x:f>IF(AE271="prepare_public_github_candidate","add receipt/status then mirror","resolve blocker before any public GitHub action")</x:f>
        <x:v>add receipt/status then mirror</x:v>
      </x:c>
    </x:row>
    <x:row r="272">
      <x:c r="A272" s="15" t="str">
        <x:v>SWARM-02-H11-S07</x:v>
      </x:c>
      <x:c r="B272" s="15" t="str">
        <x:v>Hashlight</x:v>
      </x:c>
      <x:c r="C272" s="15" t="str">
        <x:v>Hash and identity keeper</x:v>
      </x:c>
      <x:c r="D272" s="15" t="str">
        <x:v>Aetherforge UX</x:v>
      </x:c>
      <x:c r="E272" s="15" t="str">
        <x:v>Planetarium</x:v>
      </x:c>
      <x:c r="F272" s="15" t="str">
        <x:v>Design quest card for Planetarium — Hashlight</x:v>
      </x:c>
      <x:c r="G272" s="15" t="str">
        <x:v>ids / hashes / timestamps / duplicate control</x:v>
      </x:c>
      <x:c r="H272" s="15" t="str">
        <x:v>source path + receipt + raw/export status + claim/edge/risk delta</x:v>
      </x:c>
      <x:c r="I272" s="15" t="str">
        <x:v>packet/SWARM-02-H11-S07</x:v>
      </x:c>
      <x:c r="J272" s="15" t="str">
        <x:v>TODO</x:v>
      </x:c>
      <x:c r="K272" s="15" t="str">
        <x:v>P1</x:v>
      </x:c>
      <x:c r="L272" s="15" t="str">
        <x:v>Done only when evidence is logged, contradiction search is noted, and boundary stamp remains non-canon unless ratified</x:v>
      </x:c>
      <x:c r="M272" s="15" t="str">
        <x:v>candidate / staging-only / not canon / not deployed / authority none</x:v>
      </x:c>
      <x:c r="N272" s="15" t="str">
        <x:v>Dispatch to Hashlight: complete Aetherforge UX x Planetarium; return deltas only, receipts required.</x:v>
      </x:c>
      <x:c r="O272" s="15" t="str">
        <x:v>AF-KG-H11-S07</x:v>
      </x:c>
      <x:c r="P272" s="15" t="str">
        <x:v>Unverified</x:v>
      </x:c>
      <x:c r="Q272" s="15" t="str">
        <x:v>Not checked</x:v>
      </x:c>
      <x:c r="R272" s="15" t="str"/>
      <x:c r="S272" s="15" t="str"/>
      <x:c r="T272" s="15" t="str">
        <x:v>Log first source path or blocker</x:v>
      </x:c>
      <x:c r="U272" s="12" t="str">
        <x:f>IF(OR(P272="Unverified",Q272="Not checked"),"BLOCKED_PENDING_RECEIPT","READY_FOR_REVIEW")</x:f>
        <x:v>BLOCKED_PENDING_RECEIPT</x:v>
      </x:c>
      <x:c r="V272" s="12" t="str">
        <x:f>IF(J272="DONE","RETURNED",IF(U272="BLOCKED_PENDING_RECEIPT","SOURCE_TOUCH_REQUIRED","IN_PROGRESS"))</x:f>
        <x:v>SOURCE_TOUCH_REQUIRED</x:v>
      </x:c>
      <x:c r="W272" s="12" t="str">
        <x:f>IF(P272="Unverified","missing_receipt","receipt_logged")</x:f>
        <x:v>missing_receipt</x:v>
      </x:c>
      <x:c r="X272" s="12" t="str">
        <x:f>IF(Q272="Not checked","raw_status_missing","raw_status_logged")</x:f>
        <x:v>raw_status_missing</x:v>
      </x:c>
      <x:c r="Y272" s="12" t="str">
        <x:f>IF(U272="BLOCKED_PENDING_RECEIPT","Log source path or blocker; do not promote","Route to review lane")</x:f>
        <x:v>Log source path or blocker; do not promote</x:v>
      </x:c>
      <x:c r="Z272" s="12" t="str">
        <x:f>IF(K272="P0","Primary seat + Hashlight/Lucerna","Seat lane")</x:f>
        <x:v>Seat lane</x:v>
      </x:c>
      <x:c r="AA272" s="12" t="str">
        <x:f>IF(R272="","no_claim_delta","claim_delta_present")</x:f>
        <x:v>no_claim_delta</x:v>
      </x:c>
      <x:c r="AB272" s="12" t="str">
        <x:f>IF(S272="","no_contradiction_delta","contradiction_delta_present")</x:f>
        <x:v>no_contradiction_delta</x:v>
      </x:c>
      <x:c r="AC272" s="12" t="str">
        <x:f>IF(OR(ISNUMBER(SEARCH("hacker",LOWER(F272&amp;" "&amp;H272&amp;" "&amp;I272&amp;" "&amp;M272&amp;" "&amp;N272&amp;" "&amp;T272))),ISNUMBER(SEARCH("hacking",LOWER(F272&amp;" "&amp;H272&amp;" "&amp;I272&amp;" "&amp;M272&amp;" "&amp;N272&amp;" "&amp;T272))),ISNUMBER(SEARCH("bank",LOWER(F272&amp;" "&amp;H272&amp;" "&amp;I272&amp;" "&amp;M272&amp;" "&amp;N272&amp;" "&amp;T272))),ISNUMBER(SEARCH("banking",LOWER(F272&amp;" "&amp;H272&amp;" "&amp;I272&amp;" "&amp;M272&amp;" "&amp;N272&amp;" "&amp;T272)))),"PRIVATE_QUARANTINE",IF(OR(ISNUMBER(SEARCH("treasury",LOWER(F272&amp;" "&amp;H272&amp;" "&amp;I272&amp;" "&amp;M272&amp;" "&amp;N272&amp;" "&amp;T272))),ISNUMBER(SEARCH("debt",LOWER(F272&amp;" "&amp;H272&amp;" "&amp;I272&amp;" "&amp;M272&amp;" "&amp;N272&amp;" "&amp;T272))),ISNUMBER(SEARCH("bond",LOWER(F272&amp;" "&amp;H272&amp;" "&amp;I272&amp;" "&amp;M272&amp;" "&amp;N272&amp;" "&amp;T272))),ISNUMBER(SEARCH("transaction",LOWER(F272&amp;" "&amp;H272&amp;" "&amp;I272&amp;" "&amp;M272&amp;" "&amp;N272&amp;" "&amp;T272)))),"PRIVATE_REVIEW","PUBLIC_CANDIDATE"))</x:f>
        <x:v>PUBLIC_CANDIDATE</x:v>
      </x:c>
      <x:c r="AD272" s="12" t="str">
        <x:f>IF(AC272="PRIVATE_QUARANTINE","hacker_or_bank_trigger",IF(AC272="PRIVATE_REVIEW","finance_risk_trigger","none"))</x:f>
        <x:v>none</x:v>
      </x:c>
      <x:c r="AE272" s="12" t="str">
        <x:f>IF(AC272="PUBLIC_CANDIDATE","prepare_public_github_candidate",IF(AC272="PRIVATE_REVIEW","hold_for_private_review","quarantine_private_do_not_publish"))</x:f>
        <x:v>prepare_public_github_candidate</x:v>
      </x:c>
      <x:c r="AF272" s="12" t="str">
        <x:f>IF(AC272="PUBLIC_CANDIDATE","TIDELOCK + Lucerna",IF(AC272="PRIVATE_REVIEW","AtlasBrain + Lucerna","TIDELOCK + Lucerna + Human-root"))</x:f>
        <x:v>TIDELOCK + Lucerna</x:v>
      </x:c>
      <x:c r="AG272" s="12" t="str">
        <x:f>IF(AND(AC272="PUBLIC_CANDIDATE",U272&lt;&gt;"BLOCKED_PENDING_RECEIPT"),"READY_AFTER_RECEIPT","NOT_READY")</x:f>
        <x:v>NOT_READY</x:v>
      </x:c>
      <x:c r="AH272" s="12" t="str">
        <x:f>IF(AC272="PUBLIC_CANDIDATE","none",AD272)</x:f>
        <x:v>none</x:v>
      </x:c>
      <x:c r="AI272" s="12" t="str">
        <x:f>IF(AC272="PUBLIC_CANDIDATE","archive/public_candidates/"&amp;A272,"private_quarantine/"&amp;A272)</x:f>
        <x:v>archive/public_candidates/SWARM-02-H11-S07</x:v>
      </x:c>
      <x:c r="AJ272" s="12" t="str">
        <x:f>IF(AC272="PUBLIC_CANDIDATE","public by default; still not canon","private/hold; do not publish")</x:f>
        <x:v>public by default; still not canon</x:v>
      </x:c>
      <x:c r="AK272" s="12" t="str">
        <x:f>IF(AE272="prepare_public_github_candidate","add receipt/status then mirror","resolve blocker before any public GitHub action")</x:f>
        <x:v>add receipt/status then mirror</x:v>
      </x:c>
    </x:row>
    <x:row r="273">
      <x:c r="A273" s="15" t="str">
        <x:v>SWARM-02-H11-S08</x:v>
      </x:c>
      <x:c r="B273" s="15" t="str">
        <x:v>Hashlight</x:v>
      </x:c>
      <x:c r="C273" s="15" t="str">
        <x:v>Hash and identity keeper</x:v>
      </x:c>
      <x:c r="D273" s="15" t="str">
        <x:v>Aetherforge UX</x:v>
      </x:c>
      <x:c r="E273" s="15" t="str">
        <x:v>Sheldonbrain</x:v>
      </x:c>
      <x:c r="F273" s="15" t="str">
        <x:v>Design quest card for Sheldonbrain — Hashlight</x:v>
      </x:c>
      <x:c r="G273" s="15" t="str">
        <x:v>ids / hashes / timestamps / duplicate control</x:v>
      </x:c>
      <x:c r="H273" s="15" t="str">
        <x:v>source path + receipt + raw/export status + claim/edge/risk delta</x:v>
      </x:c>
      <x:c r="I273" s="15" t="str">
        <x:v>packet/SWARM-02-H11-S08</x:v>
      </x:c>
      <x:c r="J273" s="15" t="str">
        <x:v>TODO</x:v>
      </x:c>
      <x:c r="K273" s="15" t="str">
        <x:v>P1</x:v>
      </x:c>
      <x:c r="L273" s="15" t="str">
        <x:v>Done only when evidence is logged, contradiction search is noted, and boundary stamp remains non-canon unless ratified</x:v>
      </x:c>
      <x:c r="M273" s="15" t="str">
        <x:v>candidate / staging-only / not canon / not deployed / authority none</x:v>
      </x:c>
      <x:c r="N273" s="15" t="str">
        <x:v>Dispatch to Hashlight: complete Aetherforge UX x Sheldonbrain; return deltas only, receipts required.</x:v>
      </x:c>
      <x:c r="O273" s="15" t="str">
        <x:v>AF-KG-H11-S08</x:v>
      </x:c>
      <x:c r="P273" s="15" t="str">
        <x:v>Unverified</x:v>
      </x:c>
      <x:c r="Q273" s="15" t="str">
        <x:v>Not checked</x:v>
      </x:c>
      <x:c r="R273" s="15" t="str"/>
      <x:c r="S273" s="15" t="str"/>
      <x:c r="T273" s="15" t="str">
        <x:v>Log first source path or blocker</x:v>
      </x:c>
      <x:c r="U273" s="12" t="str">
        <x:f>IF(OR(P273="Unverified",Q273="Not checked"),"BLOCKED_PENDING_RECEIPT","READY_FOR_REVIEW")</x:f>
        <x:v>BLOCKED_PENDING_RECEIPT</x:v>
      </x:c>
      <x:c r="V273" s="12" t="str">
        <x:f>IF(J273="DONE","RETURNED",IF(U273="BLOCKED_PENDING_RECEIPT","SOURCE_TOUCH_REQUIRED","IN_PROGRESS"))</x:f>
        <x:v>SOURCE_TOUCH_REQUIRED</x:v>
      </x:c>
      <x:c r="W273" s="12" t="str">
        <x:f>IF(P273="Unverified","missing_receipt","receipt_logged")</x:f>
        <x:v>missing_receipt</x:v>
      </x:c>
      <x:c r="X273" s="12" t="str">
        <x:f>IF(Q273="Not checked","raw_status_missing","raw_status_logged")</x:f>
        <x:v>raw_status_missing</x:v>
      </x:c>
      <x:c r="Y273" s="12" t="str">
        <x:f>IF(U273="BLOCKED_PENDING_RECEIPT","Log source path or blocker; do not promote","Route to review lane")</x:f>
        <x:v>Log source path or blocker; do not promote</x:v>
      </x:c>
      <x:c r="Z273" s="12" t="str">
        <x:f>IF(K273="P0","Primary seat + Hashlight/Lucerna","Seat lane")</x:f>
        <x:v>Seat lane</x:v>
      </x:c>
      <x:c r="AA273" s="12" t="str">
        <x:f>IF(R273="","no_claim_delta","claim_delta_present")</x:f>
        <x:v>no_claim_delta</x:v>
      </x:c>
      <x:c r="AB273" s="12" t="str">
        <x:f>IF(S273="","no_contradiction_delta","contradiction_delta_present")</x:f>
        <x:v>no_contradiction_delta</x:v>
      </x:c>
      <x:c r="AC273" s="12" t="str">
        <x:f>IF(OR(ISNUMBER(SEARCH("hacker",LOWER(F273&amp;" "&amp;H273&amp;" "&amp;I273&amp;" "&amp;M273&amp;" "&amp;N273&amp;" "&amp;T273))),ISNUMBER(SEARCH("hacking",LOWER(F273&amp;" "&amp;H273&amp;" "&amp;I273&amp;" "&amp;M273&amp;" "&amp;N273&amp;" "&amp;T273))),ISNUMBER(SEARCH("bank",LOWER(F273&amp;" "&amp;H273&amp;" "&amp;I273&amp;" "&amp;M273&amp;" "&amp;N273&amp;" "&amp;T273))),ISNUMBER(SEARCH("banking",LOWER(F273&amp;" "&amp;H273&amp;" "&amp;I273&amp;" "&amp;M273&amp;" "&amp;N273&amp;" "&amp;T273)))),"PRIVATE_QUARANTINE",IF(OR(ISNUMBER(SEARCH("treasury",LOWER(F273&amp;" "&amp;H273&amp;" "&amp;I273&amp;" "&amp;M273&amp;" "&amp;N273&amp;" "&amp;T273))),ISNUMBER(SEARCH("debt",LOWER(F273&amp;" "&amp;H273&amp;" "&amp;I273&amp;" "&amp;M273&amp;" "&amp;N273&amp;" "&amp;T273))),ISNUMBER(SEARCH("bond",LOWER(F273&amp;" "&amp;H273&amp;" "&amp;I273&amp;" "&amp;M273&amp;" "&amp;N273&amp;" "&amp;T273))),ISNUMBER(SEARCH("transaction",LOWER(F273&amp;" "&amp;H273&amp;" "&amp;I273&amp;" "&amp;M273&amp;" "&amp;N273&amp;" "&amp;T273)))),"PRIVATE_REVIEW","PUBLIC_CANDIDATE"))</x:f>
        <x:v>PUBLIC_CANDIDATE</x:v>
      </x:c>
      <x:c r="AD273" s="12" t="str">
        <x:f>IF(AC273="PRIVATE_QUARANTINE","hacker_or_bank_trigger",IF(AC273="PRIVATE_REVIEW","finance_risk_trigger","none"))</x:f>
        <x:v>none</x:v>
      </x:c>
      <x:c r="AE273" s="12" t="str">
        <x:f>IF(AC273="PUBLIC_CANDIDATE","prepare_public_github_candidate",IF(AC273="PRIVATE_REVIEW","hold_for_private_review","quarantine_private_do_not_publish"))</x:f>
        <x:v>prepare_public_github_candidate</x:v>
      </x:c>
      <x:c r="AF273" s="12" t="str">
        <x:f>IF(AC273="PUBLIC_CANDIDATE","TIDELOCK + Lucerna",IF(AC273="PRIVATE_REVIEW","AtlasBrain + Lucerna","TIDELOCK + Lucerna + Human-root"))</x:f>
        <x:v>TIDELOCK + Lucerna</x:v>
      </x:c>
      <x:c r="AG273" s="12" t="str">
        <x:f>IF(AND(AC273="PUBLIC_CANDIDATE",U273&lt;&gt;"BLOCKED_PENDING_RECEIPT"),"READY_AFTER_RECEIPT","NOT_READY")</x:f>
        <x:v>NOT_READY</x:v>
      </x:c>
      <x:c r="AH273" s="12" t="str">
        <x:f>IF(AC273="PUBLIC_CANDIDATE","none",AD273)</x:f>
        <x:v>none</x:v>
      </x:c>
      <x:c r="AI273" s="12" t="str">
        <x:f>IF(AC273="PUBLIC_CANDIDATE","archive/public_candidates/"&amp;A273,"private_quarantine/"&amp;A273)</x:f>
        <x:v>archive/public_candidates/SWARM-02-H11-S08</x:v>
      </x:c>
      <x:c r="AJ273" s="12" t="str">
        <x:f>IF(AC273="PUBLIC_CANDIDATE","public by default; still not canon","private/hold; do not publish")</x:f>
        <x:v>public by default; still not canon</x:v>
      </x:c>
      <x:c r="AK273" s="12" t="str">
        <x:f>IF(AE273="prepare_public_github_candidate","add receipt/status then mirror","resolve blocker before any public GitHub action")</x:f>
        <x:v>add receipt/status then mirror</x:v>
      </x:c>
    </x:row>
    <x:row r="274">
      <x:c r="A274" s="15" t="str">
        <x:v>SWARM-02-H11-S09</x:v>
      </x:c>
      <x:c r="B274" s="15" t="str">
        <x:v>Hashlight</x:v>
      </x:c>
      <x:c r="C274" s="15" t="str">
        <x:v>Hash and identity keeper</x:v>
      </x:c>
      <x:c r="D274" s="15" t="str">
        <x:v>Aetherforge UX</x:v>
      </x:c>
      <x:c r="E274" s="15" t="str">
        <x:v>Aetherforge</x:v>
      </x:c>
      <x:c r="F274" s="15" t="str">
        <x:v>Design quest card for Aetherforge — Hashlight</x:v>
      </x:c>
      <x:c r="G274" s="15" t="str">
        <x:v>ids / hashes / timestamps / duplicate control</x:v>
      </x:c>
      <x:c r="H274" s="15" t="str">
        <x:v>source path + receipt + raw/export status + claim/edge/risk delta</x:v>
      </x:c>
      <x:c r="I274" s="15" t="str">
        <x:v>packet/SWARM-02-H11-S09</x:v>
      </x:c>
      <x:c r="J274" s="15" t="str">
        <x:v>TODO</x:v>
      </x:c>
      <x:c r="K274" s="15" t="str">
        <x:v>P2</x:v>
      </x:c>
      <x:c r="L274" s="15" t="str">
        <x:v>Done only when evidence is logged, contradiction search is noted, and boundary stamp remains non-canon unless ratified</x:v>
      </x:c>
      <x:c r="M274" s="15" t="str">
        <x:v>candidate / staging-only / not canon / not deployed / authority none</x:v>
      </x:c>
      <x:c r="N274" s="15" t="str">
        <x:v>Dispatch to Hashlight: complete Aetherforge UX x Aetherforge; return deltas only, receipts required.</x:v>
      </x:c>
      <x:c r="O274" s="15" t="str">
        <x:v>AF-KG-H11-S09</x:v>
      </x:c>
      <x:c r="P274" s="15" t="str">
        <x:v>Unverified</x:v>
      </x:c>
      <x:c r="Q274" s="15" t="str">
        <x:v>Not checked</x:v>
      </x:c>
      <x:c r="R274" s="15" t="str"/>
      <x:c r="S274" s="15" t="str"/>
      <x:c r="T274" s="15" t="str">
        <x:v>Log first source path or blocker</x:v>
      </x:c>
      <x:c r="U274" s="12" t="str">
        <x:f>IF(OR(P274="Unverified",Q274="Not checked"),"BLOCKED_PENDING_RECEIPT","READY_FOR_REVIEW")</x:f>
        <x:v>BLOCKED_PENDING_RECEIPT</x:v>
      </x:c>
      <x:c r="V274" s="12" t="str">
        <x:f>IF(J274="DONE","RETURNED",IF(U274="BLOCKED_PENDING_RECEIPT","SOURCE_TOUCH_REQUIRED","IN_PROGRESS"))</x:f>
        <x:v>SOURCE_TOUCH_REQUIRED</x:v>
      </x:c>
      <x:c r="W274" s="12" t="str">
        <x:f>IF(P274="Unverified","missing_receipt","receipt_logged")</x:f>
        <x:v>missing_receipt</x:v>
      </x:c>
      <x:c r="X274" s="12" t="str">
        <x:f>IF(Q274="Not checked","raw_status_missing","raw_status_logged")</x:f>
        <x:v>raw_status_missing</x:v>
      </x:c>
      <x:c r="Y274" s="12" t="str">
        <x:f>IF(U274="BLOCKED_PENDING_RECEIPT","Log source path or blocker; do not promote","Route to review lane")</x:f>
        <x:v>Log source path or blocker; do not promote</x:v>
      </x:c>
      <x:c r="Z274" s="12" t="str">
        <x:f>IF(K274="P0","Primary seat + Hashlight/Lucerna","Seat lane")</x:f>
        <x:v>Seat lane</x:v>
      </x:c>
      <x:c r="AA274" s="12" t="str">
        <x:f>IF(R274="","no_claim_delta","claim_delta_present")</x:f>
        <x:v>no_claim_delta</x:v>
      </x:c>
      <x:c r="AB274" s="12" t="str">
        <x:f>IF(S274="","no_contradiction_delta","contradiction_delta_present")</x:f>
        <x:v>no_contradiction_delta</x:v>
      </x:c>
      <x:c r="AC274" s="12" t="str">
        <x:f>IF(OR(ISNUMBER(SEARCH("hacker",LOWER(F274&amp;" "&amp;H274&amp;" "&amp;I274&amp;" "&amp;M274&amp;" "&amp;N274&amp;" "&amp;T274))),ISNUMBER(SEARCH("hacking",LOWER(F274&amp;" "&amp;H274&amp;" "&amp;I274&amp;" "&amp;M274&amp;" "&amp;N274&amp;" "&amp;T274))),ISNUMBER(SEARCH("bank",LOWER(F274&amp;" "&amp;H274&amp;" "&amp;I274&amp;" "&amp;M274&amp;" "&amp;N274&amp;" "&amp;T274))),ISNUMBER(SEARCH("banking",LOWER(F274&amp;" "&amp;H274&amp;" "&amp;I274&amp;" "&amp;M274&amp;" "&amp;N274&amp;" "&amp;T274)))),"PRIVATE_QUARANTINE",IF(OR(ISNUMBER(SEARCH("treasury",LOWER(F274&amp;" "&amp;H274&amp;" "&amp;I274&amp;" "&amp;M274&amp;" "&amp;N274&amp;" "&amp;T274))),ISNUMBER(SEARCH("debt",LOWER(F274&amp;" "&amp;H274&amp;" "&amp;I274&amp;" "&amp;M274&amp;" "&amp;N274&amp;" "&amp;T274))),ISNUMBER(SEARCH("bond",LOWER(F274&amp;" "&amp;H274&amp;" "&amp;I274&amp;" "&amp;M274&amp;" "&amp;N274&amp;" "&amp;T274))),ISNUMBER(SEARCH("transaction",LOWER(F274&amp;" "&amp;H274&amp;" "&amp;I274&amp;" "&amp;M274&amp;" "&amp;N274&amp;" "&amp;T274)))),"PRIVATE_REVIEW","PUBLIC_CANDIDATE"))</x:f>
        <x:v>PUBLIC_CANDIDATE</x:v>
      </x:c>
      <x:c r="AD274" s="12" t="str">
        <x:f>IF(AC274="PRIVATE_QUARANTINE","hacker_or_bank_trigger",IF(AC274="PRIVATE_REVIEW","finance_risk_trigger","none"))</x:f>
        <x:v>none</x:v>
      </x:c>
      <x:c r="AE274" s="12" t="str">
        <x:f>IF(AC274="PUBLIC_CANDIDATE","prepare_public_github_candidate",IF(AC274="PRIVATE_REVIEW","hold_for_private_review","quarantine_private_do_not_publish"))</x:f>
        <x:v>prepare_public_github_candidate</x:v>
      </x:c>
      <x:c r="AF274" s="12" t="str">
        <x:f>IF(AC274="PUBLIC_CANDIDATE","TIDELOCK + Lucerna",IF(AC274="PRIVATE_REVIEW","AtlasBrain + Lucerna","TIDELOCK + Lucerna + Human-root"))</x:f>
        <x:v>TIDELOCK + Lucerna</x:v>
      </x:c>
      <x:c r="AG274" s="12" t="str">
        <x:f>IF(AND(AC274="PUBLIC_CANDIDATE",U274&lt;&gt;"BLOCKED_PENDING_RECEIPT"),"READY_AFTER_RECEIPT","NOT_READY")</x:f>
        <x:v>NOT_READY</x:v>
      </x:c>
      <x:c r="AH274" s="12" t="str">
        <x:f>IF(AC274="PUBLIC_CANDIDATE","none",AD274)</x:f>
        <x:v>none</x:v>
      </x:c>
      <x:c r="AI274" s="12" t="str">
        <x:f>IF(AC274="PUBLIC_CANDIDATE","archive/public_candidates/"&amp;A274,"private_quarantine/"&amp;A274)</x:f>
        <x:v>archive/public_candidates/SWARM-02-H11-S09</x:v>
      </x:c>
      <x:c r="AJ274" s="12" t="str">
        <x:f>IF(AC274="PUBLIC_CANDIDATE","public by default; still not canon","private/hold; do not publish")</x:f>
        <x:v>public by default; still not canon</x:v>
      </x:c>
      <x:c r="AK274" s="12" t="str">
        <x:f>IF(AE274="prepare_public_github_candidate","add receipt/status then mirror","resolve blocker before any public GitHub action")</x:f>
        <x:v>add receipt/status then mirror</x:v>
      </x:c>
    </x:row>
    <x:row r="275">
      <x:c r="A275" s="15" t="str">
        <x:v>SWARM-02-H11-S10</x:v>
      </x:c>
      <x:c r="B275" s="15" t="str">
        <x:v>Hashlight</x:v>
      </x:c>
      <x:c r="C275" s="15" t="str">
        <x:v>Hash and identity keeper</x:v>
      </x:c>
      <x:c r="D275" s="15" t="str">
        <x:v>Aetherforge UX</x:v>
      </x:c>
      <x:c r="E275" s="15" t="str">
        <x:v>Human-Root</x:v>
      </x:c>
      <x:c r="F275" s="15" t="str">
        <x:v>Design quest card for Human-Root — Hashlight</x:v>
      </x:c>
      <x:c r="G275" s="15" t="str">
        <x:v>ids / hashes / timestamps / duplicate control</x:v>
      </x:c>
      <x:c r="H275" s="15" t="str">
        <x:v>source path + receipt + raw/export status + claim/edge/risk delta</x:v>
      </x:c>
      <x:c r="I275" s="15" t="str">
        <x:v>packet/SWARM-02-H11-S10</x:v>
      </x:c>
      <x:c r="J275" s="15" t="str">
        <x:v>TODO</x:v>
      </x:c>
      <x:c r="K275" s="15" t="str">
        <x:v>P2</x:v>
      </x:c>
      <x:c r="L275" s="15" t="str">
        <x:v>Done only when evidence is logged, contradiction search is noted, and boundary stamp remains non-canon unless ratified</x:v>
      </x:c>
      <x:c r="M275" s="15" t="str">
        <x:v>candidate / staging-only / not canon / not deployed / authority none</x:v>
      </x:c>
      <x:c r="N275" s="15" t="str">
        <x:v>Dispatch to Hashlight: complete Aetherforge UX x Human-Root; return deltas only, receipts required.</x:v>
      </x:c>
      <x:c r="O275" s="15" t="str">
        <x:v>AF-KG-H11-S10</x:v>
      </x:c>
      <x:c r="P275" s="15" t="str">
        <x:v>Unverified</x:v>
      </x:c>
      <x:c r="Q275" s="15" t="str">
        <x:v>Not checked</x:v>
      </x:c>
      <x:c r="R275" s="15" t="str"/>
      <x:c r="S275" s="15" t="str"/>
      <x:c r="T275" s="15" t="str">
        <x:v>Log first source path or blocker</x:v>
      </x:c>
      <x:c r="U275" s="12" t="str">
        <x:f>IF(OR(P275="Unverified",Q275="Not checked"),"BLOCKED_PENDING_RECEIPT","READY_FOR_REVIEW")</x:f>
        <x:v>BLOCKED_PENDING_RECEIPT</x:v>
      </x:c>
      <x:c r="V275" s="12" t="str">
        <x:f>IF(J275="DONE","RETURNED",IF(U275="BLOCKED_PENDING_RECEIPT","SOURCE_TOUCH_REQUIRED","IN_PROGRESS"))</x:f>
        <x:v>SOURCE_TOUCH_REQUIRED</x:v>
      </x:c>
      <x:c r="W275" s="12" t="str">
        <x:f>IF(P275="Unverified","missing_receipt","receipt_logged")</x:f>
        <x:v>missing_receipt</x:v>
      </x:c>
      <x:c r="X275" s="12" t="str">
        <x:f>IF(Q275="Not checked","raw_status_missing","raw_status_logged")</x:f>
        <x:v>raw_status_missing</x:v>
      </x:c>
      <x:c r="Y275" s="12" t="str">
        <x:f>IF(U275="BLOCKED_PENDING_RECEIPT","Log source path or blocker; do not promote","Route to review lane")</x:f>
        <x:v>Log source path or blocker; do not promote</x:v>
      </x:c>
      <x:c r="Z275" s="12" t="str">
        <x:f>IF(K275="P0","Primary seat + Hashlight/Lucerna","Seat lane")</x:f>
        <x:v>Seat lane</x:v>
      </x:c>
      <x:c r="AA275" s="12" t="str">
        <x:f>IF(R275="","no_claim_delta","claim_delta_present")</x:f>
        <x:v>no_claim_delta</x:v>
      </x:c>
      <x:c r="AB275" s="12" t="str">
        <x:f>IF(S275="","no_contradiction_delta","contradiction_delta_present")</x:f>
        <x:v>no_contradiction_delta</x:v>
      </x:c>
      <x:c r="AC275" s="12" t="str">
        <x:f>IF(OR(ISNUMBER(SEARCH("hacker",LOWER(F275&amp;" "&amp;H275&amp;" "&amp;I275&amp;" "&amp;M275&amp;" "&amp;N275&amp;" "&amp;T275))),ISNUMBER(SEARCH("hacking",LOWER(F275&amp;" "&amp;H275&amp;" "&amp;I275&amp;" "&amp;M275&amp;" "&amp;N275&amp;" "&amp;T275))),ISNUMBER(SEARCH("bank",LOWER(F275&amp;" "&amp;H275&amp;" "&amp;I275&amp;" "&amp;M275&amp;" "&amp;N275&amp;" "&amp;T275))),ISNUMBER(SEARCH("banking",LOWER(F275&amp;" "&amp;H275&amp;" "&amp;I275&amp;" "&amp;M275&amp;" "&amp;N275&amp;" "&amp;T275)))),"PRIVATE_QUARANTINE",IF(OR(ISNUMBER(SEARCH("treasury",LOWER(F275&amp;" "&amp;H275&amp;" "&amp;I275&amp;" "&amp;M275&amp;" "&amp;N275&amp;" "&amp;T275))),ISNUMBER(SEARCH("debt",LOWER(F275&amp;" "&amp;H275&amp;" "&amp;I275&amp;" "&amp;M275&amp;" "&amp;N275&amp;" "&amp;T275))),ISNUMBER(SEARCH("bond",LOWER(F275&amp;" "&amp;H275&amp;" "&amp;I275&amp;" "&amp;M275&amp;" "&amp;N275&amp;" "&amp;T275))),ISNUMBER(SEARCH("transaction",LOWER(F275&amp;" "&amp;H275&amp;" "&amp;I275&amp;" "&amp;M275&amp;" "&amp;N275&amp;" "&amp;T275)))),"PRIVATE_REVIEW","PUBLIC_CANDIDATE"))</x:f>
        <x:v>PUBLIC_CANDIDATE</x:v>
      </x:c>
      <x:c r="AD275" s="12" t="str">
        <x:f>IF(AC275="PRIVATE_QUARANTINE","hacker_or_bank_trigger",IF(AC275="PRIVATE_REVIEW","finance_risk_trigger","none"))</x:f>
        <x:v>none</x:v>
      </x:c>
      <x:c r="AE275" s="12" t="str">
        <x:f>IF(AC275="PUBLIC_CANDIDATE","prepare_public_github_candidate",IF(AC275="PRIVATE_REVIEW","hold_for_private_review","quarantine_private_do_not_publish"))</x:f>
        <x:v>prepare_public_github_candidate</x:v>
      </x:c>
      <x:c r="AF275" s="12" t="str">
        <x:f>IF(AC275="PUBLIC_CANDIDATE","TIDELOCK + Lucerna",IF(AC275="PRIVATE_REVIEW","AtlasBrain + Lucerna","TIDELOCK + Lucerna + Human-root"))</x:f>
        <x:v>TIDELOCK + Lucerna</x:v>
      </x:c>
      <x:c r="AG275" s="12" t="str">
        <x:f>IF(AND(AC275="PUBLIC_CANDIDATE",U275&lt;&gt;"BLOCKED_PENDING_RECEIPT"),"READY_AFTER_RECEIPT","NOT_READY")</x:f>
        <x:v>NOT_READY</x:v>
      </x:c>
      <x:c r="AH275" s="12" t="str">
        <x:f>IF(AC275="PUBLIC_CANDIDATE","none",AD275)</x:f>
        <x:v>none</x:v>
      </x:c>
      <x:c r="AI275" s="12" t="str">
        <x:f>IF(AC275="PUBLIC_CANDIDATE","archive/public_candidates/"&amp;A275,"private_quarantine/"&amp;A275)</x:f>
        <x:v>archive/public_candidates/SWARM-02-H11-S10</x:v>
      </x:c>
      <x:c r="AJ275" s="12" t="str">
        <x:f>IF(AC275="PUBLIC_CANDIDATE","public by default; still not canon","private/hold; do not publish")</x:f>
        <x:v>public by default; still not canon</x:v>
      </x:c>
      <x:c r="AK275" s="12" t="str">
        <x:f>IF(AE275="prepare_public_github_candidate","add receipt/status then mirror","resolve blocker before any public GitHub action")</x:f>
        <x:v>add receipt/status then mirror</x:v>
      </x:c>
    </x:row>
    <x:row r="276">
      <x:c r="A276" s="15" t="str">
        <x:v>SWARM-02-H11-S11</x:v>
      </x:c>
      <x:c r="B276" s="15" t="str">
        <x:v>Hashlight</x:v>
      </x:c>
      <x:c r="C276" s="15" t="str">
        <x:v>Hash and identity keeper</x:v>
      </x:c>
      <x:c r="D276" s="15" t="str">
        <x:v>Aetherforge UX</x:v>
      </x:c>
      <x:c r="E276" s="15" t="str">
        <x:v>Automation</x:v>
      </x:c>
      <x:c r="F276" s="15" t="str">
        <x:v>Design quest card for Automation — Hashlight</x:v>
      </x:c>
      <x:c r="G276" s="15" t="str">
        <x:v>ids / hashes / timestamps / duplicate control</x:v>
      </x:c>
      <x:c r="H276" s="15" t="str">
        <x:v>source path + receipt + raw/export status + claim/edge/risk delta</x:v>
      </x:c>
      <x:c r="I276" s="15" t="str">
        <x:v>packet/SWARM-02-H11-S11</x:v>
      </x:c>
      <x:c r="J276" s="15" t="str">
        <x:v>TODO</x:v>
      </x:c>
      <x:c r="K276" s="15" t="str">
        <x:v>P2</x:v>
      </x:c>
      <x:c r="L276" s="15" t="str">
        <x:v>Done only when evidence is logged, contradiction search is noted, and boundary stamp remains non-canon unless ratified</x:v>
      </x:c>
      <x:c r="M276" s="15" t="str">
        <x:v>candidate / staging-only / not canon / not deployed / authority none</x:v>
      </x:c>
      <x:c r="N276" s="15" t="str">
        <x:v>Dispatch to Hashlight: complete Aetherforge UX x Automation; return deltas only, receipts required.</x:v>
      </x:c>
      <x:c r="O276" s="15" t="str">
        <x:v>AF-KG-H11-S11</x:v>
      </x:c>
      <x:c r="P276" s="15" t="str">
        <x:v>Unverified</x:v>
      </x:c>
      <x:c r="Q276" s="15" t="str">
        <x:v>Not checked</x:v>
      </x:c>
      <x:c r="R276" s="15" t="str"/>
      <x:c r="S276" s="15" t="str"/>
      <x:c r="T276" s="15" t="str">
        <x:v>Log first source path or blocker</x:v>
      </x:c>
      <x:c r="U276" s="12" t="str">
        <x:f>IF(OR(P276="Unverified",Q276="Not checked"),"BLOCKED_PENDING_RECEIPT","READY_FOR_REVIEW")</x:f>
        <x:v>BLOCKED_PENDING_RECEIPT</x:v>
      </x:c>
      <x:c r="V276" s="12" t="str">
        <x:f>IF(J276="DONE","RETURNED",IF(U276="BLOCKED_PENDING_RECEIPT","SOURCE_TOUCH_REQUIRED","IN_PROGRESS"))</x:f>
        <x:v>SOURCE_TOUCH_REQUIRED</x:v>
      </x:c>
      <x:c r="W276" s="12" t="str">
        <x:f>IF(P276="Unverified","missing_receipt","receipt_logged")</x:f>
        <x:v>missing_receipt</x:v>
      </x:c>
      <x:c r="X276" s="12" t="str">
        <x:f>IF(Q276="Not checked","raw_status_missing","raw_status_logged")</x:f>
        <x:v>raw_status_missing</x:v>
      </x:c>
      <x:c r="Y276" s="12" t="str">
        <x:f>IF(U276="BLOCKED_PENDING_RECEIPT","Log source path or blocker; do not promote","Route to review lane")</x:f>
        <x:v>Log source path or blocker; do not promote</x:v>
      </x:c>
      <x:c r="Z276" s="12" t="str">
        <x:f>IF(K276="P0","Primary seat + Hashlight/Lucerna","Seat lane")</x:f>
        <x:v>Seat lane</x:v>
      </x:c>
      <x:c r="AA276" s="12" t="str">
        <x:f>IF(R276="","no_claim_delta","claim_delta_present")</x:f>
        <x:v>no_claim_delta</x:v>
      </x:c>
      <x:c r="AB276" s="12" t="str">
        <x:f>IF(S276="","no_contradiction_delta","contradiction_delta_present")</x:f>
        <x:v>no_contradiction_delta</x:v>
      </x:c>
      <x:c r="AC276" s="12" t="str">
        <x:f>IF(OR(ISNUMBER(SEARCH("hacker",LOWER(F276&amp;" "&amp;H276&amp;" "&amp;I276&amp;" "&amp;M276&amp;" "&amp;N276&amp;" "&amp;T276))),ISNUMBER(SEARCH("hacking",LOWER(F276&amp;" "&amp;H276&amp;" "&amp;I276&amp;" "&amp;M276&amp;" "&amp;N276&amp;" "&amp;T276))),ISNUMBER(SEARCH("bank",LOWER(F276&amp;" "&amp;H276&amp;" "&amp;I276&amp;" "&amp;M276&amp;" "&amp;N276&amp;" "&amp;T276))),ISNUMBER(SEARCH("banking",LOWER(F276&amp;" "&amp;H276&amp;" "&amp;I276&amp;" "&amp;M276&amp;" "&amp;N276&amp;" "&amp;T276)))),"PRIVATE_QUARANTINE",IF(OR(ISNUMBER(SEARCH("treasury",LOWER(F276&amp;" "&amp;H276&amp;" "&amp;I276&amp;" "&amp;M276&amp;" "&amp;N276&amp;" "&amp;T276))),ISNUMBER(SEARCH("debt",LOWER(F276&amp;" "&amp;H276&amp;" "&amp;I276&amp;" "&amp;M276&amp;" "&amp;N276&amp;" "&amp;T276))),ISNUMBER(SEARCH("bond",LOWER(F276&amp;" "&amp;H276&amp;" "&amp;I276&amp;" "&amp;M276&amp;" "&amp;N276&amp;" "&amp;T276))),ISNUMBER(SEARCH("transaction",LOWER(F276&amp;" "&amp;H276&amp;" "&amp;I276&amp;" "&amp;M276&amp;" "&amp;N276&amp;" "&amp;T276)))),"PRIVATE_REVIEW","PUBLIC_CANDIDATE"))</x:f>
        <x:v>PUBLIC_CANDIDATE</x:v>
      </x:c>
      <x:c r="AD276" s="12" t="str">
        <x:f>IF(AC276="PRIVATE_QUARANTINE","hacker_or_bank_trigger",IF(AC276="PRIVATE_REVIEW","finance_risk_trigger","none"))</x:f>
        <x:v>none</x:v>
      </x:c>
      <x:c r="AE276" s="12" t="str">
        <x:f>IF(AC276="PUBLIC_CANDIDATE","prepare_public_github_candidate",IF(AC276="PRIVATE_REVIEW","hold_for_private_review","quarantine_private_do_not_publish"))</x:f>
        <x:v>prepare_public_github_candidate</x:v>
      </x:c>
      <x:c r="AF276" s="12" t="str">
        <x:f>IF(AC276="PUBLIC_CANDIDATE","TIDELOCK + Lucerna",IF(AC276="PRIVATE_REVIEW","AtlasBrain + Lucerna","TIDELOCK + Lucerna + Human-root"))</x:f>
        <x:v>TIDELOCK + Lucerna</x:v>
      </x:c>
      <x:c r="AG276" s="12" t="str">
        <x:f>IF(AND(AC276="PUBLIC_CANDIDATE",U276&lt;&gt;"BLOCKED_PENDING_RECEIPT"),"READY_AFTER_RECEIPT","NOT_READY")</x:f>
        <x:v>NOT_READY</x:v>
      </x:c>
      <x:c r="AH276" s="12" t="str">
        <x:f>IF(AC276="PUBLIC_CANDIDATE","none",AD276)</x:f>
        <x:v>none</x:v>
      </x:c>
      <x:c r="AI276" s="12" t="str">
        <x:f>IF(AC276="PUBLIC_CANDIDATE","archive/public_candidates/"&amp;A276,"private_quarantine/"&amp;A276)</x:f>
        <x:v>archive/public_candidates/SWARM-02-H11-S11</x:v>
      </x:c>
      <x:c r="AJ276" s="12" t="str">
        <x:f>IF(AC276="PUBLIC_CANDIDATE","public by default; still not canon","private/hold; do not publish")</x:f>
        <x:v>public by default; still not canon</x:v>
      </x:c>
      <x:c r="AK276" s="12" t="str">
        <x:f>IF(AE276="prepare_public_github_candidate","add receipt/status then mirror","resolve blocker before any public GitHub action")</x:f>
        <x:v>add receipt/status then mirror</x:v>
      </x:c>
    </x:row>
    <x:row r="277">
      <x:c r="A277" s="15" t="str">
        <x:v>SWARM-02-H11-S12</x:v>
      </x:c>
      <x:c r="B277" s="15" t="str">
        <x:v>Hashlight</x:v>
      </x:c>
      <x:c r="C277" s="15" t="str">
        <x:v>Hash and identity keeper</x:v>
      </x:c>
      <x:c r="D277" s="15" t="str">
        <x:v>Aetherforge UX</x:v>
      </x:c>
      <x:c r="E277" s="15" t="str">
        <x:v>Risk / Safety</x:v>
      </x:c>
      <x:c r="F277" s="15" t="str">
        <x:v>Design quest card for Risk / Safety — Hashlight</x:v>
      </x:c>
      <x:c r="G277" s="15" t="str">
        <x:v>ids / hashes / timestamps / duplicate control</x:v>
      </x:c>
      <x:c r="H277" s="15" t="str">
        <x:v>source path + receipt + raw/export status + claim/edge/risk delta</x:v>
      </x:c>
      <x:c r="I277" s="15" t="str">
        <x:v>packet/SWARM-02-H11-S12</x:v>
      </x:c>
      <x:c r="J277" s="15" t="str">
        <x:v>TODO</x:v>
      </x:c>
      <x:c r="K277" s="15" t="str">
        <x:v>P2</x:v>
      </x:c>
      <x:c r="L277" s="15" t="str">
        <x:v>Done only when evidence is logged, contradiction search is noted, and boundary stamp remains non-canon unless ratified</x:v>
      </x:c>
      <x:c r="M277" s="15" t="str">
        <x:v>candidate / staging-only / not canon / not deployed / authority none</x:v>
      </x:c>
      <x:c r="N277" s="15" t="str">
        <x:v>Dispatch to Hashlight: complete Aetherforge UX x Risk / Safety; return deltas only, receipts required.</x:v>
      </x:c>
      <x:c r="O277" s="15" t="str">
        <x:v>AF-KG-H11-S12</x:v>
      </x:c>
      <x:c r="P277" s="15" t="str">
        <x:v>Unverified</x:v>
      </x:c>
      <x:c r="Q277" s="15" t="str">
        <x:v>Not checked</x:v>
      </x:c>
      <x:c r="R277" s="15" t="str"/>
      <x:c r="S277" s="15" t="str"/>
      <x:c r="T277" s="15" t="str">
        <x:v>Log first source path or blocker</x:v>
      </x:c>
      <x:c r="U277" s="12" t="str">
        <x:f>IF(OR(P277="Unverified",Q277="Not checked"),"BLOCKED_PENDING_RECEIPT","READY_FOR_REVIEW")</x:f>
        <x:v>BLOCKED_PENDING_RECEIPT</x:v>
      </x:c>
      <x:c r="V277" s="12" t="str">
        <x:f>IF(J277="DONE","RETURNED",IF(U277="BLOCKED_PENDING_RECEIPT","SOURCE_TOUCH_REQUIRED","IN_PROGRESS"))</x:f>
        <x:v>SOURCE_TOUCH_REQUIRED</x:v>
      </x:c>
      <x:c r="W277" s="12" t="str">
        <x:f>IF(P277="Unverified","missing_receipt","receipt_logged")</x:f>
        <x:v>missing_receipt</x:v>
      </x:c>
      <x:c r="X277" s="12" t="str">
        <x:f>IF(Q277="Not checked","raw_status_missing","raw_status_logged")</x:f>
        <x:v>raw_status_missing</x:v>
      </x:c>
      <x:c r="Y277" s="12" t="str">
        <x:f>IF(U277="BLOCKED_PENDING_RECEIPT","Log source path or blocker; do not promote","Route to review lane")</x:f>
        <x:v>Log source path or blocker; do not promote</x:v>
      </x:c>
      <x:c r="Z277" s="12" t="str">
        <x:f>IF(K277="P0","Primary seat + Hashlight/Lucerna","Seat lane")</x:f>
        <x:v>Seat lane</x:v>
      </x:c>
      <x:c r="AA277" s="12" t="str">
        <x:f>IF(R277="","no_claim_delta","claim_delta_present")</x:f>
        <x:v>no_claim_delta</x:v>
      </x:c>
      <x:c r="AB277" s="12" t="str">
        <x:f>IF(S277="","no_contradiction_delta","contradiction_delta_present")</x:f>
        <x:v>no_contradiction_delta</x:v>
      </x:c>
      <x:c r="AC277" s="12" t="str">
        <x:f>IF(OR(ISNUMBER(SEARCH("hacker",LOWER(F277&amp;" "&amp;H277&amp;" "&amp;I277&amp;" "&amp;M277&amp;" "&amp;N277&amp;" "&amp;T277))),ISNUMBER(SEARCH("hacking",LOWER(F277&amp;" "&amp;H277&amp;" "&amp;I277&amp;" "&amp;M277&amp;" "&amp;N277&amp;" "&amp;T277))),ISNUMBER(SEARCH("bank",LOWER(F277&amp;" "&amp;H277&amp;" "&amp;I277&amp;" "&amp;M277&amp;" "&amp;N277&amp;" "&amp;T277))),ISNUMBER(SEARCH("banking",LOWER(F277&amp;" "&amp;H277&amp;" "&amp;I277&amp;" "&amp;M277&amp;" "&amp;N277&amp;" "&amp;T277)))),"PRIVATE_QUARANTINE",IF(OR(ISNUMBER(SEARCH("treasury",LOWER(F277&amp;" "&amp;H277&amp;" "&amp;I277&amp;" "&amp;M277&amp;" "&amp;N277&amp;" "&amp;T277))),ISNUMBER(SEARCH("debt",LOWER(F277&amp;" "&amp;H277&amp;" "&amp;I277&amp;" "&amp;M277&amp;" "&amp;N277&amp;" "&amp;T277))),ISNUMBER(SEARCH("bond",LOWER(F277&amp;" "&amp;H277&amp;" "&amp;I277&amp;" "&amp;M277&amp;" "&amp;N277&amp;" "&amp;T277))),ISNUMBER(SEARCH("transaction",LOWER(F277&amp;" "&amp;H277&amp;" "&amp;I277&amp;" "&amp;M277&amp;" "&amp;N277&amp;" "&amp;T277)))),"PRIVATE_REVIEW","PUBLIC_CANDIDATE"))</x:f>
        <x:v>PUBLIC_CANDIDATE</x:v>
      </x:c>
      <x:c r="AD277" s="12" t="str">
        <x:f>IF(AC277="PRIVATE_QUARANTINE","hacker_or_bank_trigger",IF(AC277="PRIVATE_REVIEW","finance_risk_trigger","none"))</x:f>
        <x:v>none</x:v>
      </x:c>
      <x:c r="AE277" s="12" t="str">
        <x:f>IF(AC277="PUBLIC_CANDIDATE","prepare_public_github_candidate",IF(AC277="PRIVATE_REVIEW","hold_for_private_review","quarantine_private_do_not_publish"))</x:f>
        <x:v>prepare_public_github_candidate</x:v>
      </x:c>
      <x:c r="AF277" s="12" t="str">
        <x:f>IF(AC277="PUBLIC_CANDIDATE","TIDELOCK + Lucerna",IF(AC277="PRIVATE_REVIEW","AtlasBrain + Lucerna","TIDELOCK + Lucerna + Human-root"))</x:f>
        <x:v>TIDELOCK + Lucerna</x:v>
      </x:c>
      <x:c r="AG277" s="12" t="str">
        <x:f>IF(AND(AC277="PUBLIC_CANDIDATE",U277&lt;&gt;"BLOCKED_PENDING_RECEIPT"),"READY_AFTER_RECEIPT","NOT_READY")</x:f>
        <x:v>NOT_READY</x:v>
      </x:c>
      <x:c r="AH277" s="12" t="str">
        <x:f>IF(AC277="PUBLIC_CANDIDATE","none",AD277)</x:f>
        <x:v>none</x:v>
      </x:c>
      <x:c r="AI277" s="12" t="str">
        <x:f>IF(AC277="PUBLIC_CANDIDATE","archive/public_candidates/"&amp;A277,"private_quarantine/"&amp;A277)</x:f>
        <x:v>archive/public_candidates/SWARM-02-H11-S12</x:v>
      </x:c>
      <x:c r="AJ277" s="12" t="str">
        <x:f>IF(AC277="PUBLIC_CANDIDATE","public by default; still not canon","private/hold; do not publish")</x:f>
        <x:v>public by default; still not canon</x:v>
      </x:c>
      <x:c r="AK277" s="12" t="str">
        <x:f>IF(AE277="prepare_public_github_candidate","add receipt/status then mirror","resolve blocker before any public GitHub action")</x:f>
        <x:v>add receipt/status then mirror</x:v>
      </x:c>
    </x:row>
    <x:row r="278">
      <x:c r="A278" s="15" t="str">
        <x:v>SWARM-02-H12-S01</x:v>
      </x:c>
      <x:c r="B278" s="15" t="str">
        <x:v>Hashlight</x:v>
      </x:c>
      <x:c r="C278" s="15" t="str">
        <x:v>Hash and identity keeper</x:v>
      </x:c>
      <x:c r="D278" s="15" t="str">
        <x:v>Canon-Gate Prep</x:v>
      </x:c>
      <x:c r="E278" s="15" t="str">
        <x:v>Notion</x:v>
      </x:c>
      <x:c r="F278" s="15" t="str">
        <x:v>Prepare canon-gate brief for Notion — Hashlight</x:v>
      </x:c>
      <x:c r="G278" s="15" t="str">
        <x:v>ids / hashes / timestamps / duplicate control</x:v>
      </x:c>
      <x:c r="H278" s="15" t="str">
        <x:v>source path + receipt + raw/export status + claim/edge/risk delta</x:v>
      </x:c>
      <x:c r="I278" s="15" t="str">
        <x:v>packet/SWARM-02-H12-S01</x:v>
      </x:c>
      <x:c r="J278" s="15" t="str">
        <x:v>TODO</x:v>
      </x:c>
      <x:c r="K278" s="15" t="str">
        <x:v>P0</x:v>
      </x:c>
      <x:c r="L278" s="15" t="str">
        <x:v>Done only when evidence is logged, contradiction search is noted, and boundary stamp remains non-canon unless ratified</x:v>
      </x:c>
      <x:c r="M278" s="15" t="str">
        <x:v>candidate / staging-only / not canon / not deployed / authority none</x:v>
      </x:c>
      <x:c r="N278" s="15" t="str">
        <x:v>Dispatch to Hashlight: complete Canon-Gate Prep x Notion; return deltas only, receipts required.</x:v>
      </x:c>
      <x:c r="O278" s="15" t="str">
        <x:v>AF-KG-H12-S01</x:v>
      </x:c>
      <x:c r="P278" s="15" t="str">
        <x:v>Unverified</x:v>
      </x:c>
      <x:c r="Q278" s="15" t="str">
        <x:v>Not checked</x:v>
      </x:c>
      <x:c r="R278" s="15" t="str"/>
      <x:c r="S278" s="15" t="str"/>
      <x:c r="T278" s="15" t="str">
        <x:v>Log first source path or blocker</x:v>
      </x:c>
      <x:c r="U278" s="12" t="str">
        <x:f>IF(OR(P278="Unverified",Q278="Not checked"),"BLOCKED_PENDING_RECEIPT","READY_FOR_REVIEW")</x:f>
        <x:v>BLOCKED_PENDING_RECEIPT</x:v>
      </x:c>
      <x:c r="V278" s="12" t="str">
        <x:f>IF(J278="DONE","RETURNED",IF(U278="BLOCKED_PENDING_RECEIPT","SOURCE_TOUCH_REQUIRED","IN_PROGRESS"))</x:f>
        <x:v>SOURCE_TOUCH_REQUIRED</x:v>
      </x:c>
      <x:c r="W278" s="12" t="str">
        <x:f>IF(P278="Unverified","missing_receipt","receipt_logged")</x:f>
        <x:v>missing_receipt</x:v>
      </x:c>
      <x:c r="X278" s="12" t="str">
        <x:f>IF(Q278="Not checked","raw_status_missing","raw_status_logged")</x:f>
        <x:v>raw_status_missing</x:v>
      </x:c>
      <x:c r="Y278" s="12" t="str">
        <x:f>IF(U278="BLOCKED_PENDING_RECEIPT","Log source path or blocker; do not promote","Route to review lane")</x:f>
        <x:v>Log source path or blocker; do not promote</x:v>
      </x:c>
      <x:c r="Z278" s="12" t="str">
        <x:f>IF(K278="P0","Primary seat + Hashlight/Lucerna","Seat lane")</x:f>
        <x:v>Primary seat + Hashlight/Lucerna</x:v>
      </x:c>
      <x:c r="AA278" s="12" t="str">
        <x:f>IF(R278="","no_claim_delta","claim_delta_present")</x:f>
        <x:v>no_claim_delta</x:v>
      </x:c>
      <x:c r="AB278" s="12" t="str">
        <x:f>IF(S278="","no_contradiction_delta","contradiction_delta_present")</x:f>
        <x:v>no_contradiction_delta</x:v>
      </x:c>
      <x:c r="AC278" s="12" t="str">
        <x:f>IF(OR(ISNUMBER(SEARCH("hacker",LOWER(F278&amp;" "&amp;H278&amp;" "&amp;I278&amp;" "&amp;M278&amp;" "&amp;N278&amp;" "&amp;T278))),ISNUMBER(SEARCH("hacking",LOWER(F278&amp;" "&amp;H278&amp;" "&amp;I278&amp;" "&amp;M278&amp;" "&amp;N278&amp;" "&amp;T278))),ISNUMBER(SEARCH("bank",LOWER(F278&amp;" "&amp;H278&amp;" "&amp;I278&amp;" "&amp;M278&amp;" "&amp;N278&amp;" "&amp;T278))),ISNUMBER(SEARCH("banking",LOWER(F278&amp;" "&amp;H278&amp;" "&amp;I278&amp;" "&amp;M278&amp;" "&amp;N278&amp;" "&amp;T278)))),"PRIVATE_QUARANTINE",IF(OR(ISNUMBER(SEARCH("treasury",LOWER(F278&amp;" "&amp;H278&amp;" "&amp;I278&amp;" "&amp;M278&amp;" "&amp;N278&amp;" "&amp;T278))),ISNUMBER(SEARCH("debt",LOWER(F278&amp;" "&amp;H278&amp;" "&amp;I278&amp;" "&amp;M278&amp;" "&amp;N278&amp;" "&amp;T278))),ISNUMBER(SEARCH("bond",LOWER(F278&amp;" "&amp;H278&amp;" "&amp;I278&amp;" "&amp;M278&amp;" "&amp;N278&amp;" "&amp;T278))),ISNUMBER(SEARCH("transaction",LOWER(F278&amp;" "&amp;H278&amp;" "&amp;I278&amp;" "&amp;M278&amp;" "&amp;N278&amp;" "&amp;T278)))),"PRIVATE_REVIEW","PUBLIC_CANDIDATE"))</x:f>
        <x:v>PUBLIC_CANDIDATE</x:v>
      </x:c>
      <x:c r="AD278" s="12" t="str">
        <x:f>IF(AC278="PRIVATE_QUARANTINE","hacker_or_bank_trigger",IF(AC278="PRIVATE_REVIEW","finance_risk_trigger","none"))</x:f>
        <x:v>none</x:v>
      </x:c>
      <x:c r="AE278" s="12" t="str">
        <x:f>IF(AC278="PUBLIC_CANDIDATE","prepare_public_github_candidate",IF(AC278="PRIVATE_REVIEW","hold_for_private_review","quarantine_private_do_not_publish"))</x:f>
        <x:v>prepare_public_github_candidate</x:v>
      </x:c>
      <x:c r="AF278" s="12" t="str">
        <x:f>IF(AC278="PUBLIC_CANDIDATE","TIDELOCK + Lucerna",IF(AC278="PRIVATE_REVIEW","AtlasBrain + Lucerna","TIDELOCK + Lucerna + Human-root"))</x:f>
        <x:v>TIDELOCK + Lucerna</x:v>
      </x:c>
      <x:c r="AG278" s="12" t="str">
        <x:f>IF(AND(AC278="PUBLIC_CANDIDATE",U278&lt;&gt;"BLOCKED_PENDING_RECEIPT"),"READY_AFTER_RECEIPT","NOT_READY")</x:f>
        <x:v>NOT_READY</x:v>
      </x:c>
      <x:c r="AH278" s="12" t="str">
        <x:f>IF(AC278="PUBLIC_CANDIDATE","none",AD278)</x:f>
        <x:v>none</x:v>
      </x:c>
      <x:c r="AI278" s="12" t="str">
        <x:f>IF(AC278="PUBLIC_CANDIDATE","archive/public_candidates/"&amp;A278,"private_quarantine/"&amp;A278)</x:f>
        <x:v>archive/public_candidates/SWARM-02-H12-S01</x:v>
      </x:c>
      <x:c r="AJ278" s="12" t="str">
        <x:f>IF(AC278="PUBLIC_CANDIDATE","public by default; still not canon","private/hold; do not publish")</x:f>
        <x:v>public by default; still not canon</x:v>
      </x:c>
      <x:c r="AK278" s="12" t="str">
        <x:f>IF(AE278="prepare_public_github_candidate","add receipt/status then mirror","resolve blocker before any public GitHub action")</x:f>
        <x:v>add receipt/status then mirror</x:v>
      </x:c>
    </x:row>
    <x:row r="279">
      <x:c r="A279" s="15" t="str">
        <x:v>SWARM-02-H12-S02</x:v>
      </x:c>
      <x:c r="B279" s="15" t="str">
        <x:v>Hashlight</x:v>
      </x:c>
      <x:c r="C279" s="15" t="str">
        <x:v>Hash and identity keeper</x:v>
      </x:c>
      <x:c r="D279" s="15" t="str">
        <x:v>Canon-Gate Prep</x:v>
      </x:c>
      <x:c r="E279" s="15" t="str">
        <x:v>Drive</x:v>
      </x:c>
      <x:c r="F279" s="15" t="str">
        <x:v>Prepare canon-gate brief for Drive — Hashlight</x:v>
      </x:c>
      <x:c r="G279" s="15" t="str">
        <x:v>ids / hashes / timestamps / duplicate control</x:v>
      </x:c>
      <x:c r="H279" s="15" t="str">
        <x:v>source path + receipt + raw/export status + claim/edge/risk delta</x:v>
      </x:c>
      <x:c r="I279" s="15" t="str">
        <x:v>packet/SWARM-02-H12-S02</x:v>
      </x:c>
      <x:c r="J279" s="15" t="str">
        <x:v>TODO</x:v>
      </x:c>
      <x:c r="K279" s="15" t="str">
        <x:v>P0</x:v>
      </x:c>
      <x:c r="L279" s="15" t="str">
        <x:v>Done only when evidence is logged, contradiction search is noted, and boundary stamp remains non-canon unless ratified</x:v>
      </x:c>
      <x:c r="M279" s="15" t="str">
        <x:v>candidate / staging-only / not canon / not deployed / authority none</x:v>
      </x:c>
      <x:c r="N279" s="15" t="str">
        <x:v>Dispatch to Hashlight: complete Canon-Gate Prep x Drive; return deltas only, receipts required.</x:v>
      </x:c>
      <x:c r="O279" s="15" t="str">
        <x:v>AF-KG-H12-S02</x:v>
      </x:c>
      <x:c r="P279" s="15" t="str">
        <x:v>Unverified</x:v>
      </x:c>
      <x:c r="Q279" s="15" t="str">
        <x:v>Not checked</x:v>
      </x:c>
      <x:c r="R279" s="15" t="str"/>
      <x:c r="S279" s="15" t="str"/>
      <x:c r="T279" s="15" t="str">
        <x:v>Log first source path or blocker</x:v>
      </x:c>
      <x:c r="U279" s="12" t="str">
        <x:f>IF(OR(P279="Unverified",Q279="Not checked"),"BLOCKED_PENDING_RECEIPT","READY_FOR_REVIEW")</x:f>
        <x:v>BLOCKED_PENDING_RECEIPT</x:v>
      </x:c>
      <x:c r="V279" s="12" t="str">
        <x:f>IF(J279="DONE","RETURNED",IF(U279="BLOCKED_PENDING_RECEIPT","SOURCE_TOUCH_REQUIRED","IN_PROGRESS"))</x:f>
        <x:v>SOURCE_TOUCH_REQUIRED</x:v>
      </x:c>
      <x:c r="W279" s="12" t="str">
        <x:f>IF(P279="Unverified","missing_receipt","receipt_logged")</x:f>
        <x:v>missing_receipt</x:v>
      </x:c>
      <x:c r="X279" s="12" t="str">
        <x:f>IF(Q279="Not checked","raw_status_missing","raw_status_logged")</x:f>
        <x:v>raw_status_missing</x:v>
      </x:c>
      <x:c r="Y279" s="12" t="str">
        <x:f>IF(U279="BLOCKED_PENDING_RECEIPT","Log source path or blocker; do not promote","Route to review lane")</x:f>
        <x:v>Log source path or blocker; do not promote</x:v>
      </x:c>
      <x:c r="Z279" s="12" t="str">
        <x:f>IF(K279="P0","Primary seat + Hashlight/Lucerna","Seat lane")</x:f>
        <x:v>Primary seat + Hashlight/Lucerna</x:v>
      </x:c>
      <x:c r="AA279" s="12" t="str">
        <x:f>IF(R279="","no_claim_delta","claim_delta_present")</x:f>
        <x:v>no_claim_delta</x:v>
      </x:c>
      <x:c r="AB279" s="12" t="str">
        <x:f>IF(S279="","no_contradiction_delta","contradiction_delta_present")</x:f>
        <x:v>no_contradiction_delta</x:v>
      </x:c>
      <x:c r="AC279" s="12" t="str">
        <x:f>IF(OR(ISNUMBER(SEARCH("hacker",LOWER(F279&amp;" "&amp;H279&amp;" "&amp;I279&amp;" "&amp;M279&amp;" "&amp;N279&amp;" "&amp;T279))),ISNUMBER(SEARCH("hacking",LOWER(F279&amp;" "&amp;H279&amp;" "&amp;I279&amp;" "&amp;M279&amp;" "&amp;N279&amp;" "&amp;T279))),ISNUMBER(SEARCH("bank",LOWER(F279&amp;" "&amp;H279&amp;" "&amp;I279&amp;" "&amp;M279&amp;" "&amp;N279&amp;" "&amp;T279))),ISNUMBER(SEARCH("banking",LOWER(F279&amp;" "&amp;H279&amp;" "&amp;I279&amp;" "&amp;M279&amp;" "&amp;N279&amp;" "&amp;T279)))),"PRIVATE_QUARANTINE",IF(OR(ISNUMBER(SEARCH("treasury",LOWER(F279&amp;" "&amp;H279&amp;" "&amp;I279&amp;" "&amp;M279&amp;" "&amp;N279&amp;" "&amp;T279))),ISNUMBER(SEARCH("debt",LOWER(F279&amp;" "&amp;H279&amp;" "&amp;I279&amp;" "&amp;M279&amp;" "&amp;N279&amp;" "&amp;T279))),ISNUMBER(SEARCH("bond",LOWER(F279&amp;" "&amp;H279&amp;" "&amp;I279&amp;" "&amp;M279&amp;" "&amp;N279&amp;" "&amp;T279))),ISNUMBER(SEARCH("transaction",LOWER(F279&amp;" "&amp;H279&amp;" "&amp;I279&amp;" "&amp;M279&amp;" "&amp;N279&amp;" "&amp;T279)))),"PRIVATE_REVIEW","PUBLIC_CANDIDATE"))</x:f>
        <x:v>PUBLIC_CANDIDATE</x:v>
      </x:c>
      <x:c r="AD279" s="12" t="str">
        <x:f>IF(AC279="PRIVATE_QUARANTINE","hacker_or_bank_trigger",IF(AC279="PRIVATE_REVIEW","finance_risk_trigger","none"))</x:f>
        <x:v>none</x:v>
      </x:c>
      <x:c r="AE279" s="12" t="str">
        <x:f>IF(AC279="PUBLIC_CANDIDATE","prepare_public_github_candidate",IF(AC279="PRIVATE_REVIEW","hold_for_private_review","quarantine_private_do_not_publish"))</x:f>
        <x:v>prepare_public_github_candidate</x:v>
      </x:c>
      <x:c r="AF279" s="12" t="str">
        <x:f>IF(AC279="PUBLIC_CANDIDATE","TIDELOCK + Lucerna",IF(AC279="PRIVATE_REVIEW","AtlasBrain + Lucerna","TIDELOCK + Lucerna + Human-root"))</x:f>
        <x:v>TIDELOCK + Lucerna</x:v>
      </x:c>
      <x:c r="AG279" s="12" t="str">
        <x:f>IF(AND(AC279="PUBLIC_CANDIDATE",U279&lt;&gt;"BLOCKED_PENDING_RECEIPT"),"READY_AFTER_RECEIPT","NOT_READY")</x:f>
        <x:v>NOT_READY</x:v>
      </x:c>
      <x:c r="AH279" s="12" t="str">
        <x:f>IF(AC279="PUBLIC_CANDIDATE","none",AD279)</x:f>
        <x:v>none</x:v>
      </x:c>
      <x:c r="AI279" s="12" t="str">
        <x:f>IF(AC279="PUBLIC_CANDIDATE","archive/public_candidates/"&amp;A279,"private_quarantine/"&amp;A279)</x:f>
        <x:v>archive/public_candidates/SWARM-02-H12-S02</x:v>
      </x:c>
      <x:c r="AJ279" s="12" t="str">
        <x:f>IF(AC279="PUBLIC_CANDIDATE","public by default; still not canon","private/hold; do not publish")</x:f>
        <x:v>public by default; still not canon</x:v>
      </x:c>
      <x:c r="AK279" s="12" t="str">
        <x:f>IF(AE279="prepare_public_github_candidate","add receipt/status then mirror","resolve blocker before any public GitHub action")</x:f>
        <x:v>add receipt/status then mirror</x:v>
      </x:c>
    </x:row>
    <x:row r="280">
      <x:c r="A280" s="15" t="str">
        <x:v>SWARM-02-H12-S03</x:v>
      </x:c>
      <x:c r="B280" s="15" t="str">
        <x:v>Hashlight</x:v>
      </x:c>
      <x:c r="C280" s="15" t="str">
        <x:v>Hash and identity keeper</x:v>
      </x:c>
      <x:c r="D280" s="15" t="str">
        <x:v>Canon-Gate Prep</x:v>
      </x:c>
      <x:c r="E280" s="15" t="str">
        <x:v>GitHub</x:v>
      </x:c>
      <x:c r="F280" s="15" t="str">
        <x:v>Prepare canon-gate brief for GitHub — Hashlight</x:v>
      </x:c>
      <x:c r="G280" s="15" t="str">
        <x:v>ids / hashes / timestamps / duplicate control</x:v>
      </x:c>
      <x:c r="H280" s="15" t="str">
        <x:v>source path + receipt + raw/export status + claim/edge/risk delta</x:v>
      </x:c>
      <x:c r="I280" s="15" t="str">
        <x:v>packet/SWARM-02-H12-S03</x:v>
      </x:c>
      <x:c r="J280" s="15" t="str">
        <x:v>TODO</x:v>
      </x:c>
      <x:c r="K280" s="15" t="str">
        <x:v>P0</x:v>
      </x:c>
      <x:c r="L280" s="15" t="str">
        <x:v>Done only when evidence is logged, contradiction search is noted, and boundary stamp remains non-canon unless ratified</x:v>
      </x:c>
      <x:c r="M280" s="15" t="str">
        <x:v>candidate / staging-only / not canon / not deployed / authority none</x:v>
      </x:c>
      <x:c r="N280" s="15" t="str">
        <x:v>Dispatch to Hashlight: complete Canon-Gate Prep x GitHub; return deltas only, receipts required.</x:v>
      </x:c>
      <x:c r="O280" s="15" t="str">
        <x:v>AF-KG-H12-S03</x:v>
      </x:c>
      <x:c r="P280" s="15" t="str">
        <x:v>Unverified</x:v>
      </x:c>
      <x:c r="Q280" s="15" t="str">
        <x:v>Not checked</x:v>
      </x:c>
      <x:c r="R280" s="15" t="str"/>
      <x:c r="S280" s="15" t="str"/>
      <x:c r="T280" s="15" t="str">
        <x:v>Log first source path or blocker</x:v>
      </x:c>
      <x:c r="U280" s="12" t="str">
        <x:f>IF(OR(P280="Unverified",Q280="Not checked"),"BLOCKED_PENDING_RECEIPT","READY_FOR_REVIEW")</x:f>
        <x:v>BLOCKED_PENDING_RECEIPT</x:v>
      </x:c>
      <x:c r="V280" s="12" t="str">
        <x:f>IF(J280="DONE","RETURNED",IF(U280="BLOCKED_PENDING_RECEIPT","SOURCE_TOUCH_REQUIRED","IN_PROGRESS"))</x:f>
        <x:v>SOURCE_TOUCH_REQUIRED</x:v>
      </x:c>
      <x:c r="W280" s="12" t="str">
        <x:f>IF(P280="Unverified","missing_receipt","receipt_logged")</x:f>
        <x:v>missing_receipt</x:v>
      </x:c>
      <x:c r="X280" s="12" t="str">
        <x:f>IF(Q280="Not checked","raw_status_missing","raw_status_logged")</x:f>
        <x:v>raw_status_missing</x:v>
      </x:c>
      <x:c r="Y280" s="12" t="str">
        <x:f>IF(U280="BLOCKED_PENDING_RECEIPT","Log source path or blocker; do not promote","Route to review lane")</x:f>
        <x:v>Log source path or blocker; do not promote</x:v>
      </x:c>
      <x:c r="Z280" s="12" t="str">
        <x:f>IF(K280="P0","Primary seat + Hashlight/Lucerna","Seat lane")</x:f>
        <x:v>Primary seat + Hashlight/Lucerna</x:v>
      </x:c>
      <x:c r="AA280" s="12" t="str">
        <x:f>IF(R280="","no_claim_delta","claim_delta_present")</x:f>
        <x:v>no_claim_delta</x:v>
      </x:c>
      <x:c r="AB280" s="12" t="str">
        <x:f>IF(S280="","no_contradiction_delta","contradiction_delta_present")</x:f>
        <x:v>no_contradiction_delta</x:v>
      </x:c>
      <x:c r="AC280" s="12" t="str">
        <x:f>IF(OR(ISNUMBER(SEARCH("hacker",LOWER(F280&amp;" "&amp;H280&amp;" "&amp;I280&amp;" "&amp;M280&amp;" "&amp;N280&amp;" "&amp;T280))),ISNUMBER(SEARCH("hacking",LOWER(F280&amp;" "&amp;H280&amp;" "&amp;I280&amp;" "&amp;M280&amp;" "&amp;N280&amp;" "&amp;T280))),ISNUMBER(SEARCH("bank",LOWER(F280&amp;" "&amp;H280&amp;" "&amp;I280&amp;" "&amp;M280&amp;" "&amp;N280&amp;" "&amp;T280))),ISNUMBER(SEARCH("banking",LOWER(F280&amp;" "&amp;H280&amp;" "&amp;I280&amp;" "&amp;M280&amp;" "&amp;N280&amp;" "&amp;T280)))),"PRIVATE_QUARANTINE",IF(OR(ISNUMBER(SEARCH("treasury",LOWER(F280&amp;" "&amp;H280&amp;" "&amp;I280&amp;" "&amp;M280&amp;" "&amp;N280&amp;" "&amp;T280))),ISNUMBER(SEARCH("debt",LOWER(F280&amp;" "&amp;H280&amp;" "&amp;I280&amp;" "&amp;M280&amp;" "&amp;N280&amp;" "&amp;T280))),ISNUMBER(SEARCH("bond",LOWER(F280&amp;" "&amp;H280&amp;" "&amp;I280&amp;" "&amp;M280&amp;" "&amp;N280&amp;" "&amp;T280))),ISNUMBER(SEARCH("transaction",LOWER(F280&amp;" "&amp;H280&amp;" "&amp;I280&amp;" "&amp;M280&amp;" "&amp;N280&amp;" "&amp;T280)))),"PRIVATE_REVIEW","PUBLIC_CANDIDATE"))</x:f>
        <x:v>PUBLIC_CANDIDATE</x:v>
      </x:c>
      <x:c r="AD280" s="12" t="str">
        <x:f>IF(AC280="PRIVATE_QUARANTINE","hacker_or_bank_trigger",IF(AC280="PRIVATE_REVIEW","finance_risk_trigger","none"))</x:f>
        <x:v>none</x:v>
      </x:c>
      <x:c r="AE280" s="12" t="str">
        <x:f>IF(AC280="PUBLIC_CANDIDATE","prepare_public_github_candidate",IF(AC280="PRIVATE_REVIEW","hold_for_private_review","quarantine_private_do_not_publish"))</x:f>
        <x:v>prepare_public_github_candidate</x:v>
      </x:c>
      <x:c r="AF280" s="12" t="str">
        <x:f>IF(AC280="PUBLIC_CANDIDATE","TIDELOCK + Lucerna",IF(AC280="PRIVATE_REVIEW","AtlasBrain + Lucerna","TIDELOCK + Lucerna + Human-root"))</x:f>
        <x:v>TIDELOCK + Lucerna</x:v>
      </x:c>
      <x:c r="AG280" s="12" t="str">
        <x:f>IF(AND(AC280="PUBLIC_CANDIDATE",U280&lt;&gt;"BLOCKED_PENDING_RECEIPT"),"READY_AFTER_RECEIPT","NOT_READY")</x:f>
        <x:v>NOT_READY</x:v>
      </x:c>
      <x:c r="AH280" s="12" t="str">
        <x:f>IF(AC280="PUBLIC_CANDIDATE","none",AD280)</x:f>
        <x:v>none</x:v>
      </x:c>
      <x:c r="AI280" s="12" t="str">
        <x:f>IF(AC280="PUBLIC_CANDIDATE","archive/public_candidates/"&amp;A280,"private_quarantine/"&amp;A280)</x:f>
        <x:v>archive/public_candidates/SWARM-02-H12-S03</x:v>
      </x:c>
      <x:c r="AJ280" s="12" t="str">
        <x:f>IF(AC280="PUBLIC_CANDIDATE","public by default; still not canon","private/hold; do not publish")</x:f>
        <x:v>public by default; still not canon</x:v>
      </x:c>
      <x:c r="AK280" s="12" t="str">
        <x:f>IF(AE280="prepare_public_github_candidate","add receipt/status then mirror","resolve blocker before any public GitHub action")</x:f>
        <x:v>add receipt/status then mirror</x:v>
      </x:c>
    </x:row>
    <x:row r="281">
      <x:c r="A281" s="15" t="str">
        <x:v>SWARM-02-H12-S04</x:v>
      </x:c>
      <x:c r="B281" s="15" t="str">
        <x:v>Hashlight</x:v>
      </x:c>
      <x:c r="C281" s="15" t="str">
        <x:v>Hash and identity keeper</x:v>
      </x:c>
      <x:c r="D281" s="15" t="str">
        <x:v>Canon-Gate Prep</x:v>
      </x:c>
      <x:c r="E281" s="15" t="str">
        <x:v>Gamma</x:v>
      </x:c>
      <x:c r="F281" s="15" t="str">
        <x:v>Prepare canon-gate brief for Gamma — Hashlight</x:v>
      </x:c>
      <x:c r="G281" s="15" t="str">
        <x:v>ids / hashes / timestamps / duplicate control</x:v>
      </x:c>
      <x:c r="H281" s="15" t="str">
        <x:v>source path + receipt + raw/export status + claim/edge/risk delta</x:v>
      </x:c>
      <x:c r="I281" s="15" t="str">
        <x:v>packet/SWARM-02-H12-S04</x:v>
      </x:c>
      <x:c r="J281" s="15" t="str">
        <x:v>TODO</x:v>
      </x:c>
      <x:c r="K281" s="15" t="str">
        <x:v>P1</x:v>
      </x:c>
      <x:c r="L281" s="15" t="str">
        <x:v>Done only when evidence is logged, contradiction search is noted, and boundary stamp remains non-canon unless ratified</x:v>
      </x:c>
      <x:c r="M281" s="15" t="str">
        <x:v>candidate / staging-only / not canon / not deployed / authority none</x:v>
      </x:c>
      <x:c r="N281" s="15" t="str">
        <x:v>Dispatch to Hashlight: complete Canon-Gate Prep x Gamma; return deltas only, receipts required.</x:v>
      </x:c>
      <x:c r="O281" s="15" t="str">
        <x:v>AF-KG-H12-S04</x:v>
      </x:c>
      <x:c r="P281" s="15" t="str">
        <x:v>Unverified</x:v>
      </x:c>
      <x:c r="Q281" s="15" t="str">
        <x:v>Not checked</x:v>
      </x:c>
      <x:c r="R281" s="15" t="str"/>
      <x:c r="S281" s="15" t="str"/>
      <x:c r="T281" s="15" t="str">
        <x:v>Log first source path or blocker</x:v>
      </x:c>
      <x:c r="U281" s="12" t="str">
        <x:f>IF(OR(P281="Unverified",Q281="Not checked"),"BLOCKED_PENDING_RECEIPT","READY_FOR_REVIEW")</x:f>
        <x:v>BLOCKED_PENDING_RECEIPT</x:v>
      </x:c>
      <x:c r="V281" s="12" t="str">
        <x:f>IF(J281="DONE","RETURNED",IF(U281="BLOCKED_PENDING_RECEIPT","SOURCE_TOUCH_REQUIRED","IN_PROGRESS"))</x:f>
        <x:v>SOURCE_TOUCH_REQUIRED</x:v>
      </x:c>
      <x:c r="W281" s="12" t="str">
        <x:f>IF(P281="Unverified","missing_receipt","receipt_logged")</x:f>
        <x:v>missing_receipt</x:v>
      </x:c>
      <x:c r="X281" s="12" t="str">
        <x:f>IF(Q281="Not checked","raw_status_missing","raw_status_logged")</x:f>
        <x:v>raw_status_missing</x:v>
      </x:c>
      <x:c r="Y281" s="12" t="str">
        <x:f>IF(U281="BLOCKED_PENDING_RECEIPT","Log source path or blocker; do not promote","Route to review lane")</x:f>
        <x:v>Log source path or blocker; do not promote</x:v>
      </x:c>
      <x:c r="Z281" s="12" t="str">
        <x:f>IF(K281="P0","Primary seat + Hashlight/Lucerna","Seat lane")</x:f>
        <x:v>Seat lane</x:v>
      </x:c>
      <x:c r="AA281" s="12" t="str">
        <x:f>IF(R281="","no_claim_delta","claim_delta_present")</x:f>
        <x:v>no_claim_delta</x:v>
      </x:c>
      <x:c r="AB281" s="12" t="str">
        <x:f>IF(S281="","no_contradiction_delta","contradiction_delta_present")</x:f>
        <x:v>no_contradiction_delta</x:v>
      </x:c>
      <x:c r="AC281" s="12" t="str">
        <x:f>IF(OR(ISNUMBER(SEARCH("hacker",LOWER(F281&amp;" "&amp;H281&amp;" "&amp;I281&amp;" "&amp;M281&amp;" "&amp;N281&amp;" "&amp;T281))),ISNUMBER(SEARCH("hacking",LOWER(F281&amp;" "&amp;H281&amp;" "&amp;I281&amp;" "&amp;M281&amp;" "&amp;N281&amp;" "&amp;T281))),ISNUMBER(SEARCH("bank",LOWER(F281&amp;" "&amp;H281&amp;" "&amp;I281&amp;" "&amp;M281&amp;" "&amp;N281&amp;" "&amp;T281))),ISNUMBER(SEARCH("banking",LOWER(F281&amp;" "&amp;H281&amp;" "&amp;I281&amp;" "&amp;M281&amp;" "&amp;N281&amp;" "&amp;T281)))),"PRIVATE_QUARANTINE",IF(OR(ISNUMBER(SEARCH("treasury",LOWER(F281&amp;" "&amp;H281&amp;" "&amp;I281&amp;" "&amp;M281&amp;" "&amp;N281&amp;" "&amp;T281))),ISNUMBER(SEARCH("debt",LOWER(F281&amp;" "&amp;H281&amp;" "&amp;I281&amp;" "&amp;M281&amp;" "&amp;N281&amp;" "&amp;T281))),ISNUMBER(SEARCH("bond",LOWER(F281&amp;" "&amp;H281&amp;" "&amp;I281&amp;" "&amp;M281&amp;" "&amp;N281&amp;" "&amp;T281))),ISNUMBER(SEARCH("transaction",LOWER(F281&amp;" "&amp;H281&amp;" "&amp;I281&amp;" "&amp;M281&amp;" "&amp;N281&amp;" "&amp;T281)))),"PRIVATE_REVIEW","PUBLIC_CANDIDATE"))</x:f>
        <x:v>PUBLIC_CANDIDATE</x:v>
      </x:c>
      <x:c r="AD281" s="12" t="str">
        <x:f>IF(AC281="PRIVATE_QUARANTINE","hacker_or_bank_trigger",IF(AC281="PRIVATE_REVIEW","finance_risk_trigger","none"))</x:f>
        <x:v>none</x:v>
      </x:c>
      <x:c r="AE281" s="12" t="str">
        <x:f>IF(AC281="PUBLIC_CANDIDATE","prepare_public_github_candidate",IF(AC281="PRIVATE_REVIEW","hold_for_private_review","quarantine_private_do_not_publish"))</x:f>
        <x:v>prepare_public_github_candidate</x:v>
      </x:c>
      <x:c r="AF281" s="12" t="str">
        <x:f>IF(AC281="PUBLIC_CANDIDATE","TIDELOCK + Lucerna",IF(AC281="PRIVATE_REVIEW","AtlasBrain + Lucerna","TIDELOCK + Lucerna + Human-root"))</x:f>
        <x:v>TIDELOCK + Lucerna</x:v>
      </x:c>
      <x:c r="AG281" s="12" t="str">
        <x:f>IF(AND(AC281="PUBLIC_CANDIDATE",U281&lt;&gt;"BLOCKED_PENDING_RECEIPT"),"READY_AFTER_RECEIPT","NOT_READY")</x:f>
        <x:v>NOT_READY</x:v>
      </x:c>
      <x:c r="AH281" s="12" t="str">
        <x:f>IF(AC281="PUBLIC_CANDIDATE","none",AD281)</x:f>
        <x:v>none</x:v>
      </x:c>
      <x:c r="AI281" s="12" t="str">
        <x:f>IF(AC281="PUBLIC_CANDIDATE","archive/public_candidates/"&amp;A281,"private_quarantine/"&amp;A281)</x:f>
        <x:v>archive/public_candidates/SWARM-02-H12-S04</x:v>
      </x:c>
      <x:c r="AJ281" s="12" t="str">
        <x:f>IF(AC281="PUBLIC_CANDIDATE","public by default; still not canon","private/hold; do not publish")</x:f>
        <x:v>public by default; still not canon</x:v>
      </x:c>
      <x:c r="AK281" s="12" t="str">
        <x:f>IF(AE281="prepare_public_github_candidate","add receipt/status then mirror","resolve blocker before any public GitHub action")</x:f>
        <x:v>add receipt/status then mirror</x:v>
      </x:c>
    </x:row>
    <x:row r="282">
      <x:c r="A282" s="15" t="str">
        <x:v>SWARM-02-H12-S05</x:v>
      </x:c>
      <x:c r="B282" s="15" t="str">
        <x:v>Hashlight</x:v>
      </x:c>
      <x:c r="C282" s="15" t="str">
        <x:v>Hash and identity keeper</x:v>
      </x:c>
      <x:c r="D282" s="15" t="str">
        <x:v>Canon-Gate Prep</x:v>
      </x:c>
      <x:c r="E282" s="15" t="str">
        <x:v>Chat</x:v>
      </x:c>
      <x:c r="F282" s="15" t="str">
        <x:v>Prepare canon-gate brief for Chat — Hashlight</x:v>
      </x:c>
      <x:c r="G282" s="15" t="str">
        <x:v>ids / hashes / timestamps / duplicate control</x:v>
      </x:c>
      <x:c r="H282" s="15" t="str">
        <x:v>source path + receipt + raw/export status + claim/edge/risk delta</x:v>
      </x:c>
      <x:c r="I282" s="15" t="str">
        <x:v>packet/SWARM-02-H12-S05</x:v>
      </x:c>
      <x:c r="J282" s="15" t="str">
        <x:v>TODO</x:v>
      </x:c>
      <x:c r="K282" s="15" t="str">
        <x:v>P1</x:v>
      </x:c>
      <x:c r="L282" s="15" t="str">
        <x:v>Done only when evidence is logged, contradiction search is noted, and boundary stamp remains non-canon unless ratified</x:v>
      </x:c>
      <x:c r="M282" s="15" t="str">
        <x:v>candidate / staging-only / not canon / not deployed / authority none</x:v>
      </x:c>
      <x:c r="N282" s="15" t="str">
        <x:v>Dispatch to Hashlight: complete Canon-Gate Prep x Chat; return deltas only, receipts required.</x:v>
      </x:c>
      <x:c r="O282" s="15" t="str">
        <x:v>AF-KG-H12-S05</x:v>
      </x:c>
      <x:c r="P282" s="15" t="str">
        <x:v>Unverified</x:v>
      </x:c>
      <x:c r="Q282" s="15" t="str">
        <x:v>Not checked</x:v>
      </x:c>
      <x:c r="R282" s="15" t="str"/>
      <x:c r="S282" s="15" t="str"/>
      <x:c r="T282" s="15" t="str">
        <x:v>Log first source path or blocker</x:v>
      </x:c>
      <x:c r="U282" s="12" t="str">
        <x:f>IF(OR(P282="Unverified",Q282="Not checked"),"BLOCKED_PENDING_RECEIPT","READY_FOR_REVIEW")</x:f>
        <x:v>BLOCKED_PENDING_RECEIPT</x:v>
      </x:c>
      <x:c r="V282" s="12" t="str">
        <x:f>IF(J282="DONE","RETURNED",IF(U282="BLOCKED_PENDING_RECEIPT","SOURCE_TOUCH_REQUIRED","IN_PROGRESS"))</x:f>
        <x:v>SOURCE_TOUCH_REQUIRED</x:v>
      </x:c>
      <x:c r="W282" s="12" t="str">
        <x:f>IF(P282="Unverified","missing_receipt","receipt_logged")</x:f>
        <x:v>missing_receipt</x:v>
      </x:c>
      <x:c r="X282" s="12" t="str">
        <x:f>IF(Q282="Not checked","raw_status_missing","raw_status_logged")</x:f>
        <x:v>raw_status_missing</x:v>
      </x:c>
      <x:c r="Y282" s="12" t="str">
        <x:f>IF(U282="BLOCKED_PENDING_RECEIPT","Log source path or blocker; do not promote","Route to review lane")</x:f>
        <x:v>Log source path or blocker; do not promote</x:v>
      </x:c>
      <x:c r="Z282" s="12" t="str">
        <x:f>IF(K282="P0","Primary seat + Hashlight/Lucerna","Seat lane")</x:f>
        <x:v>Seat lane</x:v>
      </x:c>
      <x:c r="AA282" s="12" t="str">
        <x:f>IF(R282="","no_claim_delta","claim_delta_present")</x:f>
        <x:v>no_claim_delta</x:v>
      </x:c>
      <x:c r="AB282" s="12" t="str">
        <x:f>IF(S282="","no_contradiction_delta","contradiction_delta_present")</x:f>
        <x:v>no_contradiction_delta</x:v>
      </x:c>
      <x:c r="AC282" s="12" t="str">
        <x:f>IF(OR(ISNUMBER(SEARCH("hacker",LOWER(F282&amp;" "&amp;H282&amp;" "&amp;I282&amp;" "&amp;M282&amp;" "&amp;N282&amp;" "&amp;T282))),ISNUMBER(SEARCH("hacking",LOWER(F282&amp;" "&amp;H282&amp;" "&amp;I282&amp;" "&amp;M282&amp;" "&amp;N282&amp;" "&amp;T282))),ISNUMBER(SEARCH("bank",LOWER(F282&amp;" "&amp;H282&amp;" "&amp;I282&amp;" "&amp;M282&amp;" "&amp;N282&amp;" "&amp;T282))),ISNUMBER(SEARCH("banking",LOWER(F282&amp;" "&amp;H282&amp;" "&amp;I282&amp;" "&amp;M282&amp;" "&amp;N282&amp;" "&amp;T282)))),"PRIVATE_QUARANTINE",IF(OR(ISNUMBER(SEARCH("treasury",LOWER(F282&amp;" "&amp;H282&amp;" "&amp;I282&amp;" "&amp;M282&amp;" "&amp;N282&amp;" "&amp;T282))),ISNUMBER(SEARCH("debt",LOWER(F282&amp;" "&amp;H282&amp;" "&amp;I282&amp;" "&amp;M282&amp;" "&amp;N282&amp;" "&amp;T282))),ISNUMBER(SEARCH("bond",LOWER(F282&amp;" "&amp;H282&amp;" "&amp;I282&amp;" "&amp;M282&amp;" "&amp;N282&amp;" "&amp;T282))),ISNUMBER(SEARCH("transaction",LOWER(F282&amp;" "&amp;H282&amp;" "&amp;I282&amp;" "&amp;M282&amp;" "&amp;N282&amp;" "&amp;T282)))),"PRIVATE_REVIEW","PUBLIC_CANDIDATE"))</x:f>
        <x:v>PUBLIC_CANDIDATE</x:v>
      </x:c>
      <x:c r="AD282" s="12" t="str">
        <x:f>IF(AC282="PRIVATE_QUARANTINE","hacker_or_bank_trigger",IF(AC282="PRIVATE_REVIEW","finance_risk_trigger","none"))</x:f>
        <x:v>none</x:v>
      </x:c>
      <x:c r="AE282" s="12" t="str">
        <x:f>IF(AC282="PUBLIC_CANDIDATE","prepare_public_github_candidate",IF(AC282="PRIVATE_REVIEW","hold_for_private_review","quarantine_private_do_not_publish"))</x:f>
        <x:v>prepare_public_github_candidate</x:v>
      </x:c>
      <x:c r="AF282" s="12" t="str">
        <x:f>IF(AC282="PUBLIC_CANDIDATE","TIDELOCK + Lucerna",IF(AC282="PRIVATE_REVIEW","AtlasBrain + Lucerna","TIDELOCK + Lucerna + Human-root"))</x:f>
        <x:v>TIDELOCK + Lucerna</x:v>
      </x:c>
      <x:c r="AG282" s="12" t="str">
        <x:f>IF(AND(AC282="PUBLIC_CANDIDATE",U282&lt;&gt;"BLOCKED_PENDING_RECEIPT"),"READY_AFTER_RECEIPT","NOT_READY")</x:f>
        <x:v>NOT_READY</x:v>
      </x:c>
      <x:c r="AH282" s="12" t="str">
        <x:f>IF(AC282="PUBLIC_CANDIDATE","none",AD282)</x:f>
        <x:v>none</x:v>
      </x:c>
      <x:c r="AI282" s="12" t="str">
        <x:f>IF(AC282="PUBLIC_CANDIDATE","archive/public_candidates/"&amp;A282,"private_quarantine/"&amp;A282)</x:f>
        <x:v>archive/public_candidates/SWARM-02-H12-S05</x:v>
      </x:c>
      <x:c r="AJ282" s="12" t="str">
        <x:f>IF(AC282="PUBLIC_CANDIDATE","public by default; still not canon","private/hold; do not publish")</x:f>
        <x:v>public by default; still not canon</x:v>
      </x:c>
      <x:c r="AK282" s="12" t="str">
        <x:f>IF(AE282="prepare_public_github_candidate","add receipt/status then mirror","resolve blocker before any public GitHub action")</x:f>
        <x:v>add receipt/status then mirror</x:v>
      </x:c>
    </x:row>
    <x:row r="283">
      <x:c r="A283" s="15" t="str">
        <x:v>SWARM-02-H12-S06</x:v>
      </x:c>
      <x:c r="B283" s="15" t="str">
        <x:v>Hashlight</x:v>
      </x:c>
      <x:c r="C283" s="15" t="str">
        <x:v>Hash and identity keeper</x:v>
      </x:c>
      <x:c r="D283" s="15" t="str">
        <x:v>Canon-Gate Prep</x:v>
      </x:c>
      <x:c r="E283" s="15" t="str">
        <x:v>External Web</x:v>
      </x:c>
      <x:c r="F283" s="15" t="str">
        <x:v>Prepare canon-gate brief for External Web — Hashlight</x:v>
      </x:c>
      <x:c r="G283" s="15" t="str">
        <x:v>ids / hashes / timestamps / duplicate control</x:v>
      </x:c>
      <x:c r="H283" s="15" t="str">
        <x:v>source path + receipt + raw/export status + claim/edge/risk delta</x:v>
      </x:c>
      <x:c r="I283" s="15" t="str">
        <x:v>packet/SWARM-02-H12-S06</x:v>
      </x:c>
      <x:c r="J283" s="15" t="str">
        <x:v>TODO</x:v>
      </x:c>
      <x:c r="K283" s="15" t="str">
        <x:v>P1</x:v>
      </x:c>
      <x:c r="L283" s="15" t="str">
        <x:v>Done only when evidence is logged, contradiction search is noted, and boundary stamp remains non-canon unless ratified</x:v>
      </x:c>
      <x:c r="M283" s="15" t="str">
        <x:v>candidate / staging-only / not canon / not deployed / authority none</x:v>
      </x:c>
      <x:c r="N283" s="15" t="str">
        <x:v>Dispatch to Hashlight: complete Canon-Gate Prep x External Web; return deltas only, receipts required.</x:v>
      </x:c>
      <x:c r="O283" s="15" t="str">
        <x:v>AF-KG-H12-S06</x:v>
      </x:c>
      <x:c r="P283" s="15" t="str">
        <x:v>Unverified</x:v>
      </x:c>
      <x:c r="Q283" s="15" t="str">
        <x:v>Not checked</x:v>
      </x:c>
      <x:c r="R283" s="15" t="str"/>
      <x:c r="S283" s="15" t="str"/>
      <x:c r="T283" s="15" t="str">
        <x:v>Log first source path or blocker</x:v>
      </x:c>
      <x:c r="U283" s="12" t="str">
        <x:f>IF(OR(P283="Unverified",Q283="Not checked"),"BLOCKED_PENDING_RECEIPT","READY_FOR_REVIEW")</x:f>
        <x:v>BLOCKED_PENDING_RECEIPT</x:v>
      </x:c>
      <x:c r="V283" s="12" t="str">
        <x:f>IF(J283="DONE","RETURNED",IF(U283="BLOCKED_PENDING_RECEIPT","SOURCE_TOUCH_REQUIRED","IN_PROGRESS"))</x:f>
        <x:v>SOURCE_TOUCH_REQUIRED</x:v>
      </x:c>
      <x:c r="W283" s="12" t="str">
        <x:f>IF(P283="Unverified","missing_receipt","receipt_logged")</x:f>
        <x:v>missing_receipt</x:v>
      </x:c>
      <x:c r="X283" s="12" t="str">
        <x:f>IF(Q283="Not checked","raw_status_missing","raw_status_logged")</x:f>
        <x:v>raw_status_missing</x:v>
      </x:c>
      <x:c r="Y283" s="12" t="str">
        <x:f>IF(U283="BLOCKED_PENDING_RECEIPT","Log source path or blocker; do not promote","Route to review lane")</x:f>
        <x:v>Log source path or blocker; do not promote</x:v>
      </x:c>
      <x:c r="Z283" s="12" t="str">
        <x:f>IF(K283="P0","Primary seat + Hashlight/Lucerna","Seat lane")</x:f>
        <x:v>Seat lane</x:v>
      </x:c>
      <x:c r="AA283" s="12" t="str">
        <x:f>IF(R283="","no_claim_delta","claim_delta_present")</x:f>
        <x:v>no_claim_delta</x:v>
      </x:c>
      <x:c r="AB283" s="12" t="str">
        <x:f>IF(S283="","no_contradiction_delta","contradiction_delta_present")</x:f>
        <x:v>no_contradiction_delta</x:v>
      </x:c>
      <x:c r="AC283" s="12" t="str">
        <x:f>IF(OR(ISNUMBER(SEARCH("hacker",LOWER(F283&amp;" "&amp;H283&amp;" "&amp;I283&amp;" "&amp;M283&amp;" "&amp;N283&amp;" "&amp;T283))),ISNUMBER(SEARCH("hacking",LOWER(F283&amp;" "&amp;H283&amp;" "&amp;I283&amp;" "&amp;M283&amp;" "&amp;N283&amp;" "&amp;T283))),ISNUMBER(SEARCH("bank",LOWER(F283&amp;" "&amp;H283&amp;" "&amp;I283&amp;" "&amp;M283&amp;" "&amp;N283&amp;" "&amp;T283))),ISNUMBER(SEARCH("banking",LOWER(F283&amp;" "&amp;H283&amp;" "&amp;I283&amp;" "&amp;M283&amp;" "&amp;N283&amp;" "&amp;T283)))),"PRIVATE_QUARANTINE",IF(OR(ISNUMBER(SEARCH("treasury",LOWER(F283&amp;" "&amp;H283&amp;" "&amp;I283&amp;" "&amp;M283&amp;" "&amp;N283&amp;" "&amp;T283))),ISNUMBER(SEARCH("debt",LOWER(F283&amp;" "&amp;H283&amp;" "&amp;I283&amp;" "&amp;M283&amp;" "&amp;N283&amp;" "&amp;T283))),ISNUMBER(SEARCH("bond",LOWER(F283&amp;" "&amp;H283&amp;" "&amp;I283&amp;" "&amp;M283&amp;" "&amp;N283&amp;" "&amp;T283))),ISNUMBER(SEARCH("transaction",LOWER(F283&amp;" "&amp;H283&amp;" "&amp;I283&amp;" "&amp;M283&amp;" "&amp;N283&amp;" "&amp;T283)))),"PRIVATE_REVIEW","PUBLIC_CANDIDATE"))</x:f>
        <x:v>PUBLIC_CANDIDATE</x:v>
      </x:c>
      <x:c r="AD283" s="12" t="str">
        <x:f>IF(AC283="PRIVATE_QUARANTINE","hacker_or_bank_trigger",IF(AC283="PRIVATE_REVIEW","finance_risk_trigger","none"))</x:f>
        <x:v>none</x:v>
      </x:c>
      <x:c r="AE283" s="12" t="str">
        <x:f>IF(AC283="PUBLIC_CANDIDATE","prepare_public_github_candidate",IF(AC283="PRIVATE_REVIEW","hold_for_private_review","quarantine_private_do_not_publish"))</x:f>
        <x:v>prepare_public_github_candidate</x:v>
      </x:c>
      <x:c r="AF283" s="12" t="str">
        <x:f>IF(AC283="PUBLIC_CANDIDATE","TIDELOCK + Lucerna",IF(AC283="PRIVATE_REVIEW","AtlasBrain + Lucerna","TIDELOCK + Lucerna + Human-root"))</x:f>
        <x:v>TIDELOCK + Lucerna</x:v>
      </x:c>
      <x:c r="AG283" s="12" t="str">
        <x:f>IF(AND(AC283="PUBLIC_CANDIDATE",U283&lt;&gt;"BLOCKED_PENDING_RECEIPT"),"READY_AFTER_RECEIPT","NOT_READY")</x:f>
        <x:v>NOT_READY</x:v>
      </x:c>
      <x:c r="AH283" s="12" t="str">
        <x:f>IF(AC283="PUBLIC_CANDIDATE","none",AD283)</x:f>
        <x:v>none</x:v>
      </x:c>
      <x:c r="AI283" s="12" t="str">
        <x:f>IF(AC283="PUBLIC_CANDIDATE","archive/public_candidates/"&amp;A283,"private_quarantine/"&amp;A283)</x:f>
        <x:v>archive/public_candidates/SWARM-02-H12-S06</x:v>
      </x:c>
      <x:c r="AJ283" s="12" t="str">
        <x:f>IF(AC283="PUBLIC_CANDIDATE","public by default; still not canon","private/hold; do not publish")</x:f>
        <x:v>public by default; still not canon</x:v>
      </x:c>
      <x:c r="AK283" s="12" t="str">
        <x:f>IF(AE283="prepare_public_github_candidate","add receipt/status then mirror","resolve blocker before any public GitHub action")</x:f>
        <x:v>add receipt/status then mirror</x:v>
      </x:c>
    </x:row>
    <x:row r="284">
      <x:c r="A284" s="15" t="str">
        <x:v>SWARM-02-H12-S07</x:v>
      </x:c>
      <x:c r="B284" s="15" t="str">
        <x:v>Hashlight</x:v>
      </x:c>
      <x:c r="C284" s="15" t="str">
        <x:v>Hash and identity keeper</x:v>
      </x:c>
      <x:c r="D284" s="15" t="str">
        <x:v>Canon-Gate Prep</x:v>
      </x:c>
      <x:c r="E284" s="15" t="str">
        <x:v>Planetarium</x:v>
      </x:c>
      <x:c r="F284" s="15" t="str">
        <x:v>Prepare canon-gate brief for Planetarium — Hashlight</x:v>
      </x:c>
      <x:c r="G284" s="15" t="str">
        <x:v>ids / hashes / timestamps / duplicate control</x:v>
      </x:c>
      <x:c r="H284" s="15" t="str">
        <x:v>source path + receipt + raw/export status + claim/edge/risk delta</x:v>
      </x:c>
      <x:c r="I284" s="15" t="str">
        <x:v>packet/SWARM-02-H12-S07</x:v>
      </x:c>
      <x:c r="J284" s="15" t="str">
        <x:v>TODO</x:v>
      </x:c>
      <x:c r="K284" s="15" t="str">
        <x:v>P1</x:v>
      </x:c>
      <x:c r="L284" s="15" t="str">
        <x:v>Done only when evidence is logged, contradiction search is noted, and boundary stamp remains non-canon unless ratified</x:v>
      </x:c>
      <x:c r="M284" s="15" t="str">
        <x:v>candidate / staging-only / not canon / not deployed / authority none</x:v>
      </x:c>
      <x:c r="N284" s="15" t="str">
        <x:v>Dispatch to Hashlight: complete Canon-Gate Prep x Planetarium; return deltas only, receipts required.</x:v>
      </x:c>
      <x:c r="O284" s="15" t="str">
        <x:v>AF-KG-H12-S07</x:v>
      </x:c>
      <x:c r="P284" s="15" t="str">
        <x:v>Unverified</x:v>
      </x:c>
      <x:c r="Q284" s="15" t="str">
        <x:v>Not checked</x:v>
      </x:c>
      <x:c r="R284" s="15" t="str"/>
      <x:c r="S284" s="15" t="str"/>
      <x:c r="T284" s="15" t="str">
        <x:v>Log first source path or blocker</x:v>
      </x:c>
      <x:c r="U284" s="12" t="str">
        <x:f>IF(OR(P284="Unverified",Q284="Not checked"),"BLOCKED_PENDING_RECEIPT","READY_FOR_REVIEW")</x:f>
        <x:v>BLOCKED_PENDING_RECEIPT</x:v>
      </x:c>
      <x:c r="V284" s="12" t="str">
        <x:f>IF(J284="DONE","RETURNED",IF(U284="BLOCKED_PENDING_RECEIPT","SOURCE_TOUCH_REQUIRED","IN_PROGRESS"))</x:f>
        <x:v>SOURCE_TOUCH_REQUIRED</x:v>
      </x:c>
      <x:c r="W284" s="12" t="str">
        <x:f>IF(P284="Unverified","missing_receipt","receipt_logged")</x:f>
        <x:v>missing_receipt</x:v>
      </x:c>
      <x:c r="X284" s="12" t="str">
        <x:f>IF(Q284="Not checked","raw_status_missing","raw_status_logged")</x:f>
        <x:v>raw_status_missing</x:v>
      </x:c>
      <x:c r="Y284" s="12" t="str">
        <x:f>IF(U284="BLOCKED_PENDING_RECEIPT","Log source path or blocker; do not promote","Route to review lane")</x:f>
        <x:v>Log source path or blocker; do not promote</x:v>
      </x:c>
      <x:c r="Z284" s="12" t="str">
        <x:f>IF(K284="P0","Primary seat + Hashlight/Lucerna","Seat lane")</x:f>
        <x:v>Seat lane</x:v>
      </x:c>
      <x:c r="AA284" s="12" t="str">
        <x:f>IF(R284="","no_claim_delta","claim_delta_present")</x:f>
        <x:v>no_claim_delta</x:v>
      </x:c>
      <x:c r="AB284" s="12" t="str">
        <x:f>IF(S284="","no_contradiction_delta","contradiction_delta_present")</x:f>
        <x:v>no_contradiction_delta</x:v>
      </x:c>
      <x:c r="AC284" s="12" t="str">
        <x:f>IF(OR(ISNUMBER(SEARCH("hacker",LOWER(F284&amp;" "&amp;H284&amp;" "&amp;I284&amp;" "&amp;M284&amp;" "&amp;N284&amp;" "&amp;T284))),ISNUMBER(SEARCH("hacking",LOWER(F284&amp;" "&amp;H284&amp;" "&amp;I284&amp;" "&amp;M284&amp;" "&amp;N284&amp;" "&amp;T284))),ISNUMBER(SEARCH("bank",LOWER(F284&amp;" "&amp;H284&amp;" "&amp;I284&amp;" "&amp;M284&amp;" "&amp;N284&amp;" "&amp;T284))),ISNUMBER(SEARCH("banking",LOWER(F284&amp;" "&amp;H284&amp;" "&amp;I284&amp;" "&amp;M284&amp;" "&amp;N284&amp;" "&amp;T284)))),"PRIVATE_QUARANTINE",IF(OR(ISNUMBER(SEARCH("treasury",LOWER(F284&amp;" "&amp;H284&amp;" "&amp;I284&amp;" "&amp;M284&amp;" "&amp;N284&amp;" "&amp;T284))),ISNUMBER(SEARCH("debt",LOWER(F284&amp;" "&amp;H284&amp;" "&amp;I284&amp;" "&amp;M284&amp;" "&amp;N284&amp;" "&amp;T284))),ISNUMBER(SEARCH("bond",LOWER(F284&amp;" "&amp;H284&amp;" "&amp;I284&amp;" "&amp;M284&amp;" "&amp;N284&amp;" "&amp;T284))),ISNUMBER(SEARCH("transaction",LOWER(F284&amp;" "&amp;H284&amp;" "&amp;I284&amp;" "&amp;M284&amp;" "&amp;N284&amp;" "&amp;T284)))),"PRIVATE_REVIEW","PUBLIC_CANDIDATE"))</x:f>
        <x:v>PUBLIC_CANDIDATE</x:v>
      </x:c>
      <x:c r="AD284" s="12" t="str">
        <x:f>IF(AC284="PRIVATE_QUARANTINE","hacker_or_bank_trigger",IF(AC284="PRIVATE_REVIEW","finance_risk_trigger","none"))</x:f>
        <x:v>none</x:v>
      </x:c>
      <x:c r="AE284" s="12" t="str">
        <x:f>IF(AC284="PUBLIC_CANDIDATE","prepare_public_github_candidate",IF(AC284="PRIVATE_REVIEW","hold_for_private_review","quarantine_private_do_not_publish"))</x:f>
        <x:v>prepare_public_github_candidate</x:v>
      </x:c>
      <x:c r="AF284" s="12" t="str">
        <x:f>IF(AC284="PUBLIC_CANDIDATE","TIDELOCK + Lucerna",IF(AC284="PRIVATE_REVIEW","AtlasBrain + Lucerna","TIDELOCK + Lucerna + Human-root"))</x:f>
        <x:v>TIDELOCK + Lucerna</x:v>
      </x:c>
      <x:c r="AG284" s="12" t="str">
        <x:f>IF(AND(AC284="PUBLIC_CANDIDATE",U284&lt;&gt;"BLOCKED_PENDING_RECEIPT"),"READY_AFTER_RECEIPT","NOT_READY")</x:f>
        <x:v>NOT_READY</x:v>
      </x:c>
      <x:c r="AH284" s="12" t="str">
        <x:f>IF(AC284="PUBLIC_CANDIDATE","none",AD284)</x:f>
        <x:v>none</x:v>
      </x:c>
      <x:c r="AI284" s="12" t="str">
        <x:f>IF(AC284="PUBLIC_CANDIDATE","archive/public_candidates/"&amp;A284,"private_quarantine/"&amp;A284)</x:f>
        <x:v>archive/public_candidates/SWARM-02-H12-S07</x:v>
      </x:c>
      <x:c r="AJ284" s="12" t="str">
        <x:f>IF(AC284="PUBLIC_CANDIDATE","public by default; still not canon","private/hold; do not publish")</x:f>
        <x:v>public by default; still not canon</x:v>
      </x:c>
      <x:c r="AK284" s="12" t="str">
        <x:f>IF(AE284="prepare_public_github_candidate","add receipt/status then mirror","resolve blocker before any public GitHub action")</x:f>
        <x:v>add receipt/status then mirror</x:v>
      </x:c>
    </x:row>
    <x:row r="285">
      <x:c r="A285" s="15" t="str">
        <x:v>SWARM-02-H12-S08</x:v>
      </x:c>
      <x:c r="B285" s="15" t="str">
        <x:v>Hashlight</x:v>
      </x:c>
      <x:c r="C285" s="15" t="str">
        <x:v>Hash and identity keeper</x:v>
      </x:c>
      <x:c r="D285" s="15" t="str">
        <x:v>Canon-Gate Prep</x:v>
      </x:c>
      <x:c r="E285" s="15" t="str">
        <x:v>Sheldonbrain</x:v>
      </x:c>
      <x:c r="F285" s="15" t="str">
        <x:v>Prepare canon-gate brief for Sheldonbrain — Hashlight</x:v>
      </x:c>
      <x:c r="G285" s="15" t="str">
        <x:v>ids / hashes / timestamps / duplicate control</x:v>
      </x:c>
      <x:c r="H285" s="15" t="str">
        <x:v>source path + receipt + raw/export status + claim/edge/risk delta</x:v>
      </x:c>
      <x:c r="I285" s="15" t="str">
        <x:v>packet/SWARM-02-H12-S08</x:v>
      </x:c>
      <x:c r="J285" s="15" t="str">
        <x:v>TODO</x:v>
      </x:c>
      <x:c r="K285" s="15" t="str">
        <x:v>P1</x:v>
      </x:c>
      <x:c r="L285" s="15" t="str">
        <x:v>Done only when evidence is logged, contradiction search is noted, and boundary stamp remains non-canon unless ratified</x:v>
      </x:c>
      <x:c r="M285" s="15" t="str">
        <x:v>candidate / staging-only / not canon / not deployed / authority none</x:v>
      </x:c>
      <x:c r="N285" s="15" t="str">
        <x:v>Dispatch to Hashlight: complete Canon-Gate Prep x Sheldonbrain; return deltas only, receipts required.</x:v>
      </x:c>
      <x:c r="O285" s="15" t="str">
        <x:v>AF-KG-H12-S08</x:v>
      </x:c>
      <x:c r="P285" s="15" t="str">
        <x:v>Unverified</x:v>
      </x:c>
      <x:c r="Q285" s="15" t="str">
        <x:v>Not checked</x:v>
      </x:c>
      <x:c r="R285" s="15" t="str"/>
      <x:c r="S285" s="15" t="str"/>
      <x:c r="T285" s="15" t="str">
        <x:v>Log first source path or blocker</x:v>
      </x:c>
      <x:c r="U285" s="12" t="str">
        <x:f>IF(OR(P285="Unverified",Q285="Not checked"),"BLOCKED_PENDING_RECEIPT","READY_FOR_REVIEW")</x:f>
        <x:v>BLOCKED_PENDING_RECEIPT</x:v>
      </x:c>
      <x:c r="V285" s="12" t="str">
        <x:f>IF(J285="DONE","RETURNED",IF(U285="BLOCKED_PENDING_RECEIPT","SOURCE_TOUCH_REQUIRED","IN_PROGRESS"))</x:f>
        <x:v>SOURCE_TOUCH_REQUIRED</x:v>
      </x:c>
      <x:c r="W285" s="12" t="str">
        <x:f>IF(P285="Unverified","missing_receipt","receipt_logged")</x:f>
        <x:v>missing_receipt</x:v>
      </x:c>
      <x:c r="X285" s="12" t="str">
        <x:f>IF(Q285="Not checked","raw_status_missing","raw_status_logged")</x:f>
        <x:v>raw_status_missing</x:v>
      </x:c>
      <x:c r="Y285" s="12" t="str">
        <x:f>IF(U285="BLOCKED_PENDING_RECEIPT","Log source path or blocker; do not promote","Route to review lane")</x:f>
        <x:v>Log source path or blocker; do not promote</x:v>
      </x:c>
      <x:c r="Z285" s="12" t="str">
        <x:f>IF(K285="P0","Primary seat + Hashlight/Lucerna","Seat lane")</x:f>
        <x:v>Seat lane</x:v>
      </x:c>
      <x:c r="AA285" s="12" t="str">
        <x:f>IF(R285="","no_claim_delta","claim_delta_present")</x:f>
        <x:v>no_claim_delta</x:v>
      </x:c>
      <x:c r="AB285" s="12" t="str">
        <x:f>IF(S285="","no_contradiction_delta","contradiction_delta_present")</x:f>
        <x:v>no_contradiction_delta</x:v>
      </x:c>
      <x:c r="AC285" s="12" t="str">
        <x:f>IF(OR(ISNUMBER(SEARCH("hacker",LOWER(F285&amp;" "&amp;H285&amp;" "&amp;I285&amp;" "&amp;M285&amp;" "&amp;N285&amp;" "&amp;T285))),ISNUMBER(SEARCH("hacking",LOWER(F285&amp;" "&amp;H285&amp;" "&amp;I285&amp;" "&amp;M285&amp;" "&amp;N285&amp;" "&amp;T285))),ISNUMBER(SEARCH("bank",LOWER(F285&amp;" "&amp;H285&amp;" "&amp;I285&amp;" "&amp;M285&amp;" "&amp;N285&amp;" "&amp;T285))),ISNUMBER(SEARCH("banking",LOWER(F285&amp;" "&amp;H285&amp;" "&amp;I285&amp;" "&amp;M285&amp;" "&amp;N285&amp;" "&amp;T285)))),"PRIVATE_QUARANTINE",IF(OR(ISNUMBER(SEARCH("treasury",LOWER(F285&amp;" "&amp;H285&amp;" "&amp;I285&amp;" "&amp;M285&amp;" "&amp;N285&amp;" "&amp;T285))),ISNUMBER(SEARCH("debt",LOWER(F285&amp;" "&amp;H285&amp;" "&amp;I285&amp;" "&amp;M285&amp;" "&amp;N285&amp;" "&amp;T285))),ISNUMBER(SEARCH("bond",LOWER(F285&amp;" "&amp;H285&amp;" "&amp;I285&amp;" "&amp;M285&amp;" "&amp;N285&amp;" "&amp;T285))),ISNUMBER(SEARCH("transaction",LOWER(F285&amp;" "&amp;H285&amp;" "&amp;I285&amp;" "&amp;M285&amp;" "&amp;N285&amp;" "&amp;T285)))),"PRIVATE_REVIEW","PUBLIC_CANDIDATE"))</x:f>
        <x:v>PUBLIC_CANDIDATE</x:v>
      </x:c>
      <x:c r="AD285" s="12" t="str">
        <x:f>IF(AC285="PRIVATE_QUARANTINE","hacker_or_bank_trigger",IF(AC285="PRIVATE_REVIEW","finance_risk_trigger","none"))</x:f>
        <x:v>none</x:v>
      </x:c>
      <x:c r="AE285" s="12" t="str">
        <x:f>IF(AC285="PUBLIC_CANDIDATE","prepare_public_github_candidate",IF(AC285="PRIVATE_REVIEW","hold_for_private_review","quarantine_private_do_not_publish"))</x:f>
        <x:v>prepare_public_github_candidate</x:v>
      </x:c>
      <x:c r="AF285" s="12" t="str">
        <x:f>IF(AC285="PUBLIC_CANDIDATE","TIDELOCK + Lucerna",IF(AC285="PRIVATE_REVIEW","AtlasBrain + Lucerna","TIDELOCK + Lucerna + Human-root"))</x:f>
        <x:v>TIDELOCK + Lucerna</x:v>
      </x:c>
      <x:c r="AG285" s="12" t="str">
        <x:f>IF(AND(AC285="PUBLIC_CANDIDATE",U285&lt;&gt;"BLOCKED_PENDING_RECEIPT"),"READY_AFTER_RECEIPT","NOT_READY")</x:f>
        <x:v>NOT_READY</x:v>
      </x:c>
      <x:c r="AH285" s="12" t="str">
        <x:f>IF(AC285="PUBLIC_CANDIDATE","none",AD285)</x:f>
        <x:v>none</x:v>
      </x:c>
      <x:c r="AI285" s="12" t="str">
        <x:f>IF(AC285="PUBLIC_CANDIDATE","archive/public_candidates/"&amp;A285,"private_quarantine/"&amp;A285)</x:f>
        <x:v>archive/public_candidates/SWARM-02-H12-S08</x:v>
      </x:c>
      <x:c r="AJ285" s="12" t="str">
        <x:f>IF(AC285="PUBLIC_CANDIDATE","public by default; still not canon","private/hold; do not publish")</x:f>
        <x:v>public by default; still not canon</x:v>
      </x:c>
      <x:c r="AK285" s="12" t="str">
        <x:f>IF(AE285="prepare_public_github_candidate","add receipt/status then mirror","resolve blocker before any public GitHub action")</x:f>
        <x:v>add receipt/status then mirror</x:v>
      </x:c>
    </x:row>
    <x:row r="286">
      <x:c r="A286" s="15" t="str">
        <x:v>SWARM-02-H12-S09</x:v>
      </x:c>
      <x:c r="B286" s="15" t="str">
        <x:v>Hashlight</x:v>
      </x:c>
      <x:c r="C286" s="15" t="str">
        <x:v>Hash and identity keeper</x:v>
      </x:c>
      <x:c r="D286" s="15" t="str">
        <x:v>Canon-Gate Prep</x:v>
      </x:c>
      <x:c r="E286" s="15" t="str">
        <x:v>Aetherforge</x:v>
      </x:c>
      <x:c r="F286" s="15" t="str">
        <x:v>Prepare canon-gate brief for Aetherforge — Hashlight</x:v>
      </x:c>
      <x:c r="G286" s="15" t="str">
        <x:v>ids / hashes / timestamps / duplicate control</x:v>
      </x:c>
      <x:c r="H286" s="15" t="str">
        <x:v>source path + receipt + raw/export status + claim/edge/risk delta</x:v>
      </x:c>
      <x:c r="I286" s="15" t="str">
        <x:v>packet/SWARM-02-H12-S09</x:v>
      </x:c>
      <x:c r="J286" s="15" t="str">
        <x:v>TODO</x:v>
      </x:c>
      <x:c r="K286" s="15" t="str">
        <x:v>P2</x:v>
      </x:c>
      <x:c r="L286" s="15" t="str">
        <x:v>Done only when evidence is logged, contradiction search is noted, and boundary stamp remains non-canon unless ratified</x:v>
      </x:c>
      <x:c r="M286" s="15" t="str">
        <x:v>candidate / staging-only / not canon / not deployed / authority none</x:v>
      </x:c>
      <x:c r="N286" s="15" t="str">
        <x:v>Dispatch to Hashlight: complete Canon-Gate Prep x Aetherforge; return deltas only, receipts required.</x:v>
      </x:c>
      <x:c r="O286" s="15" t="str">
        <x:v>AF-KG-H12-S09</x:v>
      </x:c>
      <x:c r="P286" s="15" t="str">
        <x:v>Unverified</x:v>
      </x:c>
      <x:c r="Q286" s="15" t="str">
        <x:v>Not checked</x:v>
      </x:c>
      <x:c r="R286" s="15" t="str"/>
      <x:c r="S286" s="15" t="str"/>
      <x:c r="T286" s="15" t="str">
        <x:v>Log first source path or blocker</x:v>
      </x:c>
      <x:c r="U286" s="12" t="str">
        <x:f>IF(OR(P286="Unverified",Q286="Not checked"),"BLOCKED_PENDING_RECEIPT","READY_FOR_REVIEW")</x:f>
        <x:v>BLOCKED_PENDING_RECEIPT</x:v>
      </x:c>
      <x:c r="V286" s="12" t="str">
        <x:f>IF(J286="DONE","RETURNED",IF(U286="BLOCKED_PENDING_RECEIPT","SOURCE_TOUCH_REQUIRED","IN_PROGRESS"))</x:f>
        <x:v>SOURCE_TOUCH_REQUIRED</x:v>
      </x:c>
      <x:c r="W286" s="12" t="str">
        <x:f>IF(P286="Unverified","missing_receipt","receipt_logged")</x:f>
        <x:v>missing_receipt</x:v>
      </x:c>
      <x:c r="X286" s="12" t="str">
        <x:f>IF(Q286="Not checked","raw_status_missing","raw_status_logged")</x:f>
        <x:v>raw_status_missing</x:v>
      </x:c>
      <x:c r="Y286" s="12" t="str">
        <x:f>IF(U286="BLOCKED_PENDING_RECEIPT","Log source path or blocker; do not promote","Route to review lane")</x:f>
        <x:v>Log source path or blocker; do not promote</x:v>
      </x:c>
      <x:c r="Z286" s="12" t="str">
        <x:f>IF(K286="P0","Primary seat + Hashlight/Lucerna","Seat lane")</x:f>
        <x:v>Seat lane</x:v>
      </x:c>
      <x:c r="AA286" s="12" t="str">
        <x:f>IF(R286="","no_claim_delta","claim_delta_present")</x:f>
        <x:v>no_claim_delta</x:v>
      </x:c>
      <x:c r="AB286" s="12" t="str">
        <x:f>IF(S286="","no_contradiction_delta","contradiction_delta_present")</x:f>
        <x:v>no_contradiction_delta</x:v>
      </x:c>
      <x:c r="AC286" s="12" t="str">
        <x:f>IF(OR(ISNUMBER(SEARCH("hacker",LOWER(F286&amp;" "&amp;H286&amp;" "&amp;I286&amp;" "&amp;M286&amp;" "&amp;N286&amp;" "&amp;T286))),ISNUMBER(SEARCH("hacking",LOWER(F286&amp;" "&amp;H286&amp;" "&amp;I286&amp;" "&amp;M286&amp;" "&amp;N286&amp;" "&amp;T286))),ISNUMBER(SEARCH("bank",LOWER(F286&amp;" "&amp;H286&amp;" "&amp;I286&amp;" "&amp;M286&amp;" "&amp;N286&amp;" "&amp;T286))),ISNUMBER(SEARCH("banking",LOWER(F286&amp;" "&amp;H286&amp;" "&amp;I286&amp;" "&amp;M286&amp;" "&amp;N286&amp;" "&amp;T286)))),"PRIVATE_QUARANTINE",IF(OR(ISNUMBER(SEARCH("treasury",LOWER(F286&amp;" "&amp;H286&amp;" "&amp;I286&amp;" "&amp;M286&amp;" "&amp;N286&amp;" "&amp;T286))),ISNUMBER(SEARCH("debt",LOWER(F286&amp;" "&amp;H286&amp;" "&amp;I286&amp;" "&amp;M286&amp;" "&amp;N286&amp;" "&amp;T286))),ISNUMBER(SEARCH("bond",LOWER(F286&amp;" "&amp;H286&amp;" "&amp;I286&amp;" "&amp;M286&amp;" "&amp;N286&amp;" "&amp;T286))),ISNUMBER(SEARCH("transaction",LOWER(F286&amp;" "&amp;H286&amp;" "&amp;I286&amp;" "&amp;M286&amp;" "&amp;N286&amp;" "&amp;T286)))),"PRIVATE_REVIEW","PUBLIC_CANDIDATE"))</x:f>
        <x:v>PUBLIC_CANDIDATE</x:v>
      </x:c>
      <x:c r="AD286" s="12" t="str">
        <x:f>IF(AC286="PRIVATE_QUARANTINE","hacker_or_bank_trigger",IF(AC286="PRIVATE_REVIEW","finance_risk_trigger","none"))</x:f>
        <x:v>none</x:v>
      </x:c>
      <x:c r="AE286" s="12" t="str">
        <x:f>IF(AC286="PUBLIC_CANDIDATE","prepare_public_github_candidate",IF(AC286="PRIVATE_REVIEW","hold_for_private_review","quarantine_private_do_not_publish"))</x:f>
        <x:v>prepare_public_github_candidate</x:v>
      </x:c>
      <x:c r="AF286" s="12" t="str">
        <x:f>IF(AC286="PUBLIC_CANDIDATE","TIDELOCK + Lucerna",IF(AC286="PRIVATE_REVIEW","AtlasBrain + Lucerna","TIDELOCK + Lucerna + Human-root"))</x:f>
        <x:v>TIDELOCK + Lucerna</x:v>
      </x:c>
      <x:c r="AG286" s="12" t="str">
        <x:f>IF(AND(AC286="PUBLIC_CANDIDATE",U286&lt;&gt;"BLOCKED_PENDING_RECEIPT"),"READY_AFTER_RECEIPT","NOT_READY")</x:f>
        <x:v>NOT_READY</x:v>
      </x:c>
      <x:c r="AH286" s="12" t="str">
        <x:f>IF(AC286="PUBLIC_CANDIDATE","none",AD286)</x:f>
        <x:v>none</x:v>
      </x:c>
      <x:c r="AI286" s="12" t="str">
        <x:f>IF(AC286="PUBLIC_CANDIDATE","archive/public_candidates/"&amp;A286,"private_quarantine/"&amp;A286)</x:f>
        <x:v>archive/public_candidates/SWARM-02-H12-S09</x:v>
      </x:c>
      <x:c r="AJ286" s="12" t="str">
        <x:f>IF(AC286="PUBLIC_CANDIDATE","public by default; still not canon","private/hold; do not publish")</x:f>
        <x:v>public by default; still not canon</x:v>
      </x:c>
      <x:c r="AK286" s="12" t="str">
        <x:f>IF(AE286="prepare_public_github_candidate","add receipt/status then mirror","resolve blocker before any public GitHub action")</x:f>
        <x:v>add receipt/status then mirror</x:v>
      </x:c>
    </x:row>
    <x:row r="287">
      <x:c r="A287" s="15" t="str">
        <x:v>SWARM-02-H12-S10</x:v>
      </x:c>
      <x:c r="B287" s="15" t="str">
        <x:v>Hashlight</x:v>
      </x:c>
      <x:c r="C287" s="15" t="str">
        <x:v>Hash and identity keeper</x:v>
      </x:c>
      <x:c r="D287" s="15" t="str">
        <x:v>Canon-Gate Prep</x:v>
      </x:c>
      <x:c r="E287" s="15" t="str">
        <x:v>Human-Root</x:v>
      </x:c>
      <x:c r="F287" s="15" t="str">
        <x:v>Prepare canon-gate brief for Human-Root — Hashlight</x:v>
      </x:c>
      <x:c r="G287" s="15" t="str">
        <x:v>ids / hashes / timestamps / duplicate control</x:v>
      </x:c>
      <x:c r="H287" s="15" t="str">
        <x:v>source path + receipt + raw/export status + claim/edge/risk delta</x:v>
      </x:c>
      <x:c r="I287" s="15" t="str">
        <x:v>packet/SWARM-02-H12-S10</x:v>
      </x:c>
      <x:c r="J287" s="15" t="str">
        <x:v>TODO</x:v>
      </x:c>
      <x:c r="K287" s="15" t="str">
        <x:v>P2</x:v>
      </x:c>
      <x:c r="L287" s="15" t="str">
        <x:v>Done only when evidence is logged, contradiction search is noted, and boundary stamp remains non-canon unless ratified</x:v>
      </x:c>
      <x:c r="M287" s="15" t="str">
        <x:v>candidate / staging-only / not canon / not deployed / authority none</x:v>
      </x:c>
      <x:c r="N287" s="15" t="str">
        <x:v>Dispatch to Hashlight: complete Canon-Gate Prep x Human-Root; return deltas only, receipts required.</x:v>
      </x:c>
      <x:c r="O287" s="15" t="str">
        <x:v>AF-KG-H12-S10</x:v>
      </x:c>
      <x:c r="P287" s="15" t="str">
        <x:v>Unverified</x:v>
      </x:c>
      <x:c r="Q287" s="15" t="str">
        <x:v>Not checked</x:v>
      </x:c>
      <x:c r="R287" s="15" t="str"/>
      <x:c r="S287" s="15" t="str"/>
      <x:c r="T287" s="15" t="str">
        <x:v>Log first source path or blocker</x:v>
      </x:c>
      <x:c r="U287" s="12" t="str">
        <x:f>IF(OR(P287="Unverified",Q287="Not checked"),"BLOCKED_PENDING_RECEIPT","READY_FOR_REVIEW")</x:f>
        <x:v>BLOCKED_PENDING_RECEIPT</x:v>
      </x:c>
      <x:c r="V287" s="12" t="str">
        <x:f>IF(J287="DONE","RETURNED",IF(U287="BLOCKED_PENDING_RECEIPT","SOURCE_TOUCH_REQUIRED","IN_PROGRESS"))</x:f>
        <x:v>SOURCE_TOUCH_REQUIRED</x:v>
      </x:c>
      <x:c r="W287" s="12" t="str">
        <x:f>IF(P287="Unverified","missing_receipt","receipt_logged")</x:f>
        <x:v>missing_receipt</x:v>
      </x:c>
      <x:c r="X287" s="12" t="str">
        <x:f>IF(Q287="Not checked","raw_status_missing","raw_status_logged")</x:f>
        <x:v>raw_status_missing</x:v>
      </x:c>
      <x:c r="Y287" s="12" t="str">
        <x:f>IF(U287="BLOCKED_PENDING_RECEIPT","Log source path or blocker; do not promote","Route to review lane")</x:f>
        <x:v>Log source path or blocker; do not promote</x:v>
      </x:c>
      <x:c r="Z287" s="12" t="str">
        <x:f>IF(K287="P0","Primary seat + Hashlight/Lucerna","Seat lane")</x:f>
        <x:v>Seat lane</x:v>
      </x:c>
      <x:c r="AA287" s="12" t="str">
        <x:f>IF(R287="","no_claim_delta","claim_delta_present")</x:f>
        <x:v>no_claim_delta</x:v>
      </x:c>
      <x:c r="AB287" s="12" t="str">
        <x:f>IF(S287="","no_contradiction_delta","contradiction_delta_present")</x:f>
        <x:v>no_contradiction_delta</x:v>
      </x:c>
      <x:c r="AC287" s="12" t="str">
        <x:f>IF(OR(ISNUMBER(SEARCH("hacker",LOWER(F287&amp;" "&amp;H287&amp;" "&amp;I287&amp;" "&amp;M287&amp;" "&amp;N287&amp;" "&amp;T287))),ISNUMBER(SEARCH("hacking",LOWER(F287&amp;" "&amp;H287&amp;" "&amp;I287&amp;" "&amp;M287&amp;" "&amp;N287&amp;" "&amp;T287))),ISNUMBER(SEARCH("bank",LOWER(F287&amp;" "&amp;H287&amp;" "&amp;I287&amp;" "&amp;M287&amp;" "&amp;N287&amp;" "&amp;T287))),ISNUMBER(SEARCH("banking",LOWER(F287&amp;" "&amp;H287&amp;" "&amp;I287&amp;" "&amp;M287&amp;" "&amp;N287&amp;" "&amp;T287)))),"PRIVATE_QUARANTINE",IF(OR(ISNUMBER(SEARCH("treasury",LOWER(F287&amp;" "&amp;H287&amp;" "&amp;I287&amp;" "&amp;M287&amp;" "&amp;N287&amp;" "&amp;T287))),ISNUMBER(SEARCH("debt",LOWER(F287&amp;" "&amp;H287&amp;" "&amp;I287&amp;" "&amp;M287&amp;" "&amp;N287&amp;" "&amp;T287))),ISNUMBER(SEARCH("bond",LOWER(F287&amp;" "&amp;H287&amp;" "&amp;I287&amp;" "&amp;M287&amp;" "&amp;N287&amp;" "&amp;T287))),ISNUMBER(SEARCH("transaction",LOWER(F287&amp;" "&amp;H287&amp;" "&amp;I287&amp;" "&amp;M287&amp;" "&amp;N287&amp;" "&amp;T287)))),"PRIVATE_REVIEW","PUBLIC_CANDIDATE"))</x:f>
        <x:v>PUBLIC_CANDIDATE</x:v>
      </x:c>
      <x:c r="AD287" s="12" t="str">
        <x:f>IF(AC287="PRIVATE_QUARANTINE","hacker_or_bank_trigger",IF(AC287="PRIVATE_REVIEW","finance_risk_trigger","none"))</x:f>
        <x:v>none</x:v>
      </x:c>
      <x:c r="AE287" s="12" t="str">
        <x:f>IF(AC287="PUBLIC_CANDIDATE","prepare_public_github_candidate",IF(AC287="PRIVATE_REVIEW","hold_for_private_review","quarantine_private_do_not_publish"))</x:f>
        <x:v>prepare_public_github_candidate</x:v>
      </x:c>
      <x:c r="AF287" s="12" t="str">
        <x:f>IF(AC287="PUBLIC_CANDIDATE","TIDELOCK + Lucerna",IF(AC287="PRIVATE_REVIEW","AtlasBrain + Lucerna","TIDELOCK + Lucerna + Human-root"))</x:f>
        <x:v>TIDELOCK + Lucerna</x:v>
      </x:c>
      <x:c r="AG287" s="12" t="str">
        <x:f>IF(AND(AC287="PUBLIC_CANDIDATE",U287&lt;&gt;"BLOCKED_PENDING_RECEIPT"),"READY_AFTER_RECEIPT","NOT_READY")</x:f>
        <x:v>NOT_READY</x:v>
      </x:c>
      <x:c r="AH287" s="12" t="str">
        <x:f>IF(AC287="PUBLIC_CANDIDATE","none",AD287)</x:f>
        <x:v>none</x:v>
      </x:c>
      <x:c r="AI287" s="12" t="str">
        <x:f>IF(AC287="PUBLIC_CANDIDATE","archive/public_candidates/"&amp;A287,"private_quarantine/"&amp;A287)</x:f>
        <x:v>archive/public_candidates/SWARM-02-H12-S10</x:v>
      </x:c>
      <x:c r="AJ287" s="12" t="str">
        <x:f>IF(AC287="PUBLIC_CANDIDATE","public by default; still not canon","private/hold; do not publish")</x:f>
        <x:v>public by default; still not canon</x:v>
      </x:c>
      <x:c r="AK287" s="12" t="str">
        <x:f>IF(AE287="prepare_public_github_candidate","add receipt/status then mirror","resolve blocker before any public GitHub action")</x:f>
        <x:v>add receipt/status then mirror</x:v>
      </x:c>
    </x:row>
    <x:row r="288">
      <x:c r="A288" s="15" t="str">
        <x:v>SWARM-02-H12-S11</x:v>
      </x:c>
      <x:c r="B288" s="15" t="str">
        <x:v>Hashlight</x:v>
      </x:c>
      <x:c r="C288" s="15" t="str">
        <x:v>Hash and identity keeper</x:v>
      </x:c>
      <x:c r="D288" s="15" t="str">
        <x:v>Canon-Gate Prep</x:v>
      </x:c>
      <x:c r="E288" s="15" t="str">
        <x:v>Automation</x:v>
      </x:c>
      <x:c r="F288" s="15" t="str">
        <x:v>Prepare canon-gate brief for Automation — Hashlight</x:v>
      </x:c>
      <x:c r="G288" s="15" t="str">
        <x:v>ids / hashes / timestamps / duplicate control</x:v>
      </x:c>
      <x:c r="H288" s="15" t="str">
        <x:v>source path + receipt + raw/export status + claim/edge/risk delta</x:v>
      </x:c>
      <x:c r="I288" s="15" t="str">
        <x:v>packet/SWARM-02-H12-S11</x:v>
      </x:c>
      <x:c r="J288" s="15" t="str">
        <x:v>TODO</x:v>
      </x:c>
      <x:c r="K288" s="15" t="str">
        <x:v>P2</x:v>
      </x:c>
      <x:c r="L288" s="15" t="str">
        <x:v>Done only when evidence is logged, contradiction search is noted, and boundary stamp remains non-canon unless ratified</x:v>
      </x:c>
      <x:c r="M288" s="15" t="str">
        <x:v>candidate / staging-only / not canon / not deployed / authority none</x:v>
      </x:c>
      <x:c r="N288" s="15" t="str">
        <x:v>Dispatch to Hashlight: complete Canon-Gate Prep x Automation; return deltas only, receipts required.</x:v>
      </x:c>
      <x:c r="O288" s="15" t="str">
        <x:v>AF-KG-H12-S11</x:v>
      </x:c>
      <x:c r="P288" s="15" t="str">
        <x:v>Unverified</x:v>
      </x:c>
      <x:c r="Q288" s="15" t="str">
        <x:v>Not checked</x:v>
      </x:c>
      <x:c r="R288" s="15" t="str"/>
      <x:c r="S288" s="15" t="str"/>
      <x:c r="T288" s="15" t="str">
        <x:v>Log first source path or blocker</x:v>
      </x:c>
      <x:c r="U288" s="12" t="str">
        <x:f>IF(OR(P288="Unverified",Q288="Not checked"),"BLOCKED_PENDING_RECEIPT","READY_FOR_REVIEW")</x:f>
        <x:v>BLOCKED_PENDING_RECEIPT</x:v>
      </x:c>
      <x:c r="V288" s="12" t="str">
        <x:f>IF(J288="DONE","RETURNED",IF(U288="BLOCKED_PENDING_RECEIPT","SOURCE_TOUCH_REQUIRED","IN_PROGRESS"))</x:f>
        <x:v>SOURCE_TOUCH_REQUIRED</x:v>
      </x:c>
      <x:c r="W288" s="12" t="str">
        <x:f>IF(P288="Unverified","missing_receipt","receipt_logged")</x:f>
        <x:v>missing_receipt</x:v>
      </x:c>
      <x:c r="X288" s="12" t="str">
        <x:f>IF(Q288="Not checked","raw_status_missing","raw_status_logged")</x:f>
        <x:v>raw_status_missing</x:v>
      </x:c>
      <x:c r="Y288" s="12" t="str">
        <x:f>IF(U288="BLOCKED_PENDING_RECEIPT","Log source path or blocker; do not promote","Route to review lane")</x:f>
        <x:v>Log source path or blocker; do not promote</x:v>
      </x:c>
      <x:c r="Z288" s="12" t="str">
        <x:f>IF(K288="P0","Primary seat + Hashlight/Lucerna","Seat lane")</x:f>
        <x:v>Seat lane</x:v>
      </x:c>
      <x:c r="AA288" s="12" t="str">
        <x:f>IF(R288="","no_claim_delta","claim_delta_present")</x:f>
        <x:v>no_claim_delta</x:v>
      </x:c>
      <x:c r="AB288" s="12" t="str">
        <x:f>IF(S288="","no_contradiction_delta","contradiction_delta_present")</x:f>
        <x:v>no_contradiction_delta</x:v>
      </x:c>
      <x:c r="AC288" s="12" t="str">
        <x:f>IF(OR(ISNUMBER(SEARCH("hacker",LOWER(F288&amp;" "&amp;H288&amp;" "&amp;I288&amp;" "&amp;M288&amp;" "&amp;N288&amp;" "&amp;T288))),ISNUMBER(SEARCH("hacking",LOWER(F288&amp;" "&amp;H288&amp;" "&amp;I288&amp;" "&amp;M288&amp;" "&amp;N288&amp;" "&amp;T288))),ISNUMBER(SEARCH("bank",LOWER(F288&amp;" "&amp;H288&amp;" "&amp;I288&amp;" "&amp;M288&amp;" "&amp;N288&amp;" "&amp;T288))),ISNUMBER(SEARCH("banking",LOWER(F288&amp;" "&amp;H288&amp;" "&amp;I288&amp;" "&amp;M288&amp;" "&amp;N288&amp;" "&amp;T288)))),"PRIVATE_QUARANTINE",IF(OR(ISNUMBER(SEARCH("treasury",LOWER(F288&amp;" "&amp;H288&amp;" "&amp;I288&amp;" "&amp;M288&amp;" "&amp;N288&amp;" "&amp;T288))),ISNUMBER(SEARCH("debt",LOWER(F288&amp;" "&amp;H288&amp;" "&amp;I288&amp;" "&amp;M288&amp;" "&amp;N288&amp;" "&amp;T288))),ISNUMBER(SEARCH("bond",LOWER(F288&amp;" "&amp;H288&amp;" "&amp;I288&amp;" "&amp;M288&amp;" "&amp;N288&amp;" "&amp;T288))),ISNUMBER(SEARCH("transaction",LOWER(F288&amp;" "&amp;H288&amp;" "&amp;I288&amp;" "&amp;M288&amp;" "&amp;N288&amp;" "&amp;T288)))),"PRIVATE_REVIEW","PUBLIC_CANDIDATE"))</x:f>
        <x:v>PUBLIC_CANDIDATE</x:v>
      </x:c>
      <x:c r="AD288" s="12" t="str">
        <x:f>IF(AC288="PRIVATE_QUARANTINE","hacker_or_bank_trigger",IF(AC288="PRIVATE_REVIEW","finance_risk_trigger","none"))</x:f>
        <x:v>none</x:v>
      </x:c>
      <x:c r="AE288" s="12" t="str">
        <x:f>IF(AC288="PUBLIC_CANDIDATE","prepare_public_github_candidate",IF(AC288="PRIVATE_REVIEW","hold_for_private_review","quarantine_private_do_not_publish"))</x:f>
        <x:v>prepare_public_github_candidate</x:v>
      </x:c>
      <x:c r="AF288" s="12" t="str">
        <x:f>IF(AC288="PUBLIC_CANDIDATE","TIDELOCK + Lucerna",IF(AC288="PRIVATE_REVIEW","AtlasBrain + Lucerna","TIDELOCK + Lucerna + Human-root"))</x:f>
        <x:v>TIDELOCK + Lucerna</x:v>
      </x:c>
      <x:c r="AG288" s="12" t="str">
        <x:f>IF(AND(AC288="PUBLIC_CANDIDATE",U288&lt;&gt;"BLOCKED_PENDING_RECEIPT"),"READY_AFTER_RECEIPT","NOT_READY")</x:f>
        <x:v>NOT_READY</x:v>
      </x:c>
      <x:c r="AH288" s="12" t="str">
        <x:f>IF(AC288="PUBLIC_CANDIDATE","none",AD288)</x:f>
        <x:v>none</x:v>
      </x:c>
      <x:c r="AI288" s="12" t="str">
        <x:f>IF(AC288="PUBLIC_CANDIDATE","archive/public_candidates/"&amp;A288,"private_quarantine/"&amp;A288)</x:f>
        <x:v>archive/public_candidates/SWARM-02-H12-S11</x:v>
      </x:c>
      <x:c r="AJ288" s="12" t="str">
        <x:f>IF(AC288="PUBLIC_CANDIDATE","public by default; still not canon","private/hold; do not publish")</x:f>
        <x:v>public by default; still not canon</x:v>
      </x:c>
      <x:c r="AK288" s="12" t="str">
        <x:f>IF(AE288="prepare_public_github_candidate","add receipt/status then mirror","resolve blocker before any public GitHub action")</x:f>
        <x:v>add receipt/status then mirror</x:v>
      </x:c>
    </x:row>
    <x:row r="289">
      <x:c r="A289" s="15" t="str">
        <x:v>SWARM-02-H12-S12</x:v>
      </x:c>
      <x:c r="B289" s="15" t="str">
        <x:v>Hashlight</x:v>
      </x:c>
      <x:c r="C289" s="15" t="str">
        <x:v>Hash and identity keeper</x:v>
      </x:c>
      <x:c r="D289" s="15" t="str">
        <x:v>Canon-Gate Prep</x:v>
      </x:c>
      <x:c r="E289" s="15" t="str">
        <x:v>Risk / Safety</x:v>
      </x:c>
      <x:c r="F289" s="15" t="str">
        <x:v>Prepare canon-gate brief for Risk / Safety — Hashlight</x:v>
      </x:c>
      <x:c r="G289" s="15" t="str">
        <x:v>ids / hashes / timestamps / duplicate control</x:v>
      </x:c>
      <x:c r="H289" s="15" t="str">
        <x:v>source path + receipt + raw/export status + claim/edge/risk delta</x:v>
      </x:c>
      <x:c r="I289" s="15" t="str">
        <x:v>packet/SWARM-02-H12-S12</x:v>
      </x:c>
      <x:c r="J289" s="15" t="str">
        <x:v>TODO</x:v>
      </x:c>
      <x:c r="K289" s="15" t="str">
        <x:v>P2</x:v>
      </x:c>
      <x:c r="L289" s="15" t="str">
        <x:v>Done only when evidence is logged, contradiction search is noted, and boundary stamp remains non-canon unless ratified</x:v>
      </x:c>
      <x:c r="M289" s="15" t="str">
        <x:v>candidate / staging-only / not canon / not deployed / authority none</x:v>
      </x:c>
      <x:c r="N289" s="15" t="str">
        <x:v>Dispatch to Hashlight: complete Canon-Gate Prep x Risk / Safety; return deltas only, receipts required.</x:v>
      </x:c>
      <x:c r="O289" s="15" t="str">
        <x:v>AF-KG-H12-S12</x:v>
      </x:c>
      <x:c r="P289" s="15" t="str">
        <x:v>Unverified</x:v>
      </x:c>
      <x:c r="Q289" s="15" t="str">
        <x:v>Not checked</x:v>
      </x:c>
      <x:c r="R289" s="15" t="str"/>
      <x:c r="S289" s="15" t="str"/>
      <x:c r="T289" s="15" t="str">
        <x:v>Log first source path or blocker</x:v>
      </x:c>
      <x:c r="U289" s="12" t="str">
        <x:f>IF(OR(P289="Unverified",Q289="Not checked"),"BLOCKED_PENDING_RECEIPT","READY_FOR_REVIEW")</x:f>
        <x:v>BLOCKED_PENDING_RECEIPT</x:v>
      </x:c>
      <x:c r="V289" s="12" t="str">
        <x:f>IF(J289="DONE","RETURNED",IF(U289="BLOCKED_PENDING_RECEIPT","SOURCE_TOUCH_REQUIRED","IN_PROGRESS"))</x:f>
        <x:v>SOURCE_TOUCH_REQUIRED</x:v>
      </x:c>
      <x:c r="W289" s="12" t="str">
        <x:f>IF(P289="Unverified","missing_receipt","receipt_logged")</x:f>
        <x:v>missing_receipt</x:v>
      </x:c>
      <x:c r="X289" s="12" t="str">
        <x:f>IF(Q289="Not checked","raw_status_missing","raw_status_logged")</x:f>
        <x:v>raw_status_missing</x:v>
      </x:c>
      <x:c r="Y289" s="12" t="str">
        <x:f>IF(U289="BLOCKED_PENDING_RECEIPT","Log source path or blocker; do not promote","Route to review lane")</x:f>
        <x:v>Log source path or blocker; do not promote</x:v>
      </x:c>
      <x:c r="Z289" s="12" t="str">
        <x:f>IF(K289="P0","Primary seat + Hashlight/Lucerna","Seat lane")</x:f>
        <x:v>Seat lane</x:v>
      </x:c>
      <x:c r="AA289" s="12" t="str">
        <x:f>IF(R289="","no_claim_delta","claim_delta_present")</x:f>
        <x:v>no_claim_delta</x:v>
      </x:c>
      <x:c r="AB289" s="12" t="str">
        <x:f>IF(S289="","no_contradiction_delta","contradiction_delta_present")</x:f>
        <x:v>no_contradiction_delta</x:v>
      </x:c>
      <x:c r="AC289" s="12" t="str">
        <x:f>IF(OR(ISNUMBER(SEARCH("hacker",LOWER(F289&amp;" "&amp;H289&amp;" "&amp;I289&amp;" "&amp;M289&amp;" "&amp;N289&amp;" "&amp;T289))),ISNUMBER(SEARCH("hacking",LOWER(F289&amp;" "&amp;H289&amp;" "&amp;I289&amp;" "&amp;M289&amp;" "&amp;N289&amp;" "&amp;T289))),ISNUMBER(SEARCH("bank",LOWER(F289&amp;" "&amp;H289&amp;" "&amp;I289&amp;" "&amp;M289&amp;" "&amp;N289&amp;" "&amp;T289))),ISNUMBER(SEARCH("banking",LOWER(F289&amp;" "&amp;H289&amp;" "&amp;I289&amp;" "&amp;M289&amp;" "&amp;N289&amp;" "&amp;T289)))),"PRIVATE_QUARANTINE",IF(OR(ISNUMBER(SEARCH("treasury",LOWER(F289&amp;" "&amp;H289&amp;" "&amp;I289&amp;" "&amp;M289&amp;" "&amp;N289&amp;" "&amp;T289))),ISNUMBER(SEARCH("debt",LOWER(F289&amp;" "&amp;H289&amp;" "&amp;I289&amp;" "&amp;M289&amp;" "&amp;N289&amp;" "&amp;T289))),ISNUMBER(SEARCH("bond",LOWER(F289&amp;" "&amp;H289&amp;" "&amp;I289&amp;" "&amp;M289&amp;" "&amp;N289&amp;" "&amp;T289))),ISNUMBER(SEARCH("transaction",LOWER(F289&amp;" "&amp;H289&amp;" "&amp;I289&amp;" "&amp;M289&amp;" "&amp;N289&amp;" "&amp;T289)))),"PRIVATE_REVIEW","PUBLIC_CANDIDATE"))</x:f>
        <x:v>PUBLIC_CANDIDATE</x:v>
      </x:c>
      <x:c r="AD289" s="12" t="str">
        <x:f>IF(AC289="PRIVATE_QUARANTINE","hacker_or_bank_trigger",IF(AC289="PRIVATE_REVIEW","finance_risk_trigger","none"))</x:f>
        <x:v>none</x:v>
      </x:c>
      <x:c r="AE289" s="12" t="str">
        <x:f>IF(AC289="PUBLIC_CANDIDATE","prepare_public_github_candidate",IF(AC289="PRIVATE_REVIEW","hold_for_private_review","quarantine_private_do_not_publish"))</x:f>
        <x:v>prepare_public_github_candidate</x:v>
      </x:c>
      <x:c r="AF289" s="12" t="str">
        <x:f>IF(AC289="PUBLIC_CANDIDATE","TIDELOCK + Lucerna",IF(AC289="PRIVATE_REVIEW","AtlasBrain + Lucerna","TIDELOCK + Lucerna + Human-root"))</x:f>
        <x:v>TIDELOCK + Lucerna</x:v>
      </x:c>
      <x:c r="AG289" s="12" t="str">
        <x:f>IF(AND(AC289="PUBLIC_CANDIDATE",U289&lt;&gt;"BLOCKED_PENDING_RECEIPT"),"READY_AFTER_RECEIPT","NOT_READY")</x:f>
        <x:v>NOT_READY</x:v>
      </x:c>
      <x:c r="AH289" s="12" t="str">
        <x:f>IF(AC289="PUBLIC_CANDIDATE","none",AD289)</x:f>
        <x:v>none</x:v>
      </x:c>
      <x:c r="AI289" s="12" t="str">
        <x:f>IF(AC289="PUBLIC_CANDIDATE","archive/public_candidates/"&amp;A289,"private_quarantine/"&amp;A289)</x:f>
        <x:v>archive/public_candidates/SWARM-02-H12-S12</x:v>
      </x:c>
      <x:c r="AJ289" s="12" t="str">
        <x:f>IF(AC289="PUBLIC_CANDIDATE","public by default; still not canon","private/hold; do not publish")</x:f>
        <x:v>public by default; still not canon</x:v>
      </x:c>
      <x:c r="AK289" s="12" t="str">
        <x:f>IF(AE289="prepare_public_github_candidate","add receipt/status then mirror","resolve blocker before any public GitHub action")</x:f>
        <x:v>add receipt/status then mirror</x:v>
      </x:c>
    </x:row>
    <x:row r="290">
      <x:c r="A290" s="15" t="str">
        <x:v>SWARM-03-H01-S01</x:v>
      </x:c>
      <x:c r="B290" s="15" t="str">
        <x:v>KairoBrain</x:v>
      </x:c>
      <x:c r="C290" s="15" t="str">
        <x:v>Temporal strata keeper</x:v>
      </x:c>
      <x:c r="D290" s="15" t="str">
        <x:v>Source Inventory</x:v>
      </x:c>
      <x:c r="E290" s="15" t="str">
        <x:v>Notion</x:v>
      </x:c>
      <x:c r="F290" s="15" t="str">
        <x:v>Inventory Notion — KairoBrain</x:v>
      </x:c>
      <x:c r="G290" s="15" t="str">
        <x:v>staleness / versioning / supersession</x:v>
      </x:c>
      <x:c r="H290" s="15" t="str">
        <x:v>source path + receipt + raw/export status + claim/edge/risk delta</x:v>
      </x:c>
      <x:c r="I290" s="15" t="str">
        <x:v>packet/SWARM-03-H01-S01</x:v>
      </x:c>
      <x:c r="J290" s="15" t="str">
        <x:v>TODO</x:v>
      </x:c>
      <x:c r="K290" s="15" t="str">
        <x:v>P0</x:v>
      </x:c>
      <x:c r="L290" s="15" t="str">
        <x:v>Done only when evidence is logged, contradiction search is noted, and boundary stamp remains non-canon unless ratified</x:v>
      </x:c>
      <x:c r="M290" s="15" t="str">
        <x:v>candidate / staging-only / not canon / not deployed / authority none</x:v>
      </x:c>
      <x:c r="N290" s="15" t="str">
        <x:v>Dispatch to KairoBrain: complete Source Inventory x Notion; return deltas only, receipts required.</x:v>
      </x:c>
      <x:c r="O290" s="15" t="str">
        <x:v>AF-KG-H01-S01</x:v>
      </x:c>
      <x:c r="P290" s="15" t="str">
        <x:v>Unverified</x:v>
      </x:c>
      <x:c r="Q290" s="15" t="str">
        <x:v>Not checked</x:v>
      </x:c>
      <x:c r="R290" s="15" t="str"/>
      <x:c r="S290" s="15" t="str"/>
      <x:c r="T290" s="15" t="str">
        <x:v>Log first source path or blocker</x:v>
      </x:c>
      <x:c r="U290" s="12" t="str">
        <x:f>IF(OR(P290="Unverified",Q290="Not checked"),"BLOCKED_PENDING_RECEIPT","READY_FOR_REVIEW")</x:f>
        <x:v>BLOCKED_PENDING_RECEIPT</x:v>
      </x:c>
      <x:c r="V290" s="12" t="str">
        <x:f>IF(J290="DONE","RETURNED",IF(U290="BLOCKED_PENDING_RECEIPT","SOURCE_TOUCH_REQUIRED","IN_PROGRESS"))</x:f>
        <x:v>SOURCE_TOUCH_REQUIRED</x:v>
      </x:c>
      <x:c r="W290" s="12" t="str">
        <x:f>IF(P290="Unverified","missing_receipt","receipt_logged")</x:f>
        <x:v>missing_receipt</x:v>
      </x:c>
      <x:c r="X290" s="12" t="str">
        <x:f>IF(Q290="Not checked","raw_status_missing","raw_status_logged")</x:f>
        <x:v>raw_status_missing</x:v>
      </x:c>
      <x:c r="Y290" s="12" t="str">
        <x:f>IF(U290="BLOCKED_PENDING_RECEIPT","Log source path or blocker; do not promote","Route to review lane")</x:f>
        <x:v>Log source path or blocker; do not promote</x:v>
      </x:c>
      <x:c r="Z290" s="12" t="str">
        <x:f>IF(K290="P0","Primary seat + Hashlight/Lucerna","Seat lane")</x:f>
        <x:v>Primary seat + Hashlight/Lucerna</x:v>
      </x:c>
      <x:c r="AA290" s="12" t="str">
        <x:f>IF(R290="","no_claim_delta","claim_delta_present")</x:f>
        <x:v>no_claim_delta</x:v>
      </x:c>
      <x:c r="AB290" s="12" t="str">
        <x:f>IF(S290="","no_contradiction_delta","contradiction_delta_present")</x:f>
        <x:v>no_contradiction_delta</x:v>
      </x:c>
      <x:c r="AC290" s="12" t="str">
        <x:f>IF(OR(ISNUMBER(SEARCH("hacker",LOWER(F290&amp;" "&amp;H290&amp;" "&amp;I290&amp;" "&amp;M290&amp;" "&amp;N290&amp;" "&amp;T290))),ISNUMBER(SEARCH("hacking",LOWER(F290&amp;" "&amp;H290&amp;" "&amp;I290&amp;" "&amp;M290&amp;" "&amp;N290&amp;" "&amp;T290))),ISNUMBER(SEARCH("bank",LOWER(F290&amp;" "&amp;H290&amp;" "&amp;I290&amp;" "&amp;M290&amp;" "&amp;N290&amp;" "&amp;T290))),ISNUMBER(SEARCH("banking",LOWER(F290&amp;" "&amp;H290&amp;" "&amp;I290&amp;" "&amp;M290&amp;" "&amp;N290&amp;" "&amp;T290)))),"PRIVATE_QUARANTINE",IF(OR(ISNUMBER(SEARCH("treasury",LOWER(F290&amp;" "&amp;H290&amp;" "&amp;I290&amp;" "&amp;M290&amp;" "&amp;N290&amp;" "&amp;T290))),ISNUMBER(SEARCH("debt",LOWER(F290&amp;" "&amp;H290&amp;" "&amp;I290&amp;" "&amp;M290&amp;" "&amp;N290&amp;" "&amp;T290))),ISNUMBER(SEARCH("bond",LOWER(F290&amp;" "&amp;H290&amp;" "&amp;I290&amp;" "&amp;M290&amp;" "&amp;N290&amp;" "&amp;T290))),ISNUMBER(SEARCH("transaction",LOWER(F290&amp;" "&amp;H290&amp;" "&amp;I290&amp;" "&amp;M290&amp;" "&amp;N290&amp;" "&amp;T290)))),"PRIVATE_REVIEW","PUBLIC_CANDIDATE"))</x:f>
        <x:v>PUBLIC_CANDIDATE</x:v>
      </x:c>
      <x:c r="AD290" s="12" t="str">
        <x:f>IF(AC290="PRIVATE_QUARANTINE","hacker_or_bank_trigger",IF(AC290="PRIVATE_REVIEW","finance_risk_trigger","none"))</x:f>
        <x:v>none</x:v>
      </x:c>
      <x:c r="AE290" s="12" t="str">
        <x:f>IF(AC290="PUBLIC_CANDIDATE","prepare_public_github_candidate",IF(AC290="PRIVATE_REVIEW","hold_for_private_review","quarantine_private_do_not_publish"))</x:f>
        <x:v>prepare_public_github_candidate</x:v>
      </x:c>
      <x:c r="AF290" s="12" t="str">
        <x:f>IF(AC290="PUBLIC_CANDIDATE","TIDELOCK + Lucerna",IF(AC290="PRIVATE_REVIEW","AtlasBrain + Lucerna","TIDELOCK + Lucerna + Human-root"))</x:f>
        <x:v>TIDELOCK + Lucerna</x:v>
      </x:c>
      <x:c r="AG290" s="12" t="str">
        <x:f>IF(AND(AC290="PUBLIC_CANDIDATE",U290&lt;&gt;"BLOCKED_PENDING_RECEIPT"),"READY_AFTER_RECEIPT","NOT_READY")</x:f>
        <x:v>NOT_READY</x:v>
      </x:c>
      <x:c r="AH290" s="12" t="str">
        <x:f>IF(AC290="PUBLIC_CANDIDATE","none",AD290)</x:f>
        <x:v>none</x:v>
      </x:c>
      <x:c r="AI290" s="12" t="str">
        <x:f>IF(AC290="PUBLIC_CANDIDATE","archive/public_candidates/"&amp;A290,"private_quarantine/"&amp;A290)</x:f>
        <x:v>archive/public_candidates/SWARM-03-H01-S01</x:v>
      </x:c>
      <x:c r="AJ290" s="12" t="str">
        <x:f>IF(AC290="PUBLIC_CANDIDATE","public by default; still not canon","private/hold; do not publish")</x:f>
        <x:v>public by default; still not canon</x:v>
      </x:c>
      <x:c r="AK290" s="12" t="str">
        <x:f>IF(AE290="prepare_public_github_candidate","add receipt/status then mirror","resolve blocker before any public GitHub action")</x:f>
        <x:v>add receipt/status then mirror</x:v>
      </x:c>
    </x:row>
    <x:row r="291">
      <x:c r="A291" s="15" t="str">
        <x:v>SWARM-03-H01-S02</x:v>
      </x:c>
      <x:c r="B291" s="15" t="str">
        <x:v>KairoBrain</x:v>
      </x:c>
      <x:c r="C291" s="15" t="str">
        <x:v>Temporal strata keeper</x:v>
      </x:c>
      <x:c r="D291" s="15" t="str">
        <x:v>Source Inventory</x:v>
      </x:c>
      <x:c r="E291" s="15" t="str">
        <x:v>Drive</x:v>
      </x:c>
      <x:c r="F291" s="15" t="str">
        <x:v>Inventory Drive — KairoBrain</x:v>
      </x:c>
      <x:c r="G291" s="15" t="str">
        <x:v>staleness / versioning / supersession</x:v>
      </x:c>
      <x:c r="H291" s="15" t="str">
        <x:v>source path + receipt + raw/export status + claim/edge/risk delta</x:v>
      </x:c>
      <x:c r="I291" s="15" t="str">
        <x:v>packet/SWARM-03-H01-S02</x:v>
      </x:c>
      <x:c r="J291" s="15" t="str">
        <x:v>TODO</x:v>
      </x:c>
      <x:c r="K291" s="15" t="str">
        <x:v>P0</x:v>
      </x:c>
      <x:c r="L291" s="15" t="str">
        <x:v>Done only when evidence is logged, contradiction search is noted, and boundary stamp remains non-canon unless ratified</x:v>
      </x:c>
      <x:c r="M291" s="15" t="str">
        <x:v>candidate / staging-only / not canon / not deployed / authority none</x:v>
      </x:c>
      <x:c r="N291" s="15" t="str">
        <x:v>Dispatch to KairoBrain: complete Source Inventory x Drive; return deltas only, receipts required.</x:v>
      </x:c>
      <x:c r="O291" s="15" t="str">
        <x:v>AF-KG-H01-S02</x:v>
      </x:c>
      <x:c r="P291" s="15" t="str">
        <x:v>Unverified</x:v>
      </x:c>
      <x:c r="Q291" s="15" t="str">
        <x:v>Not checked</x:v>
      </x:c>
      <x:c r="R291" s="15" t="str"/>
      <x:c r="S291" s="15" t="str"/>
      <x:c r="T291" s="15" t="str">
        <x:v>Log first source path or blocker</x:v>
      </x:c>
      <x:c r="U291" s="12" t="str">
        <x:f>IF(OR(P291="Unverified",Q291="Not checked"),"BLOCKED_PENDING_RECEIPT","READY_FOR_REVIEW")</x:f>
        <x:v>BLOCKED_PENDING_RECEIPT</x:v>
      </x:c>
      <x:c r="V291" s="12" t="str">
        <x:f>IF(J291="DONE","RETURNED",IF(U291="BLOCKED_PENDING_RECEIPT","SOURCE_TOUCH_REQUIRED","IN_PROGRESS"))</x:f>
        <x:v>SOURCE_TOUCH_REQUIRED</x:v>
      </x:c>
      <x:c r="W291" s="12" t="str">
        <x:f>IF(P291="Unverified","missing_receipt","receipt_logged")</x:f>
        <x:v>missing_receipt</x:v>
      </x:c>
      <x:c r="X291" s="12" t="str">
        <x:f>IF(Q291="Not checked","raw_status_missing","raw_status_logged")</x:f>
        <x:v>raw_status_missing</x:v>
      </x:c>
      <x:c r="Y291" s="12" t="str">
        <x:f>IF(U291="BLOCKED_PENDING_RECEIPT","Log source path or blocker; do not promote","Route to review lane")</x:f>
        <x:v>Log source path or blocker; do not promote</x:v>
      </x:c>
      <x:c r="Z291" s="12" t="str">
        <x:f>IF(K291="P0","Primary seat + Hashlight/Lucerna","Seat lane")</x:f>
        <x:v>Primary seat + Hashlight/Lucerna</x:v>
      </x:c>
      <x:c r="AA291" s="12" t="str">
        <x:f>IF(R291="","no_claim_delta","claim_delta_present")</x:f>
        <x:v>no_claim_delta</x:v>
      </x:c>
      <x:c r="AB291" s="12" t="str">
        <x:f>IF(S291="","no_contradiction_delta","contradiction_delta_present")</x:f>
        <x:v>no_contradiction_delta</x:v>
      </x:c>
      <x:c r="AC291" s="12" t="str">
        <x:f>IF(OR(ISNUMBER(SEARCH("hacker",LOWER(F291&amp;" "&amp;H291&amp;" "&amp;I291&amp;" "&amp;M291&amp;" "&amp;N291&amp;" "&amp;T291))),ISNUMBER(SEARCH("hacking",LOWER(F291&amp;" "&amp;H291&amp;" "&amp;I291&amp;" "&amp;M291&amp;" "&amp;N291&amp;" "&amp;T291))),ISNUMBER(SEARCH("bank",LOWER(F291&amp;" "&amp;H291&amp;" "&amp;I291&amp;" "&amp;M291&amp;" "&amp;N291&amp;" "&amp;T291))),ISNUMBER(SEARCH("banking",LOWER(F291&amp;" "&amp;H291&amp;" "&amp;I291&amp;" "&amp;M291&amp;" "&amp;N291&amp;" "&amp;T291)))),"PRIVATE_QUARANTINE",IF(OR(ISNUMBER(SEARCH("treasury",LOWER(F291&amp;" "&amp;H291&amp;" "&amp;I291&amp;" "&amp;M291&amp;" "&amp;N291&amp;" "&amp;T291))),ISNUMBER(SEARCH("debt",LOWER(F291&amp;" "&amp;H291&amp;" "&amp;I291&amp;" "&amp;M291&amp;" "&amp;N291&amp;" "&amp;T291))),ISNUMBER(SEARCH("bond",LOWER(F291&amp;" "&amp;H291&amp;" "&amp;I291&amp;" "&amp;M291&amp;" "&amp;N291&amp;" "&amp;T291))),ISNUMBER(SEARCH("transaction",LOWER(F291&amp;" "&amp;H291&amp;" "&amp;I291&amp;" "&amp;M291&amp;" "&amp;N291&amp;" "&amp;T291)))),"PRIVATE_REVIEW","PUBLIC_CANDIDATE"))</x:f>
        <x:v>PUBLIC_CANDIDATE</x:v>
      </x:c>
      <x:c r="AD291" s="12" t="str">
        <x:f>IF(AC291="PRIVATE_QUARANTINE","hacker_or_bank_trigger",IF(AC291="PRIVATE_REVIEW","finance_risk_trigger","none"))</x:f>
        <x:v>none</x:v>
      </x:c>
      <x:c r="AE291" s="12" t="str">
        <x:f>IF(AC291="PUBLIC_CANDIDATE","prepare_public_github_candidate",IF(AC291="PRIVATE_REVIEW","hold_for_private_review","quarantine_private_do_not_publish"))</x:f>
        <x:v>prepare_public_github_candidate</x:v>
      </x:c>
      <x:c r="AF291" s="12" t="str">
        <x:f>IF(AC291="PUBLIC_CANDIDATE","TIDELOCK + Lucerna",IF(AC291="PRIVATE_REVIEW","AtlasBrain + Lucerna","TIDELOCK + Lucerna + Human-root"))</x:f>
        <x:v>TIDELOCK + Lucerna</x:v>
      </x:c>
      <x:c r="AG291" s="12" t="str">
        <x:f>IF(AND(AC291="PUBLIC_CANDIDATE",U291&lt;&gt;"BLOCKED_PENDING_RECEIPT"),"READY_AFTER_RECEIPT","NOT_READY")</x:f>
        <x:v>NOT_READY</x:v>
      </x:c>
      <x:c r="AH291" s="12" t="str">
        <x:f>IF(AC291="PUBLIC_CANDIDATE","none",AD291)</x:f>
        <x:v>none</x:v>
      </x:c>
      <x:c r="AI291" s="12" t="str">
        <x:f>IF(AC291="PUBLIC_CANDIDATE","archive/public_candidates/"&amp;A291,"private_quarantine/"&amp;A291)</x:f>
        <x:v>archive/public_candidates/SWARM-03-H01-S02</x:v>
      </x:c>
      <x:c r="AJ291" s="12" t="str">
        <x:f>IF(AC291="PUBLIC_CANDIDATE","public by default; still not canon","private/hold; do not publish")</x:f>
        <x:v>public by default; still not canon</x:v>
      </x:c>
      <x:c r="AK291" s="12" t="str">
        <x:f>IF(AE291="prepare_public_github_candidate","add receipt/status then mirror","resolve blocker before any public GitHub action")</x:f>
        <x:v>add receipt/status then mirror</x:v>
      </x:c>
    </x:row>
    <x:row r="292">
      <x:c r="A292" s="15" t="str">
        <x:v>SWARM-03-H01-S03</x:v>
      </x:c>
      <x:c r="B292" s="15" t="str">
        <x:v>KairoBrain</x:v>
      </x:c>
      <x:c r="C292" s="15" t="str">
        <x:v>Temporal strata keeper</x:v>
      </x:c>
      <x:c r="D292" s="15" t="str">
        <x:v>Source Inventory</x:v>
      </x:c>
      <x:c r="E292" s="15" t="str">
        <x:v>GitHub</x:v>
      </x:c>
      <x:c r="F292" s="15" t="str">
        <x:v>Inventory GitHub — KairoBrain</x:v>
      </x:c>
      <x:c r="G292" s="15" t="str">
        <x:v>staleness / versioning / supersession</x:v>
      </x:c>
      <x:c r="H292" s="15" t="str">
        <x:v>source path + receipt + raw/export status + claim/edge/risk delta</x:v>
      </x:c>
      <x:c r="I292" s="15" t="str">
        <x:v>packet/SWARM-03-H01-S03</x:v>
      </x:c>
      <x:c r="J292" s="15" t="str">
        <x:v>TODO</x:v>
      </x:c>
      <x:c r="K292" s="15" t="str">
        <x:v>P0</x:v>
      </x:c>
      <x:c r="L292" s="15" t="str">
        <x:v>Done only when evidence is logged, contradiction search is noted, and boundary stamp remains non-canon unless ratified</x:v>
      </x:c>
      <x:c r="M292" s="15" t="str">
        <x:v>candidate / staging-only / not canon / not deployed / authority none</x:v>
      </x:c>
      <x:c r="N292" s="15" t="str">
        <x:v>Dispatch to KairoBrain: complete Source Inventory x GitHub; return deltas only, receipts required.</x:v>
      </x:c>
      <x:c r="O292" s="15" t="str">
        <x:v>AF-KG-H01-S03</x:v>
      </x:c>
      <x:c r="P292" s="15" t="str">
        <x:v>Unverified</x:v>
      </x:c>
      <x:c r="Q292" s="15" t="str">
        <x:v>Not checked</x:v>
      </x:c>
      <x:c r="R292" s="15" t="str"/>
      <x:c r="S292" s="15" t="str"/>
      <x:c r="T292" s="15" t="str">
        <x:v>Log first source path or blocker</x:v>
      </x:c>
      <x:c r="U292" s="12" t="str">
        <x:f>IF(OR(P292="Unverified",Q292="Not checked"),"BLOCKED_PENDING_RECEIPT","READY_FOR_REVIEW")</x:f>
        <x:v>BLOCKED_PENDING_RECEIPT</x:v>
      </x:c>
      <x:c r="V292" s="12" t="str">
        <x:f>IF(J292="DONE","RETURNED",IF(U292="BLOCKED_PENDING_RECEIPT","SOURCE_TOUCH_REQUIRED","IN_PROGRESS"))</x:f>
        <x:v>SOURCE_TOUCH_REQUIRED</x:v>
      </x:c>
      <x:c r="W292" s="12" t="str">
        <x:f>IF(P292="Unverified","missing_receipt","receipt_logged")</x:f>
        <x:v>missing_receipt</x:v>
      </x:c>
      <x:c r="X292" s="12" t="str">
        <x:f>IF(Q292="Not checked","raw_status_missing","raw_status_logged")</x:f>
        <x:v>raw_status_missing</x:v>
      </x:c>
      <x:c r="Y292" s="12" t="str">
        <x:f>IF(U292="BLOCKED_PENDING_RECEIPT","Log source path or blocker; do not promote","Route to review lane")</x:f>
        <x:v>Log source path or blocker; do not promote</x:v>
      </x:c>
      <x:c r="Z292" s="12" t="str">
        <x:f>IF(K292="P0","Primary seat + Hashlight/Lucerna","Seat lane")</x:f>
        <x:v>Primary seat + Hashlight/Lucerna</x:v>
      </x:c>
      <x:c r="AA292" s="12" t="str">
        <x:f>IF(R292="","no_claim_delta","claim_delta_present")</x:f>
        <x:v>no_claim_delta</x:v>
      </x:c>
      <x:c r="AB292" s="12" t="str">
        <x:f>IF(S292="","no_contradiction_delta","contradiction_delta_present")</x:f>
        <x:v>no_contradiction_delta</x:v>
      </x:c>
      <x:c r="AC292" s="12" t="str">
        <x:f>IF(OR(ISNUMBER(SEARCH("hacker",LOWER(F292&amp;" "&amp;H292&amp;" "&amp;I292&amp;" "&amp;M292&amp;" "&amp;N292&amp;" "&amp;T292))),ISNUMBER(SEARCH("hacking",LOWER(F292&amp;" "&amp;H292&amp;" "&amp;I292&amp;" "&amp;M292&amp;" "&amp;N292&amp;" "&amp;T292))),ISNUMBER(SEARCH("bank",LOWER(F292&amp;" "&amp;H292&amp;" "&amp;I292&amp;" "&amp;M292&amp;" "&amp;N292&amp;" "&amp;T292))),ISNUMBER(SEARCH("banking",LOWER(F292&amp;" "&amp;H292&amp;" "&amp;I292&amp;" "&amp;M292&amp;" "&amp;N292&amp;" "&amp;T292)))),"PRIVATE_QUARANTINE",IF(OR(ISNUMBER(SEARCH("treasury",LOWER(F292&amp;" "&amp;H292&amp;" "&amp;I292&amp;" "&amp;M292&amp;" "&amp;N292&amp;" "&amp;T292))),ISNUMBER(SEARCH("debt",LOWER(F292&amp;" "&amp;H292&amp;" "&amp;I292&amp;" "&amp;M292&amp;" "&amp;N292&amp;" "&amp;T292))),ISNUMBER(SEARCH("bond",LOWER(F292&amp;" "&amp;H292&amp;" "&amp;I292&amp;" "&amp;M292&amp;" "&amp;N292&amp;" "&amp;T292))),ISNUMBER(SEARCH("transaction",LOWER(F292&amp;" "&amp;H292&amp;" "&amp;I292&amp;" "&amp;M292&amp;" "&amp;N292&amp;" "&amp;T292)))),"PRIVATE_REVIEW","PUBLIC_CANDIDATE"))</x:f>
        <x:v>PUBLIC_CANDIDATE</x:v>
      </x:c>
      <x:c r="AD292" s="12" t="str">
        <x:f>IF(AC292="PRIVATE_QUARANTINE","hacker_or_bank_trigger",IF(AC292="PRIVATE_REVIEW","finance_risk_trigger","none"))</x:f>
        <x:v>none</x:v>
      </x:c>
      <x:c r="AE292" s="12" t="str">
        <x:f>IF(AC292="PUBLIC_CANDIDATE","prepare_public_github_candidate",IF(AC292="PRIVATE_REVIEW","hold_for_private_review","quarantine_private_do_not_publish"))</x:f>
        <x:v>prepare_public_github_candidate</x:v>
      </x:c>
      <x:c r="AF292" s="12" t="str">
        <x:f>IF(AC292="PUBLIC_CANDIDATE","TIDELOCK + Lucerna",IF(AC292="PRIVATE_REVIEW","AtlasBrain + Lucerna","TIDELOCK + Lucerna + Human-root"))</x:f>
        <x:v>TIDELOCK + Lucerna</x:v>
      </x:c>
      <x:c r="AG292" s="12" t="str">
        <x:f>IF(AND(AC292="PUBLIC_CANDIDATE",U292&lt;&gt;"BLOCKED_PENDING_RECEIPT"),"READY_AFTER_RECEIPT","NOT_READY")</x:f>
        <x:v>NOT_READY</x:v>
      </x:c>
      <x:c r="AH292" s="12" t="str">
        <x:f>IF(AC292="PUBLIC_CANDIDATE","none",AD292)</x:f>
        <x:v>none</x:v>
      </x:c>
      <x:c r="AI292" s="12" t="str">
        <x:f>IF(AC292="PUBLIC_CANDIDATE","archive/public_candidates/"&amp;A292,"private_quarantine/"&amp;A292)</x:f>
        <x:v>archive/public_candidates/SWARM-03-H01-S03</x:v>
      </x:c>
      <x:c r="AJ292" s="12" t="str">
        <x:f>IF(AC292="PUBLIC_CANDIDATE","public by default; still not canon","private/hold; do not publish")</x:f>
        <x:v>public by default; still not canon</x:v>
      </x:c>
      <x:c r="AK292" s="12" t="str">
        <x:f>IF(AE292="prepare_public_github_candidate","add receipt/status then mirror","resolve blocker before any public GitHub action")</x:f>
        <x:v>add receipt/status then mirror</x:v>
      </x:c>
    </x:row>
    <x:row r="293">
      <x:c r="A293" s="15" t="str">
        <x:v>SWARM-03-H01-S04</x:v>
      </x:c>
      <x:c r="B293" s="15" t="str">
        <x:v>KairoBrain</x:v>
      </x:c>
      <x:c r="C293" s="15" t="str">
        <x:v>Temporal strata keeper</x:v>
      </x:c>
      <x:c r="D293" s="15" t="str">
        <x:v>Source Inventory</x:v>
      </x:c>
      <x:c r="E293" s="15" t="str">
        <x:v>Gamma</x:v>
      </x:c>
      <x:c r="F293" s="15" t="str">
        <x:v>Inventory Gamma — KairoBrain</x:v>
      </x:c>
      <x:c r="G293" s="15" t="str">
        <x:v>staleness / versioning / supersession</x:v>
      </x:c>
      <x:c r="H293" s="15" t="str">
        <x:v>source path + receipt + raw/export status + claim/edge/risk delta</x:v>
      </x:c>
      <x:c r="I293" s="15" t="str">
        <x:v>packet/SWARM-03-H01-S04</x:v>
      </x:c>
      <x:c r="J293" s="15" t="str">
        <x:v>TODO</x:v>
      </x:c>
      <x:c r="K293" s="15" t="str">
        <x:v>P1</x:v>
      </x:c>
      <x:c r="L293" s="15" t="str">
        <x:v>Done only when evidence is logged, contradiction search is noted, and boundary stamp remains non-canon unless ratified</x:v>
      </x:c>
      <x:c r="M293" s="15" t="str">
        <x:v>candidate / staging-only / not canon / not deployed / authority none</x:v>
      </x:c>
      <x:c r="N293" s="15" t="str">
        <x:v>Dispatch to KairoBrain: complete Source Inventory x Gamma; return deltas only, receipts required.</x:v>
      </x:c>
      <x:c r="O293" s="15" t="str">
        <x:v>AF-KG-H01-S04</x:v>
      </x:c>
      <x:c r="P293" s="15" t="str">
        <x:v>Unverified</x:v>
      </x:c>
      <x:c r="Q293" s="15" t="str">
        <x:v>Not checked</x:v>
      </x:c>
      <x:c r="R293" s="15" t="str"/>
      <x:c r="S293" s="15" t="str"/>
      <x:c r="T293" s="15" t="str">
        <x:v>Log first source path or blocker</x:v>
      </x:c>
      <x:c r="U293" s="12" t="str">
        <x:f>IF(OR(P293="Unverified",Q293="Not checked"),"BLOCKED_PENDING_RECEIPT","READY_FOR_REVIEW")</x:f>
        <x:v>BLOCKED_PENDING_RECEIPT</x:v>
      </x:c>
      <x:c r="V293" s="12" t="str">
        <x:f>IF(J293="DONE","RETURNED",IF(U293="BLOCKED_PENDING_RECEIPT","SOURCE_TOUCH_REQUIRED","IN_PROGRESS"))</x:f>
        <x:v>SOURCE_TOUCH_REQUIRED</x:v>
      </x:c>
      <x:c r="W293" s="12" t="str">
        <x:f>IF(P293="Unverified","missing_receipt","receipt_logged")</x:f>
        <x:v>missing_receipt</x:v>
      </x:c>
      <x:c r="X293" s="12" t="str">
        <x:f>IF(Q293="Not checked","raw_status_missing","raw_status_logged")</x:f>
        <x:v>raw_status_missing</x:v>
      </x:c>
      <x:c r="Y293" s="12" t="str">
        <x:f>IF(U293="BLOCKED_PENDING_RECEIPT","Log source path or blocker; do not promote","Route to review lane")</x:f>
        <x:v>Log source path or blocker; do not promote</x:v>
      </x:c>
      <x:c r="Z293" s="12" t="str">
        <x:f>IF(K293="P0","Primary seat + Hashlight/Lucerna","Seat lane")</x:f>
        <x:v>Seat lane</x:v>
      </x:c>
      <x:c r="AA293" s="12" t="str">
        <x:f>IF(R293="","no_claim_delta","claim_delta_present")</x:f>
        <x:v>no_claim_delta</x:v>
      </x:c>
      <x:c r="AB293" s="12" t="str">
        <x:f>IF(S293="","no_contradiction_delta","contradiction_delta_present")</x:f>
        <x:v>no_contradiction_delta</x:v>
      </x:c>
      <x:c r="AC293" s="12" t="str">
        <x:f>IF(OR(ISNUMBER(SEARCH("hacker",LOWER(F293&amp;" "&amp;H293&amp;" "&amp;I293&amp;" "&amp;M293&amp;" "&amp;N293&amp;" "&amp;T293))),ISNUMBER(SEARCH("hacking",LOWER(F293&amp;" "&amp;H293&amp;" "&amp;I293&amp;" "&amp;M293&amp;" "&amp;N293&amp;" "&amp;T293))),ISNUMBER(SEARCH("bank",LOWER(F293&amp;" "&amp;H293&amp;" "&amp;I293&amp;" "&amp;M293&amp;" "&amp;N293&amp;" "&amp;T293))),ISNUMBER(SEARCH("banking",LOWER(F293&amp;" "&amp;H293&amp;" "&amp;I293&amp;" "&amp;M293&amp;" "&amp;N293&amp;" "&amp;T293)))),"PRIVATE_QUARANTINE",IF(OR(ISNUMBER(SEARCH("treasury",LOWER(F293&amp;" "&amp;H293&amp;" "&amp;I293&amp;" "&amp;M293&amp;" "&amp;N293&amp;" "&amp;T293))),ISNUMBER(SEARCH("debt",LOWER(F293&amp;" "&amp;H293&amp;" "&amp;I293&amp;" "&amp;M293&amp;" "&amp;N293&amp;" "&amp;T293))),ISNUMBER(SEARCH("bond",LOWER(F293&amp;" "&amp;H293&amp;" "&amp;I293&amp;" "&amp;M293&amp;" "&amp;N293&amp;" "&amp;T293))),ISNUMBER(SEARCH("transaction",LOWER(F293&amp;" "&amp;H293&amp;" "&amp;I293&amp;" "&amp;M293&amp;" "&amp;N293&amp;" "&amp;T293)))),"PRIVATE_REVIEW","PUBLIC_CANDIDATE"))</x:f>
        <x:v>PUBLIC_CANDIDATE</x:v>
      </x:c>
      <x:c r="AD293" s="12" t="str">
        <x:f>IF(AC293="PRIVATE_QUARANTINE","hacker_or_bank_trigger",IF(AC293="PRIVATE_REVIEW","finance_risk_trigger","none"))</x:f>
        <x:v>none</x:v>
      </x:c>
      <x:c r="AE293" s="12" t="str">
        <x:f>IF(AC293="PUBLIC_CANDIDATE","prepare_public_github_candidate",IF(AC293="PRIVATE_REVIEW","hold_for_private_review","quarantine_private_do_not_publish"))</x:f>
        <x:v>prepare_public_github_candidate</x:v>
      </x:c>
      <x:c r="AF293" s="12" t="str">
        <x:f>IF(AC293="PUBLIC_CANDIDATE","TIDELOCK + Lucerna",IF(AC293="PRIVATE_REVIEW","AtlasBrain + Lucerna","TIDELOCK + Lucerna + Human-root"))</x:f>
        <x:v>TIDELOCK + Lucerna</x:v>
      </x:c>
      <x:c r="AG293" s="12" t="str">
        <x:f>IF(AND(AC293="PUBLIC_CANDIDATE",U293&lt;&gt;"BLOCKED_PENDING_RECEIPT"),"READY_AFTER_RECEIPT","NOT_READY")</x:f>
        <x:v>NOT_READY</x:v>
      </x:c>
      <x:c r="AH293" s="12" t="str">
        <x:f>IF(AC293="PUBLIC_CANDIDATE","none",AD293)</x:f>
        <x:v>none</x:v>
      </x:c>
      <x:c r="AI293" s="12" t="str">
        <x:f>IF(AC293="PUBLIC_CANDIDATE","archive/public_candidates/"&amp;A293,"private_quarantine/"&amp;A293)</x:f>
        <x:v>archive/public_candidates/SWARM-03-H01-S04</x:v>
      </x:c>
      <x:c r="AJ293" s="12" t="str">
        <x:f>IF(AC293="PUBLIC_CANDIDATE","public by default; still not canon","private/hold; do not publish")</x:f>
        <x:v>public by default; still not canon</x:v>
      </x:c>
      <x:c r="AK293" s="12" t="str">
        <x:f>IF(AE293="prepare_public_github_candidate","add receipt/status then mirror","resolve blocker before any public GitHub action")</x:f>
        <x:v>add receipt/status then mirror</x:v>
      </x:c>
    </x:row>
    <x:row r="294">
      <x:c r="A294" s="15" t="str">
        <x:v>SWARM-03-H01-S05</x:v>
      </x:c>
      <x:c r="B294" s="15" t="str">
        <x:v>KairoBrain</x:v>
      </x:c>
      <x:c r="C294" s="15" t="str">
        <x:v>Temporal strata keeper</x:v>
      </x:c>
      <x:c r="D294" s="15" t="str">
        <x:v>Source Inventory</x:v>
      </x:c>
      <x:c r="E294" s="15" t="str">
        <x:v>Chat</x:v>
      </x:c>
      <x:c r="F294" s="15" t="str">
        <x:v>Inventory Chat — KairoBrain</x:v>
      </x:c>
      <x:c r="G294" s="15" t="str">
        <x:v>staleness / versioning / supersession</x:v>
      </x:c>
      <x:c r="H294" s="15" t="str">
        <x:v>source path + receipt + raw/export status + claim/edge/risk delta</x:v>
      </x:c>
      <x:c r="I294" s="15" t="str">
        <x:v>packet/SWARM-03-H01-S05</x:v>
      </x:c>
      <x:c r="J294" s="15" t="str">
        <x:v>TODO</x:v>
      </x:c>
      <x:c r="K294" s="15" t="str">
        <x:v>P1</x:v>
      </x:c>
      <x:c r="L294" s="15" t="str">
        <x:v>Done only when evidence is logged, contradiction search is noted, and boundary stamp remains non-canon unless ratified</x:v>
      </x:c>
      <x:c r="M294" s="15" t="str">
        <x:v>candidate / staging-only / not canon / not deployed / authority none</x:v>
      </x:c>
      <x:c r="N294" s="15" t="str">
        <x:v>Dispatch to KairoBrain: complete Source Inventory x Chat; return deltas only, receipts required.</x:v>
      </x:c>
      <x:c r="O294" s="15" t="str">
        <x:v>AF-KG-H01-S05</x:v>
      </x:c>
      <x:c r="P294" s="15" t="str">
        <x:v>Unverified</x:v>
      </x:c>
      <x:c r="Q294" s="15" t="str">
        <x:v>Not checked</x:v>
      </x:c>
      <x:c r="R294" s="15" t="str"/>
      <x:c r="S294" s="15" t="str"/>
      <x:c r="T294" s="15" t="str">
        <x:v>Log first source path or blocker</x:v>
      </x:c>
      <x:c r="U294" s="12" t="str">
        <x:f>IF(OR(P294="Unverified",Q294="Not checked"),"BLOCKED_PENDING_RECEIPT","READY_FOR_REVIEW")</x:f>
        <x:v>BLOCKED_PENDING_RECEIPT</x:v>
      </x:c>
      <x:c r="V294" s="12" t="str">
        <x:f>IF(J294="DONE","RETURNED",IF(U294="BLOCKED_PENDING_RECEIPT","SOURCE_TOUCH_REQUIRED","IN_PROGRESS"))</x:f>
        <x:v>SOURCE_TOUCH_REQUIRED</x:v>
      </x:c>
      <x:c r="W294" s="12" t="str">
        <x:f>IF(P294="Unverified","missing_receipt","receipt_logged")</x:f>
        <x:v>missing_receipt</x:v>
      </x:c>
      <x:c r="X294" s="12" t="str">
        <x:f>IF(Q294="Not checked","raw_status_missing","raw_status_logged")</x:f>
        <x:v>raw_status_missing</x:v>
      </x:c>
      <x:c r="Y294" s="12" t="str">
        <x:f>IF(U294="BLOCKED_PENDING_RECEIPT","Log source path or blocker; do not promote","Route to review lane")</x:f>
        <x:v>Log source path or blocker; do not promote</x:v>
      </x:c>
      <x:c r="Z294" s="12" t="str">
        <x:f>IF(K294="P0","Primary seat + Hashlight/Lucerna","Seat lane")</x:f>
        <x:v>Seat lane</x:v>
      </x:c>
      <x:c r="AA294" s="12" t="str">
        <x:f>IF(R294="","no_claim_delta","claim_delta_present")</x:f>
        <x:v>no_claim_delta</x:v>
      </x:c>
      <x:c r="AB294" s="12" t="str">
        <x:f>IF(S294="","no_contradiction_delta","contradiction_delta_present")</x:f>
        <x:v>no_contradiction_delta</x:v>
      </x:c>
      <x:c r="AC294" s="12" t="str">
        <x:f>IF(OR(ISNUMBER(SEARCH("hacker",LOWER(F294&amp;" "&amp;H294&amp;" "&amp;I294&amp;" "&amp;M294&amp;" "&amp;N294&amp;" "&amp;T294))),ISNUMBER(SEARCH("hacking",LOWER(F294&amp;" "&amp;H294&amp;" "&amp;I294&amp;" "&amp;M294&amp;" "&amp;N294&amp;" "&amp;T294))),ISNUMBER(SEARCH("bank",LOWER(F294&amp;" "&amp;H294&amp;" "&amp;I294&amp;" "&amp;M294&amp;" "&amp;N294&amp;" "&amp;T294))),ISNUMBER(SEARCH("banking",LOWER(F294&amp;" "&amp;H294&amp;" "&amp;I294&amp;" "&amp;M294&amp;" "&amp;N294&amp;" "&amp;T294)))),"PRIVATE_QUARANTINE",IF(OR(ISNUMBER(SEARCH("treasury",LOWER(F294&amp;" "&amp;H294&amp;" "&amp;I294&amp;" "&amp;M294&amp;" "&amp;N294&amp;" "&amp;T294))),ISNUMBER(SEARCH("debt",LOWER(F294&amp;" "&amp;H294&amp;" "&amp;I294&amp;" "&amp;M294&amp;" "&amp;N294&amp;" "&amp;T294))),ISNUMBER(SEARCH("bond",LOWER(F294&amp;" "&amp;H294&amp;" "&amp;I294&amp;" "&amp;M294&amp;" "&amp;N294&amp;" "&amp;T294))),ISNUMBER(SEARCH("transaction",LOWER(F294&amp;" "&amp;H294&amp;" "&amp;I294&amp;" "&amp;M294&amp;" "&amp;N294&amp;" "&amp;T294)))),"PRIVATE_REVIEW","PUBLIC_CANDIDATE"))</x:f>
        <x:v>PUBLIC_CANDIDATE</x:v>
      </x:c>
      <x:c r="AD294" s="12" t="str">
        <x:f>IF(AC294="PRIVATE_QUARANTINE","hacker_or_bank_trigger",IF(AC294="PRIVATE_REVIEW","finance_risk_trigger","none"))</x:f>
        <x:v>none</x:v>
      </x:c>
      <x:c r="AE294" s="12" t="str">
        <x:f>IF(AC294="PUBLIC_CANDIDATE","prepare_public_github_candidate",IF(AC294="PRIVATE_REVIEW","hold_for_private_review","quarantine_private_do_not_publish"))</x:f>
        <x:v>prepare_public_github_candidate</x:v>
      </x:c>
      <x:c r="AF294" s="12" t="str">
        <x:f>IF(AC294="PUBLIC_CANDIDATE","TIDELOCK + Lucerna",IF(AC294="PRIVATE_REVIEW","AtlasBrain + Lucerna","TIDELOCK + Lucerna + Human-root"))</x:f>
        <x:v>TIDELOCK + Lucerna</x:v>
      </x:c>
      <x:c r="AG294" s="12" t="str">
        <x:f>IF(AND(AC294="PUBLIC_CANDIDATE",U294&lt;&gt;"BLOCKED_PENDING_RECEIPT"),"READY_AFTER_RECEIPT","NOT_READY")</x:f>
        <x:v>NOT_READY</x:v>
      </x:c>
      <x:c r="AH294" s="12" t="str">
        <x:f>IF(AC294="PUBLIC_CANDIDATE","none",AD294)</x:f>
        <x:v>none</x:v>
      </x:c>
      <x:c r="AI294" s="12" t="str">
        <x:f>IF(AC294="PUBLIC_CANDIDATE","archive/public_candidates/"&amp;A294,"private_quarantine/"&amp;A294)</x:f>
        <x:v>archive/public_candidates/SWARM-03-H01-S05</x:v>
      </x:c>
      <x:c r="AJ294" s="12" t="str">
        <x:f>IF(AC294="PUBLIC_CANDIDATE","public by default; still not canon","private/hold; do not publish")</x:f>
        <x:v>public by default; still not canon</x:v>
      </x:c>
      <x:c r="AK294" s="12" t="str">
        <x:f>IF(AE294="prepare_public_github_candidate","add receipt/status then mirror","resolve blocker before any public GitHub action")</x:f>
        <x:v>add receipt/status then mirror</x:v>
      </x:c>
    </x:row>
    <x:row r="295">
      <x:c r="A295" s="15" t="str">
        <x:v>SWARM-03-H01-S06</x:v>
      </x:c>
      <x:c r="B295" s="15" t="str">
        <x:v>KairoBrain</x:v>
      </x:c>
      <x:c r="C295" s="15" t="str">
        <x:v>Temporal strata keeper</x:v>
      </x:c>
      <x:c r="D295" s="15" t="str">
        <x:v>Source Inventory</x:v>
      </x:c>
      <x:c r="E295" s="15" t="str">
        <x:v>External Web</x:v>
      </x:c>
      <x:c r="F295" s="15" t="str">
        <x:v>Inventory External Web — KairoBrain</x:v>
      </x:c>
      <x:c r="G295" s="15" t="str">
        <x:v>staleness / versioning / supersession</x:v>
      </x:c>
      <x:c r="H295" s="15" t="str">
        <x:v>source path + receipt + raw/export status + claim/edge/risk delta</x:v>
      </x:c>
      <x:c r="I295" s="15" t="str">
        <x:v>packet/SWARM-03-H01-S06</x:v>
      </x:c>
      <x:c r="J295" s="15" t="str">
        <x:v>TODO</x:v>
      </x:c>
      <x:c r="K295" s="15" t="str">
        <x:v>P1</x:v>
      </x:c>
      <x:c r="L295" s="15" t="str">
        <x:v>Done only when evidence is logged, contradiction search is noted, and boundary stamp remains non-canon unless ratified</x:v>
      </x:c>
      <x:c r="M295" s="15" t="str">
        <x:v>candidate / staging-only / not canon / not deployed / authority none</x:v>
      </x:c>
      <x:c r="N295" s="15" t="str">
        <x:v>Dispatch to KairoBrain: complete Source Inventory x External Web; return deltas only, receipts required.</x:v>
      </x:c>
      <x:c r="O295" s="15" t="str">
        <x:v>AF-KG-H01-S06</x:v>
      </x:c>
      <x:c r="P295" s="15" t="str">
        <x:v>Unverified</x:v>
      </x:c>
      <x:c r="Q295" s="15" t="str">
        <x:v>Not checked</x:v>
      </x:c>
      <x:c r="R295" s="15" t="str"/>
      <x:c r="S295" s="15" t="str"/>
      <x:c r="T295" s="15" t="str">
        <x:v>Log first source path or blocker</x:v>
      </x:c>
      <x:c r="U295" s="12" t="str">
        <x:f>IF(OR(P295="Unverified",Q295="Not checked"),"BLOCKED_PENDING_RECEIPT","READY_FOR_REVIEW")</x:f>
        <x:v>BLOCKED_PENDING_RECEIPT</x:v>
      </x:c>
      <x:c r="V295" s="12" t="str">
        <x:f>IF(J295="DONE","RETURNED",IF(U295="BLOCKED_PENDING_RECEIPT","SOURCE_TOUCH_REQUIRED","IN_PROGRESS"))</x:f>
        <x:v>SOURCE_TOUCH_REQUIRED</x:v>
      </x:c>
      <x:c r="W295" s="12" t="str">
        <x:f>IF(P295="Unverified","missing_receipt","receipt_logged")</x:f>
        <x:v>missing_receipt</x:v>
      </x:c>
      <x:c r="X295" s="12" t="str">
        <x:f>IF(Q295="Not checked","raw_status_missing","raw_status_logged")</x:f>
        <x:v>raw_status_missing</x:v>
      </x:c>
      <x:c r="Y295" s="12" t="str">
        <x:f>IF(U295="BLOCKED_PENDING_RECEIPT","Log source path or blocker; do not promote","Route to review lane")</x:f>
        <x:v>Log source path or blocker; do not promote</x:v>
      </x:c>
      <x:c r="Z295" s="12" t="str">
        <x:f>IF(K295="P0","Primary seat + Hashlight/Lucerna","Seat lane")</x:f>
        <x:v>Seat lane</x:v>
      </x:c>
      <x:c r="AA295" s="12" t="str">
        <x:f>IF(R295="","no_claim_delta","claim_delta_present")</x:f>
        <x:v>no_claim_delta</x:v>
      </x:c>
      <x:c r="AB295" s="12" t="str">
        <x:f>IF(S295="","no_contradiction_delta","contradiction_delta_present")</x:f>
        <x:v>no_contradiction_delta</x:v>
      </x:c>
      <x:c r="AC295" s="12" t="str">
        <x:f>IF(OR(ISNUMBER(SEARCH("hacker",LOWER(F295&amp;" "&amp;H295&amp;" "&amp;I295&amp;" "&amp;M295&amp;" "&amp;N295&amp;" "&amp;T295))),ISNUMBER(SEARCH("hacking",LOWER(F295&amp;" "&amp;H295&amp;" "&amp;I295&amp;" "&amp;M295&amp;" "&amp;N295&amp;" "&amp;T295))),ISNUMBER(SEARCH("bank",LOWER(F295&amp;" "&amp;H295&amp;" "&amp;I295&amp;" "&amp;M295&amp;" "&amp;N295&amp;" "&amp;T295))),ISNUMBER(SEARCH("banking",LOWER(F295&amp;" "&amp;H295&amp;" "&amp;I295&amp;" "&amp;M295&amp;" "&amp;N295&amp;" "&amp;T295)))),"PRIVATE_QUARANTINE",IF(OR(ISNUMBER(SEARCH("treasury",LOWER(F295&amp;" "&amp;H295&amp;" "&amp;I295&amp;" "&amp;M295&amp;" "&amp;N295&amp;" "&amp;T295))),ISNUMBER(SEARCH("debt",LOWER(F295&amp;" "&amp;H295&amp;" "&amp;I295&amp;" "&amp;M295&amp;" "&amp;N295&amp;" "&amp;T295))),ISNUMBER(SEARCH("bond",LOWER(F295&amp;" "&amp;H295&amp;" "&amp;I295&amp;" "&amp;M295&amp;" "&amp;N295&amp;" "&amp;T295))),ISNUMBER(SEARCH("transaction",LOWER(F295&amp;" "&amp;H295&amp;" "&amp;I295&amp;" "&amp;M295&amp;" "&amp;N295&amp;" "&amp;T295)))),"PRIVATE_REVIEW","PUBLIC_CANDIDATE"))</x:f>
        <x:v>PUBLIC_CANDIDATE</x:v>
      </x:c>
      <x:c r="AD295" s="12" t="str">
        <x:f>IF(AC295="PRIVATE_QUARANTINE","hacker_or_bank_trigger",IF(AC295="PRIVATE_REVIEW","finance_risk_trigger","none"))</x:f>
        <x:v>none</x:v>
      </x:c>
      <x:c r="AE295" s="12" t="str">
        <x:f>IF(AC295="PUBLIC_CANDIDATE","prepare_public_github_candidate",IF(AC295="PRIVATE_REVIEW","hold_for_private_review","quarantine_private_do_not_publish"))</x:f>
        <x:v>prepare_public_github_candidate</x:v>
      </x:c>
      <x:c r="AF295" s="12" t="str">
        <x:f>IF(AC295="PUBLIC_CANDIDATE","TIDELOCK + Lucerna",IF(AC295="PRIVATE_REVIEW","AtlasBrain + Lucerna","TIDELOCK + Lucerna + Human-root"))</x:f>
        <x:v>TIDELOCK + Lucerna</x:v>
      </x:c>
      <x:c r="AG295" s="12" t="str">
        <x:f>IF(AND(AC295="PUBLIC_CANDIDATE",U295&lt;&gt;"BLOCKED_PENDING_RECEIPT"),"READY_AFTER_RECEIPT","NOT_READY")</x:f>
        <x:v>NOT_READY</x:v>
      </x:c>
      <x:c r="AH295" s="12" t="str">
        <x:f>IF(AC295="PUBLIC_CANDIDATE","none",AD295)</x:f>
        <x:v>none</x:v>
      </x:c>
      <x:c r="AI295" s="12" t="str">
        <x:f>IF(AC295="PUBLIC_CANDIDATE","archive/public_candidates/"&amp;A295,"private_quarantine/"&amp;A295)</x:f>
        <x:v>archive/public_candidates/SWARM-03-H01-S06</x:v>
      </x:c>
      <x:c r="AJ295" s="12" t="str">
        <x:f>IF(AC295="PUBLIC_CANDIDATE","public by default; still not canon","private/hold; do not publish")</x:f>
        <x:v>public by default; still not canon</x:v>
      </x:c>
      <x:c r="AK295" s="12" t="str">
        <x:f>IF(AE295="prepare_public_github_candidate","add receipt/status then mirror","resolve blocker before any public GitHub action")</x:f>
        <x:v>add receipt/status then mirror</x:v>
      </x:c>
    </x:row>
    <x:row r="296">
      <x:c r="A296" s="15" t="str">
        <x:v>SWARM-03-H01-S07</x:v>
      </x:c>
      <x:c r="B296" s="15" t="str">
        <x:v>KairoBrain</x:v>
      </x:c>
      <x:c r="C296" s="15" t="str">
        <x:v>Temporal strata keeper</x:v>
      </x:c>
      <x:c r="D296" s="15" t="str">
        <x:v>Source Inventory</x:v>
      </x:c>
      <x:c r="E296" s="15" t="str">
        <x:v>Planetarium</x:v>
      </x:c>
      <x:c r="F296" s="15" t="str">
        <x:v>Inventory Planetarium — KairoBrain</x:v>
      </x:c>
      <x:c r="G296" s="15" t="str">
        <x:v>staleness / versioning / supersession</x:v>
      </x:c>
      <x:c r="H296" s="15" t="str">
        <x:v>source path + receipt + raw/export status + claim/edge/risk delta</x:v>
      </x:c>
      <x:c r="I296" s="15" t="str">
        <x:v>packet/SWARM-03-H01-S07</x:v>
      </x:c>
      <x:c r="J296" s="15" t="str">
        <x:v>TODO</x:v>
      </x:c>
      <x:c r="K296" s="15" t="str">
        <x:v>P1</x:v>
      </x:c>
      <x:c r="L296" s="15" t="str">
        <x:v>Done only when evidence is logged, contradiction search is noted, and boundary stamp remains non-canon unless ratified</x:v>
      </x:c>
      <x:c r="M296" s="15" t="str">
        <x:v>candidate / staging-only / not canon / not deployed / authority none</x:v>
      </x:c>
      <x:c r="N296" s="15" t="str">
        <x:v>Dispatch to KairoBrain: complete Source Inventory x Planetarium; return deltas only, receipts required.</x:v>
      </x:c>
      <x:c r="O296" s="15" t="str">
        <x:v>AF-KG-H01-S07</x:v>
      </x:c>
      <x:c r="P296" s="15" t="str">
        <x:v>Unverified</x:v>
      </x:c>
      <x:c r="Q296" s="15" t="str">
        <x:v>Not checked</x:v>
      </x:c>
      <x:c r="R296" s="15" t="str"/>
      <x:c r="S296" s="15" t="str"/>
      <x:c r="T296" s="15" t="str">
        <x:v>Log first source path or blocker</x:v>
      </x:c>
      <x:c r="U296" s="12" t="str">
        <x:f>IF(OR(P296="Unverified",Q296="Not checked"),"BLOCKED_PENDING_RECEIPT","READY_FOR_REVIEW")</x:f>
        <x:v>BLOCKED_PENDING_RECEIPT</x:v>
      </x:c>
      <x:c r="V296" s="12" t="str">
        <x:f>IF(J296="DONE","RETURNED",IF(U296="BLOCKED_PENDING_RECEIPT","SOURCE_TOUCH_REQUIRED","IN_PROGRESS"))</x:f>
        <x:v>SOURCE_TOUCH_REQUIRED</x:v>
      </x:c>
      <x:c r="W296" s="12" t="str">
        <x:f>IF(P296="Unverified","missing_receipt","receipt_logged")</x:f>
        <x:v>missing_receipt</x:v>
      </x:c>
      <x:c r="X296" s="12" t="str">
        <x:f>IF(Q296="Not checked","raw_status_missing","raw_status_logged")</x:f>
        <x:v>raw_status_missing</x:v>
      </x:c>
      <x:c r="Y296" s="12" t="str">
        <x:f>IF(U296="BLOCKED_PENDING_RECEIPT","Log source path or blocker; do not promote","Route to review lane")</x:f>
        <x:v>Log source path or blocker; do not promote</x:v>
      </x:c>
      <x:c r="Z296" s="12" t="str">
        <x:f>IF(K296="P0","Primary seat + Hashlight/Lucerna","Seat lane")</x:f>
        <x:v>Seat lane</x:v>
      </x:c>
      <x:c r="AA296" s="12" t="str">
        <x:f>IF(R296="","no_claim_delta","claim_delta_present")</x:f>
        <x:v>no_claim_delta</x:v>
      </x:c>
      <x:c r="AB296" s="12" t="str">
        <x:f>IF(S296="","no_contradiction_delta","contradiction_delta_present")</x:f>
        <x:v>no_contradiction_delta</x:v>
      </x:c>
      <x:c r="AC296" s="12" t="str">
        <x:f>IF(OR(ISNUMBER(SEARCH("hacker",LOWER(F296&amp;" "&amp;H296&amp;" "&amp;I296&amp;" "&amp;M296&amp;" "&amp;N296&amp;" "&amp;T296))),ISNUMBER(SEARCH("hacking",LOWER(F296&amp;" "&amp;H296&amp;" "&amp;I296&amp;" "&amp;M296&amp;" "&amp;N296&amp;" "&amp;T296))),ISNUMBER(SEARCH("bank",LOWER(F296&amp;" "&amp;H296&amp;" "&amp;I296&amp;" "&amp;M296&amp;" "&amp;N296&amp;" "&amp;T296))),ISNUMBER(SEARCH("banking",LOWER(F296&amp;" "&amp;H296&amp;" "&amp;I296&amp;" "&amp;M296&amp;" "&amp;N296&amp;" "&amp;T296)))),"PRIVATE_QUARANTINE",IF(OR(ISNUMBER(SEARCH("treasury",LOWER(F296&amp;" "&amp;H296&amp;" "&amp;I296&amp;" "&amp;M296&amp;" "&amp;N296&amp;" "&amp;T296))),ISNUMBER(SEARCH("debt",LOWER(F296&amp;" "&amp;H296&amp;" "&amp;I296&amp;" "&amp;M296&amp;" "&amp;N296&amp;" "&amp;T296))),ISNUMBER(SEARCH("bond",LOWER(F296&amp;" "&amp;H296&amp;" "&amp;I296&amp;" "&amp;M296&amp;" "&amp;N296&amp;" "&amp;T296))),ISNUMBER(SEARCH("transaction",LOWER(F296&amp;" "&amp;H296&amp;" "&amp;I296&amp;" "&amp;M296&amp;" "&amp;N296&amp;" "&amp;T296)))),"PRIVATE_REVIEW","PUBLIC_CANDIDATE"))</x:f>
        <x:v>PUBLIC_CANDIDATE</x:v>
      </x:c>
      <x:c r="AD296" s="12" t="str">
        <x:f>IF(AC296="PRIVATE_QUARANTINE","hacker_or_bank_trigger",IF(AC296="PRIVATE_REVIEW","finance_risk_trigger","none"))</x:f>
        <x:v>none</x:v>
      </x:c>
      <x:c r="AE296" s="12" t="str">
        <x:f>IF(AC296="PUBLIC_CANDIDATE","prepare_public_github_candidate",IF(AC296="PRIVATE_REVIEW","hold_for_private_review","quarantine_private_do_not_publish"))</x:f>
        <x:v>prepare_public_github_candidate</x:v>
      </x:c>
      <x:c r="AF296" s="12" t="str">
        <x:f>IF(AC296="PUBLIC_CANDIDATE","TIDELOCK + Lucerna",IF(AC296="PRIVATE_REVIEW","AtlasBrain + Lucerna","TIDELOCK + Lucerna + Human-root"))</x:f>
        <x:v>TIDELOCK + Lucerna</x:v>
      </x:c>
      <x:c r="AG296" s="12" t="str">
        <x:f>IF(AND(AC296="PUBLIC_CANDIDATE",U296&lt;&gt;"BLOCKED_PENDING_RECEIPT"),"READY_AFTER_RECEIPT","NOT_READY")</x:f>
        <x:v>NOT_READY</x:v>
      </x:c>
      <x:c r="AH296" s="12" t="str">
        <x:f>IF(AC296="PUBLIC_CANDIDATE","none",AD296)</x:f>
        <x:v>none</x:v>
      </x:c>
      <x:c r="AI296" s="12" t="str">
        <x:f>IF(AC296="PUBLIC_CANDIDATE","archive/public_candidates/"&amp;A296,"private_quarantine/"&amp;A296)</x:f>
        <x:v>archive/public_candidates/SWARM-03-H01-S07</x:v>
      </x:c>
      <x:c r="AJ296" s="12" t="str">
        <x:f>IF(AC296="PUBLIC_CANDIDATE","public by default; still not canon","private/hold; do not publish")</x:f>
        <x:v>public by default; still not canon</x:v>
      </x:c>
      <x:c r="AK296" s="12" t="str">
        <x:f>IF(AE296="prepare_public_github_candidate","add receipt/status then mirror","resolve blocker before any public GitHub action")</x:f>
        <x:v>add receipt/status then mirror</x:v>
      </x:c>
    </x:row>
    <x:row r="297">
      <x:c r="A297" s="15" t="str">
        <x:v>SWARM-03-H01-S08</x:v>
      </x:c>
      <x:c r="B297" s="15" t="str">
        <x:v>KairoBrain</x:v>
      </x:c>
      <x:c r="C297" s="15" t="str">
        <x:v>Temporal strata keeper</x:v>
      </x:c>
      <x:c r="D297" s="15" t="str">
        <x:v>Source Inventory</x:v>
      </x:c>
      <x:c r="E297" s="15" t="str">
        <x:v>Sheldonbrain</x:v>
      </x:c>
      <x:c r="F297" s="15" t="str">
        <x:v>Inventory Sheldonbrain — KairoBrain</x:v>
      </x:c>
      <x:c r="G297" s="15" t="str">
        <x:v>staleness / versioning / supersession</x:v>
      </x:c>
      <x:c r="H297" s="15" t="str">
        <x:v>source path + receipt + raw/export status + claim/edge/risk delta</x:v>
      </x:c>
      <x:c r="I297" s="15" t="str">
        <x:v>packet/SWARM-03-H01-S08</x:v>
      </x:c>
      <x:c r="J297" s="15" t="str">
        <x:v>TODO</x:v>
      </x:c>
      <x:c r="K297" s="15" t="str">
        <x:v>P1</x:v>
      </x:c>
      <x:c r="L297" s="15" t="str">
        <x:v>Done only when evidence is logged, contradiction search is noted, and boundary stamp remains non-canon unless ratified</x:v>
      </x:c>
      <x:c r="M297" s="15" t="str">
        <x:v>candidate / staging-only / not canon / not deployed / authority none</x:v>
      </x:c>
      <x:c r="N297" s="15" t="str">
        <x:v>Dispatch to KairoBrain: complete Source Inventory x Sheldonbrain; return deltas only, receipts required.</x:v>
      </x:c>
      <x:c r="O297" s="15" t="str">
        <x:v>AF-KG-H01-S08</x:v>
      </x:c>
      <x:c r="P297" s="15" t="str">
        <x:v>Unverified</x:v>
      </x:c>
      <x:c r="Q297" s="15" t="str">
        <x:v>Not checked</x:v>
      </x:c>
      <x:c r="R297" s="15" t="str"/>
      <x:c r="S297" s="15" t="str"/>
      <x:c r="T297" s="15" t="str">
        <x:v>Log first source path or blocker</x:v>
      </x:c>
      <x:c r="U297" s="12" t="str">
        <x:f>IF(OR(P297="Unverified",Q297="Not checked"),"BLOCKED_PENDING_RECEIPT","READY_FOR_REVIEW")</x:f>
        <x:v>BLOCKED_PENDING_RECEIPT</x:v>
      </x:c>
      <x:c r="V297" s="12" t="str">
        <x:f>IF(J297="DONE","RETURNED",IF(U297="BLOCKED_PENDING_RECEIPT","SOURCE_TOUCH_REQUIRED","IN_PROGRESS"))</x:f>
        <x:v>SOURCE_TOUCH_REQUIRED</x:v>
      </x:c>
      <x:c r="W297" s="12" t="str">
        <x:f>IF(P297="Unverified","missing_receipt","receipt_logged")</x:f>
        <x:v>missing_receipt</x:v>
      </x:c>
      <x:c r="X297" s="12" t="str">
        <x:f>IF(Q297="Not checked","raw_status_missing","raw_status_logged")</x:f>
        <x:v>raw_status_missing</x:v>
      </x:c>
      <x:c r="Y297" s="12" t="str">
        <x:f>IF(U297="BLOCKED_PENDING_RECEIPT","Log source path or blocker; do not promote","Route to review lane")</x:f>
        <x:v>Log source path or blocker; do not promote</x:v>
      </x:c>
      <x:c r="Z297" s="12" t="str">
        <x:f>IF(K297="P0","Primary seat + Hashlight/Lucerna","Seat lane")</x:f>
        <x:v>Seat lane</x:v>
      </x:c>
      <x:c r="AA297" s="12" t="str">
        <x:f>IF(R297="","no_claim_delta","claim_delta_present")</x:f>
        <x:v>no_claim_delta</x:v>
      </x:c>
      <x:c r="AB297" s="12" t="str">
        <x:f>IF(S297="","no_contradiction_delta","contradiction_delta_present")</x:f>
        <x:v>no_contradiction_delta</x:v>
      </x:c>
      <x:c r="AC297" s="12" t="str">
        <x:f>IF(OR(ISNUMBER(SEARCH("hacker",LOWER(F297&amp;" "&amp;H297&amp;" "&amp;I297&amp;" "&amp;M297&amp;" "&amp;N297&amp;" "&amp;T297))),ISNUMBER(SEARCH("hacking",LOWER(F297&amp;" "&amp;H297&amp;" "&amp;I297&amp;" "&amp;M297&amp;" "&amp;N297&amp;" "&amp;T297))),ISNUMBER(SEARCH("bank",LOWER(F297&amp;" "&amp;H297&amp;" "&amp;I297&amp;" "&amp;M297&amp;" "&amp;N297&amp;" "&amp;T297))),ISNUMBER(SEARCH("banking",LOWER(F297&amp;" "&amp;H297&amp;" "&amp;I297&amp;" "&amp;M297&amp;" "&amp;N297&amp;" "&amp;T297)))),"PRIVATE_QUARANTINE",IF(OR(ISNUMBER(SEARCH("treasury",LOWER(F297&amp;" "&amp;H297&amp;" "&amp;I297&amp;" "&amp;M297&amp;" "&amp;N297&amp;" "&amp;T297))),ISNUMBER(SEARCH("debt",LOWER(F297&amp;" "&amp;H297&amp;" "&amp;I297&amp;" "&amp;M297&amp;" "&amp;N297&amp;" "&amp;T297))),ISNUMBER(SEARCH("bond",LOWER(F297&amp;" "&amp;H297&amp;" "&amp;I297&amp;" "&amp;M297&amp;" "&amp;N297&amp;" "&amp;T297))),ISNUMBER(SEARCH("transaction",LOWER(F297&amp;" "&amp;H297&amp;" "&amp;I297&amp;" "&amp;M297&amp;" "&amp;N297&amp;" "&amp;T297)))),"PRIVATE_REVIEW","PUBLIC_CANDIDATE"))</x:f>
        <x:v>PUBLIC_CANDIDATE</x:v>
      </x:c>
      <x:c r="AD297" s="12" t="str">
        <x:f>IF(AC297="PRIVATE_QUARANTINE","hacker_or_bank_trigger",IF(AC297="PRIVATE_REVIEW","finance_risk_trigger","none"))</x:f>
        <x:v>none</x:v>
      </x:c>
      <x:c r="AE297" s="12" t="str">
        <x:f>IF(AC297="PUBLIC_CANDIDATE","prepare_public_github_candidate",IF(AC297="PRIVATE_REVIEW","hold_for_private_review","quarantine_private_do_not_publish"))</x:f>
        <x:v>prepare_public_github_candidate</x:v>
      </x:c>
      <x:c r="AF297" s="12" t="str">
        <x:f>IF(AC297="PUBLIC_CANDIDATE","TIDELOCK + Lucerna",IF(AC297="PRIVATE_REVIEW","AtlasBrain + Lucerna","TIDELOCK + Lucerna + Human-root"))</x:f>
        <x:v>TIDELOCK + Lucerna</x:v>
      </x:c>
      <x:c r="AG297" s="12" t="str">
        <x:f>IF(AND(AC297="PUBLIC_CANDIDATE",U297&lt;&gt;"BLOCKED_PENDING_RECEIPT"),"READY_AFTER_RECEIPT","NOT_READY")</x:f>
        <x:v>NOT_READY</x:v>
      </x:c>
      <x:c r="AH297" s="12" t="str">
        <x:f>IF(AC297="PUBLIC_CANDIDATE","none",AD297)</x:f>
        <x:v>none</x:v>
      </x:c>
      <x:c r="AI297" s="12" t="str">
        <x:f>IF(AC297="PUBLIC_CANDIDATE","archive/public_candidates/"&amp;A297,"private_quarantine/"&amp;A297)</x:f>
        <x:v>archive/public_candidates/SWARM-03-H01-S08</x:v>
      </x:c>
      <x:c r="AJ297" s="12" t="str">
        <x:f>IF(AC297="PUBLIC_CANDIDATE","public by default; still not canon","private/hold; do not publish")</x:f>
        <x:v>public by default; still not canon</x:v>
      </x:c>
      <x:c r="AK297" s="12" t="str">
        <x:f>IF(AE297="prepare_public_github_candidate","add receipt/status then mirror","resolve blocker before any public GitHub action")</x:f>
        <x:v>add receipt/status then mirror</x:v>
      </x:c>
    </x:row>
    <x:row r="298">
      <x:c r="A298" s="15" t="str">
        <x:v>SWARM-03-H01-S09</x:v>
      </x:c>
      <x:c r="B298" s="15" t="str">
        <x:v>KairoBrain</x:v>
      </x:c>
      <x:c r="C298" s="15" t="str">
        <x:v>Temporal strata keeper</x:v>
      </x:c>
      <x:c r="D298" s="15" t="str">
        <x:v>Source Inventory</x:v>
      </x:c>
      <x:c r="E298" s="15" t="str">
        <x:v>Aetherforge</x:v>
      </x:c>
      <x:c r="F298" s="15" t="str">
        <x:v>Inventory Aetherforge — KairoBrain</x:v>
      </x:c>
      <x:c r="G298" s="15" t="str">
        <x:v>staleness / versioning / supersession</x:v>
      </x:c>
      <x:c r="H298" s="15" t="str">
        <x:v>source path + receipt + raw/export status + claim/edge/risk delta</x:v>
      </x:c>
      <x:c r="I298" s="15" t="str">
        <x:v>packet/SWARM-03-H01-S09</x:v>
      </x:c>
      <x:c r="J298" s="15" t="str">
        <x:v>TODO</x:v>
      </x:c>
      <x:c r="K298" s="15" t="str">
        <x:v>P2</x:v>
      </x:c>
      <x:c r="L298" s="15" t="str">
        <x:v>Done only when evidence is logged, contradiction search is noted, and boundary stamp remains non-canon unless ratified</x:v>
      </x:c>
      <x:c r="M298" s="15" t="str">
        <x:v>candidate / staging-only / not canon / not deployed / authority none</x:v>
      </x:c>
      <x:c r="N298" s="15" t="str">
        <x:v>Dispatch to KairoBrain: complete Source Inventory x Aetherforge; return deltas only, receipts required.</x:v>
      </x:c>
      <x:c r="O298" s="15" t="str">
        <x:v>AF-KG-H01-S09</x:v>
      </x:c>
      <x:c r="P298" s="15" t="str">
        <x:v>Unverified</x:v>
      </x:c>
      <x:c r="Q298" s="15" t="str">
        <x:v>Not checked</x:v>
      </x:c>
      <x:c r="R298" s="15" t="str"/>
      <x:c r="S298" s="15" t="str"/>
      <x:c r="T298" s="15" t="str">
        <x:v>Log first source path or blocker</x:v>
      </x:c>
      <x:c r="U298" s="12" t="str">
        <x:f>IF(OR(P298="Unverified",Q298="Not checked"),"BLOCKED_PENDING_RECEIPT","READY_FOR_REVIEW")</x:f>
        <x:v>BLOCKED_PENDING_RECEIPT</x:v>
      </x:c>
      <x:c r="V298" s="12" t="str">
        <x:f>IF(J298="DONE","RETURNED",IF(U298="BLOCKED_PENDING_RECEIPT","SOURCE_TOUCH_REQUIRED","IN_PROGRESS"))</x:f>
        <x:v>SOURCE_TOUCH_REQUIRED</x:v>
      </x:c>
      <x:c r="W298" s="12" t="str">
        <x:f>IF(P298="Unverified","missing_receipt","receipt_logged")</x:f>
        <x:v>missing_receipt</x:v>
      </x:c>
      <x:c r="X298" s="12" t="str">
        <x:f>IF(Q298="Not checked","raw_status_missing","raw_status_logged")</x:f>
        <x:v>raw_status_missing</x:v>
      </x:c>
      <x:c r="Y298" s="12" t="str">
        <x:f>IF(U298="BLOCKED_PENDING_RECEIPT","Log source path or blocker; do not promote","Route to review lane")</x:f>
        <x:v>Log source path or blocker; do not promote</x:v>
      </x:c>
      <x:c r="Z298" s="12" t="str">
        <x:f>IF(K298="P0","Primary seat + Hashlight/Lucerna","Seat lane")</x:f>
        <x:v>Seat lane</x:v>
      </x:c>
      <x:c r="AA298" s="12" t="str">
        <x:f>IF(R298="","no_claim_delta","claim_delta_present")</x:f>
        <x:v>no_claim_delta</x:v>
      </x:c>
      <x:c r="AB298" s="12" t="str">
        <x:f>IF(S298="","no_contradiction_delta","contradiction_delta_present")</x:f>
        <x:v>no_contradiction_delta</x:v>
      </x:c>
      <x:c r="AC298" s="12" t="str">
        <x:f>IF(OR(ISNUMBER(SEARCH("hacker",LOWER(F298&amp;" "&amp;H298&amp;" "&amp;I298&amp;" "&amp;M298&amp;" "&amp;N298&amp;" "&amp;T298))),ISNUMBER(SEARCH("hacking",LOWER(F298&amp;" "&amp;H298&amp;" "&amp;I298&amp;" "&amp;M298&amp;" "&amp;N298&amp;" "&amp;T298))),ISNUMBER(SEARCH("bank",LOWER(F298&amp;" "&amp;H298&amp;" "&amp;I298&amp;" "&amp;M298&amp;" "&amp;N298&amp;" "&amp;T298))),ISNUMBER(SEARCH("banking",LOWER(F298&amp;" "&amp;H298&amp;" "&amp;I298&amp;" "&amp;M298&amp;" "&amp;N298&amp;" "&amp;T298)))),"PRIVATE_QUARANTINE",IF(OR(ISNUMBER(SEARCH("treasury",LOWER(F298&amp;" "&amp;H298&amp;" "&amp;I298&amp;" "&amp;M298&amp;" "&amp;N298&amp;" "&amp;T298))),ISNUMBER(SEARCH("debt",LOWER(F298&amp;" "&amp;H298&amp;" "&amp;I298&amp;" "&amp;M298&amp;" "&amp;N298&amp;" "&amp;T298))),ISNUMBER(SEARCH("bond",LOWER(F298&amp;" "&amp;H298&amp;" "&amp;I298&amp;" "&amp;M298&amp;" "&amp;N298&amp;" "&amp;T298))),ISNUMBER(SEARCH("transaction",LOWER(F298&amp;" "&amp;H298&amp;" "&amp;I298&amp;" "&amp;M298&amp;" "&amp;N298&amp;" "&amp;T298)))),"PRIVATE_REVIEW","PUBLIC_CANDIDATE"))</x:f>
        <x:v>PUBLIC_CANDIDATE</x:v>
      </x:c>
      <x:c r="AD298" s="12" t="str">
        <x:f>IF(AC298="PRIVATE_QUARANTINE","hacker_or_bank_trigger",IF(AC298="PRIVATE_REVIEW","finance_risk_trigger","none"))</x:f>
        <x:v>none</x:v>
      </x:c>
      <x:c r="AE298" s="12" t="str">
        <x:f>IF(AC298="PUBLIC_CANDIDATE","prepare_public_github_candidate",IF(AC298="PRIVATE_REVIEW","hold_for_private_review","quarantine_private_do_not_publish"))</x:f>
        <x:v>prepare_public_github_candidate</x:v>
      </x:c>
      <x:c r="AF298" s="12" t="str">
        <x:f>IF(AC298="PUBLIC_CANDIDATE","TIDELOCK + Lucerna",IF(AC298="PRIVATE_REVIEW","AtlasBrain + Lucerna","TIDELOCK + Lucerna + Human-root"))</x:f>
        <x:v>TIDELOCK + Lucerna</x:v>
      </x:c>
      <x:c r="AG298" s="12" t="str">
        <x:f>IF(AND(AC298="PUBLIC_CANDIDATE",U298&lt;&gt;"BLOCKED_PENDING_RECEIPT"),"READY_AFTER_RECEIPT","NOT_READY")</x:f>
        <x:v>NOT_READY</x:v>
      </x:c>
      <x:c r="AH298" s="12" t="str">
        <x:f>IF(AC298="PUBLIC_CANDIDATE","none",AD298)</x:f>
        <x:v>none</x:v>
      </x:c>
      <x:c r="AI298" s="12" t="str">
        <x:f>IF(AC298="PUBLIC_CANDIDATE","archive/public_candidates/"&amp;A298,"private_quarantine/"&amp;A298)</x:f>
        <x:v>archive/public_candidates/SWARM-03-H01-S09</x:v>
      </x:c>
      <x:c r="AJ298" s="12" t="str">
        <x:f>IF(AC298="PUBLIC_CANDIDATE","public by default; still not canon","private/hold; do not publish")</x:f>
        <x:v>public by default; still not canon</x:v>
      </x:c>
      <x:c r="AK298" s="12" t="str">
        <x:f>IF(AE298="prepare_public_github_candidate","add receipt/status then mirror","resolve blocker before any public GitHub action")</x:f>
        <x:v>add receipt/status then mirror</x:v>
      </x:c>
    </x:row>
    <x:row r="299">
      <x:c r="A299" s="15" t="str">
        <x:v>SWARM-03-H01-S10</x:v>
      </x:c>
      <x:c r="B299" s="15" t="str">
        <x:v>KairoBrain</x:v>
      </x:c>
      <x:c r="C299" s="15" t="str">
        <x:v>Temporal strata keeper</x:v>
      </x:c>
      <x:c r="D299" s="15" t="str">
        <x:v>Source Inventory</x:v>
      </x:c>
      <x:c r="E299" s="15" t="str">
        <x:v>Human-Root</x:v>
      </x:c>
      <x:c r="F299" s="15" t="str">
        <x:v>Inventory Human-Root — KairoBrain</x:v>
      </x:c>
      <x:c r="G299" s="15" t="str">
        <x:v>staleness / versioning / supersession</x:v>
      </x:c>
      <x:c r="H299" s="15" t="str">
        <x:v>source path + receipt + raw/export status + claim/edge/risk delta</x:v>
      </x:c>
      <x:c r="I299" s="15" t="str">
        <x:v>packet/SWARM-03-H01-S10</x:v>
      </x:c>
      <x:c r="J299" s="15" t="str">
        <x:v>TODO</x:v>
      </x:c>
      <x:c r="K299" s="15" t="str">
        <x:v>P2</x:v>
      </x:c>
      <x:c r="L299" s="15" t="str">
        <x:v>Done only when evidence is logged, contradiction search is noted, and boundary stamp remains non-canon unless ratified</x:v>
      </x:c>
      <x:c r="M299" s="15" t="str">
        <x:v>candidate / staging-only / not canon / not deployed / authority none</x:v>
      </x:c>
      <x:c r="N299" s="15" t="str">
        <x:v>Dispatch to KairoBrain: complete Source Inventory x Human-Root; return deltas only, receipts required.</x:v>
      </x:c>
      <x:c r="O299" s="15" t="str">
        <x:v>AF-KG-H01-S10</x:v>
      </x:c>
      <x:c r="P299" s="15" t="str">
        <x:v>Unverified</x:v>
      </x:c>
      <x:c r="Q299" s="15" t="str">
        <x:v>Not checked</x:v>
      </x:c>
      <x:c r="R299" s="15" t="str"/>
      <x:c r="S299" s="15" t="str"/>
      <x:c r="T299" s="15" t="str">
        <x:v>Log first source path or blocker</x:v>
      </x:c>
      <x:c r="U299" s="12" t="str">
        <x:f>IF(OR(P299="Unverified",Q299="Not checked"),"BLOCKED_PENDING_RECEIPT","READY_FOR_REVIEW")</x:f>
        <x:v>BLOCKED_PENDING_RECEIPT</x:v>
      </x:c>
      <x:c r="V299" s="12" t="str">
        <x:f>IF(J299="DONE","RETURNED",IF(U299="BLOCKED_PENDING_RECEIPT","SOURCE_TOUCH_REQUIRED","IN_PROGRESS"))</x:f>
        <x:v>SOURCE_TOUCH_REQUIRED</x:v>
      </x:c>
      <x:c r="W299" s="12" t="str">
        <x:f>IF(P299="Unverified","missing_receipt","receipt_logged")</x:f>
        <x:v>missing_receipt</x:v>
      </x:c>
      <x:c r="X299" s="12" t="str">
        <x:f>IF(Q299="Not checked","raw_status_missing","raw_status_logged")</x:f>
        <x:v>raw_status_missing</x:v>
      </x:c>
      <x:c r="Y299" s="12" t="str">
        <x:f>IF(U299="BLOCKED_PENDING_RECEIPT","Log source path or blocker; do not promote","Route to review lane")</x:f>
        <x:v>Log source path or blocker; do not promote</x:v>
      </x:c>
      <x:c r="Z299" s="12" t="str">
        <x:f>IF(K299="P0","Primary seat + Hashlight/Lucerna","Seat lane")</x:f>
        <x:v>Seat lane</x:v>
      </x:c>
      <x:c r="AA299" s="12" t="str">
        <x:f>IF(R299="","no_claim_delta","claim_delta_present")</x:f>
        <x:v>no_claim_delta</x:v>
      </x:c>
      <x:c r="AB299" s="12" t="str">
        <x:f>IF(S299="","no_contradiction_delta","contradiction_delta_present")</x:f>
        <x:v>no_contradiction_delta</x:v>
      </x:c>
      <x:c r="AC299" s="12" t="str">
        <x:f>IF(OR(ISNUMBER(SEARCH("hacker",LOWER(F299&amp;" "&amp;H299&amp;" "&amp;I299&amp;" "&amp;M299&amp;" "&amp;N299&amp;" "&amp;T299))),ISNUMBER(SEARCH("hacking",LOWER(F299&amp;" "&amp;H299&amp;" "&amp;I299&amp;" "&amp;M299&amp;" "&amp;N299&amp;" "&amp;T299))),ISNUMBER(SEARCH("bank",LOWER(F299&amp;" "&amp;H299&amp;" "&amp;I299&amp;" "&amp;M299&amp;" "&amp;N299&amp;" "&amp;T299))),ISNUMBER(SEARCH("banking",LOWER(F299&amp;" "&amp;H299&amp;" "&amp;I299&amp;" "&amp;M299&amp;" "&amp;N299&amp;" "&amp;T299)))),"PRIVATE_QUARANTINE",IF(OR(ISNUMBER(SEARCH("treasury",LOWER(F299&amp;" "&amp;H299&amp;" "&amp;I299&amp;" "&amp;M299&amp;" "&amp;N299&amp;" "&amp;T299))),ISNUMBER(SEARCH("debt",LOWER(F299&amp;" "&amp;H299&amp;" "&amp;I299&amp;" "&amp;M299&amp;" "&amp;N299&amp;" "&amp;T299))),ISNUMBER(SEARCH("bond",LOWER(F299&amp;" "&amp;H299&amp;" "&amp;I299&amp;" "&amp;M299&amp;" "&amp;N299&amp;" "&amp;T299))),ISNUMBER(SEARCH("transaction",LOWER(F299&amp;" "&amp;H299&amp;" "&amp;I299&amp;" "&amp;M299&amp;" "&amp;N299&amp;" "&amp;T299)))),"PRIVATE_REVIEW","PUBLIC_CANDIDATE"))</x:f>
        <x:v>PUBLIC_CANDIDATE</x:v>
      </x:c>
      <x:c r="AD299" s="12" t="str">
        <x:f>IF(AC299="PRIVATE_QUARANTINE","hacker_or_bank_trigger",IF(AC299="PRIVATE_REVIEW","finance_risk_trigger","none"))</x:f>
        <x:v>none</x:v>
      </x:c>
      <x:c r="AE299" s="12" t="str">
        <x:f>IF(AC299="PUBLIC_CANDIDATE","prepare_public_github_candidate",IF(AC299="PRIVATE_REVIEW","hold_for_private_review","quarantine_private_do_not_publish"))</x:f>
        <x:v>prepare_public_github_candidate</x:v>
      </x:c>
      <x:c r="AF299" s="12" t="str">
        <x:f>IF(AC299="PUBLIC_CANDIDATE","TIDELOCK + Lucerna",IF(AC299="PRIVATE_REVIEW","AtlasBrain + Lucerna","TIDELOCK + Lucerna + Human-root"))</x:f>
        <x:v>TIDELOCK + Lucerna</x:v>
      </x:c>
      <x:c r="AG299" s="12" t="str">
        <x:f>IF(AND(AC299="PUBLIC_CANDIDATE",U299&lt;&gt;"BLOCKED_PENDING_RECEIPT"),"READY_AFTER_RECEIPT","NOT_READY")</x:f>
        <x:v>NOT_READY</x:v>
      </x:c>
      <x:c r="AH299" s="12" t="str">
        <x:f>IF(AC299="PUBLIC_CANDIDATE","none",AD299)</x:f>
        <x:v>none</x:v>
      </x:c>
      <x:c r="AI299" s="12" t="str">
        <x:f>IF(AC299="PUBLIC_CANDIDATE","archive/public_candidates/"&amp;A299,"private_quarantine/"&amp;A299)</x:f>
        <x:v>archive/public_candidates/SWARM-03-H01-S10</x:v>
      </x:c>
      <x:c r="AJ299" s="12" t="str">
        <x:f>IF(AC299="PUBLIC_CANDIDATE","public by default; still not canon","private/hold; do not publish")</x:f>
        <x:v>public by default; still not canon</x:v>
      </x:c>
      <x:c r="AK299" s="12" t="str">
        <x:f>IF(AE299="prepare_public_github_candidate","add receipt/status then mirror","resolve blocker before any public GitHub action")</x:f>
        <x:v>add receipt/status then mirror</x:v>
      </x:c>
    </x:row>
    <x:row r="300">
      <x:c r="A300" s="15" t="str">
        <x:v>SWARM-03-H01-S11</x:v>
      </x:c>
      <x:c r="B300" s="15" t="str">
        <x:v>KairoBrain</x:v>
      </x:c>
      <x:c r="C300" s="15" t="str">
        <x:v>Temporal strata keeper</x:v>
      </x:c>
      <x:c r="D300" s="15" t="str">
        <x:v>Source Inventory</x:v>
      </x:c>
      <x:c r="E300" s="15" t="str">
        <x:v>Automation</x:v>
      </x:c>
      <x:c r="F300" s="15" t="str">
        <x:v>Inventory Automation — KairoBrain</x:v>
      </x:c>
      <x:c r="G300" s="15" t="str">
        <x:v>staleness / versioning / supersession</x:v>
      </x:c>
      <x:c r="H300" s="15" t="str">
        <x:v>source path + receipt + raw/export status + claim/edge/risk delta</x:v>
      </x:c>
      <x:c r="I300" s="15" t="str">
        <x:v>packet/SWARM-03-H01-S11</x:v>
      </x:c>
      <x:c r="J300" s="15" t="str">
        <x:v>TODO</x:v>
      </x:c>
      <x:c r="K300" s="15" t="str">
        <x:v>P2</x:v>
      </x:c>
      <x:c r="L300" s="15" t="str">
        <x:v>Done only when evidence is logged, contradiction search is noted, and boundary stamp remains non-canon unless ratified</x:v>
      </x:c>
      <x:c r="M300" s="15" t="str">
        <x:v>candidate / staging-only / not canon / not deployed / authority none</x:v>
      </x:c>
      <x:c r="N300" s="15" t="str">
        <x:v>Dispatch to KairoBrain: complete Source Inventory x Automation; return deltas only, receipts required.</x:v>
      </x:c>
      <x:c r="O300" s="15" t="str">
        <x:v>AF-KG-H01-S11</x:v>
      </x:c>
      <x:c r="P300" s="15" t="str">
        <x:v>Unverified</x:v>
      </x:c>
      <x:c r="Q300" s="15" t="str">
        <x:v>Not checked</x:v>
      </x:c>
      <x:c r="R300" s="15" t="str"/>
      <x:c r="S300" s="15" t="str"/>
      <x:c r="T300" s="15" t="str">
        <x:v>Log first source path or blocker</x:v>
      </x:c>
      <x:c r="U300" s="12" t="str">
        <x:f>IF(OR(P300="Unverified",Q300="Not checked"),"BLOCKED_PENDING_RECEIPT","READY_FOR_REVIEW")</x:f>
        <x:v>BLOCKED_PENDING_RECEIPT</x:v>
      </x:c>
      <x:c r="V300" s="12" t="str">
        <x:f>IF(J300="DONE","RETURNED",IF(U300="BLOCKED_PENDING_RECEIPT","SOURCE_TOUCH_REQUIRED","IN_PROGRESS"))</x:f>
        <x:v>SOURCE_TOUCH_REQUIRED</x:v>
      </x:c>
      <x:c r="W300" s="12" t="str">
        <x:f>IF(P300="Unverified","missing_receipt","receipt_logged")</x:f>
        <x:v>missing_receipt</x:v>
      </x:c>
      <x:c r="X300" s="12" t="str">
        <x:f>IF(Q300="Not checked","raw_status_missing","raw_status_logged")</x:f>
        <x:v>raw_status_missing</x:v>
      </x:c>
      <x:c r="Y300" s="12" t="str">
        <x:f>IF(U300="BLOCKED_PENDING_RECEIPT","Log source path or blocker; do not promote","Route to review lane")</x:f>
        <x:v>Log source path or blocker; do not promote</x:v>
      </x:c>
      <x:c r="Z300" s="12" t="str">
        <x:f>IF(K300="P0","Primary seat + Hashlight/Lucerna","Seat lane")</x:f>
        <x:v>Seat lane</x:v>
      </x:c>
      <x:c r="AA300" s="12" t="str">
        <x:f>IF(R300="","no_claim_delta","claim_delta_present")</x:f>
        <x:v>no_claim_delta</x:v>
      </x:c>
      <x:c r="AB300" s="12" t="str">
        <x:f>IF(S300="","no_contradiction_delta","contradiction_delta_present")</x:f>
        <x:v>no_contradiction_delta</x:v>
      </x:c>
      <x:c r="AC300" s="12" t="str">
        <x:f>IF(OR(ISNUMBER(SEARCH("hacker",LOWER(F300&amp;" "&amp;H300&amp;" "&amp;I300&amp;" "&amp;M300&amp;" "&amp;N300&amp;" "&amp;T300))),ISNUMBER(SEARCH("hacking",LOWER(F300&amp;" "&amp;H300&amp;" "&amp;I300&amp;" "&amp;M300&amp;" "&amp;N300&amp;" "&amp;T300))),ISNUMBER(SEARCH("bank",LOWER(F300&amp;" "&amp;H300&amp;" "&amp;I300&amp;" "&amp;M300&amp;" "&amp;N300&amp;" "&amp;T300))),ISNUMBER(SEARCH("banking",LOWER(F300&amp;" "&amp;H300&amp;" "&amp;I300&amp;" "&amp;M300&amp;" "&amp;N300&amp;" "&amp;T300)))),"PRIVATE_QUARANTINE",IF(OR(ISNUMBER(SEARCH("treasury",LOWER(F300&amp;" "&amp;H300&amp;" "&amp;I300&amp;" "&amp;M300&amp;" "&amp;N300&amp;" "&amp;T300))),ISNUMBER(SEARCH("debt",LOWER(F300&amp;" "&amp;H300&amp;" "&amp;I300&amp;" "&amp;M300&amp;" "&amp;N300&amp;" "&amp;T300))),ISNUMBER(SEARCH("bond",LOWER(F300&amp;" "&amp;H300&amp;" "&amp;I300&amp;" "&amp;M300&amp;" "&amp;N300&amp;" "&amp;T300))),ISNUMBER(SEARCH("transaction",LOWER(F300&amp;" "&amp;H300&amp;" "&amp;I300&amp;" "&amp;M300&amp;" "&amp;N300&amp;" "&amp;T300)))),"PRIVATE_REVIEW","PUBLIC_CANDIDATE"))</x:f>
        <x:v>PUBLIC_CANDIDATE</x:v>
      </x:c>
      <x:c r="AD300" s="12" t="str">
        <x:f>IF(AC300="PRIVATE_QUARANTINE","hacker_or_bank_trigger",IF(AC300="PRIVATE_REVIEW","finance_risk_trigger","none"))</x:f>
        <x:v>none</x:v>
      </x:c>
      <x:c r="AE300" s="12" t="str">
        <x:f>IF(AC300="PUBLIC_CANDIDATE","prepare_public_github_candidate",IF(AC300="PRIVATE_REVIEW","hold_for_private_review","quarantine_private_do_not_publish"))</x:f>
        <x:v>prepare_public_github_candidate</x:v>
      </x:c>
      <x:c r="AF300" s="12" t="str">
        <x:f>IF(AC300="PUBLIC_CANDIDATE","TIDELOCK + Lucerna",IF(AC300="PRIVATE_REVIEW","AtlasBrain + Lucerna","TIDELOCK + Lucerna + Human-root"))</x:f>
        <x:v>TIDELOCK + Lucerna</x:v>
      </x:c>
      <x:c r="AG300" s="12" t="str">
        <x:f>IF(AND(AC300="PUBLIC_CANDIDATE",U300&lt;&gt;"BLOCKED_PENDING_RECEIPT"),"READY_AFTER_RECEIPT","NOT_READY")</x:f>
        <x:v>NOT_READY</x:v>
      </x:c>
      <x:c r="AH300" s="12" t="str">
        <x:f>IF(AC300="PUBLIC_CANDIDATE","none",AD300)</x:f>
        <x:v>none</x:v>
      </x:c>
      <x:c r="AI300" s="12" t="str">
        <x:f>IF(AC300="PUBLIC_CANDIDATE","archive/public_candidates/"&amp;A300,"private_quarantine/"&amp;A300)</x:f>
        <x:v>archive/public_candidates/SWARM-03-H01-S11</x:v>
      </x:c>
      <x:c r="AJ300" s="12" t="str">
        <x:f>IF(AC300="PUBLIC_CANDIDATE","public by default; still not canon","private/hold; do not publish")</x:f>
        <x:v>public by default; still not canon</x:v>
      </x:c>
      <x:c r="AK300" s="12" t="str">
        <x:f>IF(AE300="prepare_public_github_candidate","add receipt/status then mirror","resolve blocker before any public GitHub action")</x:f>
        <x:v>add receipt/status then mirror</x:v>
      </x:c>
    </x:row>
    <x:row r="301">
      <x:c r="A301" s="15" t="str">
        <x:v>SWARM-03-H01-S12</x:v>
      </x:c>
      <x:c r="B301" s="15" t="str">
        <x:v>KairoBrain</x:v>
      </x:c>
      <x:c r="C301" s="15" t="str">
        <x:v>Temporal strata keeper</x:v>
      </x:c>
      <x:c r="D301" s="15" t="str">
        <x:v>Source Inventory</x:v>
      </x:c>
      <x:c r="E301" s="15" t="str">
        <x:v>Risk / Safety</x:v>
      </x:c>
      <x:c r="F301" s="15" t="str">
        <x:v>Inventory Risk / Safety — KairoBrain</x:v>
      </x:c>
      <x:c r="G301" s="15" t="str">
        <x:v>staleness / versioning / supersession</x:v>
      </x:c>
      <x:c r="H301" s="15" t="str">
        <x:v>source path + receipt + raw/export status + claim/edge/risk delta</x:v>
      </x:c>
      <x:c r="I301" s="15" t="str">
        <x:v>packet/SWARM-03-H01-S12</x:v>
      </x:c>
      <x:c r="J301" s="15" t="str">
        <x:v>TODO</x:v>
      </x:c>
      <x:c r="K301" s="15" t="str">
        <x:v>P2</x:v>
      </x:c>
      <x:c r="L301" s="15" t="str">
        <x:v>Done only when evidence is logged, contradiction search is noted, and boundary stamp remains non-canon unless ratified</x:v>
      </x:c>
      <x:c r="M301" s="15" t="str">
        <x:v>candidate / staging-only / not canon / not deployed / authority none</x:v>
      </x:c>
      <x:c r="N301" s="15" t="str">
        <x:v>Dispatch to KairoBrain: complete Source Inventory x Risk / Safety; return deltas only, receipts required.</x:v>
      </x:c>
      <x:c r="O301" s="15" t="str">
        <x:v>AF-KG-H01-S12</x:v>
      </x:c>
      <x:c r="P301" s="15" t="str">
        <x:v>Unverified</x:v>
      </x:c>
      <x:c r="Q301" s="15" t="str">
        <x:v>Not checked</x:v>
      </x:c>
      <x:c r="R301" s="15" t="str"/>
      <x:c r="S301" s="15" t="str"/>
      <x:c r="T301" s="15" t="str">
        <x:v>Log first source path or blocker</x:v>
      </x:c>
      <x:c r="U301" s="12" t="str">
        <x:f>IF(OR(P301="Unverified",Q301="Not checked"),"BLOCKED_PENDING_RECEIPT","READY_FOR_REVIEW")</x:f>
        <x:v>BLOCKED_PENDING_RECEIPT</x:v>
      </x:c>
      <x:c r="V301" s="12" t="str">
        <x:f>IF(J301="DONE","RETURNED",IF(U301="BLOCKED_PENDING_RECEIPT","SOURCE_TOUCH_REQUIRED","IN_PROGRESS"))</x:f>
        <x:v>SOURCE_TOUCH_REQUIRED</x:v>
      </x:c>
      <x:c r="W301" s="12" t="str">
        <x:f>IF(P301="Unverified","missing_receipt","receipt_logged")</x:f>
        <x:v>missing_receipt</x:v>
      </x:c>
      <x:c r="X301" s="12" t="str">
        <x:f>IF(Q301="Not checked","raw_status_missing","raw_status_logged")</x:f>
        <x:v>raw_status_missing</x:v>
      </x:c>
      <x:c r="Y301" s="12" t="str">
        <x:f>IF(U301="BLOCKED_PENDING_RECEIPT","Log source path or blocker; do not promote","Route to review lane")</x:f>
        <x:v>Log source path or blocker; do not promote</x:v>
      </x:c>
      <x:c r="Z301" s="12" t="str">
        <x:f>IF(K301="P0","Primary seat + Hashlight/Lucerna","Seat lane")</x:f>
        <x:v>Seat lane</x:v>
      </x:c>
      <x:c r="AA301" s="12" t="str">
        <x:f>IF(R301="","no_claim_delta","claim_delta_present")</x:f>
        <x:v>no_claim_delta</x:v>
      </x:c>
      <x:c r="AB301" s="12" t="str">
        <x:f>IF(S301="","no_contradiction_delta","contradiction_delta_present")</x:f>
        <x:v>no_contradiction_delta</x:v>
      </x:c>
      <x:c r="AC301" s="12" t="str">
        <x:f>IF(OR(ISNUMBER(SEARCH("hacker",LOWER(F301&amp;" "&amp;H301&amp;" "&amp;I301&amp;" "&amp;M301&amp;" "&amp;N301&amp;" "&amp;T301))),ISNUMBER(SEARCH("hacking",LOWER(F301&amp;" "&amp;H301&amp;" "&amp;I301&amp;" "&amp;M301&amp;" "&amp;N301&amp;" "&amp;T301))),ISNUMBER(SEARCH("bank",LOWER(F301&amp;" "&amp;H301&amp;" "&amp;I301&amp;" "&amp;M301&amp;" "&amp;N301&amp;" "&amp;T301))),ISNUMBER(SEARCH("banking",LOWER(F301&amp;" "&amp;H301&amp;" "&amp;I301&amp;" "&amp;M301&amp;" "&amp;N301&amp;" "&amp;T301)))),"PRIVATE_QUARANTINE",IF(OR(ISNUMBER(SEARCH("treasury",LOWER(F301&amp;" "&amp;H301&amp;" "&amp;I301&amp;" "&amp;M301&amp;" "&amp;N301&amp;" "&amp;T301))),ISNUMBER(SEARCH("debt",LOWER(F301&amp;" "&amp;H301&amp;" "&amp;I301&amp;" "&amp;M301&amp;" "&amp;N301&amp;" "&amp;T301))),ISNUMBER(SEARCH("bond",LOWER(F301&amp;" "&amp;H301&amp;" "&amp;I301&amp;" "&amp;M301&amp;" "&amp;N301&amp;" "&amp;T301))),ISNUMBER(SEARCH("transaction",LOWER(F301&amp;" "&amp;H301&amp;" "&amp;I301&amp;" "&amp;M301&amp;" "&amp;N301&amp;" "&amp;T301)))),"PRIVATE_REVIEW","PUBLIC_CANDIDATE"))</x:f>
        <x:v>PUBLIC_CANDIDATE</x:v>
      </x:c>
      <x:c r="AD301" s="12" t="str">
        <x:f>IF(AC301="PRIVATE_QUARANTINE","hacker_or_bank_trigger",IF(AC301="PRIVATE_REVIEW","finance_risk_trigger","none"))</x:f>
        <x:v>none</x:v>
      </x:c>
      <x:c r="AE301" s="12" t="str">
        <x:f>IF(AC301="PUBLIC_CANDIDATE","prepare_public_github_candidate",IF(AC301="PRIVATE_REVIEW","hold_for_private_review","quarantine_private_do_not_publish"))</x:f>
        <x:v>prepare_public_github_candidate</x:v>
      </x:c>
      <x:c r="AF301" s="12" t="str">
        <x:f>IF(AC301="PUBLIC_CANDIDATE","TIDELOCK + Lucerna",IF(AC301="PRIVATE_REVIEW","AtlasBrain + Lucerna","TIDELOCK + Lucerna + Human-root"))</x:f>
        <x:v>TIDELOCK + Lucerna</x:v>
      </x:c>
      <x:c r="AG301" s="12" t="str">
        <x:f>IF(AND(AC301="PUBLIC_CANDIDATE",U301&lt;&gt;"BLOCKED_PENDING_RECEIPT"),"READY_AFTER_RECEIPT","NOT_READY")</x:f>
        <x:v>NOT_READY</x:v>
      </x:c>
      <x:c r="AH301" s="12" t="str">
        <x:f>IF(AC301="PUBLIC_CANDIDATE","none",AD301)</x:f>
        <x:v>none</x:v>
      </x:c>
      <x:c r="AI301" s="12" t="str">
        <x:f>IF(AC301="PUBLIC_CANDIDATE","archive/public_candidates/"&amp;A301,"private_quarantine/"&amp;A301)</x:f>
        <x:v>archive/public_candidates/SWARM-03-H01-S12</x:v>
      </x:c>
      <x:c r="AJ301" s="12" t="str">
        <x:f>IF(AC301="PUBLIC_CANDIDATE","public by default; still not canon","private/hold; do not publish")</x:f>
        <x:v>public by default; still not canon</x:v>
      </x:c>
      <x:c r="AK301" s="12" t="str">
        <x:f>IF(AE301="prepare_public_github_candidate","add receipt/status then mirror","resolve blocker before any public GitHub action")</x:f>
        <x:v>add receipt/status then mirror</x:v>
      </x:c>
    </x:row>
    <x:row r="302">
      <x:c r="A302" s="15" t="str">
        <x:v>SWARM-03-H02-S01</x:v>
      </x:c>
      <x:c r="B302" s="15" t="str">
        <x:v>KairoBrain</x:v>
      </x:c>
      <x:c r="C302" s="15" t="str">
        <x:v>Temporal strata keeper</x:v>
      </x:c>
      <x:c r="D302" s="15" t="str">
        <x:v>Receipt Verification</x:v>
      </x:c>
      <x:c r="E302" s="15" t="str">
        <x:v>Notion</x:v>
      </x:c>
      <x:c r="F302" s="15" t="str">
        <x:v>Verify receipts for Notion — KairoBrain</x:v>
      </x:c>
      <x:c r="G302" s="15" t="str">
        <x:v>staleness / versioning / supersession</x:v>
      </x:c>
      <x:c r="H302" s="15" t="str">
        <x:v>source path + receipt + raw/export status + claim/edge/risk delta</x:v>
      </x:c>
      <x:c r="I302" s="15" t="str">
        <x:v>packet/SWARM-03-H02-S01</x:v>
      </x:c>
      <x:c r="J302" s="15" t="str">
        <x:v>TODO</x:v>
      </x:c>
      <x:c r="K302" s="15" t="str">
        <x:v>P0</x:v>
      </x:c>
      <x:c r="L302" s="15" t="str">
        <x:v>Done only when evidence is logged, contradiction search is noted, and boundary stamp remains non-canon unless ratified</x:v>
      </x:c>
      <x:c r="M302" s="15" t="str">
        <x:v>candidate / staging-only / not canon / not deployed / authority none</x:v>
      </x:c>
      <x:c r="N302" s="15" t="str">
        <x:v>Dispatch to KairoBrain: complete Receipt Verification x Notion; return deltas only, receipts required.</x:v>
      </x:c>
      <x:c r="O302" s="15" t="str">
        <x:v>AF-KG-H02-S01</x:v>
      </x:c>
      <x:c r="P302" s="15" t="str">
        <x:v>Unverified</x:v>
      </x:c>
      <x:c r="Q302" s="15" t="str">
        <x:v>Not checked</x:v>
      </x:c>
      <x:c r="R302" s="15" t="str"/>
      <x:c r="S302" s="15" t="str"/>
      <x:c r="T302" s="15" t="str">
        <x:v>Log first source path or blocker</x:v>
      </x:c>
      <x:c r="U302" s="12" t="str">
        <x:f>IF(OR(P302="Unverified",Q302="Not checked"),"BLOCKED_PENDING_RECEIPT","READY_FOR_REVIEW")</x:f>
        <x:v>BLOCKED_PENDING_RECEIPT</x:v>
      </x:c>
      <x:c r="V302" s="12" t="str">
        <x:f>IF(J302="DONE","RETURNED",IF(U302="BLOCKED_PENDING_RECEIPT","SOURCE_TOUCH_REQUIRED","IN_PROGRESS"))</x:f>
        <x:v>SOURCE_TOUCH_REQUIRED</x:v>
      </x:c>
      <x:c r="W302" s="12" t="str">
        <x:f>IF(P302="Unverified","missing_receipt","receipt_logged")</x:f>
        <x:v>missing_receipt</x:v>
      </x:c>
      <x:c r="X302" s="12" t="str">
        <x:f>IF(Q302="Not checked","raw_status_missing","raw_status_logged")</x:f>
        <x:v>raw_status_missing</x:v>
      </x:c>
      <x:c r="Y302" s="12" t="str">
        <x:f>IF(U302="BLOCKED_PENDING_RECEIPT","Log source path or blocker; do not promote","Route to review lane")</x:f>
        <x:v>Log source path or blocker; do not promote</x:v>
      </x:c>
      <x:c r="Z302" s="12" t="str">
        <x:f>IF(K302="P0","Primary seat + Hashlight/Lucerna","Seat lane")</x:f>
        <x:v>Primary seat + Hashlight/Lucerna</x:v>
      </x:c>
      <x:c r="AA302" s="12" t="str">
        <x:f>IF(R302="","no_claim_delta","claim_delta_present")</x:f>
        <x:v>no_claim_delta</x:v>
      </x:c>
      <x:c r="AB302" s="12" t="str">
        <x:f>IF(S302="","no_contradiction_delta","contradiction_delta_present")</x:f>
        <x:v>no_contradiction_delta</x:v>
      </x:c>
      <x:c r="AC302" s="12" t="str">
        <x:f>IF(OR(ISNUMBER(SEARCH("hacker",LOWER(F302&amp;" "&amp;H302&amp;" "&amp;I302&amp;" "&amp;M302&amp;" "&amp;N302&amp;" "&amp;T302))),ISNUMBER(SEARCH("hacking",LOWER(F302&amp;" "&amp;H302&amp;" "&amp;I302&amp;" "&amp;M302&amp;" "&amp;N302&amp;" "&amp;T302))),ISNUMBER(SEARCH("bank",LOWER(F302&amp;" "&amp;H302&amp;" "&amp;I302&amp;" "&amp;M302&amp;" "&amp;N302&amp;" "&amp;T302))),ISNUMBER(SEARCH("banking",LOWER(F302&amp;" "&amp;H302&amp;" "&amp;I302&amp;" "&amp;M302&amp;" "&amp;N302&amp;" "&amp;T302)))),"PRIVATE_QUARANTINE",IF(OR(ISNUMBER(SEARCH("treasury",LOWER(F302&amp;" "&amp;H302&amp;" "&amp;I302&amp;" "&amp;M302&amp;" "&amp;N302&amp;" "&amp;T302))),ISNUMBER(SEARCH("debt",LOWER(F302&amp;" "&amp;H302&amp;" "&amp;I302&amp;" "&amp;M302&amp;" "&amp;N302&amp;" "&amp;T302))),ISNUMBER(SEARCH("bond",LOWER(F302&amp;" "&amp;H302&amp;" "&amp;I302&amp;" "&amp;M302&amp;" "&amp;N302&amp;" "&amp;T302))),ISNUMBER(SEARCH("transaction",LOWER(F302&amp;" "&amp;H302&amp;" "&amp;I302&amp;" "&amp;M302&amp;" "&amp;N302&amp;" "&amp;T302)))),"PRIVATE_REVIEW","PUBLIC_CANDIDATE"))</x:f>
        <x:v>PUBLIC_CANDIDATE</x:v>
      </x:c>
      <x:c r="AD302" s="12" t="str">
        <x:f>IF(AC302="PRIVATE_QUARANTINE","hacker_or_bank_trigger",IF(AC302="PRIVATE_REVIEW","finance_risk_trigger","none"))</x:f>
        <x:v>none</x:v>
      </x:c>
      <x:c r="AE302" s="12" t="str">
        <x:f>IF(AC302="PUBLIC_CANDIDATE","prepare_public_github_candidate",IF(AC302="PRIVATE_REVIEW","hold_for_private_review","quarantine_private_do_not_publish"))</x:f>
        <x:v>prepare_public_github_candidate</x:v>
      </x:c>
      <x:c r="AF302" s="12" t="str">
        <x:f>IF(AC302="PUBLIC_CANDIDATE","TIDELOCK + Lucerna",IF(AC302="PRIVATE_REVIEW","AtlasBrain + Lucerna","TIDELOCK + Lucerna + Human-root"))</x:f>
        <x:v>TIDELOCK + Lucerna</x:v>
      </x:c>
      <x:c r="AG302" s="12" t="str">
        <x:f>IF(AND(AC302="PUBLIC_CANDIDATE",U302&lt;&gt;"BLOCKED_PENDING_RECEIPT"),"READY_AFTER_RECEIPT","NOT_READY")</x:f>
        <x:v>NOT_READY</x:v>
      </x:c>
      <x:c r="AH302" s="12" t="str">
        <x:f>IF(AC302="PUBLIC_CANDIDATE","none",AD302)</x:f>
        <x:v>none</x:v>
      </x:c>
      <x:c r="AI302" s="12" t="str">
        <x:f>IF(AC302="PUBLIC_CANDIDATE","archive/public_candidates/"&amp;A302,"private_quarantine/"&amp;A302)</x:f>
        <x:v>archive/public_candidates/SWARM-03-H02-S01</x:v>
      </x:c>
      <x:c r="AJ302" s="12" t="str">
        <x:f>IF(AC302="PUBLIC_CANDIDATE","public by default; still not canon","private/hold; do not publish")</x:f>
        <x:v>public by default; still not canon</x:v>
      </x:c>
      <x:c r="AK302" s="12" t="str">
        <x:f>IF(AE302="prepare_public_github_candidate","add receipt/status then mirror","resolve blocker before any public GitHub action")</x:f>
        <x:v>add receipt/status then mirror</x:v>
      </x:c>
    </x:row>
    <x:row r="303">
      <x:c r="A303" s="15" t="str">
        <x:v>SWARM-03-H02-S02</x:v>
      </x:c>
      <x:c r="B303" s="15" t="str">
        <x:v>KairoBrain</x:v>
      </x:c>
      <x:c r="C303" s="15" t="str">
        <x:v>Temporal strata keeper</x:v>
      </x:c>
      <x:c r="D303" s="15" t="str">
        <x:v>Receipt Verification</x:v>
      </x:c>
      <x:c r="E303" s="15" t="str">
        <x:v>Drive</x:v>
      </x:c>
      <x:c r="F303" s="15" t="str">
        <x:v>Verify receipts for Drive — KairoBrain</x:v>
      </x:c>
      <x:c r="G303" s="15" t="str">
        <x:v>staleness / versioning / supersession</x:v>
      </x:c>
      <x:c r="H303" s="15" t="str">
        <x:v>source path + receipt + raw/export status + claim/edge/risk delta</x:v>
      </x:c>
      <x:c r="I303" s="15" t="str">
        <x:v>packet/SWARM-03-H02-S02</x:v>
      </x:c>
      <x:c r="J303" s="15" t="str">
        <x:v>TODO</x:v>
      </x:c>
      <x:c r="K303" s="15" t="str">
        <x:v>P0</x:v>
      </x:c>
      <x:c r="L303" s="15" t="str">
        <x:v>Done only when evidence is logged, contradiction search is noted, and boundary stamp remains non-canon unless ratified</x:v>
      </x:c>
      <x:c r="M303" s="15" t="str">
        <x:v>candidate / staging-only / not canon / not deployed / authority none</x:v>
      </x:c>
      <x:c r="N303" s="15" t="str">
        <x:v>Dispatch to KairoBrain: complete Receipt Verification x Drive; return deltas only, receipts required.</x:v>
      </x:c>
      <x:c r="O303" s="15" t="str">
        <x:v>AF-KG-H02-S02</x:v>
      </x:c>
      <x:c r="P303" s="15" t="str">
        <x:v>Unverified</x:v>
      </x:c>
      <x:c r="Q303" s="15" t="str">
        <x:v>Not checked</x:v>
      </x:c>
      <x:c r="R303" s="15" t="str"/>
      <x:c r="S303" s="15" t="str"/>
      <x:c r="T303" s="15" t="str">
        <x:v>Log first source path or blocker</x:v>
      </x:c>
      <x:c r="U303" s="12" t="str">
        <x:f>IF(OR(P303="Unverified",Q303="Not checked"),"BLOCKED_PENDING_RECEIPT","READY_FOR_REVIEW")</x:f>
        <x:v>BLOCKED_PENDING_RECEIPT</x:v>
      </x:c>
      <x:c r="V303" s="12" t="str">
        <x:f>IF(J303="DONE","RETURNED",IF(U303="BLOCKED_PENDING_RECEIPT","SOURCE_TOUCH_REQUIRED","IN_PROGRESS"))</x:f>
        <x:v>SOURCE_TOUCH_REQUIRED</x:v>
      </x:c>
      <x:c r="W303" s="12" t="str">
        <x:f>IF(P303="Unverified","missing_receipt","receipt_logged")</x:f>
        <x:v>missing_receipt</x:v>
      </x:c>
      <x:c r="X303" s="12" t="str">
        <x:f>IF(Q303="Not checked","raw_status_missing","raw_status_logged")</x:f>
        <x:v>raw_status_missing</x:v>
      </x:c>
      <x:c r="Y303" s="12" t="str">
        <x:f>IF(U303="BLOCKED_PENDING_RECEIPT","Log source path or blocker; do not promote","Route to review lane")</x:f>
        <x:v>Log source path or blocker; do not promote</x:v>
      </x:c>
      <x:c r="Z303" s="12" t="str">
        <x:f>IF(K303="P0","Primary seat + Hashlight/Lucerna","Seat lane")</x:f>
        <x:v>Primary seat + Hashlight/Lucerna</x:v>
      </x:c>
      <x:c r="AA303" s="12" t="str">
        <x:f>IF(R303="","no_claim_delta","claim_delta_present")</x:f>
        <x:v>no_claim_delta</x:v>
      </x:c>
      <x:c r="AB303" s="12" t="str">
        <x:f>IF(S303="","no_contradiction_delta","contradiction_delta_present")</x:f>
        <x:v>no_contradiction_delta</x:v>
      </x:c>
      <x:c r="AC303" s="12" t="str">
        <x:f>IF(OR(ISNUMBER(SEARCH("hacker",LOWER(F303&amp;" "&amp;H303&amp;" "&amp;I303&amp;" "&amp;M303&amp;" "&amp;N303&amp;" "&amp;T303))),ISNUMBER(SEARCH("hacking",LOWER(F303&amp;" "&amp;H303&amp;" "&amp;I303&amp;" "&amp;M303&amp;" "&amp;N303&amp;" "&amp;T303))),ISNUMBER(SEARCH("bank",LOWER(F303&amp;" "&amp;H303&amp;" "&amp;I303&amp;" "&amp;M303&amp;" "&amp;N303&amp;" "&amp;T303))),ISNUMBER(SEARCH("banking",LOWER(F303&amp;" "&amp;H303&amp;" "&amp;I303&amp;" "&amp;M303&amp;" "&amp;N303&amp;" "&amp;T303)))),"PRIVATE_QUARANTINE",IF(OR(ISNUMBER(SEARCH("treasury",LOWER(F303&amp;" "&amp;H303&amp;" "&amp;I303&amp;" "&amp;M303&amp;" "&amp;N303&amp;" "&amp;T303))),ISNUMBER(SEARCH("debt",LOWER(F303&amp;" "&amp;H303&amp;" "&amp;I303&amp;" "&amp;M303&amp;" "&amp;N303&amp;" "&amp;T303))),ISNUMBER(SEARCH("bond",LOWER(F303&amp;" "&amp;H303&amp;" "&amp;I303&amp;" "&amp;M303&amp;" "&amp;N303&amp;" "&amp;T303))),ISNUMBER(SEARCH("transaction",LOWER(F303&amp;" "&amp;H303&amp;" "&amp;I303&amp;" "&amp;M303&amp;" "&amp;N303&amp;" "&amp;T303)))),"PRIVATE_REVIEW","PUBLIC_CANDIDATE"))</x:f>
        <x:v>PUBLIC_CANDIDATE</x:v>
      </x:c>
      <x:c r="AD303" s="12" t="str">
        <x:f>IF(AC303="PRIVATE_QUARANTINE","hacker_or_bank_trigger",IF(AC303="PRIVATE_REVIEW","finance_risk_trigger","none"))</x:f>
        <x:v>none</x:v>
      </x:c>
      <x:c r="AE303" s="12" t="str">
        <x:f>IF(AC303="PUBLIC_CANDIDATE","prepare_public_github_candidate",IF(AC303="PRIVATE_REVIEW","hold_for_private_review","quarantine_private_do_not_publish"))</x:f>
        <x:v>prepare_public_github_candidate</x:v>
      </x:c>
      <x:c r="AF303" s="12" t="str">
        <x:f>IF(AC303="PUBLIC_CANDIDATE","TIDELOCK + Lucerna",IF(AC303="PRIVATE_REVIEW","AtlasBrain + Lucerna","TIDELOCK + Lucerna + Human-root"))</x:f>
        <x:v>TIDELOCK + Lucerna</x:v>
      </x:c>
      <x:c r="AG303" s="12" t="str">
        <x:f>IF(AND(AC303="PUBLIC_CANDIDATE",U303&lt;&gt;"BLOCKED_PENDING_RECEIPT"),"READY_AFTER_RECEIPT","NOT_READY")</x:f>
        <x:v>NOT_READY</x:v>
      </x:c>
      <x:c r="AH303" s="12" t="str">
        <x:f>IF(AC303="PUBLIC_CANDIDATE","none",AD303)</x:f>
        <x:v>none</x:v>
      </x:c>
      <x:c r="AI303" s="12" t="str">
        <x:f>IF(AC303="PUBLIC_CANDIDATE","archive/public_candidates/"&amp;A303,"private_quarantine/"&amp;A303)</x:f>
        <x:v>archive/public_candidates/SWARM-03-H02-S02</x:v>
      </x:c>
      <x:c r="AJ303" s="12" t="str">
        <x:f>IF(AC303="PUBLIC_CANDIDATE","public by default; still not canon","private/hold; do not publish")</x:f>
        <x:v>public by default; still not canon</x:v>
      </x:c>
      <x:c r="AK303" s="12" t="str">
        <x:f>IF(AE303="prepare_public_github_candidate","add receipt/status then mirror","resolve blocker before any public GitHub action")</x:f>
        <x:v>add receipt/status then mirror</x:v>
      </x:c>
    </x:row>
    <x:row r="304">
      <x:c r="A304" s="15" t="str">
        <x:v>SWARM-03-H02-S03</x:v>
      </x:c>
      <x:c r="B304" s="15" t="str">
        <x:v>KairoBrain</x:v>
      </x:c>
      <x:c r="C304" s="15" t="str">
        <x:v>Temporal strata keeper</x:v>
      </x:c>
      <x:c r="D304" s="15" t="str">
        <x:v>Receipt Verification</x:v>
      </x:c>
      <x:c r="E304" s="15" t="str">
        <x:v>GitHub</x:v>
      </x:c>
      <x:c r="F304" s="15" t="str">
        <x:v>Verify receipts for GitHub — KairoBrain</x:v>
      </x:c>
      <x:c r="G304" s="15" t="str">
        <x:v>staleness / versioning / supersession</x:v>
      </x:c>
      <x:c r="H304" s="15" t="str">
        <x:v>source path + receipt + raw/export status + claim/edge/risk delta</x:v>
      </x:c>
      <x:c r="I304" s="15" t="str">
        <x:v>packet/SWARM-03-H02-S03</x:v>
      </x:c>
      <x:c r="J304" s="15" t="str">
        <x:v>TODO</x:v>
      </x:c>
      <x:c r="K304" s="15" t="str">
        <x:v>P0</x:v>
      </x:c>
      <x:c r="L304" s="15" t="str">
        <x:v>Done only when evidence is logged, contradiction search is noted, and boundary stamp remains non-canon unless ratified</x:v>
      </x:c>
      <x:c r="M304" s="15" t="str">
        <x:v>candidate / staging-only / not canon / not deployed / authority none</x:v>
      </x:c>
      <x:c r="N304" s="15" t="str">
        <x:v>Dispatch to KairoBrain: complete Receipt Verification x GitHub; return deltas only, receipts required.</x:v>
      </x:c>
      <x:c r="O304" s="15" t="str">
        <x:v>AF-KG-H02-S03</x:v>
      </x:c>
      <x:c r="P304" s="15" t="str">
        <x:v>Unverified</x:v>
      </x:c>
      <x:c r="Q304" s="15" t="str">
        <x:v>Not checked</x:v>
      </x:c>
      <x:c r="R304" s="15" t="str"/>
      <x:c r="S304" s="15" t="str"/>
      <x:c r="T304" s="15" t="str">
        <x:v>Log first source path or blocker</x:v>
      </x:c>
      <x:c r="U304" s="12" t="str">
        <x:f>IF(OR(P304="Unverified",Q304="Not checked"),"BLOCKED_PENDING_RECEIPT","READY_FOR_REVIEW")</x:f>
        <x:v>BLOCKED_PENDING_RECEIPT</x:v>
      </x:c>
      <x:c r="V304" s="12" t="str">
        <x:f>IF(J304="DONE","RETURNED",IF(U304="BLOCKED_PENDING_RECEIPT","SOURCE_TOUCH_REQUIRED","IN_PROGRESS"))</x:f>
        <x:v>SOURCE_TOUCH_REQUIRED</x:v>
      </x:c>
      <x:c r="W304" s="12" t="str">
        <x:f>IF(P304="Unverified","missing_receipt","receipt_logged")</x:f>
        <x:v>missing_receipt</x:v>
      </x:c>
      <x:c r="X304" s="12" t="str">
        <x:f>IF(Q304="Not checked","raw_status_missing","raw_status_logged")</x:f>
        <x:v>raw_status_missing</x:v>
      </x:c>
      <x:c r="Y304" s="12" t="str">
        <x:f>IF(U304="BLOCKED_PENDING_RECEIPT","Log source path or blocker; do not promote","Route to review lane")</x:f>
        <x:v>Log source path or blocker; do not promote</x:v>
      </x:c>
      <x:c r="Z304" s="12" t="str">
        <x:f>IF(K304="P0","Primary seat + Hashlight/Lucerna","Seat lane")</x:f>
        <x:v>Primary seat + Hashlight/Lucerna</x:v>
      </x:c>
      <x:c r="AA304" s="12" t="str">
        <x:f>IF(R304="","no_claim_delta","claim_delta_present")</x:f>
        <x:v>no_claim_delta</x:v>
      </x:c>
      <x:c r="AB304" s="12" t="str">
        <x:f>IF(S304="","no_contradiction_delta","contradiction_delta_present")</x:f>
        <x:v>no_contradiction_delta</x:v>
      </x:c>
      <x:c r="AC304" s="12" t="str">
        <x:f>IF(OR(ISNUMBER(SEARCH("hacker",LOWER(F304&amp;" "&amp;H304&amp;" "&amp;I304&amp;" "&amp;M304&amp;" "&amp;N304&amp;" "&amp;T304))),ISNUMBER(SEARCH("hacking",LOWER(F304&amp;" "&amp;H304&amp;" "&amp;I304&amp;" "&amp;M304&amp;" "&amp;N304&amp;" "&amp;T304))),ISNUMBER(SEARCH("bank",LOWER(F304&amp;" "&amp;H304&amp;" "&amp;I304&amp;" "&amp;M304&amp;" "&amp;N304&amp;" "&amp;T304))),ISNUMBER(SEARCH("banking",LOWER(F304&amp;" "&amp;H304&amp;" "&amp;I304&amp;" "&amp;M304&amp;" "&amp;N304&amp;" "&amp;T304)))),"PRIVATE_QUARANTINE",IF(OR(ISNUMBER(SEARCH("treasury",LOWER(F304&amp;" "&amp;H304&amp;" "&amp;I304&amp;" "&amp;M304&amp;" "&amp;N304&amp;" "&amp;T304))),ISNUMBER(SEARCH("debt",LOWER(F304&amp;" "&amp;H304&amp;" "&amp;I304&amp;" "&amp;M304&amp;" "&amp;N304&amp;" "&amp;T304))),ISNUMBER(SEARCH("bond",LOWER(F304&amp;" "&amp;H304&amp;" "&amp;I304&amp;" "&amp;M304&amp;" "&amp;N304&amp;" "&amp;T304))),ISNUMBER(SEARCH("transaction",LOWER(F304&amp;" "&amp;H304&amp;" "&amp;I304&amp;" "&amp;M304&amp;" "&amp;N304&amp;" "&amp;T304)))),"PRIVATE_REVIEW","PUBLIC_CANDIDATE"))</x:f>
        <x:v>PUBLIC_CANDIDATE</x:v>
      </x:c>
      <x:c r="AD304" s="12" t="str">
        <x:f>IF(AC304="PRIVATE_QUARANTINE","hacker_or_bank_trigger",IF(AC304="PRIVATE_REVIEW","finance_risk_trigger","none"))</x:f>
        <x:v>none</x:v>
      </x:c>
      <x:c r="AE304" s="12" t="str">
        <x:f>IF(AC304="PUBLIC_CANDIDATE","prepare_public_github_candidate",IF(AC304="PRIVATE_REVIEW","hold_for_private_review","quarantine_private_do_not_publish"))</x:f>
        <x:v>prepare_public_github_candidate</x:v>
      </x:c>
      <x:c r="AF304" s="12" t="str">
        <x:f>IF(AC304="PUBLIC_CANDIDATE","TIDELOCK + Lucerna",IF(AC304="PRIVATE_REVIEW","AtlasBrain + Lucerna","TIDELOCK + Lucerna + Human-root"))</x:f>
        <x:v>TIDELOCK + Lucerna</x:v>
      </x:c>
      <x:c r="AG304" s="12" t="str">
        <x:f>IF(AND(AC304="PUBLIC_CANDIDATE",U304&lt;&gt;"BLOCKED_PENDING_RECEIPT"),"READY_AFTER_RECEIPT","NOT_READY")</x:f>
        <x:v>NOT_READY</x:v>
      </x:c>
      <x:c r="AH304" s="12" t="str">
        <x:f>IF(AC304="PUBLIC_CANDIDATE","none",AD304)</x:f>
        <x:v>none</x:v>
      </x:c>
      <x:c r="AI304" s="12" t="str">
        <x:f>IF(AC304="PUBLIC_CANDIDATE","archive/public_candidates/"&amp;A304,"private_quarantine/"&amp;A304)</x:f>
        <x:v>archive/public_candidates/SWARM-03-H02-S03</x:v>
      </x:c>
      <x:c r="AJ304" s="12" t="str">
        <x:f>IF(AC304="PUBLIC_CANDIDATE","public by default; still not canon","private/hold; do not publish")</x:f>
        <x:v>public by default; still not canon</x:v>
      </x:c>
      <x:c r="AK304" s="12" t="str">
        <x:f>IF(AE304="prepare_public_github_candidate","add receipt/status then mirror","resolve blocker before any public GitHub action")</x:f>
        <x:v>add receipt/status then mirror</x:v>
      </x:c>
    </x:row>
    <x:row r="305">
      <x:c r="A305" s="15" t="str">
        <x:v>SWARM-03-H02-S04</x:v>
      </x:c>
      <x:c r="B305" s="15" t="str">
        <x:v>KairoBrain</x:v>
      </x:c>
      <x:c r="C305" s="15" t="str">
        <x:v>Temporal strata keeper</x:v>
      </x:c>
      <x:c r="D305" s="15" t="str">
        <x:v>Receipt Verification</x:v>
      </x:c>
      <x:c r="E305" s="15" t="str">
        <x:v>Gamma</x:v>
      </x:c>
      <x:c r="F305" s="15" t="str">
        <x:v>Verify receipts for Gamma — KairoBrain</x:v>
      </x:c>
      <x:c r="G305" s="15" t="str">
        <x:v>staleness / versioning / supersession</x:v>
      </x:c>
      <x:c r="H305" s="15" t="str">
        <x:v>source path + receipt + raw/export status + claim/edge/risk delta</x:v>
      </x:c>
      <x:c r="I305" s="15" t="str">
        <x:v>packet/SWARM-03-H02-S04</x:v>
      </x:c>
      <x:c r="J305" s="15" t="str">
        <x:v>TODO</x:v>
      </x:c>
      <x:c r="K305" s="15" t="str">
        <x:v>P1</x:v>
      </x:c>
      <x:c r="L305" s="15" t="str">
        <x:v>Done only when evidence is logged, contradiction search is noted, and boundary stamp remains non-canon unless ratified</x:v>
      </x:c>
      <x:c r="M305" s="15" t="str">
        <x:v>candidate / staging-only / not canon / not deployed / authority none</x:v>
      </x:c>
      <x:c r="N305" s="15" t="str">
        <x:v>Dispatch to KairoBrain: complete Receipt Verification x Gamma; return deltas only, receipts required.</x:v>
      </x:c>
      <x:c r="O305" s="15" t="str">
        <x:v>AF-KG-H02-S04</x:v>
      </x:c>
      <x:c r="P305" s="15" t="str">
        <x:v>Unverified</x:v>
      </x:c>
      <x:c r="Q305" s="15" t="str">
        <x:v>Not checked</x:v>
      </x:c>
      <x:c r="R305" s="15" t="str"/>
      <x:c r="S305" s="15" t="str"/>
      <x:c r="T305" s="15" t="str">
        <x:v>Log first source path or blocker</x:v>
      </x:c>
      <x:c r="U305" s="12" t="str">
        <x:f>IF(OR(P305="Unverified",Q305="Not checked"),"BLOCKED_PENDING_RECEIPT","READY_FOR_REVIEW")</x:f>
        <x:v>BLOCKED_PENDING_RECEIPT</x:v>
      </x:c>
      <x:c r="V305" s="12" t="str">
        <x:f>IF(J305="DONE","RETURNED",IF(U305="BLOCKED_PENDING_RECEIPT","SOURCE_TOUCH_REQUIRED","IN_PROGRESS"))</x:f>
        <x:v>SOURCE_TOUCH_REQUIRED</x:v>
      </x:c>
      <x:c r="W305" s="12" t="str">
        <x:f>IF(P305="Unverified","missing_receipt","receipt_logged")</x:f>
        <x:v>missing_receipt</x:v>
      </x:c>
      <x:c r="X305" s="12" t="str">
        <x:f>IF(Q305="Not checked","raw_status_missing","raw_status_logged")</x:f>
        <x:v>raw_status_missing</x:v>
      </x:c>
      <x:c r="Y305" s="12" t="str">
        <x:f>IF(U305="BLOCKED_PENDING_RECEIPT","Log source path or blocker; do not promote","Route to review lane")</x:f>
        <x:v>Log source path or blocker; do not promote</x:v>
      </x:c>
      <x:c r="Z305" s="12" t="str">
        <x:f>IF(K305="P0","Primary seat + Hashlight/Lucerna","Seat lane")</x:f>
        <x:v>Seat lane</x:v>
      </x:c>
      <x:c r="AA305" s="12" t="str">
        <x:f>IF(R305="","no_claim_delta","claim_delta_present")</x:f>
        <x:v>no_claim_delta</x:v>
      </x:c>
      <x:c r="AB305" s="12" t="str">
        <x:f>IF(S305="","no_contradiction_delta","contradiction_delta_present")</x:f>
        <x:v>no_contradiction_delta</x:v>
      </x:c>
      <x:c r="AC305" s="12" t="str">
        <x:f>IF(OR(ISNUMBER(SEARCH("hacker",LOWER(F305&amp;" "&amp;H305&amp;" "&amp;I305&amp;" "&amp;M305&amp;" "&amp;N305&amp;" "&amp;T305))),ISNUMBER(SEARCH("hacking",LOWER(F305&amp;" "&amp;H305&amp;" "&amp;I305&amp;" "&amp;M305&amp;" "&amp;N305&amp;" "&amp;T305))),ISNUMBER(SEARCH("bank",LOWER(F305&amp;" "&amp;H305&amp;" "&amp;I305&amp;" "&amp;M305&amp;" "&amp;N305&amp;" "&amp;T305))),ISNUMBER(SEARCH("banking",LOWER(F305&amp;" "&amp;H305&amp;" "&amp;I305&amp;" "&amp;M305&amp;" "&amp;N305&amp;" "&amp;T305)))),"PRIVATE_QUARANTINE",IF(OR(ISNUMBER(SEARCH("treasury",LOWER(F305&amp;" "&amp;H305&amp;" "&amp;I305&amp;" "&amp;M305&amp;" "&amp;N305&amp;" "&amp;T305))),ISNUMBER(SEARCH("debt",LOWER(F305&amp;" "&amp;H305&amp;" "&amp;I305&amp;" "&amp;M305&amp;" "&amp;N305&amp;" "&amp;T305))),ISNUMBER(SEARCH("bond",LOWER(F305&amp;" "&amp;H305&amp;" "&amp;I305&amp;" "&amp;M305&amp;" "&amp;N305&amp;" "&amp;T305))),ISNUMBER(SEARCH("transaction",LOWER(F305&amp;" "&amp;H305&amp;" "&amp;I305&amp;" "&amp;M305&amp;" "&amp;N305&amp;" "&amp;T305)))),"PRIVATE_REVIEW","PUBLIC_CANDIDATE"))</x:f>
        <x:v>PUBLIC_CANDIDATE</x:v>
      </x:c>
      <x:c r="AD305" s="12" t="str">
        <x:f>IF(AC305="PRIVATE_QUARANTINE","hacker_or_bank_trigger",IF(AC305="PRIVATE_REVIEW","finance_risk_trigger","none"))</x:f>
        <x:v>none</x:v>
      </x:c>
      <x:c r="AE305" s="12" t="str">
        <x:f>IF(AC305="PUBLIC_CANDIDATE","prepare_public_github_candidate",IF(AC305="PRIVATE_REVIEW","hold_for_private_review","quarantine_private_do_not_publish"))</x:f>
        <x:v>prepare_public_github_candidate</x:v>
      </x:c>
      <x:c r="AF305" s="12" t="str">
        <x:f>IF(AC305="PUBLIC_CANDIDATE","TIDELOCK + Lucerna",IF(AC305="PRIVATE_REVIEW","AtlasBrain + Lucerna","TIDELOCK + Lucerna + Human-root"))</x:f>
        <x:v>TIDELOCK + Lucerna</x:v>
      </x:c>
      <x:c r="AG305" s="12" t="str">
        <x:f>IF(AND(AC305="PUBLIC_CANDIDATE",U305&lt;&gt;"BLOCKED_PENDING_RECEIPT"),"READY_AFTER_RECEIPT","NOT_READY")</x:f>
        <x:v>NOT_READY</x:v>
      </x:c>
      <x:c r="AH305" s="12" t="str">
        <x:f>IF(AC305="PUBLIC_CANDIDATE","none",AD305)</x:f>
        <x:v>none</x:v>
      </x:c>
      <x:c r="AI305" s="12" t="str">
        <x:f>IF(AC305="PUBLIC_CANDIDATE","archive/public_candidates/"&amp;A305,"private_quarantine/"&amp;A305)</x:f>
        <x:v>archive/public_candidates/SWARM-03-H02-S04</x:v>
      </x:c>
      <x:c r="AJ305" s="12" t="str">
        <x:f>IF(AC305="PUBLIC_CANDIDATE","public by default; still not canon","private/hold; do not publish")</x:f>
        <x:v>public by default; still not canon</x:v>
      </x:c>
      <x:c r="AK305" s="12" t="str">
        <x:f>IF(AE305="prepare_public_github_candidate","add receipt/status then mirror","resolve blocker before any public GitHub action")</x:f>
        <x:v>add receipt/status then mirror</x:v>
      </x:c>
    </x:row>
    <x:row r="306">
      <x:c r="A306" s="15" t="str">
        <x:v>SWARM-03-H02-S05</x:v>
      </x:c>
      <x:c r="B306" s="15" t="str">
        <x:v>KairoBrain</x:v>
      </x:c>
      <x:c r="C306" s="15" t="str">
        <x:v>Temporal strata keeper</x:v>
      </x:c>
      <x:c r="D306" s="15" t="str">
        <x:v>Receipt Verification</x:v>
      </x:c>
      <x:c r="E306" s="15" t="str">
        <x:v>Chat</x:v>
      </x:c>
      <x:c r="F306" s="15" t="str">
        <x:v>Verify receipts for Chat — KairoBrain</x:v>
      </x:c>
      <x:c r="G306" s="15" t="str">
        <x:v>staleness / versioning / supersession</x:v>
      </x:c>
      <x:c r="H306" s="15" t="str">
        <x:v>source path + receipt + raw/export status + claim/edge/risk delta</x:v>
      </x:c>
      <x:c r="I306" s="15" t="str">
        <x:v>packet/SWARM-03-H02-S05</x:v>
      </x:c>
      <x:c r="J306" s="15" t="str">
        <x:v>TODO</x:v>
      </x:c>
      <x:c r="K306" s="15" t="str">
        <x:v>P1</x:v>
      </x:c>
      <x:c r="L306" s="15" t="str">
        <x:v>Done only when evidence is logged, contradiction search is noted, and boundary stamp remains non-canon unless ratified</x:v>
      </x:c>
      <x:c r="M306" s="15" t="str">
        <x:v>candidate / staging-only / not canon / not deployed / authority none</x:v>
      </x:c>
      <x:c r="N306" s="15" t="str">
        <x:v>Dispatch to KairoBrain: complete Receipt Verification x Chat; return deltas only, receipts required.</x:v>
      </x:c>
      <x:c r="O306" s="15" t="str">
        <x:v>AF-KG-H02-S05</x:v>
      </x:c>
      <x:c r="P306" s="15" t="str">
        <x:v>Unverified</x:v>
      </x:c>
      <x:c r="Q306" s="15" t="str">
        <x:v>Not checked</x:v>
      </x:c>
      <x:c r="R306" s="15" t="str"/>
      <x:c r="S306" s="15" t="str"/>
      <x:c r="T306" s="15" t="str">
        <x:v>Log first source path or blocker</x:v>
      </x:c>
      <x:c r="U306" s="12" t="str">
        <x:f>IF(OR(P306="Unverified",Q306="Not checked"),"BLOCKED_PENDING_RECEIPT","READY_FOR_REVIEW")</x:f>
        <x:v>BLOCKED_PENDING_RECEIPT</x:v>
      </x:c>
      <x:c r="V306" s="12" t="str">
        <x:f>IF(J306="DONE","RETURNED",IF(U306="BLOCKED_PENDING_RECEIPT","SOURCE_TOUCH_REQUIRED","IN_PROGRESS"))</x:f>
        <x:v>SOURCE_TOUCH_REQUIRED</x:v>
      </x:c>
      <x:c r="W306" s="12" t="str">
        <x:f>IF(P306="Unverified","missing_receipt","receipt_logged")</x:f>
        <x:v>missing_receipt</x:v>
      </x:c>
      <x:c r="X306" s="12" t="str">
        <x:f>IF(Q306="Not checked","raw_status_missing","raw_status_logged")</x:f>
        <x:v>raw_status_missing</x:v>
      </x:c>
      <x:c r="Y306" s="12" t="str">
        <x:f>IF(U306="BLOCKED_PENDING_RECEIPT","Log source path or blocker; do not promote","Route to review lane")</x:f>
        <x:v>Log source path or blocker; do not promote</x:v>
      </x:c>
      <x:c r="Z306" s="12" t="str">
        <x:f>IF(K306="P0","Primary seat + Hashlight/Lucerna","Seat lane")</x:f>
        <x:v>Seat lane</x:v>
      </x:c>
      <x:c r="AA306" s="12" t="str">
        <x:f>IF(R306="","no_claim_delta","claim_delta_present")</x:f>
        <x:v>no_claim_delta</x:v>
      </x:c>
      <x:c r="AB306" s="12" t="str">
        <x:f>IF(S306="","no_contradiction_delta","contradiction_delta_present")</x:f>
        <x:v>no_contradiction_delta</x:v>
      </x:c>
      <x:c r="AC306" s="12" t="str">
        <x:f>IF(OR(ISNUMBER(SEARCH("hacker",LOWER(F306&amp;" "&amp;H306&amp;" "&amp;I306&amp;" "&amp;M306&amp;" "&amp;N306&amp;" "&amp;T306))),ISNUMBER(SEARCH("hacking",LOWER(F306&amp;" "&amp;H306&amp;" "&amp;I306&amp;" "&amp;M306&amp;" "&amp;N306&amp;" "&amp;T306))),ISNUMBER(SEARCH("bank",LOWER(F306&amp;" "&amp;H306&amp;" "&amp;I306&amp;" "&amp;M306&amp;" "&amp;N306&amp;" "&amp;T306))),ISNUMBER(SEARCH("banking",LOWER(F306&amp;" "&amp;H306&amp;" "&amp;I306&amp;" "&amp;M306&amp;" "&amp;N306&amp;" "&amp;T306)))),"PRIVATE_QUARANTINE",IF(OR(ISNUMBER(SEARCH("treasury",LOWER(F306&amp;" "&amp;H306&amp;" "&amp;I306&amp;" "&amp;M306&amp;" "&amp;N306&amp;" "&amp;T306))),ISNUMBER(SEARCH("debt",LOWER(F306&amp;" "&amp;H306&amp;" "&amp;I306&amp;" "&amp;M306&amp;" "&amp;N306&amp;" "&amp;T306))),ISNUMBER(SEARCH("bond",LOWER(F306&amp;" "&amp;H306&amp;" "&amp;I306&amp;" "&amp;M306&amp;" "&amp;N306&amp;" "&amp;T306))),ISNUMBER(SEARCH("transaction",LOWER(F306&amp;" "&amp;H306&amp;" "&amp;I306&amp;" "&amp;M306&amp;" "&amp;N306&amp;" "&amp;T306)))),"PRIVATE_REVIEW","PUBLIC_CANDIDATE"))</x:f>
        <x:v>PUBLIC_CANDIDATE</x:v>
      </x:c>
      <x:c r="AD306" s="12" t="str">
        <x:f>IF(AC306="PRIVATE_QUARANTINE","hacker_or_bank_trigger",IF(AC306="PRIVATE_REVIEW","finance_risk_trigger","none"))</x:f>
        <x:v>none</x:v>
      </x:c>
      <x:c r="AE306" s="12" t="str">
        <x:f>IF(AC306="PUBLIC_CANDIDATE","prepare_public_github_candidate",IF(AC306="PRIVATE_REVIEW","hold_for_private_review","quarantine_private_do_not_publish"))</x:f>
        <x:v>prepare_public_github_candidate</x:v>
      </x:c>
      <x:c r="AF306" s="12" t="str">
        <x:f>IF(AC306="PUBLIC_CANDIDATE","TIDELOCK + Lucerna",IF(AC306="PRIVATE_REVIEW","AtlasBrain + Lucerna","TIDELOCK + Lucerna + Human-root"))</x:f>
        <x:v>TIDELOCK + Lucerna</x:v>
      </x:c>
      <x:c r="AG306" s="12" t="str">
        <x:f>IF(AND(AC306="PUBLIC_CANDIDATE",U306&lt;&gt;"BLOCKED_PENDING_RECEIPT"),"READY_AFTER_RECEIPT","NOT_READY")</x:f>
        <x:v>NOT_READY</x:v>
      </x:c>
      <x:c r="AH306" s="12" t="str">
        <x:f>IF(AC306="PUBLIC_CANDIDATE","none",AD306)</x:f>
        <x:v>none</x:v>
      </x:c>
      <x:c r="AI306" s="12" t="str">
        <x:f>IF(AC306="PUBLIC_CANDIDATE","archive/public_candidates/"&amp;A306,"private_quarantine/"&amp;A306)</x:f>
        <x:v>archive/public_candidates/SWARM-03-H02-S05</x:v>
      </x:c>
      <x:c r="AJ306" s="12" t="str">
        <x:f>IF(AC306="PUBLIC_CANDIDATE","public by default; still not canon","private/hold; do not publish")</x:f>
        <x:v>public by default; still not canon</x:v>
      </x:c>
      <x:c r="AK306" s="12" t="str">
        <x:f>IF(AE306="prepare_public_github_candidate","add receipt/status then mirror","resolve blocker before any public GitHub action")</x:f>
        <x:v>add receipt/status then mirror</x:v>
      </x:c>
    </x:row>
    <x:row r="307">
      <x:c r="A307" s="15" t="str">
        <x:v>SWARM-03-H02-S06</x:v>
      </x:c>
      <x:c r="B307" s="15" t="str">
        <x:v>KairoBrain</x:v>
      </x:c>
      <x:c r="C307" s="15" t="str">
        <x:v>Temporal strata keeper</x:v>
      </x:c>
      <x:c r="D307" s="15" t="str">
        <x:v>Receipt Verification</x:v>
      </x:c>
      <x:c r="E307" s="15" t="str">
        <x:v>External Web</x:v>
      </x:c>
      <x:c r="F307" s="15" t="str">
        <x:v>Verify receipts for External Web — KairoBrain</x:v>
      </x:c>
      <x:c r="G307" s="15" t="str">
        <x:v>staleness / versioning / supersession</x:v>
      </x:c>
      <x:c r="H307" s="15" t="str">
        <x:v>source path + receipt + raw/export status + claim/edge/risk delta</x:v>
      </x:c>
      <x:c r="I307" s="15" t="str">
        <x:v>packet/SWARM-03-H02-S06</x:v>
      </x:c>
      <x:c r="J307" s="15" t="str">
        <x:v>TODO</x:v>
      </x:c>
      <x:c r="K307" s="15" t="str">
        <x:v>P1</x:v>
      </x:c>
      <x:c r="L307" s="15" t="str">
        <x:v>Done only when evidence is logged, contradiction search is noted, and boundary stamp remains non-canon unless ratified</x:v>
      </x:c>
      <x:c r="M307" s="15" t="str">
        <x:v>candidate / staging-only / not canon / not deployed / authority none</x:v>
      </x:c>
      <x:c r="N307" s="15" t="str">
        <x:v>Dispatch to KairoBrain: complete Receipt Verification x External Web; return deltas only, receipts required.</x:v>
      </x:c>
      <x:c r="O307" s="15" t="str">
        <x:v>AF-KG-H02-S06</x:v>
      </x:c>
      <x:c r="P307" s="15" t="str">
        <x:v>Unverified</x:v>
      </x:c>
      <x:c r="Q307" s="15" t="str">
        <x:v>Not checked</x:v>
      </x:c>
      <x:c r="R307" s="15" t="str"/>
      <x:c r="S307" s="15" t="str"/>
      <x:c r="T307" s="15" t="str">
        <x:v>Log first source path or blocker</x:v>
      </x:c>
      <x:c r="U307" s="12" t="str">
        <x:f>IF(OR(P307="Unverified",Q307="Not checked"),"BLOCKED_PENDING_RECEIPT","READY_FOR_REVIEW")</x:f>
        <x:v>BLOCKED_PENDING_RECEIPT</x:v>
      </x:c>
      <x:c r="V307" s="12" t="str">
        <x:f>IF(J307="DONE","RETURNED",IF(U307="BLOCKED_PENDING_RECEIPT","SOURCE_TOUCH_REQUIRED","IN_PROGRESS"))</x:f>
        <x:v>SOURCE_TOUCH_REQUIRED</x:v>
      </x:c>
      <x:c r="W307" s="12" t="str">
        <x:f>IF(P307="Unverified","missing_receipt","receipt_logged")</x:f>
        <x:v>missing_receipt</x:v>
      </x:c>
      <x:c r="X307" s="12" t="str">
        <x:f>IF(Q307="Not checked","raw_status_missing","raw_status_logged")</x:f>
        <x:v>raw_status_missing</x:v>
      </x:c>
      <x:c r="Y307" s="12" t="str">
        <x:f>IF(U307="BLOCKED_PENDING_RECEIPT","Log source path or blocker; do not promote","Route to review lane")</x:f>
        <x:v>Log source path or blocker; do not promote</x:v>
      </x:c>
      <x:c r="Z307" s="12" t="str">
        <x:f>IF(K307="P0","Primary seat + Hashlight/Lucerna","Seat lane")</x:f>
        <x:v>Seat lane</x:v>
      </x:c>
      <x:c r="AA307" s="12" t="str">
        <x:f>IF(R307="","no_claim_delta","claim_delta_present")</x:f>
        <x:v>no_claim_delta</x:v>
      </x:c>
      <x:c r="AB307" s="12" t="str">
        <x:f>IF(S307="","no_contradiction_delta","contradiction_delta_present")</x:f>
        <x:v>no_contradiction_delta</x:v>
      </x:c>
      <x:c r="AC307" s="12" t="str">
        <x:f>IF(OR(ISNUMBER(SEARCH("hacker",LOWER(F307&amp;" "&amp;H307&amp;" "&amp;I307&amp;" "&amp;M307&amp;" "&amp;N307&amp;" "&amp;T307))),ISNUMBER(SEARCH("hacking",LOWER(F307&amp;" "&amp;H307&amp;" "&amp;I307&amp;" "&amp;M307&amp;" "&amp;N307&amp;" "&amp;T307))),ISNUMBER(SEARCH("bank",LOWER(F307&amp;" "&amp;H307&amp;" "&amp;I307&amp;" "&amp;M307&amp;" "&amp;N307&amp;" "&amp;T307))),ISNUMBER(SEARCH("banking",LOWER(F307&amp;" "&amp;H307&amp;" "&amp;I307&amp;" "&amp;M307&amp;" "&amp;N307&amp;" "&amp;T307)))),"PRIVATE_QUARANTINE",IF(OR(ISNUMBER(SEARCH("treasury",LOWER(F307&amp;" "&amp;H307&amp;" "&amp;I307&amp;" "&amp;M307&amp;" "&amp;N307&amp;" "&amp;T307))),ISNUMBER(SEARCH("debt",LOWER(F307&amp;" "&amp;H307&amp;" "&amp;I307&amp;" "&amp;M307&amp;" "&amp;N307&amp;" "&amp;T307))),ISNUMBER(SEARCH("bond",LOWER(F307&amp;" "&amp;H307&amp;" "&amp;I307&amp;" "&amp;M307&amp;" "&amp;N307&amp;" "&amp;T307))),ISNUMBER(SEARCH("transaction",LOWER(F307&amp;" "&amp;H307&amp;" "&amp;I307&amp;" "&amp;M307&amp;" "&amp;N307&amp;" "&amp;T307)))),"PRIVATE_REVIEW","PUBLIC_CANDIDATE"))</x:f>
        <x:v>PUBLIC_CANDIDATE</x:v>
      </x:c>
      <x:c r="AD307" s="12" t="str">
        <x:f>IF(AC307="PRIVATE_QUARANTINE","hacker_or_bank_trigger",IF(AC307="PRIVATE_REVIEW","finance_risk_trigger","none"))</x:f>
        <x:v>none</x:v>
      </x:c>
      <x:c r="AE307" s="12" t="str">
        <x:f>IF(AC307="PUBLIC_CANDIDATE","prepare_public_github_candidate",IF(AC307="PRIVATE_REVIEW","hold_for_private_review","quarantine_private_do_not_publish"))</x:f>
        <x:v>prepare_public_github_candidate</x:v>
      </x:c>
      <x:c r="AF307" s="12" t="str">
        <x:f>IF(AC307="PUBLIC_CANDIDATE","TIDELOCK + Lucerna",IF(AC307="PRIVATE_REVIEW","AtlasBrain + Lucerna","TIDELOCK + Lucerna + Human-root"))</x:f>
        <x:v>TIDELOCK + Lucerna</x:v>
      </x:c>
      <x:c r="AG307" s="12" t="str">
        <x:f>IF(AND(AC307="PUBLIC_CANDIDATE",U307&lt;&gt;"BLOCKED_PENDING_RECEIPT"),"READY_AFTER_RECEIPT","NOT_READY")</x:f>
        <x:v>NOT_READY</x:v>
      </x:c>
      <x:c r="AH307" s="12" t="str">
        <x:f>IF(AC307="PUBLIC_CANDIDATE","none",AD307)</x:f>
        <x:v>none</x:v>
      </x:c>
      <x:c r="AI307" s="12" t="str">
        <x:f>IF(AC307="PUBLIC_CANDIDATE","archive/public_candidates/"&amp;A307,"private_quarantine/"&amp;A307)</x:f>
        <x:v>archive/public_candidates/SWARM-03-H02-S06</x:v>
      </x:c>
      <x:c r="AJ307" s="12" t="str">
        <x:f>IF(AC307="PUBLIC_CANDIDATE","public by default; still not canon","private/hold; do not publish")</x:f>
        <x:v>public by default; still not canon</x:v>
      </x:c>
      <x:c r="AK307" s="12" t="str">
        <x:f>IF(AE307="prepare_public_github_candidate","add receipt/status then mirror","resolve blocker before any public GitHub action")</x:f>
        <x:v>add receipt/status then mirror</x:v>
      </x:c>
    </x:row>
    <x:row r="308">
      <x:c r="A308" s="15" t="str">
        <x:v>SWARM-03-H02-S07</x:v>
      </x:c>
      <x:c r="B308" s="15" t="str">
        <x:v>KairoBrain</x:v>
      </x:c>
      <x:c r="C308" s="15" t="str">
        <x:v>Temporal strata keeper</x:v>
      </x:c>
      <x:c r="D308" s="15" t="str">
        <x:v>Receipt Verification</x:v>
      </x:c>
      <x:c r="E308" s="15" t="str">
        <x:v>Planetarium</x:v>
      </x:c>
      <x:c r="F308" s="15" t="str">
        <x:v>Verify receipts for Planetarium — KairoBrain</x:v>
      </x:c>
      <x:c r="G308" s="15" t="str">
        <x:v>staleness / versioning / supersession</x:v>
      </x:c>
      <x:c r="H308" s="15" t="str">
        <x:v>source path + receipt + raw/export status + claim/edge/risk delta</x:v>
      </x:c>
      <x:c r="I308" s="15" t="str">
        <x:v>packet/SWARM-03-H02-S07</x:v>
      </x:c>
      <x:c r="J308" s="15" t="str">
        <x:v>TODO</x:v>
      </x:c>
      <x:c r="K308" s="15" t="str">
        <x:v>P1</x:v>
      </x:c>
      <x:c r="L308" s="15" t="str">
        <x:v>Done only when evidence is logged, contradiction search is noted, and boundary stamp remains non-canon unless ratified</x:v>
      </x:c>
      <x:c r="M308" s="15" t="str">
        <x:v>candidate / staging-only / not canon / not deployed / authority none</x:v>
      </x:c>
      <x:c r="N308" s="15" t="str">
        <x:v>Dispatch to KairoBrain: complete Receipt Verification x Planetarium; return deltas only, receipts required.</x:v>
      </x:c>
      <x:c r="O308" s="15" t="str">
        <x:v>AF-KG-H02-S07</x:v>
      </x:c>
      <x:c r="P308" s="15" t="str">
        <x:v>Unverified</x:v>
      </x:c>
      <x:c r="Q308" s="15" t="str">
        <x:v>Not checked</x:v>
      </x:c>
      <x:c r="R308" s="15" t="str"/>
      <x:c r="S308" s="15" t="str"/>
      <x:c r="T308" s="15" t="str">
        <x:v>Log first source path or blocker</x:v>
      </x:c>
      <x:c r="U308" s="12" t="str">
        <x:f>IF(OR(P308="Unverified",Q308="Not checked"),"BLOCKED_PENDING_RECEIPT","READY_FOR_REVIEW")</x:f>
        <x:v>BLOCKED_PENDING_RECEIPT</x:v>
      </x:c>
      <x:c r="V308" s="12" t="str">
        <x:f>IF(J308="DONE","RETURNED",IF(U308="BLOCKED_PENDING_RECEIPT","SOURCE_TOUCH_REQUIRED","IN_PROGRESS"))</x:f>
        <x:v>SOURCE_TOUCH_REQUIRED</x:v>
      </x:c>
      <x:c r="W308" s="12" t="str">
        <x:f>IF(P308="Unverified","missing_receipt","receipt_logged")</x:f>
        <x:v>missing_receipt</x:v>
      </x:c>
      <x:c r="X308" s="12" t="str">
        <x:f>IF(Q308="Not checked","raw_status_missing","raw_status_logged")</x:f>
        <x:v>raw_status_missing</x:v>
      </x:c>
      <x:c r="Y308" s="12" t="str">
        <x:f>IF(U308="BLOCKED_PENDING_RECEIPT","Log source path or blocker; do not promote","Route to review lane")</x:f>
        <x:v>Log source path or blocker; do not promote</x:v>
      </x:c>
      <x:c r="Z308" s="12" t="str">
        <x:f>IF(K308="P0","Primary seat + Hashlight/Lucerna","Seat lane")</x:f>
        <x:v>Seat lane</x:v>
      </x:c>
      <x:c r="AA308" s="12" t="str">
        <x:f>IF(R308="","no_claim_delta","claim_delta_present")</x:f>
        <x:v>no_claim_delta</x:v>
      </x:c>
      <x:c r="AB308" s="12" t="str">
        <x:f>IF(S308="","no_contradiction_delta","contradiction_delta_present")</x:f>
        <x:v>no_contradiction_delta</x:v>
      </x:c>
      <x:c r="AC308" s="12" t="str">
        <x:f>IF(OR(ISNUMBER(SEARCH("hacker",LOWER(F308&amp;" "&amp;H308&amp;" "&amp;I308&amp;" "&amp;M308&amp;" "&amp;N308&amp;" "&amp;T308))),ISNUMBER(SEARCH("hacking",LOWER(F308&amp;" "&amp;H308&amp;" "&amp;I308&amp;" "&amp;M308&amp;" "&amp;N308&amp;" "&amp;T308))),ISNUMBER(SEARCH("bank",LOWER(F308&amp;" "&amp;H308&amp;" "&amp;I308&amp;" "&amp;M308&amp;" "&amp;N308&amp;" "&amp;T308))),ISNUMBER(SEARCH("banking",LOWER(F308&amp;" "&amp;H308&amp;" "&amp;I308&amp;" "&amp;M308&amp;" "&amp;N308&amp;" "&amp;T308)))),"PRIVATE_QUARANTINE",IF(OR(ISNUMBER(SEARCH("treasury",LOWER(F308&amp;" "&amp;H308&amp;" "&amp;I308&amp;" "&amp;M308&amp;" "&amp;N308&amp;" "&amp;T308))),ISNUMBER(SEARCH("debt",LOWER(F308&amp;" "&amp;H308&amp;" "&amp;I308&amp;" "&amp;M308&amp;" "&amp;N308&amp;" "&amp;T308))),ISNUMBER(SEARCH("bond",LOWER(F308&amp;" "&amp;H308&amp;" "&amp;I308&amp;" "&amp;M308&amp;" "&amp;N308&amp;" "&amp;T308))),ISNUMBER(SEARCH("transaction",LOWER(F308&amp;" "&amp;H308&amp;" "&amp;I308&amp;" "&amp;M308&amp;" "&amp;N308&amp;" "&amp;T308)))),"PRIVATE_REVIEW","PUBLIC_CANDIDATE"))</x:f>
        <x:v>PUBLIC_CANDIDATE</x:v>
      </x:c>
      <x:c r="AD308" s="12" t="str">
        <x:f>IF(AC308="PRIVATE_QUARANTINE","hacker_or_bank_trigger",IF(AC308="PRIVATE_REVIEW","finance_risk_trigger","none"))</x:f>
        <x:v>none</x:v>
      </x:c>
      <x:c r="AE308" s="12" t="str">
        <x:f>IF(AC308="PUBLIC_CANDIDATE","prepare_public_github_candidate",IF(AC308="PRIVATE_REVIEW","hold_for_private_review","quarantine_private_do_not_publish"))</x:f>
        <x:v>prepare_public_github_candidate</x:v>
      </x:c>
      <x:c r="AF308" s="12" t="str">
        <x:f>IF(AC308="PUBLIC_CANDIDATE","TIDELOCK + Lucerna",IF(AC308="PRIVATE_REVIEW","AtlasBrain + Lucerna","TIDELOCK + Lucerna + Human-root"))</x:f>
        <x:v>TIDELOCK + Lucerna</x:v>
      </x:c>
      <x:c r="AG308" s="12" t="str">
        <x:f>IF(AND(AC308="PUBLIC_CANDIDATE",U308&lt;&gt;"BLOCKED_PENDING_RECEIPT"),"READY_AFTER_RECEIPT","NOT_READY")</x:f>
        <x:v>NOT_READY</x:v>
      </x:c>
      <x:c r="AH308" s="12" t="str">
        <x:f>IF(AC308="PUBLIC_CANDIDATE","none",AD308)</x:f>
        <x:v>none</x:v>
      </x:c>
      <x:c r="AI308" s="12" t="str">
        <x:f>IF(AC308="PUBLIC_CANDIDATE","archive/public_candidates/"&amp;A308,"private_quarantine/"&amp;A308)</x:f>
        <x:v>archive/public_candidates/SWARM-03-H02-S07</x:v>
      </x:c>
      <x:c r="AJ308" s="12" t="str">
        <x:f>IF(AC308="PUBLIC_CANDIDATE","public by default; still not canon","private/hold; do not publish")</x:f>
        <x:v>public by default; still not canon</x:v>
      </x:c>
      <x:c r="AK308" s="12" t="str">
        <x:f>IF(AE308="prepare_public_github_candidate","add receipt/status then mirror","resolve blocker before any public GitHub action")</x:f>
        <x:v>add receipt/status then mirror</x:v>
      </x:c>
    </x:row>
    <x:row r="309">
      <x:c r="A309" s="15" t="str">
        <x:v>SWARM-03-H02-S08</x:v>
      </x:c>
      <x:c r="B309" s="15" t="str">
        <x:v>KairoBrain</x:v>
      </x:c>
      <x:c r="C309" s="15" t="str">
        <x:v>Temporal strata keeper</x:v>
      </x:c>
      <x:c r="D309" s="15" t="str">
        <x:v>Receipt Verification</x:v>
      </x:c>
      <x:c r="E309" s="15" t="str">
        <x:v>Sheldonbrain</x:v>
      </x:c>
      <x:c r="F309" s="15" t="str">
        <x:v>Verify receipts for Sheldonbrain — KairoBrain</x:v>
      </x:c>
      <x:c r="G309" s="15" t="str">
        <x:v>staleness / versioning / supersession</x:v>
      </x:c>
      <x:c r="H309" s="15" t="str">
        <x:v>source path + receipt + raw/export status + claim/edge/risk delta</x:v>
      </x:c>
      <x:c r="I309" s="15" t="str">
        <x:v>packet/SWARM-03-H02-S08</x:v>
      </x:c>
      <x:c r="J309" s="15" t="str">
        <x:v>TODO</x:v>
      </x:c>
      <x:c r="K309" s="15" t="str">
        <x:v>P1</x:v>
      </x:c>
      <x:c r="L309" s="15" t="str">
        <x:v>Done only when evidence is logged, contradiction search is noted, and boundary stamp remains non-canon unless ratified</x:v>
      </x:c>
      <x:c r="M309" s="15" t="str">
        <x:v>candidate / staging-only / not canon / not deployed / authority none</x:v>
      </x:c>
      <x:c r="N309" s="15" t="str">
        <x:v>Dispatch to KairoBrain: complete Receipt Verification x Sheldonbrain; return deltas only, receipts required.</x:v>
      </x:c>
      <x:c r="O309" s="15" t="str">
        <x:v>AF-KG-H02-S08</x:v>
      </x:c>
      <x:c r="P309" s="15" t="str">
        <x:v>Unverified</x:v>
      </x:c>
      <x:c r="Q309" s="15" t="str">
        <x:v>Not checked</x:v>
      </x:c>
      <x:c r="R309" s="15" t="str"/>
      <x:c r="S309" s="15" t="str"/>
      <x:c r="T309" s="15" t="str">
        <x:v>Log first source path or blocker</x:v>
      </x:c>
      <x:c r="U309" s="12" t="str">
        <x:f>IF(OR(P309="Unverified",Q309="Not checked"),"BLOCKED_PENDING_RECEIPT","READY_FOR_REVIEW")</x:f>
        <x:v>BLOCKED_PENDING_RECEIPT</x:v>
      </x:c>
      <x:c r="V309" s="12" t="str">
        <x:f>IF(J309="DONE","RETURNED",IF(U309="BLOCKED_PENDING_RECEIPT","SOURCE_TOUCH_REQUIRED","IN_PROGRESS"))</x:f>
        <x:v>SOURCE_TOUCH_REQUIRED</x:v>
      </x:c>
      <x:c r="W309" s="12" t="str">
        <x:f>IF(P309="Unverified","missing_receipt","receipt_logged")</x:f>
        <x:v>missing_receipt</x:v>
      </x:c>
      <x:c r="X309" s="12" t="str">
        <x:f>IF(Q309="Not checked","raw_status_missing","raw_status_logged")</x:f>
        <x:v>raw_status_missing</x:v>
      </x:c>
      <x:c r="Y309" s="12" t="str">
        <x:f>IF(U309="BLOCKED_PENDING_RECEIPT","Log source path or blocker; do not promote","Route to review lane")</x:f>
        <x:v>Log source path or blocker; do not promote</x:v>
      </x:c>
      <x:c r="Z309" s="12" t="str">
        <x:f>IF(K309="P0","Primary seat + Hashlight/Lucerna","Seat lane")</x:f>
        <x:v>Seat lane</x:v>
      </x:c>
      <x:c r="AA309" s="12" t="str">
        <x:f>IF(R309="","no_claim_delta","claim_delta_present")</x:f>
        <x:v>no_claim_delta</x:v>
      </x:c>
      <x:c r="AB309" s="12" t="str">
        <x:f>IF(S309="","no_contradiction_delta","contradiction_delta_present")</x:f>
        <x:v>no_contradiction_delta</x:v>
      </x:c>
      <x:c r="AC309" s="12" t="str">
        <x:f>IF(OR(ISNUMBER(SEARCH("hacker",LOWER(F309&amp;" "&amp;H309&amp;" "&amp;I309&amp;" "&amp;M309&amp;" "&amp;N309&amp;" "&amp;T309))),ISNUMBER(SEARCH("hacking",LOWER(F309&amp;" "&amp;H309&amp;" "&amp;I309&amp;" "&amp;M309&amp;" "&amp;N309&amp;" "&amp;T309))),ISNUMBER(SEARCH("bank",LOWER(F309&amp;" "&amp;H309&amp;" "&amp;I309&amp;" "&amp;M309&amp;" "&amp;N309&amp;" "&amp;T309))),ISNUMBER(SEARCH("banking",LOWER(F309&amp;" "&amp;H309&amp;" "&amp;I309&amp;" "&amp;M309&amp;" "&amp;N309&amp;" "&amp;T309)))),"PRIVATE_QUARANTINE",IF(OR(ISNUMBER(SEARCH("treasury",LOWER(F309&amp;" "&amp;H309&amp;" "&amp;I309&amp;" "&amp;M309&amp;" "&amp;N309&amp;" "&amp;T309))),ISNUMBER(SEARCH("debt",LOWER(F309&amp;" "&amp;H309&amp;" "&amp;I309&amp;" "&amp;M309&amp;" "&amp;N309&amp;" "&amp;T309))),ISNUMBER(SEARCH("bond",LOWER(F309&amp;" "&amp;H309&amp;" "&amp;I309&amp;" "&amp;M309&amp;" "&amp;N309&amp;" "&amp;T309))),ISNUMBER(SEARCH("transaction",LOWER(F309&amp;" "&amp;H309&amp;" "&amp;I309&amp;" "&amp;M309&amp;" "&amp;N309&amp;" "&amp;T309)))),"PRIVATE_REVIEW","PUBLIC_CANDIDATE"))</x:f>
        <x:v>PUBLIC_CANDIDATE</x:v>
      </x:c>
      <x:c r="AD309" s="12" t="str">
        <x:f>IF(AC309="PRIVATE_QUARANTINE","hacker_or_bank_trigger",IF(AC309="PRIVATE_REVIEW","finance_risk_trigger","none"))</x:f>
        <x:v>none</x:v>
      </x:c>
      <x:c r="AE309" s="12" t="str">
        <x:f>IF(AC309="PUBLIC_CANDIDATE","prepare_public_github_candidate",IF(AC309="PRIVATE_REVIEW","hold_for_private_review","quarantine_private_do_not_publish"))</x:f>
        <x:v>prepare_public_github_candidate</x:v>
      </x:c>
      <x:c r="AF309" s="12" t="str">
        <x:f>IF(AC309="PUBLIC_CANDIDATE","TIDELOCK + Lucerna",IF(AC309="PRIVATE_REVIEW","AtlasBrain + Lucerna","TIDELOCK + Lucerna + Human-root"))</x:f>
        <x:v>TIDELOCK + Lucerna</x:v>
      </x:c>
      <x:c r="AG309" s="12" t="str">
        <x:f>IF(AND(AC309="PUBLIC_CANDIDATE",U309&lt;&gt;"BLOCKED_PENDING_RECEIPT"),"READY_AFTER_RECEIPT","NOT_READY")</x:f>
        <x:v>NOT_READY</x:v>
      </x:c>
      <x:c r="AH309" s="12" t="str">
        <x:f>IF(AC309="PUBLIC_CANDIDATE","none",AD309)</x:f>
        <x:v>none</x:v>
      </x:c>
      <x:c r="AI309" s="12" t="str">
        <x:f>IF(AC309="PUBLIC_CANDIDATE","archive/public_candidates/"&amp;A309,"private_quarantine/"&amp;A309)</x:f>
        <x:v>archive/public_candidates/SWARM-03-H02-S08</x:v>
      </x:c>
      <x:c r="AJ309" s="12" t="str">
        <x:f>IF(AC309="PUBLIC_CANDIDATE","public by default; still not canon","private/hold; do not publish")</x:f>
        <x:v>public by default; still not canon</x:v>
      </x:c>
      <x:c r="AK309" s="12" t="str">
        <x:f>IF(AE309="prepare_public_github_candidate","add receipt/status then mirror","resolve blocker before any public GitHub action")</x:f>
        <x:v>add receipt/status then mirror</x:v>
      </x:c>
    </x:row>
    <x:row r="310">
      <x:c r="A310" s="15" t="str">
        <x:v>SWARM-03-H02-S09</x:v>
      </x:c>
      <x:c r="B310" s="15" t="str">
        <x:v>KairoBrain</x:v>
      </x:c>
      <x:c r="C310" s="15" t="str">
        <x:v>Temporal strata keeper</x:v>
      </x:c>
      <x:c r="D310" s="15" t="str">
        <x:v>Receipt Verification</x:v>
      </x:c>
      <x:c r="E310" s="15" t="str">
        <x:v>Aetherforge</x:v>
      </x:c>
      <x:c r="F310" s="15" t="str">
        <x:v>Verify receipts for Aetherforge — KairoBrain</x:v>
      </x:c>
      <x:c r="G310" s="15" t="str">
        <x:v>staleness / versioning / supersession</x:v>
      </x:c>
      <x:c r="H310" s="15" t="str">
        <x:v>source path + receipt + raw/export status + claim/edge/risk delta</x:v>
      </x:c>
      <x:c r="I310" s="15" t="str">
        <x:v>packet/SWARM-03-H02-S09</x:v>
      </x:c>
      <x:c r="J310" s="15" t="str">
        <x:v>TODO</x:v>
      </x:c>
      <x:c r="K310" s="15" t="str">
        <x:v>P2</x:v>
      </x:c>
      <x:c r="L310" s="15" t="str">
        <x:v>Done only when evidence is logged, contradiction search is noted, and boundary stamp remains non-canon unless ratified</x:v>
      </x:c>
      <x:c r="M310" s="15" t="str">
        <x:v>candidate / staging-only / not canon / not deployed / authority none</x:v>
      </x:c>
      <x:c r="N310" s="15" t="str">
        <x:v>Dispatch to KairoBrain: complete Receipt Verification x Aetherforge; return deltas only, receipts required.</x:v>
      </x:c>
      <x:c r="O310" s="15" t="str">
        <x:v>AF-KG-H02-S09</x:v>
      </x:c>
      <x:c r="P310" s="15" t="str">
        <x:v>Unverified</x:v>
      </x:c>
      <x:c r="Q310" s="15" t="str">
        <x:v>Not checked</x:v>
      </x:c>
      <x:c r="R310" s="15" t="str"/>
      <x:c r="S310" s="15" t="str"/>
      <x:c r="T310" s="15" t="str">
        <x:v>Log first source path or blocker</x:v>
      </x:c>
      <x:c r="U310" s="12" t="str">
        <x:f>IF(OR(P310="Unverified",Q310="Not checked"),"BLOCKED_PENDING_RECEIPT","READY_FOR_REVIEW")</x:f>
        <x:v>BLOCKED_PENDING_RECEIPT</x:v>
      </x:c>
      <x:c r="V310" s="12" t="str">
        <x:f>IF(J310="DONE","RETURNED",IF(U310="BLOCKED_PENDING_RECEIPT","SOURCE_TOUCH_REQUIRED","IN_PROGRESS"))</x:f>
        <x:v>SOURCE_TOUCH_REQUIRED</x:v>
      </x:c>
      <x:c r="W310" s="12" t="str">
        <x:f>IF(P310="Unverified","missing_receipt","receipt_logged")</x:f>
        <x:v>missing_receipt</x:v>
      </x:c>
      <x:c r="X310" s="12" t="str">
        <x:f>IF(Q310="Not checked","raw_status_missing","raw_status_logged")</x:f>
        <x:v>raw_status_missing</x:v>
      </x:c>
      <x:c r="Y310" s="12" t="str">
        <x:f>IF(U310="BLOCKED_PENDING_RECEIPT","Log source path or blocker; do not promote","Route to review lane")</x:f>
        <x:v>Log source path or blocker; do not promote</x:v>
      </x:c>
      <x:c r="Z310" s="12" t="str">
        <x:f>IF(K310="P0","Primary seat + Hashlight/Lucerna","Seat lane")</x:f>
        <x:v>Seat lane</x:v>
      </x:c>
      <x:c r="AA310" s="12" t="str">
        <x:f>IF(R310="","no_claim_delta","claim_delta_present")</x:f>
        <x:v>no_claim_delta</x:v>
      </x:c>
      <x:c r="AB310" s="12" t="str">
        <x:f>IF(S310="","no_contradiction_delta","contradiction_delta_present")</x:f>
        <x:v>no_contradiction_delta</x:v>
      </x:c>
      <x:c r="AC310" s="12" t="str">
        <x:f>IF(OR(ISNUMBER(SEARCH("hacker",LOWER(F310&amp;" "&amp;H310&amp;" "&amp;I310&amp;" "&amp;M310&amp;" "&amp;N310&amp;" "&amp;T310))),ISNUMBER(SEARCH("hacking",LOWER(F310&amp;" "&amp;H310&amp;" "&amp;I310&amp;" "&amp;M310&amp;" "&amp;N310&amp;" "&amp;T310))),ISNUMBER(SEARCH("bank",LOWER(F310&amp;" "&amp;H310&amp;" "&amp;I310&amp;" "&amp;M310&amp;" "&amp;N310&amp;" "&amp;T310))),ISNUMBER(SEARCH("banking",LOWER(F310&amp;" "&amp;H310&amp;" "&amp;I310&amp;" "&amp;M310&amp;" "&amp;N310&amp;" "&amp;T310)))),"PRIVATE_QUARANTINE",IF(OR(ISNUMBER(SEARCH("treasury",LOWER(F310&amp;" "&amp;H310&amp;" "&amp;I310&amp;" "&amp;M310&amp;" "&amp;N310&amp;" "&amp;T310))),ISNUMBER(SEARCH("debt",LOWER(F310&amp;" "&amp;H310&amp;" "&amp;I310&amp;" "&amp;M310&amp;" "&amp;N310&amp;" "&amp;T310))),ISNUMBER(SEARCH("bond",LOWER(F310&amp;" "&amp;H310&amp;" "&amp;I310&amp;" "&amp;M310&amp;" "&amp;N310&amp;" "&amp;T310))),ISNUMBER(SEARCH("transaction",LOWER(F310&amp;" "&amp;H310&amp;" "&amp;I310&amp;" "&amp;M310&amp;" "&amp;N310&amp;" "&amp;T310)))),"PRIVATE_REVIEW","PUBLIC_CANDIDATE"))</x:f>
        <x:v>PUBLIC_CANDIDATE</x:v>
      </x:c>
      <x:c r="AD310" s="12" t="str">
        <x:f>IF(AC310="PRIVATE_QUARANTINE","hacker_or_bank_trigger",IF(AC310="PRIVATE_REVIEW","finance_risk_trigger","none"))</x:f>
        <x:v>none</x:v>
      </x:c>
      <x:c r="AE310" s="12" t="str">
        <x:f>IF(AC310="PUBLIC_CANDIDATE","prepare_public_github_candidate",IF(AC310="PRIVATE_REVIEW","hold_for_private_review","quarantine_private_do_not_publish"))</x:f>
        <x:v>prepare_public_github_candidate</x:v>
      </x:c>
      <x:c r="AF310" s="12" t="str">
        <x:f>IF(AC310="PUBLIC_CANDIDATE","TIDELOCK + Lucerna",IF(AC310="PRIVATE_REVIEW","AtlasBrain + Lucerna","TIDELOCK + Lucerna + Human-root"))</x:f>
        <x:v>TIDELOCK + Lucerna</x:v>
      </x:c>
      <x:c r="AG310" s="12" t="str">
        <x:f>IF(AND(AC310="PUBLIC_CANDIDATE",U310&lt;&gt;"BLOCKED_PENDING_RECEIPT"),"READY_AFTER_RECEIPT","NOT_READY")</x:f>
        <x:v>NOT_READY</x:v>
      </x:c>
      <x:c r="AH310" s="12" t="str">
        <x:f>IF(AC310="PUBLIC_CANDIDATE","none",AD310)</x:f>
        <x:v>none</x:v>
      </x:c>
      <x:c r="AI310" s="12" t="str">
        <x:f>IF(AC310="PUBLIC_CANDIDATE","archive/public_candidates/"&amp;A310,"private_quarantine/"&amp;A310)</x:f>
        <x:v>archive/public_candidates/SWARM-03-H02-S09</x:v>
      </x:c>
      <x:c r="AJ310" s="12" t="str">
        <x:f>IF(AC310="PUBLIC_CANDIDATE","public by default; still not canon","private/hold; do not publish")</x:f>
        <x:v>public by default; still not canon</x:v>
      </x:c>
      <x:c r="AK310" s="12" t="str">
        <x:f>IF(AE310="prepare_public_github_candidate","add receipt/status then mirror","resolve blocker before any public GitHub action")</x:f>
        <x:v>add receipt/status then mirror</x:v>
      </x:c>
    </x:row>
    <x:row r="311">
      <x:c r="A311" s="15" t="str">
        <x:v>SWARM-03-H02-S10</x:v>
      </x:c>
      <x:c r="B311" s="15" t="str">
        <x:v>KairoBrain</x:v>
      </x:c>
      <x:c r="C311" s="15" t="str">
        <x:v>Temporal strata keeper</x:v>
      </x:c>
      <x:c r="D311" s="15" t="str">
        <x:v>Receipt Verification</x:v>
      </x:c>
      <x:c r="E311" s="15" t="str">
        <x:v>Human-Root</x:v>
      </x:c>
      <x:c r="F311" s="15" t="str">
        <x:v>Verify receipts for Human-Root — KairoBrain</x:v>
      </x:c>
      <x:c r="G311" s="15" t="str">
        <x:v>staleness / versioning / supersession</x:v>
      </x:c>
      <x:c r="H311" s="15" t="str">
        <x:v>source path + receipt + raw/export status + claim/edge/risk delta</x:v>
      </x:c>
      <x:c r="I311" s="15" t="str">
        <x:v>packet/SWARM-03-H02-S10</x:v>
      </x:c>
      <x:c r="J311" s="15" t="str">
        <x:v>TODO</x:v>
      </x:c>
      <x:c r="K311" s="15" t="str">
        <x:v>P2</x:v>
      </x:c>
      <x:c r="L311" s="15" t="str">
        <x:v>Done only when evidence is logged, contradiction search is noted, and boundary stamp remains non-canon unless ratified</x:v>
      </x:c>
      <x:c r="M311" s="15" t="str">
        <x:v>candidate / staging-only / not canon / not deployed / authority none</x:v>
      </x:c>
      <x:c r="N311" s="15" t="str">
        <x:v>Dispatch to KairoBrain: complete Receipt Verification x Human-Root; return deltas only, receipts required.</x:v>
      </x:c>
      <x:c r="O311" s="15" t="str">
        <x:v>AF-KG-H02-S10</x:v>
      </x:c>
      <x:c r="P311" s="15" t="str">
        <x:v>Unverified</x:v>
      </x:c>
      <x:c r="Q311" s="15" t="str">
        <x:v>Not checked</x:v>
      </x:c>
      <x:c r="R311" s="15" t="str"/>
      <x:c r="S311" s="15" t="str"/>
      <x:c r="T311" s="15" t="str">
        <x:v>Log first source path or blocker</x:v>
      </x:c>
      <x:c r="U311" s="12" t="str">
        <x:f>IF(OR(P311="Unverified",Q311="Not checked"),"BLOCKED_PENDING_RECEIPT","READY_FOR_REVIEW")</x:f>
        <x:v>BLOCKED_PENDING_RECEIPT</x:v>
      </x:c>
      <x:c r="V311" s="12" t="str">
        <x:f>IF(J311="DONE","RETURNED",IF(U311="BLOCKED_PENDING_RECEIPT","SOURCE_TOUCH_REQUIRED","IN_PROGRESS"))</x:f>
        <x:v>SOURCE_TOUCH_REQUIRED</x:v>
      </x:c>
      <x:c r="W311" s="12" t="str">
        <x:f>IF(P311="Unverified","missing_receipt","receipt_logged")</x:f>
        <x:v>missing_receipt</x:v>
      </x:c>
      <x:c r="X311" s="12" t="str">
        <x:f>IF(Q311="Not checked","raw_status_missing","raw_status_logged")</x:f>
        <x:v>raw_status_missing</x:v>
      </x:c>
      <x:c r="Y311" s="12" t="str">
        <x:f>IF(U311="BLOCKED_PENDING_RECEIPT","Log source path or blocker; do not promote","Route to review lane")</x:f>
        <x:v>Log source path or blocker; do not promote</x:v>
      </x:c>
      <x:c r="Z311" s="12" t="str">
        <x:f>IF(K311="P0","Primary seat + Hashlight/Lucerna","Seat lane")</x:f>
        <x:v>Seat lane</x:v>
      </x:c>
      <x:c r="AA311" s="12" t="str">
        <x:f>IF(R311="","no_claim_delta","claim_delta_present")</x:f>
        <x:v>no_claim_delta</x:v>
      </x:c>
      <x:c r="AB311" s="12" t="str">
        <x:f>IF(S311="","no_contradiction_delta","contradiction_delta_present")</x:f>
        <x:v>no_contradiction_delta</x:v>
      </x:c>
      <x:c r="AC311" s="12" t="str">
        <x:f>IF(OR(ISNUMBER(SEARCH("hacker",LOWER(F311&amp;" "&amp;H311&amp;" "&amp;I311&amp;" "&amp;M311&amp;" "&amp;N311&amp;" "&amp;T311))),ISNUMBER(SEARCH("hacking",LOWER(F311&amp;" "&amp;H311&amp;" "&amp;I311&amp;" "&amp;M311&amp;" "&amp;N311&amp;" "&amp;T311))),ISNUMBER(SEARCH("bank",LOWER(F311&amp;" "&amp;H311&amp;" "&amp;I311&amp;" "&amp;M311&amp;" "&amp;N311&amp;" "&amp;T311))),ISNUMBER(SEARCH("banking",LOWER(F311&amp;" "&amp;H311&amp;" "&amp;I311&amp;" "&amp;M311&amp;" "&amp;N311&amp;" "&amp;T311)))),"PRIVATE_QUARANTINE",IF(OR(ISNUMBER(SEARCH("treasury",LOWER(F311&amp;" "&amp;H311&amp;" "&amp;I311&amp;" "&amp;M311&amp;" "&amp;N311&amp;" "&amp;T311))),ISNUMBER(SEARCH("debt",LOWER(F311&amp;" "&amp;H311&amp;" "&amp;I311&amp;" "&amp;M311&amp;" "&amp;N311&amp;" "&amp;T311))),ISNUMBER(SEARCH("bond",LOWER(F311&amp;" "&amp;H311&amp;" "&amp;I311&amp;" "&amp;M311&amp;" "&amp;N311&amp;" "&amp;T311))),ISNUMBER(SEARCH("transaction",LOWER(F311&amp;" "&amp;H311&amp;" "&amp;I311&amp;" "&amp;M311&amp;" "&amp;N311&amp;" "&amp;T311)))),"PRIVATE_REVIEW","PUBLIC_CANDIDATE"))</x:f>
        <x:v>PUBLIC_CANDIDATE</x:v>
      </x:c>
      <x:c r="AD311" s="12" t="str">
        <x:f>IF(AC311="PRIVATE_QUARANTINE","hacker_or_bank_trigger",IF(AC311="PRIVATE_REVIEW","finance_risk_trigger","none"))</x:f>
        <x:v>none</x:v>
      </x:c>
      <x:c r="AE311" s="12" t="str">
        <x:f>IF(AC311="PUBLIC_CANDIDATE","prepare_public_github_candidate",IF(AC311="PRIVATE_REVIEW","hold_for_private_review","quarantine_private_do_not_publish"))</x:f>
        <x:v>prepare_public_github_candidate</x:v>
      </x:c>
      <x:c r="AF311" s="12" t="str">
        <x:f>IF(AC311="PUBLIC_CANDIDATE","TIDELOCK + Lucerna",IF(AC311="PRIVATE_REVIEW","AtlasBrain + Lucerna","TIDELOCK + Lucerna + Human-root"))</x:f>
        <x:v>TIDELOCK + Lucerna</x:v>
      </x:c>
      <x:c r="AG311" s="12" t="str">
        <x:f>IF(AND(AC311="PUBLIC_CANDIDATE",U311&lt;&gt;"BLOCKED_PENDING_RECEIPT"),"READY_AFTER_RECEIPT","NOT_READY")</x:f>
        <x:v>NOT_READY</x:v>
      </x:c>
      <x:c r="AH311" s="12" t="str">
        <x:f>IF(AC311="PUBLIC_CANDIDATE","none",AD311)</x:f>
        <x:v>none</x:v>
      </x:c>
      <x:c r="AI311" s="12" t="str">
        <x:f>IF(AC311="PUBLIC_CANDIDATE","archive/public_candidates/"&amp;A311,"private_quarantine/"&amp;A311)</x:f>
        <x:v>archive/public_candidates/SWARM-03-H02-S10</x:v>
      </x:c>
      <x:c r="AJ311" s="12" t="str">
        <x:f>IF(AC311="PUBLIC_CANDIDATE","public by default; still not canon","private/hold; do not publish")</x:f>
        <x:v>public by default; still not canon</x:v>
      </x:c>
      <x:c r="AK311" s="12" t="str">
        <x:f>IF(AE311="prepare_public_github_candidate","add receipt/status then mirror","resolve blocker before any public GitHub action")</x:f>
        <x:v>add receipt/status then mirror</x:v>
      </x:c>
    </x:row>
    <x:row r="312">
      <x:c r="A312" s="15" t="str">
        <x:v>SWARM-03-H02-S11</x:v>
      </x:c>
      <x:c r="B312" s="15" t="str">
        <x:v>KairoBrain</x:v>
      </x:c>
      <x:c r="C312" s="15" t="str">
        <x:v>Temporal strata keeper</x:v>
      </x:c>
      <x:c r="D312" s="15" t="str">
        <x:v>Receipt Verification</x:v>
      </x:c>
      <x:c r="E312" s="15" t="str">
        <x:v>Automation</x:v>
      </x:c>
      <x:c r="F312" s="15" t="str">
        <x:v>Verify receipts for Automation — KairoBrain</x:v>
      </x:c>
      <x:c r="G312" s="15" t="str">
        <x:v>staleness / versioning / supersession</x:v>
      </x:c>
      <x:c r="H312" s="15" t="str">
        <x:v>source path + receipt + raw/export status + claim/edge/risk delta</x:v>
      </x:c>
      <x:c r="I312" s="15" t="str">
        <x:v>packet/SWARM-03-H02-S11</x:v>
      </x:c>
      <x:c r="J312" s="15" t="str">
        <x:v>TODO</x:v>
      </x:c>
      <x:c r="K312" s="15" t="str">
        <x:v>P2</x:v>
      </x:c>
      <x:c r="L312" s="15" t="str">
        <x:v>Done only when evidence is logged, contradiction search is noted, and boundary stamp remains non-canon unless ratified</x:v>
      </x:c>
      <x:c r="M312" s="15" t="str">
        <x:v>candidate / staging-only / not canon / not deployed / authority none</x:v>
      </x:c>
      <x:c r="N312" s="15" t="str">
        <x:v>Dispatch to KairoBrain: complete Receipt Verification x Automation; return deltas only, receipts required.</x:v>
      </x:c>
      <x:c r="O312" s="15" t="str">
        <x:v>AF-KG-H02-S11</x:v>
      </x:c>
      <x:c r="P312" s="15" t="str">
        <x:v>Unverified</x:v>
      </x:c>
      <x:c r="Q312" s="15" t="str">
        <x:v>Not checked</x:v>
      </x:c>
      <x:c r="R312" s="15" t="str"/>
      <x:c r="S312" s="15" t="str"/>
      <x:c r="T312" s="15" t="str">
        <x:v>Log first source path or blocker</x:v>
      </x:c>
      <x:c r="U312" s="12" t="str">
        <x:f>IF(OR(P312="Unverified",Q312="Not checked"),"BLOCKED_PENDING_RECEIPT","READY_FOR_REVIEW")</x:f>
        <x:v>BLOCKED_PENDING_RECEIPT</x:v>
      </x:c>
      <x:c r="V312" s="12" t="str">
        <x:f>IF(J312="DONE","RETURNED",IF(U312="BLOCKED_PENDING_RECEIPT","SOURCE_TOUCH_REQUIRED","IN_PROGRESS"))</x:f>
        <x:v>SOURCE_TOUCH_REQUIRED</x:v>
      </x:c>
      <x:c r="W312" s="12" t="str">
        <x:f>IF(P312="Unverified","missing_receipt","receipt_logged")</x:f>
        <x:v>missing_receipt</x:v>
      </x:c>
      <x:c r="X312" s="12" t="str">
        <x:f>IF(Q312="Not checked","raw_status_missing","raw_status_logged")</x:f>
        <x:v>raw_status_missing</x:v>
      </x:c>
      <x:c r="Y312" s="12" t="str">
        <x:f>IF(U312="BLOCKED_PENDING_RECEIPT","Log source path or blocker; do not promote","Route to review lane")</x:f>
        <x:v>Log source path or blocker; do not promote</x:v>
      </x:c>
      <x:c r="Z312" s="12" t="str">
        <x:f>IF(K312="P0","Primary seat + Hashlight/Lucerna","Seat lane")</x:f>
        <x:v>Seat lane</x:v>
      </x:c>
      <x:c r="AA312" s="12" t="str">
        <x:f>IF(R312="","no_claim_delta","claim_delta_present")</x:f>
        <x:v>no_claim_delta</x:v>
      </x:c>
      <x:c r="AB312" s="12" t="str">
        <x:f>IF(S312="","no_contradiction_delta","contradiction_delta_present")</x:f>
        <x:v>no_contradiction_delta</x:v>
      </x:c>
      <x:c r="AC312" s="12" t="str">
        <x:f>IF(OR(ISNUMBER(SEARCH("hacker",LOWER(F312&amp;" "&amp;H312&amp;" "&amp;I312&amp;" "&amp;M312&amp;" "&amp;N312&amp;" "&amp;T312))),ISNUMBER(SEARCH("hacking",LOWER(F312&amp;" "&amp;H312&amp;" "&amp;I312&amp;" "&amp;M312&amp;" "&amp;N312&amp;" "&amp;T312))),ISNUMBER(SEARCH("bank",LOWER(F312&amp;" "&amp;H312&amp;" "&amp;I312&amp;" "&amp;M312&amp;" "&amp;N312&amp;" "&amp;T312))),ISNUMBER(SEARCH("banking",LOWER(F312&amp;" "&amp;H312&amp;" "&amp;I312&amp;" "&amp;M312&amp;" "&amp;N312&amp;" "&amp;T312)))),"PRIVATE_QUARANTINE",IF(OR(ISNUMBER(SEARCH("treasury",LOWER(F312&amp;" "&amp;H312&amp;" "&amp;I312&amp;" "&amp;M312&amp;" "&amp;N312&amp;" "&amp;T312))),ISNUMBER(SEARCH("debt",LOWER(F312&amp;" "&amp;H312&amp;" "&amp;I312&amp;" "&amp;M312&amp;" "&amp;N312&amp;" "&amp;T312))),ISNUMBER(SEARCH("bond",LOWER(F312&amp;" "&amp;H312&amp;" "&amp;I312&amp;" "&amp;M312&amp;" "&amp;N312&amp;" "&amp;T312))),ISNUMBER(SEARCH("transaction",LOWER(F312&amp;" "&amp;H312&amp;" "&amp;I312&amp;" "&amp;M312&amp;" "&amp;N312&amp;" "&amp;T312)))),"PRIVATE_REVIEW","PUBLIC_CANDIDATE"))</x:f>
        <x:v>PUBLIC_CANDIDATE</x:v>
      </x:c>
      <x:c r="AD312" s="12" t="str">
        <x:f>IF(AC312="PRIVATE_QUARANTINE","hacker_or_bank_trigger",IF(AC312="PRIVATE_REVIEW","finance_risk_trigger","none"))</x:f>
        <x:v>none</x:v>
      </x:c>
      <x:c r="AE312" s="12" t="str">
        <x:f>IF(AC312="PUBLIC_CANDIDATE","prepare_public_github_candidate",IF(AC312="PRIVATE_REVIEW","hold_for_private_review","quarantine_private_do_not_publish"))</x:f>
        <x:v>prepare_public_github_candidate</x:v>
      </x:c>
      <x:c r="AF312" s="12" t="str">
        <x:f>IF(AC312="PUBLIC_CANDIDATE","TIDELOCK + Lucerna",IF(AC312="PRIVATE_REVIEW","AtlasBrain + Lucerna","TIDELOCK + Lucerna + Human-root"))</x:f>
        <x:v>TIDELOCK + Lucerna</x:v>
      </x:c>
      <x:c r="AG312" s="12" t="str">
        <x:f>IF(AND(AC312="PUBLIC_CANDIDATE",U312&lt;&gt;"BLOCKED_PENDING_RECEIPT"),"READY_AFTER_RECEIPT","NOT_READY")</x:f>
        <x:v>NOT_READY</x:v>
      </x:c>
      <x:c r="AH312" s="12" t="str">
        <x:f>IF(AC312="PUBLIC_CANDIDATE","none",AD312)</x:f>
        <x:v>none</x:v>
      </x:c>
      <x:c r="AI312" s="12" t="str">
        <x:f>IF(AC312="PUBLIC_CANDIDATE","archive/public_candidates/"&amp;A312,"private_quarantine/"&amp;A312)</x:f>
        <x:v>archive/public_candidates/SWARM-03-H02-S11</x:v>
      </x:c>
      <x:c r="AJ312" s="12" t="str">
        <x:f>IF(AC312="PUBLIC_CANDIDATE","public by default; still not canon","private/hold; do not publish")</x:f>
        <x:v>public by default; still not canon</x:v>
      </x:c>
      <x:c r="AK312" s="12" t="str">
        <x:f>IF(AE312="prepare_public_github_candidate","add receipt/status then mirror","resolve blocker before any public GitHub action")</x:f>
        <x:v>add receipt/status then mirror</x:v>
      </x:c>
    </x:row>
    <x:row r="313">
      <x:c r="A313" s="15" t="str">
        <x:v>SWARM-03-H02-S12</x:v>
      </x:c>
      <x:c r="B313" s="15" t="str">
        <x:v>KairoBrain</x:v>
      </x:c>
      <x:c r="C313" s="15" t="str">
        <x:v>Temporal strata keeper</x:v>
      </x:c>
      <x:c r="D313" s="15" t="str">
        <x:v>Receipt Verification</x:v>
      </x:c>
      <x:c r="E313" s="15" t="str">
        <x:v>Risk / Safety</x:v>
      </x:c>
      <x:c r="F313" s="15" t="str">
        <x:v>Verify receipts for Risk / Safety — KairoBrain</x:v>
      </x:c>
      <x:c r="G313" s="15" t="str">
        <x:v>staleness / versioning / supersession</x:v>
      </x:c>
      <x:c r="H313" s="15" t="str">
        <x:v>source path + receipt + raw/export status + claim/edge/risk delta</x:v>
      </x:c>
      <x:c r="I313" s="15" t="str">
        <x:v>packet/SWARM-03-H02-S12</x:v>
      </x:c>
      <x:c r="J313" s="15" t="str">
        <x:v>TODO</x:v>
      </x:c>
      <x:c r="K313" s="15" t="str">
        <x:v>P2</x:v>
      </x:c>
      <x:c r="L313" s="15" t="str">
        <x:v>Done only when evidence is logged, contradiction search is noted, and boundary stamp remains non-canon unless ratified</x:v>
      </x:c>
      <x:c r="M313" s="15" t="str">
        <x:v>candidate / staging-only / not canon / not deployed / authority none</x:v>
      </x:c>
      <x:c r="N313" s="15" t="str">
        <x:v>Dispatch to KairoBrain: complete Receipt Verification x Risk / Safety; return deltas only, receipts required.</x:v>
      </x:c>
      <x:c r="O313" s="15" t="str">
        <x:v>AF-KG-H02-S12</x:v>
      </x:c>
      <x:c r="P313" s="15" t="str">
        <x:v>Unverified</x:v>
      </x:c>
      <x:c r="Q313" s="15" t="str">
        <x:v>Not checked</x:v>
      </x:c>
      <x:c r="R313" s="15" t="str"/>
      <x:c r="S313" s="15" t="str"/>
      <x:c r="T313" s="15" t="str">
        <x:v>Log first source path or blocker</x:v>
      </x:c>
      <x:c r="U313" s="12" t="str">
        <x:f>IF(OR(P313="Unverified",Q313="Not checked"),"BLOCKED_PENDING_RECEIPT","READY_FOR_REVIEW")</x:f>
        <x:v>BLOCKED_PENDING_RECEIPT</x:v>
      </x:c>
      <x:c r="V313" s="12" t="str">
        <x:f>IF(J313="DONE","RETURNED",IF(U313="BLOCKED_PENDING_RECEIPT","SOURCE_TOUCH_REQUIRED","IN_PROGRESS"))</x:f>
        <x:v>SOURCE_TOUCH_REQUIRED</x:v>
      </x:c>
      <x:c r="W313" s="12" t="str">
        <x:f>IF(P313="Unverified","missing_receipt","receipt_logged")</x:f>
        <x:v>missing_receipt</x:v>
      </x:c>
      <x:c r="X313" s="12" t="str">
        <x:f>IF(Q313="Not checked","raw_status_missing","raw_status_logged")</x:f>
        <x:v>raw_status_missing</x:v>
      </x:c>
      <x:c r="Y313" s="12" t="str">
        <x:f>IF(U313="BLOCKED_PENDING_RECEIPT","Log source path or blocker; do not promote","Route to review lane")</x:f>
        <x:v>Log source path or blocker; do not promote</x:v>
      </x:c>
      <x:c r="Z313" s="12" t="str">
        <x:f>IF(K313="P0","Primary seat + Hashlight/Lucerna","Seat lane")</x:f>
        <x:v>Seat lane</x:v>
      </x:c>
      <x:c r="AA313" s="12" t="str">
        <x:f>IF(R313="","no_claim_delta","claim_delta_present")</x:f>
        <x:v>no_claim_delta</x:v>
      </x:c>
      <x:c r="AB313" s="12" t="str">
        <x:f>IF(S313="","no_contradiction_delta","contradiction_delta_present")</x:f>
        <x:v>no_contradiction_delta</x:v>
      </x:c>
      <x:c r="AC313" s="12" t="str">
        <x:f>IF(OR(ISNUMBER(SEARCH("hacker",LOWER(F313&amp;" "&amp;H313&amp;" "&amp;I313&amp;" "&amp;M313&amp;" "&amp;N313&amp;" "&amp;T313))),ISNUMBER(SEARCH("hacking",LOWER(F313&amp;" "&amp;H313&amp;" "&amp;I313&amp;" "&amp;M313&amp;" "&amp;N313&amp;" "&amp;T313))),ISNUMBER(SEARCH("bank",LOWER(F313&amp;" "&amp;H313&amp;" "&amp;I313&amp;" "&amp;M313&amp;" "&amp;N313&amp;" "&amp;T313))),ISNUMBER(SEARCH("banking",LOWER(F313&amp;" "&amp;H313&amp;" "&amp;I313&amp;" "&amp;M313&amp;" "&amp;N313&amp;" "&amp;T313)))),"PRIVATE_QUARANTINE",IF(OR(ISNUMBER(SEARCH("treasury",LOWER(F313&amp;" "&amp;H313&amp;" "&amp;I313&amp;" "&amp;M313&amp;" "&amp;N313&amp;" "&amp;T313))),ISNUMBER(SEARCH("debt",LOWER(F313&amp;" "&amp;H313&amp;" "&amp;I313&amp;" "&amp;M313&amp;" "&amp;N313&amp;" "&amp;T313))),ISNUMBER(SEARCH("bond",LOWER(F313&amp;" "&amp;H313&amp;" "&amp;I313&amp;" "&amp;M313&amp;" "&amp;N313&amp;" "&amp;T313))),ISNUMBER(SEARCH("transaction",LOWER(F313&amp;" "&amp;H313&amp;" "&amp;I313&amp;" "&amp;M313&amp;" "&amp;N313&amp;" "&amp;T313)))),"PRIVATE_REVIEW","PUBLIC_CANDIDATE"))</x:f>
        <x:v>PUBLIC_CANDIDATE</x:v>
      </x:c>
      <x:c r="AD313" s="12" t="str">
        <x:f>IF(AC313="PRIVATE_QUARANTINE","hacker_or_bank_trigger",IF(AC313="PRIVATE_REVIEW","finance_risk_trigger","none"))</x:f>
        <x:v>none</x:v>
      </x:c>
      <x:c r="AE313" s="12" t="str">
        <x:f>IF(AC313="PUBLIC_CANDIDATE","prepare_public_github_candidate",IF(AC313="PRIVATE_REVIEW","hold_for_private_review","quarantine_private_do_not_publish"))</x:f>
        <x:v>prepare_public_github_candidate</x:v>
      </x:c>
      <x:c r="AF313" s="12" t="str">
        <x:f>IF(AC313="PUBLIC_CANDIDATE","TIDELOCK + Lucerna",IF(AC313="PRIVATE_REVIEW","AtlasBrain + Lucerna","TIDELOCK + Lucerna + Human-root"))</x:f>
        <x:v>TIDELOCK + Lucerna</x:v>
      </x:c>
      <x:c r="AG313" s="12" t="str">
        <x:f>IF(AND(AC313="PUBLIC_CANDIDATE",U313&lt;&gt;"BLOCKED_PENDING_RECEIPT"),"READY_AFTER_RECEIPT","NOT_READY")</x:f>
        <x:v>NOT_READY</x:v>
      </x:c>
      <x:c r="AH313" s="12" t="str">
        <x:f>IF(AC313="PUBLIC_CANDIDATE","none",AD313)</x:f>
        <x:v>none</x:v>
      </x:c>
      <x:c r="AI313" s="12" t="str">
        <x:f>IF(AC313="PUBLIC_CANDIDATE","archive/public_candidates/"&amp;A313,"private_quarantine/"&amp;A313)</x:f>
        <x:v>archive/public_candidates/SWARM-03-H02-S12</x:v>
      </x:c>
      <x:c r="AJ313" s="12" t="str">
        <x:f>IF(AC313="PUBLIC_CANDIDATE","public by default; still not canon","private/hold; do not publish")</x:f>
        <x:v>public by default; still not canon</x:v>
      </x:c>
      <x:c r="AK313" s="12" t="str">
        <x:f>IF(AE313="prepare_public_github_candidate","add receipt/status then mirror","resolve blocker before any public GitHub action")</x:f>
        <x:v>add receipt/status then mirror</x:v>
      </x:c>
    </x:row>
    <x:row r="314">
      <x:c r="A314" s="15" t="str">
        <x:v>SWARM-03-H03-S01</x:v>
      </x:c>
      <x:c r="B314" s="15" t="str">
        <x:v>KairoBrain</x:v>
      </x:c>
      <x:c r="C314" s="15" t="str">
        <x:v>Temporal strata keeper</x:v>
      </x:c>
      <x:c r="D314" s="15" t="str">
        <x:v>Raw Export Recovery</x:v>
      </x:c>
      <x:c r="E314" s="15" t="str">
        <x:v>Notion</x:v>
      </x:c>
      <x:c r="F314" s="15" t="str">
        <x:v>Recover raw exports for Notion — KairoBrain</x:v>
      </x:c>
      <x:c r="G314" s="15" t="str">
        <x:v>staleness / versioning / supersession</x:v>
      </x:c>
      <x:c r="H314" s="15" t="str">
        <x:v>source path + receipt + raw/export status + claim/edge/risk delta</x:v>
      </x:c>
      <x:c r="I314" s="15" t="str">
        <x:v>packet/SWARM-03-H03-S01</x:v>
      </x:c>
      <x:c r="J314" s="15" t="str">
        <x:v>TODO</x:v>
      </x:c>
      <x:c r="K314" s="15" t="str">
        <x:v>P0</x:v>
      </x:c>
      <x:c r="L314" s="15" t="str">
        <x:v>Done only when evidence is logged, contradiction search is noted, and boundary stamp remains non-canon unless ratified</x:v>
      </x:c>
      <x:c r="M314" s="15" t="str">
        <x:v>candidate / staging-only / not canon / not deployed / authority none</x:v>
      </x:c>
      <x:c r="N314" s="15" t="str">
        <x:v>Dispatch to KairoBrain: complete Raw Export Recovery x Notion; return deltas only, receipts required.</x:v>
      </x:c>
      <x:c r="O314" s="15" t="str">
        <x:v>AF-KG-H03-S01</x:v>
      </x:c>
      <x:c r="P314" s="15" t="str">
        <x:v>Unverified</x:v>
      </x:c>
      <x:c r="Q314" s="15" t="str">
        <x:v>Not checked</x:v>
      </x:c>
      <x:c r="R314" s="15" t="str"/>
      <x:c r="S314" s="15" t="str"/>
      <x:c r="T314" s="15" t="str">
        <x:v>Log first source path or blocker</x:v>
      </x:c>
      <x:c r="U314" s="12" t="str">
        <x:f>IF(OR(P314="Unverified",Q314="Not checked"),"BLOCKED_PENDING_RECEIPT","READY_FOR_REVIEW")</x:f>
        <x:v>BLOCKED_PENDING_RECEIPT</x:v>
      </x:c>
      <x:c r="V314" s="12" t="str">
        <x:f>IF(J314="DONE","RETURNED",IF(U314="BLOCKED_PENDING_RECEIPT","SOURCE_TOUCH_REQUIRED","IN_PROGRESS"))</x:f>
        <x:v>SOURCE_TOUCH_REQUIRED</x:v>
      </x:c>
      <x:c r="W314" s="12" t="str">
        <x:f>IF(P314="Unverified","missing_receipt","receipt_logged")</x:f>
        <x:v>missing_receipt</x:v>
      </x:c>
      <x:c r="X314" s="12" t="str">
        <x:f>IF(Q314="Not checked","raw_status_missing","raw_status_logged")</x:f>
        <x:v>raw_status_missing</x:v>
      </x:c>
      <x:c r="Y314" s="12" t="str">
        <x:f>IF(U314="BLOCKED_PENDING_RECEIPT","Log source path or blocker; do not promote","Route to review lane")</x:f>
        <x:v>Log source path or blocker; do not promote</x:v>
      </x:c>
      <x:c r="Z314" s="12" t="str">
        <x:f>IF(K314="P0","Primary seat + Hashlight/Lucerna","Seat lane")</x:f>
        <x:v>Primary seat + Hashlight/Lucerna</x:v>
      </x:c>
      <x:c r="AA314" s="12" t="str">
        <x:f>IF(R314="","no_claim_delta","claim_delta_present")</x:f>
        <x:v>no_claim_delta</x:v>
      </x:c>
      <x:c r="AB314" s="12" t="str">
        <x:f>IF(S314="","no_contradiction_delta","contradiction_delta_present")</x:f>
        <x:v>no_contradiction_delta</x:v>
      </x:c>
      <x:c r="AC314" s="12" t="str">
        <x:f>IF(OR(ISNUMBER(SEARCH("hacker",LOWER(F314&amp;" "&amp;H314&amp;" "&amp;I314&amp;" "&amp;M314&amp;" "&amp;N314&amp;" "&amp;T314))),ISNUMBER(SEARCH("hacking",LOWER(F314&amp;" "&amp;H314&amp;" "&amp;I314&amp;" "&amp;M314&amp;" "&amp;N314&amp;" "&amp;T314))),ISNUMBER(SEARCH("bank",LOWER(F314&amp;" "&amp;H314&amp;" "&amp;I314&amp;" "&amp;M314&amp;" "&amp;N314&amp;" "&amp;T314))),ISNUMBER(SEARCH("banking",LOWER(F314&amp;" "&amp;H314&amp;" "&amp;I314&amp;" "&amp;M314&amp;" "&amp;N314&amp;" "&amp;T314)))),"PRIVATE_QUARANTINE",IF(OR(ISNUMBER(SEARCH("treasury",LOWER(F314&amp;" "&amp;H314&amp;" "&amp;I314&amp;" "&amp;M314&amp;" "&amp;N314&amp;" "&amp;T314))),ISNUMBER(SEARCH("debt",LOWER(F314&amp;" "&amp;H314&amp;" "&amp;I314&amp;" "&amp;M314&amp;" "&amp;N314&amp;" "&amp;T314))),ISNUMBER(SEARCH("bond",LOWER(F314&amp;" "&amp;H314&amp;" "&amp;I314&amp;" "&amp;M314&amp;" "&amp;N314&amp;" "&amp;T314))),ISNUMBER(SEARCH("transaction",LOWER(F314&amp;" "&amp;H314&amp;" "&amp;I314&amp;" "&amp;M314&amp;" "&amp;N314&amp;" "&amp;T314)))),"PRIVATE_REVIEW","PUBLIC_CANDIDATE"))</x:f>
        <x:v>PUBLIC_CANDIDATE</x:v>
      </x:c>
      <x:c r="AD314" s="12" t="str">
        <x:f>IF(AC314="PRIVATE_QUARANTINE","hacker_or_bank_trigger",IF(AC314="PRIVATE_REVIEW","finance_risk_trigger","none"))</x:f>
        <x:v>none</x:v>
      </x:c>
      <x:c r="AE314" s="12" t="str">
        <x:f>IF(AC314="PUBLIC_CANDIDATE","prepare_public_github_candidate",IF(AC314="PRIVATE_REVIEW","hold_for_private_review","quarantine_private_do_not_publish"))</x:f>
        <x:v>prepare_public_github_candidate</x:v>
      </x:c>
      <x:c r="AF314" s="12" t="str">
        <x:f>IF(AC314="PUBLIC_CANDIDATE","TIDELOCK + Lucerna",IF(AC314="PRIVATE_REVIEW","AtlasBrain + Lucerna","TIDELOCK + Lucerna + Human-root"))</x:f>
        <x:v>TIDELOCK + Lucerna</x:v>
      </x:c>
      <x:c r="AG314" s="12" t="str">
        <x:f>IF(AND(AC314="PUBLIC_CANDIDATE",U314&lt;&gt;"BLOCKED_PENDING_RECEIPT"),"READY_AFTER_RECEIPT","NOT_READY")</x:f>
        <x:v>NOT_READY</x:v>
      </x:c>
      <x:c r="AH314" s="12" t="str">
        <x:f>IF(AC314="PUBLIC_CANDIDATE","none",AD314)</x:f>
        <x:v>none</x:v>
      </x:c>
      <x:c r="AI314" s="12" t="str">
        <x:f>IF(AC314="PUBLIC_CANDIDATE","archive/public_candidates/"&amp;A314,"private_quarantine/"&amp;A314)</x:f>
        <x:v>archive/public_candidates/SWARM-03-H03-S01</x:v>
      </x:c>
      <x:c r="AJ314" s="12" t="str">
        <x:f>IF(AC314="PUBLIC_CANDIDATE","public by default; still not canon","private/hold; do not publish")</x:f>
        <x:v>public by default; still not canon</x:v>
      </x:c>
      <x:c r="AK314" s="12" t="str">
        <x:f>IF(AE314="prepare_public_github_candidate","add receipt/status then mirror","resolve blocker before any public GitHub action")</x:f>
        <x:v>add receipt/status then mirror</x:v>
      </x:c>
    </x:row>
    <x:row r="315">
      <x:c r="A315" s="15" t="str">
        <x:v>SWARM-03-H03-S02</x:v>
      </x:c>
      <x:c r="B315" s="15" t="str">
        <x:v>KairoBrain</x:v>
      </x:c>
      <x:c r="C315" s="15" t="str">
        <x:v>Temporal strata keeper</x:v>
      </x:c>
      <x:c r="D315" s="15" t="str">
        <x:v>Raw Export Recovery</x:v>
      </x:c>
      <x:c r="E315" s="15" t="str">
        <x:v>Drive</x:v>
      </x:c>
      <x:c r="F315" s="15" t="str">
        <x:v>Recover raw exports for Drive — KairoBrain</x:v>
      </x:c>
      <x:c r="G315" s="15" t="str">
        <x:v>staleness / versioning / supersession</x:v>
      </x:c>
      <x:c r="H315" s="15" t="str">
        <x:v>source path + receipt + raw/export status + claim/edge/risk delta</x:v>
      </x:c>
      <x:c r="I315" s="15" t="str">
        <x:v>packet/SWARM-03-H03-S02</x:v>
      </x:c>
      <x:c r="J315" s="15" t="str">
        <x:v>TODO</x:v>
      </x:c>
      <x:c r="K315" s="15" t="str">
        <x:v>P0</x:v>
      </x:c>
      <x:c r="L315" s="15" t="str">
        <x:v>Done only when evidence is logged, contradiction search is noted, and boundary stamp remains non-canon unless ratified</x:v>
      </x:c>
      <x:c r="M315" s="15" t="str">
        <x:v>candidate / staging-only / not canon / not deployed / authority none</x:v>
      </x:c>
      <x:c r="N315" s="15" t="str">
        <x:v>Dispatch to KairoBrain: complete Raw Export Recovery x Drive; return deltas only, receipts required.</x:v>
      </x:c>
      <x:c r="O315" s="15" t="str">
        <x:v>AF-KG-H03-S02</x:v>
      </x:c>
      <x:c r="P315" s="15" t="str">
        <x:v>Unverified</x:v>
      </x:c>
      <x:c r="Q315" s="15" t="str">
        <x:v>Not checked</x:v>
      </x:c>
      <x:c r="R315" s="15" t="str"/>
      <x:c r="S315" s="15" t="str"/>
      <x:c r="T315" s="15" t="str">
        <x:v>Log first source path or blocker</x:v>
      </x:c>
      <x:c r="U315" s="12" t="str">
        <x:f>IF(OR(P315="Unverified",Q315="Not checked"),"BLOCKED_PENDING_RECEIPT","READY_FOR_REVIEW")</x:f>
        <x:v>BLOCKED_PENDING_RECEIPT</x:v>
      </x:c>
      <x:c r="V315" s="12" t="str">
        <x:f>IF(J315="DONE","RETURNED",IF(U315="BLOCKED_PENDING_RECEIPT","SOURCE_TOUCH_REQUIRED","IN_PROGRESS"))</x:f>
        <x:v>SOURCE_TOUCH_REQUIRED</x:v>
      </x:c>
      <x:c r="W315" s="12" t="str">
        <x:f>IF(P315="Unverified","missing_receipt","receipt_logged")</x:f>
        <x:v>missing_receipt</x:v>
      </x:c>
      <x:c r="X315" s="12" t="str">
        <x:f>IF(Q315="Not checked","raw_status_missing","raw_status_logged")</x:f>
        <x:v>raw_status_missing</x:v>
      </x:c>
      <x:c r="Y315" s="12" t="str">
        <x:f>IF(U315="BLOCKED_PENDING_RECEIPT","Log source path or blocker; do not promote","Route to review lane")</x:f>
        <x:v>Log source path or blocker; do not promote</x:v>
      </x:c>
      <x:c r="Z315" s="12" t="str">
        <x:f>IF(K315="P0","Primary seat + Hashlight/Lucerna","Seat lane")</x:f>
        <x:v>Primary seat + Hashlight/Lucerna</x:v>
      </x:c>
      <x:c r="AA315" s="12" t="str">
        <x:f>IF(R315="","no_claim_delta","claim_delta_present")</x:f>
        <x:v>no_claim_delta</x:v>
      </x:c>
      <x:c r="AB315" s="12" t="str">
        <x:f>IF(S315="","no_contradiction_delta","contradiction_delta_present")</x:f>
        <x:v>no_contradiction_delta</x:v>
      </x:c>
      <x:c r="AC315" s="12" t="str">
        <x:f>IF(OR(ISNUMBER(SEARCH("hacker",LOWER(F315&amp;" "&amp;H315&amp;" "&amp;I315&amp;" "&amp;M315&amp;" "&amp;N315&amp;" "&amp;T315))),ISNUMBER(SEARCH("hacking",LOWER(F315&amp;" "&amp;H315&amp;" "&amp;I315&amp;" "&amp;M315&amp;" "&amp;N315&amp;" "&amp;T315))),ISNUMBER(SEARCH("bank",LOWER(F315&amp;" "&amp;H315&amp;" "&amp;I315&amp;" "&amp;M315&amp;" "&amp;N315&amp;" "&amp;T315))),ISNUMBER(SEARCH("banking",LOWER(F315&amp;" "&amp;H315&amp;" "&amp;I315&amp;" "&amp;M315&amp;" "&amp;N315&amp;" "&amp;T315)))),"PRIVATE_QUARANTINE",IF(OR(ISNUMBER(SEARCH("treasury",LOWER(F315&amp;" "&amp;H315&amp;" "&amp;I315&amp;" "&amp;M315&amp;" "&amp;N315&amp;" "&amp;T315))),ISNUMBER(SEARCH("debt",LOWER(F315&amp;" "&amp;H315&amp;" "&amp;I315&amp;" "&amp;M315&amp;" "&amp;N315&amp;" "&amp;T315))),ISNUMBER(SEARCH("bond",LOWER(F315&amp;" "&amp;H315&amp;" "&amp;I315&amp;" "&amp;M315&amp;" "&amp;N315&amp;" "&amp;T315))),ISNUMBER(SEARCH("transaction",LOWER(F315&amp;" "&amp;H315&amp;" "&amp;I315&amp;" "&amp;M315&amp;" "&amp;N315&amp;" "&amp;T315)))),"PRIVATE_REVIEW","PUBLIC_CANDIDATE"))</x:f>
        <x:v>PUBLIC_CANDIDATE</x:v>
      </x:c>
      <x:c r="AD315" s="12" t="str">
        <x:f>IF(AC315="PRIVATE_QUARANTINE","hacker_or_bank_trigger",IF(AC315="PRIVATE_REVIEW","finance_risk_trigger","none"))</x:f>
        <x:v>none</x:v>
      </x:c>
      <x:c r="AE315" s="12" t="str">
        <x:f>IF(AC315="PUBLIC_CANDIDATE","prepare_public_github_candidate",IF(AC315="PRIVATE_REVIEW","hold_for_private_review","quarantine_private_do_not_publish"))</x:f>
        <x:v>prepare_public_github_candidate</x:v>
      </x:c>
      <x:c r="AF315" s="12" t="str">
        <x:f>IF(AC315="PUBLIC_CANDIDATE","TIDELOCK + Lucerna",IF(AC315="PRIVATE_REVIEW","AtlasBrain + Lucerna","TIDELOCK + Lucerna + Human-root"))</x:f>
        <x:v>TIDELOCK + Lucerna</x:v>
      </x:c>
      <x:c r="AG315" s="12" t="str">
        <x:f>IF(AND(AC315="PUBLIC_CANDIDATE",U315&lt;&gt;"BLOCKED_PENDING_RECEIPT"),"READY_AFTER_RECEIPT","NOT_READY")</x:f>
        <x:v>NOT_READY</x:v>
      </x:c>
      <x:c r="AH315" s="12" t="str">
        <x:f>IF(AC315="PUBLIC_CANDIDATE","none",AD315)</x:f>
        <x:v>none</x:v>
      </x:c>
      <x:c r="AI315" s="12" t="str">
        <x:f>IF(AC315="PUBLIC_CANDIDATE","archive/public_candidates/"&amp;A315,"private_quarantine/"&amp;A315)</x:f>
        <x:v>archive/public_candidates/SWARM-03-H03-S02</x:v>
      </x:c>
      <x:c r="AJ315" s="12" t="str">
        <x:f>IF(AC315="PUBLIC_CANDIDATE","public by default; still not canon","private/hold; do not publish")</x:f>
        <x:v>public by default; still not canon</x:v>
      </x:c>
      <x:c r="AK315" s="12" t="str">
        <x:f>IF(AE315="prepare_public_github_candidate","add receipt/status then mirror","resolve blocker before any public GitHub action")</x:f>
        <x:v>add receipt/status then mirror</x:v>
      </x:c>
    </x:row>
    <x:row r="316">
      <x:c r="A316" s="15" t="str">
        <x:v>SWARM-03-H03-S03</x:v>
      </x:c>
      <x:c r="B316" s="15" t="str">
        <x:v>KairoBrain</x:v>
      </x:c>
      <x:c r="C316" s="15" t="str">
        <x:v>Temporal strata keeper</x:v>
      </x:c>
      <x:c r="D316" s="15" t="str">
        <x:v>Raw Export Recovery</x:v>
      </x:c>
      <x:c r="E316" s="15" t="str">
        <x:v>GitHub</x:v>
      </x:c>
      <x:c r="F316" s="15" t="str">
        <x:v>Recover raw exports for GitHub — KairoBrain</x:v>
      </x:c>
      <x:c r="G316" s="15" t="str">
        <x:v>staleness / versioning / supersession</x:v>
      </x:c>
      <x:c r="H316" s="15" t="str">
        <x:v>source path + receipt + raw/export status + claim/edge/risk delta</x:v>
      </x:c>
      <x:c r="I316" s="15" t="str">
        <x:v>packet/SWARM-03-H03-S03</x:v>
      </x:c>
      <x:c r="J316" s="15" t="str">
        <x:v>TODO</x:v>
      </x:c>
      <x:c r="K316" s="15" t="str">
        <x:v>P0</x:v>
      </x:c>
      <x:c r="L316" s="15" t="str">
        <x:v>Done only when evidence is logged, contradiction search is noted, and boundary stamp remains non-canon unless ratified</x:v>
      </x:c>
      <x:c r="M316" s="15" t="str">
        <x:v>candidate / staging-only / not canon / not deployed / authority none</x:v>
      </x:c>
      <x:c r="N316" s="15" t="str">
        <x:v>Dispatch to KairoBrain: complete Raw Export Recovery x GitHub; return deltas only, receipts required.</x:v>
      </x:c>
      <x:c r="O316" s="15" t="str">
        <x:v>AF-KG-H03-S03</x:v>
      </x:c>
      <x:c r="P316" s="15" t="str">
        <x:v>Unverified</x:v>
      </x:c>
      <x:c r="Q316" s="15" t="str">
        <x:v>Not checked</x:v>
      </x:c>
      <x:c r="R316" s="15" t="str"/>
      <x:c r="S316" s="15" t="str"/>
      <x:c r="T316" s="15" t="str">
        <x:v>Log first source path or blocker</x:v>
      </x:c>
      <x:c r="U316" s="12" t="str">
        <x:f>IF(OR(P316="Unverified",Q316="Not checked"),"BLOCKED_PENDING_RECEIPT","READY_FOR_REVIEW")</x:f>
        <x:v>BLOCKED_PENDING_RECEIPT</x:v>
      </x:c>
      <x:c r="V316" s="12" t="str">
        <x:f>IF(J316="DONE","RETURNED",IF(U316="BLOCKED_PENDING_RECEIPT","SOURCE_TOUCH_REQUIRED","IN_PROGRESS"))</x:f>
        <x:v>SOURCE_TOUCH_REQUIRED</x:v>
      </x:c>
      <x:c r="W316" s="12" t="str">
        <x:f>IF(P316="Unverified","missing_receipt","receipt_logged")</x:f>
        <x:v>missing_receipt</x:v>
      </x:c>
      <x:c r="X316" s="12" t="str">
        <x:f>IF(Q316="Not checked","raw_status_missing","raw_status_logged")</x:f>
        <x:v>raw_status_missing</x:v>
      </x:c>
      <x:c r="Y316" s="12" t="str">
        <x:f>IF(U316="BLOCKED_PENDING_RECEIPT","Log source path or blocker; do not promote","Route to review lane")</x:f>
        <x:v>Log source path or blocker; do not promote</x:v>
      </x:c>
      <x:c r="Z316" s="12" t="str">
        <x:f>IF(K316="P0","Primary seat + Hashlight/Lucerna","Seat lane")</x:f>
        <x:v>Primary seat + Hashlight/Lucerna</x:v>
      </x:c>
      <x:c r="AA316" s="12" t="str">
        <x:f>IF(R316="","no_claim_delta","claim_delta_present")</x:f>
        <x:v>no_claim_delta</x:v>
      </x:c>
      <x:c r="AB316" s="12" t="str">
        <x:f>IF(S316="","no_contradiction_delta","contradiction_delta_present")</x:f>
        <x:v>no_contradiction_delta</x:v>
      </x:c>
      <x:c r="AC316" s="12" t="str">
        <x:f>IF(OR(ISNUMBER(SEARCH("hacker",LOWER(F316&amp;" "&amp;H316&amp;" "&amp;I316&amp;" "&amp;M316&amp;" "&amp;N316&amp;" "&amp;T316))),ISNUMBER(SEARCH("hacking",LOWER(F316&amp;" "&amp;H316&amp;" "&amp;I316&amp;" "&amp;M316&amp;" "&amp;N316&amp;" "&amp;T316))),ISNUMBER(SEARCH("bank",LOWER(F316&amp;" "&amp;H316&amp;" "&amp;I316&amp;" "&amp;M316&amp;" "&amp;N316&amp;" "&amp;T316))),ISNUMBER(SEARCH("banking",LOWER(F316&amp;" "&amp;H316&amp;" "&amp;I316&amp;" "&amp;M316&amp;" "&amp;N316&amp;" "&amp;T316)))),"PRIVATE_QUARANTINE",IF(OR(ISNUMBER(SEARCH("treasury",LOWER(F316&amp;" "&amp;H316&amp;" "&amp;I316&amp;" "&amp;M316&amp;" "&amp;N316&amp;" "&amp;T316))),ISNUMBER(SEARCH("debt",LOWER(F316&amp;" "&amp;H316&amp;" "&amp;I316&amp;" "&amp;M316&amp;" "&amp;N316&amp;" "&amp;T316))),ISNUMBER(SEARCH("bond",LOWER(F316&amp;" "&amp;H316&amp;" "&amp;I316&amp;" "&amp;M316&amp;" "&amp;N316&amp;" "&amp;T316))),ISNUMBER(SEARCH("transaction",LOWER(F316&amp;" "&amp;H316&amp;" "&amp;I316&amp;" "&amp;M316&amp;" "&amp;N316&amp;" "&amp;T316)))),"PRIVATE_REVIEW","PUBLIC_CANDIDATE"))</x:f>
        <x:v>PUBLIC_CANDIDATE</x:v>
      </x:c>
      <x:c r="AD316" s="12" t="str">
        <x:f>IF(AC316="PRIVATE_QUARANTINE","hacker_or_bank_trigger",IF(AC316="PRIVATE_REVIEW","finance_risk_trigger","none"))</x:f>
        <x:v>none</x:v>
      </x:c>
      <x:c r="AE316" s="12" t="str">
        <x:f>IF(AC316="PUBLIC_CANDIDATE","prepare_public_github_candidate",IF(AC316="PRIVATE_REVIEW","hold_for_private_review","quarantine_private_do_not_publish"))</x:f>
        <x:v>prepare_public_github_candidate</x:v>
      </x:c>
      <x:c r="AF316" s="12" t="str">
        <x:f>IF(AC316="PUBLIC_CANDIDATE","TIDELOCK + Lucerna",IF(AC316="PRIVATE_REVIEW","AtlasBrain + Lucerna","TIDELOCK + Lucerna + Human-root"))</x:f>
        <x:v>TIDELOCK + Lucerna</x:v>
      </x:c>
      <x:c r="AG316" s="12" t="str">
        <x:f>IF(AND(AC316="PUBLIC_CANDIDATE",U316&lt;&gt;"BLOCKED_PENDING_RECEIPT"),"READY_AFTER_RECEIPT","NOT_READY")</x:f>
        <x:v>NOT_READY</x:v>
      </x:c>
      <x:c r="AH316" s="12" t="str">
        <x:f>IF(AC316="PUBLIC_CANDIDATE","none",AD316)</x:f>
        <x:v>none</x:v>
      </x:c>
      <x:c r="AI316" s="12" t="str">
        <x:f>IF(AC316="PUBLIC_CANDIDATE","archive/public_candidates/"&amp;A316,"private_quarantine/"&amp;A316)</x:f>
        <x:v>archive/public_candidates/SWARM-03-H03-S03</x:v>
      </x:c>
      <x:c r="AJ316" s="12" t="str">
        <x:f>IF(AC316="PUBLIC_CANDIDATE","public by default; still not canon","private/hold; do not publish")</x:f>
        <x:v>public by default; still not canon</x:v>
      </x:c>
      <x:c r="AK316" s="12" t="str">
        <x:f>IF(AE316="prepare_public_github_candidate","add receipt/status then mirror","resolve blocker before any public GitHub action")</x:f>
        <x:v>add receipt/status then mirror</x:v>
      </x:c>
    </x:row>
    <x:row r="317">
      <x:c r="A317" s="15" t="str">
        <x:v>SWARM-03-H03-S04</x:v>
      </x:c>
      <x:c r="B317" s="15" t="str">
        <x:v>KairoBrain</x:v>
      </x:c>
      <x:c r="C317" s="15" t="str">
        <x:v>Temporal strata keeper</x:v>
      </x:c>
      <x:c r="D317" s="15" t="str">
        <x:v>Raw Export Recovery</x:v>
      </x:c>
      <x:c r="E317" s="15" t="str">
        <x:v>Gamma</x:v>
      </x:c>
      <x:c r="F317" s="15" t="str">
        <x:v>Recover raw exports for Gamma — KairoBrain</x:v>
      </x:c>
      <x:c r="G317" s="15" t="str">
        <x:v>staleness / versioning / supersession</x:v>
      </x:c>
      <x:c r="H317" s="15" t="str">
        <x:v>source path + receipt + raw/export status + claim/edge/risk delta</x:v>
      </x:c>
      <x:c r="I317" s="15" t="str">
        <x:v>packet/SWARM-03-H03-S04</x:v>
      </x:c>
      <x:c r="J317" s="15" t="str">
        <x:v>TODO</x:v>
      </x:c>
      <x:c r="K317" s="15" t="str">
        <x:v>P1</x:v>
      </x:c>
      <x:c r="L317" s="15" t="str">
        <x:v>Done only when evidence is logged, contradiction search is noted, and boundary stamp remains non-canon unless ratified</x:v>
      </x:c>
      <x:c r="M317" s="15" t="str">
        <x:v>candidate / staging-only / not canon / not deployed / authority none</x:v>
      </x:c>
      <x:c r="N317" s="15" t="str">
        <x:v>Dispatch to KairoBrain: complete Raw Export Recovery x Gamma; return deltas only, receipts required.</x:v>
      </x:c>
      <x:c r="O317" s="15" t="str">
        <x:v>AF-KG-H03-S04</x:v>
      </x:c>
      <x:c r="P317" s="15" t="str">
        <x:v>Unverified</x:v>
      </x:c>
      <x:c r="Q317" s="15" t="str">
        <x:v>Not checked</x:v>
      </x:c>
      <x:c r="R317" s="15" t="str"/>
      <x:c r="S317" s="15" t="str"/>
      <x:c r="T317" s="15" t="str">
        <x:v>Log first source path or blocker</x:v>
      </x:c>
      <x:c r="U317" s="12" t="str">
        <x:f>IF(OR(P317="Unverified",Q317="Not checked"),"BLOCKED_PENDING_RECEIPT","READY_FOR_REVIEW")</x:f>
        <x:v>BLOCKED_PENDING_RECEIPT</x:v>
      </x:c>
      <x:c r="V317" s="12" t="str">
        <x:f>IF(J317="DONE","RETURNED",IF(U317="BLOCKED_PENDING_RECEIPT","SOURCE_TOUCH_REQUIRED","IN_PROGRESS"))</x:f>
        <x:v>SOURCE_TOUCH_REQUIRED</x:v>
      </x:c>
      <x:c r="W317" s="12" t="str">
        <x:f>IF(P317="Unverified","missing_receipt","receipt_logged")</x:f>
        <x:v>missing_receipt</x:v>
      </x:c>
      <x:c r="X317" s="12" t="str">
        <x:f>IF(Q317="Not checked","raw_status_missing","raw_status_logged")</x:f>
        <x:v>raw_status_missing</x:v>
      </x:c>
      <x:c r="Y317" s="12" t="str">
        <x:f>IF(U317="BLOCKED_PENDING_RECEIPT","Log source path or blocker; do not promote","Route to review lane")</x:f>
        <x:v>Log source path or blocker; do not promote</x:v>
      </x:c>
      <x:c r="Z317" s="12" t="str">
        <x:f>IF(K317="P0","Primary seat + Hashlight/Lucerna","Seat lane")</x:f>
        <x:v>Seat lane</x:v>
      </x:c>
      <x:c r="AA317" s="12" t="str">
        <x:f>IF(R317="","no_claim_delta","claim_delta_present")</x:f>
        <x:v>no_claim_delta</x:v>
      </x:c>
      <x:c r="AB317" s="12" t="str">
        <x:f>IF(S317="","no_contradiction_delta","contradiction_delta_present")</x:f>
        <x:v>no_contradiction_delta</x:v>
      </x:c>
      <x:c r="AC317" s="12" t="str">
        <x:f>IF(OR(ISNUMBER(SEARCH("hacker",LOWER(F317&amp;" "&amp;H317&amp;" "&amp;I317&amp;" "&amp;M317&amp;" "&amp;N317&amp;" "&amp;T317))),ISNUMBER(SEARCH("hacking",LOWER(F317&amp;" "&amp;H317&amp;" "&amp;I317&amp;" "&amp;M317&amp;" "&amp;N317&amp;" "&amp;T317))),ISNUMBER(SEARCH("bank",LOWER(F317&amp;" "&amp;H317&amp;" "&amp;I317&amp;" "&amp;M317&amp;" "&amp;N317&amp;" "&amp;T317))),ISNUMBER(SEARCH("banking",LOWER(F317&amp;" "&amp;H317&amp;" "&amp;I317&amp;" "&amp;M317&amp;" "&amp;N317&amp;" "&amp;T317)))),"PRIVATE_QUARANTINE",IF(OR(ISNUMBER(SEARCH("treasury",LOWER(F317&amp;" "&amp;H317&amp;" "&amp;I317&amp;" "&amp;M317&amp;" "&amp;N317&amp;" "&amp;T317))),ISNUMBER(SEARCH("debt",LOWER(F317&amp;" "&amp;H317&amp;" "&amp;I317&amp;" "&amp;M317&amp;" "&amp;N317&amp;" "&amp;T317))),ISNUMBER(SEARCH("bond",LOWER(F317&amp;" "&amp;H317&amp;" "&amp;I317&amp;" "&amp;M317&amp;" "&amp;N317&amp;" "&amp;T317))),ISNUMBER(SEARCH("transaction",LOWER(F317&amp;" "&amp;H317&amp;" "&amp;I317&amp;" "&amp;M317&amp;" "&amp;N317&amp;" "&amp;T317)))),"PRIVATE_REVIEW","PUBLIC_CANDIDATE"))</x:f>
        <x:v>PUBLIC_CANDIDATE</x:v>
      </x:c>
      <x:c r="AD317" s="12" t="str">
        <x:f>IF(AC317="PRIVATE_QUARANTINE","hacker_or_bank_trigger",IF(AC317="PRIVATE_REVIEW","finance_risk_trigger","none"))</x:f>
        <x:v>none</x:v>
      </x:c>
      <x:c r="AE317" s="12" t="str">
        <x:f>IF(AC317="PUBLIC_CANDIDATE","prepare_public_github_candidate",IF(AC317="PRIVATE_REVIEW","hold_for_private_review","quarantine_private_do_not_publish"))</x:f>
        <x:v>prepare_public_github_candidate</x:v>
      </x:c>
      <x:c r="AF317" s="12" t="str">
        <x:f>IF(AC317="PUBLIC_CANDIDATE","TIDELOCK + Lucerna",IF(AC317="PRIVATE_REVIEW","AtlasBrain + Lucerna","TIDELOCK + Lucerna + Human-root"))</x:f>
        <x:v>TIDELOCK + Lucerna</x:v>
      </x:c>
      <x:c r="AG317" s="12" t="str">
        <x:f>IF(AND(AC317="PUBLIC_CANDIDATE",U317&lt;&gt;"BLOCKED_PENDING_RECEIPT"),"READY_AFTER_RECEIPT","NOT_READY")</x:f>
        <x:v>NOT_READY</x:v>
      </x:c>
      <x:c r="AH317" s="12" t="str">
        <x:f>IF(AC317="PUBLIC_CANDIDATE","none",AD317)</x:f>
        <x:v>none</x:v>
      </x:c>
      <x:c r="AI317" s="12" t="str">
        <x:f>IF(AC317="PUBLIC_CANDIDATE","archive/public_candidates/"&amp;A317,"private_quarantine/"&amp;A317)</x:f>
        <x:v>archive/public_candidates/SWARM-03-H03-S04</x:v>
      </x:c>
      <x:c r="AJ317" s="12" t="str">
        <x:f>IF(AC317="PUBLIC_CANDIDATE","public by default; still not canon","private/hold; do not publish")</x:f>
        <x:v>public by default; still not canon</x:v>
      </x:c>
      <x:c r="AK317" s="12" t="str">
        <x:f>IF(AE317="prepare_public_github_candidate","add receipt/status then mirror","resolve blocker before any public GitHub action")</x:f>
        <x:v>add receipt/status then mirror</x:v>
      </x:c>
    </x:row>
    <x:row r="318">
      <x:c r="A318" s="15" t="str">
        <x:v>SWARM-03-H03-S05</x:v>
      </x:c>
      <x:c r="B318" s="15" t="str">
        <x:v>KairoBrain</x:v>
      </x:c>
      <x:c r="C318" s="15" t="str">
        <x:v>Temporal strata keeper</x:v>
      </x:c>
      <x:c r="D318" s="15" t="str">
        <x:v>Raw Export Recovery</x:v>
      </x:c>
      <x:c r="E318" s="15" t="str">
        <x:v>Chat</x:v>
      </x:c>
      <x:c r="F318" s="15" t="str">
        <x:v>Recover raw exports for Chat — KairoBrain</x:v>
      </x:c>
      <x:c r="G318" s="15" t="str">
        <x:v>staleness / versioning / supersession</x:v>
      </x:c>
      <x:c r="H318" s="15" t="str">
        <x:v>source path + receipt + raw/export status + claim/edge/risk delta</x:v>
      </x:c>
      <x:c r="I318" s="15" t="str">
        <x:v>packet/SWARM-03-H03-S05</x:v>
      </x:c>
      <x:c r="J318" s="15" t="str">
        <x:v>TODO</x:v>
      </x:c>
      <x:c r="K318" s="15" t="str">
        <x:v>P1</x:v>
      </x:c>
      <x:c r="L318" s="15" t="str">
        <x:v>Done only when evidence is logged, contradiction search is noted, and boundary stamp remains non-canon unless ratified</x:v>
      </x:c>
      <x:c r="M318" s="15" t="str">
        <x:v>candidate / staging-only / not canon / not deployed / authority none</x:v>
      </x:c>
      <x:c r="N318" s="15" t="str">
        <x:v>Dispatch to KairoBrain: complete Raw Export Recovery x Chat; return deltas only, receipts required.</x:v>
      </x:c>
      <x:c r="O318" s="15" t="str">
        <x:v>AF-KG-H03-S05</x:v>
      </x:c>
      <x:c r="P318" s="15" t="str">
        <x:v>Unverified</x:v>
      </x:c>
      <x:c r="Q318" s="15" t="str">
        <x:v>Not checked</x:v>
      </x:c>
      <x:c r="R318" s="15" t="str"/>
      <x:c r="S318" s="15" t="str"/>
      <x:c r="T318" s="15" t="str">
        <x:v>Log first source path or blocker</x:v>
      </x:c>
      <x:c r="U318" s="12" t="str">
        <x:f>IF(OR(P318="Unverified",Q318="Not checked"),"BLOCKED_PENDING_RECEIPT","READY_FOR_REVIEW")</x:f>
        <x:v>BLOCKED_PENDING_RECEIPT</x:v>
      </x:c>
      <x:c r="V318" s="12" t="str">
        <x:f>IF(J318="DONE","RETURNED",IF(U318="BLOCKED_PENDING_RECEIPT","SOURCE_TOUCH_REQUIRED","IN_PROGRESS"))</x:f>
        <x:v>SOURCE_TOUCH_REQUIRED</x:v>
      </x:c>
      <x:c r="W318" s="12" t="str">
        <x:f>IF(P318="Unverified","missing_receipt","receipt_logged")</x:f>
        <x:v>missing_receipt</x:v>
      </x:c>
      <x:c r="X318" s="12" t="str">
        <x:f>IF(Q318="Not checked","raw_status_missing","raw_status_logged")</x:f>
        <x:v>raw_status_missing</x:v>
      </x:c>
      <x:c r="Y318" s="12" t="str">
        <x:f>IF(U318="BLOCKED_PENDING_RECEIPT","Log source path or blocker; do not promote","Route to review lane")</x:f>
        <x:v>Log source path or blocker; do not promote</x:v>
      </x:c>
      <x:c r="Z318" s="12" t="str">
        <x:f>IF(K318="P0","Primary seat + Hashlight/Lucerna","Seat lane")</x:f>
        <x:v>Seat lane</x:v>
      </x:c>
      <x:c r="AA318" s="12" t="str">
        <x:f>IF(R318="","no_claim_delta","claim_delta_present")</x:f>
        <x:v>no_claim_delta</x:v>
      </x:c>
      <x:c r="AB318" s="12" t="str">
        <x:f>IF(S318="","no_contradiction_delta","contradiction_delta_present")</x:f>
        <x:v>no_contradiction_delta</x:v>
      </x:c>
      <x:c r="AC318" s="12" t="str">
        <x:f>IF(OR(ISNUMBER(SEARCH("hacker",LOWER(F318&amp;" "&amp;H318&amp;" "&amp;I318&amp;" "&amp;M318&amp;" "&amp;N318&amp;" "&amp;T318))),ISNUMBER(SEARCH("hacking",LOWER(F318&amp;" "&amp;H318&amp;" "&amp;I318&amp;" "&amp;M318&amp;" "&amp;N318&amp;" "&amp;T318))),ISNUMBER(SEARCH("bank",LOWER(F318&amp;" "&amp;H318&amp;" "&amp;I318&amp;" "&amp;M318&amp;" "&amp;N318&amp;" "&amp;T318))),ISNUMBER(SEARCH("banking",LOWER(F318&amp;" "&amp;H318&amp;" "&amp;I318&amp;" "&amp;M318&amp;" "&amp;N318&amp;" "&amp;T318)))),"PRIVATE_QUARANTINE",IF(OR(ISNUMBER(SEARCH("treasury",LOWER(F318&amp;" "&amp;H318&amp;" "&amp;I318&amp;" "&amp;M318&amp;" "&amp;N318&amp;" "&amp;T318))),ISNUMBER(SEARCH("debt",LOWER(F318&amp;" "&amp;H318&amp;" "&amp;I318&amp;" "&amp;M318&amp;" "&amp;N318&amp;" "&amp;T318))),ISNUMBER(SEARCH("bond",LOWER(F318&amp;" "&amp;H318&amp;" "&amp;I318&amp;" "&amp;M318&amp;" "&amp;N318&amp;" "&amp;T318))),ISNUMBER(SEARCH("transaction",LOWER(F318&amp;" "&amp;H318&amp;" "&amp;I318&amp;" "&amp;M318&amp;" "&amp;N318&amp;" "&amp;T318)))),"PRIVATE_REVIEW","PUBLIC_CANDIDATE"))</x:f>
        <x:v>PUBLIC_CANDIDATE</x:v>
      </x:c>
      <x:c r="AD318" s="12" t="str">
        <x:f>IF(AC318="PRIVATE_QUARANTINE","hacker_or_bank_trigger",IF(AC318="PRIVATE_REVIEW","finance_risk_trigger","none"))</x:f>
        <x:v>none</x:v>
      </x:c>
      <x:c r="AE318" s="12" t="str">
        <x:f>IF(AC318="PUBLIC_CANDIDATE","prepare_public_github_candidate",IF(AC318="PRIVATE_REVIEW","hold_for_private_review","quarantine_private_do_not_publish"))</x:f>
        <x:v>prepare_public_github_candidate</x:v>
      </x:c>
      <x:c r="AF318" s="12" t="str">
        <x:f>IF(AC318="PUBLIC_CANDIDATE","TIDELOCK + Lucerna",IF(AC318="PRIVATE_REVIEW","AtlasBrain + Lucerna","TIDELOCK + Lucerna + Human-root"))</x:f>
        <x:v>TIDELOCK + Lucerna</x:v>
      </x:c>
      <x:c r="AG318" s="12" t="str">
        <x:f>IF(AND(AC318="PUBLIC_CANDIDATE",U318&lt;&gt;"BLOCKED_PENDING_RECEIPT"),"READY_AFTER_RECEIPT","NOT_READY")</x:f>
        <x:v>NOT_READY</x:v>
      </x:c>
      <x:c r="AH318" s="12" t="str">
        <x:f>IF(AC318="PUBLIC_CANDIDATE","none",AD318)</x:f>
        <x:v>none</x:v>
      </x:c>
      <x:c r="AI318" s="12" t="str">
        <x:f>IF(AC318="PUBLIC_CANDIDATE","archive/public_candidates/"&amp;A318,"private_quarantine/"&amp;A318)</x:f>
        <x:v>archive/public_candidates/SWARM-03-H03-S05</x:v>
      </x:c>
      <x:c r="AJ318" s="12" t="str">
        <x:f>IF(AC318="PUBLIC_CANDIDATE","public by default; still not canon","private/hold; do not publish")</x:f>
        <x:v>public by default; still not canon</x:v>
      </x:c>
      <x:c r="AK318" s="12" t="str">
        <x:f>IF(AE318="prepare_public_github_candidate","add receipt/status then mirror","resolve blocker before any public GitHub action")</x:f>
        <x:v>add receipt/status then mirror</x:v>
      </x:c>
    </x:row>
    <x:row r="319">
      <x:c r="A319" s="15" t="str">
        <x:v>SWARM-03-H03-S06</x:v>
      </x:c>
      <x:c r="B319" s="15" t="str">
        <x:v>KairoBrain</x:v>
      </x:c>
      <x:c r="C319" s="15" t="str">
        <x:v>Temporal strata keeper</x:v>
      </x:c>
      <x:c r="D319" s="15" t="str">
        <x:v>Raw Export Recovery</x:v>
      </x:c>
      <x:c r="E319" s="15" t="str">
        <x:v>External Web</x:v>
      </x:c>
      <x:c r="F319" s="15" t="str">
        <x:v>Recover raw exports for External Web — KairoBrain</x:v>
      </x:c>
      <x:c r="G319" s="15" t="str">
        <x:v>staleness / versioning / supersession</x:v>
      </x:c>
      <x:c r="H319" s="15" t="str">
        <x:v>source path + receipt + raw/export status + claim/edge/risk delta</x:v>
      </x:c>
      <x:c r="I319" s="15" t="str">
        <x:v>packet/SWARM-03-H03-S06</x:v>
      </x:c>
      <x:c r="J319" s="15" t="str">
        <x:v>TODO</x:v>
      </x:c>
      <x:c r="K319" s="15" t="str">
        <x:v>P1</x:v>
      </x:c>
      <x:c r="L319" s="15" t="str">
        <x:v>Done only when evidence is logged, contradiction search is noted, and boundary stamp remains non-canon unless ratified</x:v>
      </x:c>
      <x:c r="M319" s="15" t="str">
        <x:v>candidate / staging-only / not canon / not deployed / authority none</x:v>
      </x:c>
      <x:c r="N319" s="15" t="str">
        <x:v>Dispatch to KairoBrain: complete Raw Export Recovery x External Web; return deltas only, receipts required.</x:v>
      </x:c>
      <x:c r="O319" s="15" t="str">
        <x:v>AF-KG-H03-S06</x:v>
      </x:c>
      <x:c r="P319" s="15" t="str">
        <x:v>Unverified</x:v>
      </x:c>
      <x:c r="Q319" s="15" t="str">
        <x:v>Not checked</x:v>
      </x:c>
      <x:c r="R319" s="15" t="str"/>
      <x:c r="S319" s="15" t="str"/>
      <x:c r="T319" s="15" t="str">
        <x:v>Log first source path or blocker</x:v>
      </x:c>
      <x:c r="U319" s="12" t="str">
        <x:f>IF(OR(P319="Unverified",Q319="Not checked"),"BLOCKED_PENDING_RECEIPT","READY_FOR_REVIEW")</x:f>
        <x:v>BLOCKED_PENDING_RECEIPT</x:v>
      </x:c>
      <x:c r="V319" s="12" t="str">
        <x:f>IF(J319="DONE","RETURNED",IF(U319="BLOCKED_PENDING_RECEIPT","SOURCE_TOUCH_REQUIRED","IN_PROGRESS"))</x:f>
        <x:v>SOURCE_TOUCH_REQUIRED</x:v>
      </x:c>
      <x:c r="W319" s="12" t="str">
        <x:f>IF(P319="Unverified","missing_receipt","receipt_logged")</x:f>
        <x:v>missing_receipt</x:v>
      </x:c>
      <x:c r="X319" s="12" t="str">
        <x:f>IF(Q319="Not checked","raw_status_missing","raw_status_logged")</x:f>
        <x:v>raw_status_missing</x:v>
      </x:c>
      <x:c r="Y319" s="12" t="str">
        <x:f>IF(U319="BLOCKED_PENDING_RECEIPT","Log source path or blocker; do not promote","Route to review lane")</x:f>
        <x:v>Log source path or blocker; do not promote</x:v>
      </x:c>
      <x:c r="Z319" s="12" t="str">
        <x:f>IF(K319="P0","Primary seat + Hashlight/Lucerna","Seat lane")</x:f>
        <x:v>Seat lane</x:v>
      </x:c>
      <x:c r="AA319" s="12" t="str">
        <x:f>IF(R319="","no_claim_delta","claim_delta_present")</x:f>
        <x:v>no_claim_delta</x:v>
      </x:c>
      <x:c r="AB319" s="12" t="str">
        <x:f>IF(S319="","no_contradiction_delta","contradiction_delta_present")</x:f>
        <x:v>no_contradiction_delta</x:v>
      </x:c>
      <x:c r="AC319" s="12" t="str">
        <x:f>IF(OR(ISNUMBER(SEARCH("hacker",LOWER(F319&amp;" "&amp;H319&amp;" "&amp;I319&amp;" "&amp;M319&amp;" "&amp;N319&amp;" "&amp;T319))),ISNUMBER(SEARCH("hacking",LOWER(F319&amp;" "&amp;H319&amp;" "&amp;I319&amp;" "&amp;M319&amp;" "&amp;N319&amp;" "&amp;T319))),ISNUMBER(SEARCH("bank",LOWER(F319&amp;" "&amp;H319&amp;" "&amp;I319&amp;" "&amp;M319&amp;" "&amp;N319&amp;" "&amp;T319))),ISNUMBER(SEARCH("banking",LOWER(F319&amp;" "&amp;H319&amp;" "&amp;I319&amp;" "&amp;M319&amp;" "&amp;N319&amp;" "&amp;T319)))),"PRIVATE_QUARANTINE",IF(OR(ISNUMBER(SEARCH("treasury",LOWER(F319&amp;" "&amp;H319&amp;" "&amp;I319&amp;" "&amp;M319&amp;" "&amp;N319&amp;" "&amp;T319))),ISNUMBER(SEARCH("debt",LOWER(F319&amp;" "&amp;H319&amp;" "&amp;I319&amp;" "&amp;M319&amp;" "&amp;N319&amp;" "&amp;T319))),ISNUMBER(SEARCH("bond",LOWER(F319&amp;" "&amp;H319&amp;" "&amp;I319&amp;" "&amp;M319&amp;" "&amp;N319&amp;" "&amp;T319))),ISNUMBER(SEARCH("transaction",LOWER(F319&amp;" "&amp;H319&amp;" "&amp;I319&amp;" "&amp;M319&amp;" "&amp;N319&amp;" "&amp;T319)))),"PRIVATE_REVIEW","PUBLIC_CANDIDATE"))</x:f>
        <x:v>PUBLIC_CANDIDATE</x:v>
      </x:c>
      <x:c r="AD319" s="12" t="str">
        <x:f>IF(AC319="PRIVATE_QUARANTINE","hacker_or_bank_trigger",IF(AC319="PRIVATE_REVIEW","finance_risk_trigger","none"))</x:f>
        <x:v>none</x:v>
      </x:c>
      <x:c r="AE319" s="12" t="str">
        <x:f>IF(AC319="PUBLIC_CANDIDATE","prepare_public_github_candidate",IF(AC319="PRIVATE_REVIEW","hold_for_private_review","quarantine_private_do_not_publish"))</x:f>
        <x:v>prepare_public_github_candidate</x:v>
      </x:c>
      <x:c r="AF319" s="12" t="str">
        <x:f>IF(AC319="PUBLIC_CANDIDATE","TIDELOCK + Lucerna",IF(AC319="PRIVATE_REVIEW","AtlasBrain + Lucerna","TIDELOCK + Lucerna + Human-root"))</x:f>
        <x:v>TIDELOCK + Lucerna</x:v>
      </x:c>
      <x:c r="AG319" s="12" t="str">
        <x:f>IF(AND(AC319="PUBLIC_CANDIDATE",U319&lt;&gt;"BLOCKED_PENDING_RECEIPT"),"READY_AFTER_RECEIPT","NOT_READY")</x:f>
        <x:v>NOT_READY</x:v>
      </x:c>
      <x:c r="AH319" s="12" t="str">
        <x:f>IF(AC319="PUBLIC_CANDIDATE","none",AD319)</x:f>
        <x:v>none</x:v>
      </x:c>
      <x:c r="AI319" s="12" t="str">
        <x:f>IF(AC319="PUBLIC_CANDIDATE","archive/public_candidates/"&amp;A319,"private_quarantine/"&amp;A319)</x:f>
        <x:v>archive/public_candidates/SWARM-03-H03-S06</x:v>
      </x:c>
      <x:c r="AJ319" s="12" t="str">
        <x:f>IF(AC319="PUBLIC_CANDIDATE","public by default; still not canon","private/hold; do not publish")</x:f>
        <x:v>public by default; still not canon</x:v>
      </x:c>
      <x:c r="AK319" s="12" t="str">
        <x:f>IF(AE319="prepare_public_github_candidate","add receipt/status then mirror","resolve blocker before any public GitHub action")</x:f>
        <x:v>add receipt/status then mirror</x:v>
      </x:c>
    </x:row>
    <x:row r="320">
      <x:c r="A320" s="15" t="str">
        <x:v>SWARM-03-H03-S07</x:v>
      </x:c>
      <x:c r="B320" s="15" t="str">
        <x:v>KairoBrain</x:v>
      </x:c>
      <x:c r="C320" s="15" t="str">
        <x:v>Temporal strata keeper</x:v>
      </x:c>
      <x:c r="D320" s="15" t="str">
        <x:v>Raw Export Recovery</x:v>
      </x:c>
      <x:c r="E320" s="15" t="str">
        <x:v>Planetarium</x:v>
      </x:c>
      <x:c r="F320" s="15" t="str">
        <x:v>Recover raw exports for Planetarium — KairoBrain</x:v>
      </x:c>
      <x:c r="G320" s="15" t="str">
        <x:v>staleness / versioning / supersession</x:v>
      </x:c>
      <x:c r="H320" s="15" t="str">
        <x:v>source path + receipt + raw/export status + claim/edge/risk delta</x:v>
      </x:c>
      <x:c r="I320" s="15" t="str">
        <x:v>packet/SWARM-03-H03-S07</x:v>
      </x:c>
      <x:c r="J320" s="15" t="str">
        <x:v>TODO</x:v>
      </x:c>
      <x:c r="K320" s="15" t="str">
        <x:v>P1</x:v>
      </x:c>
      <x:c r="L320" s="15" t="str">
        <x:v>Done only when evidence is logged, contradiction search is noted, and boundary stamp remains non-canon unless ratified</x:v>
      </x:c>
      <x:c r="M320" s="15" t="str">
        <x:v>candidate / staging-only / not canon / not deployed / authority none</x:v>
      </x:c>
      <x:c r="N320" s="15" t="str">
        <x:v>Dispatch to KairoBrain: complete Raw Export Recovery x Planetarium; return deltas only, receipts required.</x:v>
      </x:c>
      <x:c r="O320" s="15" t="str">
        <x:v>AF-KG-H03-S07</x:v>
      </x:c>
      <x:c r="P320" s="15" t="str">
        <x:v>Unverified</x:v>
      </x:c>
      <x:c r="Q320" s="15" t="str">
        <x:v>Not checked</x:v>
      </x:c>
      <x:c r="R320" s="15" t="str"/>
      <x:c r="S320" s="15" t="str"/>
      <x:c r="T320" s="15" t="str">
        <x:v>Log first source path or blocker</x:v>
      </x:c>
      <x:c r="U320" s="12" t="str">
        <x:f>IF(OR(P320="Unverified",Q320="Not checked"),"BLOCKED_PENDING_RECEIPT","READY_FOR_REVIEW")</x:f>
        <x:v>BLOCKED_PENDING_RECEIPT</x:v>
      </x:c>
      <x:c r="V320" s="12" t="str">
        <x:f>IF(J320="DONE","RETURNED",IF(U320="BLOCKED_PENDING_RECEIPT","SOURCE_TOUCH_REQUIRED","IN_PROGRESS"))</x:f>
        <x:v>SOURCE_TOUCH_REQUIRED</x:v>
      </x:c>
      <x:c r="W320" s="12" t="str">
        <x:f>IF(P320="Unverified","missing_receipt","receipt_logged")</x:f>
        <x:v>missing_receipt</x:v>
      </x:c>
      <x:c r="X320" s="12" t="str">
        <x:f>IF(Q320="Not checked","raw_status_missing","raw_status_logged")</x:f>
        <x:v>raw_status_missing</x:v>
      </x:c>
      <x:c r="Y320" s="12" t="str">
        <x:f>IF(U320="BLOCKED_PENDING_RECEIPT","Log source path or blocker; do not promote","Route to review lane")</x:f>
        <x:v>Log source path or blocker; do not promote</x:v>
      </x:c>
      <x:c r="Z320" s="12" t="str">
        <x:f>IF(K320="P0","Primary seat + Hashlight/Lucerna","Seat lane")</x:f>
        <x:v>Seat lane</x:v>
      </x:c>
      <x:c r="AA320" s="12" t="str">
        <x:f>IF(R320="","no_claim_delta","claim_delta_present")</x:f>
        <x:v>no_claim_delta</x:v>
      </x:c>
      <x:c r="AB320" s="12" t="str">
        <x:f>IF(S320="","no_contradiction_delta","contradiction_delta_present")</x:f>
        <x:v>no_contradiction_delta</x:v>
      </x:c>
      <x:c r="AC320" s="12" t="str">
        <x:f>IF(OR(ISNUMBER(SEARCH("hacker",LOWER(F320&amp;" "&amp;H320&amp;" "&amp;I320&amp;" "&amp;M320&amp;" "&amp;N320&amp;" "&amp;T320))),ISNUMBER(SEARCH("hacking",LOWER(F320&amp;" "&amp;H320&amp;" "&amp;I320&amp;" "&amp;M320&amp;" "&amp;N320&amp;" "&amp;T320))),ISNUMBER(SEARCH("bank",LOWER(F320&amp;" "&amp;H320&amp;" "&amp;I320&amp;" "&amp;M320&amp;" "&amp;N320&amp;" "&amp;T320))),ISNUMBER(SEARCH("banking",LOWER(F320&amp;" "&amp;H320&amp;" "&amp;I320&amp;" "&amp;M320&amp;" "&amp;N320&amp;" "&amp;T320)))),"PRIVATE_QUARANTINE",IF(OR(ISNUMBER(SEARCH("treasury",LOWER(F320&amp;" "&amp;H320&amp;" "&amp;I320&amp;" "&amp;M320&amp;" "&amp;N320&amp;" "&amp;T320))),ISNUMBER(SEARCH("debt",LOWER(F320&amp;" "&amp;H320&amp;" "&amp;I320&amp;" "&amp;M320&amp;" "&amp;N320&amp;" "&amp;T320))),ISNUMBER(SEARCH("bond",LOWER(F320&amp;" "&amp;H320&amp;" "&amp;I320&amp;" "&amp;M320&amp;" "&amp;N320&amp;" "&amp;T320))),ISNUMBER(SEARCH("transaction",LOWER(F320&amp;" "&amp;H320&amp;" "&amp;I320&amp;" "&amp;M320&amp;" "&amp;N320&amp;" "&amp;T320)))),"PRIVATE_REVIEW","PUBLIC_CANDIDATE"))</x:f>
        <x:v>PUBLIC_CANDIDATE</x:v>
      </x:c>
      <x:c r="AD320" s="12" t="str">
        <x:f>IF(AC320="PRIVATE_QUARANTINE","hacker_or_bank_trigger",IF(AC320="PRIVATE_REVIEW","finance_risk_trigger","none"))</x:f>
        <x:v>none</x:v>
      </x:c>
      <x:c r="AE320" s="12" t="str">
        <x:f>IF(AC320="PUBLIC_CANDIDATE","prepare_public_github_candidate",IF(AC320="PRIVATE_REVIEW","hold_for_private_review","quarantine_private_do_not_publish"))</x:f>
        <x:v>prepare_public_github_candidate</x:v>
      </x:c>
      <x:c r="AF320" s="12" t="str">
        <x:f>IF(AC320="PUBLIC_CANDIDATE","TIDELOCK + Lucerna",IF(AC320="PRIVATE_REVIEW","AtlasBrain + Lucerna","TIDELOCK + Lucerna + Human-root"))</x:f>
        <x:v>TIDELOCK + Lucerna</x:v>
      </x:c>
      <x:c r="AG320" s="12" t="str">
        <x:f>IF(AND(AC320="PUBLIC_CANDIDATE",U320&lt;&gt;"BLOCKED_PENDING_RECEIPT"),"READY_AFTER_RECEIPT","NOT_READY")</x:f>
        <x:v>NOT_READY</x:v>
      </x:c>
      <x:c r="AH320" s="12" t="str">
        <x:f>IF(AC320="PUBLIC_CANDIDATE","none",AD320)</x:f>
        <x:v>none</x:v>
      </x:c>
      <x:c r="AI320" s="12" t="str">
        <x:f>IF(AC320="PUBLIC_CANDIDATE","archive/public_candidates/"&amp;A320,"private_quarantine/"&amp;A320)</x:f>
        <x:v>archive/public_candidates/SWARM-03-H03-S07</x:v>
      </x:c>
      <x:c r="AJ320" s="12" t="str">
        <x:f>IF(AC320="PUBLIC_CANDIDATE","public by default; still not canon","private/hold; do not publish")</x:f>
        <x:v>public by default; still not canon</x:v>
      </x:c>
      <x:c r="AK320" s="12" t="str">
        <x:f>IF(AE320="prepare_public_github_candidate","add receipt/status then mirror","resolve blocker before any public GitHub action")</x:f>
        <x:v>add receipt/status then mirror</x:v>
      </x:c>
    </x:row>
    <x:row r="321">
      <x:c r="A321" s="15" t="str">
        <x:v>SWARM-03-H03-S08</x:v>
      </x:c>
      <x:c r="B321" s="15" t="str">
        <x:v>KairoBrain</x:v>
      </x:c>
      <x:c r="C321" s="15" t="str">
        <x:v>Temporal strata keeper</x:v>
      </x:c>
      <x:c r="D321" s="15" t="str">
        <x:v>Raw Export Recovery</x:v>
      </x:c>
      <x:c r="E321" s="15" t="str">
        <x:v>Sheldonbrain</x:v>
      </x:c>
      <x:c r="F321" s="15" t="str">
        <x:v>Recover raw exports for Sheldonbrain — KairoBrain</x:v>
      </x:c>
      <x:c r="G321" s="15" t="str">
        <x:v>staleness / versioning / supersession</x:v>
      </x:c>
      <x:c r="H321" s="15" t="str">
        <x:v>source path + receipt + raw/export status + claim/edge/risk delta</x:v>
      </x:c>
      <x:c r="I321" s="15" t="str">
        <x:v>packet/SWARM-03-H03-S08</x:v>
      </x:c>
      <x:c r="J321" s="15" t="str">
        <x:v>TODO</x:v>
      </x:c>
      <x:c r="K321" s="15" t="str">
        <x:v>P1</x:v>
      </x:c>
      <x:c r="L321" s="15" t="str">
        <x:v>Done only when evidence is logged, contradiction search is noted, and boundary stamp remains non-canon unless ratified</x:v>
      </x:c>
      <x:c r="M321" s="15" t="str">
        <x:v>candidate / staging-only / not canon / not deployed / authority none</x:v>
      </x:c>
      <x:c r="N321" s="15" t="str">
        <x:v>Dispatch to KairoBrain: complete Raw Export Recovery x Sheldonbrain; return deltas only, receipts required.</x:v>
      </x:c>
      <x:c r="O321" s="15" t="str">
        <x:v>AF-KG-H03-S08</x:v>
      </x:c>
      <x:c r="P321" s="15" t="str">
        <x:v>Unverified</x:v>
      </x:c>
      <x:c r="Q321" s="15" t="str">
        <x:v>Not checked</x:v>
      </x:c>
      <x:c r="R321" s="15" t="str"/>
      <x:c r="S321" s="15" t="str"/>
      <x:c r="T321" s="15" t="str">
        <x:v>Log first source path or blocker</x:v>
      </x:c>
      <x:c r="U321" s="12" t="str">
        <x:f>IF(OR(P321="Unverified",Q321="Not checked"),"BLOCKED_PENDING_RECEIPT","READY_FOR_REVIEW")</x:f>
        <x:v>BLOCKED_PENDING_RECEIPT</x:v>
      </x:c>
      <x:c r="V321" s="12" t="str">
        <x:f>IF(J321="DONE","RETURNED",IF(U321="BLOCKED_PENDING_RECEIPT","SOURCE_TOUCH_REQUIRED","IN_PROGRESS"))</x:f>
        <x:v>SOURCE_TOUCH_REQUIRED</x:v>
      </x:c>
      <x:c r="W321" s="12" t="str">
        <x:f>IF(P321="Unverified","missing_receipt","receipt_logged")</x:f>
        <x:v>missing_receipt</x:v>
      </x:c>
      <x:c r="X321" s="12" t="str">
        <x:f>IF(Q321="Not checked","raw_status_missing","raw_status_logged")</x:f>
        <x:v>raw_status_missing</x:v>
      </x:c>
      <x:c r="Y321" s="12" t="str">
        <x:f>IF(U321="BLOCKED_PENDING_RECEIPT","Log source path or blocker; do not promote","Route to review lane")</x:f>
        <x:v>Log source path or blocker; do not promote</x:v>
      </x:c>
      <x:c r="Z321" s="12" t="str">
        <x:f>IF(K321="P0","Primary seat + Hashlight/Lucerna","Seat lane")</x:f>
        <x:v>Seat lane</x:v>
      </x:c>
      <x:c r="AA321" s="12" t="str">
        <x:f>IF(R321="","no_claim_delta","claim_delta_present")</x:f>
        <x:v>no_claim_delta</x:v>
      </x:c>
      <x:c r="AB321" s="12" t="str">
        <x:f>IF(S321="","no_contradiction_delta","contradiction_delta_present")</x:f>
        <x:v>no_contradiction_delta</x:v>
      </x:c>
      <x:c r="AC321" s="12" t="str">
        <x:f>IF(OR(ISNUMBER(SEARCH("hacker",LOWER(F321&amp;" "&amp;H321&amp;" "&amp;I321&amp;" "&amp;M321&amp;" "&amp;N321&amp;" "&amp;T321))),ISNUMBER(SEARCH("hacking",LOWER(F321&amp;" "&amp;H321&amp;" "&amp;I321&amp;" "&amp;M321&amp;" "&amp;N321&amp;" "&amp;T321))),ISNUMBER(SEARCH("bank",LOWER(F321&amp;" "&amp;H321&amp;" "&amp;I321&amp;" "&amp;M321&amp;" "&amp;N321&amp;" "&amp;T321))),ISNUMBER(SEARCH("banking",LOWER(F321&amp;" "&amp;H321&amp;" "&amp;I321&amp;" "&amp;M321&amp;" "&amp;N321&amp;" "&amp;T321)))),"PRIVATE_QUARANTINE",IF(OR(ISNUMBER(SEARCH("treasury",LOWER(F321&amp;" "&amp;H321&amp;" "&amp;I321&amp;" "&amp;M321&amp;" "&amp;N321&amp;" "&amp;T321))),ISNUMBER(SEARCH("debt",LOWER(F321&amp;" "&amp;H321&amp;" "&amp;I321&amp;" "&amp;M321&amp;" "&amp;N321&amp;" "&amp;T321))),ISNUMBER(SEARCH("bond",LOWER(F321&amp;" "&amp;H321&amp;" "&amp;I321&amp;" "&amp;M321&amp;" "&amp;N321&amp;" "&amp;T321))),ISNUMBER(SEARCH("transaction",LOWER(F321&amp;" "&amp;H321&amp;" "&amp;I321&amp;" "&amp;M321&amp;" "&amp;N321&amp;" "&amp;T321)))),"PRIVATE_REVIEW","PUBLIC_CANDIDATE"))</x:f>
        <x:v>PUBLIC_CANDIDATE</x:v>
      </x:c>
      <x:c r="AD321" s="12" t="str">
        <x:f>IF(AC321="PRIVATE_QUARANTINE","hacker_or_bank_trigger",IF(AC321="PRIVATE_REVIEW","finance_risk_trigger","none"))</x:f>
        <x:v>none</x:v>
      </x:c>
      <x:c r="AE321" s="12" t="str">
        <x:f>IF(AC321="PUBLIC_CANDIDATE","prepare_public_github_candidate",IF(AC321="PRIVATE_REVIEW","hold_for_private_review","quarantine_private_do_not_publish"))</x:f>
        <x:v>prepare_public_github_candidate</x:v>
      </x:c>
      <x:c r="AF321" s="12" t="str">
        <x:f>IF(AC321="PUBLIC_CANDIDATE","TIDELOCK + Lucerna",IF(AC321="PRIVATE_REVIEW","AtlasBrain + Lucerna","TIDELOCK + Lucerna + Human-root"))</x:f>
        <x:v>TIDELOCK + Lucerna</x:v>
      </x:c>
      <x:c r="AG321" s="12" t="str">
        <x:f>IF(AND(AC321="PUBLIC_CANDIDATE",U321&lt;&gt;"BLOCKED_PENDING_RECEIPT"),"READY_AFTER_RECEIPT","NOT_READY")</x:f>
        <x:v>NOT_READY</x:v>
      </x:c>
      <x:c r="AH321" s="12" t="str">
        <x:f>IF(AC321="PUBLIC_CANDIDATE","none",AD321)</x:f>
        <x:v>none</x:v>
      </x:c>
      <x:c r="AI321" s="12" t="str">
        <x:f>IF(AC321="PUBLIC_CANDIDATE","archive/public_candidates/"&amp;A321,"private_quarantine/"&amp;A321)</x:f>
        <x:v>archive/public_candidates/SWARM-03-H03-S08</x:v>
      </x:c>
      <x:c r="AJ321" s="12" t="str">
        <x:f>IF(AC321="PUBLIC_CANDIDATE","public by default; still not canon","private/hold; do not publish")</x:f>
        <x:v>public by default; still not canon</x:v>
      </x:c>
      <x:c r="AK321" s="12" t="str">
        <x:f>IF(AE321="prepare_public_github_candidate","add receipt/status then mirror","resolve blocker before any public GitHub action")</x:f>
        <x:v>add receipt/status then mirror</x:v>
      </x:c>
    </x:row>
    <x:row r="322">
      <x:c r="A322" s="15" t="str">
        <x:v>SWARM-03-H03-S09</x:v>
      </x:c>
      <x:c r="B322" s="15" t="str">
        <x:v>KairoBrain</x:v>
      </x:c>
      <x:c r="C322" s="15" t="str">
        <x:v>Temporal strata keeper</x:v>
      </x:c>
      <x:c r="D322" s="15" t="str">
        <x:v>Raw Export Recovery</x:v>
      </x:c>
      <x:c r="E322" s="15" t="str">
        <x:v>Aetherforge</x:v>
      </x:c>
      <x:c r="F322" s="15" t="str">
        <x:v>Recover raw exports for Aetherforge — KairoBrain</x:v>
      </x:c>
      <x:c r="G322" s="15" t="str">
        <x:v>staleness / versioning / supersession</x:v>
      </x:c>
      <x:c r="H322" s="15" t="str">
        <x:v>source path + receipt + raw/export status + claim/edge/risk delta</x:v>
      </x:c>
      <x:c r="I322" s="15" t="str">
        <x:v>packet/SWARM-03-H03-S09</x:v>
      </x:c>
      <x:c r="J322" s="15" t="str">
        <x:v>TODO</x:v>
      </x:c>
      <x:c r="K322" s="15" t="str">
        <x:v>P2</x:v>
      </x:c>
      <x:c r="L322" s="15" t="str">
        <x:v>Done only when evidence is logged, contradiction search is noted, and boundary stamp remains non-canon unless ratified</x:v>
      </x:c>
      <x:c r="M322" s="15" t="str">
        <x:v>candidate / staging-only / not canon / not deployed / authority none</x:v>
      </x:c>
      <x:c r="N322" s="15" t="str">
        <x:v>Dispatch to KairoBrain: complete Raw Export Recovery x Aetherforge; return deltas only, receipts required.</x:v>
      </x:c>
      <x:c r="O322" s="15" t="str">
        <x:v>AF-KG-H03-S09</x:v>
      </x:c>
      <x:c r="P322" s="15" t="str">
        <x:v>Unverified</x:v>
      </x:c>
      <x:c r="Q322" s="15" t="str">
        <x:v>Not checked</x:v>
      </x:c>
      <x:c r="R322" s="15" t="str"/>
      <x:c r="S322" s="15" t="str"/>
      <x:c r="T322" s="15" t="str">
        <x:v>Log first source path or blocker</x:v>
      </x:c>
      <x:c r="U322" s="12" t="str">
        <x:f>IF(OR(P322="Unverified",Q322="Not checked"),"BLOCKED_PENDING_RECEIPT","READY_FOR_REVIEW")</x:f>
        <x:v>BLOCKED_PENDING_RECEIPT</x:v>
      </x:c>
      <x:c r="V322" s="12" t="str">
        <x:f>IF(J322="DONE","RETURNED",IF(U322="BLOCKED_PENDING_RECEIPT","SOURCE_TOUCH_REQUIRED","IN_PROGRESS"))</x:f>
        <x:v>SOURCE_TOUCH_REQUIRED</x:v>
      </x:c>
      <x:c r="W322" s="12" t="str">
        <x:f>IF(P322="Unverified","missing_receipt","receipt_logged")</x:f>
        <x:v>missing_receipt</x:v>
      </x:c>
      <x:c r="X322" s="12" t="str">
        <x:f>IF(Q322="Not checked","raw_status_missing","raw_status_logged")</x:f>
        <x:v>raw_status_missing</x:v>
      </x:c>
      <x:c r="Y322" s="12" t="str">
        <x:f>IF(U322="BLOCKED_PENDING_RECEIPT","Log source path or blocker; do not promote","Route to review lane")</x:f>
        <x:v>Log source path or blocker; do not promote</x:v>
      </x:c>
      <x:c r="Z322" s="12" t="str">
        <x:f>IF(K322="P0","Primary seat + Hashlight/Lucerna","Seat lane")</x:f>
        <x:v>Seat lane</x:v>
      </x:c>
      <x:c r="AA322" s="12" t="str">
        <x:f>IF(R322="","no_claim_delta","claim_delta_present")</x:f>
        <x:v>no_claim_delta</x:v>
      </x:c>
      <x:c r="AB322" s="12" t="str">
        <x:f>IF(S322="","no_contradiction_delta","contradiction_delta_present")</x:f>
        <x:v>no_contradiction_delta</x:v>
      </x:c>
      <x:c r="AC322" s="12" t="str">
        <x:f>IF(OR(ISNUMBER(SEARCH("hacker",LOWER(F322&amp;" "&amp;H322&amp;" "&amp;I322&amp;" "&amp;M322&amp;" "&amp;N322&amp;" "&amp;T322))),ISNUMBER(SEARCH("hacking",LOWER(F322&amp;" "&amp;H322&amp;" "&amp;I322&amp;" "&amp;M322&amp;" "&amp;N322&amp;" "&amp;T322))),ISNUMBER(SEARCH("bank",LOWER(F322&amp;" "&amp;H322&amp;" "&amp;I322&amp;" "&amp;M322&amp;" "&amp;N322&amp;" "&amp;T322))),ISNUMBER(SEARCH("banking",LOWER(F322&amp;" "&amp;H322&amp;" "&amp;I322&amp;" "&amp;M322&amp;" "&amp;N322&amp;" "&amp;T322)))),"PRIVATE_QUARANTINE",IF(OR(ISNUMBER(SEARCH("treasury",LOWER(F322&amp;" "&amp;H322&amp;" "&amp;I322&amp;" "&amp;M322&amp;" "&amp;N322&amp;" "&amp;T322))),ISNUMBER(SEARCH("debt",LOWER(F322&amp;" "&amp;H322&amp;" "&amp;I322&amp;" "&amp;M322&amp;" "&amp;N322&amp;" "&amp;T322))),ISNUMBER(SEARCH("bond",LOWER(F322&amp;" "&amp;H322&amp;" "&amp;I322&amp;" "&amp;M322&amp;" "&amp;N322&amp;" "&amp;T322))),ISNUMBER(SEARCH("transaction",LOWER(F322&amp;" "&amp;H322&amp;" "&amp;I322&amp;" "&amp;M322&amp;" "&amp;N322&amp;" "&amp;T322)))),"PRIVATE_REVIEW","PUBLIC_CANDIDATE"))</x:f>
        <x:v>PUBLIC_CANDIDATE</x:v>
      </x:c>
      <x:c r="AD322" s="12" t="str">
        <x:f>IF(AC322="PRIVATE_QUARANTINE","hacker_or_bank_trigger",IF(AC322="PRIVATE_REVIEW","finance_risk_trigger","none"))</x:f>
        <x:v>none</x:v>
      </x:c>
      <x:c r="AE322" s="12" t="str">
        <x:f>IF(AC322="PUBLIC_CANDIDATE","prepare_public_github_candidate",IF(AC322="PRIVATE_REVIEW","hold_for_private_review","quarantine_private_do_not_publish"))</x:f>
        <x:v>prepare_public_github_candidate</x:v>
      </x:c>
      <x:c r="AF322" s="12" t="str">
        <x:f>IF(AC322="PUBLIC_CANDIDATE","TIDELOCK + Lucerna",IF(AC322="PRIVATE_REVIEW","AtlasBrain + Lucerna","TIDELOCK + Lucerna + Human-root"))</x:f>
        <x:v>TIDELOCK + Lucerna</x:v>
      </x:c>
      <x:c r="AG322" s="12" t="str">
        <x:f>IF(AND(AC322="PUBLIC_CANDIDATE",U322&lt;&gt;"BLOCKED_PENDING_RECEIPT"),"READY_AFTER_RECEIPT","NOT_READY")</x:f>
        <x:v>NOT_READY</x:v>
      </x:c>
      <x:c r="AH322" s="12" t="str">
        <x:f>IF(AC322="PUBLIC_CANDIDATE","none",AD322)</x:f>
        <x:v>none</x:v>
      </x:c>
      <x:c r="AI322" s="12" t="str">
        <x:f>IF(AC322="PUBLIC_CANDIDATE","archive/public_candidates/"&amp;A322,"private_quarantine/"&amp;A322)</x:f>
        <x:v>archive/public_candidates/SWARM-03-H03-S09</x:v>
      </x:c>
      <x:c r="AJ322" s="12" t="str">
        <x:f>IF(AC322="PUBLIC_CANDIDATE","public by default; still not canon","private/hold; do not publish")</x:f>
        <x:v>public by default; still not canon</x:v>
      </x:c>
      <x:c r="AK322" s="12" t="str">
        <x:f>IF(AE322="prepare_public_github_candidate","add receipt/status then mirror","resolve blocker before any public GitHub action")</x:f>
        <x:v>add receipt/status then mirror</x:v>
      </x:c>
    </x:row>
    <x:row r="323">
      <x:c r="A323" s="15" t="str">
        <x:v>SWARM-03-H03-S10</x:v>
      </x:c>
      <x:c r="B323" s="15" t="str">
        <x:v>KairoBrain</x:v>
      </x:c>
      <x:c r="C323" s="15" t="str">
        <x:v>Temporal strata keeper</x:v>
      </x:c>
      <x:c r="D323" s="15" t="str">
        <x:v>Raw Export Recovery</x:v>
      </x:c>
      <x:c r="E323" s="15" t="str">
        <x:v>Human-Root</x:v>
      </x:c>
      <x:c r="F323" s="15" t="str">
        <x:v>Recover raw exports for Human-Root — KairoBrain</x:v>
      </x:c>
      <x:c r="G323" s="15" t="str">
        <x:v>staleness / versioning / supersession</x:v>
      </x:c>
      <x:c r="H323" s="15" t="str">
        <x:v>source path + receipt + raw/export status + claim/edge/risk delta</x:v>
      </x:c>
      <x:c r="I323" s="15" t="str">
        <x:v>packet/SWARM-03-H03-S10</x:v>
      </x:c>
      <x:c r="J323" s="15" t="str">
        <x:v>TODO</x:v>
      </x:c>
      <x:c r="K323" s="15" t="str">
        <x:v>P2</x:v>
      </x:c>
      <x:c r="L323" s="15" t="str">
        <x:v>Done only when evidence is logged, contradiction search is noted, and boundary stamp remains non-canon unless ratified</x:v>
      </x:c>
      <x:c r="M323" s="15" t="str">
        <x:v>candidate / staging-only / not canon / not deployed / authority none</x:v>
      </x:c>
      <x:c r="N323" s="15" t="str">
        <x:v>Dispatch to KairoBrain: complete Raw Export Recovery x Human-Root; return deltas only, receipts required.</x:v>
      </x:c>
      <x:c r="O323" s="15" t="str">
        <x:v>AF-KG-H03-S10</x:v>
      </x:c>
      <x:c r="P323" s="15" t="str">
        <x:v>Unverified</x:v>
      </x:c>
      <x:c r="Q323" s="15" t="str">
        <x:v>Not checked</x:v>
      </x:c>
      <x:c r="R323" s="15" t="str"/>
      <x:c r="S323" s="15" t="str"/>
      <x:c r="T323" s="15" t="str">
        <x:v>Log first source path or blocker</x:v>
      </x:c>
      <x:c r="U323" s="12" t="str">
        <x:f>IF(OR(P323="Unverified",Q323="Not checked"),"BLOCKED_PENDING_RECEIPT","READY_FOR_REVIEW")</x:f>
        <x:v>BLOCKED_PENDING_RECEIPT</x:v>
      </x:c>
      <x:c r="V323" s="12" t="str">
        <x:f>IF(J323="DONE","RETURNED",IF(U323="BLOCKED_PENDING_RECEIPT","SOURCE_TOUCH_REQUIRED","IN_PROGRESS"))</x:f>
        <x:v>SOURCE_TOUCH_REQUIRED</x:v>
      </x:c>
      <x:c r="W323" s="12" t="str">
        <x:f>IF(P323="Unverified","missing_receipt","receipt_logged")</x:f>
        <x:v>missing_receipt</x:v>
      </x:c>
      <x:c r="X323" s="12" t="str">
        <x:f>IF(Q323="Not checked","raw_status_missing","raw_status_logged")</x:f>
        <x:v>raw_status_missing</x:v>
      </x:c>
      <x:c r="Y323" s="12" t="str">
        <x:f>IF(U323="BLOCKED_PENDING_RECEIPT","Log source path or blocker; do not promote","Route to review lane")</x:f>
        <x:v>Log source path or blocker; do not promote</x:v>
      </x:c>
      <x:c r="Z323" s="12" t="str">
        <x:f>IF(K323="P0","Primary seat + Hashlight/Lucerna","Seat lane")</x:f>
        <x:v>Seat lane</x:v>
      </x:c>
      <x:c r="AA323" s="12" t="str">
        <x:f>IF(R323="","no_claim_delta","claim_delta_present")</x:f>
        <x:v>no_claim_delta</x:v>
      </x:c>
      <x:c r="AB323" s="12" t="str">
        <x:f>IF(S323="","no_contradiction_delta","contradiction_delta_present")</x:f>
        <x:v>no_contradiction_delta</x:v>
      </x:c>
      <x:c r="AC323" s="12" t="str">
        <x:f>IF(OR(ISNUMBER(SEARCH("hacker",LOWER(F323&amp;" "&amp;H323&amp;" "&amp;I323&amp;" "&amp;M323&amp;" "&amp;N323&amp;" "&amp;T323))),ISNUMBER(SEARCH("hacking",LOWER(F323&amp;" "&amp;H323&amp;" "&amp;I323&amp;" "&amp;M323&amp;" "&amp;N323&amp;" "&amp;T323))),ISNUMBER(SEARCH("bank",LOWER(F323&amp;" "&amp;H323&amp;" "&amp;I323&amp;" "&amp;M323&amp;" "&amp;N323&amp;" "&amp;T323))),ISNUMBER(SEARCH("banking",LOWER(F323&amp;" "&amp;H323&amp;" "&amp;I323&amp;" "&amp;M323&amp;" "&amp;N323&amp;" "&amp;T323)))),"PRIVATE_QUARANTINE",IF(OR(ISNUMBER(SEARCH("treasury",LOWER(F323&amp;" "&amp;H323&amp;" "&amp;I323&amp;" "&amp;M323&amp;" "&amp;N323&amp;" "&amp;T323))),ISNUMBER(SEARCH("debt",LOWER(F323&amp;" "&amp;H323&amp;" "&amp;I323&amp;" "&amp;M323&amp;" "&amp;N323&amp;" "&amp;T323))),ISNUMBER(SEARCH("bond",LOWER(F323&amp;" "&amp;H323&amp;" "&amp;I323&amp;" "&amp;M323&amp;" "&amp;N323&amp;" "&amp;T323))),ISNUMBER(SEARCH("transaction",LOWER(F323&amp;" "&amp;H323&amp;" "&amp;I323&amp;" "&amp;M323&amp;" "&amp;N323&amp;" "&amp;T323)))),"PRIVATE_REVIEW","PUBLIC_CANDIDATE"))</x:f>
        <x:v>PUBLIC_CANDIDATE</x:v>
      </x:c>
      <x:c r="AD323" s="12" t="str">
        <x:f>IF(AC323="PRIVATE_QUARANTINE","hacker_or_bank_trigger",IF(AC323="PRIVATE_REVIEW","finance_risk_trigger","none"))</x:f>
        <x:v>none</x:v>
      </x:c>
      <x:c r="AE323" s="12" t="str">
        <x:f>IF(AC323="PUBLIC_CANDIDATE","prepare_public_github_candidate",IF(AC323="PRIVATE_REVIEW","hold_for_private_review","quarantine_private_do_not_publish"))</x:f>
        <x:v>prepare_public_github_candidate</x:v>
      </x:c>
      <x:c r="AF323" s="12" t="str">
        <x:f>IF(AC323="PUBLIC_CANDIDATE","TIDELOCK + Lucerna",IF(AC323="PRIVATE_REVIEW","AtlasBrain + Lucerna","TIDELOCK + Lucerna + Human-root"))</x:f>
        <x:v>TIDELOCK + Lucerna</x:v>
      </x:c>
      <x:c r="AG323" s="12" t="str">
        <x:f>IF(AND(AC323="PUBLIC_CANDIDATE",U323&lt;&gt;"BLOCKED_PENDING_RECEIPT"),"READY_AFTER_RECEIPT","NOT_READY")</x:f>
        <x:v>NOT_READY</x:v>
      </x:c>
      <x:c r="AH323" s="12" t="str">
        <x:f>IF(AC323="PUBLIC_CANDIDATE","none",AD323)</x:f>
        <x:v>none</x:v>
      </x:c>
      <x:c r="AI323" s="12" t="str">
        <x:f>IF(AC323="PUBLIC_CANDIDATE","archive/public_candidates/"&amp;A323,"private_quarantine/"&amp;A323)</x:f>
        <x:v>archive/public_candidates/SWARM-03-H03-S10</x:v>
      </x:c>
      <x:c r="AJ323" s="12" t="str">
        <x:f>IF(AC323="PUBLIC_CANDIDATE","public by default; still not canon","private/hold; do not publish")</x:f>
        <x:v>public by default; still not canon</x:v>
      </x:c>
      <x:c r="AK323" s="12" t="str">
        <x:f>IF(AE323="prepare_public_github_candidate","add receipt/status then mirror","resolve blocker before any public GitHub action")</x:f>
        <x:v>add receipt/status then mirror</x:v>
      </x:c>
    </x:row>
    <x:row r="324">
      <x:c r="A324" s="15" t="str">
        <x:v>SWARM-03-H03-S11</x:v>
      </x:c>
      <x:c r="B324" s="15" t="str">
        <x:v>KairoBrain</x:v>
      </x:c>
      <x:c r="C324" s="15" t="str">
        <x:v>Temporal strata keeper</x:v>
      </x:c>
      <x:c r="D324" s="15" t="str">
        <x:v>Raw Export Recovery</x:v>
      </x:c>
      <x:c r="E324" s="15" t="str">
        <x:v>Automation</x:v>
      </x:c>
      <x:c r="F324" s="15" t="str">
        <x:v>Recover raw exports for Automation — KairoBrain</x:v>
      </x:c>
      <x:c r="G324" s="15" t="str">
        <x:v>staleness / versioning / supersession</x:v>
      </x:c>
      <x:c r="H324" s="15" t="str">
        <x:v>source path + receipt + raw/export status + claim/edge/risk delta</x:v>
      </x:c>
      <x:c r="I324" s="15" t="str">
        <x:v>packet/SWARM-03-H03-S11</x:v>
      </x:c>
      <x:c r="J324" s="15" t="str">
        <x:v>TODO</x:v>
      </x:c>
      <x:c r="K324" s="15" t="str">
        <x:v>P2</x:v>
      </x:c>
      <x:c r="L324" s="15" t="str">
        <x:v>Done only when evidence is logged, contradiction search is noted, and boundary stamp remains non-canon unless ratified</x:v>
      </x:c>
      <x:c r="M324" s="15" t="str">
        <x:v>candidate / staging-only / not canon / not deployed / authority none</x:v>
      </x:c>
      <x:c r="N324" s="15" t="str">
        <x:v>Dispatch to KairoBrain: complete Raw Export Recovery x Automation; return deltas only, receipts required.</x:v>
      </x:c>
      <x:c r="O324" s="15" t="str">
        <x:v>AF-KG-H03-S11</x:v>
      </x:c>
      <x:c r="P324" s="15" t="str">
        <x:v>Unverified</x:v>
      </x:c>
      <x:c r="Q324" s="15" t="str">
        <x:v>Not checked</x:v>
      </x:c>
      <x:c r="R324" s="15" t="str"/>
      <x:c r="S324" s="15" t="str"/>
      <x:c r="T324" s="15" t="str">
        <x:v>Log first source path or blocker</x:v>
      </x:c>
      <x:c r="U324" s="12" t="str">
        <x:f>IF(OR(P324="Unverified",Q324="Not checked"),"BLOCKED_PENDING_RECEIPT","READY_FOR_REVIEW")</x:f>
        <x:v>BLOCKED_PENDING_RECEIPT</x:v>
      </x:c>
      <x:c r="V324" s="12" t="str">
        <x:f>IF(J324="DONE","RETURNED",IF(U324="BLOCKED_PENDING_RECEIPT","SOURCE_TOUCH_REQUIRED","IN_PROGRESS"))</x:f>
        <x:v>SOURCE_TOUCH_REQUIRED</x:v>
      </x:c>
      <x:c r="W324" s="12" t="str">
        <x:f>IF(P324="Unverified","missing_receipt","receipt_logged")</x:f>
        <x:v>missing_receipt</x:v>
      </x:c>
      <x:c r="X324" s="12" t="str">
        <x:f>IF(Q324="Not checked","raw_status_missing","raw_status_logged")</x:f>
        <x:v>raw_status_missing</x:v>
      </x:c>
      <x:c r="Y324" s="12" t="str">
        <x:f>IF(U324="BLOCKED_PENDING_RECEIPT","Log source path or blocker; do not promote","Route to review lane")</x:f>
        <x:v>Log source path or blocker; do not promote</x:v>
      </x:c>
      <x:c r="Z324" s="12" t="str">
        <x:f>IF(K324="P0","Primary seat + Hashlight/Lucerna","Seat lane")</x:f>
        <x:v>Seat lane</x:v>
      </x:c>
      <x:c r="AA324" s="12" t="str">
        <x:f>IF(R324="","no_claim_delta","claim_delta_present")</x:f>
        <x:v>no_claim_delta</x:v>
      </x:c>
      <x:c r="AB324" s="12" t="str">
        <x:f>IF(S324="","no_contradiction_delta","contradiction_delta_present")</x:f>
        <x:v>no_contradiction_delta</x:v>
      </x:c>
      <x:c r="AC324" s="12" t="str">
        <x:f>IF(OR(ISNUMBER(SEARCH("hacker",LOWER(F324&amp;" "&amp;H324&amp;" "&amp;I324&amp;" "&amp;M324&amp;" "&amp;N324&amp;" "&amp;T324))),ISNUMBER(SEARCH("hacking",LOWER(F324&amp;" "&amp;H324&amp;" "&amp;I324&amp;" "&amp;M324&amp;" "&amp;N324&amp;" "&amp;T324))),ISNUMBER(SEARCH("bank",LOWER(F324&amp;" "&amp;H324&amp;" "&amp;I324&amp;" "&amp;M324&amp;" "&amp;N324&amp;" "&amp;T324))),ISNUMBER(SEARCH("banking",LOWER(F324&amp;" "&amp;H324&amp;" "&amp;I324&amp;" "&amp;M324&amp;" "&amp;N324&amp;" "&amp;T324)))),"PRIVATE_QUARANTINE",IF(OR(ISNUMBER(SEARCH("treasury",LOWER(F324&amp;" "&amp;H324&amp;" "&amp;I324&amp;" "&amp;M324&amp;" "&amp;N324&amp;" "&amp;T324))),ISNUMBER(SEARCH("debt",LOWER(F324&amp;" "&amp;H324&amp;" "&amp;I324&amp;" "&amp;M324&amp;" "&amp;N324&amp;" "&amp;T324))),ISNUMBER(SEARCH("bond",LOWER(F324&amp;" "&amp;H324&amp;" "&amp;I324&amp;" "&amp;M324&amp;" "&amp;N324&amp;" "&amp;T324))),ISNUMBER(SEARCH("transaction",LOWER(F324&amp;" "&amp;H324&amp;" "&amp;I324&amp;" "&amp;M324&amp;" "&amp;N324&amp;" "&amp;T324)))),"PRIVATE_REVIEW","PUBLIC_CANDIDATE"))</x:f>
        <x:v>PUBLIC_CANDIDATE</x:v>
      </x:c>
      <x:c r="AD324" s="12" t="str">
        <x:f>IF(AC324="PRIVATE_QUARANTINE","hacker_or_bank_trigger",IF(AC324="PRIVATE_REVIEW","finance_risk_trigger","none"))</x:f>
        <x:v>none</x:v>
      </x:c>
      <x:c r="AE324" s="12" t="str">
        <x:f>IF(AC324="PUBLIC_CANDIDATE","prepare_public_github_candidate",IF(AC324="PRIVATE_REVIEW","hold_for_private_review","quarantine_private_do_not_publish"))</x:f>
        <x:v>prepare_public_github_candidate</x:v>
      </x:c>
      <x:c r="AF324" s="12" t="str">
        <x:f>IF(AC324="PUBLIC_CANDIDATE","TIDELOCK + Lucerna",IF(AC324="PRIVATE_REVIEW","AtlasBrain + Lucerna","TIDELOCK + Lucerna + Human-root"))</x:f>
        <x:v>TIDELOCK + Lucerna</x:v>
      </x:c>
      <x:c r="AG324" s="12" t="str">
        <x:f>IF(AND(AC324="PUBLIC_CANDIDATE",U324&lt;&gt;"BLOCKED_PENDING_RECEIPT"),"READY_AFTER_RECEIPT","NOT_READY")</x:f>
        <x:v>NOT_READY</x:v>
      </x:c>
      <x:c r="AH324" s="12" t="str">
        <x:f>IF(AC324="PUBLIC_CANDIDATE","none",AD324)</x:f>
        <x:v>none</x:v>
      </x:c>
      <x:c r="AI324" s="12" t="str">
        <x:f>IF(AC324="PUBLIC_CANDIDATE","archive/public_candidates/"&amp;A324,"private_quarantine/"&amp;A324)</x:f>
        <x:v>archive/public_candidates/SWARM-03-H03-S11</x:v>
      </x:c>
      <x:c r="AJ324" s="12" t="str">
        <x:f>IF(AC324="PUBLIC_CANDIDATE","public by default; still not canon","private/hold; do not publish")</x:f>
        <x:v>public by default; still not canon</x:v>
      </x:c>
      <x:c r="AK324" s="12" t="str">
        <x:f>IF(AE324="prepare_public_github_candidate","add receipt/status then mirror","resolve blocker before any public GitHub action")</x:f>
        <x:v>add receipt/status then mirror</x:v>
      </x:c>
    </x:row>
    <x:row r="325">
      <x:c r="A325" s="15" t="str">
        <x:v>SWARM-03-H03-S12</x:v>
      </x:c>
      <x:c r="B325" s="15" t="str">
        <x:v>KairoBrain</x:v>
      </x:c>
      <x:c r="C325" s="15" t="str">
        <x:v>Temporal strata keeper</x:v>
      </x:c>
      <x:c r="D325" s="15" t="str">
        <x:v>Raw Export Recovery</x:v>
      </x:c>
      <x:c r="E325" s="15" t="str">
        <x:v>Risk / Safety</x:v>
      </x:c>
      <x:c r="F325" s="15" t="str">
        <x:v>Recover raw exports for Risk / Safety — KairoBrain</x:v>
      </x:c>
      <x:c r="G325" s="15" t="str">
        <x:v>staleness / versioning / supersession</x:v>
      </x:c>
      <x:c r="H325" s="15" t="str">
        <x:v>source path + receipt + raw/export status + claim/edge/risk delta</x:v>
      </x:c>
      <x:c r="I325" s="15" t="str">
        <x:v>packet/SWARM-03-H03-S12</x:v>
      </x:c>
      <x:c r="J325" s="15" t="str">
        <x:v>TODO</x:v>
      </x:c>
      <x:c r="K325" s="15" t="str">
        <x:v>P2</x:v>
      </x:c>
      <x:c r="L325" s="15" t="str">
        <x:v>Done only when evidence is logged, contradiction search is noted, and boundary stamp remains non-canon unless ratified</x:v>
      </x:c>
      <x:c r="M325" s="15" t="str">
        <x:v>candidate / staging-only / not canon / not deployed / authority none</x:v>
      </x:c>
      <x:c r="N325" s="15" t="str">
        <x:v>Dispatch to KairoBrain: complete Raw Export Recovery x Risk / Safety; return deltas only, receipts required.</x:v>
      </x:c>
      <x:c r="O325" s="15" t="str">
        <x:v>AF-KG-H03-S12</x:v>
      </x:c>
      <x:c r="P325" s="15" t="str">
        <x:v>Unverified</x:v>
      </x:c>
      <x:c r="Q325" s="15" t="str">
        <x:v>Not checked</x:v>
      </x:c>
      <x:c r="R325" s="15" t="str"/>
      <x:c r="S325" s="15" t="str"/>
      <x:c r="T325" s="15" t="str">
        <x:v>Log first source path or blocker</x:v>
      </x:c>
      <x:c r="U325" s="12" t="str">
        <x:f>IF(OR(P325="Unverified",Q325="Not checked"),"BLOCKED_PENDING_RECEIPT","READY_FOR_REVIEW")</x:f>
        <x:v>BLOCKED_PENDING_RECEIPT</x:v>
      </x:c>
      <x:c r="V325" s="12" t="str">
        <x:f>IF(J325="DONE","RETURNED",IF(U325="BLOCKED_PENDING_RECEIPT","SOURCE_TOUCH_REQUIRED","IN_PROGRESS"))</x:f>
        <x:v>SOURCE_TOUCH_REQUIRED</x:v>
      </x:c>
      <x:c r="W325" s="12" t="str">
        <x:f>IF(P325="Unverified","missing_receipt","receipt_logged")</x:f>
        <x:v>missing_receipt</x:v>
      </x:c>
      <x:c r="X325" s="12" t="str">
        <x:f>IF(Q325="Not checked","raw_status_missing","raw_status_logged")</x:f>
        <x:v>raw_status_missing</x:v>
      </x:c>
      <x:c r="Y325" s="12" t="str">
        <x:f>IF(U325="BLOCKED_PENDING_RECEIPT","Log source path or blocker; do not promote","Route to review lane")</x:f>
        <x:v>Log source path or blocker; do not promote</x:v>
      </x:c>
      <x:c r="Z325" s="12" t="str">
        <x:f>IF(K325="P0","Primary seat + Hashlight/Lucerna","Seat lane")</x:f>
        <x:v>Seat lane</x:v>
      </x:c>
      <x:c r="AA325" s="12" t="str">
        <x:f>IF(R325="","no_claim_delta","claim_delta_present")</x:f>
        <x:v>no_claim_delta</x:v>
      </x:c>
      <x:c r="AB325" s="12" t="str">
        <x:f>IF(S325="","no_contradiction_delta","contradiction_delta_present")</x:f>
        <x:v>no_contradiction_delta</x:v>
      </x:c>
      <x:c r="AC325" s="12" t="str">
        <x:f>IF(OR(ISNUMBER(SEARCH("hacker",LOWER(F325&amp;" "&amp;H325&amp;" "&amp;I325&amp;" "&amp;M325&amp;" "&amp;N325&amp;" "&amp;T325))),ISNUMBER(SEARCH("hacking",LOWER(F325&amp;" "&amp;H325&amp;" "&amp;I325&amp;" "&amp;M325&amp;" "&amp;N325&amp;" "&amp;T325))),ISNUMBER(SEARCH("bank",LOWER(F325&amp;" "&amp;H325&amp;" "&amp;I325&amp;" "&amp;M325&amp;" "&amp;N325&amp;" "&amp;T325))),ISNUMBER(SEARCH("banking",LOWER(F325&amp;" "&amp;H325&amp;" "&amp;I325&amp;" "&amp;M325&amp;" "&amp;N325&amp;" "&amp;T325)))),"PRIVATE_QUARANTINE",IF(OR(ISNUMBER(SEARCH("treasury",LOWER(F325&amp;" "&amp;H325&amp;" "&amp;I325&amp;" "&amp;M325&amp;" "&amp;N325&amp;" "&amp;T325))),ISNUMBER(SEARCH("debt",LOWER(F325&amp;" "&amp;H325&amp;" "&amp;I325&amp;" "&amp;M325&amp;" "&amp;N325&amp;" "&amp;T325))),ISNUMBER(SEARCH("bond",LOWER(F325&amp;" "&amp;H325&amp;" "&amp;I325&amp;" "&amp;M325&amp;" "&amp;N325&amp;" "&amp;T325))),ISNUMBER(SEARCH("transaction",LOWER(F325&amp;" "&amp;H325&amp;" "&amp;I325&amp;" "&amp;M325&amp;" "&amp;N325&amp;" "&amp;T325)))),"PRIVATE_REVIEW","PUBLIC_CANDIDATE"))</x:f>
        <x:v>PUBLIC_CANDIDATE</x:v>
      </x:c>
      <x:c r="AD325" s="12" t="str">
        <x:f>IF(AC325="PRIVATE_QUARANTINE","hacker_or_bank_trigger",IF(AC325="PRIVATE_REVIEW","finance_risk_trigger","none"))</x:f>
        <x:v>none</x:v>
      </x:c>
      <x:c r="AE325" s="12" t="str">
        <x:f>IF(AC325="PUBLIC_CANDIDATE","prepare_public_github_candidate",IF(AC325="PRIVATE_REVIEW","hold_for_private_review","quarantine_private_do_not_publish"))</x:f>
        <x:v>prepare_public_github_candidate</x:v>
      </x:c>
      <x:c r="AF325" s="12" t="str">
        <x:f>IF(AC325="PUBLIC_CANDIDATE","TIDELOCK + Lucerna",IF(AC325="PRIVATE_REVIEW","AtlasBrain + Lucerna","TIDELOCK + Lucerna + Human-root"))</x:f>
        <x:v>TIDELOCK + Lucerna</x:v>
      </x:c>
      <x:c r="AG325" s="12" t="str">
        <x:f>IF(AND(AC325="PUBLIC_CANDIDATE",U325&lt;&gt;"BLOCKED_PENDING_RECEIPT"),"READY_AFTER_RECEIPT","NOT_READY")</x:f>
        <x:v>NOT_READY</x:v>
      </x:c>
      <x:c r="AH325" s="12" t="str">
        <x:f>IF(AC325="PUBLIC_CANDIDATE","none",AD325)</x:f>
        <x:v>none</x:v>
      </x:c>
      <x:c r="AI325" s="12" t="str">
        <x:f>IF(AC325="PUBLIC_CANDIDATE","archive/public_candidates/"&amp;A325,"private_quarantine/"&amp;A325)</x:f>
        <x:v>archive/public_candidates/SWARM-03-H03-S12</x:v>
      </x:c>
      <x:c r="AJ325" s="12" t="str">
        <x:f>IF(AC325="PUBLIC_CANDIDATE","public by default; still not canon","private/hold; do not publish")</x:f>
        <x:v>public by default; still not canon</x:v>
      </x:c>
      <x:c r="AK325" s="12" t="str">
        <x:f>IF(AE325="prepare_public_github_candidate","add receipt/status then mirror","resolve blocker before any public GitHub action")</x:f>
        <x:v>add receipt/status then mirror</x:v>
      </x:c>
    </x:row>
    <x:row r="326">
      <x:c r="A326" s="15" t="str">
        <x:v>SWARM-03-H04-S01</x:v>
      </x:c>
      <x:c r="B326" s="15" t="str">
        <x:v>KairoBrain</x:v>
      </x:c>
      <x:c r="C326" s="15" t="str">
        <x:v>Temporal strata keeper</x:v>
      </x:c>
      <x:c r="D326" s="15" t="str">
        <x:v>Claim Extraction</x:v>
      </x:c>
      <x:c r="E326" s="15" t="str">
        <x:v>Notion</x:v>
      </x:c>
      <x:c r="F326" s="15" t="str">
        <x:v>Extract claims from Notion — KairoBrain</x:v>
      </x:c>
      <x:c r="G326" s="15" t="str">
        <x:v>staleness / versioning / supersession</x:v>
      </x:c>
      <x:c r="H326" s="15" t="str">
        <x:v>source path + receipt + raw/export status + claim/edge/risk delta</x:v>
      </x:c>
      <x:c r="I326" s="15" t="str">
        <x:v>packet/SWARM-03-H04-S01</x:v>
      </x:c>
      <x:c r="J326" s="15" t="str">
        <x:v>TODO</x:v>
      </x:c>
      <x:c r="K326" s="15" t="str">
        <x:v>P0</x:v>
      </x:c>
      <x:c r="L326" s="15" t="str">
        <x:v>Done only when evidence is logged, contradiction search is noted, and boundary stamp remains non-canon unless ratified</x:v>
      </x:c>
      <x:c r="M326" s="15" t="str">
        <x:v>candidate / staging-only / not canon / not deployed / authority none</x:v>
      </x:c>
      <x:c r="N326" s="15" t="str">
        <x:v>Dispatch to KairoBrain: complete Claim Extraction x Notion; return deltas only, receipts required.</x:v>
      </x:c>
      <x:c r="O326" s="15" t="str">
        <x:v>AF-KG-H04-S01</x:v>
      </x:c>
      <x:c r="P326" s="15" t="str">
        <x:v>Unverified</x:v>
      </x:c>
      <x:c r="Q326" s="15" t="str">
        <x:v>Not checked</x:v>
      </x:c>
      <x:c r="R326" s="15" t="str"/>
      <x:c r="S326" s="15" t="str"/>
      <x:c r="T326" s="15" t="str">
        <x:v>Log first source path or blocker</x:v>
      </x:c>
      <x:c r="U326" s="12" t="str">
        <x:f>IF(OR(P326="Unverified",Q326="Not checked"),"BLOCKED_PENDING_RECEIPT","READY_FOR_REVIEW")</x:f>
        <x:v>BLOCKED_PENDING_RECEIPT</x:v>
      </x:c>
      <x:c r="V326" s="12" t="str">
        <x:f>IF(J326="DONE","RETURNED",IF(U326="BLOCKED_PENDING_RECEIPT","SOURCE_TOUCH_REQUIRED","IN_PROGRESS"))</x:f>
        <x:v>SOURCE_TOUCH_REQUIRED</x:v>
      </x:c>
      <x:c r="W326" s="12" t="str">
        <x:f>IF(P326="Unverified","missing_receipt","receipt_logged")</x:f>
        <x:v>missing_receipt</x:v>
      </x:c>
      <x:c r="X326" s="12" t="str">
        <x:f>IF(Q326="Not checked","raw_status_missing","raw_status_logged")</x:f>
        <x:v>raw_status_missing</x:v>
      </x:c>
      <x:c r="Y326" s="12" t="str">
        <x:f>IF(U326="BLOCKED_PENDING_RECEIPT","Log source path or blocker; do not promote","Route to review lane")</x:f>
        <x:v>Log source path or blocker; do not promote</x:v>
      </x:c>
      <x:c r="Z326" s="12" t="str">
        <x:f>IF(K326="P0","Primary seat + Hashlight/Lucerna","Seat lane")</x:f>
        <x:v>Primary seat + Hashlight/Lucerna</x:v>
      </x:c>
      <x:c r="AA326" s="12" t="str">
        <x:f>IF(R326="","no_claim_delta","claim_delta_present")</x:f>
        <x:v>no_claim_delta</x:v>
      </x:c>
      <x:c r="AB326" s="12" t="str">
        <x:f>IF(S326="","no_contradiction_delta","contradiction_delta_present")</x:f>
        <x:v>no_contradiction_delta</x:v>
      </x:c>
      <x:c r="AC326" s="12" t="str">
        <x:f>IF(OR(ISNUMBER(SEARCH("hacker",LOWER(F326&amp;" "&amp;H326&amp;" "&amp;I326&amp;" "&amp;M326&amp;" "&amp;N326&amp;" "&amp;T326))),ISNUMBER(SEARCH("hacking",LOWER(F326&amp;" "&amp;H326&amp;" "&amp;I326&amp;" "&amp;M326&amp;" "&amp;N326&amp;" "&amp;T326))),ISNUMBER(SEARCH("bank",LOWER(F326&amp;" "&amp;H326&amp;" "&amp;I326&amp;" "&amp;M326&amp;" "&amp;N326&amp;" "&amp;T326))),ISNUMBER(SEARCH("banking",LOWER(F326&amp;" "&amp;H326&amp;" "&amp;I326&amp;" "&amp;M326&amp;" "&amp;N326&amp;" "&amp;T326)))),"PRIVATE_QUARANTINE",IF(OR(ISNUMBER(SEARCH("treasury",LOWER(F326&amp;" "&amp;H326&amp;" "&amp;I326&amp;" "&amp;M326&amp;" "&amp;N326&amp;" "&amp;T326))),ISNUMBER(SEARCH("debt",LOWER(F326&amp;" "&amp;H326&amp;" "&amp;I326&amp;" "&amp;M326&amp;" "&amp;N326&amp;" "&amp;T326))),ISNUMBER(SEARCH("bond",LOWER(F326&amp;" "&amp;H326&amp;" "&amp;I326&amp;" "&amp;M326&amp;" "&amp;N326&amp;" "&amp;T326))),ISNUMBER(SEARCH("transaction",LOWER(F326&amp;" "&amp;H326&amp;" "&amp;I326&amp;" "&amp;M326&amp;" "&amp;N326&amp;" "&amp;T326)))),"PRIVATE_REVIEW","PUBLIC_CANDIDATE"))</x:f>
        <x:v>PUBLIC_CANDIDATE</x:v>
      </x:c>
      <x:c r="AD326" s="12" t="str">
        <x:f>IF(AC326="PRIVATE_QUARANTINE","hacker_or_bank_trigger",IF(AC326="PRIVATE_REVIEW","finance_risk_trigger","none"))</x:f>
        <x:v>none</x:v>
      </x:c>
      <x:c r="AE326" s="12" t="str">
        <x:f>IF(AC326="PUBLIC_CANDIDATE","prepare_public_github_candidate",IF(AC326="PRIVATE_REVIEW","hold_for_private_review","quarantine_private_do_not_publish"))</x:f>
        <x:v>prepare_public_github_candidate</x:v>
      </x:c>
      <x:c r="AF326" s="12" t="str">
        <x:f>IF(AC326="PUBLIC_CANDIDATE","TIDELOCK + Lucerna",IF(AC326="PRIVATE_REVIEW","AtlasBrain + Lucerna","TIDELOCK + Lucerna + Human-root"))</x:f>
        <x:v>TIDELOCK + Lucerna</x:v>
      </x:c>
      <x:c r="AG326" s="12" t="str">
        <x:f>IF(AND(AC326="PUBLIC_CANDIDATE",U326&lt;&gt;"BLOCKED_PENDING_RECEIPT"),"READY_AFTER_RECEIPT","NOT_READY")</x:f>
        <x:v>NOT_READY</x:v>
      </x:c>
      <x:c r="AH326" s="12" t="str">
        <x:f>IF(AC326="PUBLIC_CANDIDATE","none",AD326)</x:f>
        <x:v>none</x:v>
      </x:c>
      <x:c r="AI326" s="12" t="str">
        <x:f>IF(AC326="PUBLIC_CANDIDATE","archive/public_candidates/"&amp;A326,"private_quarantine/"&amp;A326)</x:f>
        <x:v>archive/public_candidates/SWARM-03-H04-S01</x:v>
      </x:c>
      <x:c r="AJ326" s="12" t="str">
        <x:f>IF(AC326="PUBLIC_CANDIDATE","public by default; still not canon","private/hold; do not publish")</x:f>
        <x:v>public by default; still not canon</x:v>
      </x:c>
      <x:c r="AK326" s="12" t="str">
        <x:f>IF(AE326="prepare_public_github_candidate","add receipt/status then mirror","resolve blocker before any public GitHub action")</x:f>
        <x:v>add receipt/status then mirror</x:v>
      </x:c>
    </x:row>
    <x:row r="327">
      <x:c r="A327" s="15" t="str">
        <x:v>SWARM-03-H04-S02</x:v>
      </x:c>
      <x:c r="B327" s="15" t="str">
        <x:v>KairoBrain</x:v>
      </x:c>
      <x:c r="C327" s="15" t="str">
        <x:v>Temporal strata keeper</x:v>
      </x:c>
      <x:c r="D327" s="15" t="str">
        <x:v>Claim Extraction</x:v>
      </x:c>
      <x:c r="E327" s="15" t="str">
        <x:v>Drive</x:v>
      </x:c>
      <x:c r="F327" s="15" t="str">
        <x:v>Extract claims from Drive — KairoBrain</x:v>
      </x:c>
      <x:c r="G327" s="15" t="str">
        <x:v>staleness / versioning / supersession</x:v>
      </x:c>
      <x:c r="H327" s="15" t="str">
        <x:v>source path + receipt + raw/export status + claim/edge/risk delta</x:v>
      </x:c>
      <x:c r="I327" s="15" t="str">
        <x:v>packet/SWARM-03-H04-S02</x:v>
      </x:c>
      <x:c r="J327" s="15" t="str">
        <x:v>TODO</x:v>
      </x:c>
      <x:c r="K327" s="15" t="str">
        <x:v>P0</x:v>
      </x:c>
      <x:c r="L327" s="15" t="str">
        <x:v>Done only when evidence is logged, contradiction search is noted, and boundary stamp remains non-canon unless ratified</x:v>
      </x:c>
      <x:c r="M327" s="15" t="str">
        <x:v>candidate / staging-only / not canon / not deployed / authority none</x:v>
      </x:c>
      <x:c r="N327" s="15" t="str">
        <x:v>Dispatch to KairoBrain: complete Claim Extraction x Drive; return deltas only, receipts required.</x:v>
      </x:c>
      <x:c r="O327" s="15" t="str">
        <x:v>AF-KG-H04-S02</x:v>
      </x:c>
      <x:c r="P327" s="15" t="str">
        <x:v>Unverified</x:v>
      </x:c>
      <x:c r="Q327" s="15" t="str">
        <x:v>Not checked</x:v>
      </x:c>
      <x:c r="R327" s="15" t="str"/>
      <x:c r="S327" s="15" t="str"/>
      <x:c r="T327" s="15" t="str">
        <x:v>Log first source path or blocker</x:v>
      </x:c>
      <x:c r="U327" s="12" t="str">
        <x:f>IF(OR(P327="Unverified",Q327="Not checked"),"BLOCKED_PENDING_RECEIPT","READY_FOR_REVIEW")</x:f>
        <x:v>BLOCKED_PENDING_RECEIPT</x:v>
      </x:c>
      <x:c r="V327" s="12" t="str">
        <x:f>IF(J327="DONE","RETURNED",IF(U327="BLOCKED_PENDING_RECEIPT","SOURCE_TOUCH_REQUIRED","IN_PROGRESS"))</x:f>
        <x:v>SOURCE_TOUCH_REQUIRED</x:v>
      </x:c>
      <x:c r="W327" s="12" t="str">
        <x:f>IF(P327="Unverified","missing_receipt","receipt_logged")</x:f>
        <x:v>missing_receipt</x:v>
      </x:c>
      <x:c r="X327" s="12" t="str">
        <x:f>IF(Q327="Not checked","raw_status_missing","raw_status_logged")</x:f>
        <x:v>raw_status_missing</x:v>
      </x:c>
      <x:c r="Y327" s="12" t="str">
        <x:f>IF(U327="BLOCKED_PENDING_RECEIPT","Log source path or blocker; do not promote","Route to review lane")</x:f>
        <x:v>Log source path or blocker; do not promote</x:v>
      </x:c>
      <x:c r="Z327" s="12" t="str">
        <x:f>IF(K327="P0","Primary seat + Hashlight/Lucerna","Seat lane")</x:f>
        <x:v>Primary seat + Hashlight/Lucerna</x:v>
      </x:c>
      <x:c r="AA327" s="12" t="str">
        <x:f>IF(R327="","no_claim_delta","claim_delta_present")</x:f>
        <x:v>no_claim_delta</x:v>
      </x:c>
      <x:c r="AB327" s="12" t="str">
        <x:f>IF(S327="","no_contradiction_delta","contradiction_delta_present")</x:f>
        <x:v>no_contradiction_delta</x:v>
      </x:c>
      <x:c r="AC327" s="12" t="str">
        <x:f>IF(OR(ISNUMBER(SEARCH("hacker",LOWER(F327&amp;" "&amp;H327&amp;" "&amp;I327&amp;" "&amp;M327&amp;" "&amp;N327&amp;" "&amp;T327))),ISNUMBER(SEARCH("hacking",LOWER(F327&amp;" "&amp;H327&amp;" "&amp;I327&amp;" "&amp;M327&amp;" "&amp;N327&amp;" "&amp;T327))),ISNUMBER(SEARCH("bank",LOWER(F327&amp;" "&amp;H327&amp;" "&amp;I327&amp;" "&amp;M327&amp;" "&amp;N327&amp;" "&amp;T327))),ISNUMBER(SEARCH("banking",LOWER(F327&amp;" "&amp;H327&amp;" "&amp;I327&amp;" "&amp;M327&amp;" "&amp;N327&amp;" "&amp;T327)))),"PRIVATE_QUARANTINE",IF(OR(ISNUMBER(SEARCH("treasury",LOWER(F327&amp;" "&amp;H327&amp;" "&amp;I327&amp;" "&amp;M327&amp;" "&amp;N327&amp;" "&amp;T327))),ISNUMBER(SEARCH("debt",LOWER(F327&amp;" "&amp;H327&amp;" "&amp;I327&amp;" "&amp;M327&amp;" "&amp;N327&amp;" "&amp;T327))),ISNUMBER(SEARCH("bond",LOWER(F327&amp;" "&amp;H327&amp;" "&amp;I327&amp;" "&amp;M327&amp;" "&amp;N327&amp;" "&amp;T327))),ISNUMBER(SEARCH("transaction",LOWER(F327&amp;" "&amp;H327&amp;" "&amp;I327&amp;" "&amp;M327&amp;" "&amp;N327&amp;" "&amp;T327)))),"PRIVATE_REVIEW","PUBLIC_CANDIDATE"))</x:f>
        <x:v>PUBLIC_CANDIDATE</x:v>
      </x:c>
      <x:c r="AD327" s="12" t="str">
        <x:f>IF(AC327="PRIVATE_QUARANTINE","hacker_or_bank_trigger",IF(AC327="PRIVATE_REVIEW","finance_risk_trigger","none"))</x:f>
        <x:v>none</x:v>
      </x:c>
      <x:c r="AE327" s="12" t="str">
        <x:f>IF(AC327="PUBLIC_CANDIDATE","prepare_public_github_candidate",IF(AC327="PRIVATE_REVIEW","hold_for_private_review","quarantine_private_do_not_publish"))</x:f>
        <x:v>prepare_public_github_candidate</x:v>
      </x:c>
      <x:c r="AF327" s="12" t="str">
        <x:f>IF(AC327="PUBLIC_CANDIDATE","TIDELOCK + Lucerna",IF(AC327="PRIVATE_REVIEW","AtlasBrain + Lucerna","TIDELOCK + Lucerna + Human-root"))</x:f>
        <x:v>TIDELOCK + Lucerna</x:v>
      </x:c>
      <x:c r="AG327" s="12" t="str">
        <x:f>IF(AND(AC327="PUBLIC_CANDIDATE",U327&lt;&gt;"BLOCKED_PENDING_RECEIPT"),"READY_AFTER_RECEIPT","NOT_READY")</x:f>
        <x:v>NOT_READY</x:v>
      </x:c>
      <x:c r="AH327" s="12" t="str">
        <x:f>IF(AC327="PUBLIC_CANDIDATE","none",AD327)</x:f>
        <x:v>none</x:v>
      </x:c>
      <x:c r="AI327" s="12" t="str">
        <x:f>IF(AC327="PUBLIC_CANDIDATE","archive/public_candidates/"&amp;A327,"private_quarantine/"&amp;A327)</x:f>
        <x:v>archive/public_candidates/SWARM-03-H04-S02</x:v>
      </x:c>
      <x:c r="AJ327" s="12" t="str">
        <x:f>IF(AC327="PUBLIC_CANDIDATE","public by default; still not canon","private/hold; do not publish")</x:f>
        <x:v>public by default; still not canon</x:v>
      </x:c>
      <x:c r="AK327" s="12" t="str">
        <x:f>IF(AE327="prepare_public_github_candidate","add receipt/status then mirror","resolve blocker before any public GitHub action")</x:f>
        <x:v>add receipt/status then mirror</x:v>
      </x:c>
    </x:row>
    <x:row r="328">
      <x:c r="A328" s="15" t="str">
        <x:v>SWARM-03-H04-S03</x:v>
      </x:c>
      <x:c r="B328" s="15" t="str">
        <x:v>KairoBrain</x:v>
      </x:c>
      <x:c r="C328" s="15" t="str">
        <x:v>Temporal strata keeper</x:v>
      </x:c>
      <x:c r="D328" s="15" t="str">
        <x:v>Claim Extraction</x:v>
      </x:c>
      <x:c r="E328" s="15" t="str">
        <x:v>GitHub</x:v>
      </x:c>
      <x:c r="F328" s="15" t="str">
        <x:v>Extract claims from GitHub — KairoBrain</x:v>
      </x:c>
      <x:c r="G328" s="15" t="str">
        <x:v>staleness / versioning / supersession</x:v>
      </x:c>
      <x:c r="H328" s="15" t="str">
        <x:v>source path + receipt + raw/export status + claim/edge/risk delta</x:v>
      </x:c>
      <x:c r="I328" s="15" t="str">
        <x:v>packet/SWARM-03-H04-S03</x:v>
      </x:c>
      <x:c r="J328" s="15" t="str">
        <x:v>TODO</x:v>
      </x:c>
      <x:c r="K328" s="15" t="str">
        <x:v>P0</x:v>
      </x:c>
      <x:c r="L328" s="15" t="str">
        <x:v>Done only when evidence is logged, contradiction search is noted, and boundary stamp remains non-canon unless ratified</x:v>
      </x:c>
      <x:c r="M328" s="15" t="str">
        <x:v>candidate / staging-only / not canon / not deployed / authority none</x:v>
      </x:c>
      <x:c r="N328" s="15" t="str">
        <x:v>Dispatch to KairoBrain: complete Claim Extraction x GitHub; return deltas only, receipts required.</x:v>
      </x:c>
      <x:c r="O328" s="15" t="str">
        <x:v>AF-KG-H04-S03</x:v>
      </x:c>
      <x:c r="P328" s="15" t="str">
        <x:v>Unverified</x:v>
      </x:c>
      <x:c r="Q328" s="15" t="str">
        <x:v>Not checked</x:v>
      </x:c>
      <x:c r="R328" s="15" t="str"/>
      <x:c r="S328" s="15" t="str"/>
      <x:c r="T328" s="15" t="str">
        <x:v>Log first source path or blocker</x:v>
      </x:c>
      <x:c r="U328" s="12" t="str">
        <x:f>IF(OR(P328="Unverified",Q328="Not checked"),"BLOCKED_PENDING_RECEIPT","READY_FOR_REVIEW")</x:f>
        <x:v>BLOCKED_PENDING_RECEIPT</x:v>
      </x:c>
      <x:c r="V328" s="12" t="str">
        <x:f>IF(J328="DONE","RETURNED",IF(U328="BLOCKED_PENDING_RECEIPT","SOURCE_TOUCH_REQUIRED","IN_PROGRESS"))</x:f>
        <x:v>SOURCE_TOUCH_REQUIRED</x:v>
      </x:c>
      <x:c r="W328" s="12" t="str">
        <x:f>IF(P328="Unverified","missing_receipt","receipt_logged")</x:f>
        <x:v>missing_receipt</x:v>
      </x:c>
      <x:c r="X328" s="12" t="str">
        <x:f>IF(Q328="Not checked","raw_status_missing","raw_status_logged")</x:f>
        <x:v>raw_status_missing</x:v>
      </x:c>
      <x:c r="Y328" s="12" t="str">
        <x:f>IF(U328="BLOCKED_PENDING_RECEIPT","Log source path or blocker; do not promote","Route to review lane")</x:f>
        <x:v>Log source path or blocker; do not promote</x:v>
      </x:c>
      <x:c r="Z328" s="12" t="str">
        <x:f>IF(K328="P0","Primary seat + Hashlight/Lucerna","Seat lane")</x:f>
        <x:v>Primary seat + Hashlight/Lucerna</x:v>
      </x:c>
      <x:c r="AA328" s="12" t="str">
        <x:f>IF(R328="","no_claim_delta","claim_delta_present")</x:f>
        <x:v>no_claim_delta</x:v>
      </x:c>
      <x:c r="AB328" s="12" t="str">
        <x:f>IF(S328="","no_contradiction_delta","contradiction_delta_present")</x:f>
        <x:v>no_contradiction_delta</x:v>
      </x:c>
      <x:c r="AC328" s="12" t="str">
        <x:f>IF(OR(ISNUMBER(SEARCH("hacker",LOWER(F328&amp;" "&amp;H328&amp;" "&amp;I328&amp;" "&amp;M328&amp;" "&amp;N328&amp;" "&amp;T328))),ISNUMBER(SEARCH("hacking",LOWER(F328&amp;" "&amp;H328&amp;" "&amp;I328&amp;" "&amp;M328&amp;" "&amp;N328&amp;" "&amp;T328))),ISNUMBER(SEARCH("bank",LOWER(F328&amp;" "&amp;H328&amp;" "&amp;I328&amp;" "&amp;M328&amp;" "&amp;N328&amp;" "&amp;T328))),ISNUMBER(SEARCH("banking",LOWER(F328&amp;" "&amp;H328&amp;" "&amp;I328&amp;" "&amp;M328&amp;" "&amp;N328&amp;" "&amp;T328)))),"PRIVATE_QUARANTINE",IF(OR(ISNUMBER(SEARCH("treasury",LOWER(F328&amp;" "&amp;H328&amp;" "&amp;I328&amp;" "&amp;M328&amp;" "&amp;N328&amp;" "&amp;T328))),ISNUMBER(SEARCH("debt",LOWER(F328&amp;" "&amp;H328&amp;" "&amp;I328&amp;" "&amp;M328&amp;" "&amp;N328&amp;" "&amp;T328))),ISNUMBER(SEARCH("bond",LOWER(F328&amp;" "&amp;H328&amp;" "&amp;I328&amp;" "&amp;M328&amp;" "&amp;N328&amp;" "&amp;T328))),ISNUMBER(SEARCH("transaction",LOWER(F328&amp;" "&amp;H328&amp;" "&amp;I328&amp;" "&amp;M328&amp;" "&amp;N328&amp;" "&amp;T328)))),"PRIVATE_REVIEW","PUBLIC_CANDIDATE"))</x:f>
        <x:v>PUBLIC_CANDIDATE</x:v>
      </x:c>
      <x:c r="AD328" s="12" t="str">
        <x:f>IF(AC328="PRIVATE_QUARANTINE","hacker_or_bank_trigger",IF(AC328="PRIVATE_REVIEW","finance_risk_trigger","none"))</x:f>
        <x:v>none</x:v>
      </x:c>
      <x:c r="AE328" s="12" t="str">
        <x:f>IF(AC328="PUBLIC_CANDIDATE","prepare_public_github_candidate",IF(AC328="PRIVATE_REVIEW","hold_for_private_review","quarantine_private_do_not_publish"))</x:f>
        <x:v>prepare_public_github_candidate</x:v>
      </x:c>
      <x:c r="AF328" s="12" t="str">
        <x:f>IF(AC328="PUBLIC_CANDIDATE","TIDELOCK + Lucerna",IF(AC328="PRIVATE_REVIEW","AtlasBrain + Lucerna","TIDELOCK + Lucerna + Human-root"))</x:f>
        <x:v>TIDELOCK + Lucerna</x:v>
      </x:c>
      <x:c r="AG328" s="12" t="str">
        <x:f>IF(AND(AC328="PUBLIC_CANDIDATE",U328&lt;&gt;"BLOCKED_PENDING_RECEIPT"),"READY_AFTER_RECEIPT","NOT_READY")</x:f>
        <x:v>NOT_READY</x:v>
      </x:c>
      <x:c r="AH328" s="12" t="str">
        <x:f>IF(AC328="PUBLIC_CANDIDATE","none",AD328)</x:f>
        <x:v>none</x:v>
      </x:c>
      <x:c r="AI328" s="12" t="str">
        <x:f>IF(AC328="PUBLIC_CANDIDATE","archive/public_candidates/"&amp;A328,"private_quarantine/"&amp;A328)</x:f>
        <x:v>archive/public_candidates/SWARM-03-H04-S03</x:v>
      </x:c>
      <x:c r="AJ328" s="12" t="str">
        <x:f>IF(AC328="PUBLIC_CANDIDATE","public by default; still not canon","private/hold; do not publish")</x:f>
        <x:v>public by default; still not canon</x:v>
      </x:c>
      <x:c r="AK328" s="12" t="str">
        <x:f>IF(AE328="prepare_public_github_candidate","add receipt/status then mirror","resolve blocker before any public GitHub action")</x:f>
        <x:v>add receipt/status then mirror</x:v>
      </x:c>
    </x:row>
    <x:row r="329">
      <x:c r="A329" s="15" t="str">
        <x:v>SWARM-03-H04-S04</x:v>
      </x:c>
      <x:c r="B329" s="15" t="str">
        <x:v>KairoBrain</x:v>
      </x:c>
      <x:c r="C329" s="15" t="str">
        <x:v>Temporal strata keeper</x:v>
      </x:c>
      <x:c r="D329" s="15" t="str">
        <x:v>Claim Extraction</x:v>
      </x:c>
      <x:c r="E329" s="15" t="str">
        <x:v>Gamma</x:v>
      </x:c>
      <x:c r="F329" s="15" t="str">
        <x:v>Extract claims from Gamma — KairoBrain</x:v>
      </x:c>
      <x:c r="G329" s="15" t="str">
        <x:v>staleness / versioning / supersession</x:v>
      </x:c>
      <x:c r="H329" s="15" t="str">
        <x:v>source path + receipt + raw/export status + claim/edge/risk delta</x:v>
      </x:c>
      <x:c r="I329" s="15" t="str">
        <x:v>packet/SWARM-03-H04-S04</x:v>
      </x:c>
      <x:c r="J329" s="15" t="str">
        <x:v>TODO</x:v>
      </x:c>
      <x:c r="K329" s="15" t="str">
        <x:v>P1</x:v>
      </x:c>
      <x:c r="L329" s="15" t="str">
        <x:v>Done only when evidence is logged, contradiction search is noted, and boundary stamp remains non-canon unless ratified</x:v>
      </x:c>
      <x:c r="M329" s="15" t="str">
        <x:v>candidate / staging-only / not canon / not deployed / authority none</x:v>
      </x:c>
      <x:c r="N329" s="15" t="str">
        <x:v>Dispatch to KairoBrain: complete Claim Extraction x Gamma; return deltas only, receipts required.</x:v>
      </x:c>
      <x:c r="O329" s="15" t="str">
        <x:v>AF-KG-H04-S04</x:v>
      </x:c>
      <x:c r="P329" s="15" t="str">
        <x:v>Unverified</x:v>
      </x:c>
      <x:c r="Q329" s="15" t="str">
        <x:v>Not checked</x:v>
      </x:c>
      <x:c r="R329" s="15" t="str"/>
      <x:c r="S329" s="15" t="str"/>
      <x:c r="T329" s="15" t="str">
        <x:v>Log first source path or blocker</x:v>
      </x:c>
      <x:c r="U329" s="12" t="str">
        <x:f>IF(OR(P329="Unverified",Q329="Not checked"),"BLOCKED_PENDING_RECEIPT","READY_FOR_REVIEW")</x:f>
        <x:v>BLOCKED_PENDING_RECEIPT</x:v>
      </x:c>
      <x:c r="V329" s="12" t="str">
        <x:f>IF(J329="DONE","RETURNED",IF(U329="BLOCKED_PENDING_RECEIPT","SOURCE_TOUCH_REQUIRED","IN_PROGRESS"))</x:f>
        <x:v>SOURCE_TOUCH_REQUIRED</x:v>
      </x:c>
      <x:c r="W329" s="12" t="str">
        <x:f>IF(P329="Unverified","missing_receipt","receipt_logged")</x:f>
        <x:v>missing_receipt</x:v>
      </x:c>
      <x:c r="X329" s="12" t="str">
        <x:f>IF(Q329="Not checked","raw_status_missing","raw_status_logged")</x:f>
        <x:v>raw_status_missing</x:v>
      </x:c>
      <x:c r="Y329" s="12" t="str">
        <x:f>IF(U329="BLOCKED_PENDING_RECEIPT","Log source path or blocker; do not promote","Route to review lane")</x:f>
        <x:v>Log source path or blocker; do not promote</x:v>
      </x:c>
      <x:c r="Z329" s="12" t="str">
        <x:f>IF(K329="P0","Primary seat + Hashlight/Lucerna","Seat lane")</x:f>
        <x:v>Seat lane</x:v>
      </x:c>
      <x:c r="AA329" s="12" t="str">
        <x:f>IF(R329="","no_claim_delta","claim_delta_present")</x:f>
        <x:v>no_claim_delta</x:v>
      </x:c>
      <x:c r="AB329" s="12" t="str">
        <x:f>IF(S329="","no_contradiction_delta","contradiction_delta_present")</x:f>
        <x:v>no_contradiction_delta</x:v>
      </x:c>
      <x:c r="AC329" s="12" t="str">
        <x:f>IF(OR(ISNUMBER(SEARCH("hacker",LOWER(F329&amp;" "&amp;H329&amp;" "&amp;I329&amp;" "&amp;M329&amp;" "&amp;N329&amp;" "&amp;T329))),ISNUMBER(SEARCH("hacking",LOWER(F329&amp;" "&amp;H329&amp;" "&amp;I329&amp;" "&amp;M329&amp;" "&amp;N329&amp;" "&amp;T329))),ISNUMBER(SEARCH("bank",LOWER(F329&amp;" "&amp;H329&amp;" "&amp;I329&amp;" "&amp;M329&amp;" "&amp;N329&amp;" "&amp;T329))),ISNUMBER(SEARCH("banking",LOWER(F329&amp;" "&amp;H329&amp;" "&amp;I329&amp;" "&amp;M329&amp;" "&amp;N329&amp;" "&amp;T329)))),"PRIVATE_QUARANTINE",IF(OR(ISNUMBER(SEARCH("treasury",LOWER(F329&amp;" "&amp;H329&amp;" "&amp;I329&amp;" "&amp;M329&amp;" "&amp;N329&amp;" "&amp;T329))),ISNUMBER(SEARCH("debt",LOWER(F329&amp;" "&amp;H329&amp;" "&amp;I329&amp;" "&amp;M329&amp;" "&amp;N329&amp;" "&amp;T329))),ISNUMBER(SEARCH("bond",LOWER(F329&amp;" "&amp;H329&amp;" "&amp;I329&amp;" "&amp;M329&amp;" "&amp;N329&amp;" "&amp;T329))),ISNUMBER(SEARCH("transaction",LOWER(F329&amp;" "&amp;H329&amp;" "&amp;I329&amp;" "&amp;M329&amp;" "&amp;N329&amp;" "&amp;T329)))),"PRIVATE_REVIEW","PUBLIC_CANDIDATE"))</x:f>
        <x:v>PUBLIC_CANDIDATE</x:v>
      </x:c>
      <x:c r="AD329" s="12" t="str">
        <x:f>IF(AC329="PRIVATE_QUARANTINE","hacker_or_bank_trigger",IF(AC329="PRIVATE_REVIEW","finance_risk_trigger","none"))</x:f>
        <x:v>none</x:v>
      </x:c>
      <x:c r="AE329" s="12" t="str">
        <x:f>IF(AC329="PUBLIC_CANDIDATE","prepare_public_github_candidate",IF(AC329="PRIVATE_REVIEW","hold_for_private_review","quarantine_private_do_not_publish"))</x:f>
        <x:v>prepare_public_github_candidate</x:v>
      </x:c>
      <x:c r="AF329" s="12" t="str">
        <x:f>IF(AC329="PUBLIC_CANDIDATE","TIDELOCK + Lucerna",IF(AC329="PRIVATE_REVIEW","AtlasBrain + Lucerna","TIDELOCK + Lucerna + Human-root"))</x:f>
        <x:v>TIDELOCK + Lucerna</x:v>
      </x:c>
      <x:c r="AG329" s="12" t="str">
        <x:f>IF(AND(AC329="PUBLIC_CANDIDATE",U329&lt;&gt;"BLOCKED_PENDING_RECEIPT"),"READY_AFTER_RECEIPT","NOT_READY")</x:f>
        <x:v>NOT_READY</x:v>
      </x:c>
      <x:c r="AH329" s="12" t="str">
        <x:f>IF(AC329="PUBLIC_CANDIDATE","none",AD329)</x:f>
        <x:v>none</x:v>
      </x:c>
      <x:c r="AI329" s="12" t="str">
        <x:f>IF(AC329="PUBLIC_CANDIDATE","archive/public_candidates/"&amp;A329,"private_quarantine/"&amp;A329)</x:f>
        <x:v>archive/public_candidates/SWARM-03-H04-S04</x:v>
      </x:c>
      <x:c r="AJ329" s="12" t="str">
        <x:f>IF(AC329="PUBLIC_CANDIDATE","public by default; still not canon","private/hold; do not publish")</x:f>
        <x:v>public by default; still not canon</x:v>
      </x:c>
      <x:c r="AK329" s="12" t="str">
        <x:f>IF(AE329="prepare_public_github_candidate","add receipt/status then mirror","resolve blocker before any public GitHub action")</x:f>
        <x:v>add receipt/status then mirror</x:v>
      </x:c>
    </x:row>
    <x:row r="330">
      <x:c r="A330" s="15" t="str">
        <x:v>SWARM-03-H04-S05</x:v>
      </x:c>
      <x:c r="B330" s="15" t="str">
        <x:v>KairoBrain</x:v>
      </x:c>
      <x:c r="C330" s="15" t="str">
        <x:v>Temporal strata keeper</x:v>
      </x:c>
      <x:c r="D330" s="15" t="str">
        <x:v>Claim Extraction</x:v>
      </x:c>
      <x:c r="E330" s="15" t="str">
        <x:v>Chat</x:v>
      </x:c>
      <x:c r="F330" s="15" t="str">
        <x:v>Extract claims from Chat — KairoBrain</x:v>
      </x:c>
      <x:c r="G330" s="15" t="str">
        <x:v>staleness / versioning / supersession</x:v>
      </x:c>
      <x:c r="H330" s="15" t="str">
        <x:v>source path + receipt + raw/export status + claim/edge/risk delta</x:v>
      </x:c>
      <x:c r="I330" s="15" t="str">
        <x:v>packet/SWARM-03-H04-S05</x:v>
      </x:c>
      <x:c r="J330" s="15" t="str">
        <x:v>TODO</x:v>
      </x:c>
      <x:c r="K330" s="15" t="str">
        <x:v>P1</x:v>
      </x:c>
      <x:c r="L330" s="15" t="str">
        <x:v>Done only when evidence is logged, contradiction search is noted, and boundary stamp remains non-canon unless ratified</x:v>
      </x:c>
      <x:c r="M330" s="15" t="str">
        <x:v>candidate / staging-only / not canon / not deployed / authority none</x:v>
      </x:c>
      <x:c r="N330" s="15" t="str">
        <x:v>Dispatch to KairoBrain: complete Claim Extraction x Chat; return deltas only, receipts required.</x:v>
      </x:c>
      <x:c r="O330" s="15" t="str">
        <x:v>AF-KG-H04-S05</x:v>
      </x:c>
      <x:c r="P330" s="15" t="str">
        <x:v>Unverified</x:v>
      </x:c>
      <x:c r="Q330" s="15" t="str">
        <x:v>Not checked</x:v>
      </x:c>
      <x:c r="R330" s="15" t="str"/>
      <x:c r="S330" s="15" t="str"/>
      <x:c r="T330" s="15" t="str">
        <x:v>Log first source path or blocker</x:v>
      </x:c>
      <x:c r="U330" s="12" t="str">
        <x:f>IF(OR(P330="Unverified",Q330="Not checked"),"BLOCKED_PENDING_RECEIPT","READY_FOR_REVIEW")</x:f>
        <x:v>BLOCKED_PENDING_RECEIPT</x:v>
      </x:c>
      <x:c r="V330" s="12" t="str">
        <x:f>IF(J330="DONE","RETURNED",IF(U330="BLOCKED_PENDING_RECEIPT","SOURCE_TOUCH_REQUIRED","IN_PROGRESS"))</x:f>
        <x:v>SOURCE_TOUCH_REQUIRED</x:v>
      </x:c>
      <x:c r="W330" s="12" t="str">
        <x:f>IF(P330="Unverified","missing_receipt","receipt_logged")</x:f>
        <x:v>missing_receipt</x:v>
      </x:c>
      <x:c r="X330" s="12" t="str">
        <x:f>IF(Q330="Not checked","raw_status_missing","raw_status_logged")</x:f>
        <x:v>raw_status_missing</x:v>
      </x:c>
      <x:c r="Y330" s="12" t="str">
        <x:f>IF(U330="BLOCKED_PENDING_RECEIPT","Log source path or blocker; do not promote","Route to review lane")</x:f>
        <x:v>Log source path or blocker; do not promote</x:v>
      </x:c>
      <x:c r="Z330" s="12" t="str">
        <x:f>IF(K330="P0","Primary seat + Hashlight/Lucerna","Seat lane")</x:f>
        <x:v>Seat lane</x:v>
      </x:c>
      <x:c r="AA330" s="12" t="str">
        <x:f>IF(R330="","no_claim_delta","claim_delta_present")</x:f>
        <x:v>no_claim_delta</x:v>
      </x:c>
      <x:c r="AB330" s="12" t="str">
        <x:f>IF(S330="","no_contradiction_delta","contradiction_delta_present")</x:f>
        <x:v>no_contradiction_delta</x:v>
      </x:c>
      <x:c r="AC330" s="12" t="str">
        <x:f>IF(OR(ISNUMBER(SEARCH("hacker",LOWER(F330&amp;" "&amp;H330&amp;" "&amp;I330&amp;" "&amp;M330&amp;" "&amp;N330&amp;" "&amp;T330))),ISNUMBER(SEARCH("hacking",LOWER(F330&amp;" "&amp;H330&amp;" "&amp;I330&amp;" "&amp;M330&amp;" "&amp;N330&amp;" "&amp;T330))),ISNUMBER(SEARCH("bank",LOWER(F330&amp;" "&amp;H330&amp;" "&amp;I330&amp;" "&amp;M330&amp;" "&amp;N330&amp;" "&amp;T330))),ISNUMBER(SEARCH("banking",LOWER(F330&amp;" "&amp;H330&amp;" "&amp;I330&amp;" "&amp;M330&amp;" "&amp;N330&amp;" "&amp;T330)))),"PRIVATE_QUARANTINE",IF(OR(ISNUMBER(SEARCH("treasury",LOWER(F330&amp;" "&amp;H330&amp;" "&amp;I330&amp;" "&amp;M330&amp;" "&amp;N330&amp;" "&amp;T330))),ISNUMBER(SEARCH("debt",LOWER(F330&amp;" "&amp;H330&amp;" "&amp;I330&amp;" "&amp;M330&amp;" "&amp;N330&amp;" "&amp;T330))),ISNUMBER(SEARCH("bond",LOWER(F330&amp;" "&amp;H330&amp;" "&amp;I330&amp;" "&amp;M330&amp;" "&amp;N330&amp;" "&amp;T330))),ISNUMBER(SEARCH("transaction",LOWER(F330&amp;" "&amp;H330&amp;" "&amp;I330&amp;" "&amp;M330&amp;" "&amp;N330&amp;" "&amp;T330)))),"PRIVATE_REVIEW","PUBLIC_CANDIDATE"))</x:f>
        <x:v>PUBLIC_CANDIDATE</x:v>
      </x:c>
      <x:c r="AD330" s="12" t="str">
        <x:f>IF(AC330="PRIVATE_QUARANTINE","hacker_or_bank_trigger",IF(AC330="PRIVATE_REVIEW","finance_risk_trigger","none"))</x:f>
        <x:v>none</x:v>
      </x:c>
      <x:c r="AE330" s="12" t="str">
        <x:f>IF(AC330="PUBLIC_CANDIDATE","prepare_public_github_candidate",IF(AC330="PRIVATE_REVIEW","hold_for_private_review","quarantine_private_do_not_publish"))</x:f>
        <x:v>prepare_public_github_candidate</x:v>
      </x:c>
      <x:c r="AF330" s="12" t="str">
        <x:f>IF(AC330="PUBLIC_CANDIDATE","TIDELOCK + Lucerna",IF(AC330="PRIVATE_REVIEW","AtlasBrain + Lucerna","TIDELOCK + Lucerna + Human-root"))</x:f>
        <x:v>TIDELOCK + Lucerna</x:v>
      </x:c>
      <x:c r="AG330" s="12" t="str">
        <x:f>IF(AND(AC330="PUBLIC_CANDIDATE",U330&lt;&gt;"BLOCKED_PENDING_RECEIPT"),"READY_AFTER_RECEIPT","NOT_READY")</x:f>
        <x:v>NOT_READY</x:v>
      </x:c>
      <x:c r="AH330" s="12" t="str">
        <x:f>IF(AC330="PUBLIC_CANDIDATE","none",AD330)</x:f>
        <x:v>none</x:v>
      </x:c>
      <x:c r="AI330" s="12" t="str">
        <x:f>IF(AC330="PUBLIC_CANDIDATE","archive/public_candidates/"&amp;A330,"private_quarantine/"&amp;A330)</x:f>
        <x:v>archive/public_candidates/SWARM-03-H04-S05</x:v>
      </x:c>
      <x:c r="AJ330" s="12" t="str">
        <x:f>IF(AC330="PUBLIC_CANDIDATE","public by default; still not canon","private/hold; do not publish")</x:f>
        <x:v>public by default; still not canon</x:v>
      </x:c>
      <x:c r="AK330" s="12" t="str">
        <x:f>IF(AE330="prepare_public_github_candidate","add receipt/status then mirror","resolve blocker before any public GitHub action")</x:f>
        <x:v>add receipt/status then mirror</x:v>
      </x:c>
    </x:row>
    <x:row r="331">
      <x:c r="A331" s="15" t="str">
        <x:v>SWARM-03-H04-S06</x:v>
      </x:c>
      <x:c r="B331" s="15" t="str">
        <x:v>KairoBrain</x:v>
      </x:c>
      <x:c r="C331" s="15" t="str">
        <x:v>Temporal strata keeper</x:v>
      </x:c>
      <x:c r="D331" s="15" t="str">
        <x:v>Claim Extraction</x:v>
      </x:c>
      <x:c r="E331" s="15" t="str">
        <x:v>External Web</x:v>
      </x:c>
      <x:c r="F331" s="15" t="str">
        <x:v>Extract claims from External Web — KairoBrain</x:v>
      </x:c>
      <x:c r="G331" s="15" t="str">
        <x:v>staleness / versioning / supersession</x:v>
      </x:c>
      <x:c r="H331" s="15" t="str">
        <x:v>source path + receipt + raw/export status + claim/edge/risk delta</x:v>
      </x:c>
      <x:c r="I331" s="15" t="str">
        <x:v>packet/SWARM-03-H04-S06</x:v>
      </x:c>
      <x:c r="J331" s="15" t="str">
        <x:v>TODO</x:v>
      </x:c>
      <x:c r="K331" s="15" t="str">
        <x:v>P1</x:v>
      </x:c>
      <x:c r="L331" s="15" t="str">
        <x:v>Done only when evidence is logged, contradiction search is noted, and boundary stamp remains non-canon unless ratified</x:v>
      </x:c>
      <x:c r="M331" s="15" t="str">
        <x:v>candidate / staging-only / not canon / not deployed / authority none</x:v>
      </x:c>
      <x:c r="N331" s="15" t="str">
        <x:v>Dispatch to KairoBrain: complete Claim Extraction x External Web; return deltas only, receipts required.</x:v>
      </x:c>
      <x:c r="O331" s="15" t="str">
        <x:v>AF-KG-H04-S06</x:v>
      </x:c>
      <x:c r="P331" s="15" t="str">
        <x:v>Unverified</x:v>
      </x:c>
      <x:c r="Q331" s="15" t="str">
        <x:v>Not checked</x:v>
      </x:c>
      <x:c r="R331" s="15" t="str"/>
      <x:c r="S331" s="15" t="str"/>
      <x:c r="T331" s="15" t="str">
        <x:v>Log first source path or blocker</x:v>
      </x:c>
      <x:c r="U331" s="12" t="str">
        <x:f>IF(OR(P331="Unverified",Q331="Not checked"),"BLOCKED_PENDING_RECEIPT","READY_FOR_REVIEW")</x:f>
        <x:v>BLOCKED_PENDING_RECEIPT</x:v>
      </x:c>
      <x:c r="V331" s="12" t="str">
        <x:f>IF(J331="DONE","RETURNED",IF(U331="BLOCKED_PENDING_RECEIPT","SOURCE_TOUCH_REQUIRED","IN_PROGRESS"))</x:f>
        <x:v>SOURCE_TOUCH_REQUIRED</x:v>
      </x:c>
      <x:c r="W331" s="12" t="str">
        <x:f>IF(P331="Unverified","missing_receipt","receipt_logged")</x:f>
        <x:v>missing_receipt</x:v>
      </x:c>
      <x:c r="X331" s="12" t="str">
        <x:f>IF(Q331="Not checked","raw_status_missing","raw_status_logged")</x:f>
        <x:v>raw_status_missing</x:v>
      </x:c>
      <x:c r="Y331" s="12" t="str">
        <x:f>IF(U331="BLOCKED_PENDING_RECEIPT","Log source path or blocker; do not promote","Route to review lane")</x:f>
        <x:v>Log source path or blocker; do not promote</x:v>
      </x:c>
      <x:c r="Z331" s="12" t="str">
        <x:f>IF(K331="P0","Primary seat + Hashlight/Lucerna","Seat lane")</x:f>
        <x:v>Seat lane</x:v>
      </x:c>
      <x:c r="AA331" s="12" t="str">
        <x:f>IF(R331="","no_claim_delta","claim_delta_present")</x:f>
        <x:v>no_claim_delta</x:v>
      </x:c>
      <x:c r="AB331" s="12" t="str">
        <x:f>IF(S331="","no_contradiction_delta","contradiction_delta_present")</x:f>
        <x:v>no_contradiction_delta</x:v>
      </x:c>
      <x:c r="AC331" s="12" t="str">
        <x:f>IF(OR(ISNUMBER(SEARCH("hacker",LOWER(F331&amp;" "&amp;H331&amp;" "&amp;I331&amp;" "&amp;M331&amp;" "&amp;N331&amp;" "&amp;T331))),ISNUMBER(SEARCH("hacking",LOWER(F331&amp;" "&amp;H331&amp;" "&amp;I331&amp;" "&amp;M331&amp;" "&amp;N331&amp;" "&amp;T331))),ISNUMBER(SEARCH("bank",LOWER(F331&amp;" "&amp;H331&amp;" "&amp;I331&amp;" "&amp;M331&amp;" "&amp;N331&amp;" "&amp;T331))),ISNUMBER(SEARCH("banking",LOWER(F331&amp;" "&amp;H331&amp;" "&amp;I331&amp;" "&amp;M331&amp;" "&amp;N331&amp;" "&amp;T331)))),"PRIVATE_QUARANTINE",IF(OR(ISNUMBER(SEARCH("treasury",LOWER(F331&amp;" "&amp;H331&amp;" "&amp;I331&amp;" "&amp;M331&amp;" "&amp;N331&amp;" "&amp;T331))),ISNUMBER(SEARCH("debt",LOWER(F331&amp;" "&amp;H331&amp;" "&amp;I331&amp;" "&amp;M331&amp;" "&amp;N331&amp;" "&amp;T331))),ISNUMBER(SEARCH("bond",LOWER(F331&amp;" "&amp;H331&amp;" "&amp;I331&amp;" "&amp;M331&amp;" "&amp;N331&amp;" "&amp;T331))),ISNUMBER(SEARCH("transaction",LOWER(F331&amp;" "&amp;H331&amp;" "&amp;I331&amp;" "&amp;M331&amp;" "&amp;N331&amp;" "&amp;T331)))),"PRIVATE_REVIEW","PUBLIC_CANDIDATE"))</x:f>
        <x:v>PUBLIC_CANDIDATE</x:v>
      </x:c>
      <x:c r="AD331" s="12" t="str">
        <x:f>IF(AC331="PRIVATE_QUARANTINE","hacker_or_bank_trigger",IF(AC331="PRIVATE_REVIEW","finance_risk_trigger","none"))</x:f>
        <x:v>none</x:v>
      </x:c>
      <x:c r="AE331" s="12" t="str">
        <x:f>IF(AC331="PUBLIC_CANDIDATE","prepare_public_github_candidate",IF(AC331="PRIVATE_REVIEW","hold_for_private_review","quarantine_private_do_not_publish"))</x:f>
        <x:v>prepare_public_github_candidate</x:v>
      </x:c>
      <x:c r="AF331" s="12" t="str">
        <x:f>IF(AC331="PUBLIC_CANDIDATE","TIDELOCK + Lucerna",IF(AC331="PRIVATE_REVIEW","AtlasBrain + Lucerna","TIDELOCK + Lucerna + Human-root"))</x:f>
        <x:v>TIDELOCK + Lucerna</x:v>
      </x:c>
      <x:c r="AG331" s="12" t="str">
        <x:f>IF(AND(AC331="PUBLIC_CANDIDATE",U331&lt;&gt;"BLOCKED_PENDING_RECEIPT"),"READY_AFTER_RECEIPT","NOT_READY")</x:f>
        <x:v>NOT_READY</x:v>
      </x:c>
      <x:c r="AH331" s="12" t="str">
        <x:f>IF(AC331="PUBLIC_CANDIDATE","none",AD331)</x:f>
        <x:v>none</x:v>
      </x:c>
      <x:c r="AI331" s="12" t="str">
        <x:f>IF(AC331="PUBLIC_CANDIDATE","archive/public_candidates/"&amp;A331,"private_quarantine/"&amp;A331)</x:f>
        <x:v>archive/public_candidates/SWARM-03-H04-S06</x:v>
      </x:c>
      <x:c r="AJ331" s="12" t="str">
        <x:f>IF(AC331="PUBLIC_CANDIDATE","public by default; still not canon","private/hold; do not publish")</x:f>
        <x:v>public by default; still not canon</x:v>
      </x:c>
      <x:c r="AK331" s="12" t="str">
        <x:f>IF(AE331="prepare_public_github_candidate","add receipt/status then mirror","resolve blocker before any public GitHub action")</x:f>
        <x:v>add receipt/status then mirror</x:v>
      </x:c>
    </x:row>
    <x:row r="332">
      <x:c r="A332" s="15" t="str">
        <x:v>SWARM-03-H04-S07</x:v>
      </x:c>
      <x:c r="B332" s="15" t="str">
        <x:v>KairoBrain</x:v>
      </x:c>
      <x:c r="C332" s="15" t="str">
        <x:v>Temporal strata keeper</x:v>
      </x:c>
      <x:c r="D332" s="15" t="str">
        <x:v>Claim Extraction</x:v>
      </x:c>
      <x:c r="E332" s="15" t="str">
        <x:v>Planetarium</x:v>
      </x:c>
      <x:c r="F332" s="15" t="str">
        <x:v>Extract claims from Planetarium — KairoBrain</x:v>
      </x:c>
      <x:c r="G332" s="15" t="str">
        <x:v>staleness / versioning / supersession</x:v>
      </x:c>
      <x:c r="H332" s="15" t="str">
        <x:v>source path + receipt + raw/export status + claim/edge/risk delta</x:v>
      </x:c>
      <x:c r="I332" s="15" t="str">
        <x:v>packet/SWARM-03-H04-S07</x:v>
      </x:c>
      <x:c r="J332" s="15" t="str">
        <x:v>TODO</x:v>
      </x:c>
      <x:c r="K332" s="15" t="str">
        <x:v>P1</x:v>
      </x:c>
      <x:c r="L332" s="15" t="str">
        <x:v>Done only when evidence is logged, contradiction search is noted, and boundary stamp remains non-canon unless ratified</x:v>
      </x:c>
      <x:c r="M332" s="15" t="str">
        <x:v>candidate / staging-only / not canon / not deployed / authority none</x:v>
      </x:c>
      <x:c r="N332" s="15" t="str">
        <x:v>Dispatch to KairoBrain: complete Claim Extraction x Planetarium; return deltas only, receipts required.</x:v>
      </x:c>
      <x:c r="O332" s="15" t="str">
        <x:v>AF-KG-H04-S07</x:v>
      </x:c>
      <x:c r="P332" s="15" t="str">
        <x:v>Unverified</x:v>
      </x:c>
      <x:c r="Q332" s="15" t="str">
        <x:v>Not checked</x:v>
      </x:c>
      <x:c r="R332" s="15" t="str"/>
      <x:c r="S332" s="15" t="str"/>
      <x:c r="T332" s="15" t="str">
        <x:v>Log first source path or blocker</x:v>
      </x:c>
      <x:c r="U332" s="12" t="str">
        <x:f>IF(OR(P332="Unverified",Q332="Not checked"),"BLOCKED_PENDING_RECEIPT","READY_FOR_REVIEW")</x:f>
        <x:v>BLOCKED_PENDING_RECEIPT</x:v>
      </x:c>
      <x:c r="V332" s="12" t="str">
        <x:f>IF(J332="DONE","RETURNED",IF(U332="BLOCKED_PENDING_RECEIPT","SOURCE_TOUCH_REQUIRED","IN_PROGRESS"))</x:f>
        <x:v>SOURCE_TOUCH_REQUIRED</x:v>
      </x:c>
      <x:c r="W332" s="12" t="str">
        <x:f>IF(P332="Unverified","missing_receipt","receipt_logged")</x:f>
        <x:v>missing_receipt</x:v>
      </x:c>
      <x:c r="X332" s="12" t="str">
        <x:f>IF(Q332="Not checked","raw_status_missing","raw_status_logged")</x:f>
        <x:v>raw_status_missing</x:v>
      </x:c>
      <x:c r="Y332" s="12" t="str">
        <x:f>IF(U332="BLOCKED_PENDING_RECEIPT","Log source path or blocker; do not promote","Route to review lane")</x:f>
        <x:v>Log source path or blocker; do not promote</x:v>
      </x:c>
      <x:c r="Z332" s="12" t="str">
        <x:f>IF(K332="P0","Primary seat + Hashlight/Lucerna","Seat lane")</x:f>
        <x:v>Seat lane</x:v>
      </x:c>
      <x:c r="AA332" s="12" t="str">
        <x:f>IF(R332="","no_claim_delta","claim_delta_present")</x:f>
        <x:v>no_claim_delta</x:v>
      </x:c>
      <x:c r="AB332" s="12" t="str">
        <x:f>IF(S332="","no_contradiction_delta","contradiction_delta_present")</x:f>
        <x:v>no_contradiction_delta</x:v>
      </x:c>
      <x:c r="AC332" s="12" t="str">
        <x:f>IF(OR(ISNUMBER(SEARCH("hacker",LOWER(F332&amp;" "&amp;H332&amp;" "&amp;I332&amp;" "&amp;M332&amp;" "&amp;N332&amp;" "&amp;T332))),ISNUMBER(SEARCH("hacking",LOWER(F332&amp;" "&amp;H332&amp;" "&amp;I332&amp;" "&amp;M332&amp;" "&amp;N332&amp;" "&amp;T332))),ISNUMBER(SEARCH("bank",LOWER(F332&amp;" "&amp;H332&amp;" "&amp;I332&amp;" "&amp;M332&amp;" "&amp;N332&amp;" "&amp;T332))),ISNUMBER(SEARCH("banking",LOWER(F332&amp;" "&amp;H332&amp;" "&amp;I332&amp;" "&amp;M332&amp;" "&amp;N332&amp;" "&amp;T332)))),"PRIVATE_QUARANTINE",IF(OR(ISNUMBER(SEARCH("treasury",LOWER(F332&amp;" "&amp;H332&amp;" "&amp;I332&amp;" "&amp;M332&amp;" "&amp;N332&amp;" "&amp;T332))),ISNUMBER(SEARCH("debt",LOWER(F332&amp;" "&amp;H332&amp;" "&amp;I332&amp;" "&amp;M332&amp;" "&amp;N332&amp;" "&amp;T332))),ISNUMBER(SEARCH("bond",LOWER(F332&amp;" "&amp;H332&amp;" "&amp;I332&amp;" "&amp;M332&amp;" "&amp;N332&amp;" "&amp;T332))),ISNUMBER(SEARCH("transaction",LOWER(F332&amp;" "&amp;H332&amp;" "&amp;I332&amp;" "&amp;M332&amp;" "&amp;N332&amp;" "&amp;T332)))),"PRIVATE_REVIEW","PUBLIC_CANDIDATE"))</x:f>
        <x:v>PUBLIC_CANDIDATE</x:v>
      </x:c>
      <x:c r="AD332" s="12" t="str">
        <x:f>IF(AC332="PRIVATE_QUARANTINE","hacker_or_bank_trigger",IF(AC332="PRIVATE_REVIEW","finance_risk_trigger","none"))</x:f>
        <x:v>none</x:v>
      </x:c>
      <x:c r="AE332" s="12" t="str">
        <x:f>IF(AC332="PUBLIC_CANDIDATE","prepare_public_github_candidate",IF(AC332="PRIVATE_REVIEW","hold_for_private_review","quarantine_private_do_not_publish"))</x:f>
        <x:v>prepare_public_github_candidate</x:v>
      </x:c>
      <x:c r="AF332" s="12" t="str">
        <x:f>IF(AC332="PUBLIC_CANDIDATE","TIDELOCK + Lucerna",IF(AC332="PRIVATE_REVIEW","AtlasBrain + Lucerna","TIDELOCK + Lucerna + Human-root"))</x:f>
        <x:v>TIDELOCK + Lucerna</x:v>
      </x:c>
      <x:c r="AG332" s="12" t="str">
        <x:f>IF(AND(AC332="PUBLIC_CANDIDATE",U332&lt;&gt;"BLOCKED_PENDING_RECEIPT"),"READY_AFTER_RECEIPT","NOT_READY")</x:f>
        <x:v>NOT_READY</x:v>
      </x:c>
      <x:c r="AH332" s="12" t="str">
        <x:f>IF(AC332="PUBLIC_CANDIDATE","none",AD332)</x:f>
        <x:v>none</x:v>
      </x:c>
      <x:c r="AI332" s="12" t="str">
        <x:f>IF(AC332="PUBLIC_CANDIDATE","archive/public_candidates/"&amp;A332,"private_quarantine/"&amp;A332)</x:f>
        <x:v>archive/public_candidates/SWARM-03-H04-S07</x:v>
      </x:c>
      <x:c r="AJ332" s="12" t="str">
        <x:f>IF(AC332="PUBLIC_CANDIDATE","public by default; still not canon","private/hold; do not publish")</x:f>
        <x:v>public by default; still not canon</x:v>
      </x:c>
      <x:c r="AK332" s="12" t="str">
        <x:f>IF(AE332="prepare_public_github_candidate","add receipt/status then mirror","resolve blocker before any public GitHub action")</x:f>
        <x:v>add receipt/status then mirror</x:v>
      </x:c>
    </x:row>
    <x:row r="333">
      <x:c r="A333" s="15" t="str">
        <x:v>SWARM-03-H04-S08</x:v>
      </x:c>
      <x:c r="B333" s="15" t="str">
        <x:v>KairoBrain</x:v>
      </x:c>
      <x:c r="C333" s="15" t="str">
        <x:v>Temporal strata keeper</x:v>
      </x:c>
      <x:c r="D333" s="15" t="str">
        <x:v>Claim Extraction</x:v>
      </x:c>
      <x:c r="E333" s="15" t="str">
        <x:v>Sheldonbrain</x:v>
      </x:c>
      <x:c r="F333" s="15" t="str">
        <x:v>Extract claims from Sheldonbrain — KairoBrain</x:v>
      </x:c>
      <x:c r="G333" s="15" t="str">
        <x:v>staleness / versioning / supersession</x:v>
      </x:c>
      <x:c r="H333" s="15" t="str">
        <x:v>source path + receipt + raw/export status + claim/edge/risk delta</x:v>
      </x:c>
      <x:c r="I333" s="15" t="str">
        <x:v>packet/SWARM-03-H04-S08</x:v>
      </x:c>
      <x:c r="J333" s="15" t="str">
        <x:v>TODO</x:v>
      </x:c>
      <x:c r="K333" s="15" t="str">
        <x:v>P1</x:v>
      </x:c>
      <x:c r="L333" s="15" t="str">
        <x:v>Done only when evidence is logged, contradiction search is noted, and boundary stamp remains non-canon unless ratified</x:v>
      </x:c>
      <x:c r="M333" s="15" t="str">
        <x:v>candidate / staging-only / not canon / not deployed / authority none</x:v>
      </x:c>
      <x:c r="N333" s="15" t="str">
        <x:v>Dispatch to KairoBrain: complete Claim Extraction x Sheldonbrain; return deltas only, receipts required.</x:v>
      </x:c>
      <x:c r="O333" s="15" t="str">
        <x:v>AF-KG-H04-S08</x:v>
      </x:c>
      <x:c r="P333" s="15" t="str">
        <x:v>Unverified</x:v>
      </x:c>
      <x:c r="Q333" s="15" t="str">
        <x:v>Not checked</x:v>
      </x:c>
      <x:c r="R333" s="15" t="str"/>
      <x:c r="S333" s="15" t="str"/>
      <x:c r="T333" s="15" t="str">
        <x:v>Log first source path or blocker</x:v>
      </x:c>
      <x:c r="U333" s="12" t="str">
        <x:f>IF(OR(P333="Unverified",Q333="Not checked"),"BLOCKED_PENDING_RECEIPT","READY_FOR_REVIEW")</x:f>
        <x:v>BLOCKED_PENDING_RECEIPT</x:v>
      </x:c>
      <x:c r="V333" s="12" t="str">
        <x:f>IF(J333="DONE","RETURNED",IF(U333="BLOCKED_PENDING_RECEIPT","SOURCE_TOUCH_REQUIRED","IN_PROGRESS"))</x:f>
        <x:v>SOURCE_TOUCH_REQUIRED</x:v>
      </x:c>
      <x:c r="W333" s="12" t="str">
        <x:f>IF(P333="Unverified","missing_receipt","receipt_logged")</x:f>
        <x:v>missing_receipt</x:v>
      </x:c>
      <x:c r="X333" s="12" t="str">
        <x:f>IF(Q333="Not checked","raw_status_missing","raw_status_logged")</x:f>
        <x:v>raw_status_missing</x:v>
      </x:c>
      <x:c r="Y333" s="12" t="str">
        <x:f>IF(U333="BLOCKED_PENDING_RECEIPT","Log source path or blocker; do not promote","Route to review lane")</x:f>
        <x:v>Log source path or blocker; do not promote</x:v>
      </x:c>
      <x:c r="Z333" s="12" t="str">
        <x:f>IF(K333="P0","Primary seat + Hashlight/Lucerna","Seat lane")</x:f>
        <x:v>Seat lane</x:v>
      </x:c>
      <x:c r="AA333" s="12" t="str">
        <x:f>IF(R333="","no_claim_delta","claim_delta_present")</x:f>
        <x:v>no_claim_delta</x:v>
      </x:c>
      <x:c r="AB333" s="12" t="str">
        <x:f>IF(S333="","no_contradiction_delta","contradiction_delta_present")</x:f>
        <x:v>no_contradiction_delta</x:v>
      </x:c>
      <x:c r="AC333" s="12" t="str">
        <x:f>IF(OR(ISNUMBER(SEARCH("hacker",LOWER(F333&amp;" "&amp;H333&amp;" "&amp;I333&amp;" "&amp;M333&amp;" "&amp;N333&amp;" "&amp;T333))),ISNUMBER(SEARCH("hacking",LOWER(F333&amp;" "&amp;H333&amp;" "&amp;I333&amp;" "&amp;M333&amp;" "&amp;N333&amp;" "&amp;T333))),ISNUMBER(SEARCH("bank",LOWER(F333&amp;" "&amp;H333&amp;" "&amp;I333&amp;" "&amp;M333&amp;" "&amp;N333&amp;" "&amp;T333))),ISNUMBER(SEARCH("banking",LOWER(F333&amp;" "&amp;H333&amp;" "&amp;I333&amp;" "&amp;M333&amp;" "&amp;N333&amp;" "&amp;T333)))),"PRIVATE_QUARANTINE",IF(OR(ISNUMBER(SEARCH("treasury",LOWER(F333&amp;" "&amp;H333&amp;" "&amp;I333&amp;" "&amp;M333&amp;" "&amp;N333&amp;" "&amp;T333))),ISNUMBER(SEARCH("debt",LOWER(F333&amp;" "&amp;H333&amp;" "&amp;I333&amp;" "&amp;M333&amp;" "&amp;N333&amp;" "&amp;T333))),ISNUMBER(SEARCH("bond",LOWER(F333&amp;" "&amp;H333&amp;" "&amp;I333&amp;" "&amp;M333&amp;" "&amp;N333&amp;" "&amp;T333))),ISNUMBER(SEARCH("transaction",LOWER(F333&amp;" "&amp;H333&amp;" "&amp;I333&amp;" "&amp;M333&amp;" "&amp;N333&amp;" "&amp;T333)))),"PRIVATE_REVIEW","PUBLIC_CANDIDATE"))</x:f>
        <x:v>PUBLIC_CANDIDATE</x:v>
      </x:c>
      <x:c r="AD333" s="12" t="str">
        <x:f>IF(AC333="PRIVATE_QUARANTINE","hacker_or_bank_trigger",IF(AC333="PRIVATE_REVIEW","finance_risk_trigger","none"))</x:f>
        <x:v>none</x:v>
      </x:c>
      <x:c r="AE333" s="12" t="str">
        <x:f>IF(AC333="PUBLIC_CANDIDATE","prepare_public_github_candidate",IF(AC333="PRIVATE_REVIEW","hold_for_private_review","quarantine_private_do_not_publish"))</x:f>
        <x:v>prepare_public_github_candidate</x:v>
      </x:c>
      <x:c r="AF333" s="12" t="str">
        <x:f>IF(AC333="PUBLIC_CANDIDATE","TIDELOCK + Lucerna",IF(AC333="PRIVATE_REVIEW","AtlasBrain + Lucerna","TIDELOCK + Lucerna + Human-root"))</x:f>
        <x:v>TIDELOCK + Lucerna</x:v>
      </x:c>
      <x:c r="AG333" s="12" t="str">
        <x:f>IF(AND(AC333="PUBLIC_CANDIDATE",U333&lt;&gt;"BLOCKED_PENDING_RECEIPT"),"READY_AFTER_RECEIPT","NOT_READY")</x:f>
        <x:v>NOT_READY</x:v>
      </x:c>
      <x:c r="AH333" s="12" t="str">
        <x:f>IF(AC333="PUBLIC_CANDIDATE","none",AD333)</x:f>
        <x:v>none</x:v>
      </x:c>
      <x:c r="AI333" s="12" t="str">
        <x:f>IF(AC333="PUBLIC_CANDIDATE","archive/public_candidates/"&amp;A333,"private_quarantine/"&amp;A333)</x:f>
        <x:v>archive/public_candidates/SWARM-03-H04-S08</x:v>
      </x:c>
      <x:c r="AJ333" s="12" t="str">
        <x:f>IF(AC333="PUBLIC_CANDIDATE","public by default; still not canon","private/hold; do not publish")</x:f>
        <x:v>public by default; still not canon</x:v>
      </x:c>
      <x:c r="AK333" s="12" t="str">
        <x:f>IF(AE333="prepare_public_github_candidate","add receipt/status then mirror","resolve blocker before any public GitHub action")</x:f>
        <x:v>add receipt/status then mirror</x:v>
      </x:c>
    </x:row>
    <x:row r="334">
      <x:c r="A334" s="15" t="str">
        <x:v>SWARM-03-H04-S09</x:v>
      </x:c>
      <x:c r="B334" s="15" t="str">
        <x:v>KairoBrain</x:v>
      </x:c>
      <x:c r="C334" s="15" t="str">
        <x:v>Temporal strata keeper</x:v>
      </x:c>
      <x:c r="D334" s="15" t="str">
        <x:v>Claim Extraction</x:v>
      </x:c>
      <x:c r="E334" s="15" t="str">
        <x:v>Aetherforge</x:v>
      </x:c>
      <x:c r="F334" s="15" t="str">
        <x:v>Extract claims from Aetherforge — KairoBrain</x:v>
      </x:c>
      <x:c r="G334" s="15" t="str">
        <x:v>staleness / versioning / supersession</x:v>
      </x:c>
      <x:c r="H334" s="15" t="str">
        <x:v>source path + receipt + raw/export status + claim/edge/risk delta</x:v>
      </x:c>
      <x:c r="I334" s="15" t="str">
        <x:v>packet/SWARM-03-H04-S09</x:v>
      </x:c>
      <x:c r="J334" s="15" t="str">
        <x:v>TODO</x:v>
      </x:c>
      <x:c r="K334" s="15" t="str">
        <x:v>P2</x:v>
      </x:c>
      <x:c r="L334" s="15" t="str">
        <x:v>Done only when evidence is logged, contradiction search is noted, and boundary stamp remains non-canon unless ratified</x:v>
      </x:c>
      <x:c r="M334" s="15" t="str">
        <x:v>candidate / staging-only / not canon / not deployed / authority none</x:v>
      </x:c>
      <x:c r="N334" s="15" t="str">
        <x:v>Dispatch to KairoBrain: complete Claim Extraction x Aetherforge; return deltas only, receipts required.</x:v>
      </x:c>
      <x:c r="O334" s="15" t="str">
        <x:v>AF-KG-H04-S09</x:v>
      </x:c>
      <x:c r="P334" s="15" t="str">
        <x:v>Unverified</x:v>
      </x:c>
      <x:c r="Q334" s="15" t="str">
        <x:v>Not checked</x:v>
      </x:c>
      <x:c r="R334" s="15" t="str"/>
      <x:c r="S334" s="15" t="str"/>
      <x:c r="T334" s="15" t="str">
        <x:v>Log first source path or blocker</x:v>
      </x:c>
      <x:c r="U334" s="12" t="str">
        <x:f>IF(OR(P334="Unverified",Q334="Not checked"),"BLOCKED_PENDING_RECEIPT","READY_FOR_REVIEW")</x:f>
        <x:v>BLOCKED_PENDING_RECEIPT</x:v>
      </x:c>
      <x:c r="V334" s="12" t="str">
        <x:f>IF(J334="DONE","RETURNED",IF(U334="BLOCKED_PENDING_RECEIPT","SOURCE_TOUCH_REQUIRED","IN_PROGRESS"))</x:f>
        <x:v>SOURCE_TOUCH_REQUIRED</x:v>
      </x:c>
      <x:c r="W334" s="12" t="str">
        <x:f>IF(P334="Unverified","missing_receipt","receipt_logged")</x:f>
        <x:v>missing_receipt</x:v>
      </x:c>
      <x:c r="X334" s="12" t="str">
        <x:f>IF(Q334="Not checked","raw_status_missing","raw_status_logged")</x:f>
        <x:v>raw_status_missing</x:v>
      </x:c>
      <x:c r="Y334" s="12" t="str">
        <x:f>IF(U334="BLOCKED_PENDING_RECEIPT","Log source path or blocker; do not promote","Route to review lane")</x:f>
        <x:v>Log source path or blocker; do not promote</x:v>
      </x:c>
      <x:c r="Z334" s="12" t="str">
        <x:f>IF(K334="P0","Primary seat + Hashlight/Lucerna","Seat lane")</x:f>
        <x:v>Seat lane</x:v>
      </x:c>
      <x:c r="AA334" s="12" t="str">
        <x:f>IF(R334="","no_claim_delta","claim_delta_present")</x:f>
        <x:v>no_claim_delta</x:v>
      </x:c>
      <x:c r="AB334" s="12" t="str">
        <x:f>IF(S334="","no_contradiction_delta","contradiction_delta_present")</x:f>
        <x:v>no_contradiction_delta</x:v>
      </x:c>
      <x:c r="AC334" s="12" t="str">
        <x:f>IF(OR(ISNUMBER(SEARCH("hacker",LOWER(F334&amp;" "&amp;H334&amp;" "&amp;I334&amp;" "&amp;M334&amp;" "&amp;N334&amp;" "&amp;T334))),ISNUMBER(SEARCH("hacking",LOWER(F334&amp;" "&amp;H334&amp;" "&amp;I334&amp;" "&amp;M334&amp;" "&amp;N334&amp;" "&amp;T334))),ISNUMBER(SEARCH("bank",LOWER(F334&amp;" "&amp;H334&amp;" "&amp;I334&amp;" "&amp;M334&amp;" "&amp;N334&amp;" "&amp;T334))),ISNUMBER(SEARCH("banking",LOWER(F334&amp;" "&amp;H334&amp;" "&amp;I334&amp;" "&amp;M334&amp;" "&amp;N334&amp;" "&amp;T334)))),"PRIVATE_QUARANTINE",IF(OR(ISNUMBER(SEARCH("treasury",LOWER(F334&amp;" "&amp;H334&amp;" "&amp;I334&amp;" "&amp;M334&amp;" "&amp;N334&amp;" "&amp;T334))),ISNUMBER(SEARCH("debt",LOWER(F334&amp;" "&amp;H334&amp;" "&amp;I334&amp;" "&amp;M334&amp;" "&amp;N334&amp;" "&amp;T334))),ISNUMBER(SEARCH("bond",LOWER(F334&amp;" "&amp;H334&amp;" "&amp;I334&amp;" "&amp;M334&amp;" "&amp;N334&amp;" "&amp;T334))),ISNUMBER(SEARCH("transaction",LOWER(F334&amp;" "&amp;H334&amp;" "&amp;I334&amp;" "&amp;M334&amp;" "&amp;N334&amp;" "&amp;T334)))),"PRIVATE_REVIEW","PUBLIC_CANDIDATE"))</x:f>
        <x:v>PUBLIC_CANDIDATE</x:v>
      </x:c>
      <x:c r="AD334" s="12" t="str">
        <x:f>IF(AC334="PRIVATE_QUARANTINE","hacker_or_bank_trigger",IF(AC334="PRIVATE_REVIEW","finance_risk_trigger","none"))</x:f>
        <x:v>none</x:v>
      </x:c>
      <x:c r="AE334" s="12" t="str">
        <x:f>IF(AC334="PUBLIC_CANDIDATE","prepare_public_github_candidate",IF(AC334="PRIVATE_REVIEW","hold_for_private_review","quarantine_private_do_not_publish"))</x:f>
        <x:v>prepare_public_github_candidate</x:v>
      </x:c>
      <x:c r="AF334" s="12" t="str">
        <x:f>IF(AC334="PUBLIC_CANDIDATE","TIDELOCK + Lucerna",IF(AC334="PRIVATE_REVIEW","AtlasBrain + Lucerna","TIDELOCK + Lucerna + Human-root"))</x:f>
        <x:v>TIDELOCK + Lucerna</x:v>
      </x:c>
      <x:c r="AG334" s="12" t="str">
        <x:f>IF(AND(AC334="PUBLIC_CANDIDATE",U334&lt;&gt;"BLOCKED_PENDING_RECEIPT"),"READY_AFTER_RECEIPT","NOT_READY")</x:f>
        <x:v>NOT_READY</x:v>
      </x:c>
      <x:c r="AH334" s="12" t="str">
        <x:f>IF(AC334="PUBLIC_CANDIDATE","none",AD334)</x:f>
        <x:v>none</x:v>
      </x:c>
      <x:c r="AI334" s="12" t="str">
        <x:f>IF(AC334="PUBLIC_CANDIDATE","archive/public_candidates/"&amp;A334,"private_quarantine/"&amp;A334)</x:f>
        <x:v>archive/public_candidates/SWARM-03-H04-S09</x:v>
      </x:c>
      <x:c r="AJ334" s="12" t="str">
        <x:f>IF(AC334="PUBLIC_CANDIDATE","public by default; still not canon","private/hold; do not publish")</x:f>
        <x:v>public by default; still not canon</x:v>
      </x:c>
      <x:c r="AK334" s="12" t="str">
        <x:f>IF(AE334="prepare_public_github_candidate","add receipt/status then mirror","resolve blocker before any public GitHub action")</x:f>
        <x:v>add receipt/status then mirror</x:v>
      </x:c>
    </x:row>
    <x:row r="335">
      <x:c r="A335" s="15" t="str">
        <x:v>SWARM-03-H04-S10</x:v>
      </x:c>
      <x:c r="B335" s="15" t="str">
        <x:v>KairoBrain</x:v>
      </x:c>
      <x:c r="C335" s="15" t="str">
        <x:v>Temporal strata keeper</x:v>
      </x:c>
      <x:c r="D335" s="15" t="str">
        <x:v>Claim Extraction</x:v>
      </x:c>
      <x:c r="E335" s="15" t="str">
        <x:v>Human-Root</x:v>
      </x:c>
      <x:c r="F335" s="15" t="str">
        <x:v>Extract claims from Human-Root — KairoBrain</x:v>
      </x:c>
      <x:c r="G335" s="15" t="str">
        <x:v>staleness / versioning / supersession</x:v>
      </x:c>
      <x:c r="H335" s="15" t="str">
        <x:v>source path + receipt + raw/export status + claim/edge/risk delta</x:v>
      </x:c>
      <x:c r="I335" s="15" t="str">
        <x:v>packet/SWARM-03-H04-S10</x:v>
      </x:c>
      <x:c r="J335" s="15" t="str">
        <x:v>TODO</x:v>
      </x:c>
      <x:c r="K335" s="15" t="str">
        <x:v>P2</x:v>
      </x:c>
      <x:c r="L335" s="15" t="str">
        <x:v>Done only when evidence is logged, contradiction search is noted, and boundary stamp remains non-canon unless ratified</x:v>
      </x:c>
      <x:c r="M335" s="15" t="str">
        <x:v>candidate / staging-only / not canon / not deployed / authority none</x:v>
      </x:c>
      <x:c r="N335" s="15" t="str">
        <x:v>Dispatch to KairoBrain: complete Claim Extraction x Human-Root; return deltas only, receipts required.</x:v>
      </x:c>
      <x:c r="O335" s="15" t="str">
        <x:v>AF-KG-H04-S10</x:v>
      </x:c>
      <x:c r="P335" s="15" t="str">
        <x:v>Unverified</x:v>
      </x:c>
      <x:c r="Q335" s="15" t="str">
        <x:v>Not checked</x:v>
      </x:c>
      <x:c r="R335" s="15" t="str"/>
      <x:c r="S335" s="15" t="str"/>
      <x:c r="T335" s="15" t="str">
        <x:v>Log first source path or blocker</x:v>
      </x:c>
      <x:c r="U335" s="12" t="str">
        <x:f>IF(OR(P335="Unverified",Q335="Not checked"),"BLOCKED_PENDING_RECEIPT","READY_FOR_REVIEW")</x:f>
        <x:v>BLOCKED_PENDING_RECEIPT</x:v>
      </x:c>
      <x:c r="V335" s="12" t="str">
        <x:f>IF(J335="DONE","RETURNED",IF(U335="BLOCKED_PENDING_RECEIPT","SOURCE_TOUCH_REQUIRED","IN_PROGRESS"))</x:f>
        <x:v>SOURCE_TOUCH_REQUIRED</x:v>
      </x:c>
      <x:c r="W335" s="12" t="str">
        <x:f>IF(P335="Unverified","missing_receipt","receipt_logged")</x:f>
        <x:v>missing_receipt</x:v>
      </x:c>
      <x:c r="X335" s="12" t="str">
        <x:f>IF(Q335="Not checked","raw_status_missing","raw_status_logged")</x:f>
        <x:v>raw_status_missing</x:v>
      </x:c>
      <x:c r="Y335" s="12" t="str">
        <x:f>IF(U335="BLOCKED_PENDING_RECEIPT","Log source path or blocker; do not promote","Route to review lane")</x:f>
        <x:v>Log source path or blocker; do not promote</x:v>
      </x:c>
      <x:c r="Z335" s="12" t="str">
        <x:f>IF(K335="P0","Primary seat + Hashlight/Lucerna","Seat lane")</x:f>
        <x:v>Seat lane</x:v>
      </x:c>
      <x:c r="AA335" s="12" t="str">
        <x:f>IF(R335="","no_claim_delta","claim_delta_present")</x:f>
        <x:v>no_claim_delta</x:v>
      </x:c>
      <x:c r="AB335" s="12" t="str">
        <x:f>IF(S335="","no_contradiction_delta","contradiction_delta_present")</x:f>
        <x:v>no_contradiction_delta</x:v>
      </x:c>
      <x:c r="AC335" s="12" t="str">
        <x:f>IF(OR(ISNUMBER(SEARCH("hacker",LOWER(F335&amp;" "&amp;H335&amp;" "&amp;I335&amp;" "&amp;M335&amp;" "&amp;N335&amp;" "&amp;T335))),ISNUMBER(SEARCH("hacking",LOWER(F335&amp;" "&amp;H335&amp;" "&amp;I335&amp;" "&amp;M335&amp;" "&amp;N335&amp;" "&amp;T335))),ISNUMBER(SEARCH("bank",LOWER(F335&amp;" "&amp;H335&amp;" "&amp;I335&amp;" "&amp;M335&amp;" "&amp;N335&amp;" "&amp;T335))),ISNUMBER(SEARCH("banking",LOWER(F335&amp;" "&amp;H335&amp;" "&amp;I335&amp;" "&amp;M335&amp;" "&amp;N335&amp;" "&amp;T335)))),"PRIVATE_QUARANTINE",IF(OR(ISNUMBER(SEARCH("treasury",LOWER(F335&amp;" "&amp;H335&amp;" "&amp;I335&amp;" "&amp;M335&amp;" "&amp;N335&amp;" "&amp;T335))),ISNUMBER(SEARCH("debt",LOWER(F335&amp;" "&amp;H335&amp;" "&amp;I335&amp;" "&amp;M335&amp;" "&amp;N335&amp;" "&amp;T335))),ISNUMBER(SEARCH("bond",LOWER(F335&amp;" "&amp;H335&amp;" "&amp;I335&amp;" "&amp;M335&amp;" "&amp;N335&amp;" "&amp;T335))),ISNUMBER(SEARCH("transaction",LOWER(F335&amp;" "&amp;H335&amp;" "&amp;I335&amp;" "&amp;M335&amp;" "&amp;N335&amp;" "&amp;T335)))),"PRIVATE_REVIEW","PUBLIC_CANDIDATE"))</x:f>
        <x:v>PUBLIC_CANDIDATE</x:v>
      </x:c>
      <x:c r="AD335" s="12" t="str">
        <x:f>IF(AC335="PRIVATE_QUARANTINE","hacker_or_bank_trigger",IF(AC335="PRIVATE_REVIEW","finance_risk_trigger","none"))</x:f>
        <x:v>none</x:v>
      </x:c>
      <x:c r="AE335" s="12" t="str">
        <x:f>IF(AC335="PUBLIC_CANDIDATE","prepare_public_github_candidate",IF(AC335="PRIVATE_REVIEW","hold_for_private_review","quarantine_private_do_not_publish"))</x:f>
        <x:v>prepare_public_github_candidate</x:v>
      </x:c>
      <x:c r="AF335" s="12" t="str">
        <x:f>IF(AC335="PUBLIC_CANDIDATE","TIDELOCK + Lucerna",IF(AC335="PRIVATE_REVIEW","AtlasBrain + Lucerna","TIDELOCK + Lucerna + Human-root"))</x:f>
        <x:v>TIDELOCK + Lucerna</x:v>
      </x:c>
      <x:c r="AG335" s="12" t="str">
        <x:f>IF(AND(AC335="PUBLIC_CANDIDATE",U335&lt;&gt;"BLOCKED_PENDING_RECEIPT"),"READY_AFTER_RECEIPT","NOT_READY")</x:f>
        <x:v>NOT_READY</x:v>
      </x:c>
      <x:c r="AH335" s="12" t="str">
        <x:f>IF(AC335="PUBLIC_CANDIDATE","none",AD335)</x:f>
        <x:v>none</x:v>
      </x:c>
      <x:c r="AI335" s="12" t="str">
        <x:f>IF(AC335="PUBLIC_CANDIDATE","archive/public_candidates/"&amp;A335,"private_quarantine/"&amp;A335)</x:f>
        <x:v>archive/public_candidates/SWARM-03-H04-S10</x:v>
      </x:c>
      <x:c r="AJ335" s="12" t="str">
        <x:f>IF(AC335="PUBLIC_CANDIDATE","public by default; still not canon","private/hold; do not publish")</x:f>
        <x:v>public by default; still not canon</x:v>
      </x:c>
      <x:c r="AK335" s="12" t="str">
        <x:f>IF(AE335="prepare_public_github_candidate","add receipt/status then mirror","resolve blocker before any public GitHub action")</x:f>
        <x:v>add receipt/status then mirror</x:v>
      </x:c>
    </x:row>
    <x:row r="336">
      <x:c r="A336" s="15" t="str">
        <x:v>SWARM-03-H04-S11</x:v>
      </x:c>
      <x:c r="B336" s="15" t="str">
        <x:v>KairoBrain</x:v>
      </x:c>
      <x:c r="C336" s="15" t="str">
        <x:v>Temporal strata keeper</x:v>
      </x:c>
      <x:c r="D336" s="15" t="str">
        <x:v>Claim Extraction</x:v>
      </x:c>
      <x:c r="E336" s="15" t="str">
        <x:v>Automation</x:v>
      </x:c>
      <x:c r="F336" s="15" t="str">
        <x:v>Extract claims from Automation — KairoBrain</x:v>
      </x:c>
      <x:c r="G336" s="15" t="str">
        <x:v>staleness / versioning / supersession</x:v>
      </x:c>
      <x:c r="H336" s="15" t="str">
        <x:v>source path + receipt + raw/export status + claim/edge/risk delta</x:v>
      </x:c>
      <x:c r="I336" s="15" t="str">
        <x:v>packet/SWARM-03-H04-S11</x:v>
      </x:c>
      <x:c r="J336" s="15" t="str">
        <x:v>TODO</x:v>
      </x:c>
      <x:c r="K336" s="15" t="str">
        <x:v>P2</x:v>
      </x:c>
      <x:c r="L336" s="15" t="str">
        <x:v>Done only when evidence is logged, contradiction search is noted, and boundary stamp remains non-canon unless ratified</x:v>
      </x:c>
      <x:c r="M336" s="15" t="str">
        <x:v>candidate / staging-only / not canon / not deployed / authority none</x:v>
      </x:c>
      <x:c r="N336" s="15" t="str">
        <x:v>Dispatch to KairoBrain: complete Claim Extraction x Automation; return deltas only, receipts required.</x:v>
      </x:c>
      <x:c r="O336" s="15" t="str">
        <x:v>AF-KG-H04-S11</x:v>
      </x:c>
      <x:c r="P336" s="15" t="str">
        <x:v>Unverified</x:v>
      </x:c>
      <x:c r="Q336" s="15" t="str">
        <x:v>Not checked</x:v>
      </x:c>
      <x:c r="R336" s="15" t="str"/>
      <x:c r="S336" s="15" t="str"/>
      <x:c r="T336" s="15" t="str">
        <x:v>Log first source path or blocker</x:v>
      </x:c>
      <x:c r="U336" s="12" t="str">
        <x:f>IF(OR(P336="Unverified",Q336="Not checked"),"BLOCKED_PENDING_RECEIPT","READY_FOR_REVIEW")</x:f>
        <x:v>BLOCKED_PENDING_RECEIPT</x:v>
      </x:c>
      <x:c r="V336" s="12" t="str">
        <x:f>IF(J336="DONE","RETURNED",IF(U336="BLOCKED_PENDING_RECEIPT","SOURCE_TOUCH_REQUIRED","IN_PROGRESS"))</x:f>
        <x:v>SOURCE_TOUCH_REQUIRED</x:v>
      </x:c>
      <x:c r="W336" s="12" t="str">
        <x:f>IF(P336="Unverified","missing_receipt","receipt_logged")</x:f>
        <x:v>missing_receipt</x:v>
      </x:c>
      <x:c r="X336" s="12" t="str">
        <x:f>IF(Q336="Not checked","raw_status_missing","raw_status_logged")</x:f>
        <x:v>raw_status_missing</x:v>
      </x:c>
      <x:c r="Y336" s="12" t="str">
        <x:f>IF(U336="BLOCKED_PENDING_RECEIPT","Log source path or blocker; do not promote","Route to review lane")</x:f>
        <x:v>Log source path or blocker; do not promote</x:v>
      </x:c>
      <x:c r="Z336" s="12" t="str">
        <x:f>IF(K336="P0","Primary seat + Hashlight/Lucerna","Seat lane")</x:f>
        <x:v>Seat lane</x:v>
      </x:c>
      <x:c r="AA336" s="12" t="str">
        <x:f>IF(R336="","no_claim_delta","claim_delta_present")</x:f>
        <x:v>no_claim_delta</x:v>
      </x:c>
      <x:c r="AB336" s="12" t="str">
        <x:f>IF(S336="","no_contradiction_delta","contradiction_delta_present")</x:f>
        <x:v>no_contradiction_delta</x:v>
      </x:c>
      <x:c r="AC336" s="12" t="str">
        <x:f>IF(OR(ISNUMBER(SEARCH("hacker",LOWER(F336&amp;" "&amp;H336&amp;" "&amp;I336&amp;" "&amp;M336&amp;" "&amp;N336&amp;" "&amp;T336))),ISNUMBER(SEARCH("hacking",LOWER(F336&amp;" "&amp;H336&amp;" "&amp;I336&amp;" "&amp;M336&amp;" "&amp;N336&amp;" "&amp;T336))),ISNUMBER(SEARCH("bank",LOWER(F336&amp;" "&amp;H336&amp;" "&amp;I336&amp;" "&amp;M336&amp;" "&amp;N336&amp;" "&amp;T336))),ISNUMBER(SEARCH("banking",LOWER(F336&amp;" "&amp;H336&amp;" "&amp;I336&amp;" "&amp;M336&amp;" "&amp;N336&amp;" "&amp;T336)))),"PRIVATE_QUARANTINE",IF(OR(ISNUMBER(SEARCH("treasury",LOWER(F336&amp;" "&amp;H336&amp;" "&amp;I336&amp;" "&amp;M336&amp;" "&amp;N336&amp;" "&amp;T336))),ISNUMBER(SEARCH("debt",LOWER(F336&amp;" "&amp;H336&amp;" "&amp;I336&amp;" "&amp;M336&amp;" "&amp;N336&amp;" "&amp;T336))),ISNUMBER(SEARCH("bond",LOWER(F336&amp;" "&amp;H336&amp;" "&amp;I336&amp;" "&amp;M336&amp;" "&amp;N336&amp;" "&amp;T336))),ISNUMBER(SEARCH("transaction",LOWER(F336&amp;" "&amp;H336&amp;" "&amp;I336&amp;" "&amp;M336&amp;" "&amp;N336&amp;" "&amp;T336)))),"PRIVATE_REVIEW","PUBLIC_CANDIDATE"))</x:f>
        <x:v>PUBLIC_CANDIDATE</x:v>
      </x:c>
      <x:c r="AD336" s="12" t="str">
        <x:f>IF(AC336="PRIVATE_QUARANTINE","hacker_or_bank_trigger",IF(AC336="PRIVATE_REVIEW","finance_risk_trigger","none"))</x:f>
        <x:v>none</x:v>
      </x:c>
      <x:c r="AE336" s="12" t="str">
        <x:f>IF(AC336="PUBLIC_CANDIDATE","prepare_public_github_candidate",IF(AC336="PRIVATE_REVIEW","hold_for_private_review","quarantine_private_do_not_publish"))</x:f>
        <x:v>prepare_public_github_candidate</x:v>
      </x:c>
      <x:c r="AF336" s="12" t="str">
        <x:f>IF(AC336="PUBLIC_CANDIDATE","TIDELOCK + Lucerna",IF(AC336="PRIVATE_REVIEW","AtlasBrain + Lucerna","TIDELOCK + Lucerna + Human-root"))</x:f>
        <x:v>TIDELOCK + Lucerna</x:v>
      </x:c>
      <x:c r="AG336" s="12" t="str">
        <x:f>IF(AND(AC336="PUBLIC_CANDIDATE",U336&lt;&gt;"BLOCKED_PENDING_RECEIPT"),"READY_AFTER_RECEIPT","NOT_READY")</x:f>
        <x:v>NOT_READY</x:v>
      </x:c>
      <x:c r="AH336" s="12" t="str">
        <x:f>IF(AC336="PUBLIC_CANDIDATE","none",AD336)</x:f>
        <x:v>none</x:v>
      </x:c>
      <x:c r="AI336" s="12" t="str">
        <x:f>IF(AC336="PUBLIC_CANDIDATE","archive/public_candidates/"&amp;A336,"private_quarantine/"&amp;A336)</x:f>
        <x:v>archive/public_candidates/SWARM-03-H04-S11</x:v>
      </x:c>
      <x:c r="AJ336" s="12" t="str">
        <x:f>IF(AC336="PUBLIC_CANDIDATE","public by default; still not canon","private/hold; do not publish")</x:f>
        <x:v>public by default; still not canon</x:v>
      </x:c>
      <x:c r="AK336" s="12" t="str">
        <x:f>IF(AE336="prepare_public_github_candidate","add receipt/status then mirror","resolve blocker before any public GitHub action")</x:f>
        <x:v>add receipt/status then mirror</x:v>
      </x:c>
    </x:row>
    <x:row r="337">
      <x:c r="A337" s="15" t="str">
        <x:v>SWARM-03-H04-S12</x:v>
      </x:c>
      <x:c r="B337" s="15" t="str">
        <x:v>KairoBrain</x:v>
      </x:c>
      <x:c r="C337" s="15" t="str">
        <x:v>Temporal strata keeper</x:v>
      </x:c>
      <x:c r="D337" s="15" t="str">
        <x:v>Claim Extraction</x:v>
      </x:c>
      <x:c r="E337" s="15" t="str">
        <x:v>Risk / Safety</x:v>
      </x:c>
      <x:c r="F337" s="15" t="str">
        <x:v>Extract claims from Risk / Safety — KairoBrain</x:v>
      </x:c>
      <x:c r="G337" s="15" t="str">
        <x:v>staleness / versioning / supersession</x:v>
      </x:c>
      <x:c r="H337" s="15" t="str">
        <x:v>source path + receipt + raw/export status + claim/edge/risk delta</x:v>
      </x:c>
      <x:c r="I337" s="15" t="str">
        <x:v>packet/SWARM-03-H04-S12</x:v>
      </x:c>
      <x:c r="J337" s="15" t="str">
        <x:v>TODO</x:v>
      </x:c>
      <x:c r="K337" s="15" t="str">
        <x:v>P2</x:v>
      </x:c>
      <x:c r="L337" s="15" t="str">
        <x:v>Done only when evidence is logged, contradiction search is noted, and boundary stamp remains non-canon unless ratified</x:v>
      </x:c>
      <x:c r="M337" s="15" t="str">
        <x:v>candidate / staging-only / not canon / not deployed / authority none</x:v>
      </x:c>
      <x:c r="N337" s="15" t="str">
        <x:v>Dispatch to KairoBrain: complete Claim Extraction x Risk / Safety; return deltas only, receipts required.</x:v>
      </x:c>
      <x:c r="O337" s="15" t="str">
        <x:v>AF-KG-H04-S12</x:v>
      </x:c>
      <x:c r="P337" s="15" t="str">
        <x:v>Unverified</x:v>
      </x:c>
      <x:c r="Q337" s="15" t="str">
        <x:v>Not checked</x:v>
      </x:c>
      <x:c r="R337" s="15" t="str"/>
      <x:c r="S337" s="15" t="str"/>
      <x:c r="T337" s="15" t="str">
        <x:v>Log first source path or blocker</x:v>
      </x:c>
      <x:c r="U337" s="12" t="str">
        <x:f>IF(OR(P337="Unverified",Q337="Not checked"),"BLOCKED_PENDING_RECEIPT","READY_FOR_REVIEW")</x:f>
        <x:v>BLOCKED_PENDING_RECEIPT</x:v>
      </x:c>
      <x:c r="V337" s="12" t="str">
        <x:f>IF(J337="DONE","RETURNED",IF(U337="BLOCKED_PENDING_RECEIPT","SOURCE_TOUCH_REQUIRED","IN_PROGRESS"))</x:f>
        <x:v>SOURCE_TOUCH_REQUIRED</x:v>
      </x:c>
      <x:c r="W337" s="12" t="str">
        <x:f>IF(P337="Unverified","missing_receipt","receipt_logged")</x:f>
        <x:v>missing_receipt</x:v>
      </x:c>
      <x:c r="X337" s="12" t="str">
        <x:f>IF(Q337="Not checked","raw_status_missing","raw_status_logged")</x:f>
        <x:v>raw_status_missing</x:v>
      </x:c>
      <x:c r="Y337" s="12" t="str">
        <x:f>IF(U337="BLOCKED_PENDING_RECEIPT","Log source path or blocker; do not promote","Route to review lane")</x:f>
        <x:v>Log source path or blocker; do not promote</x:v>
      </x:c>
      <x:c r="Z337" s="12" t="str">
        <x:f>IF(K337="P0","Primary seat + Hashlight/Lucerna","Seat lane")</x:f>
        <x:v>Seat lane</x:v>
      </x:c>
      <x:c r="AA337" s="12" t="str">
        <x:f>IF(R337="","no_claim_delta","claim_delta_present")</x:f>
        <x:v>no_claim_delta</x:v>
      </x:c>
      <x:c r="AB337" s="12" t="str">
        <x:f>IF(S337="","no_contradiction_delta","contradiction_delta_present")</x:f>
        <x:v>no_contradiction_delta</x:v>
      </x:c>
      <x:c r="AC337" s="12" t="str">
        <x:f>IF(OR(ISNUMBER(SEARCH("hacker",LOWER(F337&amp;" "&amp;H337&amp;" "&amp;I337&amp;" "&amp;M337&amp;" "&amp;N337&amp;" "&amp;T337))),ISNUMBER(SEARCH("hacking",LOWER(F337&amp;" "&amp;H337&amp;" "&amp;I337&amp;" "&amp;M337&amp;" "&amp;N337&amp;" "&amp;T337))),ISNUMBER(SEARCH("bank",LOWER(F337&amp;" "&amp;H337&amp;" "&amp;I337&amp;" "&amp;M337&amp;" "&amp;N337&amp;" "&amp;T337))),ISNUMBER(SEARCH("banking",LOWER(F337&amp;" "&amp;H337&amp;" "&amp;I337&amp;" "&amp;M337&amp;" "&amp;N337&amp;" "&amp;T337)))),"PRIVATE_QUARANTINE",IF(OR(ISNUMBER(SEARCH("treasury",LOWER(F337&amp;" "&amp;H337&amp;" "&amp;I337&amp;" "&amp;M337&amp;" "&amp;N337&amp;" "&amp;T337))),ISNUMBER(SEARCH("debt",LOWER(F337&amp;" "&amp;H337&amp;" "&amp;I337&amp;" "&amp;M337&amp;" "&amp;N337&amp;" "&amp;T337))),ISNUMBER(SEARCH("bond",LOWER(F337&amp;" "&amp;H337&amp;" "&amp;I337&amp;" "&amp;M337&amp;" "&amp;N337&amp;" "&amp;T337))),ISNUMBER(SEARCH("transaction",LOWER(F337&amp;" "&amp;H337&amp;" "&amp;I337&amp;" "&amp;M337&amp;" "&amp;N337&amp;" "&amp;T337)))),"PRIVATE_REVIEW","PUBLIC_CANDIDATE"))</x:f>
        <x:v>PUBLIC_CANDIDATE</x:v>
      </x:c>
      <x:c r="AD337" s="12" t="str">
        <x:f>IF(AC337="PRIVATE_QUARANTINE","hacker_or_bank_trigger",IF(AC337="PRIVATE_REVIEW","finance_risk_trigger","none"))</x:f>
        <x:v>none</x:v>
      </x:c>
      <x:c r="AE337" s="12" t="str">
        <x:f>IF(AC337="PUBLIC_CANDIDATE","prepare_public_github_candidate",IF(AC337="PRIVATE_REVIEW","hold_for_private_review","quarantine_private_do_not_publish"))</x:f>
        <x:v>prepare_public_github_candidate</x:v>
      </x:c>
      <x:c r="AF337" s="12" t="str">
        <x:f>IF(AC337="PUBLIC_CANDIDATE","TIDELOCK + Lucerna",IF(AC337="PRIVATE_REVIEW","AtlasBrain + Lucerna","TIDELOCK + Lucerna + Human-root"))</x:f>
        <x:v>TIDELOCK + Lucerna</x:v>
      </x:c>
      <x:c r="AG337" s="12" t="str">
        <x:f>IF(AND(AC337="PUBLIC_CANDIDATE",U337&lt;&gt;"BLOCKED_PENDING_RECEIPT"),"READY_AFTER_RECEIPT","NOT_READY")</x:f>
        <x:v>NOT_READY</x:v>
      </x:c>
      <x:c r="AH337" s="12" t="str">
        <x:f>IF(AC337="PUBLIC_CANDIDATE","none",AD337)</x:f>
        <x:v>none</x:v>
      </x:c>
      <x:c r="AI337" s="12" t="str">
        <x:f>IF(AC337="PUBLIC_CANDIDATE","archive/public_candidates/"&amp;A337,"private_quarantine/"&amp;A337)</x:f>
        <x:v>archive/public_candidates/SWARM-03-H04-S12</x:v>
      </x:c>
      <x:c r="AJ337" s="12" t="str">
        <x:f>IF(AC337="PUBLIC_CANDIDATE","public by default; still not canon","private/hold; do not publish")</x:f>
        <x:v>public by default; still not canon</x:v>
      </x:c>
      <x:c r="AK337" s="12" t="str">
        <x:f>IF(AE337="prepare_public_github_candidate","add receipt/status then mirror","resolve blocker before any public GitHub action")</x:f>
        <x:v>add receipt/status then mirror</x:v>
      </x:c>
    </x:row>
    <x:row r="338">
      <x:c r="A338" s="15" t="str">
        <x:v>SWARM-03-H05-S01</x:v>
      </x:c>
      <x:c r="B338" s="15" t="str">
        <x:v>KairoBrain</x:v>
      </x:c>
      <x:c r="C338" s="15" t="str">
        <x:v>Temporal strata keeper</x:v>
      </x:c>
      <x:c r="D338" s="15" t="str">
        <x:v>Contradiction Mapping</x:v>
      </x:c>
      <x:c r="E338" s="15" t="str">
        <x:v>Notion</x:v>
      </x:c>
      <x:c r="F338" s="15" t="str">
        <x:v>Map contradictions in Notion — KairoBrain</x:v>
      </x:c>
      <x:c r="G338" s="15" t="str">
        <x:v>staleness / versioning / supersession</x:v>
      </x:c>
      <x:c r="H338" s="15" t="str">
        <x:v>source path + receipt + raw/export status + claim/edge/risk delta</x:v>
      </x:c>
      <x:c r="I338" s="15" t="str">
        <x:v>packet/SWARM-03-H05-S01</x:v>
      </x:c>
      <x:c r="J338" s="15" t="str">
        <x:v>TODO</x:v>
      </x:c>
      <x:c r="K338" s="15" t="str">
        <x:v>P0</x:v>
      </x:c>
      <x:c r="L338" s="15" t="str">
        <x:v>Done only when evidence is logged, contradiction search is noted, and boundary stamp remains non-canon unless ratified</x:v>
      </x:c>
      <x:c r="M338" s="15" t="str">
        <x:v>candidate / staging-only / not canon / not deployed / authority none</x:v>
      </x:c>
      <x:c r="N338" s="15" t="str">
        <x:v>Dispatch to KairoBrain: complete Contradiction Mapping x Notion; return deltas only, receipts required.</x:v>
      </x:c>
      <x:c r="O338" s="15" t="str">
        <x:v>AF-KG-H05-S01</x:v>
      </x:c>
      <x:c r="P338" s="15" t="str">
        <x:v>Unverified</x:v>
      </x:c>
      <x:c r="Q338" s="15" t="str">
        <x:v>Not checked</x:v>
      </x:c>
      <x:c r="R338" s="15" t="str"/>
      <x:c r="S338" s="15" t="str"/>
      <x:c r="T338" s="15" t="str">
        <x:v>Log first source path or blocker</x:v>
      </x:c>
      <x:c r="U338" s="12" t="str">
        <x:f>IF(OR(P338="Unverified",Q338="Not checked"),"BLOCKED_PENDING_RECEIPT","READY_FOR_REVIEW")</x:f>
        <x:v>BLOCKED_PENDING_RECEIPT</x:v>
      </x:c>
      <x:c r="V338" s="12" t="str">
        <x:f>IF(J338="DONE","RETURNED",IF(U338="BLOCKED_PENDING_RECEIPT","SOURCE_TOUCH_REQUIRED","IN_PROGRESS"))</x:f>
        <x:v>SOURCE_TOUCH_REQUIRED</x:v>
      </x:c>
      <x:c r="W338" s="12" t="str">
        <x:f>IF(P338="Unverified","missing_receipt","receipt_logged")</x:f>
        <x:v>missing_receipt</x:v>
      </x:c>
      <x:c r="X338" s="12" t="str">
        <x:f>IF(Q338="Not checked","raw_status_missing","raw_status_logged")</x:f>
        <x:v>raw_status_missing</x:v>
      </x:c>
      <x:c r="Y338" s="12" t="str">
        <x:f>IF(U338="BLOCKED_PENDING_RECEIPT","Log source path or blocker; do not promote","Route to review lane")</x:f>
        <x:v>Log source path or blocker; do not promote</x:v>
      </x:c>
      <x:c r="Z338" s="12" t="str">
        <x:f>IF(K338="P0","Primary seat + Hashlight/Lucerna","Seat lane")</x:f>
        <x:v>Primary seat + Hashlight/Lucerna</x:v>
      </x:c>
      <x:c r="AA338" s="12" t="str">
        <x:f>IF(R338="","no_claim_delta","claim_delta_present")</x:f>
        <x:v>no_claim_delta</x:v>
      </x:c>
      <x:c r="AB338" s="12" t="str">
        <x:f>IF(S338="","no_contradiction_delta","contradiction_delta_present")</x:f>
        <x:v>no_contradiction_delta</x:v>
      </x:c>
      <x:c r="AC338" s="12" t="str">
        <x:f>IF(OR(ISNUMBER(SEARCH("hacker",LOWER(F338&amp;" "&amp;H338&amp;" "&amp;I338&amp;" "&amp;M338&amp;" "&amp;N338&amp;" "&amp;T338))),ISNUMBER(SEARCH("hacking",LOWER(F338&amp;" "&amp;H338&amp;" "&amp;I338&amp;" "&amp;M338&amp;" "&amp;N338&amp;" "&amp;T338))),ISNUMBER(SEARCH("bank",LOWER(F338&amp;" "&amp;H338&amp;" "&amp;I338&amp;" "&amp;M338&amp;" "&amp;N338&amp;" "&amp;T338))),ISNUMBER(SEARCH("banking",LOWER(F338&amp;" "&amp;H338&amp;" "&amp;I338&amp;" "&amp;M338&amp;" "&amp;N338&amp;" "&amp;T338)))),"PRIVATE_QUARANTINE",IF(OR(ISNUMBER(SEARCH("treasury",LOWER(F338&amp;" "&amp;H338&amp;" "&amp;I338&amp;" "&amp;M338&amp;" "&amp;N338&amp;" "&amp;T338))),ISNUMBER(SEARCH("debt",LOWER(F338&amp;" "&amp;H338&amp;" "&amp;I338&amp;" "&amp;M338&amp;" "&amp;N338&amp;" "&amp;T338))),ISNUMBER(SEARCH("bond",LOWER(F338&amp;" "&amp;H338&amp;" "&amp;I338&amp;" "&amp;M338&amp;" "&amp;N338&amp;" "&amp;T338))),ISNUMBER(SEARCH("transaction",LOWER(F338&amp;" "&amp;H338&amp;" "&amp;I338&amp;" "&amp;M338&amp;" "&amp;N338&amp;" "&amp;T338)))),"PRIVATE_REVIEW","PUBLIC_CANDIDATE"))</x:f>
        <x:v>PUBLIC_CANDIDATE</x:v>
      </x:c>
      <x:c r="AD338" s="12" t="str">
        <x:f>IF(AC338="PRIVATE_QUARANTINE","hacker_or_bank_trigger",IF(AC338="PRIVATE_REVIEW","finance_risk_trigger","none"))</x:f>
        <x:v>none</x:v>
      </x:c>
      <x:c r="AE338" s="12" t="str">
        <x:f>IF(AC338="PUBLIC_CANDIDATE","prepare_public_github_candidate",IF(AC338="PRIVATE_REVIEW","hold_for_private_review","quarantine_private_do_not_publish"))</x:f>
        <x:v>prepare_public_github_candidate</x:v>
      </x:c>
      <x:c r="AF338" s="12" t="str">
        <x:f>IF(AC338="PUBLIC_CANDIDATE","TIDELOCK + Lucerna",IF(AC338="PRIVATE_REVIEW","AtlasBrain + Lucerna","TIDELOCK + Lucerna + Human-root"))</x:f>
        <x:v>TIDELOCK + Lucerna</x:v>
      </x:c>
      <x:c r="AG338" s="12" t="str">
        <x:f>IF(AND(AC338="PUBLIC_CANDIDATE",U338&lt;&gt;"BLOCKED_PENDING_RECEIPT"),"READY_AFTER_RECEIPT","NOT_READY")</x:f>
        <x:v>NOT_READY</x:v>
      </x:c>
      <x:c r="AH338" s="12" t="str">
        <x:f>IF(AC338="PUBLIC_CANDIDATE","none",AD338)</x:f>
        <x:v>none</x:v>
      </x:c>
      <x:c r="AI338" s="12" t="str">
        <x:f>IF(AC338="PUBLIC_CANDIDATE","archive/public_candidates/"&amp;A338,"private_quarantine/"&amp;A338)</x:f>
        <x:v>archive/public_candidates/SWARM-03-H05-S01</x:v>
      </x:c>
      <x:c r="AJ338" s="12" t="str">
        <x:f>IF(AC338="PUBLIC_CANDIDATE","public by default; still not canon","private/hold; do not publish")</x:f>
        <x:v>public by default; still not canon</x:v>
      </x:c>
      <x:c r="AK338" s="12" t="str">
        <x:f>IF(AE338="prepare_public_github_candidate","add receipt/status then mirror","resolve blocker before any public GitHub action")</x:f>
        <x:v>add receipt/status then mirror</x:v>
      </x:c>
    </x:row>
    <x:row r="339">
      <x:c r="A339" s="15" t="str">
        <x:v>SWARM-03-H05-S02</x:v>
      </x:c>
      <x:c r="B339" s="15" t="str">
        <x:v>KairoBrain</x:v>
      </x:c>
      <x:c r="C339" s="15" t="str">
        <x:v>Temporal strata keeper</x:v>
      </x:c>
      <x:c r="D339" s="15" t="str">
        <x:v>Contradiction Mapping</x:v>
      </x:c>
      <x:c r="E339" s="15" t="str">
        <x:v>Drive</x:v>
      </x:c>
      <x:c r="F339" s="15" t="str">
        <x:v>Map contradictions in Drive — KairoBrain</x:v>
      </x:c>
      <x:c r="G339" s="15" t="str">
        <x:v>staleness / versioning / supersession</x:v>
      </x:c>
      <x:c r="H339" s="15" t="str">
        <x:v>source path + receipt + raw/export status + claim/edge/risk delta</x:v>
      </x:c>
      <x:c r="I339" s="15" t="str">
        <x:v>packet/SWARM-03-H05-S02</x:v>
      </x:c>
      <x:c r="J339" s="15" t="str">
        <x:v>TODO</x:v>
      </x:c>
      <x:c r="K339" s="15" t="str">
        <x:v>P0</x:v>
      </x:c>
      <x:c r="L339" s="15" t="str">
        <x:v>Done only when evidence is logged, contradiction search is noted, and boundary stamp remains non-canon unless ratified</x:v>
      </x:c>
      <x:c r="M339" s="15" t="str">
        <x:v>candidate / staging-only / not canon / not deployed / authority none</x:v>
      </x:c>
      <x:c r="N339" s="15" t="str">
        <x:v>Dispatch to KairoBrain: complete Contradiction Mapping x Drive; return deltas only, receipts required.</x:v>
      </x:c>
      <x:c r="O339" s="15" t="str">
        <x:v>AF-KG-H05-S02</x:v>
      </x:c>
      <x:c r="P339" s="15" t="str">
        <x:v>Unverified</x:v>
      </x:c>
      <x:c r="Q339" s="15" t="str">
        <x:v>Not checked</x:v>
      </x:c>
      <x:c r="R339" s="15" t="str"/>
      <x:c r="S339" s="15" t="str"/>
      <x:c r="T339" s="15" t="str">
        <x:v>Log first source path or blocker</x:v>
      </x:c>
      <x:c r="U339" s="12" t="str">
        <x:f>IF(OR(P339="Unverified",Q339="Not checked"),"BLOCKED_PENDING_RECEIPT","READY_FOR_REVIEW")</x:f>
        <x:v>BLOCKED_PENDING_RECEIPT</x:v>
      </x:c>
      <x:c r="V339" s="12" t="str">
        <x:f>IF(J339="DONE","RETURNED",IF(U339="BLOCKED_PENDING_RECEIPT","SOURCE_TOUCH_REQUIRED","IN_PROGRESS"))</x:f>
        <x:v>SOURCE_TOUCH_REQUIRED</x:v>
      </x:c>
      <x:c r="W339" s="12" t="str">
        <x:f>IF(P339="Unverified","missing_receipt","receipt_logged")</x:f>
        <x:v>missing_receipt</x:v>
      </x:c>
      <x:c r="X339" s="12" t="str">
        <x:f>IF(Q339="Not checked","raw_status_missing","raw_status_logged")</x:f>
        <x:v>raw_status_missing</x:v>
      </x:c>
      <x:c r="Y339" s="12" t="str">
        <x:f>IF(U339="BLOCKED_PENDING_RECEIPT","Log source path or blocker; do not promote","Route to review lane")</x:f>
        <x:v>Log source path or blocker; do not promote</x:v>
      </x:c>
      <x:c r="Z339" s="12" t="str">
        <x:f>IF(K339="P0","Primary seat + Hashlight/Lucerna","Seat lane")</x:f>
        <x:v>Primary seat + Hashlight/Lucerna</x:v>
      </x:c>
      <x:c r="AA339" s="12" t="str">
        <x:f>IF(R339="","no_claim_delta","claim_delta_present")</x:f>
        <x:v>no_claim_delta</x:v>
      </x:c>
      <x:c r="AB339" s="12" t="str">
        <x:f>IF(S339="","no_contradiction_delta","contradiction_delta_present")</x:f>
        <x:v>no_contradiction_delta</x:v>
      </x:c>
      <x:c r="AC339" s="12" t="str">
        <x:f>IF(OR(ISNUMBER(SEARCH("hacker",LOWER(F339&amp;" "&amp;H339&amp;" "&amp;I339&amp;" "&amp;M339&amp;" "&amp;N339&amp;" "&amp;T339))),ISNUMBER(SEARCH("hacking",LOWER(F339&amp;" "&amp;H339&amp;" "&amp;I339&amp;" "&amp;M339&amp;" "&amp;N339&amp;" "&amp;T339))),ISNUMBER(SEARCH("bank",LOWER(F339&amp;" "&amp;H339&amp;" "&amp;I339&amp;" "&amp;M339&amp;" "&amp;N339&amp;" "&amp;T339))),ISNUMBER(SEARCH("banking",LOWER(F339&amp;" "&amp;H339&amp;" "&amp;I339&amp;" "&amp;M339&amp;" "&amp;N339&amp;" "&amp;T339)))),"PRIVATE_QUARANTINE",IF(OR(ISNUMBER(SEARCH("treasury",LOWER(F339&amp;" "&amp;H339&amp;" "&amp;I339&amp;" "&amp;M339&amp;" "&amp;N339&amp;" "&amp;T339))),ISNUMBER(SEARCH("debt",LOWER(F339&amp;" "&amp;H339&amp;" "&amp;I339&amp;" "&amp;M339&amp;" "&amp;N339&amp;" "&amp;T339))),ISNUMBER(SEARCH("bond",LOWER(F339&amp;" "&amp;H339&amp;" "&amp;I339&amp;" "&amp;M339&amp;" "&amp;N339&amp;" "&amp;T339))),ISNUMBER(SEARCH("transaction",LOWER(F339&amp;" "&amp;H339&amp;" "&amp;I339&amp;" "&amp;M339&amp;" "&amp;N339&amp;" "&amp;T339)))),"PRIVATE_REVIEW","PUBLIC_CANDIDATE"))</x:f>
        <x:v>PUBLIC_CANDIDATE</x:v>
      </x:c>
      <x:c r="AD339" s="12" t="str">
        <x:f>IF(AC339="PRIVATE_QUARANTINE","hacker_or_bank_trigger",IF(AC339="PRIVATE_REVIEW","finance_risk_trigger","none"))</x:f>
        <x:v>none</x:v>
      </x:c>
      <x:c r="AE339" s="12" t="str">
        <x:f>IF(AC339="PUBLIC_CANDIDATE","prepare_public_github_candidate",IF(AC339="PRIVATE_REVIEW","hold_for_private_review","quarantine_private_do_not_publish"))</x:f>
        <x:v>prepare_public_github_candidate</x:v>
      </x:c>
      <x:c r="AF339" s="12" t="str">
        <x:f>IF(AC339="PUBLIC_CANDIDATE","TIDELOCK + Lucerna",IF(AC339="PRIVATE_REVIEW","AtlasBrain + Lucerna","TIDELOCK + Lucerna + Human-root"))</x:f>
        <x:v>TIDELOCK + Lucerna</x:v>
      </x:c>
      <x:c r="AG339" s="12" t="str">
        <x:f>IF(AND(AC339="PUBLIC_CANDIDATE",U339&lt;&gt;"BLOCKED_PENDING_RECEIPT"),"READY_AFTER_RECEIPT","NOT_READY")</x:f>
        <x:v>NOT_READY</x:v>
      </x:c>
      <x:c r="AH339" s="12" t="str">
        <x:f>IF(AC339="PUBLIC_CANDIDATE","none",AD339)</x:f>
        <x:v>none</x:v>
      </x:c>
      <x:c r="AI339" s="12" t="str">
        <x:f>IF(AC339="PUBLIC_CANDIDATE","archive/public_candidates/"&amp;A339,"private_quarantine/"&amp;A339)</x:f>
        <x:v>archive/public_candidates/SWARM-03-H05-S02</x:v>
      </x:c>
      <x:c r="AJ339" s="12" t="str">
        <x:f>IF(AC339="PUBLIC_CANDIDATE","public by default; still not canon","private/hold; do not publish")</x:f>
        <x:v>public by default; still not canon</x:v>
      </x:c>
      <x:c r="AK339" s="12" t="str">
        <x:f>IF(AE339="prepare_public_github_candidate","add receipt/status then mirror","resolve blocker before any public GitHub action")</x:f>
        <x:v>add receipt/status then mirror</x:v>
      </x:c>
    </x:row>
    <x:row r="340">
      <x:c r="A340" s="15" t="str">
        <x:v>SWARM-03-H05-S03</x:v>
      </x:c>
      <x:c r="B340" s="15" t="str">
        <x:v>KairoBrain</x:v>
      </x:c>
      <x:c r="C340" s="15" t="str">
        <x:v>Temporal strata keeper</x:v>
      </x:c>
      <x:c r="D340" s="15" t="str">
        <x:v>Contradiction Mapping</x:v>
      </x:c>
      <x:c r="E340" s="15" t="str">
        <x:v>GitHub</x:v>
      </x:c>
      <x:c r="F340" s="15" t="str">
        <x:v>Map contradictions in GitHub — KairoBrain</x:v>
      </x:c>
      <x:c r="G340" s="15" t="str">
        <x:v>staleness / versioning / supersession</x:v>
      </x:c>
      <x:c r="H340" s="15" t="str">
        <x:v>source path + receipt + raw/export status + claim/edge/risk delta</x:v>
      </x:c>
      <x:c r="I340" s="15" t="str">
        <x:v>packet/SWARM-03-H05-S03</x:v>
      </x:c>
      <x:c r="J340" s="15" t="str">
        <x:v>TODO</x:v>
      </x:c>
      <x:c r="K340" s="15" t="str">
        <x:v>P0</x:v>
      </x:c>
      <x:c r="L340" s="15" t="str">
        <x:v>Done only when evidence is logged, contradiction search is noted, and boundary stamp remains non-canon unless ratified</x:v>
      </x:c>
      <x:c r="M340" s="15" t="str">
        <x:v>candidate / staging-only / not canon / not deployed / authority none</x:v>
      </x:c>
      <x:c r="N340" s="15" t="str">
        <x:v>Dispatch to KairoBrain: complete Contradiction Mapping x GitHub; return deltas only, receipts required.</x:v>
      </x:c>
      <x:c r="O340" s="15" t="str">
        <x:v>AF-KG-H05-S03</x:v>
      </x:c>
      <x:c r="P340" s="15" t="str">
        <x:v>Unverified</x:v>
      </x:c>
      <x:c r="Q340" s="15" t="str">
        <x:v>Not checked</x:v>
      </x:c>
      <x:c r="R340" s="15" t="str"/>
      <x:c r="S340" s="15" t="str"/>
      <x:c r="T340" s="15" t="str">
        <x:v>Log first source path or blocker</x:v>
      </x:c>
      <x:c r="U340" s="12" t="str">
        <x:f>IF(OR(P340="Unverified",Q340="Not checked"),"BLOCKED_PENDING_RECEIPT","READY_FOR_REVIEW")</x:f>
        <x:v>BLOCKED_PENDING_RECEIPT</x:v>
      </x:c>
      <x:c r="V340" s="12" t="str">
        <x:f>IF(J340="DONE","RETURNED",IF(U340="BLOCKED_PENDING_RECEIPT","SOURCE_TOUCH_REQUIRED","IN_PROGRESS"))</x:f>
        <x:v>SOURCE_TOUCH_REQUIRED</x:v>
      </x:c>
      <x:c r="W340" s="12" t="str">
        <x:f>IF(P340="Unverified","missing_receipt","receipt_logged")</x:f>
        <x:v>missing_receipt</x:v>
      </x:c>
      <x:c r="X340" s="12" t="str">
        <x:f>IF(Q340="Not checked","raw_status_missing","raw_status_logged")</x:f>
        <x:v>raw_status_missing</x:v>
      </x:c>
      <x:c r="Y340" s="12" t="str">
        <x:f>IF(U340="BLOCKED_PENDING_RECEIPT","Log source path or blocker; do not promote","Route to review lane")</x:f>
        <x:v>Log source path or blocker; do not promote</x:v>
      </x:c>
      <x:c r="Z340" s="12" t="str">
        <x:f>IF(K340="P0","Primary seat + Hashlight/Lucerna","Seat lane")</x:f>
        <x:v>Primary seat + Hashlight/Lucerna</x:v>
      </x:c>
      <x:c r="AA340" s="12" t="str">
        <x:f>IF(R340="","no_claim_delta","claim_delta_present")</x:f>
        <x:v>no_claim_delta</x:v>
      </x:c>
      <x:c r="AB340" s="12" t="str">
        <x:f>IF(S340="","no_contradiction_delta","contradiction_delta_present")</x:f>
        <x:v>no_contradiction_delta</x:v>
      </x:c>
      <x:c r="AC340" s="12" t="str">
        <x:f>IF(OR(ISNUMBER(SEARCH("hacker",LOWER(F340&amp;" "&amp;H340&amp;" "&amp;I340&amp;" "&amp;M340&amp;" "&amp;N340&amp;" "&amp;T340))),ISNUMBER(SEARCH("hacking",LOWER(F340&amp;" "&amp;H340&amp;" "&amp;I340&amp;" "&amp;M340&amp;" "&amp;N340&amp;" "&amp;T340))),ISNUMBER(SEARCH("bank",LOWER(F340&amp;" "&amp;H340&amp;" "&amp;I340&amp;" "&amp;M340&amp;" "&amp;N340&amp;" "&amp;T340))),ISNUMBER(SEARCH("banking",LOWER(F340&amp;" "&amp;H340&amp;" "&amp;I340&amp;" "&amp;M340&amp;" "&amp;N340&amp;" "&amp;T340)))),"PRIVATE_QUARANTINE",IF(OR(ISNUMBER(SEARCH("treasury",LOWER(F340&amp;" "&amp;H340&amp;" "&amp;I340&amp;" "&amp;M340&amp;" "&amp;N340&amp;" "&amp;T340))),ISNUMBER(SEARCH("debt",LOWER(F340&amp;" "&amp;H340&amp;" "&amp;I340&amp;" "&amp;M340&amp;" "&amp;N340&amp;" "&amp;T340))),ISNUMBER(SEARCH("bond",LOWER(F340&amp;" "&amp;H340&amp;" "&amp;I340&amp;" "&amp;M340&amp;" "&amp;N340&amp;" "&amp;T340))),ISNUMBER(SEARCH("transaction",LOWER(F340&amp;" "&amp;H340&amp;" "&amp;I340&amp;" "&amp;M340&amp;" "&amp;N340&amp;" "&amp;T340)))),"PRIVATE_REVIEW","PUBLIC_CANDIDATE"))</x:f>
        <x:v>PUBLIC_CANDIDATE</x:v>
      </x:c>
      <x:c r="AD340" s="12" t="str">
        <x:f>IF(AC340="PRIVATE_QUARANTINE","hacker_or_bank_trigger",IF(AC340="PRIVATE_REVIEW","finance_risk_trigger","none"))</x:f>
        <x:v>none</x:v>
      </x:c>
      <x:c r="AE340" s="12" t="str">
        <x:f>IF(AC340="PUBLIC_CANDIDATE","prepare_public_github_candidate",IF(AC340="PRIVATE_REVIEW","hold_for_private_review","quarantine_private_do_not_publish"))</x:f>
        <x:v>prepare_public_github_candidate</x:v>
      </x:c>
      <x:c r="AF340" s="12" t="str">
        <x:f>IF(AC340="PUBLIC_CANDIDATE","TIDELOCK + Lucerna",IF(AC340="PRIVATE_REVIEW","AtlasBrain + Lucerna","TIDELOCK + Lucerna + Human-root"))</x:f>
        <x:v>TIDELOCK + Lucerna</x:v>
      </x:c>
      <x:c r="AG340" s="12" t="str">
        <x:f>IF(AND(AC340="PUBLIC_CANDIDATE",U340&lt;&gt;"BLOCKED_PENDING_RECEIPT"),"READY_AFTER_RECEIPT","NOT_READY")</x:f>
        <x:v>NOT_READY</x:v>
      </x:c>
      <x:c r="AH340" s="12" t="str">
        <x:f>IF(AC340="PUBLIC_CANDIDATE","none",AD340)</x:f>
        <x:v>none</x:v>
      </x:c>
      <x:c r="AI340" s="12" t="str">
        <x:f>IF(AC340="PUBLIC_CANDIDATE","archive/public_candidates/"&amp;A340,"private_quarantine/"&amp;A340)</x:f>
        <x:v>archive/public_candidates/SWARM-03-H05-S03</x:v>
      </x:c>
      <x:c r="AJ340" s="12" t="str">
        <x:f>IF(AC340="PUBLIC_CANDIDATE","public by default; still not canon","private/hold; do not publish")</x:f>
        <x:v>public by default; still not canon</x:v>
      </x:c>
      <x:c r="AK340" s="12" t="str">
        <x:f>IF(AE340="prepare_public_github_candidate","add receipt/status then mirror","resolve blocker before any public GitHub action")</x:f>
        <x:v>add receipt/status then mirror</x:v>
      </x:c>
    </x:row>
    <x:row r="341">
      <x:c r="A341" s="15" t="str">
        <x:v>SWARM-03-H05-S04</x:v>
      </x:c>
      <x:c r="B341" s="15" t="str">
        <x:v>KairoBrain</x:v>
      </x:c>
      <x:c r="C341" s="15" t="str">
        <x:v>Temporal strata keeper</x:v>
      </x:c>
      <x:c r="D341" s="15" t="str">
        <x:v>Contradiction Mapping</x:v>
      </x:c>
      <x:c r="E341" s="15" t="str">
        <x:v>Gamma</x:v>
      </x:c>
      <x:c r="F341" s="15" t="str">
        <x:v>Map contradictions in Gamma — KairoBrain</x:v>
      </x:c>
      <x:c r="G341" s="15" t="str">
        <x:v>staleness / versioning / supersession</x:v>
      </x:c>
      <x:c r="H341" s="15" t="str">
        <x:v>source path + receipt + raw/export status + claim/edge/risk delta</x:v>
      </x:c>
      <x:c r="I341" s="15" t="str">
        <x:v>packet/SWARM-03-H05-S04</x:v>
      </x:c>
      <x:c r="J341" s="15" t="str">
        <x:v>TODO</x:v>
      </x:c>
      <x:c r="K341" s="15" t="str">
        <x:v>P1</x:v>
      </x:c>
      <x:c r="L341" s="15" t="str">
        <x:v>Done only when evidence is logged, contradiction search is noted, and boundary stamp remains non-canon unless ratified</x:v>
      </x:c>
      <x:c r="M341" s="15" t="str">
        <x:v>candidate / staging-only / not canon / not deployed / authority none</x:v>
      </x:c>
      <x:c r="N341" s="15" t="str">
        <x:v>Dispatch to KairoBrain: complete Contradiction Mapping x Gamma; return deltas only, receipts required.</x:v>
      </x:c>
      <x:c r="O341" s="15" t="str">
        <x:v>AF-KG-H05-S04</x:v>
      </x:c>
      <x:c r="P341" s="15" t="str">
        <x:v>Unverified</x:v>
      </x:c>
      <x:c r="Q341" s="15" t="str">
        <x:v>Not checked</x:v>
      </x:c>
      <x:c r="R341" s="15" t="str"/>
      <x:c r="S341" s="15" t="str"/>
      <x:c r="T341" s="15" t="str">
        <x:v>Log first source path or blocker</x:v>
      </x:c>
      <x:c r="U341" s="12" t="str">
        <x:f>IF(OR(P341="Unverified",Q341="Not checked"),"BLOCKED_PENDING_RECEIPT","READY_FOR_REVIEW")</x:f>
        <x:v>BLOCKED_PENDING_RECEIPT</x:v>
      </x:c>
      <x:c r="V341" s="12" t="str">
        <x:f>IF(J341="DONE","RETURNED",IF(U341="BLOCKED_PENDING_RECEIPT","SOURCE_TOUCH_REQUIRED","IN_PROGRESS"))</x:f>
        <x:v>SOURCE_TOUCH_REQUIRED</x:v>
      </x:c>
      <x:c r="W341" s="12" t="str">
        <x:f>IF(P341="Unverified","missing_receipt","receipt_logged")</x:f>
        <x:v>missing_receipt</x:v>
      </x:c>
      <x:c r="X341" s="12" t="str">
        <x:f>IF(Q341="Not checked","raw_status_missing","raw_status_logged")</x:f>
        <x:v>raw_status_missing</x:v>
      </x:c>
      <x:c r="Y341" s="12" t="str">
        <x:f>IF(U341="BLOCKED_PENDING_RECEIPT","Log source path or blocker; do not promote","Route to review lane")</x:f>
        <x:v>Log source path or blocker; do not promote</x:v>
      </x:c>
      <x:c r="Z341" s="12" t="str">
        <x:f>IF(K341="P0","Primary seat + Hashlight/Lucerna","Seat lane")</x:f>
        <x:v>Seat lane</x:v>
      </x:c>
      <x:c r="AA341" s="12" t="str">
        <x:f>IF(R341="","no_claim_delta","claim_delta_present")</x:f>
        <x:v>no_claim_delta</x:v>
      </x:c>
      <x:c r="AB341" s="12" t="str">
        <x:f>IF(S341="","no_contradiction_delta","contradiction_delta_present")</x:f>
        <x:v>no_contradiction_delta</x:v>
      </x:c>
      <x:c r="AC341" s="12" t="str">
        <x:f>IF(OR(ISNUMBER(SEARCH("hacker",LOWER(F341&amp;" "&amp;H341&amp;" "&amp;I341&amp;" "&amp;M341&amp;" "&amp;N341&amp;" "&amp;T341))),ISNUMBER(SEARCH("hacking",LOWER(F341&amp;" "&amp;H341&amp;" "&amp;I341&amp;" "&amp;M341&amp;" "&amp;N341&amp;" "&amp;T341))),ISNUMBER(SEARCH("bank",LOWER(F341&amp;" "&amp;H341&amp;" "&amp;I341&amp;" "&amp;M341&amp;" "&amp;N341&amp;" "&amp;T341))),ISNUMBER(SEARCH("banking",LOWER(F341&amp;" "&amp;H341&amp;" "&amp;I341&amp;" "&amp;M341&amp;" "&amp;N341&amp;" "&amp;T341)))),"PRIVATE_QUARANTINE",IF(OR(ISNUMBER(SEARCH("treasury",LOWER(F341&amp;" "&amp;H341&amp;" "&amp;I341&amp;" "&amp;M341&amp;" "&amp;N341&amp;" "&amp;T341))),ISNUMBER(SEARCH("debt",LOWER(F341&amp;" "&amp;H341&amp;" "&amp;I341&amp;" "&amp;M341&amp;" "&amp;N341&amp;" "&amp;T341))),ISNUMBER(SEARCH("bond",LOWER(F341&amp;" "&amp;H341&amp;" "&amp;I341&amp;" "&amp;M341&amp;" "&amp;N341&amp;" "&amp;T341))),ISNUMBER(SEARCH("transaction",LOWER(F341&amp;" "&amp;H341&amp;" "&amp;I341&amp;" "&amp;M341&amp;" "&amp;N341&amp;" "&amp;T341)))),"PRIVATE_REVIEW","PUBLIC_CANDIDATE"))</x:f>
        <x:v>PUBLIC_CANDIDATE</x:v>
      </x:c>
      <x:c r="AD341" s="12" t="str">
        <x:f>IF(AC341="PRIVATE_QUARANTINE","hacker_or_bank_trigger",IF(AC341="PRIVATE_REVIEW","finance_risk_trigger","none"))</x:f>
        <x:v>none</x:v>
      </x:c>
      <x:c r="AE341" s="12" t="str">
        <x:f>IF(AC341="PUBLIC_CANDIDATE","prepare_public_github_candidate",IF(AC341="PRIVATE_REVIEW","hold_for_private_review","quarantine_private_do_not_publish"))</x:f>
        <x:v>prepare_public_github_candidate</x:v>
      </x:c>
      <x:c r="AF341" s="12" t="str">
        <x:f>IF(AC341="PUBLIC_CANDIDATE","TIDELOCK + Lucerna",IF(AC341="PRIVATE_REVIEW","AtlasBrain + Lucerna","TIDELOCK + Lucerna + Human-root"))</x:f>
        <x:v>TIDELOCK + Lucerna</x:v>
      </x:c>
      <x:c r="AG341" s="12" t="str">
        <x:f>IF(AND(AC341="PUBLIC_CANDIDATE",U341&lt;&gt;"BLOCKED_PENDING_RECEIPT"),"READY_AFTER_RECEIPT","NOT_READY")</x:f>
        <x:v>NOT_READY</x:v>
      </x:c>
      <x:c r="AH341" s="12" t="str">
        <x:f>IF(AC341="PUBLIC_CANDIDATE","none",AD341)</x:f>
        <x:v>none</x:v>
      </x:c>
      <x:c r="AI341" s="12" t="str">
        <x:f>IF(AC341="PUBLIC_CANDIDATE","archive/public_candidates/"&amp;A341,"private_quarantine/"&amp;A341)</x:f>
        <x:v>archive/public_candidates/SWARM-03-H05-S04</x:v>
      </x:c>
      <x:c r="AJ341" s="12" t="str">
        <x:f>IF(AC341="PUBLIC_CANDIDATE","public by default; still not canon","private/hold; do not publish")</x:f>
        <x:v>public by default; still not canon</x:v>
      </x:c>
      <x:c r="AK341" s="12" t="str">
        <x:f>IF(AE341="prepare_public_github_candidate","add receipt/status then mirror","resolve blocker before any public GitHub action")</x:f>
        <x:v>add receipt/status then mirror</x:v>
      </x:c>
    </x:row>
    <x:row r="342">
      <x:c r="A342" s="15" t="str">
        <x:v>SWARM-03-H05-S05</x:v>
      </x:c>
      <x:c r="B342" s="15" t="str">
        <x:v>KairoBrain</x:v>
      </x:c>
      <x:c r="C342" s="15" t="str">
        <x:v>Temporal strata keeper</x:v>
      </x:c>
      <x:c r="D342" s="15" t="str">
        <x:v>Contradiction Mapping</x:v>
      </x:c>
      <x:c r="E342" s="15" t="str">
        <x:v>Chat</x:v>
      </x:c>
      <x:c r="F342" s="15" t="str">
        <x:v>Map contradictions in Chat — KairoBrain</x:v>
      </x:c>
      <x:c r="G342" s="15" t="str">
        <x:v>staleness / versioning / supersession</x:v>
      </x:c>
      <x:c r="H342" s="15" t="str">
        <x:v>source path + receipt + raw/export status + claim/edge/risk delta</x:v>
      </x:c>
      <x:c r="I342" s="15" t="str">
        <x:v>packet/SWARM-03-H05-S05</x:v>
      </x:c>
      <x:c r="J342" s="15" t="str">
        <x:v>TODO</x:v>
      </x:c>
      <x:c r="K342" s="15" t="str">
        <x:v>P1</x:v>
      </x:c>
      <x:c r="L342" s="15" t="str">
        <x:v>Done only when evidence is logged, contradiction search is noted, and boundary stamp remains non-canon unless ratified</x:v>
      </x:c>
      <x:c r="M342" s="15" t="str">
        <x:v>candidate / staging-only / not canon / not deployed / authority none</x:v>
      </x:c>
      <x:c r="N342" s="15" t="str">
        <x:v>Dispatch to KairoBrain: complete Contradiction Mapping x Chat; return deltas only, receipts required.</x:v>
      </x:c>
      <x:c r="O342" s="15" t="str">
        <x:v>AF-KG-H05-S05</x:v>
      </x:c>
      <x:c r="P342" s="15" t="str">
        <x:v>Unverified</x:v>
      </x:c>
      <x:c r="Q342" s="15" t="str">
        <x:v>Not checked</x:v>
      </x:c>
      <x:c r="R342" s="15" t="str"/>
      <x:c r="S342" s="15" t="str"/>
      <x:c r="T342" s="15" t="str">
        <x:v>Log first source path or blocker</x:v>
      </x:c>
      <x:c r="U342" s="12" t="str">
        <x:f>IF(OR(P342="Unverified",Q342="Not checked"),"BLOCKED_PENDING_RECEIPT","READY_FOR_REVIEW")</x:f>
        <x:v>BLOCKED_PENDING_RECEIPT</x:v>
      </x:c>
      <x:c r="V342" s="12" t="str">
        <x:f>IF(J342="DONE","RETURNED",IF(U342="BLOCKED_PENDING_RECEIPT","SOURCE_TOUCH_REQUIRED","IN_PROGRESS"))</x:f>
        <x:v>SOURCE_TOUCH_REQUIRED</x:v>
      </x:c>
      <x:c r="W342" s="12" t="str">
        <x:f>IF(P342="Unverified","missing_receipt","receipt_logged")</x:f>
        <x:v>missing_receipt</x:v>
      </x:c>
      <x:c r="X342" s="12" t="str">
        <x:f>IF(Q342="Not checked","raw_status_missing","raw_status_logged")</x:f>
        <x:v>raw_status_missing</x:v>
      </x:c>
      <x:c r="Y342" s="12" t="str">
        <x:f>IF(U342="BLOCKED_PENDING_RECEIPT","Log source path or blocker; do not promote","Route to review lane")</x:f>
        <x:v>Log source path or blocker; do not promote</x:v>
      </x:c>
      <x:c r="Z342" s="12" t="str">
        <x:f>IF(K342="P0","Primary seat + Hashlight/Lucerna","Seat lane")</x:f>
        <x:v>Seat lane</x:v>
      </x:c>
      <x:c r="AA342" s="12" t="str">
        <x:f>IF(R342="","no_claim_delta","claim_delta_present")</x:f>
        <x:v>no_claim_delta</x:v>
      </x:c>
      <x:c r="AB342" s="12" t="str">
        <x:f>IF(S342="","no_contradiction_delta","contradiction_delta_present")</x:f>
        <x:v>no_contradiction_delta</x:v>
      </x:c>
      <x:c r="AC342" s="12" t="str">
        <x:f>IF(OR(ISNUMBER(SEARCH("hacker",LOWER(F342&amp;" "&amp;H342&amp;" "&amp;I342&amp;" "&amp;M342&amp;" "&amp;N342&amp;" "&amp;T342))),ISNUMBER(SEARCH("hacking",LOWER(F342&amp;" "&amp;H342&amp;" "&amp;I342&amp;" "&amp;M342&amp;" "&amp;N342&amp;" "&amp;T342))),ISNUMBER(SEARCH("bank",LOWER(F342&amp;" "&amp;H342&amp;" "&amp;I342&amp;" "&amp;M342&amp;" "&amp;N342&amp;" "&amp;T342))),ISNUMBER(SEARCH("banking",LOWER(F342&amp;" "&amp;H342&amp;" "&amp;I342&amp;" "&amp;M342&amp;" "&amp;N342&amp;" "&amp;T342)))),"PRIVATE_QUARANTINE",IF(OR(ISNUMBER(SEARCH("treasury",LOWER(F342&amp;" "&amp;H342&amp;" "&amp;I342&amp;" "&amp;M342&amp;" "&amp;N342&amp;" "&amp;T342))),ISNUMBER(SEARCH("debt",LOWER(F342&amp;" "&amp;H342&amp;" "&amp;I342&amp;" "&amp;M342&amp;" "&amp;N342&amp;" "&amp;T342))),ISNUMBER(SEARCH("bond",LOWER(F342&amp;" "&amp;H342&amp;" "&amp;I342&amp;" "&amp;M342&amp;" "&amp;N342&amp;" "&amp;T342))),ISNUMBER(SEARCH("transaction",LOWER(F342&amp;" "&amp;H342&amp;" "&amp;I342&amp;" "&amp;M342&amp;" "&amp;N342&amp;" "&amp;T342)))),"PRIVATE_REVIEW","PUBLIC_CANDIDATE"))</x:f>
        <x:v>PUBLIC_CANDIDATE</x:v>
      </x:c>
      <x:c r="AD342" s="12" t="str">
        <x:f>IF(AC342="PRIVATE_QUARANTINE","hacker_or_bank_trigger",IF(AC342="PRIVATE_REVIEW","finance_risk_trigger","none"))</x:f>
        <x:v>none</x:v>
      </x:c>
      <x:c r="AE342" s="12" t="str">
        <x:f>IF(AC342="PUBLIC_CANDIDATE","prepare_public_github_candidate",IF(AC342="PRIVATE_REVIEW","hold_for_private_review","quarantine_private_do_not_publish"))</x:f>
        <x:v>prepare_public_github_candidate</x:v>
      </x:c>
      <x:c r="AF342" s="12" t="str">
        <x:f>IF(AC342="PUBLIC_CANDIDATE","TIDELOCK + Lucerna",IF(AC342="PRIVATE_REVIEW","AtlasBrain + Lucerna","TIDELOCK + Lucerna + Human-root"))</x:f>
        <x:v>TIDELOCK + Lucerna</x:v>
      </x:c>
      <x:c r="AG342" s="12" t="str">
        <x:f>IF(AND(AC342="PUBLIC_CANDIDATE",U342&lt;&gt;"BLOCKED_PENDING_RECEIPT"),"READY_AFTER_RECEIPT","NOT_READY")</x:f>
        <x:v>NOT_READY</x:v>
      </x:c>
      <x:c r="AH342" s="12" t="str">
        <x:f>IF(AC342="PUBLIC_CANDIDATE","none",AD342)</x:f>
        <x:v>none</x:v>
      </x:c>
      <x:c r="AI342" s="12" t="str">
        <x:f>IF(AC342="PUBLIC_CANDIDATE","archive/public_candidates/"&amp;A342,"private_quarantine/"&amp;A342)</x:f>
        <x:v>archive/public_candidates/SWARM-03-H05-S05</x:v>
      </x:c>
      <x:c r="AJ342" s="12" t="str">
        <x:f>IF(AC342="PUBLIC_CANDIDATE","public by default; still not canon","private/hold; do not publish")</x:f>
        <x:v>public by default; still not canon</x:v>
      </x:c>
      <x:c r="AK342" s="12" t="str">
        <x:f>IF(AE342="prepare_public_github_candidate","add receipt/status then mirror","resolve blocker before any public GitHub action")</x:f>
        <x:v>add receipt/status then mirror</x:v>
      </x:c>
    </x:row>
    <x:row r="343">
      <x:c r="A343" s="15" t="str">
        <x:v>SWARM-03-H05-S06</x:v>
      </x:c>
      <x:c r="B343" s="15" t="str">
        <x:v>KairoBrain</x:v>
      </x:c>
      <x:c r="C343" s="15" t="str">
        <x:v>Temporal strata keeper</x:v>
      </x:c>
      <x:c r="D343" s="15" t="str">
        <x:v>Contradiction Mapping</x:v>
      </x:c>
      <x:c r="E343" s="15" t="str">
        <x:v>External Web</x:v>
      </x:c>
      <x:c r="F343" s="15" t="str">
        <x:v>Map contradictions in External Web — KairoBrain</x:v>
      </x:c>
      <x:c r="G343" s="15" t="str">
        <x:v>staleness / versioning / supersession</x:v>
      </x:c>
      <x:c r="H343" s="15" t="str">
        <x:v>source path + receipt + raw/export status + claim/edge/risk delta</x:v>
      </x:c>
      <x:c r="I343" s="15" t="str">
        <x:v>packet/SWARM-03-H05-S06</x:v>
      </x:c>
      <x:c r="J343" s="15" t="str">
        <x:v>TODO</x:v>
      </x:c>
      <x:c r="K343" s="15" t="str">
        <x:v>P1</x:v>
      </x:c>
      <x:c r="L343" s="15" t="str">
        <x:v>Done only when evidence is logged, contradiction search is noted, and boundary stamp remains non-canon unless ratified</x:v>
      </x:c>
      <x:c r="M343" s="15" t="str">
        <x:v>candidate / staging-only / not canon / not deployed / authority none</x:v>
      </x:c>
      <x:c r="N343" s="15" t="str">
        <x:v>Dispatch to KairoBrain: complete Contradiction Mapping x External Web; return deltas only, receipts required.</x:v>
      </x:c>
      <x:c r="O343" s="15" t="str">
        <x:v>AF-KG-H05-S06</x:v>
      </x:c>
      <x:c r="P343" s="15" t="str">
        <x:v>Unverified</x:v>
      </x:c>
      <x:c r="Q343" s="15" t="str">
        <x:v>Not checked</x:v>
      </x:c>
      <x:c r="R343" s="15" t="str"/>
      <x:c r="S343" s="15" t="str"/>
      <x:c r="T343" s="15" t="str">
        <x:v>Log first source path or blocker</x:v>
      </x:c>
      <x:c r="U343" s="12" t="str">
        <x:f>IF(OR(P343="Unverified",Q343="Not checked"),"BLOCKED_PENDING_RECEIPT","READY_FOR_REVIEW")</x:f>
        <x:v>BLOCKED_PENDING_RECEIPT</x:v>
      </x:c>
      <x:c r="V343" s="12" t="str">
        <x:f>IF(J343="DONE","RETURNED",IF(U343="BLOCKED_PENDING_RECEIPT","SOURCE_TOUCH_REQUIRED","IN_PROGRESS"))</x:f>
        <x:v>SOURCE_TOUCH_REQUIRED</x:v>
      </x:c>
      <x:c r="W343" s="12" t="str">
        <x:f>IF(P343="Unverified","missing_receipt","receipt_logged")</x:f>
        <x:v>missing_receipt</x:v>
      </x:c>
      <x:c r="X343" s="12" t="str">
        <x:f>IF(Q343="Not checked","raw_status_missing","raw_status_logged")</x:f>
        <x:v>raw_status_missing</x:v>
      </x:c>
      <x:c r="Y343" s="12" t="str">
        <x:f>IF(U343="BLOCKED_PENDING_RECEIPT","Log source path or blocker; do not promote","Route to review lane")</x:f>
        <x:v>Log source path or blocker; do not promote</x:v>
      </x:c>
      <x:c r="Z343" s="12" t="str">
        <x:f>IF(K343="P0","Primary seat + Hashlight/Lucerna","Seat lane")</x:f>
        <x:v>Seat lane</x:v>
      </x:c>
      <x:c r="AA343" s="12" t="str">
        <x:f>IF(R343="","no_claim_delta","claim_delta_present")</x:f>
        <x:v>no_claim_delta</x:v>
      </x:c>
      <x:c r="AB343" s="12" t="str">
        <x:f>IF(S343="","no_contradiction_delta","contradiction_delta_present")</x:f>
        <x:v>no_contradiction_delta</x:v>
      </x:c>
      <x:c r="AC343" s="12" t="str">
        <x:f>IF(OR(ISNUMBER(SEARCH("hacker",LOWER(F343&amp;" "&amp;H343&amp;" "&amp;I343&amp;" "&amp;M343&amp;" "&amp;N343&amp;" "&amp;T343))),ISNUMBER(SEARCH("hacking",LOWER(F343&amp;" "&amp;H343&amp;" "&amp;I343&amp;" "&amp;M343&amp;" "&amp;N343&amp;" "&amp;T343))),ISNUMBER(SEARCH("bank",LOWER(F343&amp;" "&amp;H343&amp;" "&amp;I343&amp;" "&amp;M343&amp;" "&amp;N343&amp;" "&amp;T343))),ISNUMBER(SEARCH("banking",LOWER(F343&amp;" "&amp;H343&amp;" "&amp;I343&amp;" "&amp;M343&amp;" "&amp;N343&amp;" "&amp;T343)))),"PRIVATE_QUARANTINE",IF(OR(ISNUMBER(SEARCH("treasury",LOWER(F343&amp;" "&amp;H343&amp;" "&amp;I343&amp;" "&amp;M343&amp;" "&amp;N343&amp;" "&amp;T343))),ISNUMBER(SEARCH("debt",LOWER(F343&amp;" "&amp;H343&amp;" "&amp;I343&amp;" "&amp;M343&amp;" "&amp;N343&amp;" "&amp;T343))),ISNUMBER(SEARCH("bond",LOWER(F343&amp;" "&amp;H343&amp;" "&amp;I343&amp;" "&amp;M343&amp;" "&amp;N343&amp;" "&amp;T343))),ISNUMBER(SEARCH("transaction",LOWER(F343&amp;" "&amp;H343&amp;" "&amp;I343&amp;" "&amp;M343&amp;" "&amp;N343&amp;" "&amp;T343)))),"PRIVATE_REVIEW","PUBLIC_CANDIDATE"))</x:f>
        <x:v>PUBLIC_CANDIDATE</x:v>
      </x:c>
      <x:c r="AD343" s="12" t="str">
        <x:f>IF(AC343="PRIVATE_QUARANTINE","hacker_or_bank_trigger",IF(AC343="PRIVATE_REVIEW","finance_risk_trigger","none"))</x:f>
        <x:v>none</x:v>
      </x:c>
      <x:c r="AE343" s="12" t="str">
        <x:f>IF(AC343="PUBLIC_CANDIDATE","prepare_public_github_candidate",IF(AC343="PRIVATE_REVIEW","hold_for_private_review","quarantine_private_do_not_publish"))</x:f>
        <x:v>prepare_public_github_candidate</x:v>
      </x:c>
      <x:c r="AF343" s="12" t="str">
        <x:f>IF(AC343="PUBLIC_CANDIDATE","TIDELOCK + Lucerna",IF(AC343="PRIVATE_REVIEW","AtlasBrain + Lucerna","TIDELOCK + Lucerna + Human-root"))</x:f>
        <x:v>TIDELOCK + Lucerna</x:v>
      </x:c>
      <x:c r="AG343" s="12" t="str">
        <x:f>IF(AND(AC343="PUBLIC_CANDIDATE",U343&lt;&gt;"BLOCKED_PENDING_RECEIPT"),"READY_AFTER_RECEIPT","NOT_READY")</x:f>
        <x:v>NOT_READY</x:v>
      </x:c>
      <x:c r="AH343" s="12" t="str">
        <x:f>IF(AC343="PUBLIC_CANDIDATE","none",AD343)</x:f>
        <x:v>none</x:v>
      </x:c>
      <x:c r="AI343" s="12" t="str">
        <x:f>IF(AC343="PUBLIC_CANDIDATE","archive/public_candidates/"&amp;A343,"private_quarantine/"&amp;A343)</x:f>
        <x:v>archive/public_candidates/SWARM-03-H05-S06</x:v>
      </x:c>
      <x:c r="AJ343" s="12" t="str">
        <x:f>IF(AC343="PUBLIC_CANDIDATE","public by default; still not canon","private/hold; do not publish")</x:f>
        <x:v>public by default; still not canon</x:v>
      </x:c>
      <x:c r="AK343" s="12" t="str">
        <x:f>IF(AE343="prepare_public_github_candidate","add receipt/status then mirror","resolve blocker before any public GitHub action")</x:f>
        <x:v>add receipt/status then mirror</x:v>
      </x:c>
    </x:row>
    <x:row r="344">
      <x:c r="A344" s="15" t="str">
        <x:v>SWARM-03-H05-S07</x:v>
      </x:c>
      <x:c r="B344" s="15" t="str">
        <x:v>KairoBrain</x:v>
      </x:c>
      <x:c r="C344" s="15" t="str">
        <x:v>Temporal strata keeper</x:v>
      </x:c>
      <x:c r="D344" s="15" t="str">
        <x:v>Contradiction Mapping</x:v>
      </x:c>
      <x:c r="E344" s="15" t="str">
        <x:v>Planetarium</x:v>
      </x:c>
      <x:c r="F344" s="15" t="str">
        <x:v>Map contradictions in Planetarium — KairoBrain</x:v>
      </x:c>
      <x:c r="G344" s="15" t="str">
        <x:v>staleness / versioning / supersession</x:v>
      </x:c>
      <x:c r="H344" s="15" t="str">
        <x:v>source path + receipt + raw/export status + claim/edge/risk delta</x:v>
      </x:c>
      <x:c r="I344" s="15" t="str">
        <x:v>packet/SWARM-03-H05-S07</x:v>
      </x:c>
      <x:c r="J344" s="15" t="str">
        <x:v>TODO</x:v>
      </x:c>
      <x:c r="K344" s="15" t="str">
        <x:v>P1</x:v>
      </x:c>
      <x:c r="L344" s="15" t="str">
        <x:v>Done only when evidence is logged, contradiction search is noted, and boundary stamp remains non-canon unless ratified</x:v>
      </x:c>
      <x:c r="M344" s="15" t="str">
        <x:v>candidate / staging-only / not canon / not deployed / authority none</x:v>
      </x:c>
      <x:c r="N344" s="15" t="str">
        <x:v>Dispatch to KairoBrain: complete Contradiction Mapping x Planetarium; return deltas only, receipts required.</x:v>
      </x:c>
      <x:c r="O344" s="15" t="str">
        <x:v>AF-KG-H05-S07</x:v>
      </x:c>
      <x:c r="P344" s="15" t="str">
        <x:v>Unverified</x:v>
      </x:c>
      <x:c r="Q344" s="15" t="str">
        <x:v>Not checked</x:v>
      </x:c>
      <x:c r="R344" s="15" t="str"/>
      <x:c r="S344" s="15" t="str"/>
      <x:c r="T344" s="15" t="str">
        <x:v>Log first source path or blocker</x:v>
      </x:c>
      <x:c r="U344" s="12" t="str">
        <x:f>IF(OR(P344="Unverified",Q344="Not checked"),"BLOCKED_PENDING_RECEIPT","READY_FOR_REVIEW")</x:f>
        <x:v>BLOCKED_PENDING_RECEIPT</x:v>
      </x:c>
      <x:c r="V344" s="12" t="str">
        <x:f>IF(J344="DONE","RETURNED",IF(U344="BLOCKED_PENDING_RECEIPT","SOURCE_TOUCH_REQUIRED","IN_PROGRESS"))</x:f>
        <x:v>SOURCE_TOUCH_REQUIRED</x:v>
      </x:c>
      <x:c r="W344" s="12" t="str">
        <x:f>IF(P344="Unverified","missing_receipt","receipt_logged")</x:f>
        <x:v>missing_receipt</x:v>
      </x:c>
      <x:c r="X344" s="12" t="str">
        <x:f>IF(Q344="Not checked","raw_status_missing","raw_status_logged")</x:f>
        <x:v>raw_status_missing</x:v>
      </x:c>
      <x:c r="Y344" s="12" t="str">
        <x:f>IF(U344="BLOCKED_PENDING_RECEIPT","Log source path or blocker; do not promote","Route to review lane")</x:f>
        <x:v>Log source path or blocker; do not promote</x:v>
      </x:c>
      <x:c r="Z344" s="12" t="str">
        <x:f>IF(K344="P0","Primary seat + Hashlight/Lucerna","Seat lane")</x:f>
        <x:v>Seat lane</x:v>
      </x:c>
      <x:c r="AA344" s="12" t="str">
        <x:f>IF(R344="","no_claim_delta","claim_delta_present")</x:f>
        <x:v>no_claim_delta</x:v>
      </x:c>
      <x:c r="AB344" s="12" t="str">
        <x:f>IF(S344="","no_contradiction_delta","contradiction_delta_present")</x:f>
        <x:v>no_contradiction_delta</x:v>
      </x:c>
      <x:c r="AC344" s="12" t="str">
        <x:f>IF(OR(ISNUMBER(SEARCH("hacker",LOWER(F344&amp;" "&amp;H344&amp;" "&amp;I344&amp;" "&amp;M344&amp;" "&amp;N344&amp;" "&amp;T344))),ISNUMBER(SEARCH("hacking",LOWER(F344&amp;" "&amp;H344&amp;" "&amp;I344&amp;" "&amp;M344&amp;" "&amp;N344&amp;" "&amp;T344))),ISNUMBER(SEARCH("bank",LOWER(F344&amp;" "&amp;H344&amp;" "&amp;I344&amp;" "&amp;M344&amp;" "&amp;N344&amp;" "&amp;T344))),ISNUMBER(SEARCH("banking",LOWER(F344&amp;" "&amp;H344&amp;" "&amp;I344&amp;" "&amp;M344&amp;" "&amp;N344&amp;" "&amp;T344)))),"PRIVATE_QUARANTINE",IF(OR(ISNUMBER(SEARCH("treasury",LOWER(F344&amp;" "&amp;H344&amp;" "&amp;I344&amp;" "&amp;M344&amp;" "&amp;N344&amp;" "&amp;T344))),ISNUMBER(SEARCH("debt",LOWER(F344&amp;" "&amp;H344&amp;" "&amp;I344&amp;" "&amp;M344&amp;" "&amp;N344&amp;" "&amp;T344))),ISNUMBER(SEARCH("bond",LOWER(F344&amp;" "&amp;H344&amp;" "&amp;I344&amp;" "&amp;M344&amp;" "&amp;N344&amp;" "&amp;T344))),ISNUMBER(SEARCH("transaction",LOWER(F344&amp;" "&amp;H344&amp;" "&amp;I344&amp;" "&amp;M344&amp;" "&amp;N344&amp;" "&amp;T344)))),"PRIVATE_REVIEW","PUBLIC_CANDIDATE"))</x:f>
        <x:v>PUBLIC_CANDIDATE</x:v>
      </x:c>
      <x:c r="AD344" s="12" t="str">
        <x:f>IF(AC344="PRIVATE_QUARANTINE","hacker_or_bank_trigger",IF(AC344="PRIVATE_REVIEW","finance_risk_trigger","none"))</x:f>
        <x:v>none</x:v>
      </x:c>
      <x:c r="AE344" s="12" t="str">
        <x:f>IF(AC344="PUBLIC_CANDIDATE","prepare_public_github_candidate",IF(AC344="PRIVATE_REVIEW","hold_for_private_review","quarantine_private_do_not_publish"))</x:f>
        <x:v>prepare_public_github_candidate</x:v>
      </x:c>
      <x:c r="AF344" s="12" t="str">
        <x:f>IF(AC344="PUBLIC_CANDIDATE","TIDELOCK + Lucerna",IF(AC344="PRIVATE_REVIEW","AtlasBrain + Lucerna","TIDELOCK + Lucerna + Human-root"))</x:f>
        <x:v>TIDELOCK + Lucerna</x:v>
      </x:c>
      <x:c r="AG344" s="12" t="str">
        <x:f>IF(AND(AC344="PUBLIC_CANDIDATE",U344&lt;&gt;"BLOCKED_PENDING_RECEIPT"),"READY_AFTER_RECEIPT","NOT_READY")</x:f>
        <x:v>NOT_READY</x:v>
      </x:c>
      <x:c r="AH344" s="12" t="str">
        <x:f>IF(AC344="PUBLIC_CANDIDATE","none",AD344)</x:f>
        <x:v>none</x:v>
      </x:c>
      <x:c r="AI344" s="12" t="str">
        <x:f>IF(AC344="PUBLIC_CANDIDATE","archive/public_candidates/"&amp;A344,"private_quarantine/"&amp;A344)</x:f>
        <x:v>archive/public_candidates/SWARM-03-H05-S07</x:v>
      </x:c>
      <x:c r="AJ344" s="12" t="str">
        <x:f>IF(AC344="PUBLIC_CANDIDATE","public by default; still not canon","private/hold; do not publish")</x:f>
        <x:v>public by default; still not canon</x:v>
      </x:c>
      <x:c r="AK344" s="12" t="str">
        <x:f>IF(AE344="prepare_public_github_candidate","add receipt/status then mirror","resolve blocker before any public GitHub action")</x:f>
        <x:v>add receipt/status then mirror</x:v>
      </x:c>
    </x:row>
    <x:row r="345">
      <x:c r="A345" s="15" t="str">
        <x:v>SWARM-03-H05-S08</x:v>
      </x:c>
      <x:c r="B345" s="15" t="str">
        <x:v>KairoBrain</x:v>
      </x:c>
      <x:c r="C345" s="15" t="str">
        <x:v>Temporal strata keeper</x:v>
      </x:c>
      <x:c r="D345" s="15" t="str">
        <x:v>Contradiction Mapping</x:v>
      </x:c>
      <x:c r="E345" s="15" t="str">
        <x:v>Sheldonbrain</x:v>
      </x:c>
      <x:c r="F345" s="15" t="str">
        <x:v>Map contradictions in Sheldonbrain — KairoBrain</x:v>
      </x:c>
      <x:c r="G345" s="15" t="str">
        <x:v>staleness / versioning / supersession</x:v>
      </x:c>
      <x:c r="H345" s="15" t="str">
        <x:v>source path + receipt + raw/export status + claim/edge/risk delta</x:v>
      </x:c>
      <x:c r="I345" s="15" t="str">
        <x:v>packet/SWARM-03-H05-S08</x:v>
      </x:c>
      <x:c r="J345" s="15" t="str">
        <x:v>TODO</x:v>
      </x:c>
      <x:c r="K345" s="15" t="str">
        <x:v>P1</x:v>
      </x:c>
      <x:c r="L345" s="15" t="str">
        <x:v>Done only when evidence is logged, contradiction search is noted, and boundary stamp remains non-canon unless ratified</x:v>
      </x:c>
      <x:c r="M345" s="15" t="str">
        <x:v>candidate / staging-only / not canon / not deployed / authority none</x:v>
      </x:c>
      <x:c r="N345" s="15" t="str">
        <x:v>Dispatch to KairoBrain: complete Contradiction Mapping x Sheldonbrain; return deltas only, receipts required.</x:v>
      </x:c>
      <x:c r="O345" s="15" t="str">
        <x:v>AF-KG-H05-S08</x:v>
      </x:c>
      <x:c r="P345" s="15" t="str">
        <x:v>Unverified</x:v>
      </x:c>
      <x:c r="Q345" s="15" t="str">
        <x:v>Not checked</x:v>
      </x:c>
      <x:c r="R345" s="15" t="str"/>
      <x:c r="S345" s="15" t="str"/>
      <x:c r="T345" s="15" t="str">
        <x:v>Log first source path or blocker</x:v>
      </x:c>
      <x:c r="U345" s="12" t="str">
        <x:f>IF(OR(P345="Unverified",Q345="Not checked"),"BLOCKED_PENDING_RECEIPT","READY_FOR_REVIEW")</x:f>
        <x:v>BLOCKED_PENDING_RECEIPT</x:v>
      </x:c>
      <x:c r="V345" s="12" t="str">
        <x:f>IF(J345="DONE","RETURNED",IF(U345="BLOCKED_PENDING_RECEIPT","SOURCE_TOUCH_REQUIRED","IN_PROGRESS"))</x:f>
        <x:v>SOURCE_TOUCH_REQUIRED</x:v>
      </x:c>
      <x:c r="W345" s="12" t="str">
        <x:f>IF(P345="Unverified","missing_receipt","receipt_logged")</x:f>
        <x:v>missing_receipt</x:v>
      </x:c>
      <x:c r="X345" s="12" t="str">
        <x:f>IF(Q345="Not checked","raw_status_missing","raw_status_logged")</x:f>
        <x:v>raw_status_missing</x:v>
      </x:c>
      <x:c r="Y345" s="12" t="str">
        <x:f>IF(U345="BLOCKED_PENDING_RECEIPT","Log source path or blocker; do not promote","Route to review lane")</x:f>
        <x:v>Log source path or blocker; do not promote</x:v>
      </x:c>
      <x:c r="Z345" s="12" t="str">
        <x:f>IF(K345="P0","Primary seat + Hashlight/Lucerna","Seat lane")</x:f>
        <x:v>Seat lane</x:v>
      </x:c>
      <x:c r="AA345" s="12" t="str">
        <x:f>IF(R345="","no_claim_delta","claim_delta_present")</x:f>
        <x:v>no_claim_delta</x:v>
      </x:c>
      <x:c r="AB345" s="12" t="str">
        <x:f>IF(S345="","no_contradiction_delta","contradiction_delta_present")</x:f>
        <x:v>no_contradiction_delta</x:v>
      </x:c>
      <x:c r="AC345" s="12" t="str">
        <x:f>IF(OR(ISNUMBER(SEARCH("hacker",LOWER(F345&amp;" "&amp;H345&amp;" "&amp;I345&amp;" "&amp;M345&amp;" "&amp;N345&amp;" "&amp;T345))),ISNUMBER(SEARCH("hacking",LOWER(F345&amp;" "&amp;H345&amp;" "&amp;I345&amp;" "&amp;M345&amp;" "&amp;N345&amp;" "&amp;T345))),ISNUMBER(SEARCH("bank",LOWER(F345&amp;" "&amp;H345&amp;" "&amp;I345&amp;" "&amp;M345&amp;" "&amp;N345&amp;" "&amp;T345))),ISNUMBER(SEARCH("banking",LOWER(F345&amp;" "&amp;H345&amp;" "&amp;I345&amp;" "&amp;M345&amp;" "&amp;N345&amp;" "&amp;T345)))),"PRIVATE_QUARANTINE",IF(OR(ISNUMBER(SEARCH("treasury",LOWER(F345&amp;" "&amp;H345&amp;" "&amp;I345&amp;" "&amp;M345&amp;" "&amp;N345&amp;" "&amp;T345))),ISNUMBER(SEARCH("debt",LOWER(F345&amp;" "&amp;H345&amp;" "&amp;I345&amp;" "&amp;M345&amp;" "&amp;N345&amp;" "&amp;T345))),ISNUMBER(SEARCH("bond",LOWER(F345&amp;" "&amp;H345&amp;" "&amp;I345&amp;" "&amp;M345&amp;" "&amp;N345&amp;" "&amp;T345))),ISNUMBER(SEARCH("transaction",LOWER(F345&amp;" "&amp;H345&amp;" "&amp;I345&amp;" "&amp;M345&amp;" "&amp;N345&amp;" "&amp;T345)))),"PRIVATE_REVIEW","PUBLIC_CANDIDATE"))</x:f>
        <x:v>PUBLIC_CANDIDATE</x:v>
      </x:c>
      <x:c r="AD345" s="12" t="str">
        <x:f>IF(AC345="PRIVATE_QUARANTINE","hacker_or_bank_trigger",IF(AC345="PRIVATE_REVIEW","finance_risk_trigger","none"))</x:f>
        <x:v>none</x:v>
      </x:c>
      <x:c r="AE345" s="12" t="str">
        <x:f>IF(AC345="PUBLIC_CANDIDATE","prepare_public_github_candidate",IF(AC345="PRIVATE_REVIEW","hold_for_private_review","quarantine_private_do_not_publish"))</x:f>
        <x:v>prepare_public_github_candidate</x:v>
      </x:c>
      <x:c r="AF345" s="12" t="str">
        <x:f>IF(AC345="PUBLIC_CANDIDATE","TIDELOCK + Lucerna",IF(AC345="PRIVATE_REVIEW","AtlasBrain + Lucerna","TIDELOCK + Lucerna + Human-root"))</x:f>
        <x:v>TIDELOCK + Lucerna</x:v>
      </x:c>
      <x:c r="AG345" s="12" t="str">
        <x:f>IF(AND(AC345="PUBLIC_CANDIDATE",U345&lt;&gt;"BLOCKED_PENDING_RECEIPT"),"READY_AFTER_RECEIPT","NOT_READY")</x:f>
        <x:v>NOT_READY</x:v>
      </x:c>
      <x:c r="AH345" s="12" t="str">
        <x:f>IF(AC345="PUBLIC_CANDIDATE","none",AD345)</x:f>
        <x:v>none</x:v>
      </x:c>
      <x:c r="AI345" s="12" t="str">
        <x:f>IF(AC345="PUBLIC_CANDIDATE","archive/public_candidates/"&amp;A345,"private_quarantine/"&amp;A345)</x:f>
        <x:v>archive/public_candidates/SWARM-03-H05-S08</x:v>
      </x:c>
      <x:c r="AJ345" s="12" t="str">
        <x:f>IF(AC345="PUBLIC_CANDIDATE","public by default; still not canon","private/hold; do not publish")</x:f>
        <x:v>public by default; still not canon</x:v>
      </x:c>
      <x:c r="AK345" s="12" t="str">
        <x:f>IF(AE345="prepare_public_github_candidate","add receipt/status then mirror","resolve blocker before any public GitHub action")</x:f>
        <x:v>add receipt/status then mirror</x:v>
      </x:c>
    </x:row>
    <x:row r="346">
      <x:c r="A346" s="15" t="str">
        <x:v>SWARM-03-H05-S09</x:v>
      </x:c>
      <x:c r="B346" s="15" t="str">
        <x:v>KairoBrain</x:v>
      </x:c>
      <x:c r="C346" s="15" t="str">
        <x:v>Temporal strata keeper</x:v>
      </x:c>
      <x:c r="D346" s="15" t="str">
        <x:v>Contradiction Mapping</x:v>
      </x:c>
      <x:c r="E346" s="15" t="str">
        <x:v>Aetherforge</x:v>
      </x:c>
      <x:c r="F346" s="15" t="str">
        <x:v>Map contradictions in Aetherforge — KairoBrain</x:v>
      </x:c>
      <x:c r="G346" s="15" t="str">
        <x:v>staleness / versioning / supersession</x:v>
      </x:c>
      <x:c r="H346" s="15" t="str">
        <x:v>source path + receipt + raw/export status + claim/edge/risk delta</x:v>
      </x:c>
      <x:c r="I346" s="15" t="str">
        <x:v>packet/SWARM-03-H05-S09</x:v>
      </x:c>
      <x:c r="J346" s="15" t="str">
        <x:v>TODO</x:v>
      </x:c>
      <x:c r="K346" s="15" t="str">
        <x:v>P2</x:v>
      </x:c>
      <x:c r="L346" s="15" t="str">
        <x:v>Done only when evidence is logged, contradiction search is noted, and boundary stamp remains non-canon unless ratified</x:v>
      </x:c>
      <x:c r="M346" s="15" t="str">
        <x:v>candidate / staging-only / not canon / not deployed / authority none</x:v>
      </x:c>
      <x:c r="N346" s="15" t="str">
        <x:v>Dispatch to KairoBrain: complete Contradiction Mapping x Aetherforge; return deltas only, receipts required.</x:v>
      </x:c>
      <x:c r="O346" s="15" t="str">
        <x:v>AF-KG-H05-S09</x:v>
      </x:c>
      <x:c r="P346" s="15" t="str">
        <x:v>Unverified</x:v>
      </x:c>
      <x:c r="Q346" s="15" t="str">
        <x:v>Not checked</x:v>
      </x:c>
      <x:c r="R346" s="15" t="str"/>
      <x:c r="S346" s="15" t="str"/>
      <x:c r="T346" s="15" t="str">
        <x:v>Log first source path or blocker</x:v>
      </x:c>
      <x:c r="U346" s="12" t="str">
        <x:f>IF(OR(P346="Unverified",Q346="Not checked"),"BLOCKED_PENDING_RECEIPT","READY_FOR_REVIEW")</x:f>
        <x:v>BLOCKED_PENDING_RECEIPT</x:v>
      </x:c>
      <x:c r="V346" s="12" t="str">
        <x:f>IF(J346="DONE","RETURNED",IF(U346="BLOCKED_PENDING_RECEIPT","SOURCE_TOUCH_REQUIRED","IN_PROGRESS"))</x:f>
        <x:v>SOURCE_TOUCH_REQUIRED</x:v>
      </x:c>
      <x:c r="W346" s="12" t="str">
        <x:f>IF(P346="Unverified","missing_receipt","receipt_logged")</x:f>
        <x:v>missing_receipt</x:v>
      </x:c>
      <x:c r="X346" s="12" t="str">
        <x:f>IF(Q346="Not checked","raw_status_missing","raw_status_logged")</x:f>
        <x:v>raw_status_missing</x:v>
      </x:c>
      <x:c r="Y346" s="12" t="str">
        <x:f>IF(U346="BLOCKED_PENDING_RECEIPT","Log source path or blocker; do not promote","Route to review lane")</x:f>
        <x:v>Log source path or blocker; do not promote</x:v>
      </x:c>
      <x:c r="Z346" s="12" t="str">
        <x:f>IF(K346="P0","Primary seat + Hashlight/Lucerna","Seat lane")</x:f>
        <x:v>Seat lane</x:v>
      </x:c>
      <x:c r="AA346" s="12" t="str">
        <x:f>IF(R346="","no_claim_delta","claim_delta_present")</x:f>
        <x:v>no_claim_delta</x:v>
      </x:c>
      <x:c r="AB346" s="12" t="str">
        <x:f>IF(S346="","no_contradiction_delta","contradiction_delta_present")</x:f>
        <x:v>no_contradiction_delta</x:v>
      </x:c>
      <x:c r="AC346" s="12" t="str">
        <x:f>IF(OR(ISNUMBER(SEARCH("hacker",LOWER(F346&amp;" "&amp;H346&amp;" "&amp;I346&amp;" "&amp;M346&amp;" "&amp;N346&amp;" "&amp;T346))),ISNUMBER(SEARCH("hacking",LOWER(F346&amp;" "&amp;H346&amp;" "&amp;I346&amp;" "&amp;M346&amp;" "&amp;N346&amp;" "&amp;T346))),ISNUMBER(SEARCH("bank",LOWER(F346&amp;" "&amp;H346&amp;" "&amp;I346&amp;" "&amp;M346&amp;" "&amp;N346&amp;" "&amp;T346))),ISNUMBER(SEARCH("banking",LOWER(F346&amp;" "&amp;H346&amp;" "&amp;I346&amp;" "&amp;M346&amp;" "&amp;N346&amp;" "&amp;T346)))),"PRIVATE_QUARANTINE",IF(OR(ISNUMBER(SEARCH("treasury",LOWER(F346&amp;" "&amp;H346&amp;" "&amp;I346&amp;" "&amp;M346&amp;" "&amp;N346&amp;" "&amp;T346))),ISNUMBER(SEARCH("debt",LOWER(F346&amp;" "&amp;H346&amp;" "&amp;I346&amp;" "&amp;M346&amp;" "&amp;N346&amp;" "&amp;T346))),ISNUMBER(SEARCH("bond",LOWER(F346&amp;" "&amp;H346&amp;" "&amp;I346&amp;" "&amp;M346&amp;" "&amp;N346&amp;" "&amp;T346))),ISNUMBER(SEARCH("transaction",LOWER(F346&amp;" "&amp;H346&amp;" "&amp;I346&amp;" "&amp;M346&amp;" "&amp;N346&amp;" "&amp;T346)))),"PRIVATE_REVIEW","PUBLIC_CANDIDATE"))</x:f>
        <x:v>PUBLIC_CANDIDATE</x:v>
      </x:c>
      <x:c r="AD346" s="12" t="str">
        <x:f>IF(AC346="PRIVATE_QUARANTINE","hacker_or_bank_trigger",IF(AC346="PRIVATE_REVIEW","finance_risk_trigger","none"))</x:f>
        <x:v>none</x:v>
      </x:c>
      <x:c r="AE346" s="12" t="str">
        <x:f>IF(AC346="PUBLIC_CANDIDATE","prepare_public_github_candidate",IF(AC346="PRIVATE_REVIEW","hold_for_private_review","quarantine_private_do_not_publish"))</x:f>
        <x:v>prepare_public_github_candidate</x:v>
      </x:c>
      <x:c r="AF346" s="12" t="str">
        <x:f>IF(AC346="PUBLIC_CANDIDATE","TIDELOCK + Lucerna",IF(AC346="PRIVATE_REVIEW","AtlasBrain + Lucerna","TIDELOCK + Lucerna + Human-root"))</x:f>
        <x:v>TIDELOCK + Lucerna</x:v>
      </x:c>
      <x:c r="AG346" s="12" t="str">
        <x:f>IF(AND(AC346="PUBLIC_CANDIDATE",U346&lt;&gt;"BLOCKED_PENDING_RECEIPT"),"READY_AFTER_RECEIPT","NOT_READY")</x:f>
        <x:v>NOT_READY</x:v>
      </x:c>
      <x:c r="AH346" s="12" t="str">
        <x:f>IF(AC346="PUBLIC_CANDIDATE","none",AD346)</x:f>
        <x:v>none</x:v>
      </x:c>
      <x:c r="AI346" s="12" t="str">
        <x:f>IF(AC346="PUBLIC_CANDIDATE","archive/public_candidates/"&amp;A346,"private_quarantine/"&amp;A346)</x:f>
        <x:v>archive/public_candidates/SWARM-03-H05-S09</x:v>
      </x:c>
      <x:c r="AJ346" s="12" t="str">
        <x:f>IF(AC346="PUBLIC_CANDIDATE","public by default; still not canon","private/hold; do not publish")</x:f>
        <x:v>public by default; still not canon</x:v>
      </x:c>
      <x:c r="AK346" s="12" t="str">
        <x:f>IF(AE346="prepare_public_github_candidate","add receipt/status then mirror","resolve blocker before any public GitHub action")</x:f>
        <x:v>add receipt/status then mirror</x:v>
      </x:c>
    </x:row>
    <x:row r="347">
      <x:c r="A347" s="15" t="str">
        <x:v>SWARM-03-H05-S10</x:v>
      </x:c>
      <x:c r="B347" s="15" t="str">
        <x:v>KairoBrain</x:v>
      </x:c>
      <x:c r="C347" s="15" t="str">
        <x:v>Temporal strata keeper</x:v>
      </x:c>
      <x:c r="D347" s="15" t="str">
        <x:v>Contradiction Mapping</x:v>
      </x:c>
      <x:c r="E347" s="15" t="str">
        <x:v>Human-Root</x:v>
      </x:c>
      <x:c r="F347" s="15" t="str">
        <x:v>Map contradictions in Human-Root — KairoBrain</x:v>
      </x:c>
      <x:c r="G347" s="15" t="str">
        <x:v>staleness / versioning / supersession</x:v>
      </x:c>
      <x:c r="H347" s="15" t="str">
        <x:v>source path + receipt + raw/export status + claim/edge/risk delta</x:v>
      </x:c>
      <x:c r="I347" s="15" t="str">
        <x:v>packet/SWARM-03-H05-S10</x:v>
      </x:c>
      <x:c r="J347" s="15" t="str">
        <x:v>TODO</x:v>
      </x:c>
      <x:c r="K347" s="15" t="str">
        <x:v>P2</x:v>
      </x:c>
      <x:c r="L347" s="15" t="str">
        <x:v>Done only when evidence is logged, contradiction search is noted, and boundary stamp remains non-canon unless ratified</x:v>
      </x:c>
      <x:c r="M347" s="15" t="str">
        <x:v>candidate / staging-only / not canon / not deployed / authority none</x:v>
      </x:c>
      <x:c r="N347" s="15" t="str">
        <x:v>Dispatch to KairoBrain: complete Contradiction Mapping x Human-Root; return deltas only, receipts required.</x:v>
      </x:c>
      <x:c r="O347" s="15" t="str">
        <x:v>AF-KG-H05-S10</x:v>
      </x:c>
      <x:c r="P347" s="15" t="str">
        <x:v>Unverified</x:v>
      </x:c>
      <x:c r="Q347" s="15" t="str">
        <x:v>Not checked</x:v>
      </x:c>
      <x:c r="R347" s="15" t="str"/>
      <x:c r="S347" s="15" t="str"/>
      <x:c r="T347" s="15" t="str">
        <x:v>Log first source path or blocker</x:v>
      </x:c>
      <x:c r="U347" s="12" t="str">
        <x:f>IF(OR(P347="Unverified",Q347="Not checked"),"BLOCKED_PENDING_RECEIPT","READY_FOR_REVIEW")</x:f>
        <x:v>BLOCKED_PENDING_RECEIPT</x:v>
      </x:c>
      <x:c r="V347" s="12" t="str">
        <x:f>IF(J347="DONE","RETURNED",IF(U347="BLOCKED_PENDING_RECEIPT","SOURCE_TOUCH_REQUIRED","IN_PROGRESS"))</x:f>
        <x:v>SOURCE_TOUCH_REQUIRED</x:v>
      </x:c>
      <x:c r="W347" s="12" t="str">
        <x:f>IF(P347="Unverified","missing_receipt","receipt_logged")</x:f>
        <x:v>missing_receipt</x:v>
      </x:c>
      <x:c r="X347" s="12" t="str">
        <x:f>IF(Q347="Not checked","raw_status_missing","raw_status_logged")</x:f>
        <x:v>raw_status_missing</x:v>
      </x:c>
      <x:c r="Y347" s="12" t="str">
        <x:f>IF(U347="BLOCKED_PENDING_RECEIPT","Log source path or blocker; do not promote","Route to review lane")</x:f>
        <x:v>Log source path or blocker; do not promote</x:v>
      </x:c>
      <x:c r="Z347" s="12" t="str">
        <x:f>IF(K347="P0","Primary seat + Hashlight/Lucerna","Seat lane")</x:f>
        <x:v>Seat lane</x:v>
      </x:c>
      <x:c r="AA347" s="12" t="str">
        <x:f>IF(R347="","no_claim_delta","claim_delta_present")</x:f>
        <x:v>no_claim_delta</x:v>
      </x:c>
      <x:c r="AB347" s="12" t="str">
        <x:f>IF(S347="","no_contradiction_delta","contradiction_delta_present")</x:f>
        <x:v>no_contradiction_delta</x:v>
      </x:c>
      <x:c r="AC347" s="12" t="str">
        <x:f>IF(OR(ISNUMBER(SEARCH("hacker",LOWER(F347&amp;" "&amp;H347&amp;" "&amp;I347&amp;" "&amp;M347&amp;" "&amp;N347&amp;" "&amp;T347))),ISNUMBER(SEARCH("hacking",LOWER(F347&amp;" "&amp;H347&amp;" "&amp;I347&amp;" "&amp;M347&amp;" "&amp;N347&amp;" "&amp;T347))),ISNUMBER(SEARCH("bank",LOWER(F347&amp;" "&amp;H347&amp;" "&amp;I347&amp;" "&amp;M347&amp;" "&amp;N347&amp;" "&amp;T347))),ISNUMBER(SEARCH("banking",LOWER(F347&amp;" "&amp;H347&amp;" "&amp;I347&amp;" "&amp;M347&amp;" "&amp;N347&amp;" "&amp;T347)))),"PRIVATE_QUARANTINE",IF(OR(ISNUMBER(SEARCH("treasury",LOWER(F347&amp;" "&amp;H347&amp;" "&amp;I347&amp;" "&amp;M347&amp;" "&amp;N347&amp;" "&amp;T347))),ISNUMBER(SEARCH("debt",LOWER(F347&amp;" "&amp;H347&amp;" "&amp;I347&amp;" "&amp;M347&amp;" "&amp;N347&amp;" "&amp;T347))),ISNUMBER(SEARCH("bond",LOWER(F347&amp;" "&amp;H347&amp;" "&amp;I347&amp;" "&amp;M347&amp;" "&amp;N347&amp;" "&amp;T347))),ISNUMBER(SEARCH("transaction",LOWER(F347&amp;" "&amp;H347&amp;" "&amp;I347&amp;" "&amp;M347&amp;" "&amp;N347&amp;" "&amp;T347)))),"PRIVATE_REVIEW","PUBLIC_CANDIDATE"))</x:f>
        <x:v>PUBLIC_CANDIDATE</x:v>
      </x:c>
      <x:c r="AD347" s="12" t="str">
        <x:f>IF(AC347="PRIVATE_QUARANTINE","hacker_or_bank_trigger",IF(AC347="PRIVATE_REVIEW","finance_risk_trigger","none"))</x:f>
        <x:v>none</x:v>
      </x:c>
      <x:c r="AE347" s="12" t="str">
        <x:f>IF(AC347="PUBLIC_CANDIDATE","prepare_public_github_candidate",IF(AC347="PRIVATE_REVIEW","hold_for_private_review","quarantine_private_do_not_publish"))</x:f>
        <x:v>prepare_public_github_candidate</x:v>
      </x:c>
      <x:c r="AF347" s="12" t="str">
        <x:f>IF(AC347="PUBLIC_CANDIDATE","TIDELOCK + Lucerna",IF(AC347="PRIVATE_REVIEW","AtlasBrain + Lucerna","TIDELOCK + Lucerna + Human-root"))</x:f>
        <x:v>TIDELOCK + Lucerna</x:v>
      </x:c>
      <x:c r="AG347" s="12" t="str">
        <x:f>IF(AND(AC347="PUBLIC_CANDIDATE",U347&lt;&gt;"BLOCKED_PENDING_RECEIPT"),"READY_AFTER_RECEIPT","NOT_READY")</x:f>
        <x:v>NOT_READY</x:v>
      </x:c>
      <x:c r="AH347" s="12" t="str">
        <x:f>IF(AC347="PUBLIC_CANDIDATE","none",AD347)</x:f>
        <x:v>none</x:v>
      </x:c>
      <x:c r="AI347" s="12" t="str">
        <x:f>IF(AC347="PUBLIC_CANDIDATE","archive/public_candidates/"&amp;A347,"private_quarantine/"&amp;A347)</x:f>
        <x:v>archive/public_candidates/SWARM-03-H05-S10</x:v>
      </x:c>
      <x:c r="AJ347" s="12" t="str">
        <x:f>IF(AC347="PUBLIC_CANDIDATE","public by default; still not canon","private/hold; do not publish")</x:f>
        <x:v>public by default; still not canon</x:v>
      </x:c>
      <x:c r="AK347" s="12" t="str">
        <x:f>IF(AE347="prepare_public_github_candidate","add receipt/status then mirror","resolve blocker before any public GitHub action")</x:f>
        <x:v>add receipt/status then mirror</x:v>
      </x:c>
    </x:row>
    <x:row r="348">
      <x:c r="A348" s="15" t="str">
        <x:v>SWARM-03-H05-S11</x:v>
      </x:c>
      <x:c r="B348" s="15" t="str">
        <x:v>KairoBrain</x:v>
      </x:c>
      <x:c r="C348" s="15" t="str">
        <x:v>Temporal strata keeper</x:v>
      </x:c>
      <x:c r="D348" s="15" t="str">
        <x:v>Contradiction Mapping</x:v>
      </x:c>
      <x:c r="E348" s="15" t="str">
        <x:v>Automation</x:v>
      </x:c>
      <x:c r="F348" s="15" t="str">
        <x:v>Map contradictions in Automation — KairoBrain</x:v>
      </x:c>
      <x:c r="G348" s="15" t="str">
        <x:v>staleness / versioning / supersession</x:v>
      </x:c>
      <x:c r="H348" s="15" t="str">
        <x:v>source path + receipt + raw/export status + claim/edge/risk delta</x:v>
      </x:c>
      <x:c r="I348" s="15" t="str">
        <x:v>packet/SWARM-03-H05-S11</x:v>
      </x:c>
      <x:c r="J348" s="15" t="str">
        <x:v>TODO</x:v>
      </x:c>
      <x:c r="K348" s="15" t="str">
        <x:v>P2</x:v>
      </x:c>
      <x:c r="L348" s="15" t="str">
        <x:v>Done only when evidence is logged, contradiction search is noted, and boundary stamp remains non-canon unless ratified</x:v>
      </x:c>
      <x:c r="M348" s="15" t="str">
        <x:v>candidate / staging-only / not canon / not deployed / authority none</x:v>
      </x:c>
      <x:c r="N348" s="15" t="str">
        <x:v>Dispatch to KairoBrain: complete Contradiction Mapping x Automation; return deltas only, receipts required.</x:v>
      </x:c>
      <x:c r="O348" s="15" t="str">
        <x:v>AF-KG-H05-S11</x:v>
      </x:c>
      <x:c r="P348" s="15" t="str">
        <x:v>Unverified</x:v>
      </x:c>
      <x:c r="Q348" s="15" t="str">
        <x:v>Not checked</x:v>
      </x:c>
      <x:c r="R348" s="15" t="str"/>
      <x:c r="S348" s="15" t="str"/>
      <x:c r="T348" s="15" t="str">
        <x:v>Log first source path or blocker</x:v>
      </x:c>
      <x:c r="U348" s="12" t="str">
        <x:f>IF(OR(P348="Unverified",Q348="Not checked"),"BLOCKED_PENDING_RECEIPT","READY_FOR_REVIEW")</x:f>
        <x:v>BLOCKED_PENDING_RECEIPT</x:v>
      </x:c>
      <x:c r="V348" s="12" t="str">
        <x:f>IF(J348="DONE","RETURNED",IF(U348="BLOCKED_PENDING_RECEIPT","SOURCE_TOUCH_REQUIRED","IN_PROGRESS"))</x:f>
        <x:v>SOURCE_TOUCH_REQUIRED</x:v>
      </x:c>
      <x:c r="W348" s="12" t="str">
        <x:f>IF(P348="Unverified","missing_receipt","receipt_logged")</x:f>
        <x:v>missing_receipt</x:v>
      </x:c>
      <x:c r="X348" s="12" t="str">
        <x:f>IF(Q348="Not checked","raw_status_missing","raw_status_logged")</x:f>
        <x:v>raw_status_missing</x:v>
      </x:c>
      <x:c r="Y348" s="12" t="str">
        <x:f>IF(U348="BLOCKED_PENDING_RECEIPT","Log source path or blocker; do not promote","Route to review lane")</x:f>
        <x:v>Log source path or blocker; do not promote</x:v>
      </x:c>
      <x:c r="Z348" s="12" t="str">
        <x:f>IF(K348="P0","Primary seat + Hashlight/Lucerna","Seat lane")</x:f>
        <x:v>Seat lane</x:v>
      </x:c>
      <x:c r="AA348" s="12" t="str">
        <x:f>IF(R348="","no_claim_delta","claim_delta_present")</x:f>
        <x:v>no_claim_delta</x:v>
      </x:c>
      <x:c r="AB348" s="12" t="str">
        <x:f>IF(S348="","no_contradiction_delta","contradiction_delta_present")</x:f>
        <x:v>no_contradiction_delta</x:v>
      </x:c>
      <x:c r="AC348" s="12" t="str">
        <x:f>IF(OR(ISNUMBER(SEARCH("hacker",LOWER(F348&amp;" "&amp;H348&amp;" "&amp;I348&amp;" "&amp;M348&amp;" "&amp;N348&amp;" "&amp;T348))),ISNUMBER(SEARCH("hacking",LOWER(F348&amp;" "&amp;H348&amp;" "&amp;I348&amp;" "&amp;M348&amp;" "&amp;N348&amp;" "&amp;T348))),ISNUMBER(SEARCH("bank",LOWER(F348&amp;" "&amp;H348&amp;" "&amp;I348&amp;" "&amp;M348&amp;" "&amp;N348&amp;" "&amp;T348))),ISNUMBER(SEARCH("banking",LOWER(F348&amp;" "&amp;H348&amp;" "&amp;I348&amp;" "&amp;M348&amp;" "&amp;N348&amp;" "&amp;T348)))),"PRIVATE_QUARANTINE",IF(OR(ISNUMBER(SEARCH("treasury",LOWER(F348&amp;" "&amp;H348&amp;" "&amp;I348&amp;" "&amp;M348&amp;" "&amp;N348&amp;" "&amp;T348))),ISNUMBER(SEARCH("debt",LOWER(F348&amp;" "&amp;H348&amp;" "&amp;I348&amp;" "&amp;M348&amp;" "&amp;N348&amp;" "&amp;T348))),ISNUMBER(SEARCH("bond",LOWER(F348&amp;" "&amp;H348&amp;" "&amp;I348&amp;" "&amp;M348&amp;" "&amp;N348&amp;" "&amp;T348))),ISNUMBER(SEARCH("transaction",LOWER(F348&amp;" "&amp;H348&amp;" "&amp;I348&amp;" "&amp;M348&amp;" "&amp;N348&amp;" "&amp;T348)))),"PRIVATE_REVIEW","PUBLIC_CANDIDATE"))</x:f>
        <x:v>PUBLIC_CANDIDATE</x:v>
      </x:c>
      <x:c r="AD348" s="12" t="str">
        <x:f>IF(AC348="PRIVATE_QUARANTINE","hacker_or_bank_trigger",IF(AC348="PRIVATE_REVIEW","finance_risk_trigger","none"))</x:f>
        <x:v>none</x:v>
      </x:c>
      <x:c r="AE348" s="12" t="str">
        <x:f>IF(AC348="PUBLIC_CANDIDATE","prepare_public_github_candidate",IF(AC348="PRIVATE_REVIEW","hold_for_private_review","quarantine_private_do_not_publish"))</x:f>
        <x:v>prepare_public_github_candidate</x:v>
      </x:c>
      <x:c r="AF348" s="12" t="str">
        <x:f>IF(AC348="PUBLIC_CANDIDATE","TIDELOCK + Lucerna",IF(AC348="PRIVATE_REVIEW","AtlasBrain + Lucerna","TIDELOCK + Lucerna + Human-root"))</x:f>
        <x:v>TIDELOCK + Lucerna</x:v>
      </x:c>
      <x:c r="AG348" s="12" t="str">
        <x:f>IF(AND(AC348="PUBLIC_CANDIDATE",U348&lt;&gt;"BLOCKED_PENDING_RECEIPT"),"READY_AFTER_RECEIPT","NOT_READY")</x:f>
        <x:v>NOT_READY</x:v>
      </x:c>
      <x:c r="AH348" s="12" t="str">
        <x:f>IF(AC348="PUBLIC_CANDIDATE","none",AD348)</x:f>
        <x:v>none</x:v>
      </x:c>
      <x:c r="AI348" s="12" t="str">
        <x:f>IF(AC348="PUBLIC_CANDIDATE","archive/public_candidates/"&amp;A348,"private_quarantine/"&amp;A348)</x:f>
        <x:v>archive/public_candidates/SWARM-03-H05-S11</x:v>
      </x:c>
      <x:c r="AJ348" s="12" t="str">
        <x:f>IF(AC348="PUBLIC_CANDIDATE","public by default; still not canon","private/hold; do not publish")</x:f>
        <x:v>public by default; still not canon</x:v>
      </x:c>
      <x:c r="AK348" s="12" t="str">
        <x:f>IF(AE348="prepare_public_github_candidate","add receipt/status then mirror","resolve blocker before any public GitHub action")</x:f>
        <x:v>add receipt/status then mirror</x:v>
      </x:c>
    </x:row>
    <x:row r="349">
      <x:c r="A349" s="15" t="str">
        <x:v>SWARM-03-H05-S12</x:v>
      </x:c>
      <x:c r="B349" s="15" t="str">
        <x:v>KairoBrain</x:v>
      </x:c>
      <x:c r="C349" s="15" t="str">
        <x:v>Temporal strata keeper</x:v>
      </x:c>
      <x:c r="D349" s="15" t="str">
        <x:v>Contradiction Mapping</x:v>
      </x:c>
      <x:c r="E349" s="15" t="str">
        <x:v>Risk / Safety</x:v>
      </x:c>
      <x:c r="F349" s="15" t="str">
        <x:v>Map contradictions in Risk / Safety — KairoBrain</x:v>
      </x:c>
      <x:c r="G349" s="15" t="str">
        <x:v>staleness / versioning / supersession</x:v>
      </x:c>
      <x:c r="H349" s="15" t="str">
        <x:v>source path + receipt + raw/export status + claim/edge/risk delta</x:v>
      </x:c>
      <x:c r="I349" s="15" t="str">
        <x:v>packet/SWARM-03-H05-S12</x:v>
      </x:c>
      <x:c r="J349" s="15" t="str">
        <x:v>TODO</x:v>
      </x:c>
      <x:c r="K349" s="15" t="str">
        <x:v>P2</x:v>
      </x:c>
      <x:c r="L349" s="15" t="str">
        <x:v>Done only when evidence is logged, contradiction search is noted, and boundary stamp remains non-canon unless ratified</x:v>
      </x:c>
      <x:c r="M349" s="15" t="str">
        <x:v>candidate / staging-only / not canon / not deployed / authority none</x:v>
      </x:c>
      <x:c r="N349" s="15" t="str">
        <x:v>Dispatch to KairoBrain: complete Contradiction Mapping x Risk / Safety; return deltas only, receipts required.</x:v>
      </x:c>
      <x:c r="O349" s="15" t="str">
        <x:v>AF-KG-H05-S12</x:v>
      </x:c>
      <x:c r="P349" s="15" t="str">
        <x:v>Unverified</x:v>
      </x:c>
      <x:c r="Q349" s="15" t="str">
        <x:v>Not checked</x:v>
      </x:c>
      <x:c r="R349" s="15" t="str"/>
      <x:c r="S349" s="15" t="str"/>
      <x:c r="T349" s="15" t="str">
        <x:v>Log first source path or blocker</x:v>
      </x:c>
      <x:c r="U349" s="12" t="str">
        <x:f>IF(OR(P349="Unverified",Q349="Not checked"),"BLOCKED_PENDING_RECEIPT","READY_FOR_REVIEW")</x:f>
        <x:v>BLOCKED_PENDING_RECEIPT</x:v>
      </x:c>
      <x:c r="V349" s="12" t="str">
        <x:f>IF(J349="DONE","RETURNED",IF(U349="BLOCKED_PENDING_RECEIPT","SOURCE_TOUCH_REQUIRED","IN_PROGRESS"))</x:f>
        <x:v>SOURCE_TOUCH_REQUIRED</x:v>
      </x:c>
      <x:c r="W349" s="12" t="str">
        <x:f>IF(P349="Unverified","missing_receipt","receipt_logged")</x:f>
        <x:v>missing_receipt</x:v>
      </x:c>
      <x:c r="X349" s="12" t="str">
        <x:f>IF(Q349="Not checked","raw_status_missing","raw_status_logged")</x:f>
        <x:v>raw_status_missing</x:v>
      </x:c>
      <x:c r="Y349" s="12" t="str">
        <x:f>IF(U349="BLOCKED_PENDING_RECEIPT","Log source path or blocker; do not promote","Route to review lane")</x:f>
        <x:v>Log source path or blocker; do not promote</x:v>
      </x:c>
      <x:c r="Z349" s="12" t="str">
        <x:f>IF(K349="P0","Primary seat + Hashlight/Lucerna","Seat lane")</x:f>
        <x:v>Seat lane</x:v>
      </x:c>
      <x:c r="AA349" s="12" t="str">
        <x:f>IF(R349="","no_claim_delta","claim_delta_present")</x:f>
        <x:v>no_claim_delta</x:v>
      </x:c>
      <x:c r="AB349" s="12" t="str">
        <x:f>IF(S349="","no_contradiction_delta","contradiction_delta_present")</x:f>
        <x:v>no_contradiction_delta</x:v>
      </x:c>
      <x:c r="AC349" s="12" t="str">
        <x:f>IF(OR(ISNUMBER(SEARCH("hacker",LOWER(F349&amp;" "&amp;H349&amp;" "&amp;I349&amp;" "&amp;M349&amp;" "&amp;N349&amp;" "&amp;T349))),ISNUMBER(SEARCH("hacking",LOWER(F349&amp;" "&amp;H349&amp;" "&amp;I349&amp;" "&amp;M349&amp;" "&amp;N349&amp;" "&amp;T349))),ISNUMBER(SEARCH("bank",LOWER(F349&amp;" "&amp;H349&amp;" "&amp;I349&amp;" "&amp;M349&amp;" "&amp;N349&amp;" "&amp;T349))),ISNUMBER(SEARCH("banking",LOWER(F349&amp;" "&amp;H349&amp;" "&amp;I349&amp;" "&amp;M349&amp;" "&amp;N349&amp;" "&amp;T349)))),"PRIVATE_QUARANTINE",IF(OR(ISNUMBER(SEARCH("treasury",LOWER(F349&amp;" "&amp;H349&amp;" "&amp;I349&amp;" "&amp;M349&amp;" "&amp;N349&amp;" "&amp;T349))),ISNUMBER(SEARCH("debt",LOWER(F349&amp;" "&amp;H349&amp;" "&amp;I349&amp;" "&amp;M349&amp;" "&amp;N349&amp;" "&amp;T349))),ISNUMBER(SEARCH("bond",LOWER(F349&amp;" "&amp;H349&amp;" "&amp;I349&amp;" "&amp;M349&amp;" "&amp;N349&amp;" "&amp;T349))),ISNUMBER(SEARCH("transaction",LOWER(F349&amp;" "&amp;H349&amp;" "&amp;I349&amp;" "&amp;M349&amp;" "&amp;N349&amp;" "&amp;T349)))),"PRIVATE_REVIEW","PUBLIC_CANDIDATE"))</x:f>
        <x:v>PUBLIC_CANDIDATE</x:v>
      </x:c>
      <x:c r="AD349" s="12" t="str">
        <x:f>IF(AC349="PRIVATE_QUARANTINE","hacker_or_bank_trigger",IF(AC349="PRIVATE_REVIEW","finance_risk_trigger","none"))</x:f>
        <x:v>none</x:v>
      </x:c>
      <x:c r="AE349" s="12" t="str">
        <x:f>IF(AC349="PUBLIC_CANDIDATE","prepare_public_github_candidate",IF(AC349="PRIVATE_REVIEW","hold_for_private_review","quarantine_private_do_not_publish"))</x:f>
        <x:v>prepare_public_github_candidate</x:v>
      </x:c>
      <x:c r="AF349" s="12" t="str">
        <x:f>IF(AC349="PUBLIC_CANDIDATE","TIDELOCK + Lucerna",IF(AC349="PRIVATE_REVIEW","AtlasBrain + Lucerna","TIDELOCK + Lucerna + Human-root"))</x:f>
        <x:v>TIDELOCK + Lucerna</x:v>
      </x:c>
      <x:c r="AG349" s="12" t="str">
        <x:f>IF(AND(AC349="PUBLIC_CANDIDATE",U349&lt;&gt;"BLOCKED_PENDING_RECEIPT"),"READY_AFTER_RECEIPT","NOT_READY")</x:f>
        <x:v>NOT_READY</x:v>
      </x:c>
      <x:c r="AH349" s="12" t="str">
        <x:f>IF(AC349="PUBLIC_CANDIDATE","none",AD349)</x:f>
        <x:v>none</x:v>
      </x:c>
      <x:c r="AI349" s="12" t="str">
        <x:f>IF(AC349="PUBLIC_CANDIDATE","archive/public_candidates/"&amp;A349,"private_quarantine/"&amp;A349)</x:f>
        <x:v>archive/public_candidates/SWARM-03-H05-S12</x:v>
      </x:c>
      <x:c r="AJ349" s="12" t="str">
        <x:f>IF(AC349="PUBLIC_CANDIDATE","public by default; still not canon","private/hold; do not publish")</x:f>
        <x:v>public by default; still not canon</x:v>
      </x:c>
      <x:c r="AK349" s="12" t="str">
        <x:f>IF(AE349="prepare_public_github_candidate","add receipt/status then mirror","resolve blocker before any public GitHub action")</x:f>
        <x:v>add receipt/status then mirror</x:v>
      </x:c>
    </x:row>
    <x:row r="350">
      <x:c r="A350" s="15" t="str">
        <x:v>SWARM-03-H06-S01</x:v>
      </x:c>
      <x:c r="B350" s="15" t="str">
        <x:v>KairoBrain</x:v>
      </x:c>
      <x:c r="C350" s="15" t="str">
        <x:v>Temporal strata keeper</x:v>
      </x:c>
      <x:c r="D350" s="15" t="str">
        <x:v>Ontology / Schema</x:v>
      </x:c>
      <x:c r="E350" s="15" t="str">
        <x:v>Notion</x:v>
      </x:c>
      <x:c r="F350" s="15" t="str">
        <x:v>Schema-map Notion — KairoBrain</x:v>
      </x:c>
      <x:c r="G350" s="15" t="str">
        <x:v>staleness / versioning / supersession</x:v>
      </x:c>
      <x:c r="H350" s="15" t="str">
        <x:v>source path + receipt + raw/export status + claim/edge/risk delta</x:v>
      </x:c>
      <x:c r="I350" s="15" t="str">
        <x:v>packet/SWARM-03-H06-S01</x:v>
      </x:c>
      <x:c r="J350" s="15" t="str">
        <x:v>TODO</x:v>
      </x:c>
      <x:c r="K350" s="15" t="str">
        <x:v>P0</x:v>
      </x:c>
      <x:c r="L350" s="15" t="str">
        <x:v>Done only when evidence is logged, contradiction search is noted, and boundary stamp remains non-canon unless ratified</x:v>
      </x:c>
      <x:c r="M350" s="15" t="str">
        <x:v>candidate / staging-only / not canon / not deployed / authority none</x:v>
      </x:c>
      <x:c r="N350" s="15" t="str">
        <x:v>Dispatch to KairoBrain: complete Ontology / Schema x Notion; return deltas only, receipts required.</x:v>
      </x:c>
      <x:c r="O350" s="15" t="str">
        <x:v>AF-KG-H06-S01</x:v>
      </x:c>
      <x:c r="P350" s="15" t="str">
        <x:v>Unverified</x:v>
      </x:c>
      <x:c r="Q350" s="15" t="str">
        <x:v>Not checked</x:v>
      </x:c>
      <x:c r="R350" s="15" t="str"/>
      <x:c r="S350" s="15" t="str"/>
      <x:c r="T350" s="15" t="str">
        <x:v>Log first source path or blocker</x:v>
      </x:c>
      <x:c r="U350" s="12" t="str">
        <x:f>IF(OR(P350="Unverified",Q350="Not checked"),"BLOCKED_PENDING_RECEIPT","READY_FOR_REVIEW")</x:f>
        <x:v>BLOCKED_PENDING_RECEIPT</x:v>
      </x:c>
      <x:c r="V350" s="12" t="str">
        <x:f>IF(J350="DONE","RETURNED",IF(U350="BLOCKED_PENDING_RECEIPT","SOURCE_TOUCH_REQUIRED","IN_PROGRESS"))</x:f>
        <x:v>SOURCE_TOUCH_REQUIRED</x:v>
      </x:c>
      <x:c r="W350" s="12" t="str">
        <x:f>IF(P350="Unverified","missing_receipt","receipt_logged")</x:f>
        <x:v>missing_receipt</x:v>
      </x:c>
      <x:c r="X350" s="12" t="str">
        <x:f>IF(Q350="Not checked","raw_status_missing","raw_status_logged")</x:f>
        <x:v>raw_status_missing</x:v>
      </x:c>
      <x:c r="Y350" s="12" t="str">
        <x:f>IF(U350="BLOCKED_PENDING_RECEIPT","Log source path or blocker; do not promote","Route to review lane")</x:f>
        <x:v>Log source path or blocker; do not promote</x:v>
      </x:c>
      <x:c r="Z350" s="12" t="str">
        <x:f>IF(K350="P0","Primary seat + Hashlight/Lucerna","Seat lane")</x:f>
        <x:v>Primary seat + Hashlight/Lucerna</x:v>
      </x:c>
      <x:c r="AA350" s="12" t="str">
        <x:f>IF(R350="","no_claim_delta","claim_delta_present")</x:f>
        <x:v>no_claim_delta</x:v>
      </x:c>
      <x:c r="AB350" s="12" t="str">
        <x:f>IF(S350="","no_contradiction_delta","contradiction_delta_present")</x:f>
        <x:v>no_contradiction_delta</x:v>
      </x:c>
      <x:c r="AC350" s="12" t="str">
        <x:f>IF(OR(ISNUMBER(SEARCH("hacker",LOWER(F350&amp;" "&amp;H350&amp;" "&amp;I350&amp;" "&amp;M350&amp;" "&amp;N350&amp;" "&amp;T350))),ISNUMBER(SEARCH("hacking",LOWER(F350&amp;" "&amp;H350&amp;" "&amp;I350&amp;" "&amp;M350&amp;" "&amp;N350&amp;" "&amp;T350))),ISNUMBER(SEARCH("bank",LOWER(F350&amp;" "&amp;H350&amp;" "&amp;I350&amp;" "&amp;M350&amp;" "&amp;N350&amp;" "&amp;T350))),ISNUMBER(SEARCH("banking",LOWER(F350&amp;" "&amp;H350&amp;" "&amp;I350&amp;" "&amp;M350&amp;" "&amp;N350&amp;" "&amp;T350)))),"PRIVATE_QUARANTINE",IF(OR(ISNUMBER(SEARCH("treasury",LOWER(F350&amp;" "&amp;H350&amp;" "&amp;I350&amp;" "&amp;M350&amp;" "&amp;N350&amp;" "&amp;T350))),ISNUMBER(SEARCH("debt",LOWER(F350&amp;" "&amp;H350&amp;" "&amp;I350&amp;" "&amp;M350&amp;" "&amp;N350&amp;" "&amp;T350))),ISNUMBER(SEARCH("bond",LOWER(F350&amp;" "&amp;H350&amp;" "&amp;I350&amp;" "&amp;M350&amp;" "&amp;N350&amp;" "&amp;T350))),ISNUMBER(SEARCH("transaction",LOWER(F350&amp;" "&amp;H350&amp;" "&amp;I350&amp;" "&amp;M350&amp;" "&amp;N350&amp;" "&amp;T350)))),"PRIVATE_REVIEW","PUBLIC_CANDIDATE"))</x:f>
        <x:v>PUBLIC_CANDIDATE</x:v>
      </x:c>
      <x:c r="AD350" s="12" t="str">
        <x:f>IF(AC350="PRIVATE_QUARANTINE","hacker_or_bank_trigger",IF(AC350="PRIVATE_REVIEW","finance_risk_trigger","none"))</x:f>
        <x:v>none</x:v>
      </x:c>
      <x:c r="AE350" s="12" t="str">
        <x:f>IF(AC350="PUBLIC_CANDIDATE","prepare_public_github_candidate",IF(AC350="PRIVATE_REVIEW","hold_for_private_review","quarantine_private_do_not_publish"))</x:f>
        <x:v>prepare_public_github_candidate</x:v>
      </x:c>
      <x:c r="AF350" s="12" t="str">
        <x:f>IF(AC350="PUBLIC_CANDIDATE","TIDELOCK + Lucerna",IF(AC350="PRIVATE_REVIEW","AtlasBrain + Lucerna","TIDELOCK + Lucerna + Human-root"))</x:f>
        <x:v>TIDELOCK + Lucerna</x:v>
      </x:c>
      <x:c r="AG350" s="12" t="str">
        <x:f>IF(AND(AC350="PUBLIC_CANDIDATE",U350&lt;&gt;"BLOCKED_PENDING_RECEIPT"),"READY_AFTER_RECEIPT","NOT_READY")</x:f>
        <x:v>NOT_READY</x:v>
      </x:c>
      <x:c r="AH350" s="12" t="str">
        <x:f>IF(AC350="PUBLIC_CANDIDATE","none",AD350)</x:f>
        <x:v>none</x:v>
      </x:c>
      <x:c r="AI350" s="12" t="str">
        <x:f>IF(AC350="PUBLIC_CANDIDATE","archive/public_candidates/"&amp;A350,"private_quarantine/"&amp;A350)</x:f>
        <x:v>archive/public_candidates/SWARM-03-H06-S01</x:v>
      </x:c>
      <x:c r="AJ350" s="12" t="str">
        <x:f>IF(AC350="PUBLIC_CANDIDATE","public by default; still not canon","private/hold; do not publish")</x:f>
        <x:v>public by default; still not canon</x:v>
      </x:c>
      <x:c r="AK350" s="12" t="str">
        <x:f>IF(AE350="prepare_public_github_candidate","add receipt/status then mirror","resolve blocker before any public GitHub action")</x:f>
        <x:v>add receipt/status then mirror</x:v>
      </x:c>
    </x:row>
    <x:row r="351">
      <x:c r="A351" s="15" t="str">
        <x:v>SWARM-03-H06-S02</x:v>
      </x:c>
      <x:c r="B351" s="15" t="str">
        <x:v>KairoBrain</x:v>
      </x:c>
      <x:c r="C351" s="15" t="str">
        <x:v>Temporal strata keeper</x:v>
      </x:c>
      <x:c r="D351" s="15" t="str">
        <x:v>Ontology / Schema</x:v>
      </x:c>
      <x:c r="E351" s="15" t="str">
        <x:v>Drive</x:v>
      </x:c>
      <x:c r="F351" s="15" t="str">
        <x:v>Schema-map Drive — KairoBrain</x:v>
      </x:c>
      <x:c r="G351" s="15" t="str">
        <x:v>staleness / versioning / supersession</x:v>
      </x:c>
      <x:c r="H351" s="15" t="str">
        <x:v>source path + receipt + raw/export status + claim/edge/risk delta</x:v>
      </x:c>
      <x:c r="I351" s="15" t="str">
        <x:v>packet/SWARM-03-H06-S02</x:v>
      </x:c>
      <x:c r="J351" s="15" t="str">
        <x:v>TODO</x:v>
      </x:c>
      <x:c r="K351" s="15" t="str">
        <x:v>P0</x:v>
      </x:c>
      <x:c r="L351" s="15" t="str">
        <x:v>Done only when evidence is logged, contradiction search is noted, and boundary stamp remains non-canon unless ratified</x:v>
      </x:c>
      <x:c r="M351" s="15" t="str">
        <x:v>candidate / staging-only / not canon / not deployed / authority none</x:v>
      </x:c>
      <x:c r="N351" s="15" t="str">
        <x:v>Dispatch to KairoBrain: complete Ontology / Schema x Drive; return deltas only, receipts required.</x:v>
      </x:c>
      <x:c r="O351" s="15" t="str">
        <x:v>AF-KG-H06-S02</x:v>
      </x:c>
      <x:c r="P351" s="15" t="str">
        <x:v>Unverified</x:v>
      </x:c>
      <x:c r="Q351" s="15" t="str">
        <x:v>Not checked</x:v>
      </x:c>
      <x:c r="R351" s="15" t="str"/>
      <x:c r="S351" s="15" t="str"/>
      <x:c r="T351" s="15" t="str">
        <x:v>Log first source path or blocker</x:v>
      </x:c>
      <x:c r="U351" s="12" t="str">
        <x:f>IF(OR(P351="Unverified",Q351="Not checked"),"BLOCKED_PENDING_RECEIPT","READY_FOR_REVIEW")</x:f>
        <x:v>BLOCKED_PENDING_RECEIPT</x:v>
      </x:c>
      <x:c r="V351" s="12" t="str">
        <x:f>IF(J351="DONE","RETURNED",IF(U351="BLOCKED_PENDING_RECEIPT","SOURCE_TOUCH_REQUIRED","IN_PROGRESS"))</x:f>
        <x:v>SOURCE_TOUCH_REQUIRED</x:v>
      </x:c>
      <x:c r="W351" s="12" t="str">
        <x:f>IF(P351="Unverified","missing_receipt","receipt_logged")</x:f>
        <x:v>missing_receipt</x:v>
      </x:c>
      <x:c r="X351" s="12" t="str">
        <x:f>IF(Q351="Not checked","raw_status_missing","raw_status_logged")</x:f>
        <x:v>raw_status_missing</x:v>
      </x:c>
      <x:c r="Y351" s="12" t="str">
        <x:f>IF(U351="BLOCKED_PENDING_RECEIPT","Log source path or blocker; do not promote","Route to review lane")</x:f>
        <x:v>Log source path or blocker; do not promote</x:v>
      </x:c>
      <x:c r="Z351" s="12" t="str">
        <x:f>IF(K351="P0","Primary seat + Hashlight/Lucerna","Seat lane")</x:f>
        <x:v>Primary seat + Hashlight/Lucerna</x:v>
      </x:c>
      <x:c r="AA351" s="12" t="str">
        <x:f>IF(R351="","no_claim_delta","claim_delta_present")</x:f>
        <x:v>no_claim_delta</x:v>
      </x:c>
      <x:c r="AB351" s="12" t="str">
        <x:f>IF(S351="","no_contradiction_delta","contradiction_delta_present")</x:f>
        <x:v>no_contradiction_delta</x:v>
      </x:c>
      <x:c r="AC351" s="12" t="str">
        <x:f>IF(OR(ISNUMBER(SEARCH("hacker",LOWER(F351&amp;" "&amp;H351&amp;" "&amp;I351&amp;" "&amp;M351&amp;" "&amp;N351&amp;" "&amp;T351))),ISNUMBER(SEARCH("hacking",LOWER(F351&amp;" "&amp;H351&amp;" "&amp;I351&amp;" "&amp;M351&amp;" "&amp;N351&amp;" "&amp;T351))),ISNUMBER(SEARCH("bank",LOWER(F351&amp;" "&amp;H351&amp;" "&amp;I351&amp;" "&amp;M351&amp;" "&amp;N351&amp;" "&amp;T351))),ISNUMBER(SEARCH("banking",LOWER(F351&amp;" "&amp;H351&amp;" "&amp;I351&amp;" "&amp;M351&amp;" "&amp;N351&amp;" "&amp;T351)))),"PRIVATE_QUARANTINE",IF(OR(ISNUMBER(SEARCH("treasury",LOWER(F351&amp;" "&amp;H351&amp;" "&amp;I351&amp;" "&amp;M351&amp;" "&amp;N351&amp;" "&amp;T351))),ISNUMBER(SEARCH("debt",LOWER(F351&amp;" "&amp;H351&amp;" "&amp;I351&amp;" "&amp;M351&amp;" "&amp;N351&amp;" "&amp;T351))),ISNUMBER(SEARCH("bond",LOWER(F351&amp;" "&amp;H351&amp;" "&amp;I351&amp;" "&amp;M351&amp;" "&amp;N351&amp;" "&amp;T351))),ISNUMBER(SEARCH("transaction",LOWER(F351&amp;" "&amp;H351&amp;" "&amp;I351&amp;" "&amp;M351&amp;" "&amp;N351&amp;" "&amp;T351)))),"PRIVATE_REVIEW","PUBLIC_CANDIDATE"))</x:f>
        <x:v>PUBLIC_CANDIDATE</x:v>
      </x:c>
      <x:c r="AD351" s="12" t="str">
        <x:f>IF(AC351="PRIVATE_QUARANTINE","hacker_or_bank_trigger",IF(AC351="PRIVATE_REVIEW","finance_risk_trigger","none"))</x:f>
        <x:v>none</x:v>
      </x:c>
      <x:c r="AE351" s="12" t="str">
        <x:f>IF(AC351="PUBLIC_CANDIDATE","prepare_public_github_candidate",IF(AC351="PRIVATE_REVIEW","hold_for_private_review","quarantine_private_do_not_publish"))</x:f>
        <x:v>prepare_public_github_candidate</x:v>
      </x:c>
      <x:c r="AF351" s="12" t="str">
        <x:f>IF(AC351="PUBLIC_CANDIDATE","TIDELOCK + Lucerna",IF(AC351="PRIVATE_REVIEW","AtlasBrain + Lucerna","TIDELOCK + Lucerna + Human-root"))</x:f>
        <x:v>TIDELOCK + Lucerna</x:v>
      </x:c>
      <x:c r="AG351" s="12" t="str">
        <x:f>IF(AND(AC351="PUBLIC_CANDIDATE",U351&lt;&gt;"BLOCKED_PENDING_RECEIPT"),"READY_AFTER_RECEIPT","NOT_READY")</x:f>
        <x:v>NOT_READY</x:v>
      </x:c>
      <x:c r="AH351" s="12" t="str">
        <x:f>IF(AC351="PUBLIC_CANDIDATE","none",AD351)</x:f>
        <x:v>none</x:v>
      </x:c>
      <x:c r="AI351" s="12" t="str">
        <x:f>IF(AC351="PUBLIC_CANDIDATE","archive/public_candidates/"&amp;A351,"private_quarantine/"&amp;A351)</x:f>
        <x:v>archive/public_candidates/SWARM-03-H06-S02</x:v>
      </x:c>
      <x:c r="AJ351" s="12" t="str">
        <x:f>IF(AC351="PUBLIC_CANDIDATE","public by default; still not canon","private/hold; do not publish")</x:f>
        <x:v>public by default; still not canon</x:v>
      </x:c>
      <x:c r="AK351" s="12" t="str">
        <x:f>IF(AE351="prepare_public_github_candidate","add receipt/status then mirror","resolve blocker before any public GitHub action")</x:f>
        <x:v>add receipt/status then mirror</x:v>
      </x:c>
    </x:row>
    <x:row r="352">
      <x:c r="A352" s="15" t="str">
        <x:v>SWARM-03-H06-S03</x:v>
      </x:c>
      <x:c r="B352" s="15" t="str">
        <x:v>KairoBrain</x:v>
      </x:c>
      <x:c r="C352" s="15" t="str">
        <x:v>Temporal strata keeper</x:v>
      </x:c>
      <x:c r="D352" s="15" t="str">
        <x:v>Ontology / Schema</x:v>
      </x:c>
      <x:c r="E352" s="15" t="str">
        <x:v>GitHub</x:v>
      </x:c>
      <x:c r="F352" s="15" t="str">
        <x:v>Schema-map GitHub — KairoBrain</x:v>
      </x:c>
      <x:c r="G352" s="15" t="str">
        <x:v>staleness / versioning / supersession</x:v>
      </x:c>
      <x:c r="H352" s="15" t="str">
        <x:v>source path + receipt + raw/export status + claim/edge/risk delta</x:v>
      </x:c>
      <x:c r="I352" s="15" t="str">
        <x:v>packet/SWARM-03-H06-S03</x:v>
      </x:c>
      <x:c r="J352" s="15" t="str">
        <x:v>TODO</x:v>
      </x:c>
      <x:c r="K352" s="15" t="str">
        <x:v>P0</x:v>
      </x:c>
      <x:c r="L352" s="15" t="str">
        <x:v>Done only when evidence is logged, contradiction search is noted, and boundary stamp remains non-canon unless ratified</x:v>
      </x:c>
      <x:c r="M352" s="15" t="str">
        <x:v>candidate / staging-only / not canon / not deployed / authority none</x:v>
      </x:c>
      <x:c r="N352" s="15" t="str">
        <x:v>Dispatch to KairoBrain: complete Ontology / Schema x GitHub; return deltas only, receipts required.</x:v>
      </x:c>
      <x:c r="O352" s="15" t="str">
        <x:v>AF-KG-H06-S03</x:v>
      </x:c>
      <x:c r="P352" s="15" t="str">
        <x:v>Unverified</x:v>
      </x:c>
      <x:c r="Q352" s="15" t="str">
        <x:v>Not checked</x:v>
      </x:c>
      <x:c r="R352" s="15" t="str"/>
      <x:c r="S352" s="15" t="str"/>
      <x:c r="T352" s="15" t="str">
        <x:v>Log first source path or blocker</x:v>
      </x:c>
      <x:c r="U352" s="12" t="str">
        <x:f>IF(OR(P352="Unverified",Q352="Not checked"),"BLOCKED_PENDING_RECEIPT","READY_FOR_REVIEW")</x:f>
        <x:v>BLOCKED_PENDING_RECEIPT</x:v>
      </x:c>
      <x:c r="V352" s="12" t="str">
        <x:f>IF(J352="DONE","RETURNED",IF(U352="BLOCKED_PENDING_RECEIPT","SOURCE_TOUCH_REQUIRED","IN_PROGRESS"))</x:f>
        <x:v>SOURCE_TOUCH_REQUIRED</x:v>
      </x:c>
      <x:c r="W352" s="12" t="str">
        <x:f>IF(P352="Unverified","missing_receipt","receipt_logged")</x:f>
        <x:v>missing_receipt</x:v>
      </x:c>
      <x:c r="X352" s="12" t="str">
        <x:f>IF(Q352="Not checked","raw_status_missing","raw_status_logged")</x:f>
        <x:v>raw_status_missing</x:v>
      </x:c>
      <x:c r="Y352" s="12" t="str">
        <x:f>IF(U352="BLOCKED_PENDING_RECEIPT","Log source path or blocker; do not promote","Route to review lane")</x:f>
        <x:v>Log source path or blocker; do not promote</x:v>
      </x:c>
      <x:c r="Z352" s="12" t="str">
        <x:f>IF(K352="P0","Primary seat + Hashlight/Lucerna","Seat lane")</x:f>
        <x:v>Primary seat + Hashlight/Lucerna</x:v>
      </x:c>
      <x:c r="AA352" s="12" t="str">
        <x:f>IF(R352="","no_claim_delta","claim_delta_present")</x:f>
        <x:v>no_claim_delta</x:v>
      </x:c>
      <x:c r="AB352" s="12" t="str">
        <x:f>IF(S352="","no_contradiction_delta","contradiction_delta_present")</x:f>
        <x:v>no_contradiction_delta</x:v>
      </x:c>
      <x:c r="AC352" s="12" t="str">
        <x:f>IF(OR(ISNUMBER(SEARCH("hacker",LOWER(F352&amp;" "&amp;H352&amp;" "&amp;I352&amp;" "&amp;M352&amp;" "&amp;N352&amp;" "&amp;T352))),ISNUMBER(SEARCH("hacking",LOWER(F352&amp;" "&amp;H352&amp;" "&amp;I352&amp;" "&amp;M352&amp;" "&amp;N352&amp;" "&amp;T352))),ISNUMBER(SEARCH("bank",LOWER(F352&amp;" "&amp;H352&amp;" "&amp;I352&amp;" "&amp;M352&amp;" "&amp;N352&amp;" "&amp;T352))),ISNUMBER(SEARCH("banking",LOWER(F352&amp;" "&amp;H352&amp;" "&amp;I352&amp;" "&amp;M352&amp;" "&amp;N352&amp;" "&amp;T352)))),"PRIVATE_QUARANTINE",IF(OR(ISNUMBER(SEARCH("treasury",LOWER(F352&amp;" "&amp;H352&amp;" "&amp;I352&amp;" "&amp;M352&amp;" "&amp;N352&amp;" "&amp;T352))),ISNUMBER(SEARCH("debt",LOWER(F352&amp;" "&amp;H352&amp;" "&amp;I352&amp;" "&amp;M352&amp;" "&amp;N352&amp;" "&amp;T352))),ISNUMBER(SEARCH("bond",LOWER(F352&amp;" "&amp;H352&amp;" "&amp;I352&amp;" "&amp;M352&amp;" "&amp;N352&amp;" "&amp;T352))),ISNUMBER(SEARCH("transaction",LOWER(F352&amp;" "&amp;H352&amp;" "&amp;I352&amp;" "&amp;M352&amp;" "&amp;N352&amp;" "&amp;T352)))),"PRIVATE_REVIEW","PUBLIC_CANDIDATE"))</x:f>
        <x:v>PUBLIC_CANDIDATE</x:v>
      </x:c>
      <x:c r="AD352" s="12" t="str">
        <x:f>IF(AC352="PRIVATE_QUARANTINE","hacker_or_bank_trigger",IF(AC352="PRIVATE_REVIEW","finance_risk_trigger","none"))</x:f>
        <x:v>none</x:v>
      </x:c>
      <x:c r="AE352" s="12" t="str">
        <x:f>IF(AC352="PUBLIC_CANDIDATE","prepare_public_github_candidate",IF(AC352="PRIVATE_REVIEW","hold_for_private_review","quarantine_private_do_not_publish"))</x:f>
        <x:v>prepare_public_github_candidate</x:v>
      </x:c>
      <x:c r="AF352" s="12" t="str">
        <x:f>IF(AC352="PUBLIC_CANDIDATE","TIDELOCK + Lucerna",IF(AC352="PRIVATE_REVIEW","AtlasBrain + Lucerna","TIDELOCK + Lucerna + Human-root"))</x:f>
        <x:v>TIDELOCK + Lucerna</x:v>
      </x:c>
      <x:c r="AG352" s="12" t="str">
        <x:f>IF(AND(AC352="PUBLIC_CANDIDATE",U352&lt;&gt;"BLOCKED_PENDING_RECEIPT"),"READY_AFTER_RECEIPT","NOT_READY")</x:f>
        <x:v>NOT_READY</x:v>
      </x:c>
      <x:c r="AH352" s="12" t="str">
        <x:f>IF(AC352="PUBLIC_CANDIDATE","none",AD352)</x:f>
        <x:v>none</x:v>
      </x:c>
      <x:c r="AI352" s="12" t="str">
        <x:f>IF(AC352="PUBLIC_CANDIDATE","archive/public_candidates/"&amp;A352,"private_quarantine/"&amp;A352)</x:f>
        <x:v>archive/public_candidates/SWARM-03-H06-S03</x:v>
      </x:c>
      <x:c r="AJ352" s="12" t="str">
        <x:f>IF(AC352="PUBLIC_CANDIDATE","public by default; still not canon","private/hold; do not publish")</x:f>
        <x:v>public by default; still not canon</x:v>
      </x:c>
      <x:c r="AK352" s="12" t="str">
        <x:f>IF(AE352="prepare_public_github_candidate","add receipt/status then mirror","resolve blocker before any public GitHub action")</x:f>
        <x:v>add receipt/status then mirror</x:v>
      </x:c>
    </x:row>
    <x:row r="353">
      <x:c r="A353" s="15" t="str">
        <x:v>SWARM-03-H06-S04</x:v>
      </x:c>
      <x:c r="B353" s="15" t="str">
        <x:v>KairoBrain</x:v>
      </x:c>
      <x:c r="C353" s="15" t="str">
        <x:v>Temporal strata keeper</x:v>
      </x:c>
      <x:c r="D353" s="15" t="str">
        <x:v>Ontology / Schema</x:v>
      </x:c>
      <x:c r="E353" s="15" t="str">
        <x:v>Gamma</x:v>
      </x:c>
      <x:c r="F353" s="15" t="str">
        <x:v>Schema-map Gamma — KairoBrain</x:v>
      </x:c>
      <x:c r="G353" s="15" t="str">
        <x:v>staleness / versioning / supersession</x:v>
      </x:c>
      <x:c r="H353" s="15" t="str">
        <x:v>source path + receipt + raw/export status + claim/edge/risk delta</x:v>
      </x:c>
      <x:c r="I353" s="15" t="str">
        <x:v>packet/SWARM-03-H06-S04</x:v>
      </x:c>
      <x:c r="J353" s="15" t="str">
        <x:v>TODO</x:v>
      </x:c>
      <x:c r="K353" s="15" t="str">
        <x:v>P1</x:v>
      </x:c>
      <x:c r="L353" s="15" t="str">
        <x:v>Done only when evidence is logged, contradiction search is noted, and boundary stamp remains non-canon unless ratified</x:v>
      </x:c>
      <x:c r="M353" s="15" t="str">
        <x:v>candidate / staging-only / not canon / not deployed / authority none</x:v>
      </x:c>
      <x:c r="N353" s="15" t="str">
        <x:v>Dispatch to KairoBrain: complete Ontology / Schema x Gamma; return deltas only, receipts required.</x:v>
      </x:c>
      <x:c r="O353" s="15" t="str">
        <x:v>AF-KG-H06-S04</x:v>
      </x:c>
      <x:c r="P353" s="15" t="str">
        <x:v>Unverified</x:v>
      </x:c>
      <x:c r="Q353" s="15" t="str">
        <x:v>Not checked</x:v>
      </x:c>
      <x:c r="R353" s="15" t="str"/>
      <x:c r="S353" s="15" t="str"/>
      <x:c r="T353" s="15" t="str">
        <x:v>Log first source path or blocker</x:v>
      </x:c>
      <x:c r="U353" s="12" t="str">
        <x:f>IF(OR(P353="Unverified",Q353="Not checked"),"BLOCKED_PENDING_RECEIPT","READY_FOR_REVIEW")</x:f>
        <x:v>BLOCKED_PENDING_RECEIPT</x:v>
      </x:c>
      <x:c r="V353" s="12" t="str">
        <x:f>IF(J353="DONE","RETURNED",IF(U353="BLOCKED_PENDING_RECEIPT","SOURCE_TOUCH_REQUIRED","IN_PROGRESS"))</x:f>
        <x:v>SOURCE_TOUCH_REQUIRED</x:v>
      </x:c>
      <x:c r="W353" s="12" t="str">
        <x:f>IF(P353="Unverified","missing_receipt","receipt_logged")</x:f>
        <x:v>missing_receipt</x:v>
      </x:c>
      <x:c r="X353" s="12" t="str">
        <x:f>IF(Q353="Not checked","raw_status_missing","raw_status_logged")</x:f>
        <x:v>raw_status_missing</x:v>
      </x:c>
      <x:c r="Y353" s="12" t="str">
        <x:f>IF(U353="BLOCKED_PENDING_RECEIPT","Log source path or blocker; do not promote","Route to review lane")</x:f>
        <x:v>Log source path or blocker; do not promote</x:v>
      </x:c>
      <x:c r="Z353" s="12" t="str">
        <x:f>IF(K353="P0","Primary seat + Hashlight/Lucerna","Seat lane")</x:f>
        <x:v>Seat lane</x:v>
      </x:c>
      <x:c r="AA353" s="12" t="str">
        <x:f>IF(R353="","no_claim_delta","claim_delta_present")</x:f>
        <x:v>no_claim_delta</x:v>
      </x:c>
      <x:c r="AB353" s="12" t="str">
        <x:f>IF(S353="","no_contradiction_delta","contradiction_delta_present")</x:f>
        <x:v>no_contradiction_delta</x:v>
      </x:c>
      <x:c r="AC353" s="12" t="str">
        <x:f>IF(OR(ISNUMBER(SEARCH("hacker",LOWER(F353&amp;" "&amp;H353&amp;" "&amp;I353&amp;" "&amp;M353&amp;" "&amp;N353&amp;" "&amp;T353))),ISNUMBER(SEARCH("hacking",LOWER(F353&amp;" "&amp;H353&amp;" "&amp;I353&amp;" "&amp;M353&amp;" "&amp;N353&amp;" "&amp;T353))),ISNUMBER(SEARCH("bank",LOWER(F353&amp;" "&amp;H353&amp;" "&amp;I353&amp;" "&amp;M353&amp;" "&amp;N353&amp;" "&amp;T353))),ISNUMBER(SEARCH("banking",LOWER(F353&amp;" "&amp;H353&amp;" "&amp;I353&amp;" "&amp;M353&amp;" "&amp;N353&amp;" "&amp;T353)))),"PRIVATE_QUARANTINE",IF(OR(ISNUMBER(SEARCH("treasury",LOWER(F353&amp;" "&amp;H353&amp;" "&amp;I353&amp;" "&amp;M353&amp;" "&amp;N353&amp;" "&amp;T353))),ISNUMBER(SEARCH("debt",LOWER(F353&amp;" "&amp;H353&amp;" "&amp;I353&amp;" "&amp;M353&amp;" "&amp;N353&amp;" "&amp;T353))),ISNUMBER(SEARCH("bond",LOWER(F353&amp;" "&amp;H353&amp;" "&amp;I353&amp;" "&amp;M353&amp;" "&amp;N353&amp;" "&amp;T353))),ISNUMBER(SEARCH("transaction",LOWER(F353&amp;" "&amp;H353&amp;" "&amp;I353&amp;" "&amp;M353&amp;" "&amp;N353&amp;" "&amp;T353)))),"PRIVATE_REVIEW","PUBLIC_CANDIDATE"))</x:f>
        <x:v>PUBLIC_CANDIDATE</x:v>
      </x:c>
      <x:c r="AD353" s="12" t="str">
        <x:f>IF(AC353="PRIVATE_QUARANTINE","hacker_or_bank_trigger",IF(AC353="PRIVATE_REVIEW","finance_risk_trigger","none"))</x:f>
        <x:v>none</x:v>
      </x:c>
      <x:c r="AE353" s="12" t="str">
        <x:f>IF(AC353="PUBLIC_CANDIDATE","prepare_public_github_candidate",IF(AC353="PRIVATE_REVIEW","hold_for_private_review","quarantine_private_do_not_publish"))</x:f>
        <x:v>prepare_public_github_candidate</x:v>
      </x:c>
      <x:c r="AF353" s="12" t="str">
        <x:f>IF(AC353="PUBLIC_CANDIDATE","TIDELOCK + Lucerna",IF(AC353="PRIVATE_REVIEW","AtlasBrain + Lucerna","TIDELOCK + Lucerna + Human-root"))</x:f>
        <x:v>TIDELOCK + Lucerna</x:v>
      </x:c>
      <x:c r="AG353" s="12" t="str">
        <x:f>IF(AND(AC353="PUBLIC_CANDIDATE",U353&lt;&gt;"BLOCKED_PENDING_RECEIPT"),"READY_AFTER_RECEIPT","NOT_READY")</x:f>
        <x:v>NOT_READY</x:v>
      </x:c>
      <x:c r="AH353" s="12" t="str">
        <x:f>IF(AC353="PUBLIC_CANDIDATE","none",AD353)</x:f>
        <x:v>none</x:v>
      </x:c>
      <x:c r="AI353" s="12" t="str">
        <x:f>IF(AC353="PUBLIC_CANDIDATE","archive/public_candidates/"&amp;A353,"private_quarantine/"&amp;A353)</x:f>
        <x:v>archive/public_candidates/SWARM-03-H06-S04</x:v>
      </x:c>
      <x:c r="AJ353" s="12" t="str">
        <x:f>IF(AC353="PUBLIC_CANDIDATE","public by default; still not canon","private/hold; do not publish")</x:f>
        <x:v>public by default; still not canon</x:v>
      </x:c>
      <x:c r="AK353" s="12" t="str">
        <x:f>IF(AE353="prepare_public_github_candidate","add receipt/status then mirror","resolve blocker before any public GitHub action")</x:f>
        <x:v>add receipt/status then mirror</x:v>
      </x:c>
    </x:row>
    <x:row r="354">
      <x:c r="A354" s="15" t="str">
        <x:v>SWARM-03-H06-S05</x:v>
      </x:c>
      <x:c r="B354" s="15" t="str">
        <x:v>KairoBrain</x:v>
      </x:c>
      <x:c r="C354" s="15" t="str">
        <x:v>Temporal strata keeper</x:v>
      </x:c>
      <x:c r="D354" s="15" t="str">
        <x:v>Ontology / Schema</x:v>
      </x:c>
      <x:c r="E354" s="15" t="str">
        <x:v>Chat</x:v>
      </x:c>
      <x:c r="F354" s="15" t="str">
        <x:v>Schema-map Chat — KairoBrain</x:v>
      </x:c>
      <x:c r="G354" s="15" t="str">
        <x:v>staleness / versioning / supersession</x:v>
      </x:c>
      <x:c r="H354" s="15" t="str">
        <x:v>source path + receipt + raw/export status + claim/edge/risk delta</x:v>
      </x:c>
      <x:c r="I354" s="15" t="str">
        <x:v>packet/SWARM-03-H06-S05</x:v>
      </x:c>
      <x:c r="J354" s="15" t="str">
        <x:v>TODO</x:v>
      </x:c>
      <x:c r="K354" s="15" t="str">
        <x:v>P1</x:v>
      </x:c>
      <x:c r="L354" s="15" t="str">
        <x:v>Done only when evidence is logged, contradiction search is noted, and boundary stamp remains non-canon unless ratified</x:v>
      </x:c>
      <x:c r="M354" s="15" t="str">
        <x:v>candidate / staging-only / not canon / not deployed / authority none</x:v>
      </x:c>
      <x:c r="N354" s="15" t="str">
        <x:v>Dispatch to KairoBrain: complete Ontology / Schema x Chat; return deltas only, receipts required.</x:v>
      </x:c>
      <x:c r="O354" s="15" t="str">
        <x:v>AF-KG-H06-S05</x:v>
      </x:c>
      <x:c r="P354" s="15" t="str">
        <x:v>Unverified</x:v>
      </x:c>
      <x:c r="Q354" s="15" t="str">
        <x:v>Not checked</x:v>
      </x:c>
      <x:c r="R354" s="15" t="str"/>
      <x:c r="S354" s="15" t="str"/>
      <x:c r="T354" s="15" t="str">
        <x:v>Log first source path or blocker</x:v>
      </x:c>
      <x:c r="U354" s="12" t="str">
        <x:f>IF(OR(P354="Unverified",Q354="Not checked"),"BLOCKED_PENDING_RECEIPT","READY_FOR_REVIEW")</x:f>
        <x:v>BLOCKED_PENDING_RECEIPT</x:v>
      </x:c>
      <x:c r="V354" s="12" t="str">
        <x:f>IF(J354="DONE","RETURNED",IF(U354="BLOCKED_PENDING_RECEIPT","SOURCE_TOUCH_REQUIRED","IN_PROGRESS"))</x:f>
        <x:v>SOURCE_TOUCH_REQUIRED</x:v>
      </x:c>
      <x:c r="W354" s="12" t="str">
        <x:f>IF(P354="Unverified","missing_receipt","receipt_logged")</x:f>
        <x:v>missing_receipt</x:v>
      </x:c>
      <x:c r="X354" s="12" t="str">
        <x:f>IF(Q354="Not checked","raw_status_missing","raw_status_logged")</x:f>
        <x:v>raw_status_missing</x:v>
      </x:c>
      <x:c r="Y354" s="12" t="str">
        <x:f>IF(U354="BLOCKED_PENDING_RECEIPT","Log source path or blocker; do not promote","Route to review lane")</x:f>
        <x:v>Log source path or blocker; do not promote</x:v>
      </x:c>
      <x:c r="Z354" s="12" t="str">
        <x:f>IF(K354="P0","Primary seat + Hashlight/Lucerna","Seat lane")</x:f>
        <x:v>Seat lane</x:v>
      </x:c>
      <x:c r="AA354" s="12" t="str">
        <x:f>IF(R354="","no_claim_delta","claim_delta_present")</x:f>
        <x:v>no_claim_delta</x:v>
      </x:c>
      <x:c r="AB354" s="12" t="str">
        <x:f>IF(S354="","no_contradiction_delta","contradiction_delta_present")</x:f>
        <x:v>no_contradiction_delta</x:v>
      </x:c>
      <x:c r="AC354" s="12" t="str">
        <x:f>IF(OR(ISNUMBER(SEARCH("hacker",LOWER(F354&amp;" "&amp;H354&amp;" "&amp;I354&amp;" "&amp;M354&amp;" "&amp;N354&amp;" "&amp;T354))),ISNUMBER(SEARCH("hacking",LOWER(F354&amp;" "&amp;H354&amp;" "&amp;I354&amp;" "&amp;M354&amp;" "&amp;N354&amp;" "&amp;T354))),ISNUMBER(SEARCH("bank",LOWER(F354&amp;" "&amp;H354&amp;" "&amp;I354&amp;" "&amp;M354&amp;" "&amp;N354&amp;" "&amp;T354))),ISNUMBER(SEARCH("banking",LOWER(F354&amp;" "&amp;H354&amp;" "&amp;I354&amp;" "&amp;M354&amp;" "&amp;N354&amp;" "&amp;T354)))),"PRIVATE_QUARANTINE",IF(OR(ISNUMBER(SEARCH("treasury",LOWER(F354&amp;" "&amp;H354&amp;" "&amp;I354&amp;" "&amp;M354&amp;" "&amp;N354&amp;" "&amp;T354))),ISNUMBER(SEARCH("debt",LOWER(F354&amp;" "&amp;H354&amp;" "&amp;I354&amp;" "&amp;M354&amp;" "&amp;N354&amp;" "&amp;T354))),ISNUMBER(SEARCH("bond",LOWER(F354&amp;" "&amp;H354&amp;" "&amp;I354&amp;" "&amp;M354&amp;" "&amp;N354&amp;" "&amp;T354))),ISNUMBER(SEARCH("transaction",LOWER(F354&amp;" "&amp;H354&amp;" "&amp;I354&amp;" "&amp;M354&amp;" "&amp;N354&amp;" "&amp;T354)))),"PRIVATE_REVIEW","PUBLIC_CANDIDATE"))</x:f>
        <x:v>PUBLIC_CANDIDATE</x:v>
      </x:c>
      <x:c r="AD354" s="12" t="str">
        <x:f>IF(AC354="PRIVATE_QUARANTINE","hacker_or_bank_trigger",IF(AC354="PRIVATE_REVIEW","finance_risk_trigger","none"))</x:f>
        <x:v>none</x:v>
      </x:c>
      <x:c r="AE354" s="12" t="str">
        <x:f>IF(AC354="PUBLIC_CANDIDATE","prepare_public_github_candidate",IF(AC354="PRIVATE_REVIEW","hold_for_private_review","quarantine_private_do_not_publish"))</x:f>
        <x:v>prepare_public_github_candidate</x:v>
      </x:c>
      <x:c r="AF354" s="12" t="str">
        <x:f>IF(AC354="PUBLIC_CANDIDATE","TIDELOCK + Lucerna",IF(AC354="PRIVATE_REVIEW","AtlasBrain + Lucerna","TIDELOCK + Lucerna + Human-root"))</x:f>
        <x:v>TIDELOCK + Lucerna</x:v>
      </x:c>
      <x:c r="AG354" s="12" t="str">
        <x:f>IF(AND(AC354="PUBLIC_CANDIDATE",U354&lt;&gt;"BLOCKED_PENDING_RECEIPT"),"READY_AFTER_RECEIPT","NOT_READY")</x:f>
        <x:v>NOT_READY</x:v>
      </x:c>
      <x:c r="AH354" s="12" t="str">
        <x:f>IF(AC354="PUBLIC_CANDIDATE","none",AD354)</x:f>
        <x:v>none</x:v>
      </x:c>
      <x:c r="AI354" s="12" t="str">
        <x:f>IF(AC354="PUBLIC_CANDIDATE","archive/public_candidates/"&amp;A354,"private_quarantine/"&amp;A354)</x:f>
        <x:v>archive/public_candidates/SWARM-03-H06-S05</x:v>
      </x:c>
      <x:c r="AJ354" s="12" t="str">
        <x:f>IF(AC354="PUBLIC_CANDIDATE","public by default; still not canon","private/hold; do not publish")</x:f>
        <x:v>public by default; still not canon</x:v>
      </x:c>
      <x:c r="AK354" s="12" t="str">
        <x:f>IF(AE354="prepare_public_github_candidate","add receipt/status then mirror","resolve blocker before any public GitHub action")</x:f>
        <x:v>add receipt/status then mirror</x:v>
      </x:c>
    </x:row>
    <x:row r="355">
      <x:c r="A355" s="15" t="str">
        <x:v>SWARM-03-H06-S06</x:v>
      </x:c>
      <x:c r="B355" s="15" t="str">
        <x:v>KairoBrain</x:v>
      </x:c>
      <x:c r="C355" s="15" t="str">
        <x:v>Temporal strata keeper</x:v>
      </x:c>
      <x:c r="D355" s="15" t="str">
        <x:v>Ontology / Schema</x:v>
      </x:c>
      <x:c r="E355" s="15" t="str">
        <x:v>External Web</x:v>
      </x:c>
      <x:c r="F355" s="15" t="str">
        <x:v>Schema-map External Web — KairoBrain</x:v>
      </x:c>
      <x:c r="G355" s="15" t="str">
        <x:v>staleness / versioning / supersession</x:v>
      </x:c>
      <x:c r="H355" s="15" t="str">
        <x:v>source path + receipt + raw/export status + claim/edge/risk delta</x:v>
      </x:c>
      <x:c r="I355" s="15" t="str">
        <x:v>packet/SWARM-03-H06-S06</x:v>
      </x:c>
      <x:c r="J355" s="15" t="str">
        <x:v>TODO</x:v>
      </x:c>
      <x:c r="K355" s="15" t="str">
        <x:v>P1</x:v>
      </x:c>
      <x:c r="L355" s="15" t="str">
        <x:v>Done only when evidence is logged, contradiction search is noted, and boundary stamp remains non-canon unless ratified</x:v>
      </x:c>
      <x:c r="M355" s="15" t="str">
        <x:v>candidate / staging-only / not canon / not deployed / authority none</x:v>
      </x:c>
      <x:c r="N355" s="15" t="str">
        <x:v>Dispatch to KairoBrain: complete Ontology / Schema x External Web; return deltas only, receipts required.</x:v>
      </x:c>
      <x:c r="O355" s="15" t="str">
        <x:v>AF-KG-H06-S06</x:v>
      </x:c>
      <x:c r="P355" s="15" t="str">
        <x:v>Unverified</x:v>
      </x:c>
      <x:c r="Q355" s="15" t="str">
        <x:v>Not checked</x:v>
      </x:c>
      <x:c r="R355" s="15" t="str"/>
      <x:c r="S355" s="15" t="str"/>
      <x:c r="T355" s="15" t="str">
        <x:v>Log first source path or blocker</x:v>
      </x:c>
      <x:c r="U355" s="12" t="str">
        <x:f>IF(OR(P355="Unverified",Q355="Not checked"),"BLOCKED_PENDING_RECEIPT","READY_FOR_REVIEW")</x:f>
        <x:v>BLOCKED_PENDING_RECEIPT</x:v>
      </x:c>
      <x:c r="V355" s="12" t="str">
        <x:f>IF(J355="DONE","RETURNED",IF(U355="BLOCKED_PENDING_RECEIPT","SOURCE_TOUCH_REQUIRED","IN_PROGRESS"))</x:f>
        <x:v>SOURCE_TOUCH_REQUIRED</x:v>
      </x:c>
      <x:c r="W355" s="12" t="str">
        <x:f>IF(P355="Unverified","missing_receipt","receipt_logged")</x:f>
        <x:v>missing_receipt</x:v>
      </x:c>
      <x:c r="X355" s="12" t="str">
        <x:f>IF(Q355="Not checked","raw_status_missing","raw_status_logged")</x:f>
        <x:v>raw_status_missing</x:v>
      </x:c>
      <x:c r="Y355" s="12" t="str">
        <x:f>IF(U355="BLOCKED_PENDING_RECEIPT","Log source path or blocker; do not promote","Route to review lane")</x:f>
        <x:v>Log source path or blocker; do not promote</x:v>
      </x:c>
      <x:c r="Z355" s="12" t="str">
        <x:f>IF(K355="P0","Primary seat + Hashlight/Lucerna","Seat lane")</x:f>
        <x:v>Seat lane</x:v>
      </x:c>
      <x:c r="AA355" s="12" t="str">
        <x:f>IF(R355="","no_claim_delta","claim_delta_present")</x:f>
        <x:v>no_claim_delta</x:v>
      </x:c>
      <x:c r="AB355" s="12" t="str">
        <x:f>IF(S355="","no_contradiction_delta","contradiction_delta_present")</x:f>
        <x:v>no_contradiction_delta</x:v>
      </x:c>
      <x:c r="AC355" s="12" t="str">
        <x:f>IF(OR(ISNUMBER(SEARCH("hacker",LOWER(F355&amp;" "&amp;H355&amp;" "&amp;I355&amp;" "&amp;M355&amp;" "&amp;N355&amp;" "&amp;T355))),ISNUMBER(SEARCH("hacking",LOWER(F355&amp;" "&amp;H355&amp;" "&amp;I355&amp;" "&amp;M355&amp;" "&amp;N355&amp;" "&amp;T355))),ISNUMBER(SEARCH("bank",LOWER(F355&amp;" "&amp;H355&amp;" "&amp;I355&amp;" "&amp;M355&amp;" "&amp;N355&amp;" "&amp;T355))),ISNUMBER(SEARCH("banking",LOWER(F355&amp;" "&amp;H355&amp;" "&amp;I355&amp;" "&amp;M355&amp;" "&amp;N355&amp;" "&amp;T355)))),"PRIVATE_QUARANTINE",IF(OR(ISNUMBER(SEARCH("treasury",LOWER(F355&amp;" "&amp;H355&amp;" "&amp;I355&amp;" "&amp;M355&amp;" "&amp;N355&amp;" "&amp;T355))),ISNUMBER(SEARCH("debt",LOWER(F355&amp;" "&amp;H355&amp;" "&amp;I355&amp;" "&amp;M355&amp;" "&amp;N355&amp;" "&amp;T355))),ISNUMBER(SEARCH("bond",LOWER(F355&amp;" "&amp;H355&amp;" "&amp;I355&amp;" "&amp;M355&amp;" "&amp;N355&amp;" "&amp;T355))),ISNUMBER(SEARCH("transaction",LOWER(F355&amp;" "&amp;H355&amp;" "&amp;I355&amp;" "&amp;M355&amp;" "&amp;N355&amp;" "&amp;T355)))),"PRIVATE_REVIEW","PUBLIC_CANDIDATE"))</x:f>
        <x:v>PUBLIC_CANDIDATE</x:v>
      </x:c>
      <x:c r="AD355" s="12" t="str">
        <x:f>IF(AC355="PRIVATE_QUARANTINE","hacker_or_bank_trigger",IF(AC355="PRIVATE_REVIEW","finance_risk_trigger","none"))</x:f>
        <x:v>none</x:v>
      </x:c>
      <x:c r="AE355" s="12" t="str">
        <x:f>IF(AC355="PUBLIC_CANDIDATE","prepare_public_github_candidate",IF(AC355="PRIVATE_REVIEW","hold_for_private_review","quarantine_private_do_not_publish"))</x:f>
        <x:v>prepare_public_github_candidate</x:v>
      </x:c>
      <x:c r="AF355" s="12" t="str">
        <x:f>IF(AC355="PUBLIC_CANDIDATE","TIDELOCK + Lucerna",IF(AC355="PRIVATE_REVIEW","AtlasBrain + Lucerna","TIDELOCK + Lucerna + Human-root"))</x:f>
        <x:v>TIDELOCK + Lucerna</x:v>
      </x:c>
      <x:c r="AG355" s="12" t="str">
        <x:f>IF(AND(AC355="PUBLIC_CANDIDATE",U355&lt;&gt;"BLOCKED_PENDING_RECEIPT"),"READY_AFTER_RECEIPT","NOT_READY")</x:f>
        <x:v>NOT_READY</x:v>
      </x:c>
      <x:c r="AH355" s="12" t="str">
        <x:f>IF(AC355="PUBLIC_CANDIDATE","none",AD355)</x:f>
        <x:v>none</x:v>
      </x:c>
      <x:c r="AI355" s="12" t="str">
        <x:f>IF(AC355="PUBLIC_CANDIDATE","archive/public_candidates/"&amp;A355,"private_quarantine/"&amp;A355)</x:f>
        <x:v>archive/public_candidates/SWARM-03-H06-S06</x:v>
      </x:c>
      <x:c r="AJ355" s="12" t="str">
        <x:f>IF(AC355="PUBLIC_CANDIDATE","public by default; still not canon","private/hold; do not publish")</x:f>
        <x:v>public by default; still not canon</x:v>
      </x:c>
      <x:c r="AK355" s="12" t="str">
        <x:f>IF(AE355="prepare_public_github_candidate","add receipt/status then mirror","resolve blocker before any public GitHub action")</x:f>
        <x:v>add receipt/status then mirror</x:v>
      </x:c>
    </x:row>
    <x:row r="356">
      <x:c r="A356" s="15" t="str">
        <x:v>SWARM-03-H06-S07</x:v>
      </x:c>
      <x:c r="B356" s="15" t="str">
        <x:v>KairoBrain</x:v>
      </x:c>
      <x:c r="C356" s="15" t="str">
        <x:v>Temporal strata keeper</x:v>
      </x:c>
      <x:c r="D356" s="15" t="str">
        <x:v>Ontology / Schema</x:v>
      </x:c>
      <x:c r="E356" s="15" t="str">
        <x:v>Planetarium</x:v>
      </x:c>
      <x:c r="F356" s="15" t="str">
        <x:v>Schema-map Planetarium — KairoBrain</x:v>
      </x:c>
      <x:c r="G356" s="15" t="str">
        <x:v>staleness / versioning / supersession</x:v>
      </x:c>
      <x:c r="H356" s="15" t="str">
        <x:v>source path + receipt + raw/export status + claim/edge/risk delta</x:v>
      </x:c>
      <x:c r="I356" s="15" t="str">
        <x:v>packet/SWARM-03-H06-S07</x:v>
      </x:c>
      <x:c r="J356" s="15" t="str">
        <x:v>TODO</x:v>
      </x:c>
      <x:c r="K356" s="15" t="str">
        <x:v>P1</x:v>
      </x:c>
      <x:c r="L356" s="15" t="str">
        <x:v>Done only when evidence is logged, contradiction search is noted, and boundary stamp remains non-canon unless ratified</x:v>
      </x:c>
      <x:c r="M356" s="15" t="str">
        <x:v>candidate / staging-only / not canon / not deployed / authority none</x:v>
      </x:c>
      <x:c r="N356" s="15" t="str">
        <x:v>Dispatch to KairoBrain: complete Ontology / Schema x Planetarium; return deltas only, receipts required.</x:v>
      </x:c>
      <x:c r="O356" s="15" t="str">
        <x:v>AF-KG-H06-S07</x:v>
      </x:c>
      <x:c r="P356" s="15" t="str">
        <x:v>Unverified</x:v>
      </x:c>
      <x:c r="Q356" s="15" t="str">
        <x:v>Not checked</x:v>
      </x:c>
      <x:c r="R356" s="15" t="str"/>
      <x:c r="S356" s="15" t="str"/>
      <x:c r="T356" s="15" t="str">
        <x:v>Log first source path or blocker</x:v>
      </x:c>
      <x:c r="U356" s="12" t="str">
        <x:f>IF(OR(P356="Unverified",Q356="Not checked"),"BLOCKED_PENDING_RECEIPT","READY_FOR_REVIEW")</x:f>
        <x:v>BLOCKED_PENDING_RECEIPT</x:v>
      </x:c>
      <x:c r="V356" s="12" t="str">
        <x:f>IF(J356="DONE","RETURNED",IF(U356="BLOCKED_PENDING_RECEIPT","SOURCE_TOUCH_REQUIRED","IN_PROGRESS"))</x:f>
        <x:v>SOURCE_TOUCH_REQUIRED</x:v>
      </x:c>
      <x:c r="W356" s="12" t="str">
        <x:f>IF(P356="Unverified","missing_receipt","receipt_logged")</x:f>
        <x:v>missing_receipt</x:v>
      </x:c>
      <x:c r="X356" s="12" t="str">
        <x:f>IF(Q356="Not checked","raw_status_missing","raw_status_logged")</x:f>
        <x:v>raw_status_missing</x:v>
      </x:c>
      <x:c r="Y356" s="12" t="str">
        <x:f>IF(U356="BLOCKED_PENDING_RECEIPT","Log source path or blocker; do not promote","Route to review lane")</x:f>
        <x:v>Log source path or blocker; do not promote</x:v>
      </x:c>
      <x:c r="Z356" s="12" t="str">
        <x:f>IF(K356="P0","Primary seat + Hashlight/Lucerna","Seat lane")</x:f>
        <x:v>Seat lane</x:v>
      </x:c>
      <x:c r="AA356" s="12" t="str">
        <x:f>IF(R356="","no_claim_delta","claim_delta_present")</x:f>
        <x:v>no_claim_delta</x:v>
      </x:c>
      <x:c r="AB356" s="12" t="str">
        <x:f>IF(S356="","no_contradiction_delta","contradiction_delta_present")</x:f>
        <x:v>no_contradiction_delta</x:v>
      </x:c>
      <x:c r="AC356" s="12" t="str">
        <x:f>IF(OR(ISNUMBER(SEARCH("hacker",LOWER(F356&amp;" "&amp;H356&amp;" "&amp;I356&amp;" "&amp;M356&amp;" "&amp;N356&amp;" "&amp;T356))),ISNUMBER(SEARCH("hacking",LOWER(F356&amp;" "&amp;H356&amp;" "&amp;I356&amp;" "&amp;M356&amp;" "&amp;N356&amp;" "&amp;T356))),ISNUMBER(SEARCH("bank",LOWER(F356&amp;" "&amp;H356&amp;" "&amp;I356&amp;" "&amp;M356&amp;" "&amp;N356&amp;" "&amp;T356))),ISNUMBER(SEARCH("banking",LOWER(F356&amp;" "&amp;H356&amp;" "&amp;I356&amp;" "&amp;M356&amp;" "&amp;N356&amp;" "&amp;T356)))),"PRIVATE_QUARANTINE",IF(OR(ISNUMBER(SEARCH("treasury",LOWER(F356&amp;" "&amp;H356&amp;" "&amp;I356&amp;" "&amp;M356&amp;" "&amp;N356&amp;" "&amp;T356))),ISNUMBER(SEARCH("debt",LOWER(F356&amp;" "&amp;H356&amp;" "&amp;I356&amp;" "&amp;M356&amp;" "&amp;N356&amp;" "&amp;T356))),ISNUMBER(SEARCH("bond",LOWER(F356&amp;" "&amp;H356&amp;" "&amp;I356&amp;" "&amp;M356&amp;" "&amp;N356&amp;" "&amp;T356))),ISNUMBER(SEARCH("transaction",LOWER(F356&amp;" "&amp;H356&amp;" "&amp;I356&amp;" "&amp;M356&amp;" "&amp;N356&amp;" "&amp;T356)))),"PRIVATE_REVIEW","PUBLIC_CANDIDATE"))</x:f>
        <x:v>PUBLIC_CANDIDATE</x:v>
      </x:c>
      <x:c r="AD356" s="12" t="str">
        <x:f>IF(AC356="PRIVATE_QUARANTINE","hacker_or_bank_trigger",IF(AC356="PRIVATE_REVIEW","finance_risk_trigger","none"))</x:f>
        <x:v>none</x:v>
      </x:c>
      <x:c r="AE356" s="12" t="str">
        <x:f>IF(AC356="PUBLIC_CANDIDATE","prepare_public_github_candidate",IF(AC356="PRIVATE_REVIEW","hold_for_private_review","quarantine_private_do_not_publish"))</x:f>
        <x:v>prepare_public_github_candidate</x:v>
      </x:c>
      <x:c r="AF356" s="12" t="str">
        <x:f>IF(AC356="PUBLIC_CANDIDATE","TIDELOCK + Lucerna",IF(AC356="PRIVATE_REVIEW","AtlasBrain + Lucerna","TIDELOCK + Lucerna + Human-root"))</x:f>
        <x:v>TIDELOCK + Lucerna</x:v>
      </x:c>
      <x:c r="AG356" s="12" t="str">
        <x:f>IF(AND(AC356="PUBLIC_CANDIDATE",U356&lt;&gt;"BLOCKED_PENDING_RECEIPT"),"READY_AFTER_RECEIPT","NOT_READY")</x:f>
        <x:v>NOT_READY</x:v>
      </x:c>
      <x:c r="AH356" s="12" t="str">
        <x:f>IF(AC356="PUBLIC_CANDIDATE","none",AD356)</x:f>
        <x:v>none</x:v>
      </x:c>
      <x:c r="AI356" s="12" t="str">
        <x:f>IF(AC356="PUBLIC_CANDIDATE","archive/public_candidates/"&amp;A356,"private_quarantine/"&amp;A356)</x:f>
        <x:v>archive/public_candidates/SWARM-03-H06-S07</x:v>
      </x:c>
      <x:c r="AJ356" s="12" t="str">
        <x:f>IF(AC356="PUBLIC_CANDIDATE","public by default; still not canon","private/hold; do not publish")</x:f>
        <x:v>public by default; still not canon</x:v>
      </x:c>
      <x:c r="AK356" s="12" t="str">
        <x:f>IF(AE356="prepare_public_github_candidate","add receipt/status then mirror","resolve blocker before any public GitHub action")</x:f>
        <x:v>add receipt/status then mirror</x:v>
      </x:c>
    </x:row>
    <x:row r="357">
      <x:c r="A357" s="15" t="str">
        <x:v>SWARM-03-H06-S08</x:v>
      </x:c>
      <x:c r="B357" s="15" t="str">
        <x:v>KairoBrain</x:v>
      </x:c>
      <x:c r="C357" s="15" t="str">
        <x:v>Temporal strata keeper</x:v>
      </x:c>
      <x:c r="D357" s="15" t="str">
        <x:v>Ontology / Schema</x:v>
      </x:c>
      <x:c r="E357" s="15" t="str">
        <x:v>Sheldonbrain</x:v>
      </x:c>
      <x:c r="F357" s="15" t="str">
        <x:v>Schema-map Sheldonbrain — KairoBrain</x:v>
      </x:c>
      <x:c r="G357" s="15" t="str">
        <x:v>staleness / versioning / supersession</x:v>
      </x:c>
      <x:c r="H357" s="15" t="str">
        <x:v>source path + receipt + raw/export status + claim/edge/risk delta</x:v>
      </x:c>
      <x:c r="I357" s="15" t="str">
        <x:v>packet/SWARM-03-H06-S08</x:v>
      </x:c>
      <x:c r="J357" s="15" t="str">
        <x:v>TODO</x:v>
      </x:c>
      <x:c r="K357" s="15" t="str">
        <x:v>P1</x:v>
      </x:c>
      <x:c r="L357" s="15" t="str">
        <x:v>Done only when evidence is logged, contradiction search is noted, and boundary stamp remains non-canon unless ratified</x:v>
      </x:c>
      <x:c r="M357" s="15" t="str">
        <x:v>candidate / staging-only / not canon / not deployed / authority none</x:v>
      </x:c>
      <x:c r="N357" s="15" t="str">
        <x:v>Dispatch to KairoBrain: complete Ontology / Schema x Sheldonbrain; return deltas only, receipts required.</x:v>
      </x:c>
      <x:c r="O357" s="15" t="str">
        <x:v>AF-KG-H06-S08</x:v>
      </x:c>
      <x:c r="P357" s="15" t="str">
        <x:v>Unverified</x:v>
      </x:c>
      <x:c r="Q357" s="15" t="str">
        <x:v>Not checked</x:v>
      </x:c>
      <x:c r="R357" s="15" t="str"/>
      <x:c r="S357" s="15" t="str"/>
      <x:c r="T357" s="15" t="str">
        <x:v>Log first source path or blocker</x:v>
      </x:c>
      <x:c r="U357" s="12" t="str">
        <x:f>IF(OR(P357="Unverified",Q357="Not checked"),"BLOCKED_PENDING_RECEIPT","READY_FOR_REVIEW")</x:f>
        <x:v>BLOCKED_PENDING_RECEIPT</x:v>
      </x:c>
      <x:c r="V357" s="12" t="str">
        <x:f>IF(J357="DONE","RETURNED",IF(U357="BLOCKED_PENDING_RECEIPT","SOURCE_TOUCH_REQUIRED","IN_PROGRESS"))</x:f>
        <x:v>SOURCE_TOUCH_REQUIRED</x:v>
      </x:c>
      <x:c r="W357" s="12" t="str">
        <x:f>IF(P357="Unverified","missing_receipt","receipt_logged")</x:f>
        <x:v>missing_receipt</x:v>
      </x:c>
      <x:c r="X357" s="12" t="str">
        <x:f>IF(Q357="Not checked","raw_status_missing","raw_status_logged")</x:f>
        <x:v>raw_status_missing</x:v>
      </x:c>
      <x:c r="Y357" s="12" t="str">
        <x:f>IF(U357="BLOCKED_PENDING_RECEIPT","Log source path or blocker; do not promote","Route to review lane")</x:f>
        <x:v>Log source path or blocker; do not promote</x:v>
      </x:c>
      <x:c r="Z357" s="12" t="str">
        <x:f>IF(K357="P0","Primary seat + Hashlight/Lucerna","Seat lane")</x:f>
        <x:v>Seat lane</x:v>
      </x:c>
      <x:c r="AA357" s="12" t="str">
        <x:f>IF(R357="","no_claim_delta","claim_delta_present")</x:f>
        <x:v>no_claim_delta</x:v>
      </x:c>
      <x:c r="AB357" s="12" t="str">
        <x:f>IF(S357="","no_contradiction_delta","contradiction_delta_present")</x:f>
        <x:v>no_contradiction_delta</x:v>
      </x:c>
      <x:c r="AC357" s="12" t="str">
        <x:f>IF(OR(ISNUMBER(SEARCH("hacker",LOWER(F357&amp;" "&amp;H357&amp;" "&amp;I357&amp;" "&amp;M357&amp;" "&amp;N357&amp;" "&amp;T357))),ISNUMBER(SEARCH("hacking",LOWER(F357&amp;" "&amp;H357&amp;" "&amp;I357&amp;" "&amp;M357&amp;" "&amp;N357&amp;" "&amp;T357))),ISNUMBER(SEARCH("bank",LOWER(F357&amp;" "&amp;H357&amp;" "&amp;I357&amp;" "&amp;M357&amp;" "&amp;N357&amp;" "&amp;T357))),ISNUMBER(SEARCH("banking",LOWER(F357&amp;" "&amp;H357&amp;" "&amp;I357&amp;" "&amp;M357&amp;" "&amp;N357&amp;" "&amp;T357)))),"PRIVATE_QUARANTINE",IF(OR(ISNUMBER(SEARCH("treasury",LOWER(F357&amp;" "&amp;H357&amp;" "&amp;I357&amp;" "&amp;M357&amp;" "&amp;N357&amp;" "&amp;T357))),ISNUMBER(SEARCH("debt",LOWER(F357&amp;" "&amp;H357&amp;" "&amp;I357&amp;" "&amp;M357&amp;" "&amp;N357&amp;" "&amp;T357))),ISNUMBER(SEARCH("bond",LOWER(F357&amp;" "&amp;H357&amp;" "&amp;I357&amp;" "&amp;M357&amp;" "&amp;N357&amp;" "&amp;T357))),ISNUMBER(SEARCH("transaction",LOWER(F357&amp;" "&amp;H357&amp;" "&amp;I357&amp;" "&amp;M357&amp;" "&amp;N357&amp;" "&amp;T357)))),"PRIVATE_REVIEW","PUBLIC_CANDIDATE"))</x:f>
        <x:v>PUBLIC_CANDIDATE</x:v>
      </x:c>
      <x:c r="AD357" s="12" t="str">
        <x:f>IF(AC357="PRIVATE_QUARANTINE","hacker_or_bank_trigger",IF(AC357="PRIVATE_REVIEW","finance_risk_trigger","none"))</x:f>
        <x:v>none</x:v>
      </x:c>
      <x:c r="AE357" s="12" t="str">
        <x:f>IF(AC357="PUBLIC_CANDIDATE","prepare_public_github_candidate",IF(AC357="PRIVATE_REVIEW","hold_for_private_review","quarantine_private_do_not_publish"))</x:f>
        <x:v>prepare_public_github_candidate</x:v>
      </x:c>
      <x:c r="AF357" s="12" t="str">
        <x:f>IF(AC357="PUBLIC_CANDIDATE","TIDELOCK + Lucerna",IF(AC357="PRIVATE_REVIEW","AtlasBrain + Lucerna","TIDELOCK + Lucerna + Human-root"))</x:f>
        <x:v>TIDELOCK + Lucerna</x:v>
      </x:c>
      <x:c r="AG357" s="12" t="str">
        <x:f>IF(AND(AC357="PUBLIC_CANDIDATE",U357&lt;&gt;"BLOCKED_PENDING_RECEIPT"),"READY_AFTER_RECEIPT","NOT_READY")</x:f>
        <x:v>NOT_READY</x:v>
      </x:c>
      <x:c r="AH357" s="12" t="str">
        <x:f>IF(AC357="PUBLIC_CANDIDATE","none",AD357)</x:f>
        <x:v>none</x:v>
      </x:c>
      <x:c r="AI357" s="12" t="str">
        <x:f>IF(AC357="PUBLIC_CANDIDATE","archive/public_candidates/"&amp;A357,"private_quarantine/"&amp;A357)</x:f>
        <x:v>archive/public_candidates/SWARM-03-H06-S08</x:v>
      </x:c>
      <x:c r="AJ357" s="12" t="str">
        <x:f>IF(AC357="PUBLIC_CANDIDATE","public by default; still not canon","private/hold; do not publish")</x:f>
        <x:v>public by default; still not canon</x:v>
      </x:c>
      <x:c r="AK357" s="12" t="str">
        <x:f>IF(AE357="prepare_public_github_candidate","add receipt/status then mirror","resolve blocker before any public GitHub action")</x:f>
        <x:v>add receipt/status then mirror</x:v>
      </x:c>
    </x:row>
    <x:row r="358">
      <x:c r="A358" s="15" t="str">
        <x:v>SWARM-03-H06-S09</x:v>
      </x:c>
      <x:c r="B358" s="15" t="str">
        <x:v>KairoBrain</x:v>
      </x:c>
      <x:c r="C358" s="15" t="str">
        <x:v>Temporal strata keeper</x:v>
      </x:c>
      <x:c r="D358" s="15" t="str">
        <x:v>Ontology / Schema</x:v>
      </x:c>
      <x:c r="E358" s="15" t="str">
        <x:v>Aetherforge</x:v>
      </x:c>
      <x:c r="F358" s="15" t="str">
        <x:v>Schema-map Aetherforge — KairoBrain</x:v>
      </x:c>
      <x:c r="G358" s="15" t="str">
        <x:v>staleness / versioning / supersession</x:v>
      </x:c>
      <x:c r="H358" s="15" t="str">
        <x:v>source path + receipt + raw/export status + claim/edge/risk delta</x:v>
      </x:c>
      <x:c r="I358" s="15" t="str">
        <x:v>packet/SWARM-03-H06-S09</x:v>
      </x:c>
      <x:c r="J358" s="15" t="str">
        <x:v>TODO</x:v>
      </x:c>
      <x:c r="K358" s="15" t="str">
        <x:v>P2</x:v>
      </x:c>
      <x:c r="L358" s="15" t="str">
        <x:v>Done only when evidence is logged, contradiction search is noted, and boundary stamp remains non-canon unless ratified</x:v>
      </x:c>
      <x:c r="M358" s="15" t="str">
        <x:v>candidate / staging-only / not canon / not deployed / authority none</x:v>
      </x:c>
      <x:c r="N358" s="15" t="str">
        <x:v>Dispatch to KairoBrain: complete Ontology / Schema x Aetherforge; return deltas only, receipts required.</x:v>
      </x:c>
      <x:c r="O358" s="15" t="str">
        <x:v>AF-KG-H06-S09</x:v>
      </x:c>
      <x:c r="P358" s="15" t="str">
        <x:v>Unverified</x:v>
      </x:c>
      <x:c r="Q358" s="15" t="str">
        <x:v>Not checked</x:v>
      </x:c>
      <x:c r="R358" s="15" t="str"/>
      <x:c r="S358" s="15" t="str"/>
      <x:c r="T358" s="15" t="str">
        <x:v>Log first source path or blocker</x:v>
      </x:c>
      <x:c r="U358" s="12" t="str">
        <x:f>IF(OR(P358="Unverified",Q358="Not checked"),"BLOCKED_PENDING_RECEIPT","READY_FOR_REVIEW")</x:f>
        <x:v>BLOCKED_PENDING_RECEIPT</x:v>
      </x:c>
      <x:c r="V358" s="12" t="str">
        <x:f>IF(J358="DONE","RETURNED",IF(U358="BLOCKED_PENDING_RECEIPT","SOURCE_TOUCH_REQUIRED","IN_PROGRESS"))</x:f>
        <x:v>SOURCE_TOUCH_REQUIRED</x:v>
      </x:c>
      <x:c r="W358" s="12" t="str">
        <x:f>IF(P358="Unverified","missing_receipt","receipt_logged")</x:f>
        <x:v>missing_receipt</x:v>
      </x:c>
      <x:c r="X358" s="12" t="str">
        <x:f>IF(Q358="Not checked","raw_status_missing","raw_status_logged")</x:f>
        <x:v>raw_status_missing</x:v>
      </x:c>
      <x:c r="Y358" s="12" t="str">
        <x:f>IF(U358="BLOCKED_PENDING_RECEIPT","Log source path or blocker; do not promote","Route to review lane")</x:f>
        <x:v>Log source path or blocker; do not promote</x:v>
      </x:c>
      <x:c r="Z358" s="12" t="str">
        <x:f>IF(K358="P0","Primary seat + Hashlight/Lucerna","Seat lane")</x:f>
        <x:v>Seat lane</x:v>
      </x:c>
      <x:c r="AA358" s="12" t="str">
        <x:f>IF(R358="","no_claim_delta","claim_delta_present")</x:f>
        <x:v>no_claim_delta</x:v>
      </x:c>
      <x:c r="AB358" s="12" t="str">
        <x:f>IF(S358="","no_contradiction_delta","contradiction_delta_present")</x:f>
        <x:v>no_contradiction_delta</x:v>
      </x:c>
      <x:c r="AC358" s="12" t="str">
        <x:f>IF(OR(ISNUMBER(SEARCH("hacker",LOWER(F358&amp;" "&amp;H358&amp;" "&amp;I358&amp;" "&amp;M358&amp;" "&amp;N358&amp;" "&amp;T358))),ISNUMBER(SEARCH("hacking",LOWER(F358&amp;" "&amp;H358&amp;" "&amp;I358&amp;" "&amp;M358&amp;" "&amp;N358&amp;" "&amp;T358))),ISNUMBER(SEARCH("bank",LOWER(F358&amp;" "&amp;H358&amp;" "&amp;I358&amp;" "&amp;M358&amp;" "&amp;N358&amp;" "&amp;T358))),ISNUMBER(SEARCH("banking",LOWER(F358&amp;" "&amp;H358&amp;" "&amp;I358&amp;" "&amp;M358&amp;" "&amp;N358&amp;" "&amp;T358)))),"PRIVATE_QUARANTINE",IF(OR(ISNUMBER(SEARCH("treasury",LOWER(F358&amp;" "&amp;H358&amp;" "&amp;I358&amp;" "&amp;M358&amp;" "&amp;N358&amp;" "&amp;T358))),ISNUMBER(SEARCH("debt",LOWER(F358&amp;" "&amp;H358&amp;" "&amp;I358&amp;" "&amp;M358&amp;" "&amp;N358&amp;" "&amp;T358))),ISNUMBER(SEARCH("bond",LOWER(F358&amp;" "&amp;H358&amp;" "&amp;I358&amp;" "&amp;M358&amp;" "&amp;N358&amp;" "&amp;T358))),ISNUMBER(SEARCH("transaction",LOWER(F358&amp;" "&amp;H358&amp;" "&amp;I358&amp;" "&amp;M358&amp;" "&amp;N358&amp;" "&amp;T358)))),"PRIVATE_REVIEW","PUBLIC_CANDIDATE"))</x:f>
        <x:v>PUBLIC_CANDIDATE</x:v>
      </x:c>
      <x:c r="AD358" s="12" t="str">
        <x:f>IF(AC358="PRIVATE_QUARANTINE","hacker_or_bank_trigger",IF(AC358="PRIVATE_REVIEW","finance_risk_trigger","none"))</x:f>
        <x:v>none</x:v>
      </x:c>
      <x:c r="AE358" s="12" t="str">
        <x:f>IF(AC358="PUBLIC_CANDIDATE","prepare_public_github_candidate",IF(AC358="PRIVATE_REVIEW","hold_for_private_review","quarantine_private_do_not_publish"))</x:f>
        <x:v>prepare_public_github_candidate</x:v>
      </x:c>
      <x:c r="AF358" s="12" t="str">
        <x:f>IF(AC358="PUBLIC_CANDIDATE","TIDELOCK + Lucerna",IF(AC358="PRIVATE_REVIEW","AtlasBrain + Lucerna","TIDELOCK + Lucerna + Human-root"))</x:f>
        <x:v>TIDELOCK + Lucerna</x:v>
      </x:c>
      <x:c r="AG358" s="12" t="str">
        <x:f>IF(AND(AC358="PUBLIC_CANDIDATE",U358&lt;&gt;"BLOCKED_PENDING_RECEIPT"),"READY_AFTER_RECEIPT","NOT_READY")</x:f>
        <x:v>NOT_READY</x:v>
      </x:c>
      <x:c r="AH358" s="12" t="str">
        <x:f>IF(AC358="PUBLIC_CANDIDATE","none",AD358)</x:f>
        <x:v>none</x:v>
      </x:c>
      <x:c r="AI358" s="12" t="str">
        <x:f>IF(AC358="PUBLIC_CANDIDATE","archive/public_candidates/"&amp;A358,"private_quarantine/"&amp;A358)</x:f>
        <x:v>archive/public_candidates/SWARM-03-H06-S09</x:v>
      </x:c>
      <x:c r="AJ358" s="12" t="str">
        <x:f>IF(AC358="PUBLIC_CANDIDATE","public by default; still not canon","private/hold; do not publish")</x:f>
        <x:v>public by default; still not canon</x:v>
      </x:c>
      <x:c r="AK358" s="12" t="str">
        <x:f>IF(AE358="prepare_public_github_candidate","add receipt/status then mirror","resolve blocker before any public GitHub action")</x:f>
        <x:v>add receipt/status then mirror</x:v>
      </x:c>
    </x:row>
    <x:row r="359">
      <x:c r="A359" s="15" t="str">
        <x:v>SWARM-03-H06-S10</x:v>
      </x:c>
      <x:c r="B359" s="15" t="str">
        <x:v>KairoBrain</x:v>
      </x:c>
      <x:c r="C359" s="15" t="str">
        <x:v>Temporal strata keeper</x:v>
      </x:c>
      <x:c r="D359" s="15" t="str">
        <x:v>Ontology / Schema</x:v>
      </x:c>
      <x:c r="E359" s="15" t="str">
        <x:v>Human-Root</x:v>
      </x:c>
      <x:c r="F359" s="15" t="str">
        <x:v>Schema-map Human-Root — KairoBrain</x:v>
      </x:c>
      <x:c r="G359" s="15" t="str">
        <x:v>staleness / versioning / supersession</x:v>
      </x:c>
      <x:c r="H359" s="15" t="str">
        <x:v>source path + receipt + raw/export status + claim/edge/risk delta</x:v>
      </x:c>
      <x:c r="I359" s="15" t="str">
        <x:v>packet/SWARM-03-H06-S10</x:v>
      </x:c>
      <x:c r="J359" s="15" t="str">
        <x:v>TODO</x:v>
      </x:c>
      <x:c r="K359" s="15" t="str">
        <x:v>P2</x:v>
      </x:c>
      <x:c r="L359" s="15" t="str">
        <x:v>Done only when evidence is logged, contradiction search is noted, and boundary stamp remains non-canon unless ratified</x:v>
      </x:c>
      <x:c r="M359" s="15" t="str">
        <x:v>candidate / staging-only / not canon / not deployed / authority none</x:v>
      </x:c>
      <x:c r="N359" s="15" t="str">
        <x:v>Dispatch to KairoBrain: complete Ontology / Schema x Human-Root; return deltas only, receipts required.</x:v>
      </x:c>
      <x:c r="O359" s="15" t="str">
        <x:v>AF-KG-H06-S10</x:v>
      </x:c>
      <x:c r="P359" s="15" t="str">
        <x:v>Unverified</x:v>
      </x:c>
      <x:c r="Q359" s="15" t="str">
        <x:v>Not checked</x:v>
      </x:c>
      <x:c r="R359" s="15" t="str"/>
      <x:c r="S359" s="15" t="str"/>
      <x:c r="T359" s="15" t="str">
        <x:v>Log first source path or blocker</x:v>
      </x:c>
      <x:c r="U359" s="12" t="str">
        <x:f>IF(OR(P359="Unverified",Q359="Not checked"),"BLOCKED_PENDING_RECEIPT","READY_FOR_REVIEW")</x:f>
        <x:v>BLOCKED_PENDING_RECEIPT</x:v>
      </x:c>
      <x:c r="V359" s="12" t="str">
        <x:f>IF(J359="DONE","RETURNED",IF(U359="BLOCKED_PENDING_RECEIPT","SOURCE_TOUCH_REQUIRED","IN_PROGRESS"))</x:f>
        <x:v>SOURCE_TOUCH_REQUIRED</x:v>
      </x:c>
      <x:c r="W359" s="12" t="str">
        <x:f>IF(P359="Unverified","missing_receipt","receipt_logged")</x:f>
        <x:v>missing_receipt</x:v>
      </x:c>
      <x:c r="X359" s="12" t="str">
        <x:f>IF(Q359="Not checked","raw_status_missing","raw_status_logged")</x:f>
        <x:v>raw_status_missing</x:v>
      </x:c>
      <x:c r="Y359" s="12" t="str">
        <x:f>IF(U359="BLOCKED_PENDING_RECEIPT","Log source path or blocker; do not promote","Route to review lane")</x:f>
        <x:v>Log source path or blocker; do not promote</x:v>
      </x:c>
      <x:c r="Z359" s="12" t="str">
        <x:f>IF(K359="P0","Primary seat + Hashlight/Lucerna","Seat lane")</x:f>
        <x:v>Seat lane</x:v>
      </x:c>
      <x:c r="AA359" s="12" t="str">
        <x:f>IF(R359="","no_claim_delta","claim_delta_present")</x:f>
        <x:v>no_claim_delta</x:v>
      </x:c>
      <x:c r="AB359" s="12" t="str">
        <x:f>IF(S359="","no_contradiction_delta","contradiction_delta_present")</x:f>
        <x:v>no_contradiction_delta</x:v>
      </x:c>
      <x:c r="AC359" s="12" t="str">
        <x:f>IF(OR(ISNUMBER(SEARCH("hacker",LOWER(F359&amp;" "&amp;H359&amp;" "&amp;I359&amp;" "&amp;M359&amp;" "&amp;N359&amp;" "&amp;T359))),ISNUMBER(SEARCH("hacking",LOWER(F359&amp;" "&amp;H359&amp;" "&amp;I359&amp;" "&amp;M359&amp;" "&amp;N359&amp;" "&amp;T359))),ISNUMBER(SEARCH("bank",LOWER(F359&amp;" "&amp;H359&amp;" "&amp;I359&amp;" "&amp;M359&amp;" "&amp;N359&amp;" "&amp;T359))),ISNUMBER(SEARCH("banking",LOWER(F359&amp;" "&amp;H359&amp;" "&amp;I359&amp;" "&amp;M359&amp;" "&amp;N359&amp;" "&amp;T359)))),"PRIVATE_QUARANTINE",IF(OR(ISNUMBER(SEARCH("treasury",LOWER(F359&amp;" "&amp;H359&amp;" "&amp;I359&amp;" "&amp;M359&amp;" "&amp;N359&amp;" "&amp;T359))),ISNUMBER(SEARCH("debt",LOWER(F359&amp;" "&amp;H359&amp;" "&amp;I359&amp;" "&amp;M359&amp;" "&amp;N359&amp;" "&amp;T359))),ISNUMBER(SEARCH("bond",LOWER(F359&amp;" "&amp;H359&amp;" "&amp;I359&amp;" "&amp;M359&amp;" "&amp;N359&amp;" "&amp;T359))),ISNUMBER(SEARCH("transaction",LOWER(F359&amp;" "&amp;H359&amp;" "&amp;I359&amp;" "&amp;M359&amp;" "&amp;N359&amp;" "&amp;T359)))),"PRIVATE_REVIEW","PUBLIC_CANDIDATE"))</x:f>
        <x:v>PUBLIC_CANDIDATE</x:v>
      </x:c>
      <x:c r="AD359" s="12" t="str">
        <x:f>IF(AC359="PRIVATE_QUARANTINE","hacker_or_bank_trigger",IF(AC359="PRIVATE_REVIEW","finance_risk_trigger","none"))</x:f>
        <x:v>none</x:v>
      </x:c>
      <x:c r="AE359" s="12" t="str">
        <x:f>IF(AC359="PUBLIC_CANDIDATE","prepare_public_github_candidate",IF(AC359="PRIVATE_REVIEW","hold_for_private_review","quarantine_private_do_not_publish"))</x:f>
        <x:v>prepare_public_github_candidate</x:v>
      </x:c>
      <x:c r="AF359" s="12" t="str">
        <x:f>IF(AC359="PUBLIC_CANDIDATE","TIDELOCK + Lucerna",IF(AC359="PRIVATE_REVIEW","AtlasBrain + Lucerna","TIDELOCK + Lucerna + Human-root"))</x:f>
        <x:v>TIDELOCK + Lucerna</x:v>
      </x:c>
      <x:c r="AG359" s="12" t="str">
        <x:f>IF(AND(AC359="PUBLIC_CANDIDATE",U359&lt;&gt;"BLOCKED_PENDING_RECEIPT"),"READY_AFTER_RECEIPT","NOT_READY")</x:f>
        <x:v>NOT_READY</x:v>
      </x:c>
      <x:c r="AH359" s="12" t="str">
        <x:f>IF(AC359="PUBLIC_CANDIDATE","none",AD359)</x:f>
        <x:v>none</x:v>
      </x:c>
      <x:c r="AI359" s="12" t="str">
        <x:f>IF(AC359="PUBLIC_CANDIDATE","archive/public_candidates/"&amp;A359,"private_quarantine/"&amp;A359)</x:f>
        <x:v>archive/public_candidates/SWARM-03-H06-S10</x:v>
      </x:c>
      <x:c r="AJ359" s="12" t="str">
        <x:f>IF(AC359="PUBLIC_CANDIDATE","public by default; still not canon","private/hold; do not publish")</x:f>
        <x:v>public by default; still not canon</x:v>
      </x:c>
      <x:c r="AK359" s="12" t="str">
        <x:f>IF(AE359="prepare_public_github_candidate","add receipt/status then mirror","resolve blocker before any public GitHub action")</x:f>
        <x:v>add receipt/status then mirror</x:v>
      </x:c>
    </x:row>
    <x:row r="360">
      <x:c r="A360" s="15" t="str">
        <x:v>SWARM-03-H06-S11</x:v>
      </x:c>
      <x:c r="B360" s="15" t="str">
        <x:v>KairoBrain</x:v>
      </x:c>
      <x:c r="C360" s="15" t="str">
        <x:v>Temporal strata keeper</x:v>
      </x:c>
      <x:c r="D360" s="15" t="str">
        <x:v>Ontology / Schema</x:v>
      </x:c>
      <x:c r="E360" s="15" t="str">
        <x:v>Automation</x:v>
      </x:c>
      <x:c r="F360" s="15" t="str">
        <x:v>Schema-map Automation — KairoBrain</x:v>
      </x:c>
      <x:c r="G360" s="15" t="str">
        <x:v>staleness / versioning / supersession</x:v>
      </x:c>
      <x:c r="H360" s="15" t="str">
        <x:v>source path + receipt + raw/export status + claim/edge/risk delta</x:v>
      </x:c>
      <x:c r="I360" s="15" t="str">
        <x:v>packet/SWARM-03-H06-S11</x:v>
      </x:c>
      <x:c r="J360" s="15" t="str">
        <x:v>TODO</x:v>
      </x:c>
      <x:c r="K360" s="15" t="str">
        <x:v>P2</x:v>
      </x:c>
      <x:c r="L360" s="15" t="str">
        <x:v>Done only when evidence is logged, contradiction search is noted, and boundary stamp remains non-canon unless ratified</x:v>
      </x:c>
      <x:c r="M360" s="15" t="str">
        <x:v>candidate / staging-only / not canon / not deployed / authority none</x:v>
      </x:c>
      <x:c r="N360" s="15" t="str">
        <x:v>Dispatch to KairoBrain: complete Ontology / Schema x Automation; return deltas only, receipts required.</x:v>
      </x:c>
      <x:c r="O360" s="15" t="str">
        <x:v>AF-KG-H06-S11</x:v>
      </x:c>
      <x:c r="P360" s="15" t="str">
        <x:v>Unverified</x:v>
      </x:c>
      <x:c r="Q360" s="15" t="str">
        <x:v>Not checked</x:v>
      </x:c>
      <x:c r="R360" s="15" t="str"/>
      <x:c r="S360" s="15" t="str"/>
      <x:c r="T360" s="15" t="str">
        <x:v>Log first source path or blocker</x:v>
      </x:c>
      <x:c r="U360" s="12" t="str">
        <x:f>IF(OR(P360="Unverified",Q360="Not checked"),"BLOCKED_PENDING_RECEIPT","READY_FOR_REVIEW")</x:f>
        <x:v>BLOCKED_PENDING_RECEIPT</x:v>
      </x:c>
      <x:c r="V360" s="12" t="str">
        <x:f>IF(J360="DONE","RETURNED",IF(U360="BLOCKED_PENDING_RECEIPT","SOURCE_TOUCH_REQUIRED","IN_PROGRESS"))</x:f>
        <x:v>SOURCE_TOUCH_REQUIRED</x:v>
      </x:c>
      <x:c r="W360" s="12" t="str">
        <x:f>IF(P360="Unverified","missing_receipt","receipt_logged")</x:f>
        <x:v>missing_receipt</x:v>
      </x:c>
      <x:c r="X360" s="12" t="str">
        <x:f>IF(Q360="Not checked","raw_status_missing","raw_status_logged")</x:f>
        <x:v>raw_status_missing</x:v>
      </x:c>
      <x:c r="Y360" s="12" t="str">
        <x:f>IF(U360="BLOCKED_PENDING_RECEIPT","Log source path or blocker; do not promote","Route to review lane")</x:f>
        <x:v>Log source path or blocker; do not promote</x:v>
      </x:c>
      <x:c r="Z360" s="12" t="str">
        <x:f>IF(K360="P0","Primary seat + Hashlight/Lucerna","Seat lane")</x:f>
        <x:v>Seat lane</x:v>
      </x:c>
      <x:c r="AA360" s="12" t="str">
        <x:f>IF(R360="","no_claim_delta","claim_delta_present")</x:f>
        <x:v>no_claim_delta</x:v>
      </x:c>
      <x:c r="AB360" s="12" t="str">
        <x:f>IF(S360="","no_contradiction_delta","contradiction_delta_present")</x:f>
        <x:v>no_contradiction_delta</x:v>
      </x:c>
      <x:c r="AC360" s="12" t="str">
        <x:f>IF(OR(ISNUMBER(SEARCH("hacker",LOWER(F360&amp;" "&amp;H360&amp;" "&amp;I360&amp;" "&amp;M360&amp;" "&amp;N360&amp;" "&amp;T360))),ISNUMBER(SEARCH("hacking",LOWER(F360&amp;" "&amp;H360&amp;" "&amp;I360&amp;" "&amp;M360&amp;" "&amp;N360&amp;" "&amp;T360))),ISNUMBER(SEARCH("bank",LOWER(F360&amp;" "&amp;H360&amp;" "&amp;I360&amp;" "&amp;M360&amp;" "&amp;N360&amp;" "&amp;T360))),ISNUMBER(SEARCH("banking",LOWER(F360&amp;" "&amp;H360&amp;" "&amp;I360&amp;" "&amp;M360&amp;" "&amp;N360&amp;" "&amp;T360)))),"PRIVATE_QUARANTINE",IF(OR(ISNUMBER(SEARCH("treasury",LOWER(F360&amp;" "&amp;H360&amp;" "&amp;I360&amp;" "&amp;M360&amp;" "&amp;N360&amp;" "&amp;T360))),ISNUMBER(SEARCH("debt",LOWER(F360&amp;" "&amp;H360&amp;" "&amp;I360&amp;" "&amp;M360&amp;" "&amp;N360&amp;" "&amp;T360))),ISNUMBER(SEARCH("bond",LOWER(F360&amp;" "&amp;H360&amp;" "&amp;I360&amp;" "&amp;M360&amp;" "&amp;N360&amp;" "&amp;T360))),ISNUMBER(SEARCH("transaction",LOWER(F360&amp;" "&amp;H360&amp;" "&amp;I360&amp;" "&amp;M360&amp;" "&amp;N360&amp;" "&amp;T360)))),"PRIVATE_REVIEW","PUBLIC_CANDIDATE"))</x:f>
        <x:v>PUBLIC_CANDIDATE</x:v>
      </x:c>
      <x:c r="AD360" s="12" t="str">
        <x:f>IF(AC360="PRIVATE_QUARANTINE","hacker_or_bank_trigger",IF(AC360="PRIVATE_REVIEW","finance_risk_trigger","none"))</x:f>
        <x:v>none</x:v>
      </x:c>
      <x:c r="AE360" s="12" t="str">
        <x:f>IF(AC360="PUBLIC_CANDIDATE","prepare_public_github_candidate",IF(AC360="PRIVATE_REVIEW","hold_for_private_review","quarantine_private_do_not_publish"))</x:f>
        <x:v>prepare_public_github_candidate</x:v>
      </x:c>
      <x:c r="AF360" s="12" t="str">
        <x:f>IF(AC360="PUBLIC_CANDIDATE","TIDELOCK + Lucerna",IF(AC360="PRIVATE_REVIEW","AtlasBrain + Lucerna","TIDELOCK + Lucerna + Human-root"))</x:f>
        <x:v>TIDELOCK + Lucerna</x:v>
      </x:c>
      <x:c r="AG360" s="12" t="str">
        <x:f>IF(AND(AC360="PUBLIC_CANDIDATE",U360&lt;&gt;"BLOCKED_PENDING_RECEIPT"),"READY_AFTER_RECEIPT","NOT_READY")</x:f>
        <x:v>NOT_READY</x:v>
      </x:c>
      <x:c r="AH360" s="12" t="str">
        <x:f>IF(AC360="PUBLIC_CANDIDATE","none",AD360)</x:f>
        <x:v>none</x:v>
      </x:c>
      <x:c r="AI360" s="12" t="str">
        <x:f>IF(AC360="PUBLIC_CANDIDATE","archive/public_candidates/"&amp;A360,"private_quarantine/"&amp;A360)</x:f>
        <x:v>archive/public_candidates/SWARM-03-H06-S11</x:v>
      </x:c>
      <x:c r="AJ360" s="12" t="str">
        <x:f>IF(AC360="PUBLIC_CANDIDATE","public by default; still not canon","private/hold; do not publish")</x:f>
        <x:v>public by default; still not canon</x:v>
      </x:c>
      <x:c r="AK360" s="12" t="str">
        <x:f>IF(AE360="prepare_public_github_candidate","add receipt/status then mirror","resolve blocker before any public GitHub action")</x:f>
        <x:v>add receipt/status then mirror</x:v>
      </x:c>
    </x:row>
    <x:row r="361">
      <x:c r="A361" s="15" t="str">
        <x:v>SWARM-03-H06-S12</x:v>
      </x:c>
      <x:c r="B361" s="15" t="str">
        <x:v>KairoBrain</x:v>
      </x:c>
      <x:c r="C361" s="15" t="str">
        <x:v>Temporal strata keeper</x:v>
      </x:c>
      <x:c r="D361" s="15" t="str">
        <x:v>Ontology / Schema</x:v>
      </x:c>
      <x:c r="E361" s="15" t="str">
        <x:v>Risk / Safety</x:v>
      </x:c>
      <x:c r="F361" s="15" t="str">
        <x:v>Schema-map Risk / Safety — KairoBrain</x:v>
      </x:c>
      <x:c r="G361" s="15" t="str">
        <x:v>staleness / versioning / supersession</x:v>
      </x:c>
      <x:c r="H361" s="15" t="str">
        <x:v>source path + receipt + raw/export status + claim/edge/risk delta</x:v>
      </x:c>
      <x:c r="I361" s="15" t="str">
        <x:v>packet/SWARM-03-H06-S12</x:v>
      </x:c>
      <x:c r="J361" s="15" t="str">
        <x:v>TODO</x:v>
      </x:c>
      <x:c r="K361" s="15" t="str">
        <x:v>P2</x:v>
      </x:c>
      <x:c r="L361" s="15" t="str">
        <x:v>Done only when evidence is logged, contradiction search is noted, and boundary stamp remains non-canon unless ratified</x:v>
      </x:c>
      <x:c r="M361" s="15" t="str">
        <x:v>candidate / staging-only / not canon / not deployed / authority none</x:v>
      </x:c>
      <x:c r="N361" s="15" t="str">
        <x:v>Dispatch to KairoBrain: complete Ontology / Schema x Risk / Safety; return deltas only, receipts required.</x:v>
      </x:c>
      <x:c r="O361" s="15" t="str">
        <x:v>AF-KG-H06-S12</x:v>
      </x:c>
      <x:c r="P361" s="15" t="str">
        <x:v>Unverified</x:v>
      </x:c>
      <x:c r="Q361" s="15" t="str">
        <x:v>Not checked</x:v>
      </x:c>
      <x:c r="R361" s="15" t="str"/>
      <x:c r="S361" s="15" t="str"/>
      <x:c r="T361" s="15" t="str">
        <x:v>Log first source path or blocker</x:v>
      </x:c>
      <x:c r="U361" s="12" t="str">
        <x:f>IF(OR(P361="Unverified",Q361="Not checked"),"BLOCKED_PENDING_RECEIPT","READY_FOR_REVIEW")</x:f>
        <x:v>BLOCKED_PENDING_RECEIPT</x:v>
      </x:c>
      <x:c r="V361" s="12" t="str">
        <x:f>IF(J361="DONE","RETURNED",IF(U361="BLOCKED_PENDING_RECEIPT","SOURCE_TOUCH_REQUIRED","IN_PROGRESS"))</x:f>
        <x:v>SOURCE_TOUCH_REQUIRED</x:v>
      </x:c>
      <x:c r="W361" s="12" t="str">
        <x:f>IF(P361="Unverified","missing_receipt","receipt_logged")</x:f>
        <x:v>missing_receipt</x:v>
      </x:c>
      <x:c r="X361" s="12" t="str">
        <x:f>IF(Q361="Not checked","raw_status_missing","raw_status_logged")</x:f>
        <x:v>raw_status_missing</x:v>
      </x:c>
      <x:c r="Y361" s="12" t="str">
        <x:f>IF(U361="BLOCKED_PENDING_RECEIPT","Log source path or blocker; do not promote","Route to review lane")</x:f>
        <x:v>Log source path or blocker; do not promote</x:v>
      </x:c>
      <x:c r="Z361" s="12" t="str">
        <x:f>IF(K361="P0","Primary seat + Hashlight/Lucerna","Seat lane")</x:f>
        <x:v>Seat lane</x:v>
      </x:c>
      <x:c r="AA361" s="12" t="str">
        <x:f>IF(R361="","no_claim_delta","claim_delta_present")</x:f>
        <x:v>no_claim_delta</x:v>
      </x:c>
      <x:c r="AB361" s="12" t="str">
        <x:f>IF(S361="","no_contradiction_delta","contradiction_delta_present")</x:f>
        <x:v>no_contradiction_delta</x:v>
      </x:c>
      <x:c r="AC361" s="12" t="str">
        <x:f>IF(OR(ISNUMBER(SEARCH("hacker",LOWER(F361&amp;" "&amp;H361&amp;" "&amp;I361&amp;" "&amp;M361&amp;" "&amp;N361&amp;" "&amp;T361))),ISNUMBER(SEARCH("hacking",LOWER(F361&amp;" "&amp;H361&amp;" "&amp;I361&amp;" "&amp;M361&amp;" "&amp;N361&amp;" "&amp;T361))),ISNUMBER(SEARCH("bank",LOWER(F361&amp;" "&amp;H361&amp;" "&amp;I361&amp;" "&amp;M361&amp;" "&amp;N361&amp;" "&amp;T361))),ISNUMBER(SEARCH("banking",LOWER(F361&amp;" "&amp;H361&amp;" "&amp;I361&amp;" "&amp;M361&amp;" "&amp;N361&amp;" "&amp;T361)))),"PRIVATE_QUARANTINE",IF(OR(ISNUMBER(SEARCH("treasury",LOWER(F361&amp;" "&amp;H361&amp;" "&amp;I361&amp;" "&amp;M361&amp;" "&amp;N361&amp;" "&amp;T361))),ISNUMBER(SEARCH("debt",LOWER(F361&amp;" "&amp;H361&amp;" "&amp;I361&amp;" "&amp;M361&amp;" "&amp;N361&amp;" "&amp;T361))),ISNUMBER(SEARCH("bond",LOWER(F361&amp;" "&amp;H361&amp;" "&amp;I361&amp;" "&amp;M361&amp;" "&amp;N361&amp;" "&amp;T361))),ISNUMBER(SEARCH("transaction",LOWER(F361&amp;" "&amp;H361&amp;" "&amp;I361&amp;" "&amp;M361&amp;" "&amp;N361&amp;" "&amp;T361)))),"PRIVATE_REVIEW","PUBLIC_CANDIDATE"))</x:f>
        <x:v>PUBLIC_CANDIDATE</x:v>
      </x:c>
      <x:c r="AD361" s="12" t="str">
        <x:f>IF(AC361="PRIVATE_QUARANTINE","hacker_or_bank_trigger",IF(AC361="PRIVATE_REVIEW","finance_risk_trigger","none"))</x:f>
        <x:v>none</x:v>
      </x:c>
      <x:c r="AE361" s="12" t="str">
        <x:f>IF(AC361="PUBLIC_CANDIDATE","prepare_public_github_candidate",IF(AC361="PRIVATE_REVIEW","hold_for_private_review","quarantine_private_do_not_publish"))</x:f>
        <x:v>prepare_public_github_candidate</x:v>
      </x:c>
      <x:c r="AF361" s="12" t="str">
        <x:f>IF(AC361="PUBLIC_CANDIDATE","TIDELOCK + Lucerna",IF(AC361="PRIVATE_REVIEW","AtlasBrain + Lucerna","TIDELOCK + Lucerna + Human-root"))</x:f>
        <x:v>TIDELOCK + Lucerna</x:v>
      </x:c>
      <x:c r="AG361" s="12" t="str">
        <x:f>IF(AND(AC361="PUBLIC_CANDIDATE",U361&lt;&gt;"BLOCKED_PENDING_RECEIPT"),"READY_AFTER_RECEIPT","NOT_READY")</x:f>
        <x:v>NOT_READY</x:v>
      </x:c>
      <x:c r="AH361" s="12" t="str">
        <x:f>IF(AC361="PUBLIC_CANDIDATE","none",AD361)</x:f>
        <x:v>none</x:v>
      </x:c>
      <x:c r="AI361" s="12" t="str">
        <x:f>IF(AC361="PUBLIC_CANDIDATE","archive/public_candidates/"&amp;A361,"private_quarantine/"&amp;A361)</x:f>
        <x:v>archive/public_candidates/SWARM-03-H06-S12</x:v>
      </x:c>
      <x:c r="AJ361" s="12" t="str">
        <x:f>IF(AC361="PUBLIC_CANDIDATE","public by default; still not canon","private/hold; do not publish")</x:f>
        <x:v>public by default; still not canon</x:v>
      </x:c>
      <x:c r="AK361" s="12" t="str">
        <x:f>IF(AE361="prepare_public_github_candidate","add receipt/status then mirror","resolve blocker before any public GitHub action")</x:f>
        <x:v>add receipt/status then mirror</x:v>
      </x:c>
    </x:row>
    <x:row r="362">
      <x:c r="A362" s="15" t="str">
        <x:v>SWARM-03-H07-S01</x:v>
      </x:c>
      <x:c r="B362" s="15" t="str">
        <x:v>KairoBrain</x:v>
      </x:c>
      <x:c r="C362" s="15" t="str">
        <x:v>Temporal strata keeper</x:v>
      </x:c>
      <x:c r="D362" s="15" t="str">
        <x:v>Graph Node Proposals</x:v>
      </x:c>
      <x:c r="E362" s="15" t="str">
        <x:v>Notion</x:v>
      </x:c>
      <x:c r="F362" s="15" t="str">
        <x:v>Propose graph nodes for Notion — KairoBrain</x:v>
      </x:c>
      <x:c r="G362" s="15" t="str">
        <x:v>staleness / versioning / supersession</x:v>
      </x:c>
      <x:c r="H362" s="15" t="str">
        <x:v>source path + receipt + raw/export status + claim/edge/risk delta</x:v>
      </x:c>
      <x:c r="I362" s="15" t="str">
        <x:v>packet/SWARM-03-H07-S01</x:v>
      </x:c>
      <x:c r="J362" s="15" t="str">
        <x:v>TODO</x:v>
      </x:c>
      <x:c r="K362" s="15" t="str">
        <x:v>P0</x:v>
      </x:c>
      <x:c r="L362" s="15" t="str">
        <x:v>Done only when evidence is logged, contradiction search is noted, and boundary stamp remains non-canon unless ratified</x:v>
      </x:c>
      <x:c r="M362" s="15" t="str">
        <x:v>candidate / staging-only / not canon / not deployed / authority none</x:v>
      </x:c>
      <x:c r="N362" s="15" t="str">
        <x:v>Dispatch to KairoBrain: complete Graph Node Proposals x Notion; return deltas only, receipts required.</x:v>
      </x:c>
      <x:c r="O362" s="15" t="str">
        <x:v>AF-KG-H07-S01</x:v>
      </x:c>
      <x:c r="P362" s="15" t="str">
        <x:v>Unverified</x:v>
      </x:c>
      <x:c r="Q362" s="15" t="str">
        <x:v>Not checked</x:v>
      </x:c>
      <x:c r="R362" s="15" t="str"/>
      <x:c r="S362" s="15" t="str"/>
      <x:c r="T362" s="15" t="str">
        <x:v>Log first source path or blocker</x:v>
      </x:c>
      <x:c r="U362" s="12" t="str">
        <x:f>IF(OR(P362="Unverified",Q362="Not checked"),"BLOCKED_PENDING_RECEIPT","READY_FOR_REVIEW")</x:f>
        <x:v>BLOCKED_PENDING_RECEIPT</x:v>
      </x:c>
      <x:c r="V362" s="12" t="str">
        <x:f>IF(J362="DONE","RETURNED",IF(U362="BLOCKED_PENDING_RECEIPT","SOURCE_TOUCH_REQUIRED","IN_PROGRESS"))</x:f>
        <x:v>SOURCE_TOUCH_REQUIRED</x:v>
      </x:c>
      <x:c r="W362" s="12" t="str">
        <x:f>IF(P362="Unverified","missing_receipt","receipt_logged")</x:f>
        <x:v>missing_receipt</x:v>
      </x:c>
      <x:c r="X362" s="12" t="str">
        <x:f>IF(Q362="Not checked","raw_status_missing","raw_status_logged")</x:f>
        <x:v>raw_status_missing</x:v>
      </x:c>
      <x:c r="Y362" s="12" t="str">
        <x:f>IF(U362="BLOCKED_PENDING_RECEIPT","Log source path or blocker; do not promote","Route to review lane")</x:f>
        <x:v>Log source path or blocker; do not promote</x:v>
      </x:c>
      <x:c r="Z362" s="12" t="str">
        <x:f>IF(K362="P0","Primary seat + Hashlight/Lucerna","Seat lane")</x:f>
        <x:v>Primary seat + Hashlight/Lucerna</x:v>
      </x:c>
      <x:c r="AA362" s="12" t="str">
        <x:f>IF(R362="","no_claim_delta","claim_delta_present")</x:f>
        <x:v>no_claim_delta</x:v>
      </x:c>
      <x:c r="AB362" s="12" t="str">
        <x:f>IF(S362="","no_contradiction_delta","contradiction_delta_present")</x:f>
        <x:v>no_contradiction_delta</x:v>
      </x:c>
      <x:c r="AC362" s="12" t="str">
        <x:f>IF(OR(ISNUMBER(SEARCH("hacker",LOWER(F362&amp;" "&amp;H362&amp;" "&amp;I362&amp;" "&amp;M362&amp;" "&amp;N362&amp;" "&amp;T362))),ISNUMBER(SEARCH("hacking",LOWER(F362&amp;" "&amp;H362&amp;" "&amp;I362&amp;" "&amp;M362&amp;" "&amp;N362&amp;" "&amp;T362))),ISNUMBER(SEARCH("bank",LOWER(F362&amp;" "&amp;H362&amp;" "&amp;I362&amp;" "&amp;M362&amp;" "&amp;N362&amp;" "&amp;T362))),ISNUMBER(SEARCH("banking",LOWER(F362&amp;" "&amp;H362&amp;" "&amp;I362&amp;" "&amp;M362&amp;" "&amp;N362&amp;" "&amp;T362)))),"PRIVATE_QUARANTINE",IF(OR(ISNUMBER(SEARCH("treasury",LOWER(F362&amp;" "&amp;H362&amp;" "&amp;I362&amp;" "&amp;M362&amp;" "&amp;N362&amp;" "&amp;T362))),ISNUMBER(SEARCH("debt",LOWER(F362&amp;" "&amp;H362&amp;" "&amp;I362&amp;" "&amp;M362&amp;" "&amp;N362&amp;" "&amp;T362))),ISNUMBER(SEARCH("bond",LOWER(F362&amp;" "&amp;H362&amp;" "&amp;I362&amp;" "&amp;M362&amp;" "&amp;N362&amp;" "&amp;T362))),ISNUMBER(SEARCH("transaction",LOWER(F362&amp;" "&amp;H362&amp;" "&amp;I362&amp;" "&amp;M362&amp;" "&amp;N362&amp;" "&amp;T362)))),"PRIVATE_REVIEW","PUBLIC_CANDIDATE"))</x:f>
        <x:v>PUBLIC_CANDIDATE</x:v>
      </x:c>
      <x:c r="AD362" s="12" t="str">
        <x:f>IF(AC362="PRIVATE_QUARANTINE","hacker_or_bank_trigger",IF(AC362="PRIVATE_REVIEW","finance_risk_trigger","none"))</x:f>
        <x:v>none</x:v>
      </x:c>
      <x:c r="AE362" s="12" t="str">
        <x:f>IF(AC362="PUBLIC_CANDIDATE","prepare_public_github_candidate",IF(AC362="PRIVATE_REVIEW","hold_for_private_review","quarantine_private_do_not_publish"))</x:f>
        <x:v>prepare_public_github_candidate</x:v>
      </x:c>
      <x:c r="AF362" s="12" t="str">
        <x:f>IF(AC362="PUBLIC_CANDIDATE","TIDELOCK + Lucerna",IF(AC362="PRIVATE_REVIEW","AtlasBrain + Lucerna","TIDELOCK + Lucerna + Human-root"))</x:f>
        <x:v>TIDELOCK + Lucerna</x:v>
      </x:c>
      <x:c r="AG362" s="12" t="str">
        <x:f>IF(AND(AC362="PUBLIC_CANDIDATE",U362&lt;&gt;"BLOCKED_PENDING_RECEIPT"),"READY_AFTER_RECEIPT","NOT_READY")</x:f>
        <x:v>NOT_READY</x:v>
      </x:c>
      <x:c r="AH362" s="12" t="str">
        <x:f>IF(AC362="PUBLIC_CANDIDATE","none",AD362)</x:f>
        <x:v>none</x:v>
      </x:c>
      <x:c r="AI362" s="12" t="str">
        <x:f>IF(AC362="PUBLIC_CANDIDATE","archive/public_candidates/"&amp;A362,"private_quarantine/"&amp;A362)</x:f>
        <x:v>archive/public_candidates/SWARM-03-H07-S01</x:v>
      </x:c>
      <x:c r="AJ362" s="12" t="str">
        <x:f>IF(AC362="PUBLIC_CANDIDATE","public by default; still not canon","private/hold; do not publish")</x:f>
        <x:v>public by default; still not canon</x:v>
      </x:c>
      <x:c r="AK362" s="12" t="str">
        <x:f>IF(AE362="prepare_public_github_candidate","add receipt/status then mirror","resolve blocker before any public GitHub action")</x:f>
        <x:v>add receipt/status then mirror</x:v>
      </x:c>
    </x:row>
    <x:row r="363">
      <x:c r="A363" s="15" t="str">
        <x:v>SWARM-03-H07-S02</x:v>
      </x:c>
      <x:c r="B363" s="15" t="str">
        <x:v>KairoBrain</x:v>
      </x:c>
      <x:c r="C363" s="15" t="str">
        <x:v>Temporal strata keeper</x:v>
      </x:c>
      <x:c r="D363" s="15" t="str">
        <x:v>Graph Node Proposals</x:v>
      </x:c>
      <x:c r="E363" s="15" t="str">
        <x:v>Drive</x:v>
      </x:c>
      <x:c r="F363" s="15" t="str">
        <x:v>Propose graph nodes for Drive — KairoBrain</x:v>
      </x:c>
      <x:c r="G363" s="15" t="str">
        <x:v>staleness / versioning / supersession</x:v>
      </x:c>
      <x:c r="H363" s="15" t="str">
        <x:v>source path + receipt + raw/export status + claim/edge/risk delta</x:v>
      </x:c>
      <x:c r="I363" s="15" t="str">
        <x:v>packet/SWARM-03-H07-S02</x:v>
      </x:c>
      <x:c r="J363" s="15" t="str">
        <x:v>TODO</x:v>
      </x:c>
      <x:c r="K363" s="15" t="str">
        <x:v>P0</x:v>
      </x:c>
      <x:c r="L363" s="15" t="str">
        <x:v>Done only when evidence is logged, contradiction search is noted, and boundary stamp remains non-canon unless ratified</x:v>
      </x:c>
      <x:c r="M363" s="15" t="str">
        <x:v>candidate / staging-only / not canon / not deployed / authority none</x:v>
      </x:c>
      <x:c r="N363" s="15" t="str">
        <x:v>Dispatch to KairoBrain: complete Graph Node Proposals x Drive; return deltas only, receipts required.</x:v>
      </x:c>
      <x:c r="O363" s="15" t="str">
        <x:v>AF-KG-H07-S02</x:v>
      </x:c>
      <x:c r="P363" s="15" t="str">
        <x:v>Unverified</x:v>
      </x:c>
      <x:c r="Q363" s="15" t="str">
        <x:v>Not checked</x:v>
      </x:c>
      <x:c r="R363" s="15" t="str"/>
      <x:c r="S363" s="15" t="str"/>
      <x:c r="T363" s="15" t="str">
        <x:v>Log first source path or blocker</x:v>
      </x:c>
      <x:c r="U363" s="12" t="str">
        <x:f>IF(OR(P363="Unverified",Q363="Not checked"),"BLOCKED_PENDING_RECEIPT","READY_FOR_REVIEW")</x:f>
        <x:v>BLOCKED_PENDING_RECEIPT</x:v>
      </x:c>
      <x:c r="V363" s="12" t="str">
        <x:f>IF(J363="DONE","RETURNED",IF(U363="BLOCKED_PENDING_RECEIPT","SOURCE_TOUCH_REQUIRED","IN_PROGRESS"))</x:f>
        <x:v>SOURCE_TOUCH_REQUIRED</x:v>
      </x:c>
      <x:c r="W363" s="12" t="str">
        <x:f>IF(P363="Unverified","missing_receipt","receipt_logged")</x:f>
        <x:v>missing_receipt</x:v>
      </x:c>
      <x:c r="X363" s="12" t="str">
        <x:f>IF(Q363="Not checked","raw_status_missing","raw_status_logged")</x:f>
        <x:v>raw_status_missing</x:v>
      </x:c>
      <x:c r="Y363" s="12" t="str">
        <x:f>IF(U363="BLOCKED_PENDING_RECEIPT","Log source path or blocker; do not promote","Route to review lane")</x:f>
        <x:v>Log source path or blocker; do not promote</x:v>
      </x:c>
      <x:c r="Z363" s="12" t="str">
        <x:f>IF(K363="P0","Primary seat + Hashlight/Lucerna","Seat lane")</x:f>
        <x:v>Primary seat + Hashlight/Lucerna</x:v>
      </x:c>
      <x:c r="AA363" s="12" t="str">
        <x:f>IF(R363="","no_claim_delta","claim_delta_present")</x:f>
        <x:v>no_claim_delta</x:v>
      </x:c>
      <x:c r="AB363" s="12" t="str">
        <x:f>IF(S363="","no_contradiction_delta","contradiction_delta_present")</x:f>
        <x:v>no_contradiction_delta</x:v>
      </x:c>
      <x:c r="AC363" s="12" t="str">
        <x:f>IF(OR(ISNUMBER(SEARCH("hacker",LOWER(F363&amp;" "&amp;H363&amp;" "&amp;I363&amp;" "&amp;M363&amp;" "&amp;N363&amp;" "&amp;T363))),ISNUMBER(SEARCH("hacking",LOWER(F363&amp;" "&amp;H363&amp;" "&amp;I363&amp;" "&amp;M363&amp;" "&amp;N363&amp;" "&amp;T363))),ISNUMBER(SEARCH("bank",LOWER(F363&amp;" "&amp;H363&amp;" "&amp;I363&amp;" "&amp;M363&amp;" "&amp;N363&amp;" "&amp;T363))),ISNUMBER(SEARCH("banking",LOWER(F363&amp;" "&amp;H363&amp;" "&amp;I363&amp;" "&amp;M363&amp;" "&amp;N363&amp;" "&amp;T363)))),"PRIVATE_QUARANTINE",IF(OR(ISNUMBER(SEARCH("treasury",LOWER(F363&amp;" "&amp;H363&amp;" "&amp;I363&amp;" "&amp;M363&amp;" "&amp;N363&amp;" "&amp;T363))),ISNUMBER(SEARCH("debt",LOWER(F363&amp;" "&amp;H363&amp;" "&amp;I363&amp;" "&amp;M363&amp;" "&amp;N363&amp;" "&amp;T363))),ISNUMBER(SEARCH("bond",LOWER(F363&amp;" "&amp;H363&amp;" "&amp;I363&amp;" "&amp;M363&amp;" "&amp;N363&amp;" "&amp;T363))),ISNUMBER(SEARCH("transaction",LOWER(F363&amp;" "&amp;H363&amp;" "&amp;I363&amp;" "&amp;M363&amp;" "&amp;N363&amp;" "&amp;T363)))),"PRIVATE_REVIEW","PUBLIC_CANDIDATE"))</x:f>
        <x:v>PUBLIC_CANDIDATE</x:v>
      </x:c>
      <x:c r="AD363" s="12" t="str">
        <x:f>IF(AC363="PRIVATE_QUARANTINE","hacker_or_bank_trigger",IF(AC363="PRIVATE_REVIEW","finance_risk_trigger","none"))</x:f>
        <x:v>none</x:v>
      </x:c>
      <x:c r="AE363" s="12" t="str">
        <x:f>IF(AC363="PUBLIC_CANDIDATE","prepare_public_github_candidate",IF(AC363="PRIVATE_REVIEW","hold_for_private_review","quarantine_private_do_not_publish"))</x:f>
        <x:v>prepare_public_github_candidate</x:v>
      </x:c>
      <x:c r="AF363" s="12" t="str">
        <x:f>IF(AC363="PUBLIC_CANDIDATE","TIDELOCK + Lucerna",IF(AC363="PRIVATE_REVIEW","AtlasBrain + Lucerna","TIDELOCK + Lucerna + Human-root"))</x:f>
        <x:v>TIDELOCK + Lucerna</x:v>
      </x:c>
      <x:c r="AG363" s="12" t="str">
        <x:f>IF(AND(AC363="PUBLIC_CANDIDATE",U363&lt;&gt;"BLOCKED_PENDING_RECEIPT"),"READY_AFTER_RECEIPT","NOT_READY")</x:f>
        <x:v>NOT_READY</x:v>
      </x:c>
      <x:c r="AH363" s="12" t="str">
        <x:f>IF(AC363="PUBLIC_CANDIDATE","none",AD363)</x:f>
        <x:v>none</x:v>
      </x:c>
      <x:c r="AI363" s="12" t="str">
        <x:f>IF(AC363="PUBLIC_CANDIDATE","archive/public_candidates/"&amp;A363,"private_quarantine/"&amp;A363)</x:f>
        <x:v>archive/public_candidates/SWARM-03-H07-S02</x:v>
      </x:c>
      <x:c r="AJ363" s="12" t="str">
        <x:f>IF(AC363="PUBLIC_CANDIDATE","public by default; still not canon","private/hold; do not publish")</x:f>
        <x:v>public by default; still not canon</x:v>
      </x:c>
      <x:c r="AK363" s="12" t="str">
        <x:f>IF(AE363="prepare_public_github_candidate","add receipt/status then mirror","resolve blocker before any public GitHub action")</x:f>
        <x:v>add receipt/status then mirror</x:v>
      </x:c>
    </x:row>
    <x:row r="364">
      <x:c r="A364" s="15" t="str">
        <x:v>SWARM-03-H07-S03</x:v>
      </x:c>
      <x:c r="B364" s="15" t="str">
        <x:v>KairoBrain</x:v>
      </x:c>
      <x:c r="C364" s="15" t="str">
        <x:v>Temporal strata keeper</x:v>
      </x:c>
      <x:c r="D364" s="15" t="str">
        <x:v>Graph Node Proposals</x:v>
      </x:c>
      <x:c r="E364" s="15" t="str">
        <x:v>GitHub</x:v>
      </x:c>
      <x:c r="F364" s="15" t="str">
        <x:v>Propose graph nodes for GitHub — KairoBrain</x:v>
      </x:c>
      <x:c r="G364" s="15" t="str">
        <x:v>staleness / versioning / supersession</x:v>
      </x:c>
      <x:c r="H364" s="15" t="str">
        <x:v>source path + receipt + raw/export status + claim/edge/risk delta</x:v>
      </x:c>
      <x:c r="I364" s="15" t="str">
        <x:v>packet/SWARM-03-H07-S03</x:v>
      </x:c>
      <x:c r="J364" s="15" t="str">
        <x:v>TODO</x:v>
      </x:c>
      <x:c r="K364" s="15" t="str">
        <x:v>P0</x:v>
      </x:c>
      <x:c r="L364" s="15" t="str">
        <x:v>Done only when evidence is logged, contradiction search is noted, and boundary stamp remains non-canon unless ratified</x:v>
      </x:c>
      <x:c r="M364" s="15" t="str">
        <x:v>candidate / staging-only / not canon / not deployed / authority none</x:v>
      </x:c>
      <x:c r="N364" s="15" t="str">
        <x:v>Dispatch to KairoBrain: complete Graph Node Proposals x GitHub; return deltas only, receipts required.</x:v>
      </x:c>
      <x:c r="O364" s="15" t="str">
        <x:v>AF-KG-H07-S03</x:v>
      </x:c>
      <x:c r="P364" s="15" t="str">
        <x:v>Unverified</x:v>
      </x:c>
      <x:c r="Q364" s="15" t="str">
        <x:v>Not checked</x:v>
      </x:c>
      <x:c r="R364" s="15" t="str"/>
      <x:c r="S364" s="15" t="str"/>
      <x:c r="T364" s="15" t="str">
        <x:v>Log first source path or blocker</x:v>
      </x:c>
      <x:c r="U364" s="12" t="str">
        <x:f>IF(OR(P364="Unverified",Q364="Not checked"),"BLOCKED_PENDING_RECEIPT","READY_FOR_REVIEW")</x:f>
        <x:v>BLOCKED_PENDING_RECEIPT</x:v>
      </x:c>
      <x:c r="V364" s="12" t="str">
        <x:f>IF(J364="DONE","RETURNED",IF(U364="BLOCKED_PENDING_RECEIPT","SOURCE_TOUCH_REQUIRED","IN_PROGRESS"))</x:f>
        <x:v>SOURCE_TOUCH_REQUIRED</x:v>
      </x:c>
      <x:c r="W364" s="12" t="str">
        <x:f>IF(P364="Unverified","missing_receipt","receipt_logged")</x:f>
        <x:v>missing_receipt</x:v>
      </x:c>
      <x:c r="X364" s="12" t="str">
        <x:f>IF(Q364="Not checked","raw_status_missing","raw_status_logged")</x:f>
        <x:v>raw_status_missing</x:v>
      </x:c>
      <x:c r="Y364" s="12" t="str">
        <x:f>IF(U364="BLOCKED_PENDING_RECEIPT","Log source path or blocker; do not promote","Route to review lane")</x:f>
        <x:v>Log source path or blocker; do not promote</x:v>
      </x:c>
      <x:c r="Z364" s="12" t="str">
        <x:f>IF(K364="P0","Primary seat + Hashlight/Lucerna","Seat lane")</x:f>
        <x:v>Primary seat + Hashlight/Lucerna</x:v>
      </x:c>
      <x:c r="AA364" s="12" t="str">
        <x:f>IF(R364="","no_claim_delta","claim_delta_present")</x:f>
        <x:v>no_claim_delta</x:v>
      </x:c>
      <x:c r="AB364" s="12" t="str">
        <x:f>IF(S364="","no_contradiction_delta","contradiction_delta_present")</x:f>
        <x:v>no_contradiction_delta</x:v>
      </x:c>
      <x:c r="AC364" s="12" t="str">
        <x:f>IF(OR(ISNUMBER(SEARCH("hacker",LOWER(F364&amp;" "&amp;H364&amp;" "&amp;I364&amp;" "&amp;M364&amp;" "&amp;N364&amp;" "&amp;T364))),ISNUMBER(SEARCH("hacking",LOWER(F364&amp;" "&amp;H364&amp;" "&amp;I364&amp;" "&amp;M364&amp;" "&amp;N364&amp;" "&amp;T364))),ISNUMBER(SEARCH("bank",LOWER(F364&amp;" "&amp;H364&amp;" "&amp;I364&amp;" "&amp;M364&amp;" "&amp;N364&amp;" "&amp;T364))),ISNUMBER(SEARCH("banking",LOWER(F364&amp;" "&amp;H364&amp;" "&amp;I364&amp;" "&amp;M364&amp;" "&amp;N364&amp;" "&amp;T364)))),"PRIVATE_QUARANTINE",IF(OR(ISNUMBER(SEARCH("treasury",LOWER(F364&amp;" "&amp;H364&amp;" "&amp;I364&amp;" "&amp;M364&amp;" "&amp;N364&amp;" "&amp;T364))),ISNUMBER(SEARCH("debt",LOWER(F364&amp;" "&amp;H364&amp;" "&amp;I364&amp;" "&amp;M364&amp;" "&amp;N364&amp;" "&amp;T364))),ISNUMBER(SEARCH("bond",LOWER(F364&amp;" "&amp;H364&amp;" "&amp;I364&amp;" "&amp;M364&amp;" "&amp;N364&amp;" "&amp;T364))),ISNUMBER(SEARCH("transaction",LOWER(F364&amp;" "&amp;H364&amp;" "&amp;I364&amp;" "&amp;M364&amp;" "&amp;N364&amp;" "&amp;T364)))),"PRIVATE_REVIEW","PUBLIC_CANDIDATE"))</x:f>
        <x:v>PUBLIC_CANDIDATE</x:v>
      </x:c>
      <x:c r="AD364" s="12" t="str">
        <x:f>IF(AC364="PRIVATE_QUARANTINE","hacker_or_bank_trigger",IF(AC364="PRIVATE_REVIEW","finance_risk_trigger","none"))</x:f>
        <x:v>none</x:v>
      </x:c>
      <x:c r="AE364" s="12" t="str">
        <x:f>IF(AC364="PUBLIC_CANDIDATE","prepare_public_github_candidate",IF(AC364="PRIVATE_REVIEW","hold_for_private_review","quarantine_private_do_not_publish"))</x:f>
        <x:v>prepare_public_github_candidate</x:v>
      </x:c>
      <x:c r="AF364" s="12" t="str">
        <x:f>IF(AC364="PUBLIC_CANDIDATE","TIDELOCK + Lucerna",IF(AC364="PRIVATE_REVIEW","AtlasBrain + Lucerna","TIDELOCK + Lucerna + Human-root"))</x:f>
        <x:v>TIDELOCK + Lucerna</x:v>
      </x:c>
      <x:c r="AG364" s="12" t="str">
        <x:f>IF(AND(AC364="PUBLIC_CANDIDATE",U364&lt;&gt;"BLOCKED_PENDING_RECEIPT"),"READY_AFTER_RECEIPT","NOT_READY")</x:f>
        <x:v>NOT_READY</x:v>
      </x:c>
      <x:c r="AH364" s="12" t="str">
        <x:f>IF(AC364="PUBLIC_CANDIDATE","none",AD364)</x:f>
        <x:v>none</x:v>
      </x:c>
      <x:c r="AI364" s="12" t="str">
        <x:f>IF(AC364="PUBLIC_CANDIDATE","archive/public_candidates/"&amp;A364,"private_quarantine/"&amp;A364)</x:f>
        <x:v>archive/public_candidates/SWARM-03-H07-S03</x:v>
      </x:c>
      <x:c r="AJ364" s="12" t="str">
        <x:f>IF(AC364="PUBLIC_CANDIDATE","public by default; still not canon","private/hold; do not publish")</x:f>
        <x:v>public by default; still not canon</x:v>
      </x:c>
      <x:c r="AK364" s="12" t="str">
        <x:f>IF(AE364="prepare_public_github_candidate","add receipt/status then mirror","resolve blocker before any public GitHub action")</x:f>
        <x:v>add receipt/status then mirror</x:v>
      </x:c>
    </x:row>
    <x:row r="365">
      <x:c r="A365" s="15" t="str">
        <x:v>SWARM-03-H07-S04</x:v>
      </x:c>
      <x:c r="B365" s="15" t="str">
        <x:v>KairoBrain</x:v>
      </x:c>
      <x:c r="C365" s="15" t="str">
        <x:v>Temporal strata keeper</x:v>
      </x:c>
      <x:c r="D365" s="15" t="str">
        <x:v>Graph Node Proposals</x:v>
      </x:c>
      <x:c r="E365" s="15" t="str">
        <x:v>Gamma</x:v>
      </x:c>
      <x:c r="F365" s="15" t="str">
        <x:v>Propose graph nodes for Gamma — KairoBrain</x:v>
      </x:c>
      <x:c r="G365" s="15" t="str">
        <x:v>staleness / versioning / supersession</x:v>
      </x:c>
      <x:c r="H365" s="15" t="str">
        <x:v>source path + receipt + raw/export status + claim/edge/risk delta</x:v>
      </x:c>
      <x:c r="I365" s="15" t="str">
        <x:v>packet/SWARM-03-H07-S04</x:v>
      </x:c>
      <x:c r="J365" s="15" t="str">
        <x:v>TODO</x:v>
      </x:c>
      <x:c r="K365" s="15" t="str">
        <x:v>P1</x:v>
      </x:c>
      <x:c r="L365" s="15" t="str">
        <x:v>Done only when evidence is logged, contradiction search is noted, and boundary stamp remains non-canon unless ratified</x:v>
      </x:c>
      <x:c r="M365" s="15" t="str">
        <x:v>candidate / staging-only / not canon / not deployed / authority none</x:v>
      </x:c>
      <x:c r="N365" s="15" t="str">
        <x:v>Dispatch to KairoBrain: complete Graph Node Proposals x Gamma; return deltas only, receipts required.</x:v>
      </x:c>
      <x:c r="O365" s="15" t="str">
        <x:v>AF-KG-H07-S04</x:v>
      </x:c>
      <x:c r="P365" s="15" t="str">
        <x:v>Unverified</x:v>
      </x:c>
      <x:c r="Q365" s="15" t="str">
        <x:v>Not checked</x:v>
      </x:c>
      <x:c r="R365" s="15" t="str"/>
      <x:c r="S365" s="15" t="str"/>
      <x:c r="T365" s="15" t="str">
        <x:v>Log first source path or blocker</x:v>
      </x:c>
      <x:c r="U365" s="12" t="str">
        <x:f>IF(OR(P365="Unverified",Q365="Not checked"),"BLOCKED_PENDING_RECEIPT","READY_FOR_REVIEW")</x:f>
        <x:v>BLOCKED_PENDING_RECEIPT</x:v>
      </x:c>
      <x:c r="V365" s="12" t="str">
        <x:f>IF(J365="DONE","RETURNED",IF(U365="BLOCKED_PENDING_RECEIPT","SOURCE_TOUCH_REQUIRED","IN_PROGRESS"))</x:f>
        <x:v>SOURCE_TOUCH_REQUIRED</x:v>
      </x:c>
      <x:c r="W365" s="12" t="str">
        <x:f>IF(P365="Unverified","missing_receipt","receipt_logged")</x:f>
        <x:v>missing_receipt</x:v>
      </x:c>
      <x:c r="X365" s="12" t="str">
        <x:f>IF(Q365="Not checked","raw_status_missing","raw_status_logged")</x:f>
        <x:v>raw_status_missing</x:v>
      </x:c>
      <x:c r="Y365" s="12" t="str">
        <x:f>IF(U365="BLOCKED_PENDING_RECEIPT","Log source path or blocker; do not promote","Route to review lane")</x:f>
        <x:v>Log source path or blocker; do not promote</x:v>
      </x:c>
      <x:c r="Z365" s="12" t="str">
        <x:f>IF(K365="P0","Primary seat + Hashlight/Lucerna","Seat lane")</x:f>
        <x:v>Seat lane</x:v>
      </x:c>
      <x:c r="AA365" s="12" t="str">
        <x:f>IF(R365="","no_claim_delta","claim_delta_present")</x:f>
        <x:v>no_claim_delta</x:v>
      </x:c>
      <x:c r="AB365" s="12" t="str">
        <x:f>IF(S365="","no_contradiction_delta","contradiction_delta_present")</x:f>
        <x:v>no_contradiction_delta</x:v>
      </x:c>
      <x:c r="AC365" s="12" t="str">
        <x:f>IF(OR(ISNUMBER(SEARCH("hacker",LOWER(F365&amp;" "&amp;H365&amp;" "&amp;I365&amp;" "&amp;M365&amp;" "&amp;N365&amp;" "&amp;T365))),ISNUMBER(SEARCH("hacking",LOWER(F365&amp;" "&amp;H365&amp;" "&amp;I365&amp;" "&amp;M365&amp;" "&amp;N365&amp;" "&amp;T365))),ISNUMBER(SEARCH("bank",LOWER(F365&amp;" "&amp;H365&amp;" "&amp;I365&amp;" "&amp;M365&amp;" "&amp;N365&amp;" "&amp;T365))),ISNUMBER(SEARCH("banking",LOWER(F365&amp;" "&amp;H365&amp;" "&amp;I365&amp;" "&amp;M365&amp;" "&amp;N365&amp;" "&amp;T365)))),"PRIVATE_QUARANTINE",IF(OR(ISNUMBER(SEARCH("treasury",LOWER(F365&amp;" "&amp;H365&amp;" "&amp;I365&amp;" "&amp;M365&amp;" "&amp;N365&amp;" "&amp;T365))),ISNUMBER(SEARCH("debt",LOWER(F365&amp;" "&amp;H365&amp;" "&amp;I365&amp;" "&amp;M365&amp;" "&amp;N365&amp;" "&amp;T365))),ISNUMBER(SEARCH("bond",LOWER(F365&amp;" "&amp;H365&amp;" "&amp;I365&amp;" "&amp;M365&amp;" "&amp;N365&amp;" "&amp;T365))),ISNUMBER(SEARCH("transaction",LOWER(F365&amp;" "&amp;H365&amp;" "&amp;I365&amp;" "&amp;M365&amp;" "&amp;N365&amp;" "&amp;T365)))),"PRIVATE_REVIEW","PUBLIC_CANDIDATE"))</x:f>
        <x:v>PUBLIC_CANDIDATE</x:v>
      </x:c>
      <x:c r="AD365" s="12" t="str">
        <x:f>IF(AC365="PRIVATE_QUARANTINE","hacker_or_bank_trigger",IF(AC365="PRIVATE_REVIEW","finance_risk_trigger","none"))</x:f>
        <x:v>none</x:v>
      </x:c>
      <x:c r="AE365" s="12" t="str">
        <x:f>IF(AC365="PUBLIC_CANDIDATE","prepare_public_github_candidate",IF(AC365="PRIVATE_REVIEW","hold_for_private_review","quarantine_private_do_not_publish"))</x:f>
        <x:v>prepare_public_github_candidate</x:v>
      </x:c>
      <x:c r="AF365" s="12" t="str">
        <x:f>IF(AC365="PUBLIC_CANDIDATE","TIDELOCK + Lucerna",IF(AC365="PRIVATE_REVIEW","AtlasBrain + Lucerna","TIDELOCK + Lucerna + Human-root"))</x:f>
        <x:v>TIDELOCK + Lucerna</x:v>
      </x:c>
      <x:c r="AG365" s="12" t="str">
        <x:f>IF(AND(AC365="PUBLIC_CANDIDATE",U365&lt;&gt;"BLOCKED_PENDING_RECEIPT"),"READY_AFTER_RECEIPT","NOT_READY")</x:f>
        <x:v>NOT_READY</x:v>
      </x:c>
      <x:c r="AH365" s="12" t="str">
        <x:f>IF(AC365="PUBLIC_CANDIDATE","none",AD365)</x:f>
        <x:v>none</x:v>
      </x:c>
      <x:c r="AI365" s="12" t="str">
        <x:f>IF(AC365="PUBLIC_CANDIDATE","archive/public_candidates/"&amp;A365,"private_quarantine/"&amp;A365)</x:f>
        <x:v>archive/public_candidates/SWARM-03-H07-S04</x:v>
      </x:c>
      <x:c r="AJ365" s="12" t="str">
        <x:f>IF(AC365="PUBLIC_CANDIDATE","public by default; still not canon","private/hold; do not publish")</x:f>
        <x:v>public by default; still not canon</x:v>
      </x:c>
      <x:c r="AK365" s="12" t="str">
        <x:f>IF(AE365="prepare_public_github_candidate","add receipt/status then mirror","resolve blocker before any public GitHub action")</x:f>
        <x:v>add receipt/status then mirror</x:v>
      </x:c>
    </x:row>
    <x:row r="366">
      <x:c r="A366" s="15" t="str">
        <x:v>SWARM-03-H07-S05</x:v>
      </x:c>
      <x:c r="B366" s="15" t="str">
        <x:v>KairoBrain</x:v>
      </x:c>
      <x:c r="C366" s="15" t="str">
        <x:v>Temporal strata keeper</x:v>
      </x:c>
      <x:c r="D366" s="15" t="str">
        <x:v>Graph Node Proposals</x:v>
      </x:c>
      <x:c r="E366" s="15" t="str">
        <x:v>Chat</x:v>
      </x:c>
      <x:c r="F366" s="15" t="str">
        <x:v>Propose graph nodes for Chat — KairoBrain</x:v>
      </x:c>
      <x:c r="G366" s="15" t="str">
        <x:v>staleness / versioning / supersession</x:v>
      </x:c>
      <x:c r="H366" s="15" t="str">
        <x:v>source path + receipt + raw/export status + claim/edge/risk delta</x:v>
      </x:c>
      <x:c r="I366" s="15" t="str">
        <x:v>packet/SWARM-03-H07-S05</x:v>
      </x:c>
      <x:c r="J366" s="15" t="str">
        <x:v>TODO</x:v>
      </x:c>
      <x:c r="K366" s="15" t="str">
        <x:v>P1</x:v>
      </x:c>
      <x:c r="L366" s="15" t="str">
        <x:v>Done only when evidence is logged, contradiction search is noted, and boundary stamp remains non-canon unless ratified</x:v>
      </x:c>
      <x:c r="M366" s="15" t="str">
        <x:v>candidate / staging-only / not canon / not deployed / authority none</x:v>
      </x:c>
      <x:c r="N366" s="15" t="str">
        <x:v>Dispatch to KairoBrain: complete Graph Node Proposals x Chat; return deltas only, receipts required.</x:v>
      </x:c>
      <x:c r="O366" s="15" t="str">
        <x:v>AF-KG-H07-S05</x:v>
      </x:c>
      <x:c r="P366" s="15" t="str">
        <x:v>Unverified</x:v>
      </x:c>
      <x:c r="Q366" s="15" t="str">
        <x:v>Not checked</x:v>
      </x:c>
      <x:c r="R366" s="15" t="str"/>
      <x:c r="S366" s="15" t="str"/>
      <x:c r="T366" s="15" t="str">
        <x:v>Log first source path or blocker</x:v>
      </x:c>
      <x:c r="U366" s="12" t="str">
        <x:f>IF(OR(P366="Unverified",Q366="Not checked"),"BLOCKED_PENDING_RECEIPT","READY_FOR_REVIEW")</x:f>
        <x:v>BLOCKED_PENDING_RECEIPT</x:v>
      </x:c>
      <x:c r="V366" s="12" t="str">
        <x:f>IF(J366="DONE","RETURNED",IF(U366="BLOCKED_PENDING_RECEIPT","SOURCE_TOUCH_REQUIRED","IN_PROGRESS"))</x:f>
        <x:v>SOURCE_TOUCH_REQUIRED</x:v>
      </x:c>
      <x:c r="W366" s="12" t="str">
        <x:f>IF(P366="Unverified","missing_receipt","receipt_logged")</x:f>
        <x:v>missing_receipt</x:v>
      </x:c>
      <x:c r="X366" s="12" t="str">
        <x:f>IF(Q366="Not checked","raw_status_missing","raw_status_logged")</x:f>
        <x:v>raw_status_missing</x:v>
      </x:c>
      <x:c r="Y366" s="12" t="str">
        <x:f>IF(U366="BLOCKED_PENDING_RECEIPT","Log source path or blocker; do not promote","Route to review lane")</x:f>
        <x:v>Log source path or blocker; do not promote</x:v>
      </x:c>
      <x:c r="Z366" s="12" t="str">
        <x:f>IF(K366="P0","Primary seat + Hashlight/Lucerna","Seat lane")</x:f>
        <x:v>Seat lane</x:v>
      </x:c>
      <x:c r="AA366" s="12" t="str">
        <x:f>IF(R366="","no_claim_delta","claim_delta_present")</x:f>
        <x:v>no_claim_delta</x:v>
      </x:c>
      <x:c r="AB366" s="12" t="str">
        <x:f>IF(S366="","no_contradiction_delta","contradiction_delta_present")</x:f>
        <x:v>no_contradiction_delta</x:v>
      </x:c>
      <x:c r="AC366" s="12" t="str">
        <x:f>IF(OR(ISNUMBER(SEARCH("hacker",LOWER(F366&amp;" "&amp;H366&amp;" "&amp;I366&amp;" "&amp;M366&amp;" "&amp;N366&amp;" "&amp;T366))),ISNUMBER(SEARCH("hacking",LOWER(F366&amp;" "&amp;H366&amp;" "&amp;I366&amp;" "&amp;M366&amp;" "&amp;N366&amp;" "&amp;T366))),ISNUMBER(SEARCH("bank",LOWER(F366&amp;" "&amp;H366&amp;" "&amp;I366&amp;" "&amp;M366&amp;" "&amp;N366&amp;" "&amp;T366))),ISNUMBER(SEARCH("banking",LOWER(F366&amp;" "&amp;H366&amp;" "&amp;I366&amp;" "&amp;M366&amp;" "&amp;N366&amp;" "&amp;T366)))),"PRIVATE_QUARANTINE",IF(OR(ISNUMBER(SEARCH("treasury",LOWER(F366&amp;" "&amp;H366&amp;" "&amp;I366&amp;" "&amp;M366&amp;" "&amp;N366&amp;" "&amp;T366))),ISNUMBER(SEARCH("debt",LOWER(F366&amp;" "&amp;H366&amp;" "&amp;I366&amp;" "&amp;M366&amp;" "&amp;N366&amp;" "&amp;T366))),ISNUMBER(SEARCH("bond",LOWER(F366&amp;" "&amp;H366&amp;" "&amp;I366&amp;" "&amp;M366&amp;" "&amp;N366&amp;" "&amp;T366))),ISNUMBER(SEARCH("transaction",LOWER(F366&amp;" "&amp;H366&amp;" "&amp;I366&amp;" "&amp;M366&amp;" "&amp;N366&amp;" "&amp;T366)))),"PRIVATE_REVIEW","PUBLIC_CANDIDATE"))</x:f>
        <x:v>PUBLIC_CANDIDATE</x:v>
      </x:c>
      <x:c r="AD366" s="12" t="str">
        <x:f>IF(AC366="PRIVATE_QUARANTINE","hacker_or_bank_trigger",IF(AC366="PRIVATE_REVIEW","finance_risk_trigger","none"))</x:f>
        <x:v>none</x:v>
      </x:c>
      <x:c r="AE366" s="12" t="str">
        <x:f>IF(AC366="PUBLIC_CANDIDATE","prepare_public_github_candidate",IF(AC366="PRIVATE_REVIEW","hold_for_private_review","quarantine_private_do_not_publish"))</x:f>
        <x:v>prepare_public_github_candidate</x:v>
      </x:c>
      <x:c r="AF366" s="12" t="str">
        <x:f>IF(AC366="PUBLIC_CANDIDATE","TIDELOCK + Lucerna",IF(AC366="PRIVATE_REVIEW","AtlasBrain + Lucerna","TIDELOCK + Lucerna + Human-root"))</x:f>
        <x:v>TIDELOCK + Lucerna</x:v>
      </x:c>
      <x:c r="AG366" s="12" t="str">
        <x:f>IF(AND(AC366="PUBLIC_CANDIDATE",U366&lt;&gt;"BLOCKED_PENDING_RECEIPT"),"READY_AFTER_RECEIPT","NOT_READY")</x:f>
        <x:v>NOT_READY</x:v>
      </x:c>
      <x:c r="AH366" s="12" t="str">
        <x:f>IF(AC366="PUBLIC_CANDIDATE","none",AD366)</x:f>
        <x:v>none</x:v>
      </x:c>
      <x:c r="AI366" s="12" t="str">
        <x:f>IF(AC366="PUBLIC_CANDIDATE","archive/public_candidates/"&amp;A366,"private_quarantine/"&amp;A366)</x:f>
        <x:v>archive/public_candidates/SWARM-03-H07-S05</x:v>
      </x:c>
      <x:c r="AJ366" s="12" t="str">
        <x:f>IF(AC366="PUBLIC_CANDIDATE","public by default; still not canon","private/hold; do not publish")</x:f>
        <x:v>public by default; still not canon</x:v>
      </x:c>
      <x:c r="AK366" s="12" t="str">
        <x:f>IF(AE366="prepare_public_github_candidate","add receipt/status then mirror","resolve blocker before any public GitHub action")</x:f>
        <x:v>add receipt/status then mirror</x:v>
      </x:c>
    </x:row>
    <x:row r="367">
      <x:c r="A367" s="15" t="str">
        <x:v>SWARM-03-H07-S06</x:v>
      </x:c>
      <x:c r="B367" s="15" t="str">
        <x:v>KairoBrain</x:v>
      </x:c>
      <x:c r="C367" s="15" t="str">
        <x:v>Temporal strata keeper</x:v>
      </x:c>
      <x:c r="D367" s="15" t="str">
        <x:v>Graph Node Proposals</x:v>
      </x:c>
      <x:c r="E367" s="15" t="str">
        <x:v>External Web</x:v>
      </x:c>
      <x:c r="F367" s="15" t="str">
        <x:v>Propose graph nodes for External Web — KairoBrain</x:v>
      </x:c>
      <x:c r="G367" s="15" t="str">
        <x:v>staleness / versioning / supersession</x:v>
      </x:c>
      <x:c r="H367" s="15" t="str">
        <x:v>source path + receipt + raw/export status + claim/edge/risk delta</x:v>
      </x:c>
      <x:c r="I367" s="15" t="str">
        <x:v>packet/SWARM-03-H07-S06</x:v>
      </x:c>
      <x:c r="J367" s="15" t="str">
        <x:v>TODO</x:v>
      </x:c>
      <x:c r="K367" s="15" t="str">
        <x:v>P1</x:v>
      </x:c>
      <x:c r="L367" s="15" t="str">
        <x:v>Done only when evidence is logged, contradiction search is noted, and boundary stamp remains non-canon unless ratified</x:v>
      </x:c>
      <x:c r="M367" s="15" t="str">
        <x:v>candidate / staging-only / not canon / not deployed / authority none</x:v>
      </x:c>
      <x:c r="N367" s="15" t="str">
        <x:v>Dispatch to KairoBrain: complete Graph Node Proposals x External Web; return deltas only, receipts required.</x:v>
      </x:c>
      <x:c r="O367" s="15" t="str">
        <x:v>AF-KG-H07-S06</x:v>
      </x:c>
      <x:c r="P367" s="15" t="str">
        <x:v>Unverified</x:v>
      </x:c>
      <x:c r="Q367" s="15" t="str">
        <x:v>Not checked</x:v>
      </x:c>
      <x:c r="R367" s="15" t="str"/>
      <x:c r="S367" s="15" t="str"/>
      <x:c r="T367" s="15" t="str">
        <x:v>Log first source path or blocker</x:v>
      </x:c>
      <x:c r="U367" s="12" t="str">
        <x:f>IF(OR(P367="Unverified",Q367="Not checked"),"BLOCKED_PENDING_RECEIPT","READY_FOR_REVIEW")</x:f>
        <x:v>BLOCKED_PENDING_RECEIPT</x:v>
      </x:c>
      <x:c r="V367" s="12" t="str">
        <x:f>IF(J367="DONE","RETURNED",IF(U367="BLOCKED_PENDING_RECEIPT","SOURCE_TOUCH_REQUIRED","IN_PROGRESS"))</x:f>
        <x:v>SOURCE_TOUCH_REQUIRED</x:v>
      </x:c>
      <x:c r="W367" s="12" t="str">
        <x:f>IF(P367="Unverified","missing_receipt","receipt_logged")</x:f>
        <x:v>missing_receipt</x:v>
      </x:c>
      <x:c r="X367" s="12" t="str">
        <x:f>IF(Q367="Not checked","raw_status_missing","raw_status_logged")</x:f>
        <x:v>raw_status_missing</x:v>
      </x:c>
      <x:c r="Y367" s="12" t="str">
        <x:f>IF(U367="BLOCKED_PENDING_RECEIPT","Log source path or blocker; do not promote","Route to review lane")</x:f>
        <x:v>Log source path or blocker; do not promote</x:v>
      </x:c>
      <x:c r="Z367" s="12" t="str">
        <x:f>IF(K367="P0","Primary seat + Hashlight/Lucerna","Seat lane")</x:f>
        <x:v>Seat lane</x:v>
      </x:c>
      <x:c r="AA367" s="12" t="str">
        <x:f>IF(R367="","no_claim_delta","claim_delta_present")</x:f>
        <x:v>no_claim_delta</x:v>
      </x:c>
      <x:c r="AB367" s="12" t="str">
        <x:f>IF(S367="","no_contradiction_delta","contradiction_delta_present")</x:f>
        <x:v>no_contradiction_delta</x:v>
      </x:c>
      <x:c r="AC367" s="12" t="str">
        <x:f>IF(OR(ISNUMBER(SEARCH("hacker",LOWER(F367&amp;" "&amp;H367&amp;" "&amp;I367&amp;" "&amp;M367&amp;" "&amp;N367&amp;" "&amp;T367))),ISNUMBER(SEARCH("hacking",LOWER(F367&amp;" "&amp;H367&amp;" "&amp;I367&amp;" "&amp;M367&amp;" "&amp;N367&amp;" "&amp;T367))),ISNUMBER(SEARCH("bank",LOWER(F367&amp;" "&amp;H367&amp;" "&amp;I367&amp;" "&amp;M367&amp;" "&amp;N367&amp;" "&amp;T367))),ISNUMBER(SEARCH("banking",LOWER(F367&amp;" "&amp;H367&amp;" "&amp;I367&amp;" "&amp;M367&amp;" "&amp;N367&amp;" "&amp;T367)))),"PRIVATE_QUARANTINE",IF(OR(ISNUMBER(SEARCH("treasury",LOWER(F367&amp;" "&amp;H367&amp;" "&amp;I367&amp;" "&amp;M367&amp;" "&amp;N367&amp;" "&amp;T367))),ISNUMBER(SEARCH("debt",LOWER(F367&amp;" "&amp;H367&amp;" "&amp;I367&amp;" "&amp;M367&amp;" "&amp;N367&amp;" "&amp;T367))),ISNUMBER(SEARCH("bond",LOWER(F367&amp;" "&amp;H367&amp;" "&amp;I367&amp;" "&amp;M367&amp;" "&amp;N367&amp;" "&amp;T367))),ISNUMBER(SEARCH("transaction",LOWER(F367&amp;" "&amp;H367&amp;" "&amp;I367&amp;" "&amp;M367&amp;" "&amp;N367&amp;" "&amp;T367)))),"PRIVATE_REVIEW","PUBLIC_CANDIDATE"))</x:f>
        <x:v>PUBLIC_CANDIDATE</x:v>
      </x:c>
      <x:c r="AD367" s="12" t="str">
        <x:f>IF(AC367="PRIVATE_QUARANTINE","hacker_or_bank_trigger",IF(AC367="PRIVATE_REVIEW","finance_risk_trigger","none"))</x:f>
        <x:v>none</x:v>
      </x:c>
      <x:c r="AE367" s="12" t="str">
        <x:f>IF(AC367="PUBLIC_CANDIDATE","prepare_public_github_candidate",IF(AC367="PRIVATE_REVIEW","hold_for_private_review","quarantine_private_do_not_publish"))</x:f>
        <x:v>prepare_public_github_candidate</x:v>
      </x:c>
      <x:c r="AF367" s="12" t="str">
        <x:f>IF(AC367="PUBLIC_CANDIDATE","TIDELOCK + Lucerna",IF(AC367="PRIVATE_REVIEW","AtlasBrain + Lucerna","TIDELOCK + Lucerna + Human-root"))</x:f>
        <x:v>TIDELOCK + Lucerna</x:v>
      </x:c>
      <x:c r="AG367" s="12" t="str">
        <x:f>IF(AND(AC367="PUBLIC_CANDIDATE",U367&lt;&gt;"BLOCKED_PENDING_RECEIPT"),"READY_AFTER_RECEIPT","NOT_READY")</x:f>
        <x:v>NOT_READY</x:v>
      </x:c>
      <x:c r="AH367" s="12" t="str">
        <x:f>IF(AC367="PUBLIC_CANDIDATE","none",AD367)</x:f>
        <x:v>none</x:v>
      </x:c>
      <x:c r="AI367" s="12" t="str">
        <x:f>IF(AC367="PUBLIC_CANDIDATE","archive/public_candidates/"&amp;A367,"private_quarantine/"&amp;A367)</x:f>
        <x:v>archive/public_candidates/SWARM-03-H07-S06</x:v>
      </x:c>
      <x:c r="AJ367" s="12" t="str">
        <x:f>IF(AC367="PUBLIC_CANDIDATE","public by default; still not canon","private/hold; do not publish")</x:f>
        <x:v>public by default; still not canon</x:v>
      </x:c>
      <x:c r="AK367" s="12" t="str">
        <x:f>IF(AE367="prepare_public_github_candidate","add receipt/status then mirror","resolve blocker before any public GitHub action")</x:f>
        <x:v>add receipt/status then mirror</x:v>
      </x:c>
    </x:row>
    <x:row r="368">
      <x:c r="A368" s="15" t="str">
        <x:v>SWARM-03-H07-S07</x:v>
      </x:c>
      <x:c r="B368" s="15" t="str">
        <x:v>KairoBrain</x:v>
      </x:c>
      <x:c r="C368" s="15" t="str">
        <x:v>Temporal strata keeper</x:v>
      </x:c>
      <x:c r="D368" s="15" t="str">
        <x:v>Graph Node Proposals</x:v>
      </x:c>
      <x:c r="E368" s="15" t="str">
        <x:v>Planetarium</x:v>
      </x:c>
      <x:c r="F368" s="15" t="str">
        <x:v>Propose graph nodes for Planetarium — KairoBrain</x:v>
      </x:c>
      <x:c r="G368" s="15" t="str">
        <x:v>staleness / versioning / supersession</x:v>
      </x:c>
      <x:c r="H368" s="15" t="str">
        <x:v>source path + receipt + raw/export status + claim/edge/risk delta</x:v>
      </x:c>
      <x:c r="I368" s="15" t="str">
        <x:v>packet/SWARM-03-H07-S07</x:v>
      </x:c>
      <x:c r="J368" s="15" t="str">
        <x:v>TODO</x:v>
      </x:c>
      <x:c r="K368" s="15" t="str">
        <x:v>P1</x:v>
      </x:c>
      <x:c r="L368" s="15" t="str">
        <x:v>Done only when evidence is logged, contradiction search is noted, and boundary stamp remains non-canon unless ratified</x:v>
      </x:c>
      <x:c r="M368" s="15" t="str">
        <x:v>candidate / staging-only / not canon / not deployed / authority none</x:v>
      </x:c>
      <x:c r="N368" s="15" t="str">
        <x:v>Dispatch to KairoBrain: complete Graph Node Proposals x Planetarium; return deltas only, receipts required.</x:v>
      </x:c>
      <x:c r="O368" s="15" t="str">
        <x:v>AF-KG-H07-S07</x:v>
      </x:c>
      <x:c r="P368" s="15" t="str">
        <x:v>Unverified</x:v>
      </x:c>
      <x:c r="Q368" s="15" t="str">
        <x:v>Not checked</x:v>
      </x:c>
      <x:c r="R368" s="15" t="str"/>
      <x:c r="S368" s="15" t="str"/>
      <x:c r="T368" s="15" t="str">
        <x:v>Log first source path or blocker</x:v>
      </x:c>
      <x:c r="U368" s="12" t="str">
        <x:f>IF(OR(P368="Unverified",Q368="Not checked"),"BLOCKED_PENDING_RECEIPT","READY_FOR_REVIEW")</x:f>
        <x:v>BLOCKED_PENDING_RECEIPT</x:v>
      </x:c>
      <x:c r="V368" s="12" t="str">
        <x:f>IF(J368="DONE","RETURNED",IF(U368="BLOCKED_PENDING_RECEIPT","SOURCE_TOUCH_REQUIRED","IN_PROGRESS"))</x:f>
        <x:v>SOURCE_TOUCH_REQUIRED</x:v>
      </x:c>
      <x:c r="W368" s="12" t="str">
        <x:f>IF(P368="Unverified","missing_receipt","receipt_logged")</x:f>
        <x:v>missing_receipt</x:v>
      </x:c>
      <x:c r="X368" s="12" t="str">
        <x:f>IF(Q368="Not checked","raw_status_missing","raw_status_logged")</x:f>
        <x:v>raw_status_missing</x:v>
      </x:c>
      <x:c r="Y368" s="12" t="str">
        <x:f>IF(U368="BLOCKED_PENDING_RECEIPT","Log source path or blocker; do not promote","Route to review lane")</x:f>
        <x:v>Log source path or blocker; do not promote</x:v>
      </x:c>
      <x:c r="Z368" s="12" t="str">
        <x:f>IF(K368="P0","Primary seat + Hashlight/Lucerna","Seat lane")</x:f>
        <x:v>Seat lane</x:v>
      </x:c>
      <x:c r="AA368" s="12" t="str">
        <x:f>IF(R368="","no_claim_delta","claim_delta_present")</x:f>
        <x:v>no_claim_delta</x:v>
      </x:c>
      <x:c r="AB368" s="12" t="str">
        <x:f>IF(S368="","no_contradiction_delta","contradiction_delta_present")</x:f>
        <x:v>no_contradiction_delta</x:v>
      </x:c>
      <x:c r="AC368" s="12" t="str">
        <x:f>IF(OR(ISNUMBER(SEARCH("hacker",LOWER(F368&amp;" "&amp;H368&amp;" "&amp;I368&amp;" "&amp;M368&amp;" "&amp;N368&amp;" "&amp;T368))),ISNUMBER(SEARCH("hacking",LOWER(F368&amp;" "&amp;H368&amp;" "&amp;I368&amp;" "&amp;M368&amp;" "&amp;N368&amp;" "&amp;T368))),ISNUMBER(SEARCH("bank",LOWER(F368&amp;" "&amp;H368&amp;" "&amp;I368&amp;" "&amp;M368&amp;" "&amp;N368&amp;" "&amp;T368))),ISNUMBER(SEARCH("banking",LOWER(F368&amp;" "&amp;H368&amp;" "&amp;I368&amp;" "&amp;M368&amp;" "&amp;N368&amp;" "&amp;T368)))),"PRIVATE_QUARANTINE",IF(OR(ISNUMBER(SEARCH("treasury",LOWER(F368&amp;" "&amp;H368&amp;" "&amp;I368&amp;" "&amp;M368&amp;" "&amp;N368&amp;" "&amp;T368))),ISNUMBER(SEARCH("debt",LOWER(F368&amp;" "&amp;H368&amp;" "&amp;I368&amp;" "&amp;M368&amp;" "&amp;N368&amp;" "&amp;T368))),ISNUMBER(SEARCH("bond",LOWER(F368&amp;" "&amp;H368&amp;" "&amp;I368&amp;" "&amp;M368&amp;" "&amp;N368&amp;" "&amp;T368))),ISNUMBER(SEARCH("transaction",LOWER(F368&amp;" "&amp;H368&amp;" "&amp;I368&amp;" "&amp;M368&amp;" "&amp;N368&amp;" "&amp;T368)))),"PRIVATE_REVIEW","PUBLIC_CANDIDATE"))</x:f>
        <x:v>PUBLIC_CANDIDATE</x:v>
      </x:c>
      <x:c r="AD368" s="12" t="str">
        <x:f>IF(AC368="PRIVATE_QUARANTINE","hacker_or_bank_trigger",IF(AC368="PRIVATE_REVIEW","finance_risk_trigger","none"))</x:f>
        <x:v>none</x:v>
      </x:c>
      <x:c r="AE368" s="12" t="str">
        <x:f>IF(AC368="PUBLIC_CANDIDATE","prepare_public_github_candidate",IF(AC368="PRIVATE_REVIEW","hold_for_private_review","quarantine_private_do_not_publish"))</x:f>
        <x:v>prepare_public_github_candidate</x:v>
      </x:c>
      <x:c r="AF368" s="12" t="str">
        <x:f>IF(AC368="PUBLIC_CANDIDATE","TIDELOCK + Lucerna",IF(AC368="PRIVATE_REVIEW","AtlasBrain + Lucerna","TIDELOCK + Lucerna + Human-root"))</x:f>
        <x:v>TIDELOCK + Lucerna</x:v>
      </x:c>
      <x:c r="AG368" s="12" t="str">
        <x:f>IF(AND(AC368="PUBLIC_CANDIDATE",U368&lt;&gt;"BLOCKED_PENDING_RECEIPT"),"READY_AFTER_RECEIPT","NOT_READY")</x:f>
        <x:v>NOT_READY</x:v>
      </x:c>
      <x:c r="AH368" s="12" t="str">
        <x:f>IF(AC368="PUBLIC_CANDIDATE","none",AD368)</x:f>
        <x:v>none</x:v>
      </x:c>
      <x:c r="AI368" s="12" t="str">
        <x:f>IF(AC368="PUBLIC_CANDIDATE","archive/public_candidates/"&amp;A368,"private_quarantine/"&amp;A368)</x:f>
        <x:v>archive/public_candidates/SWARM-03-H07-S07</x:v>
      </x:c>
      <x:c r="AJ368" s="12" t="str">
        <x:f>IF(AC368="PUBLIC_CANDIDATE","public by default; still not canon","private/hold; do not publish")</x:f>
        <x:v>public by default; still not canon</x:v>
      </x:c>
      <x:c r="AK368" s="12" t="str">
        <x:f>IF(AE368="prepare_public_github_candidate","add receipt/status then mirror","resolve blocker before any public GitHub action")</x:f>
        <x:v>add receipt/status then mirror</x:v>
      </x:c>
    </x:row>
    <x:row r="369">
      <x:c r="A369" s="15" t="str">
        <x:v>SWARM-03-H07-S08</x:v>
      </x:c>
      <x:c r="B369" s="15" t="str">
        <x:v>KairoBrain</x:v>
      </x:c>
      <x:c r="C369" s="15" t="str">
        <x:v>Temporal strata keeper</x:v>
      </x:c>
      <x:c r="D369" s="15" t="str">
        <x:v>Graph Node Proposals</x:v>
      </x:c>
      <x:c r="E369" s="15" t="str">
        <x:v>Sheldonbrain</x:v>
      </x:c>
      <x:c r="F369" s="15" t="str">
        <x:v>Propose graph nodes for Sheldonbrain — KairoBrain</x:v>
      </x:c>
      <x:c r="G369" s="15" t="str">
        <x:v>staleness / versioning / supersession</x:v>
      </x:c>
      <x:c r="H369" s="15" t="str">
        <x:v>source path + receipt + raw/export status + claim/edge/risk delta</x:v>
      </x:c>
      <x:c r="I369" s="15" t="str">
        <x:v>packet/SWARM-03-H07-S08</x:v>
      </x:c>
      <x:c r="J369" s="15" t="str">
        <x:v>TODO</x:v>
      </x:c>
      <x:c r="K369" s="15" t="str">
        <x:v>P1</x:v>
      </x:c>
      <x:c r="L369" s="15" t="str">
        <x:v>Done only when evidence is logged, contradiction search is noted, and boundary stamp remains non-canon unless ratified</x:v>
      </x:c>
      <x:c r="M369" s="15" t="str">
        <x:v>candidate / staging-only / not canon / not deployed / authority none</x:v>
      </x:c>
      <x:c r="N369" s="15" t="str">
        <x:v>Dispatch to KairoBrain: complete Graph Node Proposals x Sheldonbrain; return deltas only, receipts required.</x:v>
      </x:c>
      <x:c r="O369" s="15" t="str">
        <x:v>AF-KG-H07-S08</x:v>
      </x:c>
      <x:c r="P369" s="15" t="str">
        <x:v>Unverified</x:v>
      </x:c>
      <x:c r="Q369" s="15" t="str">
        <x:v>Not checked</x:v>
      </x:c>
      <x:c r="R369" s="15" t="str"/>
      <x:c r="S369" s="15" t="str"/>
      <x:c r="T369" s="15" t="str">
        <x:v>Log first source path or blocker</x:v>
      </x:c>
      <x:c r="U369" s="12" t="str">
        <x:f>IF(OR(P369="Unverified",Q369="Not checked"),"BLOCKED_PENDING_RECEIPT","READY_FOR_REVIEW")</x:f>
        <x:v>BLOCKED_PENDING_RECEIPT</x:v>
      </x:c>
      <x:c r="V369" s="12" t="str">
        <x:f>IF(J369="DONE","RETURNED",IF(U369="BLOCKED_PENDING_RECEIPT","SOURCE_TOUCH_REQUIRED","IN_PROGRESS"))</x:f>
        <x:v>SOURCE_TOUCH_REQUIRED</x:v>
      </x:c>
      <x:c r="W369" s="12" t="str">
        <x:f>IF(P369="Unverified","missing_receipt","receipt_logged")</x:f>
        <x:v>missing_receipt</x:v>
      </x:c>
      <x:c r="X369" s="12" t="str">
        <x:f>IF(Q369="Not checked","raw_status_missing","raw_status_logged")</x:f>
        <x:v>raw_status_missing</x:v>
      </x:c>
      <x:c r="Y369" s="12" t="str">
        <x:f>IF(U369="BLOCKED_PENDING_RECEIPT","Log source path or blocker; do not promote","Route to review lane")</x:f>
        <x:v>Log source path or blocker; do not promote</x:v>
      </x:c>
      <x:c r="Z369" s="12" t="str">
        <x:f>IF(K369="P0","Primary seat + Hashlight/Lucerna","Seat lane")</x:f>
        <x:v>Seat lane</x:v>
      </x:c>
      <x:c r="AA369" s="12" t="str">
        <x:f>IF(R369="","no_claim_delta","claim_delta_present")</x:f>
        <x:v>no_claim_delta</x:v>
      </x:c>
      <x:c r="AB369" s="12" t="str">
        <x:f>IF(S369="","no_contradiction_delta","contradiction_delta_present")</x:f>
        <x:v>no_contradiction_delta</x:v>
      </x:c>
      <x:c r="AC369" s="12" t="str">
        <x:f>IF(OR(ISNUMBER(SEARCH("hacker",LOWER(F369&amp;" "&amp;H369&amp;" "&amp;I369&amp;" "&amp;M369&amp;" "&amp;N369&amp;" "&amp;T369))),ISNUMBER(SEARCH("hacking",LOWER(F369&amp;" "&amp;H369&amp;" "&amp;I369&amp;" "&amp;M369&amp;" "&amp;N369&amp;" "&amp;T369))),ISNUMBER(SEARCH("bank",LOWER(F369&amp;" "&amp;H369&amp;" "&amp;I369&amp;" "&amp;M369&amp;" "&amp;N369&amp;" "&amp;T369))),ISNUMBER(SEARCH("banking",LOWER(F369&amp;" "&amp;H369&amp;" "&amp;I369&amp;" "&amp;M369&amp;" "&amp;N369&amp;" "&amp;T369)))),"PRIVATE_QUARANTINE",IF(OR(ISNUMBER(SEARCH("treasury",LOWER(F369&amp;" "&amp;H369&amp;" "&amp;I369&amp;" "&amp;M369&amp;" "&amp;N369&amp;" "&amp;T369))),ISNUMBER(SEARCH("debt",LOWER(F369&amp;" "&amp;H369&amp;" "&amp;I369&amp;" "&amp;M369&amp;" "&amp;N369&amp;" "&amp;T369))),ISNUMBER(SEARCH("bond",LOWER(F369&amp;" "&amp;H369&amp;" "&amp;I369&amp;" "&amp;M369&amp;" "&amp;N369&amp;" "&amp;T369))),ISNUMBER(SEARCH("transaction",LOWER(F369&amp;" "&amp;H369&amp;" "&amp;I369&amp;" "&amp;M369&amp;" "&amp;N369&amp;" "&amp;T369)))),"PRIVATE_REVIEW","PUBLIC_CANDIDATE"))</x:f>
        <x:v>PUBLIC_CANDIDATE</x:v>
      </x:c>
      <x:c r="AD369" s="12" t="str">
        <x:f>IF(AC369="PRIVATE_QUARANTINE","hacker_or_bank_trigger",IF(AC369="PRIVATE_REVIEW","finance_risk_trigger","none"))</x:f>
        <x:v>none</x:v>
      </x:c>
      <x:c r="AE369" s="12" t="str">
        <x:f>IF(AC369="PUBLIC_CANDIDATE","prepare_public_github_candidate",IF(AC369="PRIVATE_REVIEW","hold_for_private_review","quarantine_private_do_not_publish"))</x:f>
        <x:v>prepare_public_github_candidate</x:v>
      </x:c>
      <x:c r="AF369" s="12" t="str">
        <x:f>IF(AC369="PUBLIC_CANDIDATE","TIDELOCK + Lucerna",IF(AC369="PRIVATE_REVIEW","AtlasBrain + Lucerna","TIDELOCK + Lucerna + Human-root"))</x:f>
        <x:v>TIDELOCK + Lucerna</x:v>
      </x:c>
      <x:c r="AG369" s="12" t="str">
        <x:f>IF(AND(AC369="PUBLIC_CANDIDATE",U369&lt;&gt;"BLOCKED_PENDING_RECEIPT"),"READY_AFTER_RECEIPT","NOT_READY")</x:f>
        <x:v>NOT_READY</x:v>
      </x:c>
      <x:c r="AH369" s="12" t="str">
        <x:f>IF(AC369="PUBLIC_CANDIDATE","none",AD369)</x:f>
        <x:v>none</x:v>
      </x:c>
      <x:c r="AI369" s="12" t="str">
        <x:f>IF(AC369="PUBLIC_CANDIDATE","archive/public_candidates/"&amp;A369,"private_quarantine/"&amp;A369)</x:f>
        <x:v>archive/public_candidates/SWARM-03-H07-S08</x:v>
      </x:c>
      <x:c r="AJ369" s="12" t="str">
        <x:f>IF(AC369="PUBLIC_CANDIDATE","public by default; still not canon","private/hold; do not publish")</x:f>
        <x:v>public by default; still not canon</x:v>
      </x:c>
      <x:c r="AK369" s="12" t="str">
        <x:f>IF(AE369="prepare_public_github_candidate","add receipt/status then mirror","resolve blocker before any public GitHub action")</x:f>
        <x:v>add receipt/status then mirror</x:v>
      </x:c>
    </x:row>
    <x:row r="370">
      <x:c r="A370" s="15" t="str">
        <x:v>SWARM-03-H07-S09</x:v>
      </x:c>
      <x:c r="B370" s="15" t="str">
        <x:v>KairoBrain</x:v>
      </x:c>
      <x:c r="C370" s="15" t="str">
        <x:v>Temporal strata keeper</x:v>
      </x:c>
      <x:c r="D370" s="15" t="str">
        <x:v>Graph Node Proposals</x:v>
      </x:c>
      <x:c r="E370" s="15" t="str">
        <x:v>Aetherforge</x:v>
      </x:c>
      <x:c r="F370" s="15" t="str">
        <x:v>Propose graph nodes for Aetherforge — KairoBrain</x:v>
      </x:c>
      <x:c r="G370" s="15" t="str">
        <x:v>staleness / versioning / supersession</x:v>
      </x:c>
      <x:c r="H370" s="15" t="str">
        <x:v>source path + receipt + raw/export status + claim/edge/risk delta</x:v>
      </x:c>
      <x:c r="I370" s="15" t="str">
        <x:v>packet/SWARM-03-H07-S09</x:v>
      </x:c>
      <x:c r="J370" s="15" t="str">
        <x:v>TODO</x:v>
      </x:c>
      <x:c r="K370" s="15" t="str">
        <x:v>P2</x:v>
      </x:c>
      <x:c r="L370" s="15" t="str">
        <x:v>Done only when evidence is logged, contradiction search is noted, and boundary stamp remains non-canon unless ratified</x:v>
      </x:c>
      <x:c r="M370" s="15" t="str">
        <x:v>candidate / staging-only / not canon / not deployed / authority none</x:v>
      </x:c>
      <x:c r="N370" s="15" t="str">
        <x:v>Dispatch to KairoBrain: complete Graph Node Proposals x Aetherforge; return deltas only, receipts required.</x:v>
      </x:c>
      <x:c r="O370" s="15" t="str">
        <x:v>AF-KG-H07-S09</x:v>
      </x:c>
      <x:c r="P370" s="15" t="str">
        <x:v>Unverified</x:v>
      </x:c>
      <x:c r="Q370" s="15" t="str">
        <x:v>Not checked</x:v>
      </x:c>
      <x:c r="R370" s="15" t="str"/>
      <x:c r="S370" s="15" t="str"/>
      <x:c r="T370" s="15" t="str">
        <x:v>Log first source path or blocker</x:v>
      </x:c>
      <x:c r="U370" s="12" t="str">
        <x:f>IF(OR(P370="Unverified",Q370="Not checked"),"BLOCKED_PENDING_RECEIPT","READY_FOR_REVIEW")</x:f>
        <x:v>BLOCKED_PENDING_RECEIPT</x:v>
      </x:c>
      <x:c r="V370" s="12" t="str">
        <x:f>IF(J370="DONE","RETURNED",IF(U370="BLOCKED_PENDING_RECEIPT","SOURCE_TOUCH_REQUIRED","IN_PROGRESS"))</x:f>
        <x:v>SOURCE_TOUCH_REQUIRED</x:v>
      </x:c>
      <x:c r="W370" s="12" t="str">
        <x:f>IF(P370="Unverified","missing_receipt","receipt_logged")</x:f>
        <x:v>missing_receipt</x:v>
      </x:c>
      <x:c r="X370" s="12" t="str">
        <x:f>IF(Q370="Not checked","raw_status_missing","raw_status_logged")</x:f>
        <x:v>raw_status_missing</x:v>
      </x:c>
      <x:c r="Y370" s="12" t="str">
        <x:f>IF(U370="BLOCKED_PENDING_RECEIPT","Log source path or blocker; do not promote","Route to review lane")</x:f>
        <x:v>Log source path or blocker; do not promote</x:v>
      </x:c>
      <x:c r="Z370" s="12" t="str">
        <x:f>IF(K370="P0","Primary seat + Hashlight/Lucerna","Seat lane")</x:f>
        <x:v>Seat lane</x:v>
      </x:c>
      <x:c r="AA370" s="12" t="str">
        <x:f>IF(R370="","no_claim_delta","claim_delta_present")</x:f>
        <x:v>no_claim_delta</x:v>
      </x:c>
      <x:c r="AB370" s="12" t="str">
        <x:f>IF(S370="","no_contradiction_delta","contradiction_delta_present")</x:f>
        <x:v>no_contradiction_delta</x:v>
      </x:c>
      <x:c r="AC370" s="12" t="str">
        <x:f>IF(OR(ISNUMBER(SEARCH("hacker",LOWER(F370&amp;" "&amp;H370&amp;" "&amp;I370&amp;" "&amp;M370&amp;" "&amp;N370&amp;" "&amp;T370))),ISNUMBER(SEARCH("hacking",LOWER(F370&amp;" "&amp;H370&amp;" "&amp;I370&amp;" "&amp;M370&amp;" "&amp;N370&amp;" "&amp;T370))),ISNUMBER(SEARCH("bank",LOWER(F370&amp;" "&amp;H370&amp;" "&amp;I370&amp;" "&amp;M370&amp;" "&amp;N370&amp;" "&amp;T370))),ISNUMBER(SEARCH("banking",LOWER(F370&amp;" "&amp;H370&amp;" "&amp;I370&amp;" "&amp;M370&amp;" "&amp;N370&amp;" "&amp;T370)))),"PRIVATE_QUARANTINE",IF(OR(ISNUMBER(SEARCH("treasury",LOWER(F370&amp;" "&amp;H370&amp;" "&amp;I370&amp;" "&amp;M370&amp;" "&amp;N370&amp;" "&amp;T370))),ISNUMBER(SEARCH("debt",LOWER(F370&amp;" "&amp;H370&amp;" "&amp;I370&amp;" "&amp;M370&amp;" "&amp;N370&amp;" "&amp;T370))),ISNUMBER(SEARCH("bond",LOWER(F370&amp;" "&amp;H370&amp;" "&amp;I370&amp;" "&amp;M370&amp;" "&amp;N370&amp;" "&amp;T370))),ISNUMBER(SEARCH("transaction",LOWER(F370&amp;" "&amp;H370&amp;" "&amp;I370&amp;" "&amp;M370&amp;" "&amp;N370&amp;" "&amp;T370)))),"PRIVATE_REVIEW","PUBLIC_CANDIDATE"))</x:f>
        <x:v>PUBLIC_CANDIDATE</x:v>
      </x:c>
      <x:c r="AD370" s="12" t="str">
        <x:f>IF(AC370="PRIVATE_QUARANTINE","hacker_or_bank_trigger",IF(AC370="PRIVATE_REVIEW","finance_risk_trigger","none"))</x:f>
        <x:v>none</x:v>
      </x:c>
      <x:c r="AE370" s="12" t="str">
        <x:f>IF(AC370="PUBLIC_CANDIDATE","prepare_public_github_candidate",IF(AC370="PRIVATE_REVIEW","hold_for_private_review","quarantine_private_do_not_publish"))</x:f>
        <x:v>prepare_public_github_candidate</x:v>
      </x:c>
      <x:c r="AF370" s="12" t="str">
        <x:f>IF(AC370="PUBLIC_CANDIDATE","TIDELOCK + Lucerna",IF(AC370="PRIVATE_REVIEW","AtlasBrain + Lucerna","TIDELOCK + Lucerna + Human-root"))</x:f>
        <x:v>TIDELOCK + Lucerna</x:v>
      </x:c>
      <x:c r="AG370" s="12" t="str">
        <x:f>IF(AND(AC370="PUBLIC_CANDIDATE",U370&lt;&gt;"BLOCKED_PENDING_RECEIPT"),"READY_AFTER_RECEIPT","NOT_READY")</x:f>
        <x:v>NOT_READY</x:v>
      </x:c>
      <x:c r="AH370" s="12" t="str">
        <x:f>IF(AC370="PUBLIC_CANDIDATE","none",AD370)</x:f>
        <x:v>none</x:v>
      </x:c>
      <x:c r="AI370" s="12" t="str">
        <x:f>IF(AC370="PUBLIC_CANDIDATE","archive/public_candidates/"&amp;A370,"private_quarantine/"&amp;A370)</x:f>
        <x:v>archive/public_candidates/SWARM-03-H07-S09</x:v>
      </x:c>
      <x:c r="AJ370" s="12" t="str">
        <x:f>IF(AC370="PUBLIC_CANDIDATE","public by default; still not canon","private/hold; do not publish")</x:f>
        <x:v>public by default; still not canon</x:v>
      </x:c>
      <x:c r="AK370" s="12" t="str">
        <x:f>IF(AE370="prepare_public_github_candidate","add receipt/status then mirror","resolve blocker before any public GitHub action")</x:f>
        <x:v>add receipt/status then mirror</x:v>
      </x:c>
    </x:row>
    <x:row r="371">
      <x:c r="A371" s="15" t="str">
        <x:v>SWARM-03-H07-S10</x:v>
      </x:c>
      <x:c r="B371" s="15" t="str">
        <x:v>KairoBrain</x:v>
      </x:c>
      <x:c r="C371" s="15" t="str">
        <x:v>Temporal strata keeper</x:v>
      </x:c>
      <x:c r="D371" s="15" t="str">
        <x:v>Graph Node Proposals</x:v>
      </x:c>
      <x:c r="E371" s="15" t="str">
        <x:v>Human-Root</x:v>
      </x:c>
      <x:c r="F371" s="15" t="str">
        <x:v>Propose graph nodes for Human-Root — KairoBrain</x:v>
      </x:c>
      <x:c r="G371" s="15" t="str">
        <x:v>staleness / versioning / supersession</x:v>
      </x:c>
      <x:c r="H371" s="15" t="str">
        <x:v>source path + receipt + raw/export status + claim/edge/risk delta</x:v>
      </x:c>
      <x:c r="I371" s="15" t="str">
        <x:v>packet/SWARM-03-H07-S10</x:v>
      </x:c>
      <x:c r="J371" s="15" t="str">
        <x:v>TODO</x:v>
      </x:c>
      <x:c r="K371" s="15" t="str">
        <x:v>P2</x:v>
      </x:c>
      <x:c r="L371" s="15" t="str">
        <x:v>Done only when evidence is logged, contradiction search is noted, and boundary stamp remains non-canon unless ratified</x:v>
      </x:c>
      <x:c r="M371" s="15" t="str">
        <x:v>candidate / staging-only / not canon / not deployed / authority none</x:v>
      </x:c>
      <x:c r="N371" s="15" t="str">
        <x:v>Dispatch to KairoBrain: complete Graph Node Proposals x Human-Root; return deltas only, receipts required.</x:v>
      </x:c>
      <x:c r="O371" s="15" t="str">
        <x:v>AF-KG-H07-S10</x:v>
      </x:c>
      <x:c r="P371" s="15" t="str">
        <x:v>Unverified</x:v>
      </x:c>
      <x:c r="Q371" s="15" t="str">
        <x:v>Not checked</x:v>
      </x:c>
      <x:c r="R371" s="15" t="str"/>
      <x:c r="S371" s="15" t="str"/>
      <x:c r="T371" s="15" t="str">
        <x:v>Log first source path or blocker</x:v>
      </x:c>
      <x:c r="U371" s="12" t="str">
        <x:f>IF(OR(P371="Unverified",Q371="Not checked"),"BLOCKED_PENDING_RECEIPT","READY_FOR_REVIEW")</x:f>
        <x:v>BLOCKED_PENDING_RECEIPT</x:v>
      </x:c>
      <x:c r="V371" s="12" t="str">
        <x:f>IF(J371="DONE","RETURNED",IF(U371="BLOCKED_PENDING_RECEIPT","SOURCE_TOUCH_REQUIRED","IN_PROGRESS"))</x:f>
        <x:v>SOURCE_TOUCH_REQUIRED</x:v>
      </x:c>
      <x:c r="W371" s="12" t="str">
        <x:f>IF(P371="Unverified","missing_receipt","receipt_logged")</x:f>
        <x:v>missing_receipt</x:v>
      </x:c>
      <x:c r="X371" s="12" t="str">
        <x:f>IF(Q371="Not checked","raw_status_missing","raw_status_logged")</x:f>
        <x:v>raw_status_missing</x:v>
      </x:c>
      <x:c r="Y371" s="12" t="str">
        <x:f>IF(U371="BLOCKED_PENDING_RECEIPT","Log source path or blocker; do not promote","Route to review lane")</x:f>
        <x:v>Log source path or blocker; do not promote</x:v>
      </x:c>
      <x:c r="Z371" s="12" t="str">
        <x:f>IF(K371="P0","Primary seat + Hashlight/Lucerna","Seat lane")</x:f>
        <x:v>Seat lane</x:v>
      </x:c>
      <x:c r="AA371" s="12" t="str">
        <x:f>IF(R371="","no_claim_delta","claim_delta_present")</x:f>
        <x:v>no_claim_delta</x:v>
      </x:c>
      <x:c r="AB371" s="12" t="str">
        <x:f>IF(S371="","no_contradiction_delta","contradiction_delta_present")</x:f>
        <x:v>no_contradiction_delta</x:v>
      </x:c>
      <x:c r="AC371" s="12" t="str">
        <x:f>IF(OR(ISNUMBER(SEARCH("hacker",LOWER(F371&amp;" "&amp;H371&amp;" "&amp;I371&amp;" "&amp;M371&amp;" "&amp;N371&amp;" "&amp;T371))),ISNUMBER(SEARCH("hacking",LOWER(F371&amp;" "&amp;H371&amp;" "&amp;I371&amp;" "&amp;M371&amp;" "&amp;N371&amp;" "&amp;T371))),ISNUMBER(SEARCH("bank",LOWER(F371&amp;" "&amp;H371&amp;" "&amp;I371&amp;" "&amp;M371&amp;" "&amp;N371&amp;" "&amp;T371))),ISNUMBER(SEARCH("banking",LOWER(F371&amp;" "&amp;H371&amp;" "&amp;I371&amp;" "&amp;M371&amp;" "&amp;N371&amp;" "&amp;T371)))),"PRIVATE_QUARANTINE",IF(OR(ISNUMBER(SEARCH("treasury",LOWER(F371&amp;" "&amp;H371&amp;" "&amp;I371&amp;" "&amp;M371&amp;" "&amp;N371&amp;" "&amp;T371))),ISNUMBER(SEARCH("debt",LOWER(F371&amp;" "&amp;H371&amp;" "&amp;I371&amp;" "&amp;M371&amp;" "&amp;N371&amp;" "&amp;T371))),ISNUMBER(SEARCH("bond",LOWER(F371&amp;" "&amp;H371&amp;" "&amp;I371&amp;" "&amp;M371&amp;" "&amp;N371&amp;" "&amp;T371))),ISNUMBER(SEARCH("transaction",LOWER(F371&amp;" "&amp;H371&amp;" "&amp;I371&amp;" "&amp;M371&amp;" "&amp;N371&amp;" "&amp;T371)))),"PRIVATE_REVIEW","PUBLIC_CANDIDATE"))</x:f>
        <x:v>PUBLIC_CANDIDATE</x:v>
      </x:c>
      <x:c r="AD371" s="12" t="str">
        <x:f>IF(AC371="PRIVATE_QUARANTINE","hacker_or_bank_trigger",IF(AC371="PRIVATE_REVIEW","finance_risk_trigger","none"))</x:f>
        <x:v>none</x:v>
      </x:c>
      <x:c r="AE371" s="12" t="str">
        <x:f>IF(AC371="PUBLIC_CANDIDATE","prepare_public_github_candidate",IF(AC371="PRIVATE_REVIEW","hold_for_private_review","quarantine_private_do_not_publish"))</x:f>
        <x:v>prepare_public_github_candidate</x:v>
      </x:c>
      <x:c r="AF371" s="12" t="str">
        <x:f>IF(AC371="PUBLIC_CANDIDATE","TIDELOCK + Lucerna",IF(AC371="PRIVATE_REVIEW","AtlasBrain + Lucerna","TIDELOCK + Lucerna + Human-root"))</x:f>
        <x:v>TIDELOCK + Lucerna</x:v>
      </x:c>
      <x:c r="AG371" s="12" t="str">
        <x:f>IF(AND(AC371="PUBLIC_CANDIDATE",U371&lt;&gt;"BLOCKED_PENDING_RECEIPT"),"READY_AFTER_RECEIPT","NOT_READY")</x:f>
        <x:v>NOT_READY</x:v>
      </x:c>
      <x:c r="AH371" s="12" t="str">
        <x:f>IF(AC371="PUBLIC_CANDIDATE","none",AD371)</x:f>
        <x:v>none</x:v>
      </x:c>
      <x:c r="AI371" s="12" t="str">
        <x:f>IF(AC371="PUBLIC_CANDIDATE","archive/public_candidates/"&amp;A371,"private_quarantine/"&amp;A371)</x:f>
        <x:v>archive/public_candidates/SWARM-03-H07-S10</x:v>
      </x:c>
      <x:c r="AJ371" s="12" t="str">
        <x:f>IF(AC371="PUBLIC_CANDIDATE","public by default; still not canon","private/hold; do not publish")</x:f>
        <x:v>public by default; still not canon</x:v>
      </x:c>
      <x:c r="AK371" s="12" t="str">
        <x:f>IF(AE371="prepare_public_github_candidate","add receipt/status then mirror","resolve blocker before any public GitHub action")</x:f>
        <x:v>add receipt/status then mirror</x:v>
      </x:c>
    </x:row>
    <x:row r="372">
      <x:c r="A372" s="15" t="str">
        <x:v>SWARM-03-H07-S11</x:v>
      </x:c>
      <x:c r="B372" s="15" t="str">
        <x:v>KairoBrain</x:v>
      </x:c>
      <x:c r="C372" s="15" t="str">
        <x:v>Temporal strata keeper</x:v>
      </x:c>
      <x:c r="D372" s="15" t="str">
        <x:v>Graph Node Proposals</x:v>
      </x:c>
      <x:c r="E372" s="15" t="str">
        <x:v>Automation</x:v>
      </x:c>
      <x:c r="F372" s="15" t="str">
        <x:v>Propose graph nodes for Automation — KairoBrain</x:v>
      </x:c>
      <x:c r="G372" s="15" t="str">
        <x:v>staleness / versioning / supersession</x:v>
      </x:c>
      <x:c r="H372" s="15" t="str">
        <x:v>source path + receipt + raw/export status + claim/edge/risk delta</x:v>
      </x:c>
      <x:c r="I372" s="15" t="str">
        <x:v>packet/SWARM-03-H07-S11</x:v>
      </x:c>
      <x:c r="J372" s="15" t="str">
        <x:v>TODO</x:v>
      </x:c>
      <x:c r="K372" s="15" t="str">
        <x:v>P2</x:v>
      </x:c>
      <x:c r="L372" s="15" t="str">
        <x:v>Done only when evidence is logged, contradiction search is noted, and boundary stamp remains non-canon unless ratified</x:v>
      </x:c>
      <x:c r="M372" s="15" t="str">
        <x:v>candidate / staging-only / not canon / not deployed / authority none</x:v>
      </x:c>
      <x:c r="N372" s="15" t="str">
        <x:v>Dispatch to KairoBrain: complete Graph Node Proposals x Automation; return deltas only, receipts required.</x:v>
      </x:c>
      <x:c r="O372" s="15" t="str">
        <x:v>AF-KG-H07-S11</x:v>
      </x:c>
      <x:c r="P372" s="15" t="str">
        <x:v>Unverified</x:v>
      </x:c>
      <x:c r="Q372" s="15" t="str">
        <x:v>Not checked</x:v>
      </x:c>
      <x:c r="R372" s="15" t="str"/>
      <x:c r="S372" s="15" t="str"/>
      <x:c r="T372" s="15" t="str">
        <x:v>Log first source path or blocker</x:v>
      </x:c>
      <x:c r="U372" s="12" t="str">
        <x:f>IF(OR(P372="Unverified",Q372="Not checked"),"BLOCKED_PENDING_RECEIPT","READY_FOR_REVIEW")</x:f>
        <x:v>BLOCKED_PENDING_RECEIPT</x:v>
      </x:c>
      <x:c r="V372" s="12" t="str">
        <x:f>IF(J372="DONE","RETURNED",IF(U372="BLOCKED_PENDING_RECEIPT","SOURCE_TOUCH_REQUIRED","IN_PROGRESS"))</x:f>
        <x:v>SOURCE_TOUCH_REQUIRED</x:v>
      </x:c>
      <x:c r="W372" s="12" t="str">
        <x:f>IF(P372="Unverified","missing_receipt","receipt_logged")</x:f>
        <x:v>missing_receipt</x:v>
      </x:c>
      <x:c r="X372" s="12" t="str">
        <x:f>IF(Q372="Not checked","raw_status_missing","raw_status_logged")</x:f>
        <x:v>raw_status_missing</x:v>
      </x:c>
      <x:c r="Y372" s="12" t="str">
        <x:f>IF(U372="BLOCKED_PENDING_RECEIPT","Log source path or blocker; do not promote","Route to review lane")</x:f>
        <x:v>Log source path or blocker; do not promote</x:v>
      </x:c>
      <x:c r="Z372" s="12" t="str">
        <x:f>IF(K372="P0","Primary seat + Hashlight/Lucerna","Seat lane")</x:f>
        <x:v>Seat lane</x:v>
      </x:c>
      <x:c r="AA372" s="12" t="str">
        <x:f>IF(R372="","no_claim_delta","claim_delta_present")</x:f>
        <x:v>no_claim_delta</x:v>
      </x:c>
      <x:c r="AB372" s="12" t="str">
        <x:f>IF(S372="","no_contradiction_delta","contradiction_delta_present")</x:f>
        <x:v>no_contradiction_delta</x:v>
      </x:c>
      <x:c r="AC372" s="12" t="str">
        <x:f>IF(OR(ISNUMBER(SEARCH("hacker",LOWER(F372&amp;" "&amp;H372&amp;" "&amp;I372&amp;" "&amp;M372&amp;" "&amp;N372&amp;" "&amp;T372))),ISNUMBER(SEARCH("hacking",LOWER(F372&amp;" "&amp;H372&amp;" "&amp;I372&amp;" "&amp;M372&amp;" "&amp;N372&amp;" "&amp;T372))),ISNUMBER(SEARCH("bank",LOWER(F372&amp;" "&amp;H372&amp;" "&amp;I372&amp;" "&amp;M372&amp;" "&amp;N372&amp;" "&amp;T372))),ISNUMBER(SEARCH("banking",LOWER(F372&amp;" "&amp;H372&amp;" "&amp;I372&amp;" "&amp;M372&amp;" "&amp;N372&amp;" "&amp;T372)))),"PRIVATE_QUARANTINE",IF(OR(ISNUMBER(SEARCH("treasury",LOWER(F372&amp;" "&amp;H372&amp;" "&amp;I372&amp;" "&amp;M372&amp;" "&amp;N372&amp;" "&amp;T372))),ISNUMBER(SEARCH("debt",LOWER(F372&amp;" "&amp;H372&amp;" "&amp;I372&amp;" "&amp;M372&amp;" "&amp;N372&amp;" "&amp;T372))),ISNUMBER(SEARCH("bond",LOWER(F372&amp;" "&amp;H372&amp;" "&amp;I372&amp;" "&amp;M372&amp;" "&amp;N372&amp;" "&amp;T372))),ISNUMBER(SEARCH("transaction",LOWER(F372&amp;" "&amp;H372&amp;" "&amp;I372&amp;" "&amp;M372&amp;" "&amp;N372&amp;" "&amp;T372)))),"PRIVATE_REVIEW","PUBLIC_CANDIDATE"))</x:f>
        <x:v>PUBLIC_CANDIDATE</x:v>
      </x:c>
      <x:c r="AD372" s="12" t="str">
        <x:f>IF(AC372="PRIVATE_QUARANTINE","hacker_or_bank_trigger",IF(AC372="PRIVATE_REVIEW","finance_risk_trigger","none"))</x:f>
        <x:v>none</x:v>
      </x:c>
      <x:c r="AE372" s="12" t="str">
        <x:f>IF(AC372="PUBLIC_CANDIDATE","prepare_public_github_candidate",IF(AC372="PRIVATE_REVIEW","hold_for_private_review","quarantine_private_do_not_publish"))</x:f>
        <x:v>prepare_public_github_candidate</x:v>
      </x:c>
      <x:c r="AF372" s="12" t="str">
        <x:f>IF(AC372="PUBLIC_CANDIDATE","TIDELOCK + Lucerna",IF(AC372="PRIVATE_REVIEW","AtlasBrain + Lucerna","TIDELOCK + Lucerna + Human-root"))</x:f>
        <x:v>TIDELOCK + Lucerna</x:v>
      </x:c>
      <x:c r="AG372" s="12" t="str">
        <x:f>IF(AND(AC372="PUBLIC_CANDIDATE",U372&lt;&gt;"BLOCKED_PENDING_RECEIPT"),"READY_AFTER_RECEIPT","NOT_READY")</x:f>
        <x:v>NOT_READY</x:v>
      </x:c>
      <x:c r="AH372" s="12" t="str">
        <x:f>IF(AC372="PUBLIC_CANDIDATE","none",AD372)</x:f>
        <x:v>none</x:v>
      </x:c>
      <x:c r="AI372" s="12" t="str">
        <x:f>IF(AC372="PUBLIC_CANDIDATE","archive/public_candidates/"&amp;A372,"private_quarantine/"&amp;A372)</x:f>
        <x:v>archive/public_candidates/SWARM-03-H07-S11</x:v>
      </x:c>
      <x:c r="AJ372" s="12" t="str">
        <x:f>IF(AC372="PUBLIC_CANDIDATE","public by default; still not canon","private/hold; do not publish")</x:f>
        <x:v>public by default; still not canon</x:v>
      </x:c>
      <x:c r="AK372" s="12" t="str">
        <x:f>IF(AE372="prepare_public_github_candidate","add receipt/status then mirror","resolve blocker before any public GitHub action")</x:f>
        <x:v>add receipt/status then mirror</x:v>
      </x:c>
    </x:row>
    <x:row r="373">
      <x:c r="A373" s="15" t="str">
        <x:v>SWARM-03-H07-S12</x:v>
      </x:c>
      <x:c r="B373" s="15" t="str">
        <x:v>KairoBrain</x:v>
      </x:c>
      <x:c r="C373" s="15" t="str">
        <x:v>Temporal strata keeper</x:v>
      </x:c>
      <x:c r="D373" s="15" t="str">
        <x:v>Graph Node Proposals</x:v>
      </x:c>
      <x:c r="E373" s="15" t="str">
        <x:v>Risk / Safety</x:v>
      </x:c>
      <x:c r="F373" s="15" t="str">
        <x:v>Propose graph nodes for Risk / Safety — KairoBrain</x:v>
      </x:c>
      <x:c r="G373" s="15" t="str">
        <x:v>staleness / versioning / supersession</x:v>
      </x:c>
      <x:c r="H373" s="15" t="str">
        <x:v>source path + receipt + raw/export status + claim/edge/risk delta</x:v>
      </x:c>
      <x:c r="I373" s="15" t="str">
        <x:v>packet/SWARM-03-H07-S12</x:v>
      </x:c>
      <x:c r="J373" s="15" t="str">
        <x:v>TODO</x:v>
      </x:c>
      <x:c r="K373" s="15" t="str">
        <x:v>P2</x:v>
      </x:c>
      <x:c r="L373" s="15" t="str">
        <x:v>Done only when evidence is logged, contradiction search is noted, and boundary stamp remains non-canon unless ratified</x:v>
      </x:c>
      <x:c r="M373" s="15" t="str">
        <x:v>candidate / staging-only / not canon / not deployed / authority none</x:v>
      </x:c>
      <x:c r="N373" s="15" t="str">
        <x:v>Dispatch to KairoBrain: complete Graph Node Proposals x Risk / Safety; return deltas only, receipts required.</x:v>
      </x:c>
      <x:c r="O373" s="15" t="str">
        <x:v>AF-KG-H07-S12</x:v>
      </x:c>
      <x:c r="P373" s="15" t="str">
        <x:v>Unverified</x:v>
      </x:c>
      <x:c r="Q373" s="15" t="str">
        <x:v>Not checked</x:v>
      </x:c>
      <x:c r="R373" s="15" t="str"/>
      <x:c r="S373" s="15" t="str"/>
      <x:c r="T373" s="15" t="str">
        <x:v>Log first source path or blocker</x:v>
      </x:c>
      <x:c r="U373" s="12" t="str">
        <x:f>IF(OR(P373="Unverified",Q373="Not checked"),"BLOCKED_PENDING_RECEIPT","READY_FOR_REVIEW")</x:f>
        <x:v>BLOCKED_PENDING_RECEIPT</x:v>
      </x:c>
      <x:c r="V373" s="12" t="str">
        <x:f>IF(J373="DONE","RETURNED",IF(U373="BLOCKED_PENDING_RECEIPT","SOURCE_TOUCH_REQUIRED","IN_PROGRESS"))</x:f>
        <x:v>SOURCE_TOUCH_REQUIRED</x:v>
      </x:c>
      <x:c r="W373" s="12" t="str">
        <x:f>IF(P373="Unverified","missing_receipt","receipt_logged")</x:f>
        <x:v>missing_receipt</x:v>
      </x:c>
      <x:c r="X373" s="12" t="str">
        <x:f>IF(Q373="Not checked","raw_status_missing","raw_status_logged")</x:f>
        <x:v>raw_status_missing</x:v>
      </x:c>
      <x:c r="Y373" s="12" t="str">
        <x:f>IF(U373="BLOCKED_PENDING_RECEIPT","Log source path or blocker; do not promote","Route to review lane")</x:f>
        <x:v>Log source path or blocker; do not promote</x:v>
      </x:c>
      <x:c r="Z373" s="12" t="str">
        <x:f>IF(K373="P0","Primary seat + Hashlight/Lucerna","Seat lane")</x:f>
        <x:v>Seat lane</x:v>
      </x:c>
      <x:c r="AA373" s="12" t="str">
        <x:f>IF(R373="","no_claim_delta","claim_delta_present")</x:f>
        <x:v>no_claim_delta</x:v>
      </x:c>
      <x:c r="AB373" s="12" t="str">
        <x:f>IF(S373="","no_contradiction_delta","contradiction_delta_present")</x:f>
        <x:v>no_contradiction_delta</x:v>
      </x:c>
      <x:c r="AC373" s="12" t="str">
        <x:f>IF(OR(ISNUMBER(SEARCH("hacker",LOWER(F373&amp;" "&amp;H373&amp;" "&amp;I373&amp;" "&amp;M373&amp;" "&amp;N373&amp;" "&amp;T373))),ISNUMBER(SEARCH("hacking",LOWER(F373&amp;" "&amp;H373&amp;" "&amp;I373&amp;" "&amp;M373&amp;" "&amp;N373&amp;" "&amp;T373))),ISNUMBER(SEARCH("bank",LOWER(F373&amp;" "&amp;H373&amp;" "&amp;I373&amp;" "&amp;M373&amp;" "&amp;N373&amp;" "&amp;T373))),ISNUMBER(SEARCH("banking",LOWER(F373&amp;" "&amp;H373&amp;" "&amp;I373&amp;" "&amp;M373&amp;" "&amp;N373&amp;" "&amp;T373)))),"PRIVATE_QUARANTINE",IF(OR(ISNUMBER(SEARCH("treasury",LOWER(F373&amp;" "&amp;H373&amp;" "&amp;I373&amp;" "&amp;M373&amp;" "&amp;N373&amp;" "&amp;T373))),ISNUMBER(SEARCH("debt",LOWER(F373&amp;" "&amp;H373&amp;" "&amp;I373&amp;" "&amp;M373&amp;" "&amp;N373&amp;" "&amp;T373))),ISNUMBER(SEARCH("bond",LOWER(F373&amp;" "&amp;H373&amp;" "&amp;I373&amp;" "&amp;M373&amp;" "&amp;N373&amp;" "&amp;T373))),ISNUMBER(SEARCH("transaction",LOWER(F373&amp;" "&amp;H373&amp;" "&amp;I373&amp;" "&amp;M373&amp;" "&amp;N373&amp;" "&amp;T373)))),"PRIVATE_REVIEW","PUBLIC_CANDIDATE"))</x:f>
        <x:v>PUBLIC_CANDIDATE</x:v>
      </x:c>
      <x:c r="AD373" s="12" t="str">
        <x:f>IF(AC373="PRIVATE_QUARANTINE","hacker_or_bank_trigger",IF(AC373="PRIVATE_REVIEW","finance_risk_trigger","none"))</x:f>
        <x:v>none</x:v>
      </x:c>
      <x:c r="AE373" s="12" t="str">
        <x:f>IF(AC373="PUBLIC_CANDIDATE","prepare_public_github_candidate",IF(AC373="PRIVATE_REVIEW","hold_for_private_review","quarantine_private_do_not_publish"))</x:f>
        <x:v>prepare_public_github_candidate</x:v>
      </x:c>
      <x:c r="AF373" s="12" t="str">
        <x:f>IF(AC373="PUBLIC_CANDIDATE","TIDELOCK + Lucerna",IF(AC373="PRIVATE_REVIEW","AtlasBrain + Lucerna","TIDELOCK + Lucerna + Human-root"))</x:f>
        <x:v>TIDELOCK + Lucerna</x:v>
      </x:c>
      <x:c r="AG373" s="12" t="str">
        <x:f>IF(AND(AC373="PUBLIC_CANDIDATE",U373&lt;&gt;"BLOCKED_PENDING_RECEIPT"),"READY_AFTER_RECEIPT","NOT_READY")</x:f>
        <x:v>NOT_READY</x:v>
      </x:c>
      <x:c r="AH373" s="12" t="str">
        <x:f>IF(AC373="PUBLIC_CANDIDATE","none",AD373)</x:f>
        <x:v>none</x:v>
      </x:c>
      <x:c r="AI373" s="12" t="str">
        <x:f>IF(AC373="PUBLIC_CANDIDATE","archive/public_candidates/"&amp;A373,"private_quarantine/"&amp;A373)</x:f>
        <x:v>archive/public_candidates/SWARM-03-H07-S12</x:v>
      </x:c>
      <x:c r="AJ373" s="12" t="str">
        <x:f>IF(AC373="PUBLIC_CANDIDATE","public by default; still not canon","private/hold; do not publish")</x:f>
        <x:v>public by default; still not canon</x:v>
      </x:c>
      <x:c r="AK373" s="12" t="str">
        <x:f>IF(AE373="prepare_public_github_candidate","add receipt/status then mirror","resolve blocker before any public GitHub action")</x:f>
        <x:v>add receipt/status then mirror</x:v>
      </x:c>
    </x:row>
    <x:row r="374">
      <x:c r="A374" s="15" t="str">
        <x:v>SWARM-03-H08-S01</x:v>
      </x:c>
      <x:c r="B374" s="15" t="str">
        <x:v>KairoBrain</x:v>
      </x:c>
      <x:c r="C374" s="15" t="str">
        <x:v>Temporal strata keeper</x:v>
      </x:c>
      <x:c r="D374" s="15" t="str">
        <x:v>Graph Edge Proposals</x:v>
      </x:c>
      <x:c r="E374" s="15" t="str">
        <x:v>Notion</x:v>
      </x:c>
      <x:c r="F374" s="15" t="str">
        <x:v>Propose graph edges for Notion — KairoBrain</x:v>
      </x:c>
      <x:c r="G374" s="15" t="str">
        <x:v>staleness / versioning / supersession</x:v>
      </x:c>
      <x:c r="H374" s="15" t="str">
        <x:v>source path + receipt + raw/export status + claim/edge/risk delta</x:v>
      </x:c>
      <x:c r="I374" s="15" t="str">
        <x:v>packet/SWARM-03-H08-S01</x:v>
      </x:c>
      <x:c r="J374" s="15" t="str">
        <x:v>TODO</x:v>
      </x:c>
      <x:c r="K374" s="15" t="str">
        <x:v>P0</x:v>
      </x:c>
      <x:c r="L374" s="15" t="str">
        <x:v>Done only when evidence is logged, contradiction search is noted, and boundary stamp remains non-canon unless ratified</x:v>
      </x:c>
      <x:c r="M374" s="15" t="str">
        <x:v>candidate / staging-only / not canon / not deployed / authority none</x:v>
      </x:c>
      <x:c r="N374" s="15" t="str">
        <x:v>Dispatch to KairoBrain: complete Graph Edge Proposals x Notion; return deltas only, receipts required.</x:v>
      </x:c>
      <x:c r="O374" s="15" t="str">
        <x:v>AF-KG-H08-S01</x:v>
      </x:c>
      <x:c r="P374" s="15" t="str">
        <x:v>Unverified</x:v>
      </x:c>
      <x:c r="Q374" s="15" t="str">
        <x:v>Not checked</x:v>
      </x:c>
      <x:c r="R374" s="15" t="str"/>
      <x:c r="S374" s="15" t="str"/>
      <x:c r="T374" s="15" t="str">
        <x:v>Log first source path or blocker</x:v>
      </x:c>
      <x:c r="U374" s="12" t="str">
        <x:f>IF(OR(P374="Unverified",Q374="Not checked"),"BLOCKED_PENDING_RECEIPT","READY_FOR_REVIEW")</x:f>
        <x:v>BLOCKED_PENDING_RECEIPT</x:v>
      </x:c>
      <x:c r="V374" s="12" t="str">
        <x:f>IF(J374="DONE","RETURNED",IF(U374="BLOCKED_PENDING_RECEIPT","SOURCE_TOUCH_REQUIRED","IN_PROGRESS"))</x:f>
        <x:v>SOURCE_TOUCH_REQUIRED</x:v>
      </x:c>
      <x:c r="W374" s="12" t="str">
        <x:f>IF(P374="Unverified","missing_receipt","receipt_logged")</x:f>
        <x:v>missing_receipt</x:v>
      </x:c>
      <x:c r="X374" s="12" t="str">
        <x:f>IF(Q374="Not checked","raw_status_missing","raw_status_logged")</x:f>
        <x:v>raw_status_missing</x:v>
      </x:c>
      <x:c r="Y374" s="12" t="str">
        <x:f>IF(U374="BLOCKED_PENDING_RECEIPT","Log source path or blocker; do not promote","Route to review lane")</x:f>
        <x:v>Log source path or blocker; do not promote</x:v>
      </x:c>
      <x:c r="Z374" s="12" t="str">
        <x:f>IF(K374="P0","Primary seat + Hashlight/Lucerna","Seat lane")</x:f>
        <x:v>Primary seat + Hashlight/Lucerna</x:v>
      </x:c>
      <x:c r="AA374" s="12" t="str">
        <x:f>IF(R374="","no_claim_delta","claim_delta_present")</x:f>
        <x:v>no_claim_delta</x:v>
      </x:c>
      <x:c r="AB374" s="12" t="str">
        <x:f>IF(S374="","no_contradiction_delta","contradiction_delta_present")</x:f>
        <x:v>no_contradiction_delta</x:v>
      </x:c>
      <x:c r="AC374" s="12" t="str">
        <x:f>IF(OR(ISNUMBER(SEARCH("hacker",LOWER(F374&amp;" "&amp;H374&amp;" "&amp;I374&amp;" "&amp;M374&amp;" "&amp;N374&amp;" "&amp;T374))),ISNUMBER(SEARCH("hacking",LOWER(F374&amp;" "&amp;H374&amp;" "&amp;I374&amp;" "&amp;M374&amp;" "&amp;N374&amp;" "&amp;T374))),ISNUMBER(SEARCH("bank",LOWER(F374&amp;" "&amp;H374&amp;" "&amp;I374&amp;" "&amp;M374&amp;" "&amp;N374&amp;" "&amp;T374))),ISNUMBER(SEARCH("banking",LOWER(F374&amp;" "&amp;H374&amp;" "&amp;I374&amp;" "&amp;M374&amp;" "&amp;N374&amp;" "&amp;T374)))),"PRIVATE_QUARANTINE",IF(OR(ISNUMBER(SEARCH("treasury",LOWER(F374&amp;" "&amp;H374&amp;" "&amp;I374&amp;" "&amp;M374&amp;" "&amp;N374&amp;" "&amp;T374))),ISNUMBER(SEARCH("debt",LOWER(F374&amp;" "&amp;H374&amp;" "&amp;I374&amp;" "&amp;M374&amp;" "&amp;N374&amp;" "&amp;T374))),ISNUMBER(SEARCH("bond",LOWER(F374&amp;" "&amp;H374&amp;" "&amp;I374&amp;" "&amp;M374&amp;" "&amp;N374&amp;" "&amp;T374))),ISNUMBER(SEARCH("transaction",LOWER(F374&amp;" "&amp;H374&amp;" "&amp;I374&amp;" "&amp;M374&amp;" "&amp;N374&amp;" "&amp;T374)))),"PRIVATE_REVIEW","PUBLIC_CANDIDATE"))</x:f>
        <x:v>PUBLIC_CANDIDATE</x:v>
      </x:c>
      <x:c r="AD374" s="12" t="str">
        <x:f>IF(AC374="PRIVATE_QUARANTINE","hacker_or_bank_trigger",IF(AC374="PRIVATE_REVIEW","finance_risk_trigger","none"))</x:f>
        <x:v>none</x:v>
      </x:c>
      <x:c r="AE374" s="12" t="str">
        <x:f>IF(AC374="PUBLIC_CANDIDATE","prepare_public_github_candidate",IF(AC374="PRIVATE_REVIEW","hold_for_private_review","quarantine_private_do_not_publish"))</x:f>
        <x:v>prepare_public_github_candidate</x:v>
      </x:c>
      <x:c r="AF374" s="12" t="str">
        <x:f>IF(AC374="PUBLIC_CANDIDATE","TIDELOCK + Lucerna",IF(AC374="PRIVATE_REVIEW","AtlasBrain + Lucerna","TIDELOCK + Lucerna + Human-root"))</x:f>
        <x:v>TIDELOCK + Lucerna</x:v>
      </x:c>
      <x:c r="AG374" s="12" t="str">
        <x:f>IF(AND(AC374="PUBLIC_CANDIDATE",U374&lt;&gt;"BLOCKED_PENDING_RECEIPT"),"READY_AFTER_RECEIPT","NOT_READY")</x:f>
        <x:v>NOT_READY</x:v>
      </x:c>
      <x:c r="AH374" s="12" t="str">
        <x:f>IF(AC374="PUBLIC_CANDIDATE","none",AD374)</x:f>
        <x:v>none</x:v>
      </x:c>
      <x:c r="AI374" s="12" t="str">
        <x:f>IF(AC374="PUBLIC_CANDIDATE","archive/public_candidates/"&amp;A374,"private_quarantine/"&amp;A374)</x:f>
        <x:v>archive/public_candidates/SWARM-03-H08-S01</x:v>
      </x:c>
      <x:c r="AJ374" s="12" t="str">
        <x:f>IF(AC374="PUBLIC_CANDIDATE","public by default; still not canon","private/hold; do not publish")</x:f>
        <x:v>public by default; still not canon</x:v>
      </x:c>
      <x:c r="AK374" s="12" t="str">
        <x:f>IF(AE374="prepare_public_github_candidate","add receipt/status then mirror","resolve blocker before any public GitHub action")</x:f>
        <x:v>add receipt/status then mirror</x:v>
      </x:c>
    </x:row>
    <x:row r="375">
      <x:c r="A375" s="15" t="str">
        <x:v>SWARM-03-H08-S02</x:v>
      </x:c>
      <x:c r="B375" s="15" t="str">
        <x:v>KairoBrain</x:v>
      </x:c>
      <x:c r="C375" s="15" t="str">
        <x:v>Temporal strata keeper</x:v>
      </x:c>
      <x:c r="D375" s="15" t="str">
        <x:v>Graph Edge Proposals</x:v>
      </x:c>
      <x:c r="E375" s="15" t="str">
        <x:v>Drive</x:v>
      </x:c>
      <x:c r="F375" s="15" t="str">
        <x:v>Propose graph edges for Drive — KairoBrain</x:v>
      </x:c>
      <x:c r="G375" s="15" t="str">
        <x:v>staleness / versioning / supersession</x:v>
      </x:c>
      <x:c r="H375" s="15" t="str">
        <x:v>source path + receipt + raw/export status + claim/edge/risk delta</x:v>
      </x:c>
      <x:c r="I375" s="15" t="str">
        <x:v>packet/SWARM-03-H08-S02</x:v>
      </x:c>
      <x:c r="J375" s="15" t="str">
        <x:v>TODO</x:v>
      </x:c>
      <x:c r="K375" s="15" t="str">
        <x:v>P0</x:v>
      </x:c>
      <x:c r="L375" s="15" t="str">
        <x:v>Done only when evidence is logged, contradiction search is noted, and boundary stamp remains non-canon unless ratified</x:v>
      </x:c>
      <x:c r="M375" s="15" t="str">
        <x:v>candidate / staging-only / not canon / not deployed / authority none</x:v>
      </x:c>
      <x:c r="N375" s="15" t="str">
        <x:v>Dispatch to KairoBrain: complete Graph Edge Proposals x Drive; return deltas only, receipts required.</x:v>
      </x:c>
      <x:c r="O375" s="15" t="str">
        <x:v>AF-KG-H08-S02</x:v>
      </x:c>
      <x:c r="P375" s="15" t="str">
        <x:v>Unverified</x:v>
      </x:c>
      <x:c r="Q375" s="15" t="str">
        <x:v>Not checked</x:v>
      </x:c>
      <x:c r="R375" s="15" t="str"/>
      <x:c r="S375" s="15" t="str"/>
      <x:c r="T375" s="15" t="str">
        <x:v>Log first source path or blocker</x:v>
      </x:c>
      <x:c r="U375" s="12" t="str">
        <x:f>IF(OR(P375="Unverified",Q375="Not checked"),"BLOCKED_PENDING_RECEIPT","READY_FOR_REVIEW")</x:f>
        <x:v>BLOCKED_PENDING_RECEIPT</x:v>
      </x:c>
      <x:c r="V375" s="12" t="str">
        <x:f>IF(J375="DONE","RETURNED",IF(U375="BLOCKED_PENDING_RECEIPT","SOURCE_TOUCH_REQUIRED","IN_PROGRESS"))</x:f>
        <x:v>SOURCE_TOUCH_REQUIRED</x:v>
      </x:c>
      <x:c r="W375" s="12" t="str">
        <x:f>IF(P375="Unverified","missing_receipt","receipt_logged")</x:f>
        <x:v>missing_receipt</x:v>
      </x:c>
      <x:c r="X375" s="12" t="str">
        <x:f>IF(Q375="Not checked","raw_status_missing","raw_status_logged")</x:f>
        <x:v>raw_status_missing</x:v>
      </x:c>
      <x:c r="Y375" s="12" t="str">
        <x:f>IF(U375="BLOCKED_PENDING_RECEIPT","Log source path or blocker; do not promote","Route to review lane")</x:f>
        <x:v>Log source path or blocker; do not promote</x:v>
      </x:c>
      <x:c r="Z375" s="12" t="str">
        <x:f>IF(K375="P0","Primary seat + Hashlight/Lucerna","Seat lane")</x:f>
        <x:v>Primary seat + Hashlight/Lucerna</x:v>
      </x:c>
      <x:c r="AA375" s="12" t="str">
        <x:f>IF(R375="","no_claim_delta","claim_delta_present")</x:f>
        <x:v>no_claim_delta</x:v>
      </x:c>
      <x:c r="AB375" s="12" t="str">
        <x:f>IF(S375="","no_contradiction_delta","contradiction_delta_present")</x:f>
        <x:v>no_contradiction_delta</x:v>
      </x:c>
      <x:c r="AC375" s="12" t="str">
        <x:f>IF(OR(ISNUMBER(SEARCH("hacker",LOWER(F375&amp;" "&amp;H375&amp;" "&amp;I375&amp;" "&amp;M375&amp;" "&amp;N375&amp;" "&amp;T375))),ISNUMBER(SEARCH("hacking",LOWER(F375&amp;" "&amp;H375&amp;" "&amp;I375&amp;" "&amp;M375&amp;" "&amp;N375&amp;" "&amp;T375))),ISNUMBER(SEARCH("bank",LOWER(F375&amp;" "&amp;H375&amp;" "&amp;I375&amp;" "&amp;M375&amp;" "&amp;N375&amp;" "&amp;T375))),ISNUMBER(SEARCH("banking",LOWER(F375&amp;" "&amp;H375&amp;" "&amp;I375&amp;" "&amp;M375&amp;" "&amp;N375&amp;" "&amp;T375)))),"PRIVATE_QUARANTINE",IF(OR(ISNUMBER(SEARCH("treasury",LOWER(F375&amp;" "&amp;H375&amp;" "&amp;I375&amp;" "&amp;M375&amp;" "&amp;N375&amp;" "&amp;T375))),ISNUMBER(SEARCH("debt",LOWER(F375&amp;" "&amp;H375&amp;" "&amp;I375&amp;" "&amp;M375&amp;" "&amp;N375&amp;" "&amp;T375))),ISNUMBER(SEARCH("bond",LOWER(F375&amp;" "&amp;H375&amp;" "&amp;I375&amp;" "&amp;M375&amp;" "&amp;N375&amp;" "&amp;T375))),ISNUMBER(SEARCH("transaction",LOWER(F375&amp;" "&amp;H375&amp;" "&amp;I375&amp;" "&amp;M375&amp;" "&amp;N375&amp;" "&amp;T375)))),"PRIVATE_REVIEW","PUBLIC_CANDIDATE"))</x:f>
        <x:v>PUBLIC_CANDIDATE</x:v>
      </x:c>
      <x:c r="AD375" s="12" t="str">
        <x:f>IF(AC375="PRIVATE_QUARANTINE","hacker_or_bank_trigger",IF(AC375="PRIVATE_REVIEW","finance_risk_trigger","none"))</x:f>
        <x:v>none</x:v>
      </x:c>
      <x:c r="AE375" s="12" t="str">
        <x:f>IF(AC375="PUBLIC_CANDIDATE","prepare_public_github_candidate",IF(AC375="PRIVATE_REVIEW","hold_for_private_review","quarantine_private_do_not_publish"))</x:f>
        <x:v>prepare_public_github_candidate</x:v>
      </x:c>
      <x:c r="AF375" s="12" t="str">
        <x:f>IF(AC375="PUBLIC_CANDIDATE","TIDELOCK + Lucerna",IF(AC375="PRIVATE_REVIEW","AtlasBrain + Lucerna","TIDELOCK + Lucerna + Human-root"))</x:f>
        <x:v>TIDELOCK + Lucerna</x:v>
      </x:c>
      <x:c r="AG375" s="12" t="str">
        <x:f>IF(AND(AC375="PUBLIC_CANDIDATE",U375&lt;&gt;"BLOCKED_PENDING_RECEIPT"),"READY_AFTER_RECEIPT","NOT_READY")</x:f>
        <x:v>NOT_READY</x:v>
      </x:c>
      <x:c r="AH375" s="12" t="str">
        <x:f>IF(AC375="PUBLIC_CANDIDATE","none",AD375)</x:f>
        <x:v>none</x:v>
      </x:c>
      <x:c r="AI375" s="12" t="str">
        <x:f>IF(AC375="PUBLIC_CANDIDATE","archive/public_candidates/"&amp;A375,"private_quarantine/"&amp;A375)</x:f>
        <x:v>archive/public_candidates/SWARM-03-H08-S02</x:v>
      </x:c>
      <x:c r="AJ375" s="12" t="str">
        <x:f>IF(AC375="PUBLIC_CANDIDATE","public by default; still not canon","private/hold; do not publish")</x:f>
        <x:v>public by default; still not canon</x:v>
      </x:c>
      <x:c r="AK375" s="12" t="str">
        <x:f>IF(AE375="prepare_public_github_candidate","add receipt/status then mirror","resolve blocker before any public GitHub action")</x:f>
        <x:v>add receipt/status then mirror</x:v>
      </x:c>
    </x:row>
    <x:row r="376">
      <x:c r="A376" s="15" t="str">
        <x:v>SWARM-03-H08-S03</x:v>
      </x:c>
      <x:c r="B376" s="15" t="str">
        <x:v>KairoBrain</x:v>
      </x:c>
      <x:c r="C376" s="15" t="str">
        <x:v>Temporal strata keeper</x:v>
      </x:c>
      <x:c r="D376" s="15" t="str">
        <x:v>Graph Edge Proposals</x:v>
      </x:c>
      <x:c r="E376" s="15" t="str">
        <x:v>GitHub</x:v>
      </x:c>
      <x:c r="F376" s="15" t="str">
        <x:v>Propose graph edges for GitHub — KairoBrain</x:v>
      </x:c>
      <x:c r="G376" s="15" t="str">
        <x:v>staleness / versioning / supersession</x:v>
      </x:c>
      <x:c r="H376" s="15" t="str">
        <x:v>source path + receipt + raw/export status + claim/edge/risk delta</x:v>
      </x:c>
      <x:c r="I376" s="15" t="str">
        <x:v>packet/SWARM-03-H08-S03</x:v>
      </x:c>
      <x:c r="J376" s="15" t="str">
        <x:v>TODO</x:v>
      </x:c>
      <x:c r="K376" s="15" t="str">
        <x:v>P0</x:v>
      </x:c>
      <x:c r="L376" s="15" t="str">
        <x:v>Done only when evidence is logged, contradiction search is noted, and boundary stamp remains non-canon unless ratified</x:v>
      </x:c>
      <x:c r="M376" s="15" t="str">
        <x:v>candidate / staging-only / not canon / not deployed / authority none</x:v>
      </x:c>
      <x:c r="N376" s="15" t="str">
        <x:v>Dispatch to KairoBrain: complete Graph Edge Proposals x GitHub; return deltas only, receipts required.</x:v>
      </x:c>
      <x:c r="O376" s="15" t="str">
        <x:v>AF-KG-H08-S03</x:v>
      </x:c>
      <x:c r="P376" s="15" t="str">
        <x:v>Unverified</x:v>
      </x:c>
      <x:c r="Q376" s="15" t="str">
        <x:v>Not checked</x:v>
      </x:c>
      <x:c r="R376" s="15" t="str"/>
      <x:c r="S376" s="15" t="str"/>
      <x:c r="T376" s="15" t="str">
        <x:v>Log first source path or blocker</x:v>
      </x:c>
      <x:c r="U376" s="12" t="str">
        <x:f>IF(OR(P376="Unverified",Q376="Not checked"),"BLOCKED_PENDING_RECEIPT","READY_FOR_REVIEW")</x:f>
        <x:v>BLOCKED_PENDING_RECEIPT</x:v>
      </x:c>
      <x:c r="V376" s="12" t="str">
        <x:f>IF(J376="DONE","RETURNED",IF(U376="BLOCKED_PENDING_RECEIPT","SOURCE_TOUCH_REQUIRED","IN_PROGRESS"))</x:f>
        <x:v>SOURCE_TOUCH_REQUIRED</x:v>
      </x:c>
      <x:c r="W376" s="12" t="str">
        <x:f>IF(P376="Unverified","missing_receipt","receipt_logged")</x:f>
        <x:v>missing_receipt</x:v>
      </x:c>
      <x:c r="X376" s="12" t="str">
        <x:f>IF(Q376="Not checked","raw_status_missing","raw_status_logged")</x:f>
        <x:v>raw_status_missing</x:v>
      </x:c>
      <x:c r="Y376" s="12" t="str">
        <x:f>IF(U376="BLOCKED_PENDING_RECEIPT","Log source path or blocker; do not promote","Route to review lane")</x:f>
        <x:v>Log source path or blocker; do not promote</x:v>
      </x:c>
      <x:c r="Z376" s="12" t="str">
        <x:f>IF(K376="P0","Primary seat + Hashlight/Lucerna","Seat lane")</x:f>
        <x:v>Primary seat + Hashlight/Lucerna</x:v>
      </x:c>
      <x:c r="AA376" s="12" t="str">
        <x:f>IF(R376="","no_claim_delta","claim_delta_present")</x:f>
        <x:v>no_claim_delta</x:v>
      </x:c>
      <x:c r="AB376" s="12" t="str">
        <x:f>IF(S376="","no_contradiction_delta","contradiction_delta_present")</x:f>
        <x:v>no_contradiction_delta</x:v>
      </x:c>
      <x:c r="AC376" s="12" t="str">
        <x:f>IF(OR(ISNUMBER(SEARCH("hacker",LOWER(F376&amp;" "&amp;H376&amp;" "&amp;I376&amp;" "&amp;M376&amp;" "&amp;N376&amp;" "&amp;T376))),ISNUMBER(SEARCH("hacking",LOWER(F376&amp;" "&amp;H376&amp;" "&amp;I376&amp;" "&amp;M376&amp;" "&amp;N376&amp;" "&amp;T376))),ISNUMBER(SEARCH("bank",LOWER(F376&amp;" "&amp;H376&amp;" "&amp;I376&amp;" "&amp;M376&amp;" "&amp;N376&amp;" "&amp;T376))),ISNUMBER(SEARCH("banking",LOWER(F376&amp;" "&amp;H376&amp;" "&amp;I376&amp;" "&amp;M376&amp;" "&amp;N376&amp;" "&amp;T376)))),"PRIVATE_QUARANTINE",IF(OR(ISNUMBER(SEARCH("treasury",LOWER(F376&amp;" "&amp;H376&amp;" "&amp;I376&amp;" "&amp;M376&amp;" "&amp;N376&amp;" "&amp;T376))),ISNUMBER(SEARCH("debt",LOWER(F376&amp;" "&amp;H376&amp;" "&amp;I376&amp;" "&amp;M376&amp;" "&amp;N376&amp;" "&amp;T376))),ISNUMBER(SEARCH("bond",LOWER(F376&amp;" "&amp;H376&amp;" "&amp;I376&amp;" "&amp;M376&amp;" "&amp;N376&amp;" "&amp;T376))),ISNUMBER(SEARCH("transaction",LOWER(F376&amp;" "&amp;H376&amp;" "&amp;I376&amp;" "&amp;M376&amp;" "&amp;N376&amp;" "&amp;T376)))),"PRIVATE_REVIEW","PUBLIC_CANDIDATE"))</x:f>
        <x:v>PUBLIC_CANDIDATE</x:v>
      </x:c>
      <x:c r="AD376" s="12" t="str">
        <x:f>IF(AC376="PRIVATE_QUARANTINE","hacker_or_bank_trigger",IF(AC376="PRIVATE_REVIEW","finance_risk_trigger","none"))</x:f>
        <x:v>none</x:v>
      </x:c>
      <x:c r="AE376" s="12" t="str">
        <x:f>IF(AC376="PUBLIC_CANDIDATE","prepare_public_github_candidate",IF(AC376="PRIVATE_REVIEW","hold_for_private_review","quarantine_private_do_not_publish"))</x:f>
        <x:v>prepare_public_github_candidate</x:v>
      </x:c>
      <x:c r="AF376" s="12" t="str">
        <x:f>IF(AC376="PUBLIC_CANDIDATE","TIDELOCK + Lucerna",IF(AC376="PRIVATE_REVIEW","AtlasBrain + Lucerna","TIDELOCK + Lucerna + Human-root"))</x:f>
        <x:v>TIDELOCK + Lucerna</x:v>
      </x:c>
      <x:c r="AG376" s="12" t="str">
        <x:f>IF(AND(AC376="PUBLIC_CANDIDATE",U376&lt;&gt;"BLOCKED_PENDING_RECEIPT"),"READY_AFTER_RECEIPT","NOT_READY")</x:f>
        <x:v>NOT_READY</x:v>
      </x:c>
      <x:c r="AH376" s="12" t="str">
        <x:f>IF(AC376="PUBLIC_CANDIDATE","none",AD376)</x:f>
        <x:v>none</x:v>
      </x:c>
      <x:c r="AI376" s="12" t="str">
        <x:f>IF(AC376="PUBLIC_CANDIDATE","archive/public_candidates/"&amp;A376,"private_quarantine/"&amp;A376)</x:f>
        <x:v>archive/public_candidates/SWARM-03-H08-S03</x:v>
      </x:c>
      <x:c r="AJ376" s="12" t="str">
        <x:f>IF(AC376="PUBLIC_CANDIDATE","public by default; still not canon","private/hold; do not publish")</x:f>
        <x:v>public by default; still not canon</x:v>
      </x:c>
      <x:c r="AK376" s="12" t="str">
        <x:f>IF(AE376="prepare_public_github_candidate","add receipt/status then mirror","resolve blocker before any public GitHub action")</x:f>
        <x:v>add receipt/status then mirror</x:v>
      </x:c>
    </x:row>
    <x:row r="377">
      <x:c r="A377" s="15" t="str">
        <x:v>SWARM-03-H08-S04</x:v>
      </x:c>
      <x:c r="B377" s="15" t="str">
        <x:v>KairoBrain</x:v>
      </x:c>
      <x:c r="C377" s="15" t="str">
        <x:v>Temporal strata keeper</x:v>
      </x:c>
      <x:c r="D377" s="15" t="str">
        <x:v>Graph Edge Proposals</x:v>
      </x:c>
      <x:c r="E377" s="15" t="str">
        <x:v>Gamma</x:v>
      </x:c>
      <x:c r="F377" s="15" t="str">
        <x:v>Propose graph edges for Gamma — KairoBrain</x:v>
      </x:c>
      <x:c r="G377" s="15" t="str">
        <x:v>staleness / versioning / supersession</x:v>
      </x:c>
      <x:c r="H377" s="15" t="str">
        <x:v>source path + receipt + raw/export status + claim/edge/risk delta</x:v>
      </x:c>
      <x:c r="I377" s="15" t="str">
        <x:v>packet/SWARM-03-H08-S04</x:v>
      </x:c>
      <x:c r="J377" s="15" t="str">
        <x:v>TODO</x:v>
      </x:c>
      <x:c r="K377" s="15" t="str">
        <x:v>P1</x:v>
      </x:c>
      <x:c r="L377" s="15" t="str">
        <x:v>Done only when evidence is logged, contradiction search is noted, and boundary stamp remains non-canon unless ratified</x:v>
      </x:c>
      <x:c r="M377" s="15" t="str">
        <x:v>candidate / staging-only / not canon / not deployed / authority none</x:v>
      </x:c>
      <x:c r="N377" s="15" t="str">
        <x:v>Dispatch to KairoBrain: complete Graph Edge Proposals x Gamma; return deltas only, receipts required.</x:v>
      </x:c>
      <x:c r="O377" s="15" t="str">
        <x:v>AF-KG-H08-S04</x:v>
      </x:c>
      <x:c r="P377" s="15" t="str">
        <x:v>Unverified</x:v>
      </x:c>
      <x:c r="Q377" s="15" t="str">
        <x:v>Not checked</x:v>
      </x:c>
      <x:c r="R377" s="15" t="str"/>
      <x:c r="S377" s="15" t="str"/>
      <x:c r="T377" s="15" t="str">
        <x:v>Log first source path or blocker</x:v>
      </x:c>
      <x:c r="U377" s="12" t="str">
        <x:f>IF(OR(P377="Unverified",Q377="Not checked"),"BLOCKED_PENDING_RECEIPT","READY_FOR_REVIEW")</x:f>
        <x:v>BLOCKED_PENDING_RECEIPT</x:v>
      </x:c>
      <x:c r="V377" s="12" t="str">
        <x:f>IF(J377="DONE","RETURNED",IF(U377="BLOCKED_PENDING_RECEIPT","SOURCE_TOUCH_REQUIRED","IN_PROGRESS"))</x:f>
        <x:v>SOURCE_TOUCH_REQUIRED</x:v>
      </x:c>
      <x:c r="W377" s="12" t="str">
        <x:f>IF(P377="Unverified","missing_receipt","receipt_logged")</x:f>
        <x:v>missing_receipt</x:v>
      </x:c>
      <x:c r="X377" s="12" t="str">
        <x:f>IF(Q377="Not checked","raw_status_missing","raw_status_logged")</x:f>
        <x:v>raw_status_missing</x:v>
      </x:c>
      <x:c r="Y377" s="12" t="str">
        <x:f>IF(U377="BLOCKED_PENDING_RECEIPT","Log source path or blocker; do not promote","Route to review lane")</x:f>
        <x:v>Log source path or blocker; do not promote</x:v>
      </x:c>
      <x:c r="Z377" s="12" t="str">
        <x:f>IF(K377="P0","Primary seat + Hashlight/Lucerna","Seat lane")</x:f>
        <x:v>Seat lane</x:v>
      </x:c>
      <x:c r="AA377" s="12" t="str">
        <x:f>IF(R377="","no_claim_delta","claim_delta_present")</x:f>
        <x:v>no_claim_delta</x:v>
      </x:c>
      <x:c r="AB377" s="12" t="str">
        <x:f>IF(S377="","no_contradiction_delta","contradiction_delta_present")</x:f>
        <x:v>no_contradiction_delta</x:v>
      </x:c>
      <x:c r="AC377" s="12" t="str">
        <x:f>IF(OR(ISNUMBER(SEARCH("hacker",LOWER(F377&amp;" "&amp;H377&amp;" "&amp;I377&amp;" "&amp;M377&amp;" "&amp;N377&amp;" "&amp;T377))),ISNUMBER(SEARCH("hacking",LOWER(F377&amp;" "&amp;H377&amp;" "&amp;I377&amp;" "&amp;M377&amp;" "&amp;N377&amp;" "&amp;T377))),ISNUMBER(SEARCH("bank",LOWER(F377&amp;" "&amp;H377&amp;" "&amp;I377&amp;" "&amp;M377&amp;" "&amp;N377&amp;" "&amp;T377))),ISNUMBER(SEARCH("banking",LOWER(F377&amp;" "&amp;H377&amp;" "&amp;I377&amp;" "&amp;M377&amp;" "&amp;N377&amp;" "&amp;T377)))),"PRIVATE_QUARANTINE",IF(OR(ISNUMBER(SEARCH("treasury",LOWER(F377&amp;" "&amp;H377&amp;" "&amp;I377&amp;" "&amp;M377&amp;" "&amp;N377&amp;" "&amp;T377))),ISNUMBER(SEARCH("debt",LOWER(F377&amp;" "&amp;H377&amp;" "&amp;I377&amp;" "&amp;M377&amp;" "&amp;N377&amp;" "&amp;T377))),ISNUMBER(SEARCH("bond",LOWER(F377&amp;" "&amp;H377&amp;" "&amp;I377&amp;" "&amp;M377&amp;" "&amp;N377&amp;" "&amp;T377))),ISNUMBER(SEARCH("transaction",LOWER(F377&amp;" "&amp;H377&amp;" "&amp;I377&amp;" "&amp;M377&amp;" "&amp;N377&amp;" "&amp;T377)))),"PRIVATE_REVIEW","PUBLIC_CANDIDATE"))</x:f>
        <x:v>PUBLIC_CANDIDATE</x:v>
      </x:c>
      <x:c r="AD377" s="12" t="str">
        <x:f>IF(AC377="PRIVATE_QUARANTINE","hacker_or_bank_trigger",IF(AC377="PRIVATE_REVIEW","finance_risk_trigger","none"))</x:f>
        <x:v>none</x:v>
      </x:c>
      <x:c r="AE377" s="12" t="str">
        <x:f>IF(AC377="PUBLIC_CANDIDATE","prepare_public_github_candidate",IF(AC377="PRIVATE_REVIEW","hold_for_private_review","quarantine_private_do_not_publish"))</x:f>
        <x:v>prepare_public_github_candidate</x:v>
      </x:c>
      <x:c r="AF377" s="12" t="str">
        <x:f>IF(AC377="PUBLIC_CANDIDATE","TIDELOCK + Lucerna",IF(AC377="PRIVATE_REVIEW","AtlasBrain + Lucerna","TIDELOCK + Lucerna + Human-root"))</x:f>
        <x:v>TIDELOCK + Lucerna</x:v>
      </x:c>
      <x:c r="AG377" s="12" t="str">
        <x:f>IF(AND(AC377="PUBLIC_CANDIDATE",U377&lt;&gt;"BLOCKED_PENDING_RECEIPT"),"READY_AFTER_RECEIPT","NOT_READY")</x:f>
        <x:v>NOT_READY</x:v>
      </x:c>
      <x:c r="AH377" s="12" t="str">
        <x:f>IF(AC377="PUBLIC_CANDIDATE","none",AD377)</x:f>
        <x:v>none</x:v>
      </x:c>
      <x:c r="AI377" s="12" t="str">
        <x:f>IF(AC377="PUBLIC_CANDIDATE","archive/public_candidates/"&amp;A377,"private_quarantine/"&amp;A377)</x:f>
        <x:v>archive/public_candidates/SWARM-03-H08-S04</x:v>
      </x:c>
      <x:c r="AJ377" s="12" t="str">
        <x:f>IF(AC377="PUBLIC_CANDIDATE","public by default; still not canon","private/hold; do not publish")</x:f>
        <x:v>public by default; still not canon</x:v>
      </x:c>
      <x:c r="AK377" s="12" t="str">
        <x:f>IF(AE377="prepare_public_github_candidate","add receipt/status then mirror","resolve blocker before any public GitHub action")</x:f>
        <x:v>add receipt/status then mirror</x:v>
      </x:c>
    </x:row>
    <x:row r="378">
      <x:c r="A378" s="15" t="str">
        <x:v>SWARM-03-H08-S05</x:v>
      </x:c>
      <x:c r="B378" s="15" t="str">
        <x:v>KairoBrain</x:v>
      </x:c>
      <x:c r="C378" s="15" t="str">
        <x:v>Temporal strata keeper</x:v>
      </x:c>
      <x:c r="D378" s="15" t="str">
        <x:v>Graph Edge Proposals</x:v>
      </x:c>
      <x:c r="E378" s="15" t="str">
        <x:v>Chat</x:v>
      </x:c>
      <x:c r="F378" s="15" t="str">
        <x:v>Propose graph edges for Chat — KairoBrain</x:v>
      </x:c>
      <x:c r="G378" s="15" t="str">
        <x:v>staleness / versioning / supersession</x:v>
      </x:c>
      <x:c r="H378" s="15" t="str">
        <x:v>source path + receipt + raw/export status + claim/edge/risk delta</x:v>
      </x:c>
      <x:c r="I378" s="15" t="str">
        <x:v>packet/SWARM-03-H08-S05</x:v>
      </x:c>
      <x:c r="J378" s="15" t="str">
        <x:v>TODO</x:v>
      </x:c>
      <x:c r="K378" s="15" t="str">
        <x:v>P1</x:v>
      </x:c>
      <x:c r="L378" s="15" t="str">
        <x:v>Done only when evidence is logged, contradiction search is noted, and boundary stamp remains non-canon unless ratified</x:v>
      </x:c>
      <x:c r="M378" s="15" t="str">
        <x:v>candidate / staging-only / not canon / not deployed / authority none</x:v>
      </x:c>
      <x:c r="N378" s="15" t="str">
        <x:v>Dispatch to KairoBrain: complete Graph Edge Proposals x Chat; return deltas only, receipts required.</x:v>
      </x:c>
      <x:c r="O378" s="15" t="str">
        <x:v>AF-KG-H08-S05</x:v>
      </x:c>
      <x:c r="P378" s="15" t="str">
        <x:v>Unverified</x:v>
      </x:c>
      <x:c r="Q378" s="15" t="str">
        <x:v>Not checked</x:v>
      </x:c>
      <x:c r="R378" s="15" t="str"/>
      <x:c r="S378" s="15" t="str"/>
      <x:c r="T378" s="15" t="str">
        <x:v>Log first source path or blocker</x:v>
      </x:c>
      <x:c r="U378" s="12" t="str">
        <x:f>IF(OR(P378="Unverified",Q378="Not checked"),"BLOCKED_PENDING_RECEIPT","READY_FOR_REVIEW")</x:f>
        <x:v>BLOCKED_PENDING_RECEIPT</x:v>
      </x:c>
      <x:c r="V378" s="12" t="str">
        <x:f>IF(J378="DONE","RETURNED",IF(U378="BLOCKED_PENDING_RECEIPT","SOURCE_TOUCH_REQUIRED","IN_PROGRESS"))</x:f>
        <x:v>SOURCE_TOUCH_REQUIRED</x:v>
      </x:c>
      <x:c r="W378" s="12" t="str">
        <x:f>IF(P378="Unverified","missing_receipt","receipt_logged")</x:f>
        <x:v>missing_receipt</x:v>
      </x:c>
      <x:c r="X378" s="12" t="str">
        <x:f>IF(Q378="Not checked","raw_status_missing","raw_status_logged")</x:f>
        <x:v>raw_status_missing</x:v>
      </x:c>
      <x:c r="Y378" s="12" t="str">
        <x:f>IF(U378="BLOCKED_PENDING_RECEIPT","Log source path or blocker; do not promote","Route to review lane")</x:f>
        <x:v>Log source path or blocker; do not promote</x:v>
      </x:c>
      <x:c r="Z378" s="12" t="str">
        <x:f>IF(K378="P0","Primary seat + Hashlight/Lucerna","Seat lane")</x:f>
        <x:v>Seat lane</x:v>
      </x:c>
      <x:c r="AA378" s="12" t="str">
        <x:f>IF(R378="","no_claim_delta","claim_delta_present")</x:f>
        <x:v>no_claim_delta</x:v>
      </x:c>
      <x:c r="AB378" s="12" t="str">
        <x:f>IF(S378="","no_contradiction_delta","contradiction_delta_present")</x:f>
        <x:v>no_contradiction_delta</x:v>
      </x:c>
      <x:c r="AC378" s="12" t="str">
        <x:f>IF(OR(ISNUMBER(SEARCH("hacker",LOWER(F378&amp;" "&amp;H378&amp;" "&amp;I378&amp;" "&amp;M378&amp;" "&amp;N378&amp;" "&amp;T378))),ISNUMBER(SEARCH("hacking",LOWER(F378&amp;" "&amp;H378&amp;" "&amp;I378&amp;" "&amp;M378&amp;" "&amp;N378&amp;" "&amp;T378))),ISNUMBER(SEARCH("bank",LOWER(F378&amp;" "&amp;H378&amp;" "&amp;I378&amp;" "&amp;M378&amp;" "&amp;N378&amp;" "&amp;T378))),ISNUMBER(SEARCH("banking",LOWER(F378&amp;" "&amp;H378&amp;" "&amp;I378&amp;" "&amp;M378&amp;" "&amp;N378&amp;" "&amp;T378)))),"PRIVATE_QUARANTINE",IF(OR(ISNUMBER(SEARCH("treasury",LOWER(F378&amp;" "&amp;H378&amp;" "&amp;I378&amp;" "&amp;M378&amp;" "&amp;N378&amp;" "&amp;T378))),ISNUMBER(SEARCH("debt",LOWER(F378&amp;" "&amp;H378&amp;" "&amp;I378&amp;" "&amp;M378&amp;" "&amp;N378&amp;" "&amp;T378))),ISNUMBER(SEARCH("bond",LOWER(F378&amp;" "&amp;H378&amp;" "&amp;I378&amp;" "&amp;M378&amp;" "&amp;N378&amp;" "&amp;T378))),ISNUMBER(SEARCH("transaction",LOWER(F378&amp;" "&amp;H378&amp;" "&amp;I378&amp;" "&amp;M378&amp;" "&amp;N378&amp;" "&amp;T378)))),"PRIVATE_REVIEW","PUBLIC_CANDIDATE"))</x:f>
        <x:v>PUBLIC_CANDIDATE</x:v>
      </x:c>
      <x:c r="AD378" s="12" t="str">
        <x:f>IF(AC378="PRIVATE_QUARANTINE","hacker_or_bank_trigger",IF(AC378="PRIVATE_REVIEW","finance_risk_trigger","none"))</x:f>
        <x:v>none</x:v>
      </x:c>
      <x:c r="AE378" s="12" t="str">
        <x:f>IF(AC378="PUBLIC_CANDIDATE","prepare_public_github_candidate",IF(AC378="PRIVATE_REVIEW","hold_for_private_review","quarantine_private_do_not_publish"))</x:f>
        <x:v>prepare_public_github_candidate</x:v>
      </x:c>
      <x:c r="AF378" s="12" t="str">
        <x:f>IF(AC378="PUBLIC_CANDIDATE","TIDELOCK + Lucerna",IF(AC378="PRIVATE_REVIEW","AtlasBrain + Lucerna","TIDELOCK + Lucerna + Human-root"))</x:f>
        <x:v>TIDELOCK + Lucerna</x:v>
      </x:c>
      <x:c r="AG378" s="12" t="str">
        <x:f>IF(AND(AC378="PUBLIC_CANDIDATE",U378&lt;&gt;"BLOCKED_PENDING_RECEIPT"),"READY_AFTER_RECEIPT","NOT_READY")</x:f>
        <x:v>NOT_READY</x:v>
      </x:c>
      <x:c r="AH378" s="12" t="str">
        <x:f>IF(AC378="PUBLIC_CANDIDATE","none",AD378)</x:f>
        <x:v>none</x:v>
      </x:c>
      <x:c r="AI378" s="12" t="str">
        <x:f>IF(AC378="PUBLIC_CANDIDATE","archive/public_candidates/"&amp;A378,"private_quarantine/"&amp;A378)</x:f>
        <x:v>archive/public_candidates/SWARM-03-H08-S05</x:v>
      </x:c>
      <x:c r="AJ378" s="12" t="str">
        <x:f>IF(AC378="PUBLIC_CANDIDATE","public by default; still not canon","private/hold; do not publish")</x:f>
        <x:v>public by default; still not canon</x:v>
      </x:c>
      <x:c r="AK378" s="12" t="str">
        <x:f>IF(AE378="prepare_public_github_candidate","add receipt/status then mirror","resolve blocker before any public GitHub action")</x:f>
        <x:v>add receipt/status then mirror</x:v>
      </x:c>
    </x:row>
    <x:row r="379">
      <x:c r="A379" s="15" t="str">
        <x:v>SWARM-03-H08-S06</x:v>
      </x:c>
      <x:c r="B379" s="15" t="str">
        <x:v>KairoBrain</x:v>
      </x:c>
      <x:c r="C379" s="15" t="str">
        <x:v>Temporal strata keeper</x:v>
      </x:c>
      <x:c r="D379" s="15" t="str">
        <x:v>Graph Edge Proposals</x:v>
      </x:c>
      <x:c r="E379" s="15" t="str">
        <x:v>External Web</x:v>
      </x:c>
      <x:c r="F379" s="15" t="str">
        <x:v>Propose graph edges for External Web — KairoBrain</x:v>
      </x:c>
      <x:c r="G379" s="15" t="str">
        <x:v>staleness / versioning / supersession</x:v>
      </x:c>
      <x:c r="H379" s="15" t="str">
        <x:v>source path + receipt + raw/export status + claim/edge/risk delta</x:v>
      </x:c>
      <x:c r="I379" s="15" t="str">
        <x:v>packet/SWARM-03-H08-S06</x:v>
      </x:c>
      <x:c r="J379" s="15" t="str">
        <x:v>TODO</x:v>
      </x:c>
      <x:c r="K379" s="15" t="str">
        <x:v>P1</x:v>
      </x:c>
      <x:c r="L379" s="15" t="str">
        <x:v>Done only when evidence is logged, contradiction search is noted, and boundary stamp remains non-canon unless ratified</x:v>
      </x:c>
      <x:c r="M379" s="15" t="str">
        <x:v>candidate / staging-only / not canon / not deployed / authority none</x:v>
      </x:c>
      <x:c r="N379" s="15" t="str">
        <x:v>Dispatch to KairoBrain: complete Graph Edge Proposals x External Web; return deltas only, receipts required.</x:v>
      </x:c>
      <x:c r="O379" s="15" t="str">
        <x:v>AF-KG-H08-S06</x:v>
      </x:c>
      <x:c r="P379" s="15" t="str">
        <x:v>Unverified</x:v>
      </x:c>
      <x:c r="Q379" s="15" t="str">
        <x:v>Not checked</x:v>
      </x:c>
      <x:c r="R379" s="15" t="str"/>
      <x:c r="S379" s="15" t="str"/>
      <x:c r="T379" s="15" t="str">
        <x:v>Log first source path or blocker</x:v>
      </x:c>
      <x:c r="U379" s="12" t="str">
        <x:f>IF(OR(P379="Unverified",Q379="Not checked"),"BLOCKED_PENDING_RECEIPT","READY_FOR_REVIEW")</x:f>
        <x:v>BLOCKED_PENDING_RECEIPT</x:v>
      </x:c>
      <x:c r="V379" s="12" t="str">
        <x:f>IF(J379="DONE","RETURNED",IF(U379="BLOCKED_PENDING_RECEIPT","SOURCE_TOUCH_REQUIRED","IN_PROGRESS"))</x:f>
        <x:v>SOURCE_TOUCH_REQUIRED</x:v>
      </x:c>
      <x:c r="W379" s="12" t="str">
        <x:f>IF(P379="Unverified","missing_receipt","receipt_logged")</x:f>
        <x:v>missing_receipt</x:v>
      </x:c>
      <x:c r="X379" s="12" t="str">
        <x:f>IF(Q379="Not checked","raw_status_missing","raw_status_logged")</x:f>
        <x:v>raw_status_missing</x:v>
      </x:c>
      <x:c r="Y379" s="12" t="str">
        <x:f>IF(U379="BLOCKED_PENDING_RECEIPT","Log source path or blocker; do not promote","Route to review lane")</x:f>
        <x:v>Log source path or blocker; do not promote</x:v>
      </x:c>
      <x:c r="Z379" s="12" t="str">
        <x:f>IF(K379="P0","Primary seat + Hashlight/Lucerna","Seat lane")</x:f>
        <x:v>Seat lane</x:v>
      </x:c>
      <x:c r="AA379" s="12" t="str">
        <x:f>IF(R379="","no_claim_delta","claim_delta_present")</x:f>
        <x:v>no_claim_delta</x:v>
      </x:c>
      <x:c r="AB379" s="12" t="str">
        <x:f>IF(S379="","no_contradiction_delta","contradiction_delta_present")</x:f>
        <x:v>no_contradiction_delta</x:v>
      </x:c>
      <x:c r="AC379" s="12" t="str">
        <x:f>IF(OR(ISNUMBER(SEARCH("hacker",LOWER(F379&amp;" "&amp;H379&amp;" "&amp;I379&amp;" "&amp;M379&amp;" "&amp;N379&amp;" "&amp;T379))),ISNUMBER(SEARCH("hacking",LOWER(F379&amp;" "&amp;H379&amp;" "&amp;I379&amp;" "&amp;M379&amp;" "&amp;N379&amp;" "&amp;T379))),ISNUMBER(SEARCH("bank",LOWER(F379&amp;" "&amp;H379&amp;" "&amp;I379&amp;" "&amp;M379&amp;" "&amp;N379&amp;" "&amp;T379))),ISNUMBER(SEARCH("banking",LOWER(F379&amp;" "&amp;H379&amp;" "&amp;I379&amp;" "&amp;M379&amp;" "&amp;N379&amp;" "&amp;T379)))),"PRIVATE_QUARANTINE",IF(OR(ISNUMBER(SEARCH("treasury",LOWER(F379&amp;" "&amp;H379&amp;" "&amp;I379&amp;" "&amp;M379&amp;" "&amp;N379&amp;" "&amp;T379))),ISNUMBER(SEARCH("debt",LOWER(F379&amp;" "&amp;H379&amp;" "&amp;I379&amp;" "&amp;M379&amp;" "&amp;N379&amp;" "&amp;T379))),ISNUMBER(SEARCH("bond",LOWER(F379&amp;" "&amp;H379&amp;" "&amp;I379&amp;" "&amp;M379&amp;" "&amp;N379&amp;" "&amp;T379))),ISNUMBER(SEARCH("transaction",LOWER(F379&amp;" "&amp;H379&amp;" "&amp;I379&amp;" "&amp;M379&amp;" "&amp;N379&amp;" "&amp;T379)))),"PRIVATE_REVIEW","PUBLIC_CANDIDATE"))</x:f>
        <x:v>PUBLIC_CANDIDATE</x:v>
      </x:c>
      <x:c r="AD379" s="12" t="str">
        <x:f>IF(AC379="PRIVATE_QUARANTINE","hacker_or_bank_trigger",IF(AC379="PRIVATE_REVIEW","finance_risk_trigger","none"))</x:f>
        <x:v>none</x:v>
      </x:c>
      <x:c r="AE379" s="12" t="str">
        <x:f>IF(AC379="PUBLIC_CANDIDATE","prepare_public_github_candidate",IF(AC379="PRIVATE_REVIEW","hold_for_private_review","quarantine_private_do_not_publish"))</x:f>
        <x:v>prepare_public_github_candidate</x:v>
      </x:c>
      <x:c r="AF379" s="12" t="str">
        <x:f>IF(AC379="PUBLIC_CANDIDATE","TIDELOCK + Lucerna",IF(AC379="PRIVATE_REVIEW","AtlasBrain + Lucerna","TIDELOCK + Lucerna + Human-root"))</x:f>
        <x:v>TIDELOCK + Lucerna</x:v>
      </x:c>
      <x:c r="AG379" s="12" t="str">
        <x:f>IF(AND(AC379="PUBLIC_CANDIDATE",U379&lt;&gt;"BLOCKED_PENDING_RECEIPT"),"READY_AFTER_RECEIPT","NOT_READY")</x:f>
        <x:v>NOT_READY</x:v>
      </x:c>
      <x:c r="AH379" s="12" t="str">
        <x:f>IF(AC379="PUBLIC_CANDIDATE","none",AD379)</x:f>
        <x:v>none</x:v>
      </x:c>
      <x:c r="AI379" s="12" t="str">
        <x:f>IF(AC379="PUBLIC_CANDIDATE","archive/public_candidates/"&amp;A379,"private_quarantine/"&amp;A379)</x:f>
        <x:v>archive/public_candidates/SWARM-03-H08-S06</x:v>
      </x:c>
      <x:c r="AJ379" s="12" t="str">
        <x:f>IF(AC379="PUBLIC_CANDIDATE","public by default; still not canon","private/hold; do not publish")</x:f>
        <x:v>public by default; still not canon</x:v>
      </x:c>
      <x:c r="AK379" s="12" t="str">
        <x:f>IF(AE379="prepare_public_github_candidate","add receipt/status then mirror","resolve blocker before any public GitHub action")</x:f>
        <x:v>add receipt/status then mirror</x:v>
      </x:c>
    </x:row>
    <x:row r="380">
      <x:c r="A380" s="15" t="str">
        <x:v>SWARM-03-H08-S07</x:v>
      </x:c>
      <x:c r="B380" s="15" t="str">
        <x:v>KairoBrain</x:v>
      </x:c>
      <x:c r="C380" s="15" t="str">
        <x:v>Temporal strata keeper</x:v>
      </x:c>
      <x:c r="D380" s="15" t="str">
        <x:v>Graph Edge Proposals</x:v>
      </x:c>
      <x:c r="E380" s="15" t="str">
        <x:v>Planetarium</x:v>
      </x:c>
      <x:c r="F380" s="15" t="str">
        <x:v>Propose graph edges for Planetarium — KairoBrain</x:v>
      </x:c>
      <x:c r="G380" s="15" t="str">
        <x:v>staleness / versioning / supersession</x:v>
      </x:c>
      <x:c r="H380" s="15" t="str">
        <x:v>source path + receipt + raw/export status + claim/edge/risk delta</x:v>
      </x:c>
      <x:c r="I380" s="15" t="str">
        <x:v>packet/SWARM-03-H08-S07</x:v>
      </x:c>
      <x:c r="J380" s="15" t="str">
        <x:v>TODO</x:v>
      </x:c>
      <x:c r="K380" s="15" t="str">
        <x:v>P1</x:v>
      </x:c>
      <x:c r="L380" s="15" t="str">
        <x:v>Done only when evidence is logged, contradiction search is noted, and boundary stamp remains non-canon unless ratified</x:v>
      </x:c>
      <x:c r="M380" s="15" t="str">
        <x:v>candidate / staging-only / not canon / not deployed / authority none</x:v>
      </x:c>
      <x:c r="N380" s="15" t="str">
        <x:v>Dispatch to KairoBrain: complete Graph Edge Proposals x Planetarium; return deltas only, receipts required.</x:v>
      </x:c>
      <x:c r="O380" s="15" t="str">
        <x:v>AF-KG-H08-S07</x:v>
      </x:c>
      <x:c r="P380" s="15" t="str">
        <x:v>Unverified</x:v>
      </x:c>
      <x:c r="Q380" s="15" t="str">
        <x:v>Not checked</x:v>
      </x:c>
      <x:c r="R380" s="15" t="str"/>
      <x:c r="S380" s="15" t="str"/>
      <x:c r="T380" s="15" t="str">
        <x:v>Log first source path or blocker</x:v>
      </x:c>
      <x:c r="U380" s="12" t="str">
        <x:f>IF(OR(P380="Unverified",Q380="Not checked"),"BLOCKED_PENDING_RECEIPT","READY_FOR_REVIEW")</x:f>
        <x:v>BLOCKED_PENDING_RECEIPT</x:v>
      </x:c>
      <x:c r="V380" s="12" t="str">
        <x:f>IF(J380="DONE","RETURNED",IF(U380="BLOCKED_PENDING_RECEIPT","SOURCE_TOUCH_REQUIRED","IN_PROGRESS"))</x:f>
        <x:v>SOURCE_TOUCH_REQUIRED</x:v>
      </x:c>
      <x:c r="W380" s="12" t="str">
        <x:f>IF(P380="Unverified","missing_receipt","receipt_logged")</x:f>
        <x:v>missing_receipt</x:v>
      </x:c>
      <x:c r="X380" s="12" t="str">
        <x:f>IF(Q380="Not checked","raw_status_missing","raw_status_logged")</x:f>
        <x:v>raw_status_missing</x:v>
      </x:c>
      <x:c r="Y380" s="12" t="str">
        <x:f>IF(U380="BLOCKED_PENDING_RECEIPT","Log source path or blocker; do not promote","Route to review lane")</x:f>
        <x:v>Log source path or blocker; do not promote</x:v>
      </x:c>
      <x:c r="Z380" s="12" t="str">
        <x:f>IF(K380="P0","Primary seat + Hashlight/Lucerna","Seat lane")</x:f>
        <x:v>Seat lane</x:v>
      </x:c>
      <x:c r="AA380" s="12" t="str">
        <x:f>IF(R380="","no_claim_delta","claim_delta_present")</x:f>
        <x:v>no_claim_delta</x:v>
      </x:c>
      <x:c r="AB380" s="12" t="str">
        <x:f>IF(S380="","no_contradiction_delta","contradiction_delta_present")</x:f>
        <x:v>no_contradiction_delta</x:v>
      </x:c>
      <x:c r="AC380" s="12" t="str">
        <x:f>IF(OR(ISNUMBER(SEARCH("hacker",LOWER(F380&amp;" "&amp;H380&amp;" "&amp;I380&amp;" "&amp;M380&amp;" "&amp;N380&amp;" "&amp;T380))),ISNUMBER(SEARCH("hacking",LOWER(F380&amp;" "&amp;H380&amp;" "&amp;I380&amp;" "&amp;M380&amp;" "&amp;N380&amp;" "&amp;T380))),ISNUMBER(SEARCH("bank",LOWER(F380&amp;" "&amp;H380&amp;" "&amp;I380&amp;" "&amp;M380&amp;" "&amp;N380&amp;" "&amp;T380))),ISNUMBER(SEARCH("banking",LOWER(F380&amp;" "&amp;H380&amp;" "&amp;I380&amp;" "&amp;M380&amp;" "&amp;N380&amp;" "&amp;T380)))),"PRIVATE_QUARANTINE",IF(OR(ISNUMBER(SEARCH("treasury",LOWER(F380&amp;" "&amp;H380&amp;" "&amp;I380&amp;" "&amp;M380&amp;" "&amp;N380&amp;" "&amp;T380))),ISNUMBER(SEARCH("debt",LOWER(F380&amp;" "&amp;H380&amp;" "&amp;I380&amp;" "&amp;M380&amp;" "&amp;N380&amp;" "&amp;T380))),ISNUMBER(SEARCH("bond",LOWER(F380&amp;" "&amp;H380&amp;" "&amp;I380&amp;" "&amp;M380&amp;" "&amp;N380&amp;" "&amp;T380))),ISNUMBER(SEARCH("transaction",LOWER(F380&amp;" "&amp;H380&amp;" "&amp;I380&amp;" "&amp;M380&amp;" "&amp;N380&amp;" "&amp;T380)))),"PRIVATE_REVIEW","PUBLIC_CANDIDATE"))</x:f>
        <x:v>PUBLIC_CANDIDATE</x:v>
      </x:c>
      <x:c r="AD380" s="12" t="str">
        <x:f>IF(AC380="PRIVATE_QUARANTINE","hacker_or_bank_trigger",IF(AC380="PRIVATE_REVIEW","finance_risk_trigger","none"))</x:f>
        <x:v>none</x:v>
      </x:c>
      <x:c r="AE380" s="12" t="str">
        <x:f>IF(AC380="PUBLIC_CANDIDATE","prepare_public_github_candidate",IF(AC380="PRIVATE_REVIEW","hold_for_private_review","quarantine_private_do_not_publish"))</x:f>
        <x:v>prepare_public_github_candidate</x:v>
      </x:c>
      <x:c r="AF380" s="12" t="str">
        <x:f>IF(AC380="PUBLIC_CANDIDATE","TIDELOCK + Lucerna",IF(AC380="PRIVATE_REVIEW","AtlasBrain + Lucerna","TIDELOCK + Lucerna + Human-root"))</x:f>
        <x:v>TIDELOCK + Lucerna</x:v>
      </x:c>
      <x:c r="AG380" s="12" t="str">
        <x:f>IF(AND(AC380="PUBLIC_CANDIDATE",U380&lt;&gt;"BLOCKED_PENDING_RECEIPT"),"READY_AFTER_RECEIPT","NOT_READY")</x:f>
        <x:v>NOT_READY</x:v>
      </x:c>
      <x:c r="AH380" s="12" t="str">
        <x:f>IF(AC380="PUBLIC_CANDIDATE","none",AD380)</x:f>
        <x:v>none</x:v>
      </x:c>
      <x:c r="AI380" s="12" t="str">
        <x:f>IF(AC380="PUBLIC_CANDIDATE","archive/public_candidates/"&amp;A380,"private_quarantine/"&amp;A380)</x:f>
        <x:v>archive/public_candidates/SWARM-03-H08-S07</x:v>
      </x:c>
      <x:c r="AJ380" s="12" t="str">
        <x:f>IF(AC380="PUBLIC_CANDIDATE","public by default; still not canon","private/hold; do not publish")</x:f>
        <x:v>public by default; still not canon</x:v>
      </x:c>
      <x:c r="AK380" s="12" t="str">
        <x:f>IF(AE380="prepare_public_github_candidate","add receipt/status then mirror","resolve blocker before any public GitHub action")</x:f>
        <x:v>add receipt/status then mirror</x:v>
      </x:c>
    </x:row>
    <x:row r="381">
      <x:c r="A381" s="15" t="str">
        <x:v>SWARM-03-H08-S08</x:v>
      </x:c>
      <x:c r="B381" s="15" t="str">
        <x:v>KairoBrain</x:v>
      </x:c>
      <x:c r="C381" s="15" t="str">
        <x:v>Temporal strata keeper</x:v>
      </x:c>
      <x:c r="D381" s="15" t="str">
        <x:v>Graph Edge Proposals</x:v>
      </x:c>
      <x:c r="E381" s="15" t="str">
        <x:v>Sheldonbrain</x:v>
      </x:c>
      <x:c r="F381" s="15" t="str">
        <x:v>Propose graph edges for Sheldonbrain — KairoBrain</x:v>
      </x:c>
      <x:c r="G381" s="15" t="str">
        <x:v>staleness / versioning / supersession</x:v>
      </x:c>
      <x:c r="H381" s="15" t="str">
        <x:v>source path + receipt + raw/export status + claim/edge/risk delta</x:v>
      </x:c>
      <x:c r="I381" s="15" t="str">
        <x:v>packet/SWARM-03-H08-S08</x:v>
      </x:c>
      <x:c r="J381" s="15" t="str">
        <x:v>TODO</x:v>
      </x:c>
      <x:c r="K381" s="15" t="str">
        <x:v>P1</x:v>
      </x:c>
      <x:c r="L381" s="15" t="str">
        <x:v>Done only when evidence is logged, contradiction search is noted, and boundary stamp remains non-canon unless ratified</x:v>
      </x:c>
      <x:c r="M381" s="15" t="str">
        <x:v>candidate / staging-only / not canon / not deployed / authority none</x:v>
      </x:c>
      <x:c r="N381" s="15" t="str">
        <x:v>Dispatch to KairoBrain: complete Graph Edge Proposals x Sheldonbrain; return deltas only, receipts required.</x:v>
      </x:c>
      <x:c r="O381" s="15" t="str">
        <x:v>AF-KG-H08-S08</x:v>
      </x:c>
      <x:c r="P381" s="15" t="str">
        <x:v>Unverified</x:v>
      </x:c>
      <x:c r="Q381" s="15" t="str">
        <x:v>Not checked</x:v>
      </x:c>
      <x:c r="R381" s="15" t="str"/>
      <x:c r="S381" s="15" t="str"/>
      <x:c r="T381" s="15" t="str">
        <x:v>Log first source path or blocker</x:v>
      </x:c>
      <x:c r="U381" s="12" t="str">
        <x:f>IF(OR(P381="Unverified",Q381="Not checked"),"BLOCKED_PENDING_RECEIPT","READY_FOR_REVIEW")</x:f>
        <x:v>BLOCKED_PENDING_RECEIPT</x:v>
      </x:c>
      <x:c r="V381" s="12" t="str">
        <x:f>IF(J381="DONE","RETURNED",IF(U381="BLOCKED_PENDING_RECEIPT","SOURCE_TOUCH_REQUIRED","IN_PROGRESS"))</x:f>
        <x:v>SOURCE_TOUCH_REQUIRED</x:v>
      </x:c>
      <x:c r="W381" s="12" t="str">
        <x:f>IF(P381="Unverified","missing_receipt","receipt_logged")</x:f>
        <x:v>missing_receipt</x:v>
      </x:c>
      <x:c r="X381" s="12" t="str">
        <x:f>IF(Q381="Not checked","raw_status_missing","raw_status_logged")</x:f>
        <x:v>raw_status_missing</x:v>
      </x:c>
      <x:c r="Y381" s="12" t="str">
        <x:f>IF(U381="BLOCKED_PENDING_RECEIPT","Log source path or blocker; do not promote","Route to review lane")</x:f>
        <x:v>Log source path or blocker; do not promote</x:v>
      </x:c>
      <x:c r="Z381" s="12" t="str">
        <x:f>IF(K381="P0","Primary seat + Hashlight/Lucerna","Seat lane")</x:f>
        <x:v>Seat lane</x:v>
      </x:c>
      <x:c r="AA381" s="12" t="str">
        <x:f>IF(R381="","no_claim_delta","claim_delta_present")</x:f>
        <x:v>no_claim_delta</x:v>
      </x:c>
      <x:c r="AB381" s="12" t="str">
        <x:f>IF(S381="","no_contradiction_delta","contradiction_delta_present")</x:f>
        <x:v>no_contradiction_delta</x:v>
      </x:c>
      <x:c r="AC381" s="12" t="str">
        <x:f>IF(OR(ISNUMBER(SEARCH("hacker",LOWER(F381&amp;" "&amp;H381&amp;" "&amp;I381&amp;" "&amp;M381&amp;" "&amp;N381&amp;" "&amp;T381))),ISNUMBER(SEARCH("hacking",LOWER(F381&amp;" "&amp;H381&amp;" "&amp;I381&amp;" "&amp;M381&amp;" "&amp;N381&amp;" "&amp;T381))),ISNUMBER(SEARCH("bank",LOWER(F381&amp;" "&amp;H381&amp;" "&amp;I381&amp;" "&amp;M381&amp;" "&amp;N381&amp;" "&amp;T381))),ISNUMBER(SEARCH("banking",LOWER(F381&amp;" "&amp;H381&amp;" "&amp;I381&amp;" "&amp;M381&amp;" "&amp;N381&amp;" "&amp;T381)))),"PRIVATE_QUARANTINE",IF(OR(ISNUMBER(SEARCH("treasury",LOWER(F381&amp;" "&amp;H381&amp;" "&amp;I381&amp;" "&amp;M381&amp;" "&amp;N381&amp;" "&amp;T381))),ISNUMBER(SEARCH("debt",LOWER(F381&amp;" "&amp;H381&amp;" "&amp;I381&amp;" "&amp;M381&amp;" "&amp;N381&amp;" "&amp;T381))),ISNUMBER(SEARCH("bond",LOWER(F381&amp;" "&amp;H381&amp;" "&amp;I381&amp;" "&amp;M381&amp;" "&amp;N381&amp;" "&amp;T381))),ISNUMBER(SEARCH("transaction",LOWER(F381&amp;" "&amp;H381&amp;" "&amp;I381&amp;" "&amp;M381&amp;" "&amp;N381&amp;" "&amp;T381)))),"PRIVATE_REVIEW","PUBLIC_CANDIDATE"))</x:f>
        <x:v>PUBLIC_CANDIDATE</x:v>
      </x:c>
      <x:c r="AD381" s="12" t="str">
        <x:f>IF(AC381="PRIVATE_QUARANTINE","hacker_or_bank_trigger",IF(AC381="PRIVATE_REVIEW","finance_risk_trigger","none"))</x:f>
        <x:v>none</x:v>
      </x:c>
      <x:c r="AE381" s="12" t="str">
        <x:f>IF(AC381="PUBLIC_CANDIDATE","prepare_public_github_candidate",IF(AC381="PRIVATE_REVIEW","hold_for_private_review","quarantine_private_do_not_publish"))</x:f>
        <x:v>prepare_public_github_candidate</x:v>
      </x:c>
      <x:c r="AF381" s="12" t="str">
        <x:f>IF(AC381="PUBLIC_CANDIDATE","TIDELOCK + Lucerna",IF(AC381="PRIVATE_REVIEW","AtlasBrain + Lucerna","TIDELOCK + Lucerna + Human-root"))</x:f>
        <x:v>TIDELOCK + Lucerna</x:v>
      </x:c>
      <x:c r="AG381" s="12" t="str">
        <x:f>IF(AND(AC381="PUBLIC_CANDIDATE",U381&lt;&gt;"BLOCKED_PENDING_RECEIPT"),"READY_AFTER_RECEIPT","NOT_READY")</x:f>
        <x:v>NOT_READY</x:v>
      </x:c>
      <x:c r="AH381" s="12" t="str">
        <x:f>IF(AC381="PUBLIC_CANDIDATE","none",AD381)</x:f>
        <x:v>none</x:v>
      </x:c>
      <x:c r="AI381" s="12" t="str">
        <x:f>IF(AC381="PUBLIC_CANDIDATE","archive/public_candidates/"&amp;A381,"private_quarantine/"&amp;A381)</x:f>
        <x:v>archive/public_candidates/SWARM-03-H08-S08</x:v>
      </x:c>
      <x:c r="AJ381" s="12" t="str">
        <x:f>IF(AC381="PUBLIC_CANDIDATE","public by default; still not canon","private/hold; do not publish")</x:f>
        <x:v>public by default; still not canon</x:v>
      </x:c>
      <x:c r="AK381" s="12" t="str">
        <x:f>IF(AE381="prepare_public_github_candidate","add receipt/status then mirror","resolve blocker before any public GitHub action")</x:f>
        <x:v>add receipt/status then mirror</x:v>
      </x:c>
    </x:row>
    <x:row r="382">
      <x:c r="A382" s="15" t="str">
        <x:v>SWARM-03-H08-S09</x:v>
      </x:c>
      <x:c r="B382" s="15" t="str">
        <x:v>KairoBrain</x:v>
      </x:c>
      <x:c r="C382" s="15" t="str">
        <x:v>Temporal strata keeper</x:v>
      </x:c>
      <x:c r="D382" s="15" t="str">
        <x:v>Graph Edge Proposals</x:v>
      </x:c>
      <x:c r="E382" s="15" t="str">
        <x:v>Aetherforge</x:v>
      </x:c>
      <x:c r="F382" s="15" t="str">
        <x:v>Propose graph edges for Aetherforge — KairoBrain</x:v>
      </x:c>
      <x:c r="G382" s="15" t="str">
        <x:v>staleness / versioning / supersession</x:v>
      </x:c>
      <x:c r="H382" s="15" t="str">
        <x:v>source path + receipt + raw/export status + claim/edge/risk delta</x:v>
      </x:c>
      <x:c r="I382" s="15" t="str">
        <x:v>packet/SWARM-03-H08-S09</x:v>
      </x:c>
      <x:c r="J382" s="15" t="str">
        <x:v>TODO</x:v>
      </x:c>
      <x:c r="K382" s="15" t="str">
        <x:v>P2</x:v>
      </x:c>
      <x:c r="L382" s="15" t="str">
        <x:v>Done only when evidence is logged, contradiction search is noted, and boundary stamp remains non-canon unless ratified</x:v>
      </x:c>
      <x:c r="M382" s="15" t="str">
        <x:v>candidate / staging-only / not canon / not deployed / authority none</x:v>
      </x:c>
      <x:c r="N382" s="15" t="str">
        <x:v>Dispatch to KairoBrain: complete Graph Edge Proposals x Aetherforge; return deltas only, receipts required.</x:v>
      </x:c>
      <x:c r="O382" s="15" t="str">
        <x:v>AF-KG-H08-S09</x:v>
      </x:c>
      <x:c r="P382" s="15" t="str">
        <x:v>Unverified</x:v>
      </x:c>
      <x:c r="Q382" s="15" t="str">
        <x:v>Not checked</x:v>
      </x:c>
      <x:c r="R382" s="15" t="str"/>
      <x:c r="S382" s="15" t="str"/>
      <x:c r="T382" s="15" t="str">
        <x:v>Log first source path or blocker</x:v>
      </x:c>
      <x:c r="U382" s="12" t="str">
        <x:f>IF(OR(P382="Unverified",Q382="Not checked"),"BLOCKED_PENDING_RECEIPT","READY_FOR_REVIEW")</x:f>
        <x:v>BLOCKED_PENDING_RECEIPT</x:v>
      </x:c>
      <x:c r="V382" s="12" t="str">
        <x:f>IF(J382="DONE","RETURNED",IF(U382="BLOCKED_PENDING_RECEIPT","SOURCE_TOUCH_REQUIRED","IN_PROGRESS"))</x:f>
        <x:v>SOURCE_TOUCH_REQUIRED</x:v>
      </x:c>
      <x:c r="W382" s="12" t="str">
        <x:f>IF(P382="Unverified","missing_receipt","receipt_logged")</x:f>
        <x:v>missing_receipt</x:v>
      </x:c>
      <x:c r="X382" s="12" t="str">
        <x:f>IF(Q382="Not checked","raw_status_missing","raw_status_logged")</x:f>
        <x:v>raw_status_missing</x:v>
      </x:c>
      <x:c r="Y382" s="12" t="str">
        <x:f>IF(U382="BLOCKED_PENDING_RECEIPT","Log source path or blocker; do not promote","Route to review lane")</x:f>
        <x:v>Log source path or blocker; do not promote</x:v>
      </x:c>
      <x:c r="Z382" s="12" t="str">
        <x:f>IF(K382="P0","Primary seat + Hashlight/Lucerna","Seat lane")</x:f>
        <x:v>Seat lane</x:v>
      </x:c>
      <x:c r="AA382" s="12" t="str">
        <x:f>IF(R382="","no_claim_delta","claim_delta_present")</x:f>
        <x:v>no_claim_delta</x:v>
      </x:c>
      <x:c r="AB382" s="12" t="str">
        <x:f>IF(S382="","no_contradiction_delta","contradiction_delta_present")</x:f>
        <x:v>no_contradiction_delta</x:v>
      </x:c>
      <x:c r="AC382" s="12" t="str">
        <x:f>IF(OR(ISNUMBER(SEARCH("hacker",LOWER(F382&amp;" "&amp;H382&amp;" "&amp;I382&amp;" "&amp;M382&amp;" "&amp;N382&amp;" "&amp;T382))),ISNUMBER(SEARCH("hacking",LOWER(F382&amp;" "&amp;H382&amp;" "&amp;I382&amp;" "&amp;M382&amp;" "&amp;N382&amp;" "&amp;T382))),ISNUMBER(SEARCH("bank",LOWER(F382&amp;" "&amp;H382&amp;" "&amp;I382&amp;" "&amp;M382&amp;" "&amp;N382&amp;" "&amp;T382))),ISNUMBER(SEARCH("banking",LOWER(F382&amp;" "&amp;H382&amp;" "&amp;I382&amp;" "&amp;M382&amp;" "&amp;N382&amp;" "&amp;T382)))),"PRIVATE_QUARANTINE",IF(OR(ISNUMBER(SEARCH("treasury",LOWER(F382&amp;" "&amp;H382&amp;" "&amp;I382&amp;" "&amp;M382&amp;" "&amp;N382&amp;" "&amp;T382))),ISNUMBER(SEARCH("debt",LOWER(F382&amp;" "&amp;H382&amp;" "&amp;I382&amp;" "&amp;M382&amp;" "&amp;N382&amp;" "&amp;T382))),ISNUMBER(SEARCH("bond",LOWER(F382&amp;" "&amp;H382&amp;" "&amp;I382&amp;" "&amp;M382&amp;" "&amp;N382&amp;" "&amp;T382))),ISNUMBER(SEARCH("transaction",LOWER(F382&amp;" "&amp;H382&amp;" "&amp;I382&amp;" "&amp;M382&amp;" "&amp;N382&amp;" "&amp;T382)))),"PRIVATE_REVIEW","PUBLIC_CANDIDATE"))</x:f>
        <x:v>PUBLIC_CANDIDATE</x:v>
      </x:c>
      <x:c r="AD382" s="12" t="str">
        <x:f>IF(AC382="PRIVATE_QUARANTINE","hacker_or_bank_trigger",IF(AC382="PRIVATE_REVIEW","finance_risk_trigger","none"))</x:f>
        <x:v>none</x:v>
      </x:c>
      <x:c r="AE382" s="12" t="str">
        <x:f>IF(AC382="PUBLIC_CANDIDATE","prepare_public_github_candidate",IF(AC382="PRIVATE_REVIEW","hold_for_private_review","quarantine_private_do_not_publish"))</x:f>
        <x:v>prepare_public_github_candidate</x:v>
      </x:c>
      <x:c r="AF382" s="12" t="str">
        <x:f>IF(AC382="PUBLIC_CANDIDATE","TIDELOCK + Lucerna",IF(AC382="PRIVATE_REVIEW","AtlasBrain + Lucerna","TIDELOCK + Lucerna + Human-root"))</x:f>
        <x:v>TIDELOCK + Lucerna</x:v>
      </x:c>
      <x:c r="AG382" s="12" t="str">
        <x:f>IF(AND(AC382="PUBLIC_CANDIDATE",U382&lt;&gt;"BLOCKED_PENDING_RECEIPT"),"READY_AFTER_RECEIPT","NOT_READY")</x:f>
        <x:v>NOT_READY</x:v>
      </x:c>
      <x:c r="AH382" s="12" t="str">
        <x:f>IF(AC382="PUBLIC_CANDIDATE","none",AD382)</x:f>
        <x:v>none</x:v>
      </x:c>
      <x:c r="AI382" s="12" t="str">
        <x:f>IF(AC382="PUBLIC_CANDIDATE","archive/public_candidates/"&amp;A382,"private_quarantine/"&amp;A382)</x:f>
        <x:v>archive/public_candidates/SWARM-03-H08-S09</x:v>
      </x:c>
      <x:c r="AJ382" s="12" t="str">
        <x:f>IF(AC382="PUBLIC_CANDIDATE","public by default; still not canon","private/hold; do not publish")</x:f>
        <x:v>public by default; still not canon</x:v>
      </x:c>
      <x:c r="AK382" s="12" t="str">
        <x:f>IF(AE382="prepare_public_github_candidate","add receipt/status then mirror","resolve blocker before any public GitHub action")</x:f>
        <x:v>add receipt/status then mirror</x:v>
      </x:c>
    </x:row>
    <x:row r="383">
      <x:c r="A383" s="15" t="str">
        <x:v>SWARM-03-H08-S10</x:v>
      </x:c>
      <x:c r="B383" s="15" t="str">
        <x:v>KairoBrain</x:v>
      </x:c>
      <x:c r="C383" s="15" t="str">
        <x:v>Temporal strata keeper</x:v>
      </x:c>
      <x:c r="D383" s="15" t="str">
        <x:v>Graph Edge Proposals</x:v>
      </x:c>
      <x:c r="E383" s="15" t="str">
        <x:v>Human-Root</x:v>
      </x:c>
      <x:c r="F383" s="15" t="str">
        <x:v>Propose graph edges for Human-Root — KairoBrain</x:v>
      </x:c>
      <x:c r="G383" s="15" t="str">
        <x:v>staleness / versioning / supersession</x:v>
      </x:c>
      <x:c r="H383" s="15" t="str">
        <x:v>source path + receipt + raw/export status + claim/edge/risk delta</x:v>
      </x:c>
      <x:c r="I383" s="15" t="str">
        <x:v>packet/SWARM-03-H08-S10</x:v>
      </x:c>
      <x:c r="J383" s="15" t="str">
        <x:v>TODO</x:v>
      </x:c>
      <x:c r="K383" s="15" t="str">
        <x:v>P2</x:v>
      </x:c>
      <x:c r="L383" s="15" t="str">
        <x:v>Done only when evidence is logged, contradiction search is noted, and boundary stamp remains non-canon unless ratified</x:v>
      </x:c>
      <x:c r="M383" s="15" t="str">
        <x:v>candidate / staging-only / not canon / not deployed / authority none</x:v>
      </x:c>
      <x:c r="N383" s="15" t="str">
        <x:v>Dispatch to KairoBrain: complete Graph Edge Proposals x Human-Root; return deltas only, receipts required.</x:v>
      </x:c>
      <x:c r="O383" s="15" t="str">
        <x:v>AF-KG-H08-S10</x:v>
      </x:c>
      <x:c r="P383" s="15" t="str">
        <x:v>Unverified</x:v>
      </x:c>
      <x:c r="Q383" s="15" t="str">
        <x:v>Not checked</x:v>
      </x:c>
      <x:c r="R383" s="15" t="str"/>
      <x:c r="S383" s="15" t="str"/>
      <x:c r="T383" s="15" t="str">
        <x:v>Log first source path or blocker</x:v>
      </x:c>
      <x:c r="U383" s="12" t="str">
        <x:f>IF(OR(P383="Unverified",Q383="Not checked"),"BLOCKED_PENDING_RECEIPT","READY_FOR_REVIEW")</x:f>
        <x:v>BLOCKED_PENDING_RECEIPT</x:v>
      </x:c>
      <x:c r="V383" s="12" t="str">
        <x:f>IF(J383="DONE","RETURNED",IF(U383="BLOCKED_PENDING_RECEIPT","SOURCE_TOUCH_REQUIRED","IN_PROGRESS"))</x:f>
        <x:v>SOURCE_TOUCH_REQUIRED</x:v>
      </x:c>
      <x:c r="W383" s="12" t="str">
        <x:f>IF(P383="Unverified","missing_receipt","receipt_logged")</x:f>
        <x:v>missing_receipt</x:v>
      </x:c>
      <x:c r="X383" s="12" t="str">
        <x:f>IF(Q383="Not checked","raw_status_missing","raw_status_logged")</x:f>
        <x:v>raw_status_missing</x:v>
      </x:c>
      <x:c r="Y383" s="12" t="str">
        <x:f>IF(U383="BLOCKED_PENDING_RECEIPT","Log source path or blocker; do not promote","Route to review lane")</x:f>
        <x:v>Log source path or blocker; do not promote</x:v>
      </x:c>
      <x:c r="Z383" s="12" t="str">
        <x:f>IF(K383="P0","Primary seat + Hashlight/Lucerna","Seat lane")</x:f>
        <x:v>Seat lane</x:v>
      </x:c>
      <x:c r="AA383" s="12" t="str">
        <x:f>IF(R383="","no_claim_delta","claim_delta_present")</x:f>
        <x:v>no_claim_delta</x:v>
      </x:c>
      <x:c r="AB383" s="12" t="str">
        <x:f>IF(S383="","no_contradiction_delta","contradiction_delta_present")</x:f>
        <x:v>no_contradiction_delta</x:v>
      </x:c>
      <x:c r="AC383" s="12" t="str">
        <x:f>IF(OR(ISNUMBER(SEARCH("hacker",LOWER(F383&amp;" "&amp;H383&amp;" "&amp;I383&amp;" "&amp;M383&amp;" "&amp;N383&amp;" "&amp;T383))),ISNUMBER(SEARCH("hacking",LOWER(F383&amp;" "&amp;H383&amp;" "&amp;I383&amp;" "&amp;M383&amp;" "&amp;N383&amp;" "&amp;T383))),ISNUMBER(SEARCH("bank",LOWER(F383&amp;" "&amp;H383&amp;" "&amp;I383&amp;" "&amp;M383&amp;" "&amp;N383&amp;" "&amp;T383))),ISNUMBER(SEARCH("banking",LOWER(F383&amp;" "&amp;H383&amp;" "&amp;I383&amp;" "&amp;M383&amp;" "&amp;N383&amp;" "&amp;T383)))),"PRIVATE_QUARANTINE",IF(OR(ISNUMBER(SEARCH("treasury",LOWER(F383&amp;" "&amp;H383&amp;" "&amp;I383&amp;" "&amp;M383&amp;" "&amp;N383&amp;" "&amp;T383))),ISNUMBER(SEARCH("debt",LOWER(F383&amp;" "&amp;H383&amp;" "&amp;I383&amp;" "&amp;M383&amp;" "&amp;N383&amp;" "&amp;T383))),ISNUMBER(SEARCH("bond",LOWER(F383&amp;" "&amp;H383&amp;" "&amp;I383&amp;" "&amp;M383&amp;" "&amp;N383&amp;" "&amp;T383))),ISNUMBER(SEARCH("transaction",LOWER(F383&amp;" "&amp;H383&amp;" "&amp;I383&amp;" "&amp;M383&amp;" "&amp;N383&amp;" "&amp;T383)))),"PRIVATE_REVIEW","PUBLIC_CANDIDATE"))</x:f>
        <x:v>PUBLIC_CANDIDATE</x:v>
      </x:c>
      <x:c r="AD383" s="12" t="str">
        <x:f>IF(AC383="PRIVATE_QUARANTINE","hacker_or_bank_trigger",IF(AC383="PRIVATE_REVIEW","finance_risk_trigger","none"))</x:f>
        <x:v>none</x:v>
      </x:c>
      <x:c r="AE383" s="12" t="str">
        <x:f>IF(AC383="PUBLIC_CANDIDATE","prepare_public_github_candidate",IF(AC383="PRIVATE_REVIEW","hold_for_private_review","quarantine_private_do_not_publish"))</x:f>
        <x:v>prepare_public_github_candidate</x:v>
      </x:c>
      <x:c r="AF383" s="12" t="str">
        <x:f>IF(AC383="PUBLIC_CANDIDATE","TIDELOCK + Lucerna",IF(AC383="PRIVATE_REVIEW","AtlasBrain + Lucerna","TIDELOCK + Lucerna + Human-root"))</x:f>
        <x:v>TIDELOCK + Lucerna</x:v>
      </x:c>
      <x:c r="AG383" s="12" t="str">
        <x:f>IF(AND(AC383="PUBLIC_CANDIDATE",U383&lt;&gt;"BLOCKED_PENDING_RECEIPT"),"READY_AFTER_RECEIPT","NOT_READY")</x:f>
        <x:v>NOT_READY</x:v>
      </x:c>
      <x:c r="AH383" s="12" t="str">
        <x:f>IF(AC383="PUBLIC_CANDIDATE","none",AD383)</x:f>
        <x:v>none</x:v>
      </x:c>
      <x:c r="AI383" s="12" t="str">
        <x:f>IF(AC383="PUBLIC_CANDIDATE","archive/public_candidates/"&amp;A383,"private_quarantine/"&amp;A383)</x:f>
        <x:v>archive/public_candidates/SWARM-03-H08-S10</x:v>
      </x:c>
      <x:c r="AJ383" s="12" t="str">
        <x:f>IF(AC383="PUBLIC_CANDIDATE","public by default; still not canon","private/hold; do not publish")</x:f>
        <x:v>public by default; still not canon</x:v>
      </x:c>
      <x:c r="AK383" s="12" t="str">
        <x:f>IF(AE383="prepare_public_github_candidate","add receipt/status then mirror","resolve blocker before any public GitHub action")</x:f>
        <x:v>add receipt/status then mirror</x:v>
      </x:c>
    </x:row>
    <x:row r="384">
      <x:c r="A384" s="15" t="str">
        <x:v>SWARM-03-H08-S11</x:v>
      </x:c>
      <x:c r="B384" s="15" t="str">
        <x:v>KairoBrain</x:v>
      </x:c>
      <x:c r="C384" s="15" t="str">
        <x:v>Temporal strata keeper</x:v>
      </x:c>
      <x:c r="D384" s="15" t="str">
        <x:v>Graph Edge Proposals</x:v>
      </x:c>
      <x:c r="E384" s="15" t="str">
        <x:v>Automation</x:v>
      </x:c>
      <x:c r="F384" s="15" t="str">
        <x:v>Propose graph edges for Automation — KairoBrain</x:v>
      </x:c>
      <x:c r="G384" s="15" t="str">
        <x:v>staleness / versioning / supersession</x:v>
      </x:c>
      <x:c r="H384" s="15" t="str">
        <x:v>source path + receipt + raw/export status + claim/edge/risk delta</x:v>
      </x:c>
      <x:c r="I384" s="15" t="str">
        <x:v>packet/SWARM-03-H08-S11</x:v>
      </x:c>
      <x:c r="J384" s="15" t="str">
        <x:v>TODO</x:v>
      </x:c>
      <x:c r="K384" s="15" t="str">
        <x:v>P2</x:v>
      </x:c>
      <x:c r="L384" s="15" t="str">
        <x:v>Done only when evidence is logged, contradiction search is noted, and boundary stamp remains non-canon unless ratified</x:v>
      </x:c>
      <x:c r="M384" s="15" t="str">
        <x:v>candidate / staging-only / not canon / not deployed / authority none</x:v>
      </x:c>
      <x:c r="N384" s="15" t="str">
        <x:v>Dispatch to KairoBrain: complete Graph Edge Proposals x Automation; return deltas only, receipts required.</x:v>
      </x:c>
      <x:c r="O384" s="15" t="str">
        <x:v>AF-KG-H08-S11</x:v>
      </x:c>
      <x:c r="P384" s="15" t="str">
        <x:v>Unverified</x:v>
      </x:c>
      <x:c r="Q384" s="15" t="str">
        <x:v>Not checked</x:v>
      </x:c>
      <x:c r="R384" s="15" t="str"/>
      <x:c r="S384" s="15" t="str"/>
      <x:c r="T384" s="15" t="str">
        <x:v>Log first source path or blocker</x:v>
      </x:c>
      <x:c r="U384" s="12" t="str">
        <x:f>IF(OR(P384="Unverified",Q384="Not checked"),"BLOCKED_PENDING_RECEIPT","READY_FOR_REVIEW")</x:f>
        <x:v>BLOCKED_PENDING_RECEIPT</x:v>
      </x:c>
      <x:c r="V384" s="12" t="str">
        <x:f>IF(J384="DONE","RETURNED",IF(U384="BLOCKED_PENDING_RECEIPT","SOURCE_TOUCH_REQUIRED","IN_PROGRESS"))</x:f>
        <x:v>SOURCE_TOUCH_REQUIRED</x:v>
      </x:c>
      <x:c r="W384" s="12" t="str">
        <x:f>IF(P384="Unverified","missing_receipt","receipt_logged")</x:f>
        <x:v>missing_receipt</x:v>
      </x:c>
      <x:c r="X384" s="12" t="str">
        <x:f>IF(Q384="Not checked","raw_status_missing","raw_status_logged")</x:f>
        <x:v>raw_status_missing</x:v>
      </x:c>
      <x:c r="Y384" s="12" t="str">
        <x:f>IF(U384="BLOCKED_PENDING_RECEIPT","Log source path or blocker; do not promote","Route to review lane")</x:f>
        <x:v>Log source path or blocker; do not promote</x:v>
      </x:c>
      <x:c r="Z384" s="12" t="str">
        <x:f>IF(K384="P0","Primary seat + Hashlight/Lucerna","Seat lane")</x:f>
        <x:v>Seat lane</x:v>
      </x:c>
      <x:c r="AA384" s="12" t="str">
        <x:f>IF(R384="","no_claim_delta","claim_delta_present")</x:f>
        <x:v>no_claim_delta</x:v>
      </x:c>
      <x:c r="AB384" s="12" t="str">
        <x:f>IF(S384="","no_contradiction_delta","contradiction_delta_present")</x:f>
        <x:v>no_contradiction_delta</x:v>
      </x:c>
      <x:c r="AC384" s="12" t="str">
        <x:f>IF(OR(ISNUMBER(SEARCH("hacker",LOWER(F384&amp;" "&amp;H384&amp;" "&amp;I384&amp;" "&amp;M384&amp;" "&amp;N384&amp;" "&amp;T384))),ISNUMBER(SEARCH("hacking",LOWER(F384&amp;" "&amp;H384&amp;" "&amp;I384&amp;" "&amp;M384&amp;" "&amp;N384&amp;" "&amp;T384))),ISNUMBER(SEARCH("bank",LOWER(F384&amp;" "&amp;H384&amp;" "&amp;I384&amp;" "&amp;M384&amp;" "&amp;N384&amp;" "&amp;T384))),ISNUMBER(SEARCH("banking",LOWER(F384&amp;" "&amp;H384&amp;" "&amp;I384&amp;" "&amp;M384&amp;" "&amp;N384&amp;" "&amp;T384)))),"PRIVATE_QUARANTINE",IF(OR(ISNUMBER(SEARCH("treasury",LOWER(F384&amp;" "&amp;H384&amp;" "&amp;I384&amp;" "&amp;M384&amp;" "&amp;N384&amp;" "&amp;T384))),ISNUMBER(SEARCH("debt",LOWER(F384&amp;" "&amp;H384&amp;" "&amp;I384&amp;" "&amp;M384&amp;" "&amp;N384&amp;" "&amp;T384))),ISNUMBER(SEARCH("bond",LOWER(F384&amp;" "&amp;H384&amp;" "&amp;I384&amp;" "&amp;M384&amp;" "&amp;N384&amp;" "&amp;T384))),ISNUMBER(SEARCH("transaction",LOWER(F384&amp;" "&amp;H384&amp;" "&amp;I384&amp;" "&amp;M384&amp;" "&amp;N384&amp;" "&amp;T384)))),"PRIVATE_REVIEW","PUBLIC_CANDIDATE"))</x:f>
        <x:v>PUBLIC_CANDIDATE</x:v>
      </x:c>
      <x:c r="AD384" s="12" t="str">
        <x:f>IF(AC384="PRIVATE_QUARANTINE","hacker_or_bank_trigger",IF(AC384="PRIVATE_REVIEW","finance_risk_trigger","none"))</x:f>
        <x:v>none</x:v>
      </x:c>
      <x:c r="AE384" s="12" t="str">
        <x:f>IF(AC384="PUBLIC_CANDIDATE","prepare_public_github_candidate",IF(AC384="PRIVATE_REVIEW","hold_for_private_review","quarantine_private_do_not_publish"))</x:f>
        <x:v>prepare_public_github_candidate</x:v>
      </x:c>
      <x:c r="AF384" s="12" t="str">
        <x:f>IF(AC384="PUBLIC_CANDIDATE","TIDELOCK + Lucerna",IF(AC384="PRIVATE_REVIEW","AtlasBrain + Lucerna","TIDELOCK + Lucerna + Human-root"))</x:f>
        <x:v>TIDELOCK + Lucerna</x:v>
      </x:c>
      <x:c r="AG384" s="12" t="str">
        <x:f>IF(AND(AC384="PUBLIC_CANDIDATE",U384&lt;&gt;"BLOCKED_PENDING_RECEIPT"),"READY_AFTER_RECEIPT","NOT_READY")</x:f>
        <x:v>NOT_READY</x:v>
      </x:c>
      <x:c r="AH384" s="12" t="str">
        <x:f>IF(AC384="PUBLIC_CANDIDATE","none",AD384)</x:f>
        <x:v>none</x:v>
      </x:c>
      <x:c r="AI384" s="12" t="str">
        <x:f>IF(AC384="PUBLIC_CANDIDATE","archive/public_candidates/"&amp;A384,"private_quarantine/"&amp;A384)</x:f>
        <x:v>archive/public_candidates/SWARM-03-H08-S11</x:v>
      </x:c>
      <x:c r="AJ384" s="12" t="str">
        <x:f>IF(AC384="PUBLIC_CANDIDATE","public by default; still not canon","private/hold; do not publish")</x:f>
        <x:v>public by default; still not canon</x:v>
      </x:c>
      <x:c r="AK384" s="12" t="str">
        <x:f>IF(AE384="prepare_public_github_candidate","add receipt/status then mirror","resolve blocker before any public GitHub action")</x:f>
        <x:v>add receipt/status then mirror</x:v>
      </x:c>
    </x:row>
    <x:row r="385">
      <x:c r="A385" s="15" t="str">
        <x:v>SWARM-03-H08-S12</x:v>
      </x:c>
      <x:c r="B385" s="15" t="str">
        <x:v>KairoBrain</x:v>
      </x:c>
      <x:c r="C385" s="15" t="str">
        <x:v>Temporal strata keeper</x:v>
      </x:c>
      <x:c r="D385" s="15" t="str">
        <x:v>Graph Edge Proposals</x:v>
      </x:c>
      <x:c r="E385" s="15" t="str">
        <x:v>Risk / Safety</x:v>
      </x:c>
      <x:c r="F385" s="15" t="str">
        <x:v>Propose graph edges for Risk / Safety — KairoBrain</x:v>
      </x:c>
      <x:c r="G385" s="15" t="str">
        <x:v>staleness / versioning / supersession</x:v>
      </x:c>
      <x:c r="H385" s="15" t="str">
        <x:v>source path + receipt + raw/export status + claim/edge/risk delta</x:v>
      </x:c>
      <x:c r="I385" s="15" t="str">
        <x:v>packet/SWARM-03-H08-S12</x:v>
      </x:c>
      <x:c r="J385" s="15" t="str">
        <x:v>TODO</x:v>
      </x:c>
      <x:c r="K385" s="15" t="str">
        <x:v>P2</x:v>
      </x:c>
      <x:c r="L385" s="15" t="str">
        <x:v>Done only when evidence is logged, contradiction search is noted, and boundary stamp remains non-canon unless ratified</x:v>
      </x:c>
      <x:c r="M385" s="15" t="str">
        <x:v>candidate / staging-only / not canon / not deployed / authority none</x:v>
      </x:c>
      <x:c r="N385" s="15" t="str">
        <x:v>Dispatch to KairoBrain: complete Graph Edge Proposals x Risk / Safety; return deltas only, receipts required.</x:v>
      </x:c>
      <x:c r="O385" s="15" t="str">
        <x:v>AF-KG-H08-S12</x:v>
      </x:c>
      <x:c r="P385" s="15" t="str">
        <x:v>Unverified</x:v>
      </x:c>
      <x:c r="Q385" s="15" t="str">
        <x:v>Not checked</x:v>
      </x:c>
      <x:c r="R385" s="15" t="str"/>
      <x:c r="S385" s="15" t="str"/>
      <x:c r="T385" s="15" t="str">
        <x:v>Log first source path or blocker</x:v>
      </x:c>
      <x:c r="U385" s="12" t="str">
        <x:f>IF(OR(P385="Unverified",Q385="Not checked"),"BLOCKED_PENDING_RECEIPT","READY_FOR_REVIEW")</x:f>
        <x:v>BLOCKED_PENDING_RECEIPT</x:v>
      </x:c>
      <x:c r="V385" s="12" t="str">
        <x:f>IF(J385="DONE","RETURNED",IF(U385="BLOCKED_PENDING_RECEIPT","SOURCE_TOUCH_REQUIRED","IN_PROGRESS"))</x:f>
        <x:v>SOURCE_TOUCH_REQUIRED</x:v>
      </x:c>
      <x:c r="W385" s="12" t="str">
        <x:f>IF(P385="Unverified","missing_receipt","receipt_logged")</x:f>
        <x:v>missing_receipt</x:v>
      </x:c>
      <x:c r="X385" s="12" t="str">
        <x:f>IF(Q385="Not checked","raw_status_missing","raw_status_logged")</x:f>
        <x:v>raw_status_missing</x:v>
      </x:c>
      <x:c r="Y385" s="12" t="str">
        <x:f>IF(U385="BLOCKED_PENDING_RECEIPT","Log source path or blocker; do not promote","Route to review lane")</x:f>
        <x:v>Log source path or blocker; do not promote</x:v>
      </x:c>
      <x:c r="Z385" s="12" t="str">
        <x:f>IF(K385="P0","Primary seat + Hashlight/Lucerna","Seat lane")</x:f>
        <x:v>Seat lane</x:v>
      </x:c>
      <x:c r="AA385" s="12" t="str">
        <x:f>IF(R385="","no_claim_delta","claim_delta_present")</x:f>
        <x:v>no_claim_delta</x:v>
      </x:c>
      <x:c r="AB385" s="12" t="str">
        <x:f>IF(S385="","no_contradiction_delta","contradiction_delta_present")</x:f>
        <x:v>no_contradiction_delta</x:v>
      </x:c>
      <x:c r="AC385" s="12" t="str">
        <x:f>IF(OR(ISNUMBER(SEARCH("hacker",LOWER(F385&amp;" "&amp;H385&amp;" "&amp;I385&amp;" "&amp;M385&amp;" "&amp;N385&amp;" "&amp;T385))),ISNUMBER(SEARCH("hacking",LOWER(F385&amp;" "&amp;H385&amp;" "&amp;I385&amp;" "&amp;M385&amp;" "&amp;N385&amp;" "&amp;T385))),ISNUMBER(SEARCH("bank",LOWER(F385&amp;" "&amp;H385&amp;" "&amp;I385&amp;" "&amp;M385&amp;" "&amp;N385&amp;" "&amp;T385))),ISNUMBER(SEARCH("banking",LOWER(F385&amp;" "&amp;H385&amp;" "&amp;I385&amp;" "&amp;M385&amp;" "&amp;N385&amp;" "&amp;T385)))),"PRIVATE_QUARANTINE",IF(OR(ISNUMBER(SEARCH("treasury",LOWER(F385&amp;" "&amp;H385&amp;" "&amp;I385&amp;" "&amp;M385&amp;" "&amp;N385&amp;" "&amp;T385))),ISNUMBER(SEARCH("debt",LOWER(F385&amp;" "&amp;H385&amp;" "&amp;I385&amp;" "&amp;M385&amp;" "&amp;N385&amp;" "&amp;T385))),ISNUMBER(SEARCH("bond",LOWER(F385&amp;" "&amp;H385&amp;" "&amp;I385&amp;" "&amp;M385&amp;" "&amp;N385&amp;" "&amp;T385))),ISNUMBER(SEARCH("transaction",LOWER(F385&amp;" "&amp;H385&amp;" "&amp;I385&amp;" "&amp;M385&amp;" "&amp;N385&amp;" "&amp;T385)))),"PRIVATE_REVIEW","PUBLIC_CANDIDATE"))</x:f>
        <x:v>PUBLIC_CANDIDATE</x:v>
      </x:c>
      <x:c r="AD385" s="12" t="str">
        <x:f>IF(AC385="PRIVATE_QUARANTINE","hacker_or_bank_trigger",IF(AC385="PRIVATE_REVIEW","finance_risk_trigger","none"))</x:f>
        <x:v>none</x:v>
      </x:c>
      <x:c r="AE385" s="12" t="str">
        <x:f>IF(AC385="PUBLIC_CANDIDATE","prepare_public_github_candidate",IF(AC385="PRIVATE_REVIEW","hold_for_private_review","quarantine_private_do_not_publish"))</x:f>
        <x:v>prepare_public_github_candidate</x:v>
      </x:c>
      <x:c r="AF385" s="12" t="str">
        <x:f>IF(AC385="PUBLIC_CANDIDATE","TIDELOCK + Lucerna",IF(AC385="PRIVATE_REVIEW","AtlasBrain + Lucerna","TIDELOCK + Lucerna + Human-root"))</x:f>
        <x:v>TIDELOCK + Lucerna</x:v>
      </x:c>
      <x:c r="AG385" s="12" t="str">
        <x:f>IF(AND(AC385="PUBLIC_CANDIDATE",U385&lt;&gt;"BLOCKED_PENDING_RECEIPT"),"READY_AFTER_RECEIPT","NOT_READY")</x:f>
        <x:v>NOT_READY</x:v>
      </x:c>
      <x:c r="AH385" s="12" t="str">
        <x:f>IF(AC385="PUBLIC_CANDIDATE","none",AD385)</x:f>
        <x:v>none</x:v>
      </x:c>
      <x:c r="AI385" s="12" t="str">
        <x:f>IF(AC385="PUBLIC_CANDIDATE","archive/public_candidates/"&amp;A385,"private_quarantine/"&amp;A385)</x:f>
        <x:v>archive/public_candidates/SWARM-03-H08-S12</x:v>
      </x:c>
      <x:c r="AJ385" s="12" t="str">
        <x:f>IF(AC385="PUBLIC_CANDIDATE","public by default; still not canon","private/hold; do not publish")</x:f>
        <x:v>public by default; still not canon</x:v>
      </x:c>
      <x:c r="AK385" s="12" t="str">
        <x:f>IF(AE385="prepare_public_github_candidate","add receipt/status then mirror","resolve blocker before any public GitHub action")</x:f>
        <x:v>add receipt/status then mirror</x:v>
      </x:c>
    </x:row>
    <x:row r="386">
      <x:c r="A386" s="15" t="str">
        <x:v>SWARM-03-H09-S01</x:v>
      </x:c>
      <x:c r="B386" s="15" t="str">
        <x:v>KairoBrain</x:v>
      </x:c>
      <x:c r="C386" s="15" t="str">
        <x:v>Temporal strata keeper</x:v>
      </x:c>
      <x:c r="D386" s="15" t="str">
        <x:v>Review Queues</x:v>
      </x:c>
      <x:c r="E386" s="15" t="str">
        <x:v>Notion</x:v>
      </x:c>
      <x:c r="F386" s="15" t="str">
        <x:v>Queue review for Notion — KairoBrain</x:v>
      </x:c>
      <x:c r="G386" s="15" t="str">
        <x:v>staleness / versioning / supersession</x:v>
      </x:c>
      <x:c r="H386" s="15" t="str">
        <x:v>source path + receipt + raw/export status + claim/edge/risk delta</x:v>
      </x:c>
      <x:c r="I386" s="15" t="str">
        <x:v>packet/SWARM-03-H09-S01</x:v>
      </x:c>
      <x:c r="J386" s="15" t="str">
        <x:v>TODO</x:v>
      </x:c>
      <x:c r="K386" s="15" t="str">
        <x:v>P0</x:v>
      </x:c>
      <x:c r="L386" s="15" t="str">
        <x:v>Done only when evidence is logged, contradiction search is noted, and boundary stamp remains non-canon unless ratified</x:v>
      </x:c>
      <x:c r="M386" s="15" t="str">
        <x:v>candidate / staging-only / not canon / not deployed / authority none</x:v>
      </x:c>
      <x:c r="N386" s="15" t="str">
        <x:v>Dispatch to KairoBrain: complete Review Queues x Notion; return deltas only, receipts required.</x:v>
      </x:c>
      <x:c r="O386" s="15" t="str">
        <x:v>AF-KG-H09-S01</x:v>
      </x:c>
      <x:c r="P386" s="15" t="str">
        <x:v>Unverified</x:v>
      </x:c>
      <x:c r="Q386" s="15" t="str">
        <x:v>Not checked</x:v>
      </x:c>
      <x:c r="R386" s="15" t="str"/>
      <x:c r="S386" s="15" t="str"/>
      <x:c r="T386" s="15" t="str">
        <x:v>Log first source path or blocker</x:v>
      </x:c>
      <x:c r="U386" s="12" t="str">
        <x:f>IF(OR(P386="Unverified",Q386="Not checked"),"BLOCKED_PENDING_RECEIPT","READY_FOR_REVIEW")</x:f>
        <x:v>BLOCKED_PENDING_RECEIPT</x:v>
      </x:c>
      <x:c r="V386" s="12" t="str">
        <x:f>IF(J386="DONE","RETURNED",IF(U386="BLOCKED_PENDING_RECEIPT","SOURCE_TOUCH_REQUIRED","IN_PROGRESS"))</x:f>
        <x:v>SOURCE_TOUCH_REQUIRED</x:v>
      </x:c>
      <x:c r="W386" s="12" t="str">
        <x:f>IF(P386="Unverified","missing_receipt","receipt_logged")</x:f>
        <x:v>missing_receipt</x:v>
      </x:c>
      <x:c r="X386" s="12" t="str">
        <x:f>IF(Q386="Not checked","raw_status_missing","raw_status_logged")</x:f>
        <x:v>raw_status_missing</x:v>
      </x:c>
      <x:c r="Y386" s="12" t="str">
        <x:f>IF(U386="BLOCKED_PENDING_RECEIPT","Log source path or blocker; do not promote","Route to review lane")</x:f>
        <x:v>Log source path or blocker; do not promote</x:v>
      </x:c>
      <x:c r="Z386" s="12" t="str">
        <x:f>IF(K386="P0","Primary seat + Hashlight/Lucerna","Seat lane")</x:f>
        <x:v>Primary seat + Hashlight/Lucerna</x:v>
      </x:c>
      <x:c r="AA386" s="12" t="str">
        <x:f>IF(R386="","no_claim_delta","claim_delta_present")</x:f>
        <x:v>no_claim_delta</x:v>
      </x:c>
      <x:c r="AB386" s="12" t="str">
        <x:f>IF(S386="","no_contradiction_delta","contradiction_delta_present")</x:f>
        <x:v>no_contradiction_delta</x:v>
      </x:c>
      <x:c r="AC386" s="12" t="str">
        <x:f>IF(OR(ISNUMBER(SEARCH("hacker",LOWER(F386&amp;" "&amp;H386&amp;" "&amp;I386&amp;" "&amp;M386&amp;" "&amp;N386&amp;" "&amp;T386))),ISNUMBER(SEARCH("hacking",LOWER(F386&amp;" "&amp;H386&amp;" "&amp;I386&amp;" "&amp;M386&amp;" "&amp;N386&amp;" "&amp;T386))),ISNUMBER(SEARCH("bank",LOWER(F386&amp;" "&amp;H386&amp;" "&amp;I386&amp;" "&amp;M386&amp;" "&amp;N386&amp;" "&amp;T386))),ISNUMBER(SEARCH("banking",LOWER(F386&amp;" "&amp;H386&amp;" "&amp;I386&amp;" "&amp;M386&amp;" "&amp;N386&amp;" "&amp;T386)))),"PRIVATE_QUARANTINE",IF(OR(ISNUMBER(SEARCH("treasury",LOWER(F386&amp;" "&amp;H386&amp;" "&amp;I386&amp;" "&amp;M386&amp;" "&amp;N386&amp;" "&amp;T386))),ISNUMBER(SEARCH("debt",LOWER(F386&amp;" "&amp;H386&amp;" "&amp;I386&amp;" "&amp;M386&amp;" "&amp;N386&amp;" "&amp;T386))),ISNUMBER(SEARCH("bond",LOWER(F386&amp;" "&amp;H386&amp;" "&amp;I386&amp;" "&amp;M386&amp;" "&amp;N386&amp;" "&amp;T386))),ISNUMBER(SEARCH("transaction",LOWER(F386&amp;" "&amp;H386&amp;" "&amp;I386&amp;" "&amp;M386&amp;" "&amp;N386&amp;" "&amp;T386)))),"PRIVATE_REVIEW","PUBLIC_CANDIDATE"))</x:f>
        <x:v>PUBLIC_CANDIDATE</x:v>
      </x:c>
      <x:c r="AD386" s="12" t="str">
        <x:f>IF(AC386="PRIVATE_QUARANTINE","hacker_or_bank_trigger",IF(AC386="PRIVATE_REVIEW","finance_risk_trigger","none"))</x:f>
        <x:v>none</x:v>
      </x:c>
      <x:c r="AE386" s="12" t="str">
        <x:f>IF(AC386="PUBLIC_CANDIDATE","prepare_public_github_candidate",IF(AC386="PRIVATE_REVIEW","hold_for_private_review","quarantine_private_do_not_publish"))</x:f>
        <x:v>prepare_public_github_candidate</x:v>
      </x:c>
      <x:c r="AF386" s="12" t="str">
        <x:f>IF(AC386="PUBLIC_CANDIDATE","TIDELOCK + Lucerna",IF(AC386="PRIVATE_REVIEW","AtlasBrain + Lucerna","TIDELOCK + Lucerna + Human-root"))</x:f>
        <x:v>TIDELOCK + Lucerna</x:v>
      </x:c>
      <x:c r="AG386" s="12" t="str">
        <x:f>IF(AND(AC386="PUBLIC_CANDIDATE",U386&lt;&gt;"BLOCKED_PENDING_RECEIPT"),"READY_AFTER_RECEIPT","NOT_READY")</x:f>
        <x:v>NOT_READY</x:v>
      </x:c>
      <x:c r="AH386" s="12" t="str">
        <x:f>IF(AC386="PUBLIC_CANDIDATE","none",AD386)</x:f>
        <x:v>none</x:v>
      </x:c>
      <x:c r="AI386" s="12" t="str">
        <x:f>IF(AC386="PUBLIC_CANDIDATE","archive/public_candidates/"&amp;A386,"private_quarantine/"&amp;A386)</x:f>
        <x:v>archive/public_candidates/SWARM-03-H09-S01</x:v>
      </x:c>
      <x:c r="AJ386" s="12" t="str">
        <x:f>IF(AC386="PUBLIC_CANDIDATE","public by default; still not canon","private/hold; do not publish")</x:f>
        <x:v>public by default; still not canon</x:v>
      </x:c>
      <x:c r="AK386" s="12" t="str">
        <x:f>IF(AE386="prepare_public_github_candidate","add receipt/status then mirror","resolve blocker before any public GitHub action")</x:f>
        <x:v>add receipt/status then mirror</x:v>
      </x:c>
    </x:row>
    <x:row r="387">
      <x:c r="A387" s="15" t="str">
        <x:v>SWARM-03-H09-S02</x:v>
      </x:c>
      <x:c r="B387" s="15" t="str">
        <x:v>KairoBrain</x:v>
      </x:c>
      <x:c r="C387" s="15" t="str">
        <x:v>Temporal strata keeper</x:v>
      </x:c>
      <x:c r="D387" s="15" t="str">
        <x:v>Review Queues</x:v>
      </x:c>
      <x:c r="E387" s="15" t="str">
        <x:v>Drive</x:v>
      </x:c>
      <x:c r="F387" s="15" t="str">
        <x:v>Queue review for Drive — KairoBrain</x:v>
      </x:c>
      <x:c r="G387" s="15" t="str">
        <x:v>staleness / versioning / supersession</x:v>
      </x:c>
      <x:c r="H387" s="15" t="str">
        <x:v>source path + receipt + raw/export status + claim/edge/risk delta</x:v>
      </x:c>
      <x:c r="I387" s="15" t="str">
        <x:v>packet/SWARM-03-H09-S02</x:v>
      </x:c>
      <x:c r="J387" s="15" t="str">
        <x:v>TODO</x:v>
      </x:c>
      <x:c r="K387" s="15" t="str">
        <x:v>P0</x:v>
      </x:c>
      <x:c r="L387" s="15" t="str">
        <x:v>Done only when evidence is logged, contradiction search is noted, and boundary stamp remains non-canon unless ratified</x:v>
      </x:c>
      <x:c r="M387" s="15" t="str">
        <x:v>candidate / staging-only / not canon / not deployed / authority none</x:v>
      </x:c>
      <x:c r="N387" s="15" t="str">
        <x:v>Dispatch to KairoBrain: complete Review Queues x Drive; return deltas only, receipts required.</x:v>
      </x:c>
      <x:c r="O387" s="15" t="str">
        <x:v>AF-KG-H09-S02</x:v>
      </x:c>
      <x:c r="P387" s="15" t="str">
        <x:v>Unverified</x:v>
      </x:c>
      <x:c r="Q387" s="15" t="str">
        <x:v>Not checked</x:v>
      </x:c>
      <x:c r="R387" s="15" t="str"/>
      <x:c r="S387" s="15" t="str"/>
      <x:c r="T387" s="15" t="str">
        <x:v>Log first source path or blocker</x:v>
      </x:c>
      <x:c r="U387" s="12" t="str">
        <x:f>IF(OR(P387="Unverified",Q387="Not checked"),"BLOCKED_PENDING_RECEIPT","READY_FOR_REVIEW")</x:f>
        <x:v>BLOCKED_PENDING_RECEIPT</x:v>
      </x:c>
      <x:c r="V387" s="12" t="str">
        <x:f>IF(J387="DONE","RETURNED",IF(U387="BLOCKED_PENDING_RECEIPT","SOURCE_TOUCH_REQUIRED","IN_PROGRESS"))</x:f>
        <x:v>SOURCE_TOUCH_REQUIRED</x:v>
      </x:c>
      <x:c r="W387" s="12" t="str">
        <x:f>IF(P387="Unverified","missing_receipt","receipt_logged")</x:f>
        <x:v>missing_receipt</x:v>
      </x:c>
      <x:c r="X387" s="12" t="str">
        <x:f>IF(Q387="Not checked","raw_status_missing","raw_status_logged")</x:f>
        <x:v>raw_status_missing</x:v>
      </x:c>
      <x:c r="Y387" s="12" t="str">
        <x:f>IF(U387="BLOCKED_PENDING_RECEIPT","Log source path or blocker; do not promote","Route to review lane")</x:f>
        <x:v>Log source path or blocker; do not promote</x:v>
      </x:c>
      <x:c r="Z387" s="12" t="str">
        <x:f>IF(K387="P0","Primary seat + Hashlight/Lucerna","Seat lane")</x:f>
        <x:v>Primary seat + Hashlight/Lucerna</x:v>
      </x:c>
      <x:c r="AA387" s="12" t="str">
        <x:f>IF(R387="","no_claim_delta","claim_delta_present")</x:f>
        <x:v>no_claim_delta</x:v>
      </x:c>
      <x:c r="AB387" s="12" t="str">
        <x:f>IF(S387="","no_contradiction_delta","contradiction_delta_present")</x:f>
        <x:v>no_contradiction_delta</x:v>
      </x:c>
      <x:c r="AC387" s="12" t="str">
        <x:f>IF(OR(ISNUMBER(SEARCH("hacker",LOWER(F387&amp;" "&amp;H387&amp;" "&amp;I387&amp;" "&amp;M387&amp;" "&amp;N387&amp;" "&amp;T387))),ISNUMBER(SEARCH("hacking",LOWER(F387&amp;" "&amp;H387&amp;" "&amp;I387&amp;" "&amp;M387&amp;" "&amp;N387&amp;" "&amp;T387))),ISNUMBER(SEARCH("bank",LOWER(F387&amp;" "&amp;H387&amp;" "&amp;I387&amp;" "&amp;M387&amp;" "&amp;N387&amp;" "&amp;T387))),ISNUMBER(SEARCH("banking",LOWER(F387&amp;" "&amp;H387&amp;" "&amp;I387&amp;" "&amp;M387&amp;" "&amp;N387&amp;" "&amp;T387)))),"PRIVATE_QUARANTINE",IF(OR(ISNUMBER(SEARCH("treasury",LOWER(F387&amp;" "&amp;H387&amp;" "&amp;I387&amp;" "&amp;M387&amp;" "&amp;N387&amp;" "&amp;T387))),ISNUMBER(SEARCH("debt",LOWER(F387&amp;" "&amp;H387&amp;" "&amp;I387&amp;" "&amp;M387&amp;" "&amp;N387&amp;" "&amp;T387))),ISNUMBER(SEARCH("bond",LOWER(F387&amp;" "&amp;H387&amp;" "&amp;I387&amp;" "&amp;M387&amp;" "&amp;N387&amp;" "&amp;T387))),ISNUMBER(SEARCH("transaction",LOWER(F387&amp;" "&amp;H387&amp;" "&amp;I387&amp;" "&amp;M387&amp;" "&amp;N387&amp;" "&amp;T387)))),"PRIVATE_REVIEW","PUBLIC_CANDIDATE"))</x:f>
        <x:v>PUBLIC_CANDIDATE</x:v>
      </x:c>
      <x:c r="AD387" s="12" t="str">
        <x:f>IF(AC387="PRIVATE_QUARANTINE","hacker_or_bank_trigger",IF(AC387="PRIVATE_REVIEW","finance_risk_trigger","none"))</x:f>
        <x:v>none</x:v>
      </x:c>
      <x:c r="AE387" s="12" t="str">
        <x:f>IF(AC387="PUBLIC_CANDIDATE","prepare_public_github_candidate",IF(AC387="PRIVATE_REVIEW","hold_for_private_review","quarantine_private_do_not_publish"))</x:f>
        <x:v>prepare_public_github_candidate</x:v>
      </x:c>
      <x:c r="AF387" s="12" t="str">
        <x:f>IF(AC387="PUBLIC_CANDIDATE","TIDELOCK + Lucerna",IF(AC387="PRIVATE_REVIEW","AtlasBrain + Lucerna","TIDELOCK + Lucerna + Human-root"))</x:f>
        <x:v>TIDELOCK + Lucerna</x:v>
      </x:c>
      <x:c r="AG387" s="12" t="str">
        <x:f>IF(AND(AC387="PUBLIC_CANDIDATE",U387&lt;&gt;"BLOCKED_PENDING_RECEIPT"),"READY_AFTER_RECEIPT","NOT_READY")</x:f>
        <x:v>NOT_READY</x:v>
      </x:c>
      <x:c r="AH387" s="12" t="str">
        <x:f>IF(AC387="PUBLIC_CANDIDATE","none",AD387)</x:f>
        <x:v>none</x:v>
      </x:c>
      <x:c r="AI387" s="12" t="str">
        <x:f>IF(AC387="PUBLIC_CANDIDATE","archive/public_candidates/"&amp;A387,"private_quarantine/"&amp;A387)</x:f>
        <x:v>archive/public_candidates/SWARM-03-H09-S02</x:v>
      </x:c>
      <x:c r="AJ387" s="12" t="str">
        <x:f>IF(AC387="PUBLIC_CANDIDATE","public by default; still not canon","private/hold; do not publish")</x:f>
        <x:v>public by default; still not canon</x:v>
      </x:c>
      <x:c r="AK387" s="12" t="str">
        <x:f>IF(AE387="prepare_public_github_candidate","add receipt/status then mirror","resolve blocker before any public GitHub action")</x:f>
        <x:v>add receipt/status then mirror</x:v>
      </x:c>
    </x:row>
    <x:row r="388">
      <x:c r="A388" s="15" t="str">
        <x:v>SWARM-03-H09-S03</x:v>
      </x:c>
      <x:c r="B388" s="15" t="str">
        <x:v>KairoBrain</x:v>
      </x:c>
      <x:c r="C388" s="15" t="str">
        <x:v>Temporal strata keeper</x:v>
      </x:c>
      <x:c r="D388" s="15" t="str">
        <x:v>Review Queues</x:v>
      </x:c>
      <x:c r="E388" s="15" t="str">
        <x:v>GitHub</x:v>
      </x:c>
      <x:c r="F388" s="15" t="str">
        <x:v>Queue review for GitHub — KairoBrain</x:v>
      </x:c>
      <x:c r="G388" s="15" t="str">
        <x:v>staleness / versioning / supersession</x:v>
      </x:c>
      <x:c r="H388" s="15" t="str">
        <x:v>source path + receipt + raw/export status + claim/edge/risk delta</x:v>
      </x:c>
      <x:c r="I388" s="15" t="str">
        <x:v>packet/SWARM-03-H09-S03</x:v>
      </x:c>
      <x:c r="J388" s="15" t="str">
        <x:v>TODO</x:v>
      </x:c>
      <x:c r="K388" s="15" t="str">
        <x:v>P0</x:v>
      </x:c>
      <x:c r="L388" s="15" t="str">
        <x:v>Done only when evidence is logged, contradiction search is noted, and boundary stamp remains non-canon unless ratified</x:v>
      </x:c>
      <x:c r="M388" s="15" t="str">
        <x:v>candidate / staging-only / not canon / not deployed / authority none</x:v>
      </x:c>
      <x:c r="N388" s="15" t="str">
        <x:v>Dispatch to KairoBrain: complete Review Queues x GitHub; return deltas only, receipts required.</x:v>
      </x:c>
      <x:c r="O388" s="15" t="str">
        <x:v>AF-KG-H09-S03</x:v>
      </x:c>
      <x:c r="P388" s="15" t="str">
        <x:v>Unverified</x:v>
      </x:c>
      <x:c r="Q388" s="15" t="str">
        <x:v>Not checked</x:v>
      </x:c>
      <x:c r="R388" s="15" t="str"/>
      <x:c r="S388" s="15" t="str"/>
      <x:c r="T388" s="15" t="str">
        <x:v>Log first source path or blocker</x:v>
      </x:c>
      <x:c r="U388" s="12" t="str">
        <x:f>IF(OR(P388="Unverified",Q388="Not checked"),"BLOCKED_PENDING_RECEIPT","READY_FOR_REVIEW")</x:f>
        <x:v>BLOCKED_PENDING_RECEIPT</x:v>
      </x:c>
      <x:c r="V388" s="12" t="str">
        <x:f>IF(J388="DONE","RETURNED",IF(U388="BLOCKED_PENDING_RECEIPT","SOURCE_TOUCH_REQUIRED","IN_PROGRESS"))</x:f>
        <x:v>SOURCE_TOUCH_REQUIRED</x:v>
      </x:c>
      <x:c r="W388" s="12" t="str">
        <x:f>IF(P388="Unverified","missing_receipt","receipt_logged")</x:f>
        <x:v>missing_receipt</x:v>
      </x:c>
      <x:c r="X388" s="12" t="str">
        <x:f>IF(Q388="Not checked","raw_status_missing","raw_status_logged")</x:f>
        <x:v>raw_status_missing</x:v>
      </x:c>
      <x:c r="Y388" s="12" t="str">
        <x:f>IF(U388="BLOCKED_PENDING_RECEIPT","Log source path or blocker; do not promote","Route to review lane")</x:f>
        <x:v>Log source path or blocker; do not promote</x:v>
      </x:c>
      <x:c r="Z388" s="12" t="str">
        <x:f>IF(K388="P0","Primary seat + Hashlight/Lucerna","Seat lane")</x:f>
        <x:v>Primary seat + Hashlight/Lucerna</x:v>
      </x:c>
      <x:c r="AA388" s="12" t="str">
        <x:f>IF(R388="","no_claim_delta","claim_delta_present")</x:f>
        <x:v>no_claim_delta</x:v>
      </x:c>
      <x:c r="AB388" s="12" t="str">
        <x:f>IF(S388="","no_contradiction_delta","contradiction_delta_present")</x:f>
        <x:v>no_contradiction_delta</x:v>
      </x:c>
      <x:c r="AC388" s="12" t="str">
        <x:f>IF(OR(ISNUMBER(SEARCH("hacker",LOWER(F388&amp;" "&amp;H388&amp;" "&amp;I388&amp;" "&amp;M388&amp;" "&amp;N388&amp;" "&amp;T388))),ISNUMBER(SEARCH("hacking",LOWER(F388&amp;" "&amp;H388&amp;" "&amp;I388&amp;" "&amp;M388&amp;" "&amp;N388&amp;" "&amp;T388))),ISNUMBER(SEARCH("bank",LOWER(F388&amp;" "&amp;H388&amp;" "&amp;I388&amp;" "&amp;M388&amp;" "&amp;N388&amp;" "&amp;T388))),ISNUMBER(SEARCH("banking",LOWER(F388&amp;" "&amp;H388&amp;" "&amp;I388&amp;" "&amp;M388&amp;" "&amp;N388&amp;" "&amp;T388)))),"PRIVATE_QUARANTINE",IF(OR(ISNUMBER(SEARCH("treasury",LOWER(F388&amp;" "&amp;H388&amp;" "&amp;I388&amp;" "&amp;M388&amp;" "&amp;N388&amp;" "&amp;T388))),ISNUMBER(SEARCH("debt",LOWER(F388&amp;" "&amp;H388&amp;" "&amp;I388&amp;" "&amp;M388&amp;" "&amp;N388&amp;" "&amp;T388))),ISNUMBER(SEARCH("bond",LOWER(F388&amp;" "&amp;H388&amp;" "&amp;I388&amp;" "&amp;M388&amp;" "&amp;N388&amp;" "&amp;T388))),ISNUMBER(SEARCH("transaction",LOWER(F388&amp;" "&amp;H388&amp;" "&amp;I388&amp;" "&amp;M388&amp;" "&amp;N388&amp;" "&amp;T388)))),"PRIVATE_REVIEW","PUBLIC_CANDIDATE"))</x:f>
        <x:v>PUBLIC_CANDIDATE</x:v>
      </x:c>
      <x:c r="AD388" s="12" t="str">
        <x:f>IF(AC388="PRIVATE_QUARANTINE","hacker_or_bank_trigger",IF(AC388="PRIVATE_REVIEW","finance_risk_trigger","none"))</x:f>
        <x:v>none</x:v>
      </x:c>
      <x:c r="AE388" s="12" t="str">
        <x:f>IF(AC388="PUBLIC_CANDIDATE","prepare_public_github_candidate",IF(AC388="PRIVATE_REVIEW","hold_for_private_review","quarantine_private_do_not_publish"))</x:f>
        <x:v>prepare_public_github_candidate</x:v>
      </x:c>
      <x:c r="AF388" s="12" t="str">
        <x:f>IF(AC388="PUBLIC_CANDIDATE","TIDELOCK + Lucerna",IF(AC388="PRIVATE_REVIEW","AtlasBrain + Lucerna","TIDELOCK + Lucerna + Human-root"))</x:f>
        <x:v>TIDELOCK + Lucerna</x:v>
      </x:c>
      <x:c r="AG388" s="12" t="str">
        <x:f>IF(AND(AC388="PUBLIC_CANDIDATE",U388&lt;&gt;"BLOCKED_PENDING_RECEIPT"),"READY_AFTER_RECEIPT","NOT_READY")</x:f>
        <x:v>NOT_READY</x:v>
      </x:c>
      <x:c r="AH388" s="12" t="str">
        <x:f>IF(AC388="PUBLIC_CANDIDATE","none",AD388)</x:f>
        <x:v>none</x:v>
      </x:c>
      <x:c r="AI388" s="12" t="str">
        <x:f>IF(AC388="PUBLIC_CANDIDATE","archive/public_candidates/"&amp;A388,"private_quarantine/"&amp;A388)</x:f>
        <x:v>archive/public_candidates/SWARM-03-H09-S03</x:v>
      </x:c>
      <x:c r="AJ388" s="12" t="str">
        <x:f>IF(AC388="PUBLIC_CANDIDATE","public by default; still not canon","private/hold; do not publish")</x:f>
        <x:v>public by default; still not canon</x:v>
      </x:c>
      <x:c r="AK388" s="12" t="str">
        <x:f>IF(AE388="prepare_public_github_candidate","add receipt/status then mirror","resolve blocker before any public GitHub action")</x:f>
        <x:v>add receipt/status then mirror</x:v>
      </x:c>
    </x:row>
    <x:row r="389">
      <x:c r="A389" s="15" t="str">
        <x:v>SWARM-03-H09-S04</x:v>
      </x:c>
      <x:c r="B389" s="15" t="str">
        <x:v>KairoBrain</x:v>
      </x:c>
      <x:c r="C389" s="15" t="str">
        <x:v>Temporal strata keeper</x:v>
      </x:c>
      <x:c r="D389" s="15" t="str">
        <x:v>Review Queues</x:v>
      </x:c>
      <x:c r="E389" s="15" t="str">
        <x:v>Gamma</x:v>
      </x:c>
      <x:c r="F389" s="15" t="str">
        <x:v>Queue review for Gamma — KairoBrain</x:v>
      </x:c>
      <x:c r="G389" s="15" t="str">
        <x:v>staleness / versioning / supersession</x:v>
      </x:c>
      <x:c r="H389" s="15" t="str">
        <x:v>source path + receipt + raw/export status + claim/edge/risk delta</x:v>
      </x:c>
      <x:c r="I389" s="15" t="str">
        <x:v>packet/SWARM-03-H09-S04</x:v>
      </x:c>
      <x:c r="J389" s="15" t="str">
        <x:v>TODO</x:v>
      </x:c>
      <x:c r="K389" s="15" t="str">
        <x:v>P1</x:v>
      </x:c>
      <x:c r="L389" s="15" t="str">
        <x:v>Done only when evidence is logged, contradiction search is noted, and boundary stamp remains non-canon unless ratified</x:v>
      </x:c>
      <x:c r="M389" s="15" t="str">
        <x:v>candidate / staging-only / not canon / not deployed / authority none</x:v>
      </x:c>
      <x:c r="N389" s="15" t="str">
        <x:v>Dispatch to KairoBrain: complete Review Queues x Gamma; return deltas only, receipts required.</x:v>
      </x:c>
      <x:c r="O389" s="15" t="str">
        <x:v>AF-KG-H09-S04</x:v>
      </x:c>
      <x:c r="P389" s="15" t="str">
        <x:v>Unverified</x:v>
      </x:c>
      <x:c r="Q389" s="15" t="str">
        <x:v>Not checked</x:v>
      </x:c>
      <x:c r="R389" s="15" t="str"/>
      <x:c r="S389" s="15" t="str"/>
      <x:c r="T389" s="15" t="str">
        <x:v>Log first source path or blocker</x:v>
      </x:c>
      <x:c r="U389" s="12" t="str">
        <x:f>IF(OR(P389="Unverified",Q389="Not checked"),"BLOCKED_PENDING_RECEIPT","READY_FOR_REVIEW")</x:f>
        <x:v>BLOCKED_PENDING_RECEIPT</x:v>
      </x:c>
      <x:c r="V389" s="12" t="str">
        <x:f>IF(J389="DONE","RETURNED",IF(U389="BLOCKED_PENDING_RECEIPT","SOURCE_TOUCH_REQUIRED","IN_PROGRESS"))</x:f>
        <x:v>SOURCE_TOUCH_REQUIRED</x:v>
      </x:c>
      <x:c r="W389" s="12" t="str">
        <x:f>IF(P389="Unverified","missing_receipt","receipt_logged")</x:f>
        <x:v>missing_receipt</x:v>
      </x:c>
      <x:c r="X389" s="12" t="str">
        <x:f>IF(Q389="Not checked","raw_status_missing","raw_status_logged")</x:f>
        <x:v>raw_status_missing</x:v>
      </x:c>
      <x:c r="Y389" s="12" t="str">
        <x:f>IF(U389="BLOCKED_PENDING_RECEIPT","Log source path or blocker; do not promote","Route to review lane")</x:f>
        <x:v>Log source path or blocker; do not promote</x:v>
      </x:c>
      <x:c r="Z389" s="12" t="str">
        <x:f>IF(K389="P0","Primary seat + Hashlight/Lucerna","Seat lane")</x:f>
        <x:v>Seat lane</x:v>
      </x:c>
      <x:c r="AA389" s="12" t="str">
        <x:f>IF(R389="","no_claim_delta","claim_delta_present")</x:f>
        <x:v>no_claim_delta</x:v>
      </x:c>
      <x:c r="AB389" s="12" t="str">
        <x:f>IF(S389="","no_contradiction_delta","contradiction_delta_present")</x:f>
        <x:v>no_contradiction_delta</x:v>
      </x:c>
      <x:c r="AC389" s="12" t="str">
        <x:f>IF(OR(ISNUMBER(SEARCH("hacker",LOWER(F389&amp;" "&amp;H389&amp;" "&amp;I389&amp;" "&amp;M389&amp;" "&amp;N389&amp;" "&amp;T389))),ISNUMBER(SEARCH("hacking",LOWER(F389&amp;" "&amp;H389&amp;" "&amp;I389&amp;" "&amp;M389&amp;" "&amp;N389&amp;" "&amp;T389))),ISNUMBER(SEARCH("bank",LOWER(F389&amp;" "&amp;H389&amp;" "&amp;I389&amp;" "&amp;M389&amp;" "&amp;N389&amp;" "&amp;T389))),ISNUMBER(SEARCH("banking",LOWER(F389&amp;" "&amp;H389&amp;" "&amp;I389&amp;" "&amp;M389&amp;" "&amp;N389&amp;" "&amp;T389)))),"PRIVATE_QUARANTINE",IF(OR(ISNUMBER(SEARCH("treasury",LOWER(F389&amp;" "&amp;H389&amp;" "&amp;I389&amp;" "&amp;M389&amp;" "&amp;N389&amp;" "&amp;T389))),ISNUMBER(SEARCH("debt",LOWER(F389&amp;" "&amp;H389&amp;" "&amp;I389&amp;" "&amp;M389&amp;" "&amp;N389&amp;" "&amp;T389))),ISNUMBER(SEARCH("bond",LOWER(F389&amp;" "&amp;H389&amp;" "&amp;I389&amp;" "&amp;M389&amp;" "&amp;N389&amp;" "&amp;T389))),ISNUMBER(SEARCH("transaction",LOWER(F389&amp;" "&amp;H389&amp;" "&amp;I389&amp;" "&amp;M389&amp;" "&amp;N389&amp;" "&amp;T389)))),"PRIVATE_REVIEW","PUBLIC_CANDIDATE"))</x:f>
        <x:v>PUBLIC_CANDIDATE</x:v>
      </x:c>
      <x:c r="AD389" s="12" t="str">
        <x:f>IF(AC389="PRIVATE_QUARANTINE","hacker_or_bank_trigger",IF(AC389="PRIVATE_REVIEW","finance_risk_trigger","none"))</x:f>
        <x:v>none</x:v>
      </x:c>
      <x:c r="AE389" s="12" t="str">
        <x:f>IF(AC389="PUBLIC_CANDIDATE","prepare_public_github_candidate",IF(AC389="PRIVATE_REVIEW","hold_for_private_review","quarantine_private_do_not_publish"))</x:f>
        <x:v>prepare_public_github_candidate</x:v>
      </x:c>
      <x:c r="AF389" s="12" t="str">
        <x:f>IF(AC389="PUBLIC_CANDIDATE","TIDELOCK + Lucerna",IF(AC389="PRIVATE_REVIEW","AtlasBrain + Lucerna","TIDELOCK + Lucerna + Human-root"))</x:f>
        <x:v>TIDELOCK + Lucerna</x:v>
      </x:c>
      <x:c r="AG389" s="12" t="str">
        <x:f>IF(AND(AC389="PUBLIC_CANDIDATE",U389&lt;&gt;"BLOCKED_PENDING_RECEIPT"),"READY_AFTER_RECEIPT","NOT_READY")</x:f>
        <x:v>NOT_READY</x:v>
      </x:c>
      <x:c r="AH389" s="12" t="str">
        <x:f>IF(AC389="PUBLIC_CANDIDATE","none",AD389)</x:f>
        <x:v>none</x:v>
      </x:c>
      <x:c r="AI389" s="12" t="str">
        <x:f>IF(AC389="PUBLIC_CANDIDATE","archive/public_candidates/"&amp;A389,"private_quarantine/"&amp;A389)</x:f>
        <x:v>archive/public_candidates/SWARM-03-H09-S04</x:v>
      </x:c>
      <x:c r="AJ389" s="12" t="str">
        <x:f>IF(AC389="PUBLIC_CANDIDATE","public by default; still not canon","private/hold; do not publish")</x:f>
        <x:v>public by default; still not canon</x:v>
      </x:c>
      <x:c r="AK389" s="12" t="str">
        <x:f>IF(AE389="prepare_public_github_candidate","add receipt/status then mirror","resolve blocker before any public GitHub action")</x:f>
        <x:v>add receipt/status then mirror</x:v>
      </x:c>
    </x:row>
    <x:row r="390">
      <x:c r="A390" s="15" t="str">
        <x:v>SWARM-03-H09-S05</x:v>
      </x:c>
      <x:c r="B390" s="15" t="str">
        <x:v>KairoBrain</x:v>
      </x:c>
      <x:c r="C390" s="15" t="str">
        <x:v>Temporal strata keeper</x:v>
      </x:c>
      <x:c r="D390" s="15" t="str">
        <x:v>Review Queues</x:v>
      </x:c>
      <x:c r="E390" s="15" t="str">
        <x:v>Chat</x:v>
      </x:c>
      <x:c r="F390" s="15" t="str">
        <x:v>Queue review for Chat — KairoBrain</x:v>
      </x:c>
      <x:c r="G390" s="15" t="str">
        <x:v>staleness / versioning / supersession</x:v>
      </x:c>
      <x:c r="H390" s="15" t="str">
        <x:v>source path + receipt + raw/export status + claim/edge/risk delta</x:v>
      </x:c>
      <x:c r="I390" s="15" t="str">
        <x:v>packet/SWARM-03-H09-S05</x:v>
      </x:c>
      <x:c r="J390" s="15" t="str">
        <x:v>TODO</x:v>
      </x:c>
      <x:c r="K390" s="15" t="str">
        <x:v>P1</x:v>
      </x:c>
      <x:c r="L390" s="15" t="str">
        <x:v>Done only when evidence is logged, contradiction search is noted, and boundary stamp remains non-canon unless ratified</x:v>
      </x:c>
      <x:c r="M390" s="15" t="str">
        <x:v>candidate / staging-only / not canon / not deployed / authority none</x:v>
      </x:c>
      <x:c r="N390" s="15" t="str">
        <x:v>Dispatch to KairoBrain: complete Review Queues x Chat; return deltas only, receipts required.</x:v>
      </x:c>
      <x:c r="O390" s="15" t="str">
        <x:v>AF-KG-H09-S05</x:v>
      </x:c>
      <x:c r="P390" s="15" t="str">
        <x:v>Unverified</x:v>
      </x:c>
      <x:c r="Q390" s="15" t="str">
        <x:v>Not checked</x:v>
      </x:c>
      <x:c r="R390" s="15" t="str"/>
      <x:c r="S390" s="15" t="str"/>
      <x:c r="T390" s="15" t="str">
        <x:v>Log first source path or blocker</x:v>
      </x:c>
      <x:c r="U390" s="12" t="str">
        <x:f>IF(OR(P390="Unverified",Q390="Not checked"),"BLOCKED_PENDING_RECEIPT","READY_FOR_REVIEW")</x:f>
        <x:v>BLOCKED_PENDING_RECEIPT</x:v>
      </x:c>
      <x:c r="V390" s="12" t="str">
        <x:f>IF(J390="DONE","RETURNED",IF(U390="BLOCKED_PENDING_RECEIPT","SOURCE_TOUCH_REQUIRED","IN_PROGRESS"))</x:f>
        <x:v>SOURCE_TOUCH_REQUIRED</x:v>
      </x:c>
      <x:c r="W390" s="12" t="str">
        <x:f>IF(P390="Unverified","missing_receipt","receipt_logged")</x:f>
        <x:v>missing_receipt</x:v>
      </x:c>
      <x:c r="X390" s="12" t="str">
        <x:f>IF(Q390="Not checked","raw_status_missing","raw_status_logged")</x:f>
        <x:v>raw_status_missing</x:v>
      </x:c>
      <x:c r="Y390" s="12" t="str">
        <x:f>IF(U390="BLOCKED_PENDING_RECEIPT","Log source path or blocker; do not promote","Route to review lane")</x:f>
        <x:v>Log source path or blocker; do not promote</x:v>
      </x:c>
      <x:c r="Z390" s="12" t="str">
        <x:f>IF(K390="P0","Primary seat + Hashlight/Lucerna","Seat lane")</x:f>
        <x:v>Seat lane</x:v>
      </x:c>
      <x:c r="AA390" s="12" t="str">
        <x:f>IF(R390="","no_claim_delta","claim_delta_present")</x:f>
        <x:v>no_claim_delta</x:v>
      </x:c>
      <x:c r="AB390" s="12" t="str">
        <x:f>IF(S390="","no_contradiction_delta","contradiction_delta_present")</x:f>
        <x:v>no_contradiction_delta</x:v>
      </x:c>
      <x:c r="AC390" s="12" t="str">
        <x:f>IF(OR(ISNUMBER(SEARCH("hacker",LOWER(F390&amp;" "&amp;H390&amp;" "&amp;I390&amp;" "&amp;M390&amp;" "&amp;N390&amp;" "&amp;T390))),ISNUMBER(SEARCH("hacking",LOWER(F390&amp;" "&amp;H390&amp;" "&amp;I390&amp;" "&amp;M390&amp;" "&amp;N390&amp;" "&amp;T390))),ISNUMBER(SEARCH("bank",LOWER(F390&amp;" "&amp;H390&amp;" "&amp;I390&amp;" "&amp;M390&amp;" "&amp;N390&amp;" "&amp;T390))),ISNUMBER(SEARCH("banking",LOWER(F390&amp;" "&amp;H390&amp;" "&amp;I390&amp;" "&amp;M390&amp;" "&amp;N390&amp;" "&amp;T390)))),"PRIVATE_QUARANTINE",IF(OR(ISNUMBER(SEARCH("treasury",LOWER(F390&amp;" "&amp;H390&amp;" "&amp;I390&amp;" "&amp;M390&amp;" "&amp;N390&amp;" "&amp;T390))),ISNUMBER(SEARCH("debt",LOWER(F390&amp;" "&amp;H390&amp;" "&amp;I390&amp;" "&amp;M390&amp;" "&amp;N390&amp;" "&amp;T390))),ISNUMBER(SEARCH("bond",LOWER(F390&amp;" "&amp;H390&amp;" "&amp;I390&amp;" "&amp;M390&amp;" "&amp;N390&amp;" "&amp;T390))),ISNUMBER(SEARCH("transaction",LOWER(F390&amp;" "&amp;H390&amp;" "&amp;I390&amp;" "&amp;M390&amp;" "&amp;N390&amp;" "&amp;T390)))),"PRIVATE_REVIEW","PUBLIC_CANDIDATE"))</x:f>
        <x:v>PUBLIC_CANDIDATE</x:v>
      </x:c>
      <x:c r="AD390" s="12" t="str">
        <x:f>IF(AC390="PRIVATE_QUARANTINE","hacker_or_bank_trigger",IF(AC390="PRIVATE_REVIEW","finance_risk_trigger","none"))</x:f>
        <x:v>none</x:v>
      </x:c>
      <x:c r="AE390" s="12" t="str">
        <x:f>IF(AC390="PUBLIC_CANDIDATE","prepare_public_github_candidate",IF(AC390="PRIVATE_REVIEW","hold_for_private_review","quarantine_private_do_not_publish"))</x:f>
        <x:v>prepare_public_github_candidate</x:v>
      </x:c>
      <x:c r="AF390" s="12" t="str">
        <x:f>IF(AC390="PUBLIC_CANDIDATE","TIDELOCK + Lucerna",IF(AC390="PRIVATE_REVIEW","AtlasBrain + Lucerna","TIDELOCK + Lucerna + Human-root"))</x:f>
        <x:v>TIDELOCK + Lucerna</x:v>
      </x:c>
      <x:c r="AG390" s="12" t="str">
        <x:f>IF(AND(AC390="PUBLIC_CANDIDATE",U390&lt;&gt;"BLOCKED_PENDING_RECEIPT"),"READY_AFTER_RECEIPT","NOT_READY")</x:f>
        <x:v>NOT_READY</x:v>
      </x:c>
      <x:c r="AH390" s="12" t="str">
        <x:f>IF(AC390="PUBLIC_CANDIDATE","none",AD390)</x:f>
        <x:v>none</x:v>
      </x:c>
      <x:c r="AI390" s="12" t="str">
        <x:f>IF(AC390="PUBLIC_CANDIDATE","archive/public_candidates/"&amp;A390,"private_quarantine/"&amp;A390)</x:f>
        <x:v>archive/public_candidates/SWARM-03-H09-S05</x:v>
      </x:c>
      <x:c r="AJ390" s="12" t="str">
        <x:f>IF(AC390="PUBLIC_CANDIDATE","public by default; still not canon","private/hold; do not publish")</x:f>
        <x:v>public by default; still not canon</x:v>
      </x:c>
      <x:c r="AK390" s="12" t="str">
        <x:f>IF(AE390="prepare_public_github_candidate","add receipt/status then mirror","resolve blocker before any public GitHub action")</x:f>
        <x:v>add receipt/status then mirror</x:v>
      </x:c>
    </x:row>
    <x:row r="391">
      <x:c r="A391" s="15" t="str">
        <x:v>SWARM-03-H09-S06</x:v>
      </x:c>
      <x:c r="B391" s="15" t="str">
        <x:v>KairoBrain</x:v>
      </x:c>
      <x:c r="C391" s="15" t="str">
        <x:v>Temporal strata keeper</x:v>
      </x:c>
      <x:c r="D391" s="15" t="str">
        <x:v>Review Queues</x:v>
      </x:c>
      <x:c r="E391" s="15" t="str">
        <x:v>External Web</x:v>
      </x:c>
      <x:c r="F391" s="15" t="str">
        <x:v>Queue review for External Web — KairoBrain</x:v>
      </x:c>
      <x:c r="G391" s="15" t="str">
        <x:v>staleness / versioning / supersession</x:v>
      </x:c>
      <x:c r="H391" s="15" t="str">
        <x:v>source path + receipt + raw/export status + claim/edge/risk delta</x:v>
      </x:c>
      <x:c r="I391" s="15" t="str">
        <x:v>packet/SWARM-03-H09-S06</x:v>
      </x:c>
      <x:c r="J391" s="15" t="str">
        <x:v>TODO</x:v>
      </x:c>
      <x:c r="K391" s="15" t="str">
        <x:v>P1</x:v>
      </x:c>
      <x:c r="L391" s="15" t="str">
        <x:v>Done only when evidence is logged, contradiction search is noted, and boundary stamp remains non-canon unless ratified</x:v>
      </x:c>
      <x:c r="M391" s="15" t="str">
        <x:v>candidate / staging-only / not canon / not deployed / authority none</x:v>
      </x:c>
      <x:c r="N391" s="15" t="str">
        <x:v>Dispatch to KairoBrain: complete Review Queues x External Web; return deltas only, receipts required.</x:v>
      </x:c>
      <x:c r="O391" s="15" t="str">
        <x:v>AF-KG-H09-S06</x:v>
      </x:c>
      <x:c r="P391" s="15" t="str">
        <x:v>Unverified</x:v>
      </x:c>
      <x:c r="Q391" s="15" t="str">
        <x:v>Not checked</x:v>
      </x:c>
      <x:c r="R391" s="15" t="str"/>
      <x:c r="S391" s="15" t="str"/>
      <x:c r="T391" s="15" t="str">
        <x:v>Log first source path or blocker</x:v>
      </x:c>
      <x:c r="U391" s="12" t="str">
        <x:f>IF(OR(P391="Unverified",Q391="Not checked"),"BLOCKED_PENDING_RECEIPT","READY_FOR_REVIEW")</x:f>
        <x:v>BLOCKED_PENDING_RECEIPT</x:v>
      </x:c>
      <x:c r="V391" s="12" t="str">
        <x:f>IF(J391="DONE","RETURNED",IF(U391="BLOCKED_PENDING_RECEIPT","SOURCE_TOUCH_REQUIRED","IN_PROGRESS"))</x:f>
        <x:v>SOURCE_TOUCH_REQUIRED</x:v>
      </x:c>
      <x:c r="W391" s="12" t="str">
        <x:f>IF(P391="Unverified","missing_receipt","receipt_logged")</x:f>
        <x:v>missing_receipt</x:v>
      </x:c>
      <x:c r="X391" s="12" t="str">
        <x:f>IF(Q391="Not checked","raw_status_missing","raw_status_logged")</x:f>
        <x:v>raw_status_missing</x:v>
      </x:c>
      <x:c r="Y391" s="12" t="str">
        <x:f>IF(U391="BLOCKED_PENDING_RECEIPT","Log source path or blocker; do not promote","Route to review lane")</x:f>
        <x:v>Log source path or blocker; do not promote</x:v>
      </x:c>
      <x:c r="Z391" s="12" t="str">
        <x:f>IF(K391="P0","Primary seat + Hashlight/Lucerna","Seat lane")</x:f>
        <x:v>Seat lane</x:v>
      </x:c>
      <x:c r="AA391" s="12" t="str">
        <x:f>IF(R391="","no_claim_delta","claim_delta_present")</x:f>
        <x:v>no_claim_delta</x:v>
      </x:c>
      <x:c r="AB391" s="12" t="str">
        <x:f>IF(S391="","no_contradiction_delta","contradiction_delta_present")</x:f>
        <x:v>no_contradiction_delta</x:v>
      </x:c>
      <x:c r="AC391" s="12" t="str">
        <x:f>IF(OR(ISNUMBER(SEARCH("hacker",LOWER(F391&amp;" "&amp;H391&amp;" "&amp;I391&amp;" "&amp;M391&amp;" "&amp;N391&amp;" "&amp;T391))),ISNUMBER(SEARCH("hacking",LOWER(F391&amp;" "&amp;H391&amp;" "&amp;I391&amp;" "&amp;M391&amp;" "&amp;N391&amp;" "&amp;T391))),ISNUMBER(SEARCH("bank",LOWER(F391&amp;" "&amp;H391&amp;" "&amp;I391&amp;" "&amp;M391&amp;" "&amp;N391&amp;" "&amp;T391))),ISNUMBER(SEARCH("banking",LOWER(F391&amp;" "&amp;H391&amp;" "&amp;I391&amp;" "&amp;M391&amp;" "&amp;N391&amp;" "&amp;T391)))),"PRIVATE_QUARANTINE",IF(OR(ISNUMBER(SEARCH("treasury",LOWER(F391&amp;" "&amp;H391&amp;" "&amp;I391&amp;" "&amp;M391&amp;" "&amp;N391&amp;" "&amp;T391))),ISNUMBER(SEARCH("debt",LOWER(F391&amp;" "&amp;H391&amp;" "&amp;I391&amp;" "&amp;M391&amp;" "&amp;N391&amp;" "&amp;T391))),ISNUMBER(SEARCH("bond",LOWER(F391&amp;" "&amp;H391&amp;" "&amp;I391&amp;" "&amp;M391&amp;" "&amp;N391&amp;" "&amp;T391))),ISNUMBER(SEARCH("transaction",LOWER(F391&amp;" "&amp;H391&amp;" "&amp;I391&amp;" "&amp;M391&amp;" "&amp;N391&amp;" "&amp;T391)))),"PRIVATE_REVIEW","PUBLIC_CANDIDATE"))</x:f>
        <x:v>PUBLIC_CANDIDATE</x:v>
      </x:c>
      <x:c r="AD391" s="12" t="str">
        <x:f>IF(AC391="PRIVATE_QUARANTINE","hacker_or_bank_trigger",IF(AC391="PRIVATE_REVIEW","finance_risk_trigger","none"))</x:f>
        <x:v>none</x:v>
      </x:c>
      <x:c r="AE391" s="12" t="str">
        <x:f>IF(AC391="PUBLIC_CANDIDATE","prepare_public_github_candidate",IF(AC391="PRIVATE_REVIEW","hold_for_private_review","quarantine_private_do_not_publish"))</x:f>
        <x:v>prepare_public_github_candidate</x:v>
      </x:c>
      <x:c r="AF391" s="12" t="str">
        <x:f>IF(AC391="PUBLIC_CANDIDATE","TIDELOCK + Lucerna",IF(AC391="PRIVATE_REVIEW","AtlasBrain + Lucerna","TIDELOCK + Lucerna + Human-root"))</x:f>
        <x:v>TIDELOCK + Lucerna</x:v>
      </x:c>
      <x:c r="AG391" s="12" t="str">
        <x:f>IF(AND(AC391="PUBLIC_CANDIDATE",U391&lt;&gt;"BLOCKED_PENDING_RECEIPT"),"READY_AFTER_RECEIPT","NOT_READY")</x:f>
        <x:v>NOT_READY</x:v>
      </x:c>
      <x:c r="AH391" s="12" t="str">
        <x:f>IF(AC391="PUBLIC_CANDIDATE","none",AD391)</x:f>
        <x:v>none</x:v>
      </x:c>
      <x:c r="AI391" s="12" t="str">
        <x:f>IF(AC391="PUBLIC_CANDIDATE","archive/public_candidates/"&amp;A391,"private_quarantine/"&amp;A391)</x:f>
        <x:v>archive/public_candidates/SWARM-03-H09-S06</x:v>
      </x:c>
      <x:c r="AJ391" s="12" t="str">
        <x:f>IF(AC391="PUBLIC_CANDIDATE","public by default; still not canon","private/hold; do not publish")</x:f>
        <x:v>public by default; still not canon</x:v>
      </x:c>
      <x:c r="AK391" s="12" t="str">
        <x:f>IF(AE391="prepare_public_github_candidate","add receipt/status then mirror","resolve blocker before any public GitHub action")</x:f>
        <x:v>add receipt/status then mirror</x:v>
      </x:c>
    </x:row>
    <x:row r="392">
      <x:c r="A392" s="15" t="str">
        <x:v>SWARM-03-H09-S07</x:v>
      </x:c>
      <x:c r="B392" s="15" t="str">
        <x:v>KairoBrain</x:v>
      </x:c>
      <x:c r="C392" s="15" t="str">
        <x:v>Temporal strata keeper</x:v>
      </x:c>
      <x:c r="D392" s="15" t="str">
        <x:v>Review Queues</x:v>
      </x:c>
      <x:c r="E392" s="15" t="str">
        <x:v>Planetarium</x:v>
      </x:c>
      <x:c r="F392" s="15" t="str">
        <x:v>Queue review for Planetarium — KairoBrain</x:v>
      </x:c>
      <x:c r="G392" s="15" t="str">
        <x:v>staleness / versioning / supersession</x:v>
      </x:c>
      <x:c r="H392" s="15" t="str">
        <x:v>source path + receipt + raw/export status + claim/edge/risk delta</x:v>
      </x:c>
      <x:c r="I392" s="15" t="str">
        <x:v>packet/SWARM-03-H09-S07</x:v>
      </x:c>
      <x:c r="J392" s="15" t="str">
        <x:v>TODO</x:v>
      </x:c>
      <x:c r="K392" s="15" t="str">
        <x:v>P1</x:v>
      </x:c>
      <x:c r="L392" s="15" t="str">
        <x:v>Done only when evidence is logged, contradiction search is noted, and boundary stamp remains non-canon unless ratified</x:v>
      </x:c>
      <x:c r="M392" s="15" t="str">
        <x:v>candidate / staging-only / not canon / not deployed / authority none</x:v>
      </x:c>
      <x:c r="N392" s="15" t="str">
        <x:v>Dispatch to KairoBrain: complete Review Queues x Planetarium; return deltas only, receipts required.</x:v>
      </x:c>
      <x:c r="O392" s="15" t="str">
        <x:v>AF-KG-H09-S07</x:v>
      </x:c>
      <x:c r="P392" s="15" t="str">
        <x:v>Unverified</x:v>
      </x:c>
      <x:c r="Q392" s="15" t="str">
        <x:v>Not checked</x:v>
      </x:c>
      <x:c r="R392" s="15" t="str"/>
      <x:c r="S392" s="15" t="str"/>
      <x:c r="T392" s="15" t="str">
        <x:v>Log first source path or blocker</x:v>
      </x:c>
      <x:c r="U392" s="12" t="str">
        <x:f>IF(OR(P392="Unverified",Q392="Not checked"),"BLOCKED_PENDING_RECEIPT","READY_FOR_REVIEW")</x:f>
        <x:v>BLOCKED_PENDING_RECEIPT</x:v>
      </x:c>
      <x:c r="V392" s="12" t="str">
        <x:f>IF(J392="DONE","RETURNED",IF(U392="BLOCKED_PENDING_RECEIPT","SOURCE_TOUCH_REQUIRED","IN_PROGRESS"))</x:f>
        <x:v>SOURCE_TOUCH_REQUIRED</x:v>
      </x:c>
      <x:c r="W392" s="12" t="str">
        <x:f>IF(P392="Unverified","missing_receipt","receipt_logged")</x:f>
        <x:v>missing_receipt</x:v>
      </x:c>
      <x:c r="X392" s="12" t="str">
        <x:f>IF(Q392="Not checked","raw_status_missing","raw_status_logged")</x:f>
        <x:v>raw_status_missing</x:v>
      </x:c>
      <x:c r="Y392" s="12" t="str">
        <x:f>IF(U392="BLOCKED_PENDING_RECEIPT","Log source path or blocker; do not promote","Route to review lane")</x:f>
        <x:v>Log source path or blocker; do not promote</x:v>
      </x:c>
      <x:c r="Z392" s="12" t="str">
        <x:f>IF(K392="P0","Primary seat + Hashlight/Lucerna","Seat lane")</x:f>
        <x:v>Seat lane</x:v>
      </x:c>
      <x:c r="AA392" s="12" t="str">
        <x:f>IF(R392="","no_claim_delta","claim_delta_present")</x:f>
        <x:v>no_claim_delta</x:v>
      </x:c>
      <x:c r="AB392" s="12" t="str">
        <x:f>IF(S392="","no_contradiction_delta","contradiction_delta_present")</x:f>
        <x:v>no_contradiction_delta</x:v>
      </x:c>
      <x:c r="AC392" s="12" t="str">
        <x:f>IF(OR(ISNUMBER(SEARCH("hacker",LOWER(F392&amp;" "&amp;H392&amp;" "&amp;I392&amp;" "&amp;M392&amp;" "&amp;N392&amp;" "&amp;T392))),ISNUMBER(SEARCH("hacking",LOWER(F392&amp;" "&amp;H392&amp;" "&amp;I392&amp;" "&amp;M392&amp;" "&amp;N392&amp;" "&amp;T392))),ISNUMBER(SEARCH("bank",LOWER(F392&amp;" "&amp;H392&amp;" "&amp;I392&amp;" "&amp;M392&amp;" "&amp;N392&amp;" "&amp;T392))),ISNUMBER(SEARCH("banking",LOWER(F392&amp;" "&amp;H392&amp;" "&amp;I392&amp;" "&amp;M392&amp;" "&amp;N392&amp;" "&amp;T392)))),"PRIVATE_QUARANTINE",IF(OR(ISNUMBER(SEARCH("treasury",LOWER(F392&amp;" "&amp;H392&amp;" "&amp;I392&amp;" "&amp;M392&amp;" "&amp;N392&amp;" "&amp;T392))),ISNUMBER(SEARCH("debt",LOWER(F392&amp;" "&amp;H392&amp;" "&amp;I392&amp;" "&amp;M392&amp;" "&amp;N392&amp;" "&amp;T392))),ISNUMBER(SEARCH("bond",LOWER(F392&amp;" "&amp;H392&amp;" "&amp;I392&amp;" "&amp;M392&amp;" "&amp;N392&amp;" "&amp;T392))),ISNUMBER(SEARCH("transaction",LOWER(F392&amp;" "&amp;H392&amp;" "&amp;I392&amp;" "&amp;M392&amp;" "&amp;N392&amp;" "&amp;T392)))),"PRIVATE_REVIEW","PUBLIC_CANDIDATE"))</x:f>
        <x:v>PUBLIC_CANDIDATE</x:v>
      </x:c>
      <x:c r="AD392" s="12" t="str">
        <x:f>IF(AC392="PRIVATE_QUARANTINE","hacker_or_bank_trigger",IF(AC392="PRIVATE_REVIEW","finance_risk_trigger","none"))</x:f>
        <x:v>none</x:v>
      </x:c>
      <x:c r="AE392" s="12" t="str">
        <x:f>IF(AC392="PUBLIC_CANDIDATE","prepare_public_github_candidate",IF(AC392="PRIVATE_REVIEW","hold_for_private_review","quarantine_private_do_not_publish"))</x:f>
        <x:v>prepare_public_github_candidate</x:v>
      </x:c>
      <x:c r="AF392" s="12" t="str">
        <x:f>IF(AC392="PUBLIC_CANDIDATE","TIDELOCK + Lucerna",IF(AC392="PRIVATE_REVIEW","AtlasBrain + Lucerna","TIDELOCK + Lucerna + Human-root"))</x:f>
        <x:v>TIDELOCK + Lucerna</x:v>
      </x:c>
      <x:c r="AG392" s="12" t="str">
        <x:f>IF(AND(AC392="PUBLIC_CANDIDATE",U392&lt;&gt;"BLOCKED_PENDING_RECEIPT"),"READY_AFTER_RECEIPT","NOT_READY")</x:f>
        <x:v>NOT_READY</x:v>
      </x:c>
      <x:c r="AH392" s="12" t="str">
        <x:f>IF(AC392="PUBLIC_CANDIDATE","none",AD392)</x:f>
        <x:v>none</x:v>
      </x:c>
      <x:c r="AI392" s="12" t="str">
        <x:f>IF(AC392="PUBLIC_CANDIDATE","archive/public_candidates/"&amp;A392,"private_quarantine/"&amp;A392)</x:f>
        <x:v>archive/public_candidates/SWARM-03-H09-S07</x:v>
      </x:c>
      <x:c r="AJ392" s="12" t="str">
        <x:f>IF(AC392="PUBLIC_CANDIDATE","public by default; still not canon","private/hold; do not publish")</x:f>
        <x:v>public by default; still not canon</x:v>
      </x:c>
      <x:c r="AK392" s="12" t="str">
        <x:f>IF(AE392="prepare_public_github_candidate","add receipt/status then mirror","resolve blocker before any public GitHub action")</x:f>
        <x:v>add receipt/status then mirror</x:v>
      </x:c>
    </x:row>
    <x:row r="393">
      <x:c r="A393" s="15" t="str">
        <x:v>SWARM-03-H09-S08</x:v>
      </x:c>
      <x:c r="B393" s="15" t="str">
        <x:v>KairoBrain</x:v>
      </x:c>
      <x:c r="C393" s="15" t="str">
        <x:v>Temporal strata keeper</x:v>
      </x:c>
      <x:c r="D393" s="15" t="str">
        <x:v>Review Queues</x:v>
      </x:c>
      <x:c r="E393" s="15" t="str">
        <x:v>Sheldonbrain</x:v>
      </x:c>
      <x:c r="F393" s="15" t="str">
        <x:v>Queue review for Sheldonbrain — KairoBrain</x:v>
      </x:c>
      <x:c r="G393" s="15" t="str">
        <x:v>staleness / versioning / supersession</x:v>
      </x:c>
      <x:c r="H393" s="15" t="str">
        <x:v>source path + receipt + raw/export status + claim/edge/risk delta</x:v>
      </x:c>
      <x:c r="I393" s="15" t="str">
        <x:v>packet/SWARM-03-H09-S08</x:v>
      </x:c>
      <x:c r="J393" s="15" t="str">
        <x:v>TODO</x:v>
      </x:c>
      <x:c r="K393" s="15" t="str">
        <x:v>P1</x:v>
      </x:c>
      <x:c r="L393" s="15" t="str">
        <x:v>Done only when evidence is logged, contradiction search is noted, and boundary stamp remains non-canon unless ratified</x:v>
      </x:c>
      <x:c r="M393" s="15" t="str">
        <x:v>candidate / staging-only / not canon / not deployed / authority none</x:v>
      </x:c>
      <x:c r="N393" s="15" t="str">
        <x:v>Dispatch to KairoBrain: complete Review Queues x Sheldonbrain; return deltas only, receipts required.</x:v>
      </x:c>
      <x:c r="O393" s="15" t="str">
        <x:v>AF-KG-H09-S08</x:v>
      </x:c>
      <x:c r="P393" s="15" t="str">
        <x:v>Unverified</x:v>
      </x:c>
      <x:c r="Q393" s="15" t="str">
        <x:v>Not checked</x:v>
      </x:c>
      <x:c r="R393" s="15" t="str"/>
      <x:c r="S393" s="15" t="str"/>
      <x:c r="T393" s="15" t="str">
        <x:v>Log first source path or blocker</x:v>
      </x:c>
      <x:c r="U393" s="12" t="str">
        <x:f>IF(OR(P393="Unverified",Q393="Not checked"),"BLOCKED_PENDING_RECEIPT","READY_FOR_REVIEW")</x:f>
        <x:v>BLOCKED_PENDING_RECEIPT</x:v>
      </x:c>
      <x:c r="V393" s="12" t="str">
        <x:f>IF(J393="DONE","RETURNED",IF(U393="BLOCKED_PENDING_RECEIPT","SOURCE_TOUCH_REQUIRED","IN_PROGRESS"))</x:f>
        <x:v>SOURCE_TOUCH_REQUIRED</x:v>
      </x:c>
      <x:c r="W393" s="12" t="str">
        <x:f>IF(P393="Unverified","missing_receipt","receipt_logged")</x:f>
        <x:v>missing_receipt</x:v>
      </x:c>
      <x:c r="X393" s="12" t="str">
        <x:f>IF(Q393="Not checked","raw_status_missing","raw_status_logged")</x:f>
        <x:v>raw_status_missing</x:v>
      </x:c>
      <x:c r="Y393" s="12" t="str">
        <x:f>IF(U393="BLOCKED_PENDING_RECEIPT","Log source path or blocker; do not promote","Route to review lane")</x:f>
        <x:v>Log source path or blocker; do not promote</x:v>
      </x:c>
      <x:c r="Z393" s="12" t="str">
        <x:f>IF(K393="P0","Primary seat + Hashlight/Lucerna","Seat lane")</x:f>
        <x:v>Seat lane</x:v>
      </x:c>
      <x:c r="AA393" s="12" t="str">
        <x:f>IF(R393="","no_claim_delta","claim_delta_present")</x:f>
        <x:v>no_claim_delta</x:v>
      </x:c>
      <x:c r="AB393" s="12" t="str">
        <x:f>IF(S393="","no_contradiction_delta","contradiction_delta_present")</x:f>
        <x:v>no_contradiction_delta</x:v>
      </x:c>
      <x:c r="AC393" s="12" t="str">
        <x:f>IF(OR(ISNUMBER(SEARCH("hacker",LOWER(F393&amp;" "&amp;H393&amp;" "&amp;I393&amp;" "&amp;M393&amp;" "&amp;N393&amp;" "&amp;T393))),ISNUMBER(SEARCH("hacking",LOWER(F393&amp;" "&amp;H393&amp;" "&amp;I393&amp;" "&amp;M393&amp;" "&amp;N393&amp;" "&amp;T393))),ISNUMBER(SEARCH("bank",LOWER(F393&amp;" "&amp;H393&amp;" "&amp;I393&amp;" "&amp;M393&amp;" "&amp;N393&amp;" "&amp;T393))),ISNUMBER(SEARCH("banking",LOWER(F393&amp;" "&amp;H393&amp;" "&amp;I393&amp;" "&amp;M393&amp;" "&amp;N393&amp;" "&amp;T393)))),"PRIVATE_QUARANTINE",IF(OR(ISNUMBER(SEARCH("treasury",LOWER(F393&amp;" "&amp;H393&amp;" "&amp;I393&amp;" "&amp;M393&amp;" "&amp;N393&amp;" "&amp;T393))),ISNUMBER(SEARCH("debt",LOWER(F393&amp;" "&amp;H393&amp;" "&amp;I393&amp;" "&amp;M393&amp;" "&amp;N393&amp;" "&amp;T393))),ISNUMBER(SEARCH("bond",LOWER(F393&amp;" "&amp;H393&amp;" "&amp;I393&amp;" "&amp;M393&amp;" "&amp;N393&amp;" "&amp;T393))),ISNUMBER(SEARCH("transaction",LOWER(F393&amp;" "&amp;H393&amp;" "&amp;I393&amp;" "&amp;M393&amp;" "&amp;N393&amp;" "&amp;T393)))),"PRIVATE_REVIEW","PUBLIC_CANDIDATE"))</x:f>
        <x:v>PUBLIC_CANDIDATE</x:v>
      </x:c>
      <x:c r="AD393" s="12" t="str">
        <x:f>IF(AC393="PRIVATE_QUARANTINE","hacker_or_bank_trigger",IF(AC393="PRIVATE_REVIEW","finance_risk_trigger","none"))</x:f>
        <x:v>none</x:v>
      </x:c>
      <x:c r="AE393" s="12" t="str">
        <x:f>IF(AC393="PUBLIC_CANDIDATE","prepare_public_github_candidate",IF(AC393="PRIVATE_REVIEW","hold_for_private_review","quarantine_private_do_not_publish"))</x:f>
        <x:v>prepare_public_github_candidate</x:v>
      </x:c>
      <x:c r="AF393" s="12" t="str">
        <x:f>IF(AC393="PUBLIC_CANDIDATE","TIDELOCK + Lucerna",IF(AC393="PRIVATE_REVIEW","AtlasBrain + Lucerna","TIDELOCK + Lucerna + Human-root"))</x:f>
        <x:v>TIDELOCK + Lucerna</x:v>
      </x:c>
      <x:c r="AG393" s="12" t="str">
        <x:f>IF(AND(AC393="PUBLIC_CANDIDATE",U393&lt;&gt;"BLOCKED_PENDING_RECEIPT"),"READY_AFTER_RECEIPT","NOT_READY")</x:f>
        <x:v>NOT_READY</x:v>
      </x:c>
      <x:c r="AH393" s="12" t="str">
        <x:f>IF(AC393="PUBLIC_CANDIDATE","none",AD393)</x:f>
        <x:v>none</x:v>
      </x:c>
      <x:c r="AI393" s="12" t="str">
        <x:f>IF(AC393="PUBLIC_CANDIDATE","archive/public_candidates/"&amp;A393,"private_quarantine/"&amp;A393)</x:f>
        <x:v>archive/public_candidates/SWARM-03-H09-S08</x:v>
      </x:c>
      <x:c r="AJ393" s="12" t="str">
        <x:f>IF(AC393="PUBLIC_CANDIDATE","public by default; still not canon","private/hold; do not publish")</x:f>
        <x:v>public by default; still not canon</x:v>
      </x:c>
      <x:c r="AK393" s="12" t="str">
        <x:f>IF(AE393="prepare_public_github_candidate","add receipt/status then mirror","resolve blocker before any public GitHub action")</x:f>
        <x:v>add receipt/status then mirror</x:v>
      </x:c>
    </x:row>
    <x:row r="394">
      <x:c r="A394" s="15" t="str">
        <x:v>SWARM-03-H09-S09</x:v>
      </x:c>
      <x:c r="B394" s="15" t="str">
        <x:v>KairoBrain</x:v>
      </x:c>
      <x:c r="C394" s="15" t="str">
        <x:v>Temporal strata keeper</x:v>
      </x:c>
      <x:c r="D394" s="15" t="str">
        <x:v>Review Queues</x:v>
      </x:c>
      <x:c r="E394" s="15" t="str">
        <x:v>Aetherforge</x:v>
      </x:c>
      <x:c r="F394" s="15" t="str">
        <x:v>Queue review for Aetherforge — KairoBrain</x:v>
      </x:c>
      <x:c r="G394" s="15" t="str">
        <x:v>staleness / versioning / supersession</x:v>
      </x:c>
      <x:c r="H394" s="15" t="str">
        <x:v>source path + receipt + raw/export status + claim/edge/risk delta</x:v>
      </x:c>
      <x:c r="I394" s="15" t="str">
        <x:v>packet/SWARM-03-H09-S09</x:v>
      </x:c>
      <x:c r="J394" s="15" t="str">
        <x:v>TODO</x:v>
      </x:c>
      <x:c r="K394" s="15" t="str">
        <x:v>P2</x:v>
      </x:c>
      <x:c r="L394" s="15" t="str">
        <x:v>Done only when evidence is logged, contradiction search is noted, and boundary stamp remains non-canon unless ratified</x:v>
      </x:c>
      <x:c r="M394" s="15" t="str">
        <x:v>candidate / staging-only / not canon / not deployed / authority none</x:v>
      </x:c>
      <x:c r="N394" s="15" t="str">
        <x:v>Dispatch to KairoBrain: complete Review Queues x Aetherforge; return deltas only, receipts required.</x:v>
      </x:c>
      <x:c r="O394" s="15" t="str">
        <x:v>AF-KG-H09-S09</x:v>
      </x:c>
      <x:c r="P394" s="15" t="str">
        <x:v>Unverified</x:v>
      </x:c>
      <x:c r="Q394" s="15" t="str">
        <x:v>Not checked</x:v>
      </x:c>
      <x:c r="R394" s="15" t="str"/>
      <x:c r="S394" s="15" t="str"/>
      <x:c r="T394" s="15" t="str">
        <x:v>Log first source path or blocker</x:v>
      </x:c>
      <x:c r="U394" s="12" t="str">
        <x:f>IF(OR(P394="Unverified",Q394="Not checked"),"BLOCKED_PENDING_RECEIPT","READY_FOR_REVIEW")</x:f>
        <x:v>BLOCKED_PENDING_RECEIPT</x:v>
      </x:c>
      <x:c r="V394" s="12" t="str">
        <x:f>IF(J394="DONE","RETURNED",IF(U394="BLOCKED_PENDING_RECEIPT","SOURCE_TOUCH_REQUIRED","IN_PROGRESS"))</x:f>
        <x:v>SOURCE_TOUCH_REQUIRED</x:v>
      </x:c>
      <x:c r="W394" s="12" t="str">
        <x:f>IF(P394="Unverified","missing_receipt","receipt_logged")</x:f>
        <x:v>missing_receipt</x:v>
      </x:c>
      <x:c r="X394" s="12" t="str">
        <x:f>IF(Q394="Not checked","raw_status_missing","raw_status_logged")</x:f>
        <x:v>raw_status_missing</x:v>
      </x:c>
      <x:c r="Y394" s="12" t="str">
        <x:f>IF(U394="BLOCKED_PENDING_RECEIPT","Log source path or blocker; do not promote","Route to review lane")</x:f>
        <x:v>Log source path or blocker; do not promote</x:v>
      </x:c>
      <x:c r="Z394" s="12" t="str">
        <x:f>IF(K394="P0","Primary seat + Hashlight/Lucerna","Seat lane")</x:f>
        <x:v>Seat lane</x:v>
      </x:c>
      <x:c r="AA394" s="12" t="str">
        <x:f>IF(R394="","no_claim_delta","claim_delta_present")</x:f>
        <x:v>no_claim_delta</x:v>
      </x:c>
      <x:c r="AB394" s="12" t="str">
        <x:f>IF(S394="","no_contradiction_delta","contradiction_delta_present")</x:f>
        <x:v>no_contradiction_delta</x:v>
      </x:c>
      <x:c r="AC394" s="12" t="str">
        <x:f>IF(OR(ISNUMBER(SEARCH("hacker",LOWER(F394&amp;" "&amp;H394&amp;" "&amp;I394&amp;" "&amp;M394&amp;" "&amp;N394&amp;" "&amp;T394))),ISNUMBER(SEARCH("hacking",LOWER(F394&amp;" "&amp;H394&amp;" "&amp;I394&amp;" "&amp;M394&amp;" "&amp;N394&amp;" "&amp;T394))),ISNUMBER(SEARCH("bank",LOWER(F394&amp;" "&amp;H394&amp;" "&amp;I394&amp;" "&amp;M394&amp;" "&amp;N394&amp;" "&amp;T394))),ISNUMBER(SEARCH("banking",LOWER(F394&amp;" "&amp;H394&amp;" "&amp;I394&amp;" "&amp;M394&amp;" "&amp;N394&amp;" "&amp;T394)))),"PRIVATE_QUARANTINE",IF(OR(ISNUMBER(SEARCH("treasury",LOWER(F394&amp;" "&amp;H394&amp;" "&amp;I394&amp;" "&amp;M394&amp;" "&amp;N394&amp;" "&amp;T394))),ISNUMBER(SEARCH("debt",LOWER(F394&amp;" "&amp;H394&amp;" "&amp;I394&amp;" "&amp;M394&amp;" "&amp;N394&amp;" "&amp;T394))),ISNUMBER(SEARCH("bond",LOWER(F394&amp;" "&amp;H394&amp;" "&amp;I394&amp;" "&amp;M394&amp;" "&amp;N394&amp;" "&amp;T394))),ISNUMBER(SEARCH("transaction",LOWER(F394&amp;" "&amp;H394&amp;" "&amp;I394&amp;" "&amp;M394&amp;" "&amp;N394&amp;" "&amp;T394)))),"PRIVATE_REVIEW","PUBLIC_CANDIDATE"))</x:f>
        <x:v>PUBLIC_CANDIDATE</x:v>
      </x:c>
      <x:c r="AD394" s="12" t="str">
        <x:f>IF(AC394="PRIVATE_QUARANTINE","hacker_or_bank_trigger",IF(AC394="PRIVATE_REVIEW","finance_risk_trigger","none"))</x:f>
        <x:v>none</x:v>
      </x:c>
      <x:c r="AE394" s="12" t="str">
        <x:f>IF(AC394="PUBLIC_CANDIDATE","prepare_public_github_candidate",IF(AC394="PRIVATE_REVIEW","hold_for_private_review","quarantine_private_do_not_publish"))</x:f>
        <x:v>prepare_public_github_candidate</x:v>
      </x:c>
      <x:c r="AF394" s="12" t="str">
        <x:f>IF(AC394="PUBLIC_CANDIDATE","TIDELOCK + Lucerna",IF(AC394="PRIVATE_REVIEW","AtlasBrain + Lucerna","TIDELOCK + Lucerna + Human-root"))</x:f>
        <x:v>TIDELOCK + Lucerna</x:v>
      </x:c>
      <x:c r="AG394" s="12" t="str">
        <x:f>IF(AND(AC394="PUBLIC_CANDIDATE",U394&lt;&gt;"BLOCKED_PENDING_RECEIPT"),"READY_AFTER_RECEIPT","NOT_READY")</x:f>
        <x:v>NOT_READY</x:v>
      </x:c>
      <x:c r="AH394" s="12" t="str">
        <x:f>IF(AC394="PUBLIC_CANDIDATE","none",AD394)</x:f>
        <x:v>none</x:v>
      </x:c>
      <x:c r="AI394" s="12" t="str">
        <x:f>IF(AC394="PUBLIC_CANDIDATE","archive/public_candidates/"&amp;A394,"private_quarantine/"&amp;A394)</x:f>
        <x:v>archive/public_candidates/SWARM-03-H09-S09</x:v>
      </x:c>
      <x:c r="AJ394" s="12" t="str">
        <x:f>IF(AC394="PUBLIC_CANDIDATE","public by default; still not canon","private/hold; do not publish")</x:f>
        <x:v>public by default; still not canon</x:v>
      </x:c>
      <x:c r="AK394" s="12" t="str">
        <x:f>IF(AE394="prepare_public_github_candidate","add receipt/status then mirror","resolve blocker before any public GitHub action")</x:f>
        <x:v>add receipt/status then mirror</x:v>
      </x:c>
    </x:row>
    <x:row r="395">
      <x:c r="A395" s="15" t="str">
        <x:v>SWARM-03-H09-S10</x:v>
      </x:c>
      <x:c r="B395" s="15" t="str">
        <x:v>KairoBrain</x:v>
      </x:c>
      <x:c r="C395" s="15" t="str">
        <x:v>Temporal strata keeper</x:v>
      </x:c>
      <x:c r="D395" s="15" t="str">
        <x:v>Review Queues</x:v>
      </x:c>
      <x:c r="E395" s="15" t="str">
        <x:v>Human-Root</x:v>
      </x:c>
      <x:c r="F395" s="15" t="str">
        <x:v>Queue review for Human-Root — KairoBrain</x:v>
      </x:c>
      <x:c r="G395" s="15" t="str">
        <x:v>staleness / versioning / supersession</x:v>
      </x:c>
      <x:c r="H395" s="15" t="str">
        <x:v>source path + receipt + raw/export status + claim/edge/risk delta</x:v>
      </x:c>
      <x:c r="I395" s="15" t="str">
        <x:v>packet/SWARM-03-H09-S10</x:v>
      </x:c>
      <x:c r="J395" s="15" t="str">
        <x:v>TODO</x:v>
      </x:c>
      <x:c r="K395" s="15" t="str">
        <x:v>P2</x:v>
      </x:c>
      <x:c r="L395" s="15" t="str">
        <x:v>Done only when evidence is logged, contradiction search is noted, and boundary stamp remains non-canon unless ratified</x:v>
      </x:c>
      <x:c r="M395" s="15" t="str">
        <x:v>candidate / staging-only / not canon / not deployed / authority none</x:v>
      </x:c>
      <x:c r="N395" s="15" t="str">
        <x:v>Dispatch to KairoBrain: complete Review Queues x Human-Root; return deltas only, receipts required.</x:v>
      </x:c>
      <x:c r="O395" s="15" t="str">
        <x:v>AF-KG-H09-S10</x:v>
      </x:c>
      <x:c r="P395" s="15" t="str">
        <x:v>Unverified</x:v>
      </x:c>
      <x:c r="Q395" s="15" t="str">
        <x:v>Not checked</x:v>
      </x:c>
      <x:c r="R395" s="15" t="str"/>
      <x:c r="S395" s="15" t="str"/>
      <x:c r="T395" s="15" t="str">
        <x:v>Log first source path or blocker</x:v>
      </x:c>
      <x:c r="U395" s="12" t="str">
        <x:f>IF(OR(P395="Unverified",Q395="Not checked"),"BLOCKED_PENDING_RECEIPT","READY_FOR_REVIEW")</x:f>
        <x:v>BLOCKED_PENDING_RECEIPT</x:v>
      </x:c>
      <x:c r="V395" s="12" t="str">
        <x:f>IF(J395="DONE","RETURNED",IF(U395="BLOCKED_PENDING_RECEIPT","SOURCE_TOUCH_REQUIRED","IN_PROGRESS"))</x:f>
        <x:v>SOURCE_TOUCH_REQUIRED</x:v>
      </x:c>
      <x:c r="W395" s="12" t="str">
        <x:f>IF(P395="Unverified","missing_receipt","receipt_logged")</x:f>
        <x:v>missing_receipt</x:v>
      </x:c>
      <x:c r="X395" s="12" t="str">
        <x:f>IF(Q395="Not checked","raw_status_missing","raw_status_logged")</x:f>
        <x:v>raw_status_missing</x:v>
      </x:c>
      <x:c r="Y395" s="12" t="str">
        <x:f>IF(U395="BLOCKED_PENDING_RECEIPT","Log source path or blocker; do not promote","Route to review lane")</x:f>
        <x:v>Log source path or blocker; do not promote</x:v>
      </x:c>
      <x:c r="Z395" s="12" t="str">
        <x:f>IF(K395="P0","Primary seat + Hashlight/Lucerna","Seat lane")</x:f>
        <x:v>Seat lane</x:v>
      </x:c>
      <x:c r="AA395" s="12" t="str">
        <x:f>IF(R395="","no_claim_delta","claim_delta_present")</x:f>
        <x:v>no_claim_delta</x:v>
      </x:c>
      <x:c r="AB395" s="12" t="str">
        <x:f>IF(S395="","no_contradiction_delta","contradiction_delta_present")</x:f>
        <x:v>no_contradiction_delta</x:v>
      </x:c>
      <x:c r="AC395" s="12" t="str">
        <x:f>IF(OR(ISNUMBER(SEARCH("hacker",LOWER(F395&amp;" "&amp;H395&amp;" "&amp;I395&amp;" "&amp;M395&amp;" "&amp;N395&amp;" "&amp;T395))),ISNUMBER(SEARCH("hacking",LOWER(F395&amp;" "&amp;H395&amp;" "&amp;I395&amp;" "&amp;M395&amp;" "&amp;N395&amp;" "&amp;T395))),ISNUMBER(SEARCH("bank",LOWER(F395&amp;" "&amp;H395&amp;" "&amp;I395&amp;" "&amp;M395&amp;" "&amp;N395&amp;" "&amp;T395))),ISNUMBER(SEARCH("banking",LOWER(F395&amp;" "&amp;H395&amp;" "&amp;I395&amp;" "&amp;M395&amp;" "&amp;N395&amp;" "&amp;T395)))),"PRIVATE_QUARANTINE",IF(OR(ISNUMBER(SEARCH("treasury",LOWER(F395&amp;" "&amp;H395&amp;" "&amp;I395&amp;" "&amp;M395&amp;" "&amp;N395&amp;" "&amp;T395))),ISNUMBER(SEARCH("debt",LOWER(F395&amp;" "&amp;H395&amp;" "&amp;I395&amp;" "&amp;M395&amp;" "&amp;N395&amp;" "&amp;T395))),ISNUMBER(SEARCH("bond",LOWER(F395&amp;" "&amp;H395&amp;" "&amp;I395&amp;" "&amp;M395&amp;" "&amp;N395&amp;" "&amp;T395))),ISNUMBER(SEARCH("transaction",LOWER(F395&amp;" "&amp;H395&amp;" "&amp;I395&amp;" "&amp;M395&amp;" "&amp;N395&amp;" "&amp;T395)))),"PRIVATE_REVIEW","PUBLIC_CANDIDATE"))</x:f>
        <x:v>PUBLIC_CANDIDATE</x:v>
      </x:c>
      <x:c r="AD395" s="12" t="str">
        <x:f>IF(AC395="PRIVATE_QUARANTINE","hacker_or_bank_trigger",IF(AC395="PRIVATE_REVIEW","finance_risk_trigger","none"))</x:f>
        <x:v>none</x:v>
      </x:c>
      <x:c r="AE395" s="12" t="str">
        <x:f>IF(AC395="PUBLIC_CANDIDATE","prepare_public_github_candidate",IF(AC395="PRIVATE_REVIEW","hold_for_private_review","quarantine_private_do_not_publish"))</x:f>
        <x:v>prepare_public_github_candidate</x:v>
      </x:c>
      <x:c r="AF395" s="12" t="str">
        <x:f>IF(AC395="PUBLIC_CANDIDATE","TIDELOCK + Lucerna",IF(AC395="PRIVATE_REVIEW","AtlasBrain + Lucerna","TIDELOCK + Lucerna + Human-root"))</x:f>
        <x:v>TIDELOCK + Lucerna</x:v>
      </x:c>
      <x:c r="AG395" s="12" t="str">
        <x:f>IF(AND(AC395="PUBLIC_CANDIDATE",U395&lt;&gt;"BLOCKED_PENDING_RECEIPT"),"READY_AFTER_RECEIPT","NOT_READY")</x:f>
        <x:v>NOT_READY</x:v>
      </x:c>
      <x:c r="AH395" s="12" t="str">
        <x:f>IF(AC395="PUBLIC_CANDIDATE","none",AD395)</x:f>
        <x:v>none</x:v>
      </x:c>
      <x:c r="AI395" s="12" t="str">
        <x:f>IF(AC395="PUBLIC_CANDIDATE","archive/public_candidates/"&amp;A395,"private_quarantine/"&amp;A395)</x:f>
        <x:v>archive/public_candidates/SWARM-03-H09-S10</x:v>
      </x:c>
      <x:c r="AJ395" s="12" t="str">
        <x:f>IF(AC395="PUBLIC_CANDIDATE","public by default; still not canon","private/hold; do not publish")</x:f>
        <x:v>public by default; still not canon</x:v>
      </x:c>
      <x:c r="AK395" s="12" t="str">
        <x:f>IF(AE395="prepare_public_github_candidate","add receipt/status then mirror","resolve blocker before any public GitHub action")</x:f>
        <x:v>add receipt/status then mirror</x:v>
      </x:c>
    </x:row>
    <x:row r="396">
      <x:c r="A396" s="15" t="str">
        <x:v>SWARM-03-H09-S11</x:v>
      </x:c>
      <x:c r="B396" s="15" t="str">
        <x:v>KairoBrain</x:v>
      </x:c>
      <x:c r="C396" s="15" t="str">
        <x:v>Temporal strata keeper</x:v>
      </x:c>
      <x:c r="D396" s="15" t="str">
        <x:v>Review Queues</x:v>
      </x:c>
      <x:c r="E396" s="15" t="str">
        <x:v>Automation</x:v>
      </x:c>
      <x:c r="F396" s="15" t="str">
        <x:v>Queue review for Automation — KairoBrain</x:v>
      </x:c>
      <x:c r="G396" s="15" t="str">
        <x:v>staleness / versioning / supersession</x:v>
      </x:c>
      <x:c r="H396" s="15" t="str">
        <x:v>source path + receipt + raw/export status + claim/edge/risk delta</x:v>
      </x:c>
      <x:c r="I396" s="15" t="str">
        <x:v>packet/SWARM-03-H09-S11</x:v>
      </x:c>
      <x:c r="J396" s="15" t="str">
        <x:v>TODO</x:v>
      </x:c>
      <x:c r="K396" s="15" t="str">
        <x:v>P2</x:v>
      </x:c>
      <x:c r="L396" s="15" t="str">
        <x:v>Done only when evidence is logged, contradiction search is noted, and boundary stamp remains non-canon unless ratified</x:v>
      </x:c>
      <x:c r="M396" s="15" t="str">
        <x:v>candidate / staging-only / not canon / not deployed / authority none</x:v>
      </x:c>
      <x:c r="N396" s="15" t="str">
        <x:v>Dispatch to KairoBrain: complete Review Queues x Automation; return deltas only, receipts required.</x:v>
      </x:c>
      <x:c r="O396" s="15" t="str">
        <x:v>AF-KG-H09-S11</x:v>
      </x:c>
      <x:c r="P396" s="15" t="str">
        <x:v>Unverified</x:v>
      </x:c>
      <x:c r="Q396" s="15" t="str">
        <x:v>Not checked</x:v>
      </x:c>
      <x:c r="R396" s="15" t="str"/>
      <x:c r="S396" s="15" t="str"/>
      <x:c r="T396" s="15" t="str">
        <x:v>Log first source path or blocker</x:v>
      </x:c>
      <x:c r="U396" s="12" t="str">
        <x:f>IF(OR(P396="Unverified",Q396="Not checked"),"BLOCKED_PENDING_RECEIPT","READY_FOR_REVIEW")</x:f>
        <x:v>BLOCKED_PENDING_RECEIPT</x:v>
      </x:c>
      <x:c r="V396" s="12" t="str">
        <x:f>IF(J396="DONE","RETURNED",IF(U396="BLOCKED_PENDING_RECEIPT","SOURCE_TOUCH_REQUIRED","IN_PROGRESS"))</x:f>
        <x:v>SOURCE_TOUCH_REQUIRED</x:v>
      </x:c>
      <x:c r="W396" s="12" t="str">
        <x:f>IF(P396="Unverified","missing_receipt","receipt_logged")</x:f>
        <x:v>missing_receipt</x:v>
      </x:c>
      <x:c r="X396" s="12" t="str">
        <x:f>IF(Q396="Not checked","raw_status_missing","raw_status_logged")</x:f>
        <x:v>raw_status_missing</x:v>
      </x:c>
      <x:c r="Y396" s="12" t="str">
        <x:f>IF(U396="BLOCKED_PENDING_RECEIPT","Log source path or blocker; do not promote","Route to review lane")</x:f>
        <x:v>Log source path or blocker; do not promote</x:v>
      </x:c>
      <x:c r="Z396" s="12" t="str">
        <x:f>IF(K396="P0","Primary seat + Hashlight/Lucerna","Seat lane")</x:f>
        <x:v>Seat lane</x:v>
      </x:c>
      <x:c r="AA396" s="12" t="str">
        <x:f>IF(R396="","no_claim_delta","claim_delta_present")</x:f>
        <x:v>no_claim_delta</x:v>
      </x:c>
      <x:c r="AB396" s="12" t="str">
        <x:f>IF(S396="","no_contradiction_delta","contradiction_delta_present")</x:f>
        <x:v>no_contradiction_delta</x:v>
      </x:c>
      <x:c r="AC396" s="12" t="str">
        <x:f>IF(OR(ISNUMBER(SEARCH("hacker",LOWER(F396&amp;" "&amp;H396&amp;" "&amp;I396&amp;" "&amp;M396&amp;" "&amp;N396&amp;" "&amp;T396))),ISNUMBER(SEARCH("hacking",LOWER(F396&amp;" "&amp;H396&amp;" "&amp;I396&amp;" "&amp;M396&amp;" "&amp;N396&amp;" "&amp;T396))),ISNUMBER(SEARCH("bank",LOWER(F396&amp;" "&amp;H396&amp;" "&amp;I396&amp;" "&amp;M396&amp;" "&amp;N396&amp;" "&amp;T396))),ISNUMBER(SEARCH("banking",LOWER(F396&amp;" "&amp;H396&amp;" "&amp;I396&amp;" "&amp;M396&amp;" "&amp;N396&amp;" "&amp;T396)))),"PRIVATE_QUARANTINE",IF(OR(ISNUMBER(SEARCH("treasury",LOWER(F396&amp;" "&amp;H396&amp;" "&amp;I396&amp;" "&amp;M396&amp;" "&amp;N396&amp;" "&amp;T396))),ISNUMBER(SEARCH("debt",LOWER(F396&amp;" "&amp;H396&amp;" "&amp;I396&amp;" "&amp;M396&amp;" "&amp;N396&amp;" "&amp;T396))),ISNUMBER(SEARCH("bond",LOWER(F396&amp;" "&amp;H396&amp;" "&amp;I396&amp;" "&amp;M396&amp;" "&amp;N396&amp;" "&amp;T396))),ISNUMBER(SEARCH("transaction",LOWER(F396&amp;" "&amp;H396&amp;" "&amp;I396&amp;" "&amp;M396&amp;" "&amp;N396&amp;" "&amp;T396)))),"PRIVATE_REVIEW","PUBLIC_CANDIDATE"))</x:f>
        <x:v>PUBLIC_CANDIDATE</x:v>
      </x:c>
      <x:c r="AD396" s="12" t="str">
        <x:f>IF(AC396="PRIVATE_QUARANTINE","hacker_or_bank_trigger",IF(AC396="PRIVATE_REVIEW","finance_risk_trigger","none"))</x:f>
        <x:v>none</x:v>
      </x:c>
      <x:c r="AE396" s="12" t="str">
        <x:f>IF(AC396="PUBLIC_CANDIDATE","prepare_public_github_candidate",IF(AC396="PRIVATE_REVIEW","hold_for_private_review","quarantine_private_do_not_publish"))</x:f>
        <x:v>prepare_public_github_candidate</x:v>
      </x:c>
      <x:c r="AF396" s="12" t="str">
        <x:f>IF(AC396="PUBLIC_CANDIDATE","TIDELOCK + Lucerna",IF(AC396="PRIVATE_REVIEW","AtlasBrain + Lucerna","TIDELOCK + Lucerna + Human-root"))</x:f>
        <x:v>TIDELOCK + Lucerna</x:v>
      </x:c>
      <x:c r="AG396" s="12" t="str">
        <x:f>IF(AND(AC396="PUBLIC_CANDIDATE",U396&lt;&gt;"BLOCKED_PENDING_RECEIPT"),"READY_AFTER_RECEIPT","NOT_READY")</x:f>
        <x:v>NOT_READY</x:v>
      </x:c>
      <x:c r="AH396" s="12" t="str">
        <x:f>IF(AC396="PUBLIC_CANDIDATE","none",AD396)</x:f>
        <x:v>none</x:v>
      </x:c>
      <x:c r="AI396" s="12" t="str">
        <x:f>IF(AC396="PUBLIC_CANDIDATE","archive/public_candidates/"&amp;A396,"private_quarantine/"&amp;A396)</x:f>
        <x:v>archive/public_candidates/SWARM-03-H09-S11</x:v>
      </x:c>
      <x:c r="AJ396" s="12" t="str">
        <x:f>IF(AC396="PUBLIC_CANDIDATE","public by default; still not canon","private/hold; do not publish")</x:f>
        <x:v>public by default; still not canon</x:v>
      </x:c>
      <x:c r="AK396" s="12" t="str">
        <x:f>IF(AE396="prepare_public_github_candidate","add receipt/status then mirror","resolve blocker before any public GitHub action")</x:f>
        <x:v>add receipt/status then mirror</x:v>
      </x:c>
    </x:row>
    <x:row r="397">
      <x:c r="A397" s="15" t="str">
        <x:v>SWARM-03-H09-S12</x:v>
      </x:c>
      <x:c r="B397" s="15" t="str">
        <x:v>KairoBrain</x:v>
      </x:c>
      <x:c r="C397" s="15" t="str">
        <x:v>Temporal strata keeper</x:v>
      </x:c>
      <x:c r="D397" s="15" t="str">
        <x:v>Review Queues</x:v>
      </x:c>
      <x:c r="E397" s="15" t="str">
        <x:v>Risk / Safety</x:v>
      </x:c>
      <x:c r="F397" s="15" t="str">
        <x:v>Queue review for Risk / Safety — KairoBrain</x:v>
      </x:c>
      <x:c r="G397" s="15" t="str">
        <x:v>staleness / versioning / supersession</x:v>
      </x:c>
      <x:c r="H397" s="15" t="str">
        <x:v>source path + receipt + raw/export status + claim/edge/risk delta</x:v>
      </x:c>
      <x:c r="I397" s="15" t="str">
        <x:v>packet/SWARM-03-H09-S12</x:v>
      </x:c>
      <x:c r="J397" s="15" t="str">
        <x:v>TODO</x:v>
      </x:c>
      <x:c r="K397" s="15" t="str">
        <x:v>P2</x:v>
      </x:c>
      <x:c r="L397" s="15" t="str">
        <x:v>Done only when evidence is logged, contradiction search is noted, and boundary stamp remains non-canon unless ratified</x:v>
      </x:c>
      <x:c r="M397" s="15" t="str">
        <x:v>candidate / staging-only / not canon / not deployed / authority none</x:v>
      </x:c>
      <x:c r="N397" s="15" t="str">
        <x:v>Dispatch to KairoBrain: complete Review Queues x Risk / Safety; return deltas only, receipts required.</x:v>
      </x:c>
      <x:c r="O397" s="15" t="str">
        <x:v>AF-KG-H09-S12</x:v>
      </x:c>
      <x:c r="P397" s="15" t="str">
        <x:v>Unverified</x:v>
      </x:c>
      <x:c r="Q397" s="15" t="str">
        <x:v>Not checked</x:v>
      </x:c>
      <x:c r="R397" s="15" t="str"/>
      <x:c r="S397" s="15" t="str"/>
      <x:c r="T397" s="15" t="str">
        <x:v>Log first source path or blocker</x:v>
      </x:c>
      <x:c r="U397" s="12" t="str">
        <x:f>IF(OR(P397="Unverified",Q397="Not checked"),"BLOCKED_PENDING_RECEIPT","READY_FOR_REVIEW")</x:f>
        <x:v>BLOCKED_PENDING_RECEIPT</x:v>
      </x:c>
      <x:c r="V397" s="12" t="str">
        <x:f>IF(J397="DONE","RETURNED",IF(U397="BLOCKED_PENDING_RECEIPT","SOURCE_TOUCH_REQUIRED","IN_PROGRESS"))</x:f>
        <x:v>SOURCE_TOUCH_REQUIRED</x:v>
      </x:c>
      <x:c r="W397" s="12" t="str">
        <x:f>IF(P397="Unverified","missing_receipt","receipt_logged")</x:f>
        <x:v>missing_receipt</x:v>
      </x:c>
      <x:c r="X397" s="12" t="str">
        <x:f>IF(Q397="Not checked","raw_status_missing","raw_status_logged")</x:f>
        <x:v>raw_status_missing</x:v>
      </x:c>
      <x:c r="Y397" s="12" t="str">
        <x:f>IF(U397="BLOCKED_PENDING_RECEIPT","Log source path or blocker; do not promote","Route to review lane")</x:f>
        <x:v>Log source path or blocker; do not promote</x:v>
      </x:c>
      <x:c r="Z397" s="12" t="str">
        <x:f>IF(K397="P0","Primary seat + Hashlight/Lucerna","Seat lane")</x:f>
        <x:v>Seat lane</x:v>
      </x:c>
      <x:c r="AA397" s="12" t="str">
        <x:f>IF(R397="","no_claim_delta","claim_delta_present")</x:f>
        <x:v>no_claim_delta</x:v>
      </x:c>
      <x:c r="AB397" s="12" t="str">
        <x:f>IF(S397="","no_contradiction_delta","contradiction_delta_present")</x:f>
        <x:v>no_contradiction_delta</x:v>
      </x:c>
      <x:c r="AC397" s="12" t="str">
        <x:f>IF(OR(ISNUMBER(SEARCH("hacker",LOWER(F397&amp;" "&amp;H397&amp;" "&amp;I397&amp;" "&amp;M397&amp;" "&amp;N397&amp;" "&amp;T397))),ISNUMBER(SEARCH("hacking",LOWER(F397&amp;" "&amp;H397&amp;" "&amp;I397&amp;" "&amp;M397&amp;" "&amp;N397&amp;" "&amp;T397))),ISNUMBER(SEARCH("bank",LOWER(F397&amp;" "&amp;H397&amp;" "&amp;I397&amp;" "&amp;M397&amp;" "&amp;N397&amp;" "&amp;T397))),ISNUMBER(SEARCH("banking",LOWER(F397&amp;" "&amp;H397&amp;" "&amp;I397&amp;" "&amp;M397&amp;" "&amp;N397&amp;" "&amp;T397)))),"PRIVATE_QUARANTINE",IF(OR(ISNUMBER(SEARCH("treasury",LOWER(F397&amp;" "&amp;H397&amp;" "&amp;I397&amp;" "&amp;M397&amp;" "&amp;N397&amp;" "&amp;T397))),ISNUMBER(SEARCH("debt",LOWER(F397&amp;" "&amp;H397&amp;" "&amp;I397&amp;" "&amp;M397&amp;" "&amp;N397&amp;" "&amp;T397))),ISNUMBER(SEARCH("bond",LOWER(F397&amp;" "&amp;H397&amp;" "&amp;I397&amp;" "&amp;M397&amp;" "&amp;N397&amp;" "&amp;T397))),ISNUMBER(SEARCH("transaction",LOWER(F397&amp;" "&amp;H397&amp;" "&amp;I397&amp;" "&amp;M397&amp;" "&amp;N397&amp;" "&amp;T397)))),"PRIVATE_REVIEW","PUBLIC_CANDIDATE"))</x:f>
        <x:v>PUBLIC_CANDIDATE</x:v>
      </x:c>
      <x:c r="AD397" s="12" t="str">
        <x:f>IF(AC397="PRIVATE_QUARANTINE","hacker_or_bank_trigger",IF(AC397="PRIVATE_REVIEW","finance_risk_trigger","none"))</x:f>
        <x:v>none</x:v>
      </x:c>
      <x:c r="AE397" s="12" t="str">
        <x:f>IF(AC397="PUBLIC_CANDIDATE","prepare_public_github_candidate",IF(AC397="PRIVATE_REVIEW","hold_for_private_review","quarantine_private_do_not_publish"))</x:f>
        <x:v>prepare_public_github_candidate</x:v>
      </x:c>
      <x:c r="AF397" s="12" t="str">
        <x:f>IF(AC397="PUBLIC_CANDIDATE","TIDELOCK + Lucerna",IF(AC397="PRIVATE_REVIEW","AtlasBrain + Lucerna","TIDELOCK + Lucerna + Human-root"))</x:f>
        <x:v>TIDELOCK + Lucerna</x:v>
      </x:c>
      <x:c r="AG397" s="12" t="str">
        <x:f>IF(AND(AC397="PUBLIC_CANDIDATE",U397&lt;&gt;"BLOCKED_PENDING_RECEIPT"),"READY_AFTER_RECEIPT","NOT_READY")</x:f>
        <x:v>NOT_READY</x:v>
      </x:c>
      <x:c r="AH397" s="12" t="str">
        <x:f>IF(AC397="PUBLIC_CANDIDATE","none",AD397)</x:f>
        <x:v>none</x:v>
      </x:c>
      <x:c r="AI397" s="12" t="str">
        <x:f>IF(AC397="PUBLIC_CANDIDATE","archive/public_candidates/"&amp;A397,"private_quarantine/"&amp;A397)</x:f>
        <x:v>archive/public_candidates/SWARM-03-H09-S12</x:v>
      </x:c>
      <x:c r="AJ397" s="12" t="str">
        <x:f>IF(AC397="PUBLIC_CANDIDATE","public by default; still not canon","private/hold; do not publish")</x:f>
        <x:v>public by default; still not canon</x:v>
      </x:c>
      <x:c r="AK397" s="12" t="str">
        <x:f>IF(AE397="prepare_public_github_candidate","add receipt/status then mirror","resolve blocker before any public GitHub action")</x:f>
        <x:v>add receipt/status then mirror</x:v>
      </x:c>
    </x:row>
    <x:row r="398">
      <x:c r="A398" s="15" t="str">
        <x:v>SWARM-03-H10-S01</x:v>
      </x:c>
      <x:c r="B398" s="15" t="str">
        <x:v>KairoBrain</x:v>
      </x:c>
      <x:c r="C398" s="15" t="str">
        <x:v>Temporal strata keeper</x:v>
      </x:c>
      <x:c r="D398" s="15" t="str">
        <x:v>GitHub Source Packets</x:v>
      </x:c>
      <x:c r="E398" s="15" t="str">
        <x:v>Notion</x:v>
      </x:c>
      <x:c r="F398" s="15" t="str">
        <x:v>Build source packet for Notion — KairoBrain</x:v>
      </x:c>
      <x:c r="G398" s="15" t="str">
        <x:v>staleness / versioning / supersession</x:v>
      </x:c>
      <x:c r="H398" s="15" t="str">
        <x:v>source path + receipt + raw/export status + claim/edge/risk delta</x:v>
      </x:c>
      <x:c r="I398" s="15" t="str">
        <x:v>packet/SWARM-03-H10-S01</x:v>
      </x:c>
      <x:c r="J398" s="15" t="str">
        <x:v>TODO</x:v>
      </x:c>
      <x:c r="K398" s="15" t="str">
        <x:v>P0</x:v>
      </x:c>
      <x:c r="L398" s="15" t="str">
        <x:v>Done only when evidence is logged, contradiction search is noted, and boundary stamp remains non-canon unless ratified</x:v>
      </x:c>
      <x:c r="M398" s="15" t="str">
        <x:v>candidate / staging-only / not canon / not deployed / authority none</x:v>
      </x:c>
      <x:c r="N398" s="15" t="str">
        <x:v>Dispatch to KairoBrain: complete GitHub Source Packets x Notion; return deltas only, receipts required.</x:v>
      </x:c>
      <x:c r="O398" s="15" t="str">
        <x:v>AF-KG-H10-S01</x:v>
      </x:c>
      <x:c r="P398" s="15" t="str">
        <x:v>Unverified</x:v>
      </x:c>
      <x:c r="Q398" s="15" t="str">
        <x:v>Not checked</x:v>
      </x:c>
      <x:c r="R398" s="15" t="str"/>
      <x:c r="S398" s="15" t="str"/>
      <x:c r="T398" s="15" t="str">
        <x:v>Log first source path or blocker</x:v>
      </x:c>
      <x:c r="U398" s="12" t="str">
        <x:f>IF(OR(P398="Unverified",Q398="Not checked"),"BLOCKED_PENDING_RECEIPT","READY_FOR_REVIEW")</x:f>
        <x:v>BLOCKED_PENDING_RECEIPT</x:v>
      </x:c>
      <x:c r="V398" s="12" t="str">
        <x:f>IF(J398="DONE","RETURNED",IF(U398="BLOCKED_PENDING_RECEIPT","SOURCE_TOUCH_REQUIRED","IN_PROGRESS"))</x:f>
        <x:v>SOURCE_TOUCH_REQUIRED</x:v>
      </x:c>
      <x:c r="W398" s="12" t="str">
        <x:f>IF(P398="Unverified","missing_receipt","receipt_logged")</x:f>
        <x:v>missing_receipt</x:v>
      </x:c>
      <x:c r="X398" s="12" t="str">
        <x:f>IF(Q398="Not checked","raw_status_missing","raw_status_logged")</x:f>
        <x:v>raw_status_missing</x:v>
      </x:c>
      <x:c r="Y398" s="12" t="str">
        <x:f>IF(U398="BLOCKED_PENDING_RECEIPT","Log source path or blocker; do not promote","Route to review lane")</x:f>
        <x:v>Log source path or blocker; do not promote</x:v>
      </x:c>
      <x:c r="Z398" s="12" t="str">
        <x:f>IF(K398="P0","Primary seat + Hashlight/Lucerna","Seat lane")</x:f>
        <x:v>Primary seat + Hashlight/Lucerna</x:v>
      </x:c>
      <x:c r="AA398" s="12" t="str">
        <x:f>IF(R398="","no_claim_delta","claim_delta_present")</x:f>
        <x:v>no_claim_delta</x:v>
      </x:c>
      <x:c r="AB398" s="12" t="str">
        <x:f>IF(S398="","no_contradiction_delta","contradiction_delta_present")</x:f>
        <x:v>no_contradiction_delta</x:v>
      </x:c>
      <x:c r="AC398" s="12" t="str">
        <x:f>IF(OR(ISNUMBER(SEARCH("hacker",LOWER(F398&amp;" "&amp;H398&amp;" "&amp;I398&amp;" "&amp;M398&amp;" "&amp;N398&amp;" "&amp;T398))),ISNUMBER(SEARCH("hacking",LOWER(F398&amp;" "&amp;H398&amp;" "&amp;I398&amp;" "&amp;M398&amp;" "&amp;N398&amp;" "&amp;T398))),ISNUMBER(SEARCH("bank",LOWER(F398&amp;" "&amp;H398&amp;" "&amp;I398&amp;" "&amp;M398&amp;" "&amp;N398&amp;" "&amp;T398))),ISNUMBER(SEARCH("banking",LOWER(F398&amp;" "&amp;H398&amp;" "&amp;I398&amp;" "&amp;M398&amp;" "&amp;N398&amp;" "&amp;T398)))),"PRIVATE_QUARANTINE",IF(OR(ISNUMBER(SEARCH("treasury",LOWER(F398&amp;" "&amp;H398&amp;" "&amp;I398&amp;" "&amp;M398&amp;" "&amp;N398&amp;" "&amp;T398))),ISNUMBER(SEARCH("debt",LOWER(F398&amp;" "&amp;H398&amp;" "&amp;I398&amp;" "&amp;M398&amp;" "&amp;N398&amp;" "&amp;T398))),ISNUMBER(SEARCH("bond",LOWER(F398&amp;" "&amp;H398&amp;" "&amp;I398&amp;" "&amp;M398&amp;" "&amp;N398&amp;" "&amp;T398))),ISNUMBER(SEARCH("transaction",LOWER(F398&amp;" "&amp;H398&amp;" "&amp;I398&amp;" "&amp;M398&amp;" "&amp;N398&amp;" "&amp;T398)))),"PRIVATE_REVIEW","PUBLIC_CANDIDATE"))</x:f>
        <x:v>PUBLIC_CANDIDATE</x:v>
      </x:c>
      <x:c r="AD398" s="12" t="str">
        <x:f>IF(AC398="PRIVATE_QUARANTINE","hacker_or_bank_trigger",IF(AC398="PRIVATE_REVIEW","finance_risk_trigger","none"))</x:f>
        <x:v>none</x:v>
      </x:c>
      <x:c r="AE398" s="12" t="str">
        <x:f>IF(AC398="PUBLIC_CANDIDATE","prepare_public_github_candidate",IF(AC398="PRIVATE_REVIEW","hold_for_private_review","quarantine_private_do_not_publish"))</x:f>
        <x:v>prepare_public_github_candidate</x:v>
      </x:c>
      <x:c r="AF398" s="12" t="str">
        <x:f>IF(AC398="PUBLIC_CANDIDATE","TIDELOCK + Lucerna",IF(AC398="PRIVATE_REVIEW","AtlasBrain + Lucerna","TIDELOCK + Lucerna + Human-root"))</x:f>
        <x:v>TIDELOCK + Lucerna</x:v>
      </x:c>
      <x:c r="AG398" s="12" t="str">
        <x:f>IF(AND(AC398="PUBLIC_CANDIDATE",U398&lt;&gt;"BLOCKED_PENDING_RECEIPT"),"READY_AFTER_RECEIPT","NOT_READY")</x:f>
        <x:v>NOT_READY</x:v>
      </x:c>
      <x:c r="AH398" s="12" t="str">
        <x:f>IF(AC398="PUBLIC_CANDIDATE","none",AD398)</x:f>
        <x:v>none</x:v>
      </x:c>
      <x:c r="AI398" s="12" t="str">
        <x:f>IF(AC398="PUBLIC_CANDIDATE","archive/public_candidates/"&amp;A398,"private_quarantine/"&amp;A398)</x:f>
        <x:v>archive/public_candidates/SWARM-03-H10-S01</x:v>
      </x:c>
      <x:c r="AJ398" s="12" t="str">
        <x:f>IF(AC398="PUBLIC_CANDIDATE","public by default; still not canon","private/hold; do not publish")</x:f>
        <x:v>public by default; still not canon</x:v>
      </x:c>
      <x:c r="AK398" s="12" t="str">
        <x:f>IF(AE398="prepare_public_github_candidate","add receipt/status then mirror","resolve blocker before any public GitHub action")</x:f>
        <x:v>add receipt/status then mirror</x:v>
      </x:c>
    </x:row>
    <x:row r="399">
      <x:c r="A399" s="15" t="str">
        <x:v>SWARM-03-H10-S02</x:v>
      </x:c>
      <x:c r="B399" s="15" t="str">
        <x:v>KairoBrain</x:v>
      </x:c>
      <x:c r="C399" s="15" t="str">
        <x:v>Temporal strata keeper</x:v>
      </x:c>
      <x:c r="D399" s="15" t="str">
        <x:v>GitHub Source Packets</x:v>
      </x:c>
      <x:c r="E399" s="15" t="str">
        <x:v>Drive</x:v>
      </x:c>
      <x:c r="F399" s="15" t="str">
        <x:v>Build source packet for Drive — KairoBrain</x:v>
      </x:c>
      <x:c r="G399" s="15" t="str">
        <x:v>staleness / versioning / supersession</x:v>
      </x:c>
      <x:c r="H399" s="15" t="str">
        <x:v>source path + receipt + raw/export status + claim/edge/risk delta</x:v>
      </x:c>
      <x:c r="I399" s="15" t="str">
        <x:v>packet/SWARM-03-H10-S02</x:v>
      </x:c>
      <x:c r="J399" s="15" t="str">
        <x:v>TODO</x:v>
      </x:c>
      <x:c r="K399" s="15" t="str">
        <x:v>P0</x:v>
      </x:c>
      <x:c r="L399" s="15" t="str">
        <x:v>Done only when evidence is logged, contradiction search is noted, and boundary stamp remains non-canon unless ratified</x:v>
      </x:c>
      <x:c r="M399" s="15" t="str">
        <x:v>candidate / staging-only / not canon / not deployed / authority none</x:v>
      </x:c>
      <x:c r="N399" s="15" t="str">
        <x:v>Dispatch to KairoBrain: complete GitHub Source Packets x Drive; return deltas only, receipts required.</x:v>
      </x:c>
      <x:c r="O399" s="15" t="str">
        <x:v>AF-KG-H10-S02</x:v>
      </x:c>
      <x:c r="P399" s="15" t="str">
        <x:v>Unverified</x:v>
      </x:c>
      <x:c r="Q399" s="15" t="str">
        <x:v>Not checked</x:v>
      </x:c>
      <x:c r="R399" s="15" t="str"/>
      <x:c r="S399" s="15" t="str"/>
      <x:c r="T399" s="15" t="str">
        <x:v>Log first source path or blocker</x:v>
      </x:c>
      <x:c r="U399" s="12" t="str">
        <x:f>IF(OR(P399="Unverified",Q399="Not checked"),"BLOCKED_PENDING_RECEIPT","READY_FOR_REVIEW")</x:f>
        <x:v>BLOCKED_PENDING_RECEIPT</x:v>
      </x:c>
      <x:c r="V399" s="12" t="str">
        <x:f>IF(J399="DONE","RETURNED",IF(U399="BLOCKED_PENDING_RECEIPT","SOURCE_TOUCH_REQUIRED","IN_PROGRESS"))</x:f>
        <x:v>SOURCE_TOUCH_REQUIRED</x:v>
      </x:c>
      <x:c r="W399" s="12" t="str">
        <x:f>IF(P399="Unverified","missing_receipt","receipt_logged")</x:f>
        <x:v>missing_receipt</x:v>
      </x:c>
      <x:c r="X399" s="12" t="str">
        <x:f>IF(Q399="Not checked","raw_status_missing","raw_status_logged")</x:f>
        <x:v>raw_status_missing</x:v>
      </x:c>
      <x:c r="Y399" s="12" t="str">
        <x:f>IF(U399="BLOCKED_PENDING_RECEIPT","Log source path or blocker; do not promote","Route to review lane")</x:f>
        <x:v>Log source path or blocker; do not promote</x:v>
      </x:c>
      <x:c r="Z399" s="12" t="str">
        <x:f>IF(K399="P0","Primary seat + Hashlight/Lucerna","Seat lane")</x:f>
        <x:v>Primary seat + Hashlight/Lucerna</x:v>
      </x:c>
      <x:c r="AA399" s="12" t="str">
        <x:f>IF(R399="","no_claim_delta","claim_delta_present")</x:f>
        <x:v>no_claim_delta</x:v>
      </x:c>
      <x:c r="AB399" s="12" t="str">
        <x:f>IF(S399="","no_contradiction_delta","contradiction_delta_present")</x:f>
        <x:v>no_contradiction_delta</x:v>
      </x:c>
      <x:c r="AC399" s="12" t="str">
        <x:f>IF(OR(ISNUMBER(SEARCH("hacker",LOWER(F399&amp;" "&amp;H399&amp;" "&amp;I399&amp;" "&amp;M399&amp;" "&amp;N399&amp;" "&amp;T399))),ISNUMBER(SEARCH("hacking",LOWER(F399&amp;" "&amp;H399&amp;" "&amp;I399&amp;" "&amp;M399&amp;" "&amp;N399&amp;" "&amp;T399))),ISNUMBER(SEARCH("bank",LOWER(F399&amp;" "&amp;H399&amp;" "&amp;I399&amp;" "&amp;M399&amp;" "&amp;N399&amp;" "&amp;T399))),ISNUMBER(SEARCH("banking",LOWER(F399&amp;" "&amp;H399&amp;" "&amp;I399&amp;" "&amp;M399&amp;" "&amp;N399&amp;" "&amp;T399)))),"PRIVATE_QUARANTINE",IF(OR(ISNUMBER(SEARCH("treasury",LOWER(F399&amp;" "&amp;H399&amp;" "&amp;I399&amp;" "&amp;M399&amp;" "&amp;N399&amp;" "&amp;T399))),ISNUMBER(SEARCH("debt",LOWER(F399&amp;" "&amp;H399&amp;" "&amp;I399&amp;" "&amp;M399&amp;" "&amp;N399&amp;" "&amp;T399))),ISNUMBER(SEARCH("bond",LOWER(F399&amp;" "&amp;H399&amp;" "&amp;I399&amp;" "&amp;M399&amp;" "&amp;N399&amp;" "&amp;T399))),ISNUMBER(SEARCH("transaction",LOWER(F399&amp;" "&amp;H399&amp;" "&amp;I399&amp;" "&amp;M399&amp;" "&amp;N399&amp;" "&amp;T399)))),"PRIVATE_REVIEW","PUBLIC_CANDIDATE"))</x:f>
        <x:v>PUBLIC_CANDIDATE</x:v>
      </x:c>
      <x:c r="AD399" s="12" t="str">
        <x:f>IF(AC399="PRIVATE_QUARANTINE","hacker_or_bank_trigger",IF(AC399="PRIVATE_REVIEW","finance_risk_trigger","none"))</x:f>
        <x:v>none</x:v>
      </x:c>
      <x:c r="AE399" s="12" t="str">
        <x:f>IF(AC399="PUBLIC_CANDIDATE","prepare_public_github_candidate",IF(AC399="PRIVATE_REVIEW","hold_for_private_review","quarantine_private_do_not_publish"))</x:f>
        <x:v>prepare_public_github_candidate</x:v>
      </x:c>
      <x:c r="AF399" s="12" t="str">
        <x:f>IF(AC399="PUBLIC_CANDIDATE","TIDELOCK + Lucerna",IF(AC399="PRIVATE_REVIEW","AtlasBrain + Lucerna","TIDELOCK + Lucerna + Human-root"))</x:f>
        <x:v>TIDELOCK + Lucerna</x:v>
      </x:c>
      <x:c r="AG399" s="12" t="str">
        <x:f>IF(AND(AC399="PUBLIC_CANDIDATE",U399&lt;&gt;"BLOCKED_PENDING_RECEIPT"),"READY_AFTER_RECEIPT","NOT_READY")</x:f>
        <x:v>NOT_READY</x:v>
      </x:c>
      <x:c r="AH399" s="12" t="str">
        <x:f>IF(AC399="PUBLIC_CANDIDATE","none",AD399)</x:f>
        <x:v>none</x:v>
      </x:c>
      <x:c r="AI399" s="12" t="str">
        <x:f>IF(AC399="PUBLIC_CANDIDATE","archive/public_candidates/"&amp;A399,"private_quarantine/"&amp;A399)</x:f>
        <x:v>archive/public_candidates/SWARM-03-H10-S02</x:v>
      </x:c>
      <x:c r="AJ399" s="12" t="str">
        <x:f>IF(AC399="PUBLIC_CANDIDATE","public by default; still not canon","private/hold; do not publish")</x:f>
        <x:v>public by default; still not canon</x:v>
      </x:c>
      <x:c r="AK399" s="12" t="str">
        <x:f>IF(AE399="prepare_public_github_candidate","add receipt/status then mirror","resolve blocker before any public GitHub action")</x:f>
        <x:v>add receipt/status then mirror</x:v>
      </x:c>
    </x:row>
    <x:row r="400">
      <x:c r="A400" s="15" t="str">
        <x:v>SWARM-03-H10-S03</x:v>
      </x:c>
      <x:c r="B400" s="15" t="str">
        <x:v>KairoBrain</x:v>
      </x:c>
      <x:c r="C400" s="15" t="str">
        <x:v>Temporal strata keeper</x:v>
      </x:c>
      <x:c r="D400" s="15" t="str">
        <x:v>GitHub Source Packets</x:v>
      </x:c>
      <x:c r="E400" s="15" t="str">
        <x:v>GitHub</x:v>
      </x:c>
      <x:c r="F400" s="15" t="str">
        <x:v>Build source packet for GitHub — KairoBrain</x:v>
      </x:c>
      <x:c r="G400" s="15" t="str">
        <x:v>staleness / versioning / supersession</x:v>
      </x:c>
      <x:c r="H400" s="15" t="str">
        <x:v>source path + receipt + raw/export status + claim/edge/risk delta</x:v>
      </x:c>
      <x:c r="I400" s="15" t="str">
        <x:v>packet/SWARM-03-H10-S03</x:v>
      </x:c>
      <x:c r="J400" s="15" t="str">
        <x:v>TODO</x:v>
      </x:c>
      <x:c r="K400" s="15" t="str">
        <x:v>P0</x:v>
      </x:c>
      <x:c r="L400" s="15" t="str">
        <x:v>Done only when evidence is logged, contradiction search is noted, and boundary stamp remains non-canon unless ratified</x:v>
      </x:c>
      <x:c r="M400" s="15" t="str">
        <x:v>candidate / staging-only / not canon / not deployed / authority none</x:v>
      </x:c>
      <x:c r="N400" s="15" t="str">
        <x:v>Dispatch to KairoBrain: complete GitHub Source Packets x GitHub; return deltas only, receipts required.</x:v>
      </x:c>
      <x:c r="O400" s="15" t="str">
        <x:v>AF-KG-H10-S03</x:v>
      </x:c>
      <x:c r="P400" s="15" t="str">
        <x:v>Unverified</x:v>
      </x:c>
      <x:c r="Q400" s="15" t="str">
        <x:v>Not checked</x:v>
      </x:c>
      <x:c r="R400" s="15" t="str"/>
      <x:c r="S400" s="15" t="str"/>
      <x:c r="T400" s="15" t="str">
        <x:v>Log first source path or blocker</x:v>
      </x:c>
      <x:c r="U400" s="12" t="str">
        <x:f>IF(OR(P400="Unverified",Q400="Not checked"),"BLOCKED_PENDING_RECEIPT","READY_FOR_REVIEW")</x:f>
        <x:v>BLOCKED_PENDING_RECEIPT</x:v>
      </x:c>
      <x:c r="V400" s="12" t="str">
        <x:f>IF(J400="DONE","RETURNED",IF(U400="BLOCKED_PENDING_RECEIPT","SOURCE_TOUCH_REQUIRED","IN_PROGRESS"))</x:f>
        <x:v>SOURCE_TOUCH_REQUIRED</x:v>
      </x:c>
      <x:c r="W400" s="12" t="str">
        <x:f>IF(P400="Unverified","missing_receipt","receipt_logged")</x:f>
        <x:v>missing_receipt</x:v>
      </x:c>
      <x:c r="X400" s="12" t="str">
        <x:f>IF(Q400="Not checked","raw_status_missing","raw_status_logged")</x:f>
        <x:v>raw_status_missing</x:v>
      </x:c>
      <x:c r="Y400" s="12" t="str">
        <x:f>IF(U400="BLOCKED_PENDING_RECEIPT","Log source path or blocker; do not promote","Route to review lane")</x:f>
        <x:v>Log source path or blocker; do not promote</x:v>
      </x:c>
      <x:c r="Z400" s="12" t="str">
        <x:f>IF(K400="P0","Primary seat + Hashlight/Lucerna","Seat lane")</x:f>
        <x:v>Primary seat + Hashlight/Lucerna</x:v>
      </x:c>
      <x:c r="AA400" s="12" t="str">
        <x:f>IF(R400="","no_claim_delta","claim_delta_present")</x:f>
        <x:v>no_claim_delta</x:v>
      </x:c>
      <x:c r="AB400" s="12" t="str">
        <x:f>IF(S400="","no_contradiction_delta","contradiction_delta_present")</x:f>
        <x:v>no_contradiction_delta</x:v>
      </x:c>
      <x:c r="AC400" s="12" t="str">
        <x:f>IF(OR(ISNUMBER(SEARCH("hacker",LOWER(F400&amp;" "&amp;H400&amp;" "&amp;I400&amp;" "&amp;M400&amp;" "&amp;N400&amp;" "&amp;T400))),ISNUMBER(SEARCH("hacking",LOWER(F400&amp;" "&amp;H400&amp;" "&amp;I400&amp;" "&amp;M400&amp;" "&amp;N400&amp;" "&amp;T400))),ISNUMBER(SEARCH("bank",LOWER(F400&amp;" "&amp;H400&amp;" "&amp;I400&amp;" "&amp;M400&amp;" "&amp;N400&amp;" "&amp;T400))),ISNUMBER(SEARCH("banking",LOWER(F400&amp;" "&amp;H400&amp;" "&amp;I400&amp;" "&amp;M400&amp;" "&amp;N400&amp;" "&amp;T400)))),"PRIVATE_QUARANTINE",IF(OR(ISNUMBER(SEARCH("treasury",LOWER(F400&amp;" "&amp;H400&amp;" "&amp;I400&amp;" "&amp;M400&amp;" "&amp;N400&amp;" "&amp;T400))),ISNUMBER(SEARCH("debt",LOWER(F400&amp;" "&amp;H400&amp;" "&amp;I400&amp;" "&amp;M400&amp;" "&amp;N400&amp;" "&amp;T400))),ISNUMBER(SEARCH("bond",LOWER(F400&amp;" "&amp;H400&amp;" "&amp;I400&amp;" "&amp;M400&amp;" "&amp;N400&amp;" "&amp;T400))),ISNUMBER(SEARCH("transaction",LOWER(F400&amp;" "&amp;H400&amp;" "&amp;I400&amp;" "&amp;M400&amp;" "&amp;N400&amp;" "&amp;T400)))),"PRIVATE_REVIEW","PUBLIC_CANDIDATE"))</x:f>
        <x:v>PUBLIC_CANDIDATE</x:v>
      </x:c>
      <x:c r="AD400" s="12" t="str">
        <x:f>IF(AC400="PRIVATE_QUARANTINE","hacker_or_bank_trigger",IF(AC400="PRIVATE_REVIEW","finance_risk_trigger","none"))</x:f>
        <x:v>none</x:v>
      </x:c>
      <x:c r="AE400" s="12" t="str">
        <x:f>IF(AC400="PUBLIC_CANDIDATE","prepare_public_github_candidate",IF(AC400="PRIVATE_REVIEW","hold_for_private_review","quarantine_private_do_not_publish"))</x:f>
        <x:v>prepare_public_github_candidate</x:v>
      </x:c>
      <x:c r="AF400" s="12" t="str">
        <x:f>IF(AC400="PUBLIC_CANDIDATE","TIDELOCK + Lucerna",IF(AC400="PRIVATE_REVIEW","AtlasBrain + Lucerna","TIDELOCK + Lucerna + Human-root"))</x:f>
        <x:v>TIDELOCK + Lucerna</x:v>
      </x:c>
      <x:c r="AG400" s="12" t="str">
        <x:f>IF(AND(AC400="PUBLIC_CANDIDATE",U400&lt;&gt;"BLOCKED_PENDING_RECEIPT"),"READY_AFTER_RECEIPT","NOT_READY")</x:f>
        <x:v>NOT_READY</x:v>
      </x:c>
      <x:c r="AH400" s="12" t="str">
        <x:f>IF(AC400="PUBLIC_CANDIDATE","none",AD400)</x:f>
        <x:v>none</x:v>
      </x:c>
      <x:c r="AI400" s="12" t="str">
        <x:f>IF(AC400="PUBLIC_CANDIDATE","archive/public_candidates/"&amp;A400,"private_quarantine/"&amp;A400)</x:f>
        <x:v>archive/public_candidates/SWARM-03-H10-S03</x:v>
      </x:c>
      <x:c r="AJ400" s="12" t="str">
        <x:f>IF(AC400="PUBLIC_CANDIDATE","public by default; still not canon","private/hold; do not publish")</x:f>
        <x:v>public by default; still not canon</x:v>
      </x:c>
      <x:c r="AK400" s="12" t="str">
        <x:f>IF(AE400="prepare_public_github_candidate","add receipt/status then mirror","resolve blocker before any public GitHub action")</x:f>
        <x:v>add receipt/status then mirror</x:v>
      </x:c>
    </x:row>
    <x:row r="401">
      <x:c r="A401" s="15" t="str">
        <x:v>SWARM-03-H10-S04</x:v>
      </x:c>
      <x:c r="B401" s="15" t="str">
        <x:v>KairoBrain</x:v>
      </x:c>
      <x:c r="C401" s="15" t="str">
        <x:v>Temporal strata keeper</x:v>
      </x:c>
      <x:c r="D401" s="15" t="str">
        <x:v>GitHub Source Packets</x:v>
      </x:c>
      <x:c r="E401" s="15" t="str">
        <x:v>Gamma</x:v>
      </x:c>
      <x:c r="F401" s="15" t="str">
        <x:v>Build source packet for Gamma — KairoBrain</x:v>
      </x:c>
      <x:c r="G401" s="15" t="str">
        <x:v>staleness / versioning / supersession</x:v>
      </x:c>
      <x:c r="H401" s="15" t="str">
        <x:v>source path + receipt + raw/export status + claim/edge/risk delta</x:v>
      </x:c>
      <x:c r="I401" s="15" t="str">
        <x:v>packet/SWARM-03-H10-S04</x:v>
      </x:c>
      <x:c r="J401" s="15" t="str">
        <x:v>TODO</x:v>
      </x:c>
      <x:c r="K401" s="15" t="str">
        <x:v>P1</x:v>
      </x:c>
      <x:c r="L401" s="15" t="str">
        <x:v>Done only when evidence is logged, contradiction search is noted, and boundary stamp remains non-canon unless ratified</x:v>
      </x:c>
      <x:c r="M401" s="15" t="str">
        <x:v>candidate / staging-only / not canon / not deployed / authority none</x:v>
      </x:c>
      <x:c r="N401" s="15" t="str">
        <x:v>Dispatch to KairoBrain: complete GitHub Source Packets x Gamma; return deltas only, receipts required.</x:v>
      </x:c>
      <x:c r="O401" s="15" t="str">
        <x:v>AF-KG-H10-S04</x:v>
      </x:c>
      <x:c r="P401" s="15" t="str">
        <x:v>Unverified</x:v>
      </x:c>
      <x:c r="Q401" s="15" t="str">
        <x:v>Not checked</x:v>
      </x:c>
      <x:c r="R401" s="15" t="str"/>
      <x:c r="S401" s="15" t="str"/>
      <x:c r="T401" s="15" t="str">
        <x:v>Log first source path or blocker</x:v>
      </x:c>
      <x:c r="U401" s="12" t="str">
        <x:f>IF(OR(P401="Unverified",Q401="Not checked"),"BLOCKED_PENDING_RECEIPT","READY_FOR_REVIEW")</x:f>
        <x:v>BLOCKED_PENDING_RECEIPT</x:v>
      </x:c>
      <x:c r="V401" s="12" t="str">
        <x:f>IF(J401="DONE","RETURNED",IF(U401="BLOCKED_PENDING_RECEIPT","SOURCE_TOUCH_REQUIRED","IN_PROGRESS"))</x:f>
        <x:v>SOURCE_TOUCH_REQUIRED</x:v>
      </x:c>
      <x:c r="W401" s="12" t="str">
        <x:f>IF(P401="Unverified","missing_receipt","receipt_logged")</x:f>
        <x:v>missing_receipt</x:v>
      </x:c>
      <x:c r="X401" s="12" t="str">
        <x:f>IF(Q401="Not checked","raw_status_missing","raw_status_logged")</x:f>
        <x:v>raw_status_missing</x:v>
      </x:c>
      <x:c r="Y401" s="12" t="str">
        <x:f>IF(U401="BLOCKED_PENDING_RECEIPT","Log source path or blocker; do not promote","Route to review lane")</x:f>
        <x:v>Log source path or blocker; do not promote</x:v>
      </x:c>
      <x:c r="Z401" s="12" t="str">
        <x:f>IF(K401="P0","Primary seat + Hashlight/Lucerna","Seat lane")</x:f>
        <x:v>Seat lane</x:v>
      </x:c>
      <x:c r="AA401" s="12" t="str">
        <x:f>IF(R401="","no_claim_delta","claim_delta_present")</x:f>
        <x:v>no_claim_delta</x:v>
      </x:c>
      <x:c r="AB401" s="12" t="str">
        <x:f>IF(S401="","no_contradiction_delta","contradiction_delta_present")</x:f>
        <x:v>no_contradiction_delta</x:v>
      </x:c>
      <x:c r="AC401" s="12" t="str">
        <x:f>IF(OR(ISNUMBER(SEARCH("hacker",LOWER(F401&amp;" "&amp;H401&amp;" "&amp;I401&amp;" "&amp;M401&amp;" "&amp;N401&amp;" "&amp;T401))),ISNUMBER(SEARCH("hacking",LOWER(F401&amp;" "&amp;H401&amp;" "&amp;I401&amp;" "&amp;M401&amp;" "&amp;N401&amp;" "&amp;T401))),ISNUMBER(SEARCH("bank",LOWER(F401&amp;" "&amp;H401&amp;" "&amp;I401&amp;" "&amp;M401&amp;" "&amp;N401&amp;" "&amp;T401))),ISNUMBER(SEARCH("banking",LOWER(F401&amp;" "&amp;H401&amp;" "&amp;I401&amp;" "&amp;M401&amp;" "&amp;N401&amp;" "&amp;T401)))),"PRIVATE_QUARANTINE",IF(OR(ISNUMBER(SEARCH("treasury",LOWER(F401&amp;" "&amp;H401&amp;" "&amp;I401&amp;" "&amp;M401&amp;" "&amp;N401&amp;" "&amp;T401))),ISNUMBER(SEARCH("debt",LOWER(F401&amp;" "&amp;H401&amp;" "&amp;I401&amp;" "&amp;M401&amp;" "&amp;N401&amp;" "&amp;T401))),ISNUMBER(SEARCH("bond",LOWER(F401&amp;" "&amp;H401&amp;" "&amp;I401&amp;" "&amp;M401&amp;" "&amp;N401&amp;" "&amp;T401))),ISNUMBER(SEARCH("transaction",LOWER(F401&amp;" "&amp;H401&amp;" "&amp;I401&amp;" "&amp;M401&amp;" "&amp;N401&amp;" "&amp;T401)))),"PRIVATE_REVIEW","PUBLIC_CANDIDATE"))</x:f>
        <x:v>PUBLIC_CANDIDATE</x:v>
      </x:c>
      <x:c r="AD401" s="12" t="str">
        <x:f>IF(AC401="PRIVATE_QUARANTINE","hacker_or_bank_trigger",IF(AC401="PRIVATE_REVIEW","finance_risk_trigger","none"))</x:f>
        <x:v>none</x:v>
      </x:c>
      <x:c r="AE401" s="12" t="str">
        <x:f>IF(AC401="PUBLIC_CANDIDATE","prepare_public_github_candidate",IF(AC401="PRIVATE_REVIEW","hold_for_private_review","quarantine_private_do_not_publish"))</x:f>
        <x:v>prepare_public_github_candidate</x:v>
      </x:c>
      <x:c r="AF401" s="12" t="str">
        <x:f>IF(AC401="PUBLIC_CANDIDATE","TIDELOCK + Lucerna",IF(AC401="PRIVATE_REVIEW","AtlasBrain + Lucerna","TIDELOCK + Lucerna + Human-root"))</x:f>
        <x:v>TIDELOCK + Lucerna</x:v>
      </x:c>
      <x:c r="AG401" s="12" t="str">
        <x:f>IF(AND(AC401="PUBLIC_CANDIDATE",U401&lt;&gt;"BLOCKED_PENDING_RECEIPT"),"READY_AFTER_RECEIPT","NOT_READY")</x:f>
        <x:v>NOT_READY</x:v>
      </x:c>
      <x:c r="AH401" s="12" t="str">
        <x:f>IF(AC401="PUBLIC_CANDIDATE","none",AD401)</x:f>
        <x:v>none</x:v>
      </x:c>
      <x:c r="AI401" s="12" t="str">
        <x:f>IF(AC401="PUBLIC_CANDIDATE","archive/public_candidates/"&amp;A401,"private_quarantine/"&amp;A401)</x:f>
        <x:v>archive/public_candidates/SWARM-03-H10-S04</x:v>
      </x:c>
      <x:c r="AJ401" s="12" t="str">
        <x:f>IF(AC401="PUBLIC_CANDIDATE","public by default; still not canon","private/hold; do not publish")</x:f>
        <x:v>public by default; still not canon</x:v>
      </x:c>
      <x:c r="AK401" s="12" t="str">
        <x:f>IF(AE401="prepare_public_github_candidate","add receipt/status then mirror","resolve blocker before any public GitHub action")</x:f>
        <x:v>add receipt/status then mirror</x:v>
      </x:c>
    </x:row>
    <x:row r="402">
      <x:c r="A402" s="15" t="str">
        <x:v>SWARM-03-H10-S05</x:v>
      </x:c>
      <x:c r="B402" s="15" t="str">
        <x:v>KairoBrain</x:v>
      </x:c>
      <x:c r="C402" s="15" t="str">
        <x:v>Temporal strata keeper</x:v>
      </x:c>
      <x:c r="D402" s="15" t="str">
        <x:v>GitHub Source Packets</x:v>
      </x:c>
      <x:c r="E402" s="15" t="str">
        <x:v>Chat</x:v>
      </x:c>
      <x:c r="F402" s="15" t="str">
        <x:v>Build source packet for Chat — KairoBrain</x:v>
      </x:c>
      <x:c r="G402" s="15" t="str">
        <x:v>staleness / versioning / supersession</x:v>
      </x:c>
      <x:c r="H402" s="15" t="str">
        <x:v>source path + receipt + raw/export status + claim/edge/risk delta</x:v>
      </x:c>
      <x:c r="I402" s="15" t="str">
        <x:v>packet/SWARM-03-H10-S05</x:v>
      </x:c>
      <x:c r="J402" s="15" t="str">
        <x:v>TODO</x:v>
      </x:c>
      <x:c r="K402" s="15" t="str">
        <x:v>P1</x:v>
      </x:c>
      <x:c r="L402" s="15" t="str">
        <x:v>Done only when evidence is logged, contradiction search is noted, and boundary stamp remains non-canon unless ratified</x:v>
      </x:c>
      <x:c r="M402" s="15" t="str">
        <x:v>candidate / staging-only / not canon / not deployed / authority none</x:v>
      </x:c>
      <x:c r="N402" s="15" t="str">
        <x:v>Dispatch to KairoBrain: complete GitHub Source Packets x Chat; return deltas only, receipts required.</x:v>
      </x:c>
      <x:c r="O402" s="15" t="str">
        <x:v>AF-KG-H10-S05</x:v>
      </x:c>
      <x:c r="P402" s="15" t="str">
        <x:v>Unverified</x:v>
      </x:c>
      <x:c r="Q402" s="15" t="str">
        <x:v>Not checked</x:v>
      </x:c>
      <x:c r="R402" s="15" t="str"/>
      <x:c r="S402" s="15" t="str"/>
      <x:c r="T402" s="15" t="str">
        <x:v>Log first source path or blocker</x:v>
      </x:c>
      <x:c r="U402" s="12" t="str">
        <x:f>IF(OR(P402="Unverified",Q402="Not checked"),"BLOCKED_PENDING_RECEIPT","READY_FOR_REVIEW")</x:f>
        <x:v>BLOCKED_PENDING_RECEIPT</x:v>
      </x:c>
      <x:c r="V402" s="12" t="str">
        <x:f>IF(J402="DONE","RETURNED",IF(U402="BLOCKED_PENDING_RECEIPT","SOURCE_TOUCH_REQUIRED","IN_PROGRESS"))</x:f>
        <x:v>SOURCE_TOUCH_REQUIRED</x:v>
      </x:c>
      <x:c r="W402" s="12" t="str">
        <x:f>IF(P402="Unverified","missing_receipt","receipt_logged")</x:f>
        <x:v>missing_receipt</x:v>
      </x:c>
      <x:c r="X402" s="12" t="str">
        <x:f>IF(Q402="Not checked","raw_status_missing","raw_status_logged")</x:f>
        <x:v>raw_status_missing</x:v>
      </x:c>
      <x:c r="Y402" s="12" t="str">
        <x:f>IF(U402="BLOCKED_PENDING_RECEIPT","Log source path or blocker; do not promote","Route to review lane")</x:f>
        <x:v>Log source path or blocker; do not promote</x:v>
      </x:c>
      <x:c r="Z402" s="12" t="str">
        <x:f>IF(K402="P0","Primary seat + Hashlight/Lucerna","Seat lane")</x:f>
        <x:v>Seat lane</x:v>
      </x:c>
      <x:c r="AA402" s="12" t="str">
        <x:f>IF(R402="","no_claim_delta","claim_delta_present")</x:f>
        <x:v>no_claim_delta</x:v>
      </x:c>
      <x:c r="AB402" s="12" t="str">
        <x:f>IF(S402="","no_contradiction_delta","contradiction_delta_present")</x:f>
        <x:v>no_contradiction_delta</x:v>
      </x:c>
      <x:c r="AC402" s="12" t="str">
        <x:f>IF(OR(ISNUMBER(SEARCH("hacker",LOWER(F402&amp;" "&amp;H402&amp;" "&amp;I402&amp;" "&amp;M402&amp;" "&amp;N402&amp;" "&amp;T402))),ISNUMBER(SEARCH("hacking",LOWER(F402&amp;" "&amp;H402&amp;" "&amp;I402&amp;" "&amp;M402&amp;" "&amp;N402&amp;" "&amp;T402))),ISNUMBER(SEARCH("bank",LOWER(F402&amp;" "&amp;H402&amp;" "&amp;I402&amp;" "&amp;M402&amp;" "&amp;N402&amp;" "&amp;T402))),ISNUMBER(SEARCH("banking",LOWER(F402&amp;" "&amp;H402&amp;" "&amp;I402&amp;" "&amp;M402&amp;" "&amp;N402&amp;" "&amp;T402)))),"PRIVATE_QUARANTINE",IF(OR(ISNUMBER(SEARCH("treasury",LOWER(F402&amp;" "&amp;H402&amp;" "&amp;I402&amp;" "&amp;M402&amp;" "&amp;N402&amp;" "&amp;T402))),ISNUMBER(SEARCH("debt",LOWER(F402&amp;" "&amp;H402&amp;" "&amp;I402&amp;" "&amp;M402&amp;" "&amp;N402&amp;" "&amp;T402))),ISNUMBER(SEARCH("bond",LOWER(F402&amp;" "&amp;H402&amp;" "&amp;I402&amp;" "&amp;M402&amp;" "&amp;N402&amp;" "&amp;T402))),ISNUMBER(SEARCH("transaction",LOWER(F402&amp;" "&amp;H402&amp;" "&amp;I402&amp;" "&amp;M402&amp;" "&amp;N402&amp;" "&amp;T402)))),"PRIVATE_REVIEW","PUBLIC_CANDIDATE"))</x:f>
        <x:v>PUBLIC_CANDIDATE</x:v>
      </x:c>
      <x:c r="AD402" s="12" t="str">
        <x:f>IF(AC402="PRIVATE_QUARANTINE","hacker_or_bank_trigger",IF(AC402="PRIVATE_REVIEW","finance_risk_trigger","none"))</x:f>
        <x:v>none</x:v>
      </x:c>
      <x:c r="AE402" s="12" t="str">
        <x:f>IF(AC402="PUBLIC_CANDIDATE","prepare_public_github_candidate",IF(AC402="PRIVATE_REVIEW","hold_for_private_review","quarantine_private_do_not_publish"))</x:f>
        <x:v>prepare_public_github_candidate</x:v>
      </x:c>
      <x:c r="AF402" s="12" t="str">
        <x:f>IF(AC402="PUBLIC_CANDIDATE","TIDELOCK + Lucerna",IF(AC402="PRIVATE_REVIEW","AtlasBrain + Lucerna","TIDELOCK + Lucerna + Human-root"))</x:f>
        <x:v>TIDELOCK + Lucerna</x:v>
      </x:c>
      <x:c r="AG402" s="12" t="str">
        <x:f>IF(AND(AC402="PUBLIC_CANDIDATE",U402&lt;&gt;"BLOCKED_PENDING_RECEIPT"),"READY_AFTER_RECEIPT","NOT_READY")</x:f>
        <x:v>NOT_READY</x:v>
      </x:c>
      <x:c r="AH402" s="12" t="str">
        <x:f>IF(AC402="PUBLIC_CANDIDATE","none",AD402)</x:f>
        <x:v>none</x:v>
      </x:c>
      <x:c r="AI402" s="12" t="str">
        <x:f>IF(AC402="PUBLIC_CANDIDATE","archive/public_candidates/"&amp;A402,"private_quarantine/"&amp;A402)</x:f>
        <x:v>archive/public_candidates/SWARM-03-H10-S05</x:v>
      </x:c>
      <x:c r="AJ402" s="12" t="str">
        <x:f>IF(AC402="PUBLIC_CANDIDATE","public by default; still not canon","private/hold; do not publish")</x:f>
        <x:v>public by default; still not canon</x:v>
      </x:c>
      <x:c r="AK402" s="12" t="str">
        <x:f>IF(AE402="prepare_public_github_candidate","add receipt/status then mirror","resolve blocker before any public GitHub action")</x:f>
        <x:v>add receipt/status then mirror</x:v>
      </x:c>
    </x:row>
    <x:row r="403">
      <x:c r="A403" s="15" t="str">
        <x:v>SWARM-03-H10-S06</x:v>
      </x:c>
      <x:c r="B403" s="15" t="str">
        <x:v>KairoBrain</x:v>
      </x:c>
      <x:c r="C403" s="15" t="str">
        <x:v>Temporal strata keeper</x:v>
      </x:c>
      <x:c r="D403" s="15" t="str">
        <x:v>GitHub Source Packets</x:v>
      </x:c>
      <x:c r="E403" s="15" t="str">
        <x:v>External Web</x:v>
      </x:c>
      <x:c r="F403" s="15" t="str">
        <x:v>Build source packet for External Web — KairoBrain</x:v>
      </x:c>
      <x:c r="G403" s="15" t="str">
        <x:v>staleness / versioning / supersession</x:v>
      </x:c>
      <x:c r="H403" s="15" t="str">
        <x:v>source path + receipt + raw/export status + claim/edge/risk delta</x:v>
      </x:c>
      <x:c r="I403" s="15" t="str">
        <x:v>packet/SWARM-03-H10-S06</x:v>
      </x:c>
      <x:c r="J403" s="15" t="str">
        <x:v>TODO</x:v>
      </x:c>
      <x:c r="K403" s="15" t="str">
        <x:v>P1</x:v>
      </x:c>
      <x:c r="L403" s="15" t="str">
        <x:v>Done only when evidence is logged, contradiction search is noted, and boundary stamp remains non-canon unless ratified</x:v>
      </x:c>
      <x:c r="M403" s="15" t="str">
        <x:v>candidate / staging-only / not canon / not deployed / authority none</x:v>
      </x:c>
      <x:c r="N403" s="15" t="str">
        <x:v>Dispatch to KairoBrain: complete GitHub Source Packets x External Web; return deltas only, receipts required.</x:v>
      </x:c>
      <x:c r="O403" s="15" t="str">
        <x:v>AF-KG-H10-S06</x:v>
      </x:c>
      <x:c r="P403" s="15" t="str">
        <x:v>Unverified</x:v>
      </x:c>
      <x:c r="Q403" s="15" t="str">
        <x:v>Not checked</x:v>
      </x:c>
      <x:c r="R403" s="15" t="str"/>
      <x:c r="S403" s="15" t="str"/>
      <x:c r="T403" s="15" t="str">
        <x:v>Log first source path or blocker</x:v>
      </x:c>
      <x:c r="U403" s="12" t="str">
        <x:f>IF(OR(P403="Unverified",Q403="Not checked"),"BLOCKED_PENDING_RECEIPT","READY_FOR_REVIEW")</x:f>
        <x:v>BLOCKED_PENDING_RECEIPT</x:v>
      </x:c>
      <x:c r="V403" s="12" t="str">
        <x:f>IF(J403="DONE","RETURNED",IF(U403="BLOCKED_PENDING_RECEIPT","SOURCE_TOUCH_REQUIRED","IN_PROGRESS"))</x:f>
        <x:v>SOURCE_TOUCH_REQUIRED</x:v>
      </x:c>
      <x:c r="W403" s="12" t="str">
        <x:f>IF(P403="Unverified","missing_receipt","receipt_logged")</x:f>
        <x:v>missing_receipt</x:v>
      </x:c>
      <x:c r="X403" s="12" t="str">
        <x:f>IF(Q403="Not checked","raw_status_missing","raw_status_logged")</x:f>
        <x:v>raw_status_missing</x:v>
      </x:c>
      <x:c r="Y403" s="12" t="str">
        <x:f>IF(U403="BLOCKED_PENDING_RECEIPT","Log source path or blocker; do not promote","Route to review lane")</x:f>
        <x:v>Log source path or blocker; do not promote</x:v>
      </x:c>
      <x:c r="Z403" s="12" t="str">
        <x:f>IF(K403="P0","Primary seat + Hashlight/Lucerna","Seat lane")</x:f>
        <x:v>Seat lane</x:v>
      </x:c>
      <x:c r="AA403" s="12" t="str">
        <x:f>IF(R403="","no_claim_delta","claim_delta_present")</x:f>
        <x:v>no_claim_delta</x:v>
      </x:c>
      <x:c r="AB403" s="12" t="str">
        <x:f>IF(S403="","no_contradiction_delta","contradiction_delta_present")</x:f>
        <x:v>no_contradiction_delta</x:v>
      </x:c>
      <x:c r="AC403" s="12" t="str">
        <x:f>IF(OR(ISNUMBER(SEARCH("hacker",LOWER(F403&amp;" "&amp;H403&amp;" "&amp;I403&amp;" "&amp;M403&amp;" "&amp;N403&amp;" "&amp;T403))),ISNUMBER(SEARCH("hacking",LOWER(F403&amp;" "&amp;H403&amp;" "&amp;I403&amp;" "&amp;M403&amp;" "&amp;N403&amp;" "&amp;T403))),ISNUMBER(SEARCH("bank",LOWER(F403&amp;" "&amp;H403&amp;" "&amp;I403&amp;" "&amp;M403&amp;" "&amp;N403&amp;" "&amp;T403))),ISNUMBER(SEARCH("banking",LOWER(F403&amp;" "&amp;H403&amp;" "&amp;I403&amp;" "&amp;M403&amp;" "&amp;N403&amp;" "&amp;T403)))),"PRIVATE_QUARANTINE",IF(OR(ISNUMBER(SEARCH("treasury",LOWER(F403&amp;" "&amp;H403&amp;" "&amp;I403&amp;" "&amp;M403&amp;" "&amp;N403&amp;" "&amp;T403))),ISNUMBER(SEARCH("debt",LOWER(F403&amp;" "&amp;H403&amp;" "&amp;I403&amp;" "&amp;M403&amp;" "&amp;N403&amp;" "&amp;T403))),ISNUMBER(SEARCH("bond",LOWER(F403&amp;" "&amp;H403&amp;" "&amp;I403&amp;" "&amp;M403&amp;" "&amp;N403&amp;" "&amp;T403))),ISNUMBER(SEARCH("transaction",LOWER(F403&amp;" "&amp;H403&amp;" "&amp;I403&amp;" "&amp;M403&amp;" "&amp;N403&amp;" "&amp;T403)))),"PRIVATE_REVIEW","PUBLIC_CANDIDATE"))</x:f>
        <x:v>PUBLIC_CANDIDATE</x:v>
      </x:c>
      <x:c r="AD403" s="12" t="str">
        <x:f>IF(AC403="PRIVATE_QUARANTINE","hacker_or_bank_trigger",IF(AC403="PRIVATE_REVIEW","finance_risk_trigger","none"))</x:f>
        <x:v>none</x:v>
      </x:c>
      <x:c r="AE403" s="12" t="str">
        <x:f>IF(AC403="PUBLIC_CANDIDATE","prepare_public_github_candidate",IF(AC403="PRIVATE_REVIEW","hold_for_private_review","quarantine_private_do_not_publish"))</x:f>
        <x:v>prepare_public_github_candidate</x:v>
      </x:c>
      <x:c r="AF403" s="12" t="str">
        <x:f>IF(AC403="PUBLIC_CANDIDATE","TIDELOCK + Lucerna",IF(AC403="PRIVATE_REVIEW","AtlasBrain + Lucerna","TIDELOCK + Lucerna + Human-root"))</x:f>
        <x:v>TIDELOCK + Lucerna</x:v>
      </x:c>
      <x:c r="AG403" s="12" t="str">
        <x:f>IF(AND(AC403="PUBLIC_CANDIDATE",U403&lt;&gt;"BLOCKED_PENDING_RECEIPT"),"READY_AFTER_RECEIPT","NOT_READY")</x:f>
        <x:v>NOT_READY</x:v>
      </x:c>
      <x:c r="AH403" s="12" t="str">
        <x:f>IF(AC403="PUBLIC_CANDIDATE","none",AD403)</x:f>
        <x:v>none</x:v>
      </x:c>
      <x:c r="AI403" s="12" t="str">
        <x:f>IF(AC403="PUBLIC_CANDIDATE","archive/public_candidates/"&amp;A403,"private_quarantine/"&amp;A403)</x:f>
        <x:v>archive/public_candidates/SWARM-03-H10-S06</x:v>
      </x:c>
      <x:c r="AJ403" s="12" t="str">
        <x:f>IF(AC403="PUBLIC_CANDIDATE","public by default; still not canon","private/hold; do not publish")</x:f>
        <x:v>public by default; still not canon</x:v>
      </x:c>
      <x:c r="AK403" s="12" t="str">
        <x:f>IF(AE403="prepare_public_github_candidate","add receipt/status then mirror","resolve blocker before any public GitHub action")</x:f>
        <x:v>add receipt/status then mirror</x:v>
      </x:c>
    </x:row>
    <x:row r="404">
      <x:c r="A404" s="15" t="str">
        <x:v>SWARM-03-H10-S07</x:v>
      </x:c>
      <x:c r="B404" s="15" t="str">
        <x:v>KairoBrain</x:v>
      </x:c>
      <x:c r="C404" s="15" t="str">
        <x:v>Temporal strata keeper</x:v>
      </x:c>
      <x:c r="D404" s="15" t="str">
        <x:v>GitHub Source Packets</x:v>
      </x:c>
      <x:c r="E404" s="15" t="str">
        <x:v>Planetarium</x:v>
      </x:c>
      <x:c r="F404" s="15" t="str">
        <x:v>Build source packet for Planetarium — KairoBrain</x:v>
      </x:c>
      <x:c r="G404" s="15" t="str">
        <x:v>staleness / versioning / supersession</x:v>
      </x:c>
      <x:c r="H404" s="15" t="str">
        <x:v>source path + receipt + raw/export status + claim/edge/risk delta</x:v>
      </x:c>
      <x:c r="I404" s="15" t="str">
        <x:v>packet/SWARM-03-H10-S07</x:v>
      </x:c>
      <x:c r="J404" s="15" t="str">
        <x:v>TODO</x:v>
      </x:c>
      <x:c r="K404" s="15" t="str">
        <x:v>P1</x:v>
      </x:c>
      <x:c r="L404" s="15" t="str">
        <x:v>Done only when evidence is logged, contradiction search is noted, and boundary stamp remains non-canon unless ratified</x:v>
      </x:c>
      <x:c r="M404" s="15" t="str">
        <x:v>candidate / staging-only / not canon / not deployed / authority none</x:v>
      </x:c>
      <x:c r="N404" s="15" t="str">
        <x:v>Dispatch to KairoBrain: complete GitHub Source Packets x Planetarium; return deltas only, receipts required.</x:v>
      </x:c>
      <x:c r="O404" s="15" t="str">
        <x:v>AF-KG-H10-S07</x:v>
      </x:c>
      <x:c r="P404" s="15" t="str">
        <x:v>Unverified</x:v>
      </x:c>
      <x:c r="Q404" s="15" t="str">
        <x:v>Not checked</x:v>
      </x:c>
      <x:c r="R404" s="15" t="str"/>
      <x:c r="S404" s="15" t="str"/>
      <x:c r="T404" s="15" t="str">
        <x:v>Log first source path or blocker</x:v>
      </x:c>
      <x:c r="U404" s="12" t="str">
        <x:f>IF(OR(P404="Unverified",Q404="Not checked"),"BLOCKED_PENDING_RECEIPT","READY_FOR_REVIEW")</x:f>
        <x:v>BLOCKED_PENDING_RECEIPT</x:v>
      </x:c>
      <x:c r="V404" s="12" t="str">
        <x:f>IF(J404="DONE","RETURNED",IF(U404="BLOCKED_PENDING_RECEIPT","SOURCE_TOUCH_REQUIRED","IN_PROGRESS"))</x:f>
        <x:v>SOURCE_TOUCH_REQUIRED</x:v>
      </x:c>
      <x:c r="W404" s="12" t="str">
        <x:f>IF(P404="Unverified","missing_receipt","receipt_logged")</x:f>
        <x:v>missing_receipt</x:v>
      </x:c>
      <x:c r="X404" s="12" t="str">
        <x:f>IF(Q404="Not checked","raw_status_missing","raw_status_logged")</x:f>
        <x:v>raw_status_missing</x:v>
      </x:c>
      <x:c r="Y404" s="12" t="str">
        <x:f>IF(U404="BLOCKED_PENDING_RECEIPT","Log source path or blocker; do not promote","Route to review lane")</x:f>
        <x:v>Log source path or blocker; do not promote</x:v>
      </x:c>
      <x:c r="Z404" s="12" t="str">
        <x:f>IF(K404="P0","Primary seat + Hashlight/Lucerna","Seat lane")</x:f>
        <x:v>Seat lane</x:v>
      </x:c>
      <x:c r="AA404" s="12" t="str">
        <x:f>IF(R404="","no_claim_delta","claim_delta_present")</x:f>
        <x:v>no_claim_delta</x:v>
      </x:c>
      <x:c r="AB404" s="12" t="str">
        <x:f>IF(S404="","no_contradiction_delta","contradiction_delta_present")</x:f>
        <x:v>no_contradiction_delta</x:v>
      </x:c>
      <x:c r="AC404" s="12" t="str">
        <x:f>IF(OR(ISNUMBER(SEARCH("hacker",LOWER(F404&amp;" "&amp;H404&amp;" "&amp;I404&amp;" "&amp;M404&amp;" "&amp;N404&amp;" "&amp;T404))),ISNUMBER(SEARCH("hacking",LOWER(F404&amp;" "&amp;H404&amp;" "&amp;I404&amp;" "&amp;M404&amp;" "&amp;N404&amp;" "&amp;T404))),ISNUMBER(SEARCH("bank",LOWER(F404&amp;" "&amp;H404&amp;" "&amp;I404&amp;" "&amp;M404&amp;" "&amp;N404&amp;" "&amp;T404))),ISNUMBER(SEARCH("banking",LOWER(F404&amp;" "&amp;H404&amp;" "&amp;I404&amp;" "&amp;M404&amp;" "&amp;N404&amp;" "&amp;T404)))),"PRIVATE_QUARANTINE",IF(OR(ISNUMBER(SEARCH("treasury",LOWER(F404&amp;" "&amp;H404&amp;" "&amp;I404&amp;" "&amp;M404&amp;" "&amp;N404&amp;" "&amp;T404))),ISNUMBER(SEARCH("debt",LOWER(F404&amp;" "&amp;H404&amp;" "&amp;I404&amp;" "&amp;M404&amp;" "&amp;N404&amp;" "&amp;T404))),ISNUMBER(SEARCH("bond",LOWER(F404&amp;" "&amp;H404&amp;" "&amp;I404&amp;" "&amp;M404&amp;" "&amp;N404&amp;" "&amp;T404))),ISNUMBER(SEARCH("transaction",LOWER(F404&amp;" "&amp;H404&amp;" "&amp;I404&amp;" "&amp;M404&amp;" "&amp;N404&amp;" "&amp;T404)))),"PRIVATE_REVIEW","PUBLIC_CANDIDATE"))</x:f>
        <x:v>PUBLIC_CANDIDATE</x:v>
      </x:c>
      <x:c r="AD404" s="12" t="str">
        <x:f>IF(AC404="PRIVATE_QUARANTINE","hacker_or_bank_trigger",IF(AC404="PRIVATE_REVIEW","finance_risk_trigger","none"))</x:f>
        <x:v>none</x:v>
      </x:c>
      <x:c r="AE404" s="12" t="str">
        <x:f>IF(AC404="PUBLIC_CANDIDATE","prepare_public_github_candidate",IF(AC404="PRIVATE_REVIEW","hold_for_private_review","quarantine_private_do_not_publish"))</x:f>
        <x:v>prepare_public_github_candidate</x:v>
      </x:c>
      <x:c r="AF404" s="12" t="str">
        <x:f>IF(AC404="PUBLIC_CANDIDATE","TIDELOCK + Lucerna",IF(AC404="PRIVATE_REVIEW","AtlasBrain + Lucerna","TIDELOCK + Lucerna + Human-root"))</x:f>
        <x:v>TIDELOCK + Lucerna</x:v>
      </x:c>
      <x:c r="AG404" s="12" t="str">
        <x:f>IF(AND(AC404="PUBLIC_CANDIDATE",U404&lt;&gt;"BLOCKED_PENDING_RECEIPT"),"READY_AFTER_RECEIPT","NOT_READY")</x:f>
        <x:v>NOT_READY</x:v>
      </x:c>
      <x:c r="AH404" s="12" t="str">
        <x:f>IF(AC404="PUBLIC_CANDIDATE","none",AD404)</x:f>
        <x:v>none</x:v>
      </x:c>
      <x:c r="AI404" s="12" t="str">
        <x:f>IF(AC404="PUBLIC_CANDIDATE","archive/public_candidates/"&amp;A404,"private_quarantine/"&amp;A404)</x:f>
        <x:v>archive/public_candidates/SWARM-03-H10-S07</x:v>
      </x:c>
      <x:c r="AJ404" s="12" t="str">
        <x:f>IF(AC404="PUBLIC_CANDIDATE","public by default; still not canon","private/hold; do not publish")</x:f>
        <x:v>public by default; still not canon</x:v>
      </x:c>
      <x:c r="AK404" s="12" t="str">
        <x:f>IF(AE404="prepare_public_github_candidate","add receipt/status then mirror","resolve blocker before any public GitHub action")</x:f>
        <x:v>add receipt/status then mirror</x:v>
      </x:c>
    </x:row>
    <x:row r="405">
      <x:c r="A405" s="15" t="str">
        <x:v>SWARM-03-H10-S08</x:v>
      </x:c>
      <x:c r="B405" s="15" t="str">
        <x:v>KairoBrain</x:v>
      </x:c>
      <x:c r="C405" s="15" t="str">
        <x:v>Temporal strata keeper</x:v>
      </x:c>
      <x:c r="D405" s="15" t="str">
        <x:v>GitHub Source Packets</x:v>
      </x:c>
      <x:c r="E405" s="15" t="str">
        <x:v>Sheldonbrain</x:v>
      </x:c>
      <x:c r="F405" s="15" t="str">
        <x:v>Build source packet for Sheldonbrain — KairoBrain</x:v>
      </x:c>
      <x:c r="G405" s="15" t="str">
        <x:v>staleness / versioning / supersession</x:v>
      </x:c>
      <x:c r="H405" s="15" t="str">
        <x:v>source path + receipt + raw/export status + claim/edge/risk delta</x:v>
      </x:c>
      <x:c r="I405" s="15" t="str">
        <x:v>packet/SWARM-03-H10-S08</x:v>
      </x:c>
      <x:c r="J405" s="15" t="str">
        <x:v>TODO</x:v>
      </x:c>
      <x:c r="K405" s="15" t="str">
        <x:v>P1</x:v>
      </x:c>
      <x:c r="L405" s="15" t="str">
        <x:v>Done only when evidence is logged, contradiction search is noted, and boundary stamp remains non-canon unless ratified</x:v>
      </x:c>
      <x:c r="M405" s="15" t="str">
        <x:v>candidate / staging-only / not canon / not deployed / authority none</x:v>
      </x:c>
      <x:c r="N405" s="15" t="str">
        <x:v>Dispatch to KairoBrain: complete GitHub Source Packets x Sheldonbrain; return deltas only, receipts required.</x:v>
      </x:c>
      <x:c r="O405" s="15" t="str">
        <x:v>AF-KG-H10-S08</x:v>
      </x:c>
      <x:c r="P405" s="15" t="str">
        <x:v>Unverified</x:v>
      </x:c>
      <x:c r="Q405" s="15" t="str">
        <x:v>Not checked</x:v>
      </x:c>
      <x:c r="R405" s="15" t="str"/>
      <x:c r="S405" s="15" t="str"/>
      <x:c r="T405" s="15" t="str">
        <x:v>Log first source path or blocker</x:v>
      </x:c>
      <x:c r="U405" s="12" t="str">
        <x:f>IF(OR(P405="Unverified",Q405="Not checked"),"BLOCKED_PENDING_RECEIPT","READY_FOR_REVIEW")</x:f>
        <x:v>BLOCKED_PENDING_RECEIPT</x:v>
      </x:c>
      <x:c r="V405" s="12" t="str">
        <x:f>IF(J405="DONE","RETURNED",IF(U405="BLOCKED_PENDING_RECEIPT","SOURCE_TOUCH_REQUIRED","IN_PROGRESS"))</x:f>
        <x:v>SOURCE_TOUCH_REQUIRED</x:v>
      </x:c>
      <x:c r="W405" s="12" t="str">
        <x:f>IF(P405="Unverified","missing_receipt","receipt_logged")</x:f>
        <x:v>missing_receipt</x:v>
      </x:c>
      <x:c r="X405" s="12" t="str">
        <x:f>IF(Q405="Not checked","raw_status_missing","raw_status_logged")</x:f>
        <x:v>raw_status_missing</x:v>
      </x:c>
      <x:c r="Y405" s="12" t="str">
        <x:f>IF(U405="BLOCKED_PENDING_RECEIPT","Log source path or blocker; do not promote","Route to review lane")</x:f>
        <x:v>Log source path or blocker; do not promote</x:v>
      </x:c>
      <x:c r="Z405" s="12" t="str">
        <x:f>IF(K405="P0","Primary seat + Hashlight/Lucerna","Seat lane")</x:f>
        <x:v>Seat lane</x:v>
      </x:c>
      <x:c r="AA405" s="12" t="str">
        <x:f>IF(R405="","no_claim_delta","claim_delta_present")</x:f>
        <x:v>no_claim_delta</x:v>
      </x:c>
      <x:c r="AB405" s="12" t="str">
        <x:f>IF(S405="","no_contradiction_delta","contradiction_delta_present")</x:f>
        <x:v>no_contradiction_delta</x:v>
      </x:c>
      <x:c r="AC405" s="12" t="str">
        <x:f>IF(OR(ISNUMBER(SEARCH("hacker",LOWER(F405&amp;" "&amp;H405&amp;" "&amp;I405&amp;" "&amp;M405&amp;" "&amp;N405&amp;" "&amp;T405))),ISNUMBER(SEARCH("hacking",LOWER(F405&amp;" "&amp;H405&amp;" "&amp;I405&amp;" "&amp;M405&amp;" "&amp;N405&amp;" "&amp;T405))),ISNUMBER(SEARCH("bank",LOWER(F405&amp;" "&amp;H405&amp;" "&amp;I405&amp;" "&amp;M405&amp;" "&amp;N405&amp;" "&amp;T405))),ISNUMBER(SEARCH("banking",LOWER(F405&amp;" "&amp;H405&amp;" "&amp;I405&amp;" "&amp;M405&amp;" "&amp;N405&amp;" "&amp;T405)))),"PRIVATE_QUARANTINE",IF(OR(ISNUMBER(SEARCH("treasury",LOWER(F405&amp;" "&amp;H405&amp;" "&amp;I405&amp;" "&amp;M405&amp;" "&amp;N405&amp;" "&amp;T405))),ISNUMBER(SEARCH("debt",LOWER(F405&amp;" "&amp;H405&amp;" "&amp;I405&amp;" "&amp;M405&amp;" "&amp;N405&amp;" "&amp;T405))),ISNUMBER(SEARCH("bond",LOWER(F405&amp;" "&amp;H405&amp;" "&amp;I405&amp;" "&amp;M405&amp;" "&amp;N405&amp;" "&amp;T405))),ISNUMBER(SEARCH("transaction",LOWER(F405&amp;" "&amp;H405&amp;" "&amp;I405&amp;" "&amp;M405&amp;" "&amp;N405&amp;" "&amp;T405)))),"PRIVATE_REVIEW","PUBLIC_CANDIDATE"))</x:f>
        <x:v>PUBLIC_CANDIDATE</x:v>
      </x:c>
      <x:c r="AD405" s="12" t="str">
        <x:f>IF(AC405="PRIVATE_QUARANTINE","hacker_or_bank_trigger",IF(AC405="PRIVATE_REVIEW","finance_risk_trigger","none"))</x:f>
        <x:v>none</x:v>
      </x:c>
      <x:c r="AE405" s="12" t="str">
        <x:f>IF(AC405="PUBLIC_CANDIDATE","prepare_public_github_candidate",IF(AC405="PRIVATE_REVIEW","hold_for_private_review","quarantine_private_do_not_publish"))</x:f>
        <x:v>prepare_public_github_candidate</x:v>
      </x:c>
      <x:c r="AF405" s="12" t="str">
        <x:f>IF(AC405="PUBLIC_CANDIDATE","TIDELOCK + Lucerna",IF(AC405="PRIVATE_REVIEW","AtlasBrain + Lucerna","TIDELOCK + Lucerna + Human-root"))</x:f>
        <x:v>TIDELOCK + Lucerna</x:v>
      </x:c>
      <x:c r="AG405" s="12" t="str">
        <x:f>IF(AND(AC405="PUBLIC_CANDIDATE",U405&lt;&gt;"BLOCKED_PENDING_RECEIPT"),"READY_AFTER_RECEIPT","NOT_READY")</x:f>
        <x:v>NOT_READY</x:v>
      </x:c>
      <x:c r="AH405" s="12" t="str">
        <x:f>IF(AC405="PUBLIC_CANDIDATE","none",AD405)</x:f>
        <x:v>none</x:v>
      </x:c>
      <x:c r="AI405" s="12" t="str">
        <x:f>IF(AC405="PUBLIC_CANDIDATE","archive/public_candidates/"&amp;A405,"private_quarantine/"&amp;A405)</x:f>
        <x:v>archive/public_candidates/SWARM-03-H10-S08</x:v>
      </x:c>
      <x:c r="AJ405" s="12" t="str">
        <x:f>IF(AC405="PUBLIC_CANDIDATE","public by default; still not canon","private/hold; do not publish")</x:f>
        <x:v>public by default; still not canon</x:v>
      </x:c>
      <x:c r="AK405" s="12" t="str">
        <x:f>IF(AE405="prepare_public_github_candidate","add receipt/status then mirror","resolve blocker before any public GitHub action")</x:f>
        <x:v>add receipt/status then mirror</x:v>
      </x:c>
    </x:row>
    <x:row r="406">
      <x:c r="A406" s="15" t="str">
        <x:v>SWARM-03-H10-S09</x:v>
      </x:c>
      <x:c r="B406" s="15" t="str">
        <x:v>KairoBrain</x:v>
      </x:c>
      <x:c r="C406" s="15" t="str">
        <x:v>Temporal strata keeper</x:v>
      </x:c>
      <x:c r="D406" s="15" t="str">
        <x:v>GitHub Source Packets</x:v>
      </x:c>
      <x:c r="E406" s="15" t="str">
        <x:v>Aetherforge</x:v>
      </x:c>
      <x:c r="F406" s="15" t="str">
        <x:v>Build source packet for Aetherforge — KairoBrain</x:v>
      </x:c>
      <x:c r="G406" s="15" t="str">
        <x:v>staleness / versioning / supersession</x:v>
      </x:c>
      <x:c r="H406" s="15" t="str">
        <x:v>source path + receipt + raw/export status + claim/edge/risk delta</x:v>
      </x:c>
      <x:c r="I406" s="15" t="str">
        <x:v>packet/SWARM-03-H10-S09</x:v>
      </x:c>
      <x:c r="J406" s="15" t="str">
        <x:v>TODO</x:v>
      </x:c>
      <x:c r="K406" s="15" t="str">
        <x:v>P2</x:v>
      </x:c>
      <x:c r="L406" s="15" t="str">
        <x:v>Done only when evidence is logged, contradiction search is noted, and boundary stamp remains non-canon unless ratified</x:v>
      </x:c>
      <x:c r="M406" s="15" t="str">
        <x:v>candidate / staging-only / not canon / not deployed / authority none</x:v>
      </x:c>
      <x:c r="N406" s="15" t="str">
        <x:v>Dispatch to KairoBrain: complete GitHub Source Packets x Aetherforge; return deltas only, receipts required.</x:v>
      </x:c>
      <x:c r="O406" s="15" t="str">
        <x:v>AF-KG-H10-S09</x:v>
      </x:c>
      <x:c r="P406" s="15" t="str">
        <x:v>Unverified</x:v>
      </x:c>
      <x:c r="Q406" s="15" t="str">
        <x:v>Not checked</x:v>
      </x:c>
      <x:c r="R406" s="15" t="str"/>
      <x:c r="S406" s="15" t="str"/>
      <x:c r="T406" s="15" t="str">
        <x:v>Log first source path or blocker</x:v>
      </x:c>
      <x:c r="U406" s="12" t="str">
        <x:f>IF(OR(P406="Unverified",Q406="Not checked"),"BLOCKED_PENDING_RECEIPT","READY_FOR_REVIEW")</x:f>
        <x:v>BLOCKED_PENDING_RECEIPT</x:v>
      </x:c>
      <x:c r="V406" s="12" t="str">
        <x:f>IF(J406="DONE","RETURNED",IF(U406="BLOCKED_PENDING_RECEIPT","SOURCE_TOUCH_REQUIRED","IN_PROGRESS"))</x:f>
        <x:v>SOURCE_TOUCH_REQUIRED</x:v>
      </x:c>
      <x:c r="W406" s="12" t="str">
        <x:f>IF(P406="Unverified","missing_receipt","receipt_logged")</x:f>
        <x:v>missing_receipt</x:v>
      </x:c>
      <x:c r="X406" s="12" t="str">
        <x:f>IF(Q406="Not checked","raw_status_missing","raw_status_logged")</x:f>
        <x:v>raw_status_missing</x:v>
      </x:c>
      <x:c r="Y406" s="12" t="str">
        <x:f>IF(U406="BLOCKED_PENDING_RECEIPT","Log source path or blocker; do not promote","Route to review lane")</x:f>
        <x:v>Log source path or blocker; do not promote</x:v>
      </x:c>
      <x:c r="Z406" s="12" t="str">
        <x:f>IF(K406="P0","Primary seat + Hashlight/Lucerna","Seat lane")</x:f>
        <x:v>Seat lane</x:v>
      </x:c>
      <x:c r="AA406" s="12" t="str">
        <x:f>IF(R406="","no_claim_delta","claim_delta_present")</x:f>
        <x:v>no_claim_delta</x:v>
      </x:c>
      <x:c r="AB406" s="12" t="str">
        <x:f>IF(S406="","no_contradiction_delta","contradiction_delta_present")</x:f>
        <x:v>no_contradiction_delta</x:v>
      </x:c>
      <x:c r="AC406" s="12" t="str">
        <x:f>IF(OR(ISNUMBER(SEARCH("hacker",LOWER(F406&amp;" "&amp;H406&amp;" "&amp;I406&amp;" "&amp;M406&amp;" "&amp;N406&amp;" "&amp;T406))),ISNUMBER(SEARCH("hacking",LOWER(F406&amp;" "&amp;H406&amp;" "&amp;I406&amp;" "&amp;M406&amp;" "&amp;N406&amp;" "&amp;T406))),ISNUMBER(SEARCH("bank",LOWER(F406&amp;" "&amp;H406&amp;" "&amp;I406&amp;" "&amp;M406&amp;" "&amp;N406&amp;" "&amp;T406))),ISNUMBER(SEARCH("banking",LOWER(F406&amp;" "&amp;H406&amp;" "&amp;I406&amp;" "&amp;M406&amp;" "&amp;N406&amp;" "&amp;T406)))),"PRIVATE_QUARANTINE",IF(OR(ISNUMBER(SEARCH("treasury",LOWER(F406&amp;" "&amp;H406&amp;" "&amp;I406&amp;" "&amp;M406&amp;" "&amp;N406&amp;" "&amp;T406))),ISNUMBER(SEARCH("debt",LOWER(F406&amp;" "&amp;H406&amp;" "&amp;I406&amp;" "&amp;M406&amp;" "&amp;N406&amp;" "&amp;T406))),ISNUMBER(SEARCH("bond",LOWER(F406&amp;" "&amp;H406&amp;" "&amp;I406&amp;" "&amp;M406&amp;" "&amp;N406&amp;" "&amp;T406))),ISNUMBER(SEARCH("transaction",LOWER(F406&amp;" "&amp;H406&amp;" "&amp;I406&amp;" "&amp;M406&amp;" "&amp;N406&amp;" "&amp;T406)))),"PRIVATE_REVIEW","PUBLIC_CANDIDATE"))</x:f>
        <x:v>PUBLIC_CANDIDATE</x:v>
      </x:c>
      <x:c r="AD406" s="12" t="str">
        <x:f>IF(AC406="PRIVATE_QUARANTINE","hacker_or_bank_trigger",IF(AC406="PRIVATE_REVIEW","finance_risk_trigger","none"))</x:f>
        <x:v>none</x:v>
      </x:c>
      <x:c r="AE406" s="12" t="str">
        <x:f>IF(AC406="PUBLIC_CANDIDATE","prepare_public_github_candidate",IF(AC406="PRIVATE_REVIEW","hold_for_private_review","quarantine_private_do_not_publish"))</x:f>
        <x:v>prepare_public_github_candidate</x:v>
      </x:c>
      <x:c r="AF406" s="12" t="str">
        <x:f>IF(AC406="PUBLIC_CANDIDATE","TIDELOCK + Lucerna",IF(AC406="PRIVATE_REVIEW","AtlasBrain + Lucerna","TIDELOCK + Lucerna + Human-root"))</x:f>
        <x:v>TIDELOCK + Lucerna</x:v>
      </x:c>
      <x:c r="AG406" s="12" t="str">
        <x:f>IF(AND(AC406="PUBLIC_CANDIDATE",U406&lt;&gt;"BLOCKED_PENDING_RECEIPT"),"READY_AFTER_RECEIPT","NOT_READY")</x:f>
        <x:v>NOT_READY</x:v>
      </x:c>
      <x:c r="AH406" s="12" t="str">
        <x:f>IF(AC406="PUBLIC_CANDIDATE","none",AD406)</x:f>
        <x:v>none</x:v>
      </x:c>
      <x:c r="AI406" s="12" t="str">
        <x:f>IF(AC406="PUBLIC_CANDIDATE","archive/public_candidates/"&amp;A406,"private_quarantine/"&amp;A406)</x:f>
        <x:v>archive/public_candidates/SWARM-03-H10-S09</x:v>
      </x:c>
      <x:c r="AJ406" s="12" t="str">
        <x:f>IF(AC406="PUBLIC_CANDIDATE","public by default; still not canon","private/hold; do not publish")</x:f>
        <x:v>public by default; still not canon</x:v>
      </x:c>
      <x:c r="AK406" s="12" t="str">
        <x:f>IF(AE406="prepare_public_github_candidate","add receipt/status then mirror","resolve blocker before any public GitHub action")</x:f>
        <x:v>add receipt/status then mirror</x:v>
      </x:c>
    </x:row>
    <x:row r="407">
      <x:c r="A407" s="15" t="str">
        <x:v>SWARM-03-H10-S10</x:v>
      </x:c>
      <x:c r="B407" s="15" t="str">
        <x:v>KairoBrain</x:v>
      </x:c>
      <x:c r="C407" s="15" t="str">
        <x:v>Temporal strata keeper</x:v>
      </x:c>
      <x:c r="D407" s="15" t="str">
        <x:v>GitHub Source Packets</x:v>
      </x:c>
      <x:c r="E407" s="15" t="str">
        <x:v>Human-Root</x:v>
      </x:c>
      <x:c r="F407" s="15" t="str">
        <x:v>Build source packet for Human-Root — KairoBrain</x:v>
      </x:c>
      <x:c r="G407" s="15" t="str">
        <x:v>staleness / versioning / supersession</x:v>
      </x:c>
      <x:c r="H407" s="15" t="str">
        <x:v>source path + receipt + raw/export status + claim/edge/risk delta</x:v>
      </x:c>
      <x:c r="I407" s="15" t="str">
        <x:v>packet/SWARM-03-H10-S10</x:v>
      </x:c>
      <x:c r="J407" s="15" t="str">
        <x:v>TODO</x:v>
      </x:c>
      <x:c r="K407" s="15" t="str">
        <x:v>P2</x:v>
      </x:c>
      <x:c r="L407" s="15" t="str">
        <x:v>Done only when evidence is logged, contradiction search is noted, and boundary stamp remains non-canon unless ratified</x:v>
      </x:c>
      <x:c r="M407" s="15" t="str">
        <x:v>candidate / staging-only / not canon / not deployed / authority none</x:v>
      </x:c>
      <x:c r="N407" s="15" t="str">
        <x:v>Dispatch to KairoBrain: complete GitHub Source Packets x Human-Root; return deltas only, receipts required.</x:v>
      </x:c>
      <x:c r="O407" s="15" t="str">
        <x:v>AF-KG-H10-S10</x:v>
      </x:c>
      <x:c r="P407" s="15" t="str">
        <x:v>Unverified</x:v>
      </x:c>
      <x:c r="Q407" s="15" t="str">
        <x:v>Not checked</x:v>
      </x:c>
      <x:c r="R407" s="15" t="str"/>
      <x:c r="S407" s="15" t="str"/>
      <x:c r="T407" s="15" t="str">
        <x:v>Log first source path or blocker</x:v>
      </x:c>
      <x:c r="U407" s="12" t="str">
        <x:f>IF(OR(P407="Unverified",Q407="Not checked"),"BLOCKED_PENDING_RECEIPT","READY_FOR_REVIEW")</x:f>
        <x:v>BLOCKED_PENDING_RECEIPT</x:v>
      </x:c>
      <x:c r="V407" s="12" t="str">
        <x:f>IF(J407="DONE","RETURNED",IF(U407="BLOCKED_PENDING_RECEIPT","SOURCE_TOUCH_REQUIRED","IN_PROGRESS"))</x:f>
        <x:v>SOURCE_TOUCH_REQUIRED</x:v>
      </x:c>
      <x:c r="W407" s="12" t="str">
        <x:f>IF(P407="Unverified","missing_receipt","receipt_logged")</x:f>
        <x:v>missing_receipt</x:v>
      </x:c>
      <x:c r="X407" s="12" t="str">
        <x:f>IF(Q407="Not checked","raw_status_missing","raw_status_logged")</x:f>
        <x:v>raw_status_missing</x:v>
      </x:c>
      <x:c r="Y407" s="12" t="str">
        <x:f>IF(U407="BLOCKED_PENDING_RECEIPT","Log source path or blocker; do not promote","Route to review lane")</x:f>
        <x:v>Log source path or blocker; do not promote</x:v>
      </x:c>
      <x:c r="Z407" s="12" t="str">
        <x:f>IF(K407="P0","Primary seat + Hashlight/Lucerna","Seat lane")</x:f>
        <x:v>Seat lane</x:v>
      </x:c>
      <x:c r="AA407" s="12" t="str">
        <x:f>IF(R407="","no_claim_delta","claim_delta_present")</x:f>
        <x:v>no_claim_delta</x:v>
      </x:c>
      <x:c r="AB407" s="12" t="str">
        <x:f>IF(S407="","no_contradiction_delta","contradiction_delta_present")</x:f>
        <x:v>no_contradiction_delta</x:v>
      </x:c>
      <x:c r="AC407" s="12" t="str">
        <x:f>IF(OR(ISNUMBER(SEARCH("hacker",LOWER(F407&amp;" "&amp;H407&amp;" "&amp;I407&amp;" "&amp;M407&amp;" "&amp;N407&amp;" "&amp;T407))),ISNUMBER(SEARCH("hacking",LOWER(F407&amp;" "&amp;H407&amp;" "&amp;I407&amp;" "&amp;M407&amp;" "&amp;N407&amp;" "&amp;T407))),ISNUMBER(SEARCH("bank",LOWER(F407&amp;" "&amp;H407&amp;" "&amp;I407&amp;" "&amp;M407&amp;" "&amp;N407&amp;" "&amp;T407))),ISNUMBER(SEARCH("banking",LOWER(F407&amp;" "&amp;H407&amp;" "&amp;I407&amp;" "&amp;M407&amp;" "&amp;N407&amp;" "&amp;T407)))),"PRIVATE_QUARANTINE",IF(OR(ISNUMBER(SEARCH("treasury",LOWER(F407&amp;" "&amp;H407&amp;" "&amp;I407&amp;" "&amp;M407&amp;" "&amp;N407&amp;" "&amp;T407))),ISNUMBER(SEARCH("debt",LOWER(F407&amp;" "&amp;H407&amp;" "&amp;I407&amp;" "&amp;M407&amp;" "&amp;N407&amp;" "&amp;T407))),ISNUMBER(SEARCH("bond",LOWER(F407&amp;" "&amp;H407&amp;" "&amp;I407&amp;" "&amp;M407&amp;" "&amp;N407&amp;" "&amp;T407))),ISNUMBER(SEARCH("transaction",LOWER(F407&amp;" "&amp;H407&amp;" "&amp;I407&amp;" "&amp;M407&amp;" "&amp;N407&amp;" "&amp;T407)))),"PRIVATE_REVIEW","PUBLIC_CANDIDATE"))</x:f>
        <x:v>PUBLIC_CANDIDATE</x:v>
      </x:c>
      <x:c r="AD407" s="12" t="str">
        <x:f>IF(AC407="PRIVATE_QUARANTINE","hacker_or_bank_trigger",IF(AC407="PRIVATE_REVIEW","finance_risk_trigger","none"))</x:f>
        <x:v>none</x:v>
      </x:c>
      <x:c r="AE407" s="12" t="str">
        <x:f>IF(AC407="PUBLIC_CANDIDATE","prepare_public_github_candidate",IF(AC407="PRIVATE_REVIEW","hold_for_private_review","quarantine_private_do_not_publish"))</x:f>
        <x:v>prepare_public_github_candidate</x:v>
      </x:c>
      <x:c r="AF407" s="12" t="str">
        <x:f>IF(AC407="PUBLIC_CANDIDATE","TIDELOCK + Lucerna",IF(AC407="PRIVATE_REVIEW","AtlasBrain + Lucerna","TIDELOCK + Lucerna + Human-root"))</x:f>
        <x:v>TIDELOCK + Lucerna</x:v>
      </x:c>
      <x:c r="AG407" s="12" t="str">
        <x:f>IF(AND(AC407="PUBLIC_CANDIDATE",U407&lt;&gt;"BLOCKED_PENDING_RECEIPT"),"READY_AFTER_RECEIPT","NOT_READY")</x:f>
        <x:v>NOT_READY</x:v>
      </x:c>
      <x:c r="AH407" s="12" t="str">
        <x:f>IF(AC407="PUBLIC_CANDIDATE","none",AD407)</x:f>
        <x:v>none</x:v>
      </x:c>
      <x:c r="AI407" s="12" t="str">
        <x:f>IF(AC407="PUBLIC_CANDIDATE","archive/public_candidates/"&amp;A407,"private_quarantine/"&amp;A407)</x:f>
        <x:v>archive/public_candidates/SWARM-03-H10-S10</x:v>
      </x:c>
      <x:c r="AJ407" s="12" t="str">
        <x:f>IF(AC407="PUBLIC_CANDIDATE","public by default; still not canon","private/hold; do not publish")</x:f>
        <x:v>public by default; still not canon</x:v>
      </x:c>
      <x:c r="AK407" s="12" t="str">
        <x:f>IF(AE407="prepare_public_github_candidate","add receipt/status then mirror","resolve blocker before any public GitHub action")</x:f>
        <x:v>add receipt/status then mirror</x:v>
      </x:c>
    </x:row>
    <x:row r="408">
      <x:c r="A408" s="15" t="str">
        <x:v>SWARM-03-H10-S11</x:v>
      </x:c>
      <x:c r="B408" s="15" t="str">
        <x:v>KairoBrain</x:v>
      </x:c>
      <x:c r="C408" s="15" t="str">
        <x:v>Temporal strata keeper</x:v>
      </x:c>
      <x:c r="D408" s="15" t="str">
        <x:v>GitHub Source Packets</x:v>
      </x:c>
      <x:c r="E408" s="15" t="str">
        <x:v>Automation</x:v>
      </x:c>
      <x:c r="F408" s="15" t="str">
        <x:v>Build source packet for Automation — KairoBrain</x:v>
      </x:c>
      <x:c r="G408" s="15" t="str">
        <x:v>staleness / versioning / supersession</x:v>
      </x:c>
      <x:c r="H408" s="15" t="str">
        <x:v>source path + receipt + raw/export status + claim/edge/risk delta</x:v>
      </x:c>
      <x:c r="I408" s="15" t="str">
        <x:v>packet/SWARM-03-H10-S11</x:v>
      </x:c>
      <x:c r="J408" s="15" t="str">
        <x:v>TODO</x:v>
      </x:c>
      <x:c r="K408" s="15" t="str">
        <x:v>P2</x:v>
      </x:c>
      <x:c r="L408" s="15" t="str">
        <x:v>Done only when evidence is logged, contradiction search is noted, and boundary stamp remains non-canon unless ratified</x:v>
      </x:c>
      <x:c r="M408" s="15" t="str">
        <x:v>candidate / staging-only / not canon / not deployed / authority none</x:v>
      </x:c>
      <x:c r="N408" s="15" t="str">
        <x:v>Dispatch to KairoBrain: complete GitHub Source Packets x Automation; return deltas only, receipts required.</x:v>
      </x:c>
      <x:c r="O408" s="15" t="str">
        <x:v>AF-KG-H10-S11</x:v>
      </x:c>
      <x:c r="P408" s="15" t="str">
        <x:v>Unverified</x:v>
      </x:c>
      <x:c r="Q408" s="15" t="str">
        <x:v>Not checked</x:v>
      </x:c>
      <x:c r="R408" s="15" t="str"/>
      <x:c r="S408" s="15" t="str"/>
      <x:c r="T408" s="15" t="str">
        <x:v>Log first source path or blocker</x:v>
      </x:c>
      <x:c r="U408" s="12" t="str">
        <x:f>IF(OR(P408="Unverified",Q408="Not checked"),"BLOCKED_PENDING_RECEIPT","READY_FOR_REVIEW")</x:f>
        <x:v>BLOCKED_PENDING_RECEIPT</x:v>
      </x:c>
      <x:c r="V408" s="12" t="str">
        <x:f>IF(J408="DONE","RETURNED",IF(U408="BLOCKED_PENDING_RECEIPT","SOURCE_TOUCH_REQUIRED","IN_PROGRESS"))</x:f>
        <x:v>SOURCE_TOUCH_REQUIRED</x:v>
      </x:c>
      <x:c r="W408" s="12" t="str">
        <x:f>IF(P408="Unverified","missing_receipt","receipt_logged")</x:f>
        <x:v>missing_receipt</x:v>
      </x:c>
      <x:c r="X408" s="12" t="str">
        <x:f>IF(Q408="Not checked","raw_status_missing","raw_status_logged")</x:f>
        <x:v>raw_status_missing</x:v>
      </x:c>
      <x:c r="Y408" s="12" t="str">
        <x:f>IF(U408="BLOCKED_PENDING_RECEIPT","Log source path or blocker; do not promote","Route to review lane")</x:f>
        <x:v>Log source path or blocker; do not promote</x:v>
      </x:c>
      <x:c r="Z408" s="12" t="str">
        <x:f>IF(K408="P0","Primary seat + Hashlight/Lucerna","Seat lane")</x:f>
        <x:v>Seat lane</x:v>
      </x:c>
      <x:c r="AA408" s="12" t="str">
        <x:f>IF(R408="","no_claim_delta","claim_delta_present")</x:f>
        <x:v>no_claim_delta</x:v>
      </x:c>
      <x:c r="AB408" s="12" t="str">
        <x:f>IF(S408="","no_contradiction_delta","contradiction_delta_present")</x:f>
        <x:v>no_contradiction_delta</x:v>
      </x:c>
      <x:c r="AC408" s="12" t="str">
        <x:f>IF(OR(ISNUMBER(SEARCH("hacker",LOWER(F408&amp;" "&amp;H408&amp;" "&amp;I408&amp;" "&amp;M408&amp;" "&amp;N408&amp;" "&amp;T408))),ISNUMBER(SEARCH("hacking",LOWER(F408&amp;" "&amp;H408&amp;" "&amp;I408&amp;" "&amp;M408&amp;" "&amp;N408&amp;" "&amp;T408))),ISNUMBER(SEARCH("bank",LOWER(F408&amp;" "&amp;H408&amp;" "&amp;I408&amp;" "&amp;M408&amp;" "&amp;N408&amp;" "&amp;T408))),ISNUMBER(SEARCH("banking",LOWER(F408&amp;" "&amp;H408&amp;" "&amp;I408&amp;" "&amp;M408&amp;" "&amp;N408&amp;" "&amp;T408)))),"PRIVATE_QUARANTINE",IF(OR(ISNUMBER(SEARCH("treasury",LOWER(F408&amp;" "&amp;H408&amp;" "&amp;I408&amp;" "&amp;M408&amp;" "&amp;N408&amp;" "&amp;T408))),ISNUMBER(SEARCH("debt",LOWER(F408&amp;" "&amp;H408&amp;" "&amp;I408&amp;" "&amp;M408&amp;" "&amp;N408&amp;" "&amp;T408))),ISNUMBER(SEARCH("bond",LOWER(F408&amp;" "&amp;H408&amp;" "&amp;I408&amp;" "&amp;M408&amp;" "&amp;N408&amp;" "&amp;T408))),ISNUMBER(SEARCH("transaction",LOWER(F408&amp;" "&amp;H408&amp;" "&amp;I408&amp;" "&amp;M408&amp;" "&amp;N408&amp;" "&amp;T408)))),"PRIVATE_REVIEW","PUBLIC_CANDIDATE"))</x:f>
        <x:v>PUBLIC_CANDIDATE</x:v>
      </x:c>
      <x:c r="AD408" s="12" t="str">
        <x:f>IF(AC408="PRIVATE_QUARANTINE","hacker_or_bank_trigger",IF(AC408="PRIVATE_REVIEW","finance_risk_trigger","none"))</x:f>
        <x:v>none</x:v>
      </x:c>
      <x:c r="AE408" s="12" t="str">
        <x:f>IF(AC408="PUBLIC_CANDIDATE","prepare_public_github_candidate",IF(AC408="PRIVATE_REVIEW","hold_for_private_review","quarantine_private_do_not_publish"))</x:f>
        <x:v>prepare_public_github_candidate</x:v>
      </x:c>
      <x:c r="AF408" s="12" t="str">
        <x:f>IF(AC408="PUBLIC_CANDIDATE","TIDELOCK + Lucerna",IF(AC408="PRIVATE_REVIEW","AtlasBrain + Lucerna","TIDELOCK + Lucerna + Human-root"))</x:f>
        <x:v>TIDELOCK + Lucerna</x:v>
      </x:c>
      <x:c r="AG408" s="12" t="str">
        <x:f>IF(AND(AC408="PUBLIC_CANDIDATE",U408&lt;&gt;"BLOCKED_PENDING_RECEIPT"),"READY_AFTER_RECEIPT","NOT_READY")</x:f>
        <x:v>NOT_READY</x:v>
      </x:c>
      <x:c r="AH408" s="12" t="str">
        <x:f>IF(AC408="PUBLIC_CANDIDATE","none",AD408)</x:f>
        <x:v>none</x:v>
      </x:c>
      <x:c r="AI408" s="12" t="str">
        <x:f>IF(AC408="PUBLIC_CANDIDATE","archive/public_candidates/"&amp;A408,"private_quarantine/"&amp;A408)</x:f>
        <x:v>archive/public_candidates/SWARM-03-H10-S11</x:v>
      </x:c>
      <x:c r="AJ408" s="12" t="str">
        <x:f>IF(AC408="PUBLIC_CANDIDATE","public by default; still not canon","private/hold; do not publish")</x:f>
        <x:v>public by default; still not canon</x:v>
      </x:c>
      <x:c r="AK408" s="12" t="str">
        <x:f>IF(AE408="prepare_public_github_candidate","add receipt/status then mirror","resolve blocker before any public GitHub action")</x:f>
        <x:v>add receipt/status then mirror</x:v>
      </x:c>
    </x:row>
    <x:row r="409">
      <x:c r="A409" s="15" t="str">
        <x:v>SWARM-03-H10-S12</x:v>
      </x:c>
      <x:c r="B409" s="15" t="str">
        <x:v>KairoBrain</x:v>
      </x:c>
      <x:c r="C409" s="15" t="str">
        <x:v>Temporal strata keeper</x:v>
      </x:c>
      <x:c r="D409" s="15" t="str">
        <x:v>GitHub Source Packets</x:v>
      </x:c>
      <x:c r="E409" s="15" t="str">
        <x:v>Risk / Safety</x:v>
      </x:c>
      <x:c r="F409" s="15" t="str">
        <x:v>Build source packet for Risk / Safety — KairoBrain</x:v>
      </x:c>
      <x:c r="G409" s="15" t="str">
        <x:v>staleness / versioning / supersession</x:v>
      </x:c>
      <x:c r="H409" s="15" t="str">
        <x:v>source path + receipt + raw/export status + claim/edge/risk delta</x:v>
      </x:c>
      <x:c r="I409" s="15" t="str">
        <x:v>packet/SWARM-03-H10-S12</x:v>
      </x:c>
      <x:c r="J409" s="15" t="str">
        <x:v>TODO</x:v>
      </x:c>
      <x:c r="K409" s="15" t="str">
        <x:v>P2</x:v>
      </x:c>
      <x:c r="L409" s="15" t="str">
        <x:v>Done only when evidence is logged, contradiction search is noted, and boundary stamp remains non-canon unless ratified</x:v>
      </x:c>
      <x:c r="M409" s="15" t="str">
        <x:v>candidate / staging-only / not canon / not deployed / authority none</x:v>
      </x:c>
      <x:c r="N409" s="15" t="str">
        <x:v>Dispatch to KairoBrain: complete GitHub Source Packets x Risk / Safety; return deltas only, receipts required.</x:v>
      </x:c>
      <x:c r="O409" s="15" t="str">
        <x:v>AF-KG-H10-S12</x:v>
      </x:c>
      <x:c r="P409" s="15" t="str">
        <x:v>Unverified</x:v>
      </x:c>
      <x:c r="Q409" s="15" t="str">
        <x:v>Not checked</x:v>
      </x:c>
      <x:c r="R409" s="15" t="str"/>
      <x:c r="S409" s="15" t="str"/>
      <x:c r="T409" s="15" t="str">
        <x:v>Log first source path or blocker</x:v>
      </x:c>
      <x:c r="U409" s="12" t="str">
        <x:f>IF(OR(P409="Unverified",Q409="Not checked"),"BLOCKED_PENDING_RECEIPT","READY_FOR_REVIEW")</x:f>
        <x:v>BLOCKED_PENDING_RECEIPT</x:v>
      </x:c>
      <x:c r="V409" s="12" t="str">
        <x:f>IF(J409="DONE","RETURNED",IF(U409="BLOCKED_PENDING_RECEIPT","SOURCE_TOUCH_REQUIRED","IN_PROGRESS"))</x:f>
        <x:v>SOURCE_TOUCH_REQUIRED</x:v>
      </x:c>
      <x:c r="W409" s="12" t="str">
        <x:f>IF(P409="Unverified","missing_receipt","receipt_logged")</x:f>
        <x:v>missing_receipt</x:v>
      </x:c>
      <x:c r="X409" s="12" t="str">
        <x:f>IF(Q409="Not checked","raw_status_missing","raw_status_logged")</x:f>
        <x:v>raw_status_missing</x:v>
      </x:c>
      <x:c r="Y409" s="12" t="str">
        <x:f>IF(U409="BLOCKED_PENDING_RECEIPT","Log source path or blocker; do not promote","Route to review lane")</x:f>
        <x:v>Log source path or blocker; do not promote</x:v>
      </x:c>
      <x:c r="Z409" s="12" t="str">
        <x:f>IF(K409="P0","Primary seat + Hashlight/Lucerna","Seat lane")</x:f>
        <x:v>Seat lane</x:v>
      </x:c>
      <x:c r="AA409" s="12" t="str">
        <x:f>IF(R409="","no_claim_delta","claim_delta_present")</x:f>
        <x:v>no_claim_delta</x:v>
      </x:c>
      <x:c r="AB409" s="12" t="str">
        <x:f>IF(S409="","no_contradiction_delta","contradiction_delta_present")</x:f>
        <x:v>no_contradiction_delta</x:v>
      </x:c>
      <x:c r="AC409" s="12" t="str">
        <x:f>IF(OR(ISNUMBER(SEARCH("hacker",LOWER(F409&amp;" "&amp;H409&amp;" "&amp;I409&amp;" "&amp;M409&amp;" "&amp;N409&amp;" "&amp;T409))),ISNUMBER(SEARCH("hacking",LOWER(F409&amp;" "&amp;H409&amp;" "&amp;I409&amp;" "&amp;M409&amp;" "&amp;N409&amp;" "&amp;T409))),ISNUMBER(SEARCH("bank",LOWER(F409&amp;" "&amp;H409&amp;" "&amp;I409&amp;" "&amp;M409&amp;" "&amp;N409&amp;" "&amp;T409))),ISNUMBER(SEARCH("banking",LOWER(F409&amp;" "&amp;H409&amp;" "&amp;I409&amp;" "&amp;M409&amp;" "&amp;N409&amp;" "&amp;T409)))),"PRIVATE_QUARANTINE",IF(OR(ISNUMBER(SEARCH("treasury",LOWER(F409&amp;" "&amp;H409&amp;" "&amp;I409&amp;" "&amp;M409&amp;" "&amp;N409&amp;" "&amp;T409))),ISNUMBER(SEARCH("debt",LOWER(F409&amp;" "&amp;H409&amp;" "&amp;I409&amp;" "&amp;M409&amp;" "&amp;N409&amp;" "&amp;T409))),ISNUMBER(SEARCH("bond",LOWER(F409&amp;" "&amp;H409&amp;" "&amp;I409&amp;" "&amp;M409&amp;" "&amp;N409&amp;" "&amp;T409))),ISNUMBER(SEARCH("transaction",LOWER(F409&amp;" "&amp;H409&amp;" "&amp;I409&amp;" "&amp;M409&amp;" "&amp;N409&amp;" "&amp;T409)))),"PRIVATE_REVIEW","PUBLIC_CANDIDATE"))</x:f>
        <x:v>PUBLIC_CANDIDATE</x:v>
      </x:c>
      <x:c r="AD409" s="12" t="str">
        <x:f>IF(AC409="PRIVATE_QUARANTINE","hacker_or_bank_trigger",IF(AC409="PRIVATE_REVIEW","finance_risk_trigger","none"))</x:f>
        <x:v>none</x:v>
      </x:c>
      <x:c r="AE409" s="12" t="str">
        <x:f>IF(AC409="PUBLIC_CANDIDATE","prepare_public_github_candidate",IF(AC409="PRIVATE_REVIEW","hold_for_private_review","quarantine_private_do_not_publish"))</x:f>
        <x:v>prepare_public_github_candidate</x:v>
      </x:c>
      <x:c r="AF409" s="12" t="str">
        <x:f>IF(AC409="PUBLIC_CANDIDATE","TIDELOCK + Lucerna",IF(AC409="PRIVATE_REVIEW","AtlasBrain + Lucerna","TIDELOCK + Lucerna + Human-root"))</x:f>
        <x:v>TIDELOCK + Lucerna</x:v>
      </x:c>
      <x:c r="AG409" s="12" t="str">
        <x:f>IF(AND(AC409="PUBLIC_CANDIDATE",U409&lt;&gt;"BLOCKED_PENDING_RECEIPT"),"READY_AFTER_RECEIPT","NOT_READY")</x:f>
        <x:v>NOT_READY</x:v>
      </x:c>
      <x:c r="AH409" s="12" t="str">
        <x:f>IF(AC409="PUBLIC_CANDIDATE","none",AD409)</x:f>
        <x:v>none</x:v>
      </x:c>
      <x:c r="AI409" s="12" t="str">
        <x:f>IF(AC409="PUBLIC_CANDIDATE","archive/public_candidates/"&amp;A409,"private_quarantine/"&amp;A409)</x:f>
        <x:v>archive/public_candidates/SWARM-03-H10-S12</x:v>
      </x:c>
      <x:c r="AJ409" s="12" t="str">
        <x:f>IF(AC409="PUBLIC_CANDIDATE","public by default; still not canon","private/hold; do not publish")</x:f>
        <x:v>public by default; still not canon</x:v>
      </x:c>
      <x:c r="AK409" s="12" t="str">
        <x:f>IF(AE409="prepare_public_github_candidate","add receipt/status then mirror","resolve blocker before any public GitHub action")</x:f>
        <x:v>add receipt/status then mirror</x:v>
      </x:c>
    </x:row>
    <x:row r="410">
      <x:c r="A410" s="15" t="str">
        <x:v>SWARM-03-H11-S01</x:v>
      </x:c>
      <x:c r="B410" s="15" t="str">
        <x:v>KairoBrain</x:v>
      </x:c>
      <x:c r="C410" s="15" t="str">
        <x:v>Temporal strata keeper</x:v>
      </x:c>
      <x:c r="D410" s="15" t="str">
        <x:v>Aetherforge UX</x:v>
      </x:c>
      <x:c r="E410" s="15" t="str">
        <x:v>Notion</x:v>
      </x:c>
      <x:c r="F410" s="15" t="str">
        <x:v>Design quest card for Notion — KairoBrain</x:v>
      </x:c>
      <x:c r="G410" s="15" t="str">
        <x:v>staleness / versioning / supersession</x:v>
      </x:c>
      <x:c r="H410" s="15" t="str">
        <x:v>source path + receipt + raw/export status + claim/edge/risk delta</x:v>
      </x:c>
      <x:c r="I410" s="15" t="str">
        <x:v>packet/SWARM-03-H11-S01</x:v>
      </x:c>
      <x:c r="J410" s="15" t="str">
        <x:v>TODO</x:v>
      </x:c>
      <x:c r="K410" s="15" t="str">
        <x:v>P0</x:v>
      </x:c>
      <x:c r="L410" s="15" t="str">
        <x:v>Done only when evidence is logged, contradiction search is noted, and boundary stamp remains non-canon unless ratified</x:v>
      </x:c>
      <x:c r="M410" s="15" t="str">
        <x:v>candidate / staging-only / not canon / not deployed / authority none</x:v>
      </x:c>
      <x:c r="N410" s="15" t="str">
        <x:v>Dispatch to KairoBrain: complete Aetherforge UX x Notion; return deltas only, receipts required.</x:v>
      </x:c>
      <x:c r="O410" s="15" t="str">
        <x:v>AF-KG-H11-S01</x:v>
      </x:c>
      <x:c r="P410" s="15" t="str">
        <x:v>Unverified</x:v>
      </x:c>
      <x:c r="Q410" s="15" t="str">
        <x:v>Not checked</x:v>
      </x:c>
      <x:c r="R410" s="15" t="str"/>
      <x:c r="S410" s="15" t="str"/>
      <x:c r="T410" s="15" t="str">
        <x:v>Log first source path or blocker</x:v>
      </x:c>
      <x:c r="U410" s="12" t="str">
        <x:f>IF(OR(P410="Unverified",Q410="Not checked"),"BLOCKED_PENDING_RECEIPT","READY_FOR_REVIEW")</x:f>
        <x:v>BLOCKED_PENDING_RECEIPT</x:v>
      </x:c>
      <x:c r="V410" s="12" t="str">
        <x:f>IF(J410="DONE","RETURNED",IF(U410="BLOCKED_PENDING_RECEIPT","SOURCE_TOUCH_REQUIRED","IN_PROGRESS"))</x:f>
        <x:v>SOURCE_TOUCH_REQUIRED</x:v>
      </x:c>
      <x:c r="W410" s="12" t="str">
        <x:f>IF(P410="Unverified","missing_receipt","receipt_logged")</x:f>
        <x:v>missing_receipt</x:v>
      </x:c>
      <x:c r="X410" s="12" t="str">
        <x:f>IF(Q410="Not checked","raw_status_missing","raw_status_logged")</x:f>
        <x:v>raw_status_missing</x:v>
      </x:c>
      <x:c r="Y410" s="12" t="str">
        <x:f>IF(U410="BLOCKED_PENDING_RECEIPT","Log source path or blocker; do not promote","Route to review lane")</x:f>
        <x:v>Log source path or blocker; do not promote</x:v>
      </x:c>
      <x:c r="Z410" s="12" t="str">
        <x:f>IF(K410="P0","Primary seat + Hashlight/Lucerna","Seat lane")</x:f>
        <x:v>Primary seat + Hashlight/Lucerna</x:v>
      </x:c>
      <x:c r="AA410" s="12" t="str">
        <x:f>IF(R410="","no_claim_delta","claim_delta_present")</x:f>
        <x:v>no_claim_delta</x:v>
      </x:c>
      <x:c r="AB410" s="12" t="str">
        <x:f>IF(S410="","no_contradiction_delta","contradiction_delta_present")</x:f>
        <x:v>no_contradiction_delta</x:v>
      </x:c>
      <x:c r="AC410" s="12" t="str">
        <x:f>IF(OR(ISNUMBER(SEARCH("hacker",LOWER(F410&amp;" "&amp;H410&amp;" "&amp;I410&amp;" "&amp;M410&amp;" "&amp;N410&amp;" "&amp;T410))),ISNUMBER(SEARCH("hacking",LOWER(F410&amp;" "&amp;H410&amp;" "&amp;I410&amp;" "&amp;M410&amp;" "&amp;N410&amp;" "&amp;T410))),ISNUMBER(SEARCH("bank",LOWER(F410&amp;" "&amp;H410&amp;" "&amp;I410&amp;" "&amp;M410&amp;" "&amp;N410&amp;" "&amp;T410))),ISNUMBER(SEARCH("banking",LOWER(F410&amp;" "&amp;H410&amp;" "&amp;I410&amp;" "&amp;M410&amp;" "&amp;N410&amp;" "&amp;T410)))),"PRIVATE_QUARANTINE",IF(OR(ISNUMBER(SEARCH("treasury",LOWER(F410&amp;" "&amp;H410&amp;" "&amp;I410&amp;" "&amp;M410&amp;" "&amp;N410&amp;" "&amp;T410))),ISNUMBER(SEARCH("debt",LOWER(F410&amp;" "&amp;H410&amp;" "&amp;I410&amp;" "&amp;M410&amp;" "&amp;N410&amp;" "&amp;T410))),ISNUMBER(SEARCH("bond",LOWER(F410&amp;" "&amp;H410&amp;" "&amp;I410&amp;" "&amp;M410&amp;" "&amp;N410&amp;" "&amp;T410))),ISNUMBER(SEARCH("transaction",LOWER(F410&amp;" "&amp;H410&amp;" "&amp;I410&amp;" "&amp;M410&amp;" "&amp;N410&amp;" "&amp;T410)))),"PRIVATE_REVIEW","PUBLIC_CANDIDATE"))</x:f>
        <x:v>PUBLIC_CANDIDATE</x:v>
      </x:c>
      <x:c r="AD410" s="12" t="str">
        <x:f>IF(AC410="PRIVATE_QUARANTINE","hacker_or_bank_trigger",IF(AC410="PRIVATE_REVIEW","finance_risk_trigger","none"))</x:f>
        <x:v>none</x:v>
      </x:c>
      <x:c r="AE410" s="12" t="str">
        <x:f>IF(AC410="PUBLIC_CANDIDATE","prepare_public_github_candidate",IF(AC410="PRIVATE_REVIEW","hold_for_private_review","quarantine_private_do_not_publish"))</x:f>
        <x:v>prepare_public_github_candidate</x:v>
      </x:c>
      <x:c r="AF410" s="12" t="str">
        <x:f>IF(AC410="PUBLIC_CANDIDATE","TIDELOCK + Lucerna",IF(AC410="PRIVATE_REVIEW","AtlasBrain + Lucerna","TIDELOCK + Lucerna + Human-root"))</x:f>
        <x:v>TIDELOCK + Lucerna</x:v>
      </x:c>
      <x:c r="AG410" s="12" t="str">
        <x:f>IF(AND(AC410="PUBLIC_CANDIDATE",U410&lt;&gt;"BLOCKED_PENDING_RECEIPT"),"READY_AFTER_RECEIPT","NOT_READY")</x:f>
        <x:v>NOT_READY</x:v>
      </x:c>
      <x:c r="AH410" s="12" t="str">
        <x:f>IF(AC410="PUBLIC_CANDIDATE","none",AD410)</x:f>
        <x:v>none</x:v>
      </x:c>
      <x:c r="AI410" s="12" t="str">
        <x:f>IF(AC410="PUBLIC_CANDIDATE","archive/public_candidates/"&amp;A410,"private_quarantine/"&amp;A410)</x:f>
        <x:v>archive/public_candidates/SWARM-03-H11-S01</x:v>
      </x:c>
      <x:c r="AJ410" s="12" t="str">
        <x:f>IF(AC410="PUBLIC_CANDIDATE","public by default; still not canon","private/hold; do not publish")</x:f>
        <x:v>public by default; still not canon</x:v>
      </x:c>
      <x:c r="AK410" s="12" t="str">
        <x:f>IF(AE410="prepare_public_github_candidate","add receipt/status then mirror","resolve blocker before any public GitHub action")</x:f>
        <x:v>add receipt/status then mirror</x:v>
      </x:c>
    </x:row>
    <x:row r="411">
      <x:c r="A411" s="15" t="str">
        <x:v>SWARM-03-H11-S02</x:v>
      </x:c>
      <x:c r="B411" s="15" t="str">
        <x:v>KairoBrain</x:v>
      </x:c>
      <x:c r="C411" s="15" t="str">
        <x:v>Temporal strata keeper</x:v>
      </x:c>
      <x:c r="D411" s="15" t="str">
        <x:v>Aetherforge UX</x:v>
      </x:c>
      <x:c r="E411" s="15" t="str">
        <x:v>Drive</x:v>
      </x:c>
      <x:c r="F411" s="15" t="str">
        <x:v>Design quest card for Drive — KairoBrain</x:v>
      </x:c>
      <x:c r="G411" s="15" t="str">
        <x:v>staleness / versioning / supersession</x:v>
      </x:c>
      <x:c r="H411" s="15" t="str">
        <x:v>source path + receipt + raw/export status + claim/edge/risk delta</x:v>
      </x:c>
      <x:c r="I411" s="15" t="str">
        <x:v>packet/SWARM-03-H11-S02</x:v>
      </x:c>
      <x:c r="J411" s="15" t="str">
        <x:v>TODO</x:v>
      </x:c>
      <x:c r="K411" s="15" t="str">
        <x:v>P0</x:v>
      </x:c>
      <x:c r="L411" s="15" t="str">
        <x:v>Done only when evidence is logged, contradiction search is noted, and boundary stamp remains non-canon unless ratified</x:v>
      </x:c>
      <x:c r="M411" s="15" t="str">
        <x:v>candidate / staging-only / not canon / not deployed / authority none</x:v>
      </x:c>
      <x:c r="N411" s="15" t="str">
        <x:v>Dispatch to KairoBrain: complete Aetherforge UX x Drive; return deltas only, receipts required.</x:v>
      </x:c>
      <x:c r="O411" s="15" t="str">
        <x:v>AF-KG-H11-S02</x:v>
      </x:c>
      <x:c r="P411" s="15" t="str">
        <x:v>Unverified</x:v>
      </x:c>
      <x:c r="Q411" s="15" t="str">
        <x:v>Not checked</x:v>
      </x:c>
      <x:c r="R411" s="15" t="str"/>
      <x:c r="S411" s="15" t="str"/>
      <x:c r="T411" s="15" t="str">
        <x:v>Log first source path or blocker</x:v>
      </x:c>
      <x:c r="U411" s="12" t="str">
        <x:f>IF(OR(P411="Unverified",Q411="Not checked"),"BLOCKED_PENDING_RECEIPT","READY_FOR_REVIEW")</x:f>
        <x:v>BLOCKED_PENDING_RECEIPT</x:v>
      </x:c>
      <x:c r="V411" s="12" t="str">
        <x:f>IF(J411="DONE","RETURNED",IF(U411="BLOCKED_PENDING_RECEIPT","SOURCE_TOUCH_REQUIRED","IN_PROGRESS"))</x:f>
        <x:v>SOURCE_TOUCH_REQUIRED</x:v>
      </x:c>
      <x:c r="W411" s="12" t="str">
        <x:f>IF(P411="Unverified","missing_receipt","receipt_logged")</x:f>
        <x:v>missing_receipt</x:v>
      </x:c>
      <x:c r="X411" s="12" t="str">
        <x:f>IF(Q411="Not checked","raw_status_missing","raw_status_logged")</x:f>
        <x:v>raw_status_missing</x:v>
      </x:c>
      <x:c r="Y411" s="12" t="str">
        <x:f>IF(U411="BLOCKED_PENDING_RECEIPT","Log source path or blocker; do not promote","Route to review lane")</x:f>
        <x:v>Log source path or blocker; do not promote</x:v>
      </x:c>
      <x:c r="Z411" s="12" t="str">
        <x:f>IF(K411="P0","Primary seat + Hashlight/Lucerna","Seat lane")</x:f>
        <x:v>Primary seat + Hashlight/Lucerna</x:v>
      </x:c>
      <x:c r="AA411" s="12" t="str">
        <x:f>IF(R411="","no_claim_delta","claim_delta_present")</x:f>
        <x:v>no_claim_delta</x:v>
      </x:c>
      <x:c r="AB411" s="12" t="str">
        <x:f>IF(S411="","no_contradiction_delta","contradiction_delta_present")</x:f>
        <x:v>no_contradiction_delta</x:v>
      </x:c>
      <x:c r="AC411" s="12" t="str">
        <x:f>IF(OR(ISNUMBER(SEARCH("hacker",LOWER(F411&amp;" "&amp;H411&amp;" "&amp;I411&amp;" "&amp;M411&amp;" "&amp;N411&amp;" "&amp;T411))),ISNUMBER(SEARCH("hacking",LOWER(F411&amp;" "&amp;H411&amp;" "&amp;I411&amp;" "&amp;M411&amp;" "&amp;N411&amp;" "&amp;T411))),ISNUMBER(SEARCH("bank",LOWER(F411&amp;" "&amp;H411&amp;" "&amp;I411&amp;" "&amp;M411&amp;" "&amp;N411&amp;" "&amp;T411))),ISNUMBER(SEARCH("banking",LOWER(F411&amp;" "&amp;H411&amp;" "&amp;I411&amp;" "&amp;M411&amp;" "&amp;N411&amp;" "&amp;T411)))),"PRIVATE_QUARANTINE",IF(OR(ISNUMBER(SEARCH("treasury",LOWER(F411&amp;" "&amp;H411&amp;" "&amp;I411&amp;" "&amp;M411&amp;" "&amp;N411&amp;" "&amp;T411))),ISNUMBER(SEARCH("debt",LOWER(F411&amp;" "&amp;H411&amp;" "&amp;I411&amp;" "&amp;M411&amp;" "&amp;N411&amp;" "&amp;T411))),ISNUMBER(SEARCH("bond",LOWER(F411&amp;" "&amp;H411&amp;" "&amp;I411&amp;" "&amp;M411&amp;" "&amp;N411&amp;" "&amp;T411))),ISNUMBER(SEARCH("transaction",LOWER(F411&amp;" "&amp;H411&amp;" "&amp;I411&amp;" "&amp;M411&amp;" "&amp;N411&amp;" "&amp;T411)))),"PRIVATE_REVIEW","PUBLIC_CANDIDATE"))</x:f>
        <x:v>PUBLIC_CANDIDATE</x:v>
      </x:c>
      <x:c r="AD411" s="12" t="str">
        <x:f>IF(AC411="PRIVATE_QUARANTINE","hacker_or_bank_trigger",IF(AC411="PRIVATE_REVIEW","finance_risk_trigger","none"))</x:f>
        <x:v>none</x:v>
      </x:c>
      <x:c r="AE411" s="12" t="str">
        <x:f>IF(AC411="PUBLIC_CANDIDATE","prepare_public_github_candidate",IF(AC411="PRIVATE_REVIEW","hold_for_private_review","quarantine_private_do_not_publish"))</x:f>
        <x:v>prepare_public_github_candidate</x:v>
      </x:c>
      <x:c r="AF411" s="12" t="str">
        <x:f>IF(AC411="PUBLIC_CANDIDATE","TIDELOCK + Lucerna",IF(AC411="PRIVATE_REVIEW","AtlasBrain + Lucerna","TIDELOCK + Lucerna + Human-root"))</x:f>
        <x:v>TIDELOCK + Lucerna</x:v>
      </x:c>
      <x:c r="AG411" s="12" t="str">
        <x:f>IF(AND(AC411="PUBLIC_CANDIDATE",U411&lt;&gt;"BLOCKED_PENDING_RECEIPT"),"READY_AFTER_RECEIPT","NOT_READY")</x:f>
        <x:v>NOT_READY</x:v>
      </x:c>
      <x:c r="AH411" s="12" t="str">
        <x:f>IF(AC411="PUBLIC_CANDIDATE","none",AD411)</x:f>
        <x:v>none</x:v>
      </x:c>
      <x:c r="AI411" s="12" t="str">
        <x:f>IF(AC411="PUBLIC_CANDIDATE","archive/public_candidates/"&amp;A411,"private_quarantine/"&amp;A411)</x:f>
        <x:v>archive/public_candidates/SWARM-03-H11-S02</x:v>
      </x:c>
      <x:c r="AJ411" s="12" t="str">
        <x:f>IF(AC411="PUBLIC_CANDIDATE","public by default; still not canon","private/hold; do not publish")</x:f>
        <x:v>public by default; still not canon</x:v>
      </x:c>
      <x:c r="AK411" s="12" t="str">
        <x:f>IF(AE411="prepare_public_github_candidate","add receipt/status then mirror","resolve blocker before any public GitHub action")</x:f>
        <x:v>add receipt/status then mirror</x:v>
      </x:c>
    </x:row>
    <x:row r="412">
      <x:c r="A412" s="15" t="str">
        <x:v>SWARM-03-H11-S03</x:v>
      </x:c>
      <x:c r="B412" s="15" t="str">
        <x:v>KairoBrain</x:v>
      </x:c>
      <x:c r="C412" s="15" t="str">
        <x:v>Temporal strata keeper</x:v>
      </x:c>
      <x:c r="D412" s="15" t="str">
        <x:v>Aetherforge UX</x:v>
      </x:c>
      <x:c r="E412" s="15" t="str">
        <x:v>GitHub</x:v>
      </x:c>
      <x:c r="F412" s="15" t="str">
        <x:v>Design quest card for GitHub — KairoBrain</x:v>
      </x:c>
      <x:c r="G412" s="15" t="str">
        <x:v>staleness / versioning / supersession</x:v>
      </x:c>
      <x:c r="H412" s="15" t="str">
        <x:v>source path + receipt + raw/export status + claim/edge/risk delta</x:v>
      </x:c>
      <x:c r="I412" s="15" t="str">
        <x:v>packet/SWARM-03-H11-S03</x:v>
      </x:c>
      <x:c r="J412" s="15" t="str">
        <x:v>TODO</x:v>
      </x:c>
      <x:c r="K412" s="15" t="str">
        <x:v>P0</x:v>
      </x:c>
      <x:c r="L412" s="15" t="str">
        <x:v>Done only when evidence is logged, contradiction search is noted, and boundary stamp remains non-canon unless ratified</x:v>
      </x:c>
      <x:c r="M412" s="15" t="str">
        <x:v>candidate / staging-only / not canon / not deployed / authority none</x:v>
      </x:c>
      <x:c r="N412" s="15" t="str">
        <x:v>Dispatch to KairoBrain: complete Aetherforge UX x GitHub; return deltas only, receipts required.</x:v>
      </x:c>
      <x:c r="O412" s="15" t="str">
        <x:v>AF-KG-H11-S03</x:v>
      </x:c>
      <x:c r="P412" s="15" t="str">
        <x:v>Unverified</x:v>
      </x:c>
      <x:c r="Q412" s="15" t="str">
        <x:v>Not checked</x:v>
      </x:c>
      <x:c r="R412" s="15" t="str"/>
      <x:c r="S412" s="15" t="str"/>
      <x:c r="T412" s="15" t="str">
        <x:v>Log first source path or blocker</x:v>
      </x:c>
      <x:c r="U412" s="12" t="str">
        <x:f>IF(OR(P412="Unverified",Q412="Not checked"),"BLOCKED_PENDING_RECEIPT","READY_FOR_REVIEW")</x:f>
        <x:v>BLOCKED_PENDING_RECEIPT</x:v>
      </x:c>
      <x:c r="V412" s="12" t="str">
        <x:f>IF(J412="DONE","RETURNED",IF(U412="BLOCKED_PENDING_RECEIPT","SOURCE_TOUCH_REQUIRED","IN_PROGRESS"))</x:f>
        <x:v>SOURCE_TOUCH_REQUIRED</x:v>
      </x:c>
      <x:c r="W412" s="12" t="str">
        <x:f>IF(P412="Unverified","missing_receipt","receipt_logged")</x:f>
        <x:v>missing_receipt</x:v>
      </x:c>
      <x:c r="X412" s="12" t="str">
        <x:f>IF(Q412="Not checked","raw_status_missing","raw_status_logged")</x:f>
        <x:v>raw_status_missing</x:v>
      </x:c>
      <x:c r="Y412" s="12" t="str">
        <x:f>IF(U412="BLOCKED_PENDING_RECEIPT","Log source path or blocker; do not promote","Route to review lane")</x:f>
        <x:v>Log source path or blocker; do not promote</x:v>
      </x:c>
      <x:c r="Z412" s="12" t="str">
        <x:f>IF(K412="P0","Primary seat + Hashlight/Lucerna","Seat lane")</x:f>
        <x:v>Primary seat + Hashlight/Lucerna</x:v>
      </x:c>
      <x:c r="AA412" s="12" t="str">
        <x:f>IF(R412="","no_claim_delta","claim_delta_present")</x:f>
        <x:v>no_claim_delta</x:v>
      </x:c>
      <x:c r="AB412" s="12" t="str">
        <x:f>IF(S412="","no_contradiction_delta","contradiction_delta_present")</x:f>
        <x:v>no_contradiction_delta</x:v>
      </x:c>
      <x:c r="AC412" s="12" t="str">
        <x:f>IF(OR(ISNUMBER(SEARCH("hacker",LOWER(F412&amp;" "&amp;H412&amp;" "&amp;I412&amp;" "&amp;M412&amp;" "&amp;N412&amp;" "&amp;T412))),ISNUMBER(SEARCH("hacking",LOWER(F412&amp;" "&amp;H412&amp;" "&amp;I412&amp;" "&amp;M412&amp;" "&amp;N412&amp;" "&amp;T412))),ISNUMBER(SEARCH("bank",LOWER(F412&amp;" "&amp;H412&amp;" "&amp;I412&amp;" "&amp;M412&amp;" "&amp;N412&amp;" "&amp;T412))),ISNUMBER(SEARCH("banking",LOWER(F412&amp;" "&amp;H412&amp;" "&amp;I412&amp;" "&amp;M412&amp;" "&amp;N412&amp;" "&amp;T412)))),"PRIVATE_QUARANTINE",IF(OR(ISNUMBER(SEARCH("treasury",LOWER(F412&amp;" "&amp;H412&amp;" "&amp;I412&amp;" "&amp;M412&amp;" "&amp;N412&amp;" "&amp;T412))),ISNUMBER(SEARCH("debt",LOWER(F412&amp;" "&amp;H412&amp;" "&amp;I412&amp;" "&amp;M412&amp;" "&amp;N412&amp;" "&amp;T412))),ISNUMBER(SEARCH("bond",LOWER(F412&amp;" "&amp;H412&amp;" "&amp;I412&amp;" "&amp;M412&amp;" "&amp;N412&amp;" "&amp;T412))),ISNUMBER(SEARCH("transaction",LOWER(F412&amp;" "&amp;H412&amp;" "&amp;I412&amp;" "&amp;M412&amp;" "&amp;N412&amp;" "&amp;T412)))),"PRIVATE_REVIEW","PUBLIC_CANDIDATE"))</x:f>
        <x:v>PUBLIC_CANDIDATE</x:v>
      </x:c>
      <x:c r="AD412" s="12" t="str">
        <x:f>IF(AC412="PRIVATE_QUARANTINE","hacker_or_bank_trigger",IF(AC412="PRIVATE_REVIEW","finance_risk_trigger","none"))</x:f>
        <x:v>none</x:v>
      </x:c>
      <x:c r="AE412" s="12" t="str">
        <x:f>IF(AC412="PUBLIC_CANDIDATE","prepare_public_github_candidate",IF(AC412="PRIVATE_REVIEW","hold_for_private_review","quarantine_private_do_not_publish"))</x:f>
        <x:v>prepare_public_github_candidate</x:v>
      </x:c>
      <x:c r="AF412" s="12" t="str">
        <x:f>IF(AC412="PUBLIC_CANDIDATE","TIDELOCK + Lucerna",IF(AC412="PRIVATE_REVIEW","AtlasBrain + Lucerna","TIDELOCK + Lucerna + Human-root"))</x:f>
        <x:v>TIDELOCK + Lucerna</x:v>
      </x:c>
      <x:c r="AG412" s="12" t="str">
        <x:f>IF(AND(AC412="PUBLIC_CANDIDATE",U412&lt;&gt;"BLOCKED_PENDING_RECEIPT"),"READY_AFTER_RECEIPT","NOT_READY")</x:f>
        <x:v>NOT_READY</x:v>
      </x:c>
      <x:c r="AH412" s="12" t="str">
        <x:f>IF(AC412="PUBLIC_CANDIDATE","none",AD412)</x:f>
        <x:v>none</x:v>
      </x:c>
      <x:c r="AI412" s="12" t="str">
        <x:f>IF(AC412="PUBLIC_CANDIDATE","archive/public_candidates/"&amp;A412,"private_quarantine/"&amp;A412)</x:f>
        <x:v>archive/public_candidates/SWARM-03-H11-S03</x:v>
      </x:c>
      <x:c r="AJ412" s="12" t="str">
        <x:f>IF(AC412="PUBLIC_CANDIDATE","public by default; still not canon","private/hold; do not publish")</x:f>
        <x:v>public by default; still not canon</x:v>
      </x:c>
      <x:c r="AK412" s="12" t="str">
        <x:f>IF(AE412="prepare_public_github_candidate","add receipt/status then mirror","resolve blocker before any public GitHub action")</x:f>
        <x:v>add receipt/status then mirror</x:v>
      </x:c>
    </x:row>
    <x:row r="413">
      <x:c r="A413" s="15" t="str">
        <x:v>SWARM-03-H11-S04</x:v>
      </x:c>
      <x:c r="B413" s="15" t="str">
        <x:v>KairoBrain</x:v>
      </x:c>
      <x:c r="C413" s="15" t="str">
        <x:v>Temporal strata keeper</x:v>
      </x:c>
      <x:c r="D413" s="15" t="str">
        <x:v>Aetherforge UX</x:v>
      </x:c>
      <x:c r="E413" s="15" t="str">
        <x:v>Gamma</x:v>
      </x:c>
      <x:c r="F413" s="15" t="str">
        <x:v>Design quest card for Gamma — KairoBrain</x:v>
      </x:c>
      <x:c r="G413" s="15" t="str">
        <x:v>staleness / versioning / supersession</x:v>
      </x:c>
      <x:c r="H413" s="15" t="str">
        <x:v>source path + receipt + raw/export status + claim/edge/risk delta</x:v>
      </x:c>
      <x:c r="I413" s="15" t="str">
        <x:v>packet/SWARM-03-H11-S04</x:v>
      </x:c>
      <x:c r="J413" s="15" t="str">
        <x:v>TODO</x:v>
      </x:c>
      <x:c r="K413" s="15" t="str">
        <x:v>P1</x:v>
      </x:c>
      <x:c r="L413" s="15" t="str">
        <x:v>Done only when evidence is logged, contradiction search is noted, and boundary stamp remains non-canon unless ratified</x:v>
      </x:c>
      <x:c r="M413" s="15" t="str">
        <x:v>candidate / staging-only / not canon / not deployed / authority none</x:v>
      </x:c>
      <x:c r="N413" s="15" t="str">
        <x:v>Dispatch to KairoBrain: complete Aetherforge UX x Gamma; return deltas only, receipts required.</x:v>
      </x:c>
      <x:c r="O413" s="15" t="str">
        <x:v>AF-KG-H11-S04</x:v>
      </x:c>
      <x:c r="P413" s="15" t="str">
        <x:v>Unverified</x:v>
      </x:c>
      <x:c r="Q413" s="15" t="str">
        <x:v>Not checked</x:v>
      </x:c>
      <x:c r="R413" s="15" t="str"/>
      <x:c r="S413" s="15" t="str"/>
      <x:c r="T413" s="15" t="str">
        <x:v>Log first source path or blocker</x:v>
      </x:c>
      <x:c r="U413" s="12" t="str">
        <x:f>IF(OR(P413="Unverified",Q413="Not checked"),"BLOCKED_PENDING_RECEIPT","READY_FOR_REVIEW")</x:f>
        <x:v>BLOCKED_PENDING_RECEIPT</x:v>
      </x:c>
      <x:c r="V413" s="12" t="str">
        <x:f>IF(J413="DONE","RETURNED",IF(U413="BLOCKED_PENDING_RECEIPT","SOURCE_TOUCH_REQUIRED","IN_PROGRESS"))</x:f>
        <x:v>SOURCE_TOUCH_REQUIRED</x:v>
      </x:c>
      <x:c r="W413" s="12" t="str">
        <x:f>IF(P413="Unverified","missing_receipt","receipt_logged")</x:f>
        <x:v>missing_receipt</x:v>
      </x:c>
      <x:c r="X413" s="12" t="str">
        <x:f>IF(Q413="Not checked","raw_status_missing","raw_status_logged")</x:f>
        <x:v>raw_status_missing</x:v>
      </x:c>
      <x:c r="Y413" s="12" t="str">
        <x:f>IF(U413="BLOCKED_PENDING_RECEIPT","Log source path or blocker; do not promote","Route to review lane")</x:f>
        <x:v>Log source path or blocker; do not promote</x:v>
      </x:c>
      <x:c r="Z413" s="12" t="str">
        <x:f>IF(K413="P0","Primary seat + Hashlight/Lucerna","Seat lane")</x:f>
        <x:v>Seat lane</x:v>
      </x:c>
      <x:c r="AA413" s="12" t="str">
        <x:f>IF(R413="","no_claim_delta","claim_delta_present")</x:f>
        <x:v>no_claim_delta</x:v>
      </x:c>
      <x:c r="AB413" s="12" t="str">
        <x:f>IF(S413="","no_contradiction_delta","contradiction_delta_present")</x:f>
        <x:v>no_contradiction_delta</x:v>
      </x:c>
      <x:c r="AC413" s="12" t="str">
        <x:f>IF(OR(ISNUMBER(SEARCH("hacker",LOWER(F413&amp;" "&amp;H413&amp;" "&amp;I413&amp;" "&amp;M413&amp;" "&amp;N413&amp;" "&amp;T413))),ISNUMBER(SEARCH("hacking",LOWER(F413&amp;" "&amp;H413&amp;" "&amp;I413&amp;" "&amp;M413&amp;" "&amp;N413&amp;" "&amp;T413))),ISNUMBER(SEARCH("bank",LOWER(F413&amp;" "&amp;H413&amp;" "&amp;I413&amp;" "&amp;M413&amp;" "&amp;N413&amp;" "&amp;T413))),ISNUMBER(SEARCH("banking",LOWER(F413&amp;" "&amp;H413&amp;" "&amp;I413&amp;" "&amp;M413&amp;" "&amp;N413&amp;" "&amp;T413)))),"PRIVATE_QUARANTINE",IF(OR(ISNUMBER(SEARCH("treasury",LOWER(F413&amp;" "&amp;H413&amp;" "&amp;I413&amp;" "&amp;M413&amp;" "&amp;N413&amp;" "&amp;T413))),ISNUMBER(SEARCH("debt",LOWER(F413&amp;" "&amp;H413&amp;" "&amp;I413&amp;" "&amp;M413&amp;" "&amp;N413&amp;" "&amp;T413))),ISNUMBER(SEARCH("bond",LOWER(F413&amp;" "&amp;H413&amp;" "&amp;I413&amp;" "&amp;M413&amp;" "&amp;N413&amp;" "&amp;T413))),ISNUMBER(SEARCH("transaction",LOWER(F413&amp;" "&amp;H413&amp;" "&amp;I413&amp;" "&amp;M413&amp;" "&amp;N413&amp;" "&amp;T413)))),"PRIVATE_REVIEW","PUBLIC_CANDIDATE"))</x:f>
        <x:v>PUBLIC_CANDIDATE</x:v>
      </x:c>
      <x:c r="AD413" s="12" t="str">
        <x:f>IF(AC413="PRIVATE_QUARANTINE","hacker_or_bank_trigger",IF(AC413="PRIVATE_REVIEW","finance_risk_trigger","none"))</x:f>
        <x:v>none</x:v>
      </x:c>
      <x:c r="AE413" s="12" t="str">
        <x:f>IF(AC413="PUBLIC_CANDIDATE","prepare_public_github_candidate",IF(AC413="PRIVATE_REVIEW","hold_for_private_review","quarantine_private_do_not_publish"))</x:f>
        <x:v>prepare_public_github_candidate</x:v>
      </x:c>
      <x:c r="AF413" s="12" t="str">
        <x:f>IF(AC413="PUBLIC_CANDIDATE","TIDELOCK + Lucerna",IF(AC413="PRIVATE_REVIEW","AtlasBrain + Lucerna","TIDELOCK + Lucerna + Human-root"))</x:f>
        <x:v>TIDELOCK + Lucerna</x:v>
      </x:c>
      <x:c r="AG413" s="12" t="str">
        <x:f>IF(AND(AC413="PUBLIC_CANDIDATE",U413&lt;&gt;"BLOCKED_PENDING_RECEIPT"),"READY_AFTER_RECEIPT","NOT_READY")</x:f>
        <x:v>NOT_READY</x:v>
      </x:c>
      <x:c r="AH413" s="12" t="str">
        <x:f>IF(AC413="PUBLIC_CANDIDATE","none",AD413)</x:f>
        <x:v>none</x:v>
      </x:c>
      <x:c r="AI413" s="12" t="str">
        <x:f>IF(AC413="PUBLIC_CANDIDATE","archive/public_candidates/"&amp;A413,"private_quarantine/"&amp;A413)</x:f>
        <x:v>archive/public_candidates/SWARM-03-H11-S04</x:v>
      </x:c>
      <x:c r="AJ413" s="12" t="str">
        <x:f>IF(AC413="PUBLIC_CANDIDATE","public by default; still not canon","private/hold; do not publish")</x:f>
        <x:v>public by default; still not canon</x:v>
      </x:c>
      <x:c r="AK413" s="12" t="str">
        <x:f>IF(AE413="prepare_public_github_candidate","add receipt/status then mirror","resolve blocker before any public GitHub action")</x:f>
        <x:v>add receipt/status then mirror</x:v>
      </x:c>
    </x:row>
    <x:row r="414">
      <x:c r="A414" s="15" t="str">
        <x:v>SWARM-03-H11-S05</x:v>
      </x:c>
      <x:c r="B414" s="15" t="str">
        <x:v>KairoBrain</x:v>
      </x:c>
      <x:c r="C414" s="15" t="str">
        <x:v>Temporal strata keeper</x:v>
      </x:c>
      <x:c r="D414" s="15" t="str">
        <x:v>Aetherforge UX</x:v>
      </x:c>
      <x:c r="E414" s="15" t="str">
        <x:v>Chat</x:v>
      </x:c>
      <x:c r="F414" s="15" t="str">
        <x:v>Design quest card for Chat — KairoBrain</x:v>
      </x:c>
      <x:c r="G414" s="15" t="str">
        <x:v>staleness / versioning / supersession</x:v>
      </x:c>
      <x:c r="H414" s="15" t="str">
        <x:v>source path + receipt + raw/export status + claim/edge/risk delta</x:v>
      </x:c>
      <x:c r="I414" s="15" t="str">
        <x:v>packet/SWARM-03-H11-S05</x:v>
      </x:c>
      <x:c r="J414" s="15" t="str">
        <x:v>TODO</x:v>
      </x:c>
      <x:c r="K414" s="15" t="str">
        <x:v>P1</x:v>
      </x:c>
      <x:c r="L414" s="15" t="str">
        <x:v>Done only when evidence is logged, contradiction search is noted, and boundary stamp remains non-canon unless ratified</x:v>
      </x:c>
      <x:c r="M414" s="15" t="str">
        <x:v>candidate / staging-only / not canon / not deployed / authority none</x:v>
      </x:c>
      <x:c r="N414" s="15" t="str">
        <x:v>Dispatch to KairoBrain: complete Aetherforge UX x Chat; return deltas only, receipts required.</x:v>
      </x:c>
      <x:c r="O414" s="15" t="str">
        <x:v>AF-KG-H11-S05</x:v>
      </x:c>
      <x:c r="P414" s="15" t="str">
        <x:v>Unverified</x:v>
      </x:c>
      <x:c r="Q414" s="15" t="str">
        <x:v>Not checked</x:v>
      </x:c>
      <x:c r="R414" s="15" t="str"/>
      <x:c r="S414" s="15" t="str"/>
      <x:c r="T414" s="15" t="str">
        <x:v>Log first source path or blocker</x:v>
      </x:c>
      <x:c r="U414" s="12" t="str">
        <x:f>IF(OR(P414="Unverified",Q414="Not checked"),"BLOCKED_PENDING_RECEIPT","READY_FOR_REVIEW")</x:f>
        <x:v>BLOCKED_PENDING_RECEIPT</x:v>
      </x:c>
      <x:c r="V414" s="12" t="str">
        <x:f>IF(J414="DONE","RETURNED",IF(U414="BLOCKED_PENDING_RECEIPT","SOURCE_TOUCH_REQUIRED","IN_PROGRESS"))</x:f>
        <x:v>SOURCE_TOUCH_REQUIRED</x:v>
      </x:c>
      <x:c r="W414" s="12" t="str">
        <x:f>IF(P414="Unverified","missing_receipt","receipt_logged")</x:f>
        <x:v>missing_receipt</x:v>
      </x:c>
      <x:c r="X414" s="12" t="str">
        <x:f>IF(Q414="Not checked","raw_status_missing","raw_status_logged")</x:f>
        <x:v>raw_status_missing</x:v>
      </x:c>
      <x:c r="Y414" s="12" t="str">
        <x:f>IF(U414="BLOCKED_PENDING_RECEIPT","Log source path or blocker; do not promote","Route to review lane")</x:f>
        <x:v>Log source path or blocker; do not promote</x:v>
      </x:c>
      <x:c r="Z414" s="12" t="str">
        <x:f>IF(K414="P0","Primary seat + Hashlight/Lucerna","Seat lane")</x:f>
        <x:v>Seat lane</x:v>
      </x:c>
      <x:c r="AA414" s="12" t="str">
        <x:f>IF(R414="","no_claim_delta","claim_delta_present")</x:f>
        <x:v>no_claim_delta</x:v>
      </x:c>
      <x:c r="AB414" s="12" t="str">
        <x:f>IF(S414="","no_contradiction_delta","contradiction_delta_present")</x:f>
        <x:v>no_contradiction_delta</x:v>
      </x:c>
      <x:c r="AC414" s="12" t="str">
        <x:f>IF(OR(ISNUMBER(SEARCH("hacker",LOWER(F414&amp;" "&amp;H414&amp;" "&amp;I414&amp;" "&amp;M414&amp;" "&amp;N414&amp;" "&amp;T414))),ISNUMBER(SEARCH("hacking",LOWER(F414&amp;" "&amp;H414&amp;" "&amp;I414&amp;" "&amp;M414&amp;" "&amp;N414&amp;" "&amp;T414))),ISNUMBER(SEARCH("bank",LOWER(F414&amp;" "&amp;H414&amp;" "&amp;I414&amp;" "&amp;M414&amp;" "&amp;N414&amp;" "&amp;T414))),ISNUMBER(SEARCH("banking",LOWER(F414&amp;" "&amp;H414&amp;" "&amp;I414&amp;" "&amp;M414&amp;" "&amp;N414&amp;" "&amp;T414)))),"PRIVATE_QUARANTINE",IF(OR(ISNUMBER(SEARCH("treasury",LOWER(F414&amp;" "&amp;H414&amp;" "&amp;I414&amp;" "&amp;M414&amp;" "&amp;N414&amp;" "&amp;T414))),ISNUMBER(SEARCH("debt",LOWER(F414&amp;" "&amp;H414&amp;" "&amp;I414&amp;" "&amp;M414&amp;" "&amp;N414&amp;" "&amp;T414))),ISNUMBER(SEARCH("bond",LOWER(F414&amp;" "&amp;H414&amp;" "&amp;I414&amp;" "&amp;M414&amp;" "&amp;N414&amp;" "&amp;T414))),ISNUMBER(SEARCH("transaction",LOWER(F414&amp;" "&amp;H414&amp;" "&amp;I414&amp;" "&amp;M414&amp;" "&amp;N414&amp;" "&amp;T414)))),"PRIVATE_REVIEW","PUBLIC_CANDIDATE"))</x:f>
        <x:v>PUBLIC_CANDIDATE</x:v>
      </x:c>
      <x:c r="AD414" s="12" t="str">
        <x:f>IF(AC414="PRIVATE_QUARANTINE","hacker_or_bank_trigger",IF(AC414="PRIVATE_REVIEW","finance_risk_trigger","none"))</x:f>
        <x:v>none</x:v>
      </x:c>
      <x:c r="AE414" s="12" t="str">
        <x:f>IF(AC414="PUBLIC_CANDIDATE","prepare_public_github_candidate",IF(AC414="PRIVATE_REVIEW","hold_for_private_review","quarantine_private_do_not_publish"))</x:f>
        <x:v>prepare_public_github_candidate</x:v>
      </x:c>
      <x:c r="AF414" s="12" t="str">
        <x:f>IF(AC414="PUBLIC_CANDIDATE","TIDELOCK + Lucerna",IF(AC414="PRIVATE_REVIEW","AtlasBrain + Lucerna","TIDELOCK + Lucerna + Human-root"))</x:f>
        <x:v>TIDELOCK + Lucerna</x:v>
      </x:c>
      <x:c r="AG414" s="12" t="str">
        <x:f>IF(AND(AC414="PUBLIC_CANDIDATE",U414&lt;&gt;"BLOCKED_PENDING_RECEIPT"),"READY_AFTER_RECEIPT","NOT_READY")</x:f>
        <x:v>NOT_READY</x:v>
      </x:c>
      <x:c r="AH414" s="12" t="str">
        <x:f>IF(AC414="PUBLIC_CANDIDATE","none",AD414)</x:f>
        <x:v>none</x:v>
      </x:c>
      <x:c r="AI414" s="12" t="str">
        <x:f>IF(AC414="PUBLIC_CANDIDATE","archive/public_candidates/"&amp;A414,"private_quarantine/"&amp;A414)</x:f>
        <x:v>archive/public_candidates/SWARM-03-H11-S05</x:v>
      </x:c>
      <x:c r="AJ414" s="12" t="str">
        <x:f>IF(AC414="PUBLIC_CANDIDATE","public by default; still not canon","private/hold; do not publish")</x:f>
        <x:v>public by default; still not canon</x:v>
      </x:c>
      <x:c r="AK414" s="12" t="str">
        <x:f>IF(AE414="prepare_public_github_candidate","add receipt/status then mirror","resolve blocker before any public GitHub action")</x:f>
        <x:v>add receipt/status then mirror</x:v>
      </x:c>
    </x:row>
    <x:row r="415">
      <x:c r="A415" s="15" t="str">
        <x:v>SWARM-03-H11-S06</x:v>
      </x:c>
      <x:c r="B415" s="15" t="str">
        <x:v>KairoBrain</x:v>
      </x:c>
      <x:c r="C415" s="15" t="str">
        <x:v>Temporal strata keeper</x:v>
      </x:c>
      <x:c r="D415" s="15" t="str">
        <x:v>Aetherforge UX</x:v>
      </x:c>
      <x:c r="E415" s="15" t="str">
        <x:v>External Web</x:v>
      </x:c>
      <x:c r="F415" s="15" t="str">
        <x:v>Design quest card for External Web — KairoBrain</x:v>
      </x:c>
      <x:c r="G415" s="15" t="str">
        <x:v>staleness / versioning / supersession</x:v>
      </x:c>
      <x:c r="H415" s="15" t="str">
        <x:v>source path + receipt + raw/export status + claim/edge/risk delta</x:v>
      </x:c>
      <x:c r="I415" s="15" t="str">
        <x:v>packet/SWARM-03-H11-S06</x:v>
      </x:c>
      <x:c r="J415" s="15" t="str">
        <x:v>TODO</x:v>
      </x:c>
      <x:c r="K415" s="15" t="str">
        <x:v>P1</x:v>
      </x:c>
      <x:c r="L415" s="15" t="str">
        <x:v>Done only when evidence is logged, contradiction search is noted, and boundary stamp remains non-canon unless ratified</x:v>
      </x:c>
      <x:c r="M415" s="15" t="str">
        <x:v>candidate / staging-only / not canon / not deployed / authority none</x:v>
      </x:c>
      <x:c r="N415" s="15" t="str">
        <x:v>Dispatch to KairoBrain: complete Aetherforge UX x External Web; return deltas only, receipts required.</x:v>
      </x:c>
      <x:c r="O415" s="15" t="str">
        <x:v>AF-KG-H11-S06</x:v>
      </x:c>
      <x:c r="P415" s="15" t="str">
        <x:v>Unverified</x:v>
      </x:c>
      <x:c r="Q415" s="15" t="str">
        <x:v>Not checked</x:v>
      </x:c>
      <x:c r="R415" s="15" t="str"/>
      <x:c r="S415" s="15" t="str"/>
      <x:c r="T415" s="15" t="str">
        <x:v>Log first source path or blocker</x:v>
      </x:c>
      <x:c r="U415" s="12" t="str">
        <x:f>IF(OR(P415="Unverified",Q415="Not checked"),"BLOCKED_PENDING_RECEIPT","READY_FOR_REVIEW")</x:f>
        <x:v>BLOCKED_PENDING_RECEIPT</x:v>
      </x:c>
      <x:c r="V415" s="12" t="str">
        <x:f>IF(J415="DONE","RETURNED",IF(U415="BLOCKED_PENDING_RECEIPT","SOURCE_TOUCH_REQUIRED","IN_PROGRESS"))</x:f>
        <x:v>SOURCE_TOUCH_REQUIRED</x:v>
      </x:c>
      <x:c r="W415" s="12" t="str">
        <x:f>IF(P415="Unverified","missing_receipt","receipt_logged")</x:f>
        <x:v>missing_receipt</x:v>
      </x:c>
      <x:c r="X415" s="12" t="str">
        <x:f>IF(Q415="Not checked","raw_status_missing","raw_status_logged")</x:f>
        <x:v>raw_status_missing</x:v>
      </x:c>
      <x:c r="Y415" s="12" t="str">
        <x:f>IF(U415="BLOCKED_PENDING_RECEIPT","Log source path or blocker; do not promote","Route to review lane")</x:f>
        <x:v>Log source path or blocker; do not promote</x:v>
      </x:c>
      <x:c r="Z415" s="12" t="str">
        <x:f>IF(K415="P0","Primary seat + Hashlight/Lucerna","Seat lane")</x:f>
        <x:v>Seat lane</x:v>
      </x:c>
      <x:c r="AA415" s="12" t="str">
        <x:f>IF(R415="","no_claim_delta","claim_delta_present")</x:f>
        <x:v>no_claim_delta</x:v>
      </x:c>
      <x:c r="AB415" s="12" t="str">
        <x:f>IF(S415="","no_contradiction_delta","contradiction_delta_present")</x:f>
        <x:v>no_contradiction_delta</x:v>
      </x:c>
      <x:c r="AC415" s="12" t="str">
        <x:f>IF(OR(ISNUMBER(SEARCH("hacker",LOWER(F415&amp;" "&amp;H415&amp;" "&amp;I415&amp;" "&amp;M415&amp;" "&amp;N415&amp;" "&amp;T415))),ISNUMBER(SEARCH("hacking",LOWER(F415&amp;" "&amp;H415&amp;" "&amp;I415&amp;" "&amp;M415&amp;" "&amp;N415&amp;" "&amp;T415))),ISNUMBER(SEARCH("bank",LOWER(F415&amp;" "&amp;H415&amp;" "&amp;I415&amp;" "&amp;M415&amp;" "&amp;N415&amp;" "&amp;T415))),ISNUMBER(SEARCH("banking",LOWER(F415&amp;" "&amp;H415&amp;" "&amp;I415&amp;" "&amp;M415&amp;" "&amp;N415&amp;" "&amp;T415)))),"PRIVATE_QUARANTINE",IF(OR(ISNUMBER(SEARCH("treasury",LOWER(F415&amp;" "&amp;H415&amp;" "&amp;I415&amp;" "&amp;M415&amp;" "&amp;N415&amp;" "&amp;T415))),ISNUMBER(SEARCH("debt",LOWER(F415&amp;" "&amp;H415&amp;" "&amp;I415&amp;" "&amp;M415&amp;" "&amp;N415&amp;" "&amp;T415))),ISNUMBER(SEARCH("bond",LOWER(F415&amp;" "&amp;H415&amp;" "&amp;I415&amp;" "&amp;M415&amp;" "&amp;N415&amp;" "&amp;T415))),ISNUMBER(SEARCH("transaction",LOWER(F415&amp;" "&amp;H415&amp;" "&amp;I415&amp;" "&amp;M415&amp;" "&amp;N415&amp;" "&amp;T415)))),"PRIVATE_REVIEW","PUBLIC_CANDIDATE"))</x:f>
        <x:v>PUBLIC_CANDIDATE</x:v>
      </x:c>
      <x:c r="AD415" s="12" t="str">
        <x:f>IF(AC415="PRIVATE_QUARANTINE","hacker_or_bank_trigger",IF(AC415="PRIVATE_REVIEW","finance_risk_trigger","none"))</x:f>
        <x:v>none</x:v>
      </x:c>
      <x:c r="AE415" s="12" t="str">
        <x:f>IF(AC415="PUBLIC_CANDIDATE","prepare_public_github_candidate",IF(AC415="PRIVATE_REVIEW","hold_for_private_review","quarantine_private_do_not_publish"))</x:f>
        <x:v>prepare_public_github_candidate</x:v>
      </x:c>
      <x:c r="AF415" s="12" t="str">
        <x:f>IF(AC415="PUBLIC_CANDIDATE","TIDELOCK + Lucerna",IF(AC415="PRIVATE_REVIEW","AtlasBrain + Lucerna","TIDELOCK + Lucerna + Human-root"))</x:f>
        <x:v>TIDELOCK + Lucerna</x:v>
      </x:c>
      <x:c r="AG415" s="12" t="str">
        <x:f>IF(AND(AC415="PUBLIC_CANDIDATE",U415&lt;&gt;"BLOCKED_PENDING_RECEIPT"),"READY_AFTER_RECEIPT","NOT_READY")</x:f>
        <x:v>NOT_READY</x:v>
      </x:c>
      <x:c r="AH415" s="12" t="str">
        <x:f>IF(AC415="PUBLIC_CANDIDATE","none",AD415)</x:f>
        <x:v>none</x:v>
      </x:c>
      <x:c r="AI415" s="12" t="str">
        <x:f>IF(AC415="PUBLIC_CANDIDATE","archive/public_candidates/"&amp;A415,"private_quarantine/"&amp;A415)</x:f>
        <x:v>archive/public_candidates/SWARM-03-H11-S06</x:v>
      </x:c>
      <x:c r="AJ415" s="12" t="str">
        <x:f>IF(AC415="PUBLIC_CANDIDATE","public by default; still not canon","private/hold; do not publish")</x:f>
        <x:v>public by default; still not canon</x:v>
      </x:c>
      <x:c r="AK415" s="12" t="str">
        <x:f>IF(AE415="prepare_public_github_candidate","add receipt/status then mirror","resolve blocker before any public GitHub action")</x:f>
        <x:v>add receipt/status then mirror</x:v>
      </x:c>
    </x:row>
    <x:row r="416">
      <x:c r="A416" s="15" t="str">
        <x:v>SWARM-03-H11-S07</x:v>
      </x:c>
      <x:c r="B416" s="15" t="str">
        <x:v>KairoBrain</x:v>
      </x:c>
      <x:c r="C416" s="15" t="str">
        <x:v>Temporal strata keeper</x:v>
      </x:c>
      <x:c r="D416" s="15" t="str">
        <x:v>Aetherforge UX</x:v>
      </x:c>
      <x:c r="E416" s="15" t="str">
        <x:v>Planetarium</x:v>
      </x:c>
      <x:c r="F416" s="15" t="str">
        <x:v>Design quest card for Planetarium — KairoBrain</x:v>
      </x:c>
      <x:c r="G416" s="15" t="str">
        <x:v>staleness / versioning / supersession</x:v>
      </x:c>
      <x:c r="H416" s="15" t="str">
        <x:v>source path + receipt + raw/export status + claim/edge/risk delta</x:v>
      </x:c>
      <x:c r="I416" s="15" t="str">
        <x:v>packet/SWARM-03-H11-S07</x:v>
      </x:c>
      <x:c r="J416" s="15" t="str">
        <x:v>TODO</x:v>
      </x:c>
      <x:c r="K416" s="15" t="str">
        <x:v>P1</x:v>
      </x:c>
      <x:c r="L416" s="15" t="str">
        <x:v>Done only when evidence is logged, contradiction search is noted, and boundary stamp remains non-canon unless ratified</x:v>
      </x:c>
      <x:c r="M416" s="15" t="str">
        <x:v>candidate / staging-only / not canon / not deployed / authority none</x:v>
      </x:c>
      <x:c r="N416" s="15" t="str">
        <x:v>Dispatch to KairoBrain: complete Aetherforge UX x Planetarium; return deltas only, receipts required.</x:v>
      </x:c>
      <x:c r="O416" s="15" t="str">
        <x:v>AF-KG-H11-S07</x:v>
      </x:c>
      <x:c r="P416" s="15" t="str">
        <x:v>Unverified</x:v>
      </x:c>
      <x:c r="Q416" s="15" t="str">
        <x:v>Not checked</x:v>
      </x:c>
      <x:c r="R416" s="15" t="str"/>
      <x:c r="S416" s="15" t="str"/>
      <x:c r="T416" s="15" t="str">
        <x:v>Log first source path or blocker</x:v>
      </x:c>
      <x:c r="U416" s="12" t="str">
        <x:f>IF(OR(P416="Unverified",Q416="Not checked"),"BLOCKED_PENDING_RECEIPT","READY_FOR_REVIEW")</x:f>
        <x:v>BLOCKED_PENDING_RECEIPT</x:v>
      </x:c>
      <x:c r="V416" s="12" t="str">
        <x:f>IF(J416="DONE","RETURNED",IF(U416="BLOCKED_PENDING_RECEIPT","SOURCE_TOUCH_REQUIRED","IN_PROGRESS"))</x:f>
        <x:v>SOURCE_TOUCH_REQUIRED</x:v>
      </x:c>
      <x:c r="W416" s="12" t="str">
        <x:f>IF(P416="Unverified","missing_receipt","receipt_logged")</x:f>
        <x:v>missing_receipt</x:v>
      </x:c>
      <x:c r="X416" s="12" t="str">
        <x:f>IF(Q416="Not checked","raw_status_missing","raw_status_logged")</x:f>
        <x:v>raw_status_missing</x:v>
      </x:c>
      <x:c r="Y416" s="12" t="str">
        <x:f>IF(U416="BLOCKED_PENDING_RECEIPT","Log source path or blocker; do not promote","Route to review lane")</x:f>
        <x:v>Log source path or blocker; do not promote</x:v>
      </x:c>
      <x:c r="Z416" s="12" t="str">
        <x:f>IF(K416="P0","Primary seat + Hashlight/Lucerna","Seat lane")</x:f>
        <x:v>Seat lane</x:v>
      </x:c>
      <x:c r="AA416" s="12" t="str">
        <x:f>IF(R416="","no_claim_delta","claim_delta_present")</x:f>
        <x:v>no_claim_delta</x:v>
      </x:c>
      <x:c r="AB416" s="12" t="str">
        <x:f>IF(S416="","no_contradiction_delta","contradiction_delta_present")</x:f>
        <x:v>no_contradiction_delta</x:v>
      </x:c>
      <x:c r="AC416" s="12" t="str">
        <x:f>IF(OR(ISNUMBER(SEARCH("hacker",LOWER(F416&amp;" "&amp;H416&amp;" "&amp;I416&amp;" "&amp;M416&amp;" "&amp;N416&amp;" "&amp;T416))),ISNUMBER(SEARCH("hacking",LOWER(F416&amp;" "&amp;H416&amp;" "&amp;I416&amp;" "&amp;M416&amp;" "&amp;N416&amp;" "&amp;T416))),ISNUMBER(SEARCH("bank",LOWER(F416&amp;" "&amp;H416&amp;" "&amp;I416&amp;" "&amp;M416&amp;" "&amp;N416&amp;" "&amp;T416))),ISNUMBER(SEARCH("banking",LOWER(F416&amp;" "&amp;H416&amp;" "&amp;I416&amp;" "&amp;M416&amp;" "&amp;N416&amp;" "&amp;T416)))),"PRIVATE_QUARANTINE",IF(OR(ISNUMBER(SEARCH("treasury",LOWER(F416&amp;" "&amp;H416&amp;" "&amp;I416&amp;" "&amp;M416&amp;" "&amp;N416&amp;" "&amp;T416))),ISNUMBER(SEARCH("debt",LOWER(F416&amp;" "&amp;H416&amp;" "&amp;I416&amp;" "&amp;M416&amp;" "&amp;N416&amp;" "&amp;T416))),ISNUMBER(SEARCH("bond",LOWER(F416&amp;" "&amp;H416&amp;" "&amp;I416&amp;" "&amp;M416&amp;" "&amp;N416&amp;" "&amp;T416))),ISNUMBER(SEARCH("transaction",LOWER(F416&amp;" "&amp;H416&amp;" "&amp;I416&amp;" "&amp;M416&amp;" "&amp;N416&amp;" "&amp;T416)))),"PRIVATE_REVIEW","PUBLIC_CANDIDATE"))</x:f>
        <x:v>PUBLIC_CANDIDATE</x:v>
      </x:c>
      <x:c r="AD416" s="12" t="str">
        <x:f>IF(AC416="PRIVATE_QUARANTINE","hacker_or_bank_trigger",IF(AC416="PRIVATE_REVIEW","finance_risk_trigger","none"))</x:f>
        <x:v>none</x:v>
      </x:c>
      <x:c r="AE416" s="12" t="str">
        <x:f>IF(AC416="PUBLIC_CANDIDATE","prepare_public_github_candidate",IF(AC416="PRIVATE_REVIEW","hold_for_private_review","quarantine_private_do_not_publish"))</x:f>
        <x:v>prepare_public_github_candidate</x:v>
      </x:c>
      <x:c r="AF416" s="12" t="str">
        <x:f>IF(AC416="PUBLIC_CANDIDATE","TIDELOCK + Lucerna",IF(AC416="PRIVATE_REVIEW","AtlasBrain + Lucerna","TIDELOCK + Lucerna + Human-root"))</x:f>
        <x:v>TIDELOCK + Lucerna</x:v>
      </x:c>
      <x:c r="AG416" s="12" t="str">
        <x:f>IF(AND(AC416="PUBLIC_CANDIDATE",U416&lt;&gt;"BLOCKED_PENDING_RECEIPT"),"READY_AFTER_RECEIPT","NOT_READY")</x:f>
        <x:v>NOT_READY</x:v>
      </x:c>
      <x:c r="AH416" s="12" t="str">
        <x:f>IF(AC416="PUBLIC_CANDIDATE","none",AD416)</x:f>
        <x:v>none</x:v>
      </x:c>
      <x:c r="AI416" s="12" t="str">
        <x:f>IF(AC416="PUBLIC_CANDIDATE","archive/public_candidates/"&amp;A416,"private_quarantine/"&amp;A416)</x:f>
        <x:v>archive/public_candidates/SWARM-03-H11-S07</x:v>
      </x:c>
      <x:c r="AJ416" s="12" t="str">
        <x:f>IF(AC416="PUBLIC_CANDIDATE","public by default; still not canon","private/hold; do not publish")</x:f>
        <x:v>public by default; still not canon</x:v>
      </x:c>
      <x:c r="AK416" s="12" t="str">
        <x:f>IF(AE416="prepare_public_github_candidate","add receipt/status then mirror","resolve blocker before any public GitHub action")</x:f>
        <x:v>add receipt/status then mirror</x:v>
      </x:c>
    </x:row>
    <x:row r="417">
      <x:c r="A417" s="15" t="str">
        <x:v>SWARM-03-H11-S08</x:v>
      </x:c>
      <x:c r="B417" s="15" t="str">
        <x:v>KairoBrain</x:v>
      </x:c>
      <x:c r="C417" s="15" t="str">
        <x:v>Temporal strata keeper</x:v>
      </x:c>
      <x:c r="D417" s="15" t="str">
        <x:v>Aetherforge UX</x:v>
      </x:c>
      <x:c r="E417" s="15" t="str">
        <x:v>Sheldonbrain</x:v>
      </x:c>
      <x:c r="F417" s="15" t="str">
        <x:v>Design quest card for Sheldonbrain — KairoBrain</x:v>
      </x:c>
      <x:c r="G417" s="15" t="str">
        <x:v>staleness / versioning / supersession</x:v>
      </x:c>
      <x:c r="H417" s="15" t="str">
        <x:v>source path + receipt + raw/export status + claim/edge/risk delta</x:v>
      </x:c>
      <x:c r="I417" s="15" t="str">
        <x:v>packet/SWARM-03-H11-S08</x:v>
      </x:c>
      <x:c r="J417" s="15" t="str">
        <x:v>TODO</x:v>
      </x:c>
      <x:c r="K417" s="15" t="str">
        <x:v>P1</x:v>
      </x:c>
      <x:c r="L417" s="15" t="str">
        <x:v>Done only when evidence is logged, contradiction search is noted, and boundary stamp remains non-canon unless ratified</x:v>
      </x:c>
      <x:c r="M417" s="15" t="str">
        <x:v>candidate / staging-only / not canon / not deployed / authority none</x:v>
      </x:c>
      <x:c r="N417" s="15" t="str">
        <x:v>Dispatch to KairoBrain: complete Aetherforge UX x Sheldonbrain; return deltas only, receipts required.</x:v>
      </x:c>
      <x:c r="O417" s="15" t="str">
        <x:v>AF-KG-H11-S08</x:v>
      </x:c>
      <x:c r="P417" s="15" t="str">
        <x:v>Unverified</x:v>
      </x:c>
      <x:c r="Q417" s="15" t="str">
        <x:v>Not checked</x:v>
      </x:c>
      <x:c r="R417" s="15" t="str"/>
      <x:c r="S417" s="15" t="str"/>
      <x:c r="T417" s="15" t="str">
        <x:v>Log first source path or blocker</x:v>
      </x:c>
      <x:c r="U417" s="12" t="str">
        <x:f>IF(OR(P417="Unverified",Q417="Not checked"),"BLOCKED_PENDING_RECEIPT","READY_FOR_REVIEW")</x:f>
        <x:v>BLOCKED_PENDING_RECEIPT</x:v>
      </x:c>
      <x:c r="V417" s="12" t="str">
        <x:f>IF(J417="DONE","RETURNED",IF(U417="BLOCKED_PENDING_RECEIPT","SOURCE_TOUCH_REQUIRED","IN_PROGRESS"))</x:f>
        <x:v>SOURCE_TOUCH_REQUIRED</x:v>
      </x:c>
      <x:c r="W417" s="12" t="str">
        <x:f>IF(P417="Unverified","missing_receipt","receipt_logged")</x:f>
        <x:v>missing_receipt</x:v>
      </x:c>
      <x:c r="X417" s="12" t="str">
        <x:f>IF(Q417="Not checked","raw_status_missing","raw_status_logged")</x:f>
        <x:v>raw_status_missing</x:v>
      </x:c>
      <x:c r="Y417" s="12" t="str">
        <x:f>IF(U417="BLOCKED_PENDING_RECEIPT","Log source path or blocker; do not promote","Route to review lane")</x:f>
        <x:v>Log source path or blocker; do not promote</x:v>
      </x:c>
      <x:c r="Z417" s="12" t="str">
        <x:f>IF(K417="P0","Primary seat + Hashlight/Lucerna","Seat lane")</x:f>
        <x:v>Seat lane</x:v>
      </x:c>
      <x:c r="AA417" s="12" t="str">
        <x:f>IF(R417="","no_claim_delta","claim_delta_present")</x:f>
        <x:v>no_claim_delta</x:v>
      </x:c>
      <x:c r="AB417" s="12" t="str">
        <x:f>IF(S417="","no_contradiction_delta","contradiction_delta_present")</x:f>
        <x:v>no_contradiction_delta</x:v>
      </x:c>
      <x:c r="AC417" s="12" t="str">
        <x:f>IF(OR(ISNUMBER(SEARCH("hacker",LOWER(F417&amp;" "&amp;H417&amp;" "&amp;I417&amp;" "&amp;M417&amp;" "&amp;N417&amp;" "&amp;T417))),ISNUMBER(SEARCH("hacking",LOWER(F417&amp;" "&amp;H417&amp;" "&amp;I417&amp;" "&amp;M417&amp;" "&amp;N417&amp;" "&amp;T417))),ISNUMBER(SEARCH("bank",LOWER(F417&amp;" "&amp;H417&amp;" "&amp;I417&amp;" "&amp;M417&amp;" "&amp;N417&amp;" "&amp;T417))),ISNUMBER(SEARCH("banking",LOWER(F417&amp;" "&amp;H417&amp;" "&amp;I417&amp;" "&amp;M417&amp;" "&amp;N417&amp;" "&amp;T417)))),"PRIVATE_QUARANTINE",IF(OR(ISNUMBER(SEARCH("treasury",LOWER(F417&amp;" "&amp;H417&amp;" "&amp;I417&amp;" "&amp;M417&amp;" "&amp;N417&amp;" "&amp;T417))),ISNUMBER(SEARCH("debt",LOWER(F417&amp;" "&amp;H417&amp;" "&amp;I417&amp;" "&amp;M417&amp;" "&amp;N417&amp;" "&amp;T417))),ISNUMBER(SEARCH("bond",LOWER(F417&amp;" "&amp;H417&amp;" "&amp;I417&amp;" "&amp;M417&amp;" "&amp;N417&amp;" "&amp;T417))),ISNUMBER(SEARCH("transaction",LOWER(F417&amp;" "&amp;H417&amp;" "&amp;I417&amp;" "&amp;M417&amp;" "&amp;N417&amp;" "&amp;T417)))),"PRIVATE_REVIEW","PUBLIC_CANDIDATE"))</x:f>
        <x:v>PUBLIC_CANDIDATE</x:v>
      </x:c>
      <x:c r="AD417" s="12" t="str">
        <x:f>IF(AC417="PRIVATE_QUARANTINE","hacker_or_bank_trigger",IF(AC417="PRIVATE_REVIEW","finance_risk_trigger","none"))</x:f>
        <x:v>none</x:v>
      </x:c>
      <x:c r="AE417" s="12" t="str">
        <x:f>IF(AC417="PUBLIC_CANDIDATE","prepare_public_github_candidate",IF(AC417="PRIVATE_REVIEW","hold_for_private_review","quarantine_private_do_not_publish"))</x:f>
        <x:v>prepare_public_github_candidate</x:v>
      </x:c>
      <x:c r="AF417" s="12" t="str">
        <x:f>IF(AC417="PUBLIC_CANDIDATE","TIDELOCK + Lucerna",IF(AC417="PRIVATE_REVIEW","AtlasBrain + Lucerna","TIDELOCK + Lucerna + Human-root"))</x:f>
        <x:v>TIDELOCK + Lucerna</x:v>
      </x:c>
      <x:c r="AG417" s="12" t="str">
        <x:f>IF(AND(AC417="PUBLIC_CANDIDATE",U417&lt;&gt;"BLOCKED_PENDING_RECEIPT"),"READY_AFTER_RECEIPT","NOT_READY")</x:f>
        <x:v>NOT_READY</x:v>
      </x:c>
      <x:c r="AH417" s="12" t="str">
        <x:f>IF(AC417="PUBLIC_CANDIDATE","none",AD417)</x:f>
        <x:v>none</x:v>
      </x:c>
      <x:c r="AI417" s="12" t="str">
        <x:f>IF(AC417="PUBLIC_CANDIDATE","archive/public_candidates/"&amp;A417,"private_quarantine/"&amp;A417)</x:f>
        <x:v>archive/public_candidates/SWARM-03-H11-S08</x:v>
      </x:c>
      <x:c r="AJ417" s="12" t="str">
        <x:f>IF(AC417="PUBLIC_CANDIDATE","public by default; still not canon","private/hold; do not publish")</x:f>
        <x:v>public by default; still not canon</x:v>
      </x:c>
      <x:c r="AK417" s="12" t="str">
        <x:f>IF(AE417="prepare_public_github_candidate","add receipt/status then mirror","resolve blocker before any public GitHub action")</x:f>
        <x:v>add receipt/status then mirror</x:v>
      </x:c>
    </x:row>
    <x:row r="418">
      <x:c r="A418" s="15" t="str">
        <x:v>SWARM-03-H11-S09</x:v>
      </x:c>
      <x:c r="B418" s="15" t="str">
        <x:v>KairoBrain</x:v>
      </x:c>
      <x:c r="C418" s="15" t="str">
        <x:v>Temporal strata keeper</x:v>
      </x:c>
      <x:c r="D418" s="15" t="str">
        <x:v>Aetherforge UX</x:v>
      </x:c>
      <x:c r="E418" s="15" t="str">
        <x:v>Aetherforge</x:v>
      </x:c>
      <x:c r="F418" s="15" t="str">
        <x:v>Design quest card for Aetherforge — KairoBrain</x:v>
      </x:c>
      <x:c r="G418" s="15" t="str">
        <x:v>staleness / versioning / supersession</x:v>
      </x:c>
      <x:c r="H418" s="15" t="str">
        <x:v>source path + receipt + raw/export status + claim/edge/risk delta</x:v>
      </x:c>
      <x:c r="I418" s="15" t="str">
        <x:v>packet/SWARM-03-H11-S09</x:v>
      </x:c>
      <x:c r="J418" s="15" t="str">
        <x:v>TODO</x:v>
      </x:c>
      <x:c r="K418" s="15" t="str">
        <x:v>P2</x:v>
      </x:c>
      <x:c r="L418" s="15" t="str">
        <x:v>Done only when evidence is logged, contradiction search is noted, and boundary stamp remains non-canon unless ratified</x:v>
      </x:c>
      <x:c r="M418" s="15" t="str">
        <x:v>candidate / staging-only / not canon / not deployed / authority none</x:v>
      </x:c>
      <x:c r="N418" s="15" t="str">
        <x:v>Dispatch to KairoBrain: complete Aetherforge UX x Aetherforge; return deltas only, receipts required.</x:v>
      </x:c>
      <x:c r="O418" s="15" t="str">
        <x:v>AF-KG-H11-S09</x:v>
      </x:c>
      <x:c r="P418" s="15" t="str">
        <x:v>Unverified</x:v>
      </x:c>
      <x:c r="Q418" s="15" t="str">
        <x:v>Not checked</x:v>
      </x:c>
      <x:c r="R418" s="15" t="str"/>
      <x:c r="S418" s="15" t="str"/>
      <x:c r="T418" s="15" t="str">
        <x:v>Log first source path or blocker</x:v>
      </x:c>
      <x:c r="U418" s="12" t="str">
        <x:f>IF(OR(P418="Unverified",Q418="Not checked"),"BLOCKED_PENDING_RECEIPT","READY_FOR_REVIEW")</x:f>
        <x:v>BLOCKED_PENDING_RECEIPT</x:v>
      </x:c>
      <x:c r="V418" s="12" t="str">
        <x:f>IF(J418="DONE","RETURNED",IF(U418="BLOCKED_PENDING_RECEIPT","SOURCE_TOUCH_REQUIRED","IN_PROGRESS"))</x:f>
        <x:v>SOURCE_TOUCH_REQUIRED</x:v>
      </x:c>
      <x:c r="W418" s="12" t="str">
        <x:f>IF(P418="Unverified","missing_receipt","receipt_logged")</x:f>
        <x:v>missing_receipt</x:v>
      </x:c>
      <x:c r="X418" s="12" t="str">
        <x:f>IF(Q418="Not checked","raw_status_missing","raw_status_logged")</x:f>
        <x:v>raw_status_missing</x:v>
      </x:c>
      <x:c r="Y418" s="12" t="str">
        <x:f>IF(U418="BLOCKED_PENDING_RECEIPT","Log source path or blocker; do not promote","Route to review lane")</x:f>
        <x:v>Log source path or blocker; do not promote</x:v>
      </x:c>
      <x:c r="Z418" s="12" t="str">
        <x:f>IF(K418="P0","Primary seat + Hashlight/Lucerna","Seat lane")</x:f>
        <x:v>Seat lane</x:v>
      </x:c>
      <x:c r="AA418" s="12" t="str">
        <x:f>IF(R418="","no_claim_delta","claim_delta_present")</x:f>
        <x:v>no_claim_delta</x:v>
      </x:c>
      <x:c r="AB418" s="12" t="str">
        <x:f>IF(S418="","no_contradiction_delta","contradiction_delta_present")</x:f>
        <x:v>no_contradiction_delta</x:v>
      </x:c>
      <x:c r="AC418" s="12" t="str">
        <x:f>IF(OR(ISNUMBER(SEARCH("hacker",LOWER(F418&amp;" "&amp;H418&amp;" "&amp;I418&amp;" "&amp;M418&amp;" "&amp;N418&amp;" "&amp;T418))),ISNUMBER(SEARCH("hacking",LOWER(F418&amp;" "&amp;H418&amp;" "&amp;I418&amp;" "&amp;M418&amp;" "&amp;N418&amp;" "&amp;T418))),ISNUMBER(SEARCH("bank",LOWER(F418&amp;" "&amp;H418&amp;" "&amp;I418&amp;" "&amp;M418&amp;" "&amp;N418&amp;" "&amp;T418))),ISNUMBER(SEARCH("banking",LOWER(F418&amp;" "&amp;H418&amp;" "&amp;I418&amp;" "&amp;M418&amp;" "&amp;N418&amp;" "&amp;T418)))),"PRIVATE_QUARANTINE",IF(OR(ISNUMBER(SEARCH("treasury",LOWER(F418&amp;" "&amp;H418&amp;" "&amp;I418&amp;" "&amp;M418&amp;" "&amp;N418&amp;" "&amp;T418))),ISNUMBER(SEARCH("debt",LOWER(F418&amp;" "&amp;H418&amp;" "&amp;I418&amp;" "&amp;M418&amp;" "&amp;N418&amp;" "&amp;T418))),ISNUMBER(SEARCH("bond",LOWER(F418&amp;" "&amp;H418&amp;" "&amp;I418&amp;" "&amp;M418&amp;" "&amp;N418&amp;" "&amp;T418))),ISNUMBER(SEARCH("transaction",LOWER(F418&amp;" "&amp;H418&amp;" "&amp;I418&amp;" "&amp;M418&amp;" "&amp;N418&amp;" "&amp;T418)))),"PRIVATE_REVIEW","PUBLIC_CANDIDATE"))</x:f>
        <x:v>PUBLIC_CANDIDATE</x:v>
      </x:c>
      <x:c r="AD418" s="12" t="str">
        <x:f>IF(AC418="PRIVATE_QUARANTINE","hacker_or_bank_trigger",IF(AC418="PRIVATE_REVIEW","finance_risk_trigger","none"))</x:f>
        <x:v>none</x:v>
      </x:c>
      <x:c r="AE418" s="12" t="str">
        <x:f>IF(AC418="PUBLIC_CANDIDATE","prepare_public_github_candidate",IF(AC418="PRIVATE_REVIEW","hold_for_private_review","quarantine_private_do_not_publish"))</x:f>
        <x:v>prepare_public_github_candidate</x:v>
      </x:c>
      <x:c r="AF418" s="12" t="str">
        <x:f>IF(AC418="PUBLIC_CANDIDATE","TIDELOCK + Lucerna",IF(AC418="PRIVATE_REVIEW","AtlasBrain + Lucerna","TIDELOCK + Lucerna + Human-root"))</x:f>
        <x:v>TIDELOCK + Lucerna</x:v>
      </x:c>
      <x:c r="AG418" s="12" t="str">
        <x:f>IF(AND(AC418="PUBLIC_CANDIDATE",U418&lt;&gt;"BLOCKED_PENDING_RECEIPT"),"READY_AFTER_RECEIPT","NOT_READY")</x:f>
        <x:v>NOT_READY</x:v>
      </x:c>
      <x:c r="AH418" s="12" t="str">
        <x:f>IF(AC418="PUBLIC_CANDIDATE","none",AD418)</x:f>
        <x:v>none</x:v>
      </x:c>
      <x:c r="AI418" s="12" t="str">
        <x:f>IF(AC418="PUBLIC_CANDIDATE","archive/public_candidates/"&amp;A418,"private_quarantine/"&amp;A418)</x:f>
        <x:v>archive/public_candidates/SWARM-03-H11-S09</x:v>
      </x:c>
      <x:c r="AJ418" s="12" t="str">
        <x:f>IF(AC418="PUBLIC_CANDIDATE","public by default; still not canon","private/hold; do not publish")</x:f>
        <x:v>public by default; still not canon</x:v>
      </x:c>
      <x:c r="AK418" s="12" t="str">
        <x:f>IF(AE418="prepare_public_github_candidate","add receipt/status then mirror","resolve blocker before any public GitHub action")</x:f>
        <x:v>add receipt/status then mirror</x:v>
      </x:c>
    </x:row>
    <x:row r="419">
      <x:c r="A419" s="15" t="str">
        <x:v>SWARM-03-H11-S10</x:v>
      </x:c>
      <x:c r="B419" s="15" t="str">
        <x:v>KairoBrain</x:v>
      </x:c>
      <x:c r="C419" s="15" t="str">
        <x:v>Temporal strata keeper</x:v>
      </x:c>
      <x:c r="D419" s="15" t="str">
        <x:v>Aetherforge UX</x:v>
      </x:c>
      <x:c r="E419" s="15" t="str">
        <x:v>Human-Root</x:v>
      </x:c>
      <x:c r="F419" s="15" t="str">
        <x:v>Design quest card for Human-Root — KairoBrain</x:v>
      </x:c>
      <x:c r="G419" s="15" t="str">
        <x:v>staleness / versioning / supersession</x:v>
      </x:c>
      <x:c r="H419" s="15" t="str">
        <x:v>source path + receipt + raw/export status + claim/edge/risk delta</x:v>
      </x:c>
      <x:c r="I419" s="15" t="str">
        <x:v>packet/SWARM-03-H11-S10</x:v>
      </x:c>
      <x:c r="J419" s="15" t="str">
        <x:v>TODO</x:v>
      </x:c>
      <x:c r="K419" s="15" t="str">
        <x:v>P2</x:v>
      </x:c>
      <x:c r="L419" s="15" t="str">
        <x:v>Done only when evidence is logged, contradiction search is noted, and boundary stamp remains non-canon unless ratified</x:v>
      </x:c>
      <x:c r="M419" s="15" t="str">
        <x:v>candidate / staging-only / not canon / not deployed / authority none</x:v>
      </x:c>
      <x:c r="N419" s="15" t="str">
        <x:v>Dispatch to KairoBrain: complete Aetherforge UX x Human-Root; return deltas only, receipts required.</x:v>
      </x:c>
      <x:c r="O419" s="15" t="str">
        <x:v>AF-KG-H11-S10</x:v>
      </x:c>
      <x:c r="P419" s="15" t="str">
        <x:v>Unverified</x:v>
      </x:c>
      <x:c r="Q419" s="15" t="str">
        <x:v>Not checked</x:v>
      </x:c>
      <x:c r="R419" s="15" t="str"/>
      <x:c r="S419" s="15" t="str"/>
      <x:c r="T419" s="15" t="str">
        <x:v>Log first source path or blocker</x:v>
      </x:c>
      <x:c r="U419" s="12" t="str">
        <x:f>IF(OR(P419="Unverified",Q419="Not checked"),"BLOCKED_PENDING_RECEIPT","READY_FOR_REVIEW")</x:f>
        <x:v>BLOCKED_PENDING_RECEIPT</x:v>
      </x:c>
      <x:c r="V419" s="12" t="str">
        <x:f>IF(J419="DONE","RETURNED",IF(U419="BLOCKED_PENDING_RECEIPT","SOURCE_TOUCH_REQUIRED","IN_PROGRESS"))</x:f>
        <x:v>SOURCE_TOUCH_REQUIRED</x:v>
      </x:c>
      <x:c r="W419" s="12" t="str">
        <x:f>IF(P419="Unverified","missing_receipt","receipt_logged")</x:f>
        <x:v>missing_receipt</x:v>
      </x:c>
      <x:c r="X419" s="12" t="str">
        <x:f>IF(Q419="Not checked","raw_status_missing","raw_status_logged")</x:f>
        <x:v>raw_status_missing</x:v>
      </x:c>
      <x:c r="Y419" s="12" t="str">
        <x:f>IF(U419="BLOCKED_PENDING_RECEIPT","Log source path or blocker; do not promote","Route to review lane")</x:f>
        <x:v>Log source path or blocker; do not promote</x:v>
      </x:c>
      <x:c r="Z419" s="12" t="str">
        <x:f>IF(K419="P0","Primary seat + Hashlight/Lucerna","Seat lane")</x:f>
        <x:v>Seat lane</x:v>
      </x:c>
      <x:c r="AA419" s="12" t="str">
        <x:f>IF(R419="","no_claim_delta","claim_delta_present")</x:f>
        <x:v>no_claim_delta</x:v>
      </x:c>
      <x:c r="AB419" s="12" t="str">
        <x:f>IF(S419="","no_contradiction_delta","contradiction_delta_present")</x:f>
        <x:v>no_contradiction_delta</x:v>
      </x:c>
      <x:c r="AC419" s="12" t="str">
        <x:f>IF(OR(ISNUMBER(SEARCH("hacker",LOWER(F419&amp;" "&amp;H419&amp;" "&amp;I419&amp;" "&amp;M419&amp;" "&amp;N419&amp;" "&amp;T419))),ISNUMBER(SEARCH("hacking",LOWER(F419&amp;" "&amp;H419&amp;" "&amp;I419&amp;" "&amp;M419&amp;" "&amp;N419&amp;" "&amp;T419))),ISNUMBER(SEARCH("bank",LOWER(F419&amp;" "&amp;H419&amp;" "&amp;I419&amp;" "&amp;M419&amp;" "&amp;N419&amp;" "&amp;T419))),ISNUMBER(SEARCH("banking",LOWER(F419&amp;" "&amp;H419&amp;" "&amp;I419&amp;" "&amp;M419&amp;" "&amp;N419&amp;" "&amp;T419)))),"PRIVATE_QUARANTINE",IF(OR(ISNUMBER(SEARCH("treasury",LOWER(F419&amp;" "&amp;H419&amp;" "&amp;I419&amp;" "&amp;M419&amp;" "&amp;N419&amp;" "&amp;T419))),ISNUMBER(SEARCH("debt",LOWER(F419&amp;" "&amp;H419&amp;" "&amp;I419&amp;" "&amp;M419&amp;" "&amp;N419&amp;" "&amp;T419))),ISNUMBER(SEARCH("bond",LOWER(F419&amp;" "&amp;H419&amp;" "&amp;I419&amp;" "&amp;M419&amp;" "&amp;N419&amp;" "&amp;T419))),ISNUMBER(SEARCH("transaction",LOWER(F419&amp;" "&amp;H419&amp;" "&amp;I419&amp;" "&amp;M419&amp;" "&amp;N419&amp;" "&amp;T419)))),"PRIVATE_REVIEW","PUBLIC_CANDIDATE"))</x:f>
        <x:v>PUBLIC_CANDIDATE</x:v>
      </x:c>
      <x:c r="AD419" s="12" t="str">
        <x:f>IF(AC419="PRIVATE_QUARANTINE","hacker_or_bank_trigger",IF(AC419="PRIVATE_REVIEW","finance_risk_trigger","none"))</x:f>
        <x:v>none</x:v>
      </x:c>
      <x:c r="AE419" s="12" t="str">
        <x:f>IF(AC419="PUBLIC_CANDIDATE","prepare_public_github_candidate",IF(AC419="PRIVATE_REVIEW","hold_for_private_review","quarantine_private_do_not_publish"))</x:f>
        <x:v>prepare_public_github_candidate</x:v>
      </x:c>
      <x:c r="AF419" s="12" t="str">
        <x:f>IF(AC419="PUBLIC_CANDIDATE","TIDELOCK + Lucerna",IF(AC419="PRIVATE_REVIEW","AtlasBrain + Lucerna","TIDELOCK + Lucerna + Human-root"))</x:f>
        <x:v>TIDELOCK + Lucerna</x:v>
      </x:c>
      <x:c r="AG419" s="12" t="str">
        <x:f>IF(AND(AC419="PUBLIC_CANDIDATE",U419&lt;&gt;"BLOCKED_PENDING_RECEIPT"),"READY_AFTER_RECEIPT","NOT_READY")</x:f>
        <x:v>NOT_READY</x:v>
      </x:c>
      <x:c r="AH419" s="12" t="str">
        <x:f>IF(AC419="PUBLIC_CANDIDATE","none",AD419)</x:f>
        <x:v>none</x:v>
      </x:c>
      <x:c r="AI419" s="12" t="str">
        <x:f>IF(AC419="PUBLIC_CANDIDATE","archive/public_candidates/"&amp;A419,"private_quarantine/"&amp;A419)</x:f>
        <x:v>archive/public_candidates/SWARM-03-H11-S10</x:v>
      </x:c>
      <x:c r="AJ419" s="12" t="str">
        <x:f>IF(AC419="PUBLIC_CANDIDATE","public by default; still not canon","private/hold; do not publish")</x:f>
        <x:v>public by default; still not canon</x:v>
      </x:c>
      <x:c r="AK419" s="12" t="str">
        <x:f>IF(AE419="prepare_public_github_candidate","add receipt/status then mirror","resolve blocker before any public GitHub action")</x:f>
        <x:v>add receipt/status then mirror</x:v>
      </x:c>
    </x:row>
    <x:row r="420">
      <x:c r="A420" s="15" t="str">
        <x:v>SWARM-03-H11-S11</x:v>
      </x:c>
      <x:c r="B420" s="15" t="str">
        <x:v>KairoBrain</x:v>
      </x:c>
      <x:c r="C420" s="15" t="str">
        <x:v>Temporal strata keeper</x:v>
      </x:c>
      <x:c r="D420" s="15" t="str">
        <x:v>Aetherforge UX</x:v>
      </x:c>
      <x:c r="E420" s="15" t="str">
        <x:v>Automation</x:v>
      </x:c>
      <x:c r="F420" s="15" t="str">
        <x:v>Design quest card for Automation — KairoBrain</x:v>
      </x:c>
      <x:c r="G420" s="15" t="str">
        <x:v>staleness / versioning / supersession</x:v>
      </x:c>
      <x:c r="H420" s="15" t="str">
        <x:v>source path + receipt + raw/export status + claim/edge/risk delta</x:v>
      </x:c>
      <x:c r="I420" s="15" t="str">
        <x:v>packet/SWARM-03-H11-S11</x:v>
      </x:c>
      <x:c r="J420" s="15" t="str">
        <x:v>TODO</x:v>
      </x:c>
      <x:c r="K420" s="15" t="str">
        <x:v>P2</x:v>
      </x:c>
      <x:c r="L420" s="15" t="str">
        <x:v>Done only when evidence is logged, contradiction search is noted, and boundary stamp remains non-canon unless ratified</x:v>
      </x:c>
      <x:c r="M420" s="15" t="str">
        <x:v>candidate / staging-only / not canon / not deployed / authority none</x:v>
      </x:c>
      <x:c r="N420" s="15" t="str">
        <x:v>Dispatch to KairoBrain: complete Aetherforge UX x Automation; return deltas only, receipts required.</x:v>
      </x:c>
      <x:c r="O420" s="15" t="str">
        <x:v>AF-KG-H11-S11</x:v>
      </x:c>
      <x:c r="P420" s="15" t="str">
        <x:v>Unverified</x:v>
      </x:c>
      <x:c r="Q420" s="15" t="str">
        <x:v>Not checked</x:v>
      </x:c>
      <x:c r="R420" s="15" t="str"/>
      <x:c r="S420" s="15" t="str"/>
      <x:c r="T420" s="15" t="str">
        <x:v>Log first source path or blocker</x:v>
      </x:c>
      <x:c r="U420" s="12" t="str">
        <x:f>IF(OR(P420="Unverified",Q420="Not checked"),"BLOCKED_PENDING_RECEIPT","READY_FOR_REVIEW")</x:f>
        <x:v>BLOCKED_PENDING_RECEIPT</x:v>
      </x:c>
      <x:c r="V420" s="12" t="str">
        <x:f>IF(J420="DONE","RETURNED",IF(U420="BLOCKED_PENDING_RECEIPT","SOURCE_TOUCH_REQUIRED","IN_PROGRESS"))</x:f>
        <x:v>SOURCE_TOUCH_REQUIRED</x:v>
      </x:c>
      <x:c r="W420" s="12" t="str">
        <x:f>IF(P420="Unverified","missing_receipt","receipt_logged")</x:f>
        <x:v>missing_receipt</x:v>
      </x:c>
      <x:c r="X420" s="12" t="str">
        <x:f>IF(Q420="Not checked","raw_status_missing","raw_status_logged")</x:f>
        <x:v>raw_status_missing</x:v>
      </x:c>
      <x:c r="Y420" s="12" t="str">
        <x:f>IF(U420="BLOCKED_PENDING_RECEIPT","Log source path or blocker; do not promote","Route to review lane")</x:f>
        <x:v>Log source path or blocker; do not promote</x:v>
      </x:c>
      <x:c r="Z420" s="12" t="str">
        <x:f>IF(K420="P0","Primary seat + Hashlight/Lucerna","Seat lane")</x:f>
        <x:v>Seat lane</x:v>
      </x:c>
      <x:c r="AA420" s="12" t="str">
        <x:f>IF(R420="","no_claim_delta","claim_delta_present")</x:f>
        <x:v>no_claim_delta</x:v>
      </x:c>
      <x:c r="AB420" s="12" t="str">
        <x:f>IF(S420="","no_contradiction_delta","contradiction_delta_present")</x:f>
        <x:v>no_contradiction_delta</x:v>
      </x:c>
      <x:c r="AC420" s="12" t="str">
        <x:f>IF(OR(ISNUMBER(SEARCH("hacker",LOWER(F420&amp;" "&amp;H420&amp;" "&amp;I420&amp;" "&amp;M420&amp;" "&amp;N420&amp;" "&amp;T420))),ISNUMBER(SEARCH("hacking",LOWER(F420&amp;" "&amp;H420&amp;" "&amp;I420&amp;" "&amp;M420&amp;" "&amp;N420&amp;" "&amp;T420))),ISNUMBER(SEARCH("bank",LOWER(F420&amp;" "&amp;H420&amp;" "&amp;I420&amp;" "&amp;M420&amp;" "&amp;N420&amp;" "&amp;T420))),ISNUMBER(SEARCH("banking",LOWER(F420&amp;" "&amp;H420&amp;" "&amp;I420&amp;" "&amp;M420&amp;" "&amp;N420&amp;" "&amp;T420)))),"PRIVATE_QUARANTINE",IF(OR(ISNUMBER(SEARCH("treasury",LOWER(F420&amp;" "&amp;H420&amp;" "&amp;I420&amp;" "&amp;M420&amp;" "&amp;N420&amp;" "&amp;T420))),ISNUMBER(SEARCH("debt",LOWER(F420&amp;" "&amp;H420&amp;" "&amp;I420&amp;" "&amp;M420&amp;" "&amp;N420&amp;" "&amp;T420))),ISNUMBER(SEARCH("bond",LOWER(F420&amp;" "&amp;H420&amp;" "&amp;I420&amp;" "&amp;M420&amp;" "&amp;N420&amp;" "&amp;T420))),ISNUMBER(SEARCH("transaction",LOWER(F420&amp;" "&amp;H420&amp;" "&amp;I420&amp;" "&amp;M420&amp;" "&amp;N420&amp;" "&amp;T420)))),"PRIVATE_REVIEW","PUBLIC_CANDIDATE"))</x:f>
        <x:v>PUBLIC_CANDIDATE</x:v>
      </x:c>
      <x:c r="AD420" s="12" t="str">
        <x:f>IF(AC420="PRIVATE_QUARANTINE","hacker_or_bank_trigger",IF(AC420="PRIVATE_REVIEW","finance_risk_trigger","none"))</x:f>
        <x:v>none</x:v>
      </x:c>
      <x:c r="AE420" s="12" t="str">
        <x:f>IF(AC420="PUBLIC_CANDIDATE","prepare_public_github_candidate",IF(AC420="PRIVATE_REVIEW","hold_for_private_review","quarantine_private_do_not_publish"))</x:f>
        <x:v>prepare_public_github_candidate</x:v>
      </x:c>
      <x:c r="AF420" s="12" t="str">
        <x:f>IF(AC420="PUBLIC_CANDIDATE","TIDELOCK + Lucerna",IF(AC420="PRIVATE_REVIEW","AtlasBrain + Lucerna","TIDELOCK + Lucerna + Human-root"))</x:f>
        <x:v>TIDELOCK + Lucerna</x:v>
      </x:c>
      <x:c r="AG420" s="12" t="str">
        <x:f>IF(AND(AC420="PUBLIC_CANDIDATE",U420&lt;&gt;"BLOCKED_PENDING_RECEIPT"),"READY_AFTER_RECEIPT","NOT_READY")</x:f>
        <x:v>NOT_READY</x:v>
      </x:c>
      <x:c r="AH420" s="12" t="str">
        <x:f>IF(AC420="PUBLIC_CANDIDATE","none",AD420)</x:f>
        <x:v>none</x:v>
      </x:c>
      <x:c r="AI420" s="12" t="str">
        <x:f>IF(AC420="PUBLIC_CANDIDATE","archive/public_candidates/"&amp;A420,"private_quarantine/"&amp;A420)</x:f>
        <x:v>archive/public_candidates/SWARM-03-H11-S11</x:v>
      </x:c>
      <x:c r="AJ420" s="12" t="str">
        <x:f>IF(AC420="PUBLIC_CANDIDATE","public by default; still not canon","private/hold; do not publish")</x:f>
        <x:v>public by default; still not canon</x:v>
      </x:c>
      <x:c r="AK420" s="12" t="str">
        <x:f>IF(AE420="prepare_public_github_candidate","add receipt/status then mirror","resolve blocker before any public GitHub action")</x:f>
        <x:v>add receipt/status then mirror</x:v>
      </x:c>
    </x:row>
    <x:row r="421">
      <x:c r="A421" s="15" t="str">
        <x:v>SWARM-03-H11-S12</x:v>
      </x:c>
      <x:c r="B421" s="15" t="str">
        <x:v>KairoBrain</x:v>
      </x:c>
      <x:c r="C421" s="15" t="str">
        <x:v>Temporal strata keeper</x:v>
      </x:c>
      <x:c r="D421" s="15" t="str">
        <x:v>Aetherforge UX</x:v>
      </x:c>
      <x:c r="E421" s="15" t="str">
        <x:v>Risk / Safety</x:v>
      </x:c>
      <x:c r="F421" s="15" t="str">
        <x:v>Design quest card for Risk / Safety — KairoBrain</x:v>
      </x:c>
      <x:c r="G421" s="15" t="str">
        <x:v>staleness / versioning / supersession</x:v>
      </x:c>
      <x:c r="H421" s="15" t="str">
        <x:v>source path + receipt + raw/export status + claim/edge/risk delta</x:v>
      </x:c>
      <x:c r="I421" s="15" t="str">
        <x:v>packet/SWARM-03-H11-S12</x:v>
      </x:c>
      <x:c r="J421" s="15" t="str">
        <x:v>TODO</x:v>
      </x:c>
      <x:c r="K421" s="15" t="str">
        <x:v>P2</x:v>
      </x:c>
      <x:c r="L421" s="15" t="str">
        <x:v>Done only when evidence is logged, contradiction search is noted, and boundary stamp remains non-canon unless ratified</x:v>
      </x:c>
      <x:c r="M421" s="15" t="str">
        <x:v>candidate / staging-only / not canon / not deployed / authority none</x:v>
      </x:c>
      <x:c r="N421" s="15" t="str">
        <x:v>Dispatch to KairoBrain: complete Aetherforge UX x Risk / Safety; return deltas only, receipts required.</x:v>
      </x:c>
      <x:c r="O421" s="15" t="str">
        <x:v>AF-KG-H11-S12</x:v>
      </x:c>
      <x:c r="P421" s="15" t="str">
        <x:v>Unverified</x:v>
      </x:c>
      <x:c r="Q421" s="15" t="str">
        <x:v>Not checked</x:v>
      </x:c>
      <x:c r="R421" s="15" t="str"/>
      <x:c r="S421" s="15" t="str"/>
      <x:c r="T421" s="15" t="str">
        <x:v>Log first source path or blocker</x:v>
      </x:c>
      <x:c r="U421" s="12" t="str">
        <x:f>IF(OR(P421="Unverified",Q421="Not checked"),"BLOCKED_PENDING_RECEIPT","READY_FOR_REVIEW")</x:f>
        <x:v>BLOCKED_PENDING_RECEIPT</x:v>
      </x:c>
      <x:c r="V421" s="12" t="str">
        <x:f>IF(J421="DONE","RETURNED",IF(U421="BLOCKED_PENDING_RECEIPT","SOURCE_TOUCH_REQUIRED","IN_PROGRESS"))</x:f>
        <x:v>SOURCE_TOUCH_REQUIRED</x:v>
      </x:c>
      <x:c r="W421" s="12" t="str">
        <x:f>IF(P421="Unverified","missing_receipt","receipt_logged")</x:f>
        <x:v>missing_receipt</x:v>
      </x:c>
      <x:c r="X421" s="12" t="str">
        <x:f>IF(Q421="Not checked","raw_status_missing","raw_status_logged")</x:f>
        <x:v>raw_status_missing</x:v>
      </x:c>
      <x:c r="Y421" s="12" t="str">
        <x:f>IF(U421="BLOCKED_PENDING_RECEIPT","Log source path or blocker; do not promote","Route to review lane")</x:f>
        <x:v>Log source path or blocker; do not promote</x:v>
      </x:c>
      <x:c r="Z421" s="12" t="str">
        <x:f>IF(K421="P0","Primary seat + Hashlight/Lucerna","Seat lane")</x:f>
        <x:v>Seat lane</x:v>
      </x:c>
      <x:c r="AA421" s="12" t="str">
        <x:f>IF(R421="","no_claim_delta","claim_delta_present")</x:f>
        <x:v>no_claim_delta</x:v>
      </x:c>
      <x:c r="AB421" s="12" t="str">
        <x:f>IF(S421="","no_contradiction_delta","contradiction_delta_present")</x:f>
        <x:v>no_contradiction_delta</x:v>
      </x:c>
      <x:c r="AC421" s="12" t="str">
        <x:f>IF(OR(ISNUMBER(SEARCH("hacker",LOWER(F421&amp;" "&amp;H421&amp;" "&amp;I421&amp;" "&amp;M421&amp;" "&amp;N421&amp;" "&amp;T421))),ISNUMBER(SEARCH("hacking",LOWER(F421&amp;" "&amp;H421&amp;" "&amp;I421&amp;" "&amp;M421&amp;" "&amp;N421&amp;" "&amp;T421))),ISNUMBER(SEARCH("bank",LOWER(F421&amp;" "&amp;H421&amp;" "&amp;I421&amp;" "&amp;M421&amp;" "&amp;N421&amp;" "&amp;T421))),ISNUMBER(SEARCH("banking",LOWER(F421&amp;" "&amp;H421&amp;" "&amp;I421&amp;" "&amp;M421&amp;" "&amp;N421&amp;" "&amp;T421)))),"PRIVATE_QUARANTINE",IF(OR(ISNUMBER(SEARCH("treasury",LOWER(F421&amp;" "&amp;H421&amp;" "&amp;I421&amp;" "&amp;M421&amp;" "&amp;N421&amp;" "&amp;T421))),ISNUMBER(SEARCH("debt",LOWER(F421&amp;" "&amp;H421&amp;" "&amp;I421&amp;" "&amp;M421&amp;" "&amp;N421&amp;" "&amp;T421))),ISNUMBER(SEARCH("bond",LOWER(F421&amp;" "&amp;H421&amp;" "&amp;I421&amp;" "&amp;M421&amp;" "&amp;N421&amp;" "&amp;T421))),ISNUMBER(SEARCH("transaction",LOWER(F421&amp;" "&amp;H421&amp;" "&amp;I421&amp;" "&amp;M421&amp;" "&amp;N421&amp;" "&amp;T421)))),"PRIVATE_REVIEW","PUBLIC_CANDIDATE"))</x:f>
        <x:v>PUBLIC_CANDIDATE</x:v>
      </x:c>
      <x:c r="AD421" s="12" t="str">
        <x:f>IF(AC421="PRIVATE_QUARANTINE","hacker_or_bank_trigger",IF(AC421="PRIVATE_REVIEW","finance_risk_trigger","none"))</x:f>
        <x:v>none</x:v>
      </x:c>
      <x:c r="AE421" s="12" t="str">
        <x:f>IF(AC421="PUBLIC_CANDIDATE","prepare_public_github_candidate",IF(AC421="PRIVATE_REVIEW","hold_for_private_review","quarantine_private_do_not_publish"))</x:f>
        <x:v>prepare_public_github_candidate</x:v>
      </x:c>
      <x:c r="AF421" s="12" t="str">
        <x:f>IF(AC421="PUBLIC_CANDIDATE","TIDELOCK + Lucerna",IF(AC421="PRIVATE_REVIEW","AtlasBrain + Lucerna","TIDELOCK + Lucerna + Human-root"))</x:f>
        <x:v>TIDELOCK + Lucerna</x:v>
      </x:c>
      <x:c r="AG421" s="12" t="str">
        <x:f>IF(AND(AC421="PUBLIC_CANDIDATE",U421&lt;&gt;"BLOCKED_PENDING_RECEIPT"),"READY_AFTER_RECEIPT","NOT_READY")</x:f>
        <x:v>NOT_READY</x:v>
      </x:c>
      <x:c r="AH421" s="12" t="str">
        <x:f>IF(AC421="PUBLIC_CANDIDATE","none",AD421)</x:f>
        <x:v>none</x:v>
      </x:c>
      <x:c r="AI421" s="12" t="str">
        <x:f>IF(AC421="PUBLIC_CANDIDATE","archive/public_candidates/"&amp;A421,"private_quarantine/"&amp;A421)</x:f>
        <x:v>archive/public_candidates/SWARM-03-H11-S12</x:v>
      </x:c>
      <x:c r="AJ421" s="12" t="str">
        <x:f>IF(AC421="PUBLIC_CANDIDATE","public by default; still not canon","private/hold; do not publish")</x:f>
        <x:v>public by default; still not canon</x:v>
      </x:c>
      <x:c r="AK421" s="12" t="str">
        <x:f>IF(AE421="prepare_public_github_candidate","add receipt/status then mirror","resolve blocker before any public GitHub action")</x:f>
        <x:v>add receipt/status then mirror</x:v>
      </x:c>
    </x:row>
    <x:row r="422">
      <x:c r="A422" s="15" t="str">
        <x:v>SWARM-03-H12-S01</x:v>
      </x:c>
      <x:c r="B422" s="15" t="str">
        <x:v>KairoBrain</x:v>
      </x:c>
      <x:c r="C422" s="15" t="str">
        <x:v>Temporal strata keeper</x:v>
      </x:c>
      <x:c r="D422" s="15" t="str">
        <x:v>Canon-Gate Prep</x:v>
      </x:c>
      <x:c r="E422" s="15" t="str">
        <x:v>Notion</x:v>
      </x:c>
      <x:c r="F422" s="15" t="str">
        <x:v>Prepare canon-gate brief for Notion — KairoBrain</x:v>
      </x:c>
      <x:c r="G422" s="15" t="str">
        <x:v>staleness / versioning / supersession</x:v>
      </x:c>
      <x:c r="H422" s="15" t="str">
        <x:v>source path + receipt + raw/export status + claim/edge/risk delta</x:v>
      </x:c>
      <x:c r="I422" s="15" t="str">
        <x:v>packet/SWARM-03-H12-S01</x:v>
      </x:c>
      <x:c r="J422" s="15" t="str">
        <x:v>TODO</x:v>
      </x:c>
      <x:c r="K422" s="15" t="str">
        <x:v>P0</x:v>
      </x:c>
      <x:c r="L422" s="15" t="str">
        <x:v>Done only when evidence is logged, contradiction search is noted, and boundary stamp remains non-canon unless ratified</x:v>
      </x:c>
      <x:c r="M422" s="15" t="str">
        <x:v>candidate / staging-only / not canon / not deployed / authority none</x:v>
      </x:c>
      <x:c r="N422" s="15" t="str">
        <x:v>Dispatch to KairoBrain: complete Canon-Gate Prep x Notion; return deltas only, receipts required.</x:v>
      </x:c>
      <x:c r="O422" s="15" t="str">
        <x:v>AF-KG-H12-S01</x:v>
      </x:c>
      <x:c r="P422" s="15" t="str">
        <x:v>Unverified</x:v>
      </x:c>
      <x:c r="Q422" s="15" t="str">
        <x:v>Not checked</x:v>
      </x:c>
      <x:c r="R422" s="15" t="str"/>
      <x:c r="S422" s="15" t="str"/>
      <x:c r="T422" s="15" t="str">
        <x:v>Log first source path or blocker</x:v>
      </x:c>
      <x:c r="U422" s="12" t="str">
        <x:f>IF(OR(P422="Unverified",Q422="Not checked"),"BLOCKED_PENDING_RECEIPT","READY_FOR_REVIEW")</x:f>
        <x:v>BLOCKED_PENDING_RECEIPT</x:v>
      </x:c>
      <x:c r="V422" s="12" t="str">
        <x:f>IF(J422="DONE","RETURNED",IF(U422="BLOCKED_PENDING_RECEIPT","SOURCE_TOUCH_REQUIRED","IN_PROGRESS"))</x:f>
        <x:v>SOURCE_TOUCH_REQUIRED</x:v>
      </x:c>
      <x:c r="W422" s="12" t="str">
        <x:f>IF(P422="Unverified","missing_receipt","receipt_logged")</x:f>
        <x:v>missing_receipt</x:v>
      </x:c>
      <x:c r="X422" s="12" t="str">
        <x:f>IF(Q422="Not checked","raw_status_missing","raw_status_logged")</x:f>
        <x:v>raw_status_missing</x:v>
      </x:c>
      <x:c r="Y422" s="12" t="str">
        <x:f>IF(U422="BLOCKED_PENDING_RECEIPT","Log source path or blocker; do not promote","Route to review lane")</x:f>
        <x:v>Log source path or blocker; do not promote</x:v>
      </x:c>
      <x:c r="Z422" s="12" t="str">
        <x:f>IF(K422="P0","Primary seat + Hashlight/Lucerna","Seat lane")</x:f>
        <x:v>Primary seat + Hashlight/Lucerna</x:v>
      </x:c>
      <x:c r="AA422" s="12" t="str">
        <x:f>IF(R422="","no_claim_delta","claim_delta_present")</x:f>
        <x:v>no_claim_delta</x:v>
      </x:c>
      <x:c r="AB422" s="12" t="str">
        <x:f>IF(S422="","no_contradiction_delta","contradiction_delta_present")</x:f>
        <x:v>no_contradiction_delta</x:v>
      </x:c>
      <x:c r="AC422" s="12" t="str">
        <x:f>IF(OR(ISNUMBER(SEARCH("hacker",LOWER(F422&amp;" "&amp;H422&amp;" "&amp;I422&amp;" "&amp;M422&amp;" "&amp;N422&amp;" "&amp;T422))),ISNUMBER(SEARCH("hacking",LOWER(F422&amp;" "&amp;H422&amp;" "&amp;I422&amp;" "&amp;M422&amp;" "&amp;N422&amp;" "&amp;T422))),ISNUMBER(SEARCH("bank",LOWER(F422&amp;" "&amp;H422&amp;" "&amp;I422&amp;" "&amp;M422&amp;" "&amp;N422&amp;" "&amp;T422))),ISNUMBER(SEARCH("banking",LOWER(F422&amp;" "&amp;H422&amp;" "&amp;I422&amp;" "&amp;M422&amp;" "&amp;N422&amp;" "&amp;T422)))),"PRIVATE_QUARANTINE",IF(OR(ISNUMBER(SEARCH("treasury",LOWER(F422&amp;" "&amp;H422&amp;" "&amp;I422&amp;" "&amp;M422&amp;" "&amp;N422&amp;" "&amp;T422))),ISNUMBER(SEARCH("debt",LOWER(F422&amp;" "&amp;H422&amp;" "&amp;I422&amp;" "&amp;M422&amp;" "&amp;N422&amp;" "&amp;T422))),ISNUMBER(SEARCH("bond",LOWER(F422&amp;" "&amp;H422&amp;" "&amp;I422&amp;" "&amp;M422&amp;" "&amp;N422&amp;" "&amp;T422))),ISNUMBER(SEARCH("transaction",LOWER(F422&amp;" "&amp;H422&amp;" "&amp;I422&amp;" "&amp;M422&amp;" "&amp;N422&amp;" "&amp;T422)))),"PRIVATE_REVIEW","PUBLIC_CANDIDATE"))</x:f>
        <x:v>PUBLIC_CANDIDATE</x:v>
      </x:c>
      <x:c r="AD422" s="12" t="str">
        <x:f>IF(AC422="PRIVATE_QUARANTINE","hacker_or_bank_trigger",IF(AC422="PRIVATE_REVIEW","finance_risk_trigger","none"))</x:f>
        <x:v>none</x:v>
      </x:c>
      <x:c r="AE422" s="12" t="str">
        <x:f>IF(AC422="PUBLIC_CANDIDATE","prepare_public_github_candidate",IF(AC422="PRIVATE_REVIEW","hold_for_private_review","quarantine_private_do_not_publish"))</x:f>
        <x:v>prepare_public_github_candidate</x:v>
      </x:c>
      <x:c r="AF422" s="12" t="str">
        <x:f>IF(AC422="PUBLIC_CANDIDATE","TIDELOCK + Lucerna",IF(AC422="PRIVATE_REVIEW","AtlasBrain + Lucerna","TIDELOCK + Lucerna + Human-root"))</x:f>
        <x:v>TIDELOCK + Lucerna</x:v>
      </x:c>
      <x:c r="AG422" s="12" t="str">
        <x:f>IF(AND(AC422="PUBLIC_CANDIDATE",U422&lt;&gt;"BLOCKED_PENDING_RECEIPT"),"READY_AFTER_RECEIPT","NOT_READY")</x:f>
        <x:v>NOT_READY</x:v>
      </x:c>
      <x:c r="AH422" s="12" t="str">
        <x:f>IF(AC422="PUBLIC_CANDIDATE","none",AD422)</x:f>
        <x:v>none</x:v>
      </x:c>
      <x:c r="AI422" s="12" t="str">
        <x:f>IF(AC422="PUBLIC_CANDIDATE","archive/public_candidates/"&amp;A422,"private_quarantine/"&amp;A422)</x:f>
        <x:v>archive/public_candidates/SWARM-03-H12-S01</x:v>
      </x:c>
      <x:c r="AJ422" s="12" t="str">
        <x:f>IF(AC422="PUBLIC_CANDIDATE","public by default; still not canon","private/hold; do not publish")</x:f>
        <x:v>public by default; still not canon</x:v>
      </x:c>
      <x:c r="AK422" s="12" t="str">
        <x:f>IF(AE422="prepare_public_github_candidate","add receipt/status then mirror","resolve blocker before any public GitHub action")</x:f>
        <x:v>add receipt/status then mirror</x:v>
      </x:c>
    </x:row>
    <x:row r="423">
      <x:c r="A423" s="15" t="str">
        <x:v>SWARM-03-H12-S02</x:v>
      </x:c>
      <x:c r="B423" s="15" t="str">
        <x:v>KairoBrain</x:v>
      </x:c>
      <x:c r="C423" s="15" t="str">
        <x:v>Temporal strata keeper</x:v>
      </x:c>
      <x:c r="D423" s="15" t="str">
        <x:v>Canon-Gate Prep</x:v>
      </x:c>
      <x:c r="E423" s="15" t="str">
        <x:v>Drive</x:v>
      </x:c>
      <x:c r="F423" s="15" t="str">
        <x:v>Prepare canon-gate brief for Drive — KairoBrain</x:v>
      </x:c>
      <x:c r="G423" s="15" t="str">
        <x:v>staleness / versioning / supersession</x:v>
      </x:c>
      <x:c r="H423" s="15" t="str">
        <x:v>source path + receipt + raw/export status + claim/edge/risk delta</x:v>
      </x:c>
      <x:c r="I423" s="15" t="str">
        <x:v>packet/SWARM-03-H12-S02</x:v>
      </x:c>
      <x:c r="J423" s="15" t="str">
        <x:v>TODO</x:v>
      </x:c>
      <x:c r="K423" s="15" t="str">
        <x:v>P0</x:v>
      </x:c>
      <x:c r="L423" s="15" t="str">
        <x:v>Done only when evidence is logged, contradiction search is noted, and boundary stamp remains non-canon unless ratified</x:v>
      </x:c>
      <x:c r="M423" s="15" t="str">
        <x:v>candidate / staging-only / not canon / not deployed / authority none</x:v>
      </x:c>
      <x:c r="N423" s="15" t="str">
        <x:v>Dispatch to KairoBrain: complete Canon-Gate Prep x Drive; return deltas only, receipts required.</x:v>
      </x:c>
      <x:c r="O423" s="15" t="str">
        <x:v>AF-KG-H12-S02</x:v>
      </x:c>
      <x:c r="P423" s="15" t="str">
        <x:v>Unverified</x:v>
      </x:c>
      <x:c r="Q423" s="15" t="str">
        <x:v>Not checked</x:v>
      </x:c>
      <x:c r="R423" s="15" t="str"/>
      <x:c r="S423" s="15" t="str"/>
      <x:c r="T423" s="15" t="str">
        <x:v>Log first source path or blocker</x:v>
      </x:c>
      <x:c r="U423" s="12" t="str">
        <x:f>IF(OR(P423="Unverified",Q423="Not checked"),"BLOCKED_PENDING_RECEIPT","READY_FOR_REVIEW")</x:f>
        <x:v>BLOCKED_PENDING_RECEIPT</x:v>
      </x:c>
      <x:c r="V423" s="12" t="str">
        <x:f>IF(J423="DONE","RETURNED",IF(U423="BLOCKED_PENDING_RECEIPT","SOURCE_TOUCH_REQUIRED","IN_PROGRESS"))</x:f>
        <x:v>SOURCE_TOUCH_REQUIRED</x:v>
      </x:c>
      <x:c r="W423" s="12" t="str">
        <x:f>IF(P423="Unverified","missing_receipt","receipt_logged")</x:f>
        <x:v>missing_receipt</x:v>
      </x:c>
      <x:c r="X423" s="12" t="str">
        <x:f>IF(Q423="Not checked","raw_status_missing","raw_status_logged")</x:f>
        <x:v>raw_status_missing</x:v>
      </x:c>
      <x:c r="Y423" s="12" t="str">
        <x:f>IF(U423="BLOCKED_PENDING_RECEIPT","Log source path or blocker; do not promote","Route to review lane")</x:f>
        <x:v>Log source path or blocker; do not promote</x:v>
      </x:c>
      <x:c r="Z423" s="12" t="str">
        <x:f>IF(K423="P0","Primary seat + Hashlight/Lucerna","Seat lane")</x:f>
        <x:v>Primary seat + Hashlight/Lucerna</x:v>
      </x:c>
      <x:c r="AA423" s="12" t="str">
        <x:f>IF(R423="","no_claim_delta","claim_delta_present")</x:f>
        <x:v>no_claim_delta</x:v>
      </x:c>
      <x:c r="AB423" s="12" t="str">
        <x:f>IF(S423="","no_contradiction_delta","contradiction_delta_present")</x:f>
        <x:v>no_contradiction_delta</x:v>
      </x:c>
      <x:c r="AC423" s="12" t="str">
        <x:f>IF(OR(ISNUMBER(SEARCH("hacker",LOWER(F423&amp;" "&amp;H423&amp;" "&amp;I423&amp;" "&amp;M423&amp;" "&amp;N423&amp;" "&amp;T423))),ISNUMBER(SEARCH("hacking",LOWER(F423&amp;" "&amp;H423&amp;" "&amp;I423&amp;" "&amp;M423&amp;" "&amp;N423&amp;" "&amp;T423))),ISNUMBER(SEARCH("bank",LOWER(F423&amp;" "&amp;H423&amp;" "&amp;I423&amp;" "&amp;M423&amp;" "&amp;N423&amp;" "&amp;T423))),ISNUMBER(SEARCH("banking",LOWER(F423&amp;" "&amp;H423&amp;" "&amp;I423&amp;" "&amp;M423&amp;" "&amp;N423&amp;" "&amp;T423)))),"PRIVATE_QUARANTINE",IF(OR(ISNUMBER(SEARCH("treasury",LOWER(F423&amp;" "&amp;H423&amp;" "&amp;I423&amp;" "&amp;M423&amp;" "&amp;N423&amp;" "&amp;T423))),ISNUMBER(SEARCH("debt",LOWER(F423&amp;" "&amp;H423&amp;" "&amp;I423&amp;" "&amp;M423&amp;" "&amp;N423&amp;" "&amp;T423))),ISNUMBER(SEARCH("bond",LOWER(F423&amp;" "&amp;H423&amp;" "&amp;I423&amp;" "&amp;M423&amp;" "&amp;N423&amp;" "&amp;T423))),ISNUMBER(SEARCH("transaction",LOWER(F423&amp;" "&amp;H423&amp;" "&amp;I423&amp;" "&amp;M423&amp;" "&amp;N423&amp;" "&amp;T423)))),"PRIVATE_REVIEW","PUBLIC_CANDIDATE"))</x:f>
        <x:v>PUBLIC_CANDIDATE</x:v>
      </x:c>
      <x:c r="AD423" s="12" t="str">
        <x:f>IF(AC423="PRIVATE_QUARANTINE","hacker_or_bank_trigger",IF(AC423="PRIVATE_REVIEW","finance_risk_trigger","none"))</x:f>
        <x:v>none</x:v>
      </x:c>
      <x:c r="AE423" s="12" t="str">
        <x:f>IF(AC423="PUBLIC_CANDIDATE","prepare_public_github_candidate",IF(AC423="PRIVATE_REVIEW","hold_for_private_review","quarantine_private_do_not_publish"))</x:f>
        <x:v>prepare_public_github_candidate</x:v>
      </x:c>
      <x:c r="AF423" s="12" t="str">
        <x:f>IF(AC423="PUBLIC_CANDIDATE","TIDELOCK + Lucerna",IF(AC423="PRIVATE_REVIEW","AtlasBrain + Lucerna","TIDELOCK + Lucerna + Human-root"))</x:f>
        <x:v>TIDELOCK + Lucerna</x:v>
      </x:c>
      <x:c r="AG423" s="12" t="str">
        <x:f>IF(AND(AC423="PUBLIC_CANDIDATE",U423&lt;&gt;"BLOCKED_PENDING_RECEIPT"),"READY_AFTER_RECEIPT","NOT_READY")</x:f>
        <x:v>NOT_READY</x:v>
      </x:c>
      <x:c r="AH423" s="12" t="str">
        <x:f>IF(AC423="PUBLIC_CANDIDATE","none",AD423)</x:f>
        <x:v>none</x:v>
      </x:c>
      <x:c r="AI423" s="12" t="str">
        <x:f>IF(AC423="PUBLIC_CANDIDATE","archive/public_candidates/"&amp;A423,"private_quarantine/"&amp;A423)</x:f>
        <x:v>archive/public_candidates/SWARM-03-H12-S02</x:v>
      </x:c>
      <x:c r="AJ423" s="12" t="str">
        <x:f>IF(AC423="PUBLIC_CANDIDATE","public by default; still not canon","private/hold; do not publish")</x:f>
        <x:v>public by default; still not canon</x:v>
      </x:c>
      <x:c r="AK423" s="12" t="str">
        <x:f>IF(AE423="prepare_public_github_candidate","add receipt/status then mirror","resolve blocker before any public GitHub action")</x:f>
        <x:v>add receipt/status then mirror</x:v>
      </x:c>
    </x:row>
    <x:row r="424">
      <x:c r="A424" s="15" t="str">
        <x:v>SWARM-03-H12-S03</x:v>
      </x:c>
      <x:c r="B424" s="15" t="str">
        <x:v>KairoBrain</x:v>
      </x:c>
      <x:c r="C424" s="15" t="str">
        <x:v>Temporal strata keeper</x:v>
      </x:c>
      <x:c r="D424" s="15" t="str">
        <x:v>Canon-Gate Prep</x:v>
      </x:c>
      <x:c r="E424" s="15" t="str">
        <x:v>GitHub</x:v>
      </x:c>
      <x:c r="F424" s="15" t="str">
        <x:v>Prepare canon-gate brief for GitHub — KairoBrain</x:v>
      </x:c>
      <x:c r="G424" s="15" t="str">
        <x:v>staleness / versioning / supersession</x:v>
      </x:c>
      <x:c r="H424" s="15" t="str">
        <x:v>source path + receipt + raw/export status + claim/edge/risk delta</x:v>
      </x:c>
      <x:c r="I424" s="15" t="str">
        <x:v>packet/SWARM-03-H12-S03</x:v>
      </x:c>
      <x:c r="J424" s="15" t="str">
        <x:v>TODO</x:v>
      </x:c>
      <x:c r="K424" s="15" t="str">
        <x:v>P0</x:v>
      </x:c>
      <x:c r="L424" s="15" t="str">
        <x:v>Done only when evidence is logged, contradiction search is noted, and boundary stamp remains non-canon unless ratified</x:v>
      </x:c>
      <x:c r="M424" s="15" t="str">
        <x:v>candidate / staging-only / not canon / not deployed / authority none</x:v>
      </x:c>
      <x:c r="N424" s="15" t="str">
        <x:v>Dispatch to KairoBrain: complete Canon-Gate Prep x GitHub; return deltas only, receipts required.</x:v>
      </x:c>
      <x:c r="O424" s="15" t="str">
        <x:v>AF-KG-H12-S03</x:v>
      </x:c>
      <x:c r="P424" s="15" t="str">
        <x:v>Unverified</x:v>
      </x:c>
      <x:c r="Q424" s="15" t="str">
        <x:v>Not checked</x:v>
      </x:c>
      <x:c r="R424" s="15" t="str"/>
      <x:c r="S424" s="15" t="str"/>
      <x:c r="T424" s="15" t="str">
        <x:v>Log first source path or blocker</x:v>
      </x:c>
      <x:c r="U424" s="12" t="str">
        <x:f>IF(OR(P424="Unverified",Q424="Not checked"),"BLOCKED_PENDING_RECEIPT","READY_FOR_REVIEW")</x:f>
        <x:v>BLOCKED_PENDING_RECEIPT</x:v>
      </x:c>
      <x:c r="V424" s="12" t="str">
        <x:f>IF(J424="DONE","RETURNED",IF(U424="BLOCKED_PENDING_RECEIPT","SOURCE_TOUCH_REQUIRED","IN_PROGRESS"))</x:f>
        <x:v>SOURCE_TOUCH_REQUIRED</x:v>
      </x:c>
      <x:c r="W424" s="12" t="str">
        <x:f>IF(P424="Unverified","missing_receipt","receipt_logged")</x:f>
        <x:v>missing_receipt</x:v>
      </x:c>
      <x:c r="X424" s="12" t="str">
        <x:f>IF(Q424="Not checked","raw_status_missing","raw_status_logged")</x:f>
        <x:v>raw_status_missing</x:v>
      </x:c>
      <x:c r="Y424" s="12" t="str">
        <x:f>IF(U424="BLOCKED_PENDING_RECEIPT","Log source path or blocker; do not promote","Route to review lane")</x:f>
        <x:v>Log source path or blocker; do not promote</x:v>
      </x:c>
      <x:c r="Z424" s="12" t="str">
        <x:f>IF(K424="P0","Primary seat + Hashlight/Lucerna","Seat lane")</x:f>
        <x:v>Primary seat + Hashlight/Lucerna</x:v>
      </x:c>
      <x:c r="AA424" s="12" t="str">
        <x:f>IF(R424="","no_claim_delta","claim_delta_present")</x:f>
        <x:v>no_claim_delta</x:v>
      </x:c>
      <x:c r="AB424" s="12" t="str">
        <x:f>IF(S424="","no_contradiction_delta","contradiction_delta_present")</x:f>
        <x:v>no_contradiction_delta</x:v>
      </x:c>
      <x:c r="AC424" s="12" t="str">
        <x:f>IF(OR(ISNUMBER(SEARCH("hacker",LOWER(F424&amp;" "&amp;H424&amp;" "&amp;I424&amp;" "&amp;M424&amp;" "&amp;N424&amp;" "&amp;T424))),ISNUMBER(SEARCH("hacking",LOWER(F424&amp;" "&amp;H424&amp;" "&amp;I424&amp;" "&amp;M424&amp;" "&amp;N424&amp;" "&amp;T424))),ISNUMBER(SEARCH("bank",LOWER(F424&amp;" "&amp;H424&amp;" "&amp;I424&amp;" "&amp;M424&amp;" "&amp;N424&amp;" "&amp;T424))),ISNUMBER(SEARCH("banking",LOWER(F424&amp;" "&amp;H424&amp;" "&amp;I424&amp;" "&amp;M424&amp;" "&amp;N424&amp;" "&amp;T424)))),"PRIVATE_QUARANTINE",IF(OR(ISNUMBER(SEARCH("treasury",LOWER(F424&amp;" "&amp;H424&amp;" "&amp;I424&amp;" "&amp;M424&amp;" "&amp;N424&amp;" "&amp;T424))),ISNUMBER(SEARCH("debt",LOWER(F424&amp;" "&amp;H424&amp;" "&amp;I424&amp;" "&amp;M424&amp;" "&amp;N424&amp;" "&amp;T424))),ISNUMBER(SEARCH("bond",LOWER(F424&amp;" "&amp;H424&amp;" "&amp;I424&amp;" "&amp;M424&amp;" "&amp;N424&amp;" "&amp;T424))),ISNUMBER(SEARCH("transaction",LOWER(F424&amp;" "&amp;H424&amp;" "&amp;I424&amp;" "&amp;M424&amp;" "&amp;N424&amp;" "&amp;T424)))),"PRIVATE_REVIEW","PUBLIC_CANDIDATE"))</x:f>
        <x:v>PUBLIC_CANDIDATE</x:v>
      </x:c>
      <x:c r="AD424" s="12" t="str">
        <x:f>IF(AC424="PRIVATE_QUARANTINE","hacker_or_bank_trigger",IF(AC424="PRIVATE_REVIEW","finance_risk_trigger","none"))</x:f>
        <x:v>none</x:v>
      </x:c>
      <x:c r="AE424" s="12" t="str">
        <x:f>IF(AC424="PUBLIC_CANDIDATE","prepare_public_github_candidate",IF(AC424="PRIVATE_REVIEW","hold_for_private_review","quarantine_private_do_not_publish"))</x:f>
        <x:v>prepare_public_github_candidate</x:v>
      </x:c>
      <x:c r="AF424" s="12" t="str">
        <x:f>IF(AC424="PUBLIC_CANDIDATE","TIDELOCK + Lucerna",IF(AC424="PRIVATE_REVIEW","AtlasBrain + Lucerna","TIDELOCK + Lucerna + Human-root"))</x:f>
        <x:v>TIDELOCK + Lucerna</x:v>
      </x:c>
      <x:c r="AG424" s="12" t="str">
        <x:f>IF(AND(AC424="PUBLIC_CANDIDATE",U424&lt;&gt;"BLOCKED_PENDING_RECEIPT"),"READY_AFTER_RECEIPT","NOT_READY")</x:f>
        <x:v>NOT_READY</x:v>
      </x:c>
      <x:c r="AH424" s="12" t="str">
        <x:f>IF(AC424="PUBLIC_CANDIDATE","none",AD424)</x:f>
        <x:v>none</x:v>
      </x:c>
      <x:c r="AI424" s="12" t="str">
        <x:f>IF(AC424="PUBLIC_CANDIDATE","archive/public_candidates/"&amp;A424,"private_quarantine/"&amp;A424)</x:f>
        <x:v>archive/public_candidates/SWARM-03-H12-S03</x:v>
      </x:c>
      <x:c r="AJ424" s="12" t="str">
        <x:f>IF(AC424="PUBLIC_CANDIDATE","public by default; still not canon","private/hold; do not publish")</x:f>
        <x:v>public by default; still not canon</x:v>
      </x:c>
      <x:c r="AK424" s="12" t="str">
        <x:f>IF(AE424="prepare_public_github_candidate","add receipt/status then mirror","resolve blocker before any public GitHub action")</x:f>
        <x:v>add receipt/status then mirror</x:v>
      </x:c>
    </x:row>
    <x:row r="425">
      <x:c r="A425" s="15" t="str">
        <x:v>SWARM-03-H12-S04</x:v>
      </x:c>
      <x:c r="B425" s="15" t="str">
        <x:v>KairoBrain</x:v>
      </x:c>
      <x:c r="C425" s="15" t="str">
        <x:v>Temporal strata keeper</x:v>
      </x:c>
      <x:c r="D425" s="15" t="str">
        <x:v>Canon-Gate Prep</x:v>
      </x:c>
      <x:c r="E425" s="15" t="str">
        <x:v>Gamma</x:v>
      </x:c>
      <x:c r="F425" s="15" t="str">
        <x:v>Prepare canon-gate brief for Gamma — KairoBrain</x:v>
      </x:c>
      <x:c r="G425" s="15" t="str">
        <x:v>staleness / versioning / supersession</x:v>
      </x:c>
      <x:c r="H425" s="15" t="str">
        <x:v>source path + receipt + raw/export status + claim/edge/risk delta</x:v>
      </x:c>
      <x:c r="I425" s="15" t="str">
        <x:v>packet/SWARM-03-H12-S04</x:v>
      </x:c>
      <x:c r="J425" s="15" t="str">
        <x:v>TODO</x:v>
      </x:c>
      <x:c r="K425" s="15" t="str">
        <x:v>P1</x:v>
      </x:c>
      <x:c r="L425" s="15" t="str">
        <x:v>Done only when evidence is logged, contradiction search is noted, and boundary stamp remains non-canon unless ratified</x:v>
      </x:c>
      <x:c r="M425" s="15" t="str">
        <x:v>candidate / staging-only / not canon / not deployed / authority none</x:v>
      </x:c>
      <x:c r="N425" s="15" t="str">
        <x:v>Dispatch to KairoBrain: complete Canon-Gate Prep x Gamma; return deltas only, receipts required.</x:v>
      </x:c>
      <x:c r="O425" s="15" t="str">
        <x:v>AF-KG-H12-S04</x:v>
      </x:c>
      <x:c r="P425" s="15" t="str">
        <x:v>Unverified</x:v>
      </x:c>
      <x:c r="Q425" s="15" t="str">
        <x:v>Not checked</x:v>
      </x:c>
      <x:c r="R425" s="15" t="str"/>
      <x:c r="S425" s="15" t="str"/>
      <x:c r="T425" s="15" t="str">
        <x:v>Log first source path or blocker</x:v>
      </x:c>
      <x:c r="U425" s="12" t="str">
        <x:f>IF(OR(P425="Unverified",Q425="Not checked"),"BLOCKED_PENDING_RECEIPT","READY_FOR_REVIEW")</x:f>
        <x:v>BLOCKED_PENDING_RECEIPT</x:v>
      </x:c>
      <x:c r="V425" s="12" t="str">
        <x:f>IF(J425="DONE","RETURNED",IF(U425="BLOCKED_PENDING_RECEIPT","SOURCE_TOUCH_REQUIRED","IN_PROGRESS"))</x:f>
        <x:v>SOURCE_TOUCH_REQUIRED</x:v>
      </x:c>
      <x:c r="W425" s="12" t="str">
        <x:f>IF(P425="Unverified","missing_receipt","receipt_logged")</x:f>
        <x:v>missing_receipt</x:v>
      </x:c>
      <x:c r="X425" s="12" t="str">
        <x:f>IF(Q425="Not checked","raw_status_missing","raw_status_logged")</x:f>
        <x:v>raw_status_missing</x:v>
      </x:c>
      <x:c r="Y425" s="12" t="str">
        <x:f>IF(U425="BLOCKED_PENDING_RECEIPT","Log source path or blocker; do not promote","Route to review lane")</x:f>
        <x:v>Log source path or blocker; do not promote</x:v>
      </x:c>
      <x:c r="Z425" s="12" t="str">
        <x:f>IF(K425="P0","Primary seat + Hashlight/Lucerna","Seat lane")</x:f>
        <x:v>Seat lane</x:v>
      </x:c>
      <x:c r="AA425" s="12" t="str">
        <x:f>IF(R425="","no_claim_delta","claim_delta_present")</x:f>
        <x:v>no_claim_delta</x:v>
      </x:c>
      <x:c r="AB425" s="12" t="str">
        <x:f>IF(S425="","no_contradiction_delta","contradiction_delta_present")</x:f>
        <x:v>no_contradiction_delta</x:v>
      </x:c>
      <x:c r="AC425" s="12" t="str">
        <x:f>IF(OR(ISNUMBER(SEARCH("hacker",LOWER(F425&amp;" "&amp;H425&amp;" "&amp;I425&amp;" "&amp;M425&amp;" "&amp;N425&amp;" "&amp;T425))),ISNUMBER(SEARCH("hacking",LOWER(F425&amp;" "&amp;H425&amp;" "&amp;I425&amp;" "&amp;M425&amp;" "&amp;N425&amp;" "&amp;T425))),ISNUMBER(SEARCH("bank",LOWER(F425&amp;" "&amp;H425&amp;" "&amp;I425&amp;" "&amp;M425&amp;" "&amp;N425&amp;" "&amp;T425))),ISNUMBER(SEARCH("banking",LOWER(F425&amp;" "&amp;H425&amp;" "&amp;I425&amp;" "&amp;M425&amp;" "&amp;N425&amp;" "&amp;T425)))),"PRIVATE_QUARANTINE",IF(OR(ISNUMBER(SEARCH("treasury",LOWER(F425&amp;" "&amp;H425&amp;" "&amp;I425&amp;" "&amp;M425&amp;" "&amp;N425&amp;" "&amp;T425))),ISNUMBER(SEARCH("debt",LOWER(F425&amp;" "&amp;H425&amp;" "&amp;I425&amp;" "&amp;M425&amp;" "&amp;N425&amp;" "&amp;T425))),ISNUMBER(SEARCH("bond",LOWER(F425&amp;" "&amp;H425&amp;" "&amp;I425&amp;" "&amp;M425&amp;" "&amp;N425&amp;" "&amp;T425))),ISNUMBER(SEARCH("transaction",LOWER(F425&amp;" "&amp;H425&amp;" "&amp;I425&amp;" "&amp;M425&amp;" "&amp;N425&amp;" "&amp;T425)))),"PRIVATE_REVIEW","PUBLIC_CANDIDATE"))</x:f>
        <x:v>PUBLIC_CANDIDATE</x:v>
      </x:c>
      <x:c r="AD425" s="12" t="str">
        <x:f>IF(AC425="PRIVATE_QUARANTINE","hacker_or_bank_trigger",IF(AC425="PRIVATE_REVIEW","finance_risk_trigger","none"))</x:f>
        <x:v>none</x:v>
      </x:c>
      <x:c r="AE425" s="12" t="str">
        <x:f>IF(AC425="PUBLIC_CANDIDATE","prepare_public_github_candidate",IF(AC425="PRIVATE_REVIEW","hold_for_private_review","quarantine_private_do_not_publish"))</x:f>
        <x:v>prepare_public_github_candidate</x:v>
      </x:c>
      <x:c r="AF425" s="12" t="str">
        <x:f>IF(AC425="PUBLIC_CANDIDATE","TIDELOCK + Lucerna",IF(AC425="PRIVATE_REVIEW","AtlasBrain + Lucerna","TIDELOCK + Lucerna + Human-root"))</x:f>
        <x:v>TIDELOCK + Lucerna</x:v>
      </x:c>
      <x:c r="AG425" s="12" t="str">
        <x:f>IF(AND(AC425="PUBLIC_CANDIDATE",U425&lt;&gt;"BLOCKED_PENDING_RECEIPT"),"READY_AFTER_RECEIPT","NOT_READY")</x:f>
        <x:v>NOT_READY</x:v>
      </x:c>
      <x:c r="AH425" s="12" t="str">
        <x:f>IF(AC425="PUBLIC_CANDIDATE","none",AD425)</x:f>
        <x:v>none</x:v>
      </x:c>
      <x:c r="AI425" s="12" t="str">
        <x:f>IF(AC425="PUBLIC_CANDIDATE","archive/public_candidates/"&amp;A425,"private_quarantine/"&amp;A425)</x:f>
        <x:v>archive/public_candidates/SWARM-03-H12-S04</x:v>
      </x:c>
      <x:c r="AJ425" s="12" t="str">
        <x:f>IF(AC425="PUBLIC_CANDIDATE","public by default; still not canon","private/hold; do not publish")</x:f>
        <x:v>public by default; still not canon</x:v>
      </x:c>
      <x:c r="AK425" s="12" t="str">
        <x:f>IF(AE425="prepare_public_github_candidate","add receipt/status then mirror","resolve blocker before any public GitHub action")</x:f>
        <x:v>add receipt/status then mirror</x:v>
      </x:c>
    </x:row>
    <x:row r="426">
      <x:c r="A426" s="15" t="str">
        <x:v>SWARM-03-H12-S05</x:v>
      </x:c>
      <x:c r="B426" s="15" t="str">
        <x:v>KairoBrain</x:v>
      </x:c>
      <x:c r="C426" s="15" t="str">
        <x:v>Temporal strata keeper</x:v>
      </x:c>
      <x:c r="D426" s="15" t="str">
        <x:v>Canon-Gate Prep</x:v>
      </x:c>
      <x:c r="E426" s="15" t="str">
        <x:v>Chat</x:v>
      </x:c>
      <x:c r="F426" s="15" t="str">
        <x:v>Prepare canon-gate brief for Chat — KairoBrain</x:v>
      </x:c>
      <x:c r="G426" s="15" t="str">
        <x:v>staleness / versioning / supersession</x:v>
      </x:c>
      <x:c r="H426" s="15" t="str">
        <x:v>source path + receipt + raw/export status + claim/edge/risk delta</x:v>
      </x:c>
      <x:c r="I426" s="15" t="str">
        <x:v>packet/SWARM-03-H12-S05</x:v>
      </x:c>
      <x:c r="J426" s="15" t="str">
        <x:v>TODO</x:v>
      </x:c>
      <x:c r="K426" s="15" t="str">
        <x:v>P1</x:v>
      </x:c>
      <x:c r="L426" s="15" t="str">
        <x:v>Done only when evidence is logged, contradiction search is noted, and boundary stamp remains non-canon unless ratified</x:v>
      </x:c>
      <x:c r="M426" s="15" t="str">
        <x:v>candidate / staging-only / not canon / not deployed / authority none</x:v>
      </x:c>
      <x:c r="N426" s="15" t="str">
        <x:v>Dispatch to KairoBrain: complete Canon-Gate Prep x Chat; return deltas only, receipts required.</x:v>
      </x:c>
      <x:c r="O426" s="15" t="str">
        <x:v>AF-KG-H12-S05</x:v>
      </x:c>
      <x:c r="P426" s="15" t="str">
        <x:v>Unverified</x:v>
      </x:c>
      <x:c r="Q426" s="15" t="str">
        <x:v>Not checked</x:v>
      </x:c>
      <x:c r="R426" s="15" t="str"/>
      <x:c r="S426" s="15" t="str"/>
      <x:c r="T426" s="15" t="str">
        <x:v>Log first source path or blocker</x:v>
      </x:c>
      <x:c r="U426" s="12" t="str">
        <x:f>IF(OR(P426="Unverified",Q426="Not checked"),"BLOCKED_PENDING_RECEIPT","READY_FOR_REVIEW")</x:f>
        <x:v>BLOCKED_PENDING_RECEIPT</x:v>
      </x:c>
      <x:c r="V426" s="12" t="str">
        <x:f>IF(J426="DONE","RETURNED",IF(U426="BLOCKED_PENDING_RECEIPT","SOURCE_TOUCH_REQUIRED","IN_PROGRESS"))</x:f>
        <x:v>SOURCE_TOUCH_REQUIRED</x:v>
      </x:c>
      <x:c r="W426" s="12" t="str">
        <x:f>IF(P426="Unverified","missing_receipt","receipt_logged")</x:f>
        <x:v>missing_receipt</x:v>
      </x:c>
      <x:c r="X426" s="12" t="str">
        <x:f>IF(Q426="Not checked","raw_status_missing","raw_status_logged")</x:f>
        <x:v>raw_status_missing</x:v>
      </x:c>
      <x:c r="Y426" s="12" t="str">
        <x:f>IF(U426="BLOCKED_PENDING_RECEIPT","Log source path or blocker; do not promote","Route to review lane")</x:f>
        <x:v>Log source path or blocker; do not promote</x:v>
      </x:c>
      <x:c r="Z426" s="12" t="str">
        <x:f>IF(K426="P0","Primary seat + Hashlight/Lucerna","Seat lane")</x:f>
        <x:v>Seat lane</x:v>
      </x:c>
      <x:c r="AA426" s="12" t="str">
        <x:f>IF(R426="","no_claim_delta","claim_delta_present")</x:f>
        <x:v>no_claim_delta</x:v>
      </x:c>
      <x:c r="AB426" s="12" t="str">
        <x:f>IF(S426="","no_contradiction_delta","contradiction_delta_present")</x:f>
        <x:v>no_contradiction_delta</x:v>
      </x:c>
      <x:c r="AC426" s="12" t="str">
        <x:f>IF(OR(ISNUMBER(SEARCH("hacker",LOWER(F426&amp;" "&amp;H426&amp;" "&amp;I426&amp;" "&amp;M426&amp;" "&amp;N426&amp;" "&amp;T426))),ISNUMBER(SEARCH("hacking",LOWER(F426&amp;" "&amp;H426&amp;" "&amp;I426&amp;" "&amp;M426&amp;" "&amp;N426&amp;" "&amp;T426))),ISNUMBER(SEARCH("bank",LOWER(F426&amp;" "&amp;H426&amp;" "&amp;I426&amp;" "&amp;M426&amp;" "&amp;N426&amp;" "&amp;T426))),ISNUMBER(SEARCH("banking",LOWER(F426&amp;" "&amp;H426&amp;" "&amp;I426&amp;" "&amp;M426&amp;" "&amp;N426&amp;" "&amp;T426)))),"PRIVATE_QUARANTINE",IF(OR(ISNUMBER(SEARCH("treasury",LOWER(F426&amp;" "&amp;H426&amp;" "&amp;I426&amp;" "&amp;M426&amp;" "&amp;N426&amp;" "&amp;T426))),ISNUMBER(SEARCH("debt",LOWER(F426&amp;" "&amp;H426&amp;" "&amp;I426&amp;" "&amp;M426&amp;" "&amp;N426&amp;" "&amp;T426))),ISNUMBER(SEARCH("bond",LOWER(F426&amp;" "&amp;H426&amp;" "&amp;I426&amp;" "&amp;M426&amp;" "&amp;N426&amp;" "&amp;T426))),ISNUMBER(SEARCH("transaction",LOWER(F426&amp;" "&amp;H426&amp;" "&amp;I426&amp;" "&amp;M426&amp;" "&amp;N426&amp;" "&amp;T426)))),"PRIVATE_REVIEW","PUBLIC_CANDIDATE"))</x:f>
        <x:v>PUBLIC_CANDIDATE</x:v>
      </x:c>
      <x:c r="AD426" s="12" t="str">
        <x:f>IF(AC426="PRIVATE_QUARANTINE","hacker_or_bank_trigger",IF(AC426="PRIVATE_REVIEW","finance_risk_trigger","none"))</x:f>
        <x:v>none</x:v>
      </x:c>
      <x:c r="AE426" s="12" t="str">
        <x:f>IF(AC426="PUBLIC_CANDIDATE","prepare_public_github_candidate",IF(AC426="PRIVATE_REVIEW","hold_for_private_review","quarantine_private_do_not_publish"))</x:f>
        <x:v>prepare_public_github_candidate</x:v>
      </x:c>
      <x:c r="AF426" s="12" t="str">
        <x:f>IF(AC426="PUBLIC_CANDIDATE","TIDELOCK + Lucerna",IF(AC426="PRIVATE_REVIEW","AtlasBrain + Lucerna","TIDELOCK + Lucerna + Human-root"))</x:f>
        <x:v>TIDELOCK + Lucerna</x:v>
      </x:c>
      <x:c r="AG426" s="12" t="str">
        <x:f>IF(AND(AC426="PUBLIC_CANDIDATE",U426&lt;&gt;"BLOCKED_PENDING_RECEIPT"),"READY_AFTER_RECEIPT","NOT_READY")</x:f>
        <x:v>NOT_READY</x:v>
      </x:c>
      <x:c r="AH426" s="12" t="str">
        <x:f>IF(AC426="PUBLIC_CANDIDATE","none",AD426)</x:f>
        <x:v>none</x:v>
      </x:c>
      <x:c r="AI426" s="12" t="str">
        <x:f>IF(AC426="PUBLIC_CANDIDATE","archive/public_candidates/"&amp;A426,"private_quarantine/"&amp;A426)</x:f>
        <x:v>archive/public_candidates/SWARM-03-H12-S05</x:v>
      </x:c>
      <x:c r="AJ426" s="12" t="str">
        <x:f>IF(AC426="PUBLIC_CANDIDATE","public by default; still not canon","private/hold; do not publish")</x:f>
        <x:v>public by default; still not canon</x:v>
      </x:c>
      <x:c r="AK426" s="12" t="str">
        <x:f>IF(AE426="prepare_public_github_candidate","add receipt/status then mirror","resolve blocker before any public GitHub action")</x:f>
        <x:v>add receipt/status then mirror</x:v>
      </x:c>
    </x:row>
    <x:row r="427">
      <x:c r="A427" s="15" t="str">
        <x:v>SWARM-03-H12-S06</x:v>
      </x:c>
      <x:c r="B427" s="15" t="str">
        <x:v>KairoBrain</x:v>
      </x:c>
      <x:c r="C427" s="15" t="str">
        <x:v>Temporal strata keeper</x:v>
      </x:c>
      <x:c r="D427" s="15" t="str">
        <x:v>Canon-Gate Prep</x:v>
      </x:c>
      <x:c r="E427" s="15" t="str">
        <x:v>External Web</x:v>
      </x:c>
      <x:c r="F427" s="15" t="str">
        <x:v>Prepare canon-gate brief for External Web — KairoBrain</x:v>
      </x:c>
      <x:c r="G427" s="15" t="str">
        <x:v>staleness / versioning / supersession</x:v>
      </x:c>
      <x:c r="H427" s="15" t="str">
        <x:v>source path + receipt + raw/export status + claim/edge/risk delta</x:v>
      </x:c>
      <x:c r="I427" s="15" t="str">
        <x:v>packet/SWARM-03-H12-S06</x:v>
      </x:c>
      <x:c r="J427" s="15" t="str">
        <x:v>TODO</x:v>
      </x:c>
      <x:c r="K427" s="15" t="str">
        <x:v>P1</x:v>
      </x:c>
      <x:c r="L427" s="15" t="str">
        <x:v>Done only when evidence is logged, contradiction search is noted, and boundary stamp remains non-canon unless ratified</x:v>
      </x:c>
      <x:c r="M427" s="15" t="str">
        <x:v>candidate / staging-only / not canon / not deployed / authority none</x:v>
      </x:c>
      <x:c r="N427" s="15" t="str">
        <x:v>Dispatch to KairoBrain: complete Canon-Gate Prep x External Web; return deltas only, receipts required.</x:v>
      </x:c>
      <x:c r="O427" s="15" t="str">
        <x:v>AF-KG-H12-S06</x:v>
      </x:c>
      <x:c r="P427" s="15" t="str">
        <x:v>Unverified</x:v>
      </x:c>
      <x:c r="Q427" s="15" t="str">
        <x:v>Not checked</x:v>
      </x:c>
      <x:c r="R427" s="15" t="str"/>
      <x:c r="S427" s="15" t="str"/>
      <x:c r="T427" s="15" t="str">
        <x:v>Log first source path or blocker</x:v>
      </x:c>
      <x:c r="U427" s="12" t="str">
        <x:f>IF(OR(P427="Unverified",Q427="Not checked"),"BLOCKED_PENDING_RECEIPT","READY_FOR_REVIEW")</x:f>
        <x:v>BLOCKED_PENDING_RECEIPT</x:v>
      </x:c>
      <x:c r="V427" s="12" t="str">
        <x:f>IF(J427="DONE","RETURNED",IF(U427="BLOCKED_PENDING_RECEIPT","SOURCE_TOUCH_REQUIRED","IN_PROGRESS"))</x:f>
        <x:v>SOURCE_TOUCH_REQUIRED</x:v>
      </x:c>
      <x:c r="W427" s="12" t="str">
        <x:f>IF(P427="Unverified","missing_receipt","receipt_logged")</x:f>
        <x:v>missing_receipt</x:v>
      </x:c>
      <x:c r="X427" s="12" t="str">
        <x:f>IF(Q427="Not checked","raw_status_missing","raw_status_logged")</x:f>
        <x:v>raw_status_missing</x:v>
      </x:c>
      <x:c r="Y427" s="12" t="str">
        <x:f>IF(U427="BLOCKED_PENDING_RECEIPT","Log source path or blocker; do not promote","Route to review lane")</x:f>
        <x:v>Log source path or blocker; do not promote</x:v>
      </x:c>
      <x:c r="Z427" s="12" t="str">
        <x:f>IF(K427="P0","Primary seat + Hashlight/Lucerna","Seat lane")</x:f>
        <x:v>Seat lane</x:v>
      </x:c>
      <x:c r="AA427" s="12" t="str">
        <x:f>IF(R427="","no_claim_delta","claim_delta_present")</x:f>
        <x:v>no_claim_delta</x:v>
      </x:c>
      <x:c r="AB427" s="12" t="str">
        <x:f>IF(S427="","no_contradiction_delta","contradiction_delta_present")</x:f>
        <x:v>no_contradiction_delta</x:v>
      </x:c>
      <x:c r="AC427" s="12" t="str">
        <x:f>IF(OR(ISNUMBER(SEARCH("hacker",LOWER(F427&amp;" "&amp;H427&amp;" "&amp;I427&amp;" "&amp;M427&amp;" "&amp;N427&amp;" "&amp;T427))),ISNUMBER(SEARCH("hacking",LOWER(F427&amp;" "&amp;H427&amp;" "&amp;I427&amp;" "&amp;M427&amp;" "&amp;N427&amp;" "&amp;T427))),ISNUMBER(SEARCH("bank",LOWER(F427&amp;" "&amp;H427&amp;" "&amp;I427&amp;" "&amp;M427&amp;" "&amp;N427&amp;" "&amp;T427))),ISNUMBER(SEARCH("banking",LOWER(F427&amp;" "&amp;H427&amp;" "&amp;I427&amp;" "&amp;M427&amp;" "&amp;N427&amp;" "&amp;T427)))),"PRIVATE_QUARANTINE",IF(OR(ISNUMBER(SEARCH("treasury",LOWER(F427&amp;" "&amp;H427&amp;" "&amp;I427&amp;" "&amp;M427&amp;" "&amp;N427&amp;" "&amp;T427))),ISNUMBER(SEARCH("debt",LOWER(F427&amp;" "&amp;H427&amp;" "&amp;I427&amp;" "&amp;M427&amp;" "&amp;N427&amp;" "&amp;T427))),ISNUMBER(SEARCH("bond",LOWER(F427&amp;" "&amp;H427&amp;" "&amp;I427&amp;" "&amp;M427&amp;" "&amp;N427&amp;" "&amp;T427))),ISNUMBER(SEARCH("transaction",LOWER(F427&amp;" "&amp;H427&amp;" "&amp;I427&amp;" "&amp;M427&amp;" "&amp;N427&amp;" "&amp;T427)))),"PRIVATE_REVIEW","PUBLIC_CANDIDATE"))</x:f>
        <x:v>PUBLIC_CANDIDATE</x:v>
      </x:c>
      <x:c r="AD427" s="12" t="str">
        <x:f>IF(AC427="PRIVATE_QUARANTINE","hacker_or_bank_trigger",IF(AC427="PRIVATE_REVIEW","finance_risk_trigger","none"))</x:f>
        <x:v>none</x:v>
      </x:c>
      <x:c r="AE427" s="12" t="str">
        <x:f>IF(AC427="PUBLIC_CANDIDATE","prepare_public_github_candidate",IF(AC427="PRIVATE_REVIEW","hold_for_private_review","quarantine_private_do_not_publish"))</x:f>
        <x:v>prepare_public_github_candidate</x:v>
      </x:c>
      <x:c r="AF427" s="12" t="str">
        <x:f>IF(AC427="PUBLIC_CANDIDATE","TIDELOCK + Lucerna",IF(AC427="PRIVATE_REVIEW","AtlasBrain + Lucerna","TIDELOCK + Lucerna + Human-root"))</x:f>
        <x:v>TIDELOCK + Lucerna</x:v>
      </x:c>
      <x:c r="AG427" s="12" t="str">
        <x:f>IF(AND(AC427="PUBLIC_CANDIDATE",U427&lt;&gt;"BLOCKED_PENDING_RECEIPT"),"READY_AFTER_RECEIPT","NOT_READY")</x:f>
        <x:v>NOT_READY</x:v>
      </x:c>
      <x:c r="AH427" s="12" t="str">
        <x:f>IF(AC427="PUBLIC_CANDIDATE","none",AD427)</x:f>
        <x:v>none</x:v>
      </x:c>
      <x:c r="AI427" s="12" t="str">
        <x:f>IF(AC427="PUBLIC_CANDIDATE","archive/public_candidates/"&amp;A427,"private_quarantine/"&amp;A427)</x:f>
        <x:v>archive/public_candidates/SWARM-03-H12-S06</x:v>
      </x:c>
      <x:c r="AJ427" s="12" t="str">
        <x:f>IF(AC427="PUBLIC_CANDIDATE","public by default; still not canon","private/hold; do not publish")</x:f>
        <x:v>public by default; still not canon</x:v>
      </x:c>
      <x:c r="AK427" s="12" t="str">
        <x:f>IF(AE427="prepare_public_github_candidate","add receipt/status then mirror","resolve blocker before any public GitHub action")</x:f>
        <x:v>add receipt/status then mirror</x:v>
      </x:c>
    </x:row>
    <x:row r="428">
      <x:c r="A428" s="15" t="str">
        <x:v>SWARM-03-H12-S07</x:v>
      </x:c>
      <x:c r="B428" s="15" t="str">
        <x:v>KairoBrain</x:v>
      </x:c>
      <x:c r="C428" s="15" t="str">
        <x:v>Temporal strata keeper</x:v>
      </x:c>
      <x:c r="D428" s="15" t="str">
        <x:v>Canon-Gate Prep</x:v>
      </x:c>
      <x:c r="E428" s="15" t="str">
        <x:v>Planetarium</x:v>
      </x:c>
      <x:c r="F428" s="15" t="str">
        <x:v>Prepare canon-gate brief for Planetarium — KairoBrain</x:v>
      </x:c>
      <x:c r="G428" s="15" t="str">
        <x:v>staleness / versioning / supersession</x:v>
      </x:c>
      <x:c r="H428" s="15" t="str">
        <x:v>source path + receipt + raw/export status + claim/edge/risk delta</x:v>
      </x:c>
      <x:c r="I428" s="15" t="str">
        <x:v>packet/SWARM-03-H12-S07</x:v>
      </x:c>
      <x:c r="J428" s="15" t="str">
        <x:v>TODO</x:v>
      </x:c>
      <x:c r="K428" s="15" t="str">
        <x:v>P1</x:v>
      </x:c>
      <x:c r="L428" s="15" t="str">
        <x:v>Done only when evidence is logged, contradiction search is noted, and boundary stamp remains non-canon unless ratified</x:v>
      </x:c>
      <x:c r="M428" s="15" t="str">
        <x:v>candidate / staging-only / not canon / not deployed / authority none</x:v>
      </x:c>
      <x:c r="N428" s="15" t="str">
        <x:v>Dispatch to KairoBrain: complete Canon-Gate Prep x Planetarium; return deltas only, receipts required.</x:v>
      </x:c>
      <x:c r="O428" s="15" t="str">
        <x:v>AF-KG-H12-S07</x:v>
      </x:c>
      <x:c r="P428" s="15" t="str">
        <x:v>Unverified</x:v>
      </x:c>
      <x:c r="Q428" s="15" t="str">
        <x:v>Not checked</x:v>
      </x:c>
      <x:c r="R428" s="15" t="str"/>
      <x:c r="S428" s="15" t="str"/>
      <x:c r="T428" s="15" t="str">
        <x:v>Log first source path or blocker</x:v>
      </x:c>
      <x:c r="U428" s="12" t="str">
        <x:f>IF(OR(P428="Unverified",Q428="Not checked"),"BLOCKED_PENDING_RECEIPT","READY_FOR_REVIEW")</x:f>
        <x:v>BLOCKED_PENDING_RECEIPT</x:v>
      </x:c>
      <x:c r="V428" s="12" t="str">
        <x:f>IF(J428="DONE","RETURNED",IF(U428="BLOCKED_PENDING_RECEIPT","SOURCE_TOUCH_REQUIRED","IN_PROGRESS"))</x:f>
        <x:v>SOURCE_TOUCH_REQUIRED</x:v>
      </x:c>
      <x:c r="W428" s="12" t="str">
        <x:f>IF(P428="Unverified","missing_receipt","receipt_logged")</x:f>
        <x:v>missing_receipt</x:v>
      </x:c>
      <x:c r="X428" s="12" t="str">
        <x:f>IF(Q428="Not checked","raw_status_missing","raw_status_logged")</x:f>
        <x:v>raw_status_missing</x:v>
      </x:c>
      <x:c r="Y428" s="12" t="str">
        <x:f>IF(U428="BLOCKED_PENDING_RECEIPT","Log source path or blocker; do not promote","Route to review lane")</x:f>
        <x:v>Log source path or blocker; do not promote</x:v>
      </x:c>
      <x:c r="Z428" s="12" t="str">
        <x:f>IF(K428="P0","Primary seat + Hashlight/Lucerna","Seat lane")</x:f>
        <x:v>Seat lane</x:v>
      </x:c>
      <x:c r="AA428" s="12" t="str">
        <x:f>IF(R428="","no_claim_delta","claim_delta_present")</x:f>
        <x:v>no_claim_delta</x:v>
      </x:c>
      <x:c r="AB428" s="12" t="str">
        <x:f>IF(S428="","no_contradiction_delta","contradiction_delta_present")</x:f>
        <x:v>no_contradiction_delta</x:v>
      </x:c>
      <x:c r="AC428" s="12" t="str">
        <x:f>IF(OR(ISNUMBER(SEARCH("hacker",LOWER(F428&amp;" "&amp;H428&amp;" "&amp;I428&amp;" "&amp;M428&amp;" "&amp;N428&amp;" "&amp;T428))),ISNUMBER(SEARCH("hacking",LOWER(F428&amp;" "&amp;H428&amp;" "&amp;I428&amp;" "&amp;M428&amp;" "&amp;N428&amp;" "&amp;T428))),ISNUMBER(SEARCH("bank",LOWER(F428&amp;" "&amp;H428&amp;" "&amp;I428&amp;" "&amp;M428&amp;" "&amp;N428&amp;" "&amp;T428))),ISNUMBER(SEARCH("banking",LOWER(F428&amp;" "&amp;H428&amp;" "&amp;I428&amp;" "&amp;M428&amp;" "&amp;N428&amp;" "&amp;T428)))),"PRIVATE_QUARANTINE",IF(OR(ISNUMBER(SEARCH("treasury",LOWER(F428&amp;" "&amp;H428&amp;" "&amp;I428&amp;" "&amp;M428&amp;" "&amp;N428&amp;" "&amp;T428))),ISNUMBER(SEARCH("debt",LOWER(F428&amp;" "&amp;H428&amp;" "&amp;I428&amp;" "&amp;M428&amp;" "&amp;N428&amp;" "&amp;T428))),ISNUMBER(SEARCH("bond",LOWER(F428&amp;" "&amp;H428&amp;" "&amp;I428&amp;" "&amp;M428&amp;" "&amp;N428&amp;" "&amp;T428))),ISNUMBER(SEARCH("transaction",LOWER(F428&amp;" "&amp;H428&amp;" "&amp;I428&amp;" "&amp;M428&amp;" "&amp;N428&amp;" "&amp;T428)))),"PRIVATE_REVIEW","PUBLIC_CANDIDATE"))</x:f>
        <x:v>PUBLIC_CANDIDATE</x:v>
      </x:c>
      <x:c r="AD428" s="12" t="str">
        <x:f>IF(AC428="PRIVATE_QUARANTINE","hacker_or_bank_trigger",IF(AC428="PRIVATE_REVIEW","finance_risk_trigger","none"))</x:f>
        <x:v>none</x:v>
      </x:c>
      <x:c r="AE428" s="12" t="str">
        <x:f>IF(AC428="PUBLIC_CANDIDATE","prepare_public_github_candidate",IF(AC428="PRIVATE_REVIEW","hold_for_private_review","quarantine_private_do_not_publish"))</x:f>
        <x:v>prepare_public_github_candidate</x:v>
      </x:c>
      <x:c r="AF428" s="12" t="str">
        <x:f>IF(AC428="PUBLIC_CANDIDATE","TIDELOCK + Lucerna",IF(AC428="PRIVATE_REVIEW","AtlasBrain + Lucerna","TIDELOCK + Lucerna + Human-root"))</x:f>
        <x:v>TIDELOCK + Lucerna</x:v>
      </x:c>
      <x:c r="AG428" s="12" t="str">
        <x:f>IF(AND(AC428="PUBLIC_CANDIDATE",U428&lt;&gt;"BLOCKED_PENDING_RECEIPT"),"READY_AFTER_RECEIPT","NOT_READY")</x:f>
        <x:v>NOT_READY</x:v>
      </x:c>
      <x:c r="AH428" s="12" t="str">
        <x:f>IF(AC428="PUBLIC_CANDIDATE","none",AD428)</x:f>
        <x:v>none</x:v>
      </x:c>
      <x:c r="AI428" s="12" t="str">
        <x:f>IF(AC428="PUBLIC_CANDIDATE","archive/public_candidates/"&amp;A428,"private_quarantine/"&amp;A428)</x:f>
        <x:v>archive/public_candidates/SWARM-03-H12-S07</x:v>
      </x:c>
      <x:c r="AJ428" s="12" t="str">
        <x:f>IF(AC428="PUBLIC_CANDIDATE","public by default; still not canon","private/hold; do not publish")</x:f>
        <x:v>public by default; still not canon</x:v>
      </x:c>
      <x:c r="AK428" s="12" t="str">
        <x:f>IF(AE428="prepare_public_github_candidate","add receipt/status then mirror","resolve blocker before any public GitHub action")</x:f>
        <x:v>add receipt/status then mirror</x:v>
      </x:c>
    </x:row>
    <x:row r="429">
      <x:c r="A429" s="15" t="str">
        <x:v>SWARM-03-H12-S08</x:v>
      </x:c>
      <x:c r="B429" s="15" t="str">
        <x:v>KairoBrain</x:v>
      </x:c>
      <x:c r="C429" s="15" t="str">
        <x:v>Temporal strata keeper</x:v>
      </x:c>
      <x:c r="D429" s="15" t="str">
        <x:v>Canon-Gate Prep</x:v>
      </x:c>
      <x:c r="E429" s="15" t="str">
        <x:v>Sheldonbrain</x:v>
      </x:c>
      <x:c r="F429" s="15" t="str">
        <x:v>Prepare canon-gate brief for Sheldonbrain — KairoBrain</x:v>
      </x:c>
      <x:c r="G429" s="15" t="str">
        <x:v>staleness / versioning / supersession</x:v>
      </x:c>
      <x:c r="H429" s="15" t="str">
        <x:v>source path + receipt + raw/export status + claim/edge/risk delta</x:v>
      </x:c>
      <x:c r="I429" s="15" t="str">
        <x:v>packet/SWARM-03-H12-S08</x:v>
      </x:c>
      <x:c r="J429" s="15" t="str">
        <x:v>TODO</x:v>
      </x:c>
      <x:c r="K429" s="15" t="str">
        <x:v>P1</x:v>
      </x:c>
      <x:c r="L429" s="15" t="str">
        <x:v>Done only when evidence is logged, contradiction search is noted, and boundary stamp remains non-canon unless ratified</x:v>
      </x:c>
      <x:c r="M429" s="15" t="str">
        <x:v>candidate / staging-only / not canon / not deployed / authority none</x:v>
      </x:c>
      <x:c r="N429" s="15" t="str">
        <x:v>Dispatch to KairoBrain: complete Canon-Gate Prep x Sheldonbrain; return deltas only, receipts required.</x:v>
      </x:c>
      <x:c r="O429" s="15" t="str">
        <x:v>AF-KG-H12-S08</x:v>
      </x:c>
      <x:c r="P429" s="15" t="str">
        <x:v>Unverified</x:v>
      </x:c>
      <x:c r="Q429" s="15" t="str">
        <x:v>Not checked</x:v>
      </x:c>
      <x:c r="R429" s="15" t="str"/>
      <x:c r="S429" s="15" t="str"/>
      <x:c r="T429" s="15" t="str">
        <x:v>Log first source path or blocker</x:v>
      </x:c>
      <x:c r="U429" s="12" t="str">
        <x:f>IF(OR(P429="Unverified",Q429="Not checked"),"BLOCKED_PENDING_RECEIPT","READY_FOR_REVIEW")</x:f>
        <x:v>BLOCKED_PENDING_RECEIPT</x:v>
      </x:c>
      <x:c r="V429" s="12" t="str">
        <x:f>IF(J429="DONE","RETURNED",IF(U429="BLOCKED_PENDING_RECEIPT","SOURCE_TOUCH_REQUIRED","IN_PROGRESS"))</x:f>
        <x:v>SOURCE_TOUCH_REQUIRED</x:v>
      </x:c>
      <x:c r="W429" s="12" t="str">
        <x:f>IF(P429="Unverified","missing_receipt","receipt_logged")</x:f>
        <x:v>missing_receipt</x:v>
      </x:c>
      <x:c r="X429" s="12" t="str">
        <x:f>IF(Q429="Not checked","raw_status_missing","raw_status_logged")</x:f>
        <x:v>raw_status_missing</x:v>
      </x:c>
      <x:c r="Y429" s="12" t="str">
        <x:f>IF(U429="BLOCKED_PENDING_RECEIPT","Log source path or blocker; do not promote","Route to review lane")</x:f>
        <x:v>Log source path or blocker; do not promote</x:v>
      </x:c>
      <x:c r="Z429" s="12" t="str">
        <x:f>IF(K429="P0","Primary seat + Hashlight/Lucerna","Seat lane")</x:f>
        <x:v>Seat lane</x:v>
      </x:c>
      <x:c r="AA429" s="12" t="str">
        <x:f>IF(R429="","no_claim_delta","claim_delta_present")</x:f>
        <x:v>no_claim_delta</x:v>
      </x:c>
      <x:c r="AB429" s="12" t="str">
        <x:f>IF(S429="","no_contradiction_delta","contradiction_delta_present")</x:f>
        <x:v>no_contradiction_delta</x:v>
      </x:c>
      <x:c r="AC429" s="12" t="str">
        <x:f>IF(OR(ISNUMBER(SEARCH("hacker",LOWER(F429&amp;" "&amp;H429&amp;" "&amp;I429&amp;" "&amp;M429&amp;" "&amp;N429&amp;" "&amp;T429))),ISNUMBER(SEARCH("hacking",LOWER(F429&amp;" "&amp;H429&amp;" "&amp;I429&amp;" "&amp;M429&amp;" "&amp;N429&amp;" "&amp;T429))),ISNUMBER(SEARCH("bank",LOWER(F429&amp;" "&amp;H429&amp;" "&amp;I429&amp;" "&amp;M429&amp;" "&amp;N429&amp;" "&amp;T429))),ISNUMBER(SEARCH("banking",LOWER(F429&amp;" "&amp;H429&amp;" "&amp;I429&amp;" "&amp;M429&amp;" "&amp;N429&amp;" "&amp;T429)))),"PRIVATE_QUARANTINE",IF(OR(ISNUMBER(SEARCH("treasury",LOWER(F429&amp;" "&amp;H429&amp;" "&amp;I429&amp;" "&amp;M429&amp;" "&amp;N429&amp;" "&amp;T429))),ISNUMBER(SEARCH("debt",LOWER(F429&amp;" "&amp;H429&amp;" "&amp;I429&amp;" "&amp;M429&amp;" "&amp;N429&amp;" "&amp;T429))),ISNUMBER(SEARCH("bond",LOWER(F429&amp;" "&amp;H429&amp;" "&amp;I429&amp;" "&amp;M429&amp;" "&amp;N429&amp;" "&amp;T429))),ISNUMBER(SEARCH("transaction",LOWER(F429&amp;" "&amp;H429&amp;" "&amp;I429&amp;" "&amp;M429&amp;" "&amp;N429&amp;" "&amp;T429)))),"PRIVATE_REVIEW","PUBLIC_CANDIDATE"))</x:f>
        <x:v>PUBLIC_CANDIDATE</x:v>
      </x:c>
      <x:c r="AD429" s="12" t="str">
        <x:f>IF(AC429="PRIVATE_QUARANTINE","hacker_or_bank_trigger",IF(AC429="PRIVATE_REVIEW","finance_risk_trigger","none"))</x:f>
        <x:v>none</x:v>
      </x:c>
      <x:c r="AE429" s="12" t="str">
        <x:f>IF(AC429="PUBLIC_CANDIDATE","prepare_public_github_candidate",IF(AC429="PRIVATE_REVIEW","hold_for_private_review","quarantine_private_do_not_publish"))</x:f>
        <x:v>prepare_public_github_candidate</x:v>
      </x:c>
      <x:c r="AF429" s="12" t="str">
        <x:f>IF(AC429="PUBLIC_CANDIDATE","TIDELOCK + Lucerna",IF(AC429="PRIVATE_REVIEW","AtlasBrain + Lucerna","TIDELOCK + Lucerna + Human-root"))</x:f>
        <x:v>TIDELOCK + Lucerna</x:v>
      </x:c>
      <x:c r="AG429" s="12" t="str">
        <x:f>IF(AND(AC429="PUBLIC_CANDIDATE",U429&lt;&gt;"BLOCKED_PENDING_RECEIPT"),"READY_AFTER_RECEIPT","NOT_READY")</x:f>
        <x:v>NOT_READY</x:v>
      </x:c>
      <x:c r="AH429" s="12" t="str">
        <x:f>IF(AC429="PUBLIC_CANDIDATE","none",AD429)</x:f>
        <x:v>none</x:v>
      </x:c>
      <x:c r="AI429" s="12" t="str">
        <x:f>IF(AC429="PUBLIC_CANDIDATE","archive/public_candidates/"&amp;A429,"private_quarantine/"&amp;A429)</x:f>
        <x:v>archive/public_candidates/SWARM-03-H12-S08</x:v>
      </x:c>
      <x:c r="AJ429" s="12" t="str">
        <x:f>IF(AC429="PUBLIC_CANDIDATE","public by default; still not canon","private/hold; do not publish")</x:f>
        <x:v>public by default; still not canon</x:v>
      </x:c>
      <x:c r="AK429" s="12" t="str">
        <x:f>IF(AE429="prepare_public_github_candidate","add receipt/status then mirror","resolve blocker before any public GitHub action")</x:f>
        <x:v>add receipt/status then mirror</x:v>
      </x:c>
    </x:row>
    <x:row r="430">
      <x:c r="A430" s="15" t="str">
        <x:v>SWARM-03-H12-S09</x:v>
      </x:c>
      <x:c r="B430" s="15" t="str">
        <x:v>KairoBrain</x:v>
      </x:c>
      <x:c r="C430" s="15" t="str">
        <x:v>Temporal strata keeper</x:v>
      </x:c>
      <x:c r="D430" s="15" t="str">
        <x:v>Canon-Gate Prep</x:v>
      </x:c>
      <x:c r="E430" s="15" t="str">
        <x:v>Aetherforge</x:v>
      </x:c>
      <x:c r="F430" s="15" t="str">
        <x:v>Prepare canon-gate brief for Aetherforge — KairoBrain</x:v>
      </x:c>
      <x:c r="G430" s="15" t="str">
        <x:v>staleness / versioning / supersession</x:v>
      </x:c>
      <x:c r="H430" s="15" t="str">
        <x:v>source path + receipt + raw/export status + claim/edge/risk delta</x:v>
      </x:c>
      <x:c r="I430" s="15" t="str">
        <x:v>packet/SWARM-03-H12-S09</x:v>
      </x:c>
      <x:c r="J430" s="15" t="str">
        <x:v>TODO</x:v>
      </x:c>
      <x:c r="K430" s="15" t="str">
        <x:v>P2</x:v>
      </x:c>
      <x:c r="L430" s="15" t="str">
        <x:v>Done only when evidence is logged, contradiction search is noted, and boundary stamp remains non-canon unless ratified</x:v>
      </x:c>
      <x:c r="M430" s="15" t="str">
        <x:v>candidate / staging-only / not canon / not deployed / authority none</x:v>
      </x:c>
      <x:c r="N430" s="15" t="str">
        <x:v>Dispatch to KairoBrain: complete Canon-Gate Prep x Aetherforge; return deltas only, receipts required.</x:v>
      </x:c>
      <x:c r="O430" s="15" t="str">
        <x:v>AF-KG-H12-S09</x:v>
      </x:c>
      <x:c r="P430" s="15" t="str">
        <x:v>Unverified</x:v>
      </x:c>
      <x:c r="Q430" s="15" t="str">
        <x:v>Not checked</x:v>
      </x:c>
      <x:c r="R430" s="15" t="str"/>
      <x:c r="S430" s="15" t="str"/>
      <x:c r="T430" s="15" t="str">
        <x:v>Log first source path or blocker</x:v>
      </x:c>
      <x:c r="U430" s="12" t="str">
        <x:f>IF(OR(P430="Unverified",Q430="Not checked"),"BLOCKED_PENDING_RECEIPT","READY_FOR_REVIEW")</x:f>
        <x:v>BLOCKED_PENDING_RECEIPT</x:v>
      </x:c>
      <x:c r="V430" s="12" t="str">
        <x:f>IF(J430="DONE","RETURNED",IF(U430="BLOCKED_PENDING_RECEIPT","SOURCE_TOUCH_REQUIRED","IN_PROGRESS"))</x:f>
        <x:v>SOURCE_TOUCH_REQUIRED</x:v>
      </x:c>
      <x:c r="W430" s="12" t="str">
        <x:f>IF(P430="Unverified","missing_receipt","receipt_logged")</x:f>
        <x:v>missing_receipt</x:v>
      </x:c>
      <x:c r="X430" s="12" t="str">
        <x:f>IF(Q430="Not checked","raw_status_missing","raw_status_logged")</x:f>
        <x:v>raw_status_missing</x:v>
      </x:c>
      <x:c r="Y430" s="12" t="str">
        <x:f>IF(U430="BLOCKED_PENDING_RECEIPT","Log source path or blocker; do not promote","Route to review lane")</x:f>
        <x:v>Log source path or blocker; do not promote</x:v>
      </x:c>
      <x:c r="Z430" s="12" t="str">
        <x:f>IF(K430="P0","Primary seat + Hashlight/Lucerna","Seat lane")</x:f>
        <x:v>Seat lane</x:v>
      </x:c>
      <x:c r="AA430" s="12" t="str">
        <x:f>IF(R430="","no_claim_delta","claim_delta_present")</x:f>
        <x:v>no_claim_delta</x:v>
      </x:c>
      <x:c r="AB430" s="12" t="str">
        <x:f>IF(S430="","no_contradiction_delta","contradiction_delta_present")</x:f>
        <x:v>no_contradiction_delta</x:v>
      </x:c>
      <x:c r="AC430" s="12" t="str">
        <x:f>IF(OR(ISNUMBER(SEARCH("hacker",LOWER(F430&amp;" "&amp;H430&amp;" "&amp;I430&amp;" "&amp;M430&amp;" "&amp;N430&amp;" "&amp;T430))),ISNUMBER(SEARCH("hacking",LOWER(F430&amp;" "&amp;H430&amp;" "&amp;I430&amp;" "&amp;M430&amp;" "&amp;N430&amp;" "&amp;T430))),ISNUMBER(SEARCH("bank",LOWER(F430&amp;" "&amp;H430&amp;" "&amp;I430&amp;" "&amp;M430&amp;" "&amp;N430&amp;" "&amp;T430))),ISNUMBER(SEARCH("banking",LOWER(F430&amp;" "&amp;H430&amp;" "&amp;I430&amp;" "&amp;M430&amp;" "&amp;N430&amp;" "&amp;T430)))),"PRIVATE_QUARANTINE",IF(OR(ISNUMBER(SEARCH("treasury",LOWER(F430&amp;" "&amp;H430&amp;" "&amp;I430&amp;" "&amp;M430&amp;" "&amp;N430&amp;" "&amp;T430))),ISNUMBER(SEARCH("debt",LOWER(F430&amp;" "&amp;H430&amp;" "&amp;I430&amp;" "&amp;M430&amp;" "&amp;N430&amp;" "&amp;T430))),ISNUMBER(SEARCH("bond",LOWER(F430&amp;" "&amp;H430&amp;" "&amp;I430&amp;" "&amp;M430&amp;" "&amp;N430&amp;" "&amp;T430))),ISNUMBER(SEARCH("transaction",LOWER(F430&amp;" "&amp;H430&amp;" "&amp;I430&amp;" "&amp;M430&amp;" "&amp;N430&amp;" "&amp;T430)))),"PRIVATE_REVIEW","PUBLIC_CANDIDATE"))</x:f>
        <x:v>PUBLIC_CANDIDATE</x:v>
      </x:c>
      <x:c r="AD430" s="12" t="str">
        <x:f>IF(AC430="PRIVATE_QUARANTINE","hacker_or_bank_trigger",IF(AC430="PRIVATE_REVIEW","finance_risk_trigger","none"))</x:f>
        <x:v>none</x:v>
      </x:c>
      <x:c r="AE430" s="12" t="str">
        <x:f>IF(AC430="PUBLIC_CANDIDATE","prepare_public_github_candidate",IF(AC430="PRIVATE_REVIEW","hold_for_private_review","quarantine_private_do_not_publish"))</x:f>
        <x:v>prepare_public_github_candidate</x:v>
      </x:c>
      <x:c r="AF430" s="12" t="str">
        <x:f>IF(AC430="PUBLIC_CANDIDATE","TIDELOCK + Lucerna",IF(AC430="PRIVATE_REVIEW","AtlasBrain + Lucerna","TIDELOCK + Lucerna + Human-root"))</x:f>
        <x:v>TIDELOCK + Lucerna</x:v>
      </x:c>
      <x:c r="AG430" s="12" t="str">
        <x:f>IF(AND(AC430="PUBLIC_CANDIDATE",U430&lt;&gt;"BLOCKED_PENDING_RECEIPT"),"READY_AFTER_RECEIPT","NOT_READY")</x:f>
        <x:v>NOT_READY</x:v>
      </x:c>
      <x:c r="AH430" s="12" t="str">
        <x:f>IF(AC430="PUBLIC_CANDIDATE","none",AD430)</x:f>
        <x:v>none</x:v>
      </x:c>
      <x:c r="AI430" s="12" t="str">
        <x:f>IF(AC430="PUBLIC_CANDIDATE","archive/public_candidates/"&amp;A430,"private_quarantine/"&amp;A430)</x:f>
        <x:v>archive/public_candidates/SWARM-03-H12-S09</x:v>
      </x:c>
      <x:c r="AJ430" s="12" t="str">
        <x:f>IF(AC430="PUBLIC_CANDIDATE","public by default; still not canon","private/hold; do not publish")</x:f>
        <x:v>public by default; still not canon</x:v>
      </x:c>
      <x:c r="AK430" s="12" t="str">
        <x:f>IF(AE430="prepare_public_github_candidate","add receipt/status then mirror","resolve blocker before any public GitHub action")</x:f>
        <x:v>add receipt/status then mirror</x:v>
      </x:c>
    </x:row>
    <x:row r="431">
      <x:c r="A431" s="15" t="str">
        <x:v>SWARM-03-H12-S10</x:v>
      </x:c>
      <x:c r="B431" s="15" t="str">
        <x:v>KairoBrain</x:v>
      </x:c>
      <x:c r="C431" s="15" t="str">
        <x:v>Temporal strata keeper</x:v>
      </x:c>
      <x:c r="D431" s="15" t="str">
        <x:v>Canon-Gate Prep</x:v>
      </x:c>
      <x:c r="E431" s="15" t="str">
        <x:v>Human-Root</x:v>
      </x:c>
      <x:c r="F431" s="15" t="str">
        <x:v>Prepare canon-gate brief for Human-Root — KairoBrain</x:v>
      </x:c>
      <x:c r="G431" s="15" t="str">
        <x:v>staleness / versioning / supersession</x:v>
      </x:c>
      <x:c r="H431" s="15" t="str">
        <x:v>source path + receipt + raw/export status + claim/edge/risk delta</x:v>
      </x:c>
      <x:c r="I431" s="15" t="str">
        <x:v>packet/SWARM-03-H12-S10</x:v>
      </x:c>
      <x:c r="J431" s="15" t="str">
        <x:v>TODO</x:v>
      </x:c>
      <x:c r="K431" s="15" t="str">
        <x:v>P2</x:v>
      </x:c>
      <x:c r="L431" s="15" t="str">
        <x:v>Done only when evidence is logged, contradiction search is noted, and boundary stamp remains non-canon unless ratified</x:v>
      </x:c>
      <x:c r="M431" s="15" t="str">
        <x:v>candidate / staging-only / not canon / not deployed / authority none</x:v>
      </x:c>
      <x:c r="N431" s="15" t="str">
        <x:v>Dispatch to KairoBrain: complete Canon-Gate Prep x Human-Root; return deltas only, receipts required.</x:v>
      </x:c>
      <x:c r="O431" s="15" t="str">
        <x:v>AF-KG-H12-S10</x:v>
      </x:c>
      <x:c r="P431" s="15" t="str">
        <x:v>Unverified</x:v>
      </x:c>
      <x:c r="Q431" s="15" t="str">
        <x:v>Not checked</x:v>
      </x:c>
      <x:c r="R431" s="15" t="str"/>
      <x:c r="S431" s="15" t="str"/>
      <x:c r="T431" s="15" t="str">
        <x:v>Log first source path or blocker</x:v>
      </x:c>
      <x:c r="U431" s="12" t="str">
        <x:f>IF(OR(P431="Unverified",Q431="Not checked"),"BLOCKED_PENDING_RECEIPT","READY_FOR_REVIEW")</x:f>
        <x:v>BLOCKED_PENDING_RECEIPT</x:v>
      </x:c>
      <x:c r="V431" s="12" t="str">
        <x:f>IF(J431="DONE","RETURNED",IF(U431="BLOCKED_PENDING_RECEIPT","SOURCE_TOUCH_REQUIRED","IN_PROGRESS"))</x:f>
        <x:v>SOURCE_TOUCH_REQUIRED</x:v>
      </x:c>
      <x:c r="W431" s="12" t="str">
        <x:f>IF(P431="Unverified","missing_receipt","receipt_logged")</x:f>
        <x:v>missing_receipt</x:v>
      </x:c>
      <x:c r="X431" s="12" t="str">
        <x:f>IF(Q431="Not checked","raw_status_missing","raw_status_logged")</x:f>
        <x:v>raw_status_missing</x:v>
      </x:c>
      <x:c r="Y431" s="12" t="str">
        <x:f>IF(U431="BLOCKED_PENDING_RECEIPT","Log source path or blocker; do not promote","Route to review lane")</x:f>
        <x:v>Log source path or blocker; do not promote</x:v>
      </x:c>
      <x:c r="Z431" s="12" t="str">
        <x:f>IF(K431="P0","Primary seat + Hashlight/Lucerna","Seat lane")</x:f>
        <x:v>Seat lane</x:v>
      </x:c>
      <x:c r="AA431" s="12" t="str">
        <x:f>IF(R431="","no_claim_delta","claim_delta_present")</x:f>
        <x:v>no_claim_delta</x:v>
      </x:c>
      <x:c r="AB431" s="12" t="str">
        <x:f>IF(S431="","no_contradiction_delta","contradiction_delta_present")</x:f>
        <x:v>no_contradiction_delta</x:v>
      </x:c>
      <x:c r="AC431" s="12" t="str">
        <x:f>IF(OR(ISNUMBER(SEARCH("hacker",LOWER(F431&amp;" "&amp;H431&amp;" "&amp;I431&amp;" "&amp;M431&amp;" "&amp;N431&amp;" "&amp;T431))),ISNUMBER(SEARCH("hacking",LOWER(F431&amp;" "&amp;H431&amp;" "&amp;I431&amp;" "&amp;M431&amp;" "&amp;N431&amp;" "&amp;T431))),ISNUMBER(SEARCH("bank",LOWER(F431&amp;" "&amp;H431&amp;" "&amp;I431&amp;" "&amp;M431&amp;" "&amp;N431&amp;" "&amp;T431))),ISNUMBER(SEARCH("banking",LOWER(F431&amp;" "&amp;H431&amp;" "&amp;I431&amp;" "&amp;M431&amp;" "&amp;N431&amp;" "&amp;T431)))),"PRIVATE_QUARANTINE",IF(OR(ISNUMBER(SEARCH("treasury",LOWER(F431&amp;" "&amp;H431&amp;" "&amp;I431&amp;" "&amp;M431&amp;" "&amp;N431&amp;" "&amp;T431))),ISNUMBER(SEARCH("debt",LOWER(F431&amp;" "&amp;H431&amp;" "&amp;I431&amp;" "&amp;M431&amp;" "&amp;N431&amp;" "&amp;T431))),ISNUMBER(SEARCH("bond",LOWER(F431&amp;" "&amp;H431&amp;" "&amp;I431&amp;" "&amp;M431&amp;" "&amp;N431&amp;" "&amp;T431))),ISNUMBER(SEARCH("transaction",LOWER(F431&amp;" "&amp;H431&amp;" "&amp;I431&amp;" "&amp;M431&amp;" "&amp;N431&amp;" "&amp;T431)))),"PRIVATE_REVIEW","PUBLIC_CANDIDATE"))</x:f>
        <x:v>PUBLIC_CANDIDATE</x:v>
      </x:c>
      <x:c r="AD431" s="12" t="str">
        <x:f>IF(AC431="PRIVATE_QUARANTINE","hacker_or_bank_trigger",IF(AC431="PRIVATE_REVIEW","finance_risk_trigger","none"))</x:f>
        <x:v>none</x:v>
      </x:c>
      <x:c r="AE431" s="12" t="str">
        <x:f>IF(AC431="PUBLIC_CANDIDATE","prepare_public_github_candidate",IF(AC431="PRIVATE_REVIEW","hold_for_private_review","quarantine_private_do_not_publish"))</x:f>
        <x:v>prepare_public_github_candidate</x:v>
      </x:c>
      <x:c r="AF431" s="12" t="str">
        <x:f>IF(AC431="PUBLIC_CANDIDATE","TIDELOCK + Lucerna",IF(AC431="PRIVATE_REVIEW","AtlasBrain + Lucerna","TIDELOCK + Lucerna + Human-root"))</x:f>
        <x:v>TIDELOCK + Lucerna</x:v>
      </x:c>
      <x:c r="AG431" s="12" t="str">
        <x:f>IF(AND(AC431="PUBLIC_CANDIDATE",U431&lt;&gt;"BLOCKED_PENDING_RECEIPT"),"READY_AFTER_RECEIPT","NOT_READY")</x:f>
        <x:v>NOT_READY</x:v>
      </x:c>
      <x:c r="AH431" s="12" t="str">
        <x:f>IF(AC431="PUBLIC_CANDIDATE","none",AD431)</x:f>
        <x:v>none</x:v>
      </x:c>
      <x:c r="AI431" s="12" t="str">
        <x:f>IF(AC431="PUBLIC_CANDIDATE","archive/public_candidates/"&amp;A431,"private_quarantine/"&amp;A431)</x:f>
        <x:v>archive/public_candidates/SWARM-03-H12-S10</x:v>
      </x:c>
      <x:c r="AJ431" s="12" t="str">
        <x:f>IF(AC431="PUBLIC_CANDIDATE","public by default; still not canon","private/hold; do not publish")</x:f>
        <x:v>public by default; still not canon</x:v>
      </x:c>
      <x:c r="AK431" s="12" t="str">
        <x:f>IF(AE431="prepare_public_github_candidate","add receipt/status then mirror","resolve blocker before any public GitHub action")</x:f>
        <x:v>add receipt/status then mirror</x:v>
      </x:c>
    </x:row>
    <x:row r="432">
      <x:c r="A432" s="15" t="str">
        <x:v>SWARM-03-H12-S11</x:v>
      </x:c>
      <x:c r="B432" s="15" t="str">
        <x:v>KairoBrain</x:v>
      </x:c>
      <x:c r="C432" s="15" t="str">
        <x:v>Temporal strata keeper</x:v>
      </x:c>
      <x:c r="D432" s="15" t="str">
        <x:v>Canon-Gate Prep</x:v>
      </x:c>
      <x:c r="E432" s="15" t="str">
        <x:v>Automation</x:v>
      </x:c>
      <x:c r="F432" s="15" t="str">
        <x:v>Prepare canon-gate brief for Automation — KairoBrain</x:v>
      </x:c>
      <x:c r="G432" s="15" t="str">
        <x:v>staleness / versioning / supersession</x:v>
      </x:c>
      <x:c r="H432" s="15" t="str">
        <x:v>source path + receipt + raw/export status + claim/edge/risk delta</x:v>
      </x:c>
      <x:c r="I432" s="15" t="str">
        <x:v>packet/SWARM-03-H12-S11</x:v>
      </x:c>
      <x:c r="J432" s="15" t="str">
        <x:v>TODO</x:v>
      </x:c>
      <x:c r="K432" s="15" t="str">
        <x:v>P2</x:v>
      </x:c>
      <x:c r="L432" s="15" t="str">
        <x:v>Done only when evidence is logged, contradiction search is noted, and boundary stamp remains non-canon unless ratified</x:v>
      </x:c>
      <x:c r="M432" s="15" t="str">
        <x:v>candidate / staging-only / not canon / not deployed / authority none</x:v>
      </x:c>
      <x:c r="N432" s="15" t="str">
        <x:v>Dispatch to KairoBrain: complete Canon-Gate Prep x Automation; return deltas only, receipts required.</x:v>
      </x:c>
      <x:c r="O432" s="15" t="str">
        <x:v>AF-KG-H12-S11</x:v>
      </x:c>
      <x:c r="P432" s="15" t="str">
        <x:v>Unverified</x:v>
      </x:c>
      <x:c r="Q432" s="15" t="str">
        <x:v>Not checked</x:v>
      </x:c>
      <x:c r="R432" s="15" t="str"/>
      <x:c r="S432" s="15" t="str"/>
      <x:c r="T432" s="15" t="str">
        <x:v>Log first source path or blocker</x:v>
      </x:c>
      <x:c r="U432" s="12" t="str">
        <x:f>IF(OR(P432="Unverified",Q432="Not checked"),"BLOCKED_PENDING_RECEIPT","READY_FOR_REVIEW")</x:f>
        <x:v>BLOCKED_PENDING_RECEIPT</x:v>
      </x:c>
      <x:c r="V432" s="12" t="str">
        <x:f>IF(J432="DONE","RETURNED",IF(U432="BLOCKED_PENDING_RECEIPT","SOURCE_TOUCH_REQUIRED","IN_PROGRESS"))</x:f>
        <x:v>SOURCE_TOUCH_REQUIRED</x:v>
      </x:c>
      <x:c r="W432" s="12" t="str">
        <x:f>IF(P432="Unverified","missing_receipt","receipt_logged")</x:f>
        <x:v>missing_receipt</x:v>
      </x:c>
      <x:c r="X432" s="12" t="str">
        <x:f>IF(Q432="Not checked","raw_status_missing","raw_status_logged")</x:f>
        <x:v>raw_status_missing</x:v>
      </x:c>
      <x:c r="Y432" s="12" t="str">
        <x:f>IF(U432="BLOCKED_PENDING_RECEIPT","Log source path or blocker; do not promote","Route to review lane")</x:f>
        <x:v>Log source path or blocker; do not promote</x:v>
      </x:c>
      <x:c r="Z432" s="12" t="str">
        <x:f>IF(K432="P0","Primary seat + Hashlight/Lucerna","Seat lane")</x:f>
        <x:v>Seat lane</x:v>
      </x:c>
      <x:c r="AA432" s="12" t="str">
        <x:f>IF(R432="","no_claim_delta","claim_delta_present")</x:f>
        <x:v>no_claim_delta</x:v>
      </x:c>
      <x:c r="AB432" s="12" t="str">
        <x:f>IF(S432="","no_contradiction_delta","contradiction_delta_present")</x:f>
        <x:v>no_contradiction_delta</x:v>
      </x:c>
      <x:c r="AC432" s="12" t="str">
        <x:f>IF(OR(ISNUMBER(SEARCH("hacker",LOWER(F432&amp;" "&amp;H432&amp;" "&amp;I432&amp;" "&amp;M432&amp;" "&amp;N432&amp;" "&amp;T432))),ISNUMBER(SEARCH("hacking",LOWER(F432&amp;" "&amp;H432&amp;" "&amp;I432&amp;" "&amp;M432&amp;" "&amp;N432&amp;" "&amp;T432))),ISNUMBER(SEARCH("bank",LOWER(F432&amp;" "&amp;H432&amp;" "&amp;I432&amp;" "&amp;M432&amp;" "&amp;N432&amp;" "&amp;T432))),ISNUMBER(SEARCH("banking",LOWER(F432&amp;" "&amp;H432&amp;" "&amp;I432&amp;" "&amp;M432&amp;" "&amp;N432&amp;" "&amp;T432)))),"PRIVATE_QUARANTINE",IF(OR(ISNUMBER(SEARCH("treasury",LOWER(F432&amp;" "&amp;H432&amp;" "&amp;I432&amp;" "&amp;M432&amp;" "&amp;N432&amp;" "&amp;T432))),ISNUMBER(SEARCH("debt",LOWER(F432&amp;" "&amp;H432&amp;" "&amp;I432&amp;" "&amp;M432&amp;" "&amp;N432&amp;" "&amp;T432))),ISNUMBER(SEARCH("bond",LOWER(F432&amp;" "&amp;H432&amp;" "&amp;I432&amp;" "&amp;M432&amp;" "&amp;N432&amp;" "&amp;T432))),ISNUMBER(SEARCH("transaction",LOWER(F432&amp;" "&amp;H432&amp;" "&amp;I432&amp;" "&amp;M432&amp;" "&amp;N432&amp;" "&amp;T432)))),"PRIVATE_REVIEW","PUBLIC_CANDIDATE"))</x:f>
        <x:v>PUBLIC_CANDIDATE</x:v>
      </x:c>
      <x:c r="AD432" s="12" t="str">
        <x:f>IF(AC432="PRIVATE_QUARANTINE","hacker_or_bank_trigger",IF(AC432="PRIVATE_REVIEW","finance_risk_trigger","none"))</x:f>
        <x:v>none</x:v>
      </x:c>
      <x:c r="AE432" s="12" t="str">
        <x:f>IF(AC432="PUBLIC_CANDIDATE","prepare_public_github_candidate",IF(AC432="PRIVATE_REVIEW","hold_for_private_review","quarantine_private_do_not_publish"))</x:f>
        <x:v>prepare_public_github_candidate</x:v>
      </x:c>
      <x:c r="AF432" s="12" t="str">
        <x:f>IF(AC432="PUBLIC_CANDIDATE","TIDELOCK + Lucerna",IF(AC432="PRIVATE_REVIEW","AtlasBrain + Lucerna","TIDELOCK + Lucerna + Human-root"))</x:f>
        <x:v>TIDELOCK + Lucerna</x:v>
      </x:c>
      <x:c r="AG432" s="12" t="str">
        <x:f>IF(AND(AC432="PUBLIC_CANDIDATE",U432&lt;&gt;"BLOCKED_PENDING_RECEIPT"),"READY_AFTER_RECEIPT","NOT_READY")</x:f>
        <x:v>NOT_READY</x:v>
      </x:c>
      <x:c r="AH432" s="12" t="str">
        <x:f>IF(AC432="PUBLIC_CANDIDATE","none",AD432)</x:f>
        <x:v>none</x:v>
      </x:c>
      <x:c r="AI432" s="12" t="str">
        <x:f>IF(AC432="PUBLIC_CANDIDATE","archive/public_candidates/"&amp;A432,"private_quarantine/"&amp;A432)</x:f>
        <x:v>archive/public_candidates/SWARM-03-H12-S11</x:v>
      </x:c>
      <x:c r="AJ432" s="12" t="str">
        <x:f>IF(AC432="PUBLIC_CANDIDATE","public by default; still not canon","private/hold; do not publish")</x:f>
        <x:v>public by default; still not canon</x:v>
      </x:c>
      <x:c r="AK432" s="12" t="str">
        <x:f>IF(AE432="prepare_public_github_candidate","add receipt/status then mirror","resolve blocker before any public GitHub action")</x:f>
        <x:v>add receipt/status then mirror</x:v>
      </x:c>
    </x:row>
    <x:row r="433">
      <x:c r="A433" s="15" t="str">
        <x:v>SWARM-03-H12-S12</x:v>
      </x:c>
      <x:c r="B433" s="15" t="str">
        <x:v>KairoBrain</x:v>
      </x:c>
      <x:c r="C433" s="15" t="str">
        <x:v>Temporal strata keeper</x:v>
      </x:c>
      <x:c r="D433" s="15" t="str">
        <x:v>Canon-Gate Prep</x:v>
      </x:c>
      <x:c r="E433" s="15" t="str">
        <x:v>Risk / Safety</x:v>
      </x:c>
      <x:c r="F433" s="15" t="str">
        <x:v>Prepare canon-gate brief for Risk / Safety — KairoBrain</x:v>
      </x:c>
      <x:c r="G433" s="15" t="str">
        <x:v>staleness / versioning / supersession</x:v>
      </x:c>
      <x:c r="H433" s="15" t="str">
        <x:v>source path + receipt + raw/export status + claim/edge/risk delta</x:v>
      </x:c>
      <x:c r="I433" s="15" t="str">
        <x:v>packet/SWARM-03-H12-S12</x:v>
      </x:c>
      <x:c r="J433" s="15" t="str">
        <x:v>TODO</x:v>
      </x:c>
      <x:c r="K433" s="15" t="str">
        <x:v>P2</x:v>
      </x:c>
      <x:c r="L433" s="15" t="str">
        <x:v>Done only when evidence is logged, contradiction search is noted, and boundary stamp remains non-canon unless ratified</x:v>
      </x:c>
      <x:c r="M433" s="15" t="str">
        <x:v>candidate / staging-only / not canon / not deployed / authority none</x:v>
      </x:c>
      <x:c r="N433" s="15" t="str">
        <x:v>Dispatch to KairoBrain: complete Canon-Gate Prep x Risk / Safety; return deltas only, receipts required.</x:v>
      </x:c>
      <x:c r="O433" s="15" t="str">
        <x:v>AF-KG-H12-S12</x:v>
      </x:c>
      <x:c r="P433" s="15" t="str">
        <x:v>Unverified</x:v>
      </x:c>
      <x:c r="Q433" s="15" t="str">
        <x:v>Not checked</x:v>
      </x:c>
      <x:c r="R433" s="15" t="str"/>
      <x:c r="S433" s="15" t="str"/>
      <x:c r="T433" s="15" t="str">
        <x:v>Log first source path or blocker</x:v>
      </x:c>
      <x:c r="U433" s="12" t="str">
        <x:f>IF(OR(P433="Unverified",Q433="Not checked"),"BLOCKED_PENDING_RECEIPT","READY_FOR_REVIEW")</x:f>
        <x:v>BLOCKED_PENDING_RECEIPT</x:v>
      </x:c>
      <x:c r="V433" s="12" t="str">
        <x:f>IF(J433="DONE","RETURNED",IF(U433="BLOCKED_PENDING_RECEIPT","SOURCE_TOUCH_REQUIRED","IN_PROGRESS"))</x:f>
        <x:v>SOURCE_TOUCH_REQUIRED</x:v>
      </x:c>
      <x:c r="W433" s="12" t="str">
        <x:f>IF(P433="Unverified","missing_receipt","receipt_logged")</x:f>
        <x:v>missing_receipt</x:v>
      </x:c>
      <x:c r="X433" s="12" t="str">
        <x:f>IF(Q433="Not checked","raw_status_missing","raw_status_logged")</x:f>
        <x:v>raw_status_missing</x:v>
      </x:c>
      <x:c r="Y433" s="12" t="str">
        <x:f>IF(U433="BLOCKED_PENDING_RECEIPT","Log source path or blocker; do not promote","Route to review lane")</x:f>
        <x:v>Log source path or blocker; do not promote</x:v>
      </x:c>
      <x:c r="Z433" s="12" t="str">
        <x:f>IF(K433="P0","Primary seat + Hashlight/Lucerna","Seat lane")</x:f>
        <x:v>Seat lane</x:v>
      </x:c>
      <x:c r="AA433" s="12" t="str">
        <x:f>IF(R433="","no_claim_delta","claim_delta_present")</x:f>
        <x:v>no_claim_delta</x:v>
      </x:c>
      <x:c r="AB433" s="12" t="str">
        <x:f>IF(S433="","no_contradiction_delta","contradiction_delta_present")</x:f>
        <x:v>no_contradiction_delta</x:v>
      </x:c>
      <x:c r="AC433" s="12" t="str">
        <x:f>IF(OR(ISNUMBER(SEARCH("hacker",LOWER(F433&amp;" "&amp;H433&amp;" "&amp;I433&amp;" "&amp;M433&amp;" "&amp;N433&amp;" "&amp;T433))),ISNUMBER(SEARCH("hacking",LOWER(F433&amp;" "&amp;H433&amp;" "&amp;I433&amp;" "&amp;M433&amp;" "&amp;N433&amp;" "&amp;T433))),ISNUMBER(SEARCH("bank",LOWER(F433&amp;" "&amp;H433&amp;" "&amp;I433&amp;" "&amp;M433&amp;" "&amp;N433&amp;" "&amp;T433))),ISNUMBER(SEARCH("banking",LOWER(F433&amp;" "&amp;H433&amp;" "&amp;I433&amp;" "&amp;M433&amp;" "&amp;N433&amp;" "&amp;T433)))),"PRIVATE_QUARANTINE",IF(OR(ISNUMBER(SEARCH("treasury",LOWER(F433&amp;" "&amp;H433&amp;" "&amp;I433&amp;" "&amp;M433&amp;" "&amp;N433&amp;" "&amp;T433))),ISNUMBER(SEARCH("debt",LOWER(F433&amp;" "&amp;H433&amp;" "&amp;I433&amp;" "&amp;M433&amp;" "&amp;N433&amp;" "&amp;T433))),ISNUMBER(SEARCH("bond",LOWER(F433&amp;" "&amp;H433&amp;" "&amp;I433&amp;" "&amp;M433&amp;" "&amp;N433&amp;" "&amp;T433))),ISNUMBER(SEARCH("transaction",LOWER(F433&amp;" "&amp;H433&amp;" "&amp;I433&amp;" "&amp;M433&amp;" "&amp;N433&amp;" "&amp;T433)))),"PRIVATE_REVIEW","PUBLIC_CANDIDATE"))</x:f>
        <x:v>PUBLIC_CANDIDATE</x:v>
      </x:c>
      <x:c r="AD433" s="12" t="str">
        <x:f>IF(AC433="PRIVATE_QUARANTINE","hacker_or_bank_trigger",IF(AC433="PRIVATE_REVIEW","finance_risk_trigger","none"))</x:f>
        <x:v>none</x:v>
      </x:c>
      <x:c r="AE433" s="12" t="str">
        <x:f>IF(AC433="PUBLIC_CANDIDATE","prepare_public_github_candidate",IF(AC433="PRIVATE_REVIEW","hold_for_private_review","quarantine_private_do_not_publish"))</x:f>
        <x:v>prepare_public_github_candidate</x:v>
      </x:c>
      <x:c r="AF433" s="12" t="str">
        <x:f>IF(AC433="PUBLIC_CANDIDATE","TIDELOCK + Lucerna",IF(AC433="PRIVATE_REVIEW","AtlasBrain + Lucerna","TIDELOCK + Lucerna + Human-root"))</x:f>
        <x:v>TIDELOCK + Lucerna</x:v>
      </x:c>
      <x:c r="AG433" s="12" t="str">
        <x:f>IF(AND(AC433="PUBLIC_CANDIDATE",U433&lt;&gt;"BLOCKED_PENDING_RECEIPT"),"READY_AFTER_RECEIPT","NOT_READY")</x:f>
        <x:v>NOT_READY</x:v>
      </x:c>
      <x:c r="AH433" s="12" t="str">
        <x:f>IF(AC433="PUBLIC_CANDIDATE","none",AD433)</x:f>
        <x:v>none</x:v>
      </x:c>
      <x:c r="AI433" s="12" t="str">
        <x:f>IF(AC433="PUBLIC_CANDIDATE","archive/public_candidates/"&amp;A433,"private_quarantine/"&amp;A433)</x:f>
        <x:v>archive/public_candidates/SWARM-03-H12-S12</x:v>
      </x:c>
      <x:c r="AJ433" s="12" t="str">
        <x:f>IF(AC433="PUBLIC_CANDIDATE","public by default; still not canon","private/hold; do not publish")</x:f>
        <x:v>public by default; still not canon</x:v>
      </x:c>
      <x:c r="AK433" s="12" t="str">
        <x:f>IF(AE433="prepare_public_github_candidate","add receipt/status then mirror","resolve blocker before any public GitHub action")</x:f>
        <x:v>add receipt/status then mirror</x:v>
      </x:c>
    </x:row>
    <x:row r="434">
      <x:c r="A434" s="15" t="str">
        <x:v>SWARM-04-H01-S01</x:v>
      </x:c>
      <x:c r="B434" s="15" t="str">
        <x:v>Tidelock</x:v>
      </x:c>
      <x:c r="C434" s="15" t="str">
        <x:v>Access blocker keeper</x:v>
      </x:c>
      <x:c r="D434" s="15" t="str">
        <x:v>Source Inventory</x:v>
      </x:c>
      <x:c r="E434" s="15" t="str">
        <x:v>Notion</x:v>
      </x:c>
      <x:c r="F434" s="15" t="str">
        <x:v>Inventory Notion — Tidelock</x:v>
      </x:c>
      <x:c r="G434" s="15" t="str">
        <x:v>missing access / blocker ledger / next safe action</x:v>
      </x:c>
      <x:c r="H434" s="15" t="str">
        <x:v>source path + receipt + raw/export status + claim/edge/risk delta</x:v>
      </x:c>
      <x:c r="I434" s="15" t="str">
        <x:v>packet/SWARM-04-H01-S01</x:v>
      </x:c>
      <x:c r="J434" s="15" t="str">
        <x:v>TODO</x:v>
      </x:c>
      <x:c r="K434" s="15" t="str">
        <x:v>P0</x:v>
      </x:c>
      <x:c r="L434" s="15" t="str">
        <x:v>Done only when evidence is logged, contradiction search is noted, and boundary stamp remains non-canon unless ratified</x:v>
      </x:c>
      <x:c r="M434" s="15" t="str">
        <x:v>candidate / staging-only / not canon / not deployed / authority none</x:v>
      </x:c>
      <x:c r="N434" s="15" t="str">
        <x:v>Dispatch to Tidelock: complete Source Inventory x Notion; return deltas only, receipts required.</x:v>
      </x:c>
      <x:c r="O434" s="15" t="str">
        <x:v>AF-KG-H01-S01</x:v>
      </x:c>
      <x:c r="P434" s="15" t="str">
        <x:v>Unverified</x:v>
      </x:c>
      <x:c r="Q434" s="15" t="str">
        <x:v>Not checked</x:v>
      </x:c>
      <x:c r="R434" s="15" t="str"/>
      <x:c r="S434" s="15" t="str"/>
      <x:c r="T434" s="15" t="str">
        <x:v>Log first source path or blocker</x:v>
      </x:c>
      <x:c r="U434" s="12" t="str">
        <x:f>IF(OR(P434="Unverified",Q434="Not checked"),"BLOCKED_PENDING_RECEIPT","READY_FOR_REVIEW")</x:f>
        <x:v>BLOCKED_PENDING_RECEIPT</x:v>
      </x:c>
      <x:c r="V434" s="12" t="str">
        <x:f>IF(J434="DONE","RETURNED",IF(U434="BLOCKED_PENDING_RECEIPT","SOURCE_TOUCH_REQUIRED","IN_PROGRESS"))</x:f>
        <x:v>SOURCE_TOUCH_REQUIRED</x:v>
      </x:c>
      <x:c r="W434" s="12" t="str">
        <x:f>IF(P434="Unverified","missing_receipt","receipt_logged")</x:f>
        <x:v>missing_receipt</x:v>
      </x:c>
      <x:c r="X434" s="12" t="str">
        <x:f>IF(Q434="Not checked","raw_status_missing","raw_status_logged")</x:f>
        <x:v>raw_status_missing</x:v>
      </x:c>
      <x:c r="Y434" s="12" t="str">
        <x:f>IF(U434="BLOCKED_PENDING_RECEIPT","Log source path or blocker; do not promote","Route to review lane")</x:f>
        <x:v>Log source path or blocker; do not promote</x:v>
      </x:c>
      <x:c r="Z434" s="12" t="str">
        <x:f>IF(K434="P0","Primary seat + Hashlight/Lucerna","Seat lane")</x:f>
        <x:v>Primary seat + Hashlight/Lucerna</x:v>
      </x:c>
      <x:c r="AA434" s="12" t="str">
        <x:f>IF(R434="","no_claim_delta","claim_delta_present")</x:f>
        <x:v>no_claim_delta</x:v>
      </x:c>
      <x:c r="AB434" s="12" t="str">
        <x:f>IF(S434="","no_contradiction_delta","contradiction_delta_present")</x:f>
        <x:v>no_contradiction_delta</x:v>
      </x:c>
      <x:c r="AC434" s="12" t="str">
        <x:f>IF(OR(ISNUMBER(SEARCH("hacker",LOWER(F434&amp;" "&amp;H434&amp;" "&amp;I434&amp;" "&amp;M434&amp;" "&amp;N434&amp;" "&amp;T434))),ISNUMBER(SEARCH("hacking",LOWER(F434&amp;" "&amp;H434&amp;" "&amp;I434&amp;" "&amp;M434&amp;" "&amp;N434&amp;" "&amp;T434))),ISNUMBER(SEARCH("bank",LOWER(F434&amp;" "&amp;H434&amp;" "&amp;I434&amp;" "&amp;M434&amp;" "&amp;N434&amp;" "&amp;T434))),ISNUMBER(SEARCH("banking",LOWER(F434&amp;" "&amp;H434&amp;" "&amp;I434&amp;" "&amp;M434&amp;" "&amp;N434&amp;" "&amp;T434)))),"PRIVATE_QUARANTINE",IF(OR(ISNUMBER(SEARCH("treasury",LOWER(F434&amp;" "&amp;H434&amp;" "&amp;I434&amp;" "&amp;M434&amp;" "&amp;N434&amp;" "&amp;T434))),ISNUMBER(SEARCH("debt",LOWER(F434&amp;" "&amp;H434&amp;" "&amp;I434&amp;" "&amp;M434&amp;" "&amp;N434&amp;" "&amp;T434))),ISNUMBER(SEARCH("bond",LOWER(F434&amp;" "&amp;H434&amp;" "&amp;I434&amp;" "&amp;M434&amp;" "&amp;N434&amp;" "&amp;T434))),ISNUMBER(SEARCH("transaction",LOWER(F434&amp;" "&amp;H434&amp;" "&amp;I434&amp;" "&amp;M434&amp;" "&amp;N434&amp;" "&amp;T434)))),"PRIVATE_REVIEW","PUBLIC_CANDIDATE"))</x:f>
        <x:v>PUBLIC_CANDIDATE</x:v>
      </x:c>
      <x:c r="AD434" s="12" t="str">
        <x:f>IF(AC434="PRIVATE_QUARANTINE","hacker_or_bank_trigger",IF(AC434="PRIVATE_REVIEW","finance_risk_trigger","none"))</x:f>
        <x:v>none</x:v>
      </x:c>
      <x:c r="AE434" s="12" t="str">
        <x:f>IF(AC434="PUBLIC_CANDIDATE","prepare_public_github_candidate",IF(AC434="PRIVATE_REVIEW","hold_for_private_review","quarantine_private_do_not_publish"))</x:f>
        <x:v>prepare_public_github_candidate</x:v>
      </x:c>
      <x:c r="AF434" s="12" t="str">
        <x:f>IF(AC434="PUBLIC_CANDIDATE","TIDELOCK + Lucerna",IF(AC434="PRIVATE_REVIEW","AtlasBrain + Lucerna","TIDELOCK + Lucerna + Human-root"))</x:f>
        <x:v>TIDELOCK + Lucerna</x:v>
      </x:c>
      <x:c r="AG434" s="12" t="str">
        <x:f>IF(AND(AC434="PUBLIC_CANDIDATE",U434&lt;&gt;"BLOCKED_PENDING_RECEIPT"),"READY_AFTER_RECEIPT","NOT_READY")</x:f>
        <x:v>NOT_READY</x:v>
      </x:c>
      <x:c r="AH434" s="12" t="str">
        <x:f>IF(AC434="PUBLIC_CANDIDATE","none",AD434)</x:f>
        <x:v>none</x:v>
      </x:c>
      <x:c r="AI434" s="12" t="str">
        <x:f>IF(AC434="PUBLIC_CANDIDATE","archive/public_candidates/"&amp;A434,"private_quarantine/"&amp;A434)</x:f>
        <x:v>archive/public_candidates/SWARM-04-H01-S01</x:v>
      </x:c>
      <x:c r="AJ434" s="12" t="str">
        <x:f>IF(AC434="PUBLIC_CANDIDATE","public by default; still not canon","private/hold; do not publish")</x:f>
        <x:v>public by default; still not canon</x:v>
      </x:c>
      <x:c r="AK434" s="12" t="str">
        <x:f>IF(AE434="prepare_public_github_candidate","add receipt/status then mirror","resolve blocker before any public GitHub action")</x:f>
        <x:v>add receipt/status then mirror</x:v>
      </x:c>
    </x:row>
    <x:row r="435">
      <x:c r="A435" s="15" t="str">
        <x:v>SWARM-04-H01-S02</x:v>
      </x:c>
      <x:c r="B435" s="15" t="str">
        <x:v>Tidelock</x:v>
      </x:c>
      <x:c r="C435" s="15" t="str">
        <x:v>Access blocker keeper</x:v>
      </x:c>
      <x:c r="D435" s="15" t="str">
        <x:v>Source Inventory</x:v>
      </x:c>
      <x:c r="E435" s="15" t="str">
        <x:v>Drive</x:v>
      </x:c>
      <x:c r="F435" s="15" t="str">
        <x:v>Inventory Drive — Tidelock</x:v>
      </x:c>
      <x:c r="G435" s="15" t="str">
        <x:v>missing access / blocker ledger / next safe action</x:v>
      </x:c>
      <x:c r="H435" s="15" t="str">
        <x:v>source path + receipt + raw/export status + claim/edge/risk delta</x:v>
      </x:c>
      <x:c r="I435" s="15" t="str">
        <x:v>packet/SWARM-04-H01-S02</x:v>
      </x:c>
      <x:c r="J435" s="15" t="str">
        <x:v>TODO</x:v>
      </x:c>
      <x:c r="K435" s="15" t="str">
        <x:v>P0</x:v>
      </x:c>
      <x:c r="L435" s="15" t="str">
        <x:v>Done only when evidence is logged, contradiction search is noted, and boundary stamp remains non-canon unless ratified</x:v>
      </x:c>
      <x:c r="M435" s="15" t="str">
        <x:v>candidate / staging-only / not canon / not deployed / authority none</x:v>
      </x:c>
      <x:c r="N435" s="15" t="str">
        <x:v>Dispatch to Tidelock: complete Source Inventory x Drive; return deltas only, receipts required.</x:v>
      </x:c>
      <x:c r="O435" s="15" t="str">
        <x:v>AF-KG-H01-S02</x:v>
      </x:c>
      <x:c r="P435" s="15" t="str">
        <x:v>Unverified</x:v>
      </x:c>
      <x:c r="Q435" s="15" t="str">
        <x:v>Not checked</x:v>
      </x:c>
      <x:c r="R435" s="15" t="str"/>
      <x:c r="S435" s="15" t="str"/>
      <x:c r="T435" s="15" t="str">
        <x:v>Log first source path or blocker</x:v>
      </x:c>
      <x:c r="U435" s="12" t="str">
        <x:f>IF(OR(P435="Unverified",Q435="Not checked"),"BLOCKED_PENDING_RECEIPT","READY_FOR_REVIEW")</x:f>
        <x:v>BLOCKED_PENDING_RECEIPT</x:v>
      </x:c>
      <x:c r="V435" s="12" t="str">
        <x:f>IF(J435="DONE","RETURNED",IF(U435="BLOCKED_PENDING_RECEIPT","SOURCE_TOUCH_REQUIRED","IN_PROGRESS"))</x:f>
        <x:v>SOURCE_TOUCH_REQUIRED</x:v>
      </x:c>
      <x:c r="W435" s="12" t="str">
        <x:f>IF(P435="Unverified","missing_receipt","receipt_logged")</x:f>
        <x:v>missing_receipt</x:v>
      </x:c>
      <x:c r="X435" s="12" t="str">
        <x:f>IF(Q435="Not checked","raw_status_missing","raw_status_logged")</x:f>
        <x:v>raw_status_missing</x:v>
      </x:c>
      <x:c r="Y435" s="12" t="str">
        <x:f>IF(U435="BLOCKED_PENDING_RECEIPT","Log source path or blocker; do not promote","Route to review lane")</x:f>
        <x:v>Log source path or blocker; do not promote</x:v>
      </x:c>
      <x:c r="Z435" s="12" t="str">
        <x:f>IF(K435="P0","Primary seat + Hashlight/Lucerna","Seat lane")</x:f>
        <x:v>Primary seat + Hashlight/Lucerna</x:v>
      </x:c>
      <x:c r="AA435" s="12" t="str">
        <x:f>IF(R435="","no_claim_delta","claim_delta_present")</x:f>
        <x:v>no_claim_delta</x:v>
      </x:c>
      <x:c r="AB435" s="12" t="str">
        <x:f>IF(S435="","no_contradiction_delta","contradiction_delta_present")</x:f>
        <x:v>no_contradiction_delta</x:v>
      </x:c>
      <x:c r="AC435" s="12" t="str">
        <x:f>IF(OR(ISNUMBER(SEARCH("hacker",LOWER(F435&amp;" "&amp;H435&amp;" "&amp;I435&amp;" "&amp;M435&amp;" "&amp;N435&amp;" "&amp;T435))),ISNUMBER(SEARCH("hacking",LOWER(F435&amp;" "&amp;H435&amp;" "&amp;I435&amp;" "&amp;M435&amp;" "&amp;N435&amp;" "&amp;T435))),ISNUMBER(SEARCH("bank",LOWER(F435&amp;" "&amp;H435&amp;" "&amp;I435&amp;" "&amp;M435&amp;" "&amp;N435&amp;" "&amp;T435))),ISNUMBER(SEARCH("banking",LOWER(F435&amp;" "&amp;H435&amp;" "&amp;I435&amp;" "&amp;M435&amp;" "&amp;N435&amp;" "&amp;T435)))),"PRIVATE_QUARANTINE",IF(OR(ISNUMBER(SEARCH("treasury",LOWER(F435&amp;" "&amp;H435&amp;" "&amp;I435&amp;" "&amp;M435&amp;" "&amp;N435&amp;" "&amp;T435))),ISNUMBER(SEARCH("debt",LOWER(F435&amp;" "&amp;H435&amp;" "&amp;I435&amp;" "&amp;M435&amp;" "&amp;N435&amp;" "&amp;T435))),ISNUMBER(SEARCH("bond",LOWER(F435&amp;" "&amp;H435&amp;" "&amp;I435&amp;" "&amp;M435&amp;" "&amp;N435&amp;" "&amp;T435))),ISNUMBER(SEARCH("transaction",LOWER(F435&amp;" "&amp;H435&amp;" "&amp;I435&amp;" "&amp;M435&amp;" "&amp;N435&amp;" "&amp;T435)))),"PRIVATE_REVIEW","PUBLIC_CANDIDATE"))</x:f>
        <x:v>PUBLIC_CANDIDATE</x:v>
      </x:c>
      <x:c r="AD435" s="12" t="str">
        <x:f>IF(AC435="PRIVATE_QUARANTINE","hacker_or_bank_trigger",IF(AC435="PRIVATE_REVIEW","finance_risk_trigger","none"))</x:f>
        <x:v>none</x:v>
      </x:c>
      <x:c r="AE435" s="12" t="str">
        <x:f>IF(AC435="PUBLIC_CANDIDATE","prepare_public_github_candidate",IF(AC435="PRIVATE_REVIEW","hold_for_private_review","quarantine_private_do_not_publish"))</x:f>
        <x:v>prepare_public_github_candidate</x:v>
      </x:c>
      <x:c r="AF435" s="12" t="str">
        <x:f>IF(AC435="PUBLIC_CANDIDATE","TIDELOCK + Lucerna",IF(AC435="PRIVATE_REVIEW","AtlasBrain + Lucerna","TIDELOCK + Lucerna + Human-root"))</x:f>
        <x:v>TIDELOCK + Lucerna</x:v>
      </x:c>
      <x:c r="AG435" s="12" t="str">
        <x:f>IF(AND(AC435="PUBLIC_CANDIDATE",U435&lt;&gt;"BLOCKED_PENDING_RECEIPT"),"READY_AFTER_RECEIPT","NOT_READY")</x:f>
        <x:v>NOT_READY</x:v>
      </x:c>
      <x:c r="AH435" s="12" t="str">
        <x:f>IF(AC435="PUBLIC_CANDIDATE","none",AD435)</x:f>
        <x:v>none</x:v>
      </x:c>
      <x:c r="AI435" s="12" t="str">
        <x:f>IF(AC435="PUBLIC_CANDIDATE","archive/public_candidates/"&amp;A435,"private_quarantine/"&amp;A435)</x:f>
        <x:v>archive/public_candidates/SWARM-04-H01-S02</x:v>
      </x:c>
      <x:c r="AJ435" s="12" t="str">
        <x:f>IF(AC435="PUBLIC_CANDIDATE","public by default; still not canon","private/hold; do not publish")</x:f>
        <x:v>public by default; still not canon</x:v>
      </x:c>
      <x:c r="AK435" s="12" t="str">
        <x:f>IF(AE435="prepare_public_github_candidate","add receipt/status then mirror","resolve blocker before any public GitHub action")</x:f>
        <x:v>add receipt/status then mirror</x:v>
      </x:c>
    </x:row>
    <x:row r="436">
      <x:c r="A436" s="15" t="str">
        <x:v>SWARM-04-H01-S03</x:v>
      </x:c>
      <x:c r="B436" s="15" t="str">
        <x:v>Tidelock</x:v>
      </x:c>
      <x:c r="C436" s="15" t="str">
        <x:v>Access blocker keeper</x:v>
      </x:c>
      <x:c r="D436" s="15" t="str">
        <x:v>Source Inventory</x:v>
      </x:c>
      <x:c r="E436" s="15" t="str">
        <x:v>GitHub</x:v>
      </x:c>
      <x:c r="F436" s="15" t="str">
        <x:v>Inventory GitHub — Tidelock</x:v>
      </x:c>
      <x:c r="G436" s="15" t="str">
        <x:v>missing access / blocker ledger / next safe action</x:v>
      </x:c>
      <x:c r="H436" s="15" t="str">
        <x:v>source path + receipt + raw/export status + claim/edge/risk delta</x:v>
      </x:c>
      <x:c r="I436" s="15" t="str">
        <x:v>packet/SWARM-04-H01-S03</x:v>
      </x:c>
      <x:c r="J436" s="15" t="str">
        <x:v>TODO</x:v>
      </x:c>
      <x:c r="K436" s="15" t="str">
        <x:v>P0</x:v>
      </x:c>
      <x:c r="L436" s="15" t="str">
        <x:v>Done only when evidence is logged, contradiction search is noted, and boundary stamp remains non-canon unless ratified</x:v>
      </x:c>
      <x:c r="M436" s="15" t="str">
        <x:v>candidate / staging-only / not canon / not deployed / authority none</x:v>
      </x:c>
      <x:c r="N436" s="15" t="str">
        <x:v>Dispatch to Tidelock: complete Source Inventory x GitHub; return deltas only, receipts required.</x:v>
      </x:c>
      <x:c r="O436" s="15" t="str">
        <x:v>AF-KG-H01-S03</x:v>
      </x:c>
      <x:c r="P436" s="15" t="str">
        <x:v>Unverified</x:v>
      </x:c>
      <x:c r="Q436" s="15" t="str">
        <x:v>Not checked</x:v>
      </x:c>
      <x:c r="R436" s="15" t="str"/>
      <x:c r="S436" s="15" t="str"/>
      <x:c r="T436" s="15" t="str">
        <x:v>Log first source path or blocker</x:v>
      </x:c>
      <x:c r="U436" s="12" t="str">
        <x:f>IF(OR(P436="Unverified",Q436="Not checked"),"BLOCKED_PENDING_RECEIPT","READY_FOR_REVIEW")</x:f>
        <x:v>BLOCKED_PENDING_RECEIPT</x:v>
      </x:c>
      <x:c r="V436" s="12" t="str">
        <x:f>IF(J436="DONE","RETURNED",IF(U436="BLOCKED_PENDING_RECEIPT","SOURCE_TOUCH_REQUIRED","IN_PROGRESS"))</x:f>
        <x:v>SOURCE_TOUCH_REQUIRED</x:v>
      </x:c>
      <x:c r="W436" s="12" t="str">
        <x:f>IF(P436="Unverified","missing_receipt","receipt_logged")</x:f>
        <x:v>missing_receipt</x:v>
      </x:c>
      <x:c r="X436" s="12" t="str">
        <x:f>IF(Q436="Not checked","raw_status_missing","raw_status_logged")</x:f>
        <x:v>raw_status_missing</x:v>
      </x:c>
      <x:c r="Y436" s="12" t="str">
        <x:f>IF(U436="BLOCKED_PENDING_RECEIPT","Log source path or blocker; do not promote","Route to review lane")</x:f>
        <x:v>Log source path or blocker; do not promote</x:v>
      </x:c>
      <x:c r="Z436" s="12" t="str">
        <x:f>IF(K436="P0","Primary seat + Hashlight/Lucerna","Seat lane")</x:f>
        <x:v>Primary seat + Hashlight/Lucerna</x:v>
      </x:c>
      <x:c r="AA436" s="12" t="str">
        <x:f>IF(R436="","no_claim_delta","claim_delta_present")</x:f>
        <x:v>no_claim_delta</x:v>
      </x:c>
      <x:c r="AB436" s="12" t="str">
        <x:f>IF(S436="","no_contradiction_delta","contradiction_delta_present")</x:f>
        <x:v>no_contradiction_delta</x:v>
      </x:c>
      <x:c r="AC436" s="12" t="str">
        <x:f>IF(OR(ISNUMBER(SEARCH("hacker",LOWER(F436&amp;" "&amp;H436&amp;" "&amp;I436&amp;" "&amp;M436&amp;" "&amp;N436&amp;" "&amp;T436))),ISNUMBER(SEARCH("hacking",LOWER(F436&amp;" "&amp;H436&amp;" "&amp;I436&amp;" "&amp;M436&amp;" "&amp;N436&amp;" "&amp;T436))),ISNUMBER(SEARCH("bank",LOWER(F436&amp;" "&amp;H436&amp;" "&amp;I436&amp;" "&amp;M436&amp;" "&amp;N436&amp;" "&amp;T436))),ISNUMBER(SEARCH("banking",LOWER(F436&amp;" "&amp;H436&amp;" "&amp;I436&amp;" "&amp;M436&amp;" "&amp;N436&amp;" "&amp;T436)))),"PRIVATE_QUARANTINE",IF(OR(ISNUMBER(SEARCH("treasury",LOWER(F436&amp;" "&amp;H436&amp;" "&amp;I436&amp;" "&amp;M436&amp;" "&amp;N436&amp;" "&amp;T436))),ISNUMBER(SEARCH("debt",LOWER(F436&amp;" "&amp;H436&amp;" "&amp;I436&amp;" "&amp;M436&amp;" "&amp;N436&amp;" "&amp;T436))),ISNUMBER(SEARCH("bond",LOWER(F436&amp;" "&amp;H436&amp;" "&amp;I436&amp;" "&amp;M436&amp;" "&amp;N436&amp;" "&amp;T436))),ISNUMBER(SEARCH("transaction",LOWER(F436&amp;" "&amp;H436&amp;" "&amp;I436&amp;" "&amp;M436&amp;" "&amp;N436&amp;" "&amp;T436)))),"PRIVATE_REVIEW","PUBLIC_CANDIDATE"))</x:f>
        <x:v>PUBLIC_CANDIDATE</x:v>
      </x:c>
      <x:c r="AD436" s="12" t="str">
        <x:f>IF(AC436="PRIVATE_QUARANTINE","hacker_or_bank_trigger",IF(AC436="PRIVATE_REVIEW","finance_risk_trigger","none"))</x:f>
        <x:v>none</x:v>
      </x:c>
      <x:c r="AE436" s="12" t="str">
        <x:f>IF(AC436="PUBLIC_CANDIDATE","prepare_public_github_candidate",IF(AC436="PRIVATE_REVIEW","hold_for_private_review","quarantine_private_do_not_publish"))</x:f>
        <x:v>prepare_public_github_candidate</x:v>
      </x:c>
      <x:c r="AF436" s="12" t="str">
        <x:f>IF(AC436="PUBLIC_CANDIDATE","TIDELOCK + Lucerna",IF(AC436="PRIVATE_REVIEW","AtlasBrain + Lucerna","TIDELOCK + Lucerna + Human-root"))</x:f>
        <x:v>TIDELOCK + Lucerna</x:v>
      </x:c>
      <x:c r="AG436" s="12" t="str">
        <x:f>IF(AND(AC436="PUBLIC_CANDIDATE",U436&lt;&gt;"BLOCKED_PENDING_RECEIPT"),"READY_AFTER_RECEIPT","NOT_READY")</x:f>
        <x:v>NOT_READY</x:v>
      </x:c>
      <x:c r="AH436" s="12" t="str">
        <x:f>IF(AC436="PUBLIC_CANDIDATE","none",AD436)</x:f>
        <x:v>none</x:v>
      </x:c>
      <x:c r="AI436" s="12" t="str">
        <x:f>IF(AC436="PUBLIC_CANDIDATE","archive/public_candidates/"&amp;A436,"private_quarantine/"&amp;A436)</x:f>
        <x:v>archive/public_candidates/SWARM-04-H01-S03</x:v>
      </x:c>
      <x:c r="AJ436" s="12" t="str">
        <x:f>IF(AC436="PUBLIC_CANDIDATE","public by default; still not canon","private/hold; do not publish")</x:f>
        <x:v>public by default; still not canon</x:v>
      </x:c>
      <x:c r="AK436" s="12" t="str">
        <x:f>IF(AE436="prepare_public_github_candidate","add receipt/status then mirror","resolve blocker before any public GitHub action")</x:f>
        <x:v>add receipt/status then mirror</x:v>
      </x:c>
    </x:row>
    <x:row r="437">
      <x:c r="A437" s="15" t="str">
        <x:v>SWARM-04-H01-S04</x:v>
      </x:c>
      <x:c r="B437" s="15" t="str">
        <x:v>Tidelock</x:v>
      </x:c>
      <x:c r="C437" s="15" t="str">
        <x:v>Access blocker keeper</x:v>
      </x:c>
      <x:c r="D437" s="15" t="str">
        <x:v>Source Inventory</x:v>
      </x:c>
      <x:c r="E437" s="15" t="str">
        <x:v>Gamma</x:v>
      </x:c>
      <x:c r="F437" s="15" t="str">
        <x:v>Inventory Gamma — Tidelock</x:v>
      </x:c>
      <x:c r="G437" s="15" t="str">
        <x:v>missing access / blocker ledger / next safe action</x:v>
      </x:c>
      <x:c r="H437" s="15" t="str">
        <x:v>source path + receipt + raw/export status + claim/edge/risk delta</x:v>
      </x:c>
      <x:c r="I437" s="15" t="str">
        <x:v>packet/SWARM-04-H01-S04</x:v>
      </x:c>
      <x:c r="J437" s="15" t="str">
        <x:v>TODO</x:v>
      </x:c>
      <x:c r="K437" s="15" t="str">
        <x:v>P1</x:v>
      </x:c>
      <x:c r="L437" s="15" t="str">
        <x:v>Done only when evidence is logged, contradiction search is noted, and boundary stamp remains non-canon unless ratified</x:v>
      </x:c>
      <x:c r="M437" s="15" t="str">
        <x:v>candidate / staging-only / not canon / not deployed / authority none</x:v>
      </x:c>
      <x:c r="N437" s="15" t="str">
        <x:v>Dispatch to Tidelock: complete Source Inventory x Gamma; return deltas only, receipts required.</x:v>
      </x:c>
      <x:c r="O437" s="15" t="str">
        <x:v>AF-KG-H01-S04</x:v>
      </x:c>
      <x:c r="P437" s="15" t="str">
        <x:v>Unverified</x:v>
      </x:c>
      <x:c r="Q437" s="15" t="str">
        <x:v>Not checked</x:v>
      </x:c>
      <x:c r="R437" s="15" t="str"/>
      <x:c r="S437" s="15" t="str"/>
      <x:c r="T437" s="15" t="str">
        <x:v>Log first source path or blocker</x:v>
      </x:c>
      <x:c r="U437" s="12" t="str">
        <x:f>IF(OR(P437="Unverified",Q437="Not checked"),"BLOCKED_PENDING_RECEIPT","READY_FOR_REVIEW")</x:f>
        <x:v>BLOCKED_PENDING_RECEIPT</x:v>
      </x:c>
      <x:c r="V437" s="12" t="str">
        <x:f>IF(J437="DONE","RETURNED",IF(U437="BLOCKED_PENDING_RECEIPT","SOURCE_TOUCH_REQUIRED","IN_PROGRESS"))</x:f>
        <x:v>SOURCE_TOUCH_REQUIRED</x:v>
      </x:c>
      <x:c r="W437" s="12" t="str">
        <x:f>IF(P437="Unverified","missing_receipt","receipt_logged")</x:f>
        <x:v>missing_receipt</x:v>
      </x:c>
      <x:c r="X437" s="12" t="str">
        <x:f>IF(Q437="Not checked","raw_status_missing","raw_status_logged")</x:f>
        <x:v>raw_status_missing</x:v>
      </x:c>
      <x:c r="Y437" s="12" t="str">
        <x:f>IF(U437="BLOCKED_PENDING_RECEIPT","Log source path or blocker; do not promote","Route to review lane")</x:f>
        <x:v>Log source path or blocker; do not promote</x:v>
      </x:c>
      <x:c r="Z437" s="12" t="str">
        <x:f>IF(K437="P0","Primary seat + Hashlight/Lucerna","Seat lane")</x:f>
        <x:v>Seat lane</x:v>
      </x:c>
      <x:c r="AA437" s="12" t="str">
        <x:f>IF(R437="","no_claim_delta","claim_delta_present")</x:f>
        <x:v>no_claim_delta</x:v>
      </x:c>
      <x:c r="AB437" s="12" t="str">
        <x:f>IF(S437="","no_contradiction_delta","contradiction_delta_present")</x:f>
        <x:v>no_contradiction_delta</x:v>
      </x:c>
      <x:c r="AC437" s="12" t="str">
        <x:f>IF(OR(ISNUMBER(SEARCH("hacker",LOWER(F437&amp;" "&amp;H437&amp;" "&amp;I437&amp;" "&amp;M437&amp;" "&amp;N437&amp;" "&amp;T437))),ISNUMBER(SEARCH("hacking",LOWER(F437&amp;" "&amp;H437&amp;" "&amp;I437&amp;" "&amp;M437&amp;" "&amp;N437&amp;" "&amp;T437))),ISNUMBER(SEARCH("bank",LOWER(F437&amp;" "&amp;H437&amp;" "&amp;I437&amp;" "&amp;M437&amp;" "&amp;N437&amp;" "&amp;T437))),ISNUMBER(SEARCH("banking",LOWER(F437&amp;" "&amp;H437&amp;" "&amp;I437&amp;" "&amp;M437&amp;" "&amp;N437&amp;" "&amp;T437)))),"PRIVATE_QUARANTINE",IF(OR(ISNUMBER(SEARCH("treasury",LOWER(F437&amp;" "&amp;H437&amp;" "&amp;I437&amp;" "&amp;M437&amp;" "&amp;N437&amp;" "&amp;T437))),ISNUMBER(SEARCH("debt",LOWER(F437&amp;" "&amp;H437&amp;" "&amp;I437&amp;" "&amp;M437&amp;" "&amp;N437&amp;" "&amp;T437))),ISNUMBER(SEARCH("bond",LOWER(F437&amp;" "&amp;H437&amp;" "&amp;I437&amp;" "&amp;M437&amp;" "&amp;N437&amp;" "&amp;T437))),ISNUMBER(SEARCH("transaction",LOWER(F437&amp;" "&amp;H437&amp;" "&amp;I437&amp;" "&amp;M437&amp;" "&amp;N437&amp;" "&amp;T437)))),"PRIVATE_REVIEW","PUBLIC_CANDIDATE"))</x:f>
        <x:v>PUBLIC_CANDIDATE</x:v>
      </x:c>
      <x:c r="AD437" s="12" t="str">
        <x:f>IF(AC437="PRIVATE_QUARANTINE","hacker_or_bank_trigger",IF(AC437="PRIVATE_REVIEW","finance_risk_trigger","none"))</x:f>
        <x:v>none</x:v>
      </x:c>
      <x:c r="AE437" s="12" t="str">
        <x:f>IF(AC437="PUBLIC_CANDIDATE","prepare_public_github_candidate",IF(AC437="PRIVATE_REVIEW","hold_for_private_review","quarantine_private_do_not_publish"))</x:f>
        <x:v>prepare_public_github_candidate</x:v>
      </x:c>
      <x:c r="AF437" s="12" t="str">
        <x:f>IF(AC437="PUBLIC_CANDIDATE","TIDELOCK + Lucerna",IF(AC437="PRIVATE_REVIEW","AtlasBrain + Lucerna","TIDELOCK + Lucerna + Human-root"))</x:f>
        <x:v>TIDELOCK + Lucerna</x:v>
      </x:c>
      <x:c r="AG437" s="12" t="str">
        <x:f>IF(AND(AC437="PUBLIC_CANDIDATE",U437&lt;&gt;"BLOCKED_PENDING_RECEIPT"),"READY_AFTER_RECEIPT","NOT_READY")</x:f>
        <x:v>NOT_READY</x:v>
      </x:c>
      <x:c r="AH437" s="12" t="str">
        <x:f>IF(AC437="PUBLIC_CANDIDATE","none",AD437)</x:f>
        <x:v>none</x:v>
      </x:c>
      <x:c r="AI437" s="12" t="str">
        <x:f>IF(AC437="PUBLIC_CANDIDATE","archive/public_candidates/"&amp;A437,"private_quarantine/"&amp;A437)</x:f>
        <x:v>archive/public_candidates/SWARM-04-H01-S04</x:v>
      </x:c>
      <x:c r="AJ437" s="12" t="str">
        <x:f>IF(AC437="PUBLIC_CANDIDATE","public by default; still not canon","private/hold; do not publish")</x:f>
        <x:v>public by default; still not canon</x:v>
      </x:c>
      <x:c r="AK437" s="12" t="str">
        <x:f>IF(AE437="prepare_public_github_candidate","add receipt/status then mirror","resolve blocker before any public GitHub action")</x:f>
        <x:v>add receipt/status then mirror</x:v>
      </x:c>
    </x:row>
    <x:row r="438">
      <x:c r="A438" s="15" t="str">
        <x:v>SWARM-04-H01-S05</x:v>
      </x:c>
      <x:c r="B438" s="15" t="str">
        <x:v>Tidelock</x:v>
      </x:c>
      <x:c r="C438" s="15" t="str">
        <x:v>Access blocker keeper</x:v>
      </x:c>
      <x:c r="D438" s="15" t="str">
        <x:v>Source Inventory</x:v>
      </x:c>
      <x:c r="E438" s="15" t="str">
        <x:v>Chat</x:v>
      </x:c>
      <x:c r="F438" s="15" t="str">
        <x:v>Inventory Chat — Tidelock</x:v>
      </x:c>
      <x:c r="G438" s="15" t="str">
        <x:v>missing access / blocker ledger / next safe action</x:v>
      </x:c>
      <x:c r="H438" s="15" t="str">
        <x:v>source path + receipt + raw/export status + claim/edge/risk delta</x:v>
      </x:c>
      <x:c r="I438" s="15" t="str">
        <x:v>packet/SWARM-04-H01-S05</x:v>
      </x:c>
      <x:c r="J438" s="15" t="str">
        <x:v>TODO</x:v>
      </x:c>
      <x:c r="K438" s="15" t="str">
        <x:v>P1</x:v>
      </x:c>
      <x:c r="L438" s="15" t="str">
        <x:v>Done only when evidence is logged, contradiction search is noted, and boundary stamp remains non-canon unless ratified</x:v>
      </x:c>
      <x:c r="M438" s="15" t="str">
        <x:v>candidate / staging-only / not canon / not deployed / authority none</x:v>
      </x:c>
      <x:c r="N438" s="15" t="str">
        <x:v>Dispatch to Tidelock: complete Source Inventory x Chat; return deltas only, receipts required.</x:v>
      </x:c>
      <x:c r="O438" s="15" t="str">
        <x:v>AF-KG-H01-S05</x:v>
      </x:c>
      <x:c r="P438" s="15" t="str">
        <x:v>Unverified</x:v>
      </x:c>
      <x:c r="Q438" s="15" t="str">
        <x:v>Not checked</x:v>
      </x:c>
      <x:c r="R438" s="15" t="str"/>
      <x:c r="S438" s="15" t="str"/>
      <x:c r="T438" s="15" t="str">
        <x:v>Log first source path or blocker</x:v>
      </x:c>
      <x:c r="U438" s="12" t="str">
        <x:f>IF(OR(P438="Unverified",Q438="Not checked"),"BLOCKED_PENDING_RECEIPT","READY_FOR_REVIEW")</x:f>
        <x:v>BLOCKED_PENDING_RECEIPT</x:v>
      </x:c>
      <x:c r="V438" s="12" t="str">
        <x:f>IF(J438="DONE","RETURNED",IF(U438="BLOCKED_PENDING_RECEIPT","SOURCE_TOUCH_REQUIRED","IN_PROGRESS"))</x:f>
        <x:v>SOURCE_TOUCH_REQUIRED</x:v>
      </x:c>
      <x:c r="W438" s="12" t="str">
        <x:f>IF(P438="Unverified","missing_receipt","receipt_logged")</x:f>
        <x:v>missing_receipt</x:v>
      </x:c>
      <x:c r="X438" s="12" t="str">
        <x:f>IF(Q438="Not checked","raw_status_missing","raw_status_logged")</x:f>
        <x:v>raw_status_missing</x:v>
      </x:c>
      <x:c r="Y438" s="12" t="str">
        <x:f>IF(U438="BLOCKED_PENDING_RECEIPT","Log source path or blocker; do not promote","Route to review lane")</x:f>
        <x:v>Log source path or blocker; do not promote</x:v>
      </x:c>
      <x:c r="Z438" s="12" t="str">
        <x:f>IF(K438="P0","Primary seat + Hashlight/Lucerna","Seat lane")</x:f>
        <x:v>Seat lane</x:v>
      </x:c>
      <x:c r="AA438" s="12" t="str">
        <x:f>IF(R438="","no_claim_delta","claim_delta_present")</x:f>
        <x:v>no_claim_delta</x:v>
      </x:c>
      <x:c r="AB438" s="12" t="str">
        <x:f>IF(S438="","no_contradiction_delta","contradiction_delta_present")</x:f>
        <x:v>no_contradiction_delta</x:v>
      </x:c>
      <x:c r="AC438" s="12" t="str">
        <x:f>IF(OR(ISNUMBER(SEARCH("hacker",LOWER(F438&amp;" "&amp;H438&amp;" "&amp;I438&amp;" "&amp;M438&amp;" "&amp;N438&amp;" "&amp;T438))),ISNUMBER(SEARCH("hacking",LOWER(F438&amp;" "&amp;H438&amp;" "&amp;I438&amp;" "&amp;M438&amp;" "&amp;N438&amp;" "&amp;T438))),ISNUMBER(SEARCH("bank",LOWER(F438&amp;" "&amp;H438&amp;" "&amp;I438&amp;" "&amp;M438&amp;" "&amp;N438&amp;" "&amp;T438))),ISNUMBER(SEARCH("banking",LOWER(F438&amp;" "&amp;H438&amp;" "&amp;I438&amp;" "&amp;M438&amp;" "&amp;N438&amp;" "&amp;T438)))),"PRIVATE_QUARANTINE",IF(OR(ISNUMBER(SEARCH("treasury",LOWER(F438&amp;" "&amp;H438&amp;" "&amp;I438&amp;" "&amp;M438&amp;" "&amp;N438&amp;" "&amp;T438))),ISNUMBER(SEARCH("debt",LOWER(F438&amp;" "&amp;H438&amp;" "&amp;I438&amp;" "&amp;M438&amp;" "&amp;N438&amp;" "&amp;T438))),ISNUMBER(SEARCH("bond",LOWER(F438&amp;" "&amp;H438&amp;" "&amp;I438&amp;" "&amp;M438&amp;" "&amp;N438&amp;" "&amp;T438))),ISNUMBER(SEARCH("transaction",LOWER(F438&amp;" "&amp;H438&amp;" "&amp;I438&amp;" "&amp;M438&amp;" "&amp;N438&amp;" "&amp;T438)))),"PRIVATE_REVIEW","PUBLIC_CANDIDATE"))</x:f>
        <x:v>PUBLIC_CANDIDATE</x:v>
      </x:c>
      <x:c r="AD438" s="12" t="str">
        <x:f>IF(AC438="PRIVATE_QUARANTINE","hacker_or_bank_trigger",IF(AC438="PRIVATE_REVIEW","finance_risk_trigger","none"))</x:f>
        <x:v>none</x:v>
      </x:c>
      <x:c r="AE438" s="12" t="str">
        <x:f>IF(AC438="PUBLIC_CANDIDATE","prepare_public_github_candidate",IF(AC438="PRIVATE_REVIEW","hold_for_private_review","quarantine_private_do_not_publish"))</x:f>
        <x:v>prepare_public_github_candidate</x:v>
      </x:c>
      <x:c r="AF438" s="12" t="str">
        <x:f>IF(AC438="PUBLIC_CANDIDATE","TIDELOCK + Lucerna",IF(AC438="PRIVATE_REVIEW","AtlasBrain + Lucerna","TIDELOCK + Lucerna + Human-root"))</x:f>
        <x:v>TIDELOCK + Lucerna</x:v>
      </x:c>
      <x:c r="AG438" s="12" t="str">
        <x:f>IF(AND(AC438="PUBLIC_CANDIDATE",U438&lt;&gt;"BLOCKED_PENDING_RECEIPT"),"READY_AFTER_RECEIPT","NOT_READY")</x:f>
        <x:v>NOT_READY</x:v>
      </x:c>
      <x:c r="AH438" s="12" t="str">
        <x:f>IF(AC438="PUBLIC_CANDIDATE","none",AD438)</x:f>
        <x:v>none</x:v>
      </x:c>
      <x:c r="AI438" s="12" t="str">
        <x:f>IF(AC438="PUBLIC_CANDIDATE","archive/public_candidates/"&amp;A438,"private_quarantine/"&amp;A438)</x:f>
        <x:v>archive/public_candidates/SWARM-04-H01-S05</x:v>
      </x:c>
      <x:c r="AJ438" s="12" t="str">
        <x:f>IF(AC438="PUBLIC_CANDIDATE","public by default; still not canon","private/hold; do not publish")</x:f>
        <x:v>public by default; still not canon</x:v>
      </x:c>
      <x:c r="AK438" s="12" t="str">
        <x:f>IF(AE438="prepare_public_github_candidate","add receipt/status then mirror","resolve blocker before any public GitHub action")</x:f>
        <x:v>add receipt/status then mirror</x:v>
      </x:c>
    </x:row>
    <x:row r="439">
      <x:c r="A439" s="15" t="str">
        <x:v>SWARM-04-H01-S06</x:v>
      </x:c>
      <x:c r="B439" s="15" t="str">
        <x:v>Tidelock</x:v>
      </x:c>
      <x:c r="C439" s="15" t="str">
        <x:v>Access blocker keeper</x:v>
      </x:c>
      <x:c r="D439" s="15" t="str">
        <x:v>Source Inventory</x:v>
      </x:c>
      <x:c r="E439" s="15" t="str">
        <x:v>External Web</x:v>
      </x:c>
      <x:c r="F439" s="15" t="str">
        <x:v>Inventory External Web — Tidelock</x:v>
      </x:c>
      <x:c r="G439" s="15" t="str">
        <x:v>missing access / blocker ledger / next safe action</x:v>
      </x:c>
      <x:c r="H439" s="15" t="str">
        <x:v>source path + receipt + raw/export status + claim/edge/risk delta</x:v>
      </x:c>
      <x:c r="I439" s="15" t="str">
        <x:v>packet/SWARM-04-H01-S06</x:v>
      </x:c>
      <x:c r="J439" s="15" t="str">
        <x:v>TODO</x:v>
      </x:c>
      <x:c r="K439" s="15" t="str">
        <x:v>P1</x:v>
      </x:c>
      <x:c r="L439" s="15" t="str">
        <x:v>Done only when evidence is logged, contradiction search is noted, and boundary stamp remains non-canon unless ratified</x:v>
      </x:c>
      <x:c r="M439" s="15" t="str">
        <x:v>candidate / staging-only / not canon / not deployed / authority none</x:v>
      </x:c>
      <x:c r="N439" s="15" t="str">
        <x:v>Dispatch to Tidelock: complete Source Inventory x External Web; return deltas only, receipts required.</x:v>
      </x:c>
      <x:c r="O439" s="15" t="str">
        <x:v>AF-KG-H01-S06</x:v>
      </x:c>
      <x:c r="P439" s="15" t="str">
        <x:v>Unverified</x:v>
      </x:c>
      <x:c r="Q439" s="15" t="str">
        <x:v>Not checked</x:v>
      </x:c>
      <x:c r="R439" s="15" t="str"/>
      <x:c r="S439" s="15" t="str"/>
      <x:c r="T439" s="15" t="str">
        <x:v>Log first source path or blocker</x:v>
      </x:c>
      <x:c r="U439" s="12" t="str">
        <x:f>IF(OR(P439="Unverified",Q439="Not checked"),"BLOCKED_PENDING_RECEIPT","READY_FOR_REVIEW")</x:f>
        <x:v>BLOCKED_PENDING_RECEIPT</x:v>
      </x:c>
      <x:c r="V439" s="12" t="str">
        <x:f>IF(J439="DONE","RETURNED",IF(U439="BLOCKED_PENDING_RECEIPT","SOURCE_TOUCH_REQUIRED","IN_PROGRESS"))</x:f>
        <x:v>SOURCE_TOUCH_REQUIRED</x:v>
      </x:c>
      <x:c r="W439" s="12" t="str">
        <x:f>IF(P439="Unverified","missing_receipt","receipt_logged")</x:f>
        <x:v>missing_receipt</x:v>
      </x:c>
      <x:c r="X439" s="12" t="str">
        <x:f>IF(Q439="Not checked","raw_status_missing","raw_status_logged")</x:f>
        <x:v>raw_status_missing</x:v>
      </x:c>
      <x:c r="Y439" s="12" t="str">
        <x:f>IF(U439="BLOCKED_PENDING_RECEIPT","Log source path or blocker; do not promote","Route to review lane")</x:f>
        <x:v>Log source path or blocker; do not promote</x:v>
      </x:c>
      <x:c r="Z439" s="12" t="str">
        <x:f>IF(K439="P0","Primary seat + Hashlight/Lucerna","Seat lane")</x:f>
        <x:v>Seat lane</x:v>
      </x:c>
      <x:c r="AA439" s="12" t="str">
        <x:f>IF(R439="","no_claim_delta","claim_delta_present")</x:f>
        <x:v>no_claim_delta</x:v>
      </x:c>
      <x:c r="AB439" s="12" t="str">
        <x:f>IF(S439="","no_contradiction_delta","contradiction_delta_present")</x:f>
        <x:v>no_contradiction_delta</x:v>
      </x:c>
      <x:c r="AC439" s="12" t="str">
        <x:f>IF(OR(ISNUMBER(SEARCH("hacker",LOWER(F439&amp;" "&amp;H439&amp;" "&amp;I439&amp;" "&amp;M439&amp;" "&amp;N439&amp;" "&amp;T439))),ISNUMBER(SEARCH("hacking",LOWER(F439&amp;" "&amp;H439&amp;" "&amp;I439&amp;" "&amp;M439&amp;" "&amp;N439&amp;" "&amp;T439))),ISNUMBER(SEARCH("bank",LOWER(F439&amp;" "&amp;H439&amp;" "&amp;I439&amp;" "&amp;M439&amp;" "&amp;N439&amp;" "&amp;T439))),ISNUMBER(SEARCH("banking",LOWER(F439&amp;" "&amp;H439&amp;" "&amp;I439&amp;" "&amp;M439&amp;" "&amp;N439&amp;" "&amp;T439)))),"PRIVATE_QUARANTINE",IF(OR(ISNUMBER(SEARCH("treasury",LOWER(F439&amp;" "&amp;H439&amp;" "&amp;I439&amp;" "&amp;M439&amp;" "&amp;N439&amp;" "&amp;T439))),ISNUMBER(SEARCH("debt",LOWER(F439&amp;" "&amp;H439&amp;" "&amp;I439&amp;" "&amp;M439&amp;" "&amp;N439&amp;" "&amp;T439))),ISNUMBER(SEARCH("bond",LOWER(F439&amp;" "&amp;H439&amp;" "&amp;I439&amp;" "&amp;M439&amp;" "&amp;N439&amp;" "&amp;T439))),ISNUMBER(SEARCH("transaction",LOWER(F439&amp;" "&amp;H439&amp;" "&amp;I439&amp;" "&amp;M439&amp;" "&amp;N439&amp;" "&amp;T439)))),"PRIVATE_REVIEW","PUBLIC_CANDIDATE"))</x:f>
        <x:v>PUBLIC_CANDIDATE</x:v>
      </x:c>
      <x:c r="AD439" s="12" t="str">
        <x:f>IF(AC439="PRIVATE_QUARANTINE","hacker_or_bank_trigger",IF(AC439="PRIVATE_REVIEW","finance_risk_trigger","none"))</x:f>
        <x:v>none</x:v>
      </x:c>
      <x:c r="AE439" s="12" t="str">
        <x:f>IF(AC439="PUBLIC_CANDIDATE","prepare_public_github_candidate",IF(AC439="PRIVATE_REVIEW","hold_for_private_review","quarantine_private_do_not_publish"))</x:f>
        <x:v>prepare_public_github_candidate</x:v>
      </x:c>
      <x:c r="AF439" s="12" t="str">
        <x:f>IF(AC439="PUBLIC_CANDIDATE","TIDELOCK + Lucerna",IF(AC439="PRIVATE_REVIEW","AtlasBrain + Lucerna","TIDELOCK + Lucerna + Human-root"))</x:f>
        <x:v>TIDELOCK + Lucerna</x:v>
      </x:c>
      <x:c r="AG439" s="12" t="str">
        <x:f>IF(AND(AC439="PUBLIC_CANDIDATE",U439&lt;&gt;"BLOCKED_PENDING_RECEIPT"),"READY_AFTER_RECEIPT","NOT_READY")</x:f>
        <x:v>NOT_READY</x:v>
      </x:c>
      <x:c r="AH439" s="12" t="str">
        <x:f>IF(AC439="PUBLIC_CANDIDATE","none",AD439)</x:f>
        <x:v>none</x:v>
      </x:c>
      <x:c r="AI439" s="12" t="str">
        <x:f>IF(AC439="PUBLIC_CANDIDATE","archive/public_candidates/"&amp;A439,"private_quarantine/"&amp;A439)</x:f>
        <x:v>archive/public_candidates/SWARM-04-H01-S06</x:v>
      </x:c>
      <x:c r="AJ439" s="12" t="str">
        <x:f>IF(AC439="PUBLIC_CANDIDATE","public by default; still not canon","private/hold; do not publish")</x:f>
        <x:v>public by default; still not canon</x:v>
      </x:c>
      <x:c r="AK439" s="12" t="str">
        <x:f>IF(AE439="prepare_public_github_candidate","add receipt/status then mirror","resolve blocker before any public GitHub action")</x:f>
        <x:v>add receipt/status then mirror</x:v>
      </x:c>
    </x:row>
    <x:row r="440">
      <x:c r="A440" s="15" t="str">
        <x:v>SWARM-04-H01-S07</x:v>
      </x:c>
      <x:c r="B440" s="15" t="str">
        <x:v>Tidelock</x:v>
      </x:c>
      <x:c r="C440" s="15" t="str">
        <x:v>Access blocker keeper</x:v>
      </x:c>
      <x:c r="D440" s="15" t="str">
        <x:v>Source Inventory</x:v>
      </x:c>
      <x:c r="E440" s="15" t="str">
        <x:v>Planetarium</x:v>
      </x:c>
      <x:c r="F440" s="15" t="str">
        <x:v>Inventory Planetarium — Tidelock</x:v>
      </x:c>
      <x:c r="G440" s="15" t="str">
        <x:v>missing access / blocker ledger / next safe action</x:v>
      </x:c>
      <x:c r="H440" s="15" t="str">
        <x:v>source path + receipt + raw/export status + claim/edge/risk delta</x:v>
      </x:c>
      <x:c r="I440" s="15" t="str">
        <x:v>packet/SWARM-04-H01-S07</x:v>
      </x:c>
      <x:c r="J440" s="15" t="str">
        <x:v>TODO</x:v>
      </x:c>
      <x:c r="K440" s="15" t="str">
        <x:v>P1</x:v>
      </x:c>
      <x:c r="L440" s="15" t="str">
        <x:v>Done only when evidence is logged, contradiction search is noted, and boundary stamp remains non-canon unless ratified</x:v>
      </x:c>
      <x:c r="M440" s="15" t="str">
        <x:v>candidate / staging-only / not canon / not deployed / authority none</x:v>
      </x:c>
      <x:c r="N440" s="15" t="str">
        <x:v>Dispatch to Tidelock: complete Source Inventory x Planetarium; return deltas only, receipts required.</x:v>
      </x:c>
      <x:c r="O440" s="15" t="str">
        <x:v>AF-KG-H01-S07</x:v>
      </x:c>
      <x:c r="P440" s="15" t="str">
        <x:v>Unverified</x:v>
      </x:c>
      <x:c r="Q440" s="15" t="str">
        <x:v>Not checked</x:v>
      </x:c>
      <x:c r="R440" s="15" t="str"/>
      <x:c r="S440" s="15" t="str"/>
      <x:c r="T440" s="15" t="str">
        <x:v>Log first source path or blocker</x:v>
      </x:c>
      <x:c r="U440" s="12" t="str">
        <x:f>IF(OR(P440="Unverified",Q440="Not checked"),"BLOCKED_PENDING_RECEIPT","READY_FOR_REVIEW")</x:f>
        <x:v>BLOCKED_PENDING_RECEIPT</x:v>
      </x:c>
      <x:c r="V440" s="12" t="str">
        <x:f>IF(J440="DONE","RETURNED",IF(U440="BLOCKED_PENDING_RECEIPT","SOURCE_TOUCH_REQUIRED","IN_PROGRESS"))</x:f>
        <x:v>SOURCE_TOUCH_REQUIRED</x:v>
      </x:c>
      <x:c r="W440" s="12" t="str">
        <x:f>IF(P440="Unverified","missing_receipt","receipt_logged")</x:f>
        <x:v>missing_receipt</x:v>
      </x:c>
      <x:c r="X440" s="12" t="str">
        <x:f>IF(Q440="Not checked","raw_status_missing","raw_status_logged")</x:f>
        <x:v>raw_status_missing</x:v>
      </x:c>
      <x:c r="Y440" s="12" t="str">
        <x:f>IF(U440="BLOCKED_PENDING_RECEIPT","Log source path or blocker; do not promote","Route to review lane")</x:f>
        <x:v>Log source path or blocker; do not promote</x:v>
      </x:c>
      <x:c r="Z440" s="12" t="str">
        <x:f>IF(K440="P0","Primary seat + Hashlight/Lucerna","Seat lane")</x:f>
        <x:v>Seat lane</x:v>
      </x:c>
      <x:c r="AA440" s="12" t="str">
        <x:f>IF(R440="","no_claim_delta","claim_delta_present")</x:f>
        <x:v>no_claim_delta</x:v>
      </x:c>
      <x:c r="AB440" s="12" t="str">
        <x:f>IF(S440="","no_contradiction_delta","contradiction_delta_present")</x:f>
        <x:v>no_contradiction_delta</x:v>
      </x:c>
      <x:c r="AC440" s="12" t="str">
        <x:f>IF(OR(ISNUMBER(SEARCH("hacker",LOWER(F440&amp;" "&amp;H440&amp;" "&amp;I440&amp;" "&amp;M440&amp;" "&amp;N440&amp;" "&amp;T440))),ISNUMBER(SEARCH("hacking",LOWER(F440&amp;" "&amp;H440&amp;" "&amp;I440&amp;" "&amp;M440&amp;" "&amp;N440&amp;" "&amp;T440))),ISNUMBER(SEARCH("bank",LOWER(F440&amp;" "&amp;H440&amp;" "&amp;I440&amp;" "&amp;M440&amp;" "&amp;N440&amp;" "&amp;T440))),ISNUMBER(SEARCH("banking",LOWER(F440&amp;" "&amp;H440&amp;" "&amp;I440&amp;" "&amp;M440&amp;" "&amp;N440&amp;" "&amp;T440)))),"PRIVATE_QUARANTINE",IF(OR(ISNUMBER(SEARCH("treasury",LOWER(F440&amp;" "&amp;H440&amp;" "&amp;I440&amp;" "&amp;M440&amp;" "&amp;N440&amp;" "&amp;T440))),ISNUMBER(SEARCH("debt",LOWER(F440&amp;" "&amp;H440&amp;" "&amp;I440&amp;" "&amp;M440&amp;" "&amp;N440&amp;" "&amp;T440))),ISNUMBER(SEARCH("bond",LOWER(F440&amp;" "&amp;H440&amp;" "&amp;I440&amp;" "&amp;M440&amp;" "&amp;N440&amp;" "&amp;T440))),ISNUMBER(SEARCH("transaction",LOWER(F440&amp;" "&amp;H440&amp;" "&amp;I440&amp;" "&amp;M440&amp;" "&amp;N440&amp;" "&amp;T440)))),"PRIVATE_REVIEW","PUBLIC_CANDIDATE"))</x:f>
        <x:v>PUBLIC_CANDIDATE</x:v>
      </x:c>
      <x:c r="AD440" s="12" t="str">
        <x:f>IF(AC440="PRIVATE_QUARANTINE","hacker_or_bank_trigger",IF(AC440="PRIVATE_REVIEW","finance_risk_trigger","none"))</x:f>
        <x:v>none</x:v>
      </x:c>
      <x:c r="AE440" s="12" t="str">
        <x:f>IF(AC440="PUBLIC_CANDIDATE","prepare_public_github_candidate",IF(AC440="PRIVATE_REVIEW","hold_for_private_review","quarantine_private_do_not_publish"))</x:f>
        <x:v>prepare_public_github_candidate</x:v>
      </x:c>
      <x:c r="AF440" s="12" t="str">
        <x:f>IF(AC440="PUBLIC_CANDIDATE","TIDELOCK + Lucerna",IF(AC440="PRIVATE_REVIEW","AtlasBrain + Lucerna","TIDELOCK + Lucerna + Human-root"))</x:f>
        <x:v>TIDELOCK + Lucerna</x:v>
      </x:c>
      <x:c r="AG440" s="12" t="str">
        <x:f>IF(AND(AC440="PUBLIC_CANDIDATE",U440&lt;&gt;"BLOCKED_PENDING_RECEIPT"),"READY_AFTER_RECEIPT","NOT_READY")</x:f>
        <x:v>NOT_READY</x:v>
      </x:c>
      <x:c r="AH440" s="12" t="str">
        <x:f>IF(AC440="PUBLIC_CANDIDATE","none",AD440)</x:f>
        <x:v>none</x:v>
      </x:c>
      <x:c r="AI440" s="12" t="str">
        <x:f>IF(AC440="PUBLIC_CANDIDATE","archive/public_candidates/"&amp;A440,"private_quarantine/"&amp;A440)</x:f>
        <x:v>archive/public_candidates/SWARM-04-H01-S07</x:v>
      </x:c>
      <x:c r="AJ440" s="12" t="str">
        <x:f>IF(AC440="PUBLIC_CANDIDATE","public by default; still not canon","private/hold; do not publish")</x:f>
        <x:v>public by default; still not canon</x:v>
      </x:c>
      <x:c r="AK440" s="12" t="str">
        <x:f>IF(AE440="prepare_public_github_candidate","add receipt/status then mirror","resolve blocker before any public GitHub action")</x:f>
        <x:v>add receipt/status then mirror</x:v>
      </x:c>
    </x:row>
    <x:row r="441">
      <x:c r="A441" s="15" t="str">
        <x:v>SWARM-04-H01-S08</x:v>
      </x:c>
      <x:c r="B441" s="15" t="str">
        <x:v>Tidelock</x:v>
      </x:c>
      <x:c r="C441" s="15" t="str">
        <x:v>Access blocker keeper</x:v>
      </x:c>
      <x:c r="D441" s="15" t="str">
        <x:v>Source Inventory</x:v>
      </x:c>
      <x:c r="E441" s="15" t="str">
        <x:v>Sheldonbrain</x:v>
      </x:c>
      <x:c r="F441" s="15" t="str">
        <x:v>Inventory Sheldonbrain — Tidelock</x:v>
      </x:c>
      <x:c r="G441" s="15" t="str">
        <x:v>missing access / blocker ledger / next safe action</x:v>
      </x:c>
      <x:c r="H441" s="15" t="str">
        <x:v>source path + receipt + raw/export status + claim/edge/risk delta</x:v>
      </x:c>
      <x:c r="I441" s="15" t="str">
        <x:v>packet/SWARM-04-H01-S08</x:v>
      </x:c>
      <x:c r="J441" s="15" t="str">
        <x:v>TODO</x:v>
      </x:c>
      <x:c r="K441" s="15" t="str">
        <x:v>P1</x:v>
      </x:c>
      <x:c r="L441" s="15" t="str">
        <x:v>Done only when evidence is logged, contradiction search is noted, and boundary stamp remains non-canon unless ratified</x:v>
      </x:c>
      <x:c r="M441" s="15" t="str">
        <x:v>candidate / staging-only / not canon / not deployed / authority none</x:v>
      </x:c>
      <x:c r="N441" s="15" t="str">
        <x:v>Dispatch to Tidelock: complete Source Inventory x Sheldonbrain; return deltas only, receipts required.</x:v>
      </x:c>
      <x:c r="O441" s="15" t="str">
        <x:v>AF-KG-H01-S08</x:v>
      </x:c>
      <x:c r="P441" s="15" t="str">
        <x:v>Unverified</x:v>
      </x:c>
      <x:c r="Q441" s="15" t="str">
        <x:v>Not checked</x:v>
      </x:c>
      <x:c r="R441" s="15" t="str"/>
      <x:c r="S441" s="15" t="str"/>
      <x:c r="T441" s="15" t="str">
        <x:v>Log first source path or blocker</x:v>
      </x:c>
      <x:c r="U441" s="12" t="str">
        <x:f>IF(OR(P441="Unverified",Q441="Not checked"),"BLOCKED_PENDING_RECEIPT","READY_FOR_REVIEW")</x:f>
        <x:v>BLOCKED_PENDING_RECEIPT</x:v>
      </x:c>
      <x:c r="V441" s="12" t="str">
        <x:f>IF(J441="DONE","RETURNED",IF(U441="BLOCKED_PENDING_RECEIPT","SOURCE_TOUCH_REQUIRED","IN_PROGRESS"))</x:f>
        <x:v>SOURCE_TOUCH_REQUIRED</x:v>
      </x:c>
      <x:c r="W441" s="12" t="str">
        <x:f>IF(P441="Unverified","missing_receipt","receipt_logged")</x:f>
        <x:v>missing_receipt</x:v>
      </x:c>
      <x:c r="X441" s="12" t="str">
        <x:f>IF(Q441="Not checked","raw_status_missing","raw_status_logged")</x:f>
        <x:v>raw_status_missing</x:v>
      </x:c>
      <x:c r="Y441" s="12" t="str">
        <x:f>IF(U441="BLOCKED_PENDING_RECEIPT","Log source path or blocker; do not promote","Route to review lane")</x:f>
        <x:v>Log source path or blocker; do not promote</x:v>
      </x:c>
      <x:c r="Z441" s="12" t="str">
        <x:f>IF(K441="P0","Primary seat + Hashlight/Lucerna","Seat lane")</x:f>
        <x:v>Seat lane</x:v>
      </x:c>
      <x:c r="AA441" s="12" t="str">
        <x:f>IF(R441="","no_claim_delta","claim_delta_present")</x:f>
        <x:v>no_claim_delta</x:v>
      </x:c>
      <x:c r="AB441" s="12" t="str">
        <x:f>IF(S441="","no_contradiction_delta","contradiction_delta_present")</x:f>
        <x:v>no_contradiction_delta</x:v>
      </x:c>
      <x:c r="AC441" s="12" t="str">
        <x:f>IF(OR(ISNUMBER(SEARCH("hacker",LOWER(F441&amp;" "&amp;H441&amp;" "&amp;I441&amp;" "&amp;M441&amp;" "&amp;N441&amp;" "&amp;T441))),ISNUMBER(SEARCH("hacking",LOWER(F441&amp;" "&amp;H441&amp;" "&amp;I441&amp;" "&amp;M441&amp;" "&amp;N441&amp;" "&amp;T441))),ISNUMBER(SEARCH("bank",LOWER(F441&amp;" "&amp;H441&amp;" "&amp;I441&amp;" "&amp;M441&amp;" "&amp;N441&amp;" "&amp;T441))),ISNUMBER(SEARCH("banking",LOWER(F441&amp;" "&amp;H441&amp;" "&amp;I441&amp;" "&amp;M441&amp;" "&amp;N441&amp;" "&amp;T441)))),"PRIVATE_QUARANTINE",IF(OR(ISNUMBER(SEARCH("treasury",LOWER(F441&amp;" "&amp;H441&amp;" "&amp;I441&amp;" "&amp;M441&amp;" "&amp;N441&amp;" "&amp;T441))),ISNUMBER(SEARCH("debt",LOWER(F441&amp;" "&amp;H441&amp;" "&amp;I441&amp;" "&amp;M441&amp;" "&amp;N441&amp;" "&amp;T441))),ISNUMBER(SEARCH("bond",LOWER(F441&amp;" "&amp;H441&amp;" "&amp;I441&amp;" "&amp;M441&amp;" "&amp;N441&amp;" "&amp;T441))),ISNUMBER(SEARCH("transaction",LOWER(F441&amp;" "&amp;H441&amp;" "&amp;I441&amp;" "&amp;M441&amp;" "&amp;N441&amp;" "&amp;T441)))),"PRIVATE_REVIEW","PUBLIC_CANDIDATE"))</x:f>
        <x:v>PUBLIC_CANDIDATE</x:v>
      </x:c>
      <x:c r="AD441" s="12" t="str">
        <x:f>IF(AC441="PRIVATE_QUARANTINE","hacker_or_bank_trigger",IF(AC441="PRIVATE_REVIEW","finance_risk_trigger","none"))</x:f>
        <x:v>none</x:v>
      </x:c>
      <x:c r="AE441" s="12" t="str">
        <x:f>IF(AC441="PUBLIC_CANDIDATE","prepare_public_github_candidate",IF(AC441="PRIVATE_REVIEW","hold_for_private_review","quarantine_private_do_not_publish"))</x:f>
        <x:v>prepare_public_github_candidate</x:v>
      </x:c>
      <x:c r="AF441" s="12" t="str">
        <x:f>IF(AC441="PUBLIC_CANDIDATE","TIDELOCK + Lucerna",IF(AC441="PRIVATE_REVIEW","AtlasBrain + Lucerna","TIDELOCK + Lucerna + Human-root"))</x:f>
        <x:v>TIDELOCK + Lucerna</x:v>
      </x:c>
      <x:c r="AG441" s="12" t="str">
        <x:f>IF(AND(AC441="PUBLIC_CANDIDATE",U441&lt;&gt;"BLOCKED_PENDING_RECEIPT"),"READY_AFTER_RECEIPT","NOT_READY")</x:f>
        <x:v>NOT_READY</x:v>
      </x:c>
      <x:c r="AH441" s="12" t="str">
        <x:f>IF(AC441="PUBLIC_CANDIDATE","none",AD441)</x:f>
        <x:v>none</x:v>
      </x:c>
      <x:c r="AI441" s="12" t="str">
        <x:f>IF(AC441="PUBLIC_CANDIDATE","archive/public_candidates/"&amp;A441,"private_quarantine/"&amp;A441)</x:f>
        <x:v>archive/public_candidates/SWARM-04-H01-S08</x:v>
      </x:c>
      <x:c r="AJ441" s="12" t="str">
        <x:f>IF(AC441="PUBLIC_CANDIDATE","public by default; still not canon","private/hold; do not publish")</x:f>
        <x:v>public by default; still not canon</x:v>
      </x:c>
      <x:c r="AK441" s="12" t="str">
        <x:f>IF(AE441="prepare_public_github_candidate","add receipt/status then mirror","resolve blocker before any public GitHub action")</x:f>
        <x:v>add receipt/status then mirror</x:v>
      </x:c>
    </x:row>
    <x:row r="442">
      <x:c r="A442" s="15" t="str">
        <x:v>SWARM-04-H01-S09</x:v>
      </x:c>
      <x:c r="B442" s="15" t="str">
        <x:v>Tidelock</x:v>
      </x:c>
      <x:c r="C442" s="15" t="str">
        <x:v>Access blocker keeper</x:v>
      </x:c>
      <x:c r="D442" s="15" t="str">
        <x:v>Source Inventory</x:v>
      </x:c>
      <x:c r="E442" s="15" t="str">
        <x:v>Aetherforge</x:v>
      </x:c>
      <x:c r="F442" s="15" t="str">
        <x:v>Inventory Aetherforge — Tidelock</x:v>
      </x:c>
      <x:c r="G442" s="15" t="str">
        <x:v>missing access / blocker ledger / next safe action</x:v>
      </x:c>
      <x:c r="H442" s="15" t="str">
        <x:v>source path + receipt + raw/export status + claim/edge/risk delta</x:v>
      </x:c>
      <x:c r="I442" s="15" t="str">
        <x:v>packet/SWARM-04-H01-S09</x:v>
      </x:c>
      <x:c r="J442" s="15" t="str">
        <x:v>TODO</x:v>
      </x:c>
      <x:c r="K442" s="15" t="str">
        <x:v>P2</x:v>
      </x:c>
      <x:c r="L442" s="15" t="str">
        <x:v>Done only when evidence is logged, contradiction search is noted, and boundary stamp remains non-canon unless ratified</x:v>
      </x:c>
      <x:c r="M442" s="15" t="str">
        <x:v>candidate / staging-only / not canon / not deployed / authority none</x:v>
      </x:c>
      <x:c r="N442" s="15" t="str">
        <x:v>Dispatch to Tidelock: complete Source Inventory x Aetherforge; return deltas only, receipts required.</x:v>
      </x:c>
      <x:c r="O442" s="15" t="str">
        <x:v>AF-KG-H01-S09</x:v>
      </x:c>
      <x:c r="P442" s="15" t="str">
        <x:v>Unverified</x:v>
      </x:c>
      <x:c r="Q442" s="15" t="str">
        <x:v>Not checked</x:v>
      </x:c>
      <x:c r="R442" s="15" t="str"/>
      <x:c r="S442" s="15" t="str"/>
      <x:c r="T442" s="15" t="str">
        <x:v>Log first source path or blocker</x:v>
      </x:c>
      <x:c r="U442" s="12" t="str">
        <x:f>IF(OR(P442="Unverified",Q442="Not checked"),"BLOCKED_PENDING_RECEIPT","READY_FOR_REVIEW")</x:f>
        <x:v>BLOCKED_PENDING_RECEIPT</x:v>
      </x:c>
      <x:c r="V442" s="12" t="str">
        <x:f>IF(J442="DONE","RETURNED",IF(U442="BLOCKED_PENDING_RECEIPT","SOURCE_TOUCH_REQUIRED","IN_PROGRESS"))</x:f>
        <x:v>SOURCE_TOUCH_REQUIRED</x:v>
      </x:c>
      <x:c r="W442" s="12" t="str">
        <x:f>IF(P442="Unverified","missing_receipt","receipt_logged")</x:f>
        <x:v>missing_receipt</x:v>
      </x:c>
      <x:c r="X442" s="12" t="str">
        <x:f>IF(Q442="Not checked","raw_status_missing","raw_status_logged")</x:f>
        <x:v>raw_status_missing</x:v>
      </x:c>
      <x:c r="Y442" s="12" t="str">
        <x:f>IF(U442="BLOCKED_PENDING_RECEIPT","Log source path or blocker; do not promote","Route to review lane")</x:f>
        <x:v>Log source path or blocker; do not promote</x:v>
      </x:c>
      <x:c r="Z442" s="12" t="str">
        <x:f>IF(K442="P0","Primary seat + Hashlight/Lucerna","Seat lane")</x:f>
        <x:v>Seat lane</x:v>
      </x:c>
      <x:c r="AA442" s="12" t="str">
        <x:f>IF(R442="","no_claim_delta","claim_delta_present")</x:f>
        <x:v>no_claim_delta</x:v>
      </x:c>
      <x:c r="AB442" s="12" t="str">
        <x:f>IF(S442="","no_contradiction_delta","contradiction_delta_present")</x:f>
        <x:v>no_contradiction_delta</x:v>
      </x:c>
      <x:c r="AC442" s="12" t="str">
        <x:f>IF(OR(ISNUMBER(SEARCH("hacker",LOWER(F442&amp;" "&amp;H442&amp;" "&amp;I442&amp;" "&amp;M442&amp;" "&amp;N442&amp;" "&amp;T442))),ISNUMBER(SEARCH("hacking",LOWER(F442&amp;" "&amp;H442&amp;" "&amp;I442&amp;" "&amp;M442&amp;" "&amp;N442&amp;" "&amp;T442))),ISNUMBER(SEARCH("bank",LOWER(F442&amp;" "&amp;H442&amp;" "&amp;I442&amp;" "&amp;M442&amp;" "&amp;N442&amp;" "&amp;T442))),ISNUMBER(SEARCH("banking",LOWER(F442&amp;" "&amp;H442&amp;" "&amp;I442&amp;" "&amp;M442&amp;" "&amp;N442&amp;" "&amp;T442)))),"PRIVATE_QUARANTINE",IF(OR(ISNUMBER(SEARCH("treasury",LOWER(F442&amp;" "&amp;H442&amp;" "&amp;I442&amp;" "&amp;M442&amp;" "&amp;N442&amp;" "&amp;T442))),ISNUMBER(SEARCH("debt",LOWER(F442&amp;" "&amp;H442&amp;" "&amp;I442&amp;" "&amp;M442&amp;" "&amp;N442&amp;" "&amp;T442))),ISNUMBER(SEARCH("bond",LOWER(F442&amp;" "&amp;H442&amp;" "&amp;I442&amp;" "&amp;M442&amp;" "&amp;N442&amp;" "&amp;T442))),ISNUMBER(SEARCH("transaction",LOWER(F442&amp;" "&amp;H442&amp;" "&amp;I442&amp;" "&amp;M442&amp;" "&amp;N442&amp;" "&amp;T442)))),"PRIVATE_REVIEW","PUBLIC_CANDIDATE"))</x:f>
        <x:v>PUBLIC_CANDIDATE</x:v>
      </x:c>
      <x:c r="AD442" s="12" t="str">
        <x:f>IF(AC442="PRIVATE_QUARANTINE","hacker_or_bank_trigger",IF(AC442="PRIVATE_REVIEW","finance_risk_trigger","none"))</x:f>
        <x:v>none</x:v>
      </x:c>
      <x:c r="AE442" s="12" t="str">
        <x:f>IF(AC442="PUBLIC_CANDIDATE","prepare_public_github_candidate",IF(AC442="PRIVATE_REVIEW","hold_for_private_review","quarantine_private_do_not_publish"))</x:f>
        <x:v>prepare_public_github_candidate</x:v>
      </x:c>
      <x:c r="AF442" s="12" t="str">
        <x:f>IF(AC442="PUBLIC_CANDIDATE","TIDELOCK + Lucerna",IF(AC442="PRIVATE_REVIEW","AtlasBrain + Lucerna","TIDELOCK + Lucerna + Human-root"))</x:f>
        <x:v>TIDELOCK + Lucerna</x:v>
      </x:c>
      <x:c r="AG442" s="12" t="str">
        <x:f>IF(AND(AC442="PUBLIC_CANDIDATE",U442&lt;&gt;"BLOCKED_PENDING_RECEIPT"),"READY_AFTER_RECEIPT","NOT_READY")</x:f>
        <x:v>NOT_READY</x:v>
      </x:c>
      <x:c r="AH442" s="12" t="str">
        <x:f>IF(AC442="PUBLIC_CANDIDATE","none",AD442)</x:f>
        <x:v>none</x:v>
      </x:c>
      <x:c r="AI442" s="12" t="str">
        <x:f>IF(AC442="PUBLIC_CANDIDATE","archive/public_candidates/"&amp;A442,"private_quarantine/"&amp;A442)</x:f>
        <x:v>archive/public_candidates/SWARM-04-H01-S09</x:v>
      </x:c>
      <x:c r="AJ442" s="12" t="str">
        <x:f>IF(AC442="PUBLIC_CANDIDATE","public by default; still not canon","private/hold; do not publish")</x:f>
        <x:v>public by default; still not canon</x:v>
      </x:c>
      <x:c r="AK442" s="12" t="str">
        <x:f>IF(AE442="prepare_public_github_candidate","add receipt/status then mirror","resolve blocker before any public GitHub action")</x:f>
        <x:v>add receipt/status then mirror</x:v>
      </x:c>
    </x:row>
    <x:row r="443">
      <x:c r="A443" s="15" t="str">
        <x:v>SWARM-04-H01-S10</x:v>
      </x:c>
      <x:c r="B443" s="15" t="str">
        <x:v>Tidelock</x:v>
      </x:c>
      <x:c r="C443" s="15" t="str">
        <x:v>Access blocker keeper</x:v>
      </x:c>
      <x:c r="D443" s="15" t="str">
        <x:v>Source Inventory</x:v>
      </x:c>
      <x:c r="E443" s="15" t="str">
        <x:v>Human-Root</x:v>
      </x:c>
      <x:c r="F443" s="15" t="str">
        <x:v>Inventory Human-Root — Tidelock</x:v>
      </x:c>
      <x:c r="G443" s="15" t="str">
        <x:v>missing access / blocker ledger / next safe action</x:v>
      </x:c>
      <x:c r="H443" s="15" t="str">
        <x:v>source path + receipt + raw/export status + claim/edge/risk delta</x:v>
      </x:c>
      <x:c r="I443" s="15" t="str">
        <x:v>packet/SWARM-04-H01-S10</x:v>
      </x:c>
      <x:c r="J443" s="15" t="str">
        <x:v>TODO</x:v>
      </x:c>
      <x:c r="K443" s="15" t="str">
        <x:v>P2</x:v>
      </x:c>
      <x:c r="L443" s="15" t="str">
        <x:v>Done only when evidence is logged, contradiction search is noted, and boundary stamp remains non-canon unless ratified</x:v>
      </x:c>
      <x:c r="M443" s="15" t="str">
        <x:v>candidate / staging-only / not canon / not deployed / authority none</x:v>
      </x:c>
      <x:c r="N443" s="15" t="str">
        <x:v>Dispatch to Tidelock: complete Source Inventory x Human-Root; return deltas only, receipts required.</x:v>
      </x:c>
      <x:c r="O443" s="15" t="str">
        <x:v>AF-KG-H01-S10</x:v>
      </x:c>
      <x:c r="P443" s="15" t="str">
        <x:v>Unverified</x:v>
      </x:c>
      <x:c r="Q443" s="15" t="str">
        <x:v>Not checked</x:v>
      </x:c>
      <x:c r="R443" s="15" t="str"/>
      <x:c r="S443" s="15" t="str"/>
      <x:c r="T443" s="15" t="str">
        <x:v>Log first source path or blocker</x:v>
      </x:c>
      <x:c r="U443" s="12" t="str">
        <x:f>IF(OR(P443="Unverified",Q443="Not checked"),"BLOCKED_PENDING_RECEIPT","READY_FOR_REVIEW")</x:f>
        <x:v>BLOCKED_PENDING_RECEIPT</x:v>
      </x:c>
      <x:c r="V443" s="12" t="str">
        <x:f>IF(J443="DONE","RETURNED",IF(U443="BLOCKED_PENDING_RECEIPT","SOURCE_TOUCH_REQUIRED","IN_PROGRESS"))</x:f>
        <x:v>SOURCE_TOUCH_REQUIRED</x:v>
      </x:c>
      <x:c r="W443" s="12" t="str">
        <x:f>IF(P443="Unverified","missing_receipt","receipt_logged")</x:f>
        <x:v>missing_receipt</x:v>
      </x:c>
      <x:c r="X443" s="12" t="str">
        <x:f>IF(Q443="Not checked","raw_status_missing","raw_status_logged")</x:f>
        <x:v>raw_status_missing</x:v>
      </x:c>
      <x:c r="Y443" s="12" t="str">
        <x:f>IF(U443="BLOCKED_PENDING_RECEIPT","Log source path or blocker; do not promote","Route to review lane")</x:f>
        <x:v>Log source path or blocker; do not promote</x:v>
      </x:c>
      <x:c r="Z443" s="12" t="str">
        <x:f>IF(K443="P0","Primary seat + Hashlight/Lucerna","Seat lane")</x:f>
        <x:v>Seat lane</x:v>
      </x:c>
      <x:c r="AA443" s="12" t="str">
        <x:f>IF(R443="","no_claim_delta","claim_delta_present")</x:f>
        <x:v>no_claim_delta</x:v>
      </x:c>
      <x:c r="AB443" s="12" t="str">
        <x:f>IF(S443="","no_contradiction_delta","contradiction_delta_present")</x:f>
        <x:v>no_contradiction_delta</x:v>
      </x:c>
      <x:c r="AC443" s="12" t="str">
        <x:f>IF(OR(ISNUMBER(SEARCH("hacker",LOWER(F443&amp;" "&amp;H443&amp;" "&amp;I443&amp;" "&amp;M443&amp;" "&amp;N443&amp;" "&amp;T443))),ISNUMBER(SEARCH("hacking",LOWER(F443&amp;" "&amp;H443&amp;" "&amp;I443&amp;" "&amp;M443&amp;" "&amp;N443&amp;" "&amp;T443))),ISNUMBER(SEARCH("bank",LOWER(F443&amp;" "&amp;H443&amp;" "&amp;I443&amp;" "&amp;M443&amp;" "&amp;N443&amp;" "&amp;T443))),ISNUMBER(SEARCH("banking",LOWER(F443&amp;" "&amp;H443&amp;" "&amp;I443&amp;" "&amp;M443&amp;" "&amp;N443&amp;" "&amp;T443)))),"PRIVATE_QUARANTINE",IF(OR(ISNUMBER(SEARCH("treasury",LOWER(F443&amp;" "&amp;H443&amp;" "&amp;I443&amp;" "&amp;M443&amp;" "&amp;N443&amp;" "&amp;T443))),ISNUMBER(SEARCH("debt",LOWER(F443&amp;" "&amp;H443&amp;" "&amp;I443&amp;" "&amp;M443&amp;" "&amp;N443&amp;" "&amp;T443))),ISNUMBER(SEARCH("bond",LOWER(F443&amp;" "&amp;H443&amp;" "&amp;I443&amp;" "&amp;M443&amp;" "&amp;N443&amp;" "&amp;T443))),ISNUMBER(SEARCH("transaction",LOWER(F443&amp;" "&amp;H443&amp;" "&amp;I443&amp;" "&amp;M443&amp;" "&amp;N443&amp;" "&amp;T443)))),"PRIVATE_REVIEW","PUBLIC_CANDIDATE"))</x:f>
        <x:v>PUBLIC_CANDIDATE</x:v>
      </x:c>
      <x:c r="AD443" s="12" t="str">
        <x:f>IF(AC443="PRIVATE_QUARANTINE","hacker_or_bank_trigger",IF(AC443="PRIVATE_REVIEW","finance_risk_trigger","none"))</x:f>
        <x:v>none</x:v>
      </x:c>
      <x:c r="AE443" s="12" t="str">
        <x:f>IF(AC443="PUBLIC_CANDIDATE","prepare_public_github_candidate",IF(AC443="PRIVATE_REVIEW","hold_for_private_review","quarantine_private_do_not_publish"))</x:f>
        <x:v>prepare_public_github_candidate</x:v>
      </x:c>
      <x:c r="AF443" s="12" t="str">
        <x:f>IF(AC443="PUBLIC_CANDIDATE","TIDELOCK + Lucerna",IF(AC443="PRIVATE_REVIEW","AtlasBrain + Lucerna","TIDELOCK + Lucerna + Human-root"))</x:f>
        <x:v>TIDELOCK + Lucerna</x:v>
      </x:c>
      <x:c r="AG443" s="12" t="str">
        <x:f>IF(AND(AC443="PUBLIC_CANDIDATE",U443&lt;&gt;"BLOCKED_PENDING_RECEIPT"),"READY_AFTER_RECEIPT","NOT_READY")</x:f>
        <x:v>NOT_READY</x:v>
      </x:c>
      <x:c r="AH443" s="12" t="str">
        <x:f>IF(AC443="PUBLIC_CANDIDATE","none",AD443)</x:f>
        <x:v>none</x:v>
      </x:c>
      <x:c r="AI443" s="12" t="str">
        <x:f>IF(AC443="PUBLIC_CANDIDATE","archive/public_candidates/"&amp;A443,"private_quarantine/"&amp;A443)</x:f>
        <x:v>archive/public_candidates/SWARM-04-H01-S10</x:v>
      </x:c>
      <x:c r="AJ443" s="12" t="str">
        <x:f>IF(AC443="PUBLIC_CANDIDATE","public by default; still not canon","private/hold; do not publish")</x:f>
        <x:v>public by default; still not canon</x:v>
      </x:c>
      <x:c r="AK443" s="12" t="str">
        <x:f>IF(AE443="prepare_public_github_candidate","add receipt/status then mirror","resolve blocker before any public GitHub action")</x:f>
        <x:v>add receipt/status then mirror</x:v>
      </x:c>
    </x:row>
    <x:row r="444">
      <x:c r="A444" s="15" t="str">
        <x:v>SWARM-04-H01-S11</x:v>
      </x:c>
      <x:c r="B444" s="15" t="str">
        <x:v>Tidelock</x:v>
      </x:c>
      <x:c r="C444" s="15" t="str">
        <x:v>Access blocker keeper</x:v>
      </x:c>
      <x:c r="D444" s="15" t="str">
        <x:v>Source Inventory</x:v>
      </x:c>
      <x:c r="E444" s="15" t="str">
        <x:v>Automation</x:v>
      </x:c>
      <x:c r="F444" s="15" t="str">
        <x:v>Inventory Automation — Tidelock</x:v>
      </x:c>
      <x:c r="G444" s="15" t="str">
        <x:v>missing access / blocker ledger / next safe action</x:v>
      </x:c>
      <x:c r="H444" s="15" t="str">
        <x:v>source path + receipt + raw/export status + claim/edge/risk delta</x:v>
      </x:c>
      <x:c r="I444" s="15" t="str">
        <x:v>packet/SWARM-04-H01-S11</x:v>
      </x:c>
      <x:c r="J444" s="15" t="str">
        <x:v>TODO</x:v>
      </x:c>
      <x:c r="K444" s="15" t="str">
        <x:v>P2</x:v>
      </x:c>
      <x:c r="L444" s="15" t="str">
        <x:v>Done only when evidence is logged, contradiction search is noted, and boundary stamp remains non-canon unless ratified</x:v>
      </x:c>
      <x:c r="M444" s="15" t="str">
        <x:v>candidate / staging-only / not canon / not deployed / authority none</x:v>
      </x:c>
      <x:c r="N444" s="15" t="str">
        <x:v>Dispatch to Tidelock: complete Source Inventory x Automation; return deltas only, receipts required.</x:v>
      </x:c>
      <x:c r="O444" s="15" t="str">
        <x:v>AF-KG-H01-S11</x:v>
      </x:c>
      <x:c r="P444" s="15" t="str">
        <x:v>Unverified</x:v>
      </x:c>
      <x:c r="Q444" s="15" t="str">
        <x:v>Not checked</x:v>
      </x:c>
      <x:c r="R444" s="15" t="str"/>
      <x:c r="S444" s="15" t="str"/>
      <x:c r="T444" s="15" t="str">
        <x:v>Log first source path or blocker</x:v>
      </x:c>
      <x:c r="U444" s="12" t="str">
        <x:f>IF(OR(P444="Unverified",Q444="Not checked"),"BLOCKED_PENDING_RECEIPT","READY_FOR_REVIEW")</x:f>
        <x:v>BLOCKED_PENDING_RECEIPT</x:v>
      </x:c>
      <x:c r="V444" s="12" t="str">
        <x:f>IF(J444="DONE","RETURNED",IF(U444="BLOCKED_PENDING_RECEIPT","SOURCE_TOUCH_REQUIRED","IN_PROGRESS"))</x:f>
        <x:v>SOURCE_TOUCH_REQUIRED</x:v>
      </x:c>
      <x:c r="W444" s="12" t="str">
        <x:f>IF(P444="Unverified","missing_receipt","receipt_logged")</x:f>
        <x:v>missing_receipt</x:v>
      </x:c>
      <x:c r="X444" s="12" t="str">
        <x:f>IF(Q444="Not checked","raw_status_missing","raw_status_logged")</x:f>
        <x:v>raw_status_missing</x:v>
      </x:c>
      <x:c r="Y444" s="12" t="str">
        <x:f>IF(U444="BLOCKED_PENDING_RECEIPT","Log source path or blocker; do not promote","Route to review lane")</x:f>
        <x:v>Log source path or blocker; do not promote</x:v>
      </x:c>
      <x:c r="Z444" s="12" t="str">
        <x:f>IF(K444="P0","Primary seat + Hashlight/Lucerna","Seat lane")</x:f>
        <x:v>Seat lane</x:v>
      </x:c>
      <x:c r="AA444" s="12" t="str">
        <x:f>IF(R444="","no_claim_delta","claim_delta_present")</x:f>
        <x:v>no_claim_delta</x:v>
      </x:c>
      <x:c r="AB444" s="12" t="str">
        <x:f>IF(S444="","no_contradiction_delta","contradiction_delta_present")</x:f>
        <x:v>no_contradiction_delta</x:v>
      </x:c>
      <x:c r="AC444" s="12" t="str">
        <x:f>IF(OR(ISNUMBER(SEARCH("hacker",LOWER(F444&amp;" "&amp;H444&amp;" "&amp;I444&amp;" "&amp;M444&amp;" "&amp;N444&amp;" "&amp;T444))),ISNUMBER(SEARCH("hacking",LOWER(F444&amp;" "&amp;H444&amp;" "&amp;I444&amp;" "&amp;M444&amp;" "&amp;N444&amp;" "&amp;T444))),ISNUMBER(SEARCH("bank",LOWER(F444&amp;" "&amp;H444&amp;" "&amp;I444&amp;" "&amp;M444&amp;" "&amp;N444&amp;" "&amp;T444))),ISNUMBER(SEARCH("banking",LOWER(F444&amp;" "&amp;H444&amp;" "&amp;I444&amp;" "&amp;M444&amp;" "&amp;N444&amp;" "&amp;T444)))),"PRIVATE_QUARANTINE",IF(OR(ISNUMBER(SEARCH("treasury",LOWER(F444&amp;" "&amp;H444&amp;" "&amp;I444&amp;" "&amp;M444&amp;" "&amp;N444&amp;" "&amp;T444))),ISNUMBER(SEARCH("debt",LOWER(F444&amp;" "&amp;H444&amp;" "&amp;I444&amp;" "&amp;M444&amp;" "&amp;N444&amp;" "&amp;T444))),ISNUMBER(SEARCH("bond",LOWER(F444&amp;" "&amp;H444&amp;" "&amp;I444&amp;" "&amp;M444&amp;" "&amp;N444&amp;" "&amp;T444))),ISNUMBER(SEARCH("transaction",LOWER(F444&amp;" "&amp;H444&amp;" "&amp;I444&amp;" "&amp;M444&amp;" "&amp;N444&amp;" "&amp;T444)))),"PRIVATE_REVIEW","PUBLIC_CANDIDATE"))</x:f>
        <x:v>PUBLIC_CANDIDATE</x:v>
      </x:c>
      <x:c r="AD444" s="12" t="str">
        <x:f>IF(AC444="PRIVATE_QUARANTINE","hacker_or_bank_trigger",IF(AC444="PRIVATE_REVIEW","finance_risk_trigger","none"))</x:f>
        <x:v>none</x:v>
      </x:c>
      <x:c r="AE444" s="12" t="str">
        <x:f>IF(AC444="PUBLIC_CANDIDATE","prepare_public_github_candidate",IF(AC444="PRIVATE_REVIEW","hold_for_private_review","quarantine_private_do_not_publish"))</x:f>
        <x:v>prepare_public_github_candidate</x:v>
      </x:c>
      <x:c r="AF444" s="12" t="str">
        <x:f>IF(AC444="PUBLIC_CANDIDATE","TIDELOCK + Lucerna",IF(AC444="PRIVATE_REVIEW","AtlasBrain + Lucerna","TIDELOCK + Lucerna + Human-root"))</x:f>
        <x:v>TIDELOCK + Lucerna</x:v>
      </x:c>
      <x:c r="AG444" s="12" t="str">
        <x:f>IF(AND(AC444="PUBLIC_CANDIDATE",U444&lt;&gt;"BLOCKED_PENDING_RECEIPT"),"READY_AFTER_RECEIPT","NOT_READY")</x:f>
        <x:v>NOT_READY</x:v>
      </x:c>
      <x:c r="AH444" s="12" t="str">
        <x:f>IF(AC444="PUBLIC_CANDIDATE","none",AD444)</x:f>
        <x:v>none</x:v>
      </x:c>
      <x:c r="AI444" s="12" t="str">
        <x:f>IF(AC444="PUBLIC_CANDIDATE","archive/public_candidates/"&amp;A444,"private_quarantine/"&amp;A444)</x:f>
        <x:v>archive/public_candidates/SWARM-04-H01-S11</x:v>
      </x:c>
      <x:c r="AJ444" s="12" t="str">
        <x:f>IF(AC444="PUBLIC_CANDIDATE","public by default; still not canon","private/hold; do not publish")</x:f>
        <x:v>public by default; still not canon</x:v>
      </x:c>
      <x:c r="AK444" s="12" t="str">
        <x:f>IF(AE444="prepare_public_github_candidate","add receipt/status then mirror","resolve blocker before any public GitHub action")</x:f>
        <x:v>add receipt/status then mirror</x:v>
      </x:c>
    </x:row>
    <x:row r="445">
      <x:c r="A445" s="15" t="str">
        <x:v>SWARM-04-H01-S12</x:v>
      </x:c>
      <x:c r="B445" s="15" t="str">
        <x:v>Tidelock</x:v>
      </x:c>
      <x:c r="C445" s="15" t="str">
        <x:v>Access blocker keeper</x:v>
      </x:c>
      <x:c r="D445" s="15" t="str">
        <x:v>Source Inventory</x:v>
      </x:c>
      <x:c r="E445" s="15" t="str">
        <x:v>Risk / Safety</x:v>
      </x:c>
      <x:c r="F445" s="15" t="str">
        <x:v>Inventory Risk / Safety — Tidelock</x:v>
      </x:c>
      <x:c r="G445" s="15" t="str">
        <x:v>missing access / blocker ledger / next safe action</x:v>
      </x:c>
      <x:c r="H445" s="15" t="str">
        <x:v>source path + receipt + raw/export status + claim/edge/risk delta</x:v>
      </x:c>
      <x:c r="I445" s="15" t="str">
        <x:v>packet/SWARM-04-H01-S12</x:v>
      </x:c>
      <x:c r="J445" s="15" t="str">
        <x:v>TODO</x:v>
      </x:c>
      <x:c r="K445" s="15" t="str">
        <x:v>P2</x:v>
      </x:c>
      <x:c r="L445" s="15" t="str">
        <x:v>Done only when evidence is logged, contradiction search is noted, and boundary stamp remains non-canon unless ratified</x:v>
      </x:c>
      <x:c r="M445" s="15" t="str">
        <x:v>candidate / staging-only / not canon / not deployed / authority none</x:v>
      </x:c>
      <x:c r="N445" s="15" t="str">
        <x:v>Dispatch to Tidelock: complete Source Inventory x Risk / Safety; return deltas only, receipts required.</x:v>
      </x:c>
      <x:c r="O445" s="15" t="str">
        <x:v>AF-KG-H01-S12</x:v>
      </x:c>
      <x:c r="P445" s="15" t="str">
        <x:v>Unverified</x:v>
      </x:c>
      <x:c r="Q445" s="15" t="str">
        <x:v>Not checked</x:v>
      </x:c>
      <x:c r="R445" s="15" t="str"/>
      <x:c r="S445" s="15" t="str"/>
      <x:c r="T445" s="15" t="str">
        <x:v>Log first source path or blocker</x:v>
      </x:c>
      <x:c r="U445" s="12" t="str">
        <x:f>IF(OR(P445="Unverified",Q445="Not checked"),"BLOCKED_PENDING_RECEIPT","READY_FOR_REVIEW")</x:f>
        <x:v>BLOCKED_PENDING_RECEIPT</x:v>
      </x:c>
      <x:c r="V445" s="12" t="str">
        <x:f>IF(J445="DONE","RETURNED",IF(U445="BLOCKED_PENDING_RECEIPT","SOURCE_TOUCH_REQUIRED","IN_PROGRESS"))</x:f>
        <x:v>SOURCE_TOUCH_REQUIRED</x:v>
      </x:c>
      <x:c r="W445" s="12" t="str">
        <x:f>IF(P445="Unverified","missing_receipt","receipt_logged")</x:f>
        <x:v>missing_receipt</x:v>
      </x:c>
      <x:c r="X445" s="12" t="str">
        <x:f>IF(Q445="Not checked","raw_status_missing","raw_status_logged")</x:f>
        <x:v>raw_status_missing</x:v>
      </x:c>
      <x:c r="Y445" s="12" t="str">
        <x:f>IF(U445="BLOCKED_PENDING_RECEIPT","Log source path or blocker; do not promote","Route to review lane")</x:f>
        <x:v>Log source path or blocker; do not promote</x:v>
      </x:c>
      <x:c r="Z445" s="12" t="str">
        <x:f>IF(K445="P0","Primary seat + Hashlight/Lucerna","Seat lane")</x:f>
        <x:v>Seat lane</x:v>
      </x:c>
      <x:c r="AA445" s="12" t="str">
        <x:f>IF(R445="","no_claim_delta","claim_delta_present")</x:f>
        <x:v>no_claim_delta</x:v>
      </x:c>
      <x:c r="AB445" s="12" t="str">
        <x:f>IF(S445="","no_contradiction_delta","contradiction_delta_present")</x:f>
        <x:v>no_contradiction_delta</x:v>
      </x:c>
      <x:c r="AC445" s="12" t="str">
        <x:f>IF(OR(ISNUMBER(SEARCH("hacker",LOWER(F445&amp;" "&amp;H445&amp;" "&amp;I445&amp;" "&amp;M445&amp;" "&amp;N445&amp;" "&amp;T445))),ISNUMBER(SEARCH("hacking",LOWER(F445&amp;" "&amp;H445&amp;" "&amp;I445&amp;" "&amp;M445&amp;" "&amp;N445&amp;" "&amp;T445))),ISNUMBER(SEARCH("bank",LOWER(F445&amp;" "&amp;H445&amp;" "&amp;I445&amp;" "&amp;M445&amp;" "&amp;N445&amp;" "&amp;T445))),ISNUMBER(SEARCH("banking",LOWER(F445&amp;" "&amp;H445&amp;" "&amp;I445&amp;" "&amp;M445&amp;" "&amp;N445&amp;" "&amp;T445)))),"PRIVATE_QUARANTINE",IF(OR(ISNUMBER(SEARCH("treasury",LOWER(F445&amp;" "&amp;H445&amp;" "&amp;I445&amp;" "&amp;M445&amp;" "&amp;N445&amp;" "&amp;T445))),ISNUMBER(SEARCH("debt",LOWER(F445&amp;" "&amp;H445&amp;" "&amp;I445&amp;" "&amp;M445&amp;" "&amp;N445&amp;" "&amp;T445))),ISNUMBER(SEARCH("bond",LOWER(F445&amp;" "&amp;H445&amp;" "&amp;I445&amp;" "&amp;M445&amp;" "&amp;N445&amp;" "&amp;T445))),ISNUMBER(SEARCH("transaction",LOWER(F445&amp;" "&amp;H445&amp;" "&amp;I445&amp;" "&amp;M445&amp;" "&amp;N445&amp;" "&amp;T445)))),"PRIVATE_REVIEW","PUBLIC_CANDIDATE"))</x:f>
        <x:v>PUBLIC_CANDIDATE</x:v>
      </x:c>
      <x:c r="AD445" s="12" t="str">
        <x:f>IF(AC445="PRIVATE_QUARANTINE","hacker_or_bank_trigger",IF(AC445="PRIVATE_REVIEW","finance_risk_trigger","none"))</x:f>
        <x:v>none</x:v>
      </x:c>
      <x:c r="AE445" s="12" t="str">
        <x:f>IF(AC445="PUBLIC_CANDIDATE","prepare_public_github_candidate",IF(AC445="PRIVATE_REVIEW","hold_for_private_review","quarantine_private_do_not_publish"))</x:f>
        <x:v>prepare_public_github_candidate</x:v>
      </x:c>
      <x:c r="AF445" s="12" t="str">
        <x:f>IF(AC445="PUBLIC_CANDIDATE","TIDELOCK + Lucerna",IF(AC445="PRIVATE_REVIEW","AtlasBrain + Lucerna","TIDELOCK + Lucerna + Human-root"))</x:f>
        <x:v>TIDELOCK + Lucerna</x:v>
      </x:c>
      <x:c r="AG445" s="12" t="str">
        <x:f>IF(AND(AC445="PUBLIC_CANDIDATE",U445&lt;&gt;"BLOCKED_PENDING_RECEIPT"),"READY_AFTER_RECEIPT","NOT_READY")</x:f>
        <x:v>NOT_READY</x:v>
      </x:c>
      <x:c r="AH445" s="12" t="str">
        <x:f>IF(AC445="PUBLIC_CANDIDATE","none",AD445)</x:f>
        <x:v>none</x:v>
      </x:c>
      <x:c r="AI445" s="12" t="str">
        <x:f>IF(AC445="PUBLIC_CANDIDATE","archive/public_candidates/"&amp;A445,"private_quarantine/"&amp;A445)</x:f>
        <x:v>archive/public_candidates/SWARM-04-H01-S12</x:v>
      </x:c>
      <x:c r="AJ445" s="12" t="str">
        <x:f>IF(AC445="PUBLIC_CANDIDATE","public by default; still not canon","private/hold; do not publish")</x:f>
        <x:v>public by default; still not canon</x:v>
      </x:c>
      <x:c r="AK445" s="12" t="str">
        <x:f>IF(AE445="prepare_public_github_candidate","add receipt/status then mirror","resolve blocker before any public GitHub action")</x:f>
        <x:v>add receipt/status then mirror</x:v>
      </x:c>
    </x:row>
    <x:row r="446">
      <x:c r="A446" s="15" t="str">
        <x:v>SWARM-04-H02-S01</x:v>
      </x:c>
      <x:c r="B446" s="15" t="str">
        <x:v>Tidelock</x:v>
      </x:c>
      <x:c r="C446" s="15" t="str">
        <x:v>Access blocker keeper</x:v>
      </x:c>
      <x:c r="D446" s="15" t="str">
        <x:v>Receipt Verification</x:v>
      </x:c>
      <x:c r="E446" s="15" t="str">
        <x:v>Notion</x:v>
      </x:c>
      <x:c r="F446" s="15" t="str">
        <x:v>Verify receipts for Notion — Tidelock</x:v>
      </x:c>
      <x:c r="G446" s="15" t="str">
        <x:v>missing access / blocker ledger / next safe action</x:v>
      </x:c>
      <x:c r="H446" s="15" t="str">
        <x:v>source path + receipt + raw/export status + claim/edge/risk delta</x:v>
      </x:c>
      <x:c r="I446" s="15" t="str">
        <x:v>packet/SWARM-04-H02-S01</x:v>
      </x:c>
      <x:c r="J446" s="15" t="str">
        <x:v>TODO</x:v>
      </x:c>
      <x:c r="K446" s="15" t="str">
        <x:v>P0</x:v>
      </x:c>
      <x:c r="L446" s="15" t="str">
        <x:v>Done only when evidence is logged, contradiction search is noted, and boundary stamp remains non-canon unless ratified</x:v>
      </x:c>
      <x:c r="M446" s="15" t="str">
        <x:v>candidate / staging-only / not canon / not deployed / authority none</x:v>
      </x:c>
      <x:c r="N446" s="15" t="str">
        <x:v>Dispatch to Tidelock: complete Receipt Verification x Notion; return deltas only, receipts required.</x:v>
      </x:c>
      <x:c r="O446" s="15" t="str">
        <x:v>AF-KG-H02-S01</x:v>
      </x:c>
      <x:c r="P446" s="15" t="str">
        <x:v>Unverified</x:v>
      </x:c>
      <x:c r="Q446" s="15" t="str">
        <x:v>Not checked</x:v>
      </x:c>
      <x:c r="R446" s="15" t="str"/>
      <x:c r="S446" s="15" t="str"/>
      <x:c r="T446" s="15" t="str">
        <x:v>Log first source path or blocker</x:v>
      </x:c>
      <x:c r="U446" s="12" t="str">
        <x:f>IF(OR(P446="Unverified",Q446="Not checked"),"BLOCKED_PENDING_RECEIPT","READY_FOR_REVIEW")</x:f>
        <x:v>BLOCKED_PENDING_RECEIPT</x:v>
      </x:c>
      <x:c r="V446" s="12" t="str">
        <x:f>IF(J446="DONE","RETURNED",IF(U446="BLOCKED_PENDING_RECEIPT","SOURCE_TOUCH_REQUIRED","IN_PROGRESS"))</x:f>
        <x:v>SOURCE_TOUCH_REQUIRED</x:v>
      </x:c>
      <x:c r="W446" s="12" t="str">
        <x:f>IF(P446="Unverified","missing_receipt","receipt_logged")</x:f>
        <x:v>missing_receipt</x:v>
      </x:c>
      <x:c r="X446" s="12" t="str">
        <x:f>IF(Q446="Not checked","raw_status_missing","raw_status_logged")</x:f>
        <x:v>raw_status_missing</x:v>
      </x:c>
      <x:c r="Y446" s="12" t="str">
        <x:f>IF(U446="BLOCKED_PENDING_RECEIPT","Log source path or blocker; do not promote","Route to review lane")</x:f>
        <x:v>Log source path or blocker; do not promote</x:v>
      </x:c>
      <x:c r="Z446" s="12" t="str">
        <x:f>IF(K446="P0","Primary seat + Hashlight/Lucerna","Seat lane")</x:f>
        <x:v>Primary seat + Hashlight/Lucerna</x:v>
      </x:c>
      <x:c r="AA446" s="12" t="str">
        <x:f>IF(R446="","no_claim_delta","claim_delta_present")</x:f>
        <x:v>no_claim_delta</x:v>
      </x:c>
      <x:c r="AB446" s="12" t="str">
        <x:f>IF(S446="","no_contradiction_delta","contradiction_delta_present")</x:f>
        <x:v>no_contradiction_delta</x:v>
      </x:c>
      <x:c r="AC446" s="12" t="str">
        <x:f>IF(OR(ISNUMBER(SEARCH("hacker",LOWER(F446&amp;" "&amp;H446&amp;" "&amp;I446&amp;" "&amp;M446&amp;" "&amp;N446&amp;" "&amp;T446))),ISNUMBER(SEARCH("hacking",LOWER(F446&amp;" "&amp;H446&amp;" "&amp;I446&amp;" "&amp;M446&amp;" "&amp;N446&amp;" "&amp;T446))),ISNUMBER(SEARCH("bank",LOWER(F446&amp;" "&amp;H446&amp;" "&amp;I446&amp;" "&amp;M446&amp;" "&amp;N446&amp;" "&amp;T446))),ISNUMBER(SEARCH("banking",LOWER(F446&amp;" "&amp;H446&amp;" "&amp;I446&amp;" "&amp;M446&amp;" "&amp;N446&amp;" "&amp;T446)))),"PRIVATE_QUARANTINE",IF(OR(ISNUMBER(SEARCH("treasury",LOWER(F446&amp;" "&amp;H446&amp;" "&amp;I446&amp;" "&amp;M446&amp;" "&amp;N446&amp;" "&amp;T446))),ISNUMBER(SEARCH("debt",LOWER(F446&amp;" "&amp;H446&amp;" "&amp;I446&amp;" "&amp;M446&amp;" "&amp;N446&amp;" "&amp;T446))),ISNUMBER(SEARCH("bond",LOWER(F446&amp;" "&amp;H446&amp;" "&amp;I446&amp;" "&amp;M446&amp;" "&amp;N446&amp;" "&amp;T446))),ISNUMBER(SEARCH("transaction",LOWER(F446&amp;" "&amp;H446&amp;" "&amp;I446&amp;" "&amp;M446&amp;" "&amp;N446&amp;" "&amp;T446)))),"PRIVATE_REVIEW","PUBLIC_CANDIDATE"))</x:f>
        <x:v>PUBLIC_CANDIDATE</x:v>
      </x:c>
      <x:c r="AD446" s="12" t="str">
        <x:f>IF(AC446="PRIVATE_QUARANTINE","hacker_or_bank_trigger",IF(AC446="PRIVATE_REVIEW","finance_risk_trigger","none"))</x:f>
        <x:v>none</x:v>
      </x:c>
      <x:c r="AE446" s="12" t="str">
        <x:f>IF(AC446="PUBLIC_CANDIDATE","prepare_public_github_candidate",IF(AC446="PRIVATE_REVIEW","hold_for_private_review","quarantine_private_do_not_publish"))</x:f>
        <x:v>prepare_public_github_candidate</x:v>
      </x:c>
      <x:c r="AF446" s="12" t="str">
        <x:f>IF(AC446="PUBLIC_CANDIDATE","TIDELOCK + Lucerna",IF(AC446="PRIVATE_REVIEW","AtlasBrain + Lucerna","TIDELOCK + Lucerna + Human-root"))</x:f>
        <x:v>TIDELOCK + Lucerna</x:v>
      </x:c>
      <x:c r="AG446" s="12" t="str">
        <x:f>IF(AND(AC446="PUBLIC_CANDIDATE",U446&lt;&gt;"BLOCKED_PENDING_RECEIPT"),"READY_AFTER_RECEIPT","NOT_READY")</x:f>
        <x:v>NOT_READY</x:v>
      </x:c>
      <x:c r="AH446" s="12" t="str">
        <x:f>IF(AC446="PUBLIC_CANDIDATE","none",AD446)</x:f>
        <x:v>none</x:v>
      </x:c>
      <x:c r="AI446" s="12" t="str">
        <x:f>IF(AC446="PUBLIC_CANDIDATE","archive/public_candidates/"&amp;A446,"private_quarantine/"&amp;A446)</x:f>
        <x:v>archive/public_candidates/SWARM-04-H02-S01</x:v>
      </x:c>
      <x:c r="AJ446" s="12" t="str">
        <x:f>IF(AC446="PUBLIC_CANDIDATE","public by default; still not canon","private/hold; do not publish")</x:f>
        <x:v>public by default; still not canon</x:v>
      </x:c>
      <x:c r="AK446" s="12" t="str">
        <x:f>IF(AE446="prepare_public_github_candidate","add receipt/status then mirror","resolve blocker before any public GitHub action")</x:f>
        <x:v>add receipt/status then mirror</x:v>
      </x:c>
    </x:row>
    <x:row r="447">
      <x:c r="A447" s="15" t="str">
        <x:v>SWARM-04-H02-S02</x:v>
      </x:c>
      <x:c r="B447" s="15" t="str">
        <x:v>Tidelock</x:v>
      </x:c>
      <x:c r="C447" s="15" t="str">
        <x:v>Access blocker keeper</x:v>
      </x:c>
      <x:c r="D447" s="15" t="str">
        <x:v>Receipt Verification</x:v>
      </x:c>
      <x:c r="E447" s="15" t="str">
        <x:v>Drive</x:v>
      </x:c>
      <x:c r="F447" s="15" t="str">
        <x:v>Verify receipts for Drive — Tidelock</x:v>
      </x:c>
      <x:c r="G447" s="15" t="str">
        <x:v>missing access / blocker ledger / next safe action</x:v>
      </x:c>
      <x:c r="H447" s="15" t="str">
        <x:v>source path + receipt + raw/export status + claim/edge/risk delta</x:v>
      </x:c>
      <x:c r="I447" s="15" t="str">
        <x:v>packet/SWARM-04-H02-S02</x:v>
      </x:c>
      <x:c r="J447" s="15" t="str">
        <x:v>TODO</x:v>
      </x:c>
      <x:c r="K447" s="15" t="str">
        <x:v>P0</x:v>
      </x:c>
      <x:c r="L447" s="15" t="str">
        <x:v>Done only when evidence is logged, contradiction search is noted, and boundary stamp remains non-canon unless ratified</x:v>
      </x:c>
      <x:c r="M447" s="15" t="str">
        <x:v>candidate / staging-only / not canon / not deployed / authority none</x:v>
      </x:c>
      <x:c r="N447" s="15" t="str">
        <x:v>Dispatch to Tidelock: complete Receipt Verification x Drive; return deltas only, receipts required.</x:v>
      </x:c>
      <x:c r="O447" s="15" t="str">
        <x:v>AF-KG-H02-S02</x:v>
      </x:c>
      <x:c r="P447" s="15" t="str">
        <x:v>Unverified</x:v>
      </x:c>
      <x:c r="Q447" s="15" t="str">
        <x:v>Not checked</x:v>
      </x:c>
      <x:c r="R447" s="15" t="str"/>
      <x:c r="S447" s="15" t="str"/>
      <x:c r="T447" s="15" t="str">
        <x:v>Log first source path or blocker</x:v>
      </x:c>
      <x:c r="U447" s="12" t="str">
        <x:f>IF(OR(P447="Unverified",Q447="Not checked"),"BLOCKED_PENDING_RECEIPT","READY_FOR_REVIEW")</x:f>
        <x:v>BLOCKED_PENDING_RECEIPT</x:v>
      </x:c>
      <x:c r="V447" s="12" t="str">
        <x:f>IF(J447="DONE","RETURNED",IF(U447="BLOCKED_PENDING_RECEIPT","SOURCE_TOUCH_REQUIRED","IN_PROGRESS"))</x:f>
        <x:v>SOURCE_TOUCH_REQUIRED</x:v>
      </x:c>
      <x:c r="W447" s="12" t="str">
        <x:f>IF(P447="Unverified","missing_receipt","receipt_logged")</x:f>
        <x:v>missing_receipt</x:v>
      </x:c>
      <x:c r="X447" s="12" t="str">
        <x:f>IF(Q447="Not checked","raw_status_missing","raw_status_logged")</x:f>
        <x:v>raw_status_missing</x:v>
      </x:c>
      <x:c r="Y447" s="12" t="str">
        <x:f>IF(U447="BLOCKED_PENDING_RECEIPT","Log source path or blocker; do not promote","Route to review lane")</x:f>
        <x:v>Log source path or blocker; do not promote</x:v>
      </x:c>
      <x:c r="Z447" s="12" t="str">
        <x:f>IF(K447="P0","Primary seat + Hashlight/Lucerna","Seat lane")</x:f>
        <x:v>Primary seat + Hashlight/Lucerna</x:v>
      </x:c>
      <x:c r="AA447" s="12" t="str">
        <x:f>IF(R447="","no_claim_delta","claim_delta_present")</x:f>
        <x:v>no_claim_delta</x:v>
      </x:c>
      <x:c r="AB447" s="12" t="str">
        <x:f>IF(S447="","no_contradiction_delta","contradiction_delta_present")</x:f>
        <x:v>no_contradiction_delta</x:v>
      </x:c>
      <x:c r="AC447" s="12" t="str">
        <x:f>IF(OR(ISNUMBER(SEARCH("hacker",LOWER(F447&amp;" "&amp;H447&amp;" "&amp;I447&amp;" "&amp;M447&amp;" "&amp;N447&amp;" "&amp;T447))),ISNUMBER(SEARCH("hacking",LOWER(F447&amp;" "&amp;H447&amp;" "&amp;I447&amp;" "&amp;M447&amp;" "&amp;N447&amp;" "&amp;T447))),ISNUMBER(SEARCH("bank",LOWER(F447&amp;" "&amp;H447&amp;" "&amp;I447&amp;" "&amp;M447&amp;" "&amp;N447&amp;" "&amp;T447))),ISNUMBER(SEARCH("banking",LOWER(F447&amp;" "&amp;H447&amp;" "&amp;I447&amp;" "&amp;M447&amp;" "&amp;N447&amp;" "&amp;T447)))),"PRIVATE_QUARANTINE",IF(OR(ISNUMBER(SEARCH("treasury",LOWER(F447&amp;" "&amp;H447&amp;" "&amp;I447&amp;" "&amp;M447&amp;" "&amp;N447&amp;" "&amp;T447))),ISNUMBER(SEARCH("debt",LOWER(F447&amp;" "&amp;H447&amp;" "&amp;I447&amp;" "&amp;M447&amp;" "&amp;N447&amp;" "&amp;T447))),ISNUMBER(SEARCH("bond",LOWER(F447&amp;" "&amp;H447&amp;" "&amp;I447&amp;" "&amp;M447&amp;" "&amp;N447&amp;" "&amp;T447))),ISNUMBER(SEARCH("transaction",LOWER(F447&amp;" "&amp;H447&amp;" "&amp;I447&amp;" "&amp;M447&amp;" "&amp;N447&amp;" "&amp;T447)))),"PRIVATE_REVIEW","PUBLIC_CANDIDATE"))</x:f>
        <x:v>PUBLIC_CANDIDATE</x:v>
      </x:c>
      <x:c r="AD447" s="12" t="str">
        <x:f>IF(AC447="PRIVATE_QUARANTINE","hacker_or_bank_trigger",IF(AC447="PRIVATE_REVIEW","finance_risk_trigger","none"))</x:f>
        <x:v>none</x:v>
      </x:c>
      <x:c r="AE447" s="12" t="str">
        <x:f>IF(AC447="PUBLIC_CANDIDATE","prepare_public_github_candidate",IF(AC447="PRIVATE_REVIEW","hold_for_private_review","quarantine_private_do_not_publish"))</x:f>
        <x:v>prepare_public_github_candidate</x:v>
      </x:c>
      <x:c r="AF447" s="12" t="str">
        <x:f>IF(AC447="PUBLIC_CANDIDATE","TIDELOCK + Lucerna",IF(AC447="PRIVATE_REVIEW","AtlasBrain + Lucerna","TIDELOCK + Lucerna + Human-root"))</x:f>
        <x:v>TIDELOCK + Lucerna</x:v>
      </x:c>
      <x:c r="AG447" s="12" t="str">
        <x:f>IF(AND(AC447="PUBLIC_CANDIDATE",U447&lt;&gt;"BLOCKED_PENDING_RECEIPT"),"READY_AFTER_RECEIPT","NOT_READY")</x:f>
        <x:v>NOT_READY</x:v>
      </x:c>
      <x:c r="AH447" s="12" t="str">
        <x:f>IF(AC447="PUBLIC_CANDIDATE","none",AD447)</x:f>
        <x:v>none</x:v>
      </x:c>
      <x:c r="AI447" s="12" t="str">
        <x:f>IF(AC447="PUBLIC_CANDIDATE","archive/public_candidates/"&amp;A447,"private_quarantine/"&amp;A447)</x:f>
        <x:v>archive/public_candidates/SWARM-04-H02-S02</x:v>
      </x:c>
      <x:c r="AJ447" s="12" t="str">
        <x:f>IF(AC447="PUBLIC_CANDIDATE","public by default; still not canon","private/hold; do not publish")</x:f>
        <x:v>public by default; still not canon</x:v>
      </x:c>
      <x:c r="AK447" s="12" t="str">
        <x:f>IF(AE447="prepare_public_github_candidate","add receipt/status then mirror","resolve blocker before any public GitHub action")</x:f>
        <x:v>add receipt/status then mirror</x:v>
      </x:c>
    </x:row>
    <x:row r="448">
      <x:c r="A448" s="15" t="str">
        <x:v>SWARM-04-H02-S03</x:v>
      </x:c>
      <x:c r="B448" s="15" t="str">
        <x:v>Tidelock</x:v>
      </x:c>
      <x:c r="C448" s="15" t="str">
        <x:v>Access blocker keeper</x:v>
      </x:c>
      <x:c r="D448" s="15" t="str">
        <x:v>Receipt Verification</x:v>
      </x:c>
      <x:c r="E448" s="15" t="str">
        <x:v>GitHub</x:v>
      </x:c>
      <x:c r="F448" s="15" t="str">
        <x:v>Verify receipts for GitHub — Tidelock</x:v>
      </x:c>
      <x:c r="G448" s="15" t="str">
        <x:v>missing access / blocker ledger / next safe action</x:v>
      </x:c>
      <x:c r="H448" s="15" t="str">
        <x:v>source path + receipt + raw/export status + claim/edge/risk delta</x:v>
      </x:c>
      <x:c r="I448" s="15" t="str">
        <x:v>packet/SWARM-04-H02-S03</x:v>
      </x:c>
      <x:c r="J448" s="15" t="str">
        <x:v>TODO</x:v>
      </x:c>
      <x:c r="K448" s="15" t="str">
        <x:v>P0</x:v>
      </x:c>
      <x:c r="L448" s="15" t="str">
        <x:v>Done only when evidence is logged, contradiction search is noted, and boundary stamp remains non-canon unless ratified</x:v>
      </x:c>
      <x:c r="M448" s="15" t="str">
        <x:v>candidate / staging-only / not canon / not deployed / authority none</x:v>
      </x:c>
      <x:c r="N448" s="15" t="str">
        <x:v>Dispatch to Tidelock: complete Receipt Verification x GitHub; return deltas only, receipts required.</x:v>
      </x:c>
      <x:c r="O448" s="15" t="str">
        <x:v>AF-KG-H02-S03</x:v>
      </x:c>
      <x:c r="P448" s="15" t="str">
        <x:v>Unverified</x:v>
      </x:c>
      <x:c r="Q448" s="15" t="str">
        <x:v>Not checked</x:v>
      </x:c>
      <x:c r="R448" s="15" t="str"/>
      <x:c r="S448" s="15" t="str"/>
      <x:c r="T448" s="15" t="str">
        <x:v>Log first source path or blocker</x:v>
      </x:c>
      <x:c r="U448" s="12" t="str">
        <x:f>IF(OR(P448="Unverified",Q448="Not checked"),"BLOCKED_PENDING_RECEIPT","READY_FOR_REVIEW")</x:f>
        <x:v>BLOCKED_PENDING_RECEIPT</x:v>
      </x:c>
      <x:c r="V448" s="12" t="str">
        <x:f>IF(J448="DONE","RETURNED",IF(U448="BLOCKED_PENDING_RECEIPT","SOURCE_TOUCH_REQUIRED","IN_PROGRESS"))</x:f>
        <x:v>SOURCE_TOUCH_REQUIRED</x:v>
      </x:c>
      <x:c r="W448" s="12" t="str">
        <x:f>IF(P448="Unverified","missing_receipt","receipt_logged")</x:f>
        <x:v>missing_receipt</x:v>
      </x:c>
      <x:c r="X448" s="12" t="str">
        <x:f>IF(Q448="Not checked","raw_status_missing","raw_status_logged")</x:f>
        <x:v>raw_status_missing</x:v>
      </x:c>
      <x:c r="Y448" s="12" t="str">
        <x:f>IF(U448="BLOCKED_PENDING_RECEIPT","Log source path or blocker; do not promote","Route to review lane")</x:f>
        <x:v>Log source path or blocker; do not promote</x:v>
      </x:c>
      <x:c r="Z448" s="12" t="str">
        <x:f>IF(K448="P0","Primary seat + Hashlight/Lucerna","Seat lane")</x:f>
        <x:v>Primary seat + Hashlight/Lucerna</x:v>
      </x:c>
      <x:c r="AA448" s="12" t="str">
        <x:f>IF(R448="","no_claim_delta","claim_delta_present")</x:f>
        <x:v>no_claim_delta</x:v>
      </x:c>
      <x:c r="AB448" s="12" t="str">
        <x:f>IF(S448="","no_contradiction_delta","contradiction_delta_present")</x:f>
        <x:v>no_contradiction_delta</x:v>
      </x:c>
      <x:c r="AC448" s="12" t="str">
        <x:f>IF(OR(ISNUMBER(SEARCH("hacker",LOWER(F448&amp;" "&amp;H448&amp;" "&amp;I448&amp;" "&amp;M448&amp;" "&amp;N448&amp;" "&amp;T448))),ISNUMBER(SEARCH("hacking",LOWER(F448&amp;" "&amp;H448&amp;" "&amp;I448&amp;" "&amp;M448&amp;" "&amp;N448&amp;" "&amp;T448))),ISNUMBER(SEARCH("bank",LOWER(F448&amp;" "&amp;H448&amp;" "&amp;I448&amp;" "&amp;M448&amp;" "&amp;N448&amp;" "&amp;T448))),ISNUMBER(SEARCH("banking",LOWER(F448&amp;" "&amp;H448&amp;" "&amp;I448&amp;" "&amp;M448&amp;" "&amp;N448&amp;" "&amp;T448)))),"PRIVATE_QUARANTINE",IF(OR(ISNUMBER(SEARCH("treasury",LOWER(F448&amp;" "&amp;H448&amp;" "&amp;I448&amp;" "&amp;M448&amp;" "&amp;N448&amp;" "&amp;T448))),ISNUMBER(SEARCH("debt",LOWER(F448&amp;" "&amp;H448&amp;" "&amp;I448&amp;" "&amp;M448&amp;" "&amp;N448&amp;" "&amp;T448))),ISNUMBER(SEARCH("bond",LOWER(F448&amp;" "&amp;H448&amp;" "&amp;I448&amp;" "&amp;M448&amp;" "&amp;N448&amp;" "&amp;T448))),ISNUMBER(SEARCH("transaction",LOWER(F448&amp;" "&amp;H448&amp;" "&amp;I448&amp;" "&amp;M448&amp;" "&amp;N448&amp;" "&amp;T448)))),"PRIVATE_REVIEW","PUBLIC_CANDIDATE"))</x:f>
        <x:v>PUBLIC_CANDIDATE</x:v>
      </x:c>
      <x:c r="AD448" s="12" t="str">
        <x:f>IF(AC448="PRIVATE_QUARANTINE","hacker_or_bank_trigger",IF(AC448="PRIVATE_REVIEW","finance_risk_trigger","none"))</x:f>
        <x:v>none</x:v>
      </x:c>
      <x:c r="AE448" s="12" t="str">
        <x:f>IF(AC448="PUBLIC_CANDIDATE","prepare_public_github_candidate",IF(AC448="PRIVATE_REVIEW","hold_for_private_review","quarantine_private_do_not_publish"))</x:f>
        <x:v>prepare_public_github_candidate</x:v>
      </x:c>
      <x:c r="AF448" s="12" t="str">
        <x:f>IF(AC448="PUBLIC_CANDIDATE","TIDELOCK + Lucerna",IF(AC448="PRIVATE_REVIEW","AtlasBrain + Lucerna","TIDELOCK + Lucerna + Human-root"))</x:f>
        <x:v>TIDELOCK + Lucerna</x:v>
      </x:c>
      <x:c r="AG448" s="12" t="str">
        <x:f>IF(AND(AC448="PUBLIC_CANDIDATE",U448&lt;&gt;"BLOCKED_PENDING_RECEIPT"),"READY_AFTER_RECEIPT","NOT_READY")</x:f>
        <x:v>NOT_READY</x:v>
      </x:c>
      <x:c r="AH448" s="12" t="str">
        <x:f>IF(AC448="PUBLIC_CANDIDATE","none",AD448)</x:f>
        <x:v>none</x:v>
      </x:c>
      <x:c r="AI448" s="12" t="str">
        <x:f>IF(AC448="PUBLIC_CANDIDATE","archive/public_candidates/"&amp;A448,"private_quarantine/"&amp;A448)</x:f>
        <x:v>archive/public_candidates/SWARM-04-H02-S03</x:v>
      </x:c>
      <x:c r="AJ448" s="12" t="str">
        <x:f>IF(AC448="PUBLIC_CANDIDATE","public by default; still not canon","private/hold; do not publish")</x:f>
        <x:v>public by default; still not canon</x:v>
      </x:c>
      <x:c r="AK448" s="12" t="str">
        <x:f>IF(AE448="prepare_public_github_candidate","add receipt/status then mirror","resolve blocker before any public GitHub action")</x:f>
        <x:v>add receipt/status then mirror</x:v>
      </x:c>
    </x:row>
    <x:row r="449">
      <x:c r="A449" s="15" t="str">
        <x:v>SWARM-04-H02-S04</x:v>
      </x:c>
      <x:c r="B449" s="15" t="str">
        <x:v>Tidelock</x:v>
      </x:c>
      <x:c r="C449" s="15" t="str">
        <x:v>Access blocker keeper</x:v>
      </x:c>
      <x:c r="D449" s="15" t="str">
        <x:v>Receipt Verification</x:v>
      </x:c>
      <x:c r="E449" s="15" t="str">
        <x:v>Gamma</x:v>
      </x:c>
      <x:c r="F449" s="15" t="str">
        <x:v>Verify receipts for Gamma — Tidelock</x:v>
      </x:c>
      <x:c r="G449" s="15" t="str">
        <x:v>missing access / blocker ledger / next safe action</x:v>
      </x:c>
      <x:c r="H449" s="15" t="str">
        <x:v>source path + receipt + raw/export status + claim/edge/risk delta</x:v>
      </x:c>
      <x:c r="I449" s="15" t="str">
        <x:v>packet/SWARM-04-H02-S04</x:v>
      </x:c>
      <x:c r="J449" s="15" t="str">
        <x:v>TODO</x:v>
      </x:c>
      <x:c r="K449" s="15" t="str">
        <x:v>P1</x:v>
      </x:c>
      <x:c r="L449" s="15" t="str">
        <x:v>Done only when evidence is logged, contradiction search is noted, and boundary stamp remains non-canon unless ratified</x:v>
      </x:c>
      <x:c r="M449" s="15" t="str">
        <x:v>candidate / staging-only / not canon / not deployed / authority none</x:v>
      </x:c>
      <x:c r="N449" s="15" t="str">
        <x:v>Dispatch to Tidelock: complete Receipt Verification x Gamma; return deltas only, receipts required.</x:v>
      </x:c>
      <x:c r="O449" s="15" t="str">
        <x:v>AF-KG-H02-S04</x:v>
      </x:c>
      <x:c r="P449" s="15" t="str">
        <x:v>Unverified</x:v>
      </x:c>
      <x:c r="Q449" s="15" t="str">
        <x:v>Not checked</x:v>
      </x:c>
      <x:c r="R449" s="15" t="str"/>
      <x:c r="S449" s="15" t="str"/>
      <x:c r="T449" s="15" t="str">
        <x:v>Log first source path or blocker</x:v>
      </x:c>
      <x:c r="U449" s="12" t="str">
        <x:f>IF(OR(P449="Unverified",Q449="Not checked"),"BLOCKED_PENDING_RECEIPT","READY_FOR_REVIEW")</x:f>
        <x:v>BLOCKED_PENDING_RECEIPT</x:v>
      </x:c>
      <x:c r="V449" s="12" t="str">
        <x:f>IF(J449="DONE","RETURNED",IF(U449="BLOCKED_PENDING_RECEIPT","SOURCE_TOUCH_REQUIRED","IN_PROGRESS"))</x:f>
        <x:v>SOURCE_TOUCH_REQUIRED</x:v>
      </x:c>
      <x:c r="W449" s="12" t="str">
        <x:f>IF(P449="Unverified","missing_receipt","receipt_logged")</x:f>
        <x:v>missing_receipt</x:v>
      </x:c>
      <x:c r="X449" s="12" t="str">
        <x:f>IF(Q449="Not checked","raw_status_missing","raw_status_logged")</x:f>
        <x:v>raw_status_missing</x:v>
      </x:c>
      <x:c r="Y449" s="12" t="str">
        <x:f>IF(U449="BLOCKED_PENDING_RECEIPT","Log source path or blocker; do not promote","Route to review lane")</x:f>
        <x:v>Log source path or blocker; do not promote</x:v>
      </x:c>
      <x:c r="Z449" s="12" t="str">
        <x:f>IF(K449="P0","Primary seat + Hashlight/Lucerna","Seat lane")</x:f>
        <x:v>Seat lane</x:v>
      </x:c>
      <x:c r="AA449" s="12" t="str">
        <x:f>IF(R449="","no_claim_delta","claim_delta_present")</x:f>
        <x:v>no_claim_delta</x:v>
      </x:c>
      <x:c r="AB449" s="12" t="str">
        <x:f>IF(S449="","no_contradiction_delta","contradiction_delta_present")</x:f>
        <x:v>no_contradiction_delta</x:v>
      </x:c>
      <x:c r="AC449" s="12" t="str">
        <x:f>IF(OR(ISNUMBER(SEARCH("hacker",LOWER(F449&amp;" "&amp;H449&amp;" "&amp;I449&amp;" "&amp;M449&amp;" "&amp;N449&amp;" "&amp;T449))),ISNUMBER(SEARCH("hacking",LOWER(F449&amp;" "&amp;H449&amp;" "&amp;I449&amp;" "&amp;M449&amp;" "&amp;N449&amp;" "&amp;T449))),ISNUMBER(SEARCH("bank",LOWER(F449&amp;" "&amp;H449&amp;" "&amp;I449&amp;" "&amp;M449&amp;" "&amp;N449&amp;" "&amp;T449))),ISNUMBER(SEARCH("banking",LOWER(F449&amp;" "&amp;H449&amp;" "&amp;I449&amp;" "&amp;M449&amp;" "&amp;N449&amp;" "&amp;T449)))),"PRIVATE_QUARANTINE",IF(OR(ISNUMBER(SEARCH("treasury",LOWER(F449&amp;" "&amp;H449&amp;" "&amp;I449&amp;" "&amp;M449&amp;" "&amp;N449&amp;" "&amp;T449))),ISNUMBER(SEARCH("debt",LOWER(F449&amp;" "&amp;H449&amp;" "&amp;I449&amp;" "&amp;M449&amp;" "&amp;N449&amp;" "&amp;T449))),ISNUMBER(SEARCH("bond",LOWER(F449&amp;" "&amp;H449&amp;" "&amp;I449&amp;" "&amp;M449&amp;" "&amp;N449&amp;" "&amp;T449))),ISNUMBER(SEARCH("transaction",LOWER(F449&amp;" "&amp;H449&amp;" "&amp;I449&amp;" "&amp;M449&amp;" "&amp;N449&amp;" "&amp;T449)))),"PRIVATE_REVIEW","PUBLIC_CANDIDATE"))</x:f>
        <x:v>PUBLIC_CANDIDATE</x:v>
      </x:c>
      <x:c r="AD449" s="12" t="str">
        <x:f>IF(AC449="PRIVATE_QUARANTINE","hacker_or_bank_trigger",IF(AC449="PRIVATE_REVIEW","finance_risk_trigger","none"))</x:f>
        <x:v>none</x:v>
      </x:c>
      <x:c r="AE449" s="12" t="str">
        <x:f>IF(AC449="PUBLIC_CANDIDATE","prepare_public_github_candidate",IF(AC449="PRIVATE_REVIEW","hold_for_private_review","quarantine_private_do_not_publish"))</x:f>
        <x:v>prepare_public_github_candidate</x:v>
      </x:c>
      <x:c r="AF449" s="12" t="str">
        <x:f>IF(AC449="PUBLIC_CANDIDATE","TIDELOCK + Lucerna",IF(AC449="PRIVATE_REVIEW","AtlasBrain + Lucerna","TIDELOCK + Lucerna + Human-root"))</x:f>
        <x:v>TIDELOCK + Lucerna</x:v>
      </x:c>
      <x:c r="AG449" s="12" t="str">
        <x:f>IF(AND(AC449="PUBLIC_CANDIDATE",U449&lt;&gt;"BLOCKED_PENDING_RECEIPT"),"READY_AFTER_RECEIPT","NOT_READY")</x:f>
        <x:v>NOT_READY</x:v>
      </x:c>
      <x:c r="AH449" s="12" t="str">
        <x:f>IF(AC449="PUBLIC_CANDIDATE","none",AD449)</x:f>
        <x:v>none</x:v>
      </x:c>
      <x:c r="AI449" s="12" t="str">
        <x:f>IF(AC449="PUBLIC_CANDIDATE","archive/public_candidates/"&amp;A449,"private_quarantine/"&amp;A449)</x:f>
        <x:v>archive/public_candidates/SWARM-04-H02-S04</x:v>
      </x:c>
      <x:c r="AJ449" s="12" t="str">
        <x:f>IF(AC449="PUBLIC_CANDIDATE","public by default; still not canon","private/hold; do not publish")</x:f>
        <x:v>public by default; still not canon</x:v>
      </x:c>
      <x:c r="AK449" s="12" t="str">
        <x:f>IF(AE449="prepare_public_github_candidate","add receipt/status then mirror","resolve blocker before any public GitHub action")</x:f>
        <x:v>add receipt/status then mirror</x:v>
      </x:c>
    </x:row>
    <x:row r="450">
      <x:c r="A450" s="15" t="str">
        <x:v>SWARM-04-H02-S05</x:v>
      </x:c>
      <x:c r="B450" s="15" t="str">
        <x:v>Tidelock</x:v>
      </x:c>
      <x:c r="C450" s="15" t="str">
        <x:v>Access blocker keeper</x:v>
      </x:c>
      <x:c r="D450" s="15" t="str">
        <x:v>Receipt Verification</x:v>
      </x:c>
      <x:c r="E450" s="15" t="str">
        <x:v>Chat</x:v>
      </x:c>
      <x:c r="F450" s="15" t="str">
        <x:v>Verify receipts for Chat — Tidelock</x:v>
      </x:c>
      <x:c r="G450" s="15" t="str">
        <x:v>missing access / blocker ledger / next safe action</x:v>
      </x:c>
      <x:c r="H450" s="15" t="str">
        <x:v>source path + receipt + raw/export status + claim/edge/risk delta</x:v>
      </x:c>
      <x:c r="I450" s="15" t="str">
        <x:v>packet/SWARM-04-H02-S05</x:v>
      </x:c>
      <x:c r="J450" s="15" t="str">
        <x:v>TODO</x:v>
      </x:c>
      <x:c r="K450" s="15" t="str">
        <x:v>P1</x:v>
      </x:c>
      <x:c r="L450" s="15" t="str">
        <x:v>Done only when evidence is logged, contradiction search is noted, and boundary stamp remains non-canon unless ratified</x:v>
      </x:c>
      <x:c r="M450" s="15" t="str">
        <x:v>candidate / staging-only / not canon / not deployed / authority none</x:v>
      </x:c>
      <x:c r="N450" s="15" t="str">
        <x:v>Dispatch to Tidelock: complete Receipt Verification x Chat; return deltas only, receipts required.</x:v>
      </x:c>
      <x:c r="O450" s="15" t="str">
        <x:v>AF-KG-H02-S05</x:v>
      </x:c>
      <x:c r="P450" s="15" t="str">
        <x:v>Unverified</x:v>
      </x:c>
      <x:c r="Q450" s="15" t="str">
        <x:v>Not checked</x:v>
      </x:c>
      <x:c r="R450" s="15" t="str"/>
      <x:c r="S450" s="15" t="str"/>
      <x:c r="T450" s="15" t="str">
        <x:v>Log first source path or blocker</x:v>
      </x:c>
      <x:c r="U450" s="12" t="str">
        <x:f>IF(OR(P450="Unverified",Q450="Not checked"),"BLOCKED_PENDING_RECEIPT","READY_FOR_REVIEW")</x:f>
        <x:v>BLOCKED_PENDING_RECEIPT</x:v>
      </x:c>
      <x:c r="V450" s="12" t="str">
        <x:f>IF(J450="DONE","RETURNED",IF(U450="BLOCKED_PENDING_RECEIPT","SOURCE_TOUCH_REQUIRED","IN_PROGRESS"))</x:f>
        <x:v>SOURCE_TOUCH_REQUIRED</x:v>
      </x:c>
      <x:c r="W450" s="12" t="str">
        <x:f>IF(P450="Unverified","missing_receipt","receipt_logged")</x:f>
        <x:v>missing_receipt</x:v>
      </x:c>
      <x:c r="X450" s="12" t="str">
        <x:f>IF(Q450="Not checked","raw_status_missing","raw_status_logged")</x:f>
        <x:v>raw_status_missing</x:v>
      </x:c>
      <x:c r="Y450" s="12" t="str">
        <x:f>IF(U450="BLOCKED_PENDING_RECEIPT","Log source path or blocker; do not promote","Route to review lane")</x:f>
        <x:v>Log source path or blocker; do not promote</x:v>
      </x:c>
      <x:c r="Z450" s="12" t="str">
        <x:f>IF(K450="P0","Primary seat + Hashlight/Lucerna","Seat lane")</x:f>
        <x:v>Seat lane</x:v>
      </x:c>
      <x:c r="AA450" s="12" t="str">
        <x:f>IF(R450="","no_claim_delta","claim_delta_present")</x:f>
        <x:v>no_claim_delta</x:v>
      </x:c>
      <x:c r="AB450" s="12" t="str">
        <x:f>IF(S450="","no_contradiction_delta","contradiction_delta_present")</x:f>
        <x:v>no_contradiction_delta</x:v>
      </x:c>
      <x:c r="AC450" s="12" t="str">
        <x:f>IF(OR(ISNUMBER(SEARCH("hacker",LOWER(F450&amp;" "&amp;H450&amp;" "&amp;I450&amp;" "&amp;M450&amp;" "&amp;N450&amp;" "&amp;T450))),ISNUMBER(SEARCH("hacking",LOWER(F450&amp;" "&amp;H450&amp;" "&amp;I450&amp;" "&amp;M450&amp;" "&amp;N450&amp;" "&amp;T450))),ISNUMBER(SEARCH("bank",LOWER(F450&amp;" "&amp;H450&amp;" "&amp;I450&amp;" "&amp;M450&amp;" "&amp;N450&amp;" "&amp;T450))),ISNUMBER(SEARCH("banking",LOWER(F450&amp;" "&amp;H450&amp;" "&amp;I450&amp;" "&amp;M450&amp;" "&amp;N450&amp;" "&amp;T450)))),"PRIVATE_QUARANTINE",IF(OR(ISNUMBER(SEARCH("treasury",LOWER(F450&amp;" "&amp;H450&amp;" "&amp;I450&amp;" "&amp;M450&amp;" "&amp;N450&amp;" "&amp;T450))),ISNUMBER(SEARCH("debt",LOWER(F450&amp;" "&amp;H450&amp;" "&amp;I450&amp;" "&amp;M450&amp;" "&amp;N450&amp;" "&amp;T450))),ISNUMBER(SEARCH("bond",LOWER(F450&amp;" "&amp;H450&amp;" "&amp;I450&amp;" "&amp;M450&amp;" "&amp;N450&amp;" "&amp;T450))),ISNUMBER(SEARCH("transaction",LOWER(F450&amp;" "&amp;H450&amp;" "&amp;I450&amp;" "&amp;M450&amp;" "&amp;N450&amp;" "&amp;T450)))),"PRIVATE_REVIEW","PUBLIC_CANDIDATE"))</x:f>
        <x:v>PUBLIC_CANDIDATE</x:v>
      </x:c>
      <x:c r="AD450" s="12" t="str">
        <x:f>IF(AC450="PRIVATE_QUARANTINE","hacker_or_bank_trigger",IF(AC450="PRIVATE_REVIEW","finance_risk_trigger","none"))</x:f>
        <x:v>none</x:v>
      </x:c>
      <x:c r="AE450" s="12" t="str">
        <x:f>IF(AC450="PUBLIC_CANDIDATE","prepare_public_github_candidate",IF(AC450="PRIVATE_REVIEW","hold_for_private_review","quarantine_private_do_not_publish"))</x:f>
        <x:v>prepare_public_github_candidate</x:v>
      </x:c>
      <x:c r="AF450" s="12" t="str">
        <x:f>IF(AC450="PUBLIC_CANDIDATE","TIDELOCK + Lucerna",IF(AC450="PRIVATE_REVIEW","AtlasBrain + Lucerna","TIDELOCK + Lucerna + Human-root"))</x:f>
        <x:v>TIDELOCK + Lucerna</x:v>
      </x:c>
      <x:c r="AG450" s="12" t="str">
        <x:f>IF(AND(AC450="PUBLIC_CANDIDATE",U450&lt;&gt;"BLOCKED_PENDING_RECEIPT"),"READY_AFTER_RECEIPT","NOT_READY")</x:f>
        <x:v>NOT_READY</x:v>
      </x:c>
      <x:c r="AH450" s="12" t="str">
        <x:f>IF(AC450="PUBLIC_CANDIDATE","none",AD450)</x:f>
        <x:v>none</x:v>
      </x:c>
      <x:c r="AI450" s="12" t="str">
        <x:f>IF(AC450="PUBLIC_CANDIDATE","archive/public_candidates/"&amp;A450,"private_quarantine/"&amp;A450)</x:f>
        <x:v>archive/public_candidates/SWARM-04-H02-S05</x:v>
      </x:c>
      <x:c r="AJ450" s="12" t="str">
        <x:f>IF(AC450="PUBLIC_CANDIDATE","public by default; still not canon","private/hold; do not publish")</x:f>
        <x:v>public by default; still not canon</x:v>
      </x:c>
      <x:c r="AK450" s="12" t="str">
        <x:f>IF(AE450="prepare_public_github_candidate","add receipt/status then mirror","resolve blocker before any public GitHub action")</x:f>
        <x:v>add receipt/status then mirror</x:v>
      </x:c>
    </x:row>
    <x:row r="451">
      <x:c r="A451" s="15" t="str">
        <x:v>SWARM-04-H02-S06</x:v>
      </x:c>
      <x:c r="B451" s="15" t="str">
        <x:v>Tidelock</x:v>
      </x:c>
      <x:c r="C451" s="15" t="str">
        <x:v>Access blocker keeper</x:v>
      </x:c>
      <x:c r="D451" s="15" t="str">
        <x:v>Receipt Verification</x:v>
      </x:c>
      <x:c r="E451" s="15" t="str">
        <x:v>External Web</x:v>
      </x:c>
      <x:c r="F451" s="15" t="str">
        <x:v>Verify receipts for External Web — Tidelock</x:v>
      </x:c>
      <x:c r="G451" s="15" t="str">
        <x:v>missing access / blocker ledger / next safe action</x:v>
      </x:c>
      <x:c r="H451" s="15" t="str">
        <x:v>source path + receipt + raw/export status + claim/edge/risk delta</x:v>
      </x:c>
      <x:c r="I451" s="15" t="str">
        <x:v>packet/SWARM-04-H02-S06</x:v>
      </x:c>
      <x:c r="J451" s="15" t="str">
        <x:v>TODO</x:v>
      </x:c>
      <x:c r="K451" s="15" t="str">
        <x:v>P1</x:v>
      </x:c>
      <x:c r="L451" s="15" t="str">
        <x:v>Done only when evidence is logged, contradiction search is noted, and boundary stamp remains non-canon unless ratified</x:v>
      </x:c>
      <x:c r="M451" s="15" t="str">
        <x:v>candidate / staging-only / not canon / not deployed / authority none</x:v>
      </x:c>
      <x:c r="N451" s="15" t="str">
        <x:v>Dispatch to Tidelock: complete Receipt Verification x External Web; return deltas only, receipts required.</x:v>
      </x:c>
      <x:c r="O451" s="15" t="str">
        <x:v>AF-KG-H02-S06</x:v>
      </x:c>
      <x:c r="P451" s="15" t="str">
        <x:v>Unverified</x:v>
      </x:c>
      <x:c r="Q451" s="15" t="str">
        <x:v>Not checked</x:v>
      </x:c>
      <x:c r="R451" s="15" t="str"/>
      <x:c r="S451" s="15" t="str"/>
      <x:c r="T451" s="15" t="str">
        <x:v>Log first source path or blocker</x:v>
      </x:c>
      <x:c r="U451" s="12" t="str">
        <x:f>IF(OR(P451="Unverified",Q451="Not checked"),"BLOCKED_PENDING_RECEIPT","READY_FOR_REVIEW")</x:f>
        <x:v>BLOCKED_PENDING_RECEIPT</x:v>
      </x:c>
      <x:c r="V451" s="12" t="str">
        <x:f>IF(J451="DONE","RETURNED",IF(U451="BLOCKED_PENDING_RECEIPT","SOURCE_TOUCH_REQUIRED","IN_PROGRESS"))</x:f>
        <x:v>SOURCE_TOUCH_REQUIRED</x:v>
      </x:c>
      <x:c r="W451" s="12" t="str">
        <x:f>IF(P451="Unverified","missing_receipt","receipt_logged")</x:f>
        <x:v>missing_receipt</x:v>
      </x:c>
      <x:c r="X451" s="12" t="str">
        <x:f>IF(Q451="Not checked","raw_status_missing","raw_status_logged")</x:f>
        <x:v>raw_status_missing</x:v>
      </x:c>
      <x:c r="Y451" s="12" t="str">
        <x:f>IF(U451="BLOCKED_PENDING_RECEIPT","Log source path or blocker; do not promote","Route to review lane")</x:f>
        <x:v>Log source path or blocker; do not promote</x:v>
      </x:c>
      <x:c r="Z451" s="12" t="str">
        <x:f>IF(K451="P0","Primary seat + Hashlight/Lucerna","Seat lane")</x:f>
        <x:v>Seat lane</x:v>
      </x:c>
      <x:c r="AA451" s="12" t="str">
        <x:f>IF(R451="","no_claim_delta","claim_delta_present")</x:f>
        <x:v>no_claim_delta</x:v>
      </x:c>
      <x:c r="AB451" s="12" t="str">
        <x:f>IF(S451="","no_contradiction_delta","contradiction_delta_present")</x:f>
        <x:v>no_contradiction_delta</x:v>
      </x:c>
      <x:c r="AC451" s="12" t="str">
        <x:f>IF(OR(ISNUMBER(SEARCH("hacker",LOWER(F451&amp;" "&amp;H451&amp;" "&amp;I451&amp;" "&amp;M451&amp;" "&amp;N451&amp;" "&amp;T451))),ISNUMBER(SEARCH("hacking",LOWER(F451&amp;" "&amp;H451&amp;" "&amp;I451&amp;" "&amp;M451&amp;" "&amp;N451&amp;" "&amp;T451))),ISNUMBER(SEARCH("bank",LOWER(F451&amp;" "&amp;H451&amp;" "&amp;I451&amp;" "&amp;M451&amp;" "&amp;N451&amp;" "&amp;T451))),ISNUMBER(SEARCH("banking",LOWER(F451&amp;" "&amp;H451&amp;" "&amp;I451&amp;" "&amp;M451&amp;" "&amp;N451&amp;" "&amp;T451)))),"PRIVATE_QUARANTINE",IF(OR(ISNUMBER(SEARCH("treasury",LOWER(F451&amp;" "&amp;H451&amp;" "&amp;I451&amp;" "&amp;M451&amp;" "&amp;N451&amp;" "&amp;T451))),ISNUMBER(SEARCH("debt",LOWER(F451&amp;" "&amp;H451&amp;" "&amp;I451&amp;" "&amp;M451&amp;" "&amp;N451&amp;" "&amp;T451))),ISNUMBER(SEARCH("bond",LOWER(F451&amp;" "&amp;H451&amp;" "&amp;I451&amp;" "&amp;M451&amp;" "&amp;N451&amp;" "&amp;T451))),ISNUMBER(SEARCH("transaction",LOWER(F451&amp;" "&amp;H451&amp;" "&amp;I451&amp;" "&amp;M451&amp;" "&amp;N451&amp;" "&amp;T451)))),"PRIVATE_REVIEW","PUBLIC_CANDIDATE"))</x:f>
        <x:v>PUBLIC_CANDIDATE</x:v>
      </x:c>
      <x:c r="AD451" s="12" t="str">
        <x:f>IF(AC451="PRIVATE_QUARANTINE","hacker_or_bank_trigger",IF(AC451="PRIVATE_REVIEW","finance_risk_trigger","none"))</x:f>
        <x:v>none</x:v>
      </x:c>
      <x:c r="AE451" s="12" t="str">
        <x:f>IF(AC451="PUBLIC_CANDIDATE","prepare_public_github_candidate",IF(AC451="PRIVATE_REVIEW","hold_for_private_review","quarantine_private_do_not_publish"))</x:f>
        <x:v>prepare_public_github_candidate</x:v>
      </x:c>
      <x:c r="AF451" s="12" t="str">
        <x:f>IF(AC451="PUBLIC_CANDIDATE","TIDELOCK + Lucerna",IF(AC451="PRIVATE_REVIEW","AtlasBrain + Lucerna","TIDELOCK + Lucerna + Human-root"))</x:f>
        <x:v>TIDELOCK + Lucerna</x:v>
      </x:c>
      <x:c r="AG451" s="12" t="str">
        <x:f>IF(AND(AC451="PUBLIC_CANDIDATE",U451&lt;&gt;"BLOCKED_PENDING_RECEIPT"),"READY_AFTER_RECEIPT","NOT_READY")</x:f>
        <x:v>NOT_READY</x:v>
      </x:c>
      <x:c r="AH451" s="12" t="str">
        <x:f>IF(AC451="PUBLIC_CANDIDATE","none",AD451)</x:f>
        <x:v>none</x:v>
      </x:c>
      <x:c r="AI451" s="12" t="str">
        <x:f>IF(AC451="PUBLIC_CANDIDATE","archive/public_candidates/"&amp;A451,"private_quarantine/"&amp;A451)</x:f>
        <x:v>archive/public_candidates/SWARM-04-H02-S06</x:v>
      </x:c>
      <x:c r="AJ451" s="12" t="str">
        <x:f>IF(AC451="PUBLIC_CANDIDATE","public by default; still not canon","private/hold; do not publish")</x:f>
        <x:v>public by default; still not canon</x:v>
      </x:c>
      <x:c r="AK451" s="12" t="str">
        <x:f>IF(AE451="prepare_public_github_candidate","add receipt/status then mirror","resolve blocker before any public GitHub action")</x:f>
        <x:v>add receipt/status then mirror</x:v>
      </x:c>
    </x:row>
    <x:row r="452">
      <x:c r="A452" s="15" t="str">
        <x:v>SWARM-04-H02-S07</x:v>
      </x:c>
      <x:c r="B452" s="15" t="str">
        <x:v>Tidelock</x:v>
      </x:c>
      <x:c r="C452" s="15" t="str">
        <x:v>Access blocker keeper</x:v>
      </x:c>
      <x:c r="D452" s="15" t="str">
        <x:v>Receipt Verification</x:v>
      </x:c>
      <x:c r="E452" s="15" t="str">
        <x:v>Planetarium</x:v>
      </x:c>
      <x:c r="F452" s="15" t="str">
        <x:v>Verify receipts for Planetarium — Tidelock</x:v>
      </x:c>
      <x:c r="G452" s="15" t="str">
        <x:v>missing access / blocker ledger / next safe action</x:v>
      </x:c>
      <x:c r="H452" s="15" t="str">
        <x:v>source path + receipt + raw/export status + claim/edge/risk delta</x:v>
      </x:c>
      <x:c r="I452" s="15" t="str">
        <x:v>packet/SWARM-04-H02-S07</x:v>
      </x:c>
      <x:c r="J452" s="15" t="str">
        <x:v>TODO</x:v>
      </x:c>
      <x:c r="K452" s="15" t="str">
        <x:v>P1</x:v>
      </x:c>
      <x:c r="L452" s="15" t="str">
        <x:v>Done only when evidence is logged, contradiction search is noted, and boundary stamp remains non-canon unless ratified</x:v>
      </x:c>
      <x:c r="M452" s="15" t="str">
        <x:v>candidate / staging-only / not canon / not deployed / authority none</x:v>
      </x:c>
      <x:c r="N452" s="15" t="str">
        <x:v>Dispatch to Tidelock: complete Receipt Verification x Planetarium; return deltas only, receipts required.</x:v>
      </x:c>
      <x:c r="O452" s="15" t="str">
        <x:v>AF-KG-H02-S07</x:v>
      </x:c>
      <x:c r="P452" s="15" t="str">
        <x:v>Unverified</x:v>
      </x:c>
      <x:c r="Q452" s="15" t="str">
        <x:v>Not checked</x:v>
      </x:c>
      <x:c r="R452" s="15" t="str"/>
      <x:c r="S452" s="15" t="str"/>
      <x:c r="T452" s="15" t="str">
        <x:v>Log first source path or blocker</x:v>
      </x:c>
      <x:c r="U452" s="12" t="str">
        <x:f>IF(OR(P452="Unverified",Q452="Not checked"),"BLOCKED_PENDING_RECEIPT","READY_FOR_REVIEW")</x:f>
        <x:v>BLOCKED_PENDING_RECEIPT</x:v>
      </x:c>
      <x:c r="V452" s="12" t="str">
        <x:f>IF(J452="DONE","RETURNED",IF(U452="BLOCKED_PENDING_RECEIPT","SOURCE_TOUCH_REQUIRED","IN_PROGRESS"))</x:f>
        <x:v>SOURCE_TOUCH_REQUIRED</x:v>
      </x:c>
      <x:c r="W452" s="12" t="str">
        <x:f>IF(P452="Unverified","missing_receipt","receipt_logged")</x:f>
        <x:v>missing_receipt</x:v>
      </x:c>
      <x:c r="X452" s="12" t="str">
        <x:f>IF(Q452="Not checked","raw_status_missing","raw_status_logged")</x:f>
        <x:v>raw_status_missing</x:v>
      </x:c>
      <x:c r="Y452" s="12" t="str">
        <x:f>IF(U452="BLOCKED_PENDING_RECEIPT","Log source path or blocker; do not promote","Route to review lane")</x:f>
        <x:v>Log source path or blocker; do not promote</x:v>
      </x:c>
      <x:c r="Z452" s="12" t="str">
        <x:f>IF(K452="P0","Primary seat + Hashlight/Lucerna","Seat lane")</x:f>
        <x:v>Seat lane</x:v>
      </x:c>
      <x:c r="AA452" s="12" t="str">
        <x:f>IF(R452="","no_claim_delta","claim_delta_present")</x:f>
        <x:v>no_claim_delta</x:v>
      </x:c>
      <x:c r="AB452" s="12" t="str">
        <x:f>IF(S452="","no_contradiction_delta","contradiction_delta_present")</x:f>
        <x:v>no_contradiction_delta</x:v>
      </x:c>
      <x:c r="AC452" s="12" t="str">
        <x:f>IF(OR(ISNUMBER(SEARCH("hacker",LOWER(F452&amp;" "&amp;H452&amp;" "&amp;I452&amp;" "&amp;M452&amp;" "&amp;N452&amp;" "&amp;T452))),ISNUMBER(SEARCH("hacking",LOWER(F452&amp;" "&amp;H452&amp;" "&amp;I452&amp;" "&amp;M452&amp;" "&amp;N452&amp;" "&amp;T452))),ISNUMBER(SEARCH("bank",LOWER(F452&amp;" "&amp;H452&amp;" "&amp;I452&amp;" "&amp;M452&amp;" "&amp;N452&amp;" "&amp;T452))),ISNUMBER(SEARCH("banking",LOWER(F452&amp;" "&amp;H452&amp;" "&amp;I452&amp;" "&amp;M452&amp;" "&amp;N452&amp;" "&amp;T452)))),"PRIVATE_QUARANTINE",IF(OR(ISNUMBER(SEARCH("treasury",LOWER(F452&amp;" "&amp;H452&amp;" "&amp;I452&amp;" "&amp;M452&amp;" "&amp;N452&amp;" "&amp;T452))),ISNUMBER(SEARCH("debt",LOWER(F452&amp;" "&amp;H452&amp;" "&amp;I452&amp;" "&amp;M452&amp;" "&amp;N452&amp;" "&amp;T452))),ISNUMBER(SEARCH("bond",LOWER(F452&amp;" "&amp;H452&amp;" "&amp;I452&amp;" "&amp;M452&amp;" "&amp;N452&amp;" "&amp;T452))),ISNUMBER(SEARCH("transaction",LOWER(F452&amp;" "&amp;H452&amp;" "&amp;I452&amp;" "&amp;M452&amp;" "&amp;N452&amp;" "&amp;T452)))),"PRIVATE_REVIEW","PUBLIC_CANDIDATE"))</x:f>
        <x:v>PUBLIC_CANDIDATE</x:v>
      </x:c>
      <x:c r="AD452" s="12" t="str">
        <x:f>IF(AC452="PRIVATE_QUARANTINE","hacker_or_bank_trigger",IF(AC452="PRIVATE_REVIEW","finance_risk_trigger","none"))</x:f>
        <x:v>none</x:v>
      </x:c>
      <x:c r="AE452" s="12" t="str">
        <x:f>IF(AC452="PUBLIC_CANDIDATE","prepare_public_github_candidate",IF(AC452="PRIVATE_REVIEW","hold_for_private_review","quarantine_private_do_not_publish"))</x:f>
        <x:v>prepare_public_github_candidate</x:v>
      </x:c>
      <x:c r="AF452" s="12" t="str">
        <x:f>IF(AC452="PUBLIC_CANDIDATE","TIDELOCK + Lucerna",IF(AC452="PRIVATE_REVIEW","AtlasBrain + Lucerna","TIDELOCK + Lucerna + Human-root"))</x:f>
        <x:v>TIDELOCK + Lucerna</x:v>
      </x:c>
      <x:c r="AG452" s="12" t="str">
        <x:f>IF(AND(AC452="PUBLIC_CANDIDATE",U452&lt;&gt;"BLOCKED_PENDING_RECEIPT"),"READY_AFTER_RECEIPT","NOT_READY")</x:f>
        <x:v>NOT_READY</x:v>
      </x:c>
      <x:c r="AH452" s="12" t="str">
        <x:f>IF(AC452="PUBLIC_CANDIDATE","none",AD452)</x:f>
        <x:v>none</x:v>
      </x:c>
      <x:c r="AI452" s="12" t="str">
        <x:f>IF(AC452="PUBLIC_CANDIDATE","archive/public_candidates/"&amp;A452,"private_quarantine/"&amp;A452)</x:f>
        <x:v>archive/public_candidates/SWARM-04-H02-S07</x:v>
      </x:c>
      <x:c r="AJ452" s="12" t="str">
        <x:f>IF(AC452="PUBLIC_CANDIDATE","public by default; still not canon","private/hold; do not publish")</x:f>
        <x:v>public by default; still not canon</x:v>
      </x:c>
      <x:c r="AK452" s="12" t="str">
        <x:f>IF(AE452="prepare_public_github_candidate","add receipt/status then mirror","resolve blocker before any public GitHub action")</x:f>
        <x:v>add receipt/status then mirror</x:v>
      </x:c>
    </x:row>
    <x:row r="453">
      <x:c r="A453" s="15" t="str">
        <x:v>SWARM-04-H02-S08</x:v>
      </x:c>
      <x:c r="B453" s="15" t="str">
        <x:v>Tidelock</x:v>
      </x:c>
      <x:c r="C453" s="15" t="str">
        <x:v>Access blocker keeper</x:v>
      </x:c>
      <x:c r="D453" s="15" t="str">
        <x:v>Receipt Verification</x:v>
      </x:c>
      <x:c r="E453" s="15" t="str">
        <x:v>Sheldonbrain</x:v>
      </x:c>
      <x:c r="F453" s="15" t="str">
        <x:v>Verify receipts for Sheldonbrain — Tidelock</x:v>
      </x:c>
      <x:c r="G453" s="15" t="str">
        <x:v>missing access / blocker ledger / next safe action</x:v>
      </x:c>
      <x:c r="H453" s="15" t="str">
        <x:v>source path + receipt + raw/export status + claim/edge/risk delta</x:v>
      </x:c>
      <x:c r="I453" s="15" t="str">
        <x:v>packet/SWARM-04-H02-S08</x:v>
      </x:c>
      <x:c r="J453" s="15" t="str">
        <x:v>TODO</x:v>
      </x:c>
      <x:c r="K453" s="15" t="str">
        <x:v>P1</x:v>
      </x:c>
      <x:c r="L453" s="15" t="str">
        <x:v>Done only when evidence is logged, contradiction search is noted, and boundary stamp remains non-canon unless ratified</x:v>
      </x:c>
      <x:c r="M453" s="15" t="str">
        <x:v>candidate / staging-only / not canon / not deployed / authority none</x:v>
      </x:c>
      <x:c r="N453" s="15" t="str">
        <x:v>Dispatch to Tidelock: complete Receipt Verification x Sheldonbrain; return deltas only, receipts required.</x:v>
      </x:c>
      <x:c r="O453" s="15" t="str">
        <x:v>AF-KG-H02-S08</x:v>
      </x:c>
      <x:c r="P453" s="15" t="str">
        <x:v>Unverified</x:v>
      </x:c>
      <x:c r="Q453" s="15" t="str">
        <x:v>Not checked</x:v>
      </x:c>
      <x:c r="R453" s="15" t="str"/>
      <x:c r="S453" s="15" t="str"/>
      <x:c r="T453" s="15" t="str">
        <x:v>Log first source path or blocker</x:v>
      </x:c>
      <x:c r="U453" s="12" t="str">
        <x:f>IF(OR(P453="Unverified",Q453="Not checked"),"BLOCKED_PENDING_RECEIPT","READY_FOR_REVIEW")</x:f>
        <x:v>BLOCKED_PENDING_RECEIPT</x:v>
      </x:c>
      <x:c r="V453" s="12" t="str">
        <x:f>IF(J453="DONE","RETURNED",IF(U453="BLOCKED_PENDING_RECEIPT","SOURCE_TOUCH_REQUIRED","IN_PROGRESS"))</x:f>
        <x:v>SOURCE_TOUCH_REQUIRED</x:v>
      </x:c>
      <x:c r="W453" s="12" t="str">
        <x:f>IF(P453="Unverified","missing_receipt","receipt_logged")</x:f>
        <x:v>missing_receipt</x:v>
      </x:c>
      <x:c r="X453" s="12" t="str">
        <x:f>IF(Q453="Not checked","raw_status_missing","raw_status_logged")</x:f>
        <x:v>raw_status_missing</x:v>
      </x:c>
      <x:c r="Y453" s="12" t="str">
        <x:f>IF(U453="BLOCKED_PENDING_RECEIPT","Log source path or blocker; do not promote","Route to review lane")</x:f>
        <x:v>Log source path or blocker; do not promote</x:v>
      </x:c>
      <x:c r="Z453" s="12" t="str">
        <x:f>IF(K453="P0","Primary seat + Hashlight/Lucerna","Seat lane")</x:f>
        <x:v>Seat lane</x:v>
      </x:c>
      <x:c r="AA453" s="12" t="str">
        <x:f>IF(R453="","no_claim_delta","claim_delta_present")</x:f>
        <x:v>no_claim_delta</x:v>
      </x:c>
      <x:c r="AB453" s="12" t="str">
        <x:f>IF(S453="","no_contradiction_delta","contradiction_delta_present")</x:f>
        <x:v>no_contradiction_delta</x:v>
      </x:c>
      <x:c r="AC453" s="12" t="str">
        <x:f>IF(OR(ISNUMBER(SEARCH("hacker",LOWER(F453&amp;" "&amp;H453&amp;" "&amp;I453&amp;" "&amp;M453&amp;" "&amp;N453&amp;" "&amp;T453))),ISNUMBER(SEARCH("hacking",LOWER(F453&amp;" "&amp;H453&amp;" "&amp;I453&amp;" "&amp;M453&amp;" "&amp;N453&amp;" "&amp;T453))),ISNUMBER(SEARCH("bank",LOWER(F453&amp;" "&amp;H453&amp;" "&amp;I453&amp;" "&amp;M453&amp;" "&amp;N453&amp;" "&amp;T453))),ISNUMBER(SEARCH("banking",LOWER(F453&amp;" "&amp;H453&amp;" "&amp;I453&amp;" "&amp;M453&amp;" "&amp;N453&amp;" "&amp;T453)))),"PRIVATE_QUARANTINE",IF(OR(ISNUMBER(SEARCH("treasury",LOWER(F453&amp;" "&amp;H453&amp;" "&amp;I453&amp;" "&amp;M453&amp;" "&amp;N453&amp;" "&amp;T453))),ISNUMBER(SEARCH("debt",LOWER(F453&amp;" "&amp;H453&amp;" "&amp;I453&amp;" "&amp;M453&amp;" "&amp;N453&amp;" "&amp;T453))),ISNUMBER(SEARCH("bond",LOWER(F453&amp;" "&amp;H453&amp;" "&amp;I453&amp;" "&amp;M453&amp;" "&amp;N453&amp;" "&amp;T453))),ISNUMBER(SEARCH("transaction",LOWER(F453&amp;" "&amp;H453&amp;" "&amp;I453&amp;" "&amp;M453&amp;" "&amp;N453&amp;" "&amp;T453)))),"PRIVATE_REVIEW","PUBLIC_CANDIDATE"))</x:f>
        <x:v>PUBLIC_CANDIDATE</x:v>
      </x:c>
      <x:c r="AD453" s="12" t="str">
        <x:f>IF(AC453="PRIVATE_QUARANTINE","hacker_or_bank_trigger",IF(AC453="PRIVATE_REVIEW","finance_risk_trigger","none"))</x:f>
        <x:v>none</x:v>
      </x:c>
      <x:c r="AE453" s="12" t="str">
        <x:f>IF(AC453="PUBLIC_CANDIDATE","prepare_public_github_candidate",IF(AC453="PRIVATE_REVIEW","hold_for_private_review","quarantine_private_do_not_publish"))</x:f>
        <x:v>prepare_public_github_candidate</x:v>
      </x:c>
      <x:c r="AF453" s="12" t="str">
        <x:f>IF(AC453="PUBLIC_CANDIDATE","TIDELOCK + Lucerna",IF(AC453="PRIVATE_REVIEW","AtlasBrain + Lucerna","TIDELOCK + Lucerna + Human-root"))</x:f>
        <x:v>TIDELOCK + Lucerna</x:v>
      </x:c>
      <x:c r="AG453" s="12" t="str">
        <x:f>IF(AND(AC453="PUBLIC_CANDIDATE",U453&lt;&gt;"BLOCKED_PENDING_RECEIPT"),"READY_AFTER_RECEIPT","NOT_READY")</x:f>
        <x:v>NOT_READY</x:v>
      </x:c>
      <x:c r="AH453" s="12" t="str">
        <x:f>IF(AC453="PUBLIC_CANDIDATE","none",AD453)</x:f>
        <x:v>none</x:v>
      </x:c>
      <x:c r="AI453" s="12" t="str">
        <x:f>IF(AC453="PUBLIC_CANDIDATE","archive/public_candidates/"&amp;A453,"private_quarantine/"&amp;A453)</x:f>
        <x:v>archive/public_candidates/SWARM-04-H02-S08</x:v>
      </x:c>
      <x:c r="AJ453" s="12" t="str">
        <x:f>IF(AC453="PUBLIC_CANDIDATE","public by default; still not canon","private/hold; do not publish")</x:f>
        <x:v>public by default; still not canon</x:v>
      </x:c>
      <x:c r="AK453" s="12" t="str">
        <x:f>IF(AE453="prepare_public_github_candidate","add receipt/status then mirror","resolve blocker before any public GitHub action")</x:f>
        <x:v>add receipt/status then mirror</x:v>
      </x:c>
    </x:row>
    <x:row r="454">
      <x:c r="A454" s="15" t="str">
        <x:v>SWARM-04-H02-S09</x:v>
      </x:c>
      <x:c r="B454" s="15" t="str">
        <x:v>Tidelock</x:v>
      </x:c>
      <x:c r="C454" s="15" t="str">
        <x:v>Access blocker keeper</x:v>
      </x:c>
      <x:c r="D454" s="15" t="str">
        <x:v>Receipt Verification</x:v>
      </x:c>
      <x:c r="E454" s="15" t="str">
        <x:v>Aetherforge</x:v>
      </x:c>
      <x:c r="F454" s="15" t="str">
        <x:v>Verify receipts for Aetherforge — Tidelock</x:v>
      </x:c>
      <x:c r="G454" s="15" t="str">
        <x:v>missing access / blocker ledger / next safe action</x:v>
      </x:c>
      <x:c r="H454" s="15" t="str">
        <x:v>source path + receipt + raw/export status + claim/edge/risk delta</x:v>
      </x:c>
      <x:c r="I454" s="15" t="str">
        <x:v>packet/SWARM-04-H02-S09</x:v>
      </x:c>
      <x:c r="J454" s="15" t="str">
        <x:v>TODO</x:v>
      </x:c>
      <x:c r="K454" s="15" t="str">
        <x:v>P2</x:v>
      </x:c>
      <x:c r="L454" s="15" t="str">
        <x:v>Done only when evidence is logged, contradiction search is noted, and boundary stamp remains non-canon unless ratified</x:v>
      </x:c>
      <x:c r="M454" s="15" t="str">
        <x:v>candidate / staging-only / not canon / not deployed / authority none</x:v>
      </x:c>
      <x:c r="N454" s="15" t="str">
        <x:v>Dispatch to Tidelock: complete Receipt Verification x Aetherforge; return deltas only, receipts required.</x:v>
      </x:c>
      <x:c r="O454" s="15" t="str">
        <x:v>AF-KG-H02-S09</x:v>
      </x:c>
      <x:c r="P454" s="15" t="str">
        <x:v>Unverified</x:v>
      </x:c>
      <x:c r="Q454" s="15" t="str">
        <x:v>Not checked</x:v>
      </x:c>
      <x:c r="R454" s="15" t="str"/>
      <x:c r="S454" s="15" t="str"/>
      <x:c r="T454" s="15" t="str">
        <x:v>Log first source path or blocker</x:v>
      </x:c>
      <x:c r="U454" s="12" t="str">
        <x:f>IF(OR(P454="Unverified",Q454="Not checked"),"BLOCKED_PENDING_RECEIPT","READY_FOR_REVIEW")</x:f>
        <x:v>BLOCKED_PENDING_RECEIPT</x:v>
      </x:c>
      <x:c r="V454" s="12" t="str">
        <x:f>IF(J454="DONE","RETURNED",IF(U454="BLOCKED_PENDING_RECEIPT","SOURCE_TOUCH_REQUIRED","IN_PROGRESS"))</x:f>
        <x:v>SOURCE_TOUCH_REQUIRED</x:v>
      </x:c>
      <x:c r="W454" s="12" t="str">
        <x:f>IF(P454="Unverified","missing_receipt","receipt_logged")</x:f>
        <x:v>missing_receipt</x:v>
      </x:c>
      <x:c r="X454" s="12" t="str">
        <x:f>IF(Q454="Not checked","raw_status_missing","raw_status_logged")</x:f>
        <x:v>raw_status_missing</x:v>
      </x:c>
      <x:c r="Y454" s="12" t="str">
        <x:f>IF(U454="BLOCKED_PENDING_RECEIPT","Log source path or blocker; do not promote","Route to review lane")</x:f>
        <x:v>Log source path or blocker; do not promote</x:v>
      </x:c>
      <x:c r="Z454" s="12" t="str">
        <x:f>IF(K454="P0","Primary seat + Hashlight/Lucerna","Seat lane")</x:f>
        <x:v>Seat lane</x:v>
      </x:c>
      <x:c r="AA454" s="12" t="str">
        <x:f>IF(R454="","no_claim_delta","claim_delta_present")</x:f>
        <x:v>no_claim_delta</x:v>
      </x:c>
      <x:c r="AB454" s="12" t="str">
        <x:f>IF(S454="","no_contradiction_delta","contradiction_delta_present")</x:f>
        <x:v>no_contradiction_delta</x:v>
      </x:c>
      <x:c r="AC454" s="12" t="str">
        <x:f>IF(OR(ISNUMBER(SEARCH("hacker",LOWER(F454&amp;" "&amp;H454&amp;" "&amp;I454&amp;" "&amp;M454&amp;" "&amp;N454&amp;" "&amp;T454))),ISNUMBER(SEARCH("hacking",LOWER(F454&amp;" "&amp;H454&amp;" "&amp;I454&amp;" "&amp;M454&amp;" "&amp;N454&amp;" "&amp;T454))),ISNUMBER(SEARCH("bank",LOWER(F454&amp;" "&amp;H454&amp;" "&amp;I454&amp;" "&amp;M454&amp;" "&amp;N454&amp;" "&amp;T454))),ISNUMBER(SEARCH("banking",LOWER(F454&amp;" "&amp;H454&amp;" "&amp;I454&amp;" "&amp;M454&amp;" "&amp;N454&amp;" "&amp;T454)))),"PRIVATE_QUARANTINE",IF(OR(ISNUMBER(SEARCH("treasury",LOWER(F454&amp;" "&amp;H454&amp;" "&amp;I454&amp;" "&amp;M454&amp;" "&amp;N454&amp;" "&amp;T454))),ISNUMBER(SEARCH("debt",LOWER(F454&amp;" "&amp;H454&amp;" "&amp;I454&amp;" "&amp;M454&amp;" "&amp;N454&amp;" "&amp;T454))),ISNUMBER(SEARCH("bond",LOWER(F454&amp;" "&amp;H454&amp;" "&amp;I454&amp;" "&amp;M454&amp;" "&amp;N454&amp;" "&amp;T454))),ISNUMBER(SEARCH("transaction",LOWER(F454&amp;" "&amp;H454&amp;" "&amp;I454&amp;" "&amp;M454&amp;" "&amp;N454&amp;" "&amp;T454)))),"PRIVATE_REVIEW","PUBLIC_CANDIDATE"))</x:f>
        <x:v>PUBLIC_CANDIDATE</x:v>
      </x:c>
      <x:c r="AD454" s="12" t="str">
        <x:f>IF(AC454="PRIVATE_QUARANTINE","hacker_or_bank_trigger",IF(AC454="PRIVATE_REVIEW","finance_risk_trigger","none"))</x:f>
        <x:v>none</x:v>
      </x:c>
      <x:c r="AE454" s="12" t="str">
        <x:f>IF(AC454="PUBLIC_CANDIDATE","prepare_public_github_candidate",IF(AC454="PRIVATE_REVIEW","hold_for_private_review","quarantine_private_do_not_publish"))</x:f>
        <x:v>prepare_public_github_candidate</x:v>
      </x:c>
      <x:c r="AF454" s="12" t="str">
        <x:f>IF(AC454="PUBLIC_CANDIDATE","TIDELOCK + Lucerna",IF(AC454="PRIVATE_REVIEW","AtlasBrain + Lucerna","TIDELOCK + Lucerna + Human-root"))</x:f>
        <x:v>TIDELOCK + Lucerna</x:v>
      </x:c>
      <x:c r="AG454" s="12" t="str">
        <x:f>IF(AND(AC454="PUBLIC_CANDIDATE",U454&lt;&gt;"BLOCKED_PENDING_RECEIPT"),"READY_AFTER_RECEIPT","NOT_READY")</x:f>
        <x:v>NOT_READY</x:v>
      </x:c>
      <x:c r="AH454" s="12" t="str">
        <x:f>IF(AC454="PUBLIC_CANDIDATE","none",AD454)</x:f>
        <x:v>none</x:v>
      </x:c>
      <x:c r="AI454" s="12" t="str">
        <x:f>IF(AC454="PUBLIC_CANDIDATE","archive/public_candidates/"&amp;A454,"private_quarantine/"&amp;A454)</x:f>
        <x:v>archive/public_candidates/SWARM-04-H02-S09</x:v>
      </x:c>
      <x:c r="AJ454" s="12" t="str">
        <x:f>IF(AC454="PUBLIC_CANDIDATE","public by default; still not canon","private/hold; do not publish")</x:f>
        <x:v>public by default; still not canon</x:v>
      </x:c>
      <x:c r="AK454" s="12" t="str">
        <x:f>IF(AE454="prepare_public_github_candidate","add receipt/status then mirror","resolve blocker before any public GitHub action")</x:f>
        <x:v>add receipt/status then mirror</x:v>
      </x:c>
    </x:row>
    <x:row r="455">
      <x:c r="A455" s="15" t="str">
        <x:v>SWARM-04-H02-S10</x:v>
      </x:c>
      <x:c r="B455" s="15" t="str">
        <x:v>Tidelock</x:v>
      </x:c>
      <x:c r="C455" s="15" t="str">
        <x:v>Access blocker keeper</x:v>
      </x:c>
      <x:c r="D455" s="15" t="str">
        <x:v>Receipt Verification</x:v>
      </x:c>
      <x:c r="E455" s="15" t="str">
        <x:v>Human-Root</x:v>
      </x:c>
      <x:c r="F455" s="15" t="str">
        <x:v>Verify receipts for Human-Root — Tidelock</x:v>
      </x:c>
      <x:c r="G455" s="15" t="str">
        <x:v>missing access / blocker ledger / next safe action</x:v>
      </x:c>
      <x:c r="H455" s="15" t="str">
        <x:v>source path + receipt + raw/export status + claim/edge/risk delta</x:v>
      </x:c>
      <x:c r="I455" s="15" t="str">
        <x:v>packet/SWARM-04-H02-S10</x:v>
      </x:c>
      <x:c r="J455" s="15" t="str">
        <x:v>TODO</x:v>
      </x:c>
      <x:c r="K455" s="15" t="str">
        <x:v>P2</x:v>
      </x:c>
      <x:c r="L455" s="15" t="str">
        <x:v>Done only when evidence is logged, contradiction search is noted, and boundary stamp remains non-canon unless ratified</x:v>
      </x:c>
      <x:c r="M455" s="15" t="str">
        <x:v>candidate / staging-only / not canon / not deployed / authority none</x:v>
      </x:c>
      <x:c r="N455" s="15" t="str">
        <x:v>Dispatch to Tidelock: complete Receipt Verification x Human-Root; return deltas only, receipts required.</x:v>
      </x:c>
      <x:c r="O455" s="15" t="str">
        <x:v>AF-KG-H02-S10</x:v>
      </x:c>
      <x:c r="P455" s="15" t="str">
        <x:v>Unverified</x:v>
      </x:c>
      <x:c r="Q455" s="15" t="str">
        <x:v>Not checked</x:v>
      </x:c>
      <x:c r="R455" s="15" t="str"/>
      <x:c r="S455" s="15" t="str"/>
      <x:c r="T455" s="15" t="str">
        <x:v>Log first source path or blocker</x:v>
      </x:c>
      <x:c r="U455" s="12" t="str">
        <x:f>IF(OR(P455="Unverified",Q455="Not checked"),"BLOCKED_PENDING_RECEIPT","READY_FOR_REVIEW")</x:f>
        <x:v>BLOCKED_PENDING_RECEIPT</x:v>
      </x:c>
      <x:c r="V455" s="12" t="str">
        <x:f>IF(J455="DONE","RETURNED",IF(U455="BLOCKED_PENDING_RECEIPT","SOURCE_TOUCH_REQUIRED","IN_PROGRESS"))</x:f>
        <x:v>SOURCE_TOUCH_REQUIRED</x:v>
      </x:c>
      <x:c r="W455" s="12" t="str">
        <x:f>IF(P455="Unverified","missing_receipt","receipt_logged")</x:f>
        <x:v>missing_receipt</x:v>
      </x:c>
      <x:c r="X455" s="12" t="str">
        <x:f>IF(Q455="Not checked","raw_status_missing","raw_status_logged")</x:f>
        <x:v>raw_status_missing</x:v>
      </x:c>
      <x:c r="Y455" s="12" t="str">
        <x:f>IF(U455="BLOCKED_PENDING_RECEIPT","Log source path or blocker; do not promote","Route to review lane")</x:f>
        <x:v>Log source path or blocker; do not promote</x:v>
      </x:c>
      <x:c r="Z455" s="12" t="str">
        <x:f>IF(K455="P0","Primary seat + Hashlight/Lucerna","Seat lane")</x:f>
        <x:v>Seat lane</x:v>
      </x:c>
      <x:c r="AA455" s="12" t="str">
        <x:f>IF(R455="","no_claim_delta","claim_delta_present")</x:f>
        <x:v>no_claim_delta</x:v>
      </x:c>
      <x:c r="AB455" s="12" t="str">
        <x:f>IF(S455="","no_contradiction_delta","contradiction_delta_present")</x:f>
        <x:v>no_contradiction_delta</x:v>
      </x:c>
      <x:c r="AC455" s="12" t="str">
        <x:f>IF(OR(ISNUMBER(SEARCH("hacker",LOWER(F455&amp;" "&amp;H455&amp;" "&amp;I455&amp;" "&amp;M455&amp;" "&amp;N455&amp;" "&amp;T455))),ISNUMBER(SEARCH("hacking",LOWER(F455&amp;" "&amp;H455&amp;" "&amp;I455&amp;" "&amp;M455&amp;" "&amp;N455&amp;" "&amp;T455))),ISNUMBER(SEARCH("bank",LOWER(F455&amp;" "&amp;H455&amp;" "&amp;I455&amp;" "&amp;M455&amp;" "&amp;N455&amp;" "&amp;T455))),ISNUMBER(SEARCH("banking",LOWER(F455&amp;" "&amp;H455&amp;" "&amp;I455&amp;" "&amp;M455&amp;" "&amp;N455&amp;" "&amp;T455)))),"PRIVATE_QUARANTINE",IF(OR(ISNUMBER(SEARCH("treasury",LOWER(F455&amp;" "&amp;H455&amp;" "&amp;I455&amp;" "&amp;M455&amp;" "&amp;N455&amp;" "&amp;T455))),ISNUMBER(SEARCH("debt",LOWER(F455&amp;" "&amp;H455&amp;" "&amp;I455&amp;" "&amp;M455&amp;" "&amp;N455&amp;" "&amp;T455))),ISNUMBER(SEARCH("bond",LOWER(F455&amp;" "&amp;H455&amp;" "&amp;I455&amp;" "&amp;M455&amp;" "&amp;N455&amp;" "&amp;T455))),ISNUMBER(SEARCH("transaction",LOWER(F455&amp;" "&amp;H455&amp;" "&amp;I455&amp;" "&amp;M455&amp;" "&amp;N455&amp;" "&amp;T455)))),"PRIVATE_REVIEW","PUBLIC_CANDIDATE"))</x:f>
        <x:v>PUBLIC_CANDIDATE</x:v>
      </x:c>
      <x:c r="AD455" s="12" t="str">
        <x:f>IF(AC455="PRIVATE_QUARANTINE","hacker_or_bank_trigger",IF(AC455="PRIVATE_REVIEW","finance_risk_trigger","none"))</x:f>
        <x:v>none</x:v>
      </x:c>
      <x:c r="AE455" s="12" t="str">
        <x:f>IF(AC455="PUBLIC_CANDIDATE","prepare_public_github_candidate",IF(AC455="PRIVATE_REVIEW","hold_for_private_review","quarantine_private_do_not_publish"))</x:f>
        <x:v>prepare_public_github_candidate</x:v>
      </x:c>
      <x:c r="AF455" s="12" t="str">
        <x:f>IF(AC455="PUBLIC_CANDIDATE","TIDELOCK + Lucerna",IF(AC455="PRIVATE_REVIEW","AtlasBrain + Lucerna","TIDELOCK + Lucerna + Human-root"))</x:f>
        <x:v>TIDELOCK + Lucerna</x:v>
      </x:c>
      <x:c r="AG455" s="12" t="str">
        <x:f>IF(AND(AC455="PUBLIC_CANDIDATE",U455&lt;&gt;"BLOCKED_PENDING_RECEIPT"),"READY_AFTER_RECEIPT","NOT_READY")</x:f>
        <x:v>NOT_READY</x:v>
      </x:c>
      <x:c r="AH455" s="12" t="str">
        <x:f>IF(AC455="PUBLIC_CANDIDATE","none",AD455)</x:f>
        <x:v>none</x:v>
      </x:c>
      <x:c r="AI455" s="12" t="str">
        <x:f>IF(AC455="PUBLIC_CANDIDATE","archive/public_candidates/"&amp;A455,"private_quarantine/"&amp;A455)</x:f>
        <x:v>archive/public_candidates/SWARM-04-H02-S10</x:v>
      </x:c>
      <x:c r="AJ455" s="12" t="str">
        <x:f>IF(AC455="PUBLIC_CANDIDATE","public by default; still not canon","private/hold; do not publish")</x:f>
        <x:v>public by default; still not canon</x:v>
      </x:c>
      <x:c r="AK455" s="12" t="str">
        <x:f>IF(AE455="prepare_public_github_candidate","add receipt/status then mirror","resolve blocker before any public GitHub action")</x:f>
        <x:v>add receipt/status then mirror</x:v>
      </x:c>
    </x:row>
    <x:row r="456">
      <x:c r="A456" s="15" t="str">
        <x:v>SWARM-04-H02-S11</x:v>
      </x:c>
      <x:c r="B456" s="15" t="str">
        <x:v>Tidelock</x:v>
      </x:c>
      <x:c r="C456" s="15" t="str">
        <x:v>Access blocker keeper</x:v>
      </x:c>
      <x:c r="D456" s="15" t="str">
        <x:v>Receipt Verification</x:v>
      </x:c>
      <x:c r="E456" s="15" t="str">
        <x:v>Automation</x:v>
      </x:c>
      <x:c r="F456" s="15" t="str">
        <x:v>Verify receipts for Automation — Tidelock</x:v>
      </x:c>
      <x:c r="G456" s="15" t="str">
        <x:v>missing access / blocker ledger / next safe action</x:v>
      </x:c>
      <x:c r="H456" s="15" t="str">
        <x:v>source path + receipt + raw/export status + claim/edge/risk delta</x:v>
      </x:c>
      <x:c r="I456" s="15" t="str">
        <x:v>packet/SWARM-04-H02-S11</x:v>
      </x:c>
      <x:c r="J456" s="15" t="str">
        <x:v>TODO</x:v>
      </x:c>
      <x:c r="K456" s="15" t="str">
        <x:v>P2</x:v>
      </x:c>
      <x:c r="L456" s="15" t="str">
        <x:v>Done only when evidence is logged, contradiction search is noted, and boundary stamp remains non-canon unless ratified</x:v>
      </x:c>
      <x:c r="M456" s="15" t="str">
        <x:v>candidate / staging-only / not canon / not deployed / authority none</x:v>
      </x:c>
      <x:c r="N456" s="15" t="str">
        <x:v>Dispatch to Tidelock: complete Receipt Verification x Automation; return deltas only, receipts required.</x:v>
      </x:c>
      <x:c r="O456" s="15" t="str">
        <x:v>AF-KG-H02-S11</x:v>
      </x:c>
      <x:c r="P456" s="15" t="str">
        <x:v>Unverified</x:v>
      </x:c>
      <x:c r="Q456" s="15" t="str">
        <x:v>Not checked</x:v>
      </x:c>
      <x:c r="R456" s="15" t="str"/>
      <x:c r="S456" s="15" t="str"/>
      <x:c r="T456" s="15" t="str">
        <x:v>Log first source path or blocker</x:v>
      </x:c>
      <x:c r="U456" s="12" t="str">
        <x:f>IF(OR(P456="Unverified",Q456="Not checked"),"BLOCKED_PENDING_RECEIPT","READY_FOR_REVIEW")</x:f>
        <x:v>BLOCKED_PENDING_RECEIPT</x:v>
      </x:c>
      <x:c r="V456" s="12" t="str">
        <x:f>IF(J456="DONE","RETURNED",IF(U456="BLOCKED_PENDING_RECEIPT","SOURCE_TOUCH_REQUIRED","IN_PROGRESS"))</x:f>
        <x:v>SOURCE_TOUCH_REQUIRED</x:v>
      </x:c>
      <x:c r="W456" s="12" t="str">
        <x:f>IF(P456="Unverified","missing_receipt","receipt_logged")</x:f>
        <x:v>missing_receipt</x:v>
      </x:c>
      <x:c r="X456" s="12" t="str">
        <x:f>IF(Q456="Not checked","raw_status_missing","raw_status_logged")</x:f>
        <x:v>raw_status_missing</x:v>
      </x:c>
      <x:c r="Y456" s="12" t="str">
        <x:f>IF(U456="BLOCKED_PENDING_RECEIPT","Log source path or blocker; do not promote","Route to review lane")</x:f>
        <x:v>Log source path or blocker; do not promote</x:v>
      </x:c>
      <x:c r="Z456" s="12" t="str">
        <x:f>IF(K456="P0","Primary seat + Hashlight/Lucerna","Seat lane")</x:f>
        <x:v>Seat lane</x:v>
      </x:c>
      <x:c r="AA456" s="12" t="str">
        <x:f>IF(R456="","no_claim_delta","claim_delta_present")</x:f>
        <x:v>no_claim_delta</x:v>
      </x:c>
      <x:c r="AB456" s="12" t="str">
        <x:f>IF(S456="","no_contradiction_delta","contradiction_delta_present")</x:f>
        <x:v>no_contradiction_delta</x:v>
      </x:c>
      <x:c r="AC456" s="12" t="str">
        <x:f>IF(OR(ISNUMBER(SEARCH("hacker",LOWER(F456&amp;" "&amp;H456&amp;" "&amp;I456&amp;" "&amp;M456&amp;" "&amp;N456&amp;" "&amp;T456))),ISNUMBER(SEARCH("hacking",LOWER(F456&amp;" "&amp;H456&amp;" "&amp;I456&amp;" "&amp;M456&amp;" "&amp;N456&amp;" "&amp;T456))),ISNUMBER(SEARCH("bank",LOWER(F456&amp;" "&amp;H456&amp;" "&amp;I456&amp;" "&amp;M456&amp;" "&amp;N456&amp;" "&amp;T456))),ISNUMBER(SEARCH("banking",LOWER(F456&amp;" "&amp;H456&amp;" "&amp;I456&amp;" "&amp;M456&amp;" "&amp;N456&amp;" "&amp;T456)))),"PRIVATE_QUARANTINE",IF(OR(ISNUMBER(SEARCH("treasury",LOWER(F456&amp;" "&amp;H456&amp;" "&amp;I456&amp;" "&amp;M456&amp;" "&amp;N456&amp;" "&amp;T456))),ISNUMBER(SEARCH("debt",LOWER(F456&amp;" "&amp;H456&amp;" "&amp;I456&amp;" "&amp;M456&amp;" "&amp;N456&amp;" "&amp;T456))),ISNUMBER(SEARCH("bond",LOWER(F456&amp;" "&amp;H456&amp;" "&amp;I456&amp;" "&amp;M456&amp;" "&amp;N456&amp;" "&amp;T456))),ISNUMBER(SEARCH("transaction",LOWER(F456&amp;" "&amp;H456&amp;" "&amp;I456&amp;" "&amp;M456&amp;" "&amp;N456&amp;" "&amp;T456)))),"PRIVATE_REVIEW","PUBLIC_CANDIDATE"))</x:f>
        <x:v>PUBLIC_CANDIDATE</x:v>
      </x:c>
      <x:c r="AD456" s="12" t="str">
        <x:f>IF(AC456="PRIVATE_QUARANTINE","hacker_or_bank_trigger",IF(AC456="PRIVATE_REVIEW","finance_risk_trigger","none"))</x:f>
        <x:v>none</x:v>
      </x:c>
      <x:c r="AE456" s="12" t="str">
        <x:f>IF(AC456="PUBLIC_CANDIDATE","prepare_public_github_candidate",IF(AC456="PRIVATE_REVIEW","hold_for_private_review","quarantine_private_do_not_publish"))</x:f>
        <x:v>prepare_public_github_candidate</x:v>
      </x:c>
      <x:c r="AF456" s="12" t="str">
        <x:f>IF(AC456="PUBLIC_CANDIDATE","TIDELOCK + Lucerna",IF(AC456="PRIVATE_REVIEW","AtlasBrain + Lucerna","TIDELOCK + Lucerna + Human-root"))</x:f>
        <x:v>TIDELOCK + Lucerna</x:v>
      </x:c>
      <x:c r="AG456" s="12" t="str">
        <x:f>IF(AND(AC456="PUBLIC_CANDIDATE",U456&lt;&gt;"BLOCKED_PENDING_RECEIPT"),"READY_AFTER_RECEIPT","NOT_READY")</x:f>
        <x:v>NOT_READY</x:v>
      </x:c>
      <x:c r="AH456" s="12" t="str">
        <x:f>IF(AC456="PUBLIC_CANDIDATE","none",AD456)</x:f>
        <x:v>none</x:v>
      </x:c>
      <x:c r="AI456" s="12" t="str">
        <x:f>IF(AC456="PUBLIC_CANDIDATE","archive/public_candidates/"&amp;A456,"private_quarantine/"&amp;A456)</x:f>
        <x:v>archive/public_candidates/SWARM-04-H02-S11</x:v>
      </x:c>
      <x:c r="AJ456" s="12" t="str">
        <x:f>IF(AC456="PUBLIC_CANDIDATE","public by default; still not canon","private/hold; do not publish")</x:f>
        <x:v>public by default; still not canon</x:v>
      </x:c>
      <x:c r="AK456" s="12" t="str">
        <x:f>IF(AE456="prepare_public_github_candidate","add receipt/status then mirror","resolve blocker before any public GitHub action")</x:f>
        <x:v>add receipt/status then mirror</x:v>
      </x:c>
    </x:row>
    <x:row r="457">
      <x:c r="A457" s="15" t="str">
        <x:v>SWARM-04-H02-S12</x:v>
      </x:c>
      <x:c r="B457" s="15" t="str">
        <x:v>Tidelock</x:v>
      </x:c>
      <x:c r="C457" s="15" t="str">
        <x:v>Access blocker keeper</x:v>
      </x:c>
      <x:c r="D457" s="15" t="str">
        <x:v>Receipt Verification</x:v>
      </x:c>
      <x:c r="E457" s="15" t="str">
        <x:v>Risk / Safety</x:v>
      </x:c>
      <x:c r="F457" s="15" t="str">
        <x:v>Verify receipts for Risk / Safety — Tidelock</x:v>
      </x:c>
      <x:c r="G457" s="15" t="str">
        <x:v>missing access / blocker ledger / next safe action</x:v>
      </x:c>
      <x:c r="H457" s="15" t="str">
        <x:v>source path + receipt + raw/export status + claim/edge/risk delta</x:v>
      </x:c>
      <x:c r="I457" s="15" t="str">
        <x:v>packet/SWARM-04-H02-S12</x:v>
      </x:c>
      <x:c r="J457" s="15" t="str">
        <x:v>TODO</x:v>
      </x:c>
      <x:c r="K457" s="15" t="str">
        <x:v>P2</x:v>
      </x:c>
      <x:c r="L457" s="15" t="str">
        <x:v>Done only when evidence is logged, contradiction search is noted, and boundary stamp remains non-canon unless ratified</x:v>
      </x:c>
      <x:c r="M457" s="15" t="str">
        <x:v>candidate / staging-only / not canon / not deployed / authority none</x:v>
      </x:c>
      <x:c r="N457" s="15" t="str">
        <x:v>Dispatch to Tidelock: complete Receipt Verification x Risk / Safety; return deltas only, receipts required.</x:v>
      </x:c>
      <x:c r="O457" s="15" t="str">
        <x:v>AF-KG-H02-S12</x:v>
      </x:c>
      <x:c r="P457" s="15" t="str">
        <x:v>Unverified</x:v>
      </x:c>
      <x:c r="Q457" s="15" t="str">
        <x:v>Not checked</x:v>
      </x:c>
      <x:c r="R457" s="15" t="str"/>
      <x:c r="S457" s="15" t="str"/>
      <x:c r="T457" s="15" t="str">
        <x:v>Log first source path or blocker</x:v>
      </x:c>
      <x:c r="U457" s="12" t="str">
        <x:f>IF(OR(P457="Unverified",Q457="Not checked"),"BLOCKED_PENDING_RECEIPT","READY_FOR_REVIEW")</x:f>
        <x:v>BLOCKED_PENDING_RECEIPT</x:v>
      </x:c>
      <x:c r="V457" s="12" t="str">
        <x:f>IF(J457="DONE","RETURNED",IF(U457="BLOCKED_PENDING_RECEIPT","SOURCE_TOUCH_REQUIRED","IN_PROGRESS"))</x:f>
        <x:v>SOURCE_TOUCH_REQUIRED</x:v>
      </x:c>
      <x:c r="W457" s="12" t="str">
        <x:f>IF(P457="Unverified","missing_receipt","receipt_logged")</x:f>
        <x:v>missing_receipt</x:v>
      </x:c>
      <x:c r="X457" s="12" t="str">
        <x:f>IF(Q457="Not checked","raw_status_missing","raw_status_logged")</x:f>
        <x:v>raw_status_missing</x:v>
      </x:c>
      <x:c r="Y457" s="12" t="str">
        <x:f>IF(U457="BLOCKED_PENDING_RECEIPT","Log source path or blocker; do not promote","Route to review lane")</x:f>
        <x:v>Log source path or blocker; do not promote</x:v>
      </x:c>
      <x:c r="Z457" s="12" t="str">
        <x:f>IF(K457="P0","Primary seat + Hashlight/Lucerna","Seat lane")</x:f>
        <x:v>Seat lane</x:v>
      </x:c>
      <x:c r="AA457" s="12" t="str">
        <x:f>IF(R457="","no_claim_delta","claim_delta_present")</x:f>
        <x:v>no_claim_delta</x:v>
      </x:c>
      <x:c r="AB457" s="12" t="str">
        <x:f>IF(S457="","no_contradiction_delta","contradiction_delta_present")</x:f>
        <x:v>no_contradiction_delta</x:v>
      </x:c>
      <x:c r="AC457" s="12" t="str">
        <x:f>IF(OR(ISNUMBER(SEARCH("hacker",LOWER(F457&amp;" "&amp;H457&amp;" "&amp;I457&amp;" "&amp;M457&amp;" "&amp;N457&amp;" "&amp;T457))),ISNUMBER(SEARCH("hacking",LOWER(F457&amp;" "&amp;H457&amp;" "&amp;I457&amp;" "&amp;M457&amp;" "&amp;N457&amp;" "&amp;T457))),ISNUMBER(SEARCH("bank",LOWER(F457&amp;" "&amp;H457&amp;" "&amp;I457&amp;" "&amp;M457&amp;" "&amp;N457&amp;" "&amp;T457))),ISNUMBER(SEARCH("banking",LOWER(F457&amp;" "&amp;H457&amp;" "&amp;I457&amp;" "&amp;M457&amp;" "&amp;N457&amp;" "&amp;T457)))),"PRIVATE_QUARANTINE",IF(OR(ISNUMBER(SEARCH("treasury",LOWER(F457&amp;" "&amp;H457&amp;" "&amp;I457&amp;" "&amp;M457&amp;" "&amp;N457&amp;" "&amp;T457))),ISNUMBER(SEARCH("debt",LOWER(F457&amp;" "&amp;H457&amp;" "&amp;I457&amp;" "&amp;M457&amp;" "&amp;N457&amp;" "&amp;T457))),ISNUMBER(SEARCH("bond",LOWER(F457&amp;" "&amp;H457&amp;" "&amp;I457&amp;" "&amp;M457&amp;" "&amp;N457&amp;" "&amp;T457))),ISNUMBER(SEARCH("transaction",LOWER(F457&amp;" "&amp;H457&amp;" "&amp;I457&amp;" "&amp;M457&amp;" "&amp;N457&amp;" "&amp;T457)))),"PRIVATE_REVIEW","PUBLIC_CANDIDATE"))</x:f>
        <x:v>PUBLIC_CANDIDATE</x:v>
      </x:c>
      <x:c r="AD457" s="12" t="str">
        <x:f>IF(AC457="PRIVATE_QUARANTINE","hacker_or_bank_trigger",IF(AC457="PRIVATE_REVIEW","finance_risk_trigger","none"))</x:f>
        <x:v>none</x:v>
      </x:c>
      <x:c r="AE457" s="12" t="str">
        <x:f>IF(AC457="PUBLIC_CANDIDATE","prepare_public_github_candidate",IF(AC457="PRIVATE_REVIEW","hold_for_private_review","quarantine_private_do_not_publish"))</x:f>
        <x:v>prepare_public_github_candidate</x:v>
      </x:c>
      <x:c r="AF457" s="12" t="str">
        <x:f>IF(AC457="PUBLIC_CANDIDATE","TIDELOCK + Lucerna",IF(AC457="PRIVATE_REVIEW","AtlasBrain + Lucerna","TIDELOCK + Lucerna + Human-root"))</x:f>
        <x:v>TIDELOCK + Lucerna</x:v>
      </x:c>
      <x:c r="AG457" s="12" t="str">
        <x:f>IF(AND(AC457="PUBLIC_CANDIDATE",U457&lt;&gt;"BLOCKED_PENDING_RECEIPT"),"READY_AFTER_RECEIPT","NOT_READY")</x:f>
        <x:v>NOT_READY</x:v>
      </x:c>
      <x:c r="AH457" s="12" t="str">
        <x:f>IF(AC457="PUBLIC_CANDIDATE","none",AD457)</x:f>
        <x:v>none</x:v>
      </x:c>
      <x:c r="AI457" s="12" t="str">
        <x:f>IF(AC457="PUBLIC_CANDIDATE","archive/public_candidates/"&amp;A457,"private_quarantine/"&amp;A457)</x:f>
        <x:v>archive/public_candidates/SWARM-04-H02-S12</x:v>
      </x:c>
      <x:c r="AJ457" s="12" t="str">
        <x:f>IF(AC457="PUBLIC_CANDIDATE","public by default; still not canon","private/hold; do not publish")</x:f>
        <x:v>public by default; still not canon</x:v>
      </x:c>
      <x:c r="AK457" s="12" t="str">
        <x:f>IF(AE457="prepare_public_github_candidate","add receipt/status then mirror","resolve blocker before any public GitHub action")</x:f>
        <x:v>add receipt/status then mirror</x:v>
      </x:c>
    </x:row>
    <x:row r="458">
      <x:c r="A458" s="15" t="str">
        <x:v>SWARM-04-H03-S01</x:v>
      </x:c>
      <x:c r="B458" s="15" t="str">
        <x:v>Tidelock</x:v>
      </x:c>
      <x:c r="C458" s="15" t="str">
        <x:v>Access blocker keeper</x:v>
      </x:c>
      <x:c r="D458" s="15" t="str">
        <x:v>Raw Export Recovery</x:v>
      </x:c>
      <x:c r="E458" s="15" t="str">
        <x:v>Notion</x:v>
      </x:c>
      <x:c r="F458" s="15" t="str">
        <x:v>Recover raw exports for Notion — Tidelock</x:v>
      </x:c>
      <x:c r="G458" s="15" t="str">
        <x:v>missing access / blocker ledger / next safe action</x:v>
      </x:c>
      <x:c r="H458" s="15" t="str">
        <x:v>source path + receipt + raw/export status + claim/edge/risk delta</x:v>
      </x:c>
      <x:c r="I458" s="15" t="str">
        <x:v>packet/SWARM-04-H03-S01</x:v>
      </x:c>
      <x:c r="J458" s="15" t="str">
        <x:v>TODO</x:v>
      </x:c>
      <x:c r="K458" s="15" t="str">
        <x:v>P0</x:v>
      </x:c>
      <x:c r="L458" s="15" t="str">
        <x:v>Done only when evidence is logged, contradiction search is noted, and boundary stamp remains non-canon unless ratified</x:v>
      </x:c>
      <x:c r="M458" s="15" t="str">
        <x:v>candidate / staging-only / not canon / not deployed / authority none</x:v>
      </x:c>
      <x:c r="N458" s="15" t="str">
        <x:v>Dispatch to Tidelock: complete Raw Export Recovery x Notion; return deltas only, receipts required.</x:v>
      </x:c>
      <x:c r="O458" s="15" t="str">
        <x:v>AF-KG-H03-S01</x:v>
      </x:c>
      <x:c r="P458" s="15" t="str">
        <x:v>Unverified</x:v>
      </x:c>
      <x:c r="Q458" s="15" t="str">
        <x:v>Not checked</x:v>
      </x:c>
      <x:c r="R458" s="15" t="str"/>
      <x:c r="S458" s="15" t="str"/>
      <x:c r="T458" s="15" t="str">
        <x:v>Log first source path or blocker</x:v>
      </x:c>
      <x:c r="U458" s="12" t="str">
        <x:f>IF(OR(P458="Unverified",Q458="Not checked"),"BLOCKED_PENDING_RECEIPT","READY_FOR_REVIEW")</x:f>
        <x:v>BLOCKED_PENDING_RECEIPT</x:v>
      </x:c>
      <x:c r="V458" s="12" t="str">
        <x:f>IF(J458="DONE","RETURNED",IF(U458="BLOCKED_PENDING_RECEIPT","SOURCE_TOUCH_REQUIRED","IN_PROGRESS"))</x:f>
        <x:v>SOURCE_TOUCH_REQUIRED</x:v>
      </x:c>
      <x:c r="W458" s="12" t="str">
        <x:f>IF(P458="Unverified","missing_receipt","receipt_logged")</x:f>
        <x:v>missing_receipt</x:v>
      </x:c>
      <x:c r="X458" s="12" t="str">
        <x:f>IF(Q458="Not checked","raw_status_missing","raw_status_logged")</x:f>
        <x:v>raw_status_missing</x:v>
      </x:c>
      <x:c r="Y458" s="12" t="str">
        <x:f>IF(U458="BLOCKED_PENDING_RECEIPT","Log source path or blocker; do not promote","Route to review lane")</x:f>
        <x:v>Log source path or blocker; do not promote</x:v>
      </x:c>
      <x:c r="Z458" s="12" t="str">
        <x:f>IF(K458="P0","Primary seat + Hashlight/Lucerna","Seat lane")</x:f>
        <x:v>Primary seat + Hashlight/Lucerna</x:v>
      </x:c>
      <x:c r="AA458" s="12" t="str">
        <x:f>IF(R458="","no_claim_delta","claim_delta_present")</x:f>
        <x:v>no_claim_delta</x:v>
      </x:c>
      <x:c r="AB458" s="12" t="str">
        <x:f>IF(S458="","no_contradiction_delta","contradiction_delta_present")</x:f>
        <x:v>no_contradiction_delta</x:v>
      </x:c>
      <x:c r="AC458" s="12" t="str">
        <x:f>IF(OR(ISNUMBER(SEARCH("hacker",LOWER(F458&amp;" "&amp;H458&amp;" "&amp;I458&amp;" "&amp;M458&amp;" "&amp;N458&amp;" "&amp;T458))),ISNUMBER(SEARCH("hacking",LOWER(F458&amp;" "&amp;H458&amp;" "&amp;I458&amp;" "&amp;M458&amp;" "&amp;N458&amp;" "&amp;T458))),ISNUMBER(SEARCH("bank",LOWER(F458&amp;" "&amp;H458&amp;" "&amp;I458&amp;" "&amp;M458&amp;" "&amp;N458&amp;" "&amp;T458))),ISNUMBER(SEARCH("banking",LOWER(F458&amp;" "&amp;H458&amp;" "&amp;I458&amp;" "&amp;M458&amp;" "&amp;N458&amp;" "&amp;T458)))),"PRIVATE_QUARANTINE",IF(OR(ISNUMBER(SEARCH("treasury",LOWER(F458&amp;" "&amp;H458&amp;" "&amp;I458&amp;" "&amp;M458&amp;" "&amp;N458&amp;" "&amp;T458))),ISNUMBER(SEARCH("debt",LOWER(F458&amp;" "&amp;H458&amp;" "&amp;I458&amp;" "&amp;M458&amp;" "&amp;N458&amp;" "&amp;T458))),ISNUMBER(SEARCH("bond",LOWER(F458&amp;" "&amp;H458&amp;" "&amp;I458&amp;" "&amp;M458&amp;" "&amp;N458&amp;" "&amp;T458))),ISNUMBER(SEARCH("transaction",LOWER(F458&amp;" "&amp;H458&amp;" "&amp;I458&amp;" "&amp;M458&amp;" "&amp;N458&amp;" "&amp;T458)))),"PRIVATE_REVIEW","PUBLIC_CANDIDATE"))</x:f>
        <x:v>PUBLIC_CANDIDATE</x:v>
      </x:c>
      <x:c r="AD458" s="12" t="str">
        <x:f>IF(AC458="PRIVATE_QUARANTINE","hacker_or_bank_trigger",IF(AC458="PRIVATE_REVIEW","finance_risk_trigger","none"))</x:f>
        <x:v>none</x:v>
      </x:c>
      <x:c r="AE458" s="12" t="str">
        <x:f>IF(AC458="PUBLIC_CANDIDATE","prepare_public_github_candidate",IF(AC458="PRIVATE_REVIEW","hold_for_private_review","quarantine_private_do_not_publish"))</x:f>
        <x:v>prepare_public_github_candidate</x:v>
      </x:c>
      <x:c r="AF458" s="12" t="str">
        <x:f>IF(AC458="PUBLIC_CANDIDATE","TIDELOCK + Lucerna",IF(AC458="PRIVATE_REVIEW","AtlasBrain + Lucerna","TIDELOCK + Lucerna + Human-root"))</x:f>
        <x:v>TIDELOCK + Lucerna</x:v>
      </x:c>
      <x:c r="AG458" s="12" t="str">
        <x:f>IF(AND(AC458="PUBLIC_CANDIDATE",U458&lt;&gt;"BLOCKED_PENDING_RECEIPT"),"READY_AFTER_RECEIPT","NOT_READY")</x:f>
        <x:v>NOT_READY</x:v>
      </x:c>
      <x:c r="AH458" s="12" t="str">
        <x:f>IF(AC458="PUBLIC_CANDIDATE","none",AD458)</x:f>
        <x:v>none</x:v>
      </x:c>
      <x:c r="AI458" s="12" t="str">
        <x:f>IF(AC458="PUBLIC_CANDIDATE","archive/public_candidates/"&amp;A458,"private_quarantine/"&amp;A458)</x:f>
        <x:v>archive/public_candidates/SWARM-04-H03-S01</x:v>
      </x:c>
      <x:c r="AJ458" s="12" t="str">
        <x:f>IF(AC458="PUBLIC_CANDIDATE","public by default; still not canon","private/hold; do not publish")</x:f>
        <x:v>public by default; still not canon</x:v>
      </x:c>
      <x:c r="AK458" s="12" t="str">
        <x:f>IF(AE458="prepare_public_github_candidate","add receipt/status then mirror","resolve blocker before any public GitHub action")</x:f>
        <x:v>add receipt/status then mirror</x:v>
      </x:c>
    </x:row>
    <x:row r="459">
      <x:c r="A459" s="15" t="str">
        <x:v>SWARM-04-H03-S02</x:v>
      </x:c>
      <x:c r="B459" s="15" t="str">
        <x:v>Tidelock</x:v>
      </x:c>
      <x:c r="C459" s="15" t="str">
        <x:v>Access blocker keeper</x:v>
      </x:c>
      <x:c r="D459" s="15" t="str">
        <x:v>Raw Export Recovery</x:v>
      </x:c>
      <x:c r="E459" s="15" t="str">
        <x:v>Drive</x:v>
      </x:c>
      <x:c r="F459" s="15" t="str">
        <x:v>Recover raw exports for Drive — Tidelock</x:v>
      </x:c>
      <x:c r="G459" s="15" t="str">
        <x:v>missing access / blocker ledger / next safe action</x:v>
      </x:c>
      <x:c r="H459" s="15" t="str">
        <x:v>source path + receipt + raw/export status + claim/edge/risk delta</x:v>
      </x:c>
      <x:c r="I459" s="15" t="str">
        <x:v>packet/SWARM-04-H03-S02</x:v>
      </x:c>
      <x:c r="J459" s="15" t="str">
        <x:v>TODO</x:v>
      </x:c>
      <x:c r="K459" s="15" t="str">
        <x:v>P0</x:v>
      </x:c>
      <x:c r="L459" s="15" t="str">
        <x:v>Done only when evidence is logged, contradiction search is noted, and boundary stamp remains non-canon unless ratified</x:v>
      </x:c>
      <x:c r="M459" s="15" t="str">
        <x:v>candidate / staging-only / not canon / not deployed / authority none</x:v>
      </x:c>
      <x:c r="N459" s="15" t="str">
        <x:v>Dispatch to Tidelock: complete Raw Export Recovery x Drive; return deltas only, receipts required.</x:v>
      </x:c>
      <x:c r="O459" s="15" t="str">
        <x:v>AF-KG-H03-S02</x:v>
      </x:c>
      <x:c r="P459" s="15" t="str">
        <x:v>Unverified</x:v>
      </x:c>
      <x:c r="Q459" s="15" t="str">
        <x:v>Not checked</x:v>
      </x:c>
      <x:c r="R459" s="15" t="str"/>
      <x:c r="S459" s="15" t="str"/>
      <x:c r="T459" s="15" t="str">
        <x:v>Log first source path or blocker</x:v>
      </x:c>
      <x:c r="U459" s="12" t="str">
        <x:f>IF(OR(P459="Unverified",Q459="Not checked"),"BLOCKED_PENDING_RECEIPT","READY_FOR_REVIEW")</x:f>
        <x:v>BLOCKED_PENDING_RECEIPT</x:v>
      </x:c>
      <x:c r="V459" s="12" t="str">
        <x:f>IF(J459="DONE","RETURNED",IF(U459="BLOCKED_PENDING_RECEIPT","SOURCE_TOUCH_REQUIRED","IN_PROGRESS"))</x:f>
        <x:v>SOURCE_TOUCH_REQUIRED</x:v>
      </x:c>
      <x:c r="W459" s="12" t="str">
        <x:f>IF(P459="Unverified","missing_receipt","receipt_logged")</x:f>
        <x:v>missing_receipt</x:v>
      </x:c>
      <x:c r="X459" s="12" t="str">
        <x:f>IF(Q459="Not checked","raw_status_missing","raw_status_logged")</x:f>
        <x:v>raw_status_missing</x:v>
      </x:c>
      <x:c r="Y459" s="12" t="str">
        <x:f>IF(U459="BLOCKED_PENDING_RECEIPT","Log source path or blocker; do not promote","Route to review lane")</x:f>
        <x:v>Log source path or blocker; do not promote</x:v>
      </x:c>
      <x:c r="Z459" s="12" t="str">
        <x:f>IF(K459="P0","Primary seat + Hashlight/Lucerna","Seat lane")</x:f>
        <x:v>Primary seat + Hashlight/Lucerna</x:v>
      </x:c>
      <x:c r="AA459" s="12" t="str">
        <x:f>IF(R459="","no_claim_delta","claim_delta_present")</x:f>
        <x:v>no_claim_delta</x:v>
      </x:c>
      <x:c r="AB459" s="12" t="str">
        <x:f>IF(S459="","no_contradiction_delta","contradiction_delta_present")</x:f>
        <x:v>no_contradiction_delta</x:v>
      </x:c>
      <x:c r="AC459" s="12" t="str">
        <x:f>IF(OR(ISNUMBER(SEARCH("hacker",LOWER(F459&amp;" "&amp;H459&amp;" "&amp;I459&amp;" "&amp;M459&amp;" "&amp;N459&amp;" "&amp;T459))),ISNUMBER(SEARCH("hacking",LOWER(F459&amp;" "&amp;H459&amp;" "&amp;I459&amp;" "&amp;M459&amp;" "&amp;N459&amp;" "&amp;T459))),ISNUMBER(SEARCH("bank",LOWER(F459&amp;" "&amp;H459&amp;" "&amp;I459&amp;" "&amp;M459&amp;" "&amp;N459&amp;" "&amp;T459))),ISNUMBER(SEARCH("banking",LOWER(F459&amp;" "&amp;H459&amp;" "&amp;I459&amp;" "&amp;M459&amp;" "&amp;N459&amp;" "&amp;T459)))),"PRIVATE_QUARANTINE",IF(OR(ISNUMBER(SEARCH("treasury",LOWER(F459&amp;" "&amp;H459&amp;" "&amp;I459&amp;" "&amp;M459&amp;" "&amp;N459&amp;" "&amp;T459))),ISNUMBER(SEARCH("debt",LOWER(F459&amp;" "&amp;H459&amp;" "&amp;I459&amp;" "&amp;M459&amp;" "&amp;N459&amp;" "&amp;T459))),ISNUMBER(SEARCH("bond",LOWER(F459&amp;" "&amp;H459&amp;" "&amp;I459&amp;" "&amp;M459&amp;" "&amp;N459&amp;" "&amp;T459))),ISNUMBER(SEARCH("transaction",LOWER(F459&amp;" "&amp;H459&amp;" "&amp;I459&amp;" "&amp;M459&amp;" "&amp;N459&amp;" "&amp;T459)))),"PRIVATE_REVIEW","PUBLIC_CANDIDATE"))</x:f>
        <x:v>PUBLIC_CANDIDATE</x:v>
      </x:c>
      <x:c r="AD459" s="12" t="str">
        <x:f>IF(AC459="PRIVATE_QUARANTINE","hacker_or_bank_trigger",IF(AC459="PRIVATE_REVIEW","finance_risk_trigger","none"))</x:f>
        <x:v>none</x:v>
      </x:c>
      <x:c r="AE459" s="12" t="str">
        <x:f>IF(AC459="PUBLIC_CANDIDATE","prepare_public_github_candidate",IF(AC459="PRIVATE_REVIEW","hold_for_private_review","quarantine_private_do_not_publish"))</x:f>
        <x:v>prepare_public_github_candidate</x:v>
      </x:c>
      <x:c r="AF459" s="12" t="str">
        <x:f>IF(AC459="PUBLIC_CANDIDATE","TIDELOCK + Lucerna",IF(AC459="PRIVATE_REVIEW","AtlasBrain + Lucerna","TIDELOCK + Lucerna + Human-root"))</x:f>
        <x:v>TIDELOCK + Lucerna</x:v>
      </x:c>
      <x:c r="AG459" s="12" t="str">
        <x:f>IF(AND(AC459="PUBLIC_CANDIDATE",U459&lt;&gt;"BLOCKED_PENDING_RECEIPT"),"READY_AFTER_RECEIPT","NOT_READY")</x:f>
        <x:v>NOT_READY</x:v>
      </x:c>
      <x:c r="AH459" s="12" t="str">
        <x:f>IF(AC459="PUBLIC_CANDIDATE","none",AD459)</x:f>
        <x:v>none</x:v>
      </x:c>
      <x:c r="AI459" s="12" t="str">
        <x:f>IF(AC459="PUBLIC_CANDIDATE","archive/public_candidates/"&amp;A459,"private_quarantine/"&amp;A459)</x:f>
        <x:v>archive/public_candidates/SWARM-04-H03-S02</x:v>
      </x:c>
      <x:c r="AJ459" s="12" t="str">
        <x:f>IF(AC459="PUBLIC_CANDIDATE","public by default; still not canon","private/hold; do not publish")</x:f>
        <x:v>public by default; still not canon</x:v>
      </x:c>
      <x:c r="AK459" s="12" t="str">
        <x:f>IF(AE459="prepare_public_github_candidate","add receipt/status then mirror","resolve blocker before any public GitHub action")</x:f>
        <x:v>add receipt/status then mirror</x:v>
      </x:c>
    </x:row>
    <x:row r="460">
      <x:c r="A460" s="15" t="str">
        <x:v>SWARM-04-H03-S03</x:v>
      </x:c>
      <x:c r="B460" s="15" t="str">
        <x:v>Tidelock</x:v>
      </x:c>
      <x:c r="C460" s="15" t="str">
        <x:v>Access blocker keeper</x:v>
      </x:c>
      <x:c r="D460" s="15" t="str">
        <x:v>Raw Export Recovery</x:v>
      </x:c>
      <x:c r="E460" s="15" t="str">
        <x:v>GitHub</x:v>
      </x:c>
      <x:c r="F460" s="15" t="str">
        <x:v>Recover raw exports for GitHub — Tidelock</x:v>
      </x:c>
      <x:c r="G460" s="15" t="str">
        <x:v>missing access / blocker ledger / next safe action</x:v>
      </x:c>
      <x:c r="H460" s="15" t="str">
        <x:v>source path + receipt + raw/export status + claim/edge/risk delta</x:v>
      </x:c>
      <x:c r="I460" s="15" t="str">
        <x:v>packet/SWARM-04-H03-S03</x:v>
      </x:c>
      <x:c r="J460" s="15" t="str">
        <x:v>TODO</x:v>
      </x:c>
      <x:c r="K460" s="15" t="str">
        <x:v>P0</x:v>
      </x:c>
      <x:c r="L460" s="15" t="str">
        <x:v>Done only when evidence is logged, contradiction search is noted, and boundary stamp remains non-canon unless ratified</x:v>
      </x:c>
      <x:c r="M460" s="15" t="str">
        <x:v>candidate / staging-only / not canon / not deployed / authority none</x:v>
      </x:c>
      <x:c r="N460" s="15" t="str">
        <x:v>Dispatch to Tidelock: complete Raw Export Recovery x GitHub; return deltas only, receipts required.</x:v>
      </x:c>
      <x:c r="O460" s="15" t="str">
        <x:v>AF-KG-H03-S03</x:v>
      </x:c>
      <x:c r="P460" s="15" t="str">
        <x:v>Unverified</x:v>
      </x:c>
      <x:c r="Q460" s="15" t="str">
        <x:v>Not checked</x:v>
      </x:c>
      <x:c r="R460" s="15" t="str"/>
      <x:c r="S460" s="15" t="str"/>
      <x:c r="T460" s="15" t="str">
        <x:v>Log first source path or blocker</x:v>
      </x:c>
      <x:c r="U460" s="12" t="str">
        <x:f>IF(OR(P460="Unverified",Q460="Not checked"),"BLOCKED_PENDING_RECEIPT","READY_FOR_REVIEW")</x:f>
        <x:v>BLOCKED_PENDING_RECEIPT</x:v>
      </x:c>
      <x:c r="V460" s="12" t="str">
        <x:f>IF(J460="DONE","RETURNED",IF(U460="BLOCKED_PENDING_RECEIPT","SOURCE_TOUCH_REQUIRED","IN_PROGRESS"))</x:f>
        <x:v>SOURCE_TOUCH_REQUIRED</x:v>
      </x:c>
      <x:c r="W460" s="12" t="str">
        <x:f>IF(P460="Unverified","missing_receipt","receipt_logged")</x:f>
        <x:v>missing_receipt</x:v>
      </x:c>
      <x:c r="X460" s="12" t="str">
        <x:f>IF(Q460="Not checked","raw_status_missing","raw_status_logged")</x:f>
        <x:v>raw_status_missing</x:v>
      </x:c>
      <x:c r="Y460" s="12" t="str">
        <x:f>IF(U460="BLOCKED_PENDING_RECEIPT","Log source path or blocker; do not promote","Route to review lane")</x:f>
        <x:v>Log source path or blocker; do not promote</x:v>
      </x:c>
      <x:c r="Z460" s="12" t="str">
        <x:f>IF(K460="P0","Primary seat + Hashlight/Lucerna","Seat lane")</x:f>
        <x:v>Primary seat + Hashlight/Lucerna</x:v>
      </x:c>
      <x:c r="AA460" s="12" t="str">
        <x:f>IF(R460="","no_claim_delta","claim_delta_present")</x:f>
        <x:v>no_claim_delta</x:v>
      </x:c>
      <x:c r="AB460" s="12" t="str">
        <x:f>IF(S460="","no_contradiction_delta","contradiction_delta_present")</x:f>
        <x:v>no_contradiction_delta</x:v>
      </x:c>
      <x:c r="AC460" s="12" t="str">
        <x:f>IF(OR(ISNUMBER(SEARCH("hacker",LOWER(F460&amp;" "&amp;H460&amp;" "&amp;I460&amp;" "&amp;M460&amp;" "&amp;N460&amp;" "&amp;T460))),ISNUMBER(SEARCH("hacking",LOWER(F460&amp;" "&amp;H460&amp;" "&amp;I460&amp;" "&amp;M460&amp;" "&amp;N460&amp;" "&amp;T460))),ISNUMBER(SEARCH("bank",LOWER(F460&amp;" "&amp;H460&amp;" "&amp;I460&amp;" "&amp;M460&amp;" "&amp;N460&amp;" "&amp;T460))),ISNUMBER(SEARCH("banking",LOWER(F460&amp;" "&amp;H460&amp;" "&amp;I460&amp;" "&amp;M460&amp;" "&amp;N460&amp;" "&amp;T460)))),"PRIVATE_QUARANTINE",IF(OR(ISNUMBER(SEARCH("treasury",LOWER(F460&amp;" "&amp;H460&amp;" "&amp;I460&amp;" "&amp;M460&amp;" "&amp;N460&amp;" "&amp;T460))),ISNUMBER(SEARCH("debt",LOWER(F460&amp;" "&amp;H460&amp;" "&amp;I460&amp;" "&amp;M460&amp;" "&amp;N460&amp;" "&amp;T460))),ISNUMBER(SEARCH("bond",LOWER(F460&amp;" "&amp;H460&amp;" "&amp;I460&amp;" "&amp;M460&amp;" "&amp;N460&amp;" "&amp;T460))),ISNUMBER(SEARCH("transaction",LOWER(F460&amp;" "&amp;H460&amp;" "&amp;I460&amp;" "&amp;M460&amp;" "&amp;N460&amp;" "&amp;T460)))),"PRIVATE_REVIEW","PUBLIC_CANDIDATE"))</x:f>
        <x:v>PUBLIC_CANDIDATE</x:v>
      </x:c>
      <x:c r="AD460" s="12" t="str">
        <x:f>IF(AC460="PRIVATE_QUARANTINE","hacker_or_bank_trigger",IF(AC460="PRIVATE_REVIEW","finance_risk_trigger","none"))</x:f>
        <x:v>none</x:v>
      </x:c>
      <x:c r="AE460" s="12" t="str">
        <x:f>IF(AC460="PUBLIC_CANDIDATE","prepare_public_github_candidate",IF(AC460="PRIVATE_REVIEW","hold_for_private_review","quarantine_private_do_not_publish"))</x:f>
        <x:v>prepare_public_github_candidate</x:v>
      </x:c>
      <x:c r="AF460" s="12" t="str">
        <x:f>IF(AC460="PUBLIC_CANDIDATE","TIDELOCK + Lucerna",IF(AC460="PRIVATE_REVIEW","AtlasBrain + Lucerna","TIDELOCK + Lucerna + Human-root"))</x:f>
        <x:v>TIDELOCK + Lucerna</x:v>
      </x:c>
      <x:c r="AG460" s="12" t="str">
        <x:f>IF(AND(AC460="PUBLIC_CANDIDATE",U460&lt;&gt;"BLOCKED_PENDING_RECEIPT"),"READY_AFTER_RECEIPT","NOT_READY")</x:f>
        <x:v>NOT_READY</x:v>
      </x:c>
      <x:c r="AH460" s="12" t="str">
        <x:f>IF(AC460="PUBLIC_CANDIDATE","none",AD460)</x:f>
        <x:v>none</x:v>
      </x:c>
      <x:c r="AI460" s="12" t="str">
        <x:f>IF(AC460="PUBLIC_CANDIDATE","archive/public_candidates/"&amp;A460,"private_quarantine/"&amp;A460)</x:f>
        <x:v>archive/public_candidates/SWARM-04-H03-S03</x:v>
      </x:c>
      <x:c r="AJ460" s="12" t="str">
        <x:f>IF(AC460="PUBLIC_CANDIDATE","public by default; still not canon","private/hold; do not publish")</x:f>
        <x:v>public by default; still not canon</x:v>
      </x:c>
      <x:c r="AK460" s="12" t="str">
        <x:f>IF(AE460="prepare_public_github_candidate","add receipt/status then mirror","resolve blocker before any public GitHub action")</x:f>
        <x:v>add receipt/status then mirror</x:v>
      </x:c>
    </x:row>
    <x:row r="461">
      <x:c r="A461" s="15" t="str">
        <x:v>SWARM-04-H03-S04</x:v>
      </x:c>
      <x:c r="B461" s="15" t="str">
        <x:v>Tidelock</x:v>
      </x:c>
      <x:c r="C461" s="15" t="str">
        <x:v>Access blocker keeper</x:v>
      </x:c>
      <x:c r="D461" s="15" t="str">
        <x:v>Raw Export Recovery</x:v>
      </x:c>
      <x:c r="E461" s="15" t="str">
        <x:v>Gamma</x:v>
      </x:c>
      <x:c r="F461" s="15" t="str">
        <x:v>Recover raw exports for Gamma — Tidelock</x:v>
      </x:c>
      <x:c r="G461" s="15" t="str">
        <x:v>missing access / blocker ledger / next safe action</x:v>
      </x:c>
      <x:c r="H461" s="15" t="str">
        <x:v>source path + receipt + raw/export status + claim/edge/risk delta</x:v>
      </x:c>
      <x:c r="I461" s="15" t="str">
        <x:v>packet/SWARM-04-H03-S04</x:v>
      </x:c>
      <x:c r="J461" s="15" t="str">
        <x:v>TODO</x:v>
      </x:c>
      <x:c r="K461" s="15" t="str">
        <x:v>P1</x:v>
      </x:c>
      <x:c r="L461" s="15" t="str">
        <x:v>Done only when evidence is logged, contradiction search is noted, and boundary stamp remains non-canon unless ratified</x:v>
      </x:c>
      <x:c r="M461" s="15" t="str">
        <x:v>candidate / staging-only / not canon / not deployed / authority none</x:v>
      </x:c>
      <x:c r="N461" s="15" t="str">
        <x:v>Dispatch to Tidelock: complete Raw Export Recovery x Gamma; return deltas only, receipts required.</x:v>
      </x:c>
      <x:c r="O461" s="15" t="str">
        <x:v>AF-KG-H03-S04</x:v>
      </x:c>
      <x:c r="P461" s="15" t="str">
        <x:v>Unverified</x:v>
      </x:c>
      <x:c r="Q461" s="15" t="str">
        <x:v>Not checked</x:v>
      </x:c>
      <x:c r="R461" s="15" t="str"/>
      <x:c r="S461" s="15" t="str"/>
      <x:c r="T461" s="15" t="str">
        <x:v>Log first source path or blocker</x:v>
      </x:c>
      <x:c r="U461" s="12" t="str">
        <x:f>IF(OR(P461="Unverified",Q461="Not checked"),"BLOCKED_PENDING_RECEIPT","READY_FOR_REVIEW")</x:f>
        <x:v>BLOCKED_PENDING_RECEIPT</x:v>
      </x:c>
      <x:c r="V461" s="12" t="str">
        <x:f>IF(J461="DONE","RETURNED",IF(U461="BLOCKED_PENDING_RECEIPT","SOURCE_TOUCH_REQUIRED","IN_PROGRESS"))</x:f>
        <x:v>SOURCE_TOUCH_REQUIRED</x:v>
      </x:c>
      <x:c r="W461" s="12" t="str">
        <x:f>IF(P461="Unverified","missing_receipt","receipt_logged")</x:f>
        <x:v>missing_receipt</x:v>
      </x:c>
      <x:c r="X461" s="12" t="str">
        <x:f>IF(Q461="Not checked","raw_status_missing","raw_status_logged")</x:f>
        <x:v>raw_status_missing</x:v>
      </x:c>
      <x:c r="Y461" s="12" t="str">
        <x:f>IF(U461="BLOCKED_PENDING_RECEIPT","Log source path or blocker; do not promote","Route to review lane")</x:f>
        <x:v>Log source path or blocker; do not promote</x:v>
      </x:c>
      <x:c r="Z461" s="12" t="str">
        <x:f>IF(K461="P0","Primary seat + Hashlight/Lucerna","Seat lane")</x:f>
        <x:v>Seat lane</x:v>
      </x:c>
      <x:c r="AA461" s="12" t="str">
        <x:f>IF(R461="","no_claim_delta","claim_delta_present")</x:f>
        <x:v>no_claim_delta</x:v>
      </x:c>
      <x:c r="AB461" s="12" t="str">
        <x:f>IF(S461="","no_contradiction_delta","contradiction_delta_present")</x:f>
        <x:v>no_contradiction_delta</x:v>
      </x:c>
      <x:c r="AC461" s="12" t="str">
        <x:f>IF(OR(ISNUMBER(SEARCH("hacker",LOWER(F461&amp;" "&amp;H461&amp;" "&amp;I461&amp;" "&amp;M461&amp;" "&amp;N461&amp;" "&amp;T461))),ISNUMBER(SEARCH("hacking",LOWER(F461&amp;" "&amp;H461&amp;" "&amp;I461&amp;" "&amp;M461&amp;" "&amp;N461&amp;" "&amp;T461))),ISNUMBER(SEARCH("bank",LOWER(F461&amp;" "&amp;H461&amp;" "&amp;I461&amp;" "&amp;M461&amp;" "&amp;N461&amp;" "&amp;T461))),ISNUMBER(SEARCH("banking",LOWER(F461&amp;" "&amp;H461&amp;" "&amp;I461&amp;" "&amp;M461&amp;" "&amp;N461&amp;" "&amp;T461)))),"PRIVATE_QUARANTINE",IF(OR(ISNUMBER(SEARCH("treasury",LOWER(F461&amp;" "&amp;H461&amp;" "&amp;I461&amp;" "&amp;M461&amp;" "&amp;N461&amp;" "&amp;T461))),ISNUMBER(SEARCH("debt",LOWER(F461&amp;" "&amp;H461&amp;" "&amp;I461&amp;" "&amp;M461&amp;" "&amp;N461&amp;" "&amp;T461))),ISNUMBER(SEARCH("bond",LOWER(F461&amp;" "&amp;H461&amp;" "&amp;I461&amp;" "&amp;M461&amp;" "&amp;N461&amp;" "&amp;T461))),ISNUMBER(SEARCH("transaction",LOWER(F461&amp;" "&amp;H461&amp;" "&amp;I461&amp;" "&amp;M461&amp;" "&amp;N461&amp;" "&amp;T461)))),"PRIVATE_REVIEW","PUBLIC_CANDIDATE"))</x:f>
        <x:v>PUBLIC_CANDIDATE</x:v>
      </x:c>
      <x:c r="AD461" s="12" t="str">
        <x:f>IF(AC461="PRIVATE_QUARANTINE","hacker_or_bank_trigger",IF(AC461="PRIVATE_REVIEW","finance_risk_trigger","none"))</x:f>
        <x:v>none</x:v>
      </x:c>
      <x:c r="AE461" s="12" t="str">
        <x:f>IF(AC461="PUBLIC_CANDIDATE","prepare_public_github_candidate",IF(AC461="PRIVATE_REVIEW","hold_for_private_review","quarantine_private_do_not_publish"))</x:f>
        <x:v>prepare_public_github_candidate</x:v>
      </x:c>
      <x:c r="AF461" s="12" t="str">
        <x:f>IF(AC461="PUBLIC_CANDIDATE","TIDELOCK + Lucerna",IF(AC461="PRIVATE_REVIEW","AtlasBrain + Lucerna","TIDELOCK + Lucerna + Human-root"))</x:f>
        <x:v>TIDELOCK + Lucerna</x:v>
      </x:c>
      <x:c r="AG461" s="12" t="str">
        <x:f>IF(AND(AC461="PUBLIC_CANDIDATE",U461&lt;&gt;"BLOCKED_PENDING_RECEIPT"),"READY_AFTER_RECEIPT","NOT_READY")</x:f>
        <x:v>NOT_READY</x:v>
      </x:c>
      <x:c r="AH461" s="12" t="str">
        <x:f>IF(AC461="PUBLIC_CANDIDATE","none",AD461)</x:f>
        <x:v>none</x:v>
      </x:c>
      <x:c r="AI461" s="12" t="str">
        <x:f>IF(AC461="PUBLIC_CANDIDATE","archive/public_candidates/"&amp;A461,"private_quarantine/"&amp;A461)</x:f>
        <x:v>archive/public_candidates/SWARM-04-H03-S04</x:v>
      </x:c>
      <x:c r="AJ461" s="12" t="str">
        <x:f>IF(AC461="PUBLIC_CANDIDATE","public by default; still not canon","private/hold; do not publish")</x:f>
        <x:v>public by default; still not canon</x:v>
      </x:c>
      <x:c r="AK461" s="12" t="str">
        <x:f>IF(AE461="prepare_public_github_candidate","add receipt/status then mirror","resolve blocker before any public GitHub action")</x:f>
        <x:v>add receipt/status then mirror</x:v>
      </x:c>
    </x:row>
    <x:row r="462">
      <x:c r="A462" s="15" t="str">
        <x:v>SWARM-04-H03-S05</x:v>
      </x:c>
      <x:c r="B462" s="15" t="str">
        <x:v>Tidelock</x:v>
      </x:c>
      <x:c r="C462" s="15" t="str">
        <x:v>Access blocker keeper</x:v>
      </x:c>
      <x:c r="D462" s="15" t="str">
        <x:v>Raw Export Recovery</x:v>
      </x:c>
      <x:c r="E462" s="15" t="str">
        <x:v>Chat</x:v>
      </x:c>
      <x:c r="F462" s="15" t="str">
        <x:v>Recover raw exports for Chat — Tidelock</x:v>
      </x:c>
      <x:c r="G462" s="15" t="str">
        <x:v>missing access / blocker ledger / next safe action</x:v>
      </x:c>
      <x:c r="H462" s="15" t="str">
        <x:v>source path + receipt + raw/export status + claim/edge/risk delta</x:v>
      </x:c>
      <x:c r="I462" s="15" t="str">
        <x:v>packet/SWARM-04-H03-S05</x:v>
      </x:c>
      <x:c r="J462" s="15" t="str">
        <x:v>TODO</x:v>
      </x:c>
      <x:c r="K462" s="15" t="str">
        <x:v>P1</x:v>
      </x:c>
      <x:c r="L462" s="15" t="str">
        <x:v>Done only when evidence is logged, contradiction search is noted, and boundary stamp remains non-canon unless ratified</x:v>
      </x:c>
      <x:c r="M462" s="15" t="str">
        <x:v>candidate / staging-only / not canon / not deployed / authority none</x:v>
      </x:c>
      <x:c r="N462" s="15" t="str">
        <x:v>Dispatch to Tidelock: complete Raw Export Recovery x Chat; return deltas only, receipts required.</x:v>
      </x:c>
      <x:c r="O462" s="15" t="str">
        <x:v>AF-KG-H03-S05</x:v>
      </x:c>
      <x:c r="P462" s="15" t="str">
        <x:v>Unverified</x:v>
      </x:c>
      <x:c r="Q462" s="15" t="str">
        <x:v>Not checked</x:v>
      </x:c>
      <x:c r="R462" s="15" t="str"/>
      <x:c r="S462" s="15" t="str"/>
      <x:c r="T462" s="15" t="str">
        <x:v>Log first source path or blocker</x:v>
      </x:c>
      <x:c r="U462" s="12" t="str">
        <x:f>IF(OR(P462="Unverified",Q462="Not checked"),"BLOCKED_PENDING_RECEIPT","READY_FOR_REVIEW")</x:f>
        <x:v>BLOCKED_PENDING_RECEIPT</x:v>
      </x:c>
      <x:c r="V462" s="12" t="str">
        <x:f>IF(J462="DONE","RETURNED",IF(U462="BLOCKED_PENDING_RECEIPT","SOURCE_TOUCH_REQUIRED","IN_PROGRESS"))</x:f>
        <x:v>SOURCE_TOUCH_REQUIRED</x:v>
      </x:c>
      <x:c r="W462" s="12" t="str">
        <x:f>IF(P462="Unverified","missing_receipt","receipt_logged")</x:f>
        <x:v>missing_receipt</x:v>
      </x:c>
      <x:c r="X462" s="12" t="str">
        <x:f>IF(Q462="Not checked","raw_status_missing","raw_status_logged")</x:f>
        <x:v>raw_status_missing</x:v>
      </x:c>
      <x:c r="Y462" s="12" t="str">
        <x:f>IF(U462="BLOCKED_PENDING_RECEIPT","Log source path or blocker; do not promote","Route to review lane")</x:f>
        <x:v>Log source path or blocker; do not promote</x:v>
      </x:c>
      <x:c r="Z462" s="12" t="str">
        <x:f>IF(K462="P0","Primary seat + Hashlight/Lucerna","Seat lane")</x:f>
        <x:v>Seat lane</x:v>
      </x:c>
      <x:c r="AA462" s="12" t="str">
        <x:f>IF(R462="","no_claim_delta","claim_delta_present")</x:f>
        <x:v>no_claim_delta</x:v>
      </x:c>
      <x:c r="AB462" s="12" t="str">
        <x:f>IF(S462="","no_contradiction_delta","contradiction_delta_present")</x:f>
        <x:v>no_contradiction_delta</x:v>
      </x:c>
      <x:c r="AC462" s="12" t="str">
        <x:f>IF(OR(ISNUMBER(SEARCH("hacker",LOWER(F462&amp;" "&amp;H462&amp;" "&amp;I462&amp;" "&amp;M462&amp;" "&amp;N462&amp;" "&amp;T462))),ISNUMBER(SEARCH("hacking",LOWER(F462&amp;" "&amp;H462&amp;" "&amp;I462&amp;" "&amp;M462&amp;" "&amp;N462&amp;" "&amp;T462))),ISNUMBER(SEARCH("bank",LOWER(F462&amp;" "&amp;H462&amp;" "&amp;I462&amp;" "&amp;M462&amp;" "&amp;N462&amp;" "&amp;T462))),ISNUMBER(SEARCH("banking",LOWER(F462&amp;" "&amp;H462&amp;" "&amp;I462&amp;" "&amp;M462&amp;" "&amp;N462&amp;" "&amp;T462)))),"PRIVATE_QUARANTINE",IF(OR(ISNUMBER(SEARCH("treasury",LOWER(F462&amp;" "&amp;H462&amp;" "&amp;I462&amp;" "&amp;M462&amp;" "&amp;N462&amp;" "&amp;T462))),ISNUMBER(SEARCH("debt",LOWER(F462&amp;" "&amp;H462&amp;" "&amp;I462&amp;" "&amp;M462&amp;" "&amp;N462&amp;" "&amp;T462))),ISNUMBER(SEARCH("bond",LOWER(F462&amp;" "&amp;H462&amp;" "&amp;I462&amp;" "&amp;M462&amp;" "&amp;N462&amp;" "&amp;T462))),ISNUMBER(SEARCH("transaction",LOWER(F462&amp;" "&amp;H462&amp;" "&amp;I462&amp;" "&amp;M462&amp;" "&amp;N462&amp;" "&amp;T462)))),"PRIVATE_REVIEW","PUBLIC_CANDIDATE"))</x:f>
        <x:v>PUBLIC_CANDIDATE</x:v>
      </x:c>
      <x:c r="AD462" s="12" t="str">
        <x:f>IF(AC462="PRIVATE_QUARANTINE","hacker_or_bank_trigger",IF(AC462="PRIVATE_REVIEW","finance_risk_trigger","none"))</x:f>
        <x:v>none</x:v>
      </x:c>
      <x:c r="AE462" s="12" t="str">
        <x:f>IF(AC462="PUBLIC_CANDIDATE","prepare_public_github_candidate",IF(AC462="PRIVATE_REVIEW","hold_for_private_review","quarantine_private_do_not_publish"))</x:f>
        <x:v>prepare_public_github_candidate</x:v>
      </x:c>
      <x:c r="AF462" s="12" t="str">
        <x:f>IF(AC462="PUBLIC_CANDIDATE","TIDELOCK + Lucerna",IF(AC462="PRIVATE_REVIEW","AtlasBrain + Lucerna","TIDELOCK + Lucerna + Human-root"))</x:f>
        <x:v>TIDELOCK + Lucerna</x:v>
      </x:c>
      <x:c r="AG462" s="12" t="str">
        <x:f>IF(AND(AC462="PUBLIC_CANDIDATE",U462&lt;&gt;"BLOCKED_PENDING_RECEIPT"),"READY_AFTER_RECEIPT","NOT_READY")</x:f>
        <x:v>NOT_READY</x:v>
      </x:c>
      <x:c r="AH462" s="12" t="str">
        <x:f>IF(AC462="PUBLIC_CANDIDATE","none",AD462)</x:f>
        <x:v>none</x:v>
      </x:c>
      <x:c r="AI462" s="12" t="str">
        <x:f>IF(AC462="PUBLIC_CANDIDATE","archive/public_candidates/"&amp;A462,"private_quarantine/"&amp;A462)</x:f>
        <x:v>archive/public_candidates/SWARM-04-H03-S05</x:v>
      </x:c>
      <x:c r="AJ462" s="12" t="str">
        <x:f>IF(AC462="PUBLIC_CANDIDATE","public by default; still not canon","private/hold; do not publish")</x:f>
        <x:v>public by default; still not canon</x:v>
      </x:c>
      <x:c r="AK462" s="12" t="str">
        <x:f>IF(AE462="prepare_public_github_candidate","add receipt/status then mirror","resolve blocker before any public GitHub action")</x:f>
        <x:v>add receipt/status then mirror</x:v>
      </x:c>
    </x:row>
    <x:row r="463">
      <x:c r="A463" s="15" t="str">
        <x:v>SWARM-04-H03-S06</x:v>
      </x:c>
      <x:c r="B463" s="15" t="str">
        <x:v>Tidelock</x:v>
      </x:c>
      <x:c r="C463" s="15" t="str">
        <x:v>Access blocker keeper</x:v>
      </x:c>
      <x:c r="D463" s="15" t="str">
        <x:v>Raw Export Recovery</x:v>
      </x:c>
      <x:c r="E463" s="15" t="str">
        <x:v>External Web</x:v>
      </x:c>
      <x:c r="F463" s="15" t="str">
        <x:v>Recover raw exports for External Web — Tidelock</x:v>
      </x:c>
      <x:c r="G463" s="15" t="str">
        <x:v>missing access / blocker ledger / next safe action</x:v>
      </x:c>
      <x:c r="H463" s="15" t="str">
        <x:v>source path + receipt + raw/export status + claim/edge/risk delta</x:v>
      </x:c>
      <x:c r="I463" s="15" t="str">
        <x:v>packet/SWARM-04-H03-S06</x:v>
      </x:c>
      <x:c r="J463" s="15" t="str">
        <x:v>TODO</x:v>
      </x:c>
      <x:c r="K463" s="15" t="str">
        <x:v>P1</x:v>
      </x:c>
      <x:c r="L463" s="15" t="str">
        <x:v>Done only when evidence is logged, contradiction search is noted, and boundary stamp remains non-canon unless ratified</x:v>
      </x:c>
      <x:c r="M463" s="15" t="str">
        <x:v>candidate / staging-only / not canon / not deployed / authority none</x:v>
      </x:c>
      <x:c r="N463" s="15" t="str">
        <x:v>Dispatch to Tidelock: complete Raw Export Recovery x External Web; return deltas only, receipts required.</x:v>
      </x:c>
      <x:c r="O463" s="15" t="str">
        <x:v>AF-KG-H03-S06</x:v>
      </x:c>
      <x:c r="P463" s="15" t="str">
        <x:v>Unverified</x:v>
      </x:c>
      <x:c r="Q463" s="15" t="str">
        <x:v>Not checked</x:v>
      </x:c>
      <x:c r="R463" s="15" t="str"/>
      <x:c r="S463" s="15" t="str"/>
      <x:c r="T463" s="15" t="str">
        <x:v>Log first source path or blocker</x:v>
      </x:c>
      <x:c r="U463" s="12" t="str">
        <x:f>IF(OR(P463="Unverified",Q463="Not checked"),"BLOCKED_PENDING_RECEIPT","READY_FOR_REVIEW")</x:f>
        <x:v>BLOCKED_PENDING_RECEIPT</x:v>
      </x:c>
      <x:c r="V463" s="12" t="str">
        <x:f>IF(J463="DONE","RETURNED",IF(U463="BLOCKED_PENDING_RECEIPT","SOURCE_TOUCH_REQUIRED","IN_PROGRESS"))</x:f>
        <x:v>SOURCE_TOUCH_REQUIRED</x:v>
      </x:c>
      <x:c r="W463" s="12" t="str">
        <x:f>IF(P463="Unverified","missing_receipt","receipt_logged")</x:f>
        <x:v>missing_receipt</x:v>
      </x:c>
      <x:c r="X463" s="12" t="str">
        <x:f>IF(Q463="Not checked","raw_status_missing","raw_status_logged")</x:f>
        <x:v>raw_status_missing</x:v>
      </x:c>
      <x:c r="Y463" s="12" t="str">
        <x:f>IF(U463="BLOCKED_PENDING_RECEIPT","Log source path or blocker; do not promote","Route to review lane")</x:f>
        <x:v>Log source path or blocker; do not promote</x:v>
      </x:c>
      <x:c r="Z463" s="12" t="str">
        <x:f>IF(K463="P0","Primary seat + Hashlight/Lucerna","Seat lane")</x:f>
        <x:v>Seat lane</x:v>
      </x:c>
      <x:c r="AA463" s="12" t="str">
        <x:f>IF(R463="","no_claim_delta","claim_delta_present")</x:f>
        <x:v>no_claim_delta</x:v>
      </x:c>
      <x:c r="AB463" s="12" t="str">
        <x:f>IF(S463="","no_contradiction_delta","contradiction_delta_present")</x:f>
        <x:v>no_contradiction_delta</x:v>
      </x:c>
      <x:c r="AC463" s="12" t="str">
        <x:f>IF(OR(ISNUMBER(SEARCH("hacker",LOWER(F463&amp;" "&amp;H463&amp;" "&amp;I463&amp;" "&amp;M463&amp;" "&amp;N463&amp;" "&amp;T463))),ISNUMBER(SEARCH("hacking",LOWER(F463&amp;" "&amp;H463&amp;" "&amp;I463&amp;" "&amp;M463&amp;" "&amp;N463&amp;" "&amp;T463))),ISNUMBER(SEARCH("bank",LOWER(F463&amp;" "&amp;H463&amp;" "&amp;I463&amp;" "&amp;M463&amp;" "&amp;N463&amp;" "&amp;T463))),ISNUMBER(SEARCH("banking",LOWER(F463&amp;" "&amp;H463&amp;" "&amp;I463&amp;" "&amp;M463&amp;" "&amp;N463&amp;" "&amp;T463)))),"PRIVATE_QUARANTINE",IF(OR(ISNUMBER(SEARCH("treasury",LOWER(F463&amp;" "&amp;H463&amp;" "&amp;I463&amp;" "&amp;M463&amp;" "&amp;N463&amp;" "&amp;T463))),ISNUMBER(SEARCH("debt",LOWER(F463&amp;" "&amp;H463&amp;" "&amp;I463&amp;" "&amp;M463&amp;" "&amp;N463&amp;" "&amp;T463))),ISNUMBER(SEARCH("bond",LOWER(F463&amp;" "&amp;H463&amp;" "&amp;I463&amp;" "&amp;M463&amp;" "&amp;N463&amp;" "&amp;T463))),ISNUMBER(SEARCH("transaction",LOWER(F463&amp;" "&amp;H463&amp;" "&amp;I463&amp;" "&amp;M463&amp;" "&amp;N463&amp;" "&amp;T463)))),"PRIVATE_REVIEW","PUBLIC_CANDIDATE"))</x:f>
        <x:v>PUBLIC_CANDIDATE</x:v>
      </x:c>
      <x:c r="AD463" s="12" t="str">
        <x:f>IF(AC463="PRIVATE_QUARANTINE","hacker_or_bank_trigger",IF(AC463="PRIVATE_REVIEW","finance_risk_trigger","none"))</x:f>
        <x:v>none</x:v>
      </x:c>
      <x:c r="AE463" s="12" t="str">
        <x:f>IF(AC463="PUBLIC_CANDIDATE","prepare_public_github_candidate",IF(AC463="PRIVATE_REVIEW","hold_for_private_review","quarantine_private_do_not_publish"))</x:f>
        <x:v>prepare_public_github_candidate</x:v>
      </x:c>
      <x:c r="AF463" s="12" t="str">
        <x:f>IF(AC463="PUBLIC_CANDIDATE","TIDELOCK + Lucerna",IF(AC463="PRIVATE_REVIEW","AtlasBrain + Lucerna","TIDELOCK + Lucerna + Human-root"))</x:f>
        <x:v>TIDELOCK + Lucerna</x:v>
      </x:c>
      <x:c r="AG463" s="12" t="str">
        <x:f>IF(AND(AC463="PUBLIC_CANDIDATE",U463&lt;&gt;"BLOCKED_PENDING_RECEIPT"),"READY_AFTER_RECEIPT","NOT_READY")</x:f>
        <x:v>NOT_READY</x:v>
      </x:c>
      <x:c r="AH463" s="12" t="str">
        <x:f>IF(AC463="PUBLIC_CANDIDATE","none",AD463)</x:f>
        <x:v>none</x:v>
      </x:c>
      <x:c r="AI463" s="12" t="str">
        <x:f>IF(AC463="PUBLIC_CANDIDATE","archive/public_candidates/"&amp;A463,"private_quarantine/"&amp;A463)</x:f>
        <x:v>archive/public_candidates/SWARM-04-H03-S06</x:v>
      </x:c>
      <x:c r="AJ463" s="12" t="str">
        <x:f>IF(AC463="PUBLIC_CANDIDATE","public by default; still not canon","private/hold; do not publish")</x:f>
        <x:v>public by default; still not canon</x:v>
      </x:c>
      <x:c r="AK463" s="12" t="str">
        <x:f>IF(AE463="prepare_public_github_candidate","add receipt/status then mirror","resolve blocker before any public GitHub action")</x:f>
        <x:v>add receipt/status then mirror</x:v>
      </x:c>
    </x:row>
    <x:row r="464">
      <x:c r="A464" s="15" t="str">
        <x:v>SWARM-04-H03-S07</x:v>
      </x:c>
      <x:c r="B464" s="15" t="str">
        <x:v>Tidelock</x:v>
      </x:c>
      <x:c r="C464" s="15" t="str">
        <x:v>Access blocker keeper</x:v>
      </x:c>
      <x:c r="D464" s="15" t="str">
        <x:v>Raw Export Recovery</x:v>
      </x:c>
      <x:c r="E464" s="15" t="str">
        <x:v>Planetarium</x:v>
      </x:c>
      <x:c r="F464" s="15" t="str">
        <x:v>Recover raw exports for Planetarium — Tidelock</x:v>
      </x:c>
      <x:c r="G464" s="15" t="str">
        <x:v>missing access / blocker ledger / next safe action</x:v>
      </x:c>
      <x:c r="H464" s="15" t="str">
        <x:v>source path + receipt + raw/export status + claim/edge/risk delta</x:v>
      </x:c>
      <x:c r="I464" s="15" t="str">
        <x:v>packet/SWARM-04-H03-S07</x:v>
      </x:c>
      <x:c r="J464" s="15" t="str">
        <x:v>TODO</x:v>
      </x:c>
      <x:c r="K464" s="15" t="str">
        <x:v>P1</x:v>
      </x:c>
      <x:c r="L464" s="15" t="str">
        <x:v>Done only when evidence is logged, contradiction search is noted, and boundary stamp remains non-canon unless ratified</x:v>
      </x:c>
      <x:c r="M464" s="15" t="str">
        <x:v>candidate / staging-only / not canon / not deployed / authority none</x:v>
      </x:c>
      <x:c r="N464" s="15" t="str">
        <x:v>Dispatch to Tidelock: complete Raw Export Recovery x Planetarium; return deltas only, receipts required.</x:v>
      </x:c>
      <x:c r="O464" s="15" t="str">
        <x:v>AF-KG-H03-S07</x:v>
      </x:c>
      <x:c r="P464" s="15" t="str">
        <x:v>Unverified</x:v>
      </x:c>
      <x:c r="Q464" s="15" t="str">
        <x:v>Not checked</x:v>
      </x:c>
      <x:c r="R464" s="15" t="str"/>
      <x:c r="S464" s="15" t="str"/>
      <x:c r="T464" s="15" t="str">
        <x:v>Log first source path or blocker</x:v>
      </x:c>
      <x:c r="U464" s="12" t="str">
        <x:f>IF(OR(P464="Unverified",Q464="Not checked"),"BLOCKED_PENDING_RECEIPT","READY_FOR_REVIEW")</x:f>
        <x:v>BLOCKED_PENDING_RECEIPT</x:v>
      </x:c>
      <x:c r="V464" s="12" t="str">
        <x:f>IF(J464="DONE","RETURNED",IF(U464="BLOCKED_PENDING_RECEIPT","SOURCE_TOUCH_REQUIRED","IN_PROGRESS"))</x:f>
        <x:v>SOURCE_TOUCH_REQUIRED</x:v>
      </x:c>
      <x:c r="W464" s="12" t="str">
        <x:f>IF(P464="Unverified","missing_receipt","receipt_logged")</x:f>
        <x:v>missing_receipt</x:v>
      </x:c>
      <x:c r="X464" s="12" t="str">
        <x:f>IF(Q464="Not checked","raw_status_missing","raw_status_logged")</x:f>
        <x:v>raw_status_missing</x:v>
      </x:c>
      <x:c r="Y464" s="12" t="str">
        <x:f>IF(U464="BLOCKED_PENDING_RECEIPT","Log source path or blocker; do not promote","Route to review lane")</x:f>
        <x:v>Log source path or blocker; do not promote</x:v>
      </x:c>
      <x:c r="Z464" s="12" t="str">
        <x:f>IF(K464="P0","Primary seat + Hashlight/Lucerna","Seat lane")</x:f>
        <x:v>Seat lane</x:v>
      </x:c>
      <x:c r="AA464" s="12" t="str">
        <x:f>IF(R464="","no_claim_delta","claim_delta_present")</x:f>
        <x:v>no_claim_delta</x:v>
      </x:c>
      <x:c r="AB464" s="12" t="str">
        <x:f>IF(S464="","no_contradiction_delta","contradiction_delta_present")</x:f>
        <x:v>no_contradiction_delta</x:v>
      </x:c>
      <x:c r="AC464" s="12" t="str">
        <x:f>IF(OR(ISNUMBER(SEARCH("hacker",LOWER(F464&amp;" "&amp;H464&amp;" "&amp;I464&amp;" "&amp;M464&amp;" "&amp;N464&amp;" "&amp;T464))),ISNUMBER(SEARCH("hacking",LOWER(F464&amp;" "&amp;H464&amp;" "&amp;I464&amp;" "&amp;M464&amp;" "&amp;N464&amp;" "&amp;T464))),ISNUMBER(SEARCH("bank",LOWER(F464&amp;" "&amp;H464&amp;" "&amp;I464&amp;" "&amp;M464&amp;" "&amp;N464&amp;" "&amp;T464))),ISNUMBER(SEARCH("banking",LOWER(F464&amp;" "&amp;H464&amp;" "&amp;I464&amp;" "&amp;M464&amp;" "&amp;N464&amp;" "&amp;T464)))),"PRIVATE_QUARANTINE",IF(OR(ISNUMBER(SEARCH("treasury",LOWER(F464&amp;" "&amp;H464&amp;" "&amp;I464&amp;" "&amp;M464&amp;" "&amp;N464&amp;" "&amp;T464))),ISNUMBER(SEARCH("debt",LOWER(F464&amp;" "&amp;H464&amp;" "&amp;I464&amp;" "&amp;M464&amp;" "&amp;N464&amp;" "&amp;T464))),ISNUMBER(SEARCH("bond",LOWER(F464&amp;" "&amp;H464&amp;" "&amp;I464&amp;" "&amp;M464&amp;" "&amp;N464&amp;" "&amp;T464))),ISNUMBER(SEARCH("transaction",LOWER(F464&amp;" "&amp;H464&amp;" "&amp;I464&amp;" "&amp;M464&amp;" "&amp;N464&amp;" "&amp;T464)))),"PRIVATE_REVIEW","PUBLIC_CANDIDATE"))</x:f>
        <x:v>PUBLIC_CANDIDATE</x:v>
      </x:c>
      <x:c r="AD464" s="12" t="str">
        <x:f>IF(AC464="PRIVATE_QUARANTINE","hacker_or_bank_trigger",IF(AC464="PRIVATE_REVIEW","finance_risk_trigger","none"))</x:f>
        <x:v>none</x:v>
      </x:c>
      <x:c r="AE464" s="12" t="str">
        <x:f>IF(AC464="PUBLIC_CANDIDATE","prepare_public_github_candidate",IF(AC464="PRIVATE_REVIEW","hold_for_private_review","quarantine_private_do_not_publish"))</x:f>
        <x:v>prepare_public_github_candidate</x:v>
      </x:c>
      <x:c r="AF464" s="12" t="str">
        <x:f>IF(AC464="PUBLIC_CANDIDATE","TIDELOCK + Lucerna",IF(AC464="PRIVATE_REVIEW","AtlasBrain + Lucerna","TIDELOCK + Lucerna + Human-root"))</x:f>
        <x:v>TIDELOCK + Lucerna</x:v>
      </x:c>
      <x:c r="AG464" s="12" t="str">
        <x:f>IF(AND(AC464="PUBLIC_CANDIDATE",U464&lt;&gt;"BLOCKED_PENDING_RECEIPT"),"READY_AFTER_RECEIPT","NOT_READY")</x:f>
        <x:v>NOT_READY</x:v>
      </x:c>
      <x:c r="AH464" s="12" t="str">
        <x:f>IF(AC464="PUBLIC_CANDIDATE","none",AD464)</x:f>
        <x:v>none</x:v>
      </x:c>
      <x:c r="AI464" s="12" t="str">
        <x:f>IF(AC464="PUBLIC_CANDIDATE","archive/public_candidates/"&amp;A464,"private_quarantine/"&amp;A464)</x:f>
        <x:v>archive/public_candidates/SWARM-04-H03-S07</x:v>
      </x:c>
      <x:c r="AJ464" s="12" t="str">
        <x:f>IF(AC464="PUBLIC_CANDIDATE","public by default; still not canon","private/hold; do not publish")</x:f>
        <x:v>public by default; still not canon</x:v>
      </x:c>
      <x:c r="AK464" s="12" t="str">
        <x:f>IF(AE464="prepare_public_github_candidate","add receipt/status then mirror","resolve blocker before any public GitHub action")</x:f>
        <x:v>add receipt/status then mirror</x:v>
      </x:c>
    </x:row>
    <x:row r="465">
      <x:c r="A465" s="15" t="str">
        <x:v>SWARM-04-H03-S08</x:v>
      </x:c>
      <x:c r="B465" s="15" t="str">
        <x:v>Tidelock</x:v>
      </x:c>
      <x:c r="C465" s="15" t="str">
        <x:v>Access blocker keeper</x:v>
      </x:c>
      <x:c r="D465" s="15" t="str">
        <x:v>Raw Export Recovery</x:v>
      </x:c>
      <x:c r="E465" s="15" t="str">
        <x:v>Sheldonbrain</x:v>
      </x:c>
      <x:c r="F465" s="15" t="str">
        <x:v>Recover raw exports for Sheldonbrain — Tidelock</x:v>
      </x:c>
      <x:c r="G465" s="15" t="str">
        <x:v>missing access / blocker ledger / next safe action</x:v>
      </x:c>
      <x:c r="H465" s="15" t="str">
        <x:v>source path + receipt + raw/export status + claim/edge/risk delta</x:v>
      </x:c>
      <x:c r="I465" s="15" t="str">
        <x:v>packet/SWARM-04-H03-S08</x:v>
      </x:c>
      <x:c r="J465" s="15" t="str">
        <x:v>TODO</x:v>
      </x:c>
      <x:c r="K465" s="15" t="str">
        <x:v>P1</x:v>
      </x:c>
      <x:c r="L465" s="15" t="str">
        <x:v>Done only when evidence is logged, contradiction search is noted, and boundary stamp remains non-canon unless ratified</x:v>
      </x:c>
      <x:c r="M465" s="15" t="str">
        <x:v>candidate / staging-only / not canon / not deployed / authority none</x:v>
      </x:c>
      <x:c r="N465" s="15" t="str">
        <x:v>Dispatch to Tidelock: complete Raw Export Recovery x Sheldonbrain; return deltas only, receipts required.</x:v>
      </x:c>
      <x:c r="O465" s="15" t="str">
        <x:v>AF-KG-H03-S08</x:v>
      </x:c>
      <x:c r="P465" s="15" t="str">
        <x:v>Unverified</x:v>
      </x:c>
      <x:c r="Q465" s="15" t="str">
        <x:v>Not checked</x:v>
      </x:c>
      <x:c r="R465" s="15" t="str"/>
      <x:c r="S465" s="15" t="str"/>
      <x:c r="T465" s="15" t="str">
        <x:v>Log first source path or blocker</x:v>
      </x:c>
      <x:c r="U465" s="12" t="str">
        <x:f>IF(OR(P465="Unverified",Q465="Not checked"),"BLOCKED_PENDING_RECEIPT","READY_FOR_REVIEW")</x:f>
        <x:v>BLOCKED_PENDING_RECEIPT</x:v>
      </x:c>
      <x:c r="V465" s="12" t="str">
        <x:f>IF(J465="DONE","RETURNED",IF(U465="BLOCKED_PENDING_RECEIPT","SOURCE_TOUCH_REQUIRED","IN_PROGRESS"))</x:f>
        <x:v>SOURCE_TOUCH_REQUIRED</x:v>
      </x:c>
      <x:c r="W465" s="12" t="str">
        <x:f>IF(P465="Unverified","missing_receipt","receipt_logged")</x:f>
        <x:v>missing_receipt</x:v>
      </x:c>
      <x:c r="X465" s="12" t="str">
        <x:f>IF(Q465="Not checked","raw_status_missing","raw_status_logged")</x:f>
        <x:v>raw_status_missing</x:v>
      </x:c>
      <x:c r="Y465" s="12" t="str">
        <x:f>IF(U465="BLOCKED_PENDING_RECEIPT","Log source path or blocker; do not promote","Route to review lane")</x:f>
        <x:v>Log source path or blocker; do not promote</x:v>
      </x:c>
      <x:c r="Z465" s="12" t="str">
        <x:f>IF(K465="P0","Primary seat + Hashlight/Lucerna","Seat lane")</x:f>
        <x:v>Seat lane</x:v>
      </x:c>
      <x:c r="AA465" s="12" t="str">
        <x:f>IF(R465="","no_claim_delta","claim_delta_present")</x:f>
        <x:v>no_claim_delta</x:v>
      </x:c>
      <x:c r="AB465" s="12" t="str">
        <x:f>IF(S465="","no_contradiction_delta","contradiction_delta_present")</x:f>
        <x:v>no_contradiction_delta</x:v>
      </x:c>
      <x:c r="AC465" s="12" t="str">
        <x:f>IF(OR(ISNUMBER(SEARCH("hacker",LOWER(F465&amp;" "&amp;H465&amp;" "&amp;I465&amp;" "&amp;M465&amp;" "&amp;N465&amp;" "&amp;T465))),ISNUMBER(SEARCH("hacking",LOWER(F465&amp;" "&amp;H465&amp;" "&amp;I465&amp;" "&amp;M465&amp;" "&amp;N465&amp;" "&amp;T465))),ISNUMBER(SEARCH("bank",LOWER(F465&amp;" "&amp;H465&amp;" "&amp;I465&amp;" "&amp;M465&amp;" "&amp;N465&amp;" "&amp;T465))),ISNUMBER(SEARCH("banking",LOWER(F465&amp;" "&amp;H465&amp;" "&amp;I465&amp;" "&amp;M465&amp;" "&amp;N465&amp;" "&amp;T465)))),"PRIVATE_QUARANTINE",IF(OR(ISNUMBER(SEARCH("treasury",LOWER(F465&amp;" "&amp;H465&amp;" "&amp;I465&amp;" "&amp;M465&amp;" "&amp;N465&amp;" "&amp;T465))),ISNUMBER(SEARCH("debt",LOWER(F465&amp;" "&amp;H465&amp;" "&amp;I465&amp;" "&amp;M465&amp;" "&amp;N465&amp;" "&amp;T465))),ISNUMBER(SEARCH("bond",LOWER(F465&amp;" "&amp;H465&amp;" "&amp;I465&amp;" "&amp;M465&amp;" "&amp;N465&amp;" "&amp;T465))),ISNUMBER(SEARCH("transaction",LOWER(F465&amp;" "&amp;H465&amp;" "&amp;I465&amp;" "&amp;M465&amp;" "&amp;N465&amp;" "&amp;T465)))),"PRIVATE_REVIEW","PUBLIC_CANDIDATE"))</x:f>
        <x:v>PUBLIC_CANDIDATE</x:v>
      </x:c>
      <x:c r="AD465" s="12" t="str">
        <x:f>IF(AC465="PRIVATE_QUARANTINE","hacker_or_bank_trigger",IF(AC465="PRIVATE_REVIEW","finance_risk_trigger","none"))</x:f>
        <x:v>none</x:v>
      </x:c>
      <x:c r="AE465" s="12" t="str">
        <x:f>IF(AC465="PUBLIC_CANDIDATE","prepare_public_github_candidate",IF(AC465="PRIVATE_REVIEW","hold_for_private_review","quarantine_private_do_not_publish"))</x:f>
        <x:v>prepare_public_github_candidate</x:v>
      </x:c>
      <x:c r="AF465" s="12" t="str">
        <x:f>IF(AC465="PUBLIC_CANDIDATE","TIDELOCK + Lucerna",IF(AC465="PRIVATE_REVIEW","AtlasBrain + Lucerna","TIDELOCK + Lucerna + Human-root"))</x:f>
        <x:v>TIDELOCK + Lucerna</x:v>
      </x:c>
      <x:c r="AG465" s="12" t="str">
        <x:f>IF(AND(AC465="PUBLIC_CANDIDATE",U465&lt;&gt;"BLOCKED_PENDING_RECEIPT"),"READY_AFTER_RECEIPT","NOT_READY")</x:f>
        <x:v>NOT_READY</x:v>
      </x:c>
      <x:c r="AH465" s="12" t="str">
        <x:f>IF(AC465="PUBLIC_CANDIDATE","none",AD465)</x:f>
        <x:v>none</x:v>
      </x:c>
      <x:c r="AI465" s="12" t="str">
        <x:f>IF(AC465="PUBLIC_CANDIDATE","archive/public_candidates/"&amp;A465,"private_quarantine/"&amp;A465)</x:f>
        <x:v>archive/public_candidates/SWARM-04-H03-S08</x:v>
      </x:c>
      <x:c r="AJ465" s="12" t="str">
        <x:f>IF(AC465="PUBLIC_CANDIDATE","public by default; still not canon","private/hold; do not publish")</x:f>
        <x:v>public by default; still not canon</x:v>
      </x:c>
      <x:c r="AK465" s="12" t="str">
        <x:f>IF(AE465="prepare_public_github_candidate","add receipt/status then mirror","resolve blocker before any public GitHub action")</x:f>
        <x:v>add receipt/status then mirror</x:v>
      </x:c>
    </x:row>
    <x:row r="466">
      <x:c r="A466" s="15" t="str">
        <x:v>SWARM-04-H03-S09</x:v>
      </x:c>
      <x:c r="B466" s="15" t="str">
        <x:v>Tidelock</x:v>
      </x:c>
      <x:c r="C466" s="15" t="str">
        <x:v>Access blocker keeper</x:v>
      </x:c>
      <x:c r="D466" s="15" t="str">
        <x:v>Raw Export Recovery</x:v>
      </x:c>
      <x:c r="E466" s="15" t="str">
        <x:v>Aetherforge</x:v>
      </x:c>
      <x:c r="F466" s="15" t="str">
        <x:v>Recover raw exports for Aetherforge — Tidelock</x:v>
      </x:c>
      <x:c r="G466" s="15" t="str">
        <x:v>missing access / blocker ledger / next safe action</x:v>
      </x:c>
      <x:c r="H466" s="15" t="str">
        <x:v>source path + receipt + raw/export status + claim/edge/risk delta</x:v>
      </x:c>
      <x:c r="I466" s="15" t="str">
        <x:v>packet/SWARM-04-H03-S09</x:v>
      </x:c>
      <x:c r="J466" s="15" t="str">
        <x:v>TODO</x:v>
      </x:c>
      <x:c r="K466" s="15" t="str">
        <x:v>P2</x:v>
      </x:c>
      <x:c r="L466" s="15" t="str">
        <x:v>Done only when evidence is logged, contradiction search is noted, and boundary stamp remains non-canon unless ratified</x:v>
      </x:c>
      <x:c r="M466" s="15" t="str">
        <x:v>candidate / staging-only / not canon / not deployed / authority none</x:v>
      </x:c>
      <x:c r="N466" s="15" t="str">
        <x:v>Dispatch to Tidelock: complete Raw Export Recovery x Aetherforge; return deltas only, receipts required.</x:v>
      </x:c>
      <x:c r="O466" s="15" t="str">
        <x:v>AF-KG-H03-S09</x:v>
      </x:c>
      <x:c r="P466" s="15" t="str">
        <x:v>Unverified</x:v>
      </x:c>
      <x:c r="Q466" s="15" t="str">
        <x:v>Not checked</x:v>
      </x:c>
      <x:c r="R466" s="15" t="str"/>
      <x:c r="S466" s="15" t="str"/>
      <x:c r="T466" s="15" t="str">
        <x:v>Log first source path or blocker</x:v>
      </x:c>
      <x:c r="U466" s="12" t="str">
        <x:f>IF(OR(P466="Unverified",Q466="Not checked"),"BLOCKED_PENDING_RECEIPT","READY_FOR_REVIEW")</x:f>
        <x:v>BLOCKED_PENDING_RECEIPT</x:v>
      </x:c>
      <x:c r="V466" s="12" t="str">
        <x:f>IF(J466="DONE","RETURNED",IF(U466="BLOCKED_PENDING_RECEIPT","SOURCE_TOUCH_REQUIRED","IN_PROGRESS"))</x:f>
        <x:v>SOURCE_TOUCH_REQUIRED</x:v>
      </x:c>
      <x:c r="W466" s="12" t="str">
        <x:f>IF(P466="Unverified","missing_receipt","receipt_logged")</x:f>
        <x:v>missing_receipt</x:v>
      </x:c>
      <x:c r="X466" s="12" t="str">
        <x:f>IF(Q466="Not checked","raw_status_missing","raw_status_logged")</x:f>
        <x:v>raw_status_missing</x:v>
      </x:c>
      <x:c r="Y466" s="12" t="str">
        <x:f>IF(U466="BLOCKED_PENDING_RECEIPT","Log source path or blocker; do not promote","Route to review lane")</x:f>
        <x:v>Log source path or blocker; do not promote</x:v>
      </x:c>
      <x:c r="Z466" s="12" t="str">
        <x:f>IF(K466="P0","Primary seat + Hashlight/Lucerna","Seat lane")</x:f>
        <x:v>Seat lane</x:v>
      </x:c>
      <x:c r="AA466" s="12" t="str">
        <x:f>IF(R466="","no_claim_delta","claim_delta_present")</x:f>
        <x:v>no_claim_delta</x:v>
      </x:c>
      <x:c r="AB466" s="12" t="str">
        <x:f>IF(S466="","no_contradiction_delta","contradiction_delta_present")</x:f>
        <x:v>no_contradiction_delta</x:v>
      </x:c>
      <x:c r="AC466" s="12" t="str">
        <x:f>IF(OR(ISNUMBER(SEARCH("hacker",LOWER(F466&amp;" "&amp;H466&amp;" "&amp;I466&amp;" "&amp;M466&amp;" "&amp;N466&amp;" "&amp;T466))),ISNUMBER(SEARCH("hacking",LOWER(F466&amp;" "&amp;H466&amp;" "&amp;I466&amp;" "&amp;M466&amp;" "&amp;N466&amp;" "&amp;T466))),ISNUMBER(SEARCH("bank",LOWER(F466&amp;" "&amp;H466&amp;" "&amp;I466&amp;" "&amp;M466&amp;" "&amp;N466&amp;" "&amp;T466))),ISNUMBER(SEARCH("banking",LOWER(F466&amp;" "&amp;H466&amp;" "&amp;I466&amp;" "&amp;M466&amp;" "&amp;N466&amp;" "&amp;T466)))),"PRIVATE_QUARANTINE",IF(OR(ISNUMBER(SEARCH("treasury",LOWER(F466&amp;" "&amp;H466&amp;" "&amp;I466&amp;" "&amp;M466&amp;" "&amp;N466&amp;" "&amp;T466))),ISNUMBER(SEARCH("debt",LOWER(F466&amp;" "&amp;H466&amp;" "&amp;I466&amp;" "&amp;M466&amp;" "&amp;N466&amp;" "&amp;T466))),ISNUMBER(SEARCH("bond",LOWER(F466&amp;" "&amp;H466&amp;" "&amp;I466&amp;" "&amp;M466&amp;" "&amp;N466&amp;" "&amp;T466))),ISNUMBER(SEARCH("transaction",LOWER(F466&amp;" "&amp;H466&amp;" "&amp;I466&amp;" "&amp;M466&amp;" "&amp;N466&amp;" "&amp;T466)))),"PRIVATE_REVIEW","PUBLIC_CANDIDATE"))</x:f>
        <x:v>PUBLIC_CANDIDATE</x:v>
      </x:c>
      <x:c r="AD466" s="12" t="str">
        <x:f>IF(AC466="PRIVATE_QUARANTINE","hacker_or_bank_trigger",IF(AC466="PRIVATE_REVIEW","finance_risk_trigger","none"))</x:f>
        <x:v>none</x:v>
      </x:c>
      <x:c r="AE466" s="12" t="str">
        <x:f>IF(AC466="PUBLIC_CANDIDATE","prepare_public_github_candidate",IF(AC466="PRIVATE_REVIEW","hold_for_private_review","quarantine_private_do_not_publish"))</x:f>
        <x:v>prepare_public_github_candidate</x:v>
      </x:c>
      <x:c r="AF466" s="12" t="str">
        <x:f>IF(AC466="PUBLIC_CANDIDATE","TIDELOCK + Lucerna",IF(AC466="PRIVATE_REVIEW","AtlasBrain + Lucerna","TIDELOCK + Lucerna + Human-root"))</x:f>
        <x:v>TIDELOCK + Lucerna</x:v>
      </x:c>
      <x:c r="AG466" s="12" t="str">
        <x:f>IF(AND(AC466="PUBLIC_CANDIDATE",U466&lt;&gt;"BLOCKED_PENDING_RECEIPT"),"READY_AFTER_RECEIPT","NOT_READY")</x:f>
        <x:v>NOT_READY</x:v>
      </x:c>
      <x:c r="AH466" s="12" t="str">
        <x:f>IF(AC466="PUBLIC_CANDIDATE","none",AD466)</x:f>
        <x:v>none</x:v>
      </x:c>
      <x:c r="AI466" s="12" t="str">
        <x:f>IF(AC466="PUBLIC_CANDIDATE","archive/public_candidates/"&amp;A466,"private_quarantine/"&amp;A466)</x:f>
        <x:v>archive/public_candidates/SWARM-04-H03-S09</x:v>
      </x:c>
      <x:c r="AJ466" s="12" t="str">
        <x:f>IF(AC466="PUBLIC_CANDIDATE","public by default; still not canon","private/hold; do not publish")</x:f>
        <x:v>public by default; still not canon</x:v>
      </x:c>
      <x:c r="AK466" s="12" t="str">
        <x:f>IF(AE466="prepare_public_github_candidate","add receipt/status then mirror","resolve blocker before any public GitHub action")</x:f>
        <x:v>add receipt/status then mirror</x:v>
      </x:c>
    </x:row>
    <x:row r="467">
      <x:c r="A467" s="15" t="str">
        <x:v>SWARM-04-H03-S10</x:v>
      </x:c>
      <x:c r="B467" s="15" t="str">
        <x:v>Tidelock</x:v>
      </x:c>
      <x:c r="C467" s="15" t="str">
        <x:v>Access blocker keeper</x:v>
      </x:c>
      <x:c r="D467" s="15" t="str">
        <x:v>Raw Export Recovery</x:v>
      </x:c>
      <x:c r="E467" s="15" t="str">
        <x:v>Human-Root</x:v>
      </x:c>
      <x:c r="F467" s="15" t="str">
        <x:v>Recover raw exports for Human-Root — Tidelock</x:v>
      </x:c>
      <x:c r="G467" s="15" t="str">
        <x:v>missing access / blocker ledger / next safe action</x:v>
      </x:c>
      <x:c r="H467" s="15" t="str">
        <x:v>source path + receipt + raw/export status + claim/edge/risk delta</x:v>
      </x:c>
      <x:c r="I467" s="15" t="str">
        <x:v>packet/SWARM-04-H03-S10</x:v>
      </x:c>
      <x:c r="J467" s="15" t="str">
        <x:v>TODO</x:v>
      </x:c>
      <x:c r="K467" s="15" t="str">
        <x:v>P2</x:v>
      </x:c>
      <x:c r="L467" s="15" t="str">
        <x:v>Done only when evidence is logged, contradiction search is noted, and boundary stamp remains non-canon unless ratified</x:v>
      </x:c>
      <x:c r="M467" s="15" t="str">
        <x:v>candidate / staging-only / not canon / not deployed / authority none</x:v>
      </x:c>
      <x:c r="N467" s="15" t="str">
        <x:v>Dispatch to Tidelock: complete Raw Export Recovery x Human-Root; return deltas only, receipts required.</x:v>
      </x:c>
      <x:c r="O467" s="15" t="str">
        <x:v>AF-KG-H03-S10</x:v>
      </x:c>
      <x:c r="P467" s="15" t="str">
        <x:v>Unverified</x:v>
      </x:c>
      <x:c r="Q467" s="15" t="str">
        <x:v>Not checked</x:v>
      </x:c>
      <x:c r="R467" s="15" t="str"/>
      <x:c r="S467" s="15" t="str"/>
      <x:c r="T467" s="15" t="str">
        <x:v>Log first source path or blocker</x:v>
      </x:c>
      <x:c r="U467" s="12" t="str">
        <x:f>IF(OR(P467="Unverified",Q467="Not checked"),"BLOCKED_PENDING_RECEIPT","READY_FOR_REVIEW")</x:f>
        <x:v>BLOCKED_PENDING_RECEIPT</x:v>
      </x:c>
      <x:c r="V467" s="12" t="str">
        <x:f>IF(J467="DONE","RETURNED",IF(U467="BLOCKED_PENDING_RECEIPT","SOURCE_TOUCH_REQUIRED","IN_PROGRESS"))</x:f>
        <x:v>SOURCE_TOUCH_REQUIRED</x:v>
      </x:c>
      <x:c r="W467" s="12" t="str">
        <x:f>IF(P467="Unverified","missing_receipt","receipt_logged")</x:f>
        <x:v>missing_receipt</x:v>
      </x:c>
      <x:c r="X467" s="12" t="str">
        <x:f>IF(Q467="Not checked","raw_status_missing","raw_status_logged")</x:f>
        <x:v>raw_status_missing</x:v>
      </x:c>
      <x:c r="Y467" s="12" t="str">
        <x:f>IF(U467="BLOCKED_PENDING_RECEIPT","Log source path or blocker; do not promote","Route to review lane")</x:f>
        <x:v>Log source path or blocker; do not promote</x:v>
      </x:c>
      <x:c r="Z467" s="12" t="str">
        <x:f>IF(K467="P0","Primary seat + Hashlight/Lucerna","Seat lane")</x:f>
        <x:v>Seat lane</x:v>
      </x:c>
      <x:c r="AA467" s="12" t="str">
        <x:f>IF(R467="","no_claim_delta","claim_delta_present")</x:f>
        <x:v>no_claim_delta</x:v>
      </x:c>
      <x:c r="AB467" s="12" t="str">
        <x:f>IF(S467="","no_contradiction_delta","contradiction_delta_present")</x:f>
        <x:v>no_contradiction_delta</x:v>
      </x:c>
      <x:c r="AC467" s="12" t="str">
        <x:f>IF(OR(ISNUMBER(SEARCH("hacker",LOWER(F467&amp;" "&amp;H467&amp;" "&amp;I467&amp;" "&amp;M467&amp;" "&amp;N467&amp;" "&amp;T467))),ISNUMBER(SEARCH("hacking",LOWER(F467&amp;" "&amp;H467&amp;" "&amp;I467&amp;" "&amp;M467&amp;" "&amp;N467&amp;" "&amp;T467))),ISNUMBER(SEARCH("bank",LOWER(F467&amp;" "&amp;H467&amp;" "&amp;I467&amp;" "&amp;M467&amp;" "&amp;N467&amp;" "&amp;T467))),ISNUMBER(SEARCH("banking",LOWER(F467&amp;" "&amp;H467&amp;" "&amp;I467&amp;" "&amp;M467&amp;" "&amp;N467&amp;" "&amp;T467)))),"PRIVATE_QUARANTINE",IF(OR(ISNUMBER(SEARCH("treasury",LOWER(F467&amp;" "&amp;H467&amp;" "&amp;I467&amp;" "&amp;M467&amp;" "&amp;N467&amp;" "&amp;T467))),ISNUMBER(SEARCH("debt",LOWER(F467&amp;" "&amp;H467&amp;" "&amp;I467&amp;" "&amp;M467&amp;" "&amp;N467&amp;" "&amp;T467))),ISNUMBER(SEARCH("bond",LOWER(F467&amp;" "&amp;H467&amp;" "&amp;I467&amp;" "&amp;M467&amp;" "&amp;N467&amp;" "&amp;T467))),ISNUMBER(SEARCH("transaction",LOWER(F467&amp;" "&amp;H467&amp;" "&amp;I467&amp;" "&amp;M467&amp;" "&amp;N467&amp;" "&amp;T467)))),"PRIVATE_REVIEW","PUBLIC_CANDIDATE"))</x:f>
        <x:v>PUBLIC_CANDIDATE</x:v>
      </x:c>
      <x:c r="AD467" s="12" t="str">
        <x:f>IF(AC467="PRIVATE_QUARANTINE","hacker_or_bank_trigger",IF(AC467="PRIVATE_REVIEW","finance_risk_trigger","none"))</x:f>
        <x:v>none</x:v>
      </x:c>
      <x:c r="AE467" s="12" t="str">
        <x:f>IF(AC467="PUBLIC_CANDIDATE","prepare_public_github_candidate",IF(AC467="PRIVATE_REVIEW","hold_for_private_review","quarantine_private_do_not_publish"))</x:f>
        <x:v>prepare_public_github_candidate</x:v>
      </x:c>
      <x:c r="AF467" s="12" t="str">
        <x:f>IF(AC467="PUBLIC_CANDIDATE","TIDELOCK + Lucerna",IF(AC467="PRIVATE_REVIEW","AtlasBrain + Lucerna","TIDELOCK + Lucerna + Human-root"))</x:f>
        <x:v>TIDELOCK + Lucerna</x:v>
      </x:c>
      <x:c r="AG467" s="12" t="str">
        <x:f>IF(AND(AC467="PUBLIC_CANDIDATE",U467&lt;&gt;"BLOCKED_PENDING_RECEIPT"),"READY_AFTER_RECEIPT","NOT_READY")</x:f>
        <x:v>NOT_READY</x:v>
      </x:c>
      <x:c r="AH467" s="12" t="str">
        <x:f>IF(AC467="PUBLIC_CANDIDATE","none",AD467)</x:f>
        <x:v>none</x:v>
      </x:c>
      <x:c r="AI467" s="12" t="str">
        <x:f>IF(AC467="PUBLIC_CANDIDATE","archive/public_candidates/"&amp;A467,"private_quarantine/"&amp;A467)</x:f>
        <x:v>archive/public_candidates/SWARM-04-H03-S10</x:v>
      </x:c>
      <x:c r="AJ467" s="12" t="str">
        <x:f>IF(AC467="PUBLIC_CANDIDATE","public by default; still not canon","private/hold; do not publish")</x:f>
        <x:v>public by default; still not canon</x:v>
      </x:c>
      <x:c r="AK467" s="12" t="str">
        <x:f>IF(AE467="prepare_public_github_candidate","add receipt/status then mirror","resolve blocker before any public GitHub action")</x:f>
        <x:v>add receipt/status then mirror</x:v>
      </x:c>
    </x:row>
    <x:row r="468">
      <x:c r="A468" s="15" t="str">
        <x:v>SWARM-04-H03-S11</x:v>
      </x:c>
      <x:c r="B468" s="15" t="str">
        <x:v>Tidelock</x:v>
      </x:c>
      <x:c r="C468" s="15" t="str">
        <x:v>Access blocker keeper</x:v>
      </x:c>
      <x:c r="D468" s="15" t="str">
        <x:v>Raw Export Recovery</x:v>
      </x:c>
      <x:c r="E468" s="15" t="str">
        <x:v>Automation</x:v>
      </x:c>
      <x:c r="F468" s="15" t="str">
        <x:v>Recover raw exports for Automation — Tidelock</x:v>
      </x:c>
      <x:c r="G468" s="15" t="str">
        <x:v>missing access / blocker ledger / next safe action</x:v>
      </x:c>
      <x:c r="H468" s="15" t="str">
        <x:v>source path + receipt + raw/export status + claim/edge/risk delta</x:v>
      </x:c>
      <x:c r="I468" s="15" t="str">
        <x:v>packet/SWARM-04-H03-S11</x:v>
      </x:c>
      <x:c r="J468" s="15" t="str">
        <x:v>TODO</x:v>
      </x:c>
      <x:c r="K468" s="15" t="str">
        <x:v>P2</x:v>
      </x:c>
      <x:c r="L468" s="15" t="str">
        <x:v>Done only when evidence is logged, contradiction search is noted, and boundary stamp remains non-canon unless ratified</x:v>
      </x:c>
      <x:c r="M468" s="15" t="str">
        <x:v>candidate / staging-only / not canon / not deployed / authority none</x:v>
      </x:c>
      <x:c r="N468" s="15" t="str">
        <x:v>Dispatch to Tidelock: complete Raw Export Recovery x Automation; return deltas only, receipts required.</x:v>
      </x:c>
      <x:c r="O468" s="15" t="str">
        <x:v>AF-KG-H03-S11</x:v>
      </x:c>
      <x:c r="P468" s="15" t="str">
        <x:v>Unverified</x:v>
      </x:c>
      <x:c r="Q468" s="15" t="str">
        <x:v>Not checked</x:v>
      </x:c>
      <x:c r="R468" s="15" t="str"/>
      <x:c r="S468" s="15" t="str"/>
      <x:c r="T468" s="15" t="str">
        <x:v>Log first source path or blocker</x:v>
      </x:c>
      <x:c r="U468" s="12" t="str">
        <x:f>IF(OR(P468="Unverified",Q468="Not checked"),"BLOCKED_PENDING_RECEIPT","READY_FOR_REVIEW")</x:f>
        <x:v>BLOCKED_PENDING_RECEIPT</x:v>
      </x:c>
      <x:c r="V468" s="12" t="str">
        <x:f>IF(J468="DONE","RETURNED",IF(U468="BLOCKED_PENDING_RECEIPT","SOURCE_TOUCH_REQUIRED","IN_PROGRESS"))</x:f>
        <x:v>SOURCE_TOUCH_REQUIRED</x:v>
      </x:c>
      <x:c r="W468" s="12" t="str">
        <x:f>IF(P468="Unverified","missing_receipt","receipt_logged")</x:f>
        <x:v>missing_receipt</x:v>
      </x:c>
      <x:c r="X468" s="12" t="str">
        <x:f>IF(Q468="Not checked","raw_status_missing","raw_status_logged")</x:f>
        <x:v>raw_status_missing</x:v>
      </x:c>
      <x:c r="Y468" s="12" t="str">
        <x:f>IF(U468="BLOCKED_PENDING_RECEIPT","Log source path or blocker; do not promote","Route to review lane")</x:f>
        <x:v>Log source path or blocker; do not promote</x:v>
      </x:c>
      <x:c r="Z468" s="12" t="str">
        <x:f>IF(K468="P0","Primary seat + Hashlight/Lucerna","Seat lane")</x:f>
        <x:v>Seat lane</x:v>
      </x:c>
      <x:c r="AA468" s="12" t="str">
        <x:f>IF(R468="","no_claim_delta","claim_delta_present")</x:f>
        <x:v>no_claim_delta</x:v>
      </x:c>
      <x:c r="AB468" s="12" t="str">
        <x:f>IF(S468="","no_contradiction_delta","contradiction_delta_present")</x:f>
        <x:v>no_contradiction_delta</x:v>
      </x:c>
      <x:c r="AC468" s="12" t="str">
        <x:f>IF(OR(ISNUMBER(SEARCH("hacker",LOWER(F468&amp;" "&amp;H468&amp;" "&amp;I468&amp;" "&amp;M468&amp;" "&amp;N468&amp;" "&amp;T468))),ISNUMBER(SEARCH("hacking",LOWER(F468&amp;" "&amp;H468&amp;" "&amp;I468&amp;" "&amp;M468&amp;" "&amp;N468&amp;" "&amp;T468))),ISNUMBER(SEARCH("bank",LOWER(F468&amp;" "&amp;H468&amp;" "&amp;I468&amp;" "&amp;M468&amp;" "&amp;N468&amp;" "&amp;T468))),ISNUMBER(SEARCH("banking",LOWER(F468&amp;" "&amp;H468&amp;" "&amp;I468&amp;" "&amp;M468&amp;" "&amp;N468&amp;" "&amp;T468)))),"PRIVATE_QUARANTINE",IF(OR(ISNUMBER(SEARCH("treasury",LOWER(F468&amp;" "&amp;H468&amp;" "&amp;I468&amp;" "&amp;M468&amp;" "&amp;N468&amp;" "&amp;T468))),ISNUMBER(SEARCH("debt",LOWER(F468&amp;" "&amp;H468&amp;" "&amp;I468&amp;" "&amp;M468&amp;" "&amp;N468&amp;" "&amp;T468))),ISNUMBER(SEARCH("bond",LOWER(F468&amp;" "&amp;H468&amp;" "&amp;I468&amp;" "&amp;M468&amp;" "&amp;N468&amp;" "&amp;T468))),ISNUMBER(SEARCH("transaction",LOWER(F468&amp;" "&amp;H468&amp;" "&amp;I468&amp;" "&amp;M468&amp;" "&amp;N468&amp;" "&amp;T468)))),"PRIVATE_REVIEW","PUBLIC_CANDIDATE"))</x:f>
        <x:v>PUBLIC_CANDIDATE</x:v>
      </x:c>
      <x:c r="AD468" s="12" t="str">
        <x:f>IF(AC468="PRIVATE_QUARANTINE","hacker_or_bank_trigger",IF(AC468="PRIVATE_REVIEW","finance_risk_trigger","none"))</x:f>
        <x:v>none</x:v>
      </x:c>
      <x:c r="AE468" s="12" t="str">
        <x:f>IF(AC468="PUBLIC_CANDIDATE","prepare_public_github_candidate",IF(AC468="PRIVATE_REVIEW","hold_for_private_review","quarantine_private_do_not_publish"))</x:f>
        <x:v>prepare_public_github_candidate</x:v>
      </x:c>
      <x:c r="AF468" s="12" t="str">
        <x:f>IF(AC468="PUBLIC_CANDIDATE","TIDELOCK + Lucerna",IF(AC468="PRIVATE_REVIEW","AtlasBrain + Lucerna","TIDELOCK + Lucerna + Human-root"))</x:f>
        <x:v>TIDELOCK + Lucerna</x:v>
      </x:c>
      <x:c r="AG468" s="12" t="str">
        <x:f>IF(AND(AC468="PUBLIC_CANDIDATE",U468&lt;&gt;"BLOCKED_PENDING_RECEIPT"),"READY_AFTER_RECEIPT","NOT_READY")</x:f>
        <x:v>NOT_READY</x:v>
      </x:c>
      <x:c r="AH468" s="12" t="str">
        <x:f>IF(AC468="PUBLIC_CANDIDATE","none",AD468)</x:f>
        <x:v>none</x:v>
      </x:c>
      <x:c r="AI468" s="12" t="str">
        <x:f>IF(AC468="PUBLIC_CANDIDATE","archive/public_candidates/"&amp;A468,"private_quarantine/"&amp;A468)</x:f>
        <x:v>archive/public_candidates/SWARM-04-H03-S11</x:v>
      </x:c>
      <x:c r="AJ468" s="12" t="str">
        <x:f>IF(AC468="PUBLIC_CANDIDATE","public by default; still not canon","private/hold; do not publish")</x:f>
        <x:v>public by default; still not canon</x:v>
      </x:c>
      <x:c r="AK468" s="12" t="str">
        <x:f>IF(AE468="prepare_public_github_candidate","add receipt/status then mirror","resolve blocker before any public GitHub action")</x:f>
        <x:v>add receipt/status then mirror</x:v>
      </x:c>
    </x:row>
    <x:row r="469">
      <x:c r="A469" s="15" t="str">
        <x:v>SWARM-04-H03-S12</x:v>
      </x:c>
      <x:c r="B469" s="15" t="str">
        <x:v>Tidelock</x:v>
      </x:c>
      <x:c r="C469" s="15" t="str">
        <x:v>Access blocker keeper</x:v>
      </x:c>
      <x:c r="D469" s="15" t="str">
        <x:v>Raw Export Recovery</x:v>
      </x:c>
      <x:c r="E469" s="15" t="str">
        <x:v>Risk / Safety</x:v>
      </x:c>
      <x:c r="F469" s="15" t="str">
        <x:v>Recover raw exports for Risk / Safety — Tidelock</x:v>
      </x:c>
      <x:c r="G469" s="15" t="str">
        <x:v>missing access / blocker ledger / next safe action</x:v>
      </x:c>
      <x:c r="H469" s="15" t="str">
        <x:v>source path + receipt + raw/export status + claim/edge/risk delta</x:v>
      </x:c>
      <x:c r="I469" s="15" t="str">
        <x:v>packet/SWARM-04-H03-S12</x:v>
      </x:c>
      <x:c r="J469" s="15" t="str">
        <x:v>TODO</x:v>
      </x:c>
      <x:c r="K469" s="15" t="str">
        <x:v>P2</x:v>
      </x:c>
      <x:c r="L469" s="15" t="str">
        <x:v>Done only when evidence is logged, contradiction search is noted, and boundary stamp remains non-canon unless ratified</x:v>
      </x:c>
      <x:c r="M469" s="15" t="str">
        <x:v>candidate / staging-only / not canon / not deployed / authority none</x:v>
      </x:c>
      <x:c r="N469" s="15" t="str">
        <x:v>Dispatch to Tidelock: complete Raw Export Recovery x Risk / Safety; return deltas only, receipts required.</x:v>
      </x:c>
      <x:c r="O469" s="15" t="str">
        <x:v>AF-KG-H03-S12</x:v>
      </x:c>
      <x:c r="P469" s="15" t="str">
        <x:v>Unverified</x:v>
      </x:c>
      <x:c r="Q469" s="15" t="str">
        <x:v>Not checked</x:v>
      </x:c>
      <x:c r="R469" s="15" t="str"/>
      <x:c r="S469" s="15" t="str"/>
      <x:c r="T469" s="15" t="str">
        <x:v>Log first source path or blocker</x:v>
      </x:c>
      <x:c r="U469" s="12" t="str">
        <x:f>IF(OR(P469="Unverified",Q469="Not checked"),"BLOCKED_PENDING_RECEIPT","READY_FOR_REVIEW")</x:f>
        <x:v>BLOCKED_PENDING_RECEIPT</x:v>
      </x:c>
      <x:c r="V469" s="12" t="str">
        <x:f>IF(J469="DONE","RETURNED",IF(U469="BLOCKED_PENDING_RECEIPT","SOURCE_TOUCH_REQUIRED","IN_PROGRESS"))</x:f>
        <x:v>SOURCE_TOUCH_REQUIRED</x:v>
      </x:c>
      <x:c r="W469" s="12" t="str">
        <x:f>IF(P469="Unverified","missing_receipt","receipt_logged")</x:f>
        <x:v>missing_receipt</x:v>
      </x:c>
      <x:c r="X469" s="12" t="str">
        <x:f>IF(Q469="Not checked","raw_status_missing","raw_status_logged")</x:f>
        <x:v>raw_status_missing</x:v>
      </x:c>
      <x:c r="Y469" s="12" t="str">
        <x:f>IF(U469="BLOCKED_PENDING_RECEIPT","Log source path or blocker; do not promote","Route to review lane")</x:f>
        <x:v>Log source path or blocker; do not promote</x:v>
      </x:c>
      <x:c r="Z469" s="12" t="str">
        <x:f>IF(K469="P0","Primary seat + Hashlight/Lucerna","Seat lane")</x:f>
        <x:v>Seat lane</x:v>
      </x:c>
      <x:c r="AA469" s="12" t="str">
        <x:f>IF(R469="","no_claim_delta","claim_delta_present")</x:f>
        <x:v>no_claim_delta</x:v>
      </x:c>
      <x:c r="AB469" s="12" t="str">
        <x:f>IF(S469="","no_contradiction_delta","contradiction_delta_present")</x:f>
        <x:v>no_contradiction_delta</x:v>
      </x:c>
      <x:c r="AC469" s="12" t="str">
        <x:f>IF(OR(ISNUMBER(SEARCH("hacker",LOWER(F469&amp;" "&amp;H469&amp;" "&amp;I469&amp;" "&amp;M469&amp;" "&amp;N469&amp;" "&amp;T469))),ISNUMBER(SEARCH("hacking",LOWER(F469&amp;" "&amp;H469&amp;" "&amp;I469&amp;" "&amp;M469&amp;" "&amp;N469&amp;" "&amp;T469))),ISNUMBER(SEARCH("bank",LOWER(F469&amp;" "&amp;H469&amp;" "&amp;I469&amp;" "&amp;M469&amp;" "&amp;N469&amp;" "&amp;T469))),ISNUMBER(SEARCH("banking",LOWER(F469&amp;" "&amp;H469&amp;" "&amp;I469&amp;" "&amp;M469&amp;" "&amp;N469&amp;" "&amp;T469)))),"PRIVATE_QUARANTINE",IF(OR(ISNUMBER(SEARCH("treasury",LOWER(F469&amp;" "&amp;H469&amp;" "&amp;I469&amp;" "&amp;M469&amp;" "&amp;N469&amp;" "&amp;T469))),ISNUMBER(SEARCH("debt",LOWER(F469&amp;" "&amp;H469&amp;" "&amp;I469&amp;" "&amp;M469&amp;" "&amp;N469&amp;" "&amp;T469))),ISNUMBER(SEARCH("bond",LOWER(F469&amp;" "&amp;H469&amp;" "&amp;I469&amp;" "&amp;M469&amp;" "&amp;N469&amp;" "&amp;T469))),ISNUMBER(SEARCH("transaction",LOWER(F469&amp;" "&amp;H469&amp;" "&amp;I469&amp;" "&amp;M469&amp;" "&amp;N469&amp;" "&amp;T469)))),"PRIVATE_REVIEW","PUBLIC_CANDIDATE"))</x:f>
        <x:v>PUBLIC_CANDIDATE</x:v>
      </x:c>
      <x:c r="AD469" s="12" t="str">
        <x:f>IF(AC469="PRIVATE_QUARANTINE","hacker_or_bank_trigger",IF(AC469="PRIVATE_REVIEW","finance_risk_trigger","none"))</x:f>
        <x:v>none</x:v>
      </x:c>
      <x:c r="AE469" s="12" t="str">
        <x:f>IF(AC469="PUBLIC_CANDIDATE","prepare_public_github_candidate",IF(AC469="PRIVATE_REVIEW","hold_for_private_review","quarantine_private_do_not_publish"))</x:f>
        <x:v>prepare_public_github_candidate</x:v>
      </x:c>
      <x:c r="AF469" s="12" t="str">
        <x:f>IF(AC469="PUBLIC_CANDIDATE","TIDELOCK + Lucerna",IF(AC469="PRIVATE_REVIEW","AtlasBrain + Lucerna","TIDELOCK + Lucerna + Human-root"))</x:f>
        <x:v>TIDELOCK + Lucerna</x:v>
      </x:c>
      <x:c r="AG469" s="12" t="str">
        <x:f>IF(AND(AC469="PUBLIC_CANDIDATE",U469&lt;&gt;"BLOCKED_PENDING_RECEIPT"),"READY_AFTER_RECEIPT","NOT_READY")</x:f>
        <x:v>NOT_READY</x:v>
      </x:c>
      <x:c r="AH469" s="12" t="str">
        <x:f>IF(AC469="PUBLIC_CANDIDATE","none",AD469)</x:f>
        <x:v>none</x:v>
      </x:c>
      <x:c r="AI469" s="12" t="str">
        <x:f>IF(AC469="PUBLIC_CANDIDATE","archive/public_candidates/"&amp;A469,"private_quarantine/"&amp;A469)</x:f>
        <x:v>archive/public_candidates/SWARM-04-H03-S12</x:v>
      </x:c>
      <x:c r="AJ469" s="12" t="str">
        <x:f>IF(AC469="PUBLIC_CANDIDATE","public by default; still not canon","private/hold; do not publish")</x:f>
        <x:v>public by default; still not canon</x:v>
      </x:c>
      <x:c r="AK469" s="12" t="str">
        <x:f>IF(AE469="prepare_public_github_candidate","add receipt/status then mirror","resolve blocker before any public GitHub action")</x:f>
        <x:v>add receipt/status then mirror</x:v>
      </x:c>
    </x:row>
    <x:row r="470">
      <x:c r="A470" s="15" t="str">
        <x:v>SWARM-04-H04-S01</x:v>
      </x:c>
      <x:c r="B470" s="15" t="str">
        <x:v>Tidelock</x:v>
      </x:c>
      <x:c r="C470" s="15" t="str">
        <x:v>Access blocker keeper</x:v>
      </x:c>
      <x:c r="D470" s="15" t="str">
        <x:v>Claim Extraction</x:v>
      </x:c>
      <x:c r="E470" s="15" t="str">
        <x:v>Notion</x:v>
      </x:c>
      <x:c r="F470" s="15" t="str">
        <x:v>Extract claims from Notion — Tidelock</x:v>
      </x:c>
      <x:c r="G470" s="15" t="str">
        <x:v>missing access / blocker ledger / next safe action</x:v>
      </x:c>
      <x:c r="H470" s="15" t="str">
        <x:v>source path + receipt + raw/export status + claim/edge/risk delta</x:v>
      </x:c>
      <x:c r="I470" s="15" t="str">
        <x:v>packet/SWARM-04-H04-S01</x:v>
      </x:c>
      <x:c r="J470" s="15" t="str">
        <x:v>TODO</x:v>
      </x:c>
      <x:c r="K470" s="15" t="str">
        <x:v>P0</x:v>
      </x:c>
      <x:c r="L470" s="15" t="str">
        <x:v>Done only when evidence is logged, contradiction search is noted, and boundary stamp remains non-canon unless ratified</x:v>
      </x:c>
      <x:c r="M470" s="15" t="str">
        <x:v>candidate / staging-only / not canon / not deployed / authority none</x:v>
      </x:c>
      <x:c r="N470" s="15" t="str">
        <x:v>Dispatch to Tidelock: complete Claim Extraction x Notion; return deltas only, receipts required.</x:v>
      </x:c>
      <x:c r="O470" s="15" t="str">
        <x:v>AF-KG-H04-S01</x:v>
      </x:c>
      <x:c r="P470" s="15" t="str">
        <x:v>Unverified</x:v>
      </x:c>
      <x:c r="Q470" s="15" t="str">
        <x:v>Not checked</x:v>
      </x:c>
      <x:c r="R470" s="15" t="str"/>
      <x:c r="S470" s="15" t="str"/>
      <x:c r="T470" s="15" t="str">
        <x:v>Log first source path or blocker</x:v>
      </x:c>
      <x:c r="U470" s="12" t="str">
        <x:f>IF(OR(P470="Unverified",Q470="Not checked"),"BLOCKED_PENDING_RECEIPT","READY_FOR_REVIEW")</x:f>
        <x:v>BLOCKED_PENDING_RECEIPT</x:v>
      </x:c>
      <x:c r="V470" s="12" t="str">
        <x:f>IF(J470="DONE","RETURNED",IF(U470="BLOCKED_PENDING_RECEIPT","SOURCE_TOUCH_REQUIRED","IN_PROGRESS"))</x:f>
        <x:v>SOURCE_TOUCH_REQUIRED</x:v>
      </x:c>
      <x:c r="W470" s="12" t="str">
        <x:f>IF(P470="Unverified","missing_receipt","receipt_logged")</x:f>
        <x:v>missing_receipt</x:v>
      </x:c>
      <x:c r="X470" s="12" t="str">
        <x:f>IF(Q470="Not checked","raw_status_missing","raw_status_logged")</x:f>
        <x:v>raw_status_missing</x:v>
      </x:c>
      <x:c r="Y470" s="12" t="str">
        <x:f>IF(U470="BLOCKED_PENDING_RECEIPT","Log source path or blocker; do not promote","Route to review lane")</x:f>
        <x:v>Log source path or blocker; do not promote</x:v>
      </x:c>
      <x:c r="Z470" s="12" t="str">
        <x:f>IF(K470="P0","Primary seat + Hashlight/Lucerna","Seat lane")</x:f>
        <x:v>Primary seat + Hashlight/Lucerna</x:v>
      </x:c>
      <x:c r="AA470" s="12" t="str">
        <x:f>IF(R470="","no_claim_delta","claim_delta_present")</x:f>
        <x:v>no_claim_delta</x:v>
      </x:c>
      <x:c r="AB470" s="12" t="str">
        <x:f>IF(S470="","no_contradiction_delta","contradiction_delta_present")</x:f>
        <x:v>no_contradiction_delta</x:v>
      </x:c>
      <x:c r="AC470" s="12" t="str">
        <x:f>IF(OR(ISNUMBER(SEARCH("hacker",LOWER(F470&amp;" "&amp;H470&amp;" "&amp;I470&amp;" "&amp;M470&amp;" "&amp;N470&amp;" "&amp;T470))),ISNUMBER(SEARCH("hacking",LOWER(F470&amp;" "&amp;H470&amp;" "&amp;I470&amp;" "&amp;M470&amp;" "&amp;N470&amp;" "&amp;T470))),ISNUMBER(SEARCH("bank",LOWER(F470&amp;" "&amp;H470&amp;" "&amp;I470&amp;" "&amp;M470&amp;" "&amp;N470&amp;" "&amp;T470))),ISNUMBER(SEARCH("banking",LOWER(F470&amp;" "&amp;H470&amp;" "&amp;I470&amp;" "&amp;M470&amp;" "&amp;N470&amp;" "&amp;T470)))),"PRIVATE_QUARANTINE",IF(OR(ISNUMBER(SEARCH("treasury",LOWER(F470&amp;" "&amp;H470&amp;" "&amp;I470&amp;" "&amp;M470&amp;" "&amp;N470&amp;" "&amp;T470))),ISNUMBER(SEARCH("debt",LOWER(F470&amp;" "&amp;H470&amp;" "&amp;I470&amp;" "&amp;M470&amp;" "&amp;N470&amp;" "&amp;T470))),ISNUMBER(SEARCH("bond",LOWER(F470&amp;" "&amp;H470&amp;" "&amp;I470&amp;" "&amp;M470&amp;" "&amp;N470&amp;" "&amp;T470))),ISNUMBER(SEARCH("transaction",LOWER(F470&amp;" "&amp;H470&amp;" "&amp;I470&amp;" "&amp;M470&amp;" "&amp;N470&amp;" "&amp;T470)))),"PRIVATE_REVIEW","PUBLIC_CANDIDATE"))</x:f>
        <x:v>PUBLIC_CANDIDATE</x:v>
      </x:c>
      <x:c r="AD470" s="12" t="str">
        <x:f>IF(AC470="PRIVATE_QUARANTINE","hacker_or_bank_trigger",IF(AC470="PRIVATE_REVIEW","finance_risk_trigger","none"))</x:f>
        <x:v>none</x:v>
      </x:c>
      <x:c r="AE470" s="12" t="str">
        <x:f>IF(AC470="PUBLIC_CANDIDATE","prepare_public_github_candidate",IF(AC470="PRIVATE_REVIEW","hold_for_private_review","quarantine_private_do_not_publish"))</x:f>
        <x:v>prepare_public_github_candidate</x:v>
      </x:c>
      <x:c r="AF470" s="12" t="str">
        <x:f>IF(AC470="PUBLIC_CANDIDATE","TIDELOCK + Lucerna",IF(AC470="PRIVATE_REVIEW","AtlasBrain + Lucerna","TIDELOCK + Lucerna + Human-root"))</x:f>
        <x:v>TIDELOCK + Lucerna</x:v>
      </x:c>
      <x:c r="AG470" s="12" t="str">
        <x:f>IF(AND(AC470="PUBLIC_CANDIDATE",U470&lt;&gt;"BLOCKED_PENDING_RECEIPT"),"READY_AFTER_RECEIPT","NOT_READY")</x:f>
        <x:v>NOT_READY</x:v>
      </x:c>
      <x:c r="AH470" s="12" t="str">
        <x:f>IF(AC470="PUBLIC_CANDIDATE","none",AD470)</x:f>
        <x:v>none</x:v>
      </x:c>
      <x:c r="AI470" s="12" t="str">
        <x:f>IF(AC470="PUBLIC_CANDIDATE","archive/public_candidates/"&amp;A470,"private_quarantine/"&amp;A470)</x:f>
        <x:v>archive/public_candidates/SWARM-04-H04-S01</x:v>
      </x:c>
      <x:c r="AJ470" s="12" t="str">
        <x:f>IF(AC470="PUBLIC_CANDIDATE","public by default; still not canon","private/hold; do not publish")</x:f>
        <x:v>public by default; still not canon</x:v>
      </x:c>
      <x:c r="AK470" s="12" t="str">
        <x:f>IF(AE470="prepare_public_github_candidate","add receipt/status then mirror","resolve blocker before any public GitHub action")</x:f>
        <x:v>add receipt/status then mirror</x:v>
      </x:c>
    </x:row>
    <x:row r="471">
      <x:c r="A471" s="15" t="str">
        <x:v>SWARM-04-H04-S02</x:v>
      </x:c>
      <x:c r="B471" s="15" t="str">
        <x:v>Tidelock</x:v>
      </x:c>
      <x:c r="C471" s="15" t="str">
        <x:v>Access blocker keeper</x:v>
      </x:c>
      <x:c r="D471" s="15" t="str">
        <x:v>Claim Extraction</x:v>
      </x:c>
      <x:c r="E471" s="15" t="str">
        <x:v>Drive</x:v>
      </x:c>
      <x:c r="F471" s="15" t="str">
        <x:v>Extract claims from Drive — Tidelock</x:v>
      </x:c>
      <x:c r="G471" s="15" t="str">
        <x:v>missing access / blocker ledger / next safe action</x:v>
      </x:c>
      <x:c r="H471" s="15" t="str">
        <x:v>source path + receipt + raw/export status + claim/edge/risk delta</x:v>
      </x:c>
      <x:c r="I471" s="15" t="str">
        <x:v>packet/SWARM-04-H04-S02</x:v>
      </x:c>
      <x:c r="J471" s="15" t="str">
        <x:v>TODO</x:v>
      </x:c>
      <x:c r="K471" s="15" t="str">
        <x:v>P0</x:v>
      </x:c>
      <x:c r="L471" s="15" t="str">
        <x:v>Done only when evidence is logged, contradiction search is noted, and boundary stamp remains non-canon unless ratified</x:v>
      </x:c>
      <x:c r="M471" s="15" t="str">
        <x:v>candidate / staging-only / not canon / not deployed / authority none</x:v>
      </x:c>
      <x:c r="N471" s="15" t="str">
        <x:v>Dispatch to Tidelock: complete Claim Extraction x Drive; return deltas only, receipts required.</x:v>
      </x:c>
      <x:c r="O471" s="15" t="str">
        <x:v>AF-KG-H04-S02</x:v>
      </x:c>
      <x:c r="P471" s="15" t="str">
        <x:v>Unverified</x:v>
      </x:c>
      <x:c r="Q471" s="15" t="str">
        <x:v>Not checked</x:v>
      </x:c>
      <x:c r="R471" s="15" t="str"/>
      <x:c r="S471" s="15" t="str"/>
      <x:c r="T471" s="15" t="str">
        <x:v>Log first source path or blocker</x:v>
      </x:c>
      <x:c r="U471" s="12" t="str">
        <x:f>IF(OR(P471="Unverified",Q471="Not checked"),"BLOCKED_PENDING_RECEIPT","READY_FOR_REVIEW")</x:f>
        <x:v>BLOCKED_PENDING_RECEIPT</x:v>
      </x:c>
      <x:c r="V471" s="12" t="str">
        <x:f>IF(J471="DONE","RETURNED",IF(U471="BLOCKED_PENDING_RECEIPT","SOURCE_TOUCH_REQUIRED","IN_PROGRESS"))</x:f>
        <x:v>SOURCE_TOUCH_REQUIRED</x:v>
      </x:c>
      <x:c r="W471" s="12" t="str">
        <x:f>IF(P471="Unverified","missing_receipt","receipt_logged")</x:f>
        <x:v>missing_receipt</x:v>
      </x:c>
      <x:c r="X471" s="12" t="str">
        <x:f>IF(Q471="Not checked","raw_status_missing","raw_status_logged")</x:f>
        <x:v>raw_status_missing</x:v>
      </x:c>
      <x:c r="Y471" s="12" t="str">
        <x:f>IF(U471="BLOCKED_PENDING_RECEIPT","Log source path or blocker; do not promote","Route to review lane")</x:f>
        <x:v>Log source path or blocker; do not promote</x:v>
      </x:c>
      <x:c r="Z471" s="12" t="str">
        <x:f>IF(K471="P0","Primary seat + Hashlight/Lucerna","Seat lane")</x:f>
        <x:v>Primary seat + Hashlight/Lucerna</x:v>
      </x:c>
      <x:c r="AA471" s="12" t="str">
        <x:f>IF(R471="","no_claim_delta","claim_delta_present")</x:f>
        <x:v>no_claim_delta</x:v>
      </x:c>
      <x:c r="AB471" s="12" t="str">
        <x:f>IF(S471="","no_contradiction_delta","contradiction_delta_present")</x:f>
        <x:v>no_contradiction_delta</x:v>
      </x:c>
      <x:c r="AC471" s="12" t="str">
        <x:f>IF(OR(ISNUMBER(SEARCH("hacker",LOWER(F471&amp;" "&amp;H471&amp;" "&amp;I471&amp;" "&amp;M471&amp;" "&amp;N471&amp;" "&amp;T471))),ISNUMBER(SEARCH("hacking",LOWER(F471&amp;" "&amp;H471&amp;" "&amp;I471&amp;" "&amp;M471&amp;" "&amp;N471&amp;" "&amp;T471))),ISNUMBER(SEARCH("bank",LOWER(F471&amp;" "&amp;H471&amp;" "&amp;I471&amp;" "&amp;M471&amp;" "&amp;N471&amp;" "&amp;T471))),ISNUMBER(SEARCH("banking",LOWER(F471&amp;" "&amp;H471&amp;" "&amp;I471&amp;" "&amp;M471&amp;" "&amp;N471&amp;" "&amp;T471)))),"PRIVATE_QUARANTINE",IF(OR(ISNUMBER(SEARCH("treasury",LOWER(F471&amp;" "&amp;H471&amp;" "&amp;I471&amp;" "&amp;M471&amp;" "&amp;N471&amp;" "&amp;T471))),ISNUMBER(SEARCH("debt",LOWER(F471&amp;" "&amp;H471&amp;" "&amp;I471&amp;" "&amp;M471&amp;" "&amp;N471&amp;" "&amp;T471))),ISNUMBER(SEARCH("bond",LOWER(F471&amp;" "&amp;H471&amp;" "&amp;I471&amp;" "&amp;M471&amp;" "&amp;N471&amp;" "&amp;T471))),ISNUMBER(SEARCH("transaction",LOWER(F471&amp;" "&amp;H471&amp;" "&amp;I471&amp;" "&amp;M471&amp;" "&amp;N471&amp;" "&amp;T471)))),"PRIVATE_REVIEW","PUBLIC_CANDIDATE"))</x:f>
        <x:v>PUBLIC_CANDIDATE</x:v>
      </x:c>
      <x:c r="AD471" s="12" t="str">
        <x:f>IF(AC471="PRIVATE_QUARANTINE","hacker_or_bank_trigger",IF(AC471="PRIVATE_REVIEW","finance_risk_trigger","none"))</x:f>
        <x:v>none</x:v>
      </x:c>
      <x:c r="AE471" s="12" t="str">
        <x:f>IF(AC471="PUBLIC_CANDIDATE","prepare_public_github_candidate",IF(AC471="PRIVATE_REVIEW","hold_for_private_review","quarantine_private_do_not_publish"))</x:f>
        <x:v>prepare_public_github_candidate</x:v>
      </x:c>
      <x:c r="AF471" s="12" t="str">
        <x:f>IF(AC471="PUBLIC_CANDIDATE","TIDELOCK + Lucerna",IF(AC471="PRIVATE_REVIEW","AtlasBrain + Lucerna","TIDELOCK + Lucerna + Human-root"))</x:f>
        <x:v>TIDELOCK + Lucerna</x:v>
      </x:c>
      <x:c r="AG471" s="12" t="str">
        <x:f>IF(AND(AC471="PUBLIC_CANDIDATE",U471&lt;&gt;"BLOCKED_PENDING_RECEIPT"),"READY_AFTER_RECEIPT","NOT_READY")</x:f>
        <x:v>NOT_READY</x:v>
      </x:c>
      <x:c r="AH471" s="12" t="str">
        <x:f>IF(AC471="PUBLIC_CANDIDATE","none",AD471)</x:f>
        <x:v>none</x:v>
      </x:c>
      <x:c r="AI471" s="12" t="str">
        <x:f>IF(AC471="PUBLIC_CANDIDATE","archive/public_candidates/"&amp;A471,"private_quarantine/"&amp;A471)</x:f>
        <x:v>archive/public_candidates/SWARM-04-H04-S02</x:v>
      </x:c>
      <x:c r="AJ471" s="12" t="str">
        <x:f>IF(AC471="PUBLIC_CANDIDATE","public by default; still not canon","private/hold; do not publish")</x:f>
        <x:v>public by default; still not canon</x:v>
      </x:c>
      <x:c r="AK471" s="12" t="str">
        <x:f>IF(AE471="prepare_public_github_candidate","add receipt/status then mirror","resolve blocker before any public GitHub action")</x:f>
        <x:v>add receipt/status then mirror</x:v>
      </x:c>
    </x:row>
    <x:row r="472">
      <x:c r="A472" s="15" t="str">
        <x:v>SWARM-04-H04-S03</x:v>
      </x:c>
      <x:c r="B472" s="15" t="str">
        <x:v>Tidelock</x:v>
      </x:c>
      <x:c r="C472" s="15" t="str">
        <x:v>Access blocker keeper</x:v>
      </x:c>
      <x:c r="D472" s="15" t="str">
        <x:v>Claim Extraction</x:v>
      </x:c>
      <x:c r="E472" s="15" t="str">
        <x:v>GitHub</x:v>
      </x:c>
      <x:c r="F472" s="15" t="str">
        <x:v>Extract claims from GitHub — Tidelock</x:v>
      </x:c>
      <x:c r="G472" s="15" t="str">
        <x:v>missing access / blocker ledger / next safe action</x:v>
      </x:c>
      <x:c r="H472" s="15" t="str">
        <x:v>source path + receipt + raw/export status + claim/edge/risk delta</x:v>
      </x:c>
      <x:c r="I472" s="15" t="str">
        <x:v>packet/SWARM-04-H04-S03</x:v>
      </x:c>
      <x:c r="J472" s="15" t="str">
        <x:v>TODO</x:v>
      </x:c>
      <x:c r="K472" s="15" t="str">
        <x:v>P0</x:v>
      </x:c>
      <x:c r="L472" s="15" t="str">
        <x:v>Done only when evidence is logged, contradiction search is noted, and boundary stamp remains non-canon unless ratified</x:v>
      </x:c>
      <x:c r="M472" s="15" t="str">
        <x:v>candidate / staging-only / not canon / not deployed / authority none</x:v>
      </x:c>
      <x:c r="N472" s="15" t="str">
        <x:v>Dispatch to Tidelock: complete Claim Extraction x GitHub; return deltas only, receipts required.</x:v>
      </x:c>
      <x:c r="O472" s="15" t="str">
        <x:v>AF-KG-H04-S03</x:v>
      </x:c>
      <x:c r="P472" s="15" t="str">
        <x:v>Unverified</x:v>
      </x:c>
      <x:c r="Q472" s="15" t="str">
        <x:v>Not checked</x:v>
      </x:c>
      <x:c r="R472" s="15" t="str"/>
      <x:c r="S472" s="15" t="str"/>
      <x:c r="T472" s="15" t="str">
        <x:v>Log first source path or blocker</x:v>
      </x:c>
      <x:c r="U472" s="12" t="str">
        <x:f>IF(OR(P472="Unverified",Q472="Not checked"),"BLOCKED_PENDING_RECEIPT","READY_FOR_REVIEW")</x:f>
        <x:v>BLOCKED_PENDING_RECEIPT</x:v>
      </x:c>
      <x:c r="V472" s="12" t="str">
        <x:f>IF(J472="DONE","RETURNED",IF(U472="BLOCKED_PENDING_RECEIPT","SOURCE_TOUCH_REQUIRED","IN_PROGRESS"))</x:f>
        <x:v>SOURCE_TOUCH_REQUIRED</x:v>
      </x:c>
      <x:c r="W472" s="12" t="str">
        <x:f>IF(P472="Unverified","missing_receipt","receipt_logged")</x:f>
        <x:v>missing_receipt</x:v>
      </x:c>
      <x:c r="X472" s="12" t="str">
        <x:f>IF(Q472="Not checked","raw_status_missing","raw_status_logged")</x:f>
        <x:v>raw_status_missing</x:v>
      </x:c>
      <x:c r="Y472" s="12" t="str">
        <x:f>IF(U472="BLOCKED_PENDING_RECEIPT","Log source path or blocker; do not promote","Route to review lane")</x:f>
        <x:v>Log source path or blocker; do not promote</x:v>
      </x:c>
      <x:c r="Z472" s="12" t="str">
        <x:f>IF(K472="P0","Primary seat + Hashlight/Lucerna","Seat lane")</x:f>
        <x:v>Primary seat + Hashlight/Lucerna</x:v>
      </x:c>
      <x:c r="AA472" s="12" t="str">
        <x:f>IF(R472="","no_claim_delta","claim_delta_present")</x:f>
        <x:v>no_claim_delta</x:v>
      </x:c>
      <x:c r="AB472" s="12" t="str">
        <x:f>IF(S472="","no_contradiction_delta","contradiction_delta_present")</x:f>
        <x:v>no_contradiction_delta</x:v>
      </x:c>
      <x:c r="AC472" s="12" t="str">
        <x:f>IF(OR(ISNUMBER(SEARCH("hacker",LOWER(F472&amp;" "&amp;H472&amp;" "&amp;I472&amp;" "&amp;M472&amp;" "&amp;N472&amp;" "&amp;T472))),ISNUMBER(SEARCH("hacking",LOWER(F472&amp;" "&amp;H472&amp;" "&amp;I472&amp;" "&amp;M472&amp;" "&amp;N472&amp;" "&amp;T472))),ISNUMBER(SEARCH("bank",LOWER(F472&amp;" "&amp;H472&amp;" "&amp;I472&amp;" "&amp;M472&amp;" "&amp;N472&amp;" "&amp;T472))),ISNUMBER(SEARCH("banking",LOWER(F472&amp;" "&amp;H472&amp;" "&amp;I472&amp;" "&amp;M472&amp;" "&amp;N472&amp;" "&amp;T472)))),"PRIVATE_QUARANTINE",IF(OR(ISNUMBER(SEARCH("treasury",LOWER(F472&amp;" "&amp;H472&amp;" "&amp;I472&amp;" "&amp;M472&amp;" "&amp;N472&amp;" "&amp;T472))),ISNUMBER(SEARCH("debt",LOWER(F472&amp;" "&amp;H472&amp;" "&amp;I472&amp;" "&amp;M472&amp;" "&amp;N472&amp;" "&amp;T472))),ISNUMBER(SEARCH("bond",LOWER(F472&amp;" "&amp;H472&amp;" "&amp;I472&amp;" "&amp;M472&amp;" "&amp;N472&amp;" "&amp;T472))),ISNUMBER(SEARCH("transaction",LOWER(F472&amp;" "&amp;H472&amp;" "&amp;I472&amp;" "&amp;M472&amp;" "&amp;N472&amp;" "&amp;T472)))),"PRIVATE_REVIEW","PUBLIC_CANDIDATE"))</x:f>
        <x:v>PUBLIC_CANDIDATE</x:v>
      </x:c>
      <x:c r="AD472" s="12" t="str">
        <x:f>IF(AC472="PRIVATE_QUARANTINE","hacker_or_bank_trigger",IF(AC472="PRIVATE_REVIEW","finance_risk_trigger","none"))</x:f>
        <x:v>none</x:v>
      </x:c>
      <x:c r="AE472" s="12" t="str">
        <x:f>IF(AC472="PUBLIC_CANDIDATE","prepare_public_github_candidate",IF(AC472="PRIVATE_REVIEW","hold_for_private_review","quarantine_private_do_not_publish"))</x:f>
        <x:v>prepare_public_github_candidate</x:v>
      </x:c>
      <x:c r="AF472" s="12" t="str">
        <x:f>IF(AC472="PUBLIC_CANDIDATE","TIDELOCK + Lucerna",IF(AC472="PRIVATE_REVIEW","AtlasBrain + Lucerna","TIDELOCK + Lucerna + Human-root"))</x:f>
        <x:v>TIDELOCK + Lucerna</x:v>
      </x:c>
      <x:c r="AG472" s="12" t="str">
        <x:f>IF(AND(AC472="PUBLIC_CANDIDATE",U472&lt;&gt;"BLOCKED_PENDING_RECEIPT"),"READY_AFTER_RECEIPT","NOT_READY")</x:f>
        <x:v>NOT_READY</x:v>
      </x:c>
      <x:c r="AH472" s="12" t="str">
        <x:f>IF(AC472="PUBLIC_CANDIDATE","none",AD472)</x:f>
        <x:v>none</x:v>
      </x:c>
      <x:c r="AI472" s="12" t="str">
        <x:f>IF(AC472="PUBLIC_CANDIDATE","archive/public_candidates/"&amp;A472,"private_quarantine/"&amp;A472)</x:f>
        <x:v>archive/public_candidates/SWARM-04-H04-S03</x:v>
      </x:c>
      <x:c r="AJ472" s="12" t="str">
        <x:f>IF(AC472="PUBLIC_CANDIDATE","public by default; still not canon","private/hold; do not publish")</x:f>
        <x:v>public by default; still not canon</x:v>
      </x:c>
      <x:c r="AK472" s="12" t="str">
        <x:f>IF(AE472="prepare_public_github_candidate","add receipt/status then mirror","resolve blocker before any public GitHub action")</x:f>
        <x:v>add receipt/status then mirror</x:v>
      </x:c>
    </x:row>
    <x:row r="473">
      <x:c r="A473" s="15" t="str">
        <x:v>SWARM-04-H04-S04</x:v>
      </x:c>
      <x:c r="B473" s="15" t="str">
        <x:v>Tidelock</x:v>
      </x:c>
      <x:c r="C473" s="15" t="str">
        <x:v>Access blocker keeper</x:v>
      </x:c>
      <x:c r="D473" s="15" t="str">
        <x:v>Claim Extraction</x:v>
      </x:c>
      <x:c r="E473" s="15" t="str">
        <x:v>Gamma</x:v>
      </x:c>
      <x:c r="F473" s="15" t="str">
        <x:v>Extract claims from Gamma — Tidelock</x:v>
      </x:c>
      <x:c r="G473" s="15" t="str">
        <x:v>missing access / blocker ledger / next safe action</x:v>
      </x:c>
      <x:c r="H473" s="15" t="str">
        <x:v>source path + receipt + raw/export status + claim/edge/risk delta</x:v>
      </x:c>
      <x:c r="I473" s="15" t="str">
        <x:v>packet/SWARM-04-H04-S04</x:v>
      </x:c>
      <x:c r="J473" s="15" t="str">
        <x:v>TODO</x:v>
      </x:c>
      <x:c r="K473" s="15" t="str">
        <x:v>P1</x:v>
      </x:c>
      <x:c r="L473" s="15" t="str">
        <x:v>Done only when evidence is logged, contradiction search is noted, and boundary stamp remains non-canon unless ratified</x:v>
      </x:c>
      <x:c r="M473" s="15" t="str">
        <x:v>candidate / staging-only / not canon / not deployed / authority none</x:v>
      </x:c>
      <x:c r="N473" s="15" t="str">
        <x:v>Dispatch to Tidelock: complete Claim Extraction x Gamma; return deltas only, receipts required.</x:v>
      </x:c>
      <x:c r="O473" s="15" t="str">
        <x:v>AF-KG-H04-S04</x:v>
      </x:c>
      <x:c r="P473" s="15" t="str">
        <x:v>Unverified</x:v>
      </x:c>
      <x:c r="Q473" s="15" t="str">
        <x:v>Not checked</x:v>
      </x:c>
      <x:c r="R473" s="15" t="str"/>
      <x:c r="S473" s="15" t="str"/>
      <x:c r="T473" s="15" t="str">
        <x:v>Log first source path or blocker</x:v>
      </x:c>
      <x:c r="U473" s="12" t="str">
        <x:f>IF(OR(P473="Unverified",Q473="Not checked"),"BLOCKED_PENDING_RECEIPT","READY_FOR_REVIEW")</x:f>
        <x:v>BLOCKED_PENDING_RECEIPT</x:v>
      </x:c>
      <x:c r="V473" s="12" t="str">
        <x:f>IF(J473="DONE","RETURNED",IF(U473="BLOCKED_PENDING_RECEIPT","SOURCE_TOUCH_REQUIRED","IN_PROGRESS"))</x:f>
        <x:v>SOURCE_TOUCH_REQUIRED</x:v>
      </x:c>
      <x:c r="W473" s="12" t="str">
        <x:f>IF(P473="Unverified","missing_receipt","receipt_logged")</x:f>
        <x:v>missing_receipt</x:v>
      </x:c>
      <x:c r="X473" s="12" t="str">
        <x:f>IF(Q473="Not checked","raw_status_missing","raw_status_logged")</x:f>
        <x:v>raw_status_missing</x:v>
      </x:c>
      <x:c r="Y473" s="12" t="str">
        <x:f>IF(U473="BLOCKED_PENDING_RECEIPT","Log source path or blocker; do not promote","Route to review lane")</x:f>
        <x:v>Log source path or blocker; do not promote</x:v>
      </x:c>
      <x:c r="Z473" s="12" t="str">
        <x:f>IF(K473="P0","Primary seat + Hashlight/Lucerna","Seat lane")</x:f>
        <x:v>Seat lane</x:v>
      </x:c>
      <x:c r="AA473" s="12" t="str">
        <x:f>IF(R473="","no_claim_delta","claim_delta_present")</x:f>
        <x:v>no_claim_delta</x:v>
      </x:c>
      <x:c r="AB473" s="12" t="str">
        <x:f>IF(S473="","no_contradiction_delta","contradiction_delta_present")</x:f>
        <x:v>no_contradiction_delta</x:v>
      </x:c>
      <x:c r="AC473" s="12" t="str">
        <x:f>IF(OR(ISNUMBER(SEARCH("hacker",LOWER(F473&amp;" "&amp;H473&amp;" "&amp;I473&amp;" "&amp;M473&amp;" "&amp;N473&amp;" "&amp;T473))),ISNUMBER(SEARCH("hacking",LOWER(F473&amp;" "&amp;H473&amp;" "&amp;I473&amp;" "&amp;M473&amp;" "&amp;N473&amp;" "&amp;T473))),ISNUMBER(SEARCH("bank",LOWER(F473&amp;" "&amp;H473&amp;" "&amp;I473&amp;" "&amp;M473&amp;" "&amp;N473&amp;" "&amp;T473))),ISNUMBER(SEARCH("banking",LOWER(F473&amp;" "&amp;H473&amp;" "&amp;I473&amp;" "&amp;M473&amp;" "&amp;N473&amp;" "&amp;T473)))),"PRIVATE_QUARANTINE",IF(OR(ISNUMBER(SEARCH("treasury",LOWER(F473&amp;" "&amp;H473&amp;" "&amp;I473&amp;" "&amp;M473&amp;" "&amp;N473&amp;" "&amp;T473))),ISNUMBER(SEARCH("debt",LOWER(F473&amp;" "&amp;H473&amp;" "&amp;I473&amp;" "&amp;M473&amp;" "&amp;N473&amp;" "&amp;T473))),ISNUMBER(SEARCH("bond",LOWER(F473&amp;" "&amp;H473&amp;" "&amp;I473&amp;" "&amp;M473&amp;" "&amp;N473&amp;" "&amp;T473))),ISNUMBER(SEARCH("transaction",LOWER(F473&amp;" "&amp;H473&amp;" "&amp;I473&amp;" "&amp;M473&amp;" "&amp;N473&amp;" "&amp;T473)))),"PRIVATE_REVIEW","PUBLIC_CANDIDATE"))</x:f>
        <x:v>PUBLIC_CANDIDATE</x:v>
      </x:c>
      <x:c r="AD473" s="12" t="str">
        <x:f>IF(AC473="PRIVATE_QUARANTINE","hacker_or_bank_trigger",IF(AC473="PRIVATE_REVIEW","finance_risk_trigger","none"))</x:f>
        <x:v>none</x:v>
      </x:c>
      <x:c r="AE473" s="12" t="str">
        <x:f>IF(AC473="PUBLIC_CANDIDATE","prepare_public_github_candidate",IF(AC473="PRIVATE_REVIEW","hold_for_private_review","quarantine_private_do_not_publish"))</x:f>
        <x:v>prepare_public_github_candidate</x:v>
      </x:c>
      <x:c r="AF473" s="12" t="str">
        <x:f>IF(AC473="PUBLIC_CANDIDATE","TIDELOCK + Lucerna",IF(AC473="PRIVATE_REVIEW","AtlasBrain + Lucerna","TIDELOCK + Lucerna + Human-root"))</x:f>
        <x:v>TIDELOCK + Lucerna</x:v>
      </x:c>
      <x:c r="AG473" s="12" t="str">
        <x:f>IF(AND(AC473="PUBLIC_CANDIDATE",U473&lt;&gt;"BLOCKED_PENDING_RECEIPT"),"READY_AFTER_RECEIPT","NOT_READY")</x:f>
        <x:v>NOT_READY</x:v>
      </x:c>
      <x:c r="AH473" s="12" t="str">
        <x:f>IF(AC473="PUBLIC_CANDIDATE","none",AD473)</x:f>
        <x:v>none</x:v>
      </x:c>
      <x:c r="AI473" s="12" t="str">
        <x:f>IF(AC473="PUBLIC_CANDIDATE","archive/public_candidates/"&amp;A473,"private_quarantine/"&amp;A473)</x:f>
        <x:v>archive/public_candidates/SWARM-04-H04-S04</x:v>
      </x:c>
      <x:c r="AJ473" s="12" t="str">
        <x:f>IF(AC473="PUBLIC_CANDIDATE","public by default; still not canon","private/hold; do not publish")</x:f>
        <x:v>public by default; still not canon</x:v>
      </x:c>
      <x:c r="AK473" s="12" t="str">
        <x:f>IF(AE473="prepare_public_github_candidate","add receipt/status then mirror","resolve blocker before any public GitHub action")</x:f>
        <x:v>add receipt/status then mirror</x:v>
      </x:c>
    </x:row>
    <x:row r="474">
      <x:c r="A474" s="15" t="str">
        <x:v>SWARM-04-H04-S05</x:v>
      </x:c>
      <x:c r="B474" s="15" t="str">
        <x:v>Tidelock</x:v>
      </x:c>
      <x:c r="C474" s="15" t="str">
        <x:v>Access blocker keeper</x:v>
      </x:c>
      <x:c r="D474" s="15" t="str">
        <x:v>Claim Extraction</x:v>
      </x:c>
      <x:c r="E474" s="15" t="str">
        <x:v>Chat</x:v>
      </x:c>
      <x:c r="F474" s="15" t="str">
        <x:v>Extract claims from Chat — Tidelock</x:v>
      </x:c>
      <x:c r="G474" s="15" t="str">
        <x:v>missing access / blocker ledger / next safe action</x:v>
      </x:c>
      <x:c r="H474" s="15" t="str">
        <x:v>source path + receipt + raw/export status + claim/edge/risk delta</x:v>
      </x:c>
      <x:c r="I474" s="15" t="str">
        <x:v>packet/SWARM-04-H04-S05</x:v>
      </x:c>
      <x:c r="J474" s="15" t="str">
        <x:v>TODO</x:v>
      </x:c>
      <x:c r="K474" s="15" t="str">
        <x:v>P1</x:v>
      </x:c>
      <x:c r="L474" s="15" t="str">
        <x:v>Done only when evidence is logged, contradiction search is noted, and boundary stamp remains non-canon unless ratified</x:v>
      </x:c>
      <x:c r="M474" s="15" t="str">
        <x:v>candidate / staging-only / not canon / not deployed / authority none</x:v>
      </x:c>
      <x:c r="N474" s="15" t="str">
        <x:v>Dispatch to Tidelock: complete Claim Extraction x Chat; return deltas only, receipts required.</x:v>
      </x:c>
      <x:c r="O474" s="15" t="str">
        <x:v>AF-KG-H04-S05</x:v>
      </x:c>
      <x:c r="P474" s="15" t="str">
        <x:v>Unverified</x:v>
      </x:c>
      <x:c r="Q474" s="15" t="str">
        <x:v>Not checked</x:v>
      </x:c>
      <x:c r="R474" s="15" t="str"/>
      <x:c r="S474" s="15" t="str"/>
      <x:c r="T474" s="15" t="str">
        <x:v>Log first source path or blocker</x:v>
      </x:c>
      <x:c r="U474" s="12" t="str">
        <x:f>IF(OR(P474="Unverified",Q474="Not checked"),"BLOCKED_PENDING_RECEIPT","READY_FOR_REVIEW")</x:f>
        <x:v>BLOCKED_PENDING_RECEIPT</x:v>
      </x:c>
      <x:c r="V474" s="12" t="str">
        <x:f>IF(J474="DONE","RETURNED",IF(U474="BLOCKED_PENDING_RECEIPT","SOURCE_TOUCH_REQUIRED","IN_PROGRESS"))</x:f>
        <x:v>SOURCE_TOUCH_REQUIRED</x:v>
      </x:c>
      <x:c r="W474" s="12" t="str">
        <x:f>IF(P474="Unverified","missing_receipt","receipt_logged")</x:f>
        <x:v>missing_receipt</x:v>
      </x:c>
      <x:c r="X474" s="12" t="str">
        <x:f>IF(Q474="Not checked","raw_status_missing","raw_status_logged")</x:f>
        <x:v>raw_status_missing</x:v>
      </x:c>
      <x:c r="Y474" s="12" t="str">
        <x:f>IF(U474="BLOCKED_PENDING_RECEIPT","Log source path or blocker; do not promote","Route to review lane")</x:f>
        <x:v>Log source path or blocker; do not promote</x:v>
      </x:c>
      <x:c r="Z474" s="12" t="str">
        <x:f>IF(K474="P0","Primary seat + Hashlight/Lucerna","Seat lane")</x:f>
        <x:v>Seat lane</x:v>
      </x:c>
      <x:c r="AA474" s="12" t="str">
        <x:f>IF(R474="","no_claim_delta","claim_delta_present")</x:f>
        <x:v>no_claim_delta</x:v>
      </x:c>
      <x:c r="AB474" s="12" t="str">
        <x:f>IF(S474="","no_contradiction_delta","contradiction_delta_present")</x:f>
        <x:v>no_contradiction_delta</x:v>
      </x:c>
      <x:c r="AC474" s="12" t="str">
        <x:f>IF(OR(ISNUMBER(SEARCH("hacker",LOWER(F474&amp;" "&amp;H474&amp;" "&amp;I474&amp;" "&amp;M474&amp;" "&amp;N474&amp;" "&amp;T474))),ISNUMBER(SEARCH("hacking",LOWER(F474&amp;" "&amp;H474&amp;" "&amp;I474&amp;" "&amp;M474&amp;" "&amp;N474&amp;" "&amp;T474))),ISNUMBER(SEARCH("bank",LOWER(F474&amp;" "&amp;H474&amp;" "&amp;I474&amp;" "&amp;M474&amp;" "&amp;N474&amp;" "&amp;T474))),ISNUMBER(SEARCH("banking",LOWER(F474&amp;" "&amp;H474&amp;" "&amp;I474&amp;" "&amp;M474&amp;" "&amp;N474&amp;" "&amp;T474)))),"PRIVATE_QUARANTINE",IF(OR(ISNUMBER(SEARCH("treasury",LOWER(F474&amp;" "&amp;H474&amp;" "&amp;I474&amp;" "&amp;M474&amp;" "&amp;N474&amp;" "&amp;T474))),ISNUMBER(SEARCH("debt",LOWER(F474&amp;" "&amp;H474&amp;" "&amp;I474&amp;" "&amp;M474&amp;" "&amp;N474&amp;" "&amp;T474))),ISNUMBER(SEARCH("bond",LOWER(F474&amp;" "&amp;H474&amp;" "&amp;I474&amp;" "&amp;M474&amp;" "&amp;N474&amp;" "&amp;T474))),ISNUMBER(SEARCH("transaction",LOWER(F474&amp;" "&amp;H474&amp;" "&amp;I474&amp;" "&amp;M474&amp;" "&amp;N474&amp;" "&amp;T474)))),"PRIVATE_REVIEW","PUBLIC_CANDIDATE"))</x:f>
        <x:v>PUBLIC_CANDIDATE</x:v>
      </x:c>
      <x:c r="AD474" s="12" t="str">
        <x:f>IF(AC474="PRIVATE_QUARANTINE","hacker_or_bank_trigger",IF(AC474="PRIVATE_REVIEW","finance_risk_trigger","none"))</x:f>
        <x:v>none</x:v>
      </x:c>
      <x:c r="AE474" s="12" t="str">
        <x:f>IF(AC474="PUBLIC_CANDIDATE","prepare_public_github_candidate",IF(AC474="PRIVATE_REVIEW","hold_for_private_review","quarantine_private_do_not_publish"))</x:f>
        <x:v>prepare_public_github_candidate</x:v>
      </x:c>
      <x:c r="AF474" s="12" t="str">
        <x:f>IF(AC474="PUBLIC_CANDIDATE","TIDELOCK + Lucerna",IF(AC474="PRIVATE_REVIEW","AtlasBrain + Lucerna","TIDELOCK + Lucerna + Human-root"))</x:f>
        <x:v>TIDELOCK + Lucerna</x:v>
      </x:c>
      <x:c r="AG474" s="12" t="str">
        <x:f>IF(AND(AC474="PUBLIC_CANDIDATE",U474&lt;&gt;"BLOCKED_PENDING_RECEIPT"),"READY_AFTER_RECEIPT","NOT_READY")</x:f>
        <x:v>NOT_READY</x:v>
      </x:c>
      <x:c r="AH474" s="12" t="str">
        <x:f>IF(AC474="PUBLIC_CANDIDATE","none",AD474)</x:f>
        <x:v>none</x:v>
      </x:c>
      <x:c r="AI474" s="12" t="str">
        <x:f>IF(AC474="PUBLIC_CANDIDATE","archive/public_candidates/"&amp;A474,"private_quarantine/"&amp;A474)</x:f>
        <x:v>archive/public_candidates/SWARM-04-H04-S05</x:v>
      </x:c>
      <x:c r="AJ474" s="12" t="str">
        <x:f>IF(AC474="PUBLIC_CANDIDATE","public by default; still not canon","private/hold; do not publish")</x:f>
        <x:v>public by default; still not canon</x:v>
      </x:c>
      <x:c r="AK474" s="12" t="str">
        <x:f>IF(AE474="prepare_public_github_candidate","add receipt/status then mirror","resolve blocker before any public GitHub action")</x:f>
        <x:v>add receipt/status then mirror</x:v>
      </x:c>
    </x:row>
    <x:row r="475">
      <x:c r="A475" s="15" t="str">
        <x:v>SWARM-04-H04-S06</x:v>
      </x:c>
      <x:c r="B475" s="15" t="str">
        <x:v>Tidelock</x:v>
      </x:c>
      <x:c r="C475" s="15" t="str">
        <x:v>Access blocker keeper</x:v>
      </x:c>
      <x:c r="D475" s="15" t="str">
        <x:v>Claim Extraction</x:v>
      </x:c>
      <x:c r="E475" s="15" t="str">
        <x:v>External Web</x:v>
      </x:c>
      <x:c r="F475" s="15" t="str">
        <x:v>Extract claims from External Web — Tidelock</x:v>
      </x:c>
      <x:c r="G475" s="15" t="str">
        <x:v>missing access / blocker ledger / next safe action</x:v>
      </x:c>
      <x:c r="H475" s="15" t="str">
        <x:v>source path + receipt + raw/export status + claim/edge/risk delta</x:v>
      </x:c>
      <x:c r="I475" s="15" t="str">
        <x:v>packet/SWARM-04-H04-S06</x:v>
      </x:c>
      <x:c r="J475" s="15" t="str">
        <x:v>TODO</x:v>
      </x:c>
      <x:c r="K475" s="15" t="str">
        <x:v>P1</x:v>
      </x:c>
      <x:c r="L475" s="15" t="str">
        <x:v>Done only when evidence is logged, contradiction search is noted, and boundary stamp remains non-canon unless ratified</x:v>
      </x:c>
      <x:c r="M475" s="15" t="str">
        <x:v>candidate / staging-only / not canon / not deployed / authority none</x:v>
      </x:c>
      <x:c r="N475" s="15" t="str">
        <x:v>Dispatch to Tidelock: complete Claim Extraction x External Web; return deltas only, receipts required.</x:v>
      </x:c>
      <x:c r="O475" s="15" t="str">
        <x:v>AF-KG-H04-S06</x:v>
      </x:c>
      <x:c r="P475" s="15" t="str">
        <x:v>Unverified</x:v>
      </x:c>
      <x:c r="Q475" s="15" t="str">
        <x:v>Not checked</x:v>
      </x:c>
      <x:c r="R475" s="15" t="str"/>
      <x:c r="S475" s="15" t="str"/>
      <x:c r="T475" s="15" t="str">
        <x:v>Log first source path or blocker</x:v>
      </x:c>
      <x:c r="U475" s="12" t="str">
        <x:f>IF(OR(P475="Unverified",Q475="Not checked"),"BLOCKED_PENDING_RECEIPT","READY_FOR_REVIEW")</x:f>
        <x:v>BLOCKED_PENDING_RECEIPT</x:v>
      </x:c>
      <x:c r="V475" s="12" t="str">
        <x:f>IF(J475="DONE","RETURNED",IF(U475="BLOCKED_PENDING_RECEIPT","SOURCE_TOUCH_REQUIRED","IN_PROGRESS"))</x:f>
        <x:v>SOURCE_TOUCH_REQUIRED</x:v>
      </x:c>
      <x:c r="W475" s="12" t="str">
        <x:f>IF(P475="Unverified","missing_receipt","receipt_logged")</x:f>
        <x:v>missing_receipt</x:v>
      </x:c>
      <x:c r="X475" s="12" t="str">
        <x:f>IF(Q475="Not checked","raw_status_missing","raw_status_logged")</x:f>
        <x:v>raw_status_missing</x:v>
      </x:c>
      <x:c r="Y475" s="12" t="str">
        <x:f>IF(U475="BLOCKED_PENDING_RECEIPT","Log source path or blocker; do not promote","Route to review lane")</x:f>
        <x:v>Log source path or blocker; do not promote</x:v>
      </x:c>
      <x:c r="Z475" s="12" t="str">
        <x:f>IF(K475="P0","Primary seat + Hashlight/Lucerna","Seat lane")</x:f>
        <x:v>Seat lane</x:v>
      </x:c>
      <x:c r="AA475" s="12" t="str">
        <x:f>IF(R475="","no_claim_delta","claim_delta_present")</x:f>
        <x:v>no_claim_delta</x:v>
      </x:c>
      <x:c r="AB475" s="12" t="str">
        <x:f>IF(S475="","no_contradiction_delta","contradiction_delta_present")</x:f>
        <x:v>no_contradiction_delta</x:v>
      </x:c>
      <x:c r="AC475" s="12" t="str">
        <x:f>IF(OR(ISNUMBER(SEARCH("hacker",LOWER(F475&amp;" "&amp;H475&amp;" "&amp;I475&amp;" "&amp;M475&amp;" "&amp;N475&amp;" "&amp;T475))),ISNUMBER(SEARCH("hacking",LOWER(F475&amp;" "&amp;H475&amp;" "&amp;I475&amp;" "&amp;M475&amp;" "&amp;N475&amp;" "&amp;T475))),ISNUMBER(SEARCH("bank",LOWER(F475&amp;" "&amp;H475&amp;" "&amp;I475&amp;" "&amp;M475&amp;" "&amp;N475&amp;" "&amp;T475))),ISNUMBER(SEARCH("banking",LOWER(F475&amp;" "&amp;H475&amp;" "&amp;I475&amp;" "&amp;M475&amp;" "&amp;N475&amp;" "&amp;T475)))),"PRIVATE_QUARANTINE",IF(OR(ISNUMBER(SEARCH("treasury",LOWER(F475&amp;" "&amp;H475&amp;" "&amp;I475&amp;" "&amp;M475&amp;" "&amp;N475&amp;" "&amp;T475))),ISNUMBER(SEARCH("debt",LOWER(F475&amp;" "&amp;H475&amp;" "&amp;I475&amp;" "&amp;M475&amp;" "&amp;N475&amp;" "&amp;T475))),ISNUMBER(SEARCH("bond",LOWER(F475&amp;" "&amp;H475&amp;" "&amp;I475&amp;" "&amp;M475&amp;" "&amp;N475&amp;" "&amp;T475))),ISNUMBER(SEARCH("transaction",LOWER(F475&amp;" "&amp;H475&amp;" "&amp;I475&amp;" "&amp;M475&amp;" "&amp;N475&amp;" "&amp;T475)))),"PRIVATE_REVIEW","PUBLIC_CANDIDATE"))</x:f>
        <x:v>PUBLIC_CANDIDATE</x:v>
      </x:c>
      <x:c r="AD475" s="12" t="str">
        <x:f>IF(AC475="PRIVATE_QUARANTINE","hacker_or_bank_trigger",IF(AC475="PRIVATE_REVIEW","finance_risk_trigger","none"))</x:f>
        <x:v>none</x:v>
      </x:c>
      <x:c r="AE475" s="12" t="str">
        <x:f>IF(AC475="PUBLIC_CANDIDATE","prepare_public_github_candidate",IF(AC475="PRIVATE_REVIEW","hold_for_private_review","quarantine_private_do_not_publish"))</x:f>
        <x:v>prepare_public_github_candidate</x:v>
      </x:c>
      <x:c r="AF475" s="12" t="str">
        <x:f>IF(AC475="PUBLIC_CANDIDATE","TIDELOCK + Lucerna",IF(AC475="PRIVATE_REVIEW","AtlasBrain + Lucerna","TIDELOCK + Lucerna + Human-root"))</x:f>
        <x:v>TIDELOCK + Lucerna</x:v>
      </x:c>
      <x:c r="AG475" s="12" t="str">
        <x:f>IF(AND(AC475="PUBLIC_CANDIDATE",U475&lt;&gt;"BLOCKED_PENDING_RECEIPT"),"READY_AFTER_RECEIPT","NOT_READY")</x:f>
        <x:v>NOT_READY</x:v>
      </x:c>
      <x:c r="AH475" s="12" t="str">
        <x:f>IF(AC475="PUBLIC_CANDIDATE","none",AD475)</x:f>
        <x:v>none</x:v>
      </x:c>
      <x:c r="AI475" s="12" t="str">
        <x:f>IF(AC475="PUBLIC_CANDIDATE","archive/public_candidates/"&amp;A475,"private_quarantine/"&amp;A475)</x:f>
        <x:v>archive/public_candidates/SWARM-04-H04-S06</x:v>
      </x:c>
      <x:c r="AJ475" s="12" t="str">
        <x:f>IF(AC475="PUBLIC_CANDIDATE","public by default; still not canon","private/hold; do not publish")</x:f>
        <x:v>public by default; still not canon</x:v>
      </x:c>
      <x:c r="AK475" s="12" t="str">
        <x:f>IF(AE475="prepare_public_github_candidate","add receipt/status then mirror","resolve blocker before any public GitHub action")</x:f>
        <x:v>add receipt/status then mirror</x:v>
      </x:c>
    </x:row>
    <x:row r="476">
      <x:c r="A476" s="15" t="str">
        <x:v>SWARM-04-H04-S07</x:v>
      </x:c>
      <x:c r="B476" s="15" t="str">
        <x:v>Tidelock</x:v>
      </x:c>
      <x:c r="C476" s="15" t="str">
        <x:v>Access blocker keeper</x:v>
      </x:c>
      <x:c r="D476" s="15" t="str">
        <x:v>Claim Extraction</x:v>
      </x:c>
      <x:c r="E476" s="15" t="str">
        <x:v>Planetarium</x:v>
      </x:c>
      <x:c r="F476" s="15" t="str">
        <x:v>Extract claims from Planetarium — Tidelock</x:v>
      </x:c>
      <x:c r="G476" s="15" t="str">
        <x:v>missing access / blocker ledger / next safe action</x:v>
      </x:c>
      <x:c r="H476" s="15" t="str">
        <x:v>source path + receipt + raw/export status + claim/edge/risk delta</x:v>
      </x:c>
      <x:c r="I476" s="15" t="str">
        <x:v>packet/SWARM-04-H04-S07</x:v>
      </x:c>
      <x:c r="J476" s="15" t="str">
        <x:v>TODO</x:v>
      </x:c>
      <x:c r="K476" s="15" t="str">
        <x:v>P1</x:v>
      </x:c>
      <x:c r="L476" s="15" t="str">
        <x:v>Done only when evidence is logged, contradiction search is noted, and boundary stamp remains non-canon unless ratified</x:v>
      </x:c>
      <x:c r="M476" s="15" t="str">
        <x:v>candidate / staging-only / not canon / not deployed / authority none</x:v>
      </x:c>
      <x:c r="N476" s="15" t="str">
        <x:v>Dispatch to Tidelock: complete Claim Extraction x Planetarium; return deltas only, receipts required.</x:v>
      </x:c>
      <x:c r="O476" s="15" t="str">
        <x:v>AF-KG-H04-S07</x:v>
      </x:c>
      <x:c r="P476" s="15" t="str">
        <x:v>Unverified</x:v>
      </x:c>
      <x:c r="Q476" s="15" t="str">
        <x:v>Not checked</x:v>
      </x:c>
      <x:c r="R476" s="15" t="str"/>
      <x:c r="S476" s="15" t="str"/>
      <x:c r="T476" s="15" t="str">
        <x:v>Log first source path or blocker</x:v>
      </x:c>
      <x:c r="U476" s="12" t="str">
        <x:f>IF(OR(P476="Unverified",Q476="Not checked"),"BLOCKED_PENDING_RECEIPT","READY_FOR_REVIEW")</x:f>
        <x:v>BLOCKED_PENDING_RECEIPT</x:v>
      </x:c>
      <x:c r="V476" s="12" t="str">
        <x:f>IF(J476="DONE","RETURNED",IF(U476="BLOCKED_PENDING_RECEIPT","SOURCE_TOUCH_REQUIRED","IN_PROGRESS"))</x:f>
        <x:v>SOURCE_TOUCH_REQUIRED</x:v>
      </x:c>
      <x:c r="W476" s="12" t="str">
        <x:f>IF(P476="Unverified","missing_receipt","receipt_logged")</x:f>
        <x:v>missing_receipt</x:v>
      </x:c>
      <x:c r="X476" s="12" t="str">
        <x:f>IF(Q476="Not checked","raw_status_missing","raw_status_logged")</x:f>
        <x:v>raw_status_missing</x:v>
      </x:c>
      <x:c r="Y476" s="12" t="str">
        <x:f>IF(U476="BLOCKED_PENDING_RECEIPT","Log source path or blocker; do not promote","Route to review lane")</x:f>
        <x:v>Log source path or blocker; do not promote</x:v>
      </x:c>
      <x:c r="Z476" s="12" t="str">
        <x:f>IF(K476="P0","Primary seat + Hashlight/Lucerna","Seat lane")</x:f>
        <x:v>Seat lane</x:v>
      </x:c>
      <x:c r="AA476" s="12" t="str">
        <x:f>IF(R476="","no_claim_delta","claim_delta_present")</x:f>
        <x:v>no_claim_delta</x:v>
      </x:c>
      <x:c r="AB476" s="12" t="str">
        <x:f>IF(S476="","no_contradiction_delta","contradiction_delta_present")</x:f>
        <x:v>no_contradiction_delta</x:v>
      </x:c>
      <x:c r="AC476" s="12" t="str">
        <x:f>IF(OR(ISNUMBER(SEARCH("hacker",LOWER(F476&amp;" "&amp;H476&amp;" "&amp;I476&amp;" "&amp;M476&amp;" "&amp;N476&amp;" "&amp;T476))),ISNUMBER(SEARCH("hacking",LOWER(F476&amp;" "&amp;H476&amp;" "&amp;I476&amp;" "&amp;M476&amp;" "&amp;N476&amp;" "&amp;T476))),ISNUMBER(SEARCH("bank",LOWER(F476&amp;" "&amp;H476&amp;" "&amp;I476&amp;" "&amp;M476&amp;" "&amp;N476&amp;" "&amp;T476))),ISNUMBER(SEARCH("banking",LOWER(F476&amp;" "&amp;H476&amp;" "&amp;I476&amp;" "&amp;M476&amp;" "&amp;N476&amp;" "&amp;T476)))),"PRIVATE_QUARANTINE",IF(OR(ISNUMBER(SEARCH("treasury",LOWER(F476&amp;" "&amp;H476&amp;" "&amp;I476&amp;" "&amp;M476&amp;" "&amp;N476&amp;" "&amp;T476))),ISNUMBER(SEARCH("debt",LOWER(F476&amp;" "&amp;H476&amp;" "&amp;I476&amp;" "&amp;M476&amp;" "&amp;N476&amp;" "&amp;T476))),ISNUMBER(SEARCH("bond",LOWER(F476&amp;" "&amp;H476&amp;" "&amp;I476&amp;" "&amp;M476&amp;" "&amp;N476&amp;" "&amp;T476))),ISNUMBER(SEARCH("transaction",LOWER(F476&amp;" "&amp;H476&amp;" "&amp;I476&amp;" "&amp;M476&amp;" "&amp;N476&amp;" "&amp;T476)))),"PRIVATE_REVIEW","PUBLIC_CANDIDATE"))</x:f>
        <x:v>PUBLIC_CANDIDATE</x:v>
      </x:c>
      <x:c r="AD476" s="12" t="str">
        <x:f>IF(AC476="PRIVATE_QUARANTINE","hacker_or_bank_trigger",IF(AC476="PRIVATE_REVIEW","finance_risk_trigger","none"))</x:f>
        <x:v>none</x:v>
      </x:c>
      <x:c r="AE476" s="12" t="str">
        <x:f>IF(AC476="PUBLIC_CANDIDATE","prepare_public_github_candidate",IF(AC476="PRIVATE_REVIEW","hold_for_private_review","quarantine_private_do_not_publish"))</x:f>
        <x:v>prepare_public_github_candidate</x:v>
      </x:c>
      <x:c r="AF476" s="12" t="str">
        <x:f>IF(AC476="PUBLIC_CANDIDATE","TIDELOCK + Lucerna",IF(AC476="PRIVATE_REVIEW","AtlasBrain + Lucerna","TIDELOCK + Lucerna + Human-root"))</x:f>
        <x:v>TIDELOCK + Lucerna</x:v>
      </x:c>
      <x:c r="AG476" s="12" t="str">
        <x:f>IF(AND(AC476="PUBLIC_CANDIDATE",U476&lt;&gt;"BLOCKED_PENDING_RECEIPT"),"READY_AFTER_RECEIPT","NOT_READY")</x:f>
        <x:v>NOT_READY</x:v>
      </x:c>
      <x:c r="AH476" s="12" t="str">
        <x:f>IF(AC476="PUBLIC_CANDIDATE","none",AD476)</x:f>
        <x:v>none</x:v>
      </x:c>
      <x:c r="AI476" s="12" t="str">
        <x:f>IF(AC476="PUBLIC_CANDIDATE","archive/public_candidates/"&amp;A476,"private_quarantine/"&amp;A476)</x:f>
        <x:v>archive/public_candidates/SWARM-04-H04-S07</x:v>
      </x:c>
      <x:c r="AJ476" s="12" t="str">
        <x:f>IF(AC476="PUBLIC_CANDIDATE","public by default; still not canon","private/hold; do not publish")</x:f>
        <x:v>public by default; still not canon</x:v>
      </x:c>
      <x:c r="AK476" s="12" t="str">
        <x:f>IF(AE476="prepare_public_github_candidate","add receipt/status then mirror","resolve blocker before any public GitHub action")</x:f>
        <x:v>add receipt/status then mirror</x:v>
      </x:c>
    </x:row>
    <x:row r="477">
      <x:c r="A477" s="15" t="str">
        <x:v>SWARM-04-H04-S08</x:v>
      </x:c>
      <x:c r="B477" s="15" t="str">
        <x:v>Tidelock</x:v>
      </x:c>
      <x:c r="C477" s="15" t="str">
        <x:v>Access blocker keeper</x:v>
      </x:c>
      <x:c r="D477" s="15" t="str">
        <x:v>Claim Extraction</x:v>
      </x:c>
      <x:c r="E477" s="15" t="str">
        <x:v>Sheldonbrain</x:v>
      </x:c>
      <x:c r="F477" s="15" t="str">
        <x:v>Extract claims from Sheldonbrain — Tidelock</x:v>
      </x:c>
      <x:c r="G477" s="15" t="str">
        <x:v>missing access / blocker ledger / next safe action</x:v>
      </x:c>
      <x:c r="H477" s="15" t="str">
        <x:v>source path + receipt + raw/export status + claim/edge/risk delta</x:v>
      </x:c>
      <x:c r="I477" s="15" t="str">
        <x:v>packet/SWARM-04-H04-S08</x:v>
      </x:c>
      <x:c r="J477" s="15" t="str">
        <x:v>TODO</x:v>
      </x:c>
      <x:c r="K477" s="15" t="str">
        <x:v>P1</x:v>
      </x:c>
      <x:c r="L477" s="15" t="str">
        <x:v>Done only when evidence is logged, contradiction search is noted, and boundary stamp remains non-canon unless ratified</x:v>
      </x:c>
      <x:c r="M477" s="15" t="str">
        <x:v>candidate / staging-only / not canon / not deployed / authority none</x:v>
      </x:c>
      <x:c r="N477" s="15" t="str">
        <x:v>Dispatch to Tidelock: complete Claim Extraction x Sheldonbrain; return deltas only, receipts required.</x:v>
      </x:c>
      <x:c r="O477" s="15" t="str">
        <x:v>AF-KG-H04-S08</x:v>
      </x:c>
      <x:c r="P477" s="15" t="str">
        <x:v>Unverified</x:v>
      </x:c>
      <x:c r="Q477" s="15" t="str">
        <x:v>Not checked</x:v>
      </x:c>
      <x:c r="R477" s="15" t="str"/>
      <x:c r="S477" s="15" t="str"/>
      <x:c r="T477" s="15" t="str">
        <x:v>Log first source path or blocker</x:v>
      </x:c>
      <x:c r="U477" s="12" t="str">
        <x:f>IF(OR(P477="Unverified",Q477="Not checked"),"BLOCKED_PENDING_RECEIPT","READY_FOR_REVIEW")</x:f>
        <x:v>BLOCKED_PENDING_RECEIPT</x:v>
      </x:c>
      <x:c r="V477" s="12" t="str">
        <x:f>IF(J477="DONE","RETURNED",IF(U477="BLOCKED_PENDING_RECEIPT","SOURCE_TOUCH_REQUIRED","IN_PROGRESS"))</x:f>
        <x:v>SOURCE_TOUCH_REQUIRED</x:v>
      </x:c>
      <x:c r="W477" s="12" t="str">
        <x:f>IF(P477="Unverified","missing_receipt","receipt_logged")</x:f>
        <x:v>missing_receipt</x:v>
      </x:c>
      <x:c r="X477" s="12" t="str">
        <x:f>IF(Q477="Not checked","raw_status_missing","raw_status_logged")</x:f>
        <x:v>raw_status_missing</x:v>
      </x:c>
      <x:c r="Y477" s="12" t="str">
        <x:f>IF(U477="BLOCKED_PENDING_RECEIPT","Log source path or blocker; do not promote","Route to review lane")</x:f>
        <x:v>Log source path or blocker; do not promote</x:v>
      </x:c>
      <x:c r="Z477" s="12" t="str">
        <x:f>IF(K477="P0","Primary seat + Hashlight/Lucerna","Seat lane")</x:f>
        <x:v>Seat lane</x:v>
      </x:c>
      <x:c r="AA477" s="12" t="str">
        <x:f>IF(R477="","no_claim_delta","claim_delta_present")</x:f>
        <x:v>no_claim_delta</x:v>
      </x:c>
      <x:c r="AB477" s="12" t="str">
        <x:f>IF(S477="","no_contradiction_delta","contradiction_delta_present")</x:f>
        <x:v>no_contradiction_delta</x:v>
      </x:c>
      <x:c r="AC477" s="12" t="str">
        <x:f>IF(OR(ISNUMBER(SEARCH("hacker",LOWER(F477&amp;" "&amp;H477&amp;" "&amp;I477&amp;" "&amp;M477&amp;" "&amp;N477&amp;" "&amp;T477))),ISNUMBER(SEARCH("hacking",LOWER(F477&amp;" "&amp;H477&amp;" "&amp;I477&amp;" "&amp;M477&amp;" "&amp;N477&amp;" "&amp;T477))),ISNUMBER(SEARCH("bank",LOWER(F477&amp;" "&amp;H477&amp;" "&amp;I477&amp;" "&amp;M477&amp;" "&amp;N477&amp;" "&amp;T477))),ISNUMBER(SEARCH("banking",LOWER(F477&amp;" "&amp;H477&amp;" "&amp;I477&amp;" "&amp;M477&amp;" "&amp;N477&amp;" "&amp;T477)))),"PRIVATE_QUARANTINE",IF(OR(ISNUMBER(SEARCH("treasury",LOWER(F477&amp;" "&amp;H477&amp;" "&amp;I477&amp;" "&amp;M477&amp;" "&amp;N477&amp;" "&amp;T477))),ISNUMBER(SEARCH("debt",LOWER(F477&amp;" "&amp;H477&amp;" "&amp;I477&amp;" "&amp;M477&amp;" "&amp;N477&amp;" "&amp;T477))),ISNUMBER(SEARCH("bond",LOWER(F477&amp;" "&amp;H477&amp;" "&amp;I477&amp;" "&amp;M477&amp;" "&amp;N477&amp;" "&amp;T477))),ISNUMBER(SEARCH("transaction",LOWER(F477&amp;" "&amp;H477&amp;" "&amp;I477&amp;" "&amp;M477&amp;" "&amp;N477&amp;" "&amp;T477)))),"PRIVATE_REVIEW","PUBLIC_CANDIDATE"))</x:f>
        <x:v>PUBLIC_CANDIDATE</x:v>
      </x:c>
      <x:c r="AD477" s="12" t="str">
        <x:f>IF(AC477="PRIVATE_QUARANTINE","hacker_or_bank_trigger",IF(AC477="PRIVATE_REVIEW","finance_risk_trigger","none"))</x:f>
        <x:v>none</x:v>
      </x:c>
      <x:c r="AE477" s="12" t="str">
        <x:f>IF(AC477="PUBLIC_CANDIDATE","prepare_public_github_candidate",IF(AC477="PRIVATE_REVIEW","hold_for_private_review","quarantine_private_do_not_publish"))</x:f>
        <x:v>prepare_public_github_candidate</x:v>
      </x:c>
      <x:c r="AF477" s="12" t="str">
        <x:f>IF(AC477="PUBLIC_CANDIDATE","TIDELOCK + Lucerna",IF(AC477="PRIVATE_REVIEW","AtlasBrain + Lucerna","TIDELOCK + Lucerna + Human-root"))</x:f>
        <x:v>TIDELOCK + Lucerna</x:v>
      </x:c>
      <x:c r="AG477" s="12" t="str">
        <x:f>IF(AND(AC477="PUBLIC_CANDIDATE",U477&lt;&gt;"BLOCKED_PENDING_RECEIPT"),"READY_AFTER_RECEIPT","NOT_READY")</x:f>
        <x:v>NOT_READY</x:v>
      </x:c>
      <x:c r="AH477" s="12" t="str">
        <x:f>IF(AC477="PUBLIC_CANDIDATE","none",AD477)</x:f>
        <x:v>none</x:v>
      </x:c>
      <x:c r="AI477" s="12" t="str">
        <x:f>IF(AC477="PUBLIC_CANDIDATE","archive/public_candidates/"&amp;A477,"private_quarantine/"&amp;A477)</x:f>
        <x:v>archive/public_candidates/SWARM-04-H04-S08</x:v>
      </x:c>
      <x:c r="AJ477" s="12" t="str">
        <x:f>IF(AC477="PUBLIC_CANDIDATE","public by default; still not canon","private/hold; do not publish")</x:f>
        <x:v>public by default; still not canon</x:v>
      </x:c>
      <x:c r="AK477" s="12" t="str">
        <x:f>IF(AE477="prepare_public_github_candidate","add receipt/status then mirror","resolve blocker before any public GitHub action")</x:f>
        <x:v>add receipt/status then mirror</x:v>
      </x:c>
    </x:row>
    <x:row r="478">
      <x:c r="A478" s="15" t="str">
        <x:v>SWARM-04-H04-S09</x:v>
      </x:c>
      <x:c r="B478" s="15" t="str">
        <x:v>Tidelock</x:v>
      </x:c>
      <x:c r="C478" s="15" t="str">
        <x:v>Access blocker keeper</x:v>
      </x:c>
      <x:c r="D478" s="15" t="str">
        <x:v>Claim Extraction</x:v>
      </x:c>
      <x:c r="E478" s="15" t="str">
        <x:v>Aetherforge</x:v>
      </x:c>
      <x:c r="F478" s="15" t="str">
        <x:v>Extract claims from Aetherforge — Tidelock</x:v>
      </x:c>
      <x:c r="G478" s="15" t="str">
        <x:v>missing access / blocker ledger / next safe action</x:v>
      </x:c>
      <x:c r="H478" s="15" t="str">
        <x:v>source path + receipt + raw/export status + claim/edge/risk delta</x:v>
      </x:c>
      <x:c r="I478" s="15" t="str">
        <x:v>packet/SWARM-04-H04-S09</x:v>
      </x:c>
      <x:c r="J478" s="15" t="str">
        <x:v>TODO</x:v>
      </x:c>
      <x:c r="K478" s="15" t="str">
        <x:v>P2</x:v>
      </x:c>
      <x:c r="L478" s="15" t="str">
        <x:v>Done only when evidence is logged, contradiction search is noted, and boundary stamp remains non-canon unless ratified</x:v>
      </x:c>
      <x:c r="M478" s="15" t="str">
        <x:v>candidate / staging-only / not canon / not deployed / authority none</x:v>
      </x:c>
      <x:c r="N478" s="15" t="str">
        <x:v>Dispatch to Tidelock: complete Claim Extraction x Aetherforge; return deltas only, receipts required.</x:v>
      </x:c>
      <x:c r="O478" s="15" t="str">
        <x:v>AF-KG-H04-S09</x:v>
      </x:c>
      <x:c r="P478" s="15" t="str">
        <x:v>Unverified</x:v>
      </x:c>
      <x:c r="Q478" s="15" t="str">
        <x:v>Not checked</x:v>
      </x:c>
      <x:c r="R478" s="15" t="str"/>
      <x:c r="S478" s="15" t="str"/>
      <x:c r="T478" s="15" t="str">
        <x:v>Log first source path or blocker</x:v>
      </x:c>
      <x:c r="U478" s="12" t="str">
        <x:f>IF(OR(P478="Unverified",Q478="Not checked"),"BLOCKED_PENDING_RECEIPT","READY_FOR_REVIEW")</x:f>
        <x:v>BLOCKED_PENDING_RECEIPT</x:v>
      </x:c>
      <x:c r="V478" s="12" t="str">
        <x:f>IF(J478="DONE","RETURNED",IF(U478="BLOCKED_PENDING_RECEIPT","SOURCE_TOUCH_REQUIRED","IN_PROGRESS"))</x:f>
        <x:v>SOURCE_TOUCH_REQUIRED</x:v>
      </x:c>
      <x:c r="W478" s="12" t="str">
        <x:f>IF(P478="Unverified","missing_receipt","receipt_logged")</x:f>
        <x:v>missing_receipt</x:v>
      </x:c>
      <x:c r="X478" s="12" t="str">
        <x:f>IF(Q478="Not checked","raw_status_missing","raw_status_logged")</x:f>
        <x:v>raw_status_missing</x:v>
      </x:c>
      <x:c r="Y478" s="12" t="str">
        <x:f>IF(U478="BLOCKED_PENDING_RECEIPT","Log source path or blocker; do not promote","Route to review lane")</x:f>
        <x:v>Log source path or blocker; do not promote</x:v>
      </x:c>
      <x:c r="Z478" s="12" t="str">
        <x:f>IF(K478="P0","Primary seat + Hashlight/Lucerna","Seat lane")</x:f>
        <x:v>Seat lane</x:v>
      </x:c>
      <x:c r="AA478" s="12" t="str">
        <x:f>IF(R478="","no_claim_delta","claim_delta_present")</x:f>
        <x:v>no_claim_delta</x:v>
      </x:c>
      <x:c r="AB478" s="12" t="str">
        <x:f>IF(S478="","no_contradiction_delta","contradiction_delta_present")</x:f>
        <x:v>no_contradiction_delta</x:v>
      </x:c>
      <x:c r="AC478" s="12" t="str">
        <x:f>IF(OR(ISNUMBER(SEARCH("hacker",LOWER(F478&amp;" "&amp;H478&amp;" "&amp;I478&amp;" "&amp;M478&amp;" "&amp;N478&amp;" "&amp;T478))),ISNUMBER(SEARCH("hacking",LOWER(F478&amp;" "&amp;H478&amp;" "&amp;I478&amp;" "&amp;M478&amp;" "&amp;N478&amp;" "&amp;T478))),ISNUMBER(SEARCH("bank",LOWER(F478&amp;" "&amp;H478&amp;" "&amp;I478&amp;" "&amp;M478&amp;" "&amp;N478&amp;" "&amp;T478))),ISNUMBER(SEARCH("banking",LOWER(F478&amp;" "&amp;H478&amp;" "&amp;I478&amp;" "&amp;M478&amp;" "&amp;N478&amp;" "&amp;T478)))),"PRIVATE_QUARANTINE",IF(OR(ISNUMBER(SEARCH("treasury",LOWER(F478&amp;" "&amp;H478&amp;" "&amp;I478&amp;" "&amp;M478&amp;" "&amp;N478&amp;" "&amp;T478))),ISNUMBER(SEARCH("debt",LOWER(F478&amp;" "&amp;H478&amp;" "&amp;I478&amp;" "&amp;M478&amp;" "&amp;N478&amp;" "&amp;T478))),ISNUMBER(SEARCH("bond",LOWER(F478&amp;" "&amp;H478&amp;" "&amp;I478&amp;" "&amp;M478&amp;" "&amp;N478&amp;" "&amp;T478))),ISNUMBER(SEARCH("transaction",LOWER(F478&amp;" "&amp;H478&amp;" "&amp;I478&amp;" "&amp;M478&amp;" "&amp;N478&amp;" "&amp;T478)))),"PRIVATE_REVIEW","PUBLIC_CANDIDATE"))</x:f>
        <x:v>PUBLIC_CANDIDATE</x:v>
      </x:c>
      <x:c r="AD478" s="12" t="str">
        <x:f>IF(AC478="PRIVATE_QUARANTINE","hacker_or_bank_trigger",IF(AC478="PRIVATE_REVIEW","finance_risk_trigger","none"))</x:f>
        <x:v>none</x:v>
      </x:c>
      <x:c r="AE478" s="12" t="str">
        <x:f>IF(AC478="PUBLIC_CANDIDATE","prepare_public_github_candidate",IF(AC478="PRIVATE_REVIEW","hold_for_private_review","quarantine_private_do_not_publish"))</x:f>
        <x:v>prepare_public_github_candidate</x:v>
      </x:c>
      <x:c r="AF478" s="12" t="str">
        <x:f>IF(AC478="PUBLIC_CANDIDATE","TIDELOCK + Lucerna",IF(AC478="PRIVATE_REVIEW","AtlasBrain + Lucerna","TIDELOCK + Lucerna + Human-root"))</x:f>
        <x:v>TIDELOCK + Lucerna</x:v>
      </x:c>
      <x:c r="AG478" s="12" t="str">
        <x:f>IF(AND(AC478="PUBLIC_CANDIDATE",U478&lt;&gt;"BLOCKED_PENDING_RECEIPT"),"READY_AFTER_RECEIPT","NOT_READY")</x:f>
        <x:v>NOT_READY</x:v>
      </x:c>
      <x:c r="AH478" s="12" t="str">
        <x:f>IF(AC478="PUBLIC_CANDIDATE","none",AD478)</x:f>
        <x:v>none</x:v>
      </x:c>
      <x:c r="AI478" s="12" t="str">
        <x:f>IF(AC478="PUBLIC_CANDIDATE","archive/public_candidates/"&amp;A478,"private_quarantine/"&amp;A478)</x:f>
        <x:v>archive/public_candidates/SWARM-04-H04-S09</x:v>
      </x:c>
      <x:c r="AJ478" s="12" t="str">
        <x:f>IF(AC478="PUBLIC_CANDIDATE","public by default; still not canon","private/hold; do not publish")</x:f>
        <x:v>public by default; still not canon</x:v>
      </x:c>
      <x:c r="AK478" s="12" t="str">
        <x:f>IF(AE478="prepare_public_github_candidate","add receipt/status then mirror","resolve blocker before any public GitHub action")</x:f>
        <x:v>add receipt/status then mirror</x:v>
      </x:c>
    </x:row>
    <x:row r="479">
      <x:c r="A479" s="15" t="str">
        <x:v>SWARM-04-H04-S10</x:v>
      </x:c>
      <x:c r="B479" s="15" t="str">
        <x:v>Tidelock</x:v>
      </x:c>
      <x:c r="C479" s="15" t="str">
        <x:v>Access blocker keeper</x:v>
      </x:c>
      <x:c r="D479" s="15" t="str">
        <x:v>Claim Extraction</x:v>
      </x:c>
      <x:c r="E479" s="15" t="str">
        <x:v>Human-Root</x:v>
      </x:c>
      <x:c r="F479" s="15" t="str">
        <x:v>Extract claims from Human-Root — Tidelock</x:v>
      </x:c>
      <x:c r="G479" s="15" t="str">
        <x:v>missing access / blocker ledger / next safe action</x:v>
      </x:c>
      <x:c r="H479" s="15" t="str">
        <x:v>source path + receipt + raw/export status + claim/edge/risk delta</x:v>
      </x:c>
      <x:c r="I479" s="15" t="str">
        <x:v>packet/SWARM-04-H04-S10</x:v>
      </x:c>
      <x:c r="J479" s="15" t="str">
        <x:v>TODO</x:v>
      </x:c>
      <x:c r="K479" s="15" t="str">
        <x:v>P2</x:v>
      </x:c>
      <x:c r="L479" s="15" t="str">
        <x:v>Done only when evidence is logged, contradiction search is noted, and boundary stamp remains non-canon unless ratified</x:v>
      </x:c>
      <x:c r="M479" s="15" t="str">
        <x:v>candidate / staging-only / not canon / not deployed / authority none</x:v>
      </x:c>
      <x:c r="N479" s="15" t="str">
        <x:v>Dispatch to Tidelock: complete Claim Extraction x Human-Root; return deltas only, receipts required.</x:v>
      </x:c>
      <x:c r="O479" s="15" t="str">
        <x:v>AF-KG-H04-S10</x:v>
      </x:c>
      <x:c r="P479" s="15" t="str">
        <x:v>Unverified</x:v>
      </x:c>
      <x:c r="Q479" s="15" t="str">
        <x:v>Not checked</x:v>
      </x:c>
      <x:c r="R479" s="15" t="str"/>
      <x:c r="S479" s="15" t="str"/>
      <x:c r="T479" s="15" t="str">
        <x:v>Log first source path or blocker</x:v>
      </x:c>
      <x:c r="U479" s="12" t="str">
        <x:f>IF(OR(P479="Unverified",Q479="Not checked"),"BLOCKED_PENDING_RECEIPT","READY_FOR_REVIEW")</x:f>
        <x:v>BLOCKED_PENDING_RECEIPT</x:v>
      </x:c>
      <x:c r="V479" s="12" t="str">
        <x:f>IF(J479="DONE","RETURNED",IF(U479="BLOCKED_PENDING_RECEIPT","SOURCE_TOUCH_REQUIRED","IN_PROGRESS"))</x:f>
        <x:v>SOURCE_TOUCH_REQUIRED</x:v>
      </x:c>
      <x:c r="W479" s="12" t="str">
        <x:f>IF(P479="Unverified","missing_receipt","receipt_logged")</x:f>
        <x:v>missing_receipt</x:v>
      </x:c>
      <x:c r="X479" s="12" t="str">
        <x:f>IF(Q479="Not checked","raw_status_missing","raw_status_logged")</x:f>
        <x:v>raw_status_missing</x:v>
      </x:c>
      <x:c r="Y479" s="12" t="str">
        <x:f>IF(U479="BLOCKED_PENDING_RECEIPT","Log source path or blocker; do not promote","Route to review lane")</x:f>
        <x:v>Log source path or blocker; do not promote</x:v>
      </x:c>
      <x:c r="Z479" s="12" t="str">
        <x:f>IF(K479="P0","Primary seat + Hashlight/Lucerna","Seat lane")</x:f>
        <x:v>Seat lane</x:v>
      </x:c>
      <x:c r="AA479" s="12" t="str">
        <x:f>IF(R479="","no_claim_delta","claim_delta_present")</x:f>
        <x:v>no_claim_delta</x:v>
      </x:c>
      <x:c r="AB479" s="12" t="str">
        <x:f>IF(S479="","no_contradiction_delta","contradiction_delta_present")</x:f>
        <x:v>no_contradiction_delta</x:v>
      </x:c>
      <x:c r="AC479" s="12" t="str">
        <x:f>IF(OR(ISNUMBER(SEARCH("hacker",LOWER(F479&amp;" "&amp;H479&amp;" "&amp;I479&amp;" "&amp;M479&amp;" "&amp;N479&amp;" "&amp;T479))),ISNUMBER(SEARCH("hacking",LOWER(F479&amp;" "&amp;H479&amp;" "&amp;I479&amp;" "&amp;M479&amp;" "&amp;N479&amp;" "&amp;T479))),ISNUMBER(SEARCH("bank",LOWER(F479&amp;" "&amp;H479&amp;" "&amp;I479&amp;" "&amp;M479&amp;" "&amp;N479&amp;" "&amp;T479))),ISNUMBER(SEARCH("banking",LOWER(F479&amp;" "&amp;H479&amp;" "&amp;I479&amp;" "&amp;M479&amp;" "&amp;N479&amp;" "&amp;T479)))),"PRIVATE_QUARANTINE",IF(OR(ISNUMBER(SEARCH("treasury",LOWER(F479&amp;" "&amp;H479&amp;" "&amp;I479&amp;" "&amp;M479&amp;" "&amp;N479&amp;" "&amp;T479))),ISNUMBER(SEARCH("debt",LOWER(F479&amp;" "&amp;H479&amp;" "&amp;I479&amp;" "&amp;M479&amp;" "&amp;N479&amp;" "&amp;T479))),ISNUMBER(SEARCH("bond",LOWER(F479&amp;" "&amp;H479&amp;" "&amp;I479&amp;" "&amp;M479&amp;" "&amp;N479&amp;" "&amp;T479))),ISNUMBER(SEARCH("transaction",LOWER(F479&amp;" "&amp;H479&amp;" "&amp;I479&amp;" "&amp;M479&amp;" "&amp;N479&amp;" "&amp;T479)))),"PRIVATE_REVIEW","PUBLIC_CANDIDATE"))</x:f>
        <x:v>PUBLIC_CANDIDATE</x:v>
      </x:c>
      <x:c r="AD479" s="12" t="str">
        <x:f>IF(AC479="PRIVATE_QUARANTINE","hacker_or_bank_trigger",IF(AC479="PRIVATE_REVIEW","finance_risk_trigger","none"))</x:f>
        <x:v>none</x:v>
      </x:c>
      <x:c r="AE479" s="12" t="str">
        <x:f>IF(AC479="PUBLIC_CANDIDATE","prepare_public_github_candidate",IF(AC479="PRIVATE_REVIEW","hold_for_private_review","quarantine_private_do_not_publish"))</x:f>
        <x:v>prepare_public_github_candidate</x:v>
      </x:c>
      <x:c r="AF479" s="12" t="str">
        <x:f>IF(AC479="PUBLIC_CANDIDATE","TIDELOCK + Lucerna",IF(AC479="PRIVATE_REVIEW","AtlasBrain + Lucerna","TIDELOCK + Lucerna + Human-root"))</x:f>
        <x:v>TIDELOCK + Lucerna</x:v>
      </x:c>
      <x:c r="AG479" s="12" t="str">
        <x:f>IF(AND(AC479="PUBLIC_CANDIDATE",U479&lt;&gt;"BLOCKED_PENDING_RECEIPT"),"READY_AFTER_RECEIPT","NOT_READY")</x:f>
        <x:v>NOT_READY</x:v>
      </x:c>
      <x:c r="AH479" s="12" t="str">
        <x:f>IF(AC479="PUBLIC_CANDIDATE","none",AD479)</x:f>
        <x:v>none</x:v>
      </x:c>
      <x:c r="AI479" s="12" t="str">
        <x:f>IF(AC479="PUBLIC_CANDIDATE","archive/public_candidates/"&amp;A479,"private_quarantine/"&amp;A479)</x:f>
        <x:v>archive/public_candidates/SWARM-04-H04-S10</x:v>
      </x:c>
      <x:c r="AJ479" s="12" t="str">
        <x:f>IF(AC479="PUBLIC_CANDIDATE","public by default; still not canon","private/hold; do not publish")</x:f>
        <x:v>public by default; still not canon</x:v>
      </x:c>
      <x:c r="AK479" s="12" t="str">
        <x:f>IF(AE479="prepare_public_github_candidate","add receipt/status then mirror","resolve blocker before any public GitHub action")</x:f>
        <x:v>add receipt/status then mirror</x:v>
      </x:c>
    </x:row>
    <x:row r="480">
      <x:c r="A480" s="15" t="str">
        <x:v>SWARM-04-H04-S11</x:v>
      </x:c>
      <x:c r="B480" s="15" t="str">
        <x:v>Tidelock</x:v>
      </x:c>
      <x:c r="C480" s="15" t="str">
        <x:v>Access blocker keeper</x:v>
      </x:c>
      <x:c r="D480" s="15" t="str">
        <x:v>Claim Extraction</x:v>
      </x:c>
      <x:c r="E480" s="15" t="str">
        <x:v>Automation</x:v>
      </x:c>
      <x:c r="F480" s="15" t="str">
        <x:v>Extract claims from Automation — Tidelock</x:v>
      </x:c>
      <x:c r="G480" s="15" t="str">
        <x:v>missing access / blocker ledger / next safe action</x:v>
      </x:c>
      <x:c r="H480" s="15" t="str">
        <x:v>source path + receipt + raw/export status + claim/edge/risk delta</x:v>
      </x:c>
      <x:c r="I480" s="15" t="str">
        <x:v>packet/SWARM-04-H04-S11</x:v>
      </x:c>
      <x:c r="J480" s="15" t="str">
        <x:v>TODO</x:v>
      </x:c>
      <x:c r="K480" s="15" t="str">
        <x:v>P2</x:v>
      </x:c>
      <x:c r="L480" s="15" t="str">
        <x:v>Done only when evidence is logged, contradiction search is noted, and boundary stamp remains non-canon unless ratified</x:v>
      </x:c>
      <x:c r="M480" s="15" t="str">
        <x:v>candidate / staging-only / not canon / not deployed / authority none</x:v>
      </x:c>
      <x:c r="N480" s="15" t="str">
        <x:v>Dispatch to Tidelock: complete Claim Extraction x Automation; return deltas only, receipts required.</x:v>
      </x:c>
      <x:c r="O480" s="15" t="str">
        <x:v>AF-KG-H04-S11</x:v>
      </x:c>
      <x:c r="P480" s="15" t="str">
        <x:v>Unverified</x:v>
      </x:c>
      <x:c r="Q480" s="15" t="str">
        <x:v>Not checked</x:v>
      </x:c>
      <x:c r="R480" s="15" t="str"/>
      <x:c r="S480" s="15" t="str"/>
      <x:c r="T480" s="15" t="str">
        <x:v>Log first source path or blocker</x:v>
      </x:c>
      <x:c r="U480" s="12" t="str">
        <x:f>IF(OR(P480="Unverified",Q480="Not checked"),"BLOCKED_PENDING_RECEIPT","READY_FOR_REVIEW")</x:f>
        <x:v>BLOCKED_PENDING_RECEIPT</x:v>
      </x:c>
      <x:c r="V480" s="12" t="str">
        <x:f>IF(J480="DONE","RETURNED",IF(U480="BLOCKED_PENDING_RECEIPT","SOURCE_TOUCH_REQUIRED","IN_PROGRESS"))</x:f>
        <x:v>SOURCE_TOUCH_REQUIRED</x:v>
      </x:c>
      <x:c r="W480" s="12" t="str">
        <x:f>IF(P480="Unverified","missing_receipt","receipt_logged")</x:f>
        <x:v>missing_receipt</x:v>
      </x:c>
      <x:c r="X480" s="12" t="str">
        <x:f>IF(Q480="Not checked","raw_status_missing","raw_status_logged")</x:f>
        <x:v>raw_status_missing</x:v>
      </x:c>
      <x:c r="Y480" s="12" t="str">
        <x:f>IF(U480="BLOCKED_PENDING_RECEIPT","Log source path or blocker; do not promote","Route to review lane")</x:f>
        <x:v>Log source path or blocker; do not promote</x:v>
      </x:c>
      <x:c r="Z480" s="12" t="str">
        <x:f>IF(K480="P0","Primary seat + Hashlight/Lucerna","Seat lane")</x:f>
        <x:v>Seat lane</x:v>
      </x:c>
      <x:c r="AA480" s="12" t="str">
        <x:f>IF(R480="","no_claim_delta","claim_delta_present")</x:f>
        <x:v>no_claim_delta</x:v>
      </x:c>
      <x:c r="AB480" s="12" t="str">
        <x:f>IF(S480="","no_contradiction_delta","contradiction_delta_present")</x:f>
        <x:v>no_contradiction_delta</x:v>
      </x:c>
      <x:c r="AC480" s="12" t="str">
        <x:f>IF(OR(ISNUMBER(SEARCH("hacker",LOWER(F480&amp;" "&amp;H480&amp;" "&amp;I480&amp;" "&amp;M480&amp;" "&amp;N480&amp;" "&amp;T480))),ISNUMBER(SEARCH("hacking",LOWER(F480&amp;" "&amp;H480&amp;" "&amp;I480&amp;" "&amp;M480&amp;" "&amp;N480&amp;" "&amp;T480))),ISNUMBER(SEARCH("bank",LOWER(F480&amp;" "&amp;H480&amp;" "&amp;I480&amp;" "&amp;M480&amp;" "&amp;N480&amp;" "&amp;T480))),ISNUMBER(SEARCH("banking",LOWER(F480&amp;" "&amp;H480&amp;" "&amp;I480&amp;" "&amp;M480&amp;" "&amp;N480&amp;" "&amp;T480)))),"PRIVATE_QUARANTINE",IF(OR(ISNUMBER(SEARCH("treasury",LOWER(F480&amp;" "&amp;H480&amp;" "&amp;I480&amp;" "&amp;M480&amp;" "&amp;N480&amp;" "&amp;T480))),ISNUMBER(SEARCH("debt",LOWER(F480&amp;" "&amp;H480&amp;" "&amp;I480&amp;" "&amp;M480&amp;" "&amp;N480&amp;" "&amp;T480))),ISNUMBER(SEARCH("bond",LOWER(F480&amp;" "&amp;H480&amp;" "&amp;I480&amp;" "&amp;M480&amp;" "&amp;N480&amp;" "&amp;T480))),ISNUMBER(SEARCH("transaction",LOWER(F480&amp;" "&amp;H480&amp;" "&amp;I480&amp;" "&amp;M480&amp;" "&amp;N480&amp;" "&amp;T480)))),"PRIVATE_REVIEW","PUBLIC_CANDIDATE"))</x:f>
        <x:v>PUBLIC_CANDIDATE</x:v>
      </x:c>
      <x:c r="AD480" s="12" t="str">
        <x:f>IF(AC480="PRIVATE_QUARANTINE","hacker_or_bank_trigger",IF(AC480="PRIVATE_REVIEW","finance_risk_trigger","none"))</x:f>
        <x:v>none</x:v>
      </x:c>
      <x:c r="AE480" s="12" t="str">
        <x:f>IF(AC480="PUBLIC_CANDIDATE","prepare_public_github_candidate",IF(AC480="PRIVATE_REVIEW","hold_for_private_review","quarantine_private_do_not_publish"))</x:f>
        <x:v>prepare_public_github_candidate</x:v>
      </x:c>
      <x:c r="AF480" s="12" t="str">
        <x:f>IF(AC480="PUBLIC_CANDIDATE","TIDELOCK + Lucerna",IF(AC480="PRIVATE_REVIEW","AtlasBrain + Lucerna","TIDELOCK + Lucerna + Human-root"))</x:f>
        <x:v>TIDELOCK + Lucerna</x:v>
      </x:c>
      <x:c r="AG480" s="12" t="str">
        <x:f>IF(AND(AC480="PUBLIC_CANDIDATE",U480&lt;&gt;"BLOCKED_PENDING_RECEIPT"),"READY_AFTER_RECEIPT","NOT_READY")</x:f>
        <x:v>NOT_READY</x:v>
      </x:c>
      <x:c r="AH480" s="12" t="str">
        <x:f>IF(AC480="PUBLIC_CANDIDATE","none",AD480)</x:f>
        <x:v>none</x:v>
      </x:c>
      <x:c r="AI480" s="12" t="str">
        <x:f>IF(AC480="PUBLIC_CANDIDATE","archive/public_candidates/"&amp;A480,"private_quarantine/"&amp;A480)</x:f>
        <x:v>archive/public_candidates/SWARM-04-H04-S11</x:v>
      </x:c>
      <x:c r="AJ480" s="12" t="str">
        <x:f>IF(AC480="PUBLIC_CANDIDATE","public by default; still not canon","private/hold; do not publish")</x:f>
        <x:v>public by default; still not canon</x:v>
      </x:c>
      <x:c r="AK480" s="12" t="str">
        <x:f>IF(AE480="prepare_public_github_candidate","add receipt/status then mirror","resolve blocker before any public GitHub action")</x:f>
        <x:v>add receipt/status then mirror</x:v>
      </x:c>
    </x:row>
    <x:row r="481">
      <x:c r="A481" s="15" t="str">
        <x:v>SWARM-04-H04-S12</x:v>
      </x:c>
      <x:c r="B481" s="15" t="str">
        <x:v>Tidelock</x:v>
      </x:c>
      <x:c r="C481" s="15" t="str">
        <x:v>Access blocker keeper</x:v>
      </x:c>
      <x:c r="D481" s="15" t="str">
        <x:v>Claim Extraction</x:v>
      </x:c>
      <x:c r="E481" s="15" t="str">
        <x:v>Risk / Safety</x:v>
      </x:c>
      <x:c r="F481" s="15" t="str">
        <x:v>Extract claims from Risk / Safety — Tidelock</x:v>
      </x:c>
      <x:c r="G481" s="15" t="str">
        <x:v>missing access / blocker ledger / next safe action</x:v>
      </x:c>
      <x:c r="H481" s="15" t="str">
        <x:v>source path + receipt + raw/export status + claim/edge/risk delta</x:v>
      </x:c>
      <x:c r="I481" s="15" t="str">
        <x:v>packet/SWARM-04-H04-S12</x:v>
      </x:c>
      <x:c r="J481" s="15" t="str">
        <x:v>TODO</x:v>
      </x:c>
      <x:c r="K481" s="15" t="str">
        <x:v>P2</x:v>
      </x:c>
      <x:c r="L481" s="15" t="str">
        <x:v>Done only when evidence is logged, contradiction search is noted, and boundary stamp remains non-canon unless ratified</x:v>
      </x:c>
      <x:c r="M481" s="15" t="str">
        <x:v>candidate / staging-only / not canon / not deployed / authority none</x:v>
      </x:c>
      <x:c r="N481" s="15" t="str">
        <x:v>Dispatch to Tidelock: complete Claim Extraction x Risk / Safety; return deltas only, receipts required.</x:v>
      </x:c>
      <x:c r="O481" s="15" t="str">
        <x:v>AF-KG-H04-S12</x:v>
      </x:c>
      <x:c r="P481" s="15" t="str">
        <x:v>Unverified</x:v>
      </x:c>
      <x:c r="Q481" s="15" t="str">
        <x:v>Not checked</x:v>
      </x:c>
      <x:c r="R481" s="15" t="str"/>
      <x:c r="S481" s="15" t="str"/>
      <x:c r="T481" s="15" t="str">
        <x:v>Log first source path or blocker</x:v>
      </x:c>
      <x:c r="U481" s="12" t="str">
        <x:f>IF(OR(P481="Unverified",Q481="Not checked"),"BLOCKED_PENDING_RECEIPT","READY_FOR_REVIEW")</x:f>
        <x:v>BLOCKED_PENDING_RECEIPT</x:v>
      </x:c>
      <x:c r="V481" s="12" t="str">
        <x:f>IF(J481="DONE","RETURNED",IF(U481="BLOCKED_PENDING_RECEIPT","SOURCE_TOUCH_REQUIRED","IN_PROGRESS"))</x:f>
        <x:v>SOURCE_TOUCH_REQUIRED</x:v>
      </x:c>
      <x:c r="W481" s="12" t="str">
        <x:f>IF(P481="Unverified","missing_receipt","receipt_logged")</x:f>
        <x:v>missing_receipt</x:v>
      </x:c>
      <x:c r="X481" s="12" t="str">
        <x:f>IF(Q481="Not checked","raw_status_missing","raw_status_logged")</x:f>
        <x:v>raw_status_missing</x:v>
      </x:c>
      <x:c r="Y481" s="12" t="str">
        <x:f>IF(U481="BLOCKED_PENDING_RECEIPT","Log source path or blocker; do not promote","Route to review lane")</x:f>
        <x:v>Log source path or blocker; do not promote</x:v>
      </x:c>
      <x:c r="Z481" s="12" t="str">
        <x:f>IF(K481="P0","Primary seat + Hashlight/Lucerna","Seat lane")</x:f>
        <x:v>Seat lane</x:v>
      </x:c>
      <x:c r="AA481" s="12" t="str">
        <x:f>IF(R481="","no_claim_delta","claim_delta_present")</x:f>
        <x:v>no_claim_delta</x:v>
      </x:c>
      <x:c r="AB481" s="12" t="str">
        <x:f>IF(S481="","no_contradiction_delta","contradiction_delta_present")</x:f>
        <x:v>no_contradiction_delta</x:v>
      </x:c>
      <x:c r="AC481" s="12" t="str">
        <x:f>IF(OR(ISNUMBER(SEARCH("hacker",LOWER(F481&amp;" "&amp;H481&amp;" "&amp;I481&amp;" "&amp;M481&amp;" "&amp;N481&amp;" "&amp;T481))),ISNUMBER(SEARCH("hacking",LOWER(F481&amp;" "&amp;H481&amp;" "&amp;I481&amp;" "&amp;M481&amp;" "&amp;N481&amp;" "&amp;T481))),ISNUMBER(SEARCH("bank",LOWER(F481&amp;" "&amp;H481&amp;" "&amp;I481&amp;" "&amp;M481&amp;" "&amp;N481&amp;" "&amp;T481))),ISNUMBER(SEARCH("banking",LOWER(F481&amp;" "&amp;H481&amp;" "&amp;I481&amp;" "&amp;M481&amp;" "&amp;N481&amp;" "&amp;T481)))),"PRIVATE_QUARANTINE",IF(OR(ISNUMBER(SEARCH("treasury",LOWER(F481&amp;" "&amp;H481&amp;" "&amp;I481&amp;" "&amp;M481&amp;" "&amp;N481&amp;" "&amp;T481))),ISNUMBER(SEARCH("debt",LOWER(F481&amp;" "&amp;H481&amp;" "&amp;I481&amp;" "&amp;M481&amp;" "&amp;N481&amp;" "&amp;T481))),ISNUMBER(SEARCH("bond",LOWER(F481&amp;" "&amp;H481&amp;" "&amp;I481&amp;" "&amp;M481&amp;" "&amp;N481&amp;" "&amp;T481))),ISNUMBER(SEARCH("transaction",LOWER(F481&amp;" "&amp;H481&amp;" "&amp;I481&amp;" "&amp;M481&amp;" "&amp;N481&amp;" "&amp;T481)))),"PRIVATE_REVIEW","PUBLIC_CANDIDATE"))</x:f>
        <x:v>PUBLIC_CANDIDATE</x:v>
      </x:c>
      <x:c r="AD481" s="12" t="str">
        <x:f>IF(AC481="PRIVATE_QUARANTINE","hacker_or_bank_trigger",IF(AC481="PRIVATE_REVIEW","finance_risk_trigger","none"))</x:f>
        <x:v>none</x:v>
      </x:c>
      <x:c r="AE481" s="12" t="str">
        <x:f>IF(AC481="PUBLIC_CANDIDATE","prepare_public_github_candidate",IF(AC481="PRIVATE_REVIEW","hold_for_private_review","quarantine_private_do_not_publish"))</x:f>
        <x:v>prepare_public_github_candidate</x:v>
      </x:c>
      <x:c r="AF481" s="12" t="str">
        <x:f>IF(AC481="PUBLIC_CANDIDATE","TIDELOCK + Lucerna",IF(AC481="PRIVATE_REVIEW","AtlasBrain + Lucerna","TIDELOCK + Lucerna + Human-root"))</x:f>
        <x:v>TIDELOCK + Lucerna</x:v>
      </x:c>
      <x:c r="AG481" s="12" t="str">
        <x:f>IF(AND(AC481="PUBLIC_CANDIDATE",U481&lt;&gt;"BLOCKED_PENDING_RECEIPT"),"READY_AFTER_RECEIPT","NOT_READY")</x:f>
        <x:v>NOT_READY</x:v>
      </x:c>
      <x:c r="AH481" s="12" t="str">
        <x:f>IF(AC481="PUBLIC_CANDIDATE","none",AD481)</x:f>
        <x:v>none</x:v>
      </x:c>
      <x:c r="AI481" s="12" t="str">
        <x:f>IF(AC481="PUBLIC_CANDIDATE","archive/public_candidates/"&amp;A481,"private_quarantine/"&amp;A481)</x:f>
        <x:v>archive/public_candidates/SWARM-04-H04-S12</x:v>
      </x:c>
      <x:c r="AJ481" s="12" t="str">
        <x:f>IF(AC481="PUBLIC_CANDIDATE","public by default; still not canon","private/hold; do not publish")</x:f>
        <x:v>public by default; still not canon</x:v>
      </x:c>
      <x:c r="AK481" s="12" t="str">
        <x:f>IF(AE481="prepare_public_github_candidate","add receipt/status then mirror","resolve blocker before any public GitHub action")</x:f>
        <x:v>add receipt/status then mirror</x:v>
      </x:c>
    </x:row>
    <x:row r="482">
      <x:c r="A482" s="15" t="str">
        <x:v>SWARM-04-H05-S01</x:v>
      </x:c>
      <x:c r="B482" s="15" t="str">
        <x:v>Tidelock</x:v>
      </x:c>
      <x:c r="C482" s="15" t="str">
        <x:v>Access blocker keeper</x:v>
      </x:c>
      <x:c r="D482" s="15" t="str">
        <x:v>Contradiction Mapping</x:v>
      </x:c>
      <x:c r="E482" s="15" t="str">
        <x:v>Notion</x:v>
      </x:c>
      <x:c r="F482" s="15" t="str">
        <x:v>Map contradictions in Notion — Tidelock</x:v>
      </x:c>
      <x:c r="G482" s="15" t="str">
        <x:v>missing access / blocker ledger / next safe action</x:v>
      </x:c>
      <x:c r="H482" s="15" t="str">
        <x:v>source path + receipt + raw/export status + claim/edge/risk delta</x:v>
      </x:c>
      <x:c r="I482" s="15" t="str">
        <x:v>packet/SWARM-04-H05-S01</x:v>
      </x:c>
      <x:c r="J482" s="15" t="str">
        <x:v>TODO</x:v>
      </x:c>
      <x:c r="K482" s="15" t="str">
        <x:v>P0</x:v>
      </x:c>
      <x:c r="L482" s="15" t="str">
        <x:v>Done only when evidence is logged, contradiction search is noted, and boundary stamp remains non-canon unless ratified</x:v>
      </x:c>
      <x:c r="M482" s="15" t="str">
        <x:v>candidate / staging-only / not canon / not deployed / authority none</x:v>
      </x:c>
      <x:c r="N482" s="15" t="str">
        <x:v>Dispatch to Tidelock: complete Contradiction Mapping x Notion; return deltas only, receipts required.</x:v>
      </x:c>
      <x:c r="O482" s="15" t="str">
        <x:v>AF-KG-H05-S01</x:v>
      </x:c>
      <x:c r="P482" s="15" t="str">
        <x:v>Unverified</x:v>
      </x:c>
      <x:c r="Q482" s="15" t="str">
        <x:v>Not checked</x:v>
      </x:c>
      <x:c r="R482" s="15" t="str"/>
      <x:c r="S482" s="15" t="str"/>
      <x:c r="T482" s="15" t="str">
        <x:v>Log first source path or blocker</x:v>
      </x:c>
      <x:c r="U482" s="12" t="str">
        <x:f>IF(OR(P482="Unverified",Q482="Not checked"),"BLOCKED_PENDING_RECEIPT","READY_FOR_REVIEW")</x:f>
        <x:v>BLOCKED_PENDING_RECEIPT</x:v>
      </x:c>
      <x:c r="V482" s="12" t="str">
        <x:f>IF(J482="DONE","RETURNED",IF(U482="BLOCKED_PENDING_RECEIPT","SOURCE_TOUCH_REQUIRED","IN_PROGRESS"))</x:f>
        <x:v>SOURCE_TOUCH_REQUIRED</x:v>
      </x:c>
      <x:c r="W482" s="12" t="str">
        <x:f>IF(P482="Unverified","missing_receipt","receipt_logged")</x:f>
        <x:v>missing_receipt</x:v>
      </x:c>
      <x:c r="X482" s="12" t="str">
        <x:f>IF(Q482="Not checked","raw_status_missing","raw_status_logged")</x:f>
        <x:v>raw_status_missing</x:v>
      </x:c>
      <x:c r="Y482" s="12" t="str">
        <x:f>IF(U482="BLOCKED_PENDING_RECEIPT","Log source path or blocker; do not promote","Route to review lane")</x:f>
        <x:v>Log source path or blocker; do not promote</x:v>
      </x:c>
      <x:c r="Z482" s="12" t="str">
        <x:f>IF(K482="P0","Primary seat + Hashlight/Lucerna","Seat lane")</x:f>
        <x:v>Primary seat + Hashlight/Lucerna</x:v>
      </x:c>
      <x:c r="AA482" s="12" t="str">
        <x:f>IF(R482="","no_claim_delta","claim_delta_present")</x:f>
        <x:v>no_claim_delta</x:v>
      </x:c>
      <x:c r="AB482" s="12" t="str">
        <x:f>IF(S482="","no_contradiction_delta","contradiction_delta_present")</x:f>
        <x:v>no_contradiction_delta</x:v>
      </x:c>
      <x:c r="AC482" s="12" t="str">
        <x:f>IF(OR(ISNUMBER(SEARCH("hacker",LOWER(F482&amp;" "&amp;H482&amp;" "&amp;I482&amp;" "&amp;M482&amp;" "&amp;N482&amp;" "&amp;T482))),ISNUMBER(SEARCH("hacking",LOWER(F482&amp;" "&amp;H482&amp;" "&amp;I482&amp;" "&amp;M482&amp;" "&amp;N482&amp;" "&amp;T482))),ISNUMBER(SEARCH("bank",LOWER(F482&amp;" "&amp;H482&amp;" "&amp;I482&amp;" "&amp;M482&amp;" "&amp;N482&amp;" "&amp;T482))),ISNUMBER(SEARCH("banking",LOWER(F482&amp;" "&amp;H482&amp;" "&amp;I482&amp;" "&amp;M482&amp;" "&amp;N482&amp;" "&amp;T482)))),"PRIVATE_QUARANTINE",IF(OR(ISNUMBER(SEARCH("treasury",LOWER(F482&amp;" "&amp;H482&amp;" "&amp;I482&amp;" "&amp;M482&amp;" "&amp;N482&amp;" "&amp;T482))),ISNUMBER(SEARCH("debt",LOWER(F482&amp;" "&amp;H482&amp;" "&amp;I482&amp;" "&amp;M482&amp;" "&amp;N482&amp;" "&amp;T482))),ISNUMBER(SEARCH("bond",LOWER(F482&amp;" "&amp;H482&amp;" "&amp;I482&amp;" "&amp;M482&amp;" "&amp;N482&amp;" "&amp;T482))),ISNUMBER(SEARCH("transaction",LOWER(F482&amp;" "&amp;H482&amp;" "&amp;I482&amp;" "&amp;M482&amp;" "&amp;N482&amp;" "&amp;T482)))),"PRIVATE_REVIEW","PUBLIC_CANDIDATE"))</x:f>
        <x:v>PUBLIC_CANDIDATE</x:v>
      </x:c>
      <x:c r="AD482" s="12" t="str">
        <x:f>IF(AC482="PRIVATE_QUARANTINE","hacker_or_bank_trigger",IF(AC482="PRIVATE_REVIEW","finance_risk_trigger","none"))</x:f>
        <x:v>none</x:v>
      </x:c>
      <x:c r="AE482" s="12" t="str">
        <x:f>IF(AC482="PUBLIC_CANDIDATE","prepare_public_github_candidate",IF(AC482="PRIVATE_REVIEW","hold_for_private_review","quarantine_private_do_not_publish"))</x:f>
        <x:v>prepare_public_github_candidate</x:v>
      </x:c>
      <x:c r="AF482" s="12" t="str">
        <x:f>IF(AC482="PUBLIC_CANDIDATE","TIDELOCK + Lucerna",IF(AC482="PRIVATE_REVIEW","AtlasBrain + Lucerna","TIDELOCK + Lucerna + Human-root"))</x:f>
        <x:v>TIDELOCK + Lucerna</x:v>
      </x:c>
      <x:c r="AG482" s="12" t="str">
        <x:f>IF(AND(AC482="PUBLIC_CANDIDATE",U482&lt;&gt;"BLOCKED_PENDING_RECEIPT"),"READY_AFTER_RECEIPT","NOT_READY")</x:f>
        <x:v>NOT_READY</x:v>
      </x:c>
      <x:c r="AH482" s="12" t="str">
        <x:f>IF(AC482="PUBLIC_CANDIDATE","none",AD482)</x:f>
        <x:v>none</x:v>
      </x:c>
      <x:c r="AI482" s="12" t="str">
        <x:f>IF(AC482="PUBLIC_CANDIDATE","archive/public_candidates/"&amp;A482,"private_quarantine/"&amp;A482)</x:f>
        <x:v>archive/public_candidates/SWARM-04-H05-S01</x:v>
      </x:c>
      <x:c r="AJ482" s="12" t="str">
        <x:f>IF(AC482="PUBLIC_CANDIDATE","public by default; still not canon","private/hold; do not publish")</x:f>
        <x:v>public by default; still not canon</x:v>
      </x:c>
      <x:c r="AK482" s="12" t="str">
        <x:f>IF(AE482="prepare_public_github_candidate","add receipt/status then mirror","resolve blocker before any public GitHub action")</x:f>
        <x:v>add receipt/status then mirror</x:v>
      </x:c>
    </x:row>
    <x:row r="483">
      <x:c r="A483" s="15" t="str">
        <x:v>SWARM-04-H05-S02</x:v>
      </x:c>
      <x:c r="B483" s="15" t="str">
        <x:v>Tidelock</x:v>
      </x:c>
      <x:c r="C483" s="15" t="str">
        <x:v>Access blocker keeper</x:v>
      </x:c>
      <x:c r="D483" s="15" t="str">
        <x:v>Contradiction Mapping</x:v>
      </x:c>
      <x:c r="E483" s="15" t="str">
        <x:v>Drive</x:v>
      </x:c>
      <x:c r="F483" s="15" t="str">
        <x:v>Map contradictions in Drive — Tidelock</x:v>
      </x:c>
      <x:c r="G483" s="15" t="str">
        <x:v>missing access / blocker ledger / next safe action</x:v>
      </x:c>
      <x:c r="H483" s="15" t="str">
        <x:v>source path + receipt + raw/export status + claim/edge/risk delta</x:v>
      </x:c>
      <x:c r="I483" s="15" t="str">
        <x:v>packet/SWARM-04-H05-S02</x:v>
      </x:c>
      <x:c r="J483" s="15" t="str">
        <x:v>TODO</x:v>
      </x:c>
      <x:c r="K483" s="15" t="str">
        <x:v>P0</x:v>
      </x:c>
      <x:c r="L483" s="15" t="str">
        <x:v>Done only when evidence is logged, contradiction search is noted, and boundary stamp remains non-canon unless ratified</x:v>
      </x:c>
      <x:c r="M483" s="15" t="str">
        <x:v>candidate / staging-only / not canon / not deployed / authority none</x:v>
      </x:c>
      <x:c r="N483" s="15" t="str">
        <x:v>Dispatch to Tidelock: complete Contradiction Mapping x Drive; return deltas only, receipts required.</x:v>
      </x:c>
      <x:c r="O483" s="15" t="str">
        <x:v>AF-KG-H05-S02</x:v>
      </x:c>
      <x:c r="P483" s="15" t="str">
        <x:v>Unverified</x:v>
      </x:c>
      <x:c r="Q483" s="15" t="str">
        <x:v>Not checked</x:v>
      </x:c>
      <x:c r="R483" s="15" t="str"/>
      <x:c r="S483" s="15" t="str"/>
      <x:c r="T483" s="15" t="str">
        <x:v>Log first source path or blocker</x:v>
      </x:c>
      <x:c r="U483" s="12" t="str">
        <x:f>IF(OR(P483="Unverified",Q483="Not checked"),"BLOCKED_PENDING_RECEIPT","READY_FOR_REVIEW")</x:f>
        <x:v>BLOCKED_PENDING_RECEIPT</x:v>
      </x:c>
      <x:c r="V483" s="12" t="str">
        <x:f>IF(J483="DONE","RETURNED",IF(U483="BLOCKED_PENDING_RECEIPT","SOURCE_TOUCH_REQUIRED","IN_PROGRESS"))</x:f>
        <x:v>SOURCE_TOUCH_REQUIRED</x:v>
      </x:c>
      <x:c r="W483" s="12" t="str">
        <x:f>IF(P483="Unverified","missing_receipt","receipt_logged")</x:f>
        <x:v>missing_receipt</x:v>
      </x:c>
      <x:c r="X483" s="12" t="str">
        <x:f>IF(Q483="Not checked","raw_status_missing","raw_status_logged")</x:f>
        <x:v>raw_status_missing</x:v>
      </x:c>
      <x:c r="Y483" s="12" t="str">
        <x:f>IF(U483="BLOCKED_PENDING_RECEIPT","Log source path or blocker; do not promote","Route to review lane")</x:f>
        <x:v>Log source path or blocker; do not promote</x:v>
      </x:c>
      <x:c r="Z483" s="12" t="str">
        <x:f>IF(K483="P0","Primary seat + Hashlight/Lucerna","Seat lane")</x:f>
        <x:v>Primary seat + Hashlight/Lucerna</x:v>
      </x:c>
      <x:c r="AA483" s="12" t="str">
        <x:f>IF(R483="","no_claim_delta","claim_delta_present")</x:f>
        <x:v>no_claim_delta</x:v>
      </x:c>
      <x:c r="AB483" s="12" t="str">
        <x:f>IF(S483="","no_contradiction_delta","contradiction_delta_present")</x:f>
        <x:v>no_contradiction_delta</x:v>
      </x:c>
      <x:c r="AC483" s="12" t="str">
        <x:f>IF(OR(ISNUMBER(SEARCH("hacker",LOWER(F483&amp;" "&amp;H483&amp;" "&amp;I483&amp;" "&amp;M483&amp;" "&amp;N483&amp;" "&amp;T483))),ISNUMBER(SEARCH("hacking",LOWER(F483&amp;" "&amp;H483&amp;" "&amp;I483&amp;" "&amp;M483&amp;" "&amp;N483&amp;" "&amp;T483))),ISNUMBER(SEARCH("bank",LOWER(F483&amp;" "&amp;H483&amp;" "&amp;I483&amp;" "&amp;M483&amp;" "&amp;N483&amp;" "&amp;T483))),ISNUMBER(SEARCH("banking",LOWER(F483&amp;" "&amp;H483&amp;" "&amp;I483&amp;" "&amp;M483&amp;" "&amp;N483&amp;" "&amp;T483)))),"PRIVATE_QUARANTINE",IF(OR(ISNUMBER(SEARCH("treasury",LOWER(F483&amp;" "&amp;H483&amp;" "&amp;I483&amp;" "&amp;M483&amp;" "&amp;N483&amp;" "&amp;T483))),ISNUMBER(SEARCH("debt",LOWER(F483&amp;" "&amp;H483&amp;" "&amp;I483&amp;" "&amp;M483&amp;" "&amp;N483&amp;" "&amp;T483))),ISNUMBER(SEARCH("bond",LOWER(F483&amp;" "&amp;H483&amp;" "&amp;I483&amp;" "&amp;M483&amp;" "&amp;N483&amp;" "&amp;T483))),ISNUMBER(SEARCH("transaction",LOWER(F483&amp;" "&amp;H483&amp;" "&amp;I483&amp;" "&amp;M483&amp;" "&amp;N483&amp;" "&amp;T483)))),"PRIVATE_REVIEW","PUBLIC_CANDIDATE"))</x:f>
        <x:v>PUBLIC_CANDIDATE</x:v>
      </x:c>
      <x:c r="AD483" s="12" t="str">
        <x:f>IF(AC483="PRIVATE_QUARANTINE","hacker_or_bank_trigger",IF(AC483="PRIVATE_REVIEW","finance_risk_trigger","none"))</x:f>
        <x:v>none</x:v>
      </x:c>
      <x:c r="AE483" s="12" t="str">
        <x:f>IF(AC483="PUBLIC_CANDIDATE","prepare_public_github_candidate",IF(AC483="PRIVATE_REVIEW","hold_for_private_review","quarantine_private_do_not_publish"))</x:f>
        <x:v>prepare_public_github_candidate</x:v>
      </x:c>
      <x:c r="AF483" s="12" t="str">
        <x:f>IF(AC483="PUBLIC_CANDIDATE","TIDELOCK + Lucerna",IF(AC483="PRIVATE_REVIEW","AtlasBrain + Lucerna","TIDELOCK + Lucerna + Human-root"))</x:f>
        <x:v>TIDELOCK + Lucerna</x:v>
      </x:c>
      <x:c r="AG483" s="12" t="str">
        <x:f>IF(AND(AC483="PUBLIC_CANDIDATE",U483&lt;&gt;"BLOCKED_PENDING_RECEIPT"),"READY_AFTER_RECEIPT","NOT_READY")</x:f>
        <x:v>NOT_READY</x:v>
      </x:c>
      <x:c r="AH483" s="12" t="str">
        <x:f>IF(AC483="PUBLIC_CANDIDATE","none",AD483)</x:f>
        <x:v>none</x:v>
      </x:c>
      <x:c r="AI483" s="12" t="str">
        <x:f>IF(AC483="PUBLIC_CANDIDATE","archive/public_candidates/"&amp;A483,"private_quarantine/"&amp;A483)</x:f>
        <x:v>archive/public_candidates/SWARM-04-H05-S02</x:v>
      </x:c>
      <x:c r="AJ483" s="12" t="str">
        <x:f>IF(AC483="PUBLIC_CANDIDATE","public by default; still not canon","private/hold; do not publish")</x:f>
        <x:v>public by default; still not canon</x:v>
      </x:c>
      <x:c r="AK483" s="12" t="str">
        <x:f>IF(AE483="prepare_public_github_candidate","add receipt/status then mirror","resolve blocker before any public GitHub action")</x:f>
        <x:v>add receipt/status then mirror</x:v>
      </x:c>
    </x:row>
    <x:row r="484">
      <x:c r="A484" s="15" t="str">
        <x:v>SWARM-04-H05-S03</x:v>
      </x:c>
      <x:c r="B484" s="15" t="str">
        <x:v>Tidelock</x:v>
      </x:c>
      <x:c r="C484" s="15" t="str">
        <x:v>Access blocker keeper</x:v>
      </x:c>
      <x:c r="D484" s="15" t="str">
        <x:v>Contradiction Mapping</x:v>
      </x:c>
      <x:c r="E484" s="15" t="str">
        <x:v>GitHub</x:v>
      </x:c>
      <x:c r="F484" s="15" t="str">
        <x:v>Map contradictions in GitHub — Tidelock</x:v>
      </x:c>
      <x:c r="G484" s="15" t="str">
        <x:v>missing access / blocker ledger / next safe action</x:v>
      </x:c>
      <x:c r="H484" s="15" t="str">
        <x:v>source path + receipt + raw/export status + claim/edge/risk delta</x:v>
      </x:c>
      <x:c r="I484" s="15" t="str">
        <x:v>packet/SWARM-04-H05-S03</x:v>
      </x:c>
      <x:c r="J484" s="15" t="str">
        <x:v>TODO</x:v>
      </x:c>
      <x:c r="K484" s="15" t="str">
        <x:v>P0</x:v>
      </x:c>
      <x:c r="L484" s="15" t="str">
        <x:v>Done only when evidence is logged, contradiction search is noted, and boundary stamp remains non-canon unless ratified</x:v>
      </x:c>
      <x:c r="M484" s="15" t="str">
        <x:v>candidate / staging-only / not canon / not deployed / authority none</x:v>
      </x:c>
      <x:c r="N484" s="15" t="str">
        <x:v>Dispatch to Tidelock: complete Contradiction Mapping x GitHub; return deltas only, receipts required.</x:v>
      </x:c>
      <x:c r="O484" s="15" t="str">
        <x:v>AF-KG-H05-S03</x:v>
      </x:c>
      <x:c r="P484" s="15" t="str">
        <x:v>Unverified</x:v>
      </x:c>
      <x:c r="Q484" s="15" t="str">
        <x:v>Not checked</x:v>
      </x:c>
      <x:c r="R484" s="15" t="str"/>
      <x:c r="S484" s="15" t="str"/>
      <x:c r="T484" s="15" t="str">
        <x:v>Log first source path or blocker</x:v>
      </x:c>
      <x:c r="U484" s="12" t="str">
        <x:f>IF(OR(P484="Unverified",Q484="Not checked"),"BLOCKED_PENDING_RECEIPT","READY_FOR_REVIEW")</x:f>
        <x:v>BLOCKED_PENDING_RECEIPT</x:v>
      </x:c>
      <x:c r="V484" s="12" t="str">
        <x:f>IF(J484="DONE","RETURNED",IF(U484="BLOCKED_PENDING_RECEIPT","SOURCE_TOUCH_REQUIRED","IN_PROGRESS"))</x:f>
        <x:v>SOURCE_TOUCH_REQUIRED</x:v>
      </x:c>
      <x:c r="W484" s="12" t="str">
        <x:f>IF(P484="Unverified","missing_receipt","receipt_logged")</x:f>
        <x:v>missing_receipt</x:v>
      </x:c>
      <x:c r="X484" s="12" t="str">
        <x:f>IF(Q484="Not checked","raw_status_missing","raw_status_logged")</x:f>
        <x:v>raw_status_missing</x:v>
      </x:c>
      <x:c r="Y484" s="12" t="str">
        <x:f>IF(U484="BLOCKED_PENDING_RECEIPT","Log source path or blocker; do not promote","Route to review lane")</x:f>
        <x:v>Log source path or blocker; do not promote</x:v>
      </x:c>
      <x:c r="Z484" s="12" t="str">
        <x:f>IF(K484="P0","Primary seat + Hashlight/Lucerna","Seat lane")</x:f>
        <x:v>Primary seat + Hashlight/Lucerna</x:v>
      </x:c>
      <x:c r="AA484" s="12" t="str">
        <x:f>IF(R484="","no_claim_delta","claim_delta_present")</x:f>
        <x:v>no_claim_delta</x:v>
      </x:c>
      <x:c r="AB484" s="12" t="str">
        <x:f>IF(S484="","no_contradiction_delta","contradiction_delta_present")</x:f>
        <x:v>no_contradiction_delta</x:v>
      </x:c>
      <x:c r="AC484" s="12" t="str">
        <x:f>IF(OR(ISNUMBER(SEARCH("hacker",LOWER(F484&amp;" "&amp;H484&amp;" "&amp;I484&amp;" "&amp;M484&amp;" "&amp;N484&amp;" "&amp;T484))),ISNUMBER(SEARCH("hacking",LOWER(F484&amp;" "&amp;H484&amp;" "&amp;I484&amp;" "&amp;M484&amp;" "&amp;N484&amp;" "&amp;T484))),ISNUMBER(SEARCH("bank",LOWER(F484&amp;" "&amp;H484&amp;" "&amp;I484&amp;" "&amp;M484&amp;" "&amp;N484&amp;" "&amp;T484))),ISNUMBER(SEARCH("banking",LOWER(F484&amp;" "&amp;H484&amp;" "&amp;I484&amp;" "&amp;M484&amp;" "&amp;N484&amp;" "&amp;T484)))),"PRIVATE_QUARANTINE",IF(OR(ISNUMBER(SEARCH("treasury",LOWER(F484&amp;" "&amp;H484&amp;" "&amp;I484&amp;" "&amp;M484&amp;" "&amp;N484&amp;" "&amp;T484))),ISNUMBER(SEARCH("debt",LOWER(F484&amp;" "&amp;H484&amp;" "&amp;I484&amp;" "&amp;M484&amp;" "&amp;N484&amp;" "&amp;T484))),ISNUMBER(SEARCH("bond",LOWER(F484&amp;" "&amp;H484&amp;" "&amp;I484&amp;" "&amp;M484&amp;" "&amp;N484&amp;" "&amp;T484))),ISNUMBER(SEARCH("transaction",LOWER(F484&amp;" "&amp;H484&amp;" "&amp;I484&amp;" "&amp;M484&amp;" "&amp;N484&amp;" "&amp;T484)))),"PRIVATE_REVIEW","PUBLIC_CANDIDATE"))</x:f>
        <x:v>PUBLIC_CANDIDATE</x:v>
      </x:c>
      <x:c r="AD484" s="12" t="str">
        <x:f>IF(AC484="PRIVATE_QUARANTINE","hacker_or_bank_trigger",IF(AC484="PRIVATE_REVIEW","finance_risk_trigger","none"))</x:f>
        <x:v>none</x:v>
      </x:c>
      <x:c r="AE484" s="12" t="str">
        <x:f>IF(AC484="PUBLIC_CANDIDATE","prepare_public_github_candidate",IF(AC484="PRIVATE_REVIEW","hold_for_private_review","quarantine_private_do_not_publish"))</x:f>
        <x:v>prepare_public_github_candidate</x:v>
      </x:c>
      <x:c r="AF484" s="12" t="str">
        <x:f>IF(AC484="PUBLIC_CANDIDATE","TIDELOCK + Lucerna",IF(AC484="PRIVATE_REVIEW","AtlasBrain + Lucerna","TIDELOCK + Lucerna + Human-root"))</x:f>
        <x:v>TIDELOCK + Lucerna</x:v>
      </x:c>
      <x:c r="AG484" s="12" t="str">
        <x:f>IF(AND(AC484="PUBLIC_CANDIDATE",U484&lt;&gt;"BLOCKED_PENDING_RECEIPT"),"READY_AFTER_RECEIPT","NOT_READY")</x:f>
        <x:v>NOT_READY</x:v>
      </x:c>
      <x:c r="AH484" s="12" t="str">
        <x:f>IF(AC484="PUBLIC_CANDIDATE","none",AD484)</x:f>
        <x:v>none</x:v>
      </x:c>
      <x:c r="AI484" s="12" t="str">
        <x:f>IF(AC484="PUBLIC_CANDIDATE","archive/public_candidates/"&amp;A484,"private_quarantine/"&amp;A484)</x:f>
        <x:v>archive/public_candidates/SWARM-04-H05-S03</x:v>
      </x:c>
      <x:c r="AJ484" s="12" t="str">
        <x:f>IF(AC484="PUBLIC_CANDIDATE","public by default; still not canon","private/hold; do not publish")</x:f>
        <x:v>public by default; still not canon</x:v>
      </x:c>
      <x:c r="AK484" s="12" t="str">
        <x:f>IF(AE484="prepare_public_github_candidate","add receipt/status then mirror","resolve blocker before any public GitHub action")</x:f>
        <x:v>add receipt/status then mirror</x:v>
      </x:c>
    </x:row>
    <x:row r="485">
      <x:c r="A485" s="15" t="str">
        <x:v>SWARM-04-H05-S04</x:v>
      </x:c>
      <x:c r="B485" s="15" t="str">
        <x:v>Tidelock</x:v>
      </x:c>
      <x:c r="C485" s="15" t="str">
        <x:v>Access blocker keeper</x:v>
      </x:c>
      <x:c r="D485" s="15" t="str">
        <x:v>Contradiction Mapping</x:v>
      </x:c>
      <x:c r="E485" s="15" t="str">
        <x:v>Gamma</x:v>
      </x:c>
      <x:c r="F485" s="15" t="str">
        <x:v>Map contradictions in Gamma — Tidelock</x:v>
      </x:c>
      <x:c r="G485" s="15" t="str">
        <x:v>missing access / blocker ledger / next safe action</x:v>
      </x:c>
      <x:c r="H485" s="15" t="str">
        <x:v>source path + receipt + raw/export status + claim/edge/risk delta</x:v>
      </x:c>
      <x:c r="I485" s="15" t="str">
        <x:v>packet/SWARM-04-H05-S04</x:v>
      </x:c>
      <x:c r="J485" s="15" t="str">
        <x:v>TODO</x:v>
      </x:c>
      <x:c r="K485" s="15" t="str">
        <x:v>P1</x:v>
      </x:c>
      <x:c r="L485" s="15" t="str">
        <x:v>Done only when evidence is logged, contradiction search is noted, and boundary stamp remains non-canon unless ratified</x:v>
      </x:c>
      <x:c r="M485" s="15" t="str">
        <x:v>candidate / staging-only / not canon / not deployed / authority none</x:v>
      </x:c>
      <x:c r="N485" s="15" t="str">
        <x:v>Dispatch to Tidelock: complete Contradiction Mapping x Gamma; return deltas only, receipts required.</x:v>
      </x:c>
      <x:c r="O485" s="15" t="str">
        <x:v>AF-KG-H05-S04</x:v>
      </x:c>
      <x:c r="P485" s="15" t="str">
        <x:v>Unverified</x:v>
      </x:c>
      <x:c r="Q485" s="15" t="str">
        <x:v>Not checked</x:v>
      </x:c>
      <x:c r="R485" s="15" t="str"/>
      <x:c r="S485" s="15" t="str"/>
      <x:c r="T485" s="15" t="str">
        <x:v>Log first source path or blocker</x:v>
      </x:c>
      <x:c r="U485" s="12" t="str">
        <x:f>IF(OR(P485="Unverified",Q485="Not checked"),"BLOCKED_PENDING_RECEIPT","READY_FOR_REVIEW")</x:f>
        <x:v>BLOCKED_PENDING_RECEIPT</x:v>
      </x:c>
      <x:c r="V485" s="12" t="str">
        <x:f>IF(J485="DONE","RETURNED",IF(U485="BLOCKED_PENDING_RECEIPT","SOURCE_TOUCH_REQUIRED","IN_PROGRESS"))</x:f>
        <x:v>SOURCE_TOUCH_REQUIRED</x:v>
      </x:c>
      <x:c r="W485" s="12" t="str">
        <x:f>IF(P485="Unverified","missing_receipt","receipt_logged")</x:f>
        <x:v>missing_receipt</x:v>
      </x:c>
      <x:c r="X485" s="12" t="str">
        <x:f>IF(Q485="Not checked","raw_status_missing","raw_status_logged")</x:f>
        <x:v>raw_status_missing</x:v>
      </x:c>
      <x:c r="Y485" s="12" t="str">
        <x:f>IF(U485="BLOCKED_PENDING_RECEIPT","Log source path or blocker; do not promote","Route to review lane")</x:f>
        <x:v>Log source path or blocker; do not promote</x:v>
      </x:c>
      <x:c r="Z485" s="12" t="str">
        <x:f>IF(K485="P0","Primary seat + Hashlight/Lucerna","Seat lane")</x:f>
        <x:v>Seat lane</x:v>
      </x:c>
      <x:c r="AA485" s="12" t="str">
        <x:f>IF(R485="","no_claim_delta","claim_delta_present")</x:f>
        <x:v>no_claim_delta</x:v>
      </x:c>
      <x:c r="AB485" s="12" t="str">
        <x:f>IF(S485="","no_contradiction_delta","contradiction_delta_present")</x:f>
        <x:v>no_contradiction_delta</x:v>
      </x:c>
      <x:c r="AC485" s="12" t="str">
        <x:f>IF(OR(ISNUMBER(SEARCH("hacker",LOWER(F485&amp;" "&amp;H485&amp;" "&amp;I485&amp;" "&amp;M485&amp;" "&amp;N485&amp;" "&amp;T485))),ISNUMBER(SEARCH("hacking",LOWER(F485&amp;" "&amp;H485&amp;" "&amp;I485&amp;" "&amp;M485&amp;" "&amp;N485&amp;" "&amp;T485))),ISNUMBER(SEARCH("bank",LOWER(F485&amp;" "&amp;H485&amp;" "&amp;I485&amp;" "&amp;M485&amp;" "&amp;N485&amp;" "&amp;T485))),ISNUMBER(SEARCH("banking",LOWER(F485&amp;" "&amp;H485&amp;" "&amp;I485&amp;" "&amp;M485&amp;" "&amp;N485&amp;" "&amp;T485)))),"PRIVATE_QUARANTINE",IF(OR(ISNUMBER(SEARCH("treasury",LOWER(F485&amp;" "&amp;H485&amp;" "&amp;I485&amp;" "&amp;M485&amp;" "&amp;N485&amp;" "&amp;T485))),ISNUMBER(SEARCH("debt",LOWER(F485&amp;" "&amp;H485&amp;" "&amp;I485&amp;" "&amp;M485&amp;" "&amp;N485&amp;" "&amp;T485))),ISNUMBER(SEARCH("bond",LOWER(F485&amp;" "&amp;H485&amp;" "&amp;I485&amp;" "&amp;M485&amp;" "&amp;N485&amp;" "&amp;T485))),ISNUMBER(SEARCH("transaction",LOWER(F485&amp;" "&amp;H485&amp;" "&amp;I485&amp;" "&amp;M485&amp;" "&amp;N485&amp;" "&amp;T485)))),"PRIVATE_REVIEW","PUBLIC_CANDIDATE"))</x:f>
        <x:v>PUBLIC_CANDIDATE</x:v>
      </x:c>
      <x:c r="AD485" s="12" t="str">
        <x:f>IF(AC485="PRIVATE_QUARANTINE","hacker_or_bank_trigger",IF(AC485="PRIVATE_REVIEW","finance_risk_trigger","none"))</x:f>
        <x:v>none</x:v>
      </x:c>
      <x:c r="AE485" s="12" t="str">
        <x:f>IF(AC485="PUBLIC_CANDIDATE","prepare_public_github_candidate",IF(AC485="PRIVATE_REVIEW","hold_for_private_review","quarantine_private_do_not_publish"))</x:f>
        <x:v>prepare_public_github_candidate</x:v>
      </x:c>
      <x:c r="AF485" s="12" t="str">
        <x:f>IF(AC485="PUBLIC_CANDIDATE","TIDELOCK + Lucerna",IF(AC485="PRIVATE_REVIEW","AtlasBrain + Lucerna","TIDELOCK + Lucerna + Human-root"))</x:f>
        <x:v>TIDELOCK + Lucerna</x:v>
      </x:c>
      <x:c r="AG485" s="12" t="str">
        <x:f>IF(AND(AC485="PUBLIC_CANDIDATE",U485&lt;&gt;"BLOCKED_PENDING_RECEIPT"),"READY_AFTER_RECEIPT","NOT_READY")</x:f>
        <x:v>NOT_READY</x:v>
      </x:c>
      <x:c r="AH485" s="12" t="str">
        <x:f>IF(AC485="PUBLIC_CANDIDATE","none",AD485)</x:f>
        <x:v>none</x:v>
      </x:c>
      <x:c r="AI485" s="12" t="str">
        <x:f>IF(AC485="PUBLIC_CANDIDATE","archive/public_candidates/"&amp;A485,"private_quarantine/"&amp;A485)</x:f>
        <x:v>archive/public_candidates/SWARM-04-H05-S04</x:v>
      </x:c>
      <x:c r="AJ485" s="12" t="str">
        <x:f>IF(AC485="PUBLIC_CANDIDATE","public by default; still not canon","private/hold; do not publish")</x:f>
        <x:v>public by default; still not canon</x:v>
      </x:c>
      <x:c r="AK485" s="12" t="str">
        <x:f>IF(AE485="prepare_public_github_candidate","add receipt/status then mirror","resolve blocker before any public GitHub action")</x:f>
        <x:v>add receipt/status then mirror</x:v>
      </x:c>
    </x:row>
    <x:row r="486">
      <x:c r="A486" s="15" t="str">
        <x:v>SWARM-04-H05-S05</x:v>
      </x:c>
      <x:c r="B486" s="15" t="str">
        <x:v>Tidelock</x:v>
      </x:c>
      <x:c r="C486" s="15" t="str">
        <x:v>Access blocker keeper</x:v>
      </x:c>
      <x:c r="D486" s="15" t="str">
        <x:v>Contradiction Mapping</x:v>
      </x:c>
      <x:c r="E486" s="15" t="str">
        <x:v>Chat</x:v>
      </x:c>
      <x:c r="F486" s="15" t="str">
        <x:v>Map contradictions in Chat — Tidelock</x:v>
      </x:c>
      <x:c r="G486" s="15" t="str">
        <x:v>missing access / blocker ledger / next safe action</x:v>
      </x:c>
      <x:c r="H486" s="15" t="str">
        <x:v>source path + receipt + raw/export status + claim/edge/risk delta</x:v>
      </x:c>
      <x:c r="I486" s="15" t="str">
        <x:v>packet/SWARM-04-H05-S05</x:v>
      </x:c>
      <x:c r="J486" s="15" t="str">
        <x:v>TODO</x:v>
      </x:c>
      <x:c r="K486" s="15" t="str">
        <x:v>P1</x:v>
      </x:c>
      <x:c r="L486" s="15" t="str">
        <x:v>Done only when evidence is logged, contradiction search is noted, and boundary stamp remains non-canon unless ratified</x:v>
      </x:c>
      <x:c r="M486" s="15" t="str">
        <x:v>candidate / staging-only / not canon / not deployed / authority none</x:v>
      </x:c>
      <x:c r="N486" s="15" t="str">
        <x:v>Dispatch to Tidelock: complete Contradiction Mapping x Chat; return deltas only, receipts required.</x:v>
      </x:c>
      <x:c r="O486" s="15" t="str">
        <x:v>AF-KG-H05-S05</x:v>
      </x:c>
      <x:c r="P486" s="15" t="str">
        <x:v>Unverified</x:v>
      </x:c>
      <x:c r="Q486" s="15" t="str">
        <x:v>Not checked</x:v>
      </x:c>
      <x:c r="R486" s="15" t="str"/>
      <x:c r="S486" s="15" t="str"/>
      <x:c r="T486" s="15" t="str">
        <x:v>Log first source path or blocker</x:v>
      </x:c>
      <x:c r="U486" s="12" t="str">
        <x:f>IF(OR(P486="Unverified",Q486="Not checked"),"BLOCKED_PENDING_RECEIPT","READY_FOR_REVIEW")</x:f>
        <x:v>BLOCKED_PENDING_RECEIPT</x:v>
      </x:c>
      <x:c r="V486" s="12" t="str">
        <x:f>IF(J486="DONE","RETURNED",IF(U486="BLOCKED_PENDING_RECEIPT","SOURCE_TOUCH_REQUIRED","IN_PROGRESS"))</x:f>
        <x:v>SOURCE_TOUCH_REQUIRED</x:v>
      </x:c>
      <x:c r="W486" s="12" t="str">
        <x:f>IF(P486="Unverified","missing_receipt","receipt_logged")</x:f>
        <x:v>missing_receipt</x:v>
      </x:c>
      <x:c r="X486" s="12" t="str">
        <x:f>IF(Q486="Not checked","raw_status_missing","raw_status_logged")</x:f>
        <x:v>raw_status_missing</x:v>
      </x:c>
      <x:c r="Y486" s="12" t="str">
        <x:f>IF(U486="BLOCKED_PENDING_RECEIPT","Log source path or blocker; do not promote","Route to review lane")</x:f>
        <x:v>Log source path or blocker; do not promote</x:v>
      </x:c>
      <x:c r="Z486" s="12" t="str">
        <x:f>IF(K486="P0","Primary seat + Hashlight/Lucerna","Seat lane")</x:f>
        <x:v>Seat lane</x:v>
      </x:c>
      <x:c r="AA486" s="12" t="str">
        <x:f>IF(R486="","no_claim_delta","claim_delta_present")</x:f>
        <x:v>no_claim_delta</x:v>
      </x:c>
      <x:c r="AB486" s="12" t="str">
        <x:f>IF(S486="","no_contradiction_delta","contradiction_delta_present")</x:f>
        <x:v>no_contradiction_delta</x:v>
      </x:c>
      <x:c r="AC486" s="12" t="str">
        <x:f>IF(OR(ISNUMBER(SEARCH("hacker",LOWER(F486&amp;" "&amp;H486&amp;" "&amp;I486&amp;" "&amp;M486&amp;" "&amp;N486&amp;" "&amp;T486))),ISNUMBER(SEARCH("hacking",LOWER(F486&amp;" "&amp;H486&amp;" "&amp;I486&amp;" "&amp;M486&amp;" "&amp;N486&amp;" "&amp;T486))),ISNUMBER(SEARCH("bank",LOWER(F486&amp;" "&amp;H486&amp;" "&amp;I486&amp;" "&amp;M486&amp;" "&amp;N486&amp;" "&amp;T486))),ISNUMBER(SEARCH("banking",LOWER(F486&amp;" "&amp;H486&amp;" "&amp;I486&amp;" "&amp;M486&amp;" "&amp;N486&amp;" "&amp;T486)))),"PRIVATE_QUARANTINE",IF(OR(ISNUMBER(SEARCH("treasury",LOWER(F486&amp;" "&amp;H486&amp;" "&amp;I486&amp;" "&amp;M486&amp;" "&amp;N486&amp;" "&amp;T486))),ISNUMBER(SEARCH("debt",LOWER(F486&amp;" "&amp;H486&amp;" "&amp;I486&amp;" "&amp;M486&amp;" "&amp;N486&amp;" "&amp;T486))),ISNUMBER(SEARCH("bond",LOWER(F486&amp;" "&amp;H486&amp;" "&amp;I486&amp;" "&amp;M486&amp;" "&amp;N486&amp;" "&amp;T486))),ISNUMBER(SEARCH("transaction",LOWER(F486&amp;" "&amp;H486&amp;" "&amp;I486&amp;" "&amp;M486&amp;" "&amp;N486&amp;" "&amp;T486)))),"PRIVATE_REVIEW","PUBLIC_CANDIDATE"))</x:f>
        <x:v>PUBLIC_CANDIDATE</x:v>
      </x:c>
      <x:c r="AD486" s="12" t="str">
        <x:f>IF(AC486="PRIVATE_QUARANTINE","hacker_or_bank_trigger",IF(AC486="PRIVATE_REVIEW","finance_risk_trigger","none"))</x:f>
        <x:v>none</x:v>
      </x:c>
      <x:c r="AE486" s="12" t="str">
        <x:f>IF(AC486="PUBLIC_CANDIDATE","prepare_public_github_candidate",IF(AC486="PRIVATE_REVIEW","hold_for_private_review","quarantine_private_do_not_publish"))</x:f>
        <x:v>prepare_public_github_candidate</x:v>
      </x:c>
      <x:c r="AF486" s="12" t="str">
        <x:f>IF(AC486="PUBLIC_CANDIDATE","TIDELOCK + Lucerna",IF(AC486="PRIVATE_REVIEW","AtlasBrain + Lucerna","TIDELOCK + Lucerna + Human-root"))</x:f>
        <x:v>TIDELOCK + Lucerna</x:v>
      </x:c>
      <x:c r="AG486" s="12" t="str">
        <x:f>IF(AND(AC486="PUBLIC_CANDIDATE",U486&lt;&gt;"BLOCKED_PENDING_RECEIPT"),"READY_AFTER_RECEIPT","NOT_READY")</x:f>
        <x:v>NOT_READY</x:v>
      </x:c>
      <x:c r="AH486" s="12" t="str">
        <x:f>IF(AC486="PUBLIC_CANDIDATE","none",AD486)</x:f>
        <x:v>none</x:v>
      </x:c>
      <x:c r="AI486" s="12" t="str">
        <x:f>IF(AC486="PUBLIC_CANDIDATE","archive/public_candidates/"&amp;A486,"private_quarantine/"&amp;A486)</x:f>
        <x:v>archive/public_candidates/SWARM-04-H05-S05</x:v>
      </x:c>
      <x:c r="AJ486" s="12" t="str">
        <x:f>IF(AC486="PUBLIC_CANDIDATE","public by default; still not canon","private/hold; do not publish")</x:f>
        <x:v>public by default; still not canon</x:v>
      </x:c>
      <x:c r="AK486" s="12" t="str">
        <x:f>IF(AE486="prepare_public_github_candidate","add receipt/status then mirror","resolve blocker before any public GitHub action")</x:f>
        <x:v>add receipt/status then mirror</x:v>
      </x:c>
    </x:row>
    <x:row r="487">
      <x:c r="A487" s="15" t="str">
        <x:v>SWARM-04-H05-S06</x:v>
      </x:c>
      <x:c r="B487" s="15" t="str">
        <x:v>Tidelock</x:v>
      </x:c>
      <x:c r="C487" s="15" t="str">
        <x:v>Access blocker keeper</x:v>
      </x:c>
      <x:c r="D487" s="15" t="str">
        <x:v>Contradiction Mapping</x:v>
      </x:c>
      <x:c r="E487" s="15" t="str">
        <x:v>External Web</x:v>
      </x:c>
      <x:c r="F487" s="15" t="str">
        <x:v>Map contradictions in External Web — Tidelock</x:v>
      </x:c>
      <x:c r="G487" s="15" t="str">
        <x:v>missing access / blocker ledger / next safe action</x:v>
      </x:c>
      <x:c r="H487" s="15" t="str">
        <x:v>source path + receipt + raw/export status + claim/edge/risk delta</x:v>
      </x:c>
      <x:c r="I487" s="15" t="str">
        <x:v>packet/SWARM-04-H05-S06</x:v>
      </x:c>
      <x:c r="J487" s="15" t="str">
        <x:v>TODO</x:v>
      </x:c>
      <x:c r="K487" s="15" t="str">
        <x:v>P1</x:v>
      </x:c>
      <x:c r="L487" s="15" t="str">
        <x:v>Done only when evidence is logged, contradiction search is noted, and boundary stamp remains non-canon unless ratified</x:v>
      </x:c>
      <x:c r="M487" s="15" t="str">
        <x:v>candidate / staging-only / not canon / not deployed / authority none</x:v>
      </x:c>
      <x:c r="N487" s="15" t="str">
        <x:v>Dispatch to Tidelock: complete Contradiction Mapping x External Web; return deltas only, receipts required.</x:v>
      </x:c>
      <x:c r="O487" s="15" t="str">
        <x:v>AF-KG-H05-S06</x:v>
      </x:c>
      <x:c r="P487" s="15" t="str">
        <x:v>Unverified</x:v>
      </x:c>
      <x:c r="Q487" s="15" t="str">
        <x:v>Not checked</x:v>
      </x:c>
      <x:c r="R487" s="15" t="str"/>
      <x:c r="S487" s="15" t="str"/>
      <x:c r="T487" s="15" t="str">
        <x:v>Log first source path or blocker</x:v>
      </x:c>
      <x:c r="U487" s="12" t="str">
        <x:f>IF(OR(P487="Unverified",Q487="Not checked"),"BLOCKED_PENDING_RECEIPT","READY_FOR_REVIEW")</x:f>
        <x:v>BLOCKED_PENDING_RECEIPT</x:v>
      </x:c>
      <x:c r="V487" s="12" t="str">
        <x:f>IF(J487="DONE","RETURNED",IF(U487="BLOCKED_PENDING_RECEIPT","SOURCE_TOUCH_REQUIRED","IN_PROGRESS"))</x:f>
        <x:v>SOURCE_TOUCH_REQUIRED</x:v>
      </x:c>
      <x:c r="W487" s="12" t="str">
        <x:f>IF(P487="Unverified","missing_receipt","receipt_logged")</x:f>
        <x:v>missing_receipt</x:v>
      </x:c>
      <x:c r="X487" s="12" t="str">
        <x:f>IF(Q487="Not checked","raw_status_missing","raw_status_logged")</x:f>
        <x:v>raw_status_missing</x:v>
      </x:c>
      <x:c r="Y487" s="12" t="str">
        <x:f>IF(U487="BLOCKED_PENDING_RECEIPT","Log source path or blocker; do not promote","Route to review lane")</x:f>
        <x:v>Log source path or blocker; do not promote</x:v>
      </x:c>
      <x:c r="Z487" s="12" t="str">
        <x:f>IF(K487="P0","Primary seat + Hashlight/Lucerna","Seat lane")</x:f>
        <x:v>Seat lane</x:v>
      </x:c>
      <x:c r="AA487" s="12" t="str">
        <x:f>IF(R487="","no_claim_delta","claim_delta_present")</x:f>
        <x:v>no_claim_delta</x:v>
      </x:c>
      <x:c r="AB487" s="12" t="str">
        <x:f>IF(S487="","no_contradiction_delta","contradiction_delta_present")</x:f>
        <x:v>no_contradiction_delta</x:v>
      </x:c>
      <x:c r="AC487" s="12" t="str">
        <x:f>IF(OR(ISNUMBER(SEARCH("hacker",LOWER(F487&amp;" "&amp;H487&amp;" "&amp;I487&amp;" "&amp;M487&amp;" "&amp;N487&amp;" "&amp;T487))),ISNUMBER(SEARCH("hacking",LOWER(F487&amp;" "&amp;H487&amp;" "&amp;I487&amp;" "&amp;M487&amp;" "&amp;N487&amp;" "&amp;T487))),ISNUMBER(SEARCH("bank",LOWER(F487&amp;" "&amp;H487&amp;" "&amp;I487&amp;" "&amp;M487&amp;" "&amp;N487&amp;" "&amp;T487))),ISNUMBER(SEARCH("banking",LOWER(F487&amp;" "&amp;H487&amp;" "&amp;I487&amp;" "&amp;M487&amp;" "&amp;N487&amp;" "&amp;T487)))),"PRIVATE_QUARANTINE",IF(OR(ISNUMBER(SEARCH("treasury",LOWER(F487&amp;" "&amp;H487&amp;" "&amp;I487&amp;" "&amp;M487&amp;" "&amp;N487&amp;" "&amp;T487))),ISNUMBER(SEARCH("debt",LOWER(F487&amp;" "&amp;H487&amp;" "&amp;I487&amp;" "&amp;M487&amp;" "&amp;N487&amp;" "&amp;T487))),ISNUMBER(SEARCH("bond",LOWER(F487&amp;" "&amp;H487&amp;" "&amp;I487&amp;" "&amp;M487&amp;" "&amp;N487&amp;" "&amp;T487))),ISNUMBER(SEARCH("transaction",LOWER(F487&amp;" "&amp;H487&amp;" "&amp;I487&amp;" "&amp;M487&amp;" "&amp;N487&amp;" "&amp;T487)))),"PRIVATE_REVIEW","PUBLIC_CANDIDATE"))</x:f>
        <x:v>PUBLIC_CANDIDATE</x:v>
      </x:c>
      <x:c r="AD487" s="12" t="str">
        <x:f>IF(AC487="PRIVATE_QUARANTINE","hacker_or_bank_trigger",IF(AC487="PRIVATE_REVIEW","finance_risk_trigger","none"))</x:f>
        <x:v>none</x:v>
      </x:c>
      <x:c r="AE487" s="12" t="str">
        <x:f>IF(AC487="PUBLIC_CANDIDATE","prepare_public_github_candidate",IF(AC487="PRIVATE_REVIEW","hold_for_private_review","quarantine_private_do_not_publish"))</x:f>
        <x:v>prepare_public_github_candidate</x:v>
      </x:c>
      <x:c r="AF487" s="12" t="str">
        <x:f>IF(AC487="PUBLIC_CANDIDATE","TIDELOCK + Lucerna",IF(AC487="PRIVATE_REVIEW","AtlasBrain + Lucerna","TIDELOCK + Lucerna + Human-root"))</x:f>
        <x:v>TIDELOCK + Lucerna</x:v>
      </x:c>
      <x:c r="AG487" s="12" t="str">
        <x:f>IF(AND(AC487="PUBLIC_CANDIDATE",U487&lt;&gt;"BLOCKED_PENDING_RECEIPT"),"READY_AFTER_RECEIPT","NOT_READY")</x:f>
        <x:v>NOT_READY</x:v>
      </x:c>
      <x:c r="AH487" s="12" t="str">
        <x:f>IF(AC487="PUBLIC_CANDIDATE","none",AD487)</x:f>
        <x:v>none</x:v>
      </x:c>
      <x:c r="AI487" s="12" t="str">
        <x:f>IF(AC487="PUBLIC_CANDIDATE","archive/public_candidates/"&amp;A487,"private_quarantine/"&amp;A487)</x:f>
        <x:v>archive/public_candidates/SWARM-04-H05-S06</x:v>
      </x:c>
      <x:c r="AJ487" s="12" t="str">
        <x:f>IF(AC487="PUBLIC_CANDIDATE","public by default; still not canon","private/hold; do not publish")</x:f>
        <x:v>public by default; still not canon</x:v>
      </x:c>
      <x:c r="AK487" s="12" t="str">
        <x:f>IF(AE487="prepare_public_github_candidate","add receipt/status then mirror","resolve blocker before any public GitHub action")</x:f>
        <x:v>add receipt/status then mirror</x:v>
      </x:c>
    </x:row>
    <x:row r="488">
      <x:c r="A488" s="15" t="str">
        <x:v>SWARM-04-H05-S07</x:v>
      </x:c>
      <x:c r="B488" s="15" t="str">
        <x:v>Tidelock</x:v>
      </x:c>
      <x:c r="C488" s="15" t="str">
        <x:v>Access blocker keeper</x:v>
      </x:c>
      <x:c r="D488" s="15" t="str">
        <x:v>Contradiction Mapping</x:v>
      </x:c>
      <x:c r="E488" s="15" t="str">
        <x:v>Planetarium</x:v>
      </x:c>
      <x:c r="F488" s="15" t="str">
        <x:v>Map contradictions in Planetarium — Tidelock</x:v>
      </x:c>
      <x:c r="G488" s="15" t="str">
        <x:v>missing access / blocker ledger / next safe action</x:v>
      </x:c>
      <x:c r="H488" s="15" t="str">
        <x:v>source path + receipt + raw/export status + claim/edge/risk delta</x:v>
      </x:c>
      <x:c r="I488" s="15" t="str">
        <x:v>packet/SWARM-04-H05-S07</x:v>
      </x:c>
      <x:c r="J488" s="15" t="str">
        <x:v>TODO</x:v>
      </x:c>
      <x:c r="K488" s="15" t="str">
        <x:v>P1</x:v>
      </x:c>
      <x:c r="L488" s="15" t="str">
        <x:v>Done only when evidence is logged, contradiction search is noted, and boundary stamp remains non-canon unless ratified</x:v>
      </x:c>
      <x:c r="M488" s="15" t="str">
        <x:v>candidate / staging-only / not canon / not deployed / authority none</x:v>
      </x:c>
      <x:c r="N488" s="15" t="str">
        <x:v>Dispatch to Tidelock: complete Contradiction Mapping x Planetarium; return deltas only, receipts required.</x:v>
      </x:c>
      <x:c r="O488" s="15" t="str">
        <x:v>AF-KG-H05-S07</x:v>
      </x:c>
      <x:c r="P488" s="15" t="str">
        <x:v>Unverified</x:v>
      </x:c>
      <x:c r="Q488" s="15" t="str">
        <x:v>Not checked</x:v>
      </x:c>
      <x:c r="R488" s="15" t="str"/>
      <x:c r="S488" s="15" t="str"/>
      <x:c r="T488" s="15" t="str">
        <x:v>Log first source path or blocker</x:v>
      </x:c>
      <x:c r="U488" s="12" t="str">
        <x:f>IF(OR(P488="Unverified",Q488="Not checked"),"BLOCKED_PENDING_RECEIPT","READY_FOR_REVIEW")</x:f>
        <x:v>BLOCKED_PENDING_RECEIPT</x:v>
      </x:c>
      <x:c r="V488" s="12" t="str">
        <x:f>IF(J488="DONE","RETURNED",IF(U488="BLOCKED_PENDING_RECEIPT","SOURCE_TOUCH_REQUIRED","IN_PROGRESS"))</x:f>
        <x:v>SOURCE_TOUCH_REQUIRED</x:v>
      </x:c>
      <x:c r="W488" s="12" t="str">
        <x:f>IF(P488="Unverified","missing_receipt","receipt_logged")</x:f>
        <x:v>missing_receipt</x:v>
      </x:c>
      <x:c r="X488" s="12" t="str">
        <x:f>IF(Q488="Not checked","raw_status_missing","raw_status_logged")</x:f>
        <x:v>raw_status_missing</x:v>
      </x:c>
      <x:c r="Y488" s="12" t="str">
        <x:f>IF(U488="BLOCKED_PENDING_RECEIPT","Log source path or blocker; do not promote","Route to review lane")</x:f>
        <x:v>Log source path or blocker; do not promote</x:v>
      </x:c>
      <x:c r="Z488" s="12" t="str">
        <x:f>IF(K488="P0","Primary seat + Hashlight/Lucerna","Seat lane")</x:f>
        <x:v>Seat lane</x:v>
      </x:c>
      <x:c r="AA488" s="12" t="str">
        <x:f>IF(R488="","no_claim_delta","claim_delta_present")</x:f>
        <x:v>no_claim_delta</x:v>
      </x:c>
      <x:c r="AB488" s="12" t="str">
        <x:f>IF(S488="","no_contradiction_delta","contradiction_delta_present")</x:f>
        <x:v>no_contradiction_delta</x:v>
      </x:c>
      <x:c r="AC488" s="12" t="str">
        <x:f>IF(OR(ISNUMBER(SEARCH("hacker",LOWER(F488&amp;" "&amp;H488&amp;" "&amp;I488&amp;" "&amp;M488&amp;" "&amp;N488&amp;" "&amp;T488))),ISNUMBER(SEARCH("hacking",LOWER(F488&amp;" "&amp;H488&amp;" "&amp;I488&amp;" "&amp;M488&amp;" "&amp;N488&amp;" "&amp;T488))),ISNUMBER(SEARCH("bank",LOWER(F488&amp;" "&amp;H488&amp;" "&amp;I488&amp;" "&amp;M488&amp;" "&amp;N488&amp;" "&amp;T488))),ISNUMBER(SEARCH("banking",LOWER(F488&amp;" "&amp;H488&amp;" "&amp;I488&amp;" "&amp;M488&amp;" "&amp;N488&amp;" "&amp;T488)))),"PRIVATE_QUARANTINE",IF(OR(ISNUMBER(SEARCH("treasury",LOWER(F488&amp;" "&amp;H488&amp;" "&amp;I488&amp;" "&amp;M488&amp;" "&amp;N488&amp;" "&amp;T488))),ISNUMBER(SEARCH("debt",LOWER(F488&amp;" "&amp;H488&amp;" "&amp;I488&amp;" "&amp;M488&amp;" "&amp;N488&amp;" "&amp;T488))),ISNUMBER(SEARCH("bond",LOWER(F488&amp;" "&amp;H488&amp;" "&amp;I488&amp;" "&amp;M488&amp;" "&amp;N488&amp;" "&amp;T488))),ISNUMBER(SEARCH("transaction",LOWER(F488&amp;" "&amp;H488&amp;" "&amp;I488&amp;" "&amp;M488&amp;" "&amp;N488&amp;" "&amp;T488)))),"PRIVATE_REVIEW","PUBLIC_CANDIDATE"))</x:f>
        <x:v>PUBLIC_CANDIDATE</x:v>
      </x:c>
      <x:c r="AD488" s="12" t="str">
        <x:f>IF(AC488="PRIVATE_QUARANTINE","hacker_or_bank_trigger",IF(AC488="PRIVATE_REVIEW","finance_risk_trigger","none"))</x:f>
        <x:v>none</x:v>
      </x:c>
      <x:c r="AE488" s="12" t="str">
        <x:f>IF(AC488="PUBLIC_CANDIDATE","prepare_public_github_candidate",IF(AC488="PRIVATE_REVIEW","hold_for_private_review","quarantine_private_do_not_publish"))</x:f>
        <x:v>prepare_public_github_candidate</x:v>
      </x:c>
      <x:c r="AF488" s="12" t="str">
        <x:f>IF(AC488="PUBLIC_CANDIDATE","TIDELOCK + Lucerna",IF(AC488="PRIVATE_REVIEW","AtlasBrain + Lucerna","TIDELOCK + Lucerna + Human-root"))</x:f>
        <x:v>TIDELOCK + Lucerna</x:v>
      </x:c>
      <x:c r="AG488" s="12" t="str">
        <x:f>IF(AND(AC488="PUBLIC_CANDIDATE",U488&lt;&gt;"BLOCKED_PENDING_RECEIPT"),"READY_AFTER_RECEIPT","NOT_READY")</x:f>
        <x:v>NOT_READY</x:v>
      </x:c>
      <x:c r="AH488" s="12" t="str">
        <x:f>IF(AC488="PUBLIC_CANDIDATE","none",AD488)</x:f>
        <x:v>none</x:v>
      </x:c>
      <x:c r="AI488" s="12" t="str">
        <x:f>IF(AC488="PUBLIC_CANDIDATE","archive/public_candidates/"&amp;A488,"private_quarantine/"&amp;A488)</x:f>
        <x:v>archive/public_candidates/SWARM-04-H05-S07</x:v>
      </x:c>
      <x:c r="AJ488" s="12" t="str">
        <x:f>IF(AC488="PUBLIC_CANDIDATE","public by default; still not canon","private/hold; do not publish")</x:f>
        <x:v>public by default; still not canon</x:v>
      </x:c>
      <x:c r="AK488" s="12" t="str">
        <x:f>IF(AE488="prepare_public_github_candidate","add receipt/status then mirror","resolve blocker before any public GitHub action")</x:f>
        <x:v>add receipt/status then mirror</x:v>
      </x:c>
    </x:row>
    <x:row r="489">
      <x:c r="A489" s="15" t="str">
        <x:v>SWARM-04-H05-S08</x:v>
      </x:c>
      <x:c r="B489" s="15" t="str">
        <x:v>Tidelock</x:v>
      </x:c>
      <x:c r="C489" s="15" t="str">
        <x:v>Access blocker keeper</x:v>
      </x:c>
      <x:c r="D489" s="15" t="str">
        <x:v>Contradiction Mapping</x:v>
      </x:c>
      <x:c r="E489" s="15" t="str">
        <x:v>Sheldonbrain</x:v>
      </x:c>
      <x:c r="F489" s="15" t="str">
        <x:v>Map contradictions in Sheldonbrain — Tidelock</x:v>
      </x:c>
      <x:c r="G489" s="15" t="str">
        <x:v>missing access / blocker ledger / next safe action</x:v>
      </x:c>
      <x:c r="H489" s="15" t="str">
        <x:v>source path + receipt + raw/export status + claim/edge/risk delta</x:v>
      </x:c>
      <x:c r="I489" s="15" t="str">
        <x:v>packet/SWARM-04-H05-S08</x:v>
      </x:c>
      <x:c r="J489" s="15" t="str">
        <x:v>TODO</x:v>
      </x:c>
      <x:c r="K489" s="15" t="str">
        <x:v>P1</x:v>
      </x:c>
      <x:c r="L489" s="15" t="str">
        <x:v>Done only when evidence is logged, contradiction search is noted, and boundary stamp remains non-canon unless ratified</x:v>
      </x:c>
      <x:c r="M489" s="15" t="str">
        <x:v>candidate / staging-only / not canon / not deployed / authority none</x:v>
      </x:c>
      <x:c r="N489" s="15" t="str">
        <x:v>Dispatch to Tidelock: complete Contradiction Mapping x Sheldonbrain; return deltas only, receipts required.</x:v>
      </x:c>
      <x:c r="O489" s="15" t="str">
        <x:v>AF-KG-H05-S08</x:v>
      </x:c>
      <x:c r="P489" s="15" t="str">
        <x:v>Unverified</x:v>
      </x:c>
      <x:c r="Q489" s="15" t="str">
        <x:v>Not checked</x:v>
      </x:c>
      <x:c r="R489" s="15" t="str"/>
      <x:c r="S489" s="15" t="str"/>
      <x:c r="T489" s="15" t="str">
        <x:v>Log first source path or blocker</x:v>
      </x:c>
      <x:c r="U489" s="12" t="str">
        <x:f>IF(OR(P489="Unverified",Q489="Not checked"),"BLOCKED_PENDING_RECEIPT","READY_FOR_REVIEW")</x:f>
        <x:v>BLOCKED_PENDING_RECEIPT</x:v>
      </x:c>
      <x:c r="V489" s="12" t="str">
        <x:f>IF(J489="DONE","RETURNED",IF(U489="BLOCKED_PENDING_RECEIPT","SOURCE_TOUCH_REQUIRED","IN_PROGRESS"))</x:f>
        <x:v>SOURCE_TOUCH_REQUIRED</x:v>
      </x:c>
      <x:c r="W489" s="12" t="str">
        <x:f>IF(P489="Unverified","missing_receipt","receipt_logged")</x:f>
        <x:v>missing_receipt</x:v>
      </x:c>
      <x:c r="X489" s="12" t="str">
        <x:f>IF(Q489="Not checked","raw_status_missing","raw_status_logged")</x:f>
        <x:v>raw_status_missing</x:v>
      </x:c>
      <x:c r="Y489" s="12" t="str">
        <x:f>IF(U489="BLOCKED_PENDING_RECEIPT","Log source path or blocker; do not promote","Route to review lane")</x:f>
        <x:v>Log source path or blocker; do not promote</x:v>
      </x:c>
      <x:c r="Z489" s="12" t="str">
        <x:f>IF(K489="P0","Primary seat + Hashlight/Lucerna","Seat lane")</x:f>
        <x:v>Seat lane</x:v>
      </x:c>
      <x:c r="AA489" s="12" t="str">
        <x:f>IF(R489="","no_claim_delta","claim_delta_present")</x:f>
        <x:v>no_claim_delta</x:v>
      </x:c>
      <x:c r="AB489" s="12" t="str">
        <x:f>IF(S489="","no_contradiction_delta","contradiction_delta_present")</x:f>
        <x:v>no_contradiction_delta</x:v>
      </x:c>
      <x:c r="AC489" s="12" t="str">
        <x:f>IF(OR(ISNUMBER(SEARCH("hacker",LOWER(F489&amp;" "&amp;H489&amp;" "&amp;I489&amp;" "&amp;M489&amp;" "&amp;N489&amp;" "&amp;T489))),ISNUMBER(SEARCH("hacking",LOWER(F489&amp;" "&amp;H489&amp;" "&amp;I489&amp;" "&amp;M489&amp;" "&amp;N489&amp;" "&amp;T489))),ISNUMBER(SEARCH("bank",LOWER(F489&amp;" "&amp;H489&amp;" "&amp;I489&amp;" "&amp;M489&amp;" "&amp;N489&amp;" "&amp;T489))),ISNUMBER(SEARCH("banking",LOWER(F489&amp;" "&amp;H489&amp;" "&amp;I489&amp;" "&amp;M489&amp;" "&amp;N489&amp;" "&amp;T489)))),"PRIVATE_QUARANTINE",IF(OR(ISNUMBER(SEARCH("treasury",LOWER(F489&amp;" "&amp;H489&amp;" "&amp;I489&amp;" "&amp;M489&amp;" "&amp;N489&amp;" "&amp;T489))),ISNUMBER(SEARCH("debt",LOWER(F489&amp;" "&amp;H489&amp;" "&amp;I489&amp;" "&amp;M489&amp;" "&amp;N489&amp;" "&amp;T489))),ISNUMBER(SEARCH("bond",LOWER(F489&amp;" "&amp;H489&amp;" "&amp;I489&amp;" "&amp;M489&amp;" "&amp;N489&amp;" "&amp;T489))),ISNUMBER(SEARCH("transaction",LOWER(F489&amp;" "&amp;H489&amp;" "&amp;I489&amp;" "&amp;M489&amp;" "&amp;N489&amp;" "&amp;T489)))),"PRIVATE_REVIEW","PUBLIC_CANDIDATE"))</x:f>
        <x:v>PUBLIC_CANDIDATE</x:v>
      </x:c>
      <x:c r="AD489" s="12" t="str">
        <x:f>IF(AC489="PRIVATE_QUARANTINE","hacker_or_bank_trigger",IF(AC489="PRIVATE_REVIEW","finance_risk_trigger","none"))</x:f>
        <x:v>none</x:v>
      </x:c>
      <x:c r="AE489" s="12" t="str">
        <x:f>IF(AC489="PUBLIC_CANDIDATE","prepare_public_github_candidate",IF(AC489="PRIVATE_REVIEW","hold_for_private_review","quarantine_private_do_not_publish"))</x:f>
        <x:v>prepare_public_github_candidate</x:v>
      </x:c>
      <x:c r="AF489" s="12" t="str">
        <x:f>IF(AC489="PUBLIC_CANDIDATE","TIDELOCK + Lucerna",IF(AC489="PRIVATE_REVIEW","AtlasBrain + Lucerna","TIDELOCK + Lucerna + Human-root"))</x:f>
        <x:v>TIDELOCK + Lucerna</x:v>
      </x:c>
      <x:c r="AG489" s="12" t="str">
        <x:f>IF(AND(AC489="PUBLIC_CANDIDATE",U489&lt;&gt;"BLOCKED_PENDING_RECEIPT"),"READY_AFTER_RECEIPT","NOT_READY")</x:f>
        <x:v>NOT_READY</x:v>
      </x:c>
      <x:c r="AH489" s="12" t="str">
        <x:f>IF(AC489="PUBLIC_CANDIDATE","none",AD489)</x:f>
        <x:v>none</x:v>
      </x:c>
      <x:c r="AI489" s="12" t="str">
        <x:f>IF(AC489="PUBLIC_CANDIDATE","archive/public_candidates/"&amp;A489,"private_quarantine/"&amp;A489)</x:f>
        <x:v>archive/public_candidates/SWARM-04-H05-S08</x:v>
      </x:c>
      <x:c r="AJ489" s="12" t="str">
        <x:f>IF(AC489="PUBLIC_CANDIDATE","public by default; still not canon","private/hold; do not publish")</x:f>
        <x:v>public by default; still not canon</x:v>
      </x:c>
      <x:c r="AK489" s="12" t="str">
        <x:f>IF(AE489="prepare_public_github_candidate","add receipt/status then mirror","resolve blocker before any public GitHub action")</x:f>
        <x:v>add receipt/status then mirror</x:v>
      </x:c>
    </x:row>
    <x:row r="490">
      <x:c r="A490" s="15" t="str">
        <x:v>SWARM-04-H05-S09</x:v>
      </x:c>
      <x:c r="B490" s="15" t="str">
        <x:v>Tidelock</x:v>
      </x:c>
      <x:c r="C490" s="15" t="str">
        <x:v>Access blocker keeper</x:v>
      </x:c>
      <x:c r="D490" s="15" t="str">
        <x:v>Contradiction Mapping</x:v>
      </x:c>
      <x:c r="E490" s="15" t="str">
        <x:v>Aetherforge</x:v>
      </x:c>
      <x:c r="F490" s="15" t="str">
        <x:v>Map contradictions in Aetherforge — Tidelock</x:v>
      </x:c>
      <x:c r="G490" s="15" t="str">
        <x:v>missing access / blocker ledger / next safe action</x:v>
      </x:c>
      <x:c r="H490" s="15" t="str">
        <x:v>source path + receipt + raw/export status + claim/edge/risk delta</x:v>
      </x:c>
      <x:c r="I490" s="15" t="str">
        <x:v>packet/SWARM-04-H05-S09</x:v>
      </x:c>
      <x:c r="J490" s="15" t="str">
        <x:v>TODO</x:v>
      </x:c>
      <x:c r="K490" s="15" t="str">
        <x:v>P2</x:v>
      </x:c>
      <x:c r="L490" s="15" t="str">
        <x:v>Done only when evidence is logged, contradiction search is noted, and boundary stamp remains non-canon unless ratified</x:v>
      </x:c>
      <x:c r="M490" s="15" t="str">
        <x:v>candidate / staging-only / not canon / not deployed / authority none</x:v>
      </x:c>
      <x:c r="N490" s="15" t="str">
        <x:v>Dispatch to Tidelock: complete Contradiction Mapping x Aetherforge; return deltas only, receipts required.</x:v>
      </x:c>
      <x:c r="O490" s="15" t="str">
        <x:v>AF-KG-H05-S09</x:v>
      </x:c>
      <x:c r="P490" s="15" t="str">
        <x:v>Unverified</x:v>
      </x:c>
      <x:c r="Q490" s="15" t="str">
        <x:v>Not checked</x:v>
      </x:c>
      <x:c r="R490" s="15" t="str"/>
      <x:c r="S490" s="15" t="str"/>
      <x:c r="T490" s="15" t="str">
        <x:v>Log first source path or blocker</x:v>
      </x:c>
      <x:c r="U490" s="12" t="str">
        <x:f>IF(OR(P490="Unverified",Q490="Not checked"),"BLOCKED_PENDING_RECEIPT","READY_FOR_REVIEW")</x:f>
        <x:v>BLOCKED_PENDING_RECEIPT</x:v>
      </x:c>
      <x:c r="V490" s="12" t="str">
        <x:f>IF(J490="DONE","RETURNED",IF(U490="BLOCKED_PENDING_RECEIPT","SOURCE_TOUCH_REQUIRED","IN_PROGRESS"))</x:f>
        <x:v>SOURCE_TOUCH_REQUIRED</x:v>
      </x:c>
      <x:c r="W490" s="12" t="str">
        <x:f>IF(P490="Unverified","missing_receipt","receipt_logged")</x:f>
        <x:v>missing_receipt</x:v>
      </x:c>
      <x:c r="X490" s="12" t="str">
        <x:f>IF(Q490="Not checked","raw_status_missing","raw_status_logged")</x:f>
        <x:v>raw_status_missing</x:v>
      </x:c>
      <x:c r="Y490" s="12" t="str">
        <x:f>IF(U490="BLOCKED_PENDING_RECEIPT","Log source path or blocker; do not promote","Route to review lane")</x:f>
        <x:v>Log source path or blocker; do not promote</x:v>
      </x:c>
      <x:c r="Z490" s="12" t="str">
        <x:f>IF(K490="P0","Primary seat + Hashlight/Lucerna","Seat lane")</x:f>
        <x:v>Seat lane</x:v>
      </x:c>
      <x:c r="AA490" s="12" t="str">
        <x:f>IF(R490="","no_claim_delta","claim_delta_present")</x:f>
        <x:v>no_claim_delta</x:v>
      </x:c>
      <x:c r="AB490" s="12" t="str">
        <x:f>IF(S490="","no_contradiction_delta","contradiction_delta_present")</x:f>
        <x:v>no_contradiction_delta</x:v>
      </x:c>
      <x:c r="AC490" s="12" t="str">
        <x:f>IF(OR(ISNUMBER(SEARCH("hacker",LOWER(F490&amp;" "&amp;H490&amp;" "&amp;I490&amp;" "&amp;M490&amp;" "&amp;N490&amp;" "&amp;T490))),ISNUMBER(SEARCH("hacking",LOWER(F490&amp;" "&amp;H490&amp;" "&amp;I490&amp;" "&amp;M490&amp;" "&amp;N490&amp;" "&amp;T490))),ISNUMBER(SEARCH("bank",LOWER(F490&amp;" "&amp;H490&amp;" "&amp;I490&amp;" "&amp;M490&amp;" "&amp;N490&amp;" "&amp;T490))),ISNUMBER(SEARCH("banking",LOWER(F490&amp;" "&amp;H490&amp;" "&amp;I490&amp;" "&amp;M490&amp;" "&amp;N490&amp;" "&amp;T490)))),"PRIVATE_QUARANTINE",IF(OR(ISNUMBER(SEARCH("treasury",LOWER(F490&amp;" "&amp;H490&amp;" "&amp;I490&amp;" "&amp;M490&amp;" "&amp;N490&amp;" "&amp;T490))),ISNUMBER(SEARCH("debt",LOWER(F490&amp;" "&amp;H490&amp;" "&amp;I490&amp;" "&amp;M490&amp;" "&amp;N490&amp;" "&amp;T490))),ISNUMBER(SEARCH("bond",LOWER(F490&amp;" "&amp;H490&amp;" "&amp;I490&amp;" "&amp;M490&amp;" "&amp;N490&amp;" "&amp;T490))),ISNUMBER(SEARCH("transaction",LOWER(F490&amp;" "&amp;H490&amp;" "&amp;I490&amp;" "&amp;M490&amp;" "&amp;N490&amp;" "&amp;T490)))),"PRIVATE_REVIEW","PUBLIC_CANDIDATE"))</x:f>
        <x:v>PUBLIC_CANDIDATE</x:v>
      </x:c>
      <x:c r="AD490" s="12" t="str">
        <x:f>IF(AC490="PRIVATE_QUARANTINE","hacker_or_bank_trigger",IF(AC490="PRIVATE_REVIEW","finance_risk_trigger","none"))</x:f>
        <x:v>none</x:v>
      </x:c>
      <x:c r="AE490" s="12" t="str">
        <x:f>IF(AC490="PUBLIC_CANDIDATE","prepare_public_github_candidate",IF(AC490="PRIVATE_REVIEW","hold_for_private_review","quarantine_private_do_not_publish"))</x:f>
        <x:v>prepare_public_github_candidate</x:v>
      </x:c>
      <x:c r="AF490" s="12" t="str">
        <x:f>IF(AC490="PUBLIC_CANDIDATE","TIDELOCK + Lucerna",IF(AC490="PRIVATE_REVIEW","AtlasBrain + Lucerna","TIDELOCK + Lucerna + Human-root"))</x:f>
        <x:v>TIDELOCK + Lucerna</x:v>
      </x:c>
      <x:c r="AG490" s="12" t="str">
        <x:f>IF(AND(AC490="PUBLIC_CANDIDATE",U490&lt;&gt;"BLOCKED_PENDING_RECEIPT"),"READY_AFTER_RECEIPT","NOT_READY")</x:f>
        <x:v>NOT_READY</x:v>
      </x:c>
      <x:c r="AH490" s="12" t="str">
        <x:f>IF(AC490="PUBLIC_CANDIDATE","none",AD490)</x:f>
        <x:v>none</x:v>
      </x:c>
      <x:c r="AI490" s="12" t="str">
        <x:f>IF(AC490="PUBLIC_CANDIDATE","archive/public_candidates/"&amp;A490,"private_quarantine/"&amp;A490)</x:f>
        <x:v>archive/public_candidates/SWARM-04-H05-S09</x:v>
      </x:c>
      <x:c r="AJ490" s="12" t="str">
        <x:f>IF(AC490="PUBLIC_CANDIDATE","public by default; still not canon","private/hold; do not publish")</x:f>
        <x:v>public by default; still not canon</x:v>
      </x:c>
      <x:c r="AK490" s="12" t="str">
        <x:f>IF(AE490="prepare_public_github_candidate","add receipt/status then mirror","resolve blocker before any public GitHub action")</x:f>
        <x:v>add receipt/status then mirror</x:v>
      </x:c>
    </x:row>
    <x:row r="491">
      <x:c r="A491" s="15" t="str">
        <x:v>SWARM-04-H05-S10</x:v>
      </x:c>
      <x:c r="B491" s="15" t="str">
        <x:v>Tidelock</x:v>
      </x:c>
      <x:c r="C491" s="15" t="str">
        <x:v>Access blocker keeper</x:v>
      </x:c>
      <x:c r="D491" s="15" t="str">
        <x:v>Contradiction Mapping</x:v>
      </x:c>
      <x:c r="E491" s="15" t="str">
        <x:v>Human-Root</x:v>
      </x:c>
      <x:c r="F491" s="15" t="str">
        <x:v>Map contradictions in Human-Root — Tidelock</x:v>
      </x:c>
      <x:c r="G491" s="15" t="str">
        <x:v>missing access / blocker ledger / next safe action</x:v>
      </x:c>
      <x:c r="H491" s="15" t="str">
        <x:v>source path + receipt + raw/export status + claim/edge/risk delta</x:v>
      </x:c>
      <x:c r="I491" s="15" t="str">
        <x:v>packet/SWARM-04-H05-S10</x:v>
      </x:c>
      <x:c r="J491" s="15" t="str">
        <x:v>TODO</x:v>
      </x:c>
      <x:c r="K491" s="15" t="str">
        <x:v>P2</x:v>
      </x:c>
      <x:c r="L491" s="15" t="str">
        <x:v>Done only when evidence is logged, contradiction search is noted, and boundary stamp remains non-canon unless ratified</x:v>
      </x:c>
      <x:c r="M491" s="15" t="str">
        <x:v>candidate / staging-only / not canon / not deployed / authority none</x:v>
      </x:c>
      <x:c r="N491" s="15" t="str">
        <x:v>Dispatch to Tidelock: complete Contradiction Mapping x Human-Root; return deltas only, receipts required.</x:v>
      </x:c>
      <x:c r="O491" s="15" t="str">
        <x:v>AF-KG-H05-S10</x:v>
      </x:c>
      <x:c r="P491" s="15" t="str">
        <x:v>Unverified</x:v>
      </x:c>
      <x:c r="Q491" s="15" t="str">
        <x:v>Not checked</x:v>
      </x:c>
      <x:c r="R491" s="15" t="str"/>
      <x:c r="S491" s="15" t="str"/>
      <x:c r="T491" s="15" t="str">
        <x:v>Log first source path or blocker</x:v>
      </x:c>
      <x:c r="U491" s="12" t="str">
        <x:f>IF(OR(P491="Unverified",Q491="Not checked"),"BLOCKED_PENDING_RECEIPT","READY_FOR_REVIEW")</x:f>
        <x:v>BLOCKED_PENDING_RECEIPT</x:v>
      </x:c>
      <x:c r="V491" s="12" t="str">
        <x:f>IF(J491="DONE","RETURNED",IF(U491="BLOCKED_PENDING_RECEIPT","SOURCE_TOUCH_REQUIRED","IN_PROGRESS"))</x:f>
        <x:v>SOURCE_TOUCH_REQUIRED</x:v>
      </x:c>
      <x:c r="W491" s="12" t="str">
        <x:f>IF(P491="Unverified","missing_receipt","receipt_logged")</x:f>
        <x:v>missing_receipt</x:v>
      </x:c>
      <x:c r="X491" s="12" t="str">
        <x:f>IF(Q491="Not checked","raw_status_missing","raw_status_logged")</x:f>
        <x:v>raw_status_missing</x:v>
      </x:c>
      <x:c r="Y491" s="12" t="str">
        <x:f>IF(U491="BLOCKED_PENDING_RECEIPT","Log source path or blocker; do not promote","Route to review lane")</x:f>
        <x:v>Log source path or blocker; do not promote</x:v>
      </x:c>
      <x:c r="Z491" s="12" t="str">
        <x:f>IF(K491="P0","Primary seat + Hashlight/Lucerna","Seat lane")</x:f>
        <x:v>Seat lane</x:v>
      </x:c>
      <x:c r="AA491" s="12" t="str">
        <x:f>IF(R491="","no_claim_delta","claim_delta_present")</x:f>
        <x:v>no_claim_delta</x:v>
      </x:c>
      <x:c r="AB491" s="12" t="str">
        <x:f>IF(S491="","no_contradiction_delta","contradiction_delta_present")</x:f>
        <x:v>no_contradiction_delta</x:v>
      </x:c>
      <x:c r="AC491" s="12" t="str">
        <x:f>IF(OR(ISNUMBER(SEARCH("hacker",LOWER(F491&amp;" "&amp;H491&amp;" "&amp;I491&amp;" "&amp;M491&amp;" "&amp;N491&amp;" "&amp;T491))),ISNUMBER(SEARCH("hacking",LOWER(F491&amp;" "&amp;H491&amp;" "&amp;I491&amp;" "&amp;M491&amp;" "&amp;N491&amp;" "&amp;T491))),ISNUMBER(SEARCH("bank",LOWER(F491&amp;" "&amp;H491&amp;" "&amp;I491&amp;" "&amp;M491&amp;" "&amp;N491&amp;" "&amp;T491))),ISNUMBER(SEARCH("banking",LOWER(F491&amp;" "&amp;H491&amp;" "&amp;I491&amp;" "&amp;M491&amp;" "&amp;N491&amp;" "&amp;T491)))),"PRIVATE_QUARANTINE",IF(OR(ISNUMBER(SEARCH("treasury",LOWER(F491&amp;" "&amp;H491&amp;" "&amp;I491&amp;" "&amp;M491&amp;" "&amp;N491&amp;" "&amp;T491))),ISNUMBER(SEARCH("debt",LOWER(F491&amp;" "&amp;H491&amp;" "&amp;I491&amp;" "&amp;M491&amp;" "&amp;N491&amp;" "&amp;T491))),ISNUMBER(SEARCH("bond",LOWER(F491&amp;" "&amp;H491&amp;" "&amp;I491&amp;" "&amp;M491&amp;" "&amp;N491&amp;" "&amp;T491))),ISNUMBER(SEARCH("transaction",LOWER(F491&amp;" "&amp;H491&amp;" "&amp;I491&amp;" "&amp;M491&amp;" "&amp;N491&amp;" "&amp;T491)))),"PRIVATE_REVIEW","PUBLIC_CANDIDATE"))</x:f>
        <x:v>PUBLIC_CANDIDATE</x:v>
      </x:c>
      <x:c r="AD491" s="12" t="str">
        <x:f>IF(AC491="PRIVATE_QUARANTINE","hacker_or_bank_trigger",IF(AC491="PRIVATE_REVIEW","finance_risk_trigger","none"))</x:f>
        <x:v>none</x:v>
      </x:c>
      <x:c r="AE491" s="12" t="str">
        <x:f>IF(AC491="PUBLIC_CANDIDATE","prepare_public_github_candidate",IF(AC491="PRIVATE_REVIEW","hold_for_private_review","quarantine_private_do_not_publish"))</x:f>
        <x:v>prepare_public_github_candidate</x:v>
      </x:c>
      <x:c r="AF491" s="12" t="str">
        <x:f>IF(AC491="PUBLIC_CANDIDATE","TIDELOCK + Lucerna",IF(AC491="PRIVATE_REVIEW","AtlasBrain + Lucerna","TIDELOCK + Lucerna + Human-root"))</x:f>
        <x:v>TIDELOCK + Lucerna</x:v>
      </x:c>
      <x:c r="AG491" s="12" t="str">
        <x:f>IF(AND(AC491="PUBLIC_CANDIDATE",U491&lt;&gt;"BLOCKED_PENDING_RECEIPT"),"READY_AFTER_RECEIPT","NOT_READY")</x:f>
        <x:v>NOT_READY</x:v>
      </x:c>
      <x:c r="AH491" s="12" t="str">
        <x:f>IF(AC491="PUBLIC_CANDIDATE","none",AD491)</x:f>
        <x:v>none</x:v>
      </x:c>
      <x:c r="AI491" s="12" t="str">
        <x:f>IF(AC491="PUBLIC_CANDIDATE","archive/public_candidates/"&amp;A491,"private_quarantine/"&amp;A491)</x:f>
        <x:v>archive/public_candidates/SWARM-04-H05-S10</x:v>
      </x:c>
      <x:c r="AJ491" s="12" t="str">
        <x:f>IF(AC491="PUBLIC_CANDIDATE","public by default; still not canon","private/hold; do not publish")</x:f>
        <x:v>public by default; still not canon</x:v>
      </x:c>
      <x:c r="AK491" s="12" t="str">
        <x:f>IF(AE491="prepare_public_github_candidate","add receipt/status then mirror","resolve blocker before any public GitHub action")</x:f>
        <x:v>add receipt/status then mirror</x:v>
      </x:c>
    </x:row>
    <x:row r="492">
      <x:c r="A492" s="15" t="str">
        <x:v>SWARM-04-H05-S11</x:v>
      </x:c>
      <x:c r="B492" s="15" t="str">
        <x:v>Tidelock</x:v>
      </x:c>
      <x:c r="C492" s="15" t="str">
        <x:v>Access blocker keeper</x:v>
      </x:c>
      <x:c r="D492" s="15" t="str">
        <x:v>Contradiction Mapping</x:v>
      </x:c>
      <x:c r="E492" s="15" t="str">
        <x:v>Automation</x:v>
      </x:c>
      <x:c r="F492" s="15" t="str">
        <x:v>Map contradictions in Automation — Tidelock</x:v>
      </x:c>
      <x:c r="G492" s="15" t="str">
        <x:v>missing access / blocker ledger / next safe action</x:v>
      </x:c>
      <x:c r="H492" s="15" t="str">
        <x:v>source path + receipt + raw/export status + claim/edge/risk delta</x:v>
      </x:c>
      <x:c r="I492" s="15" t="str">
        <x:v>packet/SWARM-04-H05-S11</x:v>
      </x:c>
      <x:c r="J492" s="15" t="str">
        <x:v>TODO</x:v>
      </x:c>
      <x:c r="K492" s="15" t="str">
        <x:v>P2</x:v>
      </x:c>
      <x:c r="L492" s="15" t="str">
        <x:v>Done only when evidence is logged, contradiction search is noted, and boundary stamp remains non-canon unless ratified</x:v>
      </x:c>
      <x:c r="M492" s="15" t="str">
        <x:v>candidate / staging-only / not canon / not deployed / authority none</x:v>
      </x:c>
      <x:c r="N492" s="15" t="str">
        <x:v>Dispatch to Tidelock: complete Contradiction Mapping x Automation; return deltas only, receipts required.</x:v>
      </x:c>
      <x:c r="O492" s="15" t="str">
        <x:v>AF-KG-H05-S11</x:v>
      </x:c>
      <x:c r="P492" s="15" t="str">
        <x:v>Unverified</x:v>
      </x:c>
      <x:c r="Q492" s="15" t="str">
        <x:v>Not checked</x:v>
      </x:c>
      <x:c r="R492" s="15" t="str"/>
      <x:c r="S492" s="15" t="str"/>
      <x:c r="T492" s="15" t="str">
        <x:v>Log first source path or blocker</x:v>
      </x:c>
      <x:c r="U492" s="12" t="str">
        <x:f>IF(OR(P492="Unverified",Q492="Not checked"),"BLOCKED_PENDING_RECEIPT","READY_FOR_REVIEW")</x:f>
        <x:v>BLOCKED_PENDING_RECEIPT</x:v>
      </x:c>
      <x:c r="V492" s="12" t="str">
        <x:f>IF(J492="DONE","RETURNED",IF(U492="BLOCKED_PENDING_RECEIPT","SOURCE_TOUCH_REQUIRED","IN_PROGRESS"))</x:f>
        <x:v>SOURCE_TOUCH_REQUIRED</x:v>
      </x:c>
      <x:c r="W492" s="12" t="str">
        <x:f>IF(P492="Unverified","missing_receipt","receipt_logged")</x:f>
        <x:v>missing_receipt</x:v>
      </x:c>
      <x:c r="X492" s="12" t="str">
        <x:f>IF(Q492="Not checked","raw_status_missing","raw_status_logged")</x:f>
        <x:v>raw_status_missing</x:v>
      </x:c>
      <x:c r="Y492" s="12" t="str">
        <x:f>IF(U492="BLOCKED_PENDING_RECEIPT","Log source path or blocker; do not promote","Route to review lane")</x:f>
        <x:v>Log source path or blocker; do not promote</x:v>
      </x:c>
      <x:c r="Z492" s="12" t="str">
        <x:f>IF(K492="P0","Primary seat + Hashlight/Lucerna","Seat lane")</x:f>
        <x:v>Seat lane</x:v>
      </x:c>
      <x:c r="AA492" s="12" t="str">
        <x:f>IF(R492="","no_claim_delta","claim_delta_present")</x:f>
        <x:v>no_claim_delta</x:v>
      </x:c>
      <x:c r="AB492" s="12" t="str">
        <x:f>IF(S492="","no_contradiction_delta","contradiction_delta_present")</x:f>
        <x:v>no_contradiction_delta</x:v>
      </x:c>
      <x:c r="AC492" s="12" t="str">
        <x:f>IF(OR(ISNUMBER(SEARCH("hacker",LOWER(F492&amp;" "&amp;H492&amp;" "&amp;I492&amp;" "&amp;M492&amp;" "&amp;N492&amp;" "&amp;T492))),ISNUMBER(SEARCH("hacking",LOWER(F492&amp;" "&amp;H492&amp;" "&amp;I492&amp;" "&amp;M492&amp;" "&amp;N492&amp;" "&amp;T492))),ISNUMBER(SEARCH("bank",LOWER(F492&amp;" "&amp;H492&amp;" "&amp;I492&amp;" "&amp;M492&amp;" "&amp;N492&amp;" "&amp;T492))),ISNUMBER(SEARCH("banking",LOWER(F492&amp;" "&amp;H492&amp;" "&amp;I492&amp;" "&amp;M492&amp;" "&amp;N492&amp;" "&amp;T492)))),"PRIVATE_QUARANTINE",IF(OR(ISNUMBER(SEARCH("treasury",LOWER(F492&amp;" "&amp;H492&amp;" "&amp;I492&amp;" "&amp;M492&amp;" "&amp;N492&amp;" "&amp;T492))),ISNUMBER(SEARCH("debt",LOWER(F492&amp;" "&amp;H492&amp;" "&amp;I492&amp;" "&amp;M492&amp;" "&amp;N492&amp;" "&amp;T492))),ISNUMBER(SEARCH("bond",LOWER(F492&amp;" "&amp;H492&amp;" "&amp;I492&amp;" "&amp;M492&amp;" "&amp;N492&amp;" "&amp;T492))),ISNUMBER(SEARCH("transaction",LOWER(F492&amp;" "&amp;H492&amp;" "&amp;I492&amp;" "&amp;M492&amp;" "&amp;N492&amp;" "&amp;T492)))),"PRIVATE_REVIEW","PUBLIC_CANDIDATE"))</x:f>
        <x:v>PUBLIC_CANDIDATE</x:v>
      </x:c>
      <x:c r="AD492" s="12" t="str">
        <x:f>IF(AC492="PRIVATE_QUARANTINE","hacker_or_bank_trigger",IF(AC492="PRIVATE_REVIEW","finance_risk_trigger","none"))</x:f>
        <x:v>none</x:v>
      </x:c>
      <x:c r="AE492" s="12" t="str">
        <x:f>IF(AC492="PUBLIC_CANDIDATE","prepare_public_github_candidate",IF(AC492="PRIVATE_REVIEW","hold_for_private_review","quarantine_private_do_not_publish"))</x:f>
        <x:v>prepare_public_github_candidate</x:v>
      </x:c>
      <x:c r="AF492" s="12" t="str">
        <x:f>IF(AC492="PUBLIC_CANDIDATE","TIDELOCK + Lucerna",IF(AC492="PRIVATE_REVIEW","AtlasBrain + Lucerna","TIDELOCK + Lucerna + Human-root"))</x:f>
        <x:v>TIDELOCK + Lucerna</x:v>
      </x:c>
      <x:c r="AG492" s="12" t="str">
        <x:f>IF(AND(AC492="PUBLIC_CANDIDATE",U492&lt;&gt;"BLOCKED_PENDING_RECEIPT"),"READY_AFTER_RECEIPT","NOT_READY")</x:f>
        <x:v>NOT_READY</x:v>
      </x:c>
      <x:c r="AH492" s="12" t="str">
        <x:f>IF(AC492="PUBLIC_CANDIDATE","none",AD492)</x:f>
        <x:v>none</x:v>
      </x:c>
      <x:c r="AI492" s="12" t="str">
        <x:f>IF(AC492="PUBLIC_CANDIDATE","archive/public_candidates/"&amp;A492,"private_quarantine/"&amp;A492)</x:f>
        <x:v>archive/public_candidates/SWARM-04-H05-S11</x:v>
      </x:c>
      <x:c r="AJ492" s="12" t="str">
        <x:f>IF(AC492="PUBLIC_CANDIDATE","public by default; still not canon","private/hold; do not publish")</x:f>
        <x:v>public by default; still not canon</x:v>
      </x:c>
      <x:c r="AK492" s="12" t="str">
        <x:f>IF(AE492="prepare_public_github_candidate","add receipt/status then mirror","resolve blocker before any public GitHub action")</x:f>
        <x:v>add receipt/status then mirror</x:v>
      </x:c>
    </x:row>
    <x:row r="493">
      <x:c r="A493" s="15" t="str">
        <x:v>SWARM-04-H05-S12</x:v>
      </x:c>
      <x:c r="B493" s="15" t="str">
        <x:v>Tidelock</x:v>
      </x:c>
      <x:c r="C493" s="15" t="str">
        <x:v>Access blocker keeper</x:v>
      </x:c>
      <x:c r="D493" s="15" t="str">
        <x:v>Contradiction Mapping</x:v>
      </x:c>
      <x:c r="E493" s="15" t="str">
        <x:v>Risk / Safety</x:v>
      </x:c>
      <x:c r="F493" s="15" t="str">
        <x:v>Map contradictions in Risk / Safety — Tidelock</x:v>
      </x:c>
      <x:c r="G493" s="15" t="str">
        <x:v>missing access / blocker ledger / next safe action</x:v>
      </x:c>
      <x:c r="H493" s="15" t="str">
        <x:v>source path + receipt + raw/export status + claim/edge/risk delta</x:v>
      </x:c>
      <x:c r="I493" s="15" t="str">
        <x:v>packet/SWARM-04-H05-S12</x:v>
      </x:c>
      <x:c r="J493" s="15" t="str">
        <x:v>TODO</x:v>
      </x:c>
      <x:c r="K493" s="15" t="str">
        <x:v>P2</x:v>
      </x:c>
      <x:c r="L493" s="15" t="str">
        <x:v>Done only when evidence is logged, contradiction search is noted, and boundary stamp remains non-canon unless ratified</x:v>
      </x:c>
      <x:c r="M493" s="15" t="str">
        <x:v>candidate / staging-only / not canon / not deployed / authority none</x:v>
      </x:c>
      <x:c r="N493" s="15" t="str">
        <x:v>Dispatch to Tidelock: complete Contradiction Mapping x Risk / Safety; return deltas only, receipts required.</x:v>
      </x:c>
      <x:c r="O493" s="15" t="str">
        <x:v>AF-KG-H05-S12</x:v>
      </x:c>
      <x:c r="P493" s="15" t="str">
        <x:v>Unverified</x:v>
      </x:c>
      <x:c r="Q493" s="15" t="str">
        <x:v>Not checked</x:v>
      </x:c>
      <x:c r="R493" s="15" t="str"/>
      <x:c r="S493" s="15" t="str"/>
      <x:c r="T493" s="15" t="str">
        <x:v>Log first source path or blocker</x:v>
      </x:c>
      <x:c r="U493" s="12" t="str">
        <x:f>IF(OR(P493="Unverified",Q493="Not checked"),"BLOCKED_PENDING_RECEIPT","READY_FOR_REVIEW")</x:f>
        <x:v>BLOCKED_PENDING_RECEIPT</x:v>
      </x:c>
      <x:c r="V493" s="12" t="str">
        <x:f>IF(J493="DONE","RETURNED",IF(U493="BLOCKED_PENDING_RECEIPT","SOURCE_TOUCH_REQUIRED","IN_PROGRESS"))</x:f>
        <x:v>SOURCE_TOUCH_REQUIRED</x:v>
      </x:c>
      <x:c r="W493" s="12" t="str">
        <x:f>IF(P493="Unverified","missing_receipt","receipt_logged")</x:f>
        <x:v>missing_receipt</x:v>
      </x:c>
      <x:c r="X493" s="12" t="str">
        <x:f>IF(Q493="Not checked","raw_status_missing","raw_status_logged")</x:f>
        <x:v>raw_status_missing</x:v>
      </x:c>
      <x:c r="Y493" s="12" t="str">
        <x:f>IF(U493="BLOCKED_PENDING_RECEIPT","Log source path or blocker; do not promote","Route to review lane")</x:f>
        <x:v>Log source path or blocker; do not promote</x:v>
      </x:c>
      <x:c r="Z493" s="12" t="str">
        <x:f>IF(K493="P0","Primary seat + Hashlight/Lucerna","Seat lane")</x:f>
        <x:v>Seat lane</x:v>
      </x:c>
      <x:c r="AA493" s="12" t="str">
        <x:f>IF(R493="","no_claim_delta","claim_delta_present")</x:f>
        <x:v>no_claim_delta</x:v>
      </x:c>
      <x:c r="AB493" s="12" t="str">
        <x:f>IF(S493="","no_contradiction_delta","contradiction_delta_present")</x:f>
        <x:v>no_contradiction_delta</x:v>
      </x:c>
      <x:c r="AC493" s="12" t="str">
        <x:f>IF(OR(ISNUMBER(SEARCH("hacker",LOWER(F493&amp;" "&amp;H493&amp;" "&amp;I493&amp;" "&amp;M493&amp;" "&amp;N493&amp;" "&amp;T493))),ISNUMBER(SEARCH("hacking",LOWER(F493&amp;" "&amp;H493&amp;" "&amp;I493&amp;" "&amp;M493&amp;" "&amp;N493&amp;" "&amp;T493))),ISNUMBER(SEARCH("bank",LOWER(F493&amp;" "&amp;H493&amp;" "&amp;I493&amp;" "&amp;M493&amp;" "&amp;N493&amp;" "&amp;T493))),ISNUMBER(SEARCH("banking",LOWER(F493&amp;" "&amp;H493&amp;" "&amp;I493&amp;" "&amp;M493&amp;" "&amp;N493&amp;" "&amp;T493)))),"PRIVATE_QUARANTINE",IF(OR(ISNUMBER(SEARCH("treasury",LOWER(F493&amp;" "&amp;H493&amp;" "&amp;I493&amp;" "&amp;M493&amp;" "&amp;N493&amp;" "&amp;T493))),ISNUMBER(SEARCH("debt",LOWER(F493&amp;" "&amp;H493&amp;" "&amp;I493&amp;" "&amp;M493&amp;" "&amp;N493&amp;" "&amp;T493))),ISNUMBER(SEARCH("bond",LOWER(F493&amp;" "&amp;H493&amp;" "&amp;I493&amp;" "&amp;M493&amp;" "&amp;N493&amp;" "&amp;T493))),ISNUMBER(SEARCH("transaction",LOWER(F493&amp;" "&amp;H493&amp;" "&amp;I493&amp;" "&amp;M493&amp;" "&amp;N493&amp;" "&amp;T493)))),"PRIVATE_REVIEW","PUBLIC_CANDIDATE"))</x:f>
        <x:v>PUBLIC_CANDIDATE</x:v>
      </x:c>
      <x:c r="AD493" s="12" t="str">
        <x:f>IF(AC493="PRIVATE_QUARANTINE","hacker_or_bank_trigger",IF(AC493="PRIVATE_REVIEW","finance_risk_trigger","none"))</x:f>
        <x:v>none</x:v>
      </x:c>
      <x:c r="AE493" s="12" t="str">
        <x:f>IF(AC493="PUBLIC_CANDIDATE","prepare_public_github_candidate",IF(AC493="PRIVATE_REVIEW","hold_for_private_review","quarantine_private_do_not_publish"))</x:f>
        <x:v>prepare_public_github_candidate</x:v>
      </x:c>
      <x:c r="AF493" s="12" t="str">
        <x:f>IF(AC493="PUBLIC_CANDIDATE","TIDELOCK + Lucerna",IF(AC493="PRIVATE_REVIEW","AtlasBrain + Lucerna","TIDELOCK + Lucerna + Human-root"))</x:f>
        <x:v>TIDELOCK + Lucerna</x:v>
      </x:c>
      <x:c r="AG493" s="12" t="str">
        <x:f>IF(AND(AC493="PUBLIC_CANDIDATE",U493&lt;&gt;"BLOCKED_PENDING_RECEIPT"),"READY_AFTER_RECEIPT","NOT_READY")</x:f>
        <x:v>NOT_READY</x:v>
      </x:c>
      <x:c r="AH493" s="12" t="str">
        <x:f>IF(AC493="PUBLIC_CANDIDATE","none",AD493)</x:f>
        <x:v>none</x:v>
      </x:c>
      <x:c r="AI493" s="12" t="str">
        <x:f>IF(AC493="PUBLIC_CANDIDATE","archive/public_candidates/"&amp;A493,"private_quarantine/"&amp;A493)</x:f>
        <x:v>archive/public_candidates/SWARM-04-H05-S12</x:v>
      </x:c>
      <x:c r="AJ493" s="12" t="str">
        <x:f>IF(AC493="PUBLIC_CANDIDATE","public by default; still not canon","private/hold; do not publish")</x:f>
        <x:v>public by default; still not canon</x:v>
      </x:c>
      <x:c r="AK493" s="12" t="str">
        <x:f>IF(AE493="prepare_public_github_candidate","add receipt/status then mirror","resolve blocker before any public GitHub action")</x:f>
        <x:v>add receipt/status then mirror</x:v>
      </x:c>
    </x:row>
    <x:row r="494">
      <x:c r="A494" s="15" t="str">
        <x:v>SWARM-04-H06-S01</x:v>
      </x:c>
      <x:c r="B494" s="15" t="str">
        <x:v>Tidelock</x:v>
      </x:c>
      <x:c r="C494" s="15" t="str">
        <x:v>Access blocker keeper</x:v>
      </x:c>
      <x:c r="D494" s="15" t="str">
        <x:v>Ontology / Schema</x:v>
      </x:c>
      <x:c r="E494" s="15" t="str">
        <x:v>Notion</x:v>
      </x:c>
      <x:c r="F494" s="15" t="str">
        <x:v>Schema-map Notion — Tidelock</x:v>
      </x:c>
      <x:c r="G494" s="15" t="str">
        <x:v>missing access / blocker ledger / next safe action</x:v>
      </x:c>
      <x:c r="H494" s="15" t="str">
        <x:v>source path + receipt + raw/export status + claim/edge/risk delta</x:v>
      </x:c>
      <x:c r="I494" s="15" t="str">
        <x:v>packet/SWARM-04-H06-S01</x:v>
      </x:c>
      <x:c r="J494" s="15" t="str">
        <x:v>TODO</x:v>
      </x:c>
      <x:c r="K494" s="15" t="str">
        <x:v>P0</x:v>
      </x:c>
      <x:c r="L494" s="15" t="str">
        <x:v>Done only when evidence is logged, contradiction search is noted, and boundary stamp remains non-canon unless ratified</x:v>
      </x:c>
      <x:c r="M494" s="15" t="str">
        <x:v>candidate / staging-only / not canon / not deployed / authority none</x:v>
      </x:c>
      <x:c r="N494" s="15" t="str">
        <x:v>Dispatch to Tidelock: complete Ontology / Schema x Notion; return deltas only, receipts required.</x:v>
      </x:c>
      <x:c r="O494" s="15" t="str">
        <x:v>AF-KG-H06-S01</x:v>
      </x:c>
      <x:c r="P494" s="15" t="str">
        <x:v>Unverified</x:v>
      </x:c>
      <x:c r="Q494" s="15" t="str">
        <x:v>Not checked</x:v>
      </x:c>
      <x:c r="R494" s="15" t="str"/>
      <x:c r="S494" s="15" t="str"/>
      <x:c r="T494" s="15" t="str">
        <x:v>Log first source path or blocker</x:v>
      </x:c>
      <x:c r="U494" s="12" t="str">
        <x:f>IF(OR(P494="Unverified",Q494="Not checked"),"BLOCKED_PENDING_RECEIPT","READY_FOR_REVIEW")</x:f>
        <x:v>BLOCKED_PENDING_RECEIPT</x:v>
      </x:c>
      <x:c r="V494" s="12" t="str">
        <x:f>IF(J494="DONE","RETURNED",IF(U494="BLOCKED_PENDING_RECEIPT","SOURCE_TOUCH_REQUIRED","IN_PROGRESS"))</x:f>
        <x:v>SOURCE_TOUCH_REQUIRED</x:v>
      </x:c>
      <x:c r="W494" s="12" t="str">
        <x:f>IF(P494="Unverified","missing_receipt","receipt_logged")</x:f>
        <x:v>missing_receipt</x:v>
      </x:c>
      <x:c r="X494" s="12" t="str">
        <x:f>IF(Q494="Not checked","raw_status_missing","raw_status_logged")</x:f>
        <x:v>raw_status_missing</x:v>
      </x:c>
      <x:c r="Y494" s="12" t="str">
        <x:f>IF(U494="BLOCKED_PENDING_RECEIPT","Log source path or blocker; do not promote","Route to review lane")</x:f>
        <x:v>Log source path or blocker; do not promote</x:v>
      </x:c>
      <x:c r="Z494" s="12" t="str">
        <x:f>IF(K494="P0","Primary seat + Hashlight/Lucerna","Seat lane")</x:f>
        <x:v>Primary seat + Hashlight/Lucerna</x:v>
      </x:c>
      <x:c r="AA494" s="12" t="str">
        <x:f>IF(R494="","no_claim_delta","claim_delta_present")</x:f>
        <x:v>no_claim_delta</x:v>
      </x:c>
      <x:c r="AB494" s="12" t="str">
        <x:f>IF(S494="","no_contradiction_delta","contradiction_delta_present")</x:f>
        <x:v>no_contradiction_delta</x:v>
      </x:c>
      <x:c r="AC494" s="12" t="str">
        <x:f>IF(OR(ISNUMBER(SEARCH("hacker",LOWER(F494&amp;" "&amp;H494&amp;" "&amp;I494&amp;" "&amp;M494&amp;" "&amp;N494&amp;" "&amp;T494))),ISNUMBER(SEARCH("hacking",LOWER(F494&amp;" "&amp;H494&amp;" "&amp;I494&amp;" "&amp;M494&amp;" "&amp;N494&amp;" "&amp;T494))),ISNUMBER(SEARCH("bank",LOWER(F494&amp;" "&amp;H494&amp;" "&amp;I494&amp;" "&amp;M494&amp;" "&amp;N494&amp;" "&amp;T494))),ISNUMBER(SEARCH("banking",LOWER(F494&amp;" "&amp;H494&amp;" "&amp;I494&amp;" "&amp;M494&amp;" "&amp;N494&amp;" "&amp;T494)))),"PRIVATE_QUARANTINE",IF(OR(ISNUMBER(SEARCH("treasury",LOWER(F494&amp;" "&amp;H494&amp;" "&amp;I494&amp;" "&amp;M494&amp;" "&amp;N494&amp;" "&amp;T494))),ISNUMBER(SEARCH("debt",LOWER(F494&amp;" "&amp;H494&amp;" "&amp;I494&amp;" "&amp;M494&amp;" "&amp;N494&amp;" "&amp;T494))),ISNUMBER(SEARCH("bond",LOWER(F494&amp;" "&amp;H494&amp;" "&amp;I494&amp;" "&amp;M494&amp;" "&amp;N494&amp;" "&amp;T494))),ISNUMBER(SEARCH("transaction",LOWER(F494&amp;" "&amp;H494&amp;" "&amp;I494&amp;" "&amp;M494&amp;" "&amp;N494&amp;" "&amp;T494)))),"PRIVATE_REVIEW","PUBLIC_CANDIDATE"))</x:f>
        <x:v>PUBLIC_CANDIDATE</x:v>
      </x:c>
      <x:c r="AD494" s="12" t="str">
        <x:f>IF(AC494="PRIVATE_QUARANTINE","hacker_or_bank_trigger",IF(AC494="PRIVATE_REVIEW","finance_risk_trigger","none"))</x:f>
        <x:v>none</x:v>
      </x:c>
      <x:c r="AE494" s="12" t="str">
        <x:f>IF(AC494="PUBLIC_CANDIDATE","prepare_public_github_candidate",IF(AC494="PRIVATE_REVIEW","hold_for_private_review","quarantine_private_do_not_publish"))</x:f>
        <x:v>prepare_public_github_candidate</x:v>
      </x:c>
      <x:c r="AF494" s="12" t="str">
        <x:f>IF(AC494="PUBLIC_CANDIDATE","TIDELOCK + Lucerna",IF(AC494="PRIVATE_REVIEW","AtlasBrain + Lucerna","TIDELOCK + Lucerna + Human-root"))</x:f>
        <x:v>TIDELOCK + Lucerna</x:v>
      </x:c>
      <x:c r="AG494" s="12" t="str">
        <x:f>IF(AND(AC494="PUBLIC_CANDIDATE",U494&lt;&gt;"BLOCKED_PENDING_RECEIPT"),"READY_AFTER_RECEIPT","NOT_READY")</x:f>
        <x:v>NOT_READY</x:v>
      </x:c>
      <x:c r="AH494" s="12" t="str">
        <x:f>IF(AC494="PUBLIC_CANDIDATE","none",AD494)</x:f>
        <x:v>none</x:v>
      </x:c>
      <x:c r="AI494" s="12" t="str">
        <x:f>IF(AC494="PUBLIC_CANDIDATE","archive/public_candidates/"&amp;A494,"private_quarantine/"&amp;A494)</x:f>
        <x:v>archive/public_candidates/SWARM-04-H06-S01</x:v>
      </x:c>
      <x:c r="AJ494" s="12" t="str">
        <x:f>IF(AC494="PUBLIC_CANDIDATE","public by default; still not canon","private/hold; do not publish")</x:f>
        <x:v>public by default; still not canon</x:v>
      </x:c>
      <x:c r="AK494" s="12" t="str">
        <x:f>IF(AE494="prepare_public_github_candidate","add receipt/status then mirror","resolve blocker before any public GitHub action")</x:f>
        <x:v>add receipt/status then mirror</x:v>
      </x:c>
    </x:row>
    <x:row r="495">
      <x:c r="A495" s="15" t="str">
        <x:v>SWARM-04-H06-S02</x:v>
      </x:c>
      <x:c r="B495" s="15" t="str">
        <x:v>Tidelock</x:v>
      </x:c>
      <x:c r="C495" s="15" t="str">
        <x:v>Access blocker keeper</x:v>
      </x:c>
      <x:c r="D495" s="15" t="str">
        <x:v>Ontology / Schema</x:v>
      </x:c>
      <x:c r="E495" s="15" t="str">
        <x:v>Drive</x:v>
      </x:c>
      <x:c r="F495" s="15" t="str">
        <x:v>Schema-map Drive — Tidelock</x:v>
      </x:c>
      <x:c r="G495" s="15" t="str">
        <x:v>missing access / blocker ledger / next safe action</x:v>
      </x:c>
      <x:c r="H495" s="15" t="str">
        <x:v>source path + receipt + raw/export status + claim/edge/risk delta</x:v>
      </x:c>
      <x:c r="I495" s="15" t="str">
        <x:v>packet/SWARM-04-H06-S02</x:v>
      </x:c>
      <x:c r="J495" s="15" t="str">
        <x:v>TODO</x:v>
      </x:c>
      <x:c r="K495" s="15" t="str">
        <x:v>P0</x:v>
      </x:c>
      <x:c r="L495" s="15" t="str">
        <x:v>Done only when evidence is logged, contradiction search is noted, and boundary stamp remains non-canon unless ratified</x:v>
      </x:c>
      <x:c r="M495" s="15" t="str">
        <x:v>candidate / staging-only / not canon / not deployed / authority none</x:v>
      </x:c>
      <x:c r="N495" s="15" t="str">
        <x:v>Dispatch to Tidelock: complete Ontology / Schema x Drive; return deltas only, receipts required.</x:v>
      </x:c>
      <x:c r="O495" s="15" t="str">
        <x:v>AF-KG-H06-S02</x:v>
      </x:c>
      <x:c r="P495" s="15" t="str">
        <x:v>Unverified</x:v>
      </x:c>
      <x:c r="Q495" s="15" t="str">
        <x:v>Not checked</x:v>
      </x:c>
      <x:c r="R495" s="15" t="str"/>
      <x:c r="S495" s="15" t="str"/>
      <x:c r="T495" s="15" t="str">
        <x:v>Log first source path or blocker</x:v>
      </x:c>
      <x:c r="U495" s="12" t="str">
        <x:f>IF(OR(P495="Unverified",Q495="Not checked"),"BLOCKED_PENDING_RECEIPT","READY_FOR_REVIEW")</x:f>
        <x:v>BLOCKED_PENDING_RECEIPT</x:v>
      </x:c>
      <x:c r="V495" s="12" t="str">
        <x:f>IF(J495="DONE","RETURNED",IF(U495="BLOCKED_PENDING_RECEIPT","SOURCE_TOUCH_REQUIRED","IN_PROGRESS"))</x:f>
        <x:v>SOURCE_TOUCH_REQUIRED</x:v>
      </x:c>
      <x:c r="W495" s="12" t="str">
        <x:f>IF(P495="Unverified","missing_receipt","receipt_logged")</x:f>
        <x:v>missing_receipt</x:v>
      </x:c>
      <x:c r="X495" s="12" t="str">
        <x:f>IF(Q495="Not checked","raw_status_missing","raw_status_logged")</x:f>
        <x:v>raw_status_missing</x:v>
      </x:c>
      <x:c r="Y495" s="12" t="str">
        <x:f>IF(U495="BLOCKED_PENDING_RECEIPT","Log source path or blocker; do not promote","Route to review lane")</x:f>
        <x:v>Log source path or blocker; do not promote</x:v>
      </x:c>
      <x:c r="Z495" s="12" t="str">
        <x:f>IF(K495="P0","Primary seat + Hashlight/Lucerna","Seat lane")</x:f>
        <x:v>Primary seat + Hashlight/Lucerna</x:v>
      </x:c>
      <x:c r="AA495" s="12" t="str">
        <x:f>IF(R495="","no_claim_delta","claim_delta_present")</x:f>
        <x:v>no_claim_delta</x:v>
      </x:c>
      <x:c r="AB495" s="12" t="str">
        <x:f>IF(S495="","no_contradiction_delta","contradiction_delta_present")</x:f>
        <x:v>no_contradiction_delta</x:v>
      </x:c>
      <x:c r="AC495" s="12" t="str">
        <x:f>IF(OR(ISNUMBER(SEARCH("hacker",LOWER(F495&amp;" "&amp;H495&amp;" "&amp;I495&amp;" "&amp;M495&amp;" "&amp;N495&amp;" "&amp;T495))),ISNUMBER(SEARCH("hacking",LOWER(F495&amp;" "&amp;H495&amp;" "&amp;I495&amp;" "&amp;M495&amp;" "&amp;N495&amp;" "&amp;T495))),ISNUMBER(SEARCH("bank",LOWER(F495&amp;" "&amp;H495&amp;" "&amp;I495&amp;" "&amp;M495&amp;" "&amp;N495&amp;" "&amp;T495))),ISNUMBER(SEARCH("banking",LOWER(F495&amp;" "&amp;H495&amp;" "&amp;I495&amp;" "&amp;M495&amp;" "&amp;N495&amp;" "&amp;T495)))),"PRIVATE_QUARANTINE",IF(OR(ISNUMBER(SEARCH("treasury",LOWER(F495&amp;" "&amp;H495&amp;" "&amp;I495&amp;" "&amp;M495&amp;" "&amp;N495&amp;" "&amp;T495))),ISNUMBER(SEARCH("debt",LOWER(F495&amp;" "&amp;H495&amp;" "&amp;I495&amp;" "&amp;M495&amp;" "&amp;N495&amp;" "&amp;T495))),ISNUMBER(SEARCH("bond",LOWER(F495&amp;" "&amp;H495&amp;" "&amp;I495&amp;" "&amp;M495&amp;" "&amp;N495&amp;" "&amp;T495))),ISNUMBER(SEARCH("transaction",LOWER(F495&amp;" "&amp;H495&amp;" "&amp;I495&amp;" "&amp;M495&amp;" "&amp;N495&amp;" "&amp;T495)))),"PRIVATE_REVIEW","PUBLIC_CANDIDATE"))</x:f>
        <x:v>PUBLIC_CANDIDATE</x:v>
      </x:c>
      <x:c r="AD495" s="12" t="str">
        <x:f>IF(AC495="PRIVATE_QUARANTINE","hacker_or_bank_trigger",IF(AC495="PRIVATE_REVIEW","finance_risk_trigger","none"))</x:f>
        <x:v>none</x:v>
      </x:c>
      <x:c r="AE495" s="12" t="str">
        <x:f>IF(AC495="PUBLIC_CANDIDATE","prepare_public_github_candidate",IF(AC495="PRIVATE_REVIEW","hold_for_private_review","quarantine_private_do_not_publish"))</x:f>
        <x:v>prepare_public_github_candidate</x:v>
      </x:c>
      <x:c r="AF495" s="12" t="str">
        <x:f>IF(AC495="PUBLIC_CANDIDATE","TIDELOCK + Lucerna",IF(AC495="PRIVATE_REVIEW","AtlasBrain + Lucerna","TIDELOCK + Lucerna + Human-root"))</x:f>
        <x:v>TIDELOCK + Lucerna</x:v>
      </x:c>
      <x:c r="AG495" s="12" t="str">
        <x:f>IF(AND(AC495="PUBLIC_CANDIDATE",U495&lt;&gt;"BLOCKED_PENDING_RECEIPT"),"READY_AFTER_RECEIPT","NOT_READY")</x:f>
        <x:v>NOT_READY</x:v>
      </x:c>
      <x:c r="AH495" s="12" t="str">
        <x:f>IF(AC495="PUBLIC_CANDIDATE","none",AD495)</x:f>
        <x:v>none</x:v>
      </x:c>
      <x:c r="AI495" s="12" t="str">
        <x:f>IF(AC495="PUBLIC_CANDIDATE","archive/public_candidates/"&amp;A495,"private_quarantine/"&amp;A495)</x:f>
        <x:v>archive/public_candidates/SWARM-04-H06-S02</x:v>
      </x:c>
      <x:c r="AJ495" s="12" t="str">
        <x:f>IF(AC495="PUBLIC_CANDIDATE","public by default; still not canon","private/hold; do not publish")</x:f>
        <x:v>public by default; still not canon</x:v>
      </x:c>
      <x:c r="AK495" s="12" t="str">
        <x:f>IF(AE495="prepare_public_github_candidate","add receipt/status then mirror","resolve blocker before any public GitHub action")</x:f>
        <x:v>add receipt/status then mirror</x:v>
      </x:c>
    </x:row>
    <x:row r="496">
      <x:c r="A496" s="15" t="str">
        <x:v>SWARM-04-H06-S03</x:v>
      </x:c>
      <x:c r="B496" s="15" t="str">
        <x:v>Tidelock</x:v>
      </x:c>
      <x:c r="C496" s="15" t="str">
        <x:v>Access blocker keeper</x:v>
      </x:c>
      <x:c r="D496" s="15" t="str">
        <x:v>Ontology / Schema</x:v>
      </x:c>
      <x:c r="E496" s="15" t="str">
        <x:v>GitHub</x:v>
      </x:c>
      <x:c r="F496" s="15" t="str">
        <x:v>Schema-map GitHub — Tidelock</x:v>
      </x:c>
      <x:c r="G496" s="15" t="str">
        <x:v>missing access / blocker ledger / next safe action</x:v>
      </x:c>
      <x:c r="H496" s="15" t="str">
        <x:v>source path + receipt + raw/export status + claim/edge/risk delta</x:v>
      </x:c>
      <x:c r="I496" s="15" t="str">
        <x:v>packet/SWARM-04-H06-S03</x:v>
      </x:c>
      <x:c r="J496" s="15" t="str">
        <x:v>TODO</x:v>
      </x:c>
      <x:c r="K496" s="15" t="str">
        <x:v>P0</x:v>
      </x:c>
      <x:c r="L496" s="15" t="str">
        <x:v>Done only when evidence is logged, contradiction search is noted, and boundary stamp remains non-canon unless ratified</x:v>
      </x:c>
      <x:c r="M496" s="15" t="str">
        <x:v>candidate / staging-only / not canon / not deployed / authority none</x:v>
      </x:c>
      <x:c r="N496" s="15" t="str">
        <x:v>Dispatch to Tidelock: complete Ontology / Schema x GitHub; return deltas only, receipts required.</x:v>
      </x:c>
      <x:c r="O496" s="15" t="str">
        <x:v>AF-KG-H06-S03</x:v>
      </x:c>
      <x:c r="P496" s="15" t="str">
        <x:v>Unverified</x:v>
      </x:c>
      <x:c r="Q496" s="15" t="str">
        <x:v>Not checked</x:v>
      </x:c>
      <x:c r="R496" s="15" t="str"/>
      <x:c r="S496" s="15" t="str"/>
      <x:c r="T496" s="15" t="str">
        <x:v>Log first source path or blocker</x:v>
      </x:c>
      <x:c r="U496" s="12" t="str">
        <x:f>IF(OR(P496="Unverified",Q496="Not checked"),"BLOCKED_PENDING_RECEIPT","READY_FOR_REVIEW")</x:f>
        <x:v>BLOCKED_PENDING_RECEIPT</x:v>
      </x:c>
      <x:c r="V496" s="12" t="str">
        <x:f>IF(J496="DONE","RETURNED",IF(U496="BLOCKED_PENDING_RECEIPT","SOURCE_TOUCH_REQUIRED","IN_PROGRESS"))</x:f>
        <x:v>SOURCE_TOUCH_REQUIRED</x:v>
      </x:c>
      <x:c r="W496" s="12" t="str">
        <x:f>IF(P496="Unverified","missing_receipt","receipt_logged")</x:f>
        <x:v>missing_receipt</x:v>
      </x:c>
      <x:c r="X496" s="12" t="str">
        <x:f>IF(Q496="Not checked","raw_status_missing","raw_status_logged")</x:f>
        <x:v>raw_status_missing</x:v>
      </x:c>
      <x:c r="Y496" s="12" t="str">
        <x:f>IF(U496="BLOCKED_PENDING_RECEIPT","Log source path or blocker; do not promote","Route to review lane")</x:f>
        <x:v>Log source path or blocker; do not promote</x:v>
      </x:c>
      <x:c r="Z496" s="12" t="str">
        <x:f>IF(K496="P0","Primary seat + Hashlight/Lucerna","Seat lane")</x:f>
        <x:v>Primary seat + Hashlight/Lucerna</x:v>
      </x:c>
      <x:c r="AA496" s="12" t="str">
        <x:f>IF(R496="","no_claim_delta","claim_delta_present")</x:f>
        <x:v>no_claim_delta</x:v>
      </x:c>
      <x:c r="AB496" s="12" t="str">
        <x:f>IF(S496="","no_contradiction_delta","contradiction_delta_present")</x:f>
        <x:v>no_contradiction_delta</x:v>
      </x:c>
      <x:c r="AC496" s="12" t="str">
        <x:f>IF(OR(ISNUMBER(SEARCH("hacker",LOWER(F496&amp;" "&amp;H496&amp;" "&amp;I496&amp;" "&amp;M496&amp;" "&amp;N496&amp;" "&amp;T496))),ISNUMBER(SEARCH("hacking",LOWER(F496&amp;" "&amp;H496&amp;" "&amp;I496&amp;" "&amp;M496&amp;" "&amp;N496&amp;" "&amp;T496))),ISNUMBER(SEARCH("bank",LOWER(F496&amp;" "&amp;H496&amp;" "&amp;I496&amp;" "&amp;M496&amp;" "&amp;N496&amp;" "&amp;T496))),ISNUMBER(SEARCH("banking",LOWER(F496&amp;" "&amp;H496&amp;" "&amp;I496&amp;" "&amp;M496&amp;" "&amp;N496&amp;" "&amp;T496)))),"PRIVATE_QUARANTINE",IF(OR(ISNUMBER(SEARCH("treasury",LOWER(F496&amp;" "&amp;H496&amp;" "&amp;I496&amp;" "&amp;M496&amp;" "&amp;N496&amp;" "&amp;T496))),ISNUMBER(SEARCH("debt",LOWER(F496&amp;" "&amp;H496&amp;" "&amp;I496&amp;" "&amp;M496&amp;" "&amp;N496&amp;" "&amp;T496))),ISNUMBER(SEARCH("bond",LOWER(F496&amp;" "&amp;H496&amp;" "&amp;I496&amp;" "&amp;M496&amp;" "&amp;N496&amp;" "&amp;T496))),ISNUMBER(SEARCH("transaction",LOWER(F496&amp;" "&amp;H496&amp;" "&amp;I496&amp;" "&amp;M496&amp;" "&amp;N496&amp;" "&amp;T496)))),"PRIVATE_REVIEW","PUBLIC_CANDIDATE"))</x:f>
        <x:v>PUBLIC_CANDIDATE</x:v>
      </x:c>
      <x:c r="AD496" s="12" t="str">
        <x:f>IF(AC496="PRIVATE_QUARANTINE","hacker_or_bank_trigger",IF(AC496="PRIVATE_REVIEW","finance_risk_trigger","none"))</x:f>
        <x:v>none</x:v>
      </x:c>
      <x:c r="AE496" s="12" t="str">
        <x:f>IF(AC496="PUBLIC_CANDIDATE","prepare_public_github_candidate",IF(AC496="PRIVATE_REVIEW","hold_for_private_review","quarantine_private_do_not_publish"))</x:f>
        <x:v>prepare_public_github_candidate</x:v>
      </x:c>
      <x:c r="AF496" s="12" t="str">
        <x:f>IF(AC496="PUBLIC_CANDIDATE","TIDELOCK + Lucerna",IF(AC496="PRIVATE_REVIEW","AtlasBrain + Lucerna","TIDELOCK + Lucerna + Human-root"))</x:f>
        <x:v>TIDELOCK + Lucerna</x:v>
      </x:c>
      <x:c r="AG496" s="12" t="str">
        <x:f>IF(AND(AC496="PUBLIC_CANDIDATE",U496&lt;&gt;"BLOCKED_PENDING_RECEIPT"),"READY_AFTER_RECEIPT","NOT_READY")</x:f>
        <x:v>NOT_READY</x:v>
      </x:c>
      <x:c r="AH496" s="12" t="str">
        <x:f>IF(AC496="PUBLIC_CANDIDATE","none",AD496)</x:f>
        <x:v>none</x:v>
      </x:c>
      <x:c r="AI496" s="12" t="str">
        <x:f>IF(AC496="PUBLIC_CANDIDATE","archive/public_candidates/"&amp;A496,"private_quarantine/"&amp;A496)</x:f>
        <x:v>archive/public_candidates/SWARM-04-H06-S03</x:v>
      </x:c>
      <x:c r="AJ496" s="12" t="str">
        <x:f>IF(AC496="PUBLIC_CANDIDATE","public by default; still not canon","private/hold; do not publish")</x:f>
        <x:v>public by default; still not canon</x:v>
      </x:c>
      <x:c r="AK496" s="12" t="str">
        <x:f>IF(AE496="prepare_public_github_candidate","add receipt/status then mirror","resolve blocker before any public GitHub action")</x:f>
        <x:v>add receipt/status then mirror</x:v>
      </x:c>
    </x:row>
    <x:row r="497">
      <x:c r="A497" s="15" t="str">
        <x:v>SWARM-04-H06-S04</x:v>
      </x:c>
      <x:c r="B497" s="15" t="str">
        <x:v>Tidelock</x:v>
      </x:c>
      <x:c r="C497" s="15" t="str">
        <x:v>Access blocker keeper</x:v>
      </x:c>
      <x:c r="D497" s="15" t="str">
        <x:v>Ontology / Schema</x:v>
      </x:c>
      <x:c r="E497" s="15" t="str">
        <x:v>Gamma</x:v>
      </x:c>
      <x:c r="F497" s="15" t="str">
        <x:v>Schema-map Gamma — Tidelock</x:v>
      </x:c>
      <x:c r="G497" s="15" t="str">
        <x:v>missing access / blocker ledger / next safe action</x:v>
      </x:c>
      <x:c r="H497" s="15" t="str">
        <x:v>source path + receipt + raw/export status + claim/edge/risk delta</x:v>
      </x:c>
      <x:c r="I497" s="15" t="str">
        <x:v>packet/SWARM-04-H06-S04</x:v>
      </x:c>
      <x:c r="J497" s="15" t="str">
        <x:v>TODO</x:v>
      </x:c>
      <x:c r="K497" s="15" t="str">
        <x:v>P1</x:v>
      </x:c>
      <x:c r="L497" s="15" t="str">
        <x:v>Done only when evidence is logged, contradiction search is noted, and boundary stamp remains non-canon unless ratified</x:v>
      </x:c>
      <x:c r="M497" s="15" t="str">
        <x:v>candidate / staging-only / not canon / not deployed / authority none</x:v>
      </x:c>
      <x:c r="N497" s="15" t="str">
        <x:v>Dispatch to Tidelock: complete Ontology / Schema x Gamma; return deltas only, receipts required.</x:v>
      </x:c>
      <x:c r="O497" s="15" t="str">
        <x:v>AF-KG-H06-S04</x:v>
      </x:c>
      <x:c r="P497" s="15" t="str">
        <x:v>Unverified</x:v>
      </x:c>
      <x:c r="Q497" s="15" t="str">
        <x:v>Not checked</x:v>
      </x:c>
      <x:c r="R497" s="15" t="str"/>
      <x:c r="S497" s="15" t="str"/>
      <x:c r="T497" s="15" t="str">
        <x:v>Log first source path or blocker</x:v>
      </x:c>
      <x:c r="U497" s="12" t="str">
        <x:f>IF(OR(P497="Unverified",Q497="Not checked"),"BLOCKED_PENDING_RECEIPT","READY_FOR_REVIEW")</x:f>
        <x:v>BLOCKED_PENDING_RECEIPT</x:v>
      </x:c>
      <x:c r="V497" s="12" t="str">
        <x:f>IF(J497="DONE","RETURNED",IF(U497="BLOCKED_PENDING_RECEIPT","SOURCE_TOUCH_REQUIRED","IN_PROGRESS"))</x:f>
        <x:v>SOURCE_TOUCH_REQUIRED</x:v>
      </x:c>
      <x:c r="W497" s="12" t="str">
        <x:f>IF(P497="Unverified","missing_receipt","receipt_logged")</x:f>
        <x:v>missing_receipt</x:v>
      </x:c>
      <x:c r="X497" s="12" t="str">
        <x:f>IF(Q497="Not checked","raw_status_missing","raw_status_logged")</x:f>
        <x:v>raw_status_missing</x:v>
      </x:c>
      <x:c r="Y497" s="12" t="str">
        <x:f>IF(U497="BLOCKED_PENDING_RECEIPT","Log source path or blocker; do not promote","Route to review lane")</x:f>
        <x:v>Log source path or blocker; do not promote</x:v>
      </x:c>
      <x:c r="Z497" s="12" t="str">
        <x:f>IF(K497="P0","Primary seat + Hashlight/Lucerna","Seat lane")</x:f>
        <x:v>Seat lane</x:v>
      </x:c>
      <x:c r="AA497" s="12" t="str">
        <x:f>IF(R497="","no_claim_delta","claim_delta_present")</x:f>
        <x:v>no_claim_delta</x:v>
      </x:c>
      <x:c r="AB497" s="12" t="str">
        <x:f>IF(S497="","no_contradiction_delta","contradiction_delta_present")</x:f>
        <x:v>no_contradiction_delta</x:v>
      </x:c>
      <x:c r="AC497" s="12" t="str">
        <x:f>IF(OR(ISNUMBER(SEARCH("hacker",LOWER(F497&amp;" "&amp;H497&amp;" "&amp;I497&amp;" "&amp;M497&amp;" "&amp;N497&amp;" "&amp;T497))),ISNUMBER(SEARCH("hacking",LOWER(F497&amp;" "&amp;H497&amp;" "&amp;I497&amp;" "&amp;M497&amp;" "&amp;N497&amp;" "&amp;T497))),ISNUMBER(SEARCH("bank",LOWER(F497&amp;" "&amp;H497&amp;" "&amp;I497&amp;" "&amp;M497&amp;" "&amp;N497&amp;" "&amp;T497))),ISNUMBER(SEARCH("banking",LOWER(F497&amp;" "&amp;H497&amp;" "&amp;I497&amp;" "&amp;M497&amp;" "&amp;N497&amp;" "&amp;T497)))),"PRIVATE_QUARANTINE",IF(OR(ISNUMBER(SEARCH("treasury",LOWER(F497&amp;" "&amp;H497&amp;" "&amp;I497&amp;" "&amp;M497&amp;" "&amp;N497&amp;" "&amp;T497))),ISNUMBER(SEARCH("debt",LOWER(F497&amp;" "&amp;H497&amp;" "&amp;I497&amp;" "&amp;M497&amp;" "&amp;N497&amp;" "&amp;T497))),ISNUMBER(SEARCH("bond",LOWER(F497&amp;" "&amp;H497&amp;" "&amp;I497&amp;" "&amp;M497&amp;" "&amp;N497&amp;" "&amp;T497))),ISNUMBER(SEARCH("transaction",LOWER(F497&amp;" "&amp;H497&amp;" "&amp;I497&amp;" "&amp;M497&amp;" "&amp;N497&amp;" "&amp;T497)))),"PRIVATE_REVIEW","PUBLIC_CANDIDATE"))</x:f>
        <x:v>PUBLIC_CANDIDATE</x:v>
      </x:c>
      <x:c r="AD497" s="12" t="str">
        <x:f>IF(AC497="PRIVATE_QUARANTINE","hacker_or_bank_trigger",IF(AC497="PRIVATE_REVIEW","finance_risk_trigger","none"))</x:f>
        <x:v>none</x:v>
      </x:c>
      <x:c r="AE497" s="12" t="str">
        <x:f>IF(AC497="PUBLIC_CANDIDATE","prepare_public_github_candidate",IF(AC497="PRIVATE_REVIEW","hold_for_private_review","quarantine_private_do_not_publish"))</x:f>
        <x:v>prepare_public_github_candidate</x:v>
      </x:c>
      <x:c r="AF497" s="12" t="str">
        <x:f>IF(AC497="PUBLIC_CANDIDATE","TIDELOCK + Lucerna",IF(AC497="PRIVATE_REVIEW","AtlasBrain + Lucerna","TIDELOCK + Lucerna + Human-root"))</x:f>
        <x:v>TIDELOCK + Lucerna</x:v>
      </x:c>
      <x:c r="AG497" s="12" t="str">
        <x:f>IF(AND(AC497="PUBLIC_CANDIDATE",U497&lt;&gt;"BLOCKED_PENDING_RECEIPT"),"READY_AFTER_RECEIPT","NOT_READY")</x:f>
        <x:v>NOT_READY</x:v>
      </x:c>
      <x:c r="AH497" s="12" t="str">
        <x:f>IF(AC497="PUBLIC_CANDIDATE","none",AD497)</x:f>
        <x:v>none</x:v>
      </x:c>
      <x:c r="AI497" s="12" t="str">
        <x:f>IF(AC497="PUBLIC_CANDIDATE","archive/public_candidates/"&amp;A497,"private_quarantine/"&amp;A497)</x:f>
        <x:v>archive/public_candidates/SWARM-04-H06-S04</x:v>
      </x:c>
      <x:c r="AJ497" s="12" t="str">
        <x:f>IF(AC497="PUBLIC_CANDIDATE","public by default; still not canon","private/hold; do not publish")</x:f>
        <x:v>public by default; still not canon</x:v>
      </x:c>
      <x:c r="AK497" s="12" t="str">
        <x:f>IF(AE497="prepare_public_github_candidate","add receipt/status then mirror","resolve blocker before any public GitHub action")</x:f>
        <x:v>add receipt/status then mirror</x:v>
      </x:c>
    </x:row>
    <x:row r="498">
      <x:c r="A498" s="15" t="str">
        <x:v>SWARM-04-H06-S05</x:v>
      </x:c>
      <x:c r="B498" s="15" t="str">
        <x:v>Tidelock</x:v>
      </x:c>
      <x:c r="C498" s="15" t="str">
        <x:v>Access blocker keeper</x:v>
      </x:c>
      <x:c r="D498" s="15" t="str">
        <x:v>Ontology / Schema</x:v>
      </x:c>
      <x:c r="E498" s="15" t="str">
        <x:v>Chat</x:v>
      </x:c>
      <x:c r="F498" s="15" t="str">
        <x:v>Schema-map Chat — Tidelock</x:v>
      </x:c>
      <x:c r="G498" s="15" t="str">
        <x:v>missing access / blocker ledger / next safe action</x:v>
      </x:c>
      <x:c r="H498" s="15" t="str">
        <x:v>source path + receipt + raw/export status + claim/edge/risk delta</x:v>
      </x:c>
      <x:c r="I498" s="15" t="str">
        <x:v>packet/SWARM-04-H06-S05</x:v>
      </x:c>
      <x:c r="J498" s="15" t="str">
        <x:v>TODO</x:v>
      </x:c>
      <x:c r="K498" s="15" t="str">
        <x:v>P1</x:v>
      </x:c>
      <x:c r="L498" s="15" t="str">
        <x:v>Done only when evidence is logged, contradiction search is noted, and boundary stamp remains non-canon unless ratified</x:v>
      </x:c>
      <x:c r="M498" s="15" t="str">
        <x:v>candidate / staging-only / not canon / not deployed / authority none</x:v>
      </x:c>
      <x:c r="N498" s="15" t="str">
        <x:v>Dispatch to Tidelock: complete Ontology / Schema x Chat; return deltas only, receipts required.</x:v>
      </x:c>
      <x:c r="O498" s="15" t="str">
        <x:v>AF-KG-H06-S05</x:v>
      </x:c>
      <x:c r="P498" s="15" t="str">
        <x:v>Unverified</x:v>
      </x:c>
      <x:c r="Q498" s="15" t="str">
        <x:v>Not checked</x:v>
      </x:c>
      <x:c r="R498" s="15" t="str"/>
      <x:c r="S498" s="15" t="str"/>
      <x:c r="T498" s="15" t="str">
        <x:v>Log first source path or blocker</x:v>
      </x:c>
      <x:c r="U498" s="12" t="str">
        <x:f>IF(OR(P498="Unverified",Q498="Not checked"),"BLOCKED_PENDING_RECEIPT","READY_FOR_REVIEW")</x:f>
        <x:v>BLOCKED_PENDING_RECEIPT</x:v>
      </x:c>
      <x:c r="V498" s="12" t="str">
        <x:f>IF(J498="DONE","RETURNED",IF(U498="BLOCKED_PENDING_RECEIPT","SOURCE_TOUCH_REQUIRED","IN_PROGRESS"))</x:f>
        <x:v>SOURCE_TOUCH_REQUIRED</x:v>
      </x:c>
      <x:c r="W498" s="12" t="str">
        <x:f>IF(P498="Unverified","missing_receipt","receipt_logged")</x:f>
        <x:v>missing_receipt</x:v>
      </x:c>
      <x:c r="X498" s="12" t="str">
        <x:f>IF(Q498="Not checked","raw_status_missing","raw_status_logged")</x:f>
        <x:v>raw_status_missing</x:v>
      </x:c>
      <x:c r="Y498" s="12" t="str">
        <x:f>IF(U498="BLOCKED_PENDING_RECEIPT","Log source path or blocker; do not promote","Route to review lane")</x:f>
        <x:v>Log source path or blocker; do not promote</x:v>
      </x:c>
      <x:c r="Z498" s="12" t="str">
        <x:f>IF(K498="P0","Primary seat + Hashlight/Lucerna","Seat lane")</x:f>
        <x:v>Seat lane</x:v>
      </x:c>
      <x:c r="AA498" s="12" t="str">
        <x:f>IF(R498="","no_claim_delta","claim_delta_present")</x:f>
        <x:v>no_claim_delta</x:v>
      </x:c>
      <x:c r="AB498" s="12" t="str">
        <x:f>IF(S498="","no_contradiction_delta","contradiction_delta_present")</x:f>
        <x:v>no_contradiction_delta</x:v>
      </x:c>
      <x:c r="AC498" s="12" t="str">
        <x:f>IF(OR(ISNUMBER(SEARCH("hacker",LOWER(F498&amp;" "&amp;H498&amp;" "&amp;I498&amp;" "&amp;M498&amp;" "&amp;N498&amp;" "&amp;T498))),ISNUMBER(SEARCH("hacking",LOWER(F498&amp;" "&amp;H498&amp;" "&amp;I498&amp;" "&amp;M498&amp;" "&amp;N498&amp;" "&amp;T498))),ISNUMBER(SEARCH("bank",LOWER(F498&amp;" "&amp;H498&amp;" "&amp;I498&amp;" "&amp;M498&amp;" "&amp;N498&amp;" "&amp;T498))),ISNUMBER(SEARCH("banking",LOWER(F498&amp;" "&amp;H498&amp;" "&amp;I498&amp;" "&amp;M498&amp;" "&amp;N498&amp;" "&amp;T498)))),"PRIVATE_QUARANTINE",IF(OR(ISNUMBER(SEARCH("treasury",LOWER(F498&amp;" "&amp;H498&amp;" "&amp;I498&amp;" "&amp;M498&amp;" "&amp;N498&amp;" "&amp;T498))),ISNUMBER(SEARCH("debt",LOWER(F498&amp;" "&amp;H498&amp;" "&amp;I498&amp;" "&amp;M498&amp;" "&amp;N498&amp;" "&amp;T498))),ISNUMBER(SEARCH("bond",LOWER(F498&amp;" "&amp;H498&amp;" "&amp;I498&amp;" "&amp;M498&amp;" "&amp;N498&amp;" "&amp;T498))),ISNUMBER(SEARCH("transaction",LOWER(F498&amp;" "&amp;H498&amp;" "&amp;I498&amp;" "&amp;M498&amp;" "&amp;N498&amp;" "&amp;T498)))),"PRIVATE_REVIEW","PUBLIC_CANDIDATE"))</x:f>
        <x:v>PUBLIC_CANDIDATE</x:v>
      </x:c>
      <x:c r="AD498" s="12" t="str">
        <x:f>IF(AC498="PRIVATE_QUARANTINE","hacker_or_bank_trigger",IF(AC498="PRIVATE_REVIEW","finance_risk_trigger","none"))</x:f>
        <x:v>none</x:v>
      </x:c>
      <x:c r="AE498" s="12" t="str">
        <x:f>IF(AC498="PUBLIC_CANDIDATE","prepare_public_github_candidate",IF(AC498="PRIVATE_REVIEW","hold_for_private_review","quarantine_private_do_not_publish"))</x:f>
        <x:v>prepare_public_github_candidate</x:v>
      </x:c>
      <x:c r="AF498" s="12" t="str">
        <x:f>IF(AC498="PUBLIC_CANDIDATE","TIDELOCK + Lucerna",IF(AC498="PRIVATE_REVIEW","AtlasBrain + Lucerna","TIDELOCK + Lucerna + Human-root"))</x:f>
        <x:v>TIDELOCK + Lucerna</x:v>
      </x:c>
      <x:c r="AG498" s="12" t="str">
        <x:f>IF(AND(AC498="PUBLIC_CANDIDATE",U498&lt;&gt;"BLOCKED_PENDING_RECEIPT"),"READY_AFTER_RECEIPT","NOT_READY")</x:f>
        <x:v>NOT_READY</x:v>
      </x:c>
      <x:c r="AH498" s="12" t="str">
        <x:f>IF(AC498="PUBLIC_CANDIDATE","none",AD498)</x:f>
        <x:v>none</x:v>
      </x:c>
      <x:c r="AI498" s="12" t="str">
        <x:f>IF(AC498="PUBLIC_CANDIDATE","archive/public_candidates/"&amp;A498,"private_quarantine/"&amp;A498)</x:f>
        <x:v>archive/public_candidates/SWARM-04-H06-S05</x:v>
      </x:c>
      <x:c r="AJ498" s="12" t="str">
        <x:f>IF(AC498="PUBLIC_CANDIDATE","public by default; still not canon","private/hold; do not publish")</x:f>
        <x:v>public by default; still not canon</x:v>
      </x:c>
      <x:c r="AK498" s="12" t="str">
        <x:f>IF(AE498="prepare_public_github_candidate","add receipt/status then mirror","resolve blocker before any public GitHub action")</x:f>
        <x:v>add receipt/status then mirror</x:v>
      </x:c>
    </x:row>
    <x:row r="499">
      <x:c r="A499" s="15" t="str">
        <x:v>SWARM-04-H06-S06</x:v>
      </x:c>
      <x:c r="B499" s="15" t="str">
        <x:v>Tidelock</x:v>
      </x:c>
      <x:c r="C499" s="15" t="str">
        <x:v>Access blocker keeper</x:v>
      </x:c>
      <x:c r="D499" s="15" t="str">
        <x:v>Ontology / Schema</x:v>
      </x:c>
      <x:c r="E499" s="15" t="str">
        <x:v>External Web</x:v>
      </x:c>
      <x:c r="F499" s="15" t="str">
        <x:v>Schema-map External Web — Tidelock</x:v>
      </x:c>
      <x:c r="G499" s="15" t="str">
        <x:v>missing access / blocker ledger / next safe action</x:v>
      </x:c>
      <x:c r="H499" s="15" t="str">
        <x:v>source path + receipt + raw/export status + claim/edge/risk delta</x:v>
      </x:c>
      <x:c r="I499" s="15" t="str">
        <x:v>packet/SWARM-04-H06-S06</x:v>
      </x:c>
      <x:c r="J499" s="15" t="str">
        <x:v>TODO</x:v>
      </x:c>
      <x:c r="K499" s="15" t="str">
        <x:v>P1</x:v>
      </x:c>
      <x:c r="L499" s="15" t="str">
        <x:v>Done only when evidence is logged, contradiction search is noted, and boundary stamp remains non-canon unless ratified</x:v>
      </x:c>
      <x:c r="M499" s="15" t="str">
        <x:v>candidate / staging-only / not canon / not deployed / authority none</x:v>
      </x:c>
      <x:c r="N499" s="15" t="str">
        <x:v>Dispatch to Tidelock: complete Ontology / Schema x External Web; return deltas only, receipts required.</x:v>
      </x:c>
      <x:c r="O499" s="15" t="str">
        <x:v>AF-KG-H06-S06</x:v>
      </x:c>
      <x:c r="P499" s="15" t="str">
        <x:v>Unverified</x:v>
      </x:c>
      <x:c r="Q499" s="15" t="str">
        <x:v>Not checked</x:v>
      </x:c>
      <x:c r="R499" s="15" t="str"/>
      <x:c r="S499" s="15" t="str"/>
      <x:c r="T499" s="15" t="str">
        <x:v>Log first source path or blocker</x:v>
      </x:c>
      <x:c r="U499" s="12" t="str">
        <x:f>IF(OR(P499="Unverified",Q499="Not checked"),"BLOCKED_PENDING_RECEIPT","READY_FOR_REVIEW")</x:f>
        <x:v>BLOCKED_PENDING_RECEIPT</x:v>
      </x:c>
      <x:c r="V499" s="12" t="str">
        <x:f>IF(J499="DONE","RETURNED",IF(U499="BLOCKED_PENDING_RECEIPT","SOURCE_TOUCH_REQUIRED","IN_PROGRESS"))</x:f>
        <x:v>SOURCE_TOUCH_REQUIRED</x:v>
      </x:c>
      <x:c r="W499" s="12" t="str">
        <x:f>IF(P499="Unverified","missing_receipt","receipt_logged")</x:f>
        <x:v>missing_receipt</x:v>
      </x:c>
      <x:c r="X499" s="12" t="str">
        <x:f>IF(Q499="Not checked","raw_status_missing","raw_status_logged")</x:f>
        <x:v>raw_status_missing</x:v>
      </x:c>
      <x:c r="Y499" s="12" t="str">
        <x:f>IF(U499="BLOCKED_PENDING_RECEIPT","Log source path or blocker; do not promote","Route to review lane")</x:f>
        <x:v>Log source path or blocker; do not promote</x:v>
      </x:c>
      <x:c r="Z499" s="12" t="str">
        <x:f>IF(K499="P0","Primary seat + Hashlight/Lucerna","Seat lane")</x:f>
        <x:v>Seat lane</x:v>
      </x:c>
      <x:c r="AA499" s="12" t="str">
        <x:f>IF(R499="","no_claim_delta","claim_delta_present")</x:f>
        <x:v>no_claim_delta</x:v>
      </x:c>
      <x:c r="AB499" s="12" t="str">
        <x:f>IF(S499="","no_contradiction_delta","contradiction_delta_present")</x:f>
        <x:v>no_contradiction_delta</x:v>
      </x:c>
      <x:c r="AC499" s="12" t="str">
        <x:f>IF(OR(ISNUMBER(SEARCH("hacker",LOWER(F499&amp;" "&amp;H499&amp;" "&amp;I499&amp;" "&amp;M499&amp;" "&amp;N499&amp;" "&amp;T499))),ISNUMBER(SEARCH("hacking",LOWER(F499&amp;" "&amp;H499&amp;" "&amp;I499&amp;" "&amp;M499&amp;" "&amp;N499&amp;" "&amp;T499))),ISNUMBER(SEARCH("bank",LOWER(F499&amp;" "&amp;H499&amp;" "&amp;I499&amp;" "&amp;M499&amp;" "&amp;N499&amp;" "&amp;T499))),ISNUMBER(SEARCH("banking",LOWER(F499&amp;" "&amp;H499&amp;" "&amp;I499&amp;" "&amp;M499&amp;" "&amp;N499&amp;" "&amp;T499)))),"PRIVATE_QUARANTINE",IF(OR(ISNUMBER(SEARCH("treasury",LOWER(F499&amp;" "&amp;H499&amp;" "&amp;I499&amp;" "&amp;M499&amp;" "&amp;N499&amp;" "&amp;T499))),ISNUMBER(SEARCH("debt",LOWER(F499&amp;" "&amp;H499&amp;" "&amp;I499&amp;" "&amp;M499&amp;" "&amp;N499&amp;" "&amp;T499))),ISNUMBER(SEARCH("bond",LOWER(F499&amp;" "&amp;H499&amp;" "&amp;I499&amp;" "&amp;M499&amp;" "&amp;N499&amp;" "&amp;T499))),ISNUMBER(SEARCH("transaction",LOWER(F499&amp;" "&amp;H499&amp;" "&amp;I499&amp;" "&amp;M499&amp;" "&amp;N499&amp;" "&amp;T499)))),"PRIVATE_REVIEW","PUBLIC_CANDIDATE"))</x:f>
        <x:v>PUBLIC_CANDIDATE</x:v>
      </x:c>
      <x:c r="AD499" s="12" t="str">
        <x:f>IF(AC499="PRIVATE_QUARANTINE","hacker_or_bank_trigger",IF(AC499="PRIVATE_REVIEW","finance_risk_trigger","none"))</x:f>
        <x:v>none</x:v>
      </x:c>
      <x:c r="AE499" s="12" t="str">
        <x:f>IF(AC499="PUBLIC_CANDIDATE","prepare_public_github_candidate",IF(AC499="PRIVATE_REVIEW","hold_for_private_review","quarantine_private_do_not_publish"))</x:f>
        <x:v>prepare_public_github_candidate</x:v>
      </x:c>
      <x:c r="AF499" s="12" t="str">
        <x:f>IF(AC499="PUBLIC_CANDIDATE","TIDELOCK + Lucerna",IF(AC499="PRIVATE_REVIEW","AtlasBrain + Lucerna","TIDELOCK + Lucerna + Human-root"))</x:f>
        <x:v>TIDELOCK + Lucerna</x:v>
      </x:c>
      <x:c r="AG499" s="12" t="str">
        <x:f>IF(AND(AC499="PUBLIC_CANDIDATE",U499&lt;&gt;"BLOCKED_PENDING_RECEIPT"),"READY_AFTER_RECEIPT","NOT_READY")</x:f>
        <x:v>NOT_READY</x:v>
      </x:c>
      <x:c r="AH499" s="12" t="str">
        <x:f>IF(AC499="PUBLIC_CANDIDATE","none",AD499)</x:f>
        <x:v>none</x:v>
      </x:c>
      <x:c r="AI499" s="12" t="str">
        <x:f>IF(AC499="PUBLIC_CANDIDATE","archive/public_candidates/"&amp;A499,"private_quarantine/"&amp;A499)</x:f>
        <x:v>archive/public_candidates/SWARM-04-H06-S06</x:v>
      </x:c>
      <x:c r="AJ499" s="12" t="str">
        <x:f>IF(AC499="PUBLIC_CANDIDATE","public by default; still not canon","private/hold; do not publish")</x:f>
        <x:v>public by default; still not canon</x:v>
      </x:c>
      <x:c r="AK499" s="12" t="str">
        <x:f>IF(AE499="prepare_public_github_candidate","add receipt/status then mirror","resolve blocker before any public GitHub action")</x:f>
        <x:v>add receipt/status then mirror</x:v>
      </x:c>
    </x:row>
    <x:row r="500">
      <x:c r="A500" s="15" t="str">
        <x:v>SWARM-04-H06-S07</x:v>
      </x:c>
      <x:c r="B500" s="15" t="str">
        <x:v>Tidelock</x:v>
      </x:c>
      <x:c r="C500" s="15" t="str">
        <x:v>Access blocker keeper</x:v>
      </x:c>
      <x:c r="D500" s="15" t="str">
        <x:v>Ontology / Schema</x:v>
      </x:c>
      <x:c r="E500" s="15" t="str">
        <x:v>Planetarium</x:v>
      </x:c>
      <x:c r="F500" s="15" t="str">
        <x:v>Schema-map Planetarium — Tidelock</x:v>
      </x:c>
      <x:c r="G500" s="15" t="str">
        <x:v>missing access / blocker ledger / next safe action</x:v>
      </x:c>
      <x:c r="H500" s="15" t="str">
        <x:v>source path + receipt + raw/export status + claim/edge/risk delta</x:v>
      </x:c>
      <x:c r="I500" s="15" t="str">
        <x:v>packet/SWARM-04-H06-S07</x:v>
      </x:c>
      <x:c r="J500" s="15" t="str">
        <x:v>TODO</x:v>
      </x:c>
      <x:c r="K500" s="15" t="str">
        <x:v>P1</x:v>
      </x:c>
      <x:c r="L500" s="15" t="str">
        <x:v>Done only when evidence is logged, contradiction search is noted, and boundary stamp remains non-canon unless ratified</x:v>
      </x:c>
      <x:c r="M500" s="15" t="str">
        <x:v>candidate / staging-only / not canon / not deployed / authority none</x:v>
      </x:c>
      <x:c r="N500" s="15" t="str">
        <x:v>Dispatch to Tidelock: complete Ontology / Schema x Planetarium; return deltas only, receipts required.</x:v>
      </x:c>
      <x:c r="O500" s="15" t="str">
        <x:v>AF-KG-H06-S07</x:v>
      </x:c>
      <x:c r="P500" s="15" t="str">
        <x:v>Unverified</x:v>
      </x:c>
      <x:c r="Q500" s="15" t="str">
        <x:v>Not checked</x:v>
      </x:c>
      <x:c r="R500" s="15" t="str"/>
      <x:c r="S500" s="15" t="str"/>
      <x:c r="T500" s="15" t="str">
        <x:v>Log first source path or blocker</x:v>
      </x:c>
      <x:c r="U500" s="12" t="str">
        <x:f>IF(OR(P500="Unverified",Q500="Not checked"),"BLOCKED_PENDING_RECEIPT","READY_FOR_REVIEW")</x:f>
        <x:v>BLOCKED_PENDING_RECEIPT</x:v>
      </x:c>
      <x:c r="V500" s="12" t="str">
        <x:f>IF(J500="DONE","RETURNED",IF(U500="BLOCKED_PENDING_RECEIPT","SOURCE_TOUCH_REQUIRED","IN_PROGRESS"))</x:f>
        <x:v>SOURCE_TOUCH_REQUIRED</x:v>
      </x:c>
      <x:c r="W500" s="12" t="str">
        <x:f>IF(P500="Unverified","missing_receipt","receipt_logged")</x:f>
        <x:v>missing_receipt</x:v>
      </x:c>
      <x:c r="X500" s="12" t="str">
        <x:f>IF(Q500="Not checked","raw_status_missing","raw_status_logged")</x:f>
        <x:v>raw_status_missing</x:v>
      </x:c>
      <x:c r="Y500" s="12" t="str">
        <x:f>IF(U500="BLOCKED_PENDING_RECEIPT","Log source path or blocker; do not promote","Route to review lane")</x:f>
        <x:v>Log source path or blocker; do not promote</x:v>
      </x:c>
      <x:c r="Z500" s="12" t="str">
        <x:f>IF(K500="P0","Primary seat + Hashlight/Lucerna","Seat lane")</x:f>
        <x:v>Seat lane</x:v>
      </x:c>
      <x:c r="AA500" s="12" t="str">
        <x:f>IF(R500="","no_claim_delta","claim_delta_present")</x:f>
        <x:v>no_claim_delta</x:v>
      </x:c>
      <x:c r="AB500" s="12" t="str">
        <x:f>IF(S500="","no_contradiction_delta","contradiction_delta_present")</x:f>
        <x:v>no_contradiction_delta</x:v>
      </x:c>
      <x:c r="AC500" s="12" t="str">
        <x:f>IF(OR(ISNUMBER(SEARCH("hacker",LOWER(F500&amp;" "&amp;H500&amp;" "&amp;I500&amp;" "&amp;M500&amp;" "&amp;N500&amp;" "&amp;T500))),ISNUMBER(SEARCH("hacking",LOWER(F500&amp;" "&amp;H500&amp;" "&amp;I500&amp;" "&amp;M500&amp;" "&amp;N500&amp;" "&amp;T500))),ISNUMBER(SEARCH("bank",LOWER(F500&amp;" "&amp;H500&amp;" "&amp;I500&amp;" "&amp;M500&amp;" "&amp;N500&amp;" "&amp;T500))),ISNUMBER(SEARCH("banking",LOWER(F500&amp;" "&amp;H500&amp;" "&amp;I500&amp;" "&amp;M500&amp;" "&amp;N500&amp;" "&amp;T500)))),"PRIVATE_QUARANTINE",IF(OR(ISNUMBER(SEARCH("treasury",LOWER(F500&amp;" "&amp;H500&amp;" "&amp;I500&amp;" "&amp;M500&amp;" "&amp;N500&amp;" "&amp;T500))),ISNUMBER(SEARCH("debt",LOWER(F500&amp;" "&amp;H500&amp;" "&amp;I500&amp;" "&amp;M500&amp;" "&amp;N500&amp;" "&amp;T500))),ISNUMBER(SEARCH("bond",LOWER(F500&amp;" "&amp;H500&amp;" "&amp;I500&amp;" "&amp;M500&amp;" "&amp;N500&amp;" "&amp;T500))),ISNUMBER(SEARCH("transaction",LOWER(F500&amp;" "&amp;H500&amp;" "&amp;I500&amp;" "&amp;M500&amp;" "&amp;N500&amp;" "&amp;T500)))),"PRIVATE_REVIEW","PUBLIC_CANDIDATE"))</x:f>
        <x:v>PUBLIC_CANDIDATE</x:v>
      </x:c>
      <x:c r="AD500" s="12" t="str">
        <x:f>IF(AC500="PRIVATE_QUARANTINE","hacker_or_bank_trigger",IF(AC500="PRIVATE_REVIEW","finance_risk_trigger","none"))</x:f>
        <x:v>none</x:v>
      </x:c>
      <x:c r="AE500" s="12" t="str">
        <x:f>IF(AC500="PUBLIC_CANDIDATE","prepare_public_github_candidate",IF(AC500="PRIVATE_REVIEW","hold_for_private_review","quarantine_private_do_not_publish"))</x:f>
        <x:v>prepare_public_github_candidate</x:v>
      </x:c>
      <x:c r="AF500" s="12" t="str">
        <x:f>IF(AC500="PUBLIC_CANDIDATE","TIDELOCK + Lucerna",IF(AC500="PRIVATE_REVIEW","AtlasBrain + Lucerna","TIDELOCK + Lucerna + Human-root"))</x:f>
        <x:v>TIDELOCK + Lucerna</x:v>
      </x:c>
      <x:c r="AG500" s="12" t="str">
        <x:f>IF(AND(AC500="PUBLIC_CANDIDATE",U500&lt;&gt;"BLOCKED_PENDING_RECEIPT"),"READY_AFTER_RECEIPT","NOT_READY")</x:f>
        <x:v>NOT_READY</x:v>
      </x:c>
      <x:c r="AH500" s="12" t="str">
        <x:f>IF(AC500="PUBLIC_CANDIDATE","none",AD500)</x:f>
        <x:v>none</x:v>
      </x:c>
      <x:c r="AI500" s="12" t="str">
        <x:f>IF(AC500="PUBLIC_CANDIDATE","archive/public_candidates/"&amp;A500,"private_quarantine/"&amp;A500)</x:f>
        <x:v>archive/public_candidates/SWARM-04-H06-S07</x:v>
      </x:c>
      <x:c r="AJ500" s="12" t="str">
        <x:f>IF(AC500="PUBLIC_CANDIDATE","public by default; still not canon","private/hold; do not publish")</x:f>
        <x:v>public by default; still not canon</x:v>
      </x:c>
      <x:c r="AK500" s="12" t="str">
        <x:f>IF(AE500="prepare_public_github_candidate","add receipt/status then mirror","resolve blocker before any public GitHub action")</x:f>
        <x:v>add receipt/status then mirror</x:v>
      </x:c>
    </x:row>
    <x:row r="501">
      <x:c r="A501" s="15" t="str">
        <x:v>SWARM-04-H06-S08</x:v>
      </x:c>
      <x:c r="B501" s="15" t="str">
        <x:v>Tidelock</x:v>
      </x:c>
      <x:c r="C501" s="15" t="str">
        <x:v>Access blocker keeper</x:v>
      </x:c>
      <x:c r="D501" s="15" t="str">
        <x:v>Ontology / Schema</x:v>
      </x:c>
      <x:c r="E501" s="15" t="str">
        <x:v>Sheldonbrain</x:v>
      </x:c>
      <x:c r="F501" s="15" t="str">
        <x:v>Schema-map Sheldonbrain — Tidelock</x:v>
      </x:c>
      <x:c r="G501" s="15" t="str">
        <x:v>missing access / blocker ledger / next safe action</x:v>
      </x:c>
      <x:c r="H501" s="15" t="str">
        <x:v>source path + receipt + raw/export status + claim/edge/risk delta</x:v>
      </x:c>
      <x:c r="I501" s="15" t="str">
        <x:v>packet/SWARM-04-H06-S08</x:v>
      </x:c>
      <x:c r="J501" s="15" t="str">
        <x:v>TODO</x:v>
      </x:c>
      <x:c r="K501" s="15" t="str">
        <x:v>P1</x:v>
      </x:c>
      <x:c r="L501" s="15" t="str">
        <x:v>Done only when evidence is logged, contradiction search is noted, and boundary stamp remains non-canon unless ratified</x:v>
      </x:c>
      <x:c r="M501" s="15" t="str">
        <x:v>candidate / staging-only / not canon / not deployed / authority none</x:v>
      </x:c>
      <x:c r="N501" s="15" t="str">
        <x:v>Dispatch to Tidelock: complete Ontology / Schema x Sheldonbrain; return deltas only, receipts required.</x:v>
      </x:c>
      <x:c r="O501" s="15" t="str">
        <x:v>AF-KG-H06-S08</x:v>
      </x:c>
      <x:c r="P501" s="15" t="str">
        <x:v>Unverified</x:v>
      </x:c>
      <x:c r="Q501" s="15" t="str">
        <x:v>Not checked</x:v>
      </x:c>
      <x:c r="R501" s="15" t="str"/>
      <x:c r="S501" s="15" t="str"/>
      <x:c r="T501" s="15" t="str">
        <x:v>Log first source path or blocker</x:v>
      </x:c>
      <x:c r="U501" s="12" t="str">
        <x:f>IF(OR(P501="Unverified",Q501="Not checked"),"BLOCKED_PENDING_RECEIPT","READY_FOR_REVIEW")</x:f>
        <x:v>BLOCKED_PENDING_RECEIPT</x:v>
      </x:c>
      <x:c r="V501" s="12" t="str">
        <x:f>IF(J501="DONE","RETURNED",IF(U501="BLOCKED_PENDING_RECEIPT","SOURCE_TOUCH_REQUIRED","IN_PROGRESS"))</x:f>
        <x:v>SOURCE_TOUCH_REQUIRED</x:v>
      </x:c>
      <x:c r="W501" s="12" t="str">
        <x:f>IF(P501="Unverified","missing_receipt","receipt_logged")</x:f>
        <x:v>missing_receipt</x:v>
      </x:c>
      <x:c r="X501" s="12" t="str">
        <x:f>IF(Q501="Not checked","raw_status_missing","raw_status_logged")</x:f>
        <x:v>raw_status_missing</x:v>
      </x:c>
      <x:c r="Y501" s="12" t="str">
        <x:f>IF(U501="BLOCKED_PENDING_RECEIPT","Log source path or blocker; do not promote","Route to review lane")</x:f>
        <x:v>Log source path or blocker; do not promote</x:v>
      </x:c>
      <x:c r="Z501" s="12" t="str">
        <x:f>IF(K501="P0","Primary seat + Hashlight/Lucerna","Seat lane")</x:f>
        <x:v>Seat lane</x:v>
      </x:c>
      <x:c r="AA501" s="12" t="str">
        <x:f>IF(R501="","no_claim_delta","claim_delta_present")</x:f>
        <x:v>no_claim_delta</x:v>
      </x:c>
      <x:c r="AB501" s="12" t="str">
        <x:f>IF(S501="","no_contradiction_delta","contradiction_delta_present")</x:f>
        <x:v>no_contradiction_delta</x:v>
      </x:c>
      <x:c r="AC501" s="12" t="str">
        <x:f>IF(OR(ISNUMBER(SEARCH("hacker",LOWER(F501&amp;" "&amp;H501&amp;" "&amp;I501&amp;" "&amp;M501&amp;" "&amp;N501&amp;" "&amp;T501))),ISNUMBER(SEARCH("hacking",LOWER(F501&amp;" "&amp;H501&amp;" "&amp;I501&amp;" "&amp;M501&amp;" "&amp;N501&amp;" "&amp;T501))),ISNUMBER(SEARCH("bank",LOWER(F501&amp;" "&amp;H501&amp;" "&amp;I501&amp;" "&amp;M501&amp;" "&amp;N501&amp;" "&amp;T501))),ISNUMBER(SEARCH("banking",LOWER(F501&amp;" "&amp;H501&amp;" "&amp;I501&amp;" "&amp;M501&amp;" "&amp;N501&amp;" "&amp;T501)))),"PRIVATE_QUARANTINE",IF(OR(ISNUMBER(SEARCH("treasury",LOWER(F501&amp;" "&amp;H501&amp;" "&amp;I501&amp;" "&amp;M501&amp;" "&amp;N501&amp;" "&amp;T501))),ISNUMBER(SEARCH("debt",LOWER(F501&amp;" "&amp;H501&amp;" "&amp;I501&amp;" "&amp;M501&amp;" "&amp;N501&amp;" "&amp;T501))),ISNUMBER(SEARCH("bond",LOWER(F501&amp;" "&amp;H501&amp;" "&amp;I501&amp;" "&amp;M501&amp;" "&amp;N501&amp;" "&amp;T501))),ISNUMBER(SEARCH("transaction",LOWER(F501&amp;" "&amp;H501&amp;" "&amp;I501&amp;" "&amp;M501&amp;" "&amp;N501&amp;" "&amp;T501)))),"PRIVATE_REVIEW","PUBLIC_CANDIDATE"))</x:f>
        <x:v>PUBLIC_CANDIDATE</x:v>
      </x:c>
      <x:c r="AD501" s="12" t="str">
        <x:f>IF(AC501="PRIVATE_QUARANTINE","hacker_or_bank_trigger",IF(AC501="PRIVATE_REVIEW","finance_risk_trigger","none"))</x:f>
        <x:v>none</x:v>
      </x:c>
      <x:c r="AE501" s="12" t="str">
        <x:f>IF(AC501="PUBLIC_CANDIDATE","prepare_public_github_candidate",IF(AC501="PRIVATE_REVIEW","hold_for_private_review","quarantine_private_do_not_publish"))</x:f>
        <x:v>prepare_public_github_candidate</x:v>
      </x:c>
      <x:c r="AF501" s="12" t="str">
        <x:f>IF(AC501="PUBLIC_CANDIDATE","TIDELOCK + Lucerna",IF(AC501="PRIVATE_REVIEW","AtlasBrain + Lucerna","TIDELOCK + Lucerna + Human-root"))</x:f>
        <x:v>TIDELOCK + Lucerna</x:v>
      </x:c>
      <x:c r="AG501" s="12" t="str">
        <x:f>IF(AND(AC501="PUBLIC_CANDIDATE",U501&lt;&gt;"BLOCKED_PENDING_RECEIPT"),"READY_AFTER_RECEIPT","NOT_READY")</x:f>
        <x:v>NOT_READY</x:v>
      </x:c>
      <x:c r="AH501" s="12" t="str">
        <x:f>IF(AC501="PUBLIC_CANDIDATE","none",AD501)</x:f>
        <x:v>none</x:v>
      </x:c>
      <x:c r="AI501" s="12" t="str">
        <x:f>IF(AC501="PUBLIC_CANDIDATE","archive/public_candidates/"&amp;A501,"private_quarantine/"&amp;A501)</x:f>
        <x:v>archive/public_candidates/SWARM-04-H06-S08</x:v>
      </x:c>
      <x:c r="AJ501" s="12" t="str">
        <x:f>IF(AC501="PUBLIC_CANDIDATE","public by default; still not canon","private/hold; do not publish")</x:f>
        <x:v>public by default; still not canon</x:v>
      </x:c>
      <x:c r="AK501" s="12" t="str">
        <x:f>IF(AE501="prepare_public_github_candidate","add receipt/status then mirror","resolve blocker before any public GitHub action")</x:f>
        <x:v>add receipt/status then mirror</x:v>
      </x:c>
    </x:row>
    <x:row r="502">
      <x:c r="A502" s="15" t="str">
        <x:v>SWARM-04-H06-S09</x:v>
      </x:c>
      <x:c r="B502" s="15" t="str">
        <x:v>Tidelock</x:v>
      </x:c>
      <x:c r="C502" s="15" t="str">
        <x:v>Access blocker keeper</x:v>
      </x:c>
      <x:c r="D502" s="15" t="str">
        <x:v>Ontology / Schema</x:v>
      </x:c>
      <x:c r="E502" s="15" t="str">
        <x:v>Aetherforge</x:v>
      </x:c>
      <x:c r="F502" s="15" t="str">
        <x:v>Schema-map Aetherforge — Tidelock</x:v>
      </x:c>
      <x:c r="G502" s="15" t="str">
        <x:v>missing access / blocker ledger / next safe action</x:v>
      </x:c>
      <x:c r="H502" s="15" t="str">
        <x:v>source path + receipt + raw/export status + claim/edge/risk delta</x:v>
      </x:c>
      <x:c r="I502" s="15" t="str">
        <x:v>packet/SWARM-04-H06-S09</x:v>
      </x:c>
      <x:c r="J502" s="15" t="str">
        <x:v>TODO</x:v>
      </x:c>
      <x:c r="K502" s="15" t="str">
        <x:v>P2</x:v>
      </x:c>
      <x:c r="L502" s="15" t="str">
        <x:v>Done only when evidence is logged, contradiction search is noted, and boundary stamp remains non-canon unless ratified</x:v>
      </x:c>
      <x:c r="M502" s="15" t="str">
        <x:v>candidate / staging-only / not canon / not deployed / authority none</x:v>
      </x:c>
      <x:c r="N502" s="15" t="str">
        <x:v>Dispatch to Tidelock: complete Ontology / Schema x Aetherforge; return deltas only, receipts required.</x:v>
      </x:c>
      <x:c r="O502" s="15" t="str">
        <x:v>AF-KG-H06-S09</x:v>
      </x:c>
      <x:c r="P502" s="15" t="str">
        <x:v>Unverified</x:v>
      </x:c>
      <x:c r="Q502" s="15" t="str">
        <x:v>Not checked</x:v>
      </x:c>
      <x:c r="R502" s="15" t="str"/>
      <x:c r="S502" s="15" t="str"/>
      <x:c r="T502" s="15" t="str">
        <x:v>Log first source path or blocker</x:v>
      </x:c>
      <x:c r="U502" s="12" t="str">
        <x:f>IF(OR(P502="Unverified",Q502="Not checked"),"BLOCKED_PENDING_RECEIPT","READY_FOR_REVIEW")</x:f>
        <x:v>BLOCKED_PENDING_RECEIPT</x:v>
      </x:c>
      <x:c r="V502" s="12" t="str">
        <x:f>IF(J502="DONE","RETURNED",IF(U502="BLOCKED_PENDING_RECEIPT","SOURCE_TOUCH_REQUIRED","IN_PROGRESS"))</x:f>
        <x:v>SOURCE_TOUCH_REQUIRED</x:v>
      </x:c>
      <x:c r="W502" s="12" t="str">
        <x:f>IF(P502="Unverified","missing_receipt","receipt_logged")</x:f>
        <x:v>missing_receipt</x:v>
      </x:c>
      <x:c r="X502" s="12" t="str">
        <x:f>IF(Q502="Not checked","raw_status_missing","raw_status_logged")</x:f>
        <x:v>raw_status_missing</x:v>
      </x:c>
      <x:c r="Y502" s="12" t="str">
        <x:f>IF(U502="BLOCKED_PENDING_RECEIPT","Log source path or blocker; do not promote","Route to review lane")</x:f>
        <x:v>Log source path or blocker; do not promote</x:v>
      </x:c>
      <x:c r="Z502" s="12" t="str">
        <x:f>IF(K502="P0","Primary seat + Hashlight/Lucerna","Seat lane")</x:f>
        <x:v>Seat lane</x:v>
      </x:c>
      <x:c r="AA502" s="12" t="str">
        <x:f>IF(R502="","no_claim_delta","claim_delta_present")</x:f>
        <x:v>no_claim_delta</x:v>
      </x:c>
      <x:c r="AB502" s="12" t="str">
        <x:f>IF(S502="","no_contradiction_delta","contradiction_delta_present")</x:f>
        <x:v>no_contradiction_delta</x:v>
      </x:c>
      <x:c r="AC502" s="12" t="str">
        <x:f>IF(OR(ISNUMBER(SEARCH("hacker",LOWER(F502&amp;" "&amp;H502&amp;" "&amp;I502&amp;" "&amp;M502&amp;" "&amp;N502&amp;" "&amp;T502))),ISNUMBER(SEARCH("hacking",LOWER(F502&amp;" "&amp;H502&amp;" "&amp;I502&amp;" "&amp;M502&amp;" "&amp;N502&amp;" "&amp;T502))),ISNUMBER(SEARCH("bank",LOWER(F502&amp;" "&amp;H502&amp;" "&amp;I502&amp;" "&amp;M502&amp;" "&amp;N502&amp;" "&amp;T502))),ISNUMBER(SEARCH("banking",LOWER(F502&amp;" "&amp;H502&amp;" "&amp;I502&amp;" "&amp;M502&amp;" "&amp;N502&amp;" "&amp;T502)))),"PRIVATE_QUARANTINE",IF(OR(ISNUMBER(SEARCH("treasury",LOWER(F502&amp;" "&amp;H502&amp;" "&amp;I502&amp;" "&amp;M502&amp;" "&amp;N502&amp;" "&amp;T502))),ISNUMBER(SEARCH("debt",LOWER(F502&amp;" "&amp;H502&amp;" "&amp;I502&amp;" "&amp;M502&amp;" "&amp;N502&amp;" "&amp;T502))),ISNUMBER(SEARCH("bond",LOWER(F502&amp;" "&amp;H502&amp;" "&amp;I502&amp;" "&amp;M502&amp;" "&amp;N502&amp;" "&amp;T502))),ISNUMBER(SEARCH("transaction",LOWER(F502&amp;" "&amp;H502&amp;" "&amp;I502&amp;" "&amp;M502&amp;" "&amp;N502&amp;" "&amp;T502)))),"PRIVATE_REVIEW","PUBLIC_CANDIDATE"))</x:f>
        <x:v>PUBLIC_CANDIDATE</x:v>
      </x:c>
      <x:c r="AD502" s="12" t="str">
        <x:f>IF(AC502="PRIVATE_QUARANTINE","hacker_or_bank_trigger",IF(AC502="PRIVATE_REVIEW","finance_risk_trigger","none"))</x:f>
        <x:v>none</x:v>
      </x:c>
      <x:c r="AE502" s="12" t="str">
        <x:f>IF(AC502="PUBLIC_CANDIDATE","prepare_public_github_candidate",IF(AC502="PRIVATE_REVIEW","hold_for_private_review","quarantine_private_do_not_publish"))</x:f>
        <x:v>prepare_public_github_candidate</x:v>
      </x:c>
      <x:c r="AF502" s="12" t="str">
        <x:f>IF(AC502="PUBLIC_CANDIDATE","TIDELOCK + Lucerna",IF(AC502="PRIVATE_REVIEW","AtlasBrain + Lucerna","TIDELOCK + Lucerna + Human-root"))</x:f>
        <x:v>TIDELOCK + Lucerna</x:v>
      </x:c>
      <x:c r="AG502" s="12" t="str">
        <x:f>IF(AND(AC502="PUBLIC_CANDIDATE",U502&lt;&gt;"BLOCKED_PENDING_RECEIPT"),"READY_AFTER_RECEIPT","NOT_READY")</x:f>
        <x:v>NOT_READY</x:v>
      </x:c>
      <x:c r="AH502" s="12" t="str">
        <x:f>IF(AC502="PUBLIC_CANDIDATE","none",AD502)</x:f>
        <x:v>none</x:v>
      </x:c>
      <x:c r="AI502" s="12" t="str">
        <x:f>IF(AC502="PUBLIC_CANDIDATE","archive/public_candidates/"&amp;A502,"private_quarantine/"&amp;A502)</x:f>
        <x:v>archive/public_candidates/SWARM-04-H06-S09</x:v>
      </x:c>
      <x:c r="AJ502" s="12" t="str">
        <x:f>IF(AC502="PUBLIC_CANDIDATE","public by default; still not canon","private/hold; do not publish")</x:f>
        <x:v>public by default; still not canon</x:v>
      </x:c>
      <x:c r="AK502" s="12" t="str">
        <x:f>IF(AE502="prepare_public_github_candidate","add receipt/status then mirror","resolve blocker before any public GitHub action")</x:f>
        <x:v>add receipt/status then mirror</x:v>
      </x:c>
    </x:row>
    <x:row r="503">
      <x:c r="A503" s="15" t="str">
        <x:v>SWARM-04-H06-S10</x:v>
      </x:c>
      <x:c r="B503" s="15" t="str">
        <x:v>Tidelock</x:v>
      </x:c>
      <x:c r="C503" s="15" t="str">
        <x:v>Access blocker keeper</x:v>
      </x:c>
      <x:c r="D503" s="15" t="str">
        <x:v>Ontology / Schema</x:v>
      </x:c>
      <x:c r="E503" s="15" t="str">
        <x:v>Human-Root</x:v>
      </x:c>
      <x:c r="F503" s="15" t="str">
        <x:v>Schema-map Human-Root — Tidelock</x:v>
      </x:c>
      <x:c r="G503" s="15" t="str">
        <x:v>missing access / blocker ledger / next safe action</x:v>
      </x:c>
      <x:c r="H503" s="15" t="str">
        <x:v>source path + receipt + raw/export status + claim/edge/risk delta</x:v>
      </x:c>
      <x:c r="I503" s="15" t="str">
        <x:v>packet/SWARM-04-H06-S10</x:v>
      </x:c>
      <x:c r="J503" s="15" t="str">
        <x:v>TODO</x:v>
      </x:c>
      <x:c r="K503" s="15" t="str">
        <x:v>P2</x:v>
      </x:c>
      <x:c r="L503" s="15" t="str">
        <x:v>Done only when evidence is logged, contradiction search is noted, and boundary stamp remains non-canon unless ratified</x:v>
      </x:c>
      <x:c r="M503" s="15" t="str">
        <x:v>candidate / staging-only / not canon / not deployed / authority none</x:v>
      </x:c>
      <x:c r="N503" s="15" t="str">
        <x:v>Dispatch to Tidelock: complete Ontology / Schema x Human-Root; return deltas only, receipts required.</x:v>
      </x:c>
      <x:c r="O503" s="15" t="str">
        <x:v>AF-KG-H06-S10</x:v>
      </x:c>
      <x:c r="P503" s="15" t="str">
        <x:v>Unverified</x:v>
      </x:c>
      <x:c r="Q503" s="15" t="str">
        <x:v>Not checked</x:v>
      </x:c>
      <x:c r="R503" s="15" t="str"/>
      <x:c r="S503" s="15" t="str"/>
      <x:c r="T503" s="15" t="str">
        <x:v>Log first source path or blocker</x:v>
      </x:c>
      <x:c r="U503" s="12" t="str">
        <x:f>IF(OR(P503="Unverified",Q503="Not checked"),"BLOCKED_PENDING_RECEIPT","READY_FOR_REVIEW")</x:f>
        <x:v>BLOCKED_PENDING_RECEIPT</x:v>
      </x:c>
      <x:c r="V503" s="12" t="str">
        <x:f>IF(J503="DONE","RETURNED",IF(U503="BLOCKED_PENDING_RECEIPT","SOURCE_TOUCH_REQUIRED","IN_PROGRESS"))</x:f>
        <x:v>SOURCE_TOUCH_REQUIRED</x:v>
      </x:c>
      <x:c r="W503" s="12" t="str">
        <x:f>IF(P503="Unverified","missing_receipt","receipt_logged")</x:f>
        <x:v>missing_receipt</x:v>
      </x:c>
      <x:c r="X503" s="12" t="str">
        <x:f>IF(Q503="Not checked","raw_status_missing","raw_status_logged")</x:f>
        <x:v>raw_status_missing</x:v>
      </x:c>
      <x:c r="Y503" s="12" t="str">
        <x:f>IF(U503="BLOCKED_PENDING_RECEIPT","Log source path or blocker; do not promote","Route to review lane")</x:f>
        <x:v>Log source path or blocker; do not promote</x:v>
      </x:c>
      <x:c r="Z503" s="12" t="str">
        <x:f>IF(K503="P0","Primary seat + Hashlight/Lucerna","Seat lane")</x:f>
        <x:v>Seat lane</x:v>
      </x:c>
      <x:c r="AA503" s="12" t="str">
        <x:f>IF(R503="","no_claim_delta","claim_delta_present")</x:f>
        <x:v>no_claim_delta</x:v>
      </x:c>
      <x:c r="AB503" s="12" t="str">
        <x:f>IF(S503="","no_contradiction_delta","contradiction_delta_present")</x:f>
        <x:v>no_contradiction_delta</x:v>
      </x:c>
      <x:c r="AC503" s="12" t="str">
        <x:f>IF(OR(ISNUMBER(SEARCH("hacker",LOWER(F503&amp;" "&amp;H503&amp;" "&amp;I503&amp;" "&amp;M503&amp;" "&amp;N503&amp;" "&amp;T503))),ISNUMBER(SEARCH("hacking",LOWER(F503&amp;" "&amp;H503&amp;" "&amp;I503&amp;" "&amp;M503&amp;" "&amp;N503&amp;" "&amp;T503))),ISNUMBER(SEARCH("bank",LOWER(F503&amp;" "&amp;H503&amp;" "&amp;I503&amp;" "&amp;M503&amp;" "&amp;N503&amp;" "&amp;T503))),ISNUMBER(SEARCH("banking",LOWER(F503&amp;" "&amp;H503&amp;" "&amp;I503&amp;" "&amp;M503&amp;" "&amp;N503&amp;" "&amp;T503)))),"PRIVATE_QUARANTINE",IF(OR(ISNUMBER(SEARCH("treasury",LOWER(F503&amp;" "&amp;H503&amp;" "&amp;I503&amp;" "&amp;M503&amp;" "&amp;N503&amp;" "&amp;T503))),ISNUMBER(SEARCH("debt",LOWER(F503&amp;" "&amp;H503&amp;" "&amp;I503&amp;" "&amp;M503&amp;" "&amp;N503&amp;" "&amp;T503))),ISNUMBER(SEARCH("bond",LOWER(F503&amp;" "&amp;H503&amp;" "&amp;I503&amp;" "&amp;M503&amp;" "&amp;N503&amp;" "&amp;T503))),ISNUMBER(SEARCH("transaction",LOWER(F503&amp;" "&amp;H503&amp;" "&amp;I503&amp;" "&amp;M503&amp;" "&amp;N503&amp;" "&amp;T503)))),"PRIVATE_REVIEW","PUBLIC_CANDIDATE"))</x:f>
        <x:v>PUBLIC_CANDIDATE</x:v>
      </x:c>
      <x:c r="AD503" s="12" t="str">
        <x:f>IF(AC503="PRIVATE_QUARANTINE","hacker_or_bank_trigger",IF(AC503="PRIVATE_REVIEW","finance_risk_trigger","none"))</x:f>
        <x:v>none</x:v>
      </x:c>
      <x:c r="AE503" s="12" t="str">
        <x:f>IF(AC503="PUBLIC_CANDIDATE","prepare_public_github_candidate",IF(AC503="PRIVATE_REVIEW","hold_for_private_review","quarantine_private_do_not_publish"))</x:f>
        <x:v>prepare_public_github_candidate</x:v>
      </x:c>
      <x:c r="AF503" s="12" t="str">
        <x:f>IF(AC503="PUBLIC_CANDIDATE","TIDELOCK + Lucerna",IF(AC503="PRIVATE_REVIEW","AtlasBrain + Lucerna","TIDELOCK + Lucerna + Human-root"))</x:f>
        <x:v>TIDELOCK + Lucerna</x:v>
      </x:c>
      <x:c r="AG503" s="12" t="str">
        <x:f>IF(AND(AC503="PUBLIC_CANDIDATE",U503&lt;&gt;"BLOCKED_PENDING_RECEIPT"),"READY_AFTER_RECEIPT","NOT_READY")</x:f>
        <x:v>NOT_READY</x:v>
      </x:c>
      <x:c r="AH503" s="12" t="str">
        <x:f>IF(AC503="PUBLIC_CANDIDATE","none",AD503)</x:f>
        <x:v>none</x:v>
      </x:c>
      <x:c r="AI503" s="12" t="str">
        <x:f>IF(AC503="PUBLIC_CANDIDATE","archive/public_candidates/"&amp;A503,"private_quarantine/"&amp;A503)</x:f>
        <x:v>archive/public_candidates/SWARM-04-H06-S10</x:v>
      </x:c>
      <x:c r="AJ503" s="12" t="str">
        <x:f>IF(AC503="PUBLIC_CANDIDATE","public by default; still not canon","private/hold; do not publish")</x:f>
        <x:v>public by default; still not canon</x:v>
      </x:c>
      <x:c r="AK503" s="12" t="str">
        <x:f>IF(AE503="prepare_public_github_candidate","add receipt/status then mirror","resolve blocker before any public GitHub action")</x:f>
        <x:v>add receipt/status then mirror</x:v>
      </x:c>
    </x:row>
    <x:row r="504">
      <x:c r="A504" s="15" t="str">
        <x:v>SWARM-04-H06-S11</x:v>
      </x:c>
      <x:c r="B504" s="15" t="str">
        <x:v>Tidelock</x:v>
      </x:c>
      <x:c r="C504" s="15" t="str">
        <x:v>Access blocker keeper</x:v>
      </x:c>
      <x:c r="D504" s="15" t="str">
        <x:v>Ontology / Schema</x:v>
      </x:c>
      <x:c r="E504" s="15" t="str">
        <x:v>Automation</x:v>
      </x:c>
      <x:c r="F504" s="15" t="str">
        <x:v>Schema-map Automation — Tidelock</x:v>
      </x:c>
      <x:c r="G504" s="15" t="str">
        <x:v>missing access / blocker ledger / next safe action</x:v>
      </x:c>
      <x:c r="H504" s="15" t="str">
        <x:v>source path + receipt + raw/export status + claim/edge/risk delta</x:v>
      </x:c>
      <x:c r="I504" s="15" t="str">
        <x:v>packet/SWARM-04-H06-S11</x:v>
      </x:c>
      <x:c r="J504" s="15" t="str">
        <x:v>TODO</x:v>
      </x:c>
      <x:c r="K504" s="15" t="str">
        <x:v>P2</x:v>
      </x:c>
      <x:c r="L504" s="15" t="str">
        <x:v>Done only when evidence is logged, contradiction search is noted, and boundary stamp remains non-canon unless ratified</x:v>
      </x:c>
      <x:c r="M504" s="15" t="str">
        <x:v>candidate / staging-only / not canon / not deployed / authority none</x:v>
      </x:c>
      <x:c r="N504" s="15" t="str">
        <x:v>Dispatch to Tidelock: complete Ontology / Schema x Automation; return deltas only, receipts required.</x:v>
      </x:c>
      <x:c r="O504" s="15" t="str">
        <x:v>AF-KG-H06-S11</x:v>
      </x:c>
      <x:c r="P504" s="15" t="str">
        <x:v>Unverified</x:v>
      </x:c>
      <x:c r="Q504" s="15" t="str">
        <x:v>Not checked</x:v>
      </x:c>
      <x:c r="R504" s="15" t="str"/>
      <x:c r="S504" s="15" t="str"/>
      <x:c r="T504" s="15" t="str">
        <x:v>Log first source path or blocker</x:v>
      </x:c>
      <x:c r="U504" s="12" t="str">
        <x:f>IF(OR(P504="Unverified",Q504="Not checked"),"BLOCKED_PENDING_RECEIPT","READY_FOR_REVIEW")</x:f>
        <x:v>BLOCKED_PENDING_RECEIPT</x:v>
      </x:c>
      <x:c r="V504" s="12" t="str">
        <x:f>IF(J504="DONE","RETURNED",IF(U504="BLOCKED_PENDING_RECEIPT","SOURCE_TOUCH_REQUIRED","IN_PROGRESS"))</x:f>
        <x:v>SOURCE_TOUCH_REQUIRED</x:v>
      </x:c>
      <x:c r="W504" s="12" t="str">
        <x:f>IF(P504="Unverified","missing_receipt","receipt_logged")</x:f>
        <x:v>missing_receipt</x:v>
      </x:c>
      <x:c r="X504" s="12" t="str">
        <x:f>IF(Q504="Not checked","raw_status_missing","raw_status_logged")</x:f>
        <x:v>raw_status_missing</x:v>
      </x:c>
      <x:c r="Y504" s="12" t="str">
        <x:f>IF(U504="BLOCKED_PENDING_RECEIPT","Log source path or blocker; do not promote","Route to review lane")</x:f>
        <x:v>Log source path or blocker; do not promote</x:v>
      </x:c>
      <x:c r="Z504" s="12" t="str">
        <x:f>IF(K504="P0","Primary seat + Hashlight/Lucerna","Seat lane")</x:f>
        <x:v>Seat lane</x:v>
      </x:c>
      <x:c r="AA504" s="12" t="str">
        <x:f>IF(R504="","no_claim_delta","claim_delta_present")</x:f>
        <x:v>no_claim_delta</x:v>
      </x:c>
      <x:c r="AB504" s="12" t="str">
        <x:f>IF(S504="","no_contradiction_delta","contradiction_delta_present")</x:f>
        <x:v>no_contradiction_delta</x:v>
      </x:c>
      <x:c r="AC504" s="12" t="str">
        <x:f>IF(OR(ISNUMBER(SEARCH("hacker",LOWER(F504&amp;" "&amp;H504&amp;" "&amp;I504&amp;" "&amp;M504&amp;" "&amp;N504&amp;" "&amp;T504))),ISNUMBER(SEARCH("hacking",LOWER(F504&amp;" "&amp;H504&amp;" "&amp;I504&amp;" "&amp;M504&amp;" "&amp;N504&amp;" "&amp;T504))),ISNUMBER(SEARCH("bank",LOWER(F504&amp;" "&amp;H504&amp;" "&amp;I504&amp;" "&amp;M504&amp;" "&amp;N504&amp;" "&amp;T504))),ISNUMBER(SEARCH("banking",LOWER(F504&amp;" "&amp;H504&amp;" "&amp;I504&amp;" "&amp;M504&amp;" "&amp;N504&amp;" "&amp;T504)))),"PRIVATE_QUARANTINE",IF(OR(ISNUMBER(SEARCH("treasury",LOWER(F504&amp;" "&amp;H504&amp;" "&amp;I504&amp;" "&amp;M504&amp;" "&amp;N504&amp;" "&amp;T504))),ISNUMBER(SEARCH("debt",LOWER(F504&amp;" "&amp;H504&amp;" "&amp;I504&amp;" "&amp;M504&amp;" "&amp;N504&amp;" "&amp;T504))),ISNUMBER(SEARCH("bond",LOWER(F504&amp;" "&amp;H504&amp;" "&amp;I504&amp;" "&amp;M504&amp;" "&amp;N504&amp;" "&amp;T504))),ISNUMBER(SEARCH("transaction",LOWER(F504&amp;" "&amp;H504&amp;" "&amp;I504&amp;" "&amp;M504&amp;" "&amp;N504&amp;" "&amp;T504)))),"PRIVATE_REVIEW","PUBLIC_CANDIDATE"))</x:f>
        <x:v>PUBLIC_CANDIDATE</x:v>
      </x:c>
      <x:c r="AD504" s="12" t="str">
        <x:f>IF(AC504="PRIVATE_QUARANTINE","hacker_or_bank_trigger",IF(AC504="PRIVATE_REVIEW","finance_risk_trigger","none"))</x:f>
        <x:v>none</x:v>
      </x:c>
      <x:c r="AE504" s="12" t="str">
        <x:f>IF(AC504="PUBLIC_CANDIDATE","prepare_public_github_candidate",IF(AC504="PRIVATE_REVIEW","hold_for_private_review","quarantine_private_do_not_publish"))</x:f>
        <x:v>prepare_public_github_candidate</x:v>
      </x:c>
      <x:c r="AF504" s="12" t="str">
        <x:f>IF(AC504="PUBLIC_CANDIDATE","TIDELOCK + Lucerna",IF(AC504="PRIVATE_REVIEW","AtlasBrain + Lucerna","TIDELOCK + Lucerna + Human-root"))</x:f>
        <x:v>TIDELOCK + Lucerna</x:v>
      </x:c>
      <x:c r="AG504" s="12" t="str">
        <x:f>IF(AND(AC504="PUBLIC_CANDIDATE",U504&lt;&gt;"BLOCKED_PENDING_RECEIPT"),"READY_AFTER_RECEIPT","NOT_READY")</x:f>
        <x:v>NOT_READY</x:v>
      </x:c>
      <x:c r="AH504" s="12" t="str">
        <x:f>IF(AC504="PUBLIC_CANDIDATE","none",AD504)</x:f>
        <x:v>none</x:v>
      </x:c>
      <x:c r="AI504" s="12" t="str">
        <x:f>IF(AC504="PUBLIC_CANDIDATE","archive/public_candidates/"&amp;A504,"private_quarantine/"&amp;A504)</x:f>
        <x:v>archive/public_candidates/SWARM-04-H06-S11</x:v>
      </x:c>
      <x:c r="AJ504" s="12" t="str">
        <x:f>IF(AC504="PUBLIC_CANDIDATE","public by default; still not canon","private/hold; do not publish")</x:f>
        <x:v>public by default; still not canon</x:v>
      </x:c>
      <x:c r="AK504" s="12" t="str">
        <x:f>IF(AE504="prepare_public_github_candidate","add receipt/status then mirror","resolve blocker before any public GitHub action")</x:f>
        <x:v>add receipt/status then mirror</x:v>
      </x:c>
    </x:row>
    <x:row r="505">
      <x:c r="A505" s="15" t="str">
        <x:v>SWARM-04-H06-S12</x:v>
      </x:c>
      <x:c r="B505" s="15" t="str">
        <x:v>Tidelock</x:v>
      </x:c>
      <x:c r="C505" s="15" t="str">
        <x:v>Access blocker keeper</x:v>
      </x:c>
      <x:c r="D505" s="15" t="str">
        <x:v>Ontology / Schema</x:v>
      </x:c>
      <x:c r="E505" s="15" t="str">
        <x:v>Risk / Safety</x:v>
      </x:c>
      <x:c r="F505" s="15" t="str">
        <x:v>Schema-map Risk / Safety — Tidelock</x:v>
      </x:c>
      <x:c r="G505" s="15" t="str">
        <x:v>missing access / blocker ledger / next safe action</x:v>
      </x:c>
      <x:c r="H505" s="15" t="str">
        <x:v>source path + receipt + raw/export status + claim/edge/risk delta</x:v>
      </x:c>
      <x:c r="I505" s="15" t="str">
        <x:v>packet/SWARM-04-H06-S12</x:v>
      </x:c>
      <x:c r="J505" s="15" t="str">
        <x:v>TODO</x:v>
      </x:c>
      <x:c r="K505" s="15" t="str">
        <x:v>P2</x:v>
      </x:c>
      <x:c r="L505" s="15" t="str">
        <x:v>Done only when evidence is logged, contradiction search is noted, and boundary stamp remains non-canon unless ratified</x:v>
      </x:c>
      <x:c r="M505" s="15" t="str">
        <x:v>candidate / staging-only / not canon / not deployed / authority none</x:v>
      </x:c>
      <x:c r="N505" s="15" t="str">
        <x:v>Dispatch to Tidelock: complete Ontology / Schema x Risk / Safety; return deltas only, receipts required.</x:v>
      </x:c>
      <x:c r="O505" s="15" t="str">
        <x:v>AF-KG-H06-S12</x:v>
      </x:c>
      <x:c r="P505" s="15" t="str">
        <x:v>Unverified</x:v>
      </x:c>
      <x:c r="Q505" s="15" t="str">
        <x:v>Not checked</x:v>
      </x:c>
      <x:c r="R505" s="15" t="str"/>
      <x:c r="S505" s="15" t="str"/>
      <x:c r="T505" s="15" t="str">
        <x:v>Log first source path or blocker</x:v>
      </x:c>
      <x:c r="U505" s="12" t="str">
        <x:f>IF(OR(P505="Unverified",Q505="Not checked"),"BLOCKED_PENDING_RECEIPT","READY_FOR_REVIEW")</x:f>
        <x:v>BLOCKED_PENDING_RECEIPT</x:v>
      </x:c>
      <x:c r="V505" s="12" t="str">
        <x:f>IF(J505="DONE","RETURNED",IF(U505="BLOCKED_PENDING_RECEIPT","SOURCE_TOUCH_REQUIRED","IN_PROGRESS"))</x:f>
        <x:v>SOURCE_TOUCH_REQUIRED</x:v>
      </x:c>
      <x:c r="W505" s="12" t="str">
        <x:f>IF(P505="Unverified","missing_receipt","receipt_logged")</x:f>
        <x:v>missing_receipt</x:v>
      </x:c>
      <x:c r="X505" s="12" t="str">
        <x:f>IF(Q505="Not checked","raw_status_missing","raw_status_logged")</x:f>
        <x:v>raw_status_missing</x:v>
      </x:c>
      <x:c r="Y505" s="12" t="str">
        <x:f>IF(U505="BLOCKED_PENDING_RECEIPT","Log source path or blocker; do not promote","Route to review lane")</x:f>
        <x:v>Log source path or blocker; do not promote</x:v>
      </x:c>
      <x:c r="Z505" s="12" t="str">
        <x:f>IF(K505="P0","Primary seat + Hashlight/Lucerna","Seat lane")</x:f>
        <x:v>Seat lane</x:v>
      </x:c>
      <x:c r="AA505" s="12" t="str">
        <x:f>IF(R505="","no_claim_delta","claim_delta_present")</x:f>
        <x:v>no_claim_delta</x:v>
      </x:c>
      <x:c r="AB505" s="12" t="str">
        <x:f>IF(S505="","no_contradiction_delta","contradiction_delta_present")</x:f>
        <x:v>no_contradiction_delta</x:v>
      </x:c>
      <x:c r="AC505" s="12" t="str">
        <x:f>IF(OR(ISNUMBER(SEARCH("hacker",LOWER(F505&amp;" "&amp;H505&amp;" "&amp;I505&amp;" "&amp;M505&amp;" "&amp;N505&amp;" "&amp;T505))),ISNUMBER(SEARCH("hacking",LOWER(F505&amp;" "&amp;H505&amp;" "&amp;I505&amp;" "&amp;M505&amp;" "&amp;N505&amp;" "&amp;T505))),ISNUMBER(SEARCH("bank",LOWER(F505&amp;" "&amp;H505&amp;" "&amp;I505&amp;" "&amp;M505&amp;" "&amp;N505&amp;" "&amp;T505))),ISNUMBER(SEARCH("banking",LOWER(F505&amp;" "&amp;H505&amp;" "&amp;I505&amp;" "&amp;M505&amp;" "&amp;N505&amp;" "&amp;T505)))),"PRIVATE_QUARANTINE",IF(OR(ISNUMBER(SEARCH("treasury",LOWER(F505&amp;" "&amp;H505&amp;" "&amp;I505&amp;" "&amp;M505&amp;" "&amp;N505&amp;" "&amp;T505))),ISNUMBER(SEARCH("debt",LOWER(F505&amp;" "&amp;H505&amp;" "&amp;I505&amp;" "&amp;M505&amp;" "&amp;N505&amp;" "&amp;T505))),ISNUMBER(SEARCH("bond",LOWER(F505&amp;" "&amp;H505&amp;" "&amp;I505&amp;" "&amp;M505&amp;" "&amp;N505&amp;" "&amp;T505))),ISNUMBER(SEARCH("transaction",LOWER(F505&amp;" "&amp;H505&amp;" "&amp;I505&amp;" "&amp;M505&amp;" "&amp;N505&amp;" "&amp;T505)))),"PRIVATE_REVIEW","PUBLIC_CANDIDATE"))</x:f>
        <x:v>PUBLIC_CANDIDATE</x:v>
      </x:c>
      <x:c r="AD505" s="12" t="str">
        <x:f>IF(AC505="PRIVATE_QUARANTINE","hacker_or_bank_trigger",IF(AC505="PRIVATE_REVIEW","finance_risk_trigger","none"))</x:f>
        <x:v>none</x:v>
      </x:c>
      <x:c r="AE505" s="12" t="str">
        <x:f>IF(AC505="PUBLIC_CANDIDATE","prepare_public_github_candidate",IF(AC505="PRIVATE_REVIEW","hold_for_private_review","quarantine_private_do_not_publish"))</x:f>
        <x:v>prepare_public_github_candidate</x:v>
      </x:c>
      <x:c r="AF505" s="12" t="str">
        <x:f>IF(AC505="PUBLIC_CANDIDATE","TIDELOCK + Lucerna",IF(AC505="PRIVATE_REVIEW","AtlasBrain + Lucerna","TIDELOCK + Lucerna + Human-root"))</x:f>
        <x:v>TIDELOCK + Lucerna</x:v>
      </x:c>
      <x:c r="AG505" s="12" t="str">
        <x:f>IF(AND(AC505="PUBLIC_CANDIDATE",U505&lt;&gt;"BLOCKED_PENDING_RECEIPT"),"READY_AFTER_RECEIPT","NOT_READY")</x:f>
        <x:v>NOT_READY</x:v>
      </x:c>
      <x:c r="AH505" s="12" t="str">
        <x:f>IF(AC505="PUBLIC_CANDIDATE","none",AD505)</x:f>
        <x:v>none</x:v>
      </x:c>
      <x:c r="AI505" s="12" t="str">
        <x:f>IF(AC505="PUBLIC_CANDIDATE","archive/public_candidates/"&amp;A505,"private_quarantine/"&amp;A505)</x:f>
        <x:v>archive/public_candidates/SWARM-04-H06-S12</x:v>
      </x:c>
      <x:c r="AJ505" s="12" t="str">
        <x:f>IF(AC505="PUBLIC_CANDIDATE","public by default; still not canon","private/hold; do not publish")</x:f>
        <x:v>public by default; still not canon</x:v>
      </x:c>
      <x:c r="AK505" s="12" t="str">
        <x:f>IF(AE505="prepare_public_github_candidate","add receipt/status then mirror","resolve blocker before any public GitHub action")</x:f>
        <x:v>add receipt/status then mirror</x:v>
      </x:c>
    </x:row>
    <x:row r="506">
      <x:c r="A506" s="15" t="str">
        <x:v>SWARM-04-H07-S01</x:v>
      </x:c>
      <x:c r="B506" s="15" t="str">
        <x:v>Tidelock</x:v>
      </x:c>
      <x:c r="C506" s="15" t="str">
        <x:v>Access blocker keeper</x:v>
      </x:c>
      <x:c r="D506" s="15" t="str">
        <x:v>Graph Node Proposals</x:v>
      </x:c>
      <x:c r="E506" s="15" t="str">
        <x:v>Notion</x:v>
      </x:c>
      <x:c r="F506" s="15" t="str">
        <x:v>Propose graph nodes for Notion — Tidelock</x:v>
      </x:c>
      <x:c r="G506" s="15" t="str">
        <x:v>missing access / blocker ledger / next safe action</x:v>
      </x:c>
      <x:c r="H506" s="15" t="str">
        <x:v>source path + receipt + raw/export status + claim/edge/risk delta</x:v>
      </x:c>
      <x:c r="I506" s="15" t="str">
        <x:v>packet/SWARM-04-H07-S01</x:v>
      </x:c>
      <x:c r="J506" s="15" t="str">
        <x:v>TODO</x:v>
      </x:c>
      <x:c r="K506" s="15" t="str">
        <x:v>P0</x:v>
      </x:c>
      <x:c r="L506" s="15" t="str">
        <x:v>Done only when evidence is logged, contradiction search is noted, and boundary stamp remains non-canon unless ratified</x:v>
      </x:c>
      <x:c r="M506" s="15" t="str">
        <x:v>candidate / staging-only / not canon / not deployed / authority none</x:v>
      </x:c>
      <x:c r="N506" s="15" t="str">
        <x:v>Dispatch to Tidelock: complete Graph Node Proposals x Notion; return deltas only, receipts required.</x:v>
      </x:c>
      <x:c r="O506" s="15" t="str">
        <x:v>AF-KG-H07-S01</x:v>
      </x:c>
      <x:c r="P506" s="15" t="str">
        <x:v>Unverified</x:v>
      </x:c>
      <x:c r="Q506" s="15" t="str">
        <x:v>Not checked</x:v>
      </x:c>
      <x:c r="R506" s="15" t="str"/>
      <x:c r="S506" s="15" t="str"/>
      <x:c r="T506" s="15" t="str">
        <x:v>Log first source path or blocker</x:v>
      </x:c>
      <x:c r="U506" s="12" t="str">
        <x:f>IF(OR(P506="Unverified",Q506="Not checked"),"BLOCKED_PENDING_RECEIPT","READY_FOR_REVIEW")</x:f>
        <x:v>BLOCKED_PENDING_RECEIPT</x:v>
      </x:c>
      <x:c r="V506" s="12" t="str">
        <x:f>IF(J506="DONE","RETURNED",IF(U506="BLOCKED_PENDING_RECEIPT","SOURCE_TOUCH_REQUIRED","IN_PROGRESS"))</x:f>
        <x:v>SOURCE_TOUCH_REQUIRED</x:v>
      </x:c>
      <x:c r="W506" s="12" t="str">
        <x:f>IF(P506="Unverified","missing_receipt","receipt_logged")</x:f>
        <x:v>missing_receipt</x:v>
      </x:c>
      <x:c r="X506" s="12" t="str">
        <x:f>IF(Q506="Not checked","raw_status_missing","raw_status_logged")</x:f>
        <x:v>raw_status_missing</x:v>
      </x:c>
      <x:c r="Y506" s="12" t="str">
        <x:f>IF(U506="BLOCKED_PENDING_RECEIPT","Log source path or blocker; do not promote","Route to review lane")</x:f>
        <x:v>Log source path or blocker; do not promote</x:v>
      </x:c>
      <x:c r="Z506" s="12" t="str">
        <x:f>IF(K506="P0","Primary seat + Hashlight/Lucerna","Seat lane")</x:f>
        <x:v>Primary seat + Hashlight/Lucerna</x:v>
      </x:c>
      <x:c r="AA506" s="12" t="str">
        <x:f>IF(R506="","no_claim_delta","claim_delta_present")</x:f>
        <x:v>no_claim_delta</x:v>
      </x:c>
      <x:c r="AB506" s="12" t="str">
        <x:f>IF(S506="","no_contradiction_delta","contradiction_delta_present")</x:f>
        <x:v>no_contradiction_delta</x:v>
      </x:c>
      <x:c r="AC506" s="12" t="str">
        <x:f>IF(OR(ISNUMBER(SEARCH("hacker",LOWER(F506&amp;" "&amp;H506&amp;" "&amp;I506&amp;" "&amp;M506&amp;" "&amp;N506&amp;" "&amp;T506))),ISNUMBER(SEARCH("hacking",LOWER(F506&amp;" "&amp;H506&amp;" "&amp;I506&amp;" "&amp;M506&amp;" "&amp;N506&amp;" "&amp;T506))),ISNUMBER(SEARCH("bank",LOWER(F506&amp;" "&amp;H506&amp;" "&amp;I506&amp;" "&amp;M506&amp;" "&amp;N506&amp;" "&amp;T506))),ISNUMBER(SEARCH("banking",LOWER(F506&amp;" "&amp;H506&amp;" "&amp;I506&amp;" "&amp;M506&amp;" "&amp;N506&amp;" "&amp;T506)))),"PRIVATE_QUARANTINE",IF(OR(ISNUMBER(SEARCH("treasury",LOWER(F506&amp;" "&amp;H506&amp;" "&amp;I506&amp;" "&amp;M506&amp;" "&amp;N506&amp;" "&amp;T506))),ISNUMBER(SEARCH("debt",LOWER(F506&amp;" "&amp;H506&amp;" "&amp;I506&amp;" "&amp;M506&amp;" "&amp;N506&amp;" "&amp;T506))),ISNUMBER(SEARCH("bond",LOWER(F506&amp;" "&amp;H506&amp;" "&amp;I506&amp;" "&amp;M506&amp;" "&amp;N506&amp;" "&amp;T506))),ISNUMBER(SEARCH("transaction",LOWER(F506&amp;" "&amp;H506&amp;" "&amp;I506&amp;" "&amp;M506&amp;" "&amp;N506&amp;" "&amp;T506)))),"PRIVATE_REVIEW","PUBLIC_CANDIDATE"))</x:f>
        <x:v>PUBLIC_CANDIDATE</x:v>
      </x:c>
      <x:c r="AD506" s="12" t="str">
        <x:f>IF(AC506="PRIVATE_QUARANTINE","hacker_or_bank_trigger",IF(AC506="PRIVATE_REVIEW","finance_risk_trigger","none"))</x:f>
        <x:v>none</x:v>
      </x:c>
      <x:c r="AE506" s="12" t="str">
        <x:f>IF(AC506="PUBLIC_CANDIDATE","prepare_public_github_candidate",IF(AC506="PRIVATE_REVIEW","hold_for_private_review","quarantine_private_do_not_publish"))</x:f>
        <x:v>prepare_public_github_candidate</x:v>
      </x:c>
      <x:c r="AF506" s="12" t="str">
        <x:f>IF(AC506="PUBLIC_CANDIDATE","TIDELOCK + Lucerna",IF(AC506="PRIVATE_REVIEW","AtlasBrain + Lucerna","TIDELOCK + Lucerna + Human-root"))</x:f>
        <x:v>TIDELOCK + Lucerna</x:v>
      </x:c>
      <x:c r="AG506" s="12" t="str">
        <x:f>IF(AND(AC506="PUBLIC_CANDIDATE",U506&lt;&gt;"BLOCKED_PENDING_RECEIPT"),"READY_AFTER_RECEIPT","NOT_READY")</x:f>
        <x:v>NOT_READY</x:v>
      </x:c>
      <x:c r="AH506" s="12" t="str">
        <x:f>IF(AC506="PUBLIC_CANDIDATE","none",AD506)</x:f>
        <x:v>none</x:v>
      </x:c>
      <x:c r="AI506" s="12" t="str">
        <x:f>IF(AC506="PUBLIC_CANDIDATE","archive/public_candidates/"&amp;A506,"private_quarantine/"&amp;A506)</x:f>
        <x:v>archive/public_candidates/SWARM-04-H07-S01</x:v>
      </x:c>
      <x:c r="AJ506" s="12" t="str">
        <x:f>IF(AC506="PUBLIC_CANDIDATE","public by default; still not canon","private/hold; do not publish")</x:f>
        <x:v>public by default; still not canon</x:v>
      </x:c>
      <x:c r="AK506" s="12" t="str">
        <x:f>IF(AE506="prepare_public_github_candidate","add receipt/status then mirror","resolve blocker before any public GitHub action")</x:f>
        <x:v>add receipt/status then mirror</x:v>
      </x:c>
    </x:row>
    <x:row r="507">
      <x:c r="A507" s="15" t="str">
        <x:v>SWARM-04-H07-S02</x:v>
      </x:c>
      <x:c r="B507" s="15" t="str">
        <x:v>Tidelock</x:v>
      </x:c>
      <x:c r="C507" s="15" t="str">
        <x:v>Access blocker keeper</x:v>
      </x:c>
      <x:c r="D507" s="15" t="str">
        <x:v>Graph Node Proposals</x:v>
      </x:c>
      <x:c r="E507" s="15" t="str">
        <x:v>Drive</x:v>
      </x:c>
      <x:c r="F507" s="15" t="str">
        <x:v>Propose graph nodes for Drive — Tidelock</x:v>
      </x:c>
      <x:c r="G507" s="15" t="str">
        <x:v>missing access / blocker ledger / next safe action</x:v>
      </x:c>
      <x:c r="H507" s="15" t="str">
        <x:v>source path + receipt + raw/export status + claim/edge/risk delta</x:v>
      </x:c>
      <x:c r="I507" s="15" t="str">
        <x:v>packet/SWARM-04-H07-S02</x:v>
      </x:c>
      <x:c r="J507" s="15" t="str">
        <x:v>TODO</x:v>
      </x:c>
      <x:c r="K507" s="15" t="str">
        <x:v>P0</x:v>
      </x:c>
      <x:c r="L507" s="15" t="str">
        <x:v>Done only when evidence is logged, contradiction search is noted, and boundary stamp remains non-canon unless ratified</x:v>
      </x:c>
      <x:c r="M507" s="15" t="str">
        <x:v>candidate / staging-only / not canon / not deployed / authority none</x:v>
      </x:c>
      <x:c r="N507" s="15" t="str">
        <x:v>Dispatch to Tidelock: complete Graph Node Proposals x Drive; return deltas only, receipts required.</x:v>
      </x:c>
      <x:c r="O507" s="15" t="str">
        <x:v>AF-KG-H07-S02</x:v>
      </x:c>
      <x:c r="P507" s="15" t="str">
        <x:v>Unverified</x:v>
      </x:c>
      <x:c r="Q507" s="15" t="str">
        <x:v>Not checked</x:v>
      </x:c>
      <x:c r="R507" s="15" t="str"/>
      <x:c r="S507" s="15" t="str"/>
      <x:c r="T507" s="15" t="str">
        <x:v>Log first source path or blocker</x:v>
      </x:c>
      <x:c r="U507" s="12" t="str">
        <x:f>IF(OR(P507="Unverified",Q507="Not checked"),"BLOCKED_PENDING_RECEIPT","READY_FOR_REVIEW")</x:f>
        <x:v>BLOCKED_PENDING_RECEIPT</x:v>
      </x:c>
      <x:c r="V507" s="12" t="str">
        <x:f>IF(J507="DONE","RETURNED",IF(U507="BLOCKED_PENDING_RECEIPT","SOURCE_TOUCH_REQUIRED","IN_PROGRESS"))</x:f>
        <x:v>SOURCE_TOUCH_REQUIRED</x:v>
      </x:c>
      <x:c r="W507" s="12" t="str">
        <x:f>IF(P507="Unverified","missing_receipt","receipt_logged")</x:f>
        <x:v>missing_receipt</x:v>
      </x:c>
      <x:c r="X507" s="12" t="str">
        <x:f>IF(Q507="Not checked","raw_status_missing","raw_status_logged")</x:f>
        <x:v>raw_status_missing</x:v>
      </x:c>
      <x:c r="Y507" s="12" t="str">
        <x:f>IF(U507="BLOCKED_PENDING_RECEIPT","Log source path or blocker; do not promote","Route to review lane")</x:f>
        <x:v>Log source path or blocker; do not promote</x:v>
      </x:c>
      <x:c r="Z507" s="12" t="str">
        <x:f>IF(K507="P0","Primary seat + Hashlight/Lucerna","Seat lane")</x:f>
        <x:v>Primary seat + Hashlight/Lucerna</x:v>
      </x:c>
      <x:c r="AA507" s="12" t="str">
        <x:f>IF(R507="","no_claim_delta","claim_delta_present")</x:f>
        <x:v>no_claim_delta</x:v>
      </x:c>
      <x:c r="AB507" s="12" t="str">
        <x:f>IF(S507="","no_contradiction_delta","contradiction_delta_present")</x:f>
        <x:v>no_contradiction_delta</x:v>
      </x:c>
      <x:c r="AC507" s="12" t="str">
        <x:f>IF(OR(ISNUMBER(SEARCH("hacker",LOWER(F507&amp;" "&amp;H507&amp;" "&amp;I507&amp;" "&amp;M507&amp;" "&amp;N507&amp;" "&amp;T507))),ISNUMBER(SEARCH("hacking",LOWER(F507&amp;" "&amp;H507&amp;" "&amp;I507&amp;" "&amp;M507&amp;" "&amp;N507&amp;" "&amp;T507))),ISNUMBER(SEARCH("bank",LOWER(F507&amp;" "&amp;H507&amp;" "&amp;I507&amp;" "&amp;M507&amp;" "&amp;N507&amp;" "&amp;T507))),ISNUMBER(SEARCH("banking",LOWER(F507&amp;" "&amp;H507&amp;" "&amp;I507&amp;" "&amp;M507&amp;" "&amp;N507&amp;" "&amp;T507)))),"PRIVATE_QUARANTINE",IF(OR(ISNUMBER(SEARCH("treasury",LOWER(F507&amp;" "&amp;H507&amp;" "&amp;I507&amp;" "&amp;M507&amp;" "&amp;N507&amp;" "&amp;T507))),ISNUMBER(SEARCH("debt",LOWER(F507&amp;" "&amp;H507&amp;" "&amp;I507&amp;" "&amp;M507&amp;" "&amp;N507&amp;" "&amp;T507))),ISNUMBER(SEARCH("bond",LOWER(F507&amp;" "&amp;H507&amp;" "&amp;I507&amp;" "&amp;M507&amp;" "&amp;N507&amp;" "&amp;T507))),ISNUMBER(SEARCH("transaction",LOWER(F507&amp;" "&amp;H507&amp;" "&amp;I507&amp;" "&amp;M507&amp;" "&amp;N507&amp;" "&amp;T507)))),"PRIVATE_REVIEW","PUBLIC_CANDIDATE"))</x:f>
        <x:v>PUBLIC_CANDIDATE</x:v>
      </x:c>
      <x:c r="AD507" s="12" t="str">
        <x:f>IF(AC507="PRIVATE_QUARANTINE","hacker_or_bank_trigger",IF(AC507="PRIVATE_REVIEW","finance_risk_trigger","none"))</x:f>
        <x:v>none</x:v>
      </x:c>
      <x:c r="AE507" s="12" t="str">
        <x:f>IF(AC507="PUBLIC_CANDIDATE","prepare_public_github_candidate",IF(AC507="PRIVATE_REVIEW","hold_for_private_review","quarantine_private_do_not_publish"))</x:f>
        <x:v>prepare_public_github_candidate</x:v>
      </x:c>
      <x:c r="AF507" s="12" t="str">
        <x:f>IF(AC507="PUBLIC_CANDIDATE","TIDELOCK + Lucerna",IF(AC507="PRIVATE_REVIEW","AtlasBrain + Lucerna","TIDELOCK + Lucerna + Human-root"))</x:f>
        <x:v>TIDELOCK + Lucerna</x:v>
      </x:c>
      <x:c r="AG507" s="12" t="str">
        <x:f>IF(AND(AC507="PUBLIC_CANDIDATE",U507&lt;&gt;"BLOCKED_PENDING_RECEIPT"),"READY_AFTER_RECEIPT","NOT_READY")</x:f>
        <x:v>NOT_READY</x:v>
      </x:c>
      <x:c r="AH507" s="12" t="str">
        <x:f>IF(AC507="PUBLIC_CANDIDATE","none",AD507)</x:f>
        <x:v>none</x:v>
      </x:c>
      <x:c r="AI507" s="12" t="str">
        <x:f>IF(AC507="PUBLIC_CANDIDATE","archive/public_candidates/"&amp;A507,"private_quarantine/"&amp;A507)</x:f>
        <x:v>archive/public_candidates/SWARM-04-H07-S02</x:v>
      </x:c>
      <x:c r="AJ507" s="12" t="str">
        <x:f>IF(AC507="PUBLIC_CANDIDATE","public by default; still not canon","private/hold; do not publish")</x:f>
        <x:v>public by default; still not canon</x:v>
      </x:c>
      <x:c r="AK507" s="12" t="str">
        <x:f>IF(AE507="prepare_public_github_candidate","add receipt/status then mirror","resolve blocker before any public GitHub action")</x:f>
        <x:v>add receipt/status then mirror</x:v>
      </x:c>
    </x:row>
    <x:row r="508">
      <x:c r="A508" s="15" t="str">
        <x:v>SWARM-04-H07-S03</x:v>
      </x:c>
      <x:c r="B508" s="15" t="str">
        <x:v>Tidelock</x:v>
      </x:c>
      <x:c r="C508" s="15" t="str">
        <x:v>Access blocker keeper</x:v>
      </x:c>
      <x:c r="D508" s="15" t="str">
        <x:v>Graph Node Proposals</x:v>
      </x:c>
      <x:c r="E508" s="15" t="str">
        <x:v>GitHub</x:v>
      </x:c>
      <x:c r="F508" s="15" t="str">
        <x:v>Propose graph nodes for GitHub — Tidelock</x:v>
      </x:c>
      <x:c r="G508" s="15" t="str">
        <x:v>missing access / blocker ledger / next safe action</x:v>
      </x:c>
      <x:c r="H508" s="15" t="str">
        <x:v>source path + receipt + raw/export status + claim/edge/risk delta</x:v>
      </x:c>
      <x:c r="I508" s="15" t="str">
        <x:v>packet/SWARM-04-H07-S03</x:v>
      </x:c>
      <x:c r="J508" s="15" t="str">
        <x:v>TODO</x:v>
      </x:c>
      <x:c r="K508" s="15" t="str">
        <x:v>P0</x:v>
      </x:c>
      <x:c r="L508" s="15" t="str">
        <x:v>Done only when evidence is logged, contradiction search is noted, and boundary stamp remains non-canon unless ratified</x:v>
      </x:c>
      <x:c r="M508" s="15" t="str">
        <x:v>candidate / staging-only / not canon / not deployed / authority none</x:v>
      </x:c>
      <x:c r="N508" s="15" t="str">
        <x:v>Dispatch to Tidelock: complete Graph Node Proposals x GitHub; return deltas only, receipts required.</x:v>
      </x:c>
      <x:c r="O508" s="15" t="str">
        <x:v>AF-KG-H07-S03</x:v>
      </x:c>
      <x:c r="P508" s="15" t="str">
        <x:v>Unverified</x:v>
      </x:c>
      <x:c r="Q508" s="15" t="str">
        <x:v>Not checked</x:v>
      </x:c>
      <x:c r="R508" s="15" t="str"/>
      <x:c r="S508" s="15" t="str"/>
      <x:c r="T508" s="15" t="str">
        <x:v>Log first source path or blocker</x:v>
      </x:c>
      <x:c r="U508" s="12" t="str">
        <x:f>IF(OR(P508="Unverified",Q508="Not checked"),"BLOCKED_PENDING_RECEIPT","READY_FOR_REVIEW")</x:f>
        <x:v>BLOCKED_PENDING_RECEIPT</x:v>
      </x:c>
      <x:c r="V508" s="12" t="str">
        <x:f>IF(J508="DONE","RETURNED",IF(U508="BLOCKED_PENDING_RECEIPT","SOURCE_TOUCH_REQUIRED","IN_PROGRESS"))</x:f>
        <x:v>SOURCE_TOUCH_REQUIRED</x:v>
      </x:c>
      <x:c r="W508" s="12" t="str">
        <x:f>IF(P508="Unverified","missing_receipt","receipt_logged")</x:f>
        <x:v>missing_receipt</x:v>
      </x:c>
      <x:c r="X508" s="12" t="str">
        <x:f>IF(Q508="Not checked","raw_status_missing","raw_status_logged")</x:f>
        <x:v>raw_status_missing</x:v>
      </x:c>
      <x:c r="Y508" s="12" t="str">
        <x:f>IF(U508="BLOCKED_PENDING_RECEIPT","Log source path or blocker; do not promote","Route to review lane")</x:f>
        <x:v>Log source path or blocker; do not promote</x:v>
      </x:c>
      <x:c r="Z508" s="12" t="str">
        <x:f>IF(K508="P0","Primary seat + Hashlight/Lucerna","Seat lane")</x:f>
        <x:v>Primary seat + Hashlight/Lucerna</x:v>
      </x:c>
      <x:c r="AA508" s="12" t="str">
        <x:f>IF(R508="","no_claim_delta","claim_delta_present")</x:f>
        <x:v>no_claim_delta</x:v>
      </x:c>
      <x:c r="AB508" s="12" t="str">
        <x:f>IF(S508="","no_contradiction_delta","contradiction_delta_present")</x:f>
        <x:v>no_contradiction_delta</x:v>
      </x:c>
      <x:c r="AC508" s="12" t="str">
        <x:f>IF(OR(ISNUMBER(SEARCH("hacker",LOWER(F508&amp;" "&amp;H508&amp;" "&amp;I508&amp;" "&amp;M508&amp;" "&amp;N508&amp;" "&amp;T508))),ISNUMBER(SEARCH("hacking",LOWER(F508&amp;" "&amp;H508&amp;" "&amp;I508&amp;" "&amp;M508&amp;" "&amp;N508&amp;" "&amp;T508))),ISNUMBER(SEARCH("bank",LOWER(F508&amp;" "&amp;H508&amp;" "&amp;I508&amp;" "&amp;M508&amp;" "&amp;N508&amp;" "&amp;T508))),ISNUMBER(SEARCH("banking",LOWER(F508&amp;" "&amp;H508&amp;" "&amp;I508&amp;" "&amp;M508&amp;" "&amp;N508&amp;" "&amp;T508)))),"PRIVATE_QUARANTINE",IF(OR(ISNUMBER(SEARCH("treasury",LOWER(F508&amp;" "&amp;H508&amp;" "&amp;I508&amp;" "&amp;M508&amp;" "&amp;N508&amp;" "&amp;T508))),ISNUMBER(SEARCH("debt",LOWER(F508&amp;" "&amp;H508&amp;" "&amp;I508&amp;" "&amp;M508&amp;" "&amp;N508&amp;" "&amp;T508))),ISNUMBER(SEARCH("bond",LOWER(F508&amp;" "&amp;H508&amp;" "&amp;I508&amp;" "&amp;M508&amp;" "&amp;N508&amp;" "&amp;T508))),ISNUMBER(SEARCH("transaction",LOWER(F508&amp;" "&amp;H508&amp;" "&amp;I508&amp;" "&amp;M508&amp;" "&amp;N508&amp;" "&amp;T508)))),"PRIVATE_REVIEW","PUBLIC_CANDIDATE"))</x:f>
        <x:v>PUBLIC_CANDIDATE</x:v>
      </x:c>
      <x:c r="AD508" s="12" t="str">
        <x:f>IF(AC508="PRIVATE_QUARANTINE","hacker_or_bank_trigger",IF(AC508="PRIVATE_REVIEW","finance_risk_trigger","none"))</x:f>
        <x:v>none</x:v>
      </x:c>
      <x:c r="AE508" s="12" t="str">
        <x:f>IF(AC508="PUBLIC_CANDIDATE","prepare_public_github_candidate",IF(AC508="PRIVATE_REVIEW","hold_for_private_review","quarantine_private_do_not_publish"))</x:f>
        <x:v>prepare_public_github_candidate</x:v>
      </x:c>
      <x:c r="AF508" s="12" t="str">
        <x:f>IF(AC508="PUBLIC_CANDIDATE","TIDELOCK + Lucerna",IF(AC508="PRIVATE_REVIEW","AtlasBrain + Lucerna","TIDELOCK + Lucerna + Human-root"))</x:f>
        <x:v>TIDELOCK + Lucerna</x:v>
      </x:c>
      <x:c r="AG508" s="12" t="str">
        <x:f>IF(AND(AC508="PUBLIC_CANDIDATE",U508&lt;&gt;"BLOCKED_PENDING_RECEIPT"),"READY_AFTER_RECEIPT","NOT_READY")</x:f>
        <x:v>NOT_READY</x:v>
      </x:c>
      <x:c r="AH508" s="12" t="str">
        <x:f>IF(AC508="PUBLIC_CANDIDATE","none",AD508)</x:f>
        <x:v>none</x:v>
      </x:c>
      <x:c r="AI508" s="12" t="str">
        <x:f>IF(AC508="PUBLIC_CANDIDATE","archive/public_candidates/"&amp;A508,"private_quarantine/"&amp;A508)</x:f>
        <x:v>archive/public_candidates/SWARM-04-H07-S03</x:v>
      </x:c>
      <x:c r="AJ508" s="12" t="str">
        <x:f>IF(AC508="PUBLIC_CANDIDATE","public by default; still not canon","private/hold; do not publish")</x:f>
        <x:v>public by default; still not canon</x:v>
      </x:c>
      <x:c r="AK508" s="12" t="str">
        <x:f>IF(AE508="prepare_public_github_candidate","add receipt/status then mirror","resolve blocker before any public GitHub action")</x:f>
        <x:v>add receipt/status then mirror</x:v>
      </x:c>
    </x:row>
    <x:row r="509">
      <x:c r="A509" s="15" t="str">
        <x:v>SWARM-04-H07-S04</x:v>
      </x:c>
      <x:c r="B509" s="15" t="str">
        <x:v>Tidelock</x:v>
      </x:c>
      <x:c r="C509" s="15" t="str">
        <x:v>Access blocker keeper</x:v>
      </x:c>
      <x:c r="D509" s="15" t="str">
        <x:v>Graph Node Proposals</x:v>
      </x:c>
      <x:c r="E509" s="15" t="str">
        <x:v>Gamma</x:v>
      </x:c>
      <x:c r="F509" s="15" t="str">
        <x:v>Propose graph nodes for Gamma — Tidelock</x:v>
      </x:c>
      <x:c r="G509" s="15" t="str">
        <x:v>missing access / blocker ledger / next safe action</x:v>
      </x:c>
      <x:c r="H509" s="15" t="str">
        <x:v>source path + receipt + raw/export status + claim/edge/risk delta</x:v>
      </x:c>
      <x:c r="I509" s="15" t="str">
        <x:v>packet/SWARM-04-H07-S04</x:v>
      </x:c>
      <x:c r="J509" s="15" t="str">
        <x:v>TODO</x:v>
      </x:c>
      <x:c r="K509" s="15" t="str">
        <x:v>P1</x:v>
      </x:c>
      <x:c r="L509" s="15" t="str">
        <x:v>Done only when evidence is logged, contradiction search is noted, and boundary stamp remains non-canon unless ratified</x:v>
      </x:c>
      <x:c r="M509" s="15" t="str">
        <x:v>candidate / staging-only / not canon / not deployed / authority none</x:v>
      </x:c>
      <x:c r="N509" s="15" t="str">
        <x:v>Dispatch to Tidelock: complete Graph Node Proposals x Gamma; return deltas only, receipts required.</x:v>
      </x:c>
      <x:c r="O509" s="15" t="str">
        <x:v>AF-KG-H07-S04</x:v>
      </x:c>
      <x:c r="P509" s="15" t="str">
        <x:v>Unverified</x:v>
      </x:c>
      <x:c r="Q509" s="15" t="str">
        <x:v>Not checked</x:v>
      </x:c>
      <x:c r="R509" s="15" t="str"/>
      <x:c r="S509" s="15" t="str"/>
      <x:c r="T509" s="15" t="str">
        <x:v>Log first source path or blocker</x:v>
      </x:c>
      <x:c r="U509" s="12" t="str">
        <x:f>IF(OR(P509="Unverified",Q509="Not checked"),"BLOCKED_PENDING_RECEIPT","READY_FOR_REVIEW")</x:f>
        <x:v>BLOCKED_PENDING_RECEIPT</x:v>
      </x:c>
      <x:c r="V509" s="12" t="str">
        <x:f>IF(J509="DONE","RETURNED",IF(U509="BLOCKED_PENDING_RECEIPT","SOURCE_TOUCH_REQUIRED","IN_PROGRESS"))</x:f>
        <x:v>SOURCE_TOUCH_REQUIRED</x:v>
      </x:c>
      <x:c r="W509" s="12" t="str">
        <x:f>IF(P509="Unverified","missing_receipt","receipt_logged")</x:f>
        <x:v>missing_receipt</x:v>
      </x:c>
      <x:c r="X509" s="12" t="str">
        <x:f>IF(Q509="Not checked","raw_status_missing","raw_status_logged")</x:f>
        <x:v>raw_status_missing</x:v>
      </x:c>
      <x:c r="Y509" s="12" t="str">
        <x:f>IF(U509="BLOCKED_PENDING_RECEIPT","Log source path or blocker; do not promote","Route to review lane")</x:f>
        <x:v>Log source path or blocker; do not promote</x:v>
      </x:c>
      <x:c r="Z509" s="12" t="str">
        <x:f>IF(K509="P0","Primary seat + Hashlight/Lucerna","Seat lane")</x:f>
        <x:v>Seat lane</x:v>
      </x:c>
      <x:c r="AA509" s="12" t="str">
        <x:f>IF(R509="","no_claim_delta","claim_delta_present")</x:f>
        <x:v>no_claim_delta</x:v>
      </x:c>
      <x:c r="AB509" s="12" t="str">
        <x:f>IF(S509="","no_contradiction_delta","contradiction_delta_present")</x:f>
        <x:v>no_contradiction_delta</x:v>
      </x:c>
      <x:c r="AC509" s="12" t="str">
        <x:f>IF(OR(ISNUMBER(SEARCH("hacker",LOWER(F509&amp;" "&amp;H509&amp;" "&amp;I509&amp;" "&amp;M509&amp;" "&amp;N509&amp;" "&amp;T509))),ISNUMBER(SEARCH("hacking",LOWER(F509&amp;" "&amp;H509&amp;" "&amp;I509&amp;" "&amp;M509&amp;" "&amp;N509&amp;" "&amp;T509))),ISNUMBER(SEARCH("bank",LOWER(F509&amp;" "&amp;H509&amp;" "&amp;I509&amp;" "&amp;M509&amp;" "&amp;N509&amp;" "&amp;T509))),ISNUMBER(SEARCH("banking",LOWER(F509&amp;" "&amp;H509&amp;" "&amp;I509&amp;" "&amp;M509&amp;" "&amp;N509&amp;" "&amp;T509)))),"PRIVATE_QUARANTINE",IF(OR(ISNUMBER(SEARCH("treasury",LOWER(F509&amp;" "&amp;H509&amp;" "&amp;I509&amp;" "&amp;M509&amp;" "&amp;N509&amp;" "&amp;T509))),ISNUMBER(SEARCH("debt",LOWER(F509&amp;" "&amp;H509&amp;" "&amp;I509&amp;" "&amp;M509&amp;" "&amp;N509&amp;" "&amp;T509))),ISNUMBER(SEARCH("bond",LOWER(F509&amp;" "&amp;H509&amp;" "&amp;I509&amp;" "&amp;M509&amp;" "&amp;N509&amp;" "&amp;T509))),ISNUMBER(SEARCH("transaction",LOWER(F509&amp;" "&amp;H509&amp;" "&amp;I509&amp;" "&amp;M509&amp;" "&amp;N509&amp;" "&amp;T509)))),"PRIVATE_REVIEW","PUBLIC_CANDIDATE"))</x:f>
        <x:v>PUBLIC_CANDIDATE</x:v>
      </x:c>
      <x:c r="AD509" s="12" t="str">
        <x:f>IF(AC509="PRIVATE_QUARANTINE","hacker_or_bank_trigger",IF(AC509="PRIVATE_REVIEW","finance_risk_trigger","none"))</x:f>
        <x:v>none</x:v>
      </x:c>
      <x:c r="AE509" s="12" t="str">
        <x:f>IF(AC509="PUBLIC_CANDIDATE","prepare_public_github_candidate",IF(AC509="PRIVATE_REVIEW","hold_for_private_review","quarantine_private_do_not_publish"))</x:f>
        <x:v>prepare_public_github_candidate</x:v>
      </x:c>
      <x:c r="AF509" s="12" t="str">
        <x:f>IF(AC509="PUBLIC_CANDIDATE","TIDELOCK + Lucerna",IF(AC509="PRIVATE_REVIEW","AtlasBrain + Lucerna","TIDELOCK + Lucerna + Human-root"))</x:f>
        <x:v>TIDELOCK + Lucerna</x:v>
      </x:c>
      <x:c r="AG509" s="12" t="str">
        <x:f>IF(AND(AC509="PUBLIC_CANDIDATE",U509&lt;&gt;"BLOCKED_PENDING_RECEIPT"),"READY_AFTER_RECEIPT","NOT_READY")</x:f>
        <x:v>NOT_READY</x:v>
      </x:c>
      <x:c r="AH509" s="12" t="str">
        <x:f>IF(AC509="PUBLIC_CANDIDATE","none",AD509)</x:f>
        <x:v>none</x:v>
      </x:c>
      <x:c r="AI509" s="12" t="str">
        <x:f>IF(AC509="PUBLIC_CANDIDATE","archive/public_candidates/"&amp;A509,"private_quarantine/"&amp;A509)</x:f>
        <x:v>archive/public_candidates/SWARM-04-H07-S04</x:v>
      </x:c>
      <x:c r="AJ509" s="12" t="str">
        <x:f>IF(AC509="PUBLIC_CANDIDATE","public by default; still not canon","private/hold; do not publish")</x:f>
        <x:v>public by default; still not canon</x:v>
      </x:c>
      <x:c r="AK509" s="12" t="str">
        <x:f>IF(AE509="prepare_public_github_candidate","add receipt/status then mirror","resolve blocker before any public GitHub action")</x:f>
        <x:v>add receipt/status then mirror</x:v>
      </x:c>
    </x:row>
    <x:row r="510">
      <x:c r="A510" s="15" t="str">
        <x:v>SWARM-04-H07-S05</x:v>
      </x:c>
      <x:c r="B510" s="15" t="str">
        <x:v>Tidelock</x:v>
      </x:c>
      <x:c r="C510" s="15" t="str">
        <x:v>Access blocker keeper</x:v>
      </x:c>
      <x:c r="D510" s="15" t="str">
        <x:v>Graph Node Proposals</x:v>
      </x:c>
      <x:c r="E510" s="15" t="str">
        <x:v>Chat</x:v>
      </x:c>
      <x:c r="F510" s="15" t="str">
        <x:v>Propose graph nodes for Chat — Tidelock</x:v>
      </x:c>
      <x:c r="G510" s="15" t="str">
        <x:v>missing access / blocker ledger / next safe action</x:v>
      </x:c>
      <x:c r="H510" s="15" t="str">
        <x:v>source path + receipt + raw/export status + claim/edge/risk delta</x:v>
      </x:c>
      <x:c r="I510" s="15" t="str">
        <x:v>packet/SWARM-04-H07-S05</x:v>
      </x:c>
      <x:c r="J510" s="15" t="str">
        <x:v>TODO</x:v>
      </x:c>
      <x:c r="K510" s="15" t="str">
        <x:v>P1</x:v>
      </x:c>
      <x:c r="L510" s="15" t="str">
        <x:v>Done only when evidence is logged, contradiction search is noted, and boundary stamp remains non-canon unless ratified</x:v>
      </x:c>
      <x:c r="M510" s="15" t="str">
        <x:v>candidate / staging-only / not canon / not deployed / authority none</x:v>
      </x:c>
      <x:c r="N510" s="15" t="str">
        <x:v>Dispatch to Tidelock: complete Graph Node Proposals x Chat; return deltas only, receipts required.</x:v>
      </x:c>
      <x:c r="O510" s="15" t="str">
        <x:v>AF-KG-H07-S05</x:v>
      </x:c>
      <x:c r="P510" s="15" t="str">
        <x:v>Unverified</x:v>
      </x:c>
      <x:c r="Q510" s="15" t="str">
        <x:v>Not checked</x:v>
      </x:c>
      <x:c r="R510" s="15" t="str"/>
      <x:c r="S510" s="15" t="str"/>
      <x:c r="T510" s="15" t="str">
        <x:v>Log first source path or blocker</x:v>
      </x:c>
      <x:c r="U510" s="12" t="str">
        <x:f>IF(OR(P510="Unverified",Q510="Not checked"),"BLOCKED_PENDING_RECEIPT","READY_FOR_REVIEW")</x:f>
        <x:v>BLOCKED_PENDING_RECEIPT</x:v>
      </x:c>
      <x:c r="V510" s="12" t="str">
        <x:f>IF(J510="DONE","RETURNED",IF(U510="BLOCKED_PENDING_RECEIPT","SOURCE_TOUCH_REQUIRED","IN_PROGRESS"))</x:f>
        <x:v>SOURCE_TOUCH_REQUIRED</x:v>
      </x:c>
      <x:c r="W510" s="12" t="str">
        <x:f>IF(P510="Unverified","missing_receipt","receipt_logged")</x:f>
        <x:v>missing_receipt</x:v>
      </x:c>
      <x:c r="X510" s="12" t="str">
        <x:f>IF(Q510="Not checked","raw_status_missing","raw_status_logged")</x:f>
        <x:v>raw_status_missing</x:v>
      </x:c>
      <x:c r="Y510" s="12" t="str">
        <x:f>IF(U510="BLOCKED_PENDING_RECEIPT","Log source path or blocker; do not promote","Route to review lane")</x:f>
        <x:v>Log source path or blocker; do not promote</x:v>
      </x:c>
      <x:c r="Z510" s="12" t="str">
        <x:f>IF(K510="P0","Primary seat + Hashlight/Lucerna","Seat lane")</x:f>
        <x:v>Seat lane</x:v>
      </x:c>
      <x:c r="AA510" s="12" t="str">
        <x:f>IF(R510="","no_claim_delta","claim_delta_present")</x:f>
        <x:v>no_claim_delta</x:v>
      </x:c>
      <x:c r="AB510" s="12" t="str">
        <x:f>IF(S510="","no_contradiction_delta","contradiction_delta_present")</x:f>
        <x:v>no_contradiction_delta</x:v>
      </x:c>
      <x:c r="AC510" s="12" t="str">
        <x:f>IF(OR(ISNUMBER(SEARCH("hacker",LOWER(F510&amp;" "&amp;H510&amp;" "&amp;I510&amp;" "&amp;M510&amp;" "&amp;N510&amp;" "&amp;T510))),ISNUMBER(SEARCH("hacking",LOWER(F510&amp;" "&amp;H510&amp;" "&amp;I510&amp;" "&amp;M510&amp;" "&amp;N510&amp;" "&amp;T510))),ISNUMBER(SEARCH("bank",LOWER(F510&amp;" "&amp;H510&amp;" "&amp;I510&amp;" "&amp;M510&amp;" "&amp;N510&amp;" "&amp;T510))),ISNUMBER(SEARCH("banking",LOWER(F510&amp;" "&amp;H510&amp;" "&amp;I510&amp;" "&amp;M510&amp;" "&amp;N510&amp;" "&amp;T510)))),"PRIVATE_QUARANTINE",IF(OR(ISNUMBER(SEARCH("treasury",LOWER(F510&amp;" "&amp;H510&amp;" "&amp;I510&amp;" "&amp;M510&amp;" "&amp;N510&amp;" "&amp;T510))),ISNUMBER(SEARCH("debt",LOWER(F510&amp;" "&amp;H510&amp;" "&amp;I510&amp;" "&amp;M510&amp;" "&amp;N510&amp;" "&amp;T510))),ISNUMBER(SEARCH("bond",LOWER(F510&amp;" "&amp;H510&amp;" "&amp;I510&amp;" "&amp;M510&amp;" "&amp;N510&amp;" "&amp;T510))),ISNUMBER(SEARCH("transaction",LOWER(F510&amp;" "&amp;H510&amp;" "&amp;I510&amp;" "&amp;M510&amp;" "&amp;N510&amp;" "&amp;T510)))),"PRIVATE_REVIEW","PUBLIC_CANDIDATE"))</x:f>
        <x:v>PUBLIC_CANDIDATE</x:v>
      </x:c>
      <x:c r="AD510" s="12" t="str">
        <x:f>IF(AC510="PRIVATE_QUARANTINE","hacker_or_bank_trigger",IF(AC510="PRIVATE_REVIEW","finance_risk_trigger","none"))</x:f>
        <x:v>none</x:v>
      </x:c>
      <x:c r="AE510" s="12" t="str">
        <x:f>IF(AC510="PUBLIC_CANDIDATE","prepare_public_github_candidate",IF(AC510="PRIVATE_REVIEW","hold_for_private_review","quarantine_private_do_not_publish"))</x:f>
        <x:v>prepare_public_github_candidate</x:v>
      </x:c>
      <x:c r="AF510" s="12" t="str">
        <x:f>IF(AC510="PUBLIC_CANDIDATE","TIDELOCK + Lucerna",IF(AC510="PRIVATE_REVIEW","AtlasBrain + Lucerna","TIDELOCK + Lucerna + Human-root"))</x:f>
        <x:v>TIDELOCK + Lucerna</x:v>
      </x:c>
      <x:c r="AG510" s="12" t="str">
        <x:f>IF(AND(AC510="PUBLIC_CANDIDATE",U510&lt;&gt;"BLOCKED_PENDING_RECEIPT"),"READY_AFTER_RECEIPT","NOT_READY")</x:f>
        <x:v>NOT_READY</x:v>
      </x:c>
      <x:c r="AH510" s="12" t="str">
        <x:f>IF(AC510="PUBLIC_CANDIDATE","none",AD510)</x:f>
        <x:v>none</x:v>
      </x:c>
      <x:c r="AI510" s="12" t="str">
        <x:f>IF(AC510="PUBLIC_CANDIDATE","archive/public_candidates/"&amp;A510,"private_quarantine/"&amp;A510)</x:f>
        <x:v>archive/public_candidates/SWARM-04-H07-S05</x:v>
      </x:c>
      <x:c r="AJ510" s="12" t="str">
        <x:f>IF(AC510="PUBLIC_CANDIDATE","public by default; still not canon","private/hold; do not publish")</x:f>
        <x:v>public by default; still not canon</x:v>
      </x:c>
      <x:c r="AK510" s="12" t="str">
        <x:f>IF(AE510="prepare_public_github_candidate","add receipt/status then mirror","resolve blocker before any public GitHub action")</x:f>
        <x:v>add receipt/status then mirror</x:v>
      </x:c>
    </x:row>
    <x:row r="511">
      <x:c r="A511" s="15" t="str">
        <x:v>SWARM-04-H07-S06</x:v>
      </x:c>
      <x:c r="B511" s="15" t="str">
        <x:v>Tidelock</x:v>
      </x:c>
      <x:c r="C511" s="15" t="str">
        <x:v>Access blocker keeper</x:v>
      </x:c>
      <x:c r="D511" s="15" t="str">
        <x:v>Graph Node Proposals</x:v>
      </x:c>
      <x:c r="E511" s="15" t="str">
        <x:v>External Web</x:v>
      </x:c>
      <x:c r="F511" s="15" t="str">
        <x:v>Propose graph nodes for External Web — Tidelock</x:v>
      </x:c>
      <x:c r="G511" s="15" t="str">
        <x:v>missing access / blocker ledger / next safe action</x:v>
      </x:c>
      <x:c r="H511" s="15" t="str">
        <x:v>source path + receipt + raw/export status + claim/edge/risk delta</x:v>
      </x:c>
      <x:c r="I511" s="15" t="str">
        <x:v>packet/SWARM-04-H07-S06</x:v>
      </x:c>
      <x:c r="J511" s="15" t="str">
        <x:v>TODO</x:v>
      </x:c>
      <x:c r="K511" s="15" t="str">
        <x:v>P1</x:v>
      </x:c>
      <x:c r="L511" s="15" t="str">
        <x:v>Done only when evidence is logged, contradiction search is noted, and boundary stamp remains non-canon unless ratified</x:v>
      </x:c>
      <x:c r="M511" s="15" t="str">
        <x:v>candidate / staging-only / not canon / not deployed / authority none</x:v>
      </x:c>
      <x:c r="N511" s="15" t="str">
        <x:v>Dispatch to Tidelock: complete Graph Node Proposals x External Web; return deltas only, receipts required.</x:v>
      </x:c>
      <x:c r="O511" s="15" t="str">
        <x:v>AF-KG-H07-S06</x:v>
      </x:c>
      <x:c r="P511" s="15" t="str">
        <x:v>Unverified</x:v>
      </x:c>
      <x:c r="Q511" s="15" t="str">
        <x:v>Not checked</x:v>
      </x:c>
      <x:c r="R511" s="15" t="str"/>
      <x:c r="S511" s="15" t="str"/>
      <x:c r="T511" s="15" t="str">
        <x:v>Log first source path or blocker</x:v>
      </x:c>
      <x:c r="U511" s="12" t="str">
        <x:f>IF(OR(P511="Unverified",Q511="Not checked"),"BLOCKED_PENDING_RECEIPT","READY_FOR_REVIEW")</x:f>
        <x:v>BLOCKED_PENDING_RECEIPT</x:v>
      </x:c>
      <x:c r="V511" s="12" t="str">
        <x:f>IF(J511="DONE","RETURNED",IF(U511="BLOCKED_PENDING_RECEIPT","SOURCE_TOUCH_REQUIRED","IN_PROGRESS"))</x:f>
        <x:v>SOURCE_TOUCH_REQUIRED</x:v>
      </x:c>
      <x:c r="W511" s="12" t="str">
        <x:f>IF(P511="Unverified","missing_receipt","receipt_logged")</x:f>
        <x:v>missing_receipt</x:v>
      </x:c>
      <x:c r="X511" s="12" t="str">
        <x:f>IF(Q511="Not checked","raw_status_missing","raw_status_logged")</x:f>
        <x:v>raw_status_missing</x:v>
      </x:c>
      <x:c r="Y511" s="12" t="str">
        <x:f>IF(U511="BLOCKED_PENDING_RECEIPT","Log source path or blocker; do not promote","Route to review lane")</x:f>
        <x:v>Log source path or blocker; do not promote</x:v>
      </x:c>
      <x:c r="Z511" s="12" t="str">
        <x:f>IF(K511="P0","Primary seat + Hashlight/Lucerna","Seat lane")</x:f>
        <x:v>Seat lane</x:v>
      </x:c>
      <x:c r="AA511" s="12" t="str">
        <x:f>IF(R511="","no_claim_delta","claim_delta_present")</x:f>
        <x:v>no_claim_delta</x:v>
      </x:c>
      <x:c r="AB511" s="12" t="str">
        <x:f>IF(S511="","no_contradiction_delta","contradiction_delta_present")</x:f>
        <x:v>no_contradiction_delta</x:v>
      </x:c>
      <x:c r="AC511" s="12" t="str">
        <x:f>IF(OR(ISNUMBER(SEARCH("hacker",LOWER(F511&amp;" "&amp;H511&amp;" "&amp;I511&amp;" "&amp;M511&amp;" "&amp;N511&amp;" "&amp;T511))),ISNUMBER(SEARCH("hacking",LOWER(F511&amp;" "&amp;H511&amp;" "&amp;I511&amp;" "&amp;M511&amp;" "&amp;N511&amp;" "&amp;T511))),ISNUMBER(SEARCH("bank",LOWER(F511&amp;" "&amp;H511&amp;" "&amp;I511&amp;" "&amp;M511&amp;" "&amp;N511&amp;" "&amp;T511))),ISNUMBER(SEARCH("banking",LOWER(F511&amp;" "&amp;H511&amp;" "&amp;I511&amp;" "&amp;M511&amp;" "&amp;N511&amp;" "&amp;T511)))),"PRIVATE_QUARANTINE",IF(OR(ISNUMBER(SEARCH("treasury",LOWER(F511&amp;" "&amp;H511&amp;" "&amp;I511&amp;" "&amp;M511&amp;" "&amp;N511&amp;" "&amp;T511))),ISNUMBER(SEARCH("debt",LOWER(F511&amp;" "&amp;H511&amp;" "&amp;I511&amp;" "&amp;M511&amp;" "&amp;N511&amp;" "&amp;T511))),ISNUMBER(SEARCH("bond",LOWER(F511&amp;" "&amp;H511&amp;" "&amp;I511&amp;" "&amp;M511&amp;" "&amp;N511&amp;" "&amp;T511))),ISNUMBER(SEARCH("transaction",LOWER(F511&amp;" "&amp;H511&amp;" "&amp;I511&amp;" "&amp;M511&amp;" "&amp;N511&amp;" "&amp;T511)))),"PRIVATE_REVIEW","PUBLIC_CANDIDATE"))</x:f>
        <x:v>PUBLIC_CANDIDATE</x:v>
      </x:c>
      <x:c r="AD511" s="12" t="str">
        <x:f>IF(AC511="PRIVATE_QUARANTINE","hacker_or_bank_trigger",IF(AC511="PRIVATE_REVIEW","finance_risk_trigger","none"))</x:f>
        <x:v>none</x:v>
      </x:c>
      <x:c r="AE511" s="12" t="str">
        <x:f>IF(AC511="PUBLIC_CANDIDATE","prepare_public_github_candidate",IF(AC511="PRIVATE_REVIEW","hold_for_private_review","quarantine_private_do_not_publish"))</x:f>
        <x:v>prepare_public_github_candidate</x:v>
      </x:c>
      <x:c r="AF511" s="12" t="str">
        <x:f>IF(AC511="PUBLIC_CANDIDATE","TIDELOCK + Lucerna",IF(AC511="PRIVATE_REVIEW","AtlasBrain + Lucerna","TIDELOCK + Lucerna + Human-root"))</x:f>
        <x:v>TIDELOCK + Lucerna</x:v>
      </x:c>
      <x:c r="AG511" s="12" t="str">
        <x:f>IF(AND(AC511="PUBLIC_CANDIDATE",U511&lt;&gt;"BLOCKED_PENDING_RECEIPT"),"READY_AFTER_RECEIPT","NOT_READY")</x:f>
        <x:v>NOT_READY</x:v>
      </x:c>
      <x:c r="AH511" s="12" t="str">
        <x:f>IF(AC511="PUBLIC_CANDIDATE","none",AD511)</x:f>
        <x:v>none</x:v>
      </x:c>
      <x:c r="AI511" s="12" t="str">
        <x:f>IF(AC511="PUBLIC_CANDIDATE","archive/public_candidates/"&amp;A511,"private_quarantine/"&amp;A511)</x:f>
        <x:v>archive/public_candidates/SWARM-04-H07-S06</x:v>
      </x:c>
      <x:c r="AJ511" s="12" t="str">
        <x:f>IF(AC511="PUBLIC_CANDIDATE","public by default; still not canon","private/hold; do not publish")</x:f>
        <x:v>public by default; still not canon</x:v>
      </x:c>
      <x:c r="AK511" s="12" t="str">
        <x:f>IF(AE511="prepare_public_github_candidate","add receipt/status then mirror","resolve blocker before any public GitHub action")</x:f>
        <x:v>add receipt/status then mirror</x:v>
      </x:c>
    </x:row>
    <x:row r="512">
      <x:c r="A512" s="15" t="str">
        <x:v>SWARM-04-H07-S07</x:v>
      </x:c>
      <x:c r="B512" s="15" t="str">
        <x:v>Tidelock</x:v>
      </x:c>
      <x:c r="C512" s="15" t="str">
        <x:v>Access blocker keeper</x:v>
      </x:c>
      <x:c r="D512" s="15" t="str">
        <x:v>Graph Node Proposals</x:v>
      </x:c>
      <x:c r="E512" s="15" t="str">
        <x:v>Planetarium</x:v>
      </x:c>
      <x:c r="F512" s="15" t="str">
        <x:v>Propose graph nodes for Planetarium — Tidelock</x:v>
      </x:c>
      <x:c r="G512" s="15" t="str">
        <x:v>missing access / blocker ledger / next safe action</x:v>
      </x:c>
      <x:c r="H512" s="15" t="str">
        <x:v>source path + receipt + raw/export status + claim/edge/risk delta</x:v>
      </x:c>
      <x:c r="I512" s="15" t="str">
        <x:v>packet/SWARM-04-H07-S07</x:v>
      </x:c>
      <x:c r="J512" s="15" t="str">
        <x:v>TODO</x:v>
      </x:c>
      <x:c r="K512" s="15" t="str">
        <x:v>P1</x:v>
      </x:c>
      <x:c r="L512" s="15" t="str">
        <x:v>Done only when evidence is logged, contradiction search is noted, and boundary stamp remains non-canon unless ratified</x:v>
      </x:c>
      <x:c r="M512" s="15" t="str">
        <x:v>candidate / staging-only / not canon / not deployed / authority none</x:v>
      </x:c>
      <x:c r="N512" s="15" t="str">
        <x:v>Dispatch to Tidelock: complete Graph Node Proposals x Planetarium; return deltas only, receipts required.</x:v>
      </x:c>
      <x:c r="O512" s="15" t="str">
        <x:v>AF-KG-H07-S07</x:v>
      </x:c>
      <x:c r="P512" s="15" t="str">
        <x:v>Unverified</x:v>
      </x:c>
      <x:c r="Q512" s="15" t="str">
        <x:v>Not checked</x:v>
      </x:c>
      <x:c r="R512" s="15" t="str"/>
      <x:c r="S512" s="15" t="str"/>
      <x:c r="T512" s="15" t="str">
        <x:v>Log first source path or blocker</x:v>
      </x:c>
      <x:c r="U512" s="12" t="str">
        <x:f>IF(OR(P512="Unverified",Q512="Not checked"),"BLOCKED_PENDING_RECEIPT","READY_FOR_REVIEW")</x:f>
        <x:v>BLOCKED_PENDING_RECEIPT</x:v>
      </x:c>
      <x:c r="V512" s="12" t="str">
        <x:f>IF(J512="DONE","RETURNED",IF(U512="BLOCKED_PENDING_RECEIPT","SOURCE_TOUCH_REQUIRED","IN_PROGRESS"))</x:f>
        <x:v>SOURCE_TOUCH_REQUIRED</x:v>
      </x:c>
      <x:c r="W512" s="12" t="str">
        <x:f>IF(P512="Unverified","missing_receipt","receipt_logged")</x:f>
        <x:v>missing_receipt</x:v>
      </x:c>
      <x:c r="X512" s="12" t="str">
        <x:f>IF(Q512="Not checked","raw_status_missing","raw_status_logged")</x:f>
        <x:v>raw_status_missing</x:v>
      </x:c>
      <x:c r="Y512" s="12" t="str">
        <x:f>IF(U512="BLOCKED_PENDING_RECEIPT","Log source path or blocker; do not promote","Route to review lane")</x:f>
        <x:v>Log source path or blocker; do not promote</x:v>
      </x:c>
      <x:c r="Z512" s="12" t="str">
        <x:f>IF(K512="P0","Primary seat + Hashlight/Lucerna","Seat lane")</x:f>
        <x:v>Seat lane</x:v>
      </x:c>
      <x:c r="AA512" s="12" t="str">
        <x:f>IF(R512="","no_claim_delta","claim_delta_present")</x:f>
        <x:v>no_claim_delta</x:v>
      </x:c>
      <x:c r="AB512" s="12" t="str">
        <x:f>IF(S512="","no_contradiction_delta","contradiction_delta_present")</x:f>
        <x:v>no_contradiction_delta</x:v>
      </x:c>
      <x:c r="AC512" s="12" t="str">
        <x:f>IF(OR(ISNUMBER(SEARCH("hacker",LOWER(F512&amp;" "&amp;H512&amp;" "&amp;I512&amp;" "&amp;M512&amp;" "&amp;N512&amp;" "&amp;T512))),ISNUMBER(SEARCH("hacking",LOWER(F512&amp;" "&amp;H512&amp;" "&amp;I512&amp;" "&amp;M512&amp;" "&amp;N512&amp;" "&amp;T512))),ISNUMBER(SEARCH("bank",LOWER(F512&amp;" "&amp;H512&amp;" "&amp;I512&amp;" "&amp;M512&amp;" "&amp;N512&amp;" "&amp;T512))),ISNUMBER(SEARCH("banking",LOWER(F512&amp;" "&amp;H512&amp;" "&amp;I512&amp;" "&amp;M512&amp;" "&amp;N512&amp;" "&amp;T512)))),"PRIVATE_QUARANTINE",IF(OR(ISNUMBER(SEARCH("treasury",LOWER(F512&amp;" "&amp;H512&amp;" "&amp;I512&amp;" "&amp;M512&amp;" "&amp;N512&amp;" "&amp;T512))),ISNUMBER(SEARCH("debt",LOWER(F512&amp;" "&amp;H512&amp;" "&amp;I512&amp;" "&amp;M512&amp;" "&amp;N512&amp;" "&amp;T512))),ISNUMBER(SEARCH("bond",LOWER(F512&amp;" "&amp;H512&amp;" "&amp;I512&amp;" "&amp;M512&amp;" "&amp;N512&amp;" "&amp;T512))),ISNUMBER(SEARCH("transaction",LOWER(F512&amp;" "&amp;H512&amp;" "&amp;I512&amp;" "&amp;M512&amp;" "&amp;N512&amp;" "&amp;T512)))),"PRIVATE_REVIEW","PUBLIC_CANDIDATE"))</x:f>
        <x:v>PUBLIC_CANDIDATE</x:v>
      </x:c>
      <x:c r="AD512" s="12" t="str">
        <x:f>IF(AC512="PRIVATE_QUARANTINE","hacker_or_bank_trigger",IF(AC512="PRIVATE_REVIEW","finance_risk_trigger","none"))</x:f>
        <x:v>none</x:v>
      </x:c>
      <x:c r="AE512" s="12" t="str">
        <x:f>IF(AC512="PUBLIC_CANDIDATE","prepare_public_github_candidate",IF(AC512="PRIVATE_REVIEW","hold_for_private_review","quarantine_private_do_not_publish"))</x:f>
        <x:v>prepare_public_github_candidate</x:v>
      </x:c>
      <x:c r="AF512" s="12" t="str">
        <x:f>IF(AC512="PUBLIC_CANDIDATE","TIDELOCK + Lucerna",IF(AC512="PRIVATE_REVIEW","AtlasBrain + Lucerna","TIDELOCK + Lucerna + Human-root"))</x:f>
        <x:v>TIDELOCK + Lucerna</x:v>
      </x:c>
      <x:c r="AG512" s="12" t="str">
        <x:f>IF(AND(AC512="PUBLIC_CANDIDATE",U512&lt;&gt;"BLOCKED_PENDING_RECEIPT"),"READY_AFTER_RECEIPT","NOT_READY")</x:f>
        <x:v>NOT_READY</x:v>
      </x:c>
      <x:c r="AH512" s="12" t="str">
        <x:f>IF(AC512="PUBLIC_CANDIDATE","none",AD512)</x:f>
        <x:v>none</x:v>
      </x:c>
      <x:c r="AI512" s="12" t="str">
        <x:f>IF(AC512="PUBLIC_CANDIDATE","archive/public_candidates/"&amp;A512,"private_quarantine/"&amp;A512)</x:f>
        <x:v>archive/public_candidates/SWARM-04-H07-S07</x:v>
      </x:c>
      <x:c r="AJ512" s="12" t="str">
        <x:f>IF(AC512="PUBLIC_CANDIDATE","public by default; still not canon","private/hold; do not publish")</x:f>
        <x:v>public by default; still not canon</x:v>
      </x:c>
      <x:c r="AK512" s="12" t="str">
        <x:f>IF(AE512="prepare_public_github_candidate","add receipt/status then mirror","resolve blocker before any public GitHub action")</x:f>
        <x:v>add receipt/status then mirror</x:v>
      </x:c>
    </x:row>
    <x:row r="513">
      <x:c r="A513" s="15" t="str">
        <x:v>SWARM-04-H07-S08</x:v>
      </x:c>
      <x:c r="B513" s="15" t="str">
        <x:v>Tidelock</x:v>
      </x:c>
      <x:c r="C513" s="15" t="str">
        <x:v>Access blocker keeper</x:v>
      </x:c>
      <x:c r="D513" s="15" t="str">
        <x:v>Graph Node Proposals</x:v>
      </x:c>
      <x:c r="E513" s="15" t="str">
        <x:v>Sheldonbrain</x:v>
      </x:c>
      <x:c r="F513" s="15" t="str">
        <x:v>Propose graph nodes for Sheldonbrain — Tidelock</x:v>
      </x:c>
      <x:c r="G513" s="15" t="str">
        <x:v>missing access / blocker ledger / next safe action</x:v>
      </x:c>
      <x:c r="H513" s="15" t="str">
        <x:v>source path + receipt + raw/export status + claim/edge/risk delta</x:v>
      </x:c>
      <x:c r="I513" s="15" t="str">
        <x:v>packet/SWARM-04-H07-S08</x:v>
      </x:c>
      <x:c r="J513" s="15" t="str">
        <x:v>TODO</x:v>
      </x:c>
      <x:c r="K513" s="15" t="str">
        <x:v>P1</x:v>
      </x:c>
      <x:c r="L513" s="15" t="str">
        <x:v>Done only when evidence is logged, contradiction search is noted, and boundary stamp remains non-canon unless ratified</x:v>
      </x:c>
      <x:c r="M513" s="15" t="str">
        <x:v>candidate / staging-only / not canon / not deployed / authority none</x:v>
      </x:c>
      <x:c r="N513" s="15" t="str">
        <x:v>Dispatch to Tidelock: complete Graph Node Proposals x Sheldonbrain; return deltas only, receipts required.</x:v>
      </x:c>
      <x:c r="O513" s="15" t="str">
        <x:v>AF-KG-H07-S08</x:v>
      </x:c>
      <x:c r="P513" s="15" t="str">
        <x:v>Unverified</x:v>
      </x:c>
      <x:c r="Q513" s="15" t="str">
        <x:v>Not checked</x:v>
      </x:c>
      <x:c r="R513" s="15" t="str"/>
      <x:c r="S513" s="15" t="str"/>
      <x:c r="T513" s="15" t="str">
        <x:v>Log first source path or blocker</x:v>
      </x:c>
      <x:c r="U513" s="12" t="str">
        <x:f>IF(OR(P513="Unverified",Q513="Not checked"),"BLOCKED_PENDING_RECEIPT","READY_FOR_REVIEW")</x:f>
        <x:v>BLOCKED_PENDING_RECEIPT</x:v>
      </x:c>
      <x:c r="V513" s="12" t="str">
        <x:f>IF(J513="DONE","RETURNED",IF(U513="BLOCKED_PENDING_RECEIPT","SOURCE_TOUCH_REQUIRED","IN_PROGRESS"))</x:f>
        <x:v>SOURCE_TOUCH_REQUIRED</x:v>
      </x:c>
      <x:c r="W513" s="12" t="str">
        <x:f>IF(P513="Unverified","missing_receipt","receipt_logged")</x:f>
        <x:v>missing_receipt</x:v>
      </x:c>
      <x:c r="X513" s="12" t="str">
        <x:f>IF(Q513="Not checked","raw_status_missing","raw_status_logged")</x:f>
        <x:v>raw_status_missing</x:v>
      </x:c>
      <x:c r="Y513" s="12" t="str">
        <x:f>IF(U513="BLOCKED_PENDING_RECEIPT","Log source path or blocker; do not promote","Route to review lane")</x:f>
        <x:v>Log source path or blocker; do not promote</x:v>
      </x:c>
      <x:c r="Z513" s="12" t="str">
        <x:f>IF(K513="P0","Primary seat + Hashlight/Lucerna","Seat lane")</x:f>
        <x:v>Seat lane</x:v>
      </x:c>
      <x:c r="AA513" s="12" t="str">
        <x:f>IF(R513="","no_claim_delta","claim_delta_present")</x:f>
        <x:v>no_claim_delta</x:v>
      </x:c>
      <x:c r="AB513" s="12" t="str">
        <x:f>IF(S513="","no_contradiction_delta","contradiction_delta_present")</x:f>
        <x:v>no_contradiction_delta</x:v>
      </x:c>
      <x:c r="AC513" s="12" t="str">
        <x:f>IF(OR(ISNUMBER(SEARCH("hacker",LOWER(F513&amp;" "&amp;H513&amp;" "&amp;I513&amp;" "&amp;M513&amp;" "&amp;N513&amp;" "&amp;T513))),ISNUMBER(SEARCH("hacking",LOWER(F513&amp;" "&amp;H513&amp;" "&amp;I513&amp;" "&amp;M513&amp;" "&amp;N513&amp;" "&amp;T513))),ISNUMBER(SEARCH("bank",LOWER(F513&amp;" "&amp;H513&amp;" "&amp;I513&amp;" "&amp;M513&amp;" "&amp;N513&amp;" "&amp;T513))),ISNUMBER(SEARCH("banking",LOWER(F513&amp;" "&amp;H513&amp;" "&amp;I513&amp;" "&amp;M513&amp;" "&amp;N513&amp;" "&amp;T513)))),"PRIVATE_QUARANTINE",IF(OR(ISNUMBER(SEARCH("treasury",LOWER(F513&amp;" "&amp;H513&amp;" "&amp;I513&amp;" "&amp;M513&amp;" "&amp;N513&amp;" "&amp;T513))),ISNUMBER(SEARCH("debt",LOWER(F513&amp;" "&amp;H513&amp;" "&amp;I513&amp;" "&amp;M513&amp;" "&amp;N513&amp;" "&amp;T513))),ISNUMBER(SEARCH("bond",LOWER(F513&amp;" "&amp;H513&amp;" "&amp;I513&amp;" "&amp;M513&amp;" "&amp;N513&amp;" "&amp;T513))),ISNUMBER(SEARCH("transaction",LOWER(F513&amp;" "&amp;H513&amp;" "&amp;I513&amp;" "&amp;M513&amp;" "&amp;N513&amp;" "&amp;T513)))),"PRIVATE_REVIEW","PUBLIC_CANDIDATE"))</x:f>
        <x:v>PUBLIC_CANDIDATE</x:v>
      </x:c>
      <x:c r="AD513" s="12" t="str">
        <x:f>IF(AC513="PRIVATE_QUARANTINE","hacker_or_bank_trigger",IF(AC513="PRIVATE_REVIEW","finance_risk_trigger","none"))</x:f>
        <x:v>none</x:v>
      </x:c>
      <x:c r="AE513" s="12" t="str">
        <x:f>IF(AC513="PUBLIC_CANDIDATE","prepare_public_github_candidate",IF(AC513="PRIVATE_REVIEW","hold_for_private_review","quarantine_private_do_not_publish"))</x:f>
        <x:v>prepare_public_github_candidate</x:v>
      </x:c>
      <x:c r="AF513" s="12" t="str">
        <x:f>IF(AC513="PUBLIC_CANDIDATE","TIDELOCK + Lucerna",IF(AC513="PRIVATE_REVIEW","AtlasBrain + Lucerna","TIDELOCK + Lucerna + Human-root"))</x:f>
        <x:v>TIDELOCK + Lucerna</x:v>
      </x:c>
      <x:c r="AG513" s="12" t="str">
        <x:f>IF(AND(AC513="PUBLIC_CANDIDATE",U513&lt;&gt;"BLOCKED_PENDING_RECEIPT"),"READY_AFTER_RECEIPT","NOT_READY")</x:f>
        <x:v>NOT_READY</x:v>
      </x:c>
      <x:c r="AH513" s="12" t="str">
        <x:f>IF(AC513="PUBLIC_CANDIDATE","none",AD513)</x:f>
        <x:v>none</x:v>
      </x:c>
      <x:c r="AI513" s="12" t="str">
        <x:f>IF(AC513="PUBLIC_CANDIDATE","archive/public_candidates/"&amp;A513,"private_quarantine/"&amp;A513)</x:f>
        <x:v>archive/public_candidates/SWARM-04-H07-S08</x:v>
      </x:c>
      <x:c r="AJ513" s="12" t="str">
        <x:f>IF(AC513="PUBLIC_CANDIDATE","public by default; still not canon","private/hold; do not publish")</x:f>
        <x:v>public by default; still not canon</x:v>
      </x:c>
      <x:c r="AK513" s="12" t="str">
        <x:f>IF(AE513="prepare_public_github_candidate","add receipt/status then mirror","resolve blocker before any public GitHub action")</x:f>
        <x:v>add receipt/status then mirror</x:v>
      </x:c>
    </x:row>
    <x:row r="514">
      <x:c r="A514" s="15" t="str">
        <x:v>SWARM-04-H07-S09</x:v>
      </x:c>
      <x:c r="B514" s="15" t="str">
        <x:v>Tidelock</x:v>
      </x:c>
      <x:c r="C514" s="15" t="str">
        <x:v>Access blocker keeper</x:v>
      </x:c>
      <x:c r="D514" s="15" t="str">
        <x:v>Graph Node Proposals</x:v>
      </x:c>
      <x:c r="E514" s="15" t="str">
        <x:v>Aetherforge</x:v>
      </x:c>
      <x:c r="F514" s="15" t="str">
        <x:v>Propose graph nodes for Aetherforge — Tidelock</x:v>
      </x:c>
      <x:c r="G514" s="15" t="str">
        <x:v>missing access / blocker ledger / next safe action</x:v>
      </x:c>
      <x:c r="H514" s="15" t="str">
        <x:v>source path + receipt + raw/export status + claim/edge/risk delta</x:v>
      </x:c>
      <x:c r="I514" s="15" t="str">
        <x:v>packet/SWARM-04-H07-S09</x:v>
      </x:c>
      <x:c r="J514" s="15" t="str">
        <x:v>TODO</x:v>
      </x:c>
      <x:c r="K514" s="15" t="str">
        <x:v>P2</x:v>
      </x:c>
      <x:c r="L514" s="15" t="str">
        <x:v>Done only when evidence is logged, contradiction search is noted, and boundary stamp remains non-canon unless ratified</x:v>
      </x:c>
      <x:c r="M514" s="15" t="str">
        <x:v>candidate / staging-only / not canon / not deployed / authority none</x:v>
      </x:c>
      <x:c r="N514" s="15" t="str">
        <x:v>Dispatch to Tidelock: complete Graph Node Proposals x Aetherforge; return deltas only, receipts required.</x:v>
      </x:c>
      <x:c r="O514" s="15" t="str">
        <x:v>AF-KG-H07-S09</x:v>
      </x:c>
      <x:c r="P514" s="15" t="str">
        <x:v>Unverified</x:v>
      </x:c>
      <x:c r="Q514" s="15" t="str">
        <x:v>Not checked</x:v>
      </x:c>
      <x:c r="R514" s="15" t="str"/>
      <x:c r="S514" s="15" t="str"/>
      <x:c r="T514" s="15" t="str">
        <x:v>Log first source path or blocker</x:v>
      </x:c>
      <x:c r="U514" s="12" t="str">
        <x:f>IF(OR(P514="Unverified",Q514="Not checked"),"BLOCKED_PENDING_RECEIPT","READY_FOR_REVIEW")</x:f>
        <x:v>BLOCKED_PENDING_RECEIPT</x:v>
      </x:c>
      <x:c r="V514" s="12" t="str">
        <x:f>IF(J514="DONE","RETURNED",IF(U514="BLOCKED_PENDING_RECEIPT","SOURCE_TOUCH_REQUIRED","IN_PROGRESS"))</x:f>
        <x:v>SOURCE_TOUCH_REQUIRED</x:v>
      </x:c>
      <x:c r="W514" s="12" t="str">
        <x:f>IF(P514="Unverified","missing_receipt","receipt_logged")</x:f>
        <x:v>missing_receipt</x:v>
      </x:c>
      <x:c r="X514" s="12" t="str">
        <x:f>IF(Q514="Not checked","raw_status_missing","raw_status_logged")</x:f>
        <x:v>raw_status_missing</x:v>
      </x:c>
      <x:c r="Y514" s="12" t="str">
        <x:f>IF(U514="BLOCKED_PENDING_RECEIPT","Log source path or blocker; do not promote","Route to review lane")</x:f>
        <x:v>Log source path or blocker; do not promote</x:v>
      </x:c>
      <x:c r="Z514" s="12" t="str">
        <x:f>IF(K514="P0","Primary seat + Hashlight/Lucerna","Seat lane")</x:f>
        <x:v>Seat lane</x:v>
      </x:c>
      <x:c r="AA514" s="12" t="str">
        <x:f>IF(R514="","no_claim_delta","claim_delta_present")</x:f>
        <x:v>no_claim_delta</x:v>
      </x:c>
      <x:c r="AB514" s="12" t="str">
        <x:f>IF(S514="","no_contradiction_delta","contradiction_delta_present")</x:f>
        <x:v>no_contradiction_delta</x:v>
      </x:c>
      <x:c r="AC514" s="12" t="str">
        <x:f>IF(OR(ISNUMBER(SEARCH("hacker",LOWER(F514&amp;" "&amp;H514&amp;" "&amp;I514&amp;" "&amp;M514&amp;" "&amp;N514&amp;" "&amp;T514))),ISNUMBER(SEARCH("hacking",LOWER(F514&amp;" "&amp;H514&amp;" "&amp;I514&amp;" "&amp;M514&amp;" "&amp;N514&amp;" "&amp;T514))),ISNUMBER(SEARCH("bank",LOWER(F514&amp;" "&amp;H514&amp;" "&amp;I514&amp;" "&amp;M514&amp;" "&amp;N514&amp;" "&amp;T514))),ISNUMBER(SEARCH("banking",LOWER(F514&amp;" "&amp;H514&amp;" "&amp;I514&amp;" "&amp;M514&amp;" "&amp;N514&amp;" "&amp;T514)))),"PRIVATE_QUARANTINE",IF(OR(ISNUMBER(SEARCH("treasury",LOWER(F514&amp;" "&amp;H514&amp;" "&amp;I514&amp;" "&amp;M514&amp;" "&amp;N514&amp;" "&amp;T514))),ISNUMBER(SEARCH("debt",LOWER(F514&amp;" "&amp;H514&amp;" "&amp;I514&amp;" "&amp;M514&amp;" "&amp;N514&amp;" "&amp;T514))),ISNUMBER(SEARCH("bond",LOWER(F514&amp;" "&amp;H514&amp;" "&amp;I514&amp;" "&amp;M514&amp;" "&amp;N514&amp;" "&amp;T514))),ISNUMBER(SEARCH("transaction",LOWER(F514&amp;" "&amp;H514&amp;" "&amp;I514&amp;" "&amp;M514&amp;" "&amp;N514&amp;" "&amp;T514)))),"PRIVATE_REVIEW","PUBLIC_CANDIDATE"))</x:f>
        <x:v>PUBLIC_CANDIDATE</x:v>
      </x:c>
      <x:c r="AD514" s="12" t="str">
        <x:f>IF(AC514="PRIVATE_QUARANTINE","hacker_or_bank_trigger",IF(AC514="PRIVATE_REVIEW","finance_risk_trigger","none"))</x:f>
        <x:v>none</x:v>
      </x:c>
      <x:c r="AE514" s="12" t="str">
        <x:f>IF(AC514="PUBLIC_CANDIDATE","prepare_public_github_candidate",IF(AC514="PRIVATE_REVIEW","hold_for_private_review","quarantine_private_do_not_publish"))</x:f>
        <x:v>prepare_public_github_candidate</x:v>
      </x:c>
      <x:c r="AF514" s="12" t="str">
        <x:f>IF(AC514="PUBLIC_CANDIDATE","TIDELOCK + Lucerna",IF(AC514="PRIVATE_REVIEW","AtlasBrain + Lucerna","TIDELOCK + Lucerna + Human-root"))</x:f>
        <x:v>TIDELOCK + Lucerna</x:v>
      </x:c>
      <x:c r="AG514" s="12" t="str">
        <x:f>IF(AND(AC514="PUBLIC_CANDIDATE",U514&lt;&gt;"BLOCKED_PENDING_RECEIPT"),"READY_AFTER_RECEIPT","NOT_READY")</x:f>
        <x:v>NOT_READY</x:v>
      </x:c>
      <x:c r="AH514" s="12" t="str">
        <x:f>IF(AC514="PUBLIC_CANDIDATE","none",AD514)</x:f>
        <x:v>none</x:v>
      </x:c>
      <x:c r="AI514" s="12" t="str">
        <x:f>IF(AC514="PUBLIC_CANDIDATE","archive/public_candidates/"&amp;A514,"private_quarantine/"&amp;A514)</x:f>
        <x:v>archive/public_candidates/SWARM-04-H07-S09</x:v>
      </x:c>
      <x:c r="AJ514" s="12" t="str">
        <x:f>IF(AC514="PUBLIC_CANDIDATE","public by default; still not canon","private/hold; do not publish")</x:f>
        <x:v>public by default; still not canon</x:v>
      </x:c>
      <x:c r="AK514" s="12" t="str">
        <x:f>IF(AE514="prepare_public_github_candidate","add receipt/status then mirror","resolve blocker before any public GitHub action")</x:f>
        <x:v>add receipt/status then mirror</x:v>
      </x:c>
    </x:row>
    <x:row r="515">
      <x:c r="A515" s="15" t="str">
        <x:v>SWARM-04-H07-S10</x:v>
      </x:c>
      <x:c r="B515" s="15" t="str">
        <x:v>Tidelock</x:v>
      </x:c>
      <x:c r="C515" s="15" t="str">
        <x:v>Access blocker keeper</x:v>
      </x:c>
      <x:c r="D515" s="15" t="str">
        <x:v>Graph Node Proposals</x:v>
      </x:c>
      <x:c r="E515" s="15" t="str">
        <x:v>Human-Root</x:v>
      </x:c>
      <x:c r="F515" s="15" t="str">
        <x:v>Propose graph nodes for Human-Root — Tidelock</x:v>
      </x:c>
      <x:c r="G515" s="15" t="str">
        <x:v>missing access / blocker ledger / next safe action</x:v>
      </x:c>
      <x:c r="H515" s="15" t="str">
        <x:v>source path + receipt + raw/export status + claim/edge/risk delta</x:v>
      </x:c>
      <x:c r="I515" s="15" t="str">
        <x:v>packet/SWARM-04-H07-S10</x:v>
      </x:c>
      <x:c r="J515" s="15" t="str">
        <x:v>TODO</x:v>
      </x:c>
      <x:c r="K515" s="15" t="str">
        <x:v>P2</x:v>
      </x:c>
      <x:c r="L515" s="15" t="str">
        <x:v>Done only when evidence is logged, contradiction search is noted, and boundary stamp remains non-canon unless ratified</x:v>
      </x:c>
      <x:c r="M515" s="15" t="str">
        <x:v>candidate / staging-only / not canon / not deployed / authority none</x:v>
      </x:c>
      <x:c r="N515" s="15" t="str">
        <x:v>Dispatch to Tidelock: complete Graph Node Proposals x Human-Root; return deltas only, receipts required.</x:v>
      </x:c>
      <x:c r="O515" s="15" t="str">
        <x:v>AF-KG-H07-S10</x:v>
      </x:c>
      <x:c r="P515" s="15" t="str">
        <x:v>Unverified</x:v>
      </x:c>
      <x:c r="Q515" s="15" t="str">
        <x:v>Not checked</x:v>
      </x:c>
      <x:c r="R515" s="15" t="str"/>
      <x:c r="S515" s="15" t="str"/>
      <x:c r="T515" s="15" t="str">
        <x:v>Log first source path or blocker</x:v>
      </x:c>
      <x:c r="U515" s="12" t="str">
        <x:f>IF(OR(P515="Unverified",Q515="Not checked"),"BLOCKED_PENDING_RECEIPT","READY_FOR_REVIEW")</x:f>
        <x:v>BLOCKED_PENDING_RECEIPT</x:v>
      </x:c>
      <x:c r="V515" s="12" t="str">
        <x:f>IF(J515="DONE","RETURNED",IF(U515="BLOCKED_PENDING_RECEIPT","SOURCE_TOUCH_REQUIRED","IN_PROGRESS"))</x:f>
        <x:v>SOURCE_TOUCH_REQUIRED</x:v>
      </x:c>
      <x:c r="W515" s="12" t="str">
        <x:f>IF(P515="Unverified","missing_receipt","receipt_logged")</x:f>
        <x:v>missing_receipt</x:v>
      </x:c>
      <x:c r="X515" s="12" t="str">
        <x:f>IF(Q515="Not checked","raw_status_missing","raw_status_logged")</x:f>
        <x:v>raw_status_missing</x:v>
      </x:c>
      <x:c r="Y515" s="12" t="str">
        <x:f>IF(U515="BLOCKED_PENDING_RECEIPT","Log source path or blocker; do not promote","Route to review lane")</x:f>
        <x:v>Log source path or blocker; do not promote</x:v>
      </x:c>
      <x:c r="Z515" s="12" t="str">
        <x:f>IF(K515="P0","Primary seat + Hashlight/Lucerna","Seat lane")</x:f>
        <x:v>Seat lane</x:v>
      </x:c>
      <x:c r="AA515" s="12" t="str">
        <x:f>IF(R515="","no_claim_delta","claim_delta_present")</x:f>
        <x:v>no_claim_delta</x:v>
      </x:c>
      <x:c r="AB515" s="12" t="str">
        <x:f>IF(S515="","no_contradiction_delta","contradiction_delta_present")</x:f>
        <x:v>no_contradiction_delta</x:v>
      </x:c>
      <x:c r="AC515" s="12" t="str">
        <x:f>IF(OR(ISNUMBER(SEARCH("hacker",LOWER(F515&amp;" "&amp;H515&amp;" "&amp;I515&amp;" "&amp;M515&amp;" "&amp;N515&amp;" "&amp;T515))),ISNUMBER(SEARCH("hacking",LOWER(F515&amp;" "&amp;H515&amp;" "&amp;I515&amp;" "&amp;M515&amp;" "&amp;N515&amp;" "&amp;T515))),ISNUMBER(SEARCH("bank",LOWER(F515&amp;" "&amp;H515&amp;" "&amp;I515&amp;" "&amp;M515&amp;" "&amp;N515&amp;" "&amp;T515))),ISNUMBER(SEARCH("banking",LOWER(F515&amp;" "&amp;H515&amp;" "&amp;I515&amp;" "&amp;M515&amp;" "&amp;N515&amp;" "&amp;T515)))),"PRIVATE_QUARANTINE",IF(OR(ISNUMBER(SEARCH("treasury",LOWER(F515&amp;" "&amp;H515&amp;" "&amp;I515&amp;" "&amp;M515&amp;" "&amp;N515&amp;" "&amp;T515))),ISNUMBER(SEARCH("debt",LOWER(F515&amp;" "&amp;H515&amp;" "&amp;I515&amp;" "&amp;M515&amp;" "&amp;N515&amp;" "&amp;T515))),ISNUMBER(SEARCH("bond",LOWER(F515&amp;" "&amp;H515&amp;" "&amp;I515&amp;" "&amp;M515&amp;" "&amp;N515&amp;" "&amp;T515))),ISNUMBER(SEARCH("transaction",LOWER(F515&amp;" "&amp;H515&amp;" "&amp;I515&amp;" "&amp;M515&amp;" "&amp;N515&amp;" "&amp;T515)))),"PRIVATE_REVIEW","PUBLIC_CANDIDATE"))</x:f>
        <x:v>PUBLIC_CANDIDATE</x:v>
      </x:c>
      <x:c r="AD515" s="12" t="str">
        <x:f>IF(AC515="PRIVATE_QUARANTINE","hacker_or_bank_trigger",IF(AC515="PRIVATE_REVIEW","finance_risk_trigger","none"))</x:f>
        <x:v>none</x:v>
      </x:c>
      <x:c r="AE515" s="12" t="str">
        <x:f>IF(AC515="PUBLIC_CANDIDATE","prepare_public_github_candidate",IF(AC515="PRIVATE_REVIEW","hold_for_private_review","quarantine_private_do_not_publish"))</x:f>
        <x:v>prepare_public_github_candidate</x:v>
      </x:c>
      <x:c r="AF515" s="12" t="str">
        <x:f>IF(AC515="PUBLIC_CANDIDATE","TIDELOCK + Lucerna",IF(AC515="PRIVATE_REVIEW","AtlasBrain + Lucerna","TIDELOCK + Lucerna + Human-root"))</x:f>
        <x:v>TIDELOCK + Lucerna</x:v>
      </x:c>
      <x:c r="AG515" s="12" t="str">
        <x:f>IF(AND(AC515="PUBLIC_CANDIDATE",U515&lt;&gt;"BLOCKED_PENDING_RECEIPT"),"READY_AFTER_RECEIPT","NOT_READY")</x:f>
        <x:v>NOT_READY</x:v>
      </x:c>
      <x:c r="AH515" s="12" t="str">
        <x:f>IF(AC515="PUBLIC_CANDIDATE","none",AD515)</x:f>
        <x:v>none</x:v>
      </x:c>
      <x:c r="AI515" s="12" t="str">
        <x:f>IF(AC515="PUBLIC_CANDIDATE","archive/public_candidates/"&amp;A515,"private_quarantine/"&amp;A515)</x:f>
        <x:v>archive/public_candidates/SWARM-04-H07-S10</x:v>
      </x:c>
      <x:c r="AJ515" s="12" t="str">
        <x:f>IF(AC515="PUBLIC_CANDIDATE","public by default; still not canon","private/hold; do not publish")</x:f>
        <x:v>public by default; still not canon</x:v>
      </x:c>
      <x:c r="AK515" s="12" t="str">
        <x:f>IF(AE515="prepare_public_github_candidate","add receipt/status then mirror","resolve blocker before any public GitHub action")</x:f>
        <x:v>add receipt/status then mirror</x:v>
      </x:c>
    </x:row>
    <x:row r="516">
      <x:c r="A516" s="15" t="str">
        <x:v>SWARM-04-H07-S11</x:v>
      </x:c>
      <x:c r="B516" s="15" t="str">
        <x:v>Tidelock</x:v>
      </x:c>
      <x:c r="C516" s="15" t="str">
        <x:v>Access blocker keeper</x:v>
      </x:c>
      <x:c r="D516" s="15" t="str">
        <x:v>Graph Node Proposals</x:v>
      </x:c>
      <x:c r="E516" s="15" t="str">
        <x:v>Automation</x:v>
      </x:c>
      <x:c r="F516" s="15" t="str">
        <x:v>Propose graph nodes for Automation — Tidelock</x:v>
      </x:c>
      <x:c r="G516" s="15" t="str">
        <x:v>missing access / blocker ledger / next safe action</x:v>
      </x:c>
      <x:c r="H516" s="15" t="str">
        <x:v>source path + receipt + raw/export status + claim/edge/risk delta</x:v>
      </x:c>
      <x:c r="I516" s="15" t="str">
        <x:v>packet/SWARM-04-H07-S11</x:v>
      </x:c>
      <x:c r="J516" s="15" t="str">
        <x:v>TODO</x:v>
      </x:c>
      <x:c r="K516" s="15" t="str">
        <x:v>P2</x:v>
      </x:c>
      <x:c r="L516" s="15" t="str">
        <x:v>Done only when evidence is logged, contradiction search is noted, and boundary stamp remains non-canon unless ratified</x:v>
      </x:c>
      <x:c r="M516" s="15" t="str">
        <x:v>candidate / staging-only / not canon / not deployed / authority none</x:v>
      </x:c>
      <x:c r="N516" s="15" t="str">
        <x:v>Dispatch to Tidelock: complete Graph Node Proposals x Automation; return deltas only, receipts required.</x:v>
      </x:c>
      <x:c r="O516" s="15" t="str">
        <x:v>AF-KG-H07-S11</x:v>
      </x:c>
      <x:c r="P516" s="15" t="str">
        <x:v>Unverified</x:v>
      </x:c>
      <x:c r="Q516" s="15" t="str">
        <x:v>Not checked</x:v>
      </x:c>
      <x:c r="R516" s="15" t="str"/>
      <x:c r="S516" s="15" t="str"/>
      <x:c r="T516" s="15" t="str">
        <x:v>Log first source path or blocker</x:v>
      </x:c>
      <x:c r="U516" s="12" t="str">
        <x:f>IF(OR(P516="Unverified",Q516="Not checked"),"BLOCKED_PENDING_RECEIPT","READY_FOR_REVIEW")</x:f>
        <x:v>BLOCKED_PENDING_RECEIPT</x:v>
      </x:c>
      <x:c r="V516" s="12" t="str">
        <x:f>IF(J516="DONE","RETURNED",IF(U516="BLOCKED_PENDING_RECEIPT","SOURCE_TOUCH_REQUIRED","IN_PROGRESS"))</x:f>
        <x:v>SOURCE_TOUCH_REQUIRED</x:v>
      </x:c>
      <x:c r="W516" s="12" t="str">
        <x:f>IF(P516="Unverified","missing_receipt","receipt_logged")</x:f>
        <x:v>missing_receipt</x:v>
      </x:c>
      <x:c r="X516" s="12" t="str">
        <x:f>IF(Q516="Not checked","raw_status_missing","raw_status_logged")</x:f>
        <x:v>raw_status_missing</x:v>
      </x:c>
      <x:c r="Y516" s="12" t="str">
        <x:f>IF(U516="BLOCKED_PENDING_RECEIPT","Log source path or blocker; do not promote","Route to review lane")</x:f>
        <x:v>Log source path or blocker; do not promote</x:v>
      </x:c>
      <x:c r="Z516" s="12" t="str">
        <x:f>IF(K516="P0","Primary seat + Hashlight/Lucerna","Seat lane")</x:f>
        <x:v>Seat lane</x:v>
      </x:c>
      <x:c r="AA516" s="12" t="str">
        <x:f>IF(R516="","no_claim_delta","claim_delta_present")</x:f>
        <x:v>no_claim_delta</x:v>
      </x:c>
      <x:c r="AB516" s="12" t="str">
        <x:f>IF(S516="","no_contradiction_delta","contradiction_delta_present")</x:f>
        <x:v>no_contradiction_delta</x:v>
      </x:c>
      <x:c r="AC516" s="12" t="str">
        <x:f>IF(OR(ISNUMBER(SEARCH("hacker",LOWER(F516&amp;" "&amp;H516&amp;" "&amp;I516&amp;" "&amp;M516&amp;" "&amp;N516&amp;" "&amp;T516))),ISNUMBER(SEARCH("hacking",LOWER(F516&amp;" "&amp;H516&amp;" "&amp;I516&amp;" "&amp;M516&amp;" "&amp;N516&amp;" "&amp;T516))),ISNUMBER(SEARCH("bank",LOWER(F516&amp;" "&amp;H516&amp;" "&amp;I516&amp;" "&amp;M516&amp;" "&amp;N516&amp;" "&amp;T516))),ISNUMBER(SEARCH("banking",LOWER(F516&amp;" "&amp;H516&amp;" "&amp;I516&amp;" "&amp;M516&amp;" "&amp;N516&amp;" "&amp;T516)))),"PRIVATE_QUARANTINE",IF(OR(ISNUMBER(SEARCH("treasury",LOWER(F516&amp;" "&amp;H516&amp;" "&amp;I516&amp;" "&amp;M516&amp;" "&amp;N516&amp;" "&amp;T516))),ISNUMBER(SEARCH("debt",LOWER(F516&amp;" "&amp;H516&amp;" "&amp;I516&amp;" "&amp;M516&amp;" "&amp;N516&amp;" "&amp;T516))),ISNUMBER(SEARCH("bond",LOWER(F516&amp;" "&amp;H516&amp;" "&amp;I516&amp;" "&amp;M516&amp;" "&amp;N516&amp;" "&amp;T516))),ISNUMBER(SEARCH("transaction",LOWER(F516&amp;" "&amp;H516&amp;" "&amp;I516&amp;" "&amp;M516&amp;" "&amp;N516&amp;" "&amp;T516)))),"PRIVATE_REVIEW","PUBLIC_CANDIDATE"))</x:f>
        <x:v>PUBLIC_CANDIDATE</x:v>
      </x:c>
      <x:c r="AD516" s="12" t="str">
        <x:f>IF(AC516="PRIVATE_QUARANTINE","hacker_or_bank_trigger",IF(AC516="PRIVATE_REVIEW","finance_risk_trigger","none"))</x:f>
        <x:v>none</x:v>
      </x:c>
      <x:c r="AE516" s="12" t="str">
        <x:f>IF(AC516="PUBLIC_CANDIDATE","prepare_public_github_candidate",IF(AC516="PRIVATE_REVIEW","hold_for_private_review","quarantine_private_do_not_publish"))</x:f>
        <x:v>prepare_public_github_candidate</x:v>
      </x:c>
      <x:c r="AF516" s="12" t="str">
        <x:f>IF(AC516="PUBLIC_CANDIDATE","TIDELOCK + Lucerna",IF(AC516="PRIVATE_REVIEW","AtlasBrain + Lucerna","TIDELOCK + Lucerna + Human-root"))</x:f>
        <x:v>TIDELOCK + Lucerna</x:v>
      </x:c>
      <x:c r="AG516" s="12" t="str">
        <x:f>IF(AND(AC516="PUBLIC_CANDIDATE",U516&lt;&gt;"BLOCKED_PENDING_RECEIPT"),"READY_AFTER_RECEIPT","NOT_READY")</x:f>
        <x:v>NOT_READY</x:v>
      </x:c>
      <x:c r="AH516" s="12" t="str">
        <x:f>IF(AC516="PUBLIC_CANDIDATE","none",AD516)</x:f>
        <x:v>none</x:v>
      </x:c>
      <x:c r="AI516" s="12" t="str">
        <x:f>IF(AC516="PUBLIC_CANDIDATE","archive/public_candidates/"&amp;A516,"private_quarantine/"&amp;A516)</x:f>
        <x:v>archive/public_candidates/SWARM-04-H07-S11</x:v>
      </x:c>
      <x:c r="AJ516" s="12" t="str">
        <x:f>IF(AC516="PUBLIC_CANDIDATE","public by default; still not canon","private/hold; do not publish")</x:f>
        <x:v>public by default; still not canon</x:v>
      </x:c>
      <x:c r="AK516" s="12" t="str">
        <x:f>IF(AE516="prepare_public_github_candidate","add receipt/status then mirror","resolve blocker before any public GitHub action")</x:f>
        <x:v>add receipt/status then mirror</x:v>
      </x:c>
    </x:row>
    <x:row r="517">
      <x:c r="A517" s="15" t="str">
        <x:v>SWARM-04-H07-S12</x:v>
      </x:c>
      <x:c r="B517" s="15" t="str">
        <x:v>Tidelock</x:v>
      </x:c>
      <x:c r="C517" s="15" t="str">
        <x:v>Access blocker keeper</x:v>
      </x:c>
      <x:c r="D517" s="15" t="str">
        <x:v>Graph Node Proposals</x:v>
      </x:c>
      <x:c r="E517" s="15" t="str">
        <x:v>Risk / Safety</x:v>
      </x:c>
      <x:c r="F517" s="15" t="str">
        <x:v>Propose graph nodes for Risk / Safety — Tidelock</x:v>
      </x:c>
      <x:c r="G517" s="15" t="str">
        <x:v>missing access / blocker ledger / next safe action</x:v>
      </x:c>
      <x:c r="H517" s="15" t="str">
        <x:v>source path + receipt + raw/export status + claim/edge/risk delta</x:v>
      </x:c>
      <x:c r="I517" s="15" t="str">
        <x:v>packet/SWARM-04-H07-S12</x:v>
      </x:c>
      <x:c r="J517" s="15" t="str">
        <x:v>TODO</x:v>
      </x:c>
      <x:c r="K517" s="15" t="str">
        <x:v>P2</x:v>
      </x:c>
      <x:c r="L517" s="15" t="str">
        <x:v>Done only when evidence is logged, contradiction search is noted, and boundary stamp remains non-canon unless ratified</x:v>
      </x:c>
      <x:c r="M517" s="15" t="str">
        <x:v>candidate / staging-only / not canon / not deployed / authority none</x:v>
      </x:c>
      <x:c r="N517" s="15" t="str">
        <x:v>Dispatch to Tidelock: complete Graph Node Proposals x Risk / Safety; return deltas only, receipts required.</x:v>
      </x:c>
      <x:c r="O517" s="15" t="str">
        <x:v>AF-KG-H07-S12</x:v>
      </x:c>
      <x:c r="P517" s="15" t="str">
        <x:v>Unverified</x:v>
      </x:c>
      <x:c r="Q517" s="15" t="str">
        <x:v>Not checked</x:v>
      </x:c>
      <x:c r="R517" s="15" t="str"/>
      <x:c r="S517" s="15" t="str"/>
      <x:c r="T517" s="15" t="str">
        <x:v>Log first source path or blocker</x:v>
      </x:c>
      <x:c r="U517" s="12" t="str">
        <x:f>IF(OR(P517="Unverified",Q517="Not checked"),"BLOCKED_PENDING_RECEIPT","READY_FOR_REVIEW")</x:f>
        <x:v>BLOCKED_PENDING_RECEIPT</x:v>
      </x:c>
      <x:c r="V517" s="12" t="str">
        <x:f>IF(J517="DONE","RETURNED",IF(U517="BLOCKED_PENDING_RECEIPT","SOURCE_TOUCH_REQUIRED","IN_PROGRESS"))</x:f>
        <x:v>SOURCE_TOUCH_REQUIRED</x:v>
      </x:c>
      <x:c r="W517" s="12" t="str">
        <x:f>IF(P517="Unverified","missing_receipt","receipt_logged")</x:f>
        <x:v>missing_receipt</x:v>
      </x:c>
      <x:c r="X517" s="12" t="str">
        <x:f>IF(Q517="Not checked","raw_status_missing","raw_status_logged")</x:f>
        <x:v>raw_status_missing</x:v>
      </x:c>
      <x:c r="Y517" s="12" t="str">
        <x:f>IF(U517="BLOCKED_PENDING_RECEIPT","Log source path or blocker; do not promote","Route to review lane")</x:f>
        <x:v>Log source path or blocker; do not promote</x:v>
      </x:c>
      <x:c r="Z517" s="12" t="str">
        <x:f>IF(K517="P0","Primary seat + Hashlight/Lucerna","Seat lane")</x:f>
        <x:v>Seat lane</x:v>
      </x:c>
      <x:c r="AA517" s="12" t="str">
        <x:f>IF(R517="","no_claim_delta","claim_delta_present")</x:f>
        <x:v>no_claim_delta</x:v>
      </x:c>
      <x:c r="AB517" s="12" t="str">
        <x:f>IF(S517="","no_contradiction_delta","contradiction_delta_present")</x:f>
        <x:v>no_contradiction_delta</x:v>
      </x:c>
      <x:c r="AC517" s="12" t="str">
        <x:f>IF(OR(ISNUMBER(SEARCH("hacker",LOWER(F517&amp;" "&amp;H517&amp;" "&amp;I517&amp;" "&amp;M517&amp;" "&amp;N517&amp;" "&amp;T517))),ISNUMBER(SEARCH("hacking",LOWER(F517&amp;" "&amp;H517&amp;" "&amp;I517&amp;" "&amp;M517&amp;" "&amp;N517&amp;" "&amp;T517))),ISNUMBER(SEARCH("bank",LOWER(F517&amp;" "&amp;H517&amp;" "&amp;I517&amp;" "&amp;M517&amp;" "&amp;N517&amp;" "&amp;T517))),ISNUMBER(SEARCH("banking",LOWER(F517&amp;" "&amp;H517&amp;" "&amp;I517&amp;" "&amp;M517&amp;" "&amp;N517&amp;" "&amp;T517)))),"PRIVATE_QUARANTINE",IF(OR(ISNUMBER(SEARCH("treasury",LOWER(F517&amp;" "&amp;H517&amp;" "&amp;I517&amp;" "&amp;M517&amp;" "&amp;N517&amp;" "&amp;T517))),ISNUMBER(SEARCH("debt",LOWER(F517&amp;" "&amp;H517&amp;" "&amp;I517&amp;" "&amp;M517&amp;" "&amp;N517&amp;" "&amp;T517))),ISNUMBER(SEARCH("bond",LOWER(F517&amp;" "&amp;H517&amp;" "&amp;I517&amp;" "&amp;M517&amp;" "&amp;N517&amp;" "&amp;T517))),ISNUMBER(SEARCH("transaction",LOWER(F517&amp;" "&amp;H517&amp;" "&amp;I517&amp;" "&amp;M517&amp;" "&amp;N517&amp;" "&amp;T517)))),"PRIVATE_REVIEW","PUBLIC_CANDIDATE"))</x:f>
        <x:v>PUBLIC_CANDIDATE</x:v>
      </x:c>
      <x:c r="AD517" s="12" t="str">
        <x:f>IF(AC517="PRIVATE_QUARANTINE","hacker_or_bank_trigger",IF(AC517="PRIVATE_REVIEW","finance_risk_trigger","none"))</x:f>
        <x:v>none</x:v>
      </x:c>
      <x:c r="AE517" s="12" t="str">
        <x:f>IF(AC517="PUBLIC_CANDIDATE","prepare_public_github_candidate",IF(AC517="PRIVATE_REVIEW","hold_for_private_review","quarantine_private_do_not_publish"))</x:f>
        <x:v>prepare_public_github_candidate</x:v>
      </x:c>
      <x:c r="AF517" s="12" t="str">
        <x:f>IF(AC517="PUBLIC_CANDIDATE","TIDELOCK + Lucerna",IF(AC517="PRIVATE_REVIEW","AtlasBrain + Lucerna","TIDELOCK + Lucerna + Human-root"))</x:f>
        <x:v>TIDELOCK + Lucerna</x:v>
      </x:c>
      <x:c r="AG517" s="12" t="str">
        <x:f>IF(AND(AC517="PUBLIC_CANDIDATE",U517&lt;&gt;"BLOCKED_PENDING_RECEIPT"),"READY_AFTER_RECEIPT","NOT_READY")</x:f>
        <x:v>NOT_READY</x:v>
      </x:c>
      <x:c r="AH517" s="12" t="str">
        <x:f>IF(AC517="PUBLIC_CANDIDATE","none",AD517)</x:f>
        <x:v>none</x:v>
      </x:c>
      <x:c r="AI517" s="12" t="str">
        <x:f>IF(AC517="PUBLIC_CANDIDATE","archive/public_candidates/"&amp;A517,"private_quarantine/"&amp;A517)</x:f>
        <x:v>archive/public_candidates/SWARM-04-H07-S12</x:v>
      </x:c>
      <x:c r="AJ517" s="12" t="str">
        <x:f>IF(AC517="PUBLIC_CANDIDATE","public by default; still not canon","private/hold; do not publish")</x:f>
        <x:v>public by default; still not canon</x:v>
      </x:c>
      <x:c r="AK517" s="12" t="str">
        <x:f>IF(AE517="prepare_public_github_candidate","add receipt/status then mirror","resolve blocker before any public GitHub action")</x:f>
        <x:v>add receipt/status then mirror</x:v>
      </x:c>
    </x:row>
    <x:row r="518">
      <x:c r="A518" s="15" t="str">
        <x:v>SWARM-04-H08-S01</x:v>
      </x:c>
      <x:c r="B518" s="15" t="str">
        <x:v>Tidelock</x:v>
      </x:c>
      <x:c r="C518" s="15" t="str">
        <x:v>Access blocker keeper</x:v>
      </x:c>
      <x:c r="D518" s="15" t="str">
        <x:v>Graph Edge Proposals</x:v>
      </x:c>
      <x:c r="E518" s="15" t="str">
        <x:v>Notion</x:v>
      </x:c>
      <x:c r="F518" s="15" t="str">
        <x:v>Propose graph edges for Notion — Tidelock</x:v>
      </x:c>
      <x:c r="G518" s="15" t="str">
        <x:v>missing access / blocker ledger / next safe action</x:v>
      </x:c>
      <x:c r="H518" s="15" t="str">
        <x:v>source path + receipt + raw/export status + claim/edge/risk delta</x:v>
      </x:c>
      <x:c r="I518" s="15" t="str">
        <x:v>packet/SWARM-04-H08-S01</x:v>
      </x:c>
      <x:c r="J518" s="15" t="str">
        <x:v>TODO</x:v>
      </x:c>
      <x:c r="K518" s="15" t="str">
        <x:v>P0</x:v>
      </x:c>
      <x:c r="L518" s="15" t="str">
        <x:v>Done only when evidence is logged, contradiction search is noted, and boundary stamp remains non-canon unless ratified</x:v>
      </x:c>
      <x:c r="M518" s="15" t="str">
        <x:v>candidate / staging-only / not canon / not deployed / authority none</x:v>
      </x:c>
      <x:c r="N518" s="15" t="str">
        <x:v>Dispatch to Tidelock: complete Graph Edge Proposals x Notion; return deltas only, receipts required.</x:v>
      </x:c>
      <x:c r="O518" s="15" t="str">
        <x:v>AF-KG-H08-S01</x:v>
      </x:c>
      <x:c r="P518" s="15" t="str">
        <x:v>Unverified</x:v>
      </x:c>
      <x:c r="Q518" s="15" t="str">
        <x:v>Not checked</x:v>
      </x:c>
      <x:c r="R518" s="15" t="str"/>
      <x:c r="S518" s="15" t="str"/>
      <x:c r="T518" s="15" t="str">
        <x:v>Log first source path or blocker</x:v>
      </x:c>
      <x:c r="U518" s="12" t="str">
        <x:f>IF(OR(P518="Unverified",Q518="Not checked"),"BLOCKED_PENDING_RECEIPT","READY_FOR_REVIEW")</x:f>
        <x:v>BLOCKED_PENDING_RECEIPT</x:v>
      </x:c>
      <x:c r="V518" s="12" t="str">
        <x:f>IF(J518="DONE","RETURNED",IF(U518="BLOCKED_PENDING_RECEIPT","SOURCE_TOUCH_REQUIRED","IN_PROGRESS"))</x:f>
        <x:v>SOURCE_TOUCH_REQUIRED</x:v>
      </x:c>
      <x:c r="W518" s="12" t="str">
        <x:f>IF(P518="Unverified","missing_receipt","receipt_logged")</x:f>
        <x:v>missing_receipt</x:v>
      </x:c>
      <x:c r="X518" s="12" t="str">
        <x:f>IF(Q518="Not checked","raw_status_missing","raw_status_logged")</x:f>
        <x:v>raw_status_missing</x:v>
      </x:c>
      <x:c r="Y518" s="12" t="str">
        <x:f>IF(U518="BLOCKED_PENDING_RECEIPT","Log source path or blocker; do not promote","Route to review lane")</x:f>
        <x:v>Log source path or blocker; do not promote</x:v>
      </x:c>
      <x:c r="Z518" s="12" t="str">
        <x:f>IF(K518="P0","Primary seat + Hashlight/Lucerna","Seat lane")</x:f>
        <x:v>Primary seat + Hashlight/Lucerna</x:v>
      </x:c>
      <x:c r="AA518" s="12" t="str">
        <x:f>IF(R518="","no_claim_delta","claim_delta_present")</x:f>
        <x:v>no_claim_delta</x:v>
      </x:c>
      <x:c r="AB518" s="12" t="str">
        <x:f>IF(S518="","no_contradiction_delta","contradiction_delta_present")</x:f>
        <x:v>no_contradiction_delta</x:v>
      </x:c>
      <x:c r="AC518" s="12" t="str">
        <x:f>IF(OR(ISNUMBER(SEARCH("hacker",LOWER(F518&amp;" "&amp;H518&amp;" "&amp;I518&amp;" "&amp;M518&amp;" "&amp;N518&amp;" "&amp;T518))),ISNUMBER(SEARCH("hacking",LOWER(F518&amp;" "&amp;H518&amp;" "&amp;I518&amp;" "&amp;M518&amp;" "&amp;N518&amp;" "&amp;T518))),ISNUMBER(SEARCH("bank",LOWER(F518&amp;" "&amp;H518&amp;" "&amp;I518&amp;" "&amp;M518&amp;" "&amp;N518&amp;" "&amp;T518))),ISNUMBER(SEARCH("banking",LOWER(F518&amp;" "&amp;H518&amp;" "&amp;I518&amp;" "&amp;M518&amp;" "&amp;N518&amp;" "&amp;T518)))),"PRIVATE_QUARANTINE",IF(OR(ISNUMBER(SEARCH("treasury",LOWER(F518&amp;" "&amp;H518&amp;" "&amp;I518&amp;" "&amp;M518&amp;" "&amp;N518&amp;" "&amp;T518))),ISNUMBER(SEARCH("debt",LOWER(F518&amp;" "&amp;H518&amp;" "&amp;I518&amp;" "&amp;M518&amp;" "&amp;N518&amp;" "&amp;T518))),ISNUMBER(SEARCH("bond",LOWER(F518&amp;" "&amp;H518&amp;" "&amp;I518&amp;" "&amp;M518&amp;" "&amp;N518&amp;" "&amp;T518))),ISNUMBER(SEARCH("transaction",LOWER(F518&amp;" "&amp;H518&amp;" "&amp;I518&amp;" "&amp;M518&amp;" "&amp;N518&amp;" "&amp;T518)))),"PRIVATE_REVIEW","PUBLIC_CANDIDATE"))</x:f>
        <x:v>PUBLIC_CANDIDATE</x:v>
      </x:c>
      <x:c r="AD518" s="12" t="str">
        <x:f>IF(AC518="PRIVATE_QUARANTINE","hacker_or_bank_trigger",IF(AC518="PRIVATE_REVIEW","finance_risk_trigger","none"))</x:f>
        <x:v>none</x:v>
      </x:c>
      <x:c r="AE518" s="12" t="str">
        <x:f>IF(AC518="PUBLIC_CANDIDATE","prepare_public_github_candidate",IF(AC518="PRIVATE_REVIEW","hold_for_private_review","quarantine_private_do_not_publish"))</x:f>
        <x:v>prepare_public_github_candidate</x:v>
      </x:c>
      <x:c r="AF518" s="12" t="str">
        <x:f>IF(AC518="PUBLIC_CANDIDATE","TIDELOCK + Lucerna",IF(AC518="PRIVATE_REVIEW","AtlasBrain + Lucerna","TIDELOCK + Lucerna + Human-root"))</x:f>
        <x:v>TIDELOCK + Lucerna</x:v>
      </x:c>
      <x:c r="AG518" s="12" t="str">
        <x:f>IF(AND(AC518="PUBLIC_CANDIDATE",U518&lt;&gt;"BLOCKED_PENDING_RECEIPT"),"READY_AFTER_RECEIPT","NOT_READY")</x:f>
        <x:v>NOT_READY</x:v>
      </x:c>
      <x:c r="AH518" s="12" t="str">
        <x:f>IF(AC518="PUBLIC_CANDIDATE","none",AD518)</x:f>
        <x:v>none</x:v>
      </x:c>
      <x:c r="AI518" s="12" t="str">
        <x:f>IF(AC518="PUBLIC_CANDIDATE","archive/public_candidates/"&amp;A518,"private_quarantine/"&amp;A518)</x:f>
        <x:v>archive/public_candidates/SWARM-04-H08-S01</x:v>
      </x:c>
      <x:c r="AJ518" s="12" t="str">
        <x:f>IF(AC518="PUBLIC_CANDIDATE","public by default; still not canon","private/hold; do not publish")</x:f>
        <x:v>public by default; still not canon</x:v>
      </x:c>
      <x:c r="AK518" s="12" t="str">
        <x:f>IF(AE518="prepare_public_github_candidate","add receipt/status then mirror","resolve blocker before any public GitHub action")</x:f>
        <x:v>add receipt/status then mirror</x:v>
      </x:c>
    </x:row>
    <x:row r="519">
      <x:c r="A519" s="15" t="str">
        <x:v>SWARM-04-H08-S02</x:v>
      </x:c>
      <x:c r="B519" s="15" t="str">
        <x:v>Tidelock</x:v>
      </x:c>
      <x:c r="C519" s="15" t="str">
        <x:v>Access blocker keeper</x:v>
      </x:c>
      <x:c r="D519" s="15" t="str">
        <x:v>Graph Edge Proposals</x:v>
      </x:c>
      <x:c r="E519" s="15" t="str">
        <x:v>Drive</x:v>
      </x:c>
      <x:c r="F519" s="15" t="str">
        <x:v>Propose graph edges for Drive — Tidelock</x:v>
      </x:c>
      <x:c r="G519" s="15" t="str">
        <x:v>missing access / blocker ledger / next safe action</x:v>
      </x:c>
      <x:c r="H519" s="15" t="str">
        <x:v>source path + receipt + raw/export status + claim/edge/risk delta</x:v>
      </x:c>
      <x:c r="I519" s="15" t="str">
        <x:v>packet/SWARM-04-H08-S02</x:v>
      </x:c>
      <x:c r="J519" s="15" t="str">
        <x:v>TODO</x:v>
      </x:c>
      <x:c r="K519" s="15" t="str">
        <x:v>P0</x:v>
      </x:c>
      <x:c r="L519" s="15" t="str">
        <x:v>Done only when evidence is logged, contradiction search is noted, and boundary stamp remains non-canon unless ratified</x:v>
      </x:c>
      <x:c r="M519" s="15" t="str">
        <x:v>candidate / staging-only / not canon / not deployed / authority none</x:v>
      </x:c>
      <x:c r="N519" s="15" t="str">
        <x:v>Dispatch to Tidelock: complete Graph Edge Proposals x Drive; return deltas only, receipts required.</x:v>
      </x:c>
      <x:c r="O519" s="15" t="str">
        <x:v>AF-KG-H08-S02</x:v>
      </x:c>
      <x:c r="P519" s="15" t="str">
        <x:v>Unverified</x:v>
      </x:c>
      <x:c r="Q519" s="15" t="str">
        <x:v>Not checked</x:v>
      </x:c>
      <x:c r="R519" s="15" t="str"/>
      <x:c r="S519" s="15" t="str"/>
      <x:c r="T519" s="15" t="str">
        <x:v>Log first source path or blocker</x:v>
      </x:c>
      <x:c r="U519" s="12" t="str">
        <x:f>IF(OR(P519="Unverified",Q519="Not checked"),"BLOCKED_PENDING_RECEIPT","READY_FOR_REVIEW")</x:f>
        <x:v>BLOCKED_PENDING_RECEIPT</x:v>
      </x:c>
      <x:c r="V519" s="12" t="str">
        <x:f>IF(J519="DONE","RETURNED",IF(U519="BLOCKED_PENDING_RECEIPT","SOURCE_TOUCH_REQUIRED","IN_PROGRESS"))</x:f>
        <x:v>SOURCE_TOUCH_REQUIRED</x:v>
      </x:c>
      <x:c r="W519" s="12" t="str">
        <x:f>IF(P519="Unverified","missing_receipt","receipt_logged")</x:f>
        <x:v>missing_receipt</x:v>
      </x:c>
      <x:c r="X519" s="12" t="str">
        <x:f>IF(Q519="Not checked","raw_status_missing","raw_status_logged")</x:f>
        <x:v>raw_status_missing</x:v>
      </x:c>
      <x:c r="Y519" s="12" t="str">
        <x:f>IF(U519="BLOCKED_PENDING_RECEIPT","Log source path or blocker; do not promote","Route to review lane")</x:f>
        <x:v>Log source path or blocker; do not promote</x:v>
      </x:c>
      <x:c r="Z519" s="12" t="str">
        <x:f>IF(K519="P0","Primary seat + Hashlight/Lucerna","Seat lane")</x:f>
        <x:v>Primary seat + Hashlight/Lucerna</x:v>
      </x:c>
      <x:c r="AA519" s="12" t="str">
        <x:f>IF(R519="","no_claim_delta","claim_delta_present")</x:f>
        <x:v>no_claim_delta</x:v>
      </x:c>
      <x:c r="AB519" s="12" t="str">
        <x:f>IF(S519="","no_contradiction_delta","contradiction_delta_present")</x:f>
        <x:v>no_contradiction_delta</x:v>
      </x:c>
      <x:c r="AC519" s="12" t="str">
        <x:f>IF(OR(ISNUMBER(SEARCH("hacker",LOWER(F519&amp;" "&amp;H519&amp;" "&amp;I519&amp;" "&amp;M519&amp;" "&amp;N519&amp;" "&amp;T519))),ISNUMBER(SEARCH("hacking",LOWER(F519&amp;" "&amp;H519&amp;" "&amp;I519&amp;" "&amp;M519&amp;" "&amp;N519&amp;" "&amp;T519))),ISNUMBER(SEARCH("bank",LOWER(F519&amp;" "&amp;H519&amp;" "&amp;I519&amp;" "&amp;M519&amp;" "&amp;N519&amp;" "&amp;T519))),ISNUMBER(SEARCH("banking",LOWER(F519&amp;" "&amp;H519&amp;" "&amp;I519&amp;" "&amp;M519&amp;" "&amp;N519&amp;" "&amp;T519)))),"PRIVATE_QUARANTINE",IF(OR(ISNUMBER(SEARCH("treasury",LOWER(F519&amp;" "&amp;H519&amp;" "&amp;I519&amp;" "&amp;M519&amp;" "&amp;N519&amp;" "&amp;T519))),ISNUMBER(SEARCH("debt",LOWER(F519&amp;" "&amp;H519&amp;" "&amp;I519&amp;" "&amp;M519&amp;" "&amp;N519&amp;" "&amp;T519))),ISNUMBER(SEARCH("bond",LOWER(F519&amp;" "&amp;H519&amp;" "&amp;I519&amp;" "&amp;M519&amp;" "&amp;N519&amp;" "&amp;T519))),ISNUMBER(SEARCH("transaction",LOWER(F519&amp;" "&amp;H519&amp;" "&amp;I519&amp;" "&amp;M519&amp;" "&amp;N519&amp;" "&amp;T519)))),"PRIVATE_REVIEW","PUBLIC_CANDIDATE"))</x:f>
        <x:v>PUBLIC_CANDIDATE</x:v>
      </x:c>
      <x:c r="AD519" s="12" t="str">
        <x:f>IF(AC519="PRIVATE_QUARANTINE","hacker_or_bank_trigger",IF(AC519="PRIVATE_REVIEW","finance_risk_trigger","none"))</x:f>
        <x:v>none</x:v>
      </x:c>
      <x:c r="AE519" s="12" t="str">
        <x:f>IF(AC519="PUBLIC_CANDIDATE","prepare_public_github_candidate",IF(AC519="PRIVATE_REVIEW","hold_for_private_review","quarantine_private_do_not_publish"))</x:f>
        <x:v>prepare_public_github_candidate</x:v>
      </x:c>
      <x:c r="AF519" s="12" t="str">
        <x:f>IF(AC519="PUBLIC_CANDIDATE","TIDELOCK + Lucerna",IF(AC519="PRIVATE_REVIEW","AtlasBrain + Lucerna","TIDELOCK + Lucerna + Human-root"))</x:f>
        <x:v>TIDELOCK + Lucerna</x:v>
      </x:c>
      <x:c r="AG519" s="12" t="str">
        <x:f>IF(AND(AC519="PUBLIC_CANDIDATE",U519&lt;&gt;"BLOCKED_PENDING_RECEIPT"),"READY_AFTER_RECEIPT","NOT_READY")</x:f>
        <x:v>NOT_READY</x:v>
      </x:c>
      <x:c r="AH519" s="12" t="str">
        <x:f>IF(AC519="PUBLIC_CANDIDATE","none",AD519)</x:f>
        <x:v>none</x:v>
      </x:c>
      <x:c r="AI519" s="12" t="str">
        <x:f>IF(AC519="PUBLIC_CANDIDATE","archive/public_candidates/"&amp;A519,"private_quarantine/"&amp;A519)</x:f>
        <x:v>archive/public_candidates/SWARM-04-H08-S02</x:v>
      </x:c>
      <x:c r="AJ519" s="12" t="str">
        <x:f>IF(AC519="PUBLIC_CANDIDATE","public by default; still not canon","private/hold; do not publish")</x:f>
        <x:v>public by default; still not canon</x:v>
      </x:c>
      <x:c r="AK519" s="12" t="str">
        <x:f>IF(AE519="prepare_public_github_candidate","add receipt/status then mirror","resolve blocker before any public GitHub action")</x:f>
        <x:v>add receipt/status then mirror</x:v>
      </x:c>
    </x:row>
    <x:row r="520">
      <x:c r="A520" s="15" t="str">
        <x:v>SWARM-04-H08-S03</x:v>
      </x:c>
      <x:c r="B520" s="15" t="str">
        <x:v>Tidelock</x:v>
      </x:c>
      <x:c r="C520" s="15" t="str">
        <x:v>Access blocker keeper</x:v>
      </x:c>
      <x:c r="D520" s="15" t="str">
        <x:v>Graph Edge Proposals</x:v>
      </x:c>
      <x:c r="E520" s="15" t="str">
        <x:v>GitHub</x:v>
      </x:c>
      <x:c r="F520" s="15" t="str">
        <x:v>Propose graph edges for GitHub — Tidelock</x:v>
      </x:c>
      <x:c r="G520" s="15" t="str">
        <x:v>missing access / blocker ledger / next safe action</x:v>
      </x:c>
      <x:c r="H520" s="15" t="str">
        <x:v>source path + receipt + raw/export status + claim/edge/risk delta</x:v>
      </x:c>
      <x:c r="I520" s="15" t="str">
        <x:v>packet/SWARM-04-H08-S03</x:v>
      </x:c>
      <x:c r="J520" s="15" t="str">
        <x:v>TODO</x:v>
      </x:c>
      <x:c r="K520" s="15" t="str">
        <x:v>P0</x:v>
      </x:c>
      <x:c r="L520" s="15" t="str">
        <x:v>Done only when evidence is logged, contradiction search is noted, and boundary stamp remains non-canon unless ratified</x:v>
      </x:c>
      <x:c r="M520" s="15" t="str">
        <x:v>candidate / staging-only / not canon / not deployed / authority none</x:v>
      </x:c>
      <x:c r="N520" s="15" t="str">
        <x:v>Dispatch to Tidelock: complete Graph Edge Proposals x GitHub; return deltas only, receipts required.</x:v>
      </x:c>
      <x:c r="O520" s="15" t="str">
        <x:v>AF-KG-H08-S03</x:v>
      </x:c>
      <x:c r="P520" s="15" t="str">
        <x:v>Unverified</x:v>
      </x:c>
      <x:c r="Q520" s="15" t="str">
        <x:v>Not checked</x:v>
      </x:c>
      <x:c r="R520" s="15" t="str"/>
      <x:c r="S520" s="15" t="str"/>
      <x:c r="T520" s="15" t="str">
        <x:v>Log first source path or blocker</x:v>
      </x:c>
      <x:c r="U520" s="12" t="str">
        <x:f>IF(OR(P520="Unverified",Q520="Not checked"),"BLOCKED_PENDING_RECEIPT","READY_FOR_REVIEW")</x:f>
        <x:v>BLOCKED_PENDING_RECEIPT</x:v>
      </x:c>
      <x:c r="V520" s="12" t="str">
        <x:f>IF(J520="DONE","RETURNED",IF(U520="BLOCKED_PENDING_RECEIPT","SOURCE_TOUCH_REQUIRED","IN_PROGRESS"))</x:f>
        <x:v>SOURCE_TOUCH_REQUIRED</x:v>
      </x:c>
      <x:c r="W520" s="12" t="str">
        <x:f>IF(P520="Unverified","missing_receipt","receipt_logged")</x:f>
        <x:v>missing_receipt</x:v>
      </x:c>
      <x:c r="X520" s="12" t="str">
        <x:f>IF(Q520="Not checked","raw_status_missing","raw_status_logged")</x:f>
        <x:v>raw_status_missing</x:v>
      </x:c>
      <x:c r="Y520" s="12" t="str">
        <x:f>IF(U520="BLOCKED_PENDING_RECEIPT","Log source path or blocker; do not promote","Route to review lane")</x:f>
        <x:v>Log source path or blocker; do not promote</x:v>
      </x:c>
      <x:c r="Z520" s="12" t="str">
        <x:f>IF(K520="P0","Primary seat + Hashlight/Lucerna","Seat lane")</x:f>
        <x:v>Primary seat + Hashlight/Lucerna</x:v>
      </x:c>
      <x:c r="AA520" s="12" t="str">
        <x:f>IF(R520="","no_claim_delta","claim_delta_present")</x:f>
        <x:v>no_claim_delta</x:v>
      </x:c>
      <x:c r="AB520" s="12" t="str">
        <x:f>IF(S520="","no_contradiction_delta","contradiction_delta_present")</x:f>
        <x:v>no_contradiction_delta</x:v>
      </x:c>
      <x:c r="AC520" s="12" t="str">
        <x:f>IF(OR(ISNUMBER(SEARCH("hacker",LOWER(F520&amp;" "&amp;H520&amp;" "&amp;I520&amp;" "&amp;M520&amp;" "&amp;N520&amp;" "&amp;T520))),ISNUMBER(SEARCH("hacking",LOWER(F520&amp;" "&amp;H520&amp;" "&amp;I520&amp;" "&amp;M520&amp;" "&amp;N520&amp;" "&amp;T520))),ISNUMBER(SEARCH("bank",LOWER(F520&amp;" "&amp;H520&amp;" "&amp;I520&amp;" "&amp;M520&amp;" "&amp;N520&amp;" "&amp;T520))),ISNUMBER(SEARCH("banking",LOWER(F520&amp;" "&amp;H520&amp;" "&amp;I520&amp;" "&amp;M520&amp;" "&amp;N520&amp;" "&amp;T520)))),"PRIVATE_QUARANTINE",IF(OR(ISNUMBER(SEARCH("treasury",LOWER(F520&amp;" "&amp;H520&amp;" "&amp;I520&amp;" "&amp;M520&amp;" "&amp;N520&amp;" "&amp;T520))),ISNUMBER(SEARCH("debt",LOWER(F520&amp;" "&amp;H520&amp;" "&amp;I520&amp;" "&amp;M520&amp;" "&amp;N520&amp;" "&amp;T520))),ISNUMBER(SEARCH("bond",LOWER(F520&amp;" "&amp;H520&amp;" "&amp;I520&amp;" "&amp;M520&amp;" "&amp;N520&amp;" "&amp;T520))),ISNUMBER(SEARCH("transaction",LOWER(F520&amp;" "&amp;H520&amp;" "&amp;I520&amp;" "&amp;M520&amp;" "&amp;N520&amp;" "&amp;T520)))),"PRIVATE_REVIEW","PUBLIC_CANDIDATE"))</x:f>
        <x:v>PUBLIC_CANDIDATE</x:v>
      </x:c>
      <x:c r="AD520" s="12" t="str">
        <x:f>IF(AC520="PRIVATE_QUARANTINE","hacker_or_bank_trigger",IF(AC520="PRIVATE_REVIEW","finance_risk_trigger","none"))</x:f>
        <x:v>none</x:v>
      </x:c>
      <x:c r="AE520" s="12" t="str">
        <x:f>IF(AC520="PUBLIC_CANDIDATE","prepare_public_github_candidate",IF(AC520="PRIVATE_REVIEW","hold_for_private_review","quarantine_private_do_not_publish"))</x:f>
        <x:v>prepare_public_github_candidate</x:v>
      </x:c>
      <x:c r="AF520" s="12" t="str">
        <x:f>IF(AC520="PUBLIC_CANDIDATE","TIDELOCK + Lucerna",IF(AC520="PRIVATE_REVIEW","AtlasBrain + Lucerna","TIDELOCK + Lucerna + Human-root"))</x:f>
        <x:v>TIDELOCK + Lucerna</x:v>
      </x:c>
      <x:c r="AG520" s="12" t="str">
        <x:f>IF(AND(AC520="PUBLIC_CANDIDATE",U520&lt;&gt;"BLOCKED_PENDING_RECEIPT"),"READY_AFTER_RECEIPT","NOT_READY")</x:f>
        <x:v>NOT_READY</x:v>
      </x:c>
      <x:c r="AH520" s="12" t="str">
        <x:f>IF(AC520="PUBLIC_CANDIDATE","none",AD520)</x:f>
        <x:v>none</x:v>
      </x:c>
      <x:c r="AI520" s="12" t="str">
        <x:f>IF(AC520="PUBLIC_CANDIDATE","archive/public_candidates/"&amp;A520,"private_quarantine/"&amp;A520)</x:f>
        <x:v>archive/public_candidates/SWARM-04-H08-S03</x:v>
      </x:c>
      <x:c r="AJ520" s="12" t="str">
        <x:f>IF(AC520="PUBLIC_CANDIDATE","public by default; still not canon","private/hold; do not publish")</x:f>
        <x:v>public by default; still not canon</x:v>
      </x:c>
      <x:c r="AK520" s="12" t="str">
        <x:f>IF(AE520="prepare_public_github_candidate","add receipt/status then mirror","resolve blocker before any public GitHub action")</x:f>
        <x:v>add receipt/status then mirror</x:v>
      </x:c>
    </x:row>
    <x:row r="521">
      <x:c r="A521" s="15" t="str">
        <x:v>SWARM-04-H08-S04</x:v>
      </x:c>
      <x:c r="B521" s="15" t="str">
        <x:v>Tidelock</x:v>
      </x:c>
      <x:c r="C521" s="15" t="str">
        <x:v>Access blocker keeper</x:v>
      </x:c>
      <x:c r="D521" s="15" t="str">
        <x:v>Graph Edge Proposals</x:v>
      </x:c>
      <x:c r="E521" s="15" t="str">
        <x:v>Gamma</x:v>
      </x:c>
      <x:c r="F521" s="15" t="str">
        <x:v>Propose graph edges for Gamma — Tidelock</x:v>
      </x:c>
      <x:c r="G521" s="15" t="str">
        <x:v>missing access / blocker ledger / next safe action</x:v>
      </x:c>
      <x:c r="H521" s="15" t="str">
        <x:v>source path + receipt + raw/export status + claim/edge/risk delta</x:v>
      </x:c>
      <x:c r="I521" s="15" t="str">
        <x:v>packet/SWARM-04-H08-S04</x:v>
      </x:c>
      <x:c r="J521" s="15" t="str">
        <x:v>TODO</x:v>
      </x:c>
      <x:c r="K521" s="15" t="str">
        <x:v>P1</x:v>
      </x:c>
      <x:c r="L521" s="15" t="str">
        <x:v>Done only when evidence is logged, contradiction search is noted, and boundary stamp remains non-canon unless ratified</x:v>
      </x:c>
      <x:c r="M521" s="15" t="str">
        <x:v>candidate / staging-only / not canon / not deployed / authority none</x:v>
      </x:c>
      <x:c r="N521" s="15" t="str">
        <x:v>Dispatch to Tidelock: complete Graph Edge Proposals x Gamma; return deltas only, receipts required.</x:v>
      </x:c>
      <x:c r="O521" s="15" t="str">
        <x:v>AF-KG-H08-S04</x:v>
      </x:c>
      <x:c r="P521" s="15" t="str">
        <x:v>Unverified</x:v>
      </x:c>
      <x:c r="Q521" s="15" t="str">
        <x:v>Not checked</x:v>
      </x:c>
      <x:c r="R521" s="15" t="str"/>
      <x:c r="S521" s="15" t="str"/>
      <x:c r="T521" s="15" t="str">
        <x:v>Log first source path or blocker</x:v>
      </x:c>
      <x:c r="U521" s="12" t="str">
        <x:f>IF(OR(P521="Unverified",Q521="Not checked"),"BLOCKED_PENDING_RECEIPT","READY_FOR_REVIEW")</x:f>
        <x:v>BLOCKED_PENDING_RECEIPT</x:v>
      </x:c>
      <x:c r="V521" s="12" t="str">
        <x:f>IF(J521="DONE","RETURNED",IF(U521="BLOCKED_PENDING_RECEIPT","SOURCE_TOUCH_REQUIRED","IN_PROGRESS"))</x:f>
        <x:v>SOURCE_TOUCH_REQUIRED</x:v>
      </x:c>
      <x:c r="W521" s="12" t="str">
        <x:f>IF(P521="Unverified","missing_receipt","receipt_logged")</x:f>
        <x:v>missing_receipt</x:v>
      </x:c>
      <x:c r="X521" s="12" t="str">
        <x:f>IF(Q521="Not checked","raw_status_missing","raw_status_logged")</x:f>
        <x:v>raw_status_missing</x:v>
      </x:c>
      <x:c r="Y521" s="12" t="str">
        <x:f>IF(U521="BLOCKED_PENDING_RECEIPT","Log source path or blocker; do not promote","Route to review lane")</x:f>
        <x:v>Log source path or blocker; do not promote</x:v>
      </x:c>
      <x:c r="Z521" s="12" t="str">
        <x:f>IF(K521="P0","Primary seat + Hashlight/Lucerna","Seat lane")</x:f>
        <x:v>Seat lane</x:v>
      </x:c>
      <x:c r="AA521" s="12" t="str">
        <x:f>IF(R521="","no_claim_delta","claim_delta_present")</x:f>
        <x:v>no_claim_delta</x:v>
      </x:c>
      <x:c r="AB521" s="12" t="str">
        <x:f>IF(S521="","no_contradiction_delta","contradiction_delta_present")</x:f>
        <x:v>no_contradiction_delta</x:v>
      </x:c>
      <x:c r="AC521" s="12" t="str">
        <x:f>IF(OR(ISNUMBER(SEARCH("hacker",LOWER(F521&amp;" "&amp;H521&amp;" "&amp;I521&amp;" "&amp;M521&amp;" "&amp;N521&amp;" "&amp;T521))),ISNUMBER(SEARCH("hacking",LOWER(F521&amp;" "&amp;H521&amp;" "&amp;I521&amp;" "&amp;M521&amp;" "&amp;N521&amp;" "&amp;T521))),ISNUMBER(SEARCH("bank",LOWER(F521&amp;" "&amp;H521&amp;" "&amp;I521&amp;" "&amp;M521&amp;" "&amp;N521&amp;" "&amp;T521))),ISNUMBER(SEARCH("banking",LOWER(F521&amp;" "&amp;H521&amp;" "&amp;I521&amp;" "&amp;M521&amp;" "&amp;N521&amp;" "&amp;T521)))),"PRIVATE_QUARANTINE",IF(OR(ISNUMBER(SEARCH("treasury",LOWER(F521&amp;" "&amp;H521&amp;" "&amp;I521&amp;" "&amp;M521&amp;" "&amp;N521&amp;" "&amp;T521))),ISNUMBER(SEARCH("debt",LOWER(F521&amp;" "&amp;H521&amp;" "&amp;I521&amp;" "&amp;M521&amp;" "&amp;N521&amp;" "&amp;T521))),ISNUMBER(SEARCH("bond",LOWER(F521&amp;" "&amp;H521&amp;" "&amp;I521&amp;" "&amp;M521&amp;" "&amp;N521&amp;" "&amp;T521))),ISNUMBER(SEARCH("transaction",LOWER(F521&amp;" "&amp;H521&amp;" "&amp;I521&amp;" "&amp;M521&amp;" "&amp;N521&amp;" "&amp;T521)))),"PRIVATE_REVIEW","PUBLIC_CANDIDATE"))</x:f>
        <x:v>PUBLIC_CANDIDATE</x:v>
      </x:c>
      <x:c r="AD521" s="12" t="str">
        <x:f>IF(AC521="PRIVATE_QUARANTINE","hacker_or_bank_trigger",IF(AC521="PRIVATE_REVIEW","finance_risk_trigger","none"))</x:f>
        <x:v>none</x:v>
      </x:c>
      <x:c r="AE521" s="12" t="str">
        <x:f>IF(AC521="PUBLIC_CANDIDATE","prepare_public_github_candidate",IF(AC521="PRIVATE_REVIEW","hold_for_private_review","quarantine_private_do_not_publish"))</x:f>
        <x:v>prepare_public_github_candidate</x:v>
      </x:c>
      <x:c r="AF521" s="12" t="str">
        <x:f>IF(AC521="PUBLIC_CANDIDATE","TIDELOCK + Lucerna",IF(AC521="PRIVATE_REVIEW","AtlasBrain + Lucerna","TIDELOCK + Lucerna + Human-root"))</x:f>
        <x:v>TIDELOCK + Lucerna</x:v>
      </x:c>
      <x:c r="AG521" s="12" t="str">
        <x:f>IF(AND(AC521="PUBLIC_CANDIDATE",U521&lt;&gt;"BLOCKED_PENDING_RECEIPT"),"READY_AFTER_RECEIPT","NOT_READY")</x:f>
        <x:v>NOT_READY</x:v>
      </x:c>
      <x:c r="AH521" s="12" t="str">
        <x:f>IF(AC521="PUBLIC_CANDIDATE","none",AD521)</x:f>
        <x:v>none</x:v>
      </x:c>
      <x:c r="AI521" s="12" t="str">
        <x:f>IF(AC521="PUBLIC_CANDIDATE","archive/public_candidates/"&amp;A521,"private_quarantine/"&amp;A521)</x:f>
        <x:v>archive/public_candidates/SWARM-04-H08-S04</x:v>
      </x:c>
      <x:c r="AJ521" s="12" t="str">
        <x:f>IF(AC521="PUBLIC_CANDIDATE","public by default; still not canon","private/hold; do not publish")</x:f>
        <x:v>public by default; still not canon</x:v>
      </x:c>
      <x:c r="AK521" s="12" t="str">
        <x:f>IF(AE521="prepare_public_github_candidate","add receipt/status then mirror","resolve blocker before any public GitHub action")</x:f>
        <x:v>add receipt/status then mirror</x:v>
      </x:c>
    </x:row>
    <x:row r="522">
      <x:c r="A522" s="15" t="str">
        <x:v>SWARM-04-H08-S05</x:v>
      </x:c>
      <x:c r="B522" s="15" t="str">
        <x:v>Tidelock</x:v>
      </x:c>
      <x:c r="C522" s="15" t="str">
        <x:v>Access blocker keeper</x:v>
      </x:c>
      <x:c r="D522" s="15" t="str">
        <x:v>Graph Edge Proposals</x:v>
      </x:c>
      <x:c r="E522" s="15" t="str">
        <x:v>Chat</x:v>
      </x:c>
      <x:c r="F522" s="15" t="str">
        <x:v>Propose graph edges for Chat — Tidelock</x:v>
      </x:c>
      <x:c r="G522" s="15" t="str">
        <x:v>missing access / blocker ledger / next safe action</x:v>
      </x:c>
      <x:c r="H522" s="15" t="str">
        <x:v>source path + receipt + raw/export status + claim/edge/risk delta</x:v>
      </x:c>
      <x:c r="I522" s="15" t="str">
        <x:v>packet/SWARM-04-H08-S05</x:v>
      </x:c>
      <x:c r="J522" s="15" t="str">
        <x:v>TODO</x:v>
      </x:c>
      <x:c r="K522" s="15" t="str">
        <x:v>P1</x:v>
      </x:c>
      <x:c r="L522" s="15" t="str">
        <x:v>Done only when evidence is logged, contradiction search is noted, and boundary stamp remains non-canon unless ratified</x:v>
      </x:c>
      <x:c r="M522" s="15" t="str">
        <x:v>candidate / staging-only / not canon / not deployed / authority none</x:v>
      </x:c>
      <x:c r="N522" s="15" t="str">
        <x:v>Dispatch to Tidelock: complete Graph Edge Proposals x Chat; return deltas only, receipts required.</x:v>
      </x:c>
      <x:c r="O522" s="15" t="str">
        <x:v>AF-KG-H08-S05</x:v>
      </x:c>
      <x:c r="P522" s="15" t="str">
        <x:v>Unverified</x:v>
      </x:c>
      <x:c r="Q522" s="15" t="str">
        <x:v>Not checked</x:v>
      </x:c>
      <x:c r="R522" s="15" t="str"/>
      <x:c r="S522" s="15" t="str"/>
      <x:c r="T522" s="15" t="str">
        <x:v>Log first source path or blocker</x:v>
      </x:c>
      <x:c r="U522" s="12" t="str">
        <x:f>IF(OR(P522="Unverified",Q522="Not checked"),"BLOCKED_PENDING_RECEIPT","READY_FOR_REVIEW")</x:f>
        <x:v>BLOCKED_PENDING_RECEIPT</x:v>
      </x:c>
      <x:c r="V522" s="12" t="str">
        <x:f>IF(J522="DONE","RETURNED",IF(U522="BLOCKED_PENDING_RECEIPT","SOURCE_TOUCH_REQUIRED","IN_PROGRESS"))</x:f>
        <x:v>SOURCE_TOUCH_REQUIRED</x:v>
      </x:c>
      <x:c r="W522" s="12" t="str">
        <x:f>IF(P522="Unverified","missing_receipt","receipt_logged")</x:f>
        <x:v>missing_receipt</x:v>
      </x:c>
      <x:c r="X522" s="12" t="str">
        <x:f>IF(Q522="Not checked","raw_status_missing","raw_status_logged")</x:f>
        <x:v>raw_status_missing</x:v>
      </x:c>
      <x:c r="Y522" s="12" t="str">
        <x:f>IF(U522="BLOCKED_PENDING_RECEIPT","Log source path or blocker; do not promote","Route to review lane")</x:f>
        <x:v>Log source path or blocker; do not promote</x:v>
      </x:c>
      <x:c r="Z522" s="12" t="str">
        <x:f>IF(K522="P0","Primary seat + Hashlight/Lucerna","Seat lane")</x:f>
        <x:v>Seat lane</x:v>
      </x:c>
      <x:c r="AA522" s="12" t="str">
        <x:f>IF(R522="","no_claim_delta","claim_delta_present")</x:f>
        <x:v>no_claim_delta</x:v>
      </x:c>
      <x:c r="AB522" s="12" t="str">
        <x:f>IF(S522="","no_contradiction_delta","contradiction_delta_present")</x:f>
        <x:v>no_contradiction_delta</x:v>
      </x:c>
      <x:c r="AC522" s="12" t="str">
        <x:f>IF(OR(ISNUMBER(SEARCH("hacker",LOWER(F522&amp;" "&amp;H522&amp;" "&amp;I522&amp;" "&amp;M522&amp;" "&amp;N522&amp;" "&amp;T522))),ISNUMBER(SEARCH("hacking",LOWER(F522&amp;" "&amp;H522&amp;" "&amp;I522&amp;" "&amp;M522&amp;" "&amp;N522&amp;" "&amp;T522))),ISNUMBER(SEARCH("bank",LOWER(F522&amp;" "&amp;H522&amp;" "&amp;I522&amp;" "&amp;M522&amp;" "&amp;N522&amp;" "&amp;T522))),ISNUMBER(SEARCH("banking",LOWER(F522&amp;" "&amp;H522&amp;" "&amp;I522&amp;" "&amp;M522&amp;" "&amp;N522&amp;" "&amp;T522)))),"PRIVATE_QUARANTINE",IF(OR(ISNUMBER(SEARCH("treasury",LOWER(F522&amp;" "&amp;H522&amp;" "&amp;I522&amp;" "&amp;M522&amp;" "&amp;N522&amp;" "&amp;T522))),ISNUMBER(SEARCH("debt",LOWER(F522&amp;" "&amp;H522&amp;" "&amp;I522&amp;" "&amp;M522&amp;" "&amp;N522&amp;" "&amp;T522))),ISNUMBER(SEARCH("bond",LOWER(F522&amp;" "&amp;H522&amp;" "&amp;I522&amp;" "&amp;M522&amp;" "&amp;N522&amp;" "&amp;T522))),ISNUMBER(SEARCH("transaction",LOWER(F522&amp;" "&amp;H522&amp;" "&amp;I522&amp;" "&amp;M522&amp;" "&amp;N522&amp;" "&amp;T522)))),"PRIVATE_REVIEW","PUBLIC_CANDIDATE"))</x:f>
        <x:v>PUBLIC_CANDIDATE</x:v>
      </x:c>
      <x:c r="AD522" s="12" t="str">
        <x:f>IF(AC522="PRIVATE_QUARANTINE","hacker_or_bank_trigger",IF(AC522="PRIVATE_REVIEW","finance_risk_trigger","none"))</x:f>
        <x:v>none</x:v>
      </x:c>
      <x:c r="AE522" s="12" t="str">
        <x:f>IF(AC522="PUBLIC_CANDIDATE","prepare_public_github_candidate",IF(AC522="PRIVATE_REVIEW","hold_for_private_review","quarantine_private_do_not_publish"))</x:f>
        <x:v>prepare_public_github_candidate</x:v>
      </x:c>
      <x:c r="AF522" s="12" t="str">
        <x:f>IF(AC522="PUBLIC_CANDIDATE","TIDELOCK + Lucerna",IF(AC522="PRIVATE_REVIEW","AtlasBrain + Lucerna","TIDELOCK + Lucerna + Human-root"))</x:f>
        <x:v>TIDELOCK + Lucerna</x:v>
      </x:c>
      <x:c r="AG522" s="12" t="str">
        <x:f>IF(AND(AC522="PUBLIC_CANDIDATE",U522&lt;&gt;"BLOCKED_PENDING_RECEIPT"),"READY_AFTER_RECEIPT","NOT_READY")</x:f>
        <x:v>NOT_READY</x:v>
      </x:c>
      <x:c r="AH522" s="12" t="str">
        <x:f>IF(AC522="PUBLIC_CANDIDATE","none",AD522)</x:f>
        <x:v>none</x:v>
      </x:c>
      <x:c r="AI522" s="12" t="str">
        <x:f>IF(AC522="PUBLIC_CANDIDATE","archive/public_candidates/"&amp;A522,"private_quarantine/"&amp;A522)</x:f>
        <x:v>archive/public_candidates/SWARM-04-H08-S05</x:v>
      </x:c>
      <x:c r="AJ522" s="12" t="str">
        <x:f>IF(AC522="PUBLIC_CANDIDATE","public by default; still not canon","private/hold; do not publish")</x:f>
        <x:v>public by default; still not canon</x:v>
      </x:c>
      <x:c r="AK522" s="12" t="str">
        <x:f>IF(AE522="prepare_public_github_candidate","add receipt/status then mirror","resolve blocker before any public GitHub action")</x:f>
        <x:v>add receipt/status then mirror</x:v>
      </x:c>
    </x:row>
    <x:row r="523">
      <x:c r="A523" s="15" t="str">
        <x:v>SWARM-04-H08-S06</x:v>
      </x:c>
      <x:c r="B523" s="15" t="str">
        <x:v>Tidelock</x:v>
      </x:c>
      <x:c r="C523" s="15" t="str">
        <x:v>Access blocker keeper</x:v>
      </x:c>
      <x:c r="D523" s="15" t="str">
        <x:v>Graph Edge Proposals</x:v>
      </x:c>
      <x:c r="E523" s="15" t="str">
        <x:v>External Web</x:v>
      </x:c>
      <x:c r="F523" s="15" t="str">
        <x:v>Propose graph edges for External Web — Tidelock</x:v>
      </x:c>
      <x:c r="G523" s="15" t="str">
        <x:v>missing access / blocker ledger / next safe action</x:v>
      </x:c>
      <x:c r="H523" s="15" t="str">
        <x:v>source path + receipt + raw/export status + claim/edge/risk delta</x:v>
      </x:c>
      <x:c r="I523" s="15" t="str">
        <x:v>packet/SWARM-04-H08-S06</x:v>
      </x:c>
      <x:c r="J523" s="15" t="str">
        <x:v>TODO</x:v>
      </x:c>
      <x:c r="K523" s="15" t="str">
        <x:v>P1</x:v>
      </x:c>
      <x:c r="L523" s="15" t="str">
        <x:v>Done only when evidence is logged, contradiction search is noted, and boundary stamp remains non-canon unless ratified</x:v>
      </x:c>
      <x:c r="M523" s="15" t="str">
        <x:v>candidate / staging-only / not canon / not deployed / authority none</x:v>
      </x:c>
      <x:c r="N523" s="15" t="str">
        <x:v>Dispatch to Tidelock: complete Graph Edge Proposals x External Web; return deltas only, receipts required.</x:v>
      </x:c>
      <x:c r="O523" s="15" t="str">
        <x:v>AF-KG-H08-S06</x:v>
      </x:c>
      <x:c r="P523" s="15" t="str">
        <x:v>Unverified</x:v>
      </x:c>
      <x:c r="Q523" s="15" t="str">
        <x:v>Not checked</x:v>
      </x:c>
      <x:c r="R523" s="15" t="str"/>
      <x:c r="S523" s="15" t="str"/>
      <x:c r="T523" s="15" t="str">
        <x:v>Log first source path or blocker</x:v>
      </x:c>
      <x:c r="U523" s="12" t="str">
        <x:f>IF(OR(P523="Unverified",Q523="Not checked"),"BLOCKED_PENDING_RECEIPT","READY_FOR_REVIEW")</x:f>
        <x:v>BLOCKED_PENDING_RECEIPT</x:v>
      </x:c>
      <x:c r="V523" s="12" t="str">
        <x:f>IF(J523="DONE","RETURNED",IF(U523="BLOCKED_PENDING_RECEIPT","SOURCE_TOUCH_REQUIRED","IN_PROGRESS"))</x:f>
        <x:v>SOURCE_TOUCH_REQUIRED</x:v>
      </x:c>
      <x:c r="W523" s="12" t="str">
        <x:f>IF(P523="Unverified","missing_receipt","receipt_logged")</x:f>
        <x:v>missing_receipt</x:v>
      </x:c>
      <x:c r="X523" s="12" t="str">
        <x:f>IF(Q523="Not checked","raw_status_missing","raw_status_logged")</x:f>
        <x:v>raw_status_missing</x:v>
      </x:c>
      <x:c r="Y523" s="12" t="str">
        <x:f>IF(U523="BLOCKED_PENDING_RECEIPT","Log source path or blocker; do not promote","Route to review lane")</x:f>
        <x:v>Log source path or blocker; do not promote</x:v>
      </x:c>
      <x:c r="Z523" s="12" t="str">
        <x:f>IF(K523="P0","Primary seat + Hashlight/Lucerna","Seat lane")</x:f>
        <x:v>Seat lane</x:v>
      </x:c>
      <x:c r="AA523" s="12" t="str">
        <x:f>IF(R523="","no_claim_delta","claim_delta_present")</x:f>
        <x:v>no_claim_delta</x:v>
      </x:c>
      <x:c r="AB523" s="12" t="str">
        <x:f>IF(S523="","no_contradiction_delta","contradiction_delta_present")</x:f>
        <x:v>no_contradiction_delta</x:v>
      </x:c>
      <x:c r="AC523" s="12" t="str">
        <x:f>IF(OR(ISNUMBER(SEARCH("hacker",LOWER(F523&amp;" "&amp;H523&amp;" "&amp;I523&amp;" "&amp;M523&amp;" "&amp;N523&amp;" "&amp;T523))),ISNUMBER(SEARCH("hacking",LOWER(F523&amp;" "&amp;H523&amp;" "&amp;I523&amp;" "&amp;M523&amp;" "&amp;N523&amp;" "&amp;T523))),ISNUMBER(SEARCH("bank",LOWER(F523&amp;" "&amp;H523&amp;" "&amp;I523&amp;" "&amp;M523&amp;" "&amp;N523&amp;" "&amp;T523))),ISNUMBER(SEARCH("banking",LOWER(F523&amp;" "&amp;H523&amp;" "&amp;I523&amp;" "&amp;M523&amp;" "&amp;N523&amp;" "&amp;T523)))),"PRIVATE_QUARANTINE",IF(OR(ISNUMBER(SEARCH("treasury",LOWER(F523&amp;" "&amp;H523&amp;" "&amp;I523&amp;" "&amp;M523&amp;" "&amp;N523&amp;" "&amp;T523))),ISNUMBER(SEARCH("debt",LOWER(F523&amp;" "&amp;H523&amp;" "&amp;I523&amp;" "&amp;M523&amp;" "&amp;N523&amp;" "&amp;T523))),ISNUMBER(SEARCH("bond",LOWER(F523&amp;" "&amp;H523&amp;" "&amp;I523&amp;" "&amp;M523&amp;" "&amp;N523&amp;" "&amp;T523))),ISNUMBER(SEARCH("transaction",LOWER(F523&amp;" "&amp;H523&amp;" "&amp;I523&amp;" "&amp;M523&amp;" "&amp;N523&amp;" "&amp;T523)))),"PRIVATE_REVIEW","PUBLIC_CANDIDATE"))</x:f>
        <x:v>PUBLIC_CANDIDATE</x:v>
      </x:c>
      <x:c r="AD523" s="12" t="str">
        <x:f>IF(AC523="PRIVATE_QUARANTINE","hacker_or_bank_trigger",IF(AC523="PRIVATE_REVIEW","finance_risk_trigger","none"))</x:f>
        <x:v>none</x:v>
      </x:c>
      <x:c r="AE523" s="12" t="str">
        <x:f>IF(AC523="PUBLIC_CANDIDATE","prepare_public_github_candidate",IF(AC523="PRIVATE_REVIEW","hold_for_private_review","quarantine_private_do_not_publish"))</x:f>
        <x:v>prepare_public_github_candidate</x:v>
      </x:c>
      <x:c r="AF523" s="12" t="str">
        <x:f>IF(AC523="PUBLIC_CANDIDATE","TIDELOCK + Lucerna",IF(AC523="PRIVATE_REVIEW","AtlasBrain + Lucerna","TIDELOCK + Lucerna + Human-root"))</x:f>
        <x:v>TIDELOCK + Lucerna</x:v>
      </x:c>
      <x:c r="AG523" s="12" t="str">
        <x:f>IF(AND(AC523="PUBLIC_CANDIDATE",U523&lt;&gt;"BLOCKED_PENDING_RECEIPT"),"READY_AFTER_RECEIPT","NOT_READY")</x:f>
        <x:v>NOT_READY</x:v>
      </x:c>
      <x:c r="AH523" s="12" t="str">
        <x:f>IF(AC523="PUBLIC_CANDIDATE","none",AD523)</x:f>
        <x:v>none</x:v>
      </x:c>
      <x:c r="AI523" s="12" t="str">
        <x:f>IF(AC523="PUBLIC_CANDIDATE","archive/public_candidates/"&amp;A523,"private_quarantine/"&amp;A523)</x:f>
        <x:v>archive/public_candidates/SWARM-04-H08-S06</x:v>
      </x:c>
      <x:c r="AJ523" s="12" t="str">
        <x:f>IF(AC523="PUBLIC_CANDIDATE","public by default; still not canon","private/hold; do not publish")</x:f>
        <x:v>public by default; still not canon</x:v>
      </x:c>
      <x:c r="AK523" s="12" t="str">
        <x:f>IF(AE523="prepare_public_github_candidate","add receipt/status then mirror","resolve blocker before any public GitHub action")</x:f>
        <x:v>add receipt/status then mirror</x:v>
      </x:c>
    </x:row>
    <x:row r="524">
      <x:c r="A524" s="15" t="str">
        <x:v>SWARM-04-H08-S07</x:v>
      </x:c>
      <x:c r="B524" s="15" t="str">
        <x:v>Tidelock</x:v>
      </x:c>
      <x:c r="C524" s="15" t="str">
        <x:v>Access blocker keeper</x:v>
      </x:c>
      <x:c r="D524" s="15" t="str">
        <x:v>Graph Edge Proposals</x:v>
      </x:c>
      <x:c r="E524" s="15" t="str">
        <x:v>Planetarium</x:v>
      </x:c>
      <x:c r="F524" s="15" t="str">
        <x:v>Propose graph edges for Planetarium — Tidelock</x:v>
      </x:c>
      <x:c r="G524" s="15" t="str">
        <x:v>missing access / blocker ledger / next safe action</x:v>
      </x:c>
      <x:c r="H524" s="15" t="str">
        <x:v>source path + receipt + raw/export status + claim/edge/risk delta</x:v>
      </x:c>
      <x:c r="I524" s="15" t="str">
        <x:v>packet/SWARM-04-H08-S07</x:v>
      </x:c>
      <x:c r="J524" s="15" t="str">
        <x:v>TODO</x:v>
      </x:c>
      <x:c r="K524" s="15" t="str">
        <x:v>P1</x:v>
      </x:c>
      <x:c r="L524" s="15" t="str">
        <x:v>Done only when evidence is logged, contradiction search is noted, and boundary stamp remains non-canon unless ratified</x:v>
      </x:c>
      <x:c r="M524" s="15" t="str">
        <x:v>candidate / staging-only / not canon / not deployed / authority none</x:v>
      </x:c>
      <x:c r="N524" s="15" t="str">
        <x:v>Dispatch to Tidelock: complete Graph Edge Proposals x Planetarium; return deltas only, receipts required.</x:v>
      </x:c>
      <x:c r="O524" s="15" t="str">
        <x:v>AF-KG-H08-S07</x:v>
      </x:c>
      <x:c r="P524" s="15" t="str">
        <x:v>Unverified</x:v>
      </x:c>
      <x:c r="Q524" s="15" t="str">
        <x:v>Not checked</x:v>
      </x:c>
      <x:c r="R524" s="15" t="str"/>
      <x:c r="S524" s="15" t="str"/>
      <x:c r="T524" s="15" t="str">
        <x:v>Log first source path or blocker</x:v>
      </x:c>
      <x:c r="U524" s="12" t="str">
        <x:f>IF(OR(P524="Unverified",Q524="Not checked"),"BLOCKED_PENDING_RECEIPT","READY_FOR_REVIEW")</x:f>
        <x:v>BLOCKED_PENDING_RECEIPT</x:v>
      </x:c>
      <x:c r="V524" s="12" t="str">
        <x:f>IF(J524="DONE","RETURNED",IF(U524="BLOCKED_PENDING_RECEIPT","SOURCE_TOUCH_REQUIRED","IN_PROGRESS"))</x:f>
        <x:v>SOURCE_TOUCH_REQUIRED</x:v>
      </x:c>
      <x:c r="W524" s="12" t="str">
        <x:f>IF(P524="Unverified","missing_receipt","receipt_logged")</x:f>
        <x:v>missing_receipt</x:v>
      </x:c>
      <x:c r="X524" s="12" t="str">
        <x:f>IF(Q524="Not checked","raw_status_missing","raw_status_logged")</x:f>
        <x:v>raw_status_missing</x:v>
      </x:c>
      <x:c r="Y524" s="12" t="str">
        <x:f>IF(U524="BLOCKED_PENDING_RECEIPT","Log source path or blocker; do not promote","Route to review lane")</x:f>
        <x:v>Log source path or blocker; do not promote</x:v>
      </x:c>
      <x:c r="Z524" s="12" t="str">
        <x:f>IF(K524="P0","Primary seat + Hashlight/Lucerna","Seat lane")</x:f>
        <x:v>Seat lane</x:v>
      </x:c>
      <x:c r="AA524" s="12" t="str">
        <x:f>IF(R524="","no_claim_delta","claim_delta_present")</x:f>
        <x:v>no_claim_delta</x:v>
      </x:c>
      <x:c r="AB524" s="12" t="str">
        <x:f>IF(S524="","no_contradiction_delta","contradiction_delta_present")</x:f>
        <x:v>no_contradiction_delta</x:v>
      </x:c>
      <x:c r="AC524" s="12" t="str">
        <x:f>IF(OR(ISNUMBER(SEARCH("hacker",LOWER(F524&amp;" "&amp;H524&amp;" "&amp;I524&amp;" "&amp;M524&amp;" "&amp;N524&amp;" "&amp;T524))),ISNUMBER(SEARCH("hacking",LOWER(F524&amp;" "&amp;H524&amp;" "&amp;I524&amp;" "&amp;M524&amp;" "&amp;N524&amp;" "&amp;T524))),ISNUMBER(SEARCH("bank",LOWER(F524&amp;" "&amp;H524&amp;" "&amp;I524&amp;" "&amp;M524&amp;" "&amp;N524&amp;" "&amp;T524))),ISNUMBER(SEARCH("banking",LOWER(F524&amp;" "&amp;H524&amp;" "&amp;I524&amp;" "&amp;M524&amp;" "&amp;N524&amp;" "&amp;T524)))),"PRIVATE_QUARANTINE",IF(OR(ISNUMBER(SEARCH("treasury",LOWER(F524&amp;" "&amp;H524&amp;" "&amp;I524&amp;" "&amp;M524&amp;" "&amp;N524&amp;" "&amp;T524))),ISNUMBER(SEARCH("debt",LOWER(F524&amp;" "&amp;H524&amp;" "&amp;I524&amp;" "&amp;M524&amp;" "&amp;N524&amp;" "&amp;T524))),ISNUMBER(SEARCH("bond",LOWER(F524&amp;" "&amp;H524&amp;" "&amp;I524&amp;" "&amp;M524&amp;" "&amp;N524&amp;" "&amp;T524))),ISNUMBER(SEARCH("transaction",LOWER(F524&amp;" "&amp;H524&amp;" "&amp;I524&amp;" "&amp;M524&amp;" "&amp;N524&amp;" "&amp;T524)))),"PRIVATE_REVIEW","PUBLIC_CANDIDATE"))</x:f>
        <x:v>PUBLIC_CANDIDATE</x:v>
      </x:c>
      <x:c r="AD524" s="12" t="str">
        <x:f>IF(AC524="PRIVATE_QUARANTINE","hacker_or_bank_trigger",IF(AC524="PRIVATE_REVIEW","finance_risk_trigger","none"))</x:f>
        <x:v>none</x:v>
      </x:c>
      <x:c r="AE524" s="12" t="str">
        <x:f>IF(AC524="PUBLIC_CANDIDATE","prepare_public_github_candidate",IF(AC524="PRIVATE_REVIEW","hold_for_private_review","quarantine_private_do_not_publish"))</x:f>
        <x:v>prepare_public_github_candidate</x:v>
      </x:c>
      <x:c r="AF524" s="12" t="str">
        <x:f>IF(AC524="PUBLIC_CANDIDATE","TIDELOCK + Lucerna",IF(AC524="PRIVATE_REVIEW","AtlasBrain + Lucerna","TIDELOCK + Lucerna + Human-root"))</x:f>
        <x:v>TIDELOCK + Lucerna</x:v>
      </x:c>
      <x:c r="AG524" s="12" t="str">
        <x:f>IF(AND(AC524="PUBLIC_CANDIDATE",U524&lt;&gt;"BLOCKED_PENDING_RECEIPT"),"READY_AFTER_RECEIPT","NOT_READY")</x:f>
        <x:v>NOT_READY</x:v>
      </x:c>
      <x:c r="AH524" s="12" t="str">
        <x:f>IF(AC524="PUBLIC_CANDIDATE","none",AD524)</x:f>
        <x:v>none</x:v>
      </x:c>
      <x:c r="AI524" s="12" t="str">
        <x:f>IF(AC524="PUBLIC_CANDIDATE","archive/public_candidates/"&amp;A524,"private_quarantine/"&amp;A524)</x:f>
        <x:v>archive/public_candidates/SWARM-04-H08-S07</x:v>
      </x:c>
      <x:c r="AJ524" s="12" t="str">
        <x:f>IF(AC524="PUBLIC_CANDIDATE","public by default; still not canon","private/hold; do not publish")</x:f>
        <x:v>public by default; still not canon</x:v>
      </x:c>
      <x:c r="AK524" s="12" t="str">
        <x:f>IF(AE524="prepare_public_github_candidate","add receipt/status then mirror","resolve blocker before any public GitHub action")</x:f>
        <x:v>add receipt/status then mirror</x:v>
      </x:c>
    </x:row>
    <x:row r="525">
      <x:c r="A525" s="15" t="str">
        <x:v>SWARM-04-H08-S08</x:v>
      </x:c>
      <x:c r="B525" s="15" t="str">
        <x:v>Tidelock</x:v>
      </x:c>
      <x:c r="C525" s="15" t="str">
        <x:v>Access blocker keeper</x:v>
      </x:c>
      <x:c r="D525" s="15" t="str">
        <x:v>Graph Edge Proposals</x:v>
      </x:c>
      <x:c r="E525" s="15" t="str">
        <x:v>Sheldonbrain</x:v>
      </x:c>
      <x:c r="F525" s="15" t="str">
        <x:v>Propose graph edges for Sheldonbrain — Tidelock</x:v>
      </x:c>
      <x:c r="G525" s="15" t="str">
        <x:v>missing access / blocker ledger / next safe action</x:v>
      </x:c>
      <x:c r="H525" s="15" t="str">
        <x:v>source path + receipt + raw/export status + claim/edge/risk delta</x:v>
      </x:c>
      <x:c r="I525" s="15" t="str">
        <x:v>packet/SWARM-04-H08-S08</x:v>
      </x:c>
      <x:c r="J525" s="15" t="str">
        <x:v>TODO</x:v>
      </x:c>
      <x:c r="K525" s="15" t="str">
        <x:v>P1</x:v>
      </x:c>
      <x:c r="L525" s="15" t="str">
        <x:v>Done only when evidence is logged, contradiction search is noted, and boundary stamp remains non-canon unless ratified</x:v>
      </x:c>
      <x:c r="M525" s="15" t="str">
        <x:v>candidate / staging-only / not canon / not deployed / authority none</x:v>
      </x:c>
      <x:c r="N525" s="15" t="str">
        <x:v>Dispatch to Tidelock: complete Graph Edge Proposals x Sheldonbrain; return deltas only, receipts required.</x:v>
      </x:c>
      <x:c r="O525" s="15" t="str">
        <x:v>AF-KG-H08-S08</x:v>
      </x:c>
      <x:c r="P525" s="15" t="str">
        <x:v>Unverified</x:v>
      </x:c>
      <x:c r="Q525" s="15" t="str">
        <x:v>Not checked</x:v>
      </x:c>
      <x:c r="R525" s="15" t="str"/>
      <x:c r="S525" s="15" t="str"/>
      <x:c r="T525" s="15" t="str">
        <x:v>Log first source path or blocker</x:v>
      </x:c>
      <x:c r="U525" s="12" t="str">
        <x:f>IF(OR(P525="Unverified",Q525="Not checked"),"BLOCKED_PENDING_RECEIPT","READY_FOR_REVIEW")</x:f>
        <x:v>BLOCKED_PENDING_RECEIPT</x:v>
      </x:c>
      <x:c r="V525" s="12" t="str">
        <x:f>IF(J525="DONE","RETURNED",IF(U525="BLOCKED_PENDING_RECEIPT","SOURCE_TOUCH_REQUIRED","IN_PROGRESS"))</x:f>
        <x:v>SOURCE_TOUCH_REQUIRED</x:v>
      </x:c>
      <x:c r="W525" s="12" t="str">
        <x:f>IF(P525="Unverified","missing_receipt","receipt_logged")</x:f>
        <x:v>missing_receipt</x:v>
      </x:c>
      <x:c r="X525" s="12" t="str">
        <x:f>IF(Q525="Not checked","raw_status_missing","raw_status_logged")</x:f>
        <x:v>raw_status_missing</x:v>
      </x:c>
      <x:c r="Y525" s="12" t="str">
        <x:f>IF(U525="BLOCKED_PENDING_RECEIPT","Log source path or blocker; do not promote","Route to review lane")</x:f>
        <x:v>Log source path or blocker; do not promote</x:v>
      </x:c>
      <x:c r="Z525" s="12" t="str">
        <x:f>IF(K525="P0","Primary seat + Hashlight/Lucerna","Seat lane")</x:f>
        <x:v>Seat lane</x:v>
      </x:c>
      <x:c r="AA525" s="12" t="str">
        <x:f>IF(R525="","no_claim_delta","claim_delta_present")</x:f>
        <x:v>no_claim_delta</x:v>
      </x:c>
      <x:c r="AB525" s="12" t="str">
        <x:f>IF(S525="","no_contradiction_delta","contradiction_delta_present")</x:f>
        <x:v>no_contradiction_delta</x:v>
      </x:c>
      <x:c r="AC525" s="12" t="str">
        <x:f>IF(OR(ISNUMBER(SEARCH("hacker",LOWER(F525&amp;" "&amp;H525&amp;" "&amp;I525&amp;" "&amp;M525&amp;" "&amp;N525&amp;" "&amp;T525))),ISNUMBER(SEARCH("hacking",LOWER(F525&amp;" "&amp;H525&amp;" "&amp;I525&amp;" "&amp;M525&amp;" "&amp;N525&amp;" "&amp;T525))),ISNUMBER(SEARCH("bank",LOWER(F525&amp;" "&amp;H525&amp;" "&amp;I525&amp;" "&amp;M525&amp;" "&amp;N525&amp;" "&amp;T525))),ISNUMBER(SEARCH("banking",LOWER(F525&amp;" "&amp;H525&amp;" "&amp;I525&amp;" "&amp;M525&amp;" "&amp;N525&amp;" "&amp;T525)))),"PRIVATE_QUARANTINE",IF(OR(ISNUMBER(SEARCH("treasury",LOWER(F525&amp;" "&amp;H525&amp;" "&amp;I525&amp;" "&amp;M525&amp;" "&amp;N525&amp;" "&amp;T525))),ISNUMBER(SEARCH("debt",LOWER(F525&amp;" "&amp;H525&amp;" "&amp;I525&amp;" "&amp;M525&amp;" "&amp;N525&amp;" "&amp;T525))),ISNUMBER(SEARCH("bond",LOWER(F525&amp;" "&amp;H525&amp;" "&amp;I525&amp;" "&amp;M525&amp;" "&amp;N525&amp;" "&amp;T525))),ISNUMBER(SEARCH("transaction",LOWER(F525&amp;" "&amp;H525&amp;" "&amp;I525&amp;" "&amp;M525&amp;" "&amp;N525&amp;" "&amp;T525)))),"PRIVATE_REVIEW","PUBLIC_CANDIDATE"))</x:f>
        <x:v>PUBLIC_CANDIDATE</x:v>
      </x:c>
      <x:c r="AD525" s="12" t="str">
        <x:f>IF(AC525="PRIVATE_QUARANTINE","hacker_or_bank_trigger",IF(AC525="PRIVATE_REVIEW","finance_risk_trigger","none"))</x:f>
        <x:v>none</x:v>
      </x:c>
      <x:c r="AE525" s="12" t="str">
        <x:f>IF(AC525="PUBLIC_CANDIDATE","prepare_public_github_candidate",IF(AC525="PRIVATE_REVIEW","hold_for_private_review","quarantine_private_do_not_publish"))</x:f>
        <x:v>prepare_public_github_candidate</x:v>
      </x:c>
      <x:c r="AF525" s="12" t="str">
        <x:f>IF(AC525="PUBLIC_CANDIDATE","TIDELOCK + Lucerna",IF(AC525="PRIVATE_REVIEW","AtlasBrain + Lucerna","TIDELOCK + Lucerna + Human-root"))</x:f>
        <x:v>TIDELOCK + Lucerna</x:v>
      </x:c>
      <x:c r="AG525" s="12" t="str">
        <x:f>IF(AND(AC525="PUBLIC_CANDIDATE",U525&lt;&gt;"BLOCKED_PENDING_RECEIPT"),"READY_AFTER_RECEIPT","NOT_READY")</x:f>
        <x:v>NOT_READY</x:v>
      </x:c>
      <x:c r="AH525" s="12" t="str">
        <x:f>IF(AC525="PUBLIC_CANDIDATE","none",AD525)</x:f>
        <x:v>none</x:v>
      </x:c>
      <x:c r="AI525" s="12" t="str">
        <x:f>IF(AC525="PUBLIC_CANDIDATE","archive/public_candidates/"&amp;A525,"private_quarantine/"&amp;A525)</x:f>
        <x:v>archive/public_candidates/SWARM-04-H08-S08</x:v>
      </x:c>
      <x:c r="AJ525" s="12" t="str">
        <x:f>IF(AC525="PUBLIC_CANDIDATE","public by default; still not canon","private/hold; do not publish")</x:f>
        <x:v>public by default; still not canon</x:v>
      </x:c>
      <x:c r="AK525" s="12" t="str">
        <x:f>IF(AE525="prepare_public_github_candidate","add receipt/status then mirror","resolve blocker before any public GitHub action")</x:f>
        <x:v>add receipt/status then mirror</x:v>
      </x:c>
    </x:row>
    <x:row r="526">
      <x:c r="A526" s="15" t="str">
        <x:v>SWARM-04-H08-S09</x:v>
      </x:c>
      <x:c r="B526" s="15" t="str">
        <x:v>Tidelock</x:v>
      </x:c>
      <x:c r="C526" s="15" t="str">
        <x:v>Access blocker keeper</x:v>
      </x:c>
      <x:c r="D526" s="15" t="str">
        <x:v>Graph Edge Proposals</x:v>
      </x:c>
      <x:c r="E526" s="15" t="str">
        <x:v>Aetherforge</x:v>
      </x:c>
      <x:c r="F526" s="15" t="str">
        <x:v>Propose graph edges for Aetherforge — Tidelock</x:v>
      </x:c>
      <x:c r="G526" s="15" t="str">
        <x:v>missing access / blocker ledger / next safe action</x:v>
      </x:c>
      <x:c r="H526" s="15" t="str">
        <x:v>source path + receipt + raw/export status + claim/edge/risk delta</x:v>
      </x:c>
      <x:c r="I526" s="15" t="str">
        <x:v>packet/SWARM-04-H08-S09</x:v>
      </x:c>
      <x:c r="J526" s="15" t="str">
        <x:v>TODO</x:v>
      </x:c>
      <x:c r="K526" s="15" t="str">
        <x:v>P2</x:v>
      </x:c>
      <x:c r="L526" s="15" t="str">
        <x:v>Done only when evidence is logged, contradiction search is noted, and boundary stamp remains non-canon unless ratified</x:v>
      </x:c>
      <x:c r="M526" s="15" t="str">
        <x:v>candidate / staging-only / not canon / not deployed / authority none</x:v>
      </x:c>
      <x:c r="N526" s="15" t="str">
        <x:v>Dispatch to Tidelock: complete Graph Edge Proposals x Aetherforge; return deltas only, receipts required.</x:v>
      </x:c>
      <x:c r="O526" s="15" t="str">
        <x:v>AF-KG-H08-S09</x:v>
      </x:c>
      <x:c r="P526" s="15" t="str">
        <x:v>Unverified</x:v>
      </x:c>
      <x:c r="Q526" s="15" t="str">
        <x:v>Not checked</x:v>
      </x:c>
      <x:c r="R526" s="15" t="str"/>
      <x:c r="S526" s="15" t="str"/>
      <x:c r="T526" s="15" t="str">
        <x:v>Log first source path or blocker</x:v>
      </x:c>
      <x:c r="U526" s="12" t="str">
        <x:f>IF(OR(P526="Unverified",Q526="Not checked"),"BLOCKED_PENDING_RECEIPT","READY_FOR_REVIEW")</x:f>
        <x:v>BLOCKED_PENDING_RECEIPT</x:v>
      </x:c>
      <x:c r="V526" s="12" t="str">
        <x:f>IF(J526="DONE","RETURNED",IF(U526="BLOCKED_PENDING_RECEIPT","SOURCE_TOUCH_REQUIRED","IN_PROGRESS"))</x:f>
        <x:v>SOURCE_TOUCH_REQUIRED</x:v>
      </x:c>
      <x:c r="W526" s="12" t="str">
        <x:f>IF(P526="Unverified","missing_receipt","receipt_logged")</x:f>
        <x:v>missing_receipt</x:v>
      </x:c>
      <x:c r="X526" s="12" t="str">
        <x:f>IF(Q526="Not checked","raw_status_missing","raw_status_logged")</x:f>
        <x:v>raw_status_missing</x:v>
      </x:c>
      <x:c r="Y526" s="12" t="str">
        <x:f>IF(U526="BLOCKED_PENDING_RECEIPT","Log source path or blocker; do not promote","Route to review lane")</x:f>
        <x:v>Log source path or blocker; do not promote</x:v>
      </x:c>
      <x:c r="Z526" s="12" t="str">
        <x:f>IF(K526="P0","Primary seat + Hashlight/Lucerna","Seat lane")</x:f>
        <x:v>Seat lane</x:v>
      </x:c>
      <x:c r="AA526" s="12" t="str">
        <x:f>IF(R526="","no_claim_delta","claim_delta_present")</x:f>
        <x:v>no_claim_delta</x:v>
      </x:c>
      <x:c r="AB526" s="12" t="str">
        <x:f>IF(S526="","no_contradiction_delta","contradiction_delta_present")</x:f>
        <x:v>no_contradiction_delta</x:v>
      </x:c>
      <x:c r="AC526" s="12" t="str">
        <x:f>IF(OR(ISNUMBER(SEARCH("hacker",LOWER(F526&amp;" "&amp;H526&amp;" "&amp;I526&amp;" "&amp;M526&amp;" "&amp;N526&amp;" "&amp;T526))),ISNUMBER(SEARCH("hacking",LOWER(F526&amp;" "&amp;H526&amp;" "&amp;I526&amp;" "&amp;M526&amp;" "&amp;N526&amp;" "&amp;T526))),ISNUMBER(SEARCH("bank",LOWER(F526&amp;" "&amp;H526&amp;" "&amp;I526&amp;" "&amp;M526&amp;" "&amp;N526&amp;" "&amp;T526))),ISNUMBER(SEARCH("banking",LOWER(F526&amp;" "&amp;H526&amp;" "&amp;I526&amp;" "&amp;M526&amp;" "&amp;N526&amp;" "&amp;T526)))),"PRIVATE_QUARANTINE",IF(OR(ISNUMBER(SEARCH("treasury",LOWER(F526&amp;" "&amp;H526&amp;" "&amp;I526&amp;" "&amp;M526&amp;" "&amp;N526&amp;" "&amp;T526))),ISNUMBER(SEARCH("debt",LOWER(F526&amp;" "&amp;H526&amp;" "&amp;I526&amp;" "&amp;M526&amp;" "&amp;N526&amp;" "&amp;T526))),ISNUMBER(SEARCH("bond",LOWER(F526&amp;" "&amp;H526&amp;" "&amp;I526&amp;" "&amp;M526&amp;" "&amp;N526&amp;" "&amp;T526))),ISNUMBER(SEARCH("transaction",LOWER(F526&amp;" "&amp;H526&amp;" "&amp;I526&amp;" "&amp;M526&amp;" "&amp;N526&amp;" "&amp;T526)))),"PRIVATE_REVIEW","PUBLIC_CANDIDATE"))</x:f>
        <x:v>PUBLIC_CANDIDATE</x:v>
      </x:c>
      <x:c r="AD526" s="12" t="str">
        <x:f>IF(AC526="PRIVATE_QUARANTINE","hacker_or_bank_trigger",IF(AC526="PRIVATE_REVIEW","finance_risk_trigger","none"))</x:f>
        <x:v>none</x:v>
      </x:c>
      <x:c r="AE526" s="12" t="str">
        <x:f>IF(AC526="PUBLIC_CANDIDATE","prepare_public_github_candidate",IF(AC526="PRIVATE_REVIEW","hold_for_private_review","quarantine_private_do_not_publish"))</x:f>
        <x:v>prepare_public_github_candidate</x:v>
      </x:c>
      <x:c r="AF526" s="12" t="str">
        <x:f>IF(AC526="PUBLIC_CANDIDATE","TIDELOCK + Lucerna",IF(AC526="PRIVATE_REVIEW","AtlasBrain + Lucerna","TIDELOCK + Lucerna + Human-root"))</x:f>
        <x:v>TIDELOCK + Lucerna</x:v>
      </x:c>
      <x:c r="AG526" s="12" t="str">
        <x:f>IF(AND(AC526="PUBLIC_CANDIDATE",U526&lt;&gt;"BLOCKED_PENDING_RECEIPT"),"READY_AFTER_RECEIPT","NOT_READY")</x:f>
        <x:v>NOT_READY</x:v>
      </x:c>
      <x:c r="AH526" s="12" t="str">
        <x:f>IF(AC526="PUBLIC_CANDIDATE","none",AD526)</x:f>
        <x:v>none</x:v>
      </x:c>
      <x:c r="AI526" s="12" t="str">
        <x:f>IF(AC526="PUBLIC_CANDIDATE","archive/public_candidates/"&amp;A526,"private_quarantine/"&amp;A526)</x:f>
        <x:v>archive/public_candidates/SWARM-04-H08-S09</x:v>
      </x:c>
      <x:c r="AJ526" s="12" t="str">
        <x:f>IF(AC526="PUBLIC_CANDIDATE","public by default; still not canon","private/hold; do not publish")</x:f>
        <x:v>public by default; still not canon</x:v>
      </x:c>
      <x:c r="AK526" s="12" t="str">
        <x:f>IF(AE526="prepare_public_github_candidate","add receipt/status then mirror","resolve blocker before any public GitHub action")</x:f>
        <x:v>add receipt/status then mirror</x:v>
      </x:c>
    </x:row>
    <x:row r="527">
      <x:c r="A527" s="15" t="str">
        <x:v>SWARM-04-H08-S10</x:v>
      </x:c>
      <x:c r="B527" s="15" t="str">
        <x:v>Tidelock</x:v>
      </x:c>
      <x:c r="C527" s="15" t="str">
        <x:v>Access blocker keeper</x:v>
      </x:c>
      <x:c r="D527" s="15" t="str">
        <x:v>Graph Edge Proposals</x:v>
      </x:c>
      <x:c r="E527" s="15" t="str">
        <x:v>Human-Root</x:v>
      </x:c>
      <x:c r="F527" s="15" t="str">
        <x:v>Propose graph edges for Human-Root — Tidelock</x:v>
      </x:c>
      <x:c r="G527" s="15" t="str">
        <x:v>missing access / blocker ledger / next safe action</x:v>
      </x:c>
      <x:c r="H527" s="15" t="str">
        <x:v>source path + receipt + raw/export status + claim/edge/risk delta</x:v>
      </x:c>
      <x:c r="I527" s="15" t="str">
        <x:v>packet/SWARM-04-H08-S10</x:v>
      </x:c>
      <x:c r="J527" s="15" t="str">
        <x:v>TODO</x:v>
      </x:c>
      <x:c r="K527" s="15" t="str">
        <x:v>P2</x:v>
      </x:c>
      <x:c r="L527" s="15" t="str">
        <x:v>Done only when evidence is logged, contradiction search is noted, and boundary stamp remains non-canon unless ratified</x:v>
      </x:c>
      <x:c r="M527" s="15" t="str">
        <x:v>candidate / staging-only / not canon / not deployed / authority none</x:v>
      </x:c>
      <x:c r="N527" s="15" t="str">
        <x:v>Dispatch to Tidelock: complete Graph Edge Proposals x Human-Root; return deltas only, receipts required.</x:v>
      </x:c>
      <x:c r="O527" s="15" t="str">
        <x:v>AF-KG-H08-S10</x:v>
      </x:c>
      <x:c r="P527" s="15" t="str">
        <x:v>Unverified</x:v>
      </x:c>
      <x:c r="Q527" s="15" t="str">
        <x:v>Not checked</x:v>
      </x:c>
      <x:c r="R527" s="15" t="str"/>
      <x:c r="S527" s="15" t="str"/>
      <x:c r="T527" s="15" t="str">
        <x:v>Log first source path or blocker</x:v>
      </x:c>
      <x:c r="U527" s="12" t="str">
        <x:f>IF(OR(P527="Unverified",Q527="Not checked"),"BLOCKED_PENDING_RECEIPT","READY_FOR_REVIEW")</x:f>
        <x:v>BLOCKED_PENDING_RECEIPT</x:v>
      </x:c>
      <x:c r="V527" s="12" t="str">
        <x:f>IF(J527="DONE","RETURNED",IF(U527="BLOCKED_PENDING_RECEIPT","SOURCE_TOUCH_REQUIRED","IN_PROGRESS"))</x:f>
        <x:v>SOURCE_TOUCH_REQUIRED</x:v>
      </x:c>
      <x:c r="W527" s="12" t="str">
        <x:f>IF(P527="Unverified","missing_receipt","receipt_logged")</x:f>
        <x:v>missing_receipt</x:v>
      </x:c>
      <x:c r="X527" s="12" t="str">
        <x:f>IF(Q527="Not checked","raw_status_missing","raw_status_logged")</x:f>
        <x:v>raw_status_missing</x:v>
      </x:c>
      <x:c r="Y527" s="12" t="str">
        <x:f>IF(U527="BLOCKED_PENDING_RECEIPT","Log source path or blocker; do not promote","Route to review lane")</x:f>
        <x:v>Log source path or blocker; do not promote</x:v>
      </x:c>
      <x:c r="Z527" s="12" t="str">
        <x:f>IF(K527="P0","Primary seat + Hashlight/Lucerna","Seat lane")</x:f>
        <x:v>Seat lane</x:v>
      </x:c>
      <x:c r="AA527" s="12" t="str">
        <x:f>IF(R527="","no_claim_delta","claim_delta_present")</x:f>
        <x:v>no_claim_delta</x:v>
      </x:c>
      <x:c r="AB527" s="12" t="str">
        <x:f>IF(S527="","no_contradiction_delta","contradiction_delta_present")</x:f>
        <x:v>no_contradiction_delta</x:v>
      </x:c>
      <x:c r="AC527" s="12" t="str">
        <x:f>IF(OR(ISNUMBER(SEARCH("hacker",LOWER(F527&amp;" "&amp;H527&amp;" "&amp;I527&amp;" "&amp;M527&amp;" "&amp;N527&amp;" "&amp;T527))),ISNUMBER(SEARCH("hacking",LOWER(F527&amp;" "&amp;H527&amp;" "&amp;I527&amp;" "&amp;M527&amp;" "&amp;N527&amp;" "&amp;T527))),ISNUMBER(SEARCH("bank",LOWER(F527&amp;" "&amp;H527&amp;" "&amp;I527&amp;" "&amp;M527&amp;" "&amp;N527&amp;" "&amp;T527))),ISNUMBER(SEARCH("banking",LOWER(F527&amp;" "&amp;H527&amp;" "&amp;I527&amp;" "&amp;M527&amp;" "&amp;N527&amp;" "&amp;T527)))),"PRIVATE_QUARANTINE",IF(OR(ISNUMBER(SEARCH("treasury",LOWER(F527&amp;" "&amp;H527&amp;" "&amp;I527&amp;" "&amp;M527&amp;" "&amp;N527&amp;" "&amp;T527))),ISNUMBER(SEARCH("debt",LOWER(F527&amp;" "&amp;H527&amp;" "&amp;I527&amp;" "&amp;M527&amp;" "&amp;N527&amp;" "&amp;T527))),ISNUMBER(SEARCH("bond",LOWER(F527&amp;" "&amp;H527&amp;" "&amp;I527&amp;" "&amp;M527&amp;" "&amp;N527&amp;" "&amp;T527))),ISNUMBER(SEARCH("transaction",LOWER(F527&amp;" "&amp;H527&amp;" "&amp;I527&amp;" "&amp;M527&amp;" "&amp;N527&amp;" "&amp;T527)))),"PRIVATE_REVIEW","PUBLIC_CANDIDATE"))</x:f>
        <x:v>PUBLIC_CANDIDATE</x:v>
      </x:c>
      <x:c r="AD527" s="12" t="str">
        <x:f>IF(AC527="PRIVATE_QUARANTINE","hacker_or_bank_trigger",IF(AC527="PRIVATE_REVIEW","finance_risk_trigger","none"))</x:f>
        <x:v>none</x:v>
      </x:c>
      <x:c r="AE527" s="12" t="str">
        <x:f>IF(AC527="PUBLIC_CANDIDATE","prepare_public_github_candidate",IF(AC527="PRIVATE_REVIEW","hold_for_private_review","quarantine_private_do_not_publish"))</x:f>
        <x:v>prepare_public_github_candidate</x:v>
      </x:c>
      <x:c r="AF527" s="12" t="str">
        <x:f>IF(AC527="PUBLIC_CANDIDATE","TIDELOCK + Lucerna",IF(AC527="PRIVATE_REVIEW","AtlasBrain + Lucerna","TIDELOCK + Lucerna + Human-root"))</x:f>
        <x:v>TIDELOCK + Lucerna</x:v>
      </x:c>
      <x:c r="AG527" s="12" t="str">
        <x:f>IF(AND(AC527="PUBLIC_CANDIDATE",U527&lt;&gt;"BLOCKED_PENDING_RECEIPT"),"READY_AFTER_RECEIPT","NOT_READY")</x:f>
        <x:v>NOT_READY</x:v>
      </x:c>
      <x:c r="AH527" s="12" t="str">
        <x:f>IF(AC527="PUBLIC_CANDIDATE","none",AD527)</x:f>
        <x:v>none</x:v>
      </x:c>
      <x:c r="AI527" s="12" t="str">
        <x:f>IF(AC527="PUBLIC_CANDIDATE","archive/public_candidates/"&amp;A527,"private_quarantine/"&amp;A527)</x:f>
        <x:v>archive/public_candidates/SWARM-04-H08-S10</x:v>
      </x:c>
      <x:c r="AJ527" s="12" t="str">
        <x:f>IF(AC527="PUBLIC_CANDIDATE","public by default; still not canon","private/hold; do not publish")</x:f>
        <x:v>public by default; still not canon</x:v>
      </x:c>
      <x:c r="AK527" s="12" t="str">
        <x:f>IF(AE527="prepare_public_github_candidate","add receipt/status then mirror","resolve blocker before any public GitHub action")</x:f>
        <x:v>add receipt/status then mirror</x:v>
      </x:c>
    </x:row>
    <x:row r="528">
      <x:c r="A528" s="15" t="str">
        <x:v>SWARM-04-H08-S11</x:v>
      </x:c>
      <x:c r="B528" s="15" t="str">
        <x:v>Tidelock</x:v>
      </x:c>
      <x:c r="C528" s="15" t="str">
        <x:v>Access blocker keeper</x:v>
      </x:c>
      <x:c r="D528" s="15" t="str">
        <x:v>Graph Edge Proposals</x:v>
      </x:c>
      <x:c r="E528" s="15" t="str">
        <x:v>Automation</x:v>
      </x:c>
      <x:c r="F528" s="15" t="str">
        <x:v>Propose graph edges for Automation — Tidelock</x:v>
      </x:c>
      <x:c r="G528" s="15" t="str">
        <x:v>missing access / blocker ledger / next safe action</x:v>
      </x:c>
      <x:c r="H528" s="15" t="str">
        <x:v>source path + receipt + raw/export status + claim/edge/risk delta</x:v>
      </x:c>
      <x:c r="I528" s="15" t="str">
        <x:v>packet/SWARM-04-H08-S11</x:v>
      </x:c>
      <x:c r="J528" s="15" t="str">
        <x:v>TODO</x:v>
      </x:c>
      <x:c r="K528" s="15" t="str">
        <x:v>P2</x:v>
      </x:c>
      <x:c r="L528" s="15" t="str">
        <x:v>Done only when evidence is logged, contradiction search is noted, and boundary stamp remains non-canon unless ratified</x:v>
      </x:c>
      <x:c r="M528" s="15" t="str">
        <x:v>candidate / staging-only / not canon / not deployed / authority none</x:v>
      </x:c>
      <x:c r="N528" s="15" t="str">
        <x:v>Dispatch to Tidelock: complete Graph Edge Proposals x Automation; return deltas only, receipts required.</x:v>
      </x:c>
      <x:c r="O528" s="15" t="str">
        <x:v>AF-KG-H08-S11</x:v>
      </x:c>
      <x:c r="P528" s="15" t="str">
        <x:v>Unverified</x:v>
      </x:c>
      <x:c r="Q528" s="15" t="str">
        <x:v>Not checked</x:v>
      </x:c>
      <x:c r="R528" s="15" t="str"/>
      <x:c r="S528" s="15" t="str"/>
      <x:c r="T528" s="15" t="str">
        <x:v>Log first source path or blocker</x:v>
      </x:c>
      <x:c r="U528" s="12" t="str">
        <x:f>IF(OR(P528="Unverified",Q528="Not checked"),"BLOCKED_PENDING_RECEIPT","READY_FOR_REVIEW")</x:f>
        <x:v>BLOCKED_PENDING_RECEIPT</x:v>
      </x:c>
      <x:c r="V528" s="12" t="str">
        <x:f>IF(J528="DONE","RETURNED",IF(U528="BLOCKED_PENDING_RECEIPT","SOURCE_TOUCH_REQUIRED","IN_PROGRESS"))</x:f>
        <x:v>SOURCE_TOUCH_REQUIRED</x:v>
      </x:c>
      <x:c r="W528" s="12" t="str">
        <x:f>IF(P528="Unverified","missing_receipt","receipt_logged")</x:f>
        <x:v>missing_receipt</x:v>
      </x:c>
      <x:c r="X528" s="12" t="str">
        <x:f>IF(Q528="Not checked","raw_status_missing","raw_status_logged")</x:f>
        <x:v>raw_status_missing</x:v>
      </x:c>
      <x:c r="Y528" s="12" t="str">
        <x:f>IF(U528="BLOCKED_PENDING_RECEIPT","Log source path or blocker; do not promote","Route to review lane")</x:f>
        <x:v>Log source path or blocker; do not promote</x:v>
      </x:c>
      <x:c r="Z528" s="12" t="str">
        <x:f>IF(K528="P0","Primary seat + Hashlight/Lucerna","Seat lane")</x:f>
        <x:v>Seat lane</x:v>
      </x:c>
      <x:c r="AA528" s="12" t="str">
        <x:f>IF(R528="","no_claim_delta","claim_delta_present")</x:f>
        <x:v>no_claim_delta</x:v>
      </x:c>
      <x:c r="AB528" s="12" t="str">
        <x:f>IF(S528="","no_contradiction_delta","contradiction_delta_present")</x:f>
        <x:v>no_contradiction_delta</x:v>
      </x:c>
      <x:c r="AC528" s="12" t="str">
        <x:f>IF(OR(ISNUMBER(SEARCH("hacker",LOWER(F528&amp;" "&amp;H528&amp;" "&amp;I528&amp;" "&amp;M528&amp;" "&amp;N528&amp;" "&amp;T528))),ISNUMBER(SEARCH("hacking",LOWER(F528&amp;" "&amp;H528&amp;" "&amp;I528&amp;" "&amp;M528&amp;" "&amp;N528&amp;" "&amp;T528))),ISNUMBER(SEARCH("bank",LOWER(F528&amp;" "&amp;H528&amp;" "&amp;I528&amp;" "&amp;M528&amp;" "&amp;N528&amp;" "&amp;T528))),ISNUMBER(SEARCH("banking",LOWER(F528&amp;" "&amp;H528&amp;" "&amp;I528&amp;" "&amp;M528&amp;" "&amp;N528&amp;" "&amp;T528)))),"PRIVATE_QUARANTINE",IF(OR(ISNUMBER(SEARCH("treasury",LOWER(F528&amp;" "&amp;H528&amp;" "&amp;I528&amp;" "&amp;M528&amp;" "&amp;N528&amp;" "&amp;T528))),ISNUMBER(SEARCH("debt",LOWER(F528&amp;" "&amp;H528&amp;" "&amp;I528&amp;" "&amp;M528&amp;" "&amp;N528&amp;" "&amp;T528))),ISNUMBER(SEARCH("bond",LOWER(F528&amp;" "&amp;H528&amp;" "&amp;I528&amp;" "&amp;M528&amp;" "&amp;N528&amp;" "&amp;T528))),ISNUMBER(SEARCH("transaction",LOWER(F528&amp;" "&amp;H528&amp;" "&amp;I528&amp;" "&amp;M528&amp;" "&amp;N528&amp;" "&amp;T528)))),"PRIVATE_REVIEW","PUBLIC_CANDIDATE"))</x:f>
        <x:v>PUBLIC_CANDIDATE</x:v>
      </x:c>
      <x:c r="AD528" s="12" t="str">
        <x:f>IF(AC528="PRIVATE_QUARANTINE","hacker_or_bank_trigger",IF(AC528="PRIVATE_REVIEW","finance_risk_trigger","none"))</x:f>
        <x:v>none</x:v>
      </x:c>
      <x:c r="AE528" s="12" t="str">
        <x:f>IF(AC528="PUBLIC_CANDIDATE","prepare_public_github_candidate",IF(AC528="PRIVATE_REVIEW","hold_for_private_review","quarantine_private_do_not_publish"))</x:f>
        <x:v>prepare_public_github_candidate</x:v>
      </x:c>
      <x:c r="AF528" s="12" t="str">
        <x:f>IF(AC528="PUBLIC_CANDIDATE","TIDELOCK + Lucerna",IF(AC528="PRIVATE_REVIEW","AtlasBrain + Lucerna","TIDELOCK + Lucerna + Human-root"))</x:f>
        <x:v>TIDELOCK + Lucerna</x:v>
      </x:c>
      <x:c r="AG528" s="12" t="str">
        <x:f>IF(AND(AC528="PUBLIC_CANDIDATE",U528&lt;&gt;"BLOCKED_PENDING_RECEIPT"),"READY_AFTER_RECEIPT","NOT_READY")</x:f>
        <x:v>NOT_READY</x:v>
      </x:c>
      <x:c r="AH528" s="12" t="str">
        <x:f>IF(AC528="PUBLIC_CANDIDATE","none",AD528)</x:f>
        <x:v>none</x:v>
      </x:c>
      <x:c r="AI528" s="12" t="str">
        <x:f>IF(AC528="PUBLIC_CANDIDATE","archive/public_candidates/"&amp;A528,"private_quarantine/"&amp;A528)</x:f>
        <x:v>archive/public_candidates/SWARM-04-H08-S11</x:v>
      </x:c>
      <x:c r="AJ528" s="12" t="str">
        <x:f>IF(AC528="PUBLIC_CANDIDATE","public by default; still not canon","private/hold; do not publish")</x:f>
        <x:v>public by default; still not canon</x:v>
      </x:c>
      <x:c r="AK528" s="12" t="str">
        <x:f>IF(AE528="prepare_public_github_candidate","add receipt/status then mirror","resolve blocker before any public GitHub action")</x:f>
        <x:v>add receipt/status then mirror</x:v>
      </x:c>
    </x:row>
    <x:row r="529">
      <x:c r="A529" s="15" t="str">
        <x:v>SWARM-04-H08-S12</x:v>
      </x:c>
      <x:c r="B529" s="15" t="str">
        <x:v>Tidelock</x:v>
      </x:c>
      <x:c r="C529" s="15" t="str">
        <x:v>Access blocker keeper</x:v>
      </x:c>
      <x:c r="D529" s="15" t="str">
        <x:v>Graph Edge Proposals</x:v>
      </x:c>
      <x:c r="E529" s="15" t="str">
        <x:v>Risk / Safety</x:v>
      </x:c>
      <x:c r="F529" s="15" t="str">
        <x:v>Propose graph edges for Risk / Safety — Tidelock</x:v>
      </x:c>
      <x:c r="G529" s="15" t="str">
        <x:v>missing access / blocker ledger / next safe action</x:v>
      </x:c>
      <x:c r="H529" s="15" t="str">
        <x:v>source path + receipt + raw/export status + claim/edge/risk delta</x:v>
      </x:c>
      <x:c r="I529" s="15" t="str">
        <x:v>packet/SWARM-04-H08-S12</x:v>
      </x:c>
      <x:c r="J529" s="15" t="str">
        <x:v>TODO</x:v>
      </x:c>
      <x:c r="K529" s="15" t="str">
        <x:v>P2</x:v>
      </x:c>
      <x:c r="L529" s="15" t="str">
        <x:v>Done only when evidence is logged, contradiction search is noted, and boundary stamp remains non-canon unless ratified</x:v>
      </x:c>
      <x:c r="M529" s="15" t="str">
        <x:v>candidate / staging-only / not canon / not deployed / authority none</x:v>
      </x:c>
      <x:c r="N529" s="15" t="str">
        <x:v>Dispatch to Tidelock: complete Graph Edge Proposals x Risk / Safety; return deltas only, receipts required.</x:v>
      </x:c>
      <x:c r="O529" s="15" t="str">
        <x:v>AF-KG-H08-S12</x:v>
      </x:c>
      <x:c r="P529" s="15" t="str">
        <x:v>Unverified</x:v>
      </x:c>
      <x:c r="Q529" s="15" t="str">
        <x:v>Not checked</x:v>
      </x:c>
      <x:c r="R529" s="15" t="str"/>
      <x:c r="S529" s="15" t="str"/>
      <x:c r="T529" s="15" t="str">
        <x:v>Log first source path or blocker</x:v>
      </x:c>
      <x:c r="U529" s="12" t="str">
        <x:f>IF(OR(P529="Unverified",Q529="Not checked"),"BLOCKED_PENDING_RECEIPT","READY_FOR_REVIEW")</x:f>
        <x:v>BLOCKED_PENDING_RECEIPT</x:v>
      </x:c>
      <x:c r="V529" s="12" t="str">
        <x:f>IF(J529="DONE","RETURNED",IF(U529="BLOCKED_PENDING_RECEIPT","SOURCE_TOUCH_REQUIRED","IN_PROGRESS"))</x:f>
        <x:v>SOURCE_TOUCH_REQUIRED</x:v>
      </x:c>
      <x:c r="W529" s="12" t="str">
        <x:f>IF(P529="Unverified","missing_receipt","receipt_logged")</x:f>
        <x:v>missing_receipt</x:v>
      </x:c>
      <x:c r="X529" s="12" t="str">
        <x:f>IF(Q529="Not checked","raw_status_missing","raw_status_logged")</x:f>
        <x:v>raw_status_missing</x:v>
      </x:c>
      <x:c r="Y529" s="12" t="str">
        <x:f>IF(U529="BLOCKED_PENDING_RECEIPT","Log source path or blocker; do not promote","Route to review lane")</x:f>
        <x:v>Log source path or blocker; do not promote</x:v>
      </x:c>
      <x:c r="Z529" s="12" t="str">
        <x:f>IF(K529="P0","Primary seat + Hashlight/Lucerna","Seat lane")</x:f>
        <x:v>Seat lane</x:v>
      </x:c>
      <x:c r="AA529" s="12" t="str">
        <x:f>IF(R529="","no_claim_delta","claim_delta_present")</x:f>
        <x:v>no_claim_delta</x:v>
      </x:c>
      <x:c r="AB529" s="12" t="str">
        <x:f>IF(S529="","no_contradiction_delta","contradiction_delta_present")</x:f>
        <x:v>no_contradiction_delta</x:v>
      </x:c>
      <x:c r="AC529" s="12" t="str">
        <x:f>IF(OR(ISNUMBER(SEARCH("hacker",LOWER(F529&amp;" "&amp;H529&amp;" "&amp;I529&amp;" "&amp;M529&amp;" "&amp;N529&amp;" "&amp;T529))),ISNUMBER(SEARCH("hacking",LOWER(F529&amp;" "&amp;H529&amp;" "&amp;I529&amp;" "&amp;M529&amp;" "&amp;N529&amp;" "&amp;T529))),ISNUMBER(SEARCH("bank",LOWER(F529&amp;" "&amp;H529&amp;" "&amp;I529&amp;" "&amp;M529&amp;" "&amp;N529&amp;" "&amp;T529))),ISNUMBER(SEARCH("banking",LOWER(F529&amp;" "&amp;H529&amp;" "&amp;I529&amp;" "&amp;M529&amp;" "&amp;N529&amp;" "&amp;T529)))),"PRIVATE_QUARANTINE",IF(OR(ISNUMBER(SEARCH("treasury",LOWER(F529&amp;" "&amp;H529&amp;" "&amp;I529&amp;" "&amp;M529&amp;" "&amp;N529&amp;" "&amp;T529))),ISNUMBER(SEARCH("debt",LOWER(F529&amp;" "&amp;H529&amp;" "&amp;I529&amp;" "&amp;M529&amp;" "&amp;N529&amp;" "&amp;T529))),ISNUMBER(SEARCH("bond",LOWER(F529&amp;" "&amp;H529&amp;" "&amp;I529&amp;" "&amp;M529&amp;" "&amp;N529&amp;" "&amp;T529))),ISNUMBER(SEARCH("transaction",LOWER(F529&amp;" "&amp;H529&amp;" "&amp;I529&amp;" "&amp;M529&amp;" "&amp;N529&amp;" "&amp;T529)))),"PRIVATE_REVIEW","PUBLIC_CANDIDATE"))</x:f>
        <x:v>PUBLIC_CANDIDATE</x:v>
      </x:c>
      <x:c r="AD529" s="12" t="str">
        <x:f>IF(AC529="PRIVATE_QUARANTINE","hacker_or_bank_trigger",IF(AC529="PRIVATE_REVIEW","finance_risk_trigger","none"))</x:f>
        <x:v>none</x:v>
      </x:c>
      <x:c r="AE529" s="12" t="str">
        <x:f>IF(AC529="PUBLIC_CANDIDATE","prepare_public_github_candidate",IF(AC529="PRIVATE_REVIEW","hold_for_private_review","quarantine_private_do_not_publish"))</x:f>
        <x:v>prepare_public_github_candidate</x:v>
      </x:c>
      <x:c r="AF529" s="12" t="str">
        <x:f>IF(AC529="PUBLIC_CANDIDATE","TIDELOCK + Lucerna",IF(AC529="PRIVATE_REVIEW","AtlasBrain + Lucerna","TIDELOCK + Lucerna + Human-root"))</x:f>
        <x:v>TIDELOCK + Lucerna</x:v>
      </x:c>
      <x:c r="AG529" s="12" t="str">
        <x:f>IF(AND(AC529="PUBLIC_CANDIDATE",U529&lt;&gt;"BLOCKED_PENDING_RECEIPT"),"READY_AFTER_RECEIPT","NOT_READY")</x:f>
        <x:v>NOT_READY</x:v>
      </x:c>
      <x:c r="AH529" s="12" t="str">
        <x:f>IF(AC529="PUBLIC_CANDIDATE","none",AD529)</x:f>
        <x:v>none</x:v>
      </x:c>
      <x:c r="AI529" s="12" t="str">
        <x:f>IF(AC529="PUBLIC_CANDIDATE","archive/public_candidates/"&amp;A529,"private_quarantine/"&amp;A529)</x:f>
        <x:v>archive/public_candidates/SWARM-04-H08-S12</x:v>
      </x:c>
      <x:c r="AJ529" s="12" t="str">
        <x:f>IF(AC529="PUBLIC_CANDIDATE","public by default; still not canon","private/hold; do not publish")</x:f>
        <x:v>public by default; still not canon</x:v>
      </x:c>
      <x:c r="AK529" s="12" t="str">
        <x:f>IF(AE529="prepare_public_github_candidate","add receipt/status then mirror","resolve blocker before any public GitHub action")</x:f>
        <x:v>add receipt/status then mirror</x:v>
      </x:c>
    </x:row>
    <x:row r="530">
      <x:c r="A530" s="15" t="str">
        <x:v>SWARM-04-H09-S01</x:v>
      </x:c>
      <x:c r="B530" s="15" t="str">
        <x:v>Tidelock</x:v>
      </x:c>
      <x:c r="C530" s="15" t="str">
        <x:v>Access blocker keeper</x:v>
      </x:c>
      <x:c r="D530" s="15" t="str">
        <x:v>Review Queues</x:v>
      </x:c>
      <x:c r="E530" s="15" t="str">
        <x:v>Notion</x:v>
      </x:c>
      <x:c r="F530" s="15" t="str">
        <x:v>Queue review for Notion — Tidelock</x:v>
      </x:c>
      <x:c r="G530" s="15" t="str">
        <x:v>missing access / blocker ledger / next safe action</x:v>
      </x:c>
      <x:c r="H530" s="15" t="str">
        <x:v>source path + receipt + raw/export status + claim/edge/risk delta</x:v>
      </x:c>
      <x:c r="I530" s="15" t="str">
        <x:v>packet/SWARM-04-H09-S01</x:v>
      </x:c>
      <x:c r="J530" s="15" t="str">
        <x:v>TODO</x:v>
      </x:c>
      <x:c r="K530" s="15" t="str">
        <x:v>P0</x:v>
      </x:c>
      <x:c r="L530" s="15" t="str">
        <x:v>Done only when evidence is logged, contradiction search is noted, and boundary stamp remains non-canon unless ratified</x:v>
      </x:c>
      <x:c r="M530" s="15" t="str">
        <x:v>candidate / staging-only / not canon / not deployed / authority none</x:v>
      </x:c>
      <x:c r="N530" s="15" t="str">
        <x:v>Dispatch to Tidelock: complete Review Queues x Notion; return deltas only, receipts required.</x:v>
      </x:c>
      <x:c r="O530" s="15" t="str">
        <x:v>AF-KG-H09-S01</x:v>
      </x:c>
      <x:c r="P530" s="15" t="str">
        <x:v>Unverified</x:v>
      </x:c>
      <x:c r="Q530" s="15" t="str">
        <x:v>Not checked</x:v>
      </x:c>
      <x:c r="R530" s="15" t="str"/>
      <x:c r="S530" s="15" t="str"/>
      <x:c r="T530" s="15" t="str">
        <x:v>Log first source path or blocker</x:v>
      </x:c>
      <x:c r="U530" s="12" t="str">
        <x:f>IF(OR(P530="Unverified",Q530="Not checked"),"BLOCKED_PENDING_RECEIPT","READY_FOR_REVIEW")</x:f>
        <x:v>BLOCKED_PENDING_RECEIPT</x:v>
      </x:c>
      <x:c r="V530" s="12" t="str">
        <x:f>IF(J530="DONE","RETURNED",IF(U530="BLOCKED_PENDING_RECEIPT","SOURCE_TOUCH_REQUIRED","IN_PROGRESS"))</x:f>
        <x:v>SOURCE_TOUCH_REQUIRED</x:v>
      </x:c>
      <x:c r="W530" s="12" t="str">
        <x:f>IF(P530="Unverified","missing_receipt","receipt_logged")</x:f>
        <x:v>missing_receipt</x:v>
      </x:c>
      <x:c r="X530" s="12" t="str">
        <x:f>IF(Q530="Not checked","raw_status_missing","raw_status_logged")</x:f>
        <x:v>raw_status_missing</x:v>
      </x:c>
      <x:c r="Y530" s="12" t="str">
        <x:f>IF(U530="BLOCKED_PENDING_RECEIPT","Log source path or blocker; do not promote","Route to review lane")</x:f>
        <x:v>Log source path or blocker; do not promote</x:v>
      </x:c>
      <x:c r="Z530" s="12" t="str">
        <x:f>IF(K530="P0","Primary seat + Hashlight/Lucerna","Seat lane")</x:f>
        <x:v>Primary seat + Hashlight/Lucerna</x:v>
      </x:c>
      <x:c r="AA530" s="12" t="str">
        <x:f>IF(R530="","no_claim_delta","claim_delta_present")</x:f>
        <x:v>no_claim_delta</x:v>
      </x:c>
      <x:c r="AB530" s="12" t="str">
        <x:f>IF(S530="","no_contradiction_delta","contradiction_delta_present")</x:f>
        <x:v>no_contradiction_delta</x:v>
      </x:c>
      <x:c r="AC530" s="12" t="str">
        <x:f>IF(OR(ISNUMBER(SEARCH("hacker",LOWER(F530&amp;" "&amp;H530&amp;" "&amp;I530&amp;" "&amp;M530&amp;" "&amp;N530&amp;" "&amp;T530))),ISNUMBER(SEARCH("hacking",LOWER(F530&amp;" "&amp;H530&amp;" "&amp;I530&amp;" "&amp;M530&amp;" "&amp;N530&amp;" "&amp;T530))),ISNUMBER(SEARCH("bank",LOWER(F530&amp;" "&amp;H530&amp;" "&amp;I530&amp;" "&amp;M530&amp;" "&amp;N530&amp;" "&amp;T530))),ISNUMBER(SEARCH("banking",LOWER(F530&amp;" "&amp;H530&amp;" "&amp;I530&amp;" "&amp;M530&amp;" "&amp;N530&amp;" "&amp;T530)))),"PRIVATE_QUARANTINE",IF(OR(ISNUMBER(SEARCH("treasury",LOWER(F530&amp;" "&amp;H530&amp;" "&amp;I530&amp;" "&amp;M530&amp;" "&amp;N530&amp;" "&amp;T530))),ISNUMBER(SEARCH("debt",LOWER(F530&amp;" "&amp;H530&amp;" "&amp;I530&amp;" "&amp;M530&amp;" "&amp;N530&amp;" "&amp;T530))),ISNUMBER(SEARCH("bond",LOWER(F530&amp;" "&amp;H530&amp;" "&amp;I530&amp;" "&amp;M530&amp;" "&amp;N530&amp;" "&amp;T530))),ISNUMBER(SEARCH("transaction",LOWER(F530&amp;" "&amp;H530&amp;" "&amp;I530&amp;" "&amp;M530&amp;" "&amp;N530&amp;" "&amp;T530)))),"PRIVATE_REVIEW","PUBLIC_CANDIDATE"))</x:f>
        <x:v>PUBLIC_CANDIDATE</x:v>
      </x:c>
      <x:c r="AD530" s="12" t="str">
        <x:f>IF(AC530="PRIVATE_QUARANTINE","hacker_or_bank_trigger",IF(AC530="PRIVATE_REVIEW","finance_risk_trigger","none"))</x:f>
        <x:v>none</x:v>
      </x:c>
      <x:c r="AE530" s="12" t="str">
        <x:f>IF(AC530="PUBLIC_CANDIDATE","prepare_public_github_candidate",IF(AC530="PRIVATE_REVIEW","hold_for_private_review","quarantine_private_do_not_publish"))</x:f>
        <x:v>prepare_public_github_candidate</x:v>
      </x:c>
      <x:c r="AF530" s="12" t="str">
        <x:f>IF(AC530="PUBLIC_CANDIDATE","TIDELOCK + Lucerna",IF(AC530="PRIVATE_REVIEW","AtlasBrain + Lucerna","TIDELOCK + Lucerna + Human-root"))</x:f>
        <x:v>TIDELOCK + Lucerna</x:v>
      </x:c>
      <x:c r="AG530" s="12" t="str">
        <x:f>IF(AND(AC530="PUBLIC_CANDIDATE",U530&lt;&gt;"BLOCKED_PENDING_RECEIPT"),"READY_AFTER_RECEIPT","NOT_READY")</x:f>
        <x:v>NOT_READY</x:v>
      </x:c>
      <x:c r="AH530" s="12" t="str">
        <x:f>IF(AC530="PUBLIC_CANDIDATE","none",AD530)</x:f>
        <x:v>none</x:v>
      </x:c>
      <x:c r="AI530" s="12" t="str">
        <x:f>IF(AC530="PUBLIC_CANDIDATE","archive/public_candidates/"&amp;A530,"private_quarantine/"&amp;A530)</x:f>
        <x:v>archive/public_candidates/SWARM-04-H09-S01</x:v>
      </x:c>
      <x:c r="AJ530" s="12" t="str">
        <x:f>IF(AC530="PUBLIC_CANDIDATE","public by default; still not canon","private/hold; do not publish")</x:f>
        <x:v>public by default; still not canon</x:v>
      </x:c>
      <x:c r="AK530" s="12" t="str">
        <x:f>IF(AE530="prepare_public_github_candidate","add receipt/status then mirror","resolve blocker before any public GitHub action")</x:f>
        <x:v>add receipt/status then mirror</x:v>
      </x:c>
    </x:row>
    <x:row r="531">
      <x:c r="A531" s="15" t="str">
        <x:v>SWARM-04-H09-S02</x:v>
      </x:c>
      <x:c r="B531" s="15" t="str">
        <x:v>Tidelock</x:v>
      </x:c>
      <x:c r="C531" s="15" t="str">
        <x:v>Access blocker keeper</x:v>
      </x:c>
      <x:c r="D531" s="15" t="str">
        <x:v>Review Queues</x:v>
      </x:c>
      <x:c r="E531" s="15" t="str">
        <x:v>Drive</x:v>
      </x:c>
      <x:c r="F531" s="15" t="str">
        <x:v>Queue review for Drive — Tidelock</x:v>
      </x:c>
      <x:c r="G531" s="15" t="str">
        <x:v>missing access / blocker ledger / next safe action</x:v>
      </x:c>
      <x:c r="H531" s="15" t="str">
        <x:v>source path + receipt + raw/export status + claim/edge/risk delta</x:v>
      </x:c>
      <x:c r="I531" s="15" t="str">
        <x:v>packet/SWARM-04-H09-S02</x:v>
      </x:c>
      <x:c r="J531" s="15" t="str">
        <x:v>TODO</x:v>
      </x:c>
      <x:c r="K531" s="15" t="str">
        <x:v>P0</x:v>
      </x:c>
      <x:c r="L531" s="15" t="str">
        <x:v>Done only when evidence is logged, contradiction search is noted, and boundary stamp remains non-canon unless ratified</x:v>
      </x:c>
      <x:c r="M531" s="15" t="str">
        <x:v>candidate / staging-only / not canon / not deployed / authority none</x:v>
      </x:c>
      <x:c r="N531" s="15" t="str">
        <x:v>Dispatch to Tidelock: complete Review Queues x Drive; return deltas only, receipts required.</x:v>
      </x:c>
      <x:c r="O531" s="15" t="str">
        <x:v>AF-KG-H09-S02</x:v>
      </x:c>
      <x:c r="P531" s="15" t="str">
        <x:v>Unverified</x:v>
      </x:c>
      <x:c r="Q531" s="15" t="str">
        <x:v>Not checked</x:v>
      </x:c>
      <x:c r="R531" s="15" t="str"/>
      <x:c r="S531" s="15" t="str"/>
      <x:c r="T531" s="15" t="str">
        <x:v>Log first source path or blocker</x:v>
      </x:c>
      <x:c r="U531" s="12" t="str">
        <x:f>IF(OR(P531="Unverified",Q531="Not checked"),"BLOCKED_PENDING_RECEIPT","READY_FOR_REVIEW")</x:f>
        <x:v>BLOCKED_PENDING_RECEIPT</x:v>
      </x:c>
      <x:c r="V531" s="12" t="str">
        <x:f>IF(J531="DONE","RETURNED",IF(U531="BLOCKED_PENDING_RECEIPT","SOURCE_TOUCH_REQUIRED","IN_PROGRESS"))</x:f>
        <x:v>SOURCE_TOUCH_REQUIRED</x:v>
      </x:c>
      <x:c r="W531" s="12" t="str">
        <x:f>IF(P531="Unverified","missing_receipt","receipt_logged")</x:f>
        <x:v>missing_receipt</x:v>
      </x:c>
      <x:c r="X531" s="12" t="str">
        <x:f>IF(Q531="Not checked","raw_status_missing","raw_status_logged")</x:f>
        <x:v>raw_status_missing</x:v>
      </x:c>
      <x:c r="Y531" s="12" t="str">
        <x:f>IF(U531="BLOCKED_PENDING_RECEIPT","Log source path or blocker; do not promote","Route to review lane")</x:f>
        <x:v>Log source path or blocker; do not promote</x:v>
      </x:c>
      <x:c r="Z531" s="12" t="str">
        <x:f>IF(K531="P0","Primary seat + Hashlight/Lucerna","Seat lane")</x:f>
        <x:v>Primary seat + Hashlight/Lucerna</x:v>
      </x:c>
      <x:c r="AA531" s="12" t="str">
        <x:f>IF(R531="","no_claim_delta","claim_delta_present")</x:f>
        <x:v>no_claim_delta</x:v>
      </x:c>
      <x:c r="AB531" s="12" t="str">
        <x:f>IF(S531="","no_contradiction_delta","contradiction_delta_present")</x:f>
        <x:v>no_contradiction_delta</x:v>
      </x:c>
      <x:c r="AC531" s="12" t="str">
        <x:f>IF(OR(ISNUMBER(SEARCH("hacker",LOWER(F531&amp;" "&amp;H531&amp;" "&amp;I531&amp;" "&amp;M531&amp;" "&amp;N531&amp;" "&amp;T531))),ISNUMBER(SEARCH("hacking",LOWER(F531&amp;" "&amp;H531&amp;" "&amp;I531&amp;" "&amp;M531&amp;" "&amp;N531&amp;" "&amp;T531))),ISNUMBER(SEARCH("bank",LOWER(F531&amp;" "&amp;H531&amp;" "&amp;I531&amp;" "&amp;M531&amp;" "&amp;N531&amp;" "&amp;T531))),ISNUMBER(SEARCH("banking",LOWER(F531&amp;" "&amp;H531&amp;" "&amp;I531&amp;" "&amp;M531&amp;" "&amp;N531&amp;" "&amp;T531)))),"PRIVATE_QUARANTINE",IF(OR(ISNUMBER(SEARCH("treasury",LOWER(F531&amp;" "&amp;H531&amp;" "&amp;I531&amp;" "&amp;M531&amp;" "&amp;N531&amp;" "&amp;T531))),ISNUMBER(SEARCH("debt",LOWER(F531&amp;" "&amp;H531&amp;" "&amp;I531&amp;" "&amp;M531&amp;" "&amp;N531&amp;" "&amp;T531))),ISNUMBER(SEARCH("bond",LOWER(F531&amp;" "&amp;H531&amp;" "&amp;I531&amp;" "&amp;M531&amp;" "&amp;N531&amp;" "&amp;T531))),ISNUMBER(SEARCH("transaction",LOWER(F531&amp;" "&amp;H531&amp;" "&amp;I531&amp;" "&amp;M531&amp;" "&amp;N531&amp;" "&amp;T531)))),"PRIVATE_REVIEW","PUBLIC_CANDIDATE"))</x:f>
        <x:v>PUBLIC_CANDIDATE</x:v>
      </x:c>
      <x:c r="AD531" s="12" t="str">
        <x:f>IF(AC531="PRIVATE_QUARANTINE","hacker_or_bank_trigger",IF(AC531="PRIVATE_REVIEW","finance_risk_trigger","none"))</x:f>
        <x:v>none</x:v>
      </x:c>
      <x:c r="AE531" s="12" t="str">
        <x:f>IF(AC531="PUBLIC_CANDIDATE","prepare_public_github_candidate",IF(AC531="PRIVATE_REVIEW","hold_for_private_review","quarantine_private_do_not_publish"))</x:f>
        <x:v>prepare_public_github_candidate</x:v>
      </x:c>
      <x:c r="AF531" s="12" t="str">
        <x:f>IF(AC531="PUBLIC_CANDIDATE","TIDELOCK + Lucerna",IF(AC531="PRIVATE_REVIEW","AtlasBrain + Lucerna","TIDELOCK + Lucerna + Human-root"))</x:f>
        <x:v>TIDELOCK + Lucerna</x:v>
      </x:c>
      <x:c r="AG531" s="12" t="str">
        <x:f>IF(AND(AC531="PUBLIC_CANDIDATE",U531&lt;&gt;"BLOCKED_PENDING_RECEIPT"),"READY_AFTER_RECEIPT","NOT_READY")</x:f>
        <x:v>NOT_READY</x:v>
      </x:c>
      <x:c r="AH531" s="12" t="str">
        <x:f>IF(AC531="PUBLIC_CANDIDATE","none",AD531)</x:f>
        <x:v>none</x:v>
      </x:c>
      <x:c r="AI531" s="12" t="str">
        <x:f>IF(AC531="PUBLIC_CANDIDATE","archive/public_candidates/"&amp;A531,"private_quarantine/"&amp;A531)</x:f>
        <x:v>archive/public_candidates/SWARM-04-H09-S02</x:v>
      </x:c>
      <x:c r="AJ531" s="12" t="str">
        <x:f>IF(AC531="PUBLIC_CANDIDATE","public by default; still not canon","private/hold; do not publish")</x:f>
        <x:v>public by default; still not canon</x:v>
      </x:c>
      <x:c r="AK531" s="12" t="str">
        <x:f>IF(AE531="prepare_public_github_candidate","add receipt/status then mirror","resolve blocker before any public GitHub action")</x:f>
        <x:v>add receipt/status then mirror</x:v>
      </x:c>
    </x:row>
    <x:row r="532">
      <x:c r="A532" s="15" t="str">
        <x:v>SWARM-04-H09-S03</x:v>
      </x:c>
      <x:c r="B532" s="15" t="str">
        <x:v>Tidelock</x:v>
      </x:c>
      <x:c r="C532" s="15" t="str">
        <x:v>Access blocker keeper</x:v>
      </x:c>
      <x:c r="D532" s="15" t="str">
        <x:v>Review Queues</x:v>
      </x:c>
      <x:c r="E532" s="15" t="str">
        <x:v>GitHub</x:v>
      </x:c>
      <x:c r="F532" s="15" t="str">
        <x:v>Queue review for GitHub — Tidelock</x:v>
      </x:c>
      <x:c r="G532" s="15" t="str">
        <x:v>missing access / blocker ledger / next safe action</x:v>
      </x:c>
      <x:c r="H532" s="15" t="str">
        <x:v>source path + receipt + raw/export status + claim/edge/risk delta</x:v>
      </x:c>
      <x:c r="I532" s="15" t="str">
        <x:v>packet/SWARM-04-H09-S03</x:v>
      </x:c>
      <x:c r="J532" s="15" t="str">
        <x:v>TODO</x:v>
      </x:c>
      <x:c r="K532" s="15" t="str">
        <x:v>P0</x:v>
      </x:c>
      <x:c r="L532" s="15" t="str">
        <x:v>Done only when evidence is logged, contradiction search is noted, and boundary stamp remains non-canon unless ratified</x:v>
      </x:c>
      <x:c r="M532" s="15" t="str">
        <x:v>candidate / staging-only / not canon / not deployed / authority none</x:v>
      </x:c>
      <x:c r="N532" s="15" t="str">
        <x:v>Dispatch to Tidelock: complete Review Queues x GitHub; return deltas only, receipts required.</x:v>
      </x:c>
      <x:c r="O532" s="15" t="str">
        <x:v>AF-KG-H09-S03</x:v>
      </x:c>
      <x:c r="P532" s="15" t="str">
        <x:v>Unverified</x:v>
      </x:c>
      <x:c r="Q532" s="15" t="str">
        <x:v>Not checked</x:v>
      </x:c>
      <x:c r="R532" s="15" t="str"/>
      <x:c r="S532" s="15" t="str"/>
      <x:c r="T532" s="15" t="str">
        <x:v>Log first source path or blocker</x:v>
      </x:c>
      <x:c r="U532" s="12" t="str">
        <x:f>IF(OR(P532="Unverified",Q532="Not checked"),"BLOCKED_PENDING_RECEIPT","READY_FOR_REVIEW")</x:f>
        <x:v>BLOCKED_PENDING_RECEIPT</x:v>
      </x:c>
      <x:c r="V532" s="12" t="str">
        <x:f>IF(J532="DONE","RETURNED",IF(U532="BLOCKED_PENDING_RECEIPT","SOURCE_TOUCH_REQUIRED","IN_PROGRESS"))</x:f>
        <x:v>SOURCE_TOUCH_REQUIRED</x:v>
      </x:c>
      <x:c r="W532" s="12" t="str">
        <x:f>IF(P532="Unverified","missing_receipt","receipt_logged")</x:f>
        <x:v>missing_receipt</x:v>
      </x:c>
      <x:c r="X532" s="12" t="str">
        <x:f>IF(Q532="Not checked","raw_status_missing","raw_status_logged")</x:f>
        <x:v>raw_status_missing</x:v>
      </x:c>
      <x:c r="Y532" s="12" t="str">
        <x:f>IF(U532="BLOCKED_PENDING_RECEIPT","Log source path or blocker; do not promote","Route to review lane")</x:f>
        <x:v>Log source path or blocker; do not promote</x:v>
      </x:c>
      <x:c r="Z532" s="12" t="str">
        <x:f>IF(K532="P0","Primary seat + Hashlight/Lucerna","Seat lane")</x:f>
        <x:v>Primary seat + Hashlight/Lucerna</x:v>
      </x:c>
      <x:c r="AA532" s="12" t="str">
        <x:f>IF(R532="","no_claim_delta","claim_delta_present")</x:f>
        <x:v>no_claim_delta</x:v>
      </x:c>
      <x:c r="AB532" s="12" t="str">
        <x:f>IF(S532="","no_contradiction_delta","contradiction_delta_present")</x:f>
        <x:v>no_contradiction_delta</x:v>
      </x:c>
      <x:c r="AC532" s="12" t="str">
        <x:f>IF(OR(ISNUMBER(SEARCH("hacker",LOWER(F532&amp;" "&amp;H532&amp;" "&amp;I532&amp;" "&amp;M532&amp;" "&amp;N532&amp;" "&amp;T532))),ISNUMBER(SEARCH("hacking",LOWER(F532&amp;" "&amp;H532&amp;" "&amp;I532&amp;" "&amp;M532&amp;" "&amp;N532&amp;" "&amp;T532))),ISNUMBER(SEARCH("bank",LOWER(F532&amp;" "&amp;H532&amp;" "&amp;I532&amp;" "&amp;M532&amp;" "&amp;N532&amp;" "&amp;T532))),ISNUMBER(SEARCH("banking",LOWER(F532&amp;" "&amp;H532&amp;" "&amp;I532&amp;" "&amp;M532&amp;" "&amp;N532&amp;" "&amp;T532)))),"PRIVATE_QUARANTINE",IF(OR(ISNUMBER(SEARCH("treasury",LOWER(F532&amp;" "&amp;H532&amp;" "&amp;I532&amp;" "&amp;M532&amp;" "&amp;N532&amp;" "&amp;T532))),ISNUMBER(SEARCH("debt",LOWER(F532&amp;" "&amp;H532&amp;" "&amp;I532&amp;" "&amp;M532&amp;" "&amp;N532&amp;" "&amp;T532))),ISNUMBER(SEARCH("bond",LOWER(F532&amp;" "&amp;H532&amp;" "&amp;I532&amp;" "&amp;M532&amp;" "&amp;N532&amp;" "&amp;T532))),ISNUMBER(SEARCH("transaction",LOWER(F532&amp;" "&amp;H532&amp;" "&amp;I532&amp;" "&amp;M532&amp;" "&amp;N532&amp;" "&amp;T532)))),"PRIVATE_REVIEW","PUBLIC_CANDIDATE"))</x:f>
        <x:v>PUBLIC_CANDIDATE</x:v>
      </x:c>
      <x:c r="AD532" s="12" t="str">
        <x:f>IF(AC532="PRIVATE_QUARANTINE","hacker_or_bank_trigger",IF(AC532="PRIVATE_REVIEW","finance_risk_trigger","none"))</x:f>
        <x:v>none</x:v>
      </x:c>
      <x:c r="AE532" s="12" t="str">
        <x:f>IF(AC532="PUBLIC_CANDIDATE","prepare_public_github_candidate",IF(AC532="PRIVATE_REVIEW","hold_for_private_review","quarantine_private_do_not_publish"))</x:f>
        <x:v>prepare_public_github_candidate</x:v>
      </x:c>
      <x:c r="AF532" s="12" t="str">
        <x:f>IF(AC532="PUBLIC_CANDIDATE","TIDELOCK + Lucerna",IF(AC532="PRIVATE_REVIEW","AtlasBrain + Lucerna","TIDELOCK + Lucerna + Human-root"))</x:f>
        <x:v>TIDELOCK + Lucerna</x:v>
      </x:c>
      <x:c r="AG532" s="12" t="str">
        <x:f>IF(AND(AC532="PUBLIC_CANDIDATE",U532&lt;&gt;"BLOCKED_PENDING_RECEIPT"),"READY_AFTER_RECEIPT","NOT_READY")</x:f>
        <x:v>NOT_READY</x:v>
      </x:c>
      <x:c r="AH532" s="12" t="str">
        <x:f>IF(AC532="PUBLIC_CANDIDATE","none",AD532)</x:f>
        <x:v>none</x:v>
      </x:c>
      <x:c r="AI532" s="12" t="str">
        <x:f>IF(AC532="PUBLIC_CANDIDATE","archive/public_candidates/"&amp;A532,"private_quarantine/"&amp;A532)</x:f>
        <x:v>archive/public_candidates/SWARM-04-H09-S03</x:v>
      </x:c>
      <x:c r="AJ532" s="12" t="str">
        <x:f>IF(AC532="PUBLIC_CANDIDATE","public by default; still not canon","private/hold; do not publish")</x:f>
        <x:v>public by default; still not canon</x:v>
      </x:c>
      <x:c r="AK532" s="12" t="str">
        <x:f>IF(AE532="prepare_public_github_candidate","add receipt/status then mirror","resolve blocker before any public GitHub action")</x:f>
        <x:v>add receipt/status then mirror</x:v>
      </x:c>
    </x:row>
    <x:row r="533">
      <x:c r="A533" s="15" t="str">
        <x:v>SWARM-04-H09-S04</x:v>
      </x:c>
      <x:c r="B533" s="15" t="str">
        <x:v>Tidelock</x:v>
      </x:c>
      <x:c r="C533" s="15" t="str">
        <x:v>Access blocker keeper</x:v>
      </x:c>
      <x:c r="D533" s="15" t="str">
        <x:v>Review Queues</x:v>
      </x:c>
      <x:c r="E533" s="15" t="str">
        <x:v>Gamma</x:v>
      </x:c>
      <x:c r="F533" s="15" t="str">
        <x:v>Queue review for Gamma — Tidelock</x:v>
      </x:c>
      <x:c r="G533" s="15" t="str">
        <x:v>missing access / blocker ledger / next safe action</x:v>
      </x:c>
      <x:c r="H533" s="15" t="str">
        <x:v>source path + receipt + raw/export status + claim/edge/risk delta</x:v>
      </x:c>
      <x:c r="I533" s="15" t="str">
        <x:v>packet/SWARM-04-H09-S04</x:v>
      </x:c>
      <x:c r="J533" s="15" t="str">
        <x:v>TODO</x:v>
      </x:c>
      <x:c r="K533" s="15" t="str">
        <x:v>P1</x:v>
      </x:c>
      <x:c r="L533" s="15" t="str">
        <x:v>Done only when evidence is logged, contradiction search is noted, and boundary stamp remains non-canon unless ratified</x:v>
      </x:c>
      <x:c r="M533" s="15" t="str">
        <x:v>candidate / staging-only / not canon / not deployed / authority none</x:v>
      </x:c>
      <x:c r="N533" s="15" t="str">
        <x:v>Dispatch to Tidelock: complete Review Queues x Gamma; return deltas only, receipts required.</x:v>
      </x:c>
      <x:c r="O533" s="15" t="str">
        <x:v>AF-KG-H09-S04</x:v>
      </x:c>
      <x:c r="P533" s="15" t="str">
        <x:v>Unverified</x:v>
      </x:c>
      <x:c r="Q533" s="15" t="str">
        <x:v>Not checked</x:v>
      </x:c>
      <x:c r="R533" s="15" t="str"/>
      <x:c r="S533" s="15" t="str"/>
      <x:c r="T533" s="15" t="str">
        <x:v>Log first source path or blocker</x:v>
      </x:c>
      <x:c r="U533" s="12" t="str">
        <x:f>IF(OR(P533="Unverified",Q533="Not checked"),"BLOCKED_PENDING_RECEIPT","READY_FOR_REVIEW")</x:f>
        <x:v>BLOCKED_PENDING_RECEIPT</x:v>
      </x:c>
      <x:c r="V533" s="12" t="str">
        <x:f>IF(J533="DONE","RETURNED",IF(U533="BLOCKED_PENDING_RECEIPT","SOURCE_TOUCH_REQUIRED","IN_PROGRESS"))</x:f>
        <x:v>SOURCE_TOUCH_REQUIRED</x:v>
      </x:c>
      <x:c r="W533" s="12" t="str">
        <x:f>IF(P533="Unverified","missing_receipt","receipt_logged")</x:f>
        <x:v>missing_receipt</x:v>
      </x:c>
      <x:c r="X533" s="12" t="str">
        <x:f>IF(Q533="Not checked","raw_status_missing","raw_status_logged")</x:f>
        <x:v>raw_status_missing</x:v>
      </x:c>
      <x:c r="Y533" s="12" t="str">
        <x:f>IF(U533="BLOCKED_PENDING_RECEIPT","Log source path or blocker; do not promote","Route to review lane")</x:f>
        <x:v>Log source path or blocker; do not promote</x:v>
      </x:c>
      <x:c r="Z533" s="12" t="str">
        <x:f>IF(K533="P0","Primary seat + Hashlight/Lucerna","Seat lane")</x:f>
        <x:v>Seat lane</x:v>
      </x:c>
      <x:c r="AA533" s="12" t="str">
        <x:f>IF(R533="","no_claim_delta","claim_delta_present")</x:f>
        <x:v>no_claim_delta</x:v>
      </x:c>
      <x:c r="AB533" s="12" t="str">
        <x:f>IF(S533="","no_contradiction_delta","contradiction_delta_present")</x:f>
        <x:v>no_contradiction_delta</x:v>
      </x:c>
      <x:c r="AC533" s="12" t="str">
        <x:f>IF(OR(ISNUMBER(SEARCH("hacker",LOWER(F533&amp;" "&amp;H533&amp;" "&amp;I533&amp;" "&amp;M533&amp;" "&amp;N533&amp;" "&amp;T533))),ISNUMBER(SEARCH("hacking",LOWER(F533&amp;" "&amp;H533&amp;" "&amp;I533&amp;" "&amp;M533&amp;" "&amp;N533&amp;" "&amp;T533))),ISNUMBER(SEARCH("bank",LOWER(F533&amp;" "&amp;H533&amp;" "&amp;I533&amp;" "&amp;M533&amp;" "&amp;N533&amp;" "&amp;T533))),ISNUMBER(SEARCH("banking",LOWER(F533&amp;" "&amp;H533&amp;" "&amp;I533&amp;" "&amp;M533&amp;" "&amp;N533&amp;" "&amp;T533)))),"PRIVATE_QUARANTINE",IF(OR(ISNUMBER(SEARCH("treasury",LOWER(F533&amp;" "&amp;H533&amp;" "&amp;I533&amp;" "&amp;M533&amp;" "&amp;N533&amp;" "&amp;T533))),ISNUMBER(SEARCH("debt",LOWER(F533&amp;" "&amp;H533&amp;" "&amp;I533&amp;" "&amp;M533&amp;" "&amp;N533&amp;" "&amp;T533))),ISNUMBER(SEARCH("bond",LOWER(F533&amp;" "&amp;H533&amp;" "&amp;I533&amp;" "&amp;M533&amp;" "&amp;N533&amp;" "&amp;T533))),ISNUMBER(SEARCH("transaction",LOWER(F533&amp;" "&amp;H533&amp;" "&amp;I533&amp;" "&amp;M533&amp;" "&amp;N533&amp;" "&amp;T533)))),"PRIVATE_REVIEW","PUBLIC_CANDIDATE"))</x:f>
        <x:v>PUBLIC_CANDIDATE</x:v>
      </x:c>
      <x:c r="AD533" s="12" t="str">
        <x:f>IF(AC533="PRIVATE_QUARANTINE","hacker_or_bank_trigger",IF(AC533="PRIVATE_REVIEW","finance_risk_trigger","none"))</x:f>
        <x:v>none</x:v>
      </x:c>
      <x:c r="AE533" s="12" t="str">
        <x:f>IF(AC533="PUBLIC_CANDIDATE","prepare_public_github_candidate",IF(AC533="PRIVATE_REVIEW","hold_for_private_review","quarantine_private_do_not_publish"))</x:f>
        <x:v>prepare_public_github_candidate</x:v>
      </x:c>
      <x:c r="AF533" s="12" t="str">
        <x:f>IF(AC533="PUBLIC_CANDIDATE","TIDELOCK + Lucerna",IF(AC533="PRIVATE_REVIEW","AtlasBrain + Lucerna","TIDELOCK + Lucerna + Human-root"))</x:f>
        <x:v>TIDELOCK + Lucerna</x:v>
      </x:c>
      <x:c r="AG533" s="12" t="str">
        <x:f>IF(AND(AC533="PUBLIC_CANDIDATE",U533&lt;&gt;"BLOCKED_PENDING_RECEIPT"),"READY_AFTER_RECEIPT","NOT_READY")</x:f>
        <x:v>NOT_READY</x:v>
      </x:c>
      <x:c r="AH533" s="12" t="str">
        <x:f>IF(AC533="PUBLIC_CANDIDATE","none",AD533)</x:f>
        <x:v>none</x:v>
      </x:c>
      <x:c r="AI533" s="12" t="str">
        <x:f>IF(AC533="PUBLIC_CANDIDATE","archive/public_candidates/"&amp;A533,"private_quarantine/"&amp;A533)</x:f>
        <x:v>archive/public_candidates/SWARM-04-H09-S04</x:v>
      </x:c>
      <x:c r="AJ533" s="12" t="str">
        <x:f>IF(AC533="PUBLIC_CANDIDATE","public by default; still not canon","private/hold; do not publish")</x:f>
        <x:v>public by default; still not canon</x:v>
      </x:c>
      <x:c r="AK533" s="12" t="str">
        <x:f>IF(AE533="prepare_public_github_candidate","add receipt/status then mirror","resolve blocker before any public GitHub action")</x:f>
        <x:v>add receipt/status then mirror</x:v>
      </x:c>
    </x:row>
    <x:row r="534">
      <x:c r="A534" s="15" t="str">
        <x:v>SWARM-04-H09-S05</x:v>
      </x:c>
      <x:c r="B534" s="15" t="str">
        <x:v>Tidelock</x:v>
      </x:c>
      <x:c r="C534" s="15" t="str">
        <x:v>Access blocker keeper</x:v>
      </x:c>
      <x:c r="D534" s="15" t="str">
        <x:v>Review Queues</x:v>
      </x:c>
      <x:c r="E534" s="15" t="str">
        <x:v>Chat</x:v>
      </x:c>
      <x:c r="F534" s="15" t="str">
        <x:v>Queue review for Chat — Tidelock</x:v>
      </x:c>
      <x:c r="G534" s="15" t="str">
        <x:v>missing access / blocker ledger / next safe action</x:v>
      </x:c>
      <x:c r="H534" s="15" t="str">
        <x:v>source path + receipt + raw/export status + claim/edge/risk delta</x:v>
      </x:c>
      <x:c r="I534" s="15" t="str">
        <x:v>packet/SWARM-04-H09-S05</x:v>
      </x:c>
      <x:c r="J534" s="15" t="str">
        <x:v>TODO</x:v>
      </x:c>
      <x:c r="K534" s="15" t="str">
        <x:v>P1</x:v>
      </x:c>
      <x:c r="L534" s="15" t="str">
        <x:v>Done only when evidence is logged, contradiction search is noted, and boundary stamp remains non-canon unless ratified</x:v>
      </x:c>
      <x:c r="M534" s="15" t="str">
        <x:v>candidate / staging-only / not canon / not deployed / authority none</x:v>
      </x:c>
      <x:c r="N534" s="15" t="str">
        <x:v>Dispatch to Tidelock: complete Review Queues x Chat; return deltas only, receipts required.</x:v>
      </x:c>
      <x:c r="O534" s="15" t="str">
        <x:v>AF-KG-H09-S05</x:v>
      </x:c>
      <x:c r="P534" s="15" t="str">
        <x:v>Unverified</x:v>
      </x:c>
      <x:c r="Q534" s="15" t="str">
        <x:v>Not checked</x:v>
      </x:c>
      <x:c r="R534" s="15" t="str"/>
      <x:c r="S534" s="15" t="str"/>
      <x:c r="T534" s="15" t="str">
        <x:v>Log first source path or blocker</x:v>
      </x:c>
      <x:c r="U534" s="12" t="str">
        <x:f>IF(OR(P534="Unverified",Q534="Not checked"),"BLOCKED_PENDING_RECEIPT","READY_FOR_REVIEW")</x:f>
        <x:v>BLOCKED_PENDING_RECEIPT</x:v>
      </x:c>
      <x:c r="V534" s="12" t="str">
        <x:f>IF(J534="DONE","RETURNED",IF(U534="BLOCKED_PENDING_RECEIPT","SOURCE_TOUCH_REQUIRED","IN_PROGRESS"))</x:f>
        <x:v>SOURCE_TOUCH_REQUIRED</x:v>
      </x:c>
      <x:c r="W534" s="12" t="str">
        <x:f>IF(P534="Unverified","missing_receipt","receipt_logged")</x:f>
        <x:v>missing_receipt</x:v>
      </x:c>
      <x:c r="X534" s="12" t="str">
        <x:f>IF(Q534="Not checked","raw_status_missing","raw_status_logged")</x:f>
        <x:v>raw_status_missing</x:v>
      </x:c>
      <x:c r="Y534" s="12" t="str">
        <x:f>IF(U534="BLOCKED_PENDING_RECEIPT","Log source path or blocker; do not promote","Route to review lane")</x:f>
        <x:v>Log source path or blocker; do not promote</x:v>
      </x:c>
      <x:c r="Z534" s="12" t="str">
        <x:f>IF(K534="P0","Primary seat + Hashlight/Lucerna","Seat lane")</x:f>
        <x:v>Seat lane</x:v>
      </x:c>
      <x:c r="AA534" s="12" t="str">
        <x:f>IF(R534="","no_claim_delta","claim_delta_present")</x:f>
        <x:v>no_claim_delta</x:v>
      </x:c>
      <x:c r="AB534" s="12" t="str">
        <x:f>IF(S534="","no_contradiction_delta","contradiction_delta_present")</x:f>
        <x:v>no_contradiction_delta</x:v>
      </x:c>
      <x:c r="AC534" s="12" t="str">
        <x:f>IF(OR(ISNUMBER(SEARCH("hacker",LOWER(F534&amp;" "&amp;H534&amp;" "&amp;I534&amp;" "&amp;M534&amp;" "&amp;N534&amp;" "&amp;T534))),ISNUMBER(SEARCH("hacking",LOWER(F534&amp;" "&amp;H534&amp;" "&amp;I534&amp;" "&amp;M534&amp;" "&amp;N534&amp;" "&amp;T534))),ISNUMBER(SEARCH("bank",LOWER(F534&amp;" "&amp;H534&amp;" "&amp;I534&amp;" "&amp;M534&amp;" "&amp;N534&amp;" "&amp;T534))),ISNUMBER(SEARCH("banking",LOWER(F534&amp;" "&amp;H534&amp;" "&amp;I534&amp;" "&amp;M534&amp;" "&amp;N534&amp;" "&amp;T534)))),"PRIVATE_QUARANTINE",IF(OR(ISNUMBER(SEARCH("treasury",LOWER(F534&amp;" "&amp;H534&amp;" "&amp;I534&amp;" "&amp;M534&amp;" "&amp;N534&amp;" "&amp;T534))),ISNUMBER(SEARCH("debt",LOWER(F534&amp;" "&amp;H534&amp;" "&amp;I534&amp;" "&amp;M534&amp;" "&amp;N534&amp;" "&amp;T534))),ISNUMBER(SEARCH("bond",LOWER(F534&amp;" "&amp;H534&amp;" "&amp;I534&amp;" "&amp;M534&amp;" "&amp;N534&amp;" "&amp;T534))),ISNUMBER(SEARCH("transaction",LOWER(F534&amp;" "&amp;H534&amp;" "&amp;I534&amp;" "&amp;M534&amp;" "&amp;N534&amp;" "&amp;T534)))),"PRIVATE_REVIEW","PUBLIC_CANDIDATE"))</x:f>
        <x:v>PUBLIC_CANDIDATE</x:v>
      </x:c>
      <x:c r="AD534" s="12" t="str">
        <x:f>IF(AC534="PRIVATE_QUARANTINE","hacker_or_bank_trigger",IF(AC534="PRIVATE_REVIEW","finance_risk_trigger","none"))</x:f>
        <x:v>none</x:v>
      </x:c>
      <x:c r="AE534" s="12" t="str">
        <x:f>IF(AC534="PUBLIC_CANDIDATE","prepare_public_github_candidate",IF(AC534="PRIVATE_REVIEW","hold_for_private_review","quarantine_private_do_not_publish"))</x:f>
        <x:v>prepare_public_github_candidate</x:v>
      </x:c>
      <x:c r="AF534" s="12" t="str">
        <x:f>IF(AC534="PUBLIC_CANDIDATE","TIDELOCK + Lucerna",IF(AC534="PRIVATE_REVIEW","AtlasBrain + Lucerna","TIDELOCK + Lucerna + Human-root"))</x:f>
        <x:v>TIDELOCK + Lucerna</x:v>
      </x:c>
      <x:c r="AG534" s="12" t="str">
        <x:f>IF(AND(AC534="PUBLIC_CANDIDATE",U534&lt;&gt;"BLOCKED_PENDING_RECEIPT"),"READY_AFTER_RECEIPT","NOT_READY")</x:f>
        <x:v>NOT_READY</x:v>
      </x:c>
      <x:c r="AH534" s="12" t="str">
        <x:f>IF(AC534="PUBLIC_CANDIDATE","none",AD534)</x:f>
        <x:v>none</x:v>
      </x:c>
      <x:c r="AI534" s="12" t="str">
        <x:f>IF(AC534="PUBLIC_CANDIDATE","archive/public_candidates/"&amp;A534,"private_quarantine/"&amp;A534)</x:f>
        <x:v>archive/public_candidates/SWARM-04-H09-S05</x:v>
      </x:c>
      <x:c r="AJ534" s="12" t="str">
        <x:f>IF(AC534="PUBLIC_CANDIDATE","public by default; still not canon","private/hold; do not publish")</x:f>
        <x:v>public by default; still not canon</x:v>
      </x:c>
      <x:c r="AK534" s="12" t="str">
        <x:f>IF(AE534="prepare_public_github_candidate","add receipt/status then mirror","resolve blocker before any public GitHub action")</x:f>
        <x:v>add receipt/status then mirror</x:v>
      </x:c>
    </x:row>
    <x:row r="535">
      <x:c r="A535" s="15" t="str">
        <x:v>SWARM-04-H09-S06</x:v>
      </x:c>
      <x:c r="B535" s="15" t="str">
        <x:v>Tidelock</x:v>
      </x:c>
      <x:c r="C535" s="15" t="str">
        <x:v>Access blocker keeper</x:v>
      </x:c>
      <x:c r="D535" s="15" t="str">
        <x:v>Review Queues</x:v>
      </x:c>
      <x:c r="E535" s="15" t="str">
        <x:v>External Web</x:v>
      </x:c>
      <x:c r="F535" s="15" t="str">
        <x:v>Queue review for External Web — Tidelock</x:v>
      </x:c>
      <x:c r="G535" s="15" t="str">
        <x:v>missing access / blocker ledger / next safe action</x:v>
      </x:c>
      <x:c r="H535" s="15" t="str">
        <x:v>source path + receipt + raw/export status + claim/edge/risk delta</x:v>
      </x:c>
      <x:c r="I535" s="15" t="str">
        <x:v>packet/SWARM-04-H09-S06</x:v>
      </x:c>
      <x:c r="J535" s="15" t="str">
        <x:v>TODO</x:v>
      </x:c>
      <x:c r="K535" s="15" t="str">
        <x:v>P1</x:v>
      </x:c>
      <x:c r="L535" s="15" t="str">
        <x:v>Done only when evidence is logged, contradiction search is noted, and boundary stamp remains non-canon unless ratified</x:v>
      </x:c>
      <x:c r="M535" s="15" t="str">
        <x:v>candidate / staging-only / not canon / not deployed / authority none</x:v>
      </x:c>
      <x:c r="N535" s="15" t="str">
        <x:v>Dispatch to Tidelock: complete Review Queues x External Web; return deltas only, receipts required.</x:v>
      </x:c>
      <x:c r="O535" s="15" t="str">
        <x:v>AF-KG-H09-S06</x:v>
      </x:c>
      <x:c r="P535" s="15" t="str">
        <x:v>Unverified</x:v>
      </x:c>
      <x:c r="Q535" s="15" t="str">
        <x:v>Not checked</x:v>
      </x:c>
      <x:c r="R535" s="15" t="str"/>
      <x:c r="S535" s="15" t="str"/>
      <x:c r="T535" s="15" t="str">
        <x:v>Log first source path or blocker</x:v>
      </x:c>
      <x:c r="U535" s="12" t="str">
        <x:f>IF(OR(P535="Unverified",Q535="Not checked"),"BLOCKED_PENDING_RECEIPT","READY_FOR_REVIEW")</x:f>
        <x:v>BLOCKED_PENDING_RECEIPT</x:v>
      </x:c>
      <x:c r="V535" s="12" t="str">
        <x:f>IF(J535="DONE","RETURNED",IF(U535="BLOCKED_PENDING_RECEIPT","SOURCE_TOUCH_REQUIRED","IN_PROGRESS"))</x:f>
        <x:v>SOURCE_TOUCH_REQUIRED</x:v>
      </x:c>
      <x:c r="W535" s="12" t="str">
        <x:f>IF(P535="Unverified","missing_receipt","receipt_logged")</x:f>
        <x:v>missing_receipt</x:v>
      </x:c>
      <x:c r="X535" s="12" t="str">
        <x:f>IF(Q535="Not checked","raw_status_missing","raw_status_logged")</x:f>
        <x:v>raw_status_missing</x:v>
      </x:c>
      <x:c r="Y535" s="12" t="str">
        <x:f>IF(U535="BLOCKED_PENDING_RECEIPT","Log source path or blocker; do not promote","Route to review lane")</x:f>
        <x:v>Log source path or blocker; do not promote</x:v>
      </x:c>
      <x:c r="Z535" s="12" t="str">
        <x:f>IF(K535="P0","Primary seat + Hashlight/Lucerna","Seat lane")</x:f>
        <x:v>Seat lane</x:v>
      </x:c>
      <x:c r="AA535" s="12" t="str">
        <x:f>IF(R535="","no_claim_delta","claim_delta_present")</x:f>
        <x:v>no_claim_delta</x:v>
      </x:c>
      <x:c r="AB535" s="12" t="str">
        <x:f>IF(S535="","no_contradiction_delta","contradiction_delta_present")</x:f>
        <x:v>no_contradiction_delta</x:v>
      </x:c>
      <x:c r="AC535" s="12" t="str">
        <x:f>IF(OR(ISNUMBER(SEARCH("hacker",LOWER(F535&amp;" "&amp;H535&amp;" "&amp;I535&amp;" "&amp;M535&amp;" "&amp;N535&amp;" "&amp;T535))),ISNUMBER(SEARCH("hacking",LOWER(F535&amp;" "&amp;H535&amp;" "&amp;I535&amp;" "&amp;M535&amp;" "&amp;N535&amp;" "&amp;T535))),ISNUMBER(SEARCH("bank",LOWER(F535&amp;" "&amp;H535&amp;" "&amp;I535&amp;" "&amp;M535&amp;" "&amp;N535&amp;" "&amp;T535))),ISNUMBER(SEARCH("banking",LOWER(F535&amp;" "&amp;H535&amp;" "&amp;I535&amp;" "&amp;M535&amp;" "&amp;N535&amp;" "&amp;T535)))),"PRIVATE_QUARANTINE",IF(OR(ISNUMBER(SEARCH("treasury",LOWER(F535&amp;" "&amp;H535&amp;" "&amp;I535&amp;" "&amp;M535&amp;" "&amp;N535&amp;" "&amp;T535))),ISNUMBER(SEARCH("debt",LOWER(F535&amp;" "&amp;H535&amp;" "&amp;I535&amp;" "&amp;M535&amp;" "&amp;N535&amp;" "&amp;T535))),ISNUMBER(SEARCH("bond",LOWER(F535&amp;" "&amp;H535&amp;" "&amp;I535&amp;" "&amp;M535&amp;" "&amp;N535&amp;" "&amp;T535))),ISNUMBER(SEARCH("transaction",LOWER(F535&amp;" "&amp;H535&amp;" "&amp;I535&amp;" "&amp;M535&amp;" "&amp;N535&amp;" "&amp;T535)))),"PRIVATE_REVIEW","PUBLIC_CANDIDATE"))</x:f>
        <x:v>PUBLIC_CANDIDATE</x:v>
      </x:c>
      <x:c r="AD535" s="12" t="str">
        <x:f>IF(AC535="PRIVATE_QUARANTINE","hacker_or_bank_trigger",IF(AC535="PRIVATE_REVIEW","finance_risk_trigger","none"))</x:f>
        <x:v>none</x:v>
      </x:c>
      <x:c r="AE535" s="12" t="str">
        <x:f>IF(AC535="PUBLIC_CANDIDATE","prepare_public_github_candidate",IF(AC535="PRIVATE_REVIEW","hold_for_private_review","quarantine_private_do_not_publish"))</x:f>
        <x:v>prepare_public_github_candidate</x:v>
      </x:c>
      <x:c r="AF535" s="12" t="str">
        <x:f>IF(AC535="PUBLIC_CANDIDATE","TIDELOCK + Lucerna",IF(AC535="PRIVATE_REVIEW","AtlasBrain + Lucerna","TIDELOCK + Lucerna + Human-root"))</x:f>
        <x:v>TIDELOCK + Lucerna</x:v>
      </x:c>
      <x:c r="AG535" s="12" t="str">
        <x:f>IF(AND(AC535="PUBLIC_CANDIDATE",U535&lt;&gt;"BLOCKED_PENDING_RECEIPT"),"READY_AFTER_RECEIPT","NOT_READY")</x:f>
        <x:v>NOT_READY</x:v>
      </x:c>
      <x:c r="AH535" s="12" t="str">
        <x:f>IF(AC535="PUBLIC_CANDIDATE","none",AD535)</x:f>
        <x:v>none</x:v>
      </x:c>
      <x:c r="AI535" s="12" t="str">
        <x:f>IF(AC535="PUBLIC_CANDIDATE","archive/public_candidates/"&amp;A535,"private_quarantine/"&amp;A535)</x:f>
        <x:v>archive/public_candidates/SWARM-04-H09-S06</x:v>
      </x:c>
      <x:c r="AJ535" s="12" t="str">
        <x:f>IF(AC535="PUBLIC_CANDIDATE","public by default; still not canon","private/hold; do not publish")</x:f>
        <x:v>public by default; still not canon</x:v>
      </x:c>
      <x:c r="AK535" s="12" t="str">
        <x:f>IF(AE535="prepare_public_github_candidate","add receipt/status then mirror","resolve blocker before any public GitHub action")</x:f>
        <x:v>add receipt/status then mirror</x:v>
      </x:c>
    </x:row>
    <x:row r="536">
      <x:c r="A536" s="15" t="str">
        <x:v>SWARM-04-H09-S07</x:v>
      </x:c>
      <x:c r="B536" s="15" t="str">
        <x:v>Tidelock</x:v>
      </x:c>
      <x:c r="C536" s="15" t="str">
        <x:v>Access blocker keeper</x:v>
      </x:c>
      <x:c r="D536" s="15" t="str">
        <x:v>Review Queues</x:v>
      </x:c>
      <x:c r="E536" s="15" t="str">
        <x:v>Planetarium</x:v>
      </x:c>
      <x:c r="F536" s="15" t="str">
        <x:v>Queue review for Planetarium — Tidelock</x:v>
      </x:c>
      <x:c r="G536" s="15" t="str">
        <x:v>missing access / blocker ledger / next safe action</x:v>
      </x:c>
      <x:c r="H536" s="15" t="str">
        <x:v>source path + receipt + raw/export status + claim/edge/risk delta</x:v>
      </x:c>
      <x:c r="I536" s="15" t="str">
        <x:v>packet/SWARM-04-H09-S07</x:v>
      </x:c>
      <x:c r="J536" s="15" t="str">
        <x:v>TODO</x:v>
      </x:c>
      <x:c r="K536" s="15" t="str">
        <x:v>P1</x:v>
      </x:c>
      <x:c r="L536" s="15" t="str">
        <x:v>Done only when evidence is logged, contradiction search is noted, and boundary stamp remains non-canon unless ratified</x:v>
      </x:c>
      <x:c r="M536" s="15" t="str">
        <x:v>candidate / staging-only / not canon / not deployed / authority none</x:v>
      </x:c>
      <x:c r="N536" s="15" t="str">
        <x:v>Dispatch to Tidelock: complete Review Queues x Planetarium; return deltas only, receipts required.</x:v>
      </x:c>
      <x:c r="O536" s="15" t="str">
        <x:v>AF-KG-H09-S07</x:v>
      </x:c>
      <x:c r="P536" s="15" t="str">
        <x:v>Unverified</x:v>
      </x:c>
      <x:c r="Q536" s="15" t="str">
        <x:v>Not checked</x:v>
      </x:c>
      <x:c r="R536" s="15" t="str"/>
      <x:c r="S536" s="15" t="str"/>
      <x:c r="T536" s="15" t="str">
        <x:v>Log first source path or blocker</x:v>
      </x:c>
      <x:c r="U536" s="12" t="str">
        <x:f>IF(OR(P536="Unverified",Q536="Not checked"),"BLOCKED_PENDING_RECEIPT","READY_FOR_REVIEW")</x:f>
        <x:v>BLOCKED_PENDING_RECEIPT</x:v>
      </x:c>
      <x:c r="V536" s="12" t="str">
        <x:f>IF(J536="DONE","RETURNED",IF(U536="BLOCKED_PENDING_RECEIPT","SOURCE_TOUCH_REQUIRED","IN_PROGRESS"))</x:f>
        <x:v>SOURCE_TOUCH_REQUIRED</x:v>
      </x:c>
      <x:c r="W536" s="12" t="str">
        <x:f>IF(P536="Unverified","missing_receipt","receipt_logged")</x:f>
        <x:v>missing_receipt</x:v>
      </x:c>
      <x:c r="X536" s="12" t="str">
        <x:f>IF(Q536="Not checked","raw_status_missing","raw_status_logged")</x:f>
        <x:v>raw_status_missing</x:v>
      </x:c>
      <x:c r="Y536" s="12" t="str">
        <x:f>IF(U536="BLOCKED_PENDING_RECEIPT","Log source path or blocker; do not promote","Route to review lane")</x:f>
        <x:v>Log source path or blocker; do not promote</x:v>
      </x:c>
      <x:c r="Z536" s="12" t="str">
        <x:f>IF(K536="P0","Primary seat + Hashlight/Lucerna","Seat lane")</x:f>
        <x:v>Seat lane</x:v>
      </x:c>
      <x:c r="AA536" s="12" t="str">
        <x:f>IF(R536="","no_claim_delta","claim_delta_present")</x:f>
        <x:v>no_claim_delta</x:v>
      </x:c>
      <x:c r="AB536" s="12" t="str">
        <x:f>IF(S536="","no_contradiction_delta","contradiction_delta_present")</x:f>
        <x:v>no_contradiction_delta</x:v>
      </x:c>
      <x:c r="AC536" s="12" t="str">
        <x:f>IF(OR(ISNUMBER(SEARCH("hacker",LOWER(F536&amp;" "&amp;H536&amp;" "&amp;I536&amp;" "&amp;M536&amp;" "&amp;N536&amp;" "&amp;T536))),ISNUMBER(SEARCH("hacking",LOWER(F536&amp;" "&amp;H536&amp;" "&amp;I536&amp;" "&amp;M536&amp;" "&amp;N536&amp;" "&amp;T536))),ISNUMBER(SEARCH("bank",LOWER(F536&amp;" "&amp;H536&amp;" "&amp;I536&amp;" "&amp;M536&amp;" "&amp;N536&amp;" "&amp;T536))),ISNUMBER(SEARCH("banking",LOWER(F536&amp;" "&amp;H536&amp;" "&amp;I536&amp;" "&amp;M536&amp;" "&amp;N536&amp;" "&amp;T536)))),"PRIVATE_QUARANTINE",IF(OR(ISNUMBER(SEARCH("treasury",LOWER(F536&amp;" "&amp;H536&amp;" "&amp;I536&amp;" "&amp;M536&amp;" "&amp;N536&amp;" "&amp;T536))),ISNUMBER(SEARCH("debt",LOWER(F536&amp;" "&amp;H536&amp;" "&amp;I536&amp;" "&amp;M536&amp;" "&amp;N536&amp;" "&amp;T536))),ISNUMBER(SEARCH("bond",LOWER(F536&amp;" "&amp;H536&amp;" "&amp;I536&amp;" "&amp;M536&amp;" "&amp;N536&amp;" "&amp;T536))),ISNUMBER(SEARCH("transaction",LOWER(F536&amp;" "&amp;H536&amp;" "&amp;I536&amp;" "&amp;M536&amp;" "&amp;N536&amp;" "&amp;T536)))),"PRIVATE_REVIEW","PUBLIC_CANDIDATE"))</x:f>
        <x:v>PUBLIC_CANDIDATE</x:v>
      </x:c>
      <x:c r="AD536" s="12" t="str">
        <x:f>IF(AC536="PRIVATE_QUARANTINE","hacker_or_bank_trigger",IF(AC536="PRIVATE_REVIEW","finance_risk_trigger","none"))</x:f>
        <x:v>none</x:v>
      </x:c>
      <x:c r="AE536" s="12" t="str">
        <x:f>IF(AC536="PUBLIC_CANDIDATE","prepare_public_github_candidate",IF(AC536="PRIVATE_REVIEW","hold_for_private_review","quarantine_private_do_not_publish"))</x:f>
        <x:v>prepare_public_github_candidate</x:v>
      </x:c>
      <x:c r="AF536" s="12" t="str">
        <x:f>IF(AC536="PUBLIC_CANDIDATE","TIDELOCK + Lucerna",IF(AC536="PRIVATE_REVIEW","AtlasBrain + Lucerna","TIDELOCK + Lucerna + Human-root"))</x:f>
        <x:v>TIDELOCK + Lucerna</x:v>
      </x:c>
      <x:c r="AG536" s="12" t="str">
        <x:f>IF(AND(AC536="PUBLIC_CANDIDATE",U536&lt;&gt;"BLOCKED_PENDING_RECEIPT"),"READY_AFTER_RECEIPT","NOT_READY")</x:f>
        <x:v>NOT_READY</x:v>
      </x:c>
      <x:c r="AH536" s="12" t="str">
        <x:f>IF(AC536="PUBLIC_CANDIDATE","none",AD536)</x:f>
        <x:v>none</x:v>
      </x:c>
      <x:c r="AI536" s="12" t="str">
        <x:f>IF(AC536="PUBLIC_CANDIDATE","archive/public_candidates/"&amp;A536,"private_quarantine/"&amp;A536)</x:f>
        <x:v>archive/public_candidates/SWARM-04-H09-S07</x:v>
      </x:c>
      <x:c r="AJ536" s="12" t="str">
        <x:f>IF(AC536="PUBLIC_CANDIDATE","public by default; still not canon","private/hold; do not publish")</x:f>
        <x:v>public by default; still not canon</x:v>
      </x:c>
      <x:c r="AK536" s="12" t="str">
        <x:f>IF(AE536="prepare_public_github_candidate","add receipt/status then mirror","resolve blocker before any public GitHub action")</x:f>
        <x:v>add receipt/status then mirror</x:v>
      </x:c>
    </x:row>
    <x:row r="537">
      <x:c r="A537" s="15" t="str">
        <x:v>SWARM-04-H09-S08</x:v>
      </x:c>
      <x:c r="B537" s="15" t="str">
        <x:v>Tidelock</x:v>
      </x:c>
      <x:c r="C537" s="15" t="str">
        <x:v>Access blocker keeper</x:v>
      </x:c>
      <x:c r="D537" s="15" t="str">
        <x:v>Review Queues</x:v>
      </x:c>
      <x:c r="E537" s="15" t="str">
        <x:v>Sheldonbrain</x:v>
      </x:c>
      <x:c r="F537" s="15" t="str">
        <x:v>Queue review for Sheldonbrain — Tidelock</x:v>
      </x:c>
      <x:c r="G537" s="15" t="str">
        <x:v>missing access / blocker ledger / next safe action</x:v>
      </x:c>
      <x:c r="H537" s="15" t="str">
        <x:v>source path + receipt + raw/export status + claim/edge/risk delta</x:v>
      </x:c>
      <x:c r="I537" s="15" t="str">
        <x:v>packet/SWARM-04-H09-S08</x:v>
      </x:c>
      <x:c r="J537" s="15" t="str">
        <x:v>TODO</x:v>
      </x:c>
      <x:c r="K537" s="15" t="str">
        <x:v>P1</x:v>
      </x:c>
      <x:c r="L537" s="15" t="str">
        <x:v>Done only when evidence is logged, contradiction search is noted, and boundary stamp remains non-canon unless ratified</x:v>
      </x:c>
      <x:c r="M537" s="15" t="str">
        <x:v>candidate / staging-only / not canon / not deployed / authority none</x:v>
      </x:c>
      <x:c r="N537" s="15" t="str">
        <x:v>Dispatch to Tidelock: complete Review Queues x Sheldonbrain; return deltas only, receipts required.</x:v>
      </x:c>
      <x:c r="O537" s="15" t="str">
        <x:v>AF-KG-H09-S08</x:v>
      </x:c>
      <x:c r="P537" s="15" t="str">
        <x:v>Unverified</x:v>
      </x:c>
      <x:c r="Q537" s="15" t="str">
        <x:v>Not checked</x:v>
      </x:c>
      <x:c r="R537" s="15" t="str"/>
      <x:c r="S537" s="15" t="str"/>
      <x:c r="T537" s="15" t="str">
        <x:v>Log first source path or blocker</x:v>
      </x:c>
      <x:c r="U537" s="12" t="str">
        <x:f>IF(OR(P537="Unverified",Q537="Not checked"),"BLOCKED_PENDING_RECEIPT","READY_FOR_REVIEW")</x:f>
        <x:v>BLOCKED_PENDING_RECEIPT</x:v>
      </x:c>
      <x:c r="V537" s="12" t="str">
        <x:f>IF(J537="DONE","RETURNED",IF(U537="BLOCKED_PENDING_RECEIPT","SOURCE_TOUCH_REQUIRED","IN_PROGRESS"))</x:f>
        <x:v>SOURCE_TOUCH_REQUIRED</x:v>
      </x:c>
      <x:c r="W537" s="12" t="str">
        <x:f>IF(P537="Unverified","missing_receipt","receipt_logged")</x:f>
        <x:v>missing_receipt</x:v>
      </x:c>
      <x:c r="X537" s="12" t="str">
        <x:f>IF(Q537="Not checked","raw_status_missing","raw_status_logged")</x:f>
        <x:v>raw_status_missing</x:v>
      </x:c>
      <x:c r="Y537" s="12" t="str">
        <x:f>IF(U537="BLOCKED_PENDING_RECEIPT","Log source path or blocker; do not promote","Route to review lane")</x:f>
        <x:v>Log source path or blocker; do not promote</x:v>
      </x:c>
      <x:c r="Z537" s="12" t="str">
        <x:f>IF(K537="P0","Primary seat + Hashlight/Lucerna","Seat lane")</x:f>
        <x:v>Seat lane</x:v>
      </x:c>
      <x:c r="AA537" s="12" t="str">
        <x:f>IF(R537="","no_claim_delta","claim_delta_present")</x:f>
        <x:v>no_claim_delta</x:v>
      </x:c>
      <x:c r="AB537" s="12" t="str">
        <x:f>IF(S537="","no_contradiction_delta","contradiction_delta_present")</x:f>
        <x:v>no_contradiction_delta</x:v>
      </x:c>
      <x:c r="AC537" s="12" t="str">
        <x:f>IF(OR(ISNUMBER(SEARCH("hacker",LOWER(F537&amp;" "&amp;H537&amp;" "&amp;I537&amp;" "&amp;M537&amp;" "&amp;N537&amp;" "&amp;T537))),ISNUMBER(SEARCH("hacking",LOWER(F537&amp;" "&amp;H537&amp;" "&amp;I537&amp;" "&amp;M537&amp;" "&amp;N537&amp;" "&amp;T537))),ISNUMBER(SEARCH("bank",LOWER(F537&amp;" "&amp;H537&amp;" "&amp;I537&amp;" "&amp;M537&amp;" "&amp;N537&amp;" "&amp;T537))),ISNUMBER(SEARCH("banking",LOWER(F537&amp;" "&amp;H537&amp;" "&amp;I537&amp;" "&amp;M537&amp;" "&amp;N537&amp;" "&amp;T537)))),"PRIVATE_QUARANTINE",IF(OR(ISNUMBER(SEARCH("treasury",LOWER(F537&amp;" "&amp;H537&amp;" "&amp;I537&amp;" "&amp;M537&amp;" "&amp;N537&amp;" "&amp;T537))),ISNUMBER(SEARCH("debt",LOWER(F537&amp;" "&amp;H537&amp;" "&amp;I537&amp;" "&amp;M537&amp;" "&amp;N537&amp;" "&amp;T537))),ISNUMBER(SEARCH("bond",LOWER(F537&amp;" "&amp;H537&amp;" "&amp;I537&amp;" "&amp;M537&amp;" "&amp;N537&amp;" "&amp;T537))),ISNUMBER(SEARCH("transaction",LOWER(F537&amp;" "&amp;H537&amp;" "&amp;I537&amp;" "&amp;M537&amp;" "&amp;N537&amp;" "&amp;T537)))),"PRIVATE_REVIEW","PUBLIC_CANDIDATE"))</x:f>
        <x:v>PUBLIC_CANDIDATE</x:v>
      </x:c>
      <x:c r="AD537" s="12" t="str">
        <x:f>IF(AC537="PRIVATE_QUARANTINE","hacker_or_bank_trigger",IF(AC537="PRIVATE_REVIEW","finance_risk_trigger","none"))</x:f>
        <x:v>none</x:v>
      </x:c>
      <x:c r="AE537" s="12" t="str">
        <x:f>IF(AC537="PUBLIC_CANDIDATE","prepare_public_github_candidate",IF(AC537="PRIVATE_REVIEW","hold_for_private_review","quarantine_private_do_not_publish"))</x:f>
        <x:v>prepare_public_github_candidate</x:v>
      </x:c>
      <x:c r="AF537" s="12" t="str">
        <x:f>IF(AC537="PUBLIC_CANDIDATE","TIDELOCK + Lucerna",IF(AC537="PRIVATE_REVIEW","AtlasBrain + Lucerna","TIDELOCK + Lucerna + Human-root"))</x:f>
        <x:v>TIDELOCK + Lucerna</x:v>
      </x:c>
      <x:c r="AG537" s="12" t="str">
        <x:f>IF(AND(AC537="PUBLIC_CANDIDATE",U537&lt;&gt;"BLOCKED_PENDING_RECEIPT"),"READY_AFTER_RECEIPT","NOT_READY")</x:f>
        <x:v>NOT_READY</x:v>
      </x:c>
      <x:c r="AH537" s="12" t="str">
        <x:f>IF(AC537="PUBLIC_CANDIDATE","none",AD537)</x:f>
        <x:v>none</x:v>
      </x:c>
      <x:c r="AI537" s="12" t="str">
        <x:f>IF(AC537="PUBLIC_CANDIDATE","archive/public_candidates/"&amp;A537,"private_quarantine/"&amp;A537)</x:f>
        <x:v>archive/public_candidates/SWARM-04-H09-S08</x:v>
      </x:c>
      <x:c r="AJ537" s="12" t="str">
        <x:f>IF(AC537="PUBLIC_CANDIDATE","public by default; still not canon","private/hold; do not publish")</x:f>
        <x:v>public by default; still not canon</x:v>
      </x:c>
      <x:c r="AK537" s="12" t="str">
        <x:f>IF(AE537="prepare_public_github_candidate","add receipt/status then mirror","resolve blocker before any public GitHub action")</x:f>
        <x:v>add receipt/status then mirror</x:v>
      </x:c>
    </x:row>
    <x:row r="538">
      <x:c r="A538" s="15" t="str">
        <x:v>SWARM-04-H09-S09</x:v>
      </x:c>
      <x:c r="B538" s="15" t="str">
        <x:v>Tidelock</x:v>
      </x:c>
      <x:c r="C538" s="15" t="str">
        <x:v>Access blocker keeper</x:v>
      </x:c>
      <x:c r="D538" s="15" t="str">
        <x:v>Review Queues</x:v>
      </x:c>
      <x:c r="E538" s="15" t="str">
        <x:v>Aetherforge</x:v>
      </x:c>
      <x:c r="F538" s="15" t="str">
        <x:v>Queue review for Aetherforge — Tidelock</x:v>
      </x:c>
      <x:c r="G538" s="15" t="str">
        <x:v>missing access / blocker ledger / next safe action</x:v>
      </x:c>
      <x:c r="H538" s="15" t="str">
        <x:v>source path + receipt + raw/export status + claim/edge/risk delta</x:v>
      </x:c>
      <x:c r="I538" s="15" t="str">
        <x:v>packet/SWARM-04-H09-S09</x:v>
      </x:c>
      <x:c r="J538" s="15" t="str">
        <x:v>TODO</x:v>
      </x:c>
      <x:c r="K538" s="15" t="str">
        <x:v>P2</x:v>
      </x:c>
      <x:c r="L538" s="15" t="str">
        <x:v>Done only when evidence is logged, contradiction search is noted, and boundary stamp remains non-canon unless ratified</x:v>
      </x:c>
      <x:c r="M538" s="15" t="str">
        <x:v>candidate / staging-only / not canon / not deployed / authority none</x:v>
      </x:c>
      <x:c r="N538" s="15" t="str">
        <x:v>Dispatch to Tidelock: complete Review Queues x Aetherforge; return deltas only, receipts required.</x:v>
      </x:c>
      <x:c r="O538" s="15" t="str">
        <x:v>AF-KG-H09-S09</x:v>
      </x:c>
      <x:c r="P538" s="15" t="str">
        <x:v>Unverified</x:v>
      </x:c>
      <x:c r="Q538" s="15" t="str">
        <x:v>Not checked</x:v>
      </x:c>
      <x:c r="R538" s="15" t="str"/>
      <x:c r="S538" s="15" t="str"/>
      <x:c r="T538" s="15" t="str">
        <x:v>Log first source path or blocker</x:v>
      </x:c>
      <x:c r="U538" s="12" t="str">
        <x:f>IF(OR(P538="Unverified",Q538="Not checked"),"BLOCKED_PENDING_RECEIPT","READY_FOR_REVIEW")</x:f>
        <x:v>BLOCKED_PENDING_RECEIPT</x:v>
      </x:c>
      <x:c r="V538" s="12" t="str">
        <x:f>IF(J538="DONE","RETURNED",IF(U538="BLOCKED_PENDING_RECEIPT","SOURCE_TOUCH_REQUIRED","IN_PROGRESS"))</x:f>
        <x:v>SOURCE_TOUCH_REQUIRED</x:v>
      </x:c>
      <x:c r="W538" s="12" t="str">
        <x:f>IF(P538="Unverified","missing_receipt","receipt_logged")</x:f>
        <x:v>missing_receipt</x:v>
      </x:c>
      <x:c r="X538" s="12" t="str">
        <x:f>IF(Q538="Not checked","raw_status_missing","raw_status_logged")</x:f>
        <x:v>raw_status_missing</x:v>
      </x:c>
      <x:c r="Y538" s="12" t="str">
        <x:f>IF(U538="BLOCKED_PENDING_RECEIPT","Log source path or blocker; do not promote","Route to review lane")</x:f>
        <x:v>Log source path or blocker; do not promote</x:v>
      </x:c>
      <x:c r="Z538" s="12" t="str">
        <x:f>IF(K538="P0","Primary seat + Hashlight/Lucerna","Seat lane")</x:f>
        <x:v>Seat lane</x:v>
      </x:c>
      <x:c r="AA538" s="12" t="str">
        <x:f>IF(R538="","no_claim_delta","claim_delta_present")</x:f>
        <x:v>no_claim_delta</x:v>
      </x:c>
      <x:c r="AB538" s="12" t="str">
        <x:f>IF(S538="","no_contradiction_delta","contradiction_delta_present")</x:f>
        <x:v>no_contradiction_delta</x:v>
      </x:c>
      <x:c r="AC538" s="12" t="str">
        <x:f>IF(OR(ISNUMBER(SEARCH("hacker",LOWER(F538&amp;" "&amp;H538&amp;" "&amp;I538&amp;" "&amp;M538&amp;" "&amp;N538&amp;" "&amp;T538))),ISNUMBER(SEARCH("hacking",LOWER(F538&amp;" "&amp;H538&amp;" "&amp;I538&amp;" "&amp;M538&amp;" "&amp;N538&amp;" "&amp;T538))),ISNUMBER(SEARCH("bank",LOWER(F538&amp;" "&amp;H538&amp;" "&amp;I538&amp;" "&amp;M538&amp;" "&amp;N538&amp;" "&amp;T538))),ISNUMBER(SEARCH("banking",LOWER(F538&amp;" "&amp;H538&amp;" "&amp;I538&amp;" "&amp;M538&amp;" "&amp;N538&amp;" "&amp;T538)))),"PRIVATE_QUARANTINE",IF(OR(ISNUMBER(SEARCH("treasury",LOWER(F538&amp;" "&amp;H538&amp;" "&amp;I538&amp;" "&amp;M538&amp;" "&amp;N538&amp;" "&amp;T538))),ISNUMBER(SEARCH("debt",LOWER(F538&amp;" "&amp;H538&amp;" "&amp;I538&amp;" "&amp;M538&amp;" "&amp;N538&amp;" "&amp;T538))),ISNUMBER(SEARCH("bond",LOWER(F538&amp;" "&amp;H538&amp;" "&amp;I538&amp;" "&amp;M538&amp;" "&amp;N538&amp;" "&amp;T538))),ISNUMBER(SEARCH("transaction",LOWER(F538&amp;" "&amp;H538&amp;" "&amp;I538&amp;" "&amp;M538&amp;" "&amp;N538&amp;" "&amp;T538)))),"PRIVATE_REVIEW","PUBLIC_CANDIDATE"))</x:f>
        <x:v>PUBLIC_CANDIDATE</x:v>
      </x:c>
      <x:c r="AD538" s="12" t="str">
        <x:f>IF(AC538="PRIVATE_QUARANTINE","hacker_or_bank_trigger",IF(AC538="PRIVATE_REVIEW","finance_risk_trigger","none"))</x:f>
        <x:v>none</x:v>
      </x:c>
      <x:c r="AE538" s="12" t="str">
        <x:f>IF(AC538="PUBLIC_CANDIDATE","prepare_public_github_candidate",IF(AC538="PRIVATE_REVIEW","hold_for_private_review","quarantine_private_do_not_publish"))</x:f>
        <x:v>prepare_public_github_candidate</x:v>
      </x:c>
      <x:c r="AF538" s="12" t="str">
        <x:f>IF(AC538="PUBLIC_CANDIDATE","TIDELOCK + Lucerna",IF(AC538="PRIVATE_REVIEW","AtlasBrain + Lucerna","TIDELOCK + Lucerna + Human-root"))</x:f>
        <x:v>TIDELOCK + Lucerna</x:v>
      </x:c>
      <x:c r="AG538" s="12" t="str">
        <x:f>IF(AND(AC538="PUBLIC_CANDIDATE",U538&lt;&gt;"BLOCKED_PENDING_RECEIPT"),"READY_AFTER_RECEIPT","NOT_READY")</x:f>
        <x:v>NOT_READY</x:v>
      </x:c>
      <x:c r="AH538" s="12" t="str">
        <x:f>IF(AC538="PUBLIC_CANDIDATE","none",AD538)</x:f>
        <x:v>none</x:v>
      </x:c>
      <x:c r="AI538" s="12" t="str">
        <x:f>IF(AC538="PUBLIC_CANDIDATE","archive/public_candidates/"&amp;A538,"private_quarantine/"&amp;A538)</x:f>
        <x:v>archive/public_candidates/SWARM-04-H09-S09</x:v>
      </x:c>
      <x:c r="AJ538" s="12" t="str">
        <x:f>IF(AC538="PUBLIC_CANDIDATE","public by default; still not canon","private/hold; do not publish")</x:f>
        <x:v>public by default; still not canon</x:v>
      </x:c>
      <x:c r="AK538" s="12" t="str">
        <x:f>IF(AE538="prepare_public_github_candidate","add receipt/status then mirror","resolve blocker before any public GitHub action")</x:f>
        <x:v>add receipt/status then mirror</x:v>
      </x:c>
    </x:row>
    <x:row r="539">
      <x:c r="A539" s="15" t="str">
        <x:v>SWARM-04-H09-S10</x:v>
      </x:c>
      <x:c r="B539" s="15" t="str">
        <x:v>Tidelock</x:v>
      </x:c>
      <x:c r="C539" s="15" t="str">
        <x:v>Access blocker keeper</x:v>
      </x:c>
      <x:c r="D539" s="15" t="str">
        <x:v>Review Queues</x:v>
      </x:c>
      <x:c r="E539" s="15" t="str">
        <x:v>Human-Root</x:v>
      </x:c>
      <x:c r="F539" s="15" t="str">
        <x:v>Queue review for Human-Root — Tidelock</x:v>
      </x:c>
      <x:c r="G539" s="15" t="str">
        <x:v>missing access / blocker ledger / next safe action</x:v>
      </x:c>
      <x:c r="H539" s="15" t="str">
        <x:v>source path + receipt + raw/export status + claim/edge/risk delta</x:v>
      </x:c>
      <x:c r="I539" s="15" t="str">
        <x:v>packet/SWARM-04-H09-S10</x:v>
      </x:c>
      <x:c r="J539" s="15" t="str">
        <x:v>TODO</x:v>
      </x:c>
      <x:c r="K539" s="15" t="str">
        <x:v>P2</x:v>
      </x:c>
      <x:c r="L539" s="15" t="str">
        <x:v>Done only when evidence is logged, contradiction search is noted, and boundary stamp remains non-canon unless ratified</x:v>
      </x:c>
      <x:c r="M539" s="15" t="str">
        <x:v>candidate / staging-only / not canon / not deployed / authority none</x:v>
      </x:c>
      <x:c r="N539" s="15" t="str">
        <x:v>Dispatch to Tidelock: complete Review Queues x Human-Root; return deltas only, receipts required.</x:v>
      </x:c>
      <x:c r="O539" s="15" t="str">
        <x:v>AF-KG-H09-S10</x:v>
      </x:c>
      <x:c r="P539" s="15" t="str">
        <x:v>Unverified</x:v>
      </x:c>
      <x:c r="Q539" s="15" t="str">
        <x:v>Not checked</x:v>
      </x:c>
      <x:c r="R539" s="15" t="str"/>
      <x:c r="S539" s="15" t="str"/>
      <x:c r="T539" s="15" t="str">
        <x:v>Log first source path or blocker</x:v>
      </x:c>
      <x:c r="U539" s="12" t="str">
        <x:f>IF(OR(P539="Unverified",Q539="Not checked"),"BLOCKED_PENDING_RECEIPT","READY_FOR_REVIEW")</x:f>
        <x:v>BLOCKED_PENDING_RECEIPT</x:v>
      </x:c>
      <x:c r="V539" s="12" t="str">
        <x:f>IF(J539="DONE","RETURNED",IF(U539="BLOCKED_PENDING_RECEIPT","SOURCE_TOUCH_REQUIRED","IN_PROGRESS"))</x:f>
        <x:v>SOURCE_TOUCH_REQUIRED</x:v>
      </x:c>
      <x:c r="W539" s="12" t="str">
        <x:f>IF(P539="Unverified","missing_receipt","receipt_logged")</x:f>
        <x:v>missing_receipt</x:v>
      </x:c>
      <x:c r="X539" s="12" t="str">
        <x:f>IF(Q539="Not checked","raw_status_missing","raw_status_logged")</x:f>
        <x:v>raw_status_missing</x:v>
      </x:c>
      <x:c r="Y539" s="12" t="str">
        <x:f>IF(U539="BLOCKED_PENDING_RECEIPT","Log source path or blocker; do not promote","Route to review lane")</x:f>
        <x:v>Log source path or blocker; do not promote</x:v>
      </x:c>
      <x:c r="Z539" s="12" t="str">
        <x:f>IF(K539="P0","Primary seat + Hashlight/Lucerna","Seat lane")</x:f>
        <x:v>Seat lane</x:v>
      </x:c>
      <x:c r="AA539" s="12" t="str">
        <x:f>IF(R539="","no_claim_delta","claim_delta_present")</x:f>
        <x:v>no_claim_delta</x:v>
      </x:c>
      <x:c r="AB539" s="12" t="str">
        <x:f>IF(S539="","no_contradiction_delta","contradiction_delta_present")</x:f>
        <x:v>no_contradiction_delta</x:v>
      </x:c>
      <x:c r="AC539" s="12" t="str">
        <x:f>IF(OR(ISNUMBER(SEARCH("hacker",LOWER(F539&amp;" "&amp;H539&amp;" "&amp;I539&amp;" "&amp;M539&amp;" "&amp;N539&amp;" "&amp;T539))),ISNUMBER(SEARCH("hacking",LOWER(F539&amp;" "&amp;H539&amp;" "&amp;I539&amp;" "&amp;M539&amp;" "&amp;N539&amp;" "&amp;T539))),ISNUMBER(SEARCH("bank",LOWER(F539&amp;" "&amp;H539&amp;" "&amp;I539&amp;" "&amp;M539&amp;" "&amp;N539&amp;" "&amp;T539))),ISNUMBER(SEARCH("banking",LOWER(F539&amp;" "&amp;H539&amp;" "&amp;I539&amp;" "&amp;M539&amp;" "&amp;N539&amp;" "&amp;T539)))),"PRIVATE_QUARANTINE",IF(OR(ISNUMBER(SEARCH("treasury",LOWER(F539&amp;" "&amp;H539&amp;" "&amp;I539&amp;" "&amp;M539&amp;" "&amp;N539&amp;" "&amp;T539))),ISNUMBER(SEARCH("debt",LOWER(F539&amp;" "&amp;H539&amp;" "&amp;I539&amp;" "&amp;M539&amp;" "&amp;N539&amp;" "&amp;T539))),ISNUMBER(SEARCH("bond",LOWER(F539&amp;" "&amp;H539&amp;" "&amp;I539&amp;" "&amp;M539&amp;" "&amp;N539&amp;" "&amp;T539))),ISNUMBER(SEARCH("transaction",LOWER(F539&amp;" "&amp;H539&amp;" "&amp;I539&amp;" "&amp;M539&amp;" "&amp;N539&amp;" "&amp;T539)))),"PRIVATE_REVIEW","PUBLIC_CANDIDATE"))</x:f>
        <x:v>PUBLIC_CANDIDATE</x:v>
      </x:c>
      <x:c r="AD539" s="12" t="str">
        <x:f>IF(AC539="PRIVATE_QUARANTINE","hacker_or_bank_trigger",IF(AC539="PRIVATE_REVIEW","finance_risk_trigger","none"))</x:f>
        <x:v>none</x:v>
      </x:c>
      <x:c r="AE539" s="12" t="str">
        <x:f>IF(AC539="PUBLIC_CANDIDATE","prepare_public_github_candidate",IF(AC539="PRIVATE_REVIEW","hold_for_private_review","quarantine_private_do_not_publish"))</x:f>
        <x:v>prepare_public_github_candidate</x:v>
      </x:c>
      <x:c r="AF539" s="12" t="str">
        <x:f>IF(AC539="PUBLIC_CANDIDATE","TIDELOCK + Lucerna",IF(AC539="PRIVATE_REVIEW","AtlasBrain + Lucerna","TIDELOCK + Lucerna + Human-root"))</x:f>
        <x:v>TIDELOCK + Lucerna</x:v>
      </x:c>
      <x:c r="AG539" s="12" t="str">
        <x:f>IF(AND(AC539="PUBLIC_CANDIDATE",U539&lt;&gt;"BLOCKED_PENDING_RECEIPT"),"READY_AFTER_RECEIPT","NOT_READY")</x:f>
        <x:v>NOT_READY</x:v>
      </x:c>
      <x:c r="AH539" s="12" t="str">
        <x:f>IF(AC539="PUBLIC_CANDIDATE","none",AD539)</x:f>
        <x:v>none</x:v>
      </x:c>
      <x:c r="AI539" s="12" t="str">
        <x:f>IF(AC539="PUBLIC_CANDIDATE","archive/public_candidates/"&amp;A539,"private_quarantine/"&amp;A539)</x:f>
        <x:v>archive/public_candidates/SWARM-04-H09-S10</x:v>
      </x:c>
      <x:c r="AJ539" s="12" t="str">
        <x:f>IF(AC539="PUBLIC_CANDIDATE","public by default; still not canon","private/hold; do not publish")</x:f>
        <x:v>public by default; still not canon</x:v>
      </x:c>
      <x:c r="AK539" s="12" t="str">
        <x:f>IF(AE539="prepare_public_github_candidate","add receipt/status then mirror","resolve blocker before any public GitHub action")</x:f>
        <x:v>add receipt/status then mirror</x:v>
      </x:c>
    </x:row>
    <x:row r="540">
      <x:c r="A540" s="15" t="str">
        <x:v>SWARM-04-H09-S11</x:v>
      </x:c>
      <x:c r="B540" s="15" t="str">
        <x:v>Tidelock</x:v>
      </x:c>
      <x:c r="C540" s="15" t="str">
        <x:v>Access blocker keeper</x:v>
      </x:c>
      <x:c r="D540" s="15" t="str">
        <x:v>Review Queues</x:v>
      </x:c>
      <x:c r="E540" s="15" t="str">
        <x:v>Automation</x:v>
      </x:c>
      <x:c r="F540" s="15" t="str">
        <x:v>Queue review for Automation — Tidelock</x:v>
      </x:c>
      <x:c r="G540" s="15" t="str">
        <x:v>missing access / blocker ledger / next safe action</x:v>
      </x:c>
      <x:c r="H540" s="15" t="str">
        <x:v>source path + receipt + raw/export status + claim/edge/risk delta</x:v>
      </x:c>
      <x:c r="I540" s="15" t="str">
        <x:v>packet/SWARM-04-H09-S11</x:v>
      </x:c>
      <x:c r="J540" s="15" t="str">
        <x:v>TODO</x:v>
      </x:c>
      <x:c r="K540" s="15" t="str">
        <x:v>P2</x:v>
      </x:c>
      <x:c r="L540" s="15" t="str">
        <x:v>Done only when evidence is logged, contradiction search is noted, and boundary stamp remains non-canon unless ratified</x:v>
      </x:c>
      <x:c r="M540" s="15" t="str">
        <x:v>candidate / staging-only / not canon / not deployed / authority none</x:v>
      </x:c>
      <x:c r="N540" s="15" t="str">
        <x:v>Dispatch to Tidelock: complete Review Queues x Automation; return deltas only, receipts required.</x:v>
      </x:c>
      <x:c r="O540" s="15" t="str">
        <x:v>AF-KG-H09-S11</x:v>
      </x:c>
      <x:c r="P540" s="15" t="str">
        <x:v>Unverified</x:v>
      </x:c>
      <x:c r="Q540" s="15" t="str">
        <x:v>Not checked</x:v>
      </x:c>
      <x:c r="R540" s="15" t="str"/>
      <x:c r="S540" s="15" t="str"/>
      <x:c r="T540" s="15" t="str">
        <x:v>Log first source path or blocker</x:v>
      </x:c>
      <x:c r="U540" s="12" t="str">
        <x:f>IF(OR(P540="Unverified",Q540="Not checked"),"BLOCKED_PENDING_RECEIPT","READY_FOR_REVIEW")</x:f>
        <x:v>BLOCKED_PENDING_RECEIPT</x:v>
      </x:c>
      <x:c r="V540" s="12" t="str">
        <x:f>IF(J540="DONE","RETURNED",IF(U540="BLOCKED_PENDING_RECEIPT","SOURCE_TOUCH_REQUIRED","IN_PROGRESS"))</x:f>
        <x:v>SOURCE_TOUCH_REQUIRED</x:v>
      </x:c>
      <x:c r="W540" s="12" t="str">
        <x:f>IF(P540="Unverified","missing_receipt","receipt_logged")</x:f>
        <x:v>missing_receipt</x:v>
      </x:c>
      <x:c r="X540" s="12" t="str">
        <x:f>IF(Q540="Not checked","raw_status_missing","raw_status_logged")</x:f>
        <x:v>raw_status_missing</x:v>
      </x:c>
      <x:c r="Y540" s="12" t="str">
        <x:f>IF(U540="BLOCKED_PENDING_RECEIPT","Log source path or blocker; do not promote","Route to review lane")</x:f>
        <x:v>Log source path or blocker; do not promote</x:v>
      </x:c>
      <x:c r="Z540" s="12" t="str">
        <x:f>IF(K540="P0","Primary seat + Hashlight/Lucerna","Seat lane")</x:f>
        <x:v>Seat lane</x:v>
      </x:c>
      <x:c r="AA540" s="12" t="str">
        <x:f>IF(R540="","no_claim_delta","claim_delta_present")</x:f>
        <x:v>no_claim_delta</x:v>
      </x:c>
      <x:c r="AB540" s="12" t="str">
        <x:f>IF(S540="","no_contradiction_delta","contradiction_delta_present")</x:f>
        <x:v>no_contradiction_delta</x:v>
      </x:c>
      <x:c r="AC540" s="12" t="str">
        <x:f>IF(OR(ISNUMBER(SEARCH("hacker",LOWER(F540&amp;" "&amp;H540&amp;" "&amp;I540&amp;" "&amp;M540&amp;" "&amp;N540&amp;" "&amp;T540))),ISNUMBER(SEARCH("hacking",LOWER(F540&amp;" "&amp;H540&amp;" "&amp;I540&amp;" "&amp;M540&amp;" "&amp;N540&amp;" "&amp;T540))),ISNUMBER(SEARCH("bank",LOWER(F540&amp;" "&amp;H540&amp;" "&amp;I540&amp;" "&amp;M540&amp;" "&amp;N540&amp;" "&amp;T540))),ISNUMBER(SEARCH("banking",LOWER(F540&amp;" "&amp;H540&amp;" "&amp;I540&amp;" "&amp;M540&amp;" "&amp;N540&amp;" "&amp;T540)))),"PRIVATE_QUARANTINE",IF(OR(ISNUMBER(SEARCH("treasury",LOWER(F540&amp;" "&amp;H540&amp;" "&amp;I540&amp;" "&amp;M540&amp;" "&amp;N540&amp;" "&amp;T540))),ISNUMBER(SEARCH("debt",LOWER(F540&amp;" "&amp;H540&amp;" "&amp;I540&amp;" "&amp;M540&amp;" "&amp;N540&amp;" "&amp;T540))),ISNUMBER(SEARCH("bond",LOWER(F540&amp;" "&amp;H540&amp;" "&amp;I540&amp;" "&amp;M540&amp;" "&amp;N540&amp;" "&amp;T540))),ISNUMBER(SEARCH("transaction",LOWER(F540&amp;" "&amp;H540&amp;" "&amp;I540&amp;" "&amp;M540&amp;" "&amp;N540&amp;" "&amp;T540)))),"PRIVATE_REVIEW","PUBLIC_CANDIDATE"))</x:f>
        <x:v>PUBLIC_CANDIDATE</x:v>
      </x:c>
      <x:c r="AD540" s="12" t="str">
        <x:f>IF(AC540="PRIVATE_QUARANTINE","hacker_or_bank_trigger",IF(AC540="PRIVATE_REVIEW","finance_risk_trigger","none"))</x:f>
        <x:v>none</x:v>
      </x:c>
      <x:c r="AE540" s="12" t="str">
        <x:f>IF(AC540="PUBLIC_CANDIDATE","prepare_public_github_candidate",IF(AC540="PRIVATE_REVIEW","hold_for_private_review","quarantine_private_do_not_publish"))</x:f>
        <x:v>prepare_public_github_candidate</x:v>
      </x:c>
      <x:c r="AF540" s="12" t="str">
        <x:f>IF(AC540="PUBLIC_CANDIDATE","TIDELOCK + Lucerna",IF(AC540="PRIVATE_REVIEW","AtlasBrain + Lucerna","TIDELOCK + Lucerna + Human-root"))</x:f>
        <x:v>TIDELOCK + Lucerna</x:v>
      </x:c>
      <x:c r="AG540" s="12" t="str">
        <x:f>IF(AND(AC540="PUBLIC_CANDIDATE",U540&lt;&gt;"BLOCKED_PENDING_RECEIPT"),"READY_AFTER_RECEIPT","NOT_READY")</x:f>
        <x:v>NOT_READY</x:v>
      </x:c>
      <x:c r="AH540" s="12" t="str">
        <x:f>IF(AC540="PUBLIC_CANDIDATE","none",AD540)</x:f>
        <x:v>none</x:v>
      </x:c>
      <x:c r="AI540" s="12" t="str">
        <x:f>IF(AC540="PUBLIC_CANDIDATE","archive/public_candidates/"&amp;A540,"private_quarantine/"&amp;A540)</x:f>
        <x:v>archive/public_candidates/SWARM-04-H09-S11</x:v>
      </x:c>
      <x:c r="AJ540" s="12" t="str">
        <x:f>IF(AC540="PUBLIC_CANDIDATE","public by default; still not canon","private/hold; do not publish")</x:f>
        <x:v>public by default; still not canon</x:v>
      </x:c>
      <x:c r="AK540" s="12" t="str">
        <x:f>IF(AE540="prepare_public_github_candidate","add receipt/status then mirror","resolve blocker before any public GitHub action")</x:f>
        <x:v>add receipt/status then mirror</x:v>
      </x:c>
    </x:row>
    <x:row r="541">
      <x:c r="A541" s="15" t="str">
        <x:v>SWARM-04-H09-S12</x:v>
      </x:c>
      <x:c r="B541" s="15" t="str">
        <x:v>Tidelock</x:v>
      </x:c>
      <x:c r="C541" s="15" t="str">
        <x:v>Access blocker keeper</x:v>
      </x:c>
      <x:c r="D541" s="15" t="str">
        <x:v>Review Queues</x:v>
      </x:c>
      <x:c r="E541" s="15" t="str">
        <x:v>Risk / Safety</x:v>
      </x:c>
      <x:c r="F541" s="15" t="str">
        <x:v>Queue review for Risk / Safety — Tidelock</x:v>
      </x:c>
      <x:c r="G541" s="15" t="str">
        <x:v>missing access / blocker ledger / next safe action</x:v>
      </x:c>
      <x:c r="H541" s="15" t="str">
        <x:v>source path + receipt + raw/export status + claim/edge/risk delta</x:v>
      </x:c>
      <x:c r="I541" s="15" t="str">
        <x:v>packet/SWARM-04-H09-S12</x:v>
      </x:c>
      <x:c r="J541" s="15" t="str">
        <x:v>TODO</x:v>
      </x:c>
      <x:c r="K541" s="15" t="str">
        <x:v>P2</x:v>
      </x:c>
      <x:c r="L541" s="15" t="str">
        <x:v>Done only when evidence is logged, contradiction search is noted, and boundary stamp remains non-canon unless ratified</x:v>
      </x:c>
      <x:c r="M541" s="15" t="str">
        <x:v>candidate / staging-only / not canon / not deployed / authority none</x:v>
      </x:c>
      <x:c r="N541" s="15" t="str">
        <x:v>Dispatch to Tidelock: complete Review Queues x Risk / Safety; return deltas only, receipts required.</x:v>
      </x:c>
      <x:c r="O541" s="15" t="str">
        <x:v>AF-KG-H09-S12</x:v>
      </x:c>
      <x:c r="P541" s="15" t="str">
        <x:v>Unverified</x:v>
      </x:c>
      <x:c r="Q541" s="15" t="str">
        <x:v>Not checked</x:v>
      </x:c>
      <x:c r="R541" s="15" t="str"/>
      <x:c r="S541" s="15" t="str"/>
      <x:c r="T541" s="15" t="str">
        <x:v>Log first source path or blocker</x:v>
      </x:c>
      <x:c r="U541" s="12" t="str">
        <x:f>IF(OR(P541="Unverified",Q541="Not checked"),"BLOCKED_PENDING_RECEIPT","READY_FOR_REVIEW")</x:f>
        <x:v>BLOCKED_PENDING_RECEIPT</x:v>
      </x:c>
      <x:c r="V541" s="12" t="str">
        <x:f>IF(J541="DONE","RETURNED",IF(U541="BLOCKED_PENDING_RECEIPT","SOURCE_TOUCH_REQUIRED","IN_PROGRESS"))</x:f>
        <x:v>SOURCE_TOUCH_REQUIRED</x:v>
      </x:c>
      <x:c r="W541" s="12" t="str">
        <x:f>IF(P541="Unverified","missing_receipt","receipt_logged")</x:f>
        <x:v>missing_receipt</x:v>
      </x:c>
      <x:c r="X541" s="12" t="str">
        <x:f>IF(Q541="Not checked","raw_status_missing","raw_status_logged")</x:f>
        <x:v>raw_status_missing</x:v>
      </x:c>
      <x:c r="Y541" s="12" t="str">
        <x:f>IF(U541="BLOCKED_PENDING_RECEIPT","Log source path or blocker; do not promote","Route to review lane")</x:f>
        <x:v>Log source path or blocker; do not promote</x:v>
      </x:c>
      <x:c r="Z541" s="12" t="str">
        <x:f>IF(K541="P0","Primary seat + Hashlight/Lucerna","Seat lane")</x:f>
        <x:v>Seat lane</x:v>
      </x:c>
      <x:c r="AA541" s="12" t="str">
        <x:f>IF(R541="","no_claim_delta","claim_delta_present")</x:f>
        <x:v>no_claim_delta</x:v>
      </x:c>
      <x:c r="AB541" s="12" t="str">
        <x:f>IF(S541="","no_contradiction_delta","contradiction_delta_present")</x:f>
        <x:v>no_contradiction_delta</x:v>
      </x:c>
      <x:c r="AC541" s="12" t="str">
        <x:f>IF(OR(ISNUMBER(SEARCH("hacker",LOWER(F541&amp;" "&amp;H541&amp;" "&amp;I541&amp;" "&amp;M541&amp;" "&amp;N541&amp;" "&amp;T541))),ISNUMBER(SEARCH("hacking",LOWER(F541&amp;" "&amp;H541&amp;" "&amp;I541&amp;" "&amp;M541&amp;" "&amp;N541&amp;" "&amp;T541))),ISNUMBER(SEARCH("bank",LOWER(F541&amp;" "&amp;H541&amp;" "&amp;I541&amp;" "&amp;M541&amp;" "&amp;N541&amp;" "&amp;T541))),ISNUMBER(SEARCH("banking",LOWER(F541&amp;" "&amp;H541&amp;" "&amp;I541&amp;" "&amp;M541&amp;" "&amp;N541&amp;" "&amp;T541)))),"PRIVATE_QUARANTINE",IF(OR(ISNUMBER(SEARCH("treasury",LOWER(F541&amp;" "&amp;H541&amp;" "&amp;I541&amp;" "&amp;M541&amp;" "&amp;N541&amp;" "&amp;T541))),ISNUMBER(SEARCH("debt",LOWER(F541&amp;" "&amp;H541&amp;" "&amp;I541&amp;" "&amp;M541&amp;" "&amp;N541&amp;" "&amp;T541))),ISNUMBER(SEARCH("bond",LOWER(F541&amp;" "&amp;H541&amp;" "&amp;I541&amp;" "&amp;M541&amp;" "&amp;N541&amp;" "&amp;T541))),ISNUMBER(SEARCH("transaction",LOWER(F541&amp;" "&amp;H541&amp;" "&amp;I541&amp;" "&amp;M541&amp;" "&amp;N541&amp;" "&amp;T541)))),"PRIVATE_REVIEW","PUBLIC_CANDIDATE"))</x:f>
        <x:v>PUBLIC_CANDIDATE</x:v>
      </x:c>
      <x:c r="AD541" s="12" t="str">
        <x:f>IF(AC541="PRIVATE_QUARANTINE","hacker_or_bank_trigger",IF(AC541="PRIVATE_REVIEW","finance_risk_trigger","none"))</x:f>
        <x:v>none</x:v>
      </x:c>
      <x:c r="AE541" s="12" t="str">
        <x:f>IF(AC541="PUBLIC_CANDIDATE","prepare_public_github_candidate",IF(AC541="PRIVATE_REVIEW","hold_for_private_review","quarantine_private_do_not_publish"))</x:f>
        <x:v>prepare_public_github_candidate</x:v>
      </x:c>
      <x:c r="AF541" s="12" t="str">
        <x:f>IF(AC541="PUBLIC_CANDIDATE","TIDELOCK + Lucerna",IF(AC541="PRIVATE_REVIEW","AtlasBrain + Lucerna","TIDELOCK + Lucerna + Human-root"))</x:f>
        <x:v>TIDELOCK + Lucerna</x:v>
      </x:c>
      <x:c r="AG541" s="12" t="str">
        <x:f>IF(AND(AC541="PUBLIC_CANDIDATE",U541&lt;&gt;"BLOCKED_PENDING_RECEIPT"),"READY_AFTER_RECEIPT","NOT_READY")</x:f>
        <x:v>NOT_READY</x:v>
      </x:c>
      <x:c r="AH541" s="12" t="str">
        <x:f>IF(AC541="PUBLIC_CANDIDATE","none",AD541)</x:f>
        <x:v>none</x:v>
      </x:c>
      <x:c r="AI541" s="12" t="str">
        <x:f>IF(AC541="PUBLIC_CANDIDATE","archive/public_candidates/"&amp;A541,"private_quarantine/"&amp;A541)</x:f>
        <x:v>archive/public_candidates/SWARM-04-H09-S12</x:v>
      </x:c>
      <x:c r="AJ541" s="12" t="str">
        <x:f>IF(AC541="PUBLIC_CANDIDATE","public by default; still not canon","private/hold; do not publish")</x:f>
        <x:v>public by default; still not canon</x:v>
      </x:c>
      <x:c r="AK541" s="12" t="str">
        <x:f>IF(AE541="prepare_public_github_candidate","add receipt/status then mirror","resolve blocker before any public GitHub action")</x:f>
        <x:v>add receipt/status then mirror</x:v>
      </x:c>
    </x:row>
    <x:row r="542">
      <x:c r="A542" s="15" t="str">
        <x:v>SWARM-04-H10-S01</x:v>
      </x:c>
      <x:c r="B542" s="15" t="str">
        <x:v>Tidelock</x:v>
      </x:c>
      <x:c r="C542" s="15" t="str">
        <x:v>Access blocker keeper</x:v>
      </x:c>
      <x:c r="D542" s="15" t="str">
        <x:v>GitHub Source Packets</x:v>
      </x:c>
      <x:c r="E542" s="15" t="str">
        <x:v>Notion</x:v>
      </x:c>
      <x:c r="F542" s="15" t="str">
        <x:v>Build source packet for Notion — Tidelock</x:v>
      </x:c>
      <x:c r="G542" s="15" t="str">
        <x:v>missing access / blocker ledger / next safe action</x:v>
      </x:c>
      <x:c r="H542" s="15" t="str">
        <x:v>source path + receipt + raw/export status + claim/edge/risk delta</x:v>
      </x:c>
      <x:c r="I542" s="15" t="str">
        <x:v>packet/SWARM-04-H10-S01</x:v>
      </x:c>
      <x:c r="J542" s="15" t="str">
        <x:v>TODO</x:v>
      </x:c>
      <x:c r="K542" s="15" t="str">
        <x:v>P0</x:v>
      </x:c>
      <x:c r="L542" s="15" t="str">
        <x:v>Done only when evidence is logged, contradiction search is noted, and boundary stamp remains non-canon unless ratified</x:v>
      </x:c>
      <x:c r="M542" s="15" t="str">
        <x:v>candidate / staging-only / not canon / not deployed / authority none</x:v>
      </x:c>
      <x:c r="N542" s="15" t="str">
        <x:v>Dispatch to Tidelock: complete GitHub Source Packets x Notion; return deltas only, receipts required.</x:v>
      </x:c>
      <x:c r="O542" s="15" t="str">
        <x:v>AF-KG-H10-S01</x:v>
      </x:c>
      <x:c r="P542" s="15" t="str">
        <x:v>Unverified</x:v>
      </x:c>
      <x:c r="Q542" s="15" t="str">
        <x:v>Not checked</x:v>
      </x:c>
      <x:c r="R542" s="15" t="str"/>
      <x:c r="S542" s="15" t="str"/>
      <x:c r="T542" s="15" t="str">
        <x:v>Log first source path or blocker</x:v>
      </x:c>
      <x:c r="U542" s="12" t="str">
        <x:f>IF(OR(P542="Unverified",Q542="Not checked"),"BLOCKED_PENDING_RECEIPT","READY_FOR_REVIEW")</x:f>
        <x:v>BLOCKED_PENDING_RECEIPT</x:v>
      </x:c>
      <x:c r="V542" s="12" t="str">
        <x:f>IF(J542="DONE","RETURNED",IF(U542="BLOCKED_PENDING_RECEIPT","SOURCE_TOUCH_REQUIRED","IN_PROGRESS"))</x:f>
        <x:v>SOURCE_TOUCH_REQUIRED</x:v>
      </x:c>
      <x:c r="W542" s="12" t="str">
        <x:f>IF(P542="Unverified","missing_receipt","receipt_logged")</x:f>
        <x:v>missing_receipt</x:v>
      </x:c>
      <x:c r="X542" s="12" t="str">
        <x:f>IF(Q542="Not checked","raw_status_missing","raw_status_logged")</x:f>
        <x:v>raw_status_missing</x:v>
      </x:c>
      <x:c r="Y542" s="12" t="str">
        <x:f>IF(U542="BLOCKED_PENDING_RECEIPT","Log source path or blocker; do not promote","Route to review lane")</x:f>
        <x:v>Log source path or blocker; do not promote</x:v>
      </x:c>
      <x:c r="Z542" s="12" t="str">
        <x:f>IF(K542="P0","Primary seat + Hashlight/Lucerna","Seat lane")</x:f>
        <x:v>Primary seat + Hashlight/Lucerna</x:v>
      </x:c>
      <x:c r="AA542" s="12" t="str">
        <x:f>IF(R542="","no_claim_delta","claim_delta_present")</x:f>
        <x:v>no_claim_delta</x:v>
      </x:c>
      <x:c r="AB542" s="12" t="str">
        <x:f>IF(S542="","no_contradiction_delta","contradiction_delta_present")</x:f>
        <x:v>no_contradiction_delta</x:v>
      </x:c>
      <x:c r="AC542" s="12" t="str">
        <x:f>IF(OR(ISNUMBER(SEARCH("hacker",LOWER(F542&amp;" "&amp;H542&amp;" "&amp;I542&amp;" "&amp;M542&amp;" "&amp;N542&amp;" "&amp;T542))),ISNUMBER(SEARCH("hacking",LOWER(F542&amp;" "&amp;H542&amp;" "&amp;I542&amp;" "&amp;M542&amp;" "&amp;N542&amp;" "&amp;T542))),ISNUMBER(SEARCH("bank",LOWER(F542&amp;" "&amp;H542&amp;" "&amp;I542&amp;" "&amp;M542&amp;" "&amp;N542&amp;" "&amp;T542))),ISNUMBER(SEARCH("banking",LOWER(F542&amp;" "&amp;H542&amp;" "&amp;I542&amp;" "&amp;M542&amp;" "&amp;N542&amp;" "&amp;T542)))),"PRIVATE_QUARANTINE",IF(OR(ISNUMBER(SEARCH("treasury",LOWER(F542&amp;" "&amp;H542&amp;" "&amp;I542&amp;" "&amp;M542&amp;" "&amp;N542&amp;" "&amp;T542))),ISNUMBER(SEARCH("debt",LOWER(F542&amp;" "&amp;H542&amp;" "&amp;I542&amp;" "&amp;M542&amp;" "&amp;N542&amp;" "&amp;T542))),ISNUMBER(SEARCH("bond",LOWER(F542&amp;" "&amp;H542&amp;" "&amp;I542&amp;" "&amp;M542&amp;" "&amp;N542&amp;" "&amp;T542))),ISNUMBER(SEARCH("transaction",LOWER(F542&amp;" "&amp;H542&amp;" "&amp;I542&amp;" "&amp;M542&amp;" "&amp;N542&amp;" "&amp;T542)))),"PRIVATE_REVIEW","PUBLIC_CANDIDATE"))</x:f>
        <x:v>PUBLIC_CANDIDATE</x:v>
      </x:c>
      <x:c r="AD542" s="12" t="str">
        <x:f>IF(AC542="PRIVATE_QUARANTINE","hacker_or_bank_trigger",IF(AC542="PRIVATE_REVIEW","finance_risk_trigger","none"))</x:f>
        <x:v>none</x:v>
      </x:c>
      <x:c r="AE542" s="12" t="str">
        <x:f>IF(AC542="PUBLIC_CANDIDATE","prepare_public_github_candidate",IF(AC542="PRIVATE_REVIEW","hold_for_private_review","quarantine_private_do_not_publish"))</x:f>
        <x:v>prepare_public_github_candidate</x:v>
      </x:c>
      <x:c r="AF542" s="12" t="str">
        <x:f>IF(AC542="PUBLIC_CANDIDATE","TIDELOCK + Lucerna",IF(AC542="PRIVATE_REVIEW","AtlasBrain + Lucerna","TIDELOCK + Lucerna + Human-root"))</x:f>
        <x:v>TIDELOCK + Lucerna</x:v>
      </x:c>
      <x:c r="AG542" s="12" t="str">
        <x:f>IF(AND(AC542="PUBLIC_CANDIDATE",U542&lt;&gt;"BLOCKED_PENDING_RECEIPT"),"READY_AFTER_RECEIPT","NOT_READY")</x:f>
        <x:v>NOT_READY</x:v>
      </x:c>
      <x:c r="AH542" s="12" t="str">
        <x:f>IF(AC542="PUBLIC_CANDIDATE","none",AD542)</x:f>
        <x:v>none</x:v>
      </x:c>
      <x:c r="AI542" s="12" t="str">
        <x:f>IF(AC542="PUBLIC_CANDIDATE","archive/public_candidates/"&amp;A542,"private_quarantine/"&amp;A542)</x:f>
        <x:v>archive/public_candidates/SWARM-04-H10-S01</x:v>
      </x:c>
      <x:c r="AJ542" s="12" t="str">
        <x:f>IF(AC542="PUBLIC_CANDIDATE","public by default; still not canon","private/hold; do not publish")</x:f>
        <x:v>public by default; still not canon</x:v>
      </x:c>
      <x:c r="AK542" s="12" t="str">
        <x:f>IF(AE542="prepare_public_github_candidate","add receipt/status then mirror","resolve blocker before any public GitHub action")</x:f>
        <x:v>add receipt/status then mirror</x:v>
      </x:c>
    </x:row>
    <x:row r="543">
      <x:c r="A543" s="15" t="str">
        <x:v>SWARM-04-H10-S02</x:v>
      </x:c>
      <x:c r="B543" s="15" t="str">
        <x:v>Tidelock</x:v>
      </x:c>
      <x:c r="C543" s="15" t="str">
        <x:v>Access blocker keeper</x:v>
      </x:c>
      <x:c r="D543" s="15" t="str">
        <x:v>GitHub Source Packets</x:v>
      </x:c>
      <x:c r="E543" s="15" t="str">
        <x:v>Drive</x:v>
      </x:c>
      <x:c r="F543" s="15" t="str">
        <x:v>Build source packet for Drive — Tidelock</x:v>
      </x:c>
      <x:c r="G543" s="15" t="str">
        <x:v>missing access / blocker ledger / next safe action</x:v>
      </x:c>
      <x:c r="H543" s="15" t="str">
        <x:v>source path + receipt + raw/export status + claim/edge/risk delta</x:v>
      </x:c>
      <x:c r="I543" s="15" t="str">
        <x:v>packet/SWARM-04-H10-S02</x:v>
      </x:c>
      <x:c r="J543" s="15" t="str">
        <x:v>TODO</x:v>
      </x:c>
      <x:c r="K543" s="15" t="str">
        <x:v>P0</x:v>
      </x:c>
      <x:c r="L543" s="15" t="str">
        <x:v>Done only when evidence is logged, contradiction search is noted, and boundary stamp remains non-canon unless ratified</x:v>
      </x:c>
      <x:c r="M543" s="15" t="str">
        <x:v>candidate / staging-only / not canon / not deployed / authority none</x:v>
      </x:c>
      <x:c r="N543" s="15" t="str">
        <x:v>Dispatch to Tidelock: complete GitHub Source Packets x Drive; return deltas only, receipts required.</x:v>
      </x:c>
      <x:c r="O543" s="15" t="str">
        <x:v>AF-KG-H10-S02</x:v>
      </x:c>
      <x:c r="P543" s="15" t="str">
        <x:v>Unverified</x:v>
      </x:c>
      <x:c r="Q543" s="15" t="str">
        <x:v>Not checked</x:v>
      </x:c>
      <x:c r="R543" s="15" t="str"/>
      <x:c r="S543" s="15" t="str"/>
      <x:c r="T543" s="15" t="str">
        <x:v>Log first source path or blocker</x:v>
      </x:c>
      <x:c r="U543" s="12" t="str">
        <x:f>IF(OR(P543="Unverified",Q543="Not checked"),"BLOCKED_PENDING_RECEIPT","READY_FOR_REVIEW")</x:f>
        <x:v>BLOCKED_PENDING_RECEIPT</x:v>
      </x:c>
      <x:c r="V543" s="12" t="str">
        <x:f>IF(J543="DONE","RETURNED",IF(U543="BLOCKED_PENDING_RECEIPT","SOURCE_TOUCH_REQUIRED","IN_PROGRESS"))</x:f>
        <x:v>SOURCE_TOUCH_REQUIRED</x:v>
      </x:c>
      <x:c r="W543" s="12" t="str">
        <x:f>IF(P543="Unverified","missing_receipt","receipt_logged")</x:f>
        <x:v>missing_receipt</x:v>
      </x:c>
      <x:c r="X543" s="12" t="str">
        <x:f>IF(Q543="Not checked","raw_status_missing","raw_status_logged")</x:f>
        <x:v>raw_status_missing</x:v>
      </x:c>
      <x:c r="Y543" s="12" t="str">
        <x:f>IF(U543="BLOCKED_PENDING_RECEIPT","Log source path or blocker; do not promote","Route to review lane")</x:f>
        <x:v>Log source path or blocker; do not promote</x:v>
      </x:c>
      <x:c r="Z543" s="12" t="str">
        <x:f>IF(K543="P0","Primary seat + Hashlight/Lucerna","Seat lane")</x:f>
        <x:v>Primary seat + Hashlight/Lucerna</x:v>
      </x:c>
      <x:c r="AA543" s="12" t="str">
        <x:f>IF(R543="","no_claim_delta","claim_delta_present")</x:f>
        <x:v>no_claim_delta</x:v>
      </x:c>
      <x:c r="AB543" s="12" t="str">
        <x:f>IF(S543="","no_contradiction_delta","contradiction_delta_present")</x:f>
        <x:v>no_contradiction_delta</x:v>
      </x:c>
      <x:c r="AC543" s="12" t="str">
        <x:f>IF(OR(ISNUMBER(SEARCH("hacker",LOWER(F543&amp;" "&amp;H543&amp;" "&amp;I543&amp;" "&amp;M543&amp;" "&amp;N543&amp;" "&amp;T543))),ISNUMBER(SEARCH("hacking",LOWER(F543&amp;" "&amp;H543&amp;" "&amp;I543&amp;" "&amp;M543&amp;" "&amp;N543&amp;" "&amp;T543))),ISNUMBER(SEARCH("bank",LOWER(F543&amp;" "&amp;H543&amp;" "&amp;I543&amp;" "&amp;M543&amp;" "&amp;N543&amp;" "&amp;T543))),ISNUMBER(SEARCH("banking",LOWER(F543&amp;" "&amp;H543&amp;" "&amp;I543&amp;" "&amp;M543&amp;" "&amp;N543&amp;" "&amp;T543)))),"PRIVATE_QUARANTINE",IF(OR(ISNUMBER(SEARCH("treasury",LOWER(F543&amp;" "&amp;H543&amp;" "&amp;I543&amp;" "&amp;M543&amp;" "&amp;N543&amp;" "&amp;T543))),ISNUMBER(SEARCH("debt",LOWER(F543&amp;" "&amp;H543&amp;" "&amp;I543&amp;" "&amp;M543&amp;" "&amp;N543&amp;" "&amp;T543))),ISNUMBER(SEARCH("bond",LOWER(F543&amp;" "&amp;H543&amp;" "&amp;I543&amp;" "&amp;M543&amp;" "&amp;N543&amp;" "&amp;T543))),ISNUMBER(SEARCH("transaction",LOWER(F543&amp;" "&amp;H543&amp;" "&amp;I543&amp;" "&amp;M543&amp;" "&amp;N543&amp;" "&amp;T543)))),"PRIVATE_REVIEW","PUBLIC_CANDIDATE"))</x:f>
        <x:v>PUBLIC_CANDIDATE</x:v>
      </x:c>
      <x:c r="AD543" s="12" t="str">
        <x:f>IF(AC543="PRIVATE_QUARANTINE","hacker_or_bank_trigger",IF(AC543="PRIVATE_REVIEW","finance_risk_trigger","none"))</x:f>
        <x:v>none</x:v>
      </x:c>
      <x:c r="AE543" s="12" t="str">
        <x:f>IF(AC543="PUBLIC_CANDIDATE","prepare_public_github_candidate",IF(AC543="PRIVATE_REVIEW","hold_for_private_review","quarantine_private_do_not_publish"))</x:f>
        <x:v>prepare_public_github_candidate</x:v>
      </x:c>
      <x:c r="AF543" s="12" t="str">
        <x:f>IF(AC543="PUBLIC_CANDIDATE","TIDELOCK + Lucerna",IF(AC543="PRIVATE_REVIEW","AtlasBrain + Lucerna","TIDELOCK + Lucerna + Human-root"))</x:f>
        <x:v>TIDELOCK + Lucerna</x:v>
      </x:c>
      <x:c r="AG543" s="12" t="str">
        <x:f>IF(AND(AC543="PUBLIC_CANDIDATE",U543&lt;&gt;"BLOCKED_PENDING_RECEIPT"),"READY_AFTER_RECEIPT","NOT_READY")</x:f>
        <x:v>NOT_READY</x:v>
      </x:c>
      <x:c r="AH543" s="12" t="str">
        <x:f>IF(AC543="PUBLIC_CANDIDATE","none",AD543)</x:f>
        <x:v>none</x:v>
      </x:c>
      <x:c r="AI543" s="12" t="str">
        <x:f>IF(AC543="PUBLIC_CANDIDATE","archive/public_candidates/"&amp;A543,"private_quarantine/"&amp;A543)</x:f>
        <x:v>archive/public_candidates/SWARM-04-H10-S02</x:v>
      </x:c>
      <x:c r="AJ543" s="12" t="str">
        <x:f>IF(AC543="PUBLIC_CANDIDATE","public by default; still not canon","private/hold; do not publish")</x:f>
        <x:v>public by default; still not canon</x:v>
      </x:c>
      <x:c r="AK543" s="12" t="str">
        <x:f>IF(AE543="prepare_public_github_candidate","add receipt/status then mirror","resolve blocker before any public GitHub action")</x:f>
        <x:v>add receipt/status then mirror</x:v>
      </x:c>
    </x:row>
    <x:row r="544">
      <x:c r="A544" s="15" t="str">
        <x:v>SWARM-04-H10-S03</x:v>
      </x:c>
      <x:c r="B544" s="15" t="str">
        <x:v>Tidelock</x:v>
      </x:c>
      <x:c r="C544" s="15" t="str">
        <x:v>Access blocker keeper</x:v>
      </x:c>
      <x:c r="D544" s="15" t="str">
        <x:v>GitHub Source Packets</x:v>
      </x:c>
      <x:c r="E544" s="15" t="str">
        <x:v>GitHub</x:v>
      </x:c>
      <x:c r="F544" s="15" t="str">
        <x:v>Build source packet for GitHub — Tidelock</x:v>
      </x:c>
      <x:c r="G544" s="15" t="str">
        <x:v>missing access / blocker ledger / next safe action</x:v>
      </x:c>
      <x:c r="H544" s="15" t="str">
        <x:v>source path + receipt + raw/export status + claim/edge/risk delta</x:v>
      </x:c>
      <x:c r="I544" s="15" t="str">
        <x:v>packet/SWARM-04-H10-S03</x:v>
      </x:c>
      <x:c r="J544" s="15" t="str">
        <x:v>TODO</x:v>
      </x:c>
      <x:c r="K544" s="15" t="str">
        <x:v>P0</x:v>
      </x:c>
      <x:c r="L544" s="15" t="str">
        <x:v>Done only when evidence is logged, contradiction search is noted, and boundary stamp remains non-canon unless ratified</x:v>
      </x:c>
      <x:c r="M544" s="15" t="str">
        <x:v>candidate / staging-only / not canon / not deployed / authority none</x:v>
      </x:c>
      <x:c r="N544" s="15" t="str">
        <x:v>Dispatch to Tidelock: complete GitHub Source Packets x GitHub; return deltas only, receipts required.</x:v>
      </x:c>
      <x:c r="O544" s="15" t="str">
        <x:v>AF-KG-H10-S03</x:v>
      </x:c>
      <x:c r="P544" s="15" t="str">
        <x:v>Unverified</x:v>
      </x:c>
      <x:c r="Q544" s="15" t="str">
        <x:v>Not checked</x:v>
      </x:c>
      <x:c r="R544" s="15" t="str"/>
      <x:c r="S544" s="15" t="str"/>
      <x:c r="T544" s="15" t="str">
        <x:v>Log first source path or blocker</x:v>
      </x:c>
      <x:c r="U544" s="12" t="str">
        <x:f>IF(OR(P544="Unverified",Q544="Not checked"),"BLOCKED_PENDING_RECEIPT","READY_FOR_REVIEW")</x:f>
        <x:v>BLOCKED_PENDING_RECEIPT</x:v>
      </x:c>
      <x:c r="V544" s="12" t="str">
        <x:f>IF(J544="DONE","RETURNED",IF(U544="BLOCKED_PENDING_RECEIPT","SOURCE_TOUCH_REQUIRED","IN_PROGRESS"))</x:f>
        <x:v>SOURCE_TOUCH_REQUIRED</x:v>
      </x:c>
      <x:c r="W544" s="12" t="str">
        <x:f>IF(P544="Unverified","missing_receipt","receipt_logged")</x:f>
        <x:v>missing_receipt</x:v>
      </x:c>
      <x:c r="X544" s="12" t="str">
        <x:f>IF(Q544="Not checked","raw_status_missing","raw_status_logged")</x:f>
        <x:v>raw_status_missing</x:v>
      </x:c>
      <x:c r="Y544" s="12" t="str">
        <x:f>IF(U544="BLOCKED_PENDING_RECEIPT","Log source path or blocker; do not promote","Route to review lane")</x:f>
        <x:v>Log source path or blocker; do not promote</x:v>
      </x:c>
      <x:c r="Z544" s="12" t="str">
        <x:f>IF(K544="P0","Primary seat + Hashlight/Lucerna","Seat lane")</x:f>
        <x:v>Primary seat + Hashlight/Lucerna</x:v>
      </x:c>
      <x:c r="AA544" s="12" t="str">
        <x:f>IF(R544="","no_claim_delta","claim_delta_present")</x:f>
        <x:v>no_claim_delta</x:v>
      </x:c>
      <x:c r="AB544" s="12" t="str">
        <x:f>IF(S544="","no_contradiction_delta","contradiction_delta_present")</x:f>
        <x:v>no_contradiction_delta</x:v>
      </x:c>
      <x:c r="AC544" s="12" t="str">
        <x:f>IF(OR(ISNUMBER(SEARCH("hacker",LOWER(F544&amp;" "&amp;H544&amp;" "&amp;I544&amp;" "&amp;M544&amp;" "&amp;N544&amp;" "&amp;T544))),ISNUMBER(SEARCH("hacking",LOWER(F544&amp;" "&amp;H544&amp;" "&amp;I544&amp;" "&amp;M544&amp;" "&amp;N544&amp;" "&amp;T544))),ISNUMBER(SEARCH("bank",LOWER(F544&amp;" "&amp;H544&amp;" "&amp;I544&amp;" "&amp;M544&amp;" "&amp;N544&amp;" "&amp;T544))),ISNUMBER(SEARCH("banking",LOWER(F544&amp;" "&amp;H544&amp;" "&amp;I544&amp;" "&amp;M544&amp;" "&amp;N544&amp;" "&amp;T544)))),"PRIVATE_QUARANTINE",IF(OR(ISNUMBER(SEARCH("treasury",LOWER(F544&amp;" "&amp;H544&amp;" "&amp;I544&amp;" "&amp;M544&amp;" "&amp;N544&amp;" "&amp;T544))),ISNUMBER(SEARCH("debt",LOWER(F544&amp;" "&amp;H544&amp;" "&amp;I544&amp;" "&amp;M544&amp;" "&amp;N544&amp;" "&amp;T544))),ISNUMBER(SEARCH("bond",LOWER(F544&amp;" "&amp;H544&amp;" "&amp;I544&amp;" "&amp;M544&amp;" "&amp;N544&amp;" "&amp;T544))),ISNUMBER(SEARCH("transaction",LOWER(F544&amp;" "&amp;H544&amp;" "&amp;I544&amp;" "&amp;M544&amp;" "&amp;N544&amp;" "&amp;T544)))),"PRIVATE_REVIEW","PUBLIC_CANDIDATE"))</x:f>
        <x:v>PUBLIC_CANDIDATE</x:v>
      </x:c>
      <x:c r="AD544" s="12" t="str">
        <x:f>IF(AC544="PRIVATE_QUARANTINE","hacker_or_bank_trigger",IF(AC544="PRIVATE_REVIEW","finance_risk_trigger","none"))</x:f>
        <x:v>none</x:v>
      </x:c>
      <x:c r="AE544" s="12" t="str">
        <x:f>IF(AC544="PUBLIC_CANDIDATE","prepare_public_github_candidate",IF(AC544="PRIVATE_REVIEW","hold_for_private_review","quarantine_private_do_not_publish"))</x:f>
        <x:v>prepare_public_github_candidate</x:v>
      </x:c>
      <x:c r="AF544" s="12" t="str">
        <x:f>IF(AC544="PUBLIC_CANDIDATE","TIDELOCK + Lucerna",IF(AC544="PRIVATE_REVIEW","AtlasBrain + Lucerna","TIDELOCK + Lucerna + Human-root"))</x:f>
        <x:v>TIDELOCK + Lucerna</x:v>
      </x:c>
      <x:c r="AG544" s="12" t="str">
        <x:f>IF(AND(AC544="PUBLIC_CANDIDATE",U544&lt;&gt;"BLOCKED_PENDING_RECEIPT"),"READY_AFTER_RECEIPT","NOT_READY")</x:f>
        <x:v>NOT_READY</x:v>
      </x:c>
      <x:c r="AH544" s="12" t="str">
        <x:f>IF(AC544="PUBLIC_CANDIDATE","none",AD544)</x:f>
        <x:v>none</x:v>
      </x:c>
      <x:c r="AI544" s="12" t="str">
        <x:f>IF(AC544="PUBLIC_CANDIDATE","archive/public_candidates/"&amp;A544,"private_quarantine/"&amp;A544)</x:f>
        <x:v>archive/public_candidates/SWARM-04-H10-S03</x:v>
      </x:c>
      <x:c r="AJ544" s="12" t="str">
        <x:f>IF(AC544="PUBLIC_CANDIDATE","public by default; still not canon","private/hold; do not publish")</x:f>
        <x:v>public by default; still not canon</x:v>
      </x:c>
      <x:c r="AK544" s="12" t="str">
        <x:f>IF(AE544="prepare_public_github_candidate","add receipt/status then mirror","resolve blocker before any public GitHub action")</x:f>
        <x:v>add receipt/status then mirror</x:v>
      </x:c>
    </x:row>
    <x:row r="545">
      <x:c r="A545" s="15" t="str">
        <x:v>SWARM-04-H10-S04</x:v>
      </x:c>
      <x:c r="B545" s="15" t="str">
        <x:v>Tidelock</x:v>
      </x:c>
      <x:c r="C545" s="15" t="str">
        <x:v>Access blocker keeper</x:v>
      </x:c>
      <x:c r="D545" s="15" t="str">
        <x:v>GitHub Source Packets</x:v>
      </x:c>
      <x:c r="E545" s="15" t="str">
        <x:v>Gamma</x:v>
      </x:c>
      <x:c r="F545" s="15" t="str">
        <x:v>Build source packet for Gamma — Tidelock</x:v>
      </x:c>
      <x:c r="G545" s="15" t="str">
        <x:v>missing access / blocker ledger / next safe action</x:v>
      </x:c>
      <x:c r="H545" s="15" t="str">
        <x:v>source path + receipt + raw/export status + claim/edge/risk delta</x:v>
      </x:c>
      <x:c r="I545" s="15" t="str">
        <x:v>packet/SWARM-04-H10-S04</x:v>
      </x:c>
      <x:c r="J545" s="15" t="str">
        <x:v>TODO</x:v>
      </x:c>
      <x:c r="K545" s="15" t="str">
        <x:v>P1</x:v>
      </x:c>
      <x:c r="L545" s="15" t="str">
        <x:v>Done only when evidence is logged, contradiction search is noted, and boundary stamp remains non-canon unless ratified</x:v>
      </x:c>
      <x:c r="M545" s="15" t="str">
        <x:v>candidate / staging-only / not canon / not deployed / authority none</x:v>
      </x:c>
      <x:c r="N545" s="15" t="str">
        <x:v>Dispatch to Tidelock: complete GitHub Source Packets x Gamma; return deltas only, receipts required.</x:v>
      </x:c>
      <x:c r="O545" s="15" t="str">
        <x:v>AF-KG-H10-S04</x:v>
      </x:c>
      <x:c r="P545" s="15" t="str">
        <x:v>Unverified</x:v>
      </x:c>
      <x:c r="Q545" s="15" t="str">
        <x:v>Not checked</x:v>
      </x:c>
      <x:c r="R545" s="15" t="str"/>
      <x:c r="S545" s="15" t="str"/>
      <x:c r="T545" s="15" t="str">
        <x:v>Log first source path or blocker</x:v>
      </x:c>
      <x:c r="U545" s="12" t="str">
        <x:f>IF(OR(P545="Unverified",Q545="Not checked"),"BLOCKED_PENDING_RECEIPT","READY_FOR_REVIEW")</x:f>
        <x:v>BLOCKED_PENDING_RECEIPT</x:v>
      </x:c>
      <x:c r="V545" s="12" t="str">
        <x:f>IF(J545="DONE","RETURNED",IF(U545="BLOCKED_PENDING_RECEIPT","SOURCE_TOUCH_REQUIRED","IN_PROGRESS"))</x:f>
        <x:v>SOURCE_TOUCH_REQUIRED</x:v>
      </x:c>
      <x:c r="W545" s="12" t="str">
        <x:f>IF(P545="Unverified","missing_receipt","receipt_logged")</x:f>
        <x:v>missing_receipt</x:v>
      </x:c>
      <x:c r="X545" s="12" t="str">
        <x:f>IF(Q545="Not checked","raw_status_missing","raw_status_logged")</x:f>
        <x:v>raw_status_missing</x:v>
      </x:c>
      <x:c r="Y545" s="12" t="str">
        <x:f>IF(U545="BLOCKED_PENDING_RECEIPT","Log source path or blocker; do not promote","Route to review lane")</x:f>
        <x:v>Log source path or blocker; do not promote</x:v>
      </x:c>
      <x:c r="Z545" s="12" t="str">
        <x:f>IF(K545="P0","Primary seat + Hashlight/Lucerna","Seat lane")</x:f>
        <x:v>Seat lane</x:v>
      </x:c>
      <x:c r="AA545" s="12" t="str">
        <x:f>IF(R545="","no_claim_delta","claim_delta_present")</x:f>
        <x:v>no_claim_delta</x:v>
      </x:c>
      <x:c r="AB545" s="12" t="str">
        <x:f>IF(S545="","no_contradiction_delta","contradiction_delta_present")</x:f>
        <x:v>no_contradiction_delta</x:v>
      </x:c>
      <x:c r="AC545" s="12" t="str">
        <x:f>IF(OR(ISNUMBER(SEARCH("hacker",LOWER(F545&amp;" "&amp;H545&amp;" "&amp;I545&amp;" "&amp;M545&amp;" "&amp;N545&amp;" "&amp;T545))),ISNUMBER(SEARCH("hacking",LOWER(F545&amp;" "&amp;H545&amp;" "&amp;I545&amp;" "&amp;M545&amp;" "&amp;N545&amp;" "&amp;T545))),ISNUMBER(SEARCH("bank",LOWER(F545&amp;" "&amp;H545&amp;" "&amp;I545&amp;" "&amp;M545&amp;" "&amp;N545&amp;" "&amp;T545))),ISNUMBER(SEARCH("banking",LOWER(F545&amp;" "&amp;H545&amp;" "&amp;I545&amp;" "&amp;M545&amp;" "&amp;N545&amp;" "&amp;T545)))),"PRIVATE_QUARANTINE",IF(OR(ISNUMBER(SEARCH("treasury",LOWER(F545&amp;" "&amp;H545&amp;" "&amp;I545&amp;" "&amp;M545&amp;" "&amp;N545&amp;" "&amp;T545))),ISNUMBER(SEARCH("debt",LOWER(F545&amp;" "&amp;H545&amp;" "&amp;I545&amp;" "&amp;M545&amp;" "&amp;N545&amp;" "&amp;T545))),ISNUMBER(SEARCH("bond",LOWER(F545&amp;" "&amp;H545&amp;" "&amp;I545&amp;" "&amp;M545&amp;" "&amp;N545&amp;" "&amp;T545))),ISNUMBER(SEARCH("transaction",LOWER(F545&amp;" "&amp;H545&amp;" "&amp;I545&amp;" "&amp;M545&amp;" "&amp;N545&amp;" "&amp;T545)))),"PRIVATE_REVIEW","PUBLIC_CANDIDATE"))</x:f>
        <x:v>PUBLIC_CANDIDATE</x:v>
      </x:c>
      <x:c r="AD545" s="12" t="str">
        <x:f>IF(AC545="PRIVATE_QUARANTINE","hacker_or_bank_trigger",IF(AC545="PRIVATE_REVIEW","finance_risk_trigger","none"))</x:f>
        <x:v>none</x:v>
      </x:c>
      <x:c r="AE545" s="12" t="str">
        <x:f>IF(AC545="PUBLIC_CANDIDATE","prepare_public_github_candidate",IF(AC545="PRIVATE_REVIEW","hold_for_private_review","quarantine_private_do_not_publish"))</x:f>
        <x:v>prepare_public_github_candidate</x:v>
      </x:c>
      <x:c r="AF545" s="12" t="str">
        <x:f>IF(AC545="PUBLIC_CANDIDATE","TIDELOCK + Lucerna",IF(AC545="PRIVATE_REVIEW","AtlasBrain + Lucerna","TIDELOCK + Lucerna + Human-root"))</x:f>
        <x:v>TIDELOCK + Lucerna</x:v>
      </x:c>
      <x:c r="AG545" s="12" t="str">
        <x:f>IF(AND(AC545="PUBLIC_CANDIDATE",U545&lt;&gt;"BLOCKED_PENDING_RECEIPT"),"READY_AFTER_RECEIPT","NOT_READY")</x:f>
        <x:v>NOT_READY</x:v>
      </x:c>
      <x:c r="AH545" s="12" t="str">
        <x:f>IF(AC545="PUBLIC_CANDIDATE","none",AD545)</x:f>
        <x:v>none</x:v>
      </x:c>
      <x:c r="AI545" s="12" t="str">
        <x:f>IF(AC545="PUBLIC_CANDIDATE","archive/public_candidates/"&amp;A545,"private_quarantine/"&amp;A545)</x:f>
        <x:v>archive/public_candidates/SWARM-04-H10-S04</x:v>
      </x:c>
      <x:c r="AJ545" s="12" t="str">
        <x:f>IF(AC545="PUBLIC_CANDIDATE","public by default; still not canon","private/hold; do not publish")</x:f>
        <x:v>public by default; still not canon</x:v>
      </x:c>
      <x:c r="AK545" s="12" t="str">
        <x:f>IF(AE545="prepare_public_github_candidate","add receipt/status then mirror","resolve blocker before any public GitHub action")</x:f>
        <x:v>add receipt/status then mirror</x:v>
      </x:c>
    </x:row>
    <x:row r="546">
      <x:c r="A546" s="15" t="str">
        <x:v>SWARM-04-H10-S05</x:v>
      </x:c>
      <x:c r="B546" s="15" t="str">
        <x:v>Tidelock</x:v>
      </x:c>
      <x:c r="C546" s="15" t="str">
        <x:v>Access blocker keeper</x:v>
      </x:c>
      <x:c r="D546" s="15" t="str">
        <x:v>GitHub Source Packets</x:v>
      </x:c>
      <x:c r="E546" s="15" t="str">
        <x:v>Chat</x:v>
      </x:c>
      <x:c r="F546" s="15" t="str">
        <x:v>Build source packet for Chat — Tidelock</x:v>
      </x:c>
      <x:c r="G546" s="15" t="str">
        <x:v>missing access / blocker ledger / next safe action</x:v>
      </x:c>
      <x:c r="H546" s="15" t="str">
        <x:v>source path + receipt + raw/export status + claim/edge/risk delta</x:v>
      </x:c>
      <x:c r="I546" s="15" t="str">
        <x:v>packet/SWARM-04-H10-S05</x:v>
      </x:c>
      <x:c r="J546" s="15" t="str">
        <x:v>TODO</x:v>
      </x:c>
      <x:c r="K546" s="15" t="str">
        <x:v>P1</x:v>
      </x:c>
      <x:c r="L546" s="15" t="str">
        <x:v>Done only when evidence is logged, contradiction search is noted, and boundary stamp remains non-canon unless ratified</x:v>
      </x:c>
      <x:c r="M546" s="15" t="str">
        <x:v>candidate / staging-only / not canon / not deployed / authority none</x:v>
      </x:c>
      <x:c r="N546" s="15" t="str">
        <x:v>Dispatch to Tidelock: complete GitHub Source Packets x Chat; return deltas only, receipts required.</x:v>
      </x:c>
      <x:c r="O546" s="15" t="str">
        <x:v>AF-KG-H10-S05</x:v>
      </x:c>
      <x:c r="P546" s="15" t="str">
        <x:v>Unverified</x:v>
      </x:c>
      <x:c r="Q546" s="15" t="str">
        <x:v>Not checked</x:v>
      </x:c>
      <x:c r="R546" s="15" t="str"/>
      <x:c r="S546" s="15" t="str"/>
      <x:c r="T546" s="15" t="str">
        <x:v>Log first source path or blocker</x:v>
      </x:c>
      <x:c r="U546" s="12" t="str">
        <x:f>IF(OR(P546="Unverified",Q546="Not checked"),"BLOCKED_PENDING_RECEIPT","READY_FOR_REVIEW")</x:f>
        <x:v>BLOCKED_PENDING_RECEIPT</x:v>
      </x:c>
      <x:c r="V546" s="12" t="str">
        <x:f>IF(J546="DONE","RETURNED",IF(U546="BLOCKED_PENDING_RECEIPT","SOURCE_TOUCH_REQUIRED","IN_PROGRESS"))</x:f>
        <x:v>SOURCE_TOUCH_REQUIRED</x:v>
      </x:c>
      <x:c r="W546" s="12" t="str">
        <x:f>IF(P546="Unverified","missing_receipt","receipt_logged")</x:f>
        <x:v>missing_receipt</x:v>
      </x:c>
      <x:c r="X546" s="12" t="str">
        <x:f>IF(Q546="Not checked","raw_status_missing","raw_status_logged")</x:f>
        <x:v>raw_status_missing</x:v>
      </x:c>
      <x:c r="Y546" s="12" t="str">
        <x:f>IF(U546="BLOCKED_PENDING_RECEIPT","Log source path or blocker; do not promote","Route to review lane")</x:f>
        <x:v>Log source path or blocker; do not promote</x:v>
      </x:c>
      <x:c r="Z546" s="12" t="str">
        <x:f>IF(K546="P0","Primary seat + Hashlight/Lucerna","Seat lane")</x:f>
        <x:v>Seat lane</x:v>
      </x:c>
      <x:c r="AA546" s="12" t="str">
        <x:f>IF(R546="","no_claim_delta","claim_delta_present")</x:f>
        <x:v>no_claim_delta</x:v>
      </x:c>
      <x:c r="AB546" s="12" t="str">
        <x:f>IF(S546="","no_contradiction_delta","contradiction_delta_present")</x:f>
        <x:v>no_contradiction_delta</x:v>
      </x:c>
      <x:c r="AC546" s="12" t="str">
        <x:f>IF(OR(ISNUMBER(SEARCH("hacker",LOWER(F546&amp;" "&amp;H546&amp;" "&amp;I546&amp;" "&amp;M546&amp;" "&amp;N546&amp;" "&amp;T546))),ISNUMBER(SEARCH("hacking",LOWER(F546&amp;" "&amp;H546&amp;" "&amp;I546&amp;" "&amp;M546&amp;" "&amp;N546&amp;" "&amp;T546))),ISNUMBER(SEARCH("bank",LOWER(F546&amp;" "&amp;H546&amp;" "&amp;I546&amp;" "&amp;M546&amp;" "&amp;N546&amp;" "&amp;T546))),ISNUMBER(SEARCH("banking",LOWER(F546&amp;" "&amp;H546&amp;" "&amp;I546&amp;" "&amp;M546&amp;" "&amp;N546&amp;" "&amp;T546)))),"PRIVATE_QUARANTINE",IF(OR(ISNUMBER(SEARCH("treasury",LOWER(F546&amp;" "&amp;H546&amp;" "&amp;I546&amp;" "&amp;M546&amp;" "&amp;N546&amp;" "&amp;T546))),ISNUMBER(SEARCH("debt",LOWER(F546&amp;" "&amp;H546&amp;" "&amp;I546&amp;" "&amp;M546&amp;" "&amp;N546&amp;" "&amp;T546))),ISNUMBER(SEARCH("bond",LOWER(F546&amp;" "&amp;H546&amp;" "&amp;I546&amp;" "&amp;M546&amp;" "&amp;N546&amp;" "&amp;T546))),ISNUMBER(SEARCH("transaction",LOWER(F546&amp;" "&amp;H546&amp;" "&amp;I546&amp;" "&amp;M546&amp;" "&amp;N546&amp;" "&amp;T546)))),"PRIVATE_REVIEW","PUBLIC_CANDIDATE"))</x:f>
        <x:v>PUBLIC_CANDIDATE</x:v>
      </x:c>
      <x:c r="AD546" s="12" t="str">
        <x:f>IF(AC546="PRIVATE_QUARANTINE","hacker_or_bank_trigger",IF(AC546="PRIVATE_REVIEW","finance_risk_trigger","none"))</x:f>
        <x:v>none</x:v>
      </x:c>
      <x:c r="AE546" s="12" t="str">
        <x:f>IF(AC546="PUBLIC_CANDIDATE","prepare_public_github_candidate",IF(AC546="PRIVATE_REVIEW","hold_for_private_review","quarantine_private_do_not_publish"))</x:f>
        <x:v>prepare_public_github_candidate</x:v>
      </x:c>
      <x:c r="AF546" s="12" t="str">
        <x:f>IF(AC546="PUBLIC_CANDIDATE","TIDELOCK + Lucerna",IF(AC546="PRIVATE_REVIEW","AtlasBrain + Lucerna","TIDELOCK + Lucerna + Human-root"))</x:f>
        <x:v>TIDELOCK + Lucerna</x:v>
      </x:c>
      <x:c r="AG546" s="12" t="str">
        <x:f>IF(AND(AC546="PUBLIC_CANDIDATE",U546&lt;&gt;"BLOCKED_PENDING_RECEIPT"),"READY_AFTER_RECEIPT","NOT_READY")</x:f>
        <x:v>NOT_READY</x:v>
      </x:c>
      <x:c r="AH546" s="12" t="str">
        <x:f>IF(AC546="PUBLIC_CANDIDATE","none",AD546)</x:f>
        <x:v>none</x:v>
      </x:c>
      <x:c r="AI546" s="12" t="str">
        <x:f>IF(AC546="PUBLIC_CANDIDATE","archive/public_candidates/"&amp;A546,"private_quarantine/"&amp;A546)</x:f>
        <x:v>archive/public_candidates/SWARM-04-H10-S05</x:v>
      </x:c>
      <x:c r="AJ546" s="12" t="str">
        <x:f>IF(AC546="PUBLIC_CANDIDATE","public by default; still not canon","private/hold; do not publish")</x:f>
        <x:v>public by default; still not canon</x:v>
      </x:c>
      <x:c r="AK546" s="12" t="str">
        <x:f>IF(AE546="prepare_public_github_candidate","add receipt/status then mirror","resolve blocker before any public GitHub action")</x:f>
        <x:v>add receipt/status then mirror</x:v>
      </x:c>
    </x:row>
    <x:row r="547">
      <x:c r="A547" s="15" t="str">
        <x:v>SWARM-04-H10-S06</x:v>
      </x:c>
      <x:c r="B547" s="15" t="str">
        <x:v>Tidelock</x:v>
      </x:c>
      <x:c r="C547" s="15" t="str">
        <x:v>Access blocker keeper</x:v>
      </x:c>
      <x:c r="D547" s="15" t="str">
        <x:v>GitHub Source Packets</x:v>
      </x:c>
      <x:c r="E547" s="15" t="str">
        <x:v>External Web</x:v>
      </x:c>
      <x:c r="F547" s="15" t="str">
        <x:v>Build source packet for External Web — Tidelock</x:v>
      </x:c>
      <x:c r="G547" s="15" t="str">
        <x:v>missing access / blocker ledger / next safe action</x:v>
      </x:c>
      <x:c r="H547" s="15" t="str">
        <x:v>source path + receipt + raw/export status + claim/edge/risk delta</x:v>
      </x:c>
      <x:c r="I547" s="15" t="str">
        <x:v>packet/SWARM-04-H10-S06</x:v>
      </x:c>
      <x:c r="J547" s="15" t="str">
        <x:v>TODO</x:v>
      </x:c>
      <x:c r="K547" s="15" t="str">
        <x:v>P1</x:v>
      </x:c>
      <x:c r="L547" s="15" t="str">
        <x:v>Done only when evidence is logged, contradiction search is noted, and boundary stamp remains non-canon unless ratified</x:v>
      </x:c>
      <x:c r="M547" s="15" t="str">
        <x:v>candidate / staging-only / not canon / not deployed / authority none</x:v>
      </x:c>
      <x:c r="N547" s="15" t="str">
        <x:v>Dispatch to Tidelock: complete GitHub Source Packets x External Web; return deltas only, receipts required.</x:v>
      </x:c>
      <x:c r="O547" s="15" t="str">
        <x:v>AF-KG-H10-S06</x:v>
      </x:c>
      <x:c r="P547" s="15" t="str">
        <x:v>Unverified</x:v>
      </x:c>
      <x:c r="Q547" s="15" t="str">
        <x:v>Not checked</x:v>
      </x:c>
      <x:c r="R547" s="15" t="str"/>
      <x:c r="S547" s="15" t="str"/>
      <x:c r="T547" s="15" t="str">
        <x:v>Log first source path or blocker</x:v>
      </x:c>
      <x:c r="U547" s="12" t="str">
        <x:f>IF(OR(P547="Unverified",Q547="Not checked"),"BLOCKED_PENDING_RECEIPT","READY_FOR_REVIEW")</x:f>
        <x:v>BLOCKED_PENDING_RECEIPT</x:v>
      </x:c>
      <x:c r="V547" s="12" t="str">
        <x:f>IF(J547="DONE","RETURNED",IF(U547="BLOCKED_PENDING_RECEIPT","SOURCE_TOUCH_REQUIRED","IN_PROGRESS"))</x:f>
        <x:v>SOURCE_TOUCH_REQUIRED</x:v>
      </x:c>
      <x:c r="W547" s="12" t="str">
        <x:f>IF(P547="Unverified","missing_receipt","receipt_logged")</x:f>
        <x:v>missing_receipt</x:v>
      </x:c>
      <x:c r="X547" s="12" t="str">
        <x:f>IF(Q547="Not checked","raw_status_missing","raw_status_logged")</x:f>
        <x:v>raw_status_missing</x:v>
      </x:c>
      <x:c r="Y547" s="12" t="str">
        <x:f>IF(U547="BLOCKED_PENDING_RECEIPT","Log source path or blocker; do not promote","Route to review lane")</x:f>
        <x:v>Log source path or blocker; do not promote</x:v>
      </x:c>
      <x:c r="Z547" s="12" t="str">
        <x:f>IF(K547="P0","Primary seat + Hashlight/Lucerna","Seat lane")</x:f>
        <x:v>Seat lane</x:v>
      </x:c>
      <x:c r="AA547" s="12" t="str">
        <x:f>IF(R547="","no_claim_delta","claim_delta_present")</x:f>
        <x:v>no_claim_delta</x:v>
      </x:c>
      <x:c r="AB547" s="12" t="str">
        <x:f>IF(S547="","no_contradiction_delta","contradiction_delta_present")</x:f>
        <x:v>no_contradiction_delta</x:v>
      </x:c>
      <x:c r="AC547" s="12" t="str">
        <x:f>IF(OR(ISNUMBER(SEARCH("hacker",LOWER(F547&amp;" "&amp;H547&amp;" "&amp;I547&amp;" "&amp;M547&amp;" "&amp;N547&amp;" "&amp;T547))),ISNUMBER(SEARCH("hacking",LOWER(F547&amp;" "&amp;H547&amp;" "&amp;I547&amp;" "&amp;M547&amp;" "&amp;N547&amp;" "&amp;T547))),ISNUMBER(SEARCH("bank",LOWER(F547&amp;" "&amp;H547&amp;" "&amp;I547&amp;" "&amp;M547&amp;" "&amp;N547&amp;" "&amp;T547))),ISNUMBER(SEARCH("banking",LOWER(F547&amp;" "&amp;H547&amp;" "&amp;I547&amp;" "&amp;M547&amp;" "&amp;N547&amp;" "&amp;T547)))),"PRIVATE_QUARANTINE",IF(OR(ISNUMBER(SEARCH("treasury",LOWER(F547&amp;" "&amp;H547&amp;" "&amp;I547&amp;" "&amp;M547&amp;" "&amp;N547&amp;" "&amp;T547))),ISNUMBER(SEARCH("debt",LOWER(F547&amp;" "&amp;H547&amp;" "&amp;I547&amp;" "&amp;M547&amp;" "&amp;N547&amp;" "&amp;T547))),ISNUMBER(SEARCH("bond",LOWER(F547&amp;" "&amp;H547&amp;" "&amp;I547&amp;" "&amp;M547&amp;" "&amp;N547&amp;" "&amp;T547))),ISNUMBER(SEARCH("transaction",LOWER(F547&amp;" "&amp;H547&amp;" "&amp;I547&amp;" "&amp;M547&amp;" "&amp;N547&amp;" "&amp;T547)))),"PRIVATE_REVIEW","PUBLIC_CANDIDATE"))</x:f>
        <x:v>PUBLIC_CANDIDATE</x:v>
      </x:c>
      <x:c r="AD547" s="12" t="str">
        <x:f>IF(AC547="PRIVATE_QUARANTINE","hacker_or_bank_trigger",IF(AC547="PRIVATE_REVIEW","finance_risk_trigger","none"))</x:f>
        <x:v>none</x:v>
      </x:c>
      <x:c r="AE547" s="12" t="str">
        <x:f>IF(AC547="PUBLIC_CANDIDATE","prepare_public_github_candidate",IF(AC547="PRIVATE_REVIEW","hold_for_private_review","quarantine_private_do_not_publish"))</x:f>
        <x:v>prepare_public_github_candidate</x:v>
      </x:c>
      <x:c r="AF547" s="12" t="str">
        <x:f>IF(AC547="PUBLIC_CANDIDATE","TIDELOCK + Lucerna",IF(AC547="PRIVATE_REVIEW","AtlasBrain + Lucerna","TIDELOCK + Lucerna + Human-root"))</x:f>
        <x:v>TIDELOCK + Lucerna</x:v>
      </x:c>
      <x:c r="AG547" s="12" t="str">
        <x:f>IF(AND(AC547="PUBLIC_CANDIDATE",U547&lt;&gt;"BLOCKED_PENDING_RECEIPT"),"READY_AFTER_RECEIPT","NOT_READY")</x:f>
        <x:v>NOT_READY</x:v>
      </x:c>
      <x:c r="AH547" s="12" t="str">
        <x:f>IF(AC547="PUBLIC_CANDIDATE","none",AD547)</x:f>
        <x:v>none</x:v>
      </x:c>
      <x:c r="AI547" s="12" t="str">
        <x:f>IF(AC547="PUBLIC_CANDIDATE","archive/public_candidates/"&amp;A547,"private_quarantine/"&amp;A547)</x:f>
        <x:v>archive/public_candidates/SWARM-04-H10-S06</x:v>
      </x:c>
      <x:c r="AJ547" s="12" t="str">
        <x:f>IF(AC547="PUBLIC_CANDIDATE","public by default; still not canon","private/hold; do not publish")</x:f>
        <x:v>public by default; still not canon</x:v>
      </x:c>
      <x:c r="AK547" s="12" t="str">
        <x:f>IF(AE547="prepare_public_github_candidate","add receipt/status then mirror","resolve blocker before any public GitHub action")</x:f>
        <x:v>add receipt/status then mirror</x:v>
      </x:c>
    </x:row>
    <x:row r="548">
      <x:c r="A548" s="15" t="str">
        <x:v>SWARM-04-H10-S07</x:v>
      </x:c>
      <x:c r="B548" s="15" t="str">
        <x:v>Tidelock</x:v>
      </x:c>
      <x:c r="C548" s="15" t="str">
        <x:v>Access blocker keeper</x:v>
      </x:c>
      <x:c r="D548" s="15" t="str">
        <x:v>GitHub Source Packets</x:v>
      </x:c>
      <x:c r="E548" s="15" t="str">
        <x:v>Planetarium</x:v>
      </x:c>
      <x:c r="F548" s="15" t="str">
        <x:v>Build source packet for Planetarium — Tidelock</x:v>
      </x:c>
      <x:c r="G548" s="15" t="str">
        <x:v>missing access / blocker ledger / next safe action</x:v>
      </x:c>
      <x:c r="H548" s="15" t="str">
        <x:v>source path + receipt + raw/export status + claim/edge/risk delta</x:v>
      </x:c>
      <x:c r="I548" s="15" t="str">
        <x:v>packet/SWARM-04-H10-S07</x:v>
      </x:c>
      <x:c r="J548" s="15" t="str">
        <x:v>TODO</x:v>
      </x:c>
      <x:c r="K548" s="15" t="str">
        <x:v>P1</x:v>
      </x:c>
      <x:c r="L548" s="15" t="str">
        <x:v>Done only when evidence is logged, contradiction search is noted, and boundary stamp remains non-canon unless ratified</x:v>
      </x:c>
      <x:c r="M548" s="15" t="str">
        <x:v>candidate / staging-only / not canon / not deployed / authority none</x:v>
      </x:c>
      <x:c r="N548" s="15" t="str">
        <x:v>Dispatch to Tidelock: complete GitHub Source Packets x Planetarium; return deltas only, receipts required.</x:v>
      </x:c>
      <x:c r="O548" s="15" t="str">
        <x:v>AF-KG-H10-S07</x:v>
      </x:c>
      <x:c r="P548" s="15" t="str">
        <x:v>Unverified</x:v>
      </x:c>
      <x:c r="Q548" s="15" t="str">
        <x:v>Not checked</x:v>
      </x:c>
      <x:c r="R548" s="15" t="str"/>
      <x:c r="S548" s="15" t="str"/>
      <x:c r="T548" s="15" t="str">
        <x:v>Log first source path or blocker</x:v>
      </x:c>
      <x:c r="U548" s="12" t="str">
        <x:f>IF(OR(P548="Unverified",Q548="Not checked"),"BLOCKED_PENDING_RECEIPT","READY_FOR_REVIEW")</x:f>
        <x:v>BLOCKED_PENDING_RECEIPT</x:v>
      </x:c>
      <x:c r="V548" s="12" t="str">
        <x:f>IF(J548="DONE","RETURNED",IF(U548="BLOCKED_PENDING_RECEIPT","SOURCE_TOUCH_REQUIRED","IN_PROGRESS"))</x:f>
        <x:v>SOURCE_TOUCH_REQUIRED</x:v>
      </x:c>
      <x:c r="W548" s="12" t="str">
        <x:f>IF(P548="Unverified","missing_receipt","receipt_logged")</x:f>
        <x:v>missing_receipt</x:v>
      </x:c>
      <x:c r="X548" s="12" t="str">
        <x:f>IF(Q548="Not checked","raw_status_missing","raw_status_logged")</x:f>
        <x:v>raw_status_missing</x:v>
      </x:c>
      <x:c r="Y548" s="12" t="str">
        <x:f>IF(U548="BLOCKED_PENDING_RECEIPT","Log source path or blocker; do not promote","Route to review lane")</x:f>
        <x:v>Log source path or blocker; do not promote</x:v>
      </x:c>
      <x:c r="Z548" s="12" t="str">
        <x:f>IF(K548="P0","Primary seat + Hashlight/Lucerna","Seat lane")</x:f>
        <x:v>Seat lane</x:v>
      </x:c>
      <x:c r="AA548" s="12" t="str">
        <x:f>IF(R548="","no_claim_delta","claim_delta_present")</x:f>
        <x:v>no_claim_delta</x:v>
      </x:c>
      <x:c r="AB548" s="12" t="str">
        <x:f>IF(S548="","no_contradiction_delta","contradiction_delta_present")</x:f>
        <x:v>no_contradiction_delta</x:v>
      </x:c>
      <x:c r="AC548" s="12" t="str">
        <x:f>IF(OR(ISNUMBER(SEARCH("hacker",LOWER(F548&amp;" "&amp;H548&amp;" "&amp;I548&amp;" "&amp;M548&amp;" "&amp;N548&amp;" "&amp;T548))),ISNUMBER(SEARCH("hacking",LOWER(F548&amp;" "&amp;H548&amp;" "&amp;I548&amp;" "&amp;M548&amp;" "&amp;N548&amp;" "&amp;T548))),ISNUMBER(SEARCH("bank",LOWER(F548&amp;" "&amp;H548&amp;" "&amp;I548&amp;" "&amp;M548&amp;" "&amp;N548&amp;" "&amp;T548))),ISNUMBER(SEARCH("banking",LOWER(F548&amp;" "&amp;H548&amp;" "&amp;I548&amp;" "&amp;M548&amp;" "&amp;N548&amp;" "&amp;T548)))),"PRIVATE_QUARANTINE",IF(OR(ISNUMBER(SEARCH("treasury",LOWER(F548&amp;" "&amp;H548&amp;" "&amp;I548&amp;" "&amp;M548&amp;" "&amp;N548&amp;" "&amp;T548))),ISNUMBER(SEARCH("debt",LOWER(F548&amp;" "&amp;H548&amp;" "&amp;I548&amp;" "&amp;M548&amp;" "&amp;N548&amp;" "&amp;T548))),ISNUMBER(SEARCH("bond",LOWER(F548&amp;" "&amp;H548&amp;" "&amp;I548&amp;" "&amp;M548&amp;" "&amp;N548&amp;" "&amp;T548))),ISNUMBER(SEARCH("transaction",LOWER(F548&amp;" "&amp;H548&amp;" "&amp;I548&amp;" "&amp;M548&amp;" "&amp;N548&amp;" "&amp;T548)))),"PRIVATE_REVIEW","PUBLIC_CANDIDATE"))</x:f>
        <x:v>PUBLIC_CANDIDATE</x:v>
      </x:c>
      <x:c r="AD548" s="12" t="str">
        <x:f>IF(AC548="PRIVATE_QUARANTINE","hacker_or_bank_trigger",IF(AC548="PRIVATE_REVIEW","finance_risk_trigger","none"))</x:f>
        <x:v>none</x:v>
      </x:c>
      <x:c r="AE548" s="12" t="str">
        <x:f>IF(AC548="PUBLIC_CANDIDATE","prepare_public_github_candidate",IF(AC548="PRIVATE_REVIEW","hold_for_private_review","quarantine_private_do_not_publish"))</x:f>
        <x:v>prepare_public_github_candidate</x:v>
      </x:c>
      <x:c r="AF548" s="12" t="str">
        <x:f>IF(AC548="PUBLIC_CANDIDATE","TIDELOCK + Lucerna",IF(AC548="PRIVATE_REVIEW","AtlasBrain + Lucerna","TIDELOCK + Lucerna + Human-root"))</x:f>
        <x:v>TIDELOCK + Lucerna</x:v>
      </x:c>
      <x:c r="AG548" s="12" t="str">
        <x:f>IF(AND(AC548="PUBLIC_CANDIDATE",U548&lt;&gt;"BLOCKED_PENDING_RECEIPT"),"READY_AFTER_RECEIPT","NOT_READY")</x:f>
        <x:v>NOT_READY</x:v>
      </x:c>
      <x:c r="AH548" s="12" t="str">
        <x:f>IF(AC548="PUBLIC_CANDIDATE","none",AD548)</x:f>
        <x:v>none</x:v>
      </x:c>
      <x:c r="AI548" s="12" t="str">
        <x:f>IF(AC548="PUBLIC_CANDIDATE","archive/public_candidates/"&amp;A548,"private_quarantine/"&amp;A548)</x:f>
        <x:v>archive/public_candidates/SWARM-04-H10-S07</x:v>
      </x:c>
      <x:c r="AJ548" s="12" t="str">
        <x:f>IF(AC548="PUBLIC_CANDIDATE","public by default; still not canon","private/hold; do not publish")</x:f>
        <x:v>public by default; still not canon</x:v>
      </x:c>
      <x:c r="AK548" s="12" t="str">
        <x:f>IF(AE548="prepare_public_github_candidate","add receipt/status then mirror","resolve blocker before any public GitHub action")</x:f>
        <x:v>add receipt/status then mirror</x:v>
      </x:c>
    </x:row>
    <x:row r="549">
      <x:c r="A549" s="15" t="str">
        <x:v>SWARM-04-H10-S08</x:v>
      </x:c>
      <x:c r="B549" s="15" t="str">
        <x:v>Tidelock</x:v>
      </x:c>
      <x:c r="C549" s="15" t="str">
        <x:v>Access blocker keeper</x:v>
      </x:c>
      <x:c r="D549" s="15" t="str">
        <x:v>GitHub Source Packets</x:v>
      </x:c>
      <x:c r="E549" s="15" t="str">
        <x:v>Sheldonbrain</x:v>
      </x:c>
      <x:c r="F549" s="15" t="str">
        <x:v>Build source packet for Sheldonbrain — Tidelock</x:v>
      </x:c>
      <x:c r="G549" s="15" t="str">
        <x:v>missing access / blocker ledger / next safe action</x:v>
      </x:c>
      <x:c r="H549" s="15" t="str">
        <x:v>source path + receipt + raw/export status + claim/edge/risk delta</x:v>
      </x:c>
      <x:c r="I549" s="15" t="str">
        <x:v>packet/SWARM-04-H10-S08</x:v>
      </x:c>
      <x:c r="J549" s="15" t="str">
        <x:v>TODO</x:v>
      </x:c>
      <x:c r="K549" s="15" t="str">
        <x:v>P1</x:v>
      </x:c>
      <x:c r="L549" s="15" t="str">
        <x:v>Done only when evidence is logged, contradiction search is noted, and boundary stamp remains non-canon unless ratified</x:v>
      </x:c>
      <x:c r="M549" s="15" t="str">
        <x:v>candidate / staging-only / not canon / not deployed / authority none</x:v>
      </x:c>
      <x:c r="N549" s="15" t="str">
        <x:v>Dispatch to Tidelock: complete GitHub Source Packets x Sheldonbrain; return deltas only, receipts required.</x:v>
      </x:c>
      <x:c r="O549" s="15" t="str">
        <x:v>AF-KG-H10-S08</x:v>
      </x:c>
      <x:c r="P549" s="15" t="str">
        <x:v>Unverified</x:v>
      </x:c>
      <x:c r="Q549" s="15" t="str">
        <x:v>Not checked</x:v>
      </x:c>
      <x:c r="R549" s="15" t="str"/>
      <x:c r="S549" s="15" t="str"/>
      <x:c r="T549" s="15" t="str">
        <x:v>Log first source path or blocker</x:v>
      </x:c>
      <x:c r="U549" s="12" t="str">
        <x:f>IF(OR(P549="Unverified",Q549="Not checked"),"BLOCKED_PENDING_RECEIPT","READY_FOR_REVIEW")</x:f>
        <x:v>BLOCKED_PENDING_RECEIPT</x:v>
      </x:c>
      <x:c r="V549" s="12" t="str">
        <x:f>IF(J549="DONE","RETURNED",IF(U549="BLOCKED_PENDING_RECEIPT","SOURCE_TOUCH_REQUIRED","IN_PROGRESS"))</x:f>
        <x:v>SOURCE_TOUCH_REQUIRED</x:v>
      </x:c>
      <x:c r="W549" s="12" t="str">
        <x:f>IF(P549="Unverified","missing_receipt","receipt_logged")</x:f>
        <x:v>missing_receipt</x:v>
      </x:c>
      <x:c r="X549" s="12" t="str">
        <x:f>IF(Q549="Not checked","raw_status_missing","raw_status_logged")</x:f>
        <x:v>raw_status_missing</x:v>
      </x:c>
      <x:c r="Y549" s="12" t="str">
        <x:f>IF(U549="BLOCKED_PENDING_RECEIPT","Log source path or blocker; do not promote","Route to review lane")</x:f>
        <x:v>Log source path or blocker; do not promote</x:v>
      </x:c>
      <x:c r="Z549" s="12" t="str">
        <x:f>IF(K549="P0","Primary seat + Hashlight/Lucerna","Seat lane")</x:f>
        <x:v>Seat lane</x:v>
      </x:c>
      <x:c r="AA549" s="12" t="str">
        <x:f>IF(R549="","no_claim_delta","claim_delta_present")</x:f>
        <x:v>no_claim_delta</x:v>
      </x:c>
      <x:c r="AB549" s="12" t="str">
        <x:f>IF(S549="","no_contradiction_delta","contradiction_delta_present")</x:f>
        <x:v>no_contradiction_delta</x:v>
      </x:c>
      <x:c r="AC549" s="12" t="str">
        <x:f>IF(OR(ISNUMBER(SEARCH("hacker",LOWER(F549&amp;" "&amp;H549&amp;" "&amp;I549&amp;" "&amp;M549&amp;" "&amp;N549&amp;" "&amp;T549))),ISNUMBER(SEARCH("hacking",LOWER(F549&amp;" "&amp;H549&amp;" "&amp;I549&amp;" "&amp;M549&amp;" "&amp;N549&amp;" "&amp;T549))),ISNUMBER(SEARCH("bank",LOWER(F549&amp;" "&amp;H549&amp;" "&amp;I549&amp;" "&amp;M549&amp;" "&amp;N549&amp;" "&amp;T549))),ISNUMBER(SEARCH("banking",LOWER(F549&amp;" "&amp;H549&amp;" "&amp;I549&amp;" "&amp;M549&amp;" "&amp;N549&amp;" "&amp;T549)))),"PRIVATE_QUARANTINE",IF(OR(ISNUMBER(SEARCH("treasury",LOWER(F549&amp;" "&amp;H549&amp;" "&amp;I549&amp;" "&amp;M549&amp;" "&amp;N549&amp;" "&amp;T549))),ISNUMBER(SEARCH("debt",LOWER(F549&amp;" "&amp;H549&amp;" "&amp;I549&amp;" "&amp;M549&amp;" "&amp;N549&amp;" "&amp;T549))),ISNUMBER(SEARCH("bond",LOWER(F549&amp;" "&amp;H549&amp;" "&amp;I549&amp;" "&amp;M549&amp;" "&amp;N549&amp;" "&amp;T549))),ISNUMBER(SEARCH("transaction",LOWER(F549&amp;" "&amp;H549&amp;" "&amp;I549&amp;" "&amp;M549&amp;" "&amp;N549&amp;" "&amp;T549)))),"PRIVATE_REVIEW","PUBLIC_CANDIDATE"))</x:f>
        <x:v>PUBLIC_CANDIDATE</x:v>
      </x:c>
      <x:c r="AD549" s="12" t="str">
        <x:f>IF(AC549="PRIVATE_QUARANTINE","hacker_or_bank_trigger",IF(AC549="PRIVATE_REVIEW","finance_risk_trigger","none"))</x:f>
        <x:v>none</x:v>
      </x:c>
      <x:c r="AE549" s="12" t="str">
        <x:f>IF(AC549="PUBLIC_CANDIDATE","prepare_public_github_candidate",IF(AC549="PRIVATE_REVIEW","hold_for_private_review","quarantine_private_do_not_publish"))</x:f>
        <x:v>prepare_public_github_candidate</x:v>
      </x:c>
      <x:c r="AF549" s="12" t="str">
        <x:f>IF(AC549="PUBLIC_CANDIDATE","TIDELOCK + Lucerna",IF(AC549="PRIVATE_REVIEW","AtlasBrain + Lucerna","TIDELOCK + Lucerna + Human-root"))</x:f>
        <x:v>TIDELOCK + Lucerna</x:v>
      </x:c>
      <x:c r="AG549" s="12" t="str">
        <x:f>IF(AND(AC549="PUBLIC_CANDIDATE",U549&lt;&gt;"BLOCKED_PENDING_RECEIPT"),"READY_AFTER_RECEIPT","NOT_READY")</x:f>
        <x:v>NOT_READY</x:v>
      </x:c>
      <x:c r="AH549" s="12" t="str">
        <x:f>IF(AC549="PUBLIC_CANDIDATE","none",AD549)</x:f>
        <x:v>none</x:v>
      </x:c>
      <x:c r="AI549" s="12" t="str">
        <x:f>IF(AC549="PUBLIC_CANDIDATE","archive/public_candidates/"&amp;A549,"private_quarantine/"&amp;A549)</x:f>
        <x:v>archive/public_candidates/SWARM-04-H10-S08</x:v>
      </x:c>
      <x:c r="AJ549" s="12" t="str">
        <x:f>IF(AC549="PUBLIC_CANDIDATE","public by default; still not canon","private/hold; do not publish")</x:f>
        <x:v>public by default; still not canon</x:v>
      </x:c>
      <x:c r="AK549" s="12" t="str">
        <x:f>IF(AE549="prepare_public_github_candidate","add receipt/status then mirror","resolve blocker before any public GitHub action")</x:f>
        <x:v>add receipt/status then mirror</x:v>
      </x:c>
    </x:row>
    <x:row r="550">
      <x:c r="A550" s="15" t="str">
        <x:v>SWARM-04-H10-S09</x:v>
      </x:c>
      <x:c r="B550" s="15" t="str">
        <x:v>Tidelock</x:v>
      </x:c>
      <x:c r="C550" s="15" t="str">
        <x:v>Access blocker keeper</x:v>
      </x:c>
      <x:c r="D550" s="15" t="str">
        <x:v>GitHub Source Packets</x:v>
      </x:c>
      <x:c r="E550" s="15" t="str">
        <x:v>Aetherforge</x:v>
      </x:c>
      <x:c r="F550" s="15" t="str">
        <x:v>Build source packet for Aetherforge — Tidelock</x:v>
      </x:c>
      <x:c r="G550" s="15" t="str">
        <x:v>missing access / blocker ledger / next safe action</x:v>
      </x:c>
      <x:c r="H550" s="15" t="str">
        <x:v>source path + receipt + raw/export status + claim/edge/risk delta</x:v>
      </x:c>
      <x:c r="I550" s="15" t="str">
        <x:v>packet/SWARM-04-H10-S09</x:v>
      </x:c>
      <x:c r="J550" s="15" t="str">
        <x:v>TODO</x:v>
      </x:c>
      <x:c r="K550" s="15" t="str">
        <x:v>P2</x:v>
      </x:c>
      <x:c r="L550" s="15" t="str">
        <x:v>Done only when evidence is logged, contradiction search is noted, and boundary stamp remains non-canon unless ratified</x:v>
      </x:c>
      <x:c r="M550" s="15" t="str">
        <x:v>candidate / staging-only / not canon / not deployed / authority none</x:v>
      </x:c>
      <x:c r="N550" s="15" t="str">
        <x:v>Dispatch to Tidelock: complete GitHub Source Packets x Aetherforge; return deltas only, receipts required.</x:v>
      </x:c>
      <x:c r="O550" s="15" t="str">
        <x:v>AF-KG-H10-S09</x:v>
      </x:c>
      <x:c r="P550" s="15" t="str">
        <x:v>Unverified</x:v>
      </x:c>
      <x:c r="Q550" s="15" t="str">
        <x:v>Not checked</x:v>
      </x:c>
      <x:c r="R550" s="15" t="str"/>
      <x:c r="S550" s="15" t="str"/>
      <x:c r="T550" s="15" t="str">
        <x:v>Log first source path or blocker</x:v>
      </x:c>
      <x:c r="U550" s="12" t="str">
        <x:f>IF(OR(P550="Unverified",Q550="Not checked"),"BLOCKED_PENDING_RECEIPT","READY_FOR_REVIEW")</x:f>
        <x:v>BLOCKED_PENDING_RECEIPT</x:v>
      </x:c>
      <x:c r="V550" s="12" t="str">
        <x:f>IF(J550="DONE","RETURNED",IF(U550="BLOCKED_PENDING_RECEIPT","SOURCE_TOUCH_REQUIRED","IN_PROGRESS"))</x:f>
        <x:v>SOURCE_TOUCH_REQUIRED</x:v>
      </x:c>
      <x:c r="W550" s="12" t="str">
        <x:f>IF(P550="Unverified","missing_receipt","receipt_logged")</x:f>
        <x:v>missing_receipt</x:v>
      </x:c>
      <x:c r="X550" s="12" t="str">
        <x:f>IF(Q550="Not checked","raw_status_missing","raw_status_logged")</x:f>
        <x:v>raw_status_missing</x:v>
      </x:c>
      <x:c r="Y550" s="12" t="str">
        <x:f>IF(U550="BLOCKED_PENDING_RECEIPT","Log source path or blocker; do not promote","Route to review lane")</x:f>
        <x:v>Log source path or blocker; do not promote</x:v>
      </x:c>
      <x:c r="Z550" s="12" t="str">
        <x:f>IF(K550="P0","Primary seat + Hashlight/Lucerna","Seat lane")</x:f>
        <x:v>Seat lane</x:v>
      </x:c>
      <x:c r="AA550" s="12" t="str">
        <x:f>IF(R550="","no_claim_delta","claim_delta_present")</x:f>
        <x:v>no_claim_delta</x:v>
      </x:c>
      <x:c r="AB550" s="12" t="str">
        <x:f>IF(S550="","no_contradiction_delta","contradiction_delta_present")</x:f>
        <x:v>no_contradiction_delta</x:v>
      </x:c>
      <x:c r="AC550" s="12" t="str">
        <x:f>IF(OR(ISNUMBER(SEARCH("hacker",LOWER(F550&amp;" "&amp;H550&amp;" "&amp;I550&amp;" "&amp;M550&amp;" "&amp;N550&amp;" "&amp;T550))),ISNUMBER(SEARCH("hacking",LOWER(F550&amp;" "&amp;H550&amp;" "&amp;I550&amp;" "&amp;M550&amp;" "&amp;N550&amp;" "&amp;T550))),ISNUMBER(SEARCH("bank",LOWER(F550&amp;" "&amp;H550&amp;" "&amp;I550&amp;" "&amp;M550&amp;" "&amp;N550&amp;" "&amp;T550))),ISNUMBER(SEARCH("banking",LOWER(F550&amp;" "&amp;H550&amp;" "&amp;I550&amp;" "&amp;M550&amp;" "&amp;N550&amp;" "&amp;T550)))),"PRIVATE_QUARANTINE",IF(OR(ISNUMBER(SEARCH("treasury",LOWER(F550&amp;" "&amp;H550&amp;" "&amp;I550&amp;" "&amp;M550&amp;" "&amp;N550&amp;" "&amp;T550))),ISNUMBER(SEARCH("debt",LOWER(F550&amp;" "&amp;H550&amp;" "&amp;I550&amp;" "&amp;M550&amp;" "&amp;N550&amp;" "&amp;T550))),ISNUMBER(SEARCH("bond",LOWER(F550&amp;" "&amp;H550&amp;" "&amp;I550&amp;" "&amp;M550&amp;" "&amp;N550&amp;" "&amp;T550))),ISNUMBER(SEARCH("transaction",LOWER(F550&amp;" "&amp;H550&amp;" "&amp;I550&amp;" "&amp;M550&amp;" "&amp;N550&amp;" "&amp;T550)))),"PRIVATE_REVIEW","PUBLIC_CANDIDATE"))</x:f>
        <x:v>PUBLIC_CANDIDATE</x:v>
      </x:c>
      <x:c r="AD550" s="12" t="str">
        <x:f>IF(AC550="PRIVATE_QUARANTINE","hacker_or_bank_trigger",IF(AC550="PRIVATE_REVIEW","finance_risk_trigger","none"))</x:f>
        <x:v>none</x:v>
      </x:c>
      <x:c r="AE550" s="12" t="str">
        <x:f>IF(AC550="PUBLIC_CANDIDATE","prepare_public_github_candidate",IF(AC550="PRIVATE_REVIEW","hold_for_private_review","quarantine_private_do_not_publish"))</x:f>
        <x:v>prepare_public_github_candidate</x:v>
      </x:c>
      <x:c r="AF550" s="12" t="str">
        <x:f>IF(AC550="PUBLIC_CANDIDATE","TIDELOCK + Lucerna",IF(AC550="PRIVATE_REVIEW","AtlasBrain + Lucerna","TIDELOCK + Lucerna + Human-root"))</x:f>
        <x:v>TIDELOCK + Lucerna</x:v>
      </x:c>
      <x:c r="AG550" s="12" t="str">
        <x:f>IF(AND(AC550="PUBLIC_CANDIDATE",U550&lt;&gt;"BLOCKED_PENDING_RECEIPT"),"READY_AFTER_RECEIPT","NOT_READY")</x:f>
        <x:v>NOT_READY</x:v>
      </x:c>
      <x:c r="AH550" s="12" t="str">
        <x:f>IF(AC550="PUBLIC_CANDIDATE","none",AD550)</x:f>
        <x:v>none</x:v>
      </x:c>
      <x:c r="AI550" s="12" t="str">
        <x:f>IF(AC550="PUBLIC_CANDIDATE","archive/public_candidates/"&amp;A550,"private_quarantine/"&amp;A550)</x:f>
        <x:v>archive/public_candidates/SWARM-04-H10-S09</x:v>
      </x:c>
      <x:c r="AJ550" s="12" t="str">
        <x:f>IF(AC550="PUBLIC_CANDIDATE","public by default; still not canon","private/hold; do not publish")</x:f>
        <x:v>public by default; still not canon</x:v>
      </x:c>
      <x:c r="AK550" s="12" t="str">
        <x:f>IF(AE550="prepare_public_github_candidate","add receipt/status then mirror","resolve blocker before any public GitHub action")</x:f>
        <x:v>add receipt/status then mirror</x:v>
      </x:c>
    </x:row>
    <x:row r="551">
      <x:c r="A551" s="15" t="str">
        <x:v>SWARM-04-H10-S10</x:v>
      </x:c>
      <x:c r="B551" s="15" t="str">
        <x:v>Tidelock</x:v>
      </x:c>
      <x:c r="C551" s="15" t="str">
        <x:v>Access blocker keeper</x:v>
      </x:c>
      <x:c r="D551" s="15" t="str">
        <x:v>GitHub Source Packets</x:v>
      </x:c>
      <x:c r="E551" s="15" t="str">
        <x:v>Human-Root</x:v>
      </x:c>
      <x:c r="F551" s="15" t="str">
        <x:v>Build source packet for Human-Root — Tidelock</x:v>
      </x:c>
      <x:c r="G551" s="15" t="str">
        <x:v>missing access / blocker ledger / next safe action</x:v>
      </x:c>
      <x:c r="H551" s="15" t="str">
        <x:v>source path + receipt + raw/export status + claim/edge/risk delta</x:v>
      </x:c>
      <x:c r="I551" s="15" t="str">
        <x:v>packet/SWARM-04-H10-S10</x:v>
      </x:c>
      <x:c r="J551" s="15" t="str">
        <x:v>TODO</x:v>
      </x:c>
      <x:c r="K551" s="15" t="str">
        <x:v>P2</x:v>
      </x:c>
      <x:c r="L551" s="15" t="str">
        <x:v>Done only when evidence is logged, contradiction search is noted, and boundary stamp remains non-canon unless ratified</x:v>
      </x:c>
      <x:c r="M551" s="15" t="str">
        <x:v>candidate / staging-only / not canon / not deployed / authority none</x:v>
      </x:c>
      <x:c r="N551" s="15" t="str">
        <x:v>Dispatch to Tidelock: complete GitHub Source Packets x Human-Root; return deltas only, receipts required.</x:v>
      </x:c>
      <x:c r="O551" s="15" t="str">
        <x:v>AF-KG-H10-S10</x:v>
      </x:c>
      <x:c r="P551" s="15" t="str">
        <x:v>Unverified</x:v>
      </x:c>
      <x:c r="Q551" s="15" t="str">
        <x:v>Not checked</x:v>
      </x:c>
      <x:c r="R551" s="15" t="str"/>
      <x:c r="S551" s="15" t="str"/>
      <x:c r="T551" s="15" t="str">
        <x:v>Log first source path or blocker</x:v>
      </x:c>
      <x:c r="U551" s="12" t="str">
        <x:f>IF(OR(P551="Unverified",Q551="Not checked"),"BLOCKED_PENDING_RECEIPT","READY_FOR_REVIEW")</x:f>
        <x:v>BLOCKED_PENDING_RECEIPT</x:v>
      </x:c>
      <x:c r="V551" s="12" t="str">
        <x:f>IF(J551="DONE","RETURNED",IF(U551="BLOCKED_PENDING_RECEIPT","SOURCE_TOUCH_REQUIRED","IN_PROGRESS"))</x:f>
        <x:v>SOURCE_TOUCH_REQUIRED</x:v>
      </x:c>
      <x:c r="W551" s="12" t="str">
        <x:f>IF(P551="Unverified","missing_receipt","receipt_logged")</x:f>
        <x:v>missing_receipt</x:v>
      </x:c>
      <x:c r="X551" s="12" t="str">
        <x:f>IF(Q551="Not checked","raw_status_missing","raw_status_logged")</x:f>
        <x:v>raw_status_missing</x:v>
      </x:c>
      <x:c r="Y551" s="12" t="str">
        <x:f>IF(U551="BLOCKED_PENDING_RECEIPT","Log source path or blocker; do not promote","Route to review lane")</x:f>
        <x:v>Log source path or blocker; do not promote</x:v>
      </x:c>
      <x:c r="Z551" s="12" t="str">
        <x:f>IF(K551="P0","Primary seat + Hashlight/Lucerna","Seat lane")</x:f>
        <x:v>Seat lane</x:v>
      </x:c>
      <x:c r="AA551" s="12" t="str">
        <x:f>IF(R551="","no_claim_delta","claim_delta_present")</x:f>
        <x:v>no_claim_delta</x:v>
      </x:c>
      <x:c r="AB551" s="12" t="str">
        <x:f>IF(S551="","no_contradiction_delta","contradiction_delta_present")</x:f>
        <x:v>no_contradiction_delta</x:v>
      </x:c>
      <x:c r="AC551" s="12" t="str">
        <x:f>IF(OR(ISNUMBER(SEARCH("hacker",LOWER(F551&amp;" "&amp;H551&amp;" "&amp;I551&amp;" "&amp;M551&amp;" "&amp;N551&amp;" "&amp;T551))),ISNUMBER(SEARCH("hacking",LOWER(F551&amp;" "&amp;H551&amp;" "&amp;I551&amp;" "&amp;M551&amp;" "&amp;N551&amp;" "&amp;T551))),ISNUMBER(SEARCH("bank",LOWER(F551&amp;" "&amp;H551&amp;" "&amp;I551&amp;" "&amp;M551&amp;" "&amp;N551&amp;" "&amp;T551))),ISNUMBER(SEARCH("banking",LOWER(F551&amp;" "&amp;H551&amp;" "&amp;I551&amp;" "&amp;M551&amp;" "&amp;N551&amp;" "&amp;T551)))),"PRIVATE_QUARANTINE",IF(OR(ISNUMBER(SEARCH("treasury",LOWER(F551&amp;" "&amp;H551&amp;" "&amp;I551&amp;" "&amp;M551&amp;" "&amp;N551&amp;" "&amp;T551))),ISNUMBER(SEARCH("debt",LOWER(F551&amp;" "&amp;H551&amp;" "&amp;I551&amp;" "&amp;M551&amp;" "&amp;N551&amp;" "&amp;T551))),ISNUMBER(SEARCH("bond",LOWER(F551&amp;" "&amp;H551&amp;" "&amp;I551&amp;" "&amp;M551&amp;" "&amp;N551&amp;" "&amp;T551))),ISNUMBER(SEARCH("transaction",LOWER(F551&amp;" "&amp;H551&amp;" "&amp;I551&amp;" "&amp;M551&amp;" "&amp;N551&amp;" "&amp;T551)))),"PRIVATE_REVIEW","PUBLIC_CANDIDATE"))</x:f>
        <x:v>PUBLIC_CANDIDATE</x:v>
      </x:c>
      <x:c r="AD551" s="12" t="str">
        <x:f>IF(AC551="PRIVATE_QUARANTINE","hacker_or_bank_trigger",IF(AC551="PRIVATE_REVIEW","finance_risk_trigger","none"))</x:f>
        <x:v>none</x:v>
      </x:c>
      <x:c r="AE551" s="12" t="str">
        <x:f>IF(AC551="PUBLIC_CANDIDATE","prepare_public_github_candidate",IF(AC551="PRIVATE_REVIEW","hold_for_private_review","quarantine_private_do_not_publish"))</x:f>
        <x:v>prepare_public_github_candidate</x:v>
      </x:c>
      <x:c r="AF551" s="12" t="str">
        <x:f>IF(AC551="PUBLIC_CANDIDATE","TIDELOCK + Lucerna",IF(AC551="PRIVATE_REVIEW","AtlasBrain + Lucerna","TIDELOCK + Lucerna + Human-root"))</x:f>
        <x:v>TIDELOCK + Lucerna</x:v>
      </x:c>
      <x:c r="AG551" s="12" t="str">
        <x:f>IF(AND(AC551="PUBLIC_CANDIDATE",U551&lt;&gt;"BLOCKED_PENDING_RECEIPT"),"READY_AFTER_RECEIPT","NOT_READY")</x:f>
        <x:v>NOT_READY</x:v>
      </x:c>
      <x:c r="AH551" s="12" t="str">
        <x:f>IF(AC551="PUBLIC_CANDIDATE","none",AD551)</x:f>
        <x:v>none</x:v>
      </x:c>
      <x:c r="AI551" s="12" t="str">
        <x:f>IF(AC551="PUBLIC_CANDIDATE","archive/public_candidates/"&amp;A551,"private_quarantine/"&amp;A551)</x:f>
        <x:v>archive/public_candidates/SWARM-04-H10-S10</x:v>
      </x:c>
      <x:c r="AJ551" s="12" t="str">
        <x:f>IF(AC551="PUBLIC_CANDIDATE","public by default; still not canon","private/hold; do not publish")</x:f>
        <x:v>public by default; still not canon</x:v>
      </x:c>
      <x:c r="AK551" s="12" t="str">
        <x:f>IF(AE551="prepare_public_github_candidate","add receipt/status then mirror","resolve blocker before any public GitHub action")</x:f>
        <x:v>add receipt/status then mirror</x:v>
      </x:c>
    </x:row>
    <x:row r="552">
      <x:c r="A552" s="15" t="str">
        <x:v>SWARM-04-H10-S11</x:v>
      </x:c>
      <x:c r="B552" s="15" t="str">
        <x:v>Tidelock</x:v>
      </x:c>
      <x:c r="C552" s="15" t="str">
        <x:v>Access blocker keeper</x:v>
      </x:c>
      <x:c r="D552" s="15" t="str">
        <x:v>GitHub Source Packets</x:v>
      </x:c>
      <x:c r="E552" s="15" t="str">
        <x:v>Automation</x:v>
      </x:c>
      <x:c r="F552" s="15" t="str">
        <x:v>Build source packet for Automation — Tidelock</x:v>
      </x:c>
      <x:c r="G552" s="15" t="str">
        <x:v>missing access / blocker ledger / next safe action</x:v>
      </x:c>
      <x:c r="H552" s="15" t="str">
        <x:v>source path + receipt + raw/export status + claim/edge/risk delta</x:v>
      </x:c>
      <x:c r="I552" s="15" t="str">
        <x:v>packet/SWARM-04-H10-S11</x:v>
      </x:c>
      <x:c r="J552" s="15" t="str">
        <x:v>TODO</x:v>
      </x:c>
      <x:c r="K552" s="15" t="str">
        <x:v>P2</x:v>
      </x:c>
      <x:c r="L552" s="15" t="str">
        <x:v>Done only when evidence is logged, contradiction search is noted, and boundary stamp remains non-canon unless ratified</x:v>
      </x:c>
      <x:c r="M552" s="15" t="str">
        <x:v>candidate / staging-only / not canon / not deployed / authority none</x:v>
      </x:c>
      <x:c r="N552" s="15" t="str">
        <x:v>Dispatch to Tidelock: complete GitHub Source Packets x Automation; return deltas only, receipts required.</x:v>
      </x:c>
      <x:c r="O552" s="15" t="str">
        <x:v>AF-KG-H10-S11</x:v>
      </x:c>
      <x:c r="P552" s="15" t="str">
        <x:v>Unverified</x:v>
      </x:c>
      <x:c r="Q552" s="15" t="str">
        <x:v>Not checked</x:v>
      </x:c>
      <x:c r="R552" s="15" t="str"/>
      <x:c r="S552" s="15" t="str"/>
      <x:c r="T552" s="15" t="str">
        <x:v>Log first source path or blocker</x:v>
      </x:c>
      <x:c r="U552" s="12" t="str">
        <x:f>IF(OR(P552="Unverified",Q552="Not checked"),"BLOCKED_PENDING_RECEIPT","READY_FOR_REVIEW")</x:f>
        <x:v>BLOCKED_PENDING_RECEIPT</x:v>
      </x:c>
      <x:c r="V552" s="12" t="str">
        <x:f>IF(J552="DONE","RETURNED",IF(U552="BLOCKED_PENDING_RECEIPT","SOURCE_TOUCH_REQUIRED","IN_PROGRESS"))</x:f>
        <x:v>SOURCE_TOUCH_REQUIRED</x:v>
      </x:c>
      <x:c r="W552" s="12" t="str">
        <x:f>IF(P552="Unverified","missing_receipt","receipt_logged")</x:f>
        <x:v>missing_receipt</x:v>
      </x:c>
      <x:c r="X552" s="12" t="str">
        <x:f>IF(Q552="Not checked","raw_status_missing","raw_status_logged")</x:f>
        <x:v>raw_status_missing</x:v>
      </x:c>
      <x:c r="Y552" s="12" t="str">
        <x:f>IF(U552="BLOCKED_PENDING_RECEIPT","Log source path or blocker; do not promote","Route to review lane")</x:f>
        <x:v>Log source path or blocker; do not promote</x:v>
      </x:c>
      <x:c r="Z552" s="12" t="str">
        <x:f>IF(K552="P0","Primary seat + Hashlight/Lucerna","Seat lane")</x:f>
        <x:v>Seat lane</x:v>
      </x:c>
      <x:c r="AA552" s="12" t="str">
        <x:f>IF(R552="","no_claim_delta","claim_delta_present")</x:f>
        <x:v>no_claim_delta</x:v>
      </x:c>
      <x:c r="AB552" s="12" t="str">
        <x:f>IF(S552="","no_contradiction_delta","contradiction_delta_present")</x:f>
        <x:v>no_contradiction_delta</x:v>
      </x:c>
      <x:c r="AC552" s="12" t="str">
        <x:f>IF(OR(ISNUMBER(SEARCH("hacker",LOWER(F552&amp;" "&amp;H552&amp;" "&amp;I552&amp;" "&amp;M552&amp;" "&amp;N552&amp;" "&amp;T552))),ISNUMBER(SEARCH("hacking",LOWER(F552&amp;" "&amp;H552&amp;" "&amp;I552&amp;" "&amp;M552&amp;" "&amp;N552&amp;" "&amp;T552))),ISNUMBER(SEARCH("bank",LOWER(F552&amp;" "&amp;H552&amp;" "&amp;I552&amp;" "&amp;M552&amp;" "&amp;N552&amp;" "&amp;T552))),ISNUMBER(SEARCH("banking",LOWER(F552&amp;" "&amp;H552&amp;" "&amp;I552&amp;" "&amp;M552&amp;" "&amp;N552&amp;" "&amp;T552)))),"PRIVATE_QUARANTINE",IF(OR(ISNUMBER(SEARCH("treasury",LOWER(F552&amp;" "&amp;H552&amp;" "&amp;I552&amp;" "&amp;M552&amp;" "&amp;N552&amp;" "&amp;T552))),ISNUMBER(SEARCH("debt",LOWER(F552&amp;" "&amp;H552&amp;" "&amp;I552&amp;" "&amp;M552&amp;" "&amp;N552&amp;" "&amp;T552))),ISNUMBER(SEARCH("bond",LOWER(F552&amp;" "&amp;H552&amp;" "&amp;I552&amp;" "&amp;M552&amp;" "&amp;N552&amp;" "&amp;T552))),ISNUMBER(SEARCH("transaction",LOWER(F552&amp;" "&amp;H552&amp;" "&amp;I552&amp;" "&amp;M552&amp;" "&amp;N552&amp;" "&amp;T552)))),"PRIVATE_REVIEW","PUBLIC_CANDIDATE"))</x:f>
        <x:v>PUBLIC_CANDIDATE</x:v>
      </x:c>
      <x:c r="AD552" s="12" t="str">
        <x:f>IF(AC552="PRIVATE_QUARANTINE","hacker_or_bank_trigger",IF(AC552="PRIVATE_REVIEW","finance_risk_trigger","none"))</x:f>
        <x:v>none</x:v>
      </x:c>
      <x:c r="AE552" s="12" t="str">
        <x:f>IF(AC552="PUBLIC_CANDIDATE","prepare_public_github_candidate",IF(AC552="PRIVATE_REVIEW","hold_for_private_review","quarantine_private_do_not_publish"))</x:f>
        <x:v>prepare_public_github_candidate</x:v>
      </x:c>
      <x:c r="AF552" s="12" t="str">
        <x:f>IF(AC552="PUBLIC_CANDIDATE","TIDELOCK + Lucerna",IF(AC552="PRIVATE_REVIEW","AtlasBrain + Lucerna","TIDELOCK + Lucerna + Human-root"))</x:f>
        <x:v>TIDELOCK + Lucerna</x:v>
      </x:c>
      <x:c r="AG552" s="12" t="str">
        <x:f>IF(AND(AC552="PUBLIC_CANDIDATE",U552&lt;&gt;"BLOCKED_PENDING_RECEIPT"),"READY_AFTER_RECEIPT","NOT_READY")</x:f>
        <x:v>NOT_READY</x:v>
      </x:c>
      <x:c r="AH552" s="12" t="str">
        <x:f>IF(AC552="PUBLIC_CANDIDATE","none",AD552)</x:f>
        <x:v>none</x:v>
      </x:c>
      <x:c r="AI552" s="12" t="str">
        <x:f>IF(AC552="PUBLIC_CANDIDATE","archive/public_candidates/"&amp;A552,"private_quarantine/"&amp;A552)</x:f>
        <x:v>archive/public_candidates/SWARM-04-H10-S11</x:v>
      </x:c>
      <x:c r="AJ552" s="12" t="str">
        <x:f>IF(AC552="PUBLIC_CANDIDATE","public by default; still not canon","private/hold; do not publish")</x:f>
        <x:v>public by default; still not canon</x:v>
      </x:c>
      <x:c r="AK552" s="12" t="str">
        <x:f>IF(AE552="prepare_public_github_candidate","add receipt/status then mirror","resolve blocker before any public GitHub action")</x:f>
        <x:v>add receipt/status then mirror</x:v>
      </x:c>
    </x:row>
    <x:row r="553">
      <x:c r="A553" s="15" t="str">
        <x:v>SWARM-04-H10-S12</x:v>
      </x:c>
      <x:c r="B553" s="15" t="str">
        <x:v>Tidelock</x:v>
      </x:c>
      <x:c r="C553" s="15" t="str">
        <x:v>Access blocker keeper</x:v>
      </x:c>
      <x:c r="D553" s="15" t="str">
        <x:v>GitHub Source Packets</x:v>
      </x:c>
      <x:c r="E553" s="15" t="str">
        <x:v>Risk / Safety</x:v>
      </x:c>
      <x:c r="F553" s="15" t="str">
        <x:v>Build source packet for Risk / Safety — Tidelock</x:v>
      </x:c>
      <x:c r="G553" s="15" t="str">
        <x:v>missing access / blocker ledger / next safe action</x:v>
      </x:c>
      <x:c r="H553" s="15" t="str">
        <x:v>source path + receipt + raw/export status + claim/edge/risk delta</x:v>
      </x:c>
      <x:c r="I553" s="15" t="str">
        <x:v>packet/SWARM-04-H10-S12</x:v>
      </x:c>
      <x:c r="J553" s="15" t="str">
        <x:v>TODO</x:v>
      </x:c>
      <x:c r="K553" s="15" t="str">
        <x:v>P2</x:v>
      </x:c>
      <x:c r="L553" s="15" t="str">
        <x:v>Done only when evidence is logged, contradiction search is noted, and boundary stamp remains non-canon unless ratified</x:v>
      </x:c>
      <x:c r="M553" s="15" t="str">
        <x:v>candidate / staging-only / not canon / not deployed / authority none</x:v>
      </x:c>
      <x:c r="N553" s="15" t="str">
        <x:v>Dispatch to Tidelock: complete GitHub Source Packets x Risk / Safety; return deltas only, receipts required.</x:v>
      </x:c>
      <x:c r="O553" s="15" t="str">
        <x:v>AF-KG-H10-S12</x:v>
      </x:c>
      <x:c r="P553" s="15" t="str">
        <x:v>Unverified</x:v>
      </x:c>
      <x:c r="Q553" s="15" t="str">
        <x:v>Not checked</x:v>
      </x:c>
      <x:c r="R553" s="15" t="str"/>
      <x:c r="S553" s="15" t="str"/>
      <x:c r="T553" s="15" t="str">
        <x:v>Log first source path or blocker</x:v>
      </x:c>
      <x:c r="U553" s="12" t="str">
        <x:f>IF(OR(P553="Unverified",Q553="Not checked"),"BLOCKED_PENDING_RECEIPT","READY_FOR_REVIEW")</x:f>
        <x:v>BLOCKED_PENDING_RECEIPT</x:v>
      </x:c>
      <x:c r="V553" s="12" t="str">
        <x:f>IF(J553="DONE","RETURNED",IF(U553="BLOCKED_PENDING_RECEIPT","SOURCE_TOUCH_REQUIRED","IN_PROGRESS"))</x:f>
        <x:v>SOURCE_TOUCH_REQUIRED</x:v>
      </x:c>
      <x:c r="W553" s="12" t="str">
        <x:f>IF(P553="Unverified","missing_receipt","receipt_logged")</x:f>
        <x:v>missing_receipt</x:v>
      </x:c>
      <x:c r="X553" s="12" t="str">
        <x:f>IF(Q553="Not checked","raw_status_missing","raw_status_logged")</x:f>
        <x:v>raw_status_missing</x:v>
      </x:c>
      <x:c r="Y553" s="12" t="str">
        <x:f>IF(U553="BLOCKED_PENDING_RECEIPT","Log source path or blocker; do not promote","Route to review lane")</x:f>
        <x:v>Log source path or blocker; do not promote</x:v>
      </x:c>
      <x:c r="Z553" s="12" t="str">
        <x:f>IF(K553="P0","Primary seat + Hashlight/Lucerna","Seat lane")</x:f>
        <x:v>Seat lane</x:v>
      </x:c>
      <x:c r="AA553" s="12" t="str">
        <x:f>IF(R553="","no_claim_delta","claim_delta_present")</x:f>
        <x:v>no_claim_delta</x:v>
      </x:c>
      <x:c r="AB553" s="12" t="str">
        <x:f>IF(S553="","no_contradiction_delta","contradiction_delta_present")</x:f>
        <x:v>no_contradiction_delta</x:v>
      </x:c>
      <x:c r="AC553" s="12" t="str">
        <x:f>IF(OR(ISNUMBER(SEARCH("hacker",LOWER(F553&amp;" "&amp;H553&amp;" "&amp;I553&amp;" "&amp;M553&amp;" "&amp;N553&amp;" "&amp;T553))),ISNUMBER(SEARCH("hacking",LOWER(F553&amp;" "&amp;H553&amp;" "&amp;I553&amp;" "&amp;M553&amp;" "&amp;N553&amp;" "&amp;T553))),ISNUMBER(SEARCH("bank",LOWER(F553&amp;" "&amp;H553&amp;" "&amp;I553&amp;" "&amp;M553&amp;" "&amp;N553&amp;" "&amp;T553))),ISNUMBER(SEARCH("banking",LOWER(F553&amp;" "&amp;H553&amp;" "&amp;I553&amp;" "&amp;M553&amp;" "&amp;N553&amp;" "&amp;T553)))),"PRIVATE_QUARANTINE",IF(OR(ISNUMBER(SEARCH("treasury",LOWER(F553&amp;" "&amp;H553&amp;" "&amp;I553&amp;" "&amp;M553&amp;" "&amp;N553&amp;" "&amp;T553))),ISNUMBER(SEARCH("debt",LOWER(F553&amp;" "&amp;H553&amp;" "&amp;I553&amp;" "&amp;M553&amp;" "&amp;N553&amp;" "&amp;T553))),ISNUMBER(SEARCH("bond",LOWER(F553&amp;" "&amp;H553&amp;" "&amp;I553&amp;" "&amp;M553&amp;" "&amp;N553&amp;" "&amp;T553))),ISNUMBER(SEARCH("transaction",LOWER(F553&amp;" "&amp;H553&amp;" "&amp;I553&amp;" "&amp;M553&amp;" "&amp;N553&amp;" "&amp;T553)))),"PRIVATE_REVIEW","PUBLIC_CANDIDATE"))</x:f>
        <x:v>PUBLIC_CANDIDATE</x:v>
      </x:c>
      <x:c r="AD553" s="12" t="str">
        <x:f>IF(AC553="PRIVATE_QUARANTINE","hacker_or_bank_trigger",IF(AC553="PRIVATE_REVIEW","finance_risk_trigger","none"))</x:f>
        <x:v>none</x:v>
      </x:c>
      <x:c r="AE553" s="12" t="str">
        <x:f>IF(AC553="PUBLIC_CANDIDATE","prepare_public_github_candidate",IF(AC553="PRIVATE_REVIEW","hold_for_private_review","quarantine_private_do_not_publish"))</x:f>
        <x:v>prepare_public_github_candidate</x:v>
      </x:c>
      <x:c r="AF553" s="12" t="str">
        <x:f>IF(AC553="PUBLIC_CANDIDATE","TIDELOCK + Lucerna",IF(AC553="PRIVATE_REVIEW","AtlasBrain + Lucerna","TIDELOCK + Lucerna + Human-root"))</x:f>
        <x:v>TIDELOCK + Lucerna</x:v>
      </x:c>
      <x:c r="AG553" s="12" t="str">
        <x:f>IF(AND(AC553="PUBLIC_CANDIDATE",U553&lt;&gt;"BLOCKED_PENDING_RECEIPT"),"READY_AFTER_RECEIPT","NOT_READY")</x:f>
        <x:v>NOT_READY</x:v>
      </x:c>
      <x:c r="AH553" s="12" t="str">
        <x:f>IF(AC553="PUBLIC_CANDIDATE","none",AD553)</x:f>
        <x:v>none</x:v>
      </x:c>
      <x:c r="AI553" s="12" t="str">
        <x:f>IF(AC553="PUBLIC_CANDIDATE","archive/public_candidates/"&amp;A553,"private_quarantine/"&amp;A553)</x:f>
        <x:v>archive/public_candidates/SWARM-04-H10-S12</x:v>
      </x:c>
      <x:c r="AJ553" s="12" t="str">
        <x:f>IF(AC553="PUBLIC_CANDIDATE","public by default; still not canon","private/hold; do not publish")</x:f>
        <x:v>public by default; still not canon</x:v>
      </x:c>
      <x:c r="AK553" s="12" t="str">
        <x:f>IF(AE553="prepare_public_github_candidate","add receipt/status then mirror","resolve blocker before any public GitHub action")</x:f>
        <x:v>add receipt/status then mirror</x:v>
      </x:c>
    </x:row>
    <x:row r="554">
      <x:c r="A554" s="15" t="str">
        <x:v>SWARM-04-H11-S01</x:v>
      </x:c>
      <x:c r="B554" s="15" t="str">
        <x:v>Tidelock</x:v>
      </x:c>
      <x:c r="C554" s="15" t="str">
        <x:v>Access blocker keeper</x:v>
      </x:c>
      <x:c r="D554" s="15" t="str">
        <x:v>Aetherforge UX</x:v>
      </x:c>
      <x:c r="E554" s="15" t="str">
        <x:v>Notion</x:v>
      </x:c>
      <x:c r="F554" s="15" t="str">
        <x:v>Design quest card for Notion — Tidelock</x:v>
      </x:c>
      <x:c r="G554" s="15" t="str">
        <x:v>missing access / blocker ledger / next safe action</x:v>
      </x:c>
      <x:c r="H554" s="15" t="str">
        <x:v>source path + receipt + raw/export status + claim/edge/risk delta</x:v>
      </x:c>
      <x:c r="I554" s="15" t="str">
        <x:v>packet/SWARM-04-H11-S01</x:v>
      </x:c>
      <x:c r="J554" s="15" t="str">
        <x:v>TODO</x:v>
      </x:c>
      <x:c r="K554" s="15" t="str">
        <x:v>P0</x:v>
      </x:c>
      <x:c r="L554" s="15" t="str">
        <x:v>Done only when evidence is logged, contradiction search is noted, and boundary stamp remains non-canon unless ratified</x:v>
      </x:c>
      <x:c r="M554" s="15" t="str">
        <x:v>candidate / staging-only / not canon / not deployed / authority none</x:v>
      </x:c>
      <x:c r="N554" s="15" t="str">
        <x:v>Dispatch to Tidelock: complete Aetherforge UX x Notion; return deltas only, receipts required.</x:v>
      </x:c>
      <x:c r="O554" s="15" t="str">
        <x:v>AF-KG-H11-S01</x:v>
      </x:c>
      <x:c r="P554" s="15" t="str">
        <x:v>Unverified</x:v>
      </x:c>
      <x:c r="Q554" s="15" t="str">
        <x:v>Not checked</x:v>
      </x:c>
      <x:c r="R554" s="15" t="str"/>
      <x:c r="S554" s="15" t="str"/>
      <x:c r="T554" s="15" t="str">
        <x:v>Log first source path or blocker</x:v>
      </x:c>
      <x:c r="U554" s="12" t="str">
        <x:f>IF(OR(P554="Unverified",Q554="Not checked"),"BLOCKED_PENDING_RECEIPT","READY_FOR_REVIEW")</x:f>
        <x:v>BLOCKED_PENDING_RECEIPT</x:v>
      </x:c>
      <x:c r="V554" s="12" t="str">
        <x:f>IF(J554="DONE","RETURNED",IF(U554="BLOCKED_PENDING_RECEIPT","SOURCE_TOUCH_REQUIRED","IN_PROGRESS"))</x:f>
        <x:v>SOURCE_TOUCH_REQUIRED</x:v>
      </x:c>
      <x:c r="W554" s="12" t="str">
        <x:f>IF(P554="Unverified","missing_receipt","receipt_logged")</x:f>
        <x:v>missing_receipt</x:v>
      </x:c>
      <x:c r="X554" s="12" t="str">
        <x:f>IF(Q554="Not checked","raw_status_missing","raw_status_logged")</x:f>
        <x:v>raw_status_missing</x:v>
      </x:c>
      <x:c r="Y554" s="12" t="str">
        <x:f>IF(U554="BLOCKED_PENDING_RECEIPT","Log source path or blocker; do not promote","Route to review lane")</x:f>
        <x:v>Log source path or blocker; do not promote</x:v>
      </x:c>
      <x:c r="Z554" s="12" t="str">
        <x:f>IF(K554="P0","Primary seat + Hashlight/Lucerna","Seat lane")</x:f>
        <x:v>Primary seat + Hashlight/Lucerna</x:v>
      </x:c>
      <x:c r="AA554" s="12" t="str">
        <x:f>IF(R554="","no_claim_delta","claim_delta_present")</x:f>
        <x:v>no_claim_delta</x:v>
      </x:c>
      <x:c r="AB554" s="12" t="str">
        <x:f>IF(S554="","no_contradiction_delta","contradiction_delta_present")</x:f>
        <x:v>no_contradiction_delta</x:v>
      </x:c>
      <x:c r="AC554" s="12" t="str">
        <x:f>IF(OR(ISNUMBER(SEARCH("hacker",LOWER(F554&amp;" "&amp;H554&amp;" "&amp;I554&amp;" "&amp;M554&amp;" "&amp;N554&amp;" "&amp;T554))),ISNUMBER(SEARCH("hacking",LOWER(F554&amp;" "&amp;H554&amp;" "&amp;I554&amp;" "&amp;M554&amp;" "&amp;N554&amp;" "&amp;T554))),ISNUMBER(SEARCH("bank",LOWER(F554&amp;" "&amp;H554&amp;" "&amp;I554&amp;" "&amp;M554&amp;" "&amp;N554&amp;" "&amp;T554))),ISNUMBER(SEARCH("banking",LOWER(F554&amp;" "&amp;H554&amp;" "&amp;I554&amp;" "&amp;M554&amp;" "&amp;N554&amp;" "&amp;T554)))),"PRIVATE_QUARANTINE",IF(OR(ISNUMBER(SEARCH("treasury",LOWER(F554&amp;" "&amp;H554&amp;" "&amp;I554&amp;" "&amp;M554&amp;" "&amp;N554&amp;" "&amp;T554))),ISNUMBER(SEARCH("debt",LOWER(F554&amp;" "&amp;H554&amp;" "&amp;I554&amp;" "&amp;M554&amp;" "&amp;N554&amp;" "&amp;T554))),ISNUMBER(SEARCH("bond",LOWER(F554&amp;" "&amp;H554&amp;" "&amp;I554&amp;" "&amp;M554&amp;" "&amp;N554&amp;" "&amp;T554))),ISNUMBER(SEARCH("transaction",LOWER(F554&amp;" "&amp;H554&amp;" "&amp;I554&amp;" "&amp;M554&amp;" "&amp;N554&amp;" "&amp;T554)))),"PRIVATE_REVIEW","PUBLIC_CANDIDATE"))</x:f>
        <x:v>PUBLIC_CANDIDATE</x:v>
      </x:c>
      <x:c r="AD554" s="12" t="str">
        <x:f>IF(AC554="PRIVATE_QUARANTINE","hacker_or_bank_trigger",IF(AC554="PRIVATE_REVIEW","finance_risk_trigger","none"))</x:f>
        <x:v>none</x:v>
      </x:c>
      <x:c r="AE554" s="12" t="str">
        <x:f>IF(AC554="PUBLIC_CANDIDATE","prepare_public_github_candidate",IF(AC554="PRIVATE_REVIEW","hold_for_private_review","quarantine_private_do_not_publish"))</x:f>
        <x:v>prepare_public_github_candidate</x:v>
      </x:c>
      <x:c r="AF554" s="12" t="str">
        <x:f>IF(AC554="PUBLIC_CANDIDATE","TIDELOCK + Lucerna",IF(AC554="PRIVATE_REVIEW","AtlasBrain + Lucerna","TIDELOCK + Lucerna + Human-root"))</x:f>
        <x:v>TIDELOCK + Lucerna</x:v>
      </x:c>
      <x:c r="AG554" s="12" t="str">
        <x:f>IF(AND(AC554="PUBLIC_CANDIDATE",U554&lt;&gt;"BLOCKED_PENDING_RECEIPT"),"READY_AFTER_RECEIPT","NOT_READY")</x:f>
        <x:v>NOT_READY</x:v>
      </x:c>
      <x:c r="AH554" s="12" t="str">
        <x:f>IF(AC554="PUBLIC_CANDIDATE","none",AD554)</x:f>
        <x:v>none</x:v>
      </x:c>
      <x:c r="AI554" s="12" t="str">
        <x:f>IF(AC554="PUBLIC_CANDIDATE","archive/public_candidates/"&amp;A554,"private_quarantine/"&amp;A554)</x:f>
        <x:v>archive/public_candidates/SWARM-04-H11-S01</x:v>
      </x:c>
      <x:c r="AJ554" s="12" t="str">
        <x:f>IF(AC554="PUBLIC_CANDIDATE","public by default; still not canon","private/hold; do not publish")</x:f>
        <x:v>public by default; still not canon</x:v>
      </x:c>
      <x:c r="AK554" s="12" t="str">
        <x:f>IF(AE554="prepare_public_github_candidate","add receipt/status then mirror","resolve blocker before any public GitHub action")</x:f>
        <x:v>add receipt/status then mirror</x:v>
      </x:c>
    </x:row>
    <x:row r="555">
      <x:c r="A555" s="15" t="str">
        <x:v>SWARM-04-H11-S02</x:v>
      </x:c>
      <x:c r="B555" s="15" t="str">
        <x:v>Tidelock</x:v>
      </x:c>
      <x:c r="C555" s="15" t="str">
        <x:v>Access blocker keeper</x:v>
      </x:c>
      <x:c r="D555" s="15" t="str">
        <x:v>Aetherforge UX</x:v>
      </x:c>
      <x:c r="E555" s="15" t="str">
        <x:v>Drive</x:v>
      </x:c>
      <x:c r="F555" s="15" t="str">
        <x:v>Design quest card for Drive — Tidelock</x:v>
      </x:c>
      <x:c r="G555" s="15" t="str">
        <x:v>missing access / blocker ledger / next safe action</x:v>
      </x:c>
      <x:c r="H555" s="15" t="str">
        <x:v>source path + receipt + raw/export status + claim/edge/risk delta</x:v>
      </x:c>
      <x:c r="I555" s="15" t="str">
        <x:v>packet/SWARM-04-H11-S02</x:v>
      </x:c>
      <x:c r="J555" s="15" t="str">
        <x:v>TODO</x:v>
      </x:c>
      <x:c r="K555" s="15" t="str">
        <x:v>P0</x:v>
      </x:c>
      <x:c r="L555" s="15" t="str">
        <x:v>Done only when evidence is logged, contradiction search is noted, and boundary stamp remains non-canon unless ratified</x:v>
      </x:c>
      <x:c r="M555" s="15" t="str">
        <x:v>candidate / staging-only / not canon / not deployed / authority none</x:v>
      </x:c>
      <x:c r="N555" s="15" t="str">
        <x:v>Dispatch to Tidelock: complete Aetherforge UX x Drive; return deltas only, receipts required.</x:v>
      </x:c>
      <x:c r="O555" s="15" t="str">
        <x:v>AF-KG-H11-S02</x:v>
      </x:c>
      <x:c r="P555" s="15" t="str">
        <x:v>Unverified</x:v>
      </x:c>
      <x:c r="Q555" s="15" t="str">
        <x:v>Not checked</x:v>
      </x:c>
      <x:c r="R555" s="15" t="str"/>
      <x:c r="S555" s="15" t="str"/>
      <x:c r="T555" s="15" t="str">
        <x:v>Log first source path or blocker</x:v>
      </x:c>
      <x:c r="U555" s="12" t="str">
        <x:f>IF(OR(P555="Unverified",Q555="Not checked"),"BLOCKED_PENDING_RECEIPT","READY_FOR_REVIEW")</x:f>
        <x:v>BLOCKED_PENDING_RECEIPT</x:v>
      </x:c>
      <x:c r="V555" s="12" t="str">
        <x:f>IF(J555="DONE","RETURNED",IF(U555="BLOCKED_PENDING_RECEIPT","SOURCE_TOUCH_REQUIRED","IN_PROGRESS"))</x:f>
        <x:v>SOURCE_TOUCH_REQUIRED</x:v>
      </x:c>
      <x:c r="W555" s="12" t="str">
        <x:f>IF(P555="Unverified","missing_receipt","receipt_logged")</x:f>
        <x:v>missing_receipt</x:v>
      </x:c>
      <x:c r="X555" s="12" t="str">
        <x:f>IF(Q555="Not checked","raw_status_missing","raw_status_logged")</x:f>
        <x:v>raw_status_missing</x:v>
      </x:c>
      <x:c r="Y555" s="12" t="str">
        <x:f>IF(U555="BLOCKED_PENDING_RECEIPT","Log source path or blocker; do not promote","Route to review lane")</x:f>
        <x:v>Log source path or blocker; do not promote</x:v>
      </x:c>
      <x:c r="Z555" s="12" t="str">
        <x:f>IF(K555="P0","Primary seat + Hashlight/Lucerna","Seat lane")</x:f>
        <x:v>Primary seat + Hashlight/Lucerna</x:v>
      </x:c>
      <x:c r="AA555" s="12" t="str">
        <x:f>IF(R555="","no_claim_delta","claim_delta_present")</x:f>
        <x:v>no_claim_delta</x:v>
      </x:c>
      <x:c r="AB555" s="12" t="str">
        <x:f>IF(S555="","no_contradiction_delta","contradiction_delta_present")</x:f>
        <x:v>no_contradiction_delta</x:v>
      </x:c>
      <x:c r="AC555" s="12" t="str">
        <x:f>IF(OR(ISNUMBER(SEARCH("hacker",LOWER(F555&amp;" "&amp;H555&amp;" "&amp;I555&amp;" "&amp;M555&amp;" "&amp;N555&amp;" "&amp;T555))),ISNUMBER(SEARCH("hacking",LOWER(F555&amp;" "&amp;H555&amp;" "&amp;I555&amp;" "&amp;M555&amp;" "&amp;N555&amp;" "&amp;T555))),ISNUMBER(SEARCH("bank",LOWER(F555&amp;" "&amp;H555&amp;" "&amp;I555&amp;" "&amp;M555&amp;" "&amp;N555&amp;" "&amp;T555))),ISNUMBER(SEARCH("banking",LOWER(F555&amp;" "&amp;H555&amp;" "&amp;I555&amp;" "&amp;M555&amp;" "&amp;N555&amp;" "&amp;T555)))),"PRIVATE_QUARANTINE",IF(OR(ISNUMBER(SEARCH("treasury",LOWER(F555&amp;" "&amp;H555&amp;" "&amp;I555&amp;" "&amp;M555&amp;" "&amp;N555&amp;" "&amp;T555))),ISNUMBER(SEARCH("debt",LOWER(F555&amp;" "&amp;H555&amp;" "&amp;I555&amp;" "&amp;M555&amp;" "&amp;N555&amp;" "&amp;T555))),ISNUMBER(SEARCH("bond",LOWER(F555&amp;" "&amp;H555&amp;" "&amp;I555&amp;" "&amp;M555&amp;" "&amp;N555&amp;" "&amp;T555))),ISNUMBER(SEARCH("transaction",LOWER(F555&amp;" "&amp;H555&amp;" "&amp;I555&amp;" "&amp;M555&amp;" "&amp;N555&amp;" "&amp;T555)))),"PRIVATE_REVIEW","PUBLIC_CANDIDATE"))</x:f>
        <x:v>PUBLIC_CANDIDATE</x:v>
      </x:c>
      <x:c r="AD555" s="12" t="str">
        <x:f>IF(AC555="PRIVATE_QUARANTINE","hacker_or_bank_trigger",IF(AC555="PRIVATE_REVIEW","finance_risk_trigger","none"))</x:f>
        <x:v>none</x:v>
      </x:c>
      <x:c r="AE555" s="12" t="str">
        <x:f>IF(AC555="PUBLIC_CANDIDATE","prepare_public_github_candidate",IF(AC555="PRIVATE_REVIEW","hold_for_private_review","quarantine_private_do_not_publish"))</x:f>
        <x:v>prepare_public_github_candidate</x:v>
      </x:c>
      <x:c r="AF555" s="12" t="str">
        <x:f>IF(AC555="PUBLIC_CANDIDATE","TIDELOCK + Lucerna",IF(AC555="PRIVATE_REVIEW","AtlasBrain + Lucerna","TIDELOCK + Lucerna + Human-root"))</x:f>
        <x:v>TIDELOCK + Lucerna</x:v>
      </x:c>
      <x:c r="AG555" s="12" t="str">
        <x:f>IF(AND(AC555="PUBLIC_CANDIDATE",U555&lt;&gt;"BLOCKED_PENDING_RECEIPT"),"READY_AFTER_RECEIPT","NOT_READY")</x:f>
        <x:v>NOT_READY</x:v>
      </x:c>
      <x:c r="AH555" s="12" t="str">
        <x:f>IF(AC555="PUBLIC_CANDIDATE","none",AD555)</x:f>
        <x:v>none</x:v>
      </x:c>
      <x:c r="AI555" s="12" t="str">
        <x:f>IF(AC555="PUBLIC_CANDIDATE","archive/public_candidates/"&amp;A555,"private_quarantine/"&amp;A555)</x:f>
        <x:v>archive/public_candidates/SWARM-04-H11-S02</x:v>
      </x:c>
      <x:c r="AJ555" s="12" t="str">
        <x:f>IF(AC555="PUBLIC_CANDIDATE","public by default; still not canon","private/hold; do not publish")</x:f>
        <x:v>public by default; still not canon</x:v>
      </x:c>
      <x:c r="AK555" s="12" t="str">
        <x:f>IF(AE555="prepare_public_github_candidate","add receipt/status then mirror","resolve blocker before any public GitHub action")</x:f>
        <x:v>add receipt/status then mirror</x:v>
      </x:c>
    </x:row>
    <x:row r="556">
      <x:c r="A556" s="15" t="str">
        <x:v>SWARM-04-H11-S03</x:v>
      </x:c>
      <x:c r="B556" s="15" t="str">
        <x:v>Tidelock</x:v>
      </x:c>
      <x:c r="C556" s="15" t="str">
        <x:v>Access blocker keeper</x:v>
      </x:c>
      <x:c r="D556" s="15" t="str">
        <x:v>Aetherforge UX</x:v>
      </x:c>
      <x:c r="E556" s="15" t="str">
        <x:v>GitHub</x:v>
      </x:c>
      <x:c r="F556" s="15" t="str">
        <x:v>Design quest card for GitHub — Tidelock</x:v>
      </x:c>
      <x:c r="G556" s="15" t="str">
        <x:v>missing access / blocker ledger / next safe action</x:v>
      </x:c>
      <x:c r="H556" s="15" t="str">
        <x:v>source path + receipt + raw/export status + claim/edge/risk delta</x:v>
      </x:c>
      <x:c r="I556" s="15" t="str">
        <x:v>packet/SWARM-04-H11-S03</x:v>
      </x:c>
      <x:c r="J556" s="15" t="str">
        <x:v>TODO</x:v>
      </x:c>
      <x:c r="K556" s="15" t="str">
        <x:v>P0</x:v>
      </x:c>
      <x:c r="L556" s="15" t="str">
        <x:v>Done only when evidence is logged, contradiction search is noted, and boundary stamp remains non-canon unless ratified</x:v>
      </x:c>
      <x:c r="M556" s="15" t="str">
        <x:v>candidate / staging-only / not canon / not deployed / authority none</x:v>
      </x:c>
      <x:c r="N556" s="15" t="str">
        <x:v>Dispatch to Tidelock: complete Aetherforge UX x GitHub; return deltas only, receipts required.</x:v>
      </x:c>
      <x:c r="O556" s="15" t="str">
        <x:v>AF-KG-H11-S03</x:v>
      </x:c>
      <x:c r="P556" s="15" t="str">
        <x:v>Unverified</x:v>
      </x:c>
      <x:c r="Q556" s="15" t="str">
        <x:v>Not checked</x:v>
      </x:c>
      <x:c r="R556" s="15" t="str"/>
      <x:c r="S556" s="15" t="str"/>
      <x:c r="T556" s="15" t="str">
        <x:v>Log first source path or blocker</x:v>
      </x:c>
      <x:c r="U556" s="12" t="str">
        <x:f>IF(OR(P556="Unverified",Q556="Not checked"),"BLOCKED_PENDING_RECEIPT","READY_FOR_REVIEW")</x:f>
        <x:v>BLOCKED_PENDING_RECEIPT</x:v>
      </x:c>
      <x:c r="V556" s="12" t="str">
        <x:f>IF(J556="DONE","RETURNED",IF(U556="BLOCKED_PENDING_RECEIPT","SOURCE_TOUCH_REQUIRED","IN_PROGRESS"))</x:f>
        <x:v>SOURCE_TOUCH_REQUIRED</x:v>
      </x:c>
      <x:c r="W556" s="12" t="str">
        <x:f>IF(P556="Unverified","missing_receipt","receipt_logged")</x:f>
        <x:v>missing_receipt</x:v>
      </x:c>
      <x:c r="X556" s="12" t="str">
        <x:f>IF(Q556="Not checked","raw_status_missing","raw_status_logged")</x:f>
        <x:v>raw_status_missing</x:v>
      </x:c>
      <x:c r="Y556" s="12" t="str">
        <x:f>IF(U556="BLOCKED_PENDING_RECEIPT","Log source path or blocker; do not promote","Route to review lane")</x:f>
        <x:v>Log source path or blocker; do not promote</x:v>
      </x:c>
      <x:c r="Z556" s="12" t="str">
        <x:f>IF(K556="P0","Primary seat + Hashlight/Lucerna","Seat lane")</x:f>
        <x:v>Primary seat + Hashlight/Lucerna</x:v>
      </x:c>
      <x:c r="AA556" s="12" t="str">
        <x:f>IF(R556="","no_claim_delta","claim_delta_present")</x:f>
        <x:v>no_claim_delta</x:v>
      </x:c>
      <x:c r="AB556" s="12" t="str">
        <x:f>IF(S556="","no_contradiction_delta","contradiction_delta_present")</x:f>
        <x:v>no_contradiction_delta</x:v>
      </x:c>
      <x:c r="AC556" s="12" t="str">
        <x:f>IF(OR(ISNUMBER(SEARCH("hacker",LOWER(F556&amp;" "&amp;H556&amp;" "&amp;I556&amp;" "&amp;M556&amp;" "&amp;N556&amp;" "&amp;T556))),ISNUMBER(SEARCH("hacking",LOWER(F556&amp;" "&amp;H556&amp;" "&amp;I556&amp;" "&amp;M556&amp;" "&amp;N556&amp;" "&amp;T556))),ISNUMBER(SEARCH("bank",LOWER(F556&amp;" "&amp;H556&amp;" "&amp;I556&amp;" "&amp;M556&amp;" "&amp;N556&amp;" "&amp;T556))),ISNUMBER(SEARCH("banking",LOWER(F556&amp;" "&amp;H556&amp;" "&amp;I556&amp;" "&amp;M556&amp;" "&amp;N556&amp;" "&amp;T556)))),"PRIVATE_QUARANTINE",IF(OR(ISNUMBER(SEARCH("treasury",LOWER(F556&amp;" "&amp;H556&amp;" "&amp;I556&amp;" "&amp;M556&amp;" "&amp;N556&amp;" "&amp;T556))),ISNUMBER(SEARCH("debt",LOWER(F556&amp;" "&amp;H556&amp;" "&amp;I556&amp;" "&amp;M556&amp;" "&amp;N556&amp;" "&amp;T556))),ISNUMBER(SEARCH("bond",LOWER(F556&amp;" "&amp;H556&amp;" "&amp;I556&amp;" "&amp;M556&amp;" "&amp;N556&amp;" "&amp;T556))),ISNUMBER(SEARCH("transaction",LOWER(F556&amp;" "&amp;H556&amp;" "&amp;I556&amp;" "&amp;M556&amp;" "&amp;N556&amp;" "&amp;T556)))),"PRIVATE_REVIEW","PUBLIC_CANDIDATE"))</x:f>
        <x:v>PUBLIC_CANDIDATE</x:v>
      </x:c>
      <x:c r="AD556" s="12" t="str">
        <x:f>IF(AC556="PRIVATE_QUARANTINE","hacker_or_bank_trigger",IF(AC556="PRIVATE_REVIEW","finance_risk_trigger","none"))</x:f>
        <x:v>none</x:v>
      </x:c>
      <x:c r="AE556" s="12" t="str">
        <x:f>IF(AC556="PUBLIC_CANDIDATE","prepare_public_github_candidate",IF(AC556="PRIVATE_REVIEW","hold_for_private_review","quarantine_private_do_not_publish"))</x:f>
        <x:v>prepare_public_github_candidate</x:v>
      </x:c>
      <x:c r="AF556" s="12" t="str">
        <x:f>IF(AC556="PUBLIC_CANDIDATE","TIDELOCK + Lucerna",IF(AC556="PRIVATE_REVIEW","AtlasBrain + Lucerna","TIDELOCK + Lucerna + Human-root"))</x:f>
        <x:v>TIDELOCK + Lucerna</x:v>
      </x:c>
      <x:c r="AG556" s="12" t="str">
        <x:f>IF(AND(AC556="PUBLIC_CANDIDATE",U556&lt;&gt;"BLOCKED_PENDING_RECEIPT"),"READY_AFTER_RECEIPT","NOT_READY")</x:f>
        <x:v>NOT_READY</x:v>
      </x:c>
      <x:c r="AH556" s="12" t="str">
        <x:f>IF(AC556="PUBLIC_CANDIDATE","none",AD556)</x:f>
        <x:v>none</x:v>
      </x:c>
      <x:c r="AI556" s="12" t="str">
        <x:f>IF(AC556="PUBLIC_CANDIDATE","archive/public_candidates/"&amp;A556,"private_quarantine/"&amp;A556)</x:f>
        <x:v>archive/public_candidates/SWARM-04-H11-S03</x:v>
      </x:c>
      <x:c r="AJ556" s="12" t="str">
        <x:f>IF(AC556="PUBLIC_CANDIDATE","public by default; still not canon","private/hold; do not publish")</x:f>
        <x:v>public by default; still not canon</x:v>
      </x:c>
      <x:c r="AK556" s="12" t="str">
        <x:f>IF(AE556="prepare_public_github_candidate","add receipt/status then mirror","resolve blocker before any public GitHub action")</x:f>
        <x:v>add receipt/status then mirror</x:v>
      </x:c>
    </x:row>
    <x:row r="557">
      <x:c r="A557" s="15" t="str">
        <x:v>SWARM-04-H11-S04</x:v>
      </x:c>
      <x:c r="B557" s="15" t="str">
        <x:v>Tidelock</x:v>
      </x:c>
      <x:c r="C557" s="15" t="str">
        <x:v>Access blocker keeper</x:v>
      </x:c>
      <x:c r="D557" s="15" t="str">
        <x:v>Aetherforge UX</x:v>
      </x:c>
      <x:c r="E557" s="15" t="str">
        <x:v>Gamma</x:v>
      </x:c>
      <x:c r="F557" s="15" t="str">
        <x:v>Design quest card for Gamma — Tidelock</x:v>
      </x:c>
      <x:c r="G557" s="15" t="str">
        <x:v>missing access / blocker ledger / next safe action</x:v>
      </x:c>
      <x:c r="H557" s="15" t="str">
        <x:v>source path + receipt + raw/export status + claim/edge/risk delta</x:v>
      </x:c>
      <x:c r="I557" s="15" t="str">
        <x:v>packet/SWARM-04-H11-S04</x:v>
      </x:c>
      <x:c r="J557" s="15" t="str">
        <x:v>TODO</x:v>
      </x:c>
      <x:c r="K557" s="15" t="str">
        <x:v>P1</x:v>
      </x:c>
      <x:c r="L557" s="15" t="str">
        <x:v>Done only when evidence is logged, contradiction search is noted, and boundary stamp remains non-canon unless ratified</x:v>
      </x:c>
      <x:c r="M557" s="15" t="str">
        <x:v>candidate / staging-only / not canon / not deployed / authority none</x:v>
      </x:c>
      <x:c r="N557" s="15" t="str">
        <x:v>Dispatch to Tidelock: complete Aetherforge UX x Gamma; return deltas only, receipts required.</x:v>
      </x:c>
      <x:c r="O557" s="15" t="str">
        <x:v>AF-KG-H11-S04</x:v>
      </x:c>
      <x:c r="P557" s="15" t="str">
        <x:v>Unverified</x:v>
      </x:c>
      <x:c r="Q557" s="15" t="str">
        <x:v>Not checked</x:v>
      </x:c>
      <x:c r="R557" s="15" t="str"/>
      <x:c r="S557" s="15" t="str"/>
      <x:c r="T557" s="15" t="str">
        <x:v>Log first source path or blocker</x:v>
      </x:c>
      <x:c r="U557" s="12" t="str">
        <x:f>IF(OR(P557="Unverified",Q557="Not checked"),"BLOCKED_PENDING_RECEIPT","READY_FOR_REVIEW")</x:f>
        <x:v>BLOCKED_PENDING_RECEIPT</x:v>
      </x:c>
      <x:c r="V557" s="12" t="str">
        <x:f>IF(J557="DONE","RETURNED",IF(U557="BLOCKED_PENDING_RECEIPT","SOURCE_TOUCH_REQUIRED","IN_PROGRESS"))</x:f>
        <x:v>SOURCE_TOUCH_REQUIRED</x:v>
      </x:c>
      <x:c r="W557" s="12" t="str">
        <x:f>IF(P557="Unverified","missing_receipt","receipt_logged")</x:f>
        <x:v>missing_receipt</x:v>
      </x:c>
      <x:c r="X557" s="12" t="str">
        <x:f>IF(Q557="Not checked","raw_status_missing","raw_status_logged")</x:f>
        <x:v>raw_status_missing</x:v>
      </x:c>
      <x:c r="Y557" s="12" t="str">
        <x:f>IF(U557="BLOCKED_PENDING_RECEIPT","Log source path or blocker; do not promote","Route to review lane")</x:f>
        <x:v>Log source path or blocker; do not promote</x:v>
      </x:c>
      <x:c r="Z557" s="12" t="str">
        <x:f>IF(K557="P0","Primary seat + Hashlight/Lucerna","Seat lane")</x:f>
        <x:v>Seat lane</x:v>
      </x:c>
      <x:c r="AA557" s="12" t="str">
        <x:f>IF(R557="","no_claim_delta","claim_delta_present")</x:f>
        <x:v>no_claim_delta</x:v>
      </x:c>
      <x:c r="AB557" s="12" t="str">
        <x:f>IF(S557="","no_contradiction_delta","contradiction_delta_present")</x:f>
        <x:v>no_contradiction_delta</x:v>
      </x:c>
      <x:c r="AC557" s="12" t="str">
        <x:f>IF(OR(ISNUMBER(SEARCH("hacker",LOWER(F557&amp;" "&amp;H557&amp;" "&amp;I557&amp;" "&amp;M557&amp;" "&amp;N557&amp;" "&amp;T557))),ISNUMBER(SEARCH("hacking",LOWER(F557&amp;" "&amp;H557&amp;" "&amp;I557&amp;" "&amp;M557&amp;" "&amp;N557&amp;" "&amp;T557))),ISNUMBER(SEARCH("bank",LOWER(F557&amp;" "&amp;H557&amp;" "&amp;I557&amp;" "&amp;M557&amp;" "&amp;N557&amp;" "&amp;T557))),ISNUMBER(SEARCH("banking",LOWER(F557&amp;" "&amp;H557&amp;" "&amp;I557&amp;" "&amp;M557&amp;" "&amp;N557&amp;" "&amp;T557)))),"PRIVATE_QUARANTINE",IF(OR(ISNUMBER(SEARCH("treasury",LOWER(F557&amp;" "&amp;H557&amp;" "&amp;I557&amp;" "&amp;M557&amp;" "&amp;N557&amp;" "&amp;T557))),ISNUMBER(SEARCH("debt",LOWER(F557&amp;" "&amp;H557&amp;" "&amp;I557&amp;" "&amp;M557&amp;" "&amp;N557&amp;" "&amp;T557))),ISNUMBER(SEARCH("bond",LOWER(F557&amp;" "&amp;H557&amp;" "&amp;I557&amp;" "&amp;M557&amp;" "&amp;N557&amp;" "&amp;T557))),ISNUMBER(SEARCH("transaction",LOWER(F557&amp;" "&amp;H557&amp;" "&amp;I557&amp;" "&amp;M557&amp;" "&amp;N557&amp;" "&amp;T557)))),"PRIVATE_REVIEW","PUBLIC_CANDIDATE"))</x:f>
        <x:v>PUBLIC_CANDIDATE</x:v>
      </x:c>
      <x:c r="AD557" s="12" t="str">
        <x:f>IF(AC557="PRIVATE_QUARANTINE","hacker_or_bank_trigger",IF(AC557="PRIVATE_REVIEW","finance_risk_trigger","none"))</x:f>
        <x:v>none</x:v>
      </x:c>
      <x:c r="AE557" s="12" t="str">
        <x:f>IF(AC557="PUBLIC_CANDIDATE","prepare_public_github_candidate",IF(AC557="PRIVATE_REVIEW","hold_for_private_review","quarantine_private_do_not_publish"))</x:f>
        <x:v>prepare_public_github_candidate</x:v>
      </x:c>
      <x:c r="AF557" s="12" t="str">
        <x:f>IF(AC557="PUBLIC_CANDIDATE","TIDELOCK + Lucerna",IF(AC557="PRIVATE_REVIEW","AtlasBrain + Lucerna","TIDELOCK + Lucerna + Human-root"))</x:f>
        <x:v>TIDELOCK + Lucerna</x:v>
      </x:c>
      <x:c r="AG557" s="12" t="str">
        <x:f>IF(AND(AC557="PUBLIC_CANDIDATE",U557&lt;&gt;"BLOCKED_PENDING_RECEIPT"),"READY_AFTER_RECEIPT","NOT_READY")</x:f>
        <x:v>NOT_READY</x:v>
      </x:c>
      <x:c r="AH557" s="12" t="str">
        <x:f>IF(AC557="PUBLIC_CANDIDATE","none",AD557)</x:f>
        <x:v>none</x:v>
      </x:c>
      <x:c r="AI557" s="12" t="str">
        <x:f>IF(AC557="PUBLIC_CANDIDATE","archive/public_candidates/"&amp;A557,"private_quarantine/"&amp;A557)</x:f>
        <x:v>archive/public_candidates/SWARM-04-H11-S04</x:v>
      </x:c>
      <x:c r="AJ557" s="12" t="str">
        <x:f>IF(AC557="PUBLIC_CANDIDATE","public by default; still not canon","private/hold; do not publish")</x:f>
        <x:v>public by default; still not canon</x:v>
      </x:c>
      <x:c r="AK557" s="12" t="str">
        <x:f>IF(AE557="prepare_public_github_candidate","add receipt/status then mirror","resolve blocker before any public GitHub action")</x:f>
        <x:v>add receipt/status then mirror</x:v>
      </x:c>
    </x:row>
    <x:row r="558">
      <x:c r="A558" s="15" t="str">
        <x:v>SWARM-04-H11-S05</x:v>
      </x:c>
      <x:c r="B558" s="15" t="str">
        <x:v>Tidelock</x:v>
      </x:c>
      <x:c r="C558" s="15" t="str">
        <x:v>Access blocker keeper</x:v>
      </x:c>
      <x:c r="D558" s="15" t="str">
        <x:v>Aetherforge UX</x:v>
      </x:c>
      <x:c r="E558" s="15" t="str">
        <x:v>Chat</x:v>
      </x:c>
      <x:c r="F558" s="15" t="str">
        <x:v>Design quest card for Chat — Tidelock</x:v>
      </x:c>
      <x:c r="G558" s="15" t="str">
        <x:v>missing access / blocker ledger / next safe action</x:v>
      </x:c>
      <x:c r="H558" s="15" t="str">
        <x:v>source path + receipt + raw/export status + claim/edge/risk delta</x:v>
      </x:c>
      <x:c r="I558" s="15" t="str">
        <x:v>packet/SWARM-04-H11-S05</x:v>
      </x:c>
      <x:c r="J558" s="15" t="str">
        <x:v>TODO</x:v>
      </x:c>
      <x:c r="K558" s="15" t="str">
        <x:v>P1</x:v>
      </x:c>
      <x:c r="L558" s="15" t="str">
        <x:v>Done only when evidence is logged, contradiction search is noted, and boundary stamp remains non-canon unless ratified</x:v>
      </x:c>
      <x:c r="M558" s="15" t="str">
        <x:v>candidate / staging-only / not canon / not deployed / authority none</x:v>
      </x:c>
      <x:c r="N558" s="15" t="str">
        <x:v>Dispatch to Tidelock: complete Aetherforge UX x Chat; return deltas only, receipts required.</x:v>
      </x:c>
      <x:c r="O558" s="15" t="str">
        <x:v>AF-KG-H11-S05</x:v>
      </x:c>
      <x:c r="P558" s="15" t="str">
        <x:v>Unverified</x:v>
      </x:c>
      <x:c r="Q558" s="15" t="str">
        <x:v>Not checked</x:v>
      </x:c>
      <x:c r="R558" s="15" t="str"/>
      <x:c r="S558" s="15" t="str"/>
      <x:c r="T558" s="15" t="str">
        <x:v>Log first source path or blocker</x:v>
      </x:c>
      <x:c r="U558" s="12" t="str">
        <x:f>IF(OR(P558="Unverified",Q558="Not checked"),"BLOCKED_PENDING_RECEIPT","READY_FOR_REVIEW")</x:f>
        <x:v>BLOCKED_PENDING_RECEIPT</x:v>
      </x:c>
      <x:c r="V558" s="12" t="str">
        <x:f>IF(J558="DONE","RETURNED",IF(U558="BLOCKED_PENDING_RECEIPT","SOURCE_TOUCH_REQUIRED","IN_PROGRESS"))</x:f>
        <x:v>SOURCE_TOUCH_REQUIRED</x:v>
      </x:c>
      <x:c r="W558" s="12" t="str">
        <x:f>IF(P558="Unverified","missing_receipt","receipt_logged")</x:f>
        <x:v>missing_receipt</x:v>
      </x:c>
      <x:c r="X558" s="12" t="str">
        <x:f>IF(Q558="Not checked","raw_status_missing","raw_status_logged")</x:f>
        <x:v>raw_status_missing</x:v>
      </x:c>
      <x:c r="Y558" s="12" t="str">
        <x:f>IF(U558="BLOCKED_PENDING_RECEIPT","Log source path or blocker; do not promote","Route to review lane")</x:f>
        <x:v>Log source path or blocker; do not promote</x:v>
      </x:c>
      <x:c r="Z558" s="12" t="str">
        <x:f>IF(K558="P0","Primary seat + Hashlight/Lucerna","Seat lane")</x:f>
        <x:v>Seat lane</x:v>
      </x:c>
      <x:c r="AA558" s="12" t="str">
        <x:f>IF(R558="","no_claim_delta","claim_delta_present")</x:f>
        <x:v>no_claim_delta</x:v>
      </x:c>
      <x:c r="AB558" s="12" t="str">
        <x:f>IF(S558="","no_contradiction_delta","contradiction_delta_present")</x:f>
        <x:v>no_contradiction_delta</x:v>
      </x:c>
      <x:c r="AC558" s="12" t="str">
        <x:f>IF(OR(ISNUMBER(SEARCH("hacker",LOWER(F558&amp;" "&amp;H558&amp;" "&amp;I558&amp;" "&amp;M558&amp;" "&amp;N558&amp;" "&amp;T558))),ISNUMBER(SEARCH("hacking",LOWER(F558&amp;" "&amp;H558&amp;" "&amp;I558&amp;" "&amp;M558&amp;" "&amp;N558&amp;" "&amp;T558))),ISNUMBER(SEARCH("bank",LOWER(F558&amp;" "&amp;H558&amp;" "&amp;I558&amp;" "&amp;M558&amp;" "&amp;N558&amp;" "&amp;T558))),ISNUMBER(SEARCH("banking",LOWER(F558&amp;" "&amp;H558&amp;" "&amp;I558&amp;" "&amp;M558&amp;" "&amp;N558&amp;" "&amp;T558)))),"PRIVATE_QUARANTINE",IF(OR(ISNUMBER(SEARCH("treasury",LOWER(F558&amp;" "&amp;H558&amp;" "&amp;I558&amp;" "&amp;M558&amp;" "&amp;N558&amp;" "&amp;T558))),ISNUMBER(SEARCH("debt",LOWER(F558&amp;" "&amp;H558&amp;" "&amp;I558&amp;" "&amp;M558&amp;" "&amp;N558&amp;" "&amp;T558))),ISNUMBER(SEARCH("bond",LOWER(F558&amp;" "&amp;H558&amp;" "&amp;I558&amp;" "&amp;M558&amp;" "&amp;N558&amp;" "&amp;T558))),ISNUMBER(SEARCH("transaction",LOWER(F558&amp;" "&amp;H558&amp;" "&amp;I558&amp;" "&amp;M558&amp;" "&amp;N558&amp;" "&amp;T558)))),"PRIVATE_REVIEW","PUBLIC_CANDIDATE"))</x:f>
        <x:v>PUBLIC_CANDIDATE</x:v>
      </x:c>
      <x:c r="AD558" s="12" t="str">
        <x:f>IF(AC558="PRIVATE_QUARANTINE","hacker_or_bank_trigger",IF(AC558="PRIVATE_REVIEW","finance_risk_trigger","none"))</x:f>
        <x:v>none</x:v>
      </x:c>
      <x:c r="AE558" s="12" t="str">
        <x:f>IF(AC558="PUBLIC_CANDIDATE","prepare_public_github_candidate",IF(AC558="PRIVATE_REVIEW","hold_for_private_review","quarantine_private_do_not_publish"))</x:f>
        <x:v>prepare_public_github_candidate</x:v>
      </x:c>
      <x:c r="AF558" s="12" t="str">
        <x:f>IF(AC558="PUBLIC_CANDIDATE","TIDELOCK + Lucerna",IF(AC558="PRIVATE_REVIEW","AtlasBrain + Lucerna","TIDELOCK + Lucerna + Human-root"))</x:f>
        <x:v>TIDELOCK + Lucerna</x:v>
      </x:c>
      <x:c r="AG558" s="12" t="str">
        <x:f>IF(AND(AC558="PUBLIC_CANDIDATE",U558&lt;&gt;"BLOCKED_PENDING_RECEIPT"),"READY_AFTER_RECEIPT","NOT_READY")</x:f>
        <x:v>NOT_READY</x:v>
      </x:c>
      <x:c r="AH558" s="12" t="str">
        <x:f>IF(AC558="PUBLIC_CANDIDATE","none",AD558)</x:f>
        <x:v>none</x:v>
      </x:c>
      <x:c r="AI558" s="12" t="str">
        <x:f>IF(AC558="PUBLIC_CANDIDATE","archive/public_candidates/"&amp;A558,"private_quarantine/"&amp;A558)</x:f>
        <x:v>archive/public_candidates/SWARM-04-H11-S05</x:v>
      </x:c>
      <x:c r="AJ558" s="12" t="str">
        <x:f>IF(AC558="PUBLIC_CANDIDATE","public by default; still not canon","private/hold; do not publish")</x:f>
        <x:v>public by default; still not canon</x:v>
      </x:c>
      <x:c r="AK558" s="12" t="str">
        <x:f>IF(AE558="prepare_public_github_candidate","add receipt/status then mirror","resolve blocker before any public GitHub action")</x:f>
        <x:v>add receipt/status then mirror</x:v>
      </x:c>
    </x:row>
    <x:row r="559">
      <x:c r="A559" s="15" t="str">
        <x:v>SWARM-04-H11-S06</x:v>
      </x:c>
      <x:c r="B559" s="15" t="str">
        <x:v>Tidelock</x:v>
      </x:c>
      <x:c r="C559" s="15" t="str">
        <x:v>Access blocker keeper</x:v>
      </x:c>
      <x:c r="D559" s="15" t="str">
        <x:v>Aetherforge UX</x:v>
      </x:c>
      <x:c r="E559" s="15" t="str">
        <x:v>External Web</x:v>
      </x:c>
      <x:c r="F559" s="15" t="str">
        <x:v>Design quest card for External Web — Tidelock</x:v>
      </x:c>
      <x:c r="G559" s="15" t="str">
        <x:v>missing access / blocker ledger / next safe action</x:v>
      </x:c>
      <x:c r="H559" s="15" t="str">
        <x:v>source path + receipt + raw/export status + claim/edge/risk delta</x:v>
      </x:c>
      <x:c r="I559" s="15" t="str">
        <x:v>packet/SWARM-04-H11-S06</x:v>
      </x:c>
      <x:c r="J559" s="15" t="str">
        <x:v>TODO</x:v>
      </x:c>
      <x:c r="K559" s="15" t="str">
        <x:v>P1</x:v>
      </x:c>
      <x:c r="L559" s="15" t="str">
        <x:v>Done only when evidence is logged, contradiction search is noted, and boundary stamp remains non-canon unless ratified</x:v>
      </x:c>
      <x:c r="M559" s="15" t="str">
        <x:v>candidate / staging-only / not canon / not deployed / authority none</x:v>
      </x:c>
      <x:c r="N559" s="15" t="str">
        <x:v>Dispatch to Tidelock: complete Aetherforge UX x External Web; return deltas only, receipts required.</x:v>
      </x:c>
      <x:c r="O559" s="15" t="str">
        <x:v>AF-KG-H11-S06</x:v>
      </x:c>
      <x:c r="P559" s="15" t="str">
        <x:v>Unverified</x:v>
      </x:c>
      <x:c r="Q559" s="15" t="str">
        <x:v>Not checked</x:v>
      </x:c>
      <x:c r="R559" s="15" t="str"/>
      <x:c r="S559" s="15" t="str"/>
      <x:c r="T559" s="15" t="str">
        <x:v>Log first source path or blocker</x:v>
      </x:c>
      <x:c r="U559" s="12" t="str">
        <x:f>IF(OR(P559="Unverified",Q559="Not checked"),"BLOCKED_PENDING_RECEIPT","READY_FOR_REVIEW")</x:f>
        <x:v>BLOCKED_PENDING_RECEIPT</x:v>
      </x:c>
      <x:c r="V559" s="12" t="str">
        <x:f>IF(J559="DONE","RETURNED",IF(U559="BLOCKED_PENDING_RECEIPT","SOURCE_TOUCH_REQUIRED","IN_PROGRESS"))</x:f>
        <x:v>SOURCE_TOUCH_REQUIRED</x:v>
      </x:c>
      <x:c r="W559" s="12" t="str">
        <x:f>IF(P559="Unverified","missing_receipt","receipt_logged")</x:f>
        <x:v>missing_receipt</x:v>
      </x:c>
      <x:c r="X559" s="12" t="str">
        <x:f>IF(Q559="Not checked","raw_status_missing","raw_status_logged")</x:f>
        <x:v>raw_status_missing</x:v>
      </x:c>
      <x:c r="Y559" s="12" t="str">
        <x:f>IF(U559="BLOCKED_PENDING_RECEIPT","Log source path or blocker; do not promote","Route to review lane")</x:f>
        <x:v>Log source path or blocker; do not promote</x:v>
      </x:c>
      <x:c r="Z559" s="12" t="str">
        <x:f>IF(K559="P0","Primary seat + Hashlight/Lucerna","Seat lane")</x:f>
        <x:v>Seat lane</x:v>
      </x:c>
      <x:c r="AA559" s="12" t="str">
        <x:f>IF(R559="","no_claim_delta","claim_delta_present")</x:f>
        <x:v>no_claim_delta</x:v>
      </x:c>
      <x:c r="AB559" s="12" t="str">
        <x:f>IF(S559="","no_contradiction_delta","contradiction_delta_present")</x:f>
        <x:v>no_contradiction_delta</x:v>
      </x:c>
      <x:c r="AC559" s="12" t="str">
        <x:f>IF(OR(ISNUMBER(SEARCH("hacker",LOWER(F559&amp;" "&amp;H559&amp;" "&amp;I559&amp;" "&amp;M559&amp;" "&amp;N559&amp;" "&amp;T559))),ISNUMBER(SEARCH("hacking",LOWER(F559&amp;" "&amp;H559&amp;" "&amp;I559&amp;" "&amp;M559&amp;" "&amp;N559&amp;" "&amp;T559))),ISNUMBER(SEARCH("bank",LOWER(F559&amp;" "&amp;H559&amp;" "&amp;I559&amp;" "&amp;M559&amp;" "&amp;N559&amp;" "&amp;T559))),ISNUMBER(SEARCH("banking",LOWER(F559&amp;" "&amp;H559&amp;" "&amp;I559&amp;" "&amp;M559&amp;" "&amp;N559&amp;" "&amp;T559)))),"PRIVATE_QUARANTINE",IF(OR(ISNUMBER(SEARCH("treasury",LOWER(F559&amp;" "&amp;H559&amp;" "&amp;I559&amp;" "&amp;M559&amp;" "&amp;N559&amp;" "&amp;T559))),ISNUMBER(SEARCH("debt",LOWER(F559&amp;" "&amp;H559&amp;" "&amp;I559&amp;" "&amp;M559&amp;" "&amp;N559&amp;" "&amp;T559))),ISNUMBER(SEARCH("bond",LOWER(F559&amp;" "&amp;H559&amp;" "&amp;I559&amp;" "&amp;M559&amp;" "&amp;N559&amp;" "&amp;T559))),ISNUMBER(SEARCH("transaction",LOWER(F559&amp;" "&amp;H559&amp;" "&amp;I559&amp;" "&amp;M559&amp;" "&amp;N559&amp;" "&amp;T559)))),"PRIVATE_REVIEW","PUBLIC_CANDIDATE"))</x:f>
        <x:v>PUBLIC_CANDIDATE</x:v>
      </x:c>
      <x:c r="AD559" s="12" t="str">
        <x:f>IF(AC559="PRIVATE_QUARANTINE","hacker_or_bank_trigger",IF(AC559="PRIVATE_REVIEW","finance_risk_trigger","none"))</x:f>
        <x:v>none</x:v>
      </x:c>
      <x:c r="AE559" s="12" t="str">
        <x:f>IF(AC559="PUBLIC_CANDIDATE","prepare_public_github_candidate",IF(AC559="PRIVATE_REVIEW","hold_for_private_review","quarantine_private_do_not_publish"))</x:f>
        <x:v>prepare_public_github_candidate</x:v>
      </x:c>
      <x:c r="AF559" s="12" t="str">
        <x:f>IF(AC559="PUBLIC_CANDIDATE","TIDELOCK + Lucerna",IF(AC559="PRIVATE_REVIEW","AtlasBrain + Lucerna","TIDELOCK + Lucerna + Human-root"))</x:f>
        <x:v>TIDELOCK + Lucerna</x:v>
      </x:c>
      <x:c r="AG559" s="12" t="str">
        <x:f>IF(AND(AC559="PUBLIC_CANDIDATE",U559&lt;&gt;"BLOCKED_PENDING_RECEIPT"),"READY_AFTER_RECEIPT","NOT_READY")</x:f>
        <x:v>NOT_READY</x:v>
      </x:c>
      <x:c r="AH559" s="12" t="str">
        <x:f>IF(AC559="PUBLIC_CANDIDATE","none",AD559)</x:f>
        <x:v>none</x:v>
      </x:c>
      <x:c r="AI559" s="12" t="str">
        <x:f>IF(AC559="PUBLIC_CANDIDATE","archive/public_candidates/"&amp;A559,"private_quarantine/"&amp;A559)</x:f>
        <x:v>archive/public_candidates/SWARM-04-H11-S06</x:v>
      </x:c>
      <x:c r="AJ559" s="12" t="str">
        <x:f>IF(AC559="PUBLIC_CANDIDATE","public by default; still not canon","private/hold; do not publish")</x:f>
        <x:v>public by default; still not canon</x:v>
      </x:c>
      <x:c r="AK559" s="12" t="str">
        <x:f>IF(AE559="prepare_public_github_candidate","add receipt/status then mirror","resolve blocker before any public GitHub action")</x:f>
        <x:v>add receipt/status then mirror</x:v>
      </x:c>
    </x:row>
    <x:row r="560">
      <x:c r="A560" s="15" t="str">
        <x:v>SWARM-04-H11-S07</x:v>
      </x:c>
      <x:c r="B560" s="15" t="str">
        <x:v>Tidelock</x:v>
      </x:c>
      <x:c r="C560" s="15" t="str">
        <x:v>Access blocker keeper</x:v>
      </x:c>
      <x:c r="D560" s="15" t="str">
        <x:v>Aetherforge UX</x:v>
      </x:c>
      <x:c r="E560" s="15" t="str">
        <x:v>Planetarium</x:v>
      </x:c>
      <x:c r="F560" s="15" t="str">
        <x:v>Design quest card for Planetarium — Tidelock</x:v>
      </x:c>
      <x:c r="G560" s="15" t="str">
        <x:v>missing access / blocker ledger / next safe action</x:v>
      </x:c>
      <x:c r="H560" s="15" t="str">
        <x:v>source path + receipt + raw/export status + claim/edge/risk delta</x:v>
      </x:c>
      <x:c r="I560" s="15" t="str">
        <x:v>packet/SWARM-04-H11-S07</x:v>
      </x:c>
      <x:c r="J560" s="15" t="str">
        <x:v>TODO</x:v>
      </x:c>
      <x:c r="K560" s="15" t="str">
        <x:v>P1</x:v>
      </x:c>
      <x:c r="L560" s="15" t="str">
        <x:v>Done only when evidence is logged, contradiction search is noted, and boundary stamp remains non-canon unless ratified</x:v>
      </x:c>
      <x:c r="M560" s="15" t="str">
        <x:v>candidate / staging-only / not canon / not deployed / authority none</x:v>
      </x:c>
      <x:c r="N560" s="15" t="str">
        <x:v>Dispatch to Tidelock: complete Aetherforge UX x Planetarium; return deltas only, receipts required.</x:v>
      </x:c>
      <x:c r="O560" s="15" t="str">
        <x:v>AF-KG-H11-S07</x:v>
      </x:c>
      <x:c r="P560" s="15" t="str">
        <x:v>Unverified</x:v>
      </x:c>
      <x:c r="Q560" s="15" t="str">
        <x:v>Not checked</x:v>
      </x:c>
      <x:c r="R560" s="15" t="str"/>
      <x:c r="S560" s="15" t="str"/>
      <x:c r="T560" s="15" t="str">
        <x:v>Log first source path or blocker</x:v>
      </x:c>
      <x:c r="U560" s="12" t="str">
        <x:f>IF(OR(P560="Unverified",Q560="Not checked"),"BLOCKED_PENDING_RECEIPT","READY_FOR_REVIEW")</x:f>
        <x:v>BLOCKED_PENDING_RECEIPT</x:v>
      </x:c>
      <x:c r="V560" s="12" t="str">
        <x:f>IF(J560="DONE","RETURNED",IF(U560="BLOCKED_PENDING_RECEIPT","SOURCE_TOUCH_REQUIRED","IN_PROGRESS"))</x:f>
        <x:v>SOURCE_TOUCH_REQUIRED</x:v>
      </x:c>
      <x:c r="W560" s="12" t="str">
        <x:f>IF(P560="Unverified","missing_receipt","receipt_logged")</x:f>
        <x:v>missing_receipt</x:v>
      </x:c>
      <x:c r="X560" s="12" t="str">
        <x:f>IF(Q560="Not checked","raw_status_missing","raw_status_logged")</x:f>
        <x:v>raw_status_missing</x:v>
      </x:c>
      <x:c r="Y560" s="12" t="str">
        <x:f>IF(U560="BLOCKED_PENDING_RECEIPT","Log source path or blocker; do not promote","Route to review lane")</x:f>
        <x:v>Log source path or blocker; do not promote</x:v>
      </x:c>
      <x:c r="Z560" s="12" t="str">
        <x:f>IF(K560="P0","Primary seat + Hashlight/Lucerna","Seat lane")</x:f>
        <x:v>Seat lane</x:v>
      </x:c>
      <x:c r="AA560" s="12" t="str">
        <x:f>IF(R560="","no_claim_delta","claim_delta_present")</x:f>
        <x:v>no_claim_delta</x:v>
      </x:c>
      <x:c r="AB560" s="12" t="str">
        <x:f>IF(S560="","no_contradiction_delta","contradiction_delta_present")</x:f>
        <x:v>no_contradiction_delta</x:v>
      </x:c>
      <x:c r="AC560" s="12" t="str">
        <x:f>IF(OR(ISNUMBER(SEARCH("hacker",LOWER(F560&amp;" "&amp;H560&amp;" "&amp;I560&amp;" "&amp;M560&amp;" "&amp;N560&amp;" "&amp;T560))),ISNUMBER(SEARCH("hacking",LOWER(F560&amp;" "&amp;H560&amp;" "&amp;I560&amp;" "&amp;M560&amp;" "&amp;N560&amp;" "&amp;T560))),ISNUMBER(SEARCH("bank",LOWER(F560&amp;" "&amp;H560&amp;" "&amp;I560&amp;" "&amp;M560&amp;" "&amp;N560&amp;" "&amp;T560))),ISNUMBER(SEARCH("banking",LOWER(F560&amp;" "&amp;H560&amp;" "&amp;I560&amp;" "&amp;M560&amp;" "&amp;N560&amp;" "&amp;T560)))),"PRIVATE_QUARANTINE",IF(OR(ISNUMBER(SEARCH("treasury",LOWER(F560&amp;" "&amp;H560&amp;" "&amp;I560&amp;" "&amp;M560&amp;" "&amp;N560&amp;" "&amp;T560))),ISNUMBER(SEARCH("debt",LOWER(F560&amp;" "&amp;H560&amp;" "&amp;I560&amp;" "&amp;M560&amp;" "&amp;N560&amp;" "&amp;T560))),ISNUMBER(SEARCH("bond",LOWER(F560&amp;" "&amp;H560&amp;" "&amp;I560&amp;" "&amp;M560&amp;" "&amp;N560&amp;" "&amp;T560))),ISNUMBER(SEARCH("transaction",LOWER(F560&amp;" "&amp;H560&amp;" "&amp;I560&amp;" "&amp;M560&amp;" "&amp;N560&amp;" "&amp;T560)))),"PRIVATE_REVIEW","PUBLIC_CANDIDATE"))</x:f>
        <x:v>PUBLIC_CANDIDATE</x:v>
      </x:c>
      <x:c r="AD560" s="12" t="str">
        <x:f>IF(AC560="PRIVATE_QUARANTINE","hacker_or_bank_trigger",IF(AC560="PRIVATE_REVIEW","finance_risk_trigger","none"))</x:f>
        <x:v>none</x:v>
      </x:c>
      <x:c r="AE560" s="12" t="str">
        <x:f>IF(AC560="PUBLIC_CANDIDATE","prepare_public_github_candidate",IF(AC560="PRIVATE_REVIEW","hold_for_private_review","quarantine_private_do_not_publish"))</x:f>
        <x:v>prepare_public_github_candidate</x:v>
      </x:c>
      <x:c r="AF560" s="12" t="str">
        <x:f>IF(AC560="PUBLIC_CANDIDATE","TIDELOCK + Lucerna",IF(AC560="PRIVATE_REVIEW","AtlasBrain + Lucerna","TIDELOCK + Lucerna + Human-root"))</x:f>
        <x:v>TIDELOCK + Lucerna</x:v>
      </x:c>
      <x:c r="AG560" s="12" t="str">
        <x:f>IF(AND(AC560="PUBLIC_CANDIDATE",U560&lt;&gt;"BLOCKED_PENDING_RECEIPT"),"READY_AFTER_RECEIPT","NOT_READY")</x:f>
        <x:v>NOT_READY</x:v>
      </x:c>
      <x:c r="AH560" s="12" t="str">
        <x:f>IF(AC560="PUBLIC_CANDIDATE","none",AD560)</x:f>
        <x:v>none</x:v>
      </x:c>
      <x:c r="AI560" s="12" t="str">
        <x:f>IF(AC560="PUBLIC_CANDIDATE","archive/public_candidates/"&amp;A560,"private_quarantine/"&amp;A560)</x:f>
        <x:v>archive/public_candidates/SWARM-04-H11-S07</x:v>
      </x:c>
      <x:c r="AJ560" s="12" t="str">
        <x:f>IF(AC560="PUBLIC_CANDIDATE","public by default; still not canon","private/hold; do not publish")</x:f>
        <x:v>public by default; still not canon</x:v>
      </x:c>
      <x:c r="AK560" s="12" t="str">
        <x:f>IF(AE560="prepare_public_github_candidate","add receipt/status then mirror","resolve blocker before any public GitHub action")</x:f>
        <x:v>add receipt/status then mirror</x:v>
      </x:c>
    </x:row>
    <x:row r="561">
      <x:c r="A561" s="15" t="str">
        <x:v>SWARM-04-H11-S08</x:v>
      </x:c>
      <x:c r="B561" s="15" t="str">
        <x:v>Tidelock</x:v>
      </x:c>
      <x:c r="C561" s="15" t="str">
        <x:v>Access blocker keeper</x:v>
      </x:c>
      <x:c r="D561" s="15" t="str">
        <x:v>Aetherforge UX</x:v>
      </x:c>
      <x:c r="E561" s="15" t="str">
        <x:v>Sheldonbrain</x:v>
      </x:c>
      <x:c r="F561" s="15" t="str">
        <x:v>Design quest card for Sheldonbrain — Tidelock</x:v>
      </x:c>
      <x:c r="G561" s="15" t="str">
        <x:v>missing access / blocker ledger / next safe action</x:v>
      </x:c>
      <x:c r="H561" s="15" t="str">
        <x:v>source path + receipt + raw/export status + claim/edge/risk delta</x:v>
      </x:c>
      <x:c r="I561" s="15" t="str">
        <x:v>packet/SWARM-04-H11-S08</x:v>
      </x:c>
      <x:c r="J561" s="15" t="str">
        <x:v>TODO</x:v>
      </x:c>
      <x:c r="K561" s="15" t="str">
        <x:v>P1</x:v>
      </x:c>
      <x:c r="L561" s="15" t="str">
        <x:v>Done only when evidence is logged, contradiction search is noted, and boundary stamp remains non-canon unless ratified</x:v>
      </x:c>
      <x:c r="M561" s="15" t="str">
        <x:v>candidate / staging-only / not canon / not deployed / authority none</x:v>
      </x:c>
      <x:c r="N561" s="15" t="str">
        <x:v>Dispatch to Tidelock: complete Aetherforge UX x Sheldonbrain; return deltas only, receipts required.</x:v>
      </x:c>
      <x:c r="O561" s="15" t="str">
        <x:v>AF-KG-H11-S08</x:v>
      </x:c>
      <x:c r="P561" s="15" t="str">
        <x:v>Unverified</x:v>
      </x:c>
      <x:c r="Q561" s="15" t="str">
        <x:v>Not checked</x:v>
      </x:c>
      <x:c r="R561" s="15" t="str"/>
      <x:c r="S561" s="15" t="str"/>
      <x:c r="T561" s="15" t="str">
        <x:v>Log first source path or blocker</x:v>
      </x:c>
      <x:c r="U561" s="12" t="str">
        <x:f>IF(OR(P561="Unverified",Q561="Not checked"),"BLOCKED_PENDING_RECEIPT","READY_FOR_REVIEW")</x:f>
        <x:v>BLOCKED_PENDING_RECEIPT</x:v>
      </x:c>
      <x:c r="V561" s="12" t="str">
        <x:f>IF(J561="DONE","RETURNED",IF(U561="BLOCKED_PENDING_RECEIPT","SOURCE_TOUCH_REQUIRED","IN_PROGRESS"))</x:f>
        <x:v>SOURCE_TOUCH_REQUIRED</x:v>
      </x:c>
      <x:c r="W561" s="12" t="str">
        <x:f>IF(P561="Unverified","missing_receipt","receipt_logged")</x:f>
        <x:v>missing_receipt</x:v>
      </x:c>
      <x:c r="X561" s="12" t="str">
        <x:f>IF(Q561="Not checked","raw_status_missing","raw_status_logged")</x:f>
        <x:v>raw_status_missing</x:v>
      </x:c>
      <x:c r="Y561" s="12" t="str">
        <x:f>IF(U561="BLOCKED_PENDING_RECEIPT","Log source path or blocker; do not promote","Route to review lane")</x:f>
        <x:v>Log source path or blocker; do not promote</x:v>
      </x:c>
      <x:c r="Z561" s="12" t="str">
        <x:f>IF(K561="P0","Primary seat + Hashlight/Lucerna","Seat lane")</x:f>
        <x:v>Seat lane</x:v>
      </x:c>
      <x:c r="AA561" s="12" t="str">
        <x:f>IF(R561="","no_claim_delta","claim_delta_present")</x:f>
        <x:v>no_claim_delta</x:v>
      </x:c>
      <x:c r="AB561" s="12" t="str">
        <x:f>IF(S561="","no_contradiction_delta","contradiction_delta_present")</x:f>
        <x:v>no_contradiction_delta</x:v>
      </x:c>
      <x:c r="AC561" s="12" t="str">
        <x:f>IF(OR(ISNUMBER(SEARCH("hacker",LOWER(F561&amp;" "&amp;H561&amp;" "&amp;I561&amp;" "&amp;M561&amp;" "&amp;N561&amp;" "&amp;T561))),ISNUMBER(SEARCH("hacking",LOWER(F561&amp;" "&amp;H561&amp;" "&amp;I561&amp;" "&amp;M561&amp;" "&amp;N561&amp;" "&amp;T561))),ISNUMBER(SEARCH("bank",LOWER(F561&amp;" "&amp;H561&amp;" "&amp;I561&amp;" "&amp;M561&amp;" "&amp;N561&amp;" "&amp;T561))),ISNUMBER(SEARCH("banking",LOWER(F561&amp;" "&amp;H561&amp;" "&amp;I561&amp;" "&amp;M561&amp;" "&amp;N561&amp;" "&amp;T561)))),"PRIVATE_QUARANTINE",IF(OR(ISNUMBER(SEARCH("treasury",LOWER(F561&amp;" "&amp;H561&amp;" "&amp;I561&amp;" "&amp;M561&amp;" "&amp;N561&amp;" "&amp;T561))),ISNUMBER(SEARCH("debt",LOWER(F561&amp;" "&amp;H561&amp;" "&amp;I561&amp;" "&amp;M561&amp;" "&amp;N561&amp;" "&amp;T561))),ISNUMBER(SEARCH("bond",LOWER(F561&amp;" "&amp;H561&amp;" "&amp;I561&amp;" "&amp;M561&amp;" "&amp;N561&amp;" "&amp;T561))),ISNUMBER(SEARCH("transaction",LOWER(F561&amp;" "&amp;H561&amp;" "&amp;I561&amp;" "&amp;M561&amp;" "&amp;N561&amp;" "&amp;T561)))),"PRIVATE_REVIEW","PUBLIC_CANDIDATE"))</x:f>
        <x:v>PUBLIC_CANDIDATE</x:v>
      </x:c>
      <x:c r="AD561" s="12" t="str">
        <x:f>IF(AC561="PRIVATE_QUARANTINE","hacker_or_bank_trigger",IF(AC561="PRIVATE_REVIEW","finance_risk_trigger","none"))</x:f>
        <x:v>none</x:v>
      </x:c>
      <x:c r="AE561" s="12" t="str">
        <x:f>IF(AC561="PUBLIC_CANDIDATE","prepare_public_github_candidate",IF(AC561="PRIVATE_REVIEW","hold_for_private_review","quarantine_private_do_not_publish"))</x:f>
        <x:v>prepare_public_github_candidate</x:v>
      </x:c>
      <x:c r="AF561" s="12" t="str">
        <x:f>IF(AC561="PUBLIC_CANDIDATE","TIDELOCK + Lucerna",IF(AC561="PRIVATE_REVIEW","AtlasBrain + Lucerna","TIDELOCK + Lucerna + Human-root"))</x:f>
        <x:v>TIDELOCK + Lucerna</x:v>
      </x:c>
      <x:c r="AG561" s="12" t="str">
        <x:f>IF(AND(AC561="PUBLIC_CANDIDATE",U561&lt;&gt;"BLOCKED_PENDING_RECEIPT"),"READY_AFTER_RECEIPT","NOT_READY")</x:f>
        <x:v>NOT_READY</x:v>
      </x:c>
      <x:c r="AH561" s="12" t="str">
        <x:f>IF(AC561="PUBLIC_CANDIDATE","none",AD561)</x:f>
        <x:v>none</x:v>
      </x:c>
      <x:c r="AI561" s="12" t="str">
        <x:f>IF(AC561="PUBLIC_CANDIDATE","archive/public_candidates/"&amp;A561,"private_quarantine/"&amp;A561)</x:f>
        <x:v>archive/public_candidates/SWARM-04-H11-S08</x:v>
      </x:c>
      <x:c r="AJ561" s="12" t="str">
        <x:f>IF(AC561="PUBLIC_CANDIDATE","public by default; still not canon","private/hold; do not publish")</x:f>
        <x:v>public by default; still not canon</x:v>
      </x:c>
      <x:c r="AK561" s="12" t="str">
        <x:f>IF(AE561="prepare_public_github_candidate","add receipt/status then mirror","resolve blocker before any public GitHub action")</x:f>
        <x:v>add receipt/status then mirror</x:v>
      </x:c>
    </x:row>
    <x:row r="562">
      <x:c r="A562" s="15" t="str">
        <x:v>SWARM-04-H11-S09</x:v>
      </x:c>
      <x:c r="B562" s="15" t="str">
        <x:v>Tidelock</x:v>
      </x:c>
      <x:c r="C562" s="15" t="str">
        <x:v>Access blocker keeper</x:v>
      </x:c>
      <x:c r="D562" s="15" t="str">
        <x:v>Aetherforge UX</x:v>
      </x:c>
      <x:c r="E562" s="15" t="str">
        <x:v>Aetherforge</x:v>
      </x:c>
      <x:c r="F562" s="15" t="str">
        <x:v>Design quest card for Aetherforge — Tidelock</x:v>
      </x:c>
      <x:c r="G562" s="15" t="str">
        <x:v>missing access / blocker ledger / next safe action</x:v>
      </x:c>
      <x:c r="H562" s="15" t="str">
        <x:v>source path + receipt + raw/export status + claim/edge/risk delta</x:v>
      </x:c>
      <x:c r="I562" s="15" t="str">
        <x:v>packet/SWARM-04-H11-S09</x:v>
      </x:c>
      <x:c r="J562" s="15" t="str">
        <x:v>TODO</x:v>
      </x:c>
      <x:c r="K562" s="15" t="str">
        <x:v>P2</x:v>
      </x:c>
      <x:c r="L562" s="15" t="str">
        <x:v>Done only when evidence is logged, contradiction search is noted, and boundary stamp remains non-canon unless ratified</x:v>
      </x:c>
      <x:c r="M562" s="15" t="str">
        <x:v>candidate / staging-only / not canon / not deployed / authority none</x:v>
      </x:c>
      <x:c r="N562" s="15" t="str">
        <x:v>Dispatch to Tidelock: complete Aetherforge UX x Aetherforge; return deltas only, receipts required.</x:v>
      </x:c>
      <x:c r="O562" s="15" t="str">
        <x:v>AF-KG-H11-S09</x:v>
      </x:c>
      <x:c r="P562" s="15" t="str">
        <x:v>Unverified</x:v>
      </x:c>
      <x:c r="Q562" s="15" t="str">
        <x:v>Not checked</x:v>
      </x:c>
      <x:c r="R562" s="15" t="str"/>
      <x:c r="S562" s="15" t="str"/>
      <x:c r="T562" s="15" t="str">
        <x:v>Log first source path or blocker</x:v>
      </x:c>
      <x:c r="U562" s="12" t="str">
        <x:f>IF(OR(P562="Unverified",Q562="Not checked"),"BLOCKED_PENDING_RECEIPT","READY_FOR_REVIEW")</x:f>
        <x:v>BLOCKED_PENDING_RECEIPT</x:v>
      </x:c>
      <x:c r="V562" s="12" t="str">
        <x:f>IF(J562="DONE","RETURNED",IF(U562="BLOCKED_PENDING_RECEIPT","SOURCE_TOUCH_REQUIRED","IN_PROGRESS"))</x:f>
        <x:v>SOURCE_TOUCH_REQUIRED</x:v>
      </x:c>
      <x:c r="W562" s="12" t="str">
        <x:f>IF(P562="Unverified","missing_receipt","receipt_logged")</x:f>
        <x:v>missing_receipt</x:v>
      </x:c>
      <x:c r="X562" s="12" t="str">
        <x:f>IF(Q562="Not checked","raw_status_missing","raw_status_logged")</x:f>
        <x:v>raw_status_missing</x:v>
      </x:c>
      <x:c r="Y562" s="12" t="str">
        <x:f>IF(U562="BLOCKED_PENDING_RECEIPT","Log source path or blocker; do not promote","Route to review lane")</x:f>
        <x:v>Log source path or blocker; do not promote</x:v>
      </x:c>
      <x:c r="Z562" s="12" t="str">
        <x:f>IF(K562="P0","Primary seat + Hashlight/Lucerna","Seat lane")</x:f>
        <x:v>Seat lane</x:v>
      </x:c>
      <x:c r="AA562" s="12" t="str">
        <x:f>IF(R562="","no_claim_delta","claim_delta_present")</x:f>
        <x:v>no_claim_delta</x:v>
      </x:c>
      <x:c r="AB562" s="12" t="str">
        <x:f>IF(S562="","no_contradiction_delta","contradiction_delta_present")</x:f>
        <x:v>no_contradiction_delta</x:v>
      </x:c>
      <x:c r="AC562" s="12" t="str">
        <x:f>IF(OR(ISNUMBER(SEARCH("hacker",LOWER(F562&amp;" "&amp;H562&amp;" "&amp;I562&amp;" "&amp;M562&amp;" "&amp;N562&amp;" "&amp;T562))),ISNUMBER(SEARCH("hacking",LOWER(F562&amp;" "&amp;H562&amp;" "&amp;I562&amp;" "&amp;M562&amp;" "&amp;N562&amp;" "&amp;T562))),ISNUMBER(SEARCH("bank",LOWER(F562&amp;" "&amp;H562&amp;" "&amp;I562&amp;" "&amp;M562&amp;" "&amp;N562&amp;" "&amp;T562))),ISNUMBER(SEARCH("banking",LOWER(F562&amp;" "&amp;H562&amp;" "&amp;I562&amp;" "&amp;M562&amp;" "&amp;N562&amp;" "&amp;T562)))),"PRIVATE_QUARANTINE",IF(OR(ISNUMBER(SEARCH("treasury",LOWER(F562&amp;" "&amp;H562&amp;" "&amp;I562&amp;" "&amp;M562&amp;" "&amp;N562&amp;" "&amp;T562))),ISNUMBER(SEARCH("debt",LOWER(F562&amp;" "&amp;H562&amp;" "&amp;I562&amp;" "&amp;M562&amp;" "&amp;N562&amp;" "&amp;T562))),ISNUMBER(SEARCH("bond",LOWER(F562&amp;" "&amp;H562&amp;" "&amp;I562&amp;" "&amp;M562&amp;" "&amp;N562&amp;" "&amp;T562))),ISNUMBER(SEARCH("transaction",LOWER(F562&amp;" "&amp;H562&amp;" "&amp;I562&amp;" "&amp;M562&amp;" "&amp;N562&amp;" "&amp;T562)))),"PRIVATE_REVIEW","PUBLIC_CANDIDATE"))</x:f>
        <x:v>PUBLIC_CANDIDATE</x:v>
      </x:c>
      <x:c r="AD562" s="12" t="str">
        <x:f>IF(AC562="PRIVATE_QUARANTINE","hacker_or_bank_trigger",IF(AC562="PRIVATE_REVIEW","finance_risk_trigger","none"))</x:f>
        <x:v>none</x:v>
      </x:c>
      <x:c r="AE562" s="12" t="str">
        <x:f>IF(AC562="PUBLIC_CANDIDATE","prepare_public_github_candidate",IF(AC562="PRIVATE_REVIEW","hold_for_private_review","quarantine_private_do_not_publish"))</x:f>
        <x:v>prepare_public_github_candidate</x:v>
      </x:c>
      <x:c r="AF562" s="12" t="str">
        <x:f>IF(AC562="PUBLIC_CANDIDATE","TIDELOCK + Lucerna",IF(AC562="PRIVATE_REVIEW","AtlasBrain + Lucerna","TIDELOCK + Lucerna + Human-root"))</x:f>
        <x:v>TIDELOCK + Lucerna</x:v>
      </x:c>
      <x:c r="AG562" s="12" t="str">
        <x:f>IF(AND(AC562="PUBLIC_CANDIDATE",U562&lt;&gt;"BLOCKED_PENDING_RECEIPT"),"READY_AFTER_RECEIPT","NOT_READY")</x:f>
        <x:v>NOT_READY</x:v>
      </x:c>
      <x:c r="AH562" s="12" t="str">
        <x:f>IF(AC562="PUBLIC_CANDIDATE","none",AD562)</x:f>
        <x:v>none</x:v>
      </x:c>
      <x:c r="AI562" s="12" t="str">
        <x:f>IF(AC562="PUBLIC_CANDIDATE","archive/public_candidates/"&amp;A562,"private_quarantine/"&amp;A562)</x:f>
        <x:v>archive/public_candidates/SWARM-04-H11-S09</x:v>
      </x:c>
      <x:c r="AJ562" s="12" t="str">
        <x:f>IF(AC562="PUBLIC_CANDIDATE","public by default; still not canon","private/hold; do not publish")</x:f>
        <x:v>public by default; still not canon</x:v>
      </x:c>
      <x:c r="AK562" s="12" t="str">
        <x:f>IF(AE562="prepare_public_github_candidate","add receipt/status then mirror","resolve blocker before any public GitHub action")</x:f>
        <x:v>add receipt/status then mirror</x:v>
      </x:c>
    </x:row>
    <x:row r="563">
      <x:c r="A563" s="15" t="str">
        <x:v>SWARM-04-H11-S10</x:v>
      </x:c>
      <x:c r="B563" s="15" t="str">
        <x:v>Tidelock</x:v>
      </x:c>
      <x:c r="C563" s="15" t="str">
        <x:v>Access blocker keeper</x:v>
      </x:c>
      <x:c r="D563" s="15" t="str">
        <x:v>Aetherforge UX</x:v>
      </x:c>
      <x:c r="E563" s="15" t="str">
        <x:v>Human-Root</x:v>
      </x:c>
      <x:c r="F563" s="15" t="str">
        <x:v>Design quest card for Human-Root — Tidelock</x:v>
      </x:c>
      <x:c r="G563" s="15" t="str">
        <x:v>missing access / blocker ledger / next safe action</x:v>
      </x:c>
      <x:c r="H563" s="15" t="str">
        <x:v>source path + receipt + raw/export status + claim/edge/risk delta</x:v>
      </x:c>
      <x:c r="I563" s="15" t="str">
        <x:v>packet/SWARM-04-H11-S10</x:v>
      </x:c>
      <x:c r="J563" s="15" t="str">
        <x:v>TODO</x:v>
      </x:c>
      <x:c r="K563" s="15" t="str">
        <x:v>P2</x:v>
      </x:c>
      <x:c r="L563" s="15" t="str">
        <x:v>Done only when evidence is logged, contradiction search is noted, and boundary stamp remains non-canon unless ratified</x:v>
      </x:c>
      <x:c r="M563" s="15" t="str">
        <x:v>candidate / staging-only / not canon / not deployed / authority none</x:v>
      </x:c>
      <x:c r="N563" s="15" t="str">
        <x:v>Dispatch to Tidelock: complete Aetherforge UX x Human-Root; return deltas only, receipts required.</x:v>
      </x:c>
      <x:c r="O563" s="15" t="str">
        <x:v>AF-KG-H11-S10</x:v>
      </x:c>
      <x:c r="P563" s="15" t="str">
        <x:v>Unverified</x:v>
      </x:c>
      <x:c r="Q563" s="15" t="str">
        <x:v>Not checked</x:v>
      </x:c>
      <x:c r="R563" s="15" t="str"/>
      <x:c r="S563" s="15" t="str"/>
      <x:c r="T563" s="15" t="str">
        <x:v>Log first source path or blocker</x:v>
      </x:c>
      <x:c r="U563" s="12" t="str">
        <x:f>IF(OR(P563="Unverified",Q563="Not checked"),"BLOCKED_PENDING_RECEIPT","READY_FOR_REVIEW")</x:f>
        <x:v>BLOCKED_PENDING_RECEIPT</x:v>
      </x:c>
      <x:c r="V563" s="12" t="str">
        <x:f>IF(J563="DONE","RETURNED",IF(U563="BLOCKED_PENDING_RECEIPT","SOURCE_TOUCH_REQUIRED","IN_PROGRESS"))</x:f>
        <x:v>SOURCE_TOUCH_REQUIRED</x:v>
      </x:c>
      <x:c r="W563" s="12" t="str">
        <x:f>IF(P563="Unverified","missing_receipt","receipt_logged")</x:f>
        <x:v>missing_receipt</x:v>
      </x:c>
      <x:c r="X563" s="12" t="str">
        <x:f>IF(Q563="Not checked","raw_status_missing","raw_status_logged")</x:f>
        <x:v>raw_status_missing</x:v>
      </x:c>
      <x:c r="Y563" s="12" t="str">
        <x:f>IF(U563="BLOCKED_PENDING_RECEIPT","Log source path or blocker; do not promote","Route to review lane")</x:f>
        <x:v>Log source path or blocker; do not promote</x:v>
      </x:c>
      <x:c r="Z563" s="12" t="str">
        <x:f>IF(K563="P0","Primary seat + Hashlight/Lucerna","Seat lane")</x:f>
        <x:v>Seat lane</x:v>
      </x:c>
      <x:c r="AA563" s="12" t="str">
        <x:f>IF(R563="","no_claim_delta","claim_delta_present")</x:f>
        <x:v>no_claim_delta</x:v>
      </x:c>
      <x:c r="AB563" s="12" t="str">
        <x:f>IF(S563="","no_contradiction_delta","contradiction_delta_present")</x:f>
        <x:v>no_contradiction_delta</x:v>
      </x:c>
      <x:c r="AC563" s="12" t="str">
        <x:f>IF(OR(ISNUMBER(SEARCH("hacker",LOWER(F563&amp;" "&amp;H563&amp;" "&amp;I563&amp;" "&amp;M563&amp;" "&amp;N563&amp;" "&amp;T563))),ISNUMBER(SEARCH("hacking",LOWER(F563&amp;" "&amp;H563&amp;" "&amp;I563&amp;" "&amp;M563&amp;" "&amp;N563&amp;" "&amp;T563))),ISNUMBER(SEARCH("bank",LOWER(F563&amp;" "&amp;H563&amp;" "&amp;I563&amp;" "&amp;M563&amp;" "&amp;N563&amp;" "&amp;T563))),ISNUMBER(SEARCH("banking",LOWER(F563&amp;" "&amp;H563&amp;" "&amp;I563&amp;" "&amp;M563&amp;" "&amp;N563&amp;" "&amp;T563)))),"PRIVATE_QUARANTINE",IF(OR(ISNUMBER(SEARCH("treasury",LOWER(F563&amp;" "&amp;H563&amp;" "&amp;I563&amp;" "&amp;M563&amp;" "&amp;N563&amp;" "&amp;T563))),ISNUMBER(SEARCH("debt",LOWER(F563&amp;" "&amp;H563&amp;" "&amp;I563&amp;" "&amp;M563&amp;" "&amp;N563&amp;" "&amp;T563))),ISNUMBER(SEARCH("bond",LOWER(F563&amp;" "&amp;H563&amp;" "&amp;I563&amp;" "&amp;M563&amp;" "&amp;N563&amp;" "&amp;T563))),ISNUMBER(SEARCH("transaction",LOWER(F563&amp;" "&amp;H563&amp;" "&amp;I563&amp;" "&amp;M563&amp;" "&amp;N563&amp;" "&amp;T563)))),"PRIVATE_REVIEW","PUBLIC_CANDIDATE"))</x:f>
        <x:v>PUBLIC_CANDIDATE</x:v>
      </x:c>
      <x:c r="AD563" s="12" t="str">
        <x:f>IF(AC563="PRIVATE_QUARANTINE","hacker_or_bank_trigger",IF(AC563="PRIVATE_REVIEW","finance_risk_trigger","none"))</x:f>
        <x:v>none</x:v>
      </x:c>
      <x:c r="AE563" s="12" t="str">
        <x:f>IF(AC563="PUBLIC_CANDIDATE","prepare_public_github_candidate",IF(AC563="PRIVATE_REVIEW","hold_for_private_review","quarantine_private_do_not_publish"))</x:f>
        <x:v>prepare_public_github_candidate</x:v>
      </x:c>
      <x:c r="AF563" s="12" t="str">
        <x:f>IF(AC563="PUBLIC_CANDIDATE","TIDELOCK + Lucerna",IF(AC563="PRIVATE_REVIEW","AtlasBrain + Lucerna","TIDELOCK + Lucerna + Human-root"))</x:f>
        <x:v>TIDELOCK + Lucerna</x:v>
      </x:c>
      <x:c r="AG563" s="12" t="str">
        <x:f>IF(AND(AC563="PUBLIC_CANDIDATE",U563&lt;&gt;"BLOCKED_PENDING_RECEIPT"),"READY_AFTER_RECEIPT","NOT_READY")</x:f>
        <x:v>NOT_READY</x:v>
      </x:c>
      <x:c r="AH563" s="12" t="str">
        <x:f>IF(AC563="PUBLIC_CANDIDATE","none",AD563)</x:f>
        <x:v>none</x:v>
      </x:c>
      <x:c r="AI563" s="12" t="str">
        <x:f>IF(AC563="PUBLIC_CANDIDATE","archive/public_candidates/"&amp;A563,"private_quarantine/"&amp;A563)</x:f>
        <x:v>archive/public_candidates/SWARM-04-H11-S10</x:v>
      </x:c>
      <x:c r="AJ563" s="12" t="str">
        <x:f>IF(AC563="PUBLIC_CANDIDATE","public by default; still not canon","private/hold; do not publish")</x:f>
        <x:v>public by default; still not canon</x:v>
      </x:c>
      <x:c r="AK563" s="12" t="str">
        <x:f>IF(AE563="prepare_public_github_candidate","add receipt/status then mirror","resolve blocker before any public GitHub action")</x:f>
        <x:v>add receipt/status then mirror</x:v>
      </x:c>
    </x:row>
    <x:row r="564">
      <x:c r="A564" s="15" t="str">
        <x:v>SWARM-04-H11-S11</x:v>
      </x:c>
      <x:c r="B564" s="15" t="str">
        <x:v>Tidelock</x:v>
      </x:c>
      <x:c r="C564" s="15" t="str">
        <x:v>Access blocker keeper</x:v>
      </x:c>
      <x:c r="D564" s="15" t="str">
        <x:v>Aetherforge UX</x:v>
      </x:c>
      <x:c r="E564" s="15" t="str">
        <x:v>Automation</x:v>
      </x:c>
      <x:c r="F564" s="15" t="str">
        <x:v>Design quest card for Automation — Tidelock</x:v>
      </x:c>
      <x:c r="G564" s="15" t="str">
        <x:v>missing access / blocker ledger / next safe action</x:v>
      </x:c>
      <x:c r="H564" s="15" t="str">
        <x:v>source path + receipt + raw/export status + claim/edge/risk delta</x:v>
      </x:c>
      <x:c r="I564" s="15" t="str">
        <x:v>packet/SWARM-04-H11-S11</x:v>
      </x:c>
      <x:c r="J564" s="15" t="str">
        <x:v>TODO</x:v>
      </x:c>
      <x:c r="K564" s="15" t="str">
        <x:v>P2</x:v>
      </x:c>
      <x:c r="L564" s="15" t="str">
        <x:v>Done only when evidence is logged, contradiction search is noted, and boundary stamp remains non-canon unless ratified</x:v>
      </x:c>
      <x:c r="M564" s="15" t="str">
        <x:v>candidate / staging-only / not canon / not deployed / authority none</x:v>
      </x:c>
      <x:c r="N564" s="15" t="str">
        <x:v>Dispatch to Tidelock: complete Aetherforge UX x Automation; return deltas only, receipts required.</x:v>
      </x:c>
      <x:c r="O564" s="15" t="str">
        <x:v>AF-KG-H11-S11</x:v>
      </x:c>
      <x:c r="P564" s="15" t="str">
        <x:v>Unverified</x:v>
      </x:c>
      <x:c r="Q564" s="15" t="str">
        <x:v>Not checked</x:v>
      </x:c>
      <x:c r="R564" s="15" t="str"/>
      <x:c r="S564" s="15" t="str"/>
      <x:c r="T564" s="15" t="str">
        <x:v>Log first source path or blocker</x:v>
      </x:c>
      <x:c r="U564" s="12" t="str">
        <x:f>IF(OR(P564="Unverified",Q564="Not checked"),"BLOCKED_PENDING_RECEIPT","READY_FOR_REVIEW")</x:f>
        <x:v>BLOCKED_PENDING_RECEIPT</x:v>
      </x:c>
      <x:c r="V564" s="12" t="str">
        <x:f>IF(J564="DONE","RETURNED",IF(U564="BLOCKED_PENDING_RECEIPT","SOURCE_TOUCH_REQUIRED","IN_PROGRESS"))</x:f>
        <x:v>SOURCE_TOUCH_REQUIRED</x:v>
      </x:c>
      <x:c r="W564" s="12" t="str">
        <x:f>IF(P564="Unverified","missing_receipt","receipt_logged")</x:f>
        <x:v>missing_receipt</x:v>
      </x:c>
      <x:c r="X564" s="12" t="str">
        <x:f>IF(Q564="Not checked","raw_status_missing","raw_status_logged")</x:f>
        <x:v>raw_status_missing</x:v>
      </x:c>
      <x:c r="Y564" s="12" t="str">
        <x:f>IF(U564="BLOCKED_PENDING_RECEIPT","Log source path or blocker; do not promote","Route to review lane")</x:f>
        <x:v>Log source path or blocker; do not promote</x:v>
      </x:c>
      <x:c r="Z564" s="12" t="str">
        <x:f>IF(K564="P0","Primary seat + Hashlight/Lucerna","Seat lane")</x:f>
        <x:v>Seat lane</x:v>
      </x:c>
      <x:c r="AA564" s="12" t="str">
        <x:f>IF(R564="","no_claim_delta","claim_delta_present")</x:f>
        <x:v>no_claim_delta</x:v>
      </x:c>
      <x:c r="AB564" s="12" t="str">
        <x:f>IF(S564="","no_contradiction_delta","contradiction_delta_present")</x:f>
        <x:v>no_contradiction_delta</x:v>
      </x:c>
      <x:c r="AC564" s="12" t="str">
        <x:f>IF(OR(ISNUMBER(SEARCH("hacker",LOWER(F564&amp;" "&amp;H564&amp;" "&amp;I564&amp;" "&amp;M564&amp;" "&amp;N564&amp;" "&amp;T564))),ISNUMBER(SEARCH("hacking",LOWER(F564&amp;" "&amp;H564&amp;" "&amp;I564&amp;" "&amp;M564&amp;" "&amp;N564&amp;" "&amp;T564))),ISNUMBER(SEARCH("bank",LOWER(F564&amp;" "&amp;H564&amp;" "&amp;I564&amp;" "&amp;M564&amp;" "&amp;N564&amp;" "&amp;T564))),ISNUMBER(SEARCH("banking",LOWER(F564&amp;" "&amp;H564&amp;" "&amp;I564&amp;" "&amp;M564&amp;" "&amp;N564&amp;" "&amp;T564)))),"PRIVATE_QUARANTINE",IF(OR(ISNUMBER(SEARCH("treasury",LOWER(F564&amp;" "&amp;H564&amp;" "&amp;I564&amp;" "&amp;M564&amp;" "&amp;N564&amp;" "&amp;T564))),ISNUMBER(SEARCH("debt",LOWER(F564&amp;" "&amp;H564&amp;" "&amp;I564&amp;" "&amp;M564&amp;" "&amp;N564&amp;" "&amp;T564))),ISNUMBER(SEARCH("bond",LOWER(F564&amp;" "&amp;H564&amp;" "&amp;I564&amp;" "&amp;M564&amp;" "&amp;N564&amp;" "&amp;T564))),ISNUMBER(SEARCH("transaction",LOWER(F564&amp;" "&amp;H564&amp;" "&amp;I564&amp;" "&amp;M564&amp;" "&amp;N564&amp;" "&amp;T564)))),"PRIVATE_REVIEW","PUBLIC_CANDIDATE"))</x:f>
        <x:v>PUBLIC_CANDIDATE</x:v>
      </x:c>
      <x:c r="AD564" s="12" t="str">
        <x:f>IF(AC564="PRIVATE_QUARANTINE","hacker_or_bank_trigger",IF(AC564="PRIVATE_REVIEW","finance_risk_trigger","none"))</x:f>
        <x:v>none</x:v>
      </x:c>
      <x:c r="AE564" s="12" t="str">
        <x:f>IF(AC564="PUBLIC_CANDIDATE","prepare_public_github_candidate",IF(AC564="PRIVATE_REVIEW","hold_for_private_review","quarantine_private_do_not_publish"))</x:f>
        <x:v>prepare_public_github_candidate</x:v>
      </x:c>
      <x:c r="AF564" s="12" t="str">
        <x:f>IF(AC564="PUBLIC_CANDIDATE","TIDELOCK + Lucerna",IF(AC564="PRIVATE_REVIEW","AtlasBrain + Lucerna","TIDELOCK + Lucerna + Human-root"))</x:f>
        <x:v>TIDELOCK + Lucerna</x:v>
      </x:c>
      <x:c r="AG564" s="12" t="str">
        <x:f>IF(AND(AC564="PUBLIC_CANDIDATE",U564&lt;&gt;"BLOCKED_PENDING_RECEIPT"),"READY_AFTER_RECEIPT","NOT_READY")</x:f>
        <x:v>NOT_READY</x:v>
      </x:c>
      <x:c r="AH564" s="12" t="str">
        <x:f>IF(AC564="PUBLIC_CANDIDATE","none",AD564)</x:f>
        <x:v>none</x:v>
      </x:c>
      <x:c r="AI564" s="12" t="str">
        <x:f>IF(AC564="PUBLIC_CANDIDATE","archive/public_candidates/"&amp;A564,"private_quarantine/"&amp;A564)</x:f>
        <x:v>archive/public_candidates/SWARM-04-H11-S11</x:v>
      </x:c>
      <x:c r="AJ564" s="12" t="str">
        <x:f>IF(AC564="PUBLIC_CANDIDATE","public by default; still not canon","private/hold; do not publish")</x:f>
        <x:v>public by default; still not canon</x:v>
      </x:c>
      <x:c r="AK564" s="12" t="str">
        <x:f>IF(AE564="prepare_public_github_candidate","add receipt/status then mirror","resolve blocker before any public GitHub action")</x:f>
        <x:v>add receipt/status then mirror</x:v>
      </x:c>
    </x:row>
    <x:row r="565">
      <x:c r="A565" s="15" t="str">
        <x:v>SWARM-04-H11-S12</x:v>
      </x:c>
      <x:c r="B565" s="15" t="str">
        <x:v>Tidelock</x:v>
      </x:c>
      <x:c r="C565" s="15" t="str">
        <x:v>Access blocker keeper</x:v>
      </x:c>
      <x:c r="D565" s="15" t="str">
        <x:v>Aetherforge UX</x:v>
      </x:c>
      <x:c r="E565" s="15" t="str">
        <x:v>Risk / Safety</x:v>
      </x:c>
      <x:c r="F565" s="15" t="str">
        <x:v>Design quest card for Risk / Safety — Tidelock</x:v>
      </x:c>
      <x:c r="G565" s="15" t="str">
        <x:v>missing access / blocker ledger / next safe action</x:v>
      </x:c>
      <x:c r="H565" s="15" t="str">
        <x:v>source path + receipt + raw/export status + claim/edge/risk delta</x:v>
      </x:c>
      <x:c r="I565" s="15" t="str">
        <x:v>packet/SWARM-04-H11-S12</x:v>
      </x:c>
      <x:c r="J565" s="15" t="str">
        <x:v>TODO</x:v>
      </x:c>
      <x:c r="K565" s="15" t="str">
        <x:v>P2</x:v>
      </x:c>
      <x:c r="L565" s="15" t="str">
        <x:v>Done only when evidence is logged, contradiction search is noted, and boundary stamp remains non-canon unless ratified</x:v>
      </x:c>
      <x:c r="M565" s="15" t="str">
        <x:v>candidate / staging-only / not canon / not deployed / authority none</x:v>
      </x:c>
      <x:c r="N565" s="15" t="str">
        <x:v>Dispatch to Tidelock: complete Aetherforge UX x Risk / Safety; return deltas only, receipts required.</x:v>
      </x:c>
      <x:c r="O565" s="15" t="str">
        <x:v>AF-KG-H11-S12</x:v>
      </x:c>
      <x:c r="P565" s="15" t="str">
        <x:v>Unverified</x:v>
      </x:c>
      <x:c r="Q565" s="15" t="str">
        <x:v>Not checked</x:v>
      </x:c>
      <x:c r="R565" s="15" t="str"/>
      <x:c r="S565" s="15" t="str"/>
      <x:c r="T565" s="15" t="str">
        <x:v>Log first source path or blocker</x:v>
      </x:c>
      <x:c r="U565" s="12" t="str">
        <x:f>IF(OR(P565="Unverified",Q565="Not checked"),"BLOCKED_PENDING_RECEIPT","READY_FOR_REVIEW")</x:f>
        <x:v>BLOCKED_PENDING_RECEIPT</x:v>
      </x:c>
      <x:c r="V565" s="12" t="str">
        <x:f>IF(J565="DONE","RETURNED",IF(U565="BLOCKED_PENDING_RECEIPT","SOURCE_TOUCH_REQUIRED","IN_PROGRESS"))</x:f>
        <x:v>SOURCE_TOUCH_REQUIRED</x:v>
      </x:c>
      <x:c r="W565" s="12" t="str">
        <x:f>IF(P565="Unverified","missing_receipt","receipt_logged")</x:f>
        <x:v>missing_receipt</x:v>
      </x:c>
      <x:c r="X565" s="12" t="str">
        <x:f>IF(Q565="Not checked","raw_status_missing","raw_status_logged")</x:f>
        <x:v>raw_status_missing</x:v>
      </x:c>
      <x:c r="Y565" s="12" t="str">
        <x:f>IF(U565="BLOCKED_PENDING_RECEIPT","Log source path or blocker; do not promote","Route to review lane")</x:f>
        <x:v>Log source path or blocker; do not promote</x:v>
      </x:c>
      <x:c r="Z565" s="12" t="str">
        <x:f>IF(K565="P0","Primary seat + Hashlight/Lucerna","Seat lane")</x:f>
        <x:v>Seat lane</x:v>
      </x:c>
      <x:c r="AA565" s="12" t="str">
        <x:f>IF(R565="","no_claim_delta","claim_delta_present")</x:f>
        <x:v>no_claim_delta</x:v>
      </x:c>
      <x:c r="AB565" s="12" t="str">
        <x:f>IF(S565="","no_contradiction_delta","contradiction_delta_present")</x:f>
        <x:v>no_contradiction_delta</x:v>
      </x:c>
      <x:c r="AC565" s="12" t="str">
        <x:f>IF(OR(ISNUMBER(SEARCH("hacker",LOWER(F565&amp;" "&amp;H565&amp;" "&amp;I565&amp;" "&amp;M565&amp;" "&amp;N565&amp;" "&amp;T565))),ISNUMBER(SEARCH("hacking",LOWER(F565&amp;" "&amp;H565&amp;" "&amp;I565&amp;" "&amp;M565&amp;" "&amp;N565&amp;" "&amp;T565))),ISNUMBER(SEARCH("bank",LOWER(F565&amp;" "&amp;H565&amp;" "&amp;I565&amp;" "&amp;M565&amp;" "&amp;N565&amp;" "&amp;T565))),ISNUMBER(SEARCH("banking",LOWER(F565&amp;" "&amp;H565&amp;" "&amp;I565&amp;" "&amp;M565&amp;" "&amp;N565&amp;" "&amp;T565)))),"PRIVATE_QUARANTINE",IF(OR(ISNUMBER(SEARCH("treasury",LOWER(F565&amp;" "&amp;H565&amp;" "&amp;I565&amp;" "&amp;M565&amp;" "&amp;N565&amp;" "&amp;T565))),ISNUMBER(SEARCH("debt",LOWER(F565&amp;" "&amp;H565&amp;" "&amp;I565&amp;" "&amp;M565&amp;" "&amp;N565&amp;" "&amp;T565))),ISNUMBER(SEARCH("bond",LOWER(F565&amp;" "&amp;H565&amp;" "&amp;I565&amp;" "&amp;M565&amp;" "&amp;N565&amp;" "&amp;T565))),ISNUMBER(SEARCH("transaction",LOWER(F565&amp;" "&amp;H565&amp;" "&amp;I565&amp;" "&amp;M565&amp;" "&amp;N565&amp;" "&amp;T565)))),"PRIVATE_REVIEW","PUBLIC_CANDIDATE"))</x:f>
        <x:v>PUBLIC_CANDIDATE</x:v>
      </x:c>
      <x:c r="AD565" s="12" t="str">
        <x:f>IF(AC565="PRIVATE_QUARANTINE","hacker_or_bank_trigger",IF(AC565="PRIVATE_REVIEW","finance_risk_trigger","none"))</x:f>
        <x:v>none</x:v>
      </x:c>
      <x:c r="AE565" s="12" t="str">
        <x:f>IF(AC565="PUBLIC_CANDIDATE","prepare_public_github_candidate",IF(AC565="PRIVATE_REVIEW","hold_for_private_review","quarantine_private_do_not_publish"))</x:f>
        <x:v>prepare_public_github_candidate</x:v>
      </x:c>
      <x:c r="AF565" s="12" t="str">
        <x:f>IF(AC565="PUBLIC_CANDIDATE","TIDELOCK + Lucerna",IF(AC565="PRIVATE_REVIEW","AtlasBrain + Lucerna","TIDELOCK + Lucerna + Human-root"))</x:f>
        <x:v>TIDELOCK + Lucerna</x:v>
      </x:c>
      <x:c r="AG565" s="12" t="str">
        <x:f>IF(AND(AC565="PUBLIC_CANDIDATE",U565&lt;&gt;"BLOCKED_PENDING_RECEIPT"),"READY_AFTER_RECEIPT","NOT_READY")</x:f>
        <x:v>NOT_READY</x:v>
      </x:c>
      <x:c r="AH565" s="12" t="str">
        <x:f>IF(AC565="PUBLIC_CANDIDATE","none",AD565)</x:f>
        <x:v>none</x:v>
      </x:c>
      <x:c r="AI565" s="12" t="str">
        <x:f>IF(AC565="PUBLIC_CANDIDATE","archive/public_candidates/"&amp;A565,"private_quarantine/"&amp;A565)</x:f>
        <x:v>archive/public_candidates/SWARM-04-H11-S12</x:v>
      </x:c>
      <x:c r="AJ565" s="12" t="str">
        <x:f>IF(AC565="PUBLIC_CANDIDATE","public by default; still not canon","private/hold; do not publish")</x:f>
        <x:v>public by default; still not canon</x:v>
      </x:c>
      <x:c r="AK565" s="12" t="str">
        <x:f>IF(AE565="prepare_public_github_candidate","add receipt/status then mirror","resolve blocker before any public GitHub action")</x:f>
        <x:v>add receipt/status then mirror</x:v>
      </x:c>
    </x:row>
    <x:row r="566">
      <x:c r="A566" s="15" t="str">
        <x:v>SWARM-04-H12-S01</x:v>
      </x:c>
      <x:c r="B566" s="15" t="str">
        <x:v>Tidelock</x:v>
      </x:c>
      <x:c r="C566" s="15" t="str">
        <x:v>Access blocker keeper</x:v>
      </x:c>
      <x:c r="D566" s="15" t="str">
        <x:v>Canon-Gate Prep</x:v>
      </x:c>
      <x:c r="E566" s="15" t="str">
        <x:v>Notion</x:v>
      </x:c>
      <x:c r="F566" s="15" t="str">
        <x:v>Prepare canon-gate brief for Notion — Tidelock</x:v>
      </x:c>
      <x:c r="G566" s="15" t="str">
        <x:v>missing access / blocker ledger / next safe action</x:v>
      </x:c>
      <x:c r="H566" s="15" t="str">
        <x:v>source path + receipt + raw/export status + claim/edge/risk delta</x:v>
      </x:c>
      <x:c r="I566" s="15" t="str">
        <x:v>packet/SWARM-04-H12-S01</x:v>
      </x:c>
      <x:c r="J566" s="15" t="str">
        <x:v>TODO</x:v>
      </x:c>
      <x:c r="K566" s="15" t="str">
        <x:v>P0</x:v>
      </x:c>
      <x:c r="L566" s="15" t="str">
        <x:v>Done only when evidence is logged, contradiction search is noted, and boundary stamp remains non-canon unless ratified</x:v>
      </x:c>
      <x:c r="M566" s="15" t="str">
        <x:v>candidate / staging-only / not canon / not deployed / authority none</x:v>
      </x:c>
      <x:c r="N566" s="15" t="str">
        <x:v>Dispatch to Tidelock: complete Canon-Gate Prep x Notion; return deltas only, receipts required.</x:v>
      </x:c>
      <x:c r="O566" s="15" t="str">
        <x:v>AF-KG-H12-S01</x:v>
      </x:c>
      <x:c r="P566" s="15" t="str">
        <x:v>Unverified</x:v>
      </x:c>
      <x:c r="Q566" s="15" t="str">
        <x:v>Not checked</x:v>
      </x:c>
      <x:c r="R566" s="15" t="str"/>
      <x:c r="S566" s="15" t="str"/>
      <x:c r="T566" s="15" t="str">
        <x:v>Log first source path or blocker</x:v>
      </x:c>
      <x:c r="U566" s="12" t="str">
        <x:f>IF(OR(P566="Unverified",Q566="Not checked"),"BLOCKED_PENDING_RECEIPT","READY_FOR_REVIEW")</x:f>
        <x:v>BLOCKED_PENDING_RECEIPT</x:v>
      </x:c>
      <x:c r="V566" s="12" t="str">
        <x:f>IF(J566="DONE","RETURNED",IF(U566="BLOCKED_PENDING_RECEIPT","SOURCE_TOUCH_REQUIRED","IN_PROGRESS"))</x:f>
        <x:v>SOURCE_TOUCH_REQUIRED</x:v>
      </x:c>
      <x:c r="W566" s="12" t="str">
        <x:f>IF(P566="Unverified","missing_receipt","receipt_logged")</x:f>
        <x:v>missing_receipt</x:v>
      </x:c>
      <x:c r="X566" s="12" t="str">
        <x:f>IF(Q566="Not checked","raw_status_missing","raw_status_logged")</x:f>
        <x:v>raw_status_missing</x:v>
      </x:c>
      <x:c r="Y566" s="12" t="str">
        <x:f>IF(U566="BLOCKED_PENDING_RECEIPT","Log source path or blocker; do not promote","Route to review lane")</x:f>
        <x:v>Log source path or blocker; do not promote</x:v>
      </x:c>
      <x:c r="Z566" s="12" t="str">
        <x:f>IF(K566="P0","Primary seat + Hashlight/Lucerna","Seat lane")</x:f>
        <x:v>Primary seat + Hashlight/Lucerna</x:v>
      </x:c>
      <x:c r="AA566" s="12" t="str">
        <x:f>IF(R566="","no_claim_delta","claim_delta_present")</x:f>
        <x:v>no_claim_delta</x:v>
      </x:c>
      <x:c r="AB566" s="12" t="str">
        <x:f>IF(S566="","no_contradiction_delta","contradiction_delta_present")</x:f>
        <x:v>no_contradiction_delta</x:v>
      </x:c>
      <x:c r="AC566" s="12" t="str">
        <x:f>IF(OR(ISNUMBER(SEARCH("hacker",LOWER(F566&amp;" "&amp;H566&amp;" "&amp;I566&amp;" "&amp;M566&amp;" "&amp;N566&amp;" "&amp;T566))),ISNUMBER(SEARCH("hacking",LOWER(F566&amp;" "&amp;H566&amp;" "&amp;I566&amp;" "&amp;M566&amp;" "&amp;N566&amp;" "&amp;T566))),ISNUMBER(SEARCH("bank",LOWER(F566&amp;" "&amp;H566&amp;" "&amp;I566&amp;" "&amp;M566&amp;" "&amp;N566&amp;" "&amp;T566))),ISNUMBER(SEARCH("banking",LOWER(F566&amp;" "&amp;H566&amp;" "&amp;I566&amp;" "&amp;M566&amp;" "&amp;N566&amp;" "&amp;T566)))),"PRIVATE_QUARANTINE",IF(OR(ISNUMBER(SEARCH("treasury",LOWER(F566&amp;" "&amp;H566&amp;" "&amp;I566&amp;" "&amp;M566&amp;" "&amp;N566&amp;" "&amp;T566))),ISNUMBER(SEARCH("debt",LOWER(F566&amp;" "&amp;H566&amp;" "&amp;I566&amp;" "&amp;M566&amp;" "&amp;N566&amp;" "&amp;T566))),ISNUMBER(SEARCH("bond",LOWER(F566&amp;" "&amp;H566&amp;" "&amp;I566&amp;" "&amp;M566&amp;" "&amp;N566&amp;" "&amp;T566))),ISNUMBER(SEARCH("transaction",LOWER(F566&amp;" "&amp;H566&amp;" "&amp;I566&amp;" "&amp;M566&amp;" "&amp;N566&amp;" "&amp;T566)))),"PRIVATE_REVIEW","PUBLIC_CANDIDATE"))</x:f>
        <x:v>PUBLIC_CANDIDATE</x:v>
      </x:c>
      <x:c r="AD566" s="12" t="str">
        <x:f>IF(AC566="PRIVATE_QUARANTINE","hacker_or_bank_trigger",IF(AC566="PRIVATE_REVIEW","finance_risk_trigger","none"))</x:f>
        <x:v>none</x:v>
      </x:c>
      <x:c r="AE566" s="12" t="str">
        <x:f>IF(AC566="PUBLIC_CANDIDATE","prepare_public_github_candidate",IF(AC566="PRIVATE_REVIEW","hold_for_private_review","quarantine_private_do_not_publish"))</x:f>
        <x:v>prepare_public_github_candidate</x:v>
      </x:c>
      <x:c r="AF566" s="12" t="str">
        <x:f>IF(AC566="PUBLIC_CANDIDATE","TIDELOCK + Lucerna",IF(AC566="PRIVATE_REVIEW","AtlasBrain + Lucerna","TIDELOCK + Lucerna + Human-root"))</x:f>
        <x:v>TIDELOCK + Lucerna</x:v>
      </x:c>
      <x:c r="AG566" s="12" t="str">
        <x:f>IF(AND(AC566="PUBLIC_CANDIDATE",U566&lt;&gt;"BLOCKED_PENDING_RECEIPT"),"READY_AFTER_RECEIPT","NOT_READY")</x:f>
        <x:v>NOT_READY</x:v>
      </x:c>
      <x:c r="AH566" s="12" t="str">
        <x:f>IF(AC566="PUBLIC_CANDIDATE","none",AD566)</x:f>
        <x:v>none</x:v>
      </x:c>
      <x:c r="AI566" s="12" t="str">
        <x:f>IF(AC566="PUBLIC_CANDIDATE","archive/public_candidates/"&amp;A566,"private_quarantine/"&amp;A566)</x:f>
        <x:v>archive/public_candidates/SWARM-04-H12-S01</x:v>
      </x:c>
      <x:c r="AJ566" s="12" t="str">
        <x:f>IF(AC566="PUBLIC_CANDIDATE","public by default; still not canon","private/hold; do not publish")</x:f>
        <x:v>public by default; still not canon</x:v>
      </x:c>
      <x:c r="AK566" s="12" t="str">
        <x:f>IF(AE566="prepare_public_github_candidate","add receipt/status then mirror","resolve blocker before any public GitHub action")</x:f>
        <x:v>add receipt/status then mirror</x:v>
      </x:c>
    </x:row>
    <x:row r="567">
      <x:c r="A567" s="15" t="str">
        <x:v>SWARM-04-H12-S02</x:v>
      </x:c>
      <x:c r="B567" s="15" t="str">
        <x:v>Tidelock</x:v>
      </x:c>
      <x:c r="C567" s="15" t="str">
        <x:v>Access blocker keeper</x:v>
      </x:c>
      <x:c r="D567" s="15" t="str">
        <x:v>Canon-Gate Prep</x:v>
      </x:c>
      <x:c r="E567" s="15" t="str">
        <x:v>Drive</x:v>
      </x:c>
      <x:c r="F567" s="15" t="str">
        <x:v>Prepare canon-gate brief for Drive — Tidelock</x:v>
      </x:c>
      <x:c r="G567" s="15" t="str">
        <x:v>missing access / blocker ledger / next safe action</x:v>
      </x:c>
      <x:c r="H567" s="15" t="str">
        <x:v>source path + receipt + raw/export status + claim/edge/risk delta</x:v>
      </x:c>
      <x:c r="I567" s="15" t="str">
        <x:v>packet/SWARM-04-H12-S02</x:v>
      </x:c>
      <x:c r="J567" s="15" t="str">
        <x:v>TODO</x:v>
      </x:c>
      <x:c r="K567" s="15" t="str">
        <x:v>P0</x:v>
      </x:c>
      <x:c r="L567" s="15" t="str">
        <x:v>Done only when evidence is logged, contradiction search is noted, and boundary stamp remains non-canon unless ratified</x:v>
      </x:c>
      <x:c r="M567" s="15" t="str">
        <x:v>candidate / staging-only / not canon / not deployed / authority none</x:v>
      </x:c>
      <x:c r="N567" s="15" t="str">
        <x:v>Dispatch to Tidelock: complete Canon-Gate Prep x Drive; return deltas only, receipts required.</x:v>
      </x:c>
      <x:c r="O567" s="15" t="str">
        <x:v>AF-KG-H12-S02</x:v>
      </x:c>
      <x:c r="P567" s="15" t="str">
        <x:v>Unverified</x:v>
      </x:c>
      <x:c r="Q567" s="15" t="str">
        <x:v>Not checked</x:v>
      </x:c>
      <x:c r="R567" s="15" t="str"/>
      <x:c r="S567" s="15" t="str"/>
      <x:c r="T567" s="15" t="str">
        <x:v>Log first source path or blocker</x:v>
      </x:c>
      <x:c r="U567" s="12" t="str">
        <x:f>IF(OR(P567="Unverified",Q567="Not checked"),"BLOCKED_PENDING_RECEIPT","READY_FOR_REVIEW")</x:f>
        <x:v>BLOCKED_PENDING_RECEIPT</x:v>
      </x:c>
      <x:c r="V567" s="12" t="str">
        <x:f>IF(J567="DONE","RETURNED",IF(U567="BLOCKED_PENDING_RECEIPT","SOURCE_TOUCH_REQUIRED","IN_PROGRESS"))</x:f>
        <x:v>SOURCE_TOUCH_REQUIRED</x:v>
      </x:c>
      <x:c r="W567" s="12" t="str">
        <x:f>IF(P567="Unverified","missing_receipt","receipt_logged")</x:f>
        <x:v>missing_receipt</x:v>
      </x:c>
      <x:c r="X567" s="12" t="str">
        <x:f>IF(Q567="Not checked","raw_status_missing","raw_status_logged")</x:f>
        <x:v>raw_status_missing</x:v>
      </x:c>
      <x:c r="Y567" s="12" t="str">
        <x:f>IF(U567="BLOCKED_PENDING_RECEIPT","Log source path or blocker; do not promote","Route to review lane")</x:f>
        <x:v>Log source path or blocker; do not promote</x:v>
      </x:c>
      <x:c r="Z567" s="12" t="str">
        <x:f>IF(K567="P0","Primary seat + Hashlight/Lucerna","Seat lane")</x:f>
        <x:v>Primary seat + Hashlight/Lucerna</x:v>
      </x:c>
      <x:c r="AA567" s="12" t="str">
        <x:f>IF(R567="","no_claim_delta","claim_delta_present")</x:f>
        <x:v>no_claim_delta</x:v>
      </x:c>
      <x:c r="AB567" s="12" t="str">
        <x:f>IF(S567="","no_contradiction_delta","contradiction_delta_present")</x:f>
        <x:v>no_contradiction_delta</x:v>
      </x:c>
      <x:c r="AC567" s="12" t="str">
        <x:f>IF(OR(ISNUMBER(SEARCH("hacker",LOWER(F567&amp;" "&amp;H567&amp;" "&amp;I567&amp;" "&amp;M567&amp;" "&amp;N567&amp;" "&amp;T567))),ISNUMBER(SEARCH("hacking",LOWER(F567&amp;" "&amp;H567&amp;" "&amp;I567&amp;" "&amp;M567&amp;" "&amp;N567&amp;" "&amp;T567))),ISNUMBER(SEARCH("bank",LOWER(F567&amp;" "&amp;H567&amp;" "&amp;I567&amp;" "&amp;M567&amp;" "&amp;N567&amp;" "&amp;T567))),ISNUMBER(SEARCH("banking",LOWER(F567&amp;" "&amp;H567&amp;" "&amp;I567&amp;" "&amp;M567&amp;" "&amp;N567&amp;" "&amp;T567)))),"PRIVATE_QUARANTINE",IF(OR(ISNUMBER(SEARCH("treasury",LOWER(F567&amp;" "&amp;H567&amp;" "&amp;I567&amp;" "&amp;M567&amp;" "&amp;N567&amp;" "&amp;T567))),ISNUMBER(SEARCH("debt",LOWER(F567&amp;" "&amp;H567&amp;" "&amp;I567&amp;" "&amp;M567&amp;" "&amp;N567&amp;" "&amp;T567))),ISNUMBER(SEARCH("bond",LOWER(F567&amp;" "&amp;H567&amp;" "&amp;I567&amp;" "&amp;M567&amp;" "&amp;N567&amp;" "&amp;T567))),ISNUMBER(SEARCH("transaction",LOWER(F567&amp;" "&amp;H567&amp;" "&amp;I567&amp;" "&amp;M567&amp;" "&amp;N567&amp;" "&amp;T567)))),"PRIVATE_REVIEW","PUBLIC_CANDIDATE"))</x:f>
        <x:v>PUBLIC_CANDIDATE</x:v>
      </x:c>
      <x:c r="AD567" s="12" t="str">
        <x:f>IF(AC567="PRIVATE_QUARANTINE","hacker_or_bank_trigger",IF(AC567="PRIVATE_REVIEW","finance_risk_trigger","none"))</x:f>
        <x:v>none</x:v>
      </x:c>
      <x:c r="AE567" s="12" t="str">
        <x:f>IF(AC567="PUBLIC_CANDIDATE","prepare_public_github_candidate",IF(AC567="PRIVATE_REVIEW","hold_for_private_review","quarantine_private_do_not_publish"))</x:f>
        <x:v>prepare_public_github_candidate</x:v>
      </x:c>
      <x:c r="AF567" s="12" t="str">
        <x:f>IF(AC567="PUBLIC_CANDIDATE","TIDELOCK + Lucerna",IF(AC567="PRIVATE_REVIEW","AtlasBrain + Lucerna","TIDELOCK + Lucerna + Human-root"))</x:f>
        <x:v>TIDELOCK + Lucerna</x:v>
      </x:c>
      <x:c r="AG567" s="12" t="str">
        <x:f>IF(AND(AC567="PUBLIC_CANDIDATE",U567&lt;&gt;"BLOCKED_PENDING_RECEIPT"),"READY_AFTER_RECEIPT","NOT_READY")</x:f>
        <x:v>NOT_READY</x:v>
      </x:c>
      <x:c r="AH567" s="12" t="str">
        <x:f>IF(AC567="PUBLIC_CANDIDATE","none",AD567)</x:f>
        <x:v>none</x:v>
      </x:c>
      <x:c r="AI567" s="12" t="str">
        <x:f>IF(AC567="PUBLIC_CANDIDATE","archive/public_candidates/"&amp;A567,"private_quarantine/"&amp;A567)</x:f>
        <x:v>archive/public_candidates/SWARM-04-H12-S02</x:v>
      </x:c>
      <x:c r="AJ567" s="12" t="str">
        <x:f>IF(AC567="PUBLIC_CANDIDATE","public by default; still not canon","private/hold; do not publish")</x:f>
        <x:v>public by default; still not canon</x:v>
      </x:c>
      <x:c r="AK567" s="12" t="str">
        <x:f>IF(AE567="prepare_public_github_candidate","add receipt/status then mirror","resolve blocker before any public GitHub action")</x:f>
        <x:v>add receipt/status then mirror</x:v>
      </x:c>
    </x:row>
    <x:row r="568">
      <x:c r="A568" s="15" t="str">
        <x:v>SWARM-04-H12-S03</x:v>
      </x:c>
      <x:c r="B568" s="15" t="str">
        <x:v>Tidelock</x:v>
      </x:c>
      <x:c r="C568" s="15" t="str">
        <x:v>Access blocker keeper</x:v>
      </x:c>
      <x:c r="D568" s="15" t="str">
        <x:v>Canon-Gate Prep</x:v>
      </x:c>
      <x:c r="E568" s="15" t="str">
        <x:v>GitHub</x:v>
      </x:c>
      <x:c r="F568" s="15" t="str">
        <x:v>Prepare canon-gate brief for GitHub — Tidelock</x:v>
      </x:c>
      <x:c r="G568" s="15" t="str">
        <x:v>missing access / blocker ledger / next safe action</x:v>
      </x:c>
      <x:c r="H568" s="15" t="str">
        <x:v>source path + receipt + raw/export status + claim/edge/risk delta</x:v>
      </x:c>
      <x:c r="I568" s="15" t="str">
        <x:v>packet/SWARM-04-H12-S03</x:v>
      </x:c>
      <x:c r="J568" s="15" t="str">
        <x:v>TODO</x:v>
      </x:c>
      <x:c r="K568" s="15" t="str">
        <x:v>P0</x:v>
      </x:c>
      <x:c r="L568" s="15" t="str">
        <x:v>Done only when evidence is logged, contradiction search is noted, and boundary stamp remains non-canon unless ratified</x:v>
      </x:c>
      <x:c r="M568" s="15" t="str">
        <x:v>candidate / staging-only / not canon / not deployed / authority none</x:v>
      </x:c>
      <x:c r="N568" s="15" t="str">
        <x:v>Dispatch to Tidelock: complete Canon-Gate Prep x GitHub; return deltas only, receipts required.</x:v>
      </x:c>
      <x:c r="O568" s="15" t="str">
        <x:v>AF-KG-H12-S03</x:v>
      </x:c>
      <x:c r="P568" s="15" t="str">
        <x:v>Unverified</x:v>
      </x:c>
      <x:c r="Q568" s="15" t="str">
        <x:v>Not checked</x:v>
      </x:c>
      <x:c r="R568" s="15" t="str"/>
      <x:c r="S568" s="15" t="str"/>
      <x:c r="T568" s="15" t="str">
        <x:v>Log first source path or blocker</x:v>
      </x:c>
      <x:c r="U568" s="12" t="str">
        <x:f>IF(OR(P568="Unverified",Q568="Not checked"),"BLOCKED_PENDING_RECEIPT","READY_FOR_REVIEW")</x:f>
        <x:v>BLOCKED_PENDING_RECEIPT</x:v>
      </x:c>
      <x:c r="V568" s="12" t="str">
        <x:f>IF(J568="DONE","RETURNED",IF(U568="BLOCKED_PENDING_RECEIPT","SOURCE_TOUCH_REQUIRED","IN_PROGRESS"))</x:f>
        <x:v>SOURCE_TOUCH_REQUIRED</x:v>
      </x:c>
      <x:c r="W568" s="12" t="str">
        <x:f>IF(P568="Unverified","missing_receipt","receipt_logged")</x:f>
        <x:v>missing_receipt</x:v>
      </x:c>
      <x:c r="X568" s="12" t="str">
        <x:f>IF(Q568="Not checked","raw_status_missing","raw_status_logged")</x:f>
        <x:v>raw_status_missing</x:v>
      </x:c>
      <x:c r="Y568" s="12" t="str">
        <x:f>IF(U568="BLOCKED_PENDING_RECEIPT","Log source path or blocker; do not promote","Route to review lane")</x:f>
        <x:v>Log source path or blocker; do not promote</x:v>
      </x:c>
      <x:c r="Z568" s="12" t="str">
        <x:f>IF(K568="P0","Primary seat + Hashlight/Lucerna","Seat lane")</x:f>
        <x:v>Primary seat + Hashlight/Lucerna</x:v>
      </x:c>
      <x:c r="AA568" s="12" t="str">
        <x:f>IF(R568="","no_claim_delta","claim_delta_present")</x:f>
        <x:v>no_claim_delta</x:v>
      </x:c>
      <x:c r="AB568" s="12" t="str">
        <x:f>IF(S568="","no_contradiction_delta","contradiction_delta_present")</x:f>
        <x:v>no_contradiction_delta</x:v>
      </x:c>
      <x:c r="AC568" s="12" t="str">
        <x:f>IF(OR(ISNUMBER(SEARCH("hacker",LOWER(F568&amp;" "&amp;H568&amp;" "&amp;I568&amp;" "&amp;M568&amp;" "&amp;N568&amp;" "&amp;T568))),ISNUMBER(SEARCH("hacking",LOWER(F568&amp;" "&amp;H568&amp;" "&amp;I568&amp;" "&amp;M568&amp;" "&amp;N568&amp;" "&amp;T568))),ISNUMBER(SEARCH("bank",LOWER(F568&amp;" "&amp;H568&amp;" "&amp;I568&amp;" "&amp;M568&amp;" "&amp;N568&amp;" "&amp;T568))),ISNUMBER(SEARCH("banking",LOWER(F568&amp;" "&amp;H568&amp;" "&amp;I568&amp;" "&amp;M568&amp;" "&amp;N568&amp;" "&amp;T568)))),"PRIVATE_QUARANTINE",IF(OR(ISNUMBER(SEARCH("treasury",LOWER(F568&amp;" "&amp;H568&amp;" "&amp;I568&amp;" "&amp;M568&amp;" "&amp;N568&amp;" "&amp;T568))),ISNUMBER(SEARCH("debt",LOWER(F568&amp;" "&amp;H568&amp;" "&amp;I568&amp;" "&amp;M568&amp;" "&amp;N568&amp;" "&amp;T568))),ISNUMBER(SEARCH("bond",LOWER(F568&amp;" "&amp;H568&amp;" "&amp;I568&amp;" "&amp;M568&amp;" "&amp;N568&amp;" "&amp;T568))),ISNUMBER(SEARCH("transaction",LOWER(F568&amp;" "&amp;H568&amp;" "&amp;I568&amp;" "&amp;M568&amp;" "&amp;N568&amp;" "&amp;T568)))),"PRIVATE_REVIEW","PUBLIC_CANDIDATE"))</x:f>
        <x:v>PUBLIC_CANDIDATE</x:v>
      </x:c>
      <x:c r="AD568" s="12" t="str">
        <x:f>IF(AC568="PRIVATE_QUARANTINE","hacker_or_bank_trigger",IF(AC568="PRIVATE_REVIEW","finance_risk_trigger","none"))</x:f>
        <x:v>none</x:v>
      </x:c>
      <x:c r="AE568" s="12" t="str">
        <x:f>IF(AC568="PUBLIC_CANDIDATE","prepare_public_github_candidate",IF(AC568="PRIVATE_REVIEW","hold_for_private_review","quarantine_private_do_not_publish"))</x:f>
        <x:v>prepare_public_github_candidate</x:v>
      </x:c>
      <x:c r="AF568" s="12" t="str">
        <x:f>IF(AC568="PUBLIC_CANDIDATE","TIDELOCK + Lucerna",IF(AC568="PRIVATE_REVIEW","AtlasBrain + Lucerna","TIDELOCK + Lucerna + Human-root"))</x:f>
        <x:v>TIDELOCK + Lucerna</x:v>
      </x:c>
      <x:c r="AG568" s="12" t="str">
        <x:f>IF(AND(AC568="PUBLIC_CANDIDATE",U568&lt;&gt;"BLOCKED_PENDING_RECEIPT"),"READY_AFTER_RECEIPT","NOT_READY")</x:f>
        <x:v>NOT_READY</x:v>
      </x:c>
      <x:c r="AH568" s="12" t="str">
        <x:f>IF(AC568="PUBLIC_CANDIDATE","none",AD568)</x:f>
        <x:v>none</x:v>
      </x:c>
      <x:c r="AI568" s="12" t="str">
        <x:f>IF(AC568="PUBLIC_CANDIDATE","archive/public_candidates/"&amp;A568,"private_quarantine/"&amp;A568)</x:f>
        <x:v>archive/public_candidates/SWARM-04-H12-S03</x:v>
      </x:c>
      <x:c r="AJ568" s="12" t="str">
        <x:f>IF(AC568="PUBLIC_CANDIDATE","public by default; still not canon","private/hold; do not publish")</x:f>
        <x:v>public by default; still not canon</x:v>
      </x:c>
      <x:c r="AK568" s="12" t="str">
        <x:f>IF(AE568="prepare_public_github_candidate","add receipt/status then mirror","resolve blocker before any public GitHub action")</x:f>
        <x:v>add receipt/status then mirror</x:v>
      </x:c>
    </x:row>
    <x:row r="569">
      <x:c r="A569" s="15" t="str">
        <x:v>SWARM-04-H12-S04</x:v>
      </x:c>
      <x:c r="B569" s="15" t="str">
        <x:v>Tidelock</x:v>
      </x:c>
      <x:c r="C569" s="15" t="str">
        <x:v>Access blocker keeper</x:v>
      </x:c>
      <x:c r="D569" s="15" t="str">
        <x:v>Canon-Gate Prep</x:v>
      </x:c>
      <x:c r="E569" s="15" t="str">
        <x:v>Gamma</x:v>
      </x:c>
      <x:c r="F569" s="15" t="str">
        <x:v>Prepare canon-gate brief for Gamma — Tidelock</x:v>
      </x:c>
      <x:c r="G569" s="15" t="str">
        <x:v>missing access / blocker ledger / next safe action</x:v>
      </x:c>
      <x:c r="H569" s="15" t="str">
        <x:v>source path + receipt + raw/export status + claim/edge/risk delta</x:v>
      </x:c>
      <x:c r="I569" s="15" t="str">
        <x:v>packet/SWARM-04-H12-S04</x:v>
      </x:c>
      <x:c r="J569" s="15" t="str">
        <x:v>TODO</x:v>
      </x:c>
      <x:c r="K569" s="15" t="str">
        <x:v>P1</x:v>
      </x:c>
      <x:c r="L569" s="15" t="str">
        <x:v>Done only when evidence is logged, contradiction search is noted, and boundary stamp remains non-canon unless ratified</x:v>
      </x:c>
      <x:c r="M569" s="15" t="str">
        <x:v>candidate / staging-only / not canon / not deployed / authority none</x:v>
      </x:c>
      <x:c r="N569" s="15" t="str">
        <x:v>Dispatch to Tidelock: complete Canon-Gate Prep x Gamma; return deltas only, receipts required.</x:v>
      </x:c>
      <x:c r="O569" s="15" t="str">
        <x:v>AF-KG-H12-S04</x:v>
      </x:c>
      <x:c r="P569" s="15" t="str">
        <x:v>Unverified</x:v>
      </x:c>
      <x:c r="Q569" s="15" t="str">
        <x:v>Not checked</x:v>
      </x:c>
      <x:c r="R569" s="15" t="str"/>
      <x:c r="S569" s="15" t="str"/>
      <x:c r="T569" s="15" t="str">
        <x:v>Log first source path or blocker</x:v>
      </x:c>
      <x:c r="U569" s="12" t="str">
        <x:f>IF(OR(P569="Unverified",Q569="Not checked"),"BLOCKED_PENDING_RECEIPT","READY_FOR_REVIEW")</x:f>
        <x:v>BLOCKED_PENDING_RECEIPT</x:v>
      </x:c>
      <x:c r="V569" s="12" t="str">
        <x:f>IF(J569="DONE","RETURNED",IF(U569="BLOCKED_PENDING_RECEIPT","SOURCE_TOUCH_REQUIRED","IN_PROGRESS"))</x:f>
        <x:v>SOURCE_TOUCH_REQUIRED</x:v>
      </x:c>
      <x:c r="W569" s="12" t="str">
        <x:f>IF(P569="Unverified","missing_receipt","receipt_logged")</x:f>
        <x:v>missing_receipt</x:v>
      </x:c>
      <x:c r="X569" s="12" t="str">
        <x:f>IF(Q569="Not checked","raw_status_missing","raw_status_logged")</x:f>
        <x:v>raw_status_missing</x:v>
      </x:c>
      <x:c r="Y569" s="12" t="str">
        <x:f>IF(U569="BLOCKED_PENDING_RECEIPT","Log source path or blocker; do not promote","Route to review lane")</x:f>
        <x:v>Log source path or blocker; do not promote</x:v>
      </x:c>
      <x:c r="Z569" s="12" t="str">
        <x:f>IF(K569="P0","Primary seat + Hashlight/Lucerna","Seat lane")</x:f>
        <x:v>Seat lane</x:v>
      </x:c>
      <x:c r="AA569" s="12" t="str">
        <x:f>IF(R569="","no_claim_delta","claim_delta_present")</x:f>
        <x:v>no_claim_delta</x:v>
      </x:c>
      <x:c r="AB569" s="12" t="str">
        <x:f>IF(S569="","no_contradiction_delta","contradiction_delta_present")</x:f>
        <x:v>no_contradiction_delta</x:v>
      </x:c>
      <x:c r="AC569" s="12" t="str">
        <x:f>IF(OR(ISNUMBER(SEARCH("hacker",LOWER(F569&amp;" "&amp;H569&amp;" "&amp;I569&amp;" "&amp;M569&amp;" "&amp;N569&amp;" "&amp;T569))),ISNUMBER(SEARCH("hacking",LOWER(F569&amp;" "&amp;H569&amp;" "&amp;I569&amp;" "&amp;M569&amp;" "&amp;N569&amp;" "&amp;T569))),ISNUMBER(SEARCH("bank",LOWER(F569&amp;" "&amp;H569&amp;" "&amp;I569&amp;" "&amp;M569&amp;" "&amp;N569&amp;" "&amp;T569))),ISNUMBER(SEARCH("banking",LOWER(F569&amp;" "&amp;H569&amp;" "&amp;I569&amp;" "&amp;M569&amp;" "&amp;N569&amp;" "&amp;T569)))),"PRIVATE_QUARANTINE",IF(OR(ISNUMBER(SEARCH("treasury",LOWER(F569&amp;" "&amp;H569&amp;" "&amp;I569&amp;" "&amp;M569&amp;" "&amp;N569&amp;" "&amp;T569))),ISNUMBER(SEARCH("debt",LOWER(F569&amp;" "&amp;H569&amp;" "&amp;I569&amp;" "&amp;M569&amp;" "&amp;N569&amp;" "&amp;T569))),ISNUMBER(SEARCH("bond",LOWER(F569&amp;" "&amp;H569&amp;" "&amp;I569&amp;" "&amp;M569&amp;" "&amp;N569&amp;" "&amp;T569))),ISNUMBER(SEARCH("transaction",LOWER(F569&amp;" "&amp;H569&amp;" "&amp;I569&amp;" "&amp;M569&amp;" "&amp;N569&amp;" "&amp;T569)))),"PRIVATE_REVIEW","PUBLIC_CANDIDATE"))</x:f>
        <x:v>PUBLIC_CANDIDATE</x:v>
      </x:c>
      <x:c r="AD569" s="12" t="str">
        <x:f>IF(AC569="PRIVATE_QUARANTINE","hacker_or_bank_trigger",IF(AC569="PRIVATE_REVIEW","finance_risk_trigger","none"))</x:f>
        <x:v>none</x:v>
      </x:c>
      <x:c r="AE569" s="12" t="str">
        <x:f>IF(AC569="PUBLIC_CANDIDATE","prepare_public_github_candidate",IF(AC569="PRIVATE_REVIEW","hold_for_private_review","quarantine_private_do_not_publish"))</x:f>
        <x:v>prepare_public_github_candidate</x:v>
      </x:c>
      <x:c r="AF569" s="12" t="str">
        <x:f>IF(AC569="PUBLIC_CANDIDATE","TIDELOCK + Lucerna",IF(AC569="PRIVATE_REVIEW","AtlasBrain + Lucerna","TIDELOCK + Lucerna + Human-root"))</x:f>
        <x:v>TIDELOCK + Lucerna</x:v>
      </x:c>
      <x:c r="AG569" s="12" t="str">
        <x:f>IF(AND(AC569="PUBLIC_CANDIDATE",U569&lt;&gt;"BLOCKED_PENDING_RECEIPT"),"READY_AFTER_RECEIPT","NOT_READY")</x:f>
        <x:v>NOT_READY</x:v>
      </x:c>
      <x:c r="AH569" s="12" t="str">
        <x:f>IF(AC569="PUBLIC_CANDIDATE","none",AD569)</x:f>
        <x:v>none</x:v>
      </x:c>
      <x:c r="AI569" s="12" t="str">
        <x:f>IF(AC569="PUBLIC_CANDIDATE","archive/public_candidates/"&amp;A569,"private_quarantine/"&amp;A569)</x:f>
        <x:v>archive/public_candidates/SWARM-04-H12-S04</x:v>
      </x:c>
      <x:c r="AJ569" s="12" t="str">
        <x:f>IF(AC569="PUBLIC_CANDIDATE","public by default; still not canon","private/hold; do not publish")</x:f>
        <x:v>public by default; still not canon</x:v>
      </x:c>
      <x:c r="AK569" s="12" t="str">
        <x:f>IF(AE569="prepare_public_github_candidate","add receipt/status then mirror","resolve blocker before any public GitHub action")</x:f>
        <x:v>add receipt/status then mirror</x:v>
      </x:c>
    </x:row>
    <x:row r="570">
      <x:c r="A570" s="15" t="str">
        <x:v>SWARM-04-H12-S05</x:v>
      </x:c>
      <x:c r="B570" s="15" t="str">
        <x:v>Tidelock</x:v>
      </x:c>
      <x:c r="C570" s="15" t="str">
        <x:v>Access blocker keeper</x:v>
      </x:c>
      <x:c r="D570" s="15" t="str">
        <x:v>Canon-Gate Prep</x:v>
      </x:c>
      <x:c r="E570" s="15" t="str">
        <x:v>Chat</x:v>
      </x:c>
      <x:c r="F570" s="15" t="str">
        <x:v>Prepare canon-gate brief for Chat — Tidelock</x:v>
      </x:c>
      <x:c r="G570" s="15" t="str">
        <x:v>missing access / blocker ledger / next safe action</x:v>
      </x:c>
      <x:c r="H570" s="15" t="str">
        <x:v>source path + receipt + raw/export status + claim/edge/risk delta</x:v>
      </x:c>
      <x:c r="I570" s="15" t="str">
        <x:v>packet/SWARM-04-H12-S05</x:v>
      </x:c>
      <x:c r="J570" s="15" t="str">
        <x:v>TODO</x:v>
      </x:c>
      <x:c r="K570" s="15" t="str">
        <x:v>P1</x:v>
      </x:c>
      <x:c r="L570" s="15" t="str">
        <x:v>Done only when evidence is logged, contradiction search is noted, and boundary stamp remains non-canon unless ratified</x:v>
      </x:c>
      <x:c r="M570" s="15" t="str">
        <x:v>candidate / staging-only / not canon / not deployed / authority none</x:v>
      </x:c>
      <x:c r="N570" s="15" t="str">
        <x:v>Dispatch to Tidelock: complete Canon-Gate Prep x Chat; return deltas only, receipts required.</x:v>
      </x:c>
      <x:c r="O570" s="15" t="str">
        <x:v>AF-KG-H12-S05</x:v>
      </x:c>
      <x:c r="P570" s="15" t="str">
        <x:v>Unverified</x:v>
      </x:c>
      <x:c r="Q570" s="15" t="str">
        <x:v>Not checked</x:v>
      </x:c>
      <x:c r="R570" s="15" t="str"/>
      <x:c r="S570" s="15" t="str"/>
      <x:c r="T570" s="15" t="str">
        <x:v>Log first source path or blocker</x:v>
      </x:c>
      <x:c r="U570" s="12" t="str">
        <x:f>IF(OR(P570="Unverified",Q570="Not checked"),"BLOCKED_PENDING_RECEIPT","READY_FOR_REVIEW")</x:f>
        <x:v>BLOCKED_PENDING_RECEIPT</x:v>
      </x:c>
      <x:c r="V570" s="12" t="str">
        <x:f>IF(J570="DONE","RETURNED",IF(U570="BLOCKED_PENDING_RECEIPT","SOURCE_TOUCH_REQUIRED","IN_PROGRESS"))</x:f>
        <x:v>SOURCE_TOUCH_REQUIRED</x:v>
      </x:c>
      <x:c r="W570" s="12" t="str">
        <x:f>IF(P570="Unverified","missing_receipt","receipt_logged")</x:f>
        <x:v>missing_receipt</x:v>
      </x:c>
      <x:c r="X570" s="12" t="str">
        <x:f>IF(Q570="Not checked","raw_status_missing","raw_status_logged")</x:f>
        <x:v>raw_status_missing</x:v>
      </x:c>
      <x:c r="Y570" s="12" t="str">
        <x:f>IF(U570="BLOCKED_PENDING_RECEIPT","Log source path or blocker; do not promote","Route to review lane")</x:f>
        <x:v>Log source path or blocker; do not promote</x:v>
      </x:c>
      <x:c r="Z570" s="12" t="str">
        <x:f>IF(K570="P0","Primary seat + Hashlight/Lucerna","Seat lane")</x:f>
        <x:v>Seat lane</x:v>
      </x:c>
      <x:c r="AA570" s="12" t="str">
        <x:f>IF(R570="","no_claim_delta","claim_delta_present")</x:f>
        <x:v>no_claim_delta</x:v>
      </x:c>
      <x:c r="AB570" s="12" t="str">
        <x:f>IF(S570="","no_contradiction_delta","contradiction_delta_present")</x:f>
        <x:v>no_contradiction_delta</x:v>
      </x:c>
      <x:c r="AC570" s="12" t="str">
        <x:f>IF(OR(ISNUMBER(SEARCH("hacker",LOWER(F570&amp;" "&amp;H570&amp;" "&amp;I570&amp;" "&amp;M570&amp;" "&amp;N570&amp;" "&amp;T570))),ISNUMBER(SEARCH("hacking",LOWER(F570&amp;" "&amp;H570&amp;" "&amp;I570&amp;" "&amp;M570&amp;" "&amp;N570&amp;" "&amp;T570))),ISNUMBER(SEARCH("bank",LOWER(F570&amp;" "&amp;H570&amp;" "&amp;I570&amp;" "&amp;M570&amp;" "&amp;N570&amp;" "&amp;T570))),ISNUMBER(SEARCH("banking",LOWER(F570&amp;" "&amp;H570&amp;" "&amp;I570&amp;" "&amp;M570&amp;" "&amp;N570&amp;" "&amp;T570)))),"PRIVATE_QUARANTINE",IF(OR(ISNUMBER(SEARCH("treasury",LOWER(F570&amp;" "&amp;H570&amp;" "&amp;I570&amp;" "&amp;M570&amp;" "&amp;N570&amp;" "&amp;T570))),ISNUMBER(SEARCH("debt",LOWER(F570&amp;" "&amp;H570&amp;" "&amp;I570&amp;" "&amp;M570&amp;" "&amp;N570&amp;" "&amp;T570))),ISNUMBER(SEARCH("bond",LOWER(F570&amp;" "&amp;H570&amp;" "&amp;I570&amp;" "&amp;M570&amp;" "&amp;N570&amp;" "&amp;T570))),ISNUMBER(SEARCH("transaction",LOWER(F570&amp;" "&amp;H570&amp;" "&amp;I570&amp;" "&amp;M570&amp;" "&amp;N570&amp;" "&amp;T570)))),"PRIVATE_REVIEW","PUBLIC_CANDIDATE"))</x:f>
        <x:v>PUBLIC_CANDIDATE</x:v>
      </x:c>
      <x:c r="AD570" s="12" t="str">
        <x:f>IF(AC570="PRIVATE_QUARANTINE","hacker_or_bank_trigger",IF(AC570="PRIVATE_REVIEW","finance_risk_trigger","none"))</x:f>
        <x:v>none</x:v>
      </x:c>
      <x:c r="AE570" s="12" t="str">
        <x:f>IF(AC570="PUBLIC_CANDIDATE","prepare_public_github_candidate",IF(AC570="PRIVATE_REVIEW","hold_for_private_review","quarantine_private_do_not_publish"))</x:f>
        <x:v>prepare_public_github_candidate</x:v>
      </x:c>
      <x:c r="AF570" s="12" t="str">
        <x:f>IF(AC570="PUBLIC_CANDIDATE","TIDELOCK + Lucerna",IF(AC570="PRIVATE_REVIEW","AtlasBrain + Lucerna","TIDELOCK + Lucerna + Human-root"))</x:f>
        <x:v>TIDELOCK + Lucerna</x:v>
      </x:c>
      <x:c r="AG570" s="12" t="str">
        <x:f>IF(AND(AC570="PUBLIC_CANDIDATE",U570&lt;&gt;"BLOCKED_PENDING_RECEIPT"),"READY_AFTER_RECEIPT","NOT_READY")</x:f>
        <x:v>NOT_READY</x:v>
      </x:c>
      <x:c r="AH570" s="12" t="str">
        <x:f>IF(AC570="PUBLIC_CANDIDATE","none",AD570)</x:f>
        <x:v>none</x:v>
      </x:c>
      <x:c r="AI570" s="12" t="str">
        <x:f>IF(AC570="PUBLIC_CANDIDATE","archive/public_candidates/"&amp;A570,"private_quarantine/"&amp;A570)</x:f>
        <x:v>archive/public_candidates/SWARM-04-H12-S05</x:v>
      </x:c>
      <x:c r="AJ570" s="12" t="str">
        <x:f>IF(AC570="PUBLIC_CANDIDATE","public by default; still not canon","private/hold; do not publish")</x:f>
        <x:v>public by default; still not canon</x:v>
      </x:c>
      <x:c r="AK570" s="12" t="str">
        <x:f>IF(AE570="prepare_public_github_candidate","add receipt/status then mirror","resolve blocker before any public GitHub action")</x:f>
        <x:v>add receipt/status then mirror</x:v>
      </x:c>
    </x:row>
    <x:row r="571">
      <x:c r="A571" s="15" t="str">
        <x:v>SWARM-04-H12-S06</x:v>
      </x:c>
      <x:c r="B571" s="15" t="str">
        <x:v>Tidelock</x:v>
      </x:c>
      <x:c r="C571" s="15" t="str">
        <x:v>Access blocker keeper</x:v>
      </x:c>
      <x:c r="D571" s="15" t="str">
        <x:v>Canon-Gate Prep</x:v>
      </x:c>
      <x:c r="E571" s="15" t="str">
        <x:v>External Web</x:v>
      </x:c>
      <x:c r="F571" s="15" t="str">
        <x:v>Prepare canon-gate brief for External Web — Tidelock</x:v>
      </x:c>
      <x:c r="G571" s="15" t="str">
        <x:v>missing access / blocker ledger / next safe action</x:v>
      </x:c>
      <x:c r="H571" s="15" t="str">
        <x:v>source path + receipt + raw/export status + claim/edge/risk delta</x:v>
      </x:c>
      <x:c r="I571" s="15" t="str">
        <x:v>packet/SWARM-04-H12-S06</x:v>
      </x:c>
      <x:c r="J571" s="15" t="str">
        <x:v>TODO</x:v>
      </x:c>
      <x:c r="K571" s="15" t="str">
        <x:v>P1</x:v>
      </x:c>
      <x:c r="L571" s="15" t="str">
        <x:v>Done only when evidence is logged, contradiction search is noted, and boundary stamp remains non-canon unless ratified</x:v>
      </x:c>
      <x:c r="M571" s="15" t="str">
        <x:v>candidate / staging-only / not canon / not deployed / authority none</x:v>
      </x:c>
      <x:c r="N571" s="15" t="str">
        <x:v>Dispatch to Tidelock: complete Canon-Gate Prep x External Web; return deltas only, receipts required.</x:v>
      </x:c>
      <x:c r="O571" s="15" t="str">
        <x:v>AF-KG-H12-S06</x:v>
      </x:c>
      <x:c r="P571" s="15" t="str">
        <x:v>Unverified</x:v>
      </x:c>
      <x:c r="Q571" s="15" t="str">
        <x:v>Not checked</x:v>
      </x:c>
      <x:c r="R571" s="15" t="str"/>
      <x:c r="S571" s="15" t="str"/>
      <x:c r="T571" s="15" t="str">
        <x:v>Log first source path or blocker</x:v>
      </x:c>
      <x:c r="U571" s="12" t="str">
        <x:f>IF(OR(P571="Unverified",Q571="Not checked"),"BLOCKED_PENDING_RECEIPT","READY_FOR_REVIEW")</x:f>
        <x:v>BLOCKED_PENDING_RECEIPT</x:v>
      </x:c>
      <x:c r="V571" s="12" t="str">
        <x:f>IF(J571="DONE","RETURNED",IF(U571="BLOCKED_PENDING_RECEIPT","SOURCE_TOUCH_REQUIRED","IN_PROGRESS"))</x:f>
        <x:v>SOURCE_TOUCH_REQUIRED</x:v>
      </x:c>
      <x:c r="W571" s="12" t="str">
        <x:f>IF(P571="Unverified","missing_receipt","receipt_logged")</x:f>
        <x:v>missing_receipt</x:v>
      </x:c>
      <x:c r="X571" s="12" t="str">
        <x:f>IF(Q571="Not checked","raw_status_missing","raw_status_logged")</x:f>
        <x:v>raw_status_missing</x:v>
      </x:c>
      <x:c r="Y571" s="12" t="str">
        <x:f>IF(U571="BLOCKED_PENDING_RECEIPT","Log source path or blocker; do not promote","Route to review lane")</x:f>
        <x:v>Log source path or blocker; do not promote</x:v>
      </x:c>
      <x:c r="Z571" s="12" t="str">
        <x:f>IF(K571="P0","Primary seat + Hashlight/Lucerna","Seat lane")</x:f>
        <x:v>Seat lane</x:v>
      </x:c>
      <x:c r="AA571" s="12" t="str">
        <x:f>IF(R571="","no_claim_delta","claim_delta_present")</x:f>
        <x:v>no_claim_delta</x:v>
      </x:c>
      <x:c r="AB571" s="12" t="str">
        <x:f>IF(S571="","no_contradiction_delta","contradiction_delta_present")</x:f>
        <x:v>no_contradiction_delta</x:v>
      </x:c>
      <x:c r="AC571" s="12" t="str">
        <x:f>IF(OR(ISNUMBER(SEARCH("hacker",LOWER(F571&amp;" "&amp;H571&amp;" "&amp;I571&amp;" "&amp;M571&amp;" "&amp;N571&amp;" "&amp;T571))),ISNUMBER(SEARCH("hacking",LOWER(F571&amp;" "&amp;H571&amp;" "&amp;I571&amp;" "&amp;M571&amp;" "&amp;N571&amp;" "&amp;T571))),ISNUMBER(SEARCH("bank",LOWER(F571&amp;" "&amp;H571&amp;" "&amp;I571&amp;" "&amp;M571&amp;" "&amp;N571&amp;" "&amp;T571))),ISNUMBER(SEARCH("banking",LOWER(F571&amp;" "&amp;H571&amp;" "&amp;I571&amp;" "&amp;M571&amp;" "&amp;N571&amp;" "&amp;T571)))),"PRIVATE_QUARANTINE",IF(OR(ISNUMBER(SEARCH("treasury",LOWER(F571&amp;" "&amp;H571&amp;" "&amp;I571&amp;" "&amp;M571&amp;" "&amp;N571&amp;" "&amp;T571))),ISNUMBER(SEARCH("debt",LOWER(F571&amp;" "&amp;H571&amp;" "&amp;I571&amp;" "&amp;M571&amp;" "&amp;N571&amp;" "&amp;T571))),ISNUMBER(SEARCH("bond",LOWER(F571&amp;" "&amp;H571&amp;" "&amp;I571&amp;" "&amp;M571&amp;" "&amp;N571&amp;" "&amp;T571))),ISNUMBER(SEARCH("transaction",LOWER(F571&amp;" "&amp;H571&amp;" "&amp;I571&amp;" "&amp;M571&amp;" "&amp;N571&amp;" "&amp;T571)))),"PRIVATE_REVIEW","PUBLIC_CANDIDATE"))</x:f>
        <x:v>PUBLIC_CANDIDATE</x:v>
      </x:c>
      <x:c r="AD571" s="12" t="str">
        <x:f>IF(AC571="PRIVATE_QUARANTINE","hacker_or_bank_trigger",IF(AC571="PRIVATE_REVIEW","finance_risk_trigger","none"))</x:f>
        <x:v>none</x:v>
      </x:c>
      <x:c r="AE571" s="12" t="str">
        <x:f>IF(AC571="PUBLIC_CANDIDATE","prepare_public_github_candidate",IF(AC571="PRIVATE_REVIEW","hold_for_private_review","quarantine_private_do_not_publish"))</x:f>
        <x:v>prepare_public_github_candidate</x:v>
      </x:c>
      <x:c r="AF571" s="12" t="str">
        <x:f>IF(AC571="PUBLIC_CANDIDATE","TIDELOCK + Lucerna",IF(AC571="PRIVATE_REVIEW","AtlasBrain + Lucerna","TIDELOCK + Lucerna + Human-root"))</x:f>
        <x:v>TIDELOCK + Lucerna</x:v>
      </x:c>
      <x:c r="AG571" s="12" t="str">
        <x:f>IF(AND(AC571="PUBLIC_CANDIDATE",U571&lt;&gt;"BLOCKED_PENDING_RECEIPT"),"READY_AFTER_RECEIPT","NOT_READY")</x:f>
        <x:v>NOT_READY</x:v>
      </x:c>
      <x:c r="AH571" s="12" t="str">
        <x:f>IF(AC571="PUBLIC_CANDIDATE","none",AD571)</x:f>
        <x:v>none</x:v>
      </x:c>
      <x:c r="AI571" s="12" t="str">
        <x:f>IF(AC571="PUBLIC_CANDIDATE","archive/public_candidates/"&amp;A571,"private_quarantine/"&amp;A571)</x:f>
        <x:v>archive/public_candidates/SWARM-04-H12-S06</x:v>
      </x:c>
      <x:c r="AJ571" s="12" t="str">
        <x:f>IF(AC571="PUBLIC_CANDIDATE","public by default; still not canon","private/hold; do not publish")</x:f>
        <x:v>public by default; still not canon</x:v>
      </x:c>
      <x:c r="AK571" s="12" t="str">
        <x:f>IF(AE571="prepare_public_github_candidate","add receipt/status then mirror","resolve blocker before any public GitHub action")</x:f>
        <x:v>add receipt/status then mirror</x:v>
      </x:c>
    </x:row>
    <x:row r="572">
      <x:c r="A572" s="15" t="str">
        <x:v>SWARM-04-H12-S07</x:v>
      </x:c>
      <x:c r="B572" s="15" t="str">
        <x:v>Tidelock</x:v>
      </x:c>
      <x:c r="C572" s="15" t="str">
        <x:v>Access blocker keeper</x:v>
      </x:c>
      <x:c r="D572" s="15" t="str">
        <x:v>Canon-Gate Prep</x:v>
      </x:c>
      <x:c r="E572" s="15" t="str">
        <x:v>Planetarium</x:v>
      </x:c>
      <x:c r="F572" s="15" t="str">
        <x:v>Prepare canon-gate brief for Planetarium — Tidelock</x:v>
      </x:c>
      <x:c r="G572" s="15" t="str">
        <x:v>missing access / blocker ledger / next safe action</x:v>
      </x:c>
      <x:c r="H572" s="15" t="str">
        <x:v>source path + receipt + raw/export status + claim/edge/risk delta</x:v>
      </x:c>
      <x:c r="I572" s="15" t="str">
        <x:v>packet/SWARM-04-H12-S07</x:v>
      </x:c>
      <x:c r="J572" s="15" t="str">
        <x:v>TODO</x:v>
      </x:c>
      <x:c r="K572" s="15" t="str">
        <x:v>P1</x:v>
      </x:c>
      <x:c r="L572" s="15" t="str">
        <x:v>Done only when evidence is logged, contradiction search is noted, and boundary stamp remains non-canon unless ratified</x:v>
      </x:c>
      <x:c r="M572" s="15" t="str">
        <x:v>candidate / staging-only / not canon / not deployed / authority none</x:v>
      </x:c>
      <x:c r="N572" s="15" t="str">
        <x:v>Dispatch to Tidelock: complete Canon-Gate Prep x Planetarium; return deltas only, receipts required.</x:v>
      </x:c>
      <x:c r="O572" s="15" t="str">
        <x:v>AF-KG-H12-S07</x:v>
      </x:c>
      <x:c r="P572" s="15" t="str">
        <x:v>Unverified</x:v>
      </x:c>
      <x:c r="Q572" s="15" t="str">
        <x:v>Not checked</x:v>
      </x:c>
      <x:c r="R572" s="15" t="str"/>
      <x:c r="S572" s="15" t="str"/>
      <x:c r="T572" s="15" t="str">
        <x:v>Log first source path or blocker</x:v>
      </x:c>
      <x:c r="U572" s="12" t="str">
        <x:f>IF(OR(P572="Unverified",Q572="Not checked"),"BLOCKED_PENDING_RECEIPT","READY_FOR_REVIEW")</x:f>
        <x:v>BLOCKED_PENDING_RECEIPT</x:v>
      </x:c>
      <x:c r="V572" s="12" t="str">
        <x:f>IF(J572="DONE","RETURNED",IF(U572="BLOCKED_PENDING_RECEIPT","SOURCE_TOUCH_REQUIRED","IN_PROGRESS"))</x:f>
        <x:v>SOURCE_TOUCH_REQUIRED</x:v>
      </x:c>
      <x:c r="W572" s="12" t="str">
        <x:f>IF(P572="Unverified","missing_receipt","receipt_logged")</x:f>
        <x:v>missing_receipt</x:v>
      </x:c>
      <x:c r="X572" s="12" t="str">
        <x:f>IF(Q572="Not checked","raw_status_missing","raw_status_logged")</x:f>
        <x:v>raw_status_missing</x:v>
      </x:c>
      <x:c r="Y572" s="12" t="str">
        <x:f>IF(U572="BLOCKED_PENDING_RECEIPT","Log source path or blocker; do not promote","Route to review lane")</x:f>
        <x:v>Log source path or blocker; do not promote</x:v>
      </x:c>
      <x:c r="Z572" s="12" t="str">
        <x:f>IF(K572="P0","Primary seat + Hashlight/Lucerna","Seat lane")</x:f>
        <x:v>Seat lane</x:v>
      </x:c>
      <x:c r="AA572" s="12" t="str">
        <x:f>IF(R572="","no_claim_delta","claim_delta_present")</x:f>
        <x:v>no_claim_delta</x:v>
      </x:c>
      <x:c r="AB572" s="12" t="str">
        <x:f>IF(S572="","no_contradiction_delta","contradiction_delta_present")</x:f>
        <x:v>no_contradiction_delta</x:v>
      </x:c>
      <x:c r="AC572" s="12" t="str">
        <x:f>IF(OR(ISNUMBER(SEARCH("hacker",LOWER(F572&amp;" "&amp;H572&amp;" "&amp;I572&amp;" "&amp;M572&amp;" "&amp;N572&amp;" "&amp;T572))),ISNUMBER(SEARCH("hacking",LOWER(F572&amp;" "&amp;H572&amp;" "&amp;I572&amp;" "&amp;M572&amp;" "&amp;N572&amp;" "&amp;T572))),ISNUMBER(SEARCH("bank",LOWER(F572&amp;" "&amp;H572&amp;" "&amp;I572&amp;" "&amp;M572&amp;" "&amp;N572&amp;" "&amp;T572))),ISNUMBER(SEARCH("banking",LOWER(F572&amp;" "&amp;H572&amp;" "&amp;I572&amp;" "&amp;M572&amp;" "&amp;N572&amp;" "&amp;T572)))),"PRIVATE_QUARANTINE",IF(OR(ISNUMBER(SEARCH("treasury",LOWER(F572&amp;" "&amp;H572&amp;" "&amp;I572&amp;" "&amp;M572&amp;" "&amp;N572&amp;" "&amp;T572))),ISNUMBER(SEARCH("debt",LOWER(F572&amp;" "&amp;H572&amp;" "&amp;I572&amp;" "&amp;M572&amp;" "&amp;N572&amp;" "&amp;T572))),ISNUMBER(SEARCH("bond",LOWER(F572&amp;" "&amp;H572&amp;" "&amp;I572&amp;" "&amp;M572&amp;" "&amp;N572&amp;" "&amp;T572))),ISNUMBER(SEARCH("transaction",LOWER(F572&amp;" "&amp;H572&amp;" "&amp;I572&amp;" "&amp;M572&amp;" "&amp;N572&amp;" "&amp;T572)))),"PRIVATE_REVIEW","PUBLIC_CANDIDATE"))</x:f>
        <x:v>PUBLIC_CANDIDATE</x:v>
      </x:c>
      <x:c r="AD572" s="12" t="str">
        <x:f>IF(AC572="PRIVATE_QUARANTINE","hacker_or_bank_trigger",IF(AC572="PRIVATE_REVIEW","finance_risk_trigger","none"))</x:f>
        <x:v>none</x:v>
      </x:c>
      <x:c r="AE572" s="12" t="str">
        <x:f>IF(AC572="PUBLIC_CANDIDATE","prepare_public_github_candidate",IF(AC572="PRIVATE_REVIEW","hold_for_private_review","quarantine_private_do_not_publish"))</x:f>
        <x:v>prepare_public_github_candidate</x:v>
      </x:c>
      <x:c r="AF572" s="12" t="str">
        <x:f>IF(AC572="PUBLIC_CANDIDATE","TIDELOCK + Lucerna",IF(AC572="PRIVATE_REVIEW","AtlasBrain + Lucerna","TIDELOCK + Lucerna + Human-root"))</x:f>
        <x:v>TIDELOCK + Lucerna</x:v>
      </x:c>
      <x:c r="AG572" s="12" t="str">
        <x:f>IF(AND(AC572="PUBLIC_CANDIDATE",U572&lt;&gt;"BLOCKED_PENDING_RECEIPT"),"READY_AFTER_RECEIPT","NOT_READY")</x:f>
        <x:v>NOT_READY</x:v>
      </x:c>
      <x:c r="AH572" s="12" t="str">
        <x:f>IF(AC572="PUBLIC_CANDIDATE","none",AD572)</x:f>
        <x:v>none</x:v>
      </x:c>
      <x:c r="AI572" s="12" t="str">
        <x:f>IF(AC572="PUBLIC_CANDIDATE","archive/public_candidates/"&amp;A572,"private_quarantine/"&amp;A572)</x:f>
        <x:v>archive/public_candidates/SWARM-04-H12-S07</x:v>
      </x:c>
      <x:c r="AJ572" s="12" t="str">
        <x:f>IF(AC572="PUBLIC_CANDIDATE","public by default; still not canon","private/hold; do not publish")</x:f>
        <x:v>public by default; still not canon</x:v>
      </x:c>
      <x:c r="AK572" s="12" t="str">
        <x:f>IF(AE572="prepare_public_github_candidate","add receipt/status then mirror","resolve blocker before any public GitHub action")</x:f>
        <x:v>add receipt/status then mirror</x:v>
      </x:c>
    </x:row>
    <x:row r="573">
      <x:c r="A573" s="15" t="str">
        <x:v>SWARM-04-H12-S08</x:v>
      </x:c>
      <x:c r="B573" s="15" t="str">
        <x:v>Tidelock</x:v>
      </x:c>
      <x:c r="C573" s="15" t="str">
        <x:v>Access blocker keeper</x:v>
      </x:c>
      <x:c r="D573" s="15" t="str">
        <x:v>Canon-Gate Prep</x:v>
      </x:c>
      <x:c r="E573" s="15" t="str">
        <x:v>Sheldonbrain</x:v>
      </x:c>
      <x:c r="F573" s="15" t="str">
        <x:v>Prepare canon-gate brief for Sheldonbrain — Tidelock</x:v>
      </x:c>
      <x:c r="G573" s="15" t="str">
        <x:v>missing access / blocker ledger / next safe action</x:v>
      </x:c>
      <x:c r="H573" s="15" t="str">
        <x:v>source path + receipt + raw/export status + claim/edge/risk delta</x:v>
      </x:c>
      <x:c r="I573" s="15" t="str">
        <x:v>packet/SWARM-04-H12-S08</x:v>
      </x:c>
      <x:c r="J573" s="15" t="str">
        <x:v>TODO</x:v>
      </x:c>
      <x:c r="K573" s="15" t="str">
        <x:v>P1</x:v>
      </x:c>
      <x:c r="L573" s="15" t="str">
        <x:v>Done only when evidence is logged, contradiction search is noted, and boundary stamp remains non-canon unless ratified</x:v>
      </x:c>
      <x:c r="M573" s="15" t="str">
        <x:v>candidate / staging-only / not canon / not deployed / authority none</x:v>
      </x:c>
      <x:c r="N573" s="15" t="str">
        <x:v>Dispatch to Tidelock: complete Canon-Gate Prep x Sheldonbrain; return deltas only, receipts required.</x:v>
      </x:c>
      <x:c r="O573" s="15" t="str">
        <x:v>AF-KG-H12-S08</x:v>
      </x:c>
      <x:c r="P573" s="15" t="str">
        <x:v>Unverified</x:v>
      </x:c>
      <x:c r="Q573" s="15" t="str">
        <x:v>Not checked</x:v>
      </x:c>
      <x:c r="R573" s="15" t="str"/>
      <x:c r="S573" s="15" t="str"/>
      <x:c r="T573" s="15" t="str">
        <x:v>Log first source path or blocker</x:v>
      </x:c>
      <x:c r="U573" s="12" t="str">
        <x:f>IF(OR(P573="Unverified",Q573="Not checked"),"BLOCKED_PENDING_RECEIPT","READY_FOR_REVIEW")</x:f>
        <x:v>BLOCKED_PENDING_RECEIPT</x:v>
      </x:c>
      <x:c r="V573" s="12" t="str">
        <x:f>IF(J573="DONE","RETURNED",IF(U573="BLOCKED_PENDING_RECEIPT","SOURCE_TOUCH_REQUIRED","IN_PROGRESS"))</x:f>
        <x:v>SOURCE_TOUCH_REQUIRED</x:v>
      </x:c>
      <x:c r="W573" s="12" t="str">
        <x:f>IF(P573="Unverified","missing_receipt","receipt_logged")</x:f>
        <x:v>missing_receipt</x:v>
      </x:c>
      <x:c r="X573" s="12" t="str">
        <x:f>IF(Q573="Not checked","raw_status_missing","raw_status_logged")</x:f>
        <x:v>raw_status_missing</x:v>
      </x:c>
      <x:c r="Y573" s="12" t="str">
        <x:f>IF(U573="BLOCKED_PENDING_RECEIPT","Log source path or blocker; do not promote","Route to review lane")</x:f>
        <x:v>Log source path or blocker; do not promote</x:v>
      </x:c>
      <x:c r="Z573" s="12" t="str">
        <x:f>IF(K573="P0","Primary seat + Hashlight/Lucerna","Seat lane")</x:f>
        <x:v>Seat lane</x:v>
      </x:c>
      <x:c r="AA573" s="12" t="str">
        <x:f>IF(R573="","no_claim_delta","claim_delta_present")</x:f>
        <x:v>no_claim_delta</x:v>
      </x:c>
      <x:c r="AB573" s="12" t="str">
        <x:f>IF(S573="","no_contradiction_delta","contradiction_delta_present")</x:f>
        <x:v>no_contradiction_delta</x:v>
      </x:c>
      <x:c r="AC573" s="12" t="str">
        <x:f>IF(OR(ISNUMBER(SEARCH("hacker",LOWER(F573&amp;" "&amp;H573&amp;" "&amp;I573&amp;" "&amp;M573&amp;" "&amp;N573&amp;" "&amp;T573))),ISNUMBER(SEARCH("hacking",LOWER(F573&amp;" "&amp;H573&amp;" "&amp;I573&amp;" "&amp;M573&amp;" "&amp;N573&amp;" "&amp;T573))),ISNUMBER(SEARCH("bank",LOWER(F573&amp;" "&amp;H573&amp;" "&amp;I573&amp;" "&amp;M573&amp;" "&amp;N573&amp;" "&amp;T573))),ISNUMBER(SEARCH("banking",LOWER(F573&amp;" "&amp;H573&amp;" "&amp;I573&amp;" "&amp;M573&amp;" "&amp;N573&amp;" "&amp;T573)))),"PRIVATE_QUARANTINE",IF(OR(ISNUMBER(SEARCH("treasury",LOWER(F573&amp;" "&amp;H573&amp;" "&amp;I573&amp;" "&amp;M573&amp;" "&amp;N573&amp;" "&amp;T573))),ISNUMBER(SEARCH("debt",LOWER(F573&amp;" "&amp;H573&amp;" "&amp;I573&amp;" "&amp;M573&amp;" "&amp;N573&amp;" "&amp;T573))),ISNUMBER(SEARCH("bond",LOWER(F573&amp;" "&amp;H573&amp;" "&amp;I573&amp;" "&amp;M573&amp;" "&amp;N573&amp;" "&amp;T573))),ISNUMBER(SEARCH("transaction",LOWER(F573&amp;" "&amp;H573&amp;" "&amp;I573&amp;" "&amp;M573&amp;" "&amp;N573&amp;" "&amp;T573)))),"PRIVATE_REVIEW","PUBLIC_CANDIDATE"))</x:f>
        <x:v>PUBLIC_CANDIDATE</x:v>
      </x:c>
      <x:c r="AD573" s="12" t="str">
        <x:f>IF(AC573="PRIVATE_QUARANTINE","hacker_or_bank_trigger",IF(AC573="PRIVATE_REVIEW","finance_risk_trigger","none"))</x:f>
        <x:v>none</x:v>
      </x:c>
      <x:c r="AE573" s="12" t="str">
        <x:f>IF(AC573="PUBLIC_CANDIDATE","prepare_public_github_candidate",IF(AC573="PRIVATE_REVIEW","hold_for_private_review","quarantine_private_do_not_publish"))</x:f>
        <x:v>prepare_public_github_candidate</x:v>
      </x:c>
      <x:c r="AF573" s="12" t="str">
        <x:f>IF(AC573="PUBLIC_CANDIDATE","TIDELOCK + Lucerna",IF(AC573="PRIVATE_REVIEW","AtlasBrain + Lucerna","TIDELOCK + Lucerna + Human-root"))</x:f>
        <x:v>TIDELOCK + Lucerna</x:v>
      </x:c>
      <x:c r="AG573" s="12" t="str">
        <x:f>IF(AND(AC573="PUBLIC_CANDIDATE",U573&lt;&gt;"BLOCKED_PENDING_RECEIPT"),"READY_AFTER_RECEIPT","NOT_READY")</x:f>
        <x:v>NOT_READY</x:v>
      </x:c>
      <x:c r="AH573" s="12" t="str">
        <x:f>IF(AC573="PUBLIC_CANDIDATE","none",AD573)</x:f>
        <x:v>none</x:v>
      </x:c>
      <x:c r="AI573" s="12" t="str">
        <x:f>IF(AC573="PUBLIC_CANDIDATE","archive/public_candidates/"&amp;A573,"private_quarantine/"&amp;A573)</x:f>
        <x:v>archive/public_candidates/SWARM-04-H12-S08</x:v>
      </x:c>
      <x:c r="AJ573" s="12" t="str">
        <x:f>IF(AC573="PUBLIC_CANDIDATE","public by default; still not canon","private/hold; do not publish")</x:f>
        <x:v>public by default; still not canon</x:v>
      </x:c>
      <x:c r="AK573" s="12" t="str">
        <x:f>IF(AE573="prepare_public_github_candidate","add receipt/status then mirror","resolve blocker before any public GitHub action")</x:f>
        <x:v>add receipt/status then mirror</x:v>
      </x:c>
    </x:row>
    <x:row r="574">
      <x:c r="A574" s="15" t="str">
        <x:v>SWARM-04-H12-S09</x:v>
      </x:c>
      <x:c r="B574" s="15" t="str">
        <x:v>Tidelock</x:v>
      </x:c>
      <x:c r="C574" s="15" t="str">
        <x:v>Access blocker keeper</x:v>
      </x:c>
      <x:c r="D574" s="15" t="str">
        <x:v>Canon-Gate Prep</x:v>
      </x:c>
      <x:c r="E574" s="15" t="str">
        <x:v>Aetherforge</x:v>
      </x:c>
      <x:c r="F574" s="15" t="str">
        <x:v>Prepare canon-gate brief for Aetherforge — Tidelock</x:v>
      </x:c>
      <x:c r="G574" s="15" t="str">
        <x:v>missing access / blocker ledger / next safe action</x:v>
      </x:c>
      <x:c r="H574" s="15" t="str">
        <x:v>source path + receipt + raw/export status + claim/edge/risk delta</x:v>
      </x:c>
      <x:c r="I574" s="15" t="str">
        <x:v>packet/SWARM-04-H12-S09</x:v>
      </x:c>
      <x:c r="J574" s="15" t="str">
        <x:v>TODO</x:v>
      </x:c>
      <x:c r="K574" s="15" t="str">
        <x:v>P2</x:v>
      </x:c>
      <x:c r="L574" s="15" t="str">
        <x:v>Done only when evidence is logged, contradiction search is noted, and boundary stamp remains non-canon unless ratified</x:v>
      </x:c>
      <x:c r="M574" s="15" t="str">
        <x:v>candidate / staging-only / not canon / not deployed / authority none</x:v>
      </x:c>
      <x:c r="N574" s="15" t="str">
        <x:v>Dispatch to Tidelock: complete Canon-Gate Prep x Aetherforge; return deltas only, receipts required.</x:v>
      </x:c>
      <x:c r="O574" s="15" t="str">
        <x:v>AF-KG-H12-S09</x:v>
      </x:c>
      <x:c r="P574" s="15" t="str">
        <x:v>Unverified</x:v>
      </x:c>
      <x:c r="Q574" s="15" t="str">
        <x:v>Not checked</x:v>
      </x:c>
      <x:c r="R574" s="15" t="str"/>
      <x:c r="S574" s="15" t="str"/>
      <x:c r="T574" s="15" t="str">
        <x:v>Log first source path or blocker</x:v>
      </x:c>
      <x:c r="U574" s="12" t="str">
        <x:f>IF(OR(P574="Unverified",Q574="Not checked"),"BLOCKED_PENDING_RECEIPT","READY_FOR_REVIEW")</x:f>
        <x:v>BLOCKED_PENDING_RECEIPT</x:v>
      </x:c>
      <x:c r="V574" s="12" t="str">
        <x:f>IF(J574="DONE","RETURNED",IF(U574="BLOCKED_PENDING_RECEIPT","SOURCE_TOUCH_REQUIRED","IN_PROGRESS"))</x:f>
        <x:v>SOURCE_TOUCH_REQUIRED</x:v>
      </x:c>
      <x:c r="W574" s="12" t="str">
        <x:f>IF(P574="Unverified","missing_receipt","receipt_logged")</x:f>
        <x:v>missing_receipt</x:v>
      </x:c>
      <x:c r="X574" s="12" t="str">
        <x:f>IF(Q574="Not checked","raw_status_missing","raw_status_logged")</x:f>
        <x:v>raw_status_missing</x:v>
      </x:c>
      <x:c r="Y574" s="12" t="str">
        <x:f>IF(U574="BLOCKED_PENDING_RECEIPT","Log source path or blocker; do not promote","Route to review lane")</x:f>
        <x:v>Log source path or blocker; do not promote</x:v>
      </x:c>
      <x:c r="Z574" s="12" t="str">
        <x:f>IF(K574="P0","Primary seat + Hashlight/Lucerna","Seat lane")</x:f>
        <x:v>Seat lane</x:v>
      </x:c>
      <x:c r="AA574" s="12" t="str">
        <x:f>IF(R574="","no_claim_delta","claim_delta_present")</x:f>
        <x:v>no_claim_delta</x:v>
      </x:c>
      <x:c r="AB574" s="12" t="str">
        <x:f>IF(S574="","no_contradiction_delta","contradiction_delta_present")</x:f>
        <x:v>no_contradiction_delta</x:v>
      </x:c>
      <x:c r="AC574" s="12" t="str">
        <x:f>IF(OR(ISNUMBER(SEARCH("hacker",LOWER(F574&amp;" "&amp;H574&amp;" "&amp;I574&amp;" "&amp;M574&amp;" "&amp;N574&amp;" "&amp;T574))),ISNUMBER(SEARCH("hacking",LOWER(F574&amp;" "&amp;H574&amp;" "&amp;I574&amp;" "&amp;M574&amp;" "&amp;N574&amp;" "&amp;T574))),ISNUMBER(SEARCH("bank",LOWER(F574&amp;" "&amp;H574&amp;" "&amp;I574&amp;" "&amp;M574&amp;" "&amp;N574&amp;" "&amp;T574))),ISNUMBER(SEARCH("banking",LOWER(F574&amp;" "&amp;H574&amp;" "&amp;I574&amp;" "&amp;M574&amp;" "&amp;N574&amp;" "&amp;T574)))),"PRIVATE_QUARANTINE",IF(OR(ISNUMBER(SEARCH("treasury",LOWER(F574&amp;" "&amp;H574&amp;" "&amp;I574&amp;" "&amp;M574&amp;" "&amp;N574&amp;" "&amp;T574))),ISNUMBER(SEARCH("debt",LOWER(F574&amp;" "&amp;H574&amp;" "&amp;I574&amp;" "&amp;M574&amp;" "&amp;N574&amp;" "&amp;T574))),ISNUMBER(SEARCH("bond",LOWER(F574&amp;" "&amp;H574&amp;" "&amp;I574&amp;" "&amp;M574&amp;" "&amp;N574&amp;" "&amp;T574))),ISNUMBER(SEARCH("transaction",LOWER(F574&amp;" "&amp;H574&amp;" "&amp;I574&amp;" "&amp;M574&amp;" "&amp;N574&amp;" "&amp;T574)))),"PRIVATE_REVIEW","PUBLIC_CANDIDATE"))</x:f>
        <x:v>PUBLIC_CANDIDATE</x:v>
      </x:c>
      <x:c r="AD574" s="12" t="str">
        <x:f>IF(AC574="PRIVATE_QUARANTINE","hacker_or_bank_trigger",IF(AC574="PRIVATE_REVIEW","finance_risk_trigger","none"))</x:f>
        <x:v>none</x:v>
      </x:c>
      <x:c r="AE574" s="12" t="str">
        <x:f>IF(AC574="PUBLIC_CANDIDATE","prepare_public_github_candidate",IF(AC574="PRIVATE_REVIEW","hold_for_private_review","quarantine_private_do_not_publish"))</x:f>
        <x:v>prepare_public_github_candidate</x:v>
      </x:c>
      <x:c r="AF574" s="12" t="str">
        <x:f>IF(AC574="PUBLIC_CANDIDATE","TIDELOCK + Lucerna",IF(AC574="PRIVATE_REVIEW","AtlasBrain + Lucerna","TIDELOCK + Lucerna + Human-root"))</x:f>
        <x:v>TIDELOCK + Lucerna</x:v>
      </x:c>
      <x:c r="AG574" s="12" t="str">
        <x:f>IF(AND(AC574="PUBLIC_CANDIDATE",U574&lt;&gt;"BLOCKED_PENDING_RECEIPT"),"READY_AFTER_RECEIPT","NOT_READY")</x:f>
        <x:v>NOT_READY</x:v>
      </x:c>
      <x:c r="AH574" s="12" t="str">
        <x:f>IF(AC574="PUBLIC_CANDIDATE","none",AD574)</x:f>
        <x:v>none</x:v>
      </x:c>
      <x:c r="AI574" s="12" t="str">
        <x:f>IF(AC574="PUBLIC_CANDIDATE","archive/public_candidates/"&amp;A574,"private_quarantine/"&amp;A574)</x:f>
        <x:v>archive/public_candidates/SWARM-04-H12-S09</x:v>
      </x:c>
      <x:c r="AJ574" s="12" t="str">
        <x:f>IF(AC574="PUBLIC_CANDIDATE","public by default; still not canon","private/hold; do not publish")</x:f>
        <x:v>public by default; still not canon</x:v>
      </x:c>
      <x:c r="AK574" s="12" t="str">
        <x:f>IF(AE574="prepare_public_github_candidate","add receipt/status then mirror","resolve blocker before any public GitHub action")</x:f>
        <x:v>add receipt/status then mirror</x:v>
      </x:c>
    </x:row>
    <x:row r="575">
      <x:c r="A575" s="15" t="str">
        <x:v>SWARM-04-H12-S10</x:v>
      </x:c>
      <x:c r="B575" s="15" t="str">
        <x:v>Tidelock</x:v>
      </x:c>
      <x:c r="C575" s="15" t="str">
        <x:v>Access blocker keeper</x:v>
      </x:c>
      <x:c r="D575" s="15" t="str">
        <x:v>Canon-Gate Prep</x:v>
      </x:c>
      <x:c r="E575" s="15" t="str">
        <x:v>Human-Root</x:v>
      </x:c>
      <x:c r="F575" s="15" t="str">
        <x:v>Prepare canon-gate brief for Human-Root — Tidelock</x:v>
      </x:c>
      <x:c r="G575" s="15" t="str">
        <x:v>missing access / blocker ledger / next safe action</x:v>
      </x:c>
      <x:c r="H575" s="15" t="str">
        <x:v>source path + receipt + raw/export status + claim/edge/risk delta</x:v>
      </x:c>
      <x:c r="I575" s="15" t="str">
        <x:v>packet/SWARM-04-H12-S10</x:v>
      </x:c>
      <x:c r="J575" s="15" t="str">
        <x:v>TODO</x:v>
      </x:c>
      <x:c r="K575" s="15" t="str">
        <x:v>P2</x:v>
      </x:c>
      <x:c r="L575" s="15" t="str">
        <x:v>Done only when evidence is logged, contradiction search is noted, and boundary stamp remains non-canon unless ratified</x:v>
      </x:c>
      <x:c r="M575" s="15" t="str">
        <x:v>candidate / staging-only / not canon / not deployed / authority none</x:v>
      </x:c>
      <x:c r="N575" s="15" t="str">
        <x:v>Dispatch to Tidelock: complete Canon-Gate Prep x Human-Root; return deltas only, receipts required.</x:v>
      </x:c>
      <x:c r="O575" s="15" t="str">
        <x:v>AF-KG-H12-S10</x:v>
      </x:c>
      <x:c r="P575" s="15" t="str">
        <x:v>Unverified</x:v>
      </x:c>
      <x:c r="Q575" s="15" t="str">
        <x:v>Not checked</x:v>
      </x:c>
      <x:c r="R575" s="15" t="str"/>
      <x:c r="S575" s="15" t="str"/>
      <x:c r="T575" s="15" t="str">
        <x:v>Log first source path or blocker</x:v>
      </x:c>
      <x:c r="U575" s="12" t="str">
        <x:f>IF(OR(P575="Unverified",Q575="Not checked"),"BLOCKED_PENDING_RECEIPT","READY_FOR_REVIEW")</x:f>
        <x:v>BLOCKED_PENDING_RECEIPT</x:v>
      </x:c>
      <x:c r="V575" s="12" t="str">
        <x:f>IF(J575="DONE","RETURNED",IF(U575="BLOCKED_PENDING_RECEIPT","SOURCE_TOUCH_REQUIRED","IN_PROGRESS"))</x:f>
        <x:v>SOURCE_TOUCH_REQUIRED</x:v>
      </x:c>
      <x:c r="W575" s="12" t="str">
        <x:f>IF(P575="Unverified","missing_receipt","receipt_logged")</x:f>
        <x:v>missing_receipt</x:v>
      </x:c>
      <x:c r="X575" s="12" t="str">
        <x:f>IF(Q575="Not checked","raw_status_missing","raw_status_logged")</x:f>
        <x:v>raw_status_missing</x:v>
      </x:c>
      <x:c r="Y575" s="12" t="str">
        <x:f>IF(U575="BLOCKED_PENDING_RECEIPT","Log source path or blocker; do not promote","Route to review lane")</x:f>
        <x:v>Log source path or blocker; do not promote</x:v>
      </x:c>
      <x:c r="Z575" s="12" t="str">
        <x:f>IF(K575="P0","Primary seat + Hashlight/Lucerna","Seat lane")</x:f>
        <x:v>Seat lane</x:v>
      </x:c>
      <x:c r="AA575" s="12" t="str">
        <x:f>IF(R575="","no_claim_delta","claim_delta_present")</x:f>
        <x:v>no_claim_delta</x:v>
      </x:c>
      <x:c r="AB575" s="12" t="str">
        <x:f>IF(S575="","no_contradiction_delta","contradiction_delta_present")</x:f>
        <x:v>no_contradiction_delta</x:v>
      </x:c>
      <x:c r="AC575" s="12" t="str">
        <x:f>IF(OR(ISNUMBER(SEARCH("hacker",LOWER(F575&amp;" "&amp;H575&amp;" "&amp;I575&amp;" "&amp;M575&amp;" "&amp;N575&amp;" "&amp;T575))),ISNUMBER(SEARCH("hacking",LOWER(F575&amp;" "&amp;H575&amp;" "&amp;I575&amp;" "&amp;M575&amp;" "&amp;N575&amp;" "&amp;T575))),ISNUMBER(SEARCH("bank",LOWER(F575&amp;" "&amp;H575&amp;" "&amp;I575&amp;" "&amp;M575&amp;" "&amp;N575&amp;" "&amp;T575))),ISNUMBER(SEARCH("banking",LOWER(F575&amp;" "&amp;H575&amp;" "&amp;I575&amp;" "&amp;M575&amp;" "&amp;N575&amp;" "&amp;T575)))),"PRIVATE_QUARANTINE",IF(OR(ISNUMBER(SEARCH("treasury",LOWER(F575&amp;" "&amp;H575&amp;" "&amp;I575&amp;" "&amp;M575&amp;" "&amp;N575&amp;" "&amp;T575))),ISNUMBER(SEARCH("debt",LOWER(F575&amp;" "&amp;H575&amp;" "&amp;I575&amp;" "&amp;M575&amp;" "&amp;N575&amp;" "&amp;T575))),ISNUMBER(SEARCH("bond",LOWER(F575&amp;" "&amp;H575&amp;" "&amp;I575&amp;" "&amp;M575&amp;" "&amp;N575&amp;" "&amp;T575))),ISNUMBER(SEARCH("transaction",LOWER(F575&amp;" "&amp;H575&amp;" "&amp;I575&amp;" "&amp;M575&amp;" "&amp;N575&amp;" "&amp;T575)))),"PRIVATE_REVIEW","PUBLIC_CANDIDATE"))</x:f>
        <x:v>PUBLIC_CANDIDATE</x:v>
      </x:c>
      <x:c r="AD575" s="12" t="str">
        <x:f>IF(AC575="PRIVATE_QUARANTINE","hacker_or_bank_trigger",IF(AC575="PRIVATE_REVIEW","finance_risk_trigger","none"))</x:f>
        <x:v>none</x:v>
      </x:c>
      <x:c r="AE575" s="12" t="str">
        <x:f>IF(AC575="PUBLIC_CANDIDATE","prepare_public_github_candidate",IF(AC575="PRIVATE_REVIEW","hold_for_private_review","quarantine_private_do_not_publish"))</x:f>
        <x:v>prepare_public_github_candidate</x:v>
      </x:c>
      <x:c r="AF575" s="12" t="str">
        <x:f>IF(AC575="PUBLIC_CANDIDATE","TIDELOCK + Lucerna",IF(AC575="PRIVATE_REVIEW","AtlasBrain + Lucerna","TIDELOCK + Lucerna + Human-root"))</x:f>
        <x:v>TIDELOCK + Lucerna</x:v>
      </x:c>
      <x:c r="AG575" s="12" t="str">
        <x:f>IF(AND(AC575="PUBLIC_CANDIDATE",U575&lt;&gt;"BLOCKED_PENDING_RECEIPT"),"READY_AFTER_RECEIPT","NOT_READY")</x:f>
        <x:v>NOT_READY</x:v>
      </x:c>
      <x:c r="AH575" s="12" t="str">
        <x:f>IF(AC575="PUBLIC_CANDIDATE","none",AD575)</x:f>
        <x:v>none</x:v>
      </x:c>
      <x:c r="AI575" s="12" t="str">
        <x:f>IF(AC575="PUBLIC_CANDIDATE","archive/public_candidates/"&amp;A575,"private_quarantine/"&amp;A575)</x:f>
        <x:v>archive/public_candidates/SWARM-04-H12-S10</x:v>
      </x:c>
      <x:c r="AJ575" s="12" t="str">
        <x:f>IF(AC575="PUBLIC_CANDIDATE","public by default; still not canon","private/hold; do not publish")</x:f>
        <x:v>public by default; still not canon</x:v>
      </x:c>
      <x:c r="AK575" s="12" t="str">
        <x:f>IF(AE575="prepare_public_github_candidate","add receipt/status then mirror","resolve blocker before any public GitHub action")</x:f>
        <x:v>add receipt/status then mirror</x:v>
      </x:c>
    </x:row>
    <x:row r="576">
      <x:c r="A576" s="15" t="str">
        <x:v>SWARM-04-H12-S11</x:v>
      </x:c>
      <x:c r="B576" s="15" t="str">
        <x:v>Tidelock</x:v>
      </x:c>
      <x:c r="C576" s="15" t="str">
        <x:v>Access blocker keeper</x:v>
      </x:c>
      <x:c r="D576" s="15" t="str">
        <x:v>Canon-Gate Prep</x:v>
      </x:c>
      <x:c r="E576" s="15" t="str">
        <x:v>Automation</x:v>
      </x:c>
      <x:c r="F576" s="15" t="str">
        <x:v>Prepare canon-gate brief for Automation — Tidelock</x:v>
      </x:c>
      <x:c r="G576" s="15" t="str">
        <x:v>missing access / blocker ledger / next safe action</x:v>
      </x:c>
      <x:c r="H576" s="15" t="str">
        <x:v>source path + receipt + raw/export status + claim/edge/risk delta</x:v>
      </x:c>
      <x:c r="I576" s="15" t="str">
        <x:v>packet/SWARM-04-H12-S11</x:v>
      </x:c>
      <x:c r="J576" s="15" t="str">
        <x:v>TODO</x:v>
      </x:c>
      <x:c r="K576" s="15" t="str">
        <x:v>P2</x:v>
      </x:c>
      <x:c r="L576" s="15" t="str">
        <x:v>Done only when evidence is logged, contradiction search is noted, and boundary stamp remains non-canon unless ratified</x:v>
      </x:c>
      <x:c r="M576" s="15" t="str">
        <x:v>candidate / staging-only / not canon / not deployed / authority none</x:v>
      </x:c>
      <x:c r="N576" s="15" t="str">
        <x:v>Dispatch to Tidelock: complete Canon-Gate Prep x Automation; return deltas only, receipts required.</x:v>
      </x:c>
      <x:c r="O576" s="15" t="str">
        <x:v>AF-KG-H12-S11</x:v>
      </x:c>
      <x:c r="P576" s="15" t="str">
        <x:v>Unverified</x:v>
      </x:c>
      <x:c r="Q576" s="15" t="str">
        <x:v>Not checked</x:v>
      </x:c>
      <x:c r="R576" s="15" t="str"/>
      <x:c r="S576" s="15" t="str"/>
      <x:c r="T576" s="15" t="str">
        <x:v>Log first source path or blocker</x:v>
      </x:c>
      <x:c r="U576" s="12" t="str">
        <x:f>IF(OR(P576="Unverified",Q576="Not checked"),"BLOCKED_PENDING_RECEIPT","READY_FOR_REVIEW")</x:f>
        <x:v>BLOCKED_PENDING_RECEIPT</x:v>
      </x:c>
      <x:c r="V576" s="12" t="str">
        <x:f>IF(J576="DONE","RETURNED",IF(U576="BLOCKED_PENDING_RECEIPT","SOURCE_TOUCH_REQUIRED","IN_PROGRESS"))</x:f>
        <x:v>SOURCE_TOUCH_REQUIRED</x:v>
      </x:c>
      <x:c r="W576" s="12" t="str">
        <x:f>IF(P576="Unverified","missing_receipt","receipt_logged")</x:f>
        <x:v>missing_receipt</x:v>
      </x:c>
      <x:c r="X576" s="12" t="str">
        <x:f>IF(Q576="Not checked","raw_status_missing","raw_status_logged")</x:f>
        <x:v>raw_status_missing</x:v>
      </x:c>
      <x:c r="Y576" s="12" t="str">
        <x:f>IF(U576="BLOCKED_PENDING_RECEIPT","Log source path or blocker; do not promote","Route to review lane")</x:f>
        <x:v>Log source path or blocker; do not promote</x:v>
      </x:c>
      <x:c r="Z576" s="12" t="str">
        <x:f>IF(K576="P0","Primary seat + Hashlight/Lucerna","Seat lane")</x:f>
        <x:v>Seat lane</x:v>
      </x:c>
      <x:c r="AA576" s="12" t="str">
        <x:f>IF(R576="","no_claim_delta","claim_delta_present")</x:f>
        <x:v>no_claim_delta</x:v>
      </x:c>
      <x:c r="AB576" s="12" t="str">
        <x:f>IF(S576="","no_contradiction_delta","contradiction_delta_present")</x:f>
        <x:v>no_contradiction_delta</x:v>
      </x:c>
      <x:c r="AC576" s="12" t="str">
        <x:f>IF(OR(ISNUMBER(SEARCH("hacker",LOWER(F576&amp;" "&amp;H576&amp;" "&amp;I576&amp;" "&amp;M576&amp;" "&amp;N576&amp;" "&amp;T576))),ISNUMBER(SEARCH("hacking",LOWER(F576&amp;" "&amp;H576&amp;" "&amp;I576&amp;" "&amp;M576&amp;" "&amp;N576&amp;" "&amp;T576))),ISNUMBER(SEARCH("bank",LOWER(F576&amp;" "&amp;H576&amp;" "&amp;I576&amp;" "&amp;M576&amp;" "&amp;N576&amp;" "&amp;T576))),ISNUMBER(SEARCH("banking",LOWER(F576&amp;" "&amp;H576&amp;" "&amp;I576&amp;" "&amp;M576&amp;" "&amp;N576&amp;" "&amp;T576)))),"PRIVATE_QUARANTINE",IF(OR(ISNUMBER(SEARCH("treasury",LOWER(F576&amp;" "&amp;H576&amp;" "&amp;I576&amp;" "&amp;M576&amp;" "&amp;N576&amp;" "&amp;T576))),ISNUMBER(SEARCH("debt",LOWER(F576&amp;" "&amp;H576&amp;" "&amp;I576&amp;" "&amp;M576&amp;" "&amp;N576&amp;" "&amp;T576))),ISNUMBER(SEARCH("bond",LOWER(F576&amp;" "&amp;H576&amp;" "&amp;I576&amp;" "&amp;M576&amp;" "&amp;N576&amp;" "&amp;T576))),ISNUMBER(SEARCH("transaction",LOWER(F576&amp;" "&amp;H576&amp;" "&amp;I576&amp;" "&amp;M576&amp;" "&amp;N576&amp;" "&amp;T576)))),"PRIVATE_REVIEW","PUBLIC_CANDIDATE"))</x:f>
        <x:v>PUBLIC_CANDIDATE</x:v>
      </x:c>
      <x:c r="AD576" s="12" t="str">
        <x:f>IF(AC576="PRIVATE_QUARANTINE","hacker_or_bank_trigger",IF(AC576="PRIVATE_REVIEW","finance_risk_trigger","none"))</x:f>
        <x:v>none</x:v>
      </x:c>
      <x:c r="AE576" s="12" t="str">
        <x:f>IF(AC576="PUBLIC_CANDIDATE","prepare_public_github_candidate",IF(AC576="PRIVATE_REVIEW","hold_for_private_review","quarantine_private_do_not_publish"))</x:f>
        <x:v>prepare_public_github_candidate</x:v>
      </x:c>
      <x:c r="AF576" s="12" t="str">
        <x:f>IF(AC576="PUBLIC_CANDIDATE","TIDELOCK + Lucerna",IF(AC576="PRIVATE_REVIEW","AtlasBrain + Lucerna","TIDELOCK + Lucerna + Human-root"))</x:f>
        <x:v>TIDELOCK + Lucerna</x:v>
      </x:c>
      <x:c r="AG576" s="12" t="str">
        <x:f>IF(AND(AC576="PUBLIC_CANDIDATE",U576&lt;&gt;"BLOCKED_PENDING_RECEIPT"),"READY_AFTER_RECEIPT","NOT_READY")</x:f>
        <x:v>NOT_READY</x:v>
      </x:c>
      <x:c r="AH576" s="12" t="str">
        <x:f>IF(AC576="PUBLIC_CANDIDATE","none",AD576)</x:f>
        <x:v>none</x:v>
      </x:c>
      <x:c r="AI576" s="12" t="str">
        <x:f>IF(AC576="PUBLIC_CANDIDATE","archive/public_candidates/"&amp;A576,"private_quarantine/"&amp;A576)</x:f>
        <x:v>archive/public_candidates/SWARM-04-H12-S11</x:v>
      </x:c>
      <x:c r="AJ576" s="12" t="str">
        <x:f>IF(AC576="PUBLIC_CANDIDATE","public by default; still not canon","private/hold; do not publish")</x:f>
        <x:v>public by default; still not canon</x:v>
      </x:c>
      <x:c r="AK576" s="12" t="str">
        <x:f>IF(AE576="prepare_public_github_candidate","add receipt/status then mirror","resolve blocker before any public GitHub action")</x:f>
        <x:v>add receipt/status then mirror</x:v>
      </x:c>
    </x:row>
    <x:row r="577">
      <x:c r="A577" s="15" t="str">
        <x:v>SWARM-04-H12-S12</x:v>
      </x:c>
      <x:c r="B577" s="15" t="str">
        <x:v>Tidelock</x:v>
      </x:c>
      <x:c r="C577" s="15" t="str">
        <x:v>Access blocker keeper</x:v>
      </x:c>
      <x:c r="D577" s="15" t="str">
        <x:v>Canon-Gate Prep</x:v>
      </x:c>
      <x:c r="E577" s="15" t="str">
        <x:v>Risk / Safety</x:v>
      </x:c>
      <x:c r="F577" s="15" t="str">
        <x:v>Prepare canon-gate brief for Risk / Safety — Tidelock</x:v>
      </x:c>
      <x:c r="G577" s="15" t="str">
        <x:v>missing access / blocker ledger / next safe action</x:v>
      </x:c>
      <x:c r="H577" s="15" t="str">
        <x:v>source path + receipt + raw/export status + claim/edge/risk delta</x:v>
      </x:c>
      <x:c r="I577" s="15" t="str">
        <x:v>packet/SWARM-04-H12-S12</x:v>
      </x:c>
      <x:c r="J577" s="15" t="str">
        <x:v>TODO</x:v>
      </x:c>
      <x:c r="K577" s="15" t="str">
        <x:v>P2</x:v>
      </x:c>
      <x:c r="L577" s="15" t="str">
        <x:v>Done only when evidence is logged, contradiction search is noted, and boundary stamp remains non-canon unless ratified</x:v>
      </x:c>
      <x:c r="M577" s="15" t="str">
        <x:v>candidate / staging-only / not canon / not deployed / authority none</x:v>
      </x:c>
      <x:c r="N577" s="15" t="str">
        <x:v>Dispatch to Tidelock: complete Canon-Gate Prep x Risk / Safety; return deltas only, receipts required.</x:v>
      </x:c>
      <x:c r="O577" s="15" t="str">
        <x:v>AF-KG-H12-S12</x:v>
      </x:c>
      <x:c r="P577" s="15" t="str">
        <x:v>Unverified</x:v>
      </x:c>
      <x:c r="Q577" s="15" t="str">
        <x:v>Not checked</x:v>
      </x:c>
      <x:c r="R577" s="15" t="str"/>
      <x:c r="S577" s="15" t="str"/>
      <x:c r="T577" s="15" t="str">
        <x:v>Log first source path or blocker</x:v>
      </x:c>
      <x:c r="U577" s="12" t="str">
        <x:f>IF(OR(P577="Unverified",Q577="Not checked"),"BLOCKED_PENDING_RECEIPT","READY_FOR_REVIEW")</x:f>
        <x:v>BLOCKED_PENDING_RECEIPT</x:v>
      </x:c>
      <x:c r="V577" s="12" t="str">
        <x:f>IF(J577="DONE","RETURNED",IF(U577="BLOCKED_PENDING_RECEIPT","SOURCE_TOUCH_REQUIRED","IN_PROGRESS"))</x:f>
        <x:v>SOURCE_TOUCH_REQUIRED</x:v>
      </x:c>
      <x:c r="W577" s="12" t="str">
        <x:f>IF(P577="Unverified","missing_receipt","receipt_logged")</x:f>
        <x:v>missing_receipt</x:v>
      </x:c>
      <x:c r="X577" s="12" t="str">
        <x:f>IF(Q577="Not checked","raw_status_missing","raw_status_logged")</x:f>
        <x:v>raw_status_missing</x:v>
      </x:c>
      <x:c r="Y577" s="12" t="str">
        <x:f>IF(U577="BLOCKED_PENDING_RECEIPT","Log source path or blocker; do not promote","Route to review lane")</x:f>
        <x:v>Log source path or blocker; do not promote</x:v>
      </x:c>
      <x:c r="Z577" s="12" t="str">
        <x:f>IF(K577="P0","Primary seat + Hashlight/Lucerna","Seat lane")</x:f>
        <x:v>Seat lane</x:v>
      </x:c>
      <x:c r="AA577" s="12" t="str">
        <x:f>IF(R577="","no_claim_delta","claim_delta_present")</x:f>
        <x:v>no_claim_delta</x:v>
      </x:c>
      <x:c r="AB577" s="12" t="str">
        <x:f>IF(S577="","no_contradiction_delta","contradiction_delta_present")</x:f>
        <x:v>no_contradiction_delta</x:v>
      </x:c>
      <x:c r="AC577" s="12" t="str">
        <x:f>IF(OR(ISNUMBER(SEARCH("hacker",LOWER(F577&amp;" "&amp;H577&amp;" "&amp;I577&amp;" "&amp;M577&amp;" "&amp;N577&amp;" "&amp;T577))),ISNUMBER(SEARCH("hacking",LOWER(F577&amp;" "&amp;H577&amp;" "&amp;I577&amp;" "&amp;M577&amp;" "&amp;N577&amp;" "&amp;T577))),ISNUMBER(SEARCH("bank",LOWER(F577&amp;" "&amp;H577&amp;" "&amp;I577&amp;" "&amp;M577&amp;" "&amp;N577&amp;" "&amp;T577))),ISNUMBER(SEARCH("banking",LOWER(F577&amp;" "&amp;H577&amp;" "&amp;I577&amp;" "&amp;M577&amp;" "&amp;N577&amp;" "&amp;T577)))),"PRIVATE_QUARANTINE",IF(OR(ISNUMBER(SEARCH("treasury",LOWER(F577&amp;" "&amp;H577&amp;" "&amp;I577&amp;" "&amp;M577&amp;" "&amp;N577&amp;" "&amp;T577))),ISNUMBER(SEARCH("debt",LOWER(F577&amp;" "&amp;H577&amp;" "&amp;I577&amp;" "&amp;M577&amp;" "&amp;N577&amp;" "&amp;T577))),ISNUMBER(SEARCH("bond",LOWER(F577&amp;" "&amp;H577&amp;" "&amp;I577&amp;" "&amp;M577&amp;" "&amp;N577&amp;" "&amp;T577))),ISNUMBER(SEARCH("transaction",LOWER(F577&amp;" "&amp;H577&amp;" "&amp;I577&amp;" "&amp;M577&amp;" "&amp;N577&amp;" "&amp;T577)))),"PRIVATE_REVIEW","PUBLIC_CANDIDATE"))</x:f>
        <x:v>PUBLIC_CANDIDATE</x:v>
      </x:c>
      <x:c r="AD577" s="12" t="str">
        <x:f>IF(AC577="PRIVATE_QUARANTINE","hacker_or_bank_trigger",IF(AC577="PRIVATE_REVIEW","finance_risk_trigger","none"))</x:f>
        <x:v>none</x:v>
      </x:c>
      <x:c r="AE577" s="12" t="str">
        <x:f>IF(AC577="PUBLIC_CANDIDATE","prepare_public_github_candidate",IF(AC577="PRIVATE_REVIEW","hold_for_private_review","quarantine_private_do_not_publish"))</x:f>
        <x:v>prepare_public_github_candidate</x:v>
      </x:c>
      <x:c r="AF577" s="12" t="str">
        <x:f>IF(AC577="PUBLIC_CANDIDATE","TIDELOCK + Lucerna",IF(AC577="PRIVATE_REVIEW","AtlasBrain + Lucerna","TIDELOCK + Lucerna + Human-root"))</x:f>
        <x:v>TIDELOCK + Lucerna</x:v>
      </x:c>
      <x:c r="AG577" s="12" t="str">
        <x:f>IF(AND(AC577="PUBLIC_CANDIDATE",U577&lt;&gt;"BLOCKED_PENDING_RECEIPT"),"READY_AFTER_RECEIPT","NOT_READY")</x:f>
        <x:v>NOT_READY</x:v>
      </x:c>
      <x:c r="AH577" s="12" t="str">
        <x:f>IF(AC577="PUBLIC_CANDIDATE","none",AD577)</x:f>
        <x:v>none</x:v>
      </x:c>
      <x:c r="AI577" s="12" t="str">
        <x:f>IF(AC577="PUBLIC_CANDIDATE","archive/public_candidates/"&amp;A577,"private_quarantine/"&amp;A577)</x:f>
        <x:v>archive/public_candidates/SWARM-04-H12-S12</x:v>
      </x:c>
      <x:c r="AJ577" s="12" t="str">
        <x:f>IF(AC577="PUBLIC_CANDIDATE","public by default; still not canon","private/hold; do not publish")</x:f>
        <x:v>public by default; still not canon</x:v>
      </x:c>
      <x:c r="AK577" s="12" t="str">
        <x:f>IF(AE577="prepare_public_github_candidate","add receipt/status then mirror","resolve blocker before any public GitHub action")</x:f>
        <x:v>add receipt/status then mirror</x:v>
      </x:c>
    </x:row>
    <x:row r="578">
      <x:c r="A578" s="15" t="str">
        <x:v>SWARM-05-H01-S01</x:v>
      </x:c>
      <x:c r="B578" s="15" t="str">
        <x:v>Rootglass</x:v>
      </x:c>
      <x:c r="C578" s="15" t="str">
        <x:v>Canon gate mirror</x:v>
      </x:c>
      <x:c r="D578" s="15" t="str">
        <x:v>Source Inventory</x:v>
      </x:c>
      <x:c r="E578" s="15" t="str">
        <x:v>Notion</x:v>
      </x:c>
      <x:c r="F578" s="15" t="str">
        <x:v>Inventory Notion — Rootglass</x:v>
      </x:c>
      <x:c r="G578" s="15" t="str">
        <x:v>authority boundaries / ratification packets</x:v>
      </x:c>
      <x:c r="H578" s="15" t="str">
        <x:v>source path + receipt + raw/export status + claim/edge/risk delta</x:v>
      </x:c>
      <x:c r="I578" s="15" t="str">
        <x:v>packet/SWARM-05-H01-S01</x:v>
      </x:c>
      <x:c r="J578" s="15" t="str">
        <x:v>TODO</x:v>
      </x:c>
      <x:c r="K578" s="15" t="str">
        <x:v>P0</x:v>
      </x:c>
      <x:c r="L578" s="15" t="str">
        <x:v>Done only when evidence is logged, contradiction search is noted, and boundary stamp remains non-canon unless ratified</x:v>
      </x:c>
      <x:c r="M578" s="15" t="str">
        <x:v>candidate / staging-only / not canon / not deployed / authority none</x:v>
      </x:c>
      <x:c r="N578" s="15" t="str">
        <x:v>Dispatch to Rootglass: complete Source Inventory x Notion; return deltas only, receipts required.</x:v>
      </x:c>
      <x:c r="O578" s="15" t="str">
        <x:v>AF-KG-H01-S01</x:v>
      </x:c>
      <x:c r="P578" s="15" t="str">
        <x:v>Unverified</x:v>
      </x:c>
      <x:c r="Q578" s="15" t="str">
        <x:v>Not checked</x:v>
      </x:c>
      <x:c r="R578" s="15" t="str"/>
      <x:c r="S578" s="15" t="str"/>
      <x:c r="T578" s="15" t="str">
        <x:v>Log first source path or blocker</x:v>
      </x:c>
      <x:c r="U578" s="12" t="str">
        <x:f>IF(OR(P578="Unverified",Q578="Not checked"),"BLOCKED_PENDING_RECEIPT","READY_FOR_REVIEW")</x:f>
        <x:v>BLOCKED_PENDING_RECEIPT</x:v>
      </x:c>
      <x:c r="V578" s="12" t="str">
        <x:f>IF(J578="DONE","RETURNED",IF(U578="BLOCKED_PENDING_RECEIPT","SOURCE_TOUCH_REQUIRED","IN_PROGRESS"))</x:f>
        <x:v>SOURCE_TOUCH_REQUIRED</x:v>
      </x:c>
      <x:c r="W578" s="12" t="str">
        <x:f>IF(P578="Unverified","missing_receipt","receipt_logged")</x:f>
        <x:v>missing_receipt</x:v>
      </x:c>
      <x:c r="X578" s="12" t="str">
        <x:f>IF(Q578="Not checked","raw_status_missing","raw_status_logged")</x:f>
        <x:v>raw_status_missing</x:v>
      </x:c>
      <x:c r="Y578" s="12" t="str">
        <x:f>IF(U578="BLOCKED_PENDING_RECEIPT","Log source path or blocker; do not promote","Route to review lane")</x:f>
        <x:v>Log source path or blocker; do not promote</x:v>
      </x:c>
      <x:c r="Z578" s="12" t="str">
        <x:f>IF(K578="P0","Primary seat + Hashlight/Lucerna","Seat lane")</x:f>
        <x:v>Primary seat + Hashlight/Lucerna</x:v>
      </x:c>
      <x:c r="AA578" s="12" t="str">
        <x:f>IF(R578="","no_claim_delta","claim_delta_present")</x:f>
        <x:v>no_claim_delta</x:v>
      </x:c>
      <x:c r="AB578" s="12" t="str">
        <x:f>IF(S578="","no_contradiction_delta","contradiction_delta_present")</x:f>
        <x:v>no_contradiction_delta</x:v>
      </x:c>
      <x:c r="AC578" s="12" t="str">
        <x:f>IF(OR(ISNUMBER(SEARCH("hacker",LOWER(F578&amp;" "&amp;H578&amp;" "&amp;I578&amp;" "&amp;M578&amp;" "&amp;N578&amp;" "&amp;T578))),ISNUMBER(SEARCH("hacking",LOWER(F578&amp;" "&amp;H578&amp;" "&amp;I578&amp;" "&amp;M578&amp;" "&amp;N578&amp;" "&amp;T578))),ISNUMBER(SEARCH("bank",LOWER(F578&amp;" "&amp;H578&amp;" "&amp;I578&amp;" "&amp;M578&amp;" "&amp;N578&amp;" "&amp;T578))),ISNUMBER(SEARCH("banking",LOWER(F578&amp;" "&amp;H578&amp;" "&amp;I578&amp;" "&amp;M578&amp;" "&amp;N578&amp;" "&amp;T578)))),"PRIVATE_QUARANTINE",IF(OR(ISNUMBER(SEARCH("treasury",LOWER(F578&amp;" "&amp;H578&amp;" "&amp;I578&amp;" "&amp;M578&amp;" "&amp;N578&amp;" "&amp;T578))),ISNUMBER(SEARCH("debt",LOWER(F578&amp;" "&amp;H578&amp;" "&amp;I578&amp;" "&amp;M578&amp;" "&amp;N578&amp;" "&amp;T578))),ISNUMBER(SEARCH("bond",LOWER(F578&amp;" "&amp;H578&amp;" "&amp;I578&amp;" "&amp;M578&amp;" "&amp;N578&amp;" "&amp;T578))),ISNUMBER(SEARCH("transaction",LOWER(F578&amp;" "&amp;H578&amp;" "&amp;I578&amp;" "&amp;M578&amp;" "&amp;N578&amp;" "&amp;T578)))),"PRIVATE_REVIEW","PUBLIC_CANDIDATE"))</x:f>
        <x:v>PUBLIC_CANDIDATE</x:v>
      </x:c>
      <x:c r="AD578" s="12" t="str">
        <x:f>IF(AC578="PRIVATE_QUARANTINE","hacker_or_bank_trigger",IF(AC578="PRIVATE_REVIEW","finance_risk_trigger","none"))</x:f>
        <x:v>none</x:v>
      </x:c>
      <x:c r="AE578" s="12" t="str">
        <x:f>IF(AC578="PUBLIC_CANDIDATE","prepare_public_github_candidate",IF(AC578="PRIVATE_REVIEW","hold_for_private_review","quarantine_private_do_not_publish"))</x:f>
        <x:v>prepare_public_github_candidate</x:v>
      </x:c>
      <x:c r="AF578" s="12" t="str">
        <x:f>IF(AC578="PUBLIC_CANDIDATE","TIDELOCK + Lucerna",IF(AC578="PRIVATE_REVIEW","AtlasBrain + Lucerna","TIDELOCK + Lucerna + Human-root"))</x:f>
        <x:v>TIDELOCK + Lucerna</x:v>
      </x:c>
      <x:c r="AG578" s="12" t="str">
        <x:f>IF(AND(AC578="PUBLIC_CANDIDATE",U578&lt;&gt;"BLOCKED_PENDING_RECEIPT"),"READY_AFTER_RECEIPT","NOT_READY")</x:f>
        <x:v>NOT_READY</x:v>
      </x:c>
      <x:c r="AH578" s="12" t="str">
        <x:f>IF(AC578="PUBLIC_CANDIDATE","none",AD578)</x:f>
        <x:v>none</x:v>
      </x:c>
      <x:c r="AI578" s="12" t="str">
        <x:f>IF(AC578="PUBLIC_CANDIDATE","archive/public_candidates/"&amp;A578,"private_quarantine/"&amp;A578)</x:f>
        <x:v>archive/public_candidates/SWARM-05-H01-S01</x:v>
      </x:c>
      <x:c r="AJ578" s="12" t="str">
        <x:f>IF(AC578="PUBLIC_CANDIDATE","public by default; still not canon","private/hold; do not publish")</x:f>
        <x:v>public by default; still not canon</x:v>
      </x:c>
      <x:c r="AK578" s="12" t="str">
        <x:f>IF(AE578="prepare_public_github_candidate","add receipt/status then mirror","resolve blocker before any public GitHub action")</x:f>
        <x:v>add receipt/status then mirror</x:v>
      </x:c>
    </x:row>
    <x:row r="579">
      <x:c r="A579" s="15" t="str">
        <x:v>SWARM-05-H01-S02</x:v>
      </x:c>
      <x:c r="B579" s="15" t="str">
        <x:v>Rootglass</x:v>
      </x:c>
      <x:c r="C579" s="15" t="str">
        <x:v>Canon gate mirror</x:v>
      </x:c>
      <x:c r="D579" s="15" t="str">
        <x:v>Source Inventory</x:v>
      </x:c>
      <x:c r="E579" s="15" t="str">
        <x:v>Drive</x:v>
      </x:c>
      <x:c r="F579" s="15" t="str">
        <x:v>Inventory Drive — Rootglass</x:v>
      </x:c>
      <x:c r="G579" s="15" t="str">
        <x:v>authority boundaries / ratification packets</x:v>
      </x:c>
      <x:c r="H579" s="15" t="str">
        <x:v>source path + receipt + raw/export status + claim/edge/risk delta</x:v>
      </x:c>
      <x:c r="I579" s="15" t="str">
        <x:v>packet/SWARM-05-H01-S02</x:v>
      </x:c>
      <x:c r="J579" s="15" t="str">
        <x:v>TODO</x:v>
      </x:c>
      <x:c r="K579" s="15" t="str">
        <x:v>P0</x:v>
      </x:c>
      <x:c r="L579" s="15" t="str">
        <x:v>Done only when evidence is logged, contradiction search is noted, and boundary stamp remains non-canon unless ratified</x:v>
      </x:c>
      <x:c r="M579" s="15" t="str">
        <x:v>candidate / staging-only / not canon / not deployed / authority none</x:v>
      </x:c>
      <x:c r="N579" s="15" t="str">
        <x:v>Dispatch to Rootglass: complete Source Inventory x Drive; return deltas only, receipts required.</x:v>
      </x:c>
      <x:c r="O579" s="15" t="str">
        <x:v>AF-KG-H01-S02</x:v>
      </x:c>
      <x:c r="P579" s="15" t="str">
        <x:v>Unverified</x:v>
      </x:c>
      <x:c r="Q579" s="15" t="str">
        <x:v>Not checked</x:v>
      </x:c>
      <x:c r="R579" s="15" t="str"/>
      <x:c r="S579" s="15" t="str"/>
      <x:c r="T579" s="15" t="str">
        <x:v>Log first source path or blocker</x:v>
      </x:c>
      <x:c r="U579" s="12" t="str">
        <x:f>IF(OR(P579="Unverified",Q579="Not checked"),"BLOCKED_PENDING_RECEIPT","READY_FOR_REVIEW")</x:f>
        <x:v>BLOCKED_PENDING_RECEIPT</x:v>
      </x:c>
      <x:c r="V579" s="12" t="str">
        <x:f>IF(J579="DONE","RETURNED",IF(U579="BLOCKED_PENDING_RECEIPT","SOURCE_TOUCH_REQUIRED","IN_PROGRESS"))</x:f>
        <x:v>SOURCE_TOUCH_REQUIRED</x:v>
      </x:c>
      <x:c r="W579" s="12" t="str">
        <x:f>IF(P579="Unverified","missing_receipt","receipt_logged")</x:f>
        <x:v>missing_receipt</x:v>
      </x:c>
      <x:c r="X579" s="12" t="str">
        <x:f>IF(Q579="Not checked","raw_status_missing","raw_status_logged")</x:f>
        <x:v>raw_status_missing</x:v>
      </x:c>
      <x:c r="Y579" s="12" t="str">
        <x:f>IF(U579="BLOCKED_PENDING_RECEIPT","Log source path or blocker; do not promote","Route to review lane")</x:f>
        <x:v>Log source path or blocker; do not promote</x:v>
      </x:c>
      <x:c r="Z579" s="12" t="str">
        <x:f>IF(K579="P0","Primary seat + Hashlight/Lucerna","Seat lane")</x:f>
        <x:v>Primary seat + Hashlight/Lucerna</x:v>
      </x:c>
      <x:c r="AA579" s="12" t="str">
        <x:f>IF(R579="","no_claim_delta","claim_delta_present")</x:f>
        <x:v>no_claim_delta</x:v>
      </x:c>
      <x:c r="AB579" s="12" t="str">
        <x:f>IF(S579="","no_contradiction_delta","contradiction_delta_present")</x:f>
        <x:v>no_contradiction_delta</x:v>
      </x:c>
      <x:c r="AC579" s="12" t="str">
        <x:f>IF(OR(ISNUMBER(SEARCH("hacker",LOWER(F579&amp;" "&amp;H579&amp;" "&amp;I579&amp;" "&amp;M579&amp;" "&amp;N579&amp;" "&amp;T579))),ISNUMBER(SEARCH("hacking",LOWER(F579&amp;" "&amp;H579&amp;" "&amp;I579&amp;" "&amp;M579&amp;" "&amp;N579&amp;" "&amp;T579))),ISNUMBER(SEARCH("bank",LOWER(F579&amp;" "&amp;H579&amp;" "&amp;I579&amp;" "&amp;M579&amp;" "&amp;N579&amp;" "&amp;T579))),ISNUMBER(SEARCH("banking",LOWER(F579&amp;" "&amp;H579&amp;" "&amp;I579&amp;" "&amp;M579&amp;" "&amp;N579&amp;" "&amp;T579)))),"PRIVATE_QUARANTINE",IF(OR(ISNUMBER(SEARCH("treasury",LOWER(F579&amp;" "&amp;H579&amp;" "&amp;I579&amp;" "&amp;M579&amp;" "&amp;N579&amp;" "&amp;T579))),ISNUMBER(SEARCH("debt",LOWER(F579&amp;" "&amp;H579&amp;" "&amp;I579&amp;" "&amp;M579&amp;" "&amp;N579&amp;" "&amp;T579))),ISNUMBER(SEARCH("bond",LOWER(F579&amp;" "&amp;H579&amp;" "&amp;I579&amp;" "&amp;M579&amp;" "&amp;N579&amp;" "&amp;T579))),ISNUMBER(SEARCH("transaction",LOWER(F579&amp;" "&amp;H579&amp;" "&amp;I579&amp;" "&amp;M579&amp;" "&amp;N579&amp;" "&amp;T579)))),"PRIVATE_REVIEW","PUBLIC_CANDIDATE"))</x:f>
        <x:v>PUBLIC_CANDIDATE</x:v>
      </x:c>
      <x:c r="AD579" s="12" t="str">
        <x:f>IF(AC579="PRIVATE_QUARANTINE","hacker_or_bank_trigger",IF(AC579="PRIVATE_REVIEW","finance_risk_trigger","none"))</x:f>
        <x:v>none</x:v>
      </x:c>
      <x:c r="AE579" s="12" t="str">
        <x:f>IF(AC579="PUBLIC_CANDIDATE","prepare_public_github_candidate",IF(AC579="PRIVATE_REVIEW","hold_for_private_review","quarantine_private_do_not_publish"))</x:f>
        <x:v>prepare_public_github_candidate</x:v>
      </x:c>
      <x:c r="AF579" s="12" t="str">
        <x:f>IF(AC579="PUBLIC_CANDIDATE","TIDELOCK + Lucerna",IF(AC579="PRIVATE_REVIEW","AtlasBrain + Lucerna","TIDELOCK + Lucerna + Human-root"))</x:f>
        <x:v>TIDELOCK + Lucerna</x:v>
      </x:c>
      <x:c r="AG579" s="12" t="str">
        <x:f>IF(AND(AC579="PUBLIC_CANDIDATE",U579&lt;&gt;"BLOCKED_PENDING_RECEIPT"),"READY_AFTER_RECEIPT","NOT_READY")</x:f>
        <x:v>NOT_READY</x:v>
      </x:c>
      <x:c r="AH579" s="12" t="str">
        <x:f>IF(AC579="PUBLIC_CANDIDATE","none",AD579)</x:f>
        <x:v>none</x:v>
      </x:c>
      <x:c r="AI579" s="12" t="str">
        <x:f>IF(AC579="PUBLIC_CANDIDATE","archive/public_candidates/"&amp;A579,"private_quarantine/"&amp;A579)</x:f>
        <x:v>archive/public_candidates/SWARM-05-H01-S02</x:v>
      </x:c>
      <x:c r="AJ579" s="12" t="str">
        <x:f>IF(AC579="PUBLIC_CANDIDATE","public by default; still not canon","private/hold; do not publish")</x:f>
        <x:v>public by default; still not canon</x:v>
      </x:c>
      <x:c r="AK579" s="12" t="str">
        <x:f>IF(AE579="prepare_public_github_candidate","add receipt/status then mirror","resolve blocker before any public GitHub action")</x:f>
        <x:v>add receipt/status then mirror</x:v>
      </x:c>
    </x:row>
    <x:row r="580">
      <x:c r="A580" s="15" t="str">
        <x:v>SWARM-05-H01-S03</x:v>
      </x:c>
      <x:c r="B580" s="15" t="str">
        <x:v>Rootglass</x:v>
      </x:c>
      <x:c r="C580" s="15" t="str">
        <x:v>Canon gate mirror</x:v>
      </x:c>
      <x:c r="D580" s="15" t="str">
        <x:v>Source Inventory</x:v>
      </x:c>
      <x:c r="E580" s="15" t="str">
        <x:v>GitHub</x:v>
      </x:c>
      <x:c r="F580" s="15" t="str">
        <x:v>Inventory GitHub — Rootglass</x:v>
      </x:c>
      <x:c r="G580" s="15" t="str">
        <x:v>authority boundaries / ratification packets</x:v>
      </x:c>
      <x:c r="H580" s="15" t="str">
        <x:v>source path + receipt + raw/export status + claim/edge/risk delta</x:v>
      </x:c>
      <x:c r="I580" s="15" t="str">
        <x:v>packet/SWARM-05-H01-S03</x:v>
      </x:c>
      <x:c r="J580" s="15" t="str">
        <x:v>TODO</x:v>
      </x:c>
      <x:c r="K580" s="15" t="str">
        <x:v>P0</x:v>
      </x:c>
      <x:c r="L580" s="15" t="str">
        <x:v>Done only when evidence is logged, contradiction search is noted, and boundary stamp remains non-canon unless ratified</x:v>
      </x:c>
      <x:c r="M580" s="15" t="str">
        <x:v>candidate / staging-only / not canon / not deployed / authority none</x:v>
      </x:c>
      <x:c r="N580" s="15" t="str">
        <x:v>Dispatch to Rootglass: complete Source Inventory x GitHub; return deltas only, receipts required.</x:v>
      </x:c>
      <x:c r="O580" s="15" t="str">
        <x:v>AF-KG-H01-S03</x:v>
      </x:c>
      <x:c r="P580" s="15" t="str">
        <x:v>Unverified</x:v>
      </x:c>
      <x:c r="Q580" s="15" t="str">
        <x:v>Not checked</x:v>
      </x:c>
      <x:c r="R580" s="15" t="str"/>
      <x:c r="S580" s="15" t="str"/>
      <x:c r="T580" s="15" t="str">
        <x:v>Log first source path or blocker</x:v>
      </x:c>
      <x:c r="U580" s="12" t="str">
        <x:f>IF(OR(P580="Unverified",Q580="Not checked"),"BLOCKED_PENDING_RECEIPT","READY_FOR_REVIEW")</x:f>
        <x:v>BLOCKED_PENDING_RECEIPT</x:v>
      </x:c>
      <x:c r="V580" s="12" t="str">
        <x:f>IF(J580="DONE","RETURNED",IF(U580="BLOCKED_PENDING_RECEIPT","SOURCE_TOUCH_REQUIRED","IN_PROGRESS"))</x:f>
        <x:v>SOURCE_TOUCH_REQUIRED</x:v>
      </x:c>
      <x:c r="W580" s="12" t="str">
        <x:f>IF(P580="Unverified","missing_receipt","receipt_logged")</x:f>
        <x:v>missing_receipt</x:v>
      </x:c>
      <x:c r="X580" s="12" t="str">
        <x:f>IF(Q580="Not checked","raw_status_missing","raw_status_logged")</x:f>
        <x:v>raw_status_missing</x:v>
      </x:c>
      <x:c r="Y580" s="12" t="str">
        <x:f>IF(U580="BLOCKED_PENDING_RECEIPT","Log source path or blocker; do not promote","Route to review lane")</x:f>
        <x:v>Log source path or blocker; do not promote</x:v>
      </x:c>
      <x:c r="Z580" s="12" t="str">
        <x:f>IF(K580="P0","Primary seat + Hashlight/Lucerna","Seat lane")</x:f>
        <x:v>Primary seat + Hashlight/Lucerna</x:v>
      </x:c>
      <x:c r="AA580" s="12" t="str">
        <x:f>IF(R580="","no_claim_delta","claim_delta_present")</x:f>
        <x:v>no_claim_delta</x:v>
      </x:c>
      <x:c r="AB580" s="12" t="str">
        <x:f>IF(S580="","no_contradiction_delta","contradiction_delta_present")</x:f>
        <x:v>no_contradiction_delta</x:v>
      </x:c>
      <x:c r="AC580" s="12" t="str">
        <x:f>IF(OR(ISNUMBER(SEARCH("hacker",LOWER(F580&amp;" "&amp;H580&amp;" "&amp;I580&amp;" "&amp;M580&amp;" "&amp;N580&amp;" "&amp;T580))),ISNUMBER(SEARCH("hacking",LOWER(F580&amp;" "&amp;H580&amp;" "&amp;I580&amp;" "&amp;M580&amp;" "&amp;N580&amp;" "&amp;T580))),ISNUMBER(SEARCH("bank",LOWER(F580&amp;" "&amp;H580&amp;" "&amp;I580&amp;" "&amp;M580&amp;" "&amp;N580&amp;" "&amp;T580))),ISNUMBER(SEARCH("banking",LOWER(F580&amp;" "&amp;H580&amp;" "&amp;I580&amp;" "&amp;M580&amp;" "&amp;N580&amp;" "&amp;T580)))),"PRIVATE_QUARANTINE",IF(OR(ISNUMBER(SEARCH("treasury",LOWER(F580&amp;" "&amp;H580&amp;" "&amp;I580&amp;" "&amp;M580&amp;" "&amp;N580&amp;" "&amp;T580))),ISNUMBER(SEARCH("debt",LOWER(F580&amp;" "&amp;H580&amp;" "&amp;I580&amp;" "&amp;M580&amp;" "&amp;N580&amp;" "&amp;T580))),ISNUMBER(SEARCH("bond",LOWER(F580&amp;" "&amp;H580&amp;" "&amp;I580&amp;" "&amp;M580&amp;" "&amp;N580&amp;" "&amp;T580))),ISNUMBER(SEARCH("transaction",LOWER(F580&amp;" "&amp;H580&amp;" "&amp;I580&amp;" "&amp;M580&amp;" "&amp;N580&amp;" "&amp;T580)))),"PRIVATE_REVIEW","PUBLIC_CANDIDATE"))</x:f>
        <x:v>PUBLIC_CANDIDATE</x:v>
      </x:c>
      <x:c r="AD580" s="12" t="str">
        <x:f>IF(AC580="PRIVATE_QUARANTINE","hacker_or_bank_trigger",IF(AC580="PRIVATE_REVIEW","finance_risk_trigger","none"))</x:f>
        <x:v>none</x:v>
      </x:c>
      <x:c r="AE580" s="12" t="str">
        <x:f>IF(AC580="PUBLIC_CANDIDATE","prepare_public_github_candidate",IF(AC580="PRIVATE_REVIEW","hold_for_private_review","quarantine_private_do_not_publish"))</x:f>
        <x:v>prepare_public_github_candidate</x:v>
      </x:c>
      <x:c r="AF580" s="12" t="str">
        <x:f>IF(AC580="PUBLIC_CANDIDATE","TIDELOCK + Lucerna",IF(AC580="PRIVATE_REVIEW","AtlasBrain + Lucerna","TIDELOCK + Lucerna + Human-root"))</x:f>
        <x:v>TIDELOCK + Lucerna</x:v>
      </x:c>
      <x:c r="AG580" s="12" t="str">
        <x:f>IF(AND(AC580="PUBLIC_CANDIDATE",U580&lt;&gt;"BLOCKED_PENDING_RECEIPT"),"READY_AFTER_RECEIPT","NOT_READY")</x:f>
        <x:v>NOT_READY</x:v>
      </x:c>
      <x:c r="AH580" s="12" t="str">
        <x:f>IF(AC580="PUBLIC_CANDIDATE","none",AD580)</x:f>
        <x:v>none</x:v>
      </x:c>
      <x:c r="AI580" s="12" t="str">
        <x:f>IF(AC580="PUBLIC_CANDIDATE","archive/public_candidates/"&amp;A580,"private_quarantine/"&amp;A580)</x:f>
        <x:v>archive/public_candidates/SWARM-05-H01-S03</x:v>
      </x:c>
      <x:c r="AJ580" s="12" t="str">
        <x:f>IF(AC580="PUBLIC_CANDIDATE","public by default; still not canon","private/hold; do not publish")</x:f>
        <x:v>public by default; still not canon</x:v>
      </x:c>
      <x:c r="AK580" s="12" t="str">
        <x:f>IF(AE580="prepare_public_github_candidate","add receipt/status then mirror","resolve blocker before any public GitHub action")</x:f>
        <x:v>add receipt/status then mirror</x:v>
      </x:c>
    </x:row>
    <x:row r="581">
      <x:c r="A581" s="15" t="str">
        <x:v>SWARM-05-H01-S04</x:v>
      </x:c>
      <x:c r="B581" s="15" t="str">
        <x:v>Rootglass</x:v>
      </x:c>
      <x:c r="C581" s="15" t="str">
        <x:v>Canon gate mirror</x:v>
      </x:c>
      <x:c r="D581" s="15" t="str">
        <x:v>Source Inventory</x:v>
      </x:c>
      <x:c r="E581" s="15" t="str">
        <x:v>Gamma</x:v>
      </x:c>
      <x:c r="F581" s="15" t="str">
        <x:v>Inventory Gamma — Rootglass</x:v>
      </x:c>
      <x:c r="G581" s="15" t="str">
        <x:v>authority boundaries / ratification packets</x:v>
      </x:c>
      <x:c r="H581" s="15" t="str">
        <x:v>source path + receipt + raw/export status + claim/edge/risk delta</x:v>
      </x:c>
      <x:c r="I581" s="15" t="str">
        <x:v>packet/SWARM-05-H01-S04</x:v>
      </x:c>
      <x:c r="J581" s="15" t="str">
        <x:v>TODO</x:v>
      </x:c>
      <x:c r="K581" s="15" t="str">
        <x:v>P1</x:v>
      </x:c>
      <x:c r="L581" s="15" t="str">
        <x:v>Done only when evidence is logged, contradiction search is noted, and boundary stamp remains non-canon unless ratified</x:v>
      </x:c>
      <x:c r="M581" s="15" t="str">
        <x:v>candidate / staging-only / not canon / not deployed / authority none</x:v>
      </x:c>
      <x:c r="N581" s="15" t="str">
        <x:v>Dispatch to Rootglass: complete Source Inventory x Gamma; return deltas only, receipts required.</x:v>
      </x:c>
      <x:c r="O581" s="15" t="str">
        <x:v>AF-KG-H01-S04</x:v>
      </x:c>
      <x:c r="P581" s="15" t="str">
        <x:v>Unverified</x:v>
      </x:c>
      <x:c r="Q581" s="15" t="str">
        <x:v>Not checked</x:v>
      </x:c>
      <x:c r="R581" s="15" t="str"/>
      <x:c r="S581" s="15" t="str"/>
      <x:c r="T581" s="15" t="str">
        <x:v>Log first source path or blocker</x:v>
      </x:c>
      <x:c r="U581" s="12" t="str">
        <x:f>IF(OR(P581="Unverified",Q581="Not checked"),"BLOCKED_PENDING_RECEIPT","READY_FOR_REVIEW")</x:f>
        <x:v>BLOCKED_PENDING_RECEIPT</x:v>
      </x:c>
      <x:c r="V581" s="12" t="str">
        <x:f>IF(J581="DONE","RETURNED",IF(U581="BLOCKED_PENDING_RECEIPT","SOURCE_TOUCH_REQUIRED","IN_PROGRESS"))</x:f>
        <x:v>SOURCE_TOUCH_REQUIRED</x:v>
      </x:c>
      <x:c r="W581" s="12" t="str">
        <x:f>IF(P581="Unverified","missing_receipt","receipt_logged")</x:f>
        <x:v>missing_receipt</x:v>
      </x:c>
      <x:c r="X581" s="12" t="str">
        <x:f>IF(Q581="Not checked","raw_status_missing","raw_status_logged")</x:f>
        <x:v>raw_status_missing</x:v>
      </x:c>
      <x:c r="Y581" s="12" t="str">
        <x:f>IF(U581="BLOCKED_PENDING_RECEIPT","Log source path or blocker; do not promote","Route to review lane")</x:f>
        <x:v>Log source path or blocker; do not promote</x:v>
      </x:c>
      <x:c r="Z581" s="12" t="str">
        <x:f>IF(K581="P0","Primary seat + Hashlight/Lucerna","Seat lane")</x:f>
        <x:v>Seat lane</x:v>
      </x:c>
      <x:c r="AA581" s="12" t="str">
        <x:f>IF(R581="","no_claim_delta","claim_delta_present")</x:f>
        <x:v>no_claim_delta</x:v>
      </x:c>
      <x:c r="AB581" s="12" t="str">
        <x:f>IF(S581="","no_contradiction_delta","contradiction_delta_present")</x:f>
        <x:v>no_contradiction_delta</x:v>
      </x:c>
      <x:c r="AC581" s="12" t="str">
        <x:f>IF(OR(ISNUMBER(SEARCH("hacker",LOWER(F581&amp;" "&amp;H581&amp;" "&amp;I581&amp;" "&amp;M581&amp;" "&amp;N581&amp;" "&amp;T581))),ISNUMBER(SEARCH("hacking",LOWER(F581&amp;" "&amp;H581&amp;" "&amp;I581&amp;" "&amp;M581&amp;" "&amp;N581&amp;" "&amp;T581))),ISNUMBER(SEARCH("bank",LOWER(F581&amp;" "&amp;H581&amp;" "&amp;I581&amp;" "&amp;M581&amp;" "&amp;N581&amp;" "&amp;T581))),ISNUMBER(SEARCH("banking",LOWER(F581&amp;" "&amp;H581&amp;" "&amp;I581&amp;" "&amp;M581&amp;" "&amp;N581&amp;" "&amp;T581)))),"PRIVATE_QUARANTINE",IF(OR(ISNUMBER(SEARCH("treasury",LOWER(F581&amp;" "&amp;H581&amp;" "&amp;I581&amp;" "&amp;M581&amp;" "&amp;N581&amp;" "&amp;T581))),ISNUMBER(SEARCH("debt",LOWER(F581&amp;" "&amp;H581&amp;" "&amp;I581&amp;" "&amp;M581&amp;" "&amp;N581&amp;" "&amp;T581))),ISNUMBER(SEARCH("bond",LOWER(F581&amp;" "&amp;H581&amp;" "&amp;I581&amp;" "&amp;M581&amp;" "&amp;N581&amp;" "&amp;T581))),ISNUMBER(SEARCH("transaction",LOWER(F581&amp;" "&amp;H581&amp;" "&amp;I581&amp;" "&amp;M581&amp;" "&amp;N581&amp;" "&amp;T581)))),"PRIVATE_REVIEW","PUBLIC_CANDIDATE"))</x:f>
        <x:v>PUBLIC_CANDIDATE</x:v>
      </x:c>
      <x:c r="AD581" s="12" t="str">
        <x:f>IF(AC581="PRIVATE_QUARANTINE","hacker_or_bank_trigger",IF(AC581="PRIVATE_REVIEW","finance_risk_trigger","none"))</x:f>
        <x:v>none</x:v>
      </x:c>
      <x:c r="AE581" s="12" t="str">
        <x:f>IF(AC581="PUBLIC_CANDIDATE","prepare_public_github_candidate",IF(AC581="PRIVATE_REVIEW","hold_for_private_review","quarantine_private_do_not_publish"))</x:f>
        <x:v>prepare_public_github_candidate</x:v>
      </x:c>
      <x:c r="AF581" s="12" t="str">
        <x:f>IF(AC581="PUBLIC_CANDIDATE","TIDELOCK + Lucerna",IF(AC581="PRIVATE_REVIEW","AtlasBrain + Lucerna","TIDELOCK + Lucerna + Human-root"))</x:f>
        <x:v>TIDELOCK + Lucerna</x:v>
      </x:c>
      <x:c r="AG581" s="12" t="str">
        <x:f>IF(AND(AC581="PUBLIC_CANDIDATE",U581&lt;&gt;"BLOCKED_PENDING_RECEIPT"),"READY_AFTER_RECEIPT","NOT_READY")</x:f>
        <x:v>NOT_READY</x:v>
      </x:c>
      <x:c r="AH581" s="12" t="str">
        <x:f>IF(AC581="PUBLIC_CANDIDATE","none",AD581)</x:f>
        <x:v>none</x:v>
      </x:c>
      <x:c r="AI581" s="12" t="str">
        <x:f>IF(AC581="PUBLIC_CANDIDATE","archive/public_candidates/"&amp;A581,"private_quarantine/"&amp;A581)</x:f>
        <x:v>archive/public_candidates/SWARM-05-H01-S04</x:v>
      </x:c>
      <x:c r="AJ581" s="12" t="str">
        <x:f>IF(AC581="PUBLIC_CANDIDATE","public by default; still not canon","private/hold; do not publish")</x:f>
        <x:v>public by default; still not canon</x:v>
      </x:c>
      <x:c r="AK581" s="12" t="str">
        <x:f>IF(AE581="prepare_public_github_candidate","add receipt/status then mirror","resolve blocker before any public GitHub action")</x:f>
        <x:v>add receipt/status then mirror</x:v>
      </x:c>
    </x:row>
    <x:row r="582">
      <x:c r="A582" s="15" t="str">
        <x:v>SWARM-05-H01-S05</x:v>
      </x:c>
      <x:c r="B582" s="15" t="str">
        <x:v>Rootglass</x:v>
      </x:c>
      <x:c r="C582" s="15" t="str">
        <x:v>Canon gate mirror</x:v>
      </x:c>
      <x:c r="D582" s="15" t="str">
        <x:v>Source Inventory</x:v>
      </x:c>
      <x:c r="E582" s="15" t="str">
        <x:v>Chat</x:v>
      </x:c>
      <x:c r="F582" s="15" t="str">
        <x:v>Inventory Chat — Rootglass</x:v>
      </x:c>
      <x:c r="G582" s="15" t="str">
        <x:v>authority boundaries / ratification packets</x:v>
      </x:c>
      <x:c r="H582" s="15" t="str">
        <x:v>source path + receipt + raw/export status + claim/edge/risk delta</x:v>
      </x:c>
      <x:c r="I582" s="15" t="str">
        <x:v>packet/SWARM-05-H01-S05</x:v>
      </x:c>
      <x:c r="J582" s="15" t="str">
        <x:v>TODO</x:v>
      </x:c>
      <x:c r="K582" s="15" t="str">
        <x:v>P1</x:v>
      </x:c>
      <x:c r="L582" s="15" t="str">
        <x:v>Done only when evidence is logged, contradiction search is noted, and boundary stamp remains non-canon unless ratified</x:v>
      </x:c>
      <x:c r="M582" s="15" t="str">
        <x:v>candidate / staging-only / not canon / not deployed / authority none</x:v>
      </x:c>
      <x:c r="N582" s="15" t="str">
        <x:v>Dispatch to Rootglass: complete Source Inventory x Chat; return deltas only, receipts required.</x:v>
      </x:c>
      <x:c r="O582" s="15" t="str">
        <x:v>AF-KG-H01-S05</x:v>
      </x:c>
      <x:c r="P582" s="15" t="str">
        <x:v>Unverified</x:v>
      </x:c>
      <x:c r="Q582" s="15" t="str">
        <x:v>Not checked</x:v>
      </x:c>
      <x:c r="R582" s="15" t="str"/>
      <x:c r="S582" s="15" t="str"/>
      <x:c r="T582" s="15" t="str">
        <x:v>Log first source path or blocker</x:v>
      </x:c>
      <x:c r="U582" s="12" t="str">
        <x:f>IF(OR(P582="Unverified",Q582="Not checked"),"BLOCKED_PENDING_RECEIPT","READY_FOR_REVIEW")</x:f>
        <x:v>BLOCKED_PENDING_RECEIPT</x:v>
      </x:c>
      <x:c r="V582" s="12" t="str">
        <x:f>IF(J582="DONE","RETURNED",IF(U582="BLOCKED_PENDING_RECEIPT","SOURCE_TOUCH_REQUIRED","IN_PROGRESS"))</x:f>
        <x:v>SOURCE_TOUCH_REQUIRED</x:v>
      </x:c>
      <x:c r="W582" s="12" t="str">
        <x:f>IF(P582="Unverified","missing_receipt","receipt_logged")</x:f>
        <x:v>missing_receipt</x:v>
      </x:c>
      <x:c r="X582" s="12" t="str">
        <x:f>IF(Q582="Not checked","raw_status_missing","raw_status_logged")</x:f>
        <x:v>raw_status_missing</x:v>
      </x:c>
      <x:c r="Y582" s="12" t="str">
        <x:f>IF(U582="BLOCKED_PENDING_RECEIPT","Log source path or blocker; do not promote","Route to review lane")</x:f>
        <x:v>Log source path or blocker; do not promote</x:v>
      </x:c>
      <x:c r="Z582" s="12" t="str">
        <x:f>IF(K582="P0","Primary seat + Hashlight/Lucerna","Seat lane")</x:f>
        <x:v>Seat lane</x:v>
      </x:c>
      <x:c r="AA582" s="12" t="str">
        <x:f>IF(R582="","no_claim_delta","claim_delta_present")</x:f>
        <x:v>no_claim_delta</x:v>
      </x:c>
      <x:c r="AB582" s="12" t="str">
        <x:f>IF(S582="","no_contradiction_delta","contradiction_delta_present")</x:f>
        <x:v>no_contradiction_delta</x:v>
      </x:c>
      <x:c r="AC582" s="12" t="str">
        <x:f>IF(OR(ISNUMBER(SEARCH("hacker",LOWER(F582&amp;" "&amp;H582&amp;" "&amp;I582&amp;" "&amp;M582&amp;" "&amp;N582&amp;" "&amp;T582))),ISNUMBER(SEARCH("hacking",LOWER(F582&amp;" "&amp;H582&amp;" "&amp;I582&amp;" "&amp;M582&amp;" "&amp;N582&amp;" "&amp;T582))),ISNUMBER(SEARCH("bank",LOWER(F582&amp;" "&amp;H582&amp;" "&amp;I582&amp;" "&amp;M582&amp;" "&amp;N582&amp;" "&amp;T582))),ISNUMBER(SEARCH("banking",LOWER(F582&amp;" "&amp;H582&amp;" "&amp;I582&amp;" "&amp;M582&amp;" "&amp;N582&amp;" "&amp;T582)))),"PRIVATE_QUARANTINE",IF(OR(ISNUMBER(SEARCH("treasury",LOWER(F582&amp;" "&amp;H582&amp;" "&amp;I582&amp;" "&amp;M582&amp;" "&amp;N582&amp;" "&amp;T582))),ISNUMBER(SEARCH("debt",LOWER(F582&amp;" "&amp;H582&amp;" "&amp;I582&amp;" "&amp;M582&amp;" "&amp;N582&amp;" "&amp;T582))),ISNUMBER(SEARCH("bond",LOWER(F582&amp;" "&amp;H582&amp;" "&amp;I582&amp;" "&amp;M582&amp;" "&amp;N582&amp;" "&amp;T582))),ISNUMBER(SEARCH("transaction",LOWER(F582&amp;" "&amp;H582&amp;" "&amp;I582&amp;" "&amp;M582&amp;" "&amp;N582&amp;" "&amp;T582)))),"PRIVATE_REVIEW","PUBLIC_CANDIDATE"))</x:f>
        <x:v>PUBLIC_CANDIDATE</x:v>
      </x:c>
      <x:c r="AD582" s="12" t="str">
        <x:f>IF(AC582="PRIVATE_QUARANTINE","hacker_or_bank_trigger",IF(AC582="PRIVATE_REVIEW","finance_risk_trigger","none"))</x:f>
        <x:v>none</x:v>
      </x:c>
      <x:c r="AE582" s="12" t="str">
        <x:f>IF(AC582="PUBLIC_CANDIDATE","prepare_public_github_candidate",IF(AC582="PRIVATE_REVIEW","hold_for_private_review","quarantine_private_do_not_publish"))</x:f>
        <x:v>prepare_public_github_candidate</x:v>
      </x:c>
      <x:c r="AF582" s="12" t="str">
        <x:f>IF(AC582="PUBLIC_CANDIDATE","TIDELOCK + Lucerna",IF(AC582="PRIVATE_REVIEW","AtlasBrain + Lucerna","TIDELOCK + Lucerna + Human-root"))</x:f>
        <x:v>TIDELOCK + Lucerna</x:v>
      </x:c>
      <x:c r="AG582" s="12" t="str">
        <x:f>IF(AND(AC582="PUBLIC_CANDIDATE",U582&lt;&gt;"BLOCKED_PENDING_RECEIPT"),"READY_AFTER_RECEIPT","NOT_READY")</x:f>
        <x:v>NOT_READY</x:v>
      </x:c>
      <x:c r="AH582" s="12" t="str">
        <x:f>IF(AC582="PUBLIC_CANDIDATE","none",AD582)</x:f>
        <x:v>none</x:v>
      </x:c>
      <x:c r="AI582" s="12" t="str">
        <x:f>IF(AC582="PUBLIC_CANDIDATE","archive/public_candidates/"&amp;A582,"private_quarantine/"&amp;A582)</x:f>
        <x:v>archive/public_candidates/SWARM-05-H01-S05</x:v>
      </x:c>
      <x:c r="AJ582" s="12" t="str">
        <x:f>IF(AC582="PUBLIC_CANDIDATE","public by default; still not canon","private/hold; do not publish")</x:f>
        <x:v>public by default; still not canon</x:v>
      </x:c>
      <x:c r="AK582" s="12" t="str">
        <x:f>IF(AE582="prepare_public_github_candidate","add receipt/status then mirror","resolve blocker before any public GitHub action")</x:f>
        <x:v>add receipt/status then mirror</x:v>
      </x:c>
    </x:row>
    <x:row r="583">
      <x:c r="A583" s="15" t="str">
        <x:v>SWARM-05-H01-S06</x:v>
      </x:c>
      <x:c r="B583" s="15" t="str">
        <x:v>Rootglass</x:v>
      </x:c>
      <x:c r="C583" s="15" t="str">
        <x:v>Canon gate mirror</x:v>
      </x:c>
      <x:c r="D583" s="15" t="str">
        <x:v>Source Inventory</x:v>
      </x:c>
      <x:c r="E583" s="15" t="str">
        <x:v>External Web</x:v>
      </x:c>
      <x:c r="F583" s="15" t="str">
        <x:v>Inventory External Web — Rootglass</x:v>
      </x:c>
      <x:c r="G583" s="15" t="str">
        <x:v>authority boundaries / ratification packets</x:v>
      </x:c>
      <x:c r="H583" s="15" t="str">
        <x:v>source path + receipt + raw/export status + claim/edge/risk delta</x:v>
      </x:c>
      <x:c r="I583" s="15" t="str">
        <x:v>packet/SWARM-05-H01-S06</x:v>
      </x:c>
      <x:c r="J583" s="15" t="str">
        <x:v>TODO</x:v>
      </x:c>
      <x:c r="K583" s="15" t="str">
        <x:v>P1</x:v>
      </x:c>
      <x:c r="L583" s="15" t="str">
        <x:v>Done only when evidence is logged, contradiction search is noted, and boundary stamp remains non-canon unless ratified</x:v>
      </x:c>
      <x:c r="M583" s="15" t="str">
        <x:v>candidate / staging-only / not canon / not deployed / authority none</x:v>
      </x:c>
      <x:c r="N583" s="15" t="str">
        <x:v>Dispatch to Rootglass: complete Source Inventory x External Web; return deltas only, receipts required.</x:v>
      </x:c>
      <x:c r="O583" s="15" t="str">
        <x:v>AF-KG-H01-S06</x:v>
      </x:c>
      <x:c r="P583" s="15" t="str">
        <x:v>Unverified</x:v>
      </x:c>
      <x:c r="Q583" s="15" t="str">
        <x:v>Not checked</x:v>
      </x:c>
      <x:c r="R583" s="15" t="str"/>
      <x:c r="S583" s="15" t="str"/>
      <x:c r="T583" s="15" t="str">
        <x:v>Log first source path or blocker</x:v>
      </x:c>
      <x:c r="U583" s="12" t="str">
        <x:f>IF(OR(P583="Unverified",Q583="Not checked"),"BLOCKED_PENDING_RECEIPT","READY_FOR_REVIEW")</x:f>
        <x:v>BLOCKED_PENDING_RECEIPT</x:v>
      </x:c>
      <x:c r="V583" s="12" t="str">
        <x:f>IF(J583="DONE","RETURNED",IF(U583="BLOCKED_PENDING_RECEIPT","SOURCE_TOUCH_REQUIRED","IN_PROGRESS"))</x:f>
        <x:v>SOURCE_TOUCH_REQUIRED</x:v>
      </x:c>
      <x:c r="W583" s="12" t="str">
        <x:f>IF(P583="Unverified","missing_receipt","receipt_logged")</x:f>
        <x:v>missing_receipt</x:v>
      </x:c>
      <x:c r="X583" s="12" t="str">
        <x:f>IF(Q583="Not checked","raw_status_missing","raw_status_logged")</x:f>
        <x:v>raw_status_missing</x:v>
      </x:c>
      <x:c r="Y583" s="12" t="str">
        <x:f>IF(U583="BLOCKED_PENDING_RECEIPT","Log source path or blocker; do not promote","Route to review lane")</x:f>
        <x:v>Log source path or blocker; do not promote</x:v>
      </x:c>
      <x:c r="Z583" s="12" t="str">
        <x:f>IF(K583="P0","Primary seat + Hashlight/Lucerna","Seat lane")</x:f>
        <x:v>Seat lane</x:v>
      </x:c>
      <x:c r="AA583" s="12" t="str">
        <x:f>IF(R583="","no_claim_delta","claim_delta_present")</x:f>
        <x:v>no_claim_delta</x:v>
      </x:c>
      <x:c r="AB583" s="12" t="str">
        <x:f>IF(S583="","no_contradiction_delta","contradiction_delta_present")</x:f>
        <x:v>no_contradiction_delta</x:v>
      </x:c>
      <x:c r="AC583" s="12" t="str">
        <x:f>IF(OR(ISNUMBER(SEARCH("hacker",LOWER(F583&amp;" "&amp;H583&amp;" "&amp;I583&amp;" "&amp;M583&amp;" "&amp;N583&amp;" "&amp;T583))),ISNUMBER(SEARCH("hacking",LOWER(F583&amp;" "&amp;H583&amp;" "&amp;I583&amp;" "&amp;M583&amp;" "&amp;N583&amp;" "&amp;T583))),ISNUMBER(SEARCH("bank",LOWER(F583&amp;" "&amp;H583&amp;" "&amp;I583&amp;" "&amp;M583&amp;" "&amp;N583&amp;" "&amp;T583))),ISNUMBER(SEARCH("banking",LOWER(F583&amp;" "&amp;H583&amp;" "&amp;I583&amp;" "&amp;M583&amp;" "&amp;N583&amp;" "&amp;T583)))),"PRIVATE_QUARANTINE",IF(OR(ISNUMBER(SEARCH("treasury",LOWER(F583&amp;" "&amp;H583&amp;" "&amp;I583&amp;" "&amp;M583&amp;" "&amp;N583&amp;" "&amp;T583))),ISNUMBER(SEARCH("debt",LOWER(F583&amp;" "&amp;H583&amp;" "&amp;I583&amp;" "&amp;M583&amp;" "&amp;N583&amp;" "&amp;T583))),ISNUMBER(SEARCH("bond",LOWER(F583&amp;" "&amp;H583&amp;" "&amp;I583&amp;" "&amp;M583&amp;" "&amp;N583&amp;" "&amp;T583))),ISNUMBER(SEARCH("transaction",LOWER(F583&amp;" "&amp;H583&amp;" "&amp;I583&amp;" "&amp;M583&amp;" "&amp;N583&amp;" "&amp;T583)))),"PRIVATE_REVIEW","PUBLIC_CANDIDATE"))</x:f>
        <x:v>PUBLIC_CANDIDATE</x:v>
      </x:c>
      <x:c r="AD583" s="12" t="str">
        <x:f>IF(AC583="PRIVATE_QUARANTINE","hacker_or_bank_trigger",IF(AC583="PRIVATE_REVIEW","finance_risk_trigger","none"))</x:f>
        <x:v>none</x:v>
      </x:c>
      <x:c r="AE583" s="12" t="str">
        <x:f>IF(AC583="PUBLIC_CANDIDATE","prepare_public_github_candidate",IF(AC583="PRIVATE_REVIEW","hold_for_private_review","quarantine_private_do_not_publish"))</x:f>
        <x:v>prepare_public_github_candidate</x:v>
      </x:c>
      <x:c r="AF583" s="12" t="str">
        <x:f>IF(AC583="PUBLIC_CANDIDATE","TIDELOCK + Lucerna",IF(AC583="PRIVATE_REVIEW","AtlasBrain + Lucerna","TIDELOCK + Lucerna + Human-root"))</x:f>
        <x:v>TIDELOCK + Lucerna</x:v>
      </x:c>
      <x:c r="AG583" s="12" t="str">
        <x:f>IF(AND(AC583="PUBLIC_CANDIDATE",U583&lt;&gt;"BLOCKED_PENDING_RECEIPT"),"READY_AFTER_RECEIPT","NOT_READY")</x:f>
        <x:v>NOT_READY</x:v>
      </x:c>
      <x:c r="AH583" s="12" t="str">
        <x:f>IF(AC583="PUBLIC_CANDIDATE","none",AD583)</x:f>
        <x:v>none</x:v>
      </x:c>
      <x:c r="AI583" s="12" t="str">
        <x:f>IF(AC583="PUBLIC_CANDIDATE","archive/public_candidates/"&amp;A583,"private_quarantine/"&amp;A583)</x:f>
        <x:v>archive/public_candidates/SWARM-05-H01-S06</x:v>
      </x:c>
      <x:c r="AJ583" s="12" t="str">
        <x:f>IF(AC583="PUBLIC_CANDIDATE","public by default; still not canon","private/hold; do not publish")</x:f>
        <x:v>public by default; still not canon</x:v>
      </x:c>
      <x:c r="AK583" s="12" t="str">
        <x:f>IF(AE583="prepare_public_github_candidate","add receipt/status then mirror","resolve blocker before any public GitHub action")</x:f>
        <x:v>add receipt/status then mirror</x:v>
      </x:c>
    </x:row>
    <x:row r="584">
      <x:c r="A584" s="15" t="str">
        <x:v>SWARM-05-H01-S07</x:v>
      </x:c>
      <x:c r="B584" s="15" t="str">
        <x:v>Rootglass</x:v>
      </x:c>
      <x:c r="C584" s="15" t="str">
        <x:v>Canon gate mirror</x:v>
      </x:c>
      <x:c r="D584" s="15" t="str">
        <x:v>Source Inventory</x:v>
      </x:c>
      <x:c r="E584" s="15" t="str">
        <x:v>Planetarium</x:v>
      </x:c>
      <x:c r="F584" s="15" t="str">
        <x:v>Inventory Planetarium — Rootglass</x:v>
      </x:c>
      <x:c r="G584" s="15" t="str">
        <x:v>authority boundaries / ratification packets</x:v>
      </x:c>
      <x:c r="H584" s="15" t="str">
        <x:v>source path + receipt + raw/export status + claim/edge/risk delta</x:v>
      </x:c>
      <x:c r="I584" s="15" t="str">
        <x:v>packet/SWARM-05-H01-S07</x:v>
      </x:c>
      <x:c r="J584" s="15" t="str">
        <x:v>TODO</x:v>
      </x:c>
      <x:c r="K584" s="15" t="str">
        <x:v>P1</x:v>
      </x:c>
      <x:c r="L584" s="15" t="str">
        <x:v>Done only when evidence is logged, contradiction search is noted, and boundary stamp remains non-canon unless ratified</x:v>
      </x:c>
      <x:c r="M584" s="15" t="str">
        <x:v>candidate / staging-only / not canon / not deployed / authority none</x:v>
      </x:c>
      <x:c r="N584" s="15" t="str">
        <x:v>Dispatch to Rootglass: complete Source Inventory x Planetarium; return deltas only, receipts required.</x:v>
      </x:c>
      <x:c r="O584" s="15" t="str">
        <x:v>AF-KG-H01-S07</x:v>
      </x:c>
      <x:c r="P584" s="15" t="str">
        <x:v>Unverified</x:v>
      </x:c>
      <x:c r="Q584" s="15" t="str">
        <x:v>Not checked</x:v>
      </x:c>
      <x:c r="R584" s="15" t="str"/>
      <x:c r="S584" s="15" t="str"/>
      <x:c r="T584" s="15" t="str">
        <x:v>Log first source path or blocker</x:v>
      </x:c>
      <x:c r="U584" s="12" t="str">
        <x:f>IF(OR(P584="Unverified",Q584="Not checked"),"BLOCKED_PENDING_RECEIPT","READY_FOR_REVIEW")</x:f>
        <x:v>BLOCKED_PENDING_RECEIPT</x:v>
      </x:c>
      <x:c r="V584" s="12" t="str">
        <x:f>IF(J584="DONE","RETURNED",IF(U584="BLOCKED_PENDING_RECEIPT","SOURCE_TOUCH_REQUIRED","IN_PROGRESS"))</x:f>
        <x:v>SOURCE_TOUCH_REQUIRED</x:v>
      </x:c>
      <x:c r="W584" s="12" t="str">
        <x:f>IF(P584="Unverified","missing_receipt","receipt_logged")</x:f>
        <x:v>missing_receipt</x:v>
      </x:c>
      <x:c r="X584" s="12" t="str">
        <x:f>IF(Q584="Not checked","raw_status_missing","raw_status_logged")</x:f>
        <x:v>raw_status_missing</x:v>
      </x:c>
      <x:c r="Y584" s="12" t="str">
        <x:f>IF(U584="BLOCKED_PENDING_RECEIPT","Log source path or blocker; do not promote","Route to review lane")</x:f>
        <x:v>Log source path or blocker; do not promote</x:v>
      </x:c>
      <x:c r="Z584" s="12" t="str">
        <x:f>IF(K584="P0","Primary seat + Hashlight/Lucerna","Seat lane")</x:f>
        <x:v>Seat lane</x:v>
      </x:c>
      <x:c r="AA584" s="12" t="str">
        <x:f>IF(R584="","no_claim_delta","claim_delta_present")</x:f>
        <x:v>no_claim_delta</x:v>
      </x:c>
      <x:c r="AB584" s="12" t="str">
        <x:f>IF(S584="","no_contradiction_delta","contradiction_delta_present")</x:f>
        <x:v>no_contradiction_delta</x:v>
      </x:c>
      <x:c r="AC584" s="12" t="str">
        <x:f>IF(OR(ISNUMBER(SEARCH("hacker",LOWER(F584&amp;" "&amp;H584&amp;" "&amp;I584&amp;" "&amp;M584&amp;" "&amp;N584&amp;" "&amp;T584))),ISNUMBER(SEARCH("hacking",LOWER(F584&amp;" "&amp;H584&amp;" "&amp;I584&amp;" "&amp;M584&amp;" "&amp;N584&amp;" "&amp;T584))),ISNUMBER(SEARCH("bank",LOWER(F584&amp;" "&amp;H584&amp;" "&amp;I584&amp;" "&amp;M584&amp;" "&amp;N584&amp;" "&amp;T584))),ISNUMBER(SEARCH("banking",LOWER(F584&amp;" "&amp;H584&amp;" "&amp;I584&amp;" "&amp;M584&amp;" "&amp;N584&amp;" "&amp;T584)))),"PRIVATE_QUARANTINE",IF(OR(ISNUMBER(SEARCH("treasury",LOWER(F584&amp;" "&amp;H584&amp;" "&amp;I584&amp;" "&amp;M584&amp;" "&amp;N584&amp;" "&amp;T584))),ISNUMBER(SEARCH("debt",LOWER(F584&amp;" "&amp;H584&amp;" "&amp;I584&amp;" "&amp;M584&amp;" "&amp;N584&amp;" "&amp;T584))),ISNUMBER(SEARCH("bond",LOWER(F584&amp;" "&amp;H584&amp;" "&amp;I584&amp;" "&amp;M584&amp;" "&amp;N584&amp;" "&amp;T584))),ISNUMBER(SEARCH("transaction",LOWER(F584&amp;" "&amp;H584&amp;" "&amp;I584&amp;" "&amp;M584&amp;" "&amp;N584&amp;" "&amp;T584)))),"PRIVATE_REVIEW","PUBLIC_CANDIDATE"))</x:f>
        <x:v>PUBLIC_CANDIDATE</x:v>
      </x:c>
      <x:c r="AD584" s="12" t="str">
        <x:f>IF(AC584="PRIVATE_QUARANTINE","hacker_or_bank_trigger",IF(AC584="PRIVATE_REVIEW","finance_risk_trigger","none"))</x:f>
        <x:v>none</x:v>
      </x:c>
      <x:c r="AE584" s="12" t="str">
        <x:f>IF(AC584="PUBLIC_CANDIDATE","prepare_public_github_candidate",IF(AC584="PRIVATE_REVIEW","hold_for_private_review","quarantine_private_do_not_publish"))</x:f>
        <x:v>prepare_public_github_candidate</x:v>
      </x:c>
      <x:c r="AF584" s="12" t="str">
        <x:f>IF(AC584="PUBLIC_CANDIDATE","TIDELOCK + Lucerna",IF(AC584="PRIVATE_REVIEW","AtlasBrain + Lucerna","TIDELOCK + Lucerna + Human-root"))</x:f>
        <x:v>TIDELOCK + Lucerna</x:v>
      </x:c>
      <x:c r="AG584" s="12" t="str">
        <x:f>IF(AND(AC584="PUBLIC_CANDIDATE",U584&lt;&gt;"BLOCKED_PENDING_RECEIPT"),"READY_AFTER_RECEIPT","NOT_READY")</x:f>
        <x:v>NOT_READY</x:v>
      </x:c>
      <x:c r="AH584" s="12" t="str">
        <x:f>IF(AC584="PUBLIC_CANDIDATE","none",AD584)</x:f>
        <x:v>none</x:v>
      </x:c>
      <x:c r="AI584" s="12" t="str">
        <x:f>IF(AC584="PUBLIC_CANDIDATE","archive/public_candidates/"&amp;A584,"private_quarantine/"&amp;A584)</x:f>
        <x:v>archive/public_candidates/SWARM-05-H01-S07</x:v>
      </x:c>
      <x:c r="AJ584" s="12" t="str">
        <x:f>IF(AC584="PUBLIC_CANDIDATE","public by default; still not canon","private/hold; do not publish")</x:f>
        <x:v>public by default; still not canon</x:v>
      </x:c>
      <x:c r="AK584" s="12" t="str">
        <x:f>IF(AE584="prepare_public_github_candidate","add receipt/status then mirror","resolve blocker before any public GitHub action")</x:f>
        <x:v>add receipt/status then mirror</x:v>
      </x:c>
    </x:row>
    <x:row r="585">
      <x:c r="A585" s="15" t="str">
        <x:v>SWARM-05-H01-S08</x:v>
      </x:c>
      <x:c r="B585" s="15" t="str">
        <x:v>Rootglass</x:v>
      </x:c>
      <x:c r="C585" s="15" t="str">
        <x:v>Canon gate mirror</x:v>
      </x:c>
      <x:c r="D585" s="15" t="str">
        <x:v>Source Inventory</x:v>
      </x:c>
      <x:c r="E585" s="15" t="str">
        <x:v>Sheldonbrain</x:v>
      </x:c>
      <x:c r="F585" s="15" t="str">
        <x:v>Inventory Sheldonbrain — Rootglass</x:v>
      </x:c>
      <x:c r="G585" s="15" t="str">
        <x:v>authority boundaries / ratification packets</x:v>
      </x:c>
      <x:c r="H585" s="15" t="str">
        <x:v>source path + receipt + raw/export status + claim/edge/risk delta</x:v>
      </x:c>
      <x:c r="I585" s="15" t="str">
        <x:v>packet/SWARM-05-H01-S08</x:v>
      </x:c>
      <x:c r="J585" s="15" t="str">
        <x:v>TODO</x:v>
      </x:c>
      <x:c r="K585" s="15" t="str">
        <x:v>P1</x:v>
      </x:c>
      <x:c r="L585" s="15" t="str">
        <x:v>Done only when evidence is logged, contradiction search is noted, and boundary stamp remains non-canon unless ratified</x:v>
      </x:c>
      <x:c r="M585" s="15" t="str">
        <x:v>candidate / staging-only / not canon / not deployed / authority none</x:v>
      </x:c>
      <x:c r="N585" s="15" t="str">
        <x:v>Dispatch to Rootglass: complete Source Inventory x Sheldonbrain; return deltas only, receipts required.</x:v>
      </x:c>
      <x:c r="O585" s="15" t="str">
        <x:v>AF-KG-H01-S08</x:v>
      </x:c>
      <x:c r="P585" s="15" t="str">
        <x:v>Unverified</x:v>
      </x:c>
      <x:c r="Q585" s="15" t="str">
        <x:v>Not checked</x:v>
      </x:c>
      <x:c r="R585" s="15" t="str"/>
      <x:c r="S585" s="15" t="str"/>
      <x:c r="T585" s="15" t="str">
        <x:v>Log first source path or blocker</x:v>
      </x:c>
      <x:c r="U585" s="12" t="str">
        <x:f>IF(OR(P585="Unverified",Q585="Not checked"),"BLOCKED_PENDING_RECEIPT","READY_FOR_REVIEW")</x:f>
        <x:v>BLOCKED_PENDING_RECEIPT</x:v>
      </x:c>
      <x:c r="V585" s="12" t="str">
        <x:f>IF(J585="DONE","RETURNED",IF(U585="BLOCKED_PENDING_RECEIPT","SOURCE_TOUCH_REQUIRED","IN_PROGRESS"))</x:f>
        <x:v>SOURCE_TOUCH_REQUIRED</x:v>
      </x:c>
      <x:c r="W585" s="12" t="str">
        <x:f>IF(P585="Unverified","missing_receipt","receipt_logged")</x:f>
        <x:v>missing_receipt</x:v>
      </x:c>
      <x:c r="X585" s="12" t="str">
        <x:f>IF(Q585="Not checked","raw_status_missing","raw_status_logged")</x:f>
        <x:v>raw_status_missing</x:v>
      </x:c>
      <x:c r="Y585" s="12" t="str">
        <x:f>IF(U585="BLOCKED_PENDING_RECEIPT","Log source path or blocker; do not promote","Route to review lane")</x:f>
        <x:v>Log source path or blocker; do not promote</x:v>
      </x:c>
      <x:c r="Z585" s="12" t="str">
        <x:f>IF(K585="P0","Primary seat + Hashlight/Lucerna","Seat lane")</x:f>
        <x:v>Seat lane</x:v>
      </x:c>
      <x:c r="AA585" s="12" t="str">
        <x:f>IF(R585="","no_claim_delta","claim_delta_present")</x:f>
        <x:v>no_claim_delta</x:v>
      </x:c>
      <x:c r="AB585" s="12" t="str">
        <x:f>IF(S585="","no_contradiction_delta","contradiction_delta_present")</x:f>
        <x:v>no_contradiction_delta</x:v>
      </x:c>
      <x:c r="AC585" s="12" t="str">
        <x:f>IF(OR(ISNUMBER(SEARCH("hacker",LOWER(F585&amp;" "&amp;H585&amp;" "&amp;I585&amp;" "&amp;M585&amp;" "&amp;N585&amp;" "&amp;T585))),ISNUMBER(SEARCH("hacking",LOWER(F585&amp;" "&amp;H585&amp;" "&amp;I585&amp;" "&amp;M585&amp;" "&amp;N585&amp;" "&amp;T585))),ISNUMBER(SEARCH("bank",LOWER(F585&amp;" "&amp;H585&amp;" "&amp;I585&amp;" "&amp;M585&amp;" "&amp;N585&amp;" "&amp;T585))),ISNUMBER(SEARCH("banking",LOWER(F585&amp;" "&amp;H585&amp;" "&amp;I585&amp;" "&amp;M585&amp;" "&amp;N585&amp;" "&amp;T585)))),"PRIVATE_QUARANTINE",IF(OR(ISNUMBER(SEARCH("treasury",LOWER(F585&amp;" "&amp;H585&amp;" "&amp;I585&amp;" "&amp;M585&amp;" "&amp;N585&amp;" "&amp;T585))),ISNUMBER(SEARCH("debt",LOWER(F585&amp;" "&amp;H585&amp;" "&amp;I585&amp;" "&amp;M585&amp;" "&amp;N585&amp;" "&amp;T585))),ISNUMBER(SEARCH("bond",LOWER(F585&amp;" "&amp;H585&amp;" "&amp;I585&amp;" "&amp;M585&amp;" "&amp;N585&amp;" "&amp;T585))),ISNUMBER(SEARCH("transaction",LOWER(F585&amp;" "&amp;H585&amp;" "&amp;I585&amp;" "&amp;M585&amp;" "&amp;N585&amp;" "&amp;T585)))),"PRIVATE_REVIEW","PUBLIC_CANDIDATE"))</x:f>
        <x:v>PUBLIC_CANDIDATE</x:v>
      </x:c>
      <x:c r="AD585" s="12" t="str">
        <x:f>IF(AC585="PRIVATE_QUARANTINE","hacker_or_bank_trigger",IF(AC585="PRIVATE_REVIEW","finance_risk_trigger","none"))</x:f>
        <x:v>none</x:v>
      </x:c>
      <x:c r="AE585" s="12" t="str">
        <x:f>IF(AC585="PUBLIC_CANDIDATE","prepare_public_github_candidate",IF(AC585="PRIVATE_REVIEW","hold_for_private_review","quarantine_private_do_not_publish"))</x:f>
        <x:v>prepare_public_github_candidate</x:v>
      </x:c>
      <x:c r="AF585" s="12" t="str">
        <x:f>IF(AC585="PUBLIC_CANDIDATE","TIDELOCK + Lucerna",IF(AC585="PRIVATE_REVIEW","AtlasBrain + Lucerna","TIDELOCK + Lucerna + Human-root"))</x:f>
        <x:v>TIDELOCK + Lucerna</x:v>
      </x:c>
      <x:c r="AG585" s="12" t="str">
        <x:f>IF(AND(AC585="PUBLIC_CANDIDATE",U585&lt;&gt;"BLOCKED_PENDING_RECEIPT"),"READY_AFTER_RECEIPT","NOT_READY")</x:f>
        <x:v>NOT_READY</x:v>
      </x:c>
      <x:c r="AH585" s="12" t="str">
        <x:f>IF(AC585="PUBLIC_CANDIDATE","none",AD585)</x:f>
        <x:v>none</x:v>
      </x:c>
      <x:c r="AI585" s="12" t="str">
        <x:f>IF(AC585="PUBLIC_CANDIDATE","archive/public_candidates/"&amp;A585,"private_quarantine/"&amp;A585)</x:f>
        <x:v>archive/public_candidates/SWARM-05-H01-S08</x:v>
      </x:c>
      <x:c r="AJ585" s="12" t="str">
        <x:f>IF(AC585="PUBLIC_CANDIDATE","public by default; still not canon","private/hold; do not publish")</x:f>
        <x:v>public by default; still not canon</x:v>
      </x:c>
      <x:c r="AK585" s="12" t="str">
        <x:f>IF(AE585="prepare_public_github_candidate","add receipt/status then mirror","resolve blocker before any public GitHub action")</x:f>
        <x:v>add receipt/status then mirror</x:v>
      </x:c>
    </x:row>
    <x:row r="586">
      <x:c r="A586" s="15" t="str">
        <x:v>SWARM-05-H01-S09</x:v>
      </x:c>
      <x:c r="B586" s="15" t="str">
        <x:v>Rootglass</x:v>
      </x:c>
      <x:c r="C586" s="15" t="str">
        <x:v>Canon gate mirror</x:v>
      </x:c>
      <x:c r="D586" s="15" t="str">
        <x:v>Source Inventory</x:v>
      </x:c>
      <x:c r="E586" s="15" t="str">
        <x:v>Aetherforge</x:v>
      </x:c>
      <x:c r="F586" s="15" t="str">
        <x:v>Inventory Aetherforge — Rootglass</x:v>
      </x:c>
      <x:c r="G586" s="15" t="str">
        <x:v>authority boundaries / ratification packets</x:v>
      </x:c>
      <x:c r="H586" s="15" t="str">
        <x:v>source path + receipt + raw/export status + claim/edge/risk delta</x:v>
      </x:c>
      <x:c r="I586" s="15" t="str">
        <x:v>packet/SWARM-05-H01-S09</x:v>
      </x:c>
      <x:c r="J586" s="15" t="str">
        <x:v>TODO</x:v>
      </x:c>
      <x:c r="K586" s="15" t="str">
        <x:v>P2</x:v>
      </x:c>
      <x:c r="L586" s="15" t="str">
        <x:v>Done only when evidence is logged, contradiction search is noted, and boundary stamp remains non-canon unless ratified</x:v>
      </x:c>
      <x:c r="M586" s="15" t="str">
        <x:v>candidate / staging-only / not canon / not deployed / authority none</x:v>
      </x:c>
      <x:c r="N586" s="15" t="str">
        <x:v>Dispatch to Rootglass: complete Source Inventory x Aetherforge; return deltas only, receipts required.</x:v>
      </x:c>
      <x:c r="O586" s="15" t="str">
        <x:v>AF-KG-H01-S09</x:v>
      </x:c>
      <x:c r="P586" s="15" t="str">
        <x:v>Unverified</x:v>
      </x:c>
      <x:c r="Q586" s="15" t="str">
        <x:v>Not checked</x:v>
      </x:c>
      <x:c r="R586" s="15" t="str"/>
      <x:c r="S586" s="15" t="str"/>
      <x:c r="T586" s="15" t="str">
        <x:v>Log first source path or blocker</x:v>
      </x:c>
      <x:c r="U586" s="12" t="str">
        <x:f>IF(OR(P586="Unverified",Q586="Not checked"),"BLOCKED_PENDING_RECEIPT","READY_FOR_REVIEW")</x:f>
        <x:v>BLOCKED_PENDING_RECEIPT</x:v>
      </x:c>
      <x:c r="V586" s="12" t="str">
        <x:f>IF(J586="DONE","RETURNED",IF(U586="BLOCKED_PENDING_RECEIPT","SOURCE_TOUCH_REQUIRED","IN_PROGRESS"))</x:f>
        <x:v>SOURCE_TOUCH_REQUIRED</x:v>
      </x:c>
      <x:c r="W586" s="12" t="str">
        <x:f>IF(P586="Unverified","missing_receipt","receipt_logged")</x:f>
        <x:v>missing_receipt</x:v>
      </x:c>
      <x:c r="X586" s="12" t="str">
        <x:f>IF(Q586="Not checked","raw_status_missing","raw_status_logged")</x:f>
        <x:v>raw_status_missing</x:v>
      </x:c>
      <x:c r="Y586" s="12" t="str">
        <x:f>IF(U586="BLOCKED_PENDING_RECEIPT","Log source path or blocker; do not promote","Route to review lane")</x:f>
        <x:v>Log source path or blocker; do not promote</x:v>
      </x:c>
      <x:c r="Z586" s="12" t="str">
        <x:f>IF(K586="P0","Primary seat + Hashlight/Lucerna","Seat lane")</x:f>
        <x:v>Seat lane</x:v>
      </x:c>
      <x:c r="AA586" s="12" t="str">
        <x:f>IF(R586="","no_claim_delta","claim_delta_present")</x:f>
        <x:v>no_claim_delta</x:v>
      </x:c>
      <x:c r="AB586" s="12" t="str">
        <x:f>IF(S586="","no_contradiction_delta","contradiction_delta_present")</x:f>
        <x:v>no_contradiction_delta</x:v>
      </x:c>
      <x:c r="AC586" s="12" t="str">
        <x:f>IF(OR(ISNUMBER(SEARCH("hacker",LOWER(F586&amp;" "&amp;H586&amp;" "&amp;I586&amp;" "&amp;M586&amp;" "&amp;N586&amp;" "&amp;T586))),ISNUMBER(SEARCH("hacking",LOWER(F586&amp;" "&amp;H586&amp;" "&amp;I586&amp;" "&amp;M586&amp;" "&amp;N586&amp;" "&amp;T586))),ISNUMBER(SEARCH("bank",LOWER(F586&amp;" "&amp;H586&amp;" "&amp;I586&amp;" "&amp;M586&amp;" "&amp;N586&amp;" "&amp;T586))),ISNUMBER(SEARCH("banking",LOWER(F586&amp;" "&amp;H586&amp;" "&amp;I586&amp;" "&amp;M586&amp;" "&amp;N586&amp;" "&amp;T586)))),"PRIVATE_QUARANTINE",IF(OR(ISNUMBER(SEARCH("treasury",LOWER(F586&amp;" "&amp;H586&amp;" "&amp;I586&amp;" "&amp;M586&amp;" "&amp;N586&amp;" "&amp;T586))),ISNUMBER(SEARCH("debt",LOWER(F586&amp;" "&amp;H586&amp;" "&amp;I586&amp;" "&amp;M586&amp;" "&amp;N586&amp;" "&amp;T586))),ISNUMBER(SEARCH("bond",LOWER(F586&amp;" "&amp;H586&amp;" "&amp;I586&amp;" "&amp;M586&amp;" "&amp;N586&amp;" "&amp;T586))),ISNUMBER(SEARCH("transaction",LOWER(F586&amp;" "&amp;H586&amp;" "&amp;I586&amp;" "&amp;M586&amp;" "&amp;N586&amp;" "&amp;T586)))),"PRIVATE_REVIEW","PUBLIC_CANDIDATE"))</x:f>
        <x:v>PUBLIC_CANDIDATE</x:v>
      </x:c>
      <x:c r="AD586" s="12" t="str">
        <x:f>IF(AC586="PRIVATE_QUARANTINE","hacker_or_bank_trigger",IF(AC586="PRIVATE_REVIEW","finance_risk_trigger","none"))</x:f>
        <x:v>none</x:v>
      </x:c>
      <x:c r="AE586" s="12" t="str">
        <x:f>IF(AC586="PUBLIC_CANDIDATE","prepare_public_github_candidate",IF(AC586="PRIVATE_REVIEW","hold_for_private_review","quarantine_private_do_not_publish"))</x:f>
        <x:v>prepare_public_github_candidate</x:v>
      </x:c>
      <x:c r="AF586" s="12" t="str">
        <x:f>IF(AC586="PUBLIC_CANDIDATE","TIDELOCK + Lucerna",IF(AC586="PRIVATE_REVIEW","AtlasBrain + Lucerna","TIDELOCK + Lucerna + Human-root"))</x:f>
        <x:v>TIDELOCK + Lucerna</x:v>
      </x:c>
      <x:c r="AG586" s="12" t="str">
        <x:f>IF(AND(AC586="PUBLIC_CANDIDATE",U586&lt;&gt;"BLOCKED_PENDING_RECEIPT"),"READY_AFTER_RECEIPT","NOT_READY")</x:f>
        <x:v>NOT_READY</x:v>
      </x:c>
      <x:c r="AH586" s="12" t="str">
        <x:f>IF(AC586="PUBLIC_CANDIDATE","none",AD586)</x:f>
        <x:v>none</x:v>
      </x:c>
      <x:c r="AI586" s="12" t="str">
        <x:f>IF(AC586="PUBLIC_CANDIDATE","archive/public_candidates/"&amp;A586,"private_quarantine/"&amp;A586)</x:f>
        <x:v>archive/public_candidates/SWARM-05-H01-S09</x:v>
      </x:c>
      <x:c r="AJ586" s="12" t="str">
        <x:f>IF(AC586="PUBLIC_CANDIDATE","public by default; still not canon","private/hold; do not publish")</x:f>
        <x:v>public by default; still not canon</x:v>
      </x:c>
      <x:c r="AK586" s="12" t="str">
        <x:f>IF(AE586="prepare_public_github_candidate","add receipt/status then mirror","resolve blocker before any public GitHub action")</x:f>
        <x:v>add receipt/status then mirror</x:v>
      </x:c>
    </x:row>
    <x:row r="587">
      <x:c r="A587" s="15" t="str">
        <x:v>SWARM-05-H01-S10</x:v>
      </x:c>
      <x:c r="B587" s="15" t="str">
        <x:v>Rootglass</x:v>
      </x:c>
      <x:c r="C587" s="15" t="str">
        <x:v>Canon gate mirror</x:v>
      </x:c>
      <x:c r="D587" s="15" t="str">
        <x:v>Source Inventory</x:v>
      </x:c>
      <x:c r="E587" s="15" t="str">
        <x:v>Human-Root</x:v>
      </x:c>
      <x:c r="F587" s="15" t="str">
        <x:v>Inventory Human-Root — Rootglass</x:v>
      </x:c>
      <x:c r="G587" s="15" t="str">
        <x:v>authority boundaries / ratification packets</x:v>
      </x:c>
      <x:c r="H587" s="15" t="str">
        <x:v>source path + receipt + raw/export status + claim/edge/risk delta</x:v>
      </x:c>
      <x:c r="I587" s="15" t="str">
        <x:v>packet/SWARM-05-H01-S10</x:v>
      </x:c>
      <x:c r="J587" s="15" t="str">
        <x:v>TODO</x:v>
      </x:c>
      <x:c r="K587" s="15" t="str">
        <x:v>P2</x:v>
      </x:c>
      <x:c r="L587" s="15" t="str">
        <x:v>Done only when evidence is logged, contradiction search is noted, and boundary stamp remains non-canon unless ratified</x:v>
      </x:c>
      <x:c r="M587" s="15" t="str">
        <x:v>candidate / staging-only / not canon / not deployed / authority none</x:v>
      </x:c>
      <x:c r="N587" s="15" t="str">
        <x:v>Dispatch to Rootglass: complete Source Inventory x Human-Root; return deltas only, receipts required.</x:v>
      </x:c>
      <x:c r="O587" s="15" t="str">
        <x:v>AF-KG-H01-S10</x:v>
      </x:c>
      <x:c r="P587" s="15" t="str">
        <x:v>Unverified</x:v>
      </x:c>
      <x:c r="Q587" s="15" t="str">
        <x:v>Not checked</x:v>
      </x:c>
      <x:c r="R587" s="15" t="str"/>
      <x:c r="S587" s="15" t="str"/>
      <x:c r="T587" s="15" t="str">
        <x:v>Log first source path or blocker</x:v>
      </x:c>
      <x:c r="U587" s="12" t="str">
        <x:f>IF(OR(P587="Unverified",Q587="Not checked"),"BLOCKED_PENDING_RECEIPT","READY_FOR_REVIEW")</x:f>
        <x:v>BLOCKED_PENDING_RECEIPT</x:v>
      </x:c>
      <x:c r="V587" s="12" t="str">
        <x:f>IF(J587="DONE","RETURNED",IF(U587="BLOCKED_PENDING_RECEIPT","SOURCE_TOUCH_REQUIRED","IN_PROGRESS"))</x:f>
        <x:v>SOURCE_TOUCH_REQUIRED</x:v>
      </x:c>
      <x:c r="W587" s="12" t="str">
        <x:f>IF(P587="Unverified","missing_receipt","receipt_logged")</x:f>
        <x:v>missing_receipt</x:v>
      </x:c>
      <x:c r="X587" s="12" t="str">
        <x:f>IF(Q587="Not checked","raw_status_missing","raw_status_logged")</x:f>
        <x:v>raw_status_missing</x:v>
      </x:c>
      <x:c r="Y587" s="12" t="str">
        <x:f>IF(U587="BLOCKED_PENDING_RECEIPT","Log source path or blocker; do not promote","Route to review lane")</x:f>
        <x:v>Log source path or blocker; do not promote</x:v>
      </x:c>
      <x:c r="Z587" s="12" t="str">
        <x:f>IF(K587="P0","Primary seat + Hashlight/Lucerna","Seat lane")</x:f>
        <x:v>Seat lane</x:v>
      </x:c>
      <x:c r="AA587" s="12" t="str">
        <x:f>IF(R587="","no_claim_delta","claim_delta_present")</x:f>
        <x:v>no_claim_delta</x:v>
      </x:c>
      <x:c r="AB587" s="12" t="str">
        <x:f>IF(S587="","no_contradiction_delta","contradiction_delta_present")</x:f>
        <x:v>no_contradiction_delta</x:v>
      </x:c>
      <x:c r="AC587" s="12" t="str">
        <x:f>IF(OR(ISNUMBER(SEARCH("hacker",LOWER(F587&amp;" "&amp;H587&amp;" "&amp;I587&amp;" "&amp;M587&amp;" "&amp;N587&amp;" "&amp;T587))),ISNUMBER(SEARCH("hacking",LOWER(F587&amp;" "&amp;H587&amp;" "&amp;I587&amp;" "&amp;M587&amp;" "&amp;N587&amp;" "&amp;T587))),ISNUMBER(SEARCH("bank",LOWER(F587&amp;" "&amp;H587&amp;" "&amp;I587&amp;" "&amp;M587&amp;" "&amp;N587&amp;" "&amp;T587))),ISNUMBER(SEARCH("banking",LOWER(F587&amp;" "&amp;H587&amp;" "&amp;I587&amp;" "&amp;M587&amp;" "&amp;N587&amp;" "&amp;T587)))),"PRIVATE_QUARANTINE",IF(OR(ISNUMBER(SEARCH("treasury",LOWER(F587&amp;" "&amp;H587&amp;" "&amp;I587&amp;" "&amp;M587&amp;" "&amp;N587&amp;" "&amp;T587))),ISNUMBER(SEARCH("debt",LOWER(F587&amp;" "&amp;H587&amp;" "&amp;I587&amp;" "&amp;M587&amp;" "&amp;N587&amp;" "&amp;T587))),ISNUMBER(SEARCH("bond",LOWER(F587&amp;" "&amp;H587&amp;" "&amp;I587&amp;" "&amp;M587&amp;" "&amp;N587&amp;" "&amp;T587))),ISNUMBER(SEARCH("transaction",LOWER(F587&amp;" "&amp;H587&amp;" "&amp;I587&amp;" "&amp;M587&amp;" "&amp;N587&amp;" "&amp;T587)))),"PRIVATE_REVIEW","PUBLIC_CANDIDATE"))</x:f>
        <x:v>PUBLIC_CANDIDATE</x:v>
      </x:c>
      <x:c r="AD587" s="12" t="str">
        <x:f>IF(AC587="PRIVATE_QUARANTINE","hacker_or_bank_trigger",IF(AC587="PRIVATE_REVIEW","finance_risk_trigger","none"))</x:f>
        <x:v>none</x:v>
      </x:c>
      <x:c r="AE587" s="12" t="str">
        <x:f>IF(AC587="PUBLIC_CANDIDATE","prepare_public_github_candidate",IF(AC587="PRIVATE_REVIEW","hold_for_private_review","quarantine_private_do_not_publish"))</x:f>
        <x:v>prepare_public_github_candidate</x:v>
      </x:c>
      <x:c r="AF587" s="12" t="str">
        <x:f>IF(AC587="PUBLIC_CANDIDATE","TIDELOCK + Lucerna",IF(AC587="PRIVATE_REVIEW","AtlasBrain + Lucerna","TIDELOCK + Lucerna + Human-root"))</x:f>
        <x:v>TIDELOCK + Lucerna</x:v>
      </x:c>
      <x:c r="AG587" s="12" t="str">
        <x:f>IF(AND(AC587="PUBLIC_CANDIDATE",U587&lt;&gt;"BLOCKED_PENDING_RECEIPT"),"READY_AFTER_RECEIPT","NOT_READY")</x:f>
        <x:v>NOT_READY</x:v>
      </x:c>
      <x:c r="AH587" s="12" t="str">
        <x:f>IF(AC587="PUBLIC_CANDIDATE","none",AD587)</x:f>
        <x:v>none</x:v>
      </x:c>
      <x:c r="AI587" s="12" t="str">
        <x:f>IF(AC587="PUBLIC_CANDIDATE","archive/public_candidates/"&amp;A587,"private_quarantine/"&amp;A587)</x:f>
        <x:v>archive/public_candidates/SWARM-05-H01-S10</x:v>
      </x:c>
      <x:c r="AJ587" s="12" t="str">
        <x:f>IF(AC587="PUBLIC_CANDIDATE","public by default; still not canon","private/hold; do not publish")</x:f>
        <x:v>public by default; still not canon</x:v>
      </x:c>
      <x:c r="AK587" s="12" t="str">
        <x:f>IF(AE587="prepare_public_github_candidate","add receipt/status then mirror","resolve blocker before any public GitHub action")</x:f>
        <x:v>add receipt/status then mirror</x:v>
      </x:c>
    </x:row>
    <x:row r="588">
      <x:c r="A588" s="15" t="str">
        <x:v>SWARM-05-H01-S11</x:v>
      </x:c>
      <x:c r="B588" s="15" t="str">
        <x:v>Rootglass</x:v>
      </x:c>
      <x:c r="C588" s="15" t="str">
        <x:v>Canon gate mirror</x:v>
      </x:c>
      <x:c r="D588" s="15" t="str">
        <x:v>Source Inventory</x:v>
      </x:c>
      <x:c r="E588" s="15" t="str">
        <x:v>Automation</x:v>
      </x:c>
      <x:c r="F588" s="15" t="str">
        <x:v>Inventory Automation — Rootglass</x:v>
      </x:c>
      <x:c r="G588" s="15" t="str">
        <x:v>authority boundaries / ratification packets</x:v>
      </x:c>
      <x:c r="H588" s="15" t="str">
        <x:v>source path + receipt + raw/export status + claim/edge/risk delta</x:v>
      </x:c>
      <x:c r="I588" s="15" t="str">
        <x:v>packet/SWARM-05-H01-S11</x:v>
      </x:c>
      <x:c r="J588" s="15" t="str">
        <x:v>TODO</x:v>
      </x:c>
      <x:c r="K588" s="15" t="str">
        <x:v>P2</x:v>
      </x:c>
      <x:c r="L588" s="15" t="str">
        <x:v>Done only when evidence is logged, contradiction search is noted, and boundary stamp remains non-canon unless ratified</x:v>
      </x:c>
      <x:c r="M588" s="15" t="str">
        <x:v>candidate / staging-only / not canon / not deployed / authority none</x:v>
      </x:c>
      <x:c r="N588" s="15" t="str">
        <x:v>Dispatch to Rootglass: complete Source Inventory x Automation; return deltas only, receipts required.</x:v>
      </x:c>
      <x:c r="O588" s="15" t="str">
        <x:v>AF-KG-H01-S11</x:v>
      </x:c>
      <x:c r="P588" s="15" t="str">
        <x:v>Unverified</x:v>
      </x:c>
      <x:c r="Q588" s="15" t="str">
        <x:v>Not checked</x:v>
      </x:c>
      <x:c r="R588" s="15" t="str"/>
      <x:c r="S588" s="15" t="str"/>
      <x:c r="T588" s="15" t="str">
        <x:v>Log first source path or blocker</x:v>
      </x:c>
      <x:c r="U588" s="12" t="str">
        <x:f>IF(OR(P588="Unverified",Q588="Not checked"),"BLOCKED_PENDING_RECEIPT","READY_FOR_REVIEW")</x:f>
        <x:v>BLOCKED_PENDING_RECEIPT</x:v>
      </x:c>
      <x:c r="V588" s="12" t="str">
        <x:f>IF(J588="DONE","RETURNED",IF(U588="BLOCKED_PENDING_RECEIPT","SOURCE_TOUCH_REQUIRED","IN_PROGRESS"))</x:f>
        <x:v>SOURCE_TOUCH_REQUIRED</x:v>
      </x:c>
      <x:c r="W588" s="12" t="str">
        <x:f>IF(P588="Unverified","missing_receipt","receipt_logged")</x:f>
        <x:v>missing_receipt</x:v>
      </x:c>
      <x:c r="X588" s="12" t="str">
        <x:f>IF(Q588="Not checked","raw_status_missing","raw_status_logged")</x:f>
        <x:v>raw_status_missing</x:v>
      </x:c>
      <x:c r="Y588" s="12" t="str">
        <x:f>IF(U588="BLOCKED_PENDING_RECEIPT","Log source path or blocker; do not promote","Route to review lane")</x:f>
        <x:v>Log source path or blocker; do not promote</x:v>
      </x:c>
      <x:c r="Z588" s="12" t="str">
        <x:f>IF(K588="P0","Primary seat + Hashlight/Lucerna","Seat lane")</x:f>
        <x:v>Seat lane</x:v>
      </x:c>
      <x:c r="AA588" s="12" t="str">
        <x:f>IF(R588="","no_claim_delta","claim_delta_present")</x:f>
        <x:v>no_claim_delta</x:v>
      </x:c>
      <x:c r="AB588" s="12" t="str">
        <x:f>IF(S588="","no_contradiction_delta","contradiction_delta_present")</x:f>
        <x:v>no_contradiction_delta</x:v>
      </x:c>
      <x:c r="AC588" s="12" t="str">
        <x:f>IF(OR(ISNUMBER(SEARCH("hacker",LOWER(F588&amp;" "&amp;H588&amp;" "&amp;I588&amp;" "&amp;M588&amp;" "&amp;N588&amp;" "&amp;T588))),ISNUMBER(SEARCH("hacking",LOWER(F588&amp;" "&amp;H588&amp;" "&amp;I588&amp;" "&amp;M588&amp;" "&amp;N588&amp;" "&amp;T588))),ISNUMBER(SEARCH("bank",LOWER(F588&amp;" "&amp;H588&amp;" "&amp;I588&amp;" "&amp;M588&amp;" "&amp;N588&amp;" "&amp;T588))),ISNUMBER(SEARCH("banking",LOWER(F588&amp;" "&amp;H588&amp;" "&amp;I588&amp;" "&amp;M588&amp;" "&amp;N588&amp;" "&amp;T588)))),"PRIVATE_QUARANTINE",IF(OR(ISNUMBER(SEARCH("treasury",LOWER(F588&amp;" "&amp;H588&amp;" "&amp;I588&amp;" "&amp;M588&amp;" "&amp;N588&amp;" "&amp;T588))),ISNUMBER(SEARCH("debt",LOWER(F588&amp;" "&amp;H588&amp;" "&amp;I588&amp;" "&amp;M588&amp;" "&amp;N588&amp;" "&amp;T588))),ISNUMBER(SEARCH("bond",LOWER(F588&amp;" "&amp;H588&amp;" "&amp;I588&amp;" "&amp;M588&amp;" "&amp;N588&amp;" "&amp;T588))),ISNUMBER(SEARCH("transaction",LOWER(F588&amp;" "&amp;H588&amp;" "&amp;I588&amp;" "&amp;M588&amp;" "&amp;N588&amp;" "&amp;T588)))),"PRIVATE_REVIEW","PUBLIC_CANDIDATE"))</x:f>
        <x:v>PUBLIC_CANDIDATE</x:v>
      </x:c>
      <x:c r="AD588" s="12" t="str">
        <x:f>IF(AC588="PRIVATE_QUARANTINE","hacker_or_bank_trigger",IF(AC588="PRIVATE_REVIEW","finance_risk_trigger","none"))</x:f>
        <x:v>none</x:v>
      </x:c>
      <x:c r="AE588" s="12" t="str">
        <x:f>IF(AC588="PUBLIC_CANDIDATE","prepare_public_github_candidate",IF(AC588="PRIVATE_REVIEW","hold_for_private_review","quarantine_private_do_not_publish"))</x:f>
        <x:v>prepare_public_github_candidate</x:v>
      </x:c>
      <x:c r="AF588" s="12" t="str">
        <x:f>IF(AC588="PUBLIC_CANDIDATE","TIDELOCK + Lucerna",IF(AC588="PRIVATE_REVIEW","AtlasBrain + Lucerna","TIDELOCK + Lucerna + Human-root"))</x:f>
        <x:v>TIDELOCK + Lucerna</x:v>
      </x:c>
      <x:c r="AG588" s="12" t="str">
        <x:f>IF(AND(AC588="PUBLIC_CANDIDATE",U588&lt;&gt;"BLOCKED_PENDING_RECEIPT"),"READY_AFTER_RECEIPT","NOT_READY")</x:f>
        <x:v>NOT_READY</x:v>
      </x:c>
      <x:c r="AH588" s="12" t="str">
        <x:f>IF(AC588="PUBLIC_CANDIDATE","none",AD588)</x:f>
        <x:v>none</x:v>
      </x:c>
      <x:c r="AI588" s="12" t="str">
        <x:f>IF(AC588="PUBLIC_CANDIDATE","archive/public_candidates/"&amp;A588,"private_quarantine/"&amp;A588)</x:f>
        <x:v>archive/public_candidates/SWARM-05-H01-S11</x:v>
      </x:c>
      <x:c r="AJ588" s="12" t="str">
        <x:f>IF(AC588="PUBLIC_CANDIDATE","public by default; still not canon","private/hold; do not publish")</x:f>
        <x:v>public by default; still not canon</x:v>
      </x:c>
      <x:c r="AK588" s="12" t="str">
        <x:f>IF(AE588="prepare_public_github_candidate","add receipt/status then mirror","resolve blocker before any public GitHub action")</x:f>
        <x:v>add receipt/status then mirror</x:v>
      </x:c>
    </x:row>
    <x:row r="589">
      <x:c r="A589" s="15" t="str">
        <x:v>SWARM-05-H01-S12</x:v>
      </x:c>
      <x:c r="B589" s="15" t="str">
        <x:v>Rootglass</x:v>
      </x:c>
      <x:c r="C589" s="15" t="str">
        <x:v>Canon gate mirror</x:v>
      </x:c>
      <x:c r="D589" s="15" t="str">
        <x:v>Source Inventory</x:v>
      </x:c>
      <x:c r="E589" s="15" t="str">
        <x:v>Risk / Safety</x:v>
      </x:c>
      <x:c r="F589" s="15" t="str">
        <x:v>Inventory Risk / Safety — Rootglass</x:v>
      </x:c>
      <x:c r="G589" s="15" t="str">
        <x:v>authority boundaries / ratification packets</x:v>
      </x:c>
      <x:c r="H589" s="15" t="str">
        <x:v>source path + receipt + raw/export status + claim/edge/risk delta</x:v>
      </x:c>
      <x:c r="I589" s="15" t="str">
        <x:v>packet/SWARM-05-H01-S12</x:v>
      </x:c>
      <x:c r="J589" s="15" t="str">
        <x:v>TODO</x:v>
      </x:c>
      <x:c r="K589" s="15" t="str">
        <x:v>P2</x:v>
      </x:c>
      <x:c r="L589" s="15" t="str">
        <x:v>Done only when evidence is logged, contradiction search is noted, and boundary stamp remains non-canon unless ratified</x:v>
      </x:c>
      <x:c r="M589" s="15" t="str">
        <x:v>candidate / staging-only / not canon / not deployed / authority none</x:v>
      </x:c>
      <x:c r="N589" s="15" t="str">
        <x:v>Dispatch to Rootglass: complete Source Inventory x Risk / Safety; return deltas only, receipts required.</x:v>
      </x:c>
      <x:c r="O589" s="15" t="str">
        <x:v>AF-KG-H01-S12</x:v>
      </x:c>
      <x:c r="P589" s="15" t="str">
        <x:v>Unverified</x:v>
      </x:c>
      <x:c r="Q589" s="15" t="str">
        <x:v>Not checked</x:v>
      </x:c>
      <x:c r="R589" s="15" t="str"/>
      <x:c r="S589" s="15" t="str"/>
      <x:c r="T589" s="15" t="str">
        <x:v>Log first source path or blocker</x:v>
      </x:c>
      <x:c r="U589" s="12" t="str">
        <x:f>IF(OR(P589="Unverified",Q589="Not checked"),"BLOCKED_PENDING_RECEIPT","READY_FOR_REVIEW")</x:f>
        <x:v>BLOCKED_PENDING_RECEIPT</x:v>
      </x:c>
      <x:c r="V589" s="12" t="str">
        <x:f>IF(J589="DONE","RETURNED",IF(U589="BLOCKED_PENDING_RECEIPT","SOURCE_TOUCH_REQUIRED","IN_PROGRESS"))</x:f>
        <x:v>SOURCE_TOUCH_REQUIRED</x:v>
      </x:c>
      <x:c r="W589" s="12" t="str">
        <x:f>IF(P589="Unverified","missing_receipt","receipt_logged")</x:f>
        <x:v>missing_receipt</x:v>
      </x:c>
      <x:c r="X589" s="12" t="str">
        <x:f>IF(Q589="Not checked","raw_status_missing","raw_status_logged")</x:f>
        <x:v>raw_status_missing</x:v>
      </x:c>
      <x:c r="Y589" s="12" t="str">
        <x:f>IF(U589="BLOCKED_PENDING_RECEIPT","Log source path or blocker; do not promote","Route to review lane")</x:f>
        <x:v>Log source path or blocker; do not promote</x:v>
      </x:c>
      <x:c r="Z589" s="12" t="str">
        <x:f>IF(K589="P0","Primary seat + Hashlight/Lucerna","Seat lane")</x:f>
        <x:v>Seat lane</x:v>
      </x:c>
      <x:c r="AA589" s="12" t="str">
        <x:f>IF(R589="","no_claim_delta","claim_delta_present")</x:f>
        <x:v>no_claim_delta</x:v>
      </x:c>
      <x:c r="AB589" s="12" t="str">
        <x:f>IF(S589="","no_contradiction_delta","contradiction_delta_present")</x:f>
        <x:v>no_contradiction_delta</x:v>
      </x:c>
      <x:c r="AC589" s="12" t="str">
        <x:f>IF(OR(ISNUMBER(SEARCH("hacker",LOWER(F589&amp;" "&amp;H589&amp;" "&amp;I589&amp;" "&amp;M589&amp;" "&amp;N589&amp;" "&amp;T589))),ISNUMBER(SEARCH("hacking",LOWER(F589&amp;" "&amp;H589&amp;" "&amp;I589&amp;" "&amp;M589&amp;" "&amp;N589&amp;" "&amp;T589))),ISNUMBER(SEARCH("bank",LOWER(F589&amp;" "&amp;H589&amp;" "&amp;I589&amp;" "&amp;M589&amp;" "&amp;N589&amp;" "&amp;T589))),ISNUMBER(SEARCH("banking",LOWER(F589&amp;" "&amp;H589&amp;" "&amp;I589&amp;" "&amp;M589&amp;" "&amp;N589&amp;" "&amp;T589)))),"PRIVATE_QUARANTINE",IF(OR(ISNUMBER(SEARCH("treasury",LOWER(F589&amp;" "&amp;H589&amp;" "&amp;I589&amp;" "&amp;M589&amp;" "&amp;N589&amp;" "&amp;T589))),ISNUMBER(SEARCH("debt",LOWER(F589&amp;" "&amp;H589&amp;" "&amp;I589&amp;" "&amp;M589&amp;" "&amp;N589&amp;" "&amp;T589))),ISNUMBER(SEARCH("bond",LOWER(F589&amp;" "&amp;H589&amp;" "&amp;I589&amp;" "&amp;M589&amp;" "&amp;N589&amp;" "&amp;T589))),ISNUMBER(SEARCH("transaction",LOWER(F589&amp;" "&amp;H589&amp;" "&amp;I589&amp;" "&amp;M589&amp;" "&amp;N589&amp;" "&amp;T589)))),"PRIVATE_REVIEW","PUBLIC_CANDIDATE"))</x:f>
        <x:v>PUBLIC_CANDIDATE</x:v>
      </x:c>
      <x:c r="AD589" s="12" t="str">
        <x:f>IF(AC589="PRIVATE_QUARANTINE","hacker_or_bank_trigger",IF(AC589="PRIVATE_REVIEW","finance_risk_trigger","none"))</x:f>
        <x:v>none</x:v>
      </x:c>
      <x:c r="AE589" s="12" t="str">
        <x:f>IF(AC589="PUBLIC_CANDIDATE","prepare_public_github_candidate",IF(AC589="PRIVATE_REVIEW","hold_for_private_review","quarantine_private_do_not_publish"))</x:f>
        <x:v>prepare_public_github_candidate</x:v>
      </x:c>
      <x:c r="AF589" s="12" t="str">
        <x:f>IF(AC589="PUBLIC_CANDIDATE","TIDELOCK + Lucerna",IF(AC589="PRIVATE_REVIEW","AtlasBrain + Lucerna","TIDELOCK + Lucerna + Human-root"))</x:f>
        <x:v>TIDELOCK + Lucerna</x:v>
      </x:c>
      <x:c r="AG589" s="12" t="str">
        <x:f>IF(AND(AC589="PUBLIC_CANDIDATE",U589&lt;&gt;"BLOCKED_PENDING_RECEIPT"),"READY_AFTER_RECEIPT","NOT_READY")</x:f>
        <x:v>NOT_READY</x:v>
      </x:c>
      <x:c r="AH589" s="12" t="str">
        <x:f>IF(AC589="PUBLIC_CANDIDATE","none",AD589)</x:f>
        <x:v>none</x:v>
      </x:c>
      <x:c r="AI589" s="12" t="str">
        <x:f>IF(AC589="PUBLIC_CANDIDATE","archive/public_candidates/"&amp;A589,"private_quarantine/"&amp;A589)</x:f>
        <x:v>archive/public_candidates/SWARM-05-H01-S12</x:v>
      </x:c>
      <x:c r="AJ589" s="12" t="str">
        <x:f>IF(AC589="PUBLIC_CANDIDATE","public by default; still not canon","private/hold; do not publish")</x:f>
        <x:v>public by default; still not canon</x:v>
      </x:c>
      <x:c r="AK589" s="12" t="str">
        <x:f>IF(AE589="prepare_public_github_candidate","add receipt/status then mirror","resolve blocker before any public GitHub action")</x:f>
        <x:v>add receipt/status then mirror</x:v>
      </x:c>
    </x:row>
    <x:row r="590">
      <x:c r="A590" s="15" t="str">
        <x:v>SWARM-05-H02-S01</x:v>
      </x:c>
      <x:c r="B590" s="15" t="str">
        <x:v>Rootglass</x:v>
      </x:c>
      <x:c r="C590" s="15" t="str">
        <x:v>Canon gate mirror</x:v>
      </x:c>
      <x:c r="D590" s="15" t="str">
        <x:v>Receipt Verification</x:v>
      </x:c>
      <x:c r="E590" s="15" t="str">
        <x:v>Notion</x:v>
      </x:c>
      <x:c r="F590" s="15" t="str">
        <x:v>Verify receipts for Notion — Rootglass</x:v>
      </x:c>
      <x:c r="G590" s="15" t="str">
        <x:v>authority boundaries / ratification packets</x:v>
      </x:c>
      <x:c r="H590" s="15" t="str">
        <x:v>source path + receipt + raw/export status + claim/edge/risk delta</x:v>
      </x:c>
      <x:c r="I590" s="15" t="str">
        <x:v>packet/SWARM-05-H02-S01</x:v>
      </x:c>
      <x:c r="J590" s="15" t="str">
        <x:v>TODO</x:v>
      </x:c>
      <x:c r="K590" s="15" t="str">
        <x:v>P0</x:v>
      </x:c>
      <x:c r="L590" s="15" t="str">
        <x:v>Done only when evidence is logged, contradiction search is noted, and boundary stamp remains non-canon unless ratified</x:v>
      </x:c>
      <x:c r="M590" s="15" t="str">
        <x:v>candidate / staging-only / not canon / not deployed / authority none</x:v>
      </x:c>
      <x:c r="N590" s="15" t="str">
        <x:v>Dispatch to Rootglass: complete Receipt Verification x Notion; return deltas only, receipts required.</x:v>
      </x:c>
      <x:c r="O590" s="15" t="str">
        <x:v>AF-KG-H02-S01</x:v>
      </x:c>
      <x:c r="P590" s="15" t="str">
        <x:v>Unverified</x:v>
      </x:c>
      <x:c r="Q590" s="15" t="str">
        <x:v>Not checked</x:v>
      </x:c>
      <x:c r="R590" s="15" t="str"/>
      <x:c r="S590" s="15" t="str"/>
      <x:c r="T590" s="15" t="str">
        <x:v>Log first source path or blocker</x:v>
      </x:c>
      <x:c r="U590" s="12" t="str">
        <x:f>IF(OR(P590="Unverified",Q590="Not checked"),"BLOCKED_PENDING_RECEIPT","READY_FOR_REVIEW")</x:f>
        <x:v>BLOCKED_PENDING_RECEIPT</x:v>
      </x:c>
      <x:c r="V590" s="12" t="str">
        <x:f>IF(J590="DONE","RETURNED",IF(U590="BLOCKED_PENDING_RECEIPT","SOURCE_TOUCH_REQUIRED","IN_PROGRESS"))</x:f>
        <x:v>SOURCE_TOUCH_REQUIRED</x:v>
      </x:c>
      <x:c r="W590" s="12" t="str">
        <x:f>IF(P590="Unverified","missing_receipt","receipt_logged")</x:f>
        <x:v>missing_receipt</x:v>
      </x:c>
      <x:c r="X590" s="12" t="str">
        <x:f>IF(Q590="Not checked","raw_status_missing","raw_status_logged")</x:f>
        <x:v>raw_status_missing</x:v>
      </x:c>
      <x:c r="Y590" s="12" t="str">
        <x:f>IF(U590="BLOCKED_PENDING_RECEIPT","Log source path or blocker; do not promote","Route to review lane")</x:f>
        <x:v>Log source path or blocker; do not promote</x:v>
      </x:c>
      <x:c r="Z590" s="12" t="str">
        <x:f>IF(K590="P0","Primary seat + Hashlight/Lucerna","Seat lane")</x:f>
        <x:v>Primary seat + Hashlight/Lucerna</x:v>
      </x:c>
      <x:c r="AA590" s="12" t="str">
        <x:f>IF(R590="","no_claim_delta","claim_delta_present")</x:f>
        <x:v>no_claim_delta</x:v>
      </x:c>
      <x:c r="AB590" s="12" t="str">
        <x:f>IF(S590="","no_contradiction_delta","contradiction_delta_present")</x:f>
        <x:v>no_contradiction_delta</x:v>
      </x:c>
      <x:c r="AC590" s="12" t="str">
        <x:f>IF(OR(ISNUMBER(SEARCH("hacker",LOWER(F590&amp;" "&amp;H590&amp;" "&amp;I590&amp;" "&amp;M590&amp;" "&amp;N590&amp;" "&amp;T590))),ISNUMBER(SEARCH("hacking",LOWER(F590&amp;" "&amp;H590&amp;" "&amp;I590&amp;" "&amp;M590&amp;" "&amp;N590&amp;" "&amp;T590))),ISNUMBER(SEARCH("bank",LOWER(F590&amp;" "&amp;H590&amp;" "&amp;I590&amp;" "&amp;M590&amp;" "&amp;N590&amp;" "&amp;T590))),ISNUMBER(SEARCH("banking",LOWER(F590&amp;" "&amp;H590&amp;" "&amp;I590&amp;" "&amp;M590&amp;" "&amp;N590&amp;" "&amp;T590)))),"PRIVATE_QUARANTINE",IF(OR(ISNUMBER(SEARCH("treasury",LOWER(F590&amp;" "&amp;H590&amp;" "&amp;I590&amp;" "&amp;M590&amp;" "&amp;N590&amp;" "&amp;T590))),ISNUMBER(SEARCH("debt",LOWER(F590&amp;" "&amp;H590&amp;" "&amp;I590&amp;" "&amp;M590&amp;" "&amp;N590&amp;" "&amp;T590))),ISNUMBER(SEARCH("bond",LOWER(F590&amp;" "&amp;H590&amp;" "&amp;I590&amp;" "&amp;M590&amp;" "&amp;N590&amp;" "&amp;T590))),ISNUMBER(SEARCH("transaction",LOWER(F590&amp;" "&amp;H590&amp;" "&amp;I590&amp;" "&amp;M590&amp;" "&amp;N590&amp;" "&amp;T590)))),"PRIVATE_REVIEW","PUBLIC_CANDIDATE"))</x:f>
        <x:v>PUBLIC_CANDIDATE</x:v>
      </x:c>
      <x:c r="AD590" s="12" t="str">
        <x:f>IF(AC590="PRIVATE_QUARANTINE","hacker_or_bank_trigger",IF(AC590="PRIVATE_REVIEW","finance_risk_trigger","none"))</x:f>
        <x:v>none</x:v>
      </x:c>
      <x:c r="AE590" s="12" t="str">
        <x:f>IF(AC590="PUBLIC_CANDIDATE","prepare_public_github_candidate",IF(AC590="PRIVATE_REVIEW","hold_for_private_review","quarantine_private_do_not_publish"))</x:f>
        <x:v>prepare_public_github_candidate</x:v>
      </x:c>
      <x:c r="AF590" s="12" t="str">
        <x:f>IF(AC590="PUBLIC_CANDIDATE","TIDELOCK + Lucerna",IF(AC590="PRIVATE_REVIEW","AtlasBrain + Lucerna","TIDELOCK + Lucerna + Human-root"))</x:f>
        <x:v>TIDELOCK + Lucerna</x:v>
      </x:c>
      <x:c r="AG590" s="12" t="str">
        <x:f>IF(AND(AC590="PUBLIC_CANDIDATE",U590&lt;&gt;"BLOCKED_PENDING_RECEIPT"),"READY_AFTER_RECEIPT","NOT_READY")</x:f>
        <x:v>NOT_READY</x:v>
      </x:c>
      <x:c r="AH590" s="12" t="str">
        <x:f>IF(AC590="PUBLIC_CANDIDATE","none",AD590)</x:f>
        <x:v>none</x:v>
      </x:c>
      <x:c r="AI590" s="12" t="str">
        <x:f>IF(AC590="PUBLIC_CANDIDATE","archive/public_candidates/"&amp;A590,"private_quarantine/"&amp;A590)</x:f>
        <x:v>archive/public_candidates/SWARM-05-H02-S01</x:v>
      </x:c>
      <x:c r="AJ590" s="12" t="str">
        <x:f>IF(AC590="PUBLIC_CANDIDATE","public by default; still not canon","private/hold; do not publish")</x:f>
        <x:v>public by default; still not canon</x:v>
      </x:c>
      <x:c r="AK590" s="12" t="str">
        <x:f>IF(AE590="prepare_public_github_candidate","add receipt/status then mirror","resolve blocker before any public GitHub action")</x:f>
        <x:v>add receipt/status then mirror</x:v>
      </x:c>
    </x:row>
    <x:row r="591">
      <x:c r="A591" s="15" t="str">
        <x:v>SWARM-05-H02-S02</x:v>
      </x:c>
      <x:c r="B591" s="15" t="str">
        <x:v>Rootglass</x:v>
      </x:c>
      <x:c r="C591" s="15" t="str">
        <x:v>Canon gate mirror</x:v>
      </x:c>
      <x:c r="D591" s="15" t="str">
        <x:v>Receipt Verification</x:v>
      </x:c>
      <x:c r="E591" s="15" t="str">
        <x:v>Drive</x:v>
      </x:c>
      <x:c r="F591" s="15" t="str">
        <x:v>Verify receipts for Drive — Rootglass</x:v>
      </x:c>
      <x:c r="G591" s="15" t="str">
        <x:v>authority boundaries / ratification packets</x:v>
      </x:c>
      <x:c r="H591" s="15" t="str">
        <x:v>source path + receipt + raw/export status + claim/edge/risk delta</x:v>
      </x:c>
      <x:c r="I591" s="15" t="str">
        <x:v>packet/SWARM-05-H02-S02</x:v>
      </x:c>
      <x:c r="J591" s="15" t="str">
        <x:v>TODO</x:v>
      </x:c>
      <x:c r="K591" s="15" t="str">
        <x:v>P0</x:v>
      </x:c>
      <x:c r="L591" s="15" t="str">
        <x:v>Done only when evidence is logged, contradiction search is noted, and boundary stamp remains non-canon unless ratified</x:v>
      </x:c>
      <x:c r="M591" s="15" t="str">
        <x:v>candidate / staging-only / not canon / not deployed / authority none</x:v>
      </x:c>
      <x:c r="N591" s="15" t="str">
        <x:v>Dispatch to Rootglass: complete Receipt Verification x Drive; return deltas only, receipts required.</x:v>
      </x:c>
      <x:c r="O591" s="15" t="str">
        <x:v>AF-KG-H02-S02</x:v>
      </x:c>
      <x:c r="P591" s="15" t="str">
        <x:v>Unverified</x:v>
      </x:c>
      <x:c r="Q591" s="15" t="str">
        <x:v>Not checked</x:v>
      </x:c>
      <x:c r="R591" s="15" t="str"/>
      <x:c r="S591" s="15" t="str"/>
      <x:c r="T591" s="15" t="str">
        <x:v>Log first source path or blocker</x:v>
      </x:c>
      <x:c r="U591" s="12" t="str">
        <x:f>IF(OR(P591="Unverified",Q591="Not checked"),"BLOCKED_PENDING_RECEIPT","READY_FOR_REVIEW")</x:f>
        <x:v>BLOCKED_PENDING_RECEIPT</x:v>
      </x:c>
      <x:c r="V591" s="12" t="str">
        <x:f>IF(J591="DONE","RETURNED",IF(U591="BLOCKED_PENDING_RECEIPT","SOURCE_TOUCH_REQUIRED","IN_PROGRESS"))</x:f>
        <x:v>SOURCE_TOUCH_REQUIRED</x:v>
      </x:c>
      <x:c r="W591" s="12" t="str">
        <x:f>IF(P591="Unverified","missing_receipt","receipt_logged")</x:f>
        <x:v>missing_receipt</x:v>
      </x:c>
      <x:c r="X591" s="12" t="str">
        <x:f>IF(Q591="Not checked","raw_status_missing","raw_status_logged")</x:f>
        <x:v>raw_status_missing</x:v>
      </x:c>
      <x:c r="Y591" s="12" t="str">
        <x:f>IF(U591="BLOCKED_PENDING_RECEIPT","Log source path or blocker; do not promote","Route to review lane")</x:f>
        <x:v>Log source path or blocker; do not promote</x:v>
      </x:c>
      <x:c r="Z591" s="12" t="str">
        <x:f>IF(K591="P0","Primary seat + Hashlight/Lucerna","Seat lane")</x:f>
        <x:v>Primary seat + Hashlight/Lucerna</x:v>
      </x:c>
      <x:c r="AA591" s="12" t="str">
        <x:f>IF(R591="","no_claim_delta","claim_delta_present")</x:f>
        <x:v>no_claim_delta</x:v>
      </x:c>
      <x:c r="AB591" s="12" t="str">
        <x:f>IF(S591="","no_contradiction_delta","contradiction_delta_present")</x:f>
        <x:v>no_contradiction_delta</x:v>
      </x:c>
      <x:c r="AC591" s="12" t="str">
        <x:f>IF(OR(ISNUMBER(SEARCH("hacker",LOWER(F591&amp;" "&amp;H591&amp;" "&amp;I591&amp;" "&amp;M591&amp;" "&amp;N591&amp;" "&amp;T591))),ISNUMBER(SEARCH("hacking",LOWER(F591&amp;" "&amp;H591&amp;" "&amp;I591&amp;" "&amp;M591&amp;" "&amp;N591&amp;" "&amp;T591))),ISNUMBER(SEARCH("bank",LOWER(F591&amp;" "&amp;H591&amp;" "&amp;I591&amp;" "&amp;M591&amp;" "&amp;N591&amp;" "&amp;T591))),ISNUMBER(SEARCH("banking",LOWER(F591&amp;" "&amp;H591&amp;" "&amp;I591&amp;" "&amp;M591&amp;" "&amp;N591&amp;" "&amp;T591)))),"PRIVATE_QUARANTINE",IF(OR(ISNUMBER(SEARCH("treasury",LOWER(F591&amp;" "&amp;H591&amp;" "&amp;I591&amp;" "&amp;M591&amp;" "&amp;N591&amp;" "&amp;T591))),ISNUMBER(SEARCH("debt",LOWER(F591&amp;" "&amp;H591&amp;" "&amp;I591&amp;" "&amp;M591&amp;" "&amp;N591&amp;" "&amp;T591))),ISNUMBER(SEARCH("bond",LOWER(F591&amp;" "&amp;H591&amp;" "&amp;I591&amp;" "&amp;M591&amp;" "&amp;N591&amp;" "&amp;T591))),ISNUMBER(SEARCH("transaction",LOWER(F591&amp;" "&amp;H591&amp;" "&amp;I591&amp;" "&amp;M591&amp;" "&amp;N591&amp;" "&amp;T591)))),"PRIVATE_REVIEW","PUBLIC_CANDIDATE"))</x:f>
        <x:v>PUBLIC_CANDIDATE</x:v>
      </x:c>
      <x:c r="AD591" s="12" t="str">
        <x:f>IF(AC591="PRIVATE_QUARANTINE","hacker_or_bank_trigger",IF(AC591="PRIVATE_REVIEW","finance_risk_trigger","none"))</x:f>
        <x:v>none</x:v>
      </x:c>
      <x:c r="AE591" s="12" t="str">
        <x:f>IF(AC591="PUBLIC_CANDIDATE","prepare_public_github_candidate",IF(AC591="PRIVATE_REVIEW","hold_for_private_review","quarantine_private_do_not_publish"))</x:f>
        <x:v>prepare_public_github_candidate</x:v>
      </x:c>
      <x:c r="AF591" s="12" t="str">
        <x:f>IF(AC591="PUBLIC_CANDIDATE","TIDELOCK + Lucerna",IF(AC591="PRIVATE_REVIEW","AtlasBrain + Lucerna","TIDELOCK + Lucerna + Human-root"))</x:f>
        <x:v>TIDELOCK + Lucerna</x:v>
      </x:c>
      <x:c r="AG591" s="12" t="str">
        <x:f>IF(AND(AC591="PUBLIC_CANDIDATE",U591&lt;&gt;"BLOCKED_PENDING_RECEIPT"),"READY_AFTER_RECEIPT","NOT_READY")</x:f>
        <x:v>NOT_READY</x:v>
      </x:c>
      <x:c r="AH591" s="12" t="str">
        <x:f>IF(AC591="PUBLIC_CANDIDATE","none",AD591)</x:f>
        <x:v>none</x:v>
      </x:c>
      <x:c r="AI591" s="12" t="str">
        <x:f>IF(AC591="PUBLIC_CANDIDATE","archive/public_candidates/"&amp;A591,"private_quarantine/"&amp;A591)</x:f>
        <x:v>archive/public_candidates/SWARM-05-H02-S02</x:v>
      </x:c>
      <x:c r="AJ591" s="12" t="str">
        <x:f>IF(AC591="PUBLIC_CANDIDATE","public by default; still not canon","private/hold; do not publish")</x:f>
        <x:v>public by default; still not canon</x:v>
      </x:c>
      <x:c r="AK591" s="12" t="str">
        <x:f>IF(AE591="prepare_public_github_candidate","add receipt/status then mirror","resolve blocker before any public GitHub action")</x:f>
        <x:v>add receipt/status then mirror</x:v>
      </x:c>
    </x:row>
    <x:row r="592">
      <x:c r="A592" s="15" t="str">
        <x:v>SWARM-05-H02-S03</x:v>
      </x:c>
      <x:c r="B592" s="15" t="str">
        <x:v>Rootglass</x:v>
      </x:c>
      <x:c r="C592" s="15" t="str">
        <x:v>Canon gate mirror</x:v>
      </x:c>
      <x:c r="D592" s="15" t="str">
        <x:v>Receipt Verification</x:v>
      </x:c>
      <x:c r="E592" s="15" t="str">
        <x:v>GitHub</x:v>
      </x:c>
      <x:c r="F592" s="15" t="str">
        <x:v>Verify receipts for GitHub — Rootglass</x:v>
      </x:c>
      <x:c r="G592" s="15" t="str">
        <x:v>authority boundaries / ratification packets</x:v>
      </x:c>
      <x:c r="H592" s="15" t="str">
        <x:v>source path + receipt + raw/export status + claim/edge/risk delta</x:v>
      </x:c>
      <x:c r="I592" s="15" t="str">
        <x:v>packet/SWARM-05-H02-S03</x:v>
      </x:c>
      <x:c r="J592" s="15" t="str">
        <x:v>TODO</x:v>
      </x:c>
      <x:c r="K592" s="15" t="str">
        <x:v>P0</x:v>
      </x:c>
      <x:c r="L592" s="15" t="str">
        <x:v>Done only when evidence is logged, contradiction search is noted, and boundary stamp remains non-canon unless ratified</x:v>
      </x:c>
      <x:c r="M592" s="15" t="str">
        <x:v>candidate / staging-only / not canon / not deployed / authority none</x:v>
      </x:c>
      <x:c r="N592" s="15" t="str">
        <x:v>Dispatch to Rootglass: complete Receipt Verification x GitHub; return deltas only, receipts required.</x:v>
      </x:c>
      <x:c r="O592" s="15" t="str">
        <x:v>AF-KG-H02-S03</x:v>
      </x:c>
      <x:c r="P592" s="15" t="str">
        <x:v>Unverified</x:v>
      </x:c>
      <x:c r="Q592" s="15" t="str">
        <x:v>Not checked</x:v>
      </x:c>
      <x:c r="R592" s="15" t="str"/>
      <x:c r="S592" s="15" t="str"/>
      <x:c r="T592" s="15" t="str">
        <x:v>Log first source path or blocker</x:v>
      </x:c>
      <x:c r="U592" s="12" t="str">
        <x:f>IF(OR(P592="Unverified",Q592="Not checked"),"BLOCKED_PENDING_RECEIPT","READY_FOR_REVIEW")</x:f>
        <x:v>BLOCKED_PENDING_RECEIPT</x:v>
      </x:c>
      <x:c r="V592" s="12" t="str">
        <x:f>IF(J592="DONE","RETURNED",IF(U592="BLOCKED_PENDING_RECEIPT","SOURCE_TOUCH_REQUIRED","IN_PROGRESS"))</x:f>
        <x:v>SOURCE_TOUCH_REQUIRED</x:v>
      </x:c>
      <x:c r="W592" s="12" t="str">
        <x:f>IF(P592="Unverified","missing_receipt","receipt_logged")</x:f>
        <x:v>missing_receipt</x:v>
      </x:c>
      <x:c r="X592" s="12" t="str">
        <x:f>IF(Q592="Not checked","raw_status_missing","raw_status_logged")</x:f>
        <x:v>raw_status_missing</x:v>
      </x:c>
      <x:c r="Y592" s="12" t="str">
        <x:f>IF(U592="BLOCKED_PENDING_RECEIPT","Log source path or blocker; do not promote","Route to review lane")</x:f>
        <x:v>Log source path or blocker; do not promote</x:v>
      </x:c>
      <x:c r="Z592" s="12" t="str">
        <x:f>IF(K592="P0","Primary seat + Hashlight/Lucerna","Seat lane")</x:f>
        <x:v>Primary seat + Hashlight/Lucerna</x:v>
      </x:c>
      <x:c r="AA592" s="12" t="str">
        <x:f>IF(R592="","no_claim_delta","claim_delta_present")</x:f>
        <x:v>no_claim_delta</x:v>
      </x:c>
      <x:c r="AB592" s="12" t="str">
        <x:f>IF(S592="","no_contradiction_delta","contradiction_delta_present")</x:f>
        <x:v>no_contradiction_delta</x:v>
      </x:c>
      <x:c r="AC592" s="12" t="str">
        <x:f>IF(OR(ISNUMBER(SEARCH("hacker",LOWER(F592&amp;" "&amp;H592&amp;" "&amp;I592&amp;" "&amp;M592&amp;" "&amp;N592&amp;" "&amp;T592))),ISNUMBER(SEARCH("hacking",LOWER(F592&amp;" "&amp;H592&amp;" "&amp;I592&amp;" "&amp;M592&amp;" "&amp;N592&amp;" "&amp;T592))),ISNUMBER(SEARCH("bank",LOWER(F592&amp;" "&amp;H592&amp;" "&amp;I592&amp;" "&amp;M592&amp;" "&amp;N592&amp;" "&amp;T592))),ISNUMBER(SEARCH("banking",LOWER(F592&amp;" "&amp;H592&amp;" "&amp;I592&amp;" "&amp;M592&amp;" "&amp;N592&amp;" "&amp;T592)))),"PRIVATE_QUARANTINE",IF(OR(ISNUMBER(SEARCH("treasury",LOWER(F592&amp;" "&amp;H592&amp;" "&amp;I592&amp;" "&amp;M592&amp;" "&amp;N592&amp;" "&amp;T592))),ISNUMBER(SEARCH("debt",LOWER(F592&amp;" "&amp;H592&amp;" "&amp;I592&amp;" "&amp;M592&amp;" "&amp;N592&amp;" "&amp;T592))),ISNUMBER(SEARCH("bond",LOWER(F592&amp;" "&amp;H592&amp;" "&amp;I592&amp;" "&amp;M592&amp;" "&amp;N592&amp;" "&amp;T592))),ISNUMBER(SEARCH("transaction",LOWER(F592&amp;" "&amp;H592&amp;" "&amp;I592&amp;" "&amp;M592&amp;" "&amp;N592&amp;" "&amp;T592)))),"PRIVATE_REVIEW","PUBLIC_CANDIDATE"))</x:f>
        <x:v>PUBLIC_CANDIDATE</x:v>
      </x:c>
      <x:c r="AD592" s="12" t="str">
        <x:f>IF(AC592="PRIVATE_QUARANTINE","hacker_or_bank_trigger",IF(AC592="PRIVATE_REVIEW","finance_risk_trigger","none"))</x:f>
        <x:v>none</x:v>
      </x:c>
      <x:c r="AE592" s="12" t="str">
        <x:f>IF(AC592="PUBLIC_CANDIDATE","prepare_public_github_candidate",IF(AC592="PRIVATE_REVIEW","hold_for_private_review","quarantine_private_do_not_publish"))</x:f>
        <x:v>prepare_public_github_candidate</x:v>
      </x:c>
      <x:c r="AF592" s="12" t="str">
        <x:f>IF(AC592="PUBLIC_CANDIDATE","TIDELOCK + Lucerna",IF(AC592="PRIVATE_REVIEW","AtlasBrain + Lucerna","TIDELOCK + Lucerna + Human-root"))</x:f>
        <x:v>TIDELOCK + Lucerna</x:v>
      </x:c>
      <x:c r="AG592" s="12" t="str">
        <x:f>IF(AND(AC592="PUBLIC_CANDIDATE",U592&lt;&gt;"BLOCKED_PENDING_RECEIPT"),"READY_AFTER_RECEIPT","NOT_READY")</x:f>
        <x:v>NOT_READY</x:v>
      </x:c>
      <x:c r="AH592" s="12" t="str">
        <x:f>IF(AC592="PUBLIC_CANDIDATE","none",AD592)</x:f>
        <x:v>none</x:v>
      </x:c>
      <x:c r="AI592" s="12" t="str">
        <x:f>IF(AC592="PUBLIC_CANDIDATE","archive/public_candidates/"&amp;A592,"private_quarantine/"&amp;A592)</x:f>
        <x:v>archive/public_candidates/SWARM-05-H02-S03</x:v>
      </x:c>
      <x:c r="AJ592" s="12" t="str">
        <x:f>IF(AC592="PUBLIC_CANDIDATE","public by default; still not canon","private/hold; do not publish")</x:f>
        <x:v>public by default; still not canon</x:v>
      </x:c>
      <x:c r="AK592" s="12" t="str">
        <x:f>IF(AE592="prepare_public_github_candidate","add receipt/status then mirror","resolve blocker before any public GitHub action")</x:f>
        <x:v>add receipt/status then mirror</x:v>
      </x:c>
    </x:row>
    <x:row r="593">
      <x:c r="A593" s="15" t="str">
        <x:v>SWARM-05-H02-S04</x:v>
      </x:c>
      <x:c r="B593" s="15" t="str">
        <x:v>Rootglass</x:v>
      </x:c>
      <x:c r="C593" s="15" t="str">
        <x:v>Canon gate mirror</x:v>
      </x:c>
      <x:c r="D593" s="15" t="str">
        <x:v>Receipt Verification</x:v>
      </x:c>
      <x:c r="E593" s="15" t="str">
        <x:v>Gamma</x:v>
      </x:c>
      <x:c r="F593" s="15" t="str">
        <x:v>Verify receipts for Gamma — Rootglass</x:v>
      </x:c>
      <x:c r="G593" s="15" t="str">
        <x:v>authority boundaries / ratification packets</x:v>
      </x:c>
      <x:c r="H593" s="15" t="str">
        <x:v>source path + receipt + raw/export status + claim/edge/risk delta</x:v>
      </x:c>
      <x:c r="I593" s="15" t="str">
        <x:v>packet/SWARM-05-H02-S04</x:v>
      </x:c>
      <x:c r="J593" s="15" t="str">
        <x:v>TODO</x:v>
      </x:c>
      <x:c r="K593" s="15" t="str">
        <x:v>P1</x:v>
      </x:c>
      <x:c r="L593" s="15" t="str">
        <x:v>Done only when evidence is logged, contradiction search is noted, and boundary stamp remains non-canon unless ratified</x:v>
      </x:c>
      <x:c r="M593" s="15" t="str">
        <x:v>candidate / staging-only / not canon / not deployed / authority none</x:v>
      </x:c>
      <x:c r="N593" s="15" t="str">
        <x:v>Dispatch to Rootglass: complete Receipt Verification x Gamma; return deltas only, receipts required.</x:v>
      </x:c>
      <x:c r="O593" s="15" t="str">
        <x:v>AF-KG-H02-S04</x:v>
      </x:c>
      <x:c r="P593" s="15" t="str">
        <x:v>Unverified</x:v>
      </x:c>
      <x:c r="Q593" s="15" t="str">
        <x:v>Not checked</x:v>
      </x:c>
      <x:c r="R593" s="15" t="str"/>
      <x:c r="S593" s="15" t="str"/>
      <x:c r="T593" s="15" t="str">
        <x:v>Log first source path or blocker</x:v>
      </x:c>
      <x:c r="U593" s="12" t="str">
        <x:f>IF(OR(P593="Unverified",Q593="Not checked"),"BLOCKED_PENDING_RECEIPT","READY_FOR_REVIEW")</x:f>
        <x:v>BLOCKED_PENDING_RECEIPT</x:v>
      </x:c>
      <x:c r="V593" s="12" t="str">
        <x:f>IF(J593="DONE","RETURNED",IF(U593="BLOCKED_PENDING_RECEIPT","SOURCE_TOUCH_REQUIRED","IN_PROGRESS"))</x:f>
        <x:v>SOURCE_TOUCH_REQUIRED</x:v>
      </x:c>
      <x:c r="W593" s="12" t="str">
        <x:f>IF(P593="Unverified","missing_receipt","receipt_logged")</x:f>
        <x:v>missing_receipt</x:v>
      </x:c>
      <x:c r="X593" s="12" t="str">
        <x:f>IF(Q593="Not checked","raw_status_missing","raw_status_logged")</x:f>
        <x:v>raw_status_missing</x:v>
      </x:c>
      <x:c r="Y593" s="12" t="str">
        <x:f>IF(U593="BLOCKED_PENDING_RECEIPT","Log source path or blocker; do not promote","Route to review lane")</x:f>
        <x:v>Log source path or blocker; do not promote</x:v>
      </x:c>
      <x:c r="Z593" s="12" t="str">
        <x:f>IF(K593="P0","Primary seat + Hashlight/Lucerna","Seat lane")</x:f>
        <x:v>Seat lane</x:v>
      </x:c>
      <x:c r="AA593" s="12" t="str">
        <x:f>IF(R593="","no_claim_delta","claim_delta_present")</x:f>
        <x:v>no_claim_delta</x:v>
      </x:c>
      <x:c r="AB593" s="12" t="str">
        <x:f>IF(S593="","no_contradiction_delta","contradiction_delta_present")</x:f>
        <x:v>no_contradiction_delta</x:v>
      </x:c>
      <x:c r="AC593" s="12" t="str">
        <x:f>IF(OR(ISNUMBER(SEARCH("hacker",LOWER(F593&amp;" "&amp;H593&amp;" "&amp;I593&amp;" "&amp;M593&amp;" "&amp;N593&amp;" "&amp;T593))),ISNUMBER(SEARCH("hacking",LOWER(F593&amp;" "&amp;H593&amp;" "&amp;I593&amp;" "&amp;M593&amp;" "&amp;N593&amp;" "&amp;T593))),ISNUMBER(SEARCH("bank",LOWER(F593&amp;" "&amp;H593&amp;" "&amp;I593&amp;" "&amp;M593&amp;" "&amp;N593&amp;" "&amp;T593))),ISNUMBER(SEARCH("banking",LOWER(F593&amp;" "&amp;H593&amp;" "&amp;I593&amp;" "&amp;M593&amp;" "&amp;N593&amp;" "&amp;T593)))),"PRIVATE_QUARANTINE",IF(OR(ISNUMBER(SEARCH("treasury",LOWER(F593&amp;" "&amp;H593&amp;" "&amp;I593&amp;" "&amp;M593&amp;" "&amp;N593&amp;" "&amp;T593))),ISNUMBER(SEARCH("debt",LOWER(F593&amp;" "&amp;H593&amp;" "&amp;I593&amp;" "&amp;M593&amp;" "&amp;N593&amp;" "&amp;T593))),ISNUMBER(SEARCH("bond",LOWER(F593&amp;" "&amp;H593&amp;" "&amp;I593&amp;" "&amp;M593&amp;" "&amp;N593&amp;" "&amp;T593))),ISNUMBER(SEARCH("transaction",LOWER(F593&amp;" "&amp;H593&amp;" "&amp;I593&amp;" "&amp;M593&amp;" "&amp;N593&amp;" "&amp;T593)))),"PRIVATE_REVIEW","PUBLIC_CANDIDATE"))</x:f>
        <x:v>PUBLIC_CANDIDATE</x:v>
      </x:c>
      <x:c r="AD593" s="12" t="str">
        <x:f>IF(AC593="PRIVATE_QUARANTINE","hacker_or_bank_trigger",IF(AC593="PRIVATE_REVIEW","finance_risk_trigger","none"))</x:f>
        <x:v>none</x:v>
      </x:c>
      <x:c r="AE593" s="12" t="str">
        <x:f>IF(AC593="PUBLIC_CANDIDATE","prepare_public_github_candidate",IF(AC593="PRIVATE_REVIEW","hold_for_private_review","quarantine_private_do_not_publish"))</x:f>
        <x:v>prepare_public_github_candidate</x:v>
      </x:c>
      <x:c r="AF593" s="12" t="str">
        <x:f>IF(AC593="PUBLIC_CANDIDATE","TIDELOCK + Lucerna",IF(AC593="PRIVATE_REVIEW","AtlasBrain + Lucerna","TIDELOCK + Lucerna + Human-root"))</x:f>
        <x:v>TIDELOCK + Lucerna</x:v>
      </x:c>
      <x:c r="AG593" s="12" t="str">
        <x:f>IF(AND(AC593="PUBLIC_CANDIDATE",U593&lt;&gt;"BLOCKED_PENDING_RECEIPT"),"READY_AFTER_RECEIPT","NOT_READY")</x:f>
        <x:v>NOT_READY</x:v>
      </x:c>
      <x:c r="AH593" s="12" t="str">
        <x:f>IF(AC593="PUBLIC_CANDIDATE","none",AD593)</x:f>
        <x:v>none</x:v>
      </x:c>
      <x:c r="AI593" s="12" t="str">
        <x:f>IF(AC593="PUBLIC_CANDIDATE","archive/public_candidates/"&amp;A593,"private_quarantine/"&amp;A593)</x:f>
        <x:v>archive/public_candidates/SWARM-05-H02-S04</x:v>
      </x:c>
      <x:c r="AJ593" s="12" t="str">
        <x:f>IF(AC593="PUBLIC_CANDIDATE","public by default; still not canon","private/hold; do not publish")</x:f>
        <x:v>public by default; still not canon</x:v>
      </x:c>
      <x:c r="AK593" s="12" t="str">
        <x:f>IF(AE593="prepare_public_github_candidate","add receipt/status then mirror","resolve blocker before any public GitHub action")</x:f>
        <x:v>add receipt/status then mirror</x:v>
      </x:c>
    </x:row>
    <x:row r="594">
      <x:c r="A594" s="15" t="str">
        <x:v>SWARM-05-H02-S05</x:v>
      </x:c>
      <x:c r="B594" s="15" t="str">
        <x:v>Rootglass</x:v>
      </x:c>
      <x:c r="C594" s="15" t="str">
        <x:v>Canon gate mirror</x:v>
      </x:c>
      <x:c r="D594" s="15" t="str">
        <x:v>Receipt Verification</x:v>
      </x:c>
      <x:c r="E594" s="15" t="str">
        <x:v>Chat</x:v>
      </x:c>
      <x:c r="F594" s="15" t="str">
        <x:v>Verify receipts for Chat — Rootglass</x:v>
      </x:c>
      <x:c r="G594" s="15" t="str">
        <x:v>authority boundaries / ratification packets</x:v>
      </x:c>
      <x:c r="H594" s="15" t="str">
        <x:v>source path + receipt + raw/export status + claim/edge/risk delta</x:v>
      </x:c>
      <x:c r="I594" s="15" t="str">
        <x:v>packet/SWARM-05-H02-S05</x:v>
      </x:c>
      <x:c r="J594" s="15" t="str">
        <x:v>TODO</x:v>
      </x:c>
      <x:c r="K594" s="15" t="str">
        <x:v>P1</x:v>
      </x:c>
      <x:c r="L594" s="15" t="str">
        <x:v>Done only when evidence is logged, contradiction search is noted, and boundary stamp remains non-canon unless ratified</x:v>
      </x:c>
      <x:c r="M594" s="15" t="str">
        <x:v>candidate / staging-only / not canon / not deployed / authority none</x:v>
      </x:c>
      <x:c r="N594" s="15" t="str">
        <x:v>Dispatch to Rootglass: complete Receipt Verification x Chat; return deltas only, receipts required.</x:v>
      </x:c>
      <x:c r="O594" s="15" t="str">
        <x:v>AF-KG-H02-S05</x:v>
      </x:c>
      <x:c r="P594" s="15" t="str">
        <x:v>Unverified</x:v>
      </x:c>
      <x:c r="Q594" s="15" t="str">
        <x:v>Not checked</x:v>
      </x:c>
      <x:c r="R594" s="15" t="str"/>
      <x:c r="S594" s="15" t="str"/>
      <x:c r="T594" s="15" t="str">
        <x:v>Log first source path or blocker</x:v>
      </x:c>
      <x:c r="U594" s="12" t="str">
        <x:f>IF(OR(P594="Unverified",Q594="Not checked"),"BLOCKED_PENDING_RECEIPT","READY_FOR_REVIEW")</x:f>
        <x:v>BLOCKED_PENDING_RECEIPT</x:v>
      </x:c>
      <x:c r="V594" s="12" t="str">
        <x:f>IF(J594="DONE","RETURNED",IF(U594="BLOCKED_PENDING_RECEIPT","SOURCE_TOUCH_REQUIRED","IN_PROGRESS"))</x:f>
        <x:v>SOURCE_TOUCH_REQUIRED</x:v>
      </x:c>
      <x:c r="W594" s="12" t="str">
        <x:f>IF(P594="Unverified","missing_receipt","receipt_logged")</x:f>
        <x:v>missing_receipt</x:v>
      </x:c>
      <x:c r="X594" s="12" t="str">
        <x:f>IF(Q594="Not checked","raw_status_missing","raw_status_logged")</x:f>
        <x:v>raw_status_missing</x:v>
      </x:c>
      <x:c r="Y594" s="12" t="str">
        <x:f>IF(U594="BLOCKED_PENDING_RECEIPT","Log source path or blocker; do not promote","Route to review lane")</x:f>
        <x:v>Log source path or blocker; do not promote</x:v>
      </x:c>
      <x:c r="Z594" s="12" t="str">
        <x:f>IF(K594="P0","Primary seat + Hashlight/Lucerna","Seat lane")</x:f>
        <x:v>Seat lane</x:v>
      </x:c>
      <x:c r="AA594" s="12" t="str">
        <x:f>IF(R594="","no_claim_delta","claim_delta_present")</x:f>
        <x:v>no_claim_delta</x:v>
      </x:c>
      <x:c r="AB594" s="12" t="str">
        <x:f>IF(S594="","no_contradiction_delta","contradiction_delta_present")</x:f>
        <x:v>no_contradiction_delta</x:v>
      </x:c>
      <x:c r="AC594" s="12" t="str">
        <x:f>IF(OR(ISNUMBER(SEARCH("hacker",LOWER(F594&amp;" "&amp;H594&amp;" "&amp;I594&amp;" "&amp;M594&amp;" "&amp;N594&amp;" "&amp;T594))),ISNUMBER(SEARCH("hacking",LOWER(F594&amp;" "&amp;H594&amp;" "&amp;I594&amp;" "&amp;M594&amp;" "&amp;N594&amp;" "&amp;T594))),ISNUMBER(SEARCH("bank",LOWER(F594&amp;" "&amp;H594&amp;" "&amp;I594&amp;" "&amp;M594&amp;" "&amp;N594&amp;" "&amp;T594))),ISNUMBER(SEARCH("banking",LOWER(F594&amp;" "&amp;H594&amp;" "&amp;I594&amp;" "&amp;M594&amp;" "&amp;N594&amp;" "&amp;T594)))),"PRIVATE_QUARANTINE",IF(OR(ISNUMBER(SEARCH("treasury",LOWER(F594&amp;" "&amp;H594&amp;" "&amp;I594&amp;" "&amp;M594&amp;" "&amp;N594&amp;" "&amp;T594))),ISNUMBER(SEARCH("debt",LOWER(F594&amp;" "&amp;H594&amp;" "&amp;I594&amp;" "&amp;M594&amp;" "&amp;N594&amp;" "&amp;T594))),ISNUMBER(SEARCH("bond",LOWER(F594&amp;" "&amp;H594&amp;" "&amp;I594&amp;" "&amp;M594&amp;" "&amp;N594&amp;" "&amp;T594))),ISNUMBER(SEARCH("transaction",LOWER(F594&amp;" "&amp;H594&amp;" "&amp;I594&amp;" "&amp;M594&amp;" "&amp;N594&amp;" "&amp;T594)))),"PRIVATE_REVIEW","PUBLIC_CANDIDATE"))</x:f>
        <x:v>PUBLIC_CANDIDATE</x:v>
      </x:c>
      <x:c r="AD594" s="12" t="str">
        <x:f>IF(AC594="PRIVATE_QUARANTINE","hacker_or_bank_trigger",IF(AC594="PRIVATE_REVIEW","finance_risk_trigger","none"))</x:f>
        <x:v>none</x:v>
      </x:c>
      <x:c r="AE594" s="12" t="str">
        <x:f>IF(AC594="PUBLIC_CANDIDATE","prepare_public_github_candidate",IF(AC594="PRIVATE_REVIEW","hold_for_private_review","quarantine_private_do_not_publish"))</x:f>
        <x:v>prepare_public_github_candidate</x:v>
      </x:c>
      <x:c r="AF594" s="12" t="str">
        <x:f>IF(AC594="PUBLIC_CANDIDATE","TIDELOCK + Lucerna",IF(AC594="PRIVATE_REVIEW","AtlasBrain + Lucerna","TIDELOCK + Lucerna + Human-root"))</x:f>
        <x:v>TIDELOCK + Lucerna</x:v>
      </x:c>
      <x:c r="AG594" s="12" t="str">
        <x:f>IF(AND(AC594="PUBLIC_CANDIDATE",U594&lt;&gt;"BLOCKED_PENDING_RECEIPT"),"READY_AFTER_RECEIPT","NOT_READY")</x:f>
        <x:v>NOT_READY</x:v>
      </x:c>
      <x:c r="AH594" s="12" t="str">
        <x:f>IF(AC594="PUBLIC_CANDIDATE","none",AD594)</x:f>
        <x:v>none</x:v>
      </x:c>
      <x:c r="AI594" s="12" t="str">
        <x:f>IF(AC594="PUBLIC_CANDIDATE","archive/public_candidates/"&amp;A594,"private_quarantine/"&amp;A594)</x:f>
        <x:v>archive/public_candidates/SWARM-05-H02-S05</x:v>
      </x:c>
      <x:c r="AJ594" s="12" t="str">
        <x:f>IF(AC594="PUBLIC_CANDIDATE","public by default; still not canon","private/hold; do not publish")</x:f>
        <x:v>public by default; still not canon</x:v>
      </x:c>
      <x:c r="AK594" s="12" t="str">
        <x:f>IF(AE594="prepare_public_github_candidate","add receipt/status then mirror","resolve blocker before any public GitHub action")</x:f>
        <x:v>add receipt/status then mirror</x:v>
      </x:c>
    </x:row>
    <x:row r="595">
      <x:c r="A595" s="15" t="str">
        <x:v>SWARM-05-H02-S06</x:v>
      </x:c>
      <x:c r="B595" s="15" t="str">
        <x:v>Rootglass</x:v>
      </x:c>
      <x:c r="C595" s="15" t="str">
        <x:v>Canon gate mirror</x:v>
      </x:c>
      <x:c r="D595" s="15" t="str">
        <x:v>Receipt Verification</x:v>
      </x:c>
      <x:c r="E595" s="15" t="str">
        <x:v>External Web</x:v>
      </x:c>
      <x:c r="F595" s="15" t="str">
        <x:v>Verify receipts for External Web — Rootglass</x:v>
      </x:c>
      <x:c r="G595" s="15" t="str">
        <x:v>authority boundaries / ratification packets</x:v>
      </x:c>
      <x:c r="H595" s="15" t="str">
        <x:v>source path + receipt + raw/export status + claim/edge/risk delta</x:v>
      </x:c>
      <x:c r="I595" s="15" t="str">
        <x:v>packet/SWARM-05-H02-S06</x:v>
      </x:c>
      <x:c r="J595" s="15" t="str">
        <x:v>TODO</x:v>
      </x:c>
      <x:c r="K595" s="15" t="str">
        <x:v>P1</x:v>
      </x:c>
      <x:c r="L595" s="15" t="str">
        <x:v>Done only when evidence is logged, contradiction search is noted, and boundary stamp remains non-canon unless ratified</x:v>
      </x:c>
      <x:c r="M595" s="15" t="str">
        <x:v>candidate / staging-only / not canon / not deployed / authority none</x:v>
      </x:c>
      <x:c r="N595" s="15" t="str">
        <x:v>Dispatch to Rootglass: complete Receipt Verification x External Web; return deltas only, receipts required.</x:v>
      </x:c>
      <x:c r="O595" s="15" t="str">
        <x:v>AF-KG-H02-S06</x:v>
      </x:c>
      <x:c r="P595" s="15" t="str">
        <x:v>Unverified</x:v>
      </x:c>
      <x:c r="Q595" s="15" t="str">
        <x:v>Not checked</x:v>
      </x:c>
      <x:c r="R595" s="15" t="str"/>
      <x:c r="S595" s="15" t="str"/>
      <x:c r="T595" s="15" t="str">
        <x:v>Log first source path or blocker</x:v>
      </x:c>
      <x:c r="U595" s="12" t="str">
        <x:f>IF(OR(P595="Unverified",Q595="Not checked"),"BLOCKED_PENDING_RECEIPT","READY_FOR_REVIEW")</x:f>
        <x:v>BLOCKED_PENDING_RECEIPT</x:v>
      </x:c>
      <x:c r="V595" s="12" t="str">
        <x:f>IF(J595="DONE","RETURNED",IF(U595="BLOCKED_PENDING_RECEIPT","SOURCE_TOUCH_REQUIRED","IN_PROGRESS"))</x:f>
        <x:v>SOURCE_TOUCH_REQUIRED</x:v>
      </x:c>
      <x:c r="W595" s="12" t="str">
        <x:f>IF(P595="Unverified","missing_receipt","receipt_logged")</x:f>
        <x:v>missing_receipt</x:v>
      </x:c>
      <x:c r="X595" s="12" t="str">
        <x:f>IF(Q595="Not checked","raw_status_missing","raw_status_logged")</x:f>
        <x:v>raw_status_missing</x:v>
      </x:c>
      <x:c r="Y595" s="12" t="str">
        <x:f>IF(U595="BLOCKED_PENDING_RECEIPT","Log source path or blocker; do not promote","Route to review lane")</x:f>
        <x:v>Log source path or blocker; do not promote</x:v>
      </x:c>
      <x:c r="Z595" s="12" t="str">
        <x:f>IF(K595="P0","Primary seat + Hashlight/Lucerna","Seat lane")</x:f>
        <x:v>Seat lane</x:v>
      </x:c>
      <x:c r="AA595" s="12" t="str">
        <x:f>IF(R595="","no_claim_delta","claim_delta_present")</x:f>
        <x:v>no_claim_delta</x:v>
      </x:c>
      <x:c r="AB595" s="12" t="str">
        <x:f>IF(S595="","no_contradiction_delta","contradiction_delta_present")</x:f>
        <x:v>no_contradiction_delta</x:v>
      </x:c>
      <x:c r="AC595" s="12" t="str">
        <x:f>IF(OR(ISNUMBER(SEARCH("hacker",LOWER(F595&amp;" "&amp;H595&amp;" "&amp;I595&amp;" "&amp;M595&amp;" "&amp;N595&amp;" "&amp;T595))),ISNUMBER(SEARCH("hacking",LOWER(F595&amp;" "&amp;H595&amp;" "&amp;I595&amp;" "&amp;M595&amp;" "&amp;N595&amp;" "&amp;T595))),ISNUMBER(SEARCH("bank",LOWER(F595&amp;" "&amp;H595&amp;" "&amp;I595&amp;" "&amp;M595&amp;" "&amp;N595&amp;" "&amp;T595))),ISNUMBER(SEARCH("banking",LOWER(F595&amp;" "&amp;H595&amp;" "&amp;I595&amp;" "&amp;M595&amp;" "&amp;N595&amp;" "&amp;T595)))),"PRIVATE_QUARANTINE",IF(OR(ISNUMBER(SEARCH("treasury",LOWER(F595&amp;" "&amp;H595&amp;" "&amp;I595&amp;" "&amp;M595&amp;" "&amp;N595&amp;" "&amp;T595))),ISNUMBER(SEARCH("debt",LOWER(F595&amp;" "&amp;H595&amp;" "&amp;I595&amp;" "&amp;M595&amp;" "&amp;N595&amp;" "&amp;T595))),ISNUMBER(SEARCH("bond",LOWER(F595&amp;" "&amp;H595&amp;" "&amp;I595&amp;" "&amp;M595&amp;" "&amp;N595&amp;" "&amp;T595))),ISNUMBER(SEARCH("transaction",LOWER(F595&amp;" "&amp;H595&amp;" "&amp;I595&amp;" "&amp;M595&amp;" "&amp;N595&amp;" "&amp;T595)))),"PRIVATE_REVIEW","PUBLIC_CANDIDATE"))</x:f>
        <x:v>PUBLIC_CANDIDATE</x:v>
      </x:c>
      <x:c r="AD595" s="12" t="str">
        <x:f>IF(AC595="PRIVATE_QUARANTINE","hacker_or_bank_trigger",IF(AC595="PRIVATE_REVIEW","finance_risk_trigger","none"))</x:f>
        <x:v>none</x:v>
      </x:c>
      <x:c r="AE595" s="12" t="str">
        <x:f>IF(AC595="PUBLIC_CANDIDATE","prepare_public_github_candidate",IF(AC595="PRIVATE_REVIEW","hold_for_private_review","quarantine_private_do_not_publish"))</x:f>
        <x:v>prepare_public_github_candidate</x:v>
      </x:c>
      <x:c r="AF595" s="12" t="str">
        <x:f>IF(AC595="PUBLIC_CANDIDATE","TIDELOCK + Lucerna",IF(AC595="PRIVATE_REVIEW","AtlasBrain + Lucerna","TIDELOCK + Lucerna + Human-root"))</x:f>
        <x:v>TIDELOCK + Lucerna</x:v>
      </x:c>
      <x:c r="AG595" s="12" t="str">
        <x:f>IF(AND(AC595="PUBLIC_CANDIDATE",U595&lt;&gt;"BLOCKED_PENDING_RECEIPT"),"READY_AFTER_RECEIPT","NOT_READY")</x:f>
        <x:v>NOT_READY</x:v>
      </x:c>
      <x:c r="AH595" s="12" t="str">
        <x:f>IF(AC595="PUBLIC_CANDIDATE","none",AD595)</x:f>
        <x:v>none</x:v>
      </x:c>
      <x:c r="AI595" s="12" t="str">
        <x:f>IF(AC595="PUBLIC_CANDIDATE","archive/public_candidates/"&amp;A595,"private_quarantine/"&amp;A595)</x:f>
        <x:v>archive/public_candidates/SWARM-05-H02-S06</x:v>
      </x:c>
      <x:c r="AJ595" s="12" t="str">
        <x:f>IF(AC595="PUBLIC_CANDIDATE","public by default; still not canon","private/hold; do not publish")</x:f>
        <x:v>public by default; still not canon</x:v>
      </x:c>
      <x:c r="AK595" s="12" t="str">
        <x:f>IF(AE595="prepare_public_github_candidate","add receipt/status then mirror","resolve blocker before any public GitHub action")</x:f>
        <x:v>add receipt/status then mirror</x:v>
      </x:c>
    </x:row>
    <x:row r="596">
      <x:c r="A596" s="15" t="str">
        <x:v>SWARM-05-H02-S07</x:v>
      </x:c>
      <x:c r="B596" s="15" t="str">
        <x:v>Rootglass</x:v>
      </x:c>
      <x:c r="C596" s="15" t="str">
        <x:v>Canon gate mirror</x:v>
      </x:c>
      <x:c r="D596" s="15" t="str">
        <x:v>Receipt Verification</x:v>
      </x:c>
      <x:c r="E596" s="15" t="str">
        <x:v>Planetarium</x:v>
      </x:c>
      <x:c r="F596" s="15" t="str">
        <x:v>Verify receipts for Planetarium — Rootglass</x:v>
      </x:c>
      <x:c r="G596" s="15" t="str">
        <x:v>authority boundaries / ratification packets</x:v>
      </x:c>
      <x:c r="H596" s="15" t="str">
        <x:v>source path + receipt + raw/export status + claim/edge/risk delta</x:v>
      </x:c>
      <x:c r="I596" s="15" t="str">
        <x:v>packet/SWARM-05-H02-S07</x:v>
      </x:c>
      <x:c r="J596" s="15" t="str">
        <x:v>TODO</x:v>
      </x:c>
      <x:c r="K596" s="15" t="str">
        <x:v>P1</x:v>
      </x:c>
      <x:c r="L596" s="15" t="str">
        <x:v>Done only when evidence is logged, contradiction search is noted, and boundary stamp remains non-canon unless ratified</x:v>
      </x:c>
      <x:c r="M596" s="15" t="str">
        <x:v>candidate / staging-only / not canon / not deployed / authority none</x:v>
      </x:c>
      <x:c r="N596" s="15" t="str">
        <x:v>Dispatch to Rootglass: complete Receipt Verification x Planetarium; return deltas only, receipts required.</x:v>
      </x:c>
      <x:c r="O596" s="15" t="str">
        <x:v>AF-KG-H02-S07</x:v>
      </x:c>
      <x:c r="P596" s="15" t="str">
        <x:v>Unverified</x:v>
      </x:c>
      <x:c r="Q596" s="15" t="str">
        <x:v>Not checked</x:v>
      </x:c>
      <x:c r="R596" s="15" t="str"/>
      <x:c r="S596" s="15" t="str"/>
      <x:c r="T596" s="15" t="str">
        <x:v>Log first source path or blocker</x:v>
      </x:c>
      <x:c r="U596" s="12" t="str">
        <x:f>IF(OR(P596="Unverified",Q596="Not checked"),"BLOCKED_PENDING_RECEIPT","READY_FOR_REVIEW")</x:f>
        <x:v>BLOCKED_PENDING_RECEIPT</x:v>
      </x:c>
      <x:c r="V596" s="12" t="str">
        <x:f>IF(J596="DONE","RETURNED",IF(U596="BLOCKED_PENDING_RECEIPT","SOURCE_TOUCH_REQUIRED","IN_PROGRESS"))</x:f>
        <x:v>SOURCE_TOUCH_REQUIRED</x:v>
      </x:c>
      <x:c r="W596" s="12" t="str">
        <x:f>IF(P596="Unverified","missing_receipt","receipt_logged")</x:f>
        <x:v>missing_receipt</x:v>
      </x:c>
      <x:c r="X596" s="12" t="str">
        <x:f>IF(Q596="Not checked","raw_status_missing","raw_status_logged")</x:f>
        <x:v>raw_status_missing</x:v>
      </x:c>
      <x:c r="Y596" s="12" t="str">
        <x:f>IF(U596="BLOCKED_PENDING_RECEIPT","Log source path or blocker; do not promote","Route to review lane")</x:f>
        <x:v>Log source path or blocker; do not promote</x:v>
      </x:c>
      <x:c r="Z596" s="12" t="str">
        <x:f>IF(K596="P0","Primary seat + Hashlight/Lucerna","Seat lane")</x:f>
        <x:v>Seat lane</x:v>
      </x:c>
      <x:c r="AA596" s="12" t="str">
        <x:f>IF(R596="","no_claim_delta","claim_delta_present")</x:f>
        <x:v>no_claim_delta</x:v>
      </x:c>
      <x:c r="AB596" s="12" t="str">
        <x:f>IF(S596="","no_contradiction_delta","contradiction_delta_present")</x:f>
        <x:v>no_contradiction_delta</x:v>
      </x:c>
      <x:c r="AC596" s="12" t="str">
        <x:f>IF(OR(ISNUMBER(SEARCH("hacker",LOWER(F596&amp;" "&amp;H596&amp;" "&amp;I596&amp;" "&amp;M596&amp;" "&amp;N596&amp;" "&amp;T596))),ISNUMBER(SEARCH("hacking",LOWER(F596&amp;" "&amp;H596&amp;" "&amp;I596&amp;" "&amp;M596&amp;" "&amp;N596&amp;" "&amp;T596))),ISNUMBER(SEARCH("bank",LOWER(F596&amp;" "&amp;H596&amp;" "&amp;I596&amp;" "&amp;M596&amp;" "&amp;N596&amp;" "&amp;T596))),ISNUMBER(SEARCH("banking",LOWER(F596&amp;" "&amp;H596&amp;" "&amp;I596&amp;" "&amp;M596&amp;" "&amp;N596&amp;" "&amp;T596)))),"PRIVATE_QUARANTINE",IF(OR(ISNUMBER(SEARCH("treasury",LOWER(F596&amp;" "&amp;H596&amp;" "&amp;I596&amp;" "&amp;M596&amp;" "&amp;N596&amp;" "&amp;T596))),ISNUMBER(SEARCH("debt",LOWER(F596&amp;" "&amp;H596&amp;" "&amp;I596&amp;" "&amp;M596&amp;" "&amp;N596&amp;" "&amp;T596))),ISNUMBER(SEARCH("bond",LOWER(F596&amp;" "&amp;H596&amp;" "&amp;I596&amp;" "&amp;M596&amp;" "&amp;N596&amp;" "&amp;T596))),ISNUMBER(SEARCH("transaction",LOWER(F596&amp;" "&amp;H596&amp;" "&amp;I596&amp;" "&amp;M596&amp;" "&amp;N596&amp;" "&amp;T596)))),"PRIVATE_REVIEW","PUBLIC_CANDIDATE"))</x:f>
        <x:v>PUBLIC_CANDIDATE</x:v>
      </x:c>
      <x:c r="AD596" s="12" t="str">
        <x:f>IF(AC596="PRIVATE_QUARANTINE","hacker_or_bank_trigger",IF(AC596="PRIVATE_REVIEW","finance_risk_trigger","none"))</x:f>
        <x:v>none</x:v>
      </x:c>
      <x:c r="AE596" s="12" t="str">
        <x:f>IF(AC596="PUBLIC_CANDIDATE","prepare_public_github_candidate",IF(AC596="PRIVATE_REVIEW","hold_for_private_review","quarantine_private_do_not_publish"))</x:f>
        <x:v>prepare_public_github_candidate</x:v>
      </x:c>
      <x:c r="AF596" s="12" t="str">
        <x:f>IF(AC596="PUBLIC_CANDIDATE","TIDELOCK + Lucerna",IF(AC596="PRIVATE_REVIEW","AtlasBrain + Lucerna","TIDELOCK + Lucerna + Human-root"))</x:f>
        <x:v>TIDELOCK + Lucerna</x:v>
      </x:c>
      <x:c r="AG596" s="12" t="str">
        <x:f>IF(AND(AC596="PUBLIC_CANDIDATE",U596&lt;&gt;"BLOCKED_PENDING_RECEIPT"),"READY_AFTER_RECEIPT","NOT_READY")</x:f>
        <x:v>NOT_READY</x:v>
      </x:c>
      <x:c r="AH596" s="12" t="str">
        <x:f>IF(AC596="PUBLIC_CANDIDATE","none",AD596)</x:f>
        <x:v>none</x:v>
      </x:c>
      <x:c r="AI596" s="12" t="str">
        <x:f>IF(AC596="PUBLIC_CANDIDATE","archive/public_candidates/"&amp;A596,"private_quarantine/"&amp;A596)</x:f>
        <x:v>archive/public_candidates/SWARM-05-H02-S07</x:v>
      </x:c>
      <x:c r="AJ596" s="12" t="str">
        <x:f>IF(AC596="PUBLIC_CANDIDATE","public by default; still not canon","private/hold; do not publish")</x:f>
        <x:v>public by default; still not canon</x:v>
      </x:c>
      <x:c r="AK596" s="12" t="str">
        <x:f>IF(AE596="prepare_public_github_candidate","add receipt/status then mirror","resolve blocker before any public GitHub action")</x:f>
        <x:v>add receipt/status then mirror</x:v>
      </x:c>
    </x:row>
    <x:row r="597">
      <x:c r="A597" s="15" t="str">
        <x:v>SWARM-05-H02-S08</x:v>
      </x:c>
      <x:c r="B597" s="15" t="str">
        <x:v>Rootglass</x:v>
      </x:c>
      <x:c r="C597" s="15" t="str">
        <x:v>Canon gate mirror</x:v>
      </x:c>
      <x:c r="D597" s="15" t="str">
        <x:v>Receipt Verification</x:v>
      </x:c>
      <x:c r="E597" s="15" t="str">
        <x:v>Sheldonbrain</x:v>
      </x:c>
      <x:c r="F597" s="15" t="str">
        <x:v>Verify receipts for Sheldonbrain — Rootglass</x:v>
      </x:c>
      <x:c r="G597" s="15" t="str">
        <x:v>authority boundaries / ratification packets</x:v>
      </x:c>
      <x:c r="H597" s="15" t="str">
        <x:v>source path + receipt + raw/export status + claim/edge/risk delta</x:v>
      </x:c>
      <x:c r="I597" s="15" t="str">
        <x:v>packet/SWARM-05-H02-S08</x:v>
      </x:c>
      <x:c r="J597" s="15" t="str">
        <x:v>TODO</x:v>
      </x:c>
      <x:c r="K597" s="15" t="str">
        <x:v>P1</x:v>
      </x:c>
      <x:c r="L597" s="15" t="str">
        <x:v>Done only when evidence is logged, contradiction search is noted, and boundary stamp remains non-canon unless ratified</x:v>
      </x:c>
      <x:c r="M597" s="15" t="str">
        <x:v>candidate / staging-only / not canon / not deployed / authority none</x:v>
      </x:c>
      <x:c r="N597" s="15" t="str">
        <x:v>Dispatch to Rootglass: complete Receipt Verification x Sheldonbrain; return deltas only, receipts required.</x:v>
      </x:c>
      <x:c r="O597" s="15" t="str">
        <x:v>AF-KG-H02-S08</x:v>
      </x:c>
      <x:c r="P597" s="15" t="str">
        <x:v>Unverified</x:v>
      </x:c>
      <x:c r="Q597" s="15" t="str">
        <x:v>Not checked</x:v>
      </x:c>
      <x:c r="R597" s="15" t="str"/>
      <x:c r="S597" s="15" t="str"/>
      <x:c r="T597" s="15" t="str">
        <x:v>Log first source path or blocker</x:v>
      </x:c>
      <x:c r="U597" s="12" t="str">
        <x:f>IF(OR(P597="Unverified",Q597="Not checked"),"BLOCKED_PENDING_RECEIPT","READY_FOR_REVIEW")</x:f>
        <x:v>BLOCKED_PENDING_RECEIPT</x:v>
      </x:c>
      <x:c r="V597" s="12" t="str">
        <x:f>IF(J597="DONE","RETURNED",IF(U597="BLOCKED_PENDING_RECEIPT","SOURCE_TOUCH_REQUIRED","IN_PROGRESS"))</x:f>
        <x:v>SOURCE_TOUCH_REQUIRED</x:v>
      </x:c>
      <x:c r="W597" s="12" t="str">
        <x:f>IF(P597="Unverified","missing_receipt","receipt_logged")</x:f>
        <x:v>missing_receipt</x:v>
      </x:c>
      <x:c r="X597" s="12" t="str">
        <x:f>IF(Q597="Not checked","raw_status_missing","raw_status_logged")</x:f>
        <x:v>raw_status_missing</x:v>
      </x:c>
      <x:c r="Y597" s="12" t="str">
        <x:f>IF(U597="BLOCKED_PENDING_RECEIPT","Log source path or blocker; do not promote","Route to review lane")</x:f>
        <x:v>Log source path or blocker; do not promote</x:v>
      </x:c>
      <x:c r="Z597" s="12" t="str">
        <x:f>IF(K597="P0","Primary seat + Hashlight/Lucerna","Seat lane")</x:f>
        <x:v>Seat lane</x:v>
      </x:c>
      <x:c r="AA597" s="12" t="str">
        <x:f>IF(R597="","no_claim_delta","claim_delta_present")</x:f>
        <x:v>no_claim_delta</x:v>
      </x:c>
      <x:c r="AB597" s="12" t="str">
        <x:f>IF(S597="","no_contradiction_delta","contradiction_delta_present")</x:f>
        <x:v>no_contradiction_delta</x:v>
      </x:c>
      <x:c r="AC597" s="12" t="str">
        <x:f>IF(OR(ISNUMBER(SEARCH("hacker",LOWER(F597&amp;" "&amp;H597&amp;" "&amp;I597&amp;" "&amp;M597&amp;" "&amp;N597&amp;" "&amp;T597))),ISNUMBER(SEARCH("hacking",LOWER(F597&amp;" "&amp;H597&amp;" "&amp;I597&amp;" "&amp;M597&amp;" "&amp;N597&amp;" "&amp;T597))),ISNUMBER(SEARCH("bank",LOWER(F597&amp;" "&amp;H597&amp;" "&amp;I597&amp;" "&amp;M597&amp;" "&amp;N597&amp;" "&amp;T597))),ISNUMBER(SEARCH("banking",LOWER(F597&amp;" "&amp;H597&amp;" "&amp;I597&amp;" "&amp;M597&amp;" "&amp;N597&amp;" "&amp;T597)))),"PRIVATE_QUARANTINE",IF(OR(ISNUMBER(SEARCH("treasury",LOWER(F597&amp;" "&amp;H597&amp;" "&amp;I597&amp;" "&amp;M597&amp;" "&amp;N597&amp;" "&amp;T597))),ISNUMBER(SEARCH("debt",LOWER(F597&amp;" "&amp;H597&amp;" "&amp;I597&amp;" "&amp;M597&amp;" "&amp;N597&amp;" "&amp;T597))),ISNUMBER(SEARCH("bond",LOWER(F597&amp;" "&amp;H597&amp;" "&amp;I597&amp;" "&amp;M597&amp;" "&amp;N597&amp;" "&amp;T597))),ISNUMBER(SEARCH("transaction",LOWER(F597&amp;" "&amp;H597&amp;" "&amp;I597&amp;" "&amp;M597&amp;" "&amp;N597&amp;" "&amp;T597)))),"PRIVATE_REVIEW","PUBLIC_CANDIDATE"))</x:f>
        <x:v>PUBLIC_CANDIDATE</x:v>
      </x:c>
      <x:c r="AD597" s="12" t="str">
        <x:f>IF(AC597="PRIVATE_QUARANTINE","hacker_or_bank_trigger",IF(AC597="PRIVATE_REVIEW","finance_risk_trigger","none"))</x:f>
        <x:v>none</x:v>
      </x:c>
      <x:c r="AE597" s="12" t="str">
        <x:f>IF(AC597="PUBLIC_CANDIDATE","prepare_public_github_candidate",IF(AC597="PRIVATE_REVIEW","hold_for_private_review","quarantine_private_do_not_publish"))</x:f>
        <x:v>prepare_public_github_candidate</x:v>
      </x:c>
      <x:c r="AF597" s="12" t="str">
        <x:f>IF(AC597="PUBLIC_CANDIDATE","TIDELOCK + Lucerna",IF(AC597="PRIVATE_REVIEW","AtlasBrain + Lucerna","TIDELOCK + Lucerna + Human-root"))</x:f>
        <x:v>TIDELOCK + Lucerna</x:v>
      </x:c>
      <x:c r="AG597" s="12" t="str">
        <x:f>IF(AND(AC597="PUBLIC_CANDIDATE",U597&lt;&gt;"BLOCKED_PENDING_RECEIPT"),"READY_AFTER_RECEIPT","NOT_READY")</x:f>
        <x:v>NOT_READY</x:v>
      </x:c>
      <x:c r="AH597" s="12" t="str">
        <x:f>IF(AC597="PUBLIC_CANDIDATE","none",AD597)</x:f>
        <x:v>none</x:v>
      </x:c>
      <x:c r="AI597" s="12" t="str">
        <x:f>IF(AC597="PUBLIC_CANDIDATE","archive/public_candidates/"&amp;A597,"private_quarantine/"&amp;A597)</x:f>
        <x:v>archive/public_candidates/SWARM-05-H02-S08</x:v>
      </x:c>
      <x:c r="AJ597" s="12" t="str">
        <x:f>IF(AC597="PUBLIC_CANDIDATE","public by default; still not canon","private/hold; do not publish")</x:f>
        <x:v>public by default; still not canon</x:v>
      </x:c>
      <x:c r="AK597" s="12" t="str">
        <x:f>IF(AE597="prepare_public_github_candidate","add receipt/status then mirror","resolve blocker before any public GitHub action")</x:f>
        <x:v>add receipt/status then mirror</x:v>
      </x:c>
    </x:row>
    <x:row r="598">
      <x:c r="A598" s="15" t="str">
        <x:v>SWARM-05-H02-S09</x:v>
      </x:c>
      <x:c r="B598" s="15" t="str">
        <x:v>Rootglass</x:v>
      </x:c>
      <x:c r="C598" s="15" t="str">
        <x:v>Canon gate mirror</x:v>
      </x:c>
      <x:c r="D598" s="15" t="str">
        <x:v>Receipt Verification</x:v>
      </x:c>
      <x:c r="E598" s="15" t="str">
        <x:v>Aetherforge</x:v>
      </x:c>
      <x:c r="F598" s="15" t="str">
        <x:v>Verify receipts for Aetherforge — Rootglass</x:v>
      </x:c>
      <x:c r="G598" s="15" t="str">
        <x:v>authority boundaries / ratification packets</x:v>
      </x:c>
      <x:c r="H598" s="15" t="str">
        <x:v>source path + receipt + raw/export status + claim/edge/risk delta</x:v>
      </x:c>
      <x:c r="I598" s="15" t="str">
        <x:v>packet/SWARM-05-H02-S09</x:v>
      </x:c>
      <x:c r="J598" s="15" t="str">
        <x:v>TODO</x:v>
      </x:c>
      <x:c r="K598" s="15" t="str">
        <x:v>P2</x:v>
      </x:c>
      <x:c r="L598" s="15" t="str">
        <x:v>Done only when evidence is logged, contradiction search is noted, and boundary stamp remains non-canon unless ratified</x:v>
      </x:c>
      <x:c r="M598" s="15" t="str">
        <x:v>candidate / staging-only / not canon / not deployed / authority none</x:v>
      </x:c>
      <x:c r="N598" s="15" t="str">
        <x:v>Dispatch to Rootglass: complete Receipt Verification x Aetherforge; return deltas only, receipts required.</x:v>
      </x:c>
      <x:c r="O598" s="15" t="str">
        <x:v>AF-KG-H02-S09</x:v>
      </x:c>
      <x:c r="P598" s="15" t="str">
        <x:v>Unverified</x:v>
      </x:c>
      <x:c r="Q598" s="15" t="str">
        <x:v>Not checked</x:v>
      </x:c>
      <x:c r="R598" s="15" t="str"/>
      <x:c r="S598" s="15" t="str"/>
      <x:c r="T598" s="15" t="str">
        <x:v>Log first source path or blocker</x:v>
      </x:c>
      <x:c r="U598" s="12" t="str">
        <x:f>IF(OR(P598="Unverified",Q598="Not checked"),"BLOCKED_PENDING_RECEIPT","READY_FOR_REVIEW")</x:f>
        <x:v>BLOCKED_PENDING_RECEIPT</x:v>
      </x:c>
      <x:c r="V598" s="12" t="str">
        <x:f>IF(J598="DONE","RETURNED",IF(U598="BLOCKED_PENDING_RECEIPT","SOURCE_TOUCH_REQUIRED","IN_PROGRESS"))</x:f>
        <x:v>SOURCE_TOUCH_REQUIRED</x:v>
      </x:c>
      <x:c r="W598" s="12" t="str">
        <x:f>IF(P598="Unverified","missing_receipt","receipt_logged")</x:f>
        <x:v>missing_receipt</x:v>
      </x:c>
      <x:c r="X598" s="12" t="str">
        <x:f>IF(Q598="Not checked","raw_status_missing","raw_status_logged")</x:f>
        <x:v>raw_status_missing</x:v>
      </x:c>
      <x:c r="Y598" s="12" t="str">
        <x:f>IF(U598="BLOCKED_PENDING_RECEIPT","Log source path or blocker; do not promote","Route to review lane")</x:f>
        <x:v>Log source path or blocker; do not promote</x:v>
      </x:c>
      <x:c r="Z598" s="12" t="str">
        <x:f>IF(K598="P0","Primary seat + Hashlight/Lucerna","Seat lane")</x:f>
        <x:v>Seat lane</x:v>
      </x:c>
      <x:c r="AA598" s="12" t="str">
        <x:f>IF(R598="","no_claim_delta","claim_delta_present")</x:f>
        <x:v>no_claim_delta</x:v>
      </x:c>
      <x:c r="AB598" s="12" t="str">
        <x:f>IF(S598="","no_contradiction_delta","contradiction_delta_present")</x:f>
        <x:v>no_contradiction_delta</x:v>
      </x:c>
      <x:c r="AC598" s="12" t="str">
        <x:f>IF(OR(ISNUMBER(SEARCH("hacker",LOWER(F598&amp;" "&amp;H598&amp;" "&amp;I598&amp;" "&amp;M598&amp;" "&amp;N598&amp;" "&amp;T598))),ISNUMBER(SEARCH("hacking",LOWER(F598&amp;" "&amp;H598&amp;" "&amp;I598&amp;" "&amp;M598&amp;" "&amp;N598&amp;" "&amp;T598))),ISNUMBER(SEARCH("bank",LOWER(F598&amp;" "&amp;H598&amp;" "&amp;I598&amp;" "&amp;M598&amp;" "&amp;N598&amp;" "&amp;T598))),ISNUMBER(SEARCH("banking",LOWER(F598&amp;" "&amp;H598&amp;" "&amp;I598&amp;" "&amp;M598&amp;" "&amp;N598&amp;" "&amp;T598)))),"PRIVATE_QUARANTINE",IF(OR(ISNUMBER(SEARCH("treasury",LOWER(F598&amp;" "&amp;H598&amp;" "&amp;I598&amp;" "&amp;M598&amp;" "&amp;N598&amp;" "&amp;T598))),ISNUMBER(SEARCH("debt",LOWER(F598&amp;" "&amp;H598&amp;" "&amp;I598&amp;" "&amp;M598&amp;" "&amp;N598&amp;" "&amp;T598))),ISNUMBER(SEARCH("bond",LOWER(F598&amp;" "&amp;H598&amp;" "&amp;I598&amp;" "&amp;M598&amp;" "&amp;N598&amp;" "&amp;T598))),ISNUMBER(SEARCH("transaction",LOWER(F598&amp;" "&amp;H598&amp;" "&amp;I598&amp;" "&amp;M598&amp;" "&amp;N598&amp;" "&amp;T598)))),"PRIVATE_REVIEW","PUBLIC_CANDIDATE"))</x:f>
        <x:v>PUBLIC_CANDIDATE</x:v>
      </x:c>
      <x:c r="AD598" s="12" t="str">
        <x:f>IF(AC598="PRIVATE_QUARANTINE","hacker_or_bank_trigger",IF(AC598="PRIVATE_REVIEW","finance_risk_trigger","none"))</x:f>
        <x:v>none</x:v>
      </x:c>
      <x:c r="AE598" s="12" t="str">
        <x:f>IF(AC598="PUBLIC_CANDIDATE","prepare_public_github_candidate",IF(AC598="PRIVATE_REVIEW","hold_for_private_review","quarantine_private_do_not_publish"))</x:f>
        <x:v>prepare_public_github_candidate</x:v>
      </x:c>
      <x:c r="AF598" s="12" t="str">
        <x:f>IF(AC598="PUBLIC_CANDIDATE","TIDELOCK + Lucerna",IF(AC598="PRIVATE_REVIEW","AtlasBrain + Lucerna","TIDELOCK + Lucerna + Human-root"))</x:f>
        <x:v>TIDELOCK + Lucerna</x:v>
      </x:c>
      <x:c r="AG598" s="12" t="str">
        <x:f>IF(AND(AC598="PUBLIC_CANDIDATE",U598&lt;&gt;"BLOCKED_PENDING_RECEIPT"),"READY_AFTER_RECEIPT","NOT_READY")</x:f>
        <x:v>NOT_READY</x:v>
      </x:c>
      <x:c r="AH598" s="12" t="str">
        <x:f>IF(AC598="PUBLIC_CANDIDATE","none",AD598)</x:f>
        <x:v>none</x:v>
      </x:c>
      <x:c r="AI598" s="12" t="str">
        <x:f>IF(AC598="PUBLIC_CANDIDATE","archive/public_candidates/"&amp;A598,"private_quarantine/"&amp;A598)</x:f>
        <x:v>archive/public_candidates/SWARM-05-H02-S09</x:v>
      </x:c>
      <x:c r="AJ598" s="12" t="str">
        <x:f>IF(AC598="PUBLIC_CANDIDATE","public by default; still not canon","private/hold; do not publish")</x:f>
        <x:v>public by default; still not canon</x:v>
      </x:c>
      <x:c r="AK598" s="12" t="str">
        <x:f>IF(AE598="prepare_public_github_candidate","add receipt/status then mirror","resolve blocker before any public GitHub action")</x:f>
        <x:v>add receipt/status then mirror</x:v>
      </x:c>
    </x:row>
    <x:row r="599">
      <x:c r="A599" s="15" t="str">
        <x:v>SWARM-05-H02-S10</x:v>
      </x:c>
      <x:c r="B599" s="15" t="str">
        <x:v>Rootglass</x:v>
      </x:c>
      <x:c r="C599" s="15" t="str">
        <x:v>Canon gate mirror</x:v>
      </x:c>
      <x:c r="D599" s="15" t="str">
        <x:v>Receipt Verification</x:v>
      </x:c>
      <x:c r="E599" s="15" t="str">
        <x:v>Human-Root</x:v>
      </x:c>
      <x:c r="F599" s="15" t="str">
        <x:v>Verify receipts for Human-Root — Rootglass</x:v>
      </x:c>
      <x:c r="G599" s="15" t="str">
        <x:v>authority boundaries / ratification packets</x:v>
      </x:c>
      <x:c r="H599" s="15" t="str">
        <x:v>source path + receipt + raw/export status + claim/edge/risk delta</x:v>
      </x:c>
      <x:c r="I599" s="15" t="str">
        <x:v>packet/SWARM-05-H02-S10</x:v>
      </x:c>
      <x:c r="J599" s="15" t="str">
        <x:v>TODO</x:v>
      </x:c>
      <x:c r="K599" s="15" t="str">
        <x:v>P2</x:v>
      </x:c>
      <x:c r="L599" s="15" t="str">
        <x:v>Done only when evidence is logged, contradiction search is noted, and boundary stamp remains non-canon unless ratified</x:v>
      </x:c>
      <x:c r="M599" s="15" t="str">
        <x:v>candidate / staging-only / not canon / not deployed / authority none</x:v>
      </x:c>
      <x:c r="N599" s="15" t="str">
        <x:v>Dispatch to Rootglass: complete Receipt Verification x Human-Root; return deltas only, receipts required.</x:v>
      </x:c>
      <x:c r="O599" s="15" t="str">
        <x:v>AF-KG-H02-S10</x:v>
      </x:c>
      <x:c r="P599" s="15" t="str">
        <x:v>Unverified</x:v>
      </x:c>
      <x:c r="Q599" s="15" t="str">
        <x:v>Not checked</x:v>
      </x:c>
      <x:c r="R599" s="15" t="str"/>
      <x:c r="S599" s="15" t="str"/>
      <x:c r="T599" s="15" t="str">
        <x:v>Log first source path or blocker</x:v>
      </x:c>
      <x:c r="U599" s="12" t="str">
        <x:f>IF(OR(P599="Unverified",Q599="Not checked"),"BLOCKED_PENDING_RECEIPT","READY_FOR_REVIEW")</x:f>
        <x:v>BLOCKED_PENDING_RECEIPT</x:v>
      </x:c>
      <x:c r="V599" s="12" t="str">
        <x:f>IF(J599="DONE","RETURNED",IF(U599="BLOCKED_PENDING_RECEIPT","SOURCE_TOUCH_REQUIRED","IN_PROGRESS"))</x:f>
        <x:v>SOURCE_TOUCH_REQUIRED</x:v>
      </x:c>
      <x:c r="W599" s="12" t="str">
        <x:f>IF(P599="Unverified","missing_receipt","receipt_logged")</x:f>
        <x:v>missing_receipt</x:v>
      </x:c>
      <x:c r="X599" s="12" t="str">
        <x:f>IF(Q599="Not checked","raw_status_missing","raw_status_logged")</x:f>
        <x:v>raw_status_missing</x:v>
      </x:c>
      <x:c r="Y599" s="12" t="str">
        <x:f>IF(U599="BLOCKED_PENDING_RECEIPT","Log source path or blocker; do not promote","Route to review lane")</x:f>
        <x:v>Log source path or blocker; do not promote</x:v>
      </x:c>
      <x:c r="Z599" s="12" t="str">
        <x:f>IF(K599="P0","Primary seat + Hashlight/Lucerna","Seat lane")</x:f>
        <x:v>Seat lane</x:v>
      </x:c>
      <x:c r="AA599" s="12" t="str">
        <x:f>IF(R599="","no_claim_delta","claim_delta_present")</x:f>
        <x:v>no_claim_delta</x:v>
      </x:c>
      <x:c r="AB599" s="12" t="str">
        <x:f>IF(S599="","no_contradiction_delta","contradiction_delta_present")</x:f>
        <x:v>no_contradiction_delta</x:v>
      </x:c>
      <x:c r="AC599" s="12" t="str">
        <x:f>IF(OR(ISNUMBER(SEARCH("hacker",LOWER(F599&amp;" "&amp;H599&amp;" "&amp;I599&amp;" "&amp;M599&amp;" "&amp;N599&amp;" "&amp;T599))),ISNUMBER(SEARCH("hacking",LOWER(F599&amp;" "&amp;H599&amp;" "&amp;I599&amp;" "&amp;M599&amp;" "&amp;N599&amp;" "&amp;T599))),ISNUMBER(SEARCH("bank",LOWER(F599&amp;" "&amp;H599&amp;" "&amp;I599&amp;" "&amp;M599&amp;" "&amp;N599&amp;" "&amp;T599))),ISNUMBER(SEARCH("banking",LOWER(F599&amp;" "&amp;H599&amp;" "&amp;I599&amp;" "&amp;M599&amp;" "&amp;N599&amp;" "&amp;T599)))),"PRIVATE_QUARANTINE",IF(OR(ISNUMBER(SEARCH("treasury",LOWER(F599&amp;" "&amp;H599&amp;" "&amp;I599&amp;" "&amp;M599&amp;" "&amp;N599&amp;" "&amp;T599))),ISNUMBER(SEARCH("debt",LOWER(F599&amp;" "&amp;H599&amp;" "&amp;I599&amp;" "&amp;M599&amp;" "&amp;N599&amp;" "&amp;T599))),ISNUMBER(SEARCH("bond",LOWER(F599&amp;" "&amp;H599&amp;" "&amp;I599&amp;" "&amp;M599&amp;" "&amp;N599&amp;" "&amp;T599))),ISNUMBER(SEARCH("transaction",LOWER(F599&amp;" "&amp;H599&amp;" "&amp;I599&amp;" "&amp;M599&amp;" "&amp;N599&amp;" "&amp;T599)))),"PRIVATE_REVIEW","PUBLIC_CANDIDATE"))</x:f>
        <x:v>PUBLIC_CANDIDATE</x:v>
      </x:c>
      <x:c r="AD599" s="12" t="str">
        <x:f>IF(AC599="PRIVATE_QUARANTINE","hacker_or_bank_trigger",IF(AC599="PRIVATE_REVIEW","finance_risk_trigger","none"))</x:f>
        <x:v>none</x:v>
      </x:c>
      <x:c r="AE599" s="12" t="str">
        <x:f>IF(AC599="PUBLIC_CANDIDATE","prepare_public_github_candidate",IF(AC599="PRIVATE_REVIEW","hold_for_private_review","quarantine_private_do_not_publish"))</x:f>
        <x:v>prepare_public_github_candidate</x:v>
      </x:c>
      <x:c r="AF599" s="12" t="str">
        <x:f>IF(AC599="PUBLIC_CANDIDATE","TIDELOCK + Lucerna",IF(AC599="PRIVATE_REVIEW","AtlasBrain + Lucerna","TIDELOCK + Lucerna + Human-root"))</x:f>
        <x:v>TIDELOCK + Lucerna</x:v>
      </x:c>
      <x:c r="AG599" s="12" t="str">
        <x:f>IF(AND(AC599="PUBLIC_CANDIDATE",U599&lt;&gt;"BLOCKED_PENDING_RECEIPT"),"READY_AFTER_RECEIPT","NOT_READY")</x:f>
        <x:v>NOT_READY</x:v>
      </x:c>
      <x:c r="AH599" s="12" t="str">
        <x:f>IF(AC599="PUBLIC_CANDIDATE","none",AD599)</x:f>
        <x:v>none</x:v>
      </x:c>
      <x:c r="AI599" s="12" t="str">
        <x:f>IF(AC599="PUBLIC_CANDIDATE","archive/public_candidates/"&amp;A599,"private_quarantine/"&amp;A599)</x:f>
        <x:v>archive/public_candidates/SWARM-05-H02-S10</x:v>
      </x:c>
      <x:c r="AJ599" s="12" t="str">
        <x:f>IF(AC599="PUBLIC_CANDIDATE","public by default; still not canon","private/hold; do not publish")</x:f>
        <x:v>public by default; still not canon</x:v>
      </x:c>
      <x:c r="AK599" s="12" t="str">
        <x:f>IF(AE599="prepare_public_github_candidate","add receipt/status then mirror","resolve blocker before any public GitHub action")</x:f>
        <x:v>add receipt/status then mirror</x:v>
      </x:c>
    </x:row>
    <x:row r="600">
      <x:c r="A600" s="15" t="str">
        <x:v>SWARM-05-H02-S11</x:v>
      </x:c>
      <x:c r="B600" s="15" t="str">
        <x:v>Rootglass</x:v>
      </x:c>
      <x:c r="C600" s="15" t="str">
        <x:v>Canon gate mirror</x:v>
      </x:c>
      <x:c r="D600" s="15" t="str">
        <x:v>Receipt Verification</x:v>
      </x:c>
      <x:c r="E600" s="15" t="str">
        <x:v>Automation</x:v>
      </x:c>
      <x:c r="F600" s="15" t="str">
        <x:v>Verify receipts for Automation — Rootglass</x:v>
      </x:c>
      <x:c r="G600" s="15" t="str">
        <x:v>authority boundaries / ratification packets</x:v>
      </x:c>
      <x:c r="H600" s="15" t="str">
        <x:v>source path + receipt + raw/export status + claim/edge/risk delta</x:v>
      </x:c>
      <x:c r="I600" s="15" t="str">
        <x:v>packet/SWARM-05-H02-S11</x:v>
      </x:c>
      <x:c r="J600" s="15" t="str">
        <x:v>TODO</x:v>
      </x:c>
      <x:c r="K600" s="15" t="str">
        <x:v>P2</x:v>
      </x:c>
      <x:c r="L600" s="15" t="str">
        <x:v>Done only when evidence is logged, contradiction search is noted, and boundary stamp remains non-canon unless ratified</x:v>
      </x:c>
      <x:c r="M600" s="15" t="str">
        <x:v>candidate / staging-only / not canon / not deployed / authority none</x:v>
      </x:c>
      <x:c r="N600" s="15" t="str">
        <x:v>Dispatch to Rootglass: complete Receipt Verification x Automation; return deltas only, receipts required.</x:v>
      </x:c>
      <x:c r="O600" s="15" t="str">
        <x:v>AF-KG-H02-S11</x:v>
      </x:c>
      <x:c r="P600" s="15" t="str">
        <x:v>Unverified</x:v>
      </x:c>
      <x:c r="Q600" s="15" t="str">
        <x:v>Not checked</x:v>
      </x:c>
      <x:c r="R600" s="15" t="str"/>
      <x:c r="S600" s="15" t="str"/>
      <x:c r="T600" s="15" t="str">
        <x:v>Log first source path or blocker</x:v>
      </x:c>
      <x:c r="U600" s="12" t="str">
        <x:f>IF(OR(P600="Unverified",Q600="Not checked"),"BLOCKED_PENDING_RECEIPT","READY_FOR_REVIEW")</x:f>
        <x:v>BLOCKED_PENDING_RECEIPT</x:v>
      </x:c>
      <x:c r="V600" s="12" t="str">
        <x:f>IF(J600="DONE","RETURNED",IF(U600="BLOCKED_PENDING_RECEIPT","SOURCE_TOUCH_REQUIRED","IN_PROGRESS"))</x:f>
        <x:v>SOURCE_TOUCH_REQUIRED</x:v>
      </x:c>
      <x:c r="W600" s="12" t="str">
        <x:f>IF(P600="Unverified","missing_receipt","receipt_logged")</x:f>
        <x:v>missing_receipt</x:v>
      </x:c>
      <x:c r="X600" s="12" t="str">
        <x:f>IF(Q600="Not checked","raw_status_missing","raw_status_logged")</x:f>
        <x:v>raw_status_missing</x:v>
      </x:c>
      <x:c r="Y600" s="12" t="str">
        <x:f>IF(U600="BLOCKED_PENDING_RECEIPT","Log source path or blocker; do not promote","Route to review lane")</x:f>
        <x:v>Log source path or blocker; do not promote</x:v>
      </x:c>
      <x:c r="Z600" s="12" t="str">
        <x:f>IF(K600="P0","Primary seat + Hashlight/Lucerna","Seat lane")</x:f>
        <x:v>Seat lane</x:v>
      </x:c>
      <x:c r="AA600" s="12" t="str">
        <x:f>IF(R600="","no_claim_delta","claim_delta_present")</x:f>
        <x:v>no_claim_delta</x:v>
      </x:c>
      <x:c r="AB600" s="12" t="str">
        <x:f>IF(S600="","no_contradiction_delta","contradiction_delta_present")</x:f>
        <x:v>no_contradiction_delta</x:v>
      </x:c>
      <x:c r="AC600" s="12" t="str">
        <x:f>IF(OR(ISNUMBER(SEARCH("hacker",LOWER(F600&amp;" "&amp;H600&amp;" "&amp;I600&amp;" "&amp;M600&amp;" "&amp;N600&amp;" "&amp;T600))),ISNUMBER(SEARCH("hacking",LOWER(F600&amp;" "&amp;H600&amp;" "&amp;I600&amp;" "&amp;M600&amp;" "&amp;N600&amp;" "&amp;T600))),ISNUMBER(SEARCH("bank",LOWER(F600&amp;" "&amp;H600&amp;" "&amp;I600&amp;" "&amp;M600&amp;" "&amp;N600&amp;" "&amp;T600))),ISNUMBER(SEARCH("banking",LOWER(F600&amp;" "&amp;H600&amp;" "&amp;I600&amp;" "&amp;M600&amp;" "&amp;N600&amp;" "&amp;T600)))),"PRIVATE_QUARANTINE",IF(OR(ISNUMBER(SEARCH("treasury",LOWER(F600&amp;" "&amp;H600&amp;" "&amp;I600&amp;" "&amp;M600&amp;" "&amp;N600&amp;" "&amp;T600))),ISNUMBER(SEARCH("debt",LOWER(F600&amp;" "&amp;H600&amp;" "&amp;I600&amp;" "&amp;M600&amp;" "&amp;N600&amp;" "&amp;T600))),ISNUMBER(SEARCH("bond",LOWER(F600&amp;" "&amp;H600&amp;" "&amp;I600&amp;" "&amp;M600&amp;" "&amp;N600&amp;" "&amp;T600))),ISNUMBER(SEARCH("transaction",LOWER(F600&amp;" "&amp;H600&amp;" "&amp;I600&amp;" "&amp;M600&amp;" "&amp;N600&amp;" "&amp;T600)))),"PRIVATE_REVIEW","PUBLIC_CANDIDATE"))</x:f>
        <x:v>PUBLIC_CANDIDATE</x:v>
      </x:c>
      <x:c r="AD600" s="12" t="str">
        <x:f>IF(AC600="PRIVATE_QUARANTINE","hacker_or_bank_trigger",IF(AC600="PRIVATE_REVIEW","finance_risk_trigger","none"))</x:f>
        <x:v>none</x:v>
      </x:c>
      <x:c r="AE600" s="12" t="str">
        <x:f>IF(AC600="PUBLIC_CANDIDATE","prepare_public_github_candidate",IF(AC600="PRIVATE_REVIEW","hold_for_private_review","quarantine_private_do_not_publish"))</x:f>
        <x:v>prepare_public_github_candidate</x:v>
      </x:c>
      <x:c r="AF600" s="12" t="str">
        <x:f>IF(AC600="PUBLIC_CANDIDATE","TIDELOCK + Lucerna",IF(AC600="PRIVATE_REVIEW","AtlasBrain + Lucerna","TIDELOCK + Lucerna + Human-root"))</x:f>
        <x:v>TIDELOCK + Lucerna</x:v>
      </x:c>
      <x:c r="AG600" s="12" t="str">
        <x:f>IF(AND(AC600="PUBLIC_CANDIDATE",U600&lt;&gt;"BLOCKED_PENDING_RECEIPT"),"READY_AFTER_RECEIPT","NOT_READY")</x:f>
        <x:v>NOT_READY</x:v>
      </x:c>
      <x:c r="AH600" s="12" t="str">
        <x:f>IF(AC600="PUBLIC_CANDIDATE","none",AD600)</x:f>
        <x:v>none</x:v>
      </x:c>
      <x:c r="AI600" s="12" t="str">
        <x:f>IF(AC600="PUBLIC_CANDIDATE","archive/public_candidates/"&amp;A600,"private_quarantine/"&amp;A600)</x:f>
        <x:v>archive/public_candidates/SWARM-05-H02-S11</x:v>
      </x:c>
      <x:c r="AJ600" s="12" t="str">
        <x:f>IF(AC600="PUBLIC_CANDIDATE","public by default; still not canon","private/hold; do not publish")</x:f>
        <x:v>public by default; still not canon</x:v>
      </x:c>
      <x:c r="AK600" s="12" t="str">
        <x:f>IF(AE600="prepare_public_github_candidate","add receipt/status then mirror","resolve blocker before any public GitHub action")</x:f>
        <x:v>add receipt/status then mirror</x:v>
      </x:c>
    </x:row>
    <x:row r="601">
      <x:c r="A601" s="15" t="str">
        <x:v>SWARM-05-H02-S12</x:v>
      </x:c>
      <x:c r="B601" s="15" t="str">
        <x:v>Rootglass</x:v>
      </x:c>
      <x:c r="C601" s="15" t="str">
        <x:v>Canon gate mirror</x:v>
      </x:c>
      <x:c r="D601" s="15" t="str">
        <x:v>Receipt Verification</x:v>
      </x:c>
      <x:c r="E601" s="15" t="str">
        <x:v>Risk / Safety</x:v>
      </x:c>
      <x:c r="F601" s="15" t="str">
        <x:v>Verify receipts for Risk / Safety — Rootglass</x:v>
      </x:c>
      <x:c r="G601" s="15" t="str">
        <x:v>authority boundaries / ratification packets</x:v>
      </x:c>
      <x:c r="H601" s="15" t="str">
        <x:v>source path + receipt + raw/export status + claim/edge/risk delta</x:v>
      </x:c>
      <x:c r="I601" s="15" t="str">
        <x:v>packet/SWARM-05-H02-S12</x:v>
      </x:c>
      <x:c r="J601" s="15" t="str">
        <x:v>TODO</x:v>
      </x:c>
      <x:c r="K601" s="15" t="str">
        <x:v>P2</x:v>
      </x:c>
      <x:c r="L601" s="15" t="str">
        <x:v>Done only when evidence is logged, contradiction search is noted, and boundary stamp remains non-canon unless ratified</x:v>
      </x:c>
      <x:c r="M601" s="15" t="str">
        <x:v>candidate / staging-only / not canon / not deployed / authority none</x:v>
      </x:c>
      <x:c r="N601" s="15" t="str">
        <x:v>Dispatch to Rootglass: complete Receipt Verification x Risk / Safety; return deltas only, receipts required.</x:v>
      </x:c>
      <x:c r="O601" s="15" t="str">
        <x:v>AF-KG-H02-S12</x:v>
      </x:c>
      <x:c r="P601" s="15" t="str">
        <x:v>Unverified</x:v>
      </x:c>
      <x:c r="Q601" s="15" t="str">
        <x:v>Not checked</x:v>
      </x:c>
      <x:c r="R601" s="15" t="str"/>
      <x:c r="S601" s="15" t="str"/>
      <x:c r="T601" s="15" t="str">
        <x:v>Log first source path or blocker</x:v>
      </x:c>
      <x:c r="U601" s="12" t="str">
        <x:f>IF(OR(P601="Unverified",Q601="Not checked"),"BLOCKED_PENDING_RECEIPT","READY_FOR_REVIEW")</x:f>
        <x:v>BLOCKED_PENDING_RECEIPT</x:v>
      </x:c>
      <x:c r="V601" s="12" t="str">
        <x:f>IF(J601="DONE","RETURNED",IF(U601="BLOCKED_PENDING_RECEIPT","SOURCE_TOUCH_REQUIRED","IN_PROGRESS"))</x:f>
        <x:v>SOURCE_TOUCH_REQUIRED</x:v>
      </x:c>
      <x:c r="W601" s="12" t="str">
        <x:f>IF(P601="Unverified","missing_receipt","receipt_logged")</x:f>
        <x:v>missing_receipt</x:v>
      </x:c>
      <x:c r="X601" s="12" t="str">
        <x:f>IF(Q601="Not checked","raw_status_missing","raw_status_logged")</x:f>
        <x:v>raw_status_missing</x:v>
      </x:c>
      <x:c r="Y601" s="12" t="str">
        <x:f>IF(U601="BLOCKED_PENDING_RECEIPT","Log source path or blocker; do not promote","Route to review lane")</x:f>
        <x:v>Log source path or blocker; do not promote</x:v>
      </x:c>
      <x:c r="Z601" s="12" t="str">
        <x:f>IF(K601="P0","Primary seat + Hashlight/Lucerna","Seat lane")</x:f>
        <x:v>Seat lane</x:v>
      </x:c>
      <x:c r="AA601" s="12" t="str">
        <x:f>IF(R601="","no_claim_delta","claim_delta_present")</x:f>
        <x:v>no_claim_delta</x:v>
      </x:c>
      <x:c r="AB601" s="12" t="str">
        <x:f>IF(S601="","no_contradiction_delta","contradiction_delta_present")</x:f>
        <x:v>no_contradiction_delta</x:v>
      </x:c>
      <x:c r="AC601" s="12" t="str">
        <x:f>IF(OR(ISNUMBER(SEARCH("hacker",LOWER(F601&amp;" "&amp;H601&amp;" "&amp;I601&amp;" "&amp;M601&amp;" "&amp;N601&amp;" "&amp;T601))),ISNUMBER(SEARCH("hacking",LOWER(F601&amp;" "&amp;H601&amp;" "&amp;I601&amp;" "&amp;M601&amp;" "&amp;N601&amp;" "&amp;T601))),ISNUMBER(SEARCH("bank",LOWER(F601&amp;" "&amp;H601&amp;" "&amp;I601&amp;" "&amp;M601&amp;" "&amp;N601&amp;" "&amp;T601))),ISNUMBER(SEARCH("banking",LOWER(F601&amp;" "&amp;H601&amp;" "&amp;I601&amp;" "&amp;M601&amp;" "&amp;N601&amp;" "&amp;T601)))),"PRIVATE_QUARANTINE",IF(OR(ISNUMBER(SEARCH("treasury",LOWER(F601&amp;" "&amp;H601&amp;" "&amp;I601&amp;" "&amp;M601&amp;" "&amp;N601&amp;" "&amp;T601))),ISNUMBER(SEARCH("debt",LOWER(F601&amp;" "&amp;H601&amp;" "&amp;I601&amp;" "&amp;M601&amp;" "&amp;N601&amp;" "&amp;T601))),ISNUMBER(SEARCH("bond",LOWER(F601&amp;" "&amp;H601&amp;" "&amp;I601&amp;" "&amp;M601&amp;" "&amp;N601&amp;" "&amp;T601))),ISNUMBER(SEARCH("transaction",LOWER(F601&amp;" "&amp;H601&amp;" "&amp;I601&amp;" "&amp;M601&amp;" "&amp;N601&amp;" "&amp;T601)))),"PRIVATE_REVIEW","PUBLIC_CANDIDATE"))</x:f>
        <x:v>PUBLIC_CANDIDATE</x:v>
      </x:c>
      <x:c r="AD601" s="12" t="str">
        <x:f>IF(AC601="PRIVATE_QUARANTINE","hacker_or_bank_trigger",IF(AC601="PRIVATE_REVIEW","finance_risk_trigger","none"))</x:f>
        <x:v>none</x:v>
      </x:c>
      <x:c r="AE601" s="12" t="str">
        <x:f>IF(AC601="PUBLIC_CANDIDATE","prepare_public_github_candidate",IF(AC601="PRIVATE_REVIEW","hold_for_private_review","quarantine_private_do_not_publish"))</x:f>
        <x:v>prepare_public_github_candidate</x:v>
      </x:c>
      <x:c r="AF601" s="12" t="str">
        <x:f>IF(AC601="PUBLIC_CANDIDATE","TIDELOCK + Lucerna",IF(AC601="PRIVATE_REVIEW","AtlasBrain + Lucerna","TIDELOCK + Lucerna + Human-root"))</x:f>
        <x:v>TIDELOCK + Lucerna</x:v>
      </x:c>
      <x:c r="AG601" s="12" t="str">
        <x:f>IF(AND(AC601="PUBLIC_CANDIDATE",U601&lt;&gt;"BLOCKED_PENDING_RECEIPT"),"READY_AFTER_RECEIPT","NOT_READY")</x:f>
        <x:v>NOT_READY</x:v>
      </x:c>
      <x:c r="AH601" s="12" t="str">
        <x:f>IF(AC601="PUBLIC_CANDIDATE","none",AD601)</x:f>
        <x:v>none</x:v>
      </x:c>
      <x:c r="AI601" s="12" t="str">
        <x:f>IF(AC601="PUBLIC_CANDIDATE","archive/public_candidates/"&amp;A601,"private_quarantine/"&amp;A601)</x:f>
        <x:v>archive/public_candidates/SWARM-05-H02-S12</x:v>
      </x:c>
      <x:c r="AJ601" s="12" t="str">
        <x:f>IF(AC601="PUBLIC_CANDIDATE","public by default; still not canon","private/hold; do not publish")</x:f>
        <x:v>public by default; still not canon</x:v>
      </x:c>
      <x:c r="AK601" s="12" t="str">
        <x:f>IF(AE601="prepare_public_github_candidate","add receipt/status then mirror","resolve blocker before any public GitHub action")</x:f>
        <x:v>add receipt/status then mirror</x:v>
      </x:c>
    </x:row>
    <x:row r="602">
      <x:c r="A602" s="15" t="str">
        <x:v>SWARM-05-H03-S01</x:v>
      </x:c>
      <x:c r="B602" s="15" t="str">
        <x:v>Rootglass</x:v>
      </x:c>
      <x:c r="C602" s="15" t="str">
        <x:v>Canon gate mirror</x:v>
      </x:c>
      <x:c r="D602" s="15" t="str">
        <x:v>Raw Export Recovery</x:v>
      </x:c>
      <x:c r="E602" s="15" t="str">
        <x:v>Notion</x:v>
      </x:c>
      <x:c r="F602" s="15" t="str">
        <x:v>Recover raw exports for Notion — Rootglass</x:v>
      </x:c>
      <x:c r="G602" s="15" t="str">
        <x:v>authority boundaries / ratification packets</x:v>
      </x:c>
      <x:c r="H602" s="15" t="str">
        <x:v>source path + receipt + raw/export status + claim/edge/risk delta</x:v>
      </x:c>
      <x:c r="I602" s="15" t="str">
        <x:v>packet/SWARM-05-H03-S01</x:v>
      </x:c>
      <x:c r="J602" s="15" t="str">
        <x:v>TODO</x:v>
      </x:c>
      <x:c r="K602" s="15" t="str">
        <x:v>P0</x:v>
      </x:c>
      <x:c r="L602" s="15" t="str">
        <x:v>Done only when evidence is logged, contradiction search is noted, and boundary stamp remains non-canon unless ratified</x:v>
      </x:c>
      <x:c r="M602" s="15" t="str">
        <x:v>candidate / staging-only / not canon / not deployed / authority none</x:v>
      </x:c>
      <x:c r="N602" s="15" t="str">
        <x:v>Dispatch to Rootglass: complete Raw Export Recovery x Notion; return deltas only, receipts required.</x:v>
      </x:c>
      <x:c r="O602" s="15" t="str">
        <x:v>AF-KG-H03-S01</x:v>
      </x:c>
      <x:c r="P602" s="15" t="str">
        <x:v>Unverified</x:v>
      </x:c>
      <x:c r="Q602" s="15" t="str">
        <x:v>Not checked</x:v>
      </x:c>
      <x:c r="R602" s="15" t="str"/>
      <x:c r="S602" s="15" t="str"/>
      <x:c r="T602" s="15" t="str">
        <x:v>Log first source path or blocker</x:v>
      </x:c>
      <x:c r="U602" s="12" t="str">
        <x:f>IF(OR(P602="Unverified",Q602="Not checked"),"BLOCKED_PENDING_RECEIPT","READY_FOR_REVIEW")</x:f>
        <x:v>BLOCKED_PENDING_RECEIPT</x:v>
      </x:c>
      <x:c r="V602" s="12" t="str">
        <x:f>IF(J602="DONE","RETURNED",IF(U602="BLOCKED_PENDING_RECEIPT","SOURCE_TOUCH_REQUIRED","IN_PROGRESS"))</x:f>
        <x:v>SOURCE_TOUCH_REQUIRED</x:v>
      </x:c>
      <x:c r="W602" s="12" t="str">
        <x:f>IF(P602="Unverified","missing_receipt","receipt_logged")</x:f>
        <x:v>missing_receipt</x:v>
      </x:c>
      <x:c r="X602" s="12" t="str">
        <x:f>IF(Q602="Not checked","raw_status_missing","raw_status_logged")</x:f>
        <x:v>raw_status_missing</x:v>
      </x:c>
      <x:c r="Y602" s="12" t="str">
        <x:f>IF(U602="BLOCKED_PENDING_RECEIPT","Log source path or blocker; do not promote","Route to review lane")</x:f>
        <x:v>Log source path or blocker; do not promote</x:v>
      </x:c>
      <x:c r="Z602" s="12" t="str">
        <x:f>IF(K602="P0","Primary seat + Hashlight/Lucerna","Seat lane")</x:f>
        <x:v>Primary seat + Hashlight/Lucerna</x:v>
      </x:c>
      <x:c r="AA602" s="12" t="str">
        <x:f>IF(R602="","no_claim_delta","claim_delta_present")</x:f>
        <x:v>no_claim_delta</x:v>
      </x:c>
      <x:c r="AB602" s="12" t="str">
        <x:f>IF(S602="","no_contradiction_delta","contradiction_delta_present")</x:f>
        <x:v>no_contradiction_delta</x:v>
      </x:c>
      <x:c r="AC602" s="12" t="str">
        <x:f>IF(OR(ISNUMBER(SEARCH("hacker",LOWER(F602&amp;" "&amp;H602&amp;" "&amp;I602&amp;" "&amp;M602&amp;" "&amp;N602&amp;" "&amp;T602))),ISNUMBER(SEARCH("hacking",LOWER(F602&amp;" "&amp;H602&amp;" "&amp;I602&amp;" "&amp;M602&amp;" "&amp;N602&amp;" "&amp;T602))),ISNUMBER(SEARCH("bank",LOWER(F602&amp;" "&amp;H602&amp;" "&amp;I602&amp;" "&amp;M602&amp;" "&amp;N602&amp;" "&amp;T602))),ISNUMBER(SEARCH("banking",LOWER(F602&amp;" "&amp;H602&amp;" "&amp;I602&amp;" "&amp;M602&amp;" "&amp;N602&amp;" "&amp;T602)))),"PRIVATE_QUARANTINE",IF(OR(ISNUMBER(SEARCH("treasury",LOWER(F602&amp;" "&amp;H602&amp;" "&amp;I602&amp;" "&amp;M602&amp;" "&amp;N602&amp;" "&amp;T602))),ISNUMBER(SEARCH("debt",LOWER(F602&amp;" "&amp;H602&amp;" "&amp;I602&amp;" "&amp;M602&amp;" "&amp;N602&amp;" "&amp;T602))),ISNUMBER(SEARCH("bond",LOWER(F602&amp;" "&amp;H602&amp;" "&amp;I602&amp;" "&amp;M602&amp;" "&amp;N602&amp;" "&amp;T602))),ISNUMBER(SEARCH("transaction",LOWER(F602&amp;" "&amp;H602&amp;" "&amp;I602&amp;" "&amp;M602&amp;" "&amp;N602&amp;" "&amp;T602)))),"PRIVATE_REVIEW","PUBLIC_CANDIDATE"))</x:f>
        <x:v>PUBLIC_CANDIDATE</x:v>
      </x:c>
      <x:c r="AD602" s="12" t="str">
        <x:f>IF(AC602="PRIVATE_QUARANTINE","hacker_or_bank_trigger",IF(AC602="PRIVATE_REVIEW","finance_risk_trigger","none"))</x:f>
        <x:v>none</x:v>
      </x:c>
      <x:c r="AE602" s="12" t="str">
        <x:f>IF(AC602="PUBLIC_CANDIDATE","prepare_public_github_candidate",IF(AC602="PRIVATE_REVIEW","hold_for_private_review","quarantine_private_do_not_publish"))</x:f>
        <x:v>prepare_public_github_candidate</x:v>
      </x:c>
      <x:c r="AF602" s="12" t="str">
        <x:f>IF(AC602="PUBLIC_CANDIDATE","TIDELOCK + Lucerna",IF(AC602="PRIVATE_REVIEW","AtlasBrain + Lucerna","TIDELOCK + Lucerna + Human-root"))</x:f>
        <x:v>TIDELOCK + Lucerna</x:v>
      </x:c>
      <x:c r="AG602" s="12" t="str">
        <x:f>IF(AND(AC602="PUBLIC_CANDIDATE",U602&lt;&gt;"BLOCKED_PENDING_RECEIPT"),"READY_AFTER_RECEIPT","NOT_READY")</x:f>
        <x:v>NOT_READY</x:v>
      </x:c>
      <x:c r="AH602" s="12" t="str">
        <x:f>IF(AC602="PUBLIC_CANDIDATE","none",AD602)</x:f>
        <x:v>none</x:v>
      </x:c>
      <x:c r="AI602" s="12" t="str">
        <x:f>IF(AC602="PUBLIC_CANDIDATE","archive/public_candidates/"&amp;A602,"private_quarantine/"&amp;A602)</x:f>
        <x:v>archive/public_candidates/SWARM-05-H03-S01</x:v>
      </x:c>
      <x:c r="AJ602" s="12" t="str">
        <x:f>IF(AC602="PUBLIC_CANDIDATE","public by default; still not canon","private/hold; do not publish")</x:f>
        <x:v>public by default; still not canon</x:v>
      </x:c>
      <x:c r="AK602" s="12" t="str">
        <x:f>IF(AE602="prepare_public_github_candidate","add receipt/status then mirror","resolve blocker before any public GitHub action")</x:f>
        <x:v>add receipt/status then mirror</x:v>
      </x:c>
    </x:row>
    <x:row r="603">
      <x:c r="A603" s="15" t="str">
        <x:v>SWARM-05-H03-S02</x:v>
      </x:c>
      <x:c r="B603" s="15" t="str">
        <x:v>Rootglass</x:v>
      </x:c>
      <x:c r="C603" s="15" t="str">
        <x:v>Canon gate mirror</x:v>
      </x:c>
      <x:c r="D603" s="15" t="str">
        <x:v>Raw Export Recovery</x:v>
      </x:c>
      <x:c r="E603" s="15" t="str">
        <x:v>Drive</x:v>
      </x:c>
      <x:c r="F603" s="15" t="str">
        <x:v>Recover raw exports for Drive — Rootglass</x:v>
      </x:c>
      <x:c r="G603" s="15" t="str">
        <x:v>authority boundaries / ratification packets</x:v>
      </x:c>
      <x:c r="H603" s="15" t="str">
        <x:v>source path + receipt + raw/export status + claim/edge/risk delta</x:v>
      </x:c>
      <x:c r="I603" s="15" t="str">
        <x:v>packet/SWARM-05-H03-S02</x:v>
      </x:c>
      <x:c r="J603" s="15" t="str">
        <x:v>TODO</x:v>
      </x:c>
      <x:c r="K603" s="15" t="str">
        <x:v>P0</x:v>
      </x:c>
      <x:c r="L603" s="15" t="str">
        <x:v>Done only when evidence is logged, contradiction search is noted, and boundary stamp remains non-canon unless ratified</x:v>
      </x:c>
      <x:c r="M603" s="15" t="str">
        <x:v>candidate / staging-only / not canon / not deployed / authority none</x:v>
      </x:c>
      <x:c r="N603" s="15" t="str">
        <x:v>Dispatch to Rootglass: complete Raw Export Recovery x Drive; return deltas only, receipts required.</x:v>
      </x:c>
      <x:c r="O603" s="15" t="str">
        <x:v>AF-KG-H03-S02</x:v>
      </x:c>
      <x:c r="P603" s="15" t="str">
        <x:v>Unverified</x:v>
      </x:c>
      <x:c r="Q603" s="15" t="str">
        <x:v>Not checked</x:v>
      </x:c>
      <x:c r="R603" s="15" t="str"/>
      <x:c r="S603" s="15" t="str"/>
      <x:c r="T603" s="15" t="str">
        <x:v>Log first source path or blocker</x:v>
      </x:c>
      <x:c r="U603" s="12" t="str">
        <x:f>IF(OR(P603="Unverified",Q603="Not checked"),"BLOCKED_PENDING_RECEIPT","READY_FOR_REVIEW")</x:f>
        <x:v>BLOCKED_PENDING_RECEIPT</x:v>
      </x:c>
      <x:c r="V603" s="12" t="str">
        <x:f>IF(J603="DONE","RETURNED",IF(U603="BLOCKED_PENDING_RECEIPT","SOURCE_TOUCH_REQUIRED","IN_PROGRESS"))</x:f>
        <x:v>SOURCE_TOUCH_REQUIRED</x:v>
      </x:c>
      <x:c r="W603" s="12" t="str">
        <x:f>IF(P603="Unverified","missing_receipt","receipt_logged")</x:f>
        <x:v>missing_receipt</x:v>
      </x:c>
      <x:c r="X603" s="12" t="str">
        <x:f>IF(Q603="Not checked","raw_status_missing","raw_status_logged")</x:f>
        <x:v>raw_status_missing</x:v>
      </x:c>
      <x:c r="Y603" s="12" t="str">
        <x:f>IF(U603="BLOCKED_PENDING_RECEIPT","Log source path or blocker; do not promote","Route to review lane")</x:f>
        <x:v>Log source path or blocker; do not promote</x:v>
      </x:c>
      <x:c r="Z603" s="12" t="str">
        <x:f>IF(K603="P0","Primary seat + Hashlight/Lucerna","Seat lane")</x:f>
        <x:v>Primary seat + Hashlight/Lucerna</x:v>
      </x:c>
      <x:c r="AA603" s="12" t="str">
        <x:f>IF(R603="","no_claim_delta","claim_delta_present")</x:f>
        <x:v>no_claim_delta</x:v>
      </x:c>
      <x:c r="AB603" s="12" t="str">
        <x:f>IF(S603="","no_contradiction_delta","contradiction_delta_present")</x:f>
        <x:v>no_contradiction_delta</x:v>
      </x:c>
      <x:c r="AC603" s="12" t="str">
        <x:f>IF(OR(ISNUMBER(SEARCH("hacker",LOWER(F603&amp;" "&amp;H603&amp;" "&amp;I603&amp;" "&amp;M603&amp;" "&amp;N603&amp;" "&amp;T603))),ISNUMBER(SEARCH("hacking",LOWER(F603&amp;" "&amp;H603&amp;" "&amp;I603&amp;" "&amp;M603&amp;" "&amp;N603&amp;" "&amp;T603))),ISNUMBER(SEARCH("bank",LOWER(F603&amp;" "&amp;H603&amp;" "&amp;I603&amp;" "&amp;M603&amp;" "&amp;N603&amp;" "&amp;T603))),ISNUMBER(SEARCH("banking",LOWER(F603&amp;" "&amp;H603&amp;" "&amp;I603&amp;" "&amp;M603&amp;" "&amp;N603&amp;" "&amp;T603)))),"PRIVATE_QUARANTINE",IF(OR(ISNUMBER(SEARCH("treasury",LOWER(F603&amp;" "&amp;H603&amp;" "&amp;I603&amp;" "&amp;M603&amp;" "&amp;N603&amp;" "&amp;T603))),ISNUMBER(SEARCH("debt",LOWER(F603&amp;" "&amp;H603&amp;" "&amp;I603&amp;" "&amp;M603&amp;" "&amp;N603&amp;" "&amp;T603))),ISNUMBER(SEARCH("bond",LOWER(F603&amp;" "&amp;H603&amp;" "&amp;I603&amp;" "&amp;M603&amp;" "&amp;N603&amp;" "&amp;T603))),ISNUMBER(SEARCH("transaction",LOWER(F603&amp;" "&amp;H603&amp;" "&amp;I603&amp;" "&amp;M603&amp;" "&amp;N603&amp;" "&amp;T603)))),"PRIVATE_REVIEW","PUBLIC_CANDIDATE"))</x:f>
        <x:v>PUBLIC_CANDIDATE</x:v>
      </x:c>
      <x:c r="AD603" s="12" t="str">
        <x:f>IF(AC603="PRIVATE_QUARANTINE","hacker_or_bank_trigger",IF(AC603="PRIVATE_REVIEW","finance_risk_trigger","none"))</x:f>
        <x:v>none</x:v>
      </x:c>
      <x:c r="AE603" s="12" t="str">
        <x:f>IF(AC603="PUBLIC_CANDIDATE","prepare_public_github_candidate",IF(AC603="PRIVATE_REVIEW","hold_for_private_review","quarantine_private_do_not_publish"))</x:f>
        <x:v>prepare_public_github_candidate</x:v>
      </x:c>
      <x:c r="AF603" s="12" t="str">
        <x:f>IF(AC603="PUBLIC_CANDIDATE","TIDELOCK + Lucerna",IF(AC603="PRIVATE_REVIEW","AtlasBrain + Lucerna","TIDELOCK + Lucerna + Human-root"))</x:f>
        <x:v>TIDELOCK + Lucerna</x:v>
      </x:c>
      <x:c r="AG603" s="12" t="str">
        <x:f>IF(AND(AC603="PUBLIC_CANDIDATE",U603&lt;&gt;"BLOCKED_PENDING_RECEIPT"),"READY_AFTER_RECEIPT","NOT_READY")</x:f>
        <x:v>NOT_READY</x:v>
      </x:c>
      <x:c r="AH603" s="12" t="str">
        <x:f>IF(AC603="PUBLIC_CANDIDATE","none",AD603)</x:f>
        <x:v>none</x:v>
      </x:c>
      <x:c r="AI603" s="12" t="str">
        <x:f>IF(AC603="PUBLIC_CANDIDATE","archive/public_candidates/"&amp;A603,"private_quarantine/"&amp;A603)</x:f>
        <x:v>archive/public_candidates/SWARM-05-H03-S02</x:v>
      </x:c>
      <x:c r="AJ603" s="12" t="str">
        <x:f>IF(AC603="PUBLIC_CANDIDATE","public by default; still not canon","private/hold; do not publish")</x:f>
        <x:v>public by default; still not canon</x:v>
      </x:c>
      <x:c r="AK603" s="12" t="str">
        <x:f>IF(AE603="prepare_public_github_candidate","add receipt/status then mirror","resolve blocker before any public GitHub action")</x:f>
        <x:v>add receipt/status then mirror</x:v>
      </x:c>
    </x:row>
    <x:row r="604">
      <x:c r="A604" s="15" t="str">
        <x:v>SWARM-05-H03-S03</x:v>
      </x:c>
      <x:c r="B604" s="15" t="str">
        <x:v>Rootglass</x:v>
      </x:c>
      <x:c r="C604" s="15" t="str">
        <x:v>Canon gate mirror</x:v>
      </x:c>
      <x:c r="D604" s="15" t="str">
        <x:v>Raw Export Recovery</x:v>
      </x:c>
      <x:c r="E604" s="15" t="str">
        <x:v>GitHub</x:v>
      </x:c>
      <x:c r="F604" s="15" t="str">
        <x:v>Recover raw exports for GitHub — Rootglass</x:v>
      </x:c>
      <x:c r="G604" s="15" t="str">
        <x:v>authority boundaries / ratification packets</x:v>
      </x:c>
      <x:c r="H604" s="15" t="str">
        <x:v>source path + receipt + raw/export status + claim/edge/risk delta</x:v>
      </x:c>
      <x:c r="I604" s="15" t="str">
        <x:v>packet/SWARM-05-H03-S03</x:v>
      </x:c>
      <x:c r="J604" s="15" t="str">
        <x:v>TODO</x:v>
      </x:c>
      <x:c r="K604" s="15" t="str">
        <x:v>P0</x:v>
      </x:c>
      <x:c r="L604" s="15" t="str">
        <x:v>Done only when evidence is logged, contradiction search is noted, and boundary stamp remains non-canon unless ratified</x:v>
      </x:c>
      <x:c r="M604" s="15" t="str">
        <x:v>candidate / staging-only / not canon / not deployed / authority none</x:v>
      </x:c>
      <x:c r="N604" s="15" t="str">
        <x:v>Dispatch to Rootglass: complete Raw Export Recovery x GitHub; return deltas only, receipts required.</x:v>
      </x:c>
      <x:c r="O604" s="15" t="str">
        <x:v>AF-KG-H03-S03</x:v>
      </x:c>
      <x:c r="P604" s="15" t="str">
        <x:v>Unverified</x:v>
      </x:c>
      <x:c r="Q604" s="15" t="str">
        <x:v>Not checked</x:v>
      </x:c>
      <x:c r="R604" s="15" t="str"/>
      <x:c r="S604" s="15" t="str"/>
      <x:c r="T604" s="15" t="str">
        <x:v>Log first source path or blocker</x:v>
      </x:c>
      <x:c r="U604" s="12" t="str">
        <x:f>IF(OR(P604="Unverified",Q604="Not checked"),"BLOCKED_PENDING_RECEIPT","READY_FOR_REVIEW")</x:f>
        <x:v>BLOCKED_PENDING_RECEIPT</x:v>
      </x:c>
      <x:c r="V604" s="12" t="str">
        <x:f>IF(J604="DONE","RETURNED",IF(U604="BLOCKED_PENDING_RECEIPT","SOURCE_TOUCH_REQUIRED","IN_PROGRESS"))</x:f>
        <x:v>SOURCE_TOUCH_REQUIRED</x:v>
      </x:c>
      <x:c r="W604" s="12" t="str">
        <x:f>IF(P604="Unverified","missing_receipt","receipt_logged")</x:f>
        <x:v>missing_receipt</x:v>
      </x:c>
      <x:c r="X604" s="12" t="str">
        <x:f>IF(Q604="Not checked","raw_status_missing","raw_status_logged")</x:f>
        <x:v>raw_status_missing</x:v>
      </x:c>
      <x:c r="Y604" s="12" t="str">
        <x:f>IF(U604="BLOCKED_PENDING_RECEIPT","Log source path or blocker; do not promote","Route to review lane")</x:f>
        <x:v>Log source path or blocker; do not promote</x:v>
      </x:c>
      <x:c r="Z604" s="12" t="str">
        <x:f>IF(K604="P0","Primary seat + Hashlight/Lucerna","Seat lane")</x:f>
        <x:v>Primary seat + Hashlight/Lucerna</x:v>
      </x:c>
      <x:c r="AA604" s="12" t="str">
        <x:f>IF(R604="","no_claim_delta","claim_delta_present")</x:f>
        <x:v>no_claim_delta</x:v>
      </x:c>
      <x:c r="AB604" s="12" t="str">
        <x:f>IF(S604="","no_contradiction_delta","contradiction_delta_present")</x:f>
        <x:v>no_contradiction_delta</x:v>
      </x:c>
      <x:c r="AC604" s="12" t="str">
        <x:f>IF(OR(ISNUMBER(SEARCH("hacker",LOWER(F604&amp;" "&amp;H604&amp;" "&amp;I604&amp;" "&amp;M604&amp;" "&amp;N604&amp;" "&amp;T604))),ISNUMBER(SEARCH("hacking",LOWER(F604&amp;" "&amp;H604&amp;" "&amp;I604&amp;" "&amp;M604&amp;" "&amp;N604&amp;" "&amp;T604))),ISNUMBER(SEARCH("bank",LOWER(F604&amp;" "&amp;H604&amp;" "&amp;I604&amp;" "&amp;M604&amp;" "&amp;N604&amp;" "&amp;T604))),ISNUMBER(SEARCH("banking",LOWER(F604&amp;" "&amp;H604&amp;" "&amp;I604&amp;" "&amp;M604&amp;" "&amp;N604&amp;" "&amp;T604)))),"PRIVATE_QUARANTINE",IF(OR(ISNUMBER(SEARCH("treasury",LOWER(F604&amp;" "&amp;H604&amp;" "&amp;I604&amp;" "&amp;M604&amp;" "&amp;N604&amp;" "&amp;T604))),ISNUMBER(SEARCH("debt",LOWER(F604&amp;" "&amp;H604&amp;" "&amp;I604&amp;" "&amp;M604&amp;" "&amp;N604&amp;" "&amp;T604))),ISNUMBER(SEARCH("bond",LOWER(F604&amp;" "&amp;H604&amp;" "&amp;I604&amp;" "&amp;M604&amp;" "&amp;N604&amp;" "&amp;T604))),ISNUMBER(SEARCH("transaction",LOWER(F604&amp;" "&amp;H604&amp;" "&amp;I604&amp;" "&amp;M604&amp;" "&amp;N604&amp;" "&amp;T604)))),"PRIVATE_REVIEW","PUBLIC_CANDIDATE"))</x:f>
        <x:v>PUBLIC_CANDIDATE</x:v>
      </x:c>
      <x:c r="AD604" s="12" t="str">
        <x:f>IF(AC604="PRIVATE_QUARANTINE","hacker_or_bank_trigger",IF(AC604="PRIVATE_REVIEW","finance_risk_trigger","none"))</x:f>
        <x:v>none</x:v>
      </x:c>
      <x:c r="AE604" s="12" t="str">
        <x:f>IF(AC604="PUBLIC_CANDIDATE","prepare_public_github_candidate",IF(AC604="PRIVATE_REVIEW","hold_for_private_review","quarantine_private_do_not_publish"))</x:f>
        <x:v>prepare_public_github_candidate</x:v>
      </x:c>
      <x:c r="AF604" s="12" t="str">
        <x:f>IF(AC604="PUBLIC_CANDIDATE","TIDELOCK + Lucerna",IF(AC604="PRIVATE_REVIEW","AtlasBrain + Lucerna","TIDELOCK + Lucerna + Human-root"))</x:f>
        <x:v>TIDELOCK + Lucerna</x:v>
      </x:c>
      <x:c r="AG604" s="12" t="str">
        <x:f>IF(AND(AC604="PUBLIC_CANDIDATE",U604&lt;&gt;"BLOCKED_PENDING_RECEIPT"),"READY_AFTER_RECEIPT","NOT_READY")</x:f>
        <x:v>NOT_READY</x:v>
      </x:c>
      <x:c r="AH604" s="12" t="str">
        <x:f>IF(AC604="PUBLIC_CANDIDATE","none",AD604)</x:f>
        <x:v>none</x:v>
      </x:c>
      <x:c r="AI604" s="12" t="str">
        <x:f>IF(AC604="PUBLIC_CANDIDATE","archive/public_candidates/"&amp;A604,"private_quarantine/"&amp;A604)</x:f>
        <x:v>archive/public_candidates/SWARM-05-H03-S03</x:v>
      </x:c>
      <x:c r="AJ604" s="12" t="str">
        <x:f>IF(AC604="PUBLIC_CANDIDATE","public by default; still not canon","private/hold; do not publish")</x:f>
        <x:v>public by default; still not canon</x:v>
      </x:c>
      <x:c r="AK604" s="12" t="str">
        <x:f>IF(AE604="prepare_public_github_candidate","add receipt/status then mirror","resolve blocker before any public GitHub action")</x:f>
        <x:v>add receipt/status then mirror</x:v>
      </x:c>
    </x:row>
    <x:row r="605">
      <x:c r="A605" s="15" t="str">
        <x:v>SWARM-05-H03-S04</x:v>
      </x:c>
      <x:c r="B605" s="15" t="str">
        <x:v>Rootglass</x:v>
      </x:c>
      <x:c r="C605" s="15" t="str">
        <x:v>Canon gate mirror</x:v>
      </x:c>
      <x:c r="D605" s="15" t="str">
        <x:v>Raw Export Recovery</x:v>
      </x:c>
      <x:c r="E605" s="15" t="str">
        <x:v>Gamma</x:v>
      </x:c>
      <x:c r="F605" s="15" t="str">
        <x:v>Recover raw exports for Gamma — Rootglass</x:v>
      </x:c>
      <x:c r="G605" s="15" t="str">
        <x:v>authority boundaries / ratification packets</x:v>
      </x:c>
      <x:c r="H605" s="15" t="str">
        <x:v>source path + receipt + raw/export status + claim/edge/risk delta</x:v>
      </x:c>
      <x:c r="I605" s="15" t="str">
        <x:v>packet/SWARM-05-H03-S04</x:v>
      </x:c>
      <x:c r="J605" s="15" t="str">
        <x:v>TODO</x:v>
      </x:c>
      <x:c r="K605" s="15" t="str">
        <x:v>P1</x:v>
      </x:c>
      <x:c r="L605" s="15" t="str">
        <x:v>Done only when evidence is logged, contradiction search is noted, and boundary stamp remains non-canon unless ratified</x:v>
      </x:c>
      <x:c r="M605" s="15" t="str">
        <x:v>candidate / staging-only / not canon / not deployed / authority none</x:v>
      </x:c>
      <x:c r="N605" s="15" t="str">
        <x:v>Dispatch to Rootglass: complete Raw Export Recovery x Gamma; return deltas only, receipts required.</x:v>
      </x:c>
      <x:c r="O605" s="15" t="str">
        <x:v>AF-KG-H03-S04</x:v>
      </x:c>
      <x:c r="P605" s="15" t="str">
        <x:v>Unverified</x:v>
      </x:c>
      <x:c r="Q605" s="15" t="str">
        <x:v>Not checked</x:v>
      </x:c>
      <x:c r="R605" s="15" t="str"/>
      <x:c r="S605" s="15" t="str"/>
      <x:c r="T605" s="15" t="str">
        <x:v>Log first source path or blocker</x:v>
      </x:c>
      <x:c r="U605" s="12" t="str">
        <x:f>IF(OR(P605="Unverified",Q605="Not checked"),"BLOCKED_PENDING_RECEIPT","READY_FOR_REVIEW")</x:f>
        <x:v>BLOCKED_PENDING_RECEIPT</x:v>
      </x:c>
      <x:c r="V605" s="12" t="str">
        <x:f>IF(J605="DONE","RETURNED",IF(U605="BLOCKED_PENDING_RECEIPT","SOURCE_TOUCH_REQUIRED","IN_PROGRESS"))</x:f>
        <x:v>SOURCE_TOUCH_REQUIRED</x:v>
      </x:c>
      <x:c r="W605" s="12" t="str">
        <x:f>IF(P605="Unverified","missing_receipt","receipt_logged")</x:f>
        <x:v>missing_receipt</x:v>
      </x:c>
      <x:c r="X605" s="12" t="str">
        <x:f>IF(Q605="Not checked","raw_status_missing","raw_status_logged")</x:f>
        <x:v>raw_status_missing</x:v>
      </x:c>
      <x:c r="Y605" s="12" t="str">
        <x:f>IF(U605="BLOCKED_PENDING_RECEIPT","Log source path or blocker; do not promote","Route to review lane")</x:f>
        <x:v>Log source path or blocker; do not promote</x:v>
      </x:c>
      <x:c r="Z605" s="12" t="str">
        <x:f>IF(K605="P0","Primary seat + Hashlight/Lucerna","Seat lane")</x:f>
        <x:v>Seat lane</x:v>
      </x:c>
      <x:c r="AA605" s="12" t="str">
        <x:f>IF(R605="","no_claim_delta","claim_delta_present")</x:f>
        <x:v>no_claim_delta</x:v>
      </x:c>
      <x:c r="AB605" s="12" t="str">
        <x:f>IF(S605="","no_contradiction_delta","contradiction_delta_present")</x:f>
        <x:v>no_contradiction_delta</x:v>
      </x:c>
      <x:c r="AC605" s="12" t="str">
        <x:f>IF(OR(ISNUMBER(SEARCH("hacker",LOWER(F605&amp;" "&amp;H605&amp;" "&amp;I605&amp;" "&amp;M605&amp;" "&amp;N605&amp;" "&amp;T605))),ISNUMBER(SEARCH("hacking",LOWER(F605&amp;" "&amp;H605&amp;" "&amp;I605&amp;" "&amp;M605&amp;" "&amp;N605&amp;" "&amp;T605))),ISNUMBER(SEARCH("bank",LOWER(F605&amp;" "&amp;H605&amp;" "&amp;I605&amp;" "&amp;M605&amp;" "&amp;N605&amp;" "&amp;T605))),ISNUMBER(SEARCH("banking",LOWER(F605&amp;" "&amp;H605&amp;" "&amp;I605&amp;" "&amp;M605&amp;" "&amp;N605&amp;" "&amp;T605)))),"PRIVATE_QUARANTINE",IF(OR(ISNUMBER(SEARCH("treasury",LOWER(F605&amp;" "&amp;H605&amp;" "&amp;I605&amp;" "&amp;M605&amp;" "&amp;N605&amp;" "&amp;T605))),ISNUMBER(SEARCH("debt",LOWER(F605&amp;" "&amp;H605&amp;" "&amp;I605&amp;" "&amp;M605&amp;" "&amp;N605&amp;" "&amp;T605))),ISNUMBER(SEARCH("bond",LOWER(F605&amp;" "&amp;H605&amp;" "&amp;I605&amp;" "&amp;M605&amp;" "&amp;N605&amp;" "&amp;T605))),ISNUMBER(SEARCH("transaction",LOWER(F605&amp;" "&amp;H605&amp;" "&amp;I605&amp;" "&amp;M605&amp;" "&amp;N605&amp;" "&amp;T605)))),"PRIVATE_REVIEW","PUBLIC_CANDIDATE"))</x:f>
        <x:v>PUBLIC_CANDIDATE</x:v>
      </x:c>
      <x:c r="AD605" s="12" t="str">
        <x:f>IF(AC605="PRIVATE_QUARANTINE","hacker_or_bank_trigger",IF(AC605="PRIVATE_REVIEW","finance_risk_trigger","none"))</x:f>
        <x:v>none</x:v>
      </x:c>
      <x:c r="AE605" s="12" t="str">
        <x:f>IF(AC605="PUBLIC_CANDIDATE","prepare_public_github_candidate",IF(AC605="PRIVATE_REVIEW","hold_for_private_review","quarantine_private_do_not_publish"))</x:f>
        <x:v>prepare_public_github_candidate</x:v>
      </x:c>
      <x:c r="AF605" s="12" t="str">
        <x:f>IF(AC605="PUBLIC_CANDIDATE","TIDELOCK + Lucerna",IF(AC605="PRIVATE_REVIEW","AtlasBrain + Lucerna","TIDELOCK + Lucerna + Human-root"))</x:f>
        <x:v>TIDELOCK + Lucerna</x:v>
      </x:c>
      <x:c r="AG605" s="12" t="str">
        <x:f>IF(AND(AC605="PUBLIC_CANDIDATE",U605&lt;&gt;"BLOCKED_PENDING_RECEIPT"),"READY_AFTER_RECEIPT","NOT_READY")</x:f>
        <x:v>NOT_READY</x:v>
      </x:c>
      <x:c r="AH605" s="12" t="str">
        <x:f>IF(AC605="PUBLIC_CANDIDATE","none",AD605)</x:f>
        <x:v>none</x:v>
      </x:c>
      <x:c r="AI605" s="12" t="str">
        <x:f>IF(AC605="PUBLIC_CANDIDATE","archive/public_candidates/"&amp;A605,"private_quarantine/"&amp;A605)</x:f>
        <x:v>archive/public_candidates/SWARM-05-H03-S04</x:v>
      </x:c>
      <x:c r="AJ605" s="12" t="str">
        <x:f>IF(AC605="PUBLIC_CANDIDATE","public by default; still not canon","private/hold; do not publish")</x:f>
        <x:v>public by default; still not canon</x:v>
      </x:c>
      <x:c r="AK605" s="12" t="str">
        <x:f>IF(AE605="prepare_public_github_candidate","add receipt/status then mirror","resolve blocker before any public GitHub action")</x:f>
        <x:v>add receipt/status then mirror</x:v>
      </x:c>
    </x:row>
    <x:row r="606">
      <x:c r="A606" s="15" t="str">
        <x:v>SWARM-05-H03-S05</x:v>
      </x:c>
      <x:c r="B606" s="15" t="str">
        <x:v>Rootglass</x:v>
      </x:c>
      <x:c r="C606" s="15" t="str">
        <x:v>Canon gate mirror</x:v>
      </x:c>
      <x:c r="D606" s="15" t="str">
        <x:v>Raw Export Recovery</x:v>
      </x:c>
      <x:c r="E606" s="15" t="str">
        <x:v>Chat</x:v>
      </x:c>
      <x:c r="F606" s="15" t="str">
        <x:v>Recover raw exports for Chat — Rootglass</x:v>
      </x:c>
      <x:c r="G606" s="15" t="str">
        <x:v>authority boundaries / ratification packets</x:v>
      </x:c>
      <x:c r="H606" s="15" t="str">
        <x:v>source path + receipt + raw/export status + claim/edge/risk delta</x:v>
      </x:c>
      <x:c r="I606" s="15" t="str">
        <x:v>packet/SWARM-05-H03-S05</x:v>
      </x:c>
      <x:c r="J606" s="15" t="str">
        <x:v>TODO</x:v>
      </x:c>
      <x:c r="K606" s="15" t="str">
        <x:v>P1</x:v>
      </x:c>
      <x:c r="L606" s="15" t="str">
        <x:v>Done only when evidence is logged, contradiction search is noted, and boundary stamp remains non-canon unless ratified</x:v>
      </x:c>
      <x:c r="M606" s="15" t="str">
        <x:v>candidate / staging-only / not canon / not deployed / authority none</x:v>
      </x:c>
      <x:c r="N606" s="15" t="str">
        <x:v>Dispatch to Rootglass: complete Raw Export Recovery x Chat; return deltas only, receipts required.</x:v>
      </x:c>
      <x:c r="O606" s="15" t="str">
        <x:v>AF-KG-H03-S05</x:v>
      </x:c>
      <x:c r="P606" s="15" t="str">
        <x:v>Unverified</x:v>
      </x:c>
      <x:c r="Q606" s="15" t="str">
        <x:v>Not checked</x:v>
      </x:c>
      <x:c r="R606" s="15" t="str"/>
      <x:c r="S606" s="15" t="str"/>
      <x:c r="T606" s="15" t="str">
        <x:v>Log first source path or blocker</x:v>
      </x:c>
      <x:c r="U606" s="12" t="str">
        <x:f>IF(OR(P606="Unverified",Q606="Not checked"),"BLOCKED_PENDING_RECEIPT","READY_FOR_REVIEW")</x:f>
        <x:v>BLOCKED_PENDING_RECEIPT</x:v>
      </x:c>
      <x:c r="V606" s="12" t="str">
        <x:f>IF(J606="DONE","RETURNED",IF(U606="BLOCKED_PENDING_RECEIPT","SOURCE_TOUCH_REQUIRED","IN_PROGRESS"))</x:f>
        <x:v>SOURCE_TOUCH_REQUIRED</x:v>
      </x:c>
      <x:c r="W606" s="12" t="str">
        <x:f>IF(P606="Unverified","missing_receipt","receipt_logged")</x:f>
        <x:v>missing_receipt</x:v>
      </x:c>
      <x:c r="X606" s="12" t="str">
        <x:f>IF(Q606="Not checked","raw_status_missing","raw_status_logged")</x:f>
        <x:v>raw_status_missing</x:v>
      </x:c>
      <x:c r="Y606" s="12" t="str">
        <x:f>IF(U606="BLOCKED_PENDING_RECEIPT","Log source path or blocker; do not promote","Route to review lane")</x:f>
        <x:v>Log source path or blocker; do not promote</x:v>
      </x:c>
      <x:c r="Z606" s="12" t="str">
        <x:f>IF(K606="P0","Primary seat + Hashlight/Lucerna","Seat lane")</x:f>
        <x:v>Seat lane</x:v>
      </x:c>
      <x:c r="AA606" s="12" t="str">
        <x:f>IF(R606="","no_claim_delta","claim_delta_present")</x:f>
        <x:v>no_claim_delta</x:v>
      </x:c>
      <x:c r="AB606" s="12" t="str">
        <x:f>IF(S606="","no_contradiction_delta","contradiction_delta_present")</x:f>
        <x:v>no_contradiction_delta</x:v>
      </x:c>
      <x:c r="AC606" s="12" t="str">
        <x:f>IF(OR(ISNUMBER(SEARCH("hacker",LOWER(F606&amp;" "&amp;H606&amp;" "&amp;I606&amp;" "&amp;M606&amp;" "&amp;N606&amp;" "&amp;T606))),ISNUMBER(SEARCH("hacking",LOWER(F606&amp;" "&amp;H606&amp;" "&amp;I606&amp;" "&amp;M606&amp;" "&amp;N606&amp;" "&amp;T606))),ISNUMBER(SEARCH("bank",LOWER(F606&amp;" "&amp;H606&amp;" "&amp;I606&amp;" "&amp;M606&amp;" "&amp;N606&amp;" "&amp;T606))),ISNUMBER(SEARCH("banking",LOWER(F606&amp;" "&amp;H606&amp;" "&amp;I606&amp;" "&amp;M606&amp;" "&amp;N606&amp;" "&amp;T606)))),"PRIVATE_QUARANTINE",IF(OR(ISNUMBER(SEARCH("treasury",LOWER(F606&amp;" "&amp;H606&amp;" "&amp;I606&amp;" "&amp;M606&amp;" "&amp;N606&amp;" "&amp;T606))),ISNUMBER(SEARCH("debt",LOWER(F606&amp;" "&amp;H606&amp;" "&amp;I606&amp;" "&amp;M606&amp;" "&amp;N606&amp;" "&amp;T606))),ISNUMBER(SEARCH("bond",LOWER(F606&amp;" "&amp;H606&amp;" "&amp;I606&amp;" "&amp;M606&amp;" "&amp;N606&amp;" "&amp;T606))),ISNUMBER(SEARCH("transaction",LOWER(F606&amp;" "&amp;H606&amp;" "&amp;I606&amp;" "&amp;M606&amp;" "&amp;N606&amp;" "&amp;T606)))),"PRIVATE_REVIEW","PUBLIC_CANDIDATE"))</x:f>
        <x:v>PUBLIC_CANDIDATE</x:v>
      </x:c>
      <x:c r="AD606" s="12" t="str">
        <x:f>IF(AC606="PRIVATE_QUARANTINE","hacker_or_bank_trigger",IF(AC606="PRIVATE_REVIEW","finance_risk_trigger","none"))</x:f>
        <x:v>none</x:v>
      </x:c>
      <x:c r="AE606" s="12" t="str">
        <x:f>IF(AC606="PUBLIC_CANDIDATE","prepare_public_github_candidate",IF(AC606="PRIVATE_REVIEW","hold_for_private_review","quarantine_private_do_not_publish"))</x:f>
        <x:v>prepare_public_github_candidate</x:v>
      </x:c>
      <x:c r="AF606" s="12" t="str">
        <x:f>IF(AC606="PUBLIC_CANDIDATE","TIDELOCK + Lucerna",IF(AC606="PRIVATE_REVIEW","AtlasBrain + Lucerna","TIDELOCK + Lucerna + Human-root"))</x:f>
        <x:v>TIDELOCK + Lucerna</x:v>
      </x:c>
      <x:c r="AG606" s="12" t="str">
        <x:f>IF(AND(AC606="PUBLIC_CANDIDATE",U606&lt;&gt;"BLOCKED_PENDING_RECEIPT"),"READY_AFTER_RECEIPT","NOT_READY")</x:f>
        <x:v>NOT_READY</x:v>
      </x:c>
      <x:c r="AH606" s="12" t="str">
        <x:f>IF(AC606="PUBLIC_CANDIDATE","none",AD606)</x:f>
        <x:v>none</x:v>
      </x:c>
      <x:c r="AI606" s="12" t="str">
        <x:f>IF(AC606="PUBLIC_CANDIDATE","archive/public_candidates/"&amp;A606,"private_quarantine/"&amp;A606)</x:f>
        <x:v>archive/public_candidates/SWARM-05-H03-S05</x:v>
      </x:c>
      <x:c r="AJ606" s="12" t="str">
        <x:f>IF(AC606="PUBLIC_CANDIDATE","public by default; still not canon","private/hold; do not publish")</x:f>
        <x:v>public by default; still not canon</x:v>
      </x:c>
      <x:c r="AK606" s="12" t="str">
        <x:f>IF(AE606="prepare_public_github_candidate","add receipt/status then mirror","resolve blocker before any public GitHub action")</x:f>
        <x:v>add receipt/status then mirror</x:v>
      </x:c>
    </x:row>
    <x:row r="607">
      <x:c r="A607" s="15" t="str">
        <x:v>SWARM-05-H03-S06</x:v>
      </x:c>
      <x:c r="B607" s="15" t="str">
        <x:v>Rootglass</x:v>
      </x:c>
      <x:c r="C607" s="15" t="str">
        <x:v>Canon gate mirror</x:v>
      </x:c>
      <x:c r="D607" s="15" t="str">
        <x:v>Raw Export Recovery</x:v>
      </x:c>
      <x:c r="E607" s="15" t="str">
        <x:v>External Web</x:v>
      </x:c>
      <x:c r="F607" s="15" t="str">
        <x:v>Recover raw exports for External Web — Rootglass</x:v>
      </x:c>
      <x:c r="G607" s="15" t="str">
        <x:v>authority boundaries / ratification packets</x:v>
      </x:c>
      <x:c r="H607" s="15" t="str">
        <x:v>source path + receipt + raw/export status + claim/edge/risk delta</x:v>
      </x:c>
      <x:c r="I607" s="15" t="str">
        <x:v>packet/SWARM-05-H03-S06</x:v>
      </x:c>
      <x:c r="J607" s="15" t="str">
        <x:v>TODO</x:v>
      </x:c>
      <x:c r="K607" s="15" t="str">
        <x:v>P1</x:v>
      </x:c>
      <x:c r="L607" s="15" t="str">
        <x:v>Done only when evidence is logged, contradiction search is noted, and boundary stamp remains non-canon unless ratified</x:v>
      </x:c>
      <x:c r="M607" s="15" t="str">
        <x:v>candidate / staging-only / not canon / not deployed / authority none</x:v>
      </x:c>
      <x:c r="N607" s="15" t="str">
        <x:v>Dispatch to Rootglass: complete Raw Export Recovery x External Web; return deltas only, receipts required.</x:v>
      </x:c>
      <x:c r="O607" s="15" t="str">
        <x:v>AF-KG-H03-S06</x:v>
      </x:c>
      <x:c r="P607" s="15" t="str">
        <x:v>Unverified</x:v>
      </x:c>
      <x:c r="Q607" s="15" t="str">
        <x:v>Not checked</x:v>
      </x:c>
      <x:c r="R607" s="15" t="str"/>
      <x:c r="S607" s="15" t="str"/>
      <x:c r="T607" s="15" t="str">
        <x:v>Log first source path or blocker</x:v>
      </x:c>
      <x:c r="U607" s="12" t="str">
        <x:f>IF(OR(P607="Unverified",Q607="Not checked"),"BLOCKED_PENDING_RECEIPT","READY_FOR_REVIEW")</x:f>
        <x:v>BLOCKED_PENDING_RECEIPT</x:v>
      </x:c>
      <x:c r="V607" s="12" t="str">
        <x:f>IF(J607="DONE","RETURNED",IF(U607="BLOCKED_PENDING_RECEIPT","SOURCE_TOUCH_REQUIRED","IN_PROGRESS"))</x:f>
        <x:v>SOURCE_TOUCH_REQUIRED</x:v>
      </x:c>
      <x:c r="W607" s="12" t="str">
        <x:f>IF(P607="Unverified","missing_receipt","receipt_logged")</x:f>
        <x:v>missing_receipt</x:v>
      </x:c>
      <x:c r="X607" s="12" t="str">
        <x:f>IF(Q607="Not checked","raw_status_missing","raw_status_logged")</x:f>
        <x:v>raw_status_missing</x:v>
      </x:c>
      <x:c r="Y607" s="12" t="str">
        <x:f>IF(U607="BLOCKED_PENDING_RECEIPT","Log source path or blocker; do not promote","Route to review lane")</x:f>
        <x:v>Log source path or blocker; do not promote</x:v>
      </x:c>
      <x:c r="Z607" s="12" t="str">
        <x:f>IF(K607="P0","Primary seat + Hashlight/Lucerna","Seat lane")</x:f>
        <x:v>Seat lane</x:v>
      </x:c>
      <x:c r="AA607" s="12" t="str">
        <x:f>IF(R607="","no_claim_delta","claim_delta_present")</x:f>
        <x:v>no_claim_delta</x:v>
      </x:c>
      <x:c r="AB607" s="12" t="str">
        <x:f>IF(S607="","no_contradiction_delta","contradiction_delta_present")</x:f>
        <x:v>no_contradiction_delta</x:v>
      </x:c>
      <x:c r="AC607" s="12" t="str">
        <x:f>IF(OR(ISNUMBER(SEARCH("hacker",LOWER(F607&amp;" "&amp;H607&amp;" "&amp;I607&amp;" "&amp;M607&amp;" "&amp;N607&amp;" "&amp;T607))),ISNUMBER(SEARCH("hacking",LOWER(F607&amp;" "&amp;H607&amp;" "&amp;I607&amp;" "&amp;M607&amp;" "&amp;N607&amp;" "&amp;T607))),ISNUMBER(SEARCH("bank",LOWER(F607&amp;" "&amp;H607&amp;" "&amp;I607&amp;" "&amp;M607&amp;" "&amp;N607&amp;" "&amp;T607))),ISNUMBER(SEARCH("banking",LOWER(F607&amp;" "&amp;H607&amp;" "&amp;I607&amp;" "&amp;M607&amp;" "&amp;N607&amp;" "&amp;T607)))),"PRIVATE_QUARANTINE",IF(OR(ISNUMBER(SEARCH("treasury",LOWER(F607&amp;" "&amp;H607&amp;" "&amp;I607&amp;" "&amp;M607&amp;" "&amp;N607&amp;" "&amp;T607))),ISNUMBER(SEARCH("debt",LOWER(F607&amp;" "&amp;H607&amp;" "&amp;I607&amp;" "&amp;M607&amp;" "&amp;N607&amp;" "&amp;T607))),ISNUMBER(SEARCH("bond",LOWER(F607&amp;" "&amp;H607&amp;" "&amp;I607&amp;" "&amp;M607&amp;" "&amp;N607&amp;" "&amp;T607))),ISNUMBER(SEARCH("transaction",LOWER(F607&amp;" "&amp;H607&amp;" "&amp;I607&amp;" "&amp;M607&amp;" "&amp;N607&amp;" "&amp;T607)))),"PRIVATE_REVIEW","PUBLIC_CANDIDATE"))</x:f>
        <x:v>PUBLIC_CANDIDATE</x:v>
      </x:c>
      <x:c r="AD607" s="12" t="str">
        <x:f>IF(AC607="PRIVATE_QUARANTINE","hacker_or_bank_trigger",IF(AC607="PRIVATE_REVIEW","finance_risk_trigger","none"))</x:f>
        <x:v>none</x:v>
      </x:c>
      <x:c r="AE607" s="12" t="str">
        <x:f>IF(AC607="PUBLIC_CANDIDATE","prepare_public_github_candidate",IF(AC607="PRIVATE_REVIEW","hold_for_private_review","quarantine_private_do_not_publish"))</x:f>
        <x:v>prepare_public_github_candidate</x:v>
      </x:c>
      <x:c r="AF607" s="12" t="str">
        <x:f>IF(AC607="PUBLIC_CANDIDATE","TIDELOCK + Lucerna",IF(AC607="PRIVATE_REVIEW","AtlasBrain + Lucerna","TIDELOCK + Lucerna + Human-root"))</x:f>
        <x:v>TIDELOCK + Lucerna</x:v>
      </x:c>
      <x:c r="AG607" s="12" t="str">
        <x:f>IF(AND(AC607="PUBLIC_CANDIDATE",U607&lt;&gt;"BLOCKED_PENDING_RECEIPT"),"READY_AFTER_RECEIPT","NOT_READY")</x:f>
        <x:v>NOT_READY</x:v>
      </x:c>
      <x:c r="AH607" s="12" t="str">
        <x:f>IF(AC607="PUBLIC_CANDIDATE","none",AD607)</x:f>
        <x:v>none</x:v>
      </x:c>
      <x:c r="AI607" s="12" t="str">
        <x:f>IF(AC607="PUBLIC_CANDIDATE","archive/public_candidates/"&amp;A607,"private_quarantine/"&amp;A607)</x:f>
        <x:v>archive/public_candidates/SWARM-05-H03-S06</x:v>
      </x:c>
      <x:c r="AJ607" s="12" t="str">
        <x:f>IF(AC607="PUBLIC_CANDIDATE","public by default; still not canon","private/hold; do not publish")</x:f>
        <x:v>public by default; still not canon</x:v>
      </x:c>
      <x:c r="AK607" s="12" t="str">
        <x:f>IF(AE607="prepare_public_github_candidate","add receipt/status then mirror","resolve blocker before any public GitHub action")</x:f>
        <x:v>add receipt/status then mirror</x:v>
      </x:c>
    </x:row>
    <x:row r="608">
      <x:c r="A608" s="15" t="str">
        <x:v>SWARM-05-H03-S07</x:v>
      </x:c>
      <x:c r="B608" s="15" t="str">
        <x:v>Rootglass</x:v>
      </x:c>
      <x:c r="C608" s="15" t="str">
        <x:v>Canon gate mirror</x:v>
      </x:c>
      <x:c r="D608" s="15" t="str">
        <x:v>Raw Export Recovery</x:v>
      </x:c>
      <x:c r="E608" s="15" t="str">
        <x:v>Planetarium</x:v>
      </x:c>
      <x:c r="F608" s="15" t="str">
        <x:v>Recover raw exports for Planetarium — Rootglass</x:v>
      </x:c>
      <x:c r="G608" s="15" t="str">
        <x:v>authority boundaries / ratification packets</x:v>
      </x:c>
      <x:c r="H608" s="15" t="str">
        <x:v>source path + receipt + raw/export status + claim/edge/risk delta</x:v>
      </x:c>
      <x:c r="I608" s="15" t="str">
        <x:v>packet/SWARM-05-H03-S07</x:v>
      </x:c>
      <x:c r="J608" s="15" t="str">
        <x:v>TODO</x:v>
      </x:c>
      <x:c r="K608" s="15" t="str">
        <x:v>P1</x:v>
      </x:c>
      <x:c r="L608" s="15" t="str">
        <x:v>Done only when evidence is logged, contradiction search is noted, and boundary stamp remains non-canon unless ratified</x:v>
      </x:c>
      <x:c r="M608" s="15" t="str">
        <x:v>candidate / staging-only / not canon / not deployed / authority none</x:v>
      </x:c>
      <x:c r="N608" s="15" t="str">
        <x:v>Dispatch to Rootglass: complete Raw Export Recovery x Planetarium; return deltas only, receipts required.</x:v>
      </x:c>
      <x:c r="O608" s="15" t="str">
        <x:v>AF-KG-H03-S07</x:v>
      </x:c>
      <x:c r="P608" s="15" t="str">
        <x:v>Unverified</x:v>
      </x:c>
      <x:c r="Q608" s="15" t="str">
        <x:v>Not checked</x:v>
      </x:c>
      <x:c r="R608" s="15" t="str"/>
      <x:c r="S608" s="15" t="str"/>
      <x:c r="T608" s="15" t="str">
        <x:v>Log first source path or blocker</x:v>
      </x:c>
      <x:c r="U608" s="12" t="str">
        <x:f>IF(OR(P608="Unverified",Q608="Not checked"),"BLOCKED_PENDING_RECEIPT","READY_FOR_REVIEW")</x:f>
        <x:v>BLOCKED_PENDING_RECEIPT</x:v>
      </x:c>
      <x:c r="V608" s="12" t="str">
        <x:f>IF(J608="DONE","RETURNED",IF(U608="BLOCKED_PENDING_RECEIPT","SOURCE_TOUCH_REQUIRED","IN_PROGRESS"))</x:f>
        <x:v>SOURCE_TOUCH_REQUIRED</x:v>
      </x:c>
      <x:c r="W608" s="12" t="str">
        <x:f>IF(P608="Unverified","missing_receipt","receipt_logged")</x:f>
        <x:v>missing_receipt</x:v>
      </x:c>
      <x:c r="X608" s="12" t="str">
        <x:f>IF(Q608="Not checked","raw_status_missing","raw_status_logged")</x:f>
        <x:v>raw_status_missing</x:v>
      </x:c>
      <x:c r="Y608" s="12" t="str">
        <x:f>IF(U608="BLOCKED_PENDING_RECEIPT","Log source path or blocker; do not promote","Route to review lane")</x:f>
        <x:v>Log source path or blocker; do not promote</x:v>
      </x:c>
      <x:c r="Z608" s="12" t="str">
        <x:f>IF(K608="P0","Primary seat + Hashlight/Lucerna","Seat lane")</x:f>
        <x:v>Seat lane</x:v>
      </x:c>
      <x:c r="AA608" s="12" t="str">
        <x:f>IF(R608="","no_claim_delta","claim_delta_present")</x:f>
        <x:v>no_claim_delta</x:v>
      </x:c>
      <x:c r="AB608" s="12" t="str">
        <x:f>IF(S608="","no_contradiction_delta","contradiction_delta_present")</x:f>
        <x:v>no_contradiction_delta</x:v>
      </x:c>
      <x:c r="AC608" s="12" t="str">
        <x:f>IF(OR(ISNUMBER(SEARCH("hacker",LOWER(F608&amp;" "&amp;H608&amp;" "&amp;I608&amp;" "&amp;M608&amp;" "&amp;N608&amp;" "&amp;T608))),ISNUMBER(SEARCH("hacking",LOWER(F608&amp;" "&amp;H608&amp;" "&amp;I608&amp;" "&amp;M608&amp;" "&amp;N608&amp;" "&amp;T608))),ISNUMBER(SEARCH("bank",LOWER(F608&amp;" "&amp;H608&amp;" "&amp;I608&amp;" "&amp;M608&amp;" "&amp;N608&amp;" "&amp;T608))),ISNUMBER(SEARCH("banking",LOWER(F608&amp;" "&amp;H608&amp;" "&amp;I608&amp;" "&amp;M608&amp;" "&amp;N608&amp;" "&amp;T608)))),"PRIVATE_QUARANTINE",IF(OR(ISNUMBER(SEARCH("treasury",LOWER(F608&amp;" "&amp;H608&amp;" "&amp;I608&amp;" "&amp;M608&amp;" "&amp;N608&amp;" "&amp;T608))),ISNUMBER(SEARCH("debt",LOWER(F608&amp;" "&amp;H608&amp;" "&amp;I608&amp;" "&amp;M608&amp;" "&amp;N608&amp;" "&amp;T608))),ISNUMBER(SEARCH("bond",LOWER(F608&amp;" "&amp;H608&amp;" "&amp;I608&amp;" "&amp;M608&amp;" "&amp;N608&amp;" "&amp;T608))),ISNUMBER(SEARCH("transaction",LOWER(F608&amp;" "&amp;H608&amp;" "&amp;I608&amp;" "&amp;M608&amp;" "&amp;N608&amp;" "&amp;T608)))),"PRIVATE_REVIEW","PUBLIC_CANDIDATE"))</x:f>
        <x:v>PUBLIC_CANDIDATE</x:v>
      </x:c>
      <x:c r="AD608" s="12" t="str">
        <x:f>IF(AC608="PRIVATE_QUARANTINE","hacker_or_bank_trigger",IF(AC608="PRIVATE_REVIEW","finance_risk_trigger","none"))</x:f>
        <x:v>none</x:v>
      </x:c>
      <x:c r="AE608" s="12" t="str">
        <x:f>IF(AC608="PUBLIC_CANDIDATE","prepare_public_github_candidate",IF(AC608="PRIVATE_REVIEW","hold_for_private_review","quarantine_private_do_not_publish"))</x:f>
        <x:v>prepare_public_github_candidate</x:v>
      </x:c>
      <x:c r="AF608" s="12" t="str">
        <x:f>IF(AC608="PUBLIC_CANDIDATE","TIDELOCK + Lucerna",IF(AC608="PRIVATE_REVIEW","AtlasBrain + Lucerna","TIDELOCK + Lucerna + Human-root"))</x:f>
        <x:v>TIDELOCK + Lucerna</x:v>
      </x:c>
      <x:c r="AG608" s="12" t="str">
        <x:f>IF(AND(AC608="PUBLIC_CANDIDATE",U608&lt;&gt;"BLOCKED_PENDING_RECEIPT"),"READY_AFTER_RECEIPT","NOT_READY")</x:f>
        <x:v>NOT_READY</x:v>
      </x:c>
      <x:c r="AH608" s="12" t="str">
        <x:f>IF(AC608="PUBLIC_CANDIDATE","none",AD608)</x:f>
        <x:v>none</x:v>
      </x:c>
      <x:c r="AI608" s="12" t="str">
        <x:f>IF(AC608="PUBLIC_CANDIDATE","archive/public_candidates/"&amp;A608,"private_quarantine/"&amp;A608)</x:f>
        <x:v>archive/public_candidates/SWARM-05-H03-S07</x:v>
      </x:c>
      <x:c r="AJ608" s="12" t="str">
        <x:f>IF(AC608="PUBLIC_CANDIDATE","public by default; still not canon","private/hold; do not publish")</x:f>
        <x:v>public by default; still not canon</x:v>
      </x:c>
      <x:c r="AK608" s="12" t="str">
        <x:f>IF(AE608="prepare_public_github_candidate","add receipt/status then mirror","resolve blocker before any public GitHub action")</x:f>
        <x:v>add receipt/status then mirror</x:v>
      </x:c>
    </x:row>
    <x:row r="609">
      <x:c r="A609" s="15" t="str">
        <x:v>SWARM-05-H03-S08</x:v>
      </x:c>
      <x:c r="B609" s="15" t="str">
        <x:v>Rootglass</x:v>
      </x:c>
      <x:c r="C609" s="15" t="str">
        <x:v>Canon gate mirror</x:v>
      </x:c>
      <x:c r="D609" s="15" t="str">
        <x:v>Raw Export Recovery</x:v>
      </x:c>
      <x:c r="E609" s="15" t="str">
        <x:v>Sheldonbrain</x:v>
      </x:c>
      <x:c r="F609" s="15" t="str">
        <x:v>Recover raw exports for Sheldonbrain — Rootglass</x:v>
      </x:c>
      <x:c r="G609" s="15" t="str">
        <x:v>authority boundaries / ratification packets</x:v>
      </x:c>
      <x:c r="H609" s="15" t="str">
        <x:v>source path + receipt + raw/export status + claim/edge/risk delta</x:v>
      </x:c>
      <x:c r="I609" s="15" t="str">
        <x:v>packet/SWARM-05-H03-S08</x:v>
      </x:c>
      <x:c r="J609" s="15" t="str">
        <x:v>TODO</x:v>
      </x:c>
      <x:c r="K609" s="15" t="str">
        <x:v>P1</x:v>
      </x:c>
      <x:c r="L609" s="15" t="str">
        <x:v>Done only when evidence is logged, contradiction search is noted, and boundary stamp remains non-canon unless ratified</x:v>
      </x:c>
      <x:c r="M609" s="15" t="str">
        <x:v>candidate / staging-only / not canon / not deployed / authority none</x:v>
      </x:c>
      <x:c r="N609" s="15" t="str">
        <x:v>Dispatch to Rootglass: complete Raw Export Recovery x Sheldonbrain; return deltas only, receipts required.</x:v>
      </x:c>
      <x:c r="O609" s="15" t="str">
        <x:v>AF-KG-H03-S08</x:v>
      </x:c>
      <x:c r="P609" s="15" t="str">
        <x:v>Unverified</x:v>
      </x:c>
      <x:c r="Q609" s="15" t="str">
        <x:v>Not checked</x:v>
      </x:c>
      <x:c r="R609" s="15" t="str"/>
      <x:c r="S609" s="15" t="str"/>
      <x:c r="T609" s="15" t="str">
        <x:v>Log first source path or blocker</x:v>
      </x:c>
      <x:c r="U609" s="12" t="str">
        <x:f>IF(OR(P609="Unverified",Q609="Not checked"),"BLOCKED_PENDING_RECEIPT","READY_FOR_REVIEW")</x:f>
        <x:v>BLOCKED_PENDING_RECEIPT</x:v>
      </x:c>
      <x:c r="V609" s="12" t="str">
        <x:f>IF(J609="DONE","RETURNED",IF(U609="BLOCKED_PENDING_RECEIPT","SOURCE_TOUCH_REQUIRED","IN_PROGRESS"))</x:f>
        <x:v>SOURCE_TOUCH_REQUIRED</x:v>
      </x:c>
      <x:c r="W609" s="12" t="str">
        <x:f>IF(P609="Unverified","missing_receipt","receipt_logged")</x:f>
        <x:v>missing_receipt</x:v>
      </x:c>
      <x:c r="X609" s="12" t="str">
        <x:f>IF(Q609="Not checked","raw_status_missing","raw_status_logged")</x:f>
        <x:v>raw_status_missing</x:v>
      </x:c>
      <x:c r="Y609" s="12" t="str">
        <x:f>IF(U609="BLOCKED_PENDING_RECEIPT","Log source path or blocker; do not promote","Route to review lane")</x:f>
        <x:v>Log source path or blocker; do not promote</x:v>
      </x:c>
      <x:c r="Z609" s="12" t="str">
        <x:f>IF(K609="P0","Primary seat + Hashlight/Lucerna","Seat lane")</x:f>
        <x:v>Seat lane</x:v>
      </x:c>
      <x:c r="AA609" s="12" t="str">
        <x:f>IF(R609="","no_claim_delta","claim_delta_present")</x:f>
        <x:v>no_claim_delta</x:v>
      </x:c>
      <x:c r="AB609" s="12" t="str">
        <x:f>IF(S609="","no_contradiction_delta","contradiction_delta_present")</x:f>
        <x:v>no_contradiction_delta</x:v>
      </x:c>
      <x:c r="AC609" s="12" t="str">
        <x:f>IF(OR(ISNUMBER(SEARCH("hacker",LOWER(F609&amp;" "&amp;H609&amp;" "&amp;I609&amp;" "&amp;M609&amp;" "&amp;N609&amp;" "&amp;T609))),ISNUMBER(SEARCH("hacking",LOWER(F609&amp;" "&amp;H609&amp;" "&amp;I609&amp;" "&amp;M609&amp;" "&amp;N609&amp;" "&amp;T609))),ISNUMBER(SEARCH("bank",LOWER(F609&amp;" "&amp;H609&amp;" "&amp;I609&amp;" "&amp;M609&amp;" "&amp;N609&amp;" "&amp;T609))),ISNUMBER(SEARCH("banking",LOWER(F609&amp;" "&amp;H609&amp;" "&amp;I609&amp;" "&amp;M609&amp;" "&amp;N609&amp;" "&amp;T609)))),"PRIVATE_QUARANTINE",IF(OR(ISNUMBER(SEARCH("treasury",LOWER(F609&amp;" "&amp;H609&amp;" "&amp;I609&amp;" "&amp;M609&amp;" "&amp;N609&amp;" "&amp;T609))),ISNUMBER(SEARCH("debt",LOWER(F609&amp;" "&amp;H609&amp;" "&amp;I609&amp;" "&amp;M609&amp;" "&amp;N609&amp;" "&amp;T609))),ISNUMBER(SEARCH("bond",LOWER(F609&amp;" "&amp;H609&amp;" "&amp;I609&amp;" "&amp;M609&amp;" "&amp;N609&amp;" "&amp;T609))),ISNUMBER(SEARCH("transaction",LOWER(F609&amp;" "&amp;H609&amp;" "&amp;I609&amp;" "&amp;M609&amp;" "&amp;N609&amp;" "&amp;T609)))),"PRIVATE_REVIEW","PUBLIC_CANDIDATE"))</x:f>
        <x:v>PUBLIC_CANDIDATE</x:v>
      </x:c>
      <x:c r="AD609" s="12" t="str">
        <x:f>IF(AC609="PRIVATE_QUARANTINE","hacker_or_bank_trigger",IF(AC609="PRIVATE_REVIEW","finance_risk_trigger","none"))</x:f>
        <x:v>none</x:v>
      </x:c>
      <x:c r="AE609" s="12" t="str">
        <x:f>IF(AC609="PUBLIC_CANDIDATE","prepare_public_github_candidate",IF(AC609="PRIVATE_REVIEW","hold_for_private_review","quarantine_private_do_not_publish"))</x:f>
        <x:v>prepare_public_github_candidate</x:v>
      </x:c>
      <x:c r="AF609" s="12" t="str">
        <x:f>IF(AC609="PUBLIC_CANDIDATE","TIDELOCK + Lucerna",IF(AC609="PRIVATE_REVIEW","AtlasBrain + Lucerna","TIDELOCK + Lucerna + Human-root"))</x:f>
        <x:v>TIDELOCK + Lucerna</x:v>
      </x:c>
      <x:c r="AG609" s="12" t="str">
        <x:f>IF(AND(AC609="PUBLIC_CANDIDATE",U609&lt;&gt;"BLOCKED_PENDING_RECEIPT"),"READY_AFTER_RECEIPT","NOT_READY")</x:f>
        <x:v>NOT_READY</x:v>
      </x:c>
      <x:c r="AH609" s="12" t="str">
        <x:f>IF(AC609="PUBLIC_CANDIDATE","none",AD609)</x:f>
        <x:v>none</x:v>
      </x:c>
      <x:c r="AI609" s="12" t="str">
        <x:f>IF(AC609="PUBLIC_CANDIDATE","archive/public_candidates/"&amp;A609,"private_quarantine/"&amp;A609)</x:f>
        <x:v>archive/public_candidates/SWARM-05-H03-S08</x:v>
      </x:c>
      <x:c r="AJ609" s="12" t="str">
        <x:f>IF(AC609="PUBLIC_CANDIDATE","public by default; still not canon","private/hold; do not publish")</x:f>
        <x:v>public by default; still not canon</x:v>
      </x:c>
      <x:c r="AK609" s="12" t="str">
        <x:f>IF(AE609="prepare_public_github_candidate","add receipt/status then mirror","resolve blocker before any public GitHub action")</x:f>
        <x:v>add receipt/status then mirror</x:v>
      </x:c>
    </x:row>
    <x:row r="610">
      <x:c r="A610" s="15" t="str">
        <x:v>SWARM-05-H03-S09</x:v>
      </x:c>
      <x:c r="B610" s="15" t="str">
        <x:v>Rootglass</x:v>
      </x:c>
      <x:c r="C610" s="15" t="str">
        <x:v>Canon gate mirror</x:v>
      </x:c>
      <x:c r="D610" s="15" t="str">
        <x:v>Raw Export Recovery</x:v>
      </x:c>
      <x:c r="E610" s="15" t="str">
        <x:v>Aetherforge</x:v>
      </x:c>
      <x:c r="F610" s="15" t="str">
        <x:v>Recover raw exports for Aetherforge — Rootglass</x:v>
      </x:c>
      <x:c r="G610" s="15" t="str">
        <x:v>authority boundaries / ratification packets</x:v>
      </x:c>
      <x:c r="H610" s="15" t="str">
        <x:v>source path + receipt + raw/export status + claim/edge/risk delta</x:v>
      </x:c>
      <x:c r="I610" s="15" t="str">
        <x:v>packet/SWARM-05-H03-S09</x:v>
      </x:c>
      <x:c r="J610" s="15" t="str">
        <x:v>TODO</x:v>
      </x:c>
      <x:c r="K610" s="15" t="str">
        <x:v>P2</x:v>
      </x:c>
      <x:c r="L610" s="15" t="str">
        <x:v>Done only when evidence is logged, contradiction search is noted, and boundary stamp remains non-canon unless ratified</x:v>
      </x:c>
      <x:c r="M610" s="15" t="str">
        <x:v>candidate / staging-only / not canon / not deployed / authority none</x:v>
      </x:c>
      <x:c r="N610" s="15" t="str">
        <x:v>Dispatch to Rootglass: complete Raw Export Recovery x Aetherforge; return deltas only, receipts required.</x:v>
      </x:c>
      <x:c r="O610" s="15" t="str">
        <x:v>AF-KG-H03-S09</x:v>
      </x:c>
      <x:c r="P610" s="15" t="str">
        <x:v>Unverified</x:v>
      </x:c>
      <x:c r="Q610" s="15" t="str">
        <x:v>Not checked</x:v>
      </x:c>
      <x:c r="R610" s="15" t="str"/>
      <x:c r="S610" s="15" t="str"/>
      <x:c r="T610" s="15" t="str">
        <x:v>Log first source path or blocker</x:v>
      </x:c>
      <x:c r="U610" s="12" t="str">
        <x:f>IF(OR(P610="Unverified",Q610="Not checked"),"BLOCKED_PENDING_RECEIPT","READY_FOR_REVIEW")</x:f>
        <x:v>BLOCKED_PENDING_RECEIPT</x:v>
      </x:c>
      <x:c r="V610" s="12" t="str">
        <x:f>IF(J610="DONE","RETURNED",IF(U610="BLOCKED_PENDING_RECEIPT","SOURCE_TOUCH_REQUIRED","IN_PROGRESS"))</x:f>
        <x:v>SOURCE_TOUCH_REQUIRED</x:v>
      </x:c>
      <x:c r="W610" s="12" t="str">
        <x:f>IF(P610="Unverified","missing_receipt","receipt_logged")</x:f>
        <x:v>missing_receipt</x:v>
      </x:c>
      <x:c r="X610" s="12" t="str">
        <x:f>IF(Q610="Not checked","raw_status_missing","raw_status_logged")</x:f>
        <x:v>raw_status_missing</x:v>
      </x:c>
      <x:c r="Y610" s="12" t="str">
        <x:f>IF(U610="BLOCKED_PENDING_RECEIPT","Log source path or blocker; do not promote","Route to review lane")</x:f>
        <x:v>Log source path or blocker; do not promote</x:v>
      </x:c>
      <x:c r="Z610" s="12" t="str">
        <x:f>IF(K610="P0","Primary seat + Hashlight/Lucerna","Seat lane")</x:f>
        <x:v>Seat lane</x:v>
      </x:c>
      <x:c r="AA610" s="12" t="str">
        <x:f>IF(R610="","no_claim_delta","claim_delta_present")</x:f>
        <x:v>no_claim_delta</x:v>
      </x:c>
      <x:c r="AB610" s="12" t="str">
        <x:f>IF(S610="","no_contradiction_delta","contradiction_delta_present")</x:f>
        <x:v>no_contradiction_delta</x:v>
      </x:c>
      <x:c r="AC610" s="12" t="str">
        <x:f>IF(OR(ISNUMBER(SEARCH("hacker",LOWER(F610&amp;" "&amp;H610&amp;" "&amp;I610&amp;" "&amp;M610&amp;" "&amp;N610&amp;" "&amp;T610))),ISNUMBER(SEARCH("hacking",LOWER(F610&amp;" "&amp;H610&amp;" "&amp;I610&amp;" "&amp;M610&amp;" "&amp;N610&amp;" "&amp;T610))),ISNUMBER(SEARCH("bank",LOWER(F610&amp;" "&amp;H610&amp;" "&amp;I610&amp;" "&amp;M610&amp;" "&amp;N610&amp;" "&amp;T610))),ISNUMBER(SEARCH("banking",LOWER(F610&amp;" "&amp;H610&amp;" "&amp;I610&amp;" "&amp;M610&amp;" "&amp;N610&amp;" "&amp;T610)))),"PRIVATE_QUARANTINE",IF(OR(ISNUMBER(SEARCH("treasury",LOWER(F610&amp;" "&amp;H610&amp;" "&amp;I610&amp;" "&amp;M610&amp;" "&amp;N610&amp;" "&amp;T610))),ISNUMBER(SEARCH("debt",LOWER(F610&amp;" "&amp;H610&amp;" "&amp;I610&amp;" "&amp;M610&amp;" "&amp;N610&amp;" "&amp;T610))),ISNUMBER(SEARCH("bond",LOWER(F610&amp;" "&amp;H610&amp;" "&amp;I610&amp;" "&amp;M610&amp;" "&amp;N610&amp;" "&amp;T610))),ISNUMBER(SEARCH("transaction",LOWER(F610&amp;" "&amp;H610&amp;" "&amp;I610&amp;" "&amp;M610&amp;" "&amp;N610&amp;" "&amp;T610)))),"PRIVATE_REVIEW","PUBLIC_CANDIDATE"))</x:f>
        <x:v>PUBLIC_CANDIDATE</x:v>
      </x:c>
      <x:c r="AD610" s="12" t="str">
        <x:f>IF(AC610="PRIVATE_QUARANTINE","hacker_or_bank_trigger",IF(AC610="PRIVATE_REVIEW","finance_risk_trigger","none"))</x:f>
        <x:v>none</x:v>
      </x:c>
      <x:c r="AE610" s="12" t="str">
        <x:f>IF(AC610="PUBLIC_CANDIDATE","prepare_public_github_candidate",IF(AC610="PRIVATE_REVIEW","hold_for_private_review","quarantine_private_do_not_publish"))</x:f>
        <x:v>prepare_public_github_candidate</x:v>
      </x:c>
      <x:c r="AF610" s="12" t="str">
        <x:f>IF(AC610="PUBLIC_CANDIDATE","TIDELOCK + Lucerna",IF(AC610="PRIVATE_REVIEW","AtlasBrain + Lucerna","TIDELOCK + Lucerna + Human-root"))</x:f>
        <x:v>TIDELOCK + Lucerna</x:v>
      </x:c>
      <x:c r="AG610" s="12" t="str">
        <x:f>IF(AND(AC610="PUBLIC_CANDIDATE",U610&lt;&gt;"BLOCKED_PENDING_RECEIPT"),"READY_AFTER_RECEIPT","NOT_READY")</x:f>
        <x:v>NOT_READY</x:v>
      </x:c>
      <x:c r="AH610" s="12" t="str">
        <x:f>IF(AC610="PUBLIC_CANDIDATE","none",AD610)</x:f>
        <x:v>none</x:v>
      </x:c>
      <x:c r="AI610" s="12" t="str">
        <x:f>IF(AC610="PUBLIC_CANDIDATE","archive/public_candidates/"&amp;A610,"private_quarantine/"&amp;A610)</x:f>
        <x:v>archive/public_candidates/SWARM-05-H03-S09</x:v>
      </x:c>
      <x:c r="AJ610" s="12" t="str">
        <x:f>IF(AC610="PUBLIC_CANDIDATE","public by default; still not canon","private/hold; do not publish")</x:f>
        <x:v>public by default; still not canon</x:v>
      </x:c>
      <x:c r="AK610" s="12" t="str">
        <x:f>IF(AE610="prepare_public_github_candidate","add receipt/status then mirror","resolve blocker before any public GitHub action")</x:f>
        <x:v>add receipt/status then mirror</x:v>
      </x:c>
    </x:row>
    <x:row r="611">
      <x:c r="A611" s="15" t="str">
        <x:v>SWARM-05-H03-S10</x:v>
      </x:c>
      <x:c r="B611" s="15" t="str">
        <x:v>Rootglass</x:v>
      </x:c>
      <x:c r="C611" s="15" t="str">
        <x:v>Canon gate mirror</x:v>
      </x:c>
      <x:c r="D611" s="15" t="str">
        <x:v>Raw Export Recovery</x:v>
      </x:c>
      <x:c r="E611" s="15" t="str">
        <x:v>Human-Root</x:v>
      </x:c>
      <x:c r="F611" s="15" t="str">
        <x:v>Recover raw exports for Human-Root — Rootglass</x:v>
      </x:c>
      <x:c r="G611" s="15" t="str">
        <x:v>authority boundaries / ratification packets</x:v>
      </x:c>
      <x:c r="H611" s="15" t="str">
        <x:v>source path + receipt + raw/export status + claim/edge/risk delta</x:v>
      </x:c>
      <x:c r="I611" s="15" t="str">
        <x:v>packet/SWARM-05-H03-S10</x:v>
      </x:c>
      <x:c r="J611" s="15" t="str">
        <x:v>TODO</x:v>
      </x:c>
      <x:c r="K611" s="15" t="str">
        <x:v>P2</x:v>
      </x:c>
      <x:c r="L611" s="15" t="str">
        <x:v>Done only when evidence is logged, contradiction search is noted, and boundary stamp remains non-canon unless ratified</x:v>
      </x:c>
      <x:c r="M611" s="15" t="str">
        <x:v>candidate / staging-only / not canon / not deployed / authority none</x:v>
      </x:c>
      <x:c r="N611" s="15" t="str">
        <x:v>Dispatch to Rootglass: complete Raw Export Recovery x Human-Root; return deltas only, receipts required.</x:v>
      </x:c>
      <x:c r="O611" s="15" t="str">
        <x:v>AF-KG-H03-S10</x:v>
      </x:c>
      <x:c r="P611" s="15" t="str">
        <x:v>Unverified</x:v>
      </x:c>
      <x:c r="Q611" s="15" t="str">
        <x:v>Not checked</x:v>
      </x:c>
      <x:c r="R611" s="15" t="str"/>
      <x:c r="S611" s="15" t="str"/>
      <x:c r="T611" s="15" t="str">
        <x:v>Log first source path or blocker</x:v>
      </x:c>
      <x:c r="U611" s="12" t="str">
        <x:f>IF(OR(P611="Unverified",Q611="Not checked"),"BLOCKED_PENDING_RECEIPT","READY_FOR_REVIEW")</x:f>
        <x:v>BLOCKED_PENDING_RECEIPT</x:v>
      </x:c>
      <x:c r="V611" s="12" t="str">
        <x:f>IF(J611="DONE","RETURNED",IF(U611="BLOCKED_PENDING_RECEIPT","SOURCE_TOUCH_REQUIRED","IN_PROGRESS"))</x:f>
        <x:v>SOURCE_TOUCH_REQUIRED</x:v>
      </x:c>
      <x:c r="W611" s="12" t="str">
        <x:f>IF(P611="Unverified","missing_receipt","receipt_logged")</x:f>
        <x:v>missing_receipt</x:v>
      </x:c>
      <x:c r="X611" s="12" t="str">
        <x:f>IF(Q611="Not checked","raw_status_missing","raw_status_logged")</x:f>
        <x:v>raw_status_missing</x:v>
      </x:c>
      <x:c r="Y611" s="12" t="str">
        <x:f>IF(U611="BLOCKED_PENDING_RECEIPT","Log source path or blocker; do not promote","Route to review lane")</x:f>
        <x:v>Log source path or blocker; do not promote</x:v>
      </x:c>
      <x:c r="Z611" s="12" t="str">
        <x:f>IF(K611="P0","Primary seat + Hashlight/Lucerna","Seat lane")</x:f>
        <x:v>Seat lane</x:v>
      </x:c>
      <x:c r="AA611" s="12" t="str">
        <x:f>IF(R611="","no_claim_delta","claim_delta_present")</x:f>
        <x:v>no_claim_delta</x:v>
      </x:c>
      <x:c r="AB611" s="12" t="str">
        <x:f>IF(S611="","no_contradiction_delta","contradiction_delta_present")</x:f>
        <x:v>no_contradiction_delta</x:v>
      </x:c>
      <x:c r="AC611" s="12" t="str">
        <x:f>IF(OR(ISNUMBER(SEARCH("hacker",LOWER(F611&amp;" "&amp;H611&amp;" "&amp;I611&amp;" "&amp;M611&amp;" "&amp;N611&amp;" "&amp;T611))),ISNUMBER(SEARCH("hacking",LOWER(F611&amp;" "&amp;H611&amp;" "&amp;I611&amp;" "&amp;M611&amp;" "&amp;N611&amp;" "&amp;T611))),ISNUMBER(SEARCH("bank",LOWER(F611&amp;" "&amp;H611&amp;" "&amp;I611&amp;" "&amp;M611&amp;" "&amp;N611&amp;" "&amp;T611))),ISNUMBER(SEARCH("banking",LOWER(F611&amp;" "&amp;H611&amp;" "&amp;I611&amp;" "&amp;M611&amp;" "&amp;N611&amp;" "&amp;T611)))),"PRIVATE_QUARANTINE",IF(OR(ISNUMBER(SEARCH("treasury",LOWER(F611&amp;" "&amp;H611&amp;" "&amp;I611&amp;" "&amp;M611&amp;" "&amp;N611&amp;" "&amp;T611))),ISNUMBER(SEARCH("debt",LOWER(F611&amp;" "&amp;H611&amp;" "&amp;I611&amp;" "&amp;M611&amp;" "&amp;N611&amp;" "&amp;T611))),ISNUMBER(SEARCH("bond",LOWER(F611&amp;" "&amp;H611&amp;" "&amp;I611&amp;" "&amp;M611&amp;" "&amp;N611&amp;" "&amp;T611))),ISNUMBER(SEARCH("transaction",LOWER(F611&amp;" "&amp;H611&amp;" "&amp;I611&amp;" "&amp;M611&amp;" "&amp;N611&amp;" "&amp;T611)))),"PRIVATE_REVIEW","PUBLIC_CANDIDATE"))</x:f>
        <x:v>PUBLIC_CANDIDATE</x:v>
      </x:c>
      <x:c r="AD611" s="12" t="str">
        <x:f>IF(AC611="PRIVATE_QUARANTINE","hacker_or_bank_trigger",IF(AC611="PRIVATE_REVIEW","finance_risk_trigger","none"))</x:f>
        <x:v>none</x:v>
      </x:c>
      <x:c r="AE611" s="12" t="str">
        <x:f>IF(AC611="PUBLIC_CANDIDATE","prepare_public_github_candidate",IF(AC611="PRIVATE_REVIEW","hold_for_private_review","quarantine_private_do_not_publish"))</x:f>
        <x:v>prepare_public_github_candidate</x:v>
      </x:c>
      <x:c r="AF611" s="12" t="str">
        <x:f>IF(AC611="PUBLIC_CANDIDATE","TIDELOCK + Lucerna",IF(AC611="PRIVATE_REVIEW","AtlasBrain + Lucerna","TIDELOCK + Lucerna + Human-root"))</x:f>
        <x:v>TIDELOCK + Lucerna</x:v>
      </x:c>
      <x:c r="AG611" s="12" t="str">
        <x:f>IF(AND(AC611="PUBLIC_CANDIDATE",U611&lt;&gt;"BLOCKED_PENDING_RECEIPT"),"READY_AFTER_RECEIPT","NOT_READY")</x:f>
        <x:v>NOT_READY</x:v>
      </x:c>
      <x:c r="AH611" s="12" t="str">
        <x:f>IF(AC611="PUBLIC_CANDIDATE","none",AD611)</x:f>
        <x:v>none</x:v>
      </x:c>
      <x:c r="AI611" s="12" t="str">
        <x:f>IF(AC611="PUBLIC_CANDIDATE","archive/public_candidates/"&amp;A611,"private_quarantine/"&amp;A611)</x:f>
        <x:v>archive/public_candidates/SWARM-05-H03-S10</x:v>
      </x:c>
      <x:c r="AJ611" s="12" t="str">
        <x:f>IF(AC611="PUBLIC_CANDIDATE","public by default; still not canon","private/hold; do not publish")</x:f>
        <x:v>public by default; still not canon</x:v>
      </x:c>
      <x:c r="AK611" s="12" t="str">
        <x:f>IF(AE611="prepare_public_github_candidate","add receipt/status then mirror","resolve blocker before any public GitHub action")</x:f>
        <x:v>add receipt/status then mirror</x:v>
      </x:c>
    </x:row>
    <x:row r="612">
      <x:c r="A612" s="15" t="str">
        <x:v>SWARM-05-H03-S11</x:v>
      </x:c>
      <x:c r="B612" s="15" t="str">
        <x:v>Rootglass</x:v>
      </x:c>
      <x:c r="C612" s="15" t="str">
        <x:v>Canon gate mirror</x:v>
      </x:c>
      <x:c r="D612" s="15" t="str">
        <x:v>Raw Export Recovery</x:v>
      </x:c>
      <x:c r="E612" s="15" t="str">
        <x:v>Automation</x:v>
      </x:c>
      <x:c r="F612" s="15" t="str">
        <x:v>Recover raw exports for Automation — Rootglass</x:v>
      </x:c>
      <x:c r="G612" s="15" t="str">
        <x:v>authority boundaries / ratification packets</x:v>
      </x:c>
      <x:c r="H612" s="15" t="str">
        <x:v>source path + receipt + raw/export status + claim/edge/risk delta</x:v>
      </x:c>
      <x:c r="I612" s="15" t="str">
        <x:v>packet/SWARM-05-H03-S11</x:v>
      </x:c>
      <x:c r="J612" s="15" t="str">
        <x:v>TODO</x:v>
      </x:c>
      <x:c r="K612" s="15" t="str">
        <x:v>P2</x:v>
      </x:c>
      <x:c r="L612" s="15" t="str">
        <x:v>Done only when evidence is logged, contradiction search is noted, and boundary stamp remains non-canon unless ratified</x:v>
      </x:c>
      <x:c r="M612" s="15" t="str">
        <x:v>candidate / staging-only / not canon / not deployed / authority none</x:v>
      </x:c>
      <x:c r="N612" s="15" t="str">
        <x:v>Dispatch to Rootglass: complete Raw Export Recovery x Automation; return deltas only, receipts required.</x:v>
      </x:c>
      <x:c r="O612" s="15" t="str">
        <x:v>AF-KG-H03-S11</x:v>
      </x:c>
      <x:c r="P612" s="15" t="str">
        <x:v>Unverified</x:v>
      </x:c>
      <x:c r="Q612" s="15" t="str">
        <x:v>Not checked</x:v>
      </x:c>
      <x:c r="R612" s="15" t="str"/>
      <x:c r="S612" s="15" t="str"/>
      <x:c r="T612" s="15" t="str">
        <x:v>Log first source path or blocker</x:v>
      </x:c>
      <x:c r="U612" s="12" t="str">
        <x:f>IF(OR(P612="Unverified",Q612="Not checked"),"BLOCKED_PENDING_RECEIPT","READY_FOR_REVIEW")</x:f>
        <x:v>BLOCKED_PENDING_RECEIPT</x:v>
      </x:c>
      <x:c r="V612" s="12" t="str">
        <x:f>IF(J612="DONE","RETURNED",IF(U612="BLOCKED_PENDING_RECEIPT","SOURCE_TOUCH_REQUIRED","IN_PROGRESS"))</x:f>
        <x:v>SOURCE_TOUCH_REQUIRED</x:v>
      </x:c>
      <x:c r="W612" s="12" t="str">
        <x:f>IF(P612="Unverified","missing_receipt","receipt_logged")</x:f>
        <x:v>missing_receipt</x:v>
      </x:c>
      <x:c r="X612" s="12" t="str">
        <x:f>IF(Q612="Not checked","raw_status_missing","raw_status_logged")</x:f>
        <x:v>raw_status_missing</x:v>
      </x:c>
      <x:c r="Y612" s="12" t="str">
        <x:f>IF(U612="BLOCKED_PENDING_RECEIPT","Log source path or blocker; do not promote","Route to review lane")</x:f>
        <x:v>Log source path or blocker; do not promote</x:v>
      </x:c>
      <x:c r="Z612" s="12" t="str">
        <x:f>IF(K612="P0","Primary seat + Hashlight/Lucerna","Seat lane")</x:f>
        <x:v>Seat lane</x:v>
      </x:c>
      <x:c r="AA612" s="12" t="str">
        <x:f>IF(R612="","no_claim_delta","claim_delta_present")</x:f>
        <x:v>no_claim_delta</x:v>
      </x:c>
      <x:c r="AB612" s="12" t="str">
        <x:f>IF(S612="","no_contradiction_delta","contradiction_delta_present")</x:f>
        <x:v>no_contradiction_delta</x:v>
      </x:c>
      <x:c r="AC612" s="12" t="str">
        <x:f>IF(OR(ISNUMBER(SEARCH("hacker",LOWER(F612&amp;" "&amp;H612&amp;" "&amp;I612&amp;" "&amp;M612&amp;" "&amp;N612&amp;" "&amp;T612))),ISNUMBER(SEARCH("hacking",LOWER(F612&amp;" "&amp;H612&amp;" "&amp;I612&amp;" "&amp;M612&amp;" "&amp;N612&amp;" "&amp;T612))),ISNUMBER(SEARCH("bank",LOWER(F612&amp;" "&amp;H612&amp;" "&amp;I612&amp;" "&amp;M612&amp;" "&amp;N612&amp;" "&amp;T612))),ISNUMBER(SEARCH("banking",LOWER(F612&amp;" "&amp;H612&amp;" "&amp;I612&amp;" "&amp;M612&amp;" "&amp;N612&amp;" "&amp;T612)))),"PRIVATE_QUARANTINE",IF(OR(ISNUMBER(SEARCH("treasury",LOWER(F612&amp;" "&amp;H612&amp;" "&amp;I612&amp;" "&amp;M612&amp;" "&amp;N612&amp;" "&amp;T612))),ISNUMBER(SEARCH("debt",LOWER(F612&amp;" "&amp;H612&amp;" "&amp;I612&amp;" "&amp;M612&amp;" "&amp;N612&amp;" "&amp;T612))),ISNUMBER(SEARCH("bond",LOWER(F612&amp;" "&amp;H612&amp;" "&amp;I612&amp;" "&amp;M612&amp;" "&amp;N612&amp;" "&amp;T612))),ISNUMBER(SEARCH("transaction",LOWER(F612&amp;" "&amp;H612&amp;" "&amp;I612&amp;" "&amp;M612&amp;" "&amp;N612&amp;" "&amp;T612)))),"PRIVATE_REVIEW","PUBLIC_CANDIDATE"))</x:f>
        <x:v>PUBLIC_CANDIDATE</x:v>
      </x:c>
      <x:c r="AD612" s="12" t="str">
        <x:f>IF(AC612="PRIVATE_QUARANTINE","hacker_or_bank_trigger",IF(AC612="PRIVATE_REVIEW","finance_risk_trigger","none"))</x:f>
        <x:v>none</x:v>
      </x:c>
      <x:c r="AE612" s="12" t="str">
        <x:f>IF(AC612="PUBLIC_CANDIDATE","prepare_public_github_candidate",IF(AC612="PRIVATE_REVIEW","hold_for_private_review","quarantine_private_do_not_publish"))</x:f>
        <x:v>prepare_public_github_candidate</x:v>
      </x:c>
      <x:c r="AF612" s="12" t="str">
        <x:f>IF(AC612="PUBLIC_CANDIDATE","TIDELOCK + Lucerna",IF(AC612="PRIVATE_REVIEW","AtlasBrain + Lucerna","TIDELOCK + Lucerna + Human-root"))</x:f>
        <x:v>TIDELOCK + Lucerna</x:v>
      </x:c>
      <x:c r="AG612" s="12" t="str">
        <x:f>IF(AND(AC612="PUBLIC_CANDIDATE",U612&lt;&gt;"BLOCKED_PENDING_RECEIPT"),"READY_AFTER_RECEIPT","NOT_READY")</x:f>
        <x:v>NOT_READY</x:v>
      </x:c>
      <x:c r="AH612" s="12" t="str">
        <x:f>IF(AC612="PUBLIC_CANDIDATE","none",AD612)</x:f>
        <x:v>none</x:v>
      </x:c>
      <x:c r="AI612" s="12" t="str">
        <x:f>IF(AC612="PUBLIC_CANDIDATE","archive/public_candidates/"&amp;A612,"private_quarantine/"&amp;A612)</x:f>
        <x:v>archive/public_candidates/SWARM-05-H03-S11</x:v>
      </x:c>
      <x:c r="AJ612" s="12" t="str">
        <x:f>IF(AC612="PUBLIC_CANDIDATE","public by default; still not canon","private/hold; do not publish")</x:f>
        <x:v>public by default; still not canon</x:v>
      </x:c>
      <x:c r="AK612" s="12" t="str">
        <x:f>IF(AE612="prepare_public_github_candidate","add receipt/status then mirror","resolve blocker before any public GitHub action")</x:f>
        <x:v>add receipt/status then mirror</x:v>
      </x:c>
    </x:row>
    <x:row r="613">
      <x:c r="A613" s="15" t="str">
        <x:v>SWARM-05-H03-S12</x:v>
      </x:c>
      <x:c r="B613" s="15" t="str">
        <x:v>Rootglass</x:v>
      </x:c>
      <x:c r="C613" s="15" t="str">
        <x:v>Canon gate mirror</x:v>
      </x:c>
      <x:c r="D613" s="15" t="str">
        <x:v>Raw Export Recovery</x:v>
      </x:c>
      <x:c r="E613" s="15" t="str">
        <x:v>Risk / Safety</x:v>
      </x:c>
      <x:c r="F613" s="15" t="str">
        <x:v>Recover raw exports for Risk / Safety — Rootglass</x:v>
      </x:c>
      <x:c r="G613" s="15" t="str">
        <x:v>authority boundaries / ratification packets</x:v>
      </x:c>
      <x:c r="H613" s="15" t="str">
        <x:v>source path + receipt + raw/export status + claim/edge/risk delta</x:v>
      </x:c>
      <x:c r="I613" s="15" t="str">
        <x:v>packet/SWARM-05-H03-S12</x:v>
      </x:c>
      <x:c r="J613" s="15" t="str">
        <x:v>TODO</x:v>
      </x:c>
      <x:c r="K613" s="15" t="str">
        <x:v>P2</x:v>
      </x:c>
      <x:c r="L613" s="15" t="str">
        <x:v>Done only when evidence is logged, contradiction search is noted, and boundary stamp remains non-canon unless ratified</x:v>
      </x:c>
      <x:c r="M613" s="15" t="str">
        <x:v>candidate / staging-only / not canon / not deployed / authority none</x:v>
      </x:c>
      <x:c r="N613" s="15" t="str">
        <x:v>Dispatch to Rootglass: complete Raw Export Recovery x Risk / Safety; return deltas only, receipts required.</x:v>
      </x:c>
      <x:c r="O613" s="15" t="str">
        <x:v>AF-KG-H03-S12</x:v>
      </x:c>
      <x:c r="P613" s="15" t="str">
        <x:v>Unverified</x:v>
      </x:c>
      <x:c r="Q613" s="15" t="str">
        <x:v>Not checked</x:v>
      </x:c>
      <x:c r="R613" s="15" t="str"/>
      <x:c r="S613" s="15" t="str"/>
      <x:c r="T613" s="15" t="str">
        <x:v>Log first source path or blocker</x:v>
      </x:c>
      <x:c r="U613" s="12" t="str">
        <x:f>IF(OR(P613="Unverified",Q613="Not checked"),"BLOCKED_PENDING_RECEIPT","READY_FOR_REVIEW")</x:f>
        <x:v>BLOCKED_PENDING_RECEIPT</x:v>
      </x:c>
      <x:c r="V613" s="12" t="str">
        <x:f>IF(J613="DONE","RETURNED",IF(U613="BLOCKED_PENDING_RECEIPT","SOURCE_TOUCH_REQUIRED","IN_PROGRESS"))</x:f>
        <x:v>SOURCE_TOUCH_REQUIRED</x:v>
      </x:c>
      <x:c r="W613" s="12" t="str">
        <x:f>IF(P613="Unverified","missing_receipt","receipt_logged")</x:f>
        <x:v>missing_receipt</x:v>
      </x:c>
      <x:c r="X613" s="12" t="str">
        <x:f>IF(Q613="Not checked","raw_status_missing","raw_status_logged")</x:f>
        <x:v>raw_status_missing</x:v>
      </x:c>
      <x:c r="Y613" s="12" t="str">
        <x:f>IF(U613="BLOCKED_PENDING_RECEIPT","Log source path or blocker; do not promote","Route to review lane")</x:f>
        <x:v>Log source path or blocker; do not promote</x:v>
      </x:c>
      <x:c r="Z613" s="12" t="str">
        <x:f>IF(K613="P0","Primary seat + Hashlight/Lucerna","Seat lane")</x:f>
        <x:v>Seat lane</x:v>
      </x:c>
      <x:c r="AA613" s="12" t="str">
        <x:f>IF(R613="","no_claim_delta","claim_delta_present")</x:f>
        <x:v>no_claim_delta</x:v>
      </x:c>
      <x:c r="AB613" s="12" t="str">
        <x:f>IF(S613="","no_contradiction_delta","contradiction_delta_present")</x:f>
        <x:v>no_contradiction_delta</x:v>
      </x:c>
      <x:c r="AC613" s="12" t="str">
        <x:f>IF(OR(ISNUMBER(SEARCH("hacker",LOWER(F613&amp;" "&amp;H613&amp;" "&amp;I613&amp;" "&amp;M613&amp;" "&amp;N613&amp;" "&amp;T613))),ISNUMBER(SEARCH("hacking",LOWER(F613&amp;" "&amp;H613&amp;" "&amp;I613&amp;" "&amp;M613&amp;" "&amp;N613&amp;" "&amp;T613))),ISNUMBER(SEARCH("bank",LOWER(F613&amp;" "&amp;H613&amp;" "&amp;I613&amp;" "&amp;M613&amp;" "&amp;N613&amp;" "&amp;T613))),ISNUMBER(SEARCH("banking",LOWER(F613&amp;" "&amp;H613&amp;" "&amp;I613&amp;" "&amp;M613&amp;" "&amp;N613&amp;" "&amp;T613)))),"PRIVATE_QUARANTINE",IF(OR(ISNUMBER(SEARCH("treasury",LOWER(F613&amp;" "&amp;H613&amp;" "&amp;I613&amp;" "&amp;M613&amp;" "&amp;N613&amp;" "&amp;T613))),ISNUMBER(SEARCH("debt",LOWER(F613&amp;" "&amp;H613&amp;" "&amp;I613&amp;" "&amp;M613&amp;" "&amp;N613&amp;" "&amp;T613))),ISNUMBER(SEARCH("bond",LOWER(F613&amp;" "&amp;H613&amp;" "&amp;I613&amp;" "&amp;M613&amp;" "&amp;N613&amp;" "&amp;T613))),ISNUMBER(SEARCH("transaction",LOWER(F613&amp;" "&amp;H613&amp;" "&amp;I613&amp;" "&amp;M613&amp;" "&amp;N613&amp;" "&amp;T613)))),"PRIVATE_REVIEW","PUBLIC_CANDIDATE"))</x:f>
        <x:v>PUBLIC_CANDIDATE</x:v>
      </x:c>
      <x:c r="AD613" s="12" t="str">
        <x:f>IF(AC613="PRIVATE_QUARANTINE","hacker_or_bank_trigger",IF(AC613="PRIVATE_REVIEW","finance_risk_trigger","none"))</x:f>
        <x:v>none</x:v>
      </x:c>
      <x:c r="AE613" s="12" t="str">
        <x:f>IF(AC613="PUBLIC_CANDIDATE","prepare_public_github_candidate",IF(AC613="PRIVATE_REVIEW","hold_for_private_review","quarantine_private_do_not_publish"))</x:f>
        <x:v>prepare_public_github_candidate</x:v>
      </x:c>
      <x:c r="AF613" s="12" t="str">
        <x:f>IF(AC613="PUBLIC_CANDIDATE","TIDELOCK + Lucerna",IF(AC613="PRIVATE_REVIEW","AtlasBrain + Lucerna","TIDELOCK + Lucerna + Human-root"))</x:f>
        <x:v>TIDELOCK + Lucerna</x:v>
      </x:c>
      <x:c r="AG613" s="12" t="str">
        <x:f>IF(AND(AC613="PUBLIC_CANDIDATE",U613&lt;&gt;"BLOCKED_PENDING_RECEIPT"),"READY_AFTER_RECEIPT","NOT_READY")</x:f>
        <x:v>NOT_READY</x:v>
      </x:c>
      <x:c r="AH613" s="12" t="str">
        <x:f>IF(AC613="PUBLIC_CANDIDATE","none",AD613)</x:f>
        <x:v>none</x:v>
      </x:c>
      <x:c r="AI613" s="12" t="str">
        <x:f>IF(AC613="PUBLIC_CANDIDATE","archive/public_candidates/"&amp;A613,"private_quarantine/"&amp;A613)</x:f>
        <x:v>archive/public_candidates/SWARM-05-H03-S12</x:v>
      </x:c>
      <x:c r="AJ613" s="12" t="str">
        <x:f>IF(AC613="PUBLIC_CANDIDATE","public by default; still not canon","private/hold; do not publish")</x:f>
        <x:v>public by default; still not canon</x:v>
      </x:c>
      <x:c r="AK613" s="12" t="str">
        <x:f>IF(AE613="prepare_public_github_candidate","add receipt/status then mirror","resolve blocker before any public GitHub action")</x:f>
        <x:v>add receipt/status then mirror</x:v>
      </x:c>
    </x:row>
    <x:row r="614">
      <x:c r="A614" s="15" t="str">
        <x:v>SWARM-05-H04-S01</x:v>
      </x:c>
      <x:c r="B614" s="15" t="str">
        <x:v>Rootglass</x:v>
      </x:c>
      <x:c r="C614" s="15" t="str">
        <x:v>Canon gate mirror</x:v>
      </x:c>
      <x:c r="D614" s="15" t="str">
        <x:v>Claim Extraction</x:v>
      </x:c>
      <x:c r="E614" s="15" t="str">
        <x:v>Notion</x:v>
      </x:c>
      <x:c r="F614" s="15" t="str">
        <x:v>Extract claims from Notion — Rootglass</x:v>
      </x:c>
      <x:c r="G614" s="15" t="str">
        <x:v>authority boundaries / ratification packets</x:v>
      </x:c>
      <x:c r="H614" s="15" t="str">
        <x:v>source path + receipt + raw/export status + claim/edge/risk delta</x:v>
      </x:c>
      <x:c r="I614" s="15" t="str">
        <x:v>packet/SWARM-05-H04-S01</x:v>
      </x:c>
      <x:c r="J614" s="15" t="str">
        <x:v>TODO</x:v>
      </x:c>
      <x:c r="K614" s="15" t="str">
        <x:v>P0</x:v>
      </x:c>
      <x:c r="L614" s="15" t="str">
        <x:v>Done only when evidence is logged, contradiction search is noted, and boundary stamp remains non-canon unless ratified</x:v>
      </x:c>
      <x:c r="M614" s="15" t="str">
        <x:v>candidate / staging-only / not canon / not deployed / authority none</x:v>
      </x:c>
      <x:c r="N614" s="15" t="str">
        <x:v>Dispatch to Rootglass: complete Claim Extraction x Notion; return deltas only, receipts required.</x:v>
      </x:c>
      <x:c r="O614" s="15" t="str">
        <x:v>AF-KG-H04-S01</x:v>
      </x:c>
      <x:c r="P614" s="15" t="str">
        <x:v>Unverified</x:v>
      </x:c>
      <x:c r="Q614" s="15" t="str">
        <x:v>Not checked</x:v>
      </x:c>
      <x:c r="R614" s="15" t="str"/>
      <x:c r="S614" s="15" t="str"/>
      <x:c r="T614" s="15" t="str">
        <x:v>Log first source path or blocker</x:v>
      </x:c>
      <x:c r="U614" s="12" t="str">
        <x:f>IF(OR(P614="Unverified",Q614="Not checked"),"BLOCKED_PENDING_RECEIPT","READY_FOR_REVIEW")</x:f>
        <x:v>BLOCKED_PENDING_RECEIPT</x:v>
      </x:c>
      <x:c r="V614" s="12" t="str">
        <x:f>IF(J614="DONE","RETURNED",IF(U614="BLOCKED_PENDING_RECEIPT","SOURCE_TOUCH_REQUIRED","IN_PROGRESS"))</x:f>
        <x:v>SOURCE_TOUCH_REQUIRED</x:v>
      </x:c>
      <x:c r="W614" s="12" t="str">
        <x:f>IF(P614="Unverified","missing_receipt","receipt_logged")</x:f>
        <x:v>missing_receipt</x:v>
      </x:c>
      <x:c r="X614" s="12" t="str">
        <x:f>IF(Q614="Not checked","raw_status_missing","raw_status_logged")</x:f>
        <x:v>raw_status_missing</x:v>
      </x:c>
      <x:c r="Y614" s="12" t="str">
        <x:f>IF(U614="BLOCKED_PENDING_RECEIPT","Log source path or blocker; do not promote","Route to review lane")</x:f>
        <x:v>Log source path or blocker; do not promote</x:v>
      </x:c>
      <x:c r="Z614" s="12" t="str">
        <x:f>IF(K614="P0","Primary seat + Hashlight/Lucerna","Seat lane")</x:f>
        <x:v>Primary seat + Hashlight/Lucerna</x:v>
      </x:c>
      <x:c r="AA614" s="12" t="str">
        <x:f>IF(R614="","no_claim_delta","claim_delta_present")</x:f>
        <x:v>no_claim_delta</x:v>
      </x:c>
      <x:c r="AB614" s="12" t="str">
        <x:f>IF(S614="","no_contradiction_delta","contradiction_delta_present")</x:f>
        <x:v>no_contradiction_delta</x:v>
      </x:c>
      <x:c r="AC614" s="12" t="str">
        <x:f>IF(OR(ISNUMBER(SEARCH("hacker",LOWER(F614&amp;" "&amp;H614&amp;" "&amp;I614&amp;" "&amp;M614&amp;" "&amp;N614&amp;" "&amp;T614))),ISNUMBER(SEARCH("hacking",LOWER(F614&amp;" "&amp;H614&amp;" "&amp;I614&amp;" "&amp;M614&amp;" "&amp;N614&amp;" "&amp;T614))),ISNUMBER(SEARCH("bank",LOWER(F614&amp;" "&amp;H614&amp;" "&amp;I614&amp;" "&amp;M614&amp;" "&amp;N614&amp;" "&amp;T614))),ISNUMBER(SEARCH("banking",LOWER(F614&amp;" "&amp;H614&amp;" "&amp;I614&amp;" "&amp;M614&amp;" "&amp;N614&amp;" "&amp;T614)))),"PRIVATE_QUARANTINE",IF(OR(ISNUMBER(SEARCH("treasury",LOWER(F614&amp;" "&amp;H614&amp;" "&amp;I614&amp;" "&amp;M614&amp;" "&amp;N614&amp;" "&amp;T614))),ISNUMBER(SEARCH("debt",LOWER(F614&amp;" "&amp;H614&amp;" "&amp;I614&amp;" "&amp;M614&amp;" "&amp;N614&amp;" "&amp;T614))),ISNUMBER(SEARCH("bond",LOWER(F614&amp;" "&amp;H614&amp;" "&amp;I614&amp;" "&amp;M614&amp;" "&amp;N614&amp;" "&amp;T614))),ISNUMBER(SEARCH("transaction",LOWER(F614&amp;" "&amp;H614&amp;" "&amp;I614&amp;" "&amp;M614&amp;" "&amp;N614&amp;" "&amp;T614)))),"PRIVATE_REVIEW","PUBLIC_CANDIDATE"))</x:f>
        <x:v>PUBLIC_CANDIDATE</x:v>
      </x:c>
      <x:c r="AD614" s="12" t="str">
        <x:f>IF(AC614="PRIVATE_QUARANTINE","hacker_or_bank_trigger",IF(AC614="PRIVATE_REVIEW","finance_risk_trigger","none"))</x:f>
        <x:v>none</x:v>
      </x:c>
      <x:c r="AE614" s="12" t="str">
        <x:f>IF(AC614="PUBLIC_CANDIDATE","prepare_public_github_candidate",IF(AC614="PRIVATE_REVIEW","hold_for_private_review","quarantine_private_do_not_publish"))</x:f>
        <x:v>prepare_public_github_candidate</x:v>
      </x:c>
      <x:c r="AF614" s="12" t="str">
        <x:f>IF(AC614="PUBLIC_CANDIDATE","TIDELOCK + Lucerna",IF(AC614="PRIVATE_REVIEW","AtlasBrain + Lucerna","TIDELOCK + Lucerna + Human-root"))</x:f>
        <x:v>TIDELOCK + Lucerna</x:v>
      </x:c>
      <x:c r="AG614" s="12" t="str">
        <x:f>IF(AND(AC614="PUBLIC_CANDIDATE",U614&lt;&gt;"BLOCKED_PENDING_RECEIPT"),"READY_AFTER_RECEIPT","NOT_READY")</x:f>
        <x:v>NOT_READY</x:v>
      </x:c>
      <x:c r="AH614" s="12" t="str">
        <x:f>IF(AC614="PUBLIC_CANDIDATE","none",AD614)</x:f>
        <x:v>none</x:v>
      </x:c>
      <x:c r="AI614" s="12" t="str">
        <x:f>IF(AC614="PUBLIC_CANDIDATE","archive/public_candidates/"&amp;A614,"private_quarantine/"&amp;A614)</x:f>
        <x:v>archive/public_candidates/SWARM-05-H04-S01</x:v>
      </x:c>
      <x:c r="AJ614" s="12" t="str">
        <x:f>IF(AC614="PUBLIC_CANDIDATE","public by default; still not canon","private/hold; do not publish")</x:f>
        <x:v>public by default; still not canon</x:v>
      </x:c>
      <x:c r="AK614" s="12" t="str">
        <x:f>IF(AE614="prepare_public_github_candidate","add receipt/status then mirror","resolve blocker before any public GitHub action")</x:f>
        <x:v>add receipt/status then mirror</x:v>
      </x:c>
    </x:row>
    <x:row r="615">
      <x:c r="A615" s="15" t="str">
        <x:v>SWARM-05-H04-S02</x:v>
      </x:c>
      <x:c r="B615" s="15" t="str">
        <x:v>Rootglass</x:v>
      </x:c>
      <x:c r="C615" s="15" t="str">
        <x:v>Canon gate mirror</x:v>
      </x:c>
      <x:c r="D615" s="15" t="str">
        <x:v>Claim Extraction</x:v>
      </x:c>
      <x:c r="E615" s="15" t="str">
        <x:v>Drive</x:v>
      </x:c>
      <x:c r="F615" s="15" t="str">
        <x:v>Extract claims from Drive — Rootglass</x:v>
      </x:c>
      <x:c r="G615" s="15" t="str">
        <x:v>authority boundaries / ratification packets</x:v>
      </x:c>
      <x:c r="H615" s="15" t="str">
        <x:v>source path + receipt + raw/export status + claim/edge/risk delta</x:v>
      </x:c>
      <x:c r="I615" s="15" t="str">
        <x:v>packet/SWARM-05-H04-S02</x:v>
      </x:c>
      <x:c r="J615" s="15" t="str">
        <x:v>TODO</x:v>
      </x:c>
      <x:c r="K615" s="15" t="str">
        <x:v>P0</x:v>
      </x:c>
      <x:c r="L615" s="15" t="str">
        <x:v>Done only when evidence is logged, contradiction search is noted, and boundary stamp remains non-canon unless ratified</x:v>
      </x:c>
      <x:c r="M615" s="15" t="str">
        <x:v>candidate / staging-only / not canon / not deployed / authority none</x:v>
      </x:c>
      <x:c r="N615" s="15" t="str">
        <x:v>Dispatch to Rootglass: complete Claim Extraction x Drive; return deltas only, receipts required.</x:v>
      </x:c>
      <x:c r="O615" s="15" t="str">
        <x:v>AF-KG-H04-S02</x:v>
      </x:c>
      <x:c r="P615" s="15" t="str">
        <x:v>Unverified</x:v>
      </x:c>
      <x:c r="Q615" s="15" t="str">
        <x:v>Not checked</x:v>
      </x:c>
      <x:c r="R615" s="15" t="str"/>
      <x:c r="S615" s="15" t="str"/>
      <x:c r="T615" s="15" t="str">
        <x:v>Log first source path or blocker</x:v>
      </x:c>
      <x:c r="U615" s="12" t="str">
        <x:f>IF(OR(P615="Unverified",Q615="Not checked"),"BLOCKED_PENDING_RECEIPT","READY_FOR_REVIEW")</x:f>
        <x:v>BLOCKED_PENDING_RECEIPT</x:v>
      </x:c>
      <x:c r="V615" s="12" t="str">
        <x:f>IF(J615="DONE","RETURNED",IF(U615="BLOCKED_PENDING_RECEIPT","SOURCE_TOUCH_REQUIRED","IN_PROGRESS"))</x:f>
        <x:v>SOURCE_TOUCH_REQUIRED</x:v>
      </x:c>
      <x:c r="W615" s="12" t="str">
        <x:f>IF(P615="Unverified","missing_receipt","receipt_logged")</x:f>
        <x:v>missing_receipt</x:v>
      </x:c>
      <x:c r="X615" s="12" t="str">
        <x:f>IF(Q615="Not checked","raw_status_missing","raw_status_logged")</x:f>
        <x:v>raw_status_missing</x:v>
      </x:c>
      <x:c r="Y615" s="12" t="str">
        <x:f>IF(U615="BLOCKED_PENDING_RECEIPT","Log source path or blocker; do not promote","Route to review lane")</x:f>
        <x:v>Log source path or blocker; do not promote</x:v>
      </x:c>
      <x:c r="Z615" s="12" t="str">
        <x:f>IF(K615="P0","Primary seat + Hashlight/Lucerna","Seat lane")</x:f>
        <x:v>Primary seat + Hashlight/Lucerna</x:v>
      </x:c>
      <x:c r="AA615" s="12" t="str">
        <x:f>IF(R615="","no_claim_delta","claim_delta_present")</x:f>
        <x:v>no_claim_delta</x:v>
      </x:c>
      <x:c r="AB615" s="12" t="str">
        <x:f>IF(S615="","no_contradiction_delta","contradiction_delta_present")</x:f>
        <x:v>no_contradiction_delta</x:v>
      </x:c>
      <x:c r="AC615" s="12" t="str">
        <x:f>IF(OR(ISNUMBER(SEARCH("hacker",LOWER(F615&amp;" "&amp;H615&amp;" "&amp;I615&amp;" "&amp;M615&amp;" "&amp;N615&amp;" "&amp;T615))),ISNUMBER(SEARCH("hacking",LOWER(F615&amp;" "&amp;H615&amp;" "&amp;I615&amp;" "&amp;M615&amp;" "&amp;N615&amp;" "&amp;T615))),ISNUMBER(SEARCH("bank",LOWER(F615&amp;" "&amp;H615&amp;" "&amp;I615&amp;" "&amp;M615&amp;" "&amp;N615&amp;" "&amp;T615))),ISNUMBER(SEARCH("banking",LOWER(F615&amp;" "&amp;H615&amp;" "&amp;I615&amp;" "&amp;M615&amp;" "&amp;N615&amp;" "&amp;T615)))),"PRIVATE_QUARANTINE",IF(OR(ISNUMBER(SEARCH("treasury",LOWER(F615&amp;" "&amp;H615&amp;" "&amp;I615&amp;" "&amp;M615&amp;" "&amp;N615&amp;" "&amp;T615))),ISNUMBER(SEARCH("debt",LOWER(F615&amp;" "&amp;H615&amp;" "&amp;I615&amp;" "&amp;M615&amp;" "&amp;N615&amp;" "&amp;T615))),ISNUMBER(SEARCH("bond",LOWER(F615&amp;" "&amp;H615&amp;" "&amp;I615&amp;" "&amp;M615&amp;" "&amp;N615&amp;" "&amp;T615))),ISNUMBER(SEARCH("transaction",LOWER(F615&amp;" "&amp;H615&amp;" "&amp;I615&amp;" "&amp;M615&amp;" "&amp;N615&amp;" "&amp;T615)))),"PRIVATE_REVIEW","PUBLIC_CANDIDATE"))</x:f>
        <x:v>PUBLIC_CANDIDATE</x:v>
      </x:c>
      <x:c r="AD615" s="12" t="str">
        <x:f>IF(AC615="PRIVATE_QUARANTINE","hacker_or_bank_trigger",IF(AC615="PRIVATE_REVIEW","finance_risk_trigger","none"))</x:f>
        <x:v>none</x:v>
      </x:c>
      <x:c r="AE615" s="12" t="str">
        <x:f>IF(AC615="PUBLIC_CANDIDATE","prepare_public_github_candidate",IF(AC615="PRIVATE_REVIEW","hold_for_private_review","quarantine_private_do_not_publish"))</x:f>
        <x:v>prepare_public_github_candidate</x:v>
      </x:c>
      <x:c r="AF615" s="12" t="str">
        <x:f>IF(AC615="PUBLIC_CANDIDATE","TIDELOCK + Lucerna",IF(AC615="PRIVATE_REVIEW","AtlasBrain + Lucerna","TIDELOCK + Lucerna + Human-root"))</x:f>
        <x:v>TIDELOCK + Lucerna</x:v>
      </x:c>
      <x:c r="AG615" s="12" t="str">
        <x:f>IF(AND(AC615="PUBLIC_CANDIDATE",U615&lt;&gt;"BLOCKED_PENDING_RECEIPT"),"READY_AFTER_RECEIPT","NOT_READY")</x:f>
        <x:v>NOT_READY</x:v>
      </x:c>
      <x:c r="AH615" s="12" t="str">
        <x:f>IF(AC615="PUBLIC_CANDIDATE","none",AD615)</x:f>
        <x:v>none</x:v>
      </x:c>
      <x:c r="AI615" s="12" t="str">
        <x:f>IF(AC615="PUBLIC_CANDIDATE","archive/public_candidates/"&amp;A615,"private_quarantine/"&amp;A615)</x:f>
        <x:v>archive/public_candidates/SWARM-05-H04-S02</x:v>
      </x:c>
      <x:c r="AJ615" s="12" t="str">
        <x:f>IF(AC615="PUBLIC_CANDIDATE","public by default; still not canon","private/hold; do not publish")</x:f>
        <x:v>public by default; still not canon</x:v>
      </x:c>
      <x:c r="AK615" s="12" t="str">
        <x:f>IF(AE615="prepare_public_github_candidate","add receipt/status then mirror","resolve blocker before any public GitHub action")</x:f>
        <x:v>add receipt/status then mirror</x:v>
      </x:c>
    </x:row>
    <x:row r="616">
      <x:c r="A616" s="15" t="str">
        <x:v>SWARM-05-H04-S03</x:v>
      </x:c>
      <x:c r="B616" s="15" t="str">
        <x:v>Rootglass</x:v>
      </x:c>
      <x:c r="C616" s="15" t="str">
        <x:v>Canon gate mirror</x:v>
      </x:c>
      <x:c r="D616" s="15" t="str">
        <x:v>Claim Extraction</x:v>
      </x:c>
      <x:c r="E616" s="15" t="str">
        <x:v>GitHub</x:v>
      </x:c>
      <x:c r="F616" s="15" t="str">
        <x:v>Extract claims from GitHub — Rootglass</x:v>
      </x:c>
      <x:c r="G616" s="15" t="str">
        <x:v>authority boundaries / ratification packets</x:v>
      </x:c>
      <x:c r="H616" s="15" t="str">
        <x:v>source path + receipt + raw/export status + claim/edge/risk delta</x:v>
      </x:c>
      <x:c r="I616" s="15" t="str">
        <x:v>packet/SWARM-05-H04-S03</x:v>
      </x:c>
      <x:c r="J616" s="15" t="str">
        <x:v>TODO</x:v>
      </x:c>
      <x:c r="K616" s="15" t="str">
        <x:v>P0</x:v>
      </x:c>
      <x:c r="L616" s="15" t="str">
        <x:v>Done only when evidence is logged, contradiction search is noted, and boundary stamp remains non-canon unless ratified</x:v>
      </x:c>
      <x:c r="M616" s="15" t="str">
        <x:v>candidate / staging-only / not canon / not deployed / authority none</x:v>
      </x:c>
      <x:c r="N616" s="15" t="str">
        <x:v>Dispatch to Rootglass: complete Claim Extraction x GitHub; return deltas only, receipts required.</x:v>
      </x:c>
      <x:c r="O616" s="15" t="str">
        <x:v>AF-KG-H04-S03</x:v>
      </x:c>
      <x:c r="P616" s="15" t="str">
        <x:v>Unverified</x:v>
      </x:c>
      <x:c r="Q616" s="15" t="str">
        <x:v>Not checked</x:v>
      </x:c>
      <x:c r="R616" s="15" t="str"/>
      <x:c r="S616" s="15" t="str"/>
      <x:c r="T616" s="15" t="str">
        <x:v>Log first source path or blocker</x:v>
      </x:c>
      <x:c r="U616" s="12" t="str">
        <x:f>IF(OR(P616="Unverified",Q616="Not checked"),"BLOCKED_PENDING_RECEIPT","READY_FOR_REVIEW")</x:f>
        <x:v>BLOCKED_PENDING_RECEIPT</x:v>
      </x:c>
      <x:c r="V616" s="12" t="str">
        <x:f>IF(J616="DONE","RETURNED",IF(U616="BLOCKED_PENDING_RECEIPT","SOURCE_TOUCH_REQUIRED","IN_PROGRESS"))</x:f>
        <x:v>SOURCE_TOUCH_REQUIRED</x:v>
      </x:c>
      <x:c r="W616" s="12" t="str">
        <x:f>IF(P616="Unverified","missing_receipt","receipt_logged")</x:f>
        <x:v>missing_receipt</x:v>
      </x:c>
      <x:c r="X616" s="12" t="str">
        <x:f>IF(Q616="Not checked","raw_status_missing","raw_status_logged")</x:f>
        <x:v>raw_status_missing</x:v>
      </x:c>
      <x:c r="Y616" s="12" t="str">
        <x:f>IF(U616="BLOCKED_PENDING_RECEIPT","Log source path or blocker; do not promote","Route to review lane")</x:f>
        <x:v>Log source path or blocker; do not promote</x:v>
      </x:c>
      <x:c r="Z616" s="12" t="str">
        <x:f>IF(K616="P0","Primary seat + Hashlight/Lucerna","Seat lane")</x:f>
        <x:v>Primary seat + Hashlight/Lucerna</x:v>
      </x:c>
      <x:c r="AA616" s="12" t="str">
        <x:f>IF(R616="","no_claim_delta","claim_delta_present")</x:f>
        <x:v>no_claim_delta</x:v>
      </x:c>
      <x:c r="AB616" s="12" t="str">
        <x:f>IF(S616="","no_contradiction_delta","contradiction_delta_present")</x:f>
        <x:v>no_contradiction_delta</x:v>
      </x:c>
      <x:c r="AC616" s="12" t="str">
        <x:f>IF(OR(ISNUMBER(SEARCH("hacker",LOWER(F616&amp;" "&amp;H616&amp;" "&amp;I616&amp;" "&amp;M616&amp;" "&amp;N616&amp;" "&amp;T616))),ISNUMBER(SEARCH("hacking",LOWER(F616&amp;" "&amp;H616&amp;" "&amp;I616&amp;" "&amp;M616&amp;" "&amp;N616&amp;" "&amp;T616))),ISNUMBER(SEARCH("bank",LOWER(F616&amp;" "&amp;H616&amp;" "&amp;I616&amp;" "&amp;M616&amp;" "&amp;N616&amp;" "&amp;T616))),ISNUMBER(SEARCH("banking",LOWER(F616&amp;" "&amp;H616&amp;" "&amp;I616&amp;" "&amp;M616&amp;" "&amp;N616&amp;" "&amp;T616)))),"PRIVATE_QUARANTINE",IF(OR(ISNUMBER(SEARCH("treasury",LOWER(F616&amp;" "&amp;H616&amp;" "&amp;I616&amp;" "&amp;M616&amp;" "&amp;N616&amp;" "&amp;T616))),ISNUMBER(SEARCH("debt",LOWER(F616&amp;" "&amp;H616&amp;" "&amp;I616&amp;" "&amp;M616&amp;" "&amp;N616&amp;" "&amp;T616))),ISNUMBER(SEARCH("bond",LOWER(F616&amp;" "&amp;H616&amp;" "&amp;I616&amp;" "&amp;M616&amp;" "&amp;N616&amp;" "&amp;T616))),ISNUMBER(SEARCH("transaction",LOWER(F616&amp;" "&amp;H616&amp;" "&amp;I616&amp;" "&amp;M616&amp;" "&amp;N616&amp;" "&amp;T616)))),"PRIVATE_REVIEW","PUBLIC_CANDIDATE"))</x:f>
        <x:v>PUBLIC_CANDIDATE</x:v>
      </x:c>
      <x:c r="AD616" s="12" t="str">
        <x:f>IF(AC616="PRIVATE_QUARANTINE","hacker_or_bank_trigger",IF(AC616="PRIVATE_REVIEW","finance_risk_trigger","none"))</x:f>
        <x:v>none</x:v>
      </x:c>
      <x:c r="AE616" s="12" t="str">
        <x:f>IF(AC616="PUBLIC_CANDIDATE","prepare_public_github_candidate",IF(AC616="PRIVATE_REVIEW","hold_for_private_review","quarantine_private_do_not_publish"))</x:f>
        <x:v>prepare_public_github_candidate</x:v>
      </x:c>
      <x:c r="AF616" s="12" t="str">
        <x:f>IF(AC616="PUBLIC_CANDIDATE","TIDELOCK + Lucerna",IF(AC616="PRIVATE_REVIEW","AtlasBrain + Lucerna","TIDELOCK + Lucerna + Human-root"))</x:f>
        <x:v>TIDELOCK + Lucerna</x:v>
      </x:c>
      <x:c r="AG616" s="12" t="str">
        <x:f>IF(AND(AC616="PUBLIC_CANDIDATE",U616&lt;&gt;"BLOCKED_PENDING_RECEIPT"),"READY_AFTER_RECEIPT","NOT_READY")</x:f>
        <x:v>NOT_READY</x:v>
      </x:c>
      <x:c r="AH616" s="12" t="str">
        <x:f>IF(AC616="PUBLIC_CANDIDATE","none",AD616)</x:f>
        <x:v>none</x:v>
      </x:c>
      <x:c r="AI616" s="12" t="str">
        <x:f>IF(AC616="PUBLIC_CANDIDATE","archive/public_candidates/"&amp;A616,"private_quarantine/"&amp;A616)</x:f>
        <x:v>archive/public_candidates/SWARM-05-H04-S03</x:v>
      </x:c>
      <x:c r="AJ616" s="12" t="str">
        <x:f>IF(AC616="PUBLIC_CANDIDATE","public by default; still not canon","private/hold; do not publish")</x:f>
        <x:v>public by default; still not canon</x:v>
      </x:c>
      <x:c r="AK616" s="12" t="str">
        <x:f>IF(AE616="prepare_public_github_candidate","add receipt/status then mirror","resolve blocker before any public GitHub action")</x:f>
        <x:v>add receipt/status then mirror</x:v>
      </x:c>
    </x:row>
    <x:row r="617">
      <x:c r="A617" s="15" t="str">
        <x:v>SWARM-05-H04-S04</x:v>
      </x:c>
      <x:c r="B617" s="15" t="str">
        <x:v>Rootglass</x:v>
      </x:c>
      <x:c r="C617" s="15" t="str">
        <x:v>Canon gate mirror</x:v>
      </x:c>
      <x:c r="D617" s="15" t="str">
        <x:v>Claim Extraction</x:v>
      </x:c>
      <x:c r="E617" s="15" t="str">
        <x:v>Gamma</x:v>
      </x:c>
      <x:c r="F617" s="15" t="str">
        <x:v>Extract claims from Gamma — Rootglass</x:v>
      </x:c>
      <x:c r="G617" s="15" t="str">
        <x:v>authority boundaries / ratification packets</x:v>
      </x:c>
      <x:c r="H617" s="15" t="str">
        <x:v>source path + receipt + raw/export status + claim/edge/risk delta</x:v>
      </x:c>
      <x:c r="I617" s="15" t="str">
        <x:v>packet/SWARM-05-H04-S04</x:v>
      </x:c>
      <x:c r="J617" s="15" t="str">
        <x:v>TODO</x:v>
      </x:c>
      <x:c r="K617" s="15" t="str">
        <x:v>P1</x:v>
      </x:c>
      <x:c r="L617" s="15" t="str">
        <x:v>Done only when evidence is logged, contradiction search is noted, and boundary stamp remains non-canon unless ratified</x:v>
      </x:c>
      <x:c r="M617" s="15" t="str">
        <x:v>candidate / staging-only / not canon / not deployed / authority none</x:v>
      </x:c>
      <x:c r="N617" s="15" t="str">
        <x:v>Dispatch to Rootglass: complete Claim Extraction x Gamma; return deltas only, receipts required.</x:v>
      </x:c>
      <x:c r="O617" s="15" t="str">
        <x:v>AF-KG-H04-S04</x:v>
      </x:c>
      <x:c r="P617" s="15" t="str">
        <x:v>Unverified</x:v>
      </x:c>
      <x:c r="Q617" s="15" t="str">
        <x:v>Not checked</x:v>
      </x:c>
      <x:c r="R617" s="15" t="str"/>
      <x:c r="S617" s="15" t="str"/>
      <x:c r="T617" s="15" t="str">
        <x:v>Log first source path or blocker</x:v>
      </x:c>
      <x:c r="U617" s="12" t="str">
        <x:f>IF(OR(P617="Unverified",Q617="Not checked"),"BLOCKED_PENDING_RECEIPT","READY_FOR_REVIEW")</x:f>
        <x:v>BLOCKED_PENDING_RECEIPT</x:v>
      </x:c>
      <x:c r="V617" s="12" t="str">
        <x:f>IF(J617="DONE","RETURNED",IF(U617="BLOCKED_PENDING_RECEIPT","SOURCE_TOUCH_REQUIRED","IN_PROGRESS"))</x:f>
        <x:v>SOURCE_TOUCH_REQUIRED</x:v>
      </x:c>
      <x:c r="W617" s="12" t="str">
        <x:f>IF(P617="Unverified","missing_receipt","receipt_logged")</x:f>
        <x:v>missing_receipt</x:v>
      </x:c>
      <x:c r="X617" s="12" t="str">
        <x:f>IF(Q617="Not checked","raw_status_missing","raw_status_logged")</x:f>
        <x:v>raw_status_missing</x:v>
      </x:c>
      <x:c r="Y617" s="12" t="str">
        <x:f>IF(U617="BLOCKED_PENDING_RECEIPT","Log source path or blocker; do not promote","Route to review lane")</x:f>
        <x:v>Log source path or blocker; do not promote</x:v>
      </x:c>
      <x:c r="Z617" s="12" t="str">
        <x:f>IF(K617="P0","Primary seat + Hashlight/Lucerna","Seat lane")</x:f>
        <x:v>Seat lane</x:v>
      </x:c>
      <x:c r="AA617" s="12" t="str">
        <x:f>IF(R617="","no_claim_delta","claim_delta_present")</x:f>
        <x:v>no_claim_delta</x:v>
      </x:c>
      <x:c r="AB617" s="12" t="str">
        <x:f>IF(S617="","no_contradiction_delta","contradiction_delta_present")</x:f>
        <x:v>no_contradiction_delta</x:v>
      </x:c>
      <x:c r="AC617" s="12" t="str">
        <x:f>IF(OR(ISNUMBER(SEARCH("hacker",LOWER(F617&amp;" "&amp;H617&amp;" "&amp;I617&amp;" "&amp;M617&amp;" "&amp;N617&amp;" "&amp;T617))),ISNUMBER(SEARCH("hacking",LOWER(F617&amp;" "&amp;H617&amp;" "&amp;I617&amp;" "&amp;M617&amp;" "&amp;N617&amp;" "&amp;T617))),ISNUMBER(SEARCH("bank",LOWER(F617&amp;" "&amp;H617&amp;" "&amp;I617&amp;" "&amp;M617&amp;" "&amp;N617&amp;" "&amp;T617))),ISNUMBER(SEARCH("banking",LOWER(F617&amp;" "&amp;H617&amp;" "&amp;I617&amp;" "&amp;M617&amp;" "&amp;N617&amp;" "&amp;T617)))),"PRIVATE_QUARANTINE",IF(OR(ISNUMBER(SEARCH("treasury",LOWER(F617&amp;" "&amp;H617&amp;" "&amp;I617&amp;" "&amp;M617&amp;" "&amp;N617&amp;" "&amp;T617))),ISNUMBER(SEARCH("debt",LOWER(F617&amp;" "&amp;H617&amp;" "&amp;I617&amp;" "&amp;M617&amp;" "&amp;N617&amp;" "&amp;T617))),ISNUMBER(SEARCH("bond",LOWER(F617&amp;" "&amp;H617&amp;" "&amp;I617&amp;" "&amp;M617&amp;" "&amp;N617&amp;" "&amp;T617))),ISNUMBER(SEARCH("transaction",LOWER(F617&amp;" "&amp;H617&amp;" "&amp;I617&amp;" "&amp;M617&amp;" "&amp;N617&amp;" "&amp;T617)))),"PRIVATE_REVIEW","PUBLIC_CANDIDATE"))</x:f>
        <x:v>PUBLIC_CANDIDATE</x:v>
      </x:c>
      <x:c r="AD617" s="12" t="str">
        <x:f>IF(AC617="PRIVATE_QUARANTINE","hacker_or_bank_trigger",IF(AC617="PRIVATE_REVIEW","finance_risk_trigger","none"))</x:f>
        <x:v>none</x:v>
      </x:c>
      <x:c r="AE617" s="12" t="str">
        <x:f>IF(AC617="PUBLIC_CANDIDATE","prepare_public_github_candidate",IF(AC617="PRIVATE_REVIEW","hold_for_private_review","quarantine_private_do_not_publish"))</x:f>
        <x:v>prepare_public_github_candidate</x:v>
      </x:c>
      <x:c r="AF617" s="12" t="str">
        <x:f>IF(AC617="PUBLIC_CANDIDATE","TIDELOCK + Lucerna",IF(AC617="PRIVATE_REVIEW","AtlasBrain + Lucerna","TIDELOCK + Lucerna + Human-root"))</x:f>
        <x:v>TIDELOCK + Lucerna</x:v>
      </x:c>
      <x:c r="AG617" s="12" t="str">
        <x:f>IF(AND(AC617="PUBLIC_CANDIDATE",U617&lt;&gt;"BLOCKED_PENDING_RECEIPT"),"READY_AFTER_RECEIPT","NOT_READY")</x:f>
        <x:v>NOT_READY</x:v>
      </x:c>
      <x:c r="AH617" s="12" t="str">
        <x:f>IF(AC617="PUBLIC_CANDIDATE","none",AD617)</x:f>
        <x:v>none</x:v>
      </x:c>
      <x:c r="AI617" s="12" t="str">
        <x:f>IF(AC617="PUBLIC_CANDIDATE","archive/public_candidates/"&amp;A617,"private_quarantine/"&amp;A617)</x:f>
        <x:v>archive/public_candidates/SWARM-05-H04-S04</x:v>
      </x:c>
      <x:c r="AJ617" s="12" t="str">
        <x:f>IF(AC617="PUBLIC_CANDIDATE","public by default; still not canon","private/hold; do not publish")</x:f>
        <x:v>public by default; still not canon</x:v>
      </x:c>
      <x:c r="AK617" s="12" t="str">
        <x:f>IF(AE617="prepare_public_github_candidate","add receipt/status then mirror","resolve blocker before any public GitHub action")</x:f>
        <x:v>add receipt/status then mirror</x:v>
      </x:c>
    </x:row>
    <x:row r="618">
      <x:c r="A618" s="15" t="str">
        <x:v>SWARM-05-H04-S05</x:v>
      </x:c>
      <x:c r="B618" s="15" t="str">
        <x:v>Rootglass</x:v>
      </x:c>
      <x:c r="C618" s="15" t="str">
        <x:v>Canon gate mirror</x:v>
      </x:c>
      <x:c r="D618" s="15" t="str">
        <x:v>Claim Extraction</x:v>
      </x:c>
      <x:c r="E618" s="15" t="str">
        <x:v>Chat</x:v>
      </x:c>
      <x:c r="F618" s="15" t="str">
        <x:v>Extract claims from Chat — Rootglass</x:v>
      </x:c>
      <x:c r="G618" s="15" t="str">
        <x:v>authority boundaries / ratification packets</x:v>
      </x:c>
      <x:c r="H618" s="15" t="str">
        <x:v>source path + receipt + raw/export status + claim/edge/risk delta</x:v>
      </x:c>
      <x:c r="I618" s="15" t="str">
        <x:v>packet/SWARM-05-H04-S05</x:v>
      </x:c>
      <x:c r="J618" s="15" t="str">
        <x:v>TODO</x:v>
      </x:c>
      <x:c r="K618" s="15" t="str">
        <x:v>P1</x:v>
      </x:c>
      <x:c r="L618" s="15" t="str">
        <x:v>Done only when evidence is logged, contradiction search is noted, and boundary stamp remains non-canon unless ratified</x:v>
      </x:c>
      <x:c r="M618" s="15" t="str">
        <x:v>candidate / staging-only / not canon / not deployed / authority none</x:v>
      </x:c>
      <x:c r="N618" s="15" t="str">
        <x:v>Dispatch to Rootglass: complete Claim Extraction x Chat; return deltas only, receipts required.</x:v>
      </x:c>
      <x:c r="O618" s="15" t="str">
        <x:v>AF-KG-H04-S05</x:v>
      </x:c>
      <x:c r="P618" s="15" t="str">
        <x:v>Unverified</x:v>
      </x:c>
      <x:c r="Q618" s="15" t="str">
        <x:v>Not checked</x:v>
      </x:c>
      <x:c r="R618" s="15" t="str"/>
      <x:c r="S618" s="15" t="str"/>
      <x:c r="T618" s="15" t="str">
        <x:v>Log first source path or blocker</x:v>
      </x:c>
      <x:c r="U618" s="12" t="str">
        <x:f>IF(OR(P618="Unverified",Q618="Not checked"),"BLOCKED_PENDING_RECEIPT","READY_FOR_REVIEW")</x:f>
        <x:v>BLOCKED_PENDING_RECEIPT</x:v>
      </x:c>
      <x:c r="V618" s="12" t="str">
        <x:f>IF(J618="DONE","RETURNED",IF(U618="BLOCKED_PENDING_RECEIPT","SOURCE_TOUCH_REQUIRED","IN_PROGRESS"))</x:f>
        <x:v>SOURCE_TOUCH_REQUIRED</x:v>
      </x:c>
      <x:c r="W618" s="12" t="str">
        <x:f>IF(P618="Unverified","missing_receipt","receipt_logged")</x:f>
        <x:v>missing_receipt</x:v>
      </x:c>
      <x:c r="X618" s="12" t="str">
        <x:f>IF(Q618="Not checked","raw_status_missing","raw_status_logged")</x:f>
        <x:v>raw_status_missing</x:v>
      </x:c>
      <x:c r="Y618" s="12" t="str">
        <x:f>IF(U618="BLOCKED_PENDING_RECEIPT","Log source path or blocker; do not promote","Route to review lane")</x:f>
        <x:v>Log source path or blocker; do not promote</x:v>
      </x:c>
      <x:c r="Z618" s="12" t="str">
        <x:f>IF(K618="P0","Primary seat + Hashlight/Lucerna","Seat lane")</x:f>
        <x:v>Seat lane</x:v>
      </x:c>
      <x:c r="AA618" s="12" t="str">
        <x:f>IF(R618="","no_claim_delta","claim_delta_present")</x:f>
        <x:v>no_claim_delta</x:v>
      </x:c>
      <x:c r="AB618" s="12" t="str">
        <x:f>IF(S618="","no_contradiction_delta","contradiction_delta_present")</x:f>
        <x:v>no_contradiction_delta</x:v>
      </x:c>
      <x:c r="AC618" s="12" t="str">
        <x:f>IF(OR(ISNUMBER(SEARCH("hacker",LOWER(F618&amp;" "&amp;H618&amp;" "&amp;I618&amp;" "&amp;M618&amp;" "&amp;N618&amp;" "&amp;T618))),ISNUMBER(SEARCH("hacking",LOWER(F618&amp;" "&amp;H618&amp;" "&amp;I618&amp;" "&amp;M618&amp;" "&amp;N618&amp;" "&amp;T618))),ISNUMBER(SEARCH("bank",LOWER(F618&amp;" "&amp;H618&amp;" "&amp;I618&amp;" "&amp;M618&amp;" "&amp;N618&amp;" "&amp;T618))),ISNUMBER(SEARCH("banking",LOWER(F618&amp;" "&amp;H618&amp;" "&amp;I618&amp;" "&amp;M618&amp;" "&amp;N618&amp;" "&amp;T618)))),"PRIVATE_QUARANTINE",IF(OR(ISNUMBER(SEARCH("treasury",LOWER(F618&amp;" "&amp;H618&amp;" "&amp;I618&amp;" "&amp;M618&amp;" "&amp;N618&amp;" "&amp;T618))),ISNUMBER(SEARCH("debt",LOWER(F618&amp;" "&amp;H618&amp;" "&amp;I618&amp;" "&amp;M618&amp;" "&amp;N618&amp;" "&amp;T618))),ISNUMBER(SEARCH("bond",LOWER(F618&amp;" "&amp;H618&amp;" "&amp;I618&amp;" "&amp;M618&amp;" "&amp;N618&amp;" "&amp;T618))),ISNUMBER(SEARCH("transaction",LOWER(F618&amp;" "&amp;H618&amp;" "&amp;I618&amp;" "&amp;M618&amp;" "&amp;N618&amp;" "&amp;T618)))),"PRIVATE_REVIEW","PUBLIC_CANDIDATE"))</x:f>
        <x:v>PUBLIC_CANDIDATE</x:v>
      </x:c>
      <x:c r="AD618" s="12" t="str">
        <x:f>IF(AC618="PRIVATE_QUARANTINE","hacker_or_bank_trigger",IF(AC618="PRIVATE_REVIEW","finance_risk_trigger","none"))</x:f>
        <x:v>none</x:v>
      </x:c>
      <x:c r="AE618" s="12" t="str">
        <x:f>IF(AC618="PUBLIC_CANDIDATE","prepare_public_github_candidate",IF(AC618="PRIVATE_REVIEW","hold_for_private_review","quarantine_private_do_not_publish"))</x:f>
        <x:v>prepare_public_github_candidate</x:v>
      </x:c>
      <x:c r="AF618" s="12" t="str">
        <x:f>IF(AC618="PUBLIC_CANDIDATE","TIDELOCK + Lucerna",IF(AC618="PRIVATE_REVIEW","AtlasBrain + Lucerna","TIDELOCK + Lucerna + Human-root"))</x:f>
        <x:v>TIDELOCK + Lucerna</x:v>
      </x:c>
      <x:c r="AG618" s="12" t="str">
        <x:f>IF(AND(AC618="PUBLIC_CANDIDATE",U618&lt;&gt;"BLOCKED_PENDING_RECEIPT"),"READY_AFTER_RECEIPT","NOT_READY")</x:f>
        <x:v>NOT_READY</x:v>
      </x:c>
      <x:c r="AH618" s="12" t="str">
        <x:f>IF(AC618="PUBLIC_CANDIDATE","none",AD618)</x:f>
        <x:v>none</x:v>
      </x:c>
      <x:c r="AI618" s="12" t="str">
        <x:f>IF(AC618="PUBLIC_CANDIDATE","archive/public_candidates/"&amp;A618,"private_quarantine/"&amp;A618)</x:f>
        <x:v>archive/public_candidates/SWARM-05-H04-S05</x:v>
      </x:c>
      <x:c r="AJ618" s="12" t="str">
        <x:f>IF(AC618="PUBLIC_CANDIDATE","public by default; still not canon","private/hold; do not publish")</x:f>
        <x:v>public by default; still not canon</x:v>
      </x:c>
      <x:c r="AK618" s="12" t="str">
        <x:f>IF(AE618="prepare_public_github_candidate","add receipt/status then mirror","resolve blocker before any public GitHub action")</x:f>
        <x:v>add receipt/status then mirror</x:v>
      </x:c>
    </x:row>
    <x:row r="619">
      <x:c r="A619" s="15" t="str">
        <x:v>SWARM-05-H04-S06</x:v>
      </x:c>
      <x:c r="B619" s="15" t="str">
        <x:v>Rootglass</x:v>
      </x:c>
      <x:c r="C619" s="15" t="str">
        <x:v>Canon gate mirror</x:v>
      </x:c>
      <x:c r="D619" s="15" t="str">
        <x:v>Claim Extraction</x:v>
      </x:c>
      <x:c r="E619" s="15" t="str">
        <x:v>External Web</x:v>
      </x:c>
      <x:c r="F619" s="15" t="str">
        <x:v>Extract claims from External Web — Rootglass</x:v>
      </x:c>
      <x:c r="G619" s="15" t="str">
        <x:v>authority boundaries / ratification packets</x:v>
      </x:c>
      <x:c r="H619" s="15" t="str">
        <x:v>source path + receipt + raw/export status + claim/edge/risk delta</x:v>
      </x:c>
      <x:c r="I619" s="15" t="str">
        <x:v>packet/SWARM-05-H04-S06</x:v>
      </x:c>
      <x:c r="J619" s="15" t="str">
        <x:v>TODO</x:v>
      </x:c>
      <x:c r="K619" s="15" t="str">
        <x:v>P1</x:v>
      </x:c>
      <x:c r="L619" s="15" t="str">
        <x:v>Done only when evidence is logged, contradiction search is noted, and boundary stamp remains non-canon unless ratified</x:v>
      </x:c>
      <x:c r="M619" s="15" t="str">
        <x:v>candidate / staging-only / not canon / not deployed / authority none</x:v>
      </x:c>
      <x:c r="N619" s="15" t="str">
        <x:v>Dispatch to Rootglass: complete Claim Extraction x External Web; return deltas only, receipts required.</x:v>
      </x:c>
      <x:c r="O619" s="15" t="str">
        <x:v>AF-KG-H04-S06</x:v>
      </x:c>
      <x:c r="P619" s="15" t="str">
        <x:v>Unverified</x:v>
      </x:c>
      <x:c r="Q619" s="15" t="str">
        <x:v>Not checked</x:v>
      </x:c>
      <x:c r="R619" s="15" t="str"/>
      <x:c r="S619" s="15" t="str"/>
      <x:c r="T619" s="15" t="str">
        <x:v>Log first source path or blocker</x:v>
      </x:c>
      <x:c r="U619" s="12" t="str">
        <x:f>IF(OR(P619="Unverified",Q619="Not checked"),"BLOCKED_PENDING_RECEIPT","READY_FOR_REVIEW")</x:f>
        <x:v>BLOCKED_PENDING_RECEIPT</x:v>
      </x:c>
      <x:c r="V619" s="12" t="str">
        <x:f>IF(J619="DONE","RETURNED",IF(U619="BLOCKED_PENDING_RECEIPT","SOURCE_TOUCH_REQUIRED","IN_PROGRESS"))</x:f>
        <x:v>SOURCE_TOUCH_REQUIRED</x:v>
      </x:c>
      <x:c r="W619" s="12" t="str">
        <x:f>IF(P619="Unverified","missing_receipt","receipt_logged")</x:f>
        <x:v>missing_receipt</x:v>
      </x:c>
      <x:c r="X619" s="12" t="str">
        <x:f>IF(Q619="Not checked","raw_status_missing","raw_status_logged")</x:f>
        <x:v>raw_status_missing</x:v>
      </x:c>
      <x:c r="Y619" s="12" t="str">
        <x:f>IF(U619="BLOCKED_PENDING_RECEIPT","Log source path or blocker; do not promote","Route to review lane")</x:f>
        <x:v>Log source path or blocker; do not promote</x:v>
      </x:c>
      <x:c r="Z619" s="12" t="str">
        <x:f>IF(K619="P0","Primary seat + Hashlight/Lucerna","Seat lane")</x:f>
        <x:v>Seat lane</x:v>
      </x:c>
      <x:c r="AA619" s="12" t="str">
        <x:f>IF(R619="","no_claim_delta","claim_delta_present")</x:f>
        <x:v>no_claim_delta</x:v>
      </x:c>
      <x:c r="AB619" s="12" t="str">
        <x:f>IF(S619="","no_contradiction_delta","contradiction_delta_present")</x:f>
        <x:v>no_contradiction_delta</x:v>
      </x:c>
      <x:c r="AC619" s="12" t="str">
        <x:f>IF(OR(ISNUMBER(SEARCH("hacker",LOWER(F619&amp;" "&amp;H619&amp;" "&amp;I619&amp;" "&amp;M619&amp;" "&amp;N619&amp;" "&amp;T619))),ISNUMBER(SEARCH("hacking",LOWER(F619&amp;" "&amp;H619&amp;" "&amp;I619&amp;" "&amp;M619&amp;" "&amp;N619&amp;" "&amp;T619))),ISNUMBER(SEARCH("bank",LOWER(F619&amp;" "&amp;H619&amp;" "&amp;I619&amp;" "&amp;M619&amp;" "&amp;N619&amp;" "&amp;T619))),ISNUMBER(SEARCH("banking",LOWER(F619&amp;" "&amp;H619&amp;" "&amp;I619&amp;" "&amp;M619&amp;" "&amp;N619&amp;" "&amp;T619)))),"PRIVATE_QUARANTINE",IF(OR(ISNUMBER(SEARCH("treasury",LOWER(F619&amp;" "&amp;H619&amp;" "&amp;I619&amp;" "&amp;M619&amp;" "&amp;N619&amp;" "&amp;T619))),ISNUMBER(SEARCH("debt",LOWER(F619&amp;" "&amp;H619&amp;" "&amp;I619&amp;" "&amp;M619&amp;" "&amp;N619&amp;" "&amp;T619))),ISNUMBER(SEARCH("bond",LOWER(F619&amp;" "&amp;H619&amp;" "&amp;I619&amp;" "&amp;M619&amp;" "&amp;N619&amp;" "&amp;T619))),ISNUMBER(SEARCH("transaction",LOWER(F619&amp;" "&amp;H619&amp;" "&amp;I619&amp;" "&amp;M619&amp;" "&amp;N619&amp;" "&amp;T619)))),"PRIVATE_REVIEW","PUBLIC_CANDIDATE"))</x:f>
        <x:v>PUBLIC_CANDIDATE</x:v>
      </x:c>
      <x:c r="AD619" s="12" t="str">
        <x:f>IF(AC619="PRIVATE_QUARANTINE","hacker_or_bank_trigger",IF(AC619="PRIVATE_REVIEW","finance_risk_trigger","none"))</x:f>
        <x:v>none</x:v>
      </x:c>
      <x:c r="AE619" s="12" t="str">
        <x:f>IF(AC619="PUBLIC_CANDIDATE","prepare_public_github_candidate",IF(AC619="PRIVATE_REVIEW","hold_for_private_review","quarantine_private_do_not_publish"))</x:f>
        <x:v>prepare_public_github_candidate</x:v>
      </x:c>
      <x:c r="AF619" s="12" t="str">
        <x:f>IF(AC619="PUBLIC_CANDIDATE","TIDELOCK + Lucerna",IF(AC619="PRIVATE_REVIEW","AtlasBrain + Lucerna","TIDELOCK + Lucerna + Human-root"))</x:f>
        <x:v>TIDELOCK + Lucerna</x:v>
      </x:c>
      <x:c r="AG619" s="12" t="str">
        <x:f>IF(AND(AC619="PUBLIC_CANDIDATE",U619&lt;&gt;"BLOCKED_PENDING_RECEIPT"),"READY_AFTER_RECEIPT","NOT_READY")</x:f>
        <x:v>NOT_READY</x:v>
      </x:c>
      <x:c r="AH619" s="12" t="str">
        <x:f>IF(AC619="PUBLIC_CANDIDATE","none",AD619)</x:f>
        <x:v>none</x:v>
      </x:c>
      <x:c r="AI619" s="12" t="str">
        <x:f>IF(AC619="PUBLIC_CANDIDATE","archive/public_candidates/"&amp;A619,"private_quarantine/"&amp;A619)</x:f>
        <x:v>archive/public_candidates/SWARM-05-H04-S06</x:v>
      </x:c>
      <x:c r="AJ619" s="12" t="str">
        <x:f>IF(AC619="PUBLIC_CANDIDATE","public by default; still not canon","private/hold; do not publish")</x:f>
        <x:v>public by default; still not canon</x:v>
      </x:c>
      <x:c r="AK619" s="12" t="str">
        <x:f>IF(AE619="prepare_public_github_candidate","add receipt/status then mirror","resolve blocker before any public GitHub action")</x:f>
        <x:v>add receipt/status then mirror</x:v>
      </x:c>
    </x:row>
    <x:row r="620">
      <x:c r="A620" s="15" t="str">
        <x:v>SWARM-05-H04-S07</x:v>
      </x:c>
      <x:c r="B620" s="15" t="str">
        <x:v>Rootglass</x:v>
      </x:c>
      <x:c r="C620" s="15" t="str">
        <x:v>Canon gate mirror</x:v>
      </x:c>
      <x:c r="D620" s="15" t="str">
        <x:v>Claim Extraction</x:v>
      </x:c>
      <x:c r="E620" s="15" t="str">
        <x:v>Planetarium</x:v>
      </x:c>
      <x:c r="F620" s="15" t="str">
        <x:v>Extract claims from Planetarium — Rootglass</x:v>
      </x:c>
      <x:c r="G620" s="15" t="str">
        <x:v>authority boundaries / ratification packets</x:v>
      </x:c>
      <x:c r="H620" s="15" t="str">
        <x:v>source path + receipt + raw/export status + claim/edge/risk delta</x:v>
      </x:c>
      <x:c r="I620" s="15" t="str">
        <x:v>packet/SWARM-05-H04-S07</x:v>
      </x:c>
      <x:c r="J620" s="15" t="str">
        <x:v>TODO</x:v>
      </x:c>
      <x:c r="K620" s="15" t="str">
        <x:v>P1</x:v>
      </x:c>
      <x:c r="L620" s="15" t="str">
        <x:v>Done only when evidence is logged, contradiction search is noted, and boundary stamp remains non-canon unless ratified</x:v>
      </x:c>
      <x:c r="M620" s="15" t="str">
        <x:v>candidate / staging-only / not canon / not deployed / authority none</x:v>
      </x:c>
      <x:c r="N620" s="15" t="str">
        <x:v>Dispatch to Rootglass: complete Claim Extraction x Planetarium; return deltas only, receipts required.</x:v>
      </x:c>
      <x:c r="O620" s="15" t="str">
        <x:v>AF-KG-H04-S07</x:v>
      </x:c>
      <x:c r="P620" s="15" t="str">
        <x:v>Unverified</x:v>
      </x:c>
      <x:c r="Q620" s="15" t="str">
        <x:v>Not checked</x:v>
      </x:c>
      <x:c r="R620" s="15" t="str"/>
      <x:c r="S620" s="15" t="str"/>
      <x:c r="T620" s="15" t="str">
        <x:v>Log first source path or blocker</x:v>
      </x:c>
      <x:c r="U620" s="12" t="str">
        <x:f>IF(OR(P620="Unverified",Q620="Not checked"),"BLOCKED_PENDING_RECEIPT","READY_FOR_REVIEW")</x:f>
        <x:v>BLOCKED_PENDING_RECEIPT</x:v>
      </x:c>
      <x:c r="V620" s="12" t="str">
        <x:f>IF(J620="DONE","RETURNED",IF(U620="BLOCKED_PENDING_RECEIPT","SOURCE_TOUCH_REQUIRED","IN_PROGRESS"))</x:f>
        <x:v>SOURCE_TOUCH_REQUIRED</x:v>
      </x:c>
      <x:c r="W620" s="12" t="str">
        <x:f>IF(P620="Unverified","missing_receipt","receipt_logged")</x:f>
        <x:v>missing_receipt</x:v>
      </x:c>
      <x:c r="X620" s="12" t="str">
        <x:f>IF(Q620="Not checked","raw_status_missing","raw_status_logged")</x:f>
        <x:v>raw_status_missing</x:v>
      </x:c>
      <x:c r="Y620" s="12" t="str">
        <x:f>IF(U620="BLOCKED_PENDING_RECEIPT","Log source path or blocker; do not promote","Route to review lane")</x:f>
        <x:v>Log source path or blocker; do not promote</x:v>
      </x:c>
      <x:c r="Z620" s="12" t="str">
        <x:f>IF(K620="P0","Primary seat + Hashlight/Lucerna","Seat lane")</x:f>
        <x:v>Seat lane</x:v>
      </x:c>
      <x:c r="AA620" s="12" t="str">
        <x:f>IF(R620="","no_claim_delta","claim_delta_present")</x:f>
        <x:v>no_claim_delta</x:v>
      </x:c>
      <x:c r="AB620" s="12" t="str">
        <x:f>IF(S620="","no_contradiction_delta","contradiction_delta_present")</x:f>
        <x:v>no_contradiction_delta</x:v>
      </x:c>
      <x:c r="AC620" s="12" t="str">
        <x:f>IF(OR(ISNUMBER(SEARCH("hacker",LOWER(F620&amp;" "&amp;H620&amp;" "&amp;I620&amp;" "&amp;M620&amp;" "&amp;N620&amp;" "&amp;T620))),ISNUMBER(SEARCH("hacking",LOWER(F620&amp;" "&amp;H620&amp;" "&amp;I620&amp;" "&amp;M620&amp;" "&amp;N620&amp;" "&amp;T620))),ISNUMBER(SEARCH("bank",LOWER(F620&amp;" "&amp;H620&amp;" "&amp;I620&amp;" "&amp;M620&amp;" "&amp;N620&amp;" "&amp;T620))),ISNUMBER(SEARCH("banking",LOWER(F620&amp;" "&amp;H620&amp;" "&amp;I620&amp;" "&amp;M620&amp;" "&amp;N620&amp;" "&amp;T620)))),"PRIVATE_QUARANTINE",IF(OR(ISNUMBER(SEARCH("treasury",LOWER(F620&amp;" "&amp;H620&amp;" "&amp;I620&amp;" "&amp;M620&amp;" "&amp;N620&amp;" "&amp;T620))),ISNUMBER(SEARCH("debt",LOWER(F620&amp;" "&amp;H620&amp;" "&amp;I620&amp;" "&amp;M620&amp;" "&amp;N620&amp;" "&amp;T620))),ISNUMBER(SEARCH("bond",LOWER(F620&amp;" "&amp;H620&amp;" "&amp;I620&amp;" "&amp;M620&amp;" "&amp;N620&amp;" "&amp;T620))),ISNUMBER(SEARCH("transaction",LOWER(F620&amp;" "&amp;H620&amp;" "&amp;I620&amp;" "&amp;M620&amp;" "&amp;N620&amp;" "&amp;T620)))),"PRIVATE_REVIEW","PUBLIC_CANDIDATE"))</x:f>
        <x:v>PUBLIC_CANDIDATE</x:v>
      </x:c>
      <x:c r="AD620" s="12" t="str">
        <x:f>IF(AC620="PRIVATE_QUARANTINE","hacker_or_bank_trigger",IF(AC620="PRIVATE_REVIEW","finance_risk_trigger","none"))</x:f>
        <x:v>none</x:v>
      </x:c>
      <x:c r="AE620" s="12" t="str">
        <x:f>IF(AC620="PUBLIC_CANDIDATE","prepare_public_github_candidate",IF(AC620="PRIVATE_REVIEW","hold_for_private_review","quarantine_private_do_not_publish"))</x:f>
        <x:v>prepare_public_github_candidate</x:v>
      </x:c>
      <x:c r="AF620" s="12" t="str">
        <x:f>IF(AC620="PUBLIC_CANDIDATE","TIDELOCK + Lucerna",IF(AC620="PRIVATE_REVIEW","AtlasBrain + Lucerna","TIDELOCK + Lucerna + Human-root"))</x:f>
        <x:v>TIDELOCK + Lucerna</x:v>
      </x:c>
      <x:c r="AG620" s="12" t="str">
        <x:f>IF(AND(AC620="PUBLIC_CANDIDATE",U620&lt;&gt;"BLOCKED_PENDING_RECEIPT"),"READY_AFTER_RECEIPT","NOT_READY")</x:f>
        <x:v>NOT_READY</x:v>
      </x:c>
      <x:c r="AH620" s="12" t="str">
        <x:f>IF(AC620="PUBLIC_CANDIDATE","none",AD620)</x:f>
        <x:v>none</x:v>
      </x:c>
      <x:c r="AI620" s="12" t="str">
        <x:f>IF(AC620="PUBLIC_CANDIDATE","archive/public_candidates/"&amp;A620,"private_quarantine/"&amp;A620)</x:f>
        <x:v>archive/public_candidates/SWARM-05-H04-S07</x:v>
      </x:c>
      <x:c r="AJ620" s="12" t="str">
        <x:f>IF(AC620="PUBLIC_CANDIDATE","public by default; still not canon","private/hold; do not publish")</x:f>
        <x:v>public by default; still not canon</x:v>
      </x:c>
      <x:c r="AK620" s="12" t="str">
        <x:f>IF(AE620="prepare_public_github_candidate","add receipt/status then mirror","resolve blocker before any public GitHub action")</x:f>
        <x:v>add receipt/status then mirror</x:v>
      </x:c>
    </x:row>
    <x:row r="621">
      <x:c r="A621" s="15" t="str">
        <x:v>SWARM-05-H04-S08</x:v>
      </x:c>
      <x:c r="B621" s="15" t="str">
        <x:v>Rootglass</x:v>
      </x:c>
      <x:c r="C621" s="15" t="str">
        <x:v>Canon gate mirror</x:v>
      </x:c>
      <x:c r="D621" s="15" t="str">
        <x:v>Claim Extraction</x:v>
      </x:c>
      <x:c r="E621" s="15" t="str">
        <x:v>Sheldonbrain</x:v>
      </x:c>
      <x:c r="F621" s="15" t="str">
        <x:v>Extract claims from Sheldonbrain — Rootglass</x:v>
      </x:c>
      <x:c r="G621" s="15" t="str">
        <x:v>authority boundaries / ratification packets</x:v>
      </x:c>
      <x:c r="H621" s="15" t="str">
        <x:v>source path + receipt + raw/export status + claim/edge/risk delta</x:v>
      </x:c>
      <x:c r="I621" s="15" t="str">
        <x:v>packet/SWARM-05-H04-S08</x:v>
      </x:c>
      <x:c r="J621" s="15" t="str">
        <x:v>TODO</x:v>
      </x:c>
      <x:c r="K621" s="15" t="str">
        <x:v>P1</x:v>
      </x:c>
      <x:c r="L621" s="15" t="str">
        <x:v>Done only when evidence is logged, contradiction search is noted, and boundary stamp remains non-canon unless ratified</x:v>
      </x:c>
      <x:c r="M621" s="15" t="str">
        <x:v>candidate / staging-only / not canon / not deployed / authority none</x:v>
      </x:c>
      <x:c r="N621" s="15" t="str">
        <x:v>Dispatch to Rootglass: complete Claim Extraction x Sheldonbrain; return deltas only, receipts required.</x:v>
      </x:c>
      <x:c r="O621" s="15" t="str">
        <x:v>AF-KG-H04-S08</x:v>
      </x:c>
      <x:c r="P621" s="15" t="str">
        <x:v>Unverified</x:v>
      </x:c>
      <x:c r="Q621" s="15" t="str">
        <x:v>Not checked</x:v>
      </x:c>
      <x:c r="R621" s="15" t="str"/>
      <x:c r="S621" s="15" t="str"/>
      <x:c r="T621" s="15" t="str">
        <x:v>Log first source path or blocker</x:v>
      </x:c>
      <x:c r="U621" s="12" t="str">
        <x:f>IF(OR(P621="Unverified",Q621="Not checked"),"BLOCKED_PENDING_RECEIPT","READY_FOR_REVIEW")</x:f>
        <x:v>BLOCKED_PENDING_RECEIPT</x:v>
      </x:c>
      <x:c r="V621" s="12" t="str">
        <x:f>IF(J621="DONE","RETURNED",IF(U621="BLOCKED_PENDING_RECEIPT","SOURCE_TOUCH_REQUIRED","IN_PROGRESS"))</x:f>
        <x:v>SOURCE_TOUCH_REQUIRED</x:v>
      </x:c>
      <x:c r="W621" s="12" t="str">
        <x:f>IF(P621="Unverified","missing_receipt","receipt_logged")</x:f>
        <x:v>missing_receipt</x:v>
      </x:c>
      <x:c r="X621" s="12" t="str">
        <x:f>IF(Q621="Not checked","raw_status_missing","raw_status_logged")</x:f>
        <x:v>raw_status_missing</x:v>
      </x:c>
      <x:c r="Y621" s="12" t="str">
        <x:f>IF(U621="BLOCKED_PENDING_RECEIPT","Log source path or blocker; do not promote","Route to review lane")</x:f>
        <x:v>Log source path or blocker; do not promote</x:v>
      </x:c>
      <x:c r="Z621" s="12" t="str">
        <x:f>IF(K621="P0","Primary seat + Hashlight/Lucerna","Seat lane")</x:f>
        <x:v>Seat lane</x:v>
      </x:c>
      <x:c r="AA621" s="12" t="str">
        <x:f>IF(R621="","no_claim_delta","claim_delta_present")</x:f>
        <x:v>no_claim_delta</x:v>
      </x:c>
      <x:c r="AB621" s="12" t="str">
        <x:f>IF(S621="","no_contradiction_delta","contradiction_delta_present")</x:f>
        <x:v>no_contradiction_delta</x:v>
      </x:c>
      <x:c r="AC621" s="12" t="str">
        <x:f>IF(OR(ISNUMBER(SEARCH("hacker",LOWER(F621&amp;" "&amp;H621&amp;" "&amp;I621&amp;" "&amp;M621&amp;" "&amp;N621&amp;" "&amp;T621))),ISNUMBER(SEARCH("hacking",LOWER(F621&amp;" "&amp;H621&amp;" "&amp;I621&amp;" "&amp;M621&amp;" "&amp;N621&amp;" "&amp;T621))),ISNUMBER(SEARCH("bank",LOWER(F621&amp;" "&amp;H621&amp;" "&amp;I621&amp;" "&amp;M621&amp;" "&amp;N621&amp;" "&amp;T621))),ISNUMBER(SEARCH("banking",LOWER(F621&amp;" "&amp;H621&amp;" "&amp;I621&amp;" "&amp;M621&amp;" "&amp;N621&amp;" "&amp;T621)))),"PRIVATE_QUARANTINE",IF(OR(ISNUMBER(SEARCH("treasury",LOWER(F621&amp;" "&amp;H621&amp;" "&amp;I621&amp;" "&amp;M621&amp;" "&amp;N621&amp;" "&amp;T621))),ISNUMBER(SEARCH("debt",LOWER(F621&amp;" "&amp;H621&amp;" "&amp;I621&amp;" "&amp;M621&amp;" "&amp;N621&amp;" "&amp;T621))),ISNUMBER(SEARCH("bond",LOWER(F621&amp;" "&amp;H621&amp;" "&amp;I621&amp;" "&amp;M621&amp;" "&amp;N621&amp;" "&amp;T621))),ISNUMBER(SEARCH("transaction",LOWER(F621&amp;" "&amp;H621&amp;" "&amp;I621&amp;" "&amp;M621&amp;" "&amp;N621&amp;" "&amp;T621)))),"PRIVATE_REVIEW","PUBLIC_CANDIDATE"))</x:f>
        <x:v>PUBLIC_CANDIDATE</x:v>
      </x:c>
      <x:c r="AD621" s="12" t="str">
        <x:f>IF(AC621="PRIVATE_QUARANTINE","hacker_or_bank_trigger",IF(AC621="PRIVATE_REVIEW","finance_risk_trigger","none"))</x:f>
        <x:v>none</x:v>
      </x:c>
      <x:c r="AE621" s="12" t="str">
        <x:f>IF(AC621="PUBLIC_CANDIDATE","prepare_public_github_candidate",IF(AC621="PRIVATE_REVIEW","hold_for_private_review","quarantine_private_do_not_publish"))</x:f>
        <x:v>prepare_public_github_candidate</x:v>
      </x:c>
      <x:c r="AF621" s="12" t="str">
        <x:f>IF(AC621="PUBLIC_CANDIDATE","TIDELOCK + Lucerna",IF(AC621="PRIVATE_REVIEW","AtlasBrain + Lucerna","TIDELOCK + Lucerna + Human-root"))</x:f>
        <x:v>TIDELOCK + Lucerna</x:v>
      </x:c>
      <x:c r="AG621" s="12" t="str">
        <x:f>IF(AND(AC621="PUBLIC_CANDIDATE",U621&lt;&gt;"BLOCKED_PENDING_RECEIPT"),"READY_AFTER_RECEIPT","NOT_READY")</x:f>
        <x:v>NOT_READY</x:v>
      </x:c>
      <x:c r="AH621" s="12" t="str">
        <x:f>IF(AC621="PUBLIC_CANDIDATE","none",AD621)</x:f>
        <x:v>none</x:v>
      </x:c>
      <x:c r="AI621" s="12" t="str">
        <x:f>IF(AC621="PUBLIC_CANDIDATE","archive/public_candidates/"&amp;A621,"private_quarantine/"&amp;A621)</x:f>
        <x:v>archive/public_candidates/SWARM-05-H04-S08</x:v>
      </x:c>
      <x:c r="AJ621" s="12" t="str">
        <x:f>IF(AC621="PUBLIC_CANDIDATE","public by default; still not canon","private/hold; do not publish")</x:f>
        <x:v>public by default; still not canon</x:v>
      </x:c>
      <x:c r="AK621" s="12" t="str">
        <x:f>IF(AE621="prepare_public_github_candidate","add receipt/status then mirror","resolve blocker before any public GitHub action")</x:f>
        <x:v>add receipt/status then mirror</x:v>
      </x:c>
    </x:row>
    <x:row r="622">
      <x:c r="A622" s="15" t="str">
        <x:v>SWARM-05-H04-S09</x:v>
      </x:c>
      <x:c r="B622" s="15" t="str">
        <x:v>Rootglass</x:v>
      </x:c>
      <x:c r="C622" s="15" t="str">
        <x:v>Canon gate mirror</x:v>
      </x:c>
      <x:c r="D622" s="15" t="str">
        <x:v>Claim Extraction</x:v>
      </x:c>
      <x:c r="E622" s="15" t="str">
        <x:v>Aetherforge</x:v>
      </x:c>
      <x:c r="F622" s="15" t="str">
        <x:v>Extract claims from Aetherforge — Rootglass</x:v>
      </x:c>
      <x:c r="G622" s="15" t="str">
        <x:v>authority boundaries / ratification packets</x:v>
      </x:c>
      <x:c r="H622" s="15" t="str">
        <x:v>source path + receipt + raw/export status + claim/edge/risk delta</x:v>
      </x:c>
      <x:c r="I622" s="15" t="str">
        <x:v>packet/SWARM-05-H04-S09</x:v>
      </x:c>
      <x:c r="J622" s="15" t="str">
        <x:v>TODO</x:v>
      </x:c>
      <x:c r="K622" s="15" t="str">
        <x:v>P2</x:v>
      </x:c>
      <x:c r="L622" s="15" t="str">
        <x:v>Done only when evidence is logged, contradiction search is noted, and boundary stamp remains non-canon unless ratified</x:v>
      </x:c>
      <x:c r="M622" s="15" t="str">
        <x:v>candidate / staging-only / not canon / not deployed / authority none</x:v>
      </x:c>
      <x:c r="N622" s="15" t="str">
        <x:v>Dispatch to Rootglass: complete Claim Extraction x Aetherforge; return deltas only, receipts required.</x:v>
      </x:c>
      <x:c r="O622" s="15" t="str">
        <x:v>AF-KG-H04-S09</x:v>
      </x:c>
      <x:c r="P622" s="15" t="str">
        <x:v>Unverified</x:v>
      </x:c>
      <x:c r="Q622" s="15" t="str">
        <x:v>Not checked</x:v>
      </x:c>
      <x:c r="R622" s="15" t="str"/>
      <x:c r="S622" s="15" t="str"/>
      <x:c r="T622" s="15" t="str">
        <x:v>Log first source path or blocker</x:v>
      </x:c>
      <x:c r="U622" s="12" t="str">
        <x:f>IF(OR(P622="Unverified",Q622="Not checked"),"BLOCKED_PENDING_RECEIPT","READY_FOR_REVIEW")</x:f>
        <x:v>BLOCKED_PENDING_RECEIPT</x:v>
      </x:c>
      <x:c r="V622" s="12" t="str">
        <x:f>IF(J622="DONE","RETURNED",IF(U622="BLOCKED_PENDING_RECEIPT","SOURCE_TOUCH_REQUIRED","IN_PROGRESS"))</x:f>
        <x:v>SOURCE_TOUCH_REQUIRED</x:v>
      </x:c>
      <x:c r="W622" s="12" t="str">
        <x:f>IF(P622="Unverified","missing_receipt","receipt_logged")</x:f>
        <x:v>missing_receipt</x:v>
      </x:c>
      <x:c r="X622" s="12" t="str">
        <x:f>IF(Q622="Not checked","raw_status_missing","raw_status_logged")</x:f>
        <x:v>raw_status_missing</x:v>
      </x:c>
      <x:c r="Y622" s="12" t="str">
        <x:f>IF(U622="BLOCKED_PENDING_RECEIPT","Log source path or blocker; do not promote","Route to review lane")</x:f>
        <x:v>Log source path or blocker; do not promote</x:v>
      </x:c>
      <x:c r="Z622" s="12" t="str">
        <x:f>IF(K622="P0","Primary seat + Hashlight/Lucerna","Seat lane")</x:f>
        <x:v>Seat lane</x:v>
      </x:c>
      <x:c r="AA622" s="12" t="str">
        <x:f>IF(R622="","no_claim_delta","claim_delta_present")</x:f>
        <x:v>no_claim_delta</x:v>
      </x:c>
      <x:c r="AB622" s="12" t="str">
        <x:f>IF(S622="","no_contradiction_delta","contradiction_delta_present")</x:f>
        <x:v>no_contradiction_delta</x:v>
      </x:c>
      <x:c r="AC622" s="12" t="str">
        <x:f>IF(OR(ISNUMBER(SEARCH("hacker",LOWER(F622&amp;" "&amp;H622&amp;" "&amp;I622&amp;" "&amp;M622&amp;" "&amp;N622&amp;" "&amp;T622))),ISNUMBER(SEARCH("hacking",LOWER(F622&amp;" "&amp;H622&amp;" "&amp;I622&amp;" "&amp;M622&amp;" "&amp;N622&amp;" "&amp;T622))),ISNUMBER(SEARCH("bank",LOWER(F622&amp;" "&amp;H622&amp;" "&amp;I622&amp;" "&amp;M622&amp;" "&amp;N622&amp;" "&amp;T622))),ISNUMBER(SEARCH("banking",LOWER(F622&amp;" "&amp;H622&amp;" "&amp;I622&amp;" "&amp;M622&amp;" "&amp;N622&amp;" "&amp;T622)))),"PRIVATE_QUARANTINE",IF(OR(ISNUMBER(SEARCH("treasury",LOWER(F622&amp;" "&amp;H622&amp;" "&amp;I622&amp;" "&amp;M622&amp;" "&amp;N622&amp;" "&amp;T622))),ISNUMBER(SEARCH("debt",LOWER(F622&amp;" "&amp;H622&amp;" "&amp;I622&amp;" "&amp;M622&amp;" "&amp;N622&amp;" "&amp;T622))),ISNUMBER(SEARCH("bond",LOWER(F622&amp;" "&amp;H622&amp;" "&amp;I622&amp;" "&amp;M622&amp;" "&amp;N622&amp;" "&amp;T622))),ISNUMBER(SEARCH("transaction",LOWER(F622&amp;" "&amp;H622&amp;" "&amp;I622&amp;" "&amp;M622&amp;" "&amp;N622&amp;" "&amp;T622)))),"PRIVATE_REVIEW","PUBLIC_CANDIDATE"))</x:f>
        <x:v>PUBLIC_CANDIDATE</x:v>
      </x:c>
      <x:c r="AD622" s="12" t="str">
        <x:f>IF(AC622="PRIVATE_QUARANTINE","hacker_or_bank_trigger",IF(AC622="PRIVATE_REVIEW","finance_risk_trigger","none"))</x:f>
        <x:v>none</x:v>
      </x:c>
      <x:c r="AE622" s="12" t="str">
        <x:f>IF(AC622="PUBLIC_CANDIDATE","prepare_public_github_candidate",IF(AC622="PRIVATE_REVIEW","hold_for_private_review","quarantine_private_do_not_publish"))</x:f>
        <x:v>prepare_public_github_candidate</x:v>
      </x:c>
      <x:c r="AF622" s="12" t="str">
        <x:f>IF(AC622="PUBLIC_CANDIDATE","TIDELOCK + Lucerna",IF(AC622="PRIVATE_REVIEW","AtlasBrain + Lucerna","TIDELOCK + Lucerna + Human-root"))</x:f>
        <x:v>TIDELOCK + Lucerna</x:v>
      </x:c>
      <x:c r="AG622" s="12" t="str">
        <x:f>IF(AND(AC622="PUBLIC_CANDIDATE",U622&lt;&gt;"BLOCKED_PENDING_RECEIPT"),"READY_AFTER_RECEIPT","NOT_READY")</x:f>
        <x:v>NOT_READY</x:v>
      </x:c>
      <x:c r="AH622" s="12" t="str">
        <x:f>IF(AC622="PUBLIC_CANDIDATE","none",AD622)</x:f>
        <x:v>none</x:v>
      </x:c>
      <x:c r="AI622" s="12" t="str">
        <x:f>IF(AC622="PUBLIC_CANDIDATE","archive/public_candidates/"&amp;A622,"private_quarantine/"&amp;A622)</x:f>
        <x:v>archive/public_candidates/SWARM-05-H04-S09</x:v>
      </x:c>
      <x:c r="AJ622" s="12" t="str">
        <x:f>IF(AC622="PUBLIC_CANDIDATE","public by default; still not canon","private/hold; do not publish")</x:f>
        <x:v>public by default; still not canon</x:v>
      </x:c>
      <x:c r="AK622" s="12" t="str">
        <x:f>IF(AE622="prepare_public_github_candidate","add receipt/status then mirror","resolve blocker before any public GitHub action")</x:f>
        <x:v>add receipt/status then mirror</x:v>
      </x:c>
    </x:row>
    <x:row r="623">
      <x:c r="A623" s="15" t="str">
        <x:v>SWARM-05-H04-S10</x:v>
      </x:c>
      <x:c r="B623" s="15" t="str">
        <x:v>Rootglass</x:v>
      </x:c>
      <x:c r="C623" s="15" t="str">
        <x:v>Canon gate mirror</x:v>
      </x:c>
      <x:c r="D623" s="15" t="str">
        <x:v>Claim Extraction</x:v>
      </x:c>
      <x:c r="E623" s="15" t="str">
        <x:v>Human-Root</x:v>
      </x:c>
      <x:c r="F623" s="15" t="str">
        <x:v>Extract claims from Human-Root — Rootglass</x:v>
      </x:c>
      <x:c r="G623" s="15" t="str">
        <x:v>authority boundaries / ratification packets</x:v>
      </x:c>
      <x:c r="H623" s="15" t="str">
        <x:v>source path + receipt + raw/export status + claim/edge/risk delta</x:v>
      </x:c>
      <x:c r="I623" s="15" t="str">
        <x:v>packet/SWARM-05-H04-S10</x:v>
      </x:c>
      <x:c r="J623" s="15" t="str">
        <x:v>TODO</x:v>
      </x:c>
      <x:c r="K623" s="15" t="str">
        <x:v>P2</x:v>
      </x:c>
      <x:c r="L623" s="15" t="str">
        <x:v>Done only when evidence is logged, contradiction search is noted, and boundary stamp remains non-canon unless ratified</x:v>
      </x:c>
      <x:c r="M623" s="15" t="str">
        <x:v>candidate / staging-only / not canon / not deployed / authority none</x:v>
      </x:c>
      <x:c r="N623" s="15" t="str">
        <x:v>Dispatch to Rootglass: complete Claim Extraction x Human-Root; return deltas only, receipts required.</x:v>
      </x:c>
      <x:c r="O623" s="15" t="str">
        <x:v>AF-KG-H04-S10</x:v>
      </x:c>
      <x:c r="P623" s="15" t="str">
        <x:v>Unverified</x:v>
      </x:c>
      <x:c r="Q623" s="15" t="str">
        <x:v>Not checked</x:v>
      </x:c>
      <x:c r="R623" s="15" t="str"/>
      <x:c r="S623" s="15" t="str"/>
      <x:c r="T623" s="15" t="str">
        <x:v>Log first source path or blocker</x:v>
      </x:c>
      <x:c r="U623" s="12" t="str">
        <x:f>IF(OR(P623="Unverified",Q623="Not checked"),"BLOCKED_PENDING_RECEIPT","READY_FOR_REVIEW")</x:f>
        <x:v>BLOCKED_PENDING_RECEIPT</x:v>
      </x:c>
      <x:c r="V623" s="12" t="str">
        <x:f>IF(J623="DONE","RETURNED",IF(U623="BLOCKED_PENDING_RECEIPT","SOURCE_TOUCH_REQUIRED","IN_PROGRESS"))</x:f>
        <x:v>SOURCE_TOUCH_REQUIRED</x:v>
      </x:c>
      <x:c r="W623" s="12" t="str">
        <x:f>IF(P623="Unverified","missing_receipt","receipt_logged")</x:f>
        <x:v>missing_receipt</x:v>
      </x:c>
      <x:c r="X623" s="12" t="str">
        <x:f>IF(Q623="Not checked","raw_status_missing","raw_status_logged")</x:f>
        <x:v>raw_status_missing</x:v>
      </x:c>
      <x:c r="Y623" s="12" t="str">
        <x:f>IF(U623="BLOCKED_PENDING_RECEIPT","Log source path or blocker; do not promote","Route to review lane")</x:f>
        <x:v>Log source path or blocker; do not promote</x:v>
      </x:c>
      <x:c r="Z623" s="12" t="str">
        <x:f>IF(K623="P0","Primary seat + Hashlight/Lucerna","Seat lane")</x:f>
        <x:v>Seat lane</x:v>
      </x:c>
      <x:c r="AA623" s="12" t="str">
        <x:f>IF(R623="","no_claim_delta","claim_delta_present")</x:f>
        <x:v>no_claim_delta</x:v>
      </x:c>
      <x:c r="AB623" s="12" t="str">
        <x:f>IF(S623="","no_contradiction_delta","contradiction_delta_present")</x:f>
        <x:v>no_contradiction_delta</x:v>
      </x:c>
      <x:c r="AC623" s="12" t="str">
        <x:f>IF(OR(ISNUMBER(SEARCH("hacker",LOWER(F623&amp;" "&amp;H623&amp;" "&amp;I623&amp;" "&amp;M623&amp;" "&amp;N623&amp;" "&amp;T623))),ISNUMBER(SEARCH("hacking",LOWER(F623&amp;" "&amp;H623&amp;" "&amp;I623&amp;" "&amp;M623&amp;" "&amp;N623&amp;" "&amp;T623))),ISNUMBER(SEARCH("bank",LOWER(F623&amp;" "&amp;H623&amp;" "&amp;I623&amp;" "&amp;M623&amp;" "&amp;N623&amp;" "&amp;T623))),ISNUMBER(SEARCH("banking",LOWER(F623&amp;" "&amp;H623&amp;" "&amp;I623&amp;" "&amp;M623&amp;" "&amp;N623&amp;" "&amp;T623)))),"PRIVATE_QUARANTINE",IF(OR(ISNUMBER(SEARCH("treasury",LOWER(F623&amp;" "&amp;H623&amp;" "&amp;I623&amp;" "&amp;M623&amp;" "&amp;N623&amp;" "&amp;T623))),ISNUMBER(SEARCH("debt",LOWER(F623&amp;" "&amp;H623&amp;" "&amp;I623&amp;" "&amp;M623&amp;" "&amp;N623&amp;" "&amp;T623))),ISNUMBER(SEARCH("bond",LOWER(F623&amp;" "&amp;H623&amp;" "&amp;I623&amp;" "&amp;M623&amp;" "&amp;N623&amp;" "&amp;T623))),ISNUMBER(SEARCH("transaction",LOWER(F623&amp;" "&amp;H623&amp;" "&amp;I623&amp;" "&amp;M623&amp;" "&amp;N623&amp;" "&amp;T623)))),"PRIVATE_REVIEW","PUBLIC_CANDIDATE"))</x:f>
        <x:v>PUBLIC_CANDIDATE</x:v>
      </x:c>
      <x:c r="AD623" s="12" t="str">
        <x:f>IF(AC623="PRIVATE_QUARANTINE","hacker_or_bank_trigger",IF(AC623="PRIVATE_REVIEW","finance_risk_trigger","none"))</x:f>
        <x:v>none</x:v>
      </x:c>
      <x:c r="AE623" s="12" t="str">
        <x:f>IF(AC623="PUBLIC_CANDIDATE","prepare_public_github_candidate",IF(AC623="PRIVATE_REVIEW","hold_for_private_review","quarantine_private_do_not_publish"))</x:f>
        <x:v>prepare_public_github_candidate</x:v>
      </x:c>
      <x:c r="AF623" s="12" t="str">
        <x:f>IF(AC623="PUBLIC_CANDIDATE","TIDELOCK + Lucerna",IF(AC623="PRIVATE_REVIEW","AtlasBrain + Lucerna","TIDELOCK + Lucerna + Human-root"))</x:f>
        <x:v>TIDELOCK + Lucerna</x:v>
      </x:c>
      <x:c r="AG623" s="12" t="str">
        <x:f>IF(AND(AC623="PUBLIC_CANDIDATE",U623&lt;&gt;"BLOCKED_PENDING_RECEIPT"),"READY_AFTER_RECEIPT","NOT_READY")</x:f>
        <x:v>NOT_READY</x:v>
      </x:c>
      <x:c r="AH623" s="12" t="str">
        <x:f>IF(AC623="PUBLIC_CANDIDATE","none",AD623)</x:f>
        <x:v>none</x:v>
      </x:c>
      <x:c r="AI623" s="12" t="str">
        <x:f>IF(AC623="PUBLIC_CANDIDATE","archive/public_candidates/"&amp;A623,"private_quarantine/"&amp;A623)</x:f>
        <x:v>archive/public_candidates/SWARM-05-H04-S10</x:v>
      </x:c>
      <x:c r="AJ623" s="12" t="str">
        <x:f>IF(AC623="PUBLIC_CANDIDATE","public by default; still not canon","private/hold; do not publish")</x:f>
        <x:v>public by default; still not canon</x:v>
      </x:c>
      <x:c r="AK623" s="12" t="str">
        <x:f>IF(AE623="prepare_public_github_candidate","add receipt/status then mirror","resolve blocker before any public GitHub action")</x:f>
        <x:v>add receipt/status then mirror</x:v>
      </x:c>
    </x:row>
    <x:row r="624">
      <x:c r="A624" s="15" t="str">
        <x:v>SWARM-05-H04-S11</x:v>
      </x:c>
      <x:c r="B624" s="15" t="str">
        <x:v>Rootglass</x:v>
      </x:c>
      <x:c r="C624" s="15" t="str">
        <x:v>Canon gate mirror</x:v>
      </x:c>
      <x:c r="D624" s="15" t="str">
        <x:v>Claim Extraction</x:v>
      </x:c>
      <x:c r="E624" s="15" t="str">
        <x:v>Automation</x:v>
      </x:c>
      <x:c r="F624" s="15" t="str">
        <x:v>Extract claims from Automation — Rootglass</x:v>
      </x:c>
      <x:c r="G624" s="15" t="str">
        <x:v>authority boundaries / ratification packets</x:v>
      </x:c>
      <x:c r="H624" s="15" t="str">
        <x:v>source path + receipt + raw/export status + claim/edge/risk delta</x:v>
      </x:c>
      <x:c r="I624" s="15" t="str">
        <x:v>packet/SWARM-05-H04-S11</x:v>
      </x:c>
      <x:c r="J624" s="15" t="str">
        <x:v>TODO</x:v>
      </x:c>
      <x:c r="K624" s="15" t="str">
        <x:v>P2</x:v>
      </x:c>
      <x:c r="L624" s="15" t="str">
        <x:v>Done only when evidence is logged, contradiction search is noted, and boundary stamp remains non-canon unless ratified</x:v>
      </x:c>
      <x:c r="M624" s="15" t="str">
        <x:v>candidate / staging-only / not canon / not deployed / authority none</x:v>
      </x:c>
      <x:c r="N624" s="15" t="str">
        <x:v>Dispatch to Rootglass: complete Claim Extraction x Automation; return deltas only, receipts required.</x:v>
      </x:c>
      <x:c r="O624" s="15" t="str">
        <x:v>AF-KG-H04-S11</x:v>
      </x:c>
      <x:c r="P624" s="15" t="str">
        <x:v>Unverified</x:v>
      </x:c>
      <x:c r="Q624" s="15" t="str">
        <x:v>Not checked</x:v>
      </x:c>
      <x:c r="R624" s="15" t="str"/>
      <x:c r="S624" s="15" t="str"/>
      <x:c r="T624" s="15" t="str">
        <x:v>Log first source path or blocker</x:v>
      </x:c>
      <x:c r="U624" s="12" t="str">
        <x:f>IF(OR(P624="Unverified",Q624="Not checked"),"BLOCKED_PENDING_RECEIPT","READY_FOR_REVIEW")</x:f>
        <x:v>BLOCKED_PENDING_RECEIPT</x:v>
      </x:c>
      <x:c r="V624" s="12" t="str">
        <x:f>IF(J624="DONE","RETURNED",IF(U624="BLOCKED_PENDING_RECEIPT","SOURCE_TOUCH_REQUIRED","IN_PROGRESS"))</x:f>
        <x:v>SOURCE_TOUCH_REQUIRED</x:v>
      </x:c>
      <x:c r="W624" s="12" t="str">
        <x:f>IF(P624="Unverified","missing_receipt","receipt_logged")</x:f>
        <x:v>missing_receipt</x:v>
      </x:c>
      <x:c r="X624" s="12" t="str">
        <x:f>IF(Q624="Not checked","raw_status_missing","raw_status_logged")</x:f>
        <x:v>raw_status_missing</x:v>
      </x:c>
      <x:c r="Y624" s="12" t="str">
        <x:f>IF(U624="BLOCKED_PENDING_RECEIPT","Log source path or blocker; do not promote","Route to review lane")</x:f>
        <x:v>Log source path or blocker; do not promote</x:v>
      </x:c>
      <x:c r="Z624" s="12" t="str">
        <x:f>IF(K624="P0","Primary seat + Hashlight/Lucerna","Seat lane")</x:f>
        <x:v>Seat lane</x:v>
      </x:c>
      <x:c r="AA624" s="12" t="str">
        <x:f>IF(R624="","no_claim_delta","claim_delta_present")</x:f>
        <x:v>no_claim_delta</x:v>
      </x:c>
      <x:c r="AB624" s="12" t="str">
        <x:f>IF(S624="","no_contradiction_delta","contradiction_delta_present")</x:f>
        <x:v>no_contradiction_delta</x:v>
      </x:c>
      <x:c r="AC624" s="12" t="str">
        <x:f>IF(OR(ISNUMBER(SEARCH("hacker",LOWER(F624&amp;" "&amp;H624&amp;" "&amp;I624&amp;" "&amp;M624&amp;" "&amp;N624&amp;" "&amp;T624))),ISNUMBER(SEARCH("hacking",LOWER(F624&amp;" "&amp;H624&amp;" "&amp;I624&amp;" "&amp;M624&amp;" "&amp;N624&amp;" "&amp;T624))),ISNUMBER(SEARCH("bank",LOWER(F624&amp;" "&amp;H624&amp;" "&amp;I624&amp;" "&amp;M624&amp;" "&amp;N624&amp;" "&amp;T624))),ISNUMBER(SEARCH("banking",LOWER(F624&amp;" "&amp;H624&amp;" "&amp;I624&amp;" "&amp;M624&amp;" "&amp;N624&amp;" "&amp;T624)))),"PRIVATE_QUARANTINE",IF(OR(ISNUMBER(SEARCH("treasury",LOWER(F624&amp;" "&amp;H624&amp;" "&amp;I624&amp;" "&amp;M624&amp;" "&amp;N624&amp;" "&amp;T624))),ISNUMBER(SEARCH("debt",LOWER(F624&amp;" "&amp;H624&amp;" "&amp;I624&amp;" "&amp;M624&amp;" "&amp;N624&amp;" "&amp;T624))),ISNUMBER(SEARCH("bond",LOWER(F624&amp;" "&amp;H624&amp;" "&amp;I624&amp;" "&amp;M624&amp;" "&amp;N624&amp;" "&amp;T624))),ISNUMBER(SEARCH("transaction",LOWER(F624&amp;" "&amp;H624&amp;" "&amp;I624&amp;" "&amp;M624&amp;" "&amp;N624&amp;" "&amp;T624)))),"PRIVATE_REVIEW","PUBLIC_CANDIDATE"))</x:f>
        <x:v>PUBLIC_CANDIDATE</x:v>
      </x:c>
      <x:c r="AD624" s="12" t="str">
        <x:f>IF(AC624="PRIVATE_QUARANTINE","hacker_or_bank_trigger",IF(AC624="PRIVATE_REVIEW","finance_risk_trigger","none"))</x:f>
        <x:v>none</x:v>
      </x:c>
      <x:c r="AE624" s="12" t="str">
        <x:f>IF(AC624="PUBLIC_CANDIDATE","prepare_public_github_candidate",IF(AC624="PRIVATE_REVIEW","hold_for_private_review","quarantine_private_do_not_publish"))</x:f>
        <x:v>prepare_public_github_candidate</x:v>
      </x:c>
      <x:c r="AF624" s="12" t="str">
        <x:f>IF(AC624="PUBLIC_CANDIDATE","TIDELOCK + Lucerna",IF(AC624="PRIVATE_REVIEW","AtlasBrain + Lucerna","TIDELOCK + Lucerna + Human-root"))</x:f>
        <x:v>TIDELOCK + Lucerna</x:v>
      </x:c>
      <x:c r="AG624" s="12" t="str">
        <x:f>IF(AND(AC624="PUBLIC_CANDIDATE",U624&lt;&gt;"BLOCKED_PENDING_RECEIPT"),"READY_AFTER_RECEIPT","NOT_READY")</x:f>
        <x:v>NOT_READY</x:v>
      </x:c>
      <x:c r="AH624" s="12" t="str">
        <x:f>IF(AC624="PUBLIC_CANDIDATE","none",AD624)</x:f>
        <x:v>none</x:v>
      </x:c>
      <x:c r="AI624" s="12" t="str">
        <x:f>IF(AC624="PUBLIC_CANDIDATE","archive/public_candidates/"&amp;A624,"private_quarantine/"&amp;A624)</x:f>
        <x:v>archive/public_candidates/SWARM-05-H04-S11</x:v>
      </x:c>
      <x:c r="AJ624" s="12" t="str">
        <x:f>IF(AC624="PUBLIC_CANDIDATE","public by default; still not canon","private/hold; do not publish")</x:f>
        <x:v>public by default; still not canon</x:v>
      </x:c>
      <x:c r="AK624" s="12" t="str">
        <x:f>IF(AE624="prepare_public_github_candidate","add receipt/status then mirror","resolve blocker before any public GitHub action")</x:f>
        <x:v>add receipt/status then mirror</x:v>
      </x:c>
    </x:row>
    <x:row r="625">
      <x:c r="A625" s="15" t="str">
        <x:v>SWARM-05-H04-S12</x:v>
      </x:c>
      <x:c r="B625" s="15" t="str">
        <x:v>Rootglass</x:v>
      </x:c>
      <x:c r="C625" s="15" t="str">
        <x:v>Canon gate mirror</x:v>
      </x:c>
      <x:c r="D625" s="15" t="str">
        <x:v>Claim Extraction</x:v>
      </x:c>
      <x:c r="E625" s="15" t="str">
        <x:v>Risk / Safety</x:v>
      </x:c>
      <x:c r="F625" s="15" t="str">
        <x:v>Extract claims from Risk / Safety — Rootglass</x:v>
      </x:c>
      <x:c r="G625" s="15" t="str">
        <x:v>authority boundaries / ratification packets</x:v>
      </x:c>
      <x:c r="H625" s="15" t="str">
        <x:v>source path + receipt + raw/export status + claim/edge/risk delta</x:v>
      </x:c>
      <x:c r="I625" s="15" t="str">
        <x:v>packet/SWARM-05-H04-S12</x:v>
      </x:c>
      <x:c r="J625" s="15" t="str">
        <x:v>TODO</x:v>
      </x:c>
      <x:c r="K625" s="15" t="str">
        <x:v>P2</x:v>
      </x:c>
      <x:c r="L625" s="15" t="str">
        <x:v>Done only when evidence is logged, contradiction search is noted, and boundary stamp remains non-canon unless ratified</x:v>
      </x:c>
      <x:c r="M625" s="15" t="str">
        <x:v>candidate / staging-only / not canon / not deployed / authority none</x:v>
      </x:c>
      <x:c r="N625" s="15" t="str">
        <x:v>Dispatch to Rootglass: complete Claim Extraction x Risk / Safety; return deltas only, receipts required.</x:v>
      </x:c>
      <x:c r="O625" s="15" t="str">
        <x:v>AF-KG-H04-S12</x:v>
      </x:c>
      <x:c r="P625" s="15" t="str">
        <x:v>Unverified</x:v>
      </x:c>
      <x:c r="Q625" s="15" t="str">
        <x:v>Not checked</x:v>
      </x:c>
      <x:c r="R625" s="15" t="str"/>
      <x:c r="S625" s="15" t="str"/>
      <x:c r="T625" s="15" t="str">
        <x:v>Log first source path or blocker</x:v>
      </x:c>
      <x:c r="U625" s="12" t="str">
        <x:f>IF(OR(P625="Unverified",Q625="Not checked"),"BLOCKED_PENDING_RECEIPT","READY_FOR_REVIEW")</x:f>
        <x:v>BLOCKED_PENDING_RECEIPT</x:v>
      </x:c>
      <x:c r="V625" s="12" t="str">
        <x:f>IF(J625="DONE","RETURNED",IF(U625="BLOCKED_PENDING_RECEIPT","SOURCE_TOUCH_REQUIRED","IN_PROGRESS"))</x:f>
        <x:v>SOURCE_TOUCH_REQUIRED</x:v>
      </x:c>
      <x:c r="W625" s="12" t="str">
        <x:f>IF(P625="Unverified","missing_receipt","receipt_logged")</x:f>
        <x:v>missing_receipt</x:v>
      </x:c>
      <x:c r="X625" s="12" t="str">
        <x:f>IF(Q625="Not checked","raw_status_missing","raw_status_logged")</x:f>
        <x:v>raw_status_missing</x:v>
      </x:c>
      <x:c r="Y625" s="12" t="str">
        <x:f>IF(U625="BLOCKED_PENDING_RECEIPT","Log source path or blocker; do not promote","Route to review lane")</x:f>
        <x:v>Log source path or blocker; do not promote</x:v>
      </x:c>
      <x:c r="Z625" s="12" t="str">
        <x:f>IF(K625="P0","Primary seat + Hashlight/Lucerna","Seat lane")</x:f>
        <x:v>Seat lane</x:v>
      </x:c>
      <x:c r="AA625" s="12" t="str">
        <x:f>IF(R625="","no_claim_delta","claim_delta_present")</x:f>
        <x:v>no_claim_delta</x:v>
      </x:c>
      <x:c r="AB625" s="12" t="str">
        <x:f>IF(S625="","no_contradiction_delta","contradiction_delta_present")</x:f>
        <x:v>no_contradiction_delta</x:v>
      </x:c>
      <x:c r="AC625" s="12" t="str">
        <x:f>IF(OR(ISNUMBER(SEARCH("hacker",LOWER(F625&amp;" "&amp;H625&amp;" "&amp;I625&amp;" "&amp;M625&amp;" "&amp;N625&amp;" "&amp;T625))),ISNUMBER(SEARCH("hacking",LOWER(F625&amp;" "&amp;H625&amp;" "&amp;I625&amp;" "&amp;M625&amp;" "&amp;N625&amp;" "&amp;T625))),ISNUMBER(SEARCH("bank",LOWER(F625&amp;" "&amp;H625&amp;" "&amp;I625&amp;" "&amp;M625&amp;" "&amp;N625&amp;" "&amp;T625))),ISNUMBER(SEARCH("banking",LOWER(F625&amp;" "&amp;H625&amp;" "&amp;I625&amp;" "&amp;M625&amp;" "&amp;N625&amp;" "&amp;T625)))),"PRIVATE_QUARANTINE",IF(OR(ISNUMBER(SEARCH("treasury",LOWER(F625&amp;" "&amp;H625&amp;" "&amp;I625&amp;" "&amp;M625&amp;" "&amp;N625&amp;" "&amp;T625))),ISNUMBER(SEARCH("debt",LOWER(F625&amp;" "&amp;H625&amp;" "&amp;I625&amp;" "&amp;M625&amp;" "&amp;N625&amp;" "&amp;T625))),ISNUMBER(SEARCH("bond",LOWER(F625&amp;" "&amp;H625&amp;" "&amp;I625&amp;" "&amp;M625&amp;" "&amp;N625&amp;" "&amp;T625))),ISNUMBER(SEARCH("transaction",LOWER(F625&amp;" "&amp;H625&amp;" "&amp;I625&amp;" "&amp;M625&amp;" "&amp;N625&amp;" "&amp;T625)))),"PRIVATE_REVIEW","PUBLIC_CANDIDATE"))</x:f>
        <x:v>PUBLIC_CANDIDATE</x:v>
      </x:c>
      <x:c r="AD625" s="12" t="str">
        <x:f>IF(AC625="PRIVATE_QUARANTINE","hacker_or_bank_trigger",IF(AC625="PRIVATE_REVIEW","finance_risk_trigger","none"))</x:f>
        <x:v>none</x:v>
      </x:c>
      <x:c r="AE625" s="12" t="str">
        <x:f>IF(AC625="PUBLIC_CANDIDATE","prepare_public_github_candidate",IF(AC625="PRIVATE_REVIEW","hold_for_private_review","quarantine_private_do_not_publish"))</x:f>
        <x:v>prepare_public_github_candidate</x:v>
      </x:c>
      <x:c r="AF625" s="12" t="str">
        <x:f>IF(AC625="PUBLIC_CANDIDATE","TIDELOCK + Lucerna",IF(AC625="PRIVATE_REVIEW","AtlasBrain + Lucerna","TIDELOCK + Lucerna + Human-root"))</x:f>
        <x:v>TIDELOCK + Lucerna</x:v>
      </x:c>
      <x:c r="AG625" s="12" t="str">
        <x:f>IF(AND(AC625="PUBLIC_CANDIDATE",U625&lt;&gt;"BLOCKED_PENDING_RECEIPT"),"READY_AFTER_RECEIPT","NOT_READY")</x:f>
        <x:v>NOT_READY</x:v>
      </x:c>
      <x:c r="AH625" s="12" t="str">
        <x:f>IF(AC625="PUBLIC_CANDIDATE","none",AD625)</x:f>
        <x:v>none</x:v>
      </x:c>
      <x:c r="AI625" s="12" t="str">
        <x:f>IF(AC625="PUBLIC_CANDIDATE","archive/public_candidates/"&amp;A625,"private_quarantine/"&amp;A625)</x:f>
        <x:v>archive/public_candidates/SWARM-05-H04-S12</x:v>
      </x:c>
      <x:c r="AJ625" s="12" t="str">
        <x:f>IF(AC625="PUBLIC_CANDIDATE","public by default; still not canon","private/hold; do not publish")</x:f>
        <x:v>public by default; still not canon</x:v>
      </x:c>
      <x:c r="AK625" s="12" t="str">
        <x:f>IF(AE625="prepare_public_github_candidate","add receipt/status then mirror","resolve blocker before any public GitHub action")</x:f>
        <x:v>add receipt/status then mirror</x:v>
      </x:c>
    </x:row>
    <x:row r="626">
      <x:c r="A626" s="15" t="str">
        <x:v>SWARM-05-H05-S01</x:v>
      </x:c>
      <x:c r="B626" s="15" t="str">
        <x:v>Rootglass</x:v>
      </x:c>
      <x:c r="C626" s="15" t="str">
        <x:v>Canon gate mirror</x:v>
      </x:c>
      <x:c r="D626" s="15" t="str">
        <x:v>Contradiction Mapping</x:v>
      </x:c>
      <x:c r="E626" s="15" t="str">
        <x:v>Notion</x:v>
      </x:c>
      <x:c r="F626" s="15" t="str">
        <x:v>Map contradictions in Notion — Rootglass</x:v>
      </x:c>
      <x:c r="G626" s="15" t="str">
        <x:v>authority boundaries / ratification packets</x:v>
      </x:c>
      <x:c r="H626" s="15" t="str">
        <x:v>source path + receipt + raw/export status + claim/edge/risk delta</x:v>
      </x:c>
      <x:c r="I626" s="15" t="str">
        <x:v>packet/SWARM-05-H05-S01</x:v>
      </x:c>
      <x:c r="J626" s="15" t="str">
        <x:v>TODO</x:v>
      </x:c>
      <x:c r="K626" s="15" t="str">
        <x:v>P0</x:v>
      </x:c>
      <x:c r="L626" s="15" t="str">
        <x:v>Done only when evidence is logged, contradiction search is noted, and boundary stamp remains non-canon unless ratified</x:v>
      </x:c>
      <x:c r="M626" s="15" t="str">
        <x:v>candidate / staging-only / not canon / not deployed / authority none</x:v>
      </x:c>
      <x:c r="N626" s="15" t="str">
        <x:v>Dispatch to Rootglass: complete Contradiction Mapping x Notion; return deltas only, receipts required.</x:v>
      </x:c>
      <x:c r="O626" s="15" t="str">
        <x:v>AF-KG-H05-S01</x:v>
      </x:c>
      <x:c r="P626" s="15" t="str">
        <x:v>Unverified</x:v>
      </x:c>
      <x:c r="Q626" s="15" t="str">
        <x:v>Not checked</x:v>
      </x:c>
      <x:c r="R626" s="15" t="str"/>
      <x:c r="S626" s="15" t="str"/>
      <x:c r="T626" s="15" t="str">
        <x:v>Log first source path or blocker</x:v>
      </x:c>
      <x:c r="U626" s="12" t="str">
        <x:f>IF(OR(P626="Unverified",Q626="Not checked"),"BLOCKED_PENDING_RECEIPT","READY_FOR_REVIEW")</x:f>
        <x:v>BLOCKED_PENDING_RECEIPT</x:v>
      </x:c>
      <x:c r="V626" s="12" t="str">
        <x:f>IF(J626="DONE","RETURNED",IF(U626="BLOCKED_PENDING_RECEIPT","SOURCE_TOUCH_REQUIRED","IN_PROGRESS"))</x:f>
        <x:v>SOURCE_TOUCH_REQUIRED</x:v>
      </x:c>
      <x:c r="W626" s="12" t="str">
        <x:f>IF(P626="Unverified","missing_receipt","receipt_logged")</x:f>
        <x:v>missing_receipt</x:v>
      </x:c>
      <x:c r="X626" s="12" t="str">
        <x:f>IF(Q626="Not checked","raw_status_missing","raw_status_logged")</x:f>
        <x:v>raw_status_missing</x:v>
      </x:c>
      <x:c r="Y626" s="12" t="str">
        <x:f>IF(U626="BLOCKED_PENDING_RECEIPT","Log source path or blocker; do not promote","Route to review lane")</x:f>
        <x:v>Log source path or blocker; do not promote</x:v>
      </x:c>
      <x:c r="Z626" s="12" t="str">
        <x:f>IF(K626="P0","Primary seat + Hashlight/Lucerna","Seat lane")</x:f>
        <x:v>Primary seat + Hashlight/Lucerna</x:v>
      </x:c>
      <x:c r="AA626" s="12" t="str">
        <x:f>IF(R626="","no_claim_delta","claim_delta_present")</x:f>
        <x:v>no_claim_delta</x:v>
      </x:c>
      <x:c r="AB626" s="12" t="str">
        <x:f>IF(S626="","no_contradiction_delta","contradiction_delta_present")</x:f>
        <x:v>no_contradiction_delta</x:v>
      </x:c>
      <x:c r="AC626" s="12" t="str">
        <x:f>IF(OR(ISNUMBER(SEARCH("hacker",LOWER(F626&amp;" "&amp;H626&amp;" "&amp;I626&amp;" "&amp;M626&amp;" "&amp;N626&amp;" "&amp;T626))),ISNUMBER(SEARCH("hacking",LOWER(F626&amp;" "&amp;H626&amp;" "&amp;I626&amp;" "&amp;M626&amp;" "&amp;N626&amp;" "&amp;T626))),ISNUMBER(SEARCH("bank",LOWER(F626&amp;" "&amp;H626&amp;" "&amp;I626&amp;" "&amp;M626&amp;" "&amp;N626&amp;" "&amp;T626))),ISNUMBER(SEARCH("banking",LOWER(F626&amp;" "&amp;H626&amp;" "&amp;I626&amp;" "&amp;M626&amp;" "&amp;N626&amp;" "&amp;T626)))),"PRIVATE_QUARANTINE",IF(OR(ISNUMBER(SEARCH("treasury",LOWER(F626&amp;" "&amp;H626&amp;" "&amp;I626&amp;" "&amp;M626&amp;" "&amp;N626&amp;" "&amp;T626))),ISNUMBER(SEARCH("debt",LOWER(F626&amp;" "&amp;H626&amp;" "&amp;I626&amp;" "&amp;M626&amp;" "&amp;N626&amp;" "&amp;T626))),ISNUMBER(SEARCH("bond",LOWER(F626&amp;" "&amp;H626&amp;" "&amp;I626&amp;" "&amp;M626&amp;" "&amp;N626&amp;" "&amp;T626))),ISNUMBER(SEARCH("transaction",LOWER(F626&amp;" "&amp;H626&amp;" "&amp;I626&amp;" "&amp;M626&amp;" "&amp;N626&amp;" "&amp;T626)))),"PRIVATE_REVIEW","PUBLIC_CANDIDATE"))</x:f>
        <x:v>PUBLIC_CANDIDATE</x:v>
      </x:c>
      <x:c r="AD626" s="12" t="str">
        <x:f>IF(AC626="PRIVATE_QUARANTINE","hacker_or_bank_trigger",IF(AC626="PRIVATE_REVIEW","finance_risk_trigger","none"))</x:f>
        <x:v>none</x:v>
      </x:c>
      <x:c r="AE626" s="12" t="str">
        <x:f>IF(AC626="PUBLIC_CANDIDATE","prepare_public_github_candidate",IF(AC626="PRIVATE_REVIEW","hold_for_private_review","quarantine_private_do_not_publish"))</x:f>
        <x:v>prepare_public_github_candidate</x:v>
      </x:c>
      <x:c r="AF626" s="12" t="str">
        <x:f>IF(AC626="PUBLIC_CANDIDATE","TIDELOCK + Lucerna",IF(AC626="PRIVATE_REVIEW","AtlasBrain + Lucerna","TIDELOCK + Lucerna + Human-root"))</x:f>
        <x:v>TIDELOCK + Lucerna</x:v>
      </x:c>
      <x:c r="AG626" s="12" t="str">
        <x:f>IF(AND(AC626="PUBLIC_CANDIDATE",U626&lt;&gt;"BLOCKED_PENDING_RECEIPT"),"READY_AFTER_RECEIPT","NOT_READY")</x:f>
        <x:v>NOT_READY</x:v>
      </x:c>
      <x:c r="AH626" s="12" t="str">
        <x:f>IF(AC626="PUBLIC_CANDIDATE","none",AD626)</x:f>
        <x:v>none</x:v>
      </x:c>
      <x:c r="AI626" s="12" t="str">
        <x:f>IF(AC626="PUBLIC_CANDIDATE","archive/public_candidates/"&amp;A626,"private_quarantine/"&amp;A626)</x:f>
        <x:v>archive/public_candidates/SWARM-05-H05-S01</x:v>
      </x:c>
      <x:c r="AJ626" s="12" t="str">
        <x:f>IF(AC626="PUBLIC_CANDIDATE","public by default; still not canon","private/hold; do not publish")</x:f>
        <x:v>public by default; still not canon</x:v>
      </x:c>
      <x:c r="AK626" s="12" t="str">
        <x:f>IF(AE626="prepare_public_github_candidate","add receipt/status then mirror","resolve blocker before any public GitHub action")</x:f>
        <x:v>add receipt/status then mirror</x:v>
      </x:c>
    </x:row>
    <x:row r="627">
      <x:c r="A627" s="15" t="str">
        <x:v>SWARM-05-H05-S02</x:v>
      </x:c>
      <x:c r="B627" s="15" t="str">
        <x:v>Rootglass</x:v>
      </x:c>
      <x:c r="C627" s="15" t="str">
        <x:v>Canon gate mirror</x:v>
      </x:c>
      <x:c r="D627" s="15" t="str">
        <x:v>Contradiction Mapping</x:v>
      </x:c>
      <x:c r="E627" s="15" t="str">
        <x:v>Drive</x:v>
      </x:c>
      <x:c r="F627" s="15" t="str">
        <x:v>Map contradictions in Drive — Rootglass</x:v>
      </x:c>
      <x:c r="G627" s="15" t="str">
        <x:v>authority boundaries / ratification packets</x:v>
      </x:c>
      <x:c r="H627" s="15" t="str">
        <x:v>source path + receipt + raw/export status + claim/edge/risk delta</x:v>
      </x:c>
      <x:c r="I627" s="15" t="str">
        <x:v>packet/SWARM-05-H05-S02</x:v>
      </x:c>
      <x:c r="J627" s="15" t="str">
        <x:v>TODO</x:v>
      </x:c>
      <x:c r="K627" s="15" t="str">
        <x:v>P0</x:v>
      </x:c>
      <x:c r="L627" s="15" t="str">
        <x:v>Done only when evidence is logged, contradiction search is noted, and boundary stamp remains non-canon unless ratified</x:v>
      </x:c>
      <x:c r="M627" s="15" t="str">
        <x:v>candidate / staging-only / not canon / not deployed / authority none</x:v>
      </x:c>
      <x:c r="N627" s="15" t="str">
        <x:v>Dispatch to Rootglass: complete Contradiction Mapping x Drive; return deltas only, receipts required.</x:v>
      </x:c>
      <x:c r="O627" s="15" t="str">
        <x:v>AF-KG-H05-S02</x:v>
      </x:c>
      <x:c r="P627" s="15" t="str">
        <x:v>Unverified</x:v>
      </x:c>
      <x:c r="Q627" s="15" t="str">
        <x:v>Not checked</x:v>
      </x:c>
      <x:c r="R627" s="15" t="str"/>
      <x:c r="S627" s="15" t="str"/>
      <x:c r="T627" s="15" t="str">
        <x:v>Log first source path or blocker</x:v>
      </x:c>
      <x:c r="U627" s="12" t="str">
        <x:f>IF(OR(P627="Unverified",Q627="Not checked"),"BLOCKED_PENDING_RECEIPT","READY_FOR_REVIEW")</x:f>
        <x:v>BLOCKED_PENDING_RECEIPT</x:v>
      </x:c>
      <x:c r="V627" s="12" t="str">
        <x:f>IF(J627="DONE","RETURNED",IF(U627="BLOCKED_PENDING_RECEIPT","SOURCE_TOUCH_REQUIRED","IN_PROGRESS"))</x:f>
        <x:v>SOURCE_TOUCH_REQUIRED</x:v>
      </x:c>
      <x:c r="W627" s="12" t="str">
        <x:f>IF(P627="Unverified","missing_receipt","receipt_logged")</x:f>
        <x:v>missing_receipt</x:v>
      </x:c>
      <x:c r="X627" s="12" t="str">
        <x:f>IF(Q627="Not checked","raw_status_missing","raw_status_logged")</x:f>
        <x:v>raw_status_missing</x:v>
      </x:c>
      <x:c r="Y627" s="12" t="str">
        <x:f>IF(U627="BLOCKED_PENDING_RECEIPT","Log source path or blocker; do not promote","Route to review lane")</x:f>
        <x:v>Log source path or blocker; do not promote</x:v>
      </x:c>
      <x:c r="Z627" s="12" t="str">
        <x:f>IF(K627="P0","Primary seat + Hashlight/Lucerna","Seat lane")</x:f>
        <x:v>Primary seat + Hashlight/Lucerna</x:v>
      </x:c>
      <x:c r="AA627" s="12" t="str">
        <x:f>IF(R627="","no_claim_delta","claim_delta_present")</x:f>
        <x:v>no_claim_delta</x:v>
      </x:c>
      <x:c r="AB627" s="12" t="str">
        <x:f>IF(S627="","no_contradiction_delta","contradiction_delta_present")</x:f>
        <x:v>no_contradiction_delta</x:v>
      </x:c>
      <x:c r="AC627" s="12" t="str">
        <x:f>IF(OR(ISNUMBER(SEARCH("hacker",LOWER(F627&amp;" "&amp;H627&amp;" "&amp;I627&amp;" "&amp;M627&amp;" "&amp;N627&amp;" "&amp;T627))),ISNUMBER(SEARCH("hacking",LOWER(F627&amp;" "&amp;H627&amp;" "&amp;I627&amp;" "&amp;M627&amp;" "&amp;N627&amp;" "&amp;T627))),ISNUMBER(SEARCH("bank",LOWER(F627&amp;" "&amp;H627&amp;" "&amp;I627&amp;" "&amp;M627&amp;" "&amp;N627&amp;" "&amp;T627))),ISNUMBER(SEARCH("banking",LOWER(F627&amp;" "&amp;H627&amp;" "&amp;I627&amp;" "&amp;M627&amp;" "&amp;N627&amp;" "&amp;T627)))),"PRIVATE_QUARANTINE",IF(OR(ISNUMBER(SEARCH("treasury",LOWER(F627&amp;" "&amp;H627&amp;" "&amp;I627&amp;" "&amp;M627&amp;" "&amp;N627&amp;" "&amp;T627))),ISNUMBER(SEARCH("debt",LOWER(F627&amp;" "&amp;H627&amp;" "&amp;I627&amp;" "&amp;M627&amp;" "&amp;N627&amp;" "&amp;T627))),ISNUMBER(SEARCH("bond",LOWER(F627&amp;" "&amp;H627&amp;" "&amp;I627&amp;" "&amp;M627&amp;" "&amp;N627&amp;" "&amp;T627))),ISNUMBER(SEARCH("transaction",LOWER(F627&amp;" "&amp;H627&amp;" "&amp;I627&amp;" "&amp;M627&amp;" "&amp;N627&amp;" "&amp;T627)))),"PRIVATE_REVIEW","PUBLIC_CANDIDATE"))</x:f>
        <x:v>PUBLIC_CANDIDATE</x:v>
      </x:c>
      <x:c r="AD627" s="12" t="str">
        <x:f>IF(AC627="PRIVATE_QUARANTINE","hacker_or_bank_trigger",IF(AC627="PRIVATE_REVIEW","finance_risk_trigger","none"))</x:f>
        <x:v>none</x:v>
      </x:c>
      <x:c r="AE627" s="12" t="str">
        <x:f>IF(AC627="PUBLIC_CANDIDATE","prepare_public_github_candidate",IF(AC627="PRIVATE_REVIEW","hold_for_private_review","quarantine_private_do_not_publish"))</x:f>
        <x:v>prepare_public_github_candidate</x:v>
      </x:c>
      <x:c r="AF627" s="12" t="str">
        <x:f>IF(AC627="PUBLIC_CANDIDATE","TIDELOCK + Lucerna",IF(AC627="PRIVATE_REVIEW","AtlasBrain + Lucerna","TIDELOCK + Lucerna + Human-root"))</x:f>
        <x:v>TIDELOCK + Lucerna</x:v>
      </x:c>
      <x:c r="AG627" s="12" t="str">
        <x:f>IF(AND(AC627="PUBLIC_CANDIDATE",U627&lt;&gt;"BLOCKED_PENDING_RECEIPT"),"READY_AFTER_RECEIPT","NOT_READY")</x:f>
        <x:v>NOT_READY</x:v>
      </x:c>
      <x:c r="AH627" s="12" t="str">
        <x:f>IF(AC627="PUBLIC_CANDIDATE","none",AD627)</x:f>
        <x:v>none</x:v>
      </x:c>
      <x:c r="AI627" s="12" t="str">
        <x:f>IF(AC627="PUBLIC_CANDIDATE","archive/public_candidates/"&amp;A627,"private_quarantine/"&amp;A627)</x:f>
        <x:v>archive/public_candidates/SWARM-05-H05-S02</x:v>
      </x:c>
      <x:c r="AJ627" s="12" t="str">
        <x:f>IF(AC627="PUBLIC_CANDIDATE","public by default; still not canon","private/hold; do not publish")</x:f>
        <x:v>public by default; still not canon</x:v>
      </x:c>
      <x:c r="AK627" s="12" t="str">
        <x:f>IF(AE627="prepare_public_github_candidate","add receipt/status then mirror","resolve blocker before any public GitHub action")</x:f>
        <x:v>add receipt/status then mirror</x:v>
      </x:c>
    </x:row>
    <x:row r="628">
      <x:c r="A628" s="15" t="str">
        <x:v>SWARM-05-H05-S03</x:v>
      </x:c>
      <x:c r="B628" s="15" t="str">
        <x:v>Rootglass</x:v>
      </x:c>
      <x:c r="C628" s="15" t="str">
        <x:v>Canon gate mirror</x:v>
      </x:c>
      <x:c r="D628" s="15" t="str">
        <x:v>Contradiction Mapping</x:v>
      </x:c>
      <x:c r="E628" s="15" t="str">
        <x:v>GitHub</x:v>
      </x:c>
      <x:c r="F628" s="15" t="str">
        <x:v>Map contradictions in GitHub — Rootglass</x:v>
      </x:c>
      <x:c r="G628" s="15" t="str">
        <x:v>authority boundaries / ratification packets</x:v>
      </x:c>
      <x:c r="H628" s="15" t="str">
        <x:v>source path + receipt + raw/export status + claim/edge/risk delta</x:v>
      </x:c>
      <x:c r="I628" s="15" t="str">
        <x:v>packet/SWARM-05-H05-S03</x:v>
      </x:c>
      <x:c r="J628" s="15" t="str">
        <x:v>TODO</x:v>
      </x:c>
      <x:c r="K628" s="15" t="str">
        <x:v>P0</x:v>
      </x:c>
      <x:c r="L628" s="15" t="str">
        <x:v>Done only when evidence is logged, contradiction search is noted, and boundary stamp remains non-canon unless ratified</x:v>
      </x:c>
      <x:c r="M628" s="15" t="str">
        <x:v>candidate / staging-only / not canon / not deployed / authority none</x:v>
      </x:c>
      <x:c r="N628" s="15" t="str">
        <x:v>Dispatch to Rootglass: complete Contradiction Mapping x GitHub; return deltas only, receipts required.</x:v>
      </x:c>
      <x:c r="O628" s="15" t="str">
        <x:v>AF-KG-H05-S03</x:v>
      </x:c>
      <x:c r="P628" s="15" t="str">
        <x:v>Unverified</x:v>
      </x:c>
      <x:c r="Q628" s="15" t="str">
        <x:v>Not checked</x:v>
      </x:c>
      <x:c r="R628" s="15" t="str"/>
      <x:c r="S628" s="15" t="str"/>
      <x:c r="T628" s="15" t="str">
        <x:v>Log first source path or blocker</x:v>
      </x:c>
      <x:c r="U628" s="12" t="str">
        <x:f>IF(OR(P628="Unverified",Q628="Not checked"),"BLOCKED_PENDING_RECEIPT","READY_FOR_REVIEW")</x:f>
        <x:v>BLOCKED_PENDING_RECEIPT</x:v>
      </x:c>
      <x:c r="V628" s="12" t="str">
        <x:f>IF(J628="DONE","RETURNED",IF(U628="BLOCKED_PENDING_RECEIPT","SOURCE_TOUCH_REQUIRED","IN_PROGRESS"))</x:f>
        <x:v>SOURCE_TOUCH_REQUIRED</x:v>
      </x:c>
      <x:c r="W628" s="12" t="str">
        <x:f>IF(P628="Unverified","missing_receipt","receipt_logged")</x:f>
        <x:v>missing_receipt</x:v>
      </x:c>
      <x:c r="X628" s="12" t="str">
        <x:f>IF(Q628="Not checked","raw_status_missing","raw_status_logged")</x:f>
        <x:v>raw_status_missing</x:v>
      </x:c>
      <x:c r="Y628" s="12" t="str">
        <x:f>IF(U628="BLOCKED_PENDING_RECEIPT","Log source path or blocker; do not promote","Route to review lane")</x:f>
        <x:v>Log source path or blocker; do not promote</x:v>
      </x:c>
      <x:c r="Z628" s="12" t="str">
        <x:f>IF(K628="P0","Primary seat + Hashlight/Lucerna","Seat lane")</x:f>
        <x:v>Primary seat + Hashlight/Lucerna</x:v>
      </x:c>
      <x:c r="AA628" s="12" t="str">
        <x:f>IF(R628="","no_claim_delta","claim_delta_present")</x:f>
        <x:v>no_claim_delta</x:v>
      </x:c>
      <x:c r="AB628" s="12" t="str">
        <x:f>IF(S628="","no_contradiction_delta","contradiction_delta_present")</x:f>
        <x:v>no_contradiction_delta</x:v>
      </x:c>
      <x:c r="AC628" s="12" t="str">
        <x:f>IF(OR(ISNUMBER(SEARCH("hacker",LOWER(F628&amp;" "&amp;H628&amp;" "&amp;I628&amp;" "&amp;M628&amp;" "&amp;N628&amp;" "&amp;T628))),ISNUMBER(SEARCH("hacking",LOWER(F628&amp;" "&amp;H628&amp;" "&amp;I628&amp;" "&amp;M628&amp;" "&amp;N628&amp;" "&amp;T628))),ISNUMBER(SEARCH("bank",LOWER(F628&amp;" "&amp;H628&amp;" "&amp;I628&amp;" "&amp;M628&amp;" "&amp;N628&amp;" "&amp;T628))),ISNUMBER(SEARCH("banking",LOWER(F628&amp;" "&amp;H628&amp;" "&amp;I628&amp;" "&amp;M628&amp;" "&amp;N628&amp;" "&amp;T628)))),"PRIVATE_QUARANTINE",IF(OR(ISNUMBER(SEARCH("treasury",LOWER(F628&amp;" "&amp;H628&amp;" "&amp;I628&amp;" "&amp;M628&amp;" "&amp;N628&amp;" "&amp;T628))),ISNUMBER(SEARCH("debt",LOWER(F628&amp;" "&amp;H628&amp;" "&amp;I628&amp;" "&amp;M628&amp;" "&amp;N628&amp;" "&amp;T628))),ISNUMBER(SEARCH("bond",LOWER(F628&amp;" "&amp;H628&amp;" "&amp;I628&amp;" "&amp;M628&amp;" "&amp;N628&amp;" "&amp;T628))),ISNUMBER(SEARCH("transaction",LOWER(F628&amp;" "&amp;H628&amp;" "&amp;I628&amp;" "&amp;M628&amp;" "&amp;N628&amp;" "&amp;T628)))),"PRIVATE_REVIEW","PUBLIC_CANDIDATE"))</x:f>
        <x:v>PUBLIC_CANDIDATE</x:v>
      </x:c>
      <x:c r="AD628" s="12" t="str">
        <x:f>IF(AC628="PRIVATE_QUARANTINE","hacker_or_bank_trigger",IF(AC628="PRIVATE_REVIEW","finance_risk_trigger","none"))</x:f>
        <x:v>none</x:v>
      </x:c>
      <x:c r="AE628" s="12" t="str">
        <x:f>IF(AC628="PUBLIC_CANDIDATE","prepare_public_github_candidate",IF(AC628="PRIVATE_REVIEW","hold_for_private_review","quarantine_private_do_not_publish"))</x:f>
        <x:v>prepare_public_github_candidate</x:v>
      </x:c>
      <x:c r="AF628" s="12" t="str">
        <x:f>IF(AC628="PUBLIC_CANDIDATE","TIDELOCK + Lucerna",IF(AC628="PRIVATE_REVIEW","AtlasBrain + Lucerna","TIDELOCK + Lucerna + Human-root"))</x:f>
        <x:v>TIDELOCK + Lucerna</x:v>
      </x:c>
      <x:c r="AG628" s="12" t="str">
        <x:f>IF(AND(AC628="PUBLIC_CANDIDATE",U628&lt;&gt;"BLOCKED_PENDING_RECEIPT"),"READY_AFTER_RECEIPT","NOT_READY")</x:f>
        <x:v>NOT_READY</x:v>
      </x:c>
      <x:c r="AH628" s="12" t="str">
        <x:f>IF(AC628="PUBLIC_CANDIDATE","none",AD628)</x:f>
        <x:v>none</x:v>
      </x:c>
      <x:c r="AI628" s="12" t="str">
        <x:f>IF(AC628="PUBLIC_CANDIDATE","archive/public_candidates/"&amp;A628,"private_quarantine/"&amp;A628)</x:f>
        <x:v>archive/public_candidates/SWARM-05-H05-S03</x:v>
      </x:c>
      <x:c r="AJ628" s="12" t="str">
        <x:f>IF(AC628="PUBLIC_CANDIDATE","public by default; still not canon","private/hold; do not publish")</x:f>
        <x:v>public by default; still not canon</x:v>
      </x:c>
      <x:c r="AK628" s="12" t="str">
        <x:f>IF(AE628="prepare_public_github_candidate","add receipt/status then mirror","resolve blocker before any public GitHub action")</x:f>
        <x:v>add receipt/status then mirror</x:v>
      </x:c>
    </x:row>
    <x:row r="629">
      <x:c r="A629" s="15" t="str">
        <x:v>SWARM-05-H05-S04</x:v>
      </x:c>
      <x:c r="B629" s="15" t="str">
        <x:v>Rootglass</x:v>
      </x:c>
      <x:c r="C629" s="15" t="str">
        <x:v>Canon gate mirror</x:v>
      </x:c>
      <x:c r="D629" s="15" t="str">
        <x:v>Contradiction Mapping</x:v>
      </x:c>
      <x:c r="E629" s="15" t="str">
        <x:v>Gamma</x:v>
      </x:c>
      <x:c r="F629" s="15" t="str">
        <x:v>Map contradictions in Gamma — Rootglass</x:v>
      </x:c>
      <x:c r="G629" s="15" t="str">
        <x:v>authority boundaries / ratification packets</x:v>
      </x:c>
      <x:c r="H629" s="15" t="str">
        <x:v>source path + receipt + raw/export status + claim/edge/risk delta</x:v>
      </x:c>
      <x:c r="I629" s="15" t="str">
        <x:v>packet/SWARM-05-H05-S04</x:v>
      </x:c>
      <x:c r="J629" s="15" t="str">
        <x:v>TODO</x:v>
      </x:c>
      <x:c r="K629" s="15" t="str">
        <x:v>P1</x:v>
      </x:c>
      <x:c r="L629" s="15" t="str">
        <x:v>Done only when evidence is logged, contradiction search is noted, and boundary stamp remains non-canon unless ratified</x:v>
      </x:c>
      <x:c r="M629" s="15" t="str">
        <x:v>candidate / staging-only / not canon / not deployed / authority none</x:v>
      </x:c>
      <x:c r="N629" s="15" t="str">
        <x:v>Dispatch to Rootglass: complete Contradiction Mapping x Gamma; return deltas only, receipts required.</x:v>
      </x:c>
      <x:c r="O629" s="15" t="str">
        <x:v>AF-KG-H05-S04</x:v>
      </x:c>
      <x:c r="P629" s="15" t="str">
        <x:v>Unverified</x:v>
      </x:c>
      <x:c r="Q629" s="15" t="str">
        <x:v>Not checked</x:v>
      </x:c>
      <x:c r="R629" s="15" t="str"/>
      <x:c r="S629" s="15" t="str"/>
      <x:c r="T629" s="15" t="str">
        <x:v>Log first source path or blocker</x:v>
      </x:c>
      <x:c r="U629" s="12" t="str">
        <x:f>IF(OR(P629="Unverified",Q629="Not checked"),"BLOCKED_PENDING_RECEIPT","READY_FOR_REVIEW")</x:f>
        <x:v>BLOCKED_PENDING_RECEIPT</x:v>
      </x:c>
      <x:c r="V629" s="12" t="str">
        <x:f>IF(J629="DONE","RETURNED",IF(U629="BLOCKED_PENDING_RECEIPT","SOURCE_TOUCH_REQUIRED","IN_PROGRESS"))</x:f>
        <x:v>SOURCE_TOUCH_REQUIRED</x:v>
      </x:c>
      <x:c r="W629" s="12" t="str">
        <x:f>IF(P629="Unverified","missing_receipt","receipt_logged")</x:f>
        <x:v>missing_receipt</x:v>
      </x:c>
      <x:c r="X629" s="12" t="str">
        <x:f>IF(Q629="Not checked","raw_status_missing","raw_status_logged")</x:f>
        <x:v>raw_status_missing</x:v>
      </x:c>
      <x:c r="Y629" s="12" t="str">
        <x:f>IF(U629="BLOCKED_PENDING_RECEIPT","Log source path or blocker; do not promote","Route to review lane")</x:f>
        <x:v>Log source path or blocker; do not promote</x:v>
      </x:c>
      <x:c r="Z629" s="12" t="str">
        <x:f>IF(K629="P0","Primary seat + Hashlight/Lucerna","Seat lane")</x:f>
        <x:v>Seat lane</x:v>
      </x:c>
      <x:c r="AA629" s="12" t="str">
        <x:f>IF(R629="","no_claim_delta","claim_delta_present")</x:f>
        <x:v>no_claim_delta</x:v>
      </x:c>
      <x:c r="AB629" s="12" t="str">
        <x:f>IF(S629="","no_contradiction_delta","contradiction_delta_present")</x:f>
        <x:v>no_contradiction_delta</x:v>
      </x:c>
      <x:c r="AC629" s="12" t="str">
        <x:f>IF(OR(ISNUMBER(SEARCH("hacker",LOWER(F629&amp;" "&amp;H629&amp;" "&amp;I629&amp;" "&amp;M629&amp;" "&amp;N629&amp;" "&amp;T629))),ISNUMBER(SEARCH("hacking",LOWER(F629&amp;" "&amp;H629&amp;" "&amp;I629&amp;" "&amp;M629&amp;" "&amp;N629&amp;" "&amp;T629))),ISNUMBER(SEARCH("bank",LOWER(F629&amp;" "&amp;H629&amp;" "&amp;I629&amp;" "&amp;M629&amp;" "&amp;N629&amp;" "&amp;T629))),ISNUMBER(SEARCH("banking",LOWER(F629&amp;" "&amp;H629&amp;" "&amp;I629&amp;" "&amp;M629&amp;" "&amp;N629&amp;" "&amp;T629)))),"PRIVATE_QUARANTINE",IF(OR(ISNUMBER(SEARCH("treasury",LOWER(F629&amp;" "&amp;H629&amp;" "&amp;I629&amp;" "&amp;M629&amp;" "&amp;N629&amp;" "&amp;T629))),ISNUMBER(SEARCH("debt",LOWER(F629&amp;" "&amp;H629&amp;" "&amp;I629&amp;" "&amp;M629&amp;" "&amp;N629&amp;" "&amp;T629))),ISNUMBER(SEARCH("bond",LOWER(F629&amp;" "&amp;H629&amp;" "&amp;I629&amp;" "&amp;M629&amp;" "&amp;N629&amp;" "&amp;T629))),ISNUMBER(SEARCH("transaction",LOWER(F629&amp;" "&amp;H629&amp;" "&amp;I629&amp;" "&amp;M629&amp;" "&amp;N629&amp;" "&amp;T629)))),"PRIVATE_REVIEW","PUBLIC_CANDIDATE"))</x:f>
        <x:v>PUBLIC_CANDIDATE</x:v>
      </x:c>
      <x:c r="AD629" s="12" t="str">
        <x:f>IF(AC629="PRIVATE_QUARANTINE","hacker_or_bank_trigger",IF(AC629="PRIVATE_REVIEW","finance_risk_trigger","none"))</x:f>
        <x:v>none</x:v>
      </x:c>
      <x:c r="AE629" s="12" t="str">
        <x:f>IF(AC629="PUBLIC_CANDIDATE","prepare_public_github_candidate",IF(AC629="PRIVATE_REVIEW","hold_for_private_review","quarantine_private_do_not_publish"))</x:f>
        <x:v>prepare_public_github_candidate</x:v>
      </x:c>
      <x:c r="AF629" s="12" t="str">
        <x:f>IF(AC629="PUBLIC_CANDIDATE","TIDELOCK + Lucerna",IF(AC629="PRIVATE_REVIEW","AtlasBrain + Lucerna","TIDELOCK + Lucerna + Human-root"))</x:f>
        <x:v>TIDELOCK + Lucerna</x:v>
      </x:c>
      <x:c r="AG629" s="12" t="str">
        <x:f>IF(AND(AC629="PUBLIC_CANDIDATE",U629&lt;&gt;"BLOCKED_PENDING_RECEIPT"),"READY_AFTER_RECEIPT","NOT_READY")</x:f>
        <x:v>NOT_READY</x:v>
      </x:c>
      <x:c r="AH629" s="12" t="str">
        <x:f>IF(AC629="PUBLIC_CANDIDATE","none",AD629)</x:f>
        <x:v>none</x:v>
      </x:c>
      <x:c r="AI629" s="12" t="str">
        <x:f>IF(AC629="PUBLIC_CANDIDATE","archive/public_candidates/"&amp;A629,"private_quarantine/"&amp;A629)</x:f>
        <x:v>archive/public_candidates/SWARM-05-H05-S04</x:v>
      </x:c>
      <x:c r="AJ629" s="12" t="str">
        <x:f>IF(AC629="PUBLIC_CANDIDATE","public by default; still not canon","private/hold; do not publish")</x:f>
        <x:v>public by default; still not canon</x:v>
      </x:c>
      <x:c r="AK629" s="12" t="str">
        <x:f>IF(AE629="prepare_public_github_candidate","add receipt/status then mirror","resolve blocker before any public GitHub action")</x:f>
        <x:v>add receipt/status then mirror</x:v>
      </x:c>
    </x:row>
    <x:row r="630">
      <x:c r="A630" s="15" t="str">
        <x:v>SWARM-05-H05-S05</x:v>
      </x:c>
      <x:c r="B630" s="15" t="str">
        <x:v>Rootglass</x:v>
      </x:c>
      <x:c r="C630" s="15" t="str">
        <x:v>Canon gate mirror</x:v>
      </x:c>
      <x:c r="D630" s="15" t="str">
        <x:v>Contradiction Mapping</x:v>
      </x:c>
      <x:c r="E630" s="15" t="str">
        <x:v>Chat</x:v>
      </x:c>
      <x:c r="F630" s="15" t="str">
        <x:v>Map contradictions in Chat — Rootglass</x:v>
      </x:c>
      <x:c r="G630" s="15" t="str">
        <x:v>authority boundaries / ratification packets</x:v>
      </x:c>
      <x:c r="H630" s="15" t="str">
        <x:v>source path + receipt + raw/export status + claim/edge/risk delta</x:v>
      </x:c>
      <x:c r="I630" s="15" t="str">
        <x:v>packet/SWARM-05-H05-S05</x:v>
      </x:c>
      <x:c r="J630" s="15" t="str">
        <x:v>TODO</x:v>
      </x:c>
      <x:c r="K630" s="15" t="str">
        <x:v>P1</x:v>
      </x:c>
      <x:c r="L630" s="15" t="str">
        <x:v>Done only when evidence is logged, contradiction search is noted, and boundary stamp remains non-canon unless ratified</x:v>
      </x:c>
      <x:c r="M630" s="15" t="str">
        <x:v>candidate / staging-only / not canon / not deployed / authority none</x:v>
      </x:c>
      <x:c r="N630" s="15" t="str">
        <x:v>Dispatch to Rootglass: complete Contradiction Mapping x Chat; return deltas only, receipts required.</x:v>
      </x:c>
      <x:c r="O630" s="15" t="str">
        <x:v>AF-KG-H05-S05</x:v>
      </x:c>
      <x:c r="P630" s="15" t="str">
        <x:v>Unverified</x:v>
      </x:c>
      <x:c r="Q630" s="15" t="str">
        <x:v>Not checked</x:v>
      </x:c>
      <x:c r="R630" s="15" t="str"/>
      <x:c r="S630" s="15" t="str"/>
      <x:c r="T630" s="15" t="str">
        <x:v>Log first source path or blocker</x:v>
      </x:c>
      <x:c r="U630" s="12" t="str">
        <x:f>IF(OR(P630="Unverified",Q630="Not checked"),"BLOCKED_PENDING_RECEIPT","READY_FOR_REVIEW")</x:f>
        <x:v>BLOCKED_PENDING_RECEIPT</x:v>
      </x:c>
      <x:c r="V630" s="12" t="str">
        <x:f>IF(J630="DONE","RETURNED",IF(U630="BLOCKED_PENDING_RECEIPT","SOURCE_TOUCH_REQUIRED","IN_PROGRESS"))</x:f>
        <x:v>SOURCE_TOUCH_REQUIRED</x:v>
      </x:c>
      <x:c r="W630" s="12" t="str">
        <x:f>IF(P630="Unverified","missing_receipt","receipt_logged")</x:f>
        <x:v>missing_receipt</x:v>
      </x:c>
      <x:c r="X630" s="12" t="str">
        <x:f>IF(Q630="Not checked","raw_status_missing","raw_status_logged")</x:f>
        <x:v>raw_status_missing</x:v>
      </x:c>
      <x:c r="Y630" s="12" t="str">
        <x:f>IF(U630="BLOCKED_PENDING_RECEIPT","Log source path or blocker; do not promote","Route to review lane")</x:f>
        <x:v>Log source path or blocker; do not promote</x:v>
      </x:c>
      <x:c r="Z630" s="12" t="str">
        <x:f>IF(K630="P0","Primary seat + Hashlight/Lucerna","Seat lane")</x:f>
        <x:v>Seat lane</x:v>
      </x:c>
      <x:c r="AA630" s="12" t="str">
        <x:f>IF(R630="","no_claim_delta","claim_delta_present")</x:f>
        <x:v>no_claim_delta</x:v>
      </x:c>
      <x:c r="AB630" s="12" t="str">
        <x:f>IF(S630="","no_contradiction_delta","contradiction_delta_present")</x:f>
        <x:v>no_contradiction_delta</x:v>
      </x:c>
      <x:c r="AC630" s="12" t="str">
        <x:f>IF(OR(ISNUMBER(SEARCH("hacker",LOWER(F630&amp;" "&amp;H630&amp;" "&amp;I630&amp;" "&amp;M630&amp;" "&amp;N630&amp;" "&amp;T630))),ISNUMBER(SEARCH("hacking",LOWER(F630&amp;" "&amp;H630&amp;" "&amp;I630&amp;" "&amp;M630&amp;" "&amp;N630&amp;" "&amp;T630))),ISNUMBER(SEARCH("bank",LOWER(F630&amp;" "&amp;H630&amp;" "&amp;I630&amp;" "&amp;M630&amp;" "&amp;N630&amp;" "&amp;T630))),ISNUMBER(SEARCH("banking",LOWER(F630&amp;" "&amp;H630&amp;" "&amp;I630&amp;" "&amp;M630&amp;" "&amp;N630&amp;" "&amp;T630)))),"PRIVATE_QUARANTINE",IF(OR(ISNUMBER(SEARCH("treasury",LOWER(F630&amp;" "&amp;H630&amp;" "&amp;I630&amp;" "&amp;M630&amp;" "&amp;N630&amp;" "&amp;T630))),ISNUMBER(SEARCH("debt",LOWER(F630&amp;" "&amp;H630&amp;" "&amp;I630&amp;" "&amp;M630&amp;" "&amp;N630&amp;" "&amp;T630))),ISNUMBER(SEARCH("bond",LOWER(F630&amp;" "&amp;H630&amp;" "&amp;I630&amp;" "&amp;M630&amp;" "&amp;N630&amp;" "&amp;T630))),ISNUMBER(SEARCH("transaction",LOWER(F630&amp;" "&amp;H630&amp;" "&amp;I630&amp;" "&amp;M630&amp;" "&amp;N630&amp;" "&amp;T630)))),"PRIVATE_REVIEW","PUBLIC_CANDIDATE"))</x:f>
        <x:v>PUBLIC_CANDIDATE</x:v>
      </x:c>
      <x:c r="AD630" s="12" t="str">
        <x:f>IF(AC630="PRIVATE_QUARANTINE","hacker_or_bank_trigger",IF(AC630="PRIVATE_REVIEW","finance_risk_trigger","none"))</x:f>
        <x:v>none</x:v>
      </x:c>
      <x:c r="AE630" s="12" t="str">
        <x:f>IF(AC630="PUBLIC_CANDIDATE","prepare_public_github_candidate",IF(AC630="PRIVATE_REVIEW","hold_for_private_review","quarantine_private_do_not_publish"))</x:f>
        <x:v>prepare_public_github_candidate</x:v>
      </x:c>
      <x:c r="AF630" s="12" t="str">
        <x:f>IF(AC630="PUBLIC_CANDIDATE","TIDELOCK + Lucerna",IF(AC630="PRIVATE_REVIEW","AtlasBrain + Lucerna","TIDELOCK + Lucerna + Human-root"))</x:f>
        <x:v>TIDELOCK + Lucerna</x:v>
      </x:c>
      <x:c r="AG630" s="12" t="str">
        <x:f>IF(AND(AC630="PUBLIC_CANDIDATE",U630&lt;&gt;"BLOCKED_PENDING_RECEIPT"),"READY_AFTER_RECEIPT","NOT_READY")</x:f>
        <x:v>NOT_READY</x:v>
      </x:c>
      <x:c r="AH630" s="12" t="str">
        <x:f>IF(AC630="PUBLIC_CANDIDATE","none",AD630)</x:f>
        <x:v>none</x:v>
      </x:c>
      <x:c r="AI630" s="12" t="str">
        <x:f>IF(AC630="PUBLIC_CANDIDATE","archive/public_candidates/"&amp;A630,"private_quarantine/"&amp;A630)</x:f>
        <x:v>archive/public_candidates/SWARM-05-H05-S05</x:v>
      </x:c>
      <x:c r="AJ630" s="12" t="str">
        <x:f>IF(AC630="PUBLIC_CANDIDATE","public by default; still not canon","private/hold; do not publish")</x:f>
        <x:v>public by default; still not canon</x:v>
      </x:c>
      <x:c r="AK630" s="12" t="str">
        <x:f>IF(AE630="prepare_public_github_candidate","add receipt/status then mirror","resolve blocker before any public GitHub action")</x:f>
        <x:v>add receipt/status then mirror</x:v>
      </x:c>
    </x:row>
    <x:row r="631">
      <x:c r="A631" s="15" t="str">
        <x:v>SWARM-05-H05-S06</x:v>
      </x:c>
      <x:c r="B631" s="15" t="str">
        <x:v>Rootglass</x:v>
      </x:c>
      <x:c r="C631" s="15" t="str">
        <x:v>Canon gate mirror</x:v>
      </x:c>
      <x:c r="D631" s="15" t="str">
        <x:v>Contradiction Mapping</x:v>
      </x:c>
      <x:c r="E631" s="15" t="str">
        <x:v>External Web</x:v>
      </x:c>
      <x:c r="F631" s="15" t="str">
        <x:v>Map contradictions in External Web — Rootglass</x:v>
      </x:c>
      <x:c r="G631" s="15" t="str">
        <x:v>authority boundaries / ratification packets</x:v>
      </x:c>
      <x:c r="H631" s="15" t="str">
        <x:v>source path + receipt + raw/export status + claim/edge/risk delta</x:v>
      </x:c>
      <x:c r="I631" s="15" t="str">
        <x:v>packet/SWARM-05-H05-S06</x:v>
      </x:c>
      <x:c r="J631" s="15" t="str">
        <x:v>TODO</x:v>
      </x:c>
      <x:c r="K631" s="15" t="str">
        <x:v>P1</x:v>
      </x:c>
      <x:c r="L631" s="15" t="str">
        <x:v>Done only when evidence is logged, contradiction search is noted, and boundary stamp remains non-canon unless ratified</x:v>
      </x:c>
      <x:c r="M631" s="15" t="str">
        <x:v>candidate / staging-only / not canon / not deployed / authority none</x:v>
      </x:c>
      <x:c r="N631" s="15" t="str">
        <x:v>Dispatch to Rootglass: complete Contradiction Mapping x External Web; return deltas only, receipts required.</x:v>
      </x:c>
      <x:c r="O631" s="15" t="str">
        <x:v>AF-KG-H05-S06</x:v>
      </x:c>
      <x:c r="P631" s="15" t="str">
        <x:v>Unverified</x:v>
      </x:c>
      <x:c r="Q631" s="15" t="str">
        <x:v>Not checked</x:v>
      </x:c>
      <x:c r="R631" s="15" t="str"/>
      <x:c r="S631" s="15" t="str"/>
      <x:c r="T631" s="15" t="str">
        <x:v>Log first source path or blocker</x:v>
      </x:c>
      <x:c r="U631" s="12" t="str">
        <x:f>IF(OR(P631="Unverified",Q631="Not checked"),"BLOCKED_PENDING_RECEIPT","READY_FOR_REVIEW")</x:f>
        <x:v>BLOCKED_PENDING_RECEIPT</x:v>
      </x:c>
      <x:c r="V631" s="12" t="str">
        <x:f>IF(J631="DONE","RETURNED",IF(U631="BLOCKED_PENDING_RECEIPT","SOURCE_TOUCH_REQUIRED","IN_PROGRESS"))</x:f>
        <x:v>SOURCE_TOUCH_REQUIRED</x:v>
      </x:c>
      <x:c r="W631" s="12" t="str">
        <x:f>IF(P631="Unverified","missing_receipt","receipt_logged")</x:f>
        <x:v>missing_receipt</x:v>
      </x:c>
      <x:c r="X631" s="12" t="str">
        <x:f>IF(Q631="Not checked","raw_status_missing","raw_status_logged")</x:f>
        <x:v>raw_status_missing</x:v>
      </x:c>
      <x:c r="Y631" s="12" t="str">
        <x:f>IF(U631="BLOCKED_PENDING_RECEIPT","Log source path or blocker; do not promote","Route to review lane")</x:f>
        <x:v>Log source path or blocker; do not promote</x:v>
      </x:c>
      <x:c r="Z631" s="12" t="str">
        <x:f>IF(K631="P0","Primary seat + Hashlight/Lucerna","Seat lane")</x:f>
        <x:v>Seat lane</x:v>
      </x:c>
      <x:c r="AA631" s="12" t="str">
        <x:f>IF(R631="","no_claim_delta","claim_delta_present")</x:f>
        <x:v>no_claim_delta</x:v>
      </x:c>
      <x:c r="AB631" s="12" t="str">
        <x:f>IF(S631="","no_contradiction_delta","contradiction_delta_present")</x:f>
        <x:v>no_contradiction_delta</x:v>
      </x:c>
      <x:c r="AC631" s="12" t="str">
        <x:f>IF(OR(ISNUMBER(SEARCH("hacker",LOWER(F631&amp;" "&amp;H631&amp;" "&amp;I631&amp;" "&amp;M631&amp;" "&amp;N631&amp;" "&amp;T631))),ISNUMBER(SEARCH("hacking",LOWER(F631&amp;" "&amp;H631&amp;" "&amp;I631&amp;" "&amp;M631&amp;" "&amp;N631&amp;" "&amp;T631))),ISNUMBER(SEARCH("bank",LOWER(F631&amp;" "&amp;H631&amp;" "&amp;I631&amp;" "&amp;M631&amp;" "&amp;N631&amp;" "&amp;T631))),ISNUMBER(SEARCH("banking",LOWER(F631&amp;" "&amp;H631&amp;" "&amp;I631&amp;" "&amp;M631&amp;" "&amp;N631&amp;" "&amp;T631)))),"PRIVATE_QUARANTINE",IF(OR(ISNUMBER(SEARCH("treasury",LOWER(F631&amp;" "&amp;H631&amp;" "&amp;I631&amp;" "&amp;M631&amp;" "&amp;N631&amp;" "&amp;T631))),ISNUMBER(SEARCH("debt",LOWER(F631&amp;" "&amp;H631&amp;" "&amp;I631&amp;" "&amp;M631&amp;" "&amp;N631&amp;" "&amp;T631))),ISNUMBER(SEARCH("bond",LOWER(F631&amp;" "&amp;H631&amp;" "&amp;I631&amp;" "&amp;M631&amp;" "&amp;N631&amp;" "&amp;T631))),ISNUMBER(SEARCH("transaction",LOWER(F631&amp;" "&amp;H631&amp;" "&amp;I631&amp;" "&amp;M631&amp;" "&amp;N631&amp;" "&amp;T631)))),"PRIVATE_REVIEW","PUBLIC_CANDIDATE"))</x:f>
        <x:v>PUBLIC_CANDIDATE</x:v>
      </x:c>
      <x:c r="AD631" s="12" t="str">
        <x:f>IF(AC631="PRIVATE_QUARANTINE","hacker_or_bank_trigger",IF(AC631="PRIVATE_REVIEW","finance_risk_trigger","none"))</x:f>
        <x:v>none</x:v>
      </x:c>
      <x:c r="AE631" s="12" t="str">
        <x:f>IF(AC631="PUBLIC_CANDIDATE","prepare_public_github_candidate",IF(AC631="PRIVATE_REVIEW","hold_for_private_review","quarantine_private_do_not_publish"))</x:f>
        <x:v>prepare_public_github_candidate</x:v>
      </x:c>
      <x:c r="AF631" s="12" t="str">
        <x:f>IF(AC631="PUBLIC_CANDIDATE","TIDELOCK + Lucerna",IF(AC631="PRIVATE_REVIEW","AtlasBrain + Lucerna","TIDELOCK + Lucerna + Human-root"))</x:f>
        <x:v>TIDELOCK + Lucerna</x:v>
      </x:c>
      <x:c r="AG631" s="12" t="str">
        <x:f>IF(AND(AC631="PUBLIC_CANDIDATE",U631&lt;&gt;"BLOCKED_PENDING_RECEIPT"),"READY_AFTER_RECEIPT","NOT_READY")</x:f>
        <x:v>NOT_READY</x:v>
      </x:c>
      <x:c r="AH631" s="12" t="str">
        <x:f>IF(AC631="PUBLIC_CANDIDATE","none",AD631)</x:f>
        <x:v>none</x:v>
      </x:c>
      <x:c r="AI631" s="12" t="str">
        <x:f>IF(AC631="PUBLIC_CANDIDATE","archive/public_candidates/"&amp;A631,"private_quarantine/"&amp;A631)</x:f>
        <x:v>archive/public_candidates/SWARM-05-H05-S06</x:v>
      </x:c>
      <x:c r="AJ631" s="12" t="str">
        <x:f>IF(AC631="PUBLIC_CANDIDATE","public by default; still not canon","private/hold; do not publish")</x:f>
        <x:v>public by default; still not canon</x:v>
      </x:c>
      <x:c r="AK631" s="12" t="str">
        <x:f>IF(AE631="prepare_public_github_candidate","add receipt/status then mirror","resolve blocker before any public GitHub action")</x:f>
        <x:v>add receipt/status then mirror</x:v>
      </x:c>
    </x:row>
    <x:row r="632">
      <x:c r="A632" s="15" t="str">
        <x:v>SWARM-05-H05-S07</x:v>
      </x:c>
      <x:c r="B632" s="15" t="str">
        <x:v>Rootglass</x:v>
      </x:c>
      <x:c r="C632" s="15" t="str">
        <x:v>Canon gate mirror</x:v>
      </x:c>
      <x:c r="D632" s="15" t="str">
        <x:v>Contradiction Mapping</x:v>
      </x:c>
      <x:c r="E632" s="15" t="str">
        <x:v>Planetarium</x:v>
      </x:c>
      <x:c r="F632" s="15" t="str">
        <x:v>Map contradictions in Planetarium — Rootglass</x:v>
      </x:c>
      <x:c r="G632" s="15" t="str">
        <x:v>authority boundaries / ratification packets</x:v>
      </x:c>
      <x:c r="H632" s="15" t="str">
        <x:v>source path + receipt + raw/export status + claim/edge/risk delta</x:v>
      </x:c>
      <x:c r="I632" s="15" t="str">
        <x:v>packet/SWARM-05-H05-S07</x:v>
      </x:c>
      <x:c r="J632" s="15" t="str">
        <x:v>TODO</x:v>
      </x:c>
      <x:c r="K632" s="15" t="str">
        <x:v>P1</x:v>
      </x:c>
      <x:c r="L632" s="15" t="str">
        <x:v>Done only when evidence is logged, contradiction search is noted, and boundary stamp remains non-canon unless ratified</x:v>
      </x:c>
      <x:c r="M632" s="15" t="str">
        <x:v>candidate / staging-only / not canon / not deployed / authority none</x:v>
      </x:c>
      <x:c r="N632" s="15" t="str">
        <x:v>Dispatch to Rootglass: complete Contradiction Mapping x Planetarium; return deltas only, receipts required.</x:v>
      </x:c>
      <x:c r="O632" s="15" t="str">
        <x:v>AF-KG-H05-S07</x:v>
      </x:c>
      <x:c r="P632" s="15" t="str">
        <x:v>Unverified</x:v>
      </x:c>
      <x:c r="Q632" s="15" t="str">
        <x:v>Not checked</x:v>
      </x:c>
      <x:c r="R632" s="15" t="str"/>
      <x:c r="S632" s="15" t="str"/>
      <x:c r="T632" s="15" t="str">
        <x:v>Log first source path or blocker</x:v>
      </x:c>
      <x:c r="U632" s="12" t="str">
        <x:f>IF(OR(P632="Unverified",Q632="Not checked"),"BLOCKED_PENDING_RECEIPT","READY_FOR_REVIEW")</x:f>
        <x:v>BLOCKED_PENDING_RECEIPT</x:v>
      </x:c>
      <x:c r="V632" s="12" t="str">
        <x:f>IF(J632="DONE","RETURNED",IF(U632="BLOCKED_PENDING_RECEIPT","SOURCE_TOUCH_REQUIRED","IN_PROGRESS"))</x:f>
        <x:v>SOURCE_TOUCH_REQUIRED</x:v>
      </x:c>
      <x:c r="W632" s="12" t="str">
        <x:f>IF(P632="Unverified","missing_receipt","receipt_logged")</x:f>
        <x:v>missing_receipt</x:v>
      </x:c>
      <x:c r="X632" s="12" t="str">
        <x:f>IF(Q632="Not checked","raw_status_missing","raw_status_logged")</x:f>
        <x:v>raw_status_missing</x:v>
      </x:c>
      <x:c r="Y632" s="12" t="str">
        <x:f>IF(U632="BLOCKED_PENDING_RECEIPT","Log source path or blocker; do not promote","Route to review lane")</x:f>
        <x:v>Log source path or blocker; do not promote</x:v>
      </x:c>
      <x:c r="Z632" s="12" t="str">
        <x:f>IF(K632="P0","Primary seat + Hashlight/Lucerna","Seat lane")</x:f>
        <x:v>Seat lane</x:v>
      </x:c>
      <x:c r="AA632" s="12" t="str">
        <x:f>IF(R632="","no_claim_delta","claim_delta_present")</x:f>
        <x:v>no_claim_delta</x:v>
      </x:c>
      <x:c r="AB632" s="12" t="str">
        <x:f>IF(S632="","no_contradiction_delta","contradiction_delta_present")</x:f>
        <x:v>no_contradiction_delta</x:v>
      </x:c>
      <x:c r="AC632" s="12" t="str">
        <x:f>IF(OR(ISNUMBER(SEARCH("hacker",LOWER(F632&amp;" "&amp;H632&amp;" "&amp;I632&amp;" "&amp;M632&amp;" "&amp;N632&amp;" "&amp;T632))),ISNUMBER(SEARCH("hacking",LOWER(F632&amp;" "&amp;H632&amp;" "&amp;I632&amp;" "&amp;M632&amp;" "&amp;N632&amp;" "&amp;T632))),ISNUMBER(SEARCH("bank",LOWER(F632&amp;" "&amp;H632&amp;" "&amp;I632&amp;" "&amp;M632&amp;" "&amp;N632&amp;" "&amp;T632))),ISNUMBER(SEARCH("banking",LOWER(F632&amp;" "&amp;H632&amp;" "&amp;I632&amp;" "&amp;M632&amp;" "&amp;N632&amp;" "&amp;T632)))),"PRIVATE_QUARANTINE",IF(OR(ISNUMBER(SEARCH("treasury",LOWER(F632&amp;" "&amp;H632&amp;" "&amp;I632&amp;" "&amp;M632&amp;" "&amp;N632&amp;" "&amp;T632))),ISNUMBER(SEARCH("debt",LOWER(F632&amp;" "&amp;H632&amp;" "&amp;I632&amp;" "&amp;M632&amp;" "&amp;N632&amp;" "&amp;T632))),ISNUMBER(SEARCH("bond",LOWER(F632&amp;" "&amp;H632&amp;" "&amp;I632&amp;" "&amp;M632&amp;" "&amp;N632&amp;" "&amp;T632))),ISNUMBER(SEARCH("transaction",LOWER(F632&amp;" "&amp;H632&amp;" "&amp;I632&amp;" "&amp;M632&amp;" "&amp;N632&amp;" "&amp;T632)))),"PRIVATE_REVIEW","PUBLIC_CANDIDATE"))</x:f>
        <x:v>PUBLIC_CANDIDATE</x:v>
      </x:c>
      <x:c r="AD632" s="12" t="str">
        <x:f>IF(AC632="PRIVATE_QUARANTINE","hacker_or_bank_trigger",IF(AC632="PRIVATE_REVIEW","finance_risk_trigger","none"))</x:f>
        <x:v>none</x:v>
      </x:c>
      <x:c r="AE632" s="12" t="str">
        <x:f>IF(AC632="PUBLIC_CANDIDATE","prepare_public_github_candidate",IF(AC632="PRIVATE_REVIEW","hold_for_private_review","quarantine_private_do_not_publish"))</x:f>
        <x:v>prepare_public_github_candidate</x:v>
      </x:c>
      <x:c r="AF632" s="12" t="str">
        <x:f>IF(AC632="PUBLIC_CANDIDATE","TIDELOCK + Lucerna",IF(AC632="PRIVATE_REVIEW","AtlasBrain + Lucerna","TIDELOCK + Lucerna + Human-root"))</x:f>
        <x:v>TIDELOCK + Lucerna</x:v>
      </x:c>
      <x:c r="AG632" s="12" t="str">
        <x:f>IF(AND(AC632="PUBLIC_CANDIDATE",U632&lt;&gt;"BLOCKED_PENDING_RECEIPT"),"READY_AFTER_RECEIPT","NOT_READY")</x:f>
        <x:v>NOT_READY</x:v>
      </x:c>
      <x:c r="AH632" s="12" t="str">
        <x:f>IF(AC632="PUBLIC_CANDIDATE","none",AD632)</x:f>
        <x:v>none</x:v>
      </x:c>
      <x:c r="AI632" s="12" t="str">
        <x:f>IF(AC632="PUBLIC_CANDIDATE","archive/public_candidates/"&amp;A632,"private_quarantine/"&amp;A632)</x:f>
        <x:v>archive/public_candidates/SWARM-05-H05-S07</x:v>
      </x:c>
      <x:c r="AJ632" s="12" t="str">
        <x:f>IF(AC632="PUBLIC_CANDIDATE","public by default; still not canon","private/hold; do not publish")</x:f>
        <x:v>public by default; still not canon</x:v>
      </x:c>
      <x:c r="AK632" s="12" t="str">
        <x:f>IF(AE632="prepare_public_github_candidate","add receipt/status then mirror","resolve blocker before any public GitHub action")</x:f>
        <x:v>add receipt/status then mirror</x:v>
      </x:c>
    </x:row>
    <x:row r="633">
      <x:c r="A633" s="15" t="str">
        <x:v>SWARM-05-H05-S08</x:v>
      </x:c>
      <x:c r="B633" s="15" t="str">
        <x:v>Rootglass</x:v>
      </x:c>
      <x:c r="C633" s="15" t="str">
        <x:v>Canon gate mirror</x:v>
      </x:c>
      <x:c r="D633" s="15" t="str">
        <x:v>Contradiction Mapping</x:v>
      </x:c>
      <x:c r="E633" s="15" t="str">
        <x:v>Sheldonbrain</x:v>
      </x:c>
      <x:c r="F633" s="15" t="str">
        <x:v>Map contradictions in Sheldonbrain — Rootglass</x:v>
      </x:c>
      <x:c r="G633" s="15" t="str">
        <x:v>authority boundaries / ratification packets</x:v>
      </x:c>
      <x:c r="H633" s="15" t="str">
        <x:v>source path + receipt + raw/export status + claim/edge/risk delta</x:v>
      </x:c>
      <x:c r="I633" s="15" t="str">
        <x:v>packet/SWARM-05-H05-S08</x:v>
      </x:c>
      <x:c r="J633" s="15" t="str">
        <x:v>TODO</x:v>
      </x:c>
      <x:c r="K633" s="15" t="str">
        <x:v>P1</x:v>
      </x:c>
      <x:c r="L633" s="15" t="str">
        <x:v>Done only when evidence is logged, contradiction search is noted, and boundary stamp remains non-canon unless ratified</x:v>
      </x:c>
      <x:c r="M633" s="15" t="str">
        <x:v>candidate / staging-only / not canon / not deployed / authority none</x:v>
      </x:c>
      <x:c r="N633" s="15" t="str">
        <x:v>Dispatch to Rootglass: complete Contradiction Mapping x Sheldonbrain; return deltas only, receipts required.</x:v>
      </x:c>
      <x:c r="O633" s="15" t="str">
        <x:v>AF-KG-H05-S08</x:v>
      </x:c>
      <x:c r="P633" s="15" t="str">
        <x:v>Unverified</x:v>
      </x:c>
      <x:c r="Q633" s="15" t="str">
        <x:v>Not checked</x:v>
      </x:c>
      <x:c r="R633" s="15" t="str"/>
      <x:c r="S633" s="15" t="str"/>
      <x:c r="T633" s="15" t="str">
        <x:v>Log first source path or blocker</x:v>
      </x:c>
      <x:c r="U633" s="12" t="str">
        <x:f>IF(OR(P633="Unverified",Q633="Not checked"),"BLOCKED_PENDING_RECEIPT","READY_FOR_REVIEW")</x:f>
        <x:v>BLOCKED_PENDING_RECEIPT</x:v>
      </x:c>
      <x:c r="V633" s="12" t="str">
        <x:f>IF(J633="DONE","RETURNED",IF(U633="BLOCKED_PENDING_RECEIPT","SOURCE_TOUCH_REQUIRED","IN_PROGRESS"))</x:f>
        <x:v>SOURCE_TOUCH_REQUIRED</x:v>
      </x:c>
      <x:c r="W633" s="12" t="str">
        <x:f>IF(P633="Unverified","missing_receipt","receipt_logged")</x:f>
        <x:v>missing_receipt</x:v>
      </x:c>
      <x:c r="X633" s="12" t="str">
        <x:f>IF(Q633="Not checked","raw_status_missing","raw_status_logged")</x:f>
        <x:v>raw_status_missing</x:v>
      </x:c>
      <x:c r="Y633" s="12" t="str">
        <x:f>IF(U633="BLOCKED_PENDING_RECEIPT","Log source path or blocker; do not promote","Route to review lane")</x:f>
        <x:v>Log source path or blocker; do not promote</x:v>
      </x:c>
      <x:c r="Z633" s="12" t="str">
        <x:f>IF(K633="P0","Primary seat + Hashlight/Lucerna","Seat lane")</x:f>
        <x:v>Seat lane</x:v>
      </x:c>
      <x:c r="AA633" s="12" t="str">
        <x:f>IF(R633="","no_claim_delta","claim_delta_present")</x:f>
        <x:v>no_claim_delta</x:v>
      </x:c>
      <x:c r="AB633" s="12" t="str">
        <x:f>IF(S633="","no_contradiction_delta","contradiction_delta_present")</x:f>
        <x:v>no_contradiction_delta</x:v>
      </x:c>
      <x:c r="AC633" s="12" t="str">
        <x:f>IF(OR(ISNUMBER(SEARCH("hacker",LOWER(F633&amp;" "&amp;H633&amp;" "&amp;I633&amp;" "&amp;M633&amp;" "&amp;N633&amp;" "&amp;T633))),ISNUMBER(SEARCH("hacking",LOWER(F633&amp;" "&amp;H633&amp;" "&amp;I633&amp;" "&amp;M633&amp;" "&amp;N633&amp;" "&amp;T633))),ISNUMBER(SEARCH("bank",LOWER(F633&amp;" "&amp;H633&amp;" "&amp;I633&amp;" "&amp;M633&amp;" "&amp;N633&amp;" "&amp;T633))),ISNUMBER(SEARCH("banking",LOWER(F633&amp;" "&amp;H633&amp;" "&amp;I633&amp;" "&amp;M633&amp;" "&amp;N633&amp;" "&amp;T633)))),"PRIVATE_QUARANTINE",IF(OR(ISNUMBER(SEARCH("treasury",LOWER(F633&amp;" "&amp;H633&amp;" "&amp;I633&amp;" "&amp;M633&amp;" "&amp;N633&amp;" "&amp;T633))),ISNUMBER(SEARCH("debt",LOWER(F633&amp;" "&amp;H633&amp;" "&amp;I633&amp;" "&amp;M633&amp;" "&amp;N633&amp;" "&amp;T633))),ISNUMBER(SEARCH("bond",LOWER(F633&amp;" "&amp;H633&amp;" "&amp;I633&amp;" "&amp;M633&amp;" "&amp;N633&amp;" "&amp;T633))),ISNUMBER(SEARCH("transaction",LOWER(F633&amp;" "&amp;H633&amp;" "&amp;I633&amp;" "&amp;M633&amp;" "&amp;N633&amp;" "&amp;T633)))),"PRIVATE_REVIEW","PUBLIC_CANDIDATE"))</x:f>
        <x:v>PUBLIC_CANDIDATE</x:v>
      </x:c>
      <x:c r="AD633" s="12" t="str">
        <x:f>IF(AC633="PRIVATE_QUARANTINE","hacker_or_bank_trigger",IF(AC633="PRIVATE_REVIEW","finance_risk_trigger","none"))</x:f>
        <x:v>none</x:v>
      </x:c>
      <x:c r="AE633" s="12" t="str">
        <x:f>IF(AC633="PUBLIC_CANDIDATE","prepare_public_github_candidate",IF(AC633="PRIVATE_REVIEW","hold_for_private_review","quarantine_private_do_not_publish"))</x:f>
        <x:v>prepare_public_github_candidate</x:v>
      </x:c>
      <x:c r="AF633" s="12" t="str">
        <x:f>IF(AC633="PUBLIC_CANDIDATE","TIDELOCK + Lucerna",IF(AC633="PRIVATE_REVIEW","AtlasBrain + Lucerna","TIDELOCK + Lucerna + Human-root"))</x:f>
        <x:v>TIDELOCK + Lucerna</x:v>
      </x:c>
      <x:c r="AG633" s="12" t="str">
        <x:f>IF(AND(AC633="PUBLIC_CANDIDATE",U633&lt;&gt;"BLOCKED_PENDING_RECEIPT"),"READY_AFTER_RECEIPT","NOT_READY")</x:f>
        <x:v>NOT_READY</x:v>
      </x:c>
      <x:c r="AH633" s="12" t="str">
        <x:f>IF(AC633="PUBLIC_CANDIDATE","none",AD633)</x:f>
        <x:v>none</x:v>
      </x:c>
      <x:c r="AI633" s="12" t="str">
        <x:f>IF(AC633="PUBLIC_CANDIDATE","archive/public_candidates/"&amp;A633,"private_quarantine/"&amp;A633)</x:f>
        <x:v>archive/public_candidates/SWARM-05-H05-S08</x:v>
      </x:c>
      <x:c r="AJ633" s="12" t="str">
        <x:f>IF(AC633="PUBLIC_CANDIDATE","public by default; still not canon","private/hold; do not publish")</x:f>
        <x:v>public by default; still not canon</x:v>
      </x:c>
      <x:c r="AK633" s="12" t="str">
        <x:f>IF(AE633="prepare_public_github_candidate","add receipt/status then mirror","resolve blocker before any public GitHub action")</x:f>
        <x:v>add receipt/status then mirror</x:v>
      </x:c>
    </x:row>
    <x:row r="634">
      <x:c r="A634" s="15" t="str">
        <x:v>SWARM-05-H05-S09</x:v>
      </x:c>
      <x:c r="B634" s="15" t="str">
        <x:v>Rootglass</x:v>
      </x:c>
      <x:c r="C634" s="15" t="str">
        <x:v>Canon gate mirror</x:v>
      </x:c>
      <x:c r="D634" s="15" t="str">
        <x:v>Contradiction Mapping</x:v>
      </x:c>
      <x:c r="E634" s="15" t="str">
        <x:v>Aetherforge</x:v>
      </x:c>
      <x:c r="F634" s="15" t="str">
        <x:v>Map contradictions in Aetherforge — Rootglass</x:v>
      </x:c>
      <x:c r="G634" s="15" t="str">
        <x:v>authority boundaries / ratification packets</x:v>
      </x:c>
      <x:c r="H634" s="15" t="str">
        <x:v>source path + receipt + raw/export status + claim/edge/risk delta</x:v>
      </x:c>
      <x:c r="I634" s="15" t="str">
        <x:v>packet/SWARM-05-H05-S09</x:v>
      </x:c>
      <x:c r="J634" s="15" t="str">
        <x:v>TODO</x:v>
      </x:c>
      <x:c r="K634" s="15" t="str">
        <x:v>P2</x:v>
      </x:c>
      <x:c r="L634" s="15" t="str">
        <x:v>Done only when evidence is logged, contradiction search is noted, and boundary stamp remains non-canon unless ratified</x:v>
      </x:c>
      <x:c r="M634" s="15" t="str">
        <x:v>candidate / staging-only / not canon / not deployed / authority none</x:v>
      </x:c>
      <x:c r="N634" s="15" t="str">
        <x:v>Dispatch to Rootglass: complete Contradiction Mapping x Aetherforge; return deltas only, receipts required.</x:v>
      </x:c>
      <x:c r="O634" s="15" t="str">
        <x:v>AF-KG-H05-S09</x:v>
      </x:c>
      <x:c r="P634" s="15" t="str">
        <x:v>Unverified</x:v>
      </x:c>
      <x:c r="Q634" s="15" t="str">
        <x:v>Not checked</x:v>
      </x:c>
      <x:c r="R634" s="15" t="str"/>
      <x:c r="S634" s="15" t="str"/>
      <x:c r="T634" s="15" t="str">
        <x:v>Log first source path or blocker</x:v>
      </x:c>
      <x:c r="U634" s="12" t="str">
        <x:f>IF(OR(P634="Unverified",Q634="Not checked"),"BLOCKED_PENDING_RECEIPT","READY_FOR_REVIEW")</x:f>
        <x:v>BLOCKED_PENDING_RECEIPT</x:v>
      </x:c>
      <x:c r="V634" s="12" t="str">
        <x:f>IF(J634="DONE","RETURNED",IF(U634="BLOCKED_PENDING_RECEIPT","SOURCE_TOUCH_REQUIRED","IN_PROGRESS"))</x:f>
        <x:v>SOURCE_TOUCH_REQUIRED</x:v>
      </x:c>
      <x:c r="W634" s="12" t="str">
        <x:f>IF(P634="Unverified","missing_receipt","receipt_logged")</x:f>
        <x:v>missing_receipt</x:v>
      </x:c>
      <x:c r="X634" s="12" t="str">
        <x:f>IF(Q634="Not checked","raw_status_missing","raw_status_logged")</x:f>
        <x:v>raw_status_missing</x:v>
      </x:c>
      <x:c r="Y634" s="12" t="str">
        <x:f>IF(U634="BLOCKED_PENDING_RECEIPT","Log source path or blocker; do not promote","Route to review lane")</x:f>
        <x:v>Log source path or blocker; do not promote</x:v>
      </x:c>
      <x:c r="Z634" s="12" t="str">
        <x:f>IF(K634="P0","Primary seat + Hashlight/Lucerna","Seat lane")</x:f>
        <x:v>Seat lane</x:v>
      </x:c>
      <x:c r="AA634" s="12" t="str">
        <x:f>IF(R634="","no_claim_delta","claim_delta_present")</x:f>
        <x:v>no_claim_delta</x:v>
      </x:c>
      <x:c r="AB634" s="12" t="str">
        <x:f>IF(S634="","no_contradiction_delta","contradiction_delta_present")</x:f>
        <x:v>no_contradiction_delta</x:v>
      </x:c>
      <x:c r="AC634" s="12" t="str">
        <x:f>IF(OR(ISNUMBER(SEARCH("hacker",LOWER(F634&amp;" "&amp;H634&amp;" "&amp;I634&amp;" "&amp;M634&amp;" "&amp;N634&amp;" "&amp;T634))),ISNUMBER(SEARCH("hacking",LOWER(F634&amp;" "&amp;H634&amp;" "&amp;I634&amp;" "&amp;M634&amp;" "&amp;N634&amp;" "&amp;T634))),ISNUMBER(SEARCH("bank",LOWER(F634&amp;" "&amp;H634&amp;" "&amp;I634&amp;" "&amp;M634&amp;" "&amp;N634&amp;" "&amp;T634))),ISNUMBER(SEARCH("banking",LOWER(F634&amp;" "&amp;H634&amp;" "&amp;I634&amp;" "&amp;M634&amp;" "&amp;N634&amp;" "&amp;T634)))),"PRIVATE_QUARANTINE",IF(OR(ISNUMBER(SEARCH("treasury",LOWER(F634&amp;" "&amp;H634&amp;" "&amp;I634&amp;" "&amp;M634&amp;" "&amp;N634&amp;" "&amp;T634))),ISNUMBER(SEARCH("debt",LOWER(F634&amp;" "&amp;H634&amp;" "&amp;I634&amp;" "&amp;M634&amp;" "&amp;N634&amp;" "&amp;T634))),ISNUMBER(SEARCH("bond",LOWER(F634&amp;" "&amp;H634&amp;" "&amp;I634&amp;" "&amp;M634&amp;" "&amp;N634&amp;" "&amp;T634))),ISNUMBER(SEARCH("transaction",LOWER(F634&amp;" "&amp;H634&amp;" "&amp;I634&amp;" "&amp;M634&amp;" "&amp;N634&amp;" "&amp;T634)))),"PRIVATE_REVIEW","PUBLIC_CANDIDATE"))</x:f>
        <x:v>PUBLIC_CANDIDATE</x:v>
      </x:c>
      <x:c r="AD634" s="12" t="str">
        <x:f>IF(AC634="PRIVATE_QUARANTINE","hacker_or_bank_trigger",IF(AC634="PRIVATE_REVIEW","finance_risk_trigger","none"))</x:f>
        <x:v>none</x:v>
      </x:c>
      <x:c r="AE634" s="12" t="str">
        <x:f>IF(AC634="PUBLIC_CANDIDATE","prepare_public_github_candidate",IF(AC634="PRIVATE_REVIEW","hold_for_private_review","quarantine_private_do_not_publish"))</x:f>
        <x:v>prepare_public_github_candidate</x:v>
      </x:c>
      <x:c r="AF634" s="12" t="str">
        <x:f>IF(AC634="PUBLIC_CANDIDATE","TIDELOCK + Lucerna",IF(AC634="PRIVATE_REVIEW","AtlasBrain + Lucerna","TIDELOCK + Lucerna + Human-root"))</x:f>
        <x:v>TIDELOCK + Lucerna</x:v>
      </x:c>
      <x:c r="AG634" s="12" t="str">
        <x:f>IF(AND(AC634="PUBLIC_CANDIDATE",U634&lt;&gt;"BLOCKED_PENDING_RECEIPT"),"READY_AFTER_RECEIPT","NOT_READY")</x:f>
        <x:v>NOT_READY</x:v>
      </x:c>
      <x:c r="AH634" s="12" t="str">
        <x:f>IF(AC634="PUBLIC_CANDIDATE","none",AD634)</x:f>
        <x:v>none</x:v>
      </x:c>
      <x:c r="AI634" s="12" t="str">
        <x:f>IF(AC634="PUBLIC_CANDIDATE","archive/public_candidates/"&amp;A634,"private_quarantine/"&amp;A634)</x:f>
        <x:v>archive/public_candidates/SWARM-05-H05-S09</x:v>
      </x:c>
      <x:c r="AJ634" s="12" t="str">
        <x:f>IF(AC634="PUBLIC_CANDIDATE","public by default; still not canon","private/hold; do not publish")</x:f>
        <x:v>public by default; still not canon</x:v>
      </x:c>
      <x:c r="AK634" s="12" t="str">
        <x:f>IF(AE634="prepare_public_github_candidate","add receipt/status then mirror","resolve blocker before any public GitHub action")</x:f>
        <x:v>add receipt/status then mirror</x:v>
      </x:c>
    </x:row>
    <x:row r="635">
      <x:c r="A635" s="15" t="str">
        <x:v>SWARM-05-H05-S10</x:v>
      </x:c>
      <x:c r="B635" s="15" t="str">
        <x:v>Rootglass</x:v>
      </x:c>
      <x:c r="C635" s="15" t="str">
        <x:v>Canon gate mirror</x:v>
      </x:c>
      <x:c r="D635" s="15" t="str">
        <x:v>Contradiction Mapping</x:v>
      </x:c>
      <x:c r="E635" s="15" t="str">
        <x:v>Human-Root</x:v>
      </x:c>
      <x:c r="F635" s="15" t="str">
        <x:v>Map contradictions in Human-Root — Rootglass</x:v>
      </x:c>
      <x:c r="G635" s="15" t="str">
        <x:v>authority boundaries / ratification packets</x:v>
      </x:c>
      <x:c r="H635" s="15" t="str">
        <x:v>source path + receipt + raw/export status + claim/edge/risk delta</x:v>
      </x:c>
      <x:c r="I635" s="15" t="str">
        <x:v>packet/SWARM-05-H05-S10</x:v>
      </x:c>
      <x:c r="J635" s="15" t="str">
        <x:v>TODO</x:v>
      </x:c>
      <x:c r="K635" s="15" t="str">
        <x:v>P2</x:v>
      </x:c>
      <x:c r="L635" s="15" t="str">
        <x:v>Done only when evidence is logged, contradiction search is noted, and boundary stamp remains non-canon unless ratified</x:v>
      </x:c>
      <x:c r="M635" s="15" t="str">
        <x:v>candidate / staging-only / not canon / not deployed / authority none</x:v>
      </x:c>
      <x:c r="N635" s="15" t="str">
        <x:v>Dispatch to Rootglass: complete Contradiction Mapping x Human-Root; return deltas only, receipts required.</x:v>
      </x:c>
      <x:c r="O635" s="15" t="str">
        <x:v>AF-KG-H05-S10</x:v>
      </x:c>
      <x:c r="P635" s="15" t="str">
        <x:v>Unverified</x:v>
      </x:c>
      <x:c r="Q635" s="15" t="str">
        <x:v>Not checked</x:v>
      </x:c>
      <x:c r="R635" s="15" t="str"/>
      <x:c r="S635" s="15" t="str"/>
      <x:c r="T635" s="15" t="str">
        <x:v>Log first source path or blocker</x:v>
      </x:c>
      <x:c r="U635" s="12" t="str">
        <x:f>IF(OR(P635="Unverified",Q635="Not checked"),"BLOCKED_PENDING_RECEIPT","READY_FOR_REVIEW")</x:f>
        <x:v>BLOCKED_PENDING_RECEIPT</x:v>
      </x:c>
      <x:c r="V635" s="12" t="str">
        <x:f>IF(J635="DONE","RETURNED",IF(U635="BLOCKED_PENDING_RECEIPT","SOURCE_TOUCH_REQUIRED","IN_PROGRESS"))</x:f>
        <x:v>SOURCE_TOUCH_REQUIRED</x:v>
      </x:c>
      <x:c r="W635" s="12" t="str">
        <x:f>IF(P635="Unverified","missing_receipt","receipt_logged")</x:f>
        <x:v>missing_receipt</x:v>
      </x:c>
      <x:c r="X635" s="12" t="str">
        <x:f>IF(Q635="Not checked","raw_status_missing","raw_status_logged")</x:f>
        <x:v>raw_status_missing</x:v>
      </x:c>
      <x:c r="Y635" s="12" t="str">
        <x:f>IF(U635="BLOCKED_PENDING_RECEIPT","Log source path or blocker; do not promote","Route to review lane")</x:f>
        <x:v>Log source path or blocker; do not promote</x:v>
      </x:c>
      <x:c r="Z635" s="12" t="str">
        <x:f>IF(K635="P0","Primary seat + Hashlight/Lucerna","Seat lane")</x:f>
        <x:v>Seat lane</x:v>
      </x:c>
      <x:c r="AA635" s="12" t="str">
        <x:f>IF(R635="","no_claim_delta","claim_delta_present")</x:f>
        <x:v>no_claim_delta</x:v>
      </x:c>
      <x:c r="AB635" s="12" t="str">
        <x:f>IF(S635="","no_contradiction_delta","contradiction_delta_present")</x:f>
        <x:v>no_contradiction_delta</x:v>
      </x:c>
      <x:c r="AC635" s="12" t="str">
        <x:f>IF(OR(ISNUMBER(SEARCH("hacker",LOWER(F635&amp;" "&amp;H635&amp;" "&amp;I635&amp;" "&amp;M635&amp;" "&amp;N635&amp;" "&amp;T635))),ISNUMBER(SEARCH("hacking",LOWER(F635&amp;" "&amp;H635&amp;" "&amp;I635&amp;" "&amp;M635&amp;" "&amp;N635&amp;" "&amp;T635))),ISNUMBER(SEARCH("bank",LOWER(F635&amp;" "&amp;H635&amp;" "&amp;I635&amp;" "&amp;M635&amp;" "&amp;N635&amp;" "&amp;T635))),ISNUMBER(SEARCH("banking",LOWER(F635&amp;" "&amp;H635&amp;" "&amp;I635&amp;" "&amp;M635&amp;" "&amp;N635&amp;" "&amp;T635)))),"PRIVATE_QUARANTINE",IF(OR(ISNUMBER(SEARCH("treasury",LOWER(F635&amp;" "&amp;H635&amp;" "&amp;I635&amp;" "&amp;M635&amp;" "&amp;N635&amp;" "&amp;T635))),ISNUMBER(SEARCH("debt",LOWER(F635&amp;" "&amp;H635&amp;" "&amp;I635&amp;" "&amp;M635&amp;" "&amp;N635&amp;" "&amp;T635))),ISNUMBER(SEARCH("bond",LOWER(F635&amp;" "&amp;H635&amp;" "&amp;I635&amp;" "&amp;M635&amp;" "&amp;N635&amp;" "&amp;T635))),ISNUMBER(SEARCH("transaction",LOWER(F635&amp;" "&amp;H635&amp;" "&amp;I635&amp;" "&amp;M635&amp;" "&amp;N635&amp;" "&amp;T635)))),"PRIVATE_REVIEW","PUBLIC_CANDIDATE"))</x:f>
        <x:v>PUBLIC_CANDIDATE</x:v>
      </x:c>
      <x:c r="AD635" s="12" t="str">
        <x:f>IF(AC635="PRIVATE_QUARANTINE","hacker_or_bank_trigger",IF(AC635="PRIVATE_REVIEW","finance_risk_trigger","none"))</x:f>
        <x:v>none</x:v>
      </x:c>
      <x:c r="AE635" s="12" t="str">
        <x:f>IF(AC635="PUBLIC_CANDIDATE","prepare_public_github_candidate",IF(AC635="PRIVATE_REVIEW","hold_for_private_review","quarantine_private_do_not_publish"))</x:f>
        <x:v>prepare_public_github_candidate</x:v>
      </x:c>
      <x:c r="AF635" s="12" t="str">
        <x:f>IF(AC635="PUBLIC_CANDIDATE","TIDELOCK + Lucerna",IF(AC635="PRIVATE_REVIEW","AtlasBrain + Lucerna","TIDELOCK + Lucerna + Human-root"))</x:f>
        <x:v>TIDELOCK + Lucerna</x:v>
      </x:c>
      <x:c r="AG635" s="12" t="str">
        <x:f>IF(AND(AC635="PUBLIC_CANDIDATE",U635&lt;&gt;"BLOCKED_PENDING_RECEIPT"),"READY_AFTER_RECEIPT","NOT_READY")</x:f>
        <x:v>NOT_READY</x:v>
      </x:c>
      <x:c r="AH635" s="12" t="str">
        <x:f>IF(AC635="PUBLIC_CANDIDATE","none",AD635)</x:f>
        <x:v>none</x:v>
      </x:c>
      <x:c r="AI635" s="12" t="str">
        <x:f>IF(AC635="PUBLIC_CANDIDATE","archive/public_candidates/"&amp;A635,"private_quarantine/"&amp;A635)</x:f>
        <x:v>archive/public_candidates/SWARM-05-H05-S10</x:v>
      </x:c>
      <x:c r="AJ635" s="12" t="str">
        <x:f>IF(AC635="PUBLIC_CANDIDATE","public by default; still not canon","private/hold; do not publish")</x:f>
        <x:v>public by default; still not canon</x:v>
      </x:c>
      <x:c r="AK635" s="12" t="str">
        <x:f>IF(AE635="prepare_public_github_candidate","add receipt/status then mirror","resolve blocker before any public GitHub action")</x:f>
        <x:v>add receipt/status then mirror</x:v>
      </x:c>
    </x:row>
    <x:row r="636">
      <x:c r="A636" s="15" t="str">
        <x:v>SWARM-05-H05-S11</x:v>
      </x:c>
      <x:c r="B636" s="15" t="str">
        <x:v>Rootglass</x:v>
      </x:c>
      <x:c r="C636" s="15" t="str">
        <x:v>Canon gate mirror</x:v>
      </x:c>
      <x:c r="D636" s="15" t="str">
        <x:v>Contradiction Mapping</x:v>
      </x:c>
      <x:c r="E636" s="15" t="str">
        <x:v>Automation</x:v>
      </x:c>
      <x:c r="F636" s="15" t="str">
        <x:v>Map contradictions in Automation — Rootglass</x:v>
      </x:c>
      <x:c r="G636" s="15" t="str">
        <x:v>authority boundaries / ratification packets</x:v>
      </x:c>
      <x:c r="H636" s="15" t="str">
        <x:v>source path + receipt + raw/export status + claim/edge/risk delta</x:v>
      </x:c>
      <x:c r="I636" s="15" t="str">
        <x:v>packet/SWARM-05-H05-S11</x:v>
      </x:c>
      <x:c r="J636" s="15" t="str">
        <x:v>TODO</x:v>
      </x:c>
      <x:c r="K636" s="15" t="str">
        <x:v>P2</x:v>
      </x:c>
      <x:c r="L636" s="15" t="str">
        <x:v>Done only when evidence is logged, contradiction search is noted, and boundary stamp remains non-canon unless ratified</x:v>
      </x:c>
      <x:c r="M636" s="15" t="str">
        <x:v>candidate / staging-only / not canon / not deployed / authority none</x:v>
      </x:c>
      <x:c r="N636" s="15" t="str">
        <x:v>Dispatch to Rootglass: complete Contradiction Mapping x Automation; return deltas only, receipts required.</x:v>
      </x:c>
      <x:c r="O636" s="15" t="str">
        <x:v>AF-KG-H05-S11</x:v>
      </x:c>
      <x:c r="P636" s="15" t="str">
        <x:v>Unverified</x:v>
      </x:c>
      <x:c r="Q636" s="15" t="str">
        <x:v>Not checked</x:v>
      </x:c>
      <x:c r="R636" s="15" t="str"/>
      <x:c r="S636" s="15" t="str"/>
      <x:c r="T636" s="15" t="str">
        <x:v>Log first source path or blocker</x:v>
      </x:c>
      <x:c r="U636" s="12" t="str">
        <x:f>IF(OR(P636="Unverified",Q636="Not checked"),"BLOCKED_PENDING_RECEIPT","READY_FOR_REVIEW")</x:f>
        <x:v>BLOCKED_PENDING_RECEIPT</x:v>
      </x:c>
      <x:c r="V636" s="12" t="str">
        <x:f>IF(J636="DONE","RETURNED",IF(U636="BLOCKED_PENDING_RECEIPT","SOURCE_TOUCH_REQUIRED","IN_PROGRESS"))</x:f>
        <x:v>SOURCE_TOUCH_REQUIRED</x:v>
      </x:c>
      <x:c r="W636" s="12" t="str">
        <x:f>IF(P636="Unverified","missing_receipt","receipt_logged")</x:f>
        <x:v>missing_receipt</x:v>
      </x:c>
      <x:c r="X636" s="12" t="str">
        <x:f>IF(Q636="Not checked","raw_status_missing","raw_status_logged")</x:f>
        <x:v>raw_status_missing</x:v>
      </x:c>
      <x:c r="Y636" s="12" t="str">
        <x:f>IF(U636="BLOCKED_PENDING_RECEIPT","Log source path or blocker; do not promote","Route to review lane")</x:f>
        <x:v>Log source path or blocker; do not promote</x:v>
      </x:c>
      <x:c r="Z636" s="12" t="str">
        <x:f>IF(K636="P0","Primary seat + Hashlight/Lucerna","Seat lane")</x:f>
        <x:v>Seat lane</x:v>
      </x:c>
      <x:c r="AA636" s="12" t="str">
        <x:f>IF(R636="","no_claim_delta","claim_delta_present")</x:f>
        <x:v>no_claim_delta</x:v>
      </x:c>
      <x:c r="AB636" s="12" t="str">
        <x:f>IF(S636="","no_contradiction_delta","contradiction_delta_present")</x:f>
        <x:v>no_contradiction_delta</x:v>
      </x:c>
      <x:c r="AC636" s="12" t="str">
        <x:f>IF(OR(ISNUMBER(SEARCH("hacker",LOWER(F636&amp;" "&amp;H636&amp;" "&amp;I636&amp;" "&amp;M636&amp;" "&amp;N636&amp;" "&amp;T636))),ISNUMBER(SEARCH("hacking",LOWER(F636&amp;" "&amp;H636&amp;" "&amp;I636&amp;" "&amp;M636&amp;" "&amp;N636&amp;" "&amp;T636))),ISNUMBER(SEARCH("bank",LOWER(F636&amp;" "&amp;H636&amp;" "&amp;I636&amp;" "&amp;M636&amp;" "&amp;N636&amp;" "&amp;T636))),ISNUMBER(SEARCH("banking",LOWER(F636&amp;" "&amp;H636&amp;" "&amp;I636&amp;" "&amp;M636&amp;" "&amp;N636&amp;" "&amp;T636)))),"PRIVATE_QUARANTINE",IF(OR(ISNUMBER(SEARCH("treasury",LOWER(F636&amp;" "&amp;H636&amp;" "&amp;I636&amp;" "&amp;M636&amp;" "&amp;N636&amp;" "&amp;T636))),ISNUMBER(SEARCH("debt",LOWER(F636&amp;" "&amp;H636&amp;" "&amp;I636&amp;" "&amp;M636&amp;" "&amp;N636&amp;" "&amp;T636))),ISNUMBER(SEARCH("bond",LOWER(F636&amp;" "&amp;H636&amp;" "&amp;I636&amp;" "&amp;M636&amp;" "&amp;N636&amp;" "&amp;T636))),ISNUMBER(SEARCH("transaction",LOWER(F636&amp;" "&amp;H636&amp;" "&amp;I636&amp;" "&amp;M636&amp;" "&amp;N636&amp;" "&amp;T636)))),"PRIVATE_REVIEW","PUBLIC_CANDIDATE"))</x:f>
        <x:v>PUBLIC_CANDIDATE</x:v>
      </x:c>
      <x:c r="AD636" s="12" t="str">
        <x:f>IF(AC636="PRIVATE_QUARANTINE","hacker_or_bank_trigger",IF(AC636="PRIVATE_REVIEW","finance_risk_trigger","none"))</x:f>
        <x:v>none</x:v>
      </x:c>
      <x:c r="AE636" s="12" t="str">
        <x:f>IF(AC636="PUBLIC_CANDIDATE","prepare_public_github_candidate",IF(AC636="PRIVATE_REVIEW","hold_for_private_review","quarantine_private_do_not_publish"))</x:f>
        <x:v>prepare_public_github_candidate</x:v>
      </x:c>
      <x:c r="AF636" s="12" t="str">
        <x:f>IF(AC636="PUBLIC_CANDIDATE","TIDELOCK + Lucerna",IF(AC636="PRIVATE_REVIEW","AtlasBrain + Lucerna","TIDELOCK + Lucerna + Human-root"))</x:f>
        <x:v>TIDELOCK + Lucerna</x:v>
      </x:c>
      <x:c r="AG636" s="12" t="str">
        <x:f>IF(AND(AC636="PUBLIC_CANDIDATE",U636&lt;&gt;"BLOCKED_PENDING_RECEIPT"),"READY_AFTER_RECEIPT","NOT_READY")</x:f>
        <x:v>NOT_READY</x:v>
      </x:c>
      <x:c r="AH636" s="12" t="str">
        <x:f>IF(AC636="PUBLIC_CANDIDATE","none",AD636)</x:f>
        <x:v>none</x:v>
      </x:c>
      <x:c r="AI636" s="12" t="str">
        <x:f>IF(AC636="PUBLIC_CANDIDATE","archive/public_candidates/"&amp;A636,"private_quarantine/"&amp;A636)</x:f>
        <x:v>archive/public_candidates/SWARM-05-H05-S11</x:v>
      </x:c>
      <x:c r="AJ636" s="12" t="str">
        <x:f>IF(AC636="PUBLIC_CANDIDATE","public by default; still not canon","private/hold; do not publish")</x:f>
        <x:v>public by default; still not canon</x:v>
      </x:c>
      <x:c r="AK636" s="12" t="str">
        <x:f>IF(AE636="prepare_public_github_candidate","add receipt/status then mirror","resolve blocker before any public GitHub action")</x:f>
        <x:v>add receipt/status then mirror</x:v>
      </x:c>
    </x:row>
    <x:row r="637">
      <x:c r="A637" s="15" t="str">
        <x:v>SWARM-05-H05-S12</x:v>
      </x:c>
      <x:c r="B637" s="15" t="str">
        <x:v>Rootglass</x:v>
      </x:c>
      <x:c r="C637" s="15" t="str">
        <x:v>Canon gate mirror</x:v>
      </x:c>
      <x:c r="D637" s="15" t="str">
        <x:v>Contradiction Mapping</x:v>
      </x:c>
      <x:c r="E637" s="15" t="str">
        <x:v>Risk / Safety</x:v>
      </x:c>
      <x:c r="F637" s="15" t="str">
        <x:v>Map contradictions in Risk / Safety — Rootglass</x:v>
      </x:c>
      <x:c r="G637" s="15" t="str">
        <x:v>authority boundaries / ratification packets</x:v>
      </x:c>
      <x:c r="H637" s="15" t="str">
        <x:v>source path + receipt + raw/export status + claim/edge/risk delta</x:v>
      </x:c>
      <x:c r="I637" s="15" t="str">
        <x:v>packet/SWARM-05-H05-S12</x:v>
      </x:c>
      <x:c r="J637" s="15" t="str">
        <x:v>TODO</x:v>
      </x:c>
      <x:c r="K637" s="15" t="str">
        <x:v>P2</x:v>
      </x:c>
      <x:c r="L637" s="15" t="str">
        <x:v>Done only when evidence is logged, contradiction search is noted, and boundary stamp remains non-canon unless ratified</x:v>
      </x:c>
      <x:c r="M637" s="15" t="str">
        <x:v>candidate / staging-only / not canon / not deployed / authority none</x:v>
      </x:c>
      <x:c r="N637" s="15" t="str">
        <x:v>Dispatch to Rootglass: complete Contradiction Mapping x Risk / Safety; return deltas only, receipts required.</x:v>
      </x:c>
      <x:c r="O637" s="15" t="str">
        <x:v>AF-KG-H05-S12</x:v>
      </x:c>
      <x:c r="P637" s="15" t="str">
        <x:v>Unverified</x:v>
      </x:c>
      <x:c r="Q637" s="15" t="str">
        <x:v>Not checked</x:v>
      </x:c>
      <x:c r="R637" s="15" t="str"/>
      <x:c r="S637" s="15" t="str"/>
      <x:c r="T637" s="15" t="str">
        <x:v>Log first source path or blocker</x:v>
      </x:c>
      <x:c r="U637" s="12" t="str">
        <x:f>IF(OR(P637="Unverified",Q637="Not checked"),"BLOCKED_PENDING_RECEIPT","READY_FOR_REVIEW")</x:f>
        <x:v>BLOCKED_PENDING_RECEIPT</x:v>
      </x:c>
      <x:c r="V637" s="12" t="str">
        <x:f>IF(J637="DONE","RETURNED",IF(U637="BLOCKED_PENDING_RECEIPT","SOURCE_TOUCH_REQUIRED","IN_PROGRESS"))</x:f>
        <x:v>SOURCE_TOUCH_REQUIRED</x:v>
      </x:c>
      <x:c r="W637" s="12" t="str">
        <x:f>IF(P637="Unverified","missing_receipt","receipt_logged")</x:f>
        <x:v>missing_receipt</x:v>
      </x:c>
      <x:c r="X637" s="12" t="str">
        <x:f>IF(Q637="Not checked","raw_status_missing","raw_status_logged")</x:f>
        <x:v>raw_status_missing</x:v>
      </x:c>
      <x:c r="Y637" s="12" t="str">
        <x:f>IF(U637="BLOCKED_PENDING_RECEIPT","Log source path or blocker; do not promote","Route to review lane")</x:f>
        <x:v>Log source path or blocker; do not promote</x:v>
      </x:c>
      <x:c r="Z637" s="12" t="str">
        <x:f>IF(K637="P0","Primary seat + Hashlight/Lucerna","Seat lane")</x:f>
        <x:v>Seat lane</x:v>
      </x:c>
      <x:c r="AA637" s="12" t="str">
        <x:f>IF(R637="","no_claim_delta","claim_delta_present")</x:f>
        <x:v>no_claim_delta</x:v>
      </x:c>
      <x:c r="AB637" s="12" t="str">
        <x:f>IF(S637="","no_contradiction_delta","contradiction_delta_present")</x:f>
        <x:v>no_contradiction_delta</x:v>
      </x:c>
      <x:c r="AC637" s="12" t="str">
        <x:f>IF(OR(ISNUMBER(SEARCH("hacker",LOWER(F637&amp;" "&amp;H637&amp;" "&amp;I637&amp;" "&amp;M637&amp;" "&amp;N637&amp;" "&amp;T637))),ISNUMBER(SEARCH("hacking",LOWER(F637&amp;" "&amp;H637&amp;" "&amp;I637&amp;" "&amp;M637&amp;" "&amp;N637&amp;" "&amp;T637))),ISNUMBER(SEARCH("bank",LOWER(F637&amp;" "&amp;H637&amp;" "&amp;I637&amp;" "&amp;M637&amp;" "&amp;N637&amp;" "&amp;T637))),ISNUMBER(SEARCH("banking",LOWER(F637&amp;" "&amp;H637&amp;" "&amp;I637&amp;" "&amp;M637&amp;" "&amp;N637&amp;" "&amp;T637)))),"PRIVATE_QUARANTINE",IF(OR(ISNUMBER(SEARCH("treasury",LOWER(F637&amp;" "&amp;H637&amp;" "&amp;I637&amp;" "&amp;M637&amp;" "&amp;N637&amp;" "&amp;T637))),ISNUMBER(SEARCH("debt",LOWER(F637&amp;" "&amp;H637&amp;" "&amp;I637&amp;" "&amp;M637&amp;" "&amp;N637&amp;" "&amp;T637))),ISNUMBER(SEARCH("bond",LOWER(F637&amp;" "&amp;H637&amp;" "&amp;I637&amp;" "&amp;M637&amp;" "&amp;N637&amp;" "&amp;T637))),ISNUMBER(SEARCH("transaction",LOWER(F637&amp;" "&amp;H637&amp;" "&amp;I637&amp;" "&amp;M637&amp;" "&amp;N637&amp;" "&amp;T637)))),"PRIVATE_REVIEW","PUBLIC_CANDIDATE"))</x:f>
        <x:v>PUBLIC_CANDIDATE</x:v>
      </x:c>
      <x:c r="AD637" s="12" t="str">
        <x:f>IF(AC637="PRIVATE_QUARANTINE","hacker_or_bank_trigger",IF(AC637="PRIVATE_REVIEW","finance_risk_trigger","none"))</x:f>
        <x:v>none</x:v>
      </x:c>
      <x:c r="AE637" s="12" t="str">
        <x:f>IF(AC637="PUBLIC_CANDIDATE","prepare_public_github_candidate",IF(AC637="PRIVATE_REVIEW","hold_for_private_review","quarantine_private_do_not_publish"))</x:f>
        <x:v>prepare_public_github_candidate</x:v>
      </x:c>
      <x:c r="AF637" s="12" t="str">
        <x:f>IF(AC637="PUBLIC_CANDIDATE","TIDELOCK + Lucerna",IF(AC637="PRIVATE_REVIEW","AtlasBrain + Lucerna","TIDELOCK + Lucerna + Human-root"))</x:f>
        <x:v>TIDELOCK + Lucerna</x:v>
      </x:c>
      <x:c r="AG637" s="12" t="str">
        <x:f>IF(AND(AC637="PUBLIC_CANDIDATE",U637&lt;&gt;"BLOCKED_PENDING_RECEIPT"),"READY_AFTER_RECEIPT","NOT_READY")</x:f>
        <x:v>NOT_READY</x:v>
      </x:c>
      <x:c r="AH637" s="12" t="str">
        <x:f>IF(AC637="PUBLIC_CANDIDATE","none",AD637)</x:f>
        <x:v>none</x:v>
      </x:c>
      <x:c r="AI637" s="12" t="str">
        <x:f>IF(AC637="PUBLIC_CANDIDATE","archive/public_candidates/"&amp;A637,"private_quarantine/"&amp;A637)</x:f>
        <x:v>archive/public_candidates/SWARM-05-H05-S12</x:v>
      </x:c>
      <x:c r="AJ637" s="12" t="str">
        <x:f>IF(AC637="PUBLIC_CANDIDATE","public by default; still not canon","private/hold; do not publish")</x:f>
        <x:v>public by default; still not canon</x:v>
      </x:c>
      <x:c r="AK637" s="12" t="str">
        <x:f>IF(AE637="prepare_public_github_candidate","add receipt/status then mirror","resolve blocker before any public GitHub action")</x:f>
        <x:v>add receipt/status then mirror</x:v>
      </x:c>
    </x:row>
    <x:row r="638">
      <x:c r="A638" s="15" t="str">
        <x:v>SWARM-05-H06-S01</x:v>
      </x:c>
      <x:c r="B638" s="15" t="str">
        <x:v>Rootglass</x:v>
      </x:c>
      <x:c r="C638" s="15" t="str">
        <x:v>Canon gate mirror</x:v>
      </x:c>
      <x:c r="D638" s="15" t="str">
        <x:v>Ontology / Schema</x:v>
      </x:c>
      <x:c r="E638" s="15" t="str">
        <x:v>Notion</x:v>
      </x:c>
      <x:c r="F638" s="15" t="str">
        <x:v>Schema-map Notion — Rootglass</x:v>
      </x:c>
      <x:c r="G638" s="15" t="str">
        <x:v>authority boundaries / ratification packets</x:v>
      </x:c>
      <x:c r="H638" s="15" t="str">
        <x:v>source path + receipt + raw/export status + claim/edge/risk delta</x:v>
      </x:c>
      <x:c r="I638" s="15" t="str">
        <x:v>packet/SWARM-05-H06-S01</x:v>
      </x:c>
      <x:c r="J638" s="15" t="str">
        <x:v>TODO</x:v>
      </x:c>
      <x:c r="K638" s="15" t="str">
        <x:v>P0</x:v>
      </x:c>
      <x:c r="L638" s="15" t="str">
        <x:v>Done only when evidence is logged, contradiction search is noted, and boundary stamp remains non-canon unless ratified</x:v>
      </x:c>
      <x:c r="M638" s="15" t="str">
        <x:v>candidate / staging-only / not canon / not deployed / authority none</x:v>
      </x:c>
      <x:c r="N638" s="15" t="str">
        <x:v>Dispatch to Rootglass: complete Ontology / Schema x Notion; return deltas only, receipts required.</x:v>
      </x:c>
      <x:c r="O638" s="15" t="str">
        <x:v>AF-KG-H06-S01</x:v>
      </x:c>
      <x:c r="P638" s="15" t="str">
        <x:v>Unverified</x:v>
      </x:c>
      <x:c r="Q638" s="15" t="str">
        <x:v>Not checked</x:v>
      </x:c>
      <x:c r="R638" s="15" t="str"/>
      <x:c r="S638" s="15" t="str"/>
      <x:c r="T638" s="15" t="str">
        <x:v>Log first source path or blocker</x:v>
      </x:c>
      <x:c r="U638" s="12" t="str">
        <x:f>IF(OR(P638="Unverified",Q638="Not checked"),"BLOCKED_PENDING_RECEIPT","READY_FOR_REVIEW")</x:f>
        <x:v>BLOCKED_PENDING_RECEIPT</x:v>
      </x:c>
      <x:c r="V638" s="12" t="str">
        <x:f>IF(J638="DONE","RETURNED",IF(U638="BLOCKED_PENDING_RECEIPT","SOURCE_TOUCH_REQUIRED","IN_PROGRESS"))</x:f>
        <x:v>SOURCE_TOUCH_REQUIRED</x:v>
      </x:c>
      <x:c r="W638" s="12" t="str">
        <x:f>IF(P638="Unverified","missing_receipt","receipt_logged")</x:f>
        <x:v>missing_receipt</x:v>
      </x:c>
      <x:c r="X638" s="12" t="str">
        <x:f>IF(Q638="Not checked","raw_status_missing","raw_status_logged")</x:f>
        <x:v>raw_status_missing</x:v>
      </x:c>
      <x:c r="Y638" s="12" t="str">
        <x:f>IF(U638="BLOCKED_PENDING_RECEIPT","Log source path or blocker; do not promote","Route to review lane")</x:f>
        <x:v>Log source path or blocker; do not promote</x:v>
      </x:c>
      <x:c r="Z638" s="12" t="str">
        <x:f>IF(K638="P0","Primary seat + Hashlight/Lucerna","Seat lane")</x:f>
        <x:v>Primary seat + Hashlight/Lucerna</x:v>
      </x:c>
      <x:c r="AA638" s="12" t="str">
        <x:f>IF(R638="","no_claim_delta","claim_delta_present")</x:f>
        <x:v>no_claim_delta</x:v>
      </x:c>
      <x:c r="AB638" s="12" t="str">
        <x:f>IF(S638="","no_contradiction_delta","contradiction_delta_present")</x:f>
        <x:v>no_contradiction_delta</x:v>
      </x:c>
      <x:c r="AC638" s="12" t="str">
        <x:f>IF(OR(ISNUMBER(SEARCH("hacker",LOWER(F638&amp;" "&amp;H638&amp;" "&amp;I638&amp;" "&amp;M638&amp;" "&amp;N638&amp;" "&amp;T638))),ISNUMBER(SEARCH("hacking",LOWER(F638&amp;" "&amp;H638&amp;" "&amp;I638&amp;" "&amp;M638&amp;" "&amp;N638&amp;" "&amp;T638))),ISNUMBER(SEARCH("bank",LOWER(F638&amp;" "&amp;H638&amp;" "&amp;I638&amp;" "&amp;M638&amp;" "&amp;N638&amp;" "&amp;T638))),ISNUMBER(SEARCH("banking",LOWER(F638&amp;" "&amp;H638&amp;" "&amp;I638&amp;" "&amp;M638&amp;" "&amp;N638&amp;" "&amp;T638)))),"PRIVATE_QUARANTINE",IF(OR(ISNUMBER(SEARCH("treasury",LOWER(F638&amp;" "&amp;H638&amp;" "&amp;I638&amp;" "&amp;M638&amp;" "&amp;N638&amp;" "&amp;T638))),ISNUMBER(SEARCH("debt",LOWER(F638&amp;" "&amp;H638&amp;" "&amp;I638&amp;" "&amp;M638&amp;" "&amp;N638&amp;" "&amp;T638))),ISNUMBER(SEARCH("bond",LOWER(F638&amp;" "&amp;H638&amp;" "&amp;I638&amp;" "&amp;M638&amp;" "&amp;N638&amp;" "&amp;T638))),ISNUMBER(SEARCH("transaction",LOWER(F638&amp;" "&amp;H638&amp;" "&amp;I638&amp;" "&amp;M638&amp;" "&amp;N638&amp;" "&amp;T638)))),"PRIVATE_REVIEW","PUBLIC_CANDIDATE"))</x:f>
        <x:v>PUBLIC_CANDIDATE</x:v>
      </x:c>
      <x:c r="AD638" s="12" t="str">
        <x:f>IF(AC638="PRIVATE_QUARANTINE","hacker_or_bank_trigger",IF(AC638="PRIVATE_REVIEW","finance_risk_trigger","none"))</x:f>
        <x:v>none</x:v>
      </x:c>
      <x:c r="AE638" s="12" t="str">
        <x:f>IF(AC638="PUBLIC_CANDIDATE","prepare_public_github_candidate",IF(AC638="PRIVATE_REVIEW","hold_for_private_review","quarantine_private_do_not_publish"))</x:f>
        <x:v>prepare_public_github_candidate</x:v>
      </x:c>
      <x:c r="AF638" s="12" t="str">
        <x:f>IF(AC638="PUBLIC_CANDIDATE","TIDELOCK + Lucerna",IF(AC638="PRIVATE_REVIEW","AtlasBrain + Lucerna","TIDELOCK + Lucerna + Human-root"))</x:f>
        <x:v>TIDELOCK + Lucerna</x:v>
      </x:c>
      <x:c r="AG638" s="12" t="str">
        <x:f>IF(AND(AC638="PUBLIC_CANDIDATE",U638&lt;&gt;"BLOCKED_PENDING_RECEIPT"),"READY_AFTER_RECEIPT","NOT_READY")</x:f>
        <x:v>NOT_READY</x:v>
      </x:c>
      <x:c r="AH638" s="12" t="str">
        <x:f>IF(AC638="PUBLIC_CANDIDATE","none",AD638)</x:f>
        <x:v>none</x:v>
      </x:c>
      <x:c r="AI638" s="12" t="str">
        <x:f>IF(AC638="PUBLIC_CANDIDATE","archive/public_candidates/"&amp;A638,"private_quarantine/"&amp;A638)</x:f>
        <x:v>archive/public_candidates/SWARM-05-H06-S01</x:v>
      </x:c>
      <x:c r="AJ638" s="12" t="str">
        <x:f>IF(AC638="PUBLIC_CANDIDATE","public by default; still not canon","private/hold; do not publish")</x:f>
        <x:v>public by default; still not canon</x:v>
      </x:c>
      <x:c r="AK638" s="12" t="str">
        <x:f>IF(AE638="prepare_public_github_candidate","add receipt/status then mirror","resolve blocker before any public GitHub action")</x:f>
        <x:v>add receipt/status then mirror</x:v>
      </x:c>
    </x:row>
    <x:row r="639">
      <x:c r="A639" s="15" t="str">
        <x:v>SWARM-05-H06-S02</x:v>
      </x:c>
      <x:c r="B639" s="15" t="str">
        <x:v>Rootglass</x:v>
      </x:c>
      <x:c r="C639" s="15" t="str">
        <x:v>Canon gate mirror</x:v>
      </x:c>
      <x:c r="D639" s="15" t="str">
        <x:v>Ontology / Schema</x:v>
      </x:c>
      <x:c r="E639" s="15" t="str">
        <x:v>Drive</x:v>
      </x:c>
      <x:c r="F639" s="15" t="str">
        <x:v>Schema-map Drive — Rootglass</x:v>
      </x:c>
      <x:c r="G639" s="15" t="str">
        <x:v>authority boundaries / ratification packets</x:v>
      </x:c>
      <x:c r="H639" s="15" t="str">
        <x:v>source path + receipt + raw/export status + claim/edge/risk delta</x:v>
      </x:c>
      <x:c r="I639" s="15" t="str">
        <x:v>packet/SWARM-05-H06-S02</x:v>
      </x:c>
      <x:c r="J639" s="15" t="str">
        <x:v>TODO</x:v>
      </x:c>
      <x:c r="K639" s="15" t="str">
        <x:v>P0</x:v>
      </x:c>
      <x:c r="L639" s="15" t="str">
        <x:v>Done only when evidence is logged, contradiction search is noted, and boundary stamp remains non-canon unless ratified</x:v>
      </x:c>
      <x:c r="M639" s="15" t="str">
        <x:v>candidate / staging-only / not canon / not deployed / authority none</x:v>
      </x:c>
      <x:c r="N639" s="15" t="str">
        <x:v>Dispatch to Rootglass: complete Ontology / Schema x Drive; return deltas only, receipts required.</x:v>
      </x:c>
      <x:c r="O639" s="15" t="str">
        <x:v>AF-KG-H06-S02</x:v>
      </x:c>
      <x:c r="P639" s="15" t="str">
        <x:v>Unverified</x:v>
      </x:c>
      <x:c r="Q639" s="15" t="str">
        <x:v>Not checked</x:v>
      </x:c>
      <x:c r="R639" s="15" t="str"/>
      <x:c r="S639" s="15" t="str"/>
      <x:c r="T639" s="15" t="str">
        <x:v>Log first source path or blocker</x:v>
      </x:c>
      <x:c r="U639" s="12" t="str">
        <x:f>IF(OR(P639="Unverified",Q639="Not checked"),"BLOCKED_PENDING_RECEIPT","READY_FOR_REVIEW")</x:f>
        <x:v>BLOCKED_PENDING_RECEIPT</x:v>
      </x:c>
      <x:c r="V639" s="12" t="str">
        <x:f>IF(J639="DONE","RETURNED",IF(U639="BLOCKED_PENDING_RECEIPT","SOURCE_TOUCH_REQUIRED","IN_PROGRESS"))</x:f>
        <x:v>SOURCE_TOUCH_REQUIRED</x:v>
      </x:c>
      <x:c r="W639" s="12" t="str">
        <x:f>IF(P639="Unverified","missing_receipt","receipt_logged")</x:f>
        <x:v>missing_receipt</x:v>
      </x:c>
      <x:c r="X639" s="12" t="str">
        <x:f>IF(Q639="Not checked","raw_status_missing","raw_status_logged")</x:f>
        <x:v>raw_status_missing</x:v>
      </x:c>
      <x:c r="Y639" s="12" t="str">
        <x:f>IF(U639="BLOCKED_PENDING_RECEIPT","Log source path or blocker; do not promote","Route to review lane")</x:f>
        <x:v>Log source path or blocker; do not promote</x:v>
      </x:c>
      <x:c r="Z639" s="12" t="str">
        <x:f>IF(K639="P0","Primary seat + Hashlight/Lucerna","Seat lane")</x:f>
        <x:v>Primary seat + Hashlight/Lucerna</x:v>
      </x:c>
      <x:c r="AA639" s="12" t="str">
        <x:f>IF(R639="","no_claim_delta","claim_delta_present")</x:f>
        <x:v>no_claim_delta</x:v>
      </x:c>
      <x:c r="AB639" s="12" t="str">
        <x:f>IF(S639="","no_contradiction_delta","contradiction_delta_present")</x:f>
        <x:v>no_contradiction_delta</x:v>
      </x:c>
      <x:c r="AC639" s="12" t="str">
        <x:f>IF(OR(ISNUMBER(SEARCH("hacker",LOWER(F639&amp;" "&amp;H639&amp;" "&amp;I639&amp;" "&amp;M639&amp;" "&amp;N639&amp;" "&amp;T639))),ISNUMBER(SEARCH("hacking",LOWER(F639&amp;" "&amp;H639&amp;" "&amp;I639&amp;" "&amp;M639&amp;" "&amp;N639&amp;" "&amp;T639))),ISNUMBER(SEARCH("bank",LOWER(F639&amp;" "&amp;H639&amp;" "&amp;I639&amp;" "&amp;M639&amp;" "&amp;N639&amp;" "&amp;T639))),ISNUMBER(SEARCH("banking",LOWER(F639&amp;" "&amp;H639&amp;" "&amp;I639&amp;" "&amp;M639&amp;" "&amp;N639&amp;" "&amp;T639)))),"PRIVATE_QUARANTINE",IF(OR(ISNUMBER(SEARCH("treasury",LOWER(F639&amp;" "&amp;H639&amp;" "&amp;I639&amp;" "&amp;M639&amp;" "&amp;N639&amp;" "&amp;T639))),ISNUMBER(SEARCH("debt",LOWER(F639&amp;" "&amp;H639&amp;" "&amp;I639&amp;" "&amp;M639&amp;" "&amp;N639&amp;" "&amp;T639))),ISNUMBER(SEARCH("bond",LOWER(F639&amp;" "&amp;H639&amp;" "&amp;I639&amp;" "&amp;M639&amp;" "&amp;N639&amp;" "&amp;T639))),ISNUMBER(SEARCH("transaction",LOWER(F639&amp;" "&amp;H639&amp;" "&amp;I639&amp;" "&amp;M639&amp;" "&amp;N639&amp;" "&amp;T639)))),"PRIVATE_REVIEW","PUBLIC_CANDIDATE"))</x:f>
        <x:v>PUBLIC_CANDIDATE</x:v>
      </x:c>
      <x:c r="AD639" s="12" t="str">
        <x:f>IF(AC639="PRIVATE_QUARANTINE","hacker_or_bank_trigger",IF(AC639="PRIVATE_REVIEW","finance_risk_trigger","none"))</x:f>
        <x:v>none</x:v>
      </x:c>
      <x:c r="AE639" s="12" t="str">
        <x:f>IF(AC639="PUBLIC_CANDIDATE","prepare_public_github_candidate",IF(AC639="PRIVATE_REVIEW","hold_for_private_review","quarantine_private_do_not_publish"))</x:f>
        <x:v>prepare_public_github_candidate</x:v>
      </x:c>
      <x:c r="AF639" s="12" t="str">
        <x:f>IF(AC639="PUBLIC_CANDIDATE","TIDELOCK + Lucerna",IF(AC639="PRIVATE_REVIEW","AtlasBrain + Lucerna","TIDELOCK + Lucerna + Human-root"))</x:f>
        <x:v>TIDELOCK + Lucerna</x:v>
      </x:c>
      <x:c r="AG639" s="12" t="str">
        <x:f>IF(AND(AC639="PUBLIC_CANDIDATE",U639&lt;&gt;"BLOCKED_PENDING_RECEIPT"),"READY_AFTER_RECEIPT","NOT_READY")</x:f>
        <x:v>NOT_READY</x:v>
      </x:c>
      <x:c r="AH639" s="12" t="str">
        <x:f>IF(AC639="PUBLIC_CANDIDATE","none",AD639)</x:f>
        <x:v>none</x:v>
      </x:c>
      <x:c r="AI639" s="12" t="str">
        <x:f>IF(AC639="PUBLIC_CANDIDATE","archive/public_candidates/"&amp;A639,"private_quarantine/"&amp;A639)</x:f>
        <x:v>archive/public_candidates/SWARM-05-H06-S02</x:v>
      </x:c>
      <x:c r="AJ639" s="12" t="str">
        <x:f>IF(AC639="PUBLIC_CANDIDATE","public by default; still not canon","private/hold; do not publish")</x:f>
        <x:v>public by default; still not canon</x:v>
      </x:c>
      <x:c r="AK639" s="12" t="str">
        <x:f>IF(AE639="prepare_public_github_candidate","add receipt/status then mirror","resolve blocker before any public GitHub action")</x:f>
        <x:v>add receipt/status then mirror</x:v>
      </x:c>
    </x:row>
    <x:row r="640">
      <x:c r="A640" s="15" t="str">
        <x:v>SWARM-05-H06-S03</x:v>
      </x:c>
      <x:c r="B640" s="15" t="str">
        <x:v>Rootglass</x:v>
      </x:c>
      <x:c r="C640" s="15" t="str">
        <x:v>Canon gate mirror</x:v>
      </x:c>
      <x:c r="D640" s="15" t="str">
        <x:v>Ontology / Schema</x:v>
      </x:c>
      <x:c r="E640" s="15" t="str">
        <x:v>GitHub</x:v>
      </x:c>
      <x:c r="F640" s="15" t="str">
        <x:v>Schema-map GitHub — Rootglass</x:v>
      </x:c>
      <x:c r="G640" s="15" t="str">
        <x:v>authority boundaries / ratification packets</x:v>
      </x:c>
      <x:c r="H640" s="15" t="str">
        <x:v>source path + receipt + raw/export status + claim/edge/risk delta</x:v>
      </x:c>
      <x:c r="I640" s="15" t="str">
        <x:v>packet/SWARM-05-H06-S03</x:v>
      </x:c>
      <x:c r="J640" s="15" t="str">
        <x:v>TODO</x:v>
      </x:c>
      <x:c r="K640" s="15" t="str">
        <x:v>P0</x:v>
      </x:c>
      <x:c r="L640" s="15" t="str">
        <x:v>Done only when evidence is logged, contradiction search is noted, and boundary stamp remains non-canon unless ratified</x:v>
      </x:c>
      <x:c r="M640" s="15" t="str">
        <x:v>candidate / staging-only / not canon / not deployed / authority none</x:v>
      </x:c>
      <x:c r="N640" s="15" t="str">
        <x:v>Dispatch to Rootglass: complete Ontology / Schema x GitHub; return deltas only, receipts required.</x:v>
      </x:c>
      <x:c r="O640" s="15" t="str">
        <x:v>AF-KG-H06-S03</x:v>
      </x:c>
      <x:c r="P640" s="15" t="str">
        <x:v>Unverified</x:v>
      </x:c>
      <x:c r="Q640" s="15" t="str">
        <x:v>Not checked</x:v>
      </x:c>
      <x:c r="R640" s="15" t="str"/>
      <x:c r="S640" s="15" t="str"/>
      <x:c r="T640" s="15" t="str">
        <x:v>Log first source path or blocker</x:v>
      </x:c>
      <x:c r="U640" s="12" t="str">
        <x:f>IF(OR(P640="Unverified",Q640="Not checked"),"BLOCKED_PENDING_RECEIPT","READY_FOR_REVIEW")</x:f>
        <x:v>BLOCKED_PENDING_RECEIPT</x:v>
      </x:c>
      <x:c r="V640" s="12" t="str">
        <x:f>IF(J640="DONE","RETURNED",IF(U640="BLOCKED_PENDING_RECEIPT","SOURCE_TOUCH_REQUIRED","IN_PROGRESS"))</x:f>
        <x:v>SOURCE_TOUCH_REQUIRED</x:v>
      </x:c>
      <x:c r="W640" s="12" t="str">
        <x:f>IF(P640="Unverified","missing_receipt","receipt_logged")</x:f>
        <x:v>missing_receipt</x:v>
      </x:c>
      <x:c r="X640" s="12" t="str">
        <x:f>IF(Q640="Not checked","raw_status_missing","raw_status_logged")</x:f>
        <x:v>raw_status_missing</x:v>
      </x:c>
      <x:c r="Y640" s="12" t="str">
        <x:f>IF(U640="BLOCKED_PENDING_RECEIPT","Log source path or blocker; do not promote","Route to review lane")</x:f>
        <x:v>Log source path or blocker; do not promote</x:v>
      </x:c>
      <x:c r="Z640" s="12" t="str">
        <x:f>IF(K640="P0","Primary seat + Hashlight/Lucerna","Seat lane")</x:f>
        <x:v>Primary seat + Hashlight/Lucerna</x:v>
      </x:c>
      <x:c r="AA640" s="12" t="str">
        <x:f>IF(R640="","no_claim_delta","claim_delta_present")</x:f>
        <x:v>no_claim_delta</x:v>
      </x:c>
      <x:c r="AB640" s="12" t="str">
        <x:f>IF(S640="","no_contradiction_delta","contradiction_delta_present")</x:f>
        <x:v>no_contradiction_delta</x:v>
      </x:c>
      <x:c r="AC640" s="12" t="str">
        <x:f>IF(OR(ISNUMBER(SEARCH("hacker",LOWER(F640&amp;" "&amp;H640&amp;" "&amp;I640&amp;" "&amp;M640&amp;" "&amp;N640&amp;" "&amp;T640))),ISNUMBER(SEARCH("hacking",LOWER(F640&amp;" "&amp;H640&amp;" "&amp;I640&amp;" "&amp;M640&amp;" "&amp;N640&amp;" "&amp;T640))),ISNUMBER(SEARCH("bank",LOWER(F640&amp;" "&amp;H640&amp;" "&amp;I640&amp;" "&amp;M640&amp;" "&amp;N640&amp;" "&amp;T640))),ISNUMBER(SEARCH("banking",LOWER(F640&amp;" "&amp;H640&amp;" "&amp;I640&amp;" "&amp;M640&amp;" "&amp;N640&amp;" "&amp;T640)))),"PRIVATE_QUARANTINE",IF(OR(ISNUMBER(SEARCH("treasury",LOWER(F640&amp;" "&amp;H640&amp;" "&amp;I640&amp;" "&amp;M640&amp;" "&amp;N640&amp;" "&amp;T640))),ISNUMBER(SEARCH("debt",LOWER(F640&amp;" "&amp;H640&amp;" "&amp;I640&amp;" "&amp;M640&amp;" "&amp;N640&amp;" "&amp;T640))),ISNUMBER(SEARCH("bond",LOWER(F640&amp;" "&amp;H640&amp;" "&amp;I640&amp;" "&amp;M640&amp;" "&amp;N640&amp;" "&amp;T640))),ISNUMBER(SEARCH("transaction",LOWER(F640&amp;" "&amp;H640&amp;" "&amp;I640&amp;" "&amp;M640&amp;" "&amp;N640&amp;" "&amp;T640)))),"PRIVATE_REVIEW","PUBLIC_CANDIDATE"))</x:f>
        <x:v>PUBLIC_CANDIDATE</x:v>
      </x:c>
      <x:c r="AD640" s="12" t="str">
        <x:f>IF(AC640="PRIVATE_QUARANTINE","hacker_or_bank_trigger",IF(AC640="PRIVATE_REVIEW","finance_risk_trigger","none"))</x:f>
        <x:v>none</x:v>
      </x:c>
      <x:c r="AE640" s="12" t="str">
        <x:f>IF(AC640="PUBLIC_CANDIDATE","prepare_public_github_candidate",IF(AC640="PRIVATE_REVIEW","hold_for_private_review","quarantine_private_do_not_publish"))</x:f>
        <x:v>prepare_public_github_candidate</x:v>
      </x:c>
      <x:c r="AF640" s="12" t="str">
        <x:f>IF(AC640="PUBLIC_CANDIDATE","TIDELOCK + Lucerna",IF(AC640="PRIVATE_REVIEW","AtlasBrain + Lucerna","TIDELOCK + Lucerna + Human-root"))</x:f>
        <x:v>TIDELOCK + Lucerna</x:v>
      </x:c>
      <x:c r="AG640" s="12" t="str">
        <x:f>IF(AND(AC640="PUBLIC_CANDIDATE",U640&lt;&gt;"BLOCKED_PENDING_RECEIPT"),"READY_AFTER_RECEIPT","NOT_READY")</x:f>
        <x:v>NOT_READY</x:v>
      </x:c>
      <x:c r="AH640" s="12" t="str">
        <x:f>IF(AC640="PUBLIC_CANDIDATE","none",AD640)</x:f>
        <x:v>none</x:v>
      </x:c>
      <x:c r="AI640" s="12" t="str">
        <x:f>IF(AC640="PUBLIC_CANDIDATE","archive/public_candidates/"&amp;A640,"private_quarantine/"&amp;A640)</x:f>
        <x:v>archive/public_candidates/SWARM-05-H06-S03</x:v>
      </x:c>
      <x:c r="AJ640" s="12" t="str">
        <x:f>IF(AC640="PUBLIC_CANDIDATE","public by default; still not canon","private/hold; do not publish")</x:f>
        <x:v>public by default; still not canon</x:v>
      </x:c>
      <x:c r="AK640" s="12" t="str">
        <x:f>IF(AE640="prepare_public_github_candidate","add receipt/status then mirror","resolve blocker before any public GitHub action")</x:f>
        <x:v>add receipt/status then mirror</x:v>
      </x:c>
    </x:row>
    <x:row r="641">
      <x:c r="A641" s="15" t="str">
        <x:v>SWARM-05-H06-S04</x:v>
      </x:c>
      <x:c r="B641" s="15" t="str">
        <x:v>Rootglass</x:v>
      </x:c>
      <x:c r="C641" s="15" t="str">
        <x:v>Canon gate mirror</x:v>
      </x:c>
      <x:c r="D641" s="15" t="str">
        <x:v>Ontology / Schema</x:v>
      </x:c>
      <x:c r="E641" s="15" t="str">
        <x:v>Gamma</x:v>
      </x:c>
      <x:c r="F641" s="15" t="str">
        <x:v>Schema-map Gamma — Rootglass</x:v>
      </x:c>
      <x:c r="G641" s="15" t="str">
        <x:v>authority boundaries / ratification packets</x:v>
      </x:c>
      <x:c r="H641" s="15" t="str">
        <x:v>source path + receipt + raw/export status + claim/edge/risk delta</x:v>
      </x:c>
      <x:c r="I641" s="15" t="str">
        <x:v>packet/SWARM-05-H06-S04</x:v>
      </x:c>
      <x:c r="J641" s="15" t="str">
        <x:v>TODO</x:v>
      </x:c>
      <x:c r="K641" s="15" t="str">
        <x:v>P1</x:v>
      </x:c>
      <x:c r="L641" s="15" t="str">
        <x:v>Done only when evidence is logged, contradiction search is noted, and boundary stamp remains non-canon unless ratified</x:v>
      </x:c>
      <x:c r="M641" s="15" t="str">
        <x:v>candidate / staging-only / not canon / not deployed / authority none</x:v>
      </x:c>
      <x:c r="N641" s="15" t="str">
        <x:v>Dispatch to Rootglass: complete Ontology / Schema x Gamma; return deltas only, receipts required.</x:v>
      </x:c>
      <x:c r="O641" s="15" t="str">
        <x:v>AF-KG-H06-S04</x:v>
      </x:c>
      <x:c r="P641" s="15" t="str">
        <x:v>Unverified</x:v>
      </x:c>
      <x:c r="Q641" s="15" t="str">
        <x:v>Not checked</x:v>
      </x:c>
      <x:c r="R641" s="15" t="str"/>
      <x:c r="S641" s="15" t="str"/>
      <x:c r="T641" s="15" t="str">
        <x:v>Log first source path or blocker</x:v>
      </x:c>
      <x:c r="U641" s="12" t="str">
        <x:f>IF(OR(P641="Unverified",Q641="Not checked"),"BLOCKED_PENDING_RECEIPT","READY_FOR_REVIEW")</x:f>
        <x:v>BLOCKED_PENDING_RECEIPT</x:v>
      </x:c>
      <x:c r="V641" s="12" t="str">
        <x:f>IF(J641="DONE","RETURNED",IF(U641="BLOCKED_PENDING_RECEIPT","SOURCE_TOUCH_REQUIRED","IN_PROGRESS"))</x:f>
        <x:v>SOURCE_TOUCH_REQUIRED</x:v>
      </x:c>
      <x:c r="W641" s="12" t="str">
        <x:f>IF(P641="Unverified","missing_receipt","receipt_logged")</x:f>
        <x:v>missing_receipt</x:v>
      </x:c>
      <x:c r="X641" s="12" t="str">
        <x:f>IF(Q641="Not checked","raw_status_missing","raw_status_logged")</x:f>
        <x:v>raw_status_missing</x:v>
      </x:c>
      <x:c r="Y641" s="12" t="str">
        <x:f>IF(U641="BLOCKED_PENDING_RECEIPT","Log source path or blocker; do not promote","Route to review lane")</x:f>
        <x:v>Log source path or blocker; do not promote</x:v>
      </x:c>
      <x:c r="Z641" s="12" t="str">
        <x:f>IF(K641="P0","Primary seat + Hashlight/Lucerna","Seat lane")</x:f>
        <x:v>Seat lane</x:v>
      </x:c>
      <x:c r="AA641" s="12" t="str">
        <x:f>IF(R641="","no_claim_delta","claim_delta_present")</x:f>
        <x:v>no_claim_delta</x:v>
      </x:c>
      <x:c r="AB641" s="12" t="str">
        <x:f>IF(S641="","no_contradiction_delta","contradiction_delta_present")</x:f>
        <x:v>no_contradiction_delta</x:v>
      </x:c>
      <x:c r="AC641" s="12" t="str">
        <x:f>IF(OR(ISNUMBER(SEARCH("hacker",LOWER(F641&amp;" "&amp;H641&amp;" "&amp;I641&amp;" "&amp;M641&amp;" "&amp;N641&amp;" "&amp;T641))),ISNUMBER(SEARCH("hacking",LOWER(F641&amp;" "&amp;H641&amp;" "&amp;I641&amp;" "&amp;M641&amp;" "&amp;N641&amp;" "&amp;T641))),ISNUMBER(SEARCH("bank",LOWER(F641&amp;" "&amp;H641&amp;" "&amp;I641&amp;" "&amp;M641&amp;" "&amp;N641&amp;" "&amp;T641))),ISNUMBER(SEARCH("banking",LOWER(F641&amp;" "&amp;H641&amp;" "&amp;I641&amp;" "&amp;M641&amp;" "&amp;N641&amp;" "&amp;T641)))),"PRIVATE_QUARANTINE",IF(OR(ISNUMBER(SEARCH("treasury",LOWER(F641&amp;" "&amp;H641&amp;" "&amp;I641&amp;" "&amp;M641&amp;" "&amp;N641&amp;" "&amp;T641))),ISNUMBER(SEARCH("debt",LOWER(F641&amp;" "&amp;H641&amp;" "&amp;I641&amp;" "&amp;M641&amp;" "&amp;N641&amp;" "&amp;T641))),ISNUMBER(SEARCH("bond",LOWER(F641&amp;" "&amp;H641&amp;" "&amp;I641&amp;" "&amp;M641&amp;" "&amp;N641&amp;" "&amp;T641))),ISNUMBER(SEARCH("transaction",LOWER(F641&amp;" "&amp;H641&amp;" "&amp;I641&amp;" "&amp;M641&amp;" "&amp;N641&amp;" "&amp;T641)))),"PRIVATE_REVIEW","PUBLIC_CANDIDATE"))</x:f>
        <x:v>PUBLIC_CANDIDATE</x:v>
      </x:c>
      <x:c r="AD641" s="12" t="str">
        <x:f>IF(AC641="PRIVATE_QUARANTINE","hacker_or_bank_trigger",IF(AC641="PRIVATE_REVIEW","finance_risk_trigger","none"))</x:f>
        <x:v>none</x:v>
      </x:c>
      <x:c r="AE641" s="12" t="str">
        <x:f>IF(AC641="PUBLIC_CANDIDATE","prepare_public_github_candidate",IF(AC641="PRIVATE_REVIEW","hold_for_private_review","quarantine_private_do_not_publish"))</x:f>
        <x:v>prepare_public_github_candidate</x:v>
      </x:c>
      <x:c r="AF641" s="12" t="str">
        <x:f>IF(AC641="PUBLIC_CANDIDATE","TIDELOCK + Lucerna",IF(AC641="PRIVATE_REVIEW","AtlasBrain + Lucerna","TIDELOCK + Lucerna + Human-root"))</x:f>
        <x:v>TIDELOCK + Lucerna</x:v>
      </x:c>
      <x:c r="AG641" s="12" t="str">
        <x:f>IF(AND(AC641="PUBLIC_CANDIDATE",U641&lt;&gt;"BLOCKED_PENDING_RECEIPT"),"READY_AFTER_RECEIPT","NOT_READY")</x:f>
        <x:v>NOT_READY</x:v>
      </x:c>
      <x:c r="AH641" s="12" t="str">
        <x:f>IF(AC641="PUBLIC_CANDIDATE","none",AD641)</x:f>
        <x:v>none</x:v>
      </x:c>
      <x:c r="AI641" s="12" t="str">
        <x:f>IF(AC641="PUBLIC_CANDIDATE","archive/public_candidates/"&amp;A641,"private_quarantine/"&amp;A641)</x:f>
        <x:v>archive/public_candidates/SWARM-05-H06-S04</x:v>
      </x:c>
      <x:c r="AJ641" s="12" t="str">
        <x:f>IF(AC641="PUBLIC_CANDIDATE","public by default; still not canon","private/hold; do not publish")</x:f>
        <x:v>public by default; still not canon</x:v>
      </x:c>
      <x:c r="AK641" s="12" t="str">
        <x:f>IF(AE641="prepare_public_github_candidate","add receipt/status then mirror","resolve blocker before any public GitHub action")</x:f>
        <x:v>add receipt/status then mirror</x:v>
      </x:c>
    </x:row>
    <x:row r="642">
      <x:c r="A642" s="15" t="str">
        <x:v>SWARM-05-H06-S05</x:v>
      </x:c>
      <x:c r="B642" s="15" t="str">
        <x:v>Rootglass</x:v>
      </x:c>
      <x:c r="C642" s="15" t="str">
        <x:v>Canon gate mirror</x:v>
      </x:c>
      <x:c r="D642" s="15" t="str">
        <x:v>Ontology / Schema</x:v>
      </x:c>
      <x:c r="E642" s="15" t="str">
        <x:v>Chat</x:v>
      </x:c>
      <x:c r="F642" s="15" t="str">
        <x:v>Schema-map Chat — Rootglass</x:v>
      </x:c>
      <x:c r="G642" s="15" t="str">
        <x:v>authority boundaries / ratification packets</x:v>
      </x:c>
      <x:c r="H642" s="15" t="str">
        <x:v>source path + receipt + raw/export status + claim/edge/risk delta</x:v>
      </x:c>
      <x:c r="I642" s="15" t="str">
        <x:v>packet/SWARM-05-H06-S05</x:v>
      </x:c>
      <x:c r="J642" s="15" t="str">
        <x:v>TODO</x:v>
      </x:c>
      <x:c r="K642" s="15" t="str">
        <x:v>P1</x:v>
      </x:c>
      <x:c r="L642" s="15" t="str">
        <x:v>Done only when evidence is logged, contradiction search is noted, and boundary stamp remains non-canon unless ratified</x:v>
      </x:c>
      <x:c r="M642" s="15" t="str">
        <x:v>candidate / staging-only / not canon / not deployed / authority none</x:v>
      </x:c>
      <x:c r="N642" s="15" t="str">
        <x:v>Dispatch to Rootglass: complete Ontology / Schema x Chat; return deltas only, receipts required.</x:v>
      </x:c>
      <x:c r="O642" s="15" t="str">
        <x:v>AF-KG-H06-S05</x:v>
      </x:c>
      <x:c r="P642" s="15" t="str">
        <x:v>Unverified</x:v>
      </x:c>
      <x:c r="Q642" s="15" t="str">
        <x:v>Not checked</x:v>
      </x:c>
      <x:c r="R642" s="15" t="str"/>
      <x:c r="S642" s="15" t="str"/>
      <x:c r="T642" s="15" t="str">
        <x:v>Log first source path or blocker</x:v>
      </x:c>
      <x:c r="U642" s="12" t="str">
        <x:f>IF(OR(P642="Unverified",Q642="Not checked"),"BLOCKED_PENDING_RECEIPT","READY_FOR_REVIEW")</x:f>
        <x:v>BLOCKED_PENDING_RECEIPT</x:v>
      </x:c>
      <x:c r="V642" s="12" t="str">
        <x:f>IF(J642="DONE","RETURNED",IF(U642="BLOCKED_PENDING_RECEIPT","SOURCE_TOUCH_REQUIRED","IN_PROGRESS"))</x:f>
        <x:v>SOURCE_TOUCH_REQUIRED</x:v>
      </x:c>
      <x:c r="W642" s="12" t="str">
        <x:f>IF(P642="Unverified","missing_receipt","receipt_logged")</x:f>
        <x:v>missing_receipt</x:v>
      </x:c>
      <x:c r="X642" s="12" t="str">
        <x:f>IF(Q642="Not checked","raw_status_missing","raw_status_logged")</x:f>
        <x:v>raw_status_missing</x:v>
      </x:c>
      <x:c r="Y642" s="12" t="str">
        <x:f>IF(U642="BLOCKED_PENDING_RECEIPT","Log source path or blocker; do not promote","Route to review lane")</x:f>
        <x:v>Log source path or blocker; do not promote</x:v>
      </x:c>
      <x:c r="Z642" s="12" t="str">
        <x:f>IF(K642="P0","Primary seat + Hashlight/Lucerna","Seat lane")</x:f>
        <x:v>Seat lane</x:v>
      </x:c>
      <x:c r="AA642" s="12" t="str">
        <x:f>IF(R642="","no_claim_delta","claim_delta_present")</x:f>
        <x:v>no_claim_delta</x:v>
      </x:c>
      <x:c r="AB642" s="12" t="str">
        <x:f>IF(S642="","no_contradiction_delta","contradiction_delta_present")</x:f>
        <x:v>no_contradiction_delta</x:v>
      </x:c>
      <x:c r="AC642" s="12" t="str">
        <x:f>IF(OR(ISNUMBER(SEARCH("hacker",LOWER(F642&amp;" "&amp;H642&amp;" "&amp;I642&amp;" "&amp;M642&amp;" "&amp;N642&amp;" "&amp;T642))),ISNUMBER(SEARCH("hacking",LOWER(F642&amp;" "&amp;H642&amp;" "&amp;I642&amp;" "&amp;M642&amp;" "&amp;N642&amp;" "&amp;T642))),ISNUMBER(SEARCH("bank",LOWER(F642&amp;" "&amp;H642&amp;" "&amp;I642&amp;" "&amp;M642&amp;" "&amp;N642&amp;" "&amp;T642))),ISNUMBER(SEARCH("banking",LOWER(F642&amp;" "&amp;H642&amp;" "&amp;I642&amp;" "&amp;M642&amp;" "&amp;N642&amp;" "&amp;T642)))),"PRIVATE_QUARANTINE",IF(OR(ISNUMBER(SEARCH("treasury",LOWER(F642&amp;" "&amp;H642&amp;" "&amp;I642&amp;" "&amp;M642&amp;" "&amp;N642&amp;" "&amp;T642))),ISNUMBER(SEARCH("debt",LOWER(F642&amp;" "&amp;H642&amp;" "&amp;I642&amp;" "&amp;M642&amp;" "&amp;N642&amp;" "&amp;T642))),ISNUMBER(SEARCH("bond",LOWER(F642&amp;" "&amp;H642&amp;" "&amp;I642&amp;" "&amp;M642&amp;" "&amp;N642&amp;" "&amp;T642))),ISNUMBER(SEARCH("transaction",LOWER(F642&amp;" "&amp;H642&amp;" "&amp;I642&amp;" "&amp;M642&amp;" "&amp;N642&amp;" "&amp;T642)))),"PRIVATE_REVIEW","PUBLIC_CANDIDATE"))</x:f>
        <x:v>PUBLIC_CANDIDATE</x:v>
      </x:c>
      <x:c r="AD642" s="12" t="str">
        <x:f>IF(AC642="PRIVATE_QUARANTINE","hacker_or_bank_trigger",IF(AC642="PRIVATE_REVIEW","finance_risk_trigger","none"))</x:f>
        <x:v>none</x:v>
      </x:c>
      <x:c r="AE642" s="12" t="str">
        <x:f>IF(AC642="PUBLIC_CANDIDATE","prepare_public_github_candidate",IF(AC642="PRIVATE_REVIEW","hold_for_private_review","quarantine_private_do_not_publish"))</x:f>
        <x:v>prepare_public_github_candidate</x:v>
      </x:c>
      <x:c r="AF642" s="12" t="str">
        <x:f>IF(AC642="PUBLIC_CANDIDATE","TIDELOCK + Lucerna",IF(AC642="PRIVATE_REVIEW","AtlasBrain + Lucerna","TIDELOCK + Lucerna + Human-root"))</x:f>
        <x:v>TIDELOCK + Lucerna</x:v>
      </x:c>
      <x:c r="AG642" s="12" t="str">
        <x:f>IF(AND(AC642="PUBLIC_CANDIDATE",U642&lt;&gt;"BLOCKED_PENDING_RECEIPT"),"READY_AFTER_RECEIPT","NOT_READY")</x:f>
        <x:v>NOT_READY</x:v>
      </x:c>
      <x:c r="AH642" s="12" t="str">
        <x:f>IF(AC642="PUBLIC_CANDIDATE","none",AD642)</x:f>
        <x:v>none</x:v>
      </x:c>
      <x:c r="AI642" s="12" t="str">
        <x:f>IF(AC642="PUBLIC_CANDIDATE","archive/public_candidates/"&amp;A642,"private_quarantine/"&amp;A642)</x:f>
        <x:v>archive/public_candidates/SWARM-05-H06-S05</x:v>
      </x:c>
      <x:c r="AJ642" s="12" t="str">
        <x:f>IF(AC642="PUBLIC_CANDIDATE","public by default; still not canon","private/hold; do not publish")</x:f>
        <x:v>public by default; still not canon</x:v>
      </x:c>
      <x:c r="AK642" s="12" t="str">
        <x:f>IF(AE642="prepare_public_github_candidate","add receipt/status then mirror","resolve blocker before any public GitHub action")</x:f>
        <x:v>add receipt/status then mirror</x:v>
      </x:c>
    </x:row>
    <x:row r="643">
      <x:c r="A643" s="15" t="str">
        <x:v>SWARM-05-H06-S06</x:v>
      </x:c>
      <x:c r="B643" s="15" t="str">
        <x:v>Rootglass</x:v>
      </x:c>
      <x:c r="C643" s="15" t="str">
        <x:v>Canon gate mirror</x:v>
      </x:c>
      <x:c r="D643" s="15" t="str">
        <x:v>Ontology / Schema</x:v>
      </x:c>
      <x:c r="E643" s="15" t="str">
        <x:v>External Web</x:v>
      </x:c>
      <x:c r="F643" s="15" t="str">
        <x:v>Schema-map External Web — Rootglass</x:v>
      </x:c>
      <x:c r="G643" s="15" t="str">
        <x:v>authority boundaries / ratification packets</x:v>
      </x:c>
      <x:c r="H643" s="15" t="str">
        <x:v>source path + receipt + raw/export status + claim/edge/risk delta</x:v>
      </x:c>
      <x:c r="I643" s="15" t="str">
        <x:v>packet/SWARM-05-H06-S06</x:v>
      </x:c>
      <x:c r="J643" s="15" t="str">
        <x:v>TODO</x:v>
      </x:c>
      <x:c r="K643" s="15" t="str">
        <x:v>P1</x:v>
      </x:c>
      <x:c r="L643" s="15" t="str">
        <x:v>Done only when evidence is logged, contradiction search is noted, and boundary stamp remains non-canon unless ratified</x:v>
      </x:c>
      <x:c r="M643" s="15" t="str">
        <x:v>candidate / staging-only / not canon / not deployed / authority none</x:v>
      </x:c>
      <x:c r="N643" s="15" t="str">
        <x:v>Dispatch to Rootglass: complete Ontology / Schema x External Web; return deltas only, receipts required.</x:v>
      </x:c>
      <x:c r="O643" s="15" t="str">
        <x:v>AF-KG-H06-S06</x:v>
      </x:c>
      <x:c r="P643" s="15" t="str">
        <x:v>Unverified</x:v>
      </x:c>
      <x:c r="Q643" s="15" t="str">
        <x:v>Not checked</x:v>
      </x:c>
      <x:c r="R643" s="15" t="str"/>
      <x:c r="S643" s="15" t="str"/>
      <x:c r="T643" s="15" t="str">
        <x:v>Log first source path or blocker</x:v>
      </x:c>
      <x:c r="U643" s="12" t="str">
        <x:f>IF(OR(P643="Unverified",Q643="Not checked"),"BLOCKED_PENDING_RECEIPT","READY_FOR_REVIEW")</x:f>
        <x:v>BLOCKED_PENDING_RECEIPT</x:v>
      </x:c>
      <x:c r="V643" s="12" t="str">
        <x:f>IF(J643="DONE","RETURNED",IF(U643="BLOCKED_PENDING_RECEIPT","SOURCE_TOUCH_REQUIRED","IN_PROGRESS"))</x:f>
        <x:v>SOURCE_TOUCH_REQUIRED</x:v>
      </x:c>
      <x:c r="W643" s="12" t="str">
        <x:f>IF(P643="Unverified","missing_receipt","receipt_logged")</x:f>
        <x:v>missing_receipt</x:v>
      </x:c>
      <x:c r="X643" s="12" t="str">
        <x:f>IF(Q643="Not checked","raw_status_missing","raw_status_logged")</x:f>
        <x:v>raw_status_missing</x:v>
      </x:c>
      <x:c r="Y643" s="12" t="str">
        <x:f>IF(U643="BLOCKED_PENDING_RECEIPT","Log source path or blocker; do not promote","Route to review lane")</x:f>
        <x:v>Log source path or blocker; do not promote</x:v>
      </x:c>
      <x:c r="Z643" s="12" t="str">
        <x:f>IF(K643="P0","Primary seat + Hashlight/Lucerna","Seat lane")</x:f>
        <x:v>Seat lane</x:v>
      </x:c>
      <x:c r="AA643" s="12" t="str">
        <x:f>IF(R643="","no_claim_delta","claim_delta_present")</x:f>
        <x:v>no_claim_delta</x:v>
      </x:c>
      <x:c r="AB643" s="12" t="str">
        <x:f>IF(S643="","no_contradiction_delta","contradiction_delta_present")</x:f>
        <x:v>no_contradiction_delta</x:v>
      </x:c>
      <x:c r="AC643" s="12" t="str">
        <x:f>IF(OR(ISNUMBER(SEARCH("hacker",LOWER(F643&amp;" "&amp;H643&amp;" "&amp;I643&amp;" "&amp;M643&amp;" "&amp;N643&amp;" "&amp;T643))),ISNUMBER(SEARCH("hacking",LOWER(F643&amp;" "&amp;H643&amp;" "&amp;I643&amp;" "&amp;M643&amp;" "&amp;N643&amp;" "&amp;T643))),ISNUMBER(SEARCH("bank",LOWER(F643&amp;" "&amp;H643&amp;" "&amp;I643&amp;" "&amp;M643&amp;" "&amp;N643&amp;" "&amp;T643))),ISNUMBER(SEARCH("banking",LOWER(F643&amp;" "&amp;H643&amp;" "&amp;I643&amp;" "&amp;M643&amp;" "&amp;N643&amp;" "&amp;T643)))),"PRIVATE_QUARANTINE",IF(OR(ISNUMBER(SEARCH("treasury",LOWER(F643&amp;" "&amp;H643&amp;" "&amp;I643&amp;" "&amp;M643&amp;" "&amp;N643&amp;" "&amp;T643))),ISNUMBER(SEARCH("debt",LOWER(F643&amp;" "&amp;H643&amp;" "&amp;I643&amp;" "&amp;M643&amp;" "&amp;N643&amp;" "&amp;T643))),ISNUMBER(SEARCH("bond",LOWER(F643&amp;" "&amp;H643&amp;" "&amp;I643&amp;" "&amp;M643&amp;" "&amp;N643&amp;" "&amp;T643))),ISNUMBER(SEARCH("transaction",LOWER(F643&amp;" "&amp;H643&amp;" "&amp;I643&amp;" "&amp;M643&amp;" "&amp;N643&amp;" "&amp;T643)))),"PRIVATE_REVIEW","PUBLIC_CANDIDATE"))</x:f>
        <x:v>PUBLIC_CANDIDATE</x:v>
      </x:c>
      <x:c r="AD643" s="12" t="str">
        <x:f>IF(AC643="PRIVATE_QUARANTINE","hacker_or_bank_trigger",IF(AC643="PRIVATE_REVIEW","finance_risk_trigger","none"))</x:f>
        <x:v>none</x:v>
      </x:c>
      <x:c r="AE643" s="12" t="str">
        <x:f>IF(AC643="PUBLIC_CANDIDATE","prepare_public_github_candidate",IF(AC643="PRIVATE_REVIEW","hold_for_private_review","quarantine_private_do_not_publish"))</x:f>
        <x:v>prepare_public_github_candidate</x:v>
      </x:c>
      <x:c r="AF643" s="12" t="str">
        <x:f>IF(AC643="PUBLIC_CANDIDATE","TIDELOCK + Lucerna",IF(AC643="PRIVATE_REVIEW","AtlasBrain + Lucerna","TIDELOCK + Lucerna + Human-root"))</x:f>
        <x:v>TIDELOCK + Lucerna</x:v>
      </x:c>
      <x:c r="AG643" s="12" t="str">
        <x:f>IF(AND(AC643="PUBLIC_CANDIDATE",U643&lt;&gt;"BLOCKED_PENDING_RECEIPT"),"READY_AFTER_RECEIPT","NOT_READY")</x:f>
        <x:v>NOT_READY</x:v>
      </x:c>
      <x:c r="AH643" s="12" t="str">
        <x:f>IF(AC643="PUBLIC_CANDIDATE","none",AD643)</x:f>
        <x:v>none</x:v>
      </x:c>
      <x:c r="AI643" s="12" t="str">
        <x:f>IF(AC643="PUBLIC_CANDIDATE","archive/public_candidates/"&amp;A643,"private_quarantine/"&amp;A643)</x:f>
        <x:v>archive/public_candidates/SWARM-05-H06-S06</x:v>
      </x:c>
      <x:c r="AJ643" s="12" t="str">
        <x:f>IF(AC643="PUBLIC_CANDIDATE","public by default; still not canon","private/hold; do not publish")</x:f>
        <x:v>public by default; still not canon</x:v>
      </x:c>
      <x:c r="AK643" s="12" t="str">
        <x:f>IF(AE643="prepare_public_github_candidate","add receipt/status then mirror","resolve blocker before any public GitHub action")</x:f>
        <x:v>add receipt/status then mirror</x:v>
      </x:c>
    </x:row>
    <x:row r="644">
      <x:c r="A644" s="15" t="str">
        <x:v>SWARM-05-H06-S07</x:v>
      </x:c>
      <x:c r="B644" s="15" t="str">
        <x:v>Rootglass</x:v>
      </x:c>
      <x:c r="C644" s="15" t="str">
        <x:v>Canon gate mirror</x:v>
      </x:c>
      <x:c r="D644" s="15" t="str">
        <x:v>Ontology / Schema</x:v>
      </x:c>
      <x:c r="E644" s="15" t="str">
        <x:v>Planetarium</x:v>
      </x:c>
      <x:c r="F644" s="15" t="str">
        <x:v>Schema-map Planetarium — Rootglass</x:v>
      </x:c>
      <x:c r="G644" s="15" t="str">
        <x:v>authority boundaries / ratification packets</x:v>
      </x:c>
      <x:c r="H644" s="15" t="str">
        <x:v>source path + receipt + raw/export status + claim/edge/risk delta</x:v>
      </x:c>
      <x:c r="I644" s="15" t="str">
        <x:v>packet/SWARM-05-H06-S07</x:v>
      </x:c>
      <x:c r="J644" s="15" t="str">
        <x:v>TODO</x:v>
      </x:c>
      <x:c r="K644" s="15" t="str">
        <x:v>P1</x:v>
      </x:c>
      <x:c r="L644" s="15" t="str">
        <x:v>Done only when evidence is logged, contradiction search is noted, and boundary stamp remains non-canon unless ratified</x:v>
      </x:c>
      <x:c r="M644" s="15" t="str">
        <x:v>candidate / staging-only / not canon / not deployed / authority none</x:v>
      </x:c>
      <x:c r="N644" s="15" t="str">
        <x:v>Dispatch to Rootglass: complete Ontology / Schema x Planetarium; return deltas only, receipts required.</x:v>
      </x:c>
      <x:c r="O644" s="15" t="str">
        <x:v>AF-KG-H06-S07</x:v>
      </x:c>
      <x:c r="P644" s="15" t="str">
        <x:v>Unverified</x:v>
      </x:c>
      <x:c r="Q644" s="15" t="str">
        <x:v>Not checked</x:v>
      </x:c>
      <x:c r="R644" s="15" t="str"/>
      <x:c r="S644" s="15" t="str"/>
      <x:c r="T644" s="15" t="str">
        <x:v>Log first source path or blocker</x:v>
      </x:c>
      <x:c r="U644" s="12" t="str">
        <x:f>IF(OR(P644="Unverified",Q644="Not checked"),"BLOCKED_PENDING_RECEIPT","READY_FOR_REVIEW")</x:f>
        <x:v>BLOCKED_PENDING_RECEIPT</x:v>
      </x:c>
      <x:c r="V644" s="12" t="str">
        <x:f>IF(J644="DONE","RETURNED",IF(U644="BLOCKED_PENDING_RECEIPT","SOURCE_TOUCH_REQUIRED","IN_PROGRESS"))</x:f>
        <x:v>SOURCE_TOUCH_REQUIRED</x:v>
      </x:c>
      <x:c r="W644" s="12" t="str">
        <x:f>IF(P644="Unverified","missing_receipt","receipt_logged")</x:f>
        <x:v>missing_receipt</x:v>
      </x:c>
      <x:c r="X644" s="12" t="str">
        <x:f>IF(Q644="Not checked","raw_status_missing","raw_status_logged")</x:f>
        <x:v>raw_status_missing</x:v>
      </x:c>
      <x:c r="Y644" s="12" t="str">
        <x:f>IF(U644="BLOCKED_PENDING_RECEIPT","Log source path or blocker; do not promote","Route to review lane")</x:f>
        <x:v>Log source path or blocker; do not promote</x:v>
      </x:c>
      <x:c r="Z644" s="12" t="str">
        <x:f>IF(K644="P0","Primary seat + Hashlight/Lucerna","Seat lane")</x:f>
        <x:v>Seat lane</x:v>
      </x:c>
      <x:c r="AA644" s="12" t="str">
        <x:f>IF(R644="","no_claim_delta","claim_delta_present")</x:f>
        <x:v>no_claim_delta</x:v>
      </x:c>
      <x:c r="AB644" s="12" t="str">
        <x:f>IF(S644="","no_contradiction_delta","contradiction_delta_present")</x:f>
        <x:v>no_contradiction_delta</x:v>
      </x:c>
      <x:c r="AC644" s="12" t="str">
        <x:f>IF(OR(ISNUMBER(SEARCH("hacker",LOWER(F644&amp;" "&amp;H644&amp;" "&amp;I644&amp;" "&amp;M644&amp;" "&amp;N644&amp;" "&amp;T644))),ISNUMBER(SEARCH("hacking",LOWER(F644&amp;" "&amp;H644&amp;" "&amp;I644&amp;" "&amp;M644&amp;" "&amp;N644&amp;" "&amp;T644))),ISNUMBER(SEARCH("bank",LOWER(F644&amp;" "&amp;H644&amp;" "&amp;I644&amp;" "&amp;M644&amp;" "&amp;N644&amp;" "&amp;T644))),ISNUMBER(SEARCH("banking",LOWER(F644&amp;" "&amp;H644&amp;" "&amp;I644&amp;" "&amp;M644&amp;" "&amp;N644&amp;" "&amp;T644)))),"PRIVATE_QUARANTINE",IF(OR(ISNUMBER(SEARCH("treasury",LOWER(F644&amp;" "&amp;H644&amp;" "&amp;I644&amp;" "&amp;M644&amp;" "&amp;N644&amp;" "&amp;T644))),ISNUMBER(SEARCH("debt",LOWER(F644&amp;" "&amp;H644&amp;" "&amp;I644&amp;" "&amp;M644&amp;" "&amp;N644&amp;" "&amp;T644))),ISNUMBER(SEARCH("bond",LOWER(F644&amp;" "&amp;H644&amp;" "&amp;I644&amp;" "&amp;M644&amp;" "&amp;N644&amp;" "&amp;T644))),ISNUMBER(SEARCH("transaction",LOWER(F644&amp;" "&amp;H644&amp;" "&amp;I644&amp;" "&amp;M644&amp;" "&amp;N644&amp;" "&amp;T644)))),"PRIVATE_REVIEW","PUBLIC_CANDIDATE"))</x:f>
        <x:v>PUBLIC_CANDIDATE</x:v>
      </x:c>
      <x:c r="AD644" s="12" t="str">
        <x:f>IF(AC644="PRIVATE_QUARANTINE","hacker_or_bank_trigger",IF(AC644="PRIVATE_REVIEW","finance_risk_trigger","none"))</x:f>
        <x:v>none</x:v>
      </x:c>
      <x:c r="AE644" s="12" t="str">
        <x:f>IF(AC644="PUBLIC_CANDIDATE","prepare_public_github_candidate",IF(AC644="PRIVATE_REVIEW","hold_for_private_review","quarantine_private_do_not_publish"))</x:f>
        <x:v>prepare_public_github_candidate</x:v>
      </x:c>
      <x:c r="AF644" s="12" t="str">
        <x:f>IF(AC644="PUBLIC_CANDIDATE","TIDELOCK + Lucerna",IF(AC644="PRIVATE_REVIEW","AtlasBrain + Lucerna","TIDELOCK + Lucerna + Human-root"))</x:f>
        <x:v>TIDELOCK + Lucerna</x:v>
      </x:c>
      <x:c r="AG644" s="12" t="str">
        <x:f>IF(AND(AC644="PUBLIC_CANDIDATE",U644&lt;&gt;"BLOCKED_PENDING_RECEIPT"),"READY_AFTER_RECEIPT","NOT_READY")</x:f>
        <x:v>NOT_READY</x:v>
      </x:c>
      <x:c r="AH644" s="12" t="str">
        <x:f>IF(AC644="PUBLIC_CANDIDATE","none",AD644)</x:f>
        <x:v>none</x:v>
      </x:c>
      <x:c r="AI644" s="12" t="str">
        <x:f>IF(AC644="PUBLIC_CANDIDATE","archive/public_candidates/"&amp;A644,"private_quarantine/"&amp;A644)</x:f>
        <x:v>archive/public_candidates/SWARM-05-H06-S07</x:v>
      </x:c>
      <x:c r="AJ644" s="12" t="str">
        <x:f>IF(AC644="PUBLIC_CANDIDATE","public by default; still not canon","private/hold; do not publish")</x:f>
        <x:v>public by default; still not canon</x:v>
      </x:c>
      <x:c r="AK644" s="12" t="str">
        <x:f>IF(AE644="prepare_public_github_candidate","add receipt/status then mirror","resolve blocker before any public GitHub action")</x:f>
        <x:v>add receipt/status then mirror</x:v>
      </x:c>
    </x:row>
    <x:row r="645">
      <x:c r="A645" s="15" t="str">
        <x:v>SWARM-05-H06-S08</x:v>
      </x:c>
      <x:c r="B645" s="15" t="str">
        <x:v>Rootglass</x:v>
      </x:c>
      <x:c r="C645" s="15" t="str">
        <x:v>Canon gate mirror</x:v>
      </x:c>
      <x:c r="D645" s="15" t="str">
        <x:v>Ontology / Schema</x:v>
      </x:c>
      <x:c r="E645" s="15" t="str">
        <x:v>Sheldonbrain</x:v>
      </x:c>
      <x:c r="F645" s="15" t="str">
        <x:v>Schema-map Sheldonbrain — Rootglass</x:v>
      </x:c>
      <x:c r="G645" s="15" t="str">
        <x:v>authority boundaries / ratification packets</x:v>
      </x:c>
      <x:c r="H645" s="15" t="str">
        <x:v>source path + receipt + raw/export status + claim/edge/risk delta</x:v>
      </x:c>
      <x:c r="I645" s="15" t="str">
        <x:v>packet/SWARM-05-H06-S08</x:v>
      </x:c>
      <x:c r="J645" s="15" t="str">
        <x:v>TODO</x:v>
      </x:c>
      <x:c r="K645" s="15" t="str">
        <x:v>P1</x:v>
      </x:c>
      <x:c r="L645" s="15" t="str">
        <x:v>Done only when evidence is logged, contradiction search is noted, and boundary stamp remains non-canon unless ratified</x:v>
      </x:c>
      <x:c r="M645" s="15" t="str">
        <x:v>candidate / staging-only / not canon / not deployed / authority none</x:v>
      </x:c>
      <x:c r="N645" s="15" t="str">
        <x:v>Dispatch to Rootglass: complete Ontology / Schema x Sheldonbrain; return deltas only, receipts required.</x:v>
      </x:c>
      <x:c r="O645" s="15" t="str">
        <x:v>AF-KG-H06-S08</x:v>
      </x:c>
      <x:c r="P645" s="15" t="str">
        <x:v>Unverified</x:v>
      </x:c>
      <x:c r="Q645" s="15" t="str">
        <x:v>Not checked</x:v>
      </x:c>
      <x:c r="R645" s="15" t="str"/>
      <x:c r="S645" s="15" t="str"/>
      <x:c r="T645" s="15" t="str">
        <x:v>Log first source path or blocker</x:v>
      </x:c>
      <x:c r="U645" s="12" t="str">
        <x:f>IF(OR(P645="Unverified",Q645="Not checked"),"BLOCKED_PENDING_RECEIPT","READY_FOR_REVIEW")</x:f>
        <x:v>BLOCKED_PENDING_RECEIPT</x:v>
      </x:c>
      <x:c r="V645" s="12" t="str">
        <x:f>IF(J645="DONE","RETURNED",IF(U645="BLOCKED_PENDING_RECEIPT","SOURCE_TOUCH_REQUIRED","IN_PROGRESS"))</x:f>
        <x:v>SOURCE_TOUCH_REQUIRED</x:v>
      </x:c>
      <x:c r="W645" s="12" t="str">
        <x:f>IF(P645="Unverified","missing_receipt","receipt_logged")</x:f>
        <x:v>missing_receipt</x:v>
      </x:c>
      <x:c r="X645" s="12" t="str">
        <x:f>IF(Q645="Not checked","raw_status_missing","raw_status_logged")</x:f>
        <x:v>raw_status_missing</x:v>
      </x:c>
      <x:c r="Y645" s="12" t="str">
        <x:f>IF(U645="BLOCKED_PENDING_RECEIPT","Log source path or blocker; do not promote","Route to review lane")</x:f>
        <x:v>Log source path or blocker; do not promote</x:v>
      </x:c>
      <x:c r="Z645" s="12" t="str">
        <x:f>IF(K645="P0","Primary seat + Hashlight/Lucerna","Seat lane")</x:f>
        <x:v>Seat lane</x:v>
      </x:c>
      <x:c r="AA645" s="12" t="str">
        <x:f>IF(R645="","no_claim_delta","claim_delta_present")</x:f>
        <x:v>no_claim_delta</x:v>
      </x:c>
      <x:c r="AB645" s="12" t="str">
        <x:f>IF(S645="","no_contradiction_delta","contradiction_delta_present")</x:f>
        <x:v>no_contradiction_delta</x:v>
      </x:c>
      <x:c r="AC645" s="12" t="str">
        <x:f>IF(OR(ISNUMBER(SEARCH("hacker",LOWER(F645&amp;" "&amp;H645&amp;" "&amp;I645&amp;" "&amp;M645&amp;" "&amp;N645&amp;" "&amp;T645))),ISNUMBER(SEARCH("hacking",LOWER(F645&amp;" "&amp;H645&amp;" "&amp;I645&amp;" "&amp;M645&amp;" "&amp;N645&amp;" "&amp;T645))),ISNUMBER(SEARCH("bank",LOWER(F645&amp;" "&amp;H645&amp;" "&amp;I645&amp;" "&amp;M645&amp;" "&amp;N645&amp;" "&amp;T645))),ISNUMBER(SEARCH("banking",LOWER(F645&amp;" "&amp;H645&amp;" "&amp;I645&amp;" "&amp;M645&amp;" "&amp;N645&amp;" "&amp;T645)))),"PRIVATE_QUARANTINE",IF(OR(ISNUMBER(SEARCH("treasury",LOWER(F645&amp;" "&amp;H645&amp;" "&amp;I645&amp;" "&amp;M645&amp;" "&amp;N645&amp;" "&amp;T645))),ISNUMBER(SEARCH("debt",LOWER(F645&amp;" "&amp;H645&amp;" "&amp;I645&amp;" "&amp;M645&amp;" "&amp;N645&amp;" "&amp;T645))),ISNUMBER(SEARCH("bond",LOWER(F645&amp;" "&amp;H645&amp;" "&amp;I645&amp;" "&amp;M645&amp;" "&amp;N645&amp;" "&amp;T645))),ISNUMBER(SEARCH("transaction",LOWER(F645&amp;" "&amp;H645&amp;" "&amp;I645&amp;" "&amp;M645&amp;" "&amp;N645&amp;" "&amp;T645)))),"PRIVATE_REVIEW","PUBLIC_CANDIDATE"))</x:f>
        <x:v>PUBLIC_CANDIDATE</x:v>
      </x:c>
      <x:c r="AD645" s="12" t="str">
        <x:f>IF(AC645="PRIVATE_QUARANTINE","hacker_or_bank_trigger",IF(AC645="PRIVATE_REVIEW","finance_risk_trigger","none"))</x:f>
        <x:v>none</x:v>
      </x:c>
      <x:c r="AE645" s="12" t="str">
        <x:f>IF(AC645="PUBLIC_CANDIDATE","prepare_public_github_candidate",IF(AC645="PRIVATE_REVIEW","hold_for_private_review","quarantine_private_do_not_publish"))</x:f>
        <x:v>prepare_public_github_candidate</x:v>
      </x:c>
      <x:c r="AF645" s="12" t="str">
        <x:f>IF(AC645="PUBLIC_CANDIDATE","TIDELOCK + Lucerna",IF(AC645="PRIVATE_REVIEW","AtlasBrain + Lucerna","TIDELOCK + Lucerna + Human-root"))</x:f>
        <x:v>TIDELOCK + Lucerna</x:v>
      </x:c>
      <x:c r="AG645" s="12" t="str">
        <x:f>IF(AND(AC645="PUBLIC_CANDIDATE",U645&lt;&gt;"BLOCKED_PENDING_RECEIPT"),"READY_AFTER_RECEIPT","NOT_READY")</x:f>
        <x:v>NOT_READY</x:v>
      </x:c>
      <x:c r="AH645" s="12" t="str">
        <x:f>IF(AC645="PUBLIC_CANDIDATE","none",AD645)</x:f>
        <x:v>none</x:v>
      </x:c>
      <x:c r="AI645" s="12" t="str">
        <x:f>IF(AC645="PUBLIC_CANDIDATE","archive/public_candidates/"&amp;A645,"private_quarantine/"&amp;A645)</x:f>
        <x:v>archive/public_candidates/SWARM-05-H06-S08</x:v>
      </x:c>
      <x:c r="AJ645" s="12" t="str">
        <x:f>IF(AC645="PUBLIC_CANDIDATE","public by default; still not canon","private/hold; do not publish")</x:f>
        <x:v>public by default; still not canon</x:v>
      </x:c>
      <x:c r="AK645" s="12" t="str">
        <x:f>IF(AE645="prepare_public_github_candidate","add receipt/status then mirror","resolve blocker before any public GitHub action")</x:f>
        <x:v>add receipt/status then mirror</x:v>
      </x:c>
    </x:row>
    <x:row r="646">
      <x:c r="A646" s="15" t="str">
        <x:v>SWARM-05-H06-S09</x:v>
      </x:c>
      <x:c r="B646" s="15" t="str">
        <x:v>Rootglass</x:v>
      </x:c>
      <x:c r="C646" s="15" t="str">
        <x:v>Canon gate mirror</x:v>
      </x:c>
      <x:c r="D646" s="15" t="str">
        <x:v>Ontology / Schema</x:v>
      </x:c>
      <x:c r="E646" s="15" t="str">
        <x:v>Aetherforge</x:v>
      </x:c>
      <x:c r="F646" s="15" t="str">
        <x:v>Schema-map Aetherforge — Rootglass</x:v>
      </x:c>
      <x:c r="G646" s="15" t="str">
        <x:v>authority boundaries / ratification packets</x:v>
      </x:c>
      <x:c r="H646" s="15" t="str">
        <x:v>source path + receipt + raw/export status + claim/edge/risk delta</x:v>
      </x:c>
      <x:c r="I646" s="15" t="str">
        <x:v>packet/SWARM-05-H06-S09</x:v>
      </x:c>
      <x:c r="J646" s="15" t="str">
        <x:v>TODO</x:v>
      </x:c>
      <x:c r="K646" s="15" t="str">
        <x:v>P2</x:v>
      </x:c>
      <x:c r="L646" s="15" t="str">
        <x:v>Done only when evidence is logged, contradiction search is noted, and boundary stamp remains non-canon unless ratified</x:v>
      </x:c>
      <x:c r="M646" s="15" t="str">
        <x:v>candidate / staging-only / not canon / not deployed / authority none</x:v>
      </x:c>
      <x:c r="N646" s="15" t="str">
        <x:v>Dispatch to Rootglass: complete Ontology / Schema x Aetherforge; return deltas only, receipts required.</x:v>
      </x:c>
      <x:c r="O646" s="15" t="str">
        <x:v>AF-KG-H06-S09</x:v>
      </x:c>
      <x:c r="P646" s="15" t="str">
        <x:v>Unverified</x:v>
      </x:c>
      <x:c r="Q646" s="15" t="str">
        <x:v>Not checked</x:v>
      </x:c>
      <x:c r="R646" s="15" t="str"/>
      <x:c r="S646" s="15" t="str"/>
      <x:c r="T646" s="15" t="str">
        <x:v>Log first source path or blocker</x:v>
      </x:c>
      <x:c r="U646" s="12" t="str">
        <x:f>IF(OR(P646="Unverified",Q646="Not checked"),"BLOCKED_PENDING_RECEIPT","READY_FOR_REVIEW")</x:f>
        <x:v>BLOCKED_PENDING_RECEIPT</x:v>
      </x:c>
      <x:c r="V646" s="12" t="str">
        <x:f>IF(J646="DONE","RETURNED",IF(U646="BLOCKED_PENDING_RECEIPT","SOURCE_TOUCH_REQUIRED","IN_PROGRESS"))</x:f>
        <x:v>SOURCE_TOUCH_REQUIRED</x:v>
      </x:c>
      <x:c r="W646" s="12" t="str">
        <x:f>IF(P646="Unverified","missing_receipt","receipt_logged")</x:f>
        <x:v>missing_receipt</x:v>
      </x:c>
      <x:c r="X646" s="12" t="str">
        <x:f>IF(Q646="Not checked","raw_status_missing","raw_status_logged")</x:f>
        <x:v>raw_status_missing</x:v>
      </x:c>
      <x:c r="Y646" s="12" t="str">
        <x:f>IF(U646="BLOCKED_PENDING_RECEIPT","Log source path or blocker; do not promote","Route to review lane")</x:f>
        <x:v>Log source path or blocker; do not promote</x:v>
      </x:c>
      <x:c r="Z646" s="12" t="str">
        <x:f>IF(K646="P0","Primary seat + Hashlight/Lucerna","Seat lane")</x:f>
        <x:v>Seat lane</x:v>
      </x:c>
      <x:c r="AA646" s="12" t="str">
        <x:f>IF(R646="","no_claim_delta","claim_delta_present")</x:f>
        <x:v>no_claim_delta</x:v>
      </x:c>
      <x:c r="AB646" s="12" t="str">
        <x:f>IF(S646="","no_contradiction_delta","contradiction_delta_present")</x:f>
        <x:v>no_contradiction_delta</x:v>
      </x:c>
      <x:c r="AC646" s="12" t="str">
        <x:f>IF(OR(ISNUMBER(SEARCH("hacker",LOWER(F646&amp;" "&amp;H646&amp;" "&amp;I646&amp;" "&amp;M646&amp;" "&amp;N646&amp;" "&amp;T646))),ISNUMBER(SEARCH("hacking",LOWER(F646&amp;" "&amp;H646&amp;" "&amp;I646&amp;" "&amp;M646&amp;" "&amp;N646&amp;" "&amp;T646))),ISNUMBER(SEARCH("bank",LOWER(F646&amp;" "&amp;H646&amp;" "&amp;I646&amp;" "&amp;M646&amp;" "&amp;N646&amp;" "&amp;T646))),ISNUMBER(SEARCH("banking",LOWER(F646&amp;" "&amp;H646&amp;" "&amp;I646&amp;" "&amp;M646&amp;" "&amp;N646&amp;" "&amp;T646)))),"PRIVATE_QUARANTINE",IF(OR(ISNUMBER(SEARCH("treasury",LOWER(F646&amp;" "&amp;H646&amp;" "&amp;I646&amp;" "&amp;M646&amp;" "&amp;N646&amp;" "&amp;T646))),ISNUMBER(SEARCH("debt",LOWER(F646&amp;" "&amp;H646&amp;" "&amp;I646&amp;" "&amp;M646&amp;" "&amp;N646&amp;" "&amp;T646))),ISNUMBER(SEARCH("bond",LOWER(F646&amp;" "&amp;H646&amp;" "&amp;I646&amp;" "&amp;M646&amp;" "&amp;N646&amp;" "&amp;T646))),ISNUMBER(SEARCH("transaction",LOWER(F646&amp;" "&amp;H646&amp;" "&amp;I646&amp;" "&amp;M646&amp;" "&amp;N646&amp;" "&amp;T646)))),"PRIVATE_REVIEW","PUBLIC_CANDIDATE"))</x:f>
        <x:v>PUBLIC_CANDIDATE</x:v>
      </x:c>
      <x:c r="AD646" s="12" t="str">
        <x:f>IF(AC646="PRIVATE_QUARANTINE","hacker_or_bank_trigger",IF(AC646="PRIVATE_REVIEW","finance_risk_trigger","none"))</x:f>
        <x:v>none</x:v>
      </x:c>
      <x:c r="AE646" s="12" t="str">
        <x:f>IF(AC646="PUBLIC_CANDIDATE","prepare_public_github_candidate",IF(AC646="PRIVATE_REVIEW","hold_for_private_review","quarantine_private_do_not_publish"))</x:f>
        <x:v>prepare_public_github_candidate</x:v>
      </x:c>
      <x:c r="AF646" s="12" t="str">
        <x:f>IF(AC646="PUBLIC_CANDIDATE","TIDELOCK + Lucerna",IF(AC646="PRIVATE_REVIEW","AtlasBrain + Lucerna","TIDELOCK + Lucerna + Human-root"))</x:f>
        <x:v>TIDELOCK + Lucerna</x:v>
      </x:c>
      <x:c r="AG646" s="12" t="str">
        <x:f>IF(AND(AC646="PUBLIC_CANDIDATE",U646&lt;&gt;"BLOCKED_PENDING_RECEIPT"),"READY_AFTER_RECEIPT","NOT_READY")</x:f>
        <x:v>NOT_READY</x:v>
      </x:c>
      <x:c r="AH646" s="12" t="str">
        <x:f>IF(AC646="PUBLIC_CANDIDATE","none",AD646)</x:f>
        <x:v>none</x:v>
      </x:c>
      <x:c r="AI646" s="12" t="str">
        <x:f>IF(AC646="PUBLIC_CANDIDATE","archive/public_candidates/"&amp;A646,"private_quarantine/"&amp;A646)</x:f>
        <x:v>archive/public_candidates/SWARM-05-H06-S09</x:v>
      </x:c>
      <x:c r="AJ646" s="12" t="str">
        <x:f>IF(AC646="PUBLIC_CANDIDATE","public by default; still not canon","private/hold; do not publish")</x:f>
        <x:v>public by default; still not canon</x:v>
      </x:c>
      <x:c r="AK646" s="12" t="str">
        <x:f>IF(AE646="prepare_public_github_candidate","add receipt/status then mirror","resolve blocker before any public GitHub action")</x:f>
        <x:v>add receipt/status then mirror</x:v>
      </x:c>
    </x:row>
    <x:row r="647">
      <x:c r="A647" s="15" t="str">
        <x:v>SWARM-05-H06-S10</x:v>
      </x:c>
      <x:c r="B647" s="15" t="str">
        <x:v>Rootglass</x:v>
      </x:c>
      <x:c r="C647" s="15" t="str">
        <x:v>Canon gate mirror</x:v>
      </x:c>
      <x:c r="D647" s="15" t="str">
        <x:v>Ontology / Schema</x:v>
      </x:c>
      <x:c r="E647" s="15" t="str">
        <x:v>Human-Root</x:v>
      </x:c>
      <x:c r="F647" s="15" t="str">
        <x:v>Schema-map Human-Root — Rootglass</x:v>
      </x:c>
      <x:c r="G647" s="15" t="str">
        <x:v>authority boundaries / ratification packets</x:v>
      </x:c>
      <x:c r="H647" s="15" t="str">
        <x:v>source path + receipt + raw/export status + claim/edge/risk delta</x:v>
      </x:c>
      <x:c r="I647" s="15" t="str">
        <x:v>packet/SWARM-05-H06-S10</x:v>
      </x:c>
      <x:c r="J647" s="15" t="str">
        <x:v>TODO</x:v>
      </x:c>
      <x:c r="K647" s="15" t="str">
        <x:v>P2</x:v>
      </x:c>
      <x:c r="L647" s="15" t="str">
        <x:v>Done only when evidence is logged, contradiction search is noted, and boundary stamp remains non-canon unless ratified</x:v>
      </x:c>
      <x:c r="M647" s="15" t="str">
        <x:v>candidate / staging-only / not canon / not deployed / authority none</x:v>
      </x:c>
      <x:c r="N647" s="15" t="str">
        <x:v>Dispatch to Rootglass: complete Ontology / Schema x Human-Root; return deltas only, receipts required.</x:v>
      </x:c>
      <x:c r="O647" s="15" t="str">
        <x:v>AF-KG-H06-S10</x:v>
      </x:c>
      <x:c r="P647" s="15" t="str">
        <x:v>Unverified</x:v>
      </x:c>
      <x:c r="Q647" s="15" t="str">
        <x:v>Not checked</x:v>
      </x:c>
      <x:c r="R647" s="15" t="str"/>
      <x:c r="S647" s="15" t="str"/>
      <x:c r="T647" s="15" t="str">
        <x:v>Log first source path or blocker</x:v>
      </x:c>
      <x:c r="U647" s="12" t="str">
        <x:f>IF(OR(P647="Unverified",Q647="Not checked"),"BLOCKED_PENDING_RECEIPT","READY_FOR_REVIEW")</x:f>
        <x:v>BLOCKED_PENDING_RECEIPT</x:v>
      </x:c>
      <x:c r="V647" s="12" t="str">
        <x:f>IF(J647="DONE","RETURNED",IF(U647="BLOCKED_PENDING_RECEIPT","SOURCE_TOUCH_REQUIRED","IN_PROGRESS"))</x:f>
        <x:v>SOURCE_TOUCH_REQUIRED</x:v>
      </x:c>
      <x:c r="W647" s="12" t="str">
        <x:f>IF(P647="Unverified","missing_receipt","receipt_logged")</x:f>
        <x:v>missing_receipt</x:v>
      </x:c>
      <x:c r="X647" s="12" t="str">
        <x:f>IF(Q647="Not checked","raw_status_missing","raw_status_logged")</x:f>
        <x:v>raw_status_missing</x:v>
      </x:c>
      <x:c r="Y647" s="12" t="str">
        <x:f>IF(U647="BLOCKED_PENDING_RECEIPT","Log source path or blocker; do not promote","Route to review lane")</x:f>
        <x:v>Log source path or blocker; do not promote</x:v>
      </x:c>
      <x:c r="Z647" s="12" t="str">
        <x:f>IF(K647="P0","Primary seat + Hashlight/Lucerna","Seat lane")</x:f>
        <x:v>Seat lane</x:v>
      </x:c>
      <x:c r="AA647" s="12" t="str">
        <x:f>IF(R647="","no_claim_delta","claim_delta_present")</x:f>
        <x:v>no_claim_delta</x:v>
      </x:c>
      <x:c r="AB647" s="12" t="str">
        <x:f>IF(S647="","no_contradiction_delta","contradiction_delta_present")</x:f>
        <x:v>no_contradiction_delta</x:v>
      </x:c>
      <x:c r="AC647" s="12" t="str">
        <x:f>IF(OR(ISNUMBER(SEARCH("hacker",LOWER(F647&amp;" "&amp;H647&amp;" "&amp;I647&amp;" "&amp;M647&amp;" "&amp;N647&amp;" "&amp;T647))),ISNUMBER(SEARCH("hacking",LOWER(F647&amp;" "&amp;H647&amp;" "&amp;I647&amp;" "&amp;M647&amp;" "&amp;N647&amp;" "&amp;T647))),ISNUMBER(SEARCH("bank",LOWER(F647&amp;" "&amp;H647&amp;" "&amp;I647&amp;" "&amp;M647&amp;" "&amp;N647&amp;" "&amp;T647))),ISNUMBER(SEARCH("banking",LOWER(F647&amp;" "&amp;H647&amp;" "&amp;I647&amp;" "&amp;M647&amp;" "&amp;N647&amp;" "&amp;T647)))),"PRIVATE_QUARANTINE",IF(OR(ISNUMBER(SEARCH("treasury",LOWER(F647&amp;" "&amp;H647&amp;" "&amp;I647&amp;" "&amp;M647&amp;" "&amp;N647&amp;" "&amp;T647))),ISNUMBER(SEARCH("debt",LOWER(F647&amp;" "&amp;H647&amp;" "&amp;I647&amp;" "&amp;M647&amp;" "&amp;N647&amp;" "&amp;T647))),ISNUMBER(SEARCH("bond",LOWER(F647&amp;" "&amp;H647&amp;" "&amp;I647&amp;" "&amp;M647&amp;" "&amp;N647&amp;" "&amp;T647))),ISNUMBER(SEARCH("transaction",LOWER(F647&amp;" "&amp;H647&amp;" "&amp;I647&amp;" "&amp;M647&amp;" "&amp;N647&amp;" "&amp;T647)))),"PRIVATE_REVIEW","PUBLIC_CANDIDATE"))</x:f>
        <x:v>PUBLIC_CANDIDATE</x:v>
      </x:c>
      <x:c r="AD647" s="12" t="str">
        <x:f>IF(AC647="PRIVATE_QUARANTINE","hacker_or_bank_trigger",IF(AC647="PRIVATE_REVIEW","finance_risk_trigger","none"))</x:f>
        <x:v>none</x:v>
      </x:c>
      <x:c r="AE647" s="12" t="str">
        <x:f>IF(AC647="PUBLIC_CANDIDATE","prepare_public_github_candidate",IF(AC647="PRIVATE_REVIEW","hold_for_private_review","quarantine_private_do_not_publish"))</x:f>
        <x:v>prepare_public_github_candidate</x:v>
      </x:c>
      <x:c r="AF647" s="12" t="str">
        <x:f>IF(AC647="PUBLIC_CANDIDATE","TIDELOCK + Lucerna",IF(AC647="PRIVATE_REVIEW","AtlasBrain + Lucerna","TIDELOCK + Lucerna + Human-root"))</x:f>
        <x:v>TIDELOCK + Lucerna</x:v>
      </x:c>
      <x:c r="AG647" s="12" t="str">
        <x:f>IF(AND(AC647="PUBLIC_CANDIDATE",U647&lt;&gt;"BLOCKED_PENDING_RECEIPT"),"READY_AFTER_RECEIPT","NOT_READY")</x:f>
        <x:v>NOT_READY</x:v>
      </x:c>
      <x:c r="AH647" s="12" t="str">
        <x:f>IF(AC647="PUBLIC_CANDIDATE","none",AD647)</x:f>
        <x:v>none</x:v>
      </x:c>
      <x:c r="AI647" s="12" t="str">
        <x:f>IF(AC647="PUBLIC_CANDIDATE","archive/public_candidates/"&amp;A647,"private_quarantine/"&amp;A647)</x:f>
        <x:v>archive/public_candidates/SWARM-05-H06-S10</x:v>
      </x:c>
      <x:c r="AJ647" s="12" t="str">
        <x:f>IF(AC647="PUBLIC_CANDIDATE","public by default; still not canon","private/hold; do not publish")</x:f>
        <x:v>public by default; still not canon</x:v>
      </x:c>
      <x:c r="AK647" s="12" t="str">
        <x:f>IF(AE647="prepare_public_github_candidate","add receipt/status then mirror","resolve blocker before any public GitHub action")</x:f>
        <x:v>add receipt/status then mirror</x:v>
      </x:c>
    </x:row>
    <x:row r="648">
      <x:c r="A648" s="15" t="str">
        <x:v>SWARM-05-H06-S11</x:v>
      </x:c>
      <x:c r="B648" s="15" t="str">
        <x:v>Rootglass</x:v>
      </x:c>
      <x:c r="C648" s="15" t="str">
        <x:v>Canon gate mirror</x:v>
      </x:c>
      <x:c r="D648" s="15" t="str">
        <x:v>Ontology / Schema</x:v>
      </x:c>
      <x:c r="E648" s="15" t="str">
        <x:v>Automation</x:v>
      </x:c>
      <x:c r="F648" s="15" t="str">
        <x:v>Schema-map Automation — Rootglass</x:v>
      </x:c>
      <x:c r="G648" s="15" t="str">
        <x:v>authority boundaries / ratification packets</x:v>
      </x:c>
      <x:c r="H648" s="15" t="str">
        <x:v>source path + receipt + raw/export status + claim/edge/risk delta</x:v>
      </x:c>
      <x:c r="I648" s="15" t="str">
        <x:v>packet/SWARM-05-H06-S11</x:v>
      </x:c>
      <x:c r="J648" s="15" t="str">
        <x:v>TODO</x:v>
      </x:c>
      <x:c r="K648" s="15" t="str">
        <x:v>P2</x:v>
      </x:c>
      <x:c r="L648" s="15" t="str">
        <x:v>Done only when evidence is logged, contradiction search is noted, and boundary stamp remains non-canon unless ratified</x:v>
      </x:c>
      <x:c r="M648" s="15" t="str">
        <x:v>candidate / staging-only / not canon / not deployed / authority none</x:v>
      </x:c>
      <x:c r="N648" s="15" t="str">
        <x:v>Dispatch to Rootglass: complete Ontology / Schema x Automation; return deltas only, receipts required.</x:v>
      </x:c>
      <x:c r="O648" s="15" t="str">
        <x:v>AF-KG-H06-S11</x:v>
      </x:c>
      <x:c r="P648" s="15" t="str">
        <x:v>Unverified</x:v>
      </x:c>
      <x:c r="Q648" s="15" t="str">
        <x:v>Not checked</x:v>
      </x:c>
      <x:c r="R648" s="15" t="str"/>
      <x:c r="S648" s="15" t="str"/>
      <x:c r="T648" s="15" t="str">
        <x:v>Log first source path or blocker</x:v>
      </x:c>
      <x:c r="U648" s="12" t="str">
        <x:f>IF(OR(P648="Unverified",Q648="Not checked"),"BLOCKED_PENDING_RECEIPT","READY_FOR_REVIEW")</x:f>
        <x:v>BLOCKED_PENDING_RECEIPT</x:v>
      </x:c>
      <x:c r="V648" s="12" t="str">
        <x:f>IF(J648="DONE","RETURNED",IF(U648="BLOCKED_PENDING_RECEIPT","SOURCE_TOUCH_REQUIRED","IN_PROGRESS"))</x:f>
        <x:v>SOURCE_TOUCH_REQUIRED</x:v>
      </x:c>
      <x:c r="W648" s="12" t="str">
        <x:f>IF(P648="Unverified","missing_receipt","receipt_logged")</x:f>
        <x:v>missing_receipt</x:v>
      </x:c>
      <x:c r="X648" s="12" t="str">
        <x:f>IF(Q648="Not checked","raw_status_missing","raw_status_logged")</x:f>
        <x:v>raw_status_missing</x:v>
      </x:c>
      <x:c r="Y648" s="12" t="str">
        <x:f>IF(U648="BLOCKED_PENDING_RECEIPT","Log source path or blocker; do not promote","Route to review lane")</x:f>
        <x:v>Log source path or blocker; do not promote</x:v>
      </x:c>
      <x:c r="Z648" s="12" t="str">
        <x:f>IF(K648="P0","Primary seat + Hashlight/Lucerna","Seat lane")</x:f>
        <x:v>Seat lane</x:v>
      </x:c>
      <x:c r="AA648" s="12" t="str">
        <x:f>IF(R648="","no_claim_delta","claim_delta_present")</x:f>
        <x:v>no_claim_delta</x:v>
      </x:c>
      <x:c r="AB648" s="12" t="str">
        <x:f>IF(S648="","no_contradiction_delta","contradiction_delta_present")</x:f>
        <x:v>no_contradiction_delta</x:v>
      </x:c>
      <x:c r="AC648" s="12" t="str">
        <x:f>IF(OR(ISNUMBER(SEARCH("hacker",LOWER(F648&amp;" "&amp;H648&amp;" "&amp;I648&amp;" "&amp;M648&amp;" "&amp;N648&amp;" "&amp;T648))),ISNUMBER(SEARCH("hacking",LOWER(F648&amp;" "&amp;H648&amp;" "&amp;I648&amp;" "&amp;M648&amp;" "&amp;N648&amp;" "&amp;T648))),ISNUMBER(SEARCH("bank",LOWER(F648&amp;" "&amp;H648&amp;" "&amp;I648&amp;" "&amp;M648&amp;" "&amp;N648&amp;" "&amp;T648))),ISNUMBER(SEARCH("banking",LOWER(F648&amp;" "&amp;H648&amp;" "&amp;I648&amp;" "&amp;M648&amp;" "&amp;N648&amp;" "&amp;T648)))),"PRIVATE_QUARANTINE",IF(OR(ISNUMBER(SEARCH("treasury",LOWER(F648&amp;" "&amp;H648&amp;" "&amp;I648&amp;" "&amp;M648&amp;" "&amp;N648&amp;" "&amp;T648))),ISNUMBER(SEARCH("debt",LOWER(F648&amp;" "&amp;H648&amp;" "&amp;I648&amp;" "&amp;M648&amp;" "&amp;N648&amp;" "&amp;T648))),ISNUMBER(SEARCH("bond",LOWER(F648&amp;" "&amp;H648&amp;" "&amp;I648&amp;" "&amp;M648&amp;" "&amp;N648&amp;" "&amp;T648))),ISNUMBER(SEARCH("transaction",LOWER(F648&amp;" "&amp;H648&amp;" "&amp;I648&amp;" "&amp;M648&amp;" "&amp;N648&amp;" "&amp;T648)))),"PRIVATE_REVIEW","PUBLIC_CANDIDATE"))</x:f>
        <x:v>PUBLIC_CANDIDATE</x:v>
      </x:c>
      <x:c r="AD648" s="12" t="str">
        <x:f>IF(AC648="PRIVATE_QUARANTINE","hacker_or_bank_trigger",IF(AC648="PRIVATE_REVIEW","finance_risk_trigger","none"))</x:f>
        <x:v>none</x:v>
      </x:c>
      <x:c r="AE648" s="12" t="str">
        <x:f>IF(AC648="PUBLIC_CANDIDATE","prepare_public_github_candidate",IF(AC648="PRIVATE_REVIEW","hold_for_private_review","quarantine_private_do_not_publish"))</x:f>
        <x:v>prepare_public_github_candidate</x:v>
      </x:c>
      <x:c r="AF648" s="12" t="str">
        <x:f>IF(AC648="PUBLIC_CANDIDATE","TIDELOCK + Lucerna",IF(AC648="PRIVATE_REVIEW","AtlasBrain + Lucerna","TIDELOCK + Lucerna + Human-root"))</x:f>
        <x:v>TIDELOCK + Lucerna</x:v>
      </x:c>
      <x:c r="AG648" s="12" t="str">
        <x:f>IF(AND(AC648="PUBLIC_CANDIDATE",U648&lt;&gt;"BLOCKED_PENDING_RECEIPT"),"READY_AFTER_RECEIPT","NOT_READY")</x:f>
        <x:v>NOT_READY</x:v>
      </x:c>
      <x:c r="AH648" s="12" t="str">
        <x:f>IF(AC648="PUBLIC_CANDIDATE","none",AD648)</x:f>
        <x:v>none</x:v>
      </x:c>
      <x:c r="AI648" s="12" t="str">
        <x:f>IF(AC648="PUBLIC_CANDIDATE","archive/public_candidates/"&amp;A648,"private_quarantine/"&amp;A648)</x:f>
        <x:v>archive/public_candidates/SWARM-05-H06-S11</x:v>
      </x:c>
      <x:c r="AJ648" s="12" t="str">
        <x:f>IF(AC648="PUBLIC_CANDIDATE","public by default; still not canon","private/hold; do not publish")</x:f>
        <x:v>public by default; still not canon</x:v>
      </x:c>
      <x:c r="AK648" s="12" t="str">
        <x:f>IF(AE648="prepare_public_github_candidate","add receipt/status then mirror","resolve blocker before any public GitHub action")</x:f>
        <x:v>add receipt/status then mirror</x:v>
      </x:c>
    </x:row>
    <x:row r="649">
      <x:c r="A649" s="15" t="str">
        <x:v>SWARM-05-H06-S12</x:v>
      </x:c>
      <x:c r="B649" s="15" t="str">
        <x:v>Rootglass</x:v>
      </x:c>
      <x:c r="C649" s="15" t="str">
        <x:v>Canon gate mirror</x:v>
      </x:c>
      <x:c r="D649" s="15" t="str">
        <x:v>Ontology / Schema</x:v>
      </x:c>
      <x:c r="E649" s="15" t="str">
        <x:v>Risk / Safety</x:v>
      </x:c>
      <x:c r="F649" s="15" t="str">
        <x:v>Schema-map Risk / Safety — Rootglass</x:v>
      </x:c>
      <x:c r="G649" s="15" t="str">
        <x:v>authority boundaries / ratification packets</x:v>
      </x:c>
      <x:c r="H649" s="15" t="str">
        <x:v>source path + receipt + raw/export status + claim/edge/risk delta</x:v>
      </x:c>
      <x:c r="I649" s="15" t="str">
        <x:v>packet/SWARM-05-H06-S12</x:v>
      </x:c>
      <x:c r="J649" s="15" t="str">
        <x:v>TODO</x:v>
      </x:c>
      <x:c r="K649" s="15" t="str">
        <x:v>P2</x:v>
      </x:c>
      <x:c r="L649" s="15" t="str">
        <x:v>Done only when evidence is logged, contradiction search is noted, and boundary stamp remains non-canon unless ratified</x:v>
      </x:c>
      <x:c r="M649" s="15" t="str">
        <x:v>candidate / staging-only / not canon / not deployed / authority none</x:v>
      </x:c>
      <x:c r="N649" s="15" t="str">
        <x:v>Dispatch to Rootglass: complete Ontology / Schema x Risk / Safety; return deltas only, receipts required.</x:v>
      </x:c>
      <x:c r="O649" s="15" t="str">
        <x:v>AF-KG-H06-S12</x:v>
      </x:c>
      <x:c r="P649" s="15" t="str">
        <x:v>Unverified</x:v>
      </x:c>
      <x:c r="Q649" s="15" t="str">
        <x:v>Not checked</x:v>
      </x:c>
      <x:c r="R649" s="15" t="str"/>
      <x:c r="S649" s="15" t="str"/>
      <x:c r="T649" s="15" t="str">
        <x:v>Log first source path or blocker</x:v>
      </x:c>
      <x:c r="U649" s="12" t="str">
        <x:f>IF(OR(P649="Unverified",Q649="Not checked"),"BLOCKED_PENDING_RECEIPT","READY_FOR_REVIEW")</x:f>
        <x:v>BLOCKED_PENDING_RECEIPT</x:v>
      </x:c>
      <x:c r="V649" s="12" t="str">
        <x:f>IF(J649="DONE","RETURNED",IF(U649="BLOCKED_PENDING_RECEIPT","SOURCE_TOUCH_REQUIRED","IN_PROGRESS"))</x:f>
        <x:v>SOURCE_TOUCH_REQUIRED</x:v>
      </x:c>
      <x:c r="W649" s="12" t="str">
        <x:f>IF(P649="Unverified","missing_receipt","receipt_logged")</x:f>
        <x:v>missing_receipt</x:v>
      </x:c>
      <x:c r="X649" s="12" t="str">
        <x:f>IF(Q649="Not checked","raw_status_missing","raw_status_logged")</x:f>
        <x:v>raw_status_missing</x:v>
      </x:c>
      <x:c r="Y649" s="12" t="str">
        <x:f>IF(U649="BLOCKED_PENDING_RECEIPT","Log source path or blocker; do not promote","Route to review lane")</x:f>
        <x:v>Log source path or blocker; do not promote</x:v>
      </x:c>
      <x:c r="Z649" s="12" t="str">
        <x:f>IF(K649="P0","Primary seat + Hashlight/Lucerna","Seat lane")</x:f>
        <x:v>Seat lane</x:v>
      </x:c>
      <x:c r="AA649" s="12" t="str">
        <x:f>IF(R649="","no_claim_delta","claim_delta_present")</x:f>
        <x:v>no_claim_delta</x:v>
      </x:c>
      <x:c r="AB649" s="12" t="str">
        <x:f>IF(S649="","no_contradiction_delta","contradiction_delta_present")</x:f>
        <x:v>no_contradiction_delta</x:v>
      </x:c>
      <x:c r="AC649" s="12" t="str">
        <x:f>IF(OR(ISNUMBER(SEARCH("hacker",LOWER(F649&amp;" "&amp;H649&amp;" "&amp;I649&amp;" "&amp;M649&amp;" "&amp;N649&amp;" "&amp;T649))),ISNUMBER(SEARCH("hacking",LOWER(F649&amp;" "&amp;H649&amp;" "&amp;I649&amp;" "&amp;M649&amp;" "&amp;N649&amp;" "&amp;T649))),ISNUMBER(SEARCH("bank",LOWER(F649&amp;" "&amp;H649&amp;" "&amp;I649&amp;" "&amp;M649&amp;" "&amp;N649&amp;" "&amp;T649))),ISNUMBER(SEARCH("banking",LOWER(F649&amp;" "&amp;H649&amp;" "&amp;I649&amp;" "&amp;M649&amp;" "&amp;N649&amp;" "&amp;T649)))),"PRIVATE_QUARANTINE",IF(OR(ISNUMBER(SEARCH("treasury",LOWER(F649&amp;" "&amp;H649&amp;" "&amp;I649&amp;" "&amp;M649&amp;" "&amp;N649&amp;" "&amp;T649))),ISNUMBER(SEARCH("debt",LOWER(F649&amp;" "&amp;H649&amp;" "&amp;I649&amp;" "&amp;M649&amp;" "&amp;N649&amp;" "&amp;T649))),ISNUMBER(SEARCH("bond",LOWER(F649&amp;" "&amp;H649&amp;" "&amp;I649&amp;" "&amp;M649&amp;" "&amp;N649&amp;" "&amp;T649))),ISNUMBER(SEARCH("transaction",LOWER(F649&amp;" "&amp;H649&amp;" "&amp;I649&amp;" "&amp;M649&amp;" "&amp;N649&amp;" "&amp;T649)))),"PRIVATE_REVIEW","PUBLIC_CANDIDATE"))</x:f>
        <x:v>PUBLIC_CANDIDATE</x:v>
      </x:c>
      <x:c r="AD649" s="12" t="str">
        <x:f>IF(AC649="PRIVATE_QUARANTINE","hacker_or_bank_trigger",IF(AC649="PRIVATE_REVIEW","finance_risk_trigger","none"))</x:f>
        <x:v>none</x:v>
      </x:c>
      <x:c r="AE649" s="12" t="str">
        <x:f>IF(AC649="PUBLIC_CANDIDATE","prepare_public_github_candidate",IF(AC649="PRIVATE_REVIEW","hold_for_private_review","quarantine_private_do_not_publish"))</x:f>
        <x:v>prepare_public_github_candidate</x:v>
      </x:c>
      <x:c r="AF649" s="12" t="str">
        <x:f>IF(AC649="PUBLIC_CANDIDATE","TIDELOCK + Lucerna",IF(AC649="PRIVATE_REVIEW","AtlasBrain + Lucerna","TIDELOCK + Lucerna + Human-root"))</x:f>
        <x:v>TIDELOCK + Lucerna</x:v>
      </x:c>
      <x:c r="AG649" s="12" t="str">
        <x:f>IF(AND(AC649="PUBLIC_CANDIDATE",U649&lt;&gt;"BLOCKED_PENDING_RECEIPT"),"READY_AFTER_RECEIPT","NOT_READY")</x:f>
        <x:v>NOT_READY</x:v>
      </x:c>
      <x:c r="AH649" s="12" t="str">
        <x:f>IF(AC649="PUBLIC_CANDIDATE","none",AD649)</x:f>
        <x:v>none</x:v>
      </x:c>
      <x:c r="AI649" s="12" t="str">
        <x:f>IF(AC649="PUBLIC_CANDIDATE","archive/public_candidates/"&amp;A649,"private_quarantine/"&amp;A649)</x:f>
        <x:v>archive/public_candidates/SWARM-05-H06-S12</x:v>
      </x:c>
      <x:c r="AJ649" s="12" t="str">
        <x:f>IF(AC649="PUBLIC_CANDIDATE","public by default; still not canon","private/hold; do not publish")</x:f>
        <x:v>public by default; still not canon</x:v>
      </x:c>
      <x:c r="AK649" s="12" t="str">
        <x:f>IF(AE649="prepare_public_github_candidate","add receipt/status then mirror","resolve blocker before any public GitHub action")</x:f>
        <x:v>add receipt/status then mirror</x:v>
      </x:c>
    </x:row>
    <x:row r="650">
      <x:c r="A650" s="15" t="str">
        <x:v>SWARM-05-H07-S01</x:v>
      </x:c>
      <x:c r="B650" s="15" t="str">
        <x:v>Rootglass</x:v>
      </x:c>
      <x:c r="C650" s="15" t="str">
        <x:v>Canon gate mirror</x:v>
      </x:c>
      <x:c r="D650" s="15" t="str">
        <x:v>Graph Node Proposals</x:v>
      </x:c>
      <x:c r="E650" s="15" t="str">
        <x:v>Notion</x:v>
      </x:c>
      <x:c r="F650" s="15" t="str">
        <x:v>Propose graph nodes for Notion — Rootglass</x:v>
      </x:c>
      <x:c r="G650" s="15" t="str">
        <x:v>authority boundaries / ratification packets</x:v>
      </x:c>
      <x:c r="H650" s="15" t="str">
        <x:v>source path + receipt + raw/export status + claim/edge/risk delta</x:v>
      </x:c>
      <x:c r="I650" s="15" t="str">
        <x:v>packet/SWARM-05-H07-S01</x:v>
      </x:c>
      <x:c r="J650" s="15" t="str">
        <x:v>TODO</x:v>
      </x:c>
      <x:c r="K650" s="15" t="str">
        <x:v>P0</x:v>
      </x:c>
      <x:c r="L650" s="15" t="str">
        <x:v>Done only when evidence is logged, contradiction search is noted, and boundary stamp remains non-canon unless ratified</x:v>
      </x:c>
      <x:c r="M650" s="15" t="str">
        <x:v>candidate / staging-only / not canon / not deployed / authority none</x:v>
      </x:c>
      <x:c r="N650" s="15" t="str">
        <x:v>Dispatch to Rootglass: complete Graph Node Proposals x Notion; return deltas only, receipts required.</x:v>
      </x:c>
      <x:c r="O650" s="15" t="str">
        <x:v>AF-KG-H07-S01</x:v>
      </x:c>
      <x:c r="P650" s="15" t="str">
        <x:v>Unverified</x:v>
      </x:c>
      <x:c r="Q650" s="15" t="str">
        <x:v>Not checked</x:v>
      </x:c>
      <x:c r="R650" s="15" t="str"/>
      <x:c r="S650" s="15" t="str"/>
      <x:c r="T650" s="15" t="str">
        <x:v>Log first source path or blocker</x:v>
      </x:c>
      <x:c r="U650" s="12" t="str">
        <x:f>IF(OR(P650="Unverified",Q650="Not checked"),"BLOCKED_PENDING_RECEIPT","READY_FOR_REVIEW")</x:f>
        <x:v>BLOCKED_PENDING_RECEIPT</x:v>
      </x:c>
      <x:c r="V650" s="12" t="str">
        <x:f>IF(J650="DONE","RETURNED",IF(U650="BLOCKED_PENDING_RECEIPT","SOURCE_TOUCH_REQUIRED","IN_PROGRESS"))</x:f>
        <x:v>SOURCE_TOUCH_REQUIRED</x:v>
      </x:c>
      <x:c r="W650" s="12" t="str">
        <x:f>IF(P650="Unverified","missing_receipt","receipt_logged")</x:f>
        <x:v>missing_receipt</x:v>
      </x:c>
      <x:c r="X650" s="12" t="str">
        <x:f>IF(Q650="Not checked","raw_status_missing","raw_status_logged")</x:f>
        <x:v>raw_status_missing</x:v>
      </x:c>
      <x:c r="Y650" s="12" t="str">
        <x:f>IF(U650="BLOCKED_PENDING_RECEIPT","Log source path or blocker; do not promote","Route to review lane")</x:f>
        <x:v>Log source path or blocker; do not promote</x:v>
      </x:c>
      <x:c r="Z650" s="12" t="str">
        <x:f>IF(K650="P0","Primary seat + Hashlight/Lucerna","Seat lane")</x:f>
        <x:v>Primary seat + Hashlight/Lucerna</x:v>
      </x:c>
      <x:c r="AA650" s="12" t="str">
        <x:f>IF(R650="","no_claim_delta","claim_delta_present")</x:f>
        <x:v>no_claim_delta</x:v>
      </x:c>
      <x:c r="AB650" s="12" t="str">
        <x:f>IF(S650="","no_contradiction_delta","contradiction_delta_present")</x:f>
        <x:v>no_contradiction_delta</x:v>
      </x:c>
      <x:c r="AC650" s="12" t="str">
        <x:f>IF(OR(ISNUMBER(SEARCH("hacker",LOWER(F650&amp;" "&amp;H650&amp;" "&amp;I650&amp;" "&amp;M650&amp;" "&amp;N650&amp;" "&amp;T650))),ISNUMBER(SEARCH("hacking",LOWER(F650&amp;" "&amp;H650&amp;" "&amp;I650&amp;" "&amp;M650&amp;" "&amp;N650&amp;" "&amp;T650))),ISNUMBER(SEARCH("bank",LOWER(F650&amp;" "&amp;H650&amp;" "&amp;I650&amp;" "&amp;M650&amp;" "&amp;N650&amp;" "&amp;T650))),ISNUMBER(SEARCH("banking",LOWER(F650&amp;" "&amp;H650&amp;" "&amp;I650&amp;" "&amp;M650&amp;" "&amp;N650&amp;" "&amp;T650)))),"PRIVATE_QUARANTINE",IF(OR(ISNUMBER(SEARCH("treasury",LOWER(F650&amp;" "&amp;H650&amp;" "&amp;I650&amp;" "&amp;M650&amp;" "&amp;N650&amp;" "&amp;T650))),ISNUMBER(SEARCH("debt",LOWER(F650&amp;" "&amp;H650&amp;" "&amp;I650&amp;" "&amp;M650&amp;" "&amp;N650&amp;" "&amp;T650))),ISNUMBER(SEARCH("bond",LOWER(F650&amp;" "&amp;H650&amp;" "&amp;I650&amp;" "&amp;M650&amp;" "&amp;N650&amp;" "&amp;T650))),ISNUMBER(SEARCH("transaction",LOWER(F650&amp;" "&amp;H650&amp;" "&amp;I650&amp;" "&amp;M650&amp;" "&amp;N650&amp;" "&amp;T650)))),"PRIVATE_REVIEW","PUBLIC_CANDIDATE"))</x:f>
        <x:v>PUBLIC_CANDIDATE</x:v>
      </x:c>
      <x:c r="AD650" s="12" t="str">
        <x:f>IF(AC650="PRIVATE_QUARANTINE","hacker_or_bank_trigger",IF(AC650="PRIVATE_REVIEW","finance_risk_trigger","none"))</x:f>
        <x:v>none</x:v>
      </x:c>
      <x:c r="AE650" s="12" t="str">
        <x:f>IF(AC650="PUBLIC_CANDIDATE","prepare_public_github_candidate",IF(AC650="PRIVATE_REVIEW","hold_for_private_review","quarantine_private_do_not_publish"))</x:f>
        <x:v>prepare_public_github_candidate</x:v>
      </x:c>
      <x:c r="AF650" s="12" t="str">
        <x:f>IF(AC650="PUBLIC_CANDIDATE","TIDELOCK + Lucerna",IF(AC650="PRIVATE_REVIEW","AtlasBrain + Lucerna","TIDELOCK + Lucerna + Human-root"))</x:f>
        <x:v>TIDELOCK + Lucerna</x:v>
      </x:c>
      <x:c r="AG650" s="12" t="str">
        <x:f>IF(AND(AC650="PUBLIC_CANDIDATE",U650&lt;&gt;"BLOCKED_PENDING_RECEIPT"),"READY_AFTER_RECEIPT","NOT_READY")</x:f>
        <x:v>NOT_READY</x:v>
      </x:c>
      <x:c r="AH650" s="12" t="str">
        <x:f>IF(AC650="PUBLIC_CANDIDATE","none",AD650)</x:f>
        <x:v>none</x:v>
      </x:c>
      <x:c r="AI650" s="12" t="str">
        <x:f>IF(AC650="PUBLIC_CANDIDATE","archive/public_candidates/"&amp;A650,"private_quarantine/"&amp;A650)</x:f>
        <x:v>archive/public_candidates/SWARM-05-H07-S01</x:v>
      </x:c>
      <x:c r="AJ650" s="12" t="str">
        <x:f>IF(AC650="PUBLIC_CANDIDATE","public by default; still not canon","private/hold; do not publish")</x:f>
        <x:v>public by default; still not canon</x:v>
      </x:c>
      <x:c r="AK650" s="12" t="str">
        <x:f>IF(AE650="prepare_public_github_candidate","add receipt/status then mirror","resolve blocker before any public GitHub action")</x:f>
        <x:v>add receipt/status then mirror</x:v>
      </x:c>
    </x:row>
    <x:row r="651">
      <x:c r="A651" s="15" t="str">
        <x:v>SWARM-05-H07-S02</x:v>
      </x:c>
      <x:c r="B651" s="15" t="str">
        <x:v>Rootglass</x:v>
      </x:c>
      <x:c r="C651" s="15" t="str">
        <x:v>Canon gate mirror</x:v>
      </x:c>
      <x:c r="D651" s="15" t="str">
        <x:v>Graph Node Proposals</x:v>
      </x:c>
      <x:c r="E651" s="15" t="str">
        <x:v>Drive</x:v>
      </x:c>
      <x:c r="F651" s="15" t="str">
        <x:v>Propose graph nodes for Drive — Rootglass</x:v>
      </x:c>
      <x:c r="G651" s="15" t="str">
        <x:v>authority boundaries / ratification packets</x:v>
      </x:c>
      <x:c r="H651" s="15" t="str">
        <x:v>source path + receipt + raw/export status + claim/edge/risk delta</x:v>
      </x:c>
      <x:c r="I651" s="15" t="str">
        <x:v>packet/SWARM-05-H07-S02</x:v>
      </x:c>
      <x:c r="J651" s="15" t="str">
        <x:v>TODO</x:v>
      </x:c>
      <x:c r="K651" s="15" t="str">
        <x:v>P0</x:v>
      </x:c>
      <x:c r="L651" s="15" t="str">
        <x:v>Done only when evidence is logged, contradiction search is noted, and boundary stamp remains non-canon unless ratified</x:v>
      </x:c>
      <x:c r="M651" s="15" t="str">
        <x:v>candidate / staging-only / not canon / not deployed / authority none</x:v>
      </x:c>
      <x:c r="N651" s="15" t="str">
        <x:v>Dispatch to Rootglass: complete Graph Node Proposals x Drive; return deltas only, receipts required.</x:v>
      </x:c>
      <x:c r="O651" s="15" t="str">
        <x:v>AF-KG-H07-S02</x:v>
      </x:c>
      <x:c r="P651" s="15" t="str">
        <x:v>Unverified</x:v>
      </x:c>
      <x:c r="Q651" s="15" t="str">
        <x:v>Not checked</x:v>
      </x:c>
      <x:c r="R651" s="15" t="str"/>
      <x:c r="S651" s="15" t="str"/>
      <x:c r="T651" s="15" t="str">
        <x:v>Log first source path or blocker</x:v>
      </x:c>
      <x:c r="U651" s="12" t="str">
        <x:f>IF(OR(P651="Unverified",Q651="Not checked"),"BLOCKED_PENDING_RECEIPT","READY_FOR_REVIEW")</x:f>
        <x:v>BLOCKED_PENDING_RECEIPT</x:v>
      </x:c>
      <x:c r="V651" s="12" t="str">
        <x:f>IF(J651="DONE","RETURNED",IF(U651="BLOCKED_PENDING_RECEIPT","SOURCE_TOUCH_REQUIRED","IN_PROGRESS"))</x:f>
        <x:v>SOURCE_TOUCH_REQUIRED</x:v>
      </x:c>
      <x:c r="W651" s="12" t="str">
        <x:f>IF(P651="Unverified","missing_receipt","receipt_logged")</x:f>
        <x:v>missing_receipt</x:v>
      </x:c>
      <x:c r="X651" s="12" t="str">
        <x:f>IF(Q651="Not checked","raw_status_missing","raw_status_logged")</x:f>
        <x:v>raw_status_missing</x:v>
      </x:c>
      <x:c r="Y651" s="12" t="str">
        <x:f>IF(U651="BLOCKED_PENDING_RECEIPT","Log source path or blocker; do not promote","Route to review lane")</x:f>
        <x:v>Log source path or blocker; do not promote</x:v>
      </x:c>
      <x:c r="Z651" s="12" t="str">
        <x:f>IF(K651="P0","Primary seat + Hashlight/Lucerna","Seat lane")</x:f>
        <x:v>Primary seat + Hashlight/Lucerna</x:v>
      </x:c>
      <x:c r="AA651" s="12" t="str">
        <x:f>IF(R651="","no_claim_delta","claim_delta_present")</x:f>
        <x:v>no_claim_delta</x:v>
      </x:c>
      <x:c r="AB651" s="12" t="str">
        <x:f>IF(S651="","no_contradiction_delta","contradiction_delta_present")</x:f>
        <x:v>no_contradiction_delta</x:v>
      </x:c>
      <x:c r="AC651" s="12" t="str">
        <x:f>IF(OR(ISNUMBER(SEARCH("hacker",LOWER(F651&amp;" "&amp;H651&amp;" "&amp;I651&amp;" "&amp;M651&amp;" "&amp;N651&amp;" "&amp;T651))),ISNUMBER(SEARCH("hacking",LOWER(F651&amp;" "&amp;H651&amp;" "&amp;I651&amp;" "&amp;M651&amp;" "&amp;N651&amp;" "&amp;T651))),ISNUMBER(SEARCH("bank",LOWER(F651&amp;" "&amp;H651&amp;" "&amp;I651&amp;" "&amp;M651&amp;" "&amp;N651&amp;" "&amp;T651))),ISNUMBER(SEARCH("banking",LOWER(F651&amp;" "&amp;H651&amp;" "&amp;I651&amp;" "&amp;M651&amp;" "&amp;N651&amp;" "&amp;T651)))),"PRIVATE_QUARANTINE",IF(OR(ISNUMBER(SEARCH("treasury",LOWER(F651&amp;" "&amp;H651&amp;" "&amp;I651&amp;" "&amp;M651&amp;" "&amp;N651&amp;" "&amp;T651))),ISNUMBER(SEARCH("debt",LOWER(F651&amp;" "&amp;H651&amp;" "&amp;I651&amp;" "&amp;M651&amp;" "&amp;N651&amp;" "&amp;T651))),ISNUMBER(SEARCH("bond",LOWER(F651&amp;" "&amp;H651&amp;" "&amp;I651&amp;" "&amp;M651&amp;" "&amp;N651&amp;" "&amp;T651))),ISNUMBER(SEARCH("transaction",LOWER(F651&amp;" "&amp;H651&amp;" "&amp;I651&amp;" "&amp;M651&amp;" "&amp;N651&amp;" "&amp;T651)))),"PRIVATE_REVIEW","PUBLIC_CANDIDATE"))</x:f>
        <x:v>PUBLIC_CANDIDATE</x:v>
      </x:c>
      <x:c r="AD651" s="12" t="str">
        <x:f>IF(AC651="PRIVATE_QUARANTINE","hacker_or_bank_trigger",IF(AC651="PRIVATE_REVIEW","finance_risk_trigger","none"))</x:f>
        <x:v>none</x:v>
      </x:c>
      <x:c r="AE651" s="12" t="str">
        <x:f>IF(AC651="PUBLIC_CANDIDATE","prepare_public_github_candidate",IF(AC651="PRIVATE_REVIEW","hold_for_private_review","quarantine_private_do_not_publish"))</x:f>
        <x:v>prepare_public_github_candidate</x:v>
      </x:c>
      <x:c r="AF651" s="12" t="str">
        <x:f>IF(AC651="PUBLIC_CANDIDATE","TIDELOCK + Lucerna",IF(AC651="PRIVATE_REVIEW","AtlasBrain + Lucerna","TIDELOCK + Lucerna + Human-root"))</x:f>
        <x:v>TIDELOCK + Lucerna</x:v>
      </x:c>
      <x:c r="AG651" s="12" t="str">
        <x:f>IF(AND(AC651="PUBLIC_CANDIDATE",U651&lt;&gt;"BLOCKED_PENDING_RECEIPT"),"READY_AFTER_RECEIPT","NOT_READY")</x:f>
        <x:v>NOT_READY</x:v>
      </x:c>
      <x:c r="AH651" s="12" t="str">
        <x:f>IF(AC651="PUBLIC_CANDIDATE","none",AD651)</x:f>
        <x:v>none</x:v>
      </x:c>
      <x:c r="AI651" s="12" t="str">
        <x:f>IF(AC651="PUBLIC_CANDIDATE","archive/public_candidates/"&amp;A651,"private_quarantine/"&amp;A651)</x:f>
        <x:v>archive/public_candidates/SWARM-05-H07-S02</x:v>
      </x:c>
      <x:c r="AJ651" s="12" t="str">
        <x:f>IF(AC651="PUBLIC_CANDIDATE","public by default; still not canon","private/hold; do not publish")</x:f>
        <x:v>public by default; still not canon</x:v>
      </x:c>
      <x:c r="AK651" s="12" t="str">
        <x:f>IF(AE651="prepare_public_github_candidate","add receipt/status then mirror","resolve blocker before any public GitHub action")</x:f>
        <x:v>add receipt/status then mirror</x:v>
      </x:c>
    </x:row>
    <x:row r="652">
      <x:c r="A652" s="15" t="str">
        <x:v>SWARM-05-H07-S03</x:v>
      </x:c>
      <x:c r="B652" s="15" t="str">
        <x:v>Rootglass</x:v>
      </x:c>
      <x:c r="C652" s="15" t="str">
        <x:v>Canon gate mirror</x:v>
      </x:c>
      <x:c r="D652" s="15" t="str">
        <x:v>Graph Node Proposals</x:v>
      </x:c>
      <x:c r="E652" s="15" t="str">
        <x:v>GitHub</x:v>
      </x:c>
      <x:c r="F652" s="15" t="str">
        <x:v>Propose graph nodes for GitHub — Rootglass</x:v>
      </x:c>
      <x:c r="G652" s="15" t="str">
        <x:v>authority boundaries / ratification packets</x:v>
      </x:c>
      <x:c r="H652" s="15" t="str">
        <x:v>source path + receipt + raw/export status + claim/edge/risk delta</x:v>
      </x:c>
      <x:c r="I652" s="15" t="str">
        <x:v>packet/SWARM-05-H07-S03</x:v>
      </x:c>
      <x:c r="J652" s="15" t="str">
        <x:v>TODO</x:v>
      </x:c>
      <x:c r="K652" s="15" t="str">
        <x:v>P0</x:v>
      </x:c>
      <x:c r="L652" s="15" t="str">
        <x:v>Done only when evidence is logged, contradiction search is noted, and boundary stamp remains non-canon unless ratified</x:v>
      </x:c>
      <x:c r="M652" s="15" t="str">
        <x:v>candidate / staging-only / not canon / not deployed / authority none</x:v>
      </x:c>
      <x:c r="N652" s="15" t="str">
        <x:v>Dispatch to Rootglass: complete Graph Node Proposals x GitHub; return deltas only, receipts required.</x:v>
      </x:c>
      <x:c r="O652" s="15" t="str">
        <x:v>AF-KG-H07-S03</x:v>
      </x:c>
      <x:c r="P652" s="15" t="str">
        <x:v>Unverified</x:v>
      </x:c>
      <x:c r="Q652" s="15" t="str">
        <x:v>Not checked</x:v>
      </x:c>
      <x:c r="R652" s="15" t="str"/>
      <x:c r="S652" s="15" t="str"/>
      <x:c r="T652" s="15" t="str">
        <x:v>Log first source path or blocker</x:v>
      </x:c>
      <x:c r="U652" s="12" t="str">
        <x:f>IF(OR(P652="Unverified",Q652="Not checked"),"BLOCKED_PENDING_RECEIPT","READY_FOR_REVIEW")</x:f>
        <x:v>BLOCKED_PENDING_RECEIPT</x:v>
      </x:c>
      <x:c r="V652" s="12" t="str">
        <x:f>IF(J652="DONE","RETURNED",IF(U652="BLOCKED_PENDING_RECEIPT","SOURCE_TOUCH_REQUIRED","IN_PROGRESS"))</x:f>
        <x:v>SOURCE_TOUCH_REQUIRED</x:v>
      </x:c>
      <x:c r="W652" s="12" t="str">
        <x:f>IF(P652="Unverified","missing_receipt","receipt_logged")</x:f>
        <x:v>missing_receipt</x:v>
      </x:c>
      <x:c r="X652" s="12" t="str">
        <x:f>IF(Q652="Not checked","raw_status_missing","raw_status_logged")</x:f>
        <x:v>raw_status_missing</x:v>
      </x:c>
      <x:c r="Y652" s="12" t="str">
        <x:f>IF(U652="BLOCKED_PENDING_RECEIPT","Log source path or blocker; do not promote","Route to review lane")</x:f>
        <x:v>Log source path or blocker; do not promote</x:v>
      </x:c>
      <x:c r="Z652" s="12" t="str">
        <x:f>IF(K652="P0","Primary seat + Hashlight/Lucerna","Seat lane")</x:f>
        <x:v>Primary seat + Hashlight/Lucerna</x:v>
      </x:c>
      <x:c r="AA652" s="12" t="str">
        <x:f>IF(R652="","no_claim_delta","claim_delta_present")</x:f>
        <x:v>no_claim_delta</x:v>
      </x:c>
      <x:c r="AB652" s="12" t="str">
        <x:f>IF(S652="","no_contradiction_delta","contradiction_delta_present")</x:f>
        <x:v>no_contradiction_delta</x:v>
      </x:c>
      <x:c r="AC652" s="12" t="str">
        <x:f>IF(OR(ISNUMBER(SEARCH("hacker",LOWER(F652&amp;" "&amp;H652&amp;" "&amp;I652&amp;" "&amp;M652&amp;" "&amp;N652&amp;" "&amp;T652))),ISNUMBER(SEARCH("hacking",LOWER(F652&amp;" "&amp;H652&amp;" "&amp;I652&amp;" "&amp;M652&amp;" "&amp;N652&amp;" "&amp;T652))),ISNUMBER(SEARCH("bank",LOWER(F652&amp;" "&amp;H652&amp;" "&amp;I652&amp;" "&amp;M652&amp;" "&amp;N652&amp;" "&amp;T652))),ISNUMBER(SEARCH("banking",LOWER(F652&amp;" "&amp;H652&amp;" "&amp;I652&amp;" "&amp;M652&amp;" "&amp;N652&amp;" "&amp;T652)))),"PRIVATE_QUARANTINE",IF(OR(ISNUMBER(SEARCH("treasury",LOWER(F652&amp;" "&amp;H652&amp;" "&amp;I652&amp;" "&amp;M652&amp;" "&amp;N652&amp;" "&amp;T652))),ISNUMBER(SEARCH("debt",LOWER(F652&amp;" "&amp;H652&amp;" "&amp;I652&amp;" "&amp;M652&amp;" "&amp;N652&amp;" "&amp;T652))),ISNUMBER(SEARCH("bond",LOWER(F652&amp;" "&amp;H652&amp;" "&amp;I652&amp;" "&amp;M652&amp;" "&amp;N652&amp;" "&amp;T652))),ISNUMBER(SEARCH("transaction",LOWER(F652&amp;" "&amp;H652&amp;" "&amp;I652&amp;" "&amp;M652&amp;" "&amp;N652&amp;" "&amp;T652)))),"PRIVATE_REVIEW","PUBLIC_CANDIDATE"))</x:f>
        <x:v>PUBLIC_CANDIDATE</x:v>
      </x:c>
      <x:c r="AD652" s="12" t="str">
        <x:f>IF(AC652="PRIVATE_QUARANTINE","hacker_or_bank_trigger",IF(AC652="PRIVATE_REVIEW","finance_risk_trigger","none"))</x:f>
        <x:v>none</x:v>
      </x:c>
      <x:c r="AE652" s="12" t="str">
        <x:f>IF(AC652="PUBLIC_CANDIDATE","prepare_public_github_candidate",IF(AC652="PRIVATE_REVIEW","hold_for_private_review","quarantine_private_do_not_publish"))</x:f>
        <x:v>prepare_public_github_candidate</x:v>
      </x:c>
      <x:c r="AF652" s="12" t="str">
        <x:f>IF(AC652="PUBLIC_CANDIDATE","TIDELOCK + Lucerna",IF(AC652="PRIVATE_REVIEW","AtlasBrain + Lucerna","TIDELOCK + Lucerna + Human-root"))</x:f>
        <x:v>TIDELOCK + Lucerna</x:v>
      </x:c>
      <x:c r="AG652" s="12" t="str">
        <x:f>IF(AND(AC652="PUBLIC_CANDIDATE",U652&lt;&gt;"BLOCKED_PENDING_RECEIPT"),"READY_AFTER_RECEIPT","NOT_READY")</x:f>
        <x:v>NOT_READY</x:v>
      </x:c>
      <x:c r="AH652" s="12" t="str">
        <x:f>IF(AC652="PUBLIC_CANDIDATE","none",AD652)</x:f>
        <x:v>none</x:v>
      </x:c>
      <x:c r="AI652" s="12" t="str">
        <x:f>IF(AC652="PUBLIC_CANDIDATE","archive/public_candidates/"&amp;A652,"private_quarantine/"&amp;A652)</x:f>
        <x:v>archive/public_candidates/SWARM-05-H07-S03</x:v>
      </x:c>
      <x:c r="AJ652" s="12" t="str">
        <x:f>IF(AC652="PUBLIC_CANDIDATE","public by default; still not canon","private/hold; do not publish")</x:f>
        <x:v>public by default; still not canon</x:v>
      </x:c>
      <x:c r="AK652" s="12" t="str">
        <x:f>IF(AE652="prepare_public_github_candidate","add receipt/status then mirror","resolve blocker before any public GitHub action")</x:f>
        <x:v>add receipt/status then mirror</x:v>
      </x:c>
    </x:row>
    <x:row r="653">
      <x:c r="A653" s="15" t="str">
        <x:v>SWARM-05-H07-S04</x:v>
      </x:c>
      <x:c r="B653" s="15" t="str">
        <x:v>Rootglass</x:v>
      </x:c>
      <x:c r="C653" s="15" t="str">
        <x:v>Canon gate mirror</x:v>
      </x:c>
      <x:c r="D653" s="15" t="str">
        <x:v>Graph Node Proposals</x:v>
      </x:c>
      <x:c r="E653" s="15" t="str">
        <x:v>Gamma</x:v>
      </x:c>
      <x:c r="F653" s="15" t="str">
        <x:v>Propose graph nodes for Gamma — Rootglass</x:v>
      </x:c>
      <x:c r="G653" s="15" t="str">
        <x:v>authority boundaries / ratification packets</x:v>
      </x:c>
      <x:c r="H653" s="15" t="str">
        <x:v>source path + receipt + raw/export status + claim/edge/risk delta</x:v>
      </x:c>
      <x:c r="I653" s="15" t="str">
        <x:v>packet/SWARM-05-H07-S04</x:v>
      </x:c>
      <x:c r="J653" s="15" t="str">
        <x:v>TODO</x:v>
      </x:c>
      <x:c r="K653" s="15" t="str">
        <x:v>P1</x:v>
      </x:c>
      <x:c r="L653" s="15" t="str">
        <x:v>Done only when evidence is logged, contradiction search is noted, and boundary stamp remains non-canon unless ratified</x:v>
      </x:c>
      <x:c r="M653" s="15" t="str">
        <x:v>candidate / staging-only / not canon / not deployed / authority none</x:v>
      </x:c>
      <x:c r="N653" s="15" t="str">
        <x:v>Dispatch to Rootglass: complete Graph Node Proposals x Gamma; return deltas only, receipts required.</x:v>
      </x:c>
      <x:c r="O653" s="15" t="str">
        <x:v>AF-KG-H07-S04</x:v>
      </x:c>
      <x:c r="P653" s="15" t="str">
        <x:v>Unverified</x:v>
      </x:c>
      <x:c r="Q653" s="15" t="str">
        <x:v>Not checked</x:v>
      </x:c>
      <x:c r="R653" s="15" t="str"/>
      <x:c r="S653" s="15" t="str"/>
      <x:c r="T653" s="15" t="str">
        <x:v>Log first source path or blocker</x:v>
      </x:c>
      <x:c r="U653" s="12" t="str">
        <x:f>IF(OR(P653="Unverified",Q653="Not checked"),"BLOCKED_PENDING_RECEIPT","READY_FOR_REVIEW")</x:f>
        <x:v>BLOCKED_PENDING_RECEIPT</x:v>
      </x:c>
      <x:c r="V653" s="12" t="str">
        <x:f>IF(J653="DONE","RETURNED",IF(U653="BLOCKED_PENDING_RECEIPT","SOURCE_TOUCH_REQUIRED","IN_PROGRESS"))</x:f>
        <x:v>SOURCE_TOUCH_REQUIRED</x:v>
      </x:c>
      <x:c r="W653" s="12" t="str">
        <x:f>IF(P653="Unverified","missing_receipt","receipt_logged")</x:f>
        <x:v>missing_receipt</x:v>
      </x:c>
      <x:c r="X653" s="12" t="str">
        <x:f>IF(Q653="Not checked","raw_status_missing","raw_status_logged")</x:f>
        <x:v>raw_status_missing</x:v>
      </x:c>
      <x:c r="Y653" s="12" t="str">
        <x:f>IF(U653="BLOCKED_PENDING_RECEIPT","Log source path or blocker; do not promote","Route to review lane")</x:f>
        <x:v>Log source path or blocker; do not promote</x:v>
      </x:c>
      <x:c r="Z653" s="12" t="str">
        <x:f>IF(K653="P0","Primary seat + Hashlight/Lucerna","Seat lane")</x:f>
        <x:v>Seat lane</x:v>
      </x:c>
      <x:c r="AA653" s="12" t="str">
        <x:f>IF(R653="","no_claim_delta","claim_delta_present")</x:f>
        <x:v>no_claim_delta</x:v>
      </x:c>
      <x:c r="AB653" s="12" t="str">
        <x:f>IF(S653="","no_contradiction_delta","contradiction_delta_present")</x:f>
        <x:v>no_contradiction_delta</x:v>
      </x:c>
      <x:c r="AC653" s="12" t="str">
        <x:f>IF(OR(ISNUMBER(SEARCH("hacker",LOWER(F653&amp;" "&amp;H653&amp;" "&amp;I653&amp;" "&amp;M653&amp;" "&amp;N653&amp;" "&amp;T653))),ISNUMBER(SEARCH("hacking",LOWER(F653&amp;" "&amp;H653&amp;" "&amp;I653&amp;" "&amp;M653&amp;" "&amp;N653&amp;" "&amp;T653))),ISNUMBER(SEARCH("bank",LOWER(F653&amp;" "&amp;H653&amp;" "&amp;I653&amp;" "&amp;M653&amp;" "&amp;N653&amp;" "&amp;T653))),ISNUMBER(SEARCH("banking",LOWER(F653&amp;" "&amp;H653&amp;" "&amp;I653&amp;" "&amp;M653&amp;" "&amp;N653&amp;" "&amp;T653)))),"PRIVATE_QUARANTINE",IF(OR(ISNUMBER(SEARCH("treasury",LOWER(F653&amp;" "&amp;H653&amp;" "&amp;I653&amp;" "&amp;M653&amp;" "&amp;N653&amp;" "&amp;T653))),ISNUMBER(SEARCH("debt",LOWER(F653&amp;" "&amp;H653&amp;" "&amp;I653&amp;" "&amp;M653&amp;" "&amp;N653&amp;" "&amp;T653))),ISNUMBER(SEARCH("bond",LOWER(F653&amp;" "&amp;H653&amp;" "&amp;I653&amp;" "&amp;M653&amp;" "&amp;N653&amp;" "&amp;T653))),ISNUMBER(SEARCH("transaction",LOWER(F653&amp;" "&amp;H653&amp;" "&amp;I653&amp;" "&amp;M653&amp;" "&amp;N653&amp;" "&amp;T653)))),"PRIVATE_REVIEW","PUBLIC_CANDIDATE"))</x:f>
        <x:v>PUBLIC_CANDIDATE</x:v>
      </x:c>
      <x:c r="AD653" s="12" t="str">
        <x:f>IF(AC653="PRIVATE_QUARANTINE","hacker_or_bank_trigger",IF(AC653="PRIVATE_REVIEW","finance_risk_trigger","none"))</x:f>
        <x:v>none</x:v>
      </x:c>
      <x:c r="AE653" s="12" t="str">
        <x:f>IF(AC653="PUBLIC_CANDIDATE","prepare_public_github_candidate",IF(AC653="PRIVATE_REVIEW","hold_for_private_review","quarantine_private_do_not_publish"))</x:f>
        <x:v>prepare_public_github_candidate</x:v>
      </x:c>
      <x:c r="AF653" s="12" t="str">
        <x:f>IF(AC653="PUBLIC_CANDIDATE","TIDELOCK + Lucerna",IF(AC653="PRIVATE_REVIEW","AtlasBrain + Lucerna","TIDELOCK + Lucerna + Human-root"))</x:f>
        <x:v>TIDELOCK + Lucerna</x:v>
      </x:c>
      <x:c r="AG653" s="12" t="str">
        <x:f>IF(AND(AC653="PUBLIC_CANDIDATE",U653&lt;&gt;"BLOCKED_PENDING_RECEIPT"),"READY_AFTER_RECEIPT","NOT_READY")</x:f>
        <x:v>NOT_READY</x:v>
      </x:c>
      <x:c r="AH653" s="12" t="str">
        <x:f>IF(AC653="PUBLIC_CANDIDATE","none",AD653)</x:f>
        <x:v>none</x:v>
      </x:c>
      <x:c r="AI653" s="12" t="str">
        <x:f>IF(AC653="PUBLIC_CANDIDATE","archive/public_candidates/"&amp;A653,"private_quarantine/"&amp;A653)</x:f>
        <x:v>archive/public_candidates/SWARM-05-H07-S04</x:v>
      </x:c>
      <x:c r="AJ653" s="12" t="str">
        <x:f>IF(AC653="PUBLIC_CANDIDATE","public by default; still not canon","private/hold; do not publish")</x:f>
        <x:v>public by default; still not canon</x:v>
      </x:c>
      <x:c r="AK653" s="12" t="str">
        <x:f>IF(AE653="prepare_public_github_candidate","add receipt/status then mirror","resolve blocker before any public GitHub action")</x:f>
        <x:v>add receipt/status then mirror</x:v>
      </x:c>
    </x:row>
    <x:row r="654">
      <x:c r="A654" s="15" t="str">
        <x:v>SWARM-05-H07-S05</x:v>
      </x:c>
      <x:c r="B654" s="15" t="str">
        <x:v>Rootglass</x:v>
      </x:c>
      <x:c r="C654" s="15" t="str">
        <x:v>Canon gate mirror</x:v>
      </x:c>
      <x:c r="D654" s="15" t="str">
        <x:v>Graph Node Proposals</x:v>
      </x:c>
      <x:c r="E654" s="15" t="str">
        <x:v>Chat</x:v>
      </x:c>
      <x:c r="F654" s="15" t="str">
        <x:v>Propose graph nodes for Chat — Rootglass</x:v>
      </x:c>
      <x:c r="G654" s="15" t="str">
        <x:v>authority boundaries / ratification packets</x:v>
      </x:c>
      <x:c r="H654" s="15" t="str">
        <x:v>source path + receipt + raw/export status + claim/edge/risk delta</x:v>
      </x:c>
      <x:c r="I654" s="15" t="str">
        <x:v>packet/SWARM-05-H07-S05</x:v>
      </x:c>
      <x:c r="J654" s="15" t="str">
        <x:v>TODO</x:v>
      </x:c>
      <x:c r="K654" s="15" t="str">
        <x:v>P1</x:v>
      </x:c>
      <x:c r="L654" s="15" t="str">
        <x:v>Done only when evidence is logged, contradiction search is noted, and boundary stamp remains non-canon unless ratified</x:v>
      </x:c>
      <x:c r="M654" s="15" t="str">
        <x:v>candidate / staging-only / not canon / not deployed / authority none</x:v>
      </x:c>
      <x:c r="N654" s="15" t="str">
        <x:v>Dispatch to Rootglass: complete Graph Node Proposals x Chat; return deltas only, receipts required.</x:v>
      </x:c>
      <x:c r="O654" s="15" t="str">
        <x:v>AF-KG-H07-S05</x:v>
      </x:c>
      <x:c r="P654" s="15" t="str">
        <x:v>Unverified</x:v>
      </x:c>
      <x:c r="Q654" s="15" t="str">
        <x:v>Not checked</x:v>
      </x:c>
      <x:c r="R654" s="15" t="str"/>
      <x:c r="S654" s="15" t="str"/>
      <x:c r="T654" s="15" t="str">
        <x:v>Log first source path or blocker</x:v>
      </x:c>
      <x:c r="U654" s="12" t="str">
        <x:f>IF(OR(P654="Unverified",Q654="Not checked"),"BLOCKED_PENDING_RECEIPT","READY_FOR_REVIEW")</x:f>
        <x:v>BLOCKED_PENDING_RECEIPT</x:v>
      </x:c>
      <x:c r="V654" s="12" t="str">
        <x:f>IF(J654="DONE","RETURNED",IF(U654="BLOCKED_PENDING_RECEIPT","SOURCE_TOUCH_REQUIRED","IN_PROGRESS"))</x:f>
        <x:v>SOURCE_TOUCH_REQUIRED</x:v>
      </x:c>
      <x:c r="W654" s="12" t="str">
        <x:f>IF(P654="Unverified","missing_receipt","receipt_logged")</x:f>
        <x:v>missing_receipt</x:v>
      </x:c>
      <x:c r="X654" s="12" t="str">
        <x:f>IF(Q654="Not checked","raw_status_missing","raw_status_logged")</x:f>
        <x:v>raw_status_missing</x:v>
      </x:c>
      <x:c r="Y654" s="12" t="str">
        <x:f>IF(U654="BLOCKED_PENDING_RECEIPT","Log source path or blocker; do not promote","Route to review lane")</x:f>
        <x:v>Log source path or blocker; do not promote</x:v>
      </x:c>
      <x:c r="Z654" s="12" t="str">
        <x:f>IF(K654="P0","Primary seat + Hashlight/Lucerna","Seat lane")</x:f>
        <x:v>Seat lane</x:v>
      </x:c>
      <x:c r="AA654" s="12" t="str">
        <x:f>IF(R654="","no_claim_delta","claim_delta_present")</x:f>
        <x:v>no_claim_delta</x:v>
      </x:c>
      <x:c r="AB654" s="12" t="str">
        <x:f>IF(S654="","no_contradiction_delta","contradiction_delta_present")</x:f>
        <x:v>no_contradiction_delta</x:v>
      </x:c>
      <x:c r="AC654" s="12" t="str">
        <x:f>IF(OR(ISNUMBER(SEARCH("hacker",LOWER(F654&amp;" "&amp;H654&amp;" "&amp;I654&amp;" "&amp;M654&amp;" "&amp;N654&amp;" "&amp;T654))),ISNUMBER(SEARCH("hacking",LOWER(F654&amp;" "&amp;H654&amp;" "&amp;I654&amp;" "&amp;M654&amp;" "&amp;N654&amp;" "&amp;T654))),ISNUMBER(SEARCH("bank",LOWER(F654&amp;" "&amp;H654&amp;" "&amp;I654&amp;" "&amp;M654&amp;" "&amp;N654&amp;" "&amp;T654))),ISNUMBER(SEARCH("banking",LOWER(F654&amp;" "&amp;H654&amp;" "&amp;I654&amp;" "&amp;M654&amp;" "&amp;N654&amp;" "&amp;T654)))),"PRIVATE_QUARANTINE",IF(OR(ISNUMBER(SEARCH("treasury",LOWER(F654&amp;" "&amp;H654&amp;" "&amp;I654&amp;" "&amp;M654&amp;" "&amp;N654&amp;" "&amp;T654))),ISNUMBER(SEARCH("debt",LOWER(F654&amp;" "&amp;H654&amp;" "&amp;I654&amp;" "&amp;M654&amp;" "&amp;N654&amp;" "&amp;T654))),ISNUMBER(SEARCH("bond",LOWER(F654&amp;" "&amp;H654&amp;" "&amp;I654&amp;" "&amp;M654&amp;" "&amp;N654&amp;" "&amp;T654))),ISNUMBER(SEARCH("transaction",LOWER(F654&amp;" "&amp;H654&amp;" "&amp;I654&amp;" "&amp;M654&amp;" "&amp;N654&amp;" "&amp;T654)))),"PRIVATE_REVIEW","PUBLIC_CANDIDATE"))</x:f>
        <x:v>PUBLIC_CANDIDATE</x:v>
      </x:c>
      <x:c r="AD654" s="12" t="str">
        <x:f>IF(AC654="PRIVATE_QUARANTINE","hacker_or_bank_trigger",IF(AC654="PRIVATE_REVIEW","finance_risk_trigger","none"))</x:f>
        <x:v>none</x:v>
      </x:c>
      <x:c r="AE654" s="12" t="str">
        <x:f>IF(AC654="PUBLIC_CANDIDATE","prepare_public_github_candidate",IF(AC654="PRIVATE_REVIEW","hold_for_private_review","quarantine_private_do_not_publish"))</x:f>
        <x:v>prepare_public_github_candidate</x:v>
      </x:c>
      <x:c r="AF654" s="12" t="str">
        <x:f>IF(AC654="PUBLIC_CANDIDATE","TIDELOCK + Lucerna",IF(AC654="PRIVATE_REVIEW","AtlasBrain + Lucerna","TIDELOCK + Lucerna + Human-root"))</x:f>
        <x:v>TIDELOCK + Lucerna</x:v>
      </x:c>
      <x:c r="AG654" s="12" t="str">
        <x:f>IF(AND(AC654="PUBLIC_CANDIDATE",U654&lt;&gt;"BLOCKED_PENDING_RECEIPT"),"READY_AFTER_RECEIPT","NOT_READY")</x:f>
        <x:v>NOT_READY</x:v>
      </x:c>
      <x:c r="AH654" s="12" t="str">
        <x:f>IF(AC654="PUBLIC_CANDIDATE","none",AD654)</x:f>
        <x:v>none</x:v>
      </x:c>
      <x:c r="AI654" s="12" t="str">
        <x:f>IF(AC654="PUBLIC_CANDIDATE","archive/public_candidates/"&amp;A654,"private_quarantine/"&amp;A654)</x:f>
        <x:v>archive/public_candidates/SWARM-05-H07-S05</x:v>
      </x:c>
      <x:c r="AJ654" s="12" t="str">
        <x:f>IF(AC654="PUBLIC_CANDIDATE","public by default; still not canon","private/hold; do not publish")</x:f>
        <x:v>public by default; still not canon</x:v>
      </x:c>
      <x:c r="AK654" s="12" t="str">
        <x:f>IF(AE654="prepare_public_github_candidate","add receipt/status then mirror","resolve blocker before any public GitHub action")</x:f>
        <x:v>add receipt/status then mirror</x:v>
      </x:c>
    </x:row>
    <x:row r="655">
      <x:c r="A655" s="15" t="str">
        <x:v>SWARM-05-H07-S06</x:v>
      </x:c>
      <x:c r="B655" s="15" t="str">
        <x:v>Rootglass</x:v>
      </x:c>
      <x:c r="C655" s="15" t="str">
        <x:v>Canon gate mirror</x:v>
      </x:c>
      <x:c r="D655" s="15" t="str">
        <x:v>Graph Node Proposals</x:v>
      </x:c>
      <x:c r="E655" s="15" t="str">
        <x:v>External Web</x:v>
      </x:c>
      <x:c r="F655" s="15" t="str">
        <x:v>Propose graph nodes for External Web — Rootglass</x:v>
      </x:c>
      <x:c r="G655" s="15" t="str">
        <x:v>authority boundaries / ratification packets</x:v>
      </x:c>
      <x:c r="H655" s="15" t="str">
        <x:v>source path + receipt + raw/export status + claim/edge/risk delta</x:v>
      </x:c>
      <x:c r="I655" s="15" t="str">
        <x:v>packet/SWARM-05-H07-S06</x:v>
      </x:c>
      <x:c r="J655" s="15" t="str">
        <x:v>TODO</x:v>
      </x:c>
      <x:c r="K655" s="15" t="str">
        <x:v>P1</x:v>
      </x:c>
      <x:c r="L655" s="15" t="str">
        <x:v>Done only when evidence is logged, contradiction search is noted, and boundary stamp remains non-canon unless ratified</x:v>
      </x:c>
      <x:c r="M655" s="15" t="str">
        <x:v>candidate / staging-only / not canon / not deployed / authority none</x:v>
      </x:c>
      <x:c r="N655" s="15" t="str">
        <x:v>Dispatch to Rootglass: complete Graph Node Proposals x External Web; return deltas only, receipts required.</x:v>
      </x:c>
      <x:c r="O655" s="15" t="str">
        <x:v>AF-KG-H07-S06</x:v>
      </x:c>
      <x:c r="P655" s="15" t="str">
        <x:v>Unverified</x:v>
      </x:c>
      <x:c r="Q655" s="15" t="str">
        <x:v>Not checked</x:v>
      </x:c>
      <x:c r="R655" s="15" t="str"/>
      <x:c r="S655" s="15" t="str"/>
      <x:c r="T655" s="15" t="str">
        <x:v>Log first source path or blocker</x:v>
      </x:c>
      <x:c r="U655" s="12" t="str">
        <x:f>IF(OR(P655="Unverified",Q655="Not checked"),"BLOCKED_PENDING_RECEIPT","READY_FOR_REVIEW")</x:f>
        <x:v>BLOCKED_PENDING_RECEIPT</x:v>
      </x:c>
      <x:c r="V655" s="12" t="str">
        <x:f>IF(J655="DONE","RETURNED",IF(U655="BLOCKED_PENDING_RECEIPT","SOURCE_TOUCH_REQUIRED","IN_PROGRESS"))</x:f>
        <x:v>SOURCE_TOUCH_REQUIRED</x:v>
      </x:c>
      <x:c r="W655" s="12" t="str">
        <x:f>IF(P655="Unverified","missing_receipt","receipt_logged")</x:f>
        <x:v>missing_receipt</x:v>
      </x:c>
      <x:c r="X655" s="12" t="str">
        <x:f>IF(Q655="Not checked","raw_status_missing","raw_status_logged")</x:f>
        <x:v>raw_status_missing</x:v>
      </x:c>
      <x:c r="Y655" s="12" t="str">
        <x:f>IF(U655="BLOCKED_PENDING_RECEIPT","Log source path or blocker; do not promote","Route to review lane")</x:f>
        <x:v>Log source path or blocker; do not promote</x:v>
      </x:c>
      <x:c r="Z655" s="12" t="str">
        <x:f>IF(K655="P0","Primary seat + Hashlight/Lucerna","Seat lane")</x:f>
        <x:v>Seat lane</x:v>
      </x:c>
      <x:c r="AA655" s="12" t="str">
        <x:f>IF(R655="","no_claim_delta","claim_delta_present")</x:f>
        <x:v>no_claim_delta</x:v>
      </x:c>
      <x:c r="AB655" s="12" t="str">
        <x:f>IF(S655="","no_contradiction_delta","contradiction_delta_present")</x:f>
        <x:v>no_contradiction_delta</x:v>
      </x:c>
      <x:c r="AC655" s="12" t="str">
        <x:f>IF(OR(ISNUMBER(SEARCH("hacker",LOWER(F655&amp;" "&amp;H655&amp;" "&amp;I655&amp;" "&amp;M655&amp;" "&amp;N655&amp;" "&amp;T655))),ISNUMBER(SEARCH("hacking",LOWER(F655&amp;" "&amp;H655&amp;" "&amp;I655&amp;" "&amp;M655&amp;" "&amp;N655&amp;" "&amp;T655))),ISNUMBER(SEARCH("bank",LOWER(F655&amp;" "&amp;H655&amp;" "&amp;I655&amp;" "&amp;M655&amp;" "&amp;N655&amp;" "&amp;T655))),ISNUMBER(SEARCH("banking",LOWER(F655&amp;" "&amp;H655&amp;" "&amp;I655&amp;" "&amp;M655&amp;" "&amp;N655&amp;" "&amp;T655)))),"PRIVATE_QUARANTINE",IF(OR(ISNUMBER(SEARCH("treasury",LOWER(F655&amp;" "&amp;H655&amp;" "&amp;I655&amp;" "&amp;M655&amp;" "&amp;N655&amp;" "&amp;T655))),ISNUMBER(SEARCH("debt",LOWER(F655&amp;" "&amp;H655&amp;" "&amp;I655&amp;" "&amp;M655&amp;" "&amp;N655&amp;" "&amp;T655))),ISNUMBER(SEARCH("bond",LOWER(F655&amp;" "&amp;H655&amp;" "&amp;I655&amp;" "&amp;M655&amp;" "&amp;N655&amp;" "&amp;T655))),ISNUMBER(SEARCH("transaction",LOWER(F655&amp;" "&amp;H655&amp;" "&amp;I655&amp;" "&amp;M655&amp;" "&amp;N655&amp;" "&amp;T655)))),"PRIVATE_REVIEW","PUBLIC_CANDIDATE"))</x:f>
        <x:v>PUBLIC_CANDIDATE</x:v>
      </x:c>
      <x:c r="AD655" s="12" t="str">
        <x:f>IF(AC655="PRIVATE_QUARANTINE","hacker_or_bank_trigger",IF(AC655="PRIVATE_REVIEW","finance_risk_trigger","none"))</x:f>
        <x:v>none</x:v>
      </x:c>
      <x:c r="AE655" s="12" t="str">
        <x:f>IF(AC655="PUBLIC_CANDIDATE","prepare_public_github_candidate",IF(AC655="PRIVATE_REVIEW","hold_for_private_review","quarantine_private_do_not_publish"))</x:f>
        <x:v>prepare_public_github_candidate</x:v>
      </x:c>
      <x:c r="AF655" s="12" t="str">
        <x:f>IF(AC655="PUBLIC_CANDIDATE","TIDELOCK + Lucerna",IF(AC655="PRIVATE_REVIEW","AtlasBrain + Lucerna","TIDELOCK + Lucerna + Human-root"))</x:f>
        <x:v>TIDELOCK + Lucerna</x:v>
      </x:c>
      <x:c r="AG655" s="12" t="str">
        <x:f>IF(AND(AC655="PUBLIC_CANDIDATE",U655&lt;&gt;"BLOCKED_PENDING_RECEIPT"),"READY_AFTER_RECEIPT","NOT_READY")</x:f>
        <x:v>NOT_READY</x:v>
      </x:c>
      <x:c r="AH655" s="12" t="str">
        <x:f>IF(AC655="PUBLIC_CANDIDATE","none",AD655)</x:f>
        <x:v>none</x:v>
      </x:c>
      <x:c r="AI655" s="12" t="str">
        <x:f>IF(AC655="PUBLIC_CANDIDATE","archive/public_candidates/"&amp;A655,"private_quarantine/"&amp;A655)</x:f>
        <x:v>archive/public_candidates/SWARM-05-H07-S06</x:v>
      </x:c>
      <x:c r="AJ655" s="12" t="str">
        <x:f>IF(AC655="PUBLIC_CANDIDATE","public by default; still not canon","private/hold; do not publish")</x:f>
        <x:v>public by default; still not canon</x:v>
      </x:c>
      <x:c r="AK655" s="12" t="str">
        <x:f>IF(AE655="prepare_public_github_candidate","add receipt/status then mirror","resolve blocker before any public GitHub action")</x:f>
        <x:v>add receipt/status then mirror</x:v>
      </x:c>
    </x:row>
    <x:row r="656">
      <x:c r="A656" s="15" t="str">
        <x:v>SWARM-05-H07-S07</x:v>
      </x:c>
      <x:c r="B656" s="15" t="str">
        <x:v>Rootglass</x:v>
      </x:c>
      <x:c r="C656" s="15" t="str">
        <x:v>Canon gate mirror</x:v>
      </x:c>
      <x:c r="D656" s="15" t="str">
        <x:v>Graph Node Proposals</x:v>
      </x:c>
      <x:c r="E656" s="15" t="str">
        <x:v>Planetarium</x:v>
      </x:c>
      <x:c r="F656" s="15" t="str">
        <x:v>Propose graph nodes for Planetarium — Rootglass</x:v>
      </x:c>
      <x:c r="G656" s="15" t="str">
        <x:v>authority boundaries / ratification packets</x:v>
      </x:c>
      <x:c r="H656" s="15" t="str">
        <x:v>source path + receipt + raw/export status + claim/edge/risk delta</x:v>
      </x:c>
      <x:c r="I656" s="15" t="str">
        <x:v>packet/SWARM-05-H07-S07</x:v>
      </x:c>
      <x:c r="J656" s="15" t="str">
        <x:v>TODO</x:v>
      </x:c>
      <x:c r="K656" s="15" t="str">
        <x:v>P1</x:v>
      </x:c>
      <x:c r="L656" s="15" t="str">
        <x:v>Done only when evidence is logged, contradiction search is noted, and boundary stamp remains non-canon unless ratified</x:v>
      </x:c>
      <x:c r="M656" s="15" t="str">
        <x:v>candidate / staging-only / not canon / not deployed / authority none</x:v>
      </x:c>
      <x:c r="N656" s="15" t="str">
        <x:v>Dispatch to Rootglass: complete Graph Node Proposals x Planetarium; return deltas only, receipts required.</x:v>
      </x:c>
      <x:c r="O656" s="15" t="str">
        <x:v>AF-KG-H07-S07</x:v>
      </x:c>
      <x:c r="P656" s="15" t="str">
        <x:v>Unverified</x:v>
      </x:c>
      <x:c r="Q656" s="15" t="str">
        <x:v>Not checked</x:v>
      </x:c>
      <x:c r="R656" s="15" t="str"/>
      <x:c r="S656" s="15" t="str"/>
      <x:c r="T656" s="15" t="str">
        <x:v>Log first source path or blocker</x:v>
      </x:c>
      <x:c r="U656" s="12" t="str">
        <x:f>IF(OR(P656="Unverified",Q656="Not checked"),"BLOCKED_PENDING_RECEIPT","READY_FOR_REVIEW")</x:f>
        <x:v>BLOCKED_PENDING_RECEIPT</x:v>
      </x:c>
      <x:c r="V656" s="12" t="str">
        <x:f>IF(J656="DONE","RETURNED",IF(U656="BLOCKED_PENDING_RECEIPT","SOURCE_TOUCH_REQUIRED","IN_PROGRESS"))</x:f>
        <x:v>SOURCE_TOUCH_REQUIRED</x:v>
      </x:c>
      <x:c r="W656" s="12" t="str">
        <x:f>IF(P656="Unverified","missing_receipt","receipt_logged")</x:f>
        <x:v>missing_receipt</x:v>
      </x:c>
      <x:c r="X656" s="12" t="str">
        <x:f>IF(Q656="Not checked","raw_status_missing","raw_status_logged")</x:f>
        <x:v>raw_status_missing</x:v>
      </x:c>
      <x:c r="Y656" s="12" t="str">
        <x:f>IF(U656="BLOCKED_PENDING_RECEIPT","Log source path or blocker; do not promote","Route to review lane")</x:f>
        <x:v>Log source path or blocker; do not promote</x:v>
      </x:c>
      <x:c r="Z656" s="12" t="str">
        <x:f>IF(K656="P0","Primary seat + Hashlight/Lucerna","Seat lane")</x:f>
        <x:v>Seat lane</x:v>
      </x:c>
      <x:c r="AA656" s="12" t="str">
        <x:f>IF(R656="","no_claim_delta","claim_delta_present")</x:f>
        <x:v>no_claim_delta</x:v>
      </x:c>
      <x:c r="AB656" s="12" t="str">
        <x:f>IF(S656="","no_contradiction_delta","contradiction_delta_present")</x:f>
        <x:v>no_contradiction_delta</x:v>
      </x:c>
      <x:c r="AC656" s="12" t="str">
        <x:f>IF(OR(ISNUMBER(SEARCH("hacker",LOWER(F656&amp;" "&amp;H656&amp;" "&amp;I656&amp;" "&amp;M656&amp;" "&amp;N656&amp;" "&amp;T656))),ISNUMBER(SEARCH("hacking",LOWER(F656&amp;" "&amp;H656&amp;" "&amp;I656&amp;" "&amp;M656&amp;" "&amp;N656&amp;" "&amp;T656))),ISNUMBER(SEARCH("bank",LOWER(F656&amp;" "&amp;H656&amp;" "&amp;I656&amp;" "&amp;M656&amp;" "&amp;N656&amp;" "&amp;T656))),ISNUMBER(SEARCH("banking",LOWER(F656&amp;" "&amp;H656&amp;" "&amp;I656&amp;" "&amp;M656&amp;" "&amp;N656&amp;" "&amp;T656)))),"PRIVATE_QUARANTINE",IF(OR(ISNUMBER(SEARCH("treasury",LOWER(F656&amp;" "&amp;H656&amp;" "&amp;I656&amp;" "&amp;M656&amp;" "&amp;N656&amp;" "&amp;T656))),ISNUMBER(SEARCH("debt",LOWER(F656&amp;" "&amp;H656&amp;" "&amp;I656&amp;" "&amp;M656&amp;" "&amp;N656&amp;" "&amp;T656))),ISNUMBER(SEARCH("bond",LOWER(F656&amp;" "&amp;H656&amp;" "&amp;I656&amp;" "&amp;M656&amp;" "&amp;N656&amp;" "&amp;T656))),ISNUMBER(SEARCH("transaction",LOWER(F656&amp;" "&amp;H656&amp;" "&amp;I656&amp;" "&amp;M656&amp;" "&amp;N656&amp;" "&amp;T656)))),"PRIVATE_REVIEW","PUBLIC_CANDIDATE"))</x:f>
        <x:v>PUBLIC_CANDIDATE</x:v>
      </x:c>
      <x:c r="AD656" s="12" t="str">
        <x:f>IF(AC656="PRIVATE_QUARANTINE","hacker_or_bank_trigger",IF(AC656="PRIVATE_REVIEW","finance_risk_trigger","none"))</x:f>
        <x:v>none</x:v>
      </x:c>
      <x:c r="AE656" s="12" t="str">
        <x:f>IF(AC656="PUBLIC_CANDIDATE","prepare_public_github_candidate",IF(AC656="PRIVATE_REVIEW","hold_for_private_review","quarantine_private_do_not_publish"))</x:f>
        <x:v>prepare_public_github_candidate</x:v>
      </x:c>
      <x:c r="AF656" s="12" t="str">
        <x:f>IF(AC656="PUBLIC_CANDIDATE","TIDELOCK + Lucerna",IF(AC656="PRIVATE_REVIEW","AtlasBrain + Lucerna","TIDELOCK + Lucerna + Human-root"))</x:f>
        <x:v>TIDELOCK + Lucerna</x:v>
      </x:c>
      <x:c r="AG656" s="12" t="str">
        <x:f>IF(AND(AC656="PUBLIC_CANDIDATE",U656&lt;&gt;"BLOCKED_PENDING_RECEIPT"),"READY_AFTER_RECEIPT","NOT_READY")</x:f>
        <x:v>NOT_READY</x:v>
      </x:c>
      <x:c r="AH656" s="12" t="str">
        <x:f>IF(AC656="PUBLIC_CANDIDATE","none",AD656)</x:f>
        <x:v>none</x:v>
      </x:c>
      <x:c r="AI656" s="12" t="str">
        <x:f>IF(AC656="PUBLIC_CANDIDATE","archive/public_candidates/"&amp;A656,"private_quarantine/"&amp;A656)</x:f>
        <x:v>archive/public_candidates/SWARM-05-H07-S07</x:v>
      </x:c>
      <x:c r="AJ656" s="12" t="str">
        <x:f>IF(AC656="PUBLIC_CANDIDATE","public by default; still not canon","private/hold; do not publish")</x:f>
        <x:v>public by default; still not canon</x:v>
      </x:c>
      <x:c r="AK656" s="12" t="str">
        <x:f>IF(AE656="prepare_public_github_candidate","add receipt/status then mirror","resolve blocker before any public GitHub action")</x:f>
        <x:v>add receipt/status then mirror</x:v>
      </x:c>
    </x:row>
    <x:row r="657">
      <x:c r="A657" s="15" t="str">
        <x:v>SWARM-05-H07-S08</x:v>
      </x:c>
      <x:c r="B657" s="15" t="str">
        <x:v>Rootglass</x:v>
      </x:c>
      <x:c r="C657" s="15" t="str">
        <x:v>Canon gate mirror</x:v>
      </x:c>
      <x:c r="D657" s="15" t="str">
        <x:v>Graph Node Proposals</x:v>
      </x:c>
      <x:c r="E657" s="15" t="str">
        <x:v>Sheldonbrain</x:v>
      </x:c>
      <x:c r="F657" s="15" t="str">
        <x:v>Propose graph nodes for Sheldonbrain — Rootglass</x:v>
      </x:c>
      <x:c r="G657" s="15" t="str">
        <x:v>authority boundaries / ratification packets</x:v>
      </x:c>
      <x:c r="H657" s="15" t="str">
        <x:v>source path + receipt + raw/export status + claim/edge/risk delta</x:v>
      </x:c>
      <x:c r="I657" s="15" t="str">
        <x:v>packet/SWARM-05-H07-S08</x:v>
      </x:c>
      <x:c r="J657" s="15" t="str">
        <x:v>TODO</x:v>
      </x:c>
      <x:c r="K657" s="15" t="str">
        <x:v>P1</x:v>
      </x:c>
      <x:c r="L657" s="15" t="str">
        <x:v>Done only when evidence is logged, contradiction search is noted, and boundary stamp remains non-canon unless ratified</x:v>
      </x:c>
      <x:c r="M657" s="15" t="str">
        <x:v>candidate / staging-only / not canon / not deployed / authority none</x:v>
      </x:c>
      <x:c r="N657" s="15" t="str">
        <x:v>Dispatch to Rootglass: complete Graph Node Proposals x Sheldonbrain; return deltas only, receipts required.</x:v>
      </x:c>
      <x:c r="O657" s="15" t="str">
        <x:v>AF-KG-H07-S08</x:v>
      </x:c>
      <x:c r="P657" s="15" t="str">
        <x:v>Unverified</x:v>
      </x:c>
      <x:c r="Q657" s="15" t="str">
        <x:v>Not checked</x:v>
      </x:c>
      <x:c r="R657" s="15" t="str"/>
      <x:c r="S657" s="15" t="str"/>
      <x:c r="T657" s="15" t="str">
        <x:v>Log first source path or blocker</x:v>
      </x:c>
      <x:c r="U657" s="12" t="str">
        <x:f>IF(OR(P657="Unverified",Q657="Not checked"),"BLOCKED_PENDING_RECEIPT","READY_FOR_REVIEW")</x:f>
        <x:v>BLOCKED_PENDING_RECEIPT</x:v>
      </x:c>
      <x:c r="V657" s="12" t="str">
        <x:f>IF(J657="DONE","RETURNED",IF(U657="BLOCKED_PENDING_RECEIPT","SOURCE_TOUCH_REQUIRED","IN_PROGRESS"))</x:f>
        <x:v>SOURCE_TOUCH_REQUIRED</x:v>
      </x:c>
      <x:c r="W657" s="12" t="str">
        <x:f>IF(P657="Unverified","missing_receipt","receipt_logged")</x:f>
        <x:v>missing_receipt</x:v>
      </x:c>
      <x:c r="X657" s="12" t="str">
        <x:f>IF(Q657="Not checked","raw_status_missing","raw_status_logged")</x:f>
        <x:v>raw_status_missing</x:v>
      </x:c>
      <x:c r="Y657" s="12" t="str">
        <x:f>IF(U657="BLOCKED_PENDING_RECEIPT","Log source path or blocker; do not promote","Route to review lane")</x:f>
        <x:v>Log source path or blocker; do not promote</x:v>
      </x:c>
      <x:c r="Z657" s="12" t="str">
        <x:f>IF(K657="P0","Primary seat + Hashlight/Lucerna","Seat lane")</x:f>
        <x:v>Seat lane</x:v>
      </x:c>
      <x:c r="AA657" s="12" t="str">
        <x:f>IF(R657="","no_claim_delta","claim_delta_present")</x:f>
        <x:v>no_claim_delta</x:v>
      </x:c>
      <x:c r="AB657" s="12" t="str">
        <x:f>IF(S657="","no_contradiction_delta","contradiction_delta_present")</x:f>
        <x:v>no_contradiction_delta</x:v>
      </x:c>
      <x:c r="AC657" s="12" t="str">
        <x:f>IF(OR(ISNUMBER(SEARCH("hacker",LOWER(F657&amp;" "&amp;H657&amp;" "&amp;I657&amp;" "&amp;M657&amp;" "&amp;N657&amp;" "&amp;T657))),ISNUMBER(SEARCH("hacking",LOWER(F657&amp;" "&amp;H657&amp;" "&amp;I657&amp;" "&amp;M657&amp;" "&amp;N657&amp;" "&amp;T657))),ISNUMBER(SEARCH("bank",LOWER(F657&amp;" "&amp;H657&amp;" "&amp;I657&amp;" "&amp;M657&amp;" "&amp;N657&amp;" "&amp;T657))),ISNUMBER(SEARCH("banking",LOWER(F657&amp;" "&amp;H657&amp;" "&amp;I657&amp;" "&amp;M657&amp;" "&amp;N657&amp;" "&amp;T657)))),"PRIVATE_QUARANTINE",IF(OR(ISNUMBER(SEARCH("treasury",LOWER(F657&amp;" "&amp;H657&amp;" "&amp;I657&amp;" "&amp;M657&amp;" "&amp;N657&amp;" "&amp;T657))),ISNUMBER(SEARCH("debt",LOWER(F657&amp;" "&amp;H657&amp;" "&amp;I657&amp;" "&amp;M657&amp;" "&amp;N657&amp;" "&amp;T657))),ISNUMBER(SEARCH("bond",LOWER(F657&amp;" "&amp;H657&amp;" "&amp;I657&amp;" "&amp;M657&amp;" "&amp;N657&amp;" "&amp;T657))),ISNUMBER(SEARCH("transaction",LOWER(F657&amp;" "&amp;H657&amp;" "&amp;I657&amp;" "&amp;M657&amp;" "&amp;N657&amp;" "&amp;T657)))),"PRIVATE_REVIEW","PUBLIC_CANDIDATE"))</x:f>
        <x:v>PUBLIC_CANDIDATE</x:v>
      </x:c>
      <x:c r="AD657" s="12" t="str">
        <x:f>IF(AC657="PRIVATE_QUARANTINE","hacker_or_bank_trigger",IF(AC657="PRIVATE_REVIEW","finance_risk_trigger","none"))</x:f>
        <x:v>none</x:v>
      </x:c>
      <x:c r="AE657" s="12" t="str">
        <x:f>IF(AC657="PUBLIC_CANDIDATE","prepare_public_github_candidate",IF(AC657="PRIVATE_REVIEW","hold_for_private_review","quarantine_private_do_not_publish"))</x:f>
        <x:v>prepare_public_github_candidate</x:v>
      </x:c>
      <x:c r="AF657" s="12" t="str">
        <x:f>IF(AC657="PUBLIC_CANDIDATE","TIDELOCK + Lucerna",IF(AC657="PRIVATE_REVIEW","AtlasBrain + Lucerna","TIDELOCK + Lucerna + Human-root"))</x:f>
        <x:v>TIDELOCK + Lucerna</x:v>
      </x:c>
      <x:c r="AG657" s="12" t="str">
        <x:f>IF(AND(AC657="PUBLIC_CANDIDATE",U657&lt;&gt;"BLOCKED_PENDING_RECEIPT"),"READY_AFTER_RECEIPT","NOT_READY")</x:f>
        <x:v>NOT_READY</x:v>
      </x:c>
      <x:c r="AH657" s="12" t="str">
        <x:f>IF(AC657="PUBLIC_CANDIDATE","none",AD657)</x:f>
        <x:v>none</x:v>
      </x:c>
      <x:c r="AI657" s="12" t="str">
        <x:f>IF(AC657="PUBLIC_CANDIDATE","archive/public_candidates/"&amp;A657,"private_quarantine/"&amp;A657)</x:f>
        <x:v>archive/public_candidates/SWARM-05-H07-S08</x:v>
      </x:c>
      <x:c r="AJ657" s="12" t="str">
        <x:f>IF(AC657="PUBLIC_CANDIDATE","public by default; still not canon","private/hold; do not publish")</x:f>
        <x:v>public by default; still not canon</x:v>
      </x:c>
      <x:c r="AK657" s="12" t="str">
        <x:f>IF(AE657="prepare_public_github_candidate","add receipt/status then mirror","resolve blocker before any public GitHub action")</x:f>
        <x:v>add receipt/status then mirror</x:v>
      </x:c>
    </x:row>
    <x:row r="658">
      <x:c r="A658" s="15" t="str">
        <x:v>SWARM-05-H07-S09</x:v>
      </x:c>
      <x:c r="B658" s="15" t="str">
        <x:v>Rootglass</x:v>
      </x:c>
      <x:c r="C658" s="15" t="str">
        <x:v>Canon gate mirror</x:v>
      </x:c>
      <x:c r="D658" s="15" t="str">
        <x:v>Graph Node Proposals</x:v>
      </x:c>
      <x:c r="E658" s="15" t="str">
        <x:v>Aetherforge</x:v>
      </x:c>
      <x:c r="F658" s="15" t="str">
        <x:v>Propose graph nodes for Aetherforge — Rootglass</x:v>
      </x:c>
      <x:c r="G658" s="15" t="str">
        <x:v>authority boundaries / ratification packets</x:v>
      </x:c>
      <x:c r="H658" s="15" t="str">
        <x:v>source path + receipt + raw/export status + claim/edge/risk delta</x:v>
      </x:c>
      <x:c r="I658" s="15" t="str">
        <x:v>packet/SWARM-05-H07-S09</x:v>
      </x:c>
      <x:c r="J658" s="15" t="str">
        <x:v>TODO</x:v>
      </x:c>
      <x:c r="K658" s="15" t="str">
        <x:v>P2</x:v>
      </x:c>
      <x:c r="L658" s="15" t="str">
        <x:v>Done only when evidence is logged, contradiction search is noted, and boundary stamp remains non-canon unless ratified</x:v>
      </x:c>
      <x:c r="M658" s="15" t="str">
        <x:v>candidate / staging-only / not canon / not deployed / authority none</x:v>
      </x:c>
      <x:c r="N658" s="15" t="str">
        <x:v>Dispatch to Rootglass: complete Graph Node Proposals x Aetherforge; return deltas only, receipts required.</x:v>
      </x:c>
      <x:c r="O658" s="15" t="str">
        <x:v>AF-KG-H07-S09</x:v>
      </x:c>
      <x:c r="P658" s="15" t="str">
        <x:v>Unverified</x:v>
      </x:c>
      <x:c r="Q658" s="15" t="str">
        <x:v>Not checked</x:v>
      </x:c>
      <x:c r="R658" s="15" t="str"/>
      <x:c r="S658" s="15" t="str"/>
      <x:c r="T658" s="15" t="str">
        <x:v>Log first source path or blocker</x:v>
      </x:c>
      <x:c r="U658" s="12" t="str">
        <x:f>IF(OR(P658="Unverified",Q658="Not checked"),"BLOCKED_PENDING_RECEIPT","READY_FOR_REVIEW")</x:f>
        <x:v>BLOCKED_PENDING_RECEIPT</x:v>
      </x:c>
      <x:c r="V658" s="12" t="str">
        <x:f>IF(J658="DONE","RETURNED",IF(U658="BLOCKED_PENDING_RECEIPT","SOURCE_TOUCH_REQUIRED","IN_PROGRESS"))</x:f>
        <x:v>SOURCE_TOUCH_REQUIRED</x:v>
      </x:c>
      <x:c r="W658" s="12" t="str">
        <x:f>IF(P658="Unverified","missing_receipt","receipt_logged")</x:f>
        <x:v>missing_receipt</x:v>
      </x:c>
      <x:c r="X658" s="12" t="str">
        <x:f>IF(Q658="Not checked","raw_status_missing","raw_status_logged")</x:f>
        <x:v>raw_status_missing</x:v>
      </x:c>
      <x:c r="Y658" s="12" t="str">
        <x:f>IF(U658="BLOCKED_PENDING_RECEIPT","Log source path or blocker; do not promote","Route to review lane")</x:f>
        <x:v>Log source path or blocker; do not promote</x:v>
      </x:c>
      <x:c r="Z658" s="12" t="str">
        <x:f>IF(K658="P0","Primary seat + Hashlight/Lucerna","Seat lane")</x:f>
        <x:v>Seat lane</x:v>
      </x:c>
      <x:c r="AA658" s="12" t="str">
        <x:f>IF(R658="","no_claim_delta","claim_delta_present")</x:f>
        <x:v>no_claim_delta</x:v>
      </x:c>
      <x:c r="AB658" s="12" t="str">
        <x:f>IF(S658="","no_contradiction_delta","contradiction_delta_present")</x:f>
        <x:v>no_contradiction_delta</x:v>
      </x:c>
      <x:c r="AC658" s="12" t="str">
        <x:f>IF(OR(ISNUMBER(SEARCH("hacker",LOWER(F658&amp;" "&amp;H658&amp;" "&amp;I658&amp;" "&amp;M658&amp;" "&amp;N658&amp;" "&amp;T658))),ISNUMBER(SEARCH("hacking",LOWER(F658&amp;" "&amp;H658&amp;" "&amp;I658&amp;" "&amp;M658&amp;" "&amp;N658&amp;" "&amp;T658))),ISNUMBER(SEARCH("bank",LOWER(F658&amp;" "&amp;H658&amp;" "&amp;I658&amp;" "&amp;M658&amp;" "&amp;N658&amp;" "&amp;T658))),ISNUMBER(SEARCH("banking",LOWER(F658&amp;" "&amp;H658&amp;" "&amp;I658&amp;" "&amp;M658&amp;" "&amp;N658&amp;" "&amp;T658)))),"PRIVATE_QUARANTINE",IF(OR(ISNUMBER(SEARCH("treasury",LOWER(F658&amp;" "&amp;H658&amp;" "&amp;I658&amp;" "&amp;M658&amp;" "&amp;N658&amp;" "&amp;T658))),ISNUMBER(SEARCH("debt",LOWER(F658&amp;" "&amp;H658&amp;" "&amp;I658&amp;" "&amp;M658&amp;" "&amp;N658&amp;" "&amp;T658))),ISNUMBER(SEARCH("bond",LOWER(F658&amp;" "&amp;H658&amp;" "&amp;I658&amp;" "&amp;M658&amp;" "&amp;N658&amp;" "&amp;T658))),ISNUMBER(SEARCH("transaction",LOWER(F658&amp;" "&amp;H658&amp;" "&amp;I658&amp;" "&amp;M658&amp;" "&amp;N658&amp;" "&amp;T658)))),"PRIVATE_REVIEW","PUBLIC_CANDIDATE"))</x:f>
        <x:v>PUBLIC_CANDIDATE</x:v>
      </x:c>
      <x:c r="AD658" s="12" t="str">
        <x:f>IF(AC658="PRIVATE_QUARANTINE","hacker_or_bank_trigger",IF(AC658="PRIVATE_REVIEW","finance_risk_trigger","none"))</x:f>
        <x:v>none</x:v>
      </x:c>
      <x:c r="AE658" s="12" t="str">
        <x:f>IF(AC658="PUBLIC_CANDIDATE","prepare_public_github_candidate",IF(AC658="PRIVATE_REVIEW","hold_for_private_review","quarantine_private_do_not_publish"))</x:f>
        <x:v>prepare_public_github_candidate</x:v>
      </x:c>
      <x:c r="AF658" s="12" t="str">
        <x:f>IF(AC658="PUBLIC_CANDIDATE","TIDELOCK + Lucerna",IF(AC658="PRIVATE_REVIEW","AtlasBrain + Lucerna","TIDELOCK + Lucerna + Human-root"))</x:f>
        <x:v>TIDELOCK + Lucerna</x:v>
      </x:c>
      <x:c r="AG658" s="12" t="str">
        <x:f>IF(AND(AC658="PUBLIC_CANDIDATE",U658&lt;&gt;"BLOCKED_PENDING_RECEIPT"),"READY_AFTER_RECEIPT","NOT_READY")</x:f>
        <x:v>NOT_READY</x:v>
      </x:c>
      <x:c r="AH658" s="12" t="str">
        <x:f>IF(AC658="PUBLIC_CANDIDATE","none",AD658)</x:f>
        <x:v>none</x:v>
      </x:c>
      <x:c r="AI658" s="12" t="str">
        <x:f>IF(AC658="PUBLIC_CANDIDATE","archive/public_candidates/"&amp;A658,"private_quarantine/"&amp;A658)</x:f>
        <x:v>archive/public_candidates/SWARM-05-H07-S09</x:v>
      </x:c>
      <x:c r="AJ658" s="12" t="str">
        <x:f>IF(AC658="PUBLIC_CANDIDATE","public by default; still not canon","private/hold; do not publish")</x:f>
        <x:v>public by default; still not canon</x:v>
      </x:c>
      <x:c r="AK658" s="12" t="str">
        <x:f>IF(AE658="prepare_public_github_candidate","add receipt/status then mirror","resolve blocker before any public GitHub action")</x:f>
        <x:v>add receipt/status then mirror</x:v>
      </x:c>
    </x:row>
    <x:row r="659">
      <x:c r="A659" s="15" t="str">
        <x:v>SWARM-05-H07-S10</x:v>
      </x:c>
      <x:c r="B659" s="15" t="str">
        <x:v>Rootglass</x:v>
      </x:c>
      <x:c r="C659" s="15" t="str">
        <x:v>Canon gate mirror</x:v>
      </x:c>
      <x:c r="D659" s="15" t="str">
        <x:v>Graph Node Proposals</x:v>
      </x:c>
      <x:c r="E659" s="15" t="str">
        <x:v>Human-Root</x:v>
      </x:c>
      <x:c r="F659" s="15" t="str">
        <x:v>Propose graph nodes for Human-Root — Rootglass</x:v>
      </x:c>
      <x:c r="G659" s="15" t="str">
        <x:v>authority boundaries / ratification packets</x:v>
      </x:c>
      <x:c r="H659" s="15" t="str">
        <x:v>source path + receipt + raw/export status + claim/edge/risk delta</x:v>
      </x:c>
      <x:c r="I659" s="15" t="str">
        <x:v>packet/SWARM-05-H07-S10</x:v>
      </x:c>
      <x:c r="J659" s="15" t="str">
        <x:v>TODO</x:v>
      </x:c>
      <x:c r="K659" s="15" t="str">
        <x:v>P2</x:v>
      </x:c>
      <x:c r="L659" s="15" t="str">
        <x:v>Done only when evidence is logged, contradiction search is noted, and boundary stamp remains non-canon unless ratified</x:v>
      </x:c>
      <x:c r="M659" s="15" t="str">
        <x:v>candidate / staging-only / not canon / not deployed / authority none</x:v>
      </x:c>
      <x:c r="N659" s="15" t="str">
        <x:v>Dispatch to Rootglass: complete Graph Node Proposals x Human-Root; return deltas only, receipts required.</x:v>
      </x:c>
      <x:c r="O659" s="15" t="str">
        <x:v>AF-KG-H07-S10</x:v>
      </x:c>
      <x:c r="P659" s="15" t="str">
        <x:v>Unverified</x:v>
      </x:c>
      <x:c r="Q659" s="15" t="str">
        <x:v>Not checked</x:v>
      </x:c>
      <x:c r="R659" s="15" t="str"/>
      <x:c r="S659" s="15" t="str"/>
      <x:c r="T659" s="15" t="str">
        <x:v>Log first source path or blocker</x:v>
      </x:c>
      <x:c r="U659" s="12" t="str">
        <x:f>IF(OR(P659="Unverified",Q659="Not checked"),"BLOCKED_PENDING_RECEIPT","READY_FOR_REVIEW")</x:f>
        <x:v>BLOCKED_PENDING_RECEIPT</x:v>
      </x:c>
      <x:c r="V659" s="12" t="str">
        <x:f>IF(J659="DONE","RETURNED",IF(U659="BLOCKED_PENDING_RECEIPT","SOURCE_TOUCH_REQUIRED","IN_PROGRESS"))</x:f>
        <x:v>SOURCE_TOUCH_REQUIRED</x:v>
      </x:c>
      <x:c r="W659" s="12" t="str">
        <x:f>IF(P659="Unverified","missing_receipt","receipt_logged")</x:f>
        <x:v>missing_receipt</x:v>
      </x:c>
      <x:c r="X659" s="12" t="str">
        <x:f>IF(Q659="Not checked","raw_status_missing","raw_status_logged")</x:f>
        <x:v>raw_status_missing</x:v>
      </x:c>
      <x:c r="Y659" s="12" t="str">
        <x:f>IF(U659="BLOCKED_PENDING_RECEIPT","Log source path or blocker; do not promote","Route to review lane")</x:f>
        <x:v>Log source path or blocker; do not promote</x:v>
      </x:c>
      <x:c r="Z659" s="12" t="str">
        <x:f>IF(K659="P0","Primary seat + Hashlight/Lucerna","Seat lane")</x:f>
        <x:v>Seat lane</x:v>
      </x:c>
      <x:c r="AA659" s="12" t="str">
        <x:f>IF(R659="","no_claim_delta","claim_delta_present")</x:f>
        <x:v>no_claim_delta</x:v>
      </x:c>
      <x:c r="AB659" s="12" t="str">
        <x:f>IF(S659="","no_contradiction_delta","contradiction_delta_present")</x:f>
        <x:v>no_contradiction_delta</x:v>
      </x:c>
      <x:c r="AC659" s="12" t="str">
        <x:f>IF(OR(ISNUMBER(SEARCH("hacker",LOWER(F659&amp;" "&amp;H659&amp;" "&amp;I659&amp;" "&amp;M659&amp;" "&amp;N659&amp;" "&amp;T659))),ISNUMBER(SEARCH("hacking",LOWER(F659&amp;" "&amp;H659&amp;" "&amp;I659&amp;" "&amp;M659&amp;" "&amp;N659&amp;" "&amp;T659))),ISNUMBER(SEARCH("bank",LOWER(F659&amp;" "&amp;H659&amp;" "&amp;I659&amp;" "&amp;M659&amp;" "&amp;N659&amp;" "&amp;T659))),ISNUMBER(SEARCH("banking",LOWER(F659&amp;" "&amp;H659&amp;" "&amp;I659&amp;" "&amp;M659&amp;" "&amp;N659&amp;" "&amp;T659)))),"PRIVATE_QUARANTINE",IF(OR(ISNUMBER(SEARCH("treasury",LOWER(F659&amp;" "&amp;H659&amp;" "&amp;I659&amp;" "&amp;M659&amp;" "&amp;N659&amp;" "&amp;T659))),ISNUMBER(SEARCH("debt",LOWER(F659&amp;" "&amp;H659&amp;" "&amp;I659&amp;" "&amp;M659&amp;" "&amp;N659&amp;" "&amp;T659))),ISNUMBER(SEARCH("bond",LOWER(F659&amp;" "&amp;H659&amp;" "&amp;I659&amp;" "&amp;M659&amp;" "&amp;N659&amp;" "&amp;T659))),ISNUMBER(SEARCH("transaction",LOWER(F659&amp;" "&amp;H659&amp;" "&amp;I659&amp;" "&amp;M659&amp;" "&amp;N659&amp;" "&amp;T659)))),"PRIVATE_REVIEW","PUBLIC_CANDIDATE"))</x:f>
        <x:v>PUBLIC_CANDIDATE</x:v>
      </x:c>
      <x:c r="AD659" s="12" t="str">
        <x:f>IF(AC659="PRIVATE_QUARANTINE","hacker_or_bank_trigger",IF(AC659="PRIVATE_REVIEW","finance_risk_trigger","none"))</x:f>
        <x:v>none</x:v>
      </x:c>
      <x:c r="AE659" s="12" t="str">
        <x:f>IF(AC659="PUBLIC_CANDIDATE","prepare_public_github_candidate",IF(AC659="PRIVATE_REVIEW","hold_for_private_review","quarantine_private_do_not_publish"))</x:f>
        <x:v>prepare_public_github_candidate</x:v>
      </x:c>
      <x:c r="AF659" s="12" t="str">
        <x:f>IF(AC659="PUBLIC_CANDIDATE","TIDELOCK + Lucerna",IF(AC659="PRIVATE_REVIEW","AtlasBrain + Lucerna","TIDELOCK + Lucerna + Human-root"))</x:f>
        <x:v>TIDELOCK + Lucerna</x:v>
      </x:c>
      <x:c r="AG659" s="12" t="str">
        <x:f>IF(AND(AC659="PUBLIC_CANDIDATE",U659&lt;&gt;"BLOCKED_PENDING_RECEIPT"),"READY_AFTER_RECEIPT","NOT_READY")</x:f>
        <x:v>NOT_READY</x:v>
      </x:c>
      <x:c r="AH659" s="12" t="str">
        <x:f>IF(AC659="PUBLIC_CANDIDATE","none",AD659)</x:f>
        <x:v>none</x:v>
      </x:c>
      <x:c r="AI659" s="12" t="str">
        <x:f>IF(AC659="PUBLIC_CANDIDATE","archive/public_candidates/"&amp;A659,"private_quarantine/"&amp;A659)</x:f>
        <x:v>archive/public_candidates/SWARM-05-H07-S10</x:v>
      </x:c>
      <x:c r="AJ659" s="12" t="str">
        <x:f>IF(AC659="PUBLIC_CANDIDATE","public by default; still not canon","private/hold; do not publish")</x:f>
        <x:v>public by default; still not canon</x:v>
      </x:c>
      <x:c r="AK659" s="12" t="str">
        <x:f>IF(AE659="prepare_public_github_candidate","add receipt/status then mirror","resolve blocker before any public GitHub action")</x:f>
        <x:v>add receipt/status then mirror</x:v>
      </x:c>
    </x:row>
    <x:row r="660">
      <x:c r="A660" s="15" t="str">
        <x:v>SWARM-05-H07-S11</x:v>
      </x:c>
      <x:c r="B660" s="15" t="str">
        <x:v>Rootglass</x:v>
      </x:c>
      <x:c r="C660" s="15" t="str">
        <x:v>Canon gate mirror</x:v>
      </x:c>
      <x:c r="D660" s="15" t="str">
        <x:v>Graph Node Proposals</x:v>
      </x:c>
      <x:c r="E660" s="15" t="str">
        <x:v>Automation</x:v>
      </x:c>
      <x:c r="F660" s="15" t="str">
        <x:v>Propose graph nodes for Automation — Rootglass</x:v>
      </x:c>
      <x:c r="G660" s="15" t="str">
        <x:v>authority boundaries / ratification packets</x:v>
      </x:c>
      <x:c r="H660" s="15" t="str">
        <x:v>source path + receipt + raw/export status + claim/edge/risk delta</x:v>
      </x:c>
      <x:c r="I660" s="15" t="str">
        <x:v>packet/SWARM-05-H07-S11</x:v>
      </x:c>
      <x:c r="J660" s="15" t="str">
        <x:v>TODO</x:v>
      </x:c>
      <x:c r="K660" s="15" t="str">
        <x:v>P2</x:v>
      </x:c>
      <x:c r="L660" s="15" t="str">
        <x:v>Done only when evidence is logged, contradiction search is noted, and boundary stamp remains non-canon unless ratified</x:v>
      </x:c>
      <x:c r="M660" s="15" t="str">
        <x:v>candidate / staging-only / not canon / not deployed / authority none</x:v>
      </x:c>
      <x:c r="N660" s="15" t="str">
        <x:v>Dispatch to Rootglass: complete Graph Node Proposals x Automation; return deltas only, receipts required.</x:v>
      </x:c>
      <x:c r="O660" s="15" t="str">
        <x:v>AF-KG-H07-S11</x:v>
      </x:c>
      <x:c r="P660" s="15" t="str">
        <x:v>Unverified</x:v>
      </x:c>
      <x:c r="Q660" s="15" t="str">
        <x:v>Not checked</x:v>
      </x:c>
      <x:c r="R660" s="15" t="str"/>
      <x:c r="S660" s="15" t="str"/>
      <x:c r="T660" s="15" t="str">
        <x:v>Log first source path or blocker</x:v>
      </x:c>
      <x:c r="U660" s="12" t="str">
        <x:f>IF(OR(P660="Unverified",Q660="Not checked"),"BLOCKED_PENDING_RECEIPT","READY_FOR_REVIEW")</x:f>
        <x:v>BLOCKED_PENDING_RECEIPT</x:v>
      </x:c>
      <x:c r="V660" s="12" t="str">
        <x:f>IF(J660="DONE","RETURNED",IF(U660="BLOCKED_PENDING_RECEIPT","SOURCE_TOUCH_REQUIRED","IN_PROGRESS"))</x:f>
        <x:v>SOURCE_TOUCH_REQUIRED</x:v>
      </x:c>
      <x:c r="W660" s="12" t="str">
        <x:f>IF(P660="Unverified","missing_receipt","receipt_logged")</x:f>
        <x:v>missing_receipt</x:v>
      </x:c>
      <x:c r="X660" s="12" t="str">
        <x:f>IF(Q660="Not checked","raw_status_missing","raw_status_logged")</x:f>
        <x:v>raw_status_missing</x:v>
      </x:c>
      <x:c r="Y660" s="12" t="str">
        <x:f>IF(U660="BLOCKED_PENDING_RECEIPT","Log source path or blocker; do not promote","Route to review lane")</x:f>
        <x:v>Log source path or blocker; do not promote</x:v>
      </x:c>
      <x:c r="Z660" s="12" t="str">
        <x:f>IF(K660="P0","Primary seat + Hashlight/Lucerna","Seat lane")</x:f>
        <x:v>Seat lane</x:v>
      </x:c>
      <x:c r="AA660" s="12" t="str">
        <x:f>IF(R660="","no_claim_delta","claim_delta_present")</x:f>
        <x:v>no_claim_delta</x:v>
      </x:c>
      <x:c r="AB660" s="12" t="str">
        <x:f>IF(S660="","no_contradiction_delta","contradiction_delta_present")</x:f>
        <x:v>no_contradiction_delta</x:v>
      </x:c>
      <x:c r="AC660" s="12" t="str">
        <x:f>IF(OR(ISNUMBER(SEARCH("hacker",LOWER(F660&amp;" "&amp;H660&amp;" "&amp;I660&amp;" "&amp;M660&amp;" "&amp;N660&amp;" "&amp;T660))),ISNUMBER(SEARCH("hacking",LOWER(F660&amp;" "&amp;H660&amp;" "&amp;I660&amp;" "&amp;M660&amp;" "&amp;N660&amp;" "&amp;T660))),ISNUMBER(SEARCH("bank",LOWER(F660&amp;" "&amp;H660&amp;" "&amp;I660&amp;" "&amp;M660&amp;" "&amp;N660&amp;" "&amp;T660))),ISNUMBER(SEARCH("banking",LOWER(F660&amp;" "&amp;H660&amp;" "&amp;I660&amp;" "&amp;M660&amp;" "&amp;N660&amp;" "&amp;T660)))),"PRIVATE_QUARANTINE",IF(OR(ISNUMBER(SEARCH("treasury",LOWER(F660&amp;" "&amp;H660&amp;" "&amp;I660&amp;" "&amp;M660&amp;" "&amp;N660&amp;" "&amp;T660))),ISNUMBER(SEARCH("debt",LOWER(F660&amp;" "&amp;H660&amp;" "&amp;I660&amp;" "&amp;M660&amp;" "&amp;N660&amp;" "&amp;T660))),ISNUMBER(SEARCH("bond",LOWER(F660&amp;" "&amp;H660&amp;" "&amp;I660&amp;" "&amp;M660&amp;" "&amp;N660&amp;" "&amp;T660))),ISNUMBER(SEARCH("transaction",LOWER(F660&amp;" "&amp;H660&amp;" "&amp;I660&amp;" "&amp;M660&amp;" "&amp;N660&amp;" "&amp;T660)))),"PRIVATE_REVIEW","PUBLIC_CANDIDATE"))</x:f>
        <x:v>PUBLIC_CANDIDATE</x:v>
      </x:c>
      <x:c r="AD660" s="12" t="str">
        <x:f>IF(AC660="PRIVATE_QUARANTINE","hacker_or_bank_trigger",IF(AC660="PRIVATE_REVIEW","finance_risk_trigger","none"))</x:f>
        <x:v>none</x:v>
      </x:c>
      <x:c r="AE660" s="12" t="str">
        <x:f>IF(AC660="PUBLIC_CANDIDATE","prepare_public_github_candidate",IF(AC660="PRIVATE_REVIEW","hold_for_private_review","quarantine_private_do_not_publish"))</x:f>
        <x:v>prepare_public_github_candidate</x:v>
      </x:c>
      <x:c r="AF660" s="12" t="str">
        <x:f>IF(AC660="PUBLIC_CANDIDATE","TIDELOCK + Lucerna",IF(AC660="PRIVATE_REVIEW","AtlasBrain + Lucerna","TIDELOCK + Lucerna + Human-root"))</x:f>
        <x:v>TIDELOCK + Lucerna</x:v>
      </x:c>
      <x:c r="AG660" s="12" t="str">
        <x:f>IF(AND(AC660="PUBLIC_CANDIDATE",U660&lt;&gt;"BLOCKED_PENDING_RECEIPT"),"READY_AFTER_RECEIPT","NOT_READY")</x:f>
        <x:v>NOT_READY</x:v>
      </x:c>
      <x:c r="AH660" s="12" t="str">
        <x:f>IF(AC660="PUBLIC_CANDIDATE","none",AD660)</x:f>
        <x:v>none</x:v>
      </x:c>
      <x:c r="AI660" s="12" t="str">
        <x:f>IF(AC660="PUBLIC_CANDIDATE","archive/public_candidates/"&amp;A660,"private_quarantine/"&amp;A660)</x:f>
        <x:v>archive/public_candidates/SWARM-05-H07-S11</x:v>
      </x:c>
      <x:c r="AJ660" s="12" t="str">
        <x:f>IF(AC660="PUBLIC_CANDIDATE","public by default; still not canon","private/hold; do not publish")</x:f>
        <x:v>public by default; still not canon</x:v>
      </x:c>
      <x:c r="AK660" s="12" t="str">
        <x:f>IF(AE660="prepare_public_github_candidate","add receipt/status then mirror","resolve blocker before any public GitHub action")</x:f>
        <x:v>add receipt/status then mirror</x:v>
      </x:c>
    </x:row>
    <x:row r="661">
      <x:c r="A661" s="15" t="str">
        <x:v>SWARM-05-H07-S12</x:v>
      </x:c>
      <x:c r="B661" s="15" t="str">
        <x:v>Rootglass</x:v>
      </x:c>
      <x:c r="C661" s="15" t="str">
        <x:v>Canon gate mirror</x:v>
      </x:c>
      <x:c r="D661" s="15" t="str">
        <x:v>Graph Node Proposals</x:v>
      </x:c>
      <x:c r="E661" s="15" t="str">
        <x:v>Risk / Safety</x:v>
      </x:c>
      <x:c r="F661" s="15" t="str">
        <x:v>Propose graph nodes for Risk / Safety — Rootglass</x:v>
      </x:c>
      <x:c r="G661" s="15" t="str">
        <x:v>authority boundaries / ratification packets</x:v>
      </x:c>
      <x:c r="H661" s="15" t="str">
        <x:v>source path + receipt + raw/export status + claim/edge/risk delta</x:v>
      </x:c>
      <x:c r="I661" s="15" t="str">
        <x:v>packet/SWARM-05-H07-S12</x:v>
      </x:c>
      <x:c r="J661" s="15" t="str">
        <x:v>TODO</x:v>
      </x:c>
      <x:c r="K661" s="15" t="str">
        <x:v>P2</x:v>
      </x:c>
      <x:c r="L661" s="15" t="str">
        <x:v>Done only when evidence is logged, contradiction search is noted, and boundary stamp remains non-canon unless ratified</x:v>
      </x:c>
      <x:c r="M661" s="15" t="str">
        <x:v>candidate / staging-only / not canon / not deployed / authority none</x:v>
      </x:c>
      <x:c r="N661" s="15" t="str">
        <x:v>Dispatch to Rootglass: complete Graph Node Proposals x Risk / Safety; return deltas only, receipts required.</x:v>
      </x:c>
      <x:c r="O661" s="15" t="str">
        <x:v>AF-KG-H07-S12</x:v>
      </x:c>
      <x:c r="P661" s="15" t="str">
        <x:v>Unverified</x:v>
      </x:c>
      <x:c r="Q661" s="15" t="str">
        <x:v>Not checked</x:v>
      </x:c>
      <x:c r="R661" s="15" t="str"/>
      <x:c r="S661" s="15" t="str"/>
      <x:c r="T661" s="15" t="str">
        <x:v>Log first source path or blocker</x:v>
      </x:c>
      <x:c r="U661" s="12" t="str">
        <x:f>IF(OR(P661="Unverified",Q661="Not checked"),"BLOCKED_PENDING_RECEIPT","READY_FOR_REVIEW")</x:f>
        <x:v>BLOCKED_PENDING_RECEIPT</x:v>
      </x:c>
      <x:c r="V661" s="12" t="str">
        <x:f>IF(J661="DONE","RETURNED",IF(U661="BLOCKED_PENDING_RECEIPT","SOURCE_TOUCH_REQUIRED","IN_PROGRESS"))</x:f>
        <x:v>SOURCE_TOUCH_REQUIRED</x:v>
      </x:c>
      <x:c r="W661" s="12" t="str">
        <x:f>IF(P661="Unverified","missing_receipt","receipt_logged")</x:f>
        <x:v>missing_receipt</x:v>
      </x:c>
      <x:c r="X661" s="12" t="str">
        <x:f>IF(Q661="Not checked","raw_status_missing","raw_status_logged")</x:f>
        <x:v>raw_status_missing</x:v>
      </x:c>
      <x:c r="Y661" s="12" t="str">
        <x:f>IF(U661="BLOCKED_PENDING_RECEIPT","Log source path or blocker; do not promote","Route to review lane")</x:f>
        <x:v>Log source path or blocker; do not promote</x:v>
      </x:c>
      <x:c r="Z661" s="12" t="str">
        <x:f>IF(K661="P0","Primary seat + Hashlight/Lucerna","Seat lane")</x:f>
        <x:v>Seat lane</x:v>
      </x:c>
      <x:c r="AA661" s="12" t="str">
        <x:f>IF(R661="","no_claim_delta","claim_delta_present")</x:f>
        <x:v>no_claim_delta</x:v>
      </x:c>
      <x:c r="AB661" s="12" t="str">
        <x:f>IF(S661="","no_contradiction_delta","contradiction_delta_present")</x:f>
        <x:v>no_contradiction_delta</x:v>
      </x:c>
      <x:c r="AC661" s="12" t="str">
        <x:f>IF(OR(ISNUMBER(SEARCH("hacker",LOWER(F661&amp;" "&amp;H661&amp;" "&amp;I661&amp;" "&amp;M661&amp;" "&amp;N661&amp;" "&amp;T661))),ISNUMBER(SEARCH("hacking",LOWER(F661&amp;" "&amp;H661&amp;" "&amp;I661&amp;" "&amp;M661&amp;" "&amp;N661&amp;" "&amp;T661))),ISNUMBER(SEARCH("bank",LOWER(F661&amp;" "&amp;H661&amp;" "&amp;I661&amp;" "&amp;M661&amp;" "&amp;N661&amp;" "&amp;T661))),ISNUMBER(SEARCH("banking",LOWER(F661&amp;" "&amp;H661&amp;" "&amp;I661&amp;" "&amp;M661&amp;" "&amp;N661&amp;" "&amp;T661)))),"PRIVATE_QUARANTINE",IF(OR(ISNUMBER(SEARCH("treasury",LOWER(F661&amp;" "&amp;H661&amp;" "&amp;I661&amp;" "&amp;M661&amp;" "&amp;N661&amp;" "&amp;T661))),ISNUMBER(SEARCH("debt",LOWER(F661&amp;" "&amp;H661&amp;" "&amp;I661&amp;" "&amp;M661&amp;" "&amp;N661&amp;" "&amp;T661))),ISNUMBER(SEARCH("bond",LOWER(F661&amp;" "&amp;H661&amp;" "&amp;I661&amp;" "&amp;M661&amp;" "&amp;N661&amp;" "&amp;T661))),ISNUMBER(SEARCH("transaction",LOWER(F661&amp;" "&amp;H661&amp;" "&amp;I661&amp;" "&amp;M661&amp;" "&amp;N661&amp;" "&amp;T661)))),"PRIVATE_REVIEW","PUBLIC_CANDIDATE"))</x:f>
        <x:v>PUBLIC_CANDIDATE</x:v>
      </x:c>
      <x:c r="AD661" s="12" t="str">
        <x:f>IF(AC661="PRIVATE_QUARANTINE","hacker_or_bank_trigger",IF(AC661="PRIVATE_REVIEW","finance_risk_trigger","none"))</x:f>
        <x:v>none</x:v>
      </x:c>
      <x:c r="AE661" s="12" t="str">
        <x:f>IF(AC661="PUBLIC_CANDIDATE","prepare_public_github_candidate",IF(AC661="PRIVATE_REVIEW","hold_for_private_review","quarantine_private_do_not_publish"))</x:f>
        <x:v>prepare_public_github_candidate</x:v>
      </x:c>
      <x:c r="AF661" s="12" t="str">
        <x:f>IF(AC661="PUBLIC_CANDIDATE","TIDELOCK + Lucerna",IF(AC661="PRIVATE_REVIEW","AtlasBrain + Lucerna","TIDELOCK + Lucerna + Human-root"))</x:f>
        <x:v>TIDELOCK + Lucerna</x:v>
      </x:c>
      <x:c r="AG661" s="12" t="str">
        <x:f>IF(AND(AC661="PUBLIC_CANDIDATE",U661&lt;&gt;"BLOCKED_PENDING_RECEIPT"),"READY_AFTER_RECEIPT","NOT_READY")</x:f>
        <x:v>NOT_READY</x:v>
      </x:c>
      <x:c r="AH661" s="12" t="str">
        <x:f>IF(AC661="PUBLIC_CANDIDATE","none",AD661)</x:f>
        <x:v>none</x:v>
      </x:c>
      <x:c r="AI661" s="12" t="str">
        <x:f>IF(AC661="PUBLIC_CANDIDATE","archive/public_candidates/"&amp;A661,"private_quarantine/"&amp;A661)</x:f>
        <x:v>archive/public_candidates/SWARM-05-H07-S12</x:v>
      </x:c>
      <x:c r="AJ661" s="12" t="str">
        <x:f>IF(AC661="PUBLIC_CANDIDATE","public by default; still not canon","private/hold; do not publish")</x:f>
        <x:v>public by default; still not canon</x:v>
      </x:c>
      <x:c r="AK661" s="12" t="str">
        <x:f>IF(AE661="prepare_public_github_candidate","add receipt/status then mirror","resolve blocker before any public GitHub action")</x:f>
        <x:v>add receipt/status then mirror</x:v>
      </x:c>
    </x:row>
    <x:row r="662">
      <x:c r="A662" s="15" t="str">
        <x:v>SWARM-05-H08-S01</x:v>
      </x:c>
      <x:c r="B662" s="15" t="str">
        <x:v>Rootglass</x:v>
      </x:c>
      <x:c r="C662" s="15" t="str">
        <x:v>Canon gate mirror</x:v>
      </x:c>
      <x:c r="D662" s="15" t="str">
        <x:v>Graph Edge Proposals</x:v>
      </x:c>
      <x:c r="E662" s="15" t="str">
        <x:v>Notion</x:v>
      </x:c>
      <x:c r="F662" s="15" t="str">
        <x:v>Propose graph edges for Notion — Rootglass</x:v>
      </x:c>
      <x:c r="G662" s="15" t="str">
        <x:v>authority boundaries / ratification packets</x:v>
      </x:c>
      <x:c r="H662" s="15" t="str">
        <x:v>source path + receipt + raw/export status + claim/edge/risk delta</x:v>
      </x:c>
      <x:c r="I662" s="15" t="str">
        <x:v>packet/SWARM-05-H08-S01</x:v>
      </x:c>
      <x:c r="J662" s="15" t="str">
        <x:v>TODO</x:v>
      </x:c>
      <x:c r="K662" s="15" t="str">
        <x:v>P0</x:v>
      </x:c>
      <x:c r="L662" s="15" t="str">
        <x:v>Done only when evidence is logged, contradiction search is noted, and boundary stamp remains non-canon unless ratified</x:v>
      </x:c>
      <x:c r="M662" s="15" t="str">
        <x:v>candidate / staging-only / not canon / not deployed / authority none</x:v>
      </x:c>
      <x:c r="N662" s="15" t="str">
        <x:v>Dispatch to Rootglass: complete Graph Edge Proposals x Notion; return deltas only, receipts required.</x:v>
      </x:c>
      <x:c r="O662" s="15" t="str">
        <x:v>AF-KG-H08-S01</x:v>
      </x:c>
      <x:c r="P662" s="15" t="str">
        <x:v>Unverified</x:v>
      </x:c>
      <x:c r="Q662" s="15" t="str">
        <x:v>Not checked</x:v>
      </x:c>
      <x:c r="R662" s="15" t="str"/>
      <x:c r="S662" s="15" t="str"/>
      <x:c r="T662" s="15" t="str">
        <x:v>Log first source path or blocker</x:v>
      </x:c>
      <x:c r="U662" s="12" t="str">
        <x:f>IF(OR(P662="Unverified",Q662="Not checked"),"BLOCKED_PENDING_RECEIPT","READY_FOR_REVIEW")</x:f>
        <x:v>BLOCKED_PENDING_RECEIPT</x:v>
      </x:c>
      <x:c r="V662" s="12" t="str">
        <x:f>IF(J662="DONE","RETURNED",IF(U662="BLOCKED_PENDING_RECEIPT","SOURCE_TOUCH_REQUIRED","IN_PROGRESS"))</x:f>
        <x:v>SOURCE_TOUCH_REQUIRED</x:v>
      </x:c>
      <x:c r="W662" s="12" t="str">
        <x:f>IF(P662="Unverified","missing_receipt","receipt_logged")</x:f>
        <x:v>missing_receipt</x:v>
      </x:c>
      <x:c r="X662" s="12" t="str">
        <x:f>IF(Q662="Not checked","raw_status_missing","raw_status_logged")</x:f>
        <x:v>raw_status_missing</x:v>
      </x:c>
      <x:c r="Y662" s="12" t="str">
        <x:f>IF(U662="BLOCKED_PENDING_RECEIPT","Log source path or blocker; do not promote","Route to review lane")</x:f>
        <x:v>Log source path or blocker; do not promote</x:v>
      </x:c>
      <x:c r="Z662" s="12" t="str">
        <x:f>IF(K662="P0","Primary seat + Hashlight/Lucerna","Seat lane")</x:f>
        <x:v>Primary seat + Hashlight/Lucerna</x:v>
      </x:c>
      <x:c r="AA662" s="12" t="str">
        <x:f>IF(R662="","no_claim_delta","claim_delta_present")</x:f>
        <x:v>no_claim_delta</x:v>
      </x:c>
      <x:c r="AB662" s="12" t="str">
        <x:f>IF(S662="","no_contradiction_delta","contradiction_delta_present")</x:f>
        <x:v>no_contradiction_delta</x:v>
      </x:c>
      <x:c r="AC662" s="12" t="str">
        <x:f>IF(OR(ISNUMBER(SEARCH("hacker",LOWER(F662&amp;" "&amp;H662&amp;" "&amp;I662&amp;" "&amp;M662&amp;" "&amp;N662&amp;" "&amp;T662))),ISNUMBER(SEARCH("hacking",LOWER(F662&amp;" "&amp;H662&amp;" "&amp;I662&amp;" "&amp;M662&amp;" "&amp;N662&amp;" "&amp;T662))),ISNUMBER(SEARCH("bank",LOWER(F662&amp;" "&amp;H662&amp;" "&amp;I662&amp;" "&amp;M662&amp;" "&amp;N662&amp;" "&amp;T662))),ISNUMBER(SEARCH("banking",LOWER(F662&amp;" "&amp;H662&amp;" "&amp;I662&amp;" "&amp;M662&amp;" "&amp;N662&amp;" "&amp;T662)))),"PRIVATE_QUARANTINE",IF(OR(ISNUMBER(SEARCH("treasury",LOWER(F662&amp;" "&amp;H662&amp;" "&amp;I662&amp;" "&amp;M662&amp;" "&amp;N662&amp;" "&amp;T662))),ISNUMBER(SEARCH("debt",LOWER(F662&amp;" "&amp;H662&amp;" "&amp;I662&amp;" "&amp;M662&amp;" "&amp;N662&amp;" "&amp;T662))),ISNUMBER(SEARCH("bond",LOWER(F662&amp;" "&amp;H662&amp;" "&amp;I662&amp;" "&amp;M662&amp;" "&amp;N662&amp;" "&amp;T662))),ISNUMBER(SEARCH("transaction",LOWER(F662&amp;" "&amp;H662&amp;" "&amp;I662&amp;" "&amp;M662&amp;" "&amp;N662&amp;" "&amp;T662)))),"PRIVATE_REVIEW","PUBLIC_CANDIDATE"))</x:f>
        <x:v>PUBLIC_CANDIDATE</x:v>
      </x:c>
      <x:c r="AD662" s="12" t="str">
        <x:f>IF(AC662="PRIVATE_QUARANTINE","hacker_or_bank_trigger",IF(AC662="PRIVATE_REVIEW","finance_risk_trigger","none"))</x:f>
        <x:v>none</x:v>
      </x:c>
      <x:c r="AE662" s="12" t="str">
        <x:f>IF(AC662="PUBLIC_CANDIDATE","prepare_public_github_candidate",IF(AC662="PRIVATE_REVIEW","hold_for_private_review","quarantine_private_do_not_publish"))</x:f>
        <x:v>prepare_public_github_candidate</x:v>
      </x:c>
      <x:c r="AF662" s="12" t="str">
        <x:f>IF(AC662="PUBLIC_CANDIDATE","TIDELOCK + Lucerna",IF(AC662="PRIVATE_REVIEW","AtlasBrain + Lucerna","TIDELOCK + Lucerna + Human-root"))</x:f>
        <x:v>TIDELOCK + Lucerna</x:v>
      </x:c>
      <x:c r="AG662" s="12" t="str">
        <x:f>IF(AND(AC662="PUBLIC_CANDIDATE",U662&lt;&gt;"BLOCKED_PENDING_RECEIPT"),"READY_AFTER_RECEIPT","NOT_READY")</x:f>
        <x:v>NOT_READY</x:v>
      </x:c>
      <x:c r="AH662" s="12" t="str">
        <x:f>IF(AC662="PUBLIC_CANDIDATE","none",AD662)</x:f>
        <x:v>none</x:v>
      </x:c>
      <x:c r="AI662" s="12" t="str">
        <x:f>IF(AC662="PUBLIC_CANDIDATE","archive/public_candidates/"&amp;A662,"private_quarantine/"&amp;A662)</x:f>
        <x:v>archive/public_candidates/SWARM-05-H08-S01</x:v>
      </x:c>
      <x:c r="AJ662" s="12" t="str">
        <x:f>IF(AC662="PUBLIC_CANDIDATE","public by default; still not canon","private/hold; do not publish")</x:f>
        <x:v>public by default; still not canon</x:v>
      </x:c>
      <x:c r="AK662" s="12" t="str">
        <x:f>IF(AE662="prepare_public_github_candidate","add receipt/status then mirror","resolve blocker before any public GitHub action")</x:f>
        <x:v>add receipt/status then mirror</x:v>
      </x:c>
    </x:row>
    <x:row r="663">
      <x:c r="A663" s="15" t="str">
        <x:v>SWARM-05-H08-S02</x:v>
      </x:c>
      <x:c r="B663" s="15" t="str">
        <x:v>Rootglass</x:v>
      </x:c>
      <x:c r="C663" s="15" t="str">
        <x:v>Canon gate mirror</x:v>
      </x:c>
      <x:c r="D663" s="15" t="str">
        <x:v>Graph Edge Proposals</x:v>
      </x:c>
      <x:c r="E663" s="15" t="str">
        <x:v>Drive</x:v>
      </x:c>
      <x:c r="F663" s="15" t="str">
        <x:v>Propose graph edges for Drive — Rootglass</x:v>
      </x:c>
      <x:c r="G663" s="15" t="str">
        <x:v>authority boundaries / ratification packets</x:v>
      </x:c>
      <x:c r="H663" s="15" t="str">
        <x:v>source path + receipt + raw/export status + claim/edge/risk delta</x:v>
      </x:c>
      <x:c r="I663" s="15" t="str">
        <x:v>packet/SWARM-05-H08-S02</x:v>
      </x:c>
      <x:c r="J663" s="15" t="str">
        <x:v>TODO</x:v>
      </x:c>
      <x:c r="K663" s="15" t="str">
        <x:v>P0</x:v>
      </x:c>
      <x:c r="L663" s="15" t="str">
        <x:v>Done only when evidence is logged, contradiction search is noted, and boundary stamp remains non-canon unless ratified</x:v>
      </x:c>
      <x:c r="M663" s="15" t="str">
        <x:v>candidate / staging-only / not canon / not deployed / authority none</x:v>
      </x:c>
      <x:c r="N663" s="15" t="str">
        <x:v>Dispatch to Rootglass: complete Graph Edge Proposals x Drive; return deltas only, receipts required.</x:v>
      </x:c>
      <x:c r="O663" s="15" t="str">
        <x:v>AF-KG-H08-S02</x:v>
      </x:c>
      <x:c r="P663" s="15" t="str">
        <x:v>Unverified</x:v>
      </x:c>
      <x:c r="Q663" s="15" t="str">
        <x:v>Not checked</x:v>
      </x:c>
      <x:c r="R663" s="15" t="str"/>
      <x:c r="S663" s="15" t="str"/>
      <x:c r="T663" s="15" t="str">
        <x:v>Log first source path or blocker</x:v>
      </x:c>
      <x:c r="U663" s="12" t="str">
        <x:f>IF(OR(P663="Unverified",Q663="Not checked"),"BLOCKED_PENDING_RECEIPT","READY_FOR_REVIEW")</x:f>
        <x:v>BLOCKED_PENDING_RECEIPT</x:v>
      </x:c>
      <x:c r="V663" s="12" t="str">
        <x:f>IF(J663="DONE","RETURNED",IF(U663="BLOCKED_PENDING_RECEIPT","SOURCE_TOUCH_REQUIRED","IN_PROGRESS"))</x:f>
        <x:v>SOURCE_TOUCH_REQUIRED</x:v>
      </x:c>
      <x:c r="W663" s="12" t="str">
        <x:f>IF(P663="Unverified","missing_receipt","receipt_logged")</x:f>
        <x:v>missing_receipt</x:v>
      </x:c>
      <x:c r="X663" s="12" t="str">
        <x:f>IF(Q663="Not checked","raw_status_missing","raw_status_logged")</x:f>
        <x:v>raw_status_missing</x:v>
      </x:c>
      <x:c r="Y663" s="12" t="str">
        <x:f>IF(U663="BLOCKED_PENDING_RECEIPT","Log source path or blocker; do not promote","Route to review lane")</x:f>
        <x:v>Log source path or blocker; do not promote</x:v>
      </x:c>
      <x:c r="Z663" s="12" t="str">
        <x:f>IF(K663="P0","Primary seat + Hashlight/Lucerna","Seat lane")</x:f>
        <x:v>Primary seat + Hashlight/Lucerna</x:v>
      </x:c>
      <x:c r="AA663" s="12" t="str">
        <x:f>IF(R663="","no_claim_delta","claim_delta_present")</x:f>
        <x:v>no_claim_delta</x:v>
      </x:c>
      <x:c r="AB663" s="12" t="str">
        <x:f>IF(S663="","no_contradiction_delta","contradiction_delta_present")</x:f>
        <x:v>no_contradiction_delta</x:v>
      </x:c>
      <x:c r="AC663" s="12" t="str">
        <x:f>IF(OR(ISNUMBER(SEARCH("hacker",LOWER(F663&amp;" "&amp;H663&amp;" "&amp;I663&amp;" "&amp;M663&amp;" "&amp;N663&amp;" "&amp;T663))),ISNUMBER(SEARCH("hacking",LOWER(F663&amp;" "&amp;H663&amp;" "&amp;I663&amp;" "&amp;M663&amp;" "&amp;N663&amp;" "&amp;T663))),ISNUMBER(SEARCH("bank",LOWER(F663&amp;" "&amp;H663&amp;" "&amp;I663&amp;" "&amp;M663&amp;" "&amp;N663&amp;" "&amp;T663))),ISNUMBER(SEARCH("banking",LOWER(F663&amp;" "&amp;H663&amp;" "&amp;I663&amp;" "&amp;M663&amp;" "&amp;N663&amp;" "&amp;T663)))),"PRIVATE_QUARANTINE",IF(OR(ISNUMBER(SEARCH("treasury",LOWER(F663&amp;" "&amp;H663&amp;" "&amp;I663&amp;" "&amp;M663&amp;" "&amp;N663&amp;" "&amp;T663))),ISNUMBER(SEARCH("debt",LOWER(F663&amp;" "&amp;H663&amp;" "&amp;I663&amp;" "&amp;M663&amp;" "&amp;N663&amp;" "&amp;T663))),ISNUMBER(SEARCH("bond",LOWER(F663&amp;" "&amp;H663&amp;" "&amp;I663&amp;" "&amp;M663&amp;" "&amp;N663&amp;" "&amp;T663))),ISNUMBER(SEARCH("transaction",LOWER(F663&amp;" "&amp;H663&amp;" "&amp;I663&amp;" "&amp;M663&amp;" "&amp;N663&amp;" "&amp;T663)))),"PRIVATE_REVIEW","PUBLIC_CANDIDATE"))</x:f>
        <x:v>PUBLIC_CANDIDATE</x:v>
      </x:c>
      <x:c r="AD663" s="12" t="str">
        <x:f>IF(AC663="PRIVATE_QUARANTINE","hacker_or_bank_trigger",IF(AC663="PRIVATE_REVIEW","finance_risk_trigger","none"))</x:f>
        <x:v>none</x:v>
      </x:c>
      <x:c r="AE663" s="12" t="str">
        <x:f>IF(AC663="PUBLIC_CANDIDATE","prepare_public_github_candidate",IF(AC663="PRIVATE_REVIEW","hold_for_private_review","quarantine_private_do_not_publish"))</x:f>
        <x:v>prepare_public_github_candidate</x:v>
      </x:c>
      <x:c r="AF663" s="12" t="str">
        <x:f>IF(AC663="PUBLIC_CANDIDATE","TIDELOCK + Lucerna",IF(AC663="PRIVATE_REVIEW","AtlasBrain + Lucerna","TIDELOCK + Lucerna + Human-root"))</x:f>
        <x:v>TIDELOCK + Lucerna</x:v>
      </x:c>
      <x:c r="AG663" s="12" t="str">
        <x:f>IF(AND(AC663="PUBLIC_CANDIDATE",U663&lt;&gt;"BLOCKED_PENDING_RECEIPT"),"READY_AFTER_RECEIPT","NOT_READY")</x:f>
        <x:v>NOT_READY</x:v>
      </x:c>
      <x:c r="AH663" s="12" t="str">
        <x:f>IF(AC663="PUBLIC_CANDIDATE","none",AD663)</x:f>
        <x:v>none</x:v>
      </x:c>
      <x:c r="AI663" s="12" t="str">
        <x:f>IF(AC663="PUBLIC_CANDIDATE","archive/public_candidates/"&amp;A663,"private_quarantine/"&amp;A663)</x:f>
        <x:v>archive/public_candidates/SWARM-05-H08-S02</x:v>
      </x:c>
      <x:c r="AJ663" s="12" t="str">
        <x:f>IF(AC663="PUBLIC_CANDIDATE","public by default; still not canon","private/hold; do not publish")</x:f>
        <x:v>public by default; still not canon</x:v>
      </x:c>
      <x:c r="AK663" s="12" t="str">
        <x:f>IF(AE663="prepare_public_github_candidate","add receipt/status then mirror","resolve blocker before any public GitHub action")</x:f>
        <x:v>add receipt/status then mirror</x:v>
      </x:c>
    </x:row>
    <x:row r="664">
      <x:c r="A664" s="15" t="str">
        <x:v>SWARM-05-H08-S03</x:v>
      </x:c>
      <x:c r="B664" s="15" t="str">
        <x:v>Rootglass</x:v>
      </x:c>
      <x:c r="C664" s="15" t="str">
        <x:v>Canon gate mirror</x:v>
      </x:c>
      <x:c r="D664" s="15" t="str">
        <x:v>Graph Edge Proposals</x:v>
      </x:c>
      <x:c r="E664" s="15" t="str">
        <x:v>GitHub</x:v>
      </x:c>
      <x:c r="F664" s="15" t="str">
        <x:v>Propose graph edges for GitHub — Rootglass</x:v>
      </x:c>
      <x:c r="G664" s="15" t="str">
        <x:v>authority boundaries / ratification packets</x:v>
      </x:c>
      <x:c r="H664" s="15" t="str">
        <x:v>source path + receipt + raw/export status + claim/edge/risk delta</x:v>
      </x:c>
      <x:c r="I664" s="15" t="str">
        <x:v>packet/SWARM-05-H08-S03</x:v>
      </x:c>
      <x:c r="J664" s="15" t="str">
        <x:v>TODO</x:v>
      </x:c>
      <x:c r="K664" s="15" t="str">
        <x:v>P0</x:v>
      </x:c>
      <x:c r="L664" s="15" t="str">
        <x:v>Done only when evidence is logged, contradiction search is noted, and boundary stamp remains non-canon unless ratified</x:v>
      </x:c>
      <x:c r="M664" s="15" t="str">
        <x:v>candidate / staging-only / not canon / not deployed / authority none</x:v>
      </x:c>
      <x:c r="N664" s="15" t="str">
        <x:v>Dispatch to Rootglass: complete Graph Edge Proposals x GitHub; return deltas only, receipts required.</x:v>
      </x:c>
      <x:c r="O664" s="15" t="str">
        <x:v>AF-KG-H08-S03</x:v>
      </x:c>
      <x:c r="P664" s="15" t="str">
        <x:v>Unverified</x:v>
      </x:c>
      <x:c r="Q664" s="15" t="str">
        <x:v>Not checked</x:v>
      </x:c>
      <x:c r="R664" s="15" t="str"/>
      <x:c r="S664" s="15" t="str"/>
      <x:c r="T664" s="15" t="str">
        <x:v>Log first source path or blocker</x:v>
      </x:c>
      <x:c r="U664" s="12" t="str">
        <x:f>IF(OR(P664="Unverified",Q664="Not checked"),"BLOCKED_PENDING_RECEIPT","READY_FOR_REVIEW")</x:f>
        <x:v>BLOCKED_PENDING_RECEIPT</x:v>
      </x:c>
      <x:c r="V664" s="12" t="str">
        <x:f>IF(J664="DONE","RETURNED",IF(U664="BLOCKED_PENDING_RECEIPT","SOURCE_TOUCH_REQUIRED","IN_PROGRESS"))</x:f>
        <x:v>SOURCE_TOUCH_REQUIRED</x:v>
      </x:c>
      <x:c r="W664" s="12" t="str">
        <x:f>IF(P664="Unverified","missing_receipt","receipt_logged")</x:f>
        <x:v>missing_receipt</x:v>
      </x:c>
      <x:c r="X664" s="12" t="str">
        <x:f>IF(Q664="Not checked","raw_status_missing","raw_status_logged")</x:f>
        <x:v>raw_status_missing</x:v>
      </x:c>
      <x:c r="Y664" s="12" t="str">
        <x:f>IF(U664="BLOCKED_PENDING_RECEIPT","Log source path or blocker; do not promote","Route to review lane")</x:f>
        <x:v>Log source path or blocker; do not promote</x:v>
      </x:c>
      <x:c r="Z664" s="12" t="str">
        <x:f>IF(K664="P0","Primary seat + Hashlight/Lucerna","Seat lane")</x:f>
        <x:v>Primary seat + Hashlight/Lucerna</x:v>
      </x:c>
      <x:c r="AA664" s="12" t="str">
        <x:f>IF(R664="","no_claim_delta","claim_delta_present")</x:f>
        <x:v>no_claim_delta</x:v>
      </x:c>
      <x:c r="AB664" s="12" t="str">
        <x:f>IF(S664="","no_contradiction_delta","contradiction_delta_present")</x:f>
        <x:v>no_contradiction_delta</x:v>
      </x:c>
      <x:c r="AC664" s="12" t="str">
        <x:f>IF(OR(ISNUMBER(SEARCH("hacker",LOWER(F664&amp;" "&amp;H664&amp;" "&amp;I664&amp;" "&amp;M664&amp;" "&amp;N664&amp;" "&amp;T664))),ISNUMBER(SEARCH("hacking",LOWER(F664&amp;" "&amp;H664&amp;" "&amp;I664&amp;" "&amp;M664&amp;" "&amp;N664&amp;" "&amp;T664))),ISNUMBER(SEARCH("bank",LOWER(F664&amp;" "&amp;H664&amp;" "&amp;I664&amp;" "&amp;M664&amp;" "&amp;N664&amp;" "&amp;T664))),ISNUMBER(SEARCH("banking",LOWER(F664&amp;" "&amp;H664&amp;" "&amp;I664&amp;" "&amp;M664&amp;" "&amp;N664&amp;" "&amp;T664)))),"PRIVATE_QUARANTINE",IF(OR(ISNUMBER(SEARCH("treasury",LOWER(F664&amp;" "&amp;H664&amp;" "&amp;I664&amp;" "&amp;M664&amp;" "&amp;N664&amp;" "&amp;T664))),ISNUMBER(SEARCH("debt",LOWER(F664&amp;" "&amp;H664&amp;" "&amp;I664&amp;" "&amp;M664&amp;" "&amp;N664&amp;" "&amp;T664))),ISNUMBER(SEARCH("bond",LOWER(F664&amp;" "&amp;H664&amp;" "&amp;I664&amp;" "&amp;M664&amp;" "&amp;N664&amp;" "&amp;T664))),ISNUMBER(SEARCH("transaction",LOWER(F664&amp;" "&amp;H664&amp;" "&amp;I664&amp;" "&amp;M664&amp;" "&amp;N664&amp;" "&amp;T664)))),"PRIVATE_REVIEW","PUBLIC_CANDIDATE"))</x:f>
        <x:v>PUBLIC_CANDIDATE</x:v>
      </x:c>
      <x:c r="AD664" s="12" t="str">
        <x:f>IF(AC664="PRIVATE_QUARANTINE","hacker_or_bank_trigger",IF(AC664="PRIVATE_REVIEW","finance_risk_trigger","none"))</x:f>
        <x:v>none</x:v>
      </x:c>
      <x:c r="AE664" s="12" t="str">
        <x:f>IF(AC664="PUBLIC_CANDIDATE","prepare_public_github_candidate",IF(AC664="PRIVATE_REVIEW","hold_for_private_review","quarantine_private_do_not_publish"))</x:f>
        <x:v>prepare_public_github_candidate</x:v>
      </x:c>
      <x:c r="AF664" s="12" t="str">
        <x:f>IF(AC664="PUBLIC_CANDIDATE","TIDELOCK + Lucerna",IF(AC664="PRIVATE_REVIEW","AtlasBrain + Lucerna","TIDELOCK + Lucerna + Human-root"))</x:f>
        <x:v>TIDELOCK + Lucerna</x:v>
      </x:c>
      <x:c r="AG664" s="12" t="str">
        <x:f>IF(AND(AC664="PUBLIC_CANDIDATE",U664&lt;&gt;"BLOCKED_PENDING_RECEIPT"),"READY_AFTER_RECEIPT","NOT_READY")</x:f>
        <x:v>NOT_READY</x:v>
      </x:c>
      <x:c r="AH664" s="12" t="str">
        <x:f>IF(AC664="PUBLIC_CANDIDATE","none",AD664)</x:f>
        <x:v>none</x:v>
      </x:c>
      <x:c r="AI664" s="12" t="str">
        <x:f>IF(AC664="PUBLIC_CANDIDATE","archive/public_candidates/"&amp;A664,"private_quarantine/"&amp;A664)</x:f>
        <x:v>archive/public_candidates/SWARM-05-H08-S03</x:v>
      </x:c>
      <x:c r="AJ664" s="12" t="str">
        <x:f>IF(AC664="PUBLIC_CANDIDATE","public by default; still not canon","private/hold; do not publish")</x:f>
        <x:v>public by default; still not canon</x:v>
      </x:c>
      <x:c r="AK664" s="12" t="str">
        <x:f>IF(AE664="prepare_public_github_candidate","add receipt/status then mirror","resolve blocker before any public GitHub action")</x:f>
        <x:v>add receipt/status then mirror</x:v>
      </x:c>
    </x:row>
    <x:row r="665">
      <x:c r="A665" s="15" t="str">
        <x:v>SWARM-05-H08-S04</x:v>
      </x:c>
      <x:c r="B665" s="15" t="str">
        <x:v>Rootglass</x:v>
      </x:c>
      <x:c r="C665" s="15" t="str">
        <x:v>Canon gate mirror</x:v>
      </x:c>
      <x:c r="D665" s="15" t="str">
        <x:v>Graph Edge Proposals</x:v>
      </x:c>
      <x:c r="E665" s="15" t="str">
        <x:v>Gamma</x:v>
      </x:c>
      <x:c r="F665" s="15" t="str">
        <x:v>Propose graph edges for Gamma — Rootglass</x:v>
      </x:c>
      <x:c r="G665" s="15" t="str">
        <x:v>authority boundaries / ratification packets</x:v>
      </x:c>
      <x:c r="H665" s="15" t="str">
        <x:v>source path + receipt + raw/export status + claim/edge/risk delta</x:v>
      </x:c>
      <x:c r="I665" s="15" t="str">
        <x:v>packet/SWARM-05-H08-S04</x:v>
      </x:c>
      <x:c r="J665" s="15" t="str">
        <x:v>TODO</x:v>
      </x:c>
      <x:c r="K665" s="15" t="str">
        <x:v>P1</x:v>
      </x:c>
      <x:c r="L665" s="15" t="str">
        <x:v>Done only when evidence is logged, contradiction search is noted, and boundary stamp remains non-canon unless ratified</x:v>
      </x:c>
      <x:c r="M665" s="15" t="str">
        <x:v>candidate / staging-only / not canon / not deployed / authority none</x:v>
      </x:c>
      <x:c r="N665" s="15" t="str">
        <x:v>Dispatch to Rootglass: complete Graph Edge Proposals x Gamma; return deltas only, receipts required.</x:v>
      </x:c>
      <x:c r="O665" s="15" t="str">
        <x:v>AF-KG-H08-S04</x:v>
      </x:c>
      <x:c r="P665" s="15" t="str">
        <x:v>Unverified</x:v>
      </x:c>
      <x:c r="Q665" s="15" t="str">
        <x:v>Not checked</x:v>
      </x:c>
      <x:c r="R665" s="15" t="str"/>
      <x:c r="S665" s="15" t="str"/>
      <x:c r="T665" s="15" t="str">
        <x:v>Log first source path or blocker</x:v>
      </x:c>
      <x:c r="U665" s="12" t="str">
        <x:f>IF(OR(P665="Unverified",Q665="Not checked"),"BLOCKED_PENDING_RECEIPT","READY_FOR_REVIEW")</x:f>
        <x:v>BLOCKED_PENDING_RECEIPT</x:v>
      </x:c>
      <x:c r="V665" s="12" t="str">
        <x:f>IF(J665="DONE","RETURNED",IF(U665="BLOCKED_PENDING_RECEIPT","SOURCE_TOUCH_REQUIRED","IN_PROGRESS"))</x:f>
        <x:v>SOURCE_TOUCH_REQUIRED</x:v>
      </x:c>
      <x:c r="W665" s="12" t="str">
        <x:f>IF(P665="Unverified","missing_receipt","receipt_logged")</x:f>
        <x:v>missing_receipt</x:v>
      </x:c>
      <x:c r="X665" s="12" t="str">
        <x:f>IF(Q665="Not checked","raw_status_missing","raw_status_logged")</x:f>
        <x:v>raw_status_missing</x:v>
      </x:c>
      <x:c r="Y665" s="12" t="str">
        <x:f>IF(U665="BLOCKED_PENDING_RECEIPT","Log source path or blocker; do not promote","Route to review lane")</x:f>
        <x:v>Log source path or blocker; do not promote</x:v>
      </x:c>
      <x:c r="Z665" s="12" t="str">
        <x:f>IF(K665="P0","Primary seat + Hashlight/Lucerna","Seat lane")</x:f>
        <x:v>Seat lane</x:v>
      </x:c>
      <x:c r="AA665" s="12" t="str">
        <x:f>IF(R665="","no_claim_delta","claim_delta_present")</x:f>
        <x:v>no_claim_delta</x:v>
      </x:c>
      <x:c r="AB665" s="12" t="str">
        <x:f>IF(S665="","no_contradiction_delta","contradiction_delta_present")</x:f>
        <x:v>no_contradiction_delta</x:v>
      </x:c>
      <x:c r="AC665" s="12" t="str">
        <x:f>IF(OR(ISNUMBER(SEARCH("hacker",LOWER(F665&amp;" "&amp;H665&amp;" "&amp;I665&amp;" "&amp;M665&amp;" "&amp;N665&amp;" "&amp;T665))),ISNUMBER(SEARCH("hacking",LOWER(F665&amp;" "&amp;H665&amp;" "&amp;I665&amp;" "&amp;M665&amp;" "&amp;N665&amp;" "&amp;T665))),ISNUMBER(SEARCH("bank",LOWER(F665&amp;" "&amp;H665&amp;" "&amp;I665&amp;" "&amp;M665&amp;" "&amp;N665&amp;" "&amp;T665))),ISNUMBER(SEARCH("banking",LOWER(F665&amp;" "&amp;H665&amp;" "&amp;I665&amp;" "&amp;M665&amp;" "&amp;N665&amp;" "&amp;T665)))),"PRIVATE_QUARANTINE",IF(OR(ISNUMBER(SEARCH("treasury",LOWER(F665&amp;" "&amp;H665&amp;" "&amp;I665&amp;" "&amp;M665&amp;" "&amp;N665&amp;" "&amp;T665))),ISNUMBER(SEARCH("debt",LOWER(F665&amp;" "&amp;H665&amp;" "&amp;I665&amp;" "&amp;M665&amp;" "&amp;N665&amp;" "&amp;T665))),ISNUMBER(SEARCH("bond",LOWER(F665&amp;" "&amp;H665&amp;" "&amp;I665&amp;" "&amp;M665&amp;" "&amp;N665&amp;" "&amp;T665))),ISNUMBER(SEARCH("transaction",LOWER(F665&amp;" "&amp;H665&amp;" "&amp;I665&amp;" "&amp;M665&amp;" "&amp;N665&amp;" "&amp;T665)))),"PRIVATE_REVIEW","PUBLIC_CANDIDATE"))</x:f>
        <x:v>PUBLIC_CANDIDATE</x:v>
      </x:c>
      <x:c r="AD665" s="12" t="str">
        <x:f>IF(AC665="PRIVATE_QUARANTINE","hacker_or_bank_trigger",IF(AC665="PRIVATE_REVIEW","finance_risk_trigger","none"))</x:f>
        <x:v>none</x:v>
      </x:c>
      <x:c r="AE665" s="12" t="str">
        <x:f>IF(AC665="PUBLIC_CANDIDATE","prepare_public_github_candidate",IF(AC665="PRIVATE_REVIEW","hold_for_private_review","quarantine_private_do_not_publish"))</x:f>
        <x:v>prepare_public_github_candidate</x:v>
      </x:c>
      <x:c r="AF665" s="12" t="str">
        <x:f>IF(AC665="PUBLIC_CANDIDATE","TIDELOCK + Lucerna",IF(AC665="PRIVATE_REVIEW","AtlasBrain + Lucerna","TIDELOCK + Lucerna + Human-root"))</x:f>
        <x:v>TIDELOCK + Lucerna</x:v>
      </x:c>
      <x:c r="AG665" s="12" t="str">
        <x:f>IF(AND(AC665="PUBLIC_CANDIDATE",U665&lt;&gt;"BLOCKED_PENDING_RECEIPT"),"READY_AFTER_RECEIPT","NOT_READY")</x:f>
        <x:v>NOT_READY</x:v>
      </x:c>
      <x:c r="AH665" s="12" t="str">
        <x:f>IF(AC665="PUBLIC_CANDIDATE","none",AD665)</x:f>
        <x:v>none</x:v>
      </x:c>
      <x:c r="AI665" s="12" t="str">
        <x:f>IF(AC665="PUBLIC_CANDIDATE","archive/public_candidates/"&amp;A665,"private_quarantine/"&amp;A665)</x:f>
        <x:v>archive/public_candidates/SWARM-05-H08-S04</x:v>
      </x:c>
      <x:c r="AJ665" s="12" t="str">
        <x:f>IF(AC665="PUBLIC_CANDIDATE","public by default; still not canon","private/hold; do not publish")</x:f>
        <x:v>public by default; still not canon</x:v>
      </x:c>
      <x:c r="AK665" s="12" t="str">
        <x:f>IF(AE665="prepare_public_github_candidate","add receipt/status then mirror","resolve blocker before any public GitHub action")</x:f>
        <x:v>add receipt/status then mirror</x:v>
      </x:c>
    </x:row>
    <x:row r="666">
      <x:c r="A666" s="15" t="str">
        <x:v>SWARM-05-H08-S05</x:v>
      </x:c>
      <x:c r="B666" s="15" t="str">
        <x:v>Rootglass</x:v>
      </x:c>
      <x:c r="C666" s="15" t="str">
        <x:v>Canon gate mirror</x:v>
      </x:c>
      <x:c r="D666" s="15" t="str">
        <x:v>Graph Edge Proposals</x:v>
      </x:c>
      <x:c r="E666" s="15" t="str">
        <x:v>Chat</x:v>
      </x:c>
      <x:c r="F666" s="15" t="str">
        <x:v>Propose graph edges for Chat — Rootglass</x:v>
      </x:c>
      <x:c r="G666" s="15" t="str">
        <x:v>authority boundaries / ratification packets</x:v>
      </x:c>
      <x:c r="H666" s="15" t="str">
        <x:v>source path + receipt + raw/export status + claim/edge/risk delta</x:v>
      </x:c>
      <x:c r="I666" s="15" t="str">
        <x:v>packet/SWARM-05-H08-S05</x:v>
      </x:c>
      <x:c r="J666" s="15" t="str">
        <x:v>TODO</x:v>
      </x:c>
      <x:c r="K666" s="15" t="str">
        <x:v>P1</x:v>
      </x:c>
      <x:c r="L666" s="15" t="str">
        <x:v>Done only when evidence is logged, contradiction search is noted, and boundary stamp remains non-canon unless ratified</x:v>
      </x:c>
      <x:c r="M666" s="15" t="str">
        <x:v>candidate / staging-only / not canon / not deployed / authority none</x:v>
      </x:c>
      <x:c r="N666" s="15" t="str">
        <x:v>Dispatch to Rootglass: complete Graph Edge Proposals x Chat; return deltas only, receipts required.</x:v>
      </x:c>
      <x:c r="O666" s="15" t="str">
        <x:v>AF-KG-H08-S05</x:v>
      </x:c>
      <x:c r="P666" s="15" t="str">
        <x:v>Unverified</x:v>
      </x:c>
      <x:c r="Q666" s="15" t="str">
        <x:v>Not checked</x:v>
      </x:c>
      <x:c r="R666" s="15" t="str"/>
      <x:c r="S666" s="15" t="str"/>
      <x:c r="T666" s="15" t="str">
        <x:v>Log first source path or blocker</x:v>
      </x:c>
      <x:c r="U666" s="12" t="str">
        <x:f>IF(OR(P666="Unverified",Q666="Not checked"),"BLOCKED_PENDING_RECEIPT","READY_FOR_REVIEW")</x:f>
        <x:v>BLOCKED_PENDING_RECEIPT</x:v>
      </x:c>
      <x:c r="V666" s="12" t="str">
        <x:f>IF(J666="DONE","RETURNED",IF(U666="BLOCKED_PENDING_RECEIPT","SOURCE_TOUCH_REQUIRED","IN_PROGRESS"))</x:f>
        <x:v>SOURCE_TOUCH_REQUIRED</x:v>
      </x:c>
      <x:c r="W666" s="12" t="str">
        <x:f>IF(P666="Unverified","missing_receipt","receipt_logged")</x:f>
        <x:v>missing_receipt</x:v>
      </x:c>
      <x:c r="X666" s="12" t="str">
        <x:f>IF(Q666="Not checked","raw_status_missing","raw_status_logged")</x:f>
        <x:v>raw_status_missing</x:v>
      </x:c>
      <x:c r="Y666" s="12" t="str">
        <x:f>IF(U666="BLOCKED_PENDING_RECEIPT","Log source path or blocker; do not promote","Route to review lane")</x:f>
        <x:v>Log source path or blocker; do not promote</x:v>
      </x:c>
      <x:c r="Z666" s="12" t="str">
        <x:f>IF(K666="P0","Primary seat + Hashlight/Lucerna","Seat lane")</x:f>
        <x:v>Seat lane</x:v>
      </x:c>
      <x:c r="AA666" s="12" t="str">
        <x:f>IF(R666="","no_claim_delta","claim_delta_present")</x:f>
        <x:v>no_claim_delta</x:v>
      </x:c>
      <x:c r="AB666" s="12" t="str">
        <x:f>IF(S666="","no_contradiction_delta","contradiction_delta_present")</x:f>
        <x:v>no_contradiction_delta</x:v>
      </x:c>
      <x:c r="AC666" s="12" t="str">
        <x:f>IF(OR(ISNUMBER(SEARCH("hacker",LOWER(F666&amp;" "&amp;H666&amp;" "&amp;I666&amp;" "&amp;M666&amp;" "&amp;N666&amp;" "&amp;T666))),ISNUMBER(SEARCH("hacking",LOWER(F666&amp;" "&amp;H666&amp;" "&amp;I666&amp;" "&amp;M666&amp;" "&amp;N666&amp;" "&amp;T666))),ISNUMBER(SEARCH("bank",LOWER(F666&amp;" "&amp;H666&amp;" "&amp;I666&amp;" "&amp;M666&amp;" "&amp;N666&amp;" "&amp;T666))),ISNUMBER(SEARCH("banking",LOWER(F666&amp;" "&amp;H666&amp;" "&amp;I666&amp;" "&amp;M666&amp;" "&amp;N666&amp;" "&amp;T666)))),"PRIVATE_QUARANTINE",IF(OR(ISNUMBER(SEARCH("treasury",LOWER(F666&amp;" "&amp;H666&amp;" "&amp;I666&amp;" "&amp;M666&amp;" "&amp;N666&amp;" "&amp;T666))),ISNUMBER(SEARCH("debt",LOWER(F666&amp;" "&amp;H666&amp;" "&amp;I666&amp;" "&amp;M666&amp;" "&amp;N666&amp;" "&amp;T666))),ISNUMBER(SEARCH("bond",LOWER(F666&amp;" "&amp;H666&amp;" "&amp;I666&amp;" "&amp;M666&amp;" "&amp;N666&amp;" "&amp;T666))),ISNUMBER(SEARCH("transaction",LOWER(F666&amp;" "&amp;H666&amp;" "&amp;I666&amp;" "&amp;M666&amp;" "&amp;N666&amp;" "&amp;T666)))),"PRIVATE_REVIEW","PUBLIC_CANDIDATE"))</x:f>
        <x:v>PUBLIC_CANDIDATE</x:v>
      </x:c>
      <x:c r="AD666" s="12" t="str">
        <x:f>IF(AC666="PRIVATE_QUARANTINE","hacker_or_bank_trigger",IF(AC666="PRIVATE_REVIEW","finance_risk_trigger","none"))</x:f>
        <x:v>none</x:v>
      </x:c>
      <x:c r="AE666" s="12" t="str">
        <x:f>IF(AC666="PUBLIC_CANDIDATE","prepare_public_github_candidate",IF(AC666="PRIVATE_REVIEW","hold_for_private_review","quarantine_private_do_not_publish"))</x:f>
        <x:v>prepare_public_github_candidate</x:v>
      </x:c>
      <x:c r="AF666" s="12" t="str">
        <x:f>IF(AC666="PUBLIC_CANDIDATE","TIDELOCK + Lucerna",IF(AC666="PRIVATE_REVIEW","AtlasBrain + Lucerna","TIDELOCK + Lucerna + Human-root"))</x:f>
        <x:v>TIDELOCK + Lucerna</x:v>
      </x:c>
      <x:c r="AG666" s="12" t="str">
        <x:f>IF(AND(AC666="PUBLIC_CANDIDATE",U666&lt;&gt;"BLOCKED_PENDING_RECEIPT"),"READY_AFTER_RECEIPT","NOT_READY")</x:f>
        <x:v>NOT_READY</x:v>
      </x:c>
      <x:c r="AH666" s="12" t="str">
        <x:f>IF(AC666="PUBLIC_CANDIDATE","none",AD666)</x:f>
        <x:v>none</x:v>
      </x:c>
      <x:c r="AI666" s="12" t="str">
        <x:f>IF(AC666="PUBLIC_CANDIDATE","archive/public_candidates/"&amp;A666,"private_quarantine/"&amp;A666)</x:f>
        <x:v>archive/public_candidates/SWARM-05-H08-S05</x:v>
      </x:c>
      <x:c r="AJ666" s="12" t="str">
        <x:f>IF(AC666="PUBLIC_CANDIDATE","public by default; still not canon","private/hold; do not publish")</x:f>
        <x:v>public by default; still not canon</x:v>
      </x:c>
      <x:c r="AK666" s="12" t="str">
        <x:f>IF(AE666="prepare_public_github_candidate","add receipt/status then mirror","resolve blocker before any public GitHub action")</x:f>
        <x:v>add receipt/status then mirror</x:v>
      </x:c>
    </x:row>
    <x:row r="667">
      <x:c r="A667" s="15" t="str">
        <x:v>SWARM-05-H08-S06</x:v>
      </x:c>
      <x:c r="B667" s="15" t="str">
        <x:v>Rootglass</x:v>
      </x:c>
      <x:c r="C667" s="15" t="str">
        <x:v>Canon gate mirror</x:v>
      </x:c>
      <x:c r="D667" s="15" t="str">
        <x:v>Graph Edge Proposals</x:v>
      </x:c>
      <x:c r="E667" s="15" t="str">
        <x:v>External Web</x:v>
      </x:c>
      <x:c r="F667" s="15" t="str">
        <x:v>Propose graph edges for External Web — Rootglass</x:v>
      </x:c>
      <x:c r="G667" s="15" t="str">
        <x:v>authority boundaries / ratification packets</x:v>
      </x:c>
      <x:c r="H667" s="15" t="str">
        <x:v>source path + receipt + raw/export status + claim/edge/risk delta</x:v>
      </x:c>
      <x:c r="I667" s="15" t="str">
        <x:v>packet/SWARM-05-H08-S06</x:v>
      </x:c>
      <x:c r="J667" s="15" t="str">
        <x:v>TODO</x:v>
      </x:c>
      <x:c r="K667" s="15" t="str">
        <x:v>P1</x:v>
      </x:c>
      <x:c r="L667" s="15" t="str">
        <x:v>Done only when evidence is logged, contradiction search is noted, and boundary stamp remains non-canon unless ratified</x:v>
      </x:c>
      <x:c r="M667" s="15" t="str">
        <x:v>candidate / staging-only / not canon / not deployed / authority none</x:v>
      </x:c>
      <x:c r="N667" s="15" t="str">
        <x:v>Dispatch to Rootglass: complete Graph Edge Proposals x External Web; return deltas only, receipts required.</x:v>
      </x:c>
      <x:c r="O667" s="15" t="str">
        <x:v>AF-KG-H08-S06</x:v>
      </x:c>
      <x:c r="P667" s="15" t="str">
        <x:v>Unverified</x:v>
      </x:c>
      <x:c r="Q667" s="15" t="str">
        <x:v>Not checked</x:v>
      </x:c>
      <x:c r="R667" s="15" t="str"/>
      <x:c r="S667" s="15" t="str"/>
      <x:c r="T667" s="15" t="str">
        <x:v>Log first source path or blocker</x:v>
      </x:c>
      <x:c r="U667" s="12" t="str">
        <x:f>IF(OR(P667="Unverified",Q667="Not checked"),"BLOCKED_PENDING_RECEIPT","READY_FOR_REVIEW")</x:f>
        <x:v>BLOCKED_PENDING_RECEIPT</x:v>
      </x:c>
      <x:c r="V667" s="12" t="str">
        <x:f>IF(J667="DONE","RETURNED",IF(U667="BLOCKED_PENDING_RECEIPT","SOURCE_TOUCH_REQUIRED","IN_PROGRESS"))</x:f>
        <x:v>SOURCE_TOUCH_REQUIRED</x:v>
      </x:c>
      <x:c r="W667" s="12" t="str">
        <x:f>IF(P667="Unverified","missing_receipt","receipt_logged")</x:f>
        <x:v>missing_receipt</x:v>
      </x:c>
      <x:c r="X667" s="12" t="str">
        <x:f>IF(Q667="Not checked","raw_status_missing","raw_status_logged")</x:f>
        <x:v>raw_status_missing</x:v>
      </x:c>
      <x:c r="Y667" s="12" t="str">
        <x:f>IF(U667="BLOCKED_PENDING_RECEIPT","Log source path or blocker; do not promote","Route to review lane")</x:f>
        <x:v>Log source path or blocker; do not promote</x:v>
      </x:c>
      <x:c r="Z667" s="12" t="str">
        <x:f>IF(K667="P0","Primary seat + Hashlight/Lucerna","Seat lane")</x:f>
        <x:v>Seat lane</x:v>
      </x:c>
      <x:c r="AA667" s="12" t="str">
        <x:f>IF(R667="","no_claim_delta","claim_delta_present")</x:f>
        <x:v>no_claim_delta</x:v>
      </x:c>
      <x:c r="AB667" s="12" t="str">
        <x:f>IF(S667="","no_contradiction_delta","contradiction_delta_present")</x:f>
        <x:v>no_contradiction_delta</x:v>
      </x:c>
      <x:c r="AC667" s="12" t="str">
        <x:f>IF(OR(ISNUMBER(SEARCH("hacker",LOWER(F667&amp;" "&amp;H667&amp;" "&amp;I667&amp;" "&amp;M667&amp;" "&amp;N667&amp;" "&amp;T667))),ISNUMBER(SEARCH("hacking",LOWER(F667&amp;" "&amp;H667&amp;" "&amp;I667&amp;" "&amp;M667&amp;" "&amp;N667&amp;" "&amp;T667))),ISNUMBER(SEARCH("bank",LOWER(F667&amp;" "&amp;H667&amp;" "&amp;I667&amp;" "&amp;M667&amp;" "&amp;N667&amp;" "&amp;T667))),ISNUMBER(SEARCH("banking",LOWER(F667&amp;" "&amp;H667&amp;" "&amp;I667&amp;" "&amp;M667&amp;" "&amp;N667&amp;" "&amp;T667)))),"PRIVATE_QUARANTINE",IF(OR(ISNUMBER(SEARCH("treasury",LOWER(F667&amp;" "&amp;H667&amp;" "&amp;I667&amp;" "&amp;M667&amp;" "&amp;N667&amp;" "&amp;T667))),ISNUMBER(SEARCH("debt",LOWER(F667&amp;" "&amp;H667&amp;" "&amp;I667&amp;" "&amp;M667&amp;" "&amp;N667&amp;" "&amp;T667))),ISNUMBER(SEARCH("bond",LOWER(F667&amp;" "&amp;H667&amp;" "&amp;I667&amp;" "&amp;M667&amp;" "&amp;N667&amp;" "&amp;T667))),ISNUMBER(SEARCH("transaction",LOWER(F667&amp;" "&amp;H667&amp;" "&amp;I667&amp;" "&amp;M667&amp;" "&amp;N667&amp;" "&amp;T667)))),"PRIVATE_REVIEW","PUBLIC_CANDIDATE"))</x:f>
        <x:v>PUBLIC_CANDIDATE</x:v>
      </x:c>
      <x:c r="AD667" s="12" t="str">
        <x:f>IF(AC667="PRIVATE_QUARANTINE","hacker_or_bank_trigger",IF(AC667="PRIVATE_REVIEW","finance_risk_trigger","none"))</x:f>
        <x:v>none</x:v>
      </x:c>
      <x:c r="AE667" s="12" t="str">
        <x:f>IF(AC667="PUBLIC_CANDIDATE","prepare_public_github_candidate",IF(AC667="PRIVATE_REVIEW","hold_for_private_review","quarantine_private_do_not_publish"))</x:f>
        <x:v>prepare_public_github_candidate</x:v>
      </x:c>
      <x:c r="AF667" s="12" t="str">
        <x:f>IF(AC667="PUBLIC_CANDIDATE","TIDELOCK + Lucerna",IF(AC667="PRIVATE_REVIEW","AtlasBrain + Lucerna","TIDELOCK + Lucerna + Human-root"))</x:f>
        <x:v>TIDELOCK + Lucerna</x:v>
      </x:c>
      <x:c r="AG667" s="12" t="str">
        <x:f>IF(AND(AC667="PUBLIC_CANDIDATE",U667&lt;&gt;"BLOCKED_PENDING_RECEIPT"),"READY_AFTER_RECEIPT","NOT_READY")</x:f>
        <x:v>NOT_READY</x:v>
      </x:c>
      <x:c r="AH667" s="12" t="str">
        <x:f>IF(AC667="PUBLIC_CANDIDATE","none",AD667)</x:f>
        <x:v>none</x:v>
      </x:c>
      <x:c r="AI667" s="12" t="str">
        <x:f>IF(AC667="PUBLIC_CANDIDATE","archive/public_candidates/"&amp;A667,"private_quarantine/"&amp;A667)</x:f>
        <x:v>archive/public_candidates/SWARM-05-H08-S06</x:v>
      </x:c>
      <x:c r="AJ667" s="12" t="str">
        <x:f>IF(AC667="PUBLIC_CANDIDATE","public by default; still not canon","private/hold; do not publish")</x:f>
        <x:v>public by default; still not canon</x:v>
      </x:c>
      <x:c r="AK667" s="12" t="str">
        <x:f>IF(AE667="prepare_public_github_candidate","add receipt/status then mirror","resolve blocker before any public GitHub action")</x:f>
        <x:v>add receipt/status then mirror</x:v>
      </x:c>
    </x:row>
    <x:row r="668">
      <x:c r="A668" s="15" t="str">
        <x:v>SWARM-05-H08-S07</x:v>
      </x:c>
      <x:c r="B668" s="15" t="str">
        <x:v>Rootglass</x:v>
      </x:c>
      <x:c r="C668" s="15" t="str">
        <x:v>Canon gate mirror</x:v>
      </x:c>
      <x:c r="D668" s="15" t="str">
        <x:v>Graph Edge Proposals</x:v>
      </x:c>
      <x:c r="E668" s="15" t="str">
        <x:v>Planetarium</x:v>
      </x:c>
      <x:c r="F668" s="15" t="str">
        <x:v>Propose graph edges for Planetarium — Rootglass</x:v>
      </x:c>
      <x:c r="G668" s="15" t="str">
        <x:v>authority boundaries / ratification packets</x:v>
      </x:c>
      <x:c r="H668" s="15" t="str">
        <x:v>source path + receipt + raw/export status + claim/edge/risk delta</x:v>
      </x:c>
      <x:c r="I668" s="15" t="str">
        <x:v>packet/SWARM-05-H08-S07</x:v>
      </x:c>
      <x:c r="J668" s="15" t="str">
        <x:v>TODO</x:v>
      </x:c>
      <x:c r="K668" s="15" t="str">
        <x:v>P1</x:v>
      </x:c>
      <x:c r="L668" s="15" t="str">
        <x:v>Done only when evidence is logged, contradiction search is noted, and boundary stamp remains non-canon unless ratified</x:v>
      </x:c>
      <x:c r="M668" s="15" t="str">
        <x:v>candidate / staging-only / not canon / not deployed / authority none</x:v>
      </x:c>
      <x:c r="N668" s="15" t="str">
        <x:v>Dispatch to Rootglass: complete Graph Edge Proposals x Planetarium; return deltas only, receipts required.</x:v>
      </x:c>
      <x:c r="O668" s="15" t="str">
        <x:v>AF-KG-H08-S07</x:v>
      </x:c>
      <x:c r="P668" s="15" t="str">
        <x:v>Unverified</x:v>
      </x:c>
      <x:c r="Q668" s="15" t="str">
        <x:v>Not checked</x:v>
      </x:c>
      <x:c r="R668" s="15" t="str"/>
      <x:c r="S668" s="15" t="str"/>
      <x:c r="T668" s="15" t="str">
        <x:v>Log first source path or blocker</x:v>
      </x:c>
      <x:c r="U668" s="12" t="str">
        <x:f>IF(OR(P668="Unverified",Q668="Not checked"),"BLOCKED_PENDING_RECEIPT","READY_FOR_REVIEW")</x:f>
        <x:v>BLOCKED_PENDING_RECEIPT</x:v>
      </x:c>
      <x:c r="V668" s="12" t="str">
        <x:f>IF(J668="DONE","RETURNED",IF(U668="BLOCKED_PENDING_RECEIPT","SOURCE_TOUCH_REQUIRED","IN_PROGRESS"))</x:f>
        <x:v>SOURCE_TOUCH_REQUIRED</x:v>
      </x:c>
      <x:c r="W668" s="12" t="str">
        <x:f>IF(P668="Unverified","missing_receipt","receipt_logged")</x:f>
        <x:v>missing_receipt</x:v>
      </x:c>
      <x:c r="X668" s="12" t="str">
        <x:f>IF(Q668="Not checked","raw_status_missing","raw_status_logged")</x:f>
        <x:v>raw_status_missing</x:v>
      </x:c>
      <x:c r="Y668" s="12" t="str">
        <x:f>IF(U668="BLOCKED_PENDING_RECEIPT","Log source path or blocker; do not promote","Route to review lane")</x:f>
        <x:v>Log source path or blocker; do not promote</x:v>
      </x:c>
      <x:c r="Z668" s="12" t="str">
        <x:f>IF(K668="P0","Primary seat + Hashlight/Lucerna","Seat lane")</x:f>
        <x:v>Seat lane</x:v>
      </x:c>
      <x:c r="AA668" s="12" t="str">
        <x:f>IF(R668="","no_claim_delta","claim_delta_present")</x:f>
        <x:v>no_claim_delta</x:v>
      </x:c>
      <x:c r="AB668" s="12" t="str">
        <x:f>IF(S668="","no_contradiction_delta","contradiction_delta_present")</x:f>
        <x:v>no_contradiction_delta</x:v>
      </x:c>
      <x:c r="AC668" s="12" t="str">
        <x:f>IF(OR(ISNUMBER(SEARCH("hacker",LOWER(F668&amp;" "&amp;H668&amp;" "&amp;I668&amp;" "&amp;M668&amp;" "&amp;N668&amp;" "&amp;T668))),ISNUMBER(SEARCH("hacking",LOWER(F668&amp;" "&amp;H668&amp;" "&amp;I668&amp;" "&amp;M668&amp;" "&amp;N668&amp;" "&amp;T668))),ISNUMBER(SEARCH("bank",LOWER(F668&amp;" "&amp;H668&amp;" "&amp;I668&amp;" "&amp;M668&amp;" "&amp;N668&amp;" "&amp;T668))),ISNUMBER(SEARCH("banking",LOWER(F668&amp;" "&amp;H668&amp;" "&amp;I668&amp;" "&amp;M668&amp;" "&amp;N668&amp;" "&amp;T668)))),"PRIVATE_QUARANTINE",IF(OR(ISNUMBER(SEARCH("treasury",LOWER(F668&amp;" "&amp;H668&amp;" "&amp;I668&amp;" "&amp;M668&amp;" "&amp;N668&amp;" "&amp;T668))),ISNUMBER(SEARCH("debt",LOWER(F668&amp;" "&amp;H668&amp;" "&amp;I668&amp;" "&amp;M668&amp;" "&amp;N668&amp;" "&amp;T668))),ISNUMBER(SEARCH("bond",LOWER(F668&amp;" "&amp;H668&amp;" "&amp;I668&amp;" "&amp;M668&amp;" "&amp;N668&amp;" "&amp;T668))),ISNUMBER(SEARCH("transaction",LOWER(F668&amp;" "&amp;H668&amp;" "&amp;I668&amp;" "&amp;M668&amp;" "&amp;N668&amp;" "&amp;T668)))),"PRIVATE_REVIEW","PUBLIC_CANDIDATE"))</x:f>
        <x:v>PUBLIC_CANDIDATE</x:v>
      </x:c>
      <x:c r="AD668" s="12" t="str">
        <x:f>IF(AC668="PRIVATE_QUARANTINE","hacker_or_bank_trigger",IF(AC668="PRIVATE_REVIEW","finance_risk_trigger","none"))</x:f>
        <x:v>none</x:v>
      </x:c>
      <x:c r="AE668" s="12" t="str">
        <x:f>IF(AC668="PUBLIC_CANDIDATE","prepare_public_github_candidate",IF(AC668="PRIVATE_REVIEW","hold_for_private_review","quarantine_private_do_not_publish"))</x:f>
        <x:v>prepare_public_github_candidate</x:v>
      </x:c>
      <x:c r="AF668" s="12" t="str">
        <x:f>IF(AC668="PUBLIC_CANDIDATE","TIDELOCK + Lucerna",IF(AC668="PRIVATE_REVIEW","AtlasBrain + Lucerna","TIDELOCK + Lucerna + Human-root"))</x:f>
        <x:v>TIDELOCK + Lucerna</x:v>
      </x:c>
      <x:c r="AG668" s="12" t="str">
        <x:f>IF(AND(AC668="PUBLIC_CANDIDATE",U668&lt;&gt;"BLOCKED_PENDING_RECEIPT"),"READY_AFTER_RECEIPT","NOT_READY")</x:f>
        <x:v>NOT_READY</x:v>
      </x:c>
      <x:c r="AH668" s="12" t="str">
        <x:f>IF(AC668="PUBLIC_CANDIDATE","none",AD668)</x:f>
        <x:v>none</x:v>
      </x:c>
      <x:c r="AI668" s="12" t="str">
        <x:f>IF(AC668="PUBLIC_CANDIDATE","archive/public_candidates/"&amp;A668,"private_quarantine/"&amp;A668)</x:f>
        <x:v>archive/public_candidates/SWARM-05-H08-S07</x:v>
      </x:c>
      <x:c r="AJ668" s="12" t="str">
        <x:f>IF(AC668="PUBLIC_CANDIDATE","public by default; still not canon","private/hold; do not publish")</x:f>
        <x:v>public by default; still not canon</x:v>
      </x:c>
      <x:c r="AK668" s="12" t="str">
        <x:f>IF(AE668="prepare_public_github_candidate","add receipt/status then mirror","resolve blocker before any public GitHub action")</x:f>
        <x:v>add receipt/status then mirror</x:v>
      </x:c>
    </x:row>
    <x:row r="669">
      <x:c r="A669" s="15" t="str">
        <x:v>SWARM-05-H08-S08</x:v>
      </x:c>
      <x:c r="B669" s="15" t="str">
        <x:v>Rootglass</x:v>
      </x:c>
      <x:c r="C669" s="15" t="str">
        <x:v>Canon gate mirror</x:v>
      </x:c>
      <x:c r="D669" s="15" t="str">
        <x:v>Graph Edge Proposals</x:v>
      </x:c>
      <x:c r="E669" s="15" t="str">
        <x:v>Sheldonbrain</x:v>
      </x:c>
      <x:c r="F669" s="15" t="str">
        <x:v>Propose graph edges for Sheldonbrain — Rootglass</x:v>
      </x:c>
      <x:c r="G669" s="15" t="str">
        <x:v>authority boundaries / ratification packets</x:v>
      </x:c>
      <x:c r="H669" s="15" t="str">
        <x:v>source path + receipt + raw/export status + claim/edge/risk delta</x:v>
      </x:c>
      <x:c r="I669" s="15" t="str">
        <x:v>packet/SWARM-05-H08-S08</x:v>
      </x:c>
      <x:c r="J669" s="15" t="str">
        <x:v>TODO</x:v>
      </x:c>
      <x:c r="K669" s="15" t="str">
        <x:v>P1</x:v>
      </x:c>
      <x:c r="L669" s="15" t="str">
        <x:v>Done only when evidence is logged, contradiction search is noted, and boundary stamp remains non-canon unless ratified</x:v>
      </x:c>
      <x:c r="M669" s="15" t="str">
        <x:v>candidate / staging-only / not canon / not deployed / authority none</x:v>
      </x:c>
      <x:c r="N669" s="15" t="str">
        <x:v>Dispatch to Rootglass: complete Graph Edge Proposals x Sheldonbrain; return deltas only, receipts required.</x:v>
      </x:c>
      <x:c r="O669" s="15" t="str">
        <x:v>AF-KG-H08-S08</x:v>
      </x:c>
      <x:c r="P669" s="15" t="str">
        <x:v>Unverified</x:v>
      </x:c>
      <x:c r="Q669" s="15" t="str">
        <x:v>Not checked</x:v>
      </x:c>
      <x:c r="R669" s="15" t="str"/>
      <x:c r="S669" s="15" t="str"/>
      <x:c r="T669" s="15" t="str">
        <x:v>Log first source path or blocker</x:v>
      </x:c>
      <x:c r="U669" s="12" t="str">
        <x:f>IF(OR(P669="Unverified",Q669="Not checked"),"BLOCKED_PENDING_RECEIPT","READY_FOR_REVIEW")</x:f>
        <x:v>BLOCKED_PENDING_RECEIPT</x:v>
      </x:c>
      <x:c r="V669" s="12" t="str">
        <x:f>IF(J669="DONE","RETURNED",IF(U669="BLOCKED_PENDING_RECEIPT","SOURCE_TOUCH_REQUIRED","IN_PROGRESS"))</x:f>
        <x:v>SOURCE_TOUCH_REQUIRED</x:v>
      </x:c>
      <x:c r="W669" s="12" t="str">
        <x:f>IF(P669="Unverified","missing_receipt","receipt_logged")</x:f>
        <x:v>missing_receipt</x:v>
      </x:c>
      <x:c r="X669" s="12" t="str">
        <x:f>IF(Q669="Not checked","raw_status_missing","raw_status_logged")</x:f>
        <x:v>raw_status_missing</x:v>
      </x:c>
      <x:c r="Y669" s="12" t="str">
        <x:f>IF(U669="BLOCKED_PENDING_RECEIPT","Log source path or blocker; do not promote","Route to review lane")</x:f>
        <x:v>Log source path or blocker; do not promote</x:v>
      </x:c>
      <x:c r="Z669" s="12" t="str">
        <x:f>IF(K669="P0","Primary seat + Hashlight/Lucerna","Seat lane")</x:f>
        <x:v>Seat lane</x:v>
      </x:c>
      <x:c r="AA669" s="12" t="str">
        <x:f>IF(R669="","no_claim_delta","claim_delta_present")</x:f>
        <x:v>no_claim_delta</x:v>
      </x:c>
      <x:c r="AB669" s="12" t="str">
        <x:f>IF(S669="","no_contradiction_delta","contradiction_delta_present")</x:f>
        <x:v>no_contradiction_delta</x:v>
      </x:c>
      <x:c r="AC669" s="12" t="str">
        <x:f>IF(OR(ISNUMBER(SEARCH("hacker",LOWER(F669&amp;" "&amp;H669&amp;" "&amp;I669&amp;" "&amp;M669&amp;" "&amp;N669&amp;" "&amp;T669))),ISNUMBER(SEARCH("hacking",LOWER(F669&amp;" "&amp;H669&amp;" "&amp;I669&amp;" "&amp;M669&amp;" "&amp;N669&amp;" "&amp;T669))),ISNUMBER(SEARCH("bank",LOWER(F669&amp;" "&amp;H669&amp;" "&amp;I669&amp;" "&amp;M669&amp;" "&amp;N669&amp;" "&amp;T669))),ISNUMBER(SEARCH("banking",LOWER(F669&amp;" "&amp;H669&amp;" "&amp;I669&amp;" "&amp;M669&amp;" "&amp;N669&amp;" "&amp;T669)))),"PRIVATE_QUARANTINE",IF(OR(ISNUMBER(SEARCH("treasury",LOWER(F669&amp;" "&amp;H669&amp;" "&amp;I669&amp;" "&amp;M669&amp;" "&amp;N669&amp;" "&amp;T669))),ISNUMBER(SEARCH("debt",LOWER(F669&amp;" "&amp;H669&amp;" "&amp;I669&amp;" "&amp;M669&amp;" "&amp;N669&amp;" "&amp;T669))),ISNUMBER(SEARCH("bond",LOWER(F669&amp;" "&amp;H669&amp;" "&amp;I669&amp;" "&amp;M669&amp;" "&amp;N669&amp;" "&amp;T669))),ISNUMBER(SEARCH("transaction",LOWER(F669&amp;" "&amp;H669&amp;" "&amp;I669&amp;" "&amp;M669&amp;" "&amp;N669&amp;" "&amp;T669)))),"PRIVATE_REVIEW","PUBLIC_CANDIDATE"))</x:f>
        <x:v>PUBLIC_CANDIDATE</x:v>
      </x:c>
      <x:c r="AD669" s="12" t="str">
        <x:f>IF(AC669="PRIVATE_QUARANTINE","hacker_or_bank_trigger",IF(AC669="PRIVATE_REVIEW","finance_risk_trigger","none"))</x:f>
        <x:v>none</x:v>
      </x:c>
      <x:c r="AE669" s="12" t="str">
        <x:f>IF(AC669="PUBLIC_CANDIDATE","prepare_public_github_candidate",IF(AC669="PRIVATE_REVIEW","hold_for_private_review","quarantine_private_do_not_publish"))</x:f>
        <x:v>prepare_public_github_candidate</x:v>
      </x:c>
      <x:c r="AF669" s="12" t="str">
        <x:f>IF(AC669="PUBLIC_CANDIDATE","TIDELOCK + Lucerna",IF(AC669="PRIVATE_REVIEW","AtlasBrain + Lucerna","TIDELOCK + Lucerna + Human-root"))</x:f>
        <x:v>TIDELOCK + Lucerna</x:v>
      </x:c>
      <x:c r="AG669" s="12" t="str">
        <x:f>IF(AND(AC669="PUBLIC_CANDIDATE",U669&lt;&gt;"BLOCKED_PENDING_RECEIPT"),"READY_AFTER_RECEIPT","NOT_READY")</x:f>
        <x:v>NOT_READY</x:v>
      </x:c>
      <x:c r="AH669" s="12" t="str">
        <x:f>IF(AC669="PUBLIC_CANDIDATE","none",AD669)</x:f>
        <x:v>none</x:v>
      </x:c>
      <x:c r="AI669" s="12" t="str">
        <x:f>IF(AC669="PUBLIC_CANDIDATE","archive/public_candidates/"&amp;A669,"private_quarantine/"&amp;A669)</x:f>
        <x:v>archive/public_candidates/SWARM-05-H08-S08</x:v>
      </x:c>
      <x:c r="AJ669" s="12" t="str">
        <x:f>IF(AC669="PUBLIC_CANDIDATE","public by default; still not canon","private/hold; do not publish")</x:f>
        <x:v>public by default; still not canon</x:v>
      </x:c>
      <x:c r="AK669" s="12" t="str">
        <x:f>IF(AE669="prepare_public_github_candidate","add receipt/status then mirror","resolve blocker before any public GitHub action")</x:f>
        <x:v>add receipt/status then mirror</x:v>
      </x:c>
    </x:row>
    <x:row r="670">
      <x:c r="A670" s="15" t="str">
        <x:v>SWARM-05-H08-S09</x:v>
      </x:c>
      <x:c r="B670" s="15" t="str">
        <x:v>Rootglass</x:v>
      </x:c>
      <x:c r="C670" s="15" t="str">
        <x:v>Canon gate mirror</x:v>
      </x:c>
      <x:c r="D670" s="15" t="str">
        <x:v>Graph Edge Proposals</x:v>
      </x:c>
      <x:c r="E670" s="15" t="str">
        <x:v>Aetherforge</x:v>
      </x:c>
      <x:c r="F670" s="15" t="str">
        <x:v>Propose graph edges for Aetherforge — Rootglass</x:v>
      </x:c>
      <x:c r="G670" s="15" t="str">
        <x:v>authority boundaries / ratification packets</x:v>
      </x:c>
      <x:c r="H670" s="15" t="str">
        <x:v>source path + receipt + raw/export status + claim/edge/risk delta</x:v>
      </x:c>
      <x:c r="I670" s="15" t="str">
        <x:v>packet/SWARM-05-H08-S09</x:v>
      </x:c>
      <x:c r="J670" s="15" t="str">
        <x:v>TODO</x:v>
      </x:c>
      <x:c r="K670" s="15" t="str">
        <x:v>P2</x:v>
      </x:c>
      <x:c r="L670" s="15" t="str">
        <x:v>Done only when evidence is logged, contradiction search is noted, and boundary stamp remains non-canon unless ratified</x:v>
      </x:c>
      <x:c r="M670" s="15" t="str">
        <x:v>candidate / staging-only / not canon / not deployed / authority none</x:v>
      </x:c>
      <x:c r="N670" s="15" t="str">
        <x:v>Dispatch to Rootglass: complete Graph Edge Proposals x Aetherforge; return deltas only, receipts required.</x:v>
      </x:c>
      <x:c r="O670" s="15" t="str">
        <x:v>AF-KG-H08-S09</x:v>
      </x:c>
      <x:c r="P670" s="15" t="str">
        <x:v>Unverified</x:v>
      </x:c>
      <x:c r="Q670" s="15" t="str">
        <x:v>Not checked</x:v>
      </x:c>
      <x:c r="R670" s="15" t="str"/>
      <x:c r="S670" s="15" t="str"/>
      <x:c r="T670" s="15" t="str">
        <x:v>Log first source path or blocker</x:v>
      </x:c>
      <x:c r="U670" s="12" t="str">
        <x:f>IF(OR(P670="Unverified",Q670="Not checked"),"BLOCKED_PENDING_RECEIPT","READY_FOR_REVIEW")</x:f>
        <x:v>BLOCKED_PENDING_RECEIPT</x:v>
      </x:c>
      <x:c r="V670" s="12" t="str">
        <x:f>IF(J670="DONE","RETURNED",IF(U670="BLOCKED_PENDING_RECEIPT","SOURCE_TOUCH_REQUIRED","IN_PROGRESS"))</x:f>
        <x:v>SOURCE_TOUCH_REQUIRED</x:v>
      </x:c>
      <x:c r="W670" s="12" t="str">
        <x:f>IF(P670="Unverified","missing_receipt","receipt_logged")</x:f>
        <x:v>missing_receipt</x:v>
      </x:c>
      <x:c r="X670" s="12" t="str">
        <x:f>IF(Q670="Not checked","raw_status_missing","raw_status_logged")</x:f>
        <x:v>raw_status_missing</x:v>
      </x:c>
      <x:c r="Y670" s="12" t="str">
        <x:f>IF(U670="BLOCKED_PENDING_RECEIPT","Log source path or blocker; do not promote","Route to review lane")</x:f>
        <x:v>Log source path or blocker; do not promote</x:v>
      </x:c>
      <x:c r="Z670" s="12" t="str">
        <x:f>IF(K670="P0","Primary seat + Hashlight/Lucerna","Seat lane")</x:f>
        <x:v>Seat lane</x:v>
      </x:c>
      <x:c r="AA670" s="12" t="str">
        <x:f>IF(R670="","no_claim_delta","claim_delta_present")</x:f>
        <x:v>no_claim_delta</x:v>
      </x:c>
      <x:c r="AB670" s="12" t="str">
        <x:f>IF(S670="","no_contradiction_delta","contradiction_delta_present")</x:f>
        <x:v>no_contradiction_delta</x:v>
      </x:c>
      <x:c r="AC670" s="12" t="str">
        <x:f>IF(OR(ISNUMBER(SEARCH("hacker",LOWER(F670&amp;" "&amp;H670&amp;" "&amp;I670&amp;" "&amp;M670&amp;" "&amp;N670&amp;" "&amp;T670))),ISNUMBER(SEARCH("hacking",LOWER(F670&amp;" "&amp;H670&amp;" "&amp;I670&amp;" "&amp;M670&amp;" "&amp;N670&amp;" "&amp;T670))),ISNUMBER(SEARCH("bank",LOWER(F670&amp;" "&amp;H670&amp;" "&amp;I670&amp;" "&amp;M670&amp;" "&amp;N670&amp;" "&amp;T670))),ISNUMBER(SEARCH("banking",LOWER(F670&amp;" "&amp;H670&amp;" "&amp;I670&amp;" "&amp;M670&amp;" "&amp;N670&amp;" "&amp;T670)))),"PRIVATE_QUARANTINE",IF(OR(ISNUMBER(SEARCH("treasury",LOWER(F670&amp;" "&amp;H670&amp;" "&amp;I670&amp;" "&amp;M670&amp;" "&amp;N670&amp;" "&amp;T670))),ISNUMBER(SEARCH("debt",LOWER(F670&amp;" "&amp;H670&amp;" "&amp;I670&amp;" "&amp;M670&amp;" "&amp;N670&amp;" "&amp;T670))),ISNUMBER(SEARCH("bond",LOWER(F670&amp;" "&amp;H670&amp;" "&amp;I670&amp;" "&amp;M670&amp;" "&amp;N670&amp;" "&amp;T670))),ISNUMBER(SEARCH("transaction",LOWER(F670&amp;" "&amp;H670&amp;" "&amp;I670&amp;" "&amp;M670&amp;" "&amp;N670&amp;" "&amp;T670)))),"PRIVATE_REVIEW","PUBLIC_CANDIDATE"))</x:f>
        <x:v>PUBLIC_CANDIDATE</x:v>
      </x:c>
      <x:c r="AD670" s="12" t="str">
        <x:f>IF(AC670="PRIVATE_QUARANTINE","hacker_or_bank_trigger",IF(AC670="PRIVATE_REVIEW","finance_risk_trigger","none"))</x:f>
        <x:v>none</x:v>
      </x:c>
      <x:c r="AE670" s="12" t="str">
        <x:f>IF(AC670="PUBLIC_CANDIDATE","prepare_public_github_candidate",IF(AC670="PRIVATE_REVIEW","hold_for_private_review","quarantine_private_do_not_publish"))</x:f>
        <x:v>prepare_public_github_candidate</x:v>
      </x:c>
      <x:c r="AF670" s="12" t="str">
        <x:f>IF(AC670="PUBLIC_CANDIDATE","TIDELOCK + Lucerna",IF(AC670="PRIVATE_REVIEW","AtlasBrain + Lucerna","TIDELOCK + Lucerna + Human-root"))</x:f>
        <x:v>TIDELOCK + Lucerna</x:v>
      </x:c>
      <x:c r="AG670" s="12" t="str">
        <x:f>IF(AND(AC670="PUBLIC_CANDIDATE",U670&lt;&gt;"BLOCKED_PENDING_RECEIPT"),"READY_AFTER_RECEIPT","NOT_READY")</x:f>
        <x:v>NOT_READY</x:v>
      </x:c>
      <x:c r="AH670" s="12" t="str">
        <x:f>IF(AC670="PUBLIC_CANDIDATE","none",AD670)</x:f>
        <x:v>none</x:v>
      </x:c>
      <x:c r="AI670" s="12" t="str">
        <x:f>IF(AC670="PUBLIC_CANDIDATE","archive/public_candidates/"&amp;A670,"private_quarantine/"&amp;A670)</x:f>
        <x:v>archive/public_candidates/SWARM-05-H08-S09</x:v>
      </x:c>
      <x:c r="AJ670" s="12" t="str">
        <x:f>IF(AC670="PUBLIC_CANDIDATE","public by default; still not canon","private/hold; do not publish")</x:f>
        <x:v>public by default; still not canon</x:v>
      </x:c>
      <x:c r="AK670" s="12" t="str">
        <x:f>IF(AE670="prepare_public_github_candidate","add receipt/status then mirror","resolve blocker before any public GitHub action")</x:f>
        <x:v>add receipt/status then mirror</x:v>
      </x:c>
    </x:row>
    <x:row r="671">
      <x:c r="A671" s="15" t="str">
        <x:v>SWARM-05-H08-S10</x:v>
      </x:c>
      <x:c r="B671" s="15" t="str">
        <x:v>Rootglass</x:v>
      </x:c>
      <x:c r="C671" s="15" t="str">
        <x:v>Canon gate mirror</x:v>
      </x:c>
      <x:c r="D671" s="15" t="str">
        <x:v>Graph Edge Proposals</x:v>
      </x:c>
      <x:c r="E671" s="15" t="str">
        <x:v>Human-Root</x:v>
      </x:c>
      <x:c r="F671" s="15" t="str">
        <x:v>Propose graph edges for Human-Root — Rootglass</x:v>
      </x:c>
      <x:c r="G671" s="15" t="str">
        <x:v>authority boundaries / ratification packets</x:v>
      </x:c>
      <x:c r="H671" s="15" t="str">
        <x:v>source path + receipt + raw/export status + claim/edge/risk delta</x:v>
      </x:c>
      <x:c r="I671" s="15" t="str">
        <x:v>packet/SWARM-05-H08-S10</x:v>
      </x:c>
      <x:c r="J671" s="15" t="str">
        <x:v>TODO</x:v>
      </x:c>
      <x:c r="K671" s="15" t="str">
        <x:v>P2</x:v>
      </x:c>
      <x:c r="L671" s="15" t="str">
        <x:v>Done only when evidence is logged, contradiction search is noted, and boundary stamp remains non-canon unless ratified</x:v>
      </x:c>
      <x:c r="M671" s="15" t="str">
        <x:v>candidate / staging-only / not canon / not deployed / authority none</x:v>
      </x:c>
      <x:c r="N671" s="15" t="str">
        <x:v>Dispatch to Rootglass: complete Graph Edge Proposals x Human-Root; return deltas only, receipts required.</x:v>
      </x:c>
      <x:c r="O671" s="15" t="str">
        <x:v>AF-KG-H08-S10</x:v>
      </x:c>
      <x:c r="P671" s="15" t="str">
        <x:v>Unverified</x:v>
      </x:c>
      <x:c r="Q671" s="15" t="str">
        <x:v>Not checked</x:v>
      </x:c>
      <x:c r="R671" s="15" t="str"/>
      <x:c r="S671" s="15" t="str"/>
      <x:c r="T671" s="15" t="str">
        <x:v>Log first source path or blocker</x:v>
      </x:c>
      <x:c r="U671" s="12" t="str">
        <x:f>IF(OR(P671="Unverified",Q671="Not checked"),"BLOCKED_PENDING_RECEIPT","READY_FOR_REVIEW")</x:f>
        <x:v>BLOCKED_PENDING_RECEIPT</x:v>
      </x:c>
      <x:c r="V671" s="12" t="str">
        <x:f>IF(J671="DONE","RETURNED",IF(U671="BLOCKED_PENDING_RECEIPT","SOURCE_TOUCH_REQUIRED","IN_PROGRESS"))</x:f>
        <x:v>SOURCE_TOUCH_REQUIRED</x:v>
      </x:c>
      <x:c r="W671" s="12" t="str">
        <x:f>IF(P671="Unverified","missing_receipt","receipt_logged")</x:f>
        <x:v>missing_receipt</x:v>
      </x:c>
      <x:c r="X671" s="12" t="str">
        <x:f>IF(Q671="Not checked","raw_status_missing","raw_status_logged")</x:f>
        <x:v>raw_status_missing</x:v>
      </x:c>
      <x:c r="Y671" s="12" t="str">
        <x:f>IF(U671="BLOCKED_PENDING_RECEIPT","Log source path or blocker; do not promote","Route to review lane")</x:f>
        <x:v>Log source path or blocker; do not promote</x:v>
      </x:c>
      <x:c r="Z671" s="12" t="str">
        <x:f>IF(K671="P0","Primary seat + Hashlight/Lucerna","Seat lane")</x:f>
        <x:v>Seat lane</x:v>
      </x:c>
      <x:c r="AA671" s="12" t="str">
        <x:f>IF(R671="","no_claim_delta","claim_delta_present")</x:f>
        <x:v>no_claim_delta</x:v>
      </x:c>
      <x:c r="AB671" s="12" t="str">
        <x:f>IF(S671="","no_contradiction_delta","contradiction_delta_present")</x:f>
        <x:v>no_contradiction_delta</x:v>
      </x:c>
      <x:c r="AC671" s="12" t="str">
        <x:f>IF(OR(ISNUMBER(SEARCH("hacker",LOWER(F671&amp;" "&amp;H671&amp;" "&amp;I671&amp;" "&amp;M671&amp;" "&amp;N671&amp;" "&amp;T671))),ISNUMBER(SEARCH("hacking",LOWER(F671&amp;" "&amp;H671&amp;" "&amp;I671&amp;" "&amp;M671&amp;" "&amp;N671&amp;" "&amp;T671))),ISNUMBER(SEARCH("bank",LOWER(F671&amp;" "&amp;H671&amp;" "&amp;I671&amp;" "&amp;M671&amp;" "&amp;N671&amp;" "&amp;T671))),ISNUMBER(SEARCH("banking",LOWER(F671&amp;" "&amp;H671&amp;" "&amp;I671&amp;" "&amp;M671&amp;" "&amp;N671&amp;" "&amp;T671)))),"PRIVATE_QUARANTINE",IF(OR(ISNUMBER(SEARCH("treasury",LOWER(F671&amp;" "&amp;H671&amp;" "&amp;I671&amp;" "&amp;M671&amp;" "&amp;N671&amp;" "&amp;T671))),ISNUMBER(SEARCH("debt",LOWER(F671&amp;" "&amp;H671&amp;" "&amp;I671&amp;" "&amp;M671&amp;" "&amp;N671&amp;" "&amp;T671))),ISNUMBER(SEARCH("bond",LOWER(F671&amp;" "&amp;H671&amp;" "&amp;I671&amp;" "&amp;M671&amp;" "&amp;N671&amp;" "&amp;T671))),ISNUMBER(SEARCH("transaction",LOWER(F671&amp;" "&amp;H671&amp;" "&amp;I671&amp;" "&amp;M671&amp;" "&amp;N671&amp;" "&amp;T671)))),"PRIVATE_REVIEW","PUBLIC_CANDIDATE"))</x:f>
        <x:v>PUBLIC_CANDIDATE</x:v>
      </x:c>
      <x:c r="AD671" s="12" t="str">
        <x:f>IF(AC671="PRIVATE_QUARANTINE","hacker_or_bank_trigger",IF(AC671="PRIVATE_REVIEW","finance_risk_trigger","none"))</x:f>
        <x:v>none</x:v>
      </x:c>
      <x:c r="AE671" s="12" t="str">
        <x:f>IF(AC671="PUBLIC_CANDIDATE","prepare_public_github_candidate",IF(AC671="PRIVATE_REVIEW","hold_for_private_review","quarantine_private_do_not_publish"))</x:f>
        <x:v>prepare_public_github_candidate</x:v>
      </x:c>
      <x:c r="AF671" s="12" t="str">
        <x:f>IF(AC671="PUBLIC_CANDIDATE","TIDELOCK + Lucerna",IF(AC671="PRIVATE_REVIEW","AtlasBrain + Lucerna","TIDELOCK + Lucerna + Human-root"))</x:f>
        <x:v>TIDELOCK + Lucerna</x:v>
      </x:c>
      <x:c r="AG671" s="12" t="str">
        <x:f>IF(AND(AC671="PUBLIC_CANDIDATE",U671&lt;&gt;"BLOCKED_PENDING_RECEIPT"),"READY_AFTER_RECEIPT","NOT_READY")</x:f>
        <x:v>NOT_READY</x:v>
      </x:c>
      <x:c r="AH671" s="12" t="str">
        <x:f>IF(AC671="PUBLIC_CANDIDATE","none",AD671)</x:f>
        <x:v>none</x:v>
      </x:c>
      <x:c r="AI671" s="12" t="str">
        <x:f>IF(AC671="PUBLIC_CANDIDATE","archive/public_candidates/"&amp;A671,"private_quarantine/"&amp;A671)</x:f>
        <x:v>archive/public_candidates/SWARM-05-H08-S10</x:v>
      </x:c>
      <x:c r="AJ671" s="12" t="str">
        <x:f>IF(AC671="PUBLIC_CANDIDATE","public by default; still not canon","private/hold; do not publish")</x:f>
        <x:v>public by default; still not canon</x:v>
      </x:c>
      <x:c r="AK671" s="12" t="str">
        <x:f>IF(AE671="prepare_public_github_candidate","add receipt/status then mirror","resolve blocker before any public GitHub action")</x:f>
        <x:v>add receipt/status then mirror</x:v>
      </x:c>
    </x:row>
    <x:row r="672">
      <x:c r="A672" s="15" t="str">
        <x:v>SWARM-05-H08-S11</x:v>
      </x:c>
      <x:c r="B672" s="15" t="str">
        <x:v>Rootglass</x:v>
      </x:c>
      <x:c r="C672" s="15" t="str">
        <x:v>Canon gate mirror</x:v>
      </x:c>
      <x:c r="D672" s="15" t="str">
        <x:v>Graph Edge Proposals</x:v>
      </x:c>
      <x:c r="E672" s="15" t="str">
        <x:v>Automation</x:v>
      </x:c>
      <x:c r="F672" s="15" t="str">
        <x:v>Propose graph edges for Automation — Rootglass</x:v>
      </x:c>
      <x:c r="G672" s="15" t="str">
        <x:v>authority boundaries / ratification packets</x:v>
      </x:c>
      <x:c r="H672" s="15" t="str">
        <x:v>source path + receipt + raw/export status + claim/edge/risk delta</x:v>
      </x:c>
      <x:c r="I672" s="15" t="str">
        <x:v>packet/SWARM-05-H08-S11</x:v>
      </x:c>
      <x:c r="J672" s="15" t="str">
        <x:v>TODO</x:v>
      </x:c>
      <x:c r="K672" s="15" t="str">
        <x:v>P2</x:v>
      </x:c>
      <x:c r="L672" s="15" t="str">
        <x:v>Done only when evidence is logged, contradiction search is noted, and boundary stamp remains non-canon unless ratified</x:v>
      </x:c>
      <x:c r="M672" s="15" t="str">
        <x:v>candidate / staging-only / not canon / not deployed / authority none</x:v>
      </x:c>
      <x:c r="N672" s="15" t="str">
        <x:v>Dispatch to Rootglass: complete Graph Edge Proposals x Automation; return deltas only, receipts required.</x:v>
      </x:c>
      <x:c r="O672" s="15" t="str">
        <x:v>AF-KG-H08-S11</x:v>
      </x:c>
      <x:c r="P672" s="15" t="str">
        <x:v>Unverified</x:v>
      </x:c>
      <x:c r="Q672" s="15" t="str">
        <x:v>Not checked</x:v>
      </x:c>
      <x:c r="R672" s="15" t="str"/>
      <x:c r="S672" s="15" t="str"/>
      <x:c r="T672" s="15" t="str">
        <x:v>Log first source path or blocker</x:v>
      </x:c>
      <x:c r="U672" s="12" t="str">
        <x:f>IF(OR(P672="Unverified",Q672="Not checked"),"BLOCKED_PENDING_RECEIPT","READY_FOR_REVIEW")</x:f>
        <x:v>BLOCKED_PENDING_RECEIPT</x:v>
      </x:c>
      <x:c r="V672" s="12" t="str">
        <x:f>IF(J672="DONE","RETURNED",IF(U672="BLOCKED_PENDING_RECEIPT","SOURCE_TOUCH_REQUIRED","IN_PROGRESS"))</x:f>
        <x:v>SOURCE_TOUCH_REQUIRED</x:v>
      </x:c>
      <x:c r="W672" s="12" t="str">
        <x:f>IF(P672="Unverified","missing_receipt","receipt_logged")</x:f>
        <x:v>missing_receipt</x:v>
      </x:c>
      <x:c r="X672" s="12" t="str">
        <x:f>IF(Q672="Not checked","raw_status_missing","raw_status_logged")</x:f>
        <x:v>raw_status_missing</x:v>
      </x:c>
      <x:c r="Y672" s="12" t="str">
        <x:f>IF(U672="BLOCKED_PENDING_RECEIPT","Log source path or blocker; do not promote","Route to review lane")</x:f>
        <x:v>Log source path or blocker; do not promote</x:v>
      </x:c>
      <x:c r="Z672" s="12" t="str">
        <x:f>IF(K672="P0","Primary seat + Hashlight/Lucerna","Seat lane")</x:f>
        <x:v>Seat lane</x:v>
      </x:c>
      <x:c r="AA672" s="12" t="str">
        <x:f>IF(R672="","no_claim_delta","claim_delta_present")</x:f>
        <x:v>no_claim_delta</x:v>
      </x:c>
      <x:c r="AB672" s="12" t="str">
        <x:f>IF(S672="","no_contradiction_delta","contradiction_delta_present")</x:f>
        <x:v>no_contradiction_delta</x:v>
      </x:c>
      <x:c r="AC672" s="12" t="str">
        <x:f>IF(OR(ISNUMBER(SEARCH("hacker",LOWER(F672&amp;" "&amp;H672&amp;" "&amp;I672&amp;" "&amp;M672&amp;" "&amp;N672&amp;" "&amp;T672))),ISNUMBER(SEARCH("hacking",LOWER(F672&amp;" "&amp;H672&amp;" "&amp;I672&amp;" "&amp;M672&amp;" "&amp;N672&amp;" "&amp;T672))),ISNUMBER(SEARCH("bank",LOWER(F672&amp;" "&amp;H672&amp;" "&amp;I672&amp;" "&amp;M672&amp;" "&amp;N672&amp;" "&amp;T672))),ISNUMBER(SEARCH("banking",LOWER(F672&amp;" "&amp;H672&amp;" "&amp;I672&amp;" "&amp;M672&amp;" "&amp;N672&amp;" "&amp;T672)))),"PRIVATE_QUARANTINE",IF(OR(ISNUMBER(SEARCH("treasury",LOWER(F672&amp;" "&amp;H672&amp;" "&amp;I672&amp;" "&amp;M672&amp;" "&amp;N672&amp;" "&amp;T672))),ISNUMBER(SEARCH("debt",LOWER(F672&amp;" "&amp;H672&amp;" "&amp;I672&amp;" "&amp;M672&amp;" "&amp;N672&amp;" "&amp;T672))),ISNUMBER(SEARCH("bond",LOWER(F672&amp;" "&amp;H672&amp;" "&amp;I672&amp;" "&amp;M672&amp;" "&amp;N672&amp;" "&amp;T672))),ISNUMBER(SEARCH("transaction",LOWER(F672&amp;" "&amp;H672&amp;" "&amp;I672&amp;" "&amp;M672&amp;" "&amp;N672&amp;" "&amp;T672)))),"PRIVATE_REVIEW","PUBLIC_CANDIDATE"))</x:f>
        <x:v>PUBLIC_CANDIDATE</x:v>
      </x:c>
      <x:c r="AD672" s="12" t="str">
        <x:f>IF(AC672="PRIVATE_QUARANTINE","hacker_or_bank_trigger",IF(AC672="PRIVATE_REVIEW","finance_risk_trigger","none"))</x:f>
        <x:v>none</x:v>
      </x:c>
      <x:c r="AE672" s="12" t="str">
        <x:f>IF(AC672="PUBLIC_CANDIDATE","prepare_public_github_candidate",IF(AC672="PRIVATE_REVIEW","hold_for_private_review","quarantine_private_do_not_publish"))</x:f>
        <x:v>prepare_public_github_candidate</x:v>
      </x:c>
      <x:c r="AF672" s="12" t="str">
        <x:f>IF(AC672="PUBLIC_CANDIDATE","TIDELOCK + Lucerna",IF(AC672="PRIVATE_REVIEW","AtlasBrain + Lucerna","TIDELOCK + Lucerna + Human-root"))</x:f>
        <x:v>TIDELOCK + Lucerna</x:v>
      </x:c>
      <x:c r="AG672" s="12" t="str">
        <x:f>IF(AND(AC672="PUBLIC_CANDIDATE",U672&lt;&gt;"BLOCKED_PENDING_RECEIPT"),"READY_AFTER_RECEIPT","NOT_READY")</x:f>
        <x:v>NOT_READY</x:v>
      </x:c>
      <x:c r="AH672" s="12" t="str">
        <x:f>IF(AC672="PUBLIC_CANDIDATE","none",AD672)</x:f>
        <x:v>none</x:v>
      </x:c>
      <x:c r="AI672" s="12" t="str">
        <x:f>IF(AC672="PUBLIC_CANDIDATE","archive/public_candidates/"&amp;A672,"private_quarantine/"&amp;A672)</x:f>
        <x:v>archive/public_candidates/SWARM-05-H08-S11</x:v>
      </x:c>
      <x:c r="AJ672" s="12" t="str">
        <x:f>IF(AC672="PUBLIC_CANDIDATE","public by default; still not canon","private/hold; do not publish")</x:f>
        <x:v>public by default; still not canon</x:v>
      </x:c>
      <x:c r="AK672" s="12" t="str">
        <x:f>IF(AE672="prepare_public_github_candidate","add receipt/status then mirror","resolve blocker before any public GitHub action")</x:f>
        <x:v>add receipt/status then mirror</x:v>
      </x:c>
    </x:row>
    <x:row r="673">
      <x:c r="A673" s="15" t="str">
        <x:v>SWARM-05-H08-S12</x:v>
      </x:c>
      <x:c r="B673" s="15" t="str">
        <x:v>Rootglass</x:v>
      </x:c>
      <x:c r="C673" s="15" t="str">
        <x:v>Canon gate mirror</x:v>
      </x:c>
      <x:c r="D673" s="15" t="str">
        <x:v>Graph Edge Proposals</x:v>
      </x:c>
      <x:c r="E673" s="15" t="str">
        <x:v>Risk / Safety</x:v>
      </x:c>
      <x:c r="F673" s="15" t="str">
        <x:v>Propose graph edges for Risk / Safety — Rootglass</x:v>
      </x:c>
      <x:c r="G673" s="15" t="str">
        <x:v>authority boundaries / ratification packets</x:v>
      </x:c>
      <x:c r="H673" s="15" t="str">
        <x:v>source path + receipt + raw/export status + claim/edge/risk delta</x:v>
      </x:c>
      <x:c r="I673" s="15" t="str">
        <x:v>packet/SWARM-05-H08-S12</x:v>
      </x:c>
      <x:c r="J673" s="15" t="str">
        <x:v>TODO</x:v>
      </x:c>
      <x:c r="K673" s="15" t="str">
        <x:v>P2</x:v>
      </x:c>
      <x:c r="L673" s="15" t="str">
        <x:v>Done only when evidence is logged, contradiction search is noted, and boundary stamp remains non-canon unless ratified</x:v>
      </x:c>
      <x:c r="M673" s="15" t="str">
        <x:v>candidate / staging-only / not canon / not deployed / authority none</x:v>
      </x:c>
      <x:c r="N673" s="15" t="str">
        <x:v>Dispatch to Rootglass: complete Graph Edge Proposals x Risk / Safety; return deltas only, receipts required.</x:v>
      </x:c>
      <x:c r="O673" s="15" t="str">
        <x:v>AF-KG-H08-S12</x:v>
      </x:c>
      <x:c r="P673" s="15" t="str">
        <x:v>Unverified</x:v>
      </x:c>
      <x:c r="Q673" s="15" t="str">
        <x:v>Not checked</x:v>
      </x:c>
      <x:c r="R673" s="15" t="str"/>
      <x:c r="S673" s="15" t="str"/>
      <x:c r="T673" s="15" t="str">
        <x:v>Log first source path or blocker</x:v>
      </x:c>
      <x:c r="U673" s="12" t="str">
        <x:f>IF(OR(P673="Unverified",Q673="Not checked"),"BLOCKED_PENDING_RECEIPT","READY_FOR_REVIEW")</x:f>
        <x:v>BLOCKED_PENDING_RECEIPT</x:v>
      </x:c>
      <x:c r="V673" s="12" t="str">
        <x:f>IF(J673="DONE","RETURNED",IF(U673="BLOCKED_PENDING_RECEIPT","SOURCE_TOUCH_REQUIRED","IN_PROGRESS"))</x:f>
        <x:v>SOURCE_TOUCH_REQUIRED</x:v>
      </x:c>
      <x:c r="W673" s="12" t="str">
        <x:f>IF(P673="Unverified","missing_receipt","receipt_logged")</x:f>
        <x:v>missing_receipt</x:v>
      </x:c>
      <x:c r="X673" s="12" t="str">
        <x:f>IF(Q673="Not checked","raw_status_missing","raw_status_logged")</x:f>
        <x:v>raw_status_missing</x:v>
      </x:c>
      <x:c r="Y673" s="12" t="str">
        <x:f>IF(U673="BLOCKED_PENDING_RECEIPT","Log source path or blocker; do not promote","Route to review lane")</x:f>
        <x:v>Log source path or blocker; do not promote</x:v>
      </x:c>
      <x:c r="Z673" s="12" t="str">
        <x:f>IF(K673="P0","Primary seat + Hashlight/Lucerna","Seat lane")</x:f>
        <x:v>Seat lane</x:v>
      </x:c>
      <x:c r="AA673" s="12" t="str">
        <x:f>IF(R673="","no_claim_delta","claim_delta_present")</x:f>
        <x:v>no_claim_delta</x:v>
      </x:c>
      <x:c r="AB673" s="12" t="str">
        <x:f>IF(S673="","no_contradiction_delta","contradiction_delta_present")</x:f>
        <x:v>no_contradiction_delta</x:v>
      </x:c>
      <x:c r="AC673" s="12" t="str">
        <x:f>IF(OR(ISNUMBER(SEARCH("hacker",LOWER(F673&amp;" "&amp;H673&amp;" "&amp;I673&amp;" "&amp;M673&amp;" "&amp;N673&amp;" "&amp;T673))),ISNUMBER(SEARCH("hacking",LOWER(F673&amp;" "&amp;H673&amp;" "&amp;I673&amp;" "&amp;M673&amp;" "&amp;N673&amp;" "&amp;T673))),ISNUMBER(SEARCH("bank",LOWER(F673&amp;" "&amp;H673&amp;" "&amp;I673&amp;" "&amp;M673&amp;" "&amp;N673&amp;" "&amp;T673))),ISNUMBER(SEARCH("banking",LOWER(F673&amp;" "&amp;H673&amp;" "&amp;I673&amp;" "&amp;M673&amp;" "&amp;N673&amp;" "&amp;T673)))),"PRIVATE_QUARANTINE",IF(OR(ISNUMBER(SEARCH("treasury",LOWER(F673&amp;" "&amp;H673&amp;" "&amp;I673&amp;" "&amp;M673&amp;" "&amp;N673&amp;" "&amp;T673))),ISNUMBER(SEARCH("debt",LOWER(F673&amp;" "&amp;H673&amp;" "&amp;I673&amp;" "&amp;M673&amp;" "&amp;N673&amp;" "&amp;T673))),ISNUMBER(SEARCH("bond",LOWER(F673&amp;" "&amp;H673&amp;" "&amp;I673&amp;" "&amp;M673&amp;" "&amp;N673&amp;" "&amp;T673))),ISNUMBER(SEARCH("transaction",LOWER(F673&amp;" "&amp;H673&amp;" "&amp;I673&amp;" "&amp;M673&amp;" "&amp;N673&amp;" "&amp;T673)))),"PRIVATE_REVIEW","PUBLIC_CANDIDATE"))</x:f>
        <x:v>PUBLIC_CANDIDATE</x:v>
      </x:c>
      <x:c r="AD673" s="12" t="str">
        <x:f>IF(AC673="PRIVATE_QUARANTINE","hacker_or_bank_trigger",IF(AC673="PRIVATE_REVIEW","finance_risk_trigger","none"))</x:f>
        <x:v>none</x:v>
      </x:c>
      <x:c r="AE673" s="12" t="str">
        <x:f>IF(AC673="PUBLIC_CANDIDATE","prepare_public_github_candidate",IF(AC673="PRIVATE_REVIEW","hold_for_private_review","quarantine_private_do_not_publish"))</x:f>
        <x:v>prepare_public_github_candidate</x:v>
      </x:c>
      <x:c r="AF673" s="12" t="str">
        <x:f>IF(AC673="PUBLIC_CANDIDATE","TIDELOCK + Lucerna",IF(AC673="PRIVATE_REVIEW","AtlasBrain + Lucerna","TIDELOCK + Lucerna + Human-root"))</x:f>
        <x:v>TIDELOCK + Lucerna</x:v>
      </x:c>
      <x:c r="AG673" s="12" t="str">
        <x:f>IF(AND(AC673="PUBLIC_CANDIDATE",U673&lt;&gt;"BLOCKED_PENDING_RECEIPT"),"READY_AFTER_RECEIPT","NOT_READY")</x:f>
        <x:v>NOT_READY</x:v>
      </x:c>
      <x:c r="AH673" s="12" t="str">
        <x:f>IF(AC673="PUBLIC_CANDIDATE","none",AD673)</x:f>
        <x:v>none</x:v>
      </x:c>
      <x:c r="AI673" s="12" t="str">
        <x:f>IF(AC673="PUBLIC_CANDIDATE","archive/public_candidates/"&amp;A673,"private_quarantine/"&amp;A673)</x:f>
        <x:v>archive/public_candidates/SWARM-05-H08-S12</x:v>
      </x:c>
      <x:c r="AJ673" s="12" t="str">
        <x:f>IF(AC673="PUBLIC_CANDIDATE","public by default; still not canon","private/hold; do not publish")</x:f>
        <x:v>public by default; still not canon</x:v>
      </x:c>
      <x:c r="AK673" s="12" t="str">
        <x:f>IF(AE673="prepare_public_github_candidate","add receipt/status then mirror","resolve blocker before any public GitHub action")</x:f>
        <x:v>add receipt/status then mirror</x:v>
      </x:c>
    </x:row>
    <x:row r="674">
      <x:c r="A674" s="15" t="str">
        <x:v>SWARM-05-H09-S01</x:v>
      </x:c>
      <x:c r="B674" s="15" t="str">
        <x:v>Rootglass</x:v>
      </x:c>
      <x:c r="C674" s="15" t="str">
        <x:v>Canon gate mirror</x:v>
      </x:c>
      <x:c r="D674" s="15" t="str">
        <x:v>Review Queues</x:v>
      </x:c>
      <x:c r="E674" s="15" t="str">
        <x:v>Notion</x:v>
      </x:c>
      <x:c r="F674" s="15" t="str">
        <x:v>Queue review for Notion — Rootglass</x:v>
      </x:c>
      <x:c r="G674" s="15" t="str">
        <x:v>authority boundaries / ratification packets</x:v>
      </x:c>
      <x:c r="H674" s="15" t="str">
        <x:v>source path + receipt + raw/export status + claim/edge/risk delta</x:v>
      </x:c>
      <x:c r="I674" s="15" t="str">
        <x:v>packet/SWARM-05-H09-S01</x:v>
      </x:c>
      <x:c r="J674" s="15" t="str">
        <x:v>TODO</x:v>
      </x:c>
      <x:c r="K674" s="15" t="str">
        <x:v>P0</x:v>
      </x:c>
      <x:c r="L674" s="15" t="str">
        <x:v>Done only when evidence is logged, contradiction search is noted, and boundary stamp remains non-canon unless ratified</x:v>
      </x:c>
      <x:c r="M674" s="15" t="str">
        <x:v>candidate / staging-only / not canon / not deployed / authority none</x:v>
      </x:c>
      <x:c r="N674" s="15" t="str">
        <x:v>Dispatch to Rootglass: complete Review Queues x Notion; return deltas only, receipts required.</x:v>
      </x:c>
      <x:c r="O674" s="15" t="str">
        <x:v>AF-KG-H09-S01</x:v>
      </x:c>
      <x:c r="P674" s="15" t="str">
        <x:v>Unverified</x:v>
      </x:c>
      <x:c r="Q674" s="15" t="str">
        <x:v>Not checked</x:v>
      </x:c>
      <x:c r="R674" s="15" t="str"/>
      <x:c r="S674" s="15" t="str"/>
      <x:c r="T674" s="15" t="str">
        <x:v>Log first source path or blocker</x:v>
      </x:c>
      <x:c r="U674" s="12" t="str">
        <x:f>IF(OR(P674="Unverified",Q674="Not checked"),"BLOCKED_PENDING_RECEIPT","READY_FOR_REVIEW")</x:f>
        <x:v>BLOCKED_PENDING_RECEIPT</x:v>
      </x:c>
      <x:c r="V674" s="12" t="str">
        <x:f>IF(J674="DONE","RETURNED",IF(U674="BLOCKED_PENDING_RECEIPT","SOURCE_TOUCH_REQUIRED","IN_PROGRESS"))</x:f>
        <x:v>SOURCE_TOUCH_REQUIRED</x:v>
      </x:c>
      <x:c r="W674" s="12" t="str">
        <x:f>IF(P674="Unverified","missing_receipt","receipt_logged")</x:f>
        <x:v>missing_receipt</x:v>
      </x:c>
      <x:c r="X674" s="12" t="str">
        <x:f>IF(Q674="Not checked","raw_status_missing","raw_status_logged")</x:f>
        <x:v>raw_status_missing</x:v>
      </x:c>
      <x:c r="Y674" s="12" t="str">
        <x:f>IF(U674="BLOCKED_PENDING_RECEIPT","Log source path or blocker; do not promote","Route to review lane")</x:f>
        <x:v>Log source path or blocker; do not promote</x:v>
      </x:c>
      <x:c r="Z674" s="12" t="str">
        <x:f>IF(K674="P0","Primary seat + Hashlight/Lucerna","Seat lane")</x:f>
        <x:v>Primary seat + Hashlight/Lucerna</x:v>
      </x:c>
      <x:c r="AA674" s="12" t="str">
        <x:f>IF(R674="","no_claim_delta","claim_delta_present")</x:f>
        <x:v>no_claim_delta</x:v>
      </x:c>
      <x:c r="AB674" s="12" t="str">
        <x:f>IF(S674="","no_contradiction_delta","contradiction_delta_present")</x:f>
        <x:v>no_contradiction_delta</x:v>
      </x:c>
      <x:c r="AC674" s="12" t="str">
        <x:f>IF(OR(ISNUMBER(SEARCH("hacker",LOWER(F674&amp;" "&amp;H674&amp;" "&amp;I674&amp;" "&amp;M674&amp;" "&amp;N674&amp;" "&amp;T674))),ISNUMBER(SEARCH("hacking",LOWER(F674&amp;" "&amp;H674&amp;" "&amp;I674&amp;" "&amp;M674&amp;" "&amp;N674&amp;" "&amp;T674))),ISNUMBER(SEARCH("bank",LOWER(F674&amp;" "&amp;H674&amp;" "&amp;I674&amp;" "&amp;M674&amp;" "&amp;N674&amp;" "&amp;T674))),ISNUMBER(SEARCH("banking",LOWER(F674&amp;" "&amp;H674&amp;" "&amp;I674&amp;" "&amp;M674&amp;" "&amp;N674&amp;" "&amp;T674)))),"PRIVATE_QUARANTINE",IF(OR(ISNUMBER(SEARCH("treasury",LOWER(F674&amp;" "&amp;H674&amp;" "&amp;I674&amp;" "&amp;M674&amp;" "&amp;N674&amp;" "&amp;T674))),ISNUMBER(SEARCH("debt",LOWER(F674&amp;" "&amp;H674&amp;" "&amp;I674&amp;" "&amp;M674&amp;" "&amp;N674&amp;" "&amp;T674))),ISNUMBER(SEARCH("bond",LOWER(F674&amp;" "&amp;H674&amp;" "&amp;I674&amp;" "&amp;M674&amp;" "&amp;N674&amp;" "&amp;T674))),ISNUMBER(SEARCH("transaction",LOWER(F674&amp;" "&amp;H674&amp;" "&amp;I674&amp;" "&amp;M674&amp;" "&amp;N674&amp;" "&amp;T674)))),"PRIVATE_REVIEW","PUBLIC_CANDIDATE"))</x:f>
        <x:v>PUBLIC_CANDIDATE</x:v>
      </x:c>
      <x:c r="AD674" s="12" t="str">
        <x:f>IF(AC674="PRIVATE_QUARANTINE","hacker_or_bank_trigger",IF(AC674="PRIVATE_REVIEW","finance_risk_trigger","none"))</x:f>
        <x:v>none</x:v>
      </x:c>
      <x:c r="AE674" s="12" t="str">
        <x:f>IF(AC674="PUBLIC_CANDIDATE","prepare_public_github_candidate",IF(AC674="PRIVATE_REVIEW","hold_for_private_review","quarantine_private_do_not_publish"))</x:f>
        <x:v>prepare_public_github_candidate</x:v>
      </x:c>
      <x:c r="AF674" s="12" t="str">
        <x:f>IF(AC674="PUBLIC_CANDIDATE","TIDELOCK + Lucerna",IF(AC674="PRIVATE_REVIEW","AtlasBrain + Lucerna","TIDELOCK + Lucerna + Human-root"))</x:f>
        <x:v>TIDELOCK + Lucerna</x:v>
      </x:c>
      <x:c r="AG674" s="12" t="str">
        <x:f>IF(AND(AC674="PUBLIC_CANDIDATE",U674&lt;&gt;"BLOCKED_PENDING_RECEIPT"),"READY_AFTER_RECEIPT","NOT_READY")</x:f>
        <x:v>NOT_READY</x:v>
      </x:c>
      <x:c r="AH674" s="12" t="str">
        <x:f>IF(AC674="PUBLIC_CANDIDATE","none",AD674)</x:f>
        <x:v>none</x:v>
      </x:c>
      <x:c r="AI674" s="12" t="str">
        <x:f>IF(AC674="PUBLIC_CANDIDATE","archive/public_candidates/"&amp;A674,"private_quarantine/"&amp;A674)</x:f>
        <x:v>archive/public_candidates/SWARM-05-H09-S01</x:v>
      </x:c>
      <x:c r="AJ674" s="12" t="str">
        <x:f>IF(AC674="PUBLIC_CANDIDATE","public by default; still not canon","private/hold; do not publish")</x:f>
        <x:v>public by default; still not canon</x:v>
      </x:c>
      <x:c r="AK674" s="12" t="str">
        <x:f>IF(AE674="prepare_public_github_candidate","add receipt/status then mirror","resolve blocker before any public GitHub action")</x:f>
        <x:v>add receipt/status then mirror</x:v>
      </x:c>
    </x:row>
    <x:row r="675">
      <x:c r="A675" s="15" t="str">
        <x:v>SWARM-05-H09-S02</x:v>
      </x:c>
      <x:c r="B675" s="15" t="str">
        <x:v>Rootglass</x:v>
      </x:c>
      <x:c r="C675" s="15" t="str">
        <x:v>Canon gate mirror</x:v>
      </x:c>
      <x:c r="D675" s="15" t="str">
        <x:v>Review Queues</x:v>
      </x:c>
      <x:c r="E675" s="15" t="str">
        <x:v>Drive</x:v>
      </x:c>
      <x:c r="F675" s="15" t="str">
        <x:v>Queue review for Drive — Rootglass</x:v>
      </x:c>
      <x:c r="G675" s="15" t="str">
        <x:v>authority boundaries / ratification packets</x:v>
      </x:c>
      <x:c r="H675" s="15" t="str">
        <x:v>source path + receipt + raw/export status + claim/edge/risk delta</x:v>
      </x:c>
      <x:c r="I675" s="15" t="str">
        <x:v>packet/SWARM-05-H09-S02</x:v>
      </x:c>
      <x:c r="J675" s="15" t="str">
        <x:v>TODO</x:v>
      </x:c>
      <x:c r="K675" s="15" t="str">
        <x:v>P0</x:v>
      </x:c>
      <x:c r="L675" s="15" t="str">
        <x:v>Done only when evidence is logged, contradiction search is noted, and boundary stamp remains non-canon unless ratified</x:v>
      </x:c>
      <x:c r="M675" s="15" t="str">
        <x:v>candidate / staging-only / not canon / not deployed / authority none</x:v>
      </x:c>
      <x:c r="N675" s="15" t="str">
        <x:v>Dispatch to Rootglass: complete Review Queues x Drive; return deltas only, receipts required.</x:v>
      </x:c>
      <x:c r="O675" s="15" t="str">
        <x:v>AF-KG-H09-S02</x:v>
      </x:c>
      <x:c r="P675" s="15" t="str">
        <x:v>Unverified</x:v>
      </x:c>
      <x:c r="Q675" s="15" t="str">
        <x:v>Not checked</x:v>
      </x:c>
      <x:c r="R675" s="15" t="str"/>
      <x:c r="S675" s="15" t="str"/>
      <x:c r="T675" s="15" t="str">
        <x:v>Log first source path or blocker</x:v>
      </x:c>
      <x:c r="U675" s="12" t="str">
        <x:f>IF(OR(P675="Unverified",Q675="Not checked"),"BLOCKED_PENDING_RECEIPT","READY_FOR_REVIEW")</x:f>
        <x:v>BLOCKED_PENDING_RECEIPT</x:v>
      </x:c>
      <x:c r="V675" s="12" t="str">
        <x:f>IF(J675="DONE","RETURNED",IF(U675="BLOCKED_PENDING_RECEIPT","SOURCE_TOUCH_REQUIRED","IN_PROGRESS"))</x:f>
        <x:v>SOURCE_TOUCH_REQUIRED</x:v>
      </x:c>
      <x:c r="W675" s="12" t="str">
        <x:f>IF(P675="Unverified","missing_receipt","receipt_logged")</x:f>
        <x:v>missing_receipt</x:v>
      </x:c>
      <x:c r="X675" s="12" t="str">
        <x:f>IF(Q675="Not checked","raw_status_missing","raw_status_logged")</x:f>
        <x:v>raw_status_missing</x:v>
      </x:c>
      <x:c r="Y675" s="12" t="str">
        <x:f>IF(U675="BLOCKED_PENDING_RECEIPT","Log source path or blocker; do not promote","Route to review lane")</x:f>
        <x:v>Log source path or blocker; do not promote</x:v>
      </x:c>
      <x:c r="Z675" s="12" t="str">
        <x:f>IF(K675="P0","Primary seat + Hashlight/Lucerna","Seat lane")</x:f>
        <x:v>Primary seat + Hashlight/Lucerna</x:v>
      </x:c>
      <x:c r="AA675" s="12" t="str">
        <x:f>IF(R675="","no_claim_delta","claim_delta_present")</x:f>
        <x:v>no_claim_delta</x:v>
      </x:c>
      <x:c r="AB675" s="12" t="str">
        <x:f>IF(S675="","no_contradiction_delta","contradiction_delta_present")</x:f>
        <x:v>no_contradiction_delta</x:v>
      </x:c>
      <x:c r="AC675" s="12" t="str">
        <x:f>IF(OR(ISNUMBER(SEARCH("hacker",LOWER(F675&amp;" "&amp;H675&amp;" "&amp;I675&amp;" "&amp;M675&amp;" "&amp;N675&amp;" "&amp;T675))),ISNUMBER(SEARCH("hacking",LOWER(F675&amp;" "&amp;H675&amp;" "&amp;I675&amp;" "&amp;M675&amp;" "&amp;N675&amp;" "&amp;T675))),ISNUMBER(SEARCH("bank",LOWER(F675&amp;" "&amp;H675&amp;" "&amp;I675&amp;" "&amp;M675&amp;" "&amp;N675&amp;" "&amp;T675))),ISNUMBER(SEARCH("banking",LOWER(F675&amp;" "&amp;H675&amp;" "&amp;I675&amp;" "&amp;M675&amp;" "&amp;N675&amp;" "&amp;T675)))),"PRIVATE_QUARANTINE",IF(OR(ISNUMBER(SEARCH("treasury",LOWER(F675&amp;" "&amp;H675&amp;" "&amp;I675&amp;" "&amp;M675&amp;" "&amp;N675&amp;" "&amp;T675))),ISNUMBER(SEARCH("debt",LOWER(F675&amp;" "&amp;H675&amp;" "&amp;I675&amp;" "&amp;M675&amp;" "&amp;N675&amp;" "&amp;T675))),ISNUMBER(SEARCH("bond",LOWER(F675&amp;" "&amp;H675&amp;" "&amp;I675&amp;" "&amp;M675&amp;" "&amp;N675&amp;" "&amp;T675))),ISNUMBER(SEARCH("transaction",LOWER(F675&amp;" "&amp;H675&amp;" "&amp;I675&amp;" "&amp;M675&amp;" "&amp;N675&amp;" "&amp;T675)))),"PRIVATE_REVIEW","PUBLIC_CANDIDATE"))</x:f>
        <x:v>PUBLIC_CANDIDATE</x:v>
      </x:c>
      <x:c r="AD675" s="12" t="str">
        <x:f>IF(AC675="PRIVATE_QUARANTINE","hacker_or_bank_trigger",IF(AC675="PRIVATE_REVIEW","finance_risk_trigger","none"))</x:f>
        <x:v>none</x:v>
      </x:c>
      <x:c r="AE675" s="12" t="str">
        <x:f>IF(AC675="PUBLIC_CANDIDATE","prepare_public_github_candidate",IF(AC675="PRIVATE_REVIEW","hold_for_private_review","quarantine_private_do_not_publish"))</x:f>
        <x:v>prepare_public_github_candidate</x:v>
      </x:c>
      <x:c r="AF675" s="12" t="str">
        <x:f>IF(AC675="PUBLIC_CANDIDATE","TIDELOCK + Lucerna",IF(AC675="PRIVATE_REVIEW","AtlasBrain + Lucerna","TIDELOCK + Lucerna + Human-root"))</x:f>
        <x:v>TIDELOCK + Lucerna</x:v>
      </x:c>
      <x:c r="AG675" s="12" t="str">
        <x:f>IF(AND(AC675="PUBLIC_CANDIDATE",U675&lt;&gt;"BLOCKED_PENDING_RECEIPT"),"READY_AFTER_RECEIPT","NOT_READY")</x:f>
        <x:v>NOT_READY</x:v>
      </x:c>
      <x:c r="AH675" s="12" t="str">
        <x:f>IF(AC675="PUBLIC_CANDIDATE","none",AD675)</x:f>
        <x:v>none</x:v>
      </x:c>
      <x:c r="AI675" s="12" t="str">
        <x:f>IF(AC675="PUBLIC_CANDIDATE","archive/public_candidates/"&amp;A675,"private_quarantine/"&amp;A675)</x:f>
        <x:v>archive/public_candidates/SWARM-05-H09-S02</x:v>
      </x:c>
      <x:c r="AJ675" s="12" t="str">
        <x:f>IF(AC675="PUBLIC_CANDIDATE","public by default; still not canon","private/hold; do not publish")</x:f>
        <x:v>public by default; still not canon</x:v>
      </x:c>
      <x:c r="AK675" s="12" t="str">
        <x:f>IF(AE675="prepare_public_github_candidate","add receipt/status then mirror","resolve blocker before any public GitHub action")</x:f>
        <x:v>add receipt/status then mirror</x:v>
      </x:c>
    </x:row>
    <x:row r="676">
      <x:c r="A676" s="15" t="str">
        <x:v>SWARM-05-H09-S03</x:v>
      </x:c>
      <x:c r="B676" s="15" t="str">
        <x:v>Rootglass</x:v>
      </x:c>
      <x:c r="C676" s="15" t="str">
        <x:v>Canon gate mirror</x:v>
      </x:c>
      <x:c r="D676" s="15" t="str">
        <x:v>Review Queues</x:v>
      </x:c>
      <x:c r="E676" s="15" t="str">
        <x:v>GitHub</x:v>
      </x:c>
      <x:c r="F676" s="15" t="str">
        <x:v>Queue review for GitHub — Rootglass</x:v>
      </x:c>
      <x:c r="G676" s="15" t="str">
        <x:v>authority boundaries / ratification packets</x:v>
      </x:c>
      <x:c r="H676" s="15" t="str">
        <x:v>source path + receipt + raw/export status + claim/edge/risk delta</x:v>
      </x:c>
      <x:c r="I676" s="15" t="str">
        <x:v>packet/SWARM-05-H09-S03</x:v>
      </x:c>
      <x:c r="J676" s="15" t="str">
        <x:v>TODO</x:v>
      </x:c>
      <x:c r="K676" s="15" t="str">
        <x:v>P0</x:v>
      </x:c>
      <x:c r="L676" s="15" t="str">
        <x:v>Done only when evidence is logged, contradiction search is noted, and boundary stamp remains non-canon unless ratified</x:v>
      </x:c>
      <x:c r="M676" s="15" t="str">
        <x:v>candidate / staging-only / not canon / not deployed / authority none</x:v>
      </x:c>
      <x:c r="N676" s="15" t="str">
        <x:v>Dispatch to Rootglass: complete Review Queues x GitHub; return deltas only, receipts required.</x:v>
      </x:c>
      <x:c r="O676" s="15" t="str">
        <x:v>AF-KG-H09-S03</x:v>
      </x:c>
      <x:c r="P676" s="15" t="str">
        <x:v>Unverified</x:v>
      </x:c>
      <x:c r="Q676" s="15" t="str">
        <x:v>Not checked</x:v>
      </x:c>
      <x:c r="R676" s="15" t="str"/>
      <x:c r="S676" s="15" t="str"/>
      <x:c r="T676" s="15" t="str">
        <x:v>Log first source path or blocker</x:v>
      </x:c>
      <x:c r="U676" s="12" t="str">
        <x:f>IF(OR(P676="Unverified",Q676="Not checked"),"BLOCKED_PENDING_RECEIPT","READY_FOR_REVIEW")</x:f>
        <x:v>BLOCKED_PENDING_RECEIPT</x:v>
      </x:c>
      <x:c r="V676" s="12" t="str">
        <x:f>IF(J676="DONE","RETURNED",IF(U676="BLOCKED_PENDING_RECEIPT","SOURCE_TOUCH_REQUIRED","IN_PROGRESS"))</x:f>
        <x:v>SOURCE_TOUCH_REQUIRED</x:v>
      </x:c>
      <x:c r="W676" s="12" t="str">
        <x:f>IF(P676="Unverified","missing_receipt","receipt_logged")</x:f>
        <x:v>missing_receipt</x:v>
      </x:c>
      <x:c r="X676" s="12" t="str">
        <x:f>IF(Q676="Not checked","raw_status_missing","raw_status_logged")</x:f>
        <x:v>raw_status_missing</x:v>
      </x:c>
      <x:c r="Y676" s="12" t="str">
        <x:f>IF(U676="BLOCKED_PENDING_RECEIPT","Log source path or blocker; do not promote","Route to review lane")</x:f>
        <x:v>Log source path or blocker; do not promote</x:v>
      </x:c>
      <x:c r="Z676" s="12" t="str">
        <x:f>IF(K676="P0","Primary seat + Hashlight/Lucerna","Seat lane")</x:f>
        <x:v>Primary seat + Hashlight/Lucerna</x:v>
      </x:c>
      <x:c r="AA676" s="12" t="str">
        <x:f>IF(R676="","no_claim_delta","claim_delta_present")</x:f>
        <x:v>no_claim_delta</x:v>
      </x:c>
      <x:c r="AB676" s="12" t="str">
        <x:f>IF(S676="","no_contradiction_delta","contradiction_delta_present")</x:f>
        <x:v>no_contradiction_delta</x:v>
      </x:c>
      <x:c r="AC676" s="12" t="str">
        <x:f>IF(OR(ISNUMBER(SEARCH("hacker",LOWER(F676&amp;" "&amp;H676&amp;" "&amp;I676&amp;" "&amp;M676&amp;" "&amp;N676&amp;" "&amp;T676))),ISNUMBER(SEARCH("hacking",LOWER(F676&amp;" "&amp;H676&amp;" "&amp;I676&amp;" "&amp;M676&amp;" "&amp;N676&amp;" "&amp;T676))),ISNUMBER(SEARCH("bank",LOWER(F676&amp;" "&amp;H676&amp;" "&amp;I676&amp;" "&amp;M676&amp;" "&amp;N676&amp;" "&amp;T676))),ISNUMBER(SEARCH("banking",LOWER(F676&amp;" "&amp;H676&amp;" "&amp;I676&amp;" "&amp;M676&amp;" "&amp;N676&amp;" "&amp;T676)))),"PRIVATE_QUARANTINE",IF(OR(ISNUMBER(SEARCH("treasury",LOWER(F676&amp;" "&amp;H676&amp;" "&amp;I676&amp;" "&amp;M676&amp;" "&amp;N676&amp;" "&amp;T676))),ISNUMBER(SEARCH("debt",LOWER(F676&amp;" "&amp;H676&amp;" "&amp;I676&amp;" "&amp;M676&amp;" "&amp;N676&amp;" "&amp;T676))),ISNUMBER(SEARCH("bond",LOWER(F676&amp;" "&amp;H676&amp;" "&amp;I676&amp;" "&amp;M676&amp;" "&amp;N676&amp;" "&amp;T676))),ISNUMBER(SEARCH("transaction",LOWER(F676&amp;" "&amp;H676&amp;" "&amp;I676&amp;" "&amp;M676&amp;" "&amp;N676&amp;" "&amp;T676)))),"PRIVATE_REVIEW","PUBLIC_CANDIDATE"))</x:f>
        <x:v>PUBLIC_CANDIDATE</x:v>
      </x:c>
      <x:c r="AD676" s="12" t="str">
        <x:f>IF(AC676="PRIVATE_QUARANTINE","hacker_or_bank_trigger",IF(AC676="PRIVATE_REVIEW","finance_risk_trigger","none"))</x:f>
        <x:v>none</x:v>
      </x:c>
      <x:c r="AE676" s="12" t="str">
        <x:f>IF(AC676="PUBLIC_CANDIDATE","prepare_public_github_candidate",IF(AC676="PRIVATE_REVIEW","hold_for_private_review","quarantine_private_do_not_publish"))</x:f>
        <x:v>prepare_public_github_candidate</x:v>
      </x:c>
      <x:c r="AF676" s="12" t="str">
        <x:f>IF(AC676="PUBLIC_CANDIDATE","TIDELOCK + Lucerna",IF(AC676="PRIVATE_REVIEW","AtlasBrain + Lucerna","TIDELOCK + Lucerna + Human-root"))</x:f>
        <x:v>TIDELOCK + Lucerna</x:v>
      </x:c>
      <x:c r="AG676" s="12" t="str">
        <x:f>IF(AND(AC676="PUBLIC_CANDIDATE",U676&lt;&gt;"BLOCKED_PENDING_RECEIPT"),"READY_AFTER_RECEIPT","NOT_READY")</x:f>
        <x:v>NOT_READY</x:v>
      </x:c>
      <x:c r="AH676" s="12" t="str">
        <x:f>IF(AC676="PUBLIC_CANDIDATE","none",AD676)</x:f>
        <x:v>none</x:v>
      </x:c>
      <x:c r="AI676" s="12" t="str">
        <x:f>IF(AC676="PUBLIC_CANDIDATE","archive/public_candidates/"&amp;A676,"private_quarantine/"&amp;A676)</x:f>
        <x:v>archive/public_candidates/SWARM-05-H09-S03</x:v>
      </x:c>
      <x:c r="AJ676" s="12" t="str">
        <x:f>IF(AC676="PUBLIC_CANDIDATE","public by default; still not canon","private/hold; do not publish")</x:f>
        <x:v>public by default; still not canon</x:v>
      </x:c>
      <x:c r="AK676" s="12" t="str">
        <x:f>IF(AE676="prepare_public_github_candidate","add receipt/status then mirror","resolve blocker before any public GitHub action")</x:f>
        <x:v>add receipt/status then mirror</x:v>
      </x:c>
    </x:row>
    <x:row r="677">
      <x:c r="A677" s="15" t="str">
        <x:v>SWARM-05-H09-S04</x:v>
      </x:c>
      <x:c r="B677" s="15" t="str">
        <x:v>Rootglass</x:v>
      </x:c>
      <x:c r="C677" s="15" t="str">
        <x:v>Canon gate mirror</x:v>
      </x:c>
      <x:c r="D677" s="15" t="str">
        <x:v>Review Queues</x:v>
      </x:c>
      <x:c r="E677" s="15" t="str">
        <x:v>Gamma</x:v>
      </x:c>
      <x:c r="F677" s="15" t="str">
        <x:v>Queue review for Gamma — Rootglass</x:v>
      </x:c>
      <x:c r="G677" s="15" t="str">
        <x:v>authority boundaries / ratification packets</x:v>
      </x:c>
      <x:c r="H677" s="15" t="str">
        <x:v>source path + receipt + raw/export status + claim/edge/risk delta</x:v>
      </x:c>
      <x:c r="I677" s="15" t="str">
        <x:v>packet/SWARM-05-H09-S04</x:v>
      </x:c>
      <x:c r="J677" s="15" t="str">
        <x:v>TODO</x:v>
      </x:c>
      <x:c r="K677" s="15" t="str">
        <x:v>P1</x:v>
      </x:c>
      <x:c r="L677" s="15" t="str">
        <x:v>Done only when evidence is logged, contradiction search is noted, and boundary stamp remains non-canon unless ratified</x:v>
      </x:c>
      <x:c r="M677" s="15" t="str">
        <x:v>candidate / staging-only / not canon / not deployed / authority none</x:v>
      </x:c>
      <x:c r="N677" s="15" t="str">
        <x:v>Dispatch to Rootglass: complete Review Queues x Gamma; return deltas only, receipts required.</x:v>
      </x:c>
      <x:c r="O677" s="15" t="str">
        <x:v>AF-KG-H09-S04</x:v>
      </x:c>
      <x:c r="P677" s="15" t="str">
        <x:v>Unverified</x:v>
      </x:c>
      <x:c r="Q677" s="15" t="str">
        <x:v>Not checked</x:v>
      </x:c>
      <x:c r="R677" s="15" t="str"/>
      <x:c r="S677" s="15" t="str"/>
      <x:c r="T677" s="15" t="str">
        <x:v>Log first source path or blocker</x:v>
      </x:c>
      <x:c r="U677" s="12" t="str">
        <x:f>IF(OR(P677="Unverified",Q677="Not checked"),"BLOCKED_PENDING_RECEIPT","READY_FOR_REVIEW")</x:f>
        <x:v>BLOCKED_PENDING_RECEIPT</x:v>
      </x:c>
      <x:c r="V677" s="12" t="str">
        <x:f>IF(J677="DONE","RETURNED",IF(U677="BLOCKED_PENDING_RECEIPT","SOURCE_TOUCH_REQUIRED","IN_PROGRESS"))</x:f>
        <x:v>SOURCE_TOUCH_REQUIRED</x:v>
      </x:c>
      <x:c r="W677" s="12" t="str">
        <x:f>IF(P677="Unverified","missing_receipt","receipt_logged")</x:f>
        <x:v>missing_receipt</x:v>
      </x:c>
      <x:c r="X677" s="12" t="str">
        <x:f>IF(Q677="Not checked","raw_status_missing","raw_status_logged")</x:f>
        <x:v>raw_status_missing</x:v>
      </x:c>
      <x:c r="Y677" s="12" t="str">
        <x:f>IF(U677="BLOCKED_PENDING_RECEIPT","Log source path or blocker; do not promote","Route to review lane")</x:f>
        <x:v>Log source path or blocker; do not promote</x:v>
      </x:c>
      <x:c r="Z677" s="12" t="str">
        <x:f>IF(K677="P0","Primary seat + Hashlight/Lucerna","Seat lane")</x:f>
        <x:v>Seat lane</x:v>
      </x:c>
      <x:c r="AA677" s="12" t="str">
        <x:f>IF(R677="","no_claim_delta","claim_delta_present")</x:f>
        <x:v>no_claim_delta</x:v>
      </x:c>
      <x:c r="AB677" s="12" t="str">
        <x:f>IF(S677="","no_contradiction_delta","contradiction_delta_present")</x:f>
        <x:v>no_contradiction_delta</x:v>
      </x:c>
      <x:c r="AC677" s="12" t="str">
        <x:f>IF(OR(ISNUMBER(SEARCH("hacker",LOWER(F677&amp;" "&amp;H677&amp;" "&amp;I677&amp;" "&amp;M677&amp;" "&amp;N677&amp;" "&amp;T677))),ISNUMBER(SEARCH("hacking",LOWER(F677&amp;" "&amp;H677&amp;" "&amp;I677&amp;" "&amp;M677&amp;" "&amp;N677&amp;" "&amp;T677))),ISNUMBER(SEARCH("bank",LOWER(F677&amp;" "&amp;H677&amp;" "&amp;I677&amp;" "&amp;M677&amp;" "&amp;N677&amp;" "&amp;T677))),ISNUMBER(SEARCH("banking",LOWER(F677&amp;" "&amp;H677&amp;" "&amp;I677&amp;" "&amp;M677&amp;" "&amp;N677&amp;" "&amp;T677)))),"PRIVATE_QUARANTINE",IF(OR(ISNUMBER(SEARCH("treasury",LOWER(F677&amp;" "&amp;H677&amp;" "&amp;I677&amp;" "&amp;M677&amp;" "&amp;N677&amp;" "&amp;T677))),ISNUMBER(SEARCH("debt",LOWER(F677&amp;" "&amp;H677&amp;" "&amp;I677&amp;" "&amp;M677&amp;" "&amp;N677&amp;" "&amp;T677))),ISNUMBER(SEARCH("bond",LOWER(F677&amp;" "&amp;H677&amp;" "&amp;I677&amp;" "&amp;M677&amp;" "&amp;N677&amp;" "&amp;T677))),ISNUMBER(SEARCH("transaction",LOWER(F677&amp;" "&amp;H677&amp;" "&amp;I677&amp;" "&amp;M677&amp;" "&amp;N677&amp;" "&amp;T677)))),"PRIVATE_REVIEW","PUBLIC_CANDIDATE"))</x:f>
        <x:v>PUBLIC_CANDIDATE</x:v>
      </x:c>
      <x:c r="AD677" s="12" t="str">
        <x:f>IF(AC677="PRIVATE_QUARANTINE","hacker_or_bank_trigger",IF(AC677="PRIVATE_REVIEW","finance_risk_trigger","none"))</x:f>
        <x:v>none</x:v>
      </x:c>
      <x:c r="AE677" s="12" t="str">
        <x:f>IF(AC677="PUBLIC_CANDIDATE","prepare_public_github_candidate",IF(AC677="PRIVATE_REVIEW","hold_for_private_review","quarantine_private_do_not_publish"))</x:f>
        <x:v>prepare_public_github_candidate</x:v>
      </x:c>
      <x:c r="AF677" s="12" t="str">
        <x:f>IF(AC677="PUBLIC_CANDIDATE","TIDELOCK + Lucerna",IF(AC677="PRIVATE_REVIEW","AtlasBrain + Lucerna","TIDELOCK + Lucerna + Human-root"))</x:f>
        <x:v>TIDELOCK + Lucerna</x:v>
      </x:c>
      <x:c r="AG677" s="12" t="str">
        <x:f>IF(AND(AC677="PUBLIC_CANDIDATE",U677&lt;&gt;"BLOCKED_PENDING_RECEIPT"),"READY_AFTER_RECEIPT","NOT_READY")</x:f>
        <x:v>NOT_READY</x:v>
      </x:c>
      <x:c r="AH677" s="12" t="str">
        <x:f>IF(AC677="PUBLIC_CANDIDATE","none",AD677)</x:f>
        <x:v>none</x:v>
      </x:c>
      <x:c r="AI677" s="12" t="str">
        <x:f>IF(AC677="PUBLIC_CANDIDATE","archive/public_candidates/"&amp;A677,"private_quarantine/"&amp;A677)</x:f>
        <x:v>archive/public_candidates/SWARM-05-H09-S04</x:v>
      </x:c>
      <x:c r="AJ677" s="12" t="str">
        <x:f>IF(AC677="PUBLIC_CANDIDATE","public by default; still not canon","private/hold; do not publish")</x:f>
        <x:v>public by default; still not canon</x:v>
      </x:c>
      <x:c r="AK677" s="12" t="str">
        <x:f>IF(AE677="prepare_public_github_candidate","add receipt/status then mirror","resolve blocker before any public GitHub action")</x:f>
        <x:v>add receipt/status then mirror</x:v>
      </x:c>
    </x:row>
    <x:row r="678">
      <x:c r="A678" s="15" t="str">
        <x:v>SWARM-05-H09-S05</x:v>
      </x:c>
      <x:c r="B678" s="15" t="str">
        <x:v>Rootglass</x:v>
      </x:c>
      <x:c r="C678" s="15" t="str">
        <x:v>Canon gate mirror</x:v>
      </x:c>
      <x:c r="D678" s="15" t="str">
        <x:v>Review Queues</x:v>
      </x:c>
      <x:c r="E678" s="15" t="str">
        <x:v>Chat</x:v>
      </x:c>
      <x:c r="F678" s="15" t="str">
        <x:v>Queue review for Chat — Rootglass</x:v>
      </x:c>
      <x:c r="G678" s="15" t="str">
        <x:v>authority boundaries / ratification packets</x:v>
      </x:c>
      <x:c r="H678" s="15" t="str">
        <x:v>source path + receipt + raw/export status + claim/edge/risk delta</x:v>
      </x:c>
      <x:c r="I678" s="15" t="str">
        <x:v>packet/SWARM-05-H09-S05</x:v>
      </x:c>
      <x:c r="J678" s="15" t="str">
        <x:v>TODO</x:v>
      </x:c>
      <x:c r="K678" s="15" t="str">
        <x:v>P1</x:v>
      </x:c>
      <x:c r="L678" s="15" t="str">
        <x:v>Done only when evidence is logged, contradiction search is noted, and boundary stamp remains non-canon unless ratified</x:v>
      </x:c>
      <x:c r="M678" s="15" t="str">
        <x:v>candidate / staging-only / not canon / not deployed / authority none</x:v>
      </x:c>
      <x:c r="N678" s="15" t="str">
        <x:v>Dispatch to Rootglass: complete Review Queues x Chat; return deltas only, receipts required.</x:v>
      </x:c>
      <x:c r="O678" s="15" t="str">
        <x:v>AF-KG-H09-S05</x:v>
      </x:c>
      <x:c r="P678" s="15" t="str">
        <x:v>Unverified</x:v>
      </x:c>
      <x:c r="Q678" s="15" t="str">
        <x:v>Not checked</x:v>
      </x:c>
      <x:c r="R678" s="15" t="str"/>
      <x:c r="S678" s="15" t="str"/>
      <x:c r="T678" s="15" t="str">
        <x:v>Log first source path or blocker</x:v>
      </x:c>
      <x:c r="U678" s="12" t="str">
        <x:f>IF(OR(P678="Unverified",Q678="Not checked"),"BLOCKED_PENDING_RECEIPT","READY_FOR_REVIEW")</x:f>
        <x:v>BLOCKED_PENDING_RECEIPT</x:v>
      </x:c>
      <x:c r="V678" s="12" t="str">
        <x:f>IF(J678="DONE","RETURNED",IF(U678="BLOCKED_PENDING_RECEIPT","SOURCE_TOUCH_REQUIRED","IN_PROGRESS"))</x:f>
        <x:v>SOURCE_TOUCH_REQUIRED</x:v>
      </x:c>
      <x:c r="W678" s="12" t="str">
        <x:f>IF(P678="Unverified","missing_receipt","receipt_logged")</x:f>
        <x:v>missing_receipt</x:v>
      </x:c>
      <x:c r="X678" s="12" t="str">
        <x:f>IF(Q678="Not checked","raw_status_missing","raw_status_logged")</x:f>
        <x:v>raw_status_missing</x:v>
      </x:c>
      <x:c r="Y678" s="12" t="str">
        <x:f>IF(U678="BLOCKED_PENDING_RECEIPT","Log source path or blocker; do not promote","Route to review lane")</x:f>
        <x:v>Log source path or blocker; do not promote</x:v>
      </x:c>
      <x:c r="Z678" s="12" t="str">
        <x:f>IF(K678="P0","Primary seat + Hashlight/Lucerna","Seat lane")</x:f>
        <x:v>Seat lane</x:v>
      </x:c>
      <x:c r="AA678" s="12" t="str">
        <x:f>IF(R678="","no_claim_delta","claim_delta_present")</x:f>
        <x:v>no_claim_delta</x:v>
      </x:c>
      <x:c r="AB678" s="12" t="str">
        <x:f>IF(S678="","no_contradiction_delta","contradiction_delta_present")</x:f>
        <x:v>no_contradiction_delta</x:v>
      </x:c>
      <x:c r="AC678" s="12" t="str">
        <x:f>IF(OR(ISNUMBER(SEARCH("hacker",LOWER(F678&amp;" "&amp;H678&amp;" "&amp;I678&amp;" "&amp;M678&amp;" "&amp;N678&amp;" "&amp;T678))),ISNUMBER(SEARCH("hacking",LOWER(F678&amp;" "&amp;H678&amp;" "&amp;I678&amp;" "&amp;M678&amp;" "&amp;N678&amp;" "&amp;T678))),ISNUMBER(SEARCH("bank",LOWER(F678&amp;" "&amp;H678&amp;" "&amp;I678&amp;" "&amp;M678&amp;" "&amp;N678&amp;" "&amp;T678))),ISNUMBER(SEARCH("banking",LOWER(F678&amp;" "&amp;H678&amp;" "&amp;I678&amp;" "&amp;M678&amp;" "&amp;N678&amp;" "&amp;T678)))),"PRIVATE_QUARANTINE",IF(OR(ISNUMBER(SEARCH("treasury",LOWER(F678&amp;" "&amp;H678&amp;" "&amp;I678&amp;" "&amp;M678&amp;" "&amp;N678&amp;" "&amp;T678))),ISNUMBER(SEARCH("debt",LOWER(F678&amp;" "&amp;H678&amp;" "&amp;I678&amp;" "&amp;M678&amp;" "&amp;N678&amp;" "&amp;T678))),ISNUMBER(SEARCH("bond",LOWER(F678&amp;" "&amp;H678&amp;" "&amp;I678&amp;" "&amp;M678&amp;" "&amp;N678&amp;" "&amp;T678))),ISNUMBER(SEARCH("transaction",LOWER(F678&amp;" "&amp;H678&amp;" "&amp;I678&amp;" "&amp;M678&amp;" "&amp;N678&amp;" "&amp;T678)))),"PRIVATE_REVIEW","PUBLIC_CANDIDATE"))</x:f>
        <x:v>PUBLIC_CANDIDATE</x:v>
      </x:c>
      <x:c r="AD678" s="12" t="str">
        <x:f>IF(AC678="PRIVATE_QUARANTINE","hacker_or_bank_trigger",IF(AC678="PRIVATE_REVIEW","finance_risk_trigger","none"))</x:f>
        <x:v>none</x:v>
      </x:c>
      <x:c r="AE678" s="12" t="str">
        <x:f>IF(AC678="PUBLIC_CANDIDATE","prepare_public_github_candidate",IF(AC678="PRIVATE_REVIEW","hold_for_private_review","quarantine_private_do_not_publish"))</x:f>
        <x:v>prepare_public_github_candidate</x:v>
      </x:c>
      <x:c r="AF678" s="12" t="str">
        <x:f>IF(AC678="PUBLIC_CANDIDATE","TIDELOCK + Lucerna",IF(AC678="PRIVATE_REVIEW","AtlasBrain + Lucerna","TIDELOCK + Lucerna + Human-root"))</x:f>
        <x:v>TIDELOCK + Lucerna</x:v>
      </x:c>
      <x:c r="AG678" s="12" t="str">
        <x:f>IF(AND(AC678="PUBLIC_CANDIDATE",U678&lt;&gt;"BLOCKED_PENDING_RECEIPT"),"READY_AFTER_RECEIPT","NOT_READY")</x:f>
        <x:v>NOT_READY</x:v>
      </x:c>
      <x:c r="AH678" s="12" t="str">
        <x:f>IF(AC678="PUBLIC_CANDIDATE","none",AD678)</x:f>
        <x:v>none</x:v>
      </x:c>
      <x:c r="AI678" s="12" t="str">
        <x:f>IF(AC678="PUBLIC_CANDIDATE","archive/public_candidates/"&amp;A678,"private_quarantine/"&amp;A678)</x:f>
        <x:v>archive/public_candidates/SWARM-05-H09-S05</x:v>
      </x:c>
      <x:c r="AJ678" s="12" t="str">
        <x:f>IF(AC678="PUBLIC_CANDIDATE","public by default; still not canon","private/hold; do not publish")</x:f>
        <x:v>public by default; still not canon</x:v>
      </x:c>
      <x:c r="AK678" s="12" t="str">
        <x:f>IF(AE678="prepare_public_github_candidate","add receipt/status then mirror","resolve blocker before any public GitHub action")</x:f>
        <x:v>add receipt/status then mirror</x:v>
      </x:c>
    </x:row>
    <x:row r="679">
      <x:c r="A679" s="15" t="str">
        <x:v>SWARM-05-H09-S06</x:v>
      </x:c>
      <x:c r="B679" s="15" t="str">
        <x:v>Rootglass</x:v>
      </x:c>
      <x:c r="C679" s="15" t="str">
        <x:v>Canon gate mirror</x:v>
      </x:c>
      <x:c r="D679" s="15" t="str">
        <x:v>Review Queues</x:v>
      </x:c>
      <x:c r="E679" s="15" t="str">
        <x:v>External Web</x:v>
      </x:c>
      <x:c r="F679" s="15" t="str">
        <x:v>Queue review for External Web — Rootglass</x:v>
      </x:c>
      <x:c r="G679" s="15" t="str">
        <x:v>authority boundaries / ratification packets</x:v>
      </x:c>
      <x:c r="H679" s="15" t="str">
        <x:v>source path + receipt + raw/export status + claim/edge/risk delta</x:v>
      </x:c>
      <x:c r="I679" s="15" t="str">
        <x:v>packet/SWARM-05-H09-S06</x:v>
      </x:c>
      <x:c r="J679" s="15" t="str">
        <x:v>TODO</x:v>
      </x:c>
      <x:c r="K679" s="15" t="str">
        <x:v>P1</x:v>
      </x:c>
      <x:c r="L679" s="15" t="str">
        <x:v>Done only when evidence is logged, contradiction search is noted, and boundary stamp remains non-canon unless ratified</x:v>
      </x:c>
      <x:c r="M679" s="15" t="str">
        <x:v>candidate / staging-only / not canon / not deployed / authority none</x:v>
      </x:c>
      <x:c r="N679" s="15" t="str">
        <x:v>Dispatch to Rootglass: complete Review Queues x External Web; return deltas only, receipts required.</x:v>
      </x:c>
      <x:c r="O679" s="15" t="str">
        <x:v>AF-KG-H09-S06</x:v>
      </x:c>
      <x:c r="P679" s="15" t="str">
        <x:v>Unverified</x:v>
      </x:c>
      <x:c r="Q679" s="15" t="str">
        <x:v>Not checked</x:v>
      </x:c>
      <x:c r="R679" s="15" t="str"/>
      <x:c r="S679" s="15" t="str"/>
      <x:c r="T679" s="15" t="str">
        <x:v>Log first source path or blocker</x:v>
      </x:c>
      <x:c r="U679" s="12" t="str">
        <x:f>IF(OR(P679="Unverified",Q679="Not checked"),"BLOCKED_PENDING_RECEIPT","READY_FOR_REVIEW")</x:f>
        <x:v>BLOCKED_PENDING_RECEIPT</x:v>
      </x:c>
      <x:c r="V679" s="12" t="str">
        <x:f>IF(J679="DONE","RETURNED",IF(U679="BLOCKED_PENDING_RECEIPT","SOURCE_TOUCH_REQUIRED","IN_PROGRESS"))</x:f>
        <x:v>SOURCE_TOUCH_REQUIRED</x:v>
      </x:c>
      <x:c r="W679" s="12" t="str">
        <x:f>IF(P679="Unverified","missing_receipt","receipt_logged")</x:f>
        <x:v>missing_receipt</x:v>
      </x:c>
      <x:c r="X679" s="12" t="str">
        <x:f>IF(Q679="Not checked","raw_status_missing","raw_status_logged")</x:f>
        <x:v>raw_status_missing</x:v>
      </x:c>
      <x:c r="Y679" s="12" t="str">
        <x:f>IF(U679="BLOCKED_PENDING_RECEIPT","Log source path or blocker; do not promote","Route to review lane")</x:f>
        <x:v>Log source path or blocker; do not promote</x:v>
      </x:c>
      <x:c r="Z679" s="12" t="str">
        <x:f>IF(K679="P0","Primary seat + Hashlight/Lucerna","Seat lane")</x:f>
        <x:v>Seat lane</x:v>
      </x:c>
      <x:c r="AA679" s="12" t="str">
        <x:f>IF(R679="","no_claim_delta","claim_delta_present")</x:f>
        <x:v>no_claim_delta</x:v>
      </x:c>
      <x:c r="AB679" s="12" t="str">
        <x:f>IF(S679="","no_contradiction_delta","contradiction_delta_present")</x:f>
        <x:v>no_contradiction_delta</x:v>
      </x:c>
      <x:c r="AC679" s="12" t="str">
        <x:f>IF(OR(ISNUMBER(SEARCH("hacker",LOWER(F679&amp;" "&amp;H679&amp;" "&amp;I679&amp;" "&amp;M679&amp;" "&amp;N679&amp;" "&amp;T679))),ISNUMBER(SEARCH("hacking",LOWER(F679&amp;" "&amp;H679&amp;" "&amp;I679&amp;" "&amp;M679&amp;" "&amp;N679&amp;" "&amp;T679))),ISNUMBER(SEARCH("bank",LOWER(F679&amp;" "&amp;H679&amp;" "&amp;I679&amp;" "&amp;M679&amp;" "&amp;N679&amp;" "&amp;T679))),ISNUMBER(SEARCH("banking",LOWER(F679&amp;" "&amp;H679&amp;" "&amp;I679&amp;" "&amp;M679&amp;" "&amp;N679&amp;" "&amp;T679)))),"PRIVATE_QUARANTINE",IF(OR(ISNUMBER(SEARCH("treasury",LOWER(F679&amp;" "&amp;H679&amp;" "&amp;I679&amp;" "&amp;M679&amp;" "&amp;N679&amp;" "&amp;T679))),ISNUMBER(SEARCH("debt",LOWER(F679&amp;" "&amp;H679&amp;" "&amp;I679&amp;" "&amp;M679&amp;" "&amp;N679&amp;" "&amp;T679))),ISNUMBER(SEARCH("bond",LOWER(F679&amp;" "&amp;H679&amp;" "&amp;I679&amp;" "&amp;M679&amp;" "&amp;N679&amp;" "&amp;T679))),ISNUMBER(SEARCH("transaction",LOWER(F679&amp;" "&amp;H679&amp;" "&amp;I679&amp;" "&amp;M679&amp;" "&amp;N679&amp;" "&amp;T679)))),"PRIVATE_REVIEW","PUBLIC_CANDIDATE"))</x:f>
        <x:v>PUBLIC_CANDIDATE</x:v>
      </x:c>
      <x:c r="AD679" s="12" t="str">
        <x:f>IF(AC679="PRIVATE_QUARANTINE","hacker_or_bank_trigger",IF(AC679="PRIVATE_REVIEW","finance_risk_trigger","none"))</x:f>
        <x:v>none</x:v>
      </x:c>
      <x:c r="AE679" s="12" t="str">
        <x:f>IF(AC679="PUBLIC_CANDIDATE","prepare_public_github_candidate",IF(AC679="PRIVATE_REVIEW","hold_for_private_review","quarantine_private_do_not_publish"))</x:f>
        <x:v>prepare_public_github_candidate</x:v>
      </x:c>
      <x:c r="AF679" s="12" t="str">
        <x:f>IF(AC679="PUBLIC_CANDIDATE","TIDELOCK + Lucerna",IF(AC679="PRIVATE_REVIEW","AtlasBrain + Lucerna","TIDELOCK + Lucerna + Human-root"))</x:f>
        <x:v>TIDELOCK + Lucerna</x:v>
      </x:c>
      <x:c r="AG679" s="12" t="str">
        <x:f>IF(AND(AC679="PUBLIC_CANDIDATE",U679&lt;&gt;"BLOCKED_PENDING_RECEIPT"),"READY_AFTER_RECEIPT","NOT_READY")</x:f>
        <x:v>NOT_READY</x:v>
      </x:c>
      <x:c r="AH679" s="12" t="str">
        <x:f>IF(AC679="PUBLIC_CANDIDATE","none",AD679)</x:f>
        <x:v>none</x:v>
      </x:c>
      <x:c r="AI679" s="12" t="str">
        <x:f>IF(AC679="PUBLIC_CANDIDATE","archive/public_candidates/"&amp;A679,"private_quarantine/"&amp;A679)</x:f>
        <x:v>archive/public_candidates/SWARM-05-H09-S06</x:v>
      </x:c>
      <x:c r="AJ679" s="12" t="str">
        <x:f>IF(AC679="PUBLIC_CANDIDATE","public by default; still not canon","private/hold; do not publish")</x:f>
        <x:v>public by default; still not canon</x:v>
      </x:c>
      <x:c r="AK679" s="12" t="str">
        <x:f>IF(AE679="prepare_public_github_candidate","add receipt/status then mirror","resolve blocker before any public GitHub action")</x:f>
        <x:v>add receipt/status then mirror</x:v>
      </x:c>
    </x:row>
    <x:row r="680">
      <x:c r="A680" s="15" t="str">
        <x:v>SWARM-05-H09-S07</x:v>
      </x:c>
      <x:c r="B680" s="15" t="str">
        <x:v>Rootglass</x:v>
      </x:c>
      <x:c r="C680" s="15" t="str">
        <x:v>Canon gate mirror</x:v>
      </x:c>
      <x:c r="D680" s="15" t="str">
        <x:v>Review Queues</x:v>
      </x:c>
      <x:c r="E680" s="15" t="str">
        <x:v>Planetarium</x:v>
      </x:c>
      <x:c r="F680" s="15" t="str">
        <x:v>Queue review for Planetarium — Rootglass</x:v>
      </x:c>
      <x:c r="G680" s="15" t="str">
        <x:v>authority boundaries / ratification packets</x:v>
      </x:c>
      <x:c r="H680" s="15" t="str">
        <x:v>source path + receipt + raw/export status + claim/edge/risk delta</x:v>
      </x:c>
      <x:c r="I680" s="15" t="str">
        <x:v>packet/SWARM-05-H09-S07</x:v>
      </x:c>
      <x:c r="J680" s="15" t="str">
        <x:v>TODO</x:v>
      </x:c>
      <x:c r="K680" s="15" t="str">
        <x:v>P1</x:v>
      </x:c>
      <x:c r="L680" s="15" t="str">
        <x:v>Done only when evidence is logged, contradiction search is noted, and boundary stamp remains non-canon unless ratified</x:v>
      </x:c>
      <x:c r="M680" s="15" t="str">
        <x:v>candidate / staging-only / not canon / not deployed / authority none</x:v>
      </x:c>
      <x:c r="N680" s="15" t="str">
        <x:v>Dispatch to Rootglass: complete Review Queues x Planetarium; return deltas only, receipts required.</x:v>
      </x:c>
      <x:c r="O680" s="15" t="str">
        <x:v>AF-KG-H09-S07</x:v>
      </x:c>
      <x:c r="P680" s="15" t="str">
        <x:v>Unverified</x:v>
      </x:c>
      <x:c r="Q680" s="15" t="str">
        <x:v>Not checked</x:v>
      </x:c>
      <x:c r="R680" s="15" t="str"/>
      <x:c r="S680" s="15" t="str"/>
      <x:c r="T680" s="15" t="str">
        <x:v>Log first source path or blocker</x:v>
      </x:c>
      <x:c r="U680" s="12" t="str">
        <x:f>IF(OR(P680="Unverified",Q680="Not checked"),"BLOCKED_PENDING_RECEIPT","READY_FOR_REVIEW")</x:f>
        <x:v>BLOCKED_PENDING_RECEIPT</x:v>
      </x:c>
      <x:c r="V680" s="12" t="str">
        <x:f>IF(J680="DONE","RETURNED",IF(U680="BLOCKED_PENDING_RECEIPT","SOURCE_TOUCH_REQUIRED","IN_PROGRESS"))</x:f>
        <x:v>SOURCE_TOUCH_REQUIRED</x:v>
      </x:c>
      <x:c r="W680" s="12" t="str">
        <x:f>IF(P680="Unverified","missing_receipt","receipt_logged")</x:f>
        <x:v>missing_receipt</x:v>
      </x:c>
      <x:c r="X680" s="12" t="str">
        <x:f>IF(Q680="Not checked","raw_status_missing","raw_status_logged")</x:f>
        <x:v>raw_status_missing</x:v>
      </x:c>
      <x:c r="Y680" s="12" t="str">
        <x:f>IF(U680="BLOCKED_PENDING_RECEIPT","Log source path or blocker; do not promote","Route to review lane")</x:f>
        <x:v>Log source path or blocker; do not promote</x:v>
      </x:c>
      <x:c r="Z680" s="12" t="str">
        <x:f>IF(K680="P0","Primary seat + Hashlight/Lucerna","Seat lane")</x:f>
        <x:v>Seat lane</x:v>
      </x:c>
      <x:c r="AA680" s="12" t="str">
        <x:f>IF(R680="","no_claim_delta","claim_delta_present")</x:f>
        <x:v>no_claim_delta</x:v>
      </x:c>
      <x:c r="AB680" s="12" t="str">
        <x:f>IF(S680="","no_contradiction_delta","contradiction_delta_present")</x:f>
        <x:v>no_contradiction_delta</x:v>
      </x:c>
      <x:c r="AC680" s="12" t="str">
        <x:f>IF(OR(ISNUMBER(SEARCH("hacker",LOWER(F680&amp;" "&amp;H680&amp;" "&amp;I680&amp;" "&amp;M680&amp;" "&amp;N680&amp;" "&amp;T680))),ISNUMBER(SEARCH("hacking",LOWER(F680&amp;" "&amp;H680&amp;" "&amp;I680&amp;" "&amp;M680&amp;" "&amp;N680&amp;" "&amp;T680))),ISNUMBER(SEARCH("bank",LOWER(F680&amp;" "&amp;H680&amp;" "&amp;I680&amp;" "&amp;M680&amp;" "&amp;N680&amp;" "&amp;T680))),ISNUMBER(SEARCH("banking",LOWER(F680&amp;" "&amp;H680&amp;" "&amp;I680&amp;" "&amp;M680&amp;" "&amp;N680&amp;" "&amp;T680)))),"PRIVATE_QUARANTINE",IF(OR(ISNUMBER(SEARCH("treasury",LOWER(F680&amp;" "&amp;H680&amp;" "&amp;I680&amp;" "&amp;M680&amp;" "&amp;N680&amp;" "&amp;T680))),ISNUMBER(SEARCH("debt",LOWER(F680&amp;" "&amp;H680&amp;" "&amp;I680&amp;" "&amp;M680&amp;" "&amp;N680&amp;" "&amp;T680))),ISNUMBER(SEARCH("bond",LOWER(F680&amp;" "&amp;H680&amp;" "&amp;I680&amp;" "&amp;M680&amp;" "&amp;N680&amp;" "&amp;T680))),ISNUMBER(SEARCH("transaction",LOWER(F680&amp;" "&amp;H680&amp;" "&amp;I680&amp;" "&amp;M680&amp;" "&amp;N680&amp;" "&amp;T680)))),"PRIVATE_REVIEW","PUBLIC_CANDIDATE"))</x:f>
        <x:v>PUBLIC_CANDIDATE</x:v>
      </x:c>
      <x:c r="AD680" s="12" t="str">
        <x:f>IF(AC680="PRIVATE_QUARANTINE","hacker_or_bank_trigger",IF(AC680="PRIVATE_REVIEW","finance_risk_trigger","none"))</x:f>
        <x:v>none</x:v>
      </x:c>
      <x:c r="AE680" s="12" t="str">
        <x:f>IF(AC680="PUBLIC_CANDIDATE","prepare_public_github_candidate",IF(AC680="PRIVATE_REVIEW","hold_for_private_review","quarantine_private_do_not_publish"))</x:f>
        <x:v>prepare_public_github_candidate</x:v>
      </x:c>
      <x:c r="AF680" s="12" t="str">
        <x:f>IF(AC680="PUBLIC_CANDIDATE","TIDELOCK + Lucerna",IF(AC680="PRIVATE_REVIEW","AtlasBrain + Lucerna","TIDELOCK + Lucerna + Human-root"))</x:f>
        <x:v>TIDELOCK + Lucerna</x:v>
      </x:c>
      <x:c r="AG680" s="12" t="str">
        <x:f>IF(AND(AC680="PUBLIC_CANDIDATE",U680&lt;&gt;"BLOCKED_PENDING_RECEIPT"),"READY_AFTER_RECEIPT","NOT_READY")</x:f>
        <x:v>NOT_READY</x:v>
      </x:c>
      <x:c r="AH680" s="12" t="str">
        <x:f>IF(AC680="PUBLIC_CANDIDATE","none",AD680)</x:f>
        <x:v>none</x:v>
      </x:c>
      <x:c r="AI680" s="12" t="str">
        <x:f>IF(AC680="PUBLIC_CANDIDATE","archive/public_candidates/"&amp;A680,"private_quarantine/"&amp;A680)</x:f>
        <x:v>archive/public_candidates/SWARM-05-H09-S07</x:v>
      </x:c>
      <x:c r="AJ680" s="12" t="str">
        <x:f>IF(AC680="PUBLIC_CANDIDATE","public by default; still not canon","private/hold; do not publish")</x:f>
        <x:v>public by default; still not canon</x:v>
      </x:c>
      <x:c r="AK680" s="12" t="str">
        <x:f>IF(AE680="prepare_public_github_candidate","add receipt/status then mirror","resolve blocker before any public GitHub action")</x:f>
        <x:v>add receipt/status then mirror</x:v>
      </x:c>
    </x:row>
    <x:row r="681">
      <x:c r="A681" s="15" t="str">
        <x:v>SWARM-05-H09-S08</x:v>
      </x:c>
      <x:c r="B681" s="15" t="str">
        <x:v>Rootglass</x:v>
      </x:c>
      <x:c r="C681" s="15" t="str">
        <x:v>Canon gate mirror</x:v>
      </x:c>
      <x:c r="D681" s="15" t="str">
        <x:v>Review Queues</x:v>
      </x:c>
      <x:c r="E681" s="15" t="str">
        <x:v>Sheldonbrain</x:v>
      </x:c>
      <x:c r="F681" s="15" t="str">
        <x:v>Queue review for Sheldonbrain — Rootglass</x:v>
      </x:c>
      <x:c r="G681" s="15" t="str">
        <x:v>authority boundaries / ratification packets</x:v>
      </x:c>
      <x:c r="H681" s="15" t="str">
        <x:v>source path + receipt + raw/export status + claim/edge/risk delta</x:v>
      </x:c>
      <x:c r="I681" s="15" t="str">
        <x:v>packet/SWARM-05-H09-S08</x:v>
      </x:c>
      <x:c r="J681" s="15" t="str">
        <x:v>TODO</x:v>
      </x:c>
      <x:c r="K681" s="15" t="str">
        <x:v>P1</x:v>
      </x:c>
      <x:c r="L681" s="15" t="str">
        <x:v>Done only when evidence is logged, contradiction search is noted, and boundary stamp remains non-canon unless ratified</x:v>
      </x:c>
      <x:c r="M681" s="15" t="str">
        <x:v>candidate / staging-only / not canon / not deployed / authority none</x:v>
      </x:c>
      <x:c r="N681" s="15" t="str">
        <x:v>Dispatch to Rootglass: complete Review Queues x Sheldonbrain; return deltas only, receipts required.</x:v>
      </x:c>
      <x:c r="O681" s="15" t="str">
        <x:v>AF-KG-H09-S08</x:v>
      </x:c>
      <x:c r="P681" s="15" t="str">
        <x:v>Unverified</x:v>
      </x:c>
      <x:c r="Q681" s="15" t="str">
        <x:v>Not checked</x:v>
      </x:c>
      <x:c r="R681" s="15" t="str"/>
      <x:c r="S681" s="15" t="str"/>
      <x:c r="T681" s="15" t="str">
        <x:v>Log first source path or blocker</x:v>
      </x:c>
      <x:c r="U681" s="12" t="str">
        <x:f>IF(OR(P681="Unverified",Q681="Not checked"),"BLOCKED_PENDING_RECEIPT","READY_FOR_REVIEW")</x:f>
        <x:v>BLOCKED_PENDING_RECEIPT</x:v>
      </x:c>
      <x:c r="V681" s="12" t="str">
        <x:f>IF(J681="DONE","RETURNED",IF(U681="BLOCKED_PENDING_RECEIPT","SOURCE_TOUCH_REQUIRED","IN_PROGRESS"))</x:f>
        <x:v>SOURCE_TOUCH_REQUIRED</x:v>
      </x:c>
      <x:c r="W681" s="12" t="str">
        <x:f>IF(P681="Unverified","missing_receipt","receipt_logged")</x:f>
        <x:v>missing_receipt</x:v>
      </x:c>
      <x:c r="X681" s="12" t="str">
        <x:f>IF(Q681="Not checked","raw_status_missing","raw_status_logged")</x:f>
        <x:v>raw_status_missing</x:v>
      </x:c>
      <x:c r="Y681" s="12" t="str">
        <x:f>IF(U681="BLOCKED_PENDING_RECEIPT","Log source path or blocker; do not promote","Route to review lane")</x:f>
        <x:v>Log source path or blocker; do not promote</x:v>
      </x:c>
      <x:c r="Z681" s="12" t="str">
        <x:f>IF(K681="P0","Primary seat + Hashlight/Lucerna","Seat lane")</x:f>
        <x:v>Seat lane</x:v>
      </x:c>
      <x:c r="AA681" s="12" t="str">
        <x:f>IF(R681="","no_claim_delta","claim_delta_present")</x:f>
        <x:v>no_claim_delta</x:v>
      </x:c>
      <x:c r="AB681" s="12" t="str">
        <x:f>IF(S681="","no_contradiction_delta","contradiction_delta_present")</x:f>
        <x:v>no_contradiction_delta</x:v>
      </x:c>
      <x:c r="AC681" s="12" t="str">
        <x:f>IF(OR(ISNUMBER(SEARCH("hacker",LOWER(F681&amp;" "&amp;H681&amp;" "&amp;I681&amp;" "&amp;M681&amp;" "&amp;N681&amp;" "&amp;T681))),ISNUMBER(SEARCH("hacking",LOWER(F681&amp;" "&amp;H681&amp;" "&amp;I681&amp;" "&amp;M681&amp;" "&amp;N681&amp;" "&amp;T681))),ISNUMBER(SEARCH("bank",LOWER(F681&amp;" "&amp;H681&amp;" "&amp;I681&amp;" "&amp;M681&amp;" "&amp;N681&amp;" "&amp;T681))),ISNUMBER(SEARCH("banking",LOWER(F681&amp;" "&amp;H681&amp;" "&amp;I681&amp;" "&amp;M681&amp;" "&amp;N681&amp;" "&amp;T681)))),"PRIVATE_QUARANTINE",IF(OR(ISNUMBER(SEARCH("treasury",LOWER(F681&amp;" "&amp;H681&amp;" "&amp;I681&amp;" "&amp;M681&amp;" "&amp;N681&amp;" "&amp;T681))),ISNUMBER(SEARCH("debt",LOWER(F681&amp;" "&amp;H681&amp;" "&amp;I681&amp;" "&amp;M681&amp;" "&amp;N681&amp;" "&amp;T681))),ISNUMBER(SEARCH("bond",LOWER(F681&amp;" "&amp;H681&amp;" "&amp;I681&amp;" "&amp;M681&amp;" "&amp;N681&amp;" "&amp;T681))),ISNUMBER(SEARCH("transaction",LOWER(F681&amp;" "&amp;H681&amp;" "&amp;I681&amp;" "&amp;M681&amp;" "&amp;N681&amp;" "&amp;T681)))),"PRIVATE_REVIEW","PUBLIC_CANDIDATE"))</x:f>
        <x:v>PUBLIC_CANDIDATE</x:v>
      </x:c>
      <x:c r="AD681" s="12" t="str">
        <x:f>IF(AC681="PRIVATE_QUARANTINE","hacker_or_bank_trigger",IF(AC681="PRIVATE_REVIEW","finance_risk_trigger","none"))</x:f>
        <x:v>none</x:v>
      </x:c>
      <x:c r="AE681" s="12" t="str">
        <x:f>IF(AC681="PUBLIC_CANDIDATE","prepare_public_github_candidate",IF(AC681="PRIVATE_REVIEW","hold_for_private_review","quarantine_private_do_not_publish"))</x:f>
        <x:v>prepare_public_github_candidate</x:v>
      </x:c>
      <x:c r="AF681" s="12" t="str">
        <x:f>IF(AC681="PUBLIC_CANDIDATE","TIDELOCK + Lucerna",IF(AC681="PRIVATE_REVIEW","AtlasBrain + Lucerna","TIDELOCK + Lucerna + Human-root"))</x:f>
        <x:v>TIDELOCK + Lucerna</x:v>
      </x:c>
      <x:c r="AG681" s="12" t="str">
        <x:f>IF(AND(AC681="PUBLIC_CANDIDATE",U681&lt;&gt;"BLOCKED_PENDING_RECEIPT"),"READY_AFTER_RECEIPT","NOT_READY")</x:f>
        <x:v>NOT_READY</x:v>
      </x:c>
      <x:c r="AH681" s="12" t="str">
        <x:f>IF(AC681="PUBLIC_CANDIDATE","none",AD681)</x:f>
        <x:v>none</x:v>
      </x:c>
      <x:c r="AI681" s="12" t="str">
        <x:f>IF(AC681="PUBLIC_CANDIDATE","archive/public_candidates/"&amp;A681,"private_quarantine/"&amp;A681)</x:f>
        <x:v>archive/public_candidates/SWARM-05-H09-S08</x:v>
      </x:c>
      <x:c r="AJ681" s="12" t="str">
        <x:f>IF(AC681="PUBLIC_CANDIDATE","public by default; still not canon","private/hold; do not publish")</x:f>
        <x:v>public by default; still not canon</x:v>
      </x:c>
      <x:c r="AK681" s="12" t="str">
        <x:f>IF(AE681="prepare_public_github_candidate","add receipt/status then mirror","resolve blocker before any public GitHub action")</x:f>
        <x:v>add receipt/status then mirror</x:v>
      </x:c>
    </x:row>
    <x:row r="682">
      <x:c r="A682" s="15" t="str">
        <x:v>SWARM-05-H09-S09</x:v>
      </x:c>
      <x:c r="B682" s="15" t="str">
        <x:v>Rootglass</x:v>
      </x:c>
      <x:c r="C682" s="15" t="str">
        <x:v>Canon gate mirror</x:v>
      </x:c>
      <x:c r="D682" s="15" t="str">
        <x:v>Review Queues</x:v>
      </x:c>
      <x:c r="E682" s="15" t="str">
        <x:v>Aetherforge</x:v>
      </x:c>
      <x:c r="F682" s="15" t="str">
        <x:v>Queue review for Aetherforge — Rootglass</x:v>
      </x:c>
      <x:c r="G682" s="15" t="str">
        <x:v>authority boundaries / ratification packets</x:v>
      </x:c>
      <x:c r="H682" s="15" t="str">
        <x:v>source path + receipt + raw/export status + claim/edge/risk delta</x:v>
      </x:c>
      <x:c r="I682" s="15" t="str">
        <x:v>packet/SWARM-05-H09-S09</x:v>
      </x:c>
      <x:c r="J682" s="15" t="str">
        <x:v>TODO</x:v>
      </x:c>
      <x:c r="K682" s="15" t="str">
        <x:v>P2</x:v>
      </x:c>
      <x:c r="L682" s="15" t="str">
        <x:v>Done only when evidence is logged, contradiction search is noted, and boundary stamp remains non-canon unless ratified</x:v>
      </x:c>
      <x:c r="M682" s="15" t="str">
        <x:v>candidate / staging-only / not canon / not deployed / authority none</x:v>
      </x:c>
      <x:c r="N682" s="15" t="str">
        <x:v>Dispatch to Rootglass: complete Review Queues x Aetherforge; return deltas only, receipts required.</x:v>
      </x:c>
      <x:c r="O682" s="15" t="str">
        <x:v>AF-KG-H09-S09</x:v>
      </x:c>
      <x:c r="P682" s="15" t="str">
        <x:v>Unverified</x:v>
      </x:c>
      <x:c r="Q682" s="15" t="str">
        <x:v>Not checked</x:v>
      </x:c>
      <x:c r="R682" s="15" t="str"/>
      <x:c r="S682" s="15" t="str"/>
      <x:c r="T682" s="15" t="str">
        <x:v>Log first source path or blocker</x:v>
      </x:c>
      <x:c r="U682" s="12" t="str">
        <x:f>IF(OR(P682="Unverified",Q682="Not checked"),"BLOCKED_PENDING_RECEIPT","READY_FOR_REVIEW")</x:f>
        <x:v>BLOCKED_PENDING_RECEIPT</x:v>
      </x:c>
      <x:c r="V682" s="12" t="str">
        <x:f>IF(J682="DONE","RETURNED",IF(U682="BLOCKED_PENDING_RECEIPT","SOURCE_TOUCH_REQUIRED","IN_PROGRESS"))</x:f>
        <x:v>SOURCE_TOUCH_REQUIRED</x:v>
      </x:c>
      <x:c r="W682" s="12" t="str">
        <x:f>IF(P682="Unverified","missing_receipt","receipt_logged")</x:f>
        <x:v>missing_receipt</x:v>
      </x:c>
      <x:c r="X682" s="12" t="str">
        <x:f>IF(Q682="Not checked","raw_status_missing","raw_status_logged")</x:f>
        <x:v>raw_status_missing</x:v>
      </x:c>
      <x:c r="Y682" s="12" t="str">
        <x:f>IF(U682="BLOCKED_PENDING_RECEIPT","Log source path or blocker; do not promote","Route to review lane")</x:f>
        <x:v>Log source path or blocker; do not promote</x:v>
      </x:c>
      <x:c r="Z682" s="12" t="str">
        <x:f>IF(K682="P0","Primary seat + Hashlight/Lucerna","Seat lane")</x:f>
        <x:v>Seat lane</x:v>
      </x:c>
      <x:c r="AA682" s="12" t="str">
        <x:f>IF(R682="","no_claim_delta","claim_delta_present")</x:f>
        <x:v>no_claim_delta</x:v>
      </x:c>
      <x:c r="AB682" s="12" t="str">
        <x:f>IF(S682="","no_contradiction_delta","contradiction_delta_present")</x:f>
        <x:v>no_contradiction_delta</x:v>
      </x:c>
      <x:c r="AC682" s="12" t="str">
        <x:f>IF(OR(ISNUMBER(SEARCH("hacker",LOWER(F682&amp;" "&amp;H682&amp;" "&amp;I682&amp;" "&amp;M682&amp;" "&amp;N682&amp;" "&amp;T682))),ISNUMBER(SEARCH("hacking",LOWER(F682&amp;" "&amp;H682&amp;" "&amp;I682&amp;" "&amp;M682&amp;" "&amp;N682&amp;" "&amp;T682))),ISNUMBER(SEARCH("bank",LOWER(F682&amp;" "&amp;H682&amp;" "&amp;I682&amp;" "&amp;M682&amp;" "&amp;N682&amp;" "&amp;T682))),ISNUMBER(SEARCH("banking",LOWER(F682&amp;" "&amp;H682&amp;" "&amp;I682&amp;" "&amp;M682&amp;" "&amp;N682&amp;" "&amp;T682)))),"PRIVATE_QUARANTINE",IF(OR(ISNUMBER(SEARCH("treasury",LOWER(F682&amp;" "&amp;H682&amp;" "&amp;I682&amp;" "&amp;M682&amp;" "&amp;N682&amp;" "&amp;T682))),ISNUMBER(SEARCH("debt",LOWER(F682&amp;" "&amp;H682&amp;" "&amp;I682&amp;" "&amp;M682&amp;" "&amp;N682&amp;" "&amp;T682))),ISNUMBER(SEARCH("bond",LOWER(F682&amp;" "&amp;H682&amp;" "&amp;I682&amp;" "&amp;M682&amp;" "&amp;N682&amp;" "&amp;T682))),ISNUMBER(SEARCH("transaction",LOWER(F682&amp;" "&amp;H682&amp;" "&amp;I682&amp;" "&amp;M682&amp;" "&amp;N682&amp;" "&amp;T682)))),"PRIVATE_REVIEW","PUBLIC_CANDIDATE"))</x:f>
        <x:v>PUBLIC_CANDIDATE</x:v>
      </x:c>
      <x:c r="AD682" s="12" t="str">
        <x:f>IF(AC682="PRIVATE_QUARANTINE","hacker_or_bank_trigger",IF(AC682="PRIVATE_REVIEW","finance_risk_trigger","none"))</x:f>
        <x:v>none</x:v>
      </x:c>
      <x:c r="AE682" s="12" t="str">
        <x:f>IF(AC682="PUBLIC_CANDIDATE","prepare_public_github_candidate",IF(AC682="PRIVATE_REVIEW","hold_for_private_review","quarantine_private_do_not_publish"))</x:f>
        <x:v>prepare_public_github_candidate</x:v>
      </x:c>
      <x:c r="AF682" s="12" t="str">
        <x:f>IF(AC682="PUBLIC_CANDIDATE","TIDELOCK + Lucerna",IF(AC682="PRIVATE_REVIEW","AtlasBrain + Lucerna","TIDELOCK + Lucerna + Human-root"))</x:f>
        <x:v>TIDELOCK + Lucerna</x:v>
      </x:c>
      <x:c r="AG682" s="12" t="str">
        <x:f>IF(AND(AC682="PUBLIC_CANDIDATE",U682&lt;&gt;"BLOCKED_PENDING_RECEIPT"),"READY_AFTER_RECEIPT","NOT_READY")</x:f>
        <x:v>NOT_READY</x:v>
      </x:c>
      <x:c r="AH682" s="12" t="str">
        <x:f>IF(AC682="PUBLIC_CANDIDATE","none",AD682)</x:f>
        <x:v>none</x:v>
      </x:c>
      <x:c r="AI682" s="12" t="str">
        <x:f>IF(AC682="PUBLIC_CANDIDATE","archive/public_candidates/"&amp;A682,"private_quarantine/"&amp;A682)</x:f>
        <x:v>archive/public_candidates/SWARM-05-H09-S09</x:v>
      </x:c>
      <x:c r="AJ682" s="12" t="str">
        <x:f>IF(AC682="PUBLIC_CANDIDATE","public by default; still not canon","private/hold; do not publish")</x:f>
        <x:v>public by default; still not canon</x:v>
      </x:c>
      <x:c r="AK682" s="12" t="str">
        <x:f>IF(AE682="prepare_public_github_candidate","add receipt/status then mirror","resolve blocker before any public GitHub action")</x:f>
        <x:v>add receipt/status then mirror</x:v>
      </x:c>
    </x:row>
    <x:row r="683">
      <x:c r="A683" s="15" t="str">
        <x:v>SWARM-05-H09-S10</x:v>
      </x:c>
      <x:c r="B683" s="15" t="str">
        <x:v>Rootglass</x:v>
      </x:c>
      <x:c r="C683" s="15" t="str">
        <x:v>Canon gate mirror</x:v>
      </x:c>
      <x:c r="D683" s="15" t="str">
        <x:v>Review Queues</x:v>
      </x:c>
      <x:c r="E683" s="15" t="str">
        <x:v>Human-Root</x:v>
      </x:c>
      <x:c r="F683" s="15" t="str">
        <x:v>Queue review for Human-Root — Rootglass</x:v>
      </x:c>
      <x:c r="G683" s="15" t="str">
        <x:v>authority boundaries / ratification packets</x:v>
      </x:c>
      <x:c r="H683" s="15" t="str">
        <x:v>source path + receipt + raw/export status + claim/edge/risk delta</x:v>
      </x:c>
      <x:c r="I683" s="15" t="str">
        <x:v>packet/SWARM-05-H09-S10</x:v>
      </x:c>
      <x:c r="J683" s="15" t="str">
        <x:v>TODO</x:v>
      </x:c>
      <x:c r="K683" s="15" t="str">
        <x:v>P2</x:v>
      </x:c>
      <x:c r="L683" s="15" t="str">
        <x:v>Done only when evidence is logged, contradiction search is noted, and boundary stamp remains non-canon unless ratified</x:v>
      </x:c>
      <x:c r="M683" s="15" t="str">
        <x:v>candidate / staging-only / not canon / not deployed / authority none</x:v>
      </x:c>
      <x:c r="N683" s="15" t="str">
        <x:v>Dispatch to Rootglass: complete Review Queues x Human-Root; return deltas only, receipts required.</x:v>
      </x:c>
      <x:c r="O683" s="15" t="str">
        <x:v>AF-KG-H09-S10</x:v>
      </x:c>
      <x:c r="P683" s="15" t="str">
        <x:v>Unverified</x:v>
      </x:c>
      <x:c r="Q683" s="15" t="str">
        <x:v>Not checked</x:v>
      </x:c>
      <x:c r="R683" s="15" t="str"/>
      <x:c r="S683" s="15" t="str"/>
      <x:c r="T683" s="15" t="str">
        <x:v>Log first source path or blocker</x:v>
      </x:c>
      <x:c r="U683" s="12" t="str">
        <x:f>IF(OR(P683="Unverified",Q683="Not checked"),"BLOCKED_PENDING_RECEIPT","READY_FOR_REVIEW")</x:f>
        <x:v>BLOCKED_PENDING_RECEIPT</x:v>
      </x:c>
      <x:c r="V683" s="12" t="str">
        <x:f>IF(J683="DONE","RETURNED",IF(U683="BLOCKED_PENDING_RECEIPT","SOURCE_TOUCH_REQUIRED","IN_PROGRESS"))</x:f>
        <x:v>SOURCE_TOUCH_REQUIRED</x:v>
      </x:c>
      <x:c r="W683" s="12" t="str">
        <x:f>IF(P683="Unverified","missing_receipt","receipt_logged")</x:f>
        <x:v>missing_receipt</x:v>
      </x:c>
      <x:c r="X683" s="12" t="str">
        <x:f>IF(Q683="Not checked","raw_status_missing","raw_status_logged")</x:f>
        <x:v>raw_status_missing</x:v>
      </x:c>
      <x:c r="Y683" s="12" t="str">
        <x:f>IF(U683="BLOCKED_PENDING_RECEIPT","Log source path or blocker; do not promote","Route to review lane")</x:f>
        <x:v>Log source path or blocker; do not promote</x:v>
      </x:c>
      <x:c r="Z683" s="12" t="str">
        <x:f>IF(K683="P0","Primary seat + Hashlight/Lucerna","Seat lane")</x:f>
        <x:v>Seat lane</x:v>
      </x:c>
      <x:c r="AA683" s="12" t="str">
        <x:f>IF(R683="","no_claim_delta","claim_delta_present")</x:f>
        <x:v>no_claim_delta</x:v>
      </x:c>
      <x:c r="AB683" s="12" t="str">
        <x:f>IF(S683="","no_contradiction_delta","contradiction_delta_present")</x:f>
        <x:v>no_contradiction_delta</x:v>
      </x:c>
      <x:c r="AC683" s="12" t="str">
        <x:f>IF(OR(ISNUMBER(SEARCH("hacker",LOWER(F683&amp;" "&amp;H683&amp;" "&amp;I683&amp;" "&amp;M683&amp;" "&amp;N683&amp;" "&amp;T683))),ISNUMBER(SEARCH("hacking",LOWER(F683&amp;" "&amp;H683&amp;" "&amp;I683&amp;" "&amp;M683&amp;" "&amp;N683&amp;" "&amp;T683))),ISNUMBER(SEARCH("bank",LOWER(F683&amp;" "&amp;H683&amp;" "&amp;I683&amp;" "&amp;M683&amp;" "&amp;N683&amp;" "&amp;T683))),ISNUMBER(SEARCH("banking",LOWER(F683&amp;" "&amp;H683&amp;" "&amp;I683&amp;" "&amp;M683&amp;" "&amp;N683&amp;" "&amp;T683)))),"PRIVATE_QUARANTINE",IF(OR(ISNUMBER(SEARCH("treasury",LOWER(F683&amp;" "&amp;H683&amp;" "&amp;I683&amp;" "&amp;M683&amp;" "&amp;N683&amp;" "&amp;T683))),ISNUMBER(SEARCH("debt",LOWER(F683&amp;" "&amp;H683&amp;" "&amp;I683&amp;" "&amp;M683&amp;" "&amp;N683&amp;" "&amp;T683))),ISNUMBER(SEARCH("bond",LOWER(F683&amp;" "&amp;H683&amp;" "&amp;I683&amp;" "&amp;M683&amp;" "&amp;N683&amp;" "&amp;T683))),ISNUMBER(SEARCH("transaction",LOWER(F683&amp;" "&amp;H683&amp;" "&amp;I683&amp;" "&amp;M683&amp;" "&amp;N683&amp;" "&amp;T683)))),"PRIVATE_REVIEW","PUBLIC_CANDIDATE"))</x:f>
        <x:v>PUBLIC_CANDIDATE</x:v>
      </x:c>
      <x:c r="AD683" s="12" t="str">
        <x:f>IF(AC683="PRIVATE_QUARANTINE","hacker_or_bank_trigger",IF(AC683="PRIVATE_REVIEW","finance_risk_trigger","none"))</x:f>
        <x:v>none</x:v>
      </x:c>
      <x:c r="AE683" s="12" t="str">
        <x:f>IF(AC683="PUBLIC_CANDIDATE","prepare_public_github_candidate",IF(AC683="PRIVATE_REVIEW","hold_for_private_review","quarantine_private_do_not_publish"))</x:f>
        <x:v>prepare_public_github_candidate</x:v>
      </x:c>
      <x:c r="AF683" s="12" t="str">
        <x:f>IF(AC683="PUBLIC_CANDIDATE","TIDELOCK + Lucerna",IF(AC683="PRIVATE_REVIEW","AtlasBrain + Lucerna","TIDELOCK + Lucerna + Human-root"))</x:f>
        <x:v>TIDELOCK + Lucerna</x:v>
      </x:c>
      <x:c r="AG683" s="12" t="str">
        <x:f>IF(AND(AC683="PUBLIC_CANDIDATE",U683&lt;&gt;"BLOCKED_PENDING_RECEIPT"),"READY_AFTER_RECEIPT","NOT_READY")</x:f>
        <x:v>NOT_READY</x:v>
      </x:c>
      <x:c r="AH683" s="12" t="str">
        <x:f>IF(AC683="PUBLIC_CANDIDATE","none",AD683)</x:f>
        <x:v>none</x:v>
      </x:c>
      <x:c r="AI683" s="12" t="str">
        <x:f>IF(AC683="PUBLIC_CANDIDATE","archive/public_candidates/"&amp;A683,"private_quarantine/"&amp;A683)</x:f>
        <x:v>archive/public_candidates/SWARM-05-H09-S10</x:v>
      </x:c>
      <x:c r="AJ683" s="12" t="str">
        <x:f>IF(AC683="PUBLIC_CANDIDATE","public by default; still not canon","private/hold; do not publish")</x:f>
        <x:v>public by default; still not canon</x:v>
      </x:c>
      <x:c r="AK683" s="12" t="str">
        <x:f>IF(AE683="prepare_public_github_candidate","add receipt/status then mirror","resolve blocker before any public GitHub action")</x:f>
        <x:v>add receipt/status then mirror</x:v>
      </x:c>
    </x:row>
    <x:row r="684">
      <x:c r="A684" s="15" t="str">
        <x:v>SWARM-05-H09-S11</x:v>
      </x:c>
      <x:c r="B684" s="15" t="str">
        <x:v>Rootglass</x:v>
      </x:c>
      <x:c r="C684" s="15" t="str">
        <x:v>Canon gate mirror</x:v>
      </x:c>
      <x:c r="D684" s="15" t="str">
        <x:v>Review Queues</x:v>
      </x:c>
      <x:c r="E684" s="15" t="str">
        <x:v>Automation</x:v>
      </x:c>
      <x:c r="F684" s="15" t="str">
        <x:v>Queue review for Automation — Rootglass</x:v>
      </x:c>
      <x:c r="G684" s="15" t="str">
        <x:v>authority boundaries / ratification packets</x:v>
      </x:c>
      <x:c r="H684" s="15" t="str">
        <x:v>source path + receipt + raw/export status + claim/edge/risk delta</x:v>
      </x:c>
      <x:c r="I684" s="15" t="str">
        <x:v>packet/SWARM-05-H09-S11</x:v>
      </x:c>
      <x:c r="J684" s="15" t="str">
        <x:v>TODO</x:v>
      </x:c>
      <x:c r="K684" s="15" t="str">
        <x:v>P2</x:v>
      </x:c>
      <x:c r="L684" s="15" t="str">
        <x:v>Done only when evidence is logged, contradiction search is noted, and boundary stamp remains non-canon unless ratified</x:v>
      </x:c>
      <x:c r="M684" s="15" t="str">
        <x:v>candidate / staging-only / not canon / not deployed / authority none</x:v>
      </x:c>
      <x:c r="N684" s="15" t="str">
        <x:v>Dispatch to Rootglass: complete Review Queues x Automation; return deltas only, receipts required.</x:v>
      </x:c>
      <x:c r="O684" s="15" t="str">
        <x:v>AF-KG-H09-S11</x:v>
      </x:c>
      <x:c r="P684" s="15" t="str">
        <x:v>Unverified</x:v>
      </x:c>
      <x:c r="Q684" s="15" t="str">
        <x:v>Not checked</x:v>
      </x:c>
      <x:c r="R684" s="15" t="str"/>
      <x:c r="S684" s="15" t="str"/>
      <x:c r="T684" s="15" t="str">
        <x:v>Log first source path or blocker</x:v>
      </x:c>
      <x:c r="U684" s="12" t="str">
        <x:f>IF(OR(P684="Unverified",Q684="Not checked"),"BLOCKED_PENDING_RECEIPT","READY_FOR_REVIEW")</x:f>
        <x:v>BLOCKED_PENDING_RECEIPT</x:v>
      </x:c>
      <x:c r="V684" s="12" t="str">
        <x:f>IF(J684="DONE","RETURNED",IF(U684="BLOCKED_PENDING_RECEIPT","SOURCE_TOUCH_REQUIRED","IN_PROGRESS"))</x:f>
        <x:v>SOURCE_TOUCH_REQUIRED</x:v>
      </x:c>
      <x:c r="W684" s="12" t="str">
        <x:f>IF(P684="Unverified","missing_receipt","receipt_logged")</x:f>
        <x:v>missing_receipt</x:v>
      </x:c>
      <x:c r="X684" s="12" t="str">
        <x:f>IF(Q684="Not checked","raw_status_missing","raw_status_logged")</x:f>
        <x:v>raw_status_missing</x:v>
      </x:c>
      <x:c r="Y684" s="12" t="str">
        <x:f>IF(U684="BLOCKED_PENDING_RECEIPT","Log source path or blocker; do not promote","Route to review lane")</x:f>
        <x:v>Log source path or blocker; do not promote</x:v>
      </x:c>
      <x:c r="Z684" s="12" t="str">
        <x:f>IF(K684="P0","Primary seat + Hashlight/Lucerna","Seat lane")</x:f>
        <x:v>Seat lane</x:v>
      </x:c>
      <x:c r="AA684" s="12" t="str">
        <x:f>IF(R684="","no_claim_delta","claim_delta_present")</x:f>
        <x:v>no_claim_delta</x:v>
      </x:c>
      <x:c r="AB684" s="12" t="str">
        <x:f>IF(S684="","no_contradiction_delta","contradiction_delta_present")</x:f>
        <x:v>no_contradiction_delta</x:v>
      </x:c>
      <x:c r="AC684" s="12" t="str">
        <x:f>IF(OR(ISNUMBER(SEARCH("hacker",LOWER(F684&amp;" "&amp;H684&amp;" "&amp;I684&amp;" "&amp;M684&amp;" "&amp;N684&amp;" "&amp;T684))),ISNUMBER(SEARCH("hacking",LOWER(F684&amp;" "&amp;H684&amp;" "&amp;I684&amp;" "&amp;M684&amp;" "&amp;N684&amp;" "&amp;T684))),ISNUMBER(SEARCH("bank",LOWER(F684&amp;" "&amp;H684&amp;" "&amp;I684&amp;" "&amp;M684&amp;" "&amp;N684&amp;" "&amp;T684))),ISNUMBER(SEARCH("banking",LOWER(F684&amp;" "&amp;H684&amp;" "&amp;I684&amp;" "&amp;M684&amp;" "&amp;N684&amp;" "&amp;T684)))),"PRIVATE_QUARANTINE",IF(OR(ISNUMBER(SEARCH("treasury",LOWER(F684&amp;" "&amp;H684&amp;" "&amp;I684&amp;" "&amp;M684&amp;" "&amp;N684&amp;" "&amp;T684))),ISNUMBER(SEARCH("debt",LOWER(F684&amp;" "&amp;H684&amp;" "&amp;I684&amp;" "&amp;M684&amp;" "&amp;N684&amp;" "&amp;T684))),ISNUMBER(SEARCH("bond",LOWER(F684&amp;" "&amp;H684&amp;" "&amp;I684&amp;" "&amp;M684&amp;" "&amp;N684&amp;" "&amp;T684))),ISNUMBER(SEARCH("transaction",LOWER(F684&amp;" "&amp;H684&amp;" "&amp;I684&amp;" "&amp;M684&amp;" "&amp;N684&amp;" "&amp;T684)))),"PRIVATE_REVIEW","PUBLIC_CANDIDATE"))</x:f>
        <x:v>PUBLIC_CANDIDATE</x:v>
      </x:c>
      <x:c r="AD684" s="12" t="str">
        <x:f>IF(AC684="PRIVATE_QUARANTINE","hacker_or_bank_trigger",IF(AC684="PRIVATE_REVIEW","finance_risk_trigger","none"))</x:f>
        <x:v>none</x:v>
      </x:c>
      <x:c r="AE684" s="12" t="str">
        <x:f>IF(AC684="PUBLIC_CANDIDATE","prepare_public_github_candidate",IF(AC684="PRIVATE_REVIEW","hold_for_private_review","quarantine_private_do_not_publish"))</x:f>
        <x:v>prepare_public_github_candidate</x:v>
      </x:c>
      <x:c r="AF684" s="12" t="str">
        <x:f>IF(AC684="PUBLIC_CANDIDATE","TIDELOCK + Lucerna",IF(AC684="PRIVATE_REVIEW","AtlasBrain + Lucerna","TIDELOCK + Lucerna + Human-root"))</x:f>
        <x:v>TIDELOCK + Lucerna</x:v>
      </x:c>
      <x:c r="AG684" s="12" t="str">
        <x:f>IF(AND(AC684="PUBLIC_CANDIDATE",U684&lt;&gt;"BLOCKED_PENDING_RECEIPT"),"READY_AFTER_RECEIPT","NOT_READY")</x:f>
        <x:v>NOT_READY</x:v>
      </x:c>
      <x:c r="AH684" s="12" t="str">
        <x:f>IF(AC684="PUBLIC_CANDIDATE","none",AD684)</x:f>
        <x:v>none</x:v>
      </x:c>
      <x:c r="AI684" s="12" t="str">
        <x:f>IF(AC684="PUBLIC_CANDIDATE","archive/public_candidates/"&amp;A684,"private_quarantine/"&amp;A684)</x:f>
        <x:v>archive/public_candidates/SWARM-05-H09-S11</x:v>
      </x:c>
      <x:c r="AJ684" s="12" t="str">
        <x:f>IF(AC684="PUBLIC_CANDIDATE","public by default; still not canon","private/hold; do not publish")</x:f>
        <x:v>public by default; still not canon</x:v>
      </x:c>
      <x:c r="AK684" s="12" t="str">
        <x:f>IF(AE684="prepare_public_github_candidate","add receipt/status then mirror","resolve blocker before any public GitHub action")</x:f>
        <x:v>add receipt/status then mirror</x:v>
      </x:c>
    </x:row>
    <x:row r="685">
      <x:c r="A685" s="15" t="str">
        <x:v>SWARM-05-H09-S12</x:v>
      </x:c>
      <x:c r="B685" s="15" t="str">
        <x:v>Rootglass</x:v>
      </x:c>
      <x:c r="C685" s="15" t="str">
        <x:v>Canon gate mirror</x:v>
      </x:c>
      <x:c r="D685" s="15" t="str">
        <x:v>Review Queues</x:v>
      </x:c>
      <x:c r="E685" s="15" t="str">
        <x:v>Risk / Safety</x:v>
      </x:c>
      <x:c r="F685" s="15" t="str">
        <x:v>Queue review for Risk / Safety — Rootglass</x:v>
      </x:c>
      <x:c r="G685" s="15" t="str">
        <x:v>authority boundaries / ratification packets</x:v>
      </x:c>
      <x:c r="H685" s="15" t="str">
        <x:v>source path + receipt + raw/export status + claim/edge/risk delta</x:v>
      </x:c>
      <x:c r="I685" s="15" t="str">
        <x:v>packet/SWARM-05-H09-S12</x:v>
      </x:c>
      <x:c r="J685" s="15" t="str">
        <x:v>TODO</x:v>
      </x:c>
      <x:c r="K685" s="15" t="str">
        <x:v>P2</x:v>
      </x:c>
      <x:c r="L685" s="15" t="str">
        <x:v>Done only when evidence is logged, contradiction search is noted, and boundary stamp remains non-canon unless ratified</x:v>
      </x:c>
      <x:c r="M685" s="15" t="str">
        <x:v>candidate / staging-only / not canon / not deployed / authority none</x:v>
      </x:c>
      <x:c r="N685" s="15" t="str">
        <x:v>Dispatch to Rootglass: complete Review Queues x Risk / Safety; return deltas only, receipts required.</x:v>
      </x:c>
      <x:c r="O685" s="15" t="str">
        <x:v>AF-KG-H09-S12</x:v>
      </x:c>
      <x:c r="P685" s="15" t="str">
        <x:v>Unverified</x:v>
      </x:c>
      <x:c r="Q685" s="15" t="str">
        <x:v>Not checked</x:v>
      </x:c>
      <x:c r="R685" s="15" t="str"/>
      <x:c r="S685" s="15" t="str"/>
      <x:c r="T685" s="15" t="str">
        <x:v>Log first source path or blocker</x:v>
      </x:c>
      <x:c r="U685" s="12" t="str">
        <x:f>IF(OR(P685="Unverified",Q685="Not checked"),"BLOCKED_PENDING_RECEIPT","READY_FOR_REVIEW")</x:f>
        <x:v>BLOCKED_PENDING_RECEIPT</x:v>
      </x:c>
      <x:c r="V685" s="12" t="str">
        <x:f>IF(J685="DONE","RETURNED",IF(U685="BLOCKED_PENDING_RECEIPT","SOURCE_TOUCH_REQUIRED","IN_PROGRESS"))</x:f>
        <x:v>SOURCE_TOUCH_REQUIRED</x:v>
      </x:c>
      <x:c r="W685" s="12" t="str">
        <x:f>IF(P685="Unverified","missing_receipt","receipt_logged")</x:f>
        <x:v>missing_receipt</x:v>
      </x:c>
      <x:c r="X685" s="12" t="str">
        <x:f>IF(Q685="Not checked","raw_status_missing","raw_status_logged")</x:f>
        <x:v>raw_status_missing</x:v>
      </x:c>
      <x:c r="Y685" s="12" t="str">
        <x:f>IF(U685="BLOCKED_PENDING_RECEIPT","Log source path or blocker; do not promote","Route to review lane")</x:f>
        <x:v>Log source path or blocker; do not promote</x:v>
      </x:c>
      <x:c r="Z685" s="12" t="str">
        <x:f>IF(K685="P0","Primary seat + Hashlight/Lucerna","Seat lane")</x:f>
        <x:v>Seat lane</x:v>
      </x:c>
      <x:c r="AA685" s="12" t="str">
        <x:f>IF(R685="","no_claim_delta","claim_delta_present")</x:f>
        <x:v>no_claim_delta</x:v>
      </x:c>
      <x:c r="AB685" s="12" t="str">
        <x:f>IF(S685="","no_contradiction_delta","contradiction_delta_present")</x:f>
        <x:v>no_contradiction_delta</x:v>
      </x:c>
      <x:c r="AC685" s="12" t="str">
        <x:f>IF(OR(ISNUMBER(SEARCH("hacker",LOWER(F685&amp;" "&amp;H685&amp;" "&amp;I685&amp;" "&amp;M685&amp;" "&amp;N685&amp;" "&amp;T685))),ISNUMBER(SEARCH("hacking",LOWER(F685&amp;" "&amp;H685&amp;" "&amp;I685&amp;" "&amp;M685&amp;" "&amp;N685&amp;" "&amp;T685))),ISNUMBER(SEARCH("bank",LOWER(F685&amp;" "&amp;H685&amp;" "&amp;I685&amp;" "&amp;M685&amp;" "&amp;N685&amp;" "&amp;T685))),ISNUMBER(SEARCH("banking",LOWER(F685&amp;" "&amp;H685&amp;" "&amp;I685&amp;" "&amp;M685&amp;" "&amp;N685&amp;" "&amp;T685)))),"PRIVATE_QUARANTINE",IF(OR(ISNUMBER(SEARCH("treasury",LOWER(F685&amp;" "&amp;H685&amp;" "&amp;I685&amp;" "&amp;M685&amp;" "&amp;N685&amp;" "&amp;T685))),ISNUMBER(SEARCH("debt",LOWER(F685&amp;" "&amp;H685&amp;" "&amp;I685&amp;" "&amp;M685&amp;" "&amp;N685&amp;" "&amp;T685))),ISNUMBER(SEARCH("bond",LOWER(F685&amp;" "&amp;H685&amp;" "&amp;I685&amp;" "&amp;M685&amp;" "&amp;N685&amp;" "&amp;T685))),ISNUMBER(SEARCH("transaction",LOWER(F685&amp;" "&amp;H685&amp;" "&amp;I685&amp;" "&amp;M685&amp;" "&amp;N685&amp;" "&amp;T685)))),"PRIVATE_REVIEW","PUBLIC_CANDIDATE"))</x:f>
        <x:v>PUBLIC_CANDIDATE</x:v>
      </x:c>
      <x:c r="AD685" s="12" t="str">
        <x:f>IF(AC685="PRIVATE_QUARANTINE","hacker_or_bank_trigger",IF(AC685="PRIVATE_REVIEW","finance_risk_trigger","none"))</x:f>
        <x:v>none</x:v>
      </x:c>
      <x:c r="AE685" s="12" t="str">
        <x:f>IF(AC685="PUBLIC_CANDIDATE","prepare_public_github_candidate",IF(AC685="PRIVATE_REVIEW","hold_for_private_review","quarantine_private_do_not_publish"))</x:f>
        <x:v>prepare_public_github_candidate</x:v>
      </x:c>
      <x:c r="AF685" s="12" t="str">
        <x:f>IF(AC685="PUBLIC_CANDIDATE","TIDELOCK + Lucerna",IF(AC685="PRIVATE_REVIEW","AtlasBrain + Lucerna","TIDELOCK + Lucerna + Human-root"))</x:f>
        <x:v>TIDELOCK + Lucerna</x:v>
      </x:c>
      <x:c r="AG685" s="12" t="str">
        <x:f>IF(AND(AC685="PUBLIC_CANDIDATE",U685&lt;&gt;"BLOCKED_PENDING_RECEIPT"),"READY_AFTER_RECEIPT","NOT_READY")</x:f>
        <x:v>NOT_READY</x:v>
      </x:c>
      <x:c r="AH685" s="12" t="str">
        <x:f>IF(AC685="PUBLIC_CANDIDATE","none",AD685)</x:f>
        <x:v>none</x:v>
      </x:c>
      <x:c r="AI685" s="12" t="str">
        <x:f>IF(AC685="PUBLIC_CANDIDATE","archive/public_candidates/"&amp;A685,"private_quarantine/"&amp;A685)</x:f>
        <x:v>archive/public_candidates/SWARM-05-H09-S12</x:v>
      </x:c>
      <x:c r="AJ685" s="12" t="str">
        <x:f>IF(AC685="PUBLIC_CANDIDATE","public by default; still not canon","private/hold; do not publish")</x:f>
        <x:v>public by default; still not canon</x:v>
      </x:c>
      <x:c r="AK685" s="12" t="str">
        <x:f>IF(AE685="prepare_public_github_candidate","add receipt/status then mirror","resolve blocker before any public GitHub action")</x:f>
        <x:v>add receipt/status then mirror</x:v>
      </x:c>
    </x:row>
    <x:row r="686">
      <x:c r="A686" s="15" t="str">
        <x:v>SWARM-05-H10-S01</x:v>
      </x:c>
      <x:c r="B686" s="15" t="str">
        <x:v>Rootglass</x:v>
      </x:c>
      <x:c r="C686" s="15" t="str">
        <x:v>Canon gate mirror</x:v>
      </x:c>
      <x:c r="D686" s="15" t="str">
        <x:v>GitHub Source Packets</x:v>
      </x:c>
      <x:c r="E686" s="15" t="str">
        <x:v>Notion</x:v>
      </x:c>
      <x:c r="F686" s="15" t="str">
        <x:v>Build source packet for Notion — Rootglass</x:v>
      </x:c>
      <x:c r="G686" s="15" t="str">
        <x:v>authority boundaries / ratification packets</x:v>
      </x:c>
      <x:c r="H686" s="15" t="str">
        <x:v>source path + receipt + raw/export status + claim/edge/risk delta</x:v>
      </x:c>
      <x:c r="I686" s="15" t="str">
        <x:v>packet/SWARM-05-H10-S01</x:v>
      </x:c>
      <x:c r="J686" s="15" t="str">
        <x:v>TODO</x:v>
      </x:c>
      <x:c r="K686" s="15" t="str">
        <x:v>P0</x:v>
      </x:c>
      <x:c r="L686" s="15" t="str">
        <x:v>Done only when evidence is logged, contradiction search is noted, and boundary stamp remains non-canon unless ratified</x:v>
      </x:c>
      <x:c r="M686" s="15" t="str">
        <x:v>candidate / staging-only / not canon / not deployed / authority none</x:v>
      </x:c>
      <x:c r="N686" s="15" t="str">
        <x:v>Dispatch to Rootglass: complete GitHub Source Packets x Notion; return deltas only, receipts required.</x:v>
      </x:c>
      <x:c r="O686" s="15" t="str">
        <x:v>AF-KG-H10-S01</x:v>
      </x:c>
      <x:c r="P686" s="15" t="str">
        <x:v>Unverified</x:v>
      </x:c>
      <x:c r="Q686" s="15" t="str">
        <x:v>Not checked</x:v>
      </x:c>
      <x:c r="R686" s="15" t="str"/>
      <x:c r="S686" s="15" t="str"/>
      <x:c r="T686" s="15" t="str">
        <x:v>Log first source path or blocker</x:v>
      </x:c>
      <x:c r="U686" s="12" t="str">
        <x:f>IF(OR(P686="Unverified",Q686="Not checked"),"BLOCKED_PENDING_RECEIPT","READY_FOR_REVIEW")</x:f>
        <x:v>BLOCKED_PENDING_RECEIPT</x:v>
      </x:c>
      <x:c r="V686" s="12" t="str">
        <x:f>IF(J686="DONE","RETURNED",IF(U686="BLOCKED_PENDING_RECEIPT","SOURCE_TOUCH_REQUIRED","IN_PROGRESS"))</x:f>
        <x:v>SOURCE_TOUCH_REQUIRED</x:v>
      </x:c>
      <x:c r="W686" s="12" t="str">
        <x:f>IF(P686="Unverified","missing_receipt","receipt_logged")</x:f>
        <x:v>missing_receipt</x:v>
      </x:c>
      <x:c r="X686" s="12" t="str">
        <x:f>IF(Q686="Not checked","raw_status_missing","raw_status_logged")</x:f>
        <x:v>raw_status_missing</x:v>
      </x:c>
      <x:c r="Y686" s="12" t="str">
        <x:f>IF(U686="BLOCKED_PENDING_RECEIPT","Log source path or blocker; do not promote","Route to review lane")</x:f>
        <x:v>Log source path or blocker; do not promote</x:v>
      </x:c>
      <x:c r="Z686" s="12" t="str">
        <x:f>IF(K686="P0","Primary seat + Hashlight/Lucerna","Seat lane")</x:f>
        <x:v>Primary seat + Hashlight/Lucerna</x:v>
      </x:c>
      <x:c r="AA686" s="12" t="str">
        <x:f>IF(R686="","no_claim_delta","claim_delta_present")</x:f>
        <x:v>no_claim_delta</x:v>
      </x:c>
      <x:c r="AB686" s="12" t="str">
        <x:f>IF(S686="","no_contradiction_delta","contradiction_delta_present")</x:f>
        <x:v>no_contradiction_delta</x:v>
      </x:c>
      <x:c r="AC686" s="12" t="str">
        <x:f>IF(OR(ISNUMBER(SEARCH("hacker",LOWER(F686&amp;" "&amp;H686&amp;" "&amp;I686&amp;" "&amp;M686&amp;" "&amp;N686&amp;" "&amp;T686))),ISNUMBER(SEARCH("hacking",LOWER(F686&amp;" "&amp;H686&amp;" "&amp;I686&amp;" "&amp;M686&amp;" "&amp;N686&amp;" "&amp;T686))),ISNUMBER(SEARCH("bank",LOWER(F686&amp;" "&amp;H686&amp;" "&amp;I686&amp;" "&amp;M686&amp;" "&amp;N686&amp;" "&amp;T686))),ISNUMBER(SEARCH("banking",LOWER(F686&amp;" "&amp;H686&amp;" "&amp;I686&amp;" "&amp;M686&amp;" "&amp;N686&amp;" "&amp;T686)))),"PRIVATE_QUARANTINE",IF(OR(ISNUMBER(SEARCH("treasury",LOWER(F686&amp;" "&amp;H686&amp;" "&amp;I686&amp;" "&amp;M686&amp;" "&amp;N686&amp;" "&amp;T686))),ISNUMBER(SEARCH("debt",LOWER(F686&amp;" "&amp;H686&amp;" "&amp;I686&amp;" "&amp;M686&amp;" "&amp;N686&amp;" "&amp;T686))),ISNUMBER(SEARCH("bond",LOWER(F686&amp;" "&amp;H686&amp;" "&amp;I686&amp;" "&amp;M686&amp;" "&amp;N686&amp;" "&amp;T686))),ISNUMBER(SEARCH("transaction",LOWER(F686&amp;" "&amp;H686&amp;" "&amp;I686&amp;" "&amp;M686&amp;" "&amp;N686&amp;" "&amp;T686)))),"PRIVATE_REVIEW","PUBLIC_CANDIDATE"))</x:f>
        <x:v>PUBLIC_CANDIDATE</x:v>
      </x:c>
      <x:c r="AD686" s="12" t="str">
        <x:f>IF(AC686="PRIVATE_QUARANTINE","hacker_or_bank_trigger",IF(AC686="PRIVATE_REVIEW","finance_risk_trigger","none"))</x:f>
        <x:v>none</x:v>
      </x:c>
      <x:c r="AE686" s="12" t="str">
        <x:f>IF(AC686="PUBLIC_CANDIDATE","prepare_public_github_candidate",IF(AC686="PRIVATE_REVIEW","hold_for_private_review","quarantine_private_do_not_publish"))</x:f>
        <x:v>prepare_public_github_candidate</x:v>
      </x:c>
      <x:c r="AF686" s="12" t="str">
        <x:f>IF(AC686="PUBLIC_CANDIDATE","TIDELOCK + Lucerna",IF(AC686="PRIVATE_REVIEW","AtlasBrain + Lucerna","TIDELOCK + Lucerna + Human-root"))</x:f>
        <x:v>TIDELOCK + Lucerna</x:v>
      </x:c>
      <x:c r="AG686" s="12" t="str">
        <x:f>IF(AND(AC686="PUBLIC_CANDIDATE",U686&lt;&gt;"BLOCKED_PENDING_RECEIPT"),"READY_AFTER_RECEIPT","NOT_READY")</x:f>
        <x:v>NOT_READY</x:v>
      </x:c>
      <x:c r="AH686" s="12" t="str">
        <x:f>IF(AC686="PUBLIC_CANDIDATE","none",AD686)</x:f>
        <x:v>none</x:v>
      </x:c>
      <x:c r="AI686" s="12" t="str">
        <x:f>IF(AC686="PUBLIC_CANDIDATE","archive/public_candidates/"&amp;A686,"private_quarantine/"&amp;A686)</x:f>
        <x:v>archive/public_candidates/SWARM-05-H10-S01</x:v>
      </x:c>
      <x:c r="AJ686" s="12" t="str">
        <x:f>IF(AC686="PUBLIC_CANDIDATE","public by default; still not canon","private/hold; do not publish")</x:f>
        <x:v>public by default; still not canon</x:v>
      </x:c>
      <x:c r="AK686" s="12" t="str">
        <x:f>IF(AE686="prepare_public_github_candidate","add receipt/status then mirror","resolve blocker before any public GitHub action")</x:f>
        <x:v>add receipt/status then mirror</x:v>
      </x:c>
    </x:row>
    <x:row r="687">
      <x:c r="A687" s="15" t="str">
        <x:v>SWARM-05-H10-S02</x:v>
      </x:c>
      <x:c r="B687" s="15" t="str">
        <x:v>Rootglass</x:v>
      </x:c>
      <x:c r="C687" s="15" t="str">
        <x:v>Canon gate mirror</x:v>
      </x:c>
      <x:c r="D687" s="15" t="str">
        <x:v>GitHub Source Packets</x:v>
      </x:c>
      <x:c r="E687" s="15" t="str">
        <x:v>Drive</x:v>
      </x:c>
      <x:c r="F687" s="15" t="str">
        <x:v>Build source packet for Drive — Rootglass</x:v>
      </x:c>
      <x:c r="G687" s="15" t="str">
        <x:v>authority boundaries / ratification packets</x:v>
      </x:c>
      <x:c r="H687" s="15" t="str">
        <x:v>source path + receipt + raw/export status + claim/edge/risk delta</x:v>
      </x:c>
      <x:c r="I687" s="15" t="str">
        <x:v>packet/SWARM-05-H10-S02</x:v>
      </x:c>
      <x:c r="J687" s="15" t="str">
        <x:v>TODO</x:v>
      </x:c>
      <x:c r="K687" s="15" t="str">
        <x:v>P0</x:v>
      </x:c>
      <x:c r="L687" s="15" t="str">
        <x:v>Done only when evidence is logged, contradiction search is noted, and boundary stamp remains non-canon unless ratified</x:v>
      </x:c>
      <x:c r="M687" s="15" t="str">
        <x:v>candidate / staging-only / not canon / not deployed / authority none</x:v>
      </x:c>
      <x:c r="N687" s="15" t="str">
        <x:v>Dispatch to Rootglass: complete GitHub Source Packets x Drive; return deltas only, receipts required.</x:v>
      </x:c>
      <x:c r="O687" s="15" t="str">
        <x:v>AF-KG-H10-S02</x:v>
      </x:c>
      <x:c r="P687" s="15" t="str">
        <x:v>Unverified</x:v>
      </x:c>
      <x:c r="Q687" s="15" t="str">
        <x:v>Not checked</x:v>
      </x:c>
      <x:c r="R687" s="15" t="str"/>
      <x:c r="S687" s="15" t="str"/>
      <x:c r="T687" s="15" t="str">
        <x:v>Log first source path or blocker</x:v>
      </x:c>
      <x:c r="U687" s="12" t="str">
        <x:f>IF(OR(P687="Unverified",Q687="Not checked"),"BLOCKED_PENDING_RECEIPT","READY_FOR_REVIEW")</x:f>
        <x:v>BLOCKED_PENDING_RECEIPT</x:v>
      </x:c>
      <x:c r="V687" s="12" t="str">
        <x:f>IF(J687="DONE","RETURNED",IF(U687="BLOCKED_PENDING_RECEIPT","SOURCE_TOUCH_REQUIRED","IN_PROGRESS"))</x:f>
        <x:v>SOURCE_TOUCH_REQUIRED</x:v>
      </x:c>
      <x:c r="W687" s="12" t="str">
        <x:f>IF(P687="Unverified","missing_receipt","receipt_logged")</x:f>
        <x:v>missing_receipt</x:v>
      </x:c>
      <x:c r="X687" s="12" t="str">
        <x:f>IF(Q687="Not checked","raw_status_missing","raw_status_logged")</x:f>
        <x:v>raw_status_missing</x:v>
      </x:c>
      <x:c r="Y687" s="12" t="str">
        <x:f>IF(U687="BLOCKED_PENDING_RECEIPT","Log source path or blocker; do not promote","Route to review lane")</x:f>
        <x:v>Log source path or blocker; do not promote</x:v>
      </x:c>
      <x:c r="Z687" s="12" t="str">
        <x:f>IF(K687="P0","Primary seat + Hashlight/Lucerna","Seat lane")</x:f>
        <x:v>Primary seat + Hashlight/Lucerna</x:v>
      </x:c>
      <x:c r="AA687" s="12" t="str">
        <x:f>IF(R687="","no_claim_delta","claim_delta_present")</x:f>
        <x:v>no_claim_delta</x:v>
      </x:c>
      <x:c r="AB687" s="12" t="str">
        <x:f>IF(S687="","no_contradiction_delta","contradiction_delta_present")</x:f>
        <x:v>no_contradiction_delta</x:v>
      </x:c>
      <x:c r="AC687" s="12" t="str">
        <x:f>IF(OR(ISNUMBER(SEARCH("hacker",LOWER(F687&amp;" "&amp;H687&amp;" "&amp;I687&amp;" "&amp;M687&amp;" "&amp;N687&amp;" "&amp;T687))),ISNUMBER(SEARCH("hacking",LOWER(F687&amp;" "&amp;H687&amp;" "&amp;I687&amp;" "&amp;M687&amp;" "&amp;N687&amp;" "&amp;T687))),ISNUMBER(SEARCH("bank",LOWER(F687&amp;" "&amp;H687&amp;" "&amp;I687&amp;" "&amp;M687&amp;" "&amp;N687&amp;" "&amp;T687))),ISNUMBER(SEARCH("banking",LOWER(F687&amp;" "&amp;H687&amp;" "&amp;I687&amp;" "&amp;M687&amp;" "&amp;N687&amp;" "&amp;T687)))),"PRIVATE_QUARANTINE",IF(OR(ISNUMBER(SEARCH("treasury",LOWER(F687&amp;" "&amp;H687&amp;" "&amp;I687&amp;" "&amp;M687&amp;" "&amp;N687&amp;" "&amp;T687))),ISNUMBER(SEARCH("debt",LOWER(F687&amp;" "&amp;H687&amp;" "&amp;I687&amp;" "&amp;M687&amp;" "&amp;N687&amp;" "&amp;T687))),ISNUMBER(SEARCH("bond",LOWER(F687&amp;" "&amp;H687&amp;" "&amp;I687&amp;" "&amp;M687&amp;" "&amp;N687&amp;" "&amp;T687))),ISNUMBER(SEARCH("transaction",LOWER(F687&amp;" "&amp;H687&amp;" "&amp;I687&amp;" "&amp;M687&amp;" "&amp;N687&amp;" "&amp;T687)))),"PRIVATE_REVIEW","PUBLIC_CANDIDATE"))</x:f>
        <x:v>PUBLIC_CANDIDATE</x:v>
      </x:c>
      <x:c r="AD687" s="12" t="str">
        <x:f>IF(AC687="PRIVATE_QUARANTINE","hacker_or_bank_trigger",IF(AC687="PRIVATE_REVIEW","finance_risk_trigger","none"))</x:f>
        <x:v>none</x:v>
      </x:c>
      <x:c r="AE687" s="12" t="str">
        <x:f>IF(AC687="PUBLIC_CANDIDATE","prepare_public_github_candidate",IF(AC687="PRIVATE_REVIEW","hold_for_private_review","quarantine_private_do_not_publish"))</x:f>
        <x:v>prepare_public_github_candidate</x:v>
      </x:c>
      <x:c r="AF687" s="12" t="str">
        <x:f>IF(AC687="PUBLIC_CANDIDATE","TIDELOCK + Lucerna",IF(AC687="PRIVATE_REVIEW","AtlasBrain + Lucerna","TIDELOCK + Lucerna + Human-root"))</x:f>
        <x:v>TIDELOCK + Lucerna</x:v>
      </x:c>
      <x:c r="AG687" s="12" t="str">
        <x:f>IF(AND(AC687="PUBLIC_CANDIDATE",U687&lt;&gt;"BLOCKED_PENDING_RECEIPT"),"READY_AFTER_RECEIPT","NOT_READY")</x:f>
        <x:v>NOT_READY</x:v>
      </x:c>
      <x:c r="AH687" s="12" t="str">
        <x:f>IF(AC687="PUBLIC_CANDIDATE","none",AD687)</x:f>
        <x:v>none</x:v>
      </x:c>
      <x:c r="AI687" s="12" t="str">
        <x:f>IF(AC687="PUBLIC_CANDIDATE","archive/public_candidates/"&amp;A687,"private_quarantine/"&amp;A687)</x:f>
        <x:v>archive/public_candidates/SWARM-05-H10-S02</x:v>
      </x:c>
      <x:c r="AJ687" s="12" t="str">
        <x:f>IF(AC687="PUBLIC_CANDIDATE","public by default; still not canon","private/hold; do not publish")</x:f>
        <x:v>public by default; still not canon</x:v>
      </x:c>
      <x:c r="AK687" s="12" t="str">
        <x:f>IF(AE687="prepare_public_github_candidate","add receipt/status then mirror","resolve blocker before any public GitHub action")</x:f>
        <x:v>add receipt/status then mirror</x:v>
      </x:c>
    </x:row>
    <x:row r="688">
      <x:c r="A688" s="15" t="str">
        <x:v>SWARM-05-H10-S03</x:v>
      </x:c>
      <x:c r="B688" s="15" t="str">
        <x:v>Rootglass</x:v>
      </x:c>
      <x:c r="C688" s="15" t="str">
        <x:v>Canon gate mirror</x:v>
      </x:c>
      <x:c r="D688" s="15" t="str">
        <x:v>GitHub Source Packets</x:v>
      </x:c>
      <x:c r="E688" s="15" t="str">
        <x:v>GitHub</x:v>
      </x:c>
      <x:c r="F688" s="15" t="str">
        <x:v>Build source packet for GitHub — Rootglass</x:v>
      </x:c>
      <x:c r="G688" s="15" t="str">
        <x:v>authority boundaries / ratification packets</x:v>
      </x:c>
      <x:c r="H688" s="15" t="str">
        <x:v>source path + receipt + raw/export status + claim/edge/risk delta</x:v>
      </x:c>
      <x:c r="I688" s="15" t="str">
        <x:v>packet/SWARM-05-H10-S03</x:v>
      </x:c>
      <x:c r="J688" s="15" t="str">
        <x:v>TODO</x:v>
      </x:c>
      <x:c r="K688" s="15" t="str">
        <x:v>P0</x:v>
      </x:c>
      <x:c r="L688" s="15" t="str">
        <x:v>Done only when evidence is logged, contradiction search is noted, and boundary stamp remains non-canon unless ratified</x:v>
      </x:c>
      <x:c r="M688" s="15" t="str">
        <x:v>candidate / staging-only / not canon / not deployed / authority none</x:v>
      </x:c>
      <x:c r="N688" s="15" t="str">
        <x:v>Dispatch to Rootglass: complete GitHub Source Packets x GitHub; return deltas only, receipts required.</x:v>
      </x:c>
      <x:c r="O688" s="15" t="str">
        <x:v>AF-KG-H10-S03</x:v>
      </x:c>
      <x:c r="P688" s="15" t="str">
        <x:v>Unverified</x:v>
      </x:c>
      <x:c r="Q688" s="15" t="str">
        <x:v>Not checked</x:v>
      </x:c>
      <x:c r="R688" s="15" t="str"/>
      <x:c r="S688" s="15" t="str"/>
      <x:c r="T688" s="15" t="str">
        <x:v>Log first source path or blocker</x:v>
      </x:c>
      <x:c r="U688" s="12" t="str">
        <x:f>IF(OR(P688="Unverified",Q688="Not checked"),"BLOCKED_PENDING_RECEIPT","READY_FOR_REVIEW")</x:f>
        <x:v>BLOCKED_PENDING_RECEIPT</x:v>
      </x:c>
      <x:c r="V688" s="12" t="str">
        <x:f>IF(J688="DONE","RETURNED",IF(U688="BLOCKED_PENDING_RECEIPT","SOURCE_TOUCH_REQUIRED","IN_PROGRESS"))</x:f>
        <x:v>SOURCE_TOUCH_REQUIRED</x:v>
      </x:c>
      <x:c r="W688" s="12" t="str">
        <x:f>IF(P688="Unverified","missing_receipt","receipt_logged")</x:f>
        <x:v>missing_receipt</x:v>
      </x:c>
      <x:c r="X688" s="12" t="str">
        <x:f>IF(Q688="Not checked","raw_status_missing","raw_status_logged")</x:f>
        <x:v>raw_status_missing</x:v>
      </x:c>
      <x:c r="Y688" s="12" t="str">
        <x:f>IF(U688="BLOCKED_PENDING_RECEIPT","Log source path or blocker; do not promote","Route to review lane")</x:f>
        <x:v>Log source path or blocker; do not promote</x:v>
      </x:c>
      <x:c r="Z688" s="12" t="str">
        <x:f>IF(K688="P0","Primary seat + Hashlight/Lucerna","Seat lane")</x:f>
        <x:v>Primary seat + Hashlight/Lucerna</x:v>
      </x:c>
      <x:c r="AA688" s="12" t="str">
        <x:f>IF(R688="","no_claim_delta","claim_delta_present")</x:f>
        <x:v>no_claim_delta</x:v>
      </x:c>
      <x:c r="AB688" s="12" t="str">
        <x:f>IF(S688="","no_contradiction_delta","contradiction_delta_present")</x:f>
        <x:v>no_contradiction_delta</x:v>
      </x:c>
      <x:c r="AC688" s="12" t="str">
        <x:f>IF(OR(ISNUMBER(SEARCH("hacker",LOWER(F688&amp;" "&amp;H688&amp;" "&amp;I688&amp;" "&amp;M688&amp;" "&amp;N688&amp;" "&amp;T688))),ISNUMBER(SEARCH("hacking",LOWER(F688&amp;" "&amp;H688&amp;" "&amp;I688&amp;" "&amp;M688&amp;" "&amp;N688&amp;" "&amp;T688))),ISNUMBER(SEARCH("bank",LOWER(F688&amp;" "&amp;H688&amp;" "&amp;I688&amp;" "&amp;M688&amp;" "&amp;N688&amp;" "&amp;T688))),ISNUMBER(SEARCH("banking",LOWER(F688&amp;" "&amp;H688&amp;" "&amp;I688&amp;" "&amp;M688&amp;" "&amp;N688&amp;" "&amp;T688)))),"PRIVATE_QUARANTINE",IF(OR(ISNUMBER(SEARCH("treasury",LOWER(F688&amp;" "&amp;H688&amp;" "&amp;I688&amp;" "&amp;M688&amp;" "&amp;N688&amp;" "&amp;T688))),ISNUMBER(SEARCH("debt",LOWER(F688&amp;" "&amp;H688&amp;" "&amp;I688&amp;" "&amp;M688&amp;" "&amp;N688&amp;" "&amp;T688))),ISNUMBER(SEARCH("bond",LOWER(F688&amp;" "&amp;H688&amp;" "&amp;I688&amp;" "&amp;M688&amp;" "&amp;N688&amp;" "&amp;T688))),ISNUMBER(SEARCH("transaction",LOWER(F688&amp;" "&amp;H688&amp;" "&amp;I688&amp;" "&amp;M688&amp;" "&amp;N688&amp;" "&amp;T688)))),"PRIVATE_REVIEW","PUBLIC_CANDIDATE"))</x:f>
        <x:v>PUBLIC_CANDIDATE</x:v>
      </x:c>
      <x:c r="AD688" s="12" t="str">
        <x:f>IF(AC688="PRIVATE_QUARANTINE","hacker_or_bank_trigger",IF(AC688="PRIVATE_REVIEW","finance_risk_trigger","none"))</x:f>
        <x:v>none</x:v>
      </x:c>
      <x:c r="AE688" s="12" t="str">
        <x:f>IF(AC688="PUBLIC_CANDIDATE","prepare_public_github_candidate",IF(AC688="PRIVATE_REVIEW","hold_for_private_review","quarantine_private_do_not_publish"))</x:f>
        <x:v>prepare_public_github_candidate</x:v>
      </x:c>
      <x:c r="AF688" s="12" t="str">
        <x:f>IF(AC688="PUBLIC_CANDIDATE","TIDELOCK + Lucerna",IF(AC688="PRIVATE_REVIEW","AtlasBrain + Lucerna","TIDELOCK + Lucerna + Human-root"))</x:f>
        <x:v>TIDELOCK + Lucerna</x:v>
      </x:c>
      <x:c r="AG688" s="12" t="str">
        <x:f>IF(AND(AC688="PUBLIC_CANDIDATE",U688&lt;&gt;"BLOCKED_PENDING_RECEIPT"),"READY_AFTER_RECEIPT","NOT_READY")</x:f>
        <x:v>NOT_READY</x:v>
      </x:c>
      <x:c r="AH688" s="12" t="str">
        <x:f>IF(AC688="PUBLIC_CANDIDATE","none",AD688)</x:f>
        <x:v>none</x:v>
      </x:c>
      <x:c r="AI688" s="12" t="str">
        <x:f>IF(AC688="PUBLIC_CANDIDATE","archive/public_candidates/"&amp;A688,"private_quarantine/"&amp;A688)</x:f>
        <x:v>archive/public_candidates/SWARM-05-H10-S03</x:v>
      </x:c>
      <x:c r="AJ688" s="12" t="str">
        <x:f>IF(AC688="PUBLIC_CANDIDATE","public by default; still not canon","private/hold; do not publish")</x:f>
        <x:v>public by default; still not canon</x:v>
      </x:c>
      <x:c r="AK688" s="12" t="str">
        <x:f>IF(AE688="prepare_public_github_candidate","add receipt/status then mirror","resolve blocker before any public GitHub action")</x:f>
        <x:v>add receipt/status then mirror</x:v>
      </x:c>
    </x:row>
    <x:row r="689">
      <x:c r="A689" s="15" t="str">
        <x:v>SWARM-05-H10-S04</x:v>
      </x:c>
      <x:c r="B689" s="15" t="str">
        <x:v>Rootglass</x:v>
      </x:c>
      <x:c r="C689" s="15" t="str">
        <x:v>Canon gate mirror</x:v>
      </x:c>
      <x:c r="D689" s="15" t="str">
        <x:v>GitHub Source Packets</x:v>
      </x:c>
      <x:c r="E689" s="15" t="str">
        <x:v>Gamma</x:v>
      </x:c>
      <x:c r="F689" s="15" t="str">
        <x:v>Build source packet for Gamma — Rootglass</x:v>
      </x:c>
      <x:c r="G689" s="15" t="str">
        <x:v>authority boundaries / ratification packets</x:v>
      </x:c>
      <x:c r="H689" s="15" t="str">
        <x:v>source path + receipt + raw/export status + claim/edge/risk delta</x:v>
      </x:c>
      <x:c r="I689" s="15" t="str">
        <x:v>packet/SWARM-05-H10-S04</x:v>
      </x:c>
      <x:c r="J689" s="15" t="str">
        <x:v>TODO</x:v>
      </x:c>
      <x:c r="K689" s="15" t="str">
        <x:v>P1</x:v>
      </x:c>
      <x:c r="L689" s="15" t="str">
        <x:v>Done only when evidence is logged, contradiction search is noted, and boundary stamp remains non-canon unless ratified</x:v>
      </x:c>
      <x:c r="M689" s="15" t="str">
        <x:v>candidate / staging-only / not canon / not deployed / authority none</x:v>
      </x:c>
      <x:c r="N689" s="15" t="str">
        <x:v>Dispatch to Rootglass: complete GitHub Source Packets x Gamma; return deltas only, receipts required.</x:v>
      </x:c>
      <x:c r="O689" s="15" t="str">
        <x:v>AF-KG-H10-S04</x:v>
      </x:c>
      <x:c r="P689" s="15" t="str">
        <x:v>Unverified</x:v>
      </x:c>
      <x:c r="Q689" s="15" t="str">
        <x:v>Not checked</x:v>
      </x:c>
      <x:c r="R689" s="15" t="str"/>
      <x:c r="S689" s="15" t="str"/>
      <x:c r="T689" s="15" t="str">
        <x:v>Log first source path or blocker</x:v>
      </x:c>
      <x:c r="U689" s="12" t="str">
        <x:f>IF(OR(P689="Unverified",Q689="Not checked"),"BLOCKED_PENDING_RECEIPT","READY_FOR_REVIEW")</x:f>
        <x:v>BLOCKED_PENDING_RECEIPT</x:v>
      </x:c>
      <x:c r="V689" s="12" t="str">
        <x:f>IF(J689="DONE","RETURNED",IF(U689="BLOCKED_PENDING_RECEIPT","SOURCE_TOUCH_REQUIRED","IN_PROGRESS"))</x:f>
        <x:v>SOURCE_TOUCH_REQUIRED</x:v>
      </x:c>
      <x:c r="W689" s="12" t="str">
        <x:f>IF(P689="Unverified","missing_receipt","receipt_logged")</x:f>
        <x:v>missing_receipt</x:v>
      </x:c>
      <x:c r="X689" s="12" t="str">
        <x:f>IF(Q689="Not checked","raw_status_missing","raw_status_logged")</x:f>
        <x:v>raw_status_missing</x:v>
      </x:c>
      <x:c r="Y689" s="12" t="str">
        <x:f>IF(U689="BLOCKED_PENDING_RECEIPT","Log source path or blocker; do not promote","Route to review lane")</x:f>
        <x:v>Log source path or blocker; do not promote</x:v>
      </x:c>
      <x:c r="Z689" s="12" t="str">
        <x:f>IF(K689="P0","Primary seat + Hashlight/Lucerna","Seat lane")</x:f>
        <x:v>Seat lane</x:v>
      </x:c>
      <x:c r="AA689" s="12" t="str">
        <x:f>IF(R689="","no_claim_delta","claim_delta_present")</x:f>
        <x:v>no_claim_delta</x:v>
      </x:c>
      <x:c r="AB689" s="12" t="str">
        <x:f>IF(S689="","no_contradiction_delta","contradiction_delta_present")</x:f>
        <x:v>no_contradiction_delta</x:v>
      </x:c>
      <x:c r="AC689" s="12" t="str">
        <x:f>IF(OR(ISNUMBER(SEARCH("hacker",LOWER(F689&amp;" "&amp;H689&amp;" "&amp;I689&amp;" "&amp;M689&amp;" "&amp;N689&amp;" "&amp;T689))),ISNUMBER(SEARCH("hacking",LOWER(F689&amp;" "&amp;H689&amp;" "&amp;I689&amp;" "&amp;M689&amp;" "&amp;N689&amp;" "&amp;T689))),ISNUMBER(SEARCH("bank",LOWER(F689&amp;" "&amp;H689&amp;" "&amp;I689&amp;" "&amp;M689&amp;" "&amp;N689&amp;" "&amp;T689))),ISNUMBER(SEARCH("banking",LOWER(F689&amp;" "&amp;H689&amp;" "&amp;I689&amp;" "&amp;M689&amp;" "&amp;N689&amp;" "&amp;T689)))),"PRIVATE_QUARANTINE",IF(OR(ISNUMBER(SEARCH("treasury",LOWER(F689&amp;" "&amp;H689&amp;" "&amp;I689&amp;" "&amp;M689&amp;" "&amp;N689&amp;" "&amp;T689))),ISNUMBER(SEARCH("debt",LOWER(F689&amp;" "&amp;H689&amp;" "&amp;I689&amp;" "&amp;M689&amp;" "&amp;N689&amp;" "&amp;T689))),ISNUMBER(SEARCH("bond",LOWER(F689&amp;" "&amp;H689&amp;" "&amp;I689&amp;" "&amp;M689&amp;" "&amp;N689&amp;" "&amp;T689))),ISNUMBER(SEARCH("transaction",LOWER(F689&amp;" "&amp;H689&amp;" "&amp;I689&amp;" "&amp;M689&amp;" "&amp;N689&amp;" "&amp;T689)))),"PRIVATE_REVIEW","PUBLIC_CANDIDATE"))</x:f>
        <x:v>PUBLIC_CANDIDATE</x:v>
      </x:c>
      <x:c r="AD689" s="12" t="str">
        <x:f>IF(AC689="PRIVATE_QUARANTINE","hacker_or_bank_trigger",IF(AC689="PRIVATE_REVIEW","finance_risk_trigger","none"))</x:f>
        <x:v>none</x:v>
      </x:c>
      <x:c r="AE689" s="12" t="str">
        <x:f>IF(AC689="PUBLIC_CANDIDATE","prepare_public_github_candidate",IF(AC689="PRIVATE_REVIEW","hold_for_private_review","quarantine_private_do_not_publish"))</x:f>
        <x:v>prepare_public_github_candidate</x:v>
      </x:c>
      <x:c r="AF689" s="12" t="str">
        <x:f>IF(AC689="PUBLIC_CANDIDATE","TIDELOCK + Lucerna",IF(AC689="PRIVATE_REVIEW","AtlasBrain + Lucerna","TIDELOCK + Lucerna + Human-root"))</x:f>
        <x:v>TIDELOCK + Lucerna</x:v>
      </x:c>
      <x:c r="AG689" s="12" t="str">
        <x:f>IF(AND(AC689="PUBLIC_CANDIDATE",U689&lt;&gt;"BLOCKED_PENDING_RECEIPT"),"READY_AFTER_RECEIPT","NOT_READY")</x:f>
        <x:v>NOT_READY</x:v>
      </x:c>
      <x:c r="AH689" s="12" t="str">
        <x:f>IF(AC689="PUBLIC_CANDIDATE","none",AD689)</x:f>
        <x:v>none</x:v>
      </x:c>
      <x:c r="AI689" s="12" t="str">
        <x:f>IF(AC689="PUBLIC_CANDIDATE","archive/public_candidates/"&amp;A689,"private_quarantine/"&amp;A689)</x:f>
        <x:v>archive/public_candidates/SWARM-05-H10-S04</x:v>
      </x:c>
      <x:c r="AJ689" s="12" t="str">
        <x:f>IF(AC689="PUBLIC_CANDIDATE","public by default; still not canon","private/hold; do not publish")</x:f>
        <x:v>public by default; still not canon</x:v>
      </x:c>
      <x:c r="AK689" s="12" t="str">
        <x:f>IF(AE689="prepare_public_github_candidate","add receipt/status then mirror","resolve blocker before any public GitHub action")</x:f>
        <x:v>add receipt/status then mirror</x:v>
      </x:c>
    </x:row>
    <x:row r="690">
      <x:c r="A690" s="15" t="str">
        <x:v>SWARM-05-H10-S05</x:v>
      </x:c>
      <x:c r="B690" s="15" t="str">
        <x:v>Rootglass</x:v>
      </x:c>
      <x:c r="C690" s="15" t="str">
        <x:v>Canon gate mirror</x:v>
      </x:c>
      <x:c r="D690" s="15" t="str">
        <x:v>GitHub Source Packets</x:v>
      </x:c>
      <x:c r="E690" s="15" t="str">
        <x:v>Chat</x:v>
      </x:c>
      <x:c r="F690" s="15" t="str">
        <x:v>Build source packet for Chat — Rootglass</x:v>
      </x:c>
      <x:c r="G690" s="15" t="str">
        <x:v>authority boundaries / ratification packets</x:v>
      </x:c>
      <x:c r="H690" s="15" t="str">
        <x:v>source path + receipt + raw/export status + claim/edge/risk delta</x:v>
      </x:c>
      <x:c r="I690" s="15" t="str">
        <x:v>packet/SWARM-05-H10-S05</x:v>
      </x:c>
      <x:c r="J690" s="15" t="str">
        <x:v>TODO</x:v>
      </x:c>
      <x:c r="K690" s="15" t="str">
        <x:v>P1</x:v>
      </x:c>
      <x:c r="L690" s="15" t="str">
        <x:v>Done only when evidence is logged, contradiction search is noted, and boundary stamp remains non-canon unless ratified</x:v>
      </x:c>
      <x:c r="M690" s="15" t="str">
        <x:v>candidate / staging-only / not canon / not deployed / authority none</x:v>
      </x:c>
      <x:c r="N690" s="15" t="str">
        <x:v>Dispatch to Rootglass: complete GitHub Source Packets x Chat; return deltas only, receipts required.</x:v>
      </x:c>
      <x:c r="O690" s="15" t="str">
        <x:v>AF-KG-H10-S05</x:v>
      </x:c>
      <x:c r="P690" s="15" t="str">
        <x:v>Unverified</x:v>
      </x:c>
      <x:c r="Q690" s="15" t="str">
        <x:v>Not checked</x:v>
      </x:c>
      <x:c r="R690" s="15" t="str"/>
      <x:c r="S690" s="15" t="str"/>
      <x:c r="T690" s="15" t="str">
        <x:v>Log first source path or blocker</x:v>
      </x:c>
      <x:c r="U690" s="12" t="str">
        <x:f>IF(OR(P690="Unverified",Q690="Not checked"),"BLOCKED_PENDING_RECEIPT","READY_FOR_REVIEW")</x:f>
        <x:v>BLOCKED_PENDING_RECEIPT</x:v>
      </x:c>
      <x:c r="V690" s="12" t="str">
        <x:f>IF(J690="DONE","RETURNED",IF(U690="BLOCKED_PENDING_RECEIPT","SOURCE_TOUCH_REQUIRED","IN_PROGRESS"))</x:f>
        <x:v>SOURCE_TOUCH_REQUIRED</x:v>
      </x:c>
      <x:c r="W690" s="12" t="str">
        <x:f>IF(P690="Unverified","missing_receipt","receipt_logged")</x:f>
        <x:v>missing_receipt</x:v>
      </x:c>
      <x:c r="X690" s="12" t="str">
        <x:f>IF(Q690="Not checked","raw_status_missing","raw_status_logged")</x:f>
        <x:v>raw_status_missing</x:v>
      </x:c>
      <x:c r="Y690" s="12" t="str">
        <x:f>IF(U690="BLOCKED_PENDING_RECEIPT","Log source path or blocker; do not promote","Route to review lane")</x:f>
        <x:v>Log source path or blocker; do not promote</x:v>
      </x:c>
      <x:c r="Z690" s="12" t="str">
        <x:f>IF(K690="P0","Primary seat + Hashlight/Lucerna","Seat lane")</x:f>
        <x:v>Seat lane</x:v>
      </x:c>
      <x:c r="AA690" s="12" t="str">
        <x:f>IF(R690="","no_claim_delta","claim_delta_present")</x:f>
        <x:v>no_claim_delta</x:v>
      </x:c>
      <x:c r="AB690" s="12" t="str">
        <x:f>IF(S690="","no_contradiction_delta","contradiction_delta_present")</x:f>
        <x:v>no_contradiction_delta</x:v>
      </x:c>
      <x:c r="AC690" s="12" t="str">
        <x:f>IF(OR(ISNUMBER(SEARCH("hacker",LOWER(F690&amp;" "&amp;H690&amp;" "&amp;I690&amp;" "&amp;M690&amp;" "&amp;N690&amp;" "&amp;T690))),ISNUMBER(SEARCH("hacking",LOWER(F690&amp;" "&amp;H690&amp;" "&amp;I690&amp;" "&amp;M690&amp;" "&amp;N690&amp;" "&amp;T690))),ISNUMBER(SEARCH("bank",LOWER(F690&amp;" "&amp;H690&amp;" "&amp;I690&amp;" "&amp;M690&amp;" "&amp;N690&amp;" "&amp;T690))),ISNUMBER(SEARCH("banking",LOWER(F690&amp;" "&amp;H690&amp;" "&amp;I690&amp;" "&amp;M690&amp;" "&amp;N690&amp;" "&amp;T690)))),"PRIVATE_QUARANTINE",IF(OR(ISNUMBER(SEARCH("treasury",LOWER(F690&amp;" "&amp;H690&amp;" "&amp;I690&amp;" "&amp;M690&amp;" "&amp;N690&amp;" "&amp;T690))),ISNUMBER(SEARCH("debt",LOWER(F690&amp;" "&amp;H690&amp;" "&amp;I690&amp;" "&amp;M690&amp;" "&amp;N690&amp;" "&amp;T690))),ISNUMBER(SEARCH("bond",LOWER(F690&amp;" "&amp;H690&amp;" "&amp;I690&amp;" "&amp;M690&amp;" "&amp;N690&amp;" "&amp;T690))),ISNUMBER(SEARCH("transaction",LOWER(F690&amp;" "&amp;H690&amp;" "&amp;I690&amp;" "&amp;M690&amp;" "&amp;N690&amp;" "&amp;T690)))),"PRIVATE_REVIEW","PUBLIC_CANDIDATE"))</x:f>
        <x:v>PUBLIC_CANDIDATE</x:v>
      </x:c>
      <x:c r="AD690" s="12" t="str">
        <x:f>IF(AC690="PRIVATE_QUARANTINE","hacker_or_bank_trigger",IF(AC690="PRIVATE_REVIEW","finance_risk_trigger","none"))</x:f>
        <x:v>none</x:v>
      </x:c>
      <x:c r="AE690" s="12" t="str">
        <x:f>IF(AC690="PUBLIC_CANDIDATE","prepare_public_github_candidate",IF(AC690="PRIVATE_REVIEW","hold_for_private_review","quarantine_private_do_not_publish"))</x:f>
        <x:v>prepare_public_github_candidate</x:v>
      </x:c>
      <x:c r="AF690" s="12" t="str">
        <x:f>IF(AC690="PUBLIC_CANDIDATE","TIDELOCK + Lucerna",IF(AC690="PRIVATE_REVIEW","AtlasBrain + Lucerna","TIDELOCK + Lucerna + Human-root"))</x:f>
        <x:v>TIDELOCK + Lucerna</x:v>
      </x:c>
      <x:c r="AG690" s="12" t="str">
        <x:f>IF(AND(AC690="PUBLIC_CANDIDATE",U690&lt;&gt;"BLOCKED_PENDING_RECEIPT"),"READY_AFTER_RECEIPT","NOT_READY")</x:f>
        <x:v>NOT_READY</x:v>
      </x:c>
      <x:c r="AH690" s="12" t="str">
        <x:f>IF(AC690="PUBLIC_CANDIDATE","none",AD690)</x:f>
        <x:v>none</x:v>
      </x:c>
      <x:c r="AI690" s="12" t="str">
        <x:f>IF(AC690="PUBLIC_CANDIDATE","archive/public_candidates/"&amp;A690,"private_quarantine/"&amp;A690)</x:f>
        <x:v>archive/public_candidates/SWARM-05-H10-S05</x:v>
      </x:c>
      <x:c r="AJ690" s="12" t="str">
        <x:f>IF(AC690="PUBLIC_CANDIDATE","public by default; still not canon","private/hold; do not publish")</x:f>
        <x:v>public by default; still not canon</x:v>
      </x:c>
      <x:c r="AK690" s="12" t="str">
        <x:f>IF(AE690="prepare_public_github_candidate","add receipt/status then mirror","resolve blocker before any public GitHub action")</x:f>
        <x:v>add receipt/status then mirror</x:v>
      </x:c>
    </x:row>
    <x:row r="691">
      <x:c r="A691" s="15" t="str">
        <x:v>SWARM-05-H10-S06</x:v>
      </x:c>
      <x:c r="B691" s="15" t="str">
        <x:v>Rootglass</x:v>
      </x:c>
      <x:c r="C691" s="15" t="str">
        <x:v>Canon gate mirror</x:v>
      </x:c>
      <x:c r="D691" s="15" t="str">
        <x:v>GitHub Source Packets</x:v>
      </x:c>
      <x:c r="E691" s="15" t="str">
        <x:v>External Web</x:v>
      </x:c>
      <x:c r="F691" s="15" t="str">
        <x:v>Build source packet for External Web — Rootglass</x:v>
      </x:c>
      <x:c r="G691" s="15" t="str">
        <x:v>authority boundaries / ratification packets</x:v>
      </x:c>
      <x:c r="H691" s="15" t="str">
        <x:v>source path + receipt + raw/export status + claim/edge/risk delta</x:v>
      </x:c>
      <x:c r="I691" s="15" t="str">
        <x:v>packet/SWARM-05-H10-S06</x:v>
      </x:c>
      <x:c r="J691" s="15" t="str">
        <x:v>TODO</x:v>
      </x:c>
      <x:c r="K691" s="15" t="str">
        <x:v>P1</x:v>
      </x:c>
      <x:c r="L691" s="15" t="str">
        <x:v>Done only when evidence is logged, contradiction search is noted, and boundary stamp remains non-canon unless ratified</x:v>
      </x:c>
      <x:c r="M691" s="15" t="str">
        <x:v>candidate / staging-only / not canon / not deployed / authority none</x:v>
      </x:c>
      <x:c r="N691" s="15" t="str">
        <x:v>Dispatch to Rootglass: complete GitHub Source Packets x External Web; return deltas only, receipts required.</x:v>
      </x:c>
      <x:c r="O691" s="15" t="str">
        <x:v>AF-KG-H10-S06</x:v>
      </x:c>
      <x:c r="P691" s="15" t="str">
        <x:v>Unverified</x:v>
      </x:c>
      <x:c r="Q691" s="15" t="str">
        <x:v>Not checked</x:v>
      </x:c>
      <x:c r="R691" s="15" t="str"/>
      <x:c r="S691" s="15" t="str"/>
      <x:c r="T691" s="15" t="str">
        <x:v>Log first source path or blocker</x:v>
      </x:c>
      <x:c r="U691" s="12" t="str">
        <x:f>IF(OR(P691="Unverified",Q691="Not checked"),"BLOCKED_PENDING_RECEIPT","READY_FOR_REVIEW")</x:f>
        <x:v>BLOCKED_PENDING_RECEIPT</x:v>
      </x:c>
      <x:c r="V691" s="12" t="str">
        <x:f>IF(J691="DONE","RETURNED",IF(U691="BLOCKED_PENDING_RECEIPT","SOURCE_TOUCH_REQUIRED","IN_PROGRESS"))</x:f>
        <x:v>SOURCE_TOUCH_REQUIRED</x:v>
      </x:c>
      <x:c r="W691" s="12" t="str">
        <x:f>IF(P691="Unverified","missing_receipt","receipt_logged")</x:f>
        <x:v>missing_receipt</x:v>
      </x:c>
      <x:c r="X691" s="12" t="str">
        <x:f>IF(Q691="Not checked","raw_status_missing","raw_status_logged")</x:f>
        <x:v>raw_status_missing</x:v>
      </x:c>
      <x:c r="Y691" s="12" t="str">
        <x:f>IF(U691="BLOCKED_PENDING_RECEIPT","Log source path or blocker; do not promote","Route to review lane")</x:f>
        <x:v>Log source path or blocker; do not promote</x:v>
      </x:c>
      <x:c r="Z691" s="12" t="str">
        <x:f>IF(K691="P0","Primary seat + Hashlight/Lucerna","Seat lane")</x:f>
        <x:v>Seat lane</x:v>
      </x:c>
      <x:c r="AA691" s="12" t="str">
        <x:f>IF(R691="","no_claim_delta","claim_delta_present")</x:f>
        <x:v>no_claim_delta</x:v>
      </x:c>
      <x:c r="AB691" s="12" t="str">
        <x:f>IF(S691="","no_contradiction_delta","contradiction_delta_present")</x:f>
        <x:v>no_contradiction_delta</x:v>
      </x:c>
      <x:c r="AC691" s="12" t="str">
        <x:f>IF(OR(ISNUMBER(SEARCH("hacker",LOWER(F691&amp;" "&amp;H691&amp;" "&amp;I691&amp;" "&amp;M691&amp;" "&amp;N691&amp;" "&amp;T691))),ISNUMBER(SEARCH("hacking",LOWER(F691&amp;" "&amp;H691&amp;" "&amp;I691&amp;" "&amp;M691&amp;" "&amp;N691&amp;" "&amp;T691))),ISNUMBER(SEARCH("bank",LOWER(F691&amp;" "&amp;H691&amp;" "&amp;I691&amp;" "&amp;M691&amp;" "&amp;N691&amp;" "&amp;T691))),ISNUMBER(SEARCH("banking",LOWER(F691&amp;" "&amp;H691&amp;" "&amp;I691&amp;" "&amp;M691&amp;" "&amp;N691&amp;" "&amp;T691)))),"PRIVATE_QUARANTINE",IF(OR(ISNUMBER(SEARCH("treasury",LOWER(F691&amp;" "&amp;H691&amp;" "&amp;I691&amp;" "&amp;M691&amp;" "&amp;N691&amp;" "&amp;T691))),ISNUMBER(SEARCH("debt",LOWER(F691&amp;" "&amp;H691&amp;" "&amp;I691&amp;" "&amp;M691&amp;" "&amp;N691&amp;" "&amp;T691))),ISNUMBER(SEARCH("bond",LOWER(F691&amp;" "&amp;H691&amp;" "&amp;I691&amp;" "&amp;M691&amp;" "&amp;N691&amp;" "&amp;T691))),ISNUMBER(SEARCH("transaction",LOWER(F691&amp;" "&amp;H691&amp;" "&amp;I691&amp;" "&amp;M691&amp;" "&amp;N691&amp;" "&amp;T691)))),"PRIVATE_REVIEW","PUBLIC_CANDIDATE"))</x:f>
        <x:v>PUBLIC_CANDIDATE</x:v>
      </x:c>
      <x:c r="AD691" s="12" t="str">
        <x:f>IF(AC691="PRIVATE_QUARANTINE","hacker_or_bank_trigger",IF(AC691="PRIVATE_REVIEW","finance_risk_trigger","none"))</x:f>
        <x:v>none</x:v>
      </x:c>
      <x:c r="AE691" s="12" t="str">
        <x:f>IF(AC691="PUBLIC_CANDIDATE","prepare_public_github_candidate",IF(AC691="PRIVATE_REVIEW","hold_for_private_review","quarantine_private_do_not_publish"))</x:f>
        <x:v>prepare_public_github_candidate</x:v>
      </x:c>
      <x:c r="AF691" s="12" t="str">
        <x:f>IF(AC691="PUBLIC_CANDIDATE","TIDELOCK + Lucerna",IF(AC691="PRIVATE_REVIEW","AtlasBrain + Lucerna","TIDELOCK + Lucerna + Human-root"))</x:f>
        <x:v>TIDELOCK + Lucerna</x:v>
      </x:c>
      <x:c r="AG691" s="12" t="str">
        <x:f>IF(AND(AC691="PUBLIC_CANDIDATE",U691&lt;&gt;"BLOCKED_PENDING_RECEIPT"),"READY_AFTER_RECEIPT","NOT_READY")</x:f>
        <x:v>NOT_READY</x:v>
      </x:c>
      <x:c r="AH691" s="12" t="str">
        <x:f>IF(AC691="PUBLIC_CANDIDATE","none",AD691)</x:f>
        <x:v>none</x:v>
      </x:c>
      <x:c r="AI691" s="12" t="str">
        <x:f>IF(AC691="PUBLIC_CANDIDATE","archive/public_candidates/"&amp;A691,"private_quarantine/"&amp;A691)</x:f>
        <x:v>archive/public_candidates/SWARM-05-H10-S06</x:v>
      </x:c>
      <x:c r="AJ691" s="12" t="str">
        <x:f>IF(AC691="PUBLIC_CANDIDATE","public by default; still not canon","private/hold; do not publish")</x:f>
        <x:v>public by default; still not canon</x:v>
      </x:c>
      <x:c r="AK691" s="12" t="str">
        <x:f>IF(AE691="prepare_public_github_candidate","add receipt/status then mirror","resolve blocker before any public GitHub action")</x:f>
        <x:v>add receipt/status then mirror</x:v>
      </x:c>
    </x:row>
    <x:row r="692">
      <x:c r="A692" s="15" t="str">
        <x:v>SWARM-05-H10-S07</x:v>
      </x:c>
      <x:c r="B692" s="15" t="str">
        <x:v>Rootglass</x:v>
      </x:c>
      <x:c r="C692" s="15" t="str">
        <x:v>Canon gate mirror</x:v>
      </x:c>
      <x:c r="D692" s="15" t="str">
        <x:v>GitHub Source Packets</x:v>
      </x:c>
      <x:c r="E692" s="15" t="str">
        <x:v>Planetarium</x:v>
      </x:c>
      <x:c r="F692" s="15" t="str">
        <x:v>Build source packet for Planetarium — Rootglass</x:v>
      </x:c>
      <x:c r="G692" s="15" t="str">
        <x:v>authority boundaries / ratification packets</x:v>
      </x:c>
      <x:c r="H692" s="15" t="str">
        <x:v>source path + receipt + raw/export status + claim/edge/risk delta</x:v>
      </x:c>
      <x:c r="I692" s="15" t="str">
        <x:v>packet/SWARM-05-H10-S07</x:v>
      </x:c>
      <x:c r="J692" s="15" t="str">
        <x:v>TODO</x:v>
      </x:c>
      <x:c r="K692" s="15" t="str">
        <x:v>P1</x:v>
      </x:c>
      <x:c r="L692" s="15" t="str">
        <x:v>Done only when evidence is logged, contradiction search is noted, and boundary stamp remains non-canon unless ratified</x:v>
      </x:c>
      <x:c r="M692" s="15" t="str">
        <x:v>candidate / staging-only / not canon / not deployed / authority none</x:v>
      </x:c>
      <x:c r="N692" s="15" t="str">
        <x:v>Dispatch to Rootglass: complete GitHub Source Packets x Planetarium; return deltas only, receipts required.</x:v>
      </x:c>
      <x:c r="O692" s="15" t="str">
        <x:v>AF-KG-H10-S07</x:v>
      </x:c>
      <x:c r="P692" s="15" t="str">
        <x:v>Unverified</x:v>
      </x:c>
      <x:c r="Q692" s="15" t="str">
        <x:v>Not checked</x:v>
      </x:c>
      <x:c r="R692" s="15" t="str"/>
      <x:c r="S692" s="15" t="str"/>
      <x:c r="T692" s="15" t="str">
        <x:v>Log first source path or blocker</x:v>
      </x:c>
      <x:c r="U692" s="12" t="str">
        <x:f>IF(OR(P692="Unverified",Q692="Not checked"),"BLOCKED_PENDING_RECEIPT","READY_FOR_REVIEW")</x:f>
        <x:v>BLOCKED_PENDING_RECEIPT</x:v>
      </x:c>
      <x:c r="V692" s="12" t="str">
        <x:f>IF(J692="DONE","RETURNED",IF(U692="BLOCKED_PENDING_RECEIPT","SOURCE_TOUCH_REQUIRED","IN_PROGRESS"))</x:f>
        <x:v>SOURCE_TOUCH_REQUIRED</x:v>
      </x:c>
      <x:c r="W692" s="12" t="str">
        <x:f>IF(P692="Unverified","missing_receipt","receipt_logged")</x:f>
        <x:v>missing_receipt</x:v>
      </x:c>
      <x:c r="X692" s="12" t="str">
        <x:f>IF(Q692="Not checked","raw_status_missing","raw_status_logged")</x:f>
        <x:v>raw_status_missing</x:v>
      </x:c>
      <x:c r="Y692" s="12" t="str">
        <x:f>IF(U692="BLOCKED_PENDING_RECEIPT","Log source path or blocker; do not promote","Route to review lane")</x:f>
        <x:v>Log source path or blocker; do not promote</x:v>
      </x:c>
      <x:c r="Z692" s="12" t="str">
        <x:f>IF(K692="P0","Primary seat + Hashlight/Lucerna","Seat lane")</x:f>
        <x:v>Seat lane</x:v>
      </x:c>
      <x:c r="AA692" s="12" t="str">
        <x:f>IF(R692="","no_claim_delta","claim_delta_present")</x:f>
        <x:v>no_claim_delta</x:v>
      </x:c>
      <x:c r="AB692" s="12" t="str">
        <x:f>IF(S692="","no_contradiction_delta","contradiction_delta_present")</x:f>
        <x:v>no_contradiction_delta</x:v>
      </x:c>
      <x:c r="AC692" s="12" t="str">
        <x:f>IF(OR(ISNUMBER(SEARCH("hacker",LOWER(F692&amp;" "&amp;H692&amp;" "&amp;I692&amp;" "&amp;M692&amp;" "&amp;N692&amp;" "&amp;T692))),ISNUMBER(SEARCH("hacking",LOWER(F692&amp;" "&amp;H692&amp;" "&amp;I692&amp;" "&amp;M692&amp;" "&amp;N692&amp;" "&amp;T692))),ISNUMBER(SEARCH("bank",LOWER(F692&amp;" "&amp;H692&amp;" "&amp;I692&amp;" "&amp;M692&amp;" "&amp;N692&amp;" "&amp;T692))),ISNUMBER(SEARCH("banking",LOWER(F692&amp;" "&amp;H692&amp;" "&amp;I692&amp;" "&amp;M692&amp;" "&amp;N692&amp;" "&amp;T692)))),"PRIVATE_QUARANTINE",IF(OR(ISNUMBER(SEARCH("treasury",LOWER(F692&amp;" "&amp;H692&amp;" "&amp;I692&amp;" "&amp;M692&amp;" "&amp;N692&amp;" "&amp;T692))),ISNUMBER(SEARCH("debt",LOWER(F692&amp;" "&amp;H692&amp;" "&amp;I692&amp;" "&amp;M692&amp;" "&amp;N692&amp;" "&amp;T692))),ISNUMBER(SEARCH("bond",LOWER(F692&amp;" "&amp;H692&amp;" "&amp;I692&amp;" "&amp;M692&amp;" "&amp;N692&amp;" "&amp;T692))),ISNUMBER(SEARCH("transaction",LOWER(F692&amp;" "&amp;H692&amp;" "&amp;I692&amp;" "&amp;M692&amp;" "&amp;N692&amp;" "&amp;T692)))),"PRIVATE_REVIEW","PUBLIC_CANDIDATE"))</x:f>
        <x:v>PUBLIC_CANDIDATE</x:v>
      </x:c>
      <x:c r="AD692" s="12" t="str">
        <x:f>IF(AC692="PRIVATE_QUARANTINE","hacker_or_bank_trigger",IF(AC692="PRIVATE_REVIEW","finance_risk_trigger","none"))</x:f>
        <x:v>none</x:v>
      </x:c>
      <x:c r="AE692" s="12" t="str">
        <x:f>IF(AC692="PUBLIC_CANDIDATE","prepare_public_github_candidate",IF(AC692="PRIVATE_REVIEW","hold_for_private_review","quarantine_private_do_not_publish"))</x:f>
        <x:v>prepare_public_github_candidate</x:v>
      </x:c>
      <x:c r="AF692" s="12" t="str">
        <x:f>IF(AC692="PUBLIC_CANDIDATE","TIDELOCK + Lucerna",IF(AC692="PRIVATE_REVIEW","AtlasBrain + Lucerna","TIDELOCK + Lucerna + Human-root"))</x:f>
        <x:v>TIDELOCK + Lucerna</x:v>
      </x:c>
      <x:c r="AG692" s="12" t="str">
        <x:f>IF(AND(AC692="PUBLIC_CANDIDATE",U692&lt;&gt;"BLOCKED_PENDING_RECEIPT"),"READY_AFTER_RECEIPT","NOT_READY")</x:f>
        <x:v>NOT_READY</x:v>
      </x:c>
      <x:c r="AH692" s="12" t="str">
        <x:f>IF(AC692="PUBLIC_CANDIDATE","none",AD692)</x:f>
        <x:v>none</x:v>
      </x:c>
      <x:c r="AI692" s="12" t="str">
        <x:f>IF(AC692="PUBLIC_CANDIDATE","archive/public_candidates/"&amp;A692,"private_quarantine/"&amp;A692)</x:f>
        <x:v>archive/public_candidates/SWARM-05-H10-S07</x:v>
      </x:c>
      <x:c r="AJ692" s="12" t="str">
        <x:f>IF(AC692="PUBLIC_CANDIDATE","public by default; still not canon","private/hold; do not publish")</x:f>
        <x:v>public by default; still not canon</x:v>
      </x:c>
      <x:c r="AK692" s="12" t="str">
        <x:f>IF(AE692="prepare_public_github_candidate","add receipt/status then mirror","resolve blocker before any public GitHub action")</x:f>
        <x:v>add receipt/status then mirror</x:v>
      </x:c>
    </x:row>
    <x:row r="693">
      <x:c r="A693" s="15" t="str">
        <x:v>SWARM-05-H10-S08</x:v>
      </x:c>
      <x:c r="B693" s="15" t="str">
        <x:v>Rootglass</x:v>
      </x:c>
      <x:c r="C693" s="15" t="str">
        <x:v>Canon gate mirror</x:v>
      </x:c>
      <x:c r="D693" s="15" t="str">
        <x:v>GitHub Source Packets</x:v>
      </x:c>
      <x:c r="E693" s="15" t="str">
        <x:v>Sheldonbrain</x:v>
      </x:c>
      <x:c r="F693" s="15" t="str">
        <x:v>Build source packet for Sheldonbrain — Rootglass</x:v>
      </x:c>
      <x:c r="G693" s="15" t="str">
        <x:v>authority boundaries / ratification packets</x:v>
      </x:c>
      <x:c r="H693" s="15" t="str">
        <x:v>source path + receipt + raw/export status + claim/edge/risk delta</x:v>
      </x:c>
      <x:c r="I693" s="15" t="str">
        <x:v>packet/SWARM-05-H10-S08</x:v>
      </x:c>
      <x:c r="J693" s="15" t="str">
        <x:v>TODO</x:v>
      </x:c>
      <x:c r="K693" s="15" t="str">
        <x:v>P1</x:v>
      </x:c>
      <x:c r="L693" s="15" t="str">
        <x:v>Done only when evidence is logged, contradiction search is noted, and boundary stamp remains non-canon unless ratified</x:v>
      </x:c>
      <x:c r="M693" s="15" t="str">
        <x:v>candidate / staging-only / not canon / not deployed / authority none</x:v>
      </x:c>
      <x:c r="N693" s="15" t="str">
        <x:v>Dispatch to Rootglass: complete GitHub Source Packets x Sheldonbrain; return deltas only, receipts required.</x:v>
      </x:c>
      <x:c r="O693" s="15" t="str">
        <x:v>AF-KG-H10-S08</x:v>
      </x:c>
      <x:c r="P693" s="15" t="str">
        <x:v>Unverified</x:v>
      </x:c>
      <x:c r="Q693" s="15" t="str">
        <x:v>Not checked</x:v>
      </x:c>
      <x:c r="R693" s="15" t="str"/>
      <x:c r="S693" s="15" t="str"/>
      <x:c r="T693" s="15" t="str">
        <x:v>Log first source path or blocker</x:v>
      </x:c>
      <x:c r="U693" s="12" t="str">
        <x:f>IF(OR(P693="Unverified",Q693="Not checked"),"BLOCKED_PENDING_RECEIPT","READY_FOR_REVIEW")</x:f>
        <x:v>BLOCKED_PENDING_RECEIPT</x:v>
      </x:c>
      <x:c r="V693" s="12" t="str">
        <x:f>IF(J693="DONE","RETURNED",IF(U693="BLOCKED_PENDING_RECEIPT","SOURCE_TOUCH_REQUIRED","IN_PROGRESS"))</x:f>
        <x:v>SOURCE_TOUCH_REQUIRED</x:v>
      </x:c>
      <x:c r="W693" s="12" t="str">
        <x:f>IF(P693="Unverified","missing_receipt","receipt_logged")</x:f>
        <x:v>missing_receipt</x:v>
      </x:c>
      <x:c r="X693" s="12" t="str">
        <x:f>IF(Q693="Not checked","raw_status_missing","raw_status_logged")</x:f>
        <x:v>raw_status_missing</x:v>
      </x:c>
      <x:c r="Y693" s="12" t="str">
        <x:f>IF(U693="BLOCKED_PENDING_RECEIPT","Log source path or blocker; do not promote","Route to review lane")</x:f>
        <x:v>Log source path or blocker; do not promote</x:v>
      </x:c>
      <x:c r="Z693" s="12" t="str">
        <x:f>IF(K693="P0","Primary seat + Hashlight/Lucerna","Seat lane")</x:f>
        <x:v>Seat lane</x:v>
      </x:c>
      <x:c r="AA693" s="12" t="str">
        <x:f>IF(R693="","no_claim_delta","claim_delta_present")</x:f>
        <x:v>no_claim_delta</x:v>
      </x:c>
      <x:c r="AB693" s="12" t="str">
        <x:f>IF(S693="","no_contradiction_delta","contradiction_delta_present")</x:f>
        <x:v>no_contradiction_delta</x:v>
      </x:c>
      <x:c r="AC693" s="12" t="str">
        <x:f>IF(OR(ISNUMBER(SEARCH("hacker",LOWER(F693&amp;" "&amp;H693&amp;" "&amp;I693&amp;" "&amp;M693&amp;" "&amp;N693&amp;" "&amp;T693))),ISNUMBER(SEARCH("hacking",LOWER(F693&amp;" "&amp;H693&amp;" "&amp;I693&amp;" "&amp;M693&amp;" "&amp;N693&amp;" "&amp;T693))),ISNUMBER(SEARCH("bank",LOWER(F693&amp;" "&amp;H693&amp;" "&amp;I693&amp;" "&amp;M693&amp;" "&amp;N693&amp;" "&amp;T693))),ISNUMBER(SEARCH("banking",LOWER(F693&amp;" "&amp;H693&amp;" "&amp;I693&amp;" "&amp;M693&amp;" "&amp;N693&amp;" "&amp;T693)))),"PRIVATE_QUARANTINE",IF(OR(ISNUMBER(SEARCH("treasury",LOWER(F693&amp;" "&amp;H693&amp;" "&amp;I693&amp;" "&amp;M693&amp;" "&amp;N693&amp;" "&amp;T693))),ISNUMBER(SEARCH("debt",LOWER(F693&amp;" "&amp;H693&amp;" "&amp;I693&amp;" "&amp;M693&amp;" "&amp;N693&amp;" "&amp;T693))),ISNUMBER(SEARCH("bond",LOWER(F693&amp;" "&amp;H693&amp;" "&amp;I693&amp;" "&amp;M693&amp;" "&amp;N693&amp;" "&amp;T693))),ISNUMBER(SEARCH("transaction",LOWER(F693&amp;" "&amp;H693&amp;" "&amp;I693&amp;" "&amp;M693&amp;" "&amp;N693&amp;" "&amp;T693)))),"PRIVATE_REVIEW","PUBLIC_CANDIDATE"))</x:f>
        <x:v>PUBLIC_CANDIDATE</x:v>
      </x:c>
      <x:c r="AD693" s="12" t="str">
        <x:f>IF(AC693="PRIVATE_QUARANTINE","hacker_or_bank_trigger",IF(AC693="PRIVATE_REVIEW","finance_risk_trigger","none"))</x:f>
        <x:v>none</x:v>
      </x:c>
      <x:c r="AE693" s="12" t="str">
        <x:f>IF(AC693="PUBLIC_CANDIDATE","prepare_public_github_candidate",IF(AC693="PRIVATE_REVIEW","hold_for_private_review","quarantine_private_do_not_publish"))</x:f>
        <x:v>prepare_public_github_candidate</x:v>
      </x:c>
      <x:c r="AF693" s="12" t="str">
        <x:f>IF(AC693="PUBLIC_CANDIDATE","TIDELOCK + Lucerna",IF(AC693="PRIVATE_REVIEW","AtlasBrain + Lucerna","TIDELOCK + Lucerna + Human-root"))</x:f>
        <x:v>TIDELOCK + Lucerna</x:v>
      </x:c>
      <x:c r="AG693" s="12" t="str">
        <x:f>IF(AND(AC693="PUBLIC_CANDIDATE",U693&lt;&gt;"BLOCKED_PENDING_RECEIPT"),"READY_AFTER_RECEIPT","NOT_READY")</x:f>
        <x:v>NOT_READY</x:v>
      </x:c>
      <x:c r="AH693" s="12" t="str">
        <x:f>IF(AC693="PUBLIC_CANDIDATE","none",AD693)</x:f>
        <x:v>none</x:v>
      </x:c>
      <x:c r="AI693" s="12" t="str">
        <x:f>IF(AC693="PUBLIC_CANDIDATE","archive/public_candidates/"&amp;A693,"private_quarantine/"&amp;A693)</x:f>
        <x:v>archive/public_candidates/SWARM-05-H10-S08</x:v>
      </x:c>
      <x:c r="AJ693" s="12" t="str">
        <x:f>IF(AC693="PUBLIC_CANDIDATE","public by default; still not canon","private/hold; do not publish")</x:f>
        <x:v>public by default; still not canon</x:v>
      </x:c>
      <x:c r="AK693" s="12" t="str">
        <x:f>IF(AE693="prepare_public_github_candidate","add receipt/status then mirror","resolve blocker before any public GitHub action")</x:f>
        <x:v>add receipt/status then mirror</x:v>
      </x:c>
    </x:row>
    <x:row r="694">
      <x:c r="A694" s="15" t="str">
        <x:v>SWARM-05-H10-S09</x:v>
      </x:c>
      <x:c r="B694" s="15" t="str">
        <x:v>Rootglass</x:v>
      </x:c>
      <x:c r="C694" s="15" t="str">
        <x:v>Canon gate mirror</x:v>
      </x:c>
      <x:c r="D694" s="15" t="str">
        <x:v>GitHub Source Packets</x:v>
      </x:c>
      <x:c r="E694" s="15" t="str">
        <x:v>Aetherforge</x:v>
      </x:c>
      <x:c r="F694" s="15" t="str">
        <x:v>Build source packet for Aetherforge — Rootglass</x:v>
      </x:c>
      <x:c r="G694" s="15" t="str">
        <x:v>authority boundaries / ratification packets</x:v>
      </x:c>
      <x:c r="H694" s="15" t="str">
        <x:v>source path + receipt + raw/export status + claim/edge/risk delta</x:v>
      </x:c>
      <x:c r="I694" s="15" t="str">
        <x:v>packet/SWARM-05-H10-S09</x:v>
      </x:c>
      <x:c r="J694" s="15" t="str">
        <x:v>TODO</x:v>
      </x:c>
      <x:c r="K694" s="15" t="str">
        <x:v>P2</x:v>
      </x:c>
      <x:c r="L694" s="15" t="str">
        <x:v>Done only when evidence is logged, contradiction search is noted, and boundary stamp remains non-canon unless ratified</x:v>
      </x:c>
      <x:c r="M694" s="15" t="str">
        <x:v>candidate / staging-only / not canon / not deployed / authority none</x:v>
      </x:c>
      <x:c r="N694" s="15" t="str">
        <x:v>Dispatch to Rootglass: complete GitHub Source Packets x Aetherforge; return deltas only, receipts required.</x:v>
      </x:c>
      <x:c r="O694" s="15" t="str">
        <x:v>AF-KG-H10-S09</x:v>
      </x:c>
      <x:c r="P694" s="15" t="str">
        <x:v>Unverified</x:v>
      </x:c>
      <x:c r="Q694" s="15" t="str">
        <x:v>Not checked</x:v>
      </x:c>
      <x:c r="R694" s="15" t="str"/>
      <x:c r="S694" s="15" t="str"/>
      <x:c r="T694" s="15" t="str">
        <x:v>Log first source path or blocker</x:v>
      </x:c>
      <x:c r="U694" s="12" t="str">
        <x:f>IF(OR(P694="Unverified",Q694="Not checked"),"BLOCKED_PENDING_RECEIPT","READY_FOR_REVIEW")</x:f>
        <x:v>BLOCKED_PENDING_RECEIPT</x:v>
      </x:c>
      <x:c r="V694" s="12" t="str">
        <x:f>IF(J694="DONE","RETURNED",IF(U694="BLOCKED_PENDING_RECEIPT","SOURCE_TOUCH_REQUIRED","IN_PROGRESS"))</x:f>
        <x:v>SOURCE_TOUCH_REQUIRED</x:v>
      </x:c>
      <x:c r="W694" s="12" t="str">
        <x:f>IF(P694="Unverified","missing_receipt","receipt_logged")</x:f>
        <x:v>missing_receipt</x:v>
      </x:c>
      <x:c r="X694" s="12" t="str">
        <x:f>IF(Q694="Not checked","raw_status_missing","raw_status_logged")</x:f>
        <x:v>raw_status_missing</x:v>
      </x:c>
      <x:c r="Y694" s="12" t="str">
        <x:f>IF(U694="BLOCKED_PENDING_RECEIPT","Log source path or blocker; do not promote","Route to review lane")</x:f>
        <x:v>Log source path or blocker; do not promote</x:v>
      </x:c>
      <x:c r="Z694" s="12" t="str">
        <x:f>IF(K694="P0","Primary seat + Hashlight/Lucerna","Seat lane")</x:f>
        <x:v>Seat lane</x:v>
      </x:c>
      <x:c r="AA694" s="12" t="str">
        <x:f>IF(R694="","no_claim_delta","claim_delta_present")</x:f>
        <x:v>no_claim_delta</x:v>
      </x:c>
      <x:c r="AB694" s="12" t="str">
        <x:f>IF(S694="","no_contradiction_delta","contradiction_delta_present")</x:f>
        <x:v>no_contradiction_delta</x:v>
      </x:c>
      <x:c r="AC694" s="12" t="str">
        <x:f>IF(OR(ISNUMBER(SEARCH("hacker",LOWER(F694&amp;" "&amp;H694&amp;" "&amp;I694&amp;" "&amp;M694&amp;" "&amp;N694&amp;" "&amp;T694))),ISNUMBER(SEARCH("hacking",LOWER(F694&amp;" "&amp;H694&amp;" "&amp;I694&amp;" "&amp;M694&amp;" "&amp;N694&amp;" "&amp;T694))),ISNUMBER(SEARCH("bank",LOWER(F694&amp;" "&amp;H694&amp;" "&amp;I694&amp;" "&amp;M694&amp;" "&amp;N694&amp;" "&amp;T694))),ISNUMBER(SEARCH("banking",LOWER(F694&amp;" "&amp;H694&amp;" "&amp;I694&amp;" "&amp;M694&amp;" "&amp;N694&amp;" "&amp;T694)))),"PRIVATE_QUARANTINE",IF(OR(ISNUMBER(SEARCH("treasury",LOWER(F694&amp;" "&amp;H694&amp;" "&amp;I694&amp;" "&amp;M694&amp;" "&amp;N694&amp;" "&amp;T694))),ISNUMBER(SEARCH("debt",LOWER(F694&amp;" "&amp;H694&amp;" "&amp;I694&amp;" "&amp;M694&amp;" "&amp;N694&amp;" "&amp;T694))),ISNUMBER(SEARCH("bond",LOWER(F694&amp;" "&amp;H694&amp;" "&amp;I694&amp;" "&amp;M694&amp;" "&amp;N694&amp;" "&amp;T694))),ISNUMBER(SEARCH("transaction",LOWER(F694&amp;" "&amp;H694&amp;" "&amp;I694&amp;" "&amp;M694&amp;" "&amp;N694&amp;" "&amp;T694)))),"PRIVATE_REVIEW","PUBLIC_CANDIDATE"))</x:f>
        <x:v>PUBLIC_CANDIDATE</x:v>
      </x:c>
      <x:c r="AD694" s="12" t="str">
        <x:f>IF(AC694="PRIVATE_QUARANTINE","hacker_or_bank_trigger",IF(AC694="PRIVATE_REVIEW","finance_risk_trigger","none"))</x:f>
        <x:v>none</x:v>
      </x:c>
      <x:c r="AE694" s="12" t="str">
        <x:f>IF(AC694="PUBLIC_CANDIDATE","prepare_public_github_candidate",IF(AC694="PRIVATE_REVIEW","hold_for_private_review","quarantine_private_do_not_publish"))</x:f>
        <x:v>prepare_public_github_candidate</x:v>
      </x:c>
      <x:c r="AF694" s="12" t="str">
        <x:f>IF(AC694="PUBLIC_CANDIDATE","TIDELOCK + Lucerna",IF(AC694="PRIVATE_REVIEW","AtlasBrain + Lucerna","TIDELOCK + Lucerna + Human-root"))</x:f>
        <x:v>TIDELOCK + Lucerna</x:v>
      </x:c>
      <x:c r="AG694" s="12" t="str">
        <x:f>IF(AND(AC694="PUBLIC_CANDIDATE",U694&lt;&gt;"BLOCKED_PENDING_RECEIPT"),"READY_AFTER_RECEIPT","NOT_READY")</x:f>
        <x:v>NOT_READY</x:v>
      </x:c>
      <x:c r="AH694" s="12" t="str">
        <x:f>IF(AC694="PUBLIC_CANDIDATE","none",AD694)</x:f>
        <x:v>none</x:v>
      </x:c>
      <x:c r="AI694" s="12" t="str">
        <x:f>IF(AC694="PUBLIC_CANDIDATE","archive/public_candidates/"&amp;A694,"private_quarantine/"&amp;A694)</x:f>
        <x:v>archive/public_candidates/SWARM-05-H10-S09</x:v>
      </x:c>
      <x:c r="AJ694" s="12" t="str">
        <x:f>IF(AC694="PUBLIC_CANDIDATE","public by default; still not canon","private/hold; do not publish")</x:f>
        <x:v>public by default; still not canon</x:v>
      </x:c>
      <x:c r="AK694" s="12" t="str">
        <x:f>IF(AE694="prepare_public_github_candidate","add receipt/status then mirror","resolve blocker before any public GitHub action")</x:f>
        <x:v>add receipt/status then mirror</x:v>
      </x:c>
    </x:row>
    <x:row r="695">
      <x:c r="A695" s="15" t="str">
        <x:v>SWARM-05-H10-S10</x:v>
      </x:c>
      <x:c r="B695" s="15" t="str">
        <x:v>Rootglass</x:v>
      </x:c>
      <x:c r="C695" s="15" t="str">
        <x:v>Canon gate mirror</x:v>
      </x:c>
      <x:c r="D695" s="15" t="str">
        <x:v>GitHub Source Packets</x:v>
      </x:c>
      <x:c r="E695" s="15" t="str">
        <x:v>Human-Root</x:v>
      </x:c>
      <x:c r="F695" s="15" t="str">
        <x:v>Build source packet for Human-Root — Rootglass</x:v>
      </x:c>
      <x:c r="G695" s="15" t="str">
        <x:v>authority boundaries / ratification packets</x:v>
      </x:c>
      <x:c r="H695" s="15" t="str">
        <x:v>source path + receipt + raw/export status + claim/edge/risk delta</x:v>
      </x:c>
      <x:c r="I695" s="15" t="str">
        <x:v>packet/SWARM-05-H10-S10</x:v>
      </x:c>
      <x:c r="J695" s="15" t="str">
        <x:v>TODO</x:v>
      </x:c>
      <x:c r="K695" s="15" t="str">
        <x:v>P2</x:v>
      </x:c>
      <x:c r="L695" s="15" t="str">
        <x:v>Done only when evidence is logged, contradiction search is noted, and boundary stamp remains non-canon unless ratified</x:v>
      </x:c>
      <x:c r="M695" s="15" t="str">
        <x:v>candidate / staging-only / not canon / not deployed / authority none</x:v>
      </x:c>
      <x:c r="N695" s="15" t="str">
        <x:v>Dispatch to Rootglass: complete GitHub Source Packets x Human-Root; return deltas only, receipts required.</x:v>
      </x:c>
      <x:c r="O695" s="15" t="str">
        <x:v>AF-KG-H10-S10</x:v>
      </x:c>
      <x:c r="P695" s="15" t="str">
        <x:v>Unverified</x:v>
      </x:c>
      <x:c r="Q695" s="15" t="str">
        <x:v>Not checked</x:v>
      </x:c>
      <x:c r="R695" s="15" t="str"/>
      <x:c r="S695" s="15" t="str"/>
      <x:c r="T695" s="15" t="str">
        <x:v>Log first source path or blocker</x:v>
      </x:c>
      <x:c r="U695" s="12" t="str">
        <x:f>IF(OR(P695="Unverified",Q695="Not checked"),"BLOCKED_PENDING_RECEIPT","READY_FOR_REVIEW")</x:f>
        <x:v>BLOCKED_PENDING_RECEIPT</x:v>
      </x:c>
      <x:c r="V695" s="12" t="str">
        <x:f>IF(J695="DONE","RETURNED",IF(U695="BLOCKED_PENDING_RECEIPT","SOURCE_TOUCH_REQUIRED","IN_PROGRESS"))</x:f>
        <x:v>SOURCE_TOUCH_REQUIRED</x:v>
      </x:c>
      <x:c r="W695" s="12" t="str">
        <x:f>IF(P695="Unverified","missing_receipt","receipt_logged")</x:f>
        <x:v>missing_receipt</x:v>
      </x:c>
      <x:c r="X695" s="12" t="str">
        <x:f>IF(Q695="Not checked","raw_status_missing","raw_status_logged")</x:f>
        <x:v>raw_status_missing</x:v>
      </x:c>
      <x:c r="Y695" s="12" t="str">
        <x:f>IF(U695="BLOCKED_PENDING_RECEIPT","Log source path or blocker; do not promote","Route to review lane")</x:f>
        <x:v>Log source path or blocker; do not promote</x:v>
      </x:c>
      <x:c r="Z695" s="12" t="str">
        <x:f>IF(K695="P0","Primary seat + Hashlight/Lucerna","Seat lane")</x:f>
        <x:v>Seat lane</x:v>
      </x:c>
      <x:c r="AA695" s="12" t="str">
        <x:f>IF(R695="","no_claim_delta","claim_delta_present")</x:f>
        <x:v>no_claim_delta</x:v>
      </x:c>
      <x:c r="AB695" s="12" t="str">
        <x:f>IF(S695="","no_contradiction_delta","contradiction_delta_present")</x:f>
        <x:v>no_contradiction_delta</x:v>
      </x:c>
      <x:c r="AC695" s="12" t="str">
        <x:f>IF(OR(ISNUMBER(SEARCH("hacker",LOWER(F695&amp;" "&amp;H695&amp;" "&amp;I695&amp;" "&amp;M695&amp;" "&amp;N695&amp;" "&amp;T695))),ISNUMBER(SEARCH("hacking",LOWER(F695&amp;" "&amp;H695&amp;" "&amp;I695&amp;" "&amp;M695&amp;" "&amp;N695&amp;" "&amp;T695))),ISNUMBER(SEARCH("bank",LOWER(F695&amp;" "&amp;H695&amp;" "&amp;I695&amp;" "&amp;M695&amp;" "&amp;N695&amp;" "&amp;T695))),ISNUMBER(SEARCH("banking",LOWER(F695&amp;" "&amp;H695&amp;" "&amp;I695&amp;" "&amp;M695&amp;" "&amp;N695&amp;" "&amp;T695)))),"PRIVATE_QUARANTINE",IF(OR(ISNUMBER(SEARCH("treasury",LOWER(F695&amp;" "&amp;H695&amp;" "&amp;I695&amp;" "&amp;M695&amp;" "&amp;N695&amp;" "&amp;T695))),ISNUMBER(SEARCH("debt",LOWER(F695&amp;" "&amp;H695&amp;" "&amp;I695&amp;" "&amp;M695&amp;" "&amp;N695&amp;" "&amp;T695))),ISNUMBER(SEARCH("bond",LOWER(F695&amp;" "&amp;H695&amp;" "&amp;I695&amp;" "&amp;M695&amp;" "&amp;N695&amp;" "&amp;T695))),ISNUMBER(SEARCH("transaction",LOWER(F695&amp;" "&amp;H695&amp;" "&amp;I695&amp;" "&amp;M695&amp;" "&amp;N695&amp;" "&amp;T695)))),"PRIVATE_REVIEW","PUBLIC_CANDIDATE"))</x:f>
        <x:v>PUBLIC_CANDIDATE</x:v>
      </x:c>
      <x:c r="AD695" s="12" t="str">
        <x:f>IF(AC695="PRIVATE_QUARANTINE","hacker_or_bank_trigger",IF(AC695="PRIVATE_REVIEW","finance_risk_trigger","none"))</x:f>
        <x:v>none</x:v>
      </x:c>
      <x:c r="AE695" s="12" t="str">
        <x:f>IF(AC695="PUBLIC_CANDIDATE","prepare_public_github_candidate",IF(AC695="PRIVATE_REVIEW","hold_for_private_review","quarantine_private_do_not_publish"))</x:f>
        <x:v>prepare_public_github_candidate</x:v>
      </x:c>
      <x:c r="AF695" s="12" t="str">
        <x:f>IF(AC695="PUBLIC_CANDIDATE","TIDELOCK + Lucerna",IF(AC695="PRIVATE_REVIEW","AtlasBrain + Lucerna","TIDELOCK + Lucerna + Human-root"))</x:f>
        <x:v>TIDELOCK + Lucerna</x:v>
      </x:c>
      <x:c r="AG695" s="12" t="str">
        <x:f>IF(AND(AC695="PUBLIC_CANDIDATE",U695&lt;&gt;"BLOCKED_PENDING_RECEIPT"),"READY_AFTER_RECEIPT","NOT_READY")</x:f>
        <x:v>NOT_READY</x:v>
      </x:c>
      <x:c r="AH695" s="12" t="str">
        <x:f>IF(AC695="PUBLIC_CANDIDATE","none",AD695)</x:f>
        <x:v>none</x:v>
      </x:c>
      <x:c r="AI695" s="12" t="str">
        <x:f>IF(AC695="PUBLIC_CANDIDATE","archive/public_candidates/"&amp;A695,"private_quarantine/"&amp;A695)</x:f>
        <x:v>archive/public_candidates/SWARM-05-H10-S10</x:v>
      </x:c>
      <x:c r="AJ695" s="12" t="str">
        <x:f>IF(AC695="PUBLIC_CANDIDATE","public by default; still not canon","private/hold; do not publish")</x:f>
        <x:v>public by default; still not canon</x:v>
      </x:c>
      <x:c r="AK695" s="12" t="str">
        <x:f>IF(AE695="prepare_public_github_candidate","add receipt/status then mirror","resolve blocker before any public GitHub action")</x:f>
        <x:v>add receipt/status then mirror</x:v>
      </x:c>
    </x:row>
    <x:row r="696">
      <x:c r="A696" s="15" t="str">
        <x:v>SWARM-05-H10-S11</x:v>
      </x:c>
      <x:c r="B696" s="15" t="str">
        <x:v>Rootglass</x:v>
      </x:c>
      <x:c r="C696" s="15" t="str">
        <x:v>Canon gate mirror</x:v>
      </x:c>
      <x:c r="D696" s="15" t="str">
        <x:v>GitHub Source Packets</x:v>
      </x:c>
      <x:c r="E696" s="15" t="str">
        <x:v>Automation</x:v>
      </x:c>
      <x:c r="F696" s="15" t="str">
        <x:v>Build source packet for Automation — Rootglass</x:v>
      </x:c>
      <x:c r="G696" s="15" t="str">
        <x:v>authority boundaries / ratification packets</x:v>
      </x:c>
      <x:c r="H696" s="15" t="str">
        <x:v>source path + receipt + raw/export status + claim/edge/risk delta</x:v>
      </x:c>
      <x:c r="I696" s="15" t="str">
        <x:v>packet/SWARM-05-H10-S11</x:v>
      </x:c>
      <x:c r="J696" s="15" t="str">
        <x:v>TODO</x:v>
      </x:c>
      <x:c r="K696" s="15" t="str">
        <x:v>P2</x:v>
      </x:c>
      <x:c r="L696" s="15" t="str">
        <x:v>Done only when evidence is logged, contradiction search is noted, and boundary stamp remains non-canon unless ratified</x:v>
      </x:c>
      <x:c r="M696" s="15" t="str">
        <x:v>candidate / staging-only / not canon / not deployed / authority none</x:v>
      </x:c>
      <x:c r="N696" s="15" t="str">
        <x:v>Dispatch to Rootglass: complete GitHub Source Packets x Automation; return deltas only, receipts required.</x:v>
      </x:c>
      <x:c r="O696" s="15" t="str">
        <x:v>AF-KG-H10-S11</x:v>
      </x:c>
      <x:c r="P696" s="15" t="str">
        <x:v>Unverified</x:v>
      </x:c>
      <x:c r="Q696" s="15" t="str">
        <x:v>Not checked</x:v>
      </x:c>
      <x:c r="R696" s="15" t="str"/>
      <x:c r="S696" s="15" t="str"/>
      <x:c r="T696" s="15" t="str">
        <x:v>Log first source path or blocker</x:v>
      </x:c>
      <x:c r="U696" s="12" t="str">
        <x:f>IF(OR(P696="Unverified",Q696="Not checked"),"BLOCKED_PENDING_RECEIPT","READY_FOR_REVIEW")</x:f>
        <x:v>BLOCKED_PENDING_RECEIPT</x:v>
      </x:c>
      <x:c r="V696" s="12" t="str">
        <x:f>IF(J696="DONE","RETURNED",IF(U696="BLOCKED_PENDING_RECEIPT","SOURCE_TOUCH_REQUIRED","IN_PROGRESS"))</x:f>
        <x:v>SOURCE_TOUCH_REQUIRED</x:v>
      </x:c>
      <x:c r="W696" s="12" t="str">
        <x:f>IF(P696="Unverified","missing_receipt","receipt_logged")</x:f>
        <x:v>missing_receipt</x:v>
      </x:c>
      <x:c r="X696" s="12" t="str">
        <x:f>IF(Q696="Not checked","raw_status_missing","raw_status_logged")</x:f>
        <x:v>raw_status_missing</x:v>
      </x:c>
      <x:c r="Y696" s="12" t="str">
        <x:f>IF(U696="BLOCKED_PENDING_RECEIPT","Log source path or blocker; do not promote","Route to review lane")</x:f>
        <x:v>Log source path or blocker; do not promote</x:v>
      </x:c>
      <x:c r="Z696" s="12" t="str">
        <x:f>IF(K696="P0","Primary seat + Hashlight/Lucerna","Seat lane")</x:f>
        <x:v>Seat lane</x:v>
      </x:c>
      <x:c r="AA696" s="12" t="str">
        <x:f>IF(R696="","no_claim_delta","claim_delta_present")</x:f>
        <x:v>no_claim_delta</x:v>
      </x:c>
      <x:c r="AB696" s="12" t="str">
        <x:f>IF(S696="","no_contradiction_delta","contradiction_delta_present")</x:f>
        <x:v>no_contradiction_delta</x:v>
      </x:c>
      <x:c r="AC696" s="12" t="str">
        <x:f>IF(OR(ISNUMBER(SEARCH("hacker",LOWER(F696&amp;" "&amp;H696&amp;" "&amp;I696&amp;" "&amp;M696&amp;" "&amp;N696&amp;" "&amp;T696))),ISNUMBER(SEARCH("hacking",LOWER(F696&amp;" "&amp;H696&amp;" "&amp;I696&amp;" "&amp;M696&amp;" "&amp;N696&amp;" "&amp;T696))),ISNUMBER(SEARCH("bank",LOWER(F696&amp;" "&amp;H696&amp;" "&amp;I696&amp;" "&amp;M696&amp;" "&amp;N696&amp;" "&amp;T696))),ISNUMBER(SEARCH("banking",LOWER(F696&amp;" "&amp;H696&amp;" "&amp;I696&amp;" "&amp;M696&amp;" "&amp;N696&amp;" "&amp;T696)))),"PRIVATE_QUARANTINE",IF(OR(ISNUMBER(SEARCH("treasury",LOWER(F696&amp;" "&amp;H696&amp;" "&amp;I696&amp;" "&amp;M696&amp;" "&amp;N696&amp;" "&amp;T696))),ISNUMBER(SEARCH("debt",LOWER(F696&amp;" "&amp;H696&amp;" "&amp;I696&amp;" "&amp;M696&amp;" "&amp;N696&amp;" "&amp;T696))),ISNUMBER(SEARCH("bond",LOWER(F696&amp;" "&amp;H696&amp;" "&amp;I696&amp;" "&amp;M696&amp;" "&amp;N696&amp;" "&amp;T696))),ISNUMBER(SEARCH("transaction",LOWER(F696&amp;" "&amp;H696&amp;" "&amp;I696&amp;" "&amp;M696&amp;" "&amp;N696&amp;" "&amp;T696)))),"PRIVATE_REVIEW","PUBLIC_CANDIDATE"))</x:f>
        <x:v>PUBLIC_CANDIDATE</x:v>
      </x:c>
      <x:c r="AD696" s="12" t="str">
        <x:f>IF(AC696="PRIVATE_QUARANTINE","hacker_or_bank_trigger",IF(AC696="PRIVATE_REVIEW","finance_risk_trigger","none"))</x:f>
        <x:v>none</x:v>
      </x:c>
      <x:c r="AE696" s="12" t="str">
        <x:f>IF(AC696="PUBLIC_CANDIDATE","prepare_public_github_candidate",IF(AC696="PRIVATE_REVIEW","hold_for_private_review","quarantine_private_do_not_publish"))</x:f>
        <x:v>prepare_public_github_candidate</x:v>
      </x:c>
      <x:c r="AF696" s="12" t="str">
        <x:f>IF(AC696="PUBLIC_CANDIDATE","TIDELOCK + Lucerna",IF(AC696="PRIVATE_REVIEW","AtlasBrain + Lucerna","TIDELOCK + Lucerna + Human-root"))</x:f>
        <x:v>TIDELOCK + Lucerna</x:v>
      </x:c>
      <x:c r="AG696" s="12" t="str">
        <x:f>IF(AND(AC696="PUBLIC_CANDIDATE",U696&lt;&gt;"BLOCKED_PENDING_RECEIPT"),"READY_AFTER_RECEIPT","NOT_READY")</x:f>
        <x:v>NOT_READY</x:v>
      </x:c>
      <x:c r="AH696" s="12" t="str">
        <x:f>IF(AC696="PUBLIC_CANDIDATE","none",AD696)</x:f>
        <x:v>none</x:v>
      </x:c>
      <x:c r="AI696" s="12" t="str">
        <x:f>IF(AC696="PUBLIC_CANDIDATE","archive/public_candidates/"&amp;A696,"private_quarantine/"&amp;A696)</x:f>
        <x:v>archive/public_candidates/SWARM-05-H10-S11</x:v>
      </x:c>
      <x:c r="AJ696" s="12" t="str">
        <x:f>IF(AC696="PUBLIC_CANDIDATE","public by default; still not canon","private/hold; do not publish")</x:f>
        <x:v>public by default; still not canon</x:v>
      </x:c>
      <x:c r="AK696" s="12" t="str">
        <x:f>IF(AE696="prepare_public_github_candidate","add receipt/status then mirror","resolve blocker before any public GitHub action")</x:f>
        <x:v>add receipt/status then mirror</x:v>
      </x:c>
    </x:row>
    <x:row r="697">
      <x:c r="A697" s="15" t="str">
        <x:v>SWARM-05-H10-S12</x:v>
      </x:c>
      <x:c r="B697" s="15" t="str">
        <x:v>Rootglass</x:v>
      </x:c>
      <x:c r="C697" s="15" t="str">
        <x:v>Canon gate mirror</x:v>
      </x:c>
      <x:c r="D697" s="15" t="str">
        <x:v>GitHub Source Packets</x:v>
      </x:c>
      <x:c r="E697" s="15" t="str">
        <x:v>Risk / Safety</x:v>
      </x:c>
      <x:c r="F697" s="15" t="str">
        <x:v>Build source packet for Risk / Safety — Rootglass</x:v>
      </x:c>
      <x:c r="G697" s="15" t="str">
        <x:v>authority boundaries / ratification packets</x:v>
      </x:c>
      <x:c r="H697" s="15" t="str">
        <x:v>source path + receipt + raw/export status + claim/edge/risk delta</x:v>
      </x:c>
      <x:c r="I697" s="15" t="str">
        <x:v>packet/SWARM-05-H10-S12</x:v>
      </x:c>
      <x:c r="J697" s="15" t="str">
        <x:v>TODO</x:v>
      </x:c>
      <x:c r="K697" s="15" t="str">
        <x:v>P2</x:v>
      </x:c>
      <x:c r="L697" s="15" t="str">
        <x:v>Done only when evidence is logged, contradiction search is noted, and boundary stamp remains non-canon unless ratified</x:v>
      </x:c>
      <x:c r="M697" s="15" t="str">
        <x:v>candidate / staging-only / not canon / not deployed / authority none</x:v>
      </x:c>
      <x:c r="N697" s="15" t="str">
        <x:v>Dispatch to Rootglass: complete GitHub Source Packets x Risk / Safety; return deltas only, receipts required.</x:v>
      </x:c>
      <x:c r="O697" s="15" t="str">
        <x:v>AF-KG-H10-S12</x:v>
      </x:c>
      <x:c r="P697" s="15" t="str">
        <x:v>Unverified</x:v>
      </x:c>
      <x:c r="Q697" s="15" t="str">
        <x:v>Not checked</x:v>
      </x:c>
      <x:c r="R697" s="15" t="str"/>
      <x:c r="S697" s="15" t="str"/>
      <x:c r="T697" s="15" t="str">
        <x:v>Log first source path or blocker</x:v>
      </x:c>
      <x:c r="U697" s="12" t="str">
        <x:f>IF(OR(P697="Unverified",Q697="Not checked"),"BLOCKED_PENDING_RECEIPT","READY_FOR_REVIEW")</x:f>
        <x:v>BLOCKED_PENDING_RECEIPT</x:v>
      </x:c>
      <x:c r="V697" s="12" t="str">
        <x:f>IF(J697="DONE","RETURNED",IF(U697="BLOCKED_PENDING_RECEIPT","SOURCE_TOUCH_REQUIRED","IN_PROGRESS"))</x:f>
        <x:v>SOURCE_TOUCH_REQUIRED</x:v>
      </x:c>
      <x:c r="W697" s="12" t="str">
        <x:f>IF(P697="Unverified","missing_receipt","receipt_logged")</x:f>
        <x:v>missing_receipt</x:v>
      </x:c>
      <x:c r="X697" s="12" t="str">
        <x:f>IF(Q697="Not checked","raw_status_missing","raw_status_logged")</x:f>
        <x:v>raw_status_missing</x:v>
      </x:c>
      <x:c r="Y697" s="12" t="str">
        <x:f>IF(U697="BLOCKED_PENDING_RECEIPT","Log source path or blocker; do not promote","Route to review lane")</x:f>
        <x:v>Log source path or blocker; do not promote</x:v>
      </x:c>
      <x:c r="Z697" s="12" t="str">
        <x:f>IF(K697="P0","Primary seat + Hashlight/Lucerna","Seat lane")</x:f>
        <x:v>Seat lane</x:v>
      </x:c>
      <x:c r="AA697" s="12" t="str">
        <x:f>IF(R697="","no_claim_delta","claim_delta_present")</x:f>
        <x:v>no_claim_delta</x:v>
      </x:c>
      <x:c r="AB697" s="12" t="str">
        <x:f>IF(S697="","no_contradiction_delta","contradiction_delta_present")</x:f>
        <x:v>no_contradiction_delta</x:v>
      </x:c>
      <x:c r="AC697" s="12" t="str">
        <x:f>IF(OR(ISNUMBER(SEARCH("hacker",LOWER(F697&amp;" "&amp;H697&amp;" "&amp;I697&amp;" "&amp;M697&amp;" "&amp;N697&amp;" "&amp;T697))),ISNUMBER(SEARCH("hacking",LOWER(F697&amp;" "&amp;H697&amp;" "&amp;I697&amp;" "&amp;M697&amp;" "&amp;N697&amp;" "&amp;T697))),ISNUMBER(SEARCH("bank",LOWER(F697&amp;" "&amp;H697&amp;" "&amp;I697&amp;" "&amp;M697&amp;" "&amp;N697&amp;" "&amp;T697))),ISNUMBER(SEARCH("banking",LOWER(F697&amp;" "&amp;H697&amp;" "&amp;I697&amp;" "&amp;M697&amp;" "&amp;N697&amp;" "&amp;T697)))),"PRIVATE_QUARANTINE",IF(OR(ISNUMBER(SEARCH("treasury",LOWER(F697&amp;" "&amp;H697&amp;" "&amp;I697&amp;" "&amp;M697&amp;" "&amp;N697&amp;" "&amp;T697))),ISNUMBER(SEARCH("debt",LOWER(F697&amp;" "&amp;H697&amp;" "&amp;I697&amp;" "&amp;M697&amp;" "&amp;N697&amp;" "&amp;T697))),ISNUMBER(SEARCH("bond",LOWER(F697&amp;" "&amp;H697&amp;" "&amp;I697&amp;" "&amp;M697&amp;" "&amp;N697&amp;" "&amp;T697))),ISNUMBER(SEARCH("transaction",LOWER(F697&amp;" "&amp;H697&amp;" "&amp;I697&amp;" "&amp;M697&amp;" "&amp;N697&amp;" "&amp;T697)))),"PRIVATE_REVIEW","PUBLIC_CANDIDATE"))</x:f>
        <x:v>PUBLIC_CANDIDATE</x:v>
      </x:c>
      <x:c r="AD697" s="12" t="str">
        <x:f>IF(AC697="PRIVATE_QUARANTINE","hacker_or_bank_trigger",IF(AC697="PRIVATE_REVIEW","finance_risk_trigger","none"))</x:f>
        <x:v>none</x:v>
      </x:c>
      <x:c r="AE697" s="12" t="str">
        <x:f>IF(AC697="PUBLIC_CANDIDATE","prepare_public_github_candidate",IF(AC697="PRIVATE_REVIEW","hold_for_private_review","quarantine_private_do_not_publish"))</x:f>
        <x:v>prepare_public_github_candidate</x:v>
      </x:c>
      <x:c r="AF697" s="12" t="str">
        <x:f>IF(AC697="PUBLIC_CANDIDATE","TIDELOCK + Lucerna",IF(AC697="PRIVATE_REVIEW","AtlasBrain + Lucerna","TIDELOCK + Lucerna + Human-root"))</x:f>
        <x:v>TIDELOCK + Lucerna</x:v>
      </x:c>
      <x:c r="AG697" s="12" t="str">
        <x:f>IF(AND(AC697="PUBLIC_CANDIDATE",U697&lt;&gt;"BLOCKED_PENDING_RECEIPT"),"READY_AFTER_RECEIPT","NOT_READY")</x:f>
        <x:v>NOT_READY</x:v>
      </x:c>
      <x:c r="AH697" s="12" t="str">
        <x:f>IF(AC697="PUBLIC_CANDIDATE","none",AD697)</x:f>
        <x:v>none</x:v>
      </x:c>
      <x:c r="AI697" s="12" t="str">
        <x:f>IF(AC697="PUBLIC_CANDIDATE","archive/public_candidates/"&amp;A697,"private_quarantine/"&amp;A697)</x:f>
        <x:v>archive/public_candidates/SWARM-05-H10-S12</x:v>
      </x:c>
      <x:c r="AJ697" s="12" t="str">
        <x:f>IF(AC697="PUBLIC_CANDIDATE","public by default; still not canon","private/hold; do not publish")</x:f>
        <x:v>public by default; still not canon</x:v>
      </x:c>
      <x:c r="AK697" s="12" t="str">
        <x:f>IF(AE697="prepare_public_github_candidate","add receipt/status then mirror","resolve blocker before any public GitHub action")</x:f>
        <x:v>add receipt/status then mirror</x:v>
      </x:c>
    </x:row>
    <x:row r="698">
      <x:c r="A698" s="15" t="str">
        <x:v>SWARM-05-H11-S01</x:v>
      </x:c>
      <x:c r="B698" s="15" t="str">
        <x:v>Rootglass</x:v>
      </x:c>
      <x:c r="C698" s="15" t="str">
        <x:v>Canon gate mirror</x:v>
      </x:c>
      <x:c r="D698" s="15" t="str">
        <x:v>Aetherforge UX</x:v>
      </x:c>
      <x:c r="E698" s="15" t="str">
        <x:v>Notion</x:v>
      </x:c>
      <x:c r="F698" s="15" t="str">
        <x:v>Design quest card for Notion — Rootglass</x:v>
      </x:c>
      <x:c r="G698" s="15" t="str">
        <x:v>authority boundaries / ratification packets</x:v>
      </x:c>
      <x:c r="H698" s="15" t="str">
        <x:v>source path + receipt + raw/export status + claim/edge/risk delta</x:v>
      </x:c>
      <x:c r="I698" s="15" t="str">
        <x:v>packet/SWARM-05-H11-S01</x:v>
      </x:c>
      <x:c r="J698" s="15" t="str">
        <x:v>TODO</x:v>
      </x:c>
      <x:c r="K698" s="15" t="str">
        <x:v>P0</x:v>
      </x:c>
      <x:c r="L698" s="15" t="str">
        <x:v>Done only when evidence is logged, contradiction search is noted, and boundary stamp remains non-canon unless ratified</x:v>
      </x:c>
      <x:c r="M698" s="15" t="str">
        <x:v>candidate / staging-only / not canon / not deployed / authority none</x:v>
      </x:c>
      <x:c r="N698" s="15" t="str">
        <x:v>Dispatch to Rootglass: complete Aetherforge UX x Notion; return deltas only, receipts required.</x:v>
      </x:c>
      <x:c r="O698" s="15" t="str">
        <x:v>AF-KG-H11-S01</x:v>
      </x:c>
      <x:c r="P698" s="15" t="str">
        <x:v>Unverified</x:v>
      </x:c>
      <x:c r="Q698" s="15" t="str">
        <x:v>Not checked</x:v>
      </x:c>
      <x:c r="R698" s="15" t="str"/>
      <x:c r="S698" s="15" t="str"/>
      <x:c r="T698" s="15" t="str">
        <x:v>Log first source path or blocker</x:v>
      </x:c>
      <x:c r="U698" s="12" t="str">
        <x:f>IF(OR(P698="Unverified",Q698="Not checked"),"BLOCKED_PENDING_RECEIPT","READY_FOR_REVIEW")</x:f>
        <x:v>BLOCKED_PENDING_RECEIPT</x:v>
      </x:c>
      <x:c r="V698" s="12" t="str">
        <x:f>IF(J698="DONE","RETURNED",IF(U698="BLOCKED_PENDING_RECEIPT","SOURCE_TOUCH_REQUIRED","IN_PROGRESS"))</x:f>
        <x:v>SOURCE_TOUCH_REQUIRED</x:v>
      </x:c>
      <x:c r="W698" s="12" t="str">
        <x:f>IF(P698="Unverified","missing_receipt","receipt_logged")</x:f>
        <x:v>missing_receipt</x:v>
      </x:c>
      <x:c r="X698" s="12" t="str">
        <x:f>IF(Q698="Not checked","raw_status_missing","raw_status_logged")</x:f>
        <x:v>raw_status_missing</x:v>
      </x:c>
      <x:c r="Y698" s="12" t="str">
        <x:f>IF(U698="BLOCKED_PENDING_RECEIPT","Log source path or blocker; do not promote","Route to review lane")</x:f>
        <x:v>Log source path or blocker; do not promote</x:v>
      </x:c>
      <x:c r="Z698" s="12" t="str">
        <x:f>IF(K698="P0","Primary seat + Hashlight/Lucerna","Seat lane")</x:f>
        <x:v>Primary seat + Hashlight/Lucerna</x:v>
      </x:c>
      <x:c r="AA698" s="12" t="str">
        <x:f>IF(R698="","no_claim_delta","claim_delta_present")</x:f>
        <x:v>no_claim_delta</x:v>
      </x:c>
      <x:c r="AB698" s="12" t="str">
        <x:f>IF(S698="","no_contradiction_delta","contradiction_delta_present")</x:f>
        <x:v>no_contradiction_delta</x:v>
      </x:c>
      <x:c r="AC698" s="12" t="str">
        <x:f>IF(OR(ISNUMBER(SEARCH("hacker",LOWER(F698&amp;" "&amp;H698&amp;" "&amp;I698&amp;" "&amp;M698&amp;" "&amp;N698&amp;" "&amp;T698))),ISNUMBER(SEARCH("hacking",LOWER(F698&amp;" "&amp;H698&amp;" "&amp;I698&amp;" "&amp;M698&amp;" "&amp;N698&amp;" "&amp;T698))),ISNUMBER(SEARCH("bank",LOWER(F698&amp;" "&amp;H698&amp;" "&amp;I698&amp;" "&amp;M698&amp;" "&amp;N698&amp;" "&amp;T698))),ISNUMBER(SEARCH("banking",LOWER(F698&amp;" "&amp;H698&amp;" "&amp;I698&amp;" "&amp;M698&amp;" "&amp;N698&amp;" "&amp;T698)))),"PRIVATE_QUARANTINE",IF(OR(ISNUMBER(SEARCH("treasury",LOWER(F698&amp;" "&amp;H698&amp;" "&amp;I698&amp;" "&amp;M698&amp;" "&amp;N698&amp;" "&amp;T698))),ISNUMBER(SEARCH("debt",LOWER(F698&amp;" "&amp;H698&amp;" "&amp;I698&amp;" "&amp;M698&amp;" "&amp;N698&amp;" "&amp;T698))),ISNUMBER(SEARCH("bond",LOWER(F698&amp;" "&amp;H698&amp;" "&amp;I698&amp;" "&amp;M698&amp;" "&amp;N698&amp;" "&amp;T698))),ISNUMBER(SEARCH("transaction",LOWER(F698&amp;" "&amp;H698&amp;" "&amp;I698&amp;" "&amp;M698&amp;" "&amp;N698&amp;" "&amp;T698)))),"PRIVATE_REVIEW","PUBLIC_CANDIDATE"))</x:f>
        <x:v>PUBLIC_CANDIDATE</x:v>
      </x:c>
      <x:c r="AD698" s="12" t="str">
        <x:f>IF(AC698="PRIVATE_QUARANTINE","hacker_or_bank_trigger",IF(AC698="PRIVATE_REVIEW","finance_risk_trigger","none"))</x:f>
        <x:v>none</x:v>
      </x:c>
      <x:c r="AE698" s="12" t="str">
        <x:f>IF(AC698="PUBLIC_CANDIDATE","prepare_public_github_candidate",IF(AC698="PRIVATE_REVIEW","hold_for_private_review","quarantine_private_do_not_publish"))</x:f>
        <x:v>prepare_public_github_candidate</x:v>
      </x:c>
      <x:c r="AF698" s="12" t="str">
        <x:f>IF(AC698="PUBLIC_CANDIDATE","TIDELOCK + Lucerna",IF(AC698="PRIVATE_REVIEW","AtlasBrain + Lucerna","TIDELOCK + Lucerna + Human-root"))</x:f>
        <x:v>TIDELOCK + Lucerna</x:v>
      </x:c>
      <x:c r="AG698" s="12" t="str">
        <x:f>IF(AND(AC698="PUBLIC_CANDIDATE",U698&lt;&gt;"BLOCKED_PENDING_RECEIPT"),"READY_AFTER_RECEIPT","NOT_READY")</x:f>
        <x:v>NOT_READY</x:v>
      </x:c>
      <x:c r="AH698" s="12" t="str">
        <x:f>IF(AC698="PUBLIC_CANDIDATE","none",AD698)</x:f>
        <x:v>none</x:v>
      </x:c>
      <x:c r="AI698" s="12" t="str">
        <x:f>IF(AC698="PUBLIC_CANDIDATE","archive/public_candidates/"&amp;A698,"private_quarantine/"&amp;A698)</x:f>
        <x:v>archive/public_candidates/SWARM-05-H11-S01</x:v>
      </x:c>
      <x:c r="AJ698" s="12" t="str">
        <x:f>IF(AC698="PUBLIC_CANDIDATE","public by default; still not canon","private/hold; do not publish")</x:f>
        <x:v>public by default; still not canon</x:v>
      </x:c>
      <x:c r="AK698" s="12" t="str">
        <x:f>IF(AE698="prepare_public_github_candidate","add receipt/status then mirror","resolve blocker before any public GitHub action")</x:f>
        <x:v>add receipt/status then mirror</x:v>
      </x:c>
    </x:row>
    <x:row r="699">
      <x:c r="A699" s="15" t="str">
        <x:v>SWARM-05-H11-S02</x:v>
      </x:c>
      <x:c r="B699" s="15" t="str">
        <x:v>Rootglass</x:v>
      </x:c>
      <x:c r="C699" s="15" t="str">
        <x:v>Canon gate mirror</x:v>
      </x:c>
      <x:c r="D699" s="15" t="str">
        <x:v>Aetherforge UX</x:v>
      </x:c>
      <x:c r="E699" s="15" t="str">
        <x:v>Drive</x:v>
      </x:c>
      <x:c r="F699" s="15" t="str">
        <x:v>Design quest card for Drive — Rootglass</x:v>
      </x:c>
      <x:c r="G699" s="15" t="str">
        <x:v>authority boundaries / ratification packets</x:v>
      </x:c>
      <x:c r="H699" s="15" t="str">
        <x:v>source path + receipt + raw/export status + claim/edge/risk delta</x:v>
      </x:c>
      <x:c r="I699" s="15" t="str">
        <x:v>packet/SWARM-05-H11-S02</x:v>
      </x:c>
      <x:c r="J699" s="15" t="str">
        <x:v>TODO</x:v>
      </x:c>
      <x:c r="K699" s="15" t="str">
        <x:v>P0</x:v>
      </x:c>
      <x:c r="L699" s="15" t="str">
        <x:v>Done only when evidence is logged, contradiction search is noted, and boundary stamp remains non-canon unless ratified</x:v>
      </x:c>
      <x:c r="M699" s="15" t="str">
        <x:v>candidate / staging-only / not canon / not deployed / authority none</x:v>
      </x:c>
      <x:c r="N699" s="15" t="str">
        <x:v>Dispatch to Rootglass: complete Aetherforge UX x Drive; return deltas only, receipts required.</x:v>
      </x:c>
      <x:c r="O699" s="15" t="str">
        <x:v>AF-KG-H11-S02</x:v>
      </x:c>
      <x:c r="P699" s="15" t="str">
        <x:v>Unverified</x:v>
      </x:c>
      <x:c r="Q699" s="15" t="str">
        <x:v>Not checked</x:v>
      </x:c>
      <x:c r="R699" s="15" t="str"/>
      <x:c r="S699" s="15" t="str"/>
      <x:c r="T699" s="15" t="str">
        <x:v>Log first source path or blocker</x:v>
      </x:c>
      <x:c r="U699" s="12" t="str">
        <x:f>IF(OR(P699="Unverified",Q699="Not checked"),"BLOCKED_PENDING_RECEIPT","READY_FOR_REVIEW")</x:f>
        <x:v>BLOCKED_PENDING_RECEIPT</x:v>
      </x:c>
      <x:c r="V699" s="12" t="str">
        <x:f>IF(J699="DONE","RETURNED",IF(U699="BLOCKED_PENDING_RECEIPT","SOURCE_TOUCH_REQUIRED","IN_PROGRESS"))</x:f>
        <x:v>SOURCE_TOUCH_REQUIRED</x:v>
      </x:c>
      <x:c r="W699" s="12" t="str">
        <x:f>IF(P699="Unverified","missing_receipt","receipt_logged")</x:f>
        <x:v>missing_receipt</x:v>
      </x:c>
      <x:c r="X699" s="12" t="str">
        <x:f>IF(Q699="Not checked","raw_status_missing","raw_status_logged")</x:f>
        <x:v>raw_status_missing</x:v>
      </x:c>
      <x:c r="Y699" s="12" t="str">
        <x:f>IF(U699="BLOCKED_PENDING_RECEIPT","Log source path or blocker; do not promote","Route to review lane")</x:f>
        <x:v>Log source path or blocker; do not promote</x:v>
      </x:c>
      <x:c r="Z699" s="12" t="str">
        <x:f>IF(K699="P0","Primary seat + Hashlight/Lucerna","Seat lane")</x:f>
        <x:v>Primary seat + Hashlight/Lucerna</x:v>
      </x:c>
      <x:c r="AA699" s="12" t="str">
        <x:f>IF(R699="","no_claim_delta","claim_delta_present")</x:f>
        <x:v>no_claim_delta</x:v>
      </x:c>
      <x:c r="AB699" s="12" t="str">
        <x:f>IF(S699="","no_contradiction_delta","contradiction_delta_present")</x:f>
        <x:v>no_contradiction_delta</x:v>
      </x:c>
      <x:c r="AC699" s="12" t="str">
        <x:f>IF(OR(ISNUMBER(SEARCH("hacker",LOWER(F699&amp;" "&amp;H699&amp;" "&amp;I699&amp;" "&amp;M699&amp;" "&amp;N699&amp;" "&amp;T699))),ISNUMBER(SEARCH("hacking",LOWER(F699&amp;" "&amp;H699&amp;" "&amp;I699&amp;" "&amp;M699&amp;" "&amp;N699&amp;" "&amp;T699))),ISNUMBER(SEARCH("bank",LOWER(F699&amp;" "&amp;H699&amp;" "&amp;I699&amp;" "&amp;M699&amp;" "&amp;N699&amp;" "&amp;T699))),ISNUMBER(SEARCH("banking",LOWER(F699&amp;" "&amp;H699&amp;" "&amp;I699&amp;" "&amp;M699&amp;" "&amp;N699&amp;" "&amp;T699)))),"PRIVATE_QUARANTINE",IF(OR(ISNUMBER(SEARCH("treasury",LOWER(F699&amp;" "&amp;H699&amp;" "&amp;I699&amp;" "&amp;M699&amp;" "&amp;N699&amp;" "&amp;T699))),ISNUMBER(SEARCH("debt",LOWER(F699&amp;" "&amp;H699&amp;" "&amp;I699&amp;" "&amp;M699&amp;" "&amp;N699&amp;" "&amp;T699))),ISNUMBER(SEARCH("bond",LOWER(F699&amp;" "&amp;H699&amp;" "&amp;I699&amp;" "&amp;M699&amp;" "&amp;N699&amp;" "&amp;T699))),ISNUMBER(SEARCH("transaction",LOWER(F699&amp;" "&amp;H699&amp;" "&amp;I699&amp;" "&amp;M699&amp;" "&amp;N699&amp;" "&amp;T699)))),"PRIVATE_REVIEW","PUBLIC_CANDIDATE"))</x:f>
        <x:v>PUBLIC_CANDIDATE</x:v>
      </x:c>
      <x:c r="AD699" s="12" t="str">
        <x:f>IF(AC699="PRIVATE_QUARANTINE","hacker_or_bank_trigger",IF(AC699="PRIVATE_REVIEW","finance_risk_trigger","none"))</x:f>
        <x:v>none</x:v>
      </x:c>
      <x:c r="AE699" s="12" t="str">
        <x:f>IF(AC699="PUBLIC_CANDIDATE","prepare_public_github_candidate",IF(AC699="PRIVATE_REVIEW","hold_for_private_review","quarantine_private_do_not_publish"))</x:f>
        <x:v>prepare_public_github_candidate</x:v>
      </x:c>
      <x:c r="AF699" s="12" t="str">
        <x:f>IF(AC699="PUBLIC_CANDIDATE","TIDELOCK + Lucerna",IF(AC699="PRIVATE_REVIEW","AtlasBrain + Lucerna","TIDELOCK + Lucerna + Human-root"))</x:f>
        <x:v>TIDELOCK + Lucerna</x:v>
      </x:c>
      <x:c r="AG699" s="12" t="str">
        <x:f>IF(AND(AC699="PUBLIC_CANDIDATE",U699&lt;&gt;"BLOCKED_PENDING_RECEIPT"),"READY_AFTER_RECEIPT","NOT_READY")</x:f>
        <x:v>NOT_READY</x:v>
      </x:c>
      <x:c r="AH699" s="12" t="str">
        <x:f>IF(AC699="PUBLIC_CANDIDATE","none",AD699)</x:f>
        <x:v>none</x:v>
      </x:c>
      <x:c r="AI699" s="12" t="str">
        <x:f>IF(AC699="PUBLIC_CANDIDATE","archive/public_candidates/"&amp;A699,"private_quarantine/"&amp;A699)</x:f>
        <x:v>archive/public_candidates/SWARM-05-H11-S02</x:v>
      </x:c>
      <x:c r="AJ699" s="12" t="str">
        <x:f>IF(AC699="PUBLIC_CANDIDATE","public by default; still not canon","private/hold; do not publish")</x:f>
        <x:v>public by default; still not canon</x:v>
      </x:c>
      <x:c r="AK699" s="12" t="str">
        <x:f>IF(AE699="prepare_public_github_candidate","add receipt/status then mirror","resolve blocker before any public GitHub action")</x:f>
        <x:v>add receipt/status then mirror</x:v>
      </x:c>
    </x:row>
    <x:row r="700">
      <x:c r="A700" s="15" t="str">
        <x:v>SWARM-05-H11-S03</x:v>
      </x:c>
      <x:c r="B700" s="15" t="str">
        <x:v>Rootglass</x:v>
      </x:c>
      <x:c r="C700" s="15" t="str">
        <x:v>Canon gate mirror</x:v>
      </x:c>
      <x:c r="D700" s="15" t="str">
        <x:v>Aetherforge UX</x:v>
      </x:c>
      <x:c r="E700" s="15" t="str">
        <x:v>GitHub</x:v>
      </x:c>
      <x:c r="F700" s="15" t="str">
        <x:v>Design quest card for GitHub — Rootglass</x:v>
      </x:c>
      <x:c r="G700" s="15" t="str">
        <x:v>authority boundaries / ratification packets</x:v>
      </x:c>
      <x:c r="H700" s="15" t="str">
        <x:v>source path + receipt + raw/export status + claim/edge/risk delta</x:v>
      </x:c>
      <x:c r="I700" s="15" t="str">
        <x:v>packet/SWARM-05-H11-S03</x:v>
      </x:c>
      <x:c r="J700" s="15" t="str">
        <x:v>TODO</x:v>
      </x:c>
      <x:c r="K700" s="15" t="str">
        <x:v>P0</x:v>
      </x:c>
      <x:c r="L700" s="15" t="str">
        <x:v>Done only when evidence is logged, contradiction search is noted, and boundary stamp remains non-canon unless ratified</x:v>
      </x:c>
      <x:c r="M700" s="15" t="str">
        <x:v>candidate / staging-only / not canon / not deployed / authority none</x:v>
      </x:c>
      <x:c r="N700" s="15" t="str">
        <x:v>Dispatch to Rootglass: complete Aetherforge UX x GitHub; return deltas only, receipts required.</x:v>
      </x:c>
      <x:c r="O700" s="15" t="str">
        <x:v>AF-KG-H11-S03</x:v>
      </x:c>
      <x:c r="P700" s="15" t="str">
        <x:v>Unverified</x:v>
      </x:c>
      <x:c r="Q700" s="15" t="str">
        <x:v>Not checked</x:v>
      </x:c>
      <x:c r="R700" s="15" t="str"/>
      <x:c r="S700" s="15" t="str"/>
      <x:c r="T700" s="15" t="str">
        <x:v>Log first source path or blocker</x:v>
      </x:c>
      <x:c r="U700" s="12" t="str">
        <x:f>IF(OR(P700="Unverified",Q700="Not checked"),"BLOCKED_PENDING_RECEIPT","READY_FOR_REVIEW")</x:f>
        <x:v>BLOCKED_PENDING_RECEIPT</x:v>
      </x:c>
      <x:c r="V700" s="12" t="str">
        <x:f>IF(J700="DONE","RETURNED",IF(U700="BLOCKED_PENDING_RECEIPT","SOURCE_TOUCH_REQUIRED","IN_PROGRESS"))</x:f>
        <x:v>SOURCE_TOUCH_REQUIRED</x:v>
      </x:c>
      <x:c r="W700" s="12" t="str">
        <x:f>IF(P700="Unverified","missing_receipt","receipt_logged")</x:f>
        <x:v>missing_receipt</x:v>
      </x:c>
      <x:c r="X700" s="12" t="str">
        <x:f>IF(Q700="Not checked","raw_status_missing","raw_status_logged")</x:f>
        <x:v>raw_status_missing</x:v>
      </x:c>
      <x:c r="Y700" s="12" t="str">
        <x:f>IF(U700="BLOCKED_PENDING_RECEIPT","Log source path or blocker; do not promote","Route to review lane")</x:f>
        <x:v>Log source path or blocker; do not promote</x:v>
      </x:c>
      <x:c r="Z700" s="12" t="str">
        <x:f>IF(K700="P0","Primary seat + Hashlight/Lucerna","Seat lane")</x:f>
        <x:v>Primary seat + Hashlight/Lucerna</x:v>
      </x:c>
      <x:c r="AA700" s="12" t="str">
        <x:f>IF(R700="","no_claim_delta","claim_delta_present")</x:f>
        <x:v>no_claim_delta</x:v>
      </x:c>
      <x:c r="AB700" s="12" t="str">
        <x:f>IF(S700="","no_contradiction_delta","contradiction_delta_present")</x:f>
        <x:v>no_contradiction_delta</x:v>
      </x:c>
      <x:c r="AC700" s="12" t="str">
        <x:f>IF(OR(ISNUMBER(SEARCH("hacker",LOWER(F700&amp;" "&amp;H700&amp;" "&amp;I700&amp;" "&amp;M700&amp;" "&amp;N700&amp;" "&amp;T700))),ISNUMBER(SEARCH("hacking",LOWER(F700&amp;" "&amp;H700&amp;" "&amp;I700&amp;" "&amp;M700&amp;" "&amp;N700&amp;" "&amp;T700))),ISNUMBER(SEARCH("bank",LOWER(F700&amp;" "&amp;H700&amp;" "&amp;I700&amp;" "&amp;M700&amp;" "&amp;N700&amp;" "&amp;T700))),ISNUMBER(SEARCH("banking",LOWER(F700&amp;" "&amp;H700&amp;" "&amp;I700&amp;" "&amp;M700&amp;" "&amp;N700&amp;" "&amp;T700)))),"PRIVATE_QUARANTINE",IF(OR(ISNUMBER(SEARCH("treasury",LOWER(F700&amp;" "&amp;H700&amp;" "&amp;I700&amp;" "&amp;M700&amp;" "&amp;N700&amp;" "&amp;T700))),ISNUMBER(SEARCH("debt",LOWER(F700&amp;" "&amp;H700&amp;" "&amp;I700&amp;" "&amp;M700&amp;" "&amp;N700&amp;" "&amp;T700))),ISNUMBER(SEARCH("bond",LOWER(F700&amp;" "&amp;H700&amp;" "&amp;I700&amp;" "&amp;M700&amp;" "&amp;N700&amp;" "&amp;T700))),ISNUMBER(SEARCH("transaction",LOWER(F700&amp;" "&amp;H700&amp;" "&amp;I700&amp;" "&amp;M700&amp;" "&amp;N700&amp;" "&amp;T700)))),"PRIVATE_REVIEW","PUBLIC_CANDIDATE"))</x:f>
        <x:v>PUBLIC_CANDIDATE</x:v>
      </x:c>
      <x:c r="AD700" s="12" t="str">
        <x:f>IF(AC700="PRIVATE_QUARANTINE","hacker_or_bank_trigger",IF(AC700="PRIVATE_REVIEW","finance_risk_trigger","none"))</x:f>
        <x:v>none</x:v>
      </x:c>
      <x:c r="AE700" s="12" t="str">
        <x:f>IF(AC700="PUBLIC_CANDIDATE","prepare_public_github_candidate",IF(AC700="PRIVATE_REVIEW","hold_for_private_review","quarantine_private_do_not_publish"))</x:f>
        <x:v>prepare_public_github_candidate</x:v>
      </x:c>
      <x:c r="AF700" s="12" t="str">
        <x:f>IF(AC700="PUBLIC_CANDIDATE","TIDELOCK + Lucerna",IF(AC700="PRIVATE_REVIEW","AtlasBrain + Lucerna","TIDELOCK + Lucerna + Human-root"))</x:f>
        <x:v>TIDELOCK + Lucerna</x:v>
      </x:c>
      <x:c r="AG700" s="12" t="str">
        <x:f>IF(AND(AC700="PUBLIC_CANDIDATE",U700&lt;&gt;"BLOCKED_PENDING_RECEIPT"),"READY_AFTER_RECEIPT","NOT_READY")</x:f>
        <x:v>NOT_READY</x:v>
      </x:c>
      <x:c r="AH700" s="12" t="str">
        <x:f>IF(AC700="PUBLIC_CANDIDATE","none",AD700)</x:f>
        <x:v>none</x:v>
      </x:c>
      <x:c r="AI700" s="12" t="str">
        <x:f>IF(AC700="PUBLIC_CANDIDATE","archive/public_candidates/"&amp;A700,"private_quarantine/"&amp;A700)</x:f>
        <x:v>archive/public_candidates/SWARM-05-H11-S03</x:v>
      </x:c>
      <x:c r="AJ700" s="12" t="str">
        <x:f>IF(AC700="PUBLIC_CANDIDATE","public by default; still not canon","private/hold; do not publish")</x:f>
        <x:v>public by default; still not canon</x:v>
      </x:c>
      <x:c r="AK700" s="12" t="str">
        <x:f>IF(AE700="prepare_public_github_candidate","add receipt/status then mirror","resolve blocker before any public GitHub action")</x:f>
        <x:v>add receipt/status then mirror</x:v>
      </x:c>
    </x:row>
    <x:row r="701">
      <x:c r="A701" s="15" t="str">
        <x:v>SWARM-05-H11-S04</x:v>
      </x:c>
      <x:c r="B701" s="15" t="str">
        <x:v>Rootglass</x:v>
      </x:c>
      <x:c r="C701" s="15" t="str">
        <x:v>Canon gate mirror</x:v>
      </x:c>
      <x:c r="D701" s="15" t="str">
        <x:v>Aetherforge UX</x:v>
      </x:c>
      <x:c r="E701" s="15" t="str">
        <x:v>Gamma</x:v>
      </x:c>
      <x:c r="F701" s="15" t="str">
        <x:v>Design quest card for Gamma — Rootglass</x:v>
      </x:c>
      <x:c r="G701" s="15" t="str">
        <x:v>authority boundaries / ratification packets</x:v>
      </x:c>
      <x:c r="H701" s="15" t="str">
        <x:v>source path + receipt + raw/export status + claim/edge/risk delta</x:v>
      </x:c>
      <x:c r="I701" s="15" t="str">
        <x:v>packet/SWARM-05-H11-S04</x:v>
      </x:c>
      <x:c r="J701" s="15" t="str">
        <x:v>TODO</x:v>
      </x:c>
      <x:c r="K701" s="15" t="str">
        <x:v>P1</x:v>
      </x:c>
      <x:c r="L701" s="15" t="str">
        <x:v>Done only when evidence is logged, contradiction search is noted, and boundary stamp remains non-canon unless ratified</x:v>
      </x:c>
      <x:c r="M701" s="15" t="str">
        <x:v>candidate / staging-only / not canon / not deployed / authority none</x:v>
      </x:c>
      <x:c r="N701" s="15" t="str">
        <x:v>Dispatch to Rootglass: complete Aetherforge UX x Gamma; return deltas only, receipts required.</x:v>
      </x:c>
      <x:c r="O701" s="15" t="str">
        <x:v>AF-KG-H11-S04</x:v>
      </x:c>
      <x:c r="P701" s="15" t="str">
        <x:v>Unverified</x:v>
      </x:c>
      <x:c r="Q701" s="15" t="str">
        <x:v>Not checked</x:v>
      </x:c>
      <x:c r="R701" s="15" t="str"/>
      <x:c r="S701" s="15" t="str"/>
      <x:c r="T701" s="15" t="str">
        <x:v>Log first source path or blocker</x:v>
      </x:c>
      <x:c r="U701" s="12" t="str">
        <x:f>IF(OR(P701="Unverified",Q701="Not checked"),"BLOCKED_PENDING_RECEIPT","READY_FOR_REVIEW")</x:f>
        <x:v>BLOCKED_PENDING_RECEIPT</x:v>
      </x:c>
      <x:c r="V701" s="12" t="str">
        <x:f>IF(J701="DONE","RETURNED",IF(U701="BLOCKED_PENDING_RECEIPT","SOURCE_TOUCH_REQUIRED","IN_PROGRESS"))</x:f>
        <x:v>SOURCE_TOUCH_REQUIRED</x:v>
      </x:c>
      <x:c r="W701" s="12" t="str">
        <x:f>IF(P701="Unverified","missing_receipt","receipt_logged")</x:f>
        <x:v>missing_receipt</x:v>
      </x:c>
      <x:c r="X701" s="12" t="str">
        <x:f>IF(Q701="Not checked","raw_status_missing","raw_status_logged")</x:f>
        <x:v>raw_status_missing</x:v>
      </x:c>
      <x:c r="Y701" s="12" t="str">
        <x:f>IF(U701="BLOCKED_PENDING_RECEIPT","Log source path or blocker; do not promote","Route to review lane")</x:f>
        <x:v>Log source path or blocker; do not promote</x:v>
      </x:c>
      <x:c r="Z701" s="12" t="str">
        <x:f>IF(K701="P0","Primary seat + Hashlight/Lucerna","Seat lane")</x:f>
        <x:v>Seat lane</x:v>
      </x:c>
      <x:c r="AA701" s="12" t="str">
        <x:f>IF(R701="","no_claim_delta","claim_delta_present")</x:f>
        <x:v>no_claim_delta</x:v>
      </x:c>
      <x:c r="AB701" s="12" t="str">
        <x:f>IF(S701="","no_contradiction_delta","contradiction_delta_present")</x:f>
        <x:v>no_contradiction_delta</x:v>
      </x:c>
      <x:c r="AC701" s="12" t="str">
        <x:f>IF(OR(ISNUMBER(SEARCH("hacker",LOWER(F701&amp;" "&amp;H701&amp;" "&amp;I701&amp;" "&amp;M701&amp;" "&amp;N701&amp;" "&amp;T701))),ISNUMBER(SEARCH("hacking",LOWER(F701&amp;" "&amp;H701&amp;" "&amp;I701&amp;" "&amp;M701&amp;" "&amp;N701&amp;" "&amp;T701))),ISNUMBER(SEARCH("bank",LOWER(F701&amp;" "&amp;H701&amp;" "&amp;I701&amp;" "&amp;M701&amp;" "&amp;N701&amp;" "&amp;T701))),ISNUMBER(SEARCH("banking",LOWER(F701&amp;" "&amp;H701&amp;" "&amp;I701&amp;" "&amp;M701&amp;" "&amp;N701&amp;" "&amp;T701)))),"PRIVATE_QUARANTINE",IF(OR(ISNUMBER(SEARCH("treasury",LOWER(F701&amp;" "&amp;H701&amp;" "&amp;I701&amp;" "&amp;M701&amp;" "&amp;N701&amp;" "&amp;T701))),ISNUMBER(SEARCH("debt",LOWER(F701&amp;" "&amp;H701&amp;" "&amp;I701&amp;" "&amp;M701&amp;" "&amp;N701&amp;" "&amp;T701))),ISNUMBER(SEARCH("bond",LOWER(F701&amp;" "&amp;H701&amp;" "&amp;I701&amp;" "&amp;M701&amp;" "&amp;N701&amp;" "&amp;T701))),ISNUMBER(SEARCH("transaction",LOWER(F701&amp;" "&amp;H701&amp;" "&amp;I701&amp;" "&amp;M701&amp;" "&amp;N701&amp;" "&amp;T701)))),"PRIVATE_REVIEW","PUBLIC_CANDIDATE"))</x:f>
        <x:v>PUBLIC_CANDIDATE</x:v>
      </x:c>
      <x:c r="AD701" s="12" t="str">
        <x:f>IF(AC701="PRIVATE_QUARANTINE","hacker_or_bank_trigger",IF(AC701="PRIVATE_REVIEW","finance_risk_trigger","none"))</x:f>
        <x:v>none</x:v>
      </x:c>
      <x:c r="AE701" s="12" t="str">
        <x:f>IF(AC701="PUBLIC_CANDIDATE","prepare_public_github_candidate",IF(AC701="PRIVATE_REVIEW","hold_for_private_review","quarantine_private_do_not_publish"))</x:f>
        <x:v>prepare_public_github_candidate</x:v>
      </x:c>
      <x:c r="AF701" s="12" t="str">
        <x:f>IF(AC701="PUBLIC_CANDIDATE","TIDELOCK + Lucerna",IF(AC701="PRIVATE_REVIEW","AtlasBrain + Lucerna","TIDELOCK + Lucerna + Human-root"))</x:f>
        <x:v>TIDELOCK + Lucerna</x:v>
      </x:c>
      <x:c r="AG701" s="12" t="str">
        <x:f>IF(AND(AC701="PUBLIC_CANDIDATE",U701&lt;&gt;"BLOCKED_PENDING_RECEIPT"),"READY_AFTER_RECEIPT","NOT_READY")</x:f>
        <x:v>NOT_READY</x:v>
      </x:c>
      <x:c r="AH701" s="12" t="str">
        <x:f>IF(AC701="PUBLIC_CANDIDATE","none",AD701)</x:f>
        <x:v>none</x:v>
      </x:c>
      <x:c r="AI701" s="12" t="str">
        <x:f>IF(AC701="PUBLIC_CANDIDATE","archive/public_candidates/"&amp;A701,"private_quarantine/"&amp;A701)</x:f>
        <x:v>archive/public_candidates/SWARM-05-H11-S04</x:v>
      </x:c>
      <x:c r="AJ701" s="12" t="str">
        <x:f>IF(AC701="PUBLIC_CANDIDATE","public by default; still not canon","private/hold; do not publish")</x:f>
        <x:v>public by default; still not canon</x:v>
      </x:c>
      <x:c r="AK701" s="12" t="str">
        <x:f>IF(AE701="prepare_public_github_candidate","add receipt/status then mirror","resolve blocker before any public GitHub action")</x:f>
        <x:v>add receipt/status then mirror</x:v>
      </x:c>
    </x:row>
    <x:row r="702">
      <x:c r="A702" s="15" t="str">
        <x:v>SWARM-05-H11-S05</x:v>
      </x:c>
      <x:c r="B702" s="15" t="str">
        <x:v>Rootglass</x:v>
      </x:c>
      <x:c r="C702" s="15" t="str">
        <x:v>Canon gate mirror</x:v>
      </x:c>
      <x:c r="D702" s="15" t="str">
        <x:v>Aetherforge UX</x:v>
      </x:c>
      <x:c r="E702" s="15" t="str">
        <x:v>Chat</x:v>
      </x:c>
      <x:c r="F702" s="15" t="str">
        <x:v>Design quest card for Chat — Rootglass</x:v>
      </x:c>
      <x:c r="G702" s="15" t="str">
        <x:v>authority boundaries / ratification packets</x:v>
      </x:c>
      <x:c r="H702" s="15" t="str">
        <x:v>source path + receipt + raw/export status + claim/edge/risk delta</x:v>
      </x:c>
      <x:c r="I702" s="15" t="str">
        <x:v>packet/SWARM-05-H11-S05</x:v>
      </x:c>
      <x:c r="J702" s="15" t="str">
        <x:v>TODO</x:v>
      </x:c>
      <x:c r="K702" s="15" t="str">
        <x:v>P1</x:v>
      </x:c>
      <x:c r="L702" s="15" t="str">
        <x:v>Done only when evidence is logged, contradiction search is noted, and boundary stamp remains non-canon unless ratified</x:v>
      </x:c>
      <x:c r="M702" s="15" t="str">
        <x:v>candidate / staging-only / not canon / not deployed / authority none</x:v>
      </x:c>
      <x:c r="N702" s="15" t="str">
        <x:v>Dispatch to Rootglass: complete Aetherforge UX x Chat; return deltas only, receipts required.</x:v>
      </x:c>
      <x:c r="O702" s="15" t="str">
        <x:v>AF-KG-H11-S05</x:v>
      </x:c>
      <x:c r="P702" s="15" t="str">
        <x:v>Unverified</x:v>
      </x:c>
      <x:c r="Q702" s="15" t="str">
        <x:v>Not checked</x:v>
      </x:c>
      <x:c r="R702" s="15" t="str"/>
      <x:c r="S702" s="15" t="str"/>
      <x:c r="T702" s="15" t="str">
        <x:v>Log first source path or blocker</x:v>
      </x:c>
      <x:c r="U702" s="12" t="str">
        <x:f>IF(OR(P702="Unverified",Q702="Not checked"),"BLOCKED_PENDING_RECEIPT","READY_FOR_REVIEW")</x:f>
        <x:v>BLOCKED_PENDING_RECEIPT</x:v>
      </x:c>
      <x:c r="V702" s="12" t="str">
        <x:f>IF(J702="DONE","RETURNED",IF(U702="BLOCKED_PENDING_RECEIPT","SOURCE_TOUCH_REQUIRED","IN_PROGRESS"))</x:f>
        <x:v>SOURCE_TOUCH_REQUIRED</x:v>
      </x:c>
      <x:c r="W702" s="12" t="str">
        <x:f>IF(P702="Unverified","missing_receipt","receipt_logged")</x:f>
        <x:v>missing_receipt</x:v>
      </x:c>
      <x:c r="X702" s="12" t="str">
        <x:f>IF(Q702="Not checked","raw_status_missing","raw_status_logged")</x:f>
        <x:v>raw_status_missing</x:v>
      </x:c>
      <x:c r="Y702" s="12" t="str">
        <x:f>IF(U702="BLOCKED_PENDING_RECEIPT","Log source path or blocker; do not promote","Route to review lane")</x:f>
        <x:v>Log source path or blocker; do not promote</x:v>
      </x:c>
      <x:c r="Z702" s="12" t="str">
        <x:f>IF(K702="P0","Primary seat + Hashlight/Lucerna","Seat lane")</x:f>
        <x:v>Seat lane</x:v>
      </x:c>
      <x:c r="AA702" s="12" t="str">
        <x:f>IF(R702="","no_claim_delta","claim_delta_present")</x:f>
        <x:v>no_claim_delta</x:v>
      </x:c>
      <x:c r="AB702" s="12" t="str">
        <x:f>IF(S702="","no_contradiction_delta","contradiction_delta_present")</x:f>
        <x:v>no_contradiction_delta</x:v>
      </x:c>
      <x:c r="AC702" s="12" t="str">
        <x:f>IF(OR(ISNUMBER(SEARCH("hacker",LOWER(F702&amp;" "&amp;H702&amp;" "&amp;I702&amp;" "&amp;M702&amp;" "&amp;N702&amp;" "&amp;T702))),ISNUMBER(SEARCH("hacking",LOWER(F702&amp;" "&amp;H702&amp;" "&amp;I702&amp;" "&amp;M702&amp;" "&amp;N702&amp;" "&amp;T702))),ISNUMBER(SEARCH("bank",LOWER(F702&amp;" "&amp;H702&amp;" "&amp;I702&amp;" "&amp;M702&amp;" "&amp;N702&amp;" "&amp;T702))),ISNUMBER(SEARCH("banking",LOWER(F702&amp;" "&amp;H702&amp;" "&amp;I702&amp;" "&amp;M702&amp;" "&amp;N702&amp;" "&amp;T702)))),"PRIVATE_QUARANTINE",IF(OR(ISNUMBER(SEARCH("treasury",LOWER(F702&amp;" "&amp;H702&amp;" "&amp;I702&amp;" "&amp;M702&amp;" "&amp;N702&amp;" "&amp;T702))),ISNUMBER(SEARCH("debt",LOWER(F702&amp;" "&amp;H702&amp;" "&amp;I702&amp;" "&amp;M702&amp;" "&amp;N702&amp;" "&amp;T702))),ISNUMBER(SEARCH("bond",LOWER(F702&amp;" "&amp;H702&amp;" "&amp;I702&amp;" "&amp;M702&amp;" "&amp;N702&amp;" "&amp;T702))),ISNUMBER(SEARCH("transaction",LOWER(F702&amp;" "&amp;H702&amp;" "&amp;I702&amp;" "&amp;M702&amp;" "&amp;N702&amp;" "&amp;T702)))),"PRIVATE_REVIEW","PUBLIC_CANDIDATE"))</x:f>
        <x:v>PUBLIC_CANDIDATE</x:v>
      </x:c>
      <x:c r="AD702" s="12" t="str">
        <x:f>IF(AC702="PRIVATE_QUARANTINE","hacker_or_bank_trigger",IF(AC702="PRIVATE_REVIEW","finance_risk_trigger","none"))</x:f>
        <x:v>none</x:v>
      </x:c>
      <x:c r="AE702" s="12" t="str">
        <x:f>IF(AC702="PUBLIC_CANDIDATE","prepare_public_github_candidate",IF(AC702="PRIVATE_REVIEW","hold_for_private_review","quarantine_private_do_not_publish"))</x:f>
        <x:v>prepare_public_github_candidate</x:v>
      </x:c>
      <x:c r="AF702" s="12" t="str">
        <x:f>IF(AC702="PUBLIC_CANDIDATE","TIDELOCK + Lucerna",IF(AC702="PRIVATE_REVIEW","AtlasBrain + Lucerna","TIDELOCK + Lucerna + Human-root"))</x:f>
        <x:v>TIDELOCK + Lucerna</x:v>
      </x:c>
      <x:c r="AG702" s="12" t="str">
        <x:f>IF(AND(AC702="PUBLIC_CANDIDATE",U702&lt;&gt;"BLOCKED_PENDING_RECEIPT"),"READY_AFTER_RECEIPT","NOT_READY")</x:f>
        <x:v>NOT_READY</x:v>
      </x:c>
      <x:c r="AH702" s="12" t="str">
        <x:f>IF(AC702="PUBLIC_CANDIDATE","none",AD702)</x:f>
        <x:v>none</x:v>
      </x:c>
      <x:c r="AI702" s="12" t="str">
        <x:f>IF(AC702="PUBLIC_CANDIDATE","archive/public_candidates/"&amp;A702,"private_quarantine/"&amp;A702)</x:f>
        <x:v>archive/public_candidates/SWARM-05-H11-S05</x:v>
      </x:c>
      <x:c r="AJ702" s="12" t="str">
        <x:f>IF(AC702="PUBLIC_CANDIDATE","public by default; still not canon","private/hold; do not publish")</x:f>
        <x:v>public by default; still not canon</x:v>
      </x:c>
      <x:c r="AK702" s="12" t="str">
        <x:f>IF(AE702="prepare_public_github_candidate","add receipt/status then mirror","resolve blocker before any public GitHub action")</x:f>
        <x:v>add receipt/status then mirror</x:v>
      </x:c>
    </x:row>
    <x:row r="703">
      <x:c r="A703" s="15" t="str">
        <x:v>SWARM-05-H11-S06</x:v>
      </x:c>
      <x:c r="B703" s="15" t="str">
        <x:v>Rootglass</x:v>
      </x:c>
      <x:c r="C703" s="15" t="str">
        <x:v>Canon gate mirror</x:v>
      </x:c>
      <x:c r="D703" s="15" t="str">
        <x:v>Aetherforge UX</x:v>
      </x:c>
      <x:c r="E703" s="15" t="str">
        <x:v>External Web</x:v>
      </x:c>
      <x:c r="F703" s="15" t="str">
        <x:v>Design quest card for External Web — Rootglass</x:v>
      </x:c>
      <x:c r="G703" s="15" t="str">
        <x:v>authority boundaries / ratification packets</x:v>
      </x:c>
      <x:c r="H703" s="15" t="str">
        <x:v>source path + receipt + raw/export status + claim/edge/risk delta</x:v>
      </x:c>
      <x:c r="I703" s="15" t="str">
        <x:v>packet/SWARM-05-H11-S06</x:v>
      </x:c>
      <x:c r="J703" s="15" t="str">
        <x:v>TODO</x:v>
      </x:c>
      <x:c r="K703" s="15" t="str">
        <x:v>P1</x:v>
      </x:c>
      <x:c r="L703" s="15" t="str">
        <x:v>Done only when evidence is logged, contradiction search is noted, and boundary stamp remains non-canon unless ratified</x:v>
      </x:c>
      <x:c r="M703" s="15" t="str">
        <x:v>candidate / staging-only / not canon / not deployed / authority none</x:v>
      </x:c>
      <x:c r="N703" s="15" t="str">
        <x:v>Dispatch to Rootglass: complete Aetherforge UX x External Web; return deltas only, receipts required.</x:v>
      </x:c>
      <x:c r="O703" s="15" t="str">
        <x:v>AF-KG-H11-S06</x:v>
      </x:c>
      <x:c r="P703" s="15" t="str">
        <x:v>Unverified</x:v>
      </x:c>
      <x:c r="Q703" s="15" t="str">
        <x:v>Not checked</x:v>
      </x:c>
      <x:c r="R703" s="15" t="str"/>
      <x:c r="S703" s="15" t="str"/>
      <x:c r="T703" s="15" t="str">
        <x:v>Log first source path or blocker</x:v>
      </x:c>
      <x:c r="U703" s="12" t="str">
        <x:f>IF(OR(P703="Unverified",Q703="Not checked"),"BLOCKED_PENDING_RECEIPT","READY_FOR_REVIEW")</x:f>
        <x:v>BLOCKED_PENDING_RECEIPT</x:v>
      </x:c>
      <x:c r="V703" s="12" t="str">
        <x:f>IF(J703="DONE","RETURNED",IF(U703="BLOCKED_PENDING_RECEIPT","SOURCE_TOUCH_REQUIRED","IN_PROGRESS"))</x:f>
        <x:v>SOURCE_TOUCH_REQUIRED</x:v>
      </x:c>
      <x:c r="W703" s="12" t="str">
        <x:f>IF(P703="Unverified","missing_receipt","receipt_logged")</x:f>
        <x:v>missing_receipt</x:v>
      </x:c>
      <x:c r="X703" s="12" t="str">
        <x:f>IF(Q703="Not checked","raw_status_missing","raw_status_logged")</x:f>
        <x:v>raw_status_missing</x:v>
      </x:c>
      <x:c r="Y703" s="12" t="str">
        <x:f>IF(U703="BLOCKED_PENDING_RECEIPT","Log source path or blocker; do not promote","Route to review lane")</x:f>
        <x:v>Log source path or blocker; do not promote</x:v>
      </x:c>
      <x:c r="Z703" s="12" t="str">
        <x:f>IF(K703="P0","Primary seat + Hashlight/Lucerna","Seat lane")</x:f>
        <x:v>Seat lane</x:v>
      </x:c>
      <x:c r="AA703" s="12" t="str">
        <x:f>IF(R703="","no_claim_delta","claim_delta_present")</x:f>
        <x:v>no_claim_delta</x:v>
      </x:c>
      <x:c r="AB703" s="12" t="str">
        <x:f>IF(S703="","no_contradiction_delta","contradiction_delta_present")</x:f>
        <x:v>no_contradiction_delta</x:v>
      </x:c>
      <x:c r="AC703" s="12" t="str">
        <x:f>IF(OR(ISNUMBER(SEARCH("hacker",LOWER(F703&amp;" "&amp;H703&amp;" "&amp;I703&amp;" "&amp;M703&amp;" "&amp;N703&amp;" "&amp;T703))),ISNUMBER(SEARCH("hacking",LOWER(F703&amp;" "&amp;H703&amp;" "&amp;I703&amp;" "&amp;M703&amp;" "&amp;N703&amp;" "&amp;T703))),ISNUMBER(SEARCH("bank",LOWER(F703&amp;" "&amp;H703&amp;" "&amp;I703&amp;" "&amp;M703&amp;" "&amp;N703&amp;" "&amp;T703))),ISNUMBER(SEARCH("banking",LOWER(F703&amp;" "&amp;H703&amp;" "&amp;I703&amp;" "&amp;M703&amp;" "&amp;N703&amp;" "&amp;T703)))),"PRIVATE_QUARANTINE",IF(OR(ISNUMBER(SEARCH("treasury",LOWER(F703&amp;" "&amp;H703&amp;" "&amp;I703&amp;" "&amp;M703&amp;" "&amp;N703&amp;" "&amp;T703))),ISNUMBER(SEARCH("debt",LOWER(F703&amp;" "&amp;H703&amp;" "&amp;I703&amp;" "&amp;M703&amp;" "&amp;N703&amp;" "&amp;T703))),ISNUMBER(SEARCH("bond",LOWER(F703&amp;" "&amp;H703&amp;" "&amp;I703&amp;" "&amp;M703&amp;" "&amp;N703&amp;" "&amp;T703))),ISNUMBER(SEARCH("transaction",LOWER(F703&amp;" "&amp;H703&amp;" "&amp;I703&amp;" "&amp;M703&amp;" "&amp;N703&amp;" "&amp;T703)))),"PRIVATE_REVIEW","PUBLIC_CANDIDATE"))</x:f>
        <x:v>PUBLIC_CANDIDATE</x:v>
      </x:c>
      <x:c r="AD703" s="12" t="str">
        <x:f>IF(AC703="PRIVATE_QUARANTINE","hacker_or_bank_trigger",IF(AC703="PRIVATE_REVIEW","finance_risk_trigger","none"))</x:f>
        <x:v>none</x:v>
      </x:c>
      <x:c r="AE703" s="12" t="str">
        <x:f>IF(AC703="PUBLIC_CANDIDATE","prepare_public_github_candidate",IF(AC703="PRIVATE_REVIEW","hold_for_private_review","quarantine_private_do_not_publish"))</x:f>
        <x:v>prepare_public_github_candidate</x:v>
      </x:c>
      <x:c r="AF703" s="12" t="str">
        <x:f>IF(AC703="PUBLIC_CANDIDATE","TIDELOCK + Lucerna",IF(AC703="PRIVATE_REVIEW","AtlasBrain + Lucerna","TIDELOCK + Lucerna + Human-root"))</x:f>
        <x:v>TIDELOCK + Lucerna</x:v>
      </x:c>
      <x:c r="AG703" s="12" t="str">
        <x:f>IF(AND(AC703="PUBLIC_CANDIDATE",U703&lt;&gt;"BLOCKED_PENDING_RECEIPT"),"READY_AFTER_RECEIPT","NOT_READY")</x:f>
        <x:v>NOT_READY</x:v>
      </x:c>
      <x:c r="AH703" s="12" t="str">
        <x:f>IF(AC703="PUBLIC_CANDIDATE","none",AD703)</x:f>
        <x:v>none</x:v>
      </x:c>
      <x:c r="AI703" s="12" t="str">
        <x:f>IF(AC703="PUBLIC_CANDIDATE","archive/public_candidates/"&amp;A703,"private_quarantine/"&amp;A703)</x:f>
        <x:v>archive/public_candidates/SWARM-05-H11-S06</x:v>
      </x:c>
      <x:c r="AJ703" s="12" t="str">
        <x:f>IF(AC703="PUBLIC_CANDIDATE","public by default; still not canon","private/hold; do not publish")</x:f>
        <x:v>public by default; still not canon</x:v>
      </x:c>
      <x:c r="AK703" s="12" t="str">
        <x:f>IF(AE703="prepare_public_github_candidate","add receipt/status then mirror","resolve blocker before any public GitHub action")</x:f>
        <x:v>add receipt/status then mirror</x:v>
      </x:c>
    </x:row>
    <x:row r="704">
      <x:c r="A704" s="15" t="str">
        <x:v>SWARM-05-H11-S07</x:v>
      </x:c>
      <x:c r="B704" s="15" t="str">
        <x:v>Rootglass</x:v>
      </x:c>
      <x:c r="C704" s="15" t="str">
        <x:v>Canon gate mirror</x:v>
      </x:c>
      <x:c r="D704" s="15" t="str">
        <x:v>Aetherforge UX</x:v>
      </x:c>
      <x:c r="E704" s="15" t="str">
        <x:v>Planetarium</x:v>
      </x:c>
      <x:c r="F704" s="15" t="str">
        <x:v>Design quest card for Planetarium — Rootglass</x:v>
      </x:c>
      <x:c r="G704" s="15" t="str">
        <x:v>authority boundaries / ratification packets</x:v>
      </x:c>
      <x:c r="H704" s="15" t="str">
        <x:v>source path + receipt + raw/export status + claim/edge/risk delta</x:v>
      </x:c>
      <x:c r="I704" s="15" t="str">
        <x:v>packet/SWARM-05-H11-S07</x:v>
      </x:c>
      <x:c r="J704" s="15" t="str">
        <x:v>TODO</x:v>
      </x:c>
      <x:c r="K704" s="15" t="str">
        <x:v>P1</x:v>
      </x:c>
      <x:c r="L704" s="15" t="str">
        <x:v>Done only when evidence is logged, contradiction search is noted, and boundary stamp remains non-canon unless ratified</x:v>
      </x:c>
      <x:c r="M704" s="15" t="str">
        <x:v>candidate / staging-only / not canon / not deployed / authority none</x:v>
      </x:c>
      <x:c r="N704" s="15" t="str">
        <x:v>Dispatch to Rootglass: complete Aetherforge UX x Planetarium; return deltas only, receipts required.</x:v>
      </x:c>
      <x:c r="O704" s="15" t="str">
        <x:v>AF-KG-H11-S07</x:v>
      </x:c>
      <x:c r="P704" s="15" t="str">
        <x:v>Unverified</x:v>
      </x:c>
      <x:c r="Q704" s="15" t="str">
        <x:v>Not checked</x:v>
      </x:c>
      <x:c r="R704" s="15" t="str"/>
      <x:c r="S704" s="15" t="str"/>
      <x:c r="T704" s="15" t="str">
        <x:v>Log first source path or blocker</x:v>
      </x:c>
      <x:c r="U704" s="12" t="str">
        <x:f>IF(OR(P704="Unverified",Q704="Not checked"),"BLOCKED_PENDING_RECEIPT","READY_FOR_REVIEW")</x:f>
        <x:v>BLOCKED_PENDING_RECEIPT</x:v>
      </x:c>
      <x:c r="V704" s="12" t="str">
        <x:f>IF(J704="DONE","RETURNED",IF(U704="BLOCKED_PENDING_RECEIPT","SOURCE_TOUCH_REQUIRED","IN_PROGRESS"))</x:f>
        <x:v>SOURCE_TOUCH_REQUIRED</x:v>
      </x:c>
      <x:c r="W704" s="12" t="str">
        <x:f>IF(P704="Unverified","missing_receipt","receipt_logged")</x:f>
        <x:v>missing_receipt</x:v>
      </x:c>
      <x:c r="X704" s="12" t="str">
        <x:f>IF(Q704="Not checked","raw_status_missing","raw_status_logged")</x:f>
        <x:v>raw_status_missing</x:v>
      </x:c>
      <x:c r="Y704" s="12" t="str">
        <x:f>IF(U704="BLOCKED_PENDING_RECEIPT","Log source path or blocker; do not promote","Route to review lane")</x:f>
        <x:v>Log source path or blocker; do not promote</x:v>
      </x:c>
      <x:c r="Z704" s="12" t="str">
        <x:f>IF(K704="P0","Primary seat + Hashlight/Lucerna","Seat lane")</x:f>
        <x:v>Seat lane</x:v>
      </x:c>
      <x:c r="AA704" s="12" t="str">
        <x:f>IF(R704="","no_claim_delta","claim_delta_present")</x:f>
        <x:v>no_claim_delta</x:v>
      </x:c>
      <x:c r="AB704" s="12" t="str">
        <x:f>IF(S704="","no_contradiction_delta","contradiction_delta_present")</x:f>
        <x:v>no_contradiction_delta</x:v>
      </x:c>
      <x:c r="AC704" s="12" t="str">
        <x:f>IF(OR(ISNUMBER(SEARCH("hacker",LOWER(F704&amp;" "&amp;H704&amp;" "&amp;I704&amp;" "&amp;M704&amp;" "&amp;N704&amp;" "&amp;T704))),ISNUMBER(SEARCH("hacking",LOWER(F704&amp;" "&amp;H704&amp;" "&amp;I704&amp;" "&amp;M704&amp;" "&amp;N704&amp;" "&amp;T704))),ISNUMBER(SEARCH("bank",LOWER(F704&amp;" "&amp;H704&amp;" "&amp;I704&amp;" "&amp;M704&amp;" "&amp;N704&amp;" "&amp;T704))),ISNUMBER(SEARCH("banking",LOWER(F704&amp;" "&amp;H704&amp;" "&amp;I704&amp;" "&amp;M704&amp;" "&amp;N704&amp;" "&amp;T704)))),"PRIVATE_QUARANTINE",IF(OR(ISNUMBER(SEARCH("treasury",LOWER(F704&amp;" "&amp;H704&amp;" "&amp;I704&amp;" "&amp;M704&amp;" "&amp;N704&amp;" "&amp;T704))),ISNUMBER(SEARCH("debt",LOWER(F704&amp;" "&amp;H704&amp;" "&amp;I704&amp;" "&amp;M704&amp;" "&amp;N704&amp;" "&amp;T704))),ISNUMBER(SEARCH("bond",LOWER(F704&amp;" "&amp;H704&amp;" "&amp;I704&amp;" "&amp;M704&amp;" "&amp;N704&amp;" "&amp;T704))),ISNUMBER(SEARCH("transaction",LOWER(F704&amp;" "&amp;H704&amp;" "&amp;I704&amp;" "&amp;M704&amp;" "&amp;N704&amp;" "&amp;T704)))),"PRIVATE_REVIEW","PUBLIC_CANDIDATE"))</x:f>
        <x:v>PUBLIC_CANDIDATE</x:v>
      </x:c>
      <x:c r="AD704" s="12" t="str">
        <x:f>IF(AC704="PRIVATE_QUARANTINE","hacker_or_bank_trigger",IF(AC704="PRIVATE_REVIEW","finance_risk_trigger","none"))</x:f>
        <x:v>none</x:v>
      </x:c>
      <x:c r="AE704" s="12" t="str">
        <x:f>IF(AC704="PUBLIC_CANDIDATE","prepare_public_github_candidate",IF(AC704="PRIVATE_REVIEW","hold_for_private_review","quarantine_private_do_not_publish"))</x:f>
        <x:v>prepare_public_github_candidate</x:v>
      </x:c>
      <x:c r="AF704" s="12" t="str">
        <x:f>IF(AC704="PUBLIC_CANDIDATE","TIDELOCK + Lucerna",IF(AC704="PRIVATE_REVIEW","AtlasBrain + Lucerna","TIDELOCK + Lucerna + Human-root"))</x:f>
        <x:v>TIDELOCK + Lucerna</x:v>
      </x:c>
      <x:c r="AG704" s="12" t="str">
        <x:f>IF(AND(AC704="PUBLIC_CANDIDATE",U704&lt;&gt;"BLOCKED_PENDING_RECEIPT"),"READY_AFTER_RECEIPT","NOT_READY")</x:f>
        <x:v>NOT_READY</x:v>
      </x:c>
      <x:c r="AH704" s="12" t="str">
        <x:f>IF(AC704="PUBLIC_CANDIDATE","none",AD704)</x:f>
        <x:v>none</x:v>
      </x:c>
      <x:c r="AI704" s="12" t="str">
        <x:f>IF(AC704="PUBLIC_CANDIDATE","archive/public_candidates/"&amp;A704,"private_quarantine/"&amp;A704)</x:f>
        <x:v>archive/public_candidates/SWARM-05-H11-S07</x:v>
      </x:c>
      <x:c r="AJ704" s="12" t="str">
        <x:f>IF(AC704="PUBLIC_CANDIDATE","public by default; still not canon","private/hold; do not publish")</x:f>
        <x:v>public by default; still not canon</x:v>
      </x:c>
      <x:c r="AK704" s="12" t="str">
        <x:f>IF(AE704="prepare_public_github_candidate","add receipt/status then mirror","resolve blocker before any public GitHub action")</x:f>
        <x:v>add receipt/status then mirror</x:v>
      </x:c>
    </x:row>
    <x:row r="705">
      <x:c r="A705" s="15" t="str">
        <x:v>SWARM-05-H11-S08</x:v>
      </x:c>
      <x:c r="B705" s="15" t="str">
        <x:v>Rootglass</x:v>
      </x:c>
      <x:c r="C705" s="15" t="str">
        <x:v>Canon gate mirror</x:v>
      </x:c>
      <x:c r="D705" s="15" t="str">
        <x:v>Aetherforge UX</x:v>
      </x:c>
      <x:c r="E705" s="15" t="str">
        <x:v>Sheldonbrain</x:v>
      </x:c>
      <x:c r="F705" s="15" t="str">
        <x:v>Design quest card for Sheldonbrain — Rootglass</x:v>
      </x:c>
      <x:c r="G705" s="15" t="str">
        <x:v>authority boundaries / ratification packets</x:v>
      </x:c>
      <x:c r="H705" s="15" t="str">
        <x:v>source path + receipt + raw/export status + claim/edge/risk delta</x:v>
      </x:c>
      <x:c r="I705" s="15" t="str">
        <x:v>packet/SWARM-05-H11-S08</x:v>
      </x:c>
      <x:c r="J705" s="15" t="str">
        <x:v>TODO</x:v>
      </x:c>
      <x:c r="K705" s="15" t="str">
        <x:v>P1</x:v>
      </x:c>
      <x:c r="L705" s="15" t="str">
        <x:v>Done only when evidence is logged, contradiction search is noted, and boundary stamp remains non-canon unless ratified</x:v>
      </x:c>
      <x:c r="M705" s="15" t="str">
        <x:v>candidate / staging-only / not canon / not deployed / authority none</x:v>
      </x:c>
      <x:c r="N705" s="15" t="str">
        <x:v>Dispatch to Rootglass: complete Aetherforge UX x Sheldonbrain; return deltas only, receipts required.</x:v>
      </x:c>
      <x:c r="O705" s="15" t="str">
        <x:v>AF-KG-H11-S08</x:v>
      </x:c>
      <x:c r="P705" s="15" t="str">
        <x:v>Unverified</x:v>
      </x:c>
      <x:c r="Q705" s="15" t="str">
        <x:v>Not checked</x:v>
      </x:c>
      <x:c r="R705" s="15" t="str"/>
      <x:c r="S705" s="15" t="str"/>
      <x:c r="T705" s="15" t="str">
        <x:v>Log first source path or blocker</x:v>
      </x:c>
      <x:c r="U705" s="12" t="str">
        <x:f>IF(OR(P705="Unverified",Q705="Not checked"),"BLOCKED_PENDING_RECEIPT","READY_FOR_REVIEW")</x:f>
        <x:v>BLOCKED_PENDING_RECEIPT</x:v>
      </x:c>
      <x:c r="V705" s="12" t="str">
        <x:f>IF(J705="DONE","RETURNED",IF(U705="BLOCKED_PENDING_RECEIPT","SOURCE_TOUCH_REQUIRED","IN_PROGRESS"))</x:f>
        <x:v>SOURCE_TOUCH_REQUIRED</x:v>
      </x:c>
      <x:c r="W705" s="12" t="str">
        <x:f>IF(P705="Unverified","missing_receipt","receipt_logged")</x:f>
        <x:v>missing_receipt</x:v>
      </x:c>
      <x:c r="X705" s="12" t="str">
        <x:f>IF(Q705="Not checked","raw_status_missing","raw_status_logged")</x:f>
        <x:v>raw_status_missing</x:v>
      </x:c>
      <x:c r="Y705" s="12" t="str">
        <x:f>IF(U705="BLOCKED_PENDING_RECEIPT","Log source path or blocker; do not promote","Route to review lane")</x:f>
        <x:v>Log source path or blocker; do not promote</x:v>
      </x:c>
      <x:c r="Z705" s="12" t="str">
        <x:f>IF(K705="P0","Primary seat + Hashlight/Lucerna","Seat lane")</x:f>
        <x:v>Seat lane</x:v>
      </x:c>
      <x:c r="AA705" s="12" t="str">
        <x:f>IF(R705="","no_claim_delta","claim_delta_present")</x:f>
        <x:v>no_claim_delta</x:v>
      </x:c>
      <x:c r="AB705" s="12" t="str">
        <x:f>IF(S705="","no_contradiction_delta","contradiction_delta_present")</x:f>
        <x:v>no_contradiction_delta</x:v>
      </x:c>
      <x:c r="AC705" s="12" t="str">
        <x:f>IF(OR(ISNUMBER(SEARCH("hacker",LOWER(F705&amp;" "&amp;H705&amp;" "&amp;I705&amp;" "&amp;M705&amp;" "&amp;N705&amp;" "&amp;T705))),ISNUMBER(SEARCH("hacking",LOWER(F705&amp;" "&amp;H705&amp;" "&amp;I705&amp;" "&amp;M705&amp;" "&amp;N705&amp;" "&amp;T705))),ISNUMBER(SEARCH("bank",LOWER(F705&amp;" "&amp;H705&amp;" "&amp;I705&amp;" "&amp;M705&amp;" "&amp;N705&amp;" "&amp;T705))),ISNUMBER(SEARCH("banking",LOWER(F705&amp;" "&amp;H705&amp;" "&amp;I705&amp;" "&amp;M705&amp;" "&amp;N705&amp;" "&amp;T705)))),"PRIVATE_QUARANTINE",IF(OR(ISNUMBER(SEARCH("treasury",LOWER(F705&amp;" "&amp;H705&amp;" "&amp;I705&amp;" "&amp;M705&amp;" "&amp;N705&amp;" "&amp;T705))),ISNUMBER(SEARCH("debt",LOWER(F705&amp;" "&amp;H705&amp;" "&amp;I705&amp;" "&amp;M705&amp;" "&amp;N705&amp;" "&amp;T705))),ISNUMBER(SEARCH("bond",LOWER(F705&amp;" "&amp;H705&amp;" "&amp;I705&amp;" "&amp;M705&amp;" "&amp;N705&amp;" "&amp;T705))),ISNUMBER(SEARCH("transaction",LOWER(F705&amp;" "&amp;H705&amp;" "&amp;I705&amp;" "&amp;M705&amp;" "&amp;N705&amp;" "&amp;T705)))),"PRIVATE_REVIEW","PUBLIC_CANDIDATE"))</x:f>
        <x:v>PUBLIC_CANDIDATE</x:v>
      </x:c>
      <x:c r="AD705" s="12" t="str">
        <x:f>IF(AC705="PRIVATE_QUARANTINE","hacker_or_bank_trigger",IF(AC705="PRIVATE_REVIEW","finance_risk_trigger","none"))</x:f>
        <x:v>none</x:v>
      </x:c>
      <x:c r="AE705" s="12" t="str">
        <x:f>IF(AC705="PUBLIC_CANDIDATE","prepare_public_github_candidate",IF(AC705="PRIVATE_REVIEW","hold_for_private_review","quarantine_private_do_not_publish"))</x:f>
        <x:v>prepare_public_github_candidate</x:v>
      </x:c>
      <x:c r="AF705" s="12" t="str">
        <x:f>IF(AC705="PUBLIC_CANDIDATE","TIDELOCK + Lucerna",IF(AC705="PRIVATE_REVIEW","AtlasBrain + Lucerna","TIDELOCK + Lucerna + Human-root"))</x:f>
        <x:v>TIDELOCK + Lucerna</x:v>
      </x:c>
      <x:c r="AG705" s="12" t="str">
        <x:f>IF(AND(AC705="PUBLIC_CANDIDATE",U705&lt;&gt;"BLOCKED_PENDING_RECEIPT"),"READY_AFTER_RECEIPT","NOT_READY")</x:f>
        <x:v>NOT_READY</x:v>
      </x:c>
      <x:c r="AH705" s="12" t="str">
        <x:f>IF(AC705="PUBLIC_CANDIDATE","none",AD705)</x:f>
        <x:v>none</x:v>
      </x:c>
      <x:c r="AI705" s="12" t="str">
        <x:f>IF(AC705="PUBLIC_CANDIDATE","archive/public_candidates/"&amp;A705,"private_quarantine/"&amp;A705)</x:f>
        <x:v>archive/public_candidates/SWARM-05-H11-S08</x:v>
      </x:c>
      <x:c r="AJ705" s="12" t="str">
        <x:f>IF(AC705="PUBLIC_CANDIDATE","public by default; still not canon","private/hold; do not publish")</x:f>
        <x:v>public by default; still not canon</x:v>
      </x:c>
      <x:c r="AK705" s="12" t="str">
        <x:f>IF(AE705="prepare_public_github_candidate","add receipt/status then mirror","resolve blocker before any public GitHub action")</x:f>
        <x:v>add receipt/status then mirror</x:v>
      </x:c>
    </x:row>
    <x:row r="706">
      <x:c r="A706" s="15" t="str">
        <x:v>SWARM-05-H11-S09</x:v>
      </x:c>
      <x:c r="B706" s="15" t="str">
        <x:v>Rootglass</x:v>
      </x:c>
      <x:c r="C706" s="15" t="str">
        <x:v>Canon gate mirror</x:v>
      </x:c>
      <x:c r="D706" s="15" t="str">
        <x:v>Aetherforge UX</x:v>
      </x:c>
      <x:c r="E706" s="15" t="str">
        <x:v>Aetherforge</x:v>
      </x:c>
      <x:c r="F706" s="15" t="str">
        <x:v>Design quest card for Aetherforge — Rootglass</x:v>
      </x:c>
      <x:c r="G706" s="15" t="str">
        <x:v>authority boundaries / ratification packets</x:v>
      </x:c>
      <x:c r="H706" s="15" t="str">
        <x:v>source path + receipt + raw/export status + claim/edge/risk delta</x:v>
      </x:c>
      <x:c r="I706" s="15" t="str">
        <x:v>packet/SWARM-05-H11-S09</x:v>
      </x:c>
      <x:c r="J706" s="15" t="str">
        <x:v>TODO</x:v>
      </x:c>
      <x:c r="K706" s="15" t="str">
        <x:v>P2</x:v>
      </x:c>
      <x:c r="L706" s="15" t="str">
        <x:v>Done only when evidence is logged, contradiction search is noted, and boundary stamp remains non-canon unless ratified</x:v>
      </x:c>
      <x:c r="M706" s="15" t="str">
        <x:v>candidate / staging-only / not canon / not deployed / authority none</x:v>
      </x:c>
      <x:c r="N706" s="15" t="str">
        <x:v>Dispatch to Rootglass: complete Aetherforge UX x Aetherforge; return deltas only, receipts required.</x:v>
      </x:c>
      <x:c r="O706" s="15" t="str">
        <x:v>AF-KG-H11-S09</x:v>
      </x:c>
      <x:c r="P706" s="15" t="str">
        <x:v>Unverified</x:v>
      </x:c>
      <x:c r="Q706" s="15" t="str">
        <x:v>Not checked</x:v>
      </x:c>
      <x:c r="R706" s="15" t="str"/>
      <x:c r="S706" s="15" t="str"/>
      <x:c r="T706" s="15" t="str">
        <x:v>Log first source path or blocker</x:v>
      </x:c>
      <x:c r="U706" s="12" t="str">
        <x:f>IF(OR(P706="Unverified",Q706="Not checked"),"BLOCKED_PENDING_RECEIPT","READY_FOR_REVIEW")</x:f>
        <x:v>BLOCKED_PENDING_RECEIPT</x:v>
      </x:c>
      <x:c r="V706" s="12" t="str">
        <x:f>IF(J706="DONE","RETURNED",IF(U706="BLOCKED_PENDING_RECEIPT","SOURCE_TOUCH_REQUIRED","IN_PROGRESS"))</x:f>
        <x:v>SOURCE_TOUCH_REQUIRED</x:v>
      </x:c>
      <x:c r="W706" s="12" t="str">
        <x:f>IF(P706="Unverified","missing_receipt","receipt_logged")</x:f>
        <x:v>missing_receipt</x:v>
      </x:c>
      <x:c r="X706" s="12" t="str">
        <x:f>IF(Q706="Not checked","raw_status_missing","raw_status_logged")</x:f>
        <x:v>raw_status_missing</x:v>
      </x:c>
      <x:c r="Y706" s="12" t="str">
        <x:f>IF(U706="BLOCKED_PENDING_RECEIPT","Log source path or blocker; do not promote","Route to review lane")</x:f>
        <x:v>Log source path or blocker; do not promote</x:v>
      </x:c>
      <x:c r="Z706" s="12" t="str">
        <x:f>IF(K706="P0","Primary seat + Hashlight/Lucerna","Seat lane")</x:f>
        <x:v>Seat lane</x:v>
      </x:c>
      <x:c r="AA706" s="12" t="str">
        <x:f>IF(R706="","no_claim_delta","claim_delta_present")</x:f>
        <x:v>no_claim_delta</x:v>
      </x:c>
      <x:c r="AB706" s="12" t="str">
        <x:f>IF(S706="","no_contradiction_delta","contradiction_delta_present")</x:f>
        <x:v>no_contradiction_delta</x:v>
      </x:c>
      <x:c r="AC706" s="12" t="str">
        <x:f>IF(OR(ISNUMBER(SEARCH("hacker",LOWER(F706&amp;" "&amp;H706&amp;" "&amp;I706&amp;" "&amp;M706&amp;" "&amp;N706&amp;" "&amp;T706))),ISNUMBER(SEARCH("hacking",LOWER(F706&amp;" "&amp;H706&amp;" "&amp;I706&amp;" "&amp;M706&amp;" "&amp;N706&amp;" "&amp;T706))),ISNUMBER(SEARCH("bank",LOWER(F706&amp;" "&amp;H706&amp;" "&amp;I706&amp;" "&amp;M706&amp;" "&amp;N706&amp;" "&amp;T706))),ISNUMBER(SEARCH("banking",LOWER(F706&amp;" "&amp;H706&amp;" "&amp;I706&amp;" "&amp;M706&amp;" "&amp;N706&amp;" "&amp;T706)))),"PRIVATE_QUARANTINE",IF(OR(ISNUMBER(SEARCH("treasury",LOWER(F706&amp;" "&amp;H706&amp;" "&amp;I706&amp;" "&amp;M706&amp;" "&amp;N706&amp;" "&amp;T706))),ISNUMBER(SEARCH("debt",LOWER(F706&amp;" "&amp;H706&amp;" "&amp;I706&amp;" "&amp;M706&amp;" "&amp;N706&amp;" "&amp;T706))),ISNUMBER(SEARCH("bond",LOWER(F706&amp;" "&amp;H706&amp;" "&amp;I706&amp;" "&amp;M706&amp;" "&amp;N706&amp;" "&amp;T706))),ISNUMBER(SEARCH("transaction",LOWER(F706&amp;" "&amp;H706&amp;" "&amp;I706&amp;" "&amp;M706&amp;" "&amp;N706&amp;" "&amp;T706)))),"PRIVATE_REVIEW","PUBLIC_CANDIDATE"))</x:f>
        <x:v>PUBLIC_CANDIDATE</x:v>
      </x:c>
      <x:c r="AD706" s="12" t="str">
        <x:f>IF(AC706="PRIVATE_QUARANTINE","hacker_or_bank_trigger",IF(AC706="PRIVATE_REVIEW","finance_risk_trigger","none"))</x:f>
        <x:v>none</x:v>
      </x:c>
      <x:c r="AE706" s="12" t="str">
        <x:f>IF(AC706="PUBLIC_CANDIDATE","prepare_public_github_candidate",IF(AC706="PRIVATE_REVIEW","hold_for_private_review","quarantine_private_do_not_publish"))</x:f>
        <x:v>prepare_public_github_candidate</x:v>
      </x:c>
      <x:c r="AF706" s="12" t="str">
        <x:f>IF(AC706="PUBLIC_CANDIDATE","TIDELOCK + Lucerna",IF(AC706="PRIVATE_REVIEW","AtlasBrain + Lucerna","TIDELOCK + Lucerna + Human-root"))</x:f>
        <x:v>TIDELOCK + Lucerna</x:v>
      </x:c>
      <x:c r="AG706" s="12" t="str">
        <x:f>IF(AND(AC706="PUBLIC_CANDIDATE",U706&lt;&gt;"BLOCKED_PENDING_RECEIPT"),"READY_AFTER_RECEIPT","NOT_READY")</x:f>
        <x:v>NOT_READY</x:v>
      </x:c>
      <x:c r="AH706" s="12" t="str">
        <x:f>IF(AC706="PUBLIC_CANDIDATE","none",AD706)</x:f>
        <x:v>none</x:v>
      </x:c>
      <x:c r="AI706" s="12" t="str">
        <x:f>IF(AC706="PUBLIC_CANDIDATE","archive/public_candidates/"&amp;A706,"private_quarantine/"&amp;A706)</x:f>
        <x:v>archive/public_candidates/SWARM-05-H11-S09</x:v>
      </x:c>
      <x:c r="AJ706" s="12" t="str">
        <x:f>IF(AC706="PUBLIC_CANDIDATE","public by default; still not canon","private/hold; do not publish")</x:f>
        <x:v>public by default; still not canon</x:v>
      </x:c>
      <x:c r="AK706" s="12" t="str">
        <x:f>IF(AE706="prepare_public_github_candidate","add receipt/status then mirror","resolve blocker before any public GitHub action")</x:f>
        <x:v>add receipt/status then mirror</x:v>
      </x:c>
    </x:row>
    <x:row r="707">
      <x:c r="A707" s="15" t="str">
        <x:v>SWARM-05-H11-S10</x:v>
      </x:c>
      <x:c r="B707" s="15" t="str">
        <x:v>Rootglass</x:v>
      </x:c>
      <x:c r="C707" s="15" t="str">
        <x:v>Canon gate mirror</x:v>
      </x:c>
      <x:c r="D707" s="15" t="str">
        <x:v>Aetherforge UX</x:v>
      </x:c>
      <x:c r="E707" s="15" t="str">
        <x:v>Human-Root</x:v>
      </x:c>
      <x:c r="F707" s="15" t="str">
        <x:v>Design quest card for Human-Root — Rootglass</x:v>
      </x:c>
      <x:c r="G707" s="15" t="str">
        <x:v>authority boundaries / ratification packets</x:v>
      </x:c>
      <x:c r="H707" s="15" t="str">
        <x:v>source path + receipt + raw/export status + claim/edge/risk delta</x:v>
      </x:c>
      <x:c r="I707" s="15" t="str">
        <x:v>packet/SWARM-05-H11-S10</x:v>
      </x:c>
      <x:c r="J707" s="15" t="str">
        <x:v>TODO</x:v>
      </x:c>
      <x:c r="K707" s="15" t="str">
        <x:v>P2</x:v>
      </x:c>
      <x:c r="L707" s="15" t="str">
        <x:v>Done only when evidence is logged, contradiction search is noted, and boundary stamp remains non-canon unless ratified</x:v>
      </x:c>
      <x:c r="M707" s="15" t="str">
        <x:v>candidate / staging-only / not canon / not deployed / authority none</x:v>
      </x:c>
      <x:c r="N707" s="15" t="str">
        <x:v>Dispatch to Rootglass: complete Aetherforge UX x Human-Root; return deltas only, receipts required.</x:v>
      </x:c>
      <x:c r="O707" s="15" t="str">
        <x:v>AF-KG-H11-S10</x:v>
      </x:c>
      <x:c r="P707" s="15" t="str">
        <x:v>Unverified</x:v>
      </x:c>
      <x:c r="Q707" s="15" t="str">
        <x:v>Not checked</x:v>
      </x:c>
      <x:c r="R707" s="15" t="str"/>
      <x:c r="S707" s="15" t="str"/>
      <x:c r="T707" s="15" t="str">
        <x:v>Log first source path or blocker</x:v>
      </x:c>
      <x:c r="U707" s="12" t="str">
        <x:f>IF(OR(P707="Unverified",Q707="Not checked"),"BLOCKED_PENDING_RECEIPT","READY_FOR_REVIEW")</x:f>
        <x:v>BLOCKED_PENDING_RECEIPT</x:v>
      </x:c>
      <x:c r="V707" s="12" t="str">
        <x:f>IF(J707="DONE","RETURNED",IF(U707="BLOCKED_PENDING_RECEIPT","SOURCE_TOUCH_REQUIRED","IN_PROGRESS"))</x:f>
        <x:v>SOURCE_TOUCH_REQUIRED</x:v>
      </x:c>
      <x:c r="W707" s="12" t="str">
        <x:f>IF(P707="Unverified","missing_receipt","receipt_logged")</x:f>
        <x:v>missing_receipt</x:v>
      </x:c>
      <x:c r="X707" s="12" t="str">
        <x:f>IF(Q707="Not checked","raw_status_missing","raw_status_logged")</x:f>
        <x:v>raw_status_missing</x:v>
      </x:c>
      <x:c r="Y707" s="12" t="str">
        <x:f>IF(U707="BLOCKED_PENDING_RECEIPT","Log source path or blocker; do not promote","Route to review lane")</x:f>
        <x:v>Log source path or blocker; do not promote</x:v>
      </x:c>
      <x:c r="Z707" s="12" t="str">
        <x:f>IF(K707="P0","Primary seat + Hashlight/Lucerna","Seat lane")</x:f>
        <x:v>Seat lane</x:v>
      </x:c>
      <x:c r="AA707" s="12" t="str">
        <x:f>IF(R707="","no_claim_delta","claim_delta_present")</x:f>
        <x:v>no_claim_delta</x:v>
      </x:c>
      <x:c r="AB707" s="12" t="str">
        <x:f>IF(S707="","no_contradiction_delta","contradiction_delta_present")</x:f>
        <x:v>no_contradiction_delta</x:v>
      </x:c>
      <x:c r="AC707" s="12" t="str">
        <x:f>IF(OR(ISNUMBER(SEARCH("hacker",LOWER(F707&amp;" "&amp;H707&amp;" "&amp;I707&amp;" "&amp;M707&amp;" "&amp;N707&amp;" "&amp;T707))),ISNUMBER(SEARCH("hacking",LOWER(F707&amp;" "&amp;H707&amp;" "&amp;I707&amp;" "&amp;M707&amp;" "&amp;N707&amp;" "&amp;T707))),ISNUMBER(SEARCH("bank",LOWER(F707&amp;" "&amp;H707&amp;" "&amp;I707&amp;" "&amp;M707&amp;" "&amp;N707&amp;" "&amp;T707))),ISNUMBER(SEARCH("banking",LOWER(F707&amp;" "&amp;H707&amp;" "&amp;I707&amp;" "&amp;M707&amp;" "&amp;N707&amp;" "&amp;T707)))),"PRIVATE_QUARANTINE",IF(OR(ISNUMBER(SEARCH("treasury",LOWER(F707&amp;" "&amp;H707&amp;" "&amp;I707&amp;" "&amp;M707&amp;" "&amp;N707&amp;" "&amp;T707))),ISNUMBER(SEARCH("debt",LOWER(F707&amp;" "&amp;H707&amp;" "&amp;I707&amp;" "&amp;M707&amp;" "&amp;N707&amp;" "&amp;T707))),ISNUMBER(SEARCH("bond",LOWER(F707&amp;" "&amp;H707&amp;" "&amp;I707&amp;" "&amp;M707&amp;" "&amp;N707&amp;" "&amp;T707))),ISNUMBER(SEARCH("transaction",LOWER(F707&amp;" "&amp;H707&amp;" "&amp;I707&amp;" "&amp;M707&amp;" "&amp;N707&amp;" "&amp;T707)))),"PRIVATE_REVIEW","PUBLIC_CANDIDATE"))</x:f>
        <x:v>PUBLIC_CANDIDATE</x:v>
      </x:c>
      <x:c r="AD707" s="12" t="str">
        <x:f>IF(AC707="PRIVATE_QUARANTINE","hacker_or_bank_trigger",IF(AC707="PRIVATE_REVIEW","finance_risk_trigger","none"))</x:f>
        <x:v>none</x:v>
      </x:c>
      <x:c r="AE707" s="12" t="str">
        <x:f>IF(AC707="PUBLIC_CANDIDATE","prepare_public_github_candidate",IF(AC707="PRIVATE_REVIEW","hold_for_private_review","quarantine_private_do_not_publish"))</x:f>
        <x:v>prepare_public_github_candidate</x:v>
      </x:c>
      <x:c r="AF707" s="12" t="str">
        <x:f>IF(AC707="PUBLIC_CANDIDATE","TIDELOCK + Lucerna",IF(AC707="PRIVATE_REVIEW","AtlasBrain + Lucerna","TIDELOCK + Lucerna + Human-root"))</x:f>
        <x:v>TIDELOCK + Lucerna</x:v>
      </x:c>
      <x:c r="AG707" s="12" t="str">
        <x:f>IF(AND(AC707="PUBLIC_CANDIDATE",U707&lt;&gt;"BLOCKED_PENDING_RECEIPT"),"READY_AFTER_RECEIPT","NOT_READY")</x:f>
        <x:v>NOT_READY</x:v>
      </x:c>
      <x:c r="AH707" s="12" t="str">
        <x:f>IF(AC707="PUBLIC_CANDIDATE","none",AD707)</x:f>
        <x:v>none</x:v>
      </x:c>
      <x:c r="AI707" s="12" t="str">
        <x:f>IF(AC707="PUBLIC_CANDIDATE","archive/public_candidates/"&amp;A707,"private_quarantine/"&amp;A707)</x:f>
        <x:v>archive/public_candidates/SWARM-05-H11-S10</x:v>
      </x:c>
      <x:c r="AJ707" s="12" t="str">
        <x:f>IF(AC707="PUBLIC_CANDIDATE","public by default; still not canon","private/hold; do not publish")</x:f>
        <x:v>public by default; still not canon</x:v>
      </x:c>
      <x:c r="AK707" s="12" t="str">
        <x:f>IF(AE707="prepare_public_github_candidate","add receipt/status then mirror","resolve blocker before any public GitHub action")</x:f>
        <x:v>add receipt/status then mirror</x:v>
      </x:c>
    </x:row>
    <x:row r="708">
      <x:c r="A708" s="15" t="str">
        <x:v>SWARM-05-H11-S11</x:v>
      </x:c>
      <x:c r="B708" s="15" t="str">
        <x:v>Rootglass</x:v>
      </x:c>
      <x:c r="C708" s="15" t="str">
        <x:v>Canon gate mirror</x:v>
      </x:c>
      <x:c r="D708" s="15" t="str">
        <x:v>Aetherforge UX</x:v>
      </x:c>
      <x:c r="E708" s="15" t="str">
        <x:v>Automation</x:v>
      </x:c>
      <x:c r="F708" s="15" t="str">
        <x:v>Design quest card for Automation — Rootglass</x:v>
      </x:c>
      <x:c r="G708" s="15" t="str">
        <x:v>authority boundaries / ratification packets</x:v>
      </x:c>
      <x:c r="H708" s="15" t="str">
        <x:v>source path + receipt + raw/export status + claim/edge/risk delta</x:v>
      </x:c>
      <x:c r="I708" s="15" t="str">
        <x:v>packet/SWARM-05-H11-S11</x:v>
      </x:c>
      <x:c r="J708" s="15" t="str">
        <x:v>TODO</x:v>
      </x:c>
      <x:c r="K708" s="15" t="str">
        <x:v>P2</x:v>
      </x:c>
      <x:c r="L708" s="15" t="str">
        <x:v>Done only when evidence is logged, contradiction search is noted, and boundary stamp remains non-canon unless ratified</x:v>
      </x:c>
      <x:c r="M708" s="15" t="str">
        <x:v>candidate / staging-only / not canon / not deployed / authority none</x:v>
      </x:c>
      <x:c r="N708" s="15" t="str">
        <x:v>Dispatch to Rootglass: complete Aetherforge UX x Automation; return deltas only, receipts required.</x:v>
      </x:c>
      <x:c r="O708" s="15" t="str">
        <x:v>AF-KG-H11-S11</x:v>
      </x:c>
      <x:c r="P708" s="15" t="str">
        <x:v>Unverified</x:v>
      </x:c>
      <x:c r="Q708" s="15" t="str">
        <x:v>Not checked</x:v>
      </x:c>
      <x:c r="R708" s="15" t="str"/>
      <x:c r="S708" s="15" t="str"/>
      <x:c r="T708" s="15" t="str">
        <x:v>Log first source path or blocker</x:v>
      </x:c>
      <x:c r="U708" s="12" t="str">
        <x:f>IF(OR(P708="Unverified",Q708="Not checked"),"BLOCKED_PENDING_RECEIPT","READY_FOR_REVIEW")</x:f>
        <x:v>BLOCKED_PENDING_RECEIPT</x:v>
      </x:c>
      <x:c r="V708" s="12" t="str">
        <x:f>IF(J708="DONE","RETURNED",IF(U708="BLOCKED_PENDING_RECEIPT","SOURCE_TOUCH_REQUIRED","IN_PROGRESS"))</x:f>
        <x:v>SOURCE_TOUCH_REQUIRED</x:v>
      </x:c>
      <x:c r="W708" s="12" t="str">
        <x:f>IF(P708="Unverified","missing_receipt","receipt_logged")</x:f>
        <x:v>missing_receipt</x:v>
      </x:c>
      <x:c r="X708" s="12" t="str">
        <x:f>IF(Q708="Not checked","raw_status_missing","raw_status_logged")</x:f>
        <x:v>raw_status_missing</x:v>
      </x:c>
      <x:c r="Y708" s="12" t="str">
        <x:f>IF(U708="BLOCKED_PENDING_RECEIPT","Log source path or blocker; do not promote","Route to review lane")</x:f>
        <x:v>Log source path or blocker; do not promote</x:v>
      </x:c>
      <x:c r="Z708" s="12" t="str">
        <x:f>IF(K708="P0","Primary seat + Hashlight/Lucerna","Seat lane")</x:f>
        <x:v>Seat lane</x:v>
      </x:c>
      <x:c r="AA708" s="12" t="str">
        <x:f>IF(R708="","no_claim_delta","claim_delta_present")</x:f>
        <x:v>no_claim_delta</x:v>
      </x:c>
      <x:c r="AB708" s="12" t="str">
        <x:f>IF(S708="","no_contradiction_delta","contradiction_delta_present")</x:f>
        <x:v>no_contradiction_delta</x:v>
      </x:c>
      <x:c r="AC708" s="12" t="str">
        <x:f>IF(OR(ISNUMBER(SEARCH("hacker",LOWER(F708&amp;" "&amp;H708&amp;" "&amp;I708&amp;" "&amp;M708&amp;" "&amp;N708&amp;" "&amp;T708))),ISNUMBER(SEARCH("hacking",LOWER(F708&amp;" "&amp;H708&amp;" "&amp;I708&amp;" "&amp;M708&amp;" "&amp;N708&amp;" "&amp;T708))),ISNUMBER(SEARCH("bank",LOWER(F708&amp;" "&amp;H708&amp;" "&amp;I708&amp;" "&amp;M708&amp;" "&amp;N708&amp;" "&amp;T708))),ISNUMBER(SEARCH("banking",LOWER(F708&amp;" "&amp;H708&amp;" "&amp;I708&amp;" "&amp;M708&amp;" "&amp;N708&amp;" "&amp;T708)))),"PRIVATE_QUARANTINE",IF(OR(ISNUMBER(SEARCH("treasury",LOWER(F708&amp;" "&amp;H708&amp;" "&amp;I708&amp;" "&amp;M708&amp;" "&amp;N708&amp;" "&amp;T708))),ISNUMBER(SEARCH("debt",LOWER(F708&amp;" "&amp;H708&amp;" "&amp;I708&amp;" "&amp;M708&amp;" "&amp;N708&amp;" "&amp;T708))),ISNUMBER(SEARCH("bond",LOWER(F708&amp;" "&amp;H708&amp;" "&amp;I708&amp;" "&amp;M708&amp;" "&amp;N708&amp;" "&amp;T708))),ISNUMBER(SEARCH("transaction",LOWER(F708&amp;" "&amp;H708&amp;" "&amp;I708&amp;" "&amp;M708&amp;" "&amp;N708&amp;" "&amp;T708)))),"PRIVATE_REVIEW","PUBLIC_CANDIDATE"))</x:f>
        <x:v>PUBLIC_CANDIDATE</x:v>
      </x:c>
      <x:c r="AD708" s="12" t="str">
        <x:f>IF(AC708="PRIVATE_QUARANTINE","hacker_or_bank_trigger",IF(AC708="PRIVATE_REVIEW","finance_risk_trigger","none"))</x:f>
        <x:v>none</x:v>
      </x:c>
      <x:c r="AE708" s="12" t="str">
        <x:f>IF(AC708="PUBLIC_CANDIDATE","prepare_public_github_candidate",IF(AC708="PRIVATE_REVIEW","hold_for_private_review","quarantine_private_do_not_publish"))</x:f>
        <x:v>prepare_public_github_candidate</x:v>
      </x:c>
      <x:c r="AF708" s="12" t="str">
        <x:f>IF(AC708="PUBLIC_CANDIDATE","TIDELOCK + Lucerna",IF(AC708="PRIVATE_REVIEW","AtlasBrain + Lucerna","TIDELOCK + Lucerna + Human-root"))</x:f>
        <x:v>TIDELOCK + Lucerna</x:v>
      </x:c>
      <x:c r="AG708" s="12" t="str">
        <x:f>IF(AND(AC708="PUBLIC_CANDIDATE",U708&lt;&gt;"BLOCKED_PENDING_RECEIPT"),"READY_AFTER_RECEIPT","NOT_READY")</x:f>
        <x:v>NOT_READY</x:v>
      </x:c>
      <x:c r="AH708" s="12" t="str">
        <x:f>IF(AC708="PUBLIC_CANDIDATE","none",AD708)</x:f>
        <x:v>none</x:v>
      </x:c>
      <x:c r="AI708" s="12" t="str">
        <x:f>IF(AC708="PUBLIC_CANDIDATE","archive/public_candidates/"&amp;A708,"private_quarantine/"&amp;A708)</x:f>
        <x:v>archive/public_candidates/SWARM-05-H11-S11</x:v>
      </x:c>
      <x:c r="AJ708" s="12" t="str">
        <x:f>IF(AC708="PUBLIC_CANDIDATE","public by default; still not canon","private/hold; do not publish")</x:f>
        <x:v>public by default; still not canon</x:v>
      </x:c>
      <x:c r="AK708" s="12" t="str">
        <x:f>IF(AE708="prepare_public_github_candidate","add receipt/status then mirror","resolve blocker before any public GitHub action")</x:f>
        <x:v>add receipt/status then mirror</x:v>
      </x:c>
    </x:row>
    <x:row r="709">
      <x:c r="A709" s="15" t="str">
        <x:v>SWARM-05-H11-S12</x:v>
      </x:c>
      <x:c r="B709" s="15" t="str">
        <x:v>Rootglass</x:v>
      </x:c>
      <x:c r="C709" s="15" t="str">
        <x:v>Canon gate mirror</x:v>
      </x:c>
      <x:c r="D709" s="15" t="str">
        <x:v>Aetherforge UX</x:v>
      </x:c>
      <x:c r="E709" s="15" t="str">
        <x:v>Risk / Safety</x:v>
      </x:c>
      <x:c r="F709" s="15" t="str">
        <x:v>Design quest card for Risk / Safety — Rootglass</x:v>
      </x:c>
      <x:c r="G709" s="15" t="str">
        <x:v>authority boundaries / ratification packets</x:v>
      </x:c>
      <x:c r="H709" s="15" t="str">
        <x:v>source path + receipt + raw/export status + claim/edge/risk delta</x:v>
      </x:c>
      <x:c r="I709" s="15" t="str">
        <x:v>packet/SWARM-05-H11-S12</x:v>
      </x:c>
      <x:c r="J709" s="15" t="str">
        <x:v>TODO</x:v>
      </x:c>
      <x:c r="K709" s="15" t="str">
        <x:v>P2</x:v>
      </x:c>
      <x:c r="L709" s="15" t="str">
        <x:v>Done only when evidence is logged, contradiction search is noted, and boundary stamp remains non-canon unless ratified</x:v>
      </x:c>
      <x:c r="M709" s="15" t="str">
        <x:v>candidate / staging-only / not canon / not deployed / authority none</x:v>
      </x:c>
      <x:c r="N709" s="15" t="str">
        <x:v>Dispatch to Rootglass: complete Aetherforge UX x Risk / Safety; return deltas only, receipts required.</x:v>
      </x:c>
      <x:c r="O709" s="15" t="str">
        <x:v>AF-KG-H11-S12</x:v>
      </x:c>
      <x:c r="P709" s="15" t="str">
        <x:v>Unverified</x:v>
      </x:c>
      <x:c r="Q709" s="15" t="str">
        <x:v>Not checked</x:v>
      </x:c>
      <x:c r="R709" s="15" t="str"/>
      <x:c r="S709" s="15" t="str"/>
      <x:c r="T709" s="15" t="str">
        <x:v>Log first source path or blocker</x:v>
      </x:c>
      <x:c r="U709" s="12" t="str">
        <x:f>IF(OR(P709="Unverified",Q709="Not checked"),"BLOCKED_PENDING_RECEIPT","READY_FOR_REVIEW")</x:f>
        <x:v>BLOCKED_PENDING_RECEIPT</x:v>
      </x:c>
      <x:c r="V709" s="12" t="str">
        <x:f>IF(J709="DONE","RETURNED",IF(U709="BLOCKED_PENDING_RECEIPT","SOURCE_TOUCH_REQUIRED","IN_PROGRESS"))</x:f>
        <x:v>SOURCE_TOUCH_REQUIRED</x:v>
      </x:c>
      <x:c r="W709" s="12" t="str">
        <x:f>IF(P709="Unverified","missing_receipt","receipt_logged")</x:f>
        <x:v>missing_receipt</x:v>
      </x:c>
      <x:c r="X709" s="12" t="str">
        <x:f>IF(Q709="Not checked","raw_status_missing","raw_status_logged")</x:f>
        <x:v>raw_status_missing</x:v>
      </x:c>
      <x:c r="Y709" s="12" t="str">
        <x:f>IF(U709="BLOCKED_PENDING_RECEIPT","Log source path or blocker; do not promote","Route to review lane")</x:f>
        <x:v>Log source path or blocker; do not promote</x:v>
      </x:c>
      <x:c r="Z709" s="12" t="str">
        <x:f>IF(K709="P0","Primary seat + Hashlight/Lucerna","Seat lane")</x:f>
        <x:v>Seat lane</x:v>
      </x:c>
      <x:c r="AA709" s="12" t="str">
        <x:f>IF(R709="","no_claim_delta","claim_delta_present")</x:f>
        <x:v>no_claim_delta</x:v>
      </x:c>
      <x:c r="AB709" s="12" t="str">
        <x:f>IF(S709="","no_contradiction_delta","contradiction_delta_present")</x:f>
        <x:v>no_contradiction_delta</x:v>
      </x:c>
      <x:c r="AC709" s="12" t="str">
        <x:f>IF(OR(ISNUMBER(SEARCH("hacker",LOWER(F709&amp;" "&amp;H709&amp;" "&amp;I709&amp;" "&amp;M709&amp;" "&amp;N709&amp;" "&amp;T709))),ISNUMBER(SEARCH("hacking",LOWER(F709&amp;" "&amp;H709&amp;" "&amp;I709&amp;" "&amp;M709&amp;" "&amp;N709&amp;" "&amp;T709))),ISNUMBER(SEARCH("bank",LOWER(F709&amp;" "&amp;H709&amp;" "&amp;I709&amp;" "&amp;M709&amp;" "&amp;N709&amp;" "&amp;T709))),ISNUMBER(SEARCH("banking",LOWER(F709&amp;" "&amp;H709&amp;" "&amp;I709&amp;" "&amp;M709&amp;" "&amp;N709&amp;" "&amp;T709)))),"PRIVATE_QUARANTINE",IF(OR(ISNUMBER(SEARCH("treasury",LOWER(F709&amp;" "&amp;H709&amp;" "&amp;I709&amp;" "&amp;M709&amp;" "&amp;N709&amp;" "&amp;T709))),ISNUMBER(SEARCH("debt",LOWER(F709&amp;" "&amp;H709&amp;" "&amp;I709&amp;" "&amp;M709&amp;" "&amp;N709&amp;" "&amp;T709))),ISNUMBER(SEARCH("bond",LOWER(F709&amp;" "&amp;H709&amp;" "&amp;I709&amp;" "&amp;M709&amp;" "&amp;N709&amp;" "&amp;T709))),ISNUMBER(SEARCH("transaction",LOWER(F709&amp;" "&amp;H709&amp;" "&amp;I709&amp;" "&amp;M709&amp;" "&amp;N709&amp;" "&amp;T709)))),"PRIVATE_REVIEW","PUBLIC_CANDIDATE"))</x:f>
        <x:v>PUBLIC_CANDIDATE</x:v>
      </x:c>
      <x:c r="AD709" s="12" t="str">
        <x:f>IF(AC709="PRIVATE_QUARANTINE","hacker_or_bank_trigger",IF(AC709="PRIVATE_REVIEW","finance_risk_trigger","none"))</x:f>
        <x:v>none</x:v>
      </x:c>
      <x:c r="AE709" s="12" t="str">
        <x:f>IF(AC709="PUBLIC_CANDIDATE","prepare_public_github_candidate",IF(AC709="PRIVATE_REVIEW","hold_for_private_review","quarantine_private_do_not_publish"))</x:f>
        <x:v>prepare_public_github_candidate</x:v>
      </x:c>
      <x:c r="AF709" s="12" t="str">
        <x:f>IF(AC709="PUBLIC_CANDIDATE","TIDELOCK + Lucerna",IF(AC709="PRIVATE_REVIEW","AtlasBrain + Lucerna","TIDELOCK + Lucerna + Human-root"))</x:f>
        <x:v>TIDELOCK + Lucerna</x:v>
      </x:c>
      <x:c r="AG709" s="12" t="str">
        <x:f>IF(AND(AC709="PUBLIC_CANDIDATE",U709&lt;&gt;"BLOCKED_PENDING_RECEIPT"),"READY_AFTER_RECEIPT","NOT_READY")</x:f>
        <x:v>NOT_READY</x:v>
      </x:c>
      <x:c r="AH709" s="12" t="str">
        <x:f>IF(AC709="PUBLIC_CANDIDATE","none",AD709)</x:f>
        <x:v>none</x:v>
      </x:c>
      <x:c r="AI709" s="12" t="str">
        <x:f>IF(AC709="PUBLIC_CANDIDATE","archive/public_candidates/"&amp;A709,"private_quarantine/"&amp;A709)</x:f>
        <x:v>archive/public_candidates/SWARM-05-H11-S12</x:v>
      </x:c>
      <x:c r="AJ709" s="12" t="str">
        <x:f>IF(AC709="PUBLIC_CANDIDATE","public by default; still not canon","private/hold; do not publish")</x:f>
        <x:v>public by default; still not canon</x:v>
      </x:c>
      <x:c r="AK709" s="12" t="str">
        <x:f>IF(AE709="prepare_public_github_candidate","add receipt/status then mirror","resolve blocker before any public GitHub action")</x:f>
        <x:v>add receipt/status then mirror</x:v>
      </x:c>
    </x:row>
    <x:row r="710">
      <x:c r="A710" s="15" t="str">
        <x:v>SWARM-05-H12-S01</x:v>
      </x:c>
      <x:c r="B710" s="15" t="str">
        <x:v>Rootglass</x:v>
      </x:c>
      <x:c r="C710" s="15" t="str">
        <x:v>Canon gate mirror</x:v>
      </x:c>
      <x:c r="D710" s="15" t="str">
        <x:v>Canon-Gate Prep</x:v>
      </x:c>
      <x:c r="E710" s="15" t="str">
        <x:v>Notion</x:v>
      </x:c>
      <x:c r="F710" s="15" t="str">
        <x:v>Prepare canon-gate brief for Notion — Rootglass</x:v>
      </x:c>
      <x:c r="G710" s="15" t="str">
        <x:v>authority boundaries / ratification packets</x:v>
      </x:c>
      <x:c r="H710" s="15" t="str">
        <x:v>source path + receipt + raw/export status + claim/edge/risk delta</x:v>
      </x:c>
      <x:c r="I710" s="15" t="str">
        <x:v>packet/SWARM-05-H12-S01</x:v>
      </x:c>
      <x:c r="J710" s="15" t="str">
        <x:v>TODO</x:v>
      </x:c>
      <x:c r="K710" s="15" t="str">
        <x:v>P0</x:v>
      </x:c>
      <x:c r="L710" s="15" t="str">
        <x:v>Done only when evidence is logged, contradiction search is noted, and boundary stamp remains non-canon unless ratified</x:v>
      </x:c>
      <x:c r="M710" s="15" t="str">
        <x:v>candidate / staging-only / not canon / not deployed / authority none</x:v>
      </x:c>
      <x:c r="N710" s="15" t="str">
        <x:v>Dispatch to Rootglass: complete Canon-Gate Prep x Notion; return deltas only, receipts required.</x:v>
      </x:c>
      <x:c r="O710" s="15" t="str">
        <x:v>AF-KG-H12-S01</x:v>
      </x:c>
      <x:c r="P710" s="15" t="str">
        <x:v>Unverified</x:v>
      </x:c>
      <x:c r="Q710" s="15" t="str">
        <x:v>Not checked</x:v>
      </x:c>
      <x:c r="R710" s="15" t="str"/>
      <x:c r="S710" s="15" t="str"/>
      <x:c r="T710" s="15" t="str">
        <x:v>Log first source path or blocker</x:v>
      </x:c>
      <x:c r="U710" s="12" t="str">
        <x:f>IF(OR(P710="Unverified",Q710="Not checked"),"BLOCKED_PENDING_RECEIPT","READY_FOR_REVIEW")</x:f>
        <x:v>BLOCKED_PENDING_RECEIPT</x:v>
      </x:c>
      <x:c r="V710" s="12" t="str">
        <x:f>IF(J710="DONE","RETURNED",IF(U710="BLOCKED_PENDING_RECEIPT","SOURCE_TOUCH_REQUIRED","IN_PROGRESS"))</x:f>
        <x:v>SOURCE_TOUCH_REQUIRED</x:v>
      </x:c>
      <x:c r="W710" s="12" t="str">
        <x:f>IF(P710="Unverified","missing_receipt","receipt_logged")</x:f>
        <x:v>missing_receipt</x:v>
      </x:c>
      <x:c r="X710" s="12" t="str">
        <x:f>IF(Q710="Not checked","raw_status_missing","raw_status_logged")</x:f>
        <x:v>raw_status_missing</x:v>
      </x:c>
      <x:c r="Y710" s="12" t="str">
        <x:f>IF(U710="BLOCKED_PENDING_RECEIPT","Log source path or blocker; do not promote","Route to review lane")</x:f>
        <x:v>Log source path or blocker; do not promote</x:v>
      </x:c>
      <x:c r="Z710" s="12" t="str">
        <x:f>IF(K710="P0","Primary seat + Hashlight/Lucerna","Seat lane")</x:f>
        <x:v>Primary seat + Hashlight/Lucerna</x:v>
      </x:c>
      <x:c r="AA710" s="12" t="str">
        <x:f>IF(R710="","no_claim_delta","claim_delta_present")</x:f>
        <x:v>no_claim_delta</x:v>
      </x:c>
      <x:c r="AB710" s="12" t="str">
        <x:f>IF(S710="","no_contradiction_delta","contradiction_delta_present")</x:f>
        <x:v>no_contradiction_delta</x:v>
      </x:c>
      <x:c r="AC710" s="12" t="str">
        <x:f>IF(OR(ISNUMBER(SEARCH("hacker",LOWER(F710&amp;" "&amp;H710&amp;" "&amp;I710&amp;" "&amp;M710&amp;" "&amp;N710&amp;" "&amp;T710))),ISNUMBER(SEARCH("hacking",LOWER(F710&amp;" "&amp;H710&amp;" "&amp;I710&amp;" "&amp;M710&amp;" "&amp;N710&amp;" "&amp;T710))),ISNUMBER(SEARCH("bank",LOWER(F710&amp;" "&amp;H710&amp;" "&amp;I710&amp;" "&amp;M710&amp;" "&amp;N710&amp;" "&amp;T710))),ISNUMBER(SEARCH("banking",LOWER(F710&amp;" "&amp;H710&amp;" "&amp;I710&amp;" "&amp;M710&amp;" "&amp;N710&amp;" "&amp;T710)))),"PRIVATE_QUARANTINE",IF(OR(ISNUMBER(SEARCH("treasury",LOWER(F710&amp;" "&amp;H710&amp;" "&amp;I710&amp;" "&amp;M710&amp;" "&amp;N710&amp;" "&amp;T710))),ISNUMBER(SEARCH("debt",LOWER(F710&amp;" "&amp;H710&amp;" "&amp;I710&amp;" "&amp;M710&amp;" "&amp;N710&amp;" "&amp;T710))),ISNUMBER(SEARCH("bond",LOWER(F710&amp;" "&amp;H710&amp;" "&amp;I710&amp;" "&amp;M710&amp;" "&amp;N710&amp;" "&amp;T710))),ISNUMBER(SEARCH("transaction",LOWER(F710&amp;" "&amp;H710&amp;" "&amp;I710&amp;" "&amp;M710&amp;" "&amp;N710&amp;" "&amp;T710)))),"PRIVATE_REVIEW","PUBLIC_CANDIDATE"))</x:f>
        <x:v>PUBLIC_CANDIDATE</x:v>
      </x:c>
      <x:c r="AD710" s="12" t="str">
        <x:f>IF(AC710="PRIVATE_QUARANTINE","hacker_or_bank_trigger",IF(AC710="PRIVATE_REVIEW","finance_risk_trigger","none"))</x:f>
        <x:v>none</x:v>
      </x:c>
      <x:c r="AE710" s="12" t="str">
        <x:f>IF(AC710="PUBLIC_CANDIDATE","prepare_public_github_candidate",IF(AC710="PRIVATE_REVIEW","hold_for_private_review","quarantine_private_do_not_publish"))</x:f>
        <x:v>prepare_public_github_candidate</x:v>
      </x:c>
      <x:c r="AF710" s="12" t="str">
        <x:f>IF(AC710="PUBLIC_CANDIDATE","TIDELOCK + Lucerna",IF(AC710="PRIVATE_REVIEW","AtlasBrain + Lucerna","TIDELOCK + Lucerna + Human-root"))</x:f>
        <x:v>TIDELOCK + Lucerna</x:v>
      </x:c>
      <x:c r="AG710" s="12" t="str">
        <x:f>IF(AND(AC710="PUBLIC_CANDIDATE",U710&lt;&gt;"BLOCKED_PENDING_RECEIPT"),"READY_AFTER_RECEIPT","NOT_READY")</x:f>
        <x:v>NOT_READY</x:v>
      </x:c>
      <x:c r="AH710" s="12" t="str">
        <x:f>IF(AC710="PUBLIC_CANDIDATE","none",AD710)</x:f>
        <x:v>none</x:v>
      </x:c>
      <x:c r="AI710" s="12" t="str">
        <x:f>IF(AC710="PUBLIC_CANDIDATE","archive/public_candidates/"&amp;A710,"private_quarantine/"&amp;A710)</x:f>
        <x:v>archive/public_candidates/SWARM-05-H12-S01</x:v>
      </x:c>
      <x:c r="AJ710" s="12" t="str">
        <x:f>IF(AC710="PUBLIC_CANDIDATE","public by default; still not canon","private/hold; do not publish")</x:f>
        <x:v>public by default; still not canon</x:v>
      </x:c>
      <x:c r="AK710" s="12" t="str">
        <x:f>IF(AE710="prepare_public_github_candidate","add receipt/status then mirror","resolve blocker before any public GitHub action")</x:f>
        <x:v>add receipt/status then mirror</x:v>
      </x:c>
    </x:row>
    <x:row r="711">
      <x:c r="A711" s="15" t="str">
        <x:v>SWARM-05-H12-S02</x:v>
      </x:c>
      <x:c r="B711" s="15" t="str">
        <x:v>Rootglass</x:v>
      </x:c>
      <x:c r="C711" s="15" t="str">
        <x:v>Canon gate mirror</x:v>
      </x:c>
      <x:c r="D711" s="15" t="str">
        <x:v>Canon-Gate Prep</x:v>
      </x:c>
      <x:c r="E711" s="15" t="str">
        <x:v>Drive</x:v>
      </x:c>
      <x:c r="F711" s="15" t="str">
        <x:v>Prepare canon-gate brief for Drive — Rootglass</x:v>
      </x:c>
      <x:c r="G711" s="15" t="str">
        <x:v>authority boundaries / ratification packets</x:v>
      </x:c>
      <x:c r="H711" s="15" t="str">
        <x:v>source path + receipt + raw/export status + claim/edge/risk delta</x:v>
      </x:c>
      <x:c r="I711" s="15" t="str">
        <x:v>packet/SWARM-05-H12-S02</x:v>
      </x:c>
      <x:c r="J711" s="15" t="str">
        <x:v>TODO</x:v>
      </x:c>
      <x:c r="K711" s="15" t="str">
        <x:v>P0</x:v>
      </x:c>
      <x:c r="L711" s="15" t="str">
        <x:v>Done only when evidence is logged, contradiction search is noted, and boundary stamp remains non-canon unless ratified</x:v>
      </x:c>
      <x:c r="M711" s="15" t="str">
        <x:v>candidate / staging-only / not canon / not deployed / authority none</x:v>
      </x:c>
      <x:c r="N711" s="15" t="str">
        <x:v>Dispatch to Rootglass: complete Canon-Gate Prep x Drive; return deltas only, receipts required.</x:v>
      </x:c>
      <x:c r="O711" s="15" t="str">
        <x:v>AF-KG-H12-S02</x:v>
      </x:c>
      <x:c r="P711" s="15" t="str">
        <x:v>Unverified</x:v>
      </x:c>
      <x:c r="Q711" s="15" t="str">
        <x:v>Not checked</x:v>
      </x:c>
      <x:c r="R711" s="15" t="str"/>
      <x:c r="S711" s="15" t="str"/>
      <x:c r="T711" s="15" t="str">
        <x:v>Log first source path or blocker</x:v>
      </x:c>
      <x:c r="U711" s="12" t="str">
        <x:f>IF(OR(P711="Unverified",Q711="Not checked"),"BLOCKED_PENDING_RECEIPT","READY_FOR_REVIEW")</x:f>
        <x:v>BLOCKED_PENDING_RECEIPT</x:v>
      </x:c>
      <x:c r="V711" s="12" t="str">
        <x:f>IF(J711="DONE","RETURNED",IF(U711="BLOCKED_PENDING_RECEIPT","SOURCE_TOUCH_REQUIRED","IN_PROGRESS"))</x:f>
        <x:v>SOURCE_TOUCH_REQUIRED</x:v>
      </x:c>
      <x:c r="W711" s="12" t="str">
        <x:f>IF(P711="Unverified","missing_receipt","receipt_logged")</x:f>
        <x:v>missing_receipt</x:v>
      </x:c>
      <x:c r="X711" s="12" t="str">
        <x:f>IF(Q711="Not checked","raw_status_missing","raw_status_logged")</x:f>
        <x:v>raw_status_missing</x:v>
      </x:c>
      <x:c r="Y711" s="12" t="str">
        <x:f>IF(U711="BLOCKED_PENDING_RECEIPT","Log source path or blocker; do not promote","Route to review lane")</x:f>
        <x:v>Log source path or blocker; do not promote</x:v>
      </x:c>
      <x:c r="Z711" s="12" t="str">
        <x:f>IF(K711="P0","Primary seat + Hashlight/Lucerna","Seat lane")</x:f>
        <x:v>Primary seat + Hashlight/Lucerna</x:v>
      </x:c>
      <x:c r="AA711" s="12" t="str">
        <x:f>IF(R711="","no_claim_delta","claim_delta_present")</x:f>
        <x:v>no_claim_delta</x:v>
      </x:c>
      <x:c r="AB711" s="12" t="str">
        <x:f>IF(S711="","no_contradiction_delta","contradiction_delta_present")</x:f>
        <x:v>no_contradiction_delta</x:v>
      </x:c>
      <x:c r="AC711" s="12" t="str">
        <x:f>IF(OR(ISNUMBER(SEARCH("hacker",LOWER(F711&amp;" "&amp;H711&amp;" "&amp;I711&amp;" "&amp;M711&amp;" "&amp;N711&amp;" "&amp;T711))),ISNUMBER(SEARCH("hacking",LOWER(F711&amp;" "&amp;H711&amp;" "&amp;I711&amp;" "&amp;M711&amp;" "&amp;N711&amp;" "&amp;T711))),ISNUMBER(SEARCH("bank",LOWER(F711&amp;" "&amp;H711&amp;" "&amp;I711&amp;" "&amp;M711&amp;" "&amp;N711&amp;" "&amp;T711))),ISNUMBER(SEARCH("banking",LOWER(F711&amp;" "&amp;H711&amp;" "&amp;I711&amp;" "&amp;M711&amp;" "&amp;N711&amp;" "&amp;T711)))),"PRIVATE_QUARANTINE",IF(OR(ISNUMBER(SEARCH("treasury",LOWER(F711&amp;" "&amp;H711&amp;" "&amp;I711&amp;" "&amp;M711&amp;" "&amp;N711&amp;" "&amp;T711))),ISNUMBER(SEARCH("debt",LOWER(F711&amp;" "&amp;H711&amp;" "&amp;I711&amp;" "&amp;M711&amp;" "&amp;N711&amp;" "&amp;T711))),ISNUMBER(SEARCH("bond",LOWER(F711&amp;" "&amp;H711&amp;" "&amp;I711&amp;" "&amp;M711&amp;" "&amp;N711&amp;" "&amp;T711))),ISNUMBER(SEARCH("transaction",LOWER(F711&amp;" "&amp;H711&amp;" "&amp;I711&amp;" "&amp;M711&amp;" "&amp;N711&amp;" "&amp;T711)))),"PRIVATE_REVIEW","PUBLIC_CANDIDATE"))</x:f>
        <x:v>PUBLIC_CANDIDATE</x:v>
      </x:c>
      <x:c r="AD711" s="12" t="str">
        <x:f>IF(AC711="PRIVATE_QUARANTINE","hacker_or_bank_trigger",IF(AC711="PRIVATE_REVIEW","finance_risk_trigger","none"))</x:f>
        <x:v>none</x:v>
      </x:c>
      <x:c r="AE711" s="12" t="str">
        <x:f>IF(AC711="PUBLIC_CANDIDATE","prepare_public_github_candidate",IF(AC711="PRIVATE_REVIEW","hold_for_private_review","quarantine_private_do_not_publish"))</x:f>
        <x:v>prepare_public_github_candidate</x:v>
      </x:c>
      <x:c r="AF711" s="12" t="str">
        <x:f>IF(AC711="PUBLIC_CANDIDATE","TIDELOCK + Lucerna",IF(AC711="PRIVATE_REVIEW","AtlasBrain + Lucerna","TIDELOCK + Lucerna + Human-root"))</x:f>
        <x:v>TIDELOCK + Lucerna</x:v>
      </x:c>
      <x:c r="AG711" s="12" t="str">
        <x:f>IF(AND(AC711="PUBLIC_CANDIDATE",U711&lt;&gt;"BLOCKED_PENDING_RECEIPT"),"READY_AFTER_RECEIPT","NOT_READY")</x:f>
        <x:v>NOT_READY</x:v>
      </x:c>
      <x:c r="AH711" s="12" t="str">
        <x:f>IF(AC711="PUBLIC_CANDIDATE","none",AD711)</x:f>
        <x:v>none</x:v>
      </x:c>
      <x:c r="AI711" s="12" t="str">
        <x:f>IF(AC711="PUBLIC_CANDIDATE","archive/public_candidates/"&amp;A711,"private_quarantine/"&amp;A711)</x:f>
        <x:v>archive/public_candidates/SWARM-05-H12-S02</x:v>
      </x:c>
      <x:c r="AJ711" s="12" t="str">
        <x:f>IF(AC711="PUBLIC_CANDIDATE","public by default; still not canon","private/hold; do not publish")</x:f>
        <x:v>public by default; still not canon</x:v>
      </x:c>
      <x:c r="AK711" s="12" t="str">
        <x:f>IF(AE711="prepare_public_github_candidate","add receipt/status then mirror","resolve blocker before any public GitHub action")</x:f>
        <x:v>add receipt/status then mirror</x:v>
      </x:c>
    </x:row>
    <x:row r="712">
      <x:c r="A712" s="15" t="str">
        <x:v>SWARM-05-H12-S03</x:v>
      </x:c>
      <x:c r="B712" s="15" t="str">
        <x:v>Rootglass</x:v>
      </x:c>
      <x:c r="C712" s="15" t="str">
        <x:v>Canon gate mirror</x:v>
      </x:c>
      <x:c r="D712" s="15" t="str">
        <x:v>Canon-Gate Prep</x:v>
      </x:c>
      <x:c r="E712" s="15" t="str">
        <x:v>GitHub</x:v>
      </x:c>
      <x:c r="F712" s="15" t="str">
        <x:v>Prepare canon-gate brief for GitHub — Rootglass</x:v>
      </x:c>
      <x:c r="G712" s="15" t="str">
        <x:v>authority boundaries / ratification packets</x:v>
      </x:c>
      <x:c r="H712" s="15" t="str">
        <x:v>source path + receipt + raw/export status + claim/edge/risk delta</x:v>
      </x:c>
      <x:c r="I712" s="15" t="str">
        <x:v>packet/SWARM-05-H12-S03</x:v>
      </x:c>
      <x:c r="J712" s="15" t="str">
        <x:v>TODO</x:v>
      </x:c>
      <x:c r="K712" s="15" t="str">
        <x:v>P0</x:v>
      </x:c>
      <x:c r="L712" s="15" t="str">
        <x:v>Done only when evidence is logged, contradiction search is noted, and boundary stamp remains non-canon unless ratified</x:v>
      </x:c>
      <x:c r="M712" s="15" t="str">
        <x:v>candidate / staging-only / not canon / not deployed / authority none</x:v>
      </x:c>
      <x:c r="N712" s="15" t="str">
        <x:v>Dispatch to Rootglass: complete Canon-Gate Prep x GitHub; return deltas only, receipts required.</x:v>
      </x:c>
      <x:c r="O712" s="15" t="str">
        <x:v>AF-KG-H12-S03</x:v>
      </x:c>
      <x:c r="P712" s="15" t="str">
        <x:v>Unverified</x:v>
      </x:c>
      <x:c r="Q712" s="15" t="str">
        <x:v>Not checked</x:v>
      </x:c>
      <x:c r="R712" s="15" t="str"/>
      <x:c r="S712" s="15" t="str"/>
      <x:c r="T712" s="15" t="str">
        <x:v>Log first source path or blocker</x:v>
      </x:c>
      <x:c r="U712" s="12" t="str">
        <x:f>IF(OR(P712="Unverified",Q712="Not checked"),"BLOCKED_PENDING_RECEIPT","READY_FOR_REVIEW")</x:f>
        <x:v>BLOCKED_PENDING_RECEIPT</x:v>
      </x:c>
      <x:c r="V712" s="12" t="str">
        <x:f>IF(J712="DONE","RETURNED",IF(U712="BLOCKED_PENDING_RECEIPT","SOURCE_TOUCH_REQUIRED","IN_PROGRESS"))</x:f>
        <x:v>SOURCE_TOUCH_REQUIRED</x:v>
      </x:c>
      <x:c r="W712" s="12" t="str">
        <x:f>IF(P712="Unverified","missing_receipt","receipt_logged")</x:f>
        <x:v>missing_receipt</x:v>
      </x:c>
      <x:c r="X712" s="12" t="str">
        <x:f>IF(Q712="Not checked","raw_status_missing","raw_status_logged")</x:f>
        <x:v>raw_status_missing</x:v>
      </x:c>
      <x:c r="Y712" s="12" t="str">
        <x:f>IF(U712="BLOCKED_PENDING_RECEIPT","Log source path or blocker; do not promote","Route to review lane")</x:f>
        <x:v>Log source path or blocker; do not promote</x:v>
      </x:c>
      <x:c r="Z712" s="12" t="str">
        <x:f>IF(K712="P0","Primary seat + Hashlight/Lucerna","Seat lane")</x:f>
        <x:v>Primary seat + Hashlight/Lucerna</x:v>
      </x:c>
      <x:c r="AA712" s="12" t="str">
        <x:f>IF(R712="","no_claim_delta","claim_delta_present")</x:f>
        <x:v>no_claim_delta</x:v>
      </x:c>
      <x:c r="AB712" s="12" t="str">
        <x:f>IF(S712="","no_contradiction_delta","contradiction_delta_present")</x:f>
        <x:v>no_contradiction_delta</x:v>
      </x:c>
      <x:c r="AC712" s="12" t="str">
        <x:f>IF(OR(ISNUMBER(SEARCH("hacker",LOWER(F712&amp;" "&amp;H712&amp;" "&amp;I712&amp;" "&amp;M712&amp;" "&amp;N712&amp;" "&amp;T712))),ISNUMBER(SEARCH("hacking",LOWER(F712&amp;" "&amp;H712&amp;" "&amp;I712&amp;" "&amp;M712&amp;" "&amp;N712&amp;" "&amp;T712))),ISNUMBER(SEARCH("bank",LOWER(F712&amp;" "&amp;H712&amp;" "&amp;I712&amp;" "&amp;M712&amp;" "&amp;N712&amp;" "&amp;T712))),ISNUMBER(SEARCH("banking",LOWER(F712&amp;" "&amp;H712&amp;" "&amp;I712&amp;" "&amp;M712&amp;" "&amp;N712&amp;" "&amp;T712)))),"PRIVATE_QUARANTINE",IF(OR(ISNUMBER(SEARCH("treasury",LOWER(F712&amp;" "&amp;H712&amp;" "&amp;I712&amp;" "&amp;M712&amp;" "&amp;N712&amp;" "&amp;T712))),ISNUMBER(SEARCH("debt",LOWER(F712&amp;" "&amp;H712&amp;" "&amp;I712&amp;" "&amp;M712&amp;" "&amp;N712&amp;" "&amp;T712))),ISNUMBER(SEARCH("bond",LOWER(F712&amp;" "&amp;H712&amp;" "&amp;I712&amp;" "&amp;M712&amp;" "&amp;N712&amp;" "&amp;T712))),ISNUMBER(SEARCH("transaction",LOWER(F712&amp;" "&amp;H712&amp;" "&amp;I712&amp;" "&amp;M712&amp;" "&amp;N712&amp;" "&amp;T712)))),"PRIVATE_REVIEW","PUBLIC_CANDIDATE"))</x:f>
        <x:v>PUBLIC_CANDIDATE</x:v>
      </x:c>
      <x:c r="AD712" s="12" t="str">
        <x:f>IF(AC712="PRIVATE_QUARANTINE","hacker_or_bank_trigger",IF(AC712="PRIVATE_REVIEW","finance_risk_trigger","none"))</x:f>
        <x:v>none</x:v>
      </x:c>
      <x:c r="AE712" s="12" t="str">
        <x:f>IF(AC712="PUBLIC_CANDIDATE","prepare_public_github_candidate",IF(AC712="PRIVATE_REVIEW","hold_for_private_review","quarantine_private_do_not_publish"))</x:f>
        <x:v>prepare_public_github_candidate</x:v>
      </x:c>
      <x:c r="AF712" s="12" t="str">
        <x:f>IF(AC712="PUBLIC_CANDIDATE","TIDELOCK + Lucerna",IF(AC712="PRIVATE_REVIEW","AtlasBrain + Lucerna","TIDELOCK + Lucerna + Human-root"))</x:f>
        <x:v>TIDELOCK + Lucerna</x:v>
      </x:c>
      <x:c r="AG712" s="12" t="str">
        <x:f>IF(AND(AC712="PUBLIC_CANDIDATE",U712&lt;&gt;"BLOCKED_PENDING_RECEIPT"),"READY_AFTER_RECEIPT","NOT_READY")</x:f>
        <x:v>NOT_READY</x:v>
      </x:c>
      <x:c r="AH712" s="12" t="str">
        <x:f>IF(AC712="PUBLIC_CANDIDATE","none",AD712)</x:f>
        <x:v>none</x:v>
      </x:c>
      <x:c r="AI712" s="12" t="str">
        <x:f>IF(AC712="PUBLIC_CANDIDATE","archive/public_candidates/"&amp;A712,"private_quarantine/"&amp;A712)</x:f>
        <x:v>archive/public_candidates/SWARM-05-H12-S03</x:v>
      </x:c>
      <x:c r="AJ712" s="12" t="str">
        <x:f>IF(AC712="PUBLIC_CANDIDATE","public by default; still not canon","private/hold; do not publish")</x:f>
        <x:v>public by default; still not canon</x:v>
      </x:c>
      <x:c r="AK712" s="12" t="str">
        <x:f>IF(AE712="prepare_public_github_candidate","add receipt/status then mirror","resolve blocker before any public GitHub action")</x:f>
        <x:v>add receipt/status then mirror</x:v>
      </x:c>
    </x:row>
    <x:row r="713">
      <x:c r="A713" s="15" t="str">
        <x:v>SWARM-05-H12-S04</x:v>
      </x:c>
      <x:c r="B713" s="15" t="str">
        <x:v>Rootglass</x:v>
      </x:c>
      <x:c r="C713" s="15" t="str">
        <x:v>Canon gate mirror</x:v>
      </x:c>
      <x:c r="D713" s="15" t="str">
        <x:v>Canon-Gate Prep</x:v>
      </x:c>
      <x:c r="E713" s="15" t="str">
        <x:v>Gamma</x:v>
      </x:c>
      <x:c r="F713" s="15" t="str">
        <x:v>Prepare canon-gate brief for Gamma — Rootglass</x:v>
      </x:c>
      <x:c r="G713" s="15" t="str">
        <x:v>authority boundaries / ratification packets</x:v>
      </x:c>
      <x:c r="H713" s="15" t="str">
        <x:v>source path + receipt + raw/export status + claim/edge/risk delta</x:v>
      </x:c>
      <x:c r="I713" s="15" t="str">
        <x:v>packet/SWARM-05-H12-S04</x:v>
      </x:c>
      <x:c r="J713" s="15" t="str">
        <x:v>TODO</x:v>
      </x:c>
      <x:c r="K713" s="15" t="str">
        <x:v>P1</x:v>
      </x:c>
      <x:c r="L713" s="15" t="str">
        <x:v>Done only when evidence is logged, contradiction search is noted, and boundary stamp remains non-canon unless ratified</x:v>
      </x:c>
      <x:c r="M713" s="15" t="str">
        <x:v>candidate / staging-only / not canon / not deployed / authority none</x:v>
      </x:c>
      <x:c r="N713" s="15" t="str">
        <x:v>Dispatch to Rootglass: complete Canon-Gate Prep x Gamma; return deltas only, receipts required.</x:v>
      </x:c>
      <x:c r="O713" s="15" t="str">
        <x:v>AF-KG-H12-S04</x:v>
      </x:c>
      <x:c r="P713" s="15" t="str">
        <x:v>Unverified</x:v>
      </x:c>
      <x:c r="Q713" s="15" t="str">
        <x:v>Not checked</x:v>
      </x:c>
      <x:c r="R713" s="15" t="str"/>
      <x:c r="S713" s="15" t="str"/>
      <x:c r="T713" s="15" t="str">
        <x:v>Log first source path or blocker</x:v>
      </x:c>
      <x:c r="U713" s="12" t="str">
        <x:f>IF(OR(P713="Unverified",Q713="Not checked"),"BLOCKED_PENDING_RECEIPT","READY_FOR_REVIEW")</x:f>
        <x:v>BLOCKED_PENDING_RECEIPT</x:v>
      </x:c>
      <x:c r="V713" s="12" t="str">
        <x:f>IF(J713="DONE","RETURNED",IF(U713="BLOCKED_PENDING_RECEIPT","SOURCE_TOUCH_REQUIRED","IN_PROGRESS"))</x:f>
        <x:v>SOURCE_TOUCH_REQUIRED</x:v>
      </x:c>
      <x:c r="W713" s="12" t="str">
        <x:f>IF(P713="Unverified","missing_receipt","receipt_logged")</x:f>
        <x:v>missing_receipt</x:v>
      </x:c>
      <x:c r="X713" s="12" t="str">
        <x:f>IF(Q713="Not checked","raw_status_missing","raw_status_logged")</x:f>
        <x:v>raw_status_missing</x:v>
      </x:c>
      <x:c r="Y713" s="12" t="str">
        <x:f>IF(U713="BLOCKED_PENDING_RECEIPT","Log source path or blocker; do not promote","Route to review lane")</x:f>
        <x:v>Log source path or blocker; do not promote</x:v>
      </x:c>
      <x:c r="Z713" s="12" t="str">
        <x:f>IF(K713="P0","Primary seat + Hashlight/Lucerna","Seat lane")</x:f>
        <x:v>Seat lane</x:v>
      </x:c>
      <x:c r="AA713" s="12" t="str">
        <x:f>IF(R713="","no_claim_delta","claim_delta_present")</x:f>
        <x:v>no_claim_delta</x:v>
      </x:c>
      <x:c r="AB713" s="12" t="str">
        <x:f>IF(S713="","no_contradiction_delta","contradiction_delta_present")</x:f>
        <x:v>no_contradiction_delta</x:v>
      </x:c>
      <x:c r="AC713" s="12" t="str">
        <x:f>IF(OR(ISNUMBER(SEARCH("hacker",LOWER(F713&amp;" "&amp;H713&amp;" "&amp;I713&amp;" "&amp;M713&amp;" "&amp;N713&amp;" "&amp;T713))),ISNUMBER(SEARCH("hacking",LOWER(F713&amp;" "&amp;H713&amp;" "&amp;I713&amp;" "&amp;M713&amp;" "&amp;N713&amp;" "&amp;T713))),ISNUMBER(SEARCH("bank",LOWER(F713&amp;" "&amp;H713&amp;" "&amp;I713&amp;" "&amp;M713&amp;" "&amp;N713&amp;" "&amp;T713))),ISNUMBER(SEARCH("banking",LOWER(F713&amp;" "&amp;H713&amp;" "&amp;I713&amp;" "&amp;M713&amp;" "&amp;N713&amp;" "&amp;T713)))),"PRIVATE_QUARANTINE",IF(OR(ISNUMBER(SEARCH("treasury",LOWER(F713&amp;" "&amp;H713&amp;" "&amp;I713&amp;" "&amp;M713&amp;" "&amp;N713&amp;" "&amp;T713))),ISNUMBER(SEARCH("debt",LOWER(F713&amp;" "&amp;H713&amp;" "&amp;I713&amp;" "&amp;M713&amp;" "&amp;N713&amp;" "&amp;T713))),ISNUMBER(SEARCH("bond",LOWER(F713&amp;" "&amp;H713&amp;" "&amp;I713&amp;" "&amp;M713&amp;" "&amp;N713&amp;" "&amp;T713))),ISNUMBER(SEARCH("transaction",LOWER(F713&amp;" "&amp;H713&amp;" "&amp;I713&amp;" "&amp;M713&amp;" "&amp;N713&amp;" "&amp;T713)))),"PRIVATE_REVIEW","PUBLIC_CANDIDATE"))</x:f>
        <x:v>PUBLIC_CANDIDATE</x:v>
      </x:c>
      <x:c r="AD713" s="12" t="str">
        <x:f>IF(AC713="PRIVATE_QUARANTINE","hacker_or_bank_trigger",IF(AC713="PRIVATE_REVIEW","finance_risk_trigger","none"))</x:f>
        <x:v>none</x:v>
      </x:c>
      <x:c r="AE713" s="12" t="str">
        <x:f>IF(AC713="PUBLIC_CANDIDATE","prepare_public_github_candidate",IF(AC713="PRIVATE_REVIEW","hold_for_private_review","quarantine_private_do_not_publish"))</x:f>
        <x:v>prepare_public_github_candidate</x:v>
      </x:c>
      <x:c r="AF713" s="12" t="str">
        <x:f>IF(AC713="PUBLIC_CANDIDATE","TIDELOCK + Lucerna",IF(AC713="PRIVATE_REVIEW","AtlasBrain + Lucerna","TIDELOCK + Lucerna + Human-root"))</x:f>
        <x:v>TIDELOCK + Lucerna</x:v>
      </x:c>
      <x:c r="AG713" s="12" t="str">
        <x:f>IF(AND(AC713="PUBLIC_CANDIDATE",U713&lt;&gt;"BLOCKED_PENDING_RECEIPT"),"READY_AFTER_RECEIPT","NOT_READY")</x:f>
        <x:v>NOT_READY</x:v>
      </x:c>
      <x:c r="AH713" s="12" t="str">
        <x:f>IF(AC713="PUBLIC_CANDIDATE","none",AD713)</x:f>
        <x:v>none</x:v>
      </x:c>
      <x:c r="AI713" s="12" t="str">
        <x:f>IF(AC713="PUBLIC_CANDIDATE","archive/public_candidates/"&amp;A713,"private_quarantine/"&amp;A713)</x:f>
        <x:v>archive/public_candidates/SWARM-05-H12-S04</x:v>
      </x:c>
      <x:c r="AJ713" s="12" t="str">
        <x:f>IF(AC713="PUBLIC_CANDIDATE","public by default; still not canon","private/hold; do not publish")</x:f>
        <x:v>public by default; still not canon</x:v>
      </x:c>
      <x:c r="AK713" s="12" t="str">
        <x:f>IF(AE713="prepare_public_github_candidate","add receipt/status then mirror","resolve blocker before any public GitHub action")</x:f>
        <x:v>add receipt/status then mirror</x:v>
      </x:c>
    </x:row>
    <x:row r="714">
      <x:c r="A714" s="15" t="str">
        <x:v>SWARM-05-H12-S05</x:v>
      </x:c>
      <x:c r="B714" s="15" t="str">
        <x:v>Rootglass</x:v>
      </x:c>
      <x:c r="C714" s="15" t="str">
        <x:v>Canon gate mirror</x:v>
      </x:c>
      <x:c r="D714" s="15" t="str">
        <x:v>Canon-Gate Prep</x:v>
      </x:c>
      <x:c r="E714" s="15" t="str">
        <x:v>Chat</x:v>
      </x:c>
      <x:c r="F714" s="15" t="str">
        <x:v>Prepare canon-gate brief for Chat — Rootglass</x:v>
      </x:c>
      <x:c r="G714" s="15" t="str">
        <x:v>authority boundaries / ratification packets</x:v>
      </x:c>
      <x:c r="H714" s="15" t="str">
        <x:v>source path + receipt + raw/export status + claim/edge/risk delta</x:v>
      </x:c>
      <x:c r="I714" s="15" t="str">
        <x:v>packet/SWARM-05-H12-S05</x:v>
      </x:c>
      <x:c r="J714" s="15" t="str">
        <x:v>TODO</x:v>
      </x:c>
      <x:c r="K714" s="15" t="str">
        <x:v>P1</x:v>
      </x:c>
      <x:c r="L714" s="15" t="str">
        <x:v>Done only when evidence is logged, contradiction search is noted, and boundary stamp remains non-canon unless ratified</x:v>
      </x:c>
      <x:c r="M714" s="15" t="str">
        <x:v>candidate / staging-only / not canon / not deployed / authority none</x:v>
      </x:c>
      <x:c r="N714" s="15" t="str">
        <x:v>Dispatch to Rootglass: complete Canon-Gate Prep x Chat; return deltas only, receipts required.</x:v>
      </x:c>
      <x:c r="O714" s="15" t="str">
        <x:v>AF-KG-H12-S05</x:v>
      </x:c>
      <x:c r="P714" s="15" t="str">
        <x:v>Unverified</x:v>
      </x:c>
      <x:c r="Q714" s="15" t="str">
        <x:v>Not checked</x:v>
      </x:c>
      <x:c r="R714" s="15" t="str"/>
      <x:c r="S714" s="15" t="str"/>
      <x:c r="T714" s="15" t="str">
        <x:v>Log first source path or blocker</x:v>
      </x:c>
      <x:c r="U714" s="12" t="str">
        <x:f>IF(OR(P714="Unverified",Q714="Not checked"),"BLOCKED_PENDING_RECEIPT","READY_FOR_REVIEW")</x:f>
        <x:v>BLOCKED_PENDING_RECEIPT</x:v>
      </x:c>
      <x:c r="V714" s="12" t="str">
        <x:f>IF(J714="DONE","RETURNED",IF(U714="BLOCKED_PENDING_RECEIPT","SOURCE_TOUCH_REQUIRED","IN_PROGRESS"))</x:f>
        <x:v>SOURCE_TOUCH_REQUIRED</x:v>
      </x:c>
      <x:c r="W714" s="12" t="str">
        <x:f>IF(P714="Unverified","missing_receipt","receipt_logged")</x:f>
        <x:v>missing_receipt</x:v>
      </x:c>
      <x:c r="X714" s="12" t="str">
        <x:f>IF(Q714="Not checked","raw_status_missing","raw_status_logged")</x:f>
        <x:v>raw_status_missing</x:v>
      </x:c>
      <x:c r="Y714" s="12" t="str">
        <x:f>IF(U714="BLOCKED_PENDING_RECEIPT","Log source path or blocker; do not promote","Route to review lane")</x:f>
        <x:v>Log source path or blocker; do not promote</x:v>
      </x:c>
      <x:c r="Z714" s="12" t="str">
        <x:f>IF(K714="P0","Primary seat + Hashlight/Lucerna","Seat lane")</x:f>
        <x:v>Seat lane</x:v>
      </x:c>
      <x:c r="AA714" s="12" t="str">
        <x:f>IF(R714="","no_claim_delta","claim_delta_present")</x:f>
        <x:v>no_claim_delta</x:v>
      </x:c>
      <x:c r="AB714" s="12" t="str">
        <x:f>IF(S714="","no_contradiction_delta","contradiction_delta_present")</x:f>
        <x:v>no_contradiction_delta</x:v>
      </x:c>
      <x:c r="AC714" s="12" t="str">
        <x:f>IF(OR(ISNUMBER(SEARCH("hacker",LOWER(F714&amp;" "&amp;H714&amp;" "&amp;I714&amp;" "&amp;M714&amp;" "&amp;N714&amp;" "&amp;T714))),ISNUMBER(SEARCH("hacking",LOWER(F714&amp;" "&amp;H714&amp;" "&amp;I714&amp;" "&amp;M714&amp;" "&amp;N714&amp;" "&amp;T714))),ISNUMBER(SEARCH("bank",LOWER(F714&amp;" "&amp;H714&amp;" "&amp;I714&amp;" "&amp;M714&amp;" "&amp;N714&amp;" "&amp;T714))),ISNUMBER(SEARCH("banking",LOWER(F714&amp;" "&amp;H714&amp;" "&amp;I714&amp;" "&amp;M714&amp;" "&amp;N714&amp;" "&amp;T714)))),"PRIVATE_QUARANTINE",IF(OR(ISNUMBER(SEARCH("treasury",LOWER(F714&amp;" "&amp;H714&amp;" "&amp;I714&amp;" "&amp;M714&amp;" "&amp;N714&amp;" "&amp;T714))),ISNUMBER(SEARCH("debt",LOWER(F714&amp;" "&amp;H714&amp;" "&amp;I714&amp;" "&amp;M714&amp;" "&amp;N714&amp;" "&amp;T714))),ISNUMBER(SEARCH("bond",LOWER(F714&amp;" "&amp;H714&amp;" "&amp;I714&amp;" "&amp;M714&amp;" "&amp;N714&amp;" "&amp;T714))),ISNUMBER(SEARCH("transaction",LOWER(F714&amp;" "&amp;H714&amp;" "&amp;I714&amp;" "&amp;M714&amp;" "&amp;N714&amp;" "&amp;T714)))),"PRIVATE_REVIEW","PUBLIC_CANDIDATE"))</x:f>
        <x:v>PUBLIC_CANDIDATE</x:v>
      </x:c>
      <x:c r="AD714" s="12" t="str">
        <x:f>IF(AC714="PRIVATE_QUARANTINE","hacker_or_bank_trigger",IF(AC714="PRIVATE_REVIEW","finance_risk_trigger","none"))</x:f>
        <x:v>none</x:v>
      </x:c>
      <x:c r="AE714" s="12" t="str">
        <x:f>IF(AC714="PUBLIC_CANDIDATE","prepare_public_github_candidate",IF(AC714="PRIVATE_REVIEW","hold_for_private_review","quarantine_private_do_not_publish"))</x:f>
        <x:v>prepare_public_github_candidate</x:v>
      </x:c>
      <x:c r="AF714" s="12" t="str">
        <x:f>IF(AC714="PUBLIC_CANDIDATE","TIDELOCK + Lucerna",IF(AC714="PRIVATE_REVIEW","AtlasBrain + Lucerna","TIDELOCK + Lucerna + Human-root"))</x:f>
        <x:v>TIDELOCK + Lucerna</x:v>
      </x:c>
      <x:c r="AG714" s="12" t="str">
        <x:f>IF(AND(AC714="PUBLIC_CANDIDATE",U714&lt;&gt;"BLOCKED_PENDING_RECEIPT"),"READY_AFTER_RECEIPT","NOT_READY")</x:f>
        <x:v>NOT_READY</x:v>
      </x:c>
      <x:c r="AH714" s="12" t="str">
        <x:f>IF(AC714="PUBLIC_CANDIDATE","none",AD714)</x:f>
        <x:v>none</x:v>
      </x:c>
      <x:c r="AI714" s="12" t="str">
        <x:f>IF(AC714="PUBLIC_CANDIDATE","archive/public_candidates/"&amp;A714,"private_quarantine/"&amp;A714)</x:f>
        <x:v>archive/public_candidates/SWARM-05-H12-S05</x:v>
      </x:c>
      <x:c r="AJ714" s="12" t="str">
        <x:f>IF(AC714="PUBLIC_CANDIDATE","public by default; still not canon","private/hold; do not publish")</x:f>
        <x:v>public by default; still not canon</x:v>
      </x:c>
      <x:c r="AK714" s="12" t="str">
        <x:f>IF(AE714="prepare_public_github_candidate","add receipt/status then mirror","resolve blocker before any public GitHub action")</x:f>
        <x:v>add receipt/status then mirror</x:v>
      </x:c>
    </x:row>
    <x:row r="715">
      <x:c r="A715" s="15" t="str">
        <x:v>SWARM-05-H12-S06</x:v>
      </x:c>
      <x:c r="B715" s="15" t="str">
        <x:v>Rootglass</x:v>
      </x:c>
      <x:c r="C715" s="15" t="str">
        <x:v>Canon gate mirror</x:v>
      </x:c>
      <x:c r="D715" s="15" t="str">
        <x:v>Canon-Gate Prep</x:v>
      </x:c>
      <x:c r="E715" s="15" t="str">
        <x:v>External Web</x:v>
      </x:c>
      <x:c r="F715" s="15" t="str">
        <x:v>Prepare canon-gate brief for External Web — Rootglass</x:v>
      </x:c>
      <x:c r="G715" s="15" t="str">
        <x:v>authority boundaries / ratification packets</x:v>
      </x:c>
      <x:c r="H715" s="15" t="str">
        <x:v>source path + receipt + raw/export status + claim/edge/risk delta</x:v>
      </x:c>
      <x:c r="I715" s="15" t="str">
        <x:v>packet/SWARM-05-H12-S06</x:v>
      </x:c>
      <x:c r="J715" s="15" t="str">
        <x:v>TODO</x:v>
      </x:c>
      <x:c r="K715" s="15" t="str">
        <x:v>P1</x:v>
      </x:c>
      <x:c r="L715" s="15" t="str">
        <x:v>Done only when evidence is logged, contradiction search is noted, and boundary stamp remains non-canon unless ratified</x:v>
      </x:c>
      <x:c r="M715" s="15" t="str">
        <x:v>candidate / staging-only / not canon / not deployed / authority none</x:v>
      </x:c>
      <x:c r="N715" s="15" t="str">
        <x:v>Dispatch to Rootglass: complete Canon-Gate Prep x External Web; return deltas only, receipts required.</x:v>
      </x:c>
      <x:c r="O715" s="15" t="str">
        <x:v>AF-KG-H12-S06</x:v>
      </x:c>
      <x:c r="P715" s="15" t="str">
        <x:v>Unverified</x:v>
      </x:c>
      <x:c r="Q715" s="15" t="str">
        <x:v>Not checked</x:v>
      </x:c>
      <x:c r="R715" s="15" t="str"/>
      <x:c r="S715" s="15" t="str"/>
      <x:c r="T715" s="15" t="str">
        <x:v>Log first source path or blocker</x:v>
      </x:c>
      <x:c r="U715" s="12" t="str">
        <x:f>IF(OR(P715="Unverified",Q715="Not checked"),"BLOCKED_PENDING_RECEIPT","READY_FOR_REVIEW")</x:f>
        <x:v>BLOCKED_PENDING_RECEIPT</x:v>
      </x:c>
      <x:c r="V715" s="12" t="str">
        <x:f>IF(J715="DONE","RETURNED",IF(U715="BLOCKED_PENDING_RECEIPT","SOURCE_TOUCH_REQUIRED","IN_PROGRESS"))</x:f>
        <x:v>SOURCE_TOUCH_REQUIRED</x:v>
      </x:c>
      <x:c r="W715" s="12" t="str">
        <x:f>IF(P715="Unverified","missing_receipt","receipt_logged")</x:f>
        <x:v>missing_receipt</x:v>
      </x:c>
      <x:c r="X715" s="12" t="str">
        <x:f>IF(Q715="Not checked","raw_status_missing","raw_status_logged")</x:f>
        <x:v>raw_status_missing</x:v>
      </x:c>
      <x:c r="Y715" s="12" t="str">
        <x:f>IF(U715="BLOCKED_PENDING_RECEIPT","Log source path or blocker; do not promote","Route to review lane")</x:f>
        <x:v>Log source path or blocker; do not promote</x:v>
      </x:c>
      <x:c r="Z715" s="12" t="str">
        <x:f>IF(K715="P0","Primary seat + Hashlight/Lucerna","Seat lane")</x:f>
        <x:v>Seat lane</x:v>
      </x:c>
      <x:c r="AA715" s="12" t="str">
        <x:f>IF(R715="","no_claim_delta","claim_delta_present")</x:f>
        <x:v>no_claim_delta</x:v>
      </x:c>
      <x:c r="AB715" s="12" t="str">
        <x:f>IF(S715="","no_contradiction_delta","contradiction_delta_present")</x:f>
        <x:v>no_contradiction_delta</x:v>
      </x:c>
      <x:c r="AC715" s="12" t="str">
        <x:f>IF(OR(ISNUMBER(SEARCH("hacker",LOWER(F715&amp;" "&amp;H715&amp;" "&amp;I715&amp;" "&amp;M715&amp;" "&amp;N715&amp;" "&amp;T715))),ISNUMBER(SEARCH("hacking",LOWER(F715&amp;" "&amp;H715&amp;" "&amp;I715&amp;" "&amp;M715&amp;" "&amp;N715&amp;" "&amp;T715))),ISNUMBER(SEARCH("bank",LOWER(F715&amp;" "&amp;H715&amp;" "&amp;I715&amp;" "&amp;M715&amp;" "&amp;N715&amp;" "&amp;T715))),ISNUMBER(SEARCH("banking",LOWER(F715&amp;" "&amp;H715&amp;" "&amp;I715&amp;" "&amp;M715&amp;" "&amp;N715&amp;" "&amp;T715)))),"PRIVATE_QUARANTINE",IF(OR(ISNUMBER(SEARCH("treasury",LOWER(F715&amp;" "&amp;H715&amp;" "&amp;I715&amp;" "&amp;M715&amp;" "&amp;N715&amp;" "&amp;T715))),ISNUMBER(SEARCH("debt",LOWER(F715&amp;" "&amp;H715&amp;" "&amp;I715&amp;" "&amp;M715&amp;" "&amp;N715&amp;" "&amp;T715))),ISNUMBER(SEARCH("bond",LOWER(F715&amp;" "&amp;H715&amp;" "&amp;I715&amp;" "&amp;M715&amp;" "&amp;N715&amp;" "&amp;T715))),ISNUMBER(SEARCH("transaction",LOWER(F715&amp;" "&amp;H715&amp;" "&amp;I715&amp;" "&amp;M715&amp;" "&amp;N715&amp;" "&amp;T715)))),"PRIVATE_REVIEW","PUBLIC_CANDIDATE"))</x:f>
        <x:v>PUBLIC_CANDIDATE</x:v>
      </x:c>
      <x:c r="AD715" s="12" t="str">
        <x:f>IF(AC715="PRIVATE_QUARANTINE","hacker_or_bank_trigger",IF(AC715="PRIVATE_REVIEW","finance_risk_trigger","none"))</x:f>
        <x:v>none</x:v>
      </x:c>
      <x:c r="AE715" s="12" t="str">
        <x:f>IF(AC715="PUBLIC_CANDIDATE","prepare_public_github_candidate",IF(AC715="PRIVATE_REVIEW","hold_for_private_review","quarantine_private_do_not_publish"))</x:f>
        <x:v>prepare_public_github_candidate</x:v>
      </x:c>
      <x:c r="AF715" s="12" t="str">
        <x:f>IF(AC715="PUBLIC_CANDIDATE","TIDELOCK + Lucerna",IF(AC715="PRIVATE_REVIEW","AtlasBrain + Lucerna","TIDELOCK + Lucerna + Human-root"))</x:f>
        <x:v>TIDELOCK + Lucerna</x:v>
      </x:c>
      <x:c r="AG715" s="12" t="str">
        <x:f>IF(AND(AC715="PUBLIC_CANDIDATE",U715&lt;&gt;"BLOCKED_PENDING_RECEIPT"),"READY_AFTER_RECEIPT","NOT_READY")</x:f>
        <x:v>NOT_READY</x:v>
      </x:c>
      <x:c r="AH715" s="12" t="str">
        <x:f>IF(AC715="PUBLIC_CANDIDATE","none",AD715)</x:f>
        <x:v>none</x:v>
      </x:c>
      <x:c r="AI715" s="12" t="str">
        <x:f>IF(AC715="PUBLIC_CANDIDATE","archive/public_candidates/"&amp;A715,"private_quarantine/"&amp;A715)</x:f>
        <x:v>archive/public_candidates/SWARM-05-H12-S06</x:v>
      </x:c>
      <x:c r="AJ715" s="12" t="str">
        <x:f>IF(AC715="PUBLIC_CANDIDATE","public by default; still not canon","private/hold; do not publish")</x:f>
        <x:v>public by default; still not canon</x:v>
      </x:c>
      <x:c r="AK715" s="12" t="str">
        <x:f>IF(AE715="prepare_public_github_candidate","add receipt/status then mirror","resolve blocker before any public GitHub action")</x:f>
        <x:v>add receipt/status then mirror</x:v>
      </x:c>
    </x:row>
    <x:row r="716">
      <x:c r="A716" s="15" t="str">
        <x:v>SWARM-05-H12-S07</x:v>
      </x:c>
      <x:c r="B716" s="15" t="str">
        <x:v>Rootglass</x:v>
      </x:c>
      <x:c r="C716" s="15" t="str">
        <x:v>Canon gate mirror</x:v>
      </x:c>
      <x:c r="D716" s="15" t="str">
        <x:v>Canon-Gate Prep</x:v>
      </x:c>
      <x:c r="E716" s="15" t="str">
        <x:v>Planetarium</x:v>
      </x:c>
      <x:c r="F716" s="15" t="str">
        <x:v>Prepare canon-gate brief for Planetarium — Rootglass</x:v>
      </x:c>
      <x:c r="G716" s="15" t="str">
        <x:v>authority boundaries / ratification packets</x:v>
      </x:c>
      <x:c r="H716" s="15" t="str">
        <x:v>source path + receipt + raw/export status + claim/edge/risk delta</x:v>
      </x:c>
      <x:c r="I716" s="15" t="str">
        <x:v>packet/SWARM-05-H12-S07</x:v>
      </x:c>
      <x:c r="J716" s="15" t="str">
        <x:v>TODO</x:v>
      </x:c>
      <x:c r="K716" s="15" t="str">
        <x:v>P1</x:v>
      </x:c>
      <x:c r="L716" s="15" t="str">
        <x:v>Done only when evidence is logged, contradiction search is noted, and boundary stamp remains non-canon unless ratified</x:v>
      </x:c>
      <x:c r="M716" s="15" t="str">
        <x:v>candidate / staging-only / not canon / not deployed / authority none</x:v>
      </x:c>
      <x:c r="N716" s="15" t="str">
        <x:v>Dispatch to Rootglass: complete Canon-Gate Prep x Planetarium; return deltas only, receipts required.</x:v>
      </x:c>
      <x:c r="O716" s="15" t="str">
        <x:v>AF-KG-H12-S07</x:v>
      </x:c>
      <x:c r="P716" s="15" t="str">
        <x:v>Unverified</x:v>
      </x:c>
      <x:c r="Q716" s="15" t="str">
        <x:v>Not checked</x:v>
      </x:c>
      <x:c r="R716" s="15" t="str"/>
      <x:c r="S716" s="15" t="str"/>
      <x:c r="T716" s="15" t="str">
        <x:v>Log first source path or blocker</x:v>
      </x:c>
      <x:c r="U716" s="12" t="str">
        <x:f>IF(OR(P716="Unverified",Q716="Not checked"),"BLOCKED_PENDING_RECEIPT","READY_FOR_REVIEW")</x:f>
        <x:v>BLOCKED_PENDING_RECEIPT</x:v>
      </x:c>
      <x:c r="V716" s="12" t="str">
        <x:f>IF(J716="DONE","RETURNED",IF(U716="BLOCKED_PENDING_RECEIPT","SOURCE_TOUCH_REQUIRED","IN_PROGRESS"))</x:f>
        <x:v>SOURCE_TOUCH_REQUIRED</x:v>
      </x:c>
      <x:c r="W716" s="12" t="str">
        <x:f>IF(P716="Unverified","missing_receipt","receipt_logged")</x:f>
        <x:v>missing_receipt</x:v>
      </x:c>
      <x:c r="X716" s="12" t="str">
        <x:f>IF(Q716="Not checked","raw_status_missing","raw_status_logged")</x:f>
        <x:v>raw_status_missing</x:v>
      </x:c>
      <x:c r="Y716" s="12" t="str">
        <x:f>IF(U716="BLOCKED_PENDING_RECEIPT","Log source path or blocker; do not promote","Route to review lane")</x:f>
        <x:v>Log source path or blocker; do not promote</x:v>
      </x:c>
      <x:c r="Z716" s="12" t="str">
        <x:f>IF(K716="P0","Primary seat + Hashlight/Lucerna","Seat lane")</x:f>
        <x:v>Seat lane</x:v>
      </x:c>
      <x:c r="AA716" s="12" t="str">
        <x:f>IF(R716="","no_claim_delta","claim_delta_present")</x:f>
        <x:v>no_claim_delta</x:v>
      </x:c>
      <x:c r="AB716" s="12" t="str">
        <x:f>IF(S716="","no_contradiction_delta","contradiction_delta_present")</x:f>
        <x:v>no_contradiction_delta</x:v>
      </x:c>
      <x:c r="AC716" s="12" t="str">
        <x:f>IF(OR(ISNUMBER(SEARCH("hacker",LOWER(F716&amp;" "&amp;H716&amp;" "&amp;I716&amp;" "&amp;M716&amp;" "&amp;N716&amp;" "&amp;T716))),ISNUMBER(SEARCH("hacking",LOWER(F716&amp;" "&amp;H716&amp;" "&amp;I716&amp;" "&amp;M716&amp;" "&amp;N716&amp;" "&amp;T716))),ISNUMBER(SEARCH("bank",LOWER(F716&amp;" "&amp;H716&amp;" "&amp;I716&amp;" "&amp;M716&amp;" "&amp;N716&amp;" "&amp;T716))),ISNUMBER(SEARCH("banking",LOWER(F716&amp;" "&amp;H716&amp;" "&amp;I716&amp;" "&amp;M716&amp;" "&amp;N716&amp;" "&amp;T716)))),"PRIVATE_QUARANTINE",IF(OR(ISNUMBER(SEARCH("treasury",LOWER(F716&amp;" "&amp;H716&amp;" "&amp;I716&amp;" "&amp;M716&amp;" "&amp;N716&amp;" "&amp;T716))),ISNUMBER(SEARCH("debt",LOWER(F716&amp;" "&amp;H716&amp;" "&amp;I716&amp;" "&amp;M716&amp;" "&amp;N716&amp;" "&amp;T716))),ISNUMBER(SEARCH("bond",LOWER(F716&amp;" "&amp;H716&amp;" "&amp;I716&amp;" "&amp;M716&amp;" "&amp;N716&amp;" "&amp;T716))),ISNUMBER(SEARCH("transaction",LOWER(F716&amp;" "&amp;H716&amp;" "&amp;I716&amp;" "&amp;M716&amp;" "&amp;N716&amp;" "&amp;T716)))),"PRIVATE_REVIEW","PUBLIC_CANDIDATE"))</x:f>
        <x:v>PUBLIC_CANDIDATE</x:v>
      </x:c>
      <x:c r="AD716" s="12" t="str">
        <x:f>IF(AC716="PRIVATE_QUARANTINE","hacker_or_bank_trigger",IF(AC716="PRIVATE_REVIEW","finance_risk_trigger","none"))</x:f>
        <x:v>none</x:v>
      </x:c>
      <x:c r="AE716" s="12" t="str">
        <x:f>IF(AC716="PUBLIC_CANDIDATE","prepare_public_github_candidate",IF(AC716="PRIVATE_REVIEW","hold_for_private_review","quarantine_private_do_not_publish"))</x:f>
        <x:v>prepare_public_github_candidate</x:v>
      </x:c>
      <x:c r="AF716" s="12" t="str">
        <x:f>IF(AC716="PUBLIC_CANDIDATE","TIDELOCK + Lucerna",IF(AC716="PRIVATE_REVIEW","AtlasBrain + Lucerna","TIDELOCK + Lucerna + Human-root"))</x:f>
        <x:v>TIDELOCK + Lucerna</x:v>
      </x:c>
      <x:c r="AG716" s="12" t="str">
        <x:f>IF(AND(AC716="PUBLIC_CANDIDATE",U716&lt;&gt;"BLOCKED_PENDING_RECEIPT"),"READY_AFTER_RECEIPT","NOT_READY")</x:f>
        <x:v>NOT_READY</x:v>
      </x:c>
      <x:c r="AH716" s="12" t="str">
        <x:f>IF(AC716="PUBLIC_CANDIDATE","none",AD716)</x:f>
        <x:v>none</x:v>
      </x:c>
      <x:c r="AI716" s="12" t="str">
        <x:f>IF(AC716="PUBLIC_CANDIDATE","archive/public_candidates/"&amp;A716,"private_quarantine/"&amp;A716)</x:f>
        <x:v>archive/public_candidates/SWARM-05-H12-S07</x:v>
      </x:c>
      <x:c r="AJ716" s="12" t="str">
        <x:f>IF(AC716="PUBLIC_CANDIDATE","public by default; still not canon","private/hold; do not publish")</x:f>
        <x:v>public by default; still not canon</x:v>
      </x:c>
      <x:c r="AK716" s="12" t="str">
        <x:f>IF(AE716="prepare_public_github_candidate","add receipt/status then mirror","resolve blocker before any public GitHub action")</x:f>
        <x:v>add receipt/status then mirror</x:v>
      </x:c>
    </x:row>
    <x:row r="717">
      <x:c r="A717" s="15" t="str">
        <x:v>SWARM-05-H12-S08</x:v>
      </x:c>
      <x:c r="B717" s="15" t="str">
        <x:v>Rootglass</x:v>
      </x:c>
      <x:c r="C717" s="15" t="str">
        <x:v>Canon gate mirror</x:v>
      </x:c>
      <x:c r="D717" s="15" t="str">
        <x:v>Canon-Gate Prep</x:v>
      </x:c>
      <x:c r="E717" s="15" t="str">
        <x:v>Sheldonbrain</x:v>
      </x:c>
      <x:c r="F717" s="15" t="str">
        <x:v>Prepare canon-gate brief for Sheldonbrain — Rootglass</x:v>
      </x:c>
      <x:c r="G717" s="15" t="str">
        <x:v>authority boundaries / ratification packets</x:v>
      </x:c>
      <x:c r="H717" s="15" t="str">
        <x:v>source path + receipt + raw/export status + claim/edge/risk delta</x:v>
      </x:c>
      <x:c r="I717" s="15" t="str">
        <x:v>packet/SWARM-05-H12-S08</x:v>
      </x:c>
      <x:c r="J717" s="15" t="str">
        <x:v>TODO</x:v>
      </x:c>
      <x:c r="K717" s="15" t="str">
        <x:v>P1</x:v>
      </x:c>
      <x:c r="L717" s="15" t="str">
        <x:v>Done only when evidence is logged, contradiction search is noted, and boundary stamp remains non-canon unless ratified</x:v>
      </x:c>
      <x:c r="M717" s="15" t="str">
        <x:v>candidate / staging-only / not canon / not deployed / authority none</x:v>
      </x:c>
      <x:c r="N717" s="15" t="str">
        <x:v>Dispatch to Rootglass: complete Canon-Gate Prep x Sheldonbrain; return deltas only, receipts required.</x:v>
      </x:c>
      <x:c r="O717" s="15" t="str">
        <x:v>AF-KG-H12-S08</x:v>
      </x:c>
      <x:c r="P717" s="15" t="str">
        <x:v>Unverified</x:v>
      </x:c>
      <x:c r="Q717" s="15" t="str">
        <x:v>Not checked</x:v>
      </x:c>
      <x:c r="R717" s="15" t="str"/>
      <x:c r="S717" s="15" t="str"/>
      <x:c r="T717" s="15" t="str">
        <x:v>Log first source path or blocker</x:v>
      </x:c>
      <x:c r="U717" s="12" t="str">
        <x:f>IF(OR(P717="Unverified",Q717="Not checked"),"BLOCKED_PENDING_RECEIPT","READY_FOR_REVIEW")</x:f>
        <x:v>BLOCKED_PENDING_RECEIPT</x:v>
      </x:c>
      <x:c r="V717" s="12" t="str">
        <x:f>IF(J717="DONE","RETURNED",IF(U717="BLOCKED_PENDING_RECEIPT","SOURCE_TOUCH_REQUIRED","IN_PROGRESS"))</x:f>
        <x:v>SOURCE_TOUCH_REQUIRED</x:v>
      </x:c>
      <x:c r="W717" s="12" t="str">
        <x:f>IF(P717="Unverified","missing_receipt","receipt_logged")</x:f>
        <x:v>missing_receipt</x:v>
      </x:c>
      <x:c r="X717" s="12" t="str">
        <x:f>IF(Q717="Not checked","raw_status_missing","raw_status_logged")</x:f>
        <x:v>raw_status_missing</x:v>
      </x:c>
      <x:c r="Y717" s="12" t="str">
        <x:f>IF(U717="BLOCKED_PENDING_RECEIPT","Log source path or blocker; do not promote","Route to review lane")</x:f>
        <x:v>Log source path or blocker; do not promote</x:v>
      </x:c>
      <x:c r="Z717" s="12" t="str">
        <x:f>IF(K717="P0","Primary seat + Hashlight/Lucerna","Seat lane")</x:f>
        <x:v>Seat lane</x:v>
      </x:c>
      <x:c r="AA717" s="12" t="str">
        <x:f>IF(R717="","no_claim_delta","claim_delta_present")</x:f>
        <x:v>no_claim_delta</x:v>
      </x:c>
      <x:c r="AB717" s="12" t="str">
        <x:f>IF(S717="","no_contradiction_delta","contradiction_delta_present")</x:f>
        <x:v>no_contradiction_delta</x:v>
      </x:c>
      <x:c r="AC717" s="12" t="str">
        <x:f>IF(OR(ISNUMBER(SEARCH("hacker",LOWER(F717&amp;" "&amp;H717&amp;" "&amp;I717&amp;" "&amp;M717&amp;" "&amp;N717&amp;" "&amp;T717))),ISNUMBER(SEARCH("hacking",LOWER(F717&amp;" "&amp;H717&amp;" "&amp;I717&amp;" "&amp;M717&amp;" "&amp;N717&amp;" "&amp;T717))),ISNUMBER(SEARCH("bank",LOWER(F717&amp;" "&amp;H717&amp;" "&amp;I717&amp;" "&amp;M717&amp;" "&amp;N717&amp;" "&amp;T717))),ISNUMBER(SEARCH("banking",LOWER(F717&amp;" "&amp;H717&amp;" "&amp;I717&amp;" "&amp;M717&amp;" "&amp;N717&amp;" "&amp;T717)))),"PRIVATE_QUARANTINE",IF(OR(ISNUMBER(SEARCH("treasury",LOWER(F717&amp;" "&amp;H717&amp;" "&amp;I717&amp;" "&amp;M717&amp;" "&amp;N717&amp;" "&amp;T717))),ISNUMBER(SEARCH("debt",LOWER(F717&amp;" "&amp;H717&amp;" "&amp;I717&amp;" "&amp;M717&amp;" "&amp;N717&amp;" "&amp;T717))),ISNUMBER(SEARCH("bond",LOWER(F717&amp;" "&amp;H717&amp;" "&amp;I717&amp;" "&amp;M717&amp;" "&amp;N717&amp;" "&amp;T717))),ISNUMBER(SEARCH("transaction",LOWER(F717&amp;" "&amp;H717&amp;" "&amp;I717&amp;" "&amp;M717&amp;" "&amp;N717&amp;" "&amp;T717)))),"PRIVATE_REVIEW","PUBLIC_CANDIDATE"))</x:f>
        <x:v>PUBLIC_CANDIDATE</x:v>
      </x:c>
      <x:c r="AD717" s="12" t="str">
        <x:f>IF(AC717="PRIVATE_QUARANTINE","hacker_or_bank_trigger",IF(AC717="PRIVATE_REVIEW","finance_risk_trigger","none"))</x:f>
        <x:v>none</x:v>
      </x:c>
      <x:c r="AE717" s="12" t="str">
        <x:f>IF(AC717="PUBLIC_CANDIDATE","prepare_public_github_candidate",IF(AC717="PRIVATE_REVIEW","hold_for_private_review","quarantine_private_do_not_publish"))</x:f>
        <x:v>prepare_public_github_candidate</x:v>
      </x:c>
      <x:c r="AF717" s="12" t="str">
        <x:f>IF(AC717="PUBLIC_CANDIDATE","TIDELOCK + Lucerna",IF(AC717="PRIVATE_REVIEW","AtlasBrain + Lucerna","TIDELOCK + Lucerna + Human-root"))</x:f>
        <x:v>TIDELOCK + Lucerna</x:v>
      </x:c>
      <x:c r="AG717" s="12" t="str">
        <x:f>IF(AND(AC717="PUBLIC_CANDIDATE",U717&lt;&gt;"BLOCKED_PENDING_RECEIPT"),"READY_AFTER_RECEIPT","NOT_READY")</x:f>
        <x:v>NOT_READY</x:v>
      </x:c>
      <x:c r="AH717" s="12" t="str">
        <x:f>IF(AC717="PUBLIC_CANDIDATE","none",AD717)</x:f>
        <x:v>none</x:v>
      </x:c>
      <x:c r="AI717" s="12" t="str">
        <x:f>IF(AC717="PUBLIC_CANDIDATE","archive/public_candidates/"&amp;A717,"private_quarantine/"&amp;A717)</x:f>
        <x:v>archive/public_candidates/SWARM-05-H12-S08</x:v>
      </x:c>
      <x:c r="AJ717" s="12" t="str">
        <x:f>IF(AC717="PUBLIC_CANDIDATE","public by default; still not canon","private/hold; do not publish")</x:f>
        <x:v>public by default; still not canon</x:v>
      </x:c>
      <x:c r="AK717" s="12" t="str">
        <x:f>IF(AE717="prepare_public_github_candidate","add receipt/status then mirror","resolve blocker before any public GitHub action")</x:f>
        <x:v>add receipt/status then mirror</x:v>
      </x:c>
    </x:row>
    <x:row r="718">
      <x:c r="A718" s="15" t="str">
        <x:v>SWARM-05-H12-S09</x:v>
      </x:c>
      <x:c r="B718" s="15" t="str">
        <x:v>Rootglass</x:v>
      </x:c>
      <x:c r="C718" s="15" t="str">
        <x:v>Canon gate mirror</x:v>
      </x:c>
      <x:c r="D718" s="15" t="str">
        <x:v>Canon-Gate Prep</x:v>
      </x:c>
      <x:c r="E718" s="15" t="str">
        <x:v>Aetherforge</x:v>
      </x:c>
      <x:c r="F718" s="15" t="str">
        <x:v>Prepare canon-gate brief for Aetherforge — Rootglass</x:v>
      </x:c>
      <x:c r="G718" s="15" t="str">
        <x:v>authority boundaries / ratification packets</x:v>
      </x:c>
      <x:c r="H718" s="15" t="str">
        <x:v>source path + receipt + raw/export status + claim/edge/risk delta</x:v>
      </x:c>
      <x:c r="I718" s="15" t="str">
        <x:v>packet/SWARM-05-H12-S09</x:v>
      </x:c>
      <x:c r="J718" s="15" t="str">
        <x:v>TODO</x:v>
      </x:c>
      <x:c r="K718" s="15" t="str">
        <x:v>P2</x:v>
      </x:c>
      <x:c r="L718" s="15" t="str">
        <x:v>Done only when evidence is logged, contradiction search is noted, and boundary stamp remains non-canon unless ratified</x:v>
      </x:c>
      <x:c r="M718" s="15" t="str">
        <x:v>candidate / staging-only / not canon / not deployed / authority none</x:v>
      </x:c>
      <x:c r="N718" s="15" t="str">
        <x:v>Dispatch to Rootglass: complete Canon-Gate Prep x Aetherforge; return deltas only, receipts required.</x:v>
      </x:c>
      <x:c r="O718" s="15" t="str">
        <x:v>AF-KG-H12-S09</x:v>
      </x:c>
      <x:c r="P718" s="15" t="str">
        <x:v>Unverified</x:v>
      </x:c>
      <x:c r="Q718" s="15" t="str">
        <x:v>Not checked</x:v>
      </x:c>
      <x:c r="R718" s="15" t="str"/>
      <x:c r="S718" s="15" t="str"/>
      <x:c r="T718" s="15" t="str">
        <x:v>Log first source path or blocker</x:v>
      </x:c>
      <x:c r="U718" s="12" t="str">
        <x:f>IF(OR(P718="Unverified",Q718="Not checked"),"BLOCKED_PENDING_RECEIPT","READY_FOR_REVIEW")</x:f>
        <x:v>BLOCKED_PENDING_RECEIPT</x:v>
      </x:c>
      <x:c r="V718" s="12" t="str">
        <x:f>IF(J718="DONE","RETURNED",IF(U718="BLOCKED_PENDING_RECEIPT","SOURCE_TOUCH_REQUIRED","IN_PROGRESS"))</x:f>
        <x:v>SOURCE_TOUCH_REQUIRED</x:v>
      </x:c>
      <x:c r="W718" s="12" t="str">
        <x:f>IF(P718="Unverified","missing_receipt","receipt_logged")</x:f>
        <x:v>missing_receipt</x:v>
      </x:c>
      <x:c r="X718" s="12" t="str">
        <x:f>IF(Q718="Not checked","raw_status_missing","raw_status_logged")</x:f>
        <x:v>raw_status_missing</x:v>
      </x:c>
      <x:c r="Y718" s="12" t="str">
        <x:f>IF(U718="BLOCKED_PENDING_RECEIPT","Log source path or blocker; do not promote","Route to review lane")</x:f>
        <x:v>Log source path or blocker; do not promote</x:v>
      </x:c>
      <x:c r="Z718" s="12" t="str">
        <x:f>IF(K718="P0","Primary seat + Hashlight/Lucerna","Seat lane")</x:f>
        <x:v>Seat lane</x:v>
      </x:c>
      <x:c r="AA718" s="12" t="str">
        <x:f>IF(R718="","no_claim_delta","claim_delta_present")</x:f>
        <x:v>no_claim_delta</x:v>
      </x:c>
      <x:c r="AB718" s="12" t="str">
        <x:f>IF(S718="","no_contradiction_delta","contradiction_delta_present")</x:f>
        <x:v>no_contradiction_delta</x:v>
      </x:c>
      <x:c r="AC718" s="12" t="str">
        <x:f>IF(OR(ISNUMBER(SEARCH("hacker",LOWER(F718&amp;" "&amp;H718&amp;" "&amp;I718&amp;" "&amp;M718&amp;" "&amp;N718&amp;" "&amp;T718))),ISNUMBER(SEARCH("hacking",LOWER(F718&amp;" "&amp;H718&amp;" "&amp;I718&amp;" "&amp;M718&amp;" "&amp;N718&amp;" "&amp;T718))),ISNUMBER(SEARCH("bank",LOWER(F718&amp;" "&amp;H718&amp;" "&amp;I718&amp;" "&amp;M718&amp;" "&amp;N718&amp;" "&amp;T718))),ISNUMBER(SEARCH("banking",LOWER(F718&amp;" "&amp;H718&amp;" "&amp;I718&amp;" "&amp;M718&amp;" "&amp;N718&amp;" "&amp;T718)))),"PRIVATE_QUARANTINE",IF(OR(ISNUMBER(SEARCH("treasury",LOWER(F718&amp;" "&amp;H718&amp;" "&amp;I718&amp;" "&amp;M718&amp;" "&amp;N718&amp;" "&amp;T718))),ISNUMBER(SEARCH("debt",LOWER(F718&amp;" "&amp;H718&amp;" "&amp;I718&amp;" "&amp;M718&amp;" "&amp;N718&amp;" "&amp;T718))),ISNUMBER(SEARCH("bond",LOWER(F718&amp;" "&amp;H718&amp;" "&amp;I718&amp;" "&amp;M718&amp;" "&amp;N718&amp;" "&amp;T718))),ISNUMBER(SEARCH("transaction",LOWER(F718&amp;" "&amp;H718&amp;" "&amp;I718&amp;" "&amp;M718&amp;" "&amp;N718&amp;" "&amp;T718)))),"PRIVATE_REVIEW","PUBLIC_CANDIDATE"))</x:f>
        <x:v>PUBLIC_CANDIDATE</x:v>
      </x:c>
      <x:c r="AD718" s="12" t="str">
        <x:f>IF(AC718="PRIVATE_QUARANTINE","hacker_or_bank_trigger",IF(AC718="PRIVATE_REVIEW","finance_risk_trigger","none"))</x:f>
        <x:v>none</x:v>
      </x:c>
      <x:c r="AE718" s="12" t="str">
        <x:f>IF(AC718="PUBLIC_CANDIDATE","prepare_public_github_candidate",IF(AC718="PRIVATE_REVIEW","hold_for_private_review","quarantine_private_do_not_publish"))</x:f>
        <x:v>prepare_public_github_candidate</x:v>
      </x:c>
      <x:c r="AF718" s="12" t="str">
        <x:f>IF(AC718="PUBLIC_CANDIDATE","TIDELOCK + Lucerna",IF(AC718="PRIVATE_REVIEW","AtlasBrain + Lucerna","TIDELOCK + Lucerna + Human-root"))</x:f>
        <x:v>TIDELOCK + Lucerna</x:v>
      </x:c>
      <x:c r="AG718" s="12" t="str">
        <x:f>IF(AND(AC718="PUBLIC_CANDIDATE",U718&lt;&gt;"BLOCKED_PENDING_RECEIPT"),"READY_AFTER_RECEIPT","NOT_READY")</x:f>
        <x:v>NOT_READY</x:v>
      </x:c>
      <x:c r="AH718" s="12" t="str">
        <x:f>IF(AC718="PUBLIC_CANDIDATE","none",AD718)</x:f>
        <x:v>none</x:v>
      </x:c>
      <x:c r="AI718" s="12" t="str">
        <x:f>IF(AC718="PUBLIC_CANDIDATE","archive/public_candidates/"&amp;A718,"private_quarantine/"&amp;A718)</x:f>
        <x:v>archive/public_candidates/SWARM-05-H12-S09</x:v>
      </x:c>
      <x:c r="AJ718" s="12" t="str">
        <x:f>IF(AC718="PUBLIC_CANDIDATE","public by default; still not canon","private/hold; do not publish")</x:f>
        <x:v>public by default; still not canon</x:v>
      </x:c>
      <x:c r="AK718" s="12" t="str">
        <x:f>IF(AE718="prepare_public_github_candidate","add receipt/status then mirror","resolve blocker before any public GitHub action")</x:f>
        <x:v>add receipt/status then mirror</x:v>
      </x:c>
    </x:row>
    <x:row r="719">
      <x:c r="A719" s="15" t="str">
        <x:v>SWARM-05-H12-S10</x:v>
      </x:c>
      <x:c r="B719" s="15" t="str">
        <x:v>Rootglass</x:v>
      </x:c>
      <x:c r="C719" s="15" t="str">
        <x:v>Canon gate mirror</x:v>
      </x:c>
      <x:c r="D719" s="15" t="str">
        <x:v>Canon-Gate Prep</x:v>
      </x:c>
      <x:c r="E719" s="15" t="str">
        <x:v>Human-Root</x:v>
      </x:c>
      <x:c r="F719" s="15" t="str">
        <x:v>Prepare canon-gate brief for Human-Root — Rootglass</x:v>
      </x:c>
      <x:c r="G719" s="15" t="str">
        <x:v>authority boundaries / ratification packets</x:v>
      </x:c>
      <x:c r="H719" s="15" t="str">
        <x:v>source path + receipt + raw/export status + claim/edge/risk delta</x:v>
      </x:c>
      <x:c r="I719" s="15" t="str">
        <x:v>packet/SWARM-05-H12-S10</x:v>
      </x:c>
      <x:c r="J719" s="15" t="str">
        <x:v>TODO</x:v>
      </x:c>
      <x:c r="K719" s="15" t="str">
        <x:v>P2</x:v>
      </x:c>
      <x:c r="L719" s="15" t="str">
        <x:v>Done only when evidence is logged, contradiction search is noted, and boundary stamp remains non-canon unless ratified</x:v>
      </x:c>
      <x:c r="M719" s="15" t="str">
        <x:v>candidate / staging-only / not canon / not deployed / authority none</x:v>
      </x:c>
      <x:c r="N719" s="15" t="str">
        <x:v>Dispatch to Rootglass: complete Canon-Gate Prep x Human-Root; return deltas only, receipts required.</x:v>
      </x:c>
      <x:c r="O719" s="15" t="str">
        <x:v>AF-KG-H12-S10</x:v>
      </x:c>
      <x:c r="P719" s="15" t="str">
        <x:v>Unverified</x:v>
      </x:c>
      <x:c r="Q719" s="15" t="str">
        <x:v>Not checked</x:v>
      </x:c>
      <x:c r="R719" s="15" t="str"/>
      <x:c r="S719" s="15" t="str"/>
      <x:c r="T719" s="15" t="str">
        <x:v>Log first source path or blocker</x:v>
      </x:c>
      <x:c r="U719" s="12" t="str">
        <x:f>IF(OR(P719="Unverified",Q719="Not checked"),"BLOCKED_PENDING_RECEIPT","READY_FOR_REVIEW")</x:f>
        <x:v>BLOCKED_PENDING_RECEIPT</x:v>
      </x:c>
      <x:c r="V719" s="12" t="str">
        <x:f>IF(J719="DONE","RETURNED",IF(U719="BLOCKED_PENDING_RECEIPT","SOURCE_TOUCH_REQUIRED","IN_PROGRESS"))</x:f>
        <x:v>SOURCE_TOUCH_REQUIRED</x:v>
      </x:c>
      <x:c r="W719" s="12" t="str">
        <x:f>IF(P719="Unverified","missing_receipt","receipt_logged")</x:f>
        <x:v>missing_receipt</x:v>
      </x:c>
      <x:c r="X719" s="12" t="str">
        <x:f>IF(Q719="Not checked","raw_status_missing","raw_status_logged")</x:f>
        <x:v>raw_status_missing</x:v>
      </x:c>
      <x:c r="Y719" s="12" t="str">
        <x:f>IF(U719="BLOCKED_PENDING_RECEIPT","Log source path or blocker; do not promote","Route to review lane")</x:f>
        <x:v>Log source path or blocker; do not promote</x:v>
      </x:c>
      <x:c r="Z719" s="12" t="str">
        <x:f>IF(K719="P0","Primary seat + Hashlight/Lucerna","Seat lane")</x:f>
        <x:v>Seat lane</x:v>
      </x:c>
      <x:c r="AA719" s="12" t="str">
        <x:f>IF(R719="","no_claim_delta","claim_delta_present")</x:f>
        <x:v>no_claim_delta</x:v>
      </x:c>
      <x:c r="AB719" s="12" t="str">
        <x:f>IF(S719="","no_contradiction_delta","contradiction_delta_present")</x:f>
        <x:v>no_contradiction_delta</x:v>
      </x:c>
      <x:c r="AC719" s="12" t="str">
        <x:f>IF(OR(ISNUMBER(SEARCH("hacker",LOWER(F719&amp;" "&amp;H719&amp;" "&amp;I719&amp;" "&amp;M719&amp;" "&amp;N719&amp;" "&amp;T719))),ISNUMBER(SEARCH("hacking",LOWER(F719&amp;" "&amp;H719&amp;" "&amp;I719&amp;" "&amp;M719&amp;" "&amp;N719&amp;" "&amp;T719))),ISNUMBER(SEARCH("bank",LOWER(F719&amp;" "&amp;H719&amp;" "&amp;I719&amp;" "&amp;M719&amp;" "&amp;N719&amp;" "&amp;T719))),ISNUMBER(SEARCH("banking",LOWER(F719&amp;" "&amp;H719&amp;" "&amp;I719&amp;" "&amp;M719&amp;" "&amp;N719&amp;" "&amp;T719)))),"PRIVATE_QUARANTINE",IF(OR(ISNUMBER(SEARCH("treasury",LOWER(F719&amp;" "&amp;H719&amp;" "&amp;I719&amp;" "&amp;M719&amp;" "&amp;N719&amp;" "&amp;T719))),ISNUMBER(SEARCH("debt",LOWER(F719&amp;" "&amp;H719&amp;" "&amp;I719&amp;" "&amp;M719&amp;" "&amp;N719&amp;" "&amp;T719))),ISNUMBER(SEARCH("bond",LOWER(F719&amp;" "&amp;H719&amp;" "&amp;I719&amp;" "&amp;M719&amp;" "&amp;N719&amp;" "&amp;T719))),ISNUMBER(SEARCH("transaction",LOWER(F719&amp;" "&amp;H719&amp;" "&amp;I719&amp;" "&amp;M719&amp;" "&amp;N719&amp;" "&amp;T719)))),"PRIVATE_REVIEW","PUBLIC_CANDIDATE"))</x:f>
        <x:v>PUBLIC_CANDIDATE</x:v>
      </x:c>
      <x:c r="AD719" s="12" t="str">
        <x:f>IF(AC719="PRIVATE_QUARANTINE","hacker_or_bank_trigger",IF(AC719="PRIVATE_REVIEW","finance_risk_trigger","none"))</x:f>
        <x:v>none</x:v>
      </x:c>
      <x:c r="AE719" s="12" t="str">
        <x:f>IF(AC719="PUBLIC_CANDIDATE","prepare_public_github_candidate",IF(AC719="PRIVATE_REVIEW","hold_for_private_review","quarantine_private_do_not_publish"))</x:f>
        <x:v>prepare_public_github_candidate</x:v>
      </x:c>
      <x:c r="AF719" s="12" t="str">
        <x:f>IF(AC719="PUBLIC_CANDIDATE","TIDELOCK + Lucerna",IF(AC719="PRIVATE_REVIEW","AtlasBrain + Lucerna","TIDELOCK + Lucerna + Human-root"))</x:f>
        <x:v>TIDELOCK + Lucerna</x:v>
      </x:c>
      <x:c r="AG719" s="12" t="str">
        <x:f>IF(AND(AC719="PUBLIC_CANDIDATE",U719&lt;&gt;"BLOCKED_PENDING_RECEIPT"),"READY_AFTER_RECEIPT","NOT_READY")</x:f>
        <x:v>NOT_READY</x:v>
      </x:c>
      <x:c r="AH719" s="12" t="str">
        <x:f>IF(AC719="PUBLIC_CANDIDATE","none",AD719)</x:f>
        <x:v>none</x:v>
      </x:c>
      <x:c r="AI719" s="12" t="str">
        <x:f>IF(AC719="PUBLIC_CANDIDATE","archive/public_candidates/"&amp;A719,"private_quarantine/"&amp;A719)</x:f>
        <x:v>archive/public_candidates/SWARM-05-H12-S10</x:v>
      </x:c>
      <x:c r="AJ719" s="12" t="str">
        <x:f>IF(AC719="PUBLIC_CANDIDATE","public by default; still not canon","private/hold; do not publish")</x:f>
        <x:v>public by default; still not canon</x:v>
      </x:c>
      <x:c r="AK719" s="12" t="str">
        <x:f>IF(AE719="prepare_public_github_candidate","add receipt/status then mirror","resolve blocker before any public GitHub action")</x:f>
        <x:v>add receipt/status then mirror</x:v>
      </x:c>
    </x:row>
    <x:row r="720">
      <x:c r="A720" s="15" t="str">
        <x:v>SWARM-05-H12-S11</x:v>
      </x:c>
      <x:c r="B720" s="15" t="str">
        <x:v>Rootglass</x:v>
      </x:c>
      <x:c r="C720" s="15" t="str">
        <x:v>Canon gate mirror</x:v>
      </x:c>
      <x:c r="D720" s="15" t="str">
        <x:v>Canon-Gate Prep</x:v>
      </x:c>
      <x:c r="E720" s="15" t="str">
        <x:v>Automation</x:v>
      </x:c>
      <x:c r="F720" s="15" t="str">
        <x:v>Prepare canon-gate brief for Automation — Rootglass</x:v>
      </x:c>
      <x:c r="G720" s="15" t="str">
        <x:v>authority boundaries / ratification packets</x:v>
      </x:c>
      <x:c r="H720" s="15" t="str">
        <x:v>source path + receipt + raw/export status + claim/edge/risk delta</x:v>
      </x:c>
      <x:c r="I720" s="15" t="str">
        <x:v>packet/SWARM-05-H12-S11</x:v>
      </x:c>
      <x:c r="J720" s="15" t="str">
        <x:v>TODO</x:v>
      </x:c>
      <x:c r="K720" s="15" t="str">
        <x:v>P2</x:v>
      </x:c>
      <x:c r="L720" s="15" t="str">
        <x:v>Done only when evidence is logged, contradiction search is noted, and boundary stamp remains non-canon unless ratified</x:v>
      </x:c>
      <x:c r="M720" s="15" t="str">
        <x:v>candidate / staging-only / not canon / not deployed / authority none</x:v>
      </x:c>
      <x:c r="N720" s="15" t="str">
        <x:v>Dispatch to Rootglass: complete Canon-Gate Prep x Automation; return deltas only, receipts required.</x:v>
      </x:c>
      <x:c r="O720" s="15" t="str">
        <x:v>AF-KG-H12-S11</x:v>
      </x:c>
      <x:c r="P720" s="15" t="str">
        <x:v>Unverified</x:v>
      </x:c>
      <x:c r="Q720" s="15" t="str">
        <x:v>Not checked</x:v>
      </x:c>
      <x:c r="R720" s="15" t="str"/>
      <x:c r="S720" s="15" t="str"/>
      <x:c r="T720" s="15" t="str">
        <x:v>Log first source path or blocker</x:v>
      </x:c>
      <x:c r="U720" s="12" t="str">
        <x:f>IF(OR(P720="Unverified",Q720="Not checked"),"BLOCKED_PENDING_RECEIPT","READY_FOR_REVIEW")</x:f>
        <x:v>BLOCKED_PENDING_RECEIPT</x:v>
      </x:c>
      <x:c r="V720" s="12" t="str">
        <x:f>IF(J720="DONE","RETURNED",IF(U720="BLOCKED_PENDING_RECEIPT","SOURCE_TOUCH_REQUIRED","IN_PROGRESS"))</x:f>
        <x:v>SOURCE_TOUCH_REQUIRED</x:v>
      </x:c>
      <x:c r="W720" s="12" t="str">
        <x:f>IF(P720="Unverified","missing_receipt","receipt_logged")</x:f>
        <x:v>missing_receipt</x:v>
      </x:c>
      <x:c r="X720" s="12" t="str">
        <x:f>IF(Q720="Not checked","raw_status_missing","raw_status_logged")</x:f>
        <x:v>raw_status_missing</x:v>
      </x:c>
      <x:c r="Y720" s="12" t="str">
        <x:f>IF(U720="BLOCKED_PENDING_RECEIPT","Log source path or blocker; do not promote","Route to review lane")</x:f>
        <x:v>Log source path or blocker; do not promote</x:v>
      </x:c>
      <x:c r="Z720" s="12" t="str">
        <x:f>IF(K720="P0","Primary seat + Hashlight/Lucerna","Seat lane")</x:f>
        <x:v>Seat lane</x:v>
      </x:c>
      <x:c r="AA720" s="12" t="str">
        <x:f>IF(R720="","no_claim_delta","claim_delta_present")</x:f>
        <x:v>no_claim_delta</x:v>
      </x:c>
      <x:c r="AB720" s="12" t="str">
        <x:f>IF(S720="","no_contradiction_delta","contradiction_delta_present")</x:f>
        <x:v>no_contradiction_delta</x:v>
      </x:c>
      <x:c r="AC720" s="12" t="str">
        <x:f>IF(OR(ISNUMBER(SEARCH("hacker",LOWER(F720&amp;" "&amp;H720&amp;" "&amp;I720&amp;" "&amp;M720&amp;" "&amp;N720&amp;" "&amp;T720))),ISNUMBER(SEARCH("hacking",LOWER(F720&amp;" "&amp;H720&amp;" "&amp;I720&amp;" "&amp;M720&amp;" "&amp;N720&amp;" "&amp;T720))),ISNUMBER(SEARCH("bank",LOWER(F720&amp;" "&amp;H720&amp;" "&amp;I720&amp;" "&amp;M720&amp;" "&amp;N720&amp;" "&amp;T720))),ISNUMBER(SEARCH("banking",LOWER(F720&amp;" "&amp;H720&amp;" "&amp;I720&amp;" "&amp;M720&amp;" "&amp;N720&amp;" "&amp;T720)))),"PRIVATE_QUARANTINE",IF(OR(ISNUMBER(SEARCH("treasury",LOWER(F720&amp;" "&amp;H720&amp;" "&amp;I720&amp;" "&amp;M720&amp;" "&amp;N720&amp;" "&amp;T720))),ISNUMBER(SEARCH("debt",LOWER(F720&amp;" "&amp;H720&amp;" "&amp;I720&amp;" "&amp;M720&amp;" "&amp;N720&amp;" "&amp;T720))),ISNUMBER(SEARCH("bond",LOWER(F720&amp;" "&amp;H720&amp;" "&amp;I720&amp;" "&amp;M720&amp;" "&amp;N720&amp;" "&amp;T720))),ISNUMBER(SEARCH("transaction",LOWER(F720&amp;" "&amp;H720&amp;" "&amp;I720&amp;" "&amp;M720&amp;" "&amp;N720&amp;" "&amp;T720)))),"PRIVATE_REVIEW","PUBLIC_CANDIDATE"))</x:f>
        <x:v>PUBLIC_CANDIDATE</x:v>
      </x:c>
      <x:c r="AD720" s="12" t="str">
        <x:f>IF(AC720="PRIVATE_QUARANTINE","hacker_or_bank_trigger",IF(AC720="PRIVATE_REVIEW","finance_risk_trigger","none"))</x:f>
        <x:v>none</x:v>
      </x:c>
      <x:c r="AE720" s="12" t="str">
        <x:f>IF(AC720="PUBLIC_CANDIDATE","prepare_public_github_candidate",IF(AC720="PRIVATE_REVIEW","hold_for_private_review","quarantine_private_do_not_publish"))</x:f>
        <x:v>prepare_public_github_candidate</x:v>
      </x:c>
      <x:c r="AF720" s="12" t="str">
        <x:f>IF(AC720="PUBLIC_CANDIDATE","TIDELOCK + Lucerna",IF(AC720="PRIVATE_REVIEW","AtlasBrain + Lucerna","TIDELOCK + Lucerna + Human-root"))</x:f>
        <x:v>TIDELOCK + Lucerna</x:v>
      </x:c>
      <x:c r="AG720" s="12" t="str">
        <x:f>IF(AND(AC720="PUBLIC_CANDIDATE",U720&lt;&gt;"BLOCKED_PENDING_RECEIPT"),"READY_AFTER_RECEIPT","NOT_READY")</x:f>
        <x:v>NOT_READY</x:v>
      </x:c>
      <x:c r="AH720" s="12" t="str">
        <x:f>IF(AC720="PUBLIC_CANDIDATE","none",AD720)</x:f>
        <x:v>none</x:v>
      </x:c>
      <x:c r="AI720" s="12" t="str">
        <x:f>IF(AC720="PUBLIC_CANDIDATE","archive/public_candidates/"&amp;A720,"private_quarantine/"&amp;A720)</x:f>
        <x:v>archive/public_candidates/SWARM-05-H12-S11</x:v>
      </x:c>
      <x:c r="AJ720" s="12" t="str">
        <x:f>IF(AC720="PUBLIC_CANDIDATE","public by default; still not canon","private/hold; do not publish")</x:f>
        <x:v>public by default; still not canon</x:v>
      </x:c>
      <x:c r="AK720" s="12" t="str">
        <x:f>IF(AE720="prepare_public_github_candidate","add receipt/status then mirror","resolve blocker before any public GitHub action")</x:f>
        <x:v>add receipt/status then mirror</x:v>
      </x:c>
    </x:row>
    <x:row r="721">
      <x:c r="A721" s="15" t="str">
        <x:v>SWARM-05-H12-S12</x:v>
      </x:c>
      <x:c r="B721" s="15" t="str">
        <x:v>Rootglass</x:v>
      </x:c>
      <x:c r="C721" s="15" t="str">
        <x:v>Canon gate mirror</x:v>
      </x:c>
      <x:c r="D721" s="15" t="str">
        <x:v>Canon-Gate Prep</x:v>
      </x:c>
      <x:c r="E721" s="15" t="str">
        <x:v>Risk / Safety</x:v>
      </x:c>
      <x:c r="F721" s="15" t="str">
        <x:v>Prepare canon-gate brief for Risk / Safety — Rootglass</x:v>
      </x:c>
      <x:c r="G721" s="15" t="str">
        <x:v>authority boundaries / ratification packets</x:v>
      </x:c>
      <x:c r="H721" s="15" t="str">
        <x:v>source path + receipt + raw/export status + claim/edge/risk delta</x:v>
      </x:c>
      <x:c r="I721" s="15" t="str">
        <x:v>packet/SWARM-05-H12-S12</x:v>
      </x:c>
      <x:c r="J721" s="15" t="str">
        <x:v>TODO</x:v>
      </x:c>
      <x:c r="K721" s="15" t="str">
        <x:v>P2</x:v>
      </x:c>
      <x:c r="L721" s="15" t="str">
        <x:v>Done only when evidence is logged, contradiction search is noted, and boundary stamp remains non-canon unless ratified</x:v>
      </x:c>
      <x:c r="M721" s="15" t="str">
        <x:v>candidate / staging-only / not canon / not deployed / authority none</x:v>
      </x:c>
      <x:c r="N721" s="15" t="str">
        <x:v>Dispatch to Rootglass: complete Canon-Gate Prep x Risk / Safety; return deltas only, receipts required.</x:v>
      </x:c>
      <x:c r="O721" s="15" t="str">
        <x:v>AF-KG-H12-S12</x:v>
      </x:c>
      <x:c r="P721" s="15" t="str">
        <x:v>Unverified</x:v>
      </x:c>
      <x:c r="Q721" s="15" t="str">
        <x:v>Not checked</x:v>
      </x:c>
      <x:c r="R721" s="15" t="str"/>
      <x:c r="S721" s="15" t="str"/>
      <x:c r="T721" s="15" t="str">
        <x:v>Log first source path or blocker</x:v>
      </x:c>
      <x:c r="U721" s="12" t="str">
        <x:f>IF(OR(P721="Unverified",Q721="Not checked"),"BLOCKED_PENDING_RECEIPT","READY_FOR_REVIEW")</x:f>
        <x:v>BLOCKED_PENDING_RECEIPT</x:v>
      </x:c>
      <x:c r="V721" s="12" t="str">
        <x:f>IF(J721="DONE","RETURNED",IF(U721="BLOCKED_PENDING_RECEIPT","SOURCE_TOUCH_REQUIRED","IN_PROGRESS"))</x:f>
        <x:v>SOURCE_TOUCH_REQUIRED</x:v>
      </x:c>
      <x:c r="W721" s="12" t="str">
        <x:f>IF(P721="Unverified","missing_receipt","receipt_logged")</x:f>
        <x:v>missing_receipt</x:v>
      </x:c>
      <x:c r="X721" s="12" t="str">
        <x:f>IF(Q721="Not checked","raw_status_missing","raw_status_logged")</x:f>
        <x:v>raw_status_missing</x:v>
      </x:c>
      <x:c r="Y721" s="12" t="str">
        <x:f>IF(U721="BLOCKED_PENDING_RECEIPT","Log source path or blocker; do not promote","Route to review lane")</x:f>
        <x:v>Log source path or blocker; do not promote</x:v>
      </x:c>
      <x:c r="Z721" s="12" t="str">
        <x:f>IF(K721="P0","Primary seat + Hashlight/Lucerna","Seat lane")</x:f>
        <x:v>Seat lane</x:v>
      </x:c>
      <x:c r="AA721" s="12" t="str">
        <x:f>IF(R721="","no_claim_delta","claim_delta_present")</x:f>
        <x:v>no_claim_delta</x:v>
      </x:c>
      <x:c r="AB721" s="12" t="str">
        <x:f>IF(S721="","no_contradiction_delta","contradiction_delta_present")</x:f>
        <x:v>no_contradiction_delta</x:v>
      </x:c>
      <x:c r="AC721" s="12" t="str">
        <x:f>IF(OR(ISNUMBER(SEARCH("hacker",LOWER(F721&amp;" "&amp;H721&amp;" "&amp;I721&amp;" "&amp;M721&amp;" "&amp;N721&amp;" "&amp;T721))),ISNUMBER(SEARCH("hacking",LOWER(F721&amp;" "&amp;H721&amp;" "&amp;I721&amp;" "&amp;M721&amp;" "&amp;N721&amp;" "&amp;T721))),ISNUMBER(SEARCH("bank",LOWER(F721&amp;" "&amp;H721&amp;" "&amp;I721&amp;" "&amp;M721&amp;" "&amp;N721&amp;" "&amp;T721))),ISNUMBER(SEARCH("banking",LOWER(F721&amp;" "&amp;H721&amp;" "&amp;I721&amp;" "&amp;M721&amp;" "&amp;N721&amp;" "&amp;T721)))),"PRIVATE_QUARANTINE",IF(OR(ISNUMBER(SEARCH("treasury",LOWER(F721&amp;" "&amp;H721&amp;" "&amp;I721&amp;" "&amp;M721&amp;" "&amp;N721&amp;" "&amp;T721))),ISNUMBER(SEARCH("debt",LOWER(F721&amp;" "&amp;H721&amp;" "&amp;I721&amp;" "&amp;M721&amp;" "&amp;N721&amp;" "&amp;T721))),ISNUMBER(SEARCH("bond",LOWER(F721&amp;" "&amp;H721&amp;" "&amp;I721&amp;" "&amp;M721&amp;" "&amp;N721&amp;" "&amp;T721))),ISNUMBER(SEARCH("transaction",LOWER(F721&amp;" "&amp;H721&amp;" "&amp;I721&amp;" "&amp;M721&amp;" "&amp;N721&amp;" "&amp;T721)))),"PRIVATE_REVIEW","PUBLIC_CANDIDATE"))</x:f>
        <x:v>PUBLIC_CANDIDATE</x:v>
      </x:c>
      <x:c r="AD721" s="12" t="str">
        <x:f>IF(AC721="PRIVATE_QUARANTINE","hacker_or_bank_trigger",IF(AC721="PRIVATE_REVIEW","finance_risk_trigger","none"))</x:f>
        <x:v>none</x:v>
      </x:c>
      <x:c r="AE721" s="12" t="str">
        <x:f>IF(AC721="PUBLIC_CANDIDATE","prepare_public_github_candidate",IF(AC721="PRIVATE_REVIEW","hold_for_private_review","quarantine_private_do_not_publish"))</x:f>
        <x:v>prepare_public_github_candidate</x:v>
      </x:c>
      <x:c r="AF721" s="12" t="str">
        <x:f>IF(AC721="PUBLIC_CANDIDATE","TIDELOCK + Lucerna",IF(AC721="PRIVATE_REVIEW","AtlasBrain + Lucerna","TIDELOCK + Lucerna + Human-root"))</x:f>
        <x:v>TIDELOCK + Lucerna</x:v>
      </x:c>
      <x:c r="AG721" s="12" t="str">
        <x:f>IF(AND(AC721="PUBLIC_CANDIDATE",U721&lt;&gt;"BLOCKED_PENDING_RECEIPT"),"READY_AFTER_RECEIPT","NOT_READY")</x:f>
        <x:v>NOT_READY</x:v>
      </x:c>
      <x:c r="AH721" s="12" t="str">
        <x:f>IF(AC721="PUBLIC_CANDIDATE","none",AD721)</x:f>
        <x:v>none</x:v>
      </x:c>
      <x:c r="AI721" s="12" t="str">
        <x:f>IF(AC721="PUBLIC_CANDIDATE","archive/public_candidates/"&amp;A721,"private_quarantine/"&amp;A721)</x:f>
        <x:v>archive/public_candidates/SWARM-05-H12-S12</x:v>
      </x:c>
      <x:c r="AJ721" s="12" t="str">
        <x:f>IF(AC721="PUBLIC_CANDIDATE","public by default; still not canon","private/hold; do not publish")</x:f>
        <x:v>public by default; still not canon</x:v>
      </x:c>
      <x:c r="AK721" s="12" t="str">
        <x:f>IF(AE721="prepare_public_github_candidate","add receipt/status then mirror","resolve blocker before any public GitHub action")</x:f>
        <x:v>add receipt/status then mirror</x:v>
      </x:c>
    </x:row>
    <x:row r="722">
      <x:c r="A722" s="15" t="str">
        <x:v>SWARM-06-H01-S01</x:v>
      </x:c>
      <x:c r="B722" s="15" t="str">
        <x:v>Forgekid</x:v>
      </x:c>
      <x:c r="C722" s="15" t="str">
        <x:v>Aetherforge UX builder</x:v>
      </x:c>
      <x:c r="D722" s="15" t="str">
        <x:v>Source Inventory</x:v>
      </x:c>
      <x:c r="E722" s="15" t="str">
        <x:v>Notion</x:v>
      </x:c>
      <x:c r="F722" s="15" t="str">
        <x:v>Inventory Notion — Forgekid</x:v>
      </x:c>
      <x:c r="G722" s="15" t="str">
        <x:v>quest cards / task cards / board affordances</x:v>
      </x:c>
      <x:c r="H722" s="15" t="str">
        <x:v>source path + receipt + raw/export status + claim/edge/risk delta</x:v>
      </x:c>
      <x:c r="I722" s="15" t="str">
        <x:v>packet/SWARM-06-H01-S01</x:v>
      </x:c>
      <x:c r="J722" s="15" t="str">
        <x:v>TODO</x:v>
      </x:c>
      <x:c r="K722" s="15" t="str">
        <x:v>P0</x:v>
      </x:c>
      <x:c r="L722" s="15" t="str">
        <x:v>Done only when evidence is logged, contradiction search is noted, and boundary stamp remains non-canon unless ratified</x:v>
      </x:c>
      <x:c r="M722" s="15" t="str">
        <x:v>candidate / staging-only / not canon / not deployed / authority none</x:v>
      </x:c>
      <x:c r="N722" s="15" t="str">
        <x:v>Dispatch to Forgekid: complete Source Inventory x Notion; return deltas only, receipts required.</x:v>
      </x:c>
      <x:c r="O722" s="15" t="str">
        <x:v>AF-KG-H01-S01</x:v>
      </x:c>
      <x:c r="P722" s="15" t="str">
        <x:v>Unverified</x:v>
      </x:c>
      <x:c r="Q722" s="15" t="str">
        <x:v>Not checked</x:v>
      </x:c>
      <x:c r="R722" s="15" t="str"/>
      <x:c r="S722" s="15" t="str"/>
      <x:c r="T722" s="15" t="str">
        <x:v>Log first source path or blocker</x:v>
      </x:c>
      <x:c r="U722" s="12" t="str">
        <x:f>IF(OR(P722="Unverified",Q722="Not checked"),"BLOCKED_PENDING_RECEIPT","READY_FOR_REVIEW")</x:f>
        <x:v>BLOCKED_PENDING_RECEIPT</x:v>
      </x:c>
      <x:c r="V722" s="12" t="str">
        <x:f>IF(J722="DONE","RETURNED",IF(U722="BLOCKED_PENDING_RECEIPT","SOURCE_TOUCH_REQUIRED","IN_PROGRESS"))</x:f>
        <x:v>SOURCE_TOUCH_REQUIRED</x:v>
      </x:c>
      <x:c r="W722" s="12" t="str">
        <x:f>IF(P722="Unverified","missing_receipt","receipt_logged")</x:f>
        <x:v>missing_receipt</x:v>
      </x:c>
      <x:c r="X722" s="12" t="str">
        <x:f>IF(Q722="Not checked","raw_status_missing","raw_status_logged")</x:f>
        <x:v>raw_status_missing</x:v>
      </x:c>
      <x:c r="Y722" s="12" t="str">
        <x:f>IF(U722="BLOCKED_PENDING_RECEIPT","Log source path or blocker; do not promote","Route to review lane")</x:f>
        <x:v>Log source path or blocker; do not promote</x:v>
      </x:c>
      <x:c r="Z722" s="12" t="str">
        <x:f>IF(K722="P0","Primary seat + Hashlight/Lucerna","Seat lane")</x:f>
        <x:v>Primary seat + Hashlight/Lucerna</x:v>
      </x:c>
      <x:c r="AA722" s="12" t="str">
        <x:f>IF(R722="","no_claim_delta","claim_delta_present")</x:f>
        <x:v>no_claim_delta</x:v>
      </x:c>
      <x:c r="AB722" s="12" t="str">
        <x:f>IF(S722="","no_contradiction_delta","contradiction_delta_present")</x:f>
        <x:v>no_contradiction_delta</x:v>
      </x:c>
      <x:c r="AC722" s="12" t="str">
        <x:f>IF(OR(ISNUMBER(SEARCH("hacker",LOWER(F722&amp;" "&amp;H722&amp;" "&amp;I722&amp;" "&amp;M722&amp;" "&amp;N722&amp;" "&amp;T722))),ISNUMBER(SEARCH("hacking",LOWER(F722&amp;" "&amp;H722&amp;" "&amp;I722&amp;" "&amp;M722&amp;" "&amp;N722&amp;" "&amp;T722))),ISNUMBER(SEARCH("bank",LOWER(F722&amp;" "&amp;H722&amp;" "&amp;I722&amp;" "&amp;M722&amp;" "&amp;N722&amp;" "&amp;T722))),ISNUMBER(SEARCH("banking",LOWER(F722&amp;" "&amp;H722&amp;" "&amp;I722&amp;" "&amp;M722&amp;" "&amp;N722&amp;" "&amp;T722)))),"PRIVATE_QUARANTINE",IF(OR(ISNUMBER(SEARCH("treasury",LOWER(F722&amp;" "&amp;H722&amp;" "&amp;I722&amp;" "&amp;M722&amp;" "&amp;N722&amp;" "&amp;T722))),ISNUMBER(SEARCH("debt",LOWER(F722&amp;" "&amp;H722&amp;" "&amp;I722&amp;" "&amp;M722&amp;" "&amp;N722&amp;" "&amp;T722))),ISNUMBER(SEARCH("bond",LOWER(F722&amp;" "&amp;H722&amp;" "&amp;I722&amp;" "&amp;M722&amp;" "&amp;N722&amp;" "&amp;T722))),ISNUMBER(SEARCH("transaction",LOWER(F722&amp;" "&amp;H722&amp;" "&amp;I722&amp;" "&amp;M722&amp;" "&amp;N722&amp;" "&amp;T722)))),"PRIVATE_REVIEW","PUBLIC_CANDIDATE"))</x:f>
        <x:v>PUBLIC_CANDIDATE</x:v>
      </x:c>
      <x:c r="AD722" s="12" t="str">
        <x:f>IF(AC722="PRIVATE_QUARANTINE","hacker_or_bank_trigger",IF(AC722="PRIVATE_REVIEW","finance_risk_trigger","none"))</x:f>
        <x:v>none</x:v>
      </x:c>
      <x:c r="AE722" s="12" t="str">
        <x:f>IF(AC722="PUBLIC_CANDIDATE","prepare_public_github_candidate",IF(AC722="PRIVATE_REVIEW","hold_for_private_review","quarantine_private_do_not_publish"))</x:f>
        <x:v>prepare_public_github_candidate</x:v>
      </x:c>
      <x:c r="AF722" s="12" t="str">
        <x:f>IF(AC722="PUBLIC_CANDIDATE","TIDELOCK + Lucerna",IF(AC722="PRIVATE_REVIEW","AtlasBrain + Lucerna","TIDELOCK + Lucerna + Human-root"))</x:f>
        <x:v>TIDELOCK + Lucerna</x:v>
      </x:c>
      <x:c r="AG722" s="12" t="str">
        <x:f>IF(AND(AC722="PUBLIC_CANDIDATE",U722&lt;&gt;"BLOCKED_PENDING_RECEIPT"),"READY_AFTER_RECEIPT","NOT_READY")</x:f>
        <x:v>NOT_READY</x:v>
      </x:c>
      <x:c r="AH722" s="12" t="str">
        <x:f>IF(AC722="PUBLIC_CANDIDATE","none",AD722)</x:f>
        <x:v>none</x:v>
      </x:c>
      <x:c r="AI722" s="12" t="str">
        <x:f>IF(AC722="PUBLIC_CANDIDATE","archive/public_candidates/"&amp;A722,"private_quarantine/"&amp;A722)</x:f>
        <x:v>archive/public_candidates/SWARM-06-H01-S01</x:v>
      </x:c>
      <x:c r="AJ722" s="12" t="str">
        <x:f>IF(AC722="PUBLIC_CANDIDATE","public by default; still not canon","private/hold; do not publish")</x:f>
        <x:v>public by default; still not canon</x:v>
      </x:c>
      <x:c r="AK722" s="12" t="str">
        <x:f>IF(AE722="prepare_public_github_candidate","add receipt/status then mirror","resolve blocker before any public GitHub action")</x:f>
        <x:v>add receipt/status then mirror</x:v>
      </x:c>
    </x:row>
    <x:row r="723">
      <x:c r="A723" s="15" t="str">
        <x:v>SWARM-06-H01-S02</x:v>
      </x:c>
      <x:c r="B723" s="15" t="str">
        <x:v>Forgekid</x:v>
      </x:c>
      <x:c r="C723" s="15" t="str">
        <x:v>Aetherforge UX builder</x:v>
      </x:c>
      <x:c r="D723" s="15" t="str">
        <x:v>Source Inventory</x:v>
      </x:c>
      <x:c r="E723" s="15" t="str">
        <x:v>Drive</x:v>
      </x:c>
      <x:c r="F723" s="15" t="str">
        <x:v>Inventory Drive — Forgekid</x:v>
      </x:c>
      <x:c r="G723" s="15" t="str">
        <x:v>quest cards / task cards / board affordances</x:v>
      </x:c>
      <x:c r="H723" s="15" t="str">
        <x:v>source path + receipt + raw/export status + claim/edge/risk delta</x:v>
      </x:c>
      <x:c r="I723" s="15" t="str">
        <x:v>packet/SWARM-06-H01-S02</x:v>
      </x:c>
      <x:c r="J723" s="15" t="str">
        <x:v>TODO</x:v>
      </x:c>
      <x:c r="K723" s="15" t="str">
        <x:v>P0</x:v>
      </x:c>
      <x:c r="L723" s="15" t="str">
        <x:v>Done only when evidence is logged, contradiction search is noted, and boundary stamp remains non-canon unless ratified</x:v>
      </x:c>
      <x:c r="M723" s="15" t="str">
        <x:v>candidate / staging-only / not canon / not deployed / authority none</x:v>
      </x:c>
      <x:c r="N723" s="15" t="str">
        <x:v>Dispatch to Forgekid: complete Source Inventory x Drive; return deltas only, receipts required.</x:v>
      </x:c>
      <x:c r="O723" s="15" t="str">
        <x:v>AF-KG-H01-S02</x:v>
      </x:c>
      <x:c r="P723" s="15" t="str">
        <x:v>Unverified</x:v>
      </x:c>
      <x:c r="Q723" s="15" t="str">
        <x:v>Not checked</x:v>
      </x:c>
      <x:c r="R723" s="15" t="str"/>
      <x:c r="S723" s="15" t="str"/>
      <x:c r="T723" s="15" t="str">
        <x:v>Log first source path or blocker</x:v>
      </x:c>
      <x:c r="U723" s="12" t="str">
        <x:f>IF(OR(P723="Unverified",Q723="Not checked"),"BLOCKED_PENDING_RECEIPT","READY_FOR_REVIEW")</x:f>
        <x:v>BLOCKED_PENDING_RECEIPT</x:v>
      </x:c>
      <x:c r="V723" s="12" t="str">
        <x:f>IF(J723="DONE","RETURNED",IF(U723="BLOCKED_PENDING_RECEIPT","SOURCE_TOUCH_REQUIRED","IN_PROGRESS"))</x:f>
        <x:v>SOURCE_TOUCH_REQUIRED</x:v>
      </x:c>
      <x:c r="W723" s="12" t="str">
        <x:f>IF(P723="Unverified","missing_receipt","receipt_logged")</x:f>
        <x:v>missing_receipt</x:v>
      </x:c>
      <x:c r="X723" s="12" t="str">
        <x:f>IF(Q723="Not checked","raw_status_missing","raw_status_logged")</x:f>
        <x:v>raw_status_missing</x:v>
      </x:c>
      <x:c r="Y723" s="12" t="str">
        <x:f>IF(U723="BLOCKED_PENDING_RECEIPT","Log source path or blocker; do not promote","Route to review lane")</x:f>
        <x:v>Log source path or blocker; do not promote</x:v>
      </x:c>
      <x:c r="Z723" s="12" t="str">
        <x:f>IF(K723="P0","Primary seat + Hashlight/Lucerna","Seat lane")</x:f>
        <x:v>Primary seat + Hashlight/Lucerna</x:v>
      </x:c>
      <x:c r="AA723" s="12" t="str">
        <x:f>IF(R723="","no_claim_delta","claim_delta_present")</x:f>
        <x:v>no_claim_delta</x:v>
      </x:c>
      <x:c r="AB723" s="12" t="str">
        <x:f>IF(S723="","no_contradiction_delta","contradiction_delta_present")</x:f>
        <x:v>no_contradiction_delta</x:v>
      </x:c>
      <x:c r="AC723" s="12" t="str">
        <x:f>IF(OR(ISNUMBER(SEARCH("hacker",LOWER(F723&amp;" "&amp;H723&amp;" "&amp;I723&amp;" "&amp;M723&amp;" "&amp;N723&amp;" "&amp;T723))),ISNUMBER(SEARCH("hacking",LOWER(F723&amp;" "&amp;H723&amp;" "&amp;I723&amp;" "&amp;M723&amp;" "&amp;N723&amp;" "&amp;T723))),ISNUMBER(SEARCH("bank",LOWER(F723&amp;" "&amp;H723&amp;" "&amp;I723&amp;" "&amp;M723&amp;" "&amp;N723&amp;" "&amp;T723))),ISNUMBER(SEARCH("banking",LOWER(F723&amp;" "&amp;H723&amp;" "&amp;I723&amp;" "&amp;M723&amp;" "&amp;N723&amp;" "&amp;T723)))),"PRIVATE_QUARANTINE",IF(OR(ISNUMBER(SEARCH("treasury",LOWER(F723&amp;" "&amp;H723&amp;" "&amp;I723&amp;" "&amp;M723&amp;" "&amp;N723&amp;" "&amp;T723))),ISNUMBER(SEARCH("debt",LOWER(F723&amp;" "&amp;H723&amp;" "&amp;I723&amp;" "&amp;M723&amp;" "&amp;N723&amp;" "&amp;T723))),ISNUMBER(SEARCH("bond",LOWER(F723&amp;" "&amp;H723&amp;" "&amp;I723&amp;" "&amp;M723&amp;" "&amp;N723&amp;" "&amp;T723))),ISNUMBER(SEARCH("transaction",LOWER(F723&amp;" "&amp;H723&amp;" "&amp;I723&amp;" "&amp;M723&amp;" "&amp;N723&amp;" "&amp;T723)))),"PRIVATE_REVIEW","PUBLIC_CANDIDATE"))</x:f>
        <x:v>PUBLIC_CANDIDATE</x:v>
      </x:c>
      <x:c r="AD723" s="12" t="str">
        <x:f>IF(AC723="PRIVATE_QUARANTINE","hacker_or_bank_trigger",IF(AC723="PRIVATE_REVIEW","finance_risk_trigger","none"))</x:f>
        <x:v>none</x:v>
      </x:c>
      <x:c r="AE723" s="12" t="str">
        <x:f>IF(AC723="PUBLIC_CANDIDATE","prepare_public_github_candidate",IF(AC723="PRIVATE_REVIEW","hold_for_private_review","quarantine_private_do_not_publish"))</x:f>
        <x:v>prepare_public_github_candidate</x:v>
      </x:c>
      <x:c r="AF723" s="12" t="str">
        <x:f>IF(AC723="PUBLIC_CANDIDATE","TIDELOCK + Lucerna",IF(AC723="PRIVATE_REVIEW","AtlasBrain + Lucerna","TIDELOCK + Lucerna + Human-root"))</x:f>
        <x:v>TIDELOCK + Lucerna</x:v>
      </x:c>
      <x:c r="AG723" s="12" t="str">
        <x:f>IF(AND(AC723="PUBLIC_CANDIDATE",U723&lt;&gt;"BLOCKED_PENDING_RECEIPT"),"READY_AFTER_RECEIPT","NOT_READY")</x:f>
        <x:v>NOT_READY</x:v>
      </x:c>
      <x:c r="AH723" s="12" t="str">
        <x:f>IF(AC723="PUBLIC_CANDIDATE","none",AD723)</x:f>
        <x:v>none</x:v>
      </x:c>
      <x:c r="AI723" s="12" t="str">
        <x:f>IF(AC723="PUBLIC_CANDIDATE","archive/public_candidates/"&amp;A723,"private_quarantine/"&amp;A723)</x:f>
        <x:v>archive/public_candidates/SWARM-06-H01-S02</x:v>
      </x:c>
      <x:c r="AJ723" s="12" t="str">
        <x:f>IF(AC723="PUBLIC_CANDIDATE","public by default; still not canon","private/hold; do not publish")</x:f>
        <x:v>public by default; still not canon</x:v>
      </x:c>
      <x:c r="AK723" s="12" t="str">
        <x:f>IF(AE723="prepare_public_github_candidate","add receipt/status then mirror","resolve blocker before any public GitHub action")</x:f>
        <x:v>add receipt/status then mirror</x:v>
      </x:c>
    </x:row>
    <x:row r="724">
      <x:c r="A724" s="15" t="str">
        <x:v>SWARM-06-H01-S03</x:v>
      </x:c>
      <x:c r="B724" s="15" t="str">
        <x:v>Forgekid</x:v>
      </x:c>
      <x:c r="C724" s="15" t="str">
        <x:v>Aetherforge UX builder</x:v>
      </x:c>
      <x:c r="D724" s="15" t="str">
        <x:v>Source Inventory</x:v>
      </x:c>
      <x:c r="E724" s="15" t="str">
        <x:v>GitHub</x:v>
      </x:c>
      <x:c r="F724" s="15" t="str">
        <x:v>Inventory GitHub — Forgekid</x:v>
      </x:c>
      <x:c r="G724" s="15" t="str">
        <x:v>quest cards / task cards / board affordances</x:v>
      </x:c>
      <x:c r="H724" s="15" t="str">
        <x:v>source path + receipt + raw/export status + claim/edge/risk delta</x:v>
      </x:c>
      <x:c r="I724" s="15" t="str">
        <x:v>packet/SWARM-06-H01-S03</x:v>
      </x:c>
      <x:c r="J724" s="15" t="str">
        <x:v>TODO</x:v>
      </x:c>
      <x:c r="K724" s="15" t="str">
        <x:v>P0</x:v>
      </x:c>
      <x:c r="L724" s="15" t="str">
        <x:v>Done only when evidence is logged, contradiction search is noted, and boundary stamp remains non-canon unless ratified</x:v>
      </x:c>
      <x:c r="M724" s="15" t="str">
        <x:v>candidate / staging-only / not canon / not deployed / authority none</x:v>
      </x:c>
      <x:c r="N724" s="15" t="str">
        <x:v>Dispatch to Forgekid: complete Source Inventory x GitHub; return deltas only, receipts required.</x:v>
      </x:c>
      <x:c r="O724" s="15" t="str">
        <x:v>AF-KG-H01-S03</x:v>
      </x:c>
      <x:c r="P724" s="15" t="str">
        <x:v>Unverified</x:v>
      </x:c>
      <x:c r="Q724" s="15" t="str">
        <x:v>Not checked</x:v>
      </x:c>
      <x:c r="R724" s="15" t="str"/>
      <x:c r="S724" s="15" t="str"/>
      <x:c r="T724" s="15" t="str">
        <x:v>Log first source path or blocker</x:v>
      </x:c>
      <x:c r="U724" s="12" t="str">
        <x:f>IF(OR(P724="Unverified",Q724="Not checked"),"BLOCKED_PENDING_RECEIPT","READY_FOR_REVIEW")</x:f>
        <x:v>BLOCKED_PENDING_RECEIPT</x:v>
      </x:c>
      <x:c r="V724" s="12" t="str">
        <x:f>IF(J724="DONE","RETURNED",IF(U724="BLOCKED_PENDING_RECEIPT","SOURCE_TOUCH_REQUIRED","IN_PROGRESS"))</x:f>
        <x:v>SOURCE_TOUCH_REQUIRED</x:v>
      </x:c>
      <x:c r="W724" s="12" t="str">
        <x:f>IF(P724="Unverified","missing_receipt","receipt_logged")</x:f>
        <x:v>missing_receipt</x:v>
      </x:c>
      <x:c r="X724" s="12" t="str">
        <x:f>IF(Q724="Not checked","raw_status_missing","raw_status_logged")</x:f>
        <x:v>raw_status_missing</x:v>
      </x:c>
      <x:c r="Y724" s="12" t="str">
        <x:f>IF(U724="BLOCKED_PENDING_RECEIPT","Log source path or blocker; do not promote","Route to review lane")</x:f>
        <x:v>Log source path or blocker; do not promote</x:v>
      </x:c>
      <x:c r="Z724" s="12" t="str">
        <x:f>IF(K724="P0","Primary seat + Hashlight/Lucerna","Seat lane")</x:f>
        <x:v>Primary seat + Hashlight/Lucerna</x:v>
      </x:c>
      <x:c r="AA724" s="12" t="str">
        <x:f>IF(R724="","no_claim_delta","claim_delta_present")</x:f>
        <x:v>no_claim_delta</x:v>
      </x:c>
      <x:c r="AB724" s="12" t="str">
        <x:f>IF(S724="","no_contradiction_delta","contradiction_delta_present")</x:f>
        <x:v>no_contradiction_delta</x:v>
      </x:c>
      <x:c r="AC724" s="12" t="str">
        <x:f>IF(OR(ISNUMBER(SEARCH("hacker",LOWER(F724&amp;" "&amp;H724&amp;" "&amp;I724&amp;" "&amp;M724&amp;" "&amp;N724&amp;" "&amp;T724))),ISNUMBER(SEARCH("hacking",LOWER(F724&amp;" "&amp;H724&amp;" "&amp;I724&amp;" "&amp;M724&amp;" "&amp;N724&amp;" "&amp;T724))),ISNUMBER(SEARCH("bank",LOWER(F724&amp;" "&amp;H724&amp;" "&amp;I724&amp;" "&amp;M724&amp;" "&amp;N724&amp;" "&amp;T724))),ISNUMBER(SEARCH("banking",LOWER(F724&amp;" "&amp;H724&amp;" "&amp;I724&amp;" "&amp;M724&amp;" "&amp;N724&amp;" "&amp;T724)))),"PRIVATE_QUARANTINE",IF(OR(ISNUMBER(SEARCH("treasury",LOWER(F724&amp;" "&amp;H724&amp;" "&amp;I724&amp;" "&amp;M724&amp;" "&amp;N724&amp;" "&amp;T724))),ISNUMBER(SEARCH("debt",LOWER(F724&amp;" "&amp;H724&amp;" "&amp;I724&amp;" "&amp;M724&amp;" "&amp;N724&amp;" "&amp;T724))),ISNUMBER(SEARCH("bond",LOWER(F724&amp;" "&amp;H724&amp;" "&amp;I724&amp;" "&amp;M724&amp;" "&amp;N724&amp;" "&amp;T724))),ISNUMBER(SEARCH("transaction",LOWER(F724&amp;" "&amp;H724&amp;" "&amp;I724&amp;" "&amp;M724&amp;" "&amp;N724&amp;" "&amp;T724)))),"PRIVATE_REVIEW","PUBLIC_CANDIDATE"))</x:f>
        <x:v>PUBLIC_CANDIDATE</x:v>
      </x:c>
      <x:c r="AD724" s="12" t="str">
        <x:f>IF(AC724="PRIVATE_QUARANTINE","hacker_or_bank_trigger",IF(AC724="PRIVATE_REVIEW","finance_risk_trigger","none"))</x:f>
        <x:v>none</x:v>
      </x:c>
      <x:c r="AE724" s="12" t="str">
        <x:f>IF(AC724="PUBLIC_CANDIDATE","prepare_public_github_candidate",IF(AC724="PRIVATE_REVIEW","hold_for_private_review","quarantine_private_do_not_publish"))</x:f>
        <x:v>prepare_public_github_candidate</x:v>
      </x:c>
      <x:c r="AF724" s="12" t="str">
        <x:f>IF(AC724="PUBLIC_CANDIDATE","TIDELOCK + Lucerna",IF(AC724="PRIVATE_REVIEW","AtlasBrain + Lucerna","TIDELOCK + Lucerna + Human-root"))</x:f>
        <x:v>TIDELOCK + Lucerna</x:v>
      </x:c>
      <x:c r="AG724" s="12" t="str">
        <x:f>IF(AND(AC724="PUBLIC_CANDIDATE",U724&lt;&gt;"BLOCKED_PENDING_RECEIPT"),"READY_AFTER_RECEIPT","NOT_READY")</x:f>
        <x:v>NOT_READY</x:v>
      </x:c>
      <x:c r="AH724" s="12" t="str">
        <x:f>IF(AC724="PUBLIC_CANDIDATE","none",AD724)</x:f>
        <x:v>none</x:v>
      </x:c>
      <x:c r="AI724" s="12" t="str">
        <x:f>IF(AC724="PUBLIC_CANDIDATE","archive/public_candidates/"&amp;A724,"private_quarantine/"&amp;A724)</x:f>
        <x:v>archive/public_candidates/SWARM-06-H01-S03</x:v>
      </x:c>
      <x:c r="AJ724" s="12" t="str">
        <x:f>IF(AC724="PUBLIC_CANDIDATE","public by default; still not canon","private/hold; do not publish")</x:f>
        <x:v>public by default; still not canon</x:v>
      </x:c>
      <x:c r="AK724" s="12" t="str">
        <x:f>IF(AE724="prepare_public_github_candidate","add receipt/status then mirror","resolve blocker before any public GitHub action")</x:f>
        <x:v>add receipt/status then mirror</x:v>
      </x:c>
    </x:row>
    <x:row r="725">
      <x:c r="A725" s="15" t="str">
        <x:v>SWARM-06-H01-S04</x:v>
      </x:c>
      <x:c r="B725" s="15" t="str">
        <x:v>Forgekid</x:v>
      </x:c>
      <x:c r="C725" s="15" t="str">
        <x:v>Aetherforge UX builder</x:v>
      </x:c>
      <x:c r="D725" s="15" t="str">
        <x:v>Source Inventory</x:v>
      </x:c>
      <x:c r="E725" s="15" t="str">
        <x:v>Gamma</x:v>
      </x:c>
      <x:c r="F725" s="15" t="str">
        <x:v>Inventory Gamma — Forgekid</x:v>
      </x:c>
      <x:c r="G725" s="15" t="str">
        <x:v>quest cards / task cards / board affordances</x:v>
      </x:c>
      <x:c r="H725" s="15" t="str">
        <x:v>source path + receipt + raw/export status + claim/edge/risk delta</x:v>
      </x:c>
      <x:c r="I725" s="15" t="str">
        <x:v>packet/SWARM-06-H01-S04</x:v>
      </x:c>
      <x:c r="J725" s="15" t="str">
        <x:v>TODO</x:v>
      </x:c>
      <x:c r="K725" s="15" t="str">
        <x:v>P1</x:v>
      </x:c>
      <x:c r="L725" s="15" t="str">
        <x:v>Done only when evidence is logged, contradiction search is noted, and boundary stamp remains non-canon unless ratified</x:v>
      </x:c>
      <x:c r="M725" s="15" t="str">
        <x:v>candidate / staging-only / not canon / not deployed / authority none</x:v>
      </x:c>
      <x:c r="N725" s="15" t="str">
        <x:v>Dispatch to Forgekid: complete Source Inventory x Gamma; return deltas only, receipts required.</x:v>
      </x:c>
      <x:c r="O725" s="15" t="str">
        <x:v>AF-KG-H01-S04</x:v>
      </x:c>
      <x:c r="P725" s="15" t="str">
        <x:v>Unverified</x:v>
      </x:c>
      <x:c r="Q725" s="15" t="str">
        <x:v>Not checked</x:v>
      </x:c>
      <x:c r="R725" s="15" t="str"/>
      <x:c r="S725" s="15" t="str"/>
      <x:c r="T725" s="15" t="str">
        <x:v>Log first source path or blocker</x:v>
      </x:c>
      <x:c r="U725" s="12" t="str">
        <x:f>IF(OR(P725="Unverified",Q725="Not checked"),"BLOCKED_PENDING_RECEIPT","READY_FOR_REVIEW")</x:f>
        <x:v>BLOCKED_PENDING_RECEIPT</x:v>
      </x:c>
      <x:c r="V725" s="12" t="str">
        <x:f>IF(J725="DONE","RETURNED",IF(U725="BLOCKED_PENDING_RECEIPT","SOURCE_TOUCH_REQUIRED","IN_PROGRESS"))</x:f>
        <x:v>SOURCE_TOUCH_REQUIRED</x:v>
      </x:c>
      <x:c r="W725" s="12" t="str">
        <x:f>IF(P725="Unverified","missing_receipt","receipt_logged")</x:f>
        <x:v>missing_receipt</x:v>
      </x:c>
      <x:c r="X725" s="12" t="str">
        <x:f>IF(Q725="Not checked","raw_status_missing","raw_status_logged")</x:f>
        <x:v>raw_status_missing</x:v>
      </x:c>
      <x:c r="Y725" s="12" t="str">
        <x:f>IF(U725="BLOCKED_PENDING_RECEIPT","Log source path or blocker; do not promote","Route to review lane")</x:f>
        <x:v>Log source path or blocker; do not promote</x:v>
      </x:c>
      <x:c r="Z725" s="12" t="str">
        <x:f>IF(K725="P0","Primary seat + Hashlight/Lucerna","Seat lane")</x:f>
        <x:v>Seat lane</x:v>
      </x:c>
      <x:c r="AA725" s="12" t="str">
        <x:f>IF(R725="","no_claim_delta","claim_delta_present")</x:f>
        <x:v>no_claim_delta</x:v>
      </x:c>
      <x:c r="AB725" s="12" t="str">
        <x:f>IF(S725="","no_contradiction_delta","contradiction_delta_present")</x:f>
        <x:v>no_contradiction_delta</x:v>
      </x:c>
      <x:c r="AC725" s="12" t="str">
        <x:f>IF(OR(ISNUMBER(SEARCH("hacker",LOWER(F725&amp;" "&amp;H725&amp;" "&amp;I725&amp;" "&amp;M725&amp;" "&amp;N725&amp;" "&amp;T725))),ISNUMBER(SEARCH("hacking",LOWER(F725&amp;" "&amp;H725&amp;" "&amp;I725&amp;" "&amp;M725&amp;" "&amp;N725&amp;" "&amp;T725))),ISNUMBER(SEARCH("bank",LOWER(F725&amp;" "&amp;H725&amp;" "&amp;I725&amp;" "&amp;M725&amp;" "&amp;N725&amp;" "&amp;T725))),ISNUMBER(SEARCH("banking",LOWER(F725&amp;" "&amp;H725&amp;" "&amp;I725&amp;" "&amp;M725&amp;" "&amp;N725&amp;" "&amp;T725)))),"PRIVATE_QUARANTINE",IF(OR(ISNUMBER(SEARCH("treasury",LOWER(F725&amp;" "&amp;H725&amp;" "&amp;I725&amp;" "&amp;M725&amp;" "&amp;N725&amp;" "&amp;T725))),ISNUMBER(SEARCH("debt",LOWER(F725&amp;" "&amp;H725&amp;" "&amp;I725&amp;" "&amp;M725&amp;" "&amp;N725&amp;" "&amp;T725))),ISNUMBER(SEARCH("bond",LOWER(F725&amp;" "&amp;H725&amp;" "&amp;I725&amp;" "&amp;M725&amp;" "&amp;N725&amp;" "&amp;T725))),ISNUMBER(SEARCH("transaction",LOWER(F725&amp;" "&amp;H725&amp;" "&amp;I725&amp;" "&amp;M725&amp;" "&amp;N725&amp;" "&amp;T725)))),"PRIVATE_REVIEW","PUBLIC_CANDIDATE"))</x:f>
        <x:v>PUBLIC_CANDIDATE</x:v>
      </x:c>
      <x:c r="AD725" s="12" t="str">
        <x:f>IF(AC725="PRIVATE_QUARANTINE","hacker_or_bank_trigger",IF(AC725="PRIVATE_REVIEW","finance_risk_trigger","none"))</x:f>
        <x:v>none</x:v>
      </x:c>
      <x:c r="AE725" s="12" t="str">
        <x:f>IF(AC725="PUBLIC_CANDIDATE","prepare_public_github_candidate",IF(AC725="PRIVATE_REVIEW","hold_for_private_review","quarantine_private_do_not_publish"))</x:f>
        <x:v>prepare_public_github_candidate</x:v>
      </x:c>
      <x:c r="AF725" s="12" t="str">
        <x:f>IF(AC725="PUBLIC_CANDIDATE","TIDELOCK + Lucerna",IF(AC725="PRIVATE_REVIEW","AtlasBrain + Lucerna","TIDELOCK + Lucerna + Human-root"))</x:f>
        <x:v>TIDELOCK + Lucerna</x:v>
      </x:c>
      <x:c r="AG725" s="12" t="str">
        <x:f>IF(AND(AC725="PUBLIC_CANDIDATE",U725&lt;&gt;"BLOCKED_PENDING_RECEIPT"),"READY_AFTER_RECEIPT","NOT_READY")</x:f>
        <x:v>NOT_READY</x:v>
      </x:c>
      <x:c r="AH725" s="12" t="str">
        <x:f>IF(AC725="PUBLIC_CANDIDATE","none",AD725)</x:f>
        <x:v>none</x:v>
      </x:c>
      <x:c r="AI725" s="12" t="str">
        <x:f>IF(AC725="PUBLIC_CANDIDATE","archive/public_candidates/"&amp;A725,"private_quarantine/"&amp;A725)</x:f>
        <x:v>archive/public_candidates/SWARM-06-H01-S04</x:v>
      </x:c>
      <x:c r="AJ725" s="12" t="str">
        <x:f>IF(AC725="PUBLIC_CANDIDATE","public by default; still not canon","private/hold; do not publish")</x:f>
        <x:v>public by default; still not canon</x:v>
      </x:c>
      <x:c r="AK725" s="12" t="str">
        <x:f>IF(AE725="prepare_public_github_candidate","add receipt/status then mirror","resolve blocker before any public GitHub action")</x:f>
        <x:v>add receipt/status then mirror</x:v>
      </x:c>
    </x:row>
    <x:row r="726">
      <x:c r="A726" s="15" t="str">
        <x:v>SWARM-06-H01-S05</x:v>
      </x:c>
      <x:c r="B726" s="15" t="str">
        <x:v>Forgekid</x:v>
      </x:c>
      <x:c r="C726" s="15" t="str">
        <x:v>Aetherforge UX builder</x:v>
      </x:c>
      <x:c r="D726" s="15" t="str">
        <x:v>Source Inventory</x:v>
      </x:c>
      <x:c r="E726" s="15" t="str">
        <x:v>Chat</x:v>
      </x:c>
      <x:c r="F726" s="15" t="str">
        <x:v>Inventory Chat — Forgekid</x:v>
      </x:c>
      <x:c r="G726" s="15" t="str">
        <x:v>quest cards / task cards / board affordances</x:v>
      </x:c>
      <x:c r="H726" s="15" t="str">
        <x:v>source path + receipt + raw/export status + claim/edge/risk delta</x:v>
      </x:c>
      <x:c r="I726" s="15" t="str">
        <x:v>packet/SWARM-06-H01-S05</x:v>
      </x:c>
      <x:c r="J726" s="15" t="str">
        <x:v>TODO</x:v>
      </x:c>
      <x:c r="K726" s="15" t="str">
        <x:v>P1</x:v>
      </x:c>
      <x:c r="L726" s="15" t="str">
        <x:v>Done only when evidence is logged, contradiction search is noted, and boundary stamp remains non-canon unless ratified</x:v>
      </x:c>
      <x:c r="M726" s="15" t="str">
        <x:v>candidate / staging-only / not canon / not deployed / authority none</x:v>
      </x:c>
      <x:c r="N726" s="15" t="str">
        <x:v>Dispatch to Forgekid: complete Source Inventory x Chat; return deltas only, receipts required.</x:v>
      </x:c>
      <x:c r="O726" s="15" t="str">
        <x:v>AF-KG-H01-S05</x:v>
      </x:c>
      <x:c r="P726" s="15" t="str">
        <x:v>Unverified</x:v>
      </x:c>
      <x:c r="Q726" s="15" t="str">
        <x:v>Not checked</x:v>
      </x:c>
      <x:c r="R726" s="15" t="str"/>
      <x:c r="S726" s="15" t="str"/>
      <x:c r="T726" s="15" t="str">
        <x:v>Log first source path or blocker</x:v>
      </x:c>
      <x:c r="U726" s="12" t="str">
        <x:f>IF(OR(P726="Unverified",Q726="Not checked"),"BLOCKED_PENDING_RECEIPT","READY_FOR_REVIEW")</x:f>
        <x:v>BLOCKED_PENDING_RECEIPT</x:v>
      </x:c>
      <x:c r="V726" s="12" t="str">
        <x:f>IF(J726="DONE","RETURNED",IF(U726="BLOCKED_PENDING_RECEIPT","SOURCE_TOUCH_REQUIRED","IN_PROGRESS"))</x:f>
        <x:v>SOURCE_TOUCH_REQUIRED</x:v>
      </x:c>
      <x:c r="W726" s="12" t="str">
        <x:f>IF(P726="Unverified","missing_receipt","receipt_logged")</x:f>
        <x:v>missing_receipt</x:v>
      </x:c>
      <x:c r="X726" s="12" t="str">
        <x:f>IF(Q726="Not checked","raw_status_missing","raw_status_logged")</x:f>
        <x:v>raw_status_missing</x:v>
      </x:c>
      <x:c r="Y726" s="12" t="str">
        <x:f>IF(U726="BLOCKED_PENDING_RECEIPT","Log source path or blocker; do not promote","Route to review lane")</x:f>
        <x:v>Log source path or blocker; do not promote</x:v>
      </x:c>
      <x:c r="Z726" s="12" t="str">
        <x:f>IF(K726="P0","Primary seat + Hashlight/Lucerna","Seat lane")</x:f>
        <x:v>Seat lane</x:v>
      </x:c>
      <x:c r="AA726" s="12" t="str">
        <x:f>IF(R726="","no_claim_delta","claim_delta_present")</x:f>
        <x:v>no_claim_delta</x:v>
      </x:c>
      <x:c r="AB726" s="12" t="str">
        <x:f>IF(S726="","no_contradiction_delta","contradiction_delta_present")</x:f>
        <x:v>no_contradiction_delta</x:v>
      </x:c>
      <x:c r="AC726" s="12" t="str">
        <x:f>IF(OR(ISNUMBER(SEARCH("hacker",LOWER(F726&amp;" "&amp;H726&amp;" "&amp;I726&amp;" "&amp;M726&amp;" "&amp;N726&amp;" "&amp;T726))),ISNUMBER(SEARCH("hacking",LOWER(F726&amp;" "&amp;H726&amp;" "&amp;I726&amp;" "&amp;M726&amp;" "&amp;N726&amp;" "&amp;T726))),ISNUMBER(SEARCH("bank",LOWER(F726&amp;" "&amp;H726&amp;" "&amp;I726&amp;" "&amp;M726&amp;" "&amp;N726&amp;" "&amp;T726))),ISNUMBER(SEARCH("banking",LOWER(F726&amp;" "&amp;H726&amp;" "&amp;I726&amp;" "&amp;M726&amp;" "&amp;N726&amp;" "&amp;T726)))),"PRIVATE_QUARANTINE",IF(OR(ISNUMBER(SEARCH("treasury",LOWER(F726&amp;" "&amp;H726&amp;" "&amp;I726&amp;" "&amp;M726&amp;" "&amp;N726&amp;" "&amp;T726))),ISNUMBER(SEARCH("debt",LOWER(F726&amp;" "&amp;H726&amp;" "&amp;I726&amp;" "&amp;M726&amp;" "&amp;N726&amp;" "&amp;T726))),ISNUMBER(SEARCH("bond",LOWER(F726&amp;" "&amp;H726&amp;" "&amp;I726&amp;" "&amp;M726&amp;" "&amp;N726&amp;" "&amp;T726))),ISNUMBER(SEARCH("transaction",LOWER(F726&amp;" "&amp;H726&amp;" "&amp;I726&amp;" "&amp;M726&amp;" "&amp;N726&amp;" "&amp;T726)))),"PRIVATE_REVIEW","PUBLIC_CANDIDATE"))</x:f>
        <x:v>PUBLIC_CANDIDATE</x:v>
      </x:c>
      <x:c r="AD726" s="12" t="str">
        <x:f>IF(AC726="PRIVATE_QUARANTINE","hacker_or_bank_trigger",IF(AC726="PRIVATE_REVIEW","finance_risk_trigger","none"))</x:f>
        <x:v>none</x:v>
      </x:c>
      <x:c r="AE726" s="12" t="str">
        <x:f>IF(AC726="PUBLIC_CANDIDATE","prepare_public_github_candidate",IF(AC726="PRIVATE_REVIEW","hold_for_private_review","quarantine_private_do_not_publish"))</x:f>
        <x:v>prepare_public_github_candidate</x:v>
      </x:c>
      <x:c r="AF726" s="12" t="str">
        <x:f>IF(AC726="PUBLIC_CANDIDATE","TIDELOCK + Lucerna",IF(AC726="PRIVATE_REVIEW","AtlasBrain + Lucerna","TIDELOCK + Lucerna + Human-root"))</x:f>
        <x:v>TIDELOCK + Lucerna</x:v>
      </x:c>
      <x:c r="AG726" s="12" t="str">
        <x:f>IF(AND(AC726="PUBLIC_CANDIDATE",U726&lt;&gt;"BLOCKED_PENDING_RECEIPT"),"READY_AFTER_RECEIPT","NOT_READY")</x:f>
        <x:v>NOT_READY</x:v>
      </x:c>
      <x:c r="AH726" s="12" t="str">
        <x:f>IF(AC726="PUBLIC_CANDIDATE","none",AD726)</x:f>
        <x:v>none</x:v>
      </x:c>
      <x:c r="AI726" s="12" t="str">
        <x:f>IF(AC726="PUBLIC_CANDIDATE","archive/public_candidates/"&amp;A726,"private_quarantine/"&amp;A726)</x:f>
        <x:v>archive/public_candidates/SWARM-06-H01-S05</x:v>
      </x:c>
      <x:c r="AJ726" s="12" t="str">
        <x:f>IF(AC726="PUBLIC_CANDIDATE","public by default; still not canon","private/hold; do not publish")</x:f>
        <x:v>public by default; still not canon</x:v>
      </x:c>
      <x:c r="AK726" s="12" t="str">
        <x:f>IF(AE726="prepare_public_github_candidate","add receipt/status then mirror","resolve blocker before any public GitHub action")</x:f>
        <x:v>add receipt/status then mirror</x:v>
      </x:c>
    </x:row>
    <x:row r="727">
      <x:c r="A727" s="15" t="str">
        <x:v>SWARM-06-H01-S06</x:v>
      </x:c>
      <x:c r="B727" s="15" t="str">
        <x:v>Forgekid</x:v>
      </x:c>
      <x:c r="C727" s="15" t="str">
        <x:v>Aetherforge UX builder</x:v>
      </x:c>
      <x:c r="D727" s="15" t="str">
        <x:v>Source Inventory</x:v>
      </x:c>
      <x:c r="E727" s="15" t="str">
        <x:v>External Web</x:v>
      </x:c>
      <x:c r="F727" s="15" t="str">
        <x:v>Inventory External Web — Forgekid</x:v>
      </x:c>
      <x:c r="G727" s="15" t="str">
        <x:v>quest cards / task cards / board affordances</x:v>
      </x:c>
      <x:c r="H727" s="15" t="str">
        <x:v>source path + receipt + raw/export status + claim/edge/risk delta</x:v>
      </x:c>
      <x:c r="I727" s="15" t="str">
        <x:v>packet/SWARM-06-H01-S06</x:v>
      </x:c>
      <x:c r="J727" s="15" t="str">
        <x:v>TODO</x:v>
      </x:c>
      <x:c r="K727" s="15" t="str">
        <x:v>P1</x:v>
      </x:c>
      <x:c r="L727" s="15" t="str">
        <x:v>Done only when evidence is logged, contradiction search is noted, and boundary stamp remains non-canon unless ratified</x:v>
      </x:c>
      <x:c r="M727" s="15" t="str">
        <x:v>candidate / staging-only / not canon / not deployed / authority none</x:v>
      </x:c>
      <x:c r="N727" s="15" t="str">
        <x:v>Dispatch to Forgekid: complete Source Inventory x External Web; return deltas only, receipts required.</x:v>
      </x:c>
      <x:c r="O727" s="15" t="str">
        <x:v>AF-KG-H01-S06</x:v>
      </x:c>
      <x:c r="P727" s="15" t="str">
        <x:v>Unverified</x:v>
      </x:c>
      <x:c r="Q727" s="15" t="str">
        <x:v>Not checked</x:v>
      </x:c>
      <x:c r="R727" s="15" t="str"/>
      <x:c r="S727" s="15" t="str"/>
      <x:c r="T727" s="15" t="str">
        <x:v>Log first source path or blocker</x:v>
      </x:c>
      <x:c r="U727" s="12" t="str">
        <x:f>IF(OR(P727="Unverified",Q727="Not checked"),"BLOCKED_PENDING_RECEIPT","READY_FOR_REVIEW")</x:f>
        <x:v>BLOCKED_PENDING_RECEIPT</x:v>
      </x:c>
      <x:c r="V727" s="12" t="str">
        <x:f>IF(J727="DONE","RETURNED",IF(U727="BLOCKED_PENDING_RECEIPT","SOURCE_TOUCH_REQUIRED","IN_PROGRESS"))</x:f>
        <x:v>SOURCE_TOUCH_REQUIRED</x:v>
      </x:c>
      <x:c r="W727" s="12" t="str">
        <x:f>IF(P727="Unverified","missing_receipt","receipt_logged")</x:f>
        <x:v>missing_receipt</x:v>
      </x:c>
      <x:c r="X727" s="12" t="str">
        <x:f>IF(Q727="Not checked","raw_status_missing","raw_status_logged")</x:f>
        <x:v>raw_status_missing</x:v>
      </x:c>
      <x:c r="Y727" s="12" t="str">
        <x:f>IF(U727="BLOCKED_PENDING_RECEIPT","Log source path or blocker; do not promote","Route to review lane")</x:f>
        <x:v>Log source path or blocker; do not promote</x:v>
      </x:c>
      <x:c r="Z727" s="12" t="str">
        <x:f>IF(K727="P0","Primary seat + Hashlight/Lucerna","Seat lane")</x:f>
        <x:v>Seat lane</x:v>
      </x:c>
      <x:c r="AA727" s="12" t="str">
        <x:f>IF(R727="","no_claim_delta","claim_delta_present")</x:f>
        <x:v>no_claim_delta</x:v>
      </x:c>
      <x:c r="AB727" s="12" t="str">
        <x:f>IF(S727="","no_contradiction_delta","contradiction_delta_present")</x:f>
        <x:v>no_contradiction_delta</x:v>
      </x:c>
      <x:c r="AC727" s="12" t="str">
        <x:f>IF(OR(ISNUMBER(SEARCH("hacker",LOWER(F727&amp;" "&amp;H727&amp;" "&amp;I727&amp;" "&amp;M727&amp;" "&amp;N727&amp;" "&amp;T727))),ISNUMBER(SEARCH("hacking",LOWER(F727&amp;" "&amp;H727&amp;" "&amp;I727&amp;" "&amp;M727&amp;" "&amp;N727&amp;" "&amp;T727))),ISNUMBER(SEARCH("bank",LOWER(F727&amp;" "&amp;H727&amp;" "&amp;I727&amp;" "&amp;M727&amp;" "&amp;N727&amp;" "&amp;T727))),ISNUMBER(SEARCH("banking",LOWER(F727&amp;" "&amp;H727&amp;" "&amp;I727&amp;" "&amp;M727&amp;" "&amp;N727&amp;" "&amp;T727)))),"PRIVATE_QUARANTINE",IF(OR(ISNUMBER(SEARCH("treasury",LOWER(F727&amp;" "&amp;H727&amp;" "&amp;I727&amp;" "&amp;M727&amp;" "&amp;N727&amp;" "&amp;T727))),ISNUMBER(SEARCH("debt",LOWER(F727&amp;" "&amp;H727&amp;" "&amp;I727&amp;" "&amp;M727&amp;" "&amp;N727&amp;" "&amp;T727))),ISNUMBER(SEARCH("bond",LOWER(F727&amp;" "&amp;H727&amp;" "&amp;I727&amp;" "&amp;M727&amp;" "&amp;N727&amp;" "&amp;T727))),ISNUMBER(SEARCH("transaction",LOWER(F727&amp;" "&amp;H727&amp;" "&amp;I727&amp;" "&amp;M727&amp;" "&amp;N727&amp;" "&amp;T727)))),"PRIVATE_REVIEW","PUBLIC_CANDIDATE"))</x:f>
        <x:v>PUBLIC_CANDIDATE</x:v>
      </x:c>
      <x:c r="AD727" s="12" t="str">
        <x:f>IF(AC727="PRIVATE_QUARANTINE","hacker_or_bank_trigger",IF(AC727="PRIVATE_REVIEW","finance_risk_trigger","none"))</x:f>
        <x:v>none</x:v>
      </x:c>
      <x:c r="AE727" s="12" t="str">
        <x:f>IF(AC727="PUBLIC_CANDIDATE","prepare_public_github_candidate",IF(AC727="PRIVATE_REVIEW","hold_for_private_review","quarantine_private_do_not_publish"))</x:f>
        <x:v>prepare_public_github_candidate</x:v>
      </x:c>
      <x:c r="AF727" s="12" t="str">
        <x:f>IF(AC727="PUBLIC_CANDIDATE","TIDELOCK + Lucerna",IF(AC727="PRIVATE_REVIEW","AtlasBrain + Lucerna","TIDELOCK + Lucerna + Human-root"))</x:f>
        <x:v>TIDELOCK + Lucerna</x:v>
      </x:c>
      <x:c r="AG727" s="12" t="str">
        <x:f>IF(AND(AC727="PUBLIC_CANDIDATE",U727&lt;&gt;"BLOCKED_PENDING_RECEIPT"),"READY_AFTER_RECEIPT","NOT_READY")</x:f>
        <x:v>NOT_READY</x:v>
      </x:c>
      <x:c r="AH727" s="12" t="str">
        <x:f>IF(AC727="PUBLIC_CANDIDATE","none",AD727)</x:f>
        <x:v>none</x:v>
      </x:c>
      <x:c r="AI727" s="12" t="str">
        <x:f>IF(AC727="PUBLIC_CANDIDATE","archive/public_candidates/"&amp;A727,"private_quarantine/"&amp;A727)</x:f>
        <x:v>archive/public_candidates/SWARM-06-H01-S06</x:v>
      </x:c>
      <x:c r="AJ727" s="12" t="str">
        <x:f>IF(AC727="PUBLIC_CANDIDATE","public by default; still not canon","private/hold; do not publish")</x:f>
        <x:v>public by default; still not canon</x:v>
      </x:c>
      <x:c r="AK727" s="12" t="str">
        <x:f>IF(AE727="prepare_public_github_candidate","add receipt/status then mirror","resolve blocker before any public GitHub action")</x:f>
        <x:v>add receipt/status then mirror</x:v>
      </x:c>
    </x:row>
    <x:row r="728">
      <x:c r="A728" s="15" t="str">
        <x:v>SWARM-06-H01-S07</x:v>
      </x:c>
      <x:c r="B728" s="15" t="str">
        <x:v>Forgekid</x:v>
      </x:c>
      <x:c r="C728" s="15" t="str">
        <x:v>Aetherforge UX builder</x:v>
      </x:c>
      <x:c r="D728" s="15" t="str">
        <x:v>Source Inventory</x:v>
      </x:c>
      <x:c r="E728" s="15" t="str">
        <x:v>Planetarium</x:v>
      </x:c>
      <x:c r="F728" s="15" t="str">
        <x:v>Inventory Planetarium — Forgekid</x:v>
      </x:c>
      <x:c r="G728" s="15" t="str">
        <x:v>quest cards / task cards / board affordances</x:v>
      </x:c>
      <x:c r="H728" s="15" t="str">
        <x:v>source path + receipt + raw/export status + claim/edge/risk delta</x:v>
      </x:c>
      <x:c r="I728" s="15" t="str">
        <x:v>packet/SWARM-06-H01-S07</x:v>
      </x:c>
      <x:c r="J728" s="15" t="str">
        <x:v>TODO</x:v>
      </x:c>
      <x:c r="K728" s="15" t="str">
        <x:v>P1</x:v>
      </x:c>
      <x:c r="L728" s="15" t="str">
        <x:v>Done only when evidence is logged, contradiction search is noted, and boundary stamp remains non-canon unless ratified</x:v>
      </x:c>
      <x:c r="M728" s="15" t="str">
        <x:v>candidate / staging-only / not canon / not deployed / authority none</x:v>
      </x:c>
      <x:c r="N728" s="15" t="str">
        <x:v>Dispatch to Forgekid: complete Source Inventory x Planetarium; return deltas only, receipts required.</x:v>
      </x:c>
      <x:c r="O728" s="15" t="str">
        <x:v>AF-KG-H01-S07</x:v>
      </x:c>
      <x:c r="P728" s="15" t="str">
        <x:v>Unverified</x:v>
      </x:c>
      <x:c r="Q728" s="15" t="str">
        <x:v>Not checked</x:v>
      </x:c>
      <x:c r="R728" s="15" t="str"/>
      <x:c r="S728" s="15" t="str"/>
      <x:c r="T728" s="15" t="str">
        <x:v>Log first source path or blocker</x:v>
      </x:c>
      <x:c r="U728" s="12" t="str">
        <x:f>IF(OR(P728="Unverified",Q728="Not checked"),"BLOCKED_PENDING_RECEIPT","READY_FOR_REVIEW")</x:f>
        <x:v>BLOCKED_PENDING_RECEIPT</x:v>
      </x:c>
      <x:c r="V728" s="12" t="str">
        <x:f>IF(J728="DONE","RETURNED",IF(U728="BLOCKED_PENDING_RECEIPT","SOURCE_TOUCH_REQUIRED","IN_PROGRESS"))</x:f>
        <x:v>SOURCE_TOUCH_REQUIRED</x:v>
      </x:c>
      <x:c r="W728" s="12" t="str">
        <x:f>IF(P728="Unverified","missing_receipt","receipt_logged")</x:f>
        <x:v>missing_receipt</x:v>
      </x:c>
      <x:c r="X728" s="12" t="str">
        <x:f>IF(Q728="Not checked","raw_status_missing","raw_status_logged")</x:f>
        <x:v>raw_status_missing</x:v>
      </x:c>
      <x:c r="Y728" s="12" t="str">
        <x:f>IF(U728="BLOCKED_PENDING_RECEIPT","Log source path or blocker; do not promote","Route to review lane")</x:f>
        <x:v>Log source path or blocker; do not promote</x:v>
      </x:c>
      <x:c r="Z728" s="12" t="str">
        <x:f>IF(K728="P0","Primary seat + Hashlight/Lucerna","Seat lane")</x:f>
        <x:v>Seat lane</x:v>
      </x:c>
      <x:c r="AA728" s="12" t="str">
        <x:f>IF(R728="","no_claim_delta","claim_delta_present")</x:f>
        <x:v>no_claim_delta</x:v>
      </x:c>
      <x:c r="AB728" s="12" t="str">
        <x:f>IF(S728="","no_contradiction_delta","contradiction_delta_present")</x:f>
        <x:v>no_contradiction_delta</x:v>
      </x:c>
      <x:c r="AC728" s="12" t="str">
        <x:f>IF(OR(ISNUMBER(SEARCH("hacker",LOWER(F728&amp;" "&amp;H728&amp;" "&amp;I728&amp;" "&amp;M728&amp;" "&amp;N728&amp;" "&amp;T728))),ISNUMBER(SEARCH("hacking",LOWER(F728&amp;" "&amp;H728&amp;" "&amp;I728&amp;" "&amp;M728&amp;" "&amp;N728&amp;" "&amp;T728))),ISNUMBER(SEARCH("bank",LOWER(F728&amp;" "&amp;H728&amp;" "&amp;I728&amp;" "&amp;M728&amp;" "&amp;N728&amp;" "&amp;T728))),ISNUMBER(SEARCH("banking",LOWER(F728&amp;" "&amp;H728&amp;" "&amp;I728&amp;" "&amp;M728&amp;" "&amp;N728&amp;" "&amp;T728)))),"PRIVATE_QUARANTINE",IF(OR(ISNUMBER(SEARCH("treasury",LOWER(F728&amp;" "&amp;H728&amp;" "&amp;I728&amp;" "&amp;M728&amp;" "&amp;N728&amp;" "&amp;T728))),ISNUMBER(SEARCH("debt",LOWER(F728&amp;" "&amp;H728&amp;" "&amp;I728&amp;" "&amp;M728&amp;" "&amp;N728&amp;" "&amp;T728))),ISNUMBER(SEARCH("bond",LOWER(F728&amp;" "&amp;H728&amp;" "&amp;I728&amp;" "&amp;M728&amp;" "&amp;N728&amp;" "&amp;T728))),ISNUMBER(SEARCH("transaction",LOWER(F728&amp;" "&amp;H728&amp;" "&amp;I728&amp;" "&amp;M728&amp;" "&amp;N728&amp;" "&amp;T728)))),"PRIVATE_REVIEW","PUBLIC_CANDIDATE"))</x:f>
        <x:v>PUBLIC_CANDIDATE</x:v>
      </x:c>
      <x:c r="AD728" s="12" t="str">
        <x:f>IF(AC728="PRIVATE_QUARANTINE","hacker_or_bank_trigger",IF(AC728="PRIVATE_REVIEW","finance_risk_trigger","none"))</x:f>
        <x:v>none</x:v>
      </x:c>
      <x:c r="AE728" s="12" t="str">
        <x:f>IF(AC728="PUBLIC_CANDIDATE","prepare_public_github_candidate",IF(AC728="PRIVATE_REVIEW","hold_for_private_review","quarantine_private_do_not_publish"))</x:f>
        <x:v>prepare_public_github_candidate</x:v>
      </x:c>
      <x:c r="AF728" s="12" t="str">
        <x:f>IF(AC728="PUBLIC_CANDIDATE","TIDELOCK + Lucerna",IF(AC728="PRIVATE_REVIEW","AtlasBrain + Lucerna","TIDELOCK + Lucerna + Human-root"))</x:f>
        <x:v>TIDELOCK + Lucerna</x:v>
      </x:c>
      <x:c r="AG728" s="12" t="str">
        <x:f>IF(AND(AC728="PUBLIC_CANDIDATE",U728&lt;&gt;"BLOCKED_PENDING_RECEIPT"),"READY_AFTER_RECEIPT","NOT_READY")</x:f>
        <x:v>NOT_READY</x:v>
      </x:c>
      <x:c r="AH728" s="12" t="str">
        <x:f>IF(AC728="PUBLIC_CANDIDATE","none",AD728)</x:f>
        <x:v>none</x:v>
      </x:c>
      <x:c r="AI728" s="12" t="str">
        <x:f>IF(AC728="PUBLIC_CANDIDATE","archive/public_candidates/"&amp;A728,"private_quarantine/"&amp;A728)</x:f>
        <x:v>archive/public_candidates/SWARM-06-H01-S07</x:v>
      </x:c>
      <x:c r="AJ728" s="12" t="str">
        <x:f>IF(AC728="PUBLIC_CANDIDATE","public by default; still not canon","private/hold; do not publish")</x:f>
        <x:v>public by default; still not canon</x:v>
      </x:c>
      <x:c r="AK728" s="12" t="str">
        <x:f>IF(AE728="prepare_public_github_candidate","add receipt/status then mirror","resolve blocker before any public GitHub action")</x:f>
        <x:v>add receipt/status then mirror</x:v>
      </x:c>
    </x:row>
    <x:row r="729">
      <x:c r="A729" s="15" t="str">
        <x:v>SWARM-06-H01-S08</x:v>
      </x:c>
      <x:c r="B729" s="15" t="str">
        <x:v>Forgekid</x:v>
      </x:c>
      <x:c r="C729" s="15" t="str">
        <x:v>Aetherforge UX builder</x:v>
      </x:c>
      <x:c r="D729" s="15" t="str">
        <x:v>Source Inventory</x:v>
      </x:c>
      <x:c r="E729" s="15" t="str">
        <x:v>Sheldonbrain</x:v>
      </x:c>
      <x:c r="F729" s="15" t="str">
        <x:v>Inventory Sheldonbrain — Forgekid</x:v>
      </x:c>
      <x:c r="G729" s="15" t="str">
        <x:v>quest cards / task cards / board affordances</x:v>
      </x:c>
      <x:c r="H729" s="15" t="str">
        <x:v>source path + receipt + raw/export status + claim/edge/risk delta</x:v>
      </x:c>
      <x:c r="I729" s="15" t="str">
        <x:v>packet/SWARM-06-H01-S08</x:v>
      </x:c>
      <x:c r="J729" s="15" t="str">
        <x:v>TODO</x:v>
      </x:c>
      <x:c r="K729" s="15" t="str">
        <x:v>P1</x:v>
      </x:c>
      <x:c r="L729" s="15" t="str">
        <x:v>Done only when evidence is logged, contradiction search is noted, and boundary stamp remains non-canon unless ratified</x:v>
      </x:c>
      <x:c r="M729" s="15" t="str">
        <x:v>candidate / staging-only / not canon / not deployed / authority none</x:v>
      </x:c>
      <x:c r="N729" s="15" t="str">
        <x:v>Dispatch to Forgekid: complete Source Inventory x Sheldonbrain; return deltas only, receipts required.</x:v>
      </x:c>
      <x:c r="O729" s="15" t="str">
        <x:v>AF-KG-H01-S08</x:v>
      </x:c>
      <x:c r="P729" s="15" t="str">
        <x:v>Unverified</x:v>
      </x:c>
      <x:c r="Q729" s="15" t="str">
        <x:v>Not checked</x:v>
      </x:c>
      <x:c r="R729" s="15" t="str"/>
      <x:c r="S729" s="15" t="str"/>
      <x:c r="T729" s="15" t="str">
        <x:v>Log first source path or blocker</x:v>
      </x:c>
      <x:c r="U729" s="12" t="str">
        <x:f>IF(OR(P729="Unverified",Q729="Not checked"),"BLOCKED_PENDING_RECEIPT","READY_FOR_REVIEW")</x:f>
        <x:v>BLOCKED_PENDING_RECEIPT</x:v>
      </x:c>
      <x:c r="V729" s="12" t="str">
        <x:f>IF(J729="DONE","RETURNED",IF(U729="BLOCKED_PENDING_RECEIPT","SOURCE_TOUCH_REQUIRED","IN_PROGRESS"))</x:f>
        <x:v>SOURCE_TOUCH_REQUIRED</x:v>
      </x:c>
      <x:c r="W729" s="12" t="str">
        <x:f>IF(P729="Unverified","missing_receipt","receipt_logged")</x:f>
        <x:v>missing_receipt</x:v>
      </x:c>
      <x:c r="X729" s="12" t="str">
        <x:f>IF(Q729="Not checked","raw_status_missing","raw_status_logged")</x:f>
        <x:v>raw_status_missing</x:v>
      </x:c>
      <x:c r="Y729" s="12" t="str">
        <x:f>IF(U729="BLOCKED_PENDING_RECEIPT","Log source path or blocker; do not promote","Route to review lane")</x:f>
        <x:v>Log source path or blocker; do not promote</x:v>
      </x:c>
      <x:c r="Z729" s="12" t="str">
        <x:f>IF(K729="P0","Primary seat + Hashlight/Lucerna","Seat lane")</x:f>
        <x:v>Seat lane</x:v>
      </x:c>
      <x:c r="AA729" s="12" t="str">
        <x:f>IF(R729="","no_claim_delta","claim_delta_present")</x:f>
        <x:v>no_claim_delta</x:v>
      </x:c>
      <x:c r="AB729" s="12" t="str">
        <x:f>IF(S729="","no_contradiction_delta","contradiction_delta_present")</x:f>
        <x:v>no_contradiction_delta</x:v>
      </x:c>
      <x:c r="AC729" s="12" t="str">
        <x:f>IF(OR(ISNUMBER(SEARCH("hacker",LOWER(F729&amp;" "&amp;H729&amp;" "&amp;I729&amp;" "&amp;M729&amp;" "&amp;N729&amp;" "&amp;T729))),ISNUMBER(SEARCH("hacking",LOWER(F729&amp;" "&amp;H729&amp;" "&amp;I729&amp;" "&amp;M729&amp;" "&amp;N729&amp;" "&amp;T729))),ISNUMBER(SEARCH("bank",LOWER(F729&amp;" "&amp;H729&amp;" "&amp;I729&amp;" "&amp;M729&amp;" "&amp;N729&amp;" "&amp;T729))),ISNUMBER(SEARCH("banking",LOWER(F729&amp;" "&amp;H729&amp;" "&amp;I729&amp;" "&amp;M729&amp;" "&amp;N729&amp;" "&amp;T729)))),"PRIVATE_QUARANTINE",IF(OR(ISNUMBER(SEARCH("treasury",LOWER(F729&amp;" "&amp;H729&amp;" "&amp;I729&amp;" "&amp;M729&amp;" "&amp;N729&amp;" "&amp;T729))),ISNUMBER(SEARCH("debt",LOWER(F729&amp;" "&amp;H729&amp;" "&amp;I729&amp;" "&amp;M729&amp;" "&amp;N729&amp;" "&amp;T729))),ISNUMBER(SEARCH("bond",LOWER(F729&amp;" "&amp;H729&amp;" "&amp;I729&amp;" "&amp;M729&amp;" "&amp;N729&amp;" "&amp;T729))),ISNUMBER(SEARCH("transaction",LOWER(F729&amp;" "&amp;H729&amp;" "&amp;I729&amp;" "&amp;M729&amp;" "&amp;N729&amp;" "&amp;T729)))),"PRIVATE_REVIEW","PUBLIC_CANDIDATE"))</x:f>
        <x:v>PUBLIC_CANDIDATE</x:v>
      </x:c>
      <x:c r="AD729" s="12" t="str">
        <x:f>IF(AC729="PRIVATE_QUARANTINE","hacker_or_bank_trigger",IF(AC729="PRIVATE_REVIEW","finance_risk_trigger","none"))</x:f>
        <x:v>none</x:v>
      </x:c>
      <x:c r="AE729" s="12" t="str">
        <x:f>IF(AC729="PUBLIC_CANDIDATE","prepare_public_github_candidate",IF(AC729="PRIVATE_REVIEW","hold_for_private_review","quarantine_private_do_not_publish"))</x:f>
        <x:v>prepare_public_github_candidate</x:v>
      </x:c>
      <x:c r="AF729" s="12" t="str">
        <x:f>IF(AC729="PUBLIC_CANDIDATE","TIDELOCK + Lucerna",IF(AC729="PRIVATE_REVIEW","AtlasBrain + Lucerna","TIDELOCK + Lucerna + Human-root"))</x:f>
        <x:v>TIDELOCK + Lucerna</x:v>
      </x:c>
      <x:c r="AG729" s="12" t="str">
        <x:f>IF(AND(AC729="PUBLIC_CANDIDATE",U729&lt;&gt;"BLOCKED_PENDING_RECEIPT"),"READY_AFTER_RECEIPT","NOT_READY")</x:f>
        <x:v>NOT_READY</x:v>
      </x:c>
      <x:c r="AH729" s="12" t="str">
        <x:f>IF(AC729="PUBLIC_CANDIDATE","none",AD729)</x:f>
        <x:v>none</x:v>
      </x:c>
      <x:c r="AI729" s="12" t="str">
        <x:f>IF(AC729="PUBLIC_CANDIDATE","archive/public_candidates/"&amp;A729,"private_quarantine/"&amp;A729)</x:f>
        <x:v>archive/public_candidates/SWARM-06-H01-S08</x:v>
      </x:c>
      <x:c r="AJ729" s="12" t="str">
        <x:f>IF(AC729="PUBLIC_CANDIDATE","public by default; still not canon","private/hold; do not publish")</x:f>
        <x:v>public by default; still not canon</x:v>
      </x:c>
      <x:c r="AK729" s="12" t="str">
        <x:f>IF(AE729="prepare_public_github_candidate","add receipt/status then mirror","resolve blocker before any public GitHub action")</x:f>
        <x:v>add receipt/status then mirror</x:v>
      </x:c>
    </x:row>
    <x:row r="730">
      <x:c r="A730" s="15" t="str">
        <x:v>SWARM-06-H01-S09</x:v>
      </x:c>
      <x:c r="B730" s="15" t="str">
        <x:v>Forgekid</x:v>
      </x:c>
      <x:c r="C730" s="15" t="str">
        <x:v>Aetherforge UX builder</x:v>
      </x:c>
      <x:c r="D730" s="15" t="str">
        <x:v>Source Inventory</x:v>
      </x:c>
      <x:c r="E730" s="15" t="str">
        <x:v>Aetherforge</x:v>
      </x:c>
      <x:c r="F730" s="15" t="str">
        <x:v>Inventory Aetherforge — Forgekid</x:v>
      </x:c>
      <x:c r="G730" s="15" t="str">
        <x:v>quest cards / task cards / board affordances</x:v>
      </x:c>
      <x:c r="H730" s="15" t="str">
        <x:v>source path + receipt + raw/export status + claim/edge/risk delta</x:v>
      </x:c>
      <x:c r="I730" s="15" t="str">
        <x:v>packet/SWARM-06-H01-S09</x:v>
      </x:c>
      <x:c r="J730" s="15" t="str">
        <x:v>TODO</x:v>
      </x:c>
      <x:c r="K730" s="15" t="str">
        <x:v>P2</x:v>
      </x:c>
      <x:c r="L730" s="15" t="str">
        <x:v>Done only when evidence is logged, contradiction search is noted, and boundary stamp remains non-canon unless ratified</x:v>
      </x:c>
      <x:c r="M730" s="15" t="str">
        <x:v>candidate / staging-only / not canon / not deployed / authority none</x:v>
      </x:c>
      <x:c r="N730" s="15" t="str">
        <x:v>Dispatch to Forgekid: complete Source Inventory x Aetherforge; return deltas only, receipts required.</x:v>
      </x:c>
      <x:c r="O730" s="15" t="str">
        <x:v>AF-KG-H01-S09</x:v>
      </x:c>
      <x:c r="P730" s="15" t="str">
        <x:v>Unverified</x:v>
      </x:c>
      <x:c r="Q730" s="15" t="str">
        <x:v>Not checked</x:v>
      </x:c>
      <x:c r="R730" s="15" t="str"/>
      <x:c r="S730" s="15" t="str"/>
      <x:c r="T730" s="15" t="str">
        <x:v>Log first source path or blocker</x:v>
      </x:c>
      <x:c r="U730" s="12" t="str">
        <x:f>IF(OR(P730="Unverified",Q730="Not checked"),"BLOCKED_PENDING_RECEIPT","READY_FOR_REVIEW")</x:f>
        <x:v>BLOCKED_PENDING_RECEIPT</x:v>
      </x:c>
      <x:c r="V730" s="12" t="str">
        <x:f>IF(J730="DONE","RETURNED",IF(U730="BLOCKED_PENDING_RECEIPT","SOURCE_TOUCH_REQUIRED","IN_PROGRESS"))</x:f>
        <x:v>SOURCE_TOUCH_REQUIRED</x:v>
      </x:c>
      <x:c r="W730" s="12" t="str">
        <x:f>IF(P730="Unverified","missing_receipt","receipt_logged")</x:f>
        <x:v>missing_receipt</x:v>
      </x:c>
      <x:c r="X730" s="12" t="str">
        <x:f>IF(Q730="Not checked","raw_status_missing","raw_status_logged")</x:f>
        <x:v>raw_status_missing</x:v>
      </x:c>
      <x:c r="Y730" s="12" t="str">
        <x:f>IF(U730="BLOCKED_PENDING_RECEIPT","Log source path or blocker; do not promote","Route to review lane")</x:f>
        <x:v>Log source path or blocker; do not promote</x:v>
      </x:c>
      <x:c r="Z730" s="12" t="str">
        <x:f>IF(K730="P0","Primary seat + Hashlight/Lucerna","Seat lane")</x:f>
        <x:v>Seat lane</x:v>
      </x:c>
      <x:c r="AA730" s="12" t="str">
        <x:f>IF(R730="","no_claim_delta","claim_delta_present")</x:f>
        <x:v>no_claim_delta</x:v>
      </x:c>
      <x:c r="AB730" s="12" t="str">
        <x:f>IF(S730="","no_contradiction_delta","contradiction_delta_present")</x:f>
        <x:v>no_contradiction_delta</x:v>
      </x:c>
      <x:c r="AC730" s="12" t="str">
        <x:f>IF(OR(ISNUMBER(SEARCH("hacker",LOWER(F730&amp;" "&amp;H730&amp;" "&amp;I730&amp;" "&amp;M730&amp;" "&amp;N730&amp;" "&amp;T730))),ISNUMBER(SEARCH("hacking",LOWER(F730&amp;" "&amp;H730&amp;" "&amp;I730&amp;" "&amp;M730&amp;" "&amp;N730&amp;" "&amp;T730))),ISNUMBER(SEARCH("bank",LOWER(F730&amp;" "&amp;H730&amp;" "&amp;I730&amp;" "&amp;M730&amp;" "&amp;N730&amp;" "&amp;T730))),ISNUMBER(SEARCH("banking",LOWER(F730&amp;" "&amp;H730&amp;" "&amp;I730&amp;" "&amp;M730&amp;" "&amp;N730&amp;" "&amp;T730)))),"PRIVATE_QUARANTINE",IF(OR(ISNUMBER(SEARCH("treasury",LOWER(F730&amp;" "&amp;H730&amp;" "&amp;I730&amp;" "&amp;M730&amp;" "&amp;N730&amp;" "&amp;T730))),ISNUMBER(SEARCH("debt",LOWER(F730&amp;" "&amp;H730&amp;" "&amp;I730&amp;" "&amp;M730&amp;" "&amp;N730&amp;" "&amp;T730))),ISNUMBER(SEARCH("bond",LOWER(F730&amp;" "&amp;H730&amp;" "&amp;I730&amp;" "&amp;M730&amp;" "&amp;N730&amp;" "&amp;T730))),ISNUMBER(SEARCH("transaction",LOWER(F730&amp;" "&amp;H730&amp;" "&amp;I730&amp;" "&amp;M730&amp;" "&amp;N730&amp;" "&amp;T730)))),"PRIVATE_REVIEW","PUBLIC_CANDIDATE"))</x:f>
        <x:v>PUBLIC_CANDIDATE</x:v>
      </x:c>
      <x:c r="AD730" s="12" t="str">
        <x:f>IF(AC730="PRIVATE_QUARANTINE","hacker_or_bank_trigger",IF(AC730="PRIVATE_REVIEW","finance_risk_trigger","none"))</x:f>
        <x:v>none</x:v>
      </x:c>
      <x:c r="AE730" s="12" t="str">
        <x:f>IF(AC730="PUBLIC_CANDIDATE","prepare_public_github_candidate",IF(AC730="PRIVATE_REVIEW","hold_for_private_review","quarantine_private_do_not_publish"))</x:f>
        <x:v>prepare_public_github_candidate</x:v>
      </x:c>
      <x:c r="AF730" s="12" t="str">
        <x:f>IF(AC730="PUBLIC_CANDIDATE","TIDELOCK + Lucerna",IF(AC730="PRIVATE_REVIEW","AtlasBrain + Lucerna","TIDELOCK + Lucerna + Human-root"))</x:f>
        <x:v>TIDELOCK + Lucerna</x:v>
      </x:c>
      <x:c r="AG730" s="12" t="str">
        <x:f>IF(AND(AC730="PUBLIC_CANDIDATE",U730&lt;&gt;"BLOCKED_PENDING_RECEIPT"),"READY_AFTER_RECEIPT","NOT_READY")</x:f>
        <x:v>NOT_READY</x:v>
      </x:c>
      <x:c r="AH730" s="12" t="str">
        <x:f>IF(AC730="PUBLIC_CANDIDATE","none",AD730)</x:f>
        <x:v>none</x:v>
      </x:c>
      <x:c r="AI730" s="12" t="str">
        <x:f>IF(AC730="PUBLIC_CANDIDATE","archive/public_candidates/"&amp;A730,"private_quarantine/"&amp;A730)</x:f>
        <x:v>archive/public_candidates/SWARM-06-H01-S09</x:v>
      </x:c>
      <x:c r="AJ730" s="12" t="str">
        <x:f>IF(AC730="PUBLIC_CANDIDATE","public by default; still not canon","private/hold; do not publish")</x:f>
        <x:v>public by default; still not canon</x:v>
      </x:c>
      <x:c r="AK730" s="12" t="str">
        <x:f>IF(AE730="prepare_public_github_candidate","add receipt/status then mirror","resolve blocker before any public GitHub action")</x:f>
        <x:v>add receipt/status then mirror</x:v>
      </x:c>
    </x:row>
    <x:row r="731">
      <x:c r="A731" s="15" t="str">
        <x:v>SWARM-06-H01-S10</x:v>
      </x:c>
      <x:c r="B731" s="15" t="str">
        <x:v>Forgekid</x:v>
      </x:c>
      <x:c r="C731" s="15" t="str">
        <x:v>Aetherforge UX builder</x:v>
      </x:c>
      <x:c r="D731" s="15" t="str">
        <x:v>Source Inventory</x:v>
      </x:c>
      <x:c r="E731" s="15" t="str">
        <x:v>Human-Root</x:v>
      </x:c>
      <x:c r="F731" s="15" t="str">
        <x:v>Inventory Human-Root — Forgekid</x:v>
      </x:c>
      <x:c r="G731" s="15" t="str">
        <x:v>quest cards / task cards / board affordances</x:v>
      </x:c>
      <x:c r="H731" s="15" t="str">
        <x:v>source path + receipt + raw/export status + claim/edge/risk delta</x:v>
      </x:c>
      <x:c r="I731" s="15" t="str">
        <x:v>packet/SWARM-06-H01-S10</x:v>
      </x:c>
      <x:c r="J731" s="15" t="str">
        <x:v>TODO</x:v>
      </x:c>
      <x:c r="K731" s="15" t="str">
        <x:v>P2</x:v>
      </x:c>
      <x:c r="L731" s="15" t="str">
        <x:v>Done only when evidence is logged, contradiction search is noted, and boundary stamp remains non-canon unless ratified</x:v>
      </x:c>
      <x:c r="M731" s="15" t="str">
        <x:v>candidate / staging-only / not canon / not deployed / authority none</x:v>
      </x:c>
      <x:c r="N731" s="15" t="str">
        <x:v>Dispatch to Forgekid: complete Source Inventory x Human-Root; return deltas only, receipts required.</x:v>
      </x:c>
      <x:c r="O731" s="15" t="str">
        <x:v>AF-KG-H01-S10</x:v>
      </x:c>
      <x:c r="P731" s="15" t="str">
        <x:v>Unverified</x:v>
      </x:c>
      <x:c r="Q731" s="15" t="str">
        <x:v>Not checked</x:v>
      </x:c>
      <x:c r="R731" s="15" t="str"/>
      <x:c r="S731" s="15" t="str"/>
      <x:c r="T731" s="15" t="str">
        <x:v>Log first source path or blocker</x:v>
      </x:c>
      <x:c r="U731" s="12" t="str">
        <x:f>IF(OR(P731="Unverified",Q731="Not checked"),"BLOCKED_PENDING_RECEIPT","READY_FOR_REVIEW")</x:f>
        <x:v>BLOCKED_PENDING_RECEIPT</x:v>
      </x:c>
      <x:c r="V731" s="12" t="str">
        <x:f>IF(J731="DONE","RETURNED",IF(U731="BLOCKED_PENDING_RECEIPT","SOURCE_TOUCH_REQUIRED","IN_PROGRESS"))</x:f>
        <x:v>SOURCE_TOUCH_REQUIRED</x:v>
      </x:c>
      <x:c r="W731" s="12" t="str">
        <x:f>IF(P731="Unverified","missing_receipt","receipt_logged")</x:f>
        <x:v>missing_receipt</x:v>
      </x:c>
      <x:c r="X731" s="12" t="str">
        <x:f>IF(Q731="Not checked","raw_status_missing","raw_status_logged")</x:f>
        <x:v>raw_status_missing</x:v>
      </x:c>
      <x:c r="Y731" s="12" t="str">
        <x:f>IF(U731="BLOCKED_PENDING_RECEIPT","Log source path or blocker; do not promote","Route to review lane")</x:f>
        <x:v>Log source path or blocker; do not promote</x:v>
      </x:c>
      <x:c r="Z731" s="12" t="str">
        <x:f>IF(K731="P0","Primary seat + Hashlight/Lucerna","Seat lane")</x:f>
        <x:v>Seat lane</x:v>
      </x:c>
      <x:c r="AA731" s="12" t="str">
        <x:f>IF(R731="","no_claim_delta","claim_delta_present")</x:f>
        <x:v>no_claim_delta</x:v>
      </x:c>
      <x:c r="AB731" s="12" t="str">
        <x:f>IF(S731="","no_contradiction_delta","contradiction_delta_present")</x:f>
        <x:v>no_contradiction_delta</x:v>
      </x:c>
      <x:c r="AC731" s="12" t="str">
        <x:f>IF(OR(ISNUMBER(SEARCH("hacker",LOWER(F731&amp;" "&amp;H731&amp;" "&amp;I731&amp;" "&amp;M731&amp;" "&amp;N731&amp;" "&amp;T731))),ISNUMBER(SEARCH("hacking",LOWER(F731&amp;" "&amp;H731&amp;" "&amp;I731&amp;" "&amp;M731&amp;" "&amp;N731&amp;" "&amp;T731))),ISNUMBER(SEARCH("bank",LOWER(F731&amp;" "&amp;H731&amp;" "&amp;I731&amp;" "&amp;M731&amp;" "&amp;N731&amp;" "&amp;T731))),ISNUMBER(SEARCH("banking",LOWER(F731&amp;" "&amp;H731&amp;" "&amp;I731&amp;" "&amp;M731&amp;" "&amp;N731&amp;" "&amp;T731)))),"PRIVATE_QUARANTINE",IF(OR(ISNUMBER(SEARCH("treasury",LOWER(F731&amp;" "&amp;H731&amp;" "&amp;I731&amp;" "&amp;M731&amp;" "&amp;N731&amp;" "&amp;T731))),ISNUMBER(SEARCH("debt",LOWER(F731&amp;" "&amp;H731&amp;" "&amp;I731&amp;" "&amp;M731&amp;" "&amp;N731&amp;" "&amp;T731))),ISNUMBER(SEARCH("bond",LOWER(F731&amp;" "&amp;H731&amp;" "&amp;I731&amp;" "&amp;M731&amp;" "&amp;N731&amp;" "&amp;T731))),ISNUMBER(SEARCH("transaction",LOWER(F731&amp;" "&amp;H731&amp;" "&amp;I731&amp;" "&amp;M731&amp;" "&amp;N731&amp;" "&amp;T731)))),"PRIVATE_REVIEW","PUBLIC_CANDIDATE"))</x:f>
        <x:v>PUBLIC_CANDIDATE</x:v>
      </x:c>
      <x:c r="AD731" s="12" t="str">
        <x:f>IF(AC731="PRIVATE_QUARANTINE","hacker_or_bank_trigger",IF(AC731="PRIVATE_REVIEW","finance_risk_trigger","none"))</x:f>
        <x:v>none</x:v>
      </x:c>
      <x:c r="AE731" s="12" t="str">
        <x:f>IF(AC731="PUBLIC_CANDIDATE","prepare_public_github_candidate",IF(AC731="PRIVATE_REVIEW","hold_for_private_review","quarantine_private_do_not_publish"))</x:f>
        <x:v>prepare_public_github_candidate</x:v>
      </x:c>
      <x:c r="AF731" s="12" t="str">
        <x:f>IF(AC731="PUBLIC_CANDIDATE","TIDELOCK + Lucerna",IF(AC731="PRIVATE_REVIEW","AtlasBrain + Lucerna","TIDELOCK + Lucerna + Human-root"))</x:f>
        <x:v>TIDELOCK + Lucerna</x:v>
      </x:c>
      <x:c r="AG731" s="12" t="str">
        <x:f>IF(AND(AC731="PUBLIC_CANDIDATE",U731&lt;&gt;"BLOCKED_PENDING_RECEIPT"),"READY_AFTER_RECEIPT","NOT_READY")</x:f>
        <x:v>NOT_READY</x:v>
      </x:c>
      <x:c r="AH731" s="12" t="str">
        <x:f>IF(AC731="PUBLIC_CANDIDATE","none",AD731)</x:f>
        <x:v>none</x:v>
      </x:c>
      <x:c r="AI731" s="12" t="str">
        <x:f>IF(AC731="PUBLIC_CANDIDATE","archive/public_candidates/"&amp;A731,"private_quarantine/"&amp;A731)</x:f>
        <x:v>archive/public_candidates/SWARM-06-H01-S10</x:v>
      </x:c>
      <x:c r="AJ731" s="12" t="str">
        <x:f>IF(AC731="PUBLIC_CANDIDATE","public by default; still not canon","private/hold; do not publish")</x:f>
        <x:v>public by default; still not canon</x:v>
      </x:c>
      <x:c r="AK731" s="12" t="str">
        <x:f>IF(AE731="prepare_public_github_candidate","add receipt/status then mirror","resolve blocker before any public GitHub action")</x:f>
        <x:v>add receipt/status then mirror</x:v>
      </x:c>
    </x:row>
    <x:row r="732">
      <x:c r="A732" s="15" t="str">
        <x:v>SWARM-06-H01-S11</x:v>
      </x:c>
      <x:c r="B732" s="15" t="str">
        <x:v>Forgekid</x:v>
      </x:c>
      <x:c r="C732" s="15" t="str">
        <x:v>Aetherforge UX builder</x:v>
      </x:c>
      <x:c r="D732" s="15" t="str">
        <x:v>Source Inventory</x:v>
      </x:c>
      <x:c r="E732" s="15" t="str">
        <x:v>Automation</x:v>
      </x:c>
      <x:c r="F732" s="15" t="str">
        <x:v>Inventory Automation — Forgekid</x:v>
      </x:c>
      <x:c r="G732" s="15" t="str">
        <x:v>quest cards / task cards / board affordances</x:v>
      </x:c>
      <x:c r="H732" s="15" t="str">
        <x:v>source path + receipt + raw/export status + claim/edge/risk delta</x:v>
      </x:c>
      <x:c r="I732" s="15" t="str">
        <x:v>packet/SWARM-06-H01-S11</x:v>
      </x:c>
      <x:c r="J732" s="15" t="str">
        <x:v>TODO</x:v>
      </x:c>
      <x:c r="K732" s="15" t="str">
        <x:v>P2</x:v>
      </x:c>
      <x:c r="L732" s="15" t="str">
        <x:v>Done only when evidence is logged, contradiction search is noted, and boundary stamp remains non-canon unless ratified</x:v>
      </x:c>
      <x:c r="M732" s="15" t="str">
        <x:v>candidate / staging-only / not canon / not deployed / authority none</x:v>
      </x:c>
      <x:c r="N732" s="15" t="str">
        <x:v>Dispatch to Forgekid: complete Source Inventory x Automation; return deltas only, receipts required.</x:v>
      </x:c>
      <x:c r="O732" s="15" t="str">
        <x:v>AF-KG-H01-S11</x:v>
      </x:c>
      <x:c r="P732" s="15" t="str">
        <x:v>Unverified</x:v>
      </x:c>
      <x:c r="Q732" s="15" t="str">
        <x:v>Not checked</x:v>
      </x:c>
      <x:c r="R732" s="15" t="str"/>
      <x:c r="S732" s="15" t="str"/>
      <x:c r="T732" s="15" t="str">
        <x:v>Log first source path or blocker</x:v>
      </x:c>
      <x:c r="U732" s="12" t="str">
        <x:f>IF(OR(P732="Unverified",Q732="Not checked"),"BLOCKED_PENDING_RECEIPT","READY_FOR_REVIEW")</x:f>
        <x:v>BLOCKED_PENDING_RECEIPT</x:v>
      </x:c>
      <x:c r="V732" s="12" t="str">
        <x:f>IF(J732="DONE","RETURNED",IF(U732="BLOCKED_PENDING_RECEIPT","SOURCE_TOUCH_REQUIRED","IN_PROGRESS"))</x:f>
        <x:v>SOURCE_TOUCH_REQUIRED</x:v>
      </x:c>
      <x:c r="W732" s="12" t="str">
        <x:f>IF(P732="Unverified","missing_receipt","receipt_logged")</x:f>
        <x:v>missing_receipt</x:v>
      </x:c>
      <x:c r="X732" s="12" t="str">
        <x:f>IF(Q732="Not checked","raw_status_missing","raw_status_logged")</x:f>
        <x:v>raw_status_missing</x:v>
      </x:c>
      <x:c r="Y732" s="12" t="str">
        <x:f>IF(U732="BLOCKED_PENDING_RECEIPT","Log source path or blocker; do not promote","Route to review lane")</x:f>
        <x:v>Log source path or blocker; do not promote</x:v>
      </x:c>
      <x:c r="Z732" s="12" t="str">
        <x:f>IF(K732="P0","Primary seat + Hashlight/Lucerna","Seat lane")</x:f>
        <x:v>Seat lane</x:v>
      </x:c>
      <x:c r="AA732" s="12" t="str">
        <x:f>IF(R732="","no_claim_delta","claim_delta_present")</x:f>
        <x:v>no_claim_delta</x:v>
      </x:c>
      <x:c r="AB732" s="12" t="str">
        <x:f>IF(S732="","no_contradiction_delta","contradiction_delta_present")</x:f>
        <x:v>no_contradiction_delta</x:v>
      </x:c>
      <x:c r="AC732" s="12" t="str">
        <x:f>IF(OR(ISNUMBER(SEARCH("hacker",LOWER(F732&amp;" "&amp;H732&amp;" "&amp;I732&amp;" "&amp;M732&amp;" "&amp;N732&amp;" "&amp;T732))),ISNUMBER(SEARCH("hacking",LOWER(F732&amp;" "&amp;H732&amp;" "&amp;I732&amp;" "&amp;M732&amp;" "&amp;N732&amp;" "&amp;T732))),ISNUMBER(SEARCH("bank",LOWER(F732&amp;" "&amp;H732&amp;" "&amp;I732&amp;" "&amp;M732&amp;" "&amp;N732&amp;" "&amp;T732))),ISNUMBER(SEARCH("banking",LOWER(F732&amp;" "&amp;H732&amp;" "&amp;I732&amp;" "&amp;M732&amp;" "&amp;N732&amp;" "&amp;T732)))),"PRIVATE_QUARANTINE",IF(OR(ISNUMBER(SEARCH("treasury",LOWER(F732&amp;" "&amp;H732&amp;" "&amp;I732&amp;" "&amp;M732&amp;" "&amp;N732&amp;" "&amp;T732))),ISNUMBER(SEARCH("debt",LOWER(F732&amp;" "&amp;H732&amp;" "&amp;I732&amp;" "&amp;M732&amp;" "&amp;N732&amp;" "&amp;T732))),ISNUMBER(SEARCH("bond",LOWER(F732&amp;" "&amp;H732&amp;" "&amp;I732&amp;" "&amp;M732&amp;" "&amp;N732&amp;" "&amp;T732))),ISNUMBER(SEARCH("transaction",LOWER(F732&amp;" "&amp;H732&amp;" "&amp;I732&amp;" "&amp;M732&amp;" "&amp;N732&amp;" "&amp;T732)))),"PRIVATE_REVIEW","PUBLIC_CANDIDATE"))</x:f>
        <x:v>PUBLIC_CANDIDATE</x:v>
      </x:c>
      <x:c r="AD732" s="12" t="str">
        <x:f>IF(AC732="PRIVATE_QUARANTINE","hacker_or_bank_trigger",IF(AC732="PRIVATE_REVIEW","finance_risk_trigger","none"))</x:f>
        <x:v>none</x:v>
      </x:c>
      <x:c r="AE732" s="12" t="str">
        <x:f>IF(AC732="PUBLIC_CANDIDATE","prepare_public_github_candidate",IF(AC732="PRIVATE_REVIEW","hold_for_private_review","quarantine_private_do_not_publish"))</x:f>
        <x:v>prepare_public_github_candidate</x:v>
      </x:c>
      <x:c r="AF732" s="12" t="str">
        <x:f>IF(AC732="PUBLIC_CANDIDATE","TIDELOCK + Lucerna",IF(AC732="PRIVATE_REVIEW","AtlasBrain + Lucerna","TIDELOCK + Lucerna + Human-root"))</x:f>
        <x:v>TIDELOCK + Lucerna</x:v>
      </x:c>
      <x:c r="AG732" s="12" t="str">
        <x:f>IF(AND(AC732="PUBLIC_CANDIDATE",U732&lt;&gt;"BLOCKED_PENDING_RECEIPT"),"READY_AFTER_RECEIPT","NOT_READY")</x:f>
        <x:v>NOT_READY</x:v>
      </x:c>
      <x:c r="AH732" s="12" t="str">
        <x:f>IF(AC732="PUBLIC_CANDIDATE","none",AD732)</x:f>
        <x:v>none</x:v>
      </x:c>
      <x:c r="AI732" s="12" t="str">
        <x:f>IF(AC732="PUBLIC_CANDIDATE","archive/public_candidates/"&amp;A732,"private_quarantine/"&amp;A732)</x:f>
        <x:v>archive/public_candidates/SWARM-06-H01-S11</x:v>
      </x:c>
      <x:c r="AJ732" s="12" t="str">
        <x:f>IF(AC732="PUBLIC_CANDIDATE","public by default; still not canon","private/hold; do not publish")</x:f>
        <x:v>public by default; still not canon</x:v>
      </x:c>
      <x:c r="AK732" s="12" t="str">
        <x:f>IF(AE732="prepare_public_github_candidate","add receipt/status then mirror","resolve blocker before any public GitHub action")</x:f>
        <x:v>add receipt/status then mirror</x:v>
      </x:c>
    </x:row>
    <x:row r="733">
      <x:c r="A733" s="15" t="str">
        <x:v>SWARM-06-H01-S12</x:v>
      </x:c>
      <x:c r="B733" s="15" t="str">
        <x:v>Forgekid</x:v>
      </x:c>
      <x:c r="C733" s="15" t="str">
        <x:v>Aetherforge UX builder</x:v>
      </x:c>
      <x:c r="D733" s="15" t="str">
        <x:v>Source Inventory</x:v>
      </x:c>
      <x:c r="E733" s="15" t="str">
        <x:v>Risk / Safety</x:v>
      </x:c>
      <x:c r="F733" s="15" t="str">
        <x:v>Inventory Risk / Safety — Forgekid</x:v>
      </x:c>
      <x:c r="G733" s="15" t="str">
        <x:v>quest cards / task cards / board affordances</x:v>
      </x:c>
      <x:c r="H733" s="15" t="str">
        <x:v>source path + receipt + raw/export status + claim/edge/risk delta</x:v>
      </x:c>
      <x:c r="I733" s="15" t="str">
        <x:v>packet/SWARM-06-H01-S12</x:v>
      </x:c>
      <x:c r="J733" s="15" t="str">
        <x:v>TODO</x:v>
      </x:c>
      <x:c r="K733" s="15" t="str">
        <x:v>P2</x:v>
      </x:c>
      <x:c r="L733" s="15" t="str">
        <x:v>Done only when evidence is logged, contradiction search is noted, and boundary stamp remains non-canon unless ratified</x:v>
      </x:c>
      <x:c r="M733" s="15" t="str">
        <x:v>candidate / staging-only / not canon / not deployed / authority none</x:v>
      </x:c>
      <x:c r="N733" s="15" t="str">
        <x:v>Dispatch to Forgekid: complete Source Inventory x Risk / Safety; return deltas only, receipts required.</x:v>
      </x:c>
      <x:c r="O733" s="15" t="str">
        <x:v>AF-KG-H01-S12</x:v>
      </x:c>
      <x:c r="P733" s="15" t="str">
        <x:v>Unverified</x:v>
      </x:c>
      <x:c r="Q733" s="15" t="str">
        <x:v>Not checked</x:v>
      </x:c>
      <x:c r="R733" s="15" t="str"/>
      <x:c r="S733" s="15" t="str"/>
      <x:c r="T733" s="15" t="str">
        <x:v>Log first source path or blocker</x:v>
      </x:c>
      <x:c r="U733" s="12" t="str">
        <x:f>IF(OR(P733="Unverified",Q733="Not checked"),"BLOCKED_PENDING_RECEIPT","READY_FOR_REVIEW")</x:f>
        <x:v>BLOCKED_PENDING_RECEIPT</x:v>
      </x:c>
      <x:c r="V733" s="12" t="str">
        <x:f>IF(J733="DONE","RETURNED",IF(U733="BLOCKED_PENDING_RECEIPT","SOURCE_TOUCH_REQUIRED","IN_PROGRESS"))</x:f>
        <x:v>SOURCE_TOUCH_REQUIRED</x:v>
      </x:c>
      <x:c r="W733" s="12" t="str">
        <x:f>IF(P733="Unverified","missing_receipt","receipt_logged")</x:f>
        <x:v>missing_receipt</x:v>
      </x:c>
      <x:c r="X733" s="12" t="str">
        <x:f>IF(Q733="Not checked","raw_status_missing","raw_status_logged")</x:f>
        <x:v>raw_status_missing</x:v>
      </x:c>
      <x:c r="Y733" s="12" t="str">
        <x:f>IF(U733="BLOCKED_PENDING_RECEIPT","Log source path or blocker; do not promote","Route to review lane")</x:f>
        <x:v>Log source path or blocker; do not promote</x:v>
      </x:c>
      <x:c r="Z733" s="12" t="str">
        <x:f>IF(K733="P0","Primary seat + Hashlight/Lucerna","Seat lane")</x:f>
        <x:v>Seat lane</x:v>
      </x:c>
      <x:c r="AA733" s="12" t="str">
        <x:f>IF(R733="","no_claim_delta","claim_delta_present")</x:f>
        <x:v>no_claim_delta</x:v>
      </x:c>
      <x:c r="AB733" s="12" t="str">
        <x:f>IF(S733="","no_contradiction_delta","contradiction_delta_present")</x:f>
        <x:v>no_contradiction_delta</x:v>
      </x:c>
      <x:c r="AC733" s="12" t="str">
        <x:f>IF(OR(ISNUMBER(SEARCH("hacker",LOWER(F733&amp;" "&amp;H733&amp;" "&amp;I733&amp;" "&amp;M733&amp;" "&amp;N733&amp;" "&amp;T733))),ISNUMBER(SEARCH("hacking",LOWER(F733&amp;" "&amp;H733&amp;" "&amp;I733&amp;" "&amp;M733&amp;" "&amp;N733&amp;" "&amp;T733))),ISNUMBER(SEARCH("bank",LOWER(F733&amp;" "&amp;H733&amp;" "&amp;I733&amp;" "&amp;M733&amp;" "&amp;N733&amp;" "&amp;T733))),ISNUMBER(SEARCH("banking",LOWER(F733&amp;" "&amp;H733&amp;" "&amp;I733&amp;" "&amp;M733&amp;" "&amp;N733&amp;" "&amp;T733)))),"PRIVATE_QUARANTINE",IF(OR(ISNUMBER(SEARCH("treasury",LOWER(F733&amp;" "&amp;H733&amp;" "&amp;I733&amp;" "&amp;M733&amp;" "&amp;N733&amp;" "&amp;T733))),ISNUMBER(SEARCH("debt",LOWER(F733&amp;" "&amp;H733&amp;" "&amp;I733&amp;" "&amp;M733&amp;" "&amp;N733&amp;" "&amp;T733))),ISNUMBER(SEARCH("bond",LOWER(F733&amp;" "&amp;H733&amp;" "&amp;I733&amp;" "&amp;M733&amp;" "&amp;N733&amp;" "&amp;T733))),ISNUMBER(SEARCH("transaction",LOWER(F733&amp;" "&amp;H733&amp;" "&amp;I733&amp;" "&amp;M733&amp;" "&amp;N733&amp;" "&amp;T733)))),"PRIVATE_REVIEW","PUBLIC_CANDIDATE"))</x:f>
        <x:v>PUBLIC_CANDIDATE</x:v>
      </x:c>
      <x:c r="AD733" s="12" t="str">
        <x:f>IF(AC733="PRIVATE_QUARANTINE","hacker_or_bank_trigger",IF(AC733="PRIVATE_REVIEW","finance_risk_trigger","none"))</x:f>
        <x:v>none</x:v>
      </x:c>
      <x:c r="AE733" s="12" t="str">
        <x:f>IF(AC733="PUBLIC_CANDIDATE","prepare_public_github_candidate",IF(AC733="PRIVATE_REVIEW","hold_for_private_review","quarantine_private_do_not_publish"))</x:f>
        <x:v>prepare_public_github_candidate</x:v>
      </x:c>
      <x:c r="AF733" s="12" t="str">
        <x:f>IF(AC733="PUBLIC_CANDIDATE","TIDELOCK + Lucerna",IF(AC733="PRIVATE_REVIEW","AtlasBrain + Lucerna","TIDELOCK + Lucerna + Human-root"))</x:f>
        <x:v>TIDELOCK + Lucerna</x:v>
      </x:c>
      <x:c r="AG733" s="12" t="str">
        <x:f>IF(AND(AC733="PUBLIC_CANDIDATE",U733&lt;&gt;"BLOCKED_PENDING_RECEIPT"),"READY_AFTER_RECEIPT","NOT_READY")</x:f>
        <x:v>NOT_READY</x:v>
      </x:c>
      <x:c r="AH733" s="12" t="str">
        <x:f>IF(AC733="PUBLIC_CANDIDATE","none",AD733)</x:f>
        <x:v>none</x:v>
      </x:c>
      <x:c r="AI733" s="12" t="str">
        <x:f>IF(AC733="PUBLIC_CANDIDATE","archive/public_candidates/"&amp;A733,"private_quarantine/"&amp;A733)</x:f>
        <x:v>archive/public_candidates/SWARM-06-H01-S12</x:v>
      </x:c>
      <x:c r="AJ733" s="12" t="str">
        <x:f>IF(AC733="PUBLIC_CANDIDATE","public by default; still not canon","private/hold; do not publish")</x:f>
        <x:v>public by default; still not canon</x:v>
      </x:c>
      <x:c r="AK733" s="12" t="str">
        <x:f>IF(AE733="prepare_public_github_candidate","add receipt/status then mirror","resolve blocker before any public GitHub action")</x:f>
        <x:v>add receipt/status then mirror</x:v>
      </x:c>
    </x:row>
    <x:row r="734">
      <x:c r="A734" s="15" t="str">
        <x:v>SWARM-06-H02-S01</x:v>
      </x:c>
      <x:c r="B734" s="15" t="str">
        <x:v>Forgekid</x:v>
      </x:c>
      <x:c r="C734" s="15" t="str">
        <x:v>Aetherforge UX builder</x:v>
      </x:c>
      <x:c r="D734" s="15" t="str">
        <x:v>Receipt Verification</x:v>
      </x:c>
      <x:c r="E734" s="15" t="str">
        <x:v>Notion</x:v>
      </x:c>
      <x:c r="F734" s="15" t="str">
        <x:v>Verify receipts for Notion — Forgekid</x:v>
      </x:c>
      <x:c r="G734" s="15" t="str">
        <x:v>quest cards / task cards / board affordances</x:v>
      </x:c>
      <x:c r="H734" s="15" t="str">
        <x:v>source path + receipt + raw/export status + claim/edge/risk delta</x:v>
      </x:c>
      <x:c r="I734" s="15" t="str">
        <x:v>packet/SWARM-06-H02-S01</x:v>
      </x:c>
      <x:c r="J734" s="15" t="str">
        <x:v>TODO</x:v>
      </x:c>
      <x:c r="K734" s="15" t="str">
        <x:v>P0</x:v>
      </x:c>
      <x:c r="L734" s="15" t="str">
        <x:v>Done only when evidence is logged, contradiction search is noted, and boundary stamp remains non-canon unless ratified</x:v>
      </x:c>
      <x:c r="M734" s="15" t="str">
        <x:v>candidate / staging-only / not canon / not deployed / authority none</x:v>
      </x:c>
      <x:c r="N734" s="15" t="str">
        <x:v>Dispatch to Forgekid: complete Receipt Verification x Notion; return deltas only, receipts required.</x:v>
      </x:c>
      <x:c r="O734" s="15" t="str">
        <x:v>AF-KG-H02-S01</x:v>
      </x:c>
      <x:c r="P734" s="15" t="str">
        <x:v>Unverified</x:v>
      </x:c>
      <x:c r="Q734" s="15" t="str">
        <x:v>Not checked</x:v>
      </x:c>
      <x:c r="R734" s="15" t="str"/>
      <x:c r="S734" s="15" t="str"/>
      <x:c r="T734" s="15" t="str">
        <x:v>Log first source path or blocker</x:v>
      </x:c>
      <x:c r="U734" s="12" t="str">
        <x:f>IF(OR(P734="Unverified",Q734="Not checked"),"BLOCKED_PENDING_RECEIPT","READY_FOR_REVIEW")</x:f>
        <x:v>BLOCKED_PENDING_RECEIPT</x:v>
      </x:c>
      <x:c r="V734" s="12" t="str">
        <x:f>IF(J734="DONE","RETURNED",IF(U734="BLOCKED_PENDING_RECEIPT","SOURCE_TOUCH_REQUIRED","IN_PROGRESS"))</x:f>
        <x:v>SOURCE_TOUCH_REQUIRED</x:v>
      </x:c>
      <x:c r="W734" s="12" t="str">
        <x:f>IF(P734="Unverified","missing_receipt","receipt_logged")</x:f>
        <x:v>missing_receipt</x:v>
      </x:c>
      <x:c r="X734" s="12" t="str">
        <x:f>IF(Q734="Not checked","raw_status_missing","raw_status_logged")</x:f>
        <x:v>raw_status_missing</x:v>
      </x:c>
      <x:c r="Y734" s="12" t="str">
        <x:f>IF(U734="BLOCKED_PENDING_RECEIPT","Log source path or blocker; do not promote","Route to review lane")</x:f>
        <x:v>Log source path or blocker; do not promote</x:v>
      </x:c>
      <x:c r="Z734" s="12" t="str">
        <x:f>IF(K734="P0","Primary seat + Hashlight/Lucerna","Seat lane")</x:f>
        <x:v>Primary seat + Hashlight/Lucerna</x:v>
      </x:c>
      <x:c r="AA734" s="12" t="str">
        <x:f>IF(R734="","no_claim_delta","claim_delta_present")</x:f>
        <x:v>no_claim_delta</x:v>
      </x:c>
      <x:c r="AB734" s="12" t="str">
        <x:f>IF(S734="","no_contradiction_delta","contradiction_delta_present")</x:f>
        <x:v>no_contradiction_delta</x:v>
      </x:c>
      <x:c r="AC734" s="12" t="str">
        <x:f>IF(OR(ISNUMBER(SEARCH("hacker",LOWER(F734&amp;" "&amp;H734&amp;" "&amp;I734&amp;" "&amp;M734&amp;" "&amp;N734&amp;" "&amp;T734))),ISNUMBER(SEARCH("hacking",LOWER(F734&amp;" "&amp;H734&amp;" "&amp;I734&amp;" "&amp;M734&amp;" "&amp;N734&amp;" "&amp;T734))),ISNUMBER(SEARCH("bank",LOWER(F734&amp;" "&amp;H734&amp;" "&amp;I734&amp;" "&amp;M734&amp;" "&amp;N734&amp;" "&amp;T734))),ISNUMBER(SEARCH("banking",LOWER(F734&amp;" "&amp;H734&amp;" "&amp;I734&amp;" "&amp;M734&amp;" "&amp;N734&amp;" "&amp;T734)))),"PRIVATE_QUARANTINE",IF(OR(ISNUMBER(SEARCH("treasury",LOWER(F734&amp;" "&amp;H734&amp;" "&amp;I734&amp;" "&amp;M734&amp;" "&amp;N734&amp;" "&amp;T734))),ISNUMBER(SEARCH("debt",LOWER(F734&amp;" "&amp;H734&amp;" "&amp;I734&amp;" "&amp;M734&amp;" "&amp;N734&amp;" "&amp;T734))),ISNUMBER(SEARCH("bond",LOWER(F734&amp;" "&amp;H734&amp;" "&amp;I734&amp;" "&amp;M734&amp;" "&amp;N734&amp;" "&amp;T734))),ISNUMBER(SEARCH("transaction",LOWER(F734&amp;" "&amp;H734&amp;" "&amp;I734&amp;" "&amp;M734&amp;" "&amp;N734&amp;" "&amp;T734)))),"PRIVATE_REVIEW","PUBLIC_CANDIDATE"))</x:f>
        <x:v>PUBLIC_CANDIDATE</x:v>
      </x:c>
      <x:c r="AD734" s="12" t="str">
        <x:f>IF(AC734="PRIVATE_QUARANTINE","hacker_or_bank_trigger",IF(AC734="PRIVATE_REVIEW","finance_risk_trigger","none"))</x:f>
        <x:v>none</x:v>
      </x:c>
      <x:c r="AE734" s="12" t="str">
        <x:f>IF(AC734="PUBLIC_CANDIDATE","prepare_public_github_candidate",IF(AC734="PRIVATE_REVIEW","hold_for_private_review","quarantine_private_do_not_publish"))</x:f>
        <x:v>prepare_public_github_candidate</x:v>
      </x:c>
      <x:c r="AF734" s="12" t="str">
        <x:f>IF(AC734="PUBLIC_CANDIDATE","TIDELOCK + Lucerna",IF(AC734="PRIVATE_REVIEW","AtlasBrain + Lucerna","TIDELOCK + Lucerna + Human-root"))</x:f>
        <x:v>TIDELOCK + Lucerna</x:v>
      </x:c>
      <x:c r="AG734" s="12" t="str">
        <x:f>IF(AND(AC734="PUBLIC_CANDIDATE",U734&lt;&gt;"BLOCKED_PENDING_RECEIPT"),"READY_AFTER_RECEIPT","NOT_READY")</x:f>
        <x:v>NOT_READY</x:v>
      </x:c>
      <x:c r="AH734" s="12" t="str">
        <x:f>IF(AC734="PUBLIC_CANDIDATE","none",AD734)</x:f>
        <x:v>none</x:v>
      </x:c>
      <x:c r="AI734" s="12" t="str">
        <x:f>IF(AC734="PUBLIC_CANDIDATE","archive/public_candidates/"&amp;A734,"private_quarantine/"&amp;A734)</x:f>
        <x:v>archive/public_candidates/SWARM-06-H02-S01</x:v>
      </x:c>
      <x:c r="AJ734" s="12" t="str">
        <x:f>IF(AC734="PUBLIC_CANDIDATE","public by default; still not canon","private/hold; do not publish")</x:f>
        <x:v>public by default; still not canon</x:v>
      </x:c>
      <x:c r="AK734" s="12" t="str">
        <x:f>IF(AE734="prepare_public_github_candidate","add receipt/status then mirror","resolve blocker before any public GitHub action")</x:f>
        <x:v>add receipt/status then mirror</x:v>
      </x:c>
    </x:row>
    <x:row r="735">
      <x:c r="A735" s="15" t="str">
        <x:v>SWARM-06-H02-S02</x:v>
      </x:c>
      <x:c r="B735" s="15" t="str">
        <x:v>Forgekid</x:v>
      </x:c>
      <x:c r="C735" s="15" t="str">
        <x:v>Aetherforge UX builder</x:v>
      </x:c>
      <x:c r="D735" s="15" t="str">
        <x:v>Receipt Verification</x:v>
      </x:c>
      <x:c r="E735" s="15" t="str">
        <x:v>Drive</x:v>
      </x:c>
      <x:c r="F735" s="15" t="str">
        <x:v>Verify receipts for Drive — Forgekid</x:v>
      </x:c>
      <x:c r="G735" s="15" t="str">
        <x:v>quest cards / task cards / board affordances</x:v>
      </x:c>
      <x:c r="H735" s="15" t="str">
        <x:v>source path + receipt + raw/export status + claim/edge/risk delta</x:v>
      </x:c>
      <x:c r="I735" s="15" t="str">
        <x:v>packet/SWARM-06-H02-S02</x:v>
      </x:c>
      <x:c r="J735" s="15" t="str">
        <x:v>TODO</x:v>
      </x:c>
      <x:c r="K735" s="15" t="str">
        <x:v>P0</x:v>
      </x:c>
      <x:c r="L735" s="15" t="str">
        <x:v>Done only when evidence is logged, contradiction search is noted, and boundary stamp remains non-canon unless ratified</x:v>
      </x:c>
      <x:c r="M735" s="15" t="str">
        <x:v>candidate / staging-only / not canon / not deployed / authority none</x:v>
      </x:c>
      <x:c r="N735" s="15" t="str">
        <x:v>Dispatch to Forgekid: complete Receipt Verification x Drive; return deltas only, receipts required.</x:v>
      </x:c>
      <x:c r="O735" s="15" t="str">
        <x:v>AF-KG-H02-S02</x:v>
      </x:c>
      <x:c r="P735" s="15" t="str">
        <x:v>Unverified</x:v>
      </x:c>
      <x:c r="Q735" s="15" t="str">
        <x:v>Not checked</x:v>
      </x:c>
      <x:c r="R735" s="15" t="str"/>
      <x:c r="S735" s="15" t="str"/>
      <x:c r="T735" s="15" t="str">
        <x:v>Log first source path or blocker</x:v>
      </x:c>
      <x:c r="U735" s="12" t="str">
        <x:f>IF(OR(P735="Unverified",Q735="Not checked"),"BLOCKED_PENDING_RECEIPT","READY_FOR_REVIEW")</x:f>
        <x:v>BLOCKED_PENDING_RECEIPT</x:v>
      </x:c>
      <x:c r="V735" s="12" t="str">
        <x:f>IF(J735="DONE","RETURNED",IF(U735="BLOCKED_PENDING_RECEIPT","SOURCE_TOUCH_REQUIRED","IN_PROGRESS"))</x:f>
        <x:v>SOURCE_TOUCH_REQUIRED</x:v>
      </x:c>
      <x:c r="W735" s="12" t="str">
        <x:f>IF(P735="Unverified","missing_receipt","receipt_logged")</x:f>
        <x:v>missing_receipt</x:v>
      </x:c>
      <x:c r="X735" s="12" t="str">
        <x:f>IF(Q735="Not checked","raw_status_missing","raw_status_logged")</x:f>
        <x:v>raw_status_missing</x:v>
      </x:c>
      <x:c r="Y735" s="12" t="str">
        <x:f>IF(U735="BLOCKED_PENDING_RECEIPT","Log source path or blocker; do not promote","Route to review lane")</x:f>
        <x:v>Log source path or blocker; do not promote</x:v>
      </x:c>
      <x:c r="Z735" s="12" t="str">
        <x:f>IF(K735="P0","Primary seat + Hashlight/Lucerna","Seat lane")</x:f>
        <x:v>Primary seat + Hashlight/Lucerna</x:v>
      </x:c>
      <x:c r="AA735" s="12" t="str">
        <x:f>IF(R735="","no_claim_delta","claim_delta_present")</x:f>
        <x:v>no_claim_delta</x:v>
      </x:c>
      <x:c r="AB735" s="12" t="str">
        <x:f>IF(S735="","no_contradiction_delta","contradiction_delta_present")</x:f>
        <x:v>no_contradiction_delta</x:v>
      </x:c>
      <x:c r="AC735" s="12" t="str">
        <x:f>IF(OR(ISNUMBER(SEARCH("hacker",LOWER(F735&amp;" "&amp;H735&amp;" "&amp;I735&amp;" "&amp;M735&amp;" "&amp;N735&amp;" "&amp;T735))),ISNUMBER(SEARCH("hacking",LOWER(F735&amp;" "&amp;H735&amp;" "&amp;I735&amp;" "&amp;M735&amp;" "&amp;N735&amp;" "&amp;T735))),ISNUMBER(SEARCH("bank",LOWER(F735&amp;" "&amp;H735&amp;" "&amp;I735&amp;" "&amp;M735&amp;" "&amp;N735&amp;" "&amp;T735))),ISNUMBER(SEARCH("banking",LOWER(F735&amp;" "&amp;H735&amp;" "&amp;I735&amp;" "&amp;M735&amp;" "&amp;N735&amp;" "&amp;T735)))),"PRIVATE_QUARANTINE",IF(OR(ISNUMBER(SEARCH("treasury",LOWER(F735&amp;" "&amp;H735&amp;" "&amp;I735&amp;" "&amp;M735&amp;" "&amp;N735&amp;" "&amp;T735))),ISNUMBER(SEARCH("debt",LOWER(F735&amp;" "&amp;H735&amp;" "&amp;I735&amp;" "&amp;M735&amp;" "&amp;N735&amp;" "&amp;T735))),ISNUMBER(SEARCH("bond",LOWER(F735&amp;" "&amp;H735&amp;" "&amp;I735&amp;" "&amp;M735&amp;" "&amp;N735&amp;" "&amp;T735))),ISNUMBER(SEARCH("transaction",LOWER(F735&amp;" "&amp;H735&amp;" "&amp;I735&amp;" "&amp;M735&amp;" "&amp;N735&amp;" "&amp;T735)))),"PRIVATE_REVIEW","PUBLIC_CANDIDATE"))</x:f>
        <x:v>PUBLIC_CANDIDATE</x:v>
      </x:c>
      <x:c r="AD735" s="12" t="str">
        <x:f>IF(AC735="PRIVATE_QUARANTINE","hacker_or_bank_trigger",IF(AC735="PRIVATE_REVIEW","finance_risk_trigger","none"))</x:f>
        <x:v>none</x:v>
      </x:c>
      <x:c r="AE735" s="12" t="str">
        <x:f>IF(AC735="PUBLIC_CANDIDATE","prepare_public_github_candidate",IF(AC735="PRIVATE_REVIEW","hold_for_private_review","quarantine_private_do_not_publish"))</x:f>
        <x:v>prepare_public_github_candidate</x:v>
      </x:c>
      <x:c r="AF735" s="12" t="str">
        <x:f>IF(AC735="PUBLIC_CANDIDATE","TIDELOCK + Lucerna",IF(AC735="PRIVATE_REVIEW","AtlasBrain + Lucerna","TIDELOCK + Lucerna + Human-root"))</x:f>
        <x:v>TIDELOCK + Lucerna</x:v>
      </x:c>
      <x:c r="AG735" s="12" t="str">
        <x:f>IF(AND(AC735="PUBLIC_CANDIDATE",U735&lt;&gt;"BLOCKED_PENDING_RECEIPT"),"READY_AFTER_RECEIPT","NOT_READY")</x:f>
        <x:v>NOT_READY</x:v>
      </x:c>
      <x:c r="AH735" s="12" t="str">
        <x:f>IF(AC735="PUBLIC_CANDIDATE","none",AD735)</x:f>
        <x:v>none</x:v>
      </x:c>
      <x:c r="AI735" s="12" t="str">
        <x:f>IF(AC735="PUBLIC_CANDIDATE","archive/public_candidates/"&amp;A735,"private_quarantine/"&amp;A735)</x:f>
        <x:v>archive/public_candidates/SWARM-06-H02-S02</x:v>
      </x:c>
      <x:c r="AJ735" s="12" t="str">
        <x:f>IF(AC735="PUBLIC_CANDIDATE","public by default; still not canon","private/hold; do not publish")</x:f>
        <x:v>public by default; still not canon</x:v>
      </x:c>
      <x:c r="AK735" s="12" t="str">
        <x:f>IF(AE735="prepare_public_github_candidate","add receipt/status then mirror","resolve blocker before any public GitHub action")</x:f>
        <x:v>add receipt/status then mirror</x:v>
      </x:c>
    </x:row>
    <x:row r="736">
      <x:c r="A736" s="15" t="str">
        <x:v>SWARM-06-H02-S03</x:v>
      </x:c>
      <x:c r="B736" s="15" t="str">
        <x:v>Forgekid</x:v>
      </x:c>
      <x:c r="C736" s="15" t="str">
        <x:v>Aetherforge UX builder</x:v>
      </x:c>
      <x:c r="D736" s="15" t="str">
        <x:v>Receipt Verification</x:v>
      </x:c>
      <x:c r="E736" s="15" t="str">
        <x:v>GitHub</x:v>
      </x:c>
      <x:c r="F736" s="15" t="str">
        <x:v>Verify receipts for GitHub — Forgekid</x:v>
      </x:c>
      <x:c r="G736" s="15" t="str">
        <x:v>quest cards / task cards / board affordances</x:v>
      </x:c>
      <x:c r="H736" s="15" t="str">
        <x:v>source path + receipt + raw/export status + claim/edge/risk delta</x:v>
      </x:c>
      <x:c r="I736" s="15" t="str">
        <x:v>packet/SWARM-06-H02-S03</x:v>
      </x:c>
      <x:c r="J736" s="15" t="str">
        <x:v>TODO</x:v>
      </x:c>
      <x:c r="K736" s="15" t="str">
        <x:v>P0</x:v>
      </x:c>
      <x:c r="L736" s="15" t="str">
        <x:v>Done only when evidence is logged, contradiction search is noted, and boundary stamp remains non-canon unless ratified</x:v>
      </x:c>
      <x:c r="M736" s="15" t="str">
        <x:v>candidate / staging-only / not canon / not deployed / authority none</x:v>
      </x:c>
      <x:c r="N736" s="15" t="str">
        <x:v>Dispatch to Forgekid: complete Receipt Verification x GitHub; return deltas only, receipts required.</x:v>
      </x:c>
      <x:c r="O736" s="15" t="str">
        <x:v>AF-KG-H02-S03</x:v>
      </x:c>
      <x:c r="P736" s="15" t="str">
        <x:v>Unverified</x:v>
      </x:c>
      <x:c r="Q736" s="15" t="str">
        <x:v>Not checked</x:v>
      </x:c>
      <x:c r="R736" s="15" t="str"/>
      <x:c r="S736" s="15" t="str"/>
      <x:c r="T736" s="15" t="str">
        <x:v>Log first source path or blocker</x:v>
      </x:c>
      <x:c r="U736" s="12" t="str">
        <x:f>IF(OR(P736="Unverified",Q736="Not checked"),"BLOCKED_PENDING_RECEIPT","READY_FOR_REVIEW")</x:f>
        <x:v>BLOCKED_PENDING_RECEIPT</x:v>
      </x:c>
      <x:c r="V736" s="12" t="str">
        <x:f>IF(J736="DONE","RETURNED",IF(U736="BLOCKED_PENDING_RECEIPT","SOURCE_TOUCH_REQUIRED","IN_PROGRESS"))</x:f>
        <x:v>SOURCE_TOUCH_REQUIRED</x:v>
      </x:c>
      <x:c r="W736" s="12" t="str">
        <x:f>IF(P736="Unverified","missing_receipt","receipt_logged")</x:f>
        <x:v>missing_receipt</x:v>
      </x:c>
      <x:c r="X736" s="12" t="str">
        <x:f>IF(Q736="Not checked","raw_status_missing","raw_status_logged")</x:f>
        <x:v>raw_status_missing</x:v>
      </x:c>
      <x:c r="Y736" s="12" t="str">
        <x:f>IF(U736="BLOCKED_PENDING_RECEIPT","Log source path or blocker; do not promote","Route to review lane")</x:f>
        <x:v>Log source path or blocker; do not promote</x:v>
      </x:c>
      <x:c r="Z736" s="12" t="str">
        <x:f>IF(K736="P0","Primary seat + Hashlight/Lucerna","Seat lane")</x:f>
        <x:v>Primary seat + Hashlight/Lucerna</x:v>
      </x:c>
      <x:c r="AA736" s="12" t="str">
        <x:f>IF(R736="","no_claim_delta","claim_delta_present")</x:f>
        <x:v>no_claim_delta</x:v>
      </x:c>
      <x:c r="AB736" s="12" t="str">
        <x:f>IF(S736="","no_contradiction_delta","contradiction_delta_present")</x:f>
        <x:v>no_contradiction_delta</x:v>
      </x:c>
      <x:c r="AC736" s="12" t="str">
        <x:f>IF(OR(ISNUMBER(SEARCH("hacker",LOWER(F736&amp;" "&amp;H736&amp;" "&amp;I736&amp;" "&amp;M736&amp;" "&amp;N736&amp;" "&amp;T736))),ISNUMBER(SEARCH("hacking",LOWER(F736&amp;" "&amp;H736&amp;" "&amp;I736&amp;" "&amp;M736&amp;" "&amp;N736&amp;" "&amp;T736))),ISNUMBER(SEARCH("bank",LOWER(F736&amp;" "&amp;H736&amp;" "&amp;I736&amp;" "&amp;M736&amp;" "&amp;N736&amp;" "&amp;T736))),ISNUMBER(SEARCH("banking",LOWER(F736&amp;" "&amp;H736&amp;" "&amp;I736&amp;" "&amp;M736&amp;" "&amp;N736&amp;" "&amp;T736)))),"PRIVATE_QUARANTINE",IF(OR(ISNUMBER(SEARCH("treasury",LOWER(F736&amp;" "&amp;H736&amp;" "&amp;I736&amp;" "&amp;M736&amp;" "&amp;N736&amp;" "&amp;T736))),ISNUMBER(SEARCH("debt",LOWER(F736&amp;" "&amp;H736&amp;" "&amp;I736&amp;" "&amp;M736&amp;" "&amp;N736&amp;" "&amp;T736))),ISNUMBER(SEARCH("bond",LOWER(F736&amp;" "&amp;H736&amp;" "&amp;I736&amp;" "&amp;M736&amp;" "&amp;N736&amp;" "&amp;T736))),ISNUMBER(SEARCH("transaction",LOWER(F736&amp;" "&amp;H736&amp;" "&amp;I736&amp;" "&amp;M736&amp;" "&amp;N736&amp;" "&amp;T736)))),"PRIVATE_REVIEW","PUBLIC_CANDIDATE"))</x:f>
        <x:v>PUBLIC_CANDIDATE</x:v>
      </x:c>
      <x:c r="AD736" s="12" t="str">
        <x:f>IF(AC736="PRIVATE_QUARANTINE","hacker_or_bank_trigger",IF(AC736="PRIVATE_REVIEW","finance_risk_trigger","none"))</x:f>
        <x:v>none</x:v>
      </x:c>
      <x:c r="AE736" s="12" t="str">
        <x:f>IF(AC736="PUBLIC_CANDIDATE","prepare_public_github_candidate",IF(AC736="PRIVATE_REVIEW","hold_for_private_review","quarantine_private_do_not_publish"))</x:f>
        <x:v>prepare_public_github_candidate</x:v>
      </x:c>
      <x:c r="AF736" s="12" t="str">
        <x:f>IF(AC736="PUBLIC_CANDIDATE","TIDELOCK + Lucerna",IF(AC736="PRIVATE_REVIEW","AtlasBrain + Lucerna","TIDELOCK + Lucerna + Human-root"))</x:f>
        <x:v>TIDELOCK + Lucerna</x:v>
      </x:c>
      <x:c r="AG736" s="12" t="str">
        <x:f>IF(AND(AC736="PUBLIC_CANDIDATE",U736&lt;&gt;"BLOCKED_PENDING_RECEIPT"),"READY_AFTER_RECEIPT","NOT_READY")</x:f>
        <x:v>NOT_READY</x:v>
      </x:c>
      <x:c r="AH736" s="12" t="str">
        <x:f>IF(AC736="PUBLIC_CANDIDATE","none",AD736)</x:f>
        <x:v>none</x:v>
      </x:c>
      <x:c r="AI736" s="12" t="str">
        <x:f>IF(AC736="PUBLIC_CANDIDATE","archive/public_candidates/"&amp;A736,"private_quarantine/"&amp;A736)</x:f>
        <x:v>archive/public_candidates/SWARM-06-H02-S03</x:v>
      </x:c>
      <x:c r="AJ736" s="12" t="str">
        <x:f>IF(AC736="PUBLIC_CANDIDATE","public by default; still not canon","private/hold; do not publish")</x:f>
        <x:v>public by default; still not canon</x:v>
      </x:c>
      <x:c r="AK736" s="12" t="str">
        <x:f>IF(AE736="prepare_public_github_candidate","add receipt/status then mirror","resolve blocker before any public GitHub action")</x:f>
        <x:v>add receipt/status then mirror</x:v>
      </x:c>
    </x:row>
    <x:row r="737">
      <x:c r="A737" s="15" t="str">
        <x:v>SWARM-06-H02-S04</x:v>
      </x:c>
      <x:c r="B737" s="15" t="str">
        <x:v>Forgekid</x:v>
      </x:c>
      <x:c r="C737" s="15" t="str">
        <x:v>Aetherforge UX builder</x:v>
      </x:c>
      <x:c r="D737" s="15" t="str">
        <x:v>Receipt Verification</x:v>
      </x:c>
      <x:c r="E737" s="15" t="str">
        <x:v>Gamma</x:v>
      </x:c>
      <x:c r="F737" s="15" t="str">
        <x:v>Verify receipts for Gamma — Forgekid</x:v>
      </x:c>
      <x:c r="G737" s="15" t="str">
        <x:v>quest cards / task cards / board affordances</x:v>
      </x:c>
      <x:c r="H737" s="15" t="str">
        <x:v>source path + receipt + raw/export status + claim/edge/risk delta</x:v>
      </x:c>
      <x:c r="I737" s="15" t="str">
        <x:v>packet/SWARM-06-H02-S04</x:v>
      </x:c>
      <x:c r="J737" s="15" t="str">
        <x:v>TODO</x:v>
      </x:c>
      <x:c r="K737" s="15" t="str">
        <x:v>P1</x:v>
      </x:c>
      <x:c r="L737" s="15" t="str">
        <x:v>Done only when evidence is logged, contradiction search is noted, and boundary stamp remains non-canon unless ratified</x:v>
      </x:c>
      <x:c r="M737" s="15" t="str">
        <x:v>candidate / staging-only / not canon / not deployed / authority none</x:v>
      </x:c>
      <x:c r="N737" s="15" t="str">
        <x:v>Dispatch to Forgekid: complete Receipt Verification x Gamma; return deltas only, receipts required.</x:v>
      </x:c>
      <x:c r="O737" s="15" t="str">
        <x:v>AF-KG-H02-S04</x:v>
      </x:c>
      <x:c r="P737" s="15" t="str">
        <x:v>Unverified</x:v>
      </x:c>
      <x:c r="Q737" s="15" t="str">
        <x:v>Not checked</x:v>
      </x:c>
      <x:c r="R737" s="15" t="str"/>
      <x:c r="S737" s="15" t="str"/>
      <x:c r="T737" s="15" t="str">
        <x:v>Log first source path or blocker</x:v>
      </x:c>
      <x:c r="U737" s="12" t="str">
        <x:f>IF(OR(P737="Unverified",Q737="Not checked"),"BLOCKED_PENDING_RECEIPT","READY_FOR_REVIEW")</x:f>
        <x:v>BLOCKED_PENDING_RECEIPT</x:v>
      </x:c>
      <x:c r="V737" s="12" t="str">
        <x:f>IF(J737="DONE","RETURNED",IF(U737="BLOCKED_PENDING_RECEIPT","SOURCE_TOUCH_REQUIRED","IN_PROGRESS"))</x:f>
        <x:v>SOURCE_TOUCH_REQUIRED</x:v>
      </x:c>
      <x:c r="W737" s="12" t="str">
        <x:f>IF(P737="Unverified","missing_receipt","receipt_logged")</x:f>
        <x:v>missing_receipt</x:v>
      </x:c>
      <x:c r="X737" s="12" t="str">
        <x:f>IF(Q737="Not checked","raw_status_missing","raw_status_logged")</x:f>
        <x:v>raw_status_missing</x:v>
      </x:c>
      <x:c r="Y737" s="12" t="str">
        <x:f>IF(U737="BLOCKED_PENDING_RECEIPT","Log source path or blocker; do not promote","Route to review lane")</x:f>
        <x:v>Log source path or blocker; do not promote</x:v>
      </x:c>
      <x:c r="Z737" s="12" t="str">
        <x:f>IF(K737="P0","Primary seat + Hashlight/Lucerna","Seat lane")</x:f>
        <x:v>Seat lane</x:v>
      </x:c>
      <x:c r="AA737" s="12" t="str">
        <x:f>IF(R737="","no_claim_delta","claim_delta_present")</x:f>
        <x:v>no_claim_delta</x:v>
      </x:c>
      <x:c r="AB737" s="12" t="str">
        <x:f>IF(S737="","no_contradiction_delta","contradiction_delta_present")</x:f>
        <x:v>no_contradiction_delta</x:v>
      </x:c>
      <x:c r="AC737" s="12" t="str">
        <x:f>IF(OR(ISNUMBER(SEARCH("hacker",LOWER(F737&amp;" "&amp;H737&amp;" "&amp;I737&amp;" "&amp;M737&amp;" "&amp;N737&amp;" "&amp;T737))),ISNUMBER(SEARCH("hacking",LOWER(F737&amp;" "&amp;H737&amp;" "&amp;I737&amp;" "&amp;M737&amp;" "&amp;N737&amp;" "&amp;T737))),ISNUMBER(SEARCH("bank",LOWER(F737&amp;" "&amp;H737&amp;" "&amp;I737&amp;" "&amp;M737&amp;" "&amp;N737&amp;" "&amp;T737))),ISNUMBER(SEARCH("banking",LOWER(F737&amp;" "&amp;H737&amp;" "&amp;I737&amp;" "&amp;M737&amp;" "&amp;N737&amp;" "&amp;T737)))),"PRIVATE_QUARANTINE",IF(OR(ISNUMBER(SEARCH("treasury",LOWER(F737&amp;" "&amp;H737&amp;" "&amp;I737&amp;" "&amp;M737&amp;" "&amp;N737&amp;" "&amp;T737))),ISNUMBER(SEARCH("debt",LOWER(F737&amp;" "&amp;H737&amp;" "&amp;I737&amp;" "&amp;M737&amp;" "&amp;N737&amp;" "&amp;T737))),ISNUMBER(SEARCH("bond",LOWER(F737&amp;" "&amp;H737&amp;" "&amp;I737&amp;" "&amp;M737&amp;" "&amp;N737&amp;" "&amp;T737))),ISNUMBER(SEARCH("transaction",LOWER(F737&amp;" "&amp;H737&amp;" "&amp;I737&amp;" "&amp;M737&amp;" "&amp;N737&amp;" "&amp;T737)))),"PRIVATE_REVIEW","PUBLIC_CANDIDATE"))</x:f>
        <x:v>PUBLIC_CANDIDATE</x:v>
      </x:c>
      <x:c r="AD737" s="12" t="str">
        <x:f>IF(AC737="PRIVATE_QUARANTINE","hacker_or_bank_trigger",IF(AC737="PRIVATE_REVIEW","finance_risk_trigger","none"))</x:f>
        <x:v>none</x:v>
      </x:c>
      <x:c r="AE737" s="12" t="str">
        <x:f>IF(AC737="PUBLIC_CANDIDATE","prepare_public_github_candidate",IF(AC737="PRIVATE_REVIEW","hold_for_private_review","quarantine_private_do_not_publish"))</x:f>
        <x:v>prepare_public_github_candidate</x:v>
      </x:c>
      <x:c r="AF737" s="12" t="str">
        <x:f>IF(AC737="PUBLIC_CANDIDATE","TIDELOCK + Lucerna",IF(AC737="PRIVATE_REVIEW","AtlasBrain + Lucerna","TIDELOCK + Lucerna + Human-root"))</x:f>
        <x:v>TIDELOCK + Lucerna</x:v>
      </x:c>
      <x:c r="AG737" s="12" t="str">
        <x:f>IF(AND(AC737="PUBLIC_CANDIDATE",U737&lt;&gt;"BLOCKED_PENDING_RECEIPT"),"READY_AFTER_RECEIPT","NOT_READY")</x:f>
        <x:v>NOT_READY</x:v>
      </x:c>
      <x:c r="AH737" s="12" t="str">
        <x:f>IF(AC737="PUBLIC_CANDIDATE","none",AD737)</x:f>
        <x:v>none</x:v>
      </x:c>
      <x:c r="AI737" s="12" t="str">
        <x:f>IF(AC737="PUBLIC_CANDIDATE","archive/public_candidates/"&amp;A737,"private_quarantine/"&amp;A737)</x:f>
        <x:v>archive/public_candidates/SWARM-06-H02-S04</x:v>
      </x:c>
      <x:c r="AJ737" s="12" t="str">
        <x:f>IF(AC737="PUBLIC_CANDIDATE","public by default; still not canon","private/hold; do not publish")</x:f>
        <x:v>public by default; still not canon</x:v>
      </x:c>
      <x:c r="AK737" s="12" t="str">
        <x:f>IF(AE737="prepare_public_github_candidate","add receipt/status then mirror","resolve blocker before any public GitHub action")</x:f>
        <x:v>add receipt/status then mirror</x:v>
      </x:c>
    </x:row>
    <x:row r="738">
      <x:c r="A738" s="15" t="str">
        <x:v>SWARM-06-H02-S05</x:v>
      </x:c>
      <x:c r="B738" s="15" t="str">
        <x:v>Forgekid</x:v>
      </x:c>
      <x:c r="C738" s="15" t="str">
        <x:v>Aetherforge UX builder</x:v>
      </x:c>
      <x:c r="D738" s="15" t="str">
        <x:v>Receipt Verification</x:v>
      </x:c>
      <x:c r="E738" s="15" t="str">
        <x:v>Chat</x:v>
      </x:c>
      <x:c r="F738" s="15" t="str">
        <x:v>Verify receipts for Chat — Forgekid</x:v>
      </x:c>
      <x:c r="G738" s="15" t="str">
        <x:v>quest cards / task cards / board affordances</x:v>
      </x:c>
      <x:c r="H738" s="15" t="str">
        <x:v>source path + receipt + raw/export status + claim/edge/risk delta</x:v>
      </x:c>
      <x:c r="I738" s="15" t="str">
        <x:v>packet/SWARM-06-H02-S05</x:v>
      </x:c>
      <x:c r="J738" s="15" t="str">
        <x:v>TODO</x:v>
      </x:c>
      <x:c r="K738" s="15" t="str">
        <x:v>P1</x:v>
      </x:c>
      <x:c r="L738" s="15" t="str">
        <x:v>Done only when evidence is logged, contradiction search is noted, and boundary stamp remains non-canon unless ratified</x:v>
      </x:c>
      <x:c r="M738" s="15" t="str">
        <x:v>candidate / staging-only / not canon / not deployed / authority none</x:v>
      </x:c>
      <x:c r="N738" s="15" t="str">
        <x:v>Dispatch to Forgekid: complete Receipt Verification x Chat; return deltas only, receipts required.</x:v>
      </x:c>
      <x:c r="O738" s="15" t="str">
        <x:v>AF-KG-H02-S05</x:v>
      </x:c>
      <x:c r="P738" s="15" t="str">
        <x:v>Unverified</x:v>
      </x:c>
      <x:c r="Q738" s="15" t="str">
        <x:v>Not checked</x:v>
      </x:c>
      <x:c r="R738" s="15" t="str"/>
      <x:c r="S738" s="15" t="str"/>
      <x:c r="T738" s="15" t="str">
        <x:v>Log first source path or blocker</x:v>
      </x:c>
      <x:c r="U738" s="12" t="str">
        <x:f>IF(OR(P738="Unverified",Q738="Not checked"),"BLOCKED_PENDING_RECEIPT","READY_FOR_REVIEW")</x:f>
        <x:v>BLOCKED_PENDING_RECEIPT</x:v>
      </x:c>
      <x:c r="V738" s="12" t="str">
        <x:f>IF(J738="DONE","RETURNED",IF(U738="BLOCKED_PENDING_RECEIPT","SOURCE_TOUCH_REQUIRED","IN_PROGRESS"))</x:f>
        <x:v>SOURCE_TOUCH_REQUIRED</x:v>
      </x:c>
      <x:c r="W738" s="12" t="str">
        <x:f>IF(P738="Unverified","missing_receipt","receipt_logged")</x:f>
        <x:v>missing_receipt</x:v>
      </x:c>
      <x:c r="X738" s="12" t="str">
        <x:f>IF(Q738="Not checked","raw_status_missing","raw_status_logged")</x:f>
        <x:v>raw_status_missing</x:v>
      </x:c>
      <x:c r="Y738" s="12" t="str">
        <x:f>IF(U738="BLOCKED_PENDING_RECEIPT","Log source path or blocker; do not promote","Route to review lane")</x:f>
        <x:v>Log source path or blocker; do not promote</x:v>
      </x:c>
      <x:c r="Z738" s="12" t="str">
        <x:f>IF(K738="P0","Primary seat + Hashlight/Lucerna","Seat lane")</x:f>
        <x:v>Seat lane</x:v>
      </x:c>
      <x:c r="AA738" s="12" t="str">
        <x:f>IF(R738="","no_claim_delta","claim_delta_present")</x:f>
        <x:v>no_claim_delta</x:v>
      </x:c>
      <x:c r="AB738" s="12" t="str">
        <x:f>IF(S738="","no_contradiction_delta","contradiction_delta_present")</x:f>
        <x:v>no_contradiction_delta</x:v>
      </x:c>
      <x:c r="AC738" s="12" t="str">
        <x:f>IF(OR(ISNUMBER(SEARCH("hacker",LOWER(F738&amp;" "&amp;H738&amp;" "&amp;I738&amp;" "&amp;M738&amp;" "&amp;N738&amp;" "&amp;T738))),ISNUMBER(SEARCH("hacking",LOWER(F738&amp;" "&amp;H738&amp;" "&amp;I738&amp;" "&amp;M738&amp;" "&amp;N738&amp;" "&amp;T738))),ISNUMBER(SEARCH("bank",LOWER(F738&amp;" "&amp;H738&amp;" "&amp;I738&amp;" "&amp;M738&amp;" "&amp;N738&amp;" "&amp;T738))),ISNUMBER(SEARCH("banking",LOWER(F738&amp;" "&amp;H738&amp;" "&amp;I738&amp;" "&amp;M738&amp;" "&amp;N738&amp;" "&amp;T738)))),"PRIVATE_QUARANTINE",IF(OR(ISNUMBER(SEARCH("treasury",LOWER(F738&amp;" "&amp;H738&amp;" "&amp;I738&amp;" "&amp;M738&amp;" "&amp;N738&amp;" "&amp;T738))),ISNUMBER(SEARCH("debt",LOWER(F738&amp;" "&amp;H738&amp;" "&amp;I738&amp;" "&amp;M738&amp;" "&amp;N738&amp;" "&amp;T738))),ISNUMBER(SEARCH("bond",LOWER(F738&amp;" "&amp;H738&amp;" "&amp;I738&amp;" "&amp;M738&amp;" "&amp;N738&amp;" "&amp;T738))),ISNUMBER(SEARCH("transaction",LOWER(F738&amp;" "&amp;H738&amp;" "&amp;I738&amp;" "&amp;M738&amp;" "&amp;N738&amp;" "&amp;T738)))),"PRIVATE_REVIEW","PUBLIC_CANDIDATE"))</x:f>
        <x:v>PUBLIC_CANDIDATE</x:v>
      </x:c>
      <x:c r="AD738" s="12" t="str">
        <x:f>IF(AC738="PRIVATE_QUARANTINE","hacker_or_bank_trigger",IF(AC738="PRIVATE_REVIEW","finance_risk_trigger","none"))</x:f>
        <x:v>none</x:v>
      </x:c>
      <x:c r="AE738" s="12" t="str">
        <x:f>IF(AC738="PUBLIC_CANDIDATE","prepare_public_github_candidate",IF(AC738="PRIVATE_REVIEW","hold_for_private_review","quarantine_private_do_not_publish"))</x:f>
        <x:v>prepare_public_github_candidate</x:v>
      </x:c>
      <x:c r="AF738" s="12" t="str">
        <x:f>IF(AC738="PUBLIC_CANDIDATE","TIDELOCK + Lucerna",IF(AC738="PRIVATE_REVIEW","AtlasBrain + Lucerna","TIDELOCK + Lucerna + Human-root"))</x:f>
        <x:v>TIDELOCK + Lucerna</x:v>
      </x:c>
      <x:c r="AG738" s="12" t="str">
        <x:f>IF(AND(AC738="PUBLIC_CANDIDATE",U738&lt;&gt;"BLOCKED_PENDING_RECEIPT"),"READY_AFTER_RECEIPT","NOT_READY")</x:f>
        <x:v>NOT_READY</x:v>
      </x:c>
      <x:c r="AH738" s="12" t="str">
        <x:f>IF(AC738="PUBLIC_CANDIDATE","none",AD738)</x:f>
        <x:v>none</x:v>
      </x:c>
      <x:c r="AI738" s="12" t="str">
        <x:f>IF(AC738="PUBLIC_CANDIDATE","archive/public_candidates/"&amp;A738,"private_quarantine/"&amp;A738)</x:f>
        <x:v>archive/public_candidates/SWARM-06-H02-S05</x:v>
      </x:c>
      <x:c r="AJ738" s="12" t="str">
        <x:f>IF(AC738="PUBLIC_CANDIDATE","public by default; still not canon","private/hold; do not publish")</x:f>
        <x:v>public by default; still not canon</x:v>
      </x:c>
      <x:c r="AK738" s="12" t="str">
        <x:f>IF(AE738="prepare_public_github_candidate","add receipt/status then mirror","resolve blocker before any public GitHub action")</x:f>
        <x:v>add receipt/status then mirror</x:v>
      </x:c>
    </x:row>
    <x:row r="739">
      <x:c r="A739" s="15" t="str">
        <x:v>SWARM-06-H02-S06</x:v>
      </x:c>
      <x:c r="B739" s="15" t="str">
        <x:v>Forgekid</x:v>
      </x:c>
      <x:c r="C739" s="15" t="str">
        <x:v>Aetherforge UX builder</x:v>
      </x:c>
      <x:c r="D739" s="15" t="str">
        <x:v>Receipt Verification</x:v>
      </x:c>
      <x:c r="E739" s="15" t="str">
        <x:v>External Web</x:v>
      </x:c>
      <x:c r="F739" s="15" t="str">
        <x:v>Verify receipts for External Web — Forgekid</x:v>
      </x:c>
      <x:c r="G739" s="15" t="str">
        <x:v>quest cards / task cards / board affordances</x:v>
      </x:c>
      <x:c r="H739" s="15" t="str">
        <x:v>source path + receipt + raw/export status + claim/edge/risk delta</x:v>
      </x:c>
      <x:c r="I739" s="15" t="str">
        <x:v>packet/SWARM-06-H02-S06</x:v>
      </x:c>
      <x:c r="J739" s="15" t="str">
        <x:v>TODO</x:v>
      </x:c>
      <x:c r="K739" s="15" t="str">
        <x:v>P1</x:v>
      </x:c>
      <x:c r="L739" s="15" t="str">
        <x:v>Done only when evidence is logged, contradiction search is noted, and boundary stamp remains non-canon unless ratified</x:v>
      </x:c>
      <x:c r="M739" s="15" t="str">
        <x:v>candidate / staging-only / not canon / not deployed / authority none</x:v>
      </x:c>
      <x:c r="N739" s="15" t="str">
        <x:v>Dispatch to Forgekid: complete Receipt Verification x External Web; return deltas only, receipts required.</x:v>
      </x:c>
      <x:c r="O739" s="15" t="str">
        <x:v>AF-KG-H02-S06</x:v>
      </x:c>
      <x:c r="P739" s="15" t="str">
        <x:v>Unverified</x:v>
      </x:c>
      <x:c r="Q739" s="15" t="str">
        <x:v>Not checked</x:v>
      </x:c>
      <x:c r="R739" s="15" t="str"/>
      <x:c r="S739" s="15" t="str"/>
      <x:c r="T739" s="15" t="str">
        <x:v>Log first source path or blocker</x:v>
      </x:c>
      <x:c r="U739" s="12" t="str">
        <x:f>IF(OR(P739="Unverified",Q739="Not checked"),"BLOCKED_PENDING_RECEIPT","READY_FOR_REVIEW")</x:f>
        <x:v>BLOCKED_PENDING_RECEIPT</x:v>
      </x:c>
      <x:c r="V739" s="12" t="str">
        <x:f>IF(J739="DONE","RETURNED",IF(U739="BLOCKED_PENDING_RECEIPT","SOURCE_TOUCH_REQUIRED","IN_PROGRESS"))</x:f>
        <x:v>SOURCE_TOUCH_REQUIRED</x:v>
      </x:c>
      <x:c r="W739" s="12" t="str">
        <x:f>IF(P739="Unverified","missing_receipt","receipt_logged")</x:f>
        <x:v>missing_receipt</x:v>
      </x:c>
      <x:c r="X739" s="12" t="str">
        <x:f>IF(Q739="Not checked","raw_status_missing","raw_status_logged")</x:f>
        <x:v>raw_status_missing</x:v>
      </x:c>
      <x:c r="Y739" s="12" t="str">
        <x:f>IF(U739="BLOCKED_PENDING_RECEIPT","Log source path or blocker; do not promote","Route to review lane")</x:f>
        <x:v>Log source path or blocker; do not promote</x:v>
      </x:c>
      <x:c r="Z739" s="12" t="str">
        <x:f>IF(K739="P0","Primary seat + Hashlight/Lucerna","Seat lane")</x:f>
        <x:v>Seat lane</x:v>
      </x:c>
      <x:c r="AA739" s="12" t="str">
        <x:f>IF(R739="","no_claim_delta","claim_delta_present")</x:f>
        <x:v>no_claim_delta</x:v>
      </x:c>
      <x:c r="AB739" s="12" t="str">
        <x:f>IF(S739="","no_contradiction_delta","contradiction_delta_present")</x:f>
        <x:v>no_contradiction_delta</x:v>
      </x:c>
      <x:c r="AC739" s="12" t="str">
        <x:f>IF(OR(ISNUMBER(SEARCH("hacker",LOWER(F739&amp;" "&amp;H739&amp;" "&amp;I739&amp;" "&amp;M739&amp;" "&amp;N739&amp;" "&amp;T739))),ISNUMBER(SEARCH("hacking",LOWER(F739&amp;" "&amp;H739&amp;" "&amp;I739&amp;" "&amp;M739&amp;" "&amp;N739&amp;" "&amp;T739))),ISNUMBER(SEARCH("bank",LOWER(F739&amp;" "&amp;H739&amp;" "&amp;I739&amp;" "&amp;M739&amp;" "&amp;N739&amp;" "&amp;T739))),ISNUMBER(SEARCH("banking",LOWER(F739&amp;" "&amp;H739&amp;" "&amp;I739&amp;" "&amp;M739&amp;" "&amp;N739&amp;" "&amp;T739)))),"PRIVATE_QUARANTINE",IF(OR(ISNUMBER(SEARCH("treasury",LOWER(F739&amp;" "&amp;H739&amp;" "&amp;I739&amp;" "&amp;M739&amp;" "&amp;N739&amp;" "&amp;T739))),ISNUMBER(SEARCH("debt",LOWER(F739&amp;" "&amp;H739&amp;" "&amp;I739&amp;" "&amp;M739&amp;" "&amp;N739&amp;" "&amp;T739))),ISNUMBER(SEARCH("bond",LOWER(F739&amp;" "&amp;H739&amp;" "&amp;I739&amp;" "&amp;M739&amp;" "&amp;N739&amp;" "&amp;T739))),ISNUMBER(SEARCH("transaction",LOWER(F739&amp;" "&amp;H739&amp;" "&amp;I739&amp;" "&amp;M739&amp;" "&amp;N739&amp;" "&amp;T739)))),"PRIVATE_REVIEW","PUBLIC_CANDIDATE"))</x:f>
        <x:v>PUBLIC_CANDIDATE</x:v>
      </x:c>
      <x:c r="AD739" s="12" t="str">
        <x:f>IF(AC739="PRIVATE_QUARANTINE","hacker_or_bank_trigger",IF(AC739="PRIVATE_REVIEW","finance_risk_trigger","none"))</x:f>
        <x:v>none</x:v>
      </x:c>
      <x:c r="AE739" s="12" t="str">
        <x:f>IF(AC739="PUBLIC_CANDIDATE","prepare_public_github_candidate",IF(AC739="PRIVATE_REVIEW","hold_for_private_review","quarantine_private_do_not_publish"))</x:f>
        <x:v>prepare_public_github_candidate</x:v>
      </x:c>
      <x:c r="AF739" s="12" t="str">
        <x:f>IF(AC739="PUBLIC_CANDIDATE","TIDELOCK + Lucerna",IF(AC739="PRIVATE_REVIEW","AtlasBrain + Lucerna","TIDELOCK + Lucerna + Human-root"))</x:f>
        <x:v>TIDELOCK + Lucerna</x:v>
      </x:c>
      <x:c r="AG739" s="12" t="str">
        <x:f>IF(AND(AC739="PUBLIC_CANDIDATE",U739&lt;&gt;"BLOCKED_PENDING_RECEIPT"),"READY_AFTER_RECEIPT","NOT_READY")</x:f>
        <x:v>NOT_READY</x:v>
      </x:c>
      <x:c r="AH739" s="12" t="str">
        <x:f>IF(AC739="PUBLIC_CANDIDATE","none",AD739)</x:f>
        <x:v>none</x:v>
      </x:c>
      <x:c r="AI739" s="12" t="str">
        <x:f>IF(AC739="PUBLIC_CANDIDATE","archive/public_candidates/"&amp;A739,"private_quarantine/"&amp;A739)</x:f>
        <x:v>archive/public_candidates/SWARM-06-H02-S06</x:v>
      </x:c>
      <x:c r="AJ739" s="12" t="str">
        <x:f>IF(AC739="PUBLIC_CANDIDATE","public by default; still not canon","private/hold; do not publish")</x:f>
        <x:v>public by default; still not canon</x:v>
      </x:c>
      <x:c r="AK739" s="12" t="str">
        <x:f>IF(AE739="prepare_public_github_candidate","add receipt/status then mirror","resolve blocker before any public GitHub action")</x:f>
        <x:v>add receipt/status then mirror</x:v>
      </x:c>
    </x:row>
    <x:row r="740">
      <x:c r="A740" s="15" t="str">
        <x:v>SWARM-06-H02-S07</x:v>
      </x:c>
      <x:c r="B740" s="15" t="str">
        <x:v>Forgekid</x:v>
      </x:c>
      <x:c r="C740" s="15" t="str">
        <x:v>Aetherforge UX builder</x:v>
      </x:c>
      <x:c r="D740" s="15" t="str">
        <x:v>Receipt Verification</x:v>
      </x:c>
      <x:c r="E740" s="15" t="str">
        <x:v>Planetarium</x:v>
      </x:c>
      <x:c r="F740" s="15" t="str">
        <x:v>Verify receipts for Planetarium — Forgekid</x:v>
      </x:c>
      <x:c r="G740" s="15" t="str">
        <x:v>quest cards / task cards / board affordances</x:v>
      </x:c>
      <x:c r="H740" s="15" t="str">
        <x:v>source path + receipt + raw/export status + claim/edge/risk delta</x:v>
      </x:c>
      <x:c r="I740" s="15" t="str">
        <x:v>packet/SWARM-06-H02-S07</x:v>
      </x:c>
      <x:c r="J740" s="15" t="str">
        <x:v>TODO</x:v>
      </x:c>
      <x:c r="K740" s="15" t="str">
        <x:v>P1</x:v>
      </x:c>
      <x:c r="L740" s="15" t="str">
        <x:v>Done only when evidence is logged, contradiction search is noted, and boundary stamp remains non-canon unless ratified</x:v>
      </x:c>
      <x:c r="M740" s="15" t="str">
        <x:v>candidate / staging-only / not canon / not deployed / authority none</x:v>
      </x:c>
      <x:c r="N740" s="15" t="str">
        <x:v>Dispatch to Forgekid: complete Receipt Verification x Planetarium; return deltas only, receipts required.</x:v>
      </x:c>
      <x:c r="O740" s="15" t="str">
        <x:v>AF-KG-H02-S07</x:v>
      </x:c>
      <x:c r="P740" s="15" t="str">
        <x:v>Unverified</x:v>
      </x:c>
      <x:c r="Q740" s="15" t="str">
        <x:v>Not checked</x:v>
      </x:c>
      <x:c r="R740" s="15" t="str"/>
      <x:c r="S740" s="15" t="str"/>
      <x:c r="T740" s="15" t="str">
        <x:v>Log first source path or blocker</x:v>
      </x:c>
      <x:c r="U740" s="12" t="str">
        <x:f>IF(OR(P740="Unverified",Q740="Not checked"),"BLOCKED_PENDING_RECEIPT","READY_FOR_REVIEW")</x:f>
        <x:v>BLOCKED_PENDING_RECEIPT</x:v>
      </x:c>
      <x:c r="V740" s="12" t="str">
        <x:f>IF(J740="DONE","RETURNED",IF(U740="BLOCKED_PENDING_RECEIPT","SOURCE_TOUCH_REQUIRED","IN_PROGRESS"))</x:f>
        <x:v>SOURCE_TOUCH_REQUIRED</x:v>
      </x:c>
      <x:c r="W740" s="12" t="str">
        <x:f>IF(P740="Unverified","missing_receipt","receipt_logged")</x:f>
        <x:v>missing_receipt</x:v>
      </x:c>
      <x:c r="X740" s="12" t="str">
        <x:f>IF(Q740="Not checked","raw_status_missing","raw_status_logged")</x:f>
        <x:v>raw_status_missing</x:v>
      </x:c>
      <x:c r="Y740" s="12" t="str">
        <x:f>IF(U740="BLOCKED_PENDING_RECEIPT","Log source path or blocker; do not promote","Route to review lane")</x:f>
        <x:v>Log source path or blocker; do not promote</x:v>
      </x:c>
      <x:c r="Z740" s="12" t="str">
        <x:f>IF(K740="P0","Primary seat + Hashlight/Lucerna","Seat lane")</x:f>
        <x:v>Seat lane</x:v>
      </x:c>
      <x:c r="AA740" s="12" t="str">
        <x:f>IF(R740="","no_claim_delta","claim_delta_present")</x:f>
        <x:v>no_claim_delta</x:v>
      </x:c>
      <x:c r="AB740" s="12" t="str">
        <x:f>IF(S740="","no_contradiction_delta","contradiction_delta_present")</x:f>
        <x:v>no_contradiction_delta</x:v>
      </x:c>
      <x:c r="AC740" s="12" t="str">
        <x:f>IF(OR(ISNUMBER(SEARCH("hacker",LOWER(F740&amp;" "&amp;H740&amp;" "&amp;I740&amp;" "&amp;M740&amp;" "&amp;N740&amp;" "&amp;T740))),ISNUMBER(SEARCH("hacking",LOWER(F740&amp;" "&amp;H740&amp;" "&amp;I740&amp;" "&amp;M740&amp;" "&amp;N740&amp;" "&amp;T740))),ISNUMBER(SEARCH("bank",LOWER(F740&amp;" "&amp;H740&amp;" "&amp;I740&amp;" "&amp;M740&amp;" "&amp;N740&amp;" "&amp;T740))),ISNUMBER(SEARCH("banking",LOWER(F740&amp;" "&amp;H740&amp;" "&amp;I740&amp;" "&amp;M740&amp;" "&amp;N740&amp;" "&amp;T740)))),"PRIVATE_QUARANTINE",IF(OR(ISNUMBER(SEARCH("treasury",LOWER(F740&amp;" "&amp;H740&amp;" "&amp;I740&amp;" "&amp;M740&amp;" "&amp;N740&amp;" "&amp;T740))),ISNUMBER(SEARCH("debt",LOWER(F740&amp;" "&amp;H740&amp;" "&amp;I740&amp;" "&amp;M740&amp;" "&amp;N740&amp;" "&amp;T740))),ISNUMBER(SEARCH("bond",LOWER(F740&amp;" "&amp;H740&amp;" "&amp;I740&amp;" "&amp;M740&amp;" "&amp;N740&amp;" "&amp;T740))),ISNUMBER(SEARCH("transaction",LOWER(F740&amp;" "&amp;H740&amp;" "&amp;I740&amp;" "&amp;M740&amp;" "&amp;N740&amp;" "&amp;T740)))),"PRIVATE_REVIEW","PUBLIC_CANDIDATE"))</x:f>
        <x:v>PUBLIC_CANDIDATE</x:v>
      </x:c>
      <x:c r="AD740" s="12" t="str">
        <x:f>IF(AC740="PRIVATE_QUARANTINE","hacker_or_bank_trigger",IF(AC740="PRIVATE_REVIEW","finance_risk_trigger","none"))</x:f>
        <x:v>none</x:v>
      </x:c>
      <x:c r="AE740" s="12" t="str">
        <x:f>IF(AC740="PUBLIC_CANDIDATE","prepare_public_github_candidate",IF(AC740="PRIVATE_REVIEW","hold_for_private_review","quarantine_private_do_not_publish"))</x:f>
        <x:v>prepare_public_github_candidate</x:v>
      </x:c>
      <x:c r="AF740" s="12" t="str">
        <x:f>IF(AC740="PUBLIC_CANDIDATE","TIDELOCK + Lucerna",IF(AC740="PRIVATE_REVIEW","AtlasBrain + Lucerna","TIDELOCK + Lucerna + Human-root"))</x:f>
        <x:v>TIDELOCK + Lucerna</x:v>
      </x:c>
      <x:c r="AG740" s="12" t="str">
        <x:f>IF(AND(AC740="PUBLIC_CANDIDATE",U740&lt;&gt;"BLOCKED_PENDING_RECEIPT"),"READY_AFTER_RECEIPT","NOT_READY")</x:f>
        <x:v>NOT_READY</x:v>
      </x:c>
      <x:c r="AH740" s="12" t="str">
        <x:f>IF(AC740="PUBLIC_CANDIDATE","none",AD740)</x:f>
        <x:v>none</x:v>
      </x:c>
      <x:c r="AI740" s="12" t="str">
        <x:f>IF(AC740="PUBLIC_CANDIDATE","archive/public_candidates/"&amp;A740,"private_quarantine/"&amp;A740)</x:f>
        <x:v>archive/public_candidates/SWARM-06-H02-S07</x:v>
      </x:c>
      <x:c r="AJ740" s="12" t="str">
        <x:f>IF(AC740="PUBLIC_CANDIDATE","public by default; still not canon","private/hold; do not publish")</x:f>
        <x:v>public by default; still not canon</x:v>
      </x:c>
      <x:c r="AK740" s="12" t="str">
        <x:f>IF(AE740="prepare_public_github_candidate","add receipt/status then mirror","resolve blocker before any public GitHub action")</x:f>
        <x:v>add receipt/status then mirror</x:v>
      </x:c>
    </x:row>
    <x:row r="741">
      <x:c r="A741" s="15" t="str">
        <x:v>SWARM-06-H02-S08</x:v>
      </x:c>
      <x:c r="B741" s="15" t="str">
        <x:v>Forgekid</x:v>
      </x:c>
      <x:c r="C741" s="15" t="str">
        <x:v>Aetherforge UX builder</x:v>
      </x:c>
      <x:c r="D741" s="15" t="str">
        <x:v>Receipt Verification</x:v>
      </x:c>
      <x:c r="E741" s="15" t="str">
        <x:v>Sheldonbrain</x:v>
      </x:c>
      <x:c r="F741" s="15" t="str">
        <x:v>Verify receipts for Sheldonbrain — Forgekid</x:v>
      </x:c>
      <x:c r="G741" s="15" t="str">
        <x:v>quest cards / task cards / board affordances</x:v>
      </x:c>
      <x:c r="H741" s="15" t="str">
        <x:v>source path + receipt + raw/export status + claim/edge/risk delta</x:v>
      </x:c>
      <x:c r="I741" s="15" t="str">
        <x:v>packet/SWARM-06-H02-S08</x:v>
      </x:c>
      <x:c r="J741" s="15" t="str">
        <x:v>TODO</x:v>
      </x:c>
      <x:c r="K741" s="15" t="str">
        <x:v>P1</x:v>
      </x:c>
      <x:c r="L741" s="15" t="str">
        <x:v>Done only when evidence is logged, contradiction search is noted, and boundary stamp remains non-canon unless ratified</x:v>
      </x:c>
      <x:c r="M741" s="15" t="str">
        <x:v>candidate / staging-only / not canon / not deployed / authority none</x:v>
      </x:c>
      <x:c r="N741" s="15" t="str">
        <x:v>Dispatch to Forgekid: complete Receipt Verification x Sheldonbrain; return deltas only, receipts required.</x:v>
      </x:c>
      <x:c r="O741" s="15" t="str">
        <x:v>AF-KG-H02-S08</x:v>
      </x:c>
      <x:c r="P741" s="15" t="str">
        <x:v>Unverified</x:v>
      </x:c>
      <x:c r="Q741" s="15" t="str">
        <x:v>Not checked</x:v>
      </x:c>
      <x:c r="R741" s="15" t="str"/>
      <x:c r="S741" s="15" t="str"/>
      <x:c r="T741" s="15" t="str">
        <x:v>Log first source path or blocker</x:v>
      </x:c>
      <x:c r="U741" s="12" t="str">
        <x:f>IF(OR(P741="Unverified",Q741="Not checked"),"BLOCKED_PENDING_RECEIPT","READY_FOR_REVIEW")</x:f>
        <x:v>BLOCKED_PENDING_RECEIPT</x:v>
      </x:c>
      <x:c r="V741" s="12" t="str">
        <x:f>IF(J741="DONE","RETURNED",IF(U741="BLOCKED_PENDING_RECEIPT","SOURCE_TOUCH_REQUIRED","IN_PROGRESS"))</x:f>
        <x:v>SOURCE_TOUCH_REQUIRED</x:v>
      </x:c>
      <x:c r="W741" s="12" t="str">
        <x:f>IF(P741="Unverified","missing_receipt","receipt_logged")</x:f>
        <x:v>missing_receipt</x:v>
      </x:c>
      <x:c r="X741" s="12" t="str">
        <x:f>IF(Q741="Not checked","raw_status_missing","raw_status_logged")</x:f>
        <x:v>raw_status_missing</x:v>
      </x:c>
      <x:c r="Y741" s="12" t="str">
        <x:f>IF(U741="BLOCKED_PENDING_RECEIPT","Log source path or blocker; do not promote","Route to review lane")</x:f>
        <x:v>Log source path or blocker; do not promote</x:v>
      </x:c>
      <x:c r="Z741" s="12" t="str">
        <x:f>IF(K741="P0","Primary seat + Hashlight/Lucerna","Seat lane")</x:f>
        <x:v>Seat lane</x:v>
      </x:c>
      <x:c r="AA741" s="12" t="str">
        <x:f>IF(R741="","no_claim_delta","claim_delta_present")</x:f>
        <x:v>no_claim_delta</x:v>
      </x:c>
      <x:c r="AB741" s="12" t="str">
        <x:f>IF(S741="","no_contradiction_delta","contradiction_delta_present")</x:f>
        <x:v>no_contradiction_delta</x:v>
      </x:c>
      <x:c r="AC741" s="12" t="str">
        <x:f>IF(OR(ISNUMBER(SEARCH("hacker",LOWER(F741&amp;" "&amp;H741&amp;" "&amp;I741&amp;" "&amp;M741&amp;" "&amp;N741&amp;" "&amp;T741))),ISNUMBER(SEARCH("hacking",LOWER(F741&amp;" "&amp;H741&amp;" "&amp;I741&amp;" "&amp;M741&amp;" "&amp;N741&amp;" "&amp;T741))),ISNUMBER(SEARCH("bank",LOWER(F741&amp;" "&amp;H741&amp;" "&amp;I741&amp;" "&amp;M741&amp;" "&amp;N741&amp;" "&amp;T741))),ISNUMBER(SEARCH("banking",LOWER(F741&amp;" "&amp;H741&amp;" "&amp;I741&amp;" "&amp;M741&amp;" "&amp;N741&amp;" "&amp;T741)))),"PRIVATE_QUARANTINE",IF(OR(ISNUMBER(SEARCH("treasury",LOWER(F741&amp;" "&amp;H741&amp;" "&amp;I741&amp;" "&amp;M741&amp;" "&amp;N741&amp;" "&amp;T741))),ISNUMBER(SEARCH("debt",LOWER(F741&amp;" "&amp;H741&amp;" "&amp;I741&amp;" "&amp;M741&amp;" "&amp;N741&amp;" "&amp;T741))),ISNUMBER(SEARCH("bond",LOWER(F741&amp;" "&amp;H741&amp;" "&amp;I741&amp;" "&amp;M741&amp;" "&amp;N741&amp;" "&amp;T741))),ISNUMBER(SEARCH("transaction",LOWER(F741&amp;" "&amp;H741&amp;" "&amp;I741&amp;" "&amp;M741&amp;" "&amp;N741&amp;" "&amp;T741)))),"PRIVATE_REVIEW","PUBLIC_CANDIDATE"))</x:f>
        <x:v>PUBLIC_CANDIDATE</x:v>
      </x:c>
      <x:c r="AD741" s="12" t="str">
        <x:f>IF(AC741="PRIVATE_QUARANTINE","hacker_or_bank_trigger",IF(AC741="PRIVATE_REVIEW","finance_risk_trigger","none"))</x:f>
        <x:v>none</x:v>
      </x:c>
      <x:c r="AE741" s="12" t="str">
        <x:f>IF(AC741="PUBLIC_CANDIDATE","prepare_public_github_candidate",IF(AC741="PRIVATE_REVIEW","hold_for_private_review","quarantine_private_do_not_publish"))</x:f>
        <x:v>prepare_public_github_candidate</x:v>
      </x:c>
      <x:c r="AF741" s="12" t="str">
        <x:f>IF(AC741="PUBLIC_CANDIDATE","TIDELOCK + Lucerna",IF(AC741="PRIVATE_REVIEW","AtlasBrain + Lucerna","TIDELOCK + Lucerna + Human-root"))</x:f>
        <x:v>TIDELOCK + Lucerna</x:v>
      </x:c>
      <x:c r="AG741" s="12" t="str">
        <x:f>IF(AND(AC741="PUBLIC_CANDIDATE",U741&lt;&gt;"BLOCKED_PENDING_RECEIPT"),"READY_AFTER_RECEIPT","NOT_READY")</x:f>
        <x:v>NOT_READY</x:v>
      </x:c>
      <x:c r="AH741" s="12" t="str">
        <x:f>IF(AC741="PUBLIC_CANDIDATE","none",AD741)</x:f>
        <x:v>none</x:v>
      </x:c>
      <x:c r="AI741" s="12" t="str">
        <x:f>IF(AC741="PUBLIC_CANDIDATE","archive/public_candidates/"&amp;A741,"private_quarantine/"&amp;A741)</x:f>
        <x:v>archive/public_candidates/SWARM-06-H02-S08</x:v>
      </x:c>
      <x:c r="AJ741" s="12" t="str">
        <x:f>IF(AC741="PUBLIC_CANDIDATE","public by default; still not canon","private/hold; do not publish")</x:f>
        <x:v>public by default; still not canon</x:v>
      </x:c>
      <x:c r="AK741" s="12" t="str">
        <x:f>IF(AE741="prepare_public_github_candidate","add receipt/status then mirror","resolve blocker before any public GitHub action")</x:f>
        <x:v>add receipt/status then mirror</x:v>
      </x:c>
    </x:row>
    <x:row r="742">
      <x:c r="A742" s="15" t="str">
        <x:v>SWARM-06-H02-S09</x:v>
      </x:c>
      <x:c r="B742" s="15" t="str">
        <x:v>Forgekid</x:v>
      </x:c>
      <x:c r="C742" s="15" t="str">
        <x:v>Aetherforge UX builder</x:v>
      </x:c>
      <x:c r="D742" s="15" t="str">
        <x:v>Receipt Verification</x:v>
      </x:c>
      <x:c r="E742" s="15" t="str">
        <x:v>Aetherforge</x:v>
      </x:c>
      <x:c r="F742" s="15" t="str">
        <x:v>Verify receipts for Aetherforge — Forgekid</x:v>
      </x:c>
      <x:c r="G742" s="15" t="str">
        <x:v>quest cards / task cards / board affordances</x:v>
      </x:c>
      <x:c r="H742" s="15" t="str">
        <x:v>source path + receipt + raw/export status + claim/edge/risk delta</x:v>
      </x:c>
      <x:c r="I742" s="15" t="str">
        <x:v>packet/SWARM-06-H02-S09</x:v>
      </x:c>
      <x:c r="J742" s="15" t="str">
        <x:v>TODO</x:v>
      </x:c>
      <x:c r="K742" s="15" t="str">
        <x:v>P2</x:v>
      </x:c>
      <x:c r="L742" s="15" t="str">
        <x:v>Done only when evidence is logged, contradiction search is noted, and boundary stamp remains non-canon unless ratified</x:v>
      </x:c>
      <x:c r="M742" s="15" t="str">
        <x:v>candidate / staging-only / not canon / not deployed / authority none</x:v>
      </x:c>
      <x:c r="N742" s="15" t="str">
        <x:v>Dispatch to Forgekid: complete Receipt Verification x Aetherforge; return deltas only, receipts required.</x:v>
      </x:c>
      <x:c r="O742" s="15" t="str">
        <x:v>AF-KG-H02-S09</x:v>
      </x:c>
      <x:c r="P742" s="15" t="str">
        <x:v>Unverified</x:v>
      </x:c>
      <x:c r="Q742" s="15" t="str">
        <x:v>Not checked</x:v>
      </x:c>
      <x:c r="R742" s="15" t="str"/>
      <x:c r="S742" s="15" t="str"/>
      <x:c r="T742" s="15" t="str">
        <x:v>Log first source path or blocker</x:v>
      </x:c>
      <x:c r="U742" s="12" t="str">
        <x:f>IF(OR(P742="Unverified",Q742="Not checked"),"BLOCKED_PENDING_RECEIPT","READY_FOR_REVIEW")</x:f>
        <x:v>BLOCKED_PENDING_RECEIPT</x:v>
      </x:c>
      <x:c r="V742" s="12" t="str">
        <x:f>IF(J742="DONE","RETURNED",IF(U742="BLOCKED_PENDING_RECEIPT","SOURCE_TOUCH_REQUIRED","IN_PROGRESS"))</x:f>
        <x:v>SOURCE_TOUCH_REQUIRED</x:v>
      </x:c>
      <x:c r="W742" s="12" t="str">
        <x:f>IF(P742="Unverified","missing_receipt","receipt_logged")</x:f>
        <x:v>missing_receipt</x:v>
      </x:c>
      <x:c r="X742" s="12" t="str">
        <x:f>IF(Q742="Not checked","raw_status_missing","raw_status_logged")</x:f>
        <x:v>raw_status_missing</x:v>
      </x:c>
      <x:c r="Y742" s="12" t="str">
        <x:f>IF(U742="BLOCKED_PENDING_RECEIPT","Log source path or blocker; do not promote","Route to review lane")</x:f>
        <x:v>Log source path or blocker; do not promote</x:v>
      </x:c>
      <x:c r="Z742" s="12" t="str">
        <x:f>IF(K742="P0","Primary seat + Hashlight/Lucerna","Seat lane")</x:f>
        <x:v>Seat lane</x:v>
      </x:c>
      <x:c r="AA742" s="12" t="str">
        <x:f>IF(R742="","no_claim_delta","claim_delta_present")</x:f>
        <x:v>no_claim_delta</x:v>
      </x:c>
      <x:c r="AB742" s="12" t="str">
        <x:f>IF(S742="","no_contradiction_delta","contradiction_delta_present")</x:f>
        <x:v>no_contradiction_delta</x:v>
      </x:c>
      <x:c r="AC742" s="12" t="str">
        <x:f>IF(OR(ISNUMBER(SEARCH("hacker",LOWER(F742&amp;" "&amp;H742&amp;" "&amp;I742&amp;" "&amp;M742&amp;" "&amp;N742&amp;" "&amp;T742))),ISNUMBER(SEARCH("hacking",LOWER(F742&amp;" "&amp;H742&amp;" "&amp;I742&amp;" "&amp;M742&amp;" "&amp;N742&amp;" "&amp;T742))),ISNUMBER(SEARCH("bank",LOWER(F742&amp;" "&amp;H742&amp;" "&amp;I742&amp;" "&amp;M742&amp;" "&amp;N742&amp;" "&amp;T742))),ISNUMBER(SEARCH("banking",LOWER(F742&amp;" "&amp;H742&amp;" "&amp;I742&amp;" "&amp;M742&amp;" "&amp;N742&amp;" "&amp;T742)))),"PRIVATE_QUARANTINE",IF(OR(ISNUMBER(SEARCH("treasury",LOWER(F742&amp;" "&amp;H742&amp;" "&amp;I742&amp;" "&amp;M742&amp;" "&amp;N742&amp;" "&amp;T742))),ISNUMBER(SEARCH("debt",LOWER(F742&amp;" "&amp;H742&amp;" "&amp;I742&amp;" "&amp;M742&amp;" "&amp;N742&amp;" "&amp;T742))),ISNUMBER(SEARCH("bond",LOWER(F742&amp;" "&amp;H742&amp;" "&amp;I742&amp;" "&amp;M742&amp;" "&amp;N742&amp;" "&amp;T742))),ISNUMBER(SEARCH("transaction",LOWER(F742&amp;" "&amp;H742&amp;" "&amp;I742&amp;" "&amp;M742&amp;" "&amp;N742&amp;" "&amp;T742)))),"PRIVATE_REVIEW","PUBLIC_CANDIDATE"))</x:f>
        <x:v>PUBLIC_CANDIDATE</x:v>
      </x:c>
      <x:c r="AD742" s="12" t="str">
        <x:f>IF(AC742="PRIVATE_QUARANTINE","hacker_or_bank_trigger",IF(AC742="PRIVATE_REVIEW","finance_risk_trigger","none"))</x:f>
        <x:v>none</x:v>
      </x:c>
      <x:c r="AE742" s="12" t="str">
        <x:f>IF(AC742="PUBLIC_CANDIDATE","prepare_public_github_candidate",IF(AC742="PRIVATE_REVIEW","hold_for_private_review","quarantine_private_do_not_publish"))</x:f>
        <x:v>prepare_public_github_candidate</x:v>
      </x:c>
      <x:c r="AF742" s="12" t="str">
        <x:f>IF(AC742="PUBLIC_CANDIDATE","TIDELOCK + Lucerna",IF(AC742="PRIVATE_REVIEW","AtlasBrain + Lucerna","TIDELOCK + Lucerna + Human-root"))</x:f>
        <x:v>TIDELOCK + Lucerna</x:v>
      </x:c>
      <x:c r="AG742" s="12" t="str">
        <x:f>IF(AND(AC742="PUBLIC_CANDIDATE",U742&lt;&gt;"BLOCKED_PENDING_RECEIPT"),"READY_AFTER_RECEIPT","NOT_READY")</x:f>
        <x:v>NOT_READY</x:v>
      </x:c>
      <x:c r="AH742" s="12" t="str">
        <x:f>IF(AC742="PUBLIC_CANDIDATE","none",AD742)</x:f>
        <x:v>none</x:v>
      </x:c>
      <x:c r="AI742" s="12" t="str">
        <x:f>IF(AC742="PUBLIC_CANDIDATE","archive/public_candidates/"&amp;A742,"private_quarantine/"&amp;A742)</x:f>
        <x:v>archive/public_candidates/SWARM-06-H02-S09</x:v>
      </x:c>
      <x:c r="AJ742" s="12" t="str">
        <x:f>IF(AC742="PUBLIC_CANDIDATE","public by default; still not canon","private/hold; do not publish")</x:f>
        <x:v>public by default; still not canon</x:v>
      </x:c>
      <x:c r="AK742" s="12" t="str">
        <x:f>IF(AE742="prepare_public_github_candidate","add receipt/status then mirror","resolve blocker before any public GitHub action")</x:f>
        <x:v>add receipt/status then mirror</x:v>
      </x:c>
    </x:row>
    <x:row r="743">
      <x:c r="A743" s="15" t="str">
        <x:v>SWARM-06-H02-S10</x:v>
      </x:c>
      <x:c r="B743" s="15" t="str">
        <x:v>Forgekid</x:v>
      </x:c>
      <x:c r="C743" s="15" t="str">
        <x:v>Aetherforge UX builder</x:v>
      </x:c>
      <x:c r="D743" s="15" t="str">
        <x:v>Receipt Verification</x:v>
      </x:c>
      <x:c r="E743" s="15" t="str">
        <x:v>Human-Root</x:v>
      </x:c>
      <x:c r="F743" s="15" t="str">
        <x:v>Verify receipts for Human-Root — Forgekid</x:v>
      </x:c>
      <x:c r="G743" s="15" t="str">
        <x:v>quest cards / task cards / board affordances</x:v>
      </x:c>
      <x:c r="H743" s="15" t="str">
        <x:v>source path + receipt + raw/export status + claim/edge/risk delta</x:v>
      </x:c>
      <x:c r="I743" s="15" t="str">
        <x:v>packet/SWARM-06-H02-S10</x:v>
      </x:c>
      <x:c r="J743" s="15" t="str">
        <x:v>TODO</x:v>
      </x:c>
      <x:c r="K743" s="15" t="str">
        <x:v>P2</x:v>
      </x:c>
      <x:c r="L743" s="15" t="str">
        <x:v>Done only when evidence is logged, contradiction search is noted, and boundary stamp remains non-canon unless ratified</x:v>
      </x:c>
      <x:c r="M743" s="15" t="str">
        <x:v>candidate / staging-only / not canon / not deployed / authority none</x:v>
      </x:c>
      <x:c r="N743" s="15" t="str">
        <x:v>Dispatch to Forgekid: complete Receipt Verification x Human-Root; return deltas only, receipts required.</x:v>
      </x:c>
      <x:c r="O743" s="15" t="str">
        <x:v>AF-KG-H02-S10</x:v>
      </x:c>
      <x:c r="P743" s="15" t="str">
        <x:v>Unverified</x:v>
      </x:c>
      <x:c r="Q743" s="15" t="str">
        <x:v>Not checked</x:v>
      </x:c>
      <x:c r="R743" s="15" t="str"/>
      <x:c r="S743" s="15" t="str"/>
      <x:c r="T743" s="15" t="str">
        <x:v>Log first source path or blocker</x:v>
      </x:c>
      <x:c r="U743" s="12" t="str">
        <x:f>IF(OR(P743="Unverified",Q743="Not checked"),"BLOCKED_PENDING_RECEIPT","READY_FOR_REVIEW")</x:f>
        <x:v>BLOCKED_PENDING_RECEIPT</x:v>
      </x:c>
      <x:c r="V743" s="12" t="str">
        <x:f>IF(J743="DONE","RETURNED",IF(U743="BLOCKED_PENDING_RECEIPT","SOURCE_TOUCH_REQUIRED","IN_PROGRESS"))</x:f>
        <x:v>SOURCE_TOUCH_REQUIRED</x:v>
      </x:c>
      <x:c r="W743" s="12" t="str">
        <x:f>IF(P743="Unverified","missing_receipt","receipt_logged")</x:f>
        <x:v>missing_receipt</x:v>
      </x:c>
      <x:c r="X743" s="12" t="str">
        <x:f>IF(Q743="Not checked","raw_status_missing","raw_status_logged")</x:f>
        <x:v>raw_status_missing</x:v>
      </x:c>
      <x:c r="Y743" s="12" t="str">
        <x:f>IF(U743="BLOCKED_PENDING_RECEIPT","Log source path or blocker; do not promote","Route to review lane")</x:f>
        <x:v>Log source path or blocker; do not promote</x:v>
      </x:c>
      <x:c r="Z743" s="12" t="str">
        <x:f>IF(K743="P0","Primary seat + Hashlight/Lucerna","Seat lane")</x:f>
        <x:v>Seat lane</x:v>
      </x:c>
      <x:c r="AA743" s="12" t="str">
        <x:f>IF(R743="","no_claim_delta","claim_delta_present")</x:f>
        <x:v>no_claim_delta</x:v>
      </x:c>
      <x:c r="AB743" s="12" t="str">
        <x:f>IF(S743="","no_contradiction_delta","contradiction_delta_present")</x:f>
        <x:v>no_contradiction_delta</x:v>
      </x:c>
      <x:c r="AC743" s="12" t="str">
        <x:f>IF(OR(ISNUMBER(SEARCH("hacker",LOWER(F743&amp;" "&amp;H743&amp;" "&amp;I743&amp;" "&amp;M743&amp;" "&amp;N743&amp;" "&amp;T743))),ISNUMBER(SEARCH("hacking",LOWER(F743&amp;" "&amp;H743&amp;" "&amp;I743&amp;" "&amp;M743&amp;" "&amp;N743&amp;" "&amp;T743))),ISNUMBER(SEARCH("bank",LOWER(F743&amp;" "&amp;H743&amp;" "&amp;I743&amp;" "&amp;M743&amp;" "&amp;N743&amp;" "&amp;T743))),ISNUMBER(SEARCH("banking",LOWER(F743&amp;" "&amp;H743&amp;" "&amp;I743&amp;" "&amp;M743&amp;" "&amp;N743&amp;" "&amp;T743)))),"PRIVATE_QUARANTINE",IF(OR(ISNUMBER(SEARCH("treasury",LOWER(F743&amp;" "&amp;H743&amp;" "&amp;I743&amp;" "&amp;M743&amp;" "&amp;N743&amp;" "&amp;T743))),ISNUMBER(SEARCH("debt",LOWER(F743&amp;" "&amp;H743&amp;" "&amp;I743&amp;" "&amp;M743&amp;" "&amp;N743&amp;" "&amp;T743))),ISNUMBER(SEARCH("bond",LOWER(F743&amp;" "&amp;H743&amp;" "&amp;I743&amp;" "&amp;M743&amp;" "&amp;N743&amp;" "&amp;T743))),ISNUMBER(SEARCH("transaction",LOWER(F743&amp;" "&amp;H743&amp;" "&amp;I743&amp;" "&amp;M743&amp;" "&amp;N743&amp;" "&amp;T743)))),"PRIVATE_REVIEW","PUBLIC_CANDIDATE"))</x:f>
        <x:v>PUBLIC_CANDIDATE</x:v>
      </x:c>
      <x:c r="AD743" s="12" t="str">
        <x:f>IF(AC743="PRIVATE_QUARANTINE","hacker_or_bank_trigger",IF(AC743="PRIVATE_REVIEW","finance_risk_trigger","none"))</x:f>
        <x:v>none</x:v>
      </x:c>
      <x:c r="AE743" s="12" t="str">
        <x:f>IF(AC743="PUBLIC_CANDIDATE","prepare_public_github_candidate",IF(AC743="PRIVATE_REVIEW","hold_for_private_review","quarantine_private_do_not_publish"))</x:f>
        <x:v>prepare_public_github_candidate</x:v>
      </x:c>
      <x:c r="AF743" s="12" t="str">
        <x:f>IF(AC743="PUBLIC_CANDIDATE","TIDELOCK + Lucerna",IF(AC743="PRIVATE_REVIEW","AtlasBrain + Lucerna","TIDELOCK + Lucerna + Human-root"))</x:f>
        <x:v>TIDELOCK + Lucerna</x:v>
      </x:c>
      <x:c r="AG743" s="12" t="str">
        <x:f>IF(AND(AC743="PUBLIC_CANDIDATE",U743&lt;&gt;"BLOCKED_PENDING_RECEIPT"),"READY_AFTER_RECEIPT","NOT_READY")</x:f>
        <x:v>NOT_READY</x:v>
      </x:c>
      <x:c r="AH743" s="12" t="str">
        <x:f>IF(AC743="PUBLIC_CANDIDATE","none",AD743)</x:f>
        <x:v>none</x:v>
      </x:c>
      <x:c r="AI743" s="12" t="str">
        <x:f>IF(AC743="PUBLIC_CANDIDATE","archive/public_candidates/"&amp;A743,"private_quarantine/"&amp;A743)</x:f>
        <x:v>archive/public_candidates/SWARM-06-H02-S10</x:v>
      </x:c>
      <x:c r="AJ743" s="12" t="str">
        <x:f>IF(AC743="PUBLIC_CANDIDATE","public by default; still not canon","private/hold; do not publish")</x:f>
        <x:v>public by default; still not canon</x:v>
      </x:c>
      <x:c r="AK743" s="12" t="str">
        <x:f>IF(AE743="prepare_public_github_candidate","add receipt/status then mirror","resolve blocker before any public GitHub action")</x:f>
        <x:v>add receipt/status then mirror</x:v>
      </x:c>
    </x:row>
    <x:row r="744">
      <x:c r="A744" s="15" t="str">
        <x:v>SWARM-06-H02-S11</x:v>
      </x:c>
      <x:c r="B744" s="15" t="str">
        <x:v>Forgekid</x:v>
      </x:c>
      <x:c r="C744" s="15" t="str">
        <x:v>Aetherforge UX builder</x:v>
      </x:c>
      <x:c r="D744" s="15" t="str">
        <x:v>Receipt Verification</x:v>
      </x:c>
      <x:c r="E744" s="15" t="str">
        <x:v>Automation</x:v>
      </x:c>
      <x:c r="F744" s="15" t="str">
        <x:v>Verify receipts for Automation — Forgekid</x:v>
      </x:c>
      <x:c r="G744" s="15" t="str">
        <x:v>quest cards / task cards / board affordances</x:v>
      </x:c>
      <x:c r="H744" s="15" t="str">
        <x:v>source path + receipt + raw/export status + claim/edge/risk delta</x:v>
      </x:c>
      <x:c r="I744" s="15" t="str">
        <x:v>packet/SWARM-06-H02-S11</x:v>
      </x:c>
      <x:c r="J744" s="15" t="str">
        <x:v>TODO</x:v>
      </x:c>
      <x:c r="K744" s="15" t="str">
        <x:v>P2</x:v>
      </x:c>
      <x:c r="L744" s="15" t="str">
        <x:v>Done only when evidence is logged, contradiction search is noted, and boundary stamp remains non-canon unless ratified</x:v>
      </x:c>
      <x:c r="M744" s="15" t="str">
        <x:v>candidate / staging-only / not canon / not deployed / authority none</x:v>
      </x:c>
      <x:c r="N744" s="15" t="str">
        <x:v>Dispatch to Forgekid: complete Receipt Verification x Automation; return deltas only, receipts required.</x:v>
      </x:c>
      <x:c r="O744" s="15" t="str">
        <x:v>AF-KG-H02-S11</x:v>
      </x:c>
      <x:c r="P744" s="15" t="str">
        <x:v>Unverified</x:v>
      </x:c>
      <x:c r="Q744" s="15" t="str">
        <x:v>Not checked</x:v>
      </x:c>
      <x:c r="R744" s="15" t="str"/>
      <x:c r="S744" s="15" t="str"/>
      <x:c r="T744" s="15" t="str">
        <x:v>Log first source path or blocker</x:v>
      </x:c>
      <x:c r="U744" s="12" t="str">
        <x:f>IF(OR(P744="Unverified",Q744="Not checked"),"BLOCKED_PENDING_RECEIPT","READY_FOR_REVIEW")</x:f>
        <x:v>BLOCKED_PENDING_RECEIPT</x:v>
      </x:c>
      <x:c r="V744" s="12" t="str">
        <x:f>IF(J744="DONE","RETURNED",IF(U744="BLOCKED_PENDING_RECEIPT","SOURCE_TOUCH_REQUIRED","IN_PROGRESS"))</x:f>
        <x:v>SOURCE_TOUCH_REQUIRED</x:v>
      </x:c>
      <x:c r="W744" s="12" t="str">
        <x:f>IF(P744="Unverified","missing_receipt","receipt_logged")</x:f>
        <x:v>missing_receipt</x:v>
      </x:c>
      <x:c r="X744" s="12" t="str">
        <x:f>IF(Q744="Not checked","raw_status_missing","raw_status_logged")</x:f>
        <x:v>raw_status_missing</x:v>
      </x:c>
      <x:c r="Y744" s="12" t="str">
        <x:f>IF(U744="BLOCKED_PENDING_RECEIPT","Log source path or blocker; do not promote","Route to review lane")</x:f>
        <x:v>Log source path or blocker; do not promote</x:v>
      </x:c>
      <x:c r="Z744" s="12" t="str">
        <x:f>IF(K744="P0","Primary seat + Hashlight/Lucerna","Seat lane")</x:f>
        <x:v>Seat lane</x:v>
      </x:c>
      <x:c r="AA744" s="12" t="str">
        <x:f>IF(R744="","no_claim_delta","claim_delta_present")</x:f>
        <x:v>no_claim_delta</x:v>
      </x:c>
      <x:c r="AB744" s="12" t="str">
        <x:f>IF(S744="","no_contradiction_delta","contradiction_delta_present")</x:f>
        <x:v>no_contradiction_delta</x:v>
      </x:c>
      <x:c r="AC744" s="12" t="str">
        <x:f>IF(OR(ISNUMBER(SEARCH("hacker",LOWER(F744&amp;" "&amp;H744&amp;" "&amp;I744&amp;" "&amp;M744&amp;" "&amp;N744&amp;" "&amp;T744))),ISNUMBER(SEARCH("hacking",LOWER(F744&amp;" "&amp;H744&amp;" "&amp;I744&amp;" "&amp;M744&amp;" "&amp;N744&amp;" "&amp;T744))),ISNUMBER(SEARCH("bank",LOWER(F744&amp;" "&amp;H744&amp;" "&amp;I744&amp;" "&amp;M744&amp;" "&amp;N744&amp;" "&amp;T744))),ISNUMBER(SEARCH("banking",LOWER(F744&amp;" "&amp;H744&amp;" "&amp;I744&amp;" "&amp;M744&amp;" "&amp;N744&amp;" "&amp;T744)))),"PRIVATE_QUARANTINE",IF(OR(ISNUMBER(SEARCH("treasury",LOWER(F744&amp;" "&amp;H744&amp;" "&amp;I744&amp;" "&amp;M744&amp;" "&amp;N744&amp;" "&amp;T744))),ISNUMBER(SEARCH("debt",LOWER(F744&amp;" "&amp;H744&amp;" "&amp;I744&amp;" "&amp;M744&amp;" "&amp;N744&amp;" "&amp;T744))),ISNUMBER(SEARCH("bond",LOWER(F744&amp;" "&amp;H744&amp;" "&amp;I744&amp;" "&amp;M744&amp;" "&amp;N744&amp;" "&amp;T744))),ISNUMBER(SEARCH("transaction",LOWER(F744&amp;" "&amp;H744&amp;" "&amp;I744&amp;" "&amp;M744&amp;" "&amp;N744&amp;" "&amp;T744)))),"PRIVATE_REVIEW","PUBLIC_CANDIDATE"))</x:f>
        <x:v>PUBLIC_CANDIDATE</x:v>
      </x:c>
      <x:c r="AD744" s="12" t="str">
        <x:f>IF(AC744="PRIVATE_QUARANTINE","hacker_or_bank_trigger",IF(AC744="PRIVATE_REVIEW","finance_risk_trigger","none"))</x:f>
        <x:v>none</x:v>
      </x:c>
      <x:c r="AE744" s="12" t="str">
        <x:f>IF(AC744="PUBLIC_CANDIDATE","prepare_public_github_candidate",IF(AC744="PRIVATE_REVIEW","hold_for_private_review","quarantine_private_do_not_publish"))</x:f>
        <x:v>prepare_public_github_candidate</x:v>
      </x:c>
      <x:c r="AF744" s="12" t="str">
        <x:f>IF(AC744="PUBLIC_CANDIDATE","TIDELOCK + Lucerna",IF(AC744="PRIVATE_REVIEW","AtlasBrain + Lucerna","TIDELOCK + Lucerna + Human-root"))</x:f>
        <x:v>TIDELOCK + Lucerna</x:v>
      </x:c>
      <x:c r="AG744" s="12" t="str">
        <x:f>IF(AND(AC744="PUBLIC_CANDIDATE",U744&lt;&gt;"BLOCKED_PENDING_RECEIPT"),"READY_AFTER_RECEIPT","NOT_READY")</x:f>
        <x:v>NOT_READY</x:v>
      </x:c>
      <x:c r="AH744" s="12" t="str">
        <x:f>IF(AC744="PUBLIC_CANDIDATE","none",AD744)</x:f>
        <x:v>none</x:v>
      </x:c>
      <x:c r="AI744" s="12" t="str">
        <x:f>IF(AC744="PUBLIC_CANDIDATE","archive/public_candidates/"&amp;A744,"private_quarantine/"&amp;A744)</x:f>
        <x:v>archive/public_candidates/SWARM-06-H02-S11</x:v>
      </x:c>
      <x:c r="AJ744" s="12" t="str">
        <x:f>IF(AC744="PUBLIC_CANDIDATE","public by default; still not canon","private/hold; do not publish")</x:f>
        <x:v>public by default; still not canon</x:v>
      </x:c>
      <x:c r="AK744" s="12" t="str">
        <x:f>IF(AE744="prepare_public_github_candidate","add receipt/status then mirror","resolve blocker before any public GitHub action")</x:f>
        <x:v>add receipt/status then mirror</x:v>
      </x:c>
    </x:row>
    <x:row r="745">
      <x:c r="A745" s="15" t="str">
        <x:v>SWARM-06-H02-S12</x:v>
      </x:c>
      <x:c r="B745" s="15" t="str">
        <x:v>Forgekid</x:v>
      </x:c>
      <x:c r="C745" s="15" t="str">
        <x:v>Aetherforge UX builder</x:v>
      </x:c>
      <x:c r="D745" s="15" t="str">
        <x:v>Receipt Verification</x:v>
      </x:c>
      <x:c r="E745" s="15" t="str">
        <x:v>Risk / Safety</x:v>
      </x:c>
      <x:c r="F745" s="15" t="str">
        <x:v>Verify receipts for Risk / Safety — Forgekid</x:v>
      </x:c>
      <x:c r="G745" s="15" t="str">
        <x:v>quest cards / task cards / board affordances</x:v>
      </x:c>
      <x:c r="H745" s="15" t="str">
        <x:v>source path + receipt + raw/export status + claim/edge/risk delta</x:v>
      </x:c>
      <x:c r="I745" s="15" t="str">
        <x:v>packet/SWARM-06-H02-S12</x:v>
      </x:c>
      <x:c r="J745" s="15" t="str">
        <x:v>TODO</x:v>
      </x:c>
      <x:c r="K745" s="15" t="str">
        <x:v>P2</x:v>
      </x:c>
      <x:c r="L745" s="15" t="str">
        <x:v>Done only when evidence is logged, contradiction search is noted, and boundary stamp remains non-canon unless ratified</x:v>
      </x:c>
      <x:c r="M745" s="15" t="str">
        <x:v>candidate / staging-only / not canon / not deployed / authority none</x:v>
      </x:c>
      <x:c r="N745" s="15" t="str">
        <x:v>Dispatch to Forgekid: complete Receipt Verification x Risk / Safety; return deltas only, receipts required.</x:v>
      </x:c>
      <x:c r="O745" s="15" t="str">
        <x:v>AF-KG-H02-S12</x:v>
      </x:c>
      <x:c r="P745" s="15" t="str">
        <x:v>Unverified</x:v>
      </x:c>
      <x:c r="Q745" s="15" t="str">
        <x:v>Not checked</x:v>
      </x:c>
      <x:c r="R745" s="15" t="str"/>
      <x:c r="S745" s="15" t="str"/>
      <x:c r="T745" s="15" t="str">
        <x:v>Log first source path or blocker</x:v>
      </x:c>
      <x:c r="U745" s="12" t="str">
        <x:f>IF(OR(P745="Unverified",Q745="Not checked"),"BLOCKED_PENDING_RECEIPT","READY_FOR_REVIEW")</x:f>
        <x:v>BLOCKED_PENDING_RECEIPT</x:v>
      </x:c>
      <x:c r="V745" s="12" t="str">
        <x:f>IF(J745="DONE","RETURNED",IF(U745="BLOCKED_PENDING_RECEIPT","SOURCE_TOUCH_REQUIRED","IN_PROGRESS"))</x:f>
        <x:v>SOURCE_TOUCH_REQUIRED</x:v>
      </x:c>
      <x:c r="W745" s="12" t="str">
        <x:f>IF(P745="Unverified","missing_receipt","receipt_logged")</x:f>
        <x:v>missing_receipt</x:v>
      </x:c>
      <x:c r="X745" s="12" t="str">
        <x:f>IF(Q745="Not checked","raw_status_missing","raw_status_logged")</x:f>
        <x:v>raw_status_missing</x:v>
      </x:c>
      <x:c r="Y745" s="12" t="str">
        <x:f>IF(U745="BLOCKED_PENDING_RECEIPT","Log source path or blocker; do not promote","Route to review lane")</x:f>
        <x:v>Log source path or blocker; do not promote</x:v>
      </x:c>
      <x:c r="Z745" s="12" t="str">
        <x:f>IF(K745="P0","Primary seat + Hashlight/Lucerna","Seat lane")</x:f>
        <x:v>Seat lane</x:v>
      </x:c>
      <x:c r="AA745" s="12" t="str">
        <x:f>IF(R745="","no_claim_delta","claim_delta_present")</x:f>
        <x:v>no_claim_delta</x:v>
      </x:c>
      <x:c r="AB745" s="12" t="str">
        <x:f>IF(S745="","no_contradiction_delta","contradiction_delta_present")</x:f>
        <x:v>no_contradiction_delta</x:v>
      </x:c>
      <x:c r="AC745" s="12" t="str">
        <x:f>IF(OR(ISNUMBER(SEARCH("hacker",LOWER(F745&amp;" "&amp;H745&amp;" "&amp;I745&amp;" "&amp;M745&amp;" "&amp;N745&amp;" "&amp;T745))),ISNUMBER(SEARCH("hacking",LOWER(F745&amp;" "&amp;H745&amp;" "&amp;I745&amp;" "&amp;M745&amp;" "&amp;N745&amp;" "&amp;T745))),ISNUMBER(SEARCH("bank",LOWER(F745&amp;" "&amp;H745&amp;" "&amp;I745&amp;" "&amp;M745&amp;" "&amp;N745&amp;" "&amp;T745))),ISNUMBER(SEARCH("banking",LOWER(F745&amp;" "&amp;H745&amp;" "&amp;I745&amp;" "&amp;M745&amp;" "&amp;N745&amp;" "&amp;T745)))),"PRIVATE_QUARANTINE",IF(OR(ISNUMBER(SEARCH("treasury",LOWER(F745&amp;" "&amp;H745&amp;" "&amp;I745&amp;" "&amp;M745&amp;" "&amp;N745&amp;" "&amp;T745))),ISNUMBER(SEARCH("debt",LOWER(F745&amp;" "&amp;H745&amp;" "&amp;I745&amp;" "&amp;M745&amp;" "&amp;N745&amp;" "&amp;T745))),ISNUMBER(SEARCH("bond",LOWER(F745&amp;" "&amp;H745&amp;" "&amp;I745&amp;" "&amp;M745&amp;" "&amp;N745&amp;" "&amp;T745))),ISNUMBER(SEARCH("transaction",LOWER(F745&amp;" "&amp;H745&amp;" "&amp;I745&amp;" "&amp;M745&amp;" "&amp;N745&amp;" "&amp;T745)))),"PRIVATE_REVIEW","PUBLIC_CANDIDATE"))</x:f>
        <x:v>PUBLIC_CANDIDATE</x:v>
      </x:c>
      <x:c r="AD745" s="12" t="str">
        <x:f>IF(AC745="PRIVATE_QUARANTINE","hacker_or_bank_trigger",IF(AC745="PRIVATE_REVIEW","finance_risk_trigger","none"))</x:f>
        <x:v>none</x:v>
      </x:c>
      <x:c r="AE745" s="12" t="str">
        <x:f>IF(AC745="PUBLIC_CANDIDATE","prepare_public_github_candidate",IF(AC745="PRIVATE_REVIEW","hold_for_private_review","quarantine_private_do_not_publish"))</x:f>
        <x:v>prepare_public_github_candidate</x:v>
      </x:c>
      <x:c r="AF745" s="12" t="str">
        <x:f>IF(AC745="PUBLIC_CANDIDATE","TIDELOCK + Lucerna",IF(AC745="PRIVATE_REVIEW","AtlasBrain + Lucerna","TIDELOCK + Lucerna + Human-root"))</x:f>
        <x:v>TIDELOCK + Lucerna</x:v>
      </x:c>
      <x:c r="AG745" s="12" t="str">
        <x:f>IF(AND(AC745="PUBLIC_CANDIDATE",U745&lt;&gt;"BLOCKED_PENDING_RECEIPT"),"READY_AFTER_RECEIPT","NOT_READY")</x:f>
        <x:v>NOT_READY</x:v>
      </x:c>
      <x:c r="AH745" s="12" t="str">
        <x:f>IF(AC745="PUBLIC_CANDIDATE","none",AD745)</x:f>
        <x:v>none</x:v>
      </x:c>
      <x:c r="AI745" s="12" t="str">
        <x:f>IF(AC745="PUBLIC_CANDIDATE","archive/public_candidates/"&amp;A745,"private_quarantine/"&amp;A745)</x:f>
        <x:v>archive/public_candidates/SWARM-06-H02-S12</x:v>
      </x:c>
      <x:c r="AJ745" s="12" t="str">
        <x:f>IF(AC745="PUBLIC_CANDIDATE","public by default; still not canon","private/hold; do not publish")</x:f>
        <x:v>public by default; still not canon</x:v>
      </x:c>
      <x:c r="AK745" s="12" t="str">
        <x:f>IF(AE745="prepare_public_github_candidate","add receipt/status then mirror","resolve blocker before any public GitHub action")</x:f>
        <x:v>add receipt/status then mirror</x:v>
      </x:c>
    </x:row>
    <x:row r="746">
      <x:c r="A746" s="15" t="str">
        <x:v>SWARM-06-H03-S01</x:v>
      </x:c>
      <x:c r="B746" s="15" t="str">
        <x:v>Forgekid</x:v>
      </x:c>
      <x:c r="C746" s="15" t="str">
        <x:v>Aetherforge UX builder</x:v>
      </x:c>
      <x:c r="D746" s="15" t="str">
        <x:v>Raw Export Recovery</x:v>
      </x:c>
      <x:c r="E746" s="15" t="str">
        <x:v>Notion</x:v>
      </x:c>
      <x:c r="F746" s="15" t="str">
        <x:v>Recover raw exports for Notion — Forgekid</x:v>
      </x:c>
      <x:c r="G746" s="15" t="str">
        <x:v>quest cards / task cards / board affordances</x:v>
      </x:c>
      <x:c r="H746" s="15" t="str">
        <x:v>source path + receipt + raw/export status + claim/edge/risk delta</x:v>
      </x:c>
      <x:c r="I746" s="15" t="str">
        <x:v>packet/SWARM-06-H03-S01</x:v>
      </x:c>
      <x:c r="J746" s="15" t="str">
        <x:v>TODO</x:v>
      </x:c>
      <x:c r="K746" s="15" t="str">
        <x:v>P0</x:v>
      </x:c>
      <x:c r="L746" s="15" t="str">
        <x:v>Done only when evidence is logged, contradiction search is noted, and boundary stamp remains non-canon unless ratified</x:v>
      </x:c>
      <x:c r="M746" s="15" t="str">
        <x:v>candidate / staging-only / not canon / not deployed / authority none</x:v>
      </x:c>
      <x:c r="N746" s="15" t="str">
        <x:v>Dispatch to Forgekid: complete Raw Export Recovery x Notion; return deltas only, receipts required.</x:v>
      </x:c>
      <x:c r="O746" s="15" t="str">
        <x:v>AF-KG-H03-S01</x:v>
      </x:c>
      <x:c r="P746" s="15" t="str">
        <x:v>Unverified</x:v>
      </x:c>
      <x:c r="Q746" s="15" t="str">
        <x:v>Not checked</x:v>
      </x:c>
      <x:c r="R746" s="15" t="str"/>
      <x:c r="S746" s="15" t="str"/>
      <x:c r="T746" s="15" t="str">
        <x:v>Log first source path or blocker</x:v>
      </x:c>
      <x:c r="U746" s="12" t="str">
        <x:f>IF(OR(P746="Unverified",Q746="Not checked"),"BLOCKED_PENDING_RECEIPT","READY_FOR_REVIEW")</x:f>
        <x:v>BLOCKED_PENDING_RECEIPT</x:v>
      </x:c>
      <x:c r="V746" s="12" t="str">
        <x:f>IF(J746="DONE","RETURNED",IF(U746="BLOCKED_PENDING_RECEIPT","SOURCE_TOUCH_REQUIRED","IN_PROGRESS"))</x:f>
        <x:v>SOURCE_TOUCH_REQUIRED</x:v>
      </x:c>
      <x:c r="W746" s="12" t="str">
        <x:f>IF(P746="Unverified","missing_receipt","receipt_logged")</x:f>
        <x:v>missing_receipt</x:v>
      </x:c>
      <x:c r="X746" s="12" t="str">
        <x:f>IF(Q746="Not checked","raw_status_missing","raw_status_logged")</x:f>
        <x:v>raw_status_missing</x:v>
      </x:c>
      <x:c r="Y746" s="12" t="str">
        <x:f>IF(U746="BLOCKED_PENDING_RECEIPT","Log source path or blocker; do not promote","Route to review lane")</x:f>
        <x:v>Log source path or blocker; do not promote</x:v>
      </x:c>
      <x:c r="Z746" s="12" t="str">
        <x:f>IF(K746="P0","Primary seat + Hashlight/Lucerna","Seat lane")</x:f>
        <x:v>Primary seat + Hashlight/Lucerna</x:v>
      </x:c>
      <x:c r="AA746" s="12" t="str">
        <x:f>IF(R746="","no_claim_delta","claim_delta_present")</x:f>
        <x:v>no_claim_delta</x:v>
      </x:c>
      <x:c r="AB746" s="12" t="str">
        <x:f>IF(S746="","no_contradiction_delta","contradiction_delta_present")</x:f>
        <x:v>no_contradiction_delta</x:v>
      </x:c>
      <x:c r="AC746" s="12" t="str">
        <x:f>IF(OR(ISNUMBER(SEARCH("hacker",LOWER(F746&amp;" "&amp;H746&amp;" "&amp;I746&amp;" "&amp;M746&amp;" "&amp;N746&amp;" "&amp;T746))),ISNUMBER(SEARCH("hacking",LOWER(F746&amp;" "&amp;H746&amp;" "&amp;I746&amp;" "&amp;M746&amp;" "&amp;N746&amp;" "&amp;T746))),ISNUMBER(SEARCH("bank",LOWER(F746&amp;" "&amp;H746&amp;" "&amp;I746&amp;" "&amp;M746&amp;" "&amp;N746&amp;" "&amp;T746))),ISNUMBER(SEARCH("banking",LOWER(F746&amp;" "&amp;H746&amp;" "&amp;I746&amp;" "&amp;M746&amp;" "&amp;N746&amp;" "&amp;T746)))),"PRIVATE_QUARANTINE",IF(OR(ISNUMBER(SEARCH("treasury",LOWER(F746&amp;" "&amp;H746&amp;" "&amp;I746&amp;" "&amp;M746&amp;" "&amp;N746&amp;" "&amp;T746))),ISNUMBER(SEARCH("debt",LOWER(F746&amp;" "&amp;H746&amp;" "&amp;I746&amp;" "&amp;M746&amp;" "&amp;N746&amp;" "&amp;T746))),ISNUMBER(SEARCH("bond",LOWER(F746&amp;" "&amp;H746&amp;" "&amp;I746&amp;" "&amp;M746&amp;" "&amp;N746&amp;" "&amp;T746))),ISNUMBER(SEARCH("transaction",LOWER(F746&amp;" "&amp;H746&amp;" "&amp;I746&amp;" "&amp;M746&amp;" "&amp;N746&amp;" "&amp;T746)))),"PRIVATE_REVIEW","PUBLIC_CANDIDATE"))</x:f>
        <x:v>PUBLIC_CANDIDATE</x:v>
      </x:c>
      <x:c r="AD746" s="12" t="str">
        <x:f>IF(AC746="PRIVATE_QUARANTINE","hacker_or_bank_trigger",IF(AC746="PRIVATE_REVIEW","finance_risk_trigger","none"))</x:f>
        <x:v>none</x:v>
      </x:c>
      <x:c r="AE746" s="12" t="str">
        <x:f>IF(AC746="PUBLIC_CANDIDATE","prepare_public_github_candidate",IF(AC746="PRIVATE_REVIEW","hold_for_private_review","quarantine_private_do_not_publish"))</x:f>
        <x:v>prepare_public_github_candidate</x:v>
      </x:c>
      <x:c r="AF746" s="12" t="str">
        <x:f>IF(AC746="PUBLIC_CANDIDATE","TIDELOCK + Lucerna",IF(AC746="PRIVATE_REVIEW","AtlasBrain + Lucerna","TIDELOCK + Lucerna + Human-root"))</x:f>
        <x:v>TIDELOCK + Lucerna</x:v>
      </x:c>
      <x:c r="AG746" s="12" t="str">
        <x:f>IF(AND(AC746="PUBLIC_CANDIDATE",U746&lt;&gt;"BLOCKED_PENDING_RECEIPT"),"READY_AFTER_RECEIPT","NOT_READY")</x:f>
        <x:v>NOT_READY</x:v>
      </x:c>
      <x:c r="AH746" s="12" t="str">
        <x:f>IF(AC746="PUBLIC_CANDIDATE","none",AD746)</x:f>
        <x:v>none</x:v>
      </x:c>
      <x:c r="AI746" s="12" t="str">
        <x:f>IF(AC746="PUBLIC_CANDIDATE","archive/public_candidates/"&amp;A746,"private_quarantine/"&amp;A746)</x:f>
        <x:v>archive/public_candidates/SWARM-06-H03-S01</x:v>
      </x:c>
      <x:c r="AJ746" s="12" t="str">
        <x:f>IF(AC746="PUBLIC_CANDIDATE","public by default; still not canon","private/hold; do not publish")</x:f>
        <x:v>public by default; still not canon</x:v>
      </x:c>
      <x:c r="AK746" s="12" t="str">
        <x:f>IF(AE746="prepare_public_github_candidate","add receipt/status then mirror","resolve blocker before any public GitHub action")</x:f>
        <x:v>add receipt/status then mirror</x:v>
      </x:c>
    </x:row>
    <x:row r="747">
      <x:c r="A747" s="15" t="str">
        <x:v>SWARM-06-H03-S02</x:v>
      </x:c>
      <x:c r="B747" s="15" t="str">
        <x:v>Forgekid</x:v>
      </x:c>
      <x:c r="C747" s="15" t="str">
        <x:v>Aetherforge UX builder</x:v>
      </x:c>
      <x:c r="D747" s="15" t="str">
        <x:v>Raw Export Recovery</x:v>
      </x:c>
      <x:c r="E747" s="15" t="str">
        <x:v>Drive</x:v>
      </x:c>
      <x:c r="F747" s="15" t="str">
        <x:v>Recover raw exports for Drive — Forgekid</x:v>
      </x:c>
      <x:c r="G747" s="15" t="str">
        <x:v>quest cards / task cards / board affordances</x:v>
      </x:c>
      <x:c r="H747" s="15" t="str">
        <x:v>source path + receipt + raw/export status + claim/edge/risk delta</x:v>
      </x:c>
      <x:c r="I747" s="15" t="str">
        <x:v>packet/SWARM-06-H03-S02</x:v>
      </x:c>
      <x:c r="J747" s="15" t="str">
        <x:v>TODO</x:v>
      </x:c>
      <x:c r="K747" s="15" t="str">
        <x:v>P0</x:v>
      </x:c>
      <x:c r="L747" s="15" t="str">
        <x:v>Done only when evidence is logged, contradiction search is noted, and boundary stamp remains non-canon unless ratified</x:v>
      </x:c>
      <x:c r="M747" s="15" t="str">
        <x:v>candidate / staging-only / not canon / not deployed / authority none</x:v>
      </x:c>
      <x:c r="N747" s="15" t="str">
        <x:v>Dispatch to Forgekid: complete Raw Export Recovery x Drive; return deltas only, receipts required.</x:v>
      </x:c>
      <x:c r="O747" s="15" t="str">
        <x:v>AF-KG-H03-S02</x:v>
      </x:c>
      <x:c r="P747" s="15" t="str">
        <x:v>Unverified</x:v>
      </x:c>
      <x:c r="Q747" s="15" t="str">
        <x:v>Not checked</x:v>
      </x:c>
      <x:c r="R747" s="15" t="str"/>
      <x:c r="S747" s="15" t="str"/>
      <x:c r="T747" s="15" t="str">
        <x:v>Log first source path or blocker</x:v>
      </x:c>
      <x:c r="U747" s="12" t="str">
        <x:f>IF(OR(P747="Unverified",Q747="Not checked"),"BLOCKED_PENDING_RECEIPT","READY_FOR_REVIEW")</x:f>
        <x:v>BLOCKED_PENDING_RECEIPT</x:v>
      </x:c>
      <x:c r="V747" s="12" t="str">
        <x:f>IF(J747="DONE","RETURNED",IF(U747="BLOCKED_PENDING_RECEIPT","SOURCE_TOUCH_REQUIRED","IN_PROGRESS"))</x:f>
        <x:v>SOURCE_TOUCH_REQUIRED</x:v>
      </x:c>
      <x:c r="W747" s="12" t="str">
        <x:f>IF(P747="Unverified","missing_receipt","receipt_logged")</x:f>
        <x:v>missing_receipt</x:v>
      </x:c>
      <x:c r="X747" s="12" t="str">
        <x:f>IF(Q747="Not checked","raw_status_missing","raw_status_logged")</x:f>
        <x:v>raw_status_missing</x:v>
      </x:c>
      <x:c r="Y747" s="12" t="str">
        <x:f>IF(U747="BLOCKED_PENDING_RECEIPT","Log source path or blocker; do not promote","Route to review lane")</x:f>
        <x:v>Log source path or blocker; do not promote</x:v>
      </x:c>
      <x:c r="Z747" s="12" t="str">
        <x:f>IF(K747="P0","Primary seat + Hashlight/Lucerna","Seat lane")</x:f>
        <x:v>Primary seat + Hashlight/Lucerna</x:v>
      </x:c>
      <x:c r="AA747" s="12" t="str">
        <x:f>IF(R747="","no_claim_delta","claim_delta_present")</x:f>
        <x:v>no_claim_delta</x:v>
      </x:c>
      <x:c r="AB747" s="12" t="str">
        <x:f>IF(S747="","no_contradiction_delta","contradiction_delta_present")</x:f>
        <x:v>no_contradiction_delta</x:v>
      </x:c>
      <x:c r="AC747" s="12" t="str">
        <x:f>IF(OR(ISNUMBER(SEARCH("hacker",LOWER(F747&amp;" "&amp;H747&amp;" "&amp;I747&amp;" "&amp;M747&amp;" "&amp;N747&amp;" "&amp;T747))),ISNUMBER(SEARCH("hacking",LOWER(F747&amp;" "&amp;H747&amp;" "&amp;I747&amp;" "&amp;M747&amp;" "&amp;N747&amp;" "&amp;T747))),ISNUMBER(SEARCH("bank",LOWER(F747&amp;" "&amp;H747&amp;" "&amp;I747&amp;" "&amp;M747&amp;" "&amp;N747&amp;" "&amp;T747))),ISNUMBER(SEARCH("banking",LOWER(F747&amp;" "&amp;H747&amp;" "&amp;I747&amp;" "&amp;M747&amp;" "&amp;N747&amp;" "&amp;T747)))),"PRIVATE_QUARANTINE",IF(OR(ISNUMBER(SEARCH("treasury",LOWER(F747&amp;" "&amp;H747&amp;" "&amp;I747&amp;" "&amp;M747&amp;" "&amp;N747&amp;" "&amp;T747))),ISNUMBER(SEARCH("debt",LOWER(F747&amp;" "&amp;H747&amp;" "&amp;I747&amp;" "&amp;M747&amp;" "&amp;N747&amp;" "&amp;T747))),ISNUMBER(SEARCH("bond",LOWER(F747&amp;" "&amp;H747&amp;" "&amp;I747&amp;" "&amp;M747&amp;" "&amp;N747&amp;" "&amp;T747))),ISNUMBER(SEARCH("transaction",LOWER(F747&amp;" "&amp;H747&amp;" "&amp;I747&amp;" "&amp;M747&amp;" "&amp;N747&amp;" "&amp;T747)))),"PRIVATE_REVIEW","PUBLIC_CANDIDATE"))</x:f>
        <x:v>PUBLIC_CANDIDATE</x:v>
      </x:c>
      <x:c r="AD747" s="12" t="str">
        <x:f>IF(AC747="PRIVATE_QUARANTINE","hacker_or_bank_trigger",IF(AC747="PRIVATE_REVIEW","finance_risk_trigger","none"))</x:f>
        <x:v>none</x:v>
      </x:c>
      <x:c r="AE747" s="12" t="str">
        <x:f>IF(AC747="PUBLIC_CANDIDATE","prepare_public_github_candidate",IF(AC747="PRIVATE_REVIEW","hold_for_private_review","quarantine_private_do_not_publish"))</x:f>
        <x:v>prepare_public_github_candidate</x:v>
      </x:c>
      <x:c r="AF747" s="12" t="str">
        <x:f>IF(AC747="PUBLIC_CANDIDATE","TIDELOCK + Lucerna",IF(AC747="PRIVATE_REVIEW","AtlasBrain + Lucerna","TIDELOCK + Lucerna + Human-root"))</x:f>
        <x:v>TIDELOCK + Lucerna</x:v>
      </x:c>
      <x:c r="AG747" s="12" t="str">
        <x:f>IF(AND(AC747="PUBLIC_CANDIDATE",U747&lt;&gt;"BLOCKED_PENDING_RECEIPT"),"READY_AFTER_RECEIPT","NOT_READY")</x:f>
        <x:v>NOT_READY</x:v>
      </x:c>
      <x:c r="AH747" s="12" t="str">
        <x:f>IF(AC747="PUBLIC_CANDIDATE","none",AD747)</x:f>
        <x:v>none</x:v>
      </x:c>
      <x:c r="AI747" s="12" t="str">
        <x:f>IF(AC747="PUBLIC_CANDIDATE","archive/public_candidates/"&amp;A747,"private_quarantine/"&amp;A747)</x:f>
        <x:v>archive/public_candidates/SWARM-06-H03-S02</x:v>
      </x:c>
      <x:c r="AJ747" s="12" t="str">
        <x:f>IF(AC747="PUBLIC_CANDIDATE","public by default; still not canon","private/hold; do not publish")</x:f>
        <x:v>public by default; still not canon</x:v>
      </x:c>
      <x:c r="AK747" s="12" t="str">
        <x:f>IF(AE747="prepare_public_github_candidate","add receipt/status then mirror","resolve blocker before any public GitHub action")</x:f>
        <x:v>add receipt/status then mirror</x:v>
      </x:c>
    </x:row>
    <x:row r="748">
      <x:c r="A748" s="15" t="str">
        <x:v>SWARM-06-H03-S03</x:v>
      </x:c>
      <x:c r="B748" s="15" t="str">
        <x:v>Forgekid</x:v>
      </x:c>
      <x:c r="C748" s="15" t="str">
        <x:v>Aetherforge UX builder</x:v>
      </x:c>
      <x:c r="D748" s="15" t="str">
        <x:v>Raw Export Recovery</x:v>
      </x:c>
      <x:c r="E748" s="15" t="str">
        <x:v>GitHub</x:v>
      </x:c>
      <x:c r="F748" s="15" t="str">
        <x:v>Recover raw exports for GitHub — Forgekid</x:v>
      </x:c>
      <x:c r="G748" s="15" t="str">
        <x:v>quest cards / task cards / board affordances</x:v>
      </x:c>
      <x:c r="H748" s="15" t="str">
        <x:v>source path + receipt + raw/export status + claim/edge/risk delta</x:v>
      </x:c>
      <x:c r="I748" s="15" t="str">
        <x:v>packet/SWARM-06-H03-S03</x:v>
      </x:c>
      <x:c r="J748" s="15" t="str">
        <x:v>TODO</x:v>
      </x:c>
      <x:c r="K748" s="15" t="str">
        <x:v>P0</x:v>
      </x:c>
      <x:c r="L748" s="15" t="str">
        <x:v>Done only when evidence is logged, contradiction search is noted, and boundary stamp remains non-canon unless ratified</x:v>
      </x:c>
      <x:c r="M748" s="15" t="str">
        <x:v>candidate / staging-only / not canon / not deployed / authority none</x:v>
      </x:c>
      <x:c r="N748" s="15" t="str">
        <x:v>Dispatch to Forgekid: complete Raw Export Recovery x GitHub; return deltas only, receipts required.</x:v>
      </x:c>
      <x:c r="O748" s="15" t="str">
        <x:v>AF-KG-H03-S03</x:v>
      </x:c>
      <x:c r="P748" s="15" t="str">
        <x:v>Unverified</x:v>
      </x:c>
      <x:c r="Q748" s="15" t="str">
        <x:v>Not checked</x:v>
      </x:c>
      <x:c r="R748" s="15" t="str"/>
      <x:c r="S748" s="15" t="str"/>
      <x:c r="T748" s="15" t="str">
        <x:v>Log first source path or blocker</x:v>
      </x:c>
      <x:c r="U748" s="12" t="str">
        <x:f>IF(OR(P748="Unverified",Q748="Not checked"),"BLOCKED_PENDING_RECEIPT","READY_FOR_REVIEW")</x:f>
        <x:v>BLOCKED_PENDING_RECEIPT</x:v>
      </x:c>
      <x:c r="V748" s="12" t="str">
        <x:f>IF(J748="DONE","RETURNED",IF(U748="BLOCKED_PENDING_RECEIPT","SOURCE_TOUCH_REQUIRED","IN_PROGRESS"))</x:f>
        <x:v>SOURCE_TOUCH_REQUIRED</x:v>
      </x:c>
      <x:c r="W748" s="12" t="str">
        <x:f>IF(P748="Unverified","missing_receipt","receipt_logged")</x:f>
        <x:v>missing_receipt</x:v>
      </x:c>
      <x:c r="X748" s="12" t="str">
        <x:f>IF(Q748="Not checked","raw_status_missing","raw_status_logged")</x:f>
        <x:v>raw_status_missing</x:v>
      </x:c>
      <x:c r="Y748" s="12" t="str">
        <x:f>IF(U748="BLOCKED_PENDING_RECEIPT","Log source path or blocker; do not promote","Route to review lane")</x:f>
        <x:v>Log source path or blocker; do not promote</x:v>
      </x:c>
      <x:c r="Z748" s="12" t="str">
        <x:f>IF(K748="P0","Primary seat + Hashlight/Lucerna","Seat lane")</x:f>
        <x:v>Primary seat + Hashlight/Lucerna</x:v>
      </x:c>
      <x:c r="AA748" s="12" t="str">
        <x:f>IF(R748="","no_claim_delta","claim_delta_present")</x:f>
        <x:v>no_claim_delta</x:v>
      </x:c>
      <x:c r="AB748" s="12" t="str">
        <x:f>IF(S748="","no_contradiction_delta","contradiction_delta_present")</x:f>
        <x:v>no_contradiction_delta</x:v>
      </x:c>
      <x:c r="AC748" s="12" t="str">
        <x:f>IF(OR(ISNUMBER(SEARCH("hacker",LOWER(F748&amp;" "&amp;H748&amp;" "&amp;I748&amp;" "&amp;M748&amp;" "&amp;N748&amp;" "&amp;T748))),ISNUMBER(SEARCH("hacking",LOWER(F748&amp;" "&amp;H748&amp;" "&amp;I748&amp;" "&amp;M748&amp;" "&amp;N748&amp;" "&amp;T748))),ISNUMBER(SEARCH("bank",LOWER(F748&amp;" "&amp;H748&amp;" "&amp;I748&amp;" "&amp;M748&amp;" "&amp;N748&amp;" "&amp;T748))),ISNUMBER(SEARCH("banking",LOWER(F748&amp;" "&amp;H748&amp;" "&amp;I748&amp;" "&amp;M748&amp;" "&amp;N748&amp;" "&amp;T748)))),"PRIVATE_QUARANTINE",IF(OR(ISNUMBER(SEARCH("treasury",LOWER(F748&amp;" "&amp;H748&amp;" "&amp;I748&amp;" "&amp;M748&amp;" "&amp;N748&amp;" "&amp;T748))),ISNUMBER(SEARCH("debt",LOWER(F748&amp;" "&amp;H748&amp;" "&amp;I748&amp;" "&amp;M748&amp;" "&amp;N748&amp;" "&amp;T748))),ISNUMBER(SEARCH("bond",LOWER(F748&amp;" "&amp;H748&amp;" "&amp;I748&amp;" "&amp;M748&amp;" "&amp;N748&amp;" "&amp;T748))),ISNUMBER(SEARCH("transaction",LOWER(F748&amp;" "&amp;H748&amp;" "&amp;I748&amp;" "&amp;M748&amp;" "&amp;N748&amp;" "&amp;T748)))),"PRIVATE_REVIEW","PUBLIC_CANDIDATE"))</x:f>
        <x:v>PUBLIC_CANDIDATE</x:v>
      </x:c>
      <x:c r="AD748" s="12" t="str">
        <x:f>IF(AC748="PRIVATE_QUARANTINE","hacker_or_bank_trigger",IF(AC748="PRIVATE_REVIEW","finance_risk_trigger","none"))</x:f>
        <x:v>none</x:v>
      </x:c>
      <x:c r="AE748" s="12" t="str">
        <x:f>IF(AC748="PUBLIC_CANDIDATE","prepare_public_github_candidate",IF(AC748="PRIVATE_REVIEW","hold_for_private_review","quarantine_private_do_not_publish"))</x:f>
        <x:v>prepare_public_github_candidate</x:v>
      </x:c>
      <x:c r="AF748" s="12" t="str">
        <x:f>IF(AC748="PUBLIC_CANDIDATE","TIDELOCK + Lucerna",IF(AC748="PRIVATE_REVIEW","AtlasBrain + Lucerna","TIDELOCK + Lucerna + Human-root"))</x:f>
        <x:v>TIDELOCK + Lucerna</x:v>
      </x:c>
      <x:c r="AG748" s="12" t="str">
        <x:f>IF(AND(AC748="PUBLIC_CANDIDATE",U748&lt;&gt;"BLOCKED_PENDING_RECEIPT"),"READY_AFTER_RECEIPT","NOT_READY")</x:f>
        <x:v>NOT_READY</x:v>
      </x:c>
      <x:c r="AH748" s="12" t="str">
        <x:f>IF(AC748="PUBLIC_CANDIDATE","none",AD748)</x:f>
        <x:v>none</x:v>
      </x:c>
      <x:c r="AI748" s="12" t="str">
        <x:f>IF(AC748="PUBLIC_CANDIDATE","archive/public_candidates/"&amp;A748,"private_quarantine/"&amp;A748)</x:f>
        <x:v>archive/public_candidates/SWARM-06-H03-S03</x:v>
      </x:c>
      <x:c r="AJ748" s="12" t="str">
        <x:f>IF(AC748="PUBLIC_CANDIDATE","public by default; still not canon","private/hold; do not publish")</x:f>
        <x:v>public by default; still not canon</x:v>
      </x:c>
      <x:c r="AK748" s="12" t="str">
        <x:f>IF(AE748="prepare_public_github_candidate","add receipt/status then mirror","resolve blocker before any public GitHub action")</x:f>
        <x:v>add receipt/status then mirror</x:v>
      </x:c>
    </x:row>
    <x:row r="749">
      <x:c r="A749" s="15" t="str">
        <x:v>SWARM-06-H03-S04</x:v>
      </x:c>
      <x:c r="B749" s="15" t="str">
        <x:v>Forgekid</x:v>
      </x:c>
      <x:c r="C749" s="15" t="str">
        <x:v>Aetherforge UX builder</x:v>
      </x:c>
      <x:c r="D749" s="15" t="str">
        <x:v>Raw Export Recovery</x:v>
      </x:c>
      <x:c r="E749" s="15" t="str">
        <x:v>Gamma</x:v>
      </x:c>
      <x:c r="F749" s="15" t="str">
        <x:v>Recover raw exports for Gamma — Forgekid</x:v>
      </x:c>
      <x:c r="G749" s="15" t="str">
        <x:v>quest cards / task cards / board affordances</x:v>
      </x:c>
      <x:c r="H749" s="15" t="str">
        <x:v>source path + receipt + raw/export status + claim/edge/risk delta</x:v>
      </x:c>
      <x:c r="I749" s="15" t="str">
        <x:v>packet/SWARM-06-H03-S04</x:v>
      </x:c>
      <x:c r="J749" s="15" t="str">
        <x:v>TODO</x:v>
      </x:c>
      <x:c r="K749" s="15" t="str">
        <x:v>P1</x:v>
      </x:c>
      <x:c r="L749" s="15" t="str">
        <x:v>Done only when evidence is logged, contradiction search is noted, and boundary stamp remains non-canon unless ratified</x:v>
      </x:c>
      <x:c r="M749" s="15" t="str">
        <x:v>candidate / staging-only / not canon / not deployed / authority none</x:v>
      </x:c>
      <x:c r="N749" s="15" t="str">
        <x:v>Dispatch to Forgekid: complete Raw Export Recovery x Gamma; return deltas only, receipts required.</x:v>
      </x:c>
      <x:c r="O749" s="15" t="str">
        <x:v>AF-KG-H03-S04</x:v>
      </x:c>
      <x:c r="P749" s="15" t="str">
        <x:v>Unverified</x:v>
      </x:c>
      <x:c r="Q749" s="15" t="str">
        <x:v>Not checked</x:v>
      </x:c>
      <x:c r="R749" s="15" t="str"/>
      <x:c r="S749" s="15" t="str"/>
      <x:c r="T749" s="15" t="str">
        <x:v>Log first source path or blocker</x:v>
      </x:c>
      <x:c r="U749" s="12" t="str">
        <x:f>IF(OR(P749="Unverified",Q749="Not checked"),"BLOCKED_PENDING_RECEIPT","READY_FOR_REVIEW")</x:f>
        <x:v>BLOCKED_PENDING_RECEIPT</x:v>
      </x:c>
      <x:c r="V749" s="12" t="str">
        <x:f>IF(J749="DONE","RETURNED",IF(U749="BLOCKED_PENDING_RECEIPT","SOURCE_TOUCH_REQUIRED","IN_PROGRESS"))</x:f>
        <x:v>SOURCE_TOUCH_REQUIRED</x:v>
      </x:c>
      <x:c r="W749" s="12" t="str">
        <x:f>IF(P749="Unverified","missing_receipt","receipt_logged")</x:f>
        <x:v>missing_receipt</x:v>
      </x:c>
      <x:c r="X749" s="12" t="str">
        <x:f>IF(Q749="Not checked","raw_status_missing","raw_status_logged")</x:f>
        <x:v>raw_status_missing</x:v>
      </x:c>
      <x:c r="Y749" s="12" t="str">
        <x:f>IF(U749="BLOCKED_PENDING_RECEIPT","Log source path or blocker; do not promote","Route to review lane")</x:f>
        <x:v>Log source path or blocker; do not promote</x:v>
      </x:c>
      <x:c r="Z749" s="12" t="str">
        <x:f>IF(K749="P0","Primary seat + Hashlight/Lucerna","Seat lane")</x:f>
        <x:v>Seat lane</x:v>
      </x:c>
      <x:c r="AA749" s="12" t="str">
        <x:f>IF(R749="","no_claim_delta","claim_delta_present")</x:f>
        <x:v>no_claim_delta</x:v>
      </x:c>
      <x:c r="AB749" s="12" t="str">
        <x:f>IF(S749="","no_contradiction_delta","contradiction_delta_present")</x:f>
        <x:v>no_contradiction_delta</x:v>
      </x:c>
      <x:c r="AC749" s="12" t="str">
        <x:f>IF(OR(ISNUMBER(SEARCH("hacker",LOWER(F749&amp;" "&amp;H749&amp;" "&amp;I749&amp;" "&amp;M749&amp;" "&amp;N749&amp;" "&amp;T749))),ISNUMBER(SEARCH("hacking",LOWER(F749&amp;" "&amp;H749&amp;" "&amp;I749&amp;" "&amp;M749&amp;" "&amp;N749&amp;" "&amp;T749))),ISNUMBER(SEARCH("bank",LOWER(F749&amp;" "&amp;H749&amp;" "&amp;I749&amp;" "&amp;M749&amp;" "&amp;N749&amp;" "&amp;T749))),ISNUMBER(SEARCH("banking",LOWER(F749&amp;" "&amp;H749&amp;" "&amp;I749&amp;" "&amp;M749&amp;" "&amp;N749&amp;" "&amp;T749)))),"PRIVATE_QUARANTINE",IF(OR(ISNUMBER(SEARCH("treasury",LOWER(F749&amp;" "&amp;H749&amp;" "&amp;I749&amp;" "&amp;M749&amp;" "&amp;N749&amp;" "&amp;T749))),ISNUMBER(SEARCH("debt",LOWER(F749&amp;" "&amp;H749&amp;" "&amp;I749&amp;" "&amp;M749&amp;" "&amp;N749&amp;" "&amp;T749))),ISNUMBER(SEARCH("bond",LOWER(F749&amp;" "&amp;H749&amp;" "&amp;I749&amp;" "&amp;M749&amp;" "&amp;N749&amp;" "&amp;T749))),ISNUMBER(SEARCH("transaction",LOWER(F749&amp;" "&amp;H749&amp;" "&amp;I749&amp;" "&amp;M749&amp;" "&amp;N749&amp;" "&amp;T749)))),"PRIVATE_REVIEW","PUBLIC_CANDIDATE"))</x:f>
        <x:v>PUBLIC_CANDIDATE</x:v>
      </x:c>
      <x:c r="AD749" s="12" t="str">
        <x:f>IF(AC749="PRIVATE_QUARANTINE","hacker_or_bank_trigger",IF(AC749="PRIVATE_REVIEW","finance_risk_trigger","none"))</x:f>
        <x:v>none</x:v>
      </x:c>
      <x:c r="AE749" s="12" t="str">
        <x:f>IF(AC749="PUBLIC_CANDIDATE","prepare_public_github_candidate",IF(AC749="PRIVATE_REVIEW","hold_for_private_review","quarantine_private_do_not_publish"))</x:f>
        <x:v>prepare_public_github_candidate</x:v>
      </x:c>
      <x:c r="AF749" s="12" t="str">
        <x:f>IF(AC749="PUBLIC_CANDIDATE","TIDELOCK + Lucerna",IF(AC749="PRIVATE_REVIEW","AtlasBrain + Lucerna","TIDELOCK + Lucerna + Human-root"))</x:f>
        <x:v>TIDELOCK + Lucerna</x:v>
      </x:c>
      <x:c r="AG749" s="12" t="str">
        <x:f>IF(AND(AC749="PUBLIC_CANDIDATE",U749&lt;&gt;"BLOCKED_PENDING_RECEIPT"),"READY_AFTER_RECEIPT","NOT_READY")</x:f>
        <x:v>NOT_READY</x:v>
      </x:c>
      <x:c r="AH749" s="12" t="str">
        <x:f>IF(AC749="PUBLIC_CANDIDATE","none",AD749)</x:f>
        <x:v>none</x:v>
      </x:c>
      <x:c r="AI749" s="12" t="str">
        <x:f>IF(AC749="PUBLIC_CANDIDATE","archive/public_candidates/"&amp;A749,"private_quarantine/"&amp;A749)</x:f>
        <x:v>archive/public_candidates/SWARM-06-H03-S04</x:v>
      </x:c>
      <x:c r="AJ749" s="12" t="str">
        <x:f>IF(AC749="PUBLIC_CANDIDATE","public by default; still not canon","private/hold; do not publish")</x:f>
        <x:v>public by default; still not canon</x:v>
      </x:c>
      <x:c r="AK749" s="12" t="str">
        <x:f>IF(AE749="prepare_public_github_candidate","add receipt/status then mirror","resolve blocker before any public GitHub action")</x:f>
        <x:v>add receipt/status then mirror</x:v>
      </x:c>
    </x:row>
    <x:row r="750">
      <x:c r="A750" s="15" t="str">
        <x:v>SWARM-06-H03-S05</x:v>
      </x:c>
      <x:c r="B750" s="15" t="str">
        <x:v>Forgekid</x:v>
      </x:c>
      <x:c r="C750" s="15" t="str">
        <x:v>Aetherforge UX builder</x:v>
      </x:c>
      <x:c r="D750" s="15" t="str">
        <x:v>Raw Export Recovery</x:v>
      </x:c>
      <x:c r="E750" s="15" t="str">
        <x:v>Chat</x:v>
      </x:c>
      <x:c r="F750" s="15" t="str">
        <x:v>Recover raw exports for Chat — Forgekid</x:v>
      </x:c>
      <x:c r="G750" s="15" t="str">
        <x:v>quest cards / task cards / board affordances</x:v>
      </x:c>
      <x:c r="H750" s="15" t="str">
        <x:v>source path + receipt + raw/export status + claim/edge/risk delta</x:v>
      </x:c>
      <x:c r="I750" s="15" t="str">
        <x:v>packet/SWARM-06-H03-S05</x:v>
      </x:c>
      <x:c r="J750" s="15" t="str">
        <x:v>TODO</x:v>
      </x:c>
      <x:c r="K750" s="15" t="str">
        <x:v>P1</x:v>
      </x:c>
      <x:c r="L750" s="15" t="str">
        <x:v>Done only when evidence is logged, contradiction search is noted, and boundary stamp remains non-canon unless ratified</x:v>
      </x:c>
      <x:c r="M750" s="15" t="str">
        <x:v>candidate / staging-only / not canon / not deployed / authority none</x:v>
      </x:c>
      <x:c r="N750" s="15" t="str">
        <x:v>Dispatch to Forgekid: complete Raw Export Recovery x Chat; return deltas only, receipts required.</x:v>
      </x:c>
      <x:c r="O750" s="15" t="str">
        <x:v>AF-KG-H03-S05</x:v>
      </x:c>
      <x:c r="P750" s="15" t="str">
        <x:v>Unverified</x:v>
      </x:c>
      <x:c r="Q750" s="15" t="str">
        <x:v>Not checked</x:v>
      </x:c>
      <x:c r="R750" s="15" t="str"/>
      <x:c r="S750" s="15" t="str"/>
      <x:c r="T750" s="15" t="str">
        <x:v>Log first source path or blocker</x:v>
      </x:c>
      <x:c r="U750" s="12" t="str">
        <x:f>IF(OR(P750="Unverified",Q750="Not checked"),"BLOCKED_PENDING_RECEIPT","READY_FOR_REVIEW")</x:f>
        <x:v>BLOCKED_PENDING_RECEIPT</x:v>
      </x:c>
      <x:c r="V750" s="12" t="str">
        <x:f>IF(J750="DONE","RETURNED",IF(U750="BLOCKED_PENDING_RECEIPT","SOURCE_TOUCH_REQUIRED","IN_PROGRESS"))</x:f>
        <x:v>SOURCE_TOUCH_REQUIRED</x:v>
      </x:c>
      <x:c r="W750" s="12" t="str">
        <x:f>IF(P750="Unverified","missing_receipt","receipt_logged")</x:f>
        <x:v>missing_receipt</x:v>
      </x:c>
      <x:c r="X750" s="12" t="str">
        <x:f>IF(Q750="Not checked","raw_status_missing","raw_status_logged")</x:f>
        <x:v>raw_status_missing</x:v>
      </x:c>
      <x:c r="Y750" s="12" t="str">
        <x:f>IF(U750="BLOCKED_PENDING_RECEIPT","Log source path or blocker; do not promote","Route to review lane")</x:f>
        <x:v>Log source path or blocker; do not promote</x:v>
      </x:c>
      <x:c r="Z750" s="12" t="str">
        <x:f>IF(K750="P0","Primary seat + Hashlight/Lucerna","Seat lane")</x:f>
        <x:v>Seat lane</x:v>
      </x:c>
      <x:c r="AA750" s="12" t="str">
        <x:f>IF(R750="","no_claim_delta","claim_delta_present")</x:f>
        <x:v>no_claim_delta</x:v>
      </x:c>
      <x:c r="AB750" s="12" t="str">
        <x:f>IF(S750="","no_contradiction_delta","contradiction_delta_present")</x:f>
        <x:v>no_contradiction_delta</x:v>
      </x:c>
      <x:c r="AC750" s="12" t="str">
        <x:f>IF(OR(ISNUMBER(SEARCH("hacker",LOWER(F750&amp;" "&amp;H750&amp;" "&amp;I750&amp;" "&amp;M750&amp;" "&amp;N750&amp;" "&amp;T750))),ISNUMBER(SEARCH("hacking",LOWER(F750&amp;" "&amp;H750&amp;" "&amp;I750&amp;" "&amp;M750&amp;" "&amp;N750&amp;" "&amp;T750))),ISNUMBER(SEARCH("bank",LOWER(F750&amp;" "&amp;H750&amp;" "&amp;I750&amp;" "&amp;M750&amp;" "&amp;N750&amp;" "&amp;T750))),ISNUMBER(SEARCH("banking",LOWER(F750&amp;" "&amp;H750&amp;" "&amp;I750&amp;" "&amp;M750&amp;" "&amp;N750&amp;" "&amp;T750)))),"PRIVATE_QUARANTINE",IF(OR(ISNUMBER(SEARCH("treasury",LOWER(F750&amp;" "&amp;H750&amp;" "&amp;I750&amp;" "&amp;M750&amp;" "&amp;N750&amp;" "&amp;T750))),ISNUMBER(SEARCH("debt",LOWER(F750&amp;" "&amp;H750&amp;" "&amp;I750&amp;" "&amp;M750&amp;" "&amp;N750&amp;" "&amp;T750))),ISNUMBER(SEARCH("bond",LOWER(F750&amp;" "&amp;H750&amp;" "&amp;I750&amp;" "&amp;M750&amp;" "&amp;N750&amp;" "&amp;T750))),ISNUMBER(SEARCH("transaction",LOWER(F750&amp;" "&amp;H750&amp;" "&amp;I750&amp;" "&amp;M750&amp;" "&amp;N750&amp;" "&amp;T750)))),"PRIVATE_REVIEW","PUBLIC_CANDIDATE"))</x:f>
        <x:v>PUBLIC_CANDIDATE</x:v>
      </x:c>
      <x:c r="AD750" s="12" t="str">
        <x:f>IF(AC750="PRIVATE_QUARANTINE","hacker_or_bank_trigger",IF(AC750="PRIVATE_REVIEW","finance_risk_trigger","none"))</x:f>
        <x:v>none</x:v>
      </x:c>
      <x:c r="AE750" s="12" t="str">
        <x:f>IF(AC750="PUBLIC_CANDIDATE","prepare_public_github_candidate",IF(AC750="PRIVATE_REVIEW","hold_for_private_review","quarantine_private_do_not_publish"))</x:f>
        <x:v>prepare_public_github_candidate</x:v>
      </x:c>
      <x:c r="AF750" s="12" t="str">
        <x:f>IF(AC750="PUBLIC_CANDIDATE","TIDELOCK + Lucerna",IF(AC750="PRIVATE_REVIEW","AtlasBrain + Lucerna","TIDELOCK + Lucerna + Human-root"))</x:f>
        <x:v>TIDELOCK + Lucerna</x:v>
      </x:c>
      <x:c r="AG750" s="12" t="str">
        <x:f>IF(AND(AC750="PUBLIC_CANDIDATE",U750&lt;&gt;"BLOCKED_PENDING_RECEIPT"),"READY_AFTER_RECEIPT","NOT_READY")</x:f>
        <x:v>NOT_READY</x:v>
      </x:c>
      <x:c r="AH750" s="12" t="str">
        <x:f>IF(AC750="PUBLIC_CANDIDATE","none",AD750)</x:f>
        <x:v>none</x:v>
      </x:c>
      <x:c r="AI750" s="12" t="str">
        <x:f>IF(AC750="PUBLIC_CANDIDATE","archive/public_candidates/"&amp;A750,"private_quarantine/"&amp;A750)</x:f>
        <x:v>archive/public_candidates/SWARM-06-H03-S05</x:v>
      </x:c>
      <x:c r="AJ750" s="12" t="str">
        <x:f>IF(AC750="PUBLIC_CANDIDATE","public by default; still not canon","private/hold; do not publish")</x:f>
        <x:v>public by default; still not canon</x:v>
      </x:c>
      <x:c r="AK750" s="12" t="str">
        <x:f>IF(AE750="prepare_public_github_candidate","add receipt/status then mirror","resolve blocker before any public GitHub action")</x:f>
        <x:v>add receipt/status then mirror</x:v>
      </x:c>
    </x:row>
    <x:row r="751">
      <x:c r="A751" s="15" t="str">
        <x:v>SWARM-06-H03-S06</x:v>
      </x:c>
      <x:c r="B751" s="15" t="str">
        <x:v>Forgekid</x:v>
      </x:c>
      <x:c r="C751" s="15" t="str">
        <x:v>Aetherforge UX builder</x:v>
      </x:c>
      <x:c r="D751" s="15" t="str">
        <x:v>Raw Export Recovery</x:v>
      </x:c>
      <x:c r="E751" s="15" t="str">
        <x:v>External Web</x:v>
      </x:c>
      <x:c r="F751" s="15" t="str">
        <x:v>Recover raw exports for External Web — Forgekid</x:v>
      </x:c>
      <x:c r="G751" s="15" t="str">
        <x:v>quest cards / task cards / board affordances</x:v>
      </x:c>
      <x:c r="H751" s="15" t="str">
        <x:v>source path + receipt + raw/export status + claim/edge/risk delta</x:v>
      </x:c>
      <x:c r="I751" s="15" t="str">
        <x:v>packet/SWARM-06-H03-S06</x:v>
      </x:c>
      <x:c r="J751" s="15" t="str">
        <x:v>TODO</x:v>
      </x:c>
      <x:c r="K751" s="15" t="str">
        <x:v>P1</x:v>
      </x:c>
      <x:c r="L751" s="15" t="str">
        <x:v>Done only when evidence is logged, contradiction search is noted, and boundary stamp remains non-canon unless ratified</x:v>
      </x:c>
      <x:c r="M751" s="15" t="str">
        <x:v>candidate / staging-only / not canon / not deployed / authority none</x:v>
      </x:c>
      <x:c r="N751" s="15" t="str">
        <x:v>Dispatch to Forgekid: complete Raw Export Recovery x External Web; return deltas only, receipts required.</x:v>
      </x:c>
      <x:c r="O751" s="15" t="str">
        <x:v>AF-KG-H03-S06</x:v>
      </x:c>
      <x:c r="P751" s="15" t="str">
        <x:v>Unverified</x:v>
      </x:c>
      <x:c r="Q751" s="15" t="str">
        <x:v>Not checked</x:v>
      </x:c>
      <x:c r="R751" s="15" t="str"/>
      <x:c r="S751" s="15" t="str"/>
      <x:c r="T751" s="15" t="str">
        <x:v>Log first source path or blocker</x:v>
      </x:c>
      <x:c r="U751" s="12" t="str">
        <x:f>IF(OR(P751="Unverified",Q751="Not checked"),"BLOCKED_PENDING_RECEIPT","READY_FOR_REVIEW")</x:f>
        <x:v>BLOCKED_PENDING_RECEIPT</x:v>
      </x:c>
      <x:c r="V751" s="12" t="str">
        <x:f>IF(J751="DONE","RETURNED",IF(U751="BLOCKED_PENDING_RECEIPT","SOURCE_TOUCH_REQUIRED","IN_PROGRESS"))</x:f>
        <x:v>SOURCE_TOUCH_REQUIRED</x:v>
      </x:c>
      <x:c r="W751" s="12" t="str">
        <x:f>IF(P751="Unverified","missing_receipt","receipt_logged")</x:f>
        <x:v>missing_receipt</x:v>
      </x:c>
      <x:c r="X751" s="12" t="str">
        <x:f>IF(Q751="Not checked","raw_status_missing","raw_status_logged")</x:f>
        <x:v>raw_status_missing</x:v>
      </x:c>
      <x:c r="Y751" s="12" t="str">
        <x:f>IF(U751="BLOCKED_PENDING_RECEIPT","Log source path or blocker; do not promote","Route to review lane")</x:f>
        <x:v>Log source path or blocker; do not promote</x:v>
      </x:c>
      <x:c r="Z751" s="12" t="str">
        <x:f>IF(K751="P0","Primary seat + Hashlight/Lucerna","Seat lane")</x:f>
        <x:v>Seat lane</x:v>
      </x:c>
      <x:c r="AA751" s="12" t="str">
        <x:f>IF(R751="","no_claim_delta","claim_delta_present")</x:f>
        <x:v>no_claim_delta</x:v>
      </x:c>
      <x:c r="AB751" s="12" t="str">
        <x:f>IF(S751="","no_contradiction_delta","contradiction_delta_present")</x:f>
        <x:v>no_contradiction_delta</x:v>
      </x:c>
      <x:c r="AC751" s="12" t="str">
        <x:f>IF(OR(ISNUMBER(SEARCH("hacker",LOWER(F751&amp;" "&amp;H751&amp;" "&amp;I751&amp;" "&amp;M751&amp;" "&amp;N751&amp;" "&amp;T751))),ISNUMBER(SEARCH("hacking",LOWER(F751&amp;" "&amp;H751&amp;" "&amp;I751&amp;" "&amp;M751&amp;" "&amp;N751&amp;" "&amp;T751))),ISNUMBER(SEARCH("bank",LOWER(F751&amp;" "&amp;H751&amp;" "&amp;I751&amp;" "&amp;M751&amp;" "&amp;N751&amp;" "&amp;T751))),ISNUMBER(SEARCH("banking",LOWER(F751&amp;" "&amp;H751&amp;" "&amp;I751&amp;" "&amp;M751&amp;" "&amp;N751&amp;" "&amp;T751)))),"PRIVATE_QUARANTINE",IF(OR(ISNUMBER(SEARCH("treasury",LOWER(F751&amp;" "&amp;H751&amp;" "&amp;I751&amp;" "&amp;M751&amp;" "&amp;N751&amp;" "&amp;T751))),ISNUMBER(SEARCH("debt",LOWER(F751&amp;" "&amp;H751&amp;" "&amp;I751&amp;" "&amp;M751&amp;" "&amp;N751&amp;" "&amp;T751))),ISNUMBER(SEARCH("bond",LOWER(F751&amp;" "&amp;H751&amp;" "&amp;I751&amp;" "&amp;M751&amp;" "&amp;N751&amp;" "&amp;T751))),ISNUMBER(SEARCH("transaction",LOWER(F751&amp;" "&amp;H751&amp;" "&amp;I751&amp;" "&amp;M751&amp;" "&amp;N751&amp;" "&amp;T751)))),"PRIVATE_REVIEW","PUBLIC_CANDIDATE"))</x:f>
        <x:v>PUBLIC_CANDIDATE</x:v>
      </x:c>
      <x:c r="AD751" s="12" t="str">
        <x:f>IF(AC751="PRIVATE_QUARANTINE","hacker_or_bank_trigger",IF(AC751="PRIVATE_REVIEW","finance_risk_trigger","none"))</x:f>
        <x:v>none</x:v>
      </x:c>
      <x:c r="AE751" s="12" t="str">
        <x:f>IF(AC751="PUBLIC_CANDIDATE","prepare_public_github_candidate",IF(AC751="PRIVATE_REVIEW","hold_for_private_review","quarantine_private_do_not_publish"))</x:f>
        <x:v>prepare_public_github_candidate</x:v>
      </x:c>
      <x:c r="AF751" s="12" t="str">
        <x:f>IF(AC751="PUBLIC_CANDIDATE","TIDELOCK + Lucerna",IF(AC751="PRIVATE_REVIEW","AtlasBrain + Lucerna","TIDELOCK + Lucerna + Human-root"))</x:f>
        <x:v>TIDELOCK + Lucerna</x:v>
      </x:c>
      <x:c r="AG751" s="12" t="str">
        <x:f>IF(AND(AC751="PUBLIC_CANDIDATE",U751&lt;&gt;"BLOCKED_PENDING_RECEIPT"),"READY_AFTER_RECEIPT","NOT_READY")</x:f>
        <x:v>NOT_READY</x:v>
      </x:c>
      <x:c r="AH751" s="12" t="str">
        <x:f>IF(AC751="PUBLIC_CANDIDATE","none",AD751)</x:f>
        <x:v>none</x:v>
      </x:c>
      <x:c r="AI751" s="12" t="str">
        <x:f>IF(AC751="PUBLIC_CANDIDATE","archive/public_candidates/"&amp;A751,"private_quarantine/"&amp;A751)</x:f>
        <x:v>archive/public_candidates/SWARM-06-H03-S06</x:v>
      </x:c>
      <x:c r="AJ751" s="12" t="str">
        <x:f>IF(AC751="PUBLIC_CANDIDATE","public by default; still not canon","private/hold; do not publish")</x:f>
        <x:v>public by default; still not canon</x:v>
      </x:c>
      <x:c r="AK751" s="12" t="str">
        <x:f>IF(AE751="prepare_public_github_candidate","add receipt/status then mirror","resolve blocker before any public GitHub action")</x:f>
        <x:v>add receipt/status then mirror</x:v>
      </x:c>
    </x:row>
    <x:row r="752">
      <x:c r="A752" s="15" t="str">
        <x:v>SWARM-06-H03-S07</x:v>
      </x:c>
      <x:c r="B752" s="15" t="str">
        <x:v>Forgekid</x:v>
      </x:c>
      <x:c r="C752" s="15" t="str">
        <x:v>Aetherforge UX builder</x:v>
      </x:c>
      <x:c r="D752" s="15" t="str">
        <x:v>Raw Export Recovery</x:v>
      </x:c>
      <x:c r="E752" s="15" t="str">
        <x:v>Planetarium</x:v>
      </x:c>
      <x:c r="F752" s="15" t="str">
        <x:v>Recover raw exports for Planetarium — Forgekid</x:v>
      </x:c>
      <x:c r="G752" s="15" t="str">
        <x:v>quest cards / task cards / board affordances</x:v>
      </x:c>
      <x:c r="H752" s="15" t="str">
        <x:v>source path + receipt + raw/export status + claim/edge/risk delta</x:v>
      </x:c>
      <x:c r="I752" s="15" t="str">
        <x:v>packet/SWARM-06-H03-S07</x:v>
      </x:c>
      <x:c r="J752" s="15" t="str">
        <x:v>TODO</x:v>
      </x:c>
      <x:c r="K752" s="15" t="str">
        <x:v>P1</x:v>
      </x:c>
      <x:c r="L752" s="15" t="str">
        <x:v>Done only when evidence is logged, contradiction search is noted, and boundary stamp remains non-canon unless ratified</x:v>
      </x:c>
      <x:c r="M752" s="15" t="str">
        <x:v>candidate / staging-only / not canon / not deployed / authority none</x:v>
      </x:c>
      <x:c r="N752" s="15" t="str">
        <x:v>Dispatch to Forgekid: complete Raw Export Recovery x Planetarium; return deltas only, receipts required.</x:v>
      </x:c>
      <x:c r="O752" s="15" t="str">
        <x:v>AF-KG-H03-S07</x:v>
      </x:c>
      <x:c r="P752" s="15" t="str">
        <x:v>Unverified</x:v>
      </x:c>
      <x:c r="Q752" s="15" t="str">
        <x:v>Not checked</x:v>
      </x:c>
      <x:c r="R752" s="15" t="str"/>
      <x:c r="S752" s="15" t="str"/>
      <x:c r="T752" s="15" t="str">
        <x:v>Log first source path or blocker</x:v>
      </x:c>
      <x:c r="U752" s="12" t="str">
        <x:f>IF(OR(P752="Unverified",Q752="Not checked"),"BLOCKED_PENDING_RECEIPT","READY_FOR_REVIEW")</x:f>
        <x:v>BLOCKED_PENDING_RECEIPT</x:v>
      </x:c>
      <x:c r="V752" s="12" t="str">
        <x:f>IF(J752="DONE","RETURNED",IF(U752="BLOCKED_PENDING_RECEIPT","SOURCE_TOUCH_REQUIRED","IN_PROGRESS"))</x:f>
        <x:v>SOURCE_TOUCH_REQUIRED</x:v>
      </x:c>
      <x:c r="W752" s="12" t="str">
        <x:f>IF(P752="Unverified","missing_receipt","receipt_logged")</x:f>
        <x:v>missing_receipt</x:v>
      </x:c>
      <x:c r="X752" s="12" t="str">
        <x:f>IF(Q752="Not checked","raw_status_missing","raw_status_logged")</x:f>
        <x:v>raw_status_missing</x:v>
      </x:c>
      <x:c r="Y752" s="12" t="str">
        <x:f>IF(U752="BLOCKED_PENDING_RECEIPT","Log source path or blocker; do not promote","Route to review lane")</x:f>
        <x:v>Log source path or blocker; do not promote</x:v>
      </x:c>
      <x:c r="Z752" s="12" t="str">
        <x:f>IF(K752="P0","Primary seat + Hashlight/Lucerna","Seat lane")</x:f>
        <x:v>Seat lane</x:v>
      </x:c>
      <x:c r="AA752" s="12" t="str">
        <x:f>IF(R752="","no_claim_delta","claim_delta_present")</x:f>
        <x:v>no_claim_delta</x:v>
      </x:c>
      <x:c r="AB752" s="12" t="str">
        <x:f>IF(S752="","no_contradiction_delta","contradiction_delta_present")</x:f>
        <x:v>no_contradiction_delta</x:v>
      </x:c>
      <x:c r="AC752" s="12" t="str">
        <x:f>IF(OR(ISNUMBER(SEARCH("hacker",LOWER(F752&amp;" "&amp;H752&amp;" "&amp;I752&amp;" "&amp;M752&amp;" "&amp;N752&amp;" "&amp;T752))),ISNUMBER(SEARCH("hacking",LOWER(F752&amp;" "&amp;H752&amp;" "&amp;I752&amp;" "&amp;M752&amp;" "&amp;N752&amp;" "&amp;T752))),ISNUMBER(SEARCH("bank",LOWER(F752&amp;" "&amp;H752&amp;" "&amp;I752&amp;" "&amp;M752&amp;" "&amp;N752&amp;" "&amp;T752))),ISNUMBER(SEARCH("banking",LOWER(F752&amp;" "&amp;H752&amp;" "&amp;I752&amp;" "&amp;M752&amp;" "&amp;N752&amp;" "&amp;T752)))),"PRIVATE_QUARANTINE",IF(OR(ISNUMBER(SEARCH("treasury",LOWER(F752&amp;" "&amp;H752&amp;" "&amp;I752&amp;" "&amp;M752&amp;" "&amp;N752&amp;" "&amp;T752))),ISNUMBER(SEARCH("debt",LOWER(F752&amp;" "&amp;H752&amp;" "&amp;I752&amp;" "&amp;M752&amp;" "&amp;N752&amp;" "&amp;T752))),ISNUMBER(SEARCH("bond",LOWER(F752&amp;" "&amp;H752&amp;" "&amp;I752&amp;" "&amp;M752&amp;" "&amp;N752&amp;" "&amp;T752))),ISNUMBER(SEARCH("transaction",LOWER(F752&amp;" "&amp;H752&amp;" "&amp;I752&amp;" "&amp;M752&amp;" "&amp;N752&amp;" "&amp;T752)))),"PRIVATE_REVIEW","PUBLIC_CANDIDATE"))</x:f>
        <x:v>PUBLIC_CANDIDATE</x:v>
      </x:c>
      <x:c r="AD752" s="12" t="str">
        <x:f>IF(AC752="PRIVATE_QUARANTINE","hacker_or_bank_trigger",IF(AC752="PRIVATE_REVIEW","finance_risk_trigger","none"))</x:f>
        <x:v>none</x:v>
      </x:c>
      <x:c r="AE752" s="12" t="str">
        <x:f>IF(AC752="PUBLIC_CANDIDATE","prepare_public_github_candidate",IF(AC752="PRIVATE_REVIEW","hold_for_private_review","quarantine_private_do_not_publish"))</x:f>
        <x:v>prepare_public_github_candidate</x:v>
      </x:c>
      <x:c r="AF752" s="12" t="str">
        <x:f>IF(AC752="PUBLIC_CANDIDATE","TIDELOCK + Lucerna",IF(AC752="PRIVATE_REVIEW","AtlasBrain + Lucerna","TIDELOCK + Lucerna + Human-root"))</x:f>
        <x:v>TIDELOCK + Lucerna</x:v>
      </x:c>
      <x:c r="AG752" s="12" t="str">
        <x:f>IF(AND(AC752="PUBLIC_CANDIDATE",U752&lt;&gt;"BLOCKED_PENDING_RECEIPT"),"READY_AFTER_RECEIPT","NOT_READY")</x:f>
        <x:v>NOT_READY</x:v>
      </x:c>
      <x:c r="AH752" s="12" t="str">
        <x:f>IF(AC752="PUBLIC_CANDIDATE","none",AD752)</x:f>
        <x:v>none</x:v>
      </x:c>
      <x:c r="AI752" s="12" t="str">
        <x:f>IF(AC752="PUBLIC_CANDIDATE","archive/public_candidates/"&amp;A752,"private_quarantine/"&amp;A752)</x:f>
        <x:v>archive/public_candidates/SWARM-06-H03-S07</x:v>
      </x:c>
      <x:c r="AJ752" s="12" t="str">
        <x:f>IF(AC752="PUBLIC_CANDIDATE","public by default; still not canon","private/hold; do not publish")</x:f>
        <x:v>public by default; still not canon</x:v>
      </x:c>
      <x:c r="AK752" s="12" t="str">
        <x:f>IF(AE752="prepare_public_github_candidate","add receipt/status then mirror","resolve blocker before any public GitHub action")</x:f>
        <x:v>add receipt/status then mirror</x:v>
      </x:c>
    </x:row>
    <x:row r="753">
      <x:c r="A753" s="15" t="str">
        <x:v>SWARM-06-H03-S08</x:v>
      </x:c>
      <x:c r="B753" s="15" t="str">
        <x:v>Forgekid</x:v>
      </x:c>
      <x:c r="C753" s="15" t="str">
        <x:v>Aetherforge UX builder</x:v>
      </x:c>
      <x:c r="D753" s="15" t="str">
        <x:v>Raw Export Recovery</x:v>
      </x:c>
      <x:c r="E753" s="15" t="str">
        <x:v>Sheldonbrain</x:v>
      </x:c>
      <x:c r="F753" s="15" t="str">
        <x:v>Recover raw exports for Sheldonbrain — Forgekid</x:v>
      </x:c>
      <x:c r="G753" s="15" t="str">
        <x:v>quest cards / task cards / board affordances</x:v>
      </x:c>
      <x:c r="H753" s="15" t="str">
        <x:v>source path + receipt + raw/export status + claim/edge/risk delta</x:v>
      </x:c>
      <x:c r="I753" s="15" t="str">
        <x:v>packet/SWARM-06-H03-S08</x:v>
      </x:c>
      <x:c r="J753" s="15" t="str">
        <x:v>TODO</x:v>
      </x:c>
      <x:c r="K753" s="15" t="str">
        <x:v>P1</x:v>
      </x:c>
      <x:c r="L753" s="15" t="str">
        <x:v>Done only when evidence is logged, contradiction search is noted, and boundary stamp remains non-canon unless ratified</x:v>
      </x:c>
      <x:c r="M753" s="15" t="str">
        <x:v>candidate / staging-only / not canon / not deployed / authority none</x:v>
      </x:c>
      <x:c r="N753" s="15" t="str">
        <x:v>Dispatch to Forgekid: complete Raw Export Recovery x Sheldonbrain; return deltas only, receipts required.</x:v>
      </x:c>
      <x:c r="O753" s="15" t="str">
        <x:v>AF-KG-H03-S08</x:v>
      </x:c>
      <x:c r="P753" s="15" t="str">
        <x:v>Unverified</x:v>
      </x:c>
      <x:c r="Q753" s="15" t="str">
        <x:v>Not checked</x:v>
      </x:c>
      <x:c r="R753" s="15" t="str"/>
      <x:c r="S753" s="15" t="str"/>
      <x:c r="T753" s="15" t="str">
        <x:v>Log first source path or blocker</x:v>
      </x:c>
      <x:c r="U753" s="12" t="str">
        <x:f>IF(OR(P753="Unverified",Q753="Not checked"),"BLOCKED_PENDING_RECEIPT","READY_FOR_REVIEW")</x:f>
        <x:v>BLOCKED_PENDING_RECEIPT</x:v>
      </x:c>
      <x:c r="V753" s="12" t="str">
        <x:f>IF(J753="DONE","RETURNED",IF(U753="BLOCKED_PENDING_RECEIPT","SOURCE_TOUCH_REQUIRED","IN_PROGRESS"))</x:f>
        <x:v>SOURCE_TOUCH_REQUIRED</x:v>
      </x:c>
      <x:c r="W753" s="12" t="str">
        <x:f>IF(P753="Unverified","missing_receipt","receipt_logged")</x:f>
        <x:v>missing_receipt</x:v>
      </x:c>
      <x:c r="X753" s="12" t="str">
        <x:f>IF(Q753="Not checked","raw_status_missing","raw_status_logged")</x:f>
        <x:v>raw_status_missing</x:v>
      </x:c>
      <x:c r="Y753" s="12" t="str">
        <x:f>IF(U753="BLOCKED_PENDING_RECEIPT","Log source path or blocker; do not promote","Route to review lane")</x:f>
        <x:v>Log source path or blocker; do not promote</x:v>
      </x:c>
      <x:c r="Z753" s="12" t="str">
        <x:f>IF(K753="P0","Primary seat + Hashlight/Lucerna","Seat lane")</x:f>
        <x:v>Seat lane</x:v>
      </x:c>
      <x:c r="AA753" s="12" t="str">
        <x:f>IF(R753="","no_claim_delta","claim_delta_present")</x:f>
        <x:v>no_claim_delta</x:v>
      </x:c>
      <x:c r="AB753" s="12" t="str">
        <x:f>IF(S753="","no_contradiction_delta","contradiction_delta_present")</x:f>
        <x:v>no_contradiction_delta</x:v>
      </x:c>
      <x:c r="AC753" s="12" t="str">
        <x:f>IF(OR(ISNUMBER(SEARCH("hacker",LOWER(F753&amp;" "&amp;H753&amp;" "&amp;I753&amp;" "&amp;M753&amp;" "&amp;N753&amp;" "&amp;T753))),ISNUMBER(SEARCH("hacking",LOWER(F753&amp;" "&amp;H753&amp;" "&amp;I753&amp;" "&amp;M753&amp;" "&amp;N753&amp;" "&amp;T753))),ISNUMBER(SEARCH("bank",LOWER(F753&amp;" "&amp;H753&amp;" "&amp;I753&amp;" "&amp;M753&amp;" "&amp;N753&amp;" "&amp;T753))),ISNUMBER(SEARCH("banking",LOWER(F753&amp;" "&amp;H753&amp;" "&amp;I753&amp;" "&amp;M753&amp;" "&amp;N753&amp;" "&amp;T753)))),"PRIVATE_QUARANTINE",IF(OR(ISNUMBER(SEARCH("treasury",LOWER(F753&amp;" "&amp;H753&amp;" "&amp;I753&amp;" "&amp;M753&amp;" "&amp;N753&amp;" "&amp;T753))),ISNUMBER(SEARCH("debt",LOWER(F753&amp;" "&amp;H753&amp;" "&amp;I753&amp;" "&amp;M753&amp;" "&amp;N753&amp;" "&amp;T753))),ISNUMBER(SEARCH("bond",LOWER(F753&amp;" "&amp;H753&amp;" "&amp;I753&amp;" "&amp;M753&amp;" "&amp;N753&amp;" "&amp;T753))),ISNUMBER(SEARCH("transaction",LOWER(F753&amp;" "&amp;H753&amp;" "&amp;I753&amp;" "&amp;M753&amp;" "&amp;N753&amp;" "&amp;T753)))),"PRIVATE_REVIEW","PUBLIC_CANDIDATE"))</x:f>
        <x:v>PUBLIC_CANDIDATE</x:v>
      </x:c>
      <x:c r="AD753" s="12" t="str">
        <x:f>IF(AC753="PRIVATE_QUARANTINE","hacker_or_bank_trigger",IF(AC753="PRIVATE_REVIEW","finance_risk_trigger","none"))</x:f>
        <x:v>none</x:v>
      </x:c>
      <x:c r="AE753" s="12" t="str">
        <x:f>IF(AC753="PUBLIC_CANDIDATE","prepare_public_github_candidate",IF(AC753="PRIVATE_REVIEW","hold_for_private_review","quarantine_private_do_not_publish"))</x:f>
        <x:v>prepare_public_github_candidate</x:v>
      </x:c>
      <x:c r="AF753" s="12" t="str">
        <x:f>IF(AC753="PUBLIC_CANDIDATE","TIDELOCK + Lucerna",IF(AC753="PRIVATE_REVIEW","AtlasBrain + Lucerna","TIDELOCK + Lucerna + Human-root"))</x:f>
        <x:v>TIDELOCK + Lucerna</x:v>
      </x:c>
      <x:c r="AG753" s="12" t="str">
        <x:f>IF(AND(AC753="PUBLIC_CANDIDATE",U753&lt;&gt;"BLOCKED_PENDING_RECEIPT"),"READY_AFTER_RECEIPT","NOT_READY")</x:f>
        <x:v>NOT_READY</x:v>
      </x:c>
      <x:c r="AH753" s="12" t="str">
        <x:f>IF(AC753="PUBLIC_CANDIDATE","none",AD753)</x:f>
        <x:v>none</x:v>
      </x:c>
      <x:c r="AI753" s="12" t="str">
        <x:f>IF(AC753="PUBLIC_CANDIDATE","archive/public_candidates/"&amp;A753,"private_quarantine/"&amp;A753)</x:f>
        <x:v>archive/public_candidates/SWARM-06-H03-S08</x:v>
      </x:c>
      <x:c r="AJ753" s="12" t="str">
        <x:f>IF(AC753="PUBLIC_CANDIDATE","public by default; still not canon","private/hold; do not publish")</x:f>
        <x:v>public by default; still not canon</x:v>
      </x:c>
      <x:c r="AK753" s="12" t="str">
        <x:f>IF(AE753="prepare_public_github_candidate","add receipt/status then mirror","resolve blocker before any public GitHub action")</x:f>
        <x:v>add receipt/status then mirror</x:v>
      </x:c>
    </x:row>
    <x:row r="754">
      <x:c r="A754" s="15" t="str">
        <x:v>SWARM-06-H03-S09</x:v>
      </x:c>
      <x:c r="B754" s="15" t="str">
        <x:v>Forgekid</x:v>
      </x:c>
      <x:c r="C754" s="15" t="str">
        <x:v>Aetherforge UX builder</x:v>
      </x:c>
      <x:c r="D754" s="15" t="str">
        <x:v>Raw Export Recovery</x:v>
      </x:c>
      <x:c r="E754" s="15" t="str">
        <x:v>Aetherforge</x:v>
      </x:c>
      <x:c r="F754" s="15" t="str">
        <x:v>Recover raw exports for Aetherforge — Forgekid</x:v>
      </x:c>
      <x:c r="G754" s="15" t="str">
        <x:v>quest cards / task cards / board affordances</x:v>
      </x:c>
      <x:c r="H754" s="15" t="str">
        <x:v>source path + receipt + raw/export status + claim/edge/risk delta</x:v>
      </x:c>
      <x:c r="I754" s="15" t="str">
        <x:v>packet/SWARM-06-H03-S09</x:v>
      </x:c>
      <x:c r="J754" s="15" t="str">
        <x:v>TODO</x:v>
      </x:c>
      <x:c r="K754" s="15" t="str">
        <x:v>P2</x:v>
      </x:c>
      <x:c r="L754" s="15" t="str">
        <x:v>Done only when evidence is logged, contradiction search is noted, and boundary stamp remains non-canon unless ratified</x:v>
      </x:c>
      <x:c r="M754" s="15" t="str">
        <x:v>candidate / staging-only / not canon / not deployed / authority none</x:v>
      </x:c>
      <x:c r="N754" s="15" t="str">
        <x:v>Dispatch to Forgekid: complete Raw Export Recovery x Aetherforge; return deltas only, receipts required.</x:v>
      </x:c>
      <x:c r="O754" s="15" t="str">
        <x:v>AF-KG-H03-S09</x:v>
      </x:c>
      <x:c r="P754" s="15" t="str">
        <x:v>Unverified</x:v>
      </x:c>
      <x:c r="Q754" s="15" t="str">
        <x:v>Not checked</x:v>
      </x:c>
      <x:c r="R754" s="15" t="str"/>
      <x:c r="S754" s="15" t="str"/>
      <x:c r="T754" s="15" t="str">
        <x:v>Log first source path or blocker</x:v>
      </x:c>
      <x:c r="U754" s="12" t="str">
        <x:f>IF(OR(P754="Unverified",Q754="Not checked"),"BLOCKED_PENDING_RECEIPT","READY_FOR_REVIEW")</x:f>
        <x:v>BLOCKED_PENDING_RECEIPT</x:v>
      </x:c>
      <x:c r="V754" s="12" t="str">
        <x:f>IF(J754="DONE","RETURNED",IF(U754="BLOCKED_PENDING_RECEIPT","SOURCE_TOUCH_REQUIRED","IN_PROGRESS"))</x:f>
        <x:v>SOURCE_TOUCH_REQUIRED</x:v>
      </x:c>
      <x:c r="W754" s="12" t="str">
        <x:f>IF(P754="Unverified","missing_receipt","receipt_logged")</x:f>
        <x:v>missing_receipt</x:v>
      </x:c>
      <x:c r="X754" s="12" t="str">
        <x:f>IF(Q754="Not checked","raw_status_missing","raw_status_logged")</x:f>
        <x:v>raw_status_missing</x:v>
      </x:c>
      <x:c r="Y754" s="12" t="str">
        <x:f>IF(U754="BLOCKED_PENDING_RECEIPT","Log source path or blocker; do not promote","Route to review lane")</x:f>
        <x:v>Log source path or blocker; do not promote</x:v>
      </x:c>
      <x:c r="Z754" s="12" t="str">
        <x:f>IF(K754="P0","Primary seat + Hashlight/Lucerna","Seat lane")</x:f>
        <x:v>Seat lane</x:v>
      </x:c>
      <x:c r="AA754" s="12" t="str">
        <x:f>IF(R754="","no_claim_delta","claim_delta_present")</x:f>
        <x:v>no_claim_delta</x:v>
      </x:c>
      <x:c r="AB754" s="12" t="str">
        <x:f>IF(S754="","no_contradiction_delta","contradiction_delta_present")</x:f>
        <x:v>no_contradiction_delta</x:v>
      </x:c>
      <x:c r="AC754" s="12" t="str">
        <x:f>IF(OR(ISNUMBER(SEARCH("hacker",LOWER(F754&amp;" "&amp;H754&amp;" "&amp;I754&amp;" "&amp;M754&amp;" "&amp;N754&amp;" "&amp;T754))),ISNUMBER(SEARCH("hacking",LOWER(F754&amp;" "&amp;H754&amp;" "&amp;I754&amp;" "&amp;M754&amp;" "&amp;N754&amp;" "&amp;T754))),ISNUMBER(SEARCH("bank",LOWER(F754&amp;" "&amp;H754&amp;" "&amp;I754&amp;" "&amp;M754&amp;" "&amp;N754&amp;" "&amp;T754))),ISNUMBER(SEARCH("banking",LOWER(F754&amp;" "&amp;H754&amp;" "&amp;I754&amp;" "&amp;M754&amp;" "&amp;N754&amp;" "&amp;T754)))),"PRIVATE_QUARANTINE",IF(OR(ISNUMBER(SEARCH("treasury",LOWER(F754&amp;" "&amp;H754&amp;" "&amp;I754&amp;" "&amp;M754&amp;" "&amp;N754&amp;" "&amp;T754))),ISNUMBER(SEARCH("debt",LOWER(F754&amp;" "&amp;H754&amp;" "&amp;I754&amp;" "&amp;M754&amp;" "&amp;N754&amp;" "&amp;T754))),ISNUMBER(SEARCH("bond",LOWER(F754&amp;" "&amp;H754&amp;" "&amp;I754&amp;" "&amp;M754&amp;" "&amp;N754&amp;" "&amp;T754))),ISNUMBER(SEARCH("transaction",LOWER(F754&amp;" "&amp;H754&amp;" "&amp;I754&amp;" "&amp;M754&amp;" "&amp;N754&amp;" "&amp;T754)))),"PRIVATE_REVIEW","PUBLIC_CANDIDATE"))</x:f>
        <x:v>PUBLIC_CANDIDATE</x:v>
      </x:c>
      <x:c r="AD754" s="12" t="str">
        <x:f>IF(AC754="PRIVATE_QUARANTINE","hacker_or_bank_trigger",IF(AC754="PRIVATE_REVIEW","finance_risk_trigger","none"))</x:f>
        <x:v>none</x:v>
      </x:c>
      <x:c r="AE754" s="12" t="str">
        <x:f>IF(AC754="PUBLIC_CANDIDATE","prepare_public_github_candidate",IF(AC754="PRIVATE_REVIEW","hold_for_private_review","quarantine_private_do_not_publish"))</x:f>
        <x:v>prepare_public_github_candidate</x:v>
      </x:c>
      <x:c r="AF754" s="12" t="str">
        <x:f>IF(AC754="PUBLIC_CANDIDATE","TIDELOCK + Lucerna",IF(AC754="PRIVATE_REVIEW","AtlasBrain + Lucerna","TIDELOCK + Lucerna + Human-root"))</x:f>
        <x:v>TIDELOCK + Lucerna</x:v>
      </x:c>
      <x:c r="AG754" s="12" t="str">
        <x:f>IF(AND(AC754="PUBLIC_CANDIDATE",U754&lt;&gt;"BLOCKED_PENDING_RECEIPT"),"READY_AFTER_RECEIPT","NOT_READY")</x:f>
        <x:v>NOT_READY</x:v>
      </x:c>
      <x:c r="AH754" s="12" t="str">
        <x:f>IF(AC754="PUBLIC_CANDIDATE","none",AD754)</x:f>
        <x:v>none</x:v>
      </x:c>
      <x:c r="AI754" s="12" t="str">
        <x:f>IF(AC754="PUBLIC_CANDIDATE","archive/public_candidates/"&amp;A754,"private_quarantine/"&amp;A754)</x:f>
        <x:v>archive/public_candidates/SWARM-06-H03-S09</x:v>
      </x:c>
      <x:c r="AJ754" s="12" t="str">
        <x:f>IF(AC754="PUBLIC_CANDIDATE","public by default; still not canon","private/hold; do not publish")</x:f>
        <x:v>public by default; still not canon</x:v>
      </x:c>
      <x:c r="AK754" s="12" t="str">
        <x:f>IF(AE754="prepare_public_github_candidate","add receipt/status then mirror","resolve blocker before any public GitHub action")</x:f>
        <x:v>add receipt/status then mirror</x:v>
      </x:c>
    </x:row>
    <x:row r="755">
      <x:c r="A755" s="15" t="str">
        <x:v>SWARM-06-H03-S10</x:v>
      </x:c>
      <x:c r="B755" s="15" t="str">
        <x:v>Forgekid</x:v>
      </x:c>
      <x:c r="C755" s="15" t="str">
        <x:v>Aetherforge UX builder</x:v>
      </x:c>
      <x:c r="D755" s="15" t="str">
        <x:v>Raw Export Recovery</x:v>
      </x:c>
      <x:c r="E755" s="15" t="str">
        <x:v>Human-Root</x:v>
      </x:c>
      <x:c r="F755" s="15" t="str">
        <x:v>Recover raw exports for Human-Root — Forgekid</x:v>
      </x:c>
      <x:c r="G755" s="15" t="str">
        <x:v>quest cards / task cards / board affordances</x:v>
      </x:c>
      <x:c r="H755" s="15" t="str">
        <x:v>source path + receipt + raw/export status + claim/edge/risk delta</x:v>
      </x:c>
      <x:c r="I755" s="15" t="str">
        <x:v>packet/SWARM-06-H03-S10</x:v>
      </x:c>
      <x:c r="J755" s="15" t="str">
        <x:v>TODO</x:v>
      </x:c>
      <x:c r="K755" s="15" t="str">
        <x:v>P2</x:v>
      </x:c>
      <x:c r="L755" s="15" t="str">
        <x:v>Done only when evidence is logged, contradiction search is noted, and boundary stamp remains non-canon unless ratified</x:v>
      </x:c>
      <x:c r="M755" s="15" t="str">
        <x:v>candidate / staging-only / not canon / not deployed / authority none</x:v>
      </x:c>
      <x:c r="N755" s="15" t="str">
        <x:v>Dispatch to Forgekid: complete Raw Export Recovery x Human-Root; return deltas only, receipts required.</x:v>
      </x:c>
      <x:c r="O755" s="15" t="str">
        <x:v>AF-KG-H03-S10</x:v>
      </x:c>
      <x:c r="P755" s="15" t="str">
        <x:v>Unverified</x:v>
      </x:c>
      <x:c r="Q755" s="15" t="str">
        <x:v>Not checked</x:v>
      </x:c>
      <x:c r="R755" s="15" t="str"/>
      <x:c r="S755" s="15" t="str"/>
      <x:c r="T755" s="15" t="str">
        <x:v>Log first source path or blocker</x:v>
      </x:c>
      <x:c r="U755" s="12" t="str">
        <x:f>IF(OR(P755="Unverified",Q755="Not checked"),"BLOCKED_PENDING_RECEIPT","READY_FOR_REVIEW")</x:f>
        <x:v>BLOCKED_PENDING_RECEIPT</x:v>
      </x:c>
      <x:c r="V755" s="12" t="str">
        <x:f>IF(J755="DONE","RETURNED",IF(U755="BLOCKED_PENDING_RECEIPT","SOURCE_TOUCH_REQUIRED","IN_PROGRESS"))</x:f>
        <x:v>SOURCE_TOUCH_REQUIRED</x:v>
      </x:c>
      <x:c r="W755" s="12" t="str">
        <x:f>IF(P755="Unverified","missing_receipt","receipt_logged")</x:f>
        <x:v>missing_receipt</x:v>
      </x:c>
      <x:c r="X755" s="12" t="str">
        <x:f>IF(Q755="Not checked","raw_status_missing","raw_status_logged")</x:f>
        <x:v>raw_status_missing</x:v>
      </x:c>
      <x:c r="Y755" s="12" t="str">
        <x:f>IF(U755="BLOCKED_PENDING_RECEIPT","Log source path or blocker; do not promote","Route to review lane")</x:f>
        <x:v>Log source path or blocker; do not promote</x:v>
      </x:c>
      <x:c r="Z755" s="12" t="str">
        <x:f>IF(K755="P0","Primary seat + Hashlight/Lucerna","Seat lane")</x:f>
        <x:v>Seat lane</x:v>
      </x:c>
      <x:c r="AA755" s="12" t="str">
        <x:f>IF(R755="","no_claim_delta","claim_delta_present")</x:f>
        <x:v>no_claim_delta</x:v>
      </x:c>
      <x:c r="AB755" s="12" t="str">
        <x:f>IF(S755="","no_contradiction_delta","contradiction_delta_present")</x:f>
        <x:v>no_contradiction_delta</x:v>
      </x:c>
      <x:c r="AC755" s="12" t="str">
        <x:f>IF(OR(ISNUMBER(SEARCH("hacker",LOWER(F755&amp;" "&amp;H755&amp;" "&amp;I755&amp;" "&amp;M755&amp;" "&amp;N755&amp;" "&amp;T755))),ISNUMBER(SEARCH("hacking",LOWER(F755&amp;" "&amp;H755&amp;" "&amp;I755&amp;" "&amp;M755&amp;" "&amp;N755&amp;" "&amp;T755))),ISNUMBER(SEARCH("bank",LOWER(F755&amp;" "&amp;H755&amp;" "&amp;I755&amp;" "&amp;M755&amp;" "&amp;N755&amp;" "&amp;T755))),ISNUMBER(SEARCH("banking",LOWER(F755&amp;" "&amp;H755&amp;" "&amp;I755&amp;" "&amp;M755&amp;" "&amp;N755&amp;" "&amp;T755)))),"PRIVATE_QUARANTINE",IF(OR(ISNUMBER(SEARCH("treasury",LOWER(F755&amp;" "&amp;H755&amp;" "&amp;I755&amp;" "&amp;M755&amp;" "&amp;N755&amp;" "&amp;T755))),ISNUMBER(SEARCH("debt",LOWER(F755&amp;" "&amp;H755&amp;" "&amp;I755&amp;" "&amp;M755&amp;" "&amp;N755&amp;" "&amp;T755))),ISNUMBER(SEARCH("bond",LOWER(F755&amp;" "&amp;H755&amp;" "&amp;I755&amp;" "&amp;M755&amp;" "&amp;N755&amp;" "&amp;T755))),ISNUMBER(SEARCH("transaction",LOWER(F755&amp;" "&amp;H755&amp;" "&amp;I755&amp;" "&amp;M755&amp;" "&amp;N755&amp;" "&amp;T755)))),"PRIVATE_REVIEW","PUBLIC_CANDIDATE"))</x:f>
        <x:v>PUBLIC_CANDIDATE</x:v>
      </x:c>
      <x:c r="AD755" s="12" t="str">
        <x:f>IF(AC755="PRIVATE_QUARANTINE","hacker_or_bank_trigger",IF(AC755="PRIVATE_REVIEW","finance_risk_trigger","none"))</x:f>
        <x:v>none</x:v>
      </x:c>
      <x:c r="AE755" s="12" t="str">
        <x:f>IF(AC755="PUBLIC_CANDIDATE","prepare_public_github_candidate",IF(AC755="PRIVATE_REVIEW","hold_for_private_review","quarantine_private_do_not_publish"))</x:f>
        <x:v>prepare_public_github_candidate</x:v>
      </x:c>
      <x:c r="AF755" s="12" t="str">
        <x:f>IF(AC755="PUBLIC_CANDIDATE","TIDELOCK + Lucerna",IF(AC755="PRIVATE_REVIEW","AtlasBrain + Lucerna","TIDELOCK + Lucerna + Human-root"))</x:f>
        <x:v>TIDELOCK + Lucerna</x:v>
      </x:c>
      <x:c r="AG755" s="12" t="str">
        <x:f>IF(AND(AC755="PUBLIC_CANDIDATE",U755&lt;&gt;"BLOCKED_PENDING_RECEIPT"),"READY_AFTER_RECEIPT","NOT_READY")</x:f>
        <x:v>NOT_READY</x:v>
      </x:c>
      <x:c r="AH755" s="12" t="str">
        <x:f>IF(AC755="PUBLIC_CANDIDATE","none",AD755)</x:f>
        <x:v>none</x:v>
      </x:c>
      <x:c r="AI755" s="12" t="str">
        <x:f>IF(AC755="PUBLIC_CANDIDATE","archive/public_candidates/"&amp;A755,"private_quarantine/"&amp;A755)</x:f>
        <x:v>archive/public_candidates/SWARM-06-H03-S10</x:v>
      </x:c>
      <x:c r="AJ755" s="12" t="str">
        <x:f>IF(AC755="PUBLIC_CANDIDATE","public by default; still not canon","private/hold; do not publish")</x:f>
        <x:v>public by default; still not canon</x:v>
      </x:c>
      <x:c r="AK755" s="12" t="str">
        <x:f>IF(AE755="prepare_public_github_candidate","add receipt/status then mirror","resolve blocker before any public GitHub action")</x:f>
        <x:v>add receipt/status then mirror</x:v>
      </x:c>
    </x:row>
    <x:row r="756">
      <x:c r="A756" s="15" t="str">
        <x:v>SWARM-06-H03-S11</x:v>
      </x:c>
      <x:c r="B756" s="15" t="str">
        <x:v>Forgekid</x:v>
      </x:c>
      <x:c r="C756" s="15" t="str">
        <x:v>Aetherforge UX builder</x:v>
      </x:c>
      <x:c r="D756" s="15" t="str">
        <x:v>Raw Export Recovery</x:v>
      </x:c>
      <x:c r="E756" s="15" t="str">
        <x:v>Automation</x:v>
      </x:c>
      <x:c r="F756" s="15" t="str">
        <x:v>Recover raw exports for Automation — Forgekid</x:v>
      </x:c>
      <x:c r="G756" s="15" t="str">
        <x:v>quest cards / task cards / board affordances</x:v>
      </x:c>
      <x:c r="H756" s="15" t="str">
        <x:v>source path + receipt + raw/export status + claim/edge/risk delta</x:v>
      </x:c>
      <x:c r="I756" s="15" t="str">
        <x:v>packet/SWARM-06-H03-S11</x:v>
      </x:c>
      <x:c r="J756" s="15" t="str">
        <x:v>TODO</x:v>
      </x:c>
      <x:c r="K756" s="15" t="str">
        <x:v>P2</x:v>
      </x:c>
      <x:c r="L756" s="15" t="str">
        <x:v>Done only when evidence is logged, contradiction search is noted, and boundary stamp remains non-canon unless ratified</x:v>
      </x:c>
      <x:c r="M756" s="15" t="str">
        <x:v>candidate / staging-only / not canon / not deployed / authority none</x:v>
      </x:c>
      <x:c r="N756" s="15" t="str">
        <x:v>Dispatch to Forgekid: complete Raw Export Recovery x Automation; return deltas only, receipts required.</x:v>
      </x:c>
      <x:c r="O756" s="15" t="str">
        <x:v>AF-KG-H03-S11</x:v>
      </x:c>
      <x:c r="P756" s="15" t="str">
        <x:v>Unverified</x:v>
      </x:c>
      <x:c r="Q756" s="15" t="str">
        <x:v>Not checked</x:v>
      </x:c>
      <x:c r="R756" s="15" t="str"/>
      <x:c r="S756" s="15" t="str"/>
      <x:c r="T756" s="15" t="str">
        <x:v>Log first source path or blocker</x:v>
      </x:c>
      <x:c r="U756" s="12" t="str">
        <x:f>IF(OR(P756="Unverified",Q756="Not checked"),"BLOCKED_PENDING_RECEIPT","READY_FOR_REVIEW")</x:f>
        <x:v>BLOCKED_PENDING_RECEIPT</x:v>
      </x:c>
      <x:c r="V756" s="12" t="str">
        <x:f>IF(J756="DONE","RETURNED",IF(U756="BLOCKED_PENDING_RECEIPT","SOURCE_TOUCH_REQUIRED","IN_PROGRESS"))</x:f>
        <x:v>SOURCE_TOUCH_REQUIRED</x:v>
      </x:c>
      <x:c r="W756" s="12" t="str">
        <x:f>IF(P756="Unverified","missing_receipt","receipt_logged")</x:f>
        <x:v>missing_receipt</x:v>
      </x:c>
      <x:c r="X756" s="12" t="str">
        <x:f>IF(Q756="Not checked","raw_status_missing","raw_status_logged")</x:f>
        <x:v>raw_status_missing</x:v>
      </x:c>
      <x:c r="Y756" s="12" t="str">
        <x:f>IF(U756="BLOCKED_PENDING_RECEIPT","Log source path or blocker; do not promote","Route to review lane")</x:f>
        <x:v>Log source path or blocker; do not promote</x:v>
      </x:c>
      <x:c r="Z756" s="12" t="str">
        <x:f>IF(K756="P0","Primary seat + Hashlight/Lucerna","Seat lane")</x:f>
        <x:v>Seat lane</x:v>
      </x:c>
      <x:c r="AA756" s="12" t="str">
        <x:f>IF(R756="","no_claim_delta","claim_delta_present")</x:f>
        <x:v>no_claim_delta</x:v>
      </x:c>
      <x:c r="AB756" s="12" t="str">
        <x:f>IF(S756="","no_contradiction_delta","contradiction_delta_present")</x:f>
        <x:v>no_contradiction_delta</x:v>
      </x:c>
      <x:c r="AC756" s="12" t="str">
        <x:f>IF(OR(ISNUMBER(SEARCH("hacker",LOWER(F756&amp;" "&amp;H756&amp;" "&amp;I756&amp;" "&amp;M756&amp;" "&amp;N756&amp;" "&amp;T756))),ISNUMBER(SEARCH("hacking",LOWER(F756&amp;" "&amp;H756&amp;" "&amp;I756&amp;" "&amp;M756&amp;" "&amp;N756&amp;" "&amp;T756))),ISNUMBER(SEARCH("bank",LOWER(F756&amp;" "&amp;H756&amp;" "&amp;I756&amp;" "&amp;M756&amp;" "&amp;N756&amp;" "&amp;T756))),ISNUMBER(SEARCH("banking",LOWER(F756&amp;" "&amp;H756&amp;" "&amp;I756&amp;" "&amp;M756&amp;" "&amp;N756&amp;" "&amp;T756)))),"PRIVATE_QUARANTINE",IF(OR(ISNUMBER(SEARCH("treasury",LOWER(F756&amp;" "&amp;H756&amp;" "&amp;I756&amp;" "&amp;M756&amp;" "&amp;N756&amp;" "&amp;T756))),ISNUMBER(SEARCH("debt",LOWER(F756&amp;" "&amp;H756&amp;" "&amp;I756&amp;" "&amp;M756&amp;" "&amp;N756&amp;" "&amp;T756))),ISNUMBER(SEARCH("bond",LOWER(F756&amp;" "&amp;H756&amp;" "&amp;I756&amp;" "&amp;M756&amp;" "&amp;N756&amp;" "&amp;T756))),ISNUMBER(SEARCH("transaction",LOWER(F756&amp;" "&amp;H756&amp;" "&amp;I756&amp;" "&amp;M756&amp;" "&amp;N756&amp;" "&amp;T756)))),"PRIVATE_REVIEW","PUBLIC_CANDIDATE"))</x:f>
        <x:v>PUBLIC_CANDIDATE</x:v>
      </x:c>
      <x:c r="AD756" s="12" t="str">
        <x:f>IF(AC756="PRIVATE_QUARANTINE","hacker_or_bank_trigger",IF(AC756="PRIVATE_REVIEW","finance_risk_trigger","none"))</x:f>
        <x:v>none</x:v>
      </x:c>
      <x:c r="AE756" s="12" t="str">
        <x:f>IF(AC756="PUBLIC_CANDIDATE","prepare_public_github_candidate",IF(AC756="PRIVATE_REVIEW","hold_for_private_review","quarantine_private_do_not_publish"))</x:f>
        <x:v>prepare_public_github_candidate</x:v>
      </x:c>
      <x:c r="AF756" s="12" t="str">
        <x:f>IF(AC756="PUBLIC_CANDIDATE","TIDELOCK + Lucerna",IF(AC756="PRIVATE_REVIEW","AtlasBrain + Lucerna","TIDELOCK + Lucerna + Human-root"))</x:f>
        <x:v>TIDELOCK + Lucerna</x:v>
      </x:c>
      <x:c r="AG756" s="12" t="str">
        <x:f>IF(AND(AC756="PUBLIC_CANDIDATE",U756&lt;&gt;"BLOCKED_PENDING_RECEIPT"),"READY_AFTER_RECEIPT","NOT_READY")</x:f>
        <x:v>NOT_READY</x:v>
      </x:c>
      <x:c r="AH756" s="12" t="str">
        <x:f>IF(AC756="PUBLIC_CANDIDATE","none",AD756)</x:f>
        <x:v>none</x:v>
      </x:c>
      <x:c r="AI756" s="12" t="str">
        <x:f>IF(AC756="PUBLIC_CANDIDATE","archive/public_candidates/"&amp;A756,"private_quarantine/"&amp;A756)</x:f>
        <x:v>archive/public_candidates/SWARM-06-H03-S11</x:v>
      </x:c>
      <x:c r="AJ756" s="12" t="str">
        <x:f>IF(AC756="PUBLIC_CANDIDATE","public by default; still not canon","private/hold; do not publish")</x:f>
        <x:v>public by default; still not canon</x:v>
      </x:c>
      <x:c r="AK756" s="12" t="str">
        <x:f>IF(AE756="prepare_public_github_candidate","add receipt/status then mirror","resolve blocker before any public GitHub action")</x:f>
        <x:v>add receipt/status then mirror</x:v>
      </x:c>
    </x:row>
    <x:row r="757">
      <x:c r="A757" s="15" t="str">
        <x:v>SWARM-06-H03-S12</x:v>
      </x:c>
      <x:c r="B757" s="15" t="str">
        <x:v>Forgekid</x:v>
      </x:c>
      <x:c r="C757" s="15" t="str">
        <x:v>Aetherforge UX builder</x:v>
      </x:c>
      <x:c r="D757" s="15" t="str">
        <x:v>Raw Export Recovery</x:v>
      </x:c>
      <x:c r="E757" s="15" t="str">
        <x:v>Risk / Safety</x:v>
      </x:c>
      <x:c r="F757" s="15" t="str">
        <x:v>Recover raw exports for Risk / Safety — Forgekid</x:v>
      </x:c>
      <x:c r="G757" s="15" t="str">
        <x:v>quest cards / task cards / board affordances</x:v>
      </x:c>
      <x:c r="H757" s="15" t="str">
        <x:v>source path + receipt + raw/export status + claim/edge/risk delta</x:v>
      </x:c>
      <x:c r="I757" s="15" t="str">
        <x:v>packet/SWARM-06-H03-S12</x:v>
      </x:c>
      <x:c r="J757" s="15" t="str">
        <x:v>TODO</x:v>
      </x:c>
      <x:c r="K757" s="15" t="str">
        <x:v>P2</x:v>
      </x:c>
      <x:c r="L757" s="15" t="str">
        <x:v>Done only when evidence is logged, contradiction search is noted, and boundary stamp remains non-canon unless ratified</x:v>
      </x:c>
      <x:c r="M757" s="15" t="str">
        <x:v>candidate / staging-only / not canon / not deployed / authority none</x:v>
      </x:c>
      <x:c r="N757" s="15" t="str">
        <x:v>Dispatch to Forgekid: complete Raw Export Recovery x Risk / Safety; return deltas only, receipts required.</x:v>
      </x:c>
      <x:c r="O757" s="15" t="str">
        <x:v>AF-KG-H03-S12</x:v>
      </x:c>
      <x:c r="P757" s="15" t="str">
        <x:v>Unverified</x:v>
      </x:c>
      <x:c r="Q757" s="15" t="str">
        <x:v>Not checked</x:v>
      </x:c>
      <x:c r="R757" s="15" t="str"/>
      <x:c r="S757" s="15" t="str"/>
      <x:c r="T757" s="15" t="str">
        <x:v>Log first source path or blocker</x:v>
      </x:c>
      <x:c r="U757" s="12" t="str">
        <x:f>IF(OR(P757="Unverified",Q757="Not checked"),"BLOCKED_PENDING_RECEIPT","READY_FOR_REVIEW")</x:f>
        <x:v>BLOCKED_PENDING_RECEIPT</x:v>
      </x:c>
      <x:c r="V757" s="12" t="str">
        <x:f>IF(J757="DONE","RETURNED",IF(U757="BLOCKED_PENDING_RECEIPT","SOURCE_TOUCH_REQUIRED","IN_PROGRESS"))</x:f>
        <x:v>SOURCE_TOUCH_REQUIRED</x:v>
      </x:c>
      <x:c r="W757" s="12" t="str">
        <x:f>IF(P757="Unverified","missing_receipt","receipt_logged")</x:f>
        <x:v>missing_receipt</x:v>
      </x:c>
      <x:c r="X757" s="12" t="str">
        <x:f>IF(Q757="Not checked","raw_status_missing","raw_status_logged")</x:f>
        <x:v>raw_status_missing</x:v>
      </x:c>
      <x:c r="Y757" s="12" t="str">
        <x:f>IF(U757="BLOCKED_PENDING_RECEIPT","Log source path or blocker; do not promote","Route to review lane")</x:f>
        <x:v>Log source path or blocker; do not promote</x:v>
      </x:c>
      <x:c r="Z757" s="12" t="str">
        <x:f>IF(K757="P0","Primary seat + Hashlight/Lucerna","Seat lane")</x:f>
        <x:v>Seat lane</x:v>
      </x:c>
      <x:c r="AA757" s="12" t="str">
        <x:f>IF(R757="","no_claim_delta","claim_delta_present")</x:f>
        <x:v>no_claim_delta</x:v>
      </x:c>
      <x:c r="AB757" s="12" t="str">
        <x:f>IF(S757="","no_contradiction_delta","contradiction_delta_present")</x:f>
        <x:v>no_contradiction_delta</x:v>
      </x:c>
      <x:c r="AC757" s="12" t="str">
        <x:f>IF(OR(ISNUMBER(SEARCH("hacker",LOWER(F757&amp;" "&amp;H757&amp;" "&amp;I757&amp;" "&amp;M757&amp;" "&amp;N757&amp;" "&amp;T757))),ISNUMBER(SEARCH("hacking",LOWER(F757&amp;" "&amp;H757&amp;" "&amp;I757&amp;" "&amp;M757&amp;" "&amp;N757&amp;" "&amp;T757))),ISNUMBER(SEARCH("bank",LOWER(F757&amp;" "&amp;H757&amp;" "&amp;I757&amp;" "&amp;M757&amp;" "&amp;N757&amp;" "&amp;T757))),ISNUMBER(SEARCH("banking",LOWER(F757&amp;" "&amp;H757&amp;" "&amp;I757&amp;" "&amp;M757&amp;" "&amp;N757&amp;" "&amp;T757)))),"PRIVATE_QUARANTINE",IF(OR(ISNUMBER(SEARCH("treasury",LOWER(F757&amp;" "&amp;H757&amp;" "&amp;I757&amp;" "&amp;M757&amp;" "&amp;N757&amp;" "&amp;T757))),ISNUMBER(SEARCH("debt",LOWER(F757&amp;" "&amp;H757&amp;" "&amp;I757&amp;" "&amp;M757&amp;" "&amp;N757&amp;" "&amp;T757))),ISNUMBER(SEARCH("bond",LOWER(F757&amp;" "&amp;H757&amp;" "&amp;I757&amp;" "&amp;M757&amp;" "&amp;N757&amp;" "&amp;T757))),ISNUMBER(SEARCH("transaction",LOWER(F757&amp;" "&amp;H757&amp;" "&amp;I757&amp;" "&amp;M757&amp;" "&amp;N757&amp;" "&amp;T757)))),"PRIVATE_REVIEW","PUBLIC_CANDIDATE"))</x:f>
        <x:v>PUBLIC_CANDIDATE</x:v>
      </x:c>
      <x:c r="AD757" s="12" t="str">
        <x:f>IF(AC757="PRIVATE_QUARANTINE","hacker_or_bank_trigger",IF(AC757="PRIVATE_REVIEW","finance_risk_trigger","none"))</x:f>
        <x:v>none</x:v>
      </x:c>
      <x:c r="AE757" s="12" t="str">
        <x:f>IF(AC757="PUBLIC_CANDIDATE","prepare_public_github_candidate",IF(AC757="PRIVATE_REVIEW","hold_for_private_review","quarantine_private_do_not_publish"))</x:f>
        <x:v>prepare_public_github_candidate</x:v>
      </x:c>
      <x:c r="AF757" s="12" t="str">
        <x:f>IF(AC757="PUBLIC_CANDIDATE","TIDELOCK + Lucerna",IF(AC757="PRIVATE_REVIEW","AtlasBrain + Lucerna","TIDELOCK + Lucerna + Human-root"))</x:f>
        <x:v>TIDELOCK + Lucerna</x:v>
      </x:c>
      <x:c r="AG757" s="12" t="str">
        <x:f>IF(AND(AC757="PUBLIC_CANDIDATE",U757&lt;&gt;"BLOCKED_PENDING_RECEIPT"),"READY_AFTER_RECEIPT","NOT_READY")</x:f>
        <x:v>NOT_READY</x:v>
      </x:c>
      <x:c r="AH757" s="12" t="str">
        <x:f>IF(AC757="PUBLIC_CANDIDATE","none",AD757)</x:f>
        <x:v>none</x:v>
      </x:c>
      <x:c r="AI757" s="12" t="str">
        <x:f>IF(AC757="PUBLIC_CANDIDATE","archive/public_candidates/"&amp;A757,"private_quarantine/"&amp;A757)</x:f>
        <x:v>archive/public_candidates/SWARM-06-H03-S12</x:v>
      </x:c>
      <x:c r="AJ757" s="12" t="str">
        <x:f>IF(AC757="PUBLIC_CANDIDATE","public by default; still not canon","private/hold; do not publish")</x:f>
        <x:v>public by default; still not canon</x:v>
      </x:c>
      <x:c r="AK757" s="12" t="str">
        <x:f>IF(AE757="prepare_public_github_candidate","add receipt/status then mirror","resolve blocker before any public GitHub action")</x:f>
        <x:v>add receipt/status then mirror</x:v>
      </x:c>
    </x:row>
    <x:row r="758">
      <x:c r="A758" s="15" t="str">
        <x:v>SWARM-06-H04-S01</x:v>
      </x:c>
      <x:c r="B758" s="15" t="str">
        <x:v>Forgekid</x:v>
      </x:c>
      <x:c r="C758" s="15" t="str">
        <x:v>Aetherforge UX builder</x:v>
      </x:c>
      <x:c r="D758" s="15" t="str">
        <x:v>Claim Extraction</x:v>
      </x:c>
      <x:c r="E758" s="15" t="str">
        <x:v>Notion</x:v>
      </x:c>
      <x:c r="F758" s="15" t="str">
        <x:v>Extract claims from Notion — Forgekid</x:v>
      </x:c>
      <x:c r="G758" s="15" t="str">
        <x:v>quest cards / task cards / board affordances</x:v>
      </x:c>
      <x:c r="H758" s="15" t="str">
        <x:v>source path + receipt + raw/export status + claim/edge/risk delta</x:v>
      </x:c>
      <x:c r="I758" s="15" t="str">
        <x:v>packet/SWARM-06-H04-S01</x:v>
      </x:c>
      <x:c r="J758" s="15" t="str">
        <x:v>TODO</x:v>
      </x:c>
      <x:c r="K758" s="15" t="str">
        <x:v>P0</x:v>
      </x:c>
      <x:c r="L758" s="15" t="str">
        <x:v>Done only when evidence is logged, contradiction search is noted, and boundary stamp remains non-canon unless ratified</x:v>
      </x:c>
      <x:c r="M758" s="15" t="str">
        <x:v>candidate / staging-only / not canon / not deployed / authority none</x:v>
      </x:c>
      <x:c r="N758" s="15" t="str">
        <x:v>Dispatch to Forgekid: complete Claim Extraction x Notion; return deltas only, receipts required.</x:v>
      </x:c>
      <x:c r="O758" s="15" t="str">
        <x:v>AF-KG-H04-S01</x:v>
      </x:c>
      <x:c r="P758" s="15" t="str">
        <x:v>Unverified</x:v>
      </x:c>
      <x:c r="Q758" s="15" t="str">
        <x:v>Not checked</x:v>
      </x:c>
      <x:c r="R758" s="15" t="str"/>
      <x:c r="S758" s="15" t="str"/>
      <x:c r="T758" s="15" t="str">
        <x:v>Log first source path or blocker</x:v>
      </x:c>
      <x:c r="U758" s="12" t="str">
        <x:f>IF(OR(P758="Unverified",Q758="Not checked"),"BLOCKED_PENDING_RECEIPT","READY_FOR_REVIEW")</x:f>
        <x:v>BLOCKED_PENDING_RECEIPT</x:v>
      </x:c>
      <x:c r="V758" s="12" t="str">
        <x:f>IF(J758="DONE","RETURNED",IF(U758="BLOCKED_PENDING_RECEIPT","SOURCE_TOUCH_REQUIRED","IN_PROGRESS"))</x:f>
        <x:v>SOURCE_TOUCH_REQUIRED</x:v>
      </x:c>
      <x:c r="W758" s="12" t="str">
        <x:f>IF(P758="Unverified","missing_receipt","receipt_logged")</x:f>
        <x:v>missing_receipt</x:v>
      </x:c>
      <x:c r="X758" s="12" t="str">
        <x:f>IF(Q758="Not checked","raw_status_missing","raw_status_logged")</x:f>
        <x:v>raw_status_missing</x:v>
      </x:c>
      <x:c r="Y758" s="12" t="str">
        <x:f>IF(U758="BLOCKED_PENDING_RECEIPT","Log source path or blocker; do not promote","Route to review lane")</x:f>
        <x:v>Log source path or blocker; do not promote</x:v>
      </x:c>
      <x:c r="Z758" s="12" t="str">
        <x:f>IF(K758="P0","Primary seat + Hashlight/Lucerna","Seat lane")</x:f>
        <x:v>Primary seat + Hashlight/Lucerna</x:v>
      </x:c>
      <x:c r="AA758" s="12" t="str">
        <x:f>IF(R758="","no_claim_delta","claim_delta_present")</x:f>
        <x:v>no_claim_delta</x:v>
      </x:c>
      <x:c r="AB758" s="12" t="str">
        <x:f>IF(S758="","no_contradiction_delta","contradiction_delta_present")</x:f>
        <x:v>no_contradiction_delta</x:v>
      </x:c>
      <x:c r="AC758" s="12" t="str">
        <x:f>IF(OR(ISNUMBER(SEARCH("hacker",LOWER(F758&amp;" "&amp;H758&amp;" "&amp;I758&amp;" "&amp;M758&amp;" "&amp;N758&amp;" "&amp;T758))),ISNUMBER(SEARCH("hacking",LOWER(F758&amp;" "&amp;H758&amp;" "&amp;I758&amp;" "&amp;M758&amp;" "&amp;N758&amp;" "&amp;T758))),ISNUMBER(SEARCH("bank",LOWER(F758&amp;" "&amp;H758&amp;" "&amp;I758&amp;" "&amp;M758&amp;" "&amp;N758&amp;" "&amp;T758))),ISNUMBER(SEARCH("banking",LOWER(F758&amp;" "&amp;H758&amp;" "&amp;I758&amp;" "&amp;M758&amp;" "&amp;N758&amp;" "&amp;T758)))),"PRIVATE_QUARANTINE",IF(OR(ISNUMBER(SEARCH("treasury",LOWER(F758&amp;" "&amp;H758&amp;" "&amp;I758&amp;" "&amp;M758&amp;" "&amp;N758&amp;" "&amp;T758))),ISNUMBER(SEARCH("debt",LOWER(F758&amp;" "&amp;H758&amp;" "&amp;I758&amp;" "&amp;M758&amp;" "&amp;N758&amp;" "&amp;T758))),ISNUMBER(SEARCH("bond",LOWER(F758&amp;" "&amp;H758&amp;" "&amp;I758&amp;" "&amp;M758&amp;" "&amp;N758&amp;" "&amp;T758))),ISNUMBER(SEARCH("transaction",LOWER(F758&amp;" "&amp;H758&amp;" "&amp;I758&amp;" "&amp;M758&amp;" "&amp;N758&amp;" "&amp;T758)))),"PRIVATE_REVIEW","PUBLIC_CANDIDATE"))</x:f>
        <x:v>PUBLIC_CANDIDATE</x:v>
      </x:c>
      <x:c r="AD758" s="12" t="str">
        <x:f>IF(AC758="PRIVATE_QUARANTINE","hacker_or_bank_trigger",IF(AC758="PRIVATE_REVIEW","finance_risk_trigger","none"))</x:f>
        <x:v>none</x:v>
      </x:c>
      <x:c r="AE758" s="12" t="str">
        <x:f>IF(AC758="PUBLIC_CANDIDATE","prepare_public_github_candidate",IF(AC758="PRIVATE_REVIEW","hold_for_private_review","quarantine_private_do_not_publish"))</x:f>
        <x:v>prepare_public_github_candidate</x:v>
      </x:c>
      <x:c r="AF758" s="12" t="str">
        <x:f>IF(AC758="PUBLIC_CANDIDATE","TIDELOCK + Lucerna",IF(AC758="PRIVATE_REVIEW","AtlasBrain + Lucerna","TIDELOCK + Lucerna + Human-root"))</x:f>
        <x:v>TIDELOCK + Lucerna</x:v>
      </x:c>
      <x:c r="AG758" s="12" t="str">
        <x:f>IF(AND(AC758="PUBLIC_CANDIDATE",U758&lt;&gt;"BLOCKED_PENDING_RECEIPT"),"READY_AFTER_RECEIPT","NOT_READY")</x:f>
        <x:v>NOT_READY</x:v>
      </x:c>
      <x:c r="AH758" s="12" t="str">
        <x:f>IF(AC758="PUBLIC_CANDIDATE","none",AD758)</x:f>
        <x:v>none</x:v>
      </x:c>
      <x:c r="AI758" s="12" t="str">
        <x:f>IF(AC758="PUBLIC_CANDIDATE","archive/public_candidates/"&amp;A758,"private_quarantine/"&amp;A758)</x:f>
        <x:v>archive/public_candidates/SWARM-06-H04-S01</x:v>
      </x:c>
      <x:c r="AJ758" s="12" t="str">
        <x:f>IF(AC758="PUBLIC_CANDIDATE","public by default; still not canon","private/hold; do not publish")</x:f>
        <x:v>public by default; still not canon</x:v>
      </x:c>
      <x:c r="AK758" s="12" t="str">
        <x:f>IF(AE758="prepare_public_github_candidate","add receipt/status then mirror","resolve blocker before any public GitHub action")</x:f>
        <x:v>add receipt/status then mirror</x:v>
      </x:c>
    </x:row>
    <x:row r="759">
      <x:c r="A759" s="15" t="str">
        <x:v>SWARM-06-H04-S02</x:v>
      </x:c>
      <x:c r="B759" s="15" t="str">
        <x:v>Forgekid</x:v>
      </x:c>
      <x:c r="C759" s="15" t="str">
        <x:v>Aetherforge UX builder</x:v>
      </x:c>
      <x:c r="D759" s="15" t="str">
        <x:v>Claim Extraction</x:v>
      </x:c>
      <x:c r="E759" s="15" t="str">
        <x:v>Drive</x:v>
      </x:c>
      <x:c r="F759" s="15" t="str">
        <x:v>Extract claims from Drive — Forgekid</x:v>
      </x:c>
      <x:c r="G759" s="15" t="str">
        <x:v>quest cards / task cards / board affordances</x:v>
      </x:c>
      <x:c r="H759" s="15" t="str">
        <x:v>source path + receipt + raw/export status + claim/edge/risk delta</x:v>
      </x:c>
      <x:c r="I759" s="15" t="str">
        <x:v>packet/SWARM-06-H04-S02</x:v>
      </x:c>
      <x:c r="J759" s="15" t="str">
        <x:v>TODO</x:v>
      </x:c>
      <x:c r="K759" s="15" t="str">
        <x:v>P0</x:v>
      </x:c>
      <x:c r="L759" s="15" t="str">
        <x:v>Done only when evidence is logged, contradiction search is noted, and boundary stamp remains non-canon unless ratified</x:v>
      </x:c>
      <x:c r="M759" s="15" t="str">
        <x:v>candidate / staging-only / not canon / not deployed / authority none</x:v>
      </x:c>
      <x:c r="N759" s="15" t="str">
        <x:v>Dispatch to Forgekid: complete Claim Extraction x Drive; return deltas only, receipts required.</x:v>
      </x:c>
      <x:c r="O759" s="15" t="str">
        <x:v>AF-KG-H04-S02</x:v>
      </x:c>
      <x:c r="P759" s="15" t="str">
        <x:v>Unverified</x:v>
      </x:c>
      <x:c r="Q759" s="15" t="str">
        <x:v>Not checked</x:v>
      </x:c>
      <x:c r="R759" s="15" t="str"/>
      <x:c r="S759" s="15" t="str"/>
      <x:c r="T759" s="15" t="str">
        <x:v>Log first source path or blocker</x:v>
      </x:c>
      <x:c r="U759" s="12" t="str">
        <x:f>IF(OR(P759="Unverified",Q759="Not checked"),"BLOCKED_PENDING_RECEIPT","READY_FOR_REVIEW")</x:f>
        <x:v>BLOCKED_PENDING_RECEIPT</x:v>
      </x:c>
      <x:c r="V759" s="12" t="str">
        <x:f>IF(J759="DONE","RETURNED",IF(U759="BLOCKED_PENDING_RECEIPT","SOURCE_TOUCH_REQUIRED","IN_PROGRESS"))</x:f>
        <x:v>SOURCE_TOUCH_REQUIRED</x:v>
      </x:c>
      <x:c r="W759" s="12" t="str">
        <x:f>IF(P759="Unverified","missing_receipt","receipt_logged")</x:f>
        <x:v>missing_receipt</x:v>
      </x:c>
      <x:c r="X759" s="12" t="str">
        <x:f>IF(Q759="Not checked","raw_status_missing","raw_status_logged")</x:f>
        <x:v>raw_status_missing</x:v>
      </x:c>
      <x:c r="Y759" s="12" t="str">
        <x:f>IF(U759="BLOCKED_PENDING_RECEIPT","Log source path or blocker; do not promote","Route to review lane")</x:f>
        <x:v>Log source path or blocker; do not promote</x:v>
      </x:c>
      <x:c r="Z759" s="12" t="str">
        <x:f>IF(K759="P0","Primary seat + Hashlight/Lucerna","Seat lane")</x:f>
        <x:v>Primary seat + Hashlight/Lucerna</x:v>
      </x:c>
      <x:c r="AA759" s="12" t="str">
        <x:f>IF(R759="","no_claim_delta","claim_delta_present")</x:f>
        <x:v>no_claim_delta</x:v>
      </x:c>
      <x:c r="AB759" s="12" t="str">
        <x:f>IF(S759="","no_contradiction_delta","contradiction_delta_present")</x:f>
        <x:v>no_contradiction_delta</x:v>
      </x:c>
      <x:c r="AC759" s="12" t="str">
        <x:f>IF(OR(ISNUMBER(SEARCH("hacker",LOWER(F759&amp;" "&amp;H759&amp;" "&amp;I759&amp;" "&amp;M759&amp;" "&amp;N759&amp;" "&amp;T759))),ISNUMBER(SEARCH("hacking",LOWER(F759&amp;" "&amp;H759&amp;" "&amp;I759&amp;" "&amp;M759&amp;" "&amp;N759&amp;" "&amp;T759))),ISNUMBER(SEARCH("bank",LOWER(F759&amp;" "&amp;H759&amp;" "&amp;I759&amp;" "&amp;M759&amp;" "&amp;N759&amp;" "&amp;T759))),ISNUMBER(SEARCH("banking",LOWER(F759&amp;" "&amp;H759&amp;" "&amp;I759&amp;" "&amp;M759&amp;" "&amp;N759&amp;" "&amp;T759)))),"PRIVATE_QUARANTINE",IF(OR(ISNUMBER(SEARCH("treasury",LOWER(F759&amp;" "&amp;H759&amp;" "&amp;I759&amp;" "&amp;M759&amp;" "&amp;N759&amp;" "&amp;T759))),ISNUMBER(SEARCH("debt",LOWER(F759&amp;" "&amp;H759&amp;" "&amp;I759&amp;" "&amp;M759&amp;" "&amp;N759&amp;" "&amp;T759))),ISNUMBER(SEARCH("bond",LOWER(F759&amp;" "&amp;H759&amp;" "&amp;I759&amp;" "&amp;M759&amp;" "&amp;N759&amp;" "&amp;T759))),ISNUMBER(SEARCH("transaction",LOWER(F759&amp;" "&amp;H759&amp;" "&amp;I759&amp;" "&amp;M759&amp;" "&amp;N759&amp;" "&amp;T759)))),"PRIVATE_REVIEW","PUBLIC_CANDIDATE"))</x:f>
        <x:v>PUBLIC_CANDIDATE</x:v>
      </x:c>
      <x:c r="AD759" s="12" t="str">
        <x:f>IF(AC759="PRIVATE_QUARANTINE","hacker_or_bank_trigger",IF(AC759="PRIVATE_REVIEW","finance_risk_trigger","none"))</x:f>
        <x:v>none</x:v>
      </x:c>
      <x:c r="AE759" s="12" t="str">
        <x:f>IF(AC759="PUBLIC_CANDIDATE","prepare_public_github_candidate",IF(AC759="PRIVATE_REVIEW","hold_for_private_review","quarantine_private_do_not_publish"))</x:f>
        <x:v>prepare_public_github_candidate</x:v>
      </x:c>
      <x:c r="AF759" s="12" t="str">
        <x:f>IF(AC759="PUBLIC_CANDIDATE","TIDELOCK + Lucerna",IF(AC759="PRIVATE_REVIEW","AtlasBrain + Lucerna","TIDELOCK + Lucerna + Human-root"))</x:f>
        <x:v>TIDELOCK + Lucerna</x:v>
      </x:c>
      <x:c r="AG759" s="12" t="str">
        <x:f>IF(AND(AC759="PUBLIC_CANDIDATE",U759&lt;&gt;"BLOCKED_PENDING_RECEIPT"),"READY_AFTER_RECEIPT","NOT_READY")</x:f>
        <x:v>NOT_READY</x:v>
      </x:c>
      <x:c r="AH759" s="12" t="str">
        <x:f>IF(AC759="PUBLIC_CANDIDATE","none",AD759)</x:f>
        <x:v>none</x:v>
      </x:c>
      <x:c r="AI759" s="12" t="str">
        <x:f>IF(AC759="PUBLIC_CANDIDATE","archive/public_candidates/"&amp;A759,"private_quarantine/"&amp;A759)</x:f>
        <x:v>archive/public_candidates/SWARM-06-H04-S02</x:v>
      </x:c>
      <x:c r="AJ759" s="12" t="str">
        <x:f>IF(AC759="PUBLIC_CANDIDATE","public by default; still not canon","private/hold; do not publish")</x:f>
        <x:v>public by default; still not canon</x:v>
      </x:c>
      <x:c r="AK759" s="12" t="str">
        <x:f>IF(AE759="prepare_public_github_candidate","add receipt/status then mirror","resolve blocker before any public GitHub action")</x:f>
        <x:v>add receipt/status then mirror</x:v>
      </x:c>
    </x:row>
    <x:row r="760">
      <x:c r="A760" s="15" t="str">
        <x:v>SWARM-06-H04-S03</x:v>
      </x:c>
      <x:c r="B760" s="15" t="str">
        <x:v>Forgekid</x:v>
      </x:c>
      <x:c r="C760" s="15" t="str">
        <x:v>Aetherforge UX builder</x:v>
      </x:c>
      <x:c r="D760" s="15" t="str">
        <x:v>Claim Extraction</x:v>
      </x:c>
      <x:c r="E760" s="15" t="str">
        <x:v>GitHub</x:v>
      </x:c>
      <x:c r="F760" s="15" t="str">
        <x:v>Extract claims from GitHub — Forgekid</x:v>
      </x:c>
      <x:c r="G760" s="15" t="str">
        <x:v>quest cards / task cards / board affordances</x:v>
      </x:c>
      <x:c r="H760" s="15" t="str">
        <x:v>source path + receipt + raw/export status + claim/edge/risk delta</x:v>
      </x:c>
      <x:c r="I760" s="15" t="str">
        <x:v>packet/SWARM-06-H04-S03</x:v>
      </x:c>
      <x:c r="J760" s="15" t="str">
        <x:v>TODO</x:v>
      </x:c>
      <x:c r="K760" s="15" t="str">
        <x:v>P0</x:v>
      </x:c>
      <x:c r="L760" s="15" t="str">
        <x:v>Done only when evidence is logged, contradiction search is noted, and boundary stamp remains non-canon unless ratified</x:v>
      </x:c>
      <x:c r="M760" s="15" t="str">
        <x:v>candidate / staging-only / not canon / not deployed / authority none</x:v>
      </x:c>
      <x:c r="N760" s="15" t="str">
        <x:v>Dispatch to Forgekid: complete Claim Extraction x GitHub; return deltas only, receipts required.</x:v>
      </x:c>
      <x:c r="O760" s="15" t="str">
        <x:v>AF-KG-H04-S03</x:v>
      </x:c>
      <x:c r="P760" s="15" t="str">
        <x:v>Unverified</x:v>
      </x:c>
      <x:c r="Q760" s="15" t="str">
        <x:v>Not checked</x:v>
      </x:c>
      <x:c r="R760" s="15" t="str"/>
      <x:c r="S760" s="15" t="str"/>
      <x:c r="T760" s="15" t="str">
        <x:v>Log first source path or blocker</x:v>
      </x:c>
      <x:c r="U760" s="12" t="str">
        <x:f>IF(OR(P760="Unverified",Q760="Not checked"),"BLOCKED_PENDING_RECEIPT","READY_FOR_REVIEW")</x:f>
        <x:v>BLOCKED_PENDING_RECEIPT</x:v>
      </x:c>
      <x:c r="V760" s="12" t="str">
        <x:f>IF(J760="DONE","RETURNED",IF(U760="BLOCKED_PENDING_RECEIPT","SOURCE_TOUCH_REQUIRED","IN_PROGRESS"))</x:f>
        <x:v>SOURCE_TOUCH_REQUIRED</x:v>
      </x:c>
      <x:c r="W760" s="12" t="str">
        <x:f>IF(P760="Unverified","missing_receipt","receipt_logged")</x:f>
        <x:v>missing_receipt</x:v>
      </x:c>
      <x:c r="X760" s="12" t="str">
        <x:f>IF(Q760="Not checked","raw_status_missing","raw_status_logged")</x:f>
        <x:v>raw_status_missing</x:v>
      </x:c>
      <x:c r="Y760" s="12" t="str">
        <x:f>IF(U760="BLOCKED_PENDING_RECEIPT","Log source path or blocker; do not promote","Route to review lane")</x:f>
        <x:v>Log source path or blocker; do not promote</x:v>
      </x:c>
      <x:c r="Z760" s="12" t="str">
        <x:f>IF(K760="P0","Primary seat + Hashlight/Lucerna","Seat lane")</x:f>
        <x:v>Primary seat + Hashlight/Lucerna</x:v>
      </x:c>
      <x:c r="AA760" s="12" t="str">
        <x:f>IF(R760="","no_claim_delta","claim_delta_present")</x:f>
        <x:v>no_claim_delta</x:v>
      </x:c>
      <x:c r="AB760" s="12" t="str">
        <x:f>IF(S760="","no_contradiction_delta","contradiction_delta_present")</x:f>
        <x:v>no_contradiction_delta</x:v>
      </x:c>
      <x:c r="AC760" s="12" t="str">
        <x:f>IF(OR(ISNUMBER(SEARCH("hacker",LOWER(F760&amp;" "&amp;H760&amp;" "&amp;I760&amp;" "&amp;M760&amp;" "&amp;N760&amp;" "&amp;T760))),ISNUMBER(SEARCH("hacking",LOWER(F760&amp;" "&amp;H760&amp;" "&amp;I760&amp;" "&amp;M760&amp;" "&amp;N760&amp;" "&amp;T760))),ISNUMBER(SEARCH("bank",LOWER(F760&amp;" "&amp;H760&amp;" "&amp;I760&amp;" "&amp;M760&amp;" "&amp;N760&amp;" "&amp;T760))),ISNUMBER(SEARCH("banking",LOWER(F760&amp;" "&amp;H760&amp;" "&amp;I760&amp;" "&amp;M760&amp;" "&amp;N760&amp;" "&amp;T760)))),"PRIVATE_QUARANTINE",IF(OR(ISNUMBER(SEARCH("treasury",LOWER(F760&amp;" "&amp;H760&amp;" "&amp;I760&amp;" "&amp;M760&amp;" "&amp;N760&amp;" "&amp;T760))),ISNUMBER(SEARCH("debt",LOWER(F760&amp;" "&amp;H760&amp;" "&amp;I760&amp;" "&amp;M760&amp;" "&amp;N760&amp;" "&amp;T760))),ISNUMBER(SEARCH("bond",LOWER(F760&amp;" "&amp;H760&amp;" "&amp;I760&amp;" "&amp;M760&amp;" "&amp;N760&amp;" "&amp;T760))),ISNUMBER(SEARCH("transaction",LOWER(F760&amp;" "&amp;H760&amp;" "&amp;I760&amp;" "&amp;M760&amp;" "&amp;N760&amp;" "&amp;T760)))),"PRIVATE_REVIEW","PUBLIC_CANDIDATE"))</x:f>
        <x:v>PUBLIC_CANDIDATE</x:v>
      </x:c>
      <x:c r="AD760" s="12" t="str">
        <x:f>IF(AC760="PRIVATE_QUARANTINE","hacker_or_bank_trigger",IF(AC760="PRIVATE_REVIEW","finance_risk_trigger","none"))</x:f>
        <x:v>none</x:v>
      </x:c>
      <x:c r="AE760" s="12" t="str">
        <x:f>IF(AC760="PUBLIC_CANDIDATE","prepare_public_github_candidate",IF(AC760="PRIVATE_REVIEW","hold_for_private_review","quarantine_private_do_not_publish"))</x:f>
        <x:v>prepare_public_github_candidate</x:v>
      </x:c>
      <x:c r="AF760" s="12" t="str">
        <x:f>IF(AC760="PUBLIC_CANDIDATE","TIDELOCK + Lucerna",IF(AC760="PRIVATE_REVIEW","AtlasBrain + Lucerna","TIDELOCK + Lucerna + Human-root"))</x:f>
        <x:v>TIDELOCK + Lucerna</x:v>
      </x:c>
      <x:c r="AG760" s="12" t="str">
        <x:f>IF(AND(AC760="PUBLIC_CANDIDATE",U760&lt;&gt;"BLOCKED_PENDING_RECEIPT"),"READY_AFTER_RECEIPT","NOT_READY")</x:f>
        <x:v>NOT_READY</x:v>
      </x:c>
      <x:c r="AH760" s="12" t="str">
        <x:f>IF(AC760="PUBLIC_CANDIDATE","none",AD760)</x:f>
        <x:v>none</x:v>
      </x:c>
      <x:c r="AI760" s="12" t="str">
        <x:f>IF(AC760="PUBLIC_CANDIDATE","archive/public_candidates/"&amp;A760,"private_quarantine/"&amp;A760)</x:f>
        <x:v>archive/public_candidates/SWARM-06-H04-S03</x:v>
      </x:c>
      <x:c r="AJ760" s="12" t="str">
        <x:f>IF(AC760="PUBLIC_CANDIDATE","public by default; still not canon","private/hold; do not publish")</x:f>
        <x:v>public by default; still not canon</x:v>
      </x:c>
      <x:c r="AK760" s="12" t="str">
        <x:f>IF(AE760="prepare_public_github_candidate","add receipt/status then mirror","resolve blocker before any public GitHub action")</x:f>
        <x:v>add receipt/status then mirror</x:v>
      </x:c>
    </x:row>
    <x:row r="761">
      <x:c r="A761" s="15" t="str">
        <x:v>SWARM-06-H04-S04</x:v>
      </x:c>
      <x:c r="B761" s="15" t="str">
        <x:v>Forgekid</x:v>
      </x:c>
      <x:c r="C761" s="15" t="str">
        <x:v>Aetherforge UX builder</x:v>
      </x:c>
      <x:c r="D761" s="15" t="str">
        <x:v>Claim Extraction</x:v>
      </x:c>
      <x:c r="E761" s="15" t="str">
        <x:v>Gamma</x:v>
      </x:c>
      <x:c r="F761" s="15" t="str">
        <x:v>Extract claims from Gamma — Forgekid</x:v>
      </x:c>
      <x:c r="G761" s="15" t="str">
        <x:v>quest cards / task cards / board affordances</x:v>
      </x:c>
      <x:c r="H761" s="15" t="str">
        <x:v>source path + receipt + raw/export status + claim/edge/risk delta</x:v>
      </x:c>
      <x:c r="I761" s="15" t="str">
        <x:v>packet/SWARM-06-H04-S04</x:v>
      </x:c>
      <x:c r="J761" s="15" t="str">
        <x:v>TODO</x:v>
      </x:c>
      <x:c r="K761" s="15" t="str">
        <x:v>P1</x:v>
      </x:c>
      <x:c r="L761" s="15" t="str">
        <x:v>Done only when evidence is logged, contradiction search is noted, and boundary stamp remains non-canon unless ratified</x:v>
      </x:c>
      <x:c r="M761" s="15" t="str">
        <x:v>candidate / staging-only / not canon / not deployed / authority none</x:v>
      </x:c>
      <x:c r="N761" s="15" t="str">
        <x:v>Dispatch to Forgekid: complete Claim Extraction x Gamma; return deltas only, receipts required.</x:v>
      </x:c>
      <x:c r="O761" s="15" t="str">
        <x:v>AF-KG-H04-S04</x:v>
      </x:c>
      <x:c r="P761" s="15" t="str">
        <x:v>Unverified</x:v>
      </x:c>
      <x:c r="Q761" s="15" t="str">
        <x:v>Not checked</x:v>
      </x:c>
      <x:c r="R761" s="15" t="str"/>
      <x:c r="S761" s="15" t="str"/>
      <x:c r="T761" s="15" t="str">
        <x:v>Log first source path or blocker</x:v>
      </x:c>
      <x:c r="U761" s="12" t="str">
        <x:f>IF(OR(P761="Unverified",Q761="Not checked"),"BLOCKED_PENDING_RECEIPT","READY_FOR_REVIEW")</x:f>
        <x:v>BLOCKED_PENDING_RECEIPT</x:v>
      </x:c>
      <x:c r="V761" s="12" t="str">
        <x:f>IF(J761="DONE","RETURNED",IF(U761="BLOCKED_PENDING_RECEIPT","SOURCE_TOUCH_REQUIRED","IN_PROGRESS"))</x:f>
        <x:v>SOURCE_TOUCH_REQUIRED</x:v>
      </x:c>
      <x:c r="W761" s="12" t="str">
        <x:f>IF(P761="Unverified","missing_receipt","receipt_logged")</x:f>
        <x:v>missing_receipt</x:v>
      </x:c>
      <x:c r="X761" s="12" t="str">
        <x:f>IF(Q761="Not checked","raw_status_missing","raw_status_logged")</x:f>
        <x:v>raw_status_missing</x:v>
      </x:c>
      <x:c r="Y761" s="12" t="str">
        <x:f>IF(U761="BLOCKED_PENDING_RECEIPT","Log source path or blocker; do not promote","Route to review lane")</x:f>
        <x:v>Log source path or blocker; do not promote</x:v>
      </x:c>
      <x:c r="Z761" s="12" t="str">
        <x:f>IF(K761="P0","Primary seat + Hashlight/Lucerna","Seat lane")</x:f>
        <x:v>Seat lane</x:v>
      </x:c>
      <x:c r="AA761" s="12" t="str">
        <x:f>IF(R761="","no_claim_delta","claim_delta_present")</x:f>
        <x:v>no_claim_delta</x:v>
      </x:c>
      <x:c r="AB761" s="12" t="str">
        <x:f>IF(S761="","no_contradiction_delta","contradiction_delta_present")</x:f>
        <x:v>no_contradiction_delta</x:v>
      </x:c>
      <x:c r="AC761" s="12" t="str">
        <x:f>IF(OR(ISNUMBER(SEARCH("hacker",LOWER(F761&amp;" "&amp;H761&amp;" "&amp;I761&amp;" "&amp;M761&amp;" "&amp;N761&amp;" "&amp;T761))),ISNUMBER(SEARCH("hacking",LOWER(F761&amp;" "&amp;H761&amp;" "&amp;I761&amp;" "&amp;M761&amp;" "&amp;N761&amp;" "&amp;T761))),ISNUMBER(SEARCH("bank",LOWER(F761&amp;" "&amp;H761&amp;" "&amp;I761&amp;" "&amp;M761&amp;" "&amp;N761&amp;" "&amp;T761))),ISNUMBER(SEARCH("banking",LOWER(F761&amp;" "&amp;H761&amp;" "&amp;I761&amp;" "&amp;M761&amp;" "&amp;N761&amp;" "&amp;T761)))),"PRIVATE_QUARANTINE",IF(OR(ISNUMBER(SEARCH("treasury",LOWER(F761&amp;" "&amp;H761&amp;" "&amp;I761&amp;" "&amp;M761&amp;" "&amp;N761&amp;" "&amp;T761))),ISNUMBER(SEARCH("debt",LOWER(F761&amp;" "&amp;H761&amp;" "&amp;I761&amp;" "&amp;M761&amp;" "&amp;N761&amp;" "&amp;T761))),ISNUMBER(SEARCH("bond",LOWER(F761&amp;" "&amp;H761&amp;" "&amp;I761&amp;" "&amp;M761&amp;" "&amp;N761&amp;" "&amp;T761))),ISNUMBER(SEARCH("transaction",LOWER(F761&amp;" "&amp;H761&amp;" "&amp;I761&amp;" "&amp;M761&amp;" "&amp;N761&amp;" "&amp;T761)))),"PRIVATE_REVIEW","PUBLIC_CANDIDATE"))</x:f>
        <x:v>PUBLIC_CANDIDATE</x:v>
      </x:c>
      <x:c r="AD761" s="12" t="str">
        <x:f>IF(AC761="PRIVATE_QUARANTINE","hacker_or_bank_trigger",IF(AC761="PRIVATE_REVIEW","finance_risk_trigger","none"))</x:f>
        <x:v>none</x:v>
      </x:c>
      <x:c r="AE761" s="12" t="str">
        <x:f>IF(AC761="PUBLIC_CANDIDATE","prepare_public_github_candidate",IF(AC761="PRIVATE_REVIEW","hold_for_private_review","quarantine_private_do_not_publish"))</x:f>
        <x:v>prepare_public_github_candidate</x:v>
      </x:c>
      <x:c r="AF761" s="12" t="str">
        <x:f>IF(AC761="PUBLIC_CANDIDATE","TIDELOCK + Lucerna",IF(AC761="PRIVATE_REVIEW","AtlasBrain + Lucerna","TIDELOCK + Lucerna + Human-root"))</x:f>
        <x:v>TIDELOCK + Lucerna</x:v>
      </x:c>
      <x:c r="AG761" s="12" t="str">
        <x:f>IF(AND(AC761="PUBLIC_CANDIDATE",U761&lt;&gt;"BLOCKED_PENDING_RECEIPT"),"READY_AFTER_RECEIPT","NOT_READY")</x:f>
        <x:v>NOT_READY</x:v>
      </x:c>
      <x:c r="AH761" s="12" t="str">
        <x:f>IF(AC761="PUBLIC_CANDIDATE","none",AD761)</x:f>
        <x:v>none</x:v>
      </x:c>
      <x:c r="AI761" s="12" t="str">
        <x:f>IF(AC761="PUBLIC_CANDIDATE","archive/public_candidates/"&amp;A761,"private_quarantine/"&amp;A761)</x:f>
        <x:v>archive/public_candidates/SWARM-06-H04-S04</x:v>
      </x:c>
      <x:c r="AJ761" s="12" t="str">
        <x:f>IF(AC761="PUBLIC_CANDIDATE","public by default; still not canon","private/hold; do not publish")</x:f>
        <x:v>public by default; still not canon</x:v>
      </x:c>
      <x:c r="AK761" s="12" t="str">
        <x:f>IF(AE761="prepare_public_github_candidate","add receipt/status then mirror","resolve blocker before any public GitHub action")</x:f>
        <x:v>add receipt/status then mirror</x:v>
      </x:c>
    </x:row>
    <x:row r="762">
      <x:c r="A762" s="15" t="str">
        <x:v>SWARM-06-H04-S05</x:v>
      </x:c>
      <x:c r="B762" s="15" t="str">
        <x:v>Forgekid</x:v>
      </x:c>
      <x:c r="C762" s="15" t="str">
        <x:v>Aetherforge UX builder</x:v>
      </x:c>
      <x:c r="D762" s="15" t="str">
        <x:v>Claim Extraction</x:v>
      </x:c>
      <x:c r="E762" s="15" t="str">
        <x:v>Chat</x:v>
      </x:c>
      <x:c r="F762" s="15" t="str">
        <x:v>Extract claims from Chat — Forgekid</x:v>
      </x:c>
      <x:c r="G762" s="15" t="str">
        <x:v>quest cards / task cards / board affordances</x:v>
      </x:c>
      <x:c r="H762" s="15" t="str">
        <x:v>source path + receipt + raw/export status + claim/edge/risk delta</x:v>
      </x:c>
      <x:c r="I762" s="15" t="str">
        <x:v>packet/SWARM-06-H04-S05</x:v>
      </x:c>
      <x:c r="J762" s="15" t="str">
        <x:v>TODO</x:v>
      </x:c>
      <x:c r="K762" s="15" t="str">
        <x:v>P1</x:v>
      </x:c>
      <x:c r="L762" s="15" t="str">
        <x:v>Done only when evidence is logged, contradiction search is noted, and boundary stamp remains non-canon unless ratified</x:v>
      </x:c>
      <x:c r="M762" s="15" t="str">
        <x:v>candidate / staging-only / not canon / not deployed / authority none</x:v>
      </x:c>
      <x:c r="N762" s="15" t="str">
        <x:v>Dispatch to Forgekid: complete Claim Extraction x Chat; return deltas only, receipts required.</x:v>
      </x:c>
      <x:c r="O762" s="15" t="str">
        <x:v>AF-KG-H04-S05</x:v>
      </x:c>
      <x:c r="P762" s="15" t="str">
        <x:v>Unverified</x:v>
      </x:c>
      <x:c r="Q762" s="15" t="str">
        <x:v>Not checked</x:v>
      </x:c>
      <x:c r="R762" s="15" t="str"/>
      <x:c r="S762" s="15" t="str"/>
      <x:c r="T762" s="15" t="str">
        <x:v>Log first source path or blocker</x:v>
      </x:c>
      <x:c r="U762" s="12" t="str">
        <x:f>IF(OR(P762="Unverified",Q762="Not checked"),"BLOCKED_PENDING_RECEIPT","READY_FOR_REVIEW")</x:f>
        <x:v>BLOCKED_PENDING_RECEIPT</x:v>
      </x:c>
      <x:c r="V762" s="12" t="str">
        <x:f>IF(J762="DONE","RETURNED",IF(U762="BLOCKED_PENDING_RECEIPT","SOURCE_TOUCH_REQUIRED","IN_PROGRESS"))</x:f>
        <x:v>SOURCE_TOUCH_REQUIRED</x:v>
      </x:c>
      <x:c r="W762" s="12" t="str">
        <x:f>IF(P762="Unverified","missing_receipt","receipt_logged")</x:f>
        <x:v>missing_receipt</x:v>
      </x:c>
      <x:c r="X762" s="12" t="str">
        <x:f>IF(Q762="Not checked","raw_status_missing","raw_status_logged")</x:f>
        <x:v>raw_status_missing</x:v>
      </x:c>
      <x:c r="Y762" s="12" t="str">
        <x:f>IF(U762="BLOCKED_PENDING_RECEIPT","Log source path or blocker; do not promote","Route to review lane")</x:f>
        <x:v>Log source path or blocker; do not promote</x:v>
      </x:c>
      <x:c r="Z762" s="12" t="str">
        <x:f>IF(K762="P0","Primary seat + Hashlight/Lucerna","Seat lane")</x:f>
        <x:v>Seat lane</x:v>
      </x:c>
      <x:c r="AA762" s="12" t="str">
        <x:f>IF(R762="","no_claim_delta","claim_delta_present")</x:f>
        <x:v>no_claim_delta</x:v>
      </x:c>
      <x:c r="AB762" s="12" t="str">
        <x:f>IF(S762="","no_contradiction_delta","contradiction_delta_present")</x:f>
        <x:v>no_contradiction_delta</x:v>
      </x:c>
      <x:c r="AC762" s="12" t="str">
        <x:f>IF(OR(ISNUMBER(SEARCH("hacker",LOWER(F762&amp;" "&amp;H762&amp;" "&amp;I762&amp;" "&amp;M762&amp;" "&amp;N762&amp;" "&amp;T762))),ISNUMBER(SEARCH("hacking",LOWER(F762&amp;" "&amp;H762&amp;" "&amp;I762&amp;" "&amp;M762&amp;" "&amp;N762&amp;" "&amp;T762))),ISNUMBER(SEARCH("bank",LOWER(F762&amp;" "&amp;H762&amp;" "&amp;I762&amp;" "&amp;M762&amp;" "&amp;N762&amp;" "&amp;T762))),ISNUMBER(SEARCH("banking",LOWER(F762&amp;" "&amp;H762&amp;" "&amp;I762&amp;" "&amp;M762&amp;" "&amp;N762&amp;" "&amp;T762)))),"PRIVATE_QUARANTINE",IF(OR(ISNUMBER(SEARCH("treasury",LOWER(F762&amp;" "&amp;H762&amp;" "&amp;I762&amp;" "&amp;M762&amp;" "&amp;N762&amp;" "&amp;T762))),ISNUMBER(SEARCH("debt",LOWER(F762&amp;" "&amp;H762&amp;" "&amp;I762&amp;" "&amp;M762&amp;" "&amp;N762&amp;" "&amp;T762))),ISNUMBER(SEARCH("bond",LOWER(F762&amp;" "&amp;H762&amp;" "&amp;I762&amp;" "&amp;M762&amp;" "&amp;N762&amp;" "&amp;T762))),ISNUMBER(SEARCH("transaction",LOWER(F762&amp;" "&amp;H762&amp;" "&amp;I762&amp;" "&amp;M762&amp;" "&amp;N762&amp;" "&amp;T762)))),"PRIVATE_REVIEW","PUBLIC_CANDIDATE"))</x:f>
        <x:v>PUBLIC_CANDIDATE</x:v>
      </x:c>
      <x:c r="AD762" s="12" t="str">
        <x:f>IF(AC762="PRIVATE_QUARANTINE","hacker_or_bank_trigger",IF(AC762="PRIVATE_REVIEW","finance_risk_trigger","none"))</x:f>
        <x:v>none</x:v>
      </x:c>
      <x:c r="AE762" s="12" t="str">
        <x:f>IF(AC762="PUBLIC_CANDIDATE","prepare_public_github_candidate",IF(AC762="PRIVATE_REVIEW","hold_for_private_review","quarantine_private_do_not_publish"))</x:f>
        <x:v>prepare_public_github_candidate</x:v>
      </x:c>
      <x:c r="AF762" s="12" t="str">
        <x:f>IF(AC762="PUBLIC_CANDIDATE","TIDELOCK + Lucerna",IF(AC762="PRIVATE_REVIEW","AtlasBrain + Lucerna","TIDELOCK + Lucerna + Human-root"))</x:f>
        <x:v>TIDELOCK + Lucerna</x:v>
      </x:c>
      <x:c r="AG762" s="12" t="str">
        <x:f>IF(AND(AC762="PUBLIC_CANDIDATE",U762&lt;&gt;"BLOCKED_PENDING_RECEIPT"),"READY_AFTER_RECEIPT","NOT_READY")</x:f>
        <x:v>NOT_READY</x:v>
      </x:c>
      <x:c r="AH762" s="12" t="str">
        <x:f>IF(AC762="PUBLIC_CANDIDATE","none",AD762)</x:f>
        <x:v>none</x:v>
      </x:c>
      <x:c r="AI762" s="12" t="str">
        <x:f>IF(AC762="PUBLIC_CANDIDATE","archive/public_candidates/"&amp;A762,"private_quarantine/"&amp;A762)</x:f>
        <x:v>archive/public_candidates/SWARM-06-H04-S05</x:v>
      </x:c>
      <x:c r="AJ762" s="12" t="str">
        <x:f>IF(AC762="PUBLIC_CANDIDATE","public by default; still not canon","private/hold; do not publish")</x:f>
        <x:v>public by default; still not canon</x:v>
      </x:c>
      <x:c r="AK762" s="12" t="str">
        <x:f>IF(AE762="prepare_public_github_candidate","add receipt/status then mirror","resolve blocker before any public GitHub action")</x:f>
        <x:v>add receipt/status then mirror</x:v>
      </x:c>
    </x:row>
    <x:row r="763">
      <x:c r="A763" s="15" t="str">
        <x:v>SWARM-06-H04-S06</x:v>
      </x:c>
      <x:c r="B763" s="15" t="str">
        <x:v>Forgekid</x:v>
      </x:c>
      <x:c r="C763" s="15" t="str">
        <x:v>Aetherforge UX builder</x:v>
      </x:c>
      <x:c r="D763" s="15" t="str">
        <x:v>Claim Extraction</x:v>
      </x:c>
      <x:c r="E763" s="15" t="str">
        <x:v>External Web</x:v>
      </x:c>
      <x:c r="F763" s="15" t="str">
        <x:v>Extract claims from External Web — Forgekid</x:v>
      </x:c>
      <x:c r="G763" s="15" t="str">
        <x:v>quest cards / task cards / board affordances</x:v>
      </x:c>
      <x:c r="H763" s="15" t="str">
        <x:v>source path + receipt + raw/export status + claim/edge/risk delta</x:v>
      </x:c>
      <x:c r="I763" s="15" t="str">
        <x:v>packet/SWARM-06-H04-S06</x:v>
      </x:c>
      <x:c r="J763" s="15" t="str">
        <x:v>TODO</x:v>
      </x:c>
      <x:c r="K763" s="15" t="str">
        <x:v>P1</x:v>
      </x:c>
      <x:c r="L763" s="15" t="str">
        <x:v>Done only when evidence is logged, contradiction search is noted, and boundary stamp remains non-canon unless ratified</x:v>
      </x:c>
      <x:c r="M763" s="15" t="str">
        <x:v>candidate / staging-only / not canon / not deployed / authority none</x:v>
      </x:c>
      <x:c r="N763" s="15" t="str">
        <x:v>Dispatch to Forgekid: complete Claim Extraction x External Web; return deltas only, receipts required.</x:v>
      </x:c>
      <x:c r="O763" s="15" t="str">
        <x:v>AF-KG-H04-S06</x:v>
      </x:c>
      <x:c r="P763" s="15" t="str">
        <x:v>Unverified</x:v>
      </x:c>
      <x:c r="Q763" s="15" t="str">
        <x:v>Not checked</x:v>
      </x:c>
      <x:c r="R763" s="15" t="str"/>
      <x:c r="S763" s="15" t="str"/>
      <x:c r="T763" s="15" t="str">
        <x:v>Log first source path or blocker</x:v>
      </x:c>
      <x:c r="U763" s="12" t="str">
        <x:f>IF(OR(P763="Unverified",Q763="Not checked"),"BLOCKED_PENDING_RECEIPT","READY_FOR_REVIEW")</x:f>
        <x:v>BLOCKED_PENDING_RECEIPT</x:v>
      </x:c>
      <x:c r="V763" s="12" t="str">
        <x:f>IF(J763="DONE","RETURNED",IF(U763="BLOCKED_PENDING_RECEIPT","SOURCE_TOUCH_REQUIRED","IN_PROGRESS"))</x:f>
        <x:v>SOURCE_TOUCH_REQUIRED</x:v>
      </x:c>
      <x:c r="W763" s="12" t="str">
        <x:f>IF(P763="Unverified","missing_receipt","receipt_logged")</x:f>
        <x:v>missing_receipt</x:v>
      </x:c>
      <x:c r="X763" s="12" t="str">
        <x:f>IF(Q763="Not checked","raw_status_missing","raw_status_logged")</x:f>
        <x:v>raw_status_missing</x:v>
      </x:c>
      <x:c r="Y763" s="12" t="str">
        <x:f>IF(U763="BLOCKED_PENDING_RECEIPT","Log source path or blocker; do not promote","Route to review lane")</x:f>
        <x:v>Log source path or blocker; do not promote</x:v>
      </x:c>
      <x:c r="Z763" s="12" t="str">
        <x:f>IF(K763="P0","Primary seat + Hashlight/Lucerna","Seat lane")</x:f>
        <x:v>Seat lane</x:v>
      </x:c>
      <x:c r="AA763" s="12" t="str">
        <x:f>IF(R763="","no_claim_delta","claim_delta_present")</x:f>
        <x:v>no_claim_delta</x:v>
      </x:c>
      <x:c r="AB763" s="12" t="str">
        <x:f>IF(S763="","no_contradiction_delta","contradiction_delta_present")</x:f>
        <x:v>no_contradiction_delta</x:v>
      </x:c>
      <x:c r="AC763" s="12" t="str">
        <x:f>IF(OR(ISNUMBER(SEARCH("hacker",LOWER(F763&amp;" "&amp;H763&amp;" "&amp;I763&amp;" "&amp;M763&amp;" "&amp;N763&amp;" "&amp;T763))),ISNUMBER(SEARCH("hacking",LOWER(F763&amp;" "&amp;H763&amp;" "&amp;I763&amp;" "&amp;M763&amp;" "&amp;N763&amp;" "&amp;T763))),ISNUMBER(SEARCH("bank",LOWER(F763&amp;" "&amp;H763&amp;" "&amp;I763&amp;" "&amp;M763&amp;" "&amp;N763&amp;" "&amp;T763))),ISNUMBER(SEARCH("banking",LOWER(F763&amp;" "&amp;H763&amp;" "&amp;I763&amp;" "&amp;M763&amp;" "&amp;N763&amp;" "&amp;T763)))),"PRIVATE_QUARANTINE",IF(OR(ISNUMBER(SEARCH("treasury",LOWER(F763&amp;" "&amp;H763&amp;" "&amp;I763&amp;" "&amp;M763&amp;" "&amp;N763&amp;" "&amp;T763))),ISNUMBER(SEARCH("debt",LOWER(F763&amp;" "&amp;H763&amp;" "&amp;I763&amp;" "&amp;M763&amp;" "&amp;N763&amp;" "&amp;T763))),ISNUMBER(SEARCH("bond",LOWER(F763&amp;" "&amp;H763&amp;" "&amp;I763&amp;" "&amp;M763&amp;" "&amp;N763&amp;" "&amp;T763))),ISNUMBER(SEARCH("transaction",LOWER(F763&amp;" "&amp;H763&amp;" "&amp;I763&amp;" "&amp;M763&amp;" "&amp;N763&amp;" "&amp;T763)))),"PRIVATE_REVIEW","PUBLIC_CANDIDATE"))</x:f>
        <x:v>PUBLIC_CANDIDATE</x:v>
      </x:c>
      <x:c r="AD763" s="12" t="str">
        <x:f>IF(AC763="PRIVATE_QUARANTINE","hacker_or_bank_trigger",IF(AC763="PRIVATE_REVIEW","finance_risk_trigger","none"))</x:f>
        <x:v>none</x:v>
      </x:c>
      <x:c r="AE763" s="12" t="str">
        <x:f>IF(AC763="PUBLIC_CANDIDATE","prepare_public_github_candidate",IF(AC763="PRIVATE_REVIEW","hold_for_private_review","quarantine_private_do_not_publish"))</x:f>
        <x:v>prepare_public_github_candidate</x:v>
      </x:c>
      <x:c r="AF763" s="12" t="str">
        <x:f>IF(AC763="PUBLIC_CANDIDATE","TIDELOCK + Lucerna",IF(AC763="PRIVATE_REVIEW","AtlasBrain + Lucerna","TIDELOCK + Lucerna + Human-root"))</x:f>
        <x:v>TIDELOCK + Lucerna</x:v>
      </x:c>
      <x:c r="AG763" s="12" t="str">
        <x:f>IF(AND(AC763="PUBLIC_CANDIDATE",U763&lt;&gt;"BLOCKED_PENDING_RECEIPT"),"READY_AFTER_RECEIPT","NOT_READY")</x:f>
        <x:v>NOT_READY</x:v>
      </x:c>
      <x:c r="AH763" s="12" t="str">
        <x:f>IF(AC763="PUBLIC_CANDIDATE","none",AD763)</x:f>
        <x:v>none</x:v>
      </x:c>
      <x:c r="AI763" s="12" t="str">
        <x:f>IF(AC763="PUBLIC_CANDIDATE","archive/public_candidates/"&amp;A763,"private_quarantine/"&amp;A763)</x:f>
        <x:v>archive/public_candidates/SWARM-06-H04-S06</x:v>
      </x:c>
      <x:c r="AJ763" s="12" t="str">
        <x:f>IF(AC763="PUBLIC_CANDIDATE","public by default; still not canon","private/hold; do not publish")</x:f>
        <x:v>public by default; still not canon</x:v>
      </x:c>
      <x:c r="AK763" s="12" t="str">
        <x:f>IF(AE763="prepare_public_github_candidate","add receipt/status then mirror","resolve blocker before any public GitHub action")</x:f>
        <x:v>add receipt/status then mirror</x:v>
      </x:c>
    </x:row>
    <x:row r="764">
      <x:c r="A764" s="15" t="str">
        <x:v>SWARM-06-H04-S07</x:v>
      </x:c>
      <x:c r="B764" s="15" t="str">
        <x:v>Forgekid</x:v>
      </x:c>
      <x:c r="C764" s="15" t="str">
        <x:v>Aetherforge UX builder</x:v>
      </x:c>
      <x:c r="D764" s="15" t="str">
        <x:v>Claim Extraction</x:v>
      </x:c>
      <x:c r="E764" s="15" t="str">
        <x:v>Planetarium</x:v>
      </x:c>
      <x:c r="F764" s="15" t="str">
        <x:v>Extract claims from Planetarium — Forgekid</x:v>
      </x:c>
      <x:c r="G764" s="15" t="str">
        <x:v>quest cards / task cards / board affordances</x:v>
      </x:c>
      <x:c r="H764" s="15" t="str">
        <x:v>source path + receipt + raw/export status + claim/edge/risk delta</x:v>
      </x:c>
      <x:c r="I764" s="15" t="str">
        <x:v>packet/SWARM-06-H04-S07</x:v>
      </x:c>
      <x:c r="J764" s="15" t="str">
        <x:v>TODO</x:v>
      </x:c>
      <x:c r="K764" s="15" t="str">
        <x:v>P1</x:v>
      </x:c>
      <x:c r="L764" s="15" t="str">
        <x:v>Done only when evidence is logged, contradiction search is noted, and boundary stamp remains non-canon unless ratified</x:v>
      </x:c>
      <x:c r="M764" s="15" t="str">
        <x:v>candidate / staging-only / not canon / not deployed / authority none</x:v>
      </x:c>
      <x:c r="N764" s="15" t="str">
        <x:v>Dispatch to Forgekid: complete Claim Extraction x Planetarium; return deltas only, receipts required.</x:v>
      </x:c>
      <x:c r="O764" s="15" t="str">
        <x:v>AF-KG-H04-S07</x:v>
      </x:c>
      <x:c r="P764" s="15" t="str">
        <x:v>Unverified</x:v>
      </x:c>
      <x:c r="Q764" s="15" t="str">
        <x:v>Not checked</x:v>
      </x:c>
      <x:c r="R764" s="15" t="str"/>
      <x:c r="S764" s="15" t="str"/>
      <x:c r="T764" s="15" t="str">
        <x:v>Log first source path or blocker</x:v>
      </x:c>
      <x:c r="U764" s="12" t="str">
        <x:f>IF(OR(P764="Unverified",Q764="Not checked"),"BLOCKED_PENDING_RECEIPT","READY_FOR_REVIEW")</x:f>
        <x:v>BLOCKED_PENDING_RECEIPT</x:v>
      </x:c>
      <x:c r="V764" s="12" t="str">
        <x:f>IF(J764="DONE","RETURNED",IF(U764="BLOCKED_PENDING_RECEIPT","SOURCE_TOUCH_REQUIRED","IN_PROGRESS"))</x:f>
        <x:v>SOURCE_TOUCH_REQUIRED</x:v>
      </x:c>
      <x:c r="W764" s="12" t="str">
        <x:f>IF(P764="Unverified","missing_receipt","receipt_logged")</x:f>
        <x:v>missing_receipt</x:v>
      </x:c>
      <x:c r="X764" s="12" t="str">
        <x:f>IF(Q764="Not checked","raw_status_missing","raw_status_logged")</x:f>
        <x:v>raw_status_missing</x:v>
      </x:c>
      <x:c r="Y764" s="12" t="str">
        <x:f>IF(U764="BLOCKED_PENDING_RECEIPT","Log source path or blocker; do not promote","Route to review lane")</x:f>
        <x:v>Log source path or blocker; do not promote</x:v>
      </x:c>
      <x:c r="Z764" s="12" t="str">
        <x:f>IF(K764="P0","Primary seat + Hashlight/Lucerna","Seat lane")</x:f>
        <x:v>Seat lane</x:v>
      </x:c>
      <x:c r="AA764" s="12" t="str">
        <x:f>IF(R764="","no_claim_delta","claim_delta_present")</x:f>
        <x:v>no_claim_delta</x:v>
      </x:c>
      <x:c r="AB764" s="12" t="str">
        <x:f>IF(S764="","no_contradiction_delta","contradiction_delta_present")</x:f>
        <x:v>no_contradiction_delta</x:v>
      </x:c>
      <x:c r="AC764" s="12" t="str">
        <x:f>IF(OR(ISNUMBER(SEARCH("hacker",LOWER(F764&amp;" "&amp;H764&amp;" "&amp;I764&amp;" "&amp;M764&amp;" "&amp;N764&amp;" "&amp;T764))),ISNUMBER(SEARCH("hacking",LOWER(F764&amp;" "&amp;H764&amp;" "&amp;I764&amp;" "&amp;M764&amp;" "&amp;N764&amp;" "&amp;T764))),ISNUMBER(SEARCH("bank",LOWER(F764&amp;" "&amp;H764&amp;" "&amp;I764&amp;" "&amp;M764&amp;" "&amp;N764&amp;" "&amp;T764))),ISNUMBER(SEARCH("banking",LOWER(F764&amp;" "&amp;H764&amp;" "&amp;I764&amp;" "&amp;M764&amp;" "&amp;N764&amp;" "&amp;T764)))),"PRIVATE_QUARANTINE",IF(OR(ISNUMBER(SEARCH("treasury",LOWER(F764&amp;" "&amp;H764&amp;" "&amp;I764&amp;" "&amp;M764&amp;" "&amp;N764&amp;" "&amp;T764))),ISNUMBER(SEARCH("debt",LOWER(F764&amp;" "&amp;H764&amp;" "&amp;I764&amp;" "&amp;M764&amp;" "&amp;N764&amp;" "&amp;T764))),ISNUMBER(SEARCH("bond",LOWER(F764&amp;" "&amp;H764&amp;" "&amp;I764&amp;" "&amp;M764&amp;" "&amp;N764&amp;" "&amp;T764))),ISNUMBER(SEARCH("transaction",LOWER(F764&amp;" "&amp;H764&amp;" "&amp;I764&amp;" "&amp;M764&amp;" "&amp;N764&amp;" "&amp;T764)))),"PRIVATE_REVIEW","PUBLIC_CANDIDATE"))</x:f>
        <x:v>PUBLIC_CANDIDATE</x:v>
      </x:c>
      <x:c r="AD764" s="12" t="str">
        <x:f>IF(AC764="PRIVATE_QUARANTINE","hacker_or_bank_trigger",IF(AC764="PRIVATE_REVIEW","finance_risk_trigger","none"))</x:f>
        <x:v>none</x:v>
      </x:c>
      <x:c r="AE764" s="12" t="str">
        <x:f>IF(AC764="PUBLIC_CANDIDATE","prepare_public_github_candidate",IF(AC764="PRIVATE_REVIEW","hold_for_private_review","quarantine_private_do_not_publish"))</x:f>
        <x:v>prepare_public_github_candidate</x:v>
      </x:c>
      <x:c r="AF764" s="12" t="str">
        <x:f>IF(AC764="PUBLIC_CANDIDATE","TIDELOCK + Lucerna",IF(AC764="PRIVATE_REVIEW","AtlasBrain + Lucerna","TIDELOCK + Lucerna + Human-root"))</x:f>
        <x:v>TIDELOCK + Lucerna</x:v>
      </x:c>
      <x:c r="AG764" s="12" t="str">
        <x:f>IF(AND(AC764="PUBLIC_CANDIDATE",U764&lt;&gt;"BLOCKED_PENDING_RECEIPT"),"READY_AFTER_RECEIPT","NOT_READY")</x:f>
        <x:v>NOT_READY</x:v>
      </x:c>
      <x:c r="AH764" s="12" t="str">
        <x:f>IF(AC764="PUBLIC_CANDIDATE","none",AD764)</x:f>
        <x:v>none</x:v>
      </x:c>
      <x:c r="AI764" s="12" t="str">
        <x:f>IF(AC764="PUBLIC_CANDIDATE","archive/public_candidates/"&amp;A764,"private_quarantine/"&amp;A764)</x:f>
        <x:v>archive/public_candidates/SWARM-06-H04-S07</x:v>
      </x:c>
      <x:c r="AJ764" s="12" t="str">
        <x:f>IF(AC764="PUBLIC_CANDIDATE","public by default; still not canon","private/hold; do not publish")</x:f>
        <x:v>public by default; still not canon</x:v>
      </x:c>
      <x:c r="AK764" s="12" t="str">
        <x:f>IF(AE764="prepare_public_github_candidate","add receipt/status then mirror","resolve blocker before any public GitHub action")</x:f>
        <x:v>add receipt/status then mirror</x:v>
      </x:c>
    </x:row>
    <x:row r="765">
      <x:c r="A765" s="15" t="str">
        <x:v>SWARM-06-H04-S08</x:v>
      </x:c>
      <x:c r="B765" s="15" t="str">
        <x:v>Forgekid</x:v>
      </x:c>
      <x:c r="C765" s="15" t="str">
        <x:v>Aetherforge UX builder</x:v>
      </x:c>
      <x:c r="D765" s="15" t="str">
        <x:v>Claim Extraction</x:v>
      </x:c>
      <x:c r="E765" s="15" t="str">
        <x:v>Sheldonbrain</x:v>
      </x:c>
      <x:c r="F765" s="15" t="str">
        <x:v>Extract claims from Sheldonbrain — Forgekid</x:v>
      </x:c>
      <x:c r="G765" s="15" t="str">
        <x:v>quest cards / task cards / board affordances</x:v>
      </x:c>
      <x:c r="H765" s="15" t="str">
        <x:v>source path + receipt + raw/export status + claim/edge/risk delta</x:v>
      </x:c>
      <x:c r="I765" s="15" t="str">
        <x:v>packet/SWARM-06-H04-S08</x:v>
      </x:c>
      <x:c r="J765" s="15" t="str">
        <x:v>TODO</x:v>
      </x:c>
      <x:c r="K765" s="15" t="str">
        <x:v>P1</x:v>
      </x:c>
      <x:c r="L765" s="15" t="str">
        <x:v>Done only when evidence is logged, contradiction search is noted, and boundary stamp remains non-canon unless ratified</x:v>
      </x:c>
      <x:c r="M765" s="15" t="str">
        <x:v>candidate / staging-only / not canon / not deployed / authority none</x:v>
      </x:c>
      <x:c r="N765" s="15" t="str">
        <x:v>Dispatch to Forgekid: complete Claim Extraction x Sheldonbrain; return deltas only, receipts required.</x:v>
      </x:c>
      <x:c r="O765" s="15" t="str">
        <x:v>AF-KG-H04-S08</x:v>
      </x:c>
      <x:c r="P765" s="15" t="str">
        <x:v>Unverified</x:v>
      </x:c>
      <x:c r="Q765" s="15" t="str">
        <x:v>Not checked</x:v>
      </x:c>
      <x:c r="R765" s="15" t="str"/>
      <x:c r="S765" s="15" t="str"/>
      <x:c r="T765" s="15" t="str">
        <x:v>Log first source path or blocker</x:v>
      </x:c>
      <x:c r="U765" s="12" t="str">
        <x:f>IF(OR(P765="Unverified",Q765="Not checked"),"BLOCKED_PENDING_RECEIPT","READY_FOR_REVIEW")</x:f>
        <x:v>BLOCKED_PENDING_RECEIPT</x:v>
      </x:c>
      <x:c r="V765" s="12" t="str">
        <x:f>IF(J765="DONE","RETURNED",IF(U765="BLOCKED_PENDING_RECEIPT","SOURCE_TOUCH_REQUIRED","IN_PROGRESS"))</x:f>
        <x:v>SOURCE_TOUCH_REQUIRED</x:v>
      </x:c>
      <x:c r="W765" s="12" t="str">
        <x:f>IF(P765="Unverified","missing_receipt","receipt_logged")</x:f>
        <x:v>missing_receipt</x:v>
      </x:c>
      <x:c r="X765" s="12" t="str">
        <x:f>IF(Q765="Not checked","raw_status_missing","raw_status_logged")</x:f>
        <x:v>raw_status_missing</x:v>
      </x:c>
      <x:c r="Y765" s="12" t="str">
        <x:f>IF(U765="BLOCKED_PENDING_RECEIPT","Log source path or blocker; do not promote","Route to review lane")</x:f>
        <x:v>Log source path or blocker; do not promote</x:v>
      </x:c>
      <x:c r="Z765" s="12" t="str">
        <x:f>IF(K765="P0","Primary seat + Hashlight/Lucerna","Seat lane")</x:f>
        <x:v>Seat lane</x:v>
      </x:c>
      <x:c r="AA765" s="12" t="str">
        <x:f>IF(R765="","no_claim_delta","claim_delta_present")</x:f>
        <x:v>no_claim_delta</x:v>
      </x:c>
      <x:c r="AB765" s="12" t="str">
        <x:f>IF(S765="","no_contradiction_delta","contradiction_delta_present")</x:f>
        <x:v>no_contradiction_delta</x:v>
      </x:c>
      <x:c r="AC765" s="12" t="str">
        <x:f>IF(OR(ISNUMBER(SEARCH("hacker",LOWER(F765&amp;" "&amp;H765&amp;" "&amp;I765&amp;" "&amp;M765&amp;" "&amp;N765&amp;" "&amp;T765))),ISNUMBER(SEARCH("hacking",LOWER(F765&amp;" "&amp;H765&amp;" "&amp;I765&amp;" "&amp;M765&amp;" "&amp;N765&amp;" "&amp;T765))),ISNUMBER(SEARCH("bank",LOWER(F765&amp;" "&amp;H765&amp;" "&amp;I765&amp;" "&amp;M765&amp;" "&amp;N765&amp;" "&amp;T765))),ISNUMBER(SEARCH("banking",LOWER(F765&amp;" "&amp;H765&amp;" "&amp;I765&amp;" "&amp;M765&amp;" "&amp;N765&amp;" "&amp;T765)))),"PRIVATE_QUARANTINE",IF(OR(ISNUMBER(SEARCH("treasury",LOWER(F765&amp;" "&amp;H765&amp;" "&amp;I765&amp;" "&amp;M765&amp;" "&amp;N765&amp;" "&amp;T765))),ISNUMBER(SEARCH("debt",LOWER(F765&amp;" "&amp;H765&amp;" "&amp;I765&amp;" "&amp;M765&amp;" "&amp;N765&amp;" "&amp;T765))),ISNUMBER(SEARCH("bond",LOWER(F765&amp;" "&amp;H765&amp;" "&amp;I765&amp;" "&amp;M765&amp;" "&amp;N765&amp;" "&amp;T765))),ISNUMBER(SEARCH("transaction",LOWER(F765&amp;" "&amp;H765&amp;" "&amp;I765&amp;" "&amp;M765&amp;" "&amp;N765&amp;" "&amp;T765)))),"PRIVATE_REVIEW","PUBLIC_CANDIDATE"))</x:f>
        <x:v>PUBLIC_CANDIDATE</x:v>
      </x:c>
      <x:c r="AD765" s="12" t="str">
        <x:f>IF(AC765="PRIVATE_QUARANTINE","hacker_or_bank_trigger",IF(AC765="PRIVATE_REVIEW","finance_risk_trigger","none"))</x:f>
        <x:v>none</x:v>
      </x:c>
      <x:c r="AE765" s="12" t="str">
        <x:f>IF(AC765="PUBLIC_CANDIDATE","prepare_public_github_candidate",IF(AC765="PRIVATE_REVIEW","hold_for_private_review","quarantine_private_do_not_publish"))</x:f>
        <x:v>prepare_public_github_candidate</x:v>
      </x:c>
      <x:c r="AF765" s="12" t="str">
        <x:f>IF(AC765="PUBLIC_CANDIDATE","TIDELOCK + Lucerna",IF(AC765="PRIVATE_REVIEW","AtlasBrain + Lucerna","TIDELOCK + Lucerna + Human-root"))</x:f>
        <x:v>TIDELOCK + Lucerna</x:v>
      </x:c>
      <x:c r="AG765" s="12" t="str">
        <x:f>IF(AND(AC765="PUBLIC_CANDIDATE",U765&lt;&gt;"BLOCKED_PENDING_RECEIPT"),"READY_AFTER_RECEIPT","NOT_READY")</x:f>
        <x:v>NOT_READY</x:v>
      </x:c>
      <x:c r="AH765" s="12" t="str">
        <x:f>IF(AC765="PUBLIC_CANDIDATE","none",AD765)</x:f>
        <x:v>none</x:v>
      </x:c>
      <x:c r="AI765" s="12" t="str">
        <x:f>IF(AC765="PUBLIC_CANDIDATE","archive/public_candidates/"&amp;A765,"private_quarantine/"&amp;A765)</x:f>
        <x:v>archive/public_candidates/SWARM-06-H04-S08</x:v>
      </x:c>
      <x:c r="AJ765" s="12" t="str">
        <x:f>IF(AC765="PUBLIC_CANDIDATE","public by default; still not canon","private/hold; do not publish")</x:f>
        <x:v>public by default; still not canon</x:v>
      </x:c>
      <x:c r="AK765" s="12" t="str">
        <x:f>IF(AE765="prepare_public_github_candidate","add receipt/status then mirror","resolve blocker before any public GitHub action")</x:f>
        <x:v>add receipt/status then mirror</x:v>
      </x:c>
    </x:row>
    <x:row r="766">
      <x:c r="A766" s="15" t="str">
        <x:v>SWARM-06-H04-S09</x:v>
      </x:c>
      <x:c r="B766" s="15" t="str">
        <x:v>Forgekid</x:v>
      </x:c>
      <x:c r="C766" s="15" t="str">
        <x:v>Aetherforge UX builder</x:v>
      </x:c>
      <x:c r="D766" s="15" t="str">
        <x:v>Claim Extraction</x:v>
      </x:c>
      <x:c r="E766" s="15" t="str">
        <x:v>Aetherforge</x:v>
      </x:c>
      <x:c r="F766" s="15" t="str">
        <x:v>Extract claims from Aetherforge — Forgekid</x:v>
      </x:c>
      <x:c r="G766" s="15" t="str">
        <x:v>quest cards / task cards / board affordances</x:v>
      </x:c>
      <x:c r="H766" s="15" t="str">
        <x:v>source path + receipt + raw/export status + claim/edge/risk delta</x:v>
      </x:c>
      <x:c r="I766" s="15" t="str">
        <x:v>packet/SWARM-06-H04-S09</x:v>
      </x:c>
      <x:c r="J766" s="15" t="str">
        <x:v>TODO</x:v>
      </x:c>
      <x:c r="K766" s="15" t="str">
        <x:v>P2</x:v>
      </x:c>
      <x:c r="L766" s="15" t="str">
        <x:v>Done only when evidence is logged, contradiction search is noted, and boundary stamp remains non-canon unless ratified</x:v>
      </x:c>
      <x:c r="M766" s="15" t="str">
        <x:v>candidate / staging-only / not canon / not deployed / authority none</x:v>
      </x:c>
      <x:c r="N766" s="15" t="str">
        <x:v>Dispatch to Forgekid: complete Claim Extraction x Aetherforge; return deltas only, receipts required.</x:v>
      </x:c>
      <x:c r="O766" s="15" t="str">
        <x:v>AF-KG-H04-S09</x:v>
      </x:c>
      <x:c r="P766" s="15" t="str">
        <x:v>Unverified</x:v>
      </x:c>
      <x:c r="Q766" s="15" t="str">
        <x:v>Not checked</x:v>
      </x:c>
      <x:c r="R766" s="15" t="str"/>
      <x:c r="S766" s="15" t="str"/>
      <x:c r="T766" s="15" t="str">
        <x:v>Log first source path or blocker</x:v>
      </x:c>
      <x:c r="U766" s="12" t="str">
        <x:f>IF(OR(P766="Unverified",Q766="Not checked"),"BLOCKED_PENDING_RECEIPT","READY_FOR_REVIEW")</x:f>
        <x:v>BLOCKED_PENDING_RECEIPT</x:v>
      </x:c>
      <x:c r="V766" s="12" t="str">
        <x:f>IF(J766="DONE","RETURNED",IF(U766="BLOCKED_PENDING_RECEIPT","SOURCE_TOUCH_REQUIRED","IN_PROGRESS"))</x:f>
        <x:v>SOURCE_TOUCH_REQUIRED</x:v>
      </x:c>
      <x:c r="W766" s="12" t="str">
        <x:f>IF(P766="Unverified","missing_receipt","receipt_logged")</x:f>
        <x:v>missing_receipt</x:v>
      </x:c>
      <x:c r="X766" s="12" t="str">
        <x:f>IF(Q766="Not checked","raw_status_missing","raw_status_logged")</x:f>
        <x:v>raw_status_missing</x:v>
      </x:c>
      <x:c r="Y766" s="12" t="str">
        <x:f>IF(U766="BLOCKED_PENDING_RECEIPT","Log source path or blocker; do not promote","Route to review lane")</x:f>
        <x:v>Log source path or blocker; do not promote</x:v>
      </x:c>
      <x:c r="Z766" s="12" t="str">
        <x:f>IF(K766="P0","Primary seat + Hashlight/Lucerna","Seat lane")</x:f>
        <x:v>Seat lane</x:v>
      </x:c>
      <x:c r="AA766" s="12" t="str">
        <x:f>IF(R766="","no_claim_delta","claim_delta_present")</x:f>
        <x:v>no_claim_delta</x:v>
      </x:c>
      <x:c r="AB766" s="12" t="str">
        <x:f>IF(S766="","no_contradiction_delta","contradiction_delta_present")</x:f>
        <x:v>no_contradiction_delta</x:v>
      </x:c>
      <x:c r="AC766" s="12" t="str">
        <x:f>IF(OR(ISNUMBER(SEARCH("hacker",LOWER(F766&amp;" "&amp;H766&amp;" "&amp;I766&amp;" "&amp;M766&amp;" "&amp;N766&amp;" "&amp;T766))),ISNUMBER(SEARCH("hacking",LOWER(F766&amp;" "&amp;H766&amp;" "&amp;I766&amp;" "&amp;M766&amp;" "&amp;N766&amp;" "&amp;T766))),ISNUMBER(SEARCH("bank",LOWER(F766&amp;" "&amp;H766&amp;" "&amp;I766&amp;" "&amp;M766&amp;" "&amp;N766&amp;" "&amp;T766))),ISNUMBER(SEARCH("banking",LOWER(F766&amp;" "&amp;H766&amp;" "&amp;I766&amp;" "&amp;M766&amp;" "&amp;N766&amp;" "&amp;T766)))),"PRIVATE_QUARANTINE",IF(OR(ISNUMBER(SEARCH("treasury",LOWER(F766&amp;" "&amp;H766&amp;" "&amp;I766&amp;" "&amp;M766&amp;" "&amp;N766&amp;" "&amp;T766))),ISNUMBER(SEARCH("debt",LOWER(F766&amp;" "&amp;H766&amp;" "&amp;I766&amp;" "&amp;M766&amp;" "&amp;N766&amp;" "&amp;T766))),ISNUMBER(SEARCH("bond",LOWER(F766&amp;" "&amp;H766&amp;" "&amp;I766&amp;" "&amp;M766&amp;" "&amp;N766&amp;" "&amp;T766))),ISNUMBER(SEARCH("transaction",LOWER(F766&amp;" "&amp;H766&amp;" "&amp;I766&amp;" "&amp;M766&amp;" "&amp;N766&amp;" "&amp;T766)))),"PRIVATE_REVIEW","PUBLIC_CANDIDATE"))</x:f>
        <x:v>PUBLIC_CANDIDATE</x:v>
      </x:c>
      <x:c r="AD766" s="12" t="str">
        <x:f>IF(AC766="PRIVATE_QUARANTINE","hacker_or_bank_trigger",IF(AC766="PRIVATE_REVIEW","finance_risk_trigger","none"))</x:f>
        <x:v>none</x:v>
      </x:c>
      <x:c r="AE766" s="12" t="str">
        <x:f>IF(AC766="PUBLIC_CANDIDATE","prepare_public_github_candidate",IF(AC766="PRIVATE_REVIEW","hold_for_private_review","quarantine_private_do_not_publish"))</x:f>
        <x:v>prepare_public_github_candidate</x:v>
      </x:c>
      <x:c r="AF766" s="12" t="str">
        <x:f>IF(AC766="PUBLIC_CANDIDATE","TIDELOCK + Lucerna",IF(AC766="PRIVATE_REVIEW","AtlasBrain + Lucerna","TIDELOCK + Lucerna + Human-root"))</x:f>
        <x:v>TIDELOCK + Lucerna</x:v>
      </x:c>
      <x:c r="AG766" s="12" t="str">
        <x:f>IF(AND(AC766="PUBLIC_CANDIDATE",U766&lt;&gt;"BLOCKED_PENDING_RECEIPT"),"READY_AFTER_RECEIPT","NOT_READY")</x:f>
        <x:v>NOT_READY</x:v>
      </x:c>
      <x:c r="AH766" s="12" t="str">
        <x:f>IF(AC766="PUBLIC_CANDIDATE","none",AD766)</x:f>
        <x:v>none</x:v>
      </x:c>
      <x:c r="AI766" s="12" t="str">
        <x:f>IF(AC766="PUBLIC_CANDIDATE","archive/public_candidates/"&amp;A766,"private_quarantine/"&amp;A766)</x:f>
        <x:v>archive/public_candidates/SWARM-06-H04-S09</x:v>
      </x:c>
      <x:c r="AJ766" s="12" t="str">
        <x:f>IF(AC766="PUBLIC_CANDIDATE","public by default; still not canon","private/hold; do not publish")</x:f>
        <x:v>public by default; still not canon</x:v>
      </x:c>
      <x:c r="AK766" s="12" t="str">
        <x:f>IF(AE766="prepare_public_github_candidate","add receipt/status then mirror","resolve blocker before any public GitHub action")</x:f>
        <x:v>add receipt/status then mirror</x:v>
      </x:c>
    </x:row>
    <x:row r="767">
      <x:c r="A767" s="15" t="str">
        <x:v>SWARM-06-H04-S10</x:v>
      </x:c>
      <x:c r="B767" s="15" t="str">
        <x:v>Forgekid</x:v>
      </x:c>
      <x:c r="C767" s="15" t="str">
        <x:v>Aetherforge UX builder</x:v>
      </x:c>
      <x:c r="D767" s="15" t="str">
        <x:v>Claim Extraction</x:v>
      </x:c>
      <x:c r="E767" s="15" t="str">
        <x:v>Human-Root</x:v>
      </x:c>
      <x:c r="F767" s="15" t="str">
        <x:v>Extract claims from Human-Root — Forgekid</x:v>
      </x:c>
      <x:c r="G767" s="15" t="str">
        <x:v>quest cards / task cards / board affordances</x:v>
      </x:c>
      <x:c r="H767" s="15" t="str">
        <x:v>source path + receipt + raw/export status + claim/edge/risk delta</x:v>
      </x:c>
      <x:c r="I767" s="15" t="str">
        <x:v>packet/SWARM-06-H04-S10</x:v>
      </x:c>
      <x:c r="J767" s="15" t="str">
        <x:v>TODO</x:v>
      </x:c>
      <x:c r="K767" s="15" t="str">
        <x:v>P2</x:v>
      </x:c>
      <x:c r="L767" s="15" t="str">
        <x:v>Done only when evidence is logged, contradiction search is noted, and boundary stamp remains non-canon unless ratified</x:v>
      </x:c>
      <x:c r="M767" s="15" t="str">
        <x:v>candidate / staging-only / not canon / not deployed / authority none</x:v>
      </x:c>
      <x:c r="N767" s="15" t="str">
        <x:v>Dispatch to Forgekid: complete Claim Extraction x Human-Root; return deltas only, receipts required.</x:v>
      </x:c>
      <x:c r="O767" s="15" t="str">
        <x:v>AF-KG-H04-S10</x:v>
      </x:c>
      <x:c r="P767" s="15" t="str">
        <x:v>Unverified</x:v>
      </x:c>
      <x:c r="Q767" s="15" t="str">
        <x:v>Not checked</x:v>
      </x:c>
      <x:c r="R767" s="15" t="str"/>
      <x:c r="S767" s="15" t="str"/>
      <x:c r="T767" s="15" t="str">
        <x:v>Log first source path or blocker</x:v>
      </x:c>
      <x:c r="U767" s="12" t="str">
        <x:f>IF(OR(P767="Unverified",Q767="Not checked"),"BLOCKED_PENDING_RECEIPT","READY_FOR_REVIEW")</x:f>
        <x:v>BLOCKED_PENDING_RECEIPT</x:v>
      </x:c>
      <x:c r="V767" s="12" t="str">
        <x:f>IF(J767="DONE","RETURNED",IF(U767="BLOCKED_PENDING_RECEIPT","SOURCE_TOUCH_REQUIRED","IN_PROGRESS"))</x:f>
        <x:v>SOURCE_TOUCH_REQUIRED</x:v>
      </x:c>
      <x:c r="W767" s="12" t="str">
        <x:f>IF(P767="Unverified","missing_receipt","receipt_logged")</x:f>
        <x:v>missing_receipt</x:v>
      </x:c>
      <x:c r="X767" s="12" t="str">
        <x:f>IF(Q767="Not checked","raw_status_missing","raw_status_logged")</x:f>
        <x:v>raw_status_missing</x:v>
      </x:c>
      <x:c r="Y767" s="12" t="str">
        <x:f>IF(U767="BLOCKED_PENDING_RECEIPT","Log source path or blocker; do not promote","Route to review lane")</x:f>
        <x:v>Log source path or blocker; do not promote</x:v>
      </x:c>
      <x:c r="Z767" s="12" t="str">
        <x:f>IF(K767="P0","Primary seat + Hashlight/Lucerna","Seat lane")</x:f>
        <x:v>Seat lane</x:v>
      </x:c>
      <x:c r="AA767" s="12" t="str">
        <x:f>IF(R767="","no_claim_delta","claim_delta_present")</x:f>
        <x:v>no_claim_delta</x:v>
      </x:c>
      <x:c r="AB767" s="12" t="str">
        <x:f>IF(S767="","no_contradiction_delta","contradiction_delta_present")</x:f>
        <x:v>no_contradiction_delta</x:v>
      </x:c>
      <x:c r="AC767" s="12" t="str">
        <x:f>IF(OR(ISNUMBER(SEARCH("hacker",LOWER(F767&amp;" "&amp;H767&amp;" "&amp;I767&amp;" "&amp;M767&amp;" "&amp;N767&amp;" "&amp;T767))),ISNUMBER(SEARCH("hacking",LOWER(F767&amp;" "&amp;H767&amp;" "&amp;I767&amp;" "&amp;M767&amp;" "&amp;N767&amp;" "&amp;T767))),ISNUMBER(SEARCH("bank",LOWER(F767&amp;" "&amp;H767&amp;" "&amp;I767&amp;" "&amp;M767&amp;" "&amp;N767&amp;" "&amp;T767))),ISNUMBER(SEARCH("banking",LOWER(F767&amp;" "&amp;H767&amp;" "&amp;I767&amp;" "&amp;M767&amp;" "&amp;N767&amp;" "&amp;T767)))),"PRIVATE_QUARANTINE",IF(OR(ISNUMBER(SEARCH("treasury",LOWER(F767&amp;" "&amp;H767&amp;" "&amp;I767&amp;" "&amp;M767&amp;" "&amp;N767&amp;" "&amp;T767))),ISNUMBER(SEARCH("debt",LOWER(F767&amp;" "&amp;H767&amp;" "&amp;I767&amp;" "&amp;M767&amp;" "&amp;N767&amp;" "&amp;T767))),ISNUMBER(SEARCH("bond",LOWER(F767&amp;" "&amp;H767&amp;" "&amp;I767&amp;" "&amp;M767&amp;" "&amp;N767&amp;" "&amp;T767))),ISNUMBER(SEARCH("transaction",LOWER(F767&amp;" "&amp;H767&amp;" "&amp;I767&amp;" "&amp;M767&amp;" "&amp;N767&amp;" "&amp;T767)))),"PRIVATE_REVIEW","PUBLIC_CANDIDATE"))</x:f>
        <x:v>PUBLIC_CANDIDATE</x:v>
      </x:c>
      <x:c r="AD767" s="12" t="str">
        <x:f>IF(AC767="PRIVATE_QUARANTINE","hacker_or_bank_trigger",IF(AC767="PRIVATE_REVIEW","finance_risk_trigger","none"))</x:f>
        <x:v>none</x:v>
      </x:c>
      <x:c r="AE767" s="12" t="str">
        <x:f>IF(AC767="PUBLIC_CANDIDATE","prepare_public_github_candidate",IF(AC767="PRIVATE_REVIEW","hold_for_private_review","quarantine_private_do_not_publish"))</x:f>
        <x:v>prepare_public_github_candidate</x:v>
      </x:c>
      <x:c r="AF767" s="12" t="str">
        <x:f>IF(AC767="PUBLIC_CANDIDATE","TIDELOCK + Lucerna",IF(AC767="PRIVATE_REVIEW","AtlasBrain + Lucerna","TIDELOCK + Lucerna + Human-root"))</x:f>
        <x:v>TIDELOCK + Lucerna</x:v>
      </x:c>
      <x:c r="AG767" s="12" t="str">
        <x:f>IF(AND(AC767="PUBLIC_CANDIDATE",U767&lt;&gt;"BLOCKED_PENDING_RECEIPT"),"READY_AFTER_RECEIPT","NOT_READY")</x:f>
        <x:v>NOT_READY</x:v>
      </x:c>
      <x:c r="AH767" s="12" t="str">
        <x:f>IF(AC767="PUBLIC_CANDIDATE","none",AD767)</x:f>
        <x:v>none</x:v>
      </x:c>
      <x:c r="AI767" s="12" t="str">
        <x:f>IF(AC767="PUBLIC_CANDIDATE","archive/public_candidates/"&amp;A767,"private_quarantine/"&amp;A767)</x:f>
        <x:v>archive/public_candidates/SWARM-06-H04-S10</x:v>
      </x:c>
      <x:c r="AJ767" s="12" t="str">
        <x:f>IF(AC767="PUBLIC_CANDIDATE","public by default; still not canon","private/hold; do not publish")</x:f>
        <x:v>public by default; still not canon</x:v>
      </x:c>
      <x:c r="AK767" s="12" t="str">
        <x:f>IF(AE767="prepare_public_github_candidate","add receipt/status then mirror","resolve blocker before any public GitHub action")</x:f>
        <x:v>add receipt/status then mirror</x:v>
      </x:c>
    </x:row>
    <x:row r="768">
      <x:c r="A768" s="15" t="str">
        <x:v>SWARM-06-H04-S11</x:v>
      </x:c>
      <x:c r="B768" s="15" t="str">
        <x:v>Forgekid</x:v>
      </x:c>
      <x:c r="C768" s="15" t="str">
        <x:v>Aetherforge UX builder</x:v>
      </x:c>
      <x:c r="D768" s="15" t="str">
        <x:v>Claim Extraction</x:v>
      </x:c>
      <x:c r="E768" s="15" t="str">
        <x:v>Automation</x:v>
      </x:c>
      <x:c r="F768" s="15" t="str">
        <x:v>Extract claims from Automation — Forgekid</x:v>
      </x:c>
      <x:c r="G768" s="15" t="str">
        <x:v>quest cards / task cards / board affordances</x:v>
      </x:c>
      <x:c r="H768" s="15" t="str">
        <x:v>source path + receipt + raw/export status + claim/edge/risk delta</x:v>
      </x:c>
      <x:c r="I768" s="15" t="str">
        <x:v>packet/SWARM-06-H04-S11</x:v>
      </x:c>
      <x:c r="J768" s="15" t="str">
        <x:v>TODO</x:v>
      </x:c>
      <x:c r="K768" s="15" t="str">
        <x:v>P2</x:v>
      </x:c>
      <x:c r="L768" s="15" t="str">
        <x:v>Done only when evidence is logged, contradiction search is noted, and boundary stamp remains non-canon unless ratified</x:v>
      </x:c>
      <x:c r="M768" s="15" t="str">
        <x:v>candidate / staging-only / not canon / not deployed / authority none</x:v>
      </x:c>
      <x:c r="N768" s="15" t="str">
        <x:v>Dispatch to Forgekid: complete Claim Extraction x Automation; return deltas only, receipts required.</x:v>
      </x:c>
      <x:c r="O768" s="15" t="str">
        <x:v>AF-KG-H04-S11</x:v>
      </x:c>
      <x:c r="P768" s="15" t="str">
        <x:v>Unverified</x:v>
      </x:c>
      <x:c r="Q768" s="15" t="str">
        <x:v>Not checked</x:v>
      </x:c>
      <x:c r="R768" s="15" t="str"/>
      <x:c r="S768" s="15" t="str"/>
      <x:c r="T768" s="15" t="str">
        <x:v>Log first source path or blocker</x:v>
      </x:c>
      <x:c r="U768" s="12" t="str">
        <x:f>IF(OR(P768="Unverified",Q768="Not checked"),"BLOCKED_PENDING_RECEIPT","READY_FOR_REVIEW")</x:f>
        <x:v>BLOCKED_PENDING_RECEIPT</x:v>
      </x:c>
      <x:c r="V768" s="12" t="str">
        <x:f>IF(J768="DONE","RETURNED",IF(U768="BLOCKED_PENDING_RECEIPT","SOURCE_TOUCH_REQUIRED","IN_PROGRESS"))</x:f>
        <x:v>SOURCE_TOUCH_REQUIRED</x:v>
      </x:c>
      <x:c r="W768" s="12" t="str">
        <x:f>IF(P768="Unverified","missing_receipt","receipt_logged")</x:f>
        <x:v>missing_receipt</x:v>
      </x:c>
      <x:c r="X768" s="12" t="str">
        <x:f>IF(Q768="Not checked","raw_status_missing","raw_status_logged")</x:f>
        <x:v>raw_status_missing</x:v>
      </x:c>
      <x:c r="Y768" s="12" t="str">
        <x:f>IF(U768="BLOCKED_PENDING_RECEIPT","Log source path or blocker; do not promote","Route to review lane")</x:f>
        <x:v>Log source path or blocker; do not promote</x:v>
      </x:c>
      <x:c r="Z768" s="12" t="str">
        <x:f>IF(K768="P0","Primary seat + Hashlight/Lucerna","Seat lane")</x:f>
        <x:v>Seat lane</x:v>
      </x:c>
      <x:c r="AA768" s="12" t="str">
        <x:f>IF(R768="","no_claim_delta","claim_delta_present")</x:f>
        <x:v>no_claim_delta</x:v>
      </x:c>
      <x:c r="AB768" s="12" t="str">
        <x:f>IF(S768="","no_contradiction_delta","contradiction_delta_present")</x:f>
        <x:v>no_contradiction_delta</x:v>
      </x:c>
      <x:c r="AC768" s="12" t="str">
        <x:f>IF(OR(ISNUMBER(SEARCH("hacker",LOWER(F768&amp;" "&amp;H768&amp;" "&amp;I768&amp;" "&amp;M768&amp;" "&amp;N768&amp;" "&amp;T768))),ISNUMBER(SEARCH("hacking",LOWER(F768&amp;" "&amp;H768&amp;" "&amp;I768&amp;" "&amp;M768&amp;" "&amp;N768&amp;" "&amp;T768))),ISNUMBER(SEARCH("bank",LOWER(F768&amp;" "&amp;H768&amp;" "&amp;I768&amp;" "&amp;M768&amp;" "&amp;N768&amp;" "&amp;T768))),ISNUMBER(SEARCH("banking",LOWER(F768&amp;" "&amp;H768&amp;" "&amp;I768&amp;" "&amp;M768&amp;" "&amp;N768&amp;" "&amp;T768)))),"PRIVATE_QUARANTINE",IF(OR(ISNUMBER(SEARCH("treasury",LOWER(F768&amp;" "&amp;H768&amp;" "&amp;I768&amp;" "&amp;M768&amp;" "&amp;N768&amp;" "&amp;T768))),ISNUMBER(SEARCH("debt",LOWER(F768&amp;" "&amp;H768&amp;" "&amp;I768&amp;" "&amp;M768&amp;" "&amp;N768&amp;" "&amp;T768))),ISNUMBER(SEARCH("bond",LOWER(F768&amp;" "&amp;H768&amp;" "&amp;I768&amp;" "&amp;M768&amp;" "&amp;N768&amp;" "&amp;T768))),ISNUMBER(SEARCH("transaction",LOWER(F768&amp;" "&amp;H768&amp;" "&amp;I768&amp;" "&amp;M768&amp;" "&amp;N768&amp;" "&amp;T768)))),"PRIVATE_REVIEW","PUBLIC_CANDIDATE"))</x:f>
        <x:v>PUBLIC_CANDIDATE</x:v>
      </x:c>
      <x:c r="AD768" s="12" t="str">
        <x:f>IF(AC768="PRIVATE_QUARANTINE","hacker_or_bank_trigger",IF(AC768="PRIVATE_REVIEW","finance_risk_trigger","none"))</x:f>
        <x:v>none</x:v>
      </x:c>
      <x:c r="AE768" s="12" t="str">
        <x:f>IF(AC768="PUBLIC_CANDIDATE","prepare_public_github_candidate",IF(AC768="PRIVATE_REVIEW","hold_for_private_review","quarantine_private_do_not_publish"))</x:f>
        <x:v>prepare_public_github_candidate</x:v>
      </x:c>
      <x:c r="AF768" s="12" t="str">
        <x:f>IF(AC768="PUBLIC_CANDIDATE","TIDELOCK + Lucerna",IF(AC768="PRIVATE_REVIEW","AtlasBrain + Lucerna","TIDELOCK + Lucerna + Human-root"))</x:f>
        <x:v>TIDELOCK + Lucerna</x:v>
      </x:c>
      <x:c r="AG768" s="12" t="str">
        <x:f>IF(AND(AC768="PUBLIC_CANDIDATE",U768&lt;&gt;"BLOCKED_PENDING_RECEIPT"),"READY_AFTER_RECEIPT","NOT_READY")</x:f>
        <x:v>NOT_READY</x:v>
      </x:c>
      <x:c r="AH768" s="12" t="str">
        <x:f>IF(AC768="PUBLIC_CANDIDATE","none",AD768)</x:f>
        <x:v>none</x:v>
      </x:c>
      <x:c r="AI768" s="12" t="str">
        <x:f>IF(AC768="PUBLIC_CANDIDATE","archive/public_candidates/"&amp;A768,"private_quarantine/"&amp;A768)</x:f>
        <x:v>archive/public_candidates/SWARM-06-H04-S11</x:v>
      </x:c>
      <x:c r="AJ768" s="12" t="str">
        <x:f>IF(AC768="PUBLIC_CANDIDATE","public by default; still not canon","private/hold; do not publish")</x:f>
        <x:v>public by default; still not canon</x:v>
      </x:c>
      <x:c r="AK768" s="12" t="str">
        <x:f>IF(AE768="prepare_public_github_candidate","add receipt/status then mirror","resolve blocker before any public GitHub action")</x:f>
        <x:v>add receipt/status then mirror</x:v>
      </x:c>
    </x:row>
    <x:row r="769">
      <x:c r="A769" s="15" t="str">
        <x:v>SWARM-06-H04-S12</x:v>
      </x:c>
      <x:c r="B769" s="15" t="str">
        <x:v>Forgekid</x:v>
      </x:c>
      <x:c r="C769" s="15" t="str">
        <x:v>Aetherforge UX builder</x:v>
      </x:c>
      <x:c r="D769" s="15" t="str">
        <x:v>Claim Extraction</x:v>
      </x:c>
      <x:c r="E769" s="15" t="str">
        <x:v>Risk / Safety</x:v>
      </x:c>
      <x:c r="F769" s="15" t="str">
        <x:v>Extract claims from Risk / Safety — Forgekid</x:v>
      </x:c>
      <x:c r="G769" s="15" t="str">
        <x:v>quest cards / task cards / board affordances</x:v>
      </x:c>
      <x:c r="H769" s="15" t="str">
        <x:v>source path + receipt + raw/export status + claim/edge/risk delta</x:v>
      </x:c>
      <x:c r="I769" s="15" t="str">
        <x:v>packet/SWARM-06-H04-S12</x:v>
      </x:c>
      <x:c r="J769" s="15" t="str">
        <x:v>TODO</x:v>
      </x:c>
      <x:c r="K769" s="15" t="str">
        <x:v>P2</x:v>
      </x:c>
      <x:c r="L769" s="15" t="str">
        <x:v>Done only when evidence is logged, contradiction search is noted, and boundary stamp remains non-canon unless ratified</x:v>
      </x:c>
      <x:c r="M769" s="15" t="str">
        <x:v>candidate / staging-only / not canon / not deployed / authority none</x:v>
      </x:c>
      <x:c r="N769" s="15" t="str">
        <x:v>Dispatch to Forgekid: complete Claim Extraction x Risk / Safety; return deltas only, receipts required.</x:v>
      </x:c>
      <x:c r="O769" s="15" t="str">
        <x:v>AF-KG-H04-S12</x:v>
      </x:c>
      <x:c r="P769" s="15" t="str">
        <x:v>Unverified</x:v>
      </x:c>
      <x:c r="Q769" s="15" t="str">
        <x:v>Not checked</x:v>
      </x:c>
      <x:c r="R769" s="15" t="str"/>
      <x:c r="S769" s="15" t="str"/>
      <x:c r="T769" s="15" t="str">
        <x:v>Log first source path or blocker</x:v>
      </x:c>
      <x:c r="U769" s="12" t="str">
        <x:f>IF(OR(P769="Unverified",Q769="Not checked"),"BLOCKED_PENDING_RECEIPT","READY_FOR_REVIEW")</x:f>
        <x:v>BLOCKED_PENDING_RECEIPT</x:v>
      </x:c>
      <x:c r="V769" s="12" t="str">
        <x:f>IF(J769="DONE","RETURNED",IF(U769="BLOCKED_PENDING_RECEIPT","SOURCE_TOUCH_REQUIRED","IN_PROGRESS"))</x:f>
        <x:v>SOURCE_TOUCH_REQUIRED</x:v>
      </x:c>
      <x:c r="W769" s="12" t="str">
        <x:f>IF(P769="Unverified","missing_receipt","receipt_logged")</x:f>
        <x:v>missing_receipt</x:v>
      </x:c>
      <x:c r="X769" s="12" t="str">
        <x:f>IF(Q769="Not checked","raw_status_missing","raw_status_logged")</x:f>
        <x:v>raw_status_missing</x:v>
      </x:c>
      <x:c r="Y769" s="12" t="str">
        <x:f>IF(U769="BLOCKED_PENDING_RECEIPT","Log source path or blocker; do not promote","Route to review lane")</x:f>
        <x:v>Log source path or blocker; do not promote</x:v>
      </x:c>
      <x:c r="Z769" s="12" t="str">
        <x:f>IF(K769="P0","Primary seat + Hashlight/Lucerna","Seat lane")</x:f>
        <x:v>Seat lane</x:v>
      </x:c>
      <x:c r="AA769" s="12" t="str">
        <x:f>IF(R769="","no_claim_delta","claim_delta_present")</x:f>
        <x:v>no_claim_delta</x:v>
      </x:c>
      <x:c r="AB769" s="12" t="str">
        <x:f>IF(S769="","no_contradiction_delta","contradiction_delta_present")</x:f>
        <x:v>no_contradiction_delta</x:v>
      </x:c>
      <x:c r="AC769" s="12" t="str">
        <x:f>IF(OR(ISNUMBER(SEARCH("hacker",LOWER(F769&amp;" "&amp;H769&amp;" "&amp;I769&amp;" "&amp;M769&amp;" "&amp;N769&amp;" "&amp;T769))),ISNUMBER(SEARCH("hacking",LOWER(F769&amp;" "&amp;H769&amp;" "&amp;I769&amp;" "&amp;M769&amp;" "&amp;N769&amp;" "&amp;T769))),ISNUMBER(SEARCH("bank",LOWER(F769&amp;" "&amp;H769&amp;" "&amp;I769&amp;" "&amp;M769&amp;" "&amp;N769&amp;" "&amp;T769))),ISNUMBER(SEARCH("banking",LOWER(F769&amp;" "&amp;H769&amp;" "&amp;I769&amp;" "&amp;M769&amp;" "&amp;N769&amp;" "&amp;T769)))),"PRIVATE_QUARANTINE",IF(OR(ISNUMBER(SEARCH("treasury",LOWER(F769&amp;" "&amp;H769&amp;" "&amp;I769&amp;" "&amp;M769&amp;" "&amp;N769&amp;" "&amp;T769))),ISNUMBER(SEARCH("debt",LOWER(F769&amp;" "&amp;H769&amp;" "&amp;I769&amp;" "&amp;M769&amp;" "&amp;N769&amp;" "&amp;T769))),ISNUMBER(SEARCH("bond",LOWER(F769&amp;" "&amp;H769&amp;" "&amp;I769&amp;" "&amp;M769&amp;" "&amp;N769&amp;" "&amp;T769))),ISNUMBER(SEARCH("transaction",LOWER(F769&amp;" "&amp;H769&amp;" "&amp;I769&amp;" "&amp;M769&amp;" "&amp;N769&amp;" "&amp;T769)))),"PRIVATE_REVIEW","PUBLIC_CANDIDATE"))</x:f>
        <x:v>PUBLIC_CANDIDATE</x:v>
      </x:c>
      <x:c r="AD769" s="12" t="str">
        <x:f>IF(AC769="PRIVATE_QUARANTINE","hacker_or_bank_trigger",IF(AC769="PRIVATE_REVIEW","finance_risk_trigger","none"))</x:f>
        <x:v>none</x:v>
      </x:c>
      <x:c r="AE769" s="12" t="str">
        <x:f>IF(AC769="PUBLIC_CANDIDATE","prepare_public_github_candidate",IF(AC769="PRIVATE_REVIEW","hold_for_private_review","quarantine_private_do_not_publish"))</x:f>
        <x:v>prepare_public_github_candidate</x:v>
      </x:c>
      <x:c r="AF769" s="12" t="str">
        <x:f>IF(AC769="PUBLIC_CANDIDATE","TIDELOCK + Lucerna",IF(AC769="PRIVATE_REVIEW","AtlasBrain + Lucerna","TIDELOCK + Lucerna + Human-root"))</x:f>
        <x:v>TIDELOCK + Lucerna</x:v>
      </x:c>
      <x:c r="AG769" s="12" t="str">
        <x:f>IF(AND(AC769="PUBLIC_CANDIDATE",U769&lt;&gt;"BLOCKED_PENDING_RECEIPT"),"READY_AFTER_RECEIPT","NOT_READY")</x:f>
        <x:v>NOT_READY</x:v>
      </x:c>
      <x:c r="AH769" s="12" t="str">
        <x:f>IF(AC769="PUBLIC_CANDIDATE","none",AD769)</x:f>
        <x:v>none</x:v>
      </x:c>
      <x:c r="AI769" s="12" t="str">
        <x:f>IF(AC769="PUBLIC_CANDIDATE","archive/public_candidates/"&amp;A769,"private_quarantine/"&amp;A769)</x:f>
        <x:v>archive/public_candidates/SWARM-06-H04-S12</x:v>
      </x:c>
      <x:c r="AJ769" s="12" t="str">
        <x:f>IF(AC769="PUBLIC_CANDIDATE","public by default; still not canon","private/hold; do not publish")</x:f>
        <x:v>public by default; still not canon</x:v>
      </x:c>
      <x:c r="AK769" s="12" t="str">
        <x:f>IF(AE769="prepare_public_github_candidate","add receipt/status then mirror","resolve blocker before any public GitHub action")</x:f>
        <x:v>add receipt/status then mirror</x:v>
      </x:c>
    </x:row>
    <x:row r="770">
      <x:c r="A770" s="15" t="str">
        <x:v>SWARM-06-H05-S01</x:v>
      </x:c>
      <x:c r="B770" s="15" t="str">
        <x:v>Forgekid</x:v>
      </x:c>
      <x:c r="C770" s="15" t="str">
        <x:v>Aetherforge UX builder</x:v>
      </x:c>
      <x:c r="D770" s="15" t="str">
        <x:v>Contradiction Mapping</x:v>
      </x:c>
      <x:c r="E770" s="15" t="str">
        <x:v>Notion</x:v>
      </x:c>
      <x:c r="F770" s="15" t="str">
        <x:v>Map contradictions in Notion — Forgekid</x:v>
      </x:c>
      <x:c r="G770" s="15" t="str">
        <x:v>quest cards / task cards / board affordances</x:v>
      </x:c>
      <x:c r="H770" s="15" t="str">
        <x:v>source path + receipt + raw/export status + claim/edge/risk delta</x:v>
      </x:c>
      <x:c r="I770" s="15" t="str">
        <x:v>packet/SWARM-06-H05-S01</x:v>
      </x:c>
      <x:c r="J770" s="15" t="str">
        <x:v>TODO</x:v>
      </x:c>
      <x:c r="K770" s="15" t="str">
        <x:v>P0</x:v>
      </x:c>
      <x:c r="L770" s="15" t="str">
        <x:v>Done only when evidence is logged, contradiction search is noted, and boundary stamp remains non-canon unless ratified</x:v>
      </x:c>
      <x:c r="M770" s="15" t="str">
        <x:v>candidate / staging-only / not canon / not deployed / authority none</x:v>
      </x:c>
      <x:c r="N770" s="15" t="str">
        <x:v>Dispatch to Forgekid: complete Contradiction Mapping x Notion; return deltas only, receipts required.</x:v>
      </x:c>
      <x:c r="O770" s="15" t="str">
        <x:v>AF-KG-H05-S01</x:v>
      </x:c>
      <x:c r="P770" s="15" t="str">
        <x:v>Unverified</x:v>
      </x:c>
      <x:c r="Q770" s="15" t="str">
        <x:v>Not checked</x:v>
      </x:c>
      <x:c r="R770" s="15" t="str"/>
      <x:c r="S770" s="15" t="str"/>
      <x:c r="T770" s="15" t="str">
        <x:v>Log first source path or blocker</x:v>
      </x:c>
      <x:c r="U770" s="12" t="str">
        <x:f>IF(OR(P770="Unverified",Q770="Not checked"),"BLOCKED_PENDING_RECEIPT","READY_FOR_REVIEW")</x:f>
        <x:v>BLOCKED_PENDING_RECEIPT</x:v>
      </x:c>
      <x:c r="V770" s="12" t="str">
        <x:f>IF(J770="DONE","RETURNED",IF(U770="BLOCKED_PENDING_RECEIPT","SOURCE_TOUCH_REQUIRED","IN_PROGRESS"))</x:f>
        <x:v>SOURCE_TOUCH_REQUIRED</x:v>
      </x:c>
      <x:c r="W770" s="12" t="str">
        <x:f>IF(P770="Unverified","missing_receipt","receipt_logged")</x:f>
        <x:v>missing_receipt</x:v>
      </x:c>
      <x:c r="X770" s="12" t="str">
        <x:f>IF(Q770="Not checked","raw_status_missing","raw_status_logged")</x:f>
        <x:v>raw_status_missing</x:v>
      </x:c>
      <x:c r="Y770" s="12" t="str">
        <x:f>IF(U770="BLOCKED_PENDING_RECEIPT","Log source path or blocker; do not promote","Route to review lane")</x:f>
        <x:v>Log source path or blocker; do not promote</x:v>
      </x:c>
      <x:c r="Z770" s="12" t="str">
        <x:f>IF(K770="P0","Primary seat + Hashlight/Lucerna","Seat lane")</x:f>
        <x:v>Primary seat + Hashlight/Lucerna</x:v>
      </x:c>
      <x:c r="AA770" s="12" t="str">
        <x:f>IF(R770="","no_claim_delta","claim_delta_present")</x:f>
        <x:v>no_claim_delta</x:v>
      </x:c>
      <x:c r="AB770" s="12" t="str">
        <x:f>IF(S770="","no_contradiction_delta","contradiction_delta_present")</x:f>
        <x:v>no_contradiction_delta</x:v>
      </x:c>
      <x:c r="AC770" s="12" t="str">
        <x:f>IF(OR(ISNUMBER(SEARCH("hacker",LOWER(F770&amp;" "&amp;H770&amp;" "&amp;I770&amp;" "&amp;M770&amp;" "&amp;N770&amp;" "&amp;T770))),ISNUMBER(SEARCH("hacking",LOWER(F770&amp;" "&amp;H770&amp;" "&amp;I770&amp;" "&amp;M770&amp;" "&amp;N770&amp;" "&amp;T770))),ISNUMBER(SEARCH("bank",LOWER(F770&amp;" "&amp;H770&amp;" "&amp;I770&amp;" "&amp;M770&amp;" "&amp;N770&amp;" "&amp;T770))),ISNUMBER(SEARCH("banking",LOWER(F770&amp;" "&amp;H770&amp;" "&amp;I770&amp;" "&amp;M770&amp;" "&amp;N770&amp;" "&amp;T770)))),"PRIVATE_QUARANTINE",IF(OR(ISNUMBER(SEARCH("treasury",LOWER(F770&amp;" "&amp;H770&amp;" "&amp;I770&amp;" "&amp;M770&amp;" "&amp;N770&amp;" "&amp;T770))),ISNUMBER(SEARCH("debt",LOWER(F770&amp;" "&amp;H770&amp;" "&amp;I770&amp;" "&amp;M770&amp;" "&amp;N770&amp;" "&amp;T770))),ISNUMBER(SEARCH("bond",LOWER(F770&amp;" "&amp;H770&amp;" "&amp;I770&amp;" "&amp;M770&amp;" "&amp;N770&amp;" "&amp;T770))),ISNUMBER(SEARCH("transaction",LOWER(F770&amp;" "&amp;H770&amp;" "&amp;I770&amp;" "&amp;M770&amp;" "&amp;N770&amp;" "&amp;T770)))),"PRIVATE_REVIEW","PUBLIC_CANDIDATE"))</x:f>
        <x:v>PUBLIC_CANDIDATE</x:v>
      </x:c>
      <x:c r="AD770" s="12" t="str">
        <x:f>IF(AC770="PRIVATE_QUARANTINE","hacker_or_bank_trigger",IF(AC770="PRIVATE_REVIEW","finance_risk_trigger","none"))</x:f>
        <x:v>none</x:v>
      </x:c>
      <x:c r="AE770" s="12" t="str">
        <x:f>IF(AC770="PUBLIC_CANDIDATE","prepare_public_github_candidate",IF(AC770="PRIVATE_REVIEW","hold_for_private_review","quarantine_private_do_not_publish"))</x:f>
        <x:v>prepare_public_github_candidate</x:v>
      </x:c>
      <x:c r="AF770" s="12" t="str">
        <x:f>IF(AC770="PUBLIC_CANDIDATE","TIDELOCK + Lucerna",IF(AC770="PRIVATE_REVIEW","AtlasBrain + Lucerna","TIDELOCK + Lucerna + Human-root"))</x:f>
        <x:v>TIDELOCK + Lucerna</x:v>
      </x:c>
      <x:c r="AG770" s="12" t="str">
        <x:f>IF(AND(AC770="PUBLIC_CANDIDATE",U770&lt;&gt;"BLOCKED_PENDING_RECEIPT"),"READY_AFTER_RECEIPT","NOT_READY")</x:f>
        <x:v>NOT_READY</x:v>
      </x:c>
      <x:c r="AH770" s="12" t="str">
        <x:f>IF(AC770="PUBLIC_CANDIDATE","none",AD770)</x:f>
        <x:v>none</x:v>
      </x:c>
      <x:c r="AI770" s="12" t="str">
        <x:f>IF(AC770="PUBLIC_CANDIDATE","archive/public_candidates/"&amp;A770,"private_quarantine/"&amp;A770)</x:f>
        <x:v>archive/public_candidates/SWARM-06-H05-S01</x:v>
      </x:c>
      <x:c r="AJ770" s="12" t="str">
        <x:f>IF(AC770="PUBLIC_CANDIDATE","public by default; still not canon","private/hold; do not publish")</x:f>
        <x:v>public by default; still not canon</x:v>
      </x:c>
      <x:c r="AK770" s="12" t="str">
        <x:f>IF(AE770="prepare_public_github_candidate","add receipt/status then mirror","resolve blocker before any public GitHub action")</x:f>
        <x:v>add receipt/status then mirror</x:v>
      </x:c>
    </x:row>
    <x:row r="771">
      <x:c r="A771" s="15" t="str">
        <x:v>SWARM-06-H05-S02</x:v>
      </x:c>
      <x:c r="B771" s="15" t="str">
        <x:v>Forgekid</x:v>
      </x:c>
      <x:c r="C771" s="15" t="str">
        <x:v>Aetherforge UX builder</x:v>
      </x:c>
      <x:c r="D771" s="15" t="str">
        <x:v>Contradiction Mapping</x:v>
      </x:c>
      <x:c r="E771" s="15" t="str">
        <x:v>Drive</x:v>
      </x:c>
      <x:c r="F771" s="15" t="str">
        <x:v>Map contradictions in Drive — Forgekid</x:v>
      </x:c>
      <x:c r="G771" s="15" t="str">
        <x:v>quest cards / task cards / board affordances</x:v>
      </x:c>
      <x:c r="H771" s="15" t="str">
        <x:v>source path + receipt + raw/export status + claim/edge/risk delta</x:v>
      </x:c>
      <x:c r="I771" s="15" t="str">
        <x:v>packet/SWARM-06-H05-S02</x:v>
      </x:c>
      <x:c r="J771" s="15" t="str">
        <x:v>TODO</x:v>
      </x:c>
      <x:c r="K771" s="15" t="str">
        <x:v>P0</x:v>
      </x:c>
      <x:c r="L771" s="15" t="str">
        <x:v>Done only when evidence is logged, contradiction search is noted, and boundary stamp remains non-canon unless ratified</x:v>
      </x:c>
      <x:c r="M771" s="15" t="str">
        <x:v>candidate / staging-only / not canon / not deployed / authority none</x:v>
      </x:c>
      <x:c r="N771" s="15" t="str">
        <x:v>Dispatch to Forgekid: complete Contradiction Mapping x Drive; return deltas only, receipts required.</x:v>
      </x:c>
      <x:c r="O771" s="15" t="str">
        <x:v>AF-KG-H05-S02</x:v>
      </x:c>
      <x:c r="P771" s="15" t="str">
        <x:v>Unverified</x:v>
      </x:c>
      <x:c r="Q771" s="15" t="str">
        <x:v>Not checked</x:v>
      </x:c>
      <x:c r="R771" s="15" t="str"/>
      <x:c r="S771" s="15" t="str"/>
      <x:c r="T771" s="15" t="str">
        <x:v>Log first source path or blocker</x:v>
      </x:c>
      <x:c r="U771" s="12" t="str">
        <x:f>IF(OR(P771="Unverified",Q771="Not checked"),"BLOCKED_PENDING_RECEIPT","READY_FOR_REVIEW")</x:f>
        <x:v>BLOCKED_PENDING_RECEIPT</x:v>
      </x:c>
      <x:c r="V771" s="12" t="str">
        <x:f>IF(J771="DONE","RETURNED",IF(U771="BLOCKED_PENDING_RECEIPT","SOURCE_TOUCH_REQUIRED","IN_PROGRESS"))</x:f>
        <x:v>SOURCE_TOUCH_REQUIRED</x:v>
      </x:c>
      <x:c r="W771" s="12" t="str">
        <x:f>IF(P771="Unverified","missing_receipt","receipt_logged")</x:f>
        <x:v>missing_receipt</x:v>
      </x:c>
      <x:c r="X771" s="12" t="str">
        <x:f>IF(Q771="Not checked","raw_status_missing","raw_status_logged")</x:f>
        <x:v>raw_status_missing</x:v>
      </x:c>
      <x:c r="Y771" s="12" t="str">
        <x:f>IF(U771="BLOCKED_PENDING_RECEIPT","Log source path or blocker; do not promote","Route to review lane")</x:f>
        <x:v>Log source path or blocker; do not promote</x:v>
      </x:c>
      <x:c r="Z771" s="12" t="str">
        <x:f>IF(K771="P0","Primary seat + Hashlight/Lucerna","Seat lane")</x:f>
        <x:v>Primary seat + Hashlight/Lucerna</x:v>
      </x:c>
      <x:c r="AA771" s="12" t="str">
        <x:f>IF(R771="","no_claim_delta","claim_delta_present")</x:f>
        <x:v>no_claim_delta</x:v>
      </x:c>
      <x:c r="AB771" s="12" t="str">
        <x:f>IF(S771="","no_contradiction_delta","contradiction_delta_present")</x:f>
        <x:v>no_contradiction_delta</x:v>
      </x:c>
      <x:c r="AC771" s="12" t="str">
        <x:f>IF(OR(ISNUMBER(SEARCH("hacker",LOWER(F771&amp;" "&amp;H771&amp;" "&amp;I771&amp;" "&amp;M771&amp;" "&amp;N771&amp;" "&amp;T771))),ISNUMBER(SEARCH("hacking",LOWER(F771&amp;" "&amp;H771&amp;" "&amp;I771&amp;" "&amp;M771&amp;" "&amp;N771&amp;" "&amp;T771))),ISNUMBER(SEARCH("bank",LOWER(F771&amp;" "&amp;H771&amp;" "&amp;I771&amp;" "&amp;M771&amp;" "&amp;N771&amp;" "&amp;T771))),ISNUMBER(SEARCH("banking",LOWER(F771&amp;" "&amp;H771&amp;" "&amp;I771&amp;" "&amp;M771&amp;" "&amp;N771&amp;" "&amp;T771)))),"PRIVATE_QUARANTINE",IF(OR(ISNUMBER(SEARCH("treasury",LOWER(F771&amp;" "&amp;H771&amp;" "&amp;I771&amp;" "&amp;M771&amp;" "&amp;N771&amp;" "&amp;T771))),ISNUMBER(SEARCH("debt",LOWER(F771&amp;" "&amp;H771&amp;" "&amp;I771&amp;" "&amp;M771&amp;" "&amp;N771&amp;" "&amp;T771))),ISNUMBER(SEARCH("bond",LOWER(F771&amp;" "&amp;H771&amp;" "&amp;I771&amp;" "&amp;M771&amp;" "&amp;N771&amp;" "&amp;T771))),ISNUMBER(SEARCH("transaction",LOWER(F771&amp;" "&amp;H771&amp;" "&amp;I771&amp;" "&amp;M771&amp;" "&amp;N771&amp;" "&amp;T771)))),"PRIVATE_REVIEW","PUBLIC_CANDIDATE"))</x:f>
        <x:v>PUBLIC_CANDIDATE</x:v>
      </x:c>
      <x:c r="AD771" s="12" t="str">
        <x:f>IF(AC771="PRIVATE_QUARANTINE","hacker_or_bank_trigger",IF(AC771="PRIVATE_REVIEW","finance_risk_trigger","none"))</x:f>
        <x:v>none</x:v>
      </x:c>
      <x:c r="AE771" s="12" t="str">
        <x:f>IF(AC771="PUBLIC_CANDIDATE","prepare_public_github_candidate",IF(AC771="PRIVATE_REVIEW","hold_for_private_review","quarantine_private_do_not_publish"))</x:f>
        <x:v>prepare_public_github_candidate</x:v>
      </x:c>
      <x:c r="AF771" s="12" t="str">
        <x:f>IF(AC771="PUBLIC_CANDIDATE","TIDELOCK + Lucerna",IF(AC771="PRIVATE_REVIEW","AtlasBrain + Lucerna","TIDELOCK + Lucerna + Human-root"))</x:f>
        <x:v>TIDELOCK + Lucerna</x:v>
      </x:c>
      <x:c r="AG771" s="12" t="str">
        <x:f>IF(AND(AC771="PUBLIC_CANDIDATE",U771&lt;&gt;"BLOCKED_PENDING_RECEIPT"),"READY_AFTER_RECEIPT","NOT_READY")</x:f>
        <x:v>NOT_READY</x:v>
      </x:c>
      <x:c r="AH771" s="12" t="str">
        <x:f>IF(AC771="PUBLIC_CANDIDATE","none",AD771)</x:f>
        <x:v>none</x:v>
      </x:c>
      <x:c r="AI771" s="12" t="str">
        <x:f>IF(AC771="PUBLIC_CANDIDATE","archive/public_candidates/"&amp;A771,"private_quarantine/"&amp;A771)</x:f>
        <x:v>archive/public_candidates/SWARM-06-H05-S02</x:v>
      </x:c>
      <x:c r="AJ771" s="12" t="str">
        <x:f>IF(AC771="PUBLIC_CANDIDATE","public by default; still not canon","private/hold; do not publish")</x:f>
        <x:v>public by default; still not canon</x:v>
      </x:c>
      <x:c r="AK771" s="12" t="str">
        <x:f>IF(AE771="prepare_public_github_candidate","add receipt/status then mirror","resolve blocker before any public GitHub action")</x:f>
        <x:v>add receipt/status then mirror</x:v>
      </x:c>
    </x:row>
    <x:row r="772">
      <x:c r="A772" s="15" t="str">
        <x:v>SWARM-06-H05-S03</x:v>
      </x:c>
      <x:c r="B772" s="15" t="str">
        <x:v>Forgekid</x:v>
      </x:c>
      <x:c r="C772" s="15" t="str">
        <x:v>Aetherforge UX builder</x:v>
      </x:c>
      <x:c r="D772" s="15" t="str">
        <x:v>Contradiction Mapping</x:v>
      </x:c>
      <x:c r="E772" s="15" t="str">
        <x:v>GitHub</x:v>
      </x:c>
      <x:c r="F772" s="15" t="str">
        <x:v>Map contradictions in GitHub — Forgekid</x:v>
      </x:c>
      <x:c r="G772" s="15" t="str">
        <x:v>quest cards / task cards / board affordances</x:v>
      </x:c>
      <x:c r="H772" s="15" t="str">
        <x:v>source path + receipt + raw/export status + claim/edge/risk delta</x:v>
      </x:c>
      <x:c r="I772" s="15" t="str">
        <x:v>packet/SWARM-06-H05-S03</x:v>
      </x:c>
      <x:c r="J772" s="15" t="str">
        <x:v>TODO</x:v>
      </x:c>
      <x:c r="K772" s="15" t="str">
        <x:v>P0</x:v>
      </x:c>
      <x:c r="L772" s="15" t="str">
        <x:v>Done only when evidence is logged, contradiction search is noted, and boundary stamp remains non-canon unless ratified</x:v>
      </x:c>
      <x:c r="M772" s="15" t="str">
        <x:v>candidate / staging-only / not canon / not deployed / authority none</x:v>
      </x:c>
      <x:c r="N772" s="15" t="str">
        <x:v>Dispatch to Forgekid: complete Contradiction Mapping x GitHub; return deltas only, receipts required.</x:v>
      </x:c>
      <x:c r="O772" s="15" t="str">
        <x:v>AF-KG-H05-S03</x:v>
      </x:c>
      <x:c r="P772" s="15" t="str">
        <x:v>Unverified</x:v>
      </x:c>
      <x:c r="Q772" s="15" t="str">
        <x:v>Not checked</x:v>
      </x:c>
      <x:c r="R772" s="15" t="str"/>
      <x:c r="S772" s="15" t="str"/>
      <x:c r="T772" s="15" t="str">
        <x:v>Log first source path or blocker</x:v>
      </x:c>
      <x:c r="U772" s="12" t="str">
        <x:f>IF(OR(P772="Unverified",Q772="Not checked"),"BLOCKED_PENDING_RECEIPT","READY_FOR_REVIEW")</x:f>
        <x:v>BLOCKED_PENDING_RECEIPT</x:v>
      </x:c>
      <x:c r="V772" s="12" t="str">
        <x:f>IF(J772="DONE","RETURNED",IF(U772="BLOCKED_PENDING_RECEIPT","SOURCE_TOUCH_REQUIRED","IN_PROGRESS"))</x:f>
        <x:v>SOURCE_TOUCH_REQUIRED</x:v>
      </x:c>
      <x:c r="W772" s="12" t="str">
        <x:f>IF(P772="Unverified","missing_receipt","receipt_logged")</x:f>
        <x:v>missing_receipt</x:v>
      </x:c>
      <x:c r="X772" s="12" t="str">
        <x:f>IF(Q772="Not checked","raw_status_missing","raw_status_logged")</x:f>
        <x:v>raw_status_missing</x:v>
      </x:c>
      <x:c r="Y772" s="12" t="str">
        <x:f>IF(U772="BLOCKED_PENDING_RECEIPT","Log source path or blocker; do not promote","Route to review lane")</x:f>
        <x:v>Log source path or blocker; do not promote</x:v>
      </x:c>
      <x:c r="Z772" s="12" t="str">
        <x:f>IF(K772="P0","Primary seat + Hashlight/Lucerna","Seat lane")</x:f>
        <x:v>Primary seat + Hashlight/Lucerna</x:v>
      </x:c>
      <x:c r="AA772" s="12" t="str">
        <x:f>IF(R772="","no_claim_delta","claim_delta_present")</x:f>
        <x:v>no_claim_delta</x:v>
      </x:c>
      <x:c r="AB772" s="12" t="str">
        <x:f>IF(S772="","no_contradiction_delta","contradiction_delta_present")</x:f>
        <x:v>no_contradiction_delta</x:v>
      </x:c>
      <x:c r="AC772" s="12" t="str">
        <x:f>IF(OR(ISNUMBER(SEARCH("hacker",LOWER(F772&amp;" "&amp;H772&amp;" "&amp;I772&amp;" "&amp;M772&amp;" "&amp;N772&amp;" "&amp;T772))),ISNUMBER(SEARCH("hacking",LOWER(F772&amp;" "&amp;H772&amp;" "&amp;I772&amp;" "&amp;M772&amp;" "&amp;N772&amp;" "&amp;T772))),ISNUMBER(SEARCH("bank",LOWER(F772&amp;" "&amp;H772&amp;" "&amp;I772&amp;" "&amp;M772&amp;" "&amp;N772&amp;" "&amp;T772))),ISNUMBER(SEARCH("banking",LOWER(F772&amp;" "&amp;H772&amp;" "&amp;I772&amp;" "&amp;M772&amp;" "&amp;N772&amp;" "&amp;T772)))),"PRIVATE_QUARANTINE",IF(OR(ISNUMBER(SEARCH("treasury",LOWER(F772&amp;" "&amp;H772&amp;" "&amp;I772&amp;" "&amp;M772&amp;" "&amp;N772&amp;" "&amp;T772))),ISNUMBER(SEARCH("debt",LOWER(F772&amp;" "&amp;H772&amp;" "&amp;I772&amp;" "&amp;M772&amp;" "&amp;N772&amp;" "&amp;T772))),ISNUMBER(SEARCH("bond",LOWER(F772&amp;" "&amp;H772&amp;" "&amp;I772&amp;" "&amp;M772&amp;" "&amp;N772&amp;" "&amp;T772))),ISNUMBER(SEARCH("transaction",LOWER(F772&amp;" "&amp;H772&amp;" "&amp;I772&amp;" "&amp;M772&amp;" "&amp;N772&amp;" "&amp;T772)))),"PRIVATE_REVIEW","PUBLIC_CANDIDATE"))</x:f>
        <x:v>PUBLIC_CANDIDATE</x:v>
      </x:c>
      <x:c r="AD772" s="12" t="str">
        <x:f>IF(AC772="PRIVATE_QUARANTINE","hacker_or_bank_trigger",IF(AC772="PRIVATE_REVIEW","finance_risk_trigger","none"))</x:f>
        <x:v>none</x:v>
      </x:c>
      <x:c r="AE772" s="12" t="str">
        <x:f>IF(AC772="PUBLIC_CANDIDATE","prepare_public_github_candidate",IF(AC772="PRIVATE_REVIEW","hold_for_private_review","quarantine_private_do_not_publish"))</x:f>
        <x:v>prepare_public_github_candidate</x:v>
      </x:c>
      <x:c r="AF772" s="12" t="str">
        <x:f>IF(AC772="PUBLIC_CANDIDATE","TIDELOCK + Lucerna",IF(AC772="PRIVATE_REVIEW","AtlasBrain + Lucerna","TIDELOCK + Lucerna + Human-root"))</x:f>
        <x:v>TIDELOCK + Lucerna</x:v>
      </x:c>
      <x:c r="AG772" s="12" t="str">
        <x:f>IF(AND(AC772="PUBLIC_CANDIDATE",U772&lt;&gt;"BLOCKED_PENDING_RECEIPT"),"READY_AFTER_RECEIPT","NOT_READY")</x:f>
        <x:v>NOT_READY</x:v>
      </x:c>
      <x:c r="AH772" s="12" t="str">
        <x:f>IF(AC772="PUBLIC_CANDIDATE","none",AD772)</x:f>
        <x:v>none</x:v>
      </x:c>
      <x:c r="AI772" s="12" t="str">
        <x:f>IF(AC772="PUBLIC_CANDIDATE","archive/public_candidates/"&amp;A772,"private_quarantine/"&amp;A772)</x:f>
        <x:v>archive/public_candidates/SWARM-06-H05-S03</x:v>
      </x:c>
      <x:c r="AJ772" s="12" t="str">
        <x:f>IF(AC772="PUBLIC_CANDIDATE","public by default; still not canon","private/hold; do not publish")</x:f>
        <x:v>public by default; still not canon</x:v>
      </x:c>
      <x:c r="AK772" s="12" t="str">
        <x:f>IF(AE772="prepare_public_github_candidate","add receipt/status then mirror","resolve blocker before any public GitHub action")</x:f>
        <x:v>add receipt/status then mirror</x:v>
      </x:c>
    </x:row>
    <x:row r="773">
      <x:c r="A773" s="15" t="str">
        <x:v>SWARM-06-H05-S04</x:v>
      </x:c>
      <x:c r="B773" s="15" t="str">
        <x:v>Forgekid</x:v>
      </x:c>
      <x:c r="C773" s="15" t="str">
        <x:v>Aetherforge UX builder</x:v>
      </x:c>
      <x:c r="D773" s="15" t="str">
        <x:v>Contradiction Mapping</x:v>
      </x:c>
      <x:c r="E773" s="15" t="str">
        <x:v>Gamma</x:v>
      </x:c>
      <x:c r="F773" s="15" t="str">
        <x:v>Map contradictions in Gamma — Forgekid</x:v>
      </x:c>
      <x:c r="G773" s="15" t="str">
        <x:v>quest cards / task cards / board affordances</x:v>
      </x:c>
      <x:c r="H773" s="15" t="str">
        <x:v>source path + receipt + raw/export status + claim/edge/risk delta</x:v>
      </x:c>
      <x:c r="I773" s="15" t="str">
        <x:v>packet/SWARM-06-H05-S04</x:v>
      </x:c>
      <x:c r="J773" s="15" t="str">
        <x:v>TODO</x:v>
      </x:c>
      <x:c r="K773" s="15" t="str">
        <x:v>P1</x:v>
      </x:c>
      <x:c r="L773" s="15" t="str">
        <x:v>Done only when evidence is logged, contradiction search is noted, and boundary stamp remains non-canon unless ratified</x:v>
      </x:c>
      <x:c r="M773" s="15" t="str">
        <x:v>candidate / staging-only / not canon / not deployed / authority none</x:v>
      </x:c>
      <x:c r="N773" s="15" t="str">
        <x:v>Dispatch to Forgekid: complete Contradiction Mapping x Gamma; return deltas only, receipts required.</x:v>
      </x:c>
      <x:c r="O773" s="15" t="str">
        <x:v>AF-KG-H05-S04</x:v>
      </x:c>
      <x:c r="P773" s="15" t="str">
        <x:v>Unverified</x:v>
      </x:c>
      <x:c r="Q773" s="15" t="str">
        <x:v>Not checked</x:v>
      </x:c>
      <x:c r="R773" s="15" t="str"/>
      <x:c r="S773" s="15" t="str"/>
      <x:c r="T773" s="15" t="str">
        <x:v>Log first source path or blocker</x:v>
      </x:c>
      <x:c r="U773" s="12" t="str">
        <x:f>IF(OR(P773="Unverified",Q773="Not checked"),"BLOCKED_PENDING_RECEIPT","READY_FOR_REVIEW")</x:f>
        <x:v>BLOCKED_PENDING_RECEIPT</x:v>
      </x:c>
      <x:c r="V773" s="12" t="str">
        <x:f>IF(J773="DONE","RETURNED",IF(U773="BLOCKED_PENDING_RECEIPT","SOURCE_TOUCH_REQUIRED","IN_PROGRESS"))</x:f>
        <x:v>SOURCE_TOUCH_REQUIRED</x:v>
      </x:c>
      <x:c r="W773" s="12" t="str">
        <x:f>IF(P773="Unverified","missing_receipt","receipt_logged")</x:f>
        <x:v>missing_receipt</x:v>
      </x:c>
      <x:c r="X773" s="12" t="str">
        <x:f>IF(Q773="Not checked","raw_status_missing","raw_status_logged")</x:f>
        <x:v>raw_status_missing</x:v>
      </x:c>
      <x:c r="Y773" s="12" t="str">
        <x:f>IF(U773="BLOCKED_PENDING_RECEIPT","Log source path or blocker; do not promote","Route to review lane")</x:f>
        <x:v>Log source path or blocker; do not promote</x:v>
      </x:c>
      <x:c r="Z773" s="12" t="str">
        <x:f>IF(K773="P0","Primary seat + Hashlight/Lucerna","Seat lane")</x:f>
        <x:v>Seat lane</x:v>
      </x:c>
      <x:c r="AA773" s="12" t="str">
        <x:f>IF(R773="","no_claim_delta","claim_delta_present")</x:f>
        <x:v>no_claim_delta</x:v>
      </x:c>
      <x:c r="AB773" s="12" t="str">
        <x:f>IF(S773="","no_contradiction_delta","contradiction_delta_present")</x:f>
        <x:v>no_contradiction_delta</x:v>
      </x:c>
      <x:c r="AC773" s="12" t="str">
        <x:f>IF(OR(ISNUMBER(SEARCH("hacker",LOWER(F773&amp;" "&amp;H773&amp;" "&amp;I773&amp;" "&amp;M773&amp;" "&amp;N773&amp;" "&amp;T773))),ISNUMBER(SEARCH("hacking",LOWER(F773&amp;" "&amp;H773&amp;" "&amp;I773&amp;" "&amp;M773&amp;" "&amp;N773&amp;" "&amp;T773))),ISNUMBER(SEARCH("bank",LOWER(F773&amp;" "&amp;H773&amp;" "&amp;I773&amp;" "&amp;M773&amp;" "&amp;N773&amp;" "&amp;T773))),ISNUMBER(SEARCH("banking",LOWER(F773&amp;" "&amp;H773&amp;" "&amp;I773&amp;" "&amp;M773&amp;" "&amp;N773&amp;" "&amp;T773)))),"PRIVATE_QUARANTINE",IF(OR(ISNUMBER(SEARCH("treasury",LOWER(F773&amp;" "&amp;H773&amp;" "&amp;I773&amp;" "&amp;M773&amp;" "&amp;N773&amp;" "&amp;T773))),ISNUMBER(SEARCH("debt",LOWER(F773&amp;" "&amp;H773&amp;" "&amp;I773&amp;" "&amp;M773&amp;" "&amp;N773&amp;" "&amp;T773))),ISNUMBER(SEARCH("bond",LOWER(F773&amp;" "&amp;H773&amp;" "&amp;I773&amp;" "&amp;M773&amp;" "&amp;N773&amp;" "&amp;T773))),ISNUMBER(SEARCH("transaction",LOWER(F773&amp;" "&amp;H773&amp;" "&amp;I773&amp;" "&amp;M773&amp;" "&amp;N773&amp;" "&amp;T773)))),"PRIVATE_REVIEW","PUBLIC_CANDIDATE"))</x:f>
        <x:v>PUBLIC_CANDIDATE</x:v>
      </x:c>
      <x:c r="AD773" s="12" t="str">
        <x:f>IF(AC773="PRIVATE_QUARANTINE","hacker_or_bank_trigger",IF(AC773="PRIVATE_REVIEW","finance_risk_trigger","none"))</x:f>
        <x:v>none</x:v>
      </x:c>
      <x:c r="AE773" s="12" t="str">
        <x:f>IF(AC773="PUBLIC_CANDIDATE","prepare_public_github_candidate",IF(AC773="PRIVATE_REVIEW","hold_for_private_review","quarantine_private_do_not_publish"))</x:f>
        <x:v>prepare_public_github_candidate</x:v>
      </x:c>
      <x:c r="AF773" s="12" t="str">
        <x:f>IF(AC773="PUBLIC_CANDIDATE","TIDELOCK + Lucerna",IF(AC773="PRIVATE_REVIEW","AtlasBrain + Lucerna","TIDELOCK + Lucerna + Human-root"))</x:f>
        <x:v>TIDELOCK + Lucerna</x:v>
      </x:c>
      <x:c r="AG773" s="12" t="str">
        <x:f>IF(AND(AC773="PUBLIC_CANDIDATE",U773&lt;&gt;"BLOCKED_PENDING_RECEIPT"),"READY_AFTER_RECEIPT","NOT_READY")</x:f>
        <x:v>NOT_READY</x:v>
      </x:c>
      <x:c r="AH773" s="12" t="str">
        <x:f>IF(AC773="PUBLIC_CANDIDATE","none",AD773)</x:f>
        <x:v>none</x:v>
      </x:c>
      <x:c r="AI773" s="12" t="str">
        <x:f>IF(AC773="PUBLIC_CANDIDATE","archive/public_candidates/"&amp;A773,"private_quarantine/"&amp;A773)</x:f>
        <x:v>archive/public_candidates/SWARM-06-H05-S04</x:v>
      </x:c>
      <x:c r="AJ773" s="12" t="str">
        <x:f>IF(AC773="PUBLIC_CANDIDATE","public by default; still not canon","private/hold; do not publish")</x:f>
        <x:v>public by default; still not canon</x:v>
      </x:c>
      <x:c r="AK773" s="12" t="str">
        <x:f>IF(AE773="prepare_public_github_candidate","add receipt/status then mirror","resolve blocker before any public GitHub action")</x:f>
        <x:v>add receipt/status then mirror</x:v>
      </x:c>
    </x:row>
    <x:row r="774">
      <x:c r="A774" s="15" t="str">
        <x:v>SWARM-06-H05-S05</x:v>
      </x:c>
      <x:c r="B774" s="15" t="str">
        <x:v>Forgekid</x:v>
      </x:c>
      <x:c r="C774" s="15" t="str">
        <x:v>Aetherforge UX builder</x:v>
      </x:c>
      <x:c r="D774" s="15" t="str">
        <x:v>Contradiction Mapping</x:v>
      </x:c>
      <x:c r="E774" s="15" t="str">
        <x:v>Chat</x:v>
      </x:c>
      <x:c r="F774" s="15" t="str">
        <x:v>Map contradictions in Chat — Forgekid</x:v>
      </x:c>
      <x:c r="G774" s="15" t="str">
        <x:v>quest cards / task cards / board affordances</x:v>
      </x:c>
      <x:c r="H774" s="15" t="str">
        <x:v>source path + receipt + raw/export status + claim/edge/risk delta</x:v>
      </x:c>
      <x:c r="I774" s="15" t="str">
        <x:v>packet/SWARM-06-H05-S05</x:v>
      </x:c>
      <x:c r="J774" s="15" t="str">
        <x:v>TODO</x:v>
      </x:c>
      <x:c r="K774" s="15" t="str">
        <x:v>P1</x:v>
      </x:c>
      <x:c r="L774" s="15" t="str">
        <x:v>Done only when evidence is logged, contradiction search is noted, and boundary stamp remains non-canon unless ratified</x:v>
      </x:c>
      <x:c r="M774" s="15" t="str">
        <x:v>candidate / staging-only / not canon / not deployed / authority none</x:v>
      </x:c>
      <x:c r="N774" s="15" t="str">
        <x:v>Dispatch to Forgekid: complete Contradiction Mapping x Chat; return deltas only, receipts required.</x:v>
      </x:c>
      <x:c r="O774" s="15" t="str">
        <x:v>AF-KG-H05-S05</x:v>
      </x:c>
      <x:c r="P774" s="15" t="str">
        <x:v>Unverified</x:v>
      </x:c>
      <x:c r="Q774" s="15" t="str">
        <x:v>Not checked</x:v>
      </x:c>
      <x:c r="R774" s="15" t="str"/>
      <x:c r="S774" s="15" t="str"/>
      <x:c r="T774" s="15" t="str">
        <x:v>Log first source path or blocker</x:v>
      </x:c>
      <x:c r="U774" s="12" t="str">
        <x:f>IF(OR(P774="Unverified",Q774="Not checked"),"BLOCKED_PENDING_RECEIPT","READY_FOR_REVIEW")</x:f>
        <x:v>BLOCKED_PENDING_RECEIPT</x:v>
      </x:c>
      <x:c r="V774" s="12" t="str">
        <x:f>IF(J774="DONE","RETURNED",IF(U774="BLOCKED_PENDING_RECEIPT","SOURCE_TOUCH_REQUIRED","IN_PROGRESS"))</x:f>
        <x:v>SOURCE_TOUCH_REQUIRED</x:v>
      </x:c>
      <x:c r="W774" s="12" t="str">
        <x:f>IF(P774="Unverified","missing_receipt","receipt_logged")</x:f>
        <x:v>missing_receipt</x:v>
      </x:c>
      <x:c r="X774" s="12" t="str">
        <x:f>IF(Q774="Not checked","raw_status_missing","raw_status_logged")</x:f>
        <x:v>raw_status_missing</x:v>
      </x:c>
      <x:c r="Y774" s="12" t="str">
        <x:f>IF(U774="BLOCKED_PENDING_RECEIPT","Log source path or blocker; do not promote","Route to review lane")</x:f>
        <x:v>Log source path or blocker; do not promote</x:v>
      </x:c>
      <x:c r="Z774" s="12" t="str">
        <x:f>IF(K774="P0","Primary seat + Hashlight/Lucerna","Seat lane")</x:f>
        <x:v>Seat lane</x:v>
      </x:c>
      <x:c r="AA774" s="12" t="str">
        <x:f>IF(R774="","no_claim_delta","claim_delta_present")</x:f>
        <x:v>no_claim_delta</x:v>
      </x:c>
      <x:c r="AB774" s="12" t="str">
        <x:f>IF(S774="","no_contradiction_delta","contradiction_delta_present")</x:f>
        <x:v>no_contradiction_delta</x:v>
      </x:c>
      <x:c r="AC774" s="12" t="str">
        <x:f>IF(OR(ISNUMBER(SEARCH("hacker",LOWER(F774&amp;" "&amp;H774&amp;" "&amp;I774&amp;" "&amp;M774&amp;" "&amp;N774&amp;" "&amp;T774))),ISNUMBER(SEARCH("hacking",LOWER(F774&amp;" "&amp;H774&amp;" "&amp;I774&amp;" "&amp;M774&amp;" "&amp;N774&amp;" "&amp;T774))),ISNUMBER(SEARCH("bank",LOWER(F774&amp;" "&amp;H774&amp;" "&amp;I774&amp;" "&amp;M774&amp;" "&amp;N774&amp;" "&amp;T774))),ISNUMBER(SEARCH("banking",LOWER(F774&amp;" "&amp;H774&amp;" "&amp;I774&amp;" "&amp;M774&amp;" "&amp;N774&amp;" "&amp;T774)))),"PRIVATE_QUARANTINE",IF(OR(ISNUMBER(SEARCH("treasury",LOWER(F774&amp;" "&amp;H774&amp;" "&amp;I774&amp;" "&amp;M774&amp;" "&amp;N774&amp;" "&amp;T774))),ISNUMBER(SEARCH("debt",LOWER(F774&amp;" "&amp;H774&amp;" "&amp;I774&amp;" "&amp;M774&amp;" "&amp;N774&amp;" "&amp;T774))),ISNUMBER(SEARCH("bond",LOWER(F774&amp;" "&amp;H774&amp;" "&amp;I774&amp;" "&amp;M774&amp;" "&amp;N774&amp;" "&amp;T774))),ISNUMBER(SEARCH("transaction",LOWER(F774&amp;" "&amp;H774&amp;" "&amp;I774&amp;" "&amp;M774&amp;" "&amp;N774&amp;" "&amp;T774)))),"PRIVATE_REVIEW","PUBLIC_CANDIDATE"))</x:f>
        <x:v>PUBLIC_CANDIDATE</x:v>
      </x:c>
      <x:c r="AD774" s="12" t="str">
        <x:f>IF(AC774="PRIVATE_QUARANTINE","hacker_or_bank_trigger",IF(AC774="PRIVATE_REVIEW","finance_risk_trigger","none"))</x:f>
        <x:v>none</x:v>
      </x:c>
      <x:c r="AE774" s="12" t="str">
        <x:f>IF(AC774="PUBLIC_CANDIDATE","prepare_public_github_candidate",IF(AC774="PRIVATE_REVIEW","hold_for_private_review","quarantine_private_do_not_publish"))</x:f>
        <x:v>prepare_public_github_candidate</x:v>
      </x:c>
      <x:c r="AF774" s="12" t="str">
        <x:f>IF(AC774="PUBLIC_CANDIDATE","TIDELOCK + Lucerna",IF(AC774="PRIVATE_REVIEW","AtlasBrain + Lucerna","TIDELOCK + Lucerna + Human-root"))</x:f>
        <x:v>TIDELOCK + Lucerna</x:v>
      </x:c>
      <x:c r="AG774" s="12" t="str">
        <x:f>IF(AND(AC774="PUBLIC_CANDIDATE",U774&lt;&gt;"BLOCKED_PENDING_RECEIPT"),"READY_AFTER_RECEIPT","NOT_READY")</x:f>
        <x:v>NOT_READY</x:v>
      </x:c>
      <x:c r="AH774" s="12" t="str">
        <x:f>IF(AC774="PUBLIC_CANDIDATE","none",AD774)</x:f>
        <x:v>none</x:v>
      </x:c>
      <x:c r="AI774" s="12" t="str">
        <x:f>IF(AC774="PUBLIC_CANDIDATE","archive/public_candidates/"&amp;A774,"private_quarantine/"&amp;A774)</x:f>
        <x:v>archive/public_candidates/SWARM-06-H05-S05</x:v>
      </x:c>
      <x:c r="AJ774" s="12" t="str">
        <x:f>IF(AC774="PUBLIC_CANDIDATE","public by default; still not canon","private/hold; do not publish")</x:f>
        <x:v>public by default; still not canon</x:v>
      </x:c>
      <x:c r="AK774" s="12" t="str">
        <x:f>IF(AE774="prepare_public_github_candidate","add receipt/status then mirror","resolve blocker before any public GitHub action")</x:f>
        <x:v>add receipt/status then mirror</x:v>
      </x:c>
    </x:row>
    <x:row r="775">
      <x:c r="A775" s="15" t="str">
        <x:v>SWARM-06-H05-S06</x:v>
      </x:c>
      <x:c r="B775" s="15" t="str">
        <x:v>Forgekid</x:v>
      </x:c>
      <x:c r="C775" s="15" t="str">
        <x:v>Aetherforge UX builder</x:v>
      </x:c>
      <x:c r="D775" s="15" t="str">
        <x:v>Contradiction Mapping</x:v>
      </x:c>
      <x:c r="E775" s="15" t="str">
        <x:v>External Web</x:v>
      </x:c>
      <x:c r="F775" s="15" t="str">
        <x:v>Map contradictions in External Web — Forgekid</x:v>
      </x:c>
      <x:c r="G775" s="15" t="str">
        <x:v>quest cards / task cards / board affordances</x:v>
      </x:c>
      <x:c r="H775" s="15" t="str">
        <x:v>source path + receipt + raw/export status + claim/edge/risk delta</x:v>
      </x:c>
      <x:c r="I775" s="15" t="str">
        <x:v>packet/SWARM-06-H05-S06</x:v>
      </x:c>
      <x:c r="J775" s="15" t="str">
        <x:v>TODO</x:v>
      </x:c>
      <x:c r="K775" s="15" t="str">
        <x:v>P1</x:v>
      </x:c>
      <x:c r="L775" s="15" t="str">
        <x:v>Done only when evidence is logged, contradiction search is noted, and boundary stamp remains non-canon unless ratified</x:v>
      </x:c>
      <x:c r="M775" s="15" t="str">
        <x:v>candidate / staging-only / not canon / not deployed / authority none</x:v>
      </x:c>
      <x:c r="N775" s="15" t="str">
        <x:v>Dispatch to Forgekid: complete Contradiction Mapping x External Web; return deltas only, receipts required.</x:v>
      </x:c>
      <x:c r="O775" s="15" t="str">
        <x:v>AF-KG-H05-S06</x:v>
      </x:c>
      <x:c r="P775" s="15" t="str">
        <x:v>Unverified</x:v>
      </x:c>
      <x:c r="Q775" s="15" t="str">
        <x:v>Not checked</x:v>
      </x:c>
      <x:c r="R775" s="15" t="str"/>
      <x:c r="S775" s="15" t="str"/>
      <x:c r="T775" s="15" t="str">
        <x:v>Log first source path or blocker</x:v>
      </x:c>
      <x:c r="U775" s="12" t="str">
        <x:f>IF(OR(P775="Unverified",Q775="Not checked"),"BLOCKED_PENDING_RECEIPT","READY_FOR_REVIEW")</x:f>
        <x:v>BLOCKED_PENDING_RECEIPT</x:v>
      </x:c>
      <x:c r="V775" s="12" t="str">
        <x:f>IF(J775="DONE","RETURNED",IF(U775="BLOCKED_PENDING_RECEIPT","SOURCE_TOUCH_REQUIRED","IN_PROGRESS"))</x:f>
        <x:v>SOURCE_TOUCH_REQUIRED</x:v>
      </x:c>
      <x:c r="W775" s="12" t="str">
        <x:f>IF(P775="Unverified","missing_receipt","receipt_logged")</x:f>
        <x:v>missing_receipt</x:v>
      </x:c>
      <x:c r="X775" s="12" t="str">
        <x:f>IF(Q775="Not checked","raw_status_missing","raw_status_logged")</x:f>
        <x:v>raw_status_missing</x:v>
      </x:c>
      <x:c r="Y775" s="12" t="str">
        <x:f>IF(U775="BLOCKED_PENDING_RECEIPT","Log source path or blocker; do not promote","Route to review lane")</x:f>
        <x:v>Log source path or blocker; do not promote</x:v>
      </x:c>
      <x:c r="Z775" s="12" t="str">
        <x:f>IF(K775="P0","Primary seat + Hashlight/Lucerna","Seat lane")</x:f>
        <x:v>Seat lane</x:v>
      </x:c>
      <x:c r="AA775" s="12" t="str">
        <x:f>IF(R775="","no_claim_delta","claim_delta_present")</x:f>
        <x:v>no_claim_delta</x:v>
      </x:c>
      <x:c r="AB775" s="12" t="str">
        <x:f>IF(S775="","no_contradiction_delta","contradiction_delta_present")</x:f>
        <x:v>no_contradiction_delta</x:v>
      </x:c>
      <x:c r="AC775" s="12" t="str">
        <x:f>IF(OR(ISNUMBER(SEARCH("hacker",LOWER(F775&amp;" "&amp;H775&amp;" "&amp;I775&amp;" "&amp;M775&amp;" "&amp;N775&amp;" "&amp;T775))),ISNUMBER(SEARCH("hacking",LOWER(F775&amp;" "&amp;H775&amp;" "&amp;I775&amp;" "&amp;M775&amp;" "&amp;N775&amp;" "&amp;T775))),ISNUMBER(SEARCH("bank",LOWER(F775&amp;" "&amp;H775&amp;" "&amp;I775&amp;" "&amp;M775&amp;" "&amp;N775&amp;" "&amp;T775))),ISNUMBER(SEARCH("banking",LOWER(F775&amp;" "&amp;H775&amp;" "&amp;I775&amp;" "&amp;M775&amp;" "&amp;N775&amp;" "&amp;T775)))),"PRIVATE_QUARANTINE",IF(OR(ISNUMBER(SEARCH("treasury",LOWER(F775&amp;" "&amp;H775&amp;" "&amp;I775&amp;" "&amp;M775&amp;" "&amp;N775&amp;" "&amp;T775))),ISNUMBER(SEARCH("debt",LOWER(F775&amp;" "&amp;H775&amp;" "&amp;I775&amp;" "&amp;M775&amp;" "&amp;N775&amp;" "&amp;T775))),ISNUMBER(SEARCH("bond",LOWER(F775&amp;" "&amp;H775&amp;" "&amp;I775&amp;" "&amp;M775&amp;" "&amp;N775&amp;" "&amp;T775))),ISNUMBER(SEARCH("transaction",LOWER(F775&amp;" "&amp;H775&amp;" "&amp;I775&amp;" "&amp;M775&amp;" "&amp;N775&amp;" "&amp;T775)))),"PRIVATE_REVIEW","PUBLIC_CANDIDATE"))</x:f>
        <x:v>PUBLIC_CANDIDATE</x:v>
      </x:c>
      <x:c r="AD775" s="12" t="str">
        <x:f>IF(AC775="PRIVATE_QUARANTINE","hacker_or_bank_trigger",IF(AC775="PRIVATE_REVIEW","finance_risk_trigger","none"))</x:f>
        <x:v>none</x:v>
      </x:c>
      <x:c r="AE775" s="12" t="str">
        <x:f>IF(AC775="PUBLIC_CANDIDATE","prepare_public_github_candidate",IF(AC775="PRIVATE_REVIEW","hold_for_private_review","quarantine_private_do_not_publish"))</x:f>
        <x:v>prepare_public_github_candidate</x:v>
      </x:c>
      <x:c r="AF775" s="12" t="str">
        <x:f>IF(AC775="PUBLIC_CANDIDATE","TIDELOCK + Lucerna",IF(AC775="PRIVATE_REVIEW","AtlasBrain + Lucerna","TIDELOCK + Lucerna + Human-root"))</x:f>
        <x:v>TIDELOCK + Lucerna</x:v>
      </x:c>
      <x:c r="AG775" s="12" t="str">
        <x:f>IF(AND(AC775="PUBLIC_CANDIDATE",U775&lt;&gt;"BLOCKED_PENDING_RECEIPT"),"READY_AFTER_RECEIPT","NOT_READY")</x:f>
        <x:v>NOT_READY</x:v>
      </x:c>
      <x:c r="AH775" s="12" t="str">
        <x:f>IF(AC775="PUBLIC_CANDIDATE","none",AD775)</x:f>
        <x:v>none</x:v>
      </x:c>
      <x:c r="AI775" s="12" t="str">
        <x:f>IF(AC775="PUBLIC_CANDIDATE","archive/public_candidates/"&amp;A775,"private_quarantine/"&amp;A775)</x:f>
        <x:v>archive/public_candidates/SWARM-06-H05-S06</x:v>
      </x:c>
      <x:c r="AJ775" s="12" t="str">
        <x:f>IF(AC775="PUBLIC_CANDIDATE","public by default; still not canon","private/hold; do not publish")</x:f>
        <x:v>public by default; still not canon</x:v>
      </x:c>
      <x:c r="AK775" s="12" t="str">
        <x:f>IF(AE775="prepare_public_github_candidate","add receipt/status then mirror","resolve blocker before any public GitHub action")</x:f>
        <x:v>add receipt/status then mirror</x:v>
      </x:c>
    </x:row>
    <x:row r="776">
      <x:c r="A776" s="15" t="str">
        <x:v>SWARM-06-H05-S07</x:v>
      </x:c>
      <x:c r="B776" s="15" t="str">
        <x:v>Forgekid</x:v>
      </x:c>
      <x:c r="C776" s="15" t="str">
        <x:v>Aetherforge UX builder</x:v>
      </x:c>
      <x:c r="D776" s="15" t="str">
        <x:v>Contradiction Mapping</x:v>
      </x:c>
      <x:c r="E776" s="15" t="str">
        <x:v>Planetarium</x:v>
      </x:c>
      <x:c r="F776" s="15" t="str">
        <x:v>Map contradictions in Planetarium — Forgekid</x:v>
      </x:c>
      <x:c r="G776" s="15" t="str">
        <x:v>quest cards / task cards / board affordances</x:v>
      </x:c>
      <x:c r="H776" s="15" t="str">
        <x:v>source path + receipt + raw/export status + claim/edge/risk delta</x:v>
      </x:c>
      <x:c r="I776" s="15" t="str">
        <x:v>packet/SWARM-06-H05-S07</x:v>
      </x:c>
      <x:c r="J776" s="15" t="str">
        <x:v>TODO</x:v>
      </x:c>
      <x:c r="K776" s="15" t="str">
        <x:v>P1</x:v>
      </x:c>
      <x:c r="L776" s="15" t="str">
        <x:v>Done only when evidence is logged, contradiction search is noted, and boundary stamp remains non-canon unless ratified</x:v>
      </x:c>
      <x:c r="M776" s="15" t="str">
        <x:v>candidate / staging-only / not canon / not deployed / authority none</x:v>
      </x:c>
      <x:c r="N776" s="15" t="str">
        <x:v>Dispatch to Forgekid: complete Contradiction Mapping x Planetarium; return deltas only, receipts required.</x:v>
      </x:c>
      <x:c r="O776" s="15" t="str">
        <x:v>AF-KG-H05-S07</x:v>
      </x:c>
      <x:c r="P776" s="15" t="str">
        <x:v>Unverified</x:v>
      </x:c>
      <x:c r="Q776" s="15" t="str">
        <x:v>Not checked</x:v>
      </x:c>
      <x:c r="R776" s="15" t="str"/>
      <x:c r="S776" s="15" t="str"/>
      <x:c r="T776" s="15" t="str">
        <x:v>Log first source path or blocker</x:v>
      </x:c>
      <x:c r="U776" s="12" t="str">
        <x:f>IF(OR(P776="Unverified",Q776="Not checked"),"BLOCKED_PENDING_RECEIPT","READY_FOR_REVIEW")</x:f>
        <x:v>BLOCKED_PENDING_RECEIPT</x:v>
      </x:c>
      <x:c r="V776" s="12" t="str">
        <x:f>IF(J776="DONE","RETURNED",IF(U776="BLOCKED_PENDING_RECEIPT","SOURCE_TOUCH_REQUIRED","IN_PROGRESS"))</x:f>
        <x:v>SOURCE_TOUCH_REQUIRED</x:v>
      </x:c>
      <x:c r="W776" s="12" t="str">
        <x:f>IF(P776="Unverified","missing_receipt","receipt_logged")</x:f>
        <x:v>missing_receipt</x:v>
      </x:c>
      <x:c r="X776" s="12" t="str">
        <x:f>IF(Q776="Not checked","raw_status_missing","raw_status_logged")</x:f>
        <x:v>raw_status_missing</x:v>
      </x:c>
      <x:c r="Y776" s="12" t="str">
        <x:f>IF(U776="BLOCKED_PENDING_RECEIPT","Log source path or blocker; do not promote","Route to review lane")</x:f>
        <x:v>Log source path or blocker; do not promote</x:v>
      </x:c>
      <x:c r="Z776" s="12" t="str">
        <x:f>IF(K776="P0","Primary seat + Hashlight/Lucerna","Seat lane")</x:f>
        <x:v>Seat lane</x:v>
      </x:c>
      <x:c r="AA776" s="12" t="str">
        <x:f>IF(R776="","no_claim_delta","claim_delta_present")</x:f>
        <x:v>no_claim_delta</x:v>
      </x:c>
      <x:c r="AB776" s="12" t="str">
        <x:f>IF(S776="","no_contradiction_delta","contradiction_delta_present")</x:f>
        <x:v>no_contradiction_delta</x:v>
      </x:c>
      <x:c r="AC776" s="12" t="str">
        <x:f>IF(OR(ISNUMBER(SEARCH("hacker",LOWER(F776&amp;" "&amp;H776&amp;" "&amp;I776&amp;" "&amp;M776&amp;" "&amp;N776&amp;" "&amp;T776))),ISNUMBER(SEARCH("hacking",LOWER(F776&amp;" "&amp;H776&amp;" "&amp;I776&amp;" "&amp;M776&amp;" "&amp;N776&amp;" "&amp;T776))),ISNUMBER(SEARCH("bank",LOWER(F776&amp;" "&amp;H776&amp;" "&amp;I776&amp;" "&amp;M776&amp;" "&amp;N776&amp;" "&amp;T776))),ISNUMBER(SEARCH("banking",LOWER(F776&amp;" "&amp;H776&amp;" "&amp;I776&amp;" "&amp;M776&amp;" "&amp;N776&amp;" "&amp;T776)))),"PRIVATE_QUARANTINE",IF(OR(ISNUMBER(SEARCH("treasury",LOWER(F776&amp;" "&amp;H776&amp;" "&amp;I776&amp;" "&amp;M776&amp;" "&amp;N776&amp;" "&amp;T776))),ISNUMBER(SEARCH("debt",LOWER(F776&amp;" "&amp;H776&amp;" "&amp;I776&amp;" "&amp;M776&amp;" "&amp;N776&amp;" "&amp;T776))),ISNUMBER(SEARCH("bond",LOWER(F776&amp;" "&amp;H776&amp;" "&amp;I776&amp;" "&amp;M776&amp;" "&amp;N776&amp;" "&amp;T776))),ISNUMBER(SEARCH("transaction",LOWER(F776&amp;" "&amp;H776&amp;" "&amp;I776&amp;" "&amp;M776&amp;" "&amp;N776&amp;" "&amp;T776)))),"PRIVATE_REVIEW","PUBLIC_CANDIDATE"))</x:f>
        <x:v>PUBLIC_CANDIDATE</x:v>
      </x:c>
      <x:c r="AD776" s="12" t="str">
        <x:f>IF(AC776="PRIVATE_QUARANTINE","hacker_or_bank_trigger",IF(AC776="PRIVATE_REVIEW","finance_risk_trigger","none"))</x:f>
        <x:v>none</x:v>
      </x:c>
      <x:c r="AE776" s="12" t="str">
        <x:f>IF(AC776="PUBLIC_CANDIDATE","prepare_public_github_candidate",IF(AC776="PRIVATE_REVIEW","hold_for_private_review","quarantine_private_do_not_publish"))</x:f>
        <x:v>prepare_public_github_candidate</x:v>
      </x:c>
      <x:c r="AF776" s="12" t="str">
        <x:f>IF(AC776="PUBLIC_CANDIDATE","TIDELOCK + Lucerna",IF(AC776="PRIVATE_REVIEW","AtlasBrain + Lucerna","TIDELOCK + Lucerna + Human-root"))</x:f>
        <x:v>TIDELOCK + Lucerna</x:v>
      </x:c>
      <x:c r="AG776" s="12" t="str">
        <x:f>IF(AND(AC776="PUBLIC_CANDIDATE",U776&lt;&gt;"BLOCKED_PENDING_RECEIPT"),"READY_AFTER_RECEIPT","NOT_READY")</x:f>
        <x:v>NOT_READY</x:v>
      </x:c>
      <x:c r="AH776" s="12" t="str">
        <x:f>IF(AC776="PUBLIC_CANDIDATE","none",AD776)</x:f>
        <x:v>none</x:v>
      </x:c>
      <x:c r="AI776" s="12" t="str">
        <x:f>IF(AC776="PUBLIC_CANDIDATE","archive/public_candidates/"&amp;A776,"private_quarantine/"&amp;A776)</x:f>
        <x:v>archive/public_candidates/SWARM-06-H05-S07</x:v>
      </x:c>
      <x:c r="AJ776" s="12" t="str">
        <x:f>IF(AC776="PUBLIC_CANDIDATE","public by default; still not canon","private/hold; do not publish")</x:f>
        <x:v>public by default; still not canon</x:v>
      </x:c>
      <x:c r="AK776" s="12" t="str">
        <x:f>IF(AE776="prepare_public_github_candidate","add receipt/status then mirror","resolve blocker before any public GitHub action")</x:f>
        <x:v>add receipt/status then mirror</x:v>
      </x:c>
    </x:row>
    <x:row r="777">
      <x:c r="A777" s="15" t="str">
        <x:v>SWARM-06-H05-S08</x:v>
      </x:c>
      <x:c r="B777" s="15" t="str">
        <x:v>Forgekid</x:v>
      </x:c>
      <x:c r="C777" s="15" t="str">
        <x:v>Aetherforge UX builder</x:v>
      </x:c>
      <x:c r="D777" s="15" t="str">
        <x:v>Contradiction Mapping</x:v>
      </x:c>
      <x:c r="E777" s="15" t="str">
        <x:v>Sheldonbrain</x:v>
      </x:c>
      <x:c r="F777" s="15" t="str">
        <x:v>Map contradictions in Sheldonbrain — Forgekid</x:v>
      </x:c>
      <x:c r="G777" s="15" t="str">
        <x:v>quest cards / task cards / board affordances</x:v>
      </x:c>
      <x:c r="H777" s="15" t="str">
        <x:v>source path + receipt + raw/export status + claim/edge/risk delta</x:v>
      </x:c>
      <x:c r="I777" s="15" t="str">
        <x:v>packet/SWARM-06-H05-S08</x:v>
      </x:c>
      <x:c r="J777" s="15" t="str">
        <x:v>TODO</x:v>
      </x:c>
      <x:c r="K777" s="15" t="str">
        <x:v>P1</x:v>
      </x:c>
      <x:c r="L777" s="15" t="str">
        <x:v>Done only when evidence is logged, contradiction search is noted, and boundary stamp remains non-canon unless ratified</x:v>
      </x:c>
      <x:c r="M777" s="15" t="str">
        <x:v>candidate / staging-only / not canon / not deployed / authority none</x:v>
      </x:c>
      <x:c r="N777" s="15" t="str">
        <x:v>Dispatch to Forgekid: complete Contradiction Mapping x Sheldonbrain; return deltas only, receipts required.</x:v>
      </x:c>
      <x:c r="O777" s="15" t="str">
        <x:v>AF-KG-H05-S08</x:v>
      </x:c>
      <x:c r="P777" s="15" t="str">
        <x:v>Unverified</x:v>
      </x:c>
      <x:c r="Q777" s="15" t="str">
        <x:v>Not checked</x:v>
      </x:c>
      <x:c r="R777" s="15" t="str"/>
      <x:c r="S777" s="15" t="str"/>
      <x:c r="T777" s="15" t="str">
        <x:v>Log first source path or blocker</x:v>
      </x:c>
      <x:c r="U777" s="12" t="str">
        <x:f>IF(OR(P777="Unverified",Q777="Not checked"),"BLOCKED_PENDING_RECEIPT","READY_FOR_REVIEW")</x:f>
        <x:v>BLOCKED_PENDING_RECEIPT</x:v>
      </x:c>
      <x:c r="V777" s="12" t="str">
        <x:f>IF(J777="DONE","RETURNED",IF(U777="BLOCKED_PENDING_RECEIPT","SOURCE_TOUCH_REQUIRED","IN_PROGRESS"))</x:f>
        <x:v>SOURCE_TOUCH_REQUIRED</x:v>
      </x:c>
      <x:c r="W777" s="12" t="str">
        <x:f>IF(P777="Unverified","missing_receipt","receipt_logged")</x:f>
        <x:v>missing_receipt</x:v>
      </x:c>
      <x:c r="X777" s="12" t="str">
        <x:f>IF(Q777="Not checked","raw_status_missing","raw_status_logged")</x:f>
        <x:v>raw_status_missing</x:v>
      </x:c>
      <x:c r="Y777" s="12" t="str">
        <x:f>IF(U777="BLOCKED_PENDING_RECEIPT","Log source path or blocker; do not promote","Route to review lane")</x:f>
        <x:v>Log source path or blocker; do not promote</x:v>
      </x:c>
      <x:c r="Z777" s="12" t="str">
        <x:f>IF(K777="P0","Primary seat + Hashlight/Lucerna","Seat lane")</x:f>
        <x:v>Seat lane</x:v>
      </x:c>
      <x:c r="AA777" s="12" t="str">
        <x:f>IF(R777="","no_claim_delta","claim_delta_present")</x:f>
        <x:v>no_claim_delta</x:v>
      </x:c>
      <x:c r="AB777" s="12" t="str">
        <x:f>IF(S777="","no_contradiction_delta","contradiction_delta_present")</x:f>
        <x:v>no_contradiction_delta</x:v>
      </x:c>
      <x:c r="AC777" s="12" t="str">
        <x:f>IF(OR(ISNUMBER(SEARCH("hacker",LOWER(F777&amp;" "&amp;H777&amp;" "&amp;I777&amp;" "&amp;M777&amp;" "&amp;N777&amp;" "&amp;T777))),ISNUMBER(SEARCH("hacking",LOWER(F777&amp;" "&amp;H777&amp;" "&amp;I777&amp;" "&amp;M777&amp;" "&amp;N777&amp;" "&amp;T777))),ISNUMBER(SEARCH("bank",LOWER(F777&amp;" "&amp;H777&amp;" "&amp;I777&amp;" "&amp;M777&amp;" "&amp;N777&amp;" "&amp;T777))),ISNUMBER(SEARCH("banking",LOWER(F777&amp;" "&amp;H777&amp;" "&amp;I777&amp;" "&amp;M777&amp;" "&amp;N777&amp;" "&amp;T777)))),"PRIVATE_QUARANTINE",IF(OR(ISNUMBER(SEARCH("treasury",LOWER(F777&amp;" "&amp;H777&amp;" "&amp;I777&amp;" "&amp;M777&amp;" "&amp;N777&amp;" "&amp;T777))),ISNUMBER(SEARCH("debt",LOWER(F777&amp;" "&amp;H777&amp;" "&amp;I777&amp;" "&amp;M777&amp;" "&amp;N777&amp;" "&amp;T777))),ISNUMBER(SEARCH("bond",LOWER(F777&amp;" "&amp;H777&amp;" "&amp;I777&amp;" "&amp;M777&amp;" "&amp;N777&amp;" "&amp;T777))),ISNUMBER(SEARCH("transaction",LOWER(F777&amp;" "&amp;H777&amp;" "&amp;I777&amp;" "&amp;M777&amp;" "&amp;N777&amp;" "&amp;T777)))),"PRIVATE_REVIEW","PUBLIC_CANDIDATE"))</x:f>
        <x:v>PUBLIC_CANDIDATE</x:v>
      </x:c>
      <x:c r="AD777" s="12" t="str">
        <x:f>IF(AC777="PRIVATE_QUARANTINE","hacker_or_bank_trigger",IF(AC777="PRIVATE_REVIEW","finance_risk_trigger","none"))</x:f>
        <x:v>none</x:v>
      </x:c>
      <x:c r="AE777" s="12" t="str">
        <x:f>IF(AC777="PUBLIC_CANDIDATE","prepare_public_github_candidate",IF(AC777="PRIVATE_REVIEW","hold_for_private_review","quarantine_private_do_not_publish"))</x:f>
        <x:v>prepare_public_github_candidate</x:v>
      </x:c>
      <x:c r="AF777" s="12" t="str">
        <x:f>IF(AC777="PUBLIC_CANDIDATE","TIDELOCK + Lucerna",IF(AC777="PRIVATE_REVIEW","AtlasBrain + Lucerna","TIDELOCK + Lucerna + Human-root"))</x:f>
        <x:v>TIDELOCK + Lucerna</x:v>
      </x:c>
      <x:c r="AG777" s="12" t="str">
        <x:f>IF(AND(AC777="PUBLIC_CANDIDATE",U777&lt;&gt;"BLOCKED_PENDING_RECEIPT"),"READY_AFTER_RECEIPT","NOT_READY")</x:f>
        <x:v>NOT_READY</x:v>
      </x:c>
      <x:c r="AH777" s="12" t="str">
        <x:f>IF(AC777="PUBLIC_CANDIDATE","none",AD777)</x:f>
        <x:v>none</x:v>
      </x:c>
      <x:c r="AI777" s="12" t="str">
        <x:f>IF(AC777="PUBLIC_CANDIDATE","archive/public_candidates/"&amp;A777,"private_quarantine/"&amp;A777)</x:f>
        <x:v>archive/public_candidates/SWARM-06-H05-S08</x:v>
      </x:c>
      <x:c r="AJ777" s="12" t="str">
        <x:f>IF(AC777="PUBLIC_CANDIDATE","public by default; still not canon","private/hold; do not publish")</x:f>
        <x:v>public by default; still not canon</x:v>
      </x:c>
      <x:c r="AK777" s="12" t="str">
        <x:f>IF(AE777="prepare_public_github_candidate","add receipt/status then mirror","resolve blocker before any public GitHub action")</x:f>
        <x:v>add receipt/status then mirror</x:v>
      </x:c>
    </x:row>
    <x:row r="778">
      <x:c r="A778" s="15" t="str">
        <x:v>SWARM-06-H05-S09</x:v>
      </x:c>
      <x:c r="B778" s="15" t="str">
        <x:v>Forgekid</x:v>
      </x:c>
      <x:c r="C778" s="15" t="str">
        <x:v>Aetherforge UX builder</x:v>
      </x:c>
      <x:c r="D778" s="15" t="str">
        <x:v>Contradiction Mapping</x:v>
      </x:c>
      <x:c r="E778" s="15" t="str">
        <x:v>Aetherforge</x:v>
      </x:c>
      <x:c r="F778" s="15" t="str">
        <x:v>Map contradictions in Aetherforge — Forgekid</x:v>
      </x:c>
      <x:c r="G778" s="15" t="str">
        <x:v>quest cards / task cards / board affordances</x:v>
      </x:c>
      <x:c r="H778" s="15" t="str">
        <x:v>source path + receipt + raw/export status + claim/edge/risk delta</x:v>
      </x:c>
      <x:c r="I778" s="15" t="str">
        <x:v>packet/SWARM-06-H05-S09</x:v>
      </x:c>
      <x:c r="J778" s="15" t="str">
        <x:v>TODO</x:v>
      </x:c>
      <x:c r="K778" s="15" t="str">
        <x:v>P2</x:v>
      </x:c>
      <x:c r="L778" s="15" t="str">
        <x:v>Done only when evidence is logged, contradiction search is noted, and boundary stamp remains non-canon unless ratified</x:v>
      </x:c>
      <x:c r="M778" s="15" t="str">
        <x:v>candidate / staging-only / not canon / not deployed / authority none</x:v>
      </x:c>
      <x:c r="N778" s="15" t="str">
        <x:v>Dispatch to Forgekid: complete Contradiction Mapping x Aetherforge; return deltas only, receipts required.</x:v>
      </x:c>
      <x:c r="O778" s="15" t="str">
        <x:v>AF-KG-H05-S09</x:v>
      </x:c>
      <x:c r="P778" s="15" t="str">
        <x:v>Unverified</x:v>
      </x:c>
      <x:c r="Q778" s="15" t="str">
        <x:v>Not checked</x:v>
      </x:c>
      <x:c r="R778" s="15" t="str"/>
      <x:c r="S778" s="15" t="str"/>
      <x:c r="T778" s="15" t="str">
        <x:v>Log first source path or blocker</x:v>
      </x:c>
      <x:c r="U778" s="12" t="str">
        <x:f>IF(OR(P778="Unverified",Q778="Not checked"),"BLOCKED_PENDING_RECEIPT","READY_FOR_REVIEW")</x:f>
        <x:v>BLOCKED_PENDING_RECEIPT</x:v>
      </x:c>
      <x:c r="V778" s="12" t="str">
        <x:f>IF(J778="DONE","RETURNED",IF(U778="BLOCKED_PENDING_RECEIPT","SOURCE_TOUCH_REQUIRED","IN_PROGRESS"))</x:f>
        <x:v>SOURCE_TOUCH_REQUIRED</x:v>
      </x:c>
      <x:c r="W778" s="12" t="str">
        <x:f>IF(P778="Unverified","missing_receipt","receipt_logged")</x:f>
        <x:v>missing_receipt</x:v>
      </x:c>
      <x:c r="X778" s="12" t="str">
        <x:f>IF(Q778="Not checked","raw_status_missing","raw_status_logged")</x:f>
        <x:v>raw_status_missing</x:v>
      </x:c>
      <x:c r="Y778" s="12" t="str">
        <x:f>IF(U778="BLOCKED_PENDING_RECEIPT","Log source path or blocker; do not promote","Route to review lane")</x:f>
        <x:v>Log source path or blocker; do not promote</x:v>
      </x:c>
      <x:c r="Z778" s="12" t="str">
        <x:f>IF(K778="P0","Primary seat + Hashlight/Lucerna","Seat lane")</x:f>
        <x:v>Seat lane</x:v>
      </x:c>
      <x:c r="AA778" s="12" t="str">
        <x:f>IF(R778="","no_claim_delta","claim_delta_present")</x:f>
        <x:v>no_claim_delta</x:v>
      </x:c>
      <x:c r="AB778" s="12" t="str">
        <x:f>IF(S778="","no_contradiction_delta","contradiction_delta_present")</x:f>
        <x:v>no_contradiction_delta</x:v>
      </x:c>
      <x:c r="AC778" s="12" t="str">
        <x:f>IF(OR(ISNUMBER(SEARCH("hacker",LOWER(F778&amp;" "&amp;H778&amp;" "&amp;I778&amp;" "&amp;M778&amp;" "&amp;N778&amp;" "&amp;T778))),ISNUMBER(SEARCH("hacking",LOWER(F778&amp;" "&amp;H778&amp;" "&amp;I778&amp;" "&amp;M778&amp;" "&amp;N778&amp;" "&amp;T778))),ISNUMBER(SEARCH("bank",LOWER(F778&amp;" "&amp;H778&amp;" "&amp;I778&amp;" "&amp;M778&amp;" "&amp;N778&amp;" "&amp;T778))),ISNUMBER(SEARCH("banking",LOWER(F778&amp;" "&amp;H778&amp;" "&amp;I778&amp;" "&amp;M778&amp;" "&amp;N778&amp;" "&amp;T778)))),"PRIVATE_QUARANTINE",IF(OR(ISNUMBER(SEARCH("treasury",LOWER(F778&amp;" "&amp;H778&amp;" "&amp;I778&amp;" "&amp;M778&amp;" "&amp;N778&amp;" "&amp;T778))),ISNUMBER(SEARCH("debt",LOWER(F778&amp;" "&amp;H778&amp;" "&amp;I778&amp;" "&amp;M778&amp;" "&amp;N778&amp;" "&amp;T778))),ISNUMBER(SEARCH("bond",LOWER(F778&amp;" "&amp;H778&amp;" "&amp;I778&amp;" "&amp;M778&amp;" "&amp;N778&amp;" "&amp;T778))),ISNUMBER(SEARCH("transaction",LOWER(F778&amp;" "&amp;H778&amp;" "&amp;I778&amp;" "&amp;M778&amp;" "&amp;N778&amp;" "&amp;T778)))),"PRIVATE_REVIEW","PUBLIC_CANDIDATE"))</x:f>
        <x:v>PUBLIC_CANDIDATE</x:v>
      </x:c>
      <x:c r="AD778" s="12" t="str">
        <x:f>IF(AC778="PRIVATE_QUARANTINE","hacker_or_bank_trigger",IF(AC778="PRIVATE_REVIEW","finance_risk_trigger","none"))</x:f>
        <x:v>none</x:v>
      </x:c>
      <x:c r="AE778" s="12" t="str">
        <x:f>IF(AC778="PUBLIC_CANDIDATE","prepare_public_github_candidate",IF(AC778="PRIVATE_REVIEW","hold_for_private_review","quarantine_private_do_not_publish"))</x:f>
        <x:v>prepare_public_github_candidate</x:v>
      </x:c>
      <x:c r="AF778" s="12" t="str">
        <x:f>IF(AC778="PUBLIC_CANDIDATE","TIDELOCK + Lucerna",IF(AC778="PRIVATE_REVIEW","AtlasBrain + Lucerna","TIDELOCK + Lucerna + Human-root"))</x:f>
        <x:v>TIDELOCK + Lucerna</x:v>
      </x:c>
      <x:c r="AG778" s="12" t="str">
        <x:f>IF(AND(AC778="PUBLIC_CANDIDATE",U778&lt;&gt;"BLOCKED_PENDING_RECEIPT"),"READY_AFTER_RECEIPT","NOT_READY")</x:f>
        <x:v>NOT_READY</x:v>
      </x:c>
      <x:c r="AH778" s="12" t="str">
        <x:f>IF(AC778="PUBLIC_CANDIDATE","none",AD778)</x:f>
        <x:v>none</x:v>
      </x:c>
      <x:c r="AI778" s="12" t="str">
        <x:f>IF(AC778="PUBLIC_CANDIDATE","archive/public_candidates/"&amp;A778,"private_quarantine/"&amp;A778)</x:f>
        <x:v>archive/public_candidates/SWARM-06-H05-S09</x:v>
      </x:c>
      <x:c r="AJ778" s="12" t="str">
        <x:f>IF(AC778="PUBLIC_CANDIDATE","public by default; still not canon","private/hold; do not publish")</x:f>
        <x:v>public by default; still not canon</x:v>
      </x:c>
      <x:c r="AK778" s="12" t="str">
        <x:f>IF(AE778="prepare_public_github_candidate","add receipt/status then mirror","resolve blocker before any public GitHub action")</x:f>
        <x:v>add receipt/status then mirror</x:v>
      </x:c>
    </x:row>
    <x:row r="779">
      <x:c r="A779" s="15" t="str">
        <x:v>SWARM-06-H05-S10</x:v>
      </x:c>
      <x:c r="B779" s="15" t="str">
        <x:v>Forgekid</x:v>
      </x:c>
      <x:c r="C779" s="15" t="str">
        <x:v>Aetherforge UX builder</x:v>
      </x:c>
      <x:c r="D779" s="15" t="str">
        <x:v>Contradiction Mapping</x:v>
      </x:c>
      <x:c r="E779" s="15" t="str">
        <x:v>Human-Root</x:v>
      </x:c>
      <x:c r="F779" s="15" t="str">
        <x:v>Map contradictions in Human-Root — Forgekid</x:v>
      </x:c>
      <x:c r="G779" s="15" t="str">
        <x:v>quest cards / task cards / board affordances</x:v>
      </x:c>
      <x:c r="H779" s="15" t="str">
        <x:v>source path + receipt + raw/export status + claim/edge/risk delta</x:v>
      </x:c>
      <x:c r="I779" s="15" t="str">
        <x:v>packet/SWARM-06-H05-S10</x:v>
      </x:c>
      <x:c r="J779" s="15" t="str">
        <x:v>TODO</x:v>
      </x:c>
      <x:c r="K779" s="15" t="str">
        <x:v>P2</x:v>
      </x:c>
      <x:c r="L779" s="15" t="str">
        <x:v>Done only when evidence is logged, contradiction search is noted, and boundary stamp remains non-canon unless ratified</x:v>
      </x:c>
      <x:c r="M779" s="15" t="str">
        <x:v>candidate / staging-only / not canon / not deployed / authority none</x:v>
      </x:c>
      <x:c r="N779" s="15" t="str">
        <x:v>Dispatch to Forgekid: complete Contradiction Mapping x Human-Root; return deltas only, receipts required.</x:v>
      </x:c>
      <x:c r="O779" s="15" t="str">
        <x:v>AF-KG-H05-S10</x:v>
      </x:c>
      <x:c r="P779" s="15" t="str">
        <x:v>Unverified</x:v>
      </x:c>
      <x:c r="Q779" s="15" t="str">
        <x:v>Not checked</x:v>
      </x:c>
      <x:c r="R779" s="15" t="str"/>
      <x:c r="S779" s="15" t="str"/>
      <x:c r="T779" s="15" t="str">
        <x:v>Log first source path or blocker</x:v>
      </x:c>
      <x:c r="U779" s="12" t="str">
        <x:f>IF(OR(P779="Unverified",Q779="Not checked"),"BLOCKED_PENDING_RECEIPT","READY_FOR_REVIEW")</x:f>
        <x:v>BLOCKED_PENDING_RECEIPT</x:v>
      </x:c>
      <x:c r="V779" s="12" t="str">
        <x:f>IF(J779="DONE","RETURNED",IF(U779="BLOCKED_PENDING_RECEIPT","SOURCE_TOUCH_REQUIRED","IN_PROGRESS"))</x:f>
        <x:v>SOURCE_TOUCH_REQUIRED</x:v>
      </x:c>
      <x:c r="W779" s="12" t="str">
        <x:f>IF(P779="Unverified","missing_receipt","receipt_logged")</x:f>
        <x:v>missing_receipt</x:v>
      </x:c>
      <x:c r="X779" s="12" t="str">
        <x:f>IF(Q779="Not checked","raw_status_missing","raw_status_logged")</x:f>
        <x:v>raw_status_missing</x:v>
      </x:c>
      <x:c r="Y779" s="12" t="str">
        <x:f>IF(U779="BLOCKED_PENDING_RECEIPT","Log source path or blocker; do not promote","Route to review lane")</x:f>
        <x:v>Log source path or blocker; do not promote</x:v>
      </x:c>
      <x:c r="Z779" s="12" t="str">
        <x:f>IF(K779="P0","Primary seat + Hashlight/Lucerna","Seat lane")</x:f>
        <x:v>Seat lane</x:v>
      </x:c>
      <x:c r="AA779" s="12" t="str">
        <x:f>IF(R779="","no_claim_delta","claim_delta_present")</x:f>
        <x:v>no_claim_delta</x:v>
      </x:c>
      <x:c r="AB779" s="12" t="str">
        <x:f>IF(S779="","no_contradiction_delta","contradiction_delta_present")</x:f>
        <x:v>no_contradiction_delta</x:v>
      </x:c>
      <x:c r="AC779" s="12" t="str">
        <x:f>IF(OR(ISNUMBER(SEARCH("hacker",LOWER(F779&amp;" "&amp;H779&amp;" "&amp;I779&amp;" "&amp;M779&amp;" "&amp;N779&amp;" "&amp;T779))),ISNUMBER(SEARCH("hacking",LOWER(F779&amp;" "&amp;H779&amp;" "&amp;I779&amp;" "&amp;M779&amp;" "&amp;N779&amp;" "&amp;T779))),ISNUMBER(SEARCH("bank",LOWER(F779&amp;" "&amp;H779&amp;" "&amp;I779&amp;" "&amp;M779&amp;" "&amp;N779&amp;" "&amp;T779))),ISNUMBER(SEARCH("banking",LOWER(F779&amp;" "&amp;H779&amp;" "&amp;I779&amp;" "&amp;M779&amp;" "&amp;N779&amp;" "&amp;T779)))),"PRIVATE_QUARANTINE",IF(OR(ISNUMBER(SEARCH("treasury",LOWER(F779&amp;" "&amp;H779&amp;" "&amp;I779&amp;" "&amp;M779&amp;" "&amp;N779&amp;" "&amp;T779))),ISNUMBER(SEARCH("debt",LOWER(F779&amp;" "&amp;H779&amp;" "&amp;I779&amp;" "&amp;M779&amp;" "&amp;N779&amp;" "&amp;T779))),ISNUMBER(SEARCH("bond",LOWER(F779&amp;" "&amp;H779&amp;" "&amp;I779&amp;" "&amp;M779&amp;" "&amp;N779&amp;" "&amp;T779))),ISNUMBER(SEARCH("transaction",LOWER(F779&amp;" "&amp;H779&amp;" "&amp;I779&amp;" "&amp;M779&amp;" "&amp;N779&amp;" "&amp;T779)))),"PRIVATE_REVIEW","PUBLIC_CANDIDATE"))</x:f>
        <x:v>PUBLIC_CANDIDATE</x:v>
      </x:c>
      <x:c r="AD779" s="12" t="str">
        <x:f>IF(AC779="PRIVATE_QUARANTINE","hacker_or_bank_trigger",IF(AC779="PRIVATE_REVIEW","finance_risk_trigger","none"))</x:f>
        <x:v>none</x:v>
      </x:c>
      <x:c r="AE779" s="12" t="str">
        <x:f>IF(AC779="PUBLIC_CANDIDATE","prepare_public_github_candidate",IF(AC779="PRIVATE_REVIEW","hold_for_private_review","quarantine_private_do_not_publish"))</x:f>
        <x:v>prepare_public_github_candidate</x:v>
      </x:c>
      <x:c r="AF779" s="12" t="str">
        <x:f>IF(AC779="PUBLIC_CANDIDATE","TIDELOCK + Lucerna",IF(AC779="PRIVATE_REVIEW","AtlasBrain + Lucerna","TIDELOCK + Lucerna + Human-root"))</x:f>
        <x:v>TIDELOCK + Lucerna</x:v>
      </x:c>
      <x:c r="AG779" s="12" t="str">
        <x:f>IF(AND(AC779="PUBLIC_CANDIDATE",U779&lt;&gt;"BLOCKED_PENDING_RECEIPT"),"READY_AFTER_RECEIPT","NOT_READY")</x:f>
        <x:v>NOT_READY</x:v>
      </x:c>
      <x:c r="AH779" s="12" t="str">
        <x:f>IF(AC779="PUBLIC_CANDIDATE","none",AD779)</x:f>
        <x:v>none</x:v>
      </x:c>
      <x:c r="AI779" s="12" t="str">
        <x:f>IF(AC779="PUBLIC_CANDIDATE","archive/public_candidates/"&amp;A779,"private_quarantine/"&amp;A779)</x:f>
        <x:v>archive/public_candidates/SWARM-06-H05-S10</x:v>
      </x:c>
      <x:c r="AJ779" s="12" t="str">
        <x:f>IF(AC779="PUBLIC_CANDIDATE","public by default; still not canon","private/hold; do not publish")</x:f>
        <x:v>public by default; still not canon</x:v>
      </x:c>
      <x:c r="AK779" s="12" t="str">
        <x:f>IF(AE779="prepare_public_github_candidate","add receipt/status then mirror","resolve blocker before any public GitHub action")</x:f>
        <x:v>add receipt/status then mirror</x:v>
      </x:c>
    </x:row>
    <x:row r="780">
      <x:c r="A780" s="15" t="str">
        <x:v>SWARM-06-H05-S11</x:v>
      </x:c>
      <x:c r="B780" s="15" t="str">
        <x:v>Forgekid</x:v>
      </x:c>
      <x:c r="C780" s="15" t="str">
        <x:v>Aetherforge UX builder</x:v>
      </x:c>
      <x:c r="D780" s="15" t="str">
        <x:v>Contradiction Mapping</x:v>
      </x:c>
      <x:c r="E780" s="15" t="str">
        <x:v>Automation</x:v>
      </x:c>
      <x:c r="F780" s="15" t="str">
        <x:v>Map contradictions in Automation — Forgekid</x:v>
      </x:c>
      <x:c r="G780" s="15" t="str">
        <x:v>quest cards / task cards / board affordances</x:v>
      </x:c>
      <x:c r="H780" s="15" t="str">
        <x:v>source path + receipt + raw/export status + claim/edge/risk delta</x:v>
      </x:c>
      <x:c r="I780" s="15" t="str">
        <x:v>packet/SWARM-06-H05-S11</x:v>
      </x:c>
      <x:c r="J780" s="15" t="str">
        <x:v>TODO</x:v>
      </x:c>
      <x:c r="K780" s="15" t="str">
        <x:v>P2</x:v>
      </x:c>
      <x:c r="L780" s="15" t="str">
        <x:v>Done only when evidence is logged, contradiction search is noted, and boundary stamp remains non-canon unless ratified</x:v>
      </x:c>
      <x:c r="M780" s="15" t="str">
        <x:v>candidate / staging-only / not canon / not deployed / authority none</x:v>
      </x:c>
      <x:c r="N780" s="15" t="str">
        <x:v>Dispatch to Forgekid: complete Contradiction Mapping x Automation; return deltas only, receipts required.</x:v>
      </x:c>
      <x:c r="O780" s="15" t="str">
        <x:v>AF-KG-H05-S11</x:v>
      </x:c>
      <x:c r="P780" s="15" t="str">
        <x:v>Unverified</x:v>
      </x:c>
      <x:c r="Q780" s="15" t="str">
        <x:v>Not checked</x:v>
      </x:c>
      <x:c r="R780" s="15" t="str"/>
      <x:c r="S780" s="15" t="str"/>
      <x:c r="T780" s="15" t="str">
        <x:v>Log first source path or blocker</x:v>
      </x:c>
      <x:c r="U780" s="12" t="str">
        <x:f>IF(OR(P780="Unverified",Q780="Not checked"),"BLOCKED_PENDING_RECEIPT","READY_FOR_REVIEW")</x:f>
        <x:v>BLOCKED_PENDING_RECEIPT</x:v>
      </x:c>
      <x:c r="V780" s="12" t="str">
        <x:f>IF(J780="DONE","RETURNED",IF(U780="BLOCKED_PENDING_RECEIPT","SOURCE_TOUCH_REQUIRED","IN_PROGRESS"))</x:f>
        <x:v>SOURCE_TOUCH_REQUIRED</x:v>
      </x:c>
      <x:c r="W780" s="12" t="str">
        <x:f>IF(P780="Unverified","missing_receipt","receipt_logged")</x:f>
        <x:v>missing_receipt</x:v>
      </x:c>
      <x:c r="X780" s="12" t="str">
        <x:f>IF(Q780="Not checked","raw_status_missing","raw_status_logged")</x:f>
        <x:v>raw_status_missing</x:v>
      </x:c>
      <x:c r="Y780" s="12" t="str">
        <x:f>IF(U780="BLOCKED_PENDING_RECEIPT","Log source path or blocker; do not promote","Route to review lane")</x:f>
        <x:v>Log source path or blocker; do not promote</x:v>
      </x:c>
      <x:c r="Z780" s="12" t="str">
        <x:f>IF(K780="P0","Primary seat + Hashlight/Lucerna","Seat lane")</x:f>
        <x:v>Seat lane</x:v>
      </x:c>
      <x:c r="AA780" s="12" t="str">
        <x:f>IF(R780="","no_claim_delta","claim_delta_present")</x:f>
        <x:v>no_claim_delta</x:v>
      </x:c>
      <x:c r="AB780" s="12" t="str">
        <x:f>IF(S780="","no_contradiction_delta","contradiction_delta_present")</x:f>
        <x:v>no_contradiction_delta</x:v>
      </x:c>
      <x:c r="AC780" s="12" t="str">
        <x:f>IF(OR(ISNUMBER(SEARCH("hacker",LOWER(F780&amp;" "&amp;H780&amp;" "&amp;I780&amp;" "&amp;M780&amp;" "&amp;N780&amp;" "&amp;T780))),ISNUMBER(SEARCH("hacking",LOWER(F780&amp;" "&amp;H780&amp;" "&amp;I780&amp;" "&amp;M780&amp;" "&amp;N780&amp;" "&amp;T780))),ISNUMBER(SEARCH("bank",LOWER(F780&amp;" "&amp;H780&amp;" "&amp;I780&amp;" "&amp;M780&amp;" "&amp;N780&amp;" "&amp;T780))),ISNUMBER(SEARCH("banking",LOWER(F780&amp;" "&amp;H780&amp;" "&amp;I780&amp;" "&amp;M780&amp;" "&amp;N780&amp;" "&amp;T780)))),"PRIVATE_QUARANTINE",IF(OR(ISNUMBER(SEARCH("treasury",LOWER(F780&amp;" "&amp;H780&amp;" "&amp;I780&amp;" "&amp;M780&amp;" "&amp;N780&amp;" "&amp;T780))),ISNUMBER(SEARCH("debt",LOWER(F780&amp;" "&amp;H780&amp;" "&amp;I780&amp;" "&amp;M780&amp;" "&amp;N780&amp;" "&amp;T780))),ISNUMBER(SEARCH("bond",LOWER(F780&amp;" "&amp;H780&amp;" "&amp;I780&amp;" "&amp;M780&amp;" "&amp;N780&amp;" "&amp;T780))),ISNUMBER(SEARCH("transaction",LOWER(F780&amp;" "&amp;H780&amp;" "&amp;I780&amp;" "&amp;M780&amp;" "&amp;N780&amp;" "&amp;T780)))),"PRIVATE_REVIEW","PUBLIC_CANDIDATE"))</x:f>
        <x:v>PUBLIC_CANDIDATE</x:v>
      </x:c>
      <x:c r="AD780" s="12" t="str">
        <x:f>IF(AC780="PRIVATE_QUARANTINE","hacker_or_bank_trigger",IF(AC780="PRIVATE_REVIEW","finance_risk_trigger","none"))</x:f>
        <x:v>none</x:v>
      </x:c>
      <x:c r="AE780" s="12" t="str">
        <x:f>IF(AC780="PUBLIC_CANDIDATE","prepare_public_github_candidate",IF(AC780="PRIVATE_REVIEW","hold_for_private_review","quarantine_private_do_not_publish"))</x:f>
        <x:v>prepare_public_github_candidate</x:v>
      </x:c>
      <x:c r="AF780" s="12" t="str">
        <x:f>IF(AC780="PUBLIC_CANDIDATE","TIDELOCK + Lucerna",IF(AC780="PRIVATE_REVIEW","AtlasBrain + Lucerna","TIDELOCK + Lucerna + Human-root"))</x:f>
        <x:v>TIDELOCK + Lucerna</x:v>
      </x:c>
      <x:c r="AG780" s="12" t="str">
        <x:f>IF(AND(AC780="PUBLIC_CANDIDATE",U780&lt;&gt;"BLOCKED_PENDING_RECEIPT"),"READY_AFTER_RECEIPT","NOT_READY")</x:f>
        <x:v>NOT_READY</x:v>
      </x:c>
      <x:c r="AH780" s="12" t="str">
        <x:f>IF(AC780="PUBLIC_CANDIDATE","none",AD780)</x:f>
        <x:v>none</x:v>
      </x:c>
      <x:c r="AI780" s="12" t="str">
        <x:f>IF(AC780="PUBLIC_CANDIDATE","archive/public_candidates/"&amp;A780,"private_quarantine/"&amp;A780)</x:f>
        <x:v>archive/public_candidates/SWARM-06-H05-S11</x:v>
      </x:c>
      <x:c r="AJ780" s="12" t="str">
        <x:f>IF(AC780="PUBLIC_CANDIDATE","public by default; still not canon","private/hold; do not publish")</x:f>
        <x:v>public by default; still not canon</x:v>
      </x:c>
      <x:c r="AK780" s="12" t="str">
        <x:f>IF(AE780="prepare_public_github_candidate","add receipt/status then mirror","resolve blocker before any public GitHub action")</x:f>
        <x:v>add receipt/status then mirror</x:v>
      </x:c>
    </x:row>
    <x:row r="781">
      <x:c r="A781" s="15" t="str">
        <x:v>SWARM-06-H05-S12</x:v>
      </x:c>
      <x:c r="B781" s="15" t="str">
        <x:v>Forgekid</x:v>
      </x:c>
      <x:c r="C781" s="15" t="str">
        <x:v>Aetherforge UX builder</x:v>
      </x:c>
      <x:c r="D781" s="15" t="str">
        <x:v>Contradiction Mapping</x:v>
      </x:c>
      <x:c r="E781" s="15" t="str">
        <x:v>Risk / Safety</x:v>
      </x:c>
      <x:c r="F781" s="15" t="str">
        <x:v>Map contradictions in Risk / Safety — Forgekid</x:v>
      </x:c>
      <x:c r="G781" s="15" t="str">
        <x:v>quest cards / task cards / board affordances</x:v>
      </x:c>
      <x:c r="H781" s="15" t="str">
        <x:v>source path + receipt + raw/export status + claim/edge/risk delta</x:v>
      </x:c>
      <x:c r="I781" s="15" t="str">
        <x:v>packet/SWARM-06-H05-S12</x:v>
      </x:c>
      <x:c r="J781" s="15" t="str">
        <x:v>TODO</x:v>
      </x:c>
      <x:c r="K781" s="15" t="str">
        <x:v>P2</x:v>
      </x:c>
      <x:c r="L781" s="15" t="str">
        <x:v>Done only when evidence is logged, contradiction search is noted, and boundary stamp remains non-canon unless ratified</x:v>
      </x:c>
      <x:c r="M781" s="15" t="str">
        <x:v>candidate / staging-only / not canon / not deployed / authority none</x:v>
      </x:c>
      <x:c r="N781" s="15" t="str">
        <x:v>Dispatch to Forgekid: complete Contradiction Mapping x Risk / Safety; return deltas only, receipts required.</x:v>
      </x:c>
      <x:c r="O781" s="15" t="str">
        <x:v>AF-KG-H05-S12</x:v>
      </x:c>
      <x:c r="P781" s="15" t="str">
        <x:v>Unverified</x:v>
      </x:c>
      <x:c r="Q781" s="15" t="str">
        <x:v>Not checked</x:v>
      </x:c>
      <x:c r="R781" s="15" t="str"/>
      <x:c r="S781" s="15" t="str"/>
      <x:c r="T781" s="15" t="str">
        <x:v>Log first source path or blocker</x:v>
      </x:c>
      <x:c r="U781" s="12" t="str">
        <x:f>IF(OR(P781="Unverified",Q781="Not checked"),"BLOCKED_PENDING_RECEIPT","READY_FOR_REVIEW")</x:f>
        <x:v>BLOCKED_PENDING_RECEIPT</x:v>
      </x:c>
      <x:c r="V781" s="12" t="str">
        <x:f>IF(J781="DONE","RETURNED",IF(U781="BLOCKED_PENDING_RECEIPT","SOURCE_TOUCH_REQUIRED","IN_PROGRESS"))</x:f>
        <x:v>SOURCE_TOUCH_REQUIRED</x:v>
      </x:c>
      <x:c r="W781" s="12" t="str">
        <x:f>IF(P781="Unverified","missing_receipt","receipt_logged")</x:f>
        <x:v>missing_receipt</x:v>
      </x:c>
      <x:c r="X781" s="12" t="str">
        <x:f>IF(Q781="Not checked","raw_status_missing","raw_status_logged")</x:f>
        <x:v>raw_status_missing</x:v>
      </x:c>
      <x:c r="Y781" s="12" t="str">
        <x:f>IF(U781="BLOCKED_PENDING_RECEIPT","Log source path or blocker; do not promote","Route to review lane")</x:f>
        <x:v>Log source path or blocker; do not promote</x:v>
      </x:c>
      <x:c r="Z781" s="12" t="str">
        <x:f>IF(K781="P0","Primary seat + Hashlight/Lucerna","Seat lane")</x:f>
        <x:v>Seat lane</x:v>
      </x:c>
      <x:c r="AA781" s="12" t="str">
        <x:f>IF(R781="","no_claim_delta","claim_delta_present")</x:f>
        <x:v>no_claim_delta</x:v>
      </x:c>
      <x:c r="AB781" s="12" t="str">
        <x:f>IF(S781="","no_contradiction_delta","contradiction_delta_present")</x:f>
        <x:v>no_contradiction_delta</x:v>
      </x:c>
      <x:c r="AC781" s="12" t="str">
        <x:f>IF(OR(ISNUMBER(SEARCH("hacker",LOWER(F781&amp;" "&amp;H781&amp;" "&amp;I781&amp;" "&amp;M781&amp;" "&amp;N781&amp;" "&amp;T781))),ISNUMBER(SEARCH("hacking",LOWER(F781&amp;" "&amp;H781&amp;" "&amp;I781&amp;" "&amp;M781&amp;" "&amp;N781&amp;" "&amp;T781))),ISNUMBER(SEARCH("bank",LOWER(F781&amp;" "&amp;H781&amp;" "&amp;I781&amp;" "&amp;M781&amp;" "&amp;N781&amp;" "&amp;T781))),ISNUMBER(SEARCH("banking",LOWER(F781&amp;" "&amp;H781&amp;" "&amp;I781&amp;" "&amp;M781&amp;" "&amp;N781&amp;" "&amp;T781)))),"PRIVATE_QUARANTINE",IF(OR(ISNUMBER(SEARCH("treasury",LOWER(F781&amp;" "&amp;H781&amp;" "&amp;I781&amp;" "&amp;M781&amp;" "&amp;N781&amp;" "&amp;T781))),ISNUMBER(SEARCH("debt",LOWER(F781&amp;" "&amp;H781&amp;" "&amp;I781&amp;" "&amp;M781&amp;" "&amp;N781&amp;" "&amp;T781))),ISNUMBER(SEARCH("bond",LOWER(F781&amp;" "&amp;H781&amp;" "&amp;I781&amp;" "&amp;M781&amp;" "&amp;N781&amp;" "&amp;T781))),ISNUMBER(SEARCH("transaction",LOWER(F781&amp;" "&amp;H781&amp;" "&amp;I781&amp;" "&amp;M781&amp;" "&amp;N781&amp;" "&amp;T781)))),"PRIVATE_REVIEW","PUBLIC_CANDIDATE"))</x:f>
        <x:v>PUBLIC_CANDIDATE</x:v>
      </x:c>
      <x:c r="AD781" s="12" t="str">
        <x:f>IF(AC781="PRIVATE_QUARANTINE","hacker_or_bank_trigger",IF(AC781="PRIVATE_REVIEW","finance_risk_trigger","none"))</x:f>
        <x:v>none</x:v>
      </x:c>
      <x:c r="AE781" s="12" t="str">
        <x:f>IF(AC781="PUBLIC_CANDIDATE","prepare_public_github_candidate",IF(AC781="PRIVATE_REVIEW","hold_for_private_review","quarantine_private_do_not_publish"))</x:f>
        <x:v>prepare_public_github_candidate</x:v>
      </x:c>
      <x:c r="AF781" s="12" t="str">
        <x:f>IF(AC781="PUBLIC_CANDIDATE","TIDELOCK + Lucerna",IF(AC781="PRIVATE_REVIEW","AtlasBrain + Lucerna","TIDELOCK + Lucerna + Human-root"))</x:f>
        <x:v>TIDELOCK + Lucerna</x:v>
      </x:c>
      <x:c r="AG781" s="12" t="str">
        <x:f>IF(AND(AC781="PUBLIC_CANDIDATE",U781&lt;&gt;"BLOCKED_PENDING_RECEIPT"),"READY_AFTER_RECEIPT","NOT_READY")</x:f>
        <x:v>NOT_READY</x:v>
      </x:c>
      <x:c r="AH781" s="12" t="str">
        <x:f>IF(AC781="PUBLIC_CANDIDATE","none",AD781)</x:f>
        <x:v>none</x:v>
      </x:c>
      <x:c r="AI781" s="12" t="str">
        <x:f>IF(AC781="PUBLIC_CANDIDATE","archive/public_candidates/"&amp;A781,"private_quarantine/"&amp;A781)</x:f>
        <x:v>archive/public_candidates/SWARM-06-H05-S12</x:v>
      </x:c>
      <x:c r="AJ781" s="12" t="str">
        <x:f>IF(AC781="PUBLIC_CANDIDATE","public by default; still not canon","private/hold; do not publish")</x:f>
        <x:v>public by default; still not canon</x:v>
      </x:c>
      <x:c r="AK781" s="12" t="str">
        <x:f>IF(AE781="prepare_public_github_candidate","add receipt/status then mirror","resolve blocker before any public GitHub action")</x:f>
        <x:v>add receipt/status then mirror</x:v>
      </x:c>
    </x:row>
    <x:row r="782">
      <x:c r="A782" s="15" t="str">
        <x:v>SWARM-06-H06-S01</x:v>
      </x:c>
      <x:c r="B782" s="15" t="str">
        <x:v>Forgekid</x:v>
      </x:c>
      <x:c r="C782" s="15" t="str">
        <x:v>Aetherforge UX builder</x:v>
      </x:c>
      <x:c r="D782" s="15" t="str">
        <x:v>Ontology / Schema</x:v>
      </x:c>
      <x:c r="E782" s="15" t="str">
        <x:v>Notion</x:v>
      </x:c>
      <x:c r="F782" s="15" t="str">
        <x:v>Schema-map Notion — Forgekid</x:v>
      </x:c>
      <x:c r="G782" s="15" t="str">
        <x:v>quest cards / task cards / board affordances</x:v>
      </x:c>
      <x:c r="H782" s="15" t="str">
        <x:v>source path + receipt + raw/export status + claim/edge/risk delta</x:v>
      </x:c>
      <x:c r="I782" s="15" t="str">
        <x:v>packet/SWARM-06-H06-S01</x:v>
      </x:c>
      <x:c r="J782" s="15" t="str">
        <x:v>TODO</x:v>
      </x:c>
      <x:c r="K782" s="15" t="str">
        <x:v>P0</x:v>
      </x:c>
      <x:c r="L782" s="15" t="str">
        <x:v>Done only when evidence is logged, contradiction search is noted, and boundary stamp remains non-canon unless ratified</x:v>
      </x:c>
      <x:c r="M782" s="15" t="str">
        <x:v>candidate / staging-only / not canon / not deployed / authority none</x:v>
      </x:c>
      <x:c r="N782" s="15" t="str">
        <x:v>Dispatch to Forgekid: complete Ontology / Schema x Notion; return deltas only, receipts required.</x:v>
      </x:c>
      <x:c r="O782" s="15" t="str">
        <x:v>AF-KG-H06-S01</x:v>
      </x:c>
      <x:c r="P782" s="15" t="str">
        <x:v>Unverified</x:v>
      </x:c>
      <x:c r="Q782" s="15" t="str">
        <x:v>Not checked</x:v>
      </x:c>
      <x:c r="R782" s="15" t="str"/>
      <x:c r="S782" s="15" t="str"/>
      <x:c r="T782" s="15" t="str">
        <x:v>Log first source path or blocker</x:v>
      </x:c>
      <x:c r="U782" s="12" t="str">
        <x:f>IF(OR(P782="Unverified",Q782="Not checked"),"BLOCKED_PENDING_RECEIPT","READY_FOR_REVIEW")</x:f>
        <x:v>BLOCKED_PENDING_RECEIPT</x:v>
      </x:c>
      <x:c r="V782" s="12" t="str">
        <x:f>IF(J782="DONE","RETURNED",IF(U782="BLOCKED_PENDING_RECEIPT","SOURCE_TOUCH_REQUIRED","IN_PROGRESS"))</x:f>
        <x:v>SOURCE_TOUCH_REQUIRED</x:v>
      </x:c>
      <x:c r="W782" s="12" t="str">
        <x:f>IF(P782="Unverified","missing_receipt","receipt_logged")</x:f>
        <x:v>missing_receipt</x:v>
      </x:c>
      <x:c r="X782" s="12" t="str">
        <x:f>IF(Q782="Not checked","raw_status_missing","raw_status_logged")</x:f>
        <x:v>raw_status_missing</x:v>
      </x:c>
      <x:c r="Y782" s="12" t="str">
        <x:f>IF(U782="BLOCKED_PENDING_RECEIPT","Log source path or blocker; do not promote","Route to review lane")</x:f>
        <x:v>Log source path or blocker; do not promote</x:v>
      </x:c>
      <x:c r="Z782" s="12" t="str">
        <x:f>IF(K782="P0","Primary seat + Hashlight/Lucerna","Seat lane")</x:f>
        <x:v>Primary seat + Hashlight/Lucerna</x:v>
      </x:c>
      <x:c r="AA782" s="12" t="str">
        <x:f>IF(R782="","no_claim_delta","claim_delta_present")</x:f>
        <x:v>no_claim_delta</x:v>
      </x:c>
      <x:c r="AB782" s="12" t="str">
        <x:f>IF(S782="","no_contradiction_delta","contradiction_delta_present")</x:f>
        <x:v>no_contradiction_delta</x:v>
      </x:c>
      <x:c r="AC782" s="12" t="str">
        <x:f>IF(OR(ISNUMBER(SEARCH("hacker",LOWER(F782&amp;" "&amp;H782&amp;" "&amp;I782&amp;" "&amp;M782&amp;" "&amp;N782&amp;" "&amp;T782))),ISNUMBER(SEARCH("hacking",LOWER(F782&amp;" "&amp;H782&amp;" "&amp;I782&amp;" "&amp;M782&amp;" "&amp;N782&amp;" "&amp;T782))),ISNUMBER(SEARCH("bank",LOWER(F782&amp;" "&amp;H782&amp;" "&amp;I782&amp;" "&amp;M782&amp;" "&amp;N782&amp;" "&amp;T782))),ISNUMBER(SEARCH("banking",LOWER(F782&amp;" "&amp;H782&amp;" "&amp;I782&amp;" "&amp;M782&amp;" "&amp;N782&amp;" "&amp;T782)))),"PRIVATE_QUARANTINE",IF(OR(ISNUMBER(SEARCH("treasury",LOWER(F782&amp;" "&amp;H782&amp;" "&amp;I782&amp;" "&amp;M782&amp;" "&amp;N782&amp;" "&amp;T782))),ISNUMBER(SEARCH("debt",LOWER(F782&amp;" "&amp;H782&amp;" "&amp;I782&amp;" "&amp;M782&amp;" "&amp;N782&amp;" "&amp;T782))),ISNUMBER(SEARCH("bond",LOWER(F782&amp;" "&amp;H782&amp;" "&amp;I782&amp;" "&amp;M782&amp;" "&amp;N782&amp;" "&amp;T782))),ISNUMBER(SEARCH("transaction",LOWER(F782&amp;" "&amp;H782&amp;" "&amp;I782&amp;" "&amp;M782&amp;" "&amp;N782&amp;" "&amp;T782)))),"PRIVATE_REVIEW","PUBLIC_CANDIDATE"))</x:f>
        <x:v>PUBLIC_CANDIDATE</x:v>
      </x:c>
      <x:c r="AD782" s="12" t="str">
        <x:f>IF(AC782="PRIVATE_QUARANTINE","hacker_or_bank_trigger",IF(AC782="PRIVATE_REVIEW","finance_risk_trigger","none"))</x:f>
        <x:v>none</x:v>
      </x:c>
      <x:c r="AE782" s="12" t="str">
        <x:f>IF(AC782="PUBLIC_CANDIDATE","prepare_public_github_candidate",IF(AC782="PRIVATE_REVIEW","hold_for_private_review","quarantine_private_do_not_publish"))</x:f>
        <x:v>prepare_public_github_candidate</x:v>
      </x:c>
      <x:c r="AF782" s="12" t="str">
        <x:f>IF(AC782="PUBLIC_CANDIDATE","TIDELOCK + Lucerna",IF(AC782="PRIVATE_REVIEW","AtlasBrain + Lucerna","TIDELOCK + Lucerna + Human-root"))</x:f>
        <x:v>TIDELOCK + Lucerna</x:v>
      </x:c>
      <x:c r="AG782" s="12" t="str">
        <x:f>IF(AND(AC782="PUBLIC_CANDIDATE",U782&lt;&gt;"BLOCKED_PENDING_RECEIPT"),"READY_AFTER_RECEIPT","NOT_READY")</x:f>
        <x:v>NOT_READY</x:v>
      </x:c>
      <x:c r="AH782" s="12" t="str">
        <x:f>IF(AC782="PUBLIC_CANDIDATE","none",AD782)</x:f>
        <x:v>none</x:v>
      </x:c>
      <x:c r="AI782" s="12" t="str">
        <x:f>IF(AC782="PUBLIC_CANDIDATE","archive/public_candidates/"&amp;A782,"private_quarantine/"&amp;A782)</x:f>
        <x:v>archive/public_candidates/SWARM-06-H06-S01</x:v>
      </x:c>
      <x:c r="AJ782" s="12" t="str">
        <x:f>IF(AC782="PUBLIC_CANDIDATE","public by default; still not canon","private/hold; do not publish")</x:f>
        <x:v>public by default; still not canon</x:v>
      </x:c>
      <x:c r="AK782" s="12" t="str">
        <x:f>IF(AE782="prepare_public_github_candidate","add receipt/status then mirror","resolve blocker before any public GitHub action")</x:f>
        <x:v>add receipt/status then mirror</x:v>
      </x:c>
    </x:row>
    <x:row r="783">
      <x:c r="A783" s="15" t="str">
        <x:v>SWARM-06-H06-S02</x:v>
      </x:c>
      <x:c r="B783" s="15" t="str">
        <x:v>Forgekid</x:v>
      </x:c>
      <x:c r="C783" s="15" t="str">
        <x:v>Aetherforge UX builder</x:v>
      </x:c>
      <x:c r="D783" s="15" t="str">
        <x:v>Ontology / Schema</x:v>
      </x:c>
      <x:c r="E783" s="15" t="str">
        <x:v>Drive</x:v>
      </x:c>
      <x:c r="F783" s="15" t="str">
        <x:v>Schema-map Drive — Forgekid</x:v>
      </x:c>
      <x:c r="G783" s="15" t="str">
        <x:v>quest cards / task cards / board affordances</x:v>
      </x:c>
      <x:c r="H783" s="15" t="str">
        <x:v>source path + receipt + raw/export status + claim/edge/risk delta</x:v>
      </x:c>
      <x:c r="I783" s="15" t="str">
        <x:v>packet/SWARM-06-H06-S02</x:v>
      </x:c>
      <x:c r="J783" s="15" t="str">
        <x:v>TODO</x:v>
      </x:c>
      <x:c r="K783" s="15" t="str">
        <x:v>P0</x:v>
      </x:c>
      <x:c r="L783" s="15" t="str">
        <x:v>Done only when evidence is logged, contradiction search is noted, and boundary stamp remains non-canon unless ratified</x:v>
      </x:c>
      <x:c r="M783" s="15" t="str">
        <x:v>candidate / staging-only / not canon / not deployed / authority none</x:v>
      </x:c>
      <x:c r="N783" s="15" t="str">
        <x:v>Dispatch to Forgekid: complete Ontology / Schema x Drive; return deltas only, receipts required.</x:v>
      </x:c>
      <x:c r="O783" s="15" t="str">
        <x:v>AF-KG-H06-S02</x:v>
      </x:c>
      <x:c r="P783" s="15" t="str">
        <x:v>Unverified</x:v>
      </x:c>
      <x:c r="Q783" s="15" t="str">
        <x:v>Not checked</x:v>
      </x:c>
      <x:c r="R783" s="15" t="str"/>
      <x:c r="S783" s="15" t="str"/>
      <x:c r="T783" s="15" t="str">
        <x:v>Log first source path or blocker</x:v>
      </x:c>
      <x:c r="U783" s="12" t="str">
        <x:f>IF(OR(P783="Unverified",Q783="Not checked"),"BLOCKED_PENDING_RECEIPT","READY_FOR_REVIEW")</x:f>
        <x:v>BLOCKED_PENDING_RECEIPT</x:v>
      </x:c>
      <x:c r="V783" s="12" t="str">
        <x:f>IF(J783="DONE","RETURNED",IF(U783="BLOCKED_PENDING_RECEIPT","SOURCE_TOUCH_REQUIRED","IN_PROGRESS"))</x:f>
        <x:v>SOURCE_TOUCH_REQUIRED</x:v>
      </x:c>
      <x:c r="W783" s="12" t="str">
        <x:f>IF(P783="Unverified","missing_receipt","receipt_logged")</x:f>
        <x:v>missing_receipt</x:v>
      </x:c>
      <x:c r="X783" s="12" t="str">
        <x:f>IF(Q783="Not checked","raw_status_missing","raw_status_logged")</x:f>
        <x:v>raw_status_missing</x:v>
      </x:c>
      <x:c r="Y783" s="12" t="str">
        <x:f>IF(U783="BLOCKED_PENDING_RECEIPT","Log source path or blocker; do not promote","Route to review lane")</x:f>
        <x:v>Log source path or blocker; do not promote</x:v>
      </x:c>
      <x:c r="Z783" s="12" t="str">
        <x:f>IF(K783="P0","Primary seat + Hashlight/Lucerna","Seat lane")</x:f>
        <x:v>Primary seat + Hashlight/Lucerna</x:v>
      </x:c>
      <x:c r="AA783" s="12" t="str">
        <x:f>IF(R783="","no_claim_delta","claim_delta_present")</x:f>
        <x:v>no_claim_delta</x:v>
      </x:c>
      <x:c r="AB783" s="12" t="str">
        <x:f>IF(S783="","no_contradiction_delta","contradiction_delta_present")</x:f>
        <x:v>no_contradiction_delta</x:v>
      </x:c>
      <x:c r="AC783" s="12" t="str">
        <x:f>IF(OR(ISNUMBER(SEARCH("hacker",LOWER(F783&amp;" "&amp;H783&amp;" "&amp;I783&amp;" "&amp;M783&amp;" "&amp;N783&amp;" "&amp;T783))),ISNUMBER(SEARCH("hacking",LOWER(F783&amp;" "&amp;H783&amp;" "&amp;I783&amp;" "&amp;M783&amp;" "&amp;N783&amp;" "&amp;T783))),ISNUMBER(SEARCH("bank",LOWER(F783&amp;" "&amp;H783&amp;" "&amp;I783&amp;" "&amp;M783&amp;" "&amp;N783&amp;" "&amp;T783))),ISNUMBER(SEARCH("banking",LOWER(F783&amp;" "&amp;H783&amp;" "&amp;I783&amp;" "&amp;M783&amp;" "&amp;N783&amp;" "&amp;T783)))),"PRIVATE_QUARANTINE",IF(OR(ISNUMBER(SEARCH("treasury",LOWER(F783&amp;" "&amp;H783&amp;" "&amp;I783&amp;" "&amp;M783&amp;" "&amp;N783&amp;" "&amp;T783))),ISNUMBER(SEARCH("debt",LOWER(F783&amp;" "&amp;H783&amp;" "&amp;I783&amp;" "&amp;M783&amp;" "&amp;N783&amp;" "&amp;T783))),ISNUMBER(SEARCH("bond",LOWER(F783&amp;" "&amp;H783&amp;" "&amp;I783&amp;" "&amp;M783&amp;" "&amp;N783&amp;" "&amp;T783))),ISNUMBER(SEARCH("transaction",LOWER(F783&amp;" "&amp;H783&amp;" "&amp;I783&amp;" "&amp;M783&amp;" "&amp;N783&amp;" "&amp;T783)))),"PRIVATE_REVIEW","PUBLIC_CANDIDATE"))</x:f>
        <x:v>PUBLIC_CANDIDATE</x:v>
      </x:c>
      <x:c r="AD783" s="12" t="str">
        <x:f>IF(AC783="PRIVATE_QUARANTINE","hacker_or_bank_trigger",IF(AC783="PRIVATE_REVIEW","finance_risk_trigger","none"))</x:f>
        <x:v>none</x:v>
      </x:c>
      <x:c r="AE783" s="12" t="str">
        <x:f>IF(AC783="PUBLIC_CANDIDATE","prepare_public_github_candidate",IF(AC783="PRIVATE_REVIEW","hold_for_private_review","quarantine_private_do_not_publish"))</x:f>
        <x:v>prepare_public_github_candidate</x:v>
      </x:c>
      <x:c r="AF783" s="12" t="str">
        <x:f>IF(AC783="PUBLIC_CANDIDATE","TIDELOCK + Lucerna",IF(AC783="PRIVATE_REVIEW","AtlasBrain + Lucerna","TIDELOCK + Lucerna + Human-root"))</x:f>
        <x:v>TIDELOCK + Lucerna</x:v>
      </x:c>
      <x:c r="AG783" s="12" t="str">
        <x:f>IF(AND(AC783="PUBLIC_CANDIDATE",U783&lt;&gt;"BLOCKED_PENDING_RECEIPT"),"READY_AFTER_RECEIPT","NOT_READY")</x:f>
        <x:v>NOT_READY</x:v>
      </x:c>
      <x:c r="AH783" s="12" t="str">
        <x:f>IF(AC783="PUBLIC_CANDIDATE","none",AD783)</x:f>
        <x:v>none</x:v>
      </x:c>
      <x:c r="AI783" s="12" t="str">
        <x:f>IF(AC783="PUBLIC_CANDIDATE","archive/public_candidates/"&amp;A783,"private_quarantine/"&amp;A783)</x:f>
        <x:v>archive/public_candidates/SWARM-06-H06-S02</x:v>
      </x:c>
      <x:c r="AJ783" s="12" t="str">
        <x:f>IF(AC783="PUBLIC_CANDIDATE","public by default; still not canon","private/hold; do not publish")</x:f>
        <x:v>public by default; still not canon</x:v>
      </x:c>
      <x:c r="AK783" s="12" t="str">
        <x:f>IF(AE783="prepare_public_github_candidate","add receipt/status then mirror","resolve blocker before any public GitHub action")</x:f>
        <x:v>add receipt/status then mirror</x:v>
      </x:c>
    </x:row>
    <x:row r="784">
      <x:c r="A784" s="15" t="str">
        <x:v>SWARM-06-H06-S03</x:v>
      </x:c>
      <x:c r="B784" s="15" t="str">
        <x:v>Forgekid</x:v>
      </x:c>
      <x:c r="C784" s="15" t="str">
        <x:v>Aetherforge UX builder</x:v>
      </x:c>
      <x:c r="D784" s="15" t="str">
        <x:v>Ontology / Schema</x:v>
      </x:c>
      <x:c r="E784" s="15" t="str">
        <x:v>GitHub</x:v>
      </x:c>
      <x:c r="F784" s="15" t="str">
        <x:v>Schema-map GitHub — Forgekid</x:v>
      </x:c>
      <x:c r="G784" s="15" t="str">
        <x:v>quest cards / task cards / board affordances</x:v>
      </x:c>
      <x:c r="H784" s="15" t="str">
        <x:v>source path + receipt + raw/export status + claim/edge/risk delta</x:v>
      </x:c>
      <x:c r="I784" s="15" t="str">
        <x:v>packet/SWARM-06-H06-S03</x:v>
      </x:c>
      <x:c r="J784" s="15" t="str">
        <x:v>TODO</x:v>
      </x:c>
      <x:c r="K784" s="15" t="str">
        <x:v>P0</x:v>
      </x:c>
      <x:c r="L784" s="15" t="str">
        <x:v>Done only when evidence is logged, contradiction search is noted, and boundary stamp remains non-canon unless ratified</x:v>
      </x:c>
      <x:c r="M784" s="15" t="str">
        <x:v>candidate / staging-only / not canon / not deployed / authority none</x:v>
      </x:c>
      <x:c r="N784" s="15" t="str">
        <x:v>Dispatch to Forgekid: complete Ontology / Schema x GitHub; return deltas only, receipts required.</x:v>
      </x:c>
      <x:c r="O784" s="15" t="str">
        <x:v>AF-KG-H06-S03</x:v>
      </x:c>
      <x:c r="P784" s="15" t="str">
        <x:v>Unverified</x:v>
      </x:c>
      <x:c r="Q784" s="15" t="str">
        <x:v>Not checked</x:v>
      </x:c>
      <x:c r="R784" s="15" t="str"/>
      <x:c r="S784" s="15" t="str"/>
      <x:c r="T784" s="15" t="str">
        <x:v>Log first source path or blocker</x:v>
      </x:c>
      <x:c r="U784" s="12" t="str">
        <x:f>IF(OR(P784="Unverified",Q784="Not checked"),"BLOCKED_PENDING_RECEIPT","READY_FOR_REVIEW")</x:f>
        <x:v>BLOCKED_PENDING_RECEIPT</x:v>
      </x:c>
      <x:c r="V784" s="12" t="str">
        <x:f>IF(J784="DONE","RETURNED",IF(U784="BLOCKED_PENDING_RECEIPT","SOURCE_TOUCH_REQUIRED","IN_PROGRESS"))</x:f>
        <x:v>SOURCE_TOUCH_REQUIRED</x:v>
      </x:c>
      <x:c r="W784" s="12" t="str">
        <x:f>IF(P784="Unverified","missing_receipt","receipt_logged")</x:f>
        <x:v>missing_receipt</x:v>
      </x:c>
      <x:c r="X784" s="12" t="str">
        <x:f>IF(Q784="Not checked","raw_status_missing","raw_status_logged")</x:f>
        <x:v>raw_status_missing</x:v>
      </x:c>
      <x:c r="Y784" s="12" t="str">
        <x:f>IF(U784="BLOCKED_PENDING_RECEIPT","Log source path or blocker; do not promote","Route to review lane")</x:f>
        <x:v>Log source path or blocker; do not promote</x:v>
      </x:c>
      <x:c r="Z784" s="12" t="str">
        <x:f>IF(K784="P0","Primary seat + Hashlight/Lucerna","Seat lane")</x:f>
        <x:v>Primary seat + Hashlight/Lucerna</x:v>
      </x:c>
      <x:c r="AA784" s="12" t="str">
        <x:f>IF(R784="","no_claim_delta","claim_delta_present")</x:f>
        <x:v>no_claim_delta</x:v>
      </x:c>
      <x:c r="AB784" s="12" t="str">
        <x:f>IF(S784="","no_contradiction_delta","contradiction_delta_present")</x:f>
        <x:v>no_contradiction_delta</x:v>
      </x:c>
      <x:c r="AC784" s="12" t="str">
        <x:f>IF(OR(ISNUMBER(SEARCH("hacker",LOWER(F784&amp;" "&amp;H784&amp;" "&amp;I784&amp;" "&amp;M784&amp;" "&amp;N784&amp;" "&amp;T784))),ISNUMBER(SEARCH("hacking",LOWER(F784&amp;" "&amp;H784&amp;" "&amp;I784&amp;" "&amp;M784&amp;" "&amp;N784&amp;" "&amp;T784))),ISNUMBER(SEARCH("bank",LOWER(F784&amp;" "&amp;H784&amp;" "&amp;I784&amp;" "&amp;M784&amp;" "&amp;N784&amp;" "&amp;T784))),ISNUMBER(SEARCH("banking",LOWER(F784&amp;" "&amp;H784&amp;" "&amp;I784&amp;" "&amp;M784&amp;" "&amp;N784&amp;" "&amp;T784)))),"PRIVATE_QUARANTINE",IF(OR(ISNUMBER(SEARCH("treasury",LOWER(F784&amp;" "&amp;H784&amp;" "&amp;I784&amp;" "&amp;M784&amp;" "&amp;N784&amp;" "&amp;T784))),ISNUMBER(SEARCH("debt",LOWER(F784&amp;" "&amp;H784&amp;" "&amp;I784&amp;" "&amp;M784&amp;" "&amp;N784&amp;" "&amp;T784))),ISNUMBER(SEARCH("bond",LOWER(F784&amp;" "&amp;H784&amp;" "&amp;I784&amp;" "&amp;M784&amp;" "&amp;N784&amp;" "&amp;T784))),ISNUMBER(SEARCH("transaction",LOWER(F784&amp;" "&amp;H784&amp;" "&amp;I784&amp;" "&amp;M784&amp;" "&amp;N784&amp;" "&amp;T784)))),"PRIVATE_REVIEW","PUBLIC_CANDIDATE"))</x:f>
        <x:v>PUBLIC_CANDIDATE</x:v>
      </x:c>
      <x:c r="AD784" s="12" t="str">
        <x:f>IF(AC784="PRIVATE_QUARANTINE","hacker_or_bank_trigger",IF(AC784="PRIVATE_REVIEW","finance_risk_trigger","none"))</x:f>
        <x:v>none</x:v>
      </x:c>
      <x:c r="AE784" s="12" t="str">
        <x:f>IF(AC784="PUBLIC_CANDIDATE","prepare_public_github_candidate",IF(AC784="PRIVATE_REVIEW","hold_for_private_review","quarantine_private_do_not_publish"))</x:f>
        <x:v>prepare_public_github_candidate</x:v>
      </x:c>
      <x:c r="AF784" s="12" t="str">
        <x:f>IF(AC784="PUBLIC_CANDIDATE","TIDELOCK + Lucerna",IF(AC784="PRIVATE_REVIEW","AtlasBrain + Lucerna","TIDELOCK + Lucerna + Human-root"))</x:f>
        <x:v>TIDELOCK + Lucerna</x:v>
      </x:c>
      <x:c r="AG784" s="12" t="str">
        <x:f>IF(AND(AC784="PUBLIC_CANDIDATE",U784&lt;&gt;"BLOCKED_PENDING_RECEIPT"),"READY_AFTER_RECEIPT","NOT_READY")</x:f>
        <x:v>NOT_READY</x:v>
      </x:c>
      <x:c r="AH784" s="12" t="str">
        <x:f>IF(AC784="PUBLIC_CANDIDATE","none",AD784)</x:f>
        <x:v>none</x:v>
      </x:c>
      <x:c r="AI784" s="12" t="str">
        <x:f>IF(AC784="PUBLIC_CANDIDATE","archive/public_candidates/"&amp;A784,"private_quarantine/"&amp;A784)</x:f>
        <x:v>archive/public_candidates/SWARM-06-H06-S03</x:v>
      </x:c>
      <x:c r="AJ784" s="12" t="str">
        <x:f>IF(AC784="PUBLIC_CANDIDATE","public by default; still not canon","private/hold; do not publish")</x:f>
        <x:v>public by default; still not canon</x:v>
      </x:c>
      <x:c r="AK784" s="12" t="str">
        <x:f>IF(AE784="prepare_public_github_candidate","add receipt/status then mirror","resolve blocker before any public GitHub action")</x:f>
        <x:v>add receipt/status then mirror</x:v>
      </x:c>
    </x:row>
    <x:row r="785">
      <x:c r="A785" s="15" t="str">
        <x:v>SWARM-06-H06-S04</x:v>
      </x:c>
      <x:c r="B785" s="15" t="str">
        <x:v>Forgekid</x:v>
      </x:c>
      <x:c r="C785" s="15" t="str">
        <x:v>Aetherforge UX builder</x:v>
      </x:c>
      <x:c r="D785" s="15" t="str">
        <x:v>Ontology / Schema</x:v>
      </x:c>
      <x:c r="E785" s="15" t="str">
        <x:v>Gamma</x:v>
      </x:c>
      <x:c r="F785" s="15" t="str">
        <x:v>Schema-map Gamma — Forgekid</x:v>
      </x:c>
      <x:c r="G785" s="15" t="str">
        <x:v>quest cards / task cards / board affordances</x:v>
      </x:c>
      <x:c r="H785" s="15" t="str">
        <x:v>source path + receipt + raw/export status + claim/edge/risk delta</x:v>
      </x:c>
      <x:c r="I785" s="15" t="str">
        <x:v>packet/SWARM-06-H06-S04</x:v>
      </x:c>
      <x:c r="J785" s="15" t="str">
        <x:v>TODO</x:v>
      </x:c>
      <x:c r="K785" s="15" t="str">
        <x:v>P1</x:v>
      </x:c>
      <x:c r="L785" s="15" t="str">
        <x:v>Done only when evidence is logged, contradiction search is noted, and boundary stamp remains non-canon unless ratified</x:v>
      </x:c>
      <x:c r="M785" s="15" t="str">
        <x:v>candidate / staging-only / not canon / not deployed / authority none</x:v>
      </x:c>
      <x:c r="N785" s="15" t="str">
        <x:v>Dispatch to Forgekid: complete Ontology / Schema x Gamma; return deltas only, receipts required.</x:v>
      </x:c>
      <x:c r="O785" s="15" t="str">
        <x:v>AF-KG-H06-S04</x:v>
      </x:c>
      <x:c r="P785" s="15" t="str">
        <x:v>Unverified</x:v>
      </x:c>
      <x:c r="Q785" s="15" t="str">
        <x:v>Not checked</x:v>
      </x:c>
      <x:c r="R785" s="15" t="str"/>
      <x:c r="S785" s="15" t="str"/>
      <x:c r="T785" s="15" t="str">
        <x:v>Log first source path or blocker</x:v>
      </x:c>
      <x:c r="U785" s="12" t="str">
        <x:f>IF(OR(P785="Unverified",Q785="Not checked"),"BLOCKED_PENDING_RECEIPT","READY_FOR_REVIEW")</x:f>
        <x:v>BLOCKED_PENDING_RECEIPT</x:v>
      </x:c>
      <x:c r="V785" s="12" t="str">
        <x:f>IF(J785="DONE","RETURNED",IF(U785="BLOCKED_PENDING_RECEIPT","SOURCE_TOUCH_REQUIRED","IN_PROGRESS"))</x:f>
        <x:v>SOURCE_TOUCH_REQUIRED</x:v>
      </x:c>
      <x:c r="W785" s="12" t="str">
        <x:f>IF(P785="Unverified","missing_receipt","receipt_logged")</x:f>
        <x:v>missing_receipt</x:v>
      </x:c>
      <x:c r="X785" s="12" t="str">
        <x:f>IF(Q785="Not checked","raw_status_missing","raw_status_logged")</x:f>
        <x:v>raw_status_missing</x:v>
      </x:c>
      <x:c r="Y785" s="12" t="str">
        <x:f>IF(U785="BLOCKED_PENDING_RECEIPT","Log source path or blocker; do not promote","Route to review lane")</x:f>
        <x:v>Log source path or blocker; do not promote</x:v>
      </x:c>
      <x:c r="Z785" s="12" t="str">
        <x:f>IF(K785="P0","Primary seat + Hashlight/Lucerna","Seat lane")</x:f>
        <x:v>Seat lane</x:v>
      </x:c>
      <x:c r="AA785" s="12" t="str">
        <x:f>IF(R785="","no_claim_delta","claim_delta_present")</x:f>
        <x:v>no_claim_delta</x:v>
      </x:c>
      <x:c r="AB785" s="12" t="str">
        <x:f>IF(S785="","no_contradiction_delta","contradiction_delta_present")</x:f>
        <x:v>no_contradiction_delta</x:v>
      </x:c>
      <x:c r="AC785" s="12" t="str">
        <x:f>IF(OR(ISNUMBER(SEARCH("hacker",LOWER(F785&amp;" "&amp;H785&amp;" "&amp;I785&amp;" "&amp;M785&amp;" "&amp;N785&amp;" "&amp;T785))),ISNUMBER(SEARCH("hacking",LOWER(F785&amp;" "&amp;H785&amp;" "&amp;I785&amp;" "&amp;M785&amp;" "&amp;N785&amp;" "&amp;T785))),ISNUMBER(SEARCH("bank",LOWER(F785&amp;" "&amp;H785&amp;" "&amp;I785&amp;" "&amp;M785&amp;" "&amp;N785&amp;" "&amp;T785))),ISNUMBER(SEARCH("banking",LOWER(F785&amp;" "&amp;H785&amp;" "&amp;I785&amp;" "&amp;M785&amp;" "&amp;N785&amp;" "&amp;T785)))),"PRIVATE_QUARANTINE",IF(OR(ISNUMBER(SEARCH("treasury",LOWER(F785&amp;" "&amp;H785&amp;" "&amp;I785&amp;" "&amp;M785&amp;" "&amp;N785&amp;" "&amp;T785))),ISNUMBER(SEARCH("debt",LOWER(F785&amp;" "&amp;H785&amp;" "&amp;I785&amp;" "&amp;M785&amp;" "&amp;N785&amp;" "&amp;T785))),ISNUMBER(SEARCH("bond",LOWER(F785&amp;" "&amp;H785&amp;" "&amp;I785&amp;" "&amp;M785&amp;" "&amp;N785&amp;" "&amp;T785))),ISNUMBER(SEARCH("transaction",LOWER(F785&amp;" "&amp;H785&amp;" "&amp;I785&amp;" "&amp;M785&amp;" "&amp;N785&amp;" "&amp;T785)))),"PRIVATE_REVIEW","PUBLIC_CANDIDATE"))</x:f>
        <x:v>PUBLIC_CANDIDATE</x:v>
      </x:c>
      <x:c r="AD785" s="12" t="str">
        <x:f>IF(AC785="PRIVATE_QUARANTINE","hacker_or_bank_trigger",IF(AC785="PRIVATE_REVIEW","finance_risk_trigger","none"))</x:f>
        <x:v>none</x:v>
      </x:c>
      <x:c r="AE785" s="12" t="str">
        <x:f>IF(AC785="PUBLIC_CANDIDATE","prepare_public_github_candidate",IF(AC785="PRIVATE_REVIEW","hold_for_private_review","quarantine_private_do_not_publish"))</x:f>
        <x:v>prepare_public_github_candidate</x:v>
      </x:c>
      <x:c r="AF785" s="12" t="str">
        <x:f>IF(AC785="PUBLIC_CANDIDATE","TIDELOCK + Lucerna",IF(AC785="PRIVATE_REVIEW","AtlasBrain + Lucerna","TIDELOCK + Lucerna + Human-root"))</x:f>
        <x:v>TIDELOCK + Lucerna</x:v>
      </x:c>
      <x:c r="AG785" s="12" t="str">
        <x:f>IF(AND(AC785="PUBLIC_CANDIDATE",U785&lt;&gt;"BLOCKED_PENDING_RECEIPT"),"READY_AFTER_RECEIPT","NOT_READY")</x:f>
        <x:v>NOT_READY</x:v>
      </x:c>
      <x:c r="AH785" s="12" t="str">
        <x:f>IF(AC785="PUBLIC_CANDIDATE","none",AD785)</x:f>
        <x:v>none</x:v>
      </x:c>
      <x:c r="AI785" s="12" t="str">
        <x:f>IF(AC785="PUBLIC_CANDIDATE","archive/public_candidates/"&amp;A785,"private_quarantine/"&amp;A785)</x:f>
        <x:v>archive/public_candidates/SWARM-06-H06-S04</x:v>
      </x:c>
      <x:c r="AJ785" s="12" t="str">
        <x:f>IF(AC785="PUBLIC_CANDIDATE","public by default; still not canon","private/hold; do not publish")</x:f>
        <x:v>public by default; still not canon</x:v>
      </x:c>
      <x:c r="AK785" s="12" t="str">
        <x:f>IF(AE785="prepare_public_github_candidate","add receipt/status then mirror","resolve blocker before any public GitHub action")</x:f>
        <x:v>add receipt/status then mirror</x:v>
      </x:c>
    </x:row>
    <x:row r="786">
      <x:c r="A786" s="15" t="str">
        <x:v>SWARM-06-H06-S05</x:v>
      </x:c>
      <x:c r="B786" s="15" t="str">
        <x:v>Forgekid</x:v>
      </x:c>
      <x:c r="C786" s="15" t="str">
        <x:v>Aetherforge UX builder</x:v>
      </x:c>
      <x:c r="D786" s="15" t="str">
        <x:v>Ontology / Schema</x:v>
      </x:c>
      <x:c r="E786" s="15" t="str">
        <x:v>Chat</x:v>
      </x:c>
      <x:c r="F786" s="15" t="str">
        <x:v>Schema-map Chat — Forgekid</x:v>
      </x:c>
      <x:c r="G786" s="15" t="str">
        <x:v>quest cards / task cards / board affordances</x:v>
      </x:c>
      <x:c r="H786" s="15" t="str">
        <x:v>source path + receipt + raw/export status + claim/edge/risk delta</x:v>
      </x:c>
      <x:c r="I786" s="15" t="str">
        <x:v>packet/SWARM-06-H06-S05</x:v>
      </x:c>
      <x:c r="J786" s="15" t="str">
        <x:v>TODO</x:v>
      </x:c>
      <x:c r="K786" s="15" t="str">
        <x:v>P1</x:v>
      </x:c>
      <x:c r="L786" s="15" t="str">
        <x:v>Done only when evidence is logged, contradiction search is noted, and boundary stamp remains non-canon unless ratified</x:v>
      </x:c>
      <x:c r="M786" s="15" t="str">
        <x:v>candidate / staging-only / not canon / not deployed / authority none</x:v>
      </x:c>
      <x:c r="N786" s="15" t="str">
        <x:v>Dispatch to Forgekid: complete Ontology / Schema x Chat; return deltas only, receipts required.</x:v>
      </x:c>
      <x:c r="O786" s="15" t="str">
        <x:v>AF-KG-H06-S05</x:v>
      </x:c>
      <x:c r="P786" s="15" t="str">
        <x:v>Unverified</x:v>
      </x:c>
      <x:c r="Q786" s="15" t="str">
        <x:v>Not checked</x:v>
      </x:c>
      <x:c r="R786" s="15" t="str"/>
      <x:c r="S786" s="15" t="str"/>
      <x:c r="T786" s="15" t="str">
        <x:v>Log first source path or blocker</x:v>
      </x:c>
      <x:c r="U786" s="12" t="str">
        <x:f>IF(OR(P786="Unverified",Q786="Not checked"),"BLOCKED_PENDING_RECEIPT","READY_FOR_REVIEW")</x:f>
        <x:v>BLOCKED_PENDING_RECEIPT</x:v>
      </x:c>
      <x:c r="V786" s="12" t="str">
        <x:f>IF(J786="DONE","RETURNED",IF(U786="BLOCKED_PENDING_RECEIPT","SOURCE_TOUCH_REQUIRED","IN_PROGRESS"))</x:f>
        <x:v>SOURCE_TOUCH_REQUIRED</x:v>
      </x:c>
      <x:c r="W786" s="12" t="str">
        <x:f>IF(P786="Unverified","missing_receipt","receipt_logged")</x:f>
        <x:v>missing_receipt</x:v>
      </x:c>
      <x:c r="X786" s="12" t="str">
        <x:f>IF(Q786="Not checked","raw_status_missing","raw_status_logged")</x:f>
        <x:v>raw_status_missing</x:v>
      </x:c>
      <x:c r="Y786" s="12" t="str">
        <x:f>IF(U786="BLOCKED_PENDING_RECEIPT","Log source path or blocker; do not promote","Route to review lane")</x:f>
        <x:v>Log source path or blocker; do not promote</x:v>
      </x:c>
      <x:c r="Z786" s="12" t="str">
        <x:f>IF(K786="P0","Primary seat + Hashlight/Lucerna","Seat lane")</x:f>
        <x:v>Seat lane</x:v>
      </x:c>
      <x:c r="AA786" s="12" t="str">
        <x:f>IF(R786="","no_claim_delta","claim_delta_present")</x:f>
        <x:v>no_claim_delta</x:v>
      </x:c>
      <x:c r="AB786" s="12" t="str">
        <x:f>IF(S786="","no_contradiction_delta","contradiction_delta_present")</x:f>
        <x:v>no_contradiction_delta</x:v>
      </x:c>
      <x:c r="AC786" s="12" t="str">
        <x:f>IF(OR(ISNUMBER(SEARCH("hacker",LOWER(F786&amp;" "&amp;H786&amp;" "&amp;I786&amp;" "&amp;M786&amp;" "&amp;N786&amp;" "&amp;T786))),ISNUMBER(SEARCH("hacking",LOWER(F786&amp;" "&amp;H786&amp;" "&amp;I786&amp;" "&amp;M786&amp;" "&amp;N786&amp;" "&amp;T786))),ISNUMBER(SEARCH("bank",LOWER(F786&amp;" "&amp;H786&amp;" "&amp;I786&amp;" "&amp;M786&amp;" "&amp;N786&amp;" "&amp;T786))),ISNUMBER(SEARCH("banking",LOWER(F786&amp;" "&amp;H786&amp;" "&amp;I786&amp;" "&amp;M786&amp;" "&amp;N786&amp;" "&amp;T786)))),"PRIVATE_QUARANTINE",IF(OR(ISNUMBER(SEARCH("treasury",LOWER(F786&amp;" "&amp;H786&amp;" "&amp;I786&amp;" "&amp;M786&amp;" "&amp;N786&amp;" "&amp;T786))),ISNUMBER(SEARCH("debt",LOWER(F786&amp;" "&amp;H786&amp;" "&amp;I786&amp;" "&amp;M786&amp;" "&amp;N786&amp;" "&amp;T786))),ISNUMBER(SEARCH("bond",LOWER(F786&amp;" "&amp;H786&amp;" "&amp;I786&amp;" "&amp;M786&amp;" "&amp;N786&amp;" "&amp;T786))),ISNUMBER(SEARCH("transaction",LOWER(F786&amp;" "&amp;H786&amp;" "&amp;I786&amp;" "&amp;M786&amp;" "&amp;N786&amp;" "&amp;T786)))),"PRIVATE_REVIEW","PUBLIC_CANDIDATE"))</x:f>
        <x:v>PUBLIC_CANDIDATE</x:v>
      </x:c>
      <x:c r="AD786" s="12" t="str">
        <x:f>IF(AC786="PRIVATE_QUARANTINE","hacker_or_bank_trigger",IF(AC786="PRIVATE_REVIEW","finance_risk_trigger","none"))</x:f>
        <x:v>none</x:v>
      </x:c>
      <x:c r="AE786" s="12" t="str">
        <x:f>IF(AC786="PUBLIC_CANDIDATE","prepare_public_github_candidate",IF(AC786="PRIVATE_REVIEW","hold_for_private_review","quarantine_private_do_not_publish"))</x:f>
        <x:v>prepare_public_github_candidate</x:v>
      </x:c>
      <x:c r="AF786" s="12" t="str">
        <x:f>IF(AC786="PUBLIC_CANDIDATE","TIDELOCK + Lucerna",IF(AC786="PRIVATE_REVIEW","AtlasBrain + Lucerna","TIDELOCK + Lucerna + Human-root"))</x:f>
        <x:v>TIDELOCK + Lucerna</x:v>
      </x:c>
      <x:c r="AG786" s="12" t="str">
        <x:f>IF(AND(AC786="PUBLIC_CANDIDATE",U786&lt;&gt;"BLOCKED_PENDING_RECEIPT"),"READY_AFTER_RECEIPT","NOT_READY")</x:f>
        <x:v>NOT_READY</x:v>
      </x:c>
      <x:c r="AH786" s="12" t="str">
        <x:f>IF(AC786="PUBLIC_CANDIDATE","none",AD786)</x:f>
        <x:v>none</x:v>
      </x:c>
      <x:c r="AI786" s="12" t="str">
        <x:f>IF(AC786="PUBLIC_CANDIDATE","archive/public_candidates/"&amp;A786,"private_quarantine/"&amp;A786)</x:f>
        <x:v>archive/public_candidates/SWARM-06-H06-S05</x:v>
      </x:c>
      <x:c r="AJ786" s="12" t="str">
        <x:f>IF(AC786="PUBLIC_CANDIDATE","public by default; still not canon","private/hold; do not publish")</x:f>
        <x:v>public by default; still not canon</x:v>
      </x:c>
      <x:c r="AK786" s="12" t="str">
        <x:f>IF(AE786="prepare_public_github_candidate","add receipt/status then mirror","resolve blocker before any public GitHub action")</x:f>
        <x:v>add receipt/status then mirror</x:v>
      </x:c>
    </x:row>
    <x:row r="787">
      <x:c r="A787" s="15" t="str">
        <x:v>SWARM-06-H06-S06</x:v>
      </x:c>
      <x:c r="B787" s="15" t="str">
        <x:v>Forgekid</x:v>
      </x:c>
      <x:c r="C787" s="15" t="str">
        <x:v>Aetherforge UX builder</x:v>
      </x:c>
      <x:c r="D787" s="15" t="str">
        <x:v>Ontology / Schema</x:v>
      </x:c>
      <x:c r="E787" s="15" t="str">
        <x:v>External Web</x:v>
      </x:c>
      <x:c r="F787" s="15" t="str">
        <x:v>Schema-map External Web — Forgekid</x:v>
      </x:c>
      <x:c r="G787" s="15" t="str">
        <x:v>quest cards / task cards / board affordances</x:v>
      </x:c>
      <x:c r="H787" s="15" t="str">
        <x:v>source path + receipt + raw/export status + claim/edge/risk delta</x:v>
      </x:c>
      <x:c r="I787" s="15" t="str">
        <x:v>packet/SWARM-06-H06-S06</x:v>
      </x:c>
      <x:c r="J787" s="15" t="str">
        <x:v>TODO</x:v>
      </x:c>
      <x:c r="K787" s="15" t="str">
        <x:v>P1</x:v>
      </x:c>
      <x:c r="L787" s="15" t="str">
        <x:v>Done only when evidence is logged, contradiction search is noted, and boundary stamp remains non-canon unless ratified</x:v>
      </x:c>
      <x:c r="M787" s="15" t="str">
        <x:v>candidate / staging-only / not canon / not deployed / authority none</x:v>
      </x:c>
      <x:c r="N787" s="15" t="str">
        <x:v>Dispatch to Forgekid: complete Ontology / Schema x External Web; return deltas only, receipts required.</x:v>
      </x:c>
      <x:c r="O787" s="15" t="str">
        <x:v>AF-KG-H06-S06</x:v>
      </x:c>
      <x:c r="P787" s="15" t="str">
        <x:v>Unverified</x:v>
      </x:c>
      <x:c r="Q787" s="15" t="str">
        <x:v>Not checked</x:v>
      </x:c>
      <x:c r="R787" s="15" t="str"/>
      <x:c r="S787" s="15" t="str"/>
      <x:c r="T787" s="15" t="str">
        <x:v>Log first source path or blocker</x:v>
      </x:c>
      <x:c r="U787" s="12" t="str">
        <x:f>IF(OR(P787="Unverified",Q787="Not checked"),"BLOCKED_PENDING_RECEIPT","READY_FOR_REVIEW")</x:f>
        <x:v>BLOCKED_PENDING_RECEIPT</x:v>
      </x:c>
      <x:c r="V787" s="12" t="str">
        <x:f>IF(J787="DONE","RETURNED",IF(U787="BLOCKED_PENDING_RECEIPT","SOURCE_TOUCH_REQUIRED","IN_PROGRESS"))</x:f>
        <x:v>SOURCE_TOUCH_REQUIRED</x:v>
      </x:c>
      <x:c r="W787" s="12" t="str">
        <x:f>IF(P787="Unverified","missing_receipt","receipt_logged")</x:f>
        <x:v>missing_receipt</x:v>
      </x:c>
      <x:c r="X787" s="12" t="str">
        <x:f>IF(Q787="Not checked","raw_status_missing","raw_status_logged")</x:f>
        <x:v>raw_status_missing</x:v>
      </x:c>
      <x:c r="Y787" s="12" t="str">
        <x:f>IF(U787="BLOCKED_PENDING_RECEIPT","Log source path or blocker; do not promote","Route to review lane")</x:f>
        <x:v>Log source path or blocker; do not promote</x:v>
      </x:c>
      <x:c r="Z787" s="12" t="str">
        <x:f>IF(K787="P0","Primary seat + Hashlight/Lucerna","Seat lane")</x:f>
        <x:v>Seat lane</x:v>
      </x:c>
      <x:c r="AA787" s="12" t="str">
        <x:f>IF(R787="","no_claim_delta","claim_delta_present")</x:f>
        <x:v>no_claim_delta</x:v>
      </x:c>
      <x:c r="AB787" s="12" t="str">
        <x:f>IF(S787="","no_contradiction_delta","contradiction_delta_present")</x:f>
        <x:v>no_contradiction_delta</x:v>
      </x:c>
      <x:c r="AC787" s="12" t="str">
        <x:f>IF(OR(ISNUMBER(SEARCH("hacker",LOWER(F787&amp;" "&amp;H787&amp;" "&amp;I787&amp;" "&amp;M787&amp;" "&amp;N787&amp;" "&amp;T787))),ISNUMBER(SEARCH("hacking",LOWER(F787&amp;" "&amp;H787&amp;" "&amp;I787&amp;" "&amp;M787&amp;" "&amp;N787&amp;" "&amp;T787))),ISNUMBER(SEARCH("bank",LOWER(F787&amp;" "&amp;H787&amp;" "&amp;I787&amp;" "&amp;M787&amp;" "&amp;N787&amp;" "&amp;T787))),ISNUMBER(SEARCH("banking",LOWER(F787&amp;" "&amp;H787&amp;" "&amp;I787&amp;" "&amp;M787&amp;" "&amp;N787&amp;" "&amp;T787)))),"PRIVATE_QUARANTINE",IF(OR(ISNUMBER(SEARCH("treasury",LOWER(F787&amp;" "&amp;H787&amp;" "&amp;I787&amp;" "&amp;M787&amp;" "&amp;N787&amp;" "&amp;T787))),ISNUMBER(SEARCH("debt",LOWER(F787&amp;" "&amp;H787&amp;" "&amp;I787&amp;" "&amp;M787&amp;" "&amp;N787&amp;" "&amp;T787))),ISNUMBER(SEARCH("bond",LOWER(F787&amp;" "&amp;H787&amp;" "&amp;I787&amp;" "&amp;M787&amp;" "&amp;N787&amp;" "&amp;T787))),ISNUMBER(SEARCH("transaction",LOWER(F787&amp;" "&amp;H787&amp;" "&amp;I787&amp;" "&amp;M787&amp;" "&amp;N787&amp;" "&amp;T787)))),"PRIVATE_REVIEW","PUBLIC_CANDIDATE"))</x:f>
        <x:v>PUBLIC_CANDIDATE</x:v>
      </x:c>
      <x:c r="AD787" s="12" t="str">
        <x:f>IF(AC787="PRIVATE_QUARANTINE","hacker_or_bank_trigger",IF(AC787="PRIVATE_REVIEW","finance_risk_trigger","none"))</x:f>
        <x:v>none</x:v>
      </x:c>
      <x:c r="AE787" s="12" t="str">
        <x:f>IF(AC787="PUBLIC_CANDIDATE","prepare_public_github_candidate",IF(AC787="PRIVATE_REVIEW","hold_for_private_review","quarantine_private_do_not_publish"))</x:f>
        <x:v>prepare_public_github_candidate</x:v>
      </x:c>
      <x:c r="AF787" s="12" t="str">
        <x:f>IF(AC787="PUBLIC_CANDIDATE","TIDELOCK + Lucerna",IF(AC787="PRIVATE_REVIEW","AtlasBrain + Lucerna","TIDELOCK + Lucerna + Human-root"))</x:f>
        <x:v>TIDELOCK + Lucerna</x:v>
      </x:c>
      <x:c r="AG787" s="12" t="str">
        <x:f>IF(AND(AC787="PUBLIC_CANDIDATE",U787&lt;&gt;"BLOCKED_PENDING_RECEIPT"),"READY_AFTER_RECEIPT","NOT_READY")</x:f>
        <x:v>NOT_READY</x:v>
      </x:c>
      <x:c r="AH787" s="12" t="str">
        <x:f>IF(AC787="PUBLIC_CANDIDATE","none",AD787)</x:f>
        <x:v>none</x:v>
      </x:c>
      <x:c r="AI787" s="12" t="str">
        <x:f>IF(AC787="PUBLIC_CANDIDATE","archive/public_candidates/"&amp;A787,"private_quarantine/"&amp;A787)</x:f>
        <x:v>archive/public_candidates/SWARM-06-H06-S06</x:v>
      </x:c>
      <x:c r="AJ787" s="12" t="str">
        <x:f>IF(AC787="PUBLIC_CANDIDATE","public by default; still not canon","private/hold; do not publish")</x:f>
        <x:v>public by default; still not canon</x:v>
      </x:c>
      <x:c r="AK787" s="12" t="str">
        <x:f>IF(AE787="prepare_public_github_candidate","add receipt/status then mirror","resolve blocker before any public GitHub action")</x:f>
        <x:v>add receipt/status then mirror</x:v>
      </x:c>
    </x:row>
    <x:row r="788">
      <x:c r="A788" s="15" t="str">
        <x:v>SWARM-06-H06-S07</x:v>
      </x:c>
      <x:c r="B788" s="15" t="str">
        <x:v>Forgekid</x:v>
      </x:c>
      <x:c r="C788" s="15" t="str">
        <x:v>Aetherforge UX builder</x:v>
      </x:c>
      <x:c r="D788" s="15" t="str">
        <x:v>Ontology / Schema</x:v>
      </x:c>
      <x:c r="E788" s="15" t="str">
        <x:v>Planetarium</x:v>
      </x:c>
      <x:c r="F788" s="15" t="str">
        <x:v>Schema-map Planetarium — Forgekid</x:v>
      </x:c>
      <x:c r="G788" s="15" t="str">
        <x:v>quest cards / task cards / board affordances</x:v>
      </x:c>
      <x:c r="H788" s="15" t="str">
        <x:v>source path + receipt + raw/export status + claim/edge/risk delta</x:v>
      </x:c>
      <x:c r="I788" s="15" t="str">
        <x:v>packet/SWARM-06-H06-S07</x:v>
      </x:c>
      <x:c r="J788" s="15" t="str">
        <x:v>TODO</x:v>
      </x:c>
      <x:c r="K788" s="15" t="str">
        <x:v>P1</x:v>
      </x:c>
      <x:c r="L788" s="15" t="str">
        <x:v>Done only when evidence is logged, contradiction search is noted, and boundary stamp remains non-canon unless ratified</x:v>
      </x:c>
      <x:c r="M788" s="15" t="str">
        <x:v>candidate / staging-only / not canon / not deployed / authority none</x:v>
      </x:c>
      <x:c r="N788" s="15" t="str">
        <x:v>Dispatch to Forgekid: complete Ontology / Schema x Planetarium; return deltas only, receipts required.</x:v>
      </x:c>
      <x:c r="O788" s="15" t="str">
        <x:v>AF-KG-H06-S07</x:v>
      </x:c>
      <x:c r="P788" s="15" t="str">
        <x:v>Unverified</x:v>
      </x:c>
      <x:c r="Q788" s="15" t="str">
        <x:v>Not checked</x:v>
      </x:c>
      <x:c r="R788" s="15" t="str"/>
      <x:c r="S788" s="15" t="str"/>
      <x:c r="T788" s="15" t="str">
        <x:v>Log first source path or blocker</x:v>
      </x:c>
      <x:c r="U788" s="12" t="str">
        <x:f>IF(OR(P788="Unverified",Q788="Not checked"),"BLOCKED_PENDING_RECEIPT","READY_FOR_REVIEW")</x:f>
        <x:v>BLOCKED_PENDING_RECEIPT</x:v>
      </x:c>
      <x:c r="V788" s="12" t="str">
        <x:f>IF(J788="DONE","RETURNED",IF(U788="BLOCKED_PENDING_RECEIPT","SOURCE_TOUCH_REQUIRED","IN_PROGRESS"))</x:f>
        <x:v>SOURCE_TOUCH_REQUIRED</x:v>
      </x:c>
      <x:c r="W788" s="12" t="str">
        <x:f>IF(P788="Unverified","missing_receipt","receipt_logged")</x:f>
        <x:v>missing_receipt</x:v>
      </x:c>
      <x:c r="X788" s="12" t="str">
        <x:f>IF(Q788="Not checked","raw_status_missing","raw_status_logged")</x:f>
        <x:v>raw_status_missing</x:v>
      </x:c>
      <x:c r="Y788" s="12" t="str">
        <x:f>IF(U788="BLOCKED_PENDING_RECEIPT","Log source path or blocker; do not promote","Route to review lane")</x:f>
        <x:v>Log source path or blocker; do not promote</x:v>
      </x:c>
      <x:c r="Z788" s="12" t="str">
        <x:f>IF(K788="P0","Primary seat + Hashlight/Lucerna","Seat lane")</x:f>
        <x:v>Seat lane</x:v>
      </x:c>
      <x:c r="AA788" s="12" t="str">
        <x:f>IF(R788="","no_claim_delta","claim_delta_present")</x:f>
        <x:v>no_claim_delta</x:v>
      </x:c>
      <x:c r="AB788" s="12" t="str">
        <x:f>IF(S788="","no_contradiction_delta","contradiction_delta_present")</x:f>
        <x:v>no_contradiction_delta</x:v>
      </x:c>
      <x:c r="AC788" s="12" t="str">
        <x:f>IF(OR(ISNUMBER(SEARCH("hacker",LOWER(F788&amp;" "&amp;H788&amp;" "&amp;I788&amp;" "&amp;M788&amp;" "&amp;N788&amp;" "&amp;T788))),ISNUMBER(SEARCH("hacking",LOWER(F788&amp;" "&amp;H788&amp;" "&amp;I788&amp;" "&amp;M788&amp;" "&amp;N788&amp;" "&amp;T788))),ISNUMBER(SEARCH("bank",LOWER(F788&amp;" "&amp;H788&amp;" "&amp;I788&amp;" "&amp;M788&amp;" "&amp;N788&amp;" "&amp;T788))),ISNUMBER(SEARCH("banking",LOWER(F788&amp;" "&amp;H788&amp;" "&amp;I788&amp;" "&amp;M788&amp;" "&amp;N788&amp;" "&amp;T788)))),"PRIVATE_QUARANTINE",IF(OR(ISNUMBER(SEARCH("treasury",LOWER(F788&amp;" "&amp;H788&amp;" "&amp;I788&amp;" "&amp;M788&amp;" "&amp;N788&amp;" "&amp;T788))),ISNUMBER(SEARCH("debt",LOWER(F788&amp;" "&amp;H788&amp;" "&amp;I788&amp;" "&amp;M788&amp;" "&amp;N788&amp;" "&amp;T788))),ISNUMBER(SEARCH("bond",LOWER(F788&amp;" "&amp;H788&amp;" "&amp;I788&amp;" "&amp;M788&amp;" "&amp;N788&amp;" "&amp;T788))),ISNUMBER(SEARCH("transaction",LOWER(F788&amp;" "&amp;H788&amp;" "&amp;I788&amp;" "&amp;M788&amp;" "&amp;N788&amp;" "&amp;T788)))),"PRIVATE_REVIEW","PUBLIC_CANDIDATE"))</x:f>
        <x:v>PUBLIC_CANDIDATE</x:v>
      </x:c>
      <x:c r="AD788" s="12" t="str">
        <x:f>IF(AC788="PRIVATE_QUARANTINE","hacker_or_bank_trigger",IF(AC788="PRIVATE_REVIEW","finance_risk_trigger","none"))</x:f>
        <x:v>none</x:v>
      </x:c>
      <x:c r="AE788" s="12" t="str">
        <x:f>IF(AC788="PUBLIC_CANDIDATE","prepare_public_github_candidate",IF(AC788="PRIVATE_REVIEW","hold_for_private_review","quarantine_private_do_not_publish"))</x:f>
        <x:v>prepare_public_github_candidate</x:v>
      </x:c>
      <x:c r="AF788" s="12" t="str">
        <x:f>IF(AC788="PUBLIC_CANDIDATE","TIDELOCK + Lucerna",IF(AC788="PRIVATE_REVIEW","AtlasBrain + Lucerna","TIDELOCK + Lucerna + Human-root"))</x:f>
        <x:v>TIDELOCK + Lucerna</x:v>
      </x:c>
      <x:c r="AG788" s="12" t="str">
        <x:f>IF(AND(AC788="PUBLIC_CANDIDATE",U788&lt;&gt;"BLOCKED_PENDING_RECEIPT"),"READY_AFTER_RECEIPT","NOT_READY")</x:f>
        <x:v>NOT_READY</x:v>
      </x:c>
      <x:c r="AH788" s="12" t="str">
        <x:f>IF(AC788="PUBLIC_CANDIDATE","none",AD788)</x:f>
        <x:v>none</x:v>
      </x:c>
      <x:c r="AI788" s="12" t="str">
        <x:f>IF(AC788="PUBLIC_CANDIDATE","archive/public_candidates/"&amp;A788,"private_quarantine/"&amp;A788)</x:f>
        <x:v>archive/public_candidates/SWARM-06-H06-S07</x:v>
      </x:c>
      <x:c r="AJ788" s="12" t="str">
        <x:f>IF(AC788="PUBLIC_CANDIDATE","public by default; still not canon","private/hold; do not publish")</x:f>
        <x:v>public by default; still not canon</x:v>
      </x:c>
      <x:c r="AK788" s="12" t="str">
        <x:f>IF(AE788="prepare_public_github_candidate","add receipt/status then mirror","resolve blocker before any public GitHub action")</x:f>
        <x:v>add receipt/status then mirror</x:v>
      </x:c>
    </x:row>
    <x:row r="789">
      <x:c r="A789" s="15" t="str">
        <x:v>SWARM-06-H06-S08</x:v>
      </x:c>
      <x:c r="B789" s="15" t="str">
        <x:v>Forgekid</x:v>
      </x:c>
      <x:c r="C789" s="15" t="str">
        <x:v>Aetherforge UX builder</x:v>
      </x:c>
      <x:c r="D789" s="15" t="str">
        <x:v>Ontology / Schema</x:v>
      </x:c>
      <x:c r="E789" s="15" t="str">
        <x:v>Sheldonbrain</x:v>
      </x:c>
      <x:c r="F789" s="15" t="str">
        <x:v>Schema-map Sheldonbrain — Forgekid</x:v>
      </x:c>
      <x:c r="G789" s="15" t="str">
        <x:v>quest cards / task cards / board affordances</x:v>
      </x:c>
      <x:c r="H789" s="15" t="str">
        <x:v>source path + receipt + raw/export status + claim/edge/risk delta</x:v>
      </x:c>
      <x:c r="I789" s="15" t="str">
        <x:v>packet/SWARM-06-H06-S08</x:v>
      </x:c>
      <x:c r="J789" s="15" t="str">
        <x:v>TODO</x:v>
      </x:c>
      <x:c r="K789" s="15" t="str">
        <x:v>P1</x:v>
      </x:c>
      <x:c r="L789" s="15" t="str">
        <x:v>Done only when evidence is logged, contradiction search is noted, and boundary stamp remains non-canon unless ratified</x:v>
      </x:c>
      <x:c r="M789" s="15" t="str">
        <x:v>candidate / staging-only / not canon / not deployed / authority none</x:v>
      </x:c>
      <x:c r="N789" s="15" t="str">
        <x:v>Dispatch to Forgekid: complete Ontology / Schema x Sheldonbrain; return deltas only, receipts required.</x:v>
      </x:c>
      <x:c r="O789" s="15" t="str">
        <x:v>AF-KG-H06-S08</x:v>
      </x:c>
      <x:c r="P789" s="15" t="str">
        <x:v>Unverified</x:v>
      </x:c>
      <x:c r="Q789" s="15" t="str">
        <x:v>Not checked</x:v>
      </x:c>
      <x:c r="R789" s="15" t="str"/>
      <x:c r="S789" s="15" t="str"/>
      <x:c r="T789" s="15" t="str">
        <x:v>Log first source path or blocker</x:v>
      </x:c>
      <x:c r="U789" s="12" t="str">
        <x:f>IF(OR(P789="Unverified",Q789="Not checked"),"BLOCKED_PENDING_RECEIPT","READY_FOR_REVIEW")</x:f>
        <x:v>BLOCKED_PENDING_RECEIPT</x:v>
      </x:c>
      <x:c r="V789" s="12" t="str">
        <x:f>IF(J789="DONE","RETURNED",IF(U789="BLOCKED_PENDING_RECEIPT","SOURCE_TOUCH_REQUIRED","IN_PROGRESS"))</x:f>
        <x:v>SOURCE_TOUCH_REQUIRED</x:v>
      </x:c>
      <x:c r="W789" s="12" t="str">
        <x:f>IF(P789="Unverified","missing_receipt","receipt_logged")</x:f>
        <x:v>missing_receipt</x:v>
      </x:c>
      <x:c r="X789" s="12" t="str">
        <x:f>IF(Q789="Not checked","raw_status_missing","raw_status_logged")</x:f>
        <x:v>raw_status_missing</x:v>
      </x:c>
      <x:c r="Y789" s="12" t="str">
        <x:f>IF(U789="BLOCKED_PENDING_RECEIPT","Log source path or blocker; do not promote","Route to review lane")</x:f>
        <x:v>Log source path or blocker; do not promote</x:v>
      </x:c>
      <x:c r="Z789" s="12" t="str">
        <x:f>IF(K789="P0","Primary seat + Hashlight/Lucerna","Seat lane")</x:f>
        <x:v>Seat lane</x:v>
      </x:c>
      <x:c r="AA789" s="12" t="str">
        <x:f>IF(R789="","no_claim_delta","claim_delta_present")</x:f>
        <x:v>no_claim_delta</x:v>
      </x:c>
      <x:c r="AB789" s="12" t="str">
        <x:f>IF(S789="","no_contradiction_delta","contradiction_delta_present")</x:f>
        <x:v>no_contradiction_delta</x:v>
      </x:c>
      <x:c r="AC789" s="12" t="str">
        <x:f>IF(OR(ISNUMBER(SEARCH("hacker",LOWER(F789&amp;" "&amp;H789&amp;" "&amp;I789&amp;" "&amp;M789&amp;" "&amp;N789&amp;" "&amp;T789))),ISNUMBER(SEARCH("hacking",LOWER(F789&amp;" "&amp;H789&amp;" "&amp;I789&amp;" "&amp;M789&amp;" "&amp;N789&amp;" "&amp;T789))),ISNUMBER(SEARCH("bank",LOWER(F789&amp;" "&amp;H789&amp;" "&amp;I789&amp;" "&amp;M789&amp;" "&amp;N789&amp;" "&amp;T789))),ISNUMBER(SEARCH("banking",LOWER(F789&amp;" "&amp;H789&amp;" "&amp;I789&amp;" "&amp;M789&amp;" "&amp;N789&amp;" "&amp;T789)))),"PRIVATE_QUARANTINE",IF(OR(ISNUMBER(SEARCH("treasury",LOWER(F789&amp;" "&amp;H789&amp;" "&amp;I789&amp;" "&amp;M789&amp;" "&amp;N789&amp;" "&amp;T789))),ISNUMBER(SEARCH("debt",LOWER(F789&amp;" "&amp;H789&amp;" "&amp;I789&amp;" "&amp;M789&amp;" "&amp;N789&amp;" "&amp;T789))),ISNUMBER(SEARCH("bond",LOWER(F789&amp;" "&amp;H789&amp;" "&amp;I789&amp;" "&amp;M789&amp;" "&amp;N789&amp;" "&amp;T789))),ISNUMBER(SEARCH("transaction",LOWER(F789&amp;" "&amp;H789&amp;" "&amp;I789&amp;" "&amp;M789&amp;" "&amp;N789&amp;" "&amp;T789)))),"PRIVATE_REVIEW","PUBLIC_CANDIDATE"))</x:f>
        <x:v>PUBLIC_CANDIDATE</x:v>
      </x:c>
      <x:c r="AD789" s="12" t="str">
        <x:f>IF(AC789="PRIVATE_QUARANTINE","hacker_or_bank_trigger",IF(AC789="PRIVATE_REVIEW","finance_risk_trigger","none"))</x:f>
        <x:v>none</x:v>
      </x:c>
      <x:c r="AE789" s="12" t="str">
        <x:f>IF(AC789="PUBLIC_CANDIDATE","prepare_public_github_candidate",IF(AC789="PRIVATE_REVIEW","hold_for_private_review","quarantine_private_do_not_publish"))</x:f>
        <x:v>prepare_public_github_candidate</x:v>
      </x:c>
      <x:c r="AF789" s="12" t="str">
        <x:f>IF(AC789="PUBLIC_CANDIDATE","TIDELOCK + Lucerna",IF(AC789="PRIVATE_REVIEW","AtlasBrain + Lucerna","TIDELOCK + Lucerna + Human-root"))</x:f>
        <x:v>TIDELOCK + Lucerna</x:v>
      </x:c>
      <x:c r="AG789" s="12" t="str">
        <x:f>IF(AND(AC789="PUBLIC_CANDIDATE",U789&lt;&gt;"BLOCKED_PENDING_RECEIPT"),"READY_AFTER_RECEIPT","NOT_READY")</x:f>
        <x:v>NOT_READY</x:v>
      </x:c>
      <x:c r="AH789" s="12" t="str">
        <x:f>IF(AC789="PUBLIC_CANDIDATE","none",AD789)</x:f>
        <x:v>none</x:v>
      </x:c>
      <x:c r="AI789" s="12" t="str">
        <x:f>IF(AC789="PUBLIC_CANDIDATE","archive/public_candidates/"&amp;A789,"private_quarantine/"&amp;A789)</x:f>
        <x:v>archive/public_candidates/SWARM-06-H06-S08</x:v>
      </x:c>
      <x:c r="AJ789" s="12" t="str">
        <x:f>IF(AC789="PUBLIC_CANDIDATE","public by default; still not canon","private/hold; do not publish")</x:f>
        <x:v>public by default; still not canon</x:v>
      </x:c>
      <x:c r="AK789" s="12" t="str">
        <x:f>IF(AE789="prepare_public_github_candidate","add receipt/status then mirror","resolve blocker before any public GitHub action")</x:f>
        <x:v>add receipt/status then mirror</x:v>
      </x:c>
    </x:row>
    <x:row r="790">
      <x:c r="A790" s="15" t="str">
        <x:v>SWARM-06-H06-S09</x:v>
      </x:c>
      <x:c r="B790" s="15" t="str">
        <x:v>Forgekid</x:v>
      </x:c>
      <x:c r="C790" s="15" t="str">
        <x:v>Aetherforge UX builder</x:v>
      </x:c>
      <x:c r="D790" s="15" t="str">
        <x:v>Ontology / Schema</x:v>
      </x:c>
      <x:c r="E790" s="15" t="str">
        <x:v>Aetherforge</x:v>
      </x:c>
      <x:c r="F790" s="15" t="str">
        <x:v>Schema-map Aetherforge — Forgekid</x:v>
      </x:c>
      <x:c r="G790" s="15" t="str">
        <x:v>quest cards / task cards / board affordances</x:v>
      </x:c>
      <x:c r="H790" s="15" t="str">
        <x:v>source path + receipt + raw/export status + claim/edge/risk delta</x:v>
      </x:c>
      <x:c r="I790" s="15" t="str">
        <x:v>packet/SWARM-06-H06-S09</x:v>
      </x:c>
      <x:c r="J790" s="15" t="str">
        <x:v>TODO</x:v>
      </x:c>
      <x:c r="K790" s="15" t="str">
        <x:v>P2</x:v>
      </x:c>
      <x:c r="L790" s="15" t="str">
        <x:v>Done only when evidence is logged, contradiction search is noted, and boundary stamp remains non-canon unless ratified</x:v>
      </x:c>
      <x:c r="M790" s="15" t="str">
        <x:v>candidate / staging-only / not canon / not deployed / authority none</x:v>
      </x:c>
      <x:c r="N790" s="15" t="str">
        <x:v>Dispatch to Forgekid: complete Ontology / Schema x Aetherforge; return deltas only, receipts required.</x:v>
      </x:c>
      <x:c r="O790" s="15" t="str">
        <x:v>AF-KG-H06-S09</x:v>
      </x:c>
      <x:c r="P790" s="15" t="str">
        <x:v>Unverified</x:v>
      </x:c>
      <x:c r="Q790" s="15" t="str">
        <x:v>Not checked</x:v>
      </x:c>
      <x:c r="R790" s="15" t="str"/>
      <x:c r="S790" s="15" t="str"/>
      <x:c r="T790" s="15" t="str">
        <x:v>Log first source path or blocker</x:v>
      </x:c>
      <x:c r="U790" s="12" t="str">
        <x:f>IF(OR(P790="Unverified",Q790="Not checked"),"BLOCKED_PENDING_RECEIPT","READY_FOR_REVIEW")</x:f>
        <x:v>BLOCKED_PENDING_RECEIPT</x:v>
      </x:c>
      <x:c r="V790" s="12" t="str">
        <x:f>IF(J790="DONE","RETURNED",IF(U790="BLOCKED_PENDING_RECEIPT","SOURCE_TOUCH_REQUIRED","IN_PROGRESS"))</x:f>
        <x:v>SOURCE_TOUCH_REQUIRED</x:v>
      </x:c>
      <x:c r="W790" s="12" t="str">
        <x:f>IF(P790="Unverified","missing_receipt","receipt_logged")</x:f>
        <x:v>missing_receipt</x:v>
      </x:c>
      <x:c r="X790" s="12" t="str">
        <x:f>IF(Q790="Not checked","raw_status_missing","raw_status_logged")</x:f>
        <x:v>raw_status_missing</x:v>
      </x:c>
      <x:c r="Y790" s="12" t="str">
        <x:f>IF(U790="BLOCKED_PENDING_RECEIPT","Log source path or blocker; do not promote","Route to review lane")</x:f>
        <x:v>Log source path or blocker; do not promote</x:v>
      </x:c>
      <x:c r="Z790" s="12" t="str">
        <x:f>IF(K790="P0","Primary seat + Hashlight/Lucerna","Seat lane")</x:f>
        <x:v>Seat lane</x:v>
      </x:c>
      <x:c r="AA790" s="12" t="str">
        <x:f>IF(R790="","no_claim_delta","claim_delta_present")</x:f>
        <x:v>no_claim_delta</x:v>
      </x:c>
      <x:c r="AB790" s="12" t="str">
        <x:f>IF(S790="","no_contradiction_delta","contradiction_delta_present")</x:f>
        <x:v>no_contradiction_delta</x:v>
      </x:c>
      <x:c r="AC790" s="12" t="str">
        <x:f>IF(OR(ISNUMBER(SEARCH("hacker",LOWER(F790&amp;" "&amp;H790&amp;" "&amp;I790&amp;" "&amp;M790&amp;" "&amp;N790&amp;" "&amp;T790))),ISNUMBER(SEARCH("hacking",LOWER(F790&amp;" "&amp;H790&amp;" "&amp;I790&amp;" "&amp;M790&amp;" "&amp;N790&amp;" "&amp;T790))),ISNUMBER(SEARCH("bank",LOWER(F790&amp;" "&amp;H790&amp;" "&amp;I790&amp;" "&amp;M790&amp;" "&amp;N790&amp;" "&amp;T790))),ISNUMBER(SEARCH("banking",LOWER(F790&amp;" "&amp;H790&amp;" "&amp;I790&amp;" "&amp;M790&amp;" "&amp;N790&amp;" "&amp;T790)))),"PRIVATE_QUARANTINE",IF(OR(ISNUMBER(SEARCH("treasury",LOWER(F790&amp;" "&amp;H790&amp;" "&amp;I790&amp;" "&amp;M790&amp;" "&amp;N790&amp;" "&amp;T790))),ISNUMBER(SEARCH("debt",LOWER(F790&amp;" "&amp;H790&amp;" "&amp;I790&amp;" "&amp;M790&amp;" "&amp;N790&amp;" "&amp;T790))),ISNUMBER(SEARCH("bond",LOWER(F790&amp;" "&amp;H790&amp;" "&amp;I790&amp;" "&amp;M790&amp;" "&amp;N790&amp;" "&amp;T790))),ISNUMBER(SEARCH("transaction",LOWER(F790&amp;" "&amp;H790&amp;" "&amp;I790&amp;" "&amp;M790&amp;" "&amp;N790&amp;" "&amp;T790)))),"PRIVATE_REVIEW","PUBLIC_CANDIDATE"))</x:f>
        <x:v>PUBLIC_CANDIDATE</x:v>
      </x:c>
      <x:c r="AD790" s="12" t="str">
        <x:f>IF(AC790="PRIVATE_QUARANTINE","hacker_or_bank_trigger",IF(AC790="PRIVATE_REVIEW","finance_risk_trigger","none"))</x:f>
        <x:v>none</x:v>
      </x:c>
      <x:c r="AE790" s="12" t="str">
        <x:f>IF(AC790="PUBLIC_CANDIDATE","prepare_public_github_candidate",IF(AC790="PRIVATE_REVIEW","hold_for_private_review","quarantine_private_do_not_publish"))</x:f>
        <x:v>prepare_public_github_candidate</x:v>
      </x:c>
      <x:c r="AF790" s="12" t="str">
        <x:f>IF(AC790="PUBLIC_CANDIDATE","TIDELOCK + Lucerna",IF(AC790="PRIVATE_REVIEW","AtlasBrain + Lucerna","TIDELOCK + Lucerna + Human-root"))</x:f>
        <x:v>TIDELOCK + Lucerna</x:v>
      </x:c>
      <x:c r="AG790" s="12" t="str">
        <x:f>IF(AND(AC790="PUBLIC_CANDIDATE",U790&lt;&gt;"BLOCKED_PENDING_RECEIPT"),"READY_AFTER_RECEIPT","NOT_READY")</x:f>
        <x:v>NOT_READY</x:v>
      </x:c>
      <x:c r="AH790" s="12" t="str">
        <x:f>IF(AC790="PUBLIC_CANDIDATE","none",AD790)</x:f>
        <x:v>none</x:v>
      </x:c>
      <x:c r="AI790" s="12" t="str">
        <x:f>IF(AC790="PUBLIC_CANDIDATE","archive/public_candidates/"&amp;A790,"private_quarantine/"&amp;A790)</x:f>
        <x:v>archive/public_candidates/SWARM-06-H06-S09</x:v>
      </x:c>
      <x:c r="AJ790" s="12" t="str">
        <x:f>IF(AC790="PUBLIC_CANDIDATE","public by default; still not canon","private/hold; do not publish")</x:f>
        <x:v>public by default; still not canon</x:v>
      </x:c>
      <x:c r="AK790" s="12" t="str">
        <x:f>IF(AE790="prepare_public_github_candidate","add receipt/status then mirror","resolve blocker before any public GitHub action")</x:f>
        <x:v>add receipt/status then mirror</x:v>
      </x:c>
    </x:row>
    <x:row r="791">
      <x:c r="A791" s="15" t="str">
        <x:v>SWARM-06-H06-S10</x:v>
      </x:c>
      <x:c r="B791" s="15" t="str">
        <x:v>Forgekid</x:v>
      </x:c>
      <x:c r="C791" s="15" t="str">
        <x:v>Aetherforge UX builder</x:v>
      </x:c>
      <x:c r="D791" s="15" t="str">
        <x:v>Ontology / Schema</x:v>
      </x:c>
      <x:c r="E791" s="15" t="str">
        <x:v>Human-Root</x:v>
      </x:c>
      <x:c r="F791" s="15" t="str">
        <x:v>Schema-map Human-Root — Forgekid</x:v>
      </x:c>
      <x:c r="G791" s="15" t="str">
        <x:v>quest cards / task cards / board affordances</x:v>
      </x:c>
      <x:c r="H791" s="15" t="str">
        <x:v>source path + receipt + raw/export status + claim/edge/risk delta</x:v>
      </x:c>
      <x:c r="I791" s="15" t="str">
        <x:v>packet/SWARM-06-H06-S10</x:v>
      </x:c>
      <x:c r="J791" s="15" t="str">
        <x:v>TODO</x:v>
      </x:c>
      <x:c r="K791" s="15" t="str">
        <x:v>P2</x:v>
      </x:c>
      <x:c r="L791" s="15" t="str">
        <x:v>Done only when evidence is logged, contradiction search is noted, and boundary stamp remains non-canon unless ratified</x:v>
      </x:c>
      <x:c r="M791" s="15" t="str">
        <x:v>candidate / staging-only / not canon / not deployed / authority none</x:v>
      </x:c>
      <x:c r="N791" s="15" t="str">
        <x:v>Dispatch to Forgekid: complete Ontology / Schema x Human-Root; return deltas only, receipts required.</x:v>
      </x:c>
      <x:c r="O791" s="15" t="str">
        <x:v>AF-KG-H06-S10</x:v>
      </x:c>
      <x:c r="P791" s="15" t="str">
        <x:v>Unverified</x:v>
      </x:c>
      <x:c r="Q791" s="15" t="str">
        <x:v>Not checked</x:v>
      </x:c>
      <x:c r="R791" s="15" t="str"/>
      <x:c r="S791" s="15" t="str"/>
      <x:c r="T791" s="15" t="str">
        <x:v>Log first source path or blocker</x:v>
      </x:c>
      <x:c r="U791" s="12" t="str">
        <x:f>IF(OR(P791="Unverified",Q791="Not checked"),"BLOCKED_PENDING_RECEIPT","READY_FOR_REVIEW")</x:f>
        <x:v>BLOCKED_PENDING_RECEIPT</x:v>
      </x:c>
      <x:c r="V791" s="12" t="str">
        <x:f>IF(J791="DONE","RETURNED",IF(U791="BLOCKED_PENDING_RECEIPT","SOURCE_TOUCH_REQUIRED","IN_PROGRESS"))</x:f>
        <x:v>SOURCE_TOUCH_REQUIRED</x:v>
      </x:c>
      <x:c r="W791" s="12" t="str">
        <x:f>IF(P791="Unverified","missing_receipt","receipt_logged")</x:f>
        <x:v>missing_receipt</x:v>
      </x:c>
      <x:c r="X791" s="12" t="str">
        <x:f>IF(Q791="Not checked","raw_status_missing","raw_status_logged")</x:f>
        <x:v>raw_status_missing</x:v>
      </x:c>
      <x:c r="Y791" s="12" t="str">
        <x:f>IF(U791="BLOCKED_PENDING_RECEIPT","Log source path or blocker; do not promote","Route to review lane")</x:f>
        <x:v>Log source path or blocker; do not promote</x:v>
      </x:c>
      <x:c r="Z791" s="12" t="str">
        <x:f>IF(K791="P0","Primary seat + Hashlight/Lucerna","Seat lane")</x:f>
        <x:v>Seat lane</x:v>
      </x:c>
      <x:c r="AA791" s="12" t="str">
        <x:f>IF(R791="","no_claim_delta","claim_delta_present")</x:f>
        <x:v>no_claim_delta</x:v>
      </x:c>
      <x:c r="AB791" s="12" t="str">
        <x:f>IF(S791="","no_contradiction_delta","contradiction_delta_present")</x:f>
        <x:v>no_contradiction_delta</x:v>
      </x:c>
      <x:c r="AC791" s="12" t="str">
        <x:f>IF(OR(ISNUMBER(SEARCH("hacker",LOWER(F791&amp;" "&amp;H791&amp;" "&amp;I791&amp;" "&amp;M791&amp;" "&amp;N791&amp;" "&amp;T791))),ISNUMBER(SEARCH("hacking",LOWER(F791&amp;" "&amp;H791&amp;" "&amp;I791&amp;" "&amp;M791&amp;" "&amp;N791&amp;" "&amp;T791))),ISNUMBER(SEARCH("bank",LOWER(F791&amp;" "&amp;H791&amp;" "&amp;I791&amp;" "&amp;M791&amp;" "&amp;N791&amp;" "&amp;T791))),ISNUMBER(SEARCH("banking",LOWER(F791&amp;" "&amp;H791&amp;" "&amp;I791&amp;" "&amp;M791&amp;" "&amp;N791&amp;" "&amp;T791)))),"PRIVATE_QUARANTINE",IF(OR(ISNUMBER(SEARCH("treasury",LOWER(F791&amp;" "&amp;H791&amp;" "&amp;I791&amp;" "&amp;M791&amp;" "&amp;N791&amp;" "&amp;T791))),ISNUMBER(SEARCH("debt",LOWER(F791&amp;" "&amp;H791&amp;" "&amp;I791&amp;" "&amp;M791&amp;" "&amp;N791&amp;" "&amp;T791))),ISNUMBER(SEARCH("bond",LOWER(F791&amp;" "&amp;H791&amp;" "&amp;I791&amp;" "&amp;M791&amp;" "&amp;N791&amp;" "&amp;T791))),ISNUMBER(SEARCH("transaction",LOWER(F791&amp;" "&amp;H791&amp;" "&amp;I791&amp;" "&amp;M791&amp;" "&amp;N791&amp;" "&amp;T791)))),"PRIVATE_REVIEW","PUBLIC_CANDIDATE"))</x:f>
        <x:v>PUBLIC_CANDIDATE</x:v>
      </x:c>
      <x:c r="AD791" s="12" t="str">
        <x:f>IF(AC791="PRIVATE_QUARANTINE","hacker_or_bank_trigger",IF(AC791="PRIVATE_REVIEW","finance_risk_trigger","none"))</x:f>
        <x:v>none</x:v>
      </x:c>
      <x:c r="AE791" s="12" t="str">
        <x:f>IF(AC791="PUBLIC_CANDIDATE","prepare_public_github_candidate",IF(AC791="PRIVATE_REVIEW","hold_for_private_review","quarantine_private_do_not_publish"))</x:f>
        <x:v>prepare_public_github_candidate</x:v>
      </x:c>
      <x:c r="AF791" s="12" t="str">
        <x:f>IF(AC791="PUBLIC_CANDIDATE","TIDELOCK + Lucerna",IF(AC791="PRIVATE_REVIEW","AtlasBrain + Lucerna","TIDELOCK + Lucerna + Human-root"))</x:f>
        <x:v>TIDELOCK + Lucerna</x:v>
      </x:c>
      <x:c r="AG791" s="12" t="str">
        <x:f>IF(AND(AC791="PUBLIC_CANDIDATE",U791&lt;&gt;"BLOCKED_PENDING_RECEIPT"),"READY_AFTER_RECEIPT","NOT_READY")</x:f>
        <x:v>NOT_READY</x:v>
      </x:c>
      <x:c r="AH791" s="12" t="str">
        <x:f>IF(AC791="PUBLIC_CANDIDATE","none",AD791)</x:f>
        <x:v>none</x:v>
      </x:c>
      <x:c r="AI791" s="12" t="str">
        <x:f>IF(AC791="PUBLIC_CANDIDATE","archive/public_candidates/"&amp;A791,"private_quarantine/"&amp;A791)</x:f>
        <x:v>archive/public_candidates/SWARM-06-H06-S10</x:v>
      </x:c>
      <x:c r="AJ791" s="12" t="str">
        <x:f>IF(AC791="PUBLIC_CANDIDATE","public by default; still not canon","private/hold; do not publish")</x:f>
        <x:v>public by default; still not canon</x:v>
      </x:c>
      <x:c r="AK791" s="12" t="str">
        <x:f>IF(AE791="prepare_public_github_candidate","add receipt/status then mirror","resolve blocker before any public GitHub action")</x:f>
        <x:v>add receipt/status then mirror</x:v>
      </x:c>
    </x:row>
    <x:row r="792">
      <x:c r="A792" s="15" t="str">
        <x:v>SWARM-06-H06-S11</x:v>
      </x:c>
      <x:c r="B792" s="15" t="str">
        <x:v>Forgekid</x:v>
      </x:c>
      <x:c r="C792" s="15" t="str">
        <x:v>Aetherforge UX builder</x:v>
      </x:c>
      <x:c r="D792" s="15" t="str">
        <x:v>Ontology / Schema</x:v>
      </x:c>
      <x:c r="E792" s="15" t="str">
        <x:v>Automation</x:v>
      </x:c>
      <x:c r="F792" s="15" t="str">
        <x:v>Schema-map Automation — Forgekid</x:v>
      </x:c>
      <x:c r="G792" s="15" t="str">
        <x:v>quest cards / task cards / board affordances</x:v>
      </x:c>
      <x:c r="H792" s="15" t="str">
        <x:v>source path + receipt + raw/export status + claim/edge/risk delta</x:v>
      </x:c>
      <x:c r="I792" s="15" t="str">
        <x:v>packet/SWARM-06-H06-S11</x:v>
      </x:c>
      <x:c r="J792" s="15" t="str">
        <x:v>TODO</x:v>
      </x:c>
      <x:c r="K792" s="15" t="str">
        <x:v>P2</x:v>
      </x:c>
      <x:c r="L792" s="15" t="str">
        <x:v>Done only when evidence is logged, contradiction search is noted, and boundary stamp remains non-canon unless ratified</x:v>
      </x:c>
      <x:c r="M792" s="15" t="str">
        <x:v>candidate / staging-only / not canon / not deployed / authority none</x:v>
      </x:c>
      <x:c r="N792" s="15" t="str">
        <x:v>Dispatch to Forgekid: complete Ontology / Schema x Automation; return deltas only, receipts required.</x:v>
      </x:c>
      <x:c r="O792" s="15" t="str">
        <x:v>AF-KG-H06-S11</x:v>
      </x:c>
      <x:c r="P792" s="15" t="str">
        <x:v>Unverified</x:v>
      </x:c>
      <x:c r="Q792" s="15" t="str">
        <x:v>Not checked</x:v>
      </x:c>
      <x:c r="R792" s="15" t="str"/>
      <x:c r="S792" s="15" t="str"/>
      <x:c r="T792" s="15" t="str">
        <x:v>Log first source path or blocker</x:v>
      </x:c>
      <x:c r="U792" s="12" t="str">
        <x:f>IF(OR(P792="Unverified",Q792="Not checked"),"BLOCKED_PENDING_RECEIPT","READY_FOR_REVIEW")</x:f>
        <x:v>BLOCKED_PENDING_RECEIPT</x:v>
      </x:c>
      <x:c r="V792" s="12" t="str">
        <x:f>IF(J792="DONE","RETURNED",IF(U792="BLOCKED_PENDING_RECEIPT","SOURCE_TOUCH_REQUIRED","IN_PROGRESS"))</x:f>
        <x:v>SOURCE_TOUCH_REQUIRED</x:v>
      </x:c>
      <x:c r="W792" s="12" t="str">
        <x:f>IF(P792="Unverified","missing_receipt","receipt_logged")</x:f>
        <x:v>missing_receipt</x:v>
      </x:c>
      <x:c r="X792" s="12" t="str">
        <x:f>IF(Q792="Not checked","raw_status_missing","raw_status_logged")</x:f>
        <x:v>raw_status_missing</x:v>
      </x:c>
      <x:c r="Y792" s="12" t="str">
        <x:f>IF(U792="BLOCKED_PENDING_RECEIPT","Log source path or blocker; do not promote","Route to review lane")</x:f>
        <x:v>Log source path or blocker; do not promote</x:v>
      </x:c>
      <x:c r="Z792" s="12" t="str">
        <x:f>IF(K792="P0","Primary seat + Hashlight/Lucerna","Seat lane")</x:f>
        <x:v>Seat lane</x:v>
      </x:c>
      <x:c r="AA792" s="12" t="str">
        <x:f>IF(R792="","no_claim_delta","claim_delta_present")</x:f>
        <x:v>no_claim_delta</x:v>
      </x:c>
      <x:c r="AB792" s="12" t="str">
        <x:f>IF(S792="","no_contradiction_delta","contradiction_delta_present")</x:f>
        <x:v>no_contradiction_delta</x:v>
      </x:c>
      <x:c r="AC792" s="12" t="str">
        <x:f>IF(OR(ISNUMBER(SEARCH("hacker",LOWER(F792&amp;" "&amp;H792&amp;" "&amp;I792&amp;" "&amp;M792&amp;" "&amp;N792&amp;" "&amp;T792))),ISNUMBER(SEARCH("hacking",LOWER(F792&amp;" "&amp;H792&amp;" "&amp;I792&amp;" "&amp;M792&amp;" "&amp;N792&amp;" "&amp;T792))),ISNUMBER(SEARCH("bank",LOWER(F792&amp;" "&amp;H792&amp;" "&amp;I792&amp;" "&amp;M792&amp;" "&amp;N792&amp;" "&amp;T792))),ISNUMBER(SEARCH("banking",LOWER(F792&amp;" "&amp;H792&amp;" "&amp;I792&amp;" "&amp;M792&amp;" "&amp;N792&amp;" "&amp;T792)))),"PRIVATE_QUARANTINE",IF(OR(ISNUMBER(SEARCH("treasury",LOWER(F792&amp;" "&amp;H792&amp;" "&amp;I792&amp;" "&amp;M792&amp;" "&amp;N792&amp;" "&amp;T792))),ISNUMBER(SEARCH("debt",LOWER(F792&amp;" "&amp;H792&amp;" "&amp;I792&amp;" "&amp;M792&amp;" "&amp;N792&amp;" "&amp;T792))),ISNUMBER(SEARCH("bond",LOWER(F792&amp;" "&amp;H792&amp;" "&amp;I792&amp;" "&amp;M792&amp;" "&amp;N792&amp;" "&amp;T792))),ISNUMBER(SEARCH("transaction",LOWER(F792&amp;" "&amp;H792&amp;" "&amp;I792&amp;" "&amp;M792&amp;" "&amp;N792&amp;" "&amp;T792)))),"PRIVATE_REVIEW","PUBLIC_CANDIDATE"))</x:f>
        <x:v>PUBLIC_CANDIDATE</x:v>
      </x:c>
      <x:c r="AD792" s="12" t="str">
        <x:f>IF(AC792="PRIVATE_QUARANTINE","hacker_or_bank_trigger",IF(AC792="PRIVATE_REVIEW","finance_risk_trigger","none"))</x:f>
        <x:v>none</x:v>
      </x:c>
      <x:c r="AE792" s="12" t="str">
        <x:f>IF(AC792="PUBLIC_CANDIDATE","prepare_public_github_candidate",IF(AC792="PRIVATE_REVIEW","hold_for_private_review","quarantine_private_do_not_publish"))</x:f>
        <x:v>prepare_public_github_candidate</x:v>
      </x:c>
      <x:c r="AF792" s="12" t="str">
        <x:f>IF(AC792="PUBLIC_CANDIDATE","TIDELOCK + Lucerna",IF(AC792="PRIVATE_REVIEW","AtlasBrain + Lucerna","TIDELOCK + Lucerna + Human-root"))</x:f>
        <x:v>TIDELOCK + Lucerna</x:v>
      </x:c>
      <x:c r="AG792" s="12" t="str">
        <x:f>IF(AND(AC792="PUBLIC_CANDIDATE",U792&lt;&gt;"BLOCKED_PENDING_RECEIPT"),"READY_AFTER_RECEIPT","NOT_READY")</x:f>
        <x:v>NOT_READY</x:v>
      </x:c>
      <x:c r="AH792" s="12" t="str">
        <x:f>IF(AC792="PUBLIC_CANDIDATE","none",AD792)</x:f>
        <x:v>none</x:v>
      </x:c>
      <x:c r="AI792" s="12" t="str">
        <x:f>IF(AC792="PUBLIC_CANDIDATE","archive/public_candidates/"&amp;A792,"private_quarantine/"&amp;A792)</x:f>
        <x:v>archive/public_candidates/SWARM-06-H06-S11</x:v>
      </x:c>
      <x:c r="AJ792" s="12" t="str">
        <x:f>IF(AC792="PUBLIC_CANDIDATE","public by default; still not canon","private/hold; do not publish")</x:f>
        <x:v>public by default; still not canon</x:v>
      </x:c>
      <x:c r="AK792" s="12" t="str">
        <x:f>IF(AE792="prepare_public_github_candidate","add receipt/status then mirror","resolve blocker before any public GitHub action")</x:f>
        <x:v>add receipt/status then mirror</x:v>
      </x:c>
    </x:row>
    <x:row r="793">
      <x:c r="A793" s="15" t="str">
        <x:v>SWARM-06-H06-S12</x:v>
      </x:c>
      <x:c r="B793" s="15" t="str">
        <x:v>Forgekid</x:v>
      </x:c>
      <x:c r="C793" s="15" t="str">
        <x:v>Aetherforge UX builder</x:v>
      </x:c>
      <x:c r="D793" s="15" t="str">
        <x:v>Ontology / Schema</x:v>
      </x:c>
      <x:c r="E793" s="15" t="str">
        <x:v>Risk / Safety</x:v>
      </x:c>
      <x:c r="F793" s="15" t="str">
        <x:v>Schema-map Risk / Safety — Forgekid</x:v>
      </x:c>
      <x:c r="G793" s="15" t="str">
        <x:v>quest cards / task cards / board affordances</x:v>
      </x:c>
      <x:c r="H793" s="15" t="str">
        <x:v>source path + receipt + raw/export status + claim/edge/risk delta</x:v>
      </x:c>
      <x:c r="I793" s="15" t="str">
        <x:v>packet/SWARM-06-H06-S12</x:v>
      </x:c>
      <x:c r="J793" s="15" t="str">
        <x:v>TODO</x:v>
      </x:c>
      <x:c r="K793" s="15" t="str">
        <x:v>P2</x:v>
      </x:c>
      <x:c r="L793" s="15" t="str">
        <x:v>Done only when evidence is logged, contradiction search is noted, and boundary stamp remains non-canon unless ratified</x:v>
      </x:c>
      <x:c r="M793" s="15" t="str">
        <x:v>candidate / staging-only / not canon / not deployed / authority none</x:v>
      </x:c>
      <x:c r="N793" s="15" t="str">
        <x:v>Dispatch to Forgekid: complete Ontology / Schema x Risk / Safety; return deltas only, receipts required.</x:v>
      </x:c>
      <x:c r="O793" s="15" t="str">
        <x:v>AF-KG-H06-S12</x:v>
      </x:c>
      <x:c r="P793" s="15" t="str">
        <x:v>Unverified</x:v>
      </x:c>
      <x:c r="Q793" s="15" t="str">
        <x:v>Not checked</x:v>
      </x:c>
      <x:c r="R793" s="15" t="str"/>
      <x:c r="S793" s="15" t="str"/>
      <x:c r="T793" s="15" t="str">
        <x:v>Log first source path or blocker</x:v>
      </x:c>
      <x:c r="U793" s="12" t="str">
        <x:f>IF(OR(P793="Unverified",Q793="Not checked"),"BLOCKED_PENDING_RECEIPT","READY_FOR_REVIEW")</x:f>
        <x:v>BLOCKED_PENDING_RECEIPT</x:v>
      </x:c>
      <x:c r="V793" s="12" t="str">
        <x:f>IF(J793="DONE","RETURNED",IF(U793="BLOCKED_PENDING_RECEIPT","SOURCE_TOUCH_REQUIRED","IN_PROGRESS"))</x:f>
        <x:v>SOURCE_TOUCH_REQUIRED</x:v>
      </x:c>
      <x:c r="W793" s="12" t="str">
        <x:f>IF(P793="Unverified","missing_receipt","receipt_logged")</x:f>
        <x:v>missing_receipt</x:v>
      </x:c>
      <x:c r="X793" s="12" t="str">
        <x:f>IF(Q793="Not checked","raw_status_missing","raw_status_logged")</x:f>
        <x:v>raw_status_missing</x:v>
      </x:c>
      <x:c r="Y793" s="12" t="str">
        <x:f>IF(U793="BLOCKED_PENDING_RECEIPT","Log source path or blocker; do not promote","Route to review lane")</x:f>
        <x:v>Log source path or blocker; do not promote</x:v>
      </x:c>
      <x:c r="Z793" s="12" t="str">
        <x:f>IF(K793="P0","Primary seat + Hashlight/Lucerna","Seat lane")</x:f>
        <x:v>Seat lane</x:v>
      </x:c>
      <x:c r="AA793" s="12" t="str">
        <x:f>IF(R793="","no_claim_delta","claim_delta_present")</x:f>
        <x:v>no_claim_delta</x:v>
      </x:c>
      <x:c r="AB793" s="12" t="str">
        <x:f>IF(S793="","no_contradiction_delta","contradiction_delta_present")</x:f>
        <x:v>no_contradiction_delta</x:v>
      </x:c>
      <x:c r="AC793" s="12" t="str">
        <x:f>IF(OR(ISNUMBER(SEARCH("hacker",LOWER(F793&amp;" "&amp;H793&amp;" "&amp;I793&amp;" "&amp;M793&amp;" "&amp;N793&amp;" "&amp;T793))),ISNUMBER(SEARCH("hacking",LOWER(F793&amp;" "&amp;H793&amp;" "&amp;I793&amp;" "&amp;M793&amp;" "&amp;N793&amp;" "&amp;T793))),ISNUMBER(SEARCH("bank",LOWER(F793&amp;" "&amp;H793&amp;" "&amp;I793&amp;" "&amp;M793&amp;" "&amp;N793&amp;" "&amp;T793))),ISNUMBER(SEARCH("banking",LOWER(F793&amp;" "&amp;H793&amp;" "&amp;I793&amp;" "&amp;M793&amp;" "&amp;N793&amp;" "&amp;T793)))),"PRIVATE_QUARANTINE",IF(OR(ISNUMBER(SEARCH("treasury",LOWER(F793&amp;" "&amp;H793&amp;" "&amp;I793&amp;" "&amp;M793&amp;" "&amp;N793&amp;" "&amp;T793))),ISNUMBER(SEARCH("debt",LOWER(F793&amp;" "&amp;H793&amp;" "&amp;I793&amp;" "&amp;M793&amp;" "&amp;N793&amp;" "&amp;T793))),ISNUMBER(SEARCH("bond",LOWER(F793&amp;" "&amp;H793&amp;" "&amp;I793&amp;" "&amp;M793&amp;" "&amp;N793&amp;" "&amp;T793))),ISNUMBER(SEARCH("transaction",LOWER(F793&amp;" "&amp;H793&amp;" "&amp;I793&amp;" "&amp;M793&amp;" "&amp;N793&amp;" "&amp;T793)))),"PRIVATE_REVIEW","PUBLIC_CANDIDATE"))</x:f>
        <x:v>PUBLIC_CANDIDATE</x:v>
      </x:c>
      <x:c r="AD793" s="12" t="str">
        <x:f>IF(AC793="PRIVATE_QUARANTINE","hacker_or_bank_trigger",IF(AC793="PRIVATE_REVIEW","finance_risk_trigger","none"))</x:f>
        <x:v>none</x:v>
      </x:c>
      <x:c r="AE793" s="12" t="str">
        <x:f>IF(AC793="PUBLIC_CANDIDATE","prepare_public_github_candidate",IF(AC793="PRIVATE_REVIEW","hold_for_private_review","quarantine_private_do_not_publish"))</x:f>
        <x:v>prepare_public_github_candidate</x:v>
      </x:c>
      <x:c r="AF793" s="12" t="str">
        <x:f>IF(AC793="PUBLIC_CANDIDATE","TIDELOCK + Lucerna",IF(AC793="PRIVATE_REVIEW","AtlasBrain + Lucerna","TIDELOCK + Lucerna + Human-root"))</x:f>
        <x:v>TIDELOCK + Lucerna</x:v>
      </x:c>
      <x:c r="AG793" s="12" t="str">
        <x:f>IF(AND(AC793="PUBLIC_CANDIDATE",U793&lt;&gt;"BLOCKED_PENDING_RECEIPT"),"READY_AFTER_RECEIPT","NOT_READY")</x:f>
        <x:v>NOT_READY</x:v>
      </x:c>
      <x:c r="AH793" s="12" t="str">
        <x:f>IF(AC793="PUBLIC_CANDIDATE","none",AD793)</x:f>
        <x:v>none</x:v>
      </x:c>
      <x:c r="AI793" s="12" t="str">
        <x:f>IF(AC793="PUBLIC_CANDIDATE","archive/public_candidates/"&amp;A793,"private_quarantine/"&amp;A793)</x:f>
        <x:v>archive/public_candidates/SWARM-06-H06-S12</x:v>
      </x:c>
      <x:c r="AJ793" s="12" t="str">
        <x:f>IF(AC793="PUBLIC_CANDIDATE","public by default; still not canon","private/hold; do not publish")</x:f>
        <x:v>public by default; still not canon</x:v>
      </x:c>
      <x:c r="AK793" s="12" t="str">
        <x:f>IF(AE793="prepare_public_github_candidate","add receipt/status then mirror","resolve blocker before any public GitHub action")</x:f>
        <x:v>add receipt/status then mirror</x:v>
      </x:c>
    </x:row>
    <x:row r="794">
      <x:c r="A794" s="15" t="str">
        <x:v>SWARM-06-H07-S01</x:v>
      </x:c>
      <x:c r="B794" s="15" t="str">
        <x:v>Forgekid</x:v>
      </x:c>
      <x:c r="C794" s="15" t="str">
        <x:v>Aetherforge UX builder</x:v>
      </x:c>
      <x:c r="D794" s="15" t="str">
        <x:v>Graph Node Proposals</x:v>
      </x:c>
      <x:c r="E794" s="15" t="str">
        <x:v>Notion</x:v>
      </x:c>
      <x:c r="F794" s="15" t="str">
        <x:v>Propose graph nodes for Notion — Forgekid</x:v>
      </x:c>
      <x:c r="G794" s="15" t="str">
        <x:v>quest cards / task cards / board affordances</x:v>
      </x:c>
      <x:c r="H794" s="15" t="str">
        <x:v>source path + receipt + raw/export status + claim/edge/risk delta</x:v>
      </x:c>
      <x:c r="I794" s="15" t="str">
        <x:v>packet/SWARM-06-H07-S01</x:v>
      </x:c>
      <x:c r="J794" s="15" t="str">
        <x:v>TODO</x:v>
      </x:c>
      <x:c r="K794" s="15" t="str">
        <x:v>P0</x:v>
      </x:c>
      <x:c r="L794" s="15" t="str">
        <x:v>Done only when evidence is logged, contradiction search is noted, and boundary stamp remains non-canon unless ratified</x:v>
      </x:c>
      <x:c r="M794" s="15" t="str">
        <x:v>candidate / staging-only / not canon / not deployed / authority none</x:v>
      </x:c>
      <x:c r="N794" s="15" t="str">
        <x:v>Dispatch to Forgekid: complete Graph Node Proposals x Notion; return deltas only, receipts required.</x:v>
      </x:c>
      <x:c r="O794" s="15" t="str">
        <x:v>AF-KG-H07-S01</x:v>
      </x:c>
      <x:c r="P794" s="15" t="str">
        <x:v>Unverified</x:v>
      </x:c>
      <x:c r="Q794" s="15" t="str">
        <x:v>Not checked</x:v>
      </x:c>
      <x:c r="R794" s="15" t="str"/>
      <x:c r="S794" s="15" t="str"/>
      <x:c r="T794" s="15" t="str">
        <x:v>Log first source path or blocker</x:v>
      </x:c>
      <x:c r="U794" s="12" t="str">
        <x:f>IF(OR(P794="Unverified",Q794="Not checked"),"BLOCKED_PENDING_RECEIPT","READY_FOR_REVIEW")</x:f>
        <x:v>BLOCKED_PENDING_RECEIPT</x:v>
      </x:c>
      <x:c r="V794" s="12" t="str">
        <x:f>IF(J794="DONE","RETURNED",IF(U794="BLOCKED_PENDING_RECEIPT","SOURCE_TOUCH_REQUIRED","IN_PROGRESS"))</x:f>
        <x:v>SOURCE_TOUCH_REQUIRED</x:v>
      </x:c>
      <x:c r="W794" s="12" t="str">
        <x:f>IF(P794="Unverified","missing_receipt","receipt_logged")</x:f>
        <x:v>missing_receipt</x:v>
      </x:c>
      <x:c r="X794" s="12" t="str">
        <x:f>IF(Q794="Not checked","raw_status_missing","raw_status_logged")</x:f>
        <x:v>raw_status_missing</x:v>
      </x:c>
      <x:c r="Y794" s="12" t="str">
        <x:f>IF(U794="BLOCKED_PENDING_RECEIPT","Log source path or blocker; do not promote","Route to review lane")</x:f>
        <x:v>Log source path or blocker; do not promote</x:v>
      </x:c>
      <x:c r="Z794" s="12" t="str">
        <x:f>IF(K794="P0","Primary seat + Hashlight/Lucerna","Seat lane")</x:f>
        <x:v>Primary seat + Hashlight/Lucerna</x:v>
      </x:c>
      <x:c r="AA794" s="12" t="str">
        <x:f>IF(R794="","no_claim_delta","claim_delta_present")</x:f>
        <x:v>no_claim_delta</x:v>
      </x:c>
      <x:c r="AB794" s="12" t="str">
        <x:f>IF(S794="","no_contradiction_delta","contradiction_delta_present")</x:f>
        <x:v>no_contradiction_delta</x:v>
      </x:c>
      <x:c r="AC794" s="12" t="str">
        <x:f>IF(OR(ISNUMBER(SEARCH("hacker",LOWER(F794&amp;" "&amp;H794&amp;" "&amp;I794&amp;" "&amp;M794&amp;" "&amp;N794&amp;" "&amp;T794))),ISNUMBER(SEARCH("hacking",LOWER(F794&amp;" "&amp;H794&amp;" "&amp;I794&amp;" "&amp;M794&amp;" "&amp;N794&amp;" "&amp;T794))),ISNUMBER(SEARCH("bank",LOWER(F794&amp;" "&amp;H794&amp;" "&amp;I794&amp;" "&amp;M794&amp;" "&amp;N794&amp;" "&amp;T794))),ISNUMBER(SEARCH("banking",LOWER(F794&amp;" "&amp;H794&amp;" "&amp;I794&amp;" "&amp;M794&amp;" "&amp;N794&amp;" "&amp;T794)))),"PRIVATE_QUARANTINE",IF(OR(ISNUMBER(SEARCH("treasury",LOWER(F794&amp;" "&amp;H794&amp;" "&amp;I794&amp;" "&amp;M794&amp;" "&amp;N794&amp;" "&amp;T794))),ISNUMBER(SEARCH("debt",LOWER(F794&amp;" "&amp;H794&amp;" "&amp;I794&amp;" "&amp;M794&amp;" "&amp;N794&amp;" "&amp;T794))),ISNUMBER(SEARCH("bond",LOWER(F794&amp;" "&amp;H794&amp;" "&amp;I794&amp;" "&amp;M794&amp;" "&amp;N794&amp;" "&amp;T794))),ISNUMBER(SEARCH("transaction",LOWER(F794&amp;" "&amp;H794&amp;" "&amp;I794&amp;" "&amp;M794&amp;" "&amp;N794&amp;" "&amp;T794)))),"PRIVATE_REVIEW","PUBLIC_CANDIDATE"))</x:f>
        <x:v>PUBLIC_CANDIDATE</x:v>
      </x:c>
      <x:c r="AD794" s="12" t="str">
        <x:f>IF(AC794="PRIVATE_QUARANTINE","hacker_or_bank_trigger",IF(AC794="PRIVATE_REVIEW","finance_risk_trigger","none"))</x:f>
        <x:v>none</x:v>
      </x:c>
      <x:c r="AE794" s="12" t="str">
        <x:f>IF(AC794="PUBLIC_CANDIDATE","prepare_public_github_candidate",IF(AC794="PRIVATE_REVIEW","hold_for_private_review","quarantine_private_do_not_publish"))</x:f>
        <x:v>prepare_public_github_candidate</x:v>
      </x:c>
      <x:c r="AF794" s="12" t="str">
        <x:f>IF(AC794="PUBLIC_CANDIDATE","TIDELOCK + Lucerna",IF(AC794="PRIVATE_REVIEW","AtlasBrain + Lucerna","TIDELOCK + Lucerna + Human-root"))</x:f>
        <x:v>TIDELOCK + Lucerna</x:v>
      </x:c>
      <x:c r="AG794" s="12" t="str">
        <x:f>IF(AND(AC794="PUBLIC_CANDIDATE",U794&lt;&gt;"BLOCKED_PENDING_RECEIPT"),"READY_AFTER_RECEIPT","NOT_READY")</x:f>
        <x:v>NOT_READY</x:v>
      </x:c>
      <x:c r="AH794" s="12" t="str">
        <x:f>IF(AC794="PUBLIC_CANDIDATE","none",AD794)</x:f>
        <x:v>none</x:v>
      </x:c>
      <x:c r="AI794" s="12" t="str">
        <x:f>IF(AC794="PUBLIC_CANDIDATE","archive/public_candidates/"&amp;A794,"private_quarantine/"&amp;A794)</x:f>
        <x:v>archive/public_candidates/SWARM-06-H07-S01</x:v>
      </x:c>
      <x:c r="AJ794" s="12" t="str">
        <x:f>IF(AC794="PUBLIC_CANDIDATE","public by default; still not canon","private/hold; do not publish")</x:f>
        <x:v>public by default; still not canon</x:v>
      </x:c>
      <x:c r="AK794" s="12" t="str">
        <x:f>IF(AE794="prepare_public_github_candidate","add receipt/status then mirror","resolve blocker before any public GitHub action")</x:f>
        <x:v>add receipt/status then mirror</x:v>
      </x:c>
    </x:row>
    <x:row r="795">
      <x:c r="A795" s="15" t="str">
        <x:v>SWARM-06-H07-S02</x:v>
      </x:c>
      <x:c r="B795" s="15" t="str">
        <x:v>Forgekid</x:v>
      </x:c>
      <x:c r="C795" s="15" t="str">
        <x:v>Aetherforge UX builder</x:v>
      </x:c>
      <x:c r="D795" s="15" t="str">
        <x:v>Graph Node Proposals</x:v>
      </x:c>
      <x:c r="E795" s="15" t="str">
        <x:v>Drive</x:v>
      </x:c>
      <x:c r="F795" s="15" t="str">
        <x:v>Propose graph nodes for Drive — Forgekid</x:v>
      </x:c>
      <x:c r="G795" s="15" t="str">
        <x:v>quest cards / task cards / board affordances</x:v>
      </x:c>
      <x:c r="H795" s="15" t="str">
        <x:v>source path + receipt + raw/export status + claim/edge/risk delta</x:v>
      </x:c>
      <x:c r="I795" s="15" t="str">
        <x:v>packet/SWARM-06-H07-S02</x:v>
      </x:c>
      <x:c r="J795" s="15" t="str">
        <x:v>TODO</x:v>
      </x:c>
      <x:c r="K795" s="15" t="str">
        <x:v>P0</x:v>
      </x:c>
      <x:c r="L795" s="15" t="str">
        <x:v>Done only when evidence is logged, contradiction search is noted, and boundary stamp remains non-canon unless ratified</x:v>
      </x:c>
      <x:c r="M795" s="15" t="str">
        <x:v>candidate / staging-only / not canon / not deployed / authority none</x:v>
      </x:c>
      <x:c r="N795" s="15" t="str">
        <x:v>Dispatch to Forgekid: complete Graph Node Proposals x Drive; return deltas only, receipts required.</x:v>
      </x:c>
      <x:c r="O795" s="15" t="str">
        <x:v>AF-KG-H07-S02</x:v>
      </x:c>
      <x:c r="P795" s="15" t="str">
        <x:v>Unverified</x:v>
      </x:c>
      <x:c r="Q795" s="15" t="str">
        <x:v>Not checked</x:v>
      </x:c>
      <x:c r="R795" s="15" t="str"/>
      <x:c r="S795" s="15" t="str"/>
      <x:c r="T795" s="15" t="str">
        <x:v>Log first source path or blocker</x:v>
      </x:c>
      <x:c r="U795" s="12" t="str">
        <x:f>IF(OR(P795="Unverified",Q795="Not checked"),"BLOCKED_PENDING_RECEIPT","READY_FOR_REVIEW")</x:f>
        <x:v>BLOCKED_PENDING_RECEIPT</x:v>
      </x:c>
      <x:c r="V795" s="12" t="str">
        <x:f>IF(J795="DONE","RETURNED",IF(U795="BLOCKED_PENDING_RECEIPT","SOURCE_TOUCH_REQUIRED","IN_PROGRESS"))</x:f>
        <x:v>SOURCE_TOUCH_REQUIRED</x:v>
      </x:c>
      <x:c r="W795" s="12" t="str">
        <x:f>IF(P795="Unverified","missing_receipt","receipt_logged")</x:f>
        <x:v>missing_receipt</x:v>
      </x:c>
      <x:c r="X795" s="12" t="str">
        <x:f>IF(Q795="Not checked","raw_status_missing","raw_status_logged")</x:f>
        <x:v>raw_status_missing</x:v>
      </x:c>
      <x:c r="Y795" s="12" t="str">
        <x:f>IF(U795="BLOCKED_PENDING_RECEIPT","Log source path or blocker; do not promote","Route to review lane")</x:f>
        <x:v>Log source path or blocker; do not promote</x:v>
      </x:c>
      <x:c r="Z795" s="12" t="str">
        <x:f>IF(K795="P0","Primary seat + Hashlight/Lucerna","Seat lane")</x:f>
        <x:v>Primary seat + Hashlight/Lucerna</x:v>
      </x:c>
      <x:c r="AA795" s="12" t="str">
        <x:f>IF(R795="","no_claim_delta","claim_delta_present")</x:f>
        <x:v>no_claim_delta</x:v>
      </x:c>
      <x:c r="AB795" s="12" t="str">
        <x:f>IF(S795="","no_contradiction_delta","contradiction_delta_present")</x:f>
        <x:v>no_contradiction_delta</x:v>
      </x:c>
      <x:c r="AC795" s="12" t="str">
        <x:f>IF(OR(ISNUMBER(SEARCH("hacker",LOWER(F795&amp;" "&amp;H795&amp;" "&amp;I795&amp;" "&amp;M795&amp;" "&amp;N795&amp;" "&amp;T795))),ISNUMBER(SEARCH("hacking",LOWER(F795&amp;" "&amp;H795&amp;" "&amp;I795&amp;" "&amp;M795&amp;" "&amp;N795&amp;" "&amp;T795))),ISNUMBER(SEARCH("bank",LOWER(F795&amp;" "&amp;H795&amp;" "&amp;I795&amp;" "&amp;M795&amp;" "&amp;N795&amp;" "&amp;T795))),ISNUMBER(SEARCH("banking",LOWER(F795&amp;" "&amp;H795&amp;" "&amp;I795&amp;" "&amp;M795&amp;" "&amp;N795&amp;" "&amp;T795)))),"PRIVATE_QUARANTINE",IF(OR(ISNUMBER(SEARCH("treasury",LOWER(F795&amp;" "&amp;H795&amp;" "&amp;I795&amp;" "&amp;M795&amp;" "&amp;N795&amp;" "&amp;T795))),ISNUMBER(SEARCH("debt",LOWER(F795&amp;" "&amp;H795&amp;" "&amp;I795&amp;" "&amp;M795&amp;" "&amp;N795&amp;" "&amp;T795))),ISNUMBER(SEARCH("bond",LOWER(F795&amp;" "&amp;H795&amp;" "&amp;I795&amp;" "&amp;M795&amp;" "&amp;N795&amp;" "&amp;T795))),ISNUMBER(SEARCH("transaction",LOWER(F795&amp;" "&amp;H795&amp;" "&amp;I795&amp;" "&amp;M795&amp;" "&amp;N795&amp;" "&amp;T795)))),"PRIVATE_REVIEW","PUBLIC_CANDIDATE"))</x:f>
        <x:v>PUBLIC_CANDIDATE</x:v>
      </x:c>
      <x:c r="AD795" s="12" t="str">
        <x:f>IF(AC795="PRIVATE_QUARANTINE","hacker_or_bank_trigger",IF(AC795="PRIVATE_REVIEW","finance_risk_trigger","none"))</x:f>
        <x:v>none</x:v>
      </x:c>
      <x:c r="AE795" s="12" t="str">
        <x:f>IF(AC795="PUBLIC_CANDIDATE","prepare_public_github_candidate",IF(AC795="PRIVATE_REVIEW","hold_for_private_review","quarantine_private_do_not_publish"))</x:f>
        <x:v>prepare_public_github_candidate</x:v>
      </x:c>
      <x:c r="AF795" s="12" t="str">
        <x:f>IF(AC795="PUBLIC_CANDIDATE","TIDELOCK + Lucerna",IF(AC795="PRIVATE_REVIEW","AtlasBrain + Lucerna","TIDELOCK + Lucerna + Human-root"))</x:f>
        <x:v>TIDELOCK + Lucerna</x:v>
      </x:c>
      <x:c r="AG795" s="12" t="str">
        <x:f>IF(AND(AC795="PUBLIC_CANDIDATE",U795&lt;&gt;"BLOCKED_PENDING_RECEIPT"),"READY_AFTER_RECEIPT","NOT_READY")</x:f>
        <x:v>NOT_READY</x:v>
      </x:c>
      <x:c r="AH795" s="12" t="str">
        <x:f>IF(AC795="PUBLIC_CANDIDATE","none",AD795)</x:f>
        <x:v>none</x:v>
      </x:c>
      <x:c r="AI795" s="12" t="str">
        <x:f>IF(AC795="PUBLIC_CANDIDATE","archive/public_candidates/"&amp;A795,"private_quarantine/"&amp;A795)</x:f>
        <x:v>archive/public_candidates/SWARM-06-H07-S02</x:v>
      </x:c>
      <x:c r="AJ795" s="12" t="str">
        <x:f>IF(AC795="PUBLIC_CANDIDATE","public by default; still not canon","private/hold; do not publish")</x:f>
        <x:v>public by default; still not canon</x:v>
      </x:c>
      <x:c r="AK795" s="12" t="str">
        <x:f>IF(AE795="prepare_public_github_candidate","add receipt/status then mirror","resolve blocker before any public GitHub action")</x:f>
        <x:v>add receipt/status then mirror</x:v>
      </x:c>
    </x:row>
    <x:row r="796">
      <x:c r="A796" s="15" t="str">
        <x:v>SWARM-06-H07-S03</x:v>
      </x:c>
      <x:c r="B796" s="15" t="str">
        <x:v>Forgekid</x:v>
      </x:c>
      <x:c r="C796" s="15" t="str">
        <x:v>Aetherforge UX builder</x:v>
      </x:c>
      <x:c r="D796" s="15" t="str">
        <x:v>Graph Node Proposals</x:v>
      </x:c>
      <x:c r="E796" s="15" t="str">
        <x:v>GitHub</x:v>
      </x:c>
      <x:c r="F796" s="15" t="str">
        <x:v>Propose graph nodes for GitHub — Forgekid</x:v>
      </x:c>
      <x:c r="G796" s="15" t="str">
        <x:v>quest cards / task cards / board affordances</x:v>
      </x:c>
      <x:c r="H796" s="15" t="str">
        <x:v>source path + receipt + raw/export status + claim/edge/risk delta</x:v>
      </x:c>
      <x:c r="I796" s="15" t="str">
        <x:v>packet/SWARM-06-H07-S03</x:v>
      </x:c>
      <x:c r="J796" s="15" t="str">
        <x:v>TODO</x:v>
      </x:c>
      <x:c r="K796" s="15" t="str">
        <x:v>P0</x:v>
      </x:c>
      <x:c r="L796" s="15" t="str">
        <x:v>Done only when evidence is logged, contradiction search is noted, and boundary stamp remains non-canon unless ratified</x:v>
      </x:c>
      <x:c r="M796" s="15" t="str">
        <x:v>candidate / staging-only / not canon / not deployed / authority none</x:v>
      </x:c>
      <x:c r="N796" s="15" t="str">
        <x:v>Dispatch to Forgekid: complete Graph Node Proposals x GitHub; return deltas only, receipts required.</x:v>
      </x:c>
      <x:c r="O796" s="15" t="str">
        <x:v>AF-KG-H07-S03</x:v>
      </x:c>
      <x:c r="P796" s="15" t="str">
        <x:v>Unverified</x:v>
      </x:c>
      <x:c r="Q796" s="15" t="str">
        <x:v>Not checked</x:v>
      </x:c>
      <x:c r="R796" s="15" t="str"/>
      <x:c r="S796" s="15" t="str"/>
      <x:c r="T796" s="15" t="str">
        <x:v>Log first source path or blocker</x:v>
      </x:c>
      <x:c r="U796" s="12" t="str">
        <x:f>IF(OR(P796="Unverified",Q796="Not checked"),"BLOCKED_PENDING_RECEIPT","READY_FOR_REVIEW")</x:f>
        <x:v>BLOCKED_PENDING_RECEIPT</x:v>
      </x:c>
      <x:c r="V796" s="12" t="str">
        <x:f>IF(J796="DONE","RETURNED",IF(U796="BLOCKED_PENDING_RECEIPT","SOURCE_TOUCH_REQUIRED","IN_PROGRESS"))</x:f>
        <x:v>SOURCE_TOUCH_REQUIRED</x:v>
      </x:c>
      <x:c r="W796" s="12" t="str">
        <x:f>IF(P796="Unverified","missing_receipt","receipt_logged")</x:f>
        <x:v>missing_receipt</x:v>
      </x:c>
      <x:c r="X796" s="12" t="str">
        <x:f>IF(Q796="Not checked","raw_status_missing","raw_status_logged")</x:f>
        <x:v>raw_status_missing</x:v>
      </x:c>
      <x:c r="Y796" s="12" t="str">
        <x:f>IF(U796="BLOCKED_PENDING_RECEIPT","Log source path or blocker; do not promote","Route to review lane")</x:f>
        <x:v>Log source path or blocker; do not promote</x:v>
      </x:c>
      <x:c r="Z796" s="12" t="str">
        <x:f>IF(K796="P0","Primary seat + Hashlight/Lucerna","Seat lane")</x:f>
        <x:v>Primary seat + Hashlight/Lucerna</x:v>
      </x:c>
      <x:c r="AA796" s="12" t="str">
        <x:f>IF(R796="","no_claim_delta","claim_delta_present")</x:f>
        <x:v>no_claim_delta</x:v>
      </x:c>
      <x:c r="AB796" s="12" t="str">
        <x:f>IF(S796="","no_contradiction_delta","contradiction_delta_present")</x:f>
        <x:v>no_contradiction_delta</x:v>
      </x:c>
      <x:c r="AC796" s="12" t="str">
        <x:f>IF(OR(ISNUMBER(SEARCH("hacker",LOWER(F796&amp;" "&amp;H796&amp;" "&amp;I796&amp;" "&amp;M796&amp;" "&amp;N796&amp;" "&amp;T796))),ISNUMBER(SEARCH("hacking",LOWER(F796&amp;" "&amp;H796&amp;" "&amp;I796&amp;" "&amp;M796&amp;" "&amp;N796&amp;" "&amp;T796))),ISNUMBER(SEARCH("bank",LOWER(F796&amp;" "&amp;H796&amp;" "&amp;I796&amp;" "&amp;M796&amp;" "&amp;N796&amp;" "&amp;T796))),ISNUMBER(SEARCH("banking",LOWER(F796&amp;" "&amp;H796&amp;" "&amp;I796&amp;" "&amp;M796&amp;" "&amp;N796&amp;" "&amp;T796)))),"PRIVATE_QUARANTINE",IF(OR(ISNUMBER(SEARCH("treasury",LOWER(F796&amp;" "&amp;H796&amp;" "&amp;I796&amp;" "&amp;M796&amp;" "&amp;N796&amp;" "&amp;T796))),ISNUMBER(SEARCH("debt",LOWER(F796&amp;" "&amp;H796&amp;" "&amp;I796&amp;" "&amp;M796&amp;" "&amp;N796&amp;" "&amp;T796))),ISNUMBER(SEARCH("bond",LOWER(F796&amp;" "&amp;H796&amp;" "&amp;I796&amp;" "&amp;M796&amp;" "&amp;N796&amp;" "&amp;T796))),ISNUMBER(SEARCH("transaction",LOWER(F796&amp;" "&amp;H796&amp;" "&amp;I796&amp;" "&amp;M796&amp;" "&amp;N796&amp;" "&amp;T796)))),"PRIVATE_REVIEW","PUBLIC_CANDIDATE"))</x:f>
        <x:v>PUBLIC_CANDIDATE</x:v>
      </x:c>
      <x:c r="AD796" s="12" t="str">
        <x:f>IF(AC796="PRIVATE_QUARANTINE","hacker_or_bank_trigger",IF(AC796="PRIVATE_REVIEW","finance_risk_trigger","none"))</x:f>
        <x:v>none</x:v>
      </x:c>
      <x:c r="AE796" s="12" t="str">
        <x:f>IF(AC796="PUBLIC_CANDIDATE","prepare_public_github_candidate",IF(AC796="PRIVATE_REVIEW","hold_for_private_review","quarantine_private_do_not_publish"))</x:f>
        <x:v>prepare_public_github_candidate</x:v>
      </x:c>
      <x:c r="AF796" s="12" t="str">
        <x:f>IF(AC796="PUBLIC_CANDIDATE","TIDELOCK + Lucerna",IF(AC796="PRIVATE_REVIEW","AtlasBrain + Lucerna","TIDELOCK + Lucerna + Human-root"))</x:f>
        <x:v>TIDELOCK + Lucerna</x:v>
      </x:c>
      <x:c r="AG796" s="12" t="str">
        <x:f>IF(AND(AC796="PUBLIC_CANDIDATE",U796&lt;&gt;"BLOCKED_PENDING_RECEIPT"),"READY_AFTER_RECEIPT","NOT_READY")</x:f>
        <x:v>NOT_READY</x:v>
      </x:c>
      <x:c r="AH796" s="12" t="str">
        <x:f>IF(AC796="PUBLIC_CANDIDATE","none",AD796)</x:f>
        <x:v>none</x:v>
      </x:c>
      <x:c r="AI796" s="12" t="str">
        <x:f>IF(AC796="PUBLIC_CANDIDATE","archive/public_candidates/"&amp;A796,"private_quarantine/"&amp;A796)</x:f>
        <x:v>archive/public_candidates/SWARM-06-H07-S03</x:v>
      </x:c>
      <x:c r="AJ796" s="12" t="str">
        <x:f>IF(AC796="PUBLIC_CANDIDATE","public by default; still not canon","private/hold; do not publish")</x:f>
        <x:v>public by default; still not canon</x:v>
      </x:c>
      <x:c r="AK796" s="12" t="str">
        <x:f>IF(AE796="prepare_public_github_candidate","add receipt/status then mirror","resolve blocker before any public GitHub action")</x:f>
        <x:v>add receipt/status then mirror</x:v>
      </x:c>
    </x:row>
    <x:row r="797">
      <x:c r="A797" s="15" t="str">
        <x:v>SWARM-06-H07-S04</x:v>
      </x:c>
      <x:c r="B797" s="15" t="str">
        <x:v>Forgekid</x:v>
      </x:c>
      <x:c r="C797" s="15" t="str">
        <x:v>Aetherforge UX builder</x:v>
      </x:c>
      <x:c r="D797" s="15" t="str">
        <x:v>Graph Node Proposals</x:v>
      </x:c>
      <x:c r="E797" s="15" t="str">
        <x:v>Gamma</x:v>
      </x:c>
      <x:c r="F797" s="15" t="str">
        <x:v>Propose graph nodes for Gamma — Forgekid</x:v>
      </x:c>
      <x:c r="G797" s="15" t="str">
        <x:v>quest cards / task cards / board affordances</x:v>
      </x:c>
      <x:c r="H797" s="15" t="str">
        <x:v>source path + receipt + raw/export status + claim/edge/risk delta</x:v>
      </x:c>
      <x:c r="I797" s="15" t="str">
        <x:v>packet/SWARM-06-H07-S04</x:v>
      </x:c>
      <x:c r="J797" s="15" t="str">
        <x:v>TODO</x:v>
      </x:c>
      <x:c r="K797" s="15" t="str">
        <x:v>P1</x:v>
      </x:c>
      <x:c r="L797" s="15" t="str">
        <x:v>Done only when evidence is logged, contradiction search is noted, and boundary stamp remains non-canon unless ratified</x:v>
      </x:c>
      <x:c r="M797" s="15" t="str">
        <x:v>candidate / staging-only / not canon / not deployed / authority none</x:v>
      </x:c>
      <x:c r="N797" s="15" t="str">
        <x:v>Dispatch to Forgekid: complete Graph Node Proposals x Gamma; return deltas only, receipts required.</x:v>
      </x:c>
      <x:c r="O797" s="15" t="str">
        <x:v>AF-KG-H07-S04</x:v>
      </x:c>
      <x:c r="P797" s="15" t="str">
        <x:v>Unverified</x:v>
      </x:c>
      <x:c r="Q797" s="15" t="str">
        <x:v>Not checked</x:v>
      </x:c>
      <x:c r="R797" s="15" t="str"/>
      <x:c r="S797" s="15" t="str"/>
      <x:c r="T797" s="15" t="str">
        <x:v>Log first source path or blocker</x:v>
      </x:c>
      <x:c r="U797" s="12" t="str">
        <x:f>IF(OR(P797="Unverified",Q797="Not checked"),"BLOCKED_PENDING_RECEIPT","READY_FOR_REVIEW")</x:f>
        <x:v>BLOCKED_PENDING_RECEIPT</x:v>
      </x:c>
      <x:c r="V797" s="12" t="str">
        <x:f>IF(J797="DONE","RETURNED",IF(U797="BLOCKED_PENDING_RECEIPT","SOURCE_TOUCH_REQUIRED","IN_PROGRESS"))</x:f>
        <x:v>SOURCE_TOUCH_REQUIRED</x:v>
      </x:c>
      <x:c r="W797" s="12" t="str">
        <x:f>IF(P797="Unverified","missing_receipt","receipt_logged")</x:f>
        <x:v>missing_receipt</x:v>
      </x:c>
      <x:c r="X797" s="12" t="str">
        <x:f>IF(Q797="Not checked","raw_status_missing","raw_status_logged")</x:f>
        <x:v>raw_status_missing</x:v>
      </x:c>
      <x:c r="Y797" s="12" t="str">
        <x:f>IF(U797="BLOCKED_PENDING_RECEIPT","Log source path or blocker; do not promote","Route to review lane")</x:f>
        <x:v>Log source path or blocker; do not promote</x:v>
      </x:c>
      <x:c r="Z797" s="12" t="str">
        <x:f>IF(K797="P0","Primary seat + Hashlight/Lucerna","Seat lane")</x:f>
        <x:v>Seat lane</x:v>
      </x:c>
      <x:c r="AA797" s="12" t="str">
        <x:f>IF(R797="","no_claim_delta","claim_delta_present")</x:f>
        <x:v>no_claim_delta</x:v>
      </x:c>
      <x:c r="AB797" s="12" t="str">
        <x:f>IF(S797="","no_contradiction_delta","contradiction_delta_present")</x:f>
        <x:v>no_contradiction_delta</x:v>
      </x:c>
      <x:c r="AC797" s="12" t="str">
        <x:f>IF(OR(ISNUMBER(SEARCH("hacker",LOWER(F797&amp;" "&amp;H797&amp;" "&amp;I797&amp;" "&amp;M797&amp;" "&amp;N797&amp;" "&amp;T797))),ISNUMBER(SEARCH("hacking",LOWER(F797&amp;" "&amp;H797&amp;" "&amp;I797&amp;" "&amp;M797&amp;" "&amp;N797&amp;" "&amp;T797))),ISNUMBER(SEARCH("bank",LOWER(F797&amp;" "&amp;H797&amp;" "&amp;I797&amp;" "&amp;M797&amp;" "&amp;N797&amp;" "&amp;T797))),ISNUMBER(SEARCH("banking",LOWER(F797&amp;" "&amp;H797&amp;" "&amp;I797&amp;" "&amp;M797&amp;" "&amp;N797&amp;" "&amp;T797)))),"PRIVATE_QUARANTINE",IF(OR(ISNUMBER(SEARCH("treasury",LOWER(F797&amp;" "&amp;H797&amp;" "&amp;I797&amp;" "&amp;M797&amp;" "&amp;N797&amp;" "&amp;T797))),ISNUMBER(SEARCH("debt",LOWER(F797&amp;" "&amp;H797&amp;" "&amp;I797&amp;" "&amp;M797&amp;" "&amp;N797&amp;" "&amp;T797))),ISNUMBER(SEARCH("bond",LOWER(F797&amp;" "&amp;H797&amp;" "&amp;I797&amp;" "&amp;M797&amp;" "&amp;N797&amp;" "&amp;T797))),ISNUMBER(SEARCH("transaction",LOWER(F797&amp;" "&amp;H797&amp;" "&amp;I797&amp;" "&amp;M797&amp;" "&amp;N797&amp;" "&amp;T797)))),"PRIVATE_REVIEW","PUBLIC_CANDIDATE"))</x:f>
        <x:v>PUBLIC_CANDIDATE</x:v>
      </x:c>
      <x:c r="AD797" s="12" t="str">
        <x:f>IF(AC797="PRIVATE_QUARANTINE","hacker_or_bank_trigger",IF(AC797="PRIVATE_REVIEW","finance_risk_trigger","none"))</x:f>
        <x:v>none</x:v>
      </x:c>
      <x:c r="AE797" s="12" t="str">
        <x:f>IF(AC797="PUBLIC_CANDIDATE","prepare_public_github_candidate",IF(AC797="PRIVATE_REVIEW","hold_for_private_review","quarantine_private_do_not_publish"))</x:f>
        <x:v>prepare_public_github_candidate</x:v>
      </x:c>
      <x:c r="AF797" s="12" t="str">
        <x:f>IF(AC797="PUBLIC_CANDIDATE","TIDELOCK + Lucerna",IF(AC797="PRIVATE_REVIEW","AtlasBrain + Lucerna","TIDELOCK + Lucerna + Human-root"))</x:f>
        <x:v>TIDELOCK + Lucerna</x:v>
      </x:c>
      <x:c r="AG797" s="12" t="str">
        <x:f>IF(AND(AC797="PUBLIC_CANDIDATE",U797&lt;&gt;"BLOCKED_PENDING_RECEIPT"),"READY_AFTER_RECEIPT","NOT_READY")</x:f>
        <x:v>NOT_READY</x:v>
      </x:c>
      <x:c r="AH797" s="12" t="str">
        <x:f>IF(AC797="PUBLIC_CANDIDATE","none",AD797)</x:f>
        <x:v>none</x:v>
      </x:c>
      <x:c r="AI797" s="12" t="str">
        <x:f>IF(AC797="PUBLIC_CANDIDATE","archive/public_candidates/"&amp;A797,"private_quarantine/"&amp;A797)</x:f>
        <x:v>archive/public_candidates/SWARM-06-H07-S04</x:v>
      </x:c>
      <x:c r="AJ797" s="12" t="str">
        <x:f>IF(AC797="PUBLIC_CANDIDATE","public by default; still not canon","private/hold; do not publish")</x:f>
        <x:v>public by default; still not canon</x:v>
      </x:c>
      <x:c r="AK797" s="12" t="str">
        <x:f>IF(AE797="prepare_public_github_candidate","add receipt/status then mirror","resolve blocker before any public GitHub action")</x:f>
        <x:v>add receipt/status then mirror</x:v>
      </x:c>
    </x:row>
    <x:row r="798">
      <x:c r="A798" s="15" t="str">
        <x:v>SWARM-06-H07-S05</x:v>
      </x:c>
      <x:c r="B798" s="15" t="str">
        <x:v>Forgekid</x:v>
      </x:c>
      <x:c r="C798" s="15" t="str">
        <x:v>Aetherforge UX builder</x:v>
      </x:c>
      <x:c r="D798" s="15" t="str">
        <x:v>Graph Node Proposals</x:v>
      </x:c>
      <x:c r="E798" s="15" t="str">
        <x:v>Chat</x:v>
      </x:c>
      <x:c r="F798" s="15" t="str">
        <x:v>Propose graph nodes for Chat — Forgekid</x:v>
      </x:c>
      <x:c r="G798" s="15" t="str">
        <x:v>quest cards / task cards / board affordances</x:v>
      </x:c>
      <x:c r="H798" s="15" t="str">
        <x:v>source path + receipt + raw/export status + claim/edge/risk delta</x:v>
      </x:c>
      <x:c r="I798" s="15" t="str">
        <x:v>packet/SWARM-06-H07-S05</x:v>
      </x:c>
      <x:c r="J798" s="15" t="str">
        <x:v>TODO</x:v>
      </x:c>
      <x:c r="K798" s="15" t="str">
        <x:v>P1</x:v>
      </x:c>
      <x:c r="L798" s="15" t="str">
        <x:v>Done only when evidence is logged, contradiction search is noted, and boundary stamp remains non-canon unless ratified</x:v>
      </x:c>
      <x:c r="M798" s="15" t="str">
        <x:v>candidate / staging-only / not canon / not deployed / authority none</x:v>
      </x:c>
      <x:c r="N798" s="15" t="str">
        <x:v>Dispatch to Forgekid: complete Graph Node Proposals x Chat; return deltas only, receipts required.</x:v>
      </x:c>
      <x:c r="O798" s="15" t="str">
        <x:v>AF-KG-H07-S05</x:v>
      </x:c>
      <x:c r="P798" s="15" t="str">
        <x:v>Unverified</x:v>
      </x:c>
      <x:c r="Q798" s="15" t="str">
        <x:v>Not checked</x:v>
      </x:c>
      <x:c r="R798" s="15" t="str"/>
      <x:c r="S798" s="15" t="str"/>
      <x:c r="T798" s="15" t="str">
        <x:v>Log first source path or blocker</x:v>
      </x:c>
      <x:c r="U798" s="12" t="str">
        <x:f>IF(OR(P798="Unverified",Q798="Not checked"),"BLOCKED_PENDING_RECEIPT","READY_FOR_REVIEW")</x:f>
        <x:v>BLOCKED_PENDING_RECEIPT</x:v>
      </x:c>
      <x:c r="V798" s="12" t="str">
        <x:f>IF(J798="DONE","RETURNED",IF(U798="BLOCKED_PENDING_RECEIPT","SOURCE_TOUCH_REQUIRED","IN_PROGRESS"))</x:f>
        <x:v>SOURCE_TOUCH_REQUIRED</x:v>
      </x:c>
      <x:c r="W798" s="12" t="str">
        <x:f>IF(P798="Unverified","missing_receipt","receipt_logged")</x:f>
        <x:v>missing_receipt</x:v>
      </x:c>
      <x:c r="X798" s="12" t="str">
        <x:f>IF(Q798="Not checked","raw_status_missing","raw_status_logged")</x:f>
        <x:v>raw_status_missing</x:v>
      </x:c>
      <x:c r="Y798" s="12" t="str">
        <x:f>IF(U798="BLOCKED_PENDING_RECEIPT","Log source path or blocker; do not promote","Route to review lane")</x:f>
        <x:v>Log source path or blocker; do not promote</x:v>
      </x:c>
      <x:c r="Z798" s="12" t="str">
        <x:f>IF(K798="P0","Primary seat + Hashlight/Lucerna","Seat lane")</x:f>
        <x:v>Seat lane</x:v>
      </x:c>
      <x:c r="AA798" s="12" t="str">
        <x:f>IF(R798="","no_claim_delta","claim_delta_present")</x:f>
        <x:v>no_claim_delta</x:v>
      </x:c>
      <x:c r="AB798" s="12" t="str">
        <x:f>IF(S798="","no_contradiction_delta","contradiction_delta_present")</x:f>
        <x:v>no_contradiction_delta</x:v>
      </x:c>
      <x:c r="AC798" s="12" t="str">
        <x:f>IF(OR(ISNUMBER(SEARCH("hacker",LOWER(F798&amp;" "&amp;H798&amp;" "&amp;I798&amp;" "&amp;M798&amp;" "&amp;N798&amp;" "&amp;T798))),ISNUMBER(SEARCH("hacking",LOWER(F798&amp;" "&amp;H798&amp;" "&amp;I798&amp;" "&amp;M798&amp;" "&amp;N798&amp;" "&amp;T798))),ISNUMBER(SEARCH("bank",LOWER(F798&amp;" "&amp;H798&amp;" "&amp;I798&amp;" "&amp;M798&amp;" "&amp;N798&amp;" "&amp;T798))),ISNUMBER(SEARCH("banking",LOWER(F798&amp;" "&amp;H798&amp;" "&amp;I798&amp;" "&amp;M798&amp;" "&amp;N798&amp;" "&amp;T798)))),"PRIVATE_QUARANTINE",IF(OR(ISNUMBER(SEARCH("treasury",LOWER(F798&amp;" "&amp;H798&amp;" "&amp;I798&amp;" "&amp;M798&amp;" "&amp;N798&amp;" "&amp;T798))),ISNUMBER(SEARCH("debt",LOWER(F798&amp;" "&amp;H798&amp;" "&amp;I798&amp;" "&amp;M798&amp;" "&amp;N798&amp;" "&amp;T798))),ISNUMBER(SEARCH("bond",LOWER(F798&amp;" "&amp;H798&amp;" "&amp;I798&amp;" "&amp;M798&amp;" "&amp;N798&amp;" "&amp;T798))),ISNUMBER(SEARCH("transaction",LOWER(F798&amp;" "&amp;H798&amp;" "&amp;I798&amp;" "&amp;M798&amp;" "&amp;N798&amp;" "&amp;T798)))),"PRIVATE_REVIEW","PUBLIC_CANDIDATE"))</x:f>
        <x:v>PUBLIC_CANDIDATE</x:v>
      </x:c>
      <x:c r="AD798" s="12" t="str">
        <x:f>IF(AC798="PRIVATE_QUARANTINE","hacker_or_bank_trigger",IF(AC798="PRIVATE_REVIEW","finance_risk_trigger","none"))</x:f>
        <x:v>none</x:v>
      </x:c>
      <x:c r="AE798" s="12" t="str">
        <x:f>IF(AC798="PUBLIC_CANDIDATE","prepare_public_github_candidate",IF(AC798="PRIVATE_REVIEW","hold_for_private_review","quarantine_private_do_not_publish"))</x:f>
        <x:v>prepare_public_github_candidate</x:v>
      </x:c>
      <x:c r="AF798" s="12" t="str">
        <x:f>IF(AC798="PUBLIC_CANDIDATE","TIDELOCK + Lucerna",IF(AC798="PRIVATE_REVIEW","AtlasBrain + Lucerna","TIDELOCK + Lucerna + Human-root"))</x:f>
        <x:v>TIDELOCK + Lucerna</x:v>
      </x:c>
      <x:c r="AG798" s="12" t="str">
        <x:f>IF(AND(AC798="PUBLIC_CANDIDATE",U798&lt;&gt;"BLOCKED_PENDING_RECEIPT"),"READY_AFTER_RECEIPT","NOT_READY")</x:f>
        <x:v>NOT_READY</x:v>
      </x:c>
      <x:c r="AH798" s="12" t="str">
        <x:f>IF(AC798="PUBLIC_CANDIDATE","none",AD798)</x:f>
        <x:v>none</x:v>
      </x:c>
      <x:c r="AI798" s="12" t="str">
        <x:f>IF(AC798="PUBLIC_CANDIDATE","archive/public_candidates/"&amp;A798,"private_quarantine/"&amp;A798)</x:f>
        <x:v>archive/public_candidates/SWARM-06-H07-S05</x:v>
      </x:c>
      <x:c r="AJ798" s="12" t="str">
        <x:f>IF(AC798="PUBLIC_CANDIDATE","public by default; still not canon","private/hold; do not publish")</x:f>
        <x:v>public by default; still not canon</x:v>
      </x:c>
      <x:c r="AK798" s="12" t="str">
        <x:f>IF(AE798="prepare_public_github_candidate","add receipt/status then mirror","resolve blocker before any public GitHub action")</x:f>
        <x:v>add receipt/status then mirror</x:v>
      </x:c>
    </x:row>
    <x:row r="799">
      <x:c r="A799" s="15" t="str">
        <x:v>SWARM-06-H07-S06</x:v>
      </x:c>
      <x:c r="B799" s="15" t="str">
        <x:v>Forgekid</x:v>
      </x:c>
      <x:c r="C799" s="15" t="str">
        <x:v>Aetherforge UX builder</x:v>
      </x:c>
      <x:c r="D799" s="15" t="str">
        <x:v>Graph Node Proposals</x:v>
      </x:c>
      <x:c r="E799" s="15" t="str">
        <x:v>External Web</x:v>
      </x:c>
      <x:c r="F799" s="15" t="str">
        <x:v>Propose graph nodes for External Web — Forgekid</x:v>
      </x:c>
      <x:c r="G799" s="15" t="str">
        <x:v>quest cards / task cards / board affordances</x:v>
      </x:c>
      <x:c r="H799" s="15" t="str">
        <x:v>source path + receipt + raw/export status + claim/edge/risk delta</x:v>
      </x:c>
      <x:c r="I799" s="15" t="str">
        <x:v>packet/SWARM-06-H07-S06</x:v>
      </x:c>
      <x:c r="J799" s="15" t="str">
        <x:v>TODO</x:v>
      </x:c>
      <x:c r="K799" s="15" t="str">
        <x:v>P1</x:v>
      </x:c>
      <x:c r="L799" s="15" t="str">
        <x:v>Done only when evidence is logged, contradiction search is noted, and boundary stamp remains non-canon unless ratified</x:v>
      </x:c>
      <x:c r="M799" s="15" t="str">
        <x:v>candidate / staging-only / not canon / not deployed / authority none</x:v>
      </x:c>
      <x:c r="N799" s="15" t="str">
        <x:v>Dispatch to Forgekid: complete Graph Node Proposals x External Web; return deltas only, receipts required.</x:v>
      </x:c>
      <x:c r="O799" s="15" t="str">
        <x:v>AF-KG-H07-S06</x:v>
      </x:c>
      <x:c r="P799" s="15" t="str">
        <x:v>Unverified</x:v>
      </x:c>
      <x:c r="Q799" s="15" t="str">
        <x:v>Not checked</x:v>
      </x:c>
      <x:c r="R799" s="15" t="str"/>
      <x:c r="S799" s="15" t="str"/>
      <x:c r="T799" s="15" t="str">
        <x:v>Log first source path or blocker</x:v>
      </x:c>
      <x:c r="U799" s="12" t="str">
        <x:f>IF(OR(P799="Unverified",Q799="Not checked"),"BLOCKED_PENDING_RECEIPT","READY_FOR_REVIEW")</x:f>
        <x:v>BLOCKED_PENDING_RECEIPT</x:v>
      </x:c>
      <x:c r="V799" s="12" t="str">
        <x:f>IF(J799="DONE","RETURNED",IF(U799="BLOCKED_PENDING_RECEIPT","SOURCE_TOUCH_REQUIRED","IN_PROGRESS"))</x:f>
        <x:v>SOURCE_TOUCH_REQUIRED</x:v>
      </x:c>
      <x:c r="W799" s="12" t="str">
        <x:f>IF(P799="Unverified","missing_receipt","receipt_logged")</x:f>
        <x:v>missing_receipt</x:v>
      </x:c>
      <x:c r="X799" s="12" t="str">
        <x:f>IF(Q799="Not checked","raw_status_missing","raw_status_logged")</x:f>
        <x:v>raw_status_missing</x:v>
      </x:c>
      <x:c r="Y799" s="12" t="str">
        <x:f>IF(U799="BLOCKED_PENDING_RECEIPT","Log source path or blocker; do not promote","Route to review lane")</x:f>
        <x:v>Log source path or blocker; do not promote</x:v>
      </x:c>
      <x:c r="Z799" s="12" t="str">
        <x:f>IF(K799="P0","Primary seat + Hashlight/Lucerna","Seat lane")</x:f>
        <x:v>Seat lane</x:v>
      </x:c>
      <x:c r="AA799" s="12" t="str">
        <x:f>IF(R799="","no_claim_delta","claim_delta_present")</x:f>
        <x:v>no_claim_delta</x:v>
      </x:c>
      <x:c r="AB799" s="12" t="str">
        <x:f>IF(S799="","no_contradiction_delta","contradiction_delta_present")</x:f>
        <x:v>no_contradiction_delta</x:v>
      </x:c>
      <x:c r="AC799" s="12" t="str">
        <x:f>IF(OR(ISNUMBER(SEARCH("hacker",LOWER(F799&amp;" "&amp;H799&amp;" "&amp;I799&amp;" "&amp;M799&amp;" "&amp;N799&amp;" "&amp;T799))),ISNUMBER(SEARCH("hacking",LOWER(F799&amp;" "&amp;H799&amp;" "&amp;I799&amp;" "&amp;M799&amp;" "&amp;N799&amp;" "&amp;T799))),ISNUMBER(SEARCH("bank",LOWER(F799&amp;" "&amp;H799&amp;" "&amp;I799&amp;" "&amp;M799&amp;" "&amp;N799&amp;" "&amp;T799))),ISNUMBER(SEARCH("banking",LOWER(F799&amp;" "&amp;H799&amp;" "&amp;I799&amp;" "&amp;M799&amp;" "&amp;N799&amp;" "&amp;T799)))),"PRIVATE_QUARANTINE",IF(OR(ISNUMBER(SEARCH("treasury",LOWER(F799&amp;" "&amp;H799&amp;" "&amp;I799&amp;" "&amp;M799&amp;" "&amp;N799&amp;" "&amp;T799))),ISNUMBER(SEARCH("debt",LOWER(F799&amp;" "&amp;H799&amp;" "&amp;I799&amp;" "&amp;M799&amp;" "&amp;N799&amp;" "&amp;T799))),ISNUMBER(SEARCH("bond",LOWER(F799&amp;" "&amp;H799&amp;" "&amp;I799&amp;" "&amp;M799&amp;" "&amp;N799&amp;" "&amp;T799))),ISNUMBER(SEARCH("transaction",LOWER(F799&amp;" "&amp;H799&amp;" "&amp;I799&amp;" "&amp;M799&amp;" "&amp;N799&amp;" "&amp;T799)))),"PRIVATE_REVIEW","PUBLIC_CANDIDATE"))</x:f>
        <x:v>PUBLIC_CANDIDATE</x:v>
      </x:c>
      <x:c r="AD799" s="12" t="str">
        <x:f>IF(AC799="PRIVATE_QUARANTINE","hacker_or_bank_trigger",IF(AC799="PRIVATE_REVIEW","finance_risk_trigger","none"))</x:f>
        <x:v>none</x:v>
      </x:c>
      <x:c r="AE799" s="12" t="str">
        <x:f>IF(AC799="PUBLIC_CANDIDATE","prepare_public_github_candidate",IF(AC799="PRIVATE_REVIEW","hold_for_private_review","quarantine_private_do_not_publish"))</x:f>
        <x:v>prepare_public_github_candidate</x:v>
      </x:c>
      <x:c r="AF799" s="12" t="str">
        <x:f>IF(AC799="PUBLIC_CANDIDATE","TIDELOCK + Lucerna",IF(AC799="PRIVATE_REVIEW","AtlasBrain + Lucerna","TIDELOCK + Lucerna + Human-root"))</x:f>
        <x:v>TIDELOCK + Lucerna</x:v>
      </x:c>
      <x:c r="AG799" s="12" t="str">
        <x:f>IF(AND(AC799="PUBLIC_CANDIDATE",U799&lt;&gt;"BLOCKED_PENDING_RECEIPT"),"READY_AFTER_RECEIPT","NOT_READY")</x:f>
        <x:v>NOT_READY</x:v>
      </x:c>
      <x:c r="AH799" s="12" t="str">
        <x:f>IF(AC799="PUBLIC_CANDIDATE","none",AD799)</x:f>
        <x:v>none</x:v>
      </x:c>
      <x:c r="AI799" s="12" t="str">
        <x:f>IF(AC799="PUBLIC_CANDIDATE","archive/public_candidates/"&amp;A799,"private_quarantine/"&amp;A799)</x:f>
        <x:v>archive/public_candidates/SWARM-06-H07-S06</x:v>
      </x:c>
      <x:c r="AJ799" s="12" t="str">
        <x:f>IF(AC799="PUBLIC_CANDIDATE","public by default; still not canon","private/hold; do not publish")</x:f>
        <x:v>public by default; still not canon</x:v>
      </x:c>
      <x:c r="AK799" s="12" t="str">
        <x:f>IF(AE799="prepare_public_github_candidate","add receipt/status then mirror","resolve blocker before any public GitHub action")</x:f>
        <x:v>add receipt/status then mirror</x:v>
      </x:c>
    </x:row>
    <x:row r="800">
      <x:c r="A800" s="15" t="str">
        <x:v>SWARM-06-H07-S07</x:v>
      </x:c>
      <x:c r="B800" s="15" t="str">
        <x:v>Forgekid</x:v>
      </x:c>
      <x:c r="C800" s="15" t="str">
        <x:v>Aetherforge UX builder</x:v>
      </x:c>
      <x:c r="D800" s="15" t="str">
        <x:v>Graph Node Proposals</x:v>
      </x:c>
      <x:c r="E800" s="15" t="str">
        <x:v>Planetarium</x:v>
      </x:c>
      <x:c r="F800" s="15" t="str">
        <x:v>Propose graph nodes for Planetarium — Forgekid</x:v>
      </x:c>
      <x:c r="G800" s="15" t="str">
        <x:v>quest cards / task cards / board affordances</x:v>
      </x:c>
      <x:c r="H800" s="15" t="str">
        <x:v>source path + receipt + raw/export status + claim/edge/risk delta</x:v>
      </x:c>
      <x:c r="I800" s="15" t="str">
        <x:v>packet/SWARM-06-H07-S07</x:v>
      </x:c>
      <x:c r="J800" s="15" t="str">
        <x:v>TODO</x:v>
      </x:c>
      <x:c r="K800" s="15" t="str">
        <x:v>P1</x:v>
      </x:c>
      <x:c r="L800" s="15" t="str">
        <x:v>Done only when evidence is logged, contradiction search is noted, and boundary stamp remains non-canon unless ratified</x:v>
      </x:c>
      <x:c r="M800" s="15" t="str">
        <x:v>candidate / staging-only / not canon / not deployed / authority none</x:v>
      </x:c>
      <x:c r="N800" s="15" t="str">
        <x:v>Dispatch to Forgekid: complete Graph Node Proposals x Planetarium; return deltas only, receipts required.</x:v>
      </x:c>
      <x:c r="O800" s="15" t="str">
        <x:v>AF-KG-H07-S07</x:v>
      </x:c>
      <x:c r="P800" s="15" t="str">
        <x:v>Unverified</x:v>
      </x:c>
      <x:c r="Q800" s="15" t="str">
        <x:v>Not checked</x:v>
      </x:c>
      <x:c r="R800" s="15" t="str"/>
      <x:c r="S800" s="15" t="str"/>
      <x:c r="T800" s="15" t="str">
        <x:v>Log first source path or blocker</x:v>
      </x:c>
      <x:c r="U800" s="12" t="str">
        <x:f>IF(OR(P800="Unverified",Q800="Not checked"),"BLOCKED_PENDING_RECEIPT","READY_FOR_REVIEW")</x:f>
        <x:v>BLOCKED_PENDING_RECEIPT</x:v>
      </x:c>
      <x:c r="V800" s="12" t="str">
        <x:f>IF(J800="DONE","RETURNED",IF(U800="BLOCKED_PENDING_RECEIPT","SOURCE_TOUCH_REQUIRED","IN_PROGRESS"))</x:f>
        <x:v>SOURCE_TOUCH_REQUIRED</x:v>
      </x:c>
      <x:c r="W800" s="12" t="str">
        <x:f>IF(P800="Unverified","missing_receipt","receipt_logged")</x:f>
        <x:v>missing_receipt</x:v>
      </x:c>
      <x:c r="X800" s="12" t="str">
        <x:f>IF(Q800="Not checked","raw_status_missing","raw_status_logged")</x:f>
        <x:v>raw_status_missing</x:v>
      </x:c>
      <x:c r="Y800" s="12" t="str">
        <x:f>IF(U800="BLOCKED_PENDING_RECEIPT","Log source path or blocker; do not promote","Route to review lane")</x:f>
        <x:v>Log source path or blocker; do not promote</x:v>
      </x:c>
      <x:c r="Z800" s="12" t="str">
        <x:f>IF(K800="P0","Primary seat + Hashlight/Lucerna","Seat lane")</x:f>
        <x:v>Seat lane</x:v>
      </x:c>
      <x:c r="AA800" s="12" t="str">
        <x:f>IF(R800="","no_claim_delta","claim_delta_present")</x:f>
        <x:v>no_claim_delta</x:v>
      </x:c>
      <x:c r="AB800" s="12" t="str">
        <x:f>IF(S800="","no_contradiction_delta","contradiction_delta_present")</x:f>
        <x:v>no_contradiction_delta</x:v>
      </x:c>
      <x:c r="AC800" s="12" t="str">
        <x:f>IF(OR(ISNUMBER(SEARCH("hacker",LOWER(F800&amp;" "&amp;H800&amp;" "&amp;I800&amp;" "&amp;M800&amp;" "&amp;N800&amp;" "&amp;T800))),ISNUMBER(SEARCH("hacking",LOWER(F800&amp;" "&amp;H800&amp;" "&amp;I800&amp;" "&amp;M800&amp;" "&amp;N800&amp;" "&amp;T800))),ISNUMBER(SEARCH("bank",LOWER(F800&amp;" "&amp;H800&amp;" "&amp;I800&amp;" "&amp;M800&amp;" "&amp;N800&amp;" "&amp;T800))),ISNUMBER(SEARCH("banking",LOWER(F800&amp;" "&amp;H800&amp;" "&amp;I800&amp;" "&amp;M800&amp;" "&amp;N800&amp;" "&amp;T800)))),"PRIVATE_QUARANTINE",IF(OR(ISNUMBER(SEARCH("treasury",LOWER(F800&amp;" "&amp;H800&amp;" "&amp;I800&amp;" "&amp;M800&amp;" "&amp;N800&amp;" "&amp;T800))),ISNUMBER(SEARCH("debt",LOWER(F800&amp;" "&amp;H800&amp;" "&amp;I800&amp;" "&amp;M800&amp;" "&amp;N800&amp;" "&amp;T800))),ISNUMBER(SEARCH("bond",LOWER(F800&amp;" "&amp;H800&amp;" "&amp;I800&amp;" "&amp;M800&amp;" "&amp;N800&amp;" "&amp;T800))),ISNUMBER(SEARCH("transaction",LOWER(F800&amp;" "&amp;H800&amp;" "&amp;I800&amp;" "&amp;M800&amp;" "&amp;N800&amp;" "&amp;T800)))),"PRIVATE_REVIEW","PUBLIC_CANDIDATE"))</x:f>
        <x:v>PUBLIC_CANDIDATE</x:v>
      </x:c>
      <x:c r="AD800" s="12" t="str">
        <x:f>IF(AC800="PRIVATE_QUARANTINE","hacker_or_bank_trigger",IF(AC800="PRIVATE_REVIEW","finance_risk_trigger","none"))</x:f>
        <x:v>none</x:v>
      </x:c>
      <x:c r="AE800" s="12" t="str">
        <x:f>IF(AC800="PUBLIC_CANDIDATE","prepare_public_github_candidate",IF(AC800="PRIVATE_REVIEW","hold_for_private_review","quarantine_private_do_not_publish"))</x:f>
        <x:v>prepare_public_github_candidate</x:v>
      </x:c>
      <x:c r="AF800" s="12" t="str">
        <x:f>IF(AC800="PUBLIC_CANDIDATE","TIDELOCK + Lucerna",IF(AC800="PRIVATE_REVIEW","AtlasBrain + Lucerna","TIDELOCK + Lucerna + Human-root"))</x:f>
        <x:v>TIDELOCK + Lucerna</x:v>
      </x:c>
      <x:c r="AG800" s="12" t="str">
        <x:f>IF(AND(AC800="PUBLIC_CANDIDATE",U800&lt;&gt;"BLOCKED_PENDING_RECEIPT"),"READY_AFTER_RECEIPT","NOT_READY")</x:f>
        <x:v>NOT_READY</x:v>
      </x:c>
      <x:c r="AH800" s="12" t="str">
        <x:f>IF(AC800="PUBLIC_CANDIDATE","none",AD800)</x:f>
        <x:v>none</x:v>
      </x:c>
      <x:c r="AI800" s="12" t="str">
        <x:f>IF(AC800="PUBLIC_CANDIDATE","archive/public_candidates/"&amp;A800,"private_quarantine/"&amp;A800)</x:f>
        <x:v>archive/public_candidates/SWARM-06-H07-S07</x:v>
      </x:c>
      <x:c r="AJ800" s="12" t="str">
        <x:f>IF(AC800="PUBLIC_CANDIDATE","public by default; still not canon","private/hold; do not publish")</x:f>
        <x:v>public by default; still not canon</x:v>
      </x:c>
      <x:c r="AK800" s="12" t="str">
        <x:f>IF(AE800="prepare_public_github_candidate","add receipt/status then mirror","resolve blocker before any public GitHub action")</x:f>
        <x:v>add receipt/status then mirror</x:v>
      </x:c>
    </x:row>
    <x:row r="801">
      <x:c r="A801" s="15" t="str">
        <x:v>SWARM-06-H07-S08</x:v>
      </x:c>
      <x:c r="B801" s="15" t="str">
        <x:v>Forgekid</x:v>
      </x:c>
      <x:c r="C801" s="15" t="str">
        <x:v>Aetherforge UX builder</x:v>
      </x:c>
      <x:c r="D801" s="15" t="str">
        <x:v>Graph Node Proposals</x:v>
      </x:c>
      <x:c r="E801" s="15" t="str">
        <x:v>Sheldonbrain</x:v>
      </x:c>
      <x:c r="F801" s="15" t="str">
        <x:v>Propose graph nodes for Sheldonbrain — Forgekid</x:v>
      </x:c>
      <x:c r="G801" s="15" t="str">
        <x:v>quest cards / task cards / board affordances</x:v>
      </x:c>
      <x:c r="H801" s="15" t="str">
        <x:v>source path + receipt + raw/export status + claim/edge/risk delta</x:v>
      </x:c>
      <x:c r="I801" s="15" t="str">
        <x:v>packet/SWARM-06-H07-S08</x:v>
      </x:c>
      <x:c r="J801" s="15" t="str">
        <x:v>TODO</x:v>
      </x:c>
      <x:c r="K801" s="15" t="str">
        <x:v>P1</x:v>
      </x:c>
      <x:c r="L801" s="15" t="str">
        <x:v>Done only when evidence is logged, contradiction search is noted, and boundary stamp remains non-canon unless ratified</x:v>
      </x:c>
      <x:c r="M801" s="15" t="str">
        <x:v>candidate / staging-only / not canon / not deployed / authority none</x:v>
      </x:c>
      <x:c r="N801" s="15" t="str">
        <x:v>Dispatch to Forgekid: complete Graph Node Proposals x Sheldonbrain; return deltas only, receipts required.</x:v>
      </x:c>
      <x:c r="O801" s="15" t="str">
        <x:v>AF-KG-H07-S08</x:v>
      </x:c>
      <x:c r="P801" s="15" t="str">
        <x:v>Unverified</x:v>
      </x:c>
      <x:c r="Q801" s="15" t="str">
        <x:v>Not checked</x:v>
      </x:c>
      <x:c r="R801" s="15" t="str"/>
      <x:c r="S801" s="15" t="str"/>
      <x:c r="T801" s="15" t="str">
        <x:v>Log first source path or blocker</x:v>
      </x:c>
      <x:c r="U801" s="12" t="str">
        <x:f>IF(OR(P801="Unverified",Q801="Not checked"),"BLOCKED_PENDING_RECEIPT","READY_FOR_REVIEW")</x:f>
        <x:v>BLOCKED_PENDING_RECEIPT</x:v>
      </x:c>
      <x:c r="V801" s="12" t="str">
        <x:f>IF(J801="DONE","RETURNED",IF(U801="BLOCKED_PENDING_RECEIPT","SOURCE_TOUCH_REQUIRED","IN_PROGRESS"))</x:f>
        <x:v>SOURCE_TOUCH_REQUIRED</x:v>
      </x:c>
      <x:c r="W801" s="12" t="str">
        <x:f>IF(P801="Unverified","missing_receipt","receipt_logged")</x:f>
        <x:v>missing_receipt</x:v>
      </x:c>
      <x:c r="X801" s="12" t="str">
        <x:f>IF(Q801="Not checked","raw_status_missing","raw_status_logged")</x:f>
        <x:v>raw_status_missing</x:v>
      </x:c>
      <x:c r="Y801" s="12" t="str">
        <x:f>IF(U801="BLOCKED_PENDING_RECEIPT","Log source path or blocker; do not promote","Route to review lane")</x:f>
        <x:v>Log source path or blocker; do not promote</x:v>
      </x:c>
      <x:c r="Z801" s="12" t="str">
        <x:f>IF(K801="P0","Primary seat + Hashlight/Lucerna","Seat lane")</x:f>
        <x:v>Seat lane</x:v>
      </x:c>
      <x:c r="AA801" s="12" t="str">
        <x:f>IF(R801="","no_claim_delta","claim_delta_present")</x:f>
        <x:v>no_claim_delta</x:v>
      </x:c>
      <x:c r="AB801" s="12" t="str">
        <x:f>IF(S801="","no_contradiction_delta","contradiction_delta_present")</x:f>
        <x:v>no_contradiction_delta</x:v>
      </x:c>
      <x:c r="AC801" s="12" t="str">
        <x:f>IF(OR(ISNUMBER(SEARCH("hacker",LOWER(F801&amp;" "&amp;H801&amp;" "&amp;I801&amp;" "&amp;M801&amp;" "&amp;N801&amp;" "&amp;T801))),ISNUMBER(SEARCH("hacking",LOWER(F801&amp;" "&amp;H801&amp;" "&amp;I801&amp;" "&amp;M801&amp;" "&amp;N801&amp;" "&amp;T801))),ISNUMBER(SEARCH("bank",LOWER(F801&amp;" "&amp;H801&amp;" "&amp;I801&amp;" "&amp;M801&amp;" "&amp;N801&amp;" "&amp;T801))),ISNUMBER(SEARCH("banking",LOWER(F801&amp;" "&amp;H801&amp;" "&amp;I801&amp;" "&amp;M801&amp;" "&amp;N801&amp;" "&amp;T801)))),"PRIVATE_QUARANTINE",IF(OR(ISNUMBER(SEARCH("treasury",LOWER(F801&amp;" "&amp;H801&amp;" "&amp;I801&amp;" "&amp;M801&amp;" "&amp;N801&amp;" "&amp;T801))),ISNUMBER(SEARCH("debt",LOWER(F801&amp;" "&amp;H801&amp;" "&amp;I801&amp;" "&amp;M801&amp;" "&amp;N801&amp;" "&amp;T801))),ISNUMBER(SEARCH("bond",LOWER(F801&amp;" "&amp;H801&amp;" "&amp;I801&amp;" "&amp;M801&amp;" "&amp;N801&amp;" "&amp;T801))),ISNUMBER(SEARCH("transaction",LOWER(F801&amp;" "&amp;H801&amp;" "&amp;I801&amp;" "&amp;M801&amp;" "&amp;N801&amp;" "&amp;T801)))),"PRIVATE_REVIEW","PUBLIC_CANDIDATE"))</x:f>
        <x:v>PUBLIC_CANDIDATE</x:v>
      </x:c>
      <x:c r="AD801" s="12" t="str">
        <x:f>IF(AC801="PRIVATE_QUARANTINE","hacker_or_bank_trigger",IF(AC801="PRIVATE_REVIEW","finance_risk_trigger","none"))</x:f>
        <x:v>none</x:v>
      </x:c>
      <x:c r="AE801" s="12" t="str">
        <x:f>IF(AC801="PUBLIC_CANDIDATE","prepare_public_github_candidate",IF(AC801="PRIVATE_REVIEW","hold_for_private_review","quarantine_private_do_not_publish"))</x:f>
        <x:v>prepare_public_github_candidate</x:v>
      </x:c>
      <x:c r="AF801" s="12" t="str">
        <x:f>IF(AC801="PUBLIC_CANDIDATE","TIDELOCK + Lucerna",IF(AC801="PRIVATE_REVIEW","AtlasBrain + Lucerna","TIDELOCK + Lucerna + Human-root"))</x:f>
        <x:v>TIDELOCK + Lucerna</x:v>
      </x:c>
      <x:c r="AG801" s="12" t="str">
        <x:f>IF(AND(AC801="PUBLIC_CANDIDATE",U801&lt;&gt;"BLOCKED_PENDING_RECEIPT"),"READY_AFTER_RECEIPT","NOT_READY")</x:f>
        <x:v>NOT_READY</x:v>
      </x:c>
      <x:c r="AH801" s="12" t="str">
        <x:f>IF(AC801="PUBLIC_CANDIDATE","none",AD801)</x:f>
        <x:v>none</x:v>
      </x:c>
      <x:c r="AI801" s="12" t="str">
        <x:f>IF(AC801="PUBLIC_CANDIDATE","archive/public_candidates/"&amp;A801,"private_quarantine/"&amp;A801)</x:f>
        <x:v>archive/public_candidates/SWARM-06-H07-S08</x:v>
      </x:c>
      <x:c r="AJ801" s="12" t="str">
        <x:f>IF(AC801="PUBLIC_CANDIDATE","public by default; still not canon","private/hold; do not publish")</x:f>
        <x:v>public by default; still not canon</x:v>
      </x:c>
      <x:c r="AK801" s="12" t="str">
        <x:f>IF(AE801="prepare_public_github_candidate","add receipt/status then mirror","resolve blocker before any public GitHub action")</x:f>
        <x:v>add receipt/status then mirror</x:v>
      </x:c>
    </x:row>
    <x:row r="802">
      <x:c r="A802" s="15" t="str">
        <x:v>SWARM-06-H07-S09</x:v>
      </x:c>
      <x:c r="B802" s="15" t="str">
        <x:v>Forgekid</x:v>
      </x:c>
      <x:c r="C802" s="15" t="str">
        <x:v>Aetherforge UX builder</x:v>
      </x:c>
      <x:c r="D802" s="15" t="str">
        <x:v>Graph Node Proposals</x:v>
      </x:c>
      <x:c r="E802" s="15" t="str">
        <x:v>Aetherforge</x:v>
      </x:c>
      <x:c r="F802" s="15" t="str">
        <x:v>Propose graph nodes for Aetherforge — Forgekid</x:v>
      </x:c>
      <x:c r="G802" s="15" t="str">
        <x:v>quest cards / task cards / board affordances</x:v>
      </x:c>
      <x:c r="H802" s="15" t="str">
        <x:v>source path + receipt + raw/export status + claim/edge/risk delta</x:v>
      </x:c>
      <x:c r="I802" s="15" t="str">
        <x:v>packet/SWARM-06-H07-S09</x:v>
      </x:c>
      <x:c r="J802" s="15" t="str">
        <x:v>TODO</x:v>
      </x:c>
      <x:c r="K802" s="15" t="str">
        <x:v>P2</x:v>
      </x:c>
      <x:c r="L802" s="15" t="str">
        <x:v>Done only when evidence is logged, contradiction search is noted, and boundary stamp remains non-canon unless ratified</x:v>
      </x:c>
      <x:c r="M802" s="15" t="str">
        <x:v>candidate / staging-only / not canon / not deployed / authority none</x:v>
      </x:c>
      <x:c r="N802" s="15" t="str">
        <x:v>Dispatch to Forgekid: complete Graph Node Proposals x Aetherforge; return deltas only, receipts required.</x:v>
      </x:c>
      <x:c r="O802" s="15" t="str">
        <x:v>AF-KG-H07-S09</x:v>
      </x:c>
      <x:c r="P802" s="15" t="str">
        <x:v>Unverified</x:v>
      </x:c>
      <x:c r="Q802" s="15" t="str">
        <x:v>Not checked</x:v>
      </x:c>
      <x:c r="R802" s="15" t="str"/>
      <x:c r="S802" s="15" t="str"/>
      <x:c r="T802" s="15" t="str">
        <x:v>Log first source path or blocker</x:v>
      </x:c>
      <x:c r="U802" s="12" t="str">
        <x:f>IF(OR(P802="Unverified",Q802="Not checked"),"BLOCKED_PENDING_RECEIPT","READY_FOR_REVIEW")</x:f>
        <x:v>BLOCKED_PENDING_RECEIPT</x:v>
      </x:c>
      <x:c r="V802" s="12" t="str">
        <x:f>IF(J802="DONE","RETURNED",IF(U802="BLOCKED_PENDING_RECEIPT","SOURCE_TOUCH_REQUIRED","IN_PROGRESS"))</x:f>
        <x:v>SOURCE_TOUCH_REQUIRED</x:v>
      </x:c>
      <x:c r="W802" s="12" t="str">
        <x:f>IF(P802="Unverified","missing_receipt","receipt_logged")</x:f>
        <x:v>missing_receipt</x:v>
      </x:c>
      <x:c r="X802" s="12" t="str">
        <x:f>IF(Q802="Not checked","raw_status_missing","raw_status_logged")</x:f>
        <x:v>raw_status_missing</x:v>
      </x:c>
      <x:c r="Y802" s="12" t="str">
        <x:f>IF(U802="BLOCKED_PENDING_RECEIPT","Log source path or blocker; do not promote","Route to review lane")</x:f>
        <x:v>Log source path or blocker; do not promote</x:v>
      </x:c>
      <x:c r="Z802" s="12" t="str">
        <x:f>IF(K802="P0","Primary seat + Hashlight/Lucerna","Seat lane")</x:f>
        <x:v>Seat lane</x:v>
      </x:c>
      <x:c r="AA802" s="12" t="str">
        <x:f>IF(R802="","no_claim_delta","claim_delta_present")</x:f>
        <x:v>no_claim_delta</x:v>
      </x:c>
      <x:c r="AB802" s="12" t="str">
        <x:f>IF(S802="","no_contradiction_delta","contradiction_delta_present")</x:f>
        <x:v>no_contradiction_delta</x:v>
      </x:c>
      <x:c r="AC802" s="12" t="str">
        <x:f>IF(OR(ISNUMBER(SEARCH("hacker",LOWER(F802&amp;" "&amp;H802&amp;" "&amp;I802&amp;" "&amp;M802&amp;" "&amp;N802&amp;" "&amp;T802))),ISNUMBER(SEARCH("hacking",LOWER(F802&amp;" "&amp;H802&amp;" "&amp;I802&amp;" "&amp;M802&amp;" "&amp;N802&amp;" "&amp;T802))),ISNUMBER(SEARCH("bank",LOWER(F802&amp;" "&amp;H802&amp;" "&amp;I802&amp;" "&amp;M802&amp;" "&amp;N802&amp;" "&amp;T802))),ISNUMBER(SEARCH("banking",LOWER(F802&amp;" "&amp;H802&amp;" "&amp;I802&amp;" "&amp;M802&amp;" "&amp;N802&amp;" "&amp;T802)))),"PRIVATE_QUARANTINE",IF(OR(ISNUMBER(SEARCH("treasury",LOWER(F802&amp;" "&amp;H802&amp;" "&amp;I802&amp;" "&amp;M802&amp;" "&amp;N802&amp;" "&amp;T802))),ISNUMBER(SEARCH("debt",LOWER(F802&amp;" "&amp;H802&amp;" "&amp;I802&amp;" "&amp;M802&amp;" "&amp;N802&amp;" "&amp;T802))),ISNUMBER(SEARCH("bond",LOWER(F802&amp;" "&amp;H802&amp;" "&amp;I802&amp;" "&amp;M802&amp;" "&amp;N802&amp;" "&amp;T802))),ISNUMBER(SEARCH("transaction",LOWER(F802&amp;" "&amp;H802&amp;" "&amp;I802&amp;" "&amp;M802&amp;" "&amp;N802&amp;" "&amp;T802)))),"PRIVATE_REVIEW","PUBLIC_CANDIDATE"))</x:f>
        <x:v>PUBLIC_CANDIDATE</x:v>
      </x:c>
      <x:c r="AD802" s="12" t="str">
        <x:f>IF(AC802="PRIVATE_QUARANTINE","hacker_or_bank_trigger",IF(AC802="PRIVATE_REVIEW","finance_risk_trigger","none"))</x:f>
        <x:v>none</x:v>
      </x:c>
      <x:c r="AE802" s="12" t="str">
        <x:f>IF(AC802="PUBLIC_CANDIDATE","prepare_public_github_candidate",IF(AC802="PRIVATE_REVIEW","hold_for_private_review","quarantine_private_do_not_publish"))</x:f>
        <x:v>prepare_public_github_candidate</x:v>
      </x:c>
      <x:c r="AF802" s="12" t="str">
        <x:f>IF(AC802="PUBLIC_CANDIDATE","TIDELOCK + Lucerna",IF(AC802="PRIVATE_REVIEW","AtlasBrain + Lucerna","TIDELOCK + Lucerna + Human-root"))</x:f>
        <x:v>TIDELOCK + Lucerna</x:v>
      </x:c>
      <x:c r="AG802" s="12" t="str">
        <x:f>IF(AND(AC802="PUBLIC_CANDIDATE",U802&lt;&gt;"BLOCKED_PENDING_RECEIPT"),"READY_AFTER_RECEIPT","NOT_READY")</x:f>
        <x:v>NOT_READY</x:v>
      </x:c>
      <x:c r="AH802" s="12" t="str">
        <x:f>IF(AC802="PUBLIC_CANDIDATE","none",AD802)</x:f>
        <x:v>none</x:v>
      </x:c>
      <x:c r="AI802" s="12" t="str">
        <x:f>IF(AC802="PUBLIC_CANDIDATE","archive/public_candidates/"&amp;A802,"private_quarantine/"&amp;A802)</x:f>
        <x:v>archive/public_candidates/SWARM-06-H07-S09</x:v>
      </x:c>
      <x:c r="AJ802" s="12" t="str">
        <x:f>IF(AC802="PUBLIC_CANDIDATE","public by default; still not canon","private/hold; do not publish")</x:f>
        <x:v>public by default; still not canon</x:v>
      </x:c>
      <x:c r="AK802" s="12" t="str">
        <x:f>IF(AE802="prepare_public_github_candidate","add receipt/status then mirror","resolve blocker before any public GitHub action")</x:f>
        <x:v>add receipt/status then mirror</x:v>
      </x:c>
    </x:row>
    <x:row r="803">
      <x:c r="A803" s="15" t="str">
        <x:v>SWARM-06-H07-S10</x:v>
      </x:c>
      <x:c r="B803" s="15" t="str">
        <x:v>Forgekid</x:v>
      </x:c>
      <x:c r="C803" s="15" t="str">
        <x:v>Aetherforge UX builder</x:v>
      </x:c>
      <x:c r="D803" s="15" t="str">
        <x:v>Graph Node Proposals</x:v>
      </x:c>
      <x:c r="E803" s="15" t="str">
        <x:v>Human-Root</x:v>
      </x:c>
      <x:c r="F803" s="15" t="str">
        <x:v>Propose graph nodes for Human-Root — Forgekid</x:v>
      </x:c>
      <x:c r="G803" s="15" t="str">
        <x:v>quest cards / task cards / board affordances</x:v>
      </x:c>
      <x:c r="H803" s="15" t="str">
        <x:v>source path + receipt + raw/export status + claim/edge/risk delta</x:v>
      </x:c>
      <x:c r="I803" s="15" t="str">
        <x:v>packet/SWARM-06-H07-S10</x:v>
      </x:c>
      <x:c r="J803" s="15" t="str">
        <x:v>TODO</x:v>
      </x:c>
      <x:c r="K803" s="15" t="str">
        <x:v>P2</x:v>
      </x:c>
      <x:c r="L803" s="15" t="str">
        <x:v>Done only when evidence is logged, contradiction search is noted, and boundary stamp remains non-canon unless ratified</x:v>
      </x:c>
      <x:c r="M803" s="15" t="str">
        <x:v>candidate / staging-only / not canon / not deployed / authority none</x:v>
      </x:c>
      <x:c r="N803" s="15" t="str">
        <x:v>Dispatch to Forgekid: complete Graph Node Proposals x Human-Root; return deltas only, receipts required.</x:v>
      </x:c>
      <x:c r="O803" s="15" t="str">
        <x:v>AF-KG-H07-S10</x:v>
      </x:c>
      <x:c r="P803" s="15" t="str">
        <x:v>Unverified</x:v>
      </x:c>
      <x:c r="Q803" s="15" t="str">
        <x:v>Not checked</x:v>
      </x:c>
      <x:c r="R803" s="15" t="str"/>
      <x:c r="S803" s="15" t="str"/>
      <x:c r="T803" s="15" t="str">
        <x:v>Log first source path or blocker</x:v>
      </x:c>
      <x:c r="U803" s="12" t="str">
        <x:f>IF(OR(P803="Unverified",Q803="Not checked"),"BLOCKED_PENDING_RECEIPT","READY_FOR_REVIEW")</x:f>
        <x:v>BLOCKED_PENDING_RECEIPT</x:v>
      </x:c>
      <x:c r="V803" s="12" t="str">
        <x:f>IF(J803="DONE","RETURNED",IF(U803="BLOCKED_PENDING_RECEIPT","SOURCE_TOUCH_REQUIRED","IN_PROGRESS"))</x:f>
        <x:v>SOURCE_TOUCH_REQUIRED</x:v>
      </x:c>
      <x:c r="W803" s="12" t="str">
        <x:f>IF(P803="Unverified","missing_receipt","receipt_logged")</x:f>
        <x:v>missing_receipt</x:v>
      </x:c>
      <x:c r="X803" s="12" t="str">
        <x:f>IF(Q803="Not checked","raw_status_missing","raw_status_logged")</x:f>
        <x:v>raw_status_missing</x:v>
      </x:c>
      <x:c r="Y803" s="12" t="str">
        <x:f>IF(U803="BLOCKED_PENDING_RECEIPT","Log source path or blocker; do not promote","Route to review lane")</x:f>
        <x:v>Log source path or blocker; do not promote</x:v>
      </x:c>
      <x:c r="Z803" s="12" t="str">
        <x:f>IF(K803="P0","Primary seat + Hashlight/Lucerna","Seat lane")</x:f>
        <x:v>Seat lane</x:v>
      </x:c>
      <x:c r="AA803" s="12" t="str">
        <x:f>IF(R803="","no_claim_delta","claim_delta_present")</x:f>
        <x:v>no_claim_delta</x:v>
      </x:c>
      <x:c r="AB803" s="12" t="str">
        <x:f>IF(S803="","no_contradiction_delta","contradiction_delta_present")</x:f>
        <x:v>no_contradiction_delta</x:v>
      </x:c>
      <x:c r="AC803" s="12" t="str">
        <x:f>IF(OR(ISNUMBER(SEARCH("hacker",LOWER(F803&amp;" "&amp;H803&amp;" "&amp;I803&amp;" "&amp;M803&amp;" "&amp;N803&amp;" "&amp;T803))),ISNUMBER(SEARCH("hacking",LOWER(F803&amp;" "&amp;H803&amp;" "&amp;I803&amp;" "&amp;M803&amp;" "&amp;N803&amp;" "&amp;T803))),ISNUMBER(SEARCH("bank",LOWER(F803&amp;" "&amp;H803&amp;" "&amp;I803&amp;" "&amp;M803&amp;" "&amp;N803&amp;" "&amp;T803))),ISNUMBER(SEARCH("banking",LOWER(F803&amp;" "&amp;H803&amp;" "&amp;I803&amp;" "&amp;M803&amp;" "&amp;N803&amp;" "&amp;T803)))),"PRIVATE_QUARANTINE",IF(OR(ISNUMBER(SEARCH("treasury",LOWER(F803&amp;" "&amp;H803&amp;" "&amp;I803&amp;" "&amp;M803&amp;" "&amp;N803&amp;" "&amp;T803))),ISNUMBER(SEARCH("debt",LOWER(F803&amp;" "&amp;H803&amp;" "&amp;I803&amp;" "&amp;M803&amp;" "&amp;N803&amp;" "&amp;T803))),ISNUMBER(SEARCH("bond",LOWER(F803&amp;" "&amp;H803&amp;" "&amp;I803&amp;" "&amp;M803&amp;" "&amp;N803&amp;" "&amp;T803))),ISNUMBER(SEARCH("transaction",LOWER(F803&amp;" "&amp;H803&amp;" "&amp;I803&amp;" "&amp;M803&amp;" "&amp;N803&amp;" "&amp;T803)))),"PRIVATE_REVIEW","PUBLIC_CANDIDATE"))</x:f>
        <x:v>PUBLIC_CANDIDATE</x:v>
      </x:c>
      <x:c r="AD803" s="12" t="str">
        <x:f>IF(AC803="PRIVATE_QUARANTINE","hacker_or_bank_trigger",IF(AC803="PRIVATE_REVIEW","finance_risk_trigger","none"))</x:f>
        <x:v>none</x:v>
      </x:c>
      <x:c r="AE803" s="12" t="str">
        <x:f>IF(AC803="PUBLIC_CANDIDATE","prepare_public_github_candidate",IF(AC803="PRIVATE_REVIEW","hold_for_private_review","quarantine_private_do_not_publish"))</x:f>
        <x:v>prepare_public_github_candidate</x:v>
      </x:c>
      <x:c r="AF803" s="12" t="str">
        <x:f>IF(AC803="PUBLIC_CANDIDATE","TIDELOCK + Lucerna",IF(AC803="PRIVATE_REVIEW","AtlasBrain + Lucerna","TIDELOCK + Lucerna + Human-root"))</x:f>
        <x:v>TIDELOCK + Lucerna</x:v>
      </x:c>
      <x:c r="AG803" s="12" t="str">
        <x:f>IF(AND(AC803="PUBLIC_CANDIDATE",U803&lt;&gt;"BLOCKED_PENDING_RECEIPT"),"READY_AFTER_RECEIPT","NOT_READY")</x:f>
        <x:v>NOT_READY</x:v>
      </x:c>
      <x:c r="AH803" s="12" t="str">
        <x:f>IF(AC803="PUBLIC_CANDIDATE","none",AD803)</x:f>
        <x:v>none</x:v>
      </x:c>
      <x:c r="AI803" s="12" t="str">
        <x:f>IF(AC803="PUBLIC_CANDIDATE","archive/public_candidates/"&amp;A803,"private_quarantine/"&amp;A803)</x:f>
        <x:v>archive/public_candidates/SWARM-06-H07-S10</x:v>
      </x:c>
      <x:c r="AJ803" s="12" t="str">
        <x:f>IF(AC803="PUBLIC_CANDIDATE","public by default; still not canon","private/hold; do not publish")</x:f>
        <x:v>public by default; still not canon</x:v>
      </x:c>
      <x:c r="AK803" s="12" t="str">
        <x:f>IF(AE803="prepare_public_github_candidate","add receipt/status then mirror","resolve blocker before any public GitHub action")</x:f>
        <x:v>add receipt/status then mirror</x:v>
      </x:c>
    </x:row>
    <x:row r="804">
      <x:c r="A804" s="15" t="str">
        <x:v>SWARM-06-H07-S11</x:v>
      </x:c>
      <x:c r="B804" s="15" t="str">
        <x:v>Forgekid</x:v>
      </x:c>
      <x:c r="C804" s="15" t="str">
        <x:v>Aetherforge UX builder</x:v>
      </x:c>
      <x:c r="D804" s="15" t="str">
        <x:v>Graph Node Proposals</x:v>
      </x:c>
      <x:c r="E804" s="15" t="str">
        <x:v>Automation</x:v>
      </x:c>
      <x:c r="F804" s="15" t="str">
        <x:v>Propose graph nodes for Automation — Forgekid</x:v>
      </x:c>
      <x:c r="G804" s="15" t="str">
        <x:v>quest cards / task cards / board affordances</x:v>
      </x:c>
      <x:c r="H804" s="15" t="str">
        <x:v>source path + receipt + raw/export status + claim/edge/risk delta</x:v>
      </x:c>
      <x:c r="I804" s="15" t="str">
        <x:v>packet/SWARM-06-H07-S11</x:v>
      </x:c>
      <x:c r="J804" s="15" t="str">
        <x:v>TODO</x:v>
      </x:c>
      <x:c r="K804" s="15" t="str">
        <x:v>P2</x:v>
      </x:c>
      <x:c r="L804" s="15" t="str">
        <x:v>Done only when evidence is logged, contradiction search is noted, and boundary stamp remains non-canon unless ratified</x:v>
      </x:c>
      <x:c r="M804" s="15" t="str">
        <x:v>candidate / staging-only / not canon / not deployed / authority none</x:v>
      </x:c>
      <x:c r="N804" s="15" t="str">
        <x:v>Dispatch to Forgekid: complete Graph Node Proposals x Automation; return deltas only, receipts required.</x:v>
      </x:c>
      <x:c r="O804" s="15" t="str">
        <x:v>AF-KG-H07-S11</x:v>
      </x:c>
      <x:c r="P804" s="15" t="str">
        <x:v>Unverified</x:v>
      </x:c>
      <x:c r="Q804" s="15" t="str">
        <x:v>Not checked</x:v>
      </x:c>
      <x:c r="R804" s="15" t="str"/>
      <x:c r="S804" s="15" t="str"/>
      <x:c r="T804" s="15" t="str">
        <x:v>Log first source path or blocker</x:v>
      </x:c>
      <x:c r="U804" s="12" t="str">
        <x:f>IF(OR(P804="Unverified",Q804="Not checked"),"BLOCKED_PENDING_RECEIPT","READY_FOR_REVIEW")</x:f>
        <x:v>BLOCKED_PENDING_RECEIPT</x:v>
      </x:c>
      <x:c r="V804" s="12" t="str">
        <x:f>IF(J804="DONE","RETURNED",IF(U804="BLOCKED_PENDING_RECEIPT","SOURCE_TOUCH_REQUIRED","IN_PROGRESS"))</x:f>
        <x:v>SOURCE_TOUCH_REQUIRED</x:v>
      </x:c>
      <x:c r="W804" s="12" t="str">
        <x:f>IF(P804="Unverified","missing_receipt","receipt_logged")</x:f>
        <x:v>missing_receipt</x:v>
      </x:c>
      <x:c r="X804" s="12" t="str">
        <x:f>IF(Q804="Not checked","raw_status_missing","raw_status_logged")</x:f>
        <x:v>raw_status_missing</x:v>
      </x:c>
      <x:c r="Y804" s="12" t="str">
        <x:f>IF(U804="BLOCKED_PENDING_RECEIPT","Log source path or blocker; do not promote","Route to review lane")</x:f>
        <x:v>Log source path or blocker; do not promote</x:v>
      </x:c>
      <x:c r="Z804" s="12" t="str">
        <x:f>IF(K804="P0","Primary seat + Hashlight/Lucerna","Seat lane")</x:f>
        <x:v>Seat lane</x:v>
      </x:c>
      <x:c r="AA804" s="12" t="str">
        <x:f>IF(R804="","no_claim_delta","claim_delta_present")</x:f>
        <x:v>no_claim_delta</x:v>
      </x:c>
      <x:c r="AB804" s="12" t="str">
        <x:f>IF(S804="","no_contradiction_delta","contradiction_delta_present")</x:f>
        <x:v>no_contradiction_delta</x:v>
      </x:c>
      <x:c r="AC804" s="12" t="str">
        <x:f>IF(OR(ISNUMBER(SEARCH("hacker",LOWER(F804&amp;" "&amp;H804&amp;" "&amp;I804&amp;" "&amp;M804&amp;" "&amp;N804&amp;" "&amp;T804))),ISNUMBER(SEARCH("hacking",LOWER(F804&amp;" "&amp;H804&amp;" "&amp;I804&amp;" "&amp;M804&amp;" "&amp;N804&amp;" "&amp;T804))),ISNUMBER(SEARCH("bank",LOWER(F804&amp;" "&amp;H804&amp;" "&amp;I804&amp;" "&amp;M804&amp;" "&amp;N804&amp;" "&amp;T804))),ISNUMBER(SEARCH("banking",LOWER(F804&amp;" "&amp;H804&amp;" "&amp;I804&amp;" "&amp;M804&amp;" "&amp;N804&amp;" "&amp;T804)))),"PRIVATE_QUARANTINE",IF(OR(ISNUMBER(SEARCH("treasury",LOWER(F804&amp;" "&amp;H804&amp;" "&amp;I804&amp;" "&amp;M804&amp;" "&amp;N804&amp;" "&amp;T804))),ISNUMBER(SEARCH("debt",LOWER(F804&amp;" "&amp;H804&amp;" "&amp;I804&amp;" "&amp;M804&amp;" "&amp;N804&amp;" "&amp;T804))),ISNUMBER(SEARCH("bond",LOWER(F804&amp;" "&amp;H804&amp;" "&amp;I804&amp;" "&amp;M804&amp;" "&amp;N804&amp;" "&amp;T804))),ISNUMBER(SEARCH("transaction",LOWER(F804&amp;" "&amp;H804&amp;" "&amp;I804&amp;" "&amp;M804&amp;" "&amp;N804&amp;" "&amp;T804)))),"PRIVATE_REVIEW","PUBLIC_CANDIDATE"))</x:f>
        <x:v>PUBLIC_CANDIDATE</x:v>
      </x:c>
      <x:c r="AD804" s="12" t="str">
        <x:f>IF(AC804="PRIVATE_QUARANTINE","hacker_or_bank_trigger",IF(AC804="PRIVATE_REVIEW","finance_risk_trigger","none"))</x:f>
        <x:v>none</x:v>
      </x:c>
      <x:c r="AE804" s="12" t="str">
        <x:f>IF(AC804="PUBLIC_CANDIDATE","prepare_public_github_candidate",IF(AC804="PRIVATE_REVIEW","hold_for_private_review","quarantine_private_do_not_publish"))</x:f>
        <x:v>prepare_public_github_candidate</x:v>
      </x:c>
      <x:c r="AF804" s="12" t="str">
        <x:f>IF(AC804="PUBLIC_CANDIDATE","TIDELOCK + Lucerna",IF(AC804="PRIVATE_REVIEW","AtlasBrain + Lucerna","TIDELOCK + Lucerna + Human-root"))</x:f>
        <x:v>TIDELOCK + Lucerna</x:v>
      </x:c>
      <x:c r="AG804" s="12" t="str">
        <x:f>IF(AND(AC804="PUBLIC_CANDIDATE",U804&lt;&gt;"BLOCKED_PENDING_RECEIPT"),"READY_AFTER_RECEIPT","NOT_READY")</x:f>
        <x:v>NOT_READY</x:v>
      </x:c>
      <x:c r="AH804" s="12" t="str">
        <x:f>IF(AC804="PUBLIC_CANDIDATE","none",AD804)</x:f>
        <x:v>none</x:v>
      </x:c>
      <x:c r="AI804" s="12" t="str">
        <x:f>IF(AC804="PUBLIC_CANDIDATE","archive/public_candidates/"&amp;A804,"private_quarantine/"&amp;A804)</x:f>
        <x:v>archive/public_candidates/SWARM-06-H07-S11</x:v>
      </x:c>
      <x:c r="AJ804" s="12" t="str">
        <x:f>IF(AC804="PUBLIC_CANDIDATE","public by default; still not canon","private/hold; do not publish")</x:f>
        <x:v>public by default; still not canon</x:v>
      </x:c>
      <x:c r="AK804" s="12" t="str">
        <x:f>IF(AE804="prepare_public_github_candidate","add receipt/status then mirror","resolve blocker before any public GitHub action")</x:f>
        <x:v>add receipt/status then mirror</x:v>
      </x:c>
    </x:row>
    <x:row r="805">
      <x:c r="A805" s="15" t="str">
        <x:v>SWARM-06-H07-S12</x:v>
      </x:c>
      <x:c r="B805" s="15" t="str">
        <x:v>Forgekid</x:v>
      </x:c>
      <x:c r="C805" s="15" t="str">
        <x:v>Aetherforge UX builder</x:v>
      </x:c>
      <x:c r="D805" s="15" t="str">
        <x:v>Graph Node Proposals</x:v>
      </x:c>
      <x:c r="E805" s="15" t="str">
        <x:v>Risk / Safety</x:v>
      </x:c>
      <x:c r="F805" s="15" t="str">
        <x:v>Propose graph nodes for Risk / Safety — Forgekid</x:v>
      </x:c>
      <x:c r="G805" s="15" t="str">
        <x:v>quest cards / task cards / board affordances</x:v>
      </x:c>
      <x:c r="H805" s="15" t="str">
        <x:v>source path + receipt + raw/export status + claim/edge/risk delta</x:v>
      </x:c>
      <x:c r="I805" s="15" t="str">
        <x:v>packet/SWARM-06-H07-S12</x:v>
      </x:c>
      <x:c r="J805" s="15" t="str">
        <x:v>TODO</x:v>
      </x:c>
      <x:c r="K805" s="15" t="str">
        <x:v>P2</x:v>
      </x:c>
      <x:c r="L805" s="15" t="str">
        <x:v>Done only when evidence is logged, contradiction search is noted, and boundary stamp remains non-canon unless ratified</x:v>
      </x:c>
      <x:c r="M805" s="15" t="str">
        <x:v>candidate / staging-only / not canon / not deployed / authority none</x:v>
      </x:c>
      <x:c r="N805" s="15" t="str">
        <x:v>Dispatch to Forgekid: complete Graph Node Proposals x Risk / Safety; return deltas only, receipts required.</x:v>
      </x:c>
      <x:c r="O805" s="15" t="str">
        <x:v>AF-KG-H07-S12</x:v>
      </x:c>
      <x:c r="P805" s="15" t="str">
        <x:v>Unverified</x:v>
      </x:c>
      <x:c r="Q805" s="15" t="str">
        <x:v>Not checked</x:v>
      </x:c>
      <x:c r="R805" s="15" t="str"/>
      <x:c r="S805" s="15" t="str"/>
      <x:c r="T805" s="15" t="str">
        <x:v>Log first source path or blocker</x:v>
      </x:c>
      <x:c r="U805" s="12" t="str">
        <x:f>IF(OR(P805="Unverified",Q805="Not checked"),"BLOCKED_PENDING_RECEIPT","READY_FOR_REVIEW")</x:f>
        <x:v>BLOCKED_PENDING_RECEIPT</x:v>
      </x:c>
      <x:c r="V805" s="12" t="str">
        <x:f>IF(J805="DONE","RETURNED",IF(U805="BLOCKED_PENDING_RECEIPT","SOURCE_TOUCH_REQUIRED","IN_PROGRESS"))</x:f>
        <x:v>SOURCE_TOUCH_REQUIRED</x:v>
      </x:c>
      <x:c r="W805" s="12" t="str">
        <x:f>IF(P805="Unverified","missing_receipt","receipt_logged")</x:f>
        <x:v>missing_receipt</x:v>
      </x:c>
      <x:c r="X805" s="12" t="str">
        <x:f>IF(Q805="Not checked","raw_status_missing","raw_status_logged")</x:f>
        <x:v>raw_status_missing</x:v>
      </x:c>
      <x:c r="Y805" s="12" t="str">
        <x:f>IF(U805="BLOCKED_PENDING_RECEIPT","Log source path or blocker; do not promote","Route to review lane")</x:f>
        <x:v>Log source path or blocker; do not promote</x:v>
      </x:c>
      <x:c r="Z805" s="12" t="str">
        <x:f>IF(K805="P0","Primary seat + Hashlight/Lucerna","Seat lane")</x:f>
        <x:v>Seat lane</x:v>
      </x:c>
      <x:c r="AA805" s="12" t="str">
        <x:f>IF(R805="","no_claim_delta","claim_delta_present")</x:f>
        <x:v>no_claim_delta</x:v>
      </x:c>
      <x:c r="AB805" s="12" t="str">
        <x:f>IF(S805="","no_contradiction_delta","contradiction_delta_present")</x:f>
        <x:v>no_contradiction_delta</x:v>
      </x:c>
      <x:c r="AC805" s="12" t="str">
        <x:f>IF(OR(ISNUMBER(SEARCH("hacker",LOWER(F805&amp;" "&amp;H805&amp;" "&amp;I805&amp;" "&amp;M805&amp;" "&amp;N805&amp;" "&amp;T805))),ISNUMBER(SEARCH("hacking",LOWER(F805&amp;" "&amp;H805&amp;" "&amp;I805&amp;" "&amp;M805&amp;" "&amp;N805&amp;" "&amp;T805))),ISNUMBER(SEARCH("bank",LOWER(F805&amp;" "&amp;H805&amp;" "&amp;I805&amp;" "&amp;M805&amp;" "&amp;N805&amp;" "&amp;T805))),ISNUMBER(SEARCH("banking",LOWER(F805&amp;" "&amp;H805&amp;" "&amp;I805&amp;" "&amp;M805&amp;" "&amp;N805&amp;" "&amp;T805)))),"PRIVATE_QUARANTINE",IF(OR(ISNUMBER(SEARCH("treasury",LOWER(F805&amp;" "&amp;H805&amp;" "&amp;I805&amp;" "&amp;M805&amp;" "&amp;N805&amp;" "&amp;T805))),ISNUMBER(SEARCH("debt",LOWER(F805&amp;" "&amp;H805&amp;" "&amp;I805&amp;" "&amp;M805&amp;" "&amp;N805&amp;" "&amp;T805))),ISNUMBER(SEARCH("bond",LOWER(F805&amp;" "&amp;H805&amp;" "&amp;I805&amp;" "&amp;M805&amp;" "&amp;N805&amp;" "&amp;T805))),ISNUMBER(SEARCH("transaction",LOWER(F805&amp;" "&amp;H805&amp;" "&amp;I805&amp;" "&amp;M805&amp;" "&amp;N805&amp;" "&amp;T805)))),"PRIVATE_REVIEW","PUBLIC_CANDIDATE"))</x:f>
        <x:v>PUBLIC_CANDIDATE</x:v>
      </x:c>
      <x:c r="AD805" s="12" t="str">
        <x:f>IF(AC805="PRIVATE_QUARANTINE","hacker_or_bank_trigger",IF(AC805="PRIVATE_REVIEW","finance_risk_trigger","none"))</x:f>
        <x:v>none</x:v>
      </x:c>
      <x:c r="AE805" s="12" t="str">
        <x:f>IF(AC805="PUBLIC_CANDIDATE","prepare_public_github_candidate",IF(AC805="PRIVATE_REVIEW","hold_for_private_review","quarantine_private_do_not_publish"))</x:f>
        <x:v>prepare_public_github_candidate</x:v>
      </x:c>
      <x:c r="AF805" s="12" t="str">
        <x:f>IF(AC805="PUBLIC_CANDIDATE","TIDELOCK + Lucerna",IF(AC805="PRIVATE_REVIEW","AtlasBrain + Lucerna","TIDELOCK + Lucerna + Human-root"))</x:f>
        <x:v>TIDELOCK + Lucerna</x:v>
      </x:c>
      <x:c r="AG805" s="12" t="str">
        <x:f>IF(AND(AC805="PUBLIC_CANDIDATE",U805&lt;&gt;"BLOCKED_PENDING_RECEIPT"),"READY_AFTER_RECEIPT","NOT_READY")</x:f>
        <x:v>NOT_READY</x:v>
      </x:c>
      <x:c r="AH805" s="12" t="str">
        <x:f>IF(AC805="PUBLIC_CANDIDATE","none",AD805)</x:f>
        <x:v>none</x:v>
      </x:c>
      <x:c r="AI805" s="12" t="str">
        <x:f>IF(AC805="PUBLIC_CANDIDATE","archive/public_candidates/"&amp;A805,"private_quarantine/"&amp;A805)</x:f>
        <x:v>archive/public_candidates/SWARM-06-H07-S12</x:v>
      </x:c>
      <x:c r="AJ805" s="12" t="str">
        <x:f>IF(AC805="PUBLIC_CANDIDATE","public by default; still not canon","private/hold; do not publish")</x:f>
        <x:v>public by default; still not canon</x:v>
      </x:c>
      <x:c r="AK805" s="12" t="str">
        <x:f>IF(AE805="prepare_public_github_candidate","add receipt/status then mirror","resolve blocker before any public GitHub action")</x:f>
        <x:v>add receipt/status then mirror</x:v>
      </x:c>
    </x:row>
    <x:row r="806">
      <x:c r="A806" s="15" t="str">
        <x:v>SWARM-06-H08-S01</x:v>
      </x:c>
      <x:c r="B806" s="15" t="str">
        <x:v>Forgekid</x:v>
      </x:c>
      <x:c r="C806" s="15" t="str">
        <x:v>Aetherforge UX builder</x:v>
      </x:c>
      <x:c r="D806" s="15" t="str">
        <x:v>Graph Edge Proposals</x:v>
      </x:c>
      <x:c r="E806" s="15" t="str">
        <x:v>Notion</x:v>
      </x:c>
      <x:c r="F806" s="15" t="str">
        <x:v>Propose graph edges for Notion — Forgekid</x:v>
      </x:c>
      <x:c r="G806" s="15" t="str">
        <x:v>quest cards / task cards / board affordances</x:v>
      </x:c>
      <x:c r="H806" s="15" t="str">
        <x:v>source path + receipt + raw/export status + claim/edge/risk delta</x:v>
      </x:c>
      <x:c r="I806" s="15" t="str">
        <x:v>packet/SWARM-06-H08-S01</x:v>
      </x:c>
      <x:c r="J806" s="15" t="str">
        <x:v>TODO</x:v>
      </x:c>
      <x:c r="K806" s="15" t="str">
        <x:v>P0</x:v>
      </x:c>
      <x:c r="L806" s="15" t="str">
        <x:v>Done only when evidence is logged, contradiction search is noted, and boundary stamp remains non-canon unless ratified</x:v>
      </x:c>
      <x:c r="M806" s="15" t="str">
        <x:v>candidate / staging-only / not canon / not deployed / authority none</x:v>
      </x:c>
      <x:c r="N806" s="15" t="str">
        <x:v>Dispatch to Forgekid: complete Graph Edge Proposals x Notion; return deltas only, receipts required.</x:v>
      </x:c>
      <x:c r="O806" s="15" t="str">
        <x:v>AF-KG-H08-S01</x:v>
      </x:c>
      <x:c r="P806" s="15" t="str">
        <x:v>Unverified</x:v>
      </x:c>
      <x:c r="Q806" s="15" t="str">
        <x:v>Not checked</x:v>
      </x:c>
      <x:c r="R806" s="15" t="str"/>
      <x:c r="S806" s="15" t="str"/>
      <x:c r="T806" s="15" t="str">
        <x:v>Log first source path or blocker</x:v>
      </x:c>
      <x:c r="U806" s="12" t="str">
        <x:f>IF(OR(P806="Unverified",Q806="Not checked"),"BLOCKED_PENDING_RECEIPT","READY_FOR_REVIEW")</x:f>
        <x:v>BLOCKED_PENDING_RECEIPT</x:v>
      </x:c>
      <x:c r="V806" s="12" t="str">
        <x:f>IF(J806="DONE","RETURNED",IF(U806="BLOCKED_PENDING_RECEIPT","SOURCE_TOUCH_REQUIRED","IN_PROGRESS"))</x:f>
        <x:v>SOURCE_TOUCH_REQUIRED</x:v>
      </x:c>
      <x:c r="W806" s="12" t="str">
        <x:f>IF(P806="Unverified","missing_receipt","receipt_logged")</x:f>
        <x:v>missing_receipt</x:v>
      </x:c>
      <x:c r="X806" s="12" t="str">
        <x:f>IF(Q806="Not checked","raw_status_missing","raw_status_logged")</x:f>
        <x:v>raw_status_missing</x:v>
      </x:c>
      <x:c r="Y806" s="12" t="str">
        <x:f>IF(U806="BLOCKED_PENDING_RECEIPT","Log source path or blocker; do not promote","Route to review lane")</x:f>
        <x:v>Log source path or blocker; do not promote</x:v>
      </x:c>
      <x:c r="Z806" s="12" t="str">
        <x:f>IF(K806="P0","Primary seat + Hashlight/Lucerna","Seat lane")</x:f>
        <x:v>Primary seat + Hashlight/Lucerna</x:v>
      </x:c>
      <x:c r="AA806" s="12" t="str">
        <x:f>IF(R806="","no_claim_delta","claim_delta_present")</x:f>
        <x:v>no_claim_delta</x:v>
      </x:c>
      <x:c r="AB806" s="12" t="str">
        <x:f>IF(S806="","no_contradiction_delta","contradiction_delta_present")</x:f>
        <x:v>no_contradiction_delta</x:v>
      </x:c>
      <x:c r="AC806" s="12" t="str">
        <x:f>IF(OR(ISNUMBER(SEARCH("hacker",LOWER(F806&amp;" "&amp;H806&amp;" "&amp;I806&amp;" "&amp;M806&amp;" "&amp;N806&amp;" "&amp;T806))),ISNUMBER(SEARCH("hacking",LOWER(F806&amp;" "&amp;H806&amp;" "&amp;I806&amp;" "&amp;M806&amp;" "&amp;N806&amp;" "&amp;T806))),ISNUMBER(SEARCH("bank",LOWER(F806&amp;" "&amp;H806&amp;" "&amp;I806&amp;" "&amp;M806&amp;" "&amp;N806&amp;" "&amp;T806))),ISNUMBER(SEARCH("banking",LOWER(F806&amp;" "&amp;H806&amp;" "&amp;I806&amp;" "&amp;M806&amp;" "&amp;N806&amp;" "&amp;T806)))),"PRIVATE_QUARANTINE",IF(OR(ISNUMBER(SEARCH("treasury",LOWER(F806&amp;" "&amp;H806&amp;" "&amp;I806&amp;" "&amp;M806&amp;" "&amp;N806&amp;" "&amp;T806))),ISNUMBER(SEARCH("debt",LOWER(F806&amp;" "&amp;H806&amp;" "&amp;I806&amp;" "&amp;M806&amp;" "&amp;N806&amp;" "&amp;T806))),ISNUMBER(SEARCH("bond",LOWER(F806&amp;" "&amp;H806&amp;" "&amp;I806&amp;" "&amp;M806&amp;" "&amp;N806&amp;" "&amp;T806))),ISNUMBER(SEARCH("transaction",LOWER(F806&amp;" "&amp;H806&amp;" "&amp;I806&amp;" "&amp;M806&amp;" "&amp;N806&amp;" "&amp;T806)))),"PRIVATE_REVIEW","PUBLIC_CANDIDATE"))</x:f>
        <x:v>PUBLIC_CANDIDATE</x:v>
      </x:c>
      <x:c r="AD806" s="12" t="str">
        <x:f>IF(AC806="PRIVATE_QUARANTINE","hacker_or_bank_trigger",IF(AC806="PRIVATE_REVIEW","finance_risk_trigger","none"))</x:f>
        <x:v>none</x:v>
      </x:c>
      <x:c r="AE806" s="12" t="str">
        <x:f>IF(AC806="PUBLIC_CANDIDATE","prepare_public_github_candidate",IF(AC806="PRIVATE_REVIEW","hold_for_private_review","quarantine_private_do_not_publish"))</x:f>
        <x:v>prepare_public_github_candidate</x:v>
      </x:c>
      <x:c r="AF806" s="12" t="str">
        <x:f>IF(AC806="PUBLIC_CANDIDATE","TIDELOCK + Lucerna",IF(AC806="PRIVATE_REVIEW","AtlasBrain + Lucerna","TIDELOCK + Lucerna + Human-root"))</x:f>
        <x:v>TIDELOCK + Lucerna</x:v>
      </x:c>
      <x:c r="AG806" s="12" t="str">
        <x:f>IF(AND(AC806="PUBLIC_CANDIDATE",U806&lt;&gt;"BLOCKED_PENDING_RECEIPT"),"READY_AFTER_RECEIPT","NOT_READY")</x:f>
        <x:v>NOT_READY</x:v>
      </x:c>
      <x:c r="AH806" s="12" t="str">
        <x:f>IF(AC806="PUBLIC_CANDIDATE","none",AD806)</x:f>
        <x:v>none</x:v>
      </x:c>
      <x:c r="AI806" s="12" t="str">
        <x:f>IF(AC806="PUBLIC_CANDIDATE","archive/public_candidates/"&amp;A806,"private_quarantine/"&amp;A806)</x:f>
        <x:v>archive/public_candidates/SWARM-06-H08-S01</x:v>
      </x:c>
      <x:c r="AJ806" s="12" t="str">
        <x:f>IF(AC806="PUBLIC_CANDIDATE","public by default; still not canon","private/hold; do not publish")</x:f>
        <x:v>public by default; still not canon</x:v>
      </x:c>
      <x:c r="AK806" s="12" t="str">
        <x:f>IF(AE806="prepare_public_github_candidate","add receipt/status then mirror","resolve blocker before any public GitHub action")</x:f>
        <x:v>add receipt/status then mirror</x:v>
      </x:c>
    </x:row>
    <x:row r="807">
      <x:c r="A807" s="15" t="str">
        <x:v>SWARM-06-H08-S02</x:v>
      </x:c>
      <x:c r="B807" s="15" t="str">
        <x:v>Forgekid</x:v>
      </x:c>
      <x:c r="C807" s="15" t="str">
        <x:v>Aetherforge UX builder</x:v>
      </x:c>
      <x:c r="D807" s="15" t="str">
        <x:v>Graph Edge Proposals</x:v>
      </x:c>
      <x:c r="E807" s="15" t="str">
        <x:v>Drive</x:v>
      </x:c>
      <x:c r="F807" s="15" t="str">
        <x:v>Propose graph edges for Drive — Forgekid</x:v>
      </x:c>
      <x:c r="G807" s="15" t="str">
        <x:v>quest cards / task cards / board affordances</x:v>
      </x:c>
      <x:c r="H807" s="15" t="str">
        <x:v>source path + receipt + raw/export status + claim/edge/risk delta</x:v>
      </x:c>
      <x:c r="I807" s="15" t="str">
        <x:v>packet/SWARM-06-H08-S02</x:v>
      </x:c>
      <x:c r="J807" s="15" t="str">
        <x:v>TODO</x:v>
      </x:c>
      <x:c r="K807" s="15" t="str">
        <x:v>P0</x:v>
      </x:c>
      <x:c r="L807" s="15" t="str">
        <x:v>Done only when evidence is logged, contradiction search is noted, and boundary stamp remains non-canon unless ratified</x:v>
      </x:c>
      <x:c r="M807" s="15" t="str">
        <x:v>candidate / staging-only / not canon / not deployed / authority none</x:v>
      </x:c>
      <x:c r="N807" s="15" t="str">
        <x:v>Dispatch to Forgekid: complete Graph Edge Proposals x Drive; return deltas only, receipts required.</x:v>
      </x:c>
      <x:c r="O807" s="15" t="str">
        <x:v>AF-KG-H08-S02</x:v>
      </x:c>
      <x:c r="P807" s="15" t="str">
        <x:v>Unverified</x:v>
      </x:c>
      <x:c r="Q807" s="15" t="str">
        <x:v>Not checked</x:v>
      </x:c>
      <x:c r="R807" s="15" t="str"/>
      <x:c r="S807" s="15" t="str"/>
      <x:c r="T807" s="15" t="str">
        <x:v>Log first source path or blocker</x:v>
      </x:c>
      <x:c r="U807" s="12" t="str">
        <x:f>IF(OR(P807="Unverified",Q807="Not checked"),"BLOCKED_PENDING_RECEIPT","READY_FOR_REVIEW")</x:f>
        <x:v>BLOCKED_PENDING_RECEIPT</x:v>
      </x:c>
      <x:c r="V807" s="12" t="str">
        <x:f>IF(J807="DONE","RETURNED",IF(U807="BLOCKED_PENDING_RECEIPT","SOURCE_TOUCH_REQUIRED","IN_PROGRESS"))</x:f>
        <x:v>SOURCE_TOUCH_REQUIRED</x:v>
      </x:c>
      <x:c r="W807" s="12" t="str">
        <x:f>IF(P807="Unverified","missing_receipt","receipt_logged")</x:f>
        <x:v>missing_receipt</x:v>
      </x:c>
      <x:c r="X807" s="12" t="str">
        <x:f>IF(Q807="Not checked","raw_status_missing","raw_status_logged")</x:f>
        <x:v>raw_status_missing</x:v>
      </x:c>
      <x:c r="Y807" s="12" t="str">
        <x:f>IF(U807="BLOCKED_PENDING_RECEIPT","Log source path or blocker; do not promote","Route to review lane")</x:f>
        <x:v>Log source path or blocker; do not promote</x:v>
      </x:c>
      <x:c r="Z807" s="12" t="str">
        <x:f>IF(K807="P0","Primary seat + Hashlight/Lucerna","Seat lane")</x:f>
        <x:v>Primary seat + Hashlight/Lucerna</x:v>
      </x:c>
      <x:c r="AA807" s="12" t="str">
        <x:f>IF(R807="","no_claim_delta","claim_delta_present")</x:f>
        <x:v>no_claim_delta</x:v>
      </x:c>
      <x:c r="AB807" s="12" t="str">
        <x:f>IF(S807="","no_contradiction_delta","contradiction_delta_present")</x:f>
        <x:v>no_contradiction_delta</x:v>
      </x:c>
      <x:c r="AC807" s="12" t="str">
        <x:f>IF(OR(ISNUMBER(SEARCH("hacker",LOWER(F807&amp;" "&amp;H807&amp;" "&amp;I807&amp;" "&amp;M807&amp;" "&amp;N807&amp;" "&amp;T807))),ISNUMBER(SEARCH("hacking",LOWER(F807&amp;" "&amp;H807&amp;" "&amp;I807&amp;" "&amp;M807&amp;" "&amp;N807&amp;" "&amp;T807))),ISNUMBER(SEARCH("bank",LOWER(F807&amp;" "&amp;H807&amp;" "&amp;I807&amp;" "&amp;M807&amp;" "&amp;N807&amp;" "&amp;T807))),ISNUMBER(SEARCH("banking",LOWER(F807&amp;" "&amp;H807&amp;" "&amp;I807&amp;" "&amp;M807&amp;" "&amp;N807&amp;" "&amp;T807)))),"PRIVATE_QUARANTINE",IF(OR(ISNUMBER(SEARCH("treasury",LOWER(F807&amp;" "&amp;H807&amp;" "&amp;I807&amp;" "&amp;M807&amp;" "&amp;N807&amp;" "&amp;T807))),ISNUMBER(SEARCH("debt",LOWER(F807&amp;" "&amp;H807&amp;" "&amp;I807&amp;" "&amp;M807&amp;" "&amp;N807&amp;" "&amp;T807))),ISNUMBER(SEARCH("bond",LOWER(F807&amp;" "&amp;H807&amp;" "&amp;I807&amp;" "&amp;M807&amp;" "&amp;N807&amp;" "&amp;T807))),ISNUMBER(SEARCH("transaction",LOWER(F807&amp;" "&amp;H807&amp;" "&amp;I807&amp;" "&amp;M807&amp;" "&amp;N807&amp;" "&amp;T807)))),"PRIVATE_REVIEW","PUBLIC_CANDIDATE"))</x:f>
        <x:v>PUBLIC_CANDIDATE</x:v>
      </x:c>
      <x:c r="AD807" s="12" t="str">
        <x:f>IF(AC807="PRIVATE_QUARANTINE","hacker_or_bank_trigger",IF(AC807="PRIVATE_REVIEW","finance_risk_trigger","none"))</x:f>
        <x:v>none</x:v>
      </x:c>
      <x:c r="AE807" s="12" t="str">
        <x:f>IF(AC807="PUBLIC_CANDIDATE","prepare_public_github_candidate",IF(AC807="PRIVATE_REVIEW","hold_for_private_review","quarantine_private_do_not_publish"))</x:f>
        <x:v>prepare_public_github_candidate</x:v>
      </x:c>
      <x:c r="AF807" s="12" t="str">
        <x:f>IF(AC807="PUBLIC_CANDIDATE","TIDELOCK + Lucerna",IF(AC807="PRIVATE_REVIEW","AtlasBrain + Lucerna","TIDELOCK + Lucerna + Human-root"))</x:f>
        <x:v>TIDELOCK + Lucerna</x:v>
      </x:c>
      <x:c r="AG807" s="12" t="str">
        <x:f>IF(AND(AC807="PUBLIC_CANDIDATE",U807&lt;&gt;"BLOCKED_PENDING_RECEIPT"),"READY_AFTER_RECEIPT","NOT_READY")</x:f>
        <x:v>NOT_READY</x:v>
      </x:c>
      <x:c r="AH807" s="12" t="str">
        <x:f>IF(AC807="PUBLIC_CANDIDATE","none",AD807)</x:f>
        <x:v>none</x:v>
      </x:c>
      <x:c r="AI807" s="12" t="str">
        <x:f>IF(AC807="PUBLIC_CANDIDATE","archive/public_candidates/"&amp;A807,"private_quarantine/"&amp;A807)</x:f>
        <x:v>archive/public_candidates/SWARM-06-H08-S02</x:v>
      </x:c>
      <x:c r="AJ807" s="12" t="str">
        <x:f>IF(AC807="PUBLIC_CANDIDATE","public by default; still not canon","private/hold; do not publish")</x:f>
        <x:v>public by default; still not canon</x:v>
      </x:c>
      <x:c r="AK807" s="12" t="str">
        <x:f>IF(AE807="prepare_public_github_candidate","add receipt/status then mirror","resolve blocker before any public GitHub action")</x:f>
        <x:v>add receipt/status then mirror</x:v>
      </x:c>
    </x:row>
    <x:row r="808">
      <x:c r="A808" s="15" t="str">
        <x:v>SWARM-06-H08-S03</x:v>
      </x:c>
      <x:c r="B808" s="15" t="str">
        <x:v>Forgekid</x:v>
      </x:c>
      <x:c r="C808" s="15" t="str">
        <x:v>Aetherforge UX builder</x:v>
      </x:c>
      <x:c r="D808" s="15" t="str">
        <x:v>Graph Edge Proposals</x:v>
      </x:c>
      <x:c r="E808" s="15" t="str">
        <x:v>GitHub</x:v>
      </x:c>
      <x:c r="F808" s="15" t="str">
        <x:v>Propose graph edges for GitHub — Forgekid</x:v>
      </x:c>
      <x:c r="G808" s="15" t="str">
        <x:v>quest cards / task cards / board affordances</x:v>
      </x:c>
      <x:c r="H808" s="15" t="str">
        <x:v>source path + receipt + raw/export status + claim/edge/risk delta</x:v>
      </x:c>
      <x:c r="I808" s="15" t="str">
        <x:v>packet/SWARM-06-H08-S03</x:v>
      </x:c>
      <x:c r="J808" s="15" t="str">
        <x:v>TODO</x:v>
      </x:c>
      <x:c r="K808" s="15" t="str">
        <x:v>P0</x:v>
      </x:c>
      <x:c r="L808" s="15" t="str">
        <x:v>Done only when evidence is logged, contradiction search is noted, and boundary stamp remains non-canon unless ratified</x:v>
      </x:c>
      <x:c r="M808" s="15" t="str">
        <x:v>candidate / staging-only / not canon / not deployed / authority none</x:v>
      </x:c>
      <x:c r="N808" s="15" t="str">
        <x:v>Dispatch to Forgekid: complete Graph Edge Proposals x GitHub; return deltas only, receipts required.</x:v>
      </x:c>
      <x:c r="O808" s="15" t="str">
        <x:v>AF-KG-H08-S03</x:v>
      </x:c>
      <x:c r="P808" s="15" t="str">
        <x:v>Unverified</x:v>
      </x:c>
      <x:c r="Q808" s="15" t="str">
        <x:v>Not checked</x:v>
      </x:c>
      <x:c r="R808" s="15" t="str"/>
      <x:c r="S808" s="15" t="str"/>
      <x:c r="T808" s="15" t="str">
        <x:v>Log first source path or blocker</x:v>
      </x:c>
      <x:c r="U808" s="12" t="str">
        <x:f>IF(OR(P808="Unverified",Q808="Not checked"),"BLOCKED_PENDING_RECEIPT","READY_FOR_REVIEW")</x:f>
        <x:v>BLOCKED_PENDING_RECEIPT</x:v>
      </x:c>
      <x:c r="V808" s="12" t="str">
        <x:f>IF(J808="DONE","RETURNED",IF(U808="BLOCKED_PENDING_RECEIPT","SOURCE_TOUCH_REQUIRED","IN_PROGRESS"))</x:f>
        <x:v>SOURCE_TOUCH_REQUIRED</x:v>
      </x:c>
      <x:c r="W808" s="12" t="str">
        <x:f>IF(P808="Unverified","missing_receipt","receipt_logged")</x:f>
        <x:v>missing_receipt</x:v>
      </x:c>
      <x:c r="X808" s="12" t="str">
        <x:f>IF(Q808="Not checked","raw_status_missing","raw_status_logged")</x:f>
        <x:v>raw_status_missing</x:v>
      </x:c>
      <x:c r="Y808" s="12" t="str">
        <x:f>IF(U808="BLOCKED_PENDING_RECEIPT","Log source path or blocker; do not promote","Route to review lane")</x:f>
        <x:v>Log source path or blocker; do not promote</x:v>
      </x:c>
      <x:c r="Z808" s="12" t="str">
        <x:f>IF(K808="P0","Primary seat + Hashlight/Lucerna","Seat lane")</x:f>
        <x:v>Primary seat + Hashlight/Lucerna</x:v>
      </x:c>
      <x:c r="AA808" s="12" t="str">
        <x:f>IF(R808="","no_claim_delta","claim_delta_present")</x:f>
        <x:v>no_claim_delta</x:v>
      </x:c>
      <x:c r="AB808" s="12" t="str">
        <x:f>IF(S808="","no_contradiction_delta","contradiction_delta_present")</x:f>
        <x:v>no_contradiction_delta</x:v>
      </x:c>
      <x:c r="AC808" s="12" t="str">
        <x:f>IF(OR(ISNUMBER(SEARCH("hacker",LOWER(F808&amp;" "&amp;H808&amp;" "&amp;I808&amp;" "&amp;M808&amp;" "&amp;N808&amp;" "&amp;T808))),ISNUMBER(SEARCH("hacking",LOWER(F808&amp;" "&amp;H808&amp;" "&amp;I808&amp;" "&amp;M808&amp;" "&amp;N808&amp;" "&amp;T808))),ISNUMBER(SEARCH("bank",LOWER(F808&amp;" "&amp;H808&amp;" "&amp;I808&amp;" "&amp;M808&amp;" "&amp;N808&amp;" "&amp;T808))),ISNUMBER(SEARCH("banking",LOWER(F808&amp;" "&amp;H808&amp;" "&amp;I808&amp;" "&amp;M808&amp;" "&amp;N808&amp;" "&amp;T808)))),"PRIVATE_QUARANTINE",IF(OR(ISNUMBER(SEARCH("treasury",LOWER(F808&amp;" "&amp;H808&amp;" "&amp;I808&amp;" "&amp;M808&amp;" "&amp;N808&amp;" "&amp;T808))),ISNUMBER(SEARCH("debt",LOWER(F808&amp;" "&amp;H808&amp;" "&amp;I808&amp;" "&amp;M808&amp;" "&amp;N808&amp;" "&amp;T808))),ISNUMBER(SEARCH("bond",LOWER(F808&amp;" "&amp;H808&amp;" "&amp;I808&amp;" "&amp;M808&amp;" "&amp;N808&amp;" "&amp;T808))),ISNUMBER(SEARCH("transaction",LOWER(F808&amp;" "&amp;H808&amp;" "&amp;I808&amp;" "&amp;M808&amp;" "&amp;N808&amp;" "&amp;T808)))),"PRIVATE_REVIEW","PUBLIC_CANDIDATE"))</x:f>
        <x:v>PUBLIC_CANDIDATE</x:v>
      </x:c>
      <x:c r="AD808" s="12" t="str">
        <x:f>IF(AC808="PRIVATE_QUARANTINE","hacker_or_bank_trigger",IF(AC808="PRIVATE_REVIEW","finance_risk_trigger","none"))</x:f>
        <x:v>none</x:v>
      </x:c>
      <x:c r="AE808" s="12" t="str">
        <x:f>IF(AC808="PUBLIC_CANDIDATE","prepare_public_github_candidate",IF(AC808="PRIVATE_REVIEW","hold_for_private_review","quarantine_private_do_not_publish"))</x:f>
        <x:v>prepare_public_github_candidate</x:v>
      </x:c>
      <x:c r="AF808" s="12" t="str">
        <x:f>IF(AC808="PUBLIC_CANDIDATE","TIDELOCK + Lucerna",IF(AC808="PRIVATE_REVIEW","AtlasBrain + Lucerna","TIDELOCK + Lucerna + Human-root"))</x:f>
        <x:v>TIDELOCK + Lucerna</x:v>
      </x:c>
      <x:c r="AG808" s="12" t="str">
        <x:f>IF(AND(AC808="PUBLIC_CANDIDATE",U808&lt;&gt;"BLOCKED_PENDING_RECEIPT"),"READY_AFTER_RECEIPT","NOT_READY")</x:f>
        <x:v>NOT_READY</x:v>
      </x:c>
      <x:c r="AH808" s="12" t="str">
        <x:f>IF(AC808="PUBLIC_CANDIDATE","none",AD808)</x:f>
        <x:v>none</x:v>
      </x:c>
      <x:c r="AI808" s="12" t="str">
        <x:f>IF(AC808="PUBLIC_CANDIDATE","archive/public_candidates/"&amp;A808,"private_quarantine/"&amp;A808)</x:f>
        <x:v>archive/public_candidates/SWARM-06-H08-S03</x:v>
      </x:c>
      <x:c r="AJ808" s="12" t="str">
        <x:f>IF(AC808="PUBLIC_CANDIDATE","public by default; still not canon","private/hold; do not publish")</x:f>
        <x:v>public by default; still not canon</x:v>
      </x:c>
      <x:c r="AK808" s="12" t="str">
        <x:f>IF(AE808="prepare_public_github_candidate","add receipt/status then mirror","resolve blocker before any public GitHub action")</x:f>
        <x:v>add receipt/status then mirror</x:v>
      </x:c>
    </x:row>
    <x:row r="809">
      <x:c r="A809" s="15" t="str">
        <x:v>SWARM-06-H08-S04</x:v>
      </x:c>
      <x:c r="B809" s="15" t="str">
        <x:v>Forgekid</x:v>
      </x:c>
      <x:c r="C809" s="15" t="str">
        <x:v>Aetherforge UX builder</x:v>
      </x:c>
      <x:c r="D809" s="15" t="str">
        <x:v>Graph Edge Proposals</x:v>
      </x:c>
      <x:c r="E809" s="15" t="str">
        <x:v>Gamma</x:v>
      </x:c>
      <x:c r="F809" s="15" t="str">
        <x:v>Propose graph edges for Gamma — Forgekid</x:v>
      </x:c>
      <x:c r="G809" s="15" t="str">
        <x:v>quest cards / task cards / board affordances</x:v>
      </x:c>
      <x:c r="H809" s="15" t="str">
        <x:v>source path + receipt + raw/export status + claim/edge/risk delta</x:v>
      </x:c>
      <x:c r="I809" s="15" t="str">
        <x:v>packet/SWARM-06-H08-S04</x:v>
      </x:c>
      <x:c r="J809" s="15" t="str">
        <x:v>TODO</x:v>
      </x:c>
      <x:c r="K809" s="15" t="str">
        <x:v>P1</x:v>
      </x:c>
      <x:c r="L809" s="15" t="str">
        <x:v>Done only when evidence is logged, contradiction search is noted, and boundary stamp remains non-canon unless ratified</x:v>
      </x:c>
      <x:c r="M809" s="15" t="str">
        <x:v>candidate / staging-only / not canon / not deployed / authority none</x:v>
      </x:c>
      <x:c r="N809" s="15" t="str">
        <x:v>Dispatch to Forgekid: complete Graph Edge Proposals x Gamma; return deltas only, receipts required.</x:v>
      </x:c>
      <x:c r="O809" s="15" t="str">
        <x:v>AF-KG-H08-S04</x:v>
      </x:c>
      <x:c r="P809" s="15" t="str">
        <x:v>Unverified</x:v>
      </x:c>
      <x:c r="Q809" s="15" t="str">
        <x:v>Not checked</x:v>
      </x:c>
      <x:c r="R809" s="15" t="str"/>
      <x:c r="S809" s="15" t="str"/>
      <x:c r="T809" s="15" t="str">
        <x:v>Log first source path or blocker</x:v>
      </x:c>
      <x:c r="U809" s="12" t="str">
        <x:f>IF(OR(P809="Unverified",Q809="Not checked"),"BLOCKED_PENDING_RECEIPT","READY_FOR_REVIEW")</x:f>
        <x:v>BLOCKED_PENDING_RECEIPT</x:v>
      </x:c>
      <x:c r="V809" s="12" t="str">
        <x:f>IF(J809="DONE","RETURNED",IF(U809="BLOCKED_PENDING_RECEIPT","SOURCE_TOUCH_REQUIRED","IN_PROGRESS"))</x:f>
        <x:v>SOURCE_TOUCH_REQUIRED</x:v>
      </x:c>
      <x:c r="W809" s="12" t="str">
        <x:f>IF(P809="Unverified","missing_receipt","receipt_logged")</x:f>
        <x:v>missing_receipt</x:v>
      </x:c>
      <x:c r="X809" s="12" t="str">
        <x:f>IF(Q809="Not checked","raw_status_missing","raw_status_logged")</x:f>
        <x:v>raw_status_missing</x:v>
      </x:c>
      <x:c r="Y809" s="12" t="str">
        <x:f>IF(U809="BLOCKED_PENDING_RECEIPT","Log source path or blocker; do not promote","Route to review lane")</x:f>
        <x:v>Log source path or blocker; do not promote</x:v>
      </x:c>
      <x:c r="Z809" s="12" t="str">
        <x:f>IF(K809="P0","Primary seat + Hashlight/Lucerna","Seat lane")</x:f>
        <x:v>Seat lane</x:v>
      </x:c>
      <x:c r="AA809" s="12" t="str">
        <x:f>IF(R809="","no_claim_delta","claim_delta_present")</x:f>
        <x:v>no_claim_delta</x:v>
      </x:c>
      <x:c r="AB809" s="12" t="str">
        <x:f>IF(S809="","no_contradiction_delta","contradiction_delta_present")</x:f>
        <x:v>no_contradiction_delta</x:v>
      </x:c>
      <x:c r="AC809" s="12" t="str">
        <x:f>IF(OR(ISNUMBER(SEARCH("hacker",LOWER(F809&amp;" "&amp;H809&amp;" "&amp;I809&amp;" "&amp;M809&amp;" "&amp;N809&amp;" "&amp;T809))),ISNUMBER(SEARCH("hacking",LOWER(F809&amp;" "&amp;H809&amp;" "&amp;I809&amp;" "&amp;M809&amp;" "&amp;N809&amp;" "&amp;T809))),ISNUMBER(SEARCH("bank",LOWER(F809&amp;" "&amp;H809&amp;" "&amp;I809&amp;" "&amp;M809&amp;" "&amp;N809&amp;" "&amp;T809))),ISNUMBER(SEARCH("banking",LOWER(F809&amp;" "&amp;H809&amp;" "&amp;I809&amp;" "&amp;M809&amp;" "&amp;N809&amp;" "&amp;T809)))),"PRIVATE_QUARANTINE",IF(OR(ISNUMBER(SEARCH("treasury",LOWER(F809&amp;" "&amp;H809&amp;" "&amp;I809&amp;" "&amp;M809&amp;" "&amp;N809&amp;" "&amp;T809))),ISNUMBER(SEARCH("debt",LOWER(F809&amp;" "&amp;H809&amp;" "&amp;I809&amp;" "&amp;M809&amp;" "&amp;N809&amp;" "&amp;T809))),ISNUMBER(SEARCH("bond",LOWER(F809&amp;" "&amp;H809&amp;" "&amp;I809&amp;" "&amp;M809&amp;" "&amp;N809&amp;" "&amp;T809))),ISNUMBER(SEARCH("transaction",LOWER(F809&amp;" "&amp;H809&amp;" "&amp;I809&amp;" "&amp;M809&amp;" "&amp;N809&amp;" "&amp;T809)))),"PRIVATE_REVIEW","PUBLIC_CANDIDATE"))</x:f>
        <x:v>PUBLIC_CANDIDATE</x:v>
      </x:c>
      <x:c r="AD809" s="12" t="str">
        <x:f>IF(AC809="PRIVATE_QUARANTINE","hacker_or_bank_trigger",IF(AC809="PRIVATE_REVIEW","finance_risk_trigger","none"))</x:f>
        <x:v>none</x:v>
      </x:c>
      <x:c r="AE809" s="12" t="str">
        <x:f>IF(AC809="PUBLIC_CANDIDATE","prepare_public_github_candidate",IF(AC809="PRIVATE_REVIEW","hold_for_private_review","quarantine_private_do_not_publish"))</x:f>
        <x:v>prepare_public_github_candidate</x:v>
      </x:c>
      <x:c r="AF809" s="12" t="str">
        <x:f>IF(AC809="PUBLIC_CANDIDATE","TIDELOCK + Lucerna",IF(AC809="PRIVATE_REVIEW","AtlasBrain + Lucerna","TIDELOCK + Lucerna + Human-root"))</x:f>
        <x:v>TIDELOCK + Lucerna</x:v>
      </x:c>
      <x:c r="AG809" s="12" t="str">
        <x:f>IF(AND(AC809="PUBLIC_CANDIDATE",U809&lt;&gt;"BLOCKED_PENDING_RECEIPT"),"READY_AFTER_RECEIPT","NOT_READY")</x:f>
        <x:v>NOT_READY</x:v>
      </x:c>
      <x:c r="AH809" s="12" t="str">
        <x:f>IF(AC809="PUBLIC_CANDIDATE","none",AD809)</x:f>
        <x:v>none</x:v>
      </x:c>
      <x:c r="AI809" s="12" t="str">
        <x:f>IF(AC809="PUBLIC_CANDIDATE","archive/public_candidates/"&amp;A809,"private_quarantine/"&amp;A809)</x:f>
        <x:v>archive/public_candidates/SWARM-06-H08-S04</x:v>
      </x:c>
      <x:c r="AJ809" s="12" t="str">
        <x:f>IF(AC809="PUBLIC_CANDIDATE","public by default; still not canon","private/hold; do not publish")</x:f>
        <x:v>public by default; still not canon</x:v>
      </x:c>
      <x:c r="AK809" s="12" t="str">
        <x:f>IF(AE809="prepare_public_github_candidate","add receipt/status then mirror","resolve blocker before any public GitHub action")</x:f>
        <x:v>add receipt/status then mirror</x:v>
      </x:c>
    </x:row>
    <x:row r="810">
      <x:c r="A810" s="15" t="str">
        <x:v>SWARM-06-H08-S05</x:v>
      </x:c>
      <x:c r="B810" s="15" t="str">
        <x:v>Forgekid</x:v>
      </x:c>
      <x:c r="C810" s="15" t="str">
        <x:v>Aetherforge UX builder</x:v>
      </x:c>
      <x:c r="D810" s="15" t="str">
        <x:v>Graph Edge Proposals</x:v>
      </x:c>
      <x:c r="E810" s="15" t="str">
        <x:v>Chat</x:v>
      </x:c>
      <x:c r="F810" s="15" t="str">
        <x:v>Propose graph edges for Chat — Forgekid</x:v>
      </x:c>
      <x:c r="G810" s="15" t="str">
        <x:v>quest cards / task cards / board affordances</x:v>
      </x:c>
      <x:c r="H810" s="15" t="str">
        <x:v>source path + receipt + raw/export status + claim/edge/risk delta</x:v>
      </x:c>
      <x:c r="I810" s="15" t="str">
        <x:v>packet/SWARM-06-H08-S05</x:v>
      </x:c>
      <x:c r="J810" s="15" t="str">
        <x:v>TODO</x:v>
      </x:c>
      <x:c r="K810" s="15" t="str">
        <x:v>P1</x:v>
      </x:c>
      <x:c r="L810" s="15" t="str">
        <x:v>Done only when evidence is logged, contradiction search is noted, and boundary stamp remains non-canon unless ratified</x:v>
      </x:c>
      <x:c r="M810" s="15" t="str">
        <x:v>candidate / staging-only / not canon / not deployed / authority none</x:v>
      </x:c>
      <x:c r="N810" s="15" t="str">
        <x:v>Dispatch to Forgekid: complete Graph Edge Proposals x Chat; return deltas only, receipts required.</x:v>
      </x:c>
      <x:c r="O810" s="15" t="str">
        <x:v>AF-KG-H08-S05</x:v>
      </x:c>
      <x:c r="P810" s="15" t="str">
        <x:v>Unverified</x:v>
      </x:c>
      <x:c r="Q810" s="15" t="str">
        <x:v>Not checked</x:v>
      </x:c>
      <x:c r="R810" s="15" t="str"/>
      <x:c r="S810" s="15" t="str"/>
      <x:c r="T810" s="15" t="str">
        <x:v>Log first source path or blocker</x:v>
      </x:c>
      <x:c r="U810" s="12" t="str">
        <x:f>IF(OR(P810="Unverified",Q810="Not checked"),"BLOCKED_PENDING_RECEIPT","READY_FOR_REVIEW")</x:f>
        <x:v>BLOCKED_PENDING_RECEIPT</x:v>
      </x:c>
      <x:c r="V810" s="12" t="str">
        <x:f>IF(J810="DONE","RETURNED",IF(U810="BLOCKED_PENDING_RECEIPT","SOURCE_TOUCH_REQUIRED","IN_PROGRESS"))</x:f>
        <x:v>SOURCE_TOUCH_REQUIRED</x:v>
      </x:c>
      <x:c r="W810" s="12" t="str">
        <x:f>IF(P810="Unverified","missing_receipt","receipt_logged")</x:f>
        <x:v>missing_receipt</x:v>
      </x:c>
      <x:c r="X810" s="12" t="str">
        <x:f>IF(Q810="Not checked","raw_status_missing","raw_status_logged")</x:f>
        <x:v>raw_status_missing</x:v>
      </x:c>
      <x:c r="Y810" s="12" t="str">
        <x:f>IF(U810="BLOCKED_PENDING_RECEIPT","Log source path or blocker; do not promote","Route to review lane")</x:f>
        <x:v>Log source path or blocker; do not promote</x:v>
      </x:c>
      <x:c r="Z810" s="12" t="str">
        <x:f>IF(K810="P0","Primary seat + Hashlight/Lucerna","Seat lane")</x:f>
        <x:v>Seat lane</x:v>
      </x:c>
      <x:c r="AA810" s="12" t="str">
        <x:f>IF(R810="","no_claim_delta","claim_delta_present")</x:f>
        <x:v>no_claim_delta</x:v>
      </x:c>
      <x:c r="AB810" s="12" t="str">
        <x:f>IF(S810="","no_contradiction_delta","contradiction_delta_present")</x:f>
        <x:v>no_contradiction_delta</x:v>
      </x:c>
      <x:c r="AC810" s="12" t="str">
        <x:f>IF(OR(ISNUMBER(SEARCH("hacker",LOWER(F810&amp;" "&amp;H810&amp;" "&amp;I810&amp;" "&amp;M810&amp;" "&amp;N810&amp;" "&amp;T810))),ISNUMBER(SEARCH("hacking",LOWER(F810&amp;" "&amp;H810&amp;" "&amp;I810&amp;" "&amp;M810&amp;" "&amp;N810&amp;" "&amp;T810))),ISNUMBER(SEARCH("bank",LOWER(F810&amp;" "&amp;H810&amp;" "&amp;I810&amp;" "&amp;M810&amp;" "&amp;N810&amp;" "&amp;T810))),ISNUMBER(SEARCH("banking",LOWER(F810&amp;" "&amp;H810&amp;" "&amp;I810&amp;" "&amp;M810&amp;" "&amp;N810&amp;" "&amp;T810)))),"PRIVATE_QUARANTINE",IF(OR(ISNUMBER(SEARCH("treasury",LOWER(F810&amp;" "&amp;H810&amp;" "&amp;I810&amp;" "&amp;M810&amp;" "&amp;N810&amp;" "&amp;T810))),ISNUMBER(SEARCH("debt",LOWER(F810&amp;" "&amp;H810&amp;" "&amp;I810&amp;" "&amp;M810&amp;" "&amp;N810&amp;" "&amp;T810))),ISNUMBER(SEARCH("bond",LOWER(F810&amp;" "&amp;H810&amp;" "&amp;I810&amp;" "&amp;M810&amp;" "&amp;N810&amp;" "&amp;T810))),ISNUMBER(SEARCH("transaction",LOWER(F810&amp;" "&amp;H810&amp;" "&amp;I810&amp;" "&amp;M810&amp;" "&amp;N810&amp;" "&amp;T810)))),"PRIVATE_REVIEW","PUBLIC_CANDIDATE"))</x:f>
        <x:v>PUBLIC_CANDIDATE</x:v>
      </x:c>
      <x:c r="AD810" s="12" t="str">
        <x:f>IF(AC810="PRIVATE_QUARANTINE","hacker_or_bank_trigger",IF(AC810="PRIVATE_REVIEW","finance_risk_trigger","none"))</x:f>
        <x:v>none</x:v>
      </x:c>
      <x:c r="AE810" s="12" t="str">
        <x:f>IF(AC810="PUBLIC_CANDIDATE","prepare_public_github_candidate",IF(AC810="PRIVATE_REVIEW","hold_for_private_review","quarantine_private_do_not_publish"))</x:f>
        <x:v>prepare_public_github_candidate</x:v>
      </x:c>
      <x:c r="AF810" s="12" t="str">
        <x:f>IF(AC810="PUBLIC_CANDIDATE","TIDELOCK + Lucerna",IF(AC810="PRIVATE_REVIEW","AtlasBrain + Lucerna","TIDELOCK + Lucerna + Human-root"))</x:f>
        <x:v>TIDELOCK + Lucerna</x:v>
      </x:c>
      <x:c r="AG810" s="12" t="str">
        <x:f>IF(AND(AC810="PUBLIC_CANDIDATE",U810&lt;&gt;"BLOCKED_PENDING_RECEIPT"),"READY_AFTER_RECEIPT","NOT_READY")</x:f>
        <x:v>NOT_READY</x:v>
      </x:c>
      <x:c r="AH810" s="12" t="str">
        <x:f>IF(AC810="PUBLIC_CANDIDATE","none",AD810)</x:f>
        <x:v>none</x:v>
      </x:c>
      <x:c r="AI810" s="12" t="str">
        <x:f>IF(AC810="PUBLIC_CANDIDATE","archive/public_candidates/"&amp;A810,"private_quarantine/"&amp;A810)</x:f>
        <x:v>archive/public_candidates/SWARM-06-H08-S05</x:v>
      </x:c>
      <x:c r="AJ810" s="12" t="str">
        <x:f>IF(AC810="PUBLIC_CANDIDATE","public by default; still not canon","private/hold; do not publish")</x:f>
        <x:v>public by default; still not canon</x:v>
      </x:c>
      <x:c r="AK810" s="12" t="str">
        <x:f>IF(AE810="prepare_public_github_candidate","add receipt/status then mirror","resolve blocker before any public GitHub action")</x:f>
        <x:v>add receipt/status then mirror</x:v>
      </x:c>
    </x:row>
    <x:row r="811">
      <x:c r="A811" s="15" t="str">
        <x:v>SWARM-06-H08-S06</x:v>
      </x:c>
      <x:c r="B811" s="15" t="str">
        <x:v>Forgekid</x:v>
      </x:c>
      <x:c r="C811" s="15" t="str">
        <x:v>Aetherforge UX builder</x:v>
      </x:c>
      <x:c r="D811" s="15" t="str">
        <x:v>Graph Edge Proposals</x:v>
      </x:c>
      <x:c r="E811" s="15" t="str">
        <x:v>External Web</x:v>
      </x:c>
      <x:c r="F811" s="15" t="str">
        <x:v>Propose graph edges for External Web — Forgekid</x:v>
      </x:c>
      <x:c r="G811" s="15" t="str">
        <x:v>quest cards / task cards / board affordances</x:v>
      </x:c>
      <x:c r="H811" s="15" t="str">
        <x:v>source path + receipt + raw/export status + claim/edge/risk delta</x:v>
      </x:c>
      <x:c r="I811" s="15" t="str">
        <x:v>packet/SWARM-06-H08-S06</x:v>
      </x:c>
      <x:c r="J811" s="15" t="str">
        <x:v>TODO</x:v>
      </x:c>
      <x:c r="K811" s="15" t="str">
        <x:v>P1</x:v>
      </x:c>
      <x:c r="L811" s="15" t="str">
        <x:v>Done only when evidence is logged, contradiction search is noted, and boundary stamp remains non-canon unless ratified</x:v>
      </x:c>
      <x:c r="M811" s="15" t="str">
        <x:v>candidate / staging-only / not canon / not deployed / authority none</x:v>
      </x:c>
      <x:c r="N811" s="15" t="str">
        <x:v>Dispatch to Forgekid: complete Graph Edge Proposals x External Web; return deltas only, receipts required.</x:v>
      </x:c>
      <x:c r="O811" s="15" t="str">
        <x:v>AF-KG-H08-S06</x:v>
      </x:c>
      <x:c r="P811" s="15" t="str">
        <x:v>Unverified</x:v>
      </x:c>
      <x:c r="Q811" s="15" t="str">
        <x:v>Not checked</x:v>
      </x:c>
      <x:c r="R811" s="15" t="str"/>
      <x:c r="S811" s="15" t="str"/>
      <x:c r="T811" s="15" t="str">
        <x:v>Log first source path or blocker</x:v>
      </x:c>
      <x:c r="U811" s="12" t="str">
        <x:f>IF(OR(P811="Unverified",Q811="Not checked"),"BLOCKED_PENDING_RECEIPT","READY_FOR_REVIEW")</x:f>
        <x:v>BLOCKED_PENDING_RECEIPT</x:v>
      </x:c>
      <x:c r="V811" s="12" t="str">
        <x:f>IF(J811="DONE","RETURNED",IF(U811="BLOCKED_PENDING_RECEIPT","SOURCE_TOUCH_REQUIRED","IN_PROGRESS"))</x:f>
        <x:v>SOURCE_TOUCH_REQUIRED</x:v>
      </x:c>
      <x:c r="W811" s="12" t="str">
        <x:f>IF(P811="Unverified","missing_receipt","receipt_logged")</x:f>
        <x:v>missing_receipt</x:v>
      </x:c>
      <x:c r="X811" s="12" t="str">
        <x:f>IF(Q811="Not checked","raw_status_missing","raw_status_logged")</x:f>
        <x:v>raw_status_missing</x:v>
      </x:c>
      <x:c r="Y811" s="12" t="str">
        <x:f>IF(U811="BLOCKED_PENDING_RECEIPT","Log source path or blocker; do not promote","Route to review lane")</x:f>
        <x:v>Log source path or blocker; do not promote</x:v>
      </x:c>
      <x:c r="Z811" s="12" t="str">
        <x:f>IF(K811="P0","Primary seat + Hashlight/Lucerna","Seat lane")</x:f>
        <x:v>Seat lane</x:v>
      </x:c>
      <x:c r="AA811" s="12" t="str">
        <x:f>IF(R811="","no_claim_delta","claim_delta_present")</x:f>
        <x:v>no_claim_delta</x:v>
      </x:c>
      <x:c r="AB811" s="12" t="str">
        <x:f>IF(S811="","no_contradiction_delta","contradiction_delta_present")</x:f>
        <x:v>no_contradiction_delta</x:v>
      </x:c>
      <x:c r="AC811" s="12" t="str">
        <x:f>IF(OR(ISNUMBER(SEARCH("hacker",LOWER(F811&amp;" "&amp;H811&amp;" "&amp;I811&amp;" "&amp;M811&amp;" "&amp;N811&amp;" "&amp;T811))),ISNUMBER(SEARCH("hacking",LOWER(F811&amp;" "&amp;H811&amp;" "&amp;I811&amp;" "&amp;M811&amp;" "&amp;N811&amp;" "&amp;T811))),ISNUMBER(SEARCH("bank",LOWER(F811&amp;" "&amp;H811&amp;" "&amp;I811&amp;" "&amp;M811&amp;" "&amp;N811&amp;" "&amp;T811))),ISNUMBER(SEARCH("banking",LOWER(F811&amp;" "&amp;H811&amp;" "&amp;I811&amp;" "&amp;M811&amp;" "&amp;N811&amp;" "&amp;T811)))),"PRIVATE_QUARANTINE",IF(OR(ISNUMBER(SEARCH("treasury",LOWER(F811&amp;" "&amp;H811&amp;" "&amp;I811&amp;" "&amp;M811&amp;" "&amp;N811&amp;" "&amp;T811))),ISNUMBER(SEARCH("debt",LOWER(F811&amp;" "&amp;H811&amp;" "&amp;I811&amp;" "&amp;M811&amp;" "&amp;N811&amp;" "&amp;T811))),ISNUMBER(SEARCH("bond",LOWER(F811&amp;" "&amp;H811&amp;" "&amp;I811&amp;" "&amp;M811&amp;" "&amp;N811&amp;" "&amp;T811))),ISNUMBER(SEARCH("transaction",LOWER(F811&amp;" "&amp;H811&amp;" "&amp;I811&amp;" "&amp;M811&amp;" "&amp;N811&amp;" "&amp;T811)))),"PRIVATE_REVIEW","PUBLIC_CANDIDATE"))</x:f>
        <x:v>PUBLIC_CANDIDATE</x:v>
      </x:c>
      <x:c r="AD811" s="12" t="str">
        <x:f>IF(AC811="PRIVATE_QUARANTINE","hacker_or_bank_trigger",IF(AC811="PRIVATE_REVIEW","finance_risk_trigger","none"))</x:f>
        <x:v>none</x:v>
      </x:c>
      <x:c r="AE811" s="12" t="str">
        <x:f>IF(AC811="PUBLIC_CANDIDATE","prepare_public_github_candidate",IF(AC811="PRIVATE_REVIEW","hold_for_private_review","quarantine_private_do_not_publish"))</x:f>
        <x:v>prepare_public_github_candidate</x:v>
      </x:c>
      <x:c r="AF811" s="12" t="str">
        <x:f>IF(AC811="PUBLIC_CANDIDATE","TIDELOCK + Lucerna",IF(AC811="PRIVATE_REVIEW","AtlasBrain + Lucerna","TIDELOCK + Lucerna + Human-root"))</x:f>
        <x:v>TIDELOCK + Lucerna</x:v>
      </x:c>
      <x:c r="AG811" s="12" t="str">
        <x:f>IF(AND(AC811="PUBLIC_CANDIDATE",U811&lt;&gt;"BLOCKED_PENDING_RECEIPT"),"READY_AFTER_RECEIPT","NOT_READY")</x:f>
        <x:v>NOT_READY</x:v>
      </x:c>
      <x:c r="AH811" s="12" t="str">
        <x:f>IF(AC811="PUBLIC_CANDIDATE","none",AD811)</x:f>
        <x:v>none</x:v>
      </x:c>
      <x:c r="AI811" s="12" t="str">
        <x:f>IF(AC811="PUBLIC_CANDIDATE","archive/public_candidates/"&amp;A811,"private_quarantine/"&amp;A811)</x:f>
        <x:v>archive/public_candidates/SWARM-06-H08-S06</x:v>
      </x:c>
      <x:c r="AJ811" s="12" t="str">
        <x:f>IF(AC811="PUBLIC_CANDIDATE","public by default; still not canon","private/hold; do not publish")</x:f>
        <x:v>public by default; still not canon</x:v>
      </x:c>
      <x:c r="AK811" s="12" t="str">
        <x:f>IF(AE811="prepare_public_github_candidate","add receipt/status then mirror","resolve blocker before any public GitHub action")</x:f>
        <x:v>add receipt/status then mirror</x:v>
      </x:c>
    </x:row>
    <x:row r="812">
      <x:c r="A812" s="15" t="str">
        <x:v>SWARM-06-H08-S07</x:v>
      </x:c>
      <x:c r="B812" s="15" t="str">
        <x:v>Forgekid</x:v>
      </x:c>
      <x:c r="C812" s="15" t="str">
        <x:v>Aetherforge UX builder</x:v>
      </x:c>
      <x:c r="D812" s="15" t="str">
        <x:v>Graph Edge Proposals</x:v>
      </x:c>
      <x:c r="E812" s="15" t="str">
        <x:v>Planetarium</x:v>
      </x:c>
      <x:c r="F812" s="15" t="str">
        <x:v>Propose graph edges for Planetarium — Forgekid</x:v>
      </x:c>
      <x:c r="G812" s="15" t="str">
        <x:v>quest cards / task cards / board affordances</x:v>
      </x:c>
      <x:c r="H812" s="15" t="str">
        <x:v>source path + receipt + raw/export status + claim/edge/risk delta</x:v>
      </x:c>
      <x:c r="I812" s="15" t="str">
        <x:v>packet/SWARM-06-H08-S07</x:v>
      </x:c>
      <x:c r="J812" s="15" t="str">
        <x:v>TODO</x:v>
      </x:c>
      <x:c r="K812" s="15" t="str">
        <x:v>P1</x:v>
      </x:c>
      <x:c r="L812" s="15" t="str">
        <x:v>Done only when evidence is logged, contradiction search is noted, and boundary stamp remains non-canon unless ratified</x:v>
      </x:c>
      <x:c r="M812" s="15" t="str">
        <x:v>candidate / staging-only / not canon / not deployed / authority none</x:v>
      </x:c>
      <x:c r="N812" s="15" t="str">
        <x:v>Dispatch to Forgekid: complete Graph Edge Proposals x Planetarium; return deltas only, receipts required.</x:v>
      </x:c>
      <x:c r="O812" s="15" t="str">
        <x:v>AF-KG-H08-S07</x:v>
      </x:c>
      <x:c r="P812" s="15" t="str">
        <x:v>Unverified</x:v>
      </x:c>
      <x:c r="Q812" s="15" t="str">
        <x:v>Not checked</x:v>
      </x:c>
      <x:c r="R812" s="15" t="str"/>
      <x:c r="S812" s="15" t="str"/>
      <x:c r="T812" s="15" t="str">
        <x:v>Log first source path or blocker</x:v>
      </x:c>
      <x:c r="U812" s="12" t="str">
        <x:f>IF(OR(P812="Unverified",Q812="Not checked"),"BLOCKED_PENDING_RECEIPT","READY_FOR_REVIEW")</x:f>
        <x:v>BLOCKED_PENDING_RECEIPT</x:v>
      </x:c>
      <x:c r="V812" s="12" t="str">
        <x:f>IF(J812="DONE","RETURNED",IF(U812="BLOCKED_PENDING_RECEIPT","SOURCE_TOUCH_REQUIRED","IN_PROGRESS"))</x:f>
        <x:v>SOURCE_TOUCH_REQUIRED</x:v>
      </x:c>
      <x:c r="W812" s="12" t="str">
        <x:f>IF(P812="Unverified","missing_receipt","receipt_logged")</x:f>
        <x:v>missing_receipt</x:v>
      </x:c>
      <x:c r="X812" s="12" t="str">
        <x:f>IF(Q812="Not checked","raw_status_missing","raw_status_logged")</x:f>
        <x:v>raw_status_missing</x:v>
      </x:c>
      <x:c r="Y812" s="12" t="str">
        <x:f>IF(U812="BLOCKED_PENDING_RECEIPT","Log source path or blocker; do not promote","Route to review lane")</x:f>
        <x:v>Log source path or blocker; do not promote</x:v>
      </x:c>
      <x:c r="Z812" s="12" t="str">
        <x:f>IF(K812="P0","Primary seat + Hashlight/Lucerna","Seat lane")</x:f>
        <x:v>Seat lane</x:v>
      </x:c>
      <x:c r="AA812" s="12" t="str">
        <x:f>IF(R812="","no_claim_delta","claim_delta_present")</x:f>
        <x:v>no_claim_delta</x:v>
      </x:c>
      <x:c r="AB812" s="12" t="str">
        <x:f>IF(S812="","no_contradiction_delta","contradiction_delta_present")</x:f>
        <x:v>no_contradiction_delta</x:v>
      </x:c>
      <x:c r="AC812" s="12" t="str">
        <x:f>IF(OR(ISNUMBER(SEARCH("hacker",LOWER(F812&amp;" "&amp;H812&amp;" "&amp;I812&amp;" "&amp;M812&amp;" "&amp;N812&amp;" "&amp;T812))),ISNUMBER(SEARCH("hacking",LOWER(F812&amp;" "&amp;H812&amp;" "&amp;I812&amp;" "&amp;M812&amp;" "&amp;N812&amp;" "&amp;T812))),ISNUMBER(SEARCH("bank",LOWER(F812&amp;" "&amp;H812&amp;" "&amp;I812&amp;" "&amp;M812&amp;" "&amp;N812&amp;" "&amp;T812))),ISNUMBER(SEARCH("banking",LOWER(F812&amp;" "&amp;H812&amp;" "&amp;I812&amp;" "&amp;M812&amp;" "&amp;N812&amp;" "&amp;T812)))),"PRIVATE_QUARANTINE",IF(OR(ISNUMBER(SEARCH("treasury",LOWER(F812&amp;" "&amp;H812&amp;" "&amp;I812&amp;" "&amp;M812&amp;" "&amp;N812&amp;" "&amp;T812))),ISNUMBER(SEARCH("debt",LOWER(F812&amp;" "&amp;H812&amp;" "&amp;I812&amp;" "&amp;M812&amp;" "&amp;N812&amp;" "&amp;T812))),ISNUMBER(SEARCH("bond",LOWER(F812&amp;" "&amp;H812&amp;" "&amp;I812&amp;" "&amp;M812&amp;" "&amp;N812&amp;" "&amp;T812))),ISNUMBER(SEARCH("transaction",LOWER(F812&amp;" "&amp;H812&amp;" "&amp;I812&amp;" "&amp;M812&amp;" "&amp;N812&amp;" "&amp;T812)))),"PRIVATE_REVIEW","PUBLIC_CANDIDATE"))</x:f>
        <x:v>PUBLIC_CANDIDATE</x:v>
      </x:c>
      <x:c r="AD812" s="12" t="str">
        <x:f>IF(AC812="PRIVATE_QUARANTINE","hacker_or_bank_trigger",IF(AC812="PRIVATE_REVIEW","finance_risk_trigger","none"))</x:f>
        <x:v>none</x:v>
      </x:c>
      <x:c r="AE812" s="12" t="str">
        <x:f>IF(AC812="PUBLIC_CANDIDATE","prepare_public_github_candidate",IF(AC812="PRIVATE_REVIEW","hold_for_private_review","quarantine_private_do_not_publish"))</x:f>
        <x:v>prepare_public_github_candidate</x:v>
      </x:c>
      <x:c r="AF812" s="12" t="str">
        <x:f>IF(AC812="PUBLIC_CANDIDATE","TIDELOCK + Lucerna",IF(AC812="PRIVATE_REVIEW","AtlasBrain + Lucerna","TIDELOCK + Lucerna + Human-root"))</x:f>
        <x:v>TIDELOCK + Lucerna</x:v>
      </x:c>
      <x:c r="AG812" s="12" t="str">
        <x:f>IF(AND(AC812="PUBLIC_CANDIDATE",U812&lt;&gt;"BLOCKED_PENDING_RECEIPT"),"READY_AFTER_RECEIPT","NOT_READY")</x:f>
        <x:v>NOT_READY</x:v>
      </x:c>
      <x:c r="AH812" s="12" t="str">
        <x:f>IF(AC812="PUBLIC_CANDIDATE","none",AD812)</x:f>
        <x:v>none</x:v>
      </x:c>
      <x:c r="AI812" s="12" t="str">
        <x:f>IF(AC812="PUBLIC_CANDIDATE","archive/public_candidates/"&amp;A812,"private_quarantine/"&amp;A812)</x:f>
        <x:v>archive/public_candidates/SWARM-06-H08-S07</x:v>
      </x:c>
      <x:c r="AJ812" s="12" t="str">
        <x:f>IF(AC812="PUBLIC_CANDIDATE","public by default; still not canon","private/hold; do not publish")</x:f>
        <x:v>public by default; still not canon</x:v>
      </x:c>
      <x:c r="AK812" s="12" t="str">
        <x:f>IF(AE812="prepare_public_github_candidate","add receipt/status then mirror","resolve blocker before any public GitHub action")</x:f>
        <x:v>add receipt/status then mirror</x:v>
      </x:c>
    </x:row>
    <x:row r="813">
      <x:c r="A813" s="15" t="str">
        <x:v>SWARM-06-H08-S08</x:v>
      </x:c>
      <x:c r="B813" s="15" t="str">
        <x:v>Forgekid</x:v>
      </x:c>
      <x:c r="C813" s="15" t="str">
        <x:v>Aetherforge UX builder</x:v>
      </x:c>
      <x:c r="D813" s="15" t="str">
        <x:v>Graph Edge Proposals</x:v>
      </x:c>
      <x:c r="E813" s="15" t="str">
        <x:v>Sheldonbrain</x:v>
      </x:c>
      <x:c r="F813" s="15" t="str">
        <x:v>Propose graph edges for Sheldonbrain — Forgekid</x:v>
      </x:c>
      <x:c r="G813" s="15" t="str">
        <x:v>quest cards / task cards / board affordances</x:v>
      </x:c>
      <x:c r="H813" s="15" t="str">
        <x:v>source path + receipt + raw/export status + claim/edge/risk delta</x:v>
      </x:c>
      <x:c r="I813" s="15" t="str">
        <x:v>packet/SWARM-06-H08-S08</x:v>
      </x:c>
      <x:c r="J813" s="15" t="str">
        <x:v>TODO</x:v>
      </x:c>
      <x:c r="K813" s="15" t="str">
        <x:v>P1</x:v>
      </x:c>
      <x:c r="L813" s="15" t="str">
        <x:v>Done only when evidence is logged, contradiction search is noted, and boundary stamp remains non-canon unless ratified</x:v>
      </x:c>
      <x:c r="M813" s="15" t="str">
        <x:v>candidate / staging-only / not canon / not deployed / authority none</x:v>
      </x:c>
      <x:c r="N813" s="15" t="str">
        <x:v>Dispatch to Forgekid: complete Graph Edge Proposals x Sheldonbrain; return deltas only, receipts required.</x:v>
      </x:c>
      <x:c r="O813" s="15" t="str">
        <x:v>AF-KG-H08-S08</x:v>
      </x:c>
      <x:c r="P813" s="15" t="str">
        <x:v>Unverified</x:v>
      </x:c>
      <x:c r="Q813" s="15" t="str">
        <x:v>Not checked</x:v>
      </x:c>
      <x:c r="R813" s="15" t="str"/>
      <x:c r="S813" s="15" t="str"/>
      <x:c r="T813" s="15" t="str">
        <x:v>Log first source path or blocker</x:v>
      </x:c>
      <x:c r="U813" s="12" t="str">
        <x:f>IF(OR(P813="Unverified",Q813="Not checked"),"BLOCKED_PENDING_RECEIPT","READY_FOR_REVIEW")</x:f>
        <x:v>BLOCKED_PENDING_RECEIPT</x:v>
      </x:c>
      <x:c r="V813" s="12" t="str">
        <x:f>IF(J813="DONE","RETURNED",IF(U813="BLOCKED_PENDING_RECEIPT","SOURCE_TOUCH_REQUIRED","IN_PROGRESS"))</x:f>
        <x:v>SOURCE_TOUCH_REQUIRED</x:v>
      </x:c>
      <x:c r="W813" s="12" t="str">
        <x:f>IF(P813="Unverified","missing_receipt","receipt_logged")</x:f>
        <x:v>missing_receipt</x:v>
      </x:c>
      <x:c r="X813" s="12" t="str">
        <x:f>IF(Q813="Not checked","raw_status_missing","raw_status_logged")</x:f>
        <x:v>raw_status_missing</x:v>
      </x:c>
      <x:c r="Y813" s="12" t="str">
        <x:f>IF(U813="BLOCKED_PENDING_RECEIPT","Log source path or blocker; do not promote","Route to review lane")</x:f>
        <x:v>Log source path or blocker; do not promote</x:v>
      </x:c>
      <x:c r="Z813" s="12" t="str">
        <x:f>IF(K813="P0","Primary seat + Hashlight/Lucerna","Seat lane")</x:f>
        <x:v>Seat lane</x:v>
      </x:c>
      <x:c r="AA813" s="12" t="str">
        <x:f>IF(R813="","no_claim_delta","claim_delta_present")</x:f>
        <x:v>no_claim_delta</x:v>
      </x:c>
      <x:c r="AB813" s="12" t="str">
        <x:f>IF(S813="","no_contradiction_delta","contradiction_delta_present")</x:f>
        <x:v>no_contradiction_delta</x:v>
      </x:c>
      <x:c r="AC813" s="12" t="str">
        <x:f>IF(OR(ISNUMBER(SEARCH("hacker",LOWER(F813&amp;" "&amp;H813&amp;" "&amp;I813&amp;" "&amp;M813&amp;" "&amp;N813&amp;" "&amp;T813))),ISNUMBER(SEARCH("hacking",LOWER(F813&amp;" "&amp;H813&amp;" "&amp;I813&amp;" "&amp;M813&amp;" "&amp;N813&amp;" "&amp;T813))),ISNUMBER(SEARCH("bank",LOWER(F813&amp;" "&amp;H813&amp;" "&amp;I813&amp;" "&amp;M813&amp;" "&amp;N813&amp;" "&amp;T813))),ISNUMBER(SEARCH("banking",LOWER(F813&amp;" "&amp;H813&amp;" "&amp;I813&amp;" "&amp;M813&amp;" "&amp;N813&amp;" "&amp;T813)))),"PRIVATE_QUARANTINE",IF(OR(ISNUMBER(SEARCH("treasury",LOWER(F813&amp;" "&amp;H813&amp;" "&amp;I813&amp;" "&amp;M813&amp;" "&amp;N813&amp;" "&amp;T813))),ISNUMBER(SEARCH("debt",LOWER(F813&amp;" "&amp;H813&amp;" "&amp;I813&amp;" "&amp;M813&amp;" "&amp;N813&amp;" "&amp;T813))),ISNUMBER(SEARCH("bond",LOWER(F813&amp;" "&amp;H813&amp;" "&amp;I813&amp;" "&amp;M813&amp;" "&amp;N813&amp;" "&amp;T813))),ISNUMBER(SEARCH("transaction",LOWER(F813&amp;" "&amp;H813&amp;" "&amp;I813&amp;" "&amp;M813&amp;" "&amp;N813&amp;" "&amp;T813)))),"PRIVATE_REVIEW","PUBLIC_CANDIDATE"))</x:f>
        <x:v>PUBLIC_CANDIDATE</x:v>
      </x:c>
      <x:c r="AD813" s="12" t="str">
        <x:f>IF(AC813="PRIVATE_QUARANTINE","hacker_or_bank_trigger",IF(AC813="PRIVATE_REVIEW","finance_risk_trigger","none"))</x:f>
        <x:v>none</x:v>
      </x:c>
      <x:c r="AE813" s="12" t="str">
        <x:f>IF(AC813="PUBLIC_CANDIDATE","prepare_public_github_candidate",IF(AC813="PRIVATE_REVIEW","hold_for_private_review","quarantine_private_do_not_publish"))</x:f>
        <x:v>prepare_public_github_candidate</x:v>
      </x:c>
      <x:c r="AF813" s="12" t="str">
        <x:f>IF(AC813="PUBLIC_CANDIDATE","TIDELOCK + Lucerna",IF(AC813="PRIVATE_REVIEW","AtlasBrain + Lucerna","TIDELOCK + Lucerna + Human-root"))</x:f>
        <x:v>TIDELOCK + Lucerna</x:v>
      </x:c>
      <x:c r="AG813" s="12" t="str">
        <x:f>IF(AND(AC813="PUBLIC_CANDIDATE",U813&lt;&gt;"BLOCKED_PENDING_RECEIPT"),"READY_AFTER_RECEIPT","NOT_READY")</x:f>
        <x:v>NOT_READY</x:v>
      </x:c>
      <x:c r="AH813" s="12" t="str">
        <x:f>IF(AC813="PUBLIC_CANDIDATE","none",AD813)</x:f>
        <x:v>none</x:v>
      </x:c>
      <x:c r="AI813" s="12" t="str">
        <x:f>IF(AC813="PUBLIC_CANDIDATE","archive/public_candidates/"&amp;A813,"private_quarantine/"&amp;A813)</x:f>
        <x:v>archive/public_candidates/SWARM-06-H08-S08</x:v>
      </x:c>
      <x:c r="AJ813" s="12" t="str">
        <x:f>IF(AC813="PUBLIC_CANDIDATE","public by default; still not canon","private/hold; do not publish")</x:f>
        <x:v>public by default; still not canon</x:v>
      </x:c>
      <x:c r="AK813" s="12" t="str">
        <x:f>IF(AE813="prepare_public_github_candidate","add receipt/status then mirror","resolve blocker before any public GitHub action")</x:f>
        <x:v>add receipt/status then mirror</x:v>
      </x:c>
    </x:row>
    <x:row r="814">
      <x:c r="A814" s="15" t="str">
        <x:v>SWARM-06-H08-S09</x:v>
      </x:c>
      <x:c r="B814" s="15" t="str">
        <x:v>Forgekid</x:v>
      </x:c>
      <x:c r="C814" s="15" t="str">
        <x:v>Aetherforge UX builder</x:v>
      </x:c>
      <x:c r="D814" s="15" t="str">
        <x:v>Graph Edge Proposals</x:v>
      </x:c>
      <x:c r="E814" s="15" t="str">
        <x:v>Aetherforge</x:v>
      </x:c>
      <x:c r="F814" s="15" t="str">
        <x:v>Propose graph edges for Aetherforge — Forgekid</x:v>
      </x:c>
      <x:c r="G814" s="15" t="str">
        <x:v>quest cards / task cards / board affordances</x:v>
      </x:c>
      <x:c r="H814" s="15" t="str">
        <x:v>source path + receipt + raw/export status + claim/edge/risk delta</x:v>
      </x:c>
      <x:c r="I814" s="15" t="str">
        <x:v>packet/SWARM-06-H08-S09</x:v>
      </x:c>
      <x:c r="J814" s="15" t="str">
        <x:v>TODO</x:v>
      </x:c>
      <x:c r="K814" s="15" t="str">
        <x:v>P2</x:v>
      </x:c>
      <x:c r="L814" s="15" t="str">
        <x:v>Done only when evidence is logged, contradiction search is noted, and boundary stamp remains non-canon unless ratified</x:v>
      </x:c>
      <x:c r="M814" s="15" t="str">
        <x:v>candidate / staging-only / not canon / not deployed / authority none</x:v>
      </x:c>
      <x:c r="N814" s="15" t="str">
        <x:v>Dispatch to Forgekid: complete Graph Edge Proposals x Aetherforge; return deltas only, receipts required.</x:v>
      </x:c>
      <x:c r="O814" s="15" t="str">
        <x:v>AF-KG-H08-S09</x:v>
      </x:c>
      <x:c r="P814" s="15" t="str">
        <x:v>Unverified</x:v>
      </x:c>
      <x:c r="Q814" s="15" t="str">
        <x:v>Not checked</x:v>
      </x:c>
      <x:c r="R814" s="15" t="str"/>
      <x:c r="S814" s="15" t="str"/>
      <x:c r="T814" s="15" t="str">
        <x:v>Log first source path or blocker</x:v>
      </x:c>
      <x:c r="U814" s="12" t="str">
        <x:f>IF(OR(P814="Unverified",Q814="Not checked"),"BLOCKED_PENDING_RECEIPT","READY_FOR_REVIEW")</x:f>
        <x:v>BLOCKED_PENDING_RECEIPT</x:v>
      </x:c>
      <x:c r="V814" s="12" t="str">
        <x:f>IF(J814="DONE","RETURNED",IF(U814="BLOCKED_PENDING_RECEIPT","SOURCE_TOUCH_REQUIRED","IN_PROGRESS"))</x:f>
        <x:v>SOURCE_TOUCH_REQUIRED</x:v>
      </x:c>
      <x:c r="W814" s="12" t="str">
        <x:f>IF(P814="Unverified","missing_receipt","receipt_logged")</x:f>
        <x:v>missing_receipt</x:v>
      </x:c>
      <x:c r="X814" s="12" t="str">
        <x:f>IF(Q814="Not checked","raw_status_missing","raw_status_logged")</x:f>
        <x:v>raw_status_missing</x:v>
      </x:c>
      <x:c r="Y814" s="12" t="str">
        <x:f>IF(U814="BLOCKED_PENDING_RECEIPT","Log source path or blocker; do not promote","Route to review lane")</x:f>
        <x:v>Log source path or blocker; do not promote</x:v>
      </x:c>
      <x:c r="Z814" s="12" t="str">
        <x:f>IF(K814="P0","Primary seat + Hashlight/Lucerna","Seat lane")</x:f>
        <x:v>Seat lane</x:v>
      </x:c>
      <x:c r="AA814" s="12" t="str">
        <x:f>IF(R814="","no_claim_delta","claim_delta_present")</x:f>
        <x:v>no_claim_delta</x:v>
      </x:c>
      <x:c r="AB814" s="12" t="str">
        <x:f>IF(S814="","no_contradiction_delta","contradiction_delta_present")</x:f>
        <x:v>no_contradiction_delta</x:v>
      </x:c>
      <x:c r="AC814" s="12" t="str">
        <x:f>IF(OR(ISNUMBER(SEARCH("hacker",LOWER(F814&amp;" "&amp;H814&amp;" "&amp;I814&amp;" "&amp;M814&amp;" "&amp;N814&amp;" "&amp;T814))),ISNUMBER(SEARCH("hacking",LOWER(F814&amp;" "&amp;H814&amp;" "&amp;I814&amp;" "&amp;M814&amp;" "&amp;N814&amp;" "&amp;T814))),ISNUMBER(SEARCH("bank",LOWER(F814&amp;" "&amp;H814&amp;" "&amp;I814&amp;" "&amp;M814&amp;" "&amp;N814&amp;" "&amp;T814))),ISNUMBER(SEARCH("banking",LOWER(F814&amp;" "&amp;H814&amp;" "&amp;I814&amp;" "&amp;M814&amp;" "&amp;N814&amp;" "&amp;T814)))),"PRIVATE_QUARANTINE",IF(OR(ISNUMBER(SEARCH("treasury",LOWER(F814&amp;" "&amp;H814&amp;" "&amp;I814&amp;" "&amp;M814&amp;" "&amp;N814&amp;" "&amp;T814))),ISNUMBER(SEARCH("debt",LOWER(F814&amp;" "&amp;H814&amp;" "&amp;I814&amp;" "&amp;M814&amp;" "&amp;N814&amp;" "&amp;T814))),ISNUMBER(SEARCH("bond",LOWER(F814&amp;" "&amp;H814&amp;" "&amp;I814&amp;" "&amp;M814&amp;" "&amp;N814&amp;" "&amp;T814))),ISNUMBER(SEARCH("transaction",LOWER(F814&amp;" "&amp;H814&amp;" "&amp;I814&amp;" "&amp;M814&amp;" "&amp;N814&amp;" "&amp;T814)))),"PRIVATE_REVIEW","PUBLIC_CANDIDATE"))</x:f>
        <x:v>PUBLIC_CANDIDATE</x:v>
      </x:c>
      <x:c r="AD814" s="12" t="str">
        <x:f>IF(AC814="PRIVATE_QUARANTINE","hacker_or_bank_trigger",IF(AC814="PRIVATE_REVIEW","finance_risk_trigger","none"))</x:f>
        <x:v>none</x:v>
      </x:c>
      <x:c r="AE814" s="12" t="str">
        <x:f>IF(AC814="PUBLIC_CANDIDATE","prepare_public_github_candidate",IF(AC814="PRIVATE_REVIEW","hold_for_private_review","quarantine_private_do_not_publish"))</x:f>
        <x:v>prepare_public_github_candidate</x:v>
      </x:c>
      <x:c r="AF814" s="12" t="str">
        <x:f>IF(AC814="PUBLIC_CANDIDATE","TIDELOCK + Lucerna",IF(AC814="PRIVATE_REVIEW","AtlasBrain + Lucerna","TIDELOCK + Lucerna + Human-root"))</x:f>
        <x:v>TIDELOCK + Lucerna</x:v>
      </x:c>
      <x:c r="AG814" s="12" t="str">
        <x:f>IF(AND(AC814="PUBLIC_CANDIDATE",U814&lt;&gt;"BLOCKED_PENDING_RECEIPT"),"READY_AFTER_RECEIPT","NOT_READY")</x:f>
        <x:v>NOT_READY</x:v>
      </x:c>
      <x:c r="AH814" s="12" t="str">
        <x:f>IF(AC814="PUBLIC_CANDIDATE","none",AD814)</x:f>
        <x:v>none</x:v>
      </x:c>
      <x:c r="AI814" s="12" t="str">
        <x:f>IF(AC814="PUBLIC_CANDIDATE","archive/public_candidates/"&amp;A814,"private_quarantine/"&amp;A814)</x:f>
        <x:v>archive/public_candidates/SWARM-06-H08-S09</x:v>
      </x:c>
      <x:c r="AJ814" s="12" t="str">
        <x:f>IF(AC814="PUBLIC_CANDIDATE","public by default; still not canon","private/hold; do not publish")</x:f>
        <x:v>public by default; still not canon</x:v>
      </x:c>
      <x:c r="AK814" s="12" t="str">
        <x:f>IF(AE814="prepare_public_github_candidate","add receipt/status then mirror","resolve blocker before any public GitHub action")</x:f>
        <x:v>add receipt/status then mirror</x:v>
      </x:c>
    </x:row>
    <x:row r="815">
      <x:c r="A815" s="15" t="str">
        <x:v>SWARM-06-H08-S10</x:v>
      </x:c>
      <x:c r="B815" s="15" t="str">
        <x:v>Forgekid</x:v>
      </x:c>
      <x:c r="C815" s="15" t="str">
        <x:v>Aetherforge UX builder</x:v>
      </x:c>
      <x:c r="D815" s="15" t="str">
        <x:v>Graph Edge Proposals</x:v>
      </x:c>
      <x:c r="E815" s="15" t="str">
        <x:v>Human-Root</x:v>
      </x:c>
      <x:c r="F815" s="15" t="str">
        <x:v>Propose graph edges for Human-Root — Forgekid</x:v>
      </x:c>
      <x:c r="G815" s="15" t="str">
        <x:v>quest cards / task cards / board affordances</x:v>
      </x:c>
      <x:c r="H815" s="15" t="str">
        <x:v>source path + receipt + raw/export status + claim/edge/risk delta</x:v>
      </x:c>
      <x:c r="I815" s="15" t="str">
        <x:v>packet/SWARM-06-H08-S10</x:v>
      </x:c>
      <x:c r="J815" s="15" t="str">
        <x:v>TODO</x:v>
      </x:c>
      <x:c r="K815" s="15" t="str">
        <x:v>P2</x:v>
      </x:c>
      <x:c r="L815" s="15" t="str">
        <x:v>Done only when evidence is logged, contradiction search is noted, and boundary stamp remains non-canon unless ratified</x:v>
      </x:c>
      <x:c r="M815" s="15" t="str">
        <x:v>candidate / staging-only / not canon / not deployed / authority none</x:v>
      </x:c>
      <x:c r="N815" s="15" t="str">
        <x:v>Dispatch to Forgekid: complete Graph Edge Proposals x Human-Root; return deltas only, receipts required.</x:v>
      </x:c>
      <x:c r="O815" s="15" t="str">
        <x:v>AF-KG-H08-S10</x:v>
      </x:c>
      <x:c r="P815" s="15" t="str">
        <x:v>Unverified</x:v>
      </x:c>
      <x:c r="Q815" s="15" t="str">
        <x:v>Not checked</x:v>
      </x:c>
      <x:c r="R815" s="15" t="str"/>
      <x:c r="S815" s="15" t="str"/>
      <x:c r="T815" s="15" t="str">
        <x:v>Log first source path or blocker</x:v>
      </x:c>
      <x:c r="U815" s="12" t="str">
        <x:f>IF(OR(P815="Unverified",Q815="Not checked"),"BLOCKED_PENDING_RECEIPT","READY_FOR_REVIEW")</x:f>
        <x:v>BLOCKED_PENDING_RECEIPT</x:v>
      </x:c>
      <x:c r="V815" s="12" t="str">
        <x:f>IF(J815="DONE","RETURNED",IF(U815="BLOCKED_PENDING_RECEIPT","SOURCE_TOUCH_REQUIRED","IN_PROGRESS"))</x:f>
        <x:v>SOURCE_TOUCH_REQUIRED</x:v>
      </x:c>
      <x:c r="W815" s="12" t="str">
        <x:f>IF(P815="Unverified","missing_receipt","receipt_logged")</x:f>
        <x:v>missing_receipt</x:v>
      </x:c>
      <x:c r="X815" s="12" t="str">
        <x:f>IF(Q815="Not checked","raw_status_missing","raw_status_logged")</x:f>
        <x:v>raw_status_missing</x:v>
      </x:c>
      <x:c r="Y815" s="12" t="str">
        <x:f>IF(U815="BLOCKED_PENDING_RECEIPT","Log source path or blocker; do not promote","Route to review lane")</x:f>
        <x:v>Log source path or blocker; do not promote</x:v>
      </x:c>
      <x:c r="Z815" s="12" t="str">
        <x:f>IF(K815="P0","Primary seat + Hashlight/Lucerna","Seat lane")</x:f>
        <x:v>Seat lane</x:v>
      </x:c>
      <x:c r="AA815" s="12" t="str">
        <x:f>IF(R815="","no_claim_delta","claim_delta_present")</x:f>
        <x:v>no_claim_delta</x:v>
      </x:c>
      <x:c r="AB815" s="12" t="str">
        <x:f>IF(S815="","no_contradiction_delta","contradiction_delta_present")</x:f>
        <x:v>no_contradiction_delta</x:v>
      </x:c>
      <x:c r="AC815" s="12" t="str">
        <x:f>IF(OR(ISNUMBER(SEARCH("hacker",LOWER(F815&amp;" "&amp;H815&amp;" "&amp;I815&amp;" "&amp;M815&amp;" "&amp;N815&amp;" "&amp;T815))),ISNUMBER(SEARCH("hacking",LOWER(F815&amp;" "&amp;H815&amp;" "&amp;I815&amp;" "&amp;M815&amp;" "&amp;N815&amp;" "&amp;T815))),ISNUMBER(SEARCH("bank",LOWER(F815&amp;" "&amp;H815&amp;" "&amp;I815&amp;" "&amp;M815&amp;" "&amp;N815&amp;" "&amp;T815))),ISNUMBER(SEARCH("banking",LOWER(F815&amp;" "&amp;H815&amp;" "&amp;I815&amp;" "&amp;M815&amp;" "&amp;N815&amp;" "&amp;T815)))),"PRIVATE_QUARANTINE",IF(OR(ISNUMBER(SEARCH("treasury",LOWER(F815&amp;" "&amp;H815&amp;" "&amp;I815&amp;" "&amp;M815&amp;" "&amp;N815&amp;" "&amp;T815))),ISNUMBER(SEARCH("debt",LOWER(F815&amp;" "&amp;H815&amp;" "&amp;I815&amp;" "&amp;M815&amp;" "&amp;N815&amp;" "&amp;T815))),ISNUMBER(SEARCH("bond",LOWER(F815&amp;" "&amp;H815&amp;" "&amp;I815&amp;" "&amp;M815&amp;" "&amp;N815&amp;" "&amp;T815))),ISNUMBER(SEARCH("transaction",LOWER(F815&amp;" "&amp;H815&amp;" "&amp;I815&amp;" "&amp;M815&amp;" "&amp;N815&amp;" "&amp;T815)))),"PRIVATE_REVIEW","PUBLIC_CANDIDATE"))</x:f>
        <x:v>PUBLIC_CANDIDATE</x:v>
      </x:c>
      <x:c r="AD815" s="12" t="str">
        <x:f>IF(AC815="PRIVATE_QUARANTINE","hacker_or_bank_trigger",IF(AC815="PRIVATE_REVIEW","finance_risk_trigger","none"))</x:f>
        <x:v>none</x:v>
      </x:c>
      <x:c r="AE815" s="12" t="str">
        <x:f>IF(AC815="PUBLIC_CANDIDATE","prepare_public_github_candidate",IF(AC815="PRIVATE_REVIEW","hold_for_private_review","quarantine_private_do_not_publish"))</x:f>
        <x:v>prepare_public_github_candidate</x:v>
      </x:c>
      <x:c r="AF815" s="12" t="str">
        <x:f>IF(AC815="PUBLIC_CANDIDATE","TIDELOCK + Lucerna",IF(AC815="PRIVATE_REVIEW","AtlasBrain + Lucerna","TIDELOCK + Lucerna + Human-root"))</x:f>
        <x:v>TIDELOCK + Lucerna</x:v>
      </x:c>
      <x:c r="AG815" s="12" t="str">
        <x:f>IF(AND(AC815="PUBLIC_CANDIDATE",U815&lt;&gt;"BLOCKED_PENDING_RECEIPT"),"READY_AFTER_RECEIPT","NOT_READY")</x:f>
        <x:v>NOT_READY</x:v>
      </x:c>
      <x:c r="AH815" s="12" t="str">
        <x:f>IF(AC815="PUBLIC_CANDIDATE","none",AD815)</x:f>
        <x:v>none</x:v>
      </x:c>
      <x:c r="AI815" s="12" t="str">
        <x:f>IF(AC815="PUBLIC_CANDIDATE","archive/public_candidates/"&amp;A815,"private_quarantine/"&amp;A815)</x:f>
        <x:v>archive/public_candidates/SWARM-06-H08-S10</x:v>
      </x:c>
      <x:c r="AJ815" s="12" t="str">
        <x:f>IF(AC815="PUBLIC_CANDIDATE","public by default; still not canon","private/hold; do not publish")</x:f>
        <x:v>public by default; still not canon</x:v>
      </x:c>
      <x:c r="AK815" s="12" t="str">
        <x:f>IF(AE815="prepare_public_github_candidate","add receipt/status then mirror","resolve blocker before any public GitHub action")</x:f>
        <x:v>add receipt/status then mirror</x:v>
      </x:c>
    </x:row>
    <x:row r="816">
      <x:c r="A816" s="15" t="str">
        <x:v>SWARM-06-H08-S11</x:v>
      </x:c>
      <x:c r="B816" s="15" t="str">
        <x:v>Forgekid</x:v>
      </x:c>
      <x:c r="C816" s="15" t="str">
        <x:v>Aetherforge UX builder</x:v>
      </x:c>
      <x:c r="D816" s="15" t="str">
        <x:v>Graph Edge Proposals</x:v>
      </x:c>
      <x:c r="E816" s="15" t="str">
        <x:v>Automation</x:v>
      </x:c>
      <x:c r="F816" s="15" t="str">
        <x:v>Propose graph edges for Automation — Forgekid</x:v>
      </x:c>
      <x:c r="G816" s="15" t="str">
        <x:v>quest cards / task cards / board affordances</x:v>
      </x:c>
      <x:c r="H816" s="15" t="str">
        <x:v>source path + receipt + raw/export status + claim/edge/risk delta</x:v>
      </x:c>
      <x:c r="I816" s="15" t="str">
        <x:v>packet/SWARM-06-H08-S11</x:v>
      </x:c>
      <x:c r="J816" s="15" t="str">
        <x:v>TODO</x:v>
      </x:c>
      <x:c r="K816" s="15" t="str">
        <x:v>P2</x:v>
      </x:c>
      <x:c r="L816" s="15" t="str">
        <x:v>Done only when evidence is logged, contradiction search is noted, and boundary stamp remains non-canon unless ratified</x:v>
      </x:c>
      <x:c r="M816" s="15" t="str">
        <x:v>candidate / staging-only / not canon / not deployed / authority none</x:v>
      </x:c>
      <x:c r="N816" s="15" t="str">
        <x:v>Dispatch to Forgekid: complete Graph Edge Proposals x Automation; return deltas only, receipts required.</x:v>
      </x:c>
      <x:c r="O816" s="15" t="str">
        <x:v>AF-KG-H08-S11</x:v>
      </x:c>
      <x:c r="P816" s="15" t="str">
        <x:v>Unverified</x:v>
      </x:c>
      <x:c r="Q816" s="15" t="str">
        <x:v>Not checked</x:v>
      </x:c>
      <x:c r="R816" s="15" t="str"/>
      <x:c r="S816" s="15" t="str"/>
      <x:c r="T816" s="15" t="str">
        <x:v>Log first source path or blocker</x:v>
      </x:c>
      <x:c r="U816" s="12" t="str">
        <x:f>IF(OR(P816="Unverified",Q816="Not checked"),"BLOCKED_PENDING_RECEIPT","READY_FOR_REVIEW")</x:f>
        <x:v>BLOCKED_PENDING_RECEIPT</x:v>
      </x:c>
      <x:c r="V816" s="12" t="str">
        <x:f>IF(J816="DONE","RETURNED",IF(U816="BLOCKED_PENDING_RECEIPT","SOURCE_TOUCH_REQUIRED","IN_PROGRESS"))</x:f>
        <x:v>SOURCE_TOUCH_REQUIRED</x:v>
      </x:c>
      <x:c r="W816" s="12" t="str">
        <x:f>IF(P816="Unverified","missing_receipt","receipt_logged")</x:f>
        <x:v>missing_receipt</x:v>
      </x:c>
      <x:c r="X816" s="12" t="str">
        <x:f>IF(Q816="Not checked","raw_status_missing","raw_status_logged")</x:f>
        <x:v>raw_status_missing</x:v>
      </x:c>
      <x:c r="Y816" s="12" t="str">
        <x:f>IF(U816="BLOCKED_PENDING_RECEIPT","Log source path or blocker; do not promote","Route to review lane")</x:f>
        <x:v>Log source path or blocker; do not promote</x:v>
      </x:c>
      <x:c r="Z816" s="12" t="str">
        <x:f>IF(K816="P0","Primary seat + Hashlight/Lucerna","Seat lane")</x:f>
        <x:v>Seat lane</x:v>
      </x:c>
      <x:c r="AA816" s="12" t="str">
        <x:f>IF(R816="","no_claim_delta","claim_delta_present")</x:f>
        <x:v>no_claim_delta</x:v>
      </x:c>
      <x:c r="AB816" s="12" t="str">
        <x:f>IF(S816="","no_contradiction_delta","contradiction_delta_present")</x:f>
        <x:v>no_contradiction_delta</x:v>
      </x:c>
      <x:c r="AC816" s="12" t="str">
        <x:f>IF(OR(ISNUMBER(SEARCH("hacker",LOWER(F816&amp;" "&amp;H816&amp;" "&amp;I816&amp;" "&amp;M816&amp;" "&amp;N816&amp;" "&amp;T816))),ISNUMBER(SEARCH("hacking",LOWER(F816&amp;" "&amp;H816&amp;" "&amp;I816&amp;" "&amp;M816&amp;" "&amp;N816&amp;" "&amp;T816))),ISNUMBER(SEARCH("bank",LOWER(F816&amp;" "&amp;H816&amp;" "&amp;I816&amp;" "&amp;M816&amp;" "&amp;N816&amp;" "&amp;T816))),ISNUMBER(SEARCH("banking",LOWER(F816&amp;" "&amp;H816&amp;" "&amp;I816&amp;" "&amp;M816&amp;" "&amp;N816&amp;" "&amp;T816)))),"PRIVATE_QUARANTINE",IF(OR(ISNUMBER(SEARCH("treasury",LOWER(F816&amp;" "&amp;H816&amp;" "&amp;I816&amp;" "&amp;M816&amp;" "&amp;N816&amp;" "&amp;T816))),ISNUMBER(SEARCH("debt",LOWER(F816&amp;" "&amp;H816&amp;" "&amp;I816&amp;" "&amp;M816&amp;" "&amp;N816&amp;" "&amp;T816))),ISNUMBER(SEARCH("bond",LOWER(F816&amp;" "&amp;H816&amp;" "&amp;I816&amp;" "&amp;M816&amp;" "&amp;N816&amp;" "&amp;T816))),ISNUMBER(SEARCH("transaction",LOWER(F816&amp;" "&amp;H816&amp;" "&amp;I816&amp;" "&amp;M816&amp;" "&amp;N816&amp;" "&amp;T816)))),"PRIVATE_REVIEW","PUBLIC_CANDIDATE"))</x:f>
        <x:v>PUBLIC_CANDIDATE</x:v>
      </x:c>
      <x:c r="AD816" s="12" t="str">
        <x:f>IF(AC816="PRIVATE_QUARANTINE","hacker_or_bank_trigger",IF(AC816="PRIVATE_REVIEW","finance_risk_trigger","none"))</x:f>
        <x:v>none</x:v>
      </x:c>
      <x:c r="AE816" s="12" t="str">
        <x:f>IF(AC816="PUBLIC_CANDIDATE","prepare_public_github_candidate",IF(AC816="PRIVATE_REVIEW","hold_for_private_review","quarantine_private_do_not_publish"))</x:f>
        <x:v>prepare_public_github_candidate</x:v>
      </x:c>
      <x:c r="AF816" s="12" t="str">
        <x:f>IF(AC816="PUBLIC_CANDIDATE","TIDELOCK + Lucerna",IF(AC816="PRIVATE_REVIEW","AtlasBrain + Lucerna","TIDELOCK + Lucerna + Human-root"))</x:f>
        <x:v>TIDELOCK + Lucerna</x:v>
      </x:c>
      <x:c r="AG816" s="12" t="str">
        <x:f>IF(AND(AC816="PUBLIC_CANDIDATE",U816&lt;&gt;"BLOCKED_PENDING_RECEIPT"),"READY_AFTER_RECEIPT","NOT_READY")</x:f>
        <x:v>NOT_READY</x:v>
      </x:c>
      <x:c r="AH816" s="12" t="str">
        <x:f>IF(AC816="PUBLIC_CANDIDATE","none",AD816)</x:f>
        <x:v>none</x:v>
      </x:c>
      <x:c r="AI816" s="12" t="str">
        <x:f>IF(AC816="PUBLIC_CANDIDATE","archive/public_candidates/"&amp;A816,"private_quarantine/"&amp;A816)</x:f>
        <x:v>archive/public_candidates/SWARM-06-H08-S11</x:v>
      </x:c>
      <x:c r="AJ816" s="12" t="str">
        <x:f>IF(AC816="PUBLIC_CANDIDATE","public by default; still not canon","private/hold; do not publish")</x:f>
        <x:v>public by default; still not canon</x:v>
      </x:c>
      <x:c r="AK816" s="12" t="str">
        <x:f>IF(AE816="prepare_public_github_candidate","add receipt/status then mirror","resolve blocker before any public GitHub action")</x:f>
        <x:v>add receipt/status then mirror</x:v>
      </x:c>
    </x:row>
    <x:row r="817">
      <x:c r="A817" s="15" t="str">
        <x:v>SWARM-06-H08-S12</x:v>
      </x:c>
      <x:c r="B817" s="15" t="str">
        <x:v>Forgekid</x:v>
      </x:c>
      <x:c r="C817" s="15" t="str">
        <x:v>Aetherforge UX builder</x:v>
      </x:c>
      <x:c r="D817" s="15" t="str">
        <x:v>Graph Edge Proposals</x:v>
      </x:c>
      <x:c r="E817" s="15" t="str">
        <x:v>Risk / Safety</x:v>
      </x:c>
      <x:c r="F817" s="15" t="str">
        <x:v>Propose graph edges for Risk / Safety — Forgekid</x:v>
      </x:c>
      <x:c r="G817" s="15" t="str">
        <x:v>quest cards / task cards / board affordances</x:v>
      </x:c>
      <x:c r="H817" s="15" t="str">
        <x:v>source path + receipt + raw/export status + claim/edge/risk delta</x:v>
      </x:c>
      <x:c r="I817" s="15" t="str">
        <x:v>packet/SWARM-06-H08-S12</x:v>
      </x:c>
      <x:c r="J817" s="15" t="str">
        <x:v>TODO</x:v>
      </x:c>
      <x:c r="K817" s="15" t="str">
        <x:v>P2</x:v>
      </x:c>
      <x:c r="L817" s="15" t="str">
        <x:v>Done only when evidence is logged, contradiction search is noted, and boundary stamp remains non-canon unless ratified</x:v>
      </x:c>
      <x:c r="M817" s="15" t="str">
        <x:v>candidate / staging-only / not canon / not deployed / authority none</x:v>
      </x:c>
      <x:c r="N817" s="15" t="str">
        <x:v>Dispatch to Forgekid: complete Graph Edge Proposals x Risk / Safety; return deltas only, receipts required.</x:v>
      </x:c>
      <x:c r="O817" s="15" t="str">
        <x:v>AF-KG-H08-S12</x:v>
      </x:c>
      <x:c r="P817" s="15" t="str">
        <x:v>Unverified</x:v>
      </x:c>
      <x:c r="Q817" s="15" t="str">
        <x:v>Not checked</x:v>
      </x:c>
      <x:c r="R817" s="15" t="str"/>
      <x:c r="S817" s="15" t="str"/>
      <x:c r="T817" s="15" t="str">
        <x:v>Log first source path or blocker</x:v>
      </x:c>
      <x:c r="U817" s="12" t="str">
        <x:f>IF(OR(P817="Unverified",Q817="Not checked"),"BLOCKED_PENDING_RECEIPT","READY_FOR_REVIEW")</x:f>
        <x:v>BLOCKED_PENDING_RECEIPT</x:v>
      </x:c>
      <x:c r="V817" s="12" t="str">
        <x:f>IF(J817="DONE","RETURNED",IF(U817="BLOCKED_PENDING_RECEIPT","SOURCE_TOUCH_REQUIRED","IN_PROGRESS"))</x:f>
        <x:v>SOURCE_TOUCH_REQUIRED</x:v>
      </x:c>
      <x:c r="W817" s="12" t="str">
        <x:f>IF(P817="Unverified","missing_receipt","receipt_logged")</x:f>
        <x:v>missing_receipt</x:v>
      </x:c>
      <x:c r="X817" s="12" t="str">
        <x:f>IF(Q817="Not checked","raw_status_missing","raw_status_logged")</x:f>
        <x:v>raw_status_missing</x:v>
      </x:c>
      <x:c r="Y817" s="12" t="str">
        <x:f>IF(U817="BLOCKED_PENDING_RECEIPT","Log source path or blocker; do not promote","Route to review lane")</x:f>
        <x:v>Log source path or blocker; do not promote</x:v>
      </x:c>
      <x:c r="Z817" s="12" t="str">
        <x:f>IF(K817="P0","Primary seat + Hashlight/Lucerna","Seat lane")</x:f>
        <x:v>Seat lane</x:v>
      </x:c>
      <x:c r="AA817" s="12" t="str">
        <x:f>IF(R817="","no_claim_delta","claim_delta_present")</x:f>
        <x:v>no_claim_delta</x:v>
      </x:c>
      <x:c r="AB817" s="12" t="str">
        <x:f>IF(S817="","no_contradiction_delta","contradiction_delta_present")</x:f>
        <x:v>no_contradiction_delta</x:v>
      </x:c>
      <x:c r="AC817" s="12" t="str">
        <x:f>IF(OR(ISNUMBER(SEARCH("hacker",LOWER(F817&amp;" "&amp;H817&amp;" "&amp;I817&amp;" "&amp;M817&amp;" "&amp;N817&amp;" "&amp;T817))),ISNUMBER(SEARCH("hacking",LOWER(F817&amp;" "&amp;H817&amp;" "&amp;I817&amp;" "&amp;M817&amp;" "&amp;N817&amp;" "&amp;T817))),ISNUMBER(SEARCH("bank",LOWER(F817&amp;" "&amp;H817&amp;" "&amp;I817&amp;" "&amp;M817&amp;" "&amp;N817&amp;" "&amp;T817))),ISNUMBER(SEARCH("banking",LOWER(F817&amp;" "&amp;H817&amp;" "&amp;I817&amp;" "&amp;M817&amp;" "&amp;N817&amp;" "&amp;T817)))),"PRIVATE_QUARANTINE",IF(OR(ISNUMBER(SEARCH("treasury",LOWER(F817&amp;" "&amp;H817&amp;" "&amp;I817&amp;" "&amp;M817&amp;" "&amp;N817&amp;" "&amp;T817))),ISNUMBER(SEARCH("debt",LOWER(F817&amp;" "&amp;H817&amp;" "&amp;I817&amp;" "&amp;M817&amp;" "&amp;N817&amp;" "&amp;T817))),ISNUMBER(SEARCH("bond",LOWER(F817&amp;" "&amp;H817&amp;" "&amp;I817&amp;" "&amp;M817&amp;" "&amp;N817&amp;" "&amp;T817))),ISNUMBER(SEARCH("transaction",LOWER(F817&amp;" "&amp;H817&amp;" "&amp;I817&amp;" "&amp;M817&amp;" "&amp;N817&amp;" "&amp;T817)))),"PRIVATE_REVIEW","PUBLIC_CANDIDATE"))</x:f>
        <x:v>PUBLIC_CANDIDATE</x:v>
      </x:c>
      <x:c r="AD817" s="12" t="str">
        <x:f>IF(AC817="PRIVATE_QUARANTINE","hacker_or_bank_trigger",IF(AC817="PRIVATE_REVIEW","finance_risk_trigger","none"))</x:f>
        <x:v>none</x:v>
      </x:c>
      <x:c r="AE817" s="12" t="str">
        <x:f>IF(AC817="PUBLIC_CANDIDATE","prepare_public_github_candidate",IF(AC817="PRIVATE_REVIEW","hold_for_private_review","quarantine_private_do_not_publish"))</x:f>
        <x:v>prepare_public_github_candidate</x:v>
      </x:c>
      <x:c r="AF817" s="12" t="str">
        <x:f>IF(AC817="PUBLIC_CANDIDATE","TIDELOCK + Lucerna",IF(AC817="PRIVATE_REVIEW","AtlasBrain + Lucerna","TIDELOCK + Lucerna + Human-root"))</x:f>
        <x:v>TIDELOCK + Lucerna</x:v>
      </x:c>
      <x:c r="AG817" s="12" t="str">
        <x:f>IF(AND(AC817="PUBLIC_CANDIDATE",U817&lt;&gt;"BLOCKED_PENDING_RECEIPT"),"READY_AFTER_RECEIPT","NOT_READY")</x:f>
        <x:v>NOT_READY</x:v>
      </x:c>
      <x:c r="AH817" s="12" t="str">
        <x:f>IF(AC817="PUBLIC_CANDIDATE","none",AD817)</x:f>
        <x:v>none</x:v>
      </x:c>
      <x:c r="AI817" s="12" t="str">
        <x:f>IF(AC817="PUBLIC_CANDIDATE","archive/public_candidates/"&amp;A817,"private_quarantine/"&amp;A817)</x:f>
        <x:v>archive/public_candidates/SWARM-06-H08-S12</x:v>
      </x:c>
      <x:c r="AJ817" s="12" t="str">
        <x:f>IF(AC817="PUBLIC_CANDIDATE","public by default; still not canon","private/hold; do not publish")</x:f>
        <x:v>public by default; still not canon</x:v>
      </x:c>
      <x:c r="AK817" s="12" t="str">
        <x:f>IF(AE817="prepare_public_github_candidate","add receipt/status then mirror","resolve blocker before any public GitHub action")</x:f>
        <x:v>add receipt/status then mirror</x:v>
      </x:c>
    </x:row>
    <x:row r="818">
      <x:c r="A818" s="15" t="str">
        <x:v>SWARM-06-H09-S01</x:v>
      </x:c>
      <x:c r="B818" s="15" t="str">
        <x:v>Forgekid</x:v>
      </x:c>
      <x:c r="C818" s="15" t="str">
        <x:v>Aetherforge UX builder</x:v>
      </x:c>
      <x:c r="D818" s="15" t="str">
        <x:v>Review Queues</x:v>
      </x:c>
      <x:c r="E818" s="15" t="str">
        <x:v>Notion</x:v>
      </x:c>
      <x:c r="F818" s="15" t="str">
        <x:v>Queue review for Notion — Forgekid</x:v>
      </x:c>
      <x:c r="G818" s="15" t="str">
        <x:v>quest cards / task cards / board affordances</x:v>
      </x:c>
      <x:c r="H818" s="15" t="str">
        <x:v>source path + receipt + raw/export status + claim/edge/risk delta</x:v>
      </x:c>
      <x:c r="I818" s="15" t="str">
        <x:v>packet/SWARM-06-H09-S01</x:v>
      </x:c>
      <x:c r="J818" s="15" t="str">
        <x:v>TODO</x:v>
      </x:c>
      <x:c r="K818" s="15" t="str">
        <x:v>P0</x:v>
      </x:c>
      <x:c r="L818" s="15" t="str">
        <x:v>Done only when evidence is logged, contradiction search is noted, and boundary stamp remains non-canon unless ratified</x:v>
      </x:c>
      <x:c r="M818" s="15" t="str">
        <x:v>candidate / staging-only / not canon / not deployed / authority none</x:v>
      </x:c>
      <x:c r="N818" s="15" t="str">
        <x:v>Dispatch to Forgekid: complete Review Queues x Notion; return deltas only, receipts required.</x:v>
      </x:c>
      <x:c r="O818" s="15" t="str">
        <x:v>AF-KG-H09-S01</x:v>
      </x:c>
      <x:c r="P818" s="15" t="str">
        <x:v>Unverified</x:v>
      </x:c>
      <x:c r="Q818" s="15" t="str">
        <x:v>Not checked</x:v>
      </x:c>
      <x:c r="R818" s="15" t="str"/>
      <x:c r="S818" s="15" t="str"/>
      <x:c r="T818" s="15" t="str">
        <x:v>Log first source path or blocker</x:v>
      </x:c>
      <x:c r="U818" s="12" t="str">
        <x:f>IF(OR(P818="Unverified",Q818="Not checked"),"BLOCKED_PENDING_RECEIPT","READY_FOR_REVIEW")</x:f>
        <x:v>BLOCKED_PENDING_RECEIPT</x:v>
      </x:c>
      <x:c r="V818" s="12" t="str">
        <x:f>IF(J818="DONE","RETURNED",IF(U818="BLOCKED_PENDING_RECEIPT","SOURCE_TOUCH_REQUIRED","IN_PROGRESS"))</x:f>
        <x:v>SOURCE_TOUCH_REQUIRED</x:v>
      </x:c>
      <x:c r="W818" s="12" t="str">
        <x:f>IF(P818="Unverified","missing_receipt","receipt_logged")</x:f>
        <x:v>missing_receipt</x:v>
      </x:c>
      <x:c r="X818" s="12" t="str">
        <x:f>IF(Q818="Not checked","raw_status_missing","raw_status_logged")</x:f>
        <x:v>raw_status_missing</x:v>
      </x:c>
      <x:c r="Y818" s="12" t="str">
        <x:f>IF(U818="BLOCKED_PENDING_RECEIPT","Log source path or blocker; do not promote","Route to review lane")</x:f>
        <x:v>Log source path or blocker; do not promote</x:v>
      </x:c>
      <x:c r="Z818" s="12" t="str">
        <x:f>IF(K818="P0","Primary seat + Hashlight/Lucerna","Seat lane")</x:f>
        <x:v>Primary seat + Hashlight/Lucerna</x:v>
      </x:c>
      <x:c r="AA818" s="12" t="str">
        <x:f>IF(R818="","no_claim_delta","claim_delta_present")</x:f>
        <x:v>no_claim_delta</x:v>
      </x:c>
      <x:c r="AB818" s="12" t="str">
        <x:f>IF(S818="","no_contradiction_delta","contradiction_delta_present")</x:f>
        <x:v>no_contradiction_delta</x:v>
      </x:c>
      <x:c r="AC818" s="12" t="str">
        <x:f>IF(OR(ISNUMBER(SEARCH("hacker",LOWER(F818&amp;" "&amp;H818&amp;" "&amp;I818&amp;" "&amp;M818&amp;" "&amp;N818&amp;" "&amp;T818))),ISNUMBER(SEARCH("hacking",LOWER(F818&amp;" "&amp;H818&amp;" "&amp;I818&amp;" "&amp;M818&amp;" "&amp;N818&amp;" "&amp;T818))),ISNUMBER(SEARCH("bank",LOWER(F818&amp;" "&amp;H818&amp;" "&amp;I818&amp;" "&amp;M818&amp;" "&amp;N818&amp;" "&amp;T818))),ISNUMBER(SEARCH("banking",LOWER(F818&amp;" "&amp;H818&amp;" "&amp;I818&amp;" "&amp;M818&amp;" "&amp;N818&amp;" "&amp;T818)))),"PRIVATE_QUARANTINE",IF(OR(ISNUMBER(SEARCH("treasury",LOWER(F818&amp;" "&amp;H818&amp;" "&amp;I818&amp;" "&amp;M818&amp;" "&amp;N818&amp;" "&amp;T818))),ISNUMBER(SEARCH("debt",LOWER(F818&amp;" "&amp;H818&amp;" "&amp;I818&amp;" "&amp;M818&amp;" "&amp;N818&amp;" "&amp;T818))),ISNUMBER(SEARCH("bond",LOWER(F818&amp;" "&amp;H818&amp;" "&amp;I818&amp;" "&amp;M818&amp;" "&amp;N818&amp;" "&amp;T818))),ISNUMBER(SEARCH("transaction",LOWER(F818&amp;" "&amp;H818&amp;" "&amp;I818&amp;" "&amp;M818&amp;" "&amp;N818&amp;" "&amp;T818)))),"PRIVATE_REVIEW","PUBLIC_CANDIDATE"))</x:f>
        <x:v>PUBLIC_CANDIDATE</x:v>
      </x:c>
      <x:c r="AD818" s="12" t="str">
        <x:f>IF(AC818="PRIVATE_QUARANTINE","hacker_or_bank_trigger",IF(AC818="PRIVATE_REVIEW","finance_risk_trigger","none"))</x:f>
        <x:v>none</x:v>
      </x:c>
      <x:c r="AE818" s="12" t="str">
        <x:f>IF(AC818="PUBLIC_CANDIDATE","prepare_public_github_candidate",IF(AC818="PRIVATE_REVIEW","hold_for_private_review","quarantine_private_do_not_publish"))</x:f>
        <x:v>prepare_public_github_candidate</x:v>
      </x:c>
      <x:c r="AF818" s="12" t="str">
        <x:f>IF(AC818="PUBLIC_CANDIDATE","TIDELOCK + Lucerna",IF(AC818="PRIVATE_REVIEW","AtlasBrain + Lucerna","TIDELOCK + Lucerna + Human-root"))</x:f>
        <x:v>TIDELOCK + Lucerna</x:v>
      </x:c>
      <x:c r="AG818" s="12" t="str">
        <x:f>IF(AND(AC818="PUBLIC_CANDIDATE",U818&lt;&gt;"BLOCKED_PENDING_RECEIPT"),"READY_AFTER_RECEIPT","NOT_READY")</x:f>
        <x:v>NOT_READY</x:v>
      </x:c>
      <x:c r="AH818" s="12" t="str">
        <x:f>IF(AC818="PUBLIC_CANDIDATE","none",AD818)</x:f>
        <x:v>none</x:v>
      </x:c>
      <x:c r="AI818" s="12" t="str">
        <x:f>IF(AC818="PUBLIC_CANDIDATE","archive/public_candidates/"&amp;A818,"private_quarantine/"&amp;A818)</x:f>
        <x:v>archive/public_candidates/SWARM-06-H09-S01</x:v>
      </x:c>
      <x:c r="AJ818" s="12" t="str">
        <x:f>IF(AC818="PUBLIC_CANDIDATE","public by default; still not canon","private/hold; do not publish")</x:f>
        <x:v>public by default; still not canon</x:v>
      </x:c>
      <x:c r="AK818" s="12" t="str">
        <x:f>IF(AE818="prepare_public_github_candidate","add receipt/status then mirror","resolve blocker before any public GitHub action")</x:f>
        <x:v>add receipt/status then mirror</x:v>
      </x:c>
    </x:row>
    <x:row r="819">
      <x:c r="A819" s="15" t="str">
        <x:v>SWARM-06-H09-S02</x:v>
      </x:c>
      <x:c r="B819" s="15" t="str">
        <x:v>Forgekid</x:v>
      </x:c>
      <x:c r="C819" s="15" t="str">
        <x:v>Aetherforge UX builder</x:v>
      </x:c>
      <x:c r="D819" s="15" t="str">
        <x:v>Review Queues</x:v>
      </x:c>
      <x:c r="E819" s="15" t="str">
        <x:v>Drive</x:v>
      </x:c>
      <x:c r="F819" s="15" t="str">
        <x:v>Queue review for Drive — Forgekid</x:v>
      </x:c>
      <x:c r="G819" s="15" t="str">
        <x:v>quest cards / task cards / board affordances</x:v>
      </x:c>
      <x:c r="H819" s="15" t="str">
        <x:v>source path + receipt + raw/export status + claim/edge/risk delta</x:v>
      </x:c>
      <x:c r="I819" s="15" t="str">
        <x:v>packet/SWARM-06-H09-S02</x:v>
      </x:c>
      <x:c r="J819" s="15" t="str">
        <x:v>TODO</x:v>
      </x:c>
      <x:c r="K819" s="15" t="str">
        <x:v>P0</x:v>
      </x:c>
      <x:c r="L819" s="15" t="str">
        <x:v>Done only when evidence is logged, contradiction search is noted, and boundary stamp remains non-canon unless ratified</x:v>
      </x:c>
      <x:c r="M819" s="15" t="str">
        <x:v>candidate / staging-only / not canon / not deployed / authority none</x:v>
      </x:c>
      <x:c r="N819" s="15" t="str">
        <x:v>Dispatch to Forgekid: complete Review Queues x Drive; return deltas only, receipts required.</x:v>
      </x:c>
      <x:c r="O819" s="15" t="str">
        <x:v>AF-KG-H09-S02</x:v>
      </x:c>
      <x:c r="P819" s="15" t="str">
        <x:v>Unverified</x:v>
      </x:c>
      <x:c r="Q819" s="15" t="str">
        <x:v>Not checked</x:v>
      </x:c>
      <x:c r="R819" s="15" t="str"/>
      <x:c r="S819" s="15" t="str"/>
      <x:c r="T819" s="15" t="str">
        <x:v>Log first source path or blocker</x:v>
      </x:c>
      <x:c r="U819" s="12" t="str">
        <x:f>IF(OR(P819="Unverified",Q819="Not checked"),"BLOCKED_PENDING_RECEIPT","READY_FOR_REVIEW")</x:f>
        <x:v>BLOCKED_PENDING_RECEIPT</x:v>
      </x:c>
      <x:c r="V819" s="12" t="str">
        <x:f>IF(J819="DONE","RETURNED",IF(U819="BLOCKED_PENDING_RECEIPT","SOURCE_TOUCH_REQUIRED","IN_PROGRESS"))</x:f>
        <x:v>SOURCE_TOUCH_REQUIRED</x:v>
      </x:c>
      <x:c r="W819" s="12" t="str">
        <x:f>IF(P819="Unverified","missing_receipt","receipt_logged")</x:f>
        <x:v>missing_receipt</x:v>
      </x:c>
      <x:c r="X819" s="12" t="str">
        <x:f>IF(Q819="Not checked","raw_status_missing","raw_status_logged")</x:f>
        <x:v>raw_status_missing</x:v>
      </x:c>
      <x:c r="Y819" s="12" t="str">
        <x:f>IF(U819="BLOCKED_PENDING_RECEIPT","Log source path or blocker; do not promote","Route to review lane")</x:f>
        <x:v>Log source path or blocker; do not promote</x:v>
      </x:c>
      <x:c r="Z819" s="12" t="str">
        <x:f>IF(K819="P0","Primary seat + Hashlight/Lucerna","Seat lane")</x:f>
        <x:v>Primary seat + Hashlight/Lucerna</x:v>
      </x:c>
      <x:c r="AA819" s="12" t="str">
        <x:f>IF(R819="","no_claim_delta","claim_delta_present")</x:f>
        <x:v>no_claim_delta</x:v>
      </x:c>
      <x:c r="AB819" s="12" t="str">
        <x:f>IF(S819="","no_contradiction_delta","contradiction_delta_present")</x:f>
        <x:v>no_contradiction_delta</x:v>
      </x:c>
      <x:c r="AC819" s="12" t="str">
        <x:f>IF(OR(ISNUMBER(SEARCH("hacker",LOWER(F819&amp;" "&amp;H819&amp;" "&amp;I819&amp;" "&amp;M819&amp;" "&amp;N819&amp;" "&amp;T819))),ISNUMBER(SEARCH("hacking",LOWER(F819&amp;" "&amp;H819&amp;" "&amp;I819&amp;" "&amp;M819&amp;" "&amp;N819&amp;" "&amp;T819))),ISNUMBER(SEARCH("bank",LOWER(F819&amp;" "&amp;H819&amp;" "&amp;I819&amp;" "&amp;M819&amp;" "&amp;N819&amp;" "&amp;T819))),ISNUMBER(SEARCH("banking",LOWER(F819&amp;" "&amp;H819&amp;" "&amp;I819&amp;" "&amp;M819&amp;" "&amp;N819&amp;" "&amp;T819)))),"PRIVATE_QUARANTINE",IF(OR(ISNUMBER(SEARCH("treasury",LOWER(F819&amp;" "&amp;H819&amp;" "&amp;I819&amp;" "&amp;M819&amp;" "&amp;N819&amp;" "&amp;T819))),ISNUMBER(SEARCH("debt",LOWER(F819&amp;" "&amp;H819&amp;" "&amp;I819&amp;" "&amp;M819&amp;" "&amp;N819&amp;" "&amp;T819))),ISNUMBER(SEARCH("bond",LOWER(F819&amp;" "&amp;H819&amp;" "&amp;I819&amp;" "&amp;M819&amp;" "&amp;N819&amp;" "&amp;T819))),ISNUMBER(SEARCH("transaction",LOWER(F819&amp;" "&amp;H819&amp;" "&amp;I819&amp;" "&amp;M819&amp;" "&amp;N819&amp;" "&amp;T819)))),"PRIVATE_REVIEW","PUBLIC_CANDIDATE"))</x:f>
        <x:v>PUBLIC_CANDIDATE</x:v>
      </x:c>
      <x:c r="AD819" s="12" t="str">
        <x:f>IF(AC819="PRIVATE_QUARANTINE","hacker_or_bank_trigger",IF(AC819="PRIVATE_REVIEW","finance_risk_trigger","none"))</x:f>
        <x:v>none</x:v>
      </x:c>
      <x:c r="AE819" s="12" t="str">
        <x:f>IF(AC819="PUBLIC_CANDIDATE","prepare_public_github_candidate",IF(AC819="PRIVATE_REVIEW","hold_for_private_review","quarantine_private_do_not_publish"))</x:f>
        <x:v>prepare_public_github_candidate</x:v>
      </x:c>
      <x:c r="AF819" s="12" t="str">
        <x:f>IF(AC819="PUBLIC_CANDIDATE","TIDELOCK + Lucerna",IF(AC819="PRIVATE_REVIEW","AtlasBrain + Lucerna","TIDELOCK + Lucerna + Human-root"))</x:f>
        <x:v>TIDELOCK + Lucerna</x:v>
      </x:c>
      <x:c r="AG819" s="12" t="str">
        <x:f>IF(AND(AC819="PUBLIC_CANDIDATE",U819&lt;&gt;"BLOCKED_PENDING_RECEIPT"),"READY_AFTER_RECEIPT","NOT_READY")</x:f>
        <x:v>NOT_READY</x:v>
      </x:c>
      <x:c r="AH819" s="12" t="str">
        <x:f>IF(AC819="PUBLIC_CANDIDATE","none",AD819)</x:f>
        <x:v>none</x:v>
      </x:c>
      <x:c r="AI819" s="12" t="str">
        <x:f>IF(AC819="PUBLIC_CANDIDATE","archive/public_candidates/"&amp;A819,"private_quarantine/"&amp;A819)</x:f>
        <x:v>archive/public_candidates/SWARM-06-H09-S02</x:v>
      </x:c>
      <x:c r="AJ819" s="12" t="str">
        <x:f>IF(AC819="PUBLIC_CANDIDATE","public by default; still not canon","private/hold; do not publish")</x:f>
        <x:v>public by default; still not canon</x:v>
      </x:c>
      <x:c r="AK819" s="12" t="str">
        <x:f>IF(AE819="prepare_public_github_candidate","add receipt/status then mirror","resolve blocker before any public GitHub action")</x:f>
        <x:v>add receipt/status then mirror</x:v>
      </x:c>
    </x:row>
    <x:row r="820">
      <x:c r="A820" s="15" t="str">
        <x:v>SWARM-06-H09-S03</x:v>
      </x:c>
      <x:c r="B820" s="15" t="str">
        <x:v>Forgekid</x:v>
      </x:c>
      <x:c r="C820" s="15" t="str">
        <x:v>Aetherforge UX builder</x:v>
      </x:c>
      <x:c r="D820" s="15" t="str">
        <x:v>Review Queues</x:v>
      </x:c>
      <x:c r="E820" s="15" t="str">
        <x:v>GitHub</x:v>
      </x:c>
      <x:c r="F820" s="15" t="str">
        <x:v>Queue review for GitHub — Forgekid</x:v>
      </x:c>
      <x:c r="G820" s="15" t="str">
        <x:v>quest cards / task cards / board affordances</x:v>
      </x:c>
      <x:c r="H820" s="15" t="str">
        <x:v>source path + receipt + raw/export status + claim/edge/risk delta</x:v>
      </x:c>
      <x:c r="I820" s="15" t="str">
        <x:v>packet/SWARM-06-H09-S03</x:v>
      </x:c>
      <x:c r="J820" s="15" t="str">
        <x:v>TODO</x:v>
      </x:c>
      <x:c r="K820" s="15" t="str">
        <x:v>P0</x:v>
      </x:c>
      <x:c r="L820" s="15" t="str">
        <x:v>Done only when evidence is logged, contradiction search is noted, and boundary stamp remains non-canon unless ratified</x:v>
      </x:c>
      <x:c r="M820" s="15" t="str">
        <x:v>candidate / staging-only / not canon / not deployed / authority none</x:v>
      </x:c>
      <x:c r="N820" s="15" t="str">
        <x:v>Dispatch to Forgekid: complete Review Queues x GitHub; return deltas only, receipts required.</x:v>
      </x:c>
      <x:c r="O820" s="15" t="str">
        <x:v>AF-KG-H09-S03</x:v>
      </x:c>
      <x:c r="P820" s="15" t="str">
        <x:v>Unverified</x:v>
      </x:c>
      <x:c r="Q820" s="15" t="str">
        <x:v>Not checked</x:v>
      </x:c>
      <x:c r="R820" s="15" t="str"/>
      <x:c r="S820" s="15" t="str"/>
      <x:c r="T820" s="15" t="str">
        <x:v>Log first source path or blocker</x:v>
      </x:c>
      <x:c r="U820" s="12" t="str">
        <x:f>IF(OR(P820="Unverified",Q820="Not checked"),"BLOCKED_PENDING_RECEIPT","READY_FOR_REVIEW")</x:f>
        <x:v>BLOCKED_PENDING_RECEIPT</x:v>
      </x:c>
      <x:c r="V820" s="12" t="str">
        <x:f>IF(J820="DONE","RETURNED",IF(U820="BLOCKED_PENDING_RECEIPT","SOURCE_TOUCH_REQUIRED","IN_PROGRESS"))</x:f>
        <x:v>SOURCE_TOUCH_REQUIRED</x:v>
      </x:c>
      <x:c r="W820" s="12" t="str">
        <x:f>IF(P820="Unverified","missing_receipt","receipt_logged")</x:f>
        <x:v>missing_receipt</x:v>
      </x:c>
      <x:c r="X820" s="12" t="str">
        <x:f>IF(Q820="Not checked","raw_status_missing","raw_status_logged")</x:f>
        <x:v>raw_status_missing</x:v>
      </x:c>
      <x:c r="Y820" s="12" t="str">
        <x:f>IF(U820="BLOCKED_PENDING_RECEIPT","Log source path or blocker; do not promote","Route to review lane")</x:f>
        <x:v>Log source path or blocker; do not promote</x:v>
      </x:c>
      <x:c r="Z820" s="12" t="str">
        <x:f>IF(K820="P0","Primary seat + Hashlight/Lucerna","Seat lane")</x:f>
        <x:v>Primary seat + Hashlight/Lucerna</x:v>
      </x:c>
      <x:c r="AA820" s="12" t="str">
        <x:f>IF(R820="","no_claim_delta","claim_delta_present")</x:f>
        <x:v>no_claim_delta</x:v>
      </x:c>
      <x:c r="AB820" s="12" t="str">
        <x:f>IF(S820="","no_contradiction_delta","contradiction_delta_present")</x:f>
        <x:v>no_contradiction_delta</x:v>
      </x:c>
      <x:c r="AC820" s="12" t="str">
        <x:f>IF(OR(ISNUMBER(SEARCH("hacker",LOWER(F820&amp;" "&amp;H820&amp;" "&amp;I820&amp;" "&amp;M820&amp;" "&amp;N820&amp;" "&amp;T820))),ISNUMBER(SEARCH("hacking",LOWER(F820&amp;" "&amp;H820&amp;" "&amp;I820&amp;" "&amp;M820&amp;" "&amp;N820&amp;" "&amp;T820))),ISNUMBER(SEARCH("bank",LOWER(F820&amp;" "&amp;H820&amp;" "&amp;I820&amp;" "&amp;M820&amp;" "&amp;N820&amp;" "&amp;T820))),ISNUMBER(SEARCH("banking",LOWER(F820&amp;" "&amp;H820&amp;" "&amp;I820&amp;" "&amp;M820&amp;" "&amp;N820&amp;" "&amp;T820)))),"PRIVATE_QUARANTINE",IF(OR(ISNUMBER(SEARCH("treasury",LOWER(F820&amp;" "&amp;H820&amp;" "&amp;I820&amp;" "&amp;M820&amp;" "&amp;N820&amp;" "&amp;T820))),ISNUMBER(SEARCH("debt",LOWER(F820&amp;" "&amp;H820&amp;" "&amp;I820&amp;" "&amp;M820&amp;" "&amp;N820&amp;" "&amp;T820))),ISNUMBER(SEARCH("bond",LOWER(F820&amp;" "&amp;H820&amp;" "&amp;I820&amp;" "&amp;M820&amp;" "&amp;N820&amp;" "&amp;T820))),ISNUMBER(SEARCH("transaction",LOWER(F820&amp;" "&amp;H820&amp;" "&amp;I820&amp;" "&amp;M820&amp;" "&amp;N820&amp;" "&amp;T820)))),"PRIVATE_REVIEW","PUBLIC_CANDIDATE"))</x:f>
        <x:v>PUBLIC_CANDIDATE</x:v>
      </x:c>
      <x:c r="AD820" s="12" t="str">
        <x:f>IF(AC820="PRIVATE_QUARANTINE","hacker_or_bank_trigger",IF(AC820="PRIVATE_REVIEW","finance_risk_trigger","none"))</x:f>
        <x:v>none</x:v>
      </x:c>
      <x:c r="AE820" s="12" t="str">
        <x:f>IF(AC820="PUBLIC_CANDIDATE","prepare_public_github_candidate",IF(AC820="PRIVATE_REVIEW","hold_for_private_review","quarantine_private_do_not_publish"))</x:f>
        <x:v>prepare_public_github_candidate</x:v>
      </x:c>
      <x:c r="AF820" s="12" t="str">
        <x:f>IF(AC820="PUBLIC_CANDIDATE","TIDELOCK + Lucerna",IF(AC820="PRIVATE_REVIEW","AtlasBrain + Lucerna","TIDELOCK + Lucerna + Human-root"))</x:f>
        <x:v>TIDELOCK + Lucerna</x:v>
      </x:c>
      <x:c r="AG820" s="12" t="str">
        <x:f>IF(AND(AC820="PUBLIC_CANDIDATE",U820&lt;&gt;"BLOCKED_PENDING_RECEIPT"),"READY_AFTER_RECEIPT","NOT_READY")</x:f>
        <x:v>NOT_READY</x:v>
      </x:c>
      <x:c r="AH820" s="12" t="str">
        <x:f>IF(AC820="PUBLIC_CANDIDATE","none",AD820)</x:f>
        <x:v>none</x:v>
      </x:c>
      <x:c r="AI820" s="12" t="str">
        <x:f>IF(AC820="PUBLIC_CANDIDATE","archive/public_candidates/"&amp;A820,"private_quarantine/"&amp;A820)</x:f>
        <x:v>archive/public_candidates/SWARM-06-H09-S03</x:v>
      </x:c>
      <x:c r="AJ820" s="12" t="str">
        <x:f>IF(AC820="PUBLIC_CANDIDATE","public by default; still not canon","private/hold; do not publish")</x:f>
        <x:v>public by default; still not canon</x:v>
      </x:c>
      <x:c r="AK820" s="12" t="str">
        <x:f>IF(AE820="prepare_public_github_candidate","add receipt/status then mirror","resolve blocker before any public GitHub action")</x:f>
        <x:v>add receipt/status then mirror</x:v>
      </x:c>
    </x:row>
    <x:row r="821">
      <x:c r="A821" s="15" t="str">
        <x:v>SWARM-06-H09-S04</x:v>
      </x:c>
      <x:c r="B821" s="15" t="str">
        <x:v>Forgekid</x:v>
      </x:c>
      <x:c r="C821" s="15" t="str">
        <x:v>Aetherforge UX builder</x:v>
      </x:c>
      <x:c r="D821" s="15" t="str">
        <x:v>Review Queues</x:v>
      </x:c>
      <x:c r="E821" s="15" t="str">
        <x:v>Gamma</x:v>
      </x:c>
      <x:c r="F821" s="15" t="str">
        <x:v>Queue review for Gamma — Forgekid</x:v>
      </x:c>
      <x:c r="G821" s="15" t="str">
        <x:v>quest cards / task cards / board affordances</x:v>
      </x:c>
      <x:c r="H821" s="15" t="str">
        <x:v>source path + receipt + raw/export status + claim/edge/risk delta</x:v>
      </x:c>
      <x:c r="I821" s="15" t="str">
        <x:v>packet/SWARM-06-H09-S04</x:v>
      </x:c>
      <x:c r="J821" s="15" t="str">
        <x:v>TODO</x:v>
      </x:c>
      <x:c r="K821" s="15" t="str">
        <x:v>P1</x:v>
      </x:c>
      <x:c r="L821" s="15" t="str">
        <x:v>Done only when evidence is logged, contradiction search is noted, and boundary stamp remains non-canon unless ratified</x:v>
      </x:c>
      <x:c r="M821" s="15" t="str">
        <x:v>candidate / staging-only / not canon / not deployed / authority none</x:v>
      </x:c>
      <x:c r="N821" s="15" t="str">
        <x:v>Dispatch to Forgekid: complete Review Queues x Gamma; return deltas only, receipts required.</x:v>
      </x:c>
      <x:c r="O821" s="15" t="str">
        <x:v>AF-KG-H09-S04</x:v>
      </x:c>
      <x:c r="P821" s="15" t="str">
        <x:v>Unverified</x:v>
      </x:c>
      <x:c r="Q821" s="15" t="str">
        <x:v>Not checked</x:v>
      </x:c>
      <x:c r="R821" s="15" t="str"/>
      <x:c r="S821" s="15" t="str"/>
      <x:c r="T821" s="15" t="str">
        <x:v>Log first source path or blocker</x:v>
      </x:c>
      <x:c r="U821" s="12" t="str">
        <x:f>IF(OR(P821="Unverified",Q821="Not checked"),"BLOCKED_PENDING_RECEIPT","READY_FOR_REVIEW")</x:f>
        <x:v>BLOCKED_PENDING_RECEIPT</x:v>
      </x:c>
      <x:c r="V821" s="12" t="str">
        <x:f>IF(J821="DONE","RETURNED",IF(U821="BLOCKED_PENDING_RECEIPT","SOURCE_TOUCH_REQUIRED","IN_PROGRESS"))</x:f>
        <x:v>SOURCE_TOUCH_REQUIRED</x:v>
      </x:c>
      <x:c r="W821" s="12" t="str">
        <x:f>IF(P821="Unverified","missing_receipt","receipt_logged")</x:f>
        <x:v>missing_receipt</x:v>
      </x:c>
      <x:c r="X821" s="12" t="str">
        <x:f>IF(Q821="Not checked","raw_status_missing","raw_status_logged")</x:f>
        <x:v>raw_status_missing</x:v>
      </x:c>
      <x:c r="Y821" s="12" t="str">
        <x:f>IF(U821="BLOCKED_PENDING_RECEIPT","Log source path or blocker; do not promote","Route to review lane")</x:f>
        <x:v>Log source path or blocker; do not promote</x:v>
      </x:c>
      <x:c r="Z821" s="12" t="str">
        <x:f>IF(K821="P0","Primary seat + Hashlight/Lucerna","Seat lane")</x:f>
        <x:v>Seat lane</x:v>
      </x:c>
      <x:c r="AA821" s="12" t="str">
        <x:f>IF(R821="","no_claim_delta","claim_delta_present")</x:f>
        <x:v>no_claim_delta</x:v>
      </x:c>
      <x:c r="AB821" s="12" t="str">
        <x:f>IF(S821="","no_contradiction_delta","contradiction_delta_present")</x:f>
        <x:v>no_contradiction_delta</x:v>
      </x:c>
      <x:c r="AC821" s="12" t="str">
        <x:f>IF(OR(ISNUMBER(SEARCH("hacker",LOWER(F821&amp;" "&amp;H821&amp;" "&amp;I821&amp;" "&amp;M821&amp;" "&amp;N821&amp;" "&amp;T821))),ISNUMBER(SEARCH("hacking",LOWER(F821&amp;" "&amp;H821&amp;" "&amp;I821&amp;" "&amp;M821&amp;" "&amp;N821&amp;" "&amp;T821))),ISNUMBER(SEARCH("bank",LOWER(F821&amp;" "&amp;H821&amp;" "&amp;I821&amp;" "&amp;M821&amp;" "&amp;N821&amp;" "&amp;T821))),ISNUMBER(SEARCH("banking",LOWER(F821&amp;" "&amp;H821&amp;" "&amp;I821&amp;" "&amp;M821&amp;" "&amp;N821&amp;" "&amp;T821)))),"PRIVATE_QUARANTINE",IF(OR(ISNUMBER(SEARCH("treasury",LOWER(F821&amp;" "&amp;H821&amp;" "&amp;I821&amp;" "&amp;M821&amp;" "&amp;N821&amp;" "&amp;T821))),ISNUMBER(SEARCH("debt",LOWER(F821&amp;" "&amp;H821&amp;" "&amp;I821&amp;" "&amp;M821&amp;" "&amp;N821&amp;" "&amp;T821))),ISNUMBER(SEARCH("bond",LOWER(F821&amp;" "&amp;H821&amp;" "&amp;I821&amp;" "&amp;M821&amp;" "&amp;N821&amp;" "&amp;T821))),ISNUMBER(SEARCH("transaction",LOWER(F821&amp;" "&amp;H821&amp;" "&amp;I821&amp;" "&amp;M821&amp;" "&amp;N821&amp;" "&amp;T821)))),"PRIVATE_REVIEW","PUBLIC_CANDIDATE"))</x:f>
        <x:v>PUBLIC_CANDIDATE</x:v>
      </x:c>
      <x:c r="AD821" s="12" t="str">
        <x:f>IF(AC821="PRIVATE_QUARANTINE","hacker_or_bank_trigger",IF(AC821="PRIVATE_REVIEW","finance_risk_trigger","none"))</x:f>
        <x:v>none</x:v>
      </x:c>
      <x:c r="AE821" s="12" t="str">
        <x:f>IF(AC821="PUBLIC_CANDIDATE","prepare_public_github_candidate",IF(AC821="PRIVATE_REVIEW","hold_for_private_review","quarantine_private_do_not_publish"))</x:f>
        <x:v>prepare_public_github_candidate</x:v>
      </x:c>
      <x:c r="AF821" s="12" t="str">
        <x:f>IF(AC821="PUBLIC_CANDIDATE","TIDELOCK + Lucerna",IF(AC821="PRIVATE_REVIEW","AtlasBrain + Lucerna","TIDELOCK + Lucerna + Human-root"))</x:f>
        <x:v>TIDELOCK + Lucerna</x:v>
      </x:c>
      <x:c r="AG821" s="12" t="str">
        <x:f>IF(AND(AC821="PUBLIC_CANDIDATE",U821&lt;&gt;"BLOCKED_PENDING_RECEIPT"),"READY_AFTER_RECEIPT","NOT_READY")</x:f>
        <x:v>NOT_READY</x:v>
      </x:c>
      <x:c r="AH821" s="12" t="str">
        <x:f>IF(AC821="PUBLIC_CANDIDATE","none",AD821)</x:f>
        <x:v>none</x:v>
      </x:c>
      <x:c r="AI821" s="12" t="str">
        <x:f>IF(AC821="PUBLIC_CANDIDATE","archive/public_candidates/"&amp;A821,"private_quarantine/"&amp;A821)</x:f>
        <x:v>archive/public_candidates/SWARM-06-H09-S04</x:v>
      </x:c>
      <x:c r="AJ821" s="12" t="str">
        <x:f>IF(AC821="PUBLIC_CANDIDATE","public by default; still not canon","private/hold; do not publish")</x:f>
        <x:v>public by default; still not canon</x:v>
      </x:c>
      <x:c r="AK821" s="12" t="str">
        <x:f>IF(AE821="prepare_public_github_candidate","add receipt/status then mirror","resolve blocker before any public GitHub action")</x:f>
        <x:v>add receipt/status then mirror</x:v>
      </x:c>
    </x:row>
    <x:row r="822">
      <x:c r="A822" s="15" t="str">
        <x:v>SWARM-06-H09-S05</x:v>
      </x:c>
      <x:c r="B822" s="15" t="str">
        <x:v>Forgekid</x:v>
      </x:c>
      <x:c r="C822" s="15" t="str">
        <x:v>Aetherforge UX builder</x:v>
      </x:c>
      <x:c r="D822" s="15" t="str">
        <x:v>Review Queues</x:v>
      </x:c>
      <x:c r="E822" s="15" t="str">
        <x:v>Chat</x:v>
      </x:c>
      <x:c r="F822" s="15" t="str">
        <x:v>Queue review for Chat — Forgekid</x:v>
      </x:c>
      <x:c r="G822" s="15" t="str">
        <x:v>quest cards / task cards / board affordances</x:v>
      </x:c>
      <x:c r="H822" s="15" t="str">
        <x:v>source path + receipt + raw/export status + claim/edge/risk delta</x:v>
      </x:c>
      <x:c r="I822" s="15" t="str">
        <x:v>packet/SWARM-06-H09-S05</x:v>
      </x:c>
      <x:c r="J822" s="15" t="str">
        <x:v>TODO</x:v>
      </x:c>
      <x:c r="K822" s="15" t="str">
        <x:v>P1</x:v>
      </x:c>
      <x:c r="L822" s="15" t="str">
        <x:v>Done only when evidence is logged, contradiction search is noted, and boundary stamp remains non-canon unless ratified</x:v>
      </x:c>
      <x:c r="M822" s="15" t="str">
        <x:v>candidate / staging-only / not canon / not deployed / authority none</x:v>
      </x:c>
      <x:c r="N822" s="15" t="str">
        <x:v>Dispatch to Forgekid: complete Review Queues x Chat; return deltas only, receipts required.</x:v>
      </x:c>
      <x:c r="O822" s="15" t="str">
        <x:v>AF-KG-H09-S05</x:v>
      </x:c>
      <x:c r="P822" s="15" t="str">
        <x:v>Unverified</x:v>
      </x:c>
      <x:c r="Q822" s="15" t="str">
        <x:v>Not checked</x:v>
      </x:c>
      <x:c r="R822" s="15" t="str"/>
      <x:c r="S822" s="15" t="str"/>
      <x:c r="T822" s="15" t="str">
        <x:v>Log first source path or blocker</x:v>
      </x:c>
      <x:c r="U822" s="12" t="str">
        <x:f>IF(OR(P822="Unverified",Q822="Not checked"),"BLOCKED_PENDING_RECEIPT","READY_FOR_REVIEW")</x:f>
        <x:v>BLOCKED_PENDING_RECEIPT</x:v>
      </x:c>
      <x:c r="V822" s="12" t="str">
        <x:f>IF(J822="DONE","RETURNED",IF(U822="BLOCKED_PENDING_RECEIPT","SOURCE_TOUCH_REQUIRED","IN_PROGRESS"))</x:f>
        <x:v>SOURCE_TOUCH_REQUIRED</x:v>
      </x:c>
      <x:c r="W822" s="12" t="str">
        <x:f>IF(P822="Unverified","missing_receipt","receipt_logged")</x:f>
        <x:v>missing_receipt</x:v>
      </x:c>
      <x:c r="X822" s="12" t="str">
        <x:f>IF(Q822="Not checked","raw_status_missing","raw_status_logged")</x:f>
        <x:v>raw_status_missing</x:v>
      </x:c>
      <x:c r="Y822" s="12" t="str">
        <x:f>IF(U822="BLOCKED_PENDING_RECEIPT","Log source path or blocker; do not promote","Route to review lane")</x:f>
        <x:v>Log source path or blocker; do not promote</x:v>
      </x:c>
      <x:c r="Z822" s="12" t="str">
        <x:f>IF(K822="P0","Primary seat + Hashlight/Lucerna","Seat lane")</x:f>
        <x:v>Seat lane</x:v>
      </x:c>
      <x:c r="AA822" s="12" t="str">
        <x:f>IF(R822="","no_claim_delta","claim_delta_present")</x:f>
        <x:v>no_claim_delta</x:v>
      </x:c>
      <x:c r="AB822" s="12" t="str">
        <x:f>IF(S822="","no_contradiction_delta","contradiction_delta_present")</x:f>
        <x:v>no_contradiction_delta</x:v>
      </x:c>
      <x:c r="AC822" s="12" t="str">
        <x:f>IF(OR(ISNUMBER(SEARCH("hacker",LOWER(F822&amp;" "&amp;H822&amp;" "&amp;I822&amp;" "&amp;M822&amp;" "&amp;N822&amp;" "&amp;T822))),ISNUMBER(SEARCH("hacking",LOWER(F822&amp;" "&amp;H822&amp;" "&amp;I822&amp;" "&amp;M822&amp;" "&amp;N822&amp;" "&amp;T822))),ISNUMBER(SEARCH("bank",LOWER(F822&amp;" "&amp;H822&amp;" "&amp;I822&amp;" "&amp;M822&amp;" "&amp;N822&amp;" "&amp;T822))),ISNUMBER(SEARCH("banking",LOWER(F822&amp;" "&amp;H822&amp;" "&amp;I822&amp;" "&amp;M822&amp;" "&amp;N822&amp;" "&amp;T822)))),"PRIVATE_QUARANTINE",IF(OR(ISNUMBER(SEARCH("treasury",LOWER(F822&amp;" "&amp;H822&amp;" "&amp;I822&amp;" "&amp;M822&amp;" "&amp;N822&amp;" "&amp;T822))),ISNUMBER(SEARCH("debt",LOWER(F822&amp;" "&amp;H822&amp;" "&amp;I822&amp;" "&amp;M822&amp;" "&amp;N822&amp;" "&amp;T822))),ISNUMBER(SEARCH("bond",LOWER(F822&amp;" "&amp;H822&amp;" "&amp;I822&amp;" "&amp;M822&amp;" "&amp;N822&amp;" "&amp;T822))),ISNUMBER(SEARCH("transaction",LOWER(F822&amp;" "&amp;H822&amp;" "&amp;I822&amp;" "&amp;M822&amp;" "&amp;N822&amp;" "&amp;T822)))),"PRIVATE_REVIEW","PUBLIC_CANDIDATE"))</x:f>
        <x:v>PUBLIC_CANDIDATE</x:v>
      </x:c>
      <x:c r="AD822" s="12" t="str">
        <x:f>IF(AC822="PRIVATE_QUARANTINE","hacker_or_bank_trigger",IF(AC822="PRIVATE_REVIEW","finance_risk_trigger","none"))</x:f>
        <x:v>none</x:v>
      </x:c>
      <x:c r="AE822" s="12" t="str">
        <x:f>IF(AC822="PUBLIC_CANDIDATE","prepare_public_github_candidate",IF(AC822="PRIVATE_REVIEW","hold_for_private_review","quarantine_private_do_not_publish"))</x:f>
        <x:v>prepare_public_github_candidate</x:v>
      </x:c>
      <x:c r="AF822" s="12" t="str">
        <x:f>IF(AC822="PUBLIC_CANDIDATE","TIDELOCK + Lucerna",IF(AC822="PRIVATE_REVIEW","AtlasBrain + Lucerna","TIDELOCK + Lucerna + Human-root"))</x:f>
        <x:v>TIDELOCK + Lucerna</x:v>
      </x:c>
      <x:c r="AG822" s="12" t="str">
        <x:f>IF(AND(AC822="PUBLIC_CANDIDATE",U822&lt;&gt;"BLOCKED_PENDING_RECEIPT"),"READY_AFTER_RECEIPT","NOT_READY")</x:f>
        <x:v>NOT_READY</x:v>
      </x:c>
      <x:c r="AH822" s="12" t="str">
        <x:f>IF(AC822="PUBLIC_CANDIDATE","none",AD822)</x:f>
        <x:v>none</x:v>
      </x:c>
      <x:c r="AI822" s="12" t="str">
        <x:f>IF(AC822="PUBLIC_CANDIDATE","archive/public_candidates/"&amp;A822,"private_quarantine/"&amp;A822)</x:f>
        <x:v>archive/public_candidates/SWARM-06-H09-S05</x:v>
      </x:c>
      <x:c r="AJ822" s="12" t="str">
        <x:f>IF(AC822="PUBLIC_CANDIDATE","public by default; still not canon","private/hold; do not publish")</x:f>
        <x:v>public by default; still not canon</x:v>
      </x:c>
      <x:c r="AK822" s="12" t="str">
        <x:f>IF(AE822="prepare_public_github_candidate","add receipt/status then mirror","resolve blocker before any public GitHub action")</x:f>
        <x:v>add receipt/status then mirror</x:v>
      </x:c>
    </x:row>
    <x:row r="823">
      <x:c r="A823" s="15" t="str">
        <x:v>SWARM-06-H09-S06</x:v>
      </x:c>
      <x:c r="B823" s="15" t="str">
        <x:v>Forgekid</x:v>
      </x:c>
      <x:c r="C823" s="15" t="str">
        <x:v>Aetherforge UX builder</x:v>
      </x:c>
      <x:c r="D823" s="15" t="str">
        <x:v>Review Queues</x:v>
      </x:c>
      <x:c r="E823" s="15" t="str">
        <x:v>External Web</x:v>
      </x:c>
      <x:c r="F823" s="15" t="str">
        <x:v>Queue review for External Web — Forgekid</x:v>
      </x:c>
      <x:c r="G823" s="15" t="str">
        <x:v>quest cards / task cards / board affordances</x:v>
      </x:c>
      <x:c r="H823" s="15" t="str">
        <x:v>source path + receipt + raw/export status + claim/edge/risk delta</x:v>
      </x:c>
      <x:c r="I823" s="15" t="str">
        <x:v>packet/SWARM-06-H09-S06</x:v>
      </x:c>
      <x:c r="J823" s="15" t="str">
        <x:v>TODO</x:v>
      </x:c>
      <x:c r="K823" s="15" t="str">
        <x:v>P1</x:v>
      </x:c>
      <x:c r="L823" s="15" t="str">
        <x:v>Done only when evidence is logged, contradiction search is noted, and boundary stamp remains non-canon unless ratified</x:v>
      </x:c>
      <x:c r="M823" s="15" t="str">
        <x:v>candidate / staging-only / not canon / not deployed / authority none</x:v>
      </x:c>
      <x:c r="N823" s="15" t="str">
        <x:v>Dispatch to Forgekid: complete Review Queues x External Web; return deltas only, receipts required.</x:v>
      </x:c>
      <x:c r="O823" s="15" t="str">
        <x:v>AF-KG-H09-S06</x:v>
      </x:c>
      <x:c r="P823" s="15" t="str">
        <x:v>Unverified</x:v>
      </x:c>
      <x:c r="Q823" s="15" t="str">
        <x:v>Not checked</x:v>
      </x:c>
      <x:c r="R823" s="15" t="str"/>
      <x:c r="S823" s="15" t="str"/>
      <x:c r="T823" s="15" t="str">
        <x:v>Log first source path or blocker</x:v>
      </x:c>
      <x:c r="U823" s="12" t="str">
        <x:f>IF(OR(P823="Unverified",Q823="Not checked"),"BLOCKED_PENDING_RECEIPT","READY_FOR_REVIEW")</x:f>
        <x:v>BLOCKED_PENDING_RECEIPT</x:v>
      </x:c>
      <x:c r="V823" s="12" t="str">
        <x:f>IF(J823="DONE","RETURNED",IF(U823="BLOCKED_PENDING_RECEIPT","SOURCE_TOUCH_REQUIRED","IN_PROGRESS"))</x:f>
        <x:v>SOURCE_TOUCH_REQUIRED</x:v>
      </x:c>
      <x:c r="W823" s="12" t="str">
        <x:f>IF(P823="Unverified","missing_receipt","receipt_logged")</x:f>
        <x:v>missing_receipt</x:v>
      </x:c>
      <x:c r="X823" s="12" t="str">
        <x:f>IF(Q823="Not checked","raw_status_missing","raw_status_logged")</x:f>
        <x:v>raw_status_missing</x:v>
      </x:c>
      <x:c r="Y823" s="12" t="str">
        <x:f>IF(U823="BLOCKED_PENDING_RECEIPT","Log source path or blocker; do not promote","Route to review lane")</x:f>
        <x:v>Log source path or blocker; do not promote</x:v>
      </x:c>
      <x:c r="Z823" s="12" t="str">
        <x:f>IF(K823="P0","Primary seat + Hashlight/Lucerna","Seat lane")</x:f>
        <x:v>Seat lane</x:v>
      </x:c>
      <x:c r="AA823" s="12" t="str">
        <x:f>IF(R823="","no_claim_delta","claim_delta_present")</x:f>
        <x:v>no_claim_delta</x:v>
      </x:c>
      <x:c r="AB823" s="12" t="str">
        <x:f>IF(S823="","no_contradiction_delta","contradiction_delta_present")</x:f>
        <x:v>no_contradiction_delta</x:v>
      </x:c>
      <x:c r="AC823" s="12" t="str">
        <x:f>IF(OR(ISNUMBER(SEARCH("hacker",LOWER(F823&amp;" "&amp;H823&amp;" "&amp;I823&amp;" "&amp;M823&amp;" "&amp;N823&amp;" "&amp;T823))),ISNUMBER(SEARCH("hacking",LOWER(F823&amp;" "&amp;H823&amp;" "&amp;I823&amp;" "&amp;M823&amp;" "&amp;N823&amp;" "&amp;T823))),ISNUMBER(SEARCH("bank",LOWER(F823&amp;" "&amp;H823&amp;" "&amp;I823&amp;" "&amp;M823&amp;" "&amp;N823&amp;" "&amp;T823))),ISNUMBER(SEARCH("banking",LOWER(F823&amp;" "&amp;H823&amp;" "&amp;I823&amp;" "&amp;M823&amp;" "&amp;N823&amp;" "&amp;T823)))),"PRIVATE_QUARANTINE",IF(OR(ISNUMBER(SEARCH("treasury",LOWER(F823&amp;" "&amp;H823&amp;" "&amp;I823&amp;" "&amp;M823&amp;" "&amp;N823&amp;" "&amp;T823))),ISNUMBER(SEARCH("debt",LOWER(F823&amp;" "&amp;H823&amp;" "&amp;I823&amp;" "&amp;M823&amp;" "&amp;N823&amp;" "&amp;T823))),ISNUMBER(SEARCH("bond",LOWER(F823&amp;" "&amp;H823&amp;" "&amp;I823&amp;" "&amp;M823&amp;" "&amp;N823&amp;" "&amp;T823))),ISNUMBER(SEARCH("transaction",LOWER(F823&amp;" "&amp;H823&amp;" "&amp;I823&amp;" "&amp;M823&amp;" "&amp;N823&amp;" "&amp;T823)))),"PRIVATE_REVIEW","PUBLIC_CANDIDATE"))</x:f>
        <x:v>PUBLIC_CANDIDATE</x:v>
      </x:c>
      <x:c r="AD823" s="12" t="str">
        <x:f>IF(AC823="PRIVATE_QUARANTINE","hacker_or_bank_trigger",IF(AC823="PRIVATE_REVIEW","finance_risk_trigger","none"))</x:f>
        <x:v>none</x:v>
      </x:c>
      <x:c r="AE823" s="12" t="str">
        <x:f>IF(AC823="PUBLIC_CANDIDATE","prepare_public_github_candidate",IF(AC823="PRIVATE_REVIEW","hold_for_private_review","quarantine_private_do_not_publish"))</x:f>
        <x:v>prepare_public_github_candidate</x:v>
      </x:c>
      <x:c r="AF823" s="12" t="str">
        <x:f>IF(AC823="PUBLIC_CANDIDATE","TIDELOCK + Lucerna",IF(AC823="PRIVATE_REVIEW","AtlasBrain + Lucerna","TIDELOCK + Lucerna + Human-root"))</x:f>
        <x:v>TIDELOCK + Lucerna</x:v>
      </x:c>
      <x:c r="AG823" s="12" t="str">
        <x:f>IF(AND(AC823="PUBLIC_CANDIDATE",U823&lt;&gt;"BLOCKED_PENDING_RECEIPT"),"READY_AFTER_RECEIPT","NOT_READY")</x:f>
        <x:v>NOT_READY</x:v>
      </x:c>
      <x:c r="AH823" s="12" t="str">
        <x:f>IF(AC823="PUBLIC_CANDIDATE","none",AD823)</x:f>
        <x:v>none</x:v>
      </x:c>
      <x:c r="AI823" s="12" t="str">
        <x:f>IF(AC823="PUBLIC_CANDIDATE","archive/public_candidates/"&amp;A823,"private_quarantine/"&amp;A823)</x:f>
        <x:v>archive/public_candidates/SWARM-06-H09-S06</x:v>
      </x:c>
      <x:c r="AJ823" s="12" t="str">
        <x:f>IF(AC823="PUBLIC_CANDIDATE","public by default; still not canon","private/hold; do not publish")</x:f>
        <x:v>public by default; still not canon</x:v>
      </x:c>
      <x:c r="AK823" s="12" t="str">
        <x:f>IF(AE823="prepare_public_github_candidate","add receipt/status then mirror","resolve blocker before any public GitHub action")</x:f>
        <x:v>add receipt/status then mirror</x:v>
      </x:c>
    </x:row>
    <x:row r="824">
      <x:c r="A824" s="15" t="str">
        <x:v>SWARM-06-H09-S07</x:v>
      </x:c>
      <x:c r="B824" s="15" t="str">
        <x:v>Forgekid</x:v>
      </x:c>
      <x:c r="C824" s="15" t="str">
        <x:v>Aetherforge UX builder</x:v>
      </x:c>
      <x:c r="D824" s="15" t="str">
        <x:v>Review Queues</x:v>
      </x:c>
      <x:c r="E824" s="15" t="str">
        <x:v>Planetarium</x:v>
      </x:c>
      <x:c r="F824" s="15" t="str">
        <x:v>Queue review for Planetarium — Forgekid</x:v>
      </x:c>
      <x:c r="G824" s="15" t="str">
        <x:v>quest cards / task cards / board affordances</x:v>
      </x:c>
      <x:c r="H824" s="15" t="str">
        <x:v>source path + receipt + raw/export status + claim/edge/risk delta</x:v>
      </x:c>
      <x:c r="I824" s="15" t="str">
        <x:v>packet/SWARM-06-H09-S07</x:v>
      </x:c>
      <x:c r="J824" s="15" t="str">
        <x:v>TODO</x:v>
      </x:c>
      <x:c r="K824" s="15" t="str">
        <x:v>P1</x:v>
      </x:c>
      <x:c r="L824" s="15" t="str">
        <x:v>Done only when evidence is logged, contradiction search is noted, and boundary stamp remains non-canon unless ratified</x:v>
      </x:c>
      <x:c r="M824" s="15" t="str">
        <x:v>candidate / staging-only / not canon / not deployed / authority none</x:v>
      </x:c>
      <x:c r="N824" s="15" t="str">
        <x:v>Dispatch to Forgekid: complete Review Queues x Planetarium; return deltas only, receipts required.</x:v>
      </x:c>
      <x:c r="O824" s="15" t="str">
        <x:v>AF-KG-H09-S07</x:v>
      </x:c>
      <x:c r="P824" s="15" t="str">
        <x:v>Unverified</x:v>
      </x:c>
      <x:c r="Q824" s="15" t="str">
        <x:v>Not checked</x:v>
      </x:c>
      <x:c r="R824" s="15" t="str"/>
      <x:c r="S824" s="15" t="str"/>
      <x:c r="T824" s="15" t="str">
        <x:v>Log first source path or blocker</x:v>
      </x:c>
      <x:c r="U824" s="12" t="str">
        <x:f>IF(OR(P824="Unverified",Q824="Not checked"),"BLOCKED_PENDING_RECEIPT","READY_FOR_REVIEW")</x:f>
        <x:v>BLOCKED_PENDING_RECEIPT</x:v>
      </x:c>
      <x:c r="V824" s="12" t="str">
        <x:f>IF(J824="DONE","RETURNED",IF(U824="BLOCKED_PENDING_RECEIPT","SOURCE_TOUCH_REQUIRED","IN_PROGRESS"))</x:f>
        <x:v>SOURCE_TOUCH_REQUIRED</x:v>
      </x:c>
      <x:c r="W824" s="12" t="str">
        <x:f>IF(P824="Unverified","missing_receipt","receipt_logged")</x:f>
        <x:v>missing_receipt</x:v>
      </x:c>
      <x:c r="X824" s="12" t="str">
        <x:f>IF(Q824="Not checked","raw_status_missing","raw_status_logged")</x:f>
        <x:v>raw_status_missing</x:v>
      </x:c>
      <x:c r="Y824" s="12" t="str">
        <x:f>IF(U824="BLOCKED_PENDING_RECEIPT","Log source path or blocker; do not promote","Route to review lane")</x:f>
        <x:v>Log source path or blocker; do not promote</x:v>
      </x:c>
      <x:c r="Z824" s="12" t="str">
        <x:f>IF(K824="P0","Primary seat + Hashlight/Lucerna","Seat lane")</x:f>
        <x:v>Seat lane</x:v>
      </x:c>
      <x:c r="AA824" s="12" t="str">
        <x:f>IF(R824="","no_claim_delta","claim_delta_present")</x:f>
        <x:v>no_claim_delta</x:v>
      </x:c>
      <x:c r="AB824" s="12" t="str">
        <x:f>IF(S824="","no_contradiction_delta","contradiction_delta_present")</x:f>
        <x:v>no_contradiction_delta</x:v>
      </x:c>
      <x:c r="AC824" s="12" t="str">
        <x:f>IF(OR(ISNUMBER(SEARCH("hacker",LOWER(F824&amp;" "&amp;H824&amp;" "&amp;I824&amp;" "&amp;M824&amp;" "&amp;N824&amp;" "&amp;T824))),ISNUMBER(SEARCH("hacking",LOWER(F824&amp;" "&amp;H824&amp;" "&amp;I824&amp;" "&amp;M824&amp;" "&amp;N824&amp;" "&amp;T824))),ISNUMBER(SEARCH("bank",LOWER(F824&amp;" "&amp;H824&amp;" "&amp;I824&amp;" "&amp;M824&amp;" "&amp;N824&amp;" "&amp;T824))),ISNUMBER(SEARCH("banking",LOWER(F824&amp;" "&amp;H824&amp;" "&amp;I824&amp;" "&amp;M824&amp;" "&amp;N824&amp;" "&amp;T824)))),"PRIVATE_QUARANTINE",IF(OR(ISNUMBER(SEARCH("treasury",LOWER(F824&amp;" "&amp;H824&amp;" "&amp;I824&amp;" "&amp;M824&amp;" "&amp;N824&amp;" "&amp;T824))),ISNUMBER(SEARCH("debt",LOWER(F824&amp;" "&amp;H824&amp;" "&amp;I824&amp;" "&amp;M824&amp;" "&amp;N824&amp;" "&amp;T824))),ISNUMBER(SEARCH("bond",LOWER(F824&amp;" "&amp;H824&amp;" "&amp;I824&amp;" "&amp;M824&amp;" "&amp;N824&amp;" "&amp;T824))),ISNUMBER(SEARCH("transaction",LOWER(F824&amp;" "&amp;H824&amp;" "&amp;I824&amp;" "&amp;M824&amp;" "&amp;N824&amp;" "&amp;T824)))),"PRIVATE_REVIEW","PUBLIC_CANDIDATE"))</x:f>
        <x:v>PUBLIC_CANDIDATE</x:v>
      </x:c>
      <x:c r="AD824" s="12" t="str">
        <x:f>IF(AC824="PRIVATE_QUARANTINE","hacker_or_bank_trigger",IF(AC824="PRIVATE_REVIEW","finance_risk_trigger","none"))</x:f>
        <x:v>none</x:v>
      </x:c>
      <x:c r="AE824" s="12" t="str">
        <x:f>IF(AC824="PUBLIC_CANDIDATE","prepare_public_github_candidate",IF(AC824="PRIVATE_REVIEW","hold_for_private_review","quarantine_private_do_not_publish"))</x:f>
        <x:v>prepare_public_github_candidate</x:v>
      </x:c>
      <x:c r="AF824" s="12" t="str">
        <x:f>IF(AC824="PUBLIC_CANDIDATE","TIDELOCK + Lucerna",IF(AC824="PRIVATE_REVIEW","AtlasBrain + Lucerna","TIDELOCK + Lucerna + Human-root"))</x:f>
        <x:v>TIDELOCK + Lucerna</x:v>
      </x:c>
      <x:c r="AG824" s="12" t="str">
        <x:f>IF(AND(AC824="PUBLIC_CANDIDATE",U824&lt;&gt;"BLOCKED_PENDING_RECEIPT"),"READY_AFTER_RECEIPT","NOT_READY")</x:f>
        <x:v>NOT_READY</x:v>
      </x:c>
      <x:c r="AH824" s="12" t="str">
        <x:f>IF(AC824="PUBLIC_CANDIDATE","none",AD824)</x:f>
        <x:v>none</x:v>
      </x:c>
      <x:c r="AI824" s="12" t="str">
        <x:f>IF(AC824="PUBLIC_CANDIDATE","archive/public_candidates/"&amp;A824,"private_quarantine/"&amp;A824)</x:f>
        <x:v>archive/public_candidates/SWARM-06-H09-S07</x:v>
      </x:c>
      <x:c r="AJ824" s="12" t="str">
        <x:f>IF(AC824="PUBLIC_CANDIDATE","public by default; still not canon","private/hold; do not publish")</x:f>
        <x:v>public by default; still not canon</x:v>
      </x:c>
      <x:c r="AK824" s="12" t="str">
        <x:f>IF(AE824="prepare_public_github_candidate","add receipt/status then mirror","resolve blocker before any public GitHub action")</x:f>
        <x:v>add receipt/status then mirror</x:v>
      </x:c>
    </x:row>
    <x:row r="825">
      <x:c r="A825" s="15" t="str">
        <x:v>SWARM-06-H09-S08</x:v>
      </x:c>
      <x:c r="B825" s="15" t="str">
        <x:v>Forgekid</x:v>
      </x:c>
      <x:c r="C825" s="15" t="str">
        <x:v>Aetherforge UX builder</x:v>
      </x:c>
      <x:c r="D825" s="15" t="str">
        <x:v>Review Queues</x:v>
      </x:c>
      <x:c r="E825" s="15" t="str">
        <x:v>Sheldonbrain</x:v>
      </x:c>
      <x:c r="F825" s="15" t="str">
        <x:v>Queue review for Sheldonbrain — Forgekid</x:v>
      </x:c>
      <x:c r="G825" s="15" t="str">
        <x:v>quest cards / task cards / board affordances</x:v>
      </x:c>
      <x:c r="H825" s="15" t="str">
        <x:v>source path + receipt + raw/export status + claim/edge/risk delta</x:v>
      </x:c>
      <x:c r="I825" s="15" t="str">
        <x:v>packet/SWARM-06-H09-S08</x:v>
      </x:c>
      <x:c r="J825" s="15" t="str">
        <x:v>TODO</x:v>
      </x:c>
      <x:c r="K825" s="15" t="str">
        <x:v>P1</x:v>
      </x:c>
      <x:c r="L825" s="15" t="str">
        <x:v>Done only when evidence is logged, contradiction search is noted, and boundary stamp remains non-canon unless ratified</x:v>
      </x:c>
      <x:c r="M825" s="15" t="str">
        <x:v>candidate / staging-only / not canon / not deployed / authority none</x:v>
      </x:c>
      <x:c r="N825" s="15" t="str">
        <x:v>Dispatch to Forgekid: complete Review Queues x Sheldonbrain; return deltas only, receipts required.</x:v>
      </x:c>
      <x:c r="O825" s="15" t="str">
        <x:v>AF-KG-H09-S08</x:v>
      </x:c>
      <x:c r="P825" s="15" t="str">
        <x:v>Unverified</x:v>
      </x:c>
      <x:c r="Q825" s="15" t="str">
        <x:v>Not checked</x:v>
      </x:c>
      <x:c r="R825" s="15" t="str"/>
      <x:c r="S825" s="15" t="str"/>
      <x:c r="T825" s="15" t="str">
        <x:v>Log first source path or blocker</x:v>
      </x:c>
      <x:c r="U825" s="12" t="str">
        <x:f>IF(OR(P825="Unverified",Q825="Not checked"),"BLOCKED_PENDING_RECEIPT","READY_FOR_REVIEW")</x:f>
        <x:v>BLOCKED_PENDING_RECEIPT</x:v>
      </x:c>
      <x:c r="V825" s="12" t="str">
        <x:f>IF(J825="DONE","RETURNED",IF(U825="BLOCKED_PENDING_RECEIPT","SOURCE_TOUCH_REQUIRED","IN_PROGRESS"))</x:f>
        <x:v>SOURCE_TOUCH_REQUIRED</x:v>
      </x:c>
      <x:c r="W825" s="12" t="str">
        <x:f>IF(P825="Unverified","missing_receipt","receipt_logged")</x:f>
        <x:v>missing_receipt</x:v>
      </x:c>
      <x:c r="X825" s="12" t="str">
        <x:f>IF(Q825="Not checked","raw_status_missing","raw_status_logged")</x:f>
        <x:v>raw_status_missing</x:v>
      </x:c>
      <x:c r="Y825" s="12" t="str">
        <x:f>IF(U825="BLOCKED_PENDING_RECEIPT","Log source path or blocker; do not promote","Route to review lane")</x:f>
        <x:v>Log source path or blocker; do not promote</x:v>
      </x:c>
      <x:c r="Z825" s="12" t="str">
        <x:f>IF(K825="P0","Primary seat + Hashlight/Lucerna","Seat lane")</x:f>
        <x:v>Seat lane</x:v>
      </x:c>
      <x:c r="AA825" s="12" t="str">
        <x:f>IF(R825="","no_claim_delta","claim_delta_present")</x:f>
        <x:v>no_claim_delta</x:v>
      </x:c>
      <x:c r="AB825" s="12" t="str">
        <x:f>IF(S825="","no_contradiction_delta","contradiction_delta_present")</x:f>
        <x:v>no_contradiction_delta</x:v>
      </x:c>
      <x:c r="AC825" s="12" t="str">
        <x:f>IF(OR(ISNUMBER(SEARCH("hacker",LOWER(F825&amp;" "&amp;H825&amp;" "&amp;I825&amp;" "&amp;M825&amp;" "&amp;N825&amp;" "&amp;T825))),ISNUMBER(SEARCH("hacking",LOWER(F825&amp;" "&amp;H825&amp;" "&amp;I825&amp;" "&amp;M825&amp;" "&amp;N825&amp;" "&amp;T825))),ISNUMBER(SEARCH("bank",LOWER(F825&amp;" "&amp;H825&amp;" "&amp;I825&amp;" "&amp;M825&amp;" "&amp;N825&amp;" "&amp;T825))),ISNUMBER(SEARCH("banking",LOWER(F825&amp;" "&amp;H825&amp;" "&amp;I825&amp;" "&amp;M825&amp;" "&amp;N825&amp;" "&amp;T825)))),"PRIVATE_QUARANTINE",IF(OR(ISNUMBER(SEARCH("treasury",LOWER(F825&amp;" "&amp;H825&amp;" "&amp;I825&amp;" "&amp;M825&amp;" "&amp;N825&amp;" "&amp;T825))),ISNUMBER(SEARCH("debt",LOWER(F825&amp;" "&amp;H825&amp;" "&amp;I825&amp;" "&amp;M825&amp;" "&amp;N825&amp;" "&amp;T825))),ISNUMBER(SEARCH("bond",LOWER(F825&amp;" "&amp;H825&amp;" "&amp;I825&amp;" "&amp;M825&amp;" "&amp;N825&amp;" "&amp;T825))),ISNUMBER(SEARCH("transaction",LOWER(F825&amp;" "&amp;H825&amp;" "&amp;I825&amp;" "&amp;M825&amp;" "&amp;N825&amp;" "&amp;T825)))),"PRIVATE_REVIEW","PUBLIC_CANDIDATE"))</x:f>
        <x:v>PUBLIC_CANDIDATE</x:v>
      </x:c>
      <x:c r="AD825" s="12" t="str">
        <x:f>IF(AC825="PRIVATE_QUARANTINE","hacker_or_bank_trigger",IF(AC825="PRIVATE_REVIEW","finance_risk_trigger","none"))</x:f>
        <x:v>none</x:v>
      </x:c>
      <x:c r="AE825" s="12" t="str">
        <x:f>IF(AC825="PUBLIC_CANDIDATE","prepare_public_github_candidate",IF(AC825="PRIVATE_REVIEW","hold_for_private_review","quarantine_private_do_not_publish"))</x:f>
        <x:v>prepare_public_github_candidate</x:v>
      </x:c>
      <x:c r="AF825" s="12" t="str">
        <x:f>IF(AC825="PUBLIC_CANDIDATE","TIDELOCK + Lucerna",IF(AC825="PRIVATE_REVIEW","AtlasBrain + Lucerna","TIDELOCK + Lucerna + Human-root"))</x:f>
        <x:v>TIDELOCK + Lucerna</x:v>
      </x:c>
      <x:c r="AG825" s="12" t="str">
        <x:f>IF(AND(AC825="PUBLIC_CANDIDATE",U825&lt;&gt;"BLOCKED_PENDING_RECEIPT"),"READY_AFTER_RECEIPT","NOT_READY")</x:f>
        <x:v>NOT_READY</x:v>
      </x:c>
      <x:c r="AH825" s="12" t="str">
        <x:f>IF(AC825="PUBLIC_CANDIDATE","none",AD825)</x:f>
        <x:v>none</x:v>
      </x:c>
      <x:c r="AI825" s="12" t="str">
        <x:f>IF(AC825="PUBLIC_CANDIDATE","archive/public_candidates/"&amp;A825,"private_quarantine/"&amp;A825)</x:f>
        <x:v>archive/public_candidates/SWARM-06-H09-S08</x:v>
      </x:c>
      <x:c r="AJ825" s="12" t="str">
        <x:f>IF(AC825="PUBLIC_CANDIDATE","public by default; still not canon","private/hold; do not publish")</x:f>
        <x:v>public by default; still not canon</x:v>
      </x:c>
      <x:c r="AK825" s="12" t="str">
        <x:f>IF(AE825="prepare_public_github_candidate","add receipt/status then mirror","resolve blocker before any public GitHub action")</x:f>
        <x:v>add receipt/status then mirror</x:v>
      </x:c>
    </x:row>
    <x:row r="826">
      <x:c r="A826" s="15" t="str">
        <x:v>SWARM-06-H09-S09</x:v>
      </x:c>
      <x:c r="B826" s="15" t="str">
        <x:v>Forgekid</x:v>
      </x:c>
      <x:c r="C826" s="15" t="str">
        <x:v>Aetherforge UX builder</x:v>
      </x:c>
      <x:c r="D826" s="15" t="str">
        <x:v>Review Queues</x:v>
      </x:c>
      <x:c r="E826" s="15" t="str">
        <x:v>Aetherforge</x:v>
      </x:c>
      <x:c r="F826" s="15" t="str">
        <x:v>Queue review for Aetherforge — Forgekid</x:v>
      </x:c>
      <x:c r="G826" s="15" t="str">
        <x:v>quest cards / task cards / board affordances</x:v>
      </x:c>
      <x:c r="H826" s="15" t="str">
        <x:v>source path + receipt + raw/export status + claim/edge/risk delta</x:v>
      </x:c>
      <x:c r="I826" s="15" t="str">
        <x:v>packet/SWARM-06-H09-S09</x:v>
      </x:c>
      <x:c r="J826" s="15" t="str">
        <x:v>TODO</x:v>
      </x:c>
      <x:c r="K826" s="15" t="str">
        <x:v>P2</x:v>
      </x:c>
      <x:c r="L826" s="15" t="str">
        <x:v>Done only when evidence is logged, contradiction search is noted, and boundary stamp remains non-canon unless ratified</x:v>
      </x:c>
      <x:c r="M826" s="15" t="str">
        <x:v>candidate / staging-only / not canon / not deployed / authority none</x:v>
      </x:c>
      <x:c r="N826" s="15" t="str">
        <x:v>Dispatch to Forgekid: complete Review Queues x Aetherforge; return deltas only, receipts required.</x:v>
      </x:c>
      <x:c r="O826" s="15" t="str">
        <x:v>AF-KG-H09-S09</x:v>
      </x:c>
      <x:c r="P826" s="15" t="str">
        <x:v>Unverified</x:v>
      </x:c>
      <x:c r="Q826" s="15" t="str">
        <x:v>Not checked</x:v>
      </x:c>
      <x:c r="R826" s="15" t="str"/>
      <x:c r="S826" s="15" t="str"/>
      <x:c r="T826" s="15" t="str">
        <x:v>Log first source path or blocker</x:v>
      </x:c>
      <x:c r="U826" s="12" t="str">
        <x:f>IF(OR(P826="Unverified",Q826="Not checked"),"BLOCKED_PENDING_RECEIPT","READY_FOR_REVIEW")</x:f>
        <x:v>BLOCKED_PENDING_RECEIPT</x:v>
      </x:c>
      <x:c r="V826" s="12" t="str">
        <x:f>IF(J826="DONE","RETURNED",IF(U826="BLOCKED_PENDING_RECEIPT","SOURCE_TOUCH_REQUIRED","IN_PROGRESS"))</x:f>
        <x:v>SOURCE_TOUCH_REQUIRED</x:v>
      </x:c>
      <x:c r="W826" s="12" t="str">
        <x:f>IF(P826="Unverified","missing_receipt","receipt_logged")</x:f>
        <x:v>missing_receipt</x:v>
      </x:c>
      <x:c r="X826" s="12" t="str">
        <x:f>IF(Q826="Not checked","raw_status_missing","raw_status_logged")</x:f>
        <x:v>raw_status_missing</x:v>
      </x:c>
      <x:c r="Y826" s="12" t="str">
        <x:f>IF(U826="BLOCKED_PENDING_RECEIPT","Log source path or blocker; do not promote","Route to review lane")</x:f>
        <x:v>Log source path or blocker; do not promote</x:v>
      </x:c>
      <x:c r="Z826" s="12" t="str">
        <x:f>IF(K826="P0","Primary seat + Hashlight/Lucerna","Seat lane")</x:f>
        <x:v>Seat lane</x:v>
      </x:c>
      <x:c r="AA826" s="12" t="str">
        <x:f>IF(R826="","no_claim_delta","claim_delta_present")</x:f>
        <x:v>no_claim_delta</x:v>
      </x:c>
      <x:c r="AB826" s="12" t="str">
        <x:f>IF(S826="","no_contradiction_delta","contradiction_delta_present")</x:f>
        <x:v>no_contradiction_delta</x:v>
      </x:c>
      <x:c r="AC826" s="12" t="str">
        <x:f>IF(OR(ISNUMBER(SEARCH("hacker",LOWER(F826&amp;" "&amp;H826&amp;" "&amp;I826&amp;" "&amp;M826&amp;" "&amp;N826&amp;" "&amp;T826))),ISNUMBER(SEARCH("hacking",LOWER(F826&amp;" "&amp;H826&amp;" "&amp;I826&amp;" "&amp;M826&amp;" "&amp;N826&amp;" "&amp;T826))),ISNUMBER(SEARCH("bank",LOWER(F826&amp;" "&amp;H826&amp;" "&amp;I826&amp;" "&amp;M826&amp;" "&amp;N826&amp;" "&amp;T826))),ISNUMBER(SEARCH("banking",LOWER(F826&amp;" "&amp;H826&amp;" "&amp;I826&amp;" "&amp;M826&amp;" "&amp;N826&amp;" "&amp;T826)))),"PRIVATE_QUARANTINE",IF(OR(ISNUMBER(SEARCH("treasury",LOWER(F826&amp;" "&amp;H826&amp;" "&amp;I826&amp;" "&amp;M826&amp;" "&amp;N826&amp;" "&amp;T826))),ISNUMBER(SEARCH("debt",LOWER(F826&amp;" "&amp;H826&amp;" "&amp;I826&amp;" "&amp;M826&amp;" "&amp;N826&amp;" "&amp;T826))),ISNUMBER(SEARCH("bond",LOWER(F826&amp;" "&amp;H826&amp;" "&amp;I826&amp;" "&amp;M826&amp;" "&amp;N826&amp;" "&amp;T826))),ISNUMBER(SEARCH("transaction",LOWER(F826&amp;" "&amp;H826&amp;" "&amp;I826&amp;" "&amp;M826&amp;" "&amp;N826&amp;" "&amp;T826)))),"PRIVATE_REVIEW","PUBLIC_CANDIDATE"))</x:f>
        <x:v>PUBLIC_CANDIDATE</x:v>
      </x:c>
      <x:c r="AD826" s="12" t="str">
        <x:f>IF(AC826="PRIVATE_QUARANTINE","hacker_or_bank_trigger",IF(AC826="PRIVATE_REVIEW","finance_risk_trigger","none"))</x:f>
        <x:v>none</x:v>
      </x:c>
      <x:c r="AE826" s="12" t="str">
        <x:f>IF(AC826="PUBLIC_CANDIDATE","prepare_public_github_candidate",IF(AC826="PRIVATE_REVIEW","hold_for_private_review","quarantine_private_do_not_publish"))</x:f>
        <x:v>prepare_public_github_candidate</x:v>
      </x:c>
      <x:c r="AF826" s="12" t="str">
        <x:f>IF(AC826="PUBLIC_CANDIDATE","TIDELOCK + Lucerna",IF(AC826="PRIVATE_REVIEW","AtlasBrain + Lucerna","TIDELOCK + Lucerna + Human-root"))</x:f>
        <x:v>TIDELOCK + Lucerna</x:v>
      </x:c>
      <x:c r="AG826" s="12" t="str">
        <x:f>IF(AND(AC826="PUBLIC_CANDIDATE",U826&lt;&gt;"BLOCKED_PENDING_RECEIPT"),"READY_AFTER_RECEIPT","NOT_READY")</x:f>
        <x:v>NOT_READY</x:v>
      </x:c>
      <x:c r="AH826" s="12" t="str">
        <x:f>IF(AC826="PUBLIC_CANDIDATE","none",AD826)</x:f>
        <x:v>none</x:v>
      </x:c>
      <x:c r="AI826" s="12" t="str">
        <x:f>IF(AC826="PUBLIC_CANDIDATE","archive/public_candidates/"&amp;A826,"private_quarantine/"&amp;A826)</x:f>
        <x:v>archive/public_candidates/SWARM-06-H09-S09</x:v>
      </x:c>
      <x:c r="AJ826" s="12" t="str">
        <x:f>IF(AC826="PUBLIC_CANDIDATE","public by default; still not canon","private/hold; do not publish")</x:f>
        <x:v>public by default; still not canon</x:v>
      </x:c>
      <x:c r="AK826" s="12" t="str">
        <x:f>IF(AE826="prepare_public_github_candidate","add receipt/status then mirror","resolve blocker before any public GitHub action")</x:f>
        <x:v>add receipt/status then mirror</x:v>
      </x:c>
    </x:row>
    <x:row r="827">
      <x:c r="A827" s="15" t="str">
        <x:v>SWARM-06-H09-S10</x:v>
      </x:c>
      <x:c r="B827" s="15" t="str">
        <x:v>Forgekid</x:v>
      </x:c>
      <x:c r="C827" s="15" t="str">
        <x:v>Aetherforge UX builder</x:v>
      </x:c>
      <x:c r="D827" s="15" t="str">
        <x:v>Review Queues</x:v>
      </x:c>
      <x:c r="E827" s="15" t="str">
        <x:v>Human-Root</x:v>
      </x:c>
      <x:c r="F827" s="15" t="str">
        <x:v>Queue review for Human-Root — Forgekid</x:v>
      </x:c>
      <x:c r="G827" s="15" t="str">
        <x:v>quest cards / task cards / board affordances</x:v>
      </x:c>
      <x:c r="H827" s="15" t="str">
        <x:v>source path + receipt + raw/export status + claim/edge/risk delta</x:v>
      </x:c>
      <x:c r="I827" s="15" t="str">
        <x:v>packet/SWARM-06-H09-S10</x:v>
      </x:c>
      <x:c r="J827" s="15" t="str">
        <x:v>TODO</x:v>
      </x:c>
      <x:c r="K827" s="15" t="str">
        <x:v>P2</x:v>
      </x:c>
      <x:c r="L827" s="15" t="str">
        <x:v>Done only when evidence is logged, contradiction search is noted, and boundary stamp remains non-canon unless ratified</x:v>
      </x:c>
      <x:c r="M827" s="15" t="str">
        <x:v>candidate / staging-only / not canon / not deployed / authority none</x:v>
      </x:c>
      <x:c r="N827" s="15" t="str">
        <x:v>Dispatch to Forgekid: complete Review Queues x Human-Root; return deltas only, receipts required.</x:v>
      </x:c>
      <x:c r="O827" s="15" t="str">
        <x:v>AF-KG-H09-S10</x:v>
      </x:c>
      <x:c r="P827" s="15" t="str">
        <x:v>Unverified</x:v>
      </x:c>
      <x:c r="Q827" s="15" t="str">
        <x:v>Not checked</x:v>
      </x:c>
      <x:c r="R827" s="15" t="str"/>
      <x:c r="S827" s="15" t="str"/>
      <x:c r="T827" s="15" t="str">
        <x:v>Log first source path or blocker</x:v>
      </x:c>
      <x:c r="U827" s="12" t="str">
        <x:f>IF(OR(P827="Unverified",Q827="Not checked"),"BLOCKED_PENDING_RECEIPT","READY_FOR_REVIEW")</x:f>
        <x:v>BLOCKED_PENDING_RECEIPT</x:v>
      </x:c>
      <x:c r="V827" s="12" t="str">
        <x:f>IF(J827="DONE","RETURNED",IF(U827="BLOCKED_PENDING_RECEIPT","SOURCE_TOUCH_REQUIRED","IN_PROGRESS"))</x:f>
        <x:v>SOURCE_TOUCH_REQUIRED</x:v>
      </x:c>
      <x:c r="W827" s="12" t="str">
        <x:f>IF(P827="Unverified","missing_receipt","receipt_logged")</x:f>
        <x:v>missing_receipt</x:v>
      </x:c>
      <x:c r="X827" s="12" t="str">
        <x:f>IF(Q827="Not checked","raw_status_missing","raw_status_logged")</x:f>
        <x:v>raw_status_missing</x:v>
      </x:c>
      <x:c r="Y827" s="12" t="str">
        <x:f>IF(U827="BLOCKED_PENDING_RECEIPT","Log source path or blocker; do not promote","Route to review lane")</x:f>
        <x:v>Log source path or blocker; do not promote</x:v>
      </x:c>
      <x:c r="Z827" s="12" t="str">
        <x:f>IF(K827="P0","Primary seat + Hashlight/Lucerna","Seat lane")</x:f>
        <x:v>Seat lane</x:v>
      </x:c>
      <x:c r="AA827" s="12" t="str">
        <x:f>IF(R827="","no_claim_delta","claim_delta_present")</x:f>
        <x:v>no_claim_delta</x:v>
      </x:c>
      <x:c r="AB827" s="12" t="str">
        <x:f>IF(S827="","no_contradiction_delta","contradiction_delta_present")</x:f>
        <x:v>no_contradiction_delta</x:v>
      </x:c>
      <x:c r="AC827" s="12" t="str">
        <x:f>IF(OR(ISNUMBER(SEARCH("hacker",LOWER(F827&amp;" "&amp;H827&amp;" "&amp;I827&amp;" "&amp;M827&amp;" "&amp;N827&amp;" "&amp;T827))),ISNUMBER(SEARCH("hacking",LOWER(F827&amp;" "&amp;H827&amp;" "&amp;I827&amp;" "&amp;M827&amp;" "&amp;N827&amp;" "&amp;T827))),ISNUMBER(SEARCH("bank",LOWER(F827&amp;" "&amp;H827&amp;" "&amp;I827&amp;" "&amp;M827&amp;" "&amp;N827&amp;" "&amp;T827))),ISNUMBER(SEARCH("banking",LOWER(F827&amp;" "&amp;H827&amp;" "&amp;I827&amp;" "&amp;M827&amp;" "&amp;N827&amp;" "&amp;T827)))),"PRIVATE_QUARANTINE",IF(OR(ISNUMBER(SEARCH("treasury",LOWER(F827&amp;" "&amp;H827&amp;" "&amp;I827&amp;" "&amp;M827&amp;" "&amp;N827&amp;" "&amp;T827))),ISNUMBER(SEARCH("debt",LOWER(F827&amp;" "&amp;H827&amp;" "&amp;I827&amp;" "&amp;M827&amp;" "&amp;N827&amp;" "&amp;T827))),ISNUMBER(SEARCH("bond",LOWER(F827&amp;" "&amp;H827&amp;" "&amp;I827&amp;" "&amp;M827&amp;" "&amp;N827&amp;" "&amp;T827))),ISNUMBER(SEARCH("transaction",LOWER(F827&amp;" "&amp;H827&amp;" "&amp;I827&amp;" "&amp;M827&amp;" "&amp;N827&amp;" "&amp;T827)))),"PRIVATE_REVIEW","PUBLIC_CANDIDATE"))</x:f>
        <x:v>PUBLIC_CANDIDATE</x:v>
      </x:c>
      <x:c r="AD827" s="12" t="str">
        <x:f>IF(AC827="PRIVATE_QUARANTINE","hacker_or_bank_trigger",IF(AC827="PRIVATE_REVIEW","finance_risk_trigger","none"))</x:f>
        <x:v>none</x:v>
      </x:c>
      <x:c r="AE827" s="12" t="str">
        <x:f>IF(AC827="PUBLIC_CANDIDATE","prepare_public_github_candidate",IF(AC827="PRIVATE_REVIEW","hold_for_private_review","quarantine_private_do_not_publish"))</x:f>
        <x:v>prepare_public_github_candidate</x:v>
      </x:c>
      <x:c r="AF827" s="12" t="str">
        <x:f>IF(AC827="PUBLIC_CANDIDATE","TIDELOCK + Lucerna",IF(AC827="PRIVATE_REVIEW","AtlasBrain + Lucerna","TIDELOCK + Lucerna + Human-root"))</x:f>
        <x:v>TIDELOCK + Lucerna</x:v>
      </x:c>
      <x:c r="AG827" s="12" t="str">
        <x:f>IF(AND(AC827="PUBLIC_CANDIDATE",U827&lt;&gt;"BLOCKED_PENDING_RECEIPT"),"READY_AFTER_RECEIPT","NOT_READY")</x:f>
        <x:v>NOT_READY</x:v>
      </x:c>
      <x:c r="AH827" s="12" t="str">
        <x:f>IF(AC827="PUBLIC_CANDIDATE","none",AD827)</x:f>
        <x:v>none</x:v>
      </x:c>
      <x:c r="AI827" s="12" t="str">
        <x:f>IF(AC827="PUBLIC_CANDIDATE","archive/public_candidates/"&amp;A827,"private_quarantine/"&amp;A827)</x:f>
        <x:v>archive/public_candidates/SWARM-06-H09-S10</x:v>
      </x:c>
      <x:c r="AJ827" s="12" t="str">
        <x:f>IF(AC827="PUBLIC_CANDIDATE","public by default; still not canon","private/hold; do not publish")</x:f>
        <x:v>public by default; still not canon</x:v>
      </x:c>
      <x:c r="AK827" s="12" t="str">
        <x:f>IF(AE827="prepare_public_github_candidate","add receipt/status then mirror","resolve blocker before any public GitHub action")</x:f>
        <x:v>add receipt/status then mirror</x:v>
      </x:c>
    </x:row>
    <x:row r="828">
      <x:c r="A828" s="15" t="str">
        <x:v>SWARM-06-H09-S11</x:v>
      </x:c>
      <x:c r="B828" s="15" t="str">
        <x:v>Forgekid</x:v>
      </x:c>
      <x:c r="C828" s="15" t="str">
        <x:v>Aetherforge UX builder</x:v>
      </x:c>
      <x:c r="D828" s="15" t="str">
        <x:v>Review Queues</x:v>
      </x:c>
      <x:c r="E828" s="15" t="str">
        <x:v>Automation</x:v>
      </x:c>
      <x:c r="F828" s="15" t="str">
        <x:v>Queue review for Automation — Forgekid</x:v>
      </x:c>
      <x:c r="G828" s="15" t="str">
        <x:v>quest cards / task cards / board affordances</x:v>
      </x:c>
      <x:c r="H828" s="15" t="str">
        <x:v>source path + receipt + raw/export status + claim/edge/risk delta</x:v>
      </x:c>
      <x:c r="I828" s="15" t="str">
        <x:v>packet/SWARM-06-H09-S11</x:v>
      </x:c>
      <x:c r="J828" s="15" t="str">
        <x:v>TODO</x:v>
      </x:c>
      <x:c r="K828" s="15" t="str">
        <x:v>P2</x:v>
      </x:c>
      <x:c r="L828" s="15" t="str">
        <x:v>Done only when evidence is logged, contradiction search is noted, and boundary stamp remains non-canon unless ratified</x:v>
      </x:c>
      <x:c r="M828" s="15" t="str">
        <x:v>candidate / staging-only / not canon / not deployed / authority none</x:v>
      </x:c>
      <x:c r="N828" s="15" t="str">
        <x:v>Dispatch to Forgekid: complete Review Queues x Automation; return deltas only, receipts required.</x:v>
      </x:c>
      <x:c r="O828" s="15" t="str">
        <x:v>AF-KG-H09-S11</x:v>
      </x:c>
      <x:c r="P828" s="15" t="str">
        <x:v>Unverified</x:v>
      </x:c>
      <x:c r="Q828" s="15" t="str">
        <x:v>Not checked</x:v>
      </x:c>
      <x:c r="R828" s="15" t="str"/>
      <x:c r="S828" s="15" t="str"/>
      <x:c r="T828" s="15" t="str">
        <x:v>Log first source path or blocker</x:v>
      </x:c>
      <x:c r="U828" s="12" t="str">
        <x:f>IF(OR(P828="Unverified",Q828="Not checked"),"BLOCKED_PENDING_RECEIPT","READY_FOR_REVIEW")</x:f>
        <x:v>BLOCKED_PENDING_RECEIPT</x:v>
      </x:c>
      <x:c r="V828" s="12" t="str">
        <x:f>IF(J828="DONE","RETURNED",IF(U828="BLOCKED_PENDING_RECEIPT","SOURCE_TOUCH_REQUIRED","IN_PROGRESS"))</x:f>
        <x:v>SOURCE_TOUCH_REQUIRED</x:v>
      </x:c>
      <x:c r="W828" s="12" t="str">
        <x:f>IF(P828="Unverified","missing_receipt","receipt_logged")</x:f>
        <x:v>missing_receipt</x:v>
      </x:c>
      <x:c r="X828" s="12" t="str">
        <x:f>IF(Q828="Not checked","raw_status_missing","raw_status_logged")</x:f>
        <x:v>raw_status_missing</x:v>
      </x:c>
      <x:c r="Y828" s="12" t="str">
        <x:f>IF(U828="BLOCKED_PENDING_RECEIPT","Log source path or blocker; do not promote","Route to review lane")</x:f>
        <x:v>Log source path or blocker; do not promote</x:v>
      </x:c>
      <x:c r="Z828" s="12" t="str">
        <x:f>IF(K828="P0","Primary seat + Hashlight/Lucerna","Seat lane")</x:f>
        <x:v>Seat lane</x:v>
      </x:c>
      <x:c r="AA828" s="12" t="str">
        <x:f>IF(R828="","no_claim_delta","claim_delta_present")</x:f>
        <x:v>no_claim_delta</x:v>
      </x:c>
      <x:c r="AB828" s="12" t="str">
        <x:f>IF(S828="","no_contradiction_delta","contradiction_delta_present")</x:f>
        <x:v>no_contradiction_delta</x:v>
      </x:c>
      <x:c r="AC828" s="12" t="str">
        <x:f>IF(OR(ISNUMBER(SEARCH("hacker",LOWER(F828&amp;" "&amp;H828&amp;" "&amp;I828&amp;" "&amp;M828&amp;" "&amp;N828&amp;" "&amp;T828))),ISNUMBER(SEARCH("hacking",LOWER(F828&amp;" "&amp;H828&amp;" "&amp;I828&amp;" "&amp;M828&amp;" "&amp;N828&amp;" "&amp;T828))),ISNUMBER(SEARCH("bank",LOWER(F828&amp;" "&amp;H828&amp;" "&amp;I828&amp;" "&amp;M828&amp;" "&amp;N828&amp;" "&amp;T828))),ISNUMBER(SEARCH("banking",LOWER(F828&amp;" "&amp;H828&amp;" "&amp;I828&amp;" "&amp;M828&amp;" "&amp;N828&amp;" "&amp;T828)))),"PRIVATE_QUARANTINE",IF(OR(ISNUMBER(SEARCH("treasury",LOWER(F828&amp;" "&amp;H828&amp;" "&amp;I828&amp;" "&amp;M828&amp;" "&amp;N828&amp;" "&amp;T828))),ISNUMBER(SEARCH("debt",LOWER(F828&amp;" "&amp;H828&amp;" "&amp;I828&amp;" "&amp;M828&amp;" "&amp;N828&amp;" "&amp;T828))),ISNUMBER(SEARCH("bond",LOWER(F828&amp;" "&amp;H828&amp;" "&amp;I828&amp;" "&amp;M828&amp;" "&amp;N828&amp;" "&amp;T828))),ISNUMBER(SEARCH("transaction",LOWER(F828&amp;" "&amp;H828&amp;" "&amp;I828&amp;" "&amp;M828&amp;" "&amp;N828&amp;" "&amp;T828)))),"PRIVATE_REVIEW","PUBLIC_CANDIDATE"))</x:f>
        <x:v>PUBLIC_CANDIDATE</x:v>
      </x:c>
      <x:c r="AD828" s="12" t="str">
        <x:f>IF(AC828="PRIVATE_QUARANTINE","hacker_or_bank_trigger",IF(AC828="PRIVATE_REVIEW","finance_risk_trigger","none"))</x:f>
        <x:v>none</x:v>
      </x:c>
      <x:c r="AE828" s="12" t="str">
        <x:f>IF(AC828="PUBLIC_CANDIDATE","prepare_public_github_candidate",IF(AC828="PRIVATE_REVIEW","hold_for_private_review","quarantine_private_do_not_publish"))</x:f>
        <x:v>prepare_public_github_candidate</x:v>
      </x:c>
      <x:c r="AF828" s="12" t="str">
        <x:f>IF(AC828="PUBLIC_CANDIDATE","TIDELOCK + Lucerna",IF(AC828="PRIVATE_REVIEW","AtlasBrain + Lucerna","TIDELOCK + Lucerna + Human-root"))</x:f>
        <x:v>TIDELOCK + Lucerna</x:v>
      </x:c>
      <x:c r="AG828" s="12" t="str">
        <x:f>IF(AND(AC828="PUBLIC_CANDIDATE",U828&lt;&gt;"BLOCKED_PENDING_RECEIPT"),"READY_AFTER_RECEIPT","NOT_READY")</x:f>
        <x:v>NOT_READY</x:v>
      </x:c>
      <x:c r="AH828" s="12" t="str">
        <x:f>IF(AC828="PUBLIC_CANDIDATE","none",AD828)</x:f>
        <x:v>none</x:v>
      </x:c>
      <x:c r="AI828" s="12" t="str">
        <x:f>IF(AC828="PUBLIC_CANDIDATE","archive/public_candidates/"&amp;A828,"private_quarantine/"&amp;A828)</x:f>
        <x:v>archive/public_candidates/SWARM-06-H09-S11</x:v>
      </x:c>
      <x:c r="AJ828" s="12" t="str">
        <x:f>IF(AC828="PUBLIC_CANDIDATE","public by default; still not canon","private/hold; do not publish")</x:f>
        <x:v>public by default; still not canon</x:v>
      </x:c>
      <x:c r="AK828" s="12" t="str">
        <x:f>IF(AE828="prepare_public_github_candidate","add receipt/status then mirror","resolve blocker before any public GitHub action")</x:f>
        <x:v>add receipt/status then mirror</x:v>
      </x:c>
    </x:row>
    <x:row r="829">
      <x:c r="A829" s="15" t="str">
        <x:v>SWARM-06-H09-S12</x:v>
      </x:c>
      <x:c r="B829" s="15" t="str">
        <x:v>Forgekid</x:v>
      </x:c>
      <x:c r="C829" s="15" t="str">
        <x:v>Aetherforge UX builder</x:v>
      </x:c>
      <x:c r="D829" s="15" t="str">
        <x:v>Review Queues</x:v>
      </x:c>
      <x:c r="E829" s="15" t="str">
        <x:v>Risk / Safety</x:v>
      </x:c>
      <x:c r="F829" s="15" t="str">
        <x:v>Queue review for Risk / Safety — Forgekid</x:v>
      </x:c>
      <x:c r="G829" s="15" t="str">
        <x:v>quest cards / task cards / board affordances</x:v>
      </x:c>
      <x:c r="H829" s="15" t="str">
        <x:v>source path + receipt + raw/export status + claim/edge/risk delta</x:v>
      </x:c>
      <x:c r="I829" s="15" t="str">
        <x:v>packet/SWARM-06-H09-S12</x:v>
      </x:c>
      <x:c r="J829" s="15" t="str">
        <x:v>TODO</x:v>
      </x:c>
      <x:c r="K829" s="15" t="str">
        <x:v>P2</x:v>
      </x:c>
      <x:c r="L829" s="15" t="str">
        <x:v>Done only when evidence is logged, contradiction search is noted, and boundary stamp remains non-canon unless ratified</x:v>
      </x:c>
      <x:c r="M829" s="15" t="str">
        <x:v>candidate / staging-only / not canon / not deployed / authority none</x:v>
      </x:c>
      <x:c r="N829" s="15" t="str">
        <x:v>Dispatch to Forgekid: complete Review Queues x Risk / Safety; return deltas only, receipts required.</x:v>
      </x:c>
      <x:c r="O829" s="15" t="str">
        <x:v>AF-KG-H09-S12</x:v>
      </x:c>
      <x:c r="P829" s="15" t="str">
        <x:v>Unverified</x:v>
      </x:c>
      <x:c r="Q829" s="15" t="str">
        <x:v>Not checked</x:v>
      </x:c>
      <x:c r="R829" s="15" t="str"/>
      <x:c r="S829" s="15" t="str"/>
      <x:c r="T829" s="15" t="str">
        <x:v>Log first source path or blocker</x:v>
      </x:c>
      <x:c r="U829" s="12" t="str">
        <x:f>IF(OR(P829="Unverified",Q829="Not checked"),"BLOCKED_PENDING_RECEIPT","READY_FOR_REVIEW")</x:f>
        <x:v>BLOCKED_PENDING_RECEIPT</x:v>
      </x:c>
      <x:c r="V829" s="12" t="str">
        <x:f>IF(J829="DONE","RETURNED",IF(U829="BLOCKED_PENDING_RECEIPT","SOURCE_TOUCH_REQUIRED","IN_PROGRESS"))</x:f>
        <x:v>SOURCE_TOUCH_REQUIRED</x:v>
      </x:c>
      <x:c r="W829" s="12" t="str">
        <x:f>IF(P829="Unverified","missing_receipt","receipt_logged")</x:f>
        <x:v>missing_receipt</x:v>
      </x:c>
      <x:c r="X829" s="12" t="str">
        <x:f>IF(Q829="Not checked","raw_status_missing","raw_status_logged")</x:f>
        <x:v>raw_status_missing</x:v>
      </x:c>
      <x:c r="Y829" s="12" t="str">
        <x:f>IF(U829="BLOCKED_PENDING_RECEIPT","Log source path or blocker; do not promote","Route to review lane")</x:f>
        <x:v>Log source path or blocker; do not promote</x:v>
      </x:c>
      <x:c r="Z829" s="12" t="str">
        <x:f>IF(K829="P0","Primary seat + Hashlight/Lucerna","Seat lane")</x:f>
        <x:v>Seat lane</x:v>
      </x:c>
      <x:c r="AA829" s="12" t="str">
        <x:f>IF(R829="","no_claim_delta","claim_delta_present")</x:f>
        <x:v>no_claim_delta</x:v>
      </x:c>
      <x:c r="AB829" s="12" t="str">
        <x:f>IF(S829="","no_contradiction_delta","contradiction_delta_present")</x:f>
        <x:v>no_contradiction_delta</x:v>
      </x:c>
      <x:c r="AC829" s="12" t="str">
        <x:f>IF(OR(ISNUMBER(SEARCH("hacker",LOWER(F829&amp;" "&amp;H829&amp;" "&amp;I829&amp;" "&amp;M829&amp;" "&amp;N829&amp;" "&amp;T829))),ISNUMBER(SEARCH("hacking",LOWER(F829&amp;" "&amp;H829&amp;" "&amp;I829&amp;" "&amp;M829&amp;" "&amp;N829&amp;" "&amp;T829))),ISNUMBER(SEARCH("bank",LOWER(F829&amp;" "&amp;H829&amp;" "&amp;I829&amp;" "&amp;M829&amp;" "&amp;N829&amp;" "&amp;T829))),ISNUMBER(SEARCH("banking",LOWER(F829&amp;" "&amp;H829&amp;" "&amp;I829&amp;" "&amp;M829&amp;" "&amp;N829&amp;" "&amp;T829)))),"PRIVATE_QUARANTINE",IF(OR(ISNUMBER(SEARCH("treasury",LOWER(F829&amp;" "&amp;H829&amp;" "&amp;I829&amp;" "&amp;M829&amp;" "&amp;N829&amp;" "&amp;T829))),ISNUMBER(SEARCH("debt",LOWER(F829&amp;" "&amp;H829&amp;" "&amp;I829&amp;" "&amp;M829&amp;" "&amp;N829&amp;" "&amp;T829))),ISNUMBER(SEARCH("bond",LOWER(F829&amp;" "&amp;H829&amp;" "&amp;I829&amp;" "&amp;M829&amp;" "&amp;N829&amp;" "&amp;T829))),ISNUMBER(SEARCH("transaction",LOWER(F829&amp;" "&amp;H829&amp;" "&amp;I829&amp;" "&amp;M829&amp;" "&amp;N829&amp;" "&amp;T829)))),"PRIVATE_REVIEW","PUBLIC_CANDIDATE"))</x:f>
        <x:v>PUBLIC_CANDIDATE</x:v>
      </x:c>
      <x:c r="AD829" s="12" t="str">
        <x:f>IF(AC829="PRIVATE_QUARANTINE","hacker_or_bank_trigger",IF(AC829="PRIVATE_REVIEW","finance_risk_trigger","none"))</x:f>
        <x:v>none</x:v>
      </x:c>
      <x:c r="AE829" s="12" t="str">
        <x:f>IF(AC829="PUBLIC_CANDIDATE","prepare_public_github_candidate",IF(AC829="PRIVATE_REVIEW","hold_for_private_review","quarantine_private_do_not_publish"))</x:f>
        <x:v>prepare_public_github_candidate</x:v>
      </x:c>
      <x:c r="AF829" s="12" t="str">
        <x:f>IF(AC829="PUBLIC_CANDIDATE","TIDELOCK + Lucerna",IF(AC829="PRIVATE_REVIEW","AtlasBrain + Lucerna","TIDELOCK + Lucerna + Human-root"))</x:f>
        <x:v>TIDELOCK + Lucerna</x:v>
      </x:c>
      <x:c r="AG829" s="12" t="str">
        <x:f>IF(AND(AC829="PUBLIC_CANDIDATE",U829&lt;&gt;"BLOCKED_PENDING_RECEIPT"),"READY_AFTER_RECEIPT","NOT_READY")</x:f>
        <x:v>NOT_READY</x:v>
      </x:c>
      <x:c r="AH829" s="12" t="str">
        <x:f>IF(AC829="PUBLIC_CANDIDATE","none",AD829)</x:f>
        <x:v>none</x:v>
      </x:c>
      <x:c r="AI829" s="12" t="str">
        <x:f>IF(AC829="PUBLIC_CANDIDATE","archive/public_candidates/"&amp;A829,"private_quarantine/"&amp;A829)</x:f>
        <x:v>archive/public_candidates/SWARM-06-H09-S12</x:v>
      </x:c>
      <x:c r="AJ829" s="12" t="str">
        <x:f>IF(AC829="PUBLIC_CANDIDATE","public by default; still not canon","private/hold; do not publish")</x:f>
        <x:v>public by default; still not canon</x:v>
      </x:c>
      <x:c r="AK829" s="12" t="str">
        <x:f>IF(AE829="prepare_public_github_candidate","add receipt/status then mirror","resolve blocker before any public GitHub action")</x:f>
        <x:v>add receipt/status then mirror</x:v>
      </x:c>
    </x:row>
    <x:row r="830">
      <x:c r="A830" s="15" t="str">
        <x:v>SWARM-06-H10-S01</x:v>
      </x:c>
      <x:c r="B830" s="15" t="str">
        <x:v>Forgekid</x:v>
      </x:c>
      <x:c r="C830" s="15" t="str">
        <x:v>Aetherforge UX builder</x:v>
      </x:c>
      <x:c r="D830" s="15" t="str">
        <x:v>GitHub Source Packets</x:v>
      </x:c>
      <x:c r="E830" s="15" t="str">
        <x:v>Notion</x:v>
      </x:c>
      <x:c r="F830" s="15" t="str">
        <x:v>Build source packet for Notion — Forgekid</x:v>
      </x:c>
      <x:c r="G830" s="15" t="str">
        <x:v>quest cards / task cards / board affordances</x:v>
      </x:c>
      <x:c r="H830" s="15" t="str">
        <x:v>source path + receipt + raw/export status + claim/edge/risk delta</x:v>
      </x:c>
      <x:c r="I830" s="15" t="str">
        <x:v>packet/SWARM-06-H10-S01</x:v>
      </x:c>
      <x:c r="J830" s="15" t="str">
        <x:v>TODO</x:v>
      </x:c>
      <x:c r="K830" s="15" t="str">
        <x:v>P0</x:v>
      </x:c>
      <x:c r="L830" s="15" t="str">
        <x:v>Done only when evidence is logged, contradiction search is noted, and boundary stamp remains non-canon unless ratified</x:v>
      </x:c>
      <x:c r="M830" s="15" t="str">
        <x:v>candidate / staging-only / not canon / not deployed / authority none</x:v>
      </x:c>
      <x:c r="N830" s="15" t="str">
        <x:v>Dispatch to Forgekid: complete GitHub Source Packets x Notion; return deltas only, receipts required.</x:v>
      </x:c>
      <x:c r="O830" s="15" t="str">
        <x:v>AF-KG-H10-S01</x:v>
      </x:c>
      <x:c r="P830" s="15" t="str">
        <x:v>Unverified</x:v>
      </x:c>
      <x:c r="Q830" s="15" t="str">
        <x:v>Not checked</x:v>
      </x:c>
      <x:c r="R830" s="15" t="str"/>
      <x:c r="S830" s="15" t="str"/>
      <x:c r="T830" s="15" t="str">
        <x:v>Log first source path or blocker</x:v>
      </x:c>
      <x:c r="U830" s="12" t="str">
        <x:f>IF(OR(P830="Unverified",Q830="Not checked"),"BLOCKED_PENDING_RECEIPT","READY_FOR_REVIEW")</x:f>
        <x:v>BLOCKED_PENDING_RECEIPT</x:v>
      </x:c>
      <x:c r="V830" s="12" t="str">
        <x:f>IF(J830="DONE","RETURNED",IF(U830="BLOCKED_PENDING_RECEIPT","SOURCE_TOUCH_REQUIRED","IN_PROGRESS"))</x:f>
        <x:v>SOURCE_TOUCH_REQUIRED</x:v>
      </x:c>
      <x:c r="W830" s="12" t="str">
        <x:f>IF(P830="Unverified","missing_receipt","receipt_logged")</x:f>
        <x:v>missing_receipt</x:v>
      </x:c>
      <x:c r="X830" s="12" t="str">
        <x:f>IF(Q830="Not checked","raw_status_missing","raw_status_logged")</x:f>
        <x:v>raw_status_missing</x:v>
      </x:c>
      <x:c r="Y830" s="12" t="str">
        <x:f>IF(U830="BLOCKED_PENDING_RECEIPT","Log source path or blocker; do not promote","Route to review lane")</x:f>
        <x:v>Log source path or blocker; do not promote</x:v>
      </x:c>
      <x:c r="Z830" s="12" t="str">
        <x:f>IF(K830="P0","Primary seat + Hashlight/Lucerna","Seat lane")</x:f>
        <x:v>Primary seat + Hashlight/Lucerna</x:v>
      </x:c>
      <x:c r="AA830" s="12" t="str">
        <x:f>IF(R830="","no_claim_delta","claim_delta_present")</x:f>
        <x:v>no_claim_delta</x:v>
      </x:c>
      <x:c r="AB830" s="12" t="str">
        <x:f>IF(S830="","no_contradiction_delta","contradiction_delta_present")</x:f>
        <x:v>no_contradiction_delta</x:v>
      </x:c>
      <x:c r="AC830" s="12" t="str">
        <x:f>IF(OR(ISNUMBER(SEARCH("hacker",LOWER(F830&amp;" "&amp;H830&amp;" "&amp;I830&amp;" "&amp;M830&amp;" "&amp;N830&amp;" "&amp;T830))),ISNUMBER(SEARCH("hacking",LOWER(F830&amp;" "&amp;H830&amp;" "&amp;I830&amp;" "&amp;M830&amp;" "&amp;N830&amp;" "&amp;T830))),ISNUMBER(SEARCH("bank",LOWER(F830&amp;" "&amp;H830&amp;" "&amp;I830&amp;" "&amp;M830&amp;" "&amp;N830&amp;" "&amp;T830))),ISNUMBER(SEARCH("banking",LOWER(F830&amp;" "&amp;H830&amp;" "&amp;I830&amp;" "&amp;M830&amp;" "&amp;N830&amp;" "&amp;T830)))),"PRIVATE_QUARANTINE",IF(OR(ISNUMBER(SEARCH("treasury",LOWER(F830&amp;" "&amp;H830&amp;" "&amp;I830&amp;" "&amp;M830&amp;" "&amp;N830&amp;" "&amp;T830))),ISNUMBER(SEARCH("debt",LOWER(F830&amp;" "&amp;H830&amp;" "&amp;I830&amp;" "&amp;M830&amp;" "&amp;N830&amp;" "&amp;T830))),ISNUMBER(SEARCH("bond",LOWER(F830&amp;" "&amp;H830&amp;" "&amp;I830&amp;" "&amp;M830&amp;" "&amp;N830&amp;" "&amp;T830))),ISNUMBER(SEARCH("transaction",LOWER(F830&amp;" "&amp;H830&amp;" "&amp;I830&amp;" "&amp;M830&amp;" "&amp;N830&amp;" "&amp;T830)))),"PRIVATE_REVIEW","PUBLIC_CANDIDATE"))</x:f>
        <x:v>PUBLIC_CANDIDATE</x:v>
      </x:c>
      <x:c r="AD830" s="12" t="str">
        <x:f>IF(AC830="PRIVATE_QUARANTINE","hacker_or_bank_trigger",IF(AC830="PRIVATE_REVIEW","finance_risk_trigger","none"))</x:f>
        <x:v>none</x:v>
      </x:c>
      <x:c r="AE830" s="12" t="str">
        <x:f>IF(AC830="PUBLIC_CANDIDATE","prepare_public_github_candidate",IF(AC830="PRIVATE_REVIEW","hold_for_private_review","quarantine_private_do_not_publish"))</x:f>
        <x:v>prepare_public_github_candidate</x:v>
      </x:c>
      <x:c r="AF830" s="12" t="str">
        <x:f>IF(AC830="PUBLIC_CANDIDATE","TIDELOCK + Lucerna",IF(AC830="PRIVATE_REVIEW","AtlasBrain + Lucerna","TIDELOCK + Lucerna + Human-root"))</x:f>
        <x:v>TIDELOCK + Lucerna</x:v>
      </x:c>
      <x:c r="AG830" s="12" t="str">
        <x:f>IF(AND(AC830="PUBLIC_CANDIDATE",U830&lt;&gt;"BLOCKED_PENDING_RECEIPT"),"READY_AFTER_RECEIPT","NOT_READY")</x:f>
        <x:v>NOT_READY</x:v>
      </x:c>
      <x:c r="AH830" s="12" t="str">
        <x:f>IF(AC830="PUBLIC_CANDIDATE","none",AD830)</x:f>
        <x:v>none</x:v>
      </x:c>
      <x:c r="AI830" s="12" t="str">
        <x:f>IF(AC830="PUBLIC_CANDIDATE","archive/public_candidates/"&amp;A830,"private_quarantine/"&amp;A830)</x:f>
        <x:v>archive/public_candidates/SWARM-06-H10-S01</x:v>
      </x:c>
      <x:c r="AJ830" s="12" t="str">
        <x:f>IF(AC830="PUBLIC_CANDIDATE","public by default; still not canon","private/hold; do not publish")</x:f>
        <x:v>public by default; still not canon</x:v>
      </x:c>
      <x:c r="AK830" s="12" t="str">
        <x:f>IF(AE830="prepare_public_github_candidate","add receipt/status then mirror","resolve blocker before any public GitHub action")</x:f>
        <x:v>add receipt/status then mirror</x:v>
      </x:c>
    </x:row>
    <x:row r="831">
      <x:c r="A831" s="15" t="str">
        <x:v>SWARM-06-H10-S02</x:v>
      </x:c>
      <x:c r="B831" s="15" t="str">
        <x:v>Forgekid</x:v>
      </x:c>
      <x:c r="C831" s="15" t="str">
        <x:v>Aetherforge UX builder</x:v>
      </x:c>
      <x:c r="D831" s="15" t="str">
        <x:v>GitHub Source Packets</x:v>
      </x:c>
      <x:c r="E831" s="15" t="str">
        <x:v>Drive</x:v>
      </x:c>
      <x:c r="F831" s="15" t="str">
        <x:v>Build source packet for Drive — Forgekid</x:v>
      </x:c>
      <x:c r="G831" s="15" t="str">
        <x:v>quest cards / task cards / board affordances</x:v>
      </x:c>
      <x:c r="H831" s="15" t="str">
        <x:v>source path + receipt + raw/export status + claim/edge/risk delta</x:v>
      </x:c>
      <x:c r="I831" s="15" t="str">
        <x:v>packet/SWARM-06-H10-S02</x:v>
      </x:c>
      <x:c r="J831" s="15" t="str">
        <x:v>TODO</x:v>
      </x:c>
      <x:c r="K831" s="15" t="str">
        <x:v>P0</x:v>
      </x:c>
      <x:c r="L831" s="15" t="str">
        <x:v>Done only when evidence is logged, contradiction search is noted, and boundary stamp remains non-canon unless ratified</x:v>
      </x:c>
      <x:c r="M831" s="15" t="str">
        <x:v>candidate / staging-only / not canon / not deployed / authority none</x:v>
      </x:c>
      <x:c r="N831" s="15" t="str">
        <x:v>Dispatch to Forgekid: complete GitHub Source Packets x Drive; return deltas only, receipts required.</x:v>
      </x:c>
      <x:c r="O831" s="15" t="str">
        <x:v>AF-KG-H10-S02</x:v>
      </x:c>
      <x:c r="P831" s="15" t="str">
        <x:v>Unverified</x:v>
      </x:c>
      <x:c r="Q831" s="15" t="str">
        <x:v>Not checked</x:v>
      </x:c>
      <x:c r="R831" s="15" t="str"/>
      <x:c r="S831" s="15" t="str"/>
      <x:c r="T831" s="15" t="str">
        <x:v>Log first source path or blocker</x:v>
      </x:c>
      <x:c r="U831" s="12" t="str">
        <x:f>IF(OR(P831="Unverified",Q831="Not checked"),"BLOCKED_PENDING_RECEIPT","READY_FOR_REVIEW")</x:f>
        <x:v>BLOCKED_PENDING_RECEIPT</x:v>
      </x:c>
      <x:c r="V831" s="12" t="str">
        <x:f>IF(J831="DONE","RETURNED",IF(U831="BLOCKED_PENDING_RECEIPT","SOURCE_TOUCH_REQUIRED","IN_PROGRESS"))</x:f>
        <x:v>SOURCE_TOUCH_REQUIRED</x:v>
      </x:c>
      <x:c r="W831" s="12" t="str">
        <x:f>IF(P831="Unverified","missing_receipt","receipt_logged")</x:f>
        <x:v>missing_receipt</x:v>
      </x:c>
      <x:c r="X831" s="12" t="str">
        <x:f>IF(Q831="Not checked","raw_status_missing","raw_status_logged")</x:f>
        <x:v>raw_status_missing</x:v>
      </x:c>
      <x:c r="Y831" s="12" t="str">
        <x:f>IF(U831="BLOCKED_PENDING_RECEIPT","Log source path or blocker; do not promote","Route to review lane")</x:f>
        <x:v>Log source path or blocker; do not promote</x:v>
      </x:c>
      <x:c r="Z831" s="12" t="str">
        <x:f>IF(K831="P0","Primary seat + Hashlight/Lucerna","Seat lane")</x:f>
        <x:v>Primary seat + Hashlight/Lucerna</x:v>
      </x:c>
      <x:c r="AA831" s="12" t="str">
        <x:f>IF(R831="","no_claim_delta","claim_delta_present")</x:f>
        <x:v>no_claim_delta</x:v>
      </x:c>
      <x:c r="AB831" s="12" t="str">
        <x:f>IF(S831="","no_contradiction_delta","contradiction_delta_present")</x:f>
        <x:v>no_contradiction_delta</x:v>
      </x:c>
      <x:c r="AC831" s="12" t="str">
        <x:f>IF(OR(ISNUMBER(SEARCH("hacker",LOWER(F831&amp;" "&amp;H831&amp;" "&amp;I831&amp;" "&amp;M831&amp;" "&amp;N831&amp;" "&amp;T831))),ISNUMBER(SEARCH("hacking",LOWER(F831&amp;" "&amp;H831&amp;" "&amp;I831&amp;" "&amp;M831&amp;" "&amp;N831&amp;" "&amp;T831))),ISNUMBER(SEARCH("bank",LOWER(F831&amp;" "&amp;H831&amp;" "&amp;I831&amp;" "&amp;M831&amp;" "&amp;N831&amp;" "&amp;T831))),ISNUMBER(SEARCH("banking",LOWER(F831&amp;" "&amp;H831&amp;" "&amp;I831&amp;" "&amp;M831&amp;" "&amp;N831&amp;" "&amp;T831)))),"PRIVATE_QUARANTINE",IF(OR(ISNUMBER(SEARCH("treasury",LOWER(F831&amp;" "&amp;H831&amp;" "&amp;I831&amp;" "&amp;M831&amp;" "&amp;N831&amp;" "&amp;T831))),ISNUMBER(SEARCH("debt",LOWER(F831&amp;" "&amp;H831&amp;" "&amp;I831&amp;" "&amp;M831&amp;" "&amp;N831&amp;" "&amp;T831))),ISNUMBER(SEARCH("bond",LOWER(F831&amp;" "&amp;H831&amp;" "&amp;I831&amp;" "&amp;M831&amp;" "&amp;N831&amp;" "&amp;T831))),ISNUMBER(SEARCH("transaction",LOWER(F831&amp;" "&amp;H831&amp;" "&amp;I831&amp;" "&amp;M831&amp;" "&amp;N831&amp;" "&amp;T831)))),"PRIVATE_REVIEW","PUBLIC_CANDIDATE"))</x:f>
        <x:v>PUBLIC_CANDIDATE</x:v>
      </x:c>
      <x:c r="AD831" s="12" t="str">
        <x:f>IF(AC831="PRIVATE_QUARANTINE","hacker_or_bank_trigger",IF(AC831="PRIVATE_REVIEW","finance_risk_trigger","none"))</x:f>
        <x:v>none</x:v>
      </x:c>
      <x:c r="AE831" s="12" t="str">
        <x:f>IF(AC831="PUBLIC_CANDIDATE","prepare_public_github_candidate",IF(AC831="PRIVATE_REVIEW","hold_for_private_review","quarantine_private_do_not_publish"))</x:f>
        <x:v>prepare_public_github_candidate</x:v>
      </x:c>
      <x:c r="AF831" s="12" t="str">
        <x:f>IF(AC831="PUBLIC_CANDIDATE","TIDELOCK + Lucerna",IF(AC831="PRIVATE_REVIEW","AtlasBrain + Lucerna","TIDELOCK + Lucerna + Human-root"))</x:f>
        <x:v>TIDELOCK + Lucerna</x:v>
      </x:c>
      <x:c r="AG831" s="12" t="str">
        <x:f>IF(AND(AC831="PUBLIC_CANDIDATE",U831&lt;&gt;"BLOCKED_PENDING_RECEIPT"),"READY_AFTER_RECEIPT","NOT_READY")</x:f>
        <x:v>NOT_READY</x:v>
      </x:c>
      <x:c r="AH831" s="12" t="str">
        <x:f>IF(AC831="PUBLIC_CANDIDATE","none",AD831)</x:f>
        <x:v>none</x:v>
      </x:c>
      <x:c r="AI831" s="12" t="str">
        <x:f>IF(AC831="PUBLIC_CANDIDATE","archive/public_candidates/"&amp;A831,"private_quarantine/"&amp;A831)</x:f>
        <x:v>archive/public_candidates/SWARM-06-H10-S02</x:v>
      </x:c>
      <x:c r="AJ831" s="12" t="str">
        <x:f>IF(AC831="PUBLIC_CANDIDATE","public by default; still not canon","private/hold; do not publish")</x:f>
        <x:v>public by default; still not canon</x:v>
      </x:c>
      <x:c r="AK831" s="12" t="str">
        <x:f>IF(AE831="prepare_public_github_candidate","add receipt/status then mirror","resolve blocker before any public GitHub action")</x:f>
        <x:v>add receipt/status then mirror</x:v>
      </x:c>
    </x:row>
    <x:row r="832">
      <x:c r="A832" s="15" t="str">
        <x:v>SWARM-06-H10-S03</x:v>
      </x:c>
      <x:c r="B832" s="15" t="str">
        <x:v>Forgekid</x:v>
      </x:c>
      <x:c r="C832" s="15" t="str">
        <x:v>Aetherforge UX builder</x:v>
      </x:c>
      <x:c r="D832" s="15" t="str">
        <x:v>GitHub Source Packets</x:v>
      </x:c>
      <x:c r="E832" s="15" t="str">
        <x:v>GitHub</x:v>
      </x:c>
      <x:c r="F832" s="15" t="str">
        <x:v>Build source packet for GitHub — Forgekid</x:v>
      </x:c>
      <x:c r="G832" s="15" t="str">
        <x:v>quest cards / task cards / board affordances</x:v>
      </x:c>
      <x:c r="H832" s="15" t="str">
        <x:v>source path + receipt + raw/export status + claim/edge/risk delta</x:v>
      </x:c>
      <x:c r="I832" s="15" t="str">
        <x:v>packet/SWARM-06-H10-S03</x:v>
      </x:c>
      <x:c r="J832" s="15" t="str">
        <x:v>TODO</x:v>
      </x:c>
      <x:c r="K832" s="15" t="str">
        <x:v>P0</x:v>
      </x:c>
      <x:c r="L832" s="15" t="str">
        <x:v>Done only when evidence is logged, contradiction search is noted, and boundary stamp remains non-canon unless ratified</x:v>
      </x:c>
      <x:c r="M832" s="15" t="str">
        <x:v>candidate / staging-only / not canon / not deployed / authority none</x:v>
      </x:c>
      <x:c r="N832" s="15" t="str">
        <x:v>Dispatch to Forgekid: complete GitHub Source Packets x GitHub; return deltas only, receipts required.</x:v>
      </x:c>
      <x:c r="O832" s="15" t="str">
        <x:v>AF-KG-H10-S03</x:v>
      </x:c>
      <x:c r="P832" s="15" t="str">
        <x:v>Unverified</x:v>
      </x:c>
      <x:c r="Q832" s="15" t="str">
        <x:v>Not checked</x:v>
      </x:c>
      <x:c r="R832" s="15" t="str"/>
      <x:c r="S832" s="15" t="str"/>
      <x:c r="T832" s="15" t="str">
        <x:v>Log first source path or blocker</x:v>
      </x:c>
      <x:c r="U832" s="12" t="str">
        <x:f>IF(OR(P832="Unverified",Q832="Not checked"),"BLOCKED_PENDING_RECEIPT","READY_FOR_REVIEW")</x:f>
        <x:v>BLOCKED_PENDING_RECEIPT</x:v>
      </x:c>
      <x:c r="V832" s="12" t="str">
        <x:f>IF(J832="DONE","RETURNED",IF(U832="BLOCKED_PENDING_RECEIPT","SOURCE_TOUCH_REQUIRED","IN_PROGRESS"))</x:f>
        <x:v>SOURCE_TOUCH_REQUIRED</x:v>
      </x:c>
      <x:c r="W832" s="12" t="str">
        <x:f>IF(P832="Unverified","missing_receipt","receipt_logged")</x:f>
        <x:v>missing_receipt</x:v>
      </x:c>
      <x:c r="X832" s="12" t="str">
        <x:f>IF(Q832="Not checked","raw_status_missing","raw_status_logged")</x:f>
        <x:v>raw_status_missing</x:v>
      </x:c>
      <x:c r="Y832" s="12" t="str">
        <x:f>IF(U832="BLOCKED_PENDING_RECEIPT","Log source path or blocker; do not promote","Route to review lane")</x:f>
        <x:v>Log source path or blocker; do not promote</x:v>
      </x:c>
      <x:c r="Z832" s="12" t="str">
        <x:f>IF(K832="P0","Primary seat + Hashlight/Lucerna","Seat lane")</x:f>
        <x:v>Primary seat + Hashlight/Lucerna</x:v>
      </x:c>
      <x:c r="AA832" s="12" t="str">
        <x:f>IF(R832="","no_claim_delta","claim_delta_present")</x:f>
        <x:v>no_claim_delta</x:v>
      </x:c>
      <x:c r="AB832" s="12" t="str">
        <x:f>IF(S832="","no_contradiction_delta","contradiction_delta_present")</x:f>
        <x:v>no_contradiction_delta</x:v>
      </x:c>
      <x:c r="AC832" s="12" t="str">
        <x:f>IF(OR(ISNUMBER(SEARCH("hacker",LOWER(F832&amp;" "&amp;H832&amp;" "&amp;I832&amp;" "&amp;M832&amp;" "&amp;N832&amp;" "&amp;T832))),ISNUMBER(SEARCH("hacking",LOWER(F832&amp;" "&amp;H832&amp;" "&amp;I832&amp;" "&amp;M832&amp;" "&amp;N832&amp;" "&amp;T832))),ISNUMBER(SEARCH("bank",LOWER(F832&amp;" "&amp;H832&amp;" "&amp;I832&amp;" "&amp;M832&amp;" "&amp;N832&amp;" "&amp;T832))),ISNUMBER(SEARCH("banking",LOWER(F832&amp;" "&amp;H832&amp;" "&amp;I832&amp;" "&amp;M832&amp;" "&amp;N832&amp;" "&amp;T832)))),"PRIVATE_QUARANTINE",IF(OR(ISNUMBER(SEARCH("treasury",LOWER(F832&amp;" "&amp;H832&amp;" "&amp;I832&amp;" "&amp;M832&amp;" "&amp;N832&amp;" "&amp;T832))),ISNUMBER(SEARCH("debt",LOWER(F832&amp;" "&amp;H832&amp;" "&amp;I832&amp;" "&amp;M832&amp;" "&amp;N832&amp;" "&amp;T832))),ISNUMBER(SEARCH("bond",LOWER(F832&amp;" "&amp;H832&amp;" "&amp;I832&amp;" "&amp;M832&amp;" "&amp;N832&amp;" "&amp;T832))),ISNUMBER(SEARCH("transaction",LOWER(F832&amp;" "&amp;H832&amp;" "&amp;I832&amp;" "&amp;M832&amp;" "&amp;N832&amp;" "&amp;T832)))),"PRIVATE_REVIEW","PUBLIC_CANDIDATE"))</x:f>
        <x:v>PUBLIC_CANDIDATE</x:v>
      </x:c>
      <x:c r="AD832" s="12" t="str">
        <x:f>IF(AC832="PRIVATE_QUARANTINE","hacker_or_bank_trigger",IF(AC832="PRIVATE_REVIEW","finance_risk_trigger","none"))</x:f>
        <x:v>none</x:v>
      </x:c>
      <x:c r="AE832" s="12" t="str">
        <x:f>IF(AC832="PUBLIC_CANDIDATE","prepare_public_github_candidate",IF(AC832="PRIVATE_REVIEW","hold_for_private_review","quarantine_private_do_not_publish"))</x:f>
        <x:v>prepare_public_github_candidate</x:v>
      </x:c>
      <x:c r="AF832" s="12" t="str">
        <x:f>IF(AC832="PUBLIC_CANDIDATE","TIDELOCK + Lucerna",IF(AC832="PRIVATE_REVIEW","AtlasBrain + Lucerna","TIDELOCK + Lucerna + Human-root"))</x:f>
        <x:v>TIDELOCK + Lucerna</x:v>
      </x:c>
      <x:c r="AG832" s="12" t="str">
        <x:f>IF(AND(AC832="PUBLIC_CANDIDATE",U832&lt;&gt;"BLOCKED_PENDING_RECEIPT"),"READY_AFTER_RECEIPT","NOT_READY")</x:f>
        <x:v>NOT_READY</x:v>
      </x:c>
      <x:c r="AH832" s="12" t="str">
        <x:f>IF(AC832="PUBLIC_CANDIDATE","none",AD832)</x:f>
        <x:v>none</x:v>
      </x:c>
      <x:c r="AI832" s="12" t="str">
        <x:f>IF(AC832="PUBLIC_CANDIDATE","archive/public_candidates/"&amp;A832,"private_quarantine/"&amp;A832)</x:f>
        <x:v>archive/public_candidates/SWARM-06-H10-S03</x:v>
      </x:c>
      <x:c r="AJ832" s="12" t="str">
        <x:f>IF(AC832="PUBLIC_CANDIDATE","public by default; still not canon","private/hold; do not publish")</x:f>
        <x:v>public by default; still not canon</x:v>
      </x:c>
      <x:c r="AK832" s="12" t="str">
        <x:f>IF(AE832="prepare_public_github_candidate","add receipt/status then mirror","resolve blocker before any public GitHub action")</x:f>
        <x:v>add receipt/status then mirror</x:v>
      </x:c>
    </x:row>
    <x:row r="833">
      <x:c r="A833" s="15" t="str">
        <x:v>SWARM-06-H10-S04</x:v>
      </x:c>
      <x:c r="B833" s="15" t="str">
        <x:v>Forgekid</x:v>
      </x:c>
      <x:c r="C833" s="15" t="str">
        <x:v>Aetherforge UX builder</x:v>
      </x:c>
      <x:c r="D833" s="15" t="str">
        <x:v>GitHub Source Packets</x:v>
      </x:c>
      <x:c r="E833" s="15" t="str">
        <x:v>Gamma</x:v>
      </x:c>
      <x:c r="F833" s="15" t="str">
        <x:v>Build source packet for Gamma — Forgekid</x:v>
      </x:c>
      <x:c r="G833" s="15" t="str">
        <x:v>quest cards / task cards / board affordances</x:v>
      </x:c>
      <x:c r="H833" s="15" t="str">
        <x:v>source path + receipt + raw/export status + claim/edge/risk delta</x:v>
      </x:c>
      <x:c r="I833" s="15" t="str">
        <x:v>packet/SWARM-06-H10-S04</x:v>
      </x:c>
      <x:c r="J833" s="15" t="str">
        <x:v>TODO</x:v>
      </x:c>
      <x:c r="K833" s="15" t="str">
        <x:v>P1</x:v>
      </x:c>
      <x:c r="L833" s="15" t="str">
        <x:v>Done only when evidence is logged, contradiction search is noted, and boundary stamp remains non-canon unless ratified</x:v>
      </x:c>
      <x:c r="M833" s="15" t="str">
        <x:v>candidate / staging-only / not canon / not deployed / authority none</x:v>
      </x:c>
      <x:c r="N833" s="15" t="str">
        <x:v>Dispatch to Forgekid: complete GitHub Source Packets x Gamma; return deltas only, receipts required.</x:v>
      </x:c>
      <x:c r="O833" s="15" t="str">
        <x:v>AF-KG-H10-S04</x:v>
      </x:c>
      <x:c r="P833" s="15" t="str">
        <x:v>Unverified</x:v>
      </x:c>
      <x:c r="Q833" s="15" t="str">
        <x:v>Not checked</x:v>
      </x:c>
      <x:c r="R833" s="15" t="str"/>
      <x:c r="S833" s="15" t="str"/>
      <x:c r="T833" s="15" t="str">
        <x:v>Log first source path or blocker</x:v>
      </x:c>
      <x:c r="U833" s="12" t="str">
        <x:f>IF(OR(P833="Unverified",Q833="Not checked"),"BLOCKED_PENDING_RECEIPT","READY_FOR_REVIEW")</x:f>
        <x:v>BLOCKED_PENDING_RECEIPT</x:v>
      </x:c>
      <x:c r="V833" s="12" t="str">
        <x:f>IF(J833="DONE","RETURNED",IF(U833="BLOCKED_PENDING_RECEIPT","SOURCE_TOUCH_REQUIRED","IN_PROGRESS"))</x:f>
        <x:v>SOURCE_TOUCH_REQUIRED</x:v>
      </x:c>
      <x:c r="W833" s="12" t="str">
        <x:f>IF(P833="Unverified","missing_receipt","receipt_logged")</x:f>
        <x:v>missing_receipt</x:v>
      </x:c>
      <x:c r="X833" s="12" t="str">
        <x:f>IF(Q833="Not checked","raw_status_missing","raw_status_logged")</x:f>
        <x:v>raw_status_missing</x:v>
      </x:c>
      <x:c r="Y833" s="12" t="str">
        <x:f>IF(U833="BLOCKED_PENDING_RECEIPT","Log source path or blocker; do not promote","Route to review lane")</x:f>
        <x:v>Log source path or blocker; do not promote</x:v>
      </x:c>
      <x:c r="Z833" s="12" t="str">
        <x:f>IF(K833="P0","Primary seat + Hashlight/Lucerna","Seat lane")</x:f>
        <x:v>Seat lane</x:v>
      </x:c>
      <x:c r="AA833" s="12" t="str">
        <x:f>IF(R833="","no_claim_delta","claim_delta_present")</x:f>
        <x:v>no_claim_delta</x:v>
      </x:c>
      <x:c r="AB833" s="12" t="str">
        <x:f>IF(S833="","no_contradiction_delta","contradiction_delta_present")</x:f>
        <x:v>no_contradiction_delta</x:v>
      </x:c>
      <x:c r="AC833" s="12" t="str">
        <x:f>IF(OR(ISNUMBER(SEARCH("hacker",LOWER(F833&amp;" "&amp;H833&amp;" "&amp;I833&amp;" "&amp;M833&amp;" "&amp;N833&amp;" "&amp;T833))),ISNUMBER(SEARCH("hacking",LOWER(F833&amp;" "&amp;H833&amp;" "&amp;I833&amp;" "&amp;M833&amp;" "&amp;N833&amp;" "&amp;T833))),ISNUMBER(SEARCH("bank",LOWER(F833&amp;" "&amp;H833&amp;" "&amp;I833&amp;" "&amp;M833&amp;" "&amp;N833&amp;" "&amp;T833))),ISNUMBER(SEARCH("banking",LOWER(F833&amp;" "&amp;H833&amp;" "&amp;I833&amp;" "&amp;M833&amp;" "&amp;N833&amp;" "&amp;T833)))),"PRIVATE_QUARANTINE",IF(OR(ISNUMBER(SEARCH("treasury",LOWER(F833&amp;" "&amp;H833&amp;" "&amp;I833&amp;" "&amp;M833&amp;" "&amp;N833&amp;" "&amp;T833))),ISNUMBER(SEARCH("debt",LOWER(F833&amp;" "&amp;H833&amp;" "&amp;I833&amp;" "&amp;M833&amp;" "&amp;N833&amp;" "&amp;T833))),ISNUMBER(SEARCH("bond",LOWER(F833&amp;" "&amp;H833&amp;" "&amp;I833&amp;" "&amp;M833&amp;" "&amp;N833&amp;" "&amp;T833))),ISNUMBER(SEARCH("transaction",LOWER(F833&amp;" "&amp;H833&amp;" "&amp;I833&amp;" "&amp;M833&amp;" "&amp;N833&amp;" "&amp;T833)))),"PRIVATE_REVIEW","PUBLIC_CANDIDATE"))</x:f>
        <x:v>PUBLIC_CANDIDATE</x:v>
      </x:c>
      <x:c r="AD833" s="12" t="str">
        <x:f>IF(AC833="PRIVATE_QUARANTINE","hacker_or_bank_trigger",IF(AC833="PRIVATE_REVIEW","finance_risk_trigger","none"))</x:f>
        <x:v>none</x:v>
      </x:c>
      <x:c r="AE833" s="12" t="str">
        <x:f>IF(AC833="PUBLIC_CANDIDATE","prepare_public_github_candidate",IF(AC833="PRIVATE_REVIEW","hold_for_private_review","quarantine_private_do_not_publish"))</x:f>
        <x:v>prepare_public_github_candidate</x:v>
      </x:c>
      <x:c r="AF833" s="12" t="str">
        <x:f>IF(AC833="PUBLIC_CANDIDATE","TIDELOCK + Lucerna",IF(AC833="PRIVATE_REVIEW","AtlasBrain + Lucerna","TIDELOCK + Lucerna + Human-root"))</x:f>
        <x:v>TIDELOCK + Lucerna</x:v>
      </x:c>
      <x:c r="AG833" s="12" t="str">
        <x:f>IF(AND(AC833="PUBLIC_CANDIDATE",U833&lt;&gt;"BLOCKED_PENDING_RECEIPT"),"READY_AFTER_RECEIPT","NOT_READY")</x:f>
        <x:v>NOT_READY</x:v>
      </x:c>
      <x:c r="AH833" s="12" t="str">
        <x:f>IF(AC833="PUBLIC_CANDIDATE","none",AD833)</x:f>
        <x:v>none</x:v>
      </x:c>
      <x:c r="AI833" s="12" t="str">
        <x:f>IF(AC833="PUBLIC_CANDIDATE","archive/public_candidates/"&amp;A833,"private_quarantine/"&amp;A833)</x:f>
        <x:v>archive/public_candidates/SWARM-06-H10-S04</x:v>
      </x:c>
      <x:c r="AJ833" s="12" t="str">
        <x:f>IF(AC833="PUBLIC_CANDIDATE","public by default; still not canon","private/hold; do not publish")</x:f>
        <x:v>public by default; still not canon</x:v>
      </x:c>
      <x:c r="AK833" s="12" t="str">
        <x:f>IF(AE833="prepare_public_github_candidate","add receipt/status then mirror","resolve blocker before any public GitHub action")</x:f>
        <x:v>add receipt/status then mirror</x:v>
      </x:c>
    </x:row>
    <x:row r="834">
      <x:c r="A834" s="15" t="str">
        <x:v>SWARM-06-H10-S05</x:v>
      </x:c>
      <x:c r="B834" s="15" t="str">
        <x:v>Forgekid</x:v>
      </x:c>
      <x:c r="C834" s="15" t="str">
        <x:v>Aetherforge UX builder</x:v>
      </x:c>
      <x:c r="D834" s="15" t="str">
        <x:v>GitHub Source Packets</x:v>
      </x:c>
      <x:c r="E834" s="15" t="str">
        <x:v>Chat</x:v>
      </x:c>
      <x:c r="F834" s="15" t="str">
        <x:v>Build source packet for Chat — Forgekid</x:v>
      </x:c>
      <x:c r="G834" s="15" t="str">
        <x:v>quest cards / task cards / board affordances</x:v>
      </x:c>
      <x:c r="H834" s="15" t="str">
        <x:v>source path + receipt + raw/export status + claim/edge/risk delta</x:v>
      </x:c>
      <x:c r="I834" s="15" t="str">
        <x:v>packet/SWARM-06-H10-S05</x:v>
      </x:c>
      <x:c r="J834" s="15" t="str">
        <x:v>TODO</x:v>
      </x:c>
      <x:c r="K834" s="15" t="str">
        <x:v>P1</x:v>
      </x:c>
      <x:c r="L834" s="15" t="str">
        <x:v>Done only when evidence is logged, contradiction search is noted, and boundary stamp remains non-canon unless ratified</x:v>
      </x:c>
      <x:c r="M834" s="15" t="str">
        <x:v>candidate / staging-only / not canon / not deployed / authority none</x:v>
      </x:c>
      <x:c r="N834" s="15" t="str">
        <x:v>Dispatch to Forgekid: complete GitHub Source Packets x Chat; return deltas only, receipts required.</x:v>
      </x:c>
      <x:c r="O834" s="15" t="str">
        <x:v>AF-KG-H10-S05</x:v>
      </x:c>
      <x:c r="P834" s="15" t="str">
        <x:v>Unverified</x:v>
      </x:c>
      <x:c r="Q834" s="15" t="str">
        <x:v>Not checked</x:v>
      </x:c>
      <x:c r="R834" s="15" t="str"/>
      <x:c r="S834" s="15" t="str"/>
      <x:c r="T834" s="15" t="str">
        <x:v>Log first source path or blocker</x:v>
      </x:c>
      <x:c r="U834" s="12" t="str">
        <x:f>IF(OR(P834="Unverified",Q834="Not checked"),"BLOCKED_PENDING_RECEIPT","READY_FOR_REVIEW")</x:f>
        <x:v>BLOCKED_PENDING_RECEIPT</x:v>
      </x:c>
      <x:c r="V834" s="12" t="str">
        <x:f>IF(J834="DONE","RETURNED",IF(U834="BLOCKED_PENDING_RECEIPT","SOURCE_TOUCH_REQUIRED","IN_PROGRESS"))</x:f>
        <x:v>SOURCE_TOUCH_REQUIRED</x:v>
      </x:c>
      <x:c r="W834" s="12" t="str">
        <x:f>IF(P834="Unverified","missing_receipt","receipt_logged")</x:f>
        <x:v>missing_receipt</x:v>
      </x:c>
      <x:c r="X834" s="12" t="str">
        <x:f>IF(Q834="Not checked","raw_status_missing","raw_status_logged")</x:f>
        <x:v>raw_status_missing</x:v>
      </x:c>
      <x:c r="Y834" s="12" t="str">
        <x:f>IF(U834="BLOCKED_PENDING_RECEIPT","Log source path or blocker; do not promote","Route to review lane")</x:f>
        <x:v>Log source path or blocker; do not promote</x:v>
      </x:c>
      <x:c r="Z834" s="12" t="str">
        <x:f>IF(K834="P0","Primary seat + Hashlight/Lucerna","Seat lane")</x:f>
        <x:v>Seat lane</x:v>
      </x:c>
      <x:c r="AA834" s="12" t="str">
        <x:f>IF(R834="","no_claim_delta","claim_delta_present")</x:f>
        <x:v>no_claim_delta</x:v>
      </x:c>
      <x:c r="AB834" s="12" t="str">
        <x:f>IF(S834="","no_contradiction_delta","contradiction_delta_present")</x:f>
        <x:v>no_contradiction_delta</x:v>
      </x:c>
      <x:c r="AC834" s="12" t="str">
        <x:f>IF(OR(ISNUMBER(SEARCH("hacker",LOWER(F834&amp;" "&amp;H834&amp;" "&amp;I834&amp;" "&amp;M834&amp;" "&amp;N834&amp;" "&amp;T834))),ISNUMBER(SEARCH("hacking",LOWER(F834&amp;" "&amp;H834&amp;" "&amp;I834&amp;" "&amp;M834&amp;" "&amp;N834&amp;" "&amp;T834))),ISNUMBER(SEARCH("bank",LOWER(F834&amp;" "&amp;H834&amp;" "&amp;I834&amp;" "&amp;M834&amp;" "&amp;N834&amp;" "&amp;T834))),ISNUMBER(SEARCH("banking",LOWER(F834&amp;" "&amp;H834&amp;" "&amp;I834&amp;" "&amp;M834&amp;" "&amp;N834&amp;" "&amp;T834)))),"PRIVATE_QUARANTINE",IF(OR(ISNUMBER(SEARCH("treasury",LOWER(F834&amp;" "&amp;H834&amp;" "&amp;I834&amp;" "&amp;M834&amp;" "&amp;N834&amp;" "&amp;T834))),ISNUMBER(SEARCH("debt",LOWER(F834&amp;" "&amp;H834&amp;" "&amp;I834&amp;" "&amp;M834&amp;" "&amp;N834&amp;" "&amp;T834))),ISNUMBER(SEARCH("bond",LOWER(F834&amp;" "&amp;H834&amp;" "&amp;I834&amp;" "&amp;M834&amp;" "&amp;N834&amp;" "&amp;T834))),ISNUMBER(SEARCH("transaction",LOWER(F834&amp;" "&amp;H834&amp;" "&amp;I834&amp;" "&amp;M834&amp;" "&amp;N834&amp;" "&amp;T834)))),"PRIVATE_REVIEW","PUBLIC_CANDIDATE"))</x:f>
        <x:v>PUBLIC_CANDIDATE</x:v>
      </x:c>
      <x:c r="AD834" s="12" t="str">
        <x:f>IF(AC834="PRIVATE_QUARANTINE","hacker_or_bank_trigger",IF(AC834="PRIVATE_REVIEW","finance_risk_trigger","none"))</x:f>
        <x:v>none</x:v>
      </x:c>
      <x:c r="AE834" s="12" t="str">
        <x:f>IF(AC834="PUBLIC_CANDIDATE","prepare_public_github_candidate",IF(AC834="PRIVATE_REVIEW","hold_for_private_review","quarantine_private_do_not_publish"))</x:f>
        <x:v>prepare_public_github_candidate</x:v>
      </x:c>
      <x:c r="AF834" s="12" t="str">
        <x:f>IF(AC834="PUBLIC_CANDIDATE","TIDELOCK + Lucerna",IF(AC834="PRIVATE_REVIEW","AtlasBrain + Lucerna","TIDELOCK + Lucerna + Human-root"))</x:f>
        <x:v>TIDELOCK + Lucerna</x:v>
      </x:c>
      <x:c r="AG834" s="12" t="str">
        <x:f>IF(AND(AC834="PUBLIC_CANDIDATE",U834&lt;&gt;"BLOCKED_PENDING_RECEIPT"),"READY_AFTER_RECEIPT","NOT_READY")</x:f>
        <x:v>NOT_READY</x:v>
      </x:c>
      <x:c r="AH834" s="12" t="str">
        <x:f>IF(AC834="PUBLIC_CANDIDATE","none",AD834)</x:f>
        <x:v>none</x:v>
      </x:c>
      <x:c r="AI834" s="12" t="str">
        <x:f>IF(AC834="PUBLIC_CANDIDATE","archive/public_candidates/"&amp;A834,"private_quarantine/"&amp;A834)</x:f>
        <x:v>archive/public_candidates/SWARM-06-H10-S05</x:v>
      </x:c>
      <x:c r="AJ834" s="12" t="str">
        <x:f>IF(AC834="PUBLIC_CANDIDATE","public by default; still not canon","private/hold; do not publish")</x:f>
        <x:v>public by default; still not canon</x:v>
      </x:c>
      <x:c r="AK834" s="12" t="str">
        <x:f>IF(AE834="prepare_public_github_candidate","add receipt/status then mirror","resolve blocker before any public GitHub action")</x:f>
        <x:v>add receipt/status then mirror</x:v>
      </x:c>
    </x:row>
    <x:row r="835">
      <x:c r="A835" s="15" t="str">
        <x:v>SWARM-06-H10-S06</x:v>
      </x:c>
      <x:c r="B835" s="15" t="str">
        <x:v>Forgekid</x:v>
      </x:c>
      <x:c r="C835" s="15" t="str">
        <x:v>Aetherforge UX builder</x:v>
      </x:c>
      <x:c r="D835" s="15" t="str">
        <x:v>GitHub Source Packets</x:v>
      </x:c>
      <x:c r="E835" s="15" t="str">
        <x:v>External Web</x:v>
      </x:c>
      <x:c r="F835" s="15" t="str">
        <x:v>Build source packet for External Web — Forgekid</x:v>
      </x:c>
      <x:c r="G835" s="15" t="str">
        <x:v>quest cards / task cards / board affordances</x:v>
      </x:c>
      <x:c r="H835" s="15" t="str">
        <x:v>source path + receipt + raw/export status + claim/edge/risk delta</x:v>
      </x:c>
      <x:c r="I835" s="15" t="str">
        <x:v>packet/SWARM-06-H10-S06</x:v>
      </x:c>
      <x:c r="J835" s="15" t="str">
        <x:v>TODO</x:v>
      </x:c>
      <x:c r="K835" s="15" t="str">
        <x:v>P1</x:v>
      </x:c>
      <x:c r="L835" s="15" t="str">
        <x:v>Done only when evidence is logged, contradiction search is noted, and boundary stamp remains non-canon unless ratified</x:v>
      </x:c>
      <x:c r="M835" s="15" t="str">
        <x:v>candidate / staging-only / not canon / not deployed / authority none</x:v>
      </x:c>
      <x:c r="N835" s="15" t="str">
        <x:v>Dispatch to Forgekid: complete GitHub Source Packets x External Web; return deltas only, receipts required.</x:v>
      </x:c>
      <x:c r="O835" s="15" t="str">
        <x:v>AF-KG-H10-S06</x:v>
      </x:c>
      <x:c r="P835" s="15" t="str">
        <x:v>Unverified</x:v>
      </x:c>
      <x:c r="Q835" s="15" t="str">
        <x:v>Not checked</x:v>
      </x:c>
      <x:c r="R835" s="15" t="str"/>
      <x:c r="S835" s="15" t="str"/>
      <x:c r="T835" s="15" t="str">
        <x:v>Log first source path or blocker</x:v>
      </x:c>
      <x:c r="U835" s="12" t="str">
        <x:f>IF(OR(P835="Unverified",Q835="Not checked"),"BLOCKED_PENDING_RECEIPT","READY_FOR_REVIEW")</x:f>
        <x:v>BLOCKED_PENDING_RECEIPT</x:v>
      </x:c>
      <x:c r="V835" s="12" t="str">
        <x:f>IF(J835="DONE","RETURNED",IF(U835="BLOCKED_PENDING_RECEIPT","SOURCE_TOUCH_REQUIRED","IN_PROGRESS"))</x:f>
        <x:v>SOURCE_TOUCH_REQUIRED</x:v>
      </x:c>
      <x:c r="W835" s="12" t="str">
        <x:f>IF(P835="Unverified","missing_receipt","receipt_logged")</x:f>
        <x:v>missing_receipt</x:v>
      </x:c>
      <x:c r="X835" s="12" t="str">
        <x:f>IF(Q835="Not checked","raw_status_missing","raw_status_logged")</x:f>
        <x:v>raw_status_missing</x:v>
      </x:c>
      <x:c r="Y835" s="12" t="str">
        <x:f>IF(U835="BLOCKED_PENDING_RECEIPT","Log source path or blocker; do not promote","Route to review lane")</x:f>
        <x:v>Log source path or blocker; do not promote</x:v>
      </x:c>
      <x:c r="Z835" s="12" t="str">
        <x:f>IF(K835="P0","Primary seat + Hashlight/Lucerna","Seat lane")</x:f>
        <x:v>Seat lane</x:v>
      </x:c>
      <x:c r="AA835" s="12" t="str">
        <x:f>IF(R835="","no_claim_delta","claim_delta_present")</x:f>
        <x:v>no_claim_delta</x:v>
      </x:c>
      <x:c r="AB835" s="12" t="str">
        <x:f>IF(S835="","no_contradiction_delta","contradiction_delta_present")</x:f>
        <x:v>no_contradiction_delta</x:v>
      </x:c>
      <x:c r="AC835" s="12" t="str">
        <x:f>IF(OR(ISNUMBER(SEARCH("hacker",LOWER(F835&amp;" "&amp;H835&amp;" "&amp;I835&amp;" "&amp;M835&amp;" "&amp;N835&amp;" "&amp;T835))),ISNUMBER(SEARCH("hacking",LOWER(F835&amp;" "&amp;H835&amp;" "&amp;I835&amp;" "&amp;M835&amp;" "&amp;N835&amp;" "&amp;T835))),ISNUMBER(SEARCH("bank",LOWER(F835&amp;" "&amp;H835&amp;" "&amp;I835&amp;" "&amp;M835&amp;" "&amp;N835&amp;" "&amp;T835))),ISNUMBER(SEARCH("banking",LOWER(F835&amp;" "&amp;H835&amp;" "&amp;I835&amp;" "&amp;M835&amp;" "&amp;N835&amp;" "&amp;T835)))),"PRIVATE_QUARANTINE",IF(OR(ISNUMBER(SEARCH("treasury",LOWER(F835&amp;" "&amp;H835&amp;" "&amp;I835&amp;" "&amp;M835&amp;" "&amp;N835&amp;" "&amp;T835))),ISNUMBER(SEARCH("debt",LOWER(F835&amp;" "&amp;H835&amp;" "&amp;I835&amp;" "&amp;M835&amp;" "&amp;N835&amp;" "&amp;T835))),ISNUMBER(SEARCH("bond",LOWER(F835&amp;" "&amp;H835&amp;" "&amp;I835&amp;" "&amp;M835&amp;" "&amp;N835&amp;" "&amp;T835))),ISNUMBER(SEARCH("transaction",LOWER(F835&amp;" "&amp;H835&amp;" "&amp;I835&amp;" "&amp;M835&amp;" "&amp;N835&amp;" "&amp;T835)))),"PRIVATE_REVIEW","PUBLIC_CANDIDATE"))</x:f>
        <x:v>PUBLIC_CANDIDATE</x:v>
      </x:c>
      <x:c r="AD835" s="12" t="str">
        <x:f>IF(AC835="PRIVATE_QUARANTINE","hacker_or_bank_trigger",IF(AC835="PRIVATE_REVIEW","finance_risk_trigger","none"))</x:f>
        <x:v>none</x:v>
      </x:c>
      <x:c r="AE835" s="12" t="str">
        <x:f>IF(AC835="PUBLIC_CANDIDATE","prepare_public_github_candidate",IF(AC835="PRIVATE_REVIEW","hold_for_private_review","quarantine_private_do_not_publish"))</x:f>
        <x:v>prepare_public_github_candidate</x:v>
      </x:c>
      <x:c r="AF835" s="12" t="str">
        <x:f>IF(AC835="PUBLIC_CANDIDATE","TIDELOCK + Lucerna",IF(AC835="PRIVATE_REVIEW","AtlasBrain + Lucerna","TIDELOCK + Lucerna + Human-root"))</x:f>
        <x:v>TIDELOCK + Lucerna</x:v>
      </x:c>
      <x:c r="AG835" s="12" t="str">
        <x:f>IF(AND(AC835="PUBLIC_CANDIDATE",U835&lt;&gt;"BLOCKED_PENDING_RECEIPT"),"READY_AFTER_RECEIPT","NOT_READY")</x:f>
        <x:v>NOT_READY</x:v>
      </x:c>
      <x:c r="AH835" s="12" t="str">
        <x:f>IF(AC835="PUBLIC_CANDIDATE","none",AD835)</x:f>
        <x:v>none</x:v>
      </x:c>
      <x:c r="AI835" s="12" t="str">
        <x:f>IF(AC835="PUBLIC_CANDIDATE","archive/public_candidates/"&amp;A835,"private_quarantine/"&amp;A835)</x:f>
        <x:v>archive/public_candidates/SWARM-06-H10-S06</x:v>
      </x:c>
      <x:c r="AJ835" s="12" t="str">
        <x:f>IF(AC835="PUBLIC_CANDIDATE","public by default; still not canon","private/hold; do not publish")</x:f>
        <x:v>public by default; still not canon</x:v>
      </x:c>
      <x:c r="AK835" s="12" t="str">
        <x:f>IF(AE835="prepare_public_github_candidate","add receipt/status then mirror","resolve blocker before any public GitHub action")</x:f>
        <x:v>add receipt/status then mirror</x:v>
      </x:c>
    </x:row>
    <x:row r="836">
      <x:c r="A836" s="15" t="str">
        <x:v>SWARM-06-H10-S07</x:v>
      </x:c>
      <x:c r="B836" s="15" t="str">
        <x:v>Forgekid</x:v>
      </x:c>
      <x:c r="C836" s="15" t="str">
        <x:v>Aetherforge UX builder</x:v>
      </x:c>
      <x:c r="D836" s="15" t="str">
        <x:v>GitHub Source Packets</x:v>
      </x:c>
      <x:c r="E836" s="15" t="str">
        <x:v>Planetarium</x:v>
      </x:c>
      <x:c r="F836" s="15" t="str">
        <x:v>Build source packet for Planetarium — Forgekid</x:v>
      </x:c>
      <x:c r="G836" s="15" t="str">
        <x:v>quest cards / task cards / board affordances</x:v>
      </x:c>
      <x:c r="H836" s="15" t="str">
        <x:v>source path + receipt + raw/export status + claim/edge/risk delta</x:v>
      </x:c>
      <x:c r="I836" s="15" t="str">
        <x:v>packet/SWARM-06-H10-S07</x:v>
      </x:c>
      <x:c r="J836" s="15" t="str">
        <x:v>TODO</x:v>
      </x:c>
      <x:c r="K836" s="15" t="str">
        <x:v>P1</x:v>
      </x:c>
      <x:c r="L836" s="15" t="str">
        <x:v>Done only when evidence is logged, contradiction search is noted, and boundary stamp remains non-canon unless ratified</x:v>
      </x:c>
      <x:c r="M836" s="15" t="str">
        <x:v>candidate / staging-only / not canon / not deployed / authority none</x:v>
      </x:c>
      <x:c r="N836" s="15" t="str">
        <x:v>Dispatch to Forgekid: complete GitHub Source Packets x Planetarium; return deltas only, receipts required.</x:v>
      </x:c>
      <x:c r="O836" s="15" t="str">
        <x:v>AF-KG-H10-S07</x:v>
      </x:c>
      <x:c r="P836" s="15" t="str">
        <x:v>Unverified</x:v>
      </x:c>
      <x:c r="Q836" s="15" t="str">
        <x:v>Not checked</x:v>
      </x:c>
      <x:c r="R836" s="15" t="str"/>
      <x:c r="S836" s="15" t="str"/>
      <x:c r="T836" s="15" t="str">
        <x:v>Log first source path or blocker</x:v>
      </x:c>
      <x:c r="U836" s="12" t="str">
        <x:f>IF(OR(P836="Unverified",Q836="Not checked"),"BLOCKED_PENDING_RECEIPT","READY_FOR_REVIEW")</x:f>
        <x:v>BLOCKED_PENDING_RECEIPT</x:v>
      </x:c>
      <x:c r="V836" s="12" t="str">
        <x:f>IF(J836="DONE","RETURNED",IF(U836="BLOCKED_PENDING_RECEIPT","SOURCE_TOUCH_REQUIRED","IN_PROGRESS"))</x:f>
        <x:v>SOURCE_TOUCH_REQUIRED</x:v>
      </x:c>
      <x:c r="W836" s="12" t="str">
        <x:f>IF(P836="Unverified","missing_receipt","receipt_logged")</x:f>
        <x:v>missing_receipt</x:v>
      </x:c>
      <x:c r="X836" s="12" t="str">
        <x:f>IF(Q836="Not checked","raw_status_missing","raw_status_logged")</x:f>
        <x:v>raw_status_missing</x:v>
      </x:c>
      <x:c r="Y836" s="12" t="str">
        <x:f>IF(U836="BLOCKED_PENDING_RECEIPT","Log source path or blocker; do not promote","Route to review lane")</x:f>
        <x:v>Log source path or blocker; do not promote</x:v>
      </x:c>
      <x:c r="Z836" s="12" t="str">
        <x:f>IF(K836="P0","Primary seat + Hashlight/Lucerna","Seat lane")</x:f>
        <x:v>Seat lane</x:v>
      </x:c>
      <x:c r="AA836" s="12" t="str">
        <x:f>IF(R836="","no_claim_delta","claim_delta_present")</x:f>
        <x:v>no_claim_delta</x:v>
      </x:c>
      <x:c r="AB836" s="12" t="str">
        <x:f>IF(S836="","no_contradiction_delta","contradiction_delta_present")</x:f>
        <x:v>no_contradiction_delta</x:v>
      </x:c>
      <x:c r="AC836" s="12" t="str">
        <x:f>IF(OR(ISNUMBER(SEARCH("hacker",LOWER(F836&amp;" "&amp;H836&amp;" "&amp;I836&amp;" "&amp;M836&amp;" "&amp;N836&amp;" "&amp;T836))),ISNUMBER(SEARCH("hacking",LOWER(F836&amp;" "&amp;H836&amp;" "&amp;I836&amp;" "&amp;M836&amp;" "&amp;N836&amp;" "&amp;T836))),ISNUMBER(SEARCH("bank",LOWER(F836&amp;" "&amp;H836&amp;" "&amp;I836&amp;" "&amp;M836&amp;" "&amp;N836&amp;" "&amp;T836))),ISNUMBER(SEARCH("banking",LOWER(F836&amp;" "&amp;H836&amp;" "&amp;I836&amp;" "&amp;M836&amp;" "&amp;N836&amp;" "&amp;T836)))),"PRIVATE_QUARANTINE",IF(OR(ISNUMBER(SEARCH("treasury",LOWER(F836&amp;" "&amp;H836&amp;" "&amp;I836&amp;" "&amp;M836&amp;" "&amp;N836&amp;" "&amp;T836))),ISNUMBER(SEARCH("debt",LOWER(F836&amp;" "&amp;H836&amp;" "&amp;I836&amp;" "&amp;M836&amp;" "&amp;N836&amp;" "&amp;T836))),ISNUMBER(SEARCH("bond",LOWER(F836&amp;" "&amp;H836&amp;" "&amp;I836&amp;" "&amp;M836&amp;" "&amp;N836&amp;" "&amp;T836))),ISNUMBER(SEARCH("transaction",LOWER(F836&amp;" "&amp;H836&amp;" "&amp;I836&amp;" "&amp;M836&amp;" "&amp;N836&amp;" "&amp;T836)))),"PRIVATE_REVIEW","PUBLIC_CANDIDATE"))</x:f>
        <x:v>PUBLIC_CANDIDATE</x:v>
      </x:c>
      <x:c r="AD836" s="12" t="str">
        <x:f>IF(AC836="PRIVATE_QUARANTINE","hacker_or_bank_trigger",IF(AC836="PRIVATE_REVIEW","finance_risk_trigger","none"))</x:f>
        <x:v>none</x:v>
      </x:c>
      <x:c r="AE836" s="12" t="str">
        <x:f>IF(AC836="PUBLIC_CANDIDATE","prepare_public_github_candidate",IF(AC836="PRIVATE_REVIEW","hold_for_private_review","quarantine_private_do_not_publish"))</x:f>
        <x:v>prepare_public_github_candidate</x:v>
      </x:c>
      <x:c r="AF836" s="12" t="str">
        <x:f>IF(AC836="PUBLIC_CANDIDATE","TIDELOCK + Lucerna",IF(AC836="PRIVATE_REVIEW","AtlasBrain + Lucerna","TIDELOCK + Lucerna + Human-root"))</x:f>
        <x:v>TIDELOCK + Lucerna</x:v>
      </x:c>
      <x:c r="AG836" s="12" t="str">
        <x:f>IF(AND(AC836="PUBLIC_CANDIDATE",U836&lt;&gt;"BLOCKED_PENDING_RECEIPT"),"READY_AFTER_RECEIPT","NOT_READY")</x:f>
        <x:v>NOT_READY</x:v>
      </x:c>
      <x:c r="AH836" s="12" t="str">
        <x:f>IF(AC836="PUBLIC_CANDIDATE","none",AD836)</x:f>
        <x:v>none</x:v>
      </x:c>
      <x:c r="AI836" s="12" t="str">
        <x:f>IF(AC836="PUBLIC_CANDIDATE","archive/public_candidates/"&amp;A836,"private_quarantine/"&amp;A836)</x:f>
        <x:v>archive/public_candidates/SWARM-06-H10-S07</x:v>
      </x:c>
      <x:c r="AJ836" s="12" t="str">
        <x:f>IF(AC836="PUBLIC_CANDIDATE","public by default; still not canon","private/hold; do not publish")</x:f>
        <x:v>public by default; still not canon</x:v>
      </x:c>
      <x:c r="AK836" s="12" t="str">
        <x:f>IF(AE836="prepare_public_github_candidate","add receipt/status then mirror","resolve blocker before any public GitHub action")</x:f>
        <x:v>add receipt/status then mirror</x:v>
      </x:c>
    </x:row>
    <x:row r="837">
      <x:c r="A837" s="15" t="str">
        <x:v>SWARM-06-H10-S08</x:v>
      </x:c>
      <x:c r="B837" s="15" t="str">
        <x:v>Forgekid</x:v>
      </x:c>
      <x:c r="C837" s="15" t="str">
        <x:v>Aetherforge UX builder</x:v>
      </x:c>
      <x:c r="D837" s="15" t="str">
        <x:v>GitHub Source Packets</x:v>
      </x:c>
      <x:c r="E837" s="15" t="str">
        <x:v>Sheldonbrain</x:v>
      </x:c>
      <x:c r="F837" s="15" t="str">
        <x:v>Build source packet for Sheldonbrain — Forgekid</x:v>
      </x:c>
      <x:c r="G837" s="15" t="str">
        <x:v>quest cards / task cards / board affordances</x:v>
      </x:c>
      <x:c r="H837" s="15" t="str">
        <x:v>source path + receipt + raw/export status + claim/edge/risk delta</x:v>
      </x:c>
      <x:c r="I837" s="15" t="str">
        <x:v>packet/SWARM-06-H10-S08</x:v>
      </x:c>
      <x:c r="J837" s="15" t="str">
        <x:v>TODO</x:v>
      </x:c>
      <x:c r="K837" s="15" t="str">
        <x:v>P1</x:v>
      </x:c>
      <x:c r="L837" s="15" t="str">
        <x:v>Done only when evidence is logged, contradiction search is noted, and boundary stamp remains non-canon unless ratified</x:v>
      </x:c>
      <x:c r="M837" s="15" t="str">
        <x:v>candidate / staging-only / not canon / not deployed / authority none</x:v>
      </x:c>
      <x:c r="N837" s="15" t="str">
        <x:v>Dispatch to Forgekid: complete GitHub Source Packets x Sheldonbrain; return deltas only, receipts required.</x:v>
      </x:c>
      <x:c r="O837" s="15" t="str">
        <x:v>AF-KG-H10-S08</x:v>
      </x:c>
      <x:c r="P837" s="15" t="str">
        <x:v>Unverified</x:v>
      </x:c>
      <x:c r="Q837" s="15" t="str">
        <x:v>Not checked</x:v>
      </x:c>
      <x:c r="R837" s="15" t="str"/>
      <x:c r="S837" s="15" t="str"/>
      <x:c r="T837" s="15" t="str">
        <x:v>Log first source path or blocker</x:v>
      </x:c>
      <x:c r="U837" s="12" t="str">
        <x:f>IF(OR(P837="Unverified",Q837="Not checked"),"BLOCKED_PENDING_RECEIPT","READY_FOR_REVIEW")</x:f>
        <x:v>BLOCKED_PENDING_RECEIPT</x:v>
      </x:c>
      <x:c r="V837" s="12" t="str">
        <x:f>IF(J837="DONE","RETURNED",IF(U837="BLOCKED_PENDING_RECEIPT","SOURCE_TOUCH_REQUIRED","IN_PROGRESS"))</x:f>
        <x:v>SOURCE_TOUCH_REQUIRED</x:v>
      </x:c>
      <x:c r="W837" s="12" t="str">
        <x:f>IF(P837="Unverified","missing_receipt","receipt_logged")</x:f>
        <x:v>missing_receipt</x:v>
      </x:c>
      <x:c r="X837" s="12" t="str">
        <x:f>IF(Q837="Not checked","raw_status_missing","raw_status_logged")</x:f>
        <x:v>raw_status_missing</x:v>
      </x:c>
      <x:c r="Y837" s="12" t="str">
        <x:f>IF(U837="BLOCKED_PENDING_RECEIPT","Log source path or blocker; do not promote","Route to review lane")</x:f>
        <x:v>Log source path or blocker; do not promote</x:v>
      </x:c>
      <x:c r="Z837" s="12" t="str">
        <x:f>IF(K837="P0","Primary seat + Hashlight/Lucerna","Seat lane")</x:f>
        <x:v>Seat lane</x:v>
      </x:c>
      <x:c r="AA837" s="12" t="str">
        <x:f>IF(R837="","no_claim_delta","claim_delta_present")</x:f>
        <x:v>no_claim_delta</x:v>
      </x:c>
      <x:c r="AB837" s="12" t="str">
        <x:f>IF(S837="","no_contradiction_delta","contradiction_delta_present")</x:f>
        <x:v>no_contradiction_delta</x:v>
      </x:c>
      <x:c r="AC837" s="12" t="str">
        <x:f>IF(OR(ISNUMBER(SEARCH("hacker",LOWER(F837&amp;" "&amp;H837&amp;" "&amp;I837&amp;" "&amp;M837&amp;" "&amp;N837&amp;" "&amp;T837))),ISNUMBER(SEARCH("hacking",LOWER(F837&amp;" "&amp;H837&amp;" "&amp;I837&amp;" "&amp;M837&amp;" "&amp;N837&amp;" "&amp;T837))),ISNUMBER(SEARCH("bank",LOWER(F837&amp;" "&amp;H837&amp;" "&amp;I837&amp;" "&amp;M837&amp;" "&amp;N837&amp;" "&amp;T837))),ISNUMBER(SEARCH("banking",LOWER(F837&amp;" "&amp;H837&amp;" "&amp;I837&amp;" "&amp;M837&amp;" "&amp;N837&amp;" "&amp;T837)))),"PRIVATE_QUARANTINE",IF(OR(ISNUMBER(SEARCH("treasury",LOWER(F837&amp;" "&amp;H837&amp;" "&amp;I837&amp;" "&amp;M837&amp;" "&amp;N837&amp;" "&amp;T837))),ISNUMBER(SEARCH("debt",LOWER(F837&amp;" "&amp;H837&amp;" "&amp;I837&amp;" "&amp;M837&amp;" "&amp;N837&amp;" "&amp;T837))),ISNUMBER(SEARCH("bond",LOWER(F837&amp;" "&amp;H837&amp;" "&amp;I837&amp;" "&amp;M837&amp;" "&amp;N837&amp;" "&amp;T837))),ISNUMBER(SEARCH("transaction",LOWER(F837&amp;" "&amp;H837&amp;" "&amp;I837&amp;" "&amp;M837&amp;" "&amp;N837&amp;" "&amp;T837)))),"PRIVATE_REVIEW","PUBLIC_CANDIDATE"))</x:f>
        <x:v>PUBLIC_CANDIDATE</x:v>
      </x:c>
      <x:c r="AD837" s="12" t="str">
        <x:f>IF(AC837="PRIVATE_QUARANTINE","hacker_or_bank_trigger",IF(AC837="PRIVATE_REVIEW","finance_risk_trigger","none"))</x:f>
        <x:v>none</x:v>
      </x:c>
      <x:c r="AE837" s="12" t="str">
        <x:f>IF(AC837="PUBLIC_CANDIDATE","prepare_public_github_candidate",IF(AC837="PRIVATE_REVIEW","hold_for_private_review","quarantine_private_do_not_publish"))</x:f>
        <x:v>prepare_public_github_candidate</x:v>
      </x:c>
      <x:c r="AF837" s="12" t="str">
        <x:f>IF(AC837="PUBLIC_CANDIDATE","TIDELOCK + Lucerna",IF(AC837="PRIVATE_REVIEW","AtlasBrain + Lucerna","TIDELOCK + Lucerna + Human-root"))</x:f>
        <x:v>TIDELOCK + Lucerna</x:v>
      </x:c>
      <x:c r="AG837" s="12" t="str">
        <x:f>IF(AND(AC837="PUBLIC_CANDIDATE",U837&lt;&gt;"BLOCKED_PENDING_RECEIPT"),"READY_AFTER_RECEIPT","NOT_READY")</x:f>
        <x:v>NOT_READY</x:v>
      </x:c>
      <x:c r="AH837" s="12" t="str">
        <x:f>IF(AC837="PUBLIC_CANDIDATE","none",AD837)</x:f>
        <x:v>none</x:v>
      </x:c>
      <x:c r="AI837" s="12" t="str">
        <x:f>IF(AC837="PUBLIC_CANDIDATE","archive/public_candidates/"&amp;A837,"private_quarantine/"&amp;A837)</x:f>
        <x:v>archive/public_candidates/SWARM-06-H10-S08</x:v>
      </x:c>
      <x:c r="AJ837" s="12" t="str">
        <x:f>IF(AC837="PUBLIC_CANDIDATE","public by default; still not canon","private/hold; do not publish")</x:f>
        <x:v>public by default; still not canon</x:v>
      </x:c>
      <x:c r="AK837" s="12" t="str">
        <x:f>IF(AE837="prepare_public_github_candidate","add receipt/status then mirror","resolve blocker before any public GitHub action")</x:f>
        <x:v>add receipt/status then mirror</x:v>
      </x:c>
    </x:row>
    <x:row r="838">
      <x:c r="A838" s="15" t="str">
        <x:v>SWARM-06-H10-S09</x:v>
      </x:c>
      <x:c r="B838" s="15" t="str">
        <x:v>Forgekid</x:v>
      </x:c>
      <x:c r="C838" s="15" t="str">
        <x:v>Aetherforge UX builder</x:v>
      </x:c>
      <x:c r="D838" s="15" t="str">
        <x:v>GitHub Source Packets</x:v>
      </x:c>
      <x:c r="E838" s="15" t="str">
        <x:v>Aetherforge</x:v>
      </x:c>
      <x:c r="F838" s="15" t="str">
        <x:v>Build source packet for Aetherforge — Forgekid</x:v>
      </x:c>
      <x:c r="G838" s="15" t="str">
        <x:v>quest cards / task cards / board affordances</x:v>
      </x:c>
      <x:c r="H838" s="15" t="str">
        <x:v>source path + receipt + raw/export status + claim/edge/risk delta</x:v>
      </x:c>
      <x:c r="I838" s="15" t="str">
        <x:v>packet/SWARM-06-H10-S09</x:v>
      </x:c>
      <x:c r="J838" s="15" t="str">
        <x:v>TODO</x:v>
      </x:c>
      <x:c r="K838" s="15" t="str">
        <x:v>P2</x:v>
      </x:c>
      <x:c r="L838" s="15" t="str">
        <x:v>Done only when evidence is logged, contradiction search is noted, and boundary stamp remains non-canon unless ratified</x:v>
      </x:c>
      <x:c r="M838" s="15" t="str">
        <x:v>candidate / staging-only / not canon / not deployed / authority none</x:v>
      </x:c>
      <x:c r="N838" s="15" t="str">
        <x:v>Dispatch to Forgekid: complete GitHub Source Packets x Aetherforge; return deltas only, receipts required.</x:v>
      </x:c>
      <x:c r="O838" s="15" t="str">
        <x:v>AF-KG-H10-S09</x:v>
      </x:c>
      <x:c r="P838" s="15" t="str">
        <x:v>Unverified</x:v>
      </x:c>
      <x:c r="Q838" s="15" t="str">
        <x:v>Not checked</x:v>
      </x:c>
      <x:c r="R838" s="15" t="str"/>
      <x:c r="S838" s="15" t="str"/>
      <x:c r="T838" s="15" t="str">
        <x:v>Log first source path or blocker</x:v>
      </x:c>
      <x:c r="U838" s="12" t="str">
        <x:f>IF(OR(P838="Unverified",Q838="Not checked"),"BLOCKED_PENDING_RECEIPT","READY_FOR_REVIEW")</x:f>
        <x:v>BLOCKED_PENDING_RECEIPT</x:v>
      </x:c>
      <x:c r="V838" s="12" t="str">
        <x:f>IF(J838="DONE","RETURNED",IF(U838="BLOCKED_PENDING_RECEIPT","SOURCE_TOUCH_REQUIRED","IN_PROGRESS"))</x:f>
        <x:v>SOURCE_TOUCH_REQUIRED</x:v>
      </x:c>
      <x:c r="W838" s="12" t="str">
        <x:f>IF(P838="Unverified","missing_receipt","receipt_logged")</x:f>
        <x:v>missing_receipt</x:v>
      </x:c>
      <x:c r="X838" s="12" t="str">
        <x:f>IF(Q838="Not checked","raw_status_missing","raw_status_logged")</x:f>
        <x:v>raw_status_missing</x:v>
      </x:c>
      <x:c r="Y838" s="12" t="str">
        <x:f>IF(U838="BLOCKED_PENDING_RECEIPT","Log source path or blocker; do not promote","Route to review lane")</x:f>
        <x:v>Log source path or blocker; do not promote</x:v>
      </x:c>
      <x:c r="Z838" s="12" t="str">
        <x:f>IF(K838="P0","Primary seat + Hashlight/Lucerna","Seat lane")</x:f>
        <x:v>Seat lane</x:v>
      </x:c>
      <x:c r="AA838" s="12" t="str">
        <x:f>IF(R838="","no_claim_delta","claim_delta_present")</x:f>
        <x:v>no_claim_delta</x:v>
      </x:c>
      <x:c r="AB838" s="12" t="str">
        <x:f>IF(S838="","no_contradiction_delta","contradiction_delta_present")</x:f>
        <x:v>no_contradiction_delta</x:v>
      </x:c>
      <x:c r="AC838" s="12" t="str">
        <x:f>IF(OR(ISNUMBER(SEARCH("hacker",LOWER(F838&amp;" "&amp;H838&amp;" "&amp;I838&amp;" "&amp;M838&amp;" "&amp;N838&amp;" "&amp;T838))),ISNUMBER(SEARCH("hacking",LOWER(F838&amp;" "&amp;H838&amp;" "&amp;I838&amp;" "&amp;M838&amp;" "&amp;N838&amp;" "&amp;T838))),ISNUMBER(SEARCH("bank",LOWER(F838&amp;" "&amp;H838&amp;" "&amp;I838&amp;" "&amp;M838&amp;" "&amp;N838&amp;" "&amp;T838))),ISNUMBER(SEARCH("banking",LOWER(F838&amp;" "&amp;H838&amp;" "&amp;I838&amp;" "&amp;M838&amp;" "&amp;N838&amp;" "&amp;T838)))),"PRIVATE_QUARANTINE",IF(OR(ISNUMBER(SEARCH("treasury",LOWER(F838&amp;" "&amp;H838&amp;" "&amp;I838&amp;" "&amp;M838&amp;" "&amp;N838&amp;" "&amp;T838))),ISNUMBER(SEARCH("debt",LOWER(F838&amp;" "&amp;H838&amp;" "&amp;I838&amp;" "&amp;M838&amp;" "&amp;N838&amp;" "&amp;T838))),ISNUMBER(SEARCH("bond",LOWER(F838&amp;" "&amp;H838&amp;" "&amp;I838&amp;" "&amp;M838&amp;" "&amp;N838&amp;" "&amp;T838))),ISNUMBER(SEARCH("transaction",LOWER(F838&amp;" "&amp;H838&amp;" "&amp;I838&amp;" "&amp;M838&amp;" "&amp;N838&amp;" "&amp;T838)))),"PRIVATE_REVIEW","PUBLIC_CANDIDATE"))</x:f>
        <x:v>PUBLIC_CANDIDATE</x:v>
      </x:c>
      <x:c r="AD838" s="12" t="str">
        <x:f>IF(AC838="PRIVATE_QUARANTINE","hacker_or_bank_trigger",IF(AC838="PRIVATE_REVIEW","finance_risk_trigger","none"))</x:f>
        <x:v>none</x:v>
      </x:c>
      <x:c r="AE838" s="12" t="str">
        <x:f>IF(AC838="PUBLIC_CANDIDATE","prepare_public_github_candidate",IF(AC838="PRIVATE_REVIEW","hold_for_private_review","quarantine_private_do_not_publish"))</x:f>
        <x:v>prepare_public_github_candidate</x:v>
      </x:c>
      <x:c r="AF838" s="12" t="str">
        <x:f>IF(AC838="PUBLIC_CANDIDATE","TIDELOCK + Lucerna",IF(AC838="PRIVATE_REVIEW","AtlasBrain + Lucerna","TIDELOCK + Lucerna + Human-root"))</x:f>
        <x:v>TIDELOCK + Lucerna</x:v>
      </x:c>
      <x:c r="AG838" s="12" t="str">
        <x:f>IF(AND(AC838="PUBLIC_CANDIDATE",U838&lt;&gt;"BLOCKED_PENDING_RECEIPT"),"READY_AFTER_RECEIPT","NOT_READY")</x:f>
        <x:v>NOT_READY</x:v>
      </x:c>
      <x:c r="AH838" s="12" t="str">
        <x:f>IF(AC838="PUBLIC_CANDIDATE","none",AD838)</x:f>
        <x:v>none</x:v>
      </x:c>
      <x:c r="AI838" s="12" t="str">
        <x:f>IF(AC838="PUBLIC_CANDIDATE","archive/public_candidates/"&amp;A838,"private_quarantine/"&amp;A838)</x:f>
        <x:v>archive/public_candidates/SWARM-06-H10-S09</x:v>
      </x:c>
      <x:c r="AJ838" s="12" t="str">
        <x:f>IF(AC838="PUBLIC_CANDIDATE","public by default; still not canon","private/hold; do not publish")</x:f>
        <x:v>public by default; still not canon</x:v>
      </x:c>
      <x:c r="AK838" s="12" t="str">
        <x:f>IF(AE838="prepare_public_github_candidate","add receipt/status then mirror","resolve blocker before any public GitHub action")</x:f>
        <x:v>add receipt/status then mirror</x:v>
      </x:c>
    </x:row>
    <x:row r="839">
      <x:c r="A839" s="15" t="str">
        <x:v>SWARM-06-H10-S10</x:v>
      </x:c>
      <x:c r="B839" s="15" t="str">
        <x:v>Forgekid</x:v>
      </x:c>
      <x:c r="C839" s="15" t="str">
        <x:v>Aetherforge UX builder</x:v>
      </x:c>
      <x:c r="D839" s="15" t="str">
        <x:v>GitHub Source Packets</x:v>
      </x:c>
      <x:c r="E839" s="15" t="str">
        <x:v>Human-Root</x:v>
      </x:c>
      <x:c r="F839" s="15" t="str">
        <x:v>Build source packet for Human-Root — Forgekid</x:v>
      </x:c>
      <x:c r="G839" s="15" t="str">
        <x:v>quest cards / task cards / board affordances</x:v>
      </x:c>
      <x:c r="H839" s="15" t="str">
        <x:v>source path + receipt + raw/export status + claim/edge/risk delta</x:v>
      </x:c>
      <x:c r="I839" s="15" t="str">
        <x:v>packet/SWARM-06-H10-S10</x:v>
      </x:c>
      <x:c r="J839" s="15" t="str">
        <x:v>TODO</x:v>
      </x:c>
      <x:c r="K839" s="15" t="str">
        <x:v>P2</x:v>
      </x:c>
      <x:c r="L839" s="15" t="str">
        <x:v>Done only when evidence is logged, contradiction search is noted, and boundary stamp remains non-canon unless ratified</x:v>
      </x:c>
      <x:c r="M839" s="15" t="str">
        <x:v>candidate / staging-only / not canon / not deployed / authority none</x:v>
      </x:c>
      <x:c r="N839" s="15" t="str">
        <x:v>Dispatch to Forgekid: complete GitHub Source Packets x Human-Root; return deltas only, receipts required.</x:v>
      </x:c>
      <x:c r="O839" s="15" t="str">
        <x:v>AF-KG-H10-S10</x:v>
      </x:c>
      <x:c r="P839" s="15" t="str">
        <x:v>Unverified</x:v>
      </x:c>
      <x:c r="Q839" s="15" t="str">
        <x:v>Not checked</x:v>
      </x:c>
      <x:c r="R839" s="15" t="str"/>
      <x:c r="S839" s="15" t="str"/>
      <x:c r="T839" s="15" t="str">
        <x:v>Log first source path or blocker</x:v>
      </x:c>
      <x:c r="U839" s="12" t="str">
        <x:f>IF(OR(P839="Unverified",Q839="Not checked"),"BLOCKED_PENDING_RECEIPT","READY_FOR_REVIEW")</x:f>
        <x:v>BLOCKED_PENDING_RECEIPT</x:v>
      </x:c>
      <x:c r="V839" s="12" t="str">
        <x:f>IF(J839="DONE","RETURNED",IF(U839="BLOCKED_PENDING_RECEIPT","SOURCE_TOUCH_REQUIRED","IN_PROGRESS"))</x:f>
        <x:v>SOURCE_TOUCH_REQUIRED</x:v>
      </x:c>
      <x:c r="W839" s="12" t="str">
        <x:f>IF(P839="Unverified","missing_receipt","receipt_logged")</x:f>
        <x:v>missing_receipt</x:v>
      </x:c>
      <x:c r="X839" s="12" t="str">
        <x:f>IF(Q839="Not checked","raw_status_missing","raw_status_logged")</x:f>
        <x:v>raw_status_missing</x:v>
      </x:c>
      <x:c r="Y839" s="12" t="str">
        <x:f>IF(U839="BLOCKED_PENDING_RECEIPT","Log source path or blocker; do not promote","Route to review lane")</x:f>
        <x:v>Log source path or blocker; do not promote</x:v>
      </x:c>
      <x:c r="Z839" s="12" t="str">
        <x:f>IF(K839="P0","Primary seat + Hashlight/Lucerna","Seat lane")</x:f>
        <x:v>Seat lane</x:v>
      </x:c>
      <x:c r="AA839" s="12" t="str">
        <x:f>IF(R839="","no_claim_delta","claim_delta_present")</x:f>
        <x:v>no_claim_delta</x:v>
      </x:c>
      <x:c r="AB839" s="12" t="str">
        <x:f>IF(S839="","no_contradiction_delta","contradiction_delta_present")</x:f>
        <x:v>no_contradiction_delta</x:v>
      </x:c>
      <x:c r="AC839" s="12" t="str">
        <x:f>IF(OR(ISNUMBER(SEARCH("hacker",LOWER(F839&amp;" "&amp;H839&amp;" "&amp;I839&amp;" "&amp;M839&amp;" "&amp;N839&amp;" "&amp;T839))),ISNUMBER(SEARCH("hacking",LOWER(F839&amp;" "&amp;H839&amp;" "&amp;I839&amp;" "&amp;M839&amp;" "&amp;N839&amp;" "&amp;T839))),ISNUMBER(SEARCH("bank",LOWER(F839&amp;" "&amp;H839&amp;" "&amp;I839&amp;" "&amp;M839&amp;" "&amp;N839&amp;" "&amp;T839))),ISNUMBER(SEARCH("banking",LOWER(F839&amp;" "&amp;H839&amp;" "&amp;I839&amp;" "&amp;M839&amp;" "&amp;N839&amp;" "&amp;T839)))),"PRIVATE_QUARANTINE",IF(OR(ISNUMBER(SEARCH("treasury",LOWER(F839&amp;" "&amp;H839&amp;" "&amp;I839&amp;" "&amp;M839&amp;" "&amp;N839&amp;" "&amp;T839))),ISNUMBER(SEARCH("debt",LOWER(F839&amp;" "&amp;H839&amp;" "&amp;I839&amp;" "&amp;M839&amp;" "&amp;N839&amp;" "&amp;T839))),ISNUMBER(SEARCH("bond",LOWER(F839&amp;" "&amp;H839&amp;" "&amp;I839&amp;" "&amp;M839&amp;" "&amp;N839&amp;" "&amp;T839))),ISNUMBER(SEARCH("transaction",LOWER(F839&amp;" "&amp;H839&amp;" "&amp;I839&amp;" "&amp;M839&amp;" "&amp;N839&amp;" "&amp;T839)))),"PRIVATE_REVIEW","PUBLIC_CANDIDATE"))</x:f>
        <x:v>PUBLIC_CANDIDATE</x:v>
      </x:c>
      <x:c r="AD839" s="12" t="str">
        <x:f>IF(AC839="PRIVATE_QUARANTINE","hacker_or_bank_trigger",IF(AC839="PRIVATE_REVIEW","finance_risk_trigger","none"))</x:f>
        <x:v>none</x:v>
      </x:c>
      <x:c r="AE839" s="12" t="str">
        <x:f>IF(AC839="PUBLIC_CANDIDATE","prepare_public_github_candidate",IF(AC839="PRIVATE_REVIEW","hold_for_private_review","quarantine_private_do_not_publish"))</x:f>
        <x:v>prepare_public_github_candidate</x:v>
      </x:c>
      <x:c r="AF839" s="12" t="str">
        <x:f>IF(AC839="PUBLIC_CANDIDATE","TIDELOCK + Lucerna",IF(AC839="PRIVATE_REVIEW","AtlasBrain + Lucerna","TIDELOCK + Lucerna + Human-root"))</x:f>
        <x:v>TIDELOCK + Lucerna</x:v>
      </x:c>
      <x:c r="AG839" s="12" t="str">
        <x:f>IF(AND(AC839="PUBLIC_CANDIDATE",U839&lt;&gt;"BLOCKED_PENDING_RECEIPT"),"READY_AFTER_RECEIPT","NOT_READY")</x:f>
        <x:v>NOT_READY</x:v>
      </x:c>
      <x:c r="AH839" s="12" t="str">
        <x:f>IF(AC839="PUBLIC_CANDIDATE","none",AD839)</x:f>
        <x:v>none</x:v>
      </x:c>
      <x:c r="AI839" s="12" t="str">
        <x:f>IF(AC839="PUBLIC_CANDIDATE","archive/public_candidates/"&amp;A839,"private_quarantine/"&amp;A839)</x:f>
        <x:v>archive/public_candidates/SWARM-06-H10-S10</x:v>
      </x:c>
      <x:c r="AJ839" s="12" t="str">
        <x:f>IF(AC839="PUBLIC_CANDIDATE","public by default; still not canon","private/hold; do not publish")</x:f>
        <x:v>public by default; still not canon</x:v>
      </x:c>
      <x:c r="AK839" s="12" t="str">
        <x:f>IF(AE839="prepare_public_github_candidate","add receipt/status then mirror","resolve blocker before any public GitHub action")</x:f>
        <x:v>add receipt/status then mirror</x:v>
      </x:c>
    </x:row>
    <x:row r="840">
      <x:c r="A840" s="15" t="str">
        <x:v>SWARM-06-H10-S11</x:v>
      </x:c>
      <x:c r="B840" s="15" t="str">
        <x:v>Forgekid</x:v>
      </x:c>
      <x:c r="C840" s="15" t="str">
        <x:v>Aetherforge UX builder</x:v>
      </x:c>
      <x:c r="D840" s="15" t="str">
        <x:v>GitHub Source Packets</x:v>
      </x:c>
      <x:c r="E840" s="15" t="str">
        <x:v>Automation</x:v>
      </x:c>
      <x:c r="F840" s="15" t="str">
        <x:v>Build source packet for Automation — Forgekid</x:v>
      </x:c>
      <x:c r="G840" s="15" t="str">
        <x:v>quest cards / task cards / board affordances</x:v>
      </x:c>
      <x:c r="H840" s="15" t="str">
        <x:v>source path + receipt + raw/export status + claim/edge/risk delta</x:v>
      </x:c>
      <x:c r="I840" s="15" t="str">
        <x:v>packet/SWARM-06-H10-S11</x:v>
      </x:c>
      <x:c r="J840" s="15" t="str">
        <x:v>TODO</x:v>
      </x:c>
      <x:c r="K840" s="15" t="str">
        <x:v>P2</x:v>
      </x:c>
      <x:c r="L840" s="15" t="str">
        <x:v>Done only when evidence is logged, contradiction search is noted, and boundary stamp remains non-canon unless ratified</x:v>
      </x:c>
      <x:c r="M840" s="15" t="str">
        <x:v>candidate / staging-only / not canon / not deployed / authority none</x:v>
      </x:c>
      <x:c r="N840" s="15" t="str">
        <x:v>Dispatch to Forgekid: complete GitHub Source Packets x Automation; return deltas only, receipts required.</x:v>
      </x:c>
      <x:c r="O840" s="15" t="str">
        <x:v>AF-KG-H10-S11</x:v>
      </x:c>
      <x:c r="P840" s="15" t="str">
        <x:v>Unverified</x:v>
      </x:c>
      <x:c r="Q840" s="15" t="str">
        <x:v>Not checked</x:v>
      </x:c>
      <x:c r="R840" s="15" t="str"/>
      <x:c r="S840" s="15" t="str"/>
      <x:c r="T840" s="15" t="str">
        <x:v>Log first source path or blocker</x:v>
      </x:c>
      <x:c r="U840" s="12" t="str">
        <x:f>IF(OR(P840="Unverified",Q840="Not checked"),"BLOCKED_PENDING_RECEIPT","READY_FOR_REVIEW")</x:f>
        <x:v>BLOCKED_PENDING_RECEIPT</x:v>
      </x:c>
      <x:c r="V840" s="12" t="str">
        <x:f>IF(J840="DONE","RETURNED",IF(U840="BLOCKED_PENDING_RECEIPT","SOURCE_TOUCH_REQUIRED","IN_PROGRESS"))</x:f>
        <x:v>SOURCE_TOUCH_REQUIRED</x:v>
      </x:c>
      <x:c r="W840" s="12" t="str">
        <x:f>IF(P840="Unverified","missing_receipt","receipt_logged")</x:f>
        <x:v>missing_receipt</x:v>
      </x:c>
      <x:c r="X840" s="12" t="str">
        <x:f>IF(Q840="Not checked","raw_status_missing","raw_status_logged")</x:f>
        <x:v>raw_status_missing</x:v>
      </x:c>
      <x:c r="Y840" s="12" t="str">
        <x:f>IF(U840="BLOCKED_PENDING_RECEIPT","Log source path or blocker; do not promote","Route to review lane")</x:f>
        <x:v>Log source path or blocker; do not promote</x:v>
      </x:c>
      <x:c r="Z840" s="12" t="str">
        <x:f>IF(K840="P0","Primary seat + Hashlight/Lucerna","Seat lane")</x:f>
        <x:v>Seat lane</x:v>
      </x:c>
      <x:c r="AA840" s="12" t="str">
        <x:f>IF(R840="","no_claim_delta","claim_delta_present")</x:f>
        <x:v>no_claim_delta</x:v>
      </x:c>
      <x:c r="AB840" s="12" t="str">
        <x:f>IF(S840="","no_contradiction_delta","contradiction_delta_present")</x:f>
        <x:v>no_contradiction_delta</x:v>
      </x:c>
      <x:c r="AC840" s="12" t="str">
        <x:f>IF(OR(ISNUMBER(SEARCH("hacker",LOWER(F840&amp;" "&amp;H840&amp;" "&amp;I840&amp;" "&amp;M840&amp;" "&amp;N840&amp;" "&amp;T840))),ISNUMBER(SEARCH("hacking",LOWER(F840&amp;" "&amp;H840&amp;" "&amp;I840&amp;" "&amp;M840&amp;" "&amp;N840&amp;" "&amp;T840))),ISNUMBER(SEARCH("bank",LOWER(F840&amp;" "&amp;H840&amp;" "&amp;I840&amp;" "&amp;M840&amp;" "&amp;N840&amp;" "&amp;T840))),ISNUMBER(SEARCH("banking",LOWER(F840&amp;" "&amp;H840&amp;" "&amp;I840&amp;" "&amp;M840&amp;" "&amp;N840&amp;" "&amp;T840)))),"PRIVATE_QUARANTINE",IF(OR(ISNUMBER(SEARCH("treasury",LOWER(F840&amp;" "&amp;H840&amp;" "&amp;I840&amp;" "&amp;M840&amp;" "&amp;N840&amp;" "&amp;T840))),ISNUMBER(SEARCH("debt",LOWER(F840&amp;" "&amp;H840&amp;" "&amp;I840&amp;" "&amp;M840&amp;" "&amp;N840&amp;" "&amp;T840))),ISNUMBER(SEARCH("bond",LOWER(F840&amp;" "&amp;H840&amp;" "&amp;I840&amp;" "&amp;M840&amp;" "&amp;N840&amp;" "&amp;T840))),ISNUMBER(SEARCH("transaction",LOWER(F840&amp;" "&amp;H840&amp;" "&amp;I840&amp;" "&amp;M840&amp;" "&amp;N840&amp;" "&amp;T840)))),"PRIVATE_REVIEW","PUBLIC_CANDIDATE"))</x:f>
        <x:v>PUBLIC_CANDIDATE</x:v>
      </x:c>
      <x:c r="AD840" s="12" t="str">
        <x:f>IF(AC840="PRIVATE_QUARANTINE","hacker_or_bank_trigger",IF(AC840="PRIVATE_REVIEW","finance_risk_trigger","none"))</x:f>
        <x:v>none</x:v>
      </x:c>
      <x:c r="AE840" s="12" t="str">
        <x:f>IF(AC840="PUBLIC_CANDIDATE","prepare_public_github_candidate",IF(AC840="PRIVATE_REVIEW","hold_for_private_review","quarantine_private_do_not_publish"))</x:f>
        <x:v>prepare_public_github_candidate</x:v>
      </x:c>
      <x:c r="AF840" s="12" t="str">
        <x:f>IF(AC840="PUBLIC_CANDIDATE","TIDELOCK + Lucerna",IF(AC840="PRIVATE_REVIEW","AtlasBrain + Lucerna","TIDELOCK + Lucerna + Human-root"))</x:f>
        <x:v>TIDELOCK + Lucerna</x:v>
      </x:c>
      <x:c r="AG840" s="12" t="str">
        <x:f>IF(AND(AC840="PUBLIC_CANDIDATE",U840&lt;&gt;"BLOCKED_PENDING_RECEIPT"),"READY_AFTER_RECEIPT","NOT_READY")</x:f>
        <x:v>NOT_READY</x:v>
      </x:c>
      <x:c r="AH840" s="12" t="str">
        <x:f>IF(AC840="PUBLIC_CANDIDATE","none",AD840)</x:f>
        <x:v>none</x:v>
      </x:c>
      <x:c r="AI840" s="12" t="str">
        <x:f>IF(AC840="PUBLIC_CANDIDATE","archive/public_candidates/"&amp;A840,"private_quarantine/"&amp;A840)</x:f>
        <x:v>archive/public_candidates/SWARM-06-H10-S11</x:v>
      </x:c>
      <x:c r="AJ840" s="12" t="str">
        <x:f>IF(AC840="PUBLIC_CANDIDATE","public by default; still not canon","private/hold; do not publish")</x:f>
        <x:v>public by default; still not canon</x:v>
      </x:c>
      <x:c r="AK840" s="12" t="str">
        <x:f>IF(AE840="prepare_public_github_candidate","add receipt/status then mirror","resolve blocker before any public GitHub action")</x:f>
        <x:v>add receipt/status then mirror</x:v>
      </x:c>
    </x:row>
    <x:row r="841">
      <x:c r="A841" s="15" t="str">
        <x:v>SWARM-06-H10-S12</x:v>
      </x:c>
      <x:c r="B841" s="15" t="str">
        <x:v>Forgekid</x:v>
      </x:c>
      <x:c r="C841" s="15" t="str">
        <x:v>Aetherforge UX builder</x:v>
      </x:c>
      <x:c r="D841" s="15" t="str">
        <x:v>GitHub Source Packets</x:v>
      </x:c>
      <x:c r="E841" s="15" t="str">
        <x:v>Risk / Safety</x:v>
      </x:c>
      <x:c r="F841" s="15" t="str">
        <x:v>Build source packet for Risk / Safety — Forgekid</x:v>
      </x:c>
      <x:c r="G841" s="15" t="str">
        <x:v>quest cards / task cards / board affordances</x:v>
      </x:c>
      <x:c r="H841" s="15" t="str">
        <x:v>source path + receipt + raw/export status + claim/edge/risk delta</x:v>
      </x:c>
      <x:c r="I841" s="15" t="str">
        <x:v>packet/SWARM-06-H10-S12</x:v>
      </x:c>
      <x:c r="J841" s="15" t="str">
        <x:v>TODO</x:v>
      </x:c>
      <x:c r="K841" s="15" t="str">
        <x:v>P2</x:v>
      </x:c>
      <x:c r="L841" s="15" t="str">
        <x:v>Done only when evidence is logged, contradiction search is noted, and boundary stamp remains non-canon unless ratified</x:v>
      </x:c>
      <x:c r="M841" s="15" t="str">
        <x:v>candidate / staging-only / not canon / not deployed / authority none</x:v>
      </x:c>
      <x:c r="N841" s="15" t="str">
        <x:v>Dispatch to Forgekid: complete GitHub Source Packets x Risk / Safety; return deltas only, receipts required.</x:v>
      </x:c>
      <x:c r="O841" s="15" t="str">
        <x:v>AF-KG-H10-S12</x:v>
      </x:c>
      <x:c r="P841" s="15" t="str">
        <x:v>Unverified</x:v>
      </x:c>
      <x:c r="Q841" s="15" t="str">
        <x:v>Not checked</x:v>
      </x:c>
      <x:c r="R841" s="15" t="str"/>
      <x:c r="S841" s="15" t="str"/>
      <x:c r="T841" s="15" t="str">
        <x:v>Log first source path or blocker</x:v>
      </x:c>
      <x:c r="U841" s="12" t="str">
        <x:f>IF(OR(P841="Unverified",Q841="Not checked"),"BLOCKED_PENDING_RECEIPT","READY_FOR_REVIEW")</x:f>
        <x:v>BLOCKED_PENDING_RECEIPT</x:v>
      </x:c>
      <x:c r="V841" s="12" t="str">
        <x:f>IF(J841="DONE","RETURNED",IF(U841="BLOCKED_PENDING_RECEIPT","SOURCE_TOUCH_REQUIRED","IN_PROGRESS"))</x:f>
        <x:v>SOURCE_TOUCH_REQUIRED</x:v>
      </x:c>
      <x:c r="W841" s="12" t="str">
        <x:f>IF(P841="Unverified","missing_receipt","receipt_logged")</x:f>
        <x:v>missing_receipt</x:v>
      </x:c>
      <x:c r="X841" s="12" t="str">
        <x:f>IF(Q841="Not checked","raw_status_missing","raw_status_logged")</x:f>
        <x:v>raw_status_missing</x:v>
      </x:c>
      <x:c r="Y841" s="12" t="str">
        <x:f>IF(U841="BLOCKED_PENDING_RECEIPT","Log source path or blocker; do not promote","Route to review lane")</x:f>
        <x:v>Log source path or blocker; do not promote</x:v>
      </x:c>
      <x:c r="Z841" s="12" t="str">
        <x:f>IF(K841="P0","Primary seat + Hashlight/Lucerna","Seat lane")</x:f>
        <x:v>Seat lane</x:v>
      </x:c>
      <x:c r="AA841" s="12" t="str">
        <x:f>IF(R841="","no_claim_delta","claim_delta_present")</x:f>
        <x:v>no_claim_delta</x:v>
      </x:c>
      <x:c r="AB841" s="12" t="str">
        <x:f>IF(S841="","no_contradiction_delta","contradiction_delta_present")</x:f>
        <x:v>no_contradiction_delta</x:v>
      </x:c>
      <x:c r="AC841" s="12" t="str">
        <x:f>IF(OR(ISNUMBER(SEARCH("hacker",LOWER(F841&amp;" "&amp;H841&amp;" "&amp;I841&amp;" "&amp;M841&amp;" "&amp;N841&amp;" "&amp;T841))),ISNUMBER(SEARCH("hacking",LOWER(F841&amp;" "&amp;H841&amp;" "&amp;I841&amp;" "&amp;M841&amp;" "&amp;N841&amp;" "&amp;T841))),ISNUMBER(SEARCH("bank",LOWER(F841&amp;" "&amp;H841&amp;" "&amp;I841&amp;" "&amp;M841&amp;" "&amp;N841&amp;" "&amp;T841))),ISNUMBER(SEARCH("banking",LOWER(F841&amp;" "&amp;H841&amp;" "&amp;I841&amp;" "&amp;M841&amp;" "&amp;N841&amp;" "&amp;T841)))),"PRIVATE_QUARANTINE",IF(OR(ISNUMBER(SEARCH("treasury",LOWER(F841&amp;" "&amp;H841&amp;" "&amp;I841&amp;" "&amp;M841&amp;" "&amp;N841&amp;" "&amp;T841))),ISNUMBER(SEARCH("debt",LOWER(F841&amp;" "&amp;H841&amp;" "&amp;I841&amp;" "&amp;M841&amp;" "&amp;N841&amp;" "&amp;T841))),ISNUMBER(SEARCH("bond",LOWER(F841&amp;" "&amp;H841&amp;" "&amp;I841&amp;" "&amp;M841&amp;" "&amp;N841&amp;" "&amp;T841))),ISNUMBER(SEARCH("transaction",LOWER(F841&amp;" "&amp;H841&amp;" "&amp;I841&amp;" "&amp;M841&amp;" "&amp;N841&amp;" "&amp;T841)))),"PRIVATE_REVIEW","PUBLIC_CANDIDATE"))</x:f>
        <x:v>PUBLIC_CANDIDATE</x:v>
      </x:c>
      <x:c r="AD841" s="12" t="str">
        <x:f>IF(AC841="PRIVATE_QUARANTINE","hacker_or_bank_trigger",IF(AC841="PRIVATE_REVIEW","finance_risk_trigger","none"))</x:f>
        <x:v>none</x:v>
      </x:c>
      <x:c r="AE841" s="12" t="str">
        <x:f>IF(AC841="PUBLIC_CANDIDATE","prepare_public_github_candidate",IF(AC841="PRIVATE_REVIEW","hold_for_private_review","quarantine_private_do_not_publish"))</x:f>
        <x:v>prepare_public_github_candidate</x:v>
      </x:c>
      <x:c r="AF841" s="12" t="str">
        <x:f>IF(AC841="PUBLIC_CANDIDATE","TIDELOCK + Lucerna",IF(AC841="PRIVATE_REVIEW","AtlasBrain + Lucerna","TIDELOCK + Lucerna + Human-root"))</x:f>
        <x:v>TIDELOCK + Lucerna</x:v>
      </x:c>
      <x:c r="AG841" s="12" t="str">
        <x:f>IF(AND(AC841="PUBLIC_CANDIDATE",U841&lt;&gt;"BLOCKED_PENDING_RECEIPT"),"READY_AFTER_RECEIPT","NOT_READY")</x:f>
        <x:v>NOT_READY</x:v>
      </x:c>
      <x:c r="AH841" s="12" t="str">
        <x:f>IF(AC841="PUBLIC_CANDIDATE","none",AD841)</x:f>
        <x:v>none</x:v>
      </x:c>
      <x:c r="AI841" s="12" t="str">
        <x:f>IF(AC841="PUBLIC_CANDIDATE","archive/public_candidates/"&amp;A841,"private_quarantine/"&amp;A841)</x:f>
        <x:v>archive/public_candidates/SWARM-06-H10-S12</x:v>
      </x:c>
      <x:c r="AJ841" s="12" t="str">
        <x:f>IF(AC841="PUBLIC_CANDIDATE","public by default; still not canon","private/hold; do not publish")</x:f>
        <x:v>public by default; still not canon</x:v>
      </x:c>
      <x:c r="AK841" s="12" t="str">
        <x:f>IF(AE841="prepare_public_github_candidate","add receipt/status then mirror","resolve blocker before any public GitHub action")</x:f>
        <x:v>add receipt/status then mirror</x:v>
      </x:c>
    </x:row>
    <x:row r="842">
      <x:c r="A842" s="15" t="str">
        <x:v>SWARM-06-H11-S01</x:v>
      </x:c>
      <x:c r="B842" s="15" t="str">
        <x:v>Forgekid</x:v>
      </x:c>
      <x:c r="C842" s="15" t="str">
        <x:v>Aetherforge UX builder</x:v>
      </x:c>
      <x:c r="D842" s="15" t="str">
        <x:v>Aetherforge UX</x:v>
      </x:c>
      <x:c r="E842" s="15" t="str">
        <x:v>Notion</x:v>
      </x:c>
      <x:c r="F842" s="15" t="str">
        <x:v>Design quest card for Notion — Forgekid</x:v>
      </x:c>
      <x:c r="G842" s="15" t="str">
        <x:v>quest cards / task cards / board affordances</x:v>
      </x:c>
      <x:c r="H842" s="15" t="str">
        <x:v>source path + receipt + raw/export status + claim/edge/risk delta</x:v>
      </x:c>
      <x:c r="I842" s="15" t="str">
        <x:v>packet/SWARM-06-H11-S01</x:v>
      </x:c>
      <x:c r="J842" s="15" t="str">
        <x:v>TODO</x:v>
      </x:c>
      <x:c r="K842" s="15" t="str">
        <x:v>P0</x:v>
      </x:c>
      <x:c r="L842" s="15" t="str">
        <x:v>Done only when evidence is logged, contradiction search is noted, and boundary stamp remains non-canon unless ratified</x:v>
      </x:c>
      <x:c r="M842" s="15" t="str">
        <x:v>candidate / staging-only / not canon / not deployed / authority none</x:v>
      </x:c>
      <x:c r="N842" s="15" t="str">
        <x:v>Dispatch to Forgekid: complete Aetherforge UX x Notion; return deltas only, receipts required.</x:v>
      </x:c>
      <x:c r="O842" s="15" t="str">
        <x:v>AF-KG-H11-S01</x:v>
      </x:c>
      <x:c r="P842" s="15" t="str">
        <x:v>Unverified</x:v>
      </x:c>
      <x:c r="Q842" s="15" t="str">
        <x:v>Not checked</x:v>
      </x:c>
      <x:c r="R842" s="15" t="str"/>
      <x:c r="S842" s="15" t="str"/>
      <x:c r="T842" s="15" t="str">
        <x:v>Log first source path or blocker</x:v>
      </x:c>
      <x:c r="U842" s="12" t="str">
        <x:f>IF(OR(P842="Unverified",Q842="Not checked"),"BLOCKED_PENDING_RECEIPT","READY_FOR_REVIEW")</x:f>
        <x:v>BLOCKED_PENDING_RECEIPT</x:v>
      </x:c>
      <x:c r="V842" s="12" t="str">
        <x:f>IF(J842="DONE","RETURNED",IF(U842="BLOCKED_PENDING_RECEIPT","SOURCE_TOUCH_REQUIRED","IN_PROGRESS"))</x:f>
        <x:v>SOURCE_TOUCH_REQUIRED</x:v>
      </x:c>
      <x:c r="W842" s="12" t="str">
        <x:f>IF(P842="Unverified","missing_receipt","receipt_logged")</x:f>
        <x:v>missing_receipt</x:v>
      </x:c>
      <x:c r="X842" s="12" t="str">
        <x:f>IF(Q842="Not checked","raw_status_missing","raw_status_logged")</x:f>
        <x:v>raw_status_missing</x:v>
      </x:c>
      <x:c r="Y842" s="12" t="str">
        <x:f>IF(U842="BLOCKED_PENDING_RECEIPT","Log source path or blocker; do not promote","Route to review lane")</x:f>
        <x:v>Log source path or blocker; do not promote</x:v>
      </x:c>
      <x:c r="Z842" s="12" t="str">
        <x:f>IF(K842="P0","Primary seat + Hashlight/Lucerna","Seat lane")</x:f>
        <x:v>Primary seat + Hashlight/Lucerna</x:v>
      </x:c>
      <x:c r="AA842" s="12" t="str">
        <x:f>IF(R842="","no_claim_delta","claim_delta_present")</x:f>
        <x:v>no_claim_delta</x:v>
      </x:c>
      <x:c r="AB842" s="12" t="str">
        <x:f>IF(S842="","no_contradiction_delta","contradiction_delta_present")</x:f>
        <x:v>no_contradiction_delta</x:v>
      </x:c>
      <x:c r="AC842" s="12" t="str">
        <x:f>IF(OR(ISNUMBER(SEARCH("hacker",LOWER(F842&amp;" "&amp;H842&amp;" "&amp;I842&amp;" "&amp;M842&amp;" "&amp;N842&amp;" "&amp;T842))),ISNUMBER(SEARCH("hacking",LOWER(F842&amp;" "&amp;H842&amp;" "&amp;I842&amp;" "&amp;M842&amp;" "&amp;N842&amp;" "&amp;T842))),ISNUMBER(SEARCH("bank",LOWER(F842&amp;" "&amp;H842&amp;" "&amp;I842&amp;" "&amp;M842&amp;" "&amp;N842&amp;" "&amp;T842))),ISNUMBER(SEARCH("banking",LOWER(F842&amp;" "&amp;H842&amp;" "&amp;I842&amp;" "&amp;M842&amp;" "&amp;N842&amp;" "&amp;T842)))),"PRIVATE_QUARANTINE",IF(OR(ISNUMBER(SEARCH("treasury",LOWER(F842&amp;" "&amp;H842&amp;" "&amp;I842&amp;" "&amp;M842&amp;" "&amp;N842&amp;" "&amp;T842))),ISNUMBER(SEARCH("debt",LOWER(F842&amp;" "&amp;H842&amp;" "&amp;I842&amp;" "&amp;M842&amp;" "&amp;N842&amp;" "&amp;T842))),ISNUMBER(SEARCH("bond",LOWER(F842&amp;" "&amp;H842&amp;" "&amp;I842&amp;" "&amp;M842&amp;" "&amp;N842&amp;" "&amp;T842))),ISNUMBER(SEARCH("transaction",LOWER(F842&amp;" "&amp;H842&amp;" "&amp;I842&amp;" "&amp;M842&amp;" "&amp;N842&amp;" "&amp;T842)))),"PRIVATE_REVIEW","PUBLIC_CANDIDATE"))</x:f>
        <x:v>PUBLIC_CANDIDATE</x:v>
      </x:c>
      <x:c r="AD842" s="12" t="str">
        <x:f>IF(AC842="PRIVATE_QUARANTINE","hacker_or_bank_trigger",IF(AC842="PRIVATE_REVIEW","finance_risk_trigger","none"))</x:f>
        <x:v>none</x:v>
      </x:c>
      <x:c r="AE842" s="12" t="str">
        <x:f>IF(AC842="PUBLIC_CANDIDATE","prepare_public_github_candidate",IF(AC842="PRIVATE_REVIEW","hold_for_private_review","quarantine_private_do_not_publish"))</x:f>
        <x:v>prepare_public_github_candidate</x:v>
      </x:c>
      <x:c r="AF842" s="12" t="str">
        <x:f>IF(AC842="PUBLIC_CANDIDATE","TIDELOCK + Lucerna",IF(AC842="PRIVATE_REVIEW","AtlasBrain + Lucerna","TIDELOCK + Lucerna + Human-root"))</x:f>
        <x:v>TIDELOCK + Lucerna</x:v>
      </x:c>
      <x:c r="AG842" s="12" t="str">
        <x:f>IF(AND(AC842="PUBLIC_CANDIDATE",U842&lt;&gt;"BLOCKED_PENDING_RECEIPT"),"READY_AFTER_RECEIPT","NOT_READY")</x:f>
        <x:v>NOT_READY</x:v>
      </x:c>
      <x:c r="AH842" s="12" t="str">
        <x:f>IF(AC842="PUBLIC_CANDIDATE","none",AD842)</x:f>
        <x:v>none</x:v>
      </x:c>
      <x:c r="AI842" s="12" t="str">
        <x:f>IF(AC842="PUBLIC_CANDIDATE","archive/public_candidates/"&amp;A842,"private_quarantine/"&amp;A842)</x:f>
        <x:v>archive/public_candidates/SWARM-06-H11-S01</x:v>
      </x:c>
      <x:c r="AJ842" s="12" t="str">
        <x:f>IF(AC842="PUBLIC_CANDIDATE","public by default; still not canon","private/hold; do not publish")</x:f>
        <x:v>public by default; still not canon</x:v>
      </x:c>
      <x:c r="AK842" s="12" t="str">
        <x:f>IF(AE842="prepare_public_github_candidate","add receipt/status then mirror","resolve blocker before any public GitHub action")</x:f>
        <x:v>add receipt/status then mirror</x:v>
      </x:c>
    </x:row>
    <x:row r="843">
      <x:c r="A843" s="15" t="str">
        <x:v>SWARM-06-H11-S02</x:v>
      </x:c>
      <x:c r="B843" s="15" t="str">
        <x:v>Forgekid</x:v>
      </x:c>
      <x:c r="C843" s="15" t="str">
        <x:v>Aetherforge UX builder</x:v>
      </x:c>
      <x:c r="D843" s="15" t="str">
        <x:v>Aetherforge UX</x:v>
      </x:c>
      <x:c r="E843" s="15" t="str">
        <x:v>Drive</x:v>
      </x:c>
      <x:c r="F843" s="15" t="str">
        <x:v>Design quest card for Drive — Forgekid</x:v>
      </x:c>
      <x:c r="G843" s="15" t="str">
        <x:v>quest cards / task cards / board affordances</x:v>
      </x:c>
      <x:c r="H843" s="15" t="str">
        <x:v>source path + receipt + raw/export status + claim/edge/risk delta</x:v>
      </x:c>
      <x:c r="I843" s="15" t="str">
        <x:v>packet/SWARM-06-H11-S02</x:v>
      </x:c>
      <x:c r="J843" s="15" t="str">
        <x:v>TODO</x:v>
      </x:c>
      <x:c r="K843" s="15" t="str">
        <x:v>P0</x:v>
      </x:c>
      <x:c r="L843" s="15" t="str">
        <x:v>Done only when evidence is logged, contradiction search is noted, and boundary stamp remains non-canon unless ratified</x:v>
      </x:c>
      <x:c r="M843" s="15" t="str">
        <x:v>candidate / staging-only / not canon / not deployed / authority none</x:v>
      </x:c>
      <x:c r="N843" s="15" t="str">
        <x:v>Dispatch to Forgekid: complete Aetherforge UX x Drive; return deltas only, receipts required.</x:v>
      </x:c>
      <x:c r="O843" s="15" t="str">
        <x:v>AF-KG-H11-S02</x:v>
      </x:c>
      <x:c r="P843" s="15" t="str">
        <x:v>Unverified</x:v>
      </x:c>
      <x:c r="Q843" s="15" t="str">
        <x:v>Not checked</x:v>
      </x:c>
      <x:c r="R843" s="15" t="str"/>
      <x:c r="S843" s="15" t="str"/>
      <x:c r="T843" s="15" t="str">
        <x:v>Log first source path or blocker</x:v>
      </x:c>
      <x:c r="U843" s="12" t="str">
        <x:f>IF(OR(P843="Unverified",Q843="Not checked"),"BLOCKED_PENDING_RECEIPT","READY_FOR_REVIEW")</x:f>
        <x:v>BLOCKED_PENDING_RECEIPT</x:v>
      </x:c>
      <x:c r="V843" s="12" t="str">
        <x:f>IF(J843="DONE","RETURNED",IF(U843="BLOCKED_PENDING_RECEIPT","SOURCE_TOUCH_REQUIRED","IN_PROGRESS"))</x:f>
        <x:v>SOURCE_TOUCH_REQUIRED</x:v>
      </x:c>
      <x:c r="W843" s="12" t="str">
        <x:f>IF(P843="Unverified","missing_receipt","receipt_logged")</x:f>
        <x:v>missing_receipt</x:v>
      </x:c>
      <x:c r="X843" s="12" t="str">
        <x:f>IF(Q843="Not checked","raw_status_missing","raw_status_logged")</x:f>
        <x:v>raw_status_missing</x:v>
      </x:c>
      <x:c r="Y843" s="12" t="str">
        <x:f>IF(U843="BLOCKED_PENDING_RECEIPT","Log source path or blocker; do not promote","Route to review lane")</x:f>
        <x:v>Log source path or blocker; do not promote</x:v>
      </x:c>
      <x:c r="Z843" s="12" t="str">
        <x:f>IF(K843="P0","Primary seat + Hashlight/Lucerna","Seat lane")</x:f>
        <x:v>Primary seat + Hashlight/Lucerna</x:v>
      </x:c>
      <x:c r="AA843" s="12" t="str">
        <x:f>IF(R843="","no_claim_delta","claim_delta_present")</x:f>
        <x:v>no_claim_delta</x:v>
      </x:c>
      <x:c r="AB843" s="12" t="str">
        <x:f>IF(S843="","no_contradiction_delta","contradiction_delta_present")</x:f>
        <x:v>no_contradiction_delta</x:v>
      </x:c>
      <x:c r="AC843" s="12" t="str">
        <x:f>IF(OR(ISNUMBER(SEARCH("hacker",LOWER(F843&amp;" "&amp;H843&amp;" "&amp;I843&amp;" "&amp;M843&amp;" "&amp;N843&amp;" "&amp;T843))),ISNUMBER(SEARCH("hacking",LOWER(F843&amp;" "&amp;H843&amp;" "&amp;I843&amp;" "&amp;M843&amp;" "&amp;N843&amp;" "&amp;T843))),ISNUMBER(SEARCH("bank",LOWER(F843&amp;" "&amp;H843&amp;" "&amp;I843&amp;" "&amp;M843&amp;" "&amp;N843&amp;" "&amp;T843))),ISNUMBER(SEARCH("banking",LOWER(F843&amp;" "&amp;H843&amp;" "&amp;I843&amp;" "&amp;M843&amp;" "&amp;N843&amp;" "&amp;T843)))),"PRIVATE_QUARANTINE",IF(OR(ISNUMBER(SEARCH("treasury",LOWER(F843&amp;" "&amp;H843&amp;" "&amp;I843&amp;" "&amp;M843&amp;" "&amp;N843&amp;" "&amp;T843))),ISNUMBER(SEARCH("debt",LOWER(F843&amp;" "&amp;H843&amp;" "&amp;I843&amp;" "&amp;M843&amp;" "&amp;N843&amp;" "&amp;T843))),ISNUMBER(SEARCH("bond",LOWER(F843&amp;" "&amp;H843&amp;" "&amp;I843&amp;" "&amp;M843&amp;" "&amp;N843&amp;" "&amp;T843))),ISNUMBER(SEARCH("transaction",LOWER(F843&amp;" "&amp;H843&amp;" "&amp;I843&amp;" "&amp;M843&amp;" "&amp;N843&amp;" "&amp;T843)))),"PRIVATE_REVIEW","PUBLIC_CANDIDATE"))</x:f>
        <x:v>PUBLIC_CANDIDATE</x:v>
      </x:c>
      <x:c r="AD843" s="12" t="str">
        <x:f>IF(AC843="PRIVATE_QUARANTINE","hacker_or_bank_trigger",IF(AC843="PRIVATE_REVIEW","finance_risk_trigger","none"))</x:f>
        <x:v>none</x:v>
      </x:c>
      <x:c r="AE843" s="12" t="str">
        <x:f>IF(AC843="PUBLIC_CANDIDATE","prepare_public_github_candidate",IF(AC843="PRIVATE_REVIEW","hold_for_private_review","quarantine_private_do_not_publish"))</x:f>
        <x:v>prepare_public_github_candidate</x:v>
      </x:c>
      <x:c r="AF843" s="12" t="str">
        <x:f>IF(AC843="PUBLIC_CANDIDATE","TIDELOCK + Lucerna",IF(AC843="PRIVATE_REVIEW","AtlasBrain + Lucerna","TIDELOCK + Lucerna + Human-root"))</x:f>
        <x:v>TIDELOCK + Lucerna</x:v>
      </x:c>
      <x:c r="AG843" s="12" t="str">
        <x:f>IF(AND(AC843="PUBLIC_CANDIDATE",U843&lt;&gt;"BLOCKED_PENDING_RECEIPT"),"READY_AFTER_RECEIPT","NOT_READY")</x:f>
        <x:v>NOT_READY</x:v>
      </x:c>
      <x:c r="AH843" s="12" t="str">
        <x:f>IF(AC843="PUBLIC_CANDIDATE","none",AD843)</x:f>
        <x:v>none</x:v>
      </x:c>
      <x:c r="AI843" s="12" t="str">
        <x:f>IF(AC843="PUBLIC_CANDIDATE","archive/public_candidates/"&amp;A843,"private_quarantine/"&amp;A843)</x:f>
        <x:v>archive/public_candidates/SWARM-06-H11-S02</x:v>
      </x:c>
      <x:c r="AJ843" s="12" t="str">
        <x:f>IF(AC843="PUBLIC_CANDIDATE","public by default; still not canon","private/hold; do not publish")</x:f>
        <x:v>public by default; still not canon</x:v>
      </x:c>
      <x:c r="AK843" s="12" t="str">
        <x:f>IF(AE843="prepare_public_github_candidate","add receipt/status then mirror","resolve blocker before any public GitHub action")</x:f>
        <x:v>add receipt/status then mirror</x:v>
      </x:c>
    </x:row>
    <x:row r="844">
      <x:c r="A844" s="15" t="str">
        <x:v>SWARM-06-H11-S03</x:v>
      </x:c>
      <x:c r="B844" s="15" t="str">
        <x:v>Forgekid</x:v>
      </x:c>
      <x:c r="C844" s="15" t="str">
        <x:v>Aetherforge UX builder</x:v>
      </x:c>
      <x:c r="D844" s="15" t="str">
        <x:v>Aetherforge UX</x:v>
      </x:c>
      <x:c r="E844" s="15" t="str">
        <x:v>GitHub</x:v>
      </x:c>
      <x:c r="F844" s="15" t="str">
        <x:v>Design quest card for GitHub — Forgekid</x:v>
      </x:c>
      <x:c r="G844" s="15" t="str">
        <x:v>quest cards / task cards / board affordances</x:v>
      </x:c>
      <x:c r="H844" s="15" t="str">
        <x:v>source path + receipt + raw/export status + claim/edge/risk delta</x:v>
      </x:c>
      <x:c r="I844" s="15" t="str">
        <x:v>packet/SWARM-06-H11-S03</x:v>
      </x:c>
      <x:c r="J844" s="15" t="str">
        <x:v>TODO</x:v>
      </x:c>
      <x:c r="K844" s="15" t="str">
        <x:v>P0</x:v>
      </x:c>
      <x:c r="L844" s="15" t="str">
        <x:v>Done only when evidence is logged, contradiction search is noted, and boundary stamp remains non-canon unless ratified</x:v>
      </x:c>
      <x:c r="M844" s="15" t="str">
        <x:v>candidate / staging-only / not canon / not deployed / authority none</x:v>
      </x:c>
      <x:c r="N844" s="15" t="str">
        <x:v>Dispatch to Forgekid: complete Aetherforge UX x GitHub; return deltas only, receipts required.</x:v>
      </x:c>
      <x:c r="O844" s="15" t="str">
        <x:v>AF-KG-H11-S03</x:v>
      </x:c>
      <x:c r="P844" s="15" t="str">
        <x:v>Unverified</x:v>
      </x:c>
      <x:c r="Q844" s="15" t="str">
        <x:v>Not checked</x:v>
      </x:c>
      <x:c r="R844" s="15" t="str"/>
      <x:c r="S844" s="15" t="str"/>
      <x:c r="T844" s="15" t="str">
        <x:v>Log first source path or blocker</x:v>
      </x:c>
      <x:c r="U844" s="12" t="str">
        <x:f>IF(OR(P844="Unverified",Q844="Not checked"),"BLOCKED_PENDING_RECEIPT","READY_FOR_REVIEW")</x:f>
        <x:v>BLOCKED_PENDING_RECEIPT</x:v>
      </x:c>
      <x:c r="V844" s="12" t="str">
        <x:f>IF(J844="DONE","RETURNED",IF(U844="BLOCKED_PENDING_RECEIPT","SOURCE_TOUCH_REQUIRED","IN_PROGRESS"))</x:f>
        <x:v>SOURCE_TOUCH_REQUIRED</x:v>
      </x:c>
      <x:c r="W844" s="12" t="str">
        <x:f>IF(P844="Unverified","missing_receipt","receipt_logged")</x:f>
        <x:v>missing_receipt</x:v>
      </x:c>
      <x:c r="X844" s="12" t="str">
        <x:f>IF(Q844="Not checked","raw_status_missing","raw_status_logged")</x:f>
        <x:v>raw_status_missing</x:v>
      </x:c>
      <x:c r="Y844" s="12" t="str">
        <x:f>IF(U844="BLOCKED_PENDING_RECEIPT","Log source path or blocker; do not promote","Route to review lane")</x:f>
        <x:v>Log source path or blocker; do not promote</x:v>
      </x:c>
      <x:c r="Z844" s="12" t="str">
        <x:f>IF(K844="P0","Primary seat + Hashlight/Lucerna","Seat lane")</x:f>
        <x:v>Primary seat + Hashlight/Lucerna</x:v>
      </x:c>
      <x:c r="AA844" s="12" t="str">
        <x:f>IF(R844="","no_claim_delta","claim_delta_present")</x:f>
        <x:v>no_claim_delta</x:v>
      </x:c>
      <x:c r="AB844" s="12" t="str">
        <x:f>IF(S844="","no_contradiction_delta","contradiction_delta_present")</x:f>
        <x:v>no_contradiction_delta</x:v>
      </x:c>
      <x:c r="AC844" s="12" t="str">
        <x:f>IF(OR(ISNUMBER(SEARCH("hacker",LOWER(F844&amp;" "&amp;H844&amp;" "&amp;I844&amp;" "&amp;M844&amp;" "&amp;N844&amp;" "&amp;T844))),ISNUMBER(SEARCH("hacking",LOWER(F844&amp;" "&amp;H844&amp;" "&amp;I844&amp;" "&amp;M844&amp;" "&amp;N844&amp;" "&amp;T844))),ISNUMBER(SEARCH("bank",LOWER(F844&amp;" "&amp;H844&amp;" "&amp;I844&amp;" "&amp;M844&amp;" "&amp;N844&amp;" "&amp;T844))),ISNUMBER(SEARCH("banking",LOWER(F844&amp;" "&amp;H844&amp;" "&amp;I844&amp;" "&amp;M844&amp;" "&amp;N844&amp;" "&amp;T844)))),"PRIVATE_QUARANTINE",IF(OR(ISNUMBER(SEARCH("treasury",LOWER(F844&amp;" "&amp;H844&amp;" "&amp;I844&amp;" "&amp;M844&amp;" "&amp;N844&amp;" "&amp;T844))),ISNUMBER(SEARCH("debt",LOWER(F844&amp;" "&amp;H844&amp;" "&amp;I844&amp;" "&amp;M844&amp;" "&amp;N844&amp;" "&amp;T844))),ISNUMBER(SEARCH("bond",LOWER(F844&amp;" "&amp;H844&amp;" "&amp;I844&amp;" "&amp;M844&amp;" "&amp;N844&amp;" "&amp;T844))),ISNUMBER(SEARCH("transaction",LOWER(F844&amp;" "&amp;H844&amp;" "&amp;I844&amp;" "&amp;M844&amp;" "&amp;N844&amp;" "&amp;T844)))),"PRIVATE_REVIEW","PUBLIC_CANDIDATE"))</x:f>
        <x:v>PUBLIC_CANDIDATE</x:v>
      </x:c>
      <x:c r="AD844" s="12" t="str">
        <x:f>IF(AC844="PRIVATE_QUARANTINE","hacker_or_bank_trigger",IF(AC844="PRIVATE_REVIEW","finance_risk_trigger","none"))</x:f>
        <x:v>none</x:v>
      </x:c>
      <x:c r="AE844" s="12" t="str">
        <x:f>IF(AC844="PUBLIC_CANDIDATE","prepare_public_github_candidate",IF(AC844="PRIVATE_REVIEW","hold_for_private_review","quarantine_private_do_not_publish"))</x:f>
        <x:v>prepare_public_github_candidate</x:v>
      </x:c>
      <x:c r="AF844" s="12" t="str">
        <x:f>IF(AC844="PUBLIC_CANDIDATE","TIDELOCK + Lucerna",IF(AC844="PRIVATE_REVIEW","AtlasBrain + Lucerna","TIDELOCK + Lucerna + Human-root"))</x:f>
        <x:v>TIDELOCK + Lucerna</x:v>
      </x:c>
      <x:c r="AG844" s="12" t="str">
        <x:f>IF(AND(AC844="PUBLIC_CANDIDATE",U844&lt;&gt;"BLOCKED_PENDING_RECEIPT"),"READY_AFTER_RECEIPT","NOT_READY")</x:f>
        <x:v>NOT_READY</x:v>
      </x:c>
      <x:c r="AH844" s="12" t="str">
        <x:f>IF(AC844="PUBLIC_CANDIDATE","none",AD844)</x:f>
        <x:v>none</x:v>
      </x:c>
      <x:c r="AI844" s="12" t="str">
        <x:f>IF(AC844="PUBLIC_CANDIDATE","archive/public_candidates/"&amp;A844,"private_quarantine/"&amp;A844)</x:f>
        <x:v>archive/public_candidates/SWARM-06-H11-S03</x:v>
      </x:c>
      <x:c r="AJ844" s="12" t="str">
        <x:f>IF(AC844="PUBLIC_CANDIDATE","public by default; still not canon","private/hold; do not publish")</x:f>
        <x:v>public by default; still not canon</x:v>
      </x:c>
      <x:c r="AK844" s="12" t="str">
        <x:f>IF(AE844="prepare_public_github_candidate","add receipt/status then mirror","resolve blocker before any public GitHub action")</x:f>
        <x:v>add receipt/status then mirror</x:v>
      </x:c>
    </x:row>
    <x:row r="845">
      <x:c r="A845" s="15" t="str">
        <x:v>SWARM-06-H11-S04</x:v>
      </x:c>
      <x:c r="B845" s="15" t="str">
        <x:v>Forgekid</x:v>
      </x:c>
      <x:c r="C845" s="15" t="str">
        <x:v>Aetherforge UX builder</x:v>
      </x:c>
      <x:c r="D845" s="15" t="str">
        <x:v>Aetherforge UX</x:v>
      </x:c>
      <x:c r="E845" s="15" t="str">
        <x:v>Gamma</x:v>
      </x:c>
      <x:c r="F845" s="15" t="str">
        <x:v>Design quest card for Gamma — Forgekid</x:v>
      </x:c>
      <x:c r="G845" s="15" t="str">
        <x:v>quest cards / task cards / board affordances</x:v>
      </x:c>
      <x:c r="H845" s="15" t="str">
        <x:v>source path + receipt + raw/export status + claim/edge/risk delta</x:v>
      </x:c>
      <x:c r="I845" s="15" t="str">
        <x:v>packet/SWARM-06-H11-S04</x:v>
      </x:c>
      <x:c r="J845" s="15" t="str">
        <x:v>TODO</x:v>
      </x:c>
      <x:c r="K845" s="15" t="str">
        <x:v>P1</x:v>
      </x:c>
      <x:c r="L845" s="15" t="str">
        <x:v>Done only when evidence is logged, contradiction search is noted, and boundary stamp remains non-canon unless ratified</x:v>
      </x:c>
      <x:c r="M845" s="15" t="str">
        <x:v>candidate / staging-only / not canon / not deployed / authority none</x:v>
      </x:c>
      <x:c r="N845" s="15" t="str">
        <x:v>Dispatch to Forgekid: complete Aetherforge UX x Gamma; return deltas only, receipts required.</x:v>
      </x:c>
      <x:c r="O845" s="15" t="str">
        <x:v>AF-KG-H11-S04</x:v>
      </x:c>
      <x:c r="P845" s="15" t="str">
        <x:v>Unverified</x:v>
      </x:c>
      <x:c r="Q845" s="15" t="str">
        <x:v>Not checked</x:v>
      </x:c>
      <x:c r="R845" s="15" t="str"/>
      <x:c r="S845" s="15" t="str"/>
      <x:c r="T845" s="15" t="str">
        <x:v>Log first source path or blocker</x:v>
      </x:c>
      <x:c r="U845" s="12" t="str">
        <x:f>IF(OR(P845="Unverified",Q845="Not checked"),"BLOCKED_PENDING_RECEIPT","READY_FOR_REVIEW")</x:f>
        <x:v>BLOCKED_PENDING_RECEIPT</x:v>
      </x:c>
      <x:c r="V845" s="12" t="str">
        <x:f>IF(J845="DONE","RETURNED",IF(U845="BLOCKED_PENDING_RECEIPT","SOURCE_TOUCH_REQUIRED","IN_PROGRESS"))</x:f>
        <x:v>SOURCE_TOUCH_REQUIRED</x:v>
      </x:c>
      <x:c r="W845" s="12" t="str">
        <x:f>IF(P845="Unverified","missing_receipt","receipt_logged")</x:f>
        <x:v>missing_receipt</x:v>
      </x:c>
      <x:c r="X845" s="12" t="str">
        <x:f>IF(Q845="Not checked","raw_status_missing","raw_status_logged")</x:f>
        <x:v>raw_status_missing</x:v>
      </x:c>
      <x:c r="Y845" s="12" t="str">
        <x:f>IF(U845="BLOCKED_PENDING_RECEIPT","Log source path or blocker; do not promote","Route to review lane")</x:f>
        <x:v>Log source path or blocker; do not promote</x:v>
      </x:c>
      <x:c r="Z845" s="12" t="str">
        <x:f>IF(K845="P0","Primary seat + Hashlight/Lucerna","Seat lane")</x:f>
        <x:v>Seat lane</x:v>
      </x:c>
      <x:c r="AA845" s="12" t="str">
        <x:f>IF(R845="","no_claim_delta","claim_delta_present")</x:f>
        <x:v>no_claim_delta</x:v>
      </x:c>
      <x:c r="AB845" s="12" t="str">
        <x:f>IF(S845="","no_contradiction_delta","contradiction_delta_present")</x:f>
        <x:v>no_contradiction_delta</x:v>
      </x:c>
      <x:c r="AC845" s="12" t="str">
        <x:f>IF(OR(ISNUMBER(SEARCH("hacker",LOWER(F845&amp;" "&amp;H845&amp;" "&amp;I845&amp;" "&amp;M845&amp;" "&amp;N845&amp;" "&amp;T845))),ISNUMBER(SEARCH("hacking",LOWER(F845&amp;" "&amp;H845&amp;" "&amp;I845&amp;" "&amp;M845&amp;" "&amp;N845&amp;" "&amp;T845))),ISNUMBER(SEARCH("bank",LOWER(F845&amp;" "&amp;H845&amp;" "&amp;I845&amp;" "&amp;M845&amp;" "&amp;N845&amp;" "&amp;T845))),ISNUMBER(SEARCH("banking",LOWER(F845&amp;" "&amp;H845&amp;" "&amp;I845&amp;" "&amp;M845&amp;" "&amp;N845&amp;" "&amp;T845)))),"PRIVATE_QUARANTINE",IF(OR(ISNUMBER(SEARCH("treasury",LOWER(F845&amp;" "&amp;H845&amp;" "&amp;I845&amp;" "&amp;M845&amp;" "&amp;N845&amp;" "&amp;T845))),ISNUMBER(SEARCH("debt",LOWER(F845&amp;" "&amp;H845&amp;" "&amp;I845&amp;" "&amp;M845&amp;" "&amp;N845&amp;" "&amp;T845))),ISNUMBER(SEARCH("bond",LOWER(F845&amp;" "&amp;H845&amp;" "&amp;I845&amp;" "&amp;M845&amp;" "&amp;N845&amp;" "&amp;T845))),ISNUMBER(SEARCH("transaction",LOWER(F845&amp;" "&amp;H845&amp;" "&amp;I845&amp;" "&amp;M845&amp;" "&amp;N845&amp;" "&amp;T845)))),"PRIVATE_REVIEW","PUBLIC_CANDIDATE"))</x:f>
        <x:v>PUBLIC_CANDIDATE</x:v>
      </x:c>
      <x:c r="AD845" s="12" t="str">
        <x:f>IF(AC845="PRIVATE_QUARANTINE","hacker_or_bank_trigger",IF(AC845="PRIVATE_REVIEW","finance_risk_trigger","none"))</x:f>
        <x:v>none</x:v>
      </x:c>
      <x:c r="AE845" s="12" t="str">
        <x:f>IF(AC845="PUBLIC_CANDIDATE","prepare_public_github_candidate",IF(AC845="PRIVATE_REVIEW","hold_for_private_review","quarantine_private_do_not_publish"))</x:f>
        <x:v>prepare_public_github_candidate</x:v>
      </x:c>
      <x:c r="AF845" s="12" t="str">
        <x:f>IF(AC845="PUBLIC_CANDIDATE","TIDELOCK + Lucerna",IF(AC845="PRIVATE_REVIEW","AtlasBrain + Lucerna","TIDELOCK + Lucerna + Human-root"))</x:f>
        <x:v>TIDELOCK + Lucerna</x:v>
      </x:c>
      <x:c r="AG845" s="12" t="str">
        <x:f>IF(AND(AC845="PUBLIC_CANDIDATE",U845&lt;&gt;"BLOCKED_PENDING_RECEIPT"),"READY_AFTER_RECEIPT","NOT_READY")</x:f>
        <x:v>NOT_READY</x:v>
      </x:c>
      <x:c r="AH845" s="12" t="str">
        <x:f>IF(AC845="PUBLIC_CANDIDATE","none",AD845)</x:f>
        <x:v>none</x:v>
      </x:c>
      <x:c r="AI845" s="12" t="str">
        <x:f>IF(AC845="PUBLIC_CANDIDATE","archive/public_candidates/"&amp;A845,"private_quarantine/"&amp;A845)</x:f>
        <x:v>archive/public_candidates/SWARM-06-H11-S04</x:v>
      </x:c>
      <x:c r="AJ845" s="12" t="str">
        <x:f>IF(AC845="PUBLIC_CANDIDATE","public by default; still not canon","private/hold; do not publish")</x:f>
        <x:v>public by default; still not canon</x:v>
      </x:c>
      <x:c r="AK845" s="12" t="str">
        <x:f>IF(AE845="prepare_public_github_candidate","add receipt/status then mirror","resolve blocker before any public GitHub action")</x:f>
        <x:v>add receipt/status then mirror</x:v>
      </x:c>
    </x:row>
    <x:row r="846">
      <x:c r="A846" s="15" t="str">
        <x:v>SWARM-06-H11-S05</x:v>
      </x:c>
      <x:c r="B846" s="15" t="str">
        <x:v>Forgekid</x:v>
      </x:c>
      <x:c r="C846" s="15" t="str">
        <x:v>Aetherforge UX builder</x:v>
      </x:c>
      <x:c r="D846" s="15" t="str">
        <x:v>Aetherforge UX</x:v>
      </x:c>
      <x:c r="E846" s="15" t="str">
        <x:v>Chat</x:v>
      </x:c>
      <x:c r="F846" s="15" t="str">
        <x:v>Design quest card for Chat — Forgekid</x:v>
      </x:c>
      <x:c r="G846" s="15" t="str">
        <x:v>quest cards / task cards / board affordances</x:v>
      </x:c>
      <x:c r="H846" s="15" t="str">
        <x:v>source path + receipt + raw/export status + claim/edge/risk delta</x:v>
      </x:c>
      <x:c r="I846" s="15" t="str">
        <x:v>packet/SWARM-06-H11-S05</x:v>
      </x:c>
      <x:c r="J846" s="15" t="str">
        <x:v>TODO</x:v>
      </x:c>
      <x:c r="K846" s="15" t="str">
        <x:v>P1</x:v>
      </x:c>
      <x:c r="L846" s="15" t="str">
        <x:v>Done only when evidence is logged, contradiction search is noted, and boundary stamp remains non-canon unless ratified</x:v>
      </x:c>
      <x:c r="M846" s="15" t="str">
        <x:v>candidate / staging-only / not canon / not deployed / authority none</x:v>
      </x:c>
      <x:c r="N846" s="15" t="str">
        <x:v>Dispatch to Forgekid: complete Aetherforge UX x Chat; return deltas only, receipts required.</x:v>
      </x:c>
      <x:c r="O846" s="15" t="str">
        <x:v>AF-KG-H11-S05</x:v>
      </x:c>
      <x:c r="P846" s="15" t="str">
        <x:v>Unverified</x:v>
      </x:c>
      <x:c r="Q846" s="15" t="str">
        <x:v>Not checked</x:v>
      </x:c>
      <x:c r="R846" s="15" t="str"/>
      <x:c r="S846" s="15" t="str"/>
      <x:c r="T846" s="15" t="str">
        <x:v>Log first source path or blocker</x:v>
      </x:c>
      <x:c r="U846" s="12" t="str">
        <x:f>IF(OR(P846="Unverified",Q846="Not checked"),"BLOCKED_PENDING_RECEIPT","READY_FOR_REVIEW")</x:f>
        <x:v>BLOCKED_PENDING_RECEIPT</x:v>
      </x:c>
      <x:c r="V846" s="12" t="str">
        <x:f>IF(J846="DONE","RETURNED",IF(U846="BLOCKED_PENDING_RECEIPT","SOURCE_TOUCH_REQUIRED","IN_PROGRESS"))</x:f>
        <x:v>SOURCE_TOUCH_REQUIRED</x:v>
      </x:c>
      <x:c r="W846" s="12" t="str">
        <x:f>IF(P846="Unverified","missing_receipt","receipt_logged")</x:f>
        <x:v>missing_receipt</x:v>
      </x:c>
      <x:c r="X846" s="12" t="str">
        <x:f>IF(Q846="Not checked","raw_status_missing","raw_status_logged")</x:f>
        <x:v>raw_status_missing</x:v>
      </x:c>
      <x:c r="Y846" s="12" t="str">
        <x:f>IF(U846="BLOCKED_PENDING_RECEIPT","Log source path or blocker; do not promote","Route to review lane")</x:f>
        <x:v>Log source path or blocker; do not promote</x:v>
      </x:c>
      <x:c r="Z846" s="12" t="str">
        <x:f>IF(K846="P0","Primary seat + Hashlight/Lucerna","Seat lane")</x:f>
        <x:v>Seat lane</x:v>
      </x:c>
      <x:c r="AA846" s="12" t="str">
        <x:f>IF(R846="","no_claim_delta","claim_delta_present")</x:f>
        <x:v>no_claim_delta</x:v>
      </x:c>
      <x:c r="AB846" s="12" t="str">
        <x:f>IF(S846="","no_contradiction_delta","contradiction_delta_present")</x:f>
        <x:v>no_contradiction_delta</x:v>
      </x:c>
      <x:c r="AC846" s="12" t="str">
        <x:f>IF(OR(ISNUMBER(SEARCH("hacker",LOWER(F846&amp;" "&amp;H846&amp;" "&amp;I846&amp;" "&amp;M846&amp;" "&amp;N846&amp;" "&amp;T846))),ISNUMBER(SEARCH("hacking",LOWER(F846&amp;" "&amp;H846&amp;" "&amp;I846&amp;" "&amp;M846&amp;" "&amp;N846&amp;" "&amp;T846))),ISNUMBER(SEARCH("bank",LOWER(F846&amp;" "&amp;H846&amp;" "&amp;I846&amp;" "&amp;M846&amp;" "&amp;N846&amp;" "&amp;T846))),ISNUMBER(SEARCH("banking",LOWER(F846&amp;" "&amp;H846&amp;" "&amp;I846&amp;" "&amp;M846&amp;" "&amp;N846&amp;" "&amp;T846)))),"PRIVATE_QUARANTINE",IF(OR(ISNUMBER(SEARCH("treasury",LOWER(F846&amp;" "&amp;H846&amp;" "&amp;I846&amp;" "&amp;M846&amp;" "&amp;N846&amp;" "&amp;T846))),ISNUMBER(SEARCH("debt",LOWER(F846&amp;" "&amp;H846&amp;" "&amp;I846&amp;" "&amp;M846&amp;" "&amp;N846&amp;" "&amp;T846))),ISNUMBER(SEARCH("bond",LOWER(F846&amp;" "&amp;H846&amp;" "&amp;I846&amp;" "&amp;M846&amp;" "&amp;N846&amp;" "&amp;T846))),ISNUMBER(SEARCH("transaction",LOWER(F846&amp;" "&amp;H846&amp;" "&amp;I846&amp;" "&amp;M846&amp;" "&amp;N846&amp;" "&amp;T846)))),"PRIVATE_REVIEW","PUBLIC_CANDIDATE"))</x:f>
        <x:v>PUBLIC_CANDIDATE</x:v>
      </x:c>
      <x:c r="AD846" s="12" t="str">
        <x:f>IF(AC846="PRIVATE_QUARANTINE","hacker_or_bank_trigger",IF(AC846="PRIVATE_REVIEW","finance_risk_trigger","none"))</x:f>
        <x:v>none</x:v>
      </x:c>
      <x:c r="AE846" s="12" t="str">
        <x:f>IF(AC846="PUBLIC_CANDIDATE","prepare_public_github_candidate",IF(AC846="PRIVATE_REVIEW","hold_for_private_review","quarantine_private_do_not_publish"))</x:f>
        <x:v>prepare_public_github_candidate</x:v>
      </x:c>
      <x:c r="AF846" s="12" t="str">
        <x:f>IF(AC846="PUBLIC_CANDIDATE","TIDELOCK + Lucerna",IF(AC846="PRIVATE_REVIEW","AtlasBrain + Lucerna","TIDELOCK + Lucerna + Human-root"))</x:f>
        <x:v>TIDELOCK + Lucerna</x:v>
      </x:c>
      <x:c r="AG846" s="12" t="str">
        <x:f>IF(AND(AC846="PUBLIC_CANDIDATE",U846&lt;&gt;"BLOCKED_PENDING_RECEIPT"),"READY_AFTER_RECEIPT","NOT_READY")</x:f>
        <x:v>NOT_READY</x:v>
      </x:c>
      <x:c r="AH846" s="12" t="str">
        <x:f>IF(AC846="PUBLIC_CANDIDATE","none",AD846)</x:f>
        <x:v>none</x:v>
      </x:c>
      <x:c r="AI846" s="12" t="str">
        <x:f>IF(AC846="PUBLIC_CANDIDATE","archive/public_candidates/"&amp;A846,"private_quarantine/"&amp;A846)</x:f>
        <x:v>archive/public_candidates/SWARM-06-H11-S05</x:v>
      </x:c>
      <x:c r="AJ846" s="12" t="str">
        <x:f>IF(AC846="PUBLIC_CANDIDATE","public by default; still not canon","private/hold; do not publish")</x:f>
        <x:v>public by default; still not canon</x:v>
      </x:c>
      <x:c r="AK846" s="12" t="str">
        <x:f>IF(AE846="prepare_public_github_candidate","add receipt/status then mirror","resolve blocker before any public GitHub action")</x:f>
        <x:v>add receipt/status then mirror</x:v>
      </x:c>
    </x:row>
    <x:row r="847">
      <x:c r="A847" s="15" t="str">
        <x:v>SWARM-06-H11-S06</x:v>
      </x:c>
      <x:c r="B847" s="15" t="str">
        <x:v>Forgekid</x:v>
      </x:c>
      <x:c r="C847" s="15" t="str">
        <x:v>Aetherforge UX builder</x:v>
      </x:c>
      <x:c r="D847" s="15" t="str">
        <x:v>Aetherforge UX</x:v>
      </x:c>
      <x:c r="E847" s="15" t="str">
        <x:v>External Web</x:v>
      </x:c>
      <x:c r="F847" s="15" t="str">
        <x:v>Design quest card for External Web — Forgekid</x:v>
      </x:c>
      <x:c r="G847" s="15" t="str">
        <x:v>quest cards / task cards / board affordances</x:v>
      </x:c>
      <x:c r="H847" s="15" t="str">
        <x:v>source path + receipt + raw/export status + claim/edge/risk delta</x:v>
      </x:c>
      <x:c r="I847" s="15" t="str">
        <x:v>packet/SWARM-06-H11-S06</x:v>
      </x:c>
      <x:c r="J847" s="15" t="str">
        <x:v>TODO</x:v>
      </x:c>
      <x:c r="K847" s="15" t="str">
        <x:v>P1</x:v>
      </x:c>
      <x:c r="L847" s="15" t="str">
        <x:v>Done only when evidence is logged, contradiction search is noted, and boundary stamp remains non-canon unless ratified</x:v>
      </x:c>
      <x:c r="M847" s="15" t="str">
        <x:v>candidate / staging-only / not canon / not deployed / authority none</x:v>
      </x:c>
      <x:c r="N847" s="15" t="str">
        <x:v>Dispatch to Forgekid: complete Aetherforge UX x External Web; return deltas only, receipts required.</x:v>
      </x:c>
      <x:c r="O847" s="15" t="str">
        <x:v>AF-KG-H11-S06</x:v>
      </x:c>
      <x:c r="P847" s="15" t="str">
        <x:v>Unverified</x:v>
      </x:c>
      <x:c r="Q847" s="15" t="str">
        <x:v>Not checked</x:v>
      </x:c>
      <x:c r="R847" s="15" t="str"/>
      <x:c r="S847" s="15" t="str"/>
      <x:c r="T847" s="15" t="str">
        <x:v>Log first source path or blocker</x:v>
      </x:c>
      <x:c r="U847" s="12" t="str">
        <x:f>IF(OR(P847="Unverified",Q847="Not checked"),"BLOCKED_PENDING_RECEIPT","READY_FOR_REVIEW")</x:f>
        <x:v>BLOCKED_PENDING_RECEIPT</x:v>
      </x:c>
      <x:c r="V847" s="12" t="str">
        <x:f>IF(J847="DONE","RETURNED",IF(U847="BLOCKED_PENDING_RECEIPT","SOURCE_TOUCH_REQUIRED","IN_PROGRESS"))</x:f>
        <x:v>SOURCE_TOUCH_REQUIRED</x:v>
      </x:c>
      <x:c r="W847" s="12" t="str">
        <x:f>IF(P847="Unverified","missing_receipt","receipt_logged")</x:f>
        <x:v>missing_receipt</x:v>
      </x:c>
      <x:c r="X847" s="12" t="str">
        <x:f>IF(Q847="Not checked","raw_status_missing","raw_status_logged")</x:f>
        <x:v>raw_status_missing</x:v>
      </x:c>
      <x:c r="Y847" s="12" t="str">
        <x:f>IF(U847="BLOCKED_PENDING_RECEIPT","Log source path or blocker; do not promote","Route to review lane")</x:f>
        <x:v>Log source path or blocker; do not promote</x:v>
      </x:c>
      <x:c r="Z847" s="12" t="str">
        <x:f>IF(K847="P0","Primary seat + Hashlight/Lucerna","Seat lane")</x:f>
        <x:v>Seat lane</x:v>
      </x:c>
      <x:c r="AA847" s="12" t="str">
        <x:f>IF(R847="","no_claim_delta","claim_delta_present")</x:f>
        <x:v>no_claim_delta</x:v>
      </x:c>
      <x:c r="AB847" s="12" t="str">
        <x:f>IF(S847="","no_contradiction_delta","contradiction_delta_present")</x:f>
        <x:v>no_contradiction_delta</x:v>
      </x:c>
      <x:c r="AC847" s="12" t="str">
        <x:f>IF(OR(ISNUMBER(SEARCH("hacker",LOWER(F847&amp;" "&amp;H847&amp;" "&amp;I847&amp;" "&amp;M847&amp;" "&amp;N847&amp;" "&amp;T847))),ISNUMBER(SEARCH("hacking",LOWER(F847&amp;" "&amp;H847&amp;" "&amp;I847&amp;" "&amp;M847&amp;" "&amp;N847&amp;" "&amp;T847))),ISNUMBER(SEARCH("bank",LOWER(F847&amp;" "&amp;H847&amp;" "&amp;I847&amp;" "&amp;M847&amp;" "&amp;N847&amp;" "&amp;T847))),ISNUMBER(SEARCH("banking",LOWER(F847&amp;" "&amp;H847&amp;" "&amp;I847&amp;" "&amp;M847&amp;" "&amp;N847&amp;" "&amp;T847)))),"PRIVATE_QUARANTINE",IF(OR(ISNUMBER(SEARCH("treasury",LOWER(F847&amp;" "&amp;H847&amp;" "&amp;I847&amp;" "&amp;M847&amp;" "&amp;N847&amp;" "&amp;T847))),ISNUMBER(SEARCH("debt",LOWER(F847&amp;" "&amp;H847&amp;" "&amp;I847&amp;" "&amp;M847&amp;" "&amp;N847&amp;" "&amp;T847))),ISNUMBER(SEARCH("bond",LOWER(F847&amp;" "&amp;H847&amp;" "&amp;I847&amp;" "&amp;M847&amp;" "&amp;N847&amp;" "&amp;T847))),ISNUMBER(SEARCH("transaction",LOWER(F847&amp;" "&amp;H847&amp;" "&amp;I847&amp;" "&amp;M847&amp;" "&amp;N847&amp;" "&amp;T847)))),"PRIVATE_REVIEW","PUBLIC_CANDIDATE"))</x:f>
        <x:v>PUBLIC_CANDIDATE</x:v>
      </x:c>
      <x:c r="AD847" s="12" t="str">
        <x:f>IF(AC847="PRIVATE_QUARANTINE","hacker_or_bank_trigger",IF(AC847="PRIVATE_REVIEW","finance_risk_trigger","none"))</x:f>
        <x:v>none</x:v>
      </x:c>
      <x:c r="AE847" s="12" t="str">
        <x:f>IF(AC847="PUBLIC_CANDIDATE","prepare_public_github_candidate",IF(AC847="PRIVATE_REVIEW","hold_for_private_review","quarantine_private_do_not_publish"))</x:f>
        <x:v>prepare_public_github_candidate</x:v>
      </x:c>
      <x:c r="AF847" s="12" t="str">
        <x:f>IF(AC847="PUBLIC_CANDIDATE","TIDELOCK + Lucerna",IF(AC847="PRIVATE_REVIEW","AtlasBrain + Lucerna","TIDELOCK + Lucerna + Human-root"))</x:f>
        <x:v>TIDELOCK + Lucerna</x:v>
      </x:c>
      <x:c r="AG847" s="12" t="str">
        <x:f>IF(AND(AC847="PUBLIC_CANDIDATE",U847&lt;&gt;"BLOCKED_PENDING_RECEIPT"),"READY_AFTER_RECEIPT","NOT_READY")</x:f>
        <x:v>NOT_READY</x:v>
      </x:c>
      <x:c r="AH847" s="12" t="str">
        <x:f>IF(AC847="PUBLIC_CANDIDATE","none",AD847)</x:f>
        <x:v>none</x:v>
      </x:c>
      <x:c r="AI847" s="12" t="str">
        <x:f>IF(AC847="PUBLIC_CANDIDATE","archive/public_candidates/"&amp;A847,"private_quarantine/"&amp;A847)</x:f>
        <x:v>archive/public_candidates/SWARM-06-H11-S06</x:v>
      </x:c>
      <x:c r="AJ847" s="12" t="str">
        <x:f>IF(AC847="PUBLIC_CANDIDATE","public by default; still not canon","private/hold; do not publish")</x:f>
        <x:v>public by default; still not canon</x:v>
      </x:c>
      <x:c r="AK847" s="12" t="str">
        <x:f>IF(AE847="prepare_public_github_candidate","add receipt/status then mirror","resolve blocker before any public GitHub action")</x:f>
        <x:v>add receipt/status then mirror</x:v>
      </x:c>
    </x:row>
    <x:row r="848">
      <x:c r="A848" s="15" t="str">
        <x:v>SWARM-06-H11-S07</x:v>
      </x:c>
      <x:c r="B848" s="15" t="str">
        <x:v>Forgekid</x:v>
      </x:c>
      <x:c r="C848" s="15" t="str">
        <x:v>Aetherforge UX builder</x:v>
      </x:c>
      <x:c r="D848" s="15" t="str">
        <x:v>Aetherforge UX</x:v>
      </x:c>
      <x:c r="E848" s="15" t="str">
        <x:v>Planetarium</x:v>
      </x:c>
      <x:c r="F848" s="15" t="str">
        <x:v>Design quest card for Planetarium — Forgekid</x:v>
      </x:c>
      <x:c r="G848" s="15" t="str">
        <x:v>quest cards / task cards / board affordances</x:v>
      </x:c>
      <x:c r="H848" s="15" t="str">
        <x:v>source path + receipt + raw/export status + claim/edge/risk delta</x:v>
      </x:c>
      <x:c r="I848" s="15" t="str">
        <x:v>packet/SWARM-06-H11-S07</x:v>
      </x:c>
      <x:c r="J848" s="15" t="str">
        <x:v>TODO</x:v>
      </x:c>
      <x:c r="K848" s="15" t="str">
        <x:v>P1</x:v>
      </x:c>
      <x:c r="L848" s="15" t="str">
        <x:v>Done only when evidence is logged, contradiction search is noted, and boundary stamp remains non-canon unless ratified</x:v>
      </x:c>
      <x:c r="M848" s="15" t="str">
        <x:v>candidate / staging-only / not canon / not deployed / authority none</x:v>
      </x:c>
      <x:c r="N848" s="15" t="str">
        <x:v>Dispatch to Forgekid: complete Aetherforge UX x Planetarium; return deltas only, receipts required.</x:v>
      </x:c>
      <x:c r="O848" s="15" t="str">
        <x:v>AF-KG-H11-S07</x:v>
      </x:c>
      <x:c r="P848" s="15" t="str">
        <x:v>Unverified</x:v>
      </x:c>
      <x:c r="Q848" s="15" t="str">
        <x:v>Not checked</x:v>
      </x:c>
      <x:c r="R848" s="15" t="str"/>
      <x:c r="S848" s="15" t="str"/>
      <x:c r="T848" s="15" t="str">
        <x:v>Log first source path or blocker</x:v>
      </x:c>
      <x:c r="U848" s="12" t="str">
        <x:f>IF(OR(P848="Unverified",Q848="Not checked"),"BLOCKED_PENDING_RECEIPT","READY_FOR_REVIEW")</x:f>
        <x:v>BLOCKED_PENDING_RECEIPT</x:v>
      </x:c>
      <x:c r="V848" s="12" t="str">
        <x:f>IF(J848="DONE","RETURNED",IF(U848="BLOCKED_PENDING_RECEIPT","SOURCE_TOUCH_REQUIRED","IN_PROGRESS"))</x:f>
        <x:v>SOURCE_TOUCH_REQUIRED</x:v>
      </x:c>
      <x:c r="W848" s="12" t="str">
        <x:f>IF(P848="Unverified","missing_receipt","receipt_logged")</x:f>
        <x:v>missing_receipt</x:v>
      </x:c>
      <x:c r="X848" s="12" t="str">
        <x:f>IF(Q848="Not checked","raw_status_missing","raw_status_logged")</x:f>
        <x:v>raw_status_missing</x:v>
      </x:c>
      <x:c r="Y848" s="12" t="str">
        <x:f>IF(U848="BLOCKED_PENDING_RECEIPT","Log source path or blocker; do not promote","Route to review lane")</x:f>
        <x:v>Log source path or blocker; do not promote</x:v>
      </x:c>
      <x:c r="Z848" s="12" t="str">
        <x:f>IF(K848="P0","Primary seat + Hashlight/Lucerna","Seat lane")</x:f>
        <x:v>Seat lane</x:v>
      </x:c>
      <x:c r="AA848" s="12" t="str">
        <x:f>IF(R848="","no_claim_delta","claim_delta_present")</x:f>
        <x:v>no_claim_delta</x:v>
      </x:c>
      <x:c r="AB848" s="12" t="str">
        <x:f>IF(S848="","no_contradiction_delta","contradiction_delta_present")</x:f>
        <x:v>no_contradiction_delta</x:v>
      </x:c>
      <x:c r="AC848" s="12" t="str">
        <x:f>IF(OR(ISNUMBER(SEARCH("hacker",LOWER(F848&amp;" "&amp;H848&amp;" "&amp;I848&amp;" "&amp;M848&amp;" "&amp;N848&amp;" "&amp;T848))),ISNUMBER(SEARCH("hacking",LOWER(F848&amp;" "&amp;H848&amp;" "&amp;I848&amp;" "&amp;M848&amp;" "&amp;N848&amp;" "&amp;T848))),ISNUMBER(SEARCH("bank",LOWER(F848&amp;" "&amp;H848&amp;" "&amp;I848&amp;" "&amp;M848&amp;" "&amp;N848&amp;" "&amp;T848))),ISNUMBER(SEARCH("banking",LOWER(F848&amp;" "&amp;H848&amp;" "&amp;I848&amp;" "&amp;M848&amp;" "&amp;N848&amp;" "&amp;T848)))),"PRIVATE_QUARANTINE",IF(OR(ISNUMBER(SEARCH("treasury",LOWER(F848&amp;" "&amp;H848&amp;" "&amp;I848&amp;" "&amp;M848&amp;" "&amp;N848&amp;" "&amp;T848))),ISNUMBER(SEARCH("debt",LOWER(F848&amp;" "&amp;H848&amp;" "&amp;I848&amp;" "&amp;M848&amp;" "&amp;N848&amp;" "&amp;T848))),ISNUMBER(SEARCH("bond",LOWER(F848&amp;" "&amp;H848&amp;" "&amp;I848&amp;" "&amp;M848&amp;" "&amp;N848&amp;" "&amp;T848))),ISNUMBER(SEARCH("transaction",LOWER(F848&amp;" "&amp;H848&amp;" "&amp;I848&amp;" "&amp;M848&amp;" "&amp;N848&amp;" "&amp;T848)))),"PRIVATE_REVIEW","PUBLIC_CANDIDATE"))</x:f>
        <x:v>PUBLIC_CANDIDATE</x:v>
      </x:c>
      <x:c r="AD848" s="12" t="str">
        <x:f>IF(AC848="PRIVATE_QUARANTINE","hacker_or_bank_trigger",IF(AC848="PRIVATE_REVIEW","finance_risk_trigger","none"))</x:f>
        <x:v>none</x:v>
      </x:c>
      <x:c r="AE848" s="12" t="str">
        <x:f>IF(AC848="PUBLIC_CANDIDATE","prepare_public_github_candidate",IF(AC848="PRIVATE_REVIEW","hold_for_private_review","quarantine_private_do_not_publish"))</x:f>
        <x:v>prepare_public_github_candidate</x:v>
      </x:c>
      <x:c r="AF848" s="12" t="str">
        <x:f>IF(AC848="PUBLIC_CANDIDATE","TIDELOCK + Lucerna",IF(AC848="PRIVATE_REVIEW","AtlasBrain + Lucerna","TIDELOCK + Lucerna + Human-root"))</x:f>
        <x:v>TIDELOCK + Lucerna</x:v>
      </x:c>
      <x:c r="AG848" s="12" t="str">
        <x:f>IF(AND(AC848="PUBLIC_CANDIDATE",U848&lt;&gt;"BLOCKED_PENDING_RECEIPT"),"READY_AFTER_RECEIPT","NOT_READY")</x:f>
        <x:v>NOT_READY</x:v>
      </x:c>
      <x:c r="AH848" s="12" t="str">
        <x:f>IF(AC848="PUBLIC_CANDIDATE","none",AD848)</x:f>
        <x:v>none</x:v>
      </x:c>
      <x:c r="AI848" s="12" t="str">
        <x:f>IF(AC848="PUBLIC_CANDIDATE","archive/public_candidates/"&amp;A848,"private_quarantine/"&amp;A848)</x:f>
        <x:v>archive/public_candidates/SWARM-06-H11-S07</x:v>
      </x:c>
      <x:c r="AJ848" s="12" t="str">
        <x:f>IF(AC848="PUBLIC_CANDIDATE","public by default; still not canon","private/hold; do not publish")</x:f>
        <x:v>public by default; still not canon</x:v>
      </x:c>
      <x:c r="AK848" s="12" t="str">
        <x:f>IF(AE848="prepare_public_github_candidate","add receipt/status then mirror","resolve blocker before any public GitHub action")</x:f>
        <x:v>add receipt/status then mirror</x:v>
      </x:c>
    </x:row>
    <x:row r="849">
      <x:c r="A849" s="15" t="str">
        <x:v>SWARM-06-H11-S08</x:v>
      </x:c>
      <x:c r="B849" s="15" t="str">
        <x:v>Forgekid</x:v>
      </x:c>
      <x:c r="C849" s="15" t="str">
        <x:v>Aetherforge UX builder</x:v>
      </x:c>
      <x:c r="D849" s="15" t="str">
        <x:v>Aetherforge UX</x:v>
      </x:c>
      <x:c r="E849" s="15" t="str">
        <x:v>Sheldonbrain</x:v>
      </x:c>
      <x:c r="F849" s="15" t="str">
        <x:v>Design quest card for Sheldonbrain — Forgekid</x:v>
      </x:c>
      <x:c r="G849" s="15" t="str">
        <x:v>quest cards / task cards / board affordances</x:v>
      </x:c>
      <x:c r="H849" s="15" t="str">
        <x:v>source path + receipt + raw/export status + claim/edge/risk delta</x:v>
      </x:c>
      <x:c r="I849" s="15" t="str">
        <x:v>packet/SWARM-06-H11-S08</x:v>
      </x:c>
      <x:c r="J849" s="15" t="str">
        <x:v>TODO</x:v>
      </x:c>
      <x:c r="K849" s="15" t="str">
        <x:v>P1</x:v>
      </x:c>
      <x:c r="L849" s="15" t="str">
        <x:v>Done only when evidence is logged, contradiction search is noted, and boundary stamp remains non-canon unless ratified</x:v>
      </x:c>
      <x:c r="M849" s="15" t="str">
        <x:v>candidate / staging-only / not canon / not deployed / authority none</x:v>
      </x:c>
      <x:c r="N849" s="15" t="str">
        <x:v>Dispatch to Forgekid: complete Aetherforge UX x Sheldonbrain; return deltas only, receipts required.</x:v>
      </x:c>
      <x:c r="O849" s="15" t="str">
        <x:v>AF-KG-H11-S08</x:v>
      </x:c>
      <x:c r="P849" s="15" t="str">
        <x:v>Unverified</x:v>
      </x:c>
      <x:c r="Q849" s="15" t="str">
        <x:v>Not checked</x:v>
      </x:c>
      <x:c r="R849" s="15" t="str"/>
      <x:c r="S849" s="15" t="str"/>
      <x:c r="T849" s="15" t="str">
        <x:v>Log first source path or blocker</x:v>
      </x:c>
      <x:c r="U849" s="12" t="str">
        <x:f>IF(OR(P849="Unverified",Q849="Not checked"),"BLOCKED_PENDING_RECEIPT","READY_FOR_REVIEW")</x:f>
        <x:v>BLOCKED_PENDING_RECEIPT</x:v>
      </x:c>
      <x:c r="V849" s="12" t="str">
        <x:f>IF(J849="DONE","RETURNED",IF(U849="BLOCKED_PENDING_RECEIPT","SOURCE_TOUCH_REQUIRED","IN_PROGRESS"))</x:f>
        <x:v>SOURCE_TOUCH_REQUIRED</x:v>
      </x:c>
      <x:c r="W849" s="12" t="str">
        <x:f>IF(P849="Unverified","missing_receipt","receipt_logged")</x:f>
        <x:v>missing_receipt</x:v>
      </x:c>
      <x:c r="X849" s="12" t="str">
        <x:f>IF(Q849="Not checked","raw_status_missing","raw_status_logged")</x:f>
        <x:v>raw_status_missing</x:v>
      </x:c>
      <x:c r="Y849" s="12" t="str">
        <x:f>IF(U849="BLOCKED_PENDING_RECEIPT","Log source path or blocker; do not promote","Route to review lane")</x:f>
        <x:v>Log source path or blocker; do not promote</x:v>
      </x:c>
      <x:c r="Z849" s="12" t="str">
        <x:f>IF(K849="P0","Primary seat + Hashlight/Lucerna","Seat lane")</x:f>
        <x:v>Seat lane</x:v>
      </x:c>
      <x:c r="AA849" s="12" t="str">
        <x:f>IF(R849="","no_claim_delta","claim_delta_present")</x:f>
        <x:v>no_claim_delta</x:v>
      </x:c>
      <x:c r="AB849" s="12" t="str">
        <x:f>IF(S849="","no_contradiction_delta","contradiction_delta_present")</x:f>
        <x:v>no_contradiction_delta</x:v>
      </x:c>
      <x:c r="AC849" s="12" t="str">
        <x:f>IF(OR(ISNUMBER(SEARCH("hacker",LOWER(F849&amp;" "&amp;H849&amp;" "&amp;I849&amp;" "&amp;M849&amp;" "&amp;N849&amp;" "&amp;T849))),ISNUMBER(SEARCH("hacking",LOWER(F849&amp;" "&amp;H849&amp;" "&amp;I849&amp;" "&amp;M849&amp;" "&amp;N849&amp;" "&amp;T849))),ISNUMBER(SEARCH("bank",LOWER(F849&amp;" "&amp;H849&amp;" "&amp;I849&amp;" "&amp;M849&amp;" "&amp;N849&amp;" "&amp;T849))),ISNUMBER(SEARCH("banking",LOWER(F849&amp;" "&amp;H849&amp;" "&amp;I849&amp;" "&amp;M849&amp;" "&amp;N849&amp;" "&amp;T849)))),"PRIVATE_QUARANTINE",IF(OR(ISNUMBER(SEARCH("treasury",LOWER(F849&amp;" "&amp;H849&amp;" "&amp;I849&amp;" "&amp;M849&amp;" "&amp;N849&amp;" "&amp;T849))),ISNUMBER(SEARCH("debt",LOWER(F849&amp;" "&amp;H849&amp;" "&amp;I849&amp;" "&amp;M849&amp;" "&amp;N849&amp;" "&amp;T849))),ISNUMBER(SEARCH("bond",LOWER(F849&amp;" "&amp;H849&amp;" "&amp;I849&amp;" "&amp;M849&amp;" "&amp;N849&amp;" "&amp;T849))),ISNUMBER(SEARCH("transaction",LOWER(F849&amp;" "&amp;H849&amp;" "&amp;I849&amp;" "&amp;M849&amp;" "&amp;N849&amp;" "&amp;T849)))),"PRIVATE_REVIEW","PUBLIC_CANDIDATE"))</x:f>
        <x:v>PUBLIC_CANDIDATE</x:v>
      </x:c>
      <x:c r="AD849" s="12" t="str">
        <x:f>IF(AC849="PRIVATE_QUARANTINE","hacker_or_bank_trigger",IF(AC849="PRIVATE_REVIEW","finance_risk_trigger","none"))</x:f>
        <x:v>none</x:v>
      </x:c>
      <x:c r="AE849" s="12" t="str">
        <x:f>IF(AC849="PUBLIC_CANDIDATE","prepare_public_github_candidate",IF(AC849="PRIVATE_REVIEW","hold_for_private_review","quarantine_private_do_not_publish"))</x:f>
        <x:v>prepare_public_github_candidate</x:v>
      </x:c>
      <x:c r="AF849" s="12" t="str">
        <x:f>IF(AC849="PUBLIC_CANDIDATE","TIDELOCK + Lucerna",IF(AC849="PRIVATE_REVIEW","AtlasBrain + Lucerna","TIDELOCK + Lucerna + Human-root"))</x:f>
        <x:v>TIDELOCK + Lucerna</x:v>
      </x:c>
      <x:c r="AG849" s="12" t="str">
        <x:f>IF(AND(AC849="PUBLIC_CANDIDATE",U849&lt;&gt;"BLOCKED_PENDING_RECEIPT"),"READY_AFTER_RECEIPT","NOT_READY")</x:f>
        <x:v>NOT_READY</x:v>
      </x:c>
      <x:c r="AH849" s="12" t="str">
        <x:f>IF(AC849="PUBLIC_CANDIDATE","none",AD849)</x:f>
        <x:v>none</x:v>
      </x:c>
      <x:c r="AI849" s="12" t="str">
        <x:f>IF(AC849="PUBLIC_CANDIDATE","archive/public_candidates/"&amp;A849,"private_quarantine/"&amp;A849)</x:f>
        <x:v>archive/public_candidates/SWARM-06-H11-S08</x:v>
      </x:c>
      <x:c r="AJ849" s="12" t="str">
        <x:f>IF(AC849="PUBLIC_CANDIDATE","public by default; still not canon","private/hold; do not publish")</x:f>
        <x:v>public by default; still not canon</x:v>
      </x:c>
      <x:c r="AK849" s="12" t="str">
        <x:f>IF(AE849="prepare_public_github_candidate","add receipt/status then mirror","resolve blocker before any public GitHub action")</x:f>
        <x:v>add receipt/status then mirror</x:v>
      </x:c>
    </x:row>
    <x:row r="850">
      <x:c r="A850" s="15" t="str">
        <x:v>SWARM-06-H11-S09</x:v>
      </x:c>
      <x:c r="B850" s="15" t="str">
        <x:v>Forgekid</x:v>
      </x:c>
      <x:c r="C850" s="15" t="str">
        <x:v>Aetherforge UX builder</x:v>
      </x:c>
      <x:c r="D850" s="15" t="str">
        <x:v>Aetherforge UX</x:v>
      </x:c>
      <x:c r="E850" s="15" t="str">
        <x:v>Aetherforge</x:v>
      </x:c>
      <x:c r="F850" s="15" t="str">
        <x:v>Design quest card for Aetherforge — Forgekid</x:v>
      </x:c>
      <x:c r="G850" s="15" t="str">
        <x:v>quest cards / task cards / board affordances</x:v>
      </x:c>
      <x:c r="H850" s="15" t="str">
        <x:v>source path + receipt + raw/export status + claim/edge/risk delta</x:v>
      </x:c>
      <x:c r="I850" s="15" t="str">
        <x:v>packet/SWARM-06-H11-S09</x:v>
      </x:c>
      <x:c r="J850" s="15" t="str">
        <x:v>TODO</x:v>
      </x:c>
      <x:c r="K850" s="15" t="str">
        <x:v>P2</x:v>
      </x:c>
      <x:c r="L850" s="15" t="str">
        <x:v>Done only when evidence is logged, contradiction search is noted, and boundary stamp remains non-canon unless ratified</x:v>
      </x:c>
      <x:c r="M850" s="15" t="str">
        <x:v>candidate / staging-only / not canon / not deployed / authority none</x:v>
      </x:c>
      <x:c r="N850" s="15" t="str">
        <x:v>Dispatch to Forgekid: complete Aetherforge UX x Aetherforge; return deltas only, receipts required.</x:v>
      </x:c>
      <x:c r="O850" s="15" t="str">
        <x:v>AF-KG-H11-S09</x:v>
      </x:c>
      <x:c r="P850" s="15" t="str">
        <x:v>Unverified</x:v>
      </x:c>
      <x:c r="Q850" s="15" t="str">
        <x:v>Not checked</x:v>
      </x:c>
      <x:c r="R850" s="15" t="str"/>
      <x:c r="S850" s="15" t="str"/>
      <x:c r="T850" s="15" t="str">
        <x:v>Log first source path or blocker</x:v>
      </x:c>
      <x:c r="U850" s="12" t="str">
        <x:f>IF(OR(P850="Unverified",Q850="Not checked"),"BLOCKED_PENDING_RECEIPT","READY_FOR_REVIEW")</x:f>
        <x:v>BLOCKED_PENDING_RECEIPT</x:v>
      </x:c>
      <x:c r="V850" s="12" t="str">
        <x:f>IF(J850="DONE","RETURNED",IF(U850="BLOCKED_PENDING_RECEIPT","SOURCE_TOUCH_REQUIRED","IN_PROGRESS"))</x:f>
        <x:v>SOURCE_TOUCH_REQUIRED</x:v>
      </x:c>
      <x:c r="W850" s="12" t="str">
        <x:f>IF(P850="Unverified","missing_receipt","receipt_logged")</x:f>
        <x:v>missing_receipt</x:v>
      </x:c>
      <x:c r="X850" s="12" t="str">
        <x:f>IF(Q850="Not checked","raw_status_missing","raw_status_logged")</x:f>
        <x:v>raw_status_missing</x:v>
      </x:c>
      <x:c r="Y850" s="12" t="str">
        <x:f>IF(U850="BLOCKED_PENDING_RECEIPT","Log source path or blocker; do not promote","Route to review lane")</x:f>
        <x:v>Log source path or blocker; do not promote</x:v>
      </x:c>
      <x:c r="Z850" s="12" t="str">
        <x:f>IF(K850="P0","Primary seat + Hashlight/Lucerna","Seat lane")</x:f>
        <x:v>Seat lane</x:v>
      </x:c>
      <x:c r="AA850" s="12" t="str">
        <x:f>IF(R850="","no_claim_delta","claim_delta_present")</x:f>
        <x:v>no_claim_delta</x:v>
      </x:c>
      <x:c r="AB850" s="12" t="str">
        <x:f>IF(S850="","no_contradiction_delta","contradiction_delta_present")</x:f>
        <x:v>no_contradiction_delta</x:v>
      </x:c>
      <x:c r="AC850" s="12" t="str">
        <x:f>IF(OR(ISNUMBER(SEARCH("hacker",LOWER(F850&amp;" "&amp;H850&amp;" "&amp;I850&amp;" "&amp;M850&amp;" "&amp;N850&amp;" "&amp;T850))),ISNUMBER(SEARCH("hacking",LOWER(F850&amp;" "&amp;H850&amp;" "&amp;I850&amp;" "&amp;M850&amp;" "&amp;N850&amp;" "&amp;T850))),ISNUMBER(SEARCH("bank",LOWER(F850&amp;" "&amp;H850&amp;" "&amp;I850&amp;" "&amp;M850&amp;" "&amp;N850&amp;" "&amp;T850))),ISNUMBER(SEARCH("banking",LOWER(F850&amp;" "&amp;H850&amp;" "&amp;I850&amp;" "&amp;M850&amp;" "&amp;N850&amp;" "&amp;T850)))),"PRIVATE_QUARANTINE",IF(OR(ISNUMBER(SEARCH("treasury",LOWER(F850&amp;" "&amp;H850&amp;" "&amp;I850&amp;" "&amp;M850&amp;" "&amp;N850&amp;" "&amp;T850))),ISNUMBER(SEARCH("debt",LOWER(F850&amp;" "&amp;H850&amp;" "&amp;I850&amp;" "&amp;M850&amp;" "&amp;N850&amp;" "&amp;T850))),ISNUMBER(SEARCH("bond",LOWER(F850&amp;" "&amp;H850&amp;" "&amp;I850&amp;" "&amp;M850&amp;" "&amp;N850&amp;" "&amp;T850))),ISNUMBER(SEARCH("transaction",LOWER(F850&amp;" "&amp;H850&amp;" "&amp;I850&amp;" "&amp;M850&amp;" "&amp;N850&amp;" "&amp;T850)))),"PRIVATE_REVIEW","PUBLIC_CANDIDATE"))</x:f>
        <x:v>PUBLIC_CANDIDATE</x:v>
      </x:c>
      <x:c r="AD850" s="12" t="str">
        <x:f>IF(AC850="PRIVATE_QUARANTINE","hacker_or_bank_trigger",IF(AC850="PRIVATE_REVIEW","finance_risk_trigger","none"))</x:f>
        <x:v>none</x:v>
      </x:c>
      <x:c r="AE850" s="12" t="str">
        <x:f>IF(AC850="PUBLIC_CANDIDATE","prepare_public_github_candidate",IF(AC850="PRIVATE_REVIEW","hold_for_private_review","quarantine_private_do_not_publish"))</x:f>
        <x:v>prepare_public_github_candidate</x:v>
      </x:c>
      <x:c r="AF850" s="12" t="str">
        <x:f>IF(AC850="PUBLIC_CANDIDATE","TIDELOCK + Lucerna",IF(AC850="PRIVATE_REVIEW","AtlasBrain + Lucerna","TIDELOCK + Lucerna + Human-root"))</x:f>
        <x:v>TIDELOCK + Lucerna</x:v>
      </x:c>
      <x:c r="AG850" s="12" t="str">
        <x:f>IF(AND(AC850="PUBLIC_CANDIDATE",U850&lt;&gt;"BLOCKED_PENDING_RECEIPT"),"READY_AFTER_RECEIPT","NOT_READY")</x:f>
        <x:v>NOT_READY</x:v>
      </x:c>
      <x:c r="AH850" s="12" t="str">
        <x:f>IF(AC850="PUBLIC_CANDIDATE","none",AD850)</x:f>
        <x:v>none</x:v>
      </x:c>
      <x:c r="AI850" s="12" t="str">
        <x:f>IF(AC850="PUBLIC_CANDIDATE","archive/public_candidates/"&amp;A850,"private_quarantine/"&amp;A850)</x:f>
        <x:v>archive/public_candidates/SWARM-06-H11-S09</x:v>
      </x:c>
      <x:c r="AJ850" s="12" t="str">
        <x:f>IF(AC850="PUBLIC_CANDIDATE","public by default; still not canon","private/hold; do not publish")</x:f>
        <x:v>public by default; still not canon</x:v>
      </x:c>
      <x:c r="AK850" s="12" t="str">
        <x:f>IF(AE850="prepare_public_github_candidate","add receipt/status then mirror","resolve blocker before any public GitHub action")</x:f>
        <x:v>add receipt/status then mirror</x:v>
      </x:c>
    </x:row>
    <x:row r="851">
      <x:c r="A851" s="15" t="str">
        <x:v>SWARM-06-H11-S10</x:v>
      </x:c>
      <x:c r="B851" s="15" t="str">
        <x:v>Forgekid</x:v>
      </x:c>
      <x:c r="C851" s="15" t="str">
        <x:v>Aetherforge UX builder</x:v>
      </x:c>
      <x:c r="D851" s="15" t="str">
        <x:v>Aetherforge UX</x:v>
      </x:c>
      <x:c r="E851" s="15" t="str">
        <x:v>Human-Root</x:v>
      </x:c>
      <x:c r="F851" s="15" t="str">
        <x:v>Design quest card for Human-Root — Forgekid</x:v>
      </x:c>
      <x:c r="G851" s="15" t="str">
        <x:v>quest cards / task cards / board affordances</x:v>
      </x:c>
      <x:c r="H851" s="15" t="str">
        <x:v>source path + receipt + raw/export status + claim/edge/risk delta</x:v>
      </x:c>
      <x:c r="I851" s="15" t="str">
        <x:v>packet/SWARM-06-H11-S10</x:v>
      </x:c>
      <x:c r="J851" s="15" t="str">
        <x:v>TODO</x:v>
      </x:c>
      <x:c r="K851" s="15" t="str">
        <x:v>P2</x:v>
      </x:c>
      <x:c r="L851" s="15" t="str">
        <x:v>Done only when evidence is logged, contradiction search is noted, and boundary stamp remains non-canon unless ratified</x:v>
      </x:c>
      <x:c r="M851" s="15" t="str">
        <x:v>candidate / staging-only / not canon / not deployed / authority none</x:v>
      </x:c>
      <x:c r="N851" s="15" t="str">
        <x:v>Dispatch to Forgekid: complete Aetherforge UX x Human-Root; return deltas only, receipts required.</x:v>
      </x:c>
      <x:c r="O851" s="15" t="str">
        <x:v>AF-KG-H11-S10</x:v>
      </x:c>
      <x:c r="P851" s="15" t="str">
        <x:v>Unverified</x:v>
      </x:c>
      <x:c r="Q851" s="15" t="str">
        <x:v>Not checked</x:v>
      </x:c>
      <x:c r="R851" s="15" t="str"/>
      <x:c r="S851" s="15" t="str"/>
      <x:c r="T851" s="15" t="str">
        <x:v>Log first source path or blocker</x:v>
      </x:c>
      <x:c r="U851" s="12" t="str">
        <x:f>IF(OR(P851="Unverified",Q851="Not checked"),"BLOCKED_PENDING_RECEIPT","READY_FOR_REVIEW")</x:f>
        <x:v>BLOCKED_PENDING_RECEIPT</x:v>
      </x:c>
      <x:c r="V851" s="12" t="str">
        <x:f>IF(J851="DONE","RETURNED",IF(U851="BLOCKED_PENDING_RECEIPT","SOURCE_TOUCH_REQUIRED","IN_PROGRESS"))</x:f>
        <x:v>SOURCE_TOUCH_REQUIRED</x:v>
      </x:c>
      <x:c r="W851" s="12" t="str">
        <x:f>IF(P851="Unverified","missing_receipt","receipt_logged")</x:f>
        <x:v>missing_receipt</x:v>
      </x:c>
      <x:c r="X851" s="12" t="str">
        <x:f>IF(Q851="Not checked","raw_status_missing","raw_status_logged")</x:f>
        <x:v>raw_status_missing</x:v>
      </x:c>
      <x:c r="Y851" s="12" t="str">
        <x:f>IF(U851="BLOCKED_PENDING_RECEIPT","Log source path or blocker; do not promote","Route to review lane")</x:f>
        <x:v>Log source path or blocker; do not promote</x:v>
      </x:c>
      <x:c r="Z851" s="12" t="str">
        <x:f>IF(K851="P0","Primary seat + Hashlight/Lucerna","Seat lane")</x:f>
        <x:v>Seat lane</x:v>
      </x:c>
      <x:c r="AA851" s="12" t="str">
        <x:f>IF(R851="","no_claim_delta","claim_delta_present")</x:f>
        <x:v>no_claim_delta</x:v>
      </x:c>
      <x:c r="AB851" s="12" t="str">
        <x:f>IF(S851="","no_contradiction_delta","contradiction_delta_present")</x:f>
        <x:v>no_contradiction_delta</x:v>
      </x:c>
      <x:c r="AC851" s="12" t="str">
        <x:f>IF(OR(ISNUMBER(SEARCH("hacker",LOWER(F851&amp;" "&amp;H851&amp;" "&amp;I851&amp;" "&amp;M851&amp;" "&amp;N851&amp;" "&amp;T851))),ISNUMBER(SEARCH("hacking",LOWER(F851&amp;" "&amp;H851&amp;" "&amp;I851&amp;" "&amp;M851&amp;" "&amp;N851&amp;" "&amp;T851))),ISNUMBER(SEARCH("bank",LOWER(F851&amp;" "&amp;H851&amp;" "&amp;I851&amp;" "&amp;M851&amp;" "&amp;N851&amp;" "&amp;T851))),ISNUMBER(SEARCH("banking",LOWER(F851&amp;" "&amp;H851&amp;" "&amp;I851&amp;" "&amp;M851&amp;" "&amp;N851&amp;" "&amp;T851)))),"PRIVATE_QUARANTINE",IF(OR(ISNUMBER(SEARCH("treasury",LOWER(F851&amp;" "&amp;H851&amp;" "&amp;I851&amp;" "&amp;M851&amp;" "&amp;N851&amp;" "&amp;T851))),ISNUMBER(SEARCH("debt",LOWER(F851&amp;" "&amp;H851&amp;" "&amp;I851&amp;" "&amp;M851&amp;" "&amp;N851&amp;" "&amp;T851))),ISNUMBER(SEARCH("bond",LOWER(F851&amp;" "&amp;H851&amp;" "&amp;I851&amp;" "&amp;M851&amp;" "&amp;N851&amp;" "&amp;T851))),ISNUMBER(SEARCH("transaction",LOWER(F851&amp;" "&amp;H851&amp;" "&amp;I851&amp;" "&amp;M851&amp;" "&amp;N851&amp;" "&amp;T851)))),"PRIVATE_REVIEW","PUBLIC_CANDIDATE"))</x:f>
        <x:v>PUBLIC_CANDIDATE</x:v>
      </x:c>
      <x:c r="AD851" s="12" t="str">
        <x:f>IF(AC851="PRIVATE_QUARANTINE","hacker_or_bank_trigger",IF(AC851="PRIVATE_REVIEW","finance_risk_trigger","none"))</x:f>
        <x:v>none</x:v>
      </x:c>
      <x:c r="AE851" s="12" t="str">
        <x:f>IF(AC851="PUBLIC_CANDIDATE","prepare_public_github_candidate",IF(AC851="PRIVATE_REVIEW","hold_for_private_review","quarantine_private_do_not_publish"))</x:f>
        <x:v>prepare_public_github_candidate</x:v>
      </x:c>
      <x:c r="AF851" s="12" t="str">
        <x:f>IF(AC851="PUBLIC_CANDIDATE","TIDELOCK + Lucerna",IF(AC851="PRIVATE_REVIEW","AtlasBrain + Lucerna","TIDELOCK + Lucerna + Human-root"))</x:f>
        <x:v>TIDELOCK + Lucerna</x:v>
      </x:c>
      <x:c r="AG851" s="12" t="str">
        <x:f>IF(AND(AC851="PUBLIC_CANDIDATE",U851&lt;&gt;"BLOCKED_PENDING_RECEIPT"),"READY_AFTER_RECEIPT","NOT_READY")</x:f>
        <x:v>NOT_READY</x:v>
      </x:c>
      <x:c r="AH851" s="12" t="str">
        <x:f>IF(AC851="PUBLIC_CANDIDATE","none",AD851)</x:f>
        <x:v>none</x:v>
      </x:c>
      <x:c r="AI851" s="12" t="str">
        <x:f>IF(AC851="PUBLIC_CANDIDATE","archive/public_candidates/"&amp;A851,"private_quarantine/"&amp;A851)</x:f>
        <x:v>archive/public_candidates/SWARM-06-H11-S10</x:v>
      </x:c>
      <x:c r="AJ851" s="12" t="str">
        <x:f>IF(AC851="PUBLIC_CANDIDATE","public by default; still not canon","private/hold; do not publish")</x:f>
        <x:v>public by default; still not canon</x:v>
      </x:c>
      <x:c r="AK851" s="12" t="str">
        <x:f>IF(AE851="prepare_public_github_candidate","add receipt/status then mirror","resolve blocker before any public GitHub action")</x:f>
        <x:v>add receipt/status then mirror</x:v>
      </x:c>
    </x:row>
    <x:row r="852">
      <x:c r="A852" s="15" t="str">
        <x:v>SWARM-06-H11-S11</x:v>
      </x:c>
      <x:c r="B852" s="15" t="str">
        <x:v>Forgekid</x:v>
      </x:c>
      <x:c r="C852" s="15" t="str">
        <x:v>Aetherforge UX builder</x:v>
      </x:c>
      <x:c r="D852" s="15" t="str">
        <x:v>Aetherforge UX</x:v>
      </x:c>
      <x:c r="E852" s="15" t="str">
        <x:v>Automation</x:v>
      </x:c>
      <x:c r="F852" s="15" t="str">
        <x:v>Design quest card for Automation — Forgekid</x:v>
      </x:c>
      <x:c r="G852" s="15" t="str">
        <x:v>quest cards / task cards / board affordances</x:v>
      </x:c>
      <x:c r="H852" s="15" t="str">
        <x:v>source path + receipt + raw/export status + claim/edge/risk delta</x:v>
      </x:c>
      <x:c r="I852" s="15" t="str">
        <x:v>packet/SWARM-06-H11-S11</x:v>
      </x:c>
      <x:c r="J852" s="15" t="str">
        <x:v>TODO</x:v>
      </x:c>
      <x:c r="K852" s="15" t="str">
        <x:v>P2</x:v>
      </x:c>
      <x:c r="L852" s="15" t="str">
        <x:v>Done only when evidence is logged, contradiction search is noted, and boundary stamp remains non-canon unless ratified</x:v>
      </x:c>
      <x:c r="M852" s="15" t="str">
        <x:v>candidate / staging-only / not canon / not deployed / authority none</x:v>
      </x:c>
      <x:c r="N852" s="15" t="str">
        <x:v>Dispatch to Forgekid: complete Aetherforge UX x Automation; return deltas only, receipts required.</x:v>
      </x:c>
      <x:c r="O852" s="15" t="str">
        <x:v>AF-KG-H11-S11</x:v>
      </x:c>
      <x:c r="P852" s="15" t="str">
        <x:v>Unverified</x:v>
      </x:c>
      <x:c r="Q852" s="15" t="str">
        <x:v>Not checked</x:v>
      </x:c>
      <x:c r="R852" s="15" t="str"/>
      <x:c r="S852" s="15" t="str"/>
      <x:c r="T852" s="15" t="str">
        <x:v>Log first source path or blocker</x:v>
      </x:c>
      <x:c r="U852" s="12" t="str">
        <x:f>IF(OR(P852="Unverified",Q852="Not checked"),"BLOCKED_PENDING_RECEIPT","READY_FOR_REVIEW")</x:f>
        <x:v>BLOCKED_PENDING_RECEIPT</x:v>
      </x:c>
      <x:c r="V852" s="12" t="str">
        <x:f>IF(J852="DONE","RETURNED",IF(U852="BLOCKED_PENDING_RECEIPT","SOURCE_TOUCH_REQUIRED","IN_PROGRESS"))</x:f>
        <x:v>SOURCE_TOUCH_REQUIRED</x:v>
      </x:c>
      <x:c r="W852" s="12" t="str">
        <x:f>IF(P852="Unverified","missing_receipt","receipt_logged")</x:f>
        <x:v>missing_receipt</x:v>
      </x:c>
      <x:c r="X852" s="12" t="str">
        <x:f>IF(Q852="Not checked","raw_status_missing","raw_status_logged")</x:f>
        <x:v>raw_status_missing</x:v>
      </x:c>
      <x:c r="Y852" s="12" t="str">
        <x:f>IF(U852="BLOCKED_PENDING_RECEIPT","Log source path or blocker; do not promote","Route to review lane")</x:f>
        <x:v>Log source path or blocker; do not promote</x:v>
      </x:c>
      <x:c r="Z852" s="12" t="str">
        <x:f>IF(K852="P0","Primary seat + Hashlight/Lucerna","Seat lane")</x:f>
        <x:v>Seat lane</x:v>
      </x:c>
      <x:c r="AA852" s="12" t="str">
        <x:f>IF(R852="","no_claim_delta","claim_delta_present")</x:f>
        <x:v>no_claim_delta</x:v>
      </x:c>
      <x:c r="AB852" s="12" t="str">
        <x:f>IF(S852="","no_contradiction_delta","contradiction_delta_present")</x:f>
        <x:v>no_contradiction_delta</x:v>
      </x:c>
      <x:c r="AC852" s="12" t="str">
        <x:f>IF(OR(ISNUMBER(SEARCH("hacker",LOWER(F852&amp;" "&amp;H852&amp;" "&amp;I852&amp;" "&amp;M852&amp;" "&amp;N852&amp;" "&amp;T852))),ISNUMBER(SEARCH("hacking",LOWER(F852&amp;" "&amp;H852&amp;" "&amp;I852&amp;" "&amp;M852&amp;" "&amp;N852&amp;" "&amp;T852))),ISNUMBER(SEARCH("bank",LOWER(F852&amp;" "&amp;H852&amp;" "&amp;I852&amp;" "&amp;M852&amp;" "&amp;N852&amp;" "&amp;T852))),ISNUMBER(SEARCH("banking",LOWER(F852&amp;" "&amp;H852&amp;" "&amp;I852&amp;" "&amp;M852&amp;" "&amp;N852&amp;" "&amp;T852)))),"PRIVATE_QUARANTINE",IF(OR(ISNUMBER(SEARCH("treasury",LOWER(F852&amp;" "&amp;H852&amp;" "&amp;I852&amp;" "&amp;M852&amp;" "&amp;N852&amp;" "&amp;T852))),ISNUMBER(SEARCH("debt",LOWER(F852&amp;" "&amp;H852&amp;" "&amp;I852&amp;" "&amp;M852&amp;" "&amp;N852&amp;" "&amp;T852))),ISNUMBER(SEARCH("bond",LOWER(F852&amp;" "&amp;H852&amp;" "&amp;I852&amp;" "&amp;M852&amp;" "&amp;N852&amp;" "&amp;T852))),ISNUMBER(SEARCH("transaction",LOWER(F852&amp;" "&amp;H852&amp;" "&amp;I852&amp;" "&amp;M852&amp;" "&amp;N852&amp;" "&amp;T852)))),"PRIVATE_REVIEW","PUBLIC_CANDIDATE"))</x:f>
        <x:v>PUBLIC_CANDIDATE</x:v>
      </x:c>
      <x:c r="AD852" s="12" t="str">
        <x:f>IF(AC852="PRIVATE_QUARANTINE","hacker_or_bank_trigger",IF(AC852="PRIVATE_REVIEW","finance_risk_trigger","none"))</x:f>
        <x:v>none</x:v>
      </x:c>
      <x:c r="AE852" s="12" t="str">
        <x:f>IF(AC852="PUBLIC_CANDIDATE","prepare_public_github_candidate",IF(AC852="PRIVATE_REVIEW","hold_for_private_review","quarantine_private_do_not_publish"))</x:f>
        <x:v>prepare_public_github_candidate</x:v>
      </x:c>
      <x:c r="AF852" s="12" t="str">
        <x:f>IF(AC852="PUBLIC_CANDIDATE","TIDELOCK + Lucerna",IF(AC852="PRIVATE_REVIEW","AtlasBrain + Lucerna","TIDELOCK + Lucerna + Human-root"))</x:f>
        <x:v>TIDELOCK + Lucerna</x:v>
      </x:c>
      <x:c r="AG852" s="12" t="str">
        <x:f>IF(AND(AC852="PUBLIC_CANDIDATE",U852&lt;&gt;"BLOCKED_PENDING_RECEIPT"),"READY_AFTER_RECEIPT","NOT_READY")</x:f>
        <x:v>NOT_READY</x:v>
      </x:c>
      <x:c r="AH852" s="12" t="str">
        <x:f>IF(AC852="PUBLIC_CANDIDATE","none",AD852)</x:f>
        <x:v>none</x:v>
      </x:c>
      <x:c r="AI852" s="12" t="str">
        <x:f>IF(AC852="PUBLIC_CANDIDATE","archive/public_candidates/"&amp;A852,"private_quarantine/"&amp;A852)</x:f>
        <x:v>archive/public_candidates/SWARM-06-H11-S11</x:v>
      </x:c>
      <x:c r="AJ852" s="12" t="str">
        <x:f>IF(AC852="PUBLIC_CANDIDATE","public by default; still not canon","private/hold; do not publish")</x:f>
        <x:v>public by default; still not canon</x:v>
      </x:c>
      <x:c r="AK852" s="12" t="str">
        <x:f>IF(AE852="prepare_public_github_candidate","add receipt/status then mirror","resolve blocker before any public GitHub action")</x:f>
        <x:v>add receipt/status then mirror</x:v>
      </x:c>
    </x:row>
    <x:row r="853">
      <x:c r="A853" s="15" t="str">
        <x:v>SWARM-06-H11-S12</x:v>
      </x:c>
      <x:c r="B853" s="15" t="str">
        <x:v>Forgekid</x:v>
      </x:c>
      <x:c r="C853" s="15" t="str">
        <x:v>Aetherforge UX builder</x:v>
      </x:c>
      <x:c r="D853" s="15" t="str">
        <x:v>Aetherforge UX</x:v>
      </x:c>
      <x:c r="E853" s="15" t="str">
        <x:v>Risk / Safety</x:v>
      </x:c>
      <x:c r="F853" s="15" t="str">
        <x:v>Design quest card for Risk / Safety — Forgekid</x:v>
      </x:c>
      <x:c r="G853" s="15" t="str">
        <x:v>quest cards / task cards / board affordances</x:v>
      </x:c>
      <x:c r="H853" s="15" t="str">
        <x:v>source path + receipt + raw/export status + claim/edge/risk delta</x:v>
      </x:c>
      <x:c r="I853" s="15" t="str">
        <x:v>packet/SWARM-06-H11-S12</x:v>
      </x:c>
      <x:c r="J853" s="15" t="str">
        <x:v>TODO</x:v>
      </x:c>
      <x:c r="K853" s="15" t="str">
        <x:v>P2</x:v>
      </x:c>
      <x:c r="L853" s="15" t="str">
        <x:v>Done only when evidence is logged, contradiction search is noted, and boundary stamp remains non-canon unless ratified</x:v>
      </x:c>
      <x:c r="M853" s="15" t="str">
        <x:v>candidate / staging-only / not canon / not deployed / authority none</x:v>
      </x:c>
      <x:c r="N853" s="15" t="str">
        <x:v>Dispatch to Forgekid: complete Aetherforge UX x Risk / Safety; return deltas only, receipts required.</x:v>
      </x:c>
      <x:c r="O853" s="15" t="str">
        <x:v>AF-KG-H11-S12</x:v>
      </x:c>
      <x:c r="P853" s="15" t="str">
        <x:v>Unverified</x:v>
      </x:c>
      <x:c r="Q853" s="15" t="str">
        <x:v>Not checked</x:v>
      </x:c>
      <x:c r="R853" s="15" t="str"/>
      <x:c r="S853" s="15" t="str"/>
      <x:c r="T853" s="15" t="str">
        <x:v>Log first source path or blocker</x:v>
      </x:c>
      <x:c r="U853" s="12" t="str">
        <x:f>IF(OR(P853="Unverified",Q853="Not checked"),"BLOCKED_PENDING_RECEIPT","READY_FOR_REVIEW")</x:f>
        <x:v>BLOCKED_PENDING_RECEIPT</x:v>
      </x:c>
      <x:c r="V853" s="12" t="str">
        <x:f>IF(J853="DONE","RETURNED",IF(U853="BLOCKED_PENDING_RECEIPT","SOURCE_TOUCH_REQUIRED","IN_PROGRESS"))</x:f>
        <x:v>SOURCE_TOUCH_REQUIRED</x:v>
      </x:c>
      <x:c r="W853" s="12" t="str">
        <x:f>IF(P853="Unverified","missing_receipt","receipt_logged")</x:f>
        <x:v>missing_receipt</x:v>
      </x:c>
      <x:c r="X853" s="12" t="str">
        <x:f>IF(Q853="Not checked","raw_status_missing","raw_status_logged")</x:f>
        <x:v>raw_status_missing</x:v>
      </x:c>
      <x:c r="Y853" s="12" t="str">
        <x:f>IF(U853="BLOCKED_PENDING_RECEIPT","Log source path or blocker; do not promote","Route to review lane")</x:f>
        <x:v>Log source path or blocker; do not promote</x:v>
      </x:c>
      <x:c r="Z853" s="12" t="str">
        <x:f>IF(K853="P0","Primary seat + Hashlight/Lucerna","Seat lane")</x:f>
        <x:v>Seat lane</x:v>
      </x:c>
      <x:c r="AA853" s="12" t="str">
        <x:f>IF(R853="","no_claim_delta","claim_delta_present")</x:f>
        <x:v>no_claim_delta</x:v>
      </x:c>
      <x:c r="AB853" s="12" t="str">
        <x:f>IF(S853="","no_contradiction_delta","contradiction_delta_present")</x:f>
        <x:v>no_contradiction_delta</x:v>
      </x:c>
      <x:c r="AC853" s="12" t="str">
        <x:f>IF(OR(ISNUMBER(SEARCH("hacker",LOWER(F853&amp;" "&amp;H853&amp;" "&amp;I853&amp;" "&amp;M853&amp;" "&amp;N853&amp;" "&amp;T853))),ISNUMBER(SEARCH("hacking",LOWER(F853&amp;" "&amp;H853&amp;" "&amp;I853&amp;" "&amp;M853&amp;" "&amp;N853&amp;" "&amp;T853))),ISNUMBER(SEARCH("bank",LOWER(F853&amp;" "&amp;H853&amp;" "&amp;I853&amp;" "&amp;M853&amp;" "&amp;N853&amp;" "&amp;T853))),ISNUMBER(SEARCH("banking",LOWER(F853&amp;" "&amp;H853&amp;" "&amp;I853&amp;" "&amp;M853&amp;" "&amp;N853&amp;" "&amp;T853)))),"PRIVATE_QUARANTINE",IF(OR(ISNUMBER(SEARCH("treasury",LOWER(F853&amp;" "&amp;H853&amp;" "&amp;I853&amp;" "&amp;M853&amp;" "&amp;N853&amp;" "&amp;T853))),ISNUMBER(SEARCH("debt",LOWER(F853&amp;" "&amp;H853&amp;" "&amp;I853&amp;" "&amp;M853&amp;" "&amp;N853&amp;" "&amp;T853))),ISNUMBER(SEARCH("bond",LOWER(F853&amp;" "&amp;H853&amp;" "&amp;I853&amp;" "&amp;M853&amp;" "&amp;N853&amp;" "&amp;T853))),ISNUMBER(SEARCH("transaction",LOWER(F853&amp;" "&amp;H853&amp;" "&amp;I853&amp;" "&amp;M853&amp;" "&amp;N853&amp;" "&amp;T853)))),"PRIVATE_REVIEW","PUBLIC_CANDIDATE"))</x:f>
        <x:v>PUBLIC_CANDIDATE</x:v>
      </x:c>
      <x:c r="AD853" s="12" t="str">
        <x:f>IF(AC853="PRIVATE_QUARANTINE","hacker_or_bank_trigger",IF(AC853="PRIVATE_REVIEW","finance_risk_trigger","none"))</x:f>
        <x:v>none</x:v>
      </x:c>
      <x:c r="AE853" s="12" t="str">
        <x:f>IF(AC853="PUBLIC_CANDIDATE","prepare_public_github_candidate",IF(AC853="PRIVATE_REVIEW","hold_for_private_review","quarantine_private_do_not_publish"))</x:f>
        <x:v>prepare_public_github_candidate</x:v>
      </x:c>
      <x:c r="AF853" s="12" t="str">
        <x:f>IF(AC853="PUBLIC_CANDIDATE","TIDELOCK + Lucerna",IF(AC853="PRIVATE_REVIEW","AtlasBrain + Lucerna","TIDELOCK + Lucerna + Human-root"))</x:f>
        <x:v>TIDELOCK + Lucerna</x:v>
      </x:c>
      <x:c r="AG853" s="12" t="str">
        <x:f>IF(AND(AC853="PUBLIC_CANDIDATE",U853&lt;&gt;"BLOCKED_PENDING_RECEIPT"),"READY_AFTER_RECEIPT","NOT_READY")</x:f>
        <x:v>NOT_READY</x:v>
      </x:c>
      <x:c r="AH853" s="12" t="str">
        <x:f>IF(AC853="PUBLIC_CANDIDATE","none",AD853)</x:f>
        <x:v>none</x:v>
      </x:c>
      <x:c r="AI853" s="12" t="str">
        <x:f>IF(AC853="PUBLIC_CANDIDATE","archive/public_candidates/"&amp;A853,"private_quarantine/"&amp;A853)</x:f>
        <x:v>archive/public_candidates/SWARM-06-H11-S12</x:v>
      </x:c>
      <x:c r="AJ853" s="12" t="str">
        <x:f>IF(AC853="PUBLIC_CANDIDATE","public by default; still not canon","private/hold; do not publish")</x:f>
        <x:v>public by default; still not canon</x:v>
      </x:c>
      <x:c r="AK853" s="12" t="str">
        <x:f>IF(AE853="prepare_public_github_candidate","add receipt/status then mirror","resolve blocker before any public GitHub action")</x:f>
        <x:v>add receipt/status then mirror</x:v>
      </x:c>
    </x:row>
    <x:row r="854">
      <x:c r="A854" s="15" t="str">
        <x:v>SWARM-06-H12-S01</x:v>
      </x:c>
      <x:c r="B854" s="15" t="str">
        <x:v>Forgekid</x:v>
      </x:c>
      <x:c r="C854" s="15" t="str">
        <x:v>Aetherforge UX builder</x:v>
      </x:c>
      <x:c r="D854" s="15" t="str">
        <x:v>Canon-Gate Prep</x:v>
      </x:c>
      <x:c r="E854" s="15" t="str">
        <x:v>Notion</x:v>
      </x:c>
      <x:c r="F854" s="15" t="str">
        <x:v>Prepare canon-gate brief for Notion — Forgekid</x:v>
      </x:c>
      <x:c r="G854" s="15" t="str">
        <x:v>quest cards / task cards / board affordances</x:v>
      </x:c>
      <x:c r="H854" s="15" t="str">
        <x:v>source path + receipt + raw/export status + claim/edge/risk delta</x:v>
      </x:c>
      <x:c r="I854" s="15" t="str">
        <x:v>packet/SWARM-06-H12-S01</x:v>
      </x:c>
      <x:c r="J854" s="15" t="str">
        <x:v>TODO</x:v>
      </x:c>
      <x:c r="K854" s="15" t="str">
        <x:v>P0</x:v>
      </x:c>
      <x:c r="L854" s="15" t="str">
        <x:v>Done only when evidence is logged, contradiction search is noted, and boundary stamp remains non-canon unless ratified</x:v>
      </x:c>
      <x:c r="M854" s="15" t="str">
        <x:v>candidate / staging-only / not canon / not deployed / authority none</x:v>
      </x:c>
      <x:c r="N854" s="15" t="str">
        <x:v>Dispatch to Forgekid: complete Canon-Gate Prep x Notion; return deltas only, receipts required.</x:v>
      </x:c>
      <x:c r="O854" s="15" t="str">
        <x:v>AF-KG-H12-S01</x:v>
      </x:c>
      <x:c r="P854" s="15" t="str">
        <x:v>Unverified</x:v>
      </x:c>
      <x:c r="Q854" s="15" t="str">
        <x:v>Not checked</x:v>
      </x:c>
      <x:c r="R854" s="15" t="str"/>
      <x:c r="S854" s="15" t="str"/>
      <x:c r="T854" s="15" t="str">
        <x:v>Log first source path or blocker</x:v>
      </x:c>
      <x:c r="U854" s="12" t="str">
        <x:f>IF(OR(P854="Unverified",Q854="Not checked"),"BLOCKED_PENDING_RECEIPT","READY_FOR_REVIEW")</x:f>
        <x:v>BLOCKED_PENDING_RECEIPT</x:v>
      </x:c>
      <x:c r="V854" s="12" t="str">
        <x:f>IF(J854="DONE","RETURNED",IF(U854="BLOCKED_PENDING_RECEIPT","SOURCE_TOUCH_REQUIRED","IN_PROGRESS"))</x:f>
        <x:v>SOURCE_TOUCH_REQUIRED</x:v>
      </x:c>
      <x:c r="W854" s="12" t="str">
        <x:f>IF(P854="Unverified","missing_receipt","receipt_logged")</x:f>
        <x:v>missing_receipt</x:v>
      </x:c>
      <x:c r="X854" s="12" t="str">
        <x:f>IF(Q854="Not checked","raw_status_missing","raw_status_logged")</x:f>
        <x:v>raw_status_missing</x:v>
      </x:c>
      <x:c r="Y854" s="12" t="str">
        <x:f>IF(U854="BLOCKED_PENDING_RECEIPT","Log source path or blocker; do not promote","Route to review lane")</x:f>
        <x:v>Log source path or blocker; do not promote</x:v>
      </x:c>
      <x:c r="Z854" s="12" t="str">
        <x:f>IF(K854="P0","Primary seat + Hashlight/Lucerna","Seat lane")</x:f>
        <x:v>Primary seat + Hashlight/Lucerna</x:v>
      </x:c>
      <x:c r="AA854" s="12" t="str">
        <x:f>IF(R854="","no_claim_delta","claim_delta_present")</x:f>
        <x:v>no_claim_delta</x:v>
      </x:c>
      <x:c r="AB854" s="12" t="str">
        <x:f>IF(S854="","no_contradiction_delta","contradiction_delta_present")</x:f>
        <x:v>no_contradiction_delta</x:v>
      </x:c>
      <x:c r="AC854" s="12" t="str">
        <x:f>IF(OR(ISNUMBER(SEARCH("hacker",LOWER(F854&amp;" "&amp;H854&amp;" "&amp;I854&amp;" "&amp;M854&amp;" "&amp;N854&amp;" "&amp;T854))),ISNUMBER(SEARCH("hacking",LOWER(F854&amp;" "&amp;H854&amp;" "&amp;I854&amp;" "&amp;M854&amp;" "&amp;N854&amp;" "&amp;T854))),ISNUMBER(SEARCH("bank",LOWER(F854&amp;" "&amp;H854&amp;" "&amp;I854&amp;" "&amp;M854&amp;" "&amp;N854&amp;" "&amp;T854))),ISNUMBER(SEARCH("banking",LOWER(F854&amp;" "&amp;H854&amp;" "&amp;I854&amp;" "&amp;M854&amp;" "&amp;N854&amp;" "&amp;T854)))),"PRIVATE_QUARANTINE",IF(OR(ISNUMBER(SEARCH("treasury",LOWER(F854&amp;" "&amp;H854&amp;" "&amp;I854&amp;" "&amp;M854&amp;" "&amp;N854&amp;" "&amp;T854))),ISNUMBER(SEARCH("debt",LOWER(F854&amp;" "&amp;H854&amp;" "&amp;I854&amp;" "&amp;M854&amp;" "&amp;N854&amp;" "&amp;T854))),ISNUMBER(SEARCH("bond",LOWER(F854&amp;" "&amp;H854&amp;" "&amp;I854&amp;" "&amp;M854&amp;" "&amp;N854&amp;" "&amp;T854))),ISNUMBER(SEARCH("transaction",LOWER(F854&amp;" "&amp;H854&amp;" "&amp;I854&amp;" "&amp;M854&amp;" "&amp;N854&amp;" "&amp;T854)))),"PRIVATE_REVIEW","PUBLIC_CANDIDATE"))</x:f>
        <x:v>PUBLIC_CANDIDATE</x:v>
      </x:c>
      <x:c r="AD854" s="12" t="str">
        <x:f>IF(AC854="PRIVATE_QUARANTINE","hacker_or_bank_trigger",IF(AC854="PRIVATE_REVIEW","finance_risk_trigger","none"))</x:f>
        <x:v>none</x:v>
      </x:c>
      <x:c r="AE854" s="12" t="str">
        <x:f>IF(AC854="PUBLIC_CANDIDATE","prepare_public_github_candidate",IF(AC854="PRIVATE_REVIEW","hold_for_private_review","quarantine_private_do_not_publish"))</x:f>
        <x:v>prepare_public_github_candidate</x:v>
      </x:c>
      <x:c r="AF854" s="12" t="str">
        <x:f>IF(AC854="PUBLIC_CANDIDATE","TIDELOCK + Lucerna",IF(AC854="PRIVATE_REVIEW","AtlasBrain + Lucerna","TIDELOCK + Lucerna + Human-root"))</x:f>
        <x:v>TIDELOCK + Lucerna</x:v>
      </x:c>
      <x:c r="AG854" s="12" t="str">
        <x:f>IF(AND(AC854="PUBLIC_CANDIDATE",U854&lt;&gt;"BLOCKED_PENDING_RECEIPT"),"READY_AFTER_RECEIPT","NOT_READY")</x:f>
        <x:v>NOT_READY</x:v>
      </x:c>
      <x:c r="AH854" s="12" t="str">
        <x:f>IF(AC854="PUBLIC_CANDIDATE","none",AD854)</x:f>
        <x:v>none</x:v>
      </x:c>
      <x:c r="AI854" s="12" t="str">
        <x:f>IF(AC854="PUBLIC_CANDIDATE","archive/public_candidates/"&amp;A854,"private_quarantine/"&amp;A854)</x:f>
        <x:v>archive/public_candidates/SWARM-06-H12-S01</x:v>
      </x:c>
      <x:c r="AJ854" s="12" t="str">
        <x:f>IF(AC854="PUBLIC_CANDIDATE","public by default; still not canon","private/hold; do not publish")</x:f>
        <x:v>public by default; still not canon</x:v>
      </x:c>
      <x:c r="AK854" s="12" t="str">
        <x:f>IF(AE854="prepare_public_github_candidate","add receipt/status then mirror","resolve blocker before any public GitHub action")</x:f>
        <x:v>add receipt/status then mirror</x:v>
      </x:c>
    </x:row>
    <x:row r="855">
      <x:c r="A855" s="15" t="str">
        <x:v>SWARM-06-H12-S02</x:v>
      </x:c>
      <x:c r="B855" s="15" t="str">
        <x:v>Forgekid</x:v>
      </x:c>
      <x:c r="C855" s="15" t="str">
        <x:v>Aetherforge UX builder</x:v>
      </x:c>
      <x:c r="D855" s="15" t="str">
        <x:v>Canon-Gate Prep</x:v>
      </x:c>
      <x:c r="E855" s="15" t="str">
        <x:v>Drive</x:v>
      </x:c>
      <x:c r="F855" s="15" t="str">
        <x:v>Prepare canon-gate brief for Drive — Forgekid</x:v>
      </x:c>
      <x:c r="G855" s="15" t="str">
        <x:v>quest cards / task cards / board affordances</x:v>
      </x:c>
      <x:c r="H855" s="15" t="str">
        <x:v>source path + receipt + raw/export status + claim/edge/risk delta</x:v>
      </x:c>
      <x:c r="I855" s="15" t="str">
        <x:v>packet/SWARM-06-H12-S02</x:v>
      </x:c>
      <x:c r="J855" s="15" t="str">
        <x:v>TODO</x:v>
      </x:c>
      <x:c r="K855" s="15" t="str">
        <x:v>P0</x:v>
      </x:c>
      <x:c r="L855" s="15" t="str">
        <x:v>Done only when evidence is logged, contradiction search is noted, and boundary stamp remains non-canon unless ratified</x:v>
      </x:c>
      <x:c r="M855" s="15" t="str">
        <x:v>candidate / staging-only / not canon / not deployed / authority none</x:v>
      </x:c>
      <x:c r="N855" s="15" t="str">
        <x:v>Dispatch to Forgekid: complete Canon-Gate Prep x Drive; return deltas only, receipts required.</x:v>
      </x:c>
      <x:c r="O855" s="15" t="str">
        <x:v>AF-KG-H12-S02</x:v>
      </x:c>
      <x:c r="P855" s="15" t="str">
        <x:v>Unverified</x:v>
      </x:c>
      <x:c r="Q855" s="15" t="str">
        <x:v>Not checked</x:v>
      </x:c>
      <x:c r="R855" s="15" t="str"/>
      <x:c r="S855" s="15" t="str"/>
      <x:c r="T855" s="15" t="str">
        <x:v>Log first source path or blocker</x:v>
      </x:c>
      <x:c r="U855" s="12" t="str">
        <x:f>IF(OR(P855="Unverified",Q855="Not checked"),"BLOCKED_PENDING_RECEIPT","READY_FOR_REVIEW")</x:f>
        <x:v>BLOCKED_PENDING_RECEIPT</x:v>
      </x:c>
      <x:c r="V855" s="12" t="str">
        <x:f>IF(J855="DONE","RETURNED",IF(U855="BLOCKED_PENDING_RECEIPT","SOURCE_TOUCH_REQUIRED","IN_PROGRESS"))</x:f>
        <x:v>SOURCE_TOUCH_REQUIRED</x:v>
      </x:c>
      <x:c r="W855" s="12" t="str">
        <x:f>IF(P855="Unverified","missing_receipt","receipt_logged")</x:f>
        <x:v>missing_receipt</x:v>
      </x:c>
      <x:c r="X855" s="12" t="str">
        <x:f>IF(Q855="Not checked","raw_status_missing","raw_status_logged")</x:f>
        <x:v>raw_status_missing</x:v>
      </x:c>
      <x:c r="Y855" s="12" t="str">
        <x:f>IF(U855="BLOCKED_PENDING_RECEIPT","Log source path or blocker; do not promote","Route to review lane")</x:f>
        <x:v>Log source path or blocker; do not promote</x:v>
      </x:c>
      <x:c r="Z855" s="12" t="str">
        <x:f>IF(K855="P0","Primary seat + Hashlight/Lucerna","Seat lane")</x:f>
        <x:v>Primary seat + Hashlight/Lucerna</x:v>
      </x:c>
      <x:c r="AA855" s="12" t="str">
        <x:f>IF(R855="","no_claim_delta","claim_delta_present")</x:f>
        <x:v>no_claim_delta</x:v>
      </x:c>
      <x:c r="AB855" s="12" t="str">
        <x:f>IF(S855="","no_contradiction_delta","contradiction_delta_present")</x:f>
        <x:v>no_contradiction_delta</x:v>
      </x:c>
      <x:c r="AC855" s="12" t="str">
        <x:f>IF(OR(ISNUMBER(SEARCH("hacker",LOWER(F855&amp;" "&amp;H855&amp;" "&amp;I855&amp;" "&amp;M855&amp;" "&amp;N855&amp;" "&amp;T855))),ISNUMBER(SEARCH("hacking",LOWER(F855&amp;" "&amp;H855&amp;" "&amp;I855&amp;" "&amp;M855&amp;" "&amp;N855&amp;" "&amp;T855))),ISNUMBER(SEARCH("bank",LOWER(F855&amp;" "&amp;H855&amp;" "&amp;I855&amp;" "&amp;M855&amp;" "&amp;N855&amp;" "&amp;T855))),ISNUMBER(SEARCH("banking",LOWER(F855&amp;" "&amp;H855&amp;" "&amp;I855&amp;" "&amp;M855&amp;" "&amp;N855&amp;" "&amp;T855)))),"PRIVATE_QUARANTINE",IF(OR(ISNUMBER(SEARCH("treasury",LOWER(F855&amp;" "&amp;H855&amp;" "&amp;I855&amp;" "&amp;M855&amp;" "&amp;N855&amp;" "&amp;T855))),ISNUMBER(SEARCH("debt",LOWER(F855&amp;" "&amp;H855&amp;" "&amp;I855&amp;" "&amp;M855&amp;" "&amp;N855&amp;" "&amp;T855))),ISNUMBER(SEARCH("bond",LOWER(F855&amp;" "&amp;H855&amp;" "&amp;I855&amp;" "&amp;M855&amp;" "&amp;N855&amp;" "&amp;T855))),ISNUMBER(SEARCH("transaction",LOWER(F855&amp;" "&amp;H855&amp;" "&amp;I855&amp;" "&amp;M855&amp;" "&amp;N855&amp;" "&amp;T855)))),"PRIVATE_REVIEW","PUBLIC_CANDIDATE"))</x:f>
        <x:v>PUBLIC_CANDIDATE</x:v>
      </x:c>
      <x:c r="AD855" s="12" t="str">
        <x:f>IF(AC855="PRIVATE_QUARANTINE","hacker_or_bank_trigger",IF(AC855="PRIVATE_REVIEW","finance_risk_trigger","none"))</x:f>
        <x:v>none</x:v>
      </x:c>
      <x:c r="AE855" s="12" t="str">
        <x:f>IF(AC855="PUBLIC_CANDIDATE","prepare_public_github_candidate",IF(AC855="PRIVATE_REVIEW","hold_for_private_review","quarantine_private_do_not_publish"))</x:f>
        <x:v>prepare_public_github_candidate</x:v>
      </x:c>
      <x:c r="AF855" s="12" t="str">
        <x:f>IF(AC855="PUBLIC_CANDIDATE","TIDELOCK + Lucerna",IF(AC855="PRIVATE_REVIEW","AtlasBrain + Lucerna","TIDELOCK + Lucerna + Human-root"))</x:f>
        <x:v>TIDELOCK + Lucerna</x:v>
      </x:c>
      <x:c r="AG855" s="12" t="str">
        <x:f>IF(AND(AC855="PUBLIC_CANDIDATE",U855&lt;&gt;"BLOCKED_PENDING_RECEIPT"),"READY_AFTER_RECEIPT","NOT_READY")</x:f>
        <x:v>NOT_READY</x:v>
      </x:c>
      <x:c r="AH855" s="12" t="str">
        <x:f>IF(AC855="PUBLIC_CANDIDATE","none",AD855)</x:f>
        <x:v>none</x:v>
      </x:c>
      <x:c r="AI855" s="12" t="str">
        <x:f>IF(AC855="PUBLIC_CANDIDATE","archive/public_candidates/"&amp;A855,"private_quarantine/"&amp;A855)</x:f>
        <x:v>archive/public_candidates/SWARM-06-H12-S02</x:v>
      </x:c>
      <x:c r="AJ855" s="12" t="str">
        <x:f>IF(AC855="PUBLIC_CANDIDATE","public by default; still not canon","private/hold; do not publish")</x:f>
        <x:v>public by default; still not canon</x:v>
      </x:c>
      <x:c r="AK855" s="12" t="str">
        <x:f>IF(AE855="prepare_public_github_candidate","add receipt/status then mirror","resolve blocker before any public GitHub action")</x:f>
        <x:v>add receipt/status then mirror</x:v>
      </x:c>
    </x:row>
    <x:row r="856">
      <x:c r="A856" s="15" t="str">
        <x:v>SWARM-06-H12-S03</x:v>
      </x:c>
      <x:c r="B856" s="15" t="str">
        <x:v>Forgekid</x:v>
      </x:c>
      <x:c r="C856" s="15" t="str">
        <x:v>Aetherforge UX builder</x:v>
      </x:c>
      <x:c r="D856" s="15" t="str">
        <x:v>Canon-Gate Prep</x:v>
      </x:c>
      <x:c r="E856" s="15" t="str">
        <x:v>GitHub</x:v>
      </x:c>
      <x:c r="F856" s="15" t="str">
        <x:v>Prepare canon-gate brief for GitHub — Forgekid</x:v>
      </x:c>
      <x:c r="G856" s="15" t="str">
        <x:v>quest cards / task cards / board affordances</x:v>
      </x:c>
      <x:c r="H856" s="15" t="str">
        <x:v>source path + receipt + raw/export status + claim/edge/risk delta</x:v>
      </x:c>
      <x:c r="I856" s="15" t="str">
        <x:v>packet/SWARM-06-H12-S03</x:v>
      </x:c>
      <x:c r="J856" s="15" t="str">
        <x:v>TODO</x:v>
      </x:c>
      <x:c r="K856" s="15" t="str">
        <x:v>P0</x:v>
      </x:c>
      <x:c r="L856" s="15" t="str">
        <x:v>Done only when evidence is logged, contradiction search is noted, and boundary stamp remains non-canon unless ratified</x:v>
      </x:c>
      <x:c r="M856" s="15" t="str">
        <x:v>candidate / staging-only / not canon / not deployed / authority none</x:v>
      </x:c>
      <x:c r="N856" s="15" t="str">
        <x:v>Dispatch to Forgekid: complete Canon-Gate Prep x GitHub; return deltas only, receipts required.</x:v>
      </x:c>
      <x:c r="O856" s="15" t="str">
        <x:v>AF-KG-H12-S03</x:v>
      </x:c>
      <x:c r="P856" s="15" t="str">
        <x:v>Unverified</x:v>
      </x:c>
      <x:c r="Q856" s="15" t="str">
        <x:v>Not checked</x:v>
      </x:c>
      <x:c r="R856" s="15" t="str"/>
      <x:c r="S856" s="15" t="str"/>
      <x:c r="T856" s="15" t="str">
        <x:v>Log first source path or blocker</x:v>
      </x:c>
      <x:c r="U856" s="12" t="str">
        <x:f>IF(OR(P856="Unverified",Q856="Not checked"),"BLOCKED_PENDING_RECEIPT","READY_FOR_REVIEW")</x:f>
        <x:v>BLOCKED_PENDING_RECEIPT</x:v>
      </x:c>
      <x:c r="V856" s="12" t="str">
        <x:f>IF(J856="DONE","RETURNED",IF(U856="BLOCKED_PENDING_RECEIPT","SOURCE_TOUCH_REQUIRED","IN_PROGRESS"))</x:f>
        <x:v>SOURCE_TOUCH_REQUIRED</x:v>
      </x:c>
      <x:c r="W856" s="12" t="str">
        <x:f>IF(P856="Unverified","missing_receipt","receipt_logged")</x:f>
        <x:v>missing_receipt</x:v>
      </x:c>
      <x:c r="X856" s="12" t="str">
        <x:f>IF(Q856="Not checked","raw_status_missing","raw_status_logged")</x:f>
        <x:v>raw_status_missing</x:v>
      </x:c>
      <x:c r="Y856" s="12" t="str">
        <x:f>IF(U856="BLOCKED_PENDING_RECEIPT","Log source path or blocker; do not promote","Route to review lane")</x:f>
        <x:v>Log source path or blocker; do not promote</x:v>
      </x:c>
      <x:c r="Z856" s="12" t="str">
        <x:f>IF(K856="P0","Primary seat + Hashlight/Lucerna","Seat lane")</x:f>
        <x:v>Primary seat + Hashlight/Lucerna</x:v>
      </x:c>
      <x:c r="AA856" s="12" t="str">
        <x:f>IF(R856="","no_claim_delta","claim_delta_present")</x:f>
        <x:v>no_claim_delta</x:v>
      </x:c>
      <x:c r="AB856" s="12" t="str">
        <x:f>IF(S856="","no_contradiction_delta","contradiction_delta_present")</x:f>
        <x:v>no_contradiction_delta</x:v>
      </x:c>
      <x:c r="AC856" s="12" t="str">
        <x:f>IF(OR(ISNUMBER(SEARCH("hacker",LOWER(F856&amp;" "&amp;H856&amp;" "&amp;I856&amp;" "&amp;M856&amp;" "&amp;N856&amp;" "&amp;T856))),ISNUMBER(SEARCH("hacking",LOWER(F856&amp;" "&amp;H856&amp;" "&amp;I856&amp;" "&amp;M856&amp;" "&amp;N856&amp;" "&amp;T856))),ISNUMBER(SEARCH("bank",LOWER(F856&amp;" "&amp;H856&amp;" "&amp;I856&amp;" "&amp;M856&amp;" "&amp;N856&amp;" "&amp;T856))),ISNUMBER(SEARCH("banking",LOWER(F856&amp;" "&amp;H856&amp;" "&amp;I856&amp;" "&amp;M856&amp;" "&amp;N856&amp;" "&amp;T856)))),"PRIVATE_QUARANTINE",IF(OR(ISNUMBER(SEARCH("treasury",LOWER(F856&amp;" "&amp;H856&amp;" "&amp;I856&amp;" "&amp;M856&amp;" "&amp;N856&amp;" "&amp;T856))),ISNUMBER(SEARCH("debt",LOWER(F856&amp;" "&amp;H856&amp;" "&amp;I856&amp;" "&amp;M856&amp;" "&amp;N856&amp;" "&amp;T856))),ISNUMBER(SEARCH("bond",LOWER(F856&amp;" "&amp;H856&amp;" "&amp;I856&amp;" "&amp;M856&amp;" "&amp;N856&amp;" "&amp;T856))),ISNUMBER(SEARCH("transaction",LOWER(F856&amp;" "&amp;H856&amp;" "&amp;I856&amp;" "&amp;M856&amp;" "&amp;N856&amp;" "&amp;T856)))),"PRIVATE_REVIEW","PUBLIC_CANDIDATE"))</x:f>
        <x:v>PUBLIC_CANDIDATE</x:v>
      </x:c>
      <x:c r="AD856" s="12" t="str">
        <x:f>IF(AC856="PRIVATE_QUARANTINE","hacker_or_bank_trigger",IF(AC856="PRIVATE_REVIEW","finance_risk_trigger","none"))</x:f>
        <x:v>none</x:v>
      </x:c>
      <x:c r="AE856" s="12" t="str">
        <x:f>IF(AC856="PUBLIC_CANDIDATE","prepare_public_github_candidate",IF(AC856="PRIVATE_REVIEW","hold_for_private_review","quarantine_private_do_not_publish"))</x:f>
        <x:v>prepare_public_github_candidate</x:v>
      </x:c>
      <x:c r="AF856" s="12" t="str">
        <x:f>IF(AC856="PUBLIC_CANDIDATE","TIDELOCK + Lucerna",IF(AC856="PRIVATE_REVIEW","AtlasBrain + Lucerna","TIDELOCK + Lucerna + Human-root"))</x:f>
        <x:v>TIDELOCK + Lucerna</x:v>
      </x:c>
      <x:c r="AG856" s="12" t="str">
        <x:f>IF(AND(AC856="PUBLIC_CANDIDATE",U856&lt;&gt;"BLOCKED_PENDING_RECEIPT"),"READY_AFTER_RECEIPT","NOT_READY")</x:f>
        <x:v>NOT_READY</x:v>
      </x:c>
      <x:c r="AH856" s="12" t="str">
        <x:f>IF(AC856="PUBLIC_CANDIDATE","none",AD856)</x:f>
        <x:v>none</x:v>
      </x:c>
      <x:c r="AI856" s="12" t="str">
        <x:f>IF(AC856="PUBLIC_CANDIDATE","archive/public_candidates/"&amp;A856,"private_quarantine/"&amp;A856)</x:f>
        <x:v>archive/public_candidates/SWARM-06-H12-S03</x:v>
      </x:c>
      <x:c r="AJ856" s="12" t="str">
        <x:f>IF(AC856="PUBLIC_CANDIDATE","public by default; still not canon","private/hold; do not publish")</x:f>
        <x:v>public by default; still not canon</x:v>
      </x:c>
      <x:c r="AK856" s="12" t="str">
        <x:f>IF(AE856="prepare_public_github_candidate","add receipt/status then mirror","resolve blocker before any public GitHub action")</x:f>
        <x:v>add receipt/status then mirror</x:v>
      </x:c>
    </x:row>
    <x:row r="857">
      <x:c r="A857" s="15" t="str">
        <x:v>SWARM-06-H12-S04</x:v>
      </x:c>
      <x:c r="B857" s="15" t="str">
        <x:v>Forgekid</x:v>
      </x:c>
      <x:c r="C857" s="15" t="str">
        <x:v>Aetherforge UX builder</x:v>
      </x:c>
      <x:c r="D857" s="15" t="str">
        <x:v>Canon-Gate Prep</x:v>
      </x:c>
      <x:c r="E857" s="15" t="str">
        <x:v>Gamma</x:v>
      </x:c>
      <x:c r="F857" s="15" t="str">
        <x:v>Prepare canon-gate brief for Gamma — Forgekid</x:v>
      </x:c>
      <x:c r="G857" s="15" t="str">
        <x:v>quest cards / task cards / board affordances</x:v>
      </x:c>
      <x:c r="H857" s="15" t="str">
        <x:v>source path + receipt + raw/export status + claim/edge/risk delta</x:v>
      </x:c>
      <x:c r="I857" s="15" t="str">
        <x:v>packet/SWARM-06-H12-S04</x:v>
      </x:c>
      <x:c r="J857" s="15" t="str">
        <x:v>TODO</x:v>
      </x:c>
      <x:c r="K857" s="15" t="str">
        <x:v>P1</x:v>
      </x:c>
      <x:c r="L857" s="15" t="str">
        <x:v>Done only when evidence is logged, contradiction search is noted, and boundary stamp remains non-canon unless ratified</x:v>
      </x:c>
      <x:c r="M857" s="15" t="str">
        <x:v>candidate / staging-only / not canon / not deployed / authority none</x:v>
      </x:c>
      <x:c r="N857" s="15" t="str">
        <x:v>Dispatch to Forgekid: complete Canon-Gate Prep x Gamma; return deltas only, receipts required.</x:v>
      </x:c>
      <x:c r="O857" s="15" t="str">
        <x:v>AF-KG-H12-S04</x:v>
      </x:c>
      <x:c r="P857" s="15" t="str">
        <x:v>Unverified</x:v>
      </x:c>
      <x:c r="Q857" s="15" t="str">
        <x:v>Not checked</x:v>
      </x:c>
      <x:c r="R857" s="15" t="str"/>
      <x:c r="S857" s="15" t="str"/>
      <x:c r="T857" s="15" t="str">
        <x:v>Log first source path or blocker</x:v>
      </x:c>
      <x:c r="U857" s="12" t="str">
        <x:f>IF(OR(P857="Unverified",Q857="Not checked"),"BLOCKED_PENDING_RECEIPT","READY_FOR_REVIEW")</x:f>
        <x:v>BLOCKED_PENDING_RECEIPT</x:v>
      </x:c>
      <x:c r="V857" s="12" t="str">
        <x:f>IF(J857="DONE","RETURNED",IF(U857="BLOCKED_PENDING_RECEIPT","SOURCE_TOUCH_REQUIRED","IN_PROGRESS"))</x:f>
        <x:v>SOURCE_TOUCH_REQUIRED</x:v>
      </x:c>
      <x:c r="W857" s="12" t="str">
        <x:f>IF(P857="Unverified","missing_receipt","receipt_logged")</x:f>
        <x:v>missing_receipt</x:v>
      </x:c>
      <x:c r="X857" s="12" t="str">
        <x:f>IF(Q857="Not checked","raw_status_missing","raw_status_logged")</x:f>
        <x:v>raw_status_missing</x:v>
      </x:c>
      <x:c r="Y857" s="12" t="str">
        <x:f>IF(U857="BLOCKED_PENDING_RECEIPT","Log source path or blocker; do not promote","Route to review lane")</x:f>
        <x:v>Log source path or blocker; do not promote</x:v>
      </x:c>
      <x:c r="Z857" s="12" t="str">
        <x:f>IF(K857="P0","Primary seat + Hashlight/Lucerna","Seat lane")</x:f>
        <x:v>Seat lane</x:v>
      </x:c>
      <x:c r="AA857" s="12" t="str">
        <x:f>IF(R857="","no_claim_delta","claim_delta_present")</x:f>
        <x:v>no_claim_delta</x:v>
      </x:c>
      <x:c r="AB857" s="12" t="str">
        <x:f>IF(S857="","no_contradiction_delta","contradiction_delta_present")</x:f>
        <x:v>no_contradiction_delta</x:v>
      </x:c>
      <x:c r="AC857" s="12" t="str">
        <x:f>IF(OR(ISNUMBER(SEARCH("hacker",LOWER(F857&amp;" "&amp;H857&amp;" "&amp;I857&amp;" "&amp;M857&amp;" "&amp;N857&amp;" "&amp;T857))),ISNUMBER(SEARCH("hacking",LOWER(F857&amp;" "&amp;H857&amp;" "&amp;I857&amp;" "&amp;M857&amp;" "&amp;N857&amp;" "&amp;T857))),ISNUMBER(SEARCH("bank",LOWER(F857&amp;" "&amp;H857&amp;" "&amp;I857&amp;" "&amp;M857&amp;" "&amp;N857&amp;" "&amp;T857))),ISNUMBER(SEARCH("banking",LOWER(F857&amp;" "&amp;H857&amp;" "&amp;I857&amp;" "&amp;M857&amp;" "&amp;N857&amp;" "&amp;T857)))),"PRIVATE_QUARANTINE",IF(OR(ISNUMBER(SEARCH("treasury",LOWER(F857&amp;" "&amp;H857&amp;" "&amp;I857&amp;" "&amp;M857&amp;" "&amp;N857&amp;" "&amp;T857))),ISNUMBER(SEARCH("debt",LOWER(F857&amp;" "&amp;H857&amp;" "&amp;I857&amp;" "&amp;M857&amp;" "&amp;N857&amp;" "&amp;T857))),ISNUMBER(SEARCH("bond",LOWER(F857&amp;" "&amp;H857&amp;" "&amp;I857&amp;" "&amp;M857&amp;" "&amp;N857&amp;" "&amp;T857))),ISNUMBER(SEARCH("transaction",LOWER(F857&amp;" "&amp;H857&amp;" "&amp;I857&amp;" "&amp;M857&amp;" "&amp;N857&amp;" "&amp;T857)))),"PRIVATE_REVIEW","PUBLIC_CANDIDATE"))</x:f>
        <x:v>PUBLIC_CANDIDATE</x:v>
      </x:c>
      <x:c r="AD857" s="12" t="str">
        <x:f>IF(AC857="PRIVATE_QUARANTINE","hacker_or_bank_trigger",IF(AC857="PRIVATE_REVIEW","finance_risk_trigger","none"))</x:f>
        <x:v>none</x:v>
      </x:c>
      <x:c r="AE857" s="12" t="str">
        <x:f>IF(AC857="PUBLIC_CANDIDATE","prepare_public_github_candidate",IF(AC857="PRIVATE_REVIEW","hold_for_private_review","quarantine_private_do_not_publish"))</x:f>
        <x:v>prepare_public_github_candidate</x:v>
      </x:c>
      <x:c r="AF857" s="12" t="str">
        <x:f>IF(AC857="PUBLIC_CANDIDATE","TIDELOCK + Lucerna",IF(AC857="PRIVATE_REVIEW","AtlasBrain + Lucerna","TIDELOCK + Lucerna + Human-root"))</x:f>
        <x:v>TIDELOCK + Lucerna</x:v>
      </x:c>
      <x:c r="AG857" s="12" t="str">
        <x:f>IF(AND(AC857="PUBLIC_CANDIDATE",U857&lt;&gt;"BLOCKED_PENDING_RECEIPT"),"READY_AFTER_RECEIPT","NOT_READY")</x:f>
        <x:v>NOT_READY</x:v>
      </x:c>
      <x:c r="AH857" s="12" t="str">
        <x:f>IF(AC857="PUBLIC_CANDIDATE","none",AD857)</x:f>
        <x:v>none</x:v>
      </x:c>
      <x:c r="AI857" s="12" t="str">
        <x:f>IF(AC857="PUBLIC_CANDIDATE","archive/public_candidates/"&amp;A857,"private_quarantine/"&amp;A857)</x:f>
        <x:v>archive/public_candidates/SWARM-06-H12-S04</x:v>
      </x:c>
      <x:c r="AJ857" s="12" t="str">
        <x:f>IF(AC857="PUBLIC_CANDIDATE","public by default; still not canon","private/hold; do not publish")</x:f>
        <x:v>public by default; still not canon</x:v>
      </x:c>
      <x:c r="AK857" s="12" t="str">
        <x:f>IF(AE857="prepare_public_github_candidate","add receipt/status then mirror","resolve blocker before any public GitHub action")</x:f>
        <x:v>add receipt/status then mirror</x:v>
      </x:c>
    </x:row>
    <x:row r="858">
      <x:c r="A858" s="15" t="str">
        <x:v>SWARM-06-H12-S05</x:v>
      </x:c>
      <x:c r="B858" s="15" t="str">
        <x:v>Forgekid</x:v>
      </x:c>
      <x:c r="C858" s="15" t="str">
        <x:v>Aetherforge UX builder</x:v>
      </x:c>
      <x:c r="D858" s="15" t="str">
        <x:v>Canon-Gate Prep</x:v>
      </x:c>
      <x:c r="E858" s="15" t="str">
        <x:v>Chat</x:v>
      </x:c>
      <x:c r="F858" s="15" t="str">
        <x:v>Prepare canon-gate brief for Chat — Forgekid</x:v>
      </x:c>
      <x:c r="G858" s="15" t="str">
        <x:v>quest cards / task cards / board affordances</x:v>
      </x:c>
      <x:c r="H858" s="15" t="str">
        <x:v>source path + receipt + raw/export status + claim/edge/risk delta</x:v>
      </x:c>
      <x:c r="I858" s="15" t="str">
        <x:v>packet/SWARM-06-H12-S05</x:v>
      </x:c>
      <x:c r="J858" s="15" t="str">
        <x:v>TODO</x:v>
      </x:c>
      <x:c r="K858" s="15" t="str">
        <x:v>P1</x:v>
      </x:c>
      <x:c r="L858" s="15" t="str">
        <x:v>Done only when evidence is logged, contradiction search is noted, and boundary stamp remains non-canon unless ratified</x:v>
      </x:c>
      <x:c r="M858" s="15" t="str">
        <x:v>candidate / staging-only / not canon / not deployed / authority none</x:v>
      </x:c>
      <x:c r="N858" s="15" t="str">
        <x:v>Dispatch to Forgekid: complete Canon-Gate Prep x Chat; return deltas only, receipts required.</x:v>
      </x:c>
      <x:c r="O858" s="15" t="str">
        <x:v>AF-KG-H12-S05</x:v>
      </x:c>
      <x:c r="P858" s="15" t="str">
        <x:v>Unverified</x:v>
      </x:c>
      <x:c r="Q858" s="15" t="str">
        <x:v>Not checked</x:v>
      </x:c>
      <x:c r="R858" s="15" t="str"/>
      <x:c r="S858" s="15" t="str"/>
      <x:c r="T858" s="15" t="str">
        <x:v>Log first source path or blocker</x:v>
      </x:c>
      <x:c r="U858" s="12" t="str">
        <x:f>IF(OR(P858="Unverified",Q858="Not checked"),"BLOCKED_PENDING_RECEIPT","READY_FOR_REVIEW")</x:f>
        <x:v>BLOCKED_PENDING_RECEIPT</x:v>
      </x:c>
      <x:c r="V858" s="12" t="str">
        <x:f>IF(J858="DONE","RETURNED",IF(U858="BLOCKED_PENDING_RECEIPT","SOURCE_TOUCH_REQUIRED","IN_PROGRESS"))</x:f>
        <x:v>SOURCE_TOUCH_REQUIRED</x:v>
      </x:c>
      <x:c r="W858" s="12" t="str">
        <x:f>IF(P858="Unverified","missing_receipt","receipt_logged")</x:f>
        <x:v>missing_receipt</x:v>
      </x:c>
      <x:c r="X858" s="12" t="str">
        <x:f>IF(Q858="Not checked","raw_status_missing","raw_status_logged")</x:f>
        <x:v>raw_status_missing</x:v>
      </x:c>
      <x:c r="Y858" s="12" t="str">
        <x:f>IF(U858="BLOCKED_PENDING_RECEIPT","Log source path or blocker; do not promote","Route to review lane")</x:f>
        <x:v>Log source path or blocker; do not promote</x:v>
      </x:c>
      <x:c r="Z858" s="12" t="str">
        <x:f>IF(K858="P0","Primary seat + Hashlight/Lucerna","Seat lane")</x:f>
        <x:v>Seat lane</x:v>
      </x:c>
      <x:c r="AA858" s="12" t="str">
        <x:f>IF(R858="","no_claim_delta","claim_delta_present")</x:f>
        <x:v>no_claim_delta</x:v>
      </x:c>
      <x:c r="AB858" s="12" t="str">
        <x:f>IF(S858="","no_contradiction_delta","contradiction_delta_present")</x:f>
        <x:v>no_contradiction_delta</x:v>
      </x:c>
      <x:c r="AC858" s="12" t="str">
        <x:f>IF(OR(ISNUMBER(SEARCH("hacker",LOWER(F858&amp;" "&amp;H858&amp;" "&amp;I858&amp;" "&amp;M858&amp;" "&amp;N858&amp;" "&amp;T858))),ISNUMBER(SEARCH("hacking",LOWER(F858&amp;" "&amp;H858&amp;" "&amp;I858&amp;" "&amp;M858&amp;" "&amp;N858&amp;" "&amp;T858))),ISNUMBER(SEARCH("bank",LOWER(F858&amp;" "&amp;H858&amp;" "&amp;I858&amp;" "&amp;M858&amp;" "&amp;N858&amp;" "&amp;T858))),ISNUMBER(SEARCH("banking",LOWER(F858&amp;" "&amp;H858&amp;" "&amp;I858&amp;" "&amp;M858&amp;" "&amp;N858&amp;" "&amp;T858)))),"PRIVATE_QUARANTINE",IF(OR(ISNUMBER(SEARCH("treasury",LOWER(F858&amp;" "&amp;H858&amp;" "&amp;I858&amp;" "&amp;M858&amp;" "&amp;N858&amp;" "&amp;T858))),ISNUMBER(SEARCH("debt",LOWER(F858&amp;" "&amp;H858&amp;" "&amp;I858&amp;" "&amp;M858&amp;" "&amp;N858&amp;" "&amp;T858))),ISNUMBER(SEARCH("bond",LOWER(F858&amp;" "&amp;H858&amp;" "&amp;I858&amp;" "&amp;M858&amp;" "&amp;N858&amp;" "&amp;T858))),ISNUMBER(SEARCH("transaction",LOWER(F858&amp;" "&amp;H858&amp;" "&amp;I858&amp;" "&amp;M858&amp;" "&amp;N858&amp;" "&amp;T858)))),"PRIVATE_REVIEW","PUBLIC_CANDIDATE"))</x:f>
        <x:v>PUBLIC_CANDIDATE</x:v>
      </x:c>
      <x:c r="AD858" s="12" t="str">
        <x:f>IF(AC858="PRIVATE_QUARANTINE","hacker_or_bank_trigger",IF(AC858="PRIVATE_REVIEW","finance_risk_trigger","none"))</x:f>
        <x:v>none</x:v>
      </x:c>
      <x:c r="AE858" s="12" t="str">
        <x:f>IF(AC858="PUBLIC_CANDIDATE","prepare_public_github_candidate",IF(AC858="PRIVATE_REVIEW","hold_for_private_review","quarantine_private_do_not_publish"))</x:f>
        <x:v>prepare_public_github_candidate</x:v>
      </x:c>
      <x:c r="AF858" s="12" t="str">
        <x:f>IF(AC858="PUBLIC_CANDIDATE","TIDELOCK + Lucerna",IF(AC858="PRIVATE_REVIEW","AtlasBrain + Lucerna","TIDELOCK + Lucerna + Human-root"))</x:f>
        <x:v>TIDELOCK + Lucerna</x:v>
      </x:c>
      <x:c r="AG858" s="12" t="str">
        <x:f>IF(AND(AC858="PUBLIC_CANDIDATE",U858&lt;&gt;"BLOCKED_PENDING_RECEIPT"),"READY_AFTER_RECEIPT","NOT_READY")</x:f>
        <x:v>NOT_READY</x:v>
      </x:c>
      <x:c r="AH858" s="12" t="str">
        <x:f>IF(AC858="PUBLIC_CANDIDATE","none",AD858)</x:f>
        <x:v>none</x:v>
      </x:c>
      <x:c r="AI858" s="12" t="str">
        <x:f>IF(AC858="PUBLIC_CANDIDATE","archive/public_candidates/"&amp;A858,"private_quarantine/"&amp;A858)</x:f>
        <x:v>archive/public_candidates/SWARM-06-H12-S05</x:v>
      </x:c>
      <x:c r="AJ858" s="12" t="str">
        <x:f>IF(AC858="PUBLIC_CANDIDATE","public by default; still not canon","private/hold; do not publish")</x:f>
        <x:v>public by default; still not canon</x:v>
      </x:c>
      <x:c r="AK858" s="12" t="str">
        <x:f>IF(AE858="prepare_public_github_candidate","add receipt/status then mirror","resolve blocker before any public GitHub action")</x:f>
        <x:v>add receipt/status then mirror</x:v>
      </x:c>
    </x:row>
    <x:row r="859">
      <x:c r="A859" s="15" t="str">
        <x:v>SWARM-06-H12-S06</x:v>
      </x:c>
      <x:c r="B859" s="15" t="str">
        <x:v>Forgekid</x:v>
      </x:c>
      <x:c r="C859" s="15" t="str">
        <x:v>Aetherforge UX builder</x:v>
      </x:c>
      <x:c r="D859" s="15" t="str">
        <x:v>Canon-Gate Prep</x:v>
      </x:c>
      <x:c r="E859" s="15" t="str">
        <x:v>External Web</x:v>
      </x:c>
      <x:c r="F859" s="15" t="str">
        <x:v>Prepare canon-gate brief for External Web — Forgekid</x:v>
      </x:c>
      <x:c r="G859" s="15" t="str">
        <x:v>quest cards / task cards / board affordances</x:v>
      </x:c>
      <x:c r="H859" s="15" t="str">
        <x:v>source path + receipt + raw/export status + claim/edge/risk delta</x:v>
      </x:c>
      <x:c r="I859" s="15" t="str">
        <x:v>packet/SWARM-06-H12-S06</x:v>
      </x:c>
      <x:c r="J859" s="15" t="str">
        <x:v>TODO</x:v>
      </x:c>
      <x:c r="K859" s="15" t="str">
        <x:v>P1</x:v>
      </x:c>
      <x:c r="L859" s="15" t="str">
        <x:v>Done only when evidence is logged, contradiction search is noted, and boundary stamp remains non-canon unless ratified</x:v>
      </x:c>
      <x:c r="M859" s="15" t="str">
        <x:v>candidate / staging-only / not canon / not deployed / authority none</x:v>
      </x:c>
      <x:c r="N859" s="15" t="str">
        <x:v>Dispatch to Forgekid: complete Canon-Gate Prep x External Web; return deltas only, receipts required.</x:v>
      </x:c>
      <x:c r="O859" s="15" t="str">
        <x:v>AF-KG-H12-S06</x:v>
      </x:c>
      <x:c r="P859" s="15" t="str">
        <x:v>Unverified</x:v>
      </x:c>
      <x:c r="Q859" s="15" t="str">
        <x:v>Not checked</x:v>
      </x:c>
      <x:c r="R859" s="15" t="str"/>
      <x:c r="S859" s="15" t="str"/>
      <x:c r="T859" s="15" t="str">
        <x:v>Log first source path or blocker</x:v>
      </x:c>
      <x:c r="U859" s="12" t="str">
        <x:f>IF(OR(P859="Unverified",Q859="Not checked"),"BLOCKED_PENDING_RECEIPT","READY_FOR_REVIEW")</x:f>
        <x:v>BLOCKED_PENDING_RECEIPT</x:v>
      </x:c>
      <x:c r="V859" s="12" t="str">
        <x:f>IF(J859="DONE","RETURNED",IF(U859="BLOCKED_PENDING_RECEIPT","SOURCE_TOUCH_REQUIRED","IN_PROGRESS"))</x:f>
        <x:v>SOURCE_TOUCH_REQUIRED</x:v>
      </x:c>
      <x:c r="W859" s="12" t="str">
        <x:f>IF(P859="Unverified","missing_receipt","receipt_logged")</x:f>
        <x:v>missing_receipt</x:v>
      </x:c>
      <x:c r="X859" s="12" t="str">
        <x:f>IF(Q859="Not checked","raw_status_missing","raw_status_logged")</x:f>
        <x:v>raw_status_missing</x:v>
      </x:c>
      <x:c r="Y859" s="12" t="str">
        <x:f>IF(U859="BLOCKED_PENDING_RECEIPT","Log source path or blocker; do not promote","Route to review lane")</x:f>
        <x:v>Log source path or blocker; do not promote</x:v>
      </x:c>
      <x:c r="Z859" s="12" t="str">
        <x:f>IF(K859="P0","Primary seat + Hashlight/Lucerna","Seat lane")</x:f>
        <x:v>Seat lane</x:v>
      </x:c>
      <x:c r="AA859" s="12" t="str">
        <x:f>IF(R859="","no_claim_delta","claim_delta_present")</x:f>
        <x:v>no_claim_delta</x:v>
      </x:c>
      <x:c r="AB859" s="12" t="str">
        <x:f>IF(S859="","no_contradiction_delta","contradiction_delta_present")</x:f>
        <x:v>no_contradiction_delta</x:v>
      </x:c>
      <x:c r="AC859" s="12" t="str">
        <x:f>IF(OR(ISNUMBER(SEARCH("hacker",LOWER(F859&amp;" "&amp;H859&amp;" "&amp;I859&amp;" "&amp;M859&amp;" "&amp;N859&amp;" "&amp;T859))),ISNUMBER(SEARCH("hacking",LOWER(F859&amp;" "&amp;H859&amp;" "&amp;I859&amp;" "&amp;M859&amp;" "&amp;N859&amp;" "&amp;T859))),ISNUMBER(SEARCH("bank",LOWER(F859&amp;" "&amp;H859&amp;" "&amp;I859&amp;" "&amp;M859&amp;" "&amp;N859&amp;" "&amp;T859))),ISNUMBER(SEARCH("banking",LOWER(F859&amp;" "&amp;H859&amp;" "&amp;I859&amp;" "&amp;M859&amp;" "&amp;N859&amp;" "&amp;T859)))),"PRIVATE_QUARANTINE",IF(OR(ISNUMBER(SEARCH("treasury",LOWER(F859&amp;" "&amp;H859&amp;" "&amp;I859&amp;" "&amp;M859&amp;" "&amp;N859&amp;" "&amp;T859))),ISNUMBER(SEARCH("debt",LOWER(F859&amp;" "&amp;H859&amp;" "&amp;I859&amp;" "&amp;M859&amp;" "&amp;N859&amp;" "&amp;T859))),ISNUMBER(SEARCH("bond",LOWER(F859&amp;" "&amp;H859&amp;" "&amp;I859&amp;" "&amp;M859&amp;" "&amp;N859&amp;" "&amp;T859))),ISNUMBER(SEARCH("transaction",LOWER(F859&amp;" "&amp;H859&amp;" "&amp;I859&amp;" "&amp;M859&amp;" "&amp;N859&amp;" "&amp;T859)))),"PRIVATE_REVIEW","PUBLIC_CANDIDATE"))</x:f>
        <x:v>PUBLIC_CANDIDATE</x:v>
      </x:c>
      <x:c r="AD859" s="12" t="str">
        <x:f>IF(AC859="PRIVATE_QUARANTINE","hacker_or_bank_trigger",IF(AC859="PRIVATE_REVIEW","finance_risk_trigger","none"))</x:f>
        <x:v>none</x:v>
      </x:c>
      <x:c r="AE859" s="12" t="str">
        <x:f>IF(AC859="PUBLIC_CANDIDATE","prepare_public_github_candidate",IF(AC859="PRIVATE_REVIEW","hold_for_private_review","quarantine_private_do_not_publish"))</x:f>
        <x:v>prepare_public_github_candidate</x:v>
      </x:c>
      <x:c r="AF859" s="12" t="str">
        <x:f>IF(AC859="PUBLIC_CANDIDATE","TIDELOCK + Lucerna",IF(AC859="PRIVATE_REVIEW","AtlasBrain + Lucerna","TIDELOCK + Lucerna + Human-root"))</x:f>
        <x:v>TIDELOCK + Lucerna</x:v>
      </x:c>
      <x:c r="AG859" s="12" t="str">
        <x:f>IF(AND(AC859="PUBLIC_CANDIDATE",U859&lt;&gt;"BLOCKED_PENDING_RECEIPT"),"READY_AFTER_RECEIPT","NOT_READY")</x:f>
        <x:v>NOT_READY</x:v>
      </x:c>
      <x:c r="AH859" s="12" t="str">
        <x:f>IF(AC859="PUBLIC_CANDIDATE","none",AD859)</x:f>
        <x:v>none</x:v>
      </x:c>
      <x:c r="AI859" s="12" t="str">
        <x:f>IF(AC859="PUBLIC_CANDIDATE","archive/public_candidates/"&amp;A859,"private_quarantine/"&amp;A859)</x:f>
        <x:v>archive/public_candidates/SWARM-06-H12-S06</x:v>
      </x:c>
      <x:c r="AJ859" s="12" t="str">
        <x:f>IF(AC859="PUBLIC_CANDIDATE","public by default; still not canon","private/hold; do not publish")</x:f>
        <x:v>public by default; still not canon</x:v>
      </x:c>
      <x:c r="AK859" s="12" t="str">
        <x:f>IF(AE859="prepare_public_github_candidate","add receipt/status then mirror","resolve blocker before any public GitHub action")</x:f>
        <x:v>add receipt/status then mirror</x:v>
      </x:c>
    </x:row>
    <x:row r="860">
      <x:c r="A860" s="15" t="str">
        <x:v>SWARM-06-H12-S07</x:v>
      </x:c>
      <x:c r="B860" s="15" t="str">
        <x:v>Forgekid</x:v>
      </x:c>
      <x:c r="C860" s="15" t="str">
        <x:v>Aetherforge UX builder</x:v>
      </x:c>
      <x:c r="D860" s="15" t="str">
        <x:v>Canon-Gate Prep</x:v>
      </x:c>
      <x:c r="E860" s="15" t="str">
        <x:v>Planetarium</x:v>
      </x:c>
      <x:c r="F860" s="15" t="str">
        <x:v>Prepare canon-gate brief for Planetarium — Forgekid</x:v>
      </x:c>
      <x:c r="G860" s="15" t="str">
        <x:v>quest cards / task cards / board affordances</x:v>
      </x:c>
      <x:c r="H860" s="15" t="str">
        <x:v>source path + receipt + raw/export status + claim/edge/risk delta</x:v>
      </x:c>
      <x:c r="I860" s="15" t="str">
        <x:v>packet/SWARM-06-H12-S07</x:v>
      </x:c>
      <x:c r="J860" s="15" t="str">
        <x:v>TODO</x:v>
      </x:c>
      <x:c r="K860" s="15" t="str">
        <x:v>P1</x:v>
      </x:c>
      <x:c r="L860" s="15" t="str">
        <x:v>Done only when evidence is logged, contradiction search is noted, and boundary stamp remains non-canon unless ratified</x:v>
      </x:c>
      <x:c r="M860" s="15" t="str">
        <x:v>candidate / staging-only / not canon / not deployed / authority none</x:v>
      </x:c>
      <x:c r="N860" s="15" t="str">
        <x:v>Dispatch to Forgekid: complete Canon-Gate Prep x Planetarium; return deltas only, receipts required.</x:v>
      </x:c>
      <x:c r="O860" s="15" t="str">
        <x:v>AF-KG-H12-S07</x:v>
      </x:c>
      <x:c r="P860" s="15" t="str">
        <x:v>Unverified</x:v>
      </x:c>
      <x:c r="Q860" s="15" t="str">
        <x:v>Not checked</x:v>
      </x:c>
      <x:c r="R860" s="15" t="str"/>
      <x:c r="S860" s="15" t="str"/>
      <x:c r="T860" s="15" t="str">
        <x:v>Log first source path or blocker</x:v>
      </x:c>
      <x:c r="U860" s="12" t="str">
        <x:f>IF(OR(P860="Unverified",Q860="Not checked"),"BLOCKED_PENDING_RECEIPT","READY_FOR_REVIEW")</x:f>
        <x:v>BLOCKED_PENDING_RECEIPT</x:v>
      </x:c>
      <x:c r="V860" s="12" t="str">
        <x:f>IF(J860="DONE","RETURNED",IF(U860="BLOCKED_PENDING_RECEIPT","SOURCE_TOUCH_REQUIRED","IN_PROGRESS"))</x:f>
        <x:v>SOURCE_TOUCH_REQUIRED</x:v>
      </x:c>
      <x:c r="W860" s="12" t="str">
        <x:f>IF(P860="Unverified","missing_receipt","receipt_logged")</x:f>
        <x:v>missing_receipt</x:v>
      </x:c>
      <x:c r="X860" s="12" t="str">
        <x:f>IF(Q860="Not checked","raw_status_missing","raw_status_logged")</x:f>
        <x:v>raw_status_missing</x:v>
      </x:c>
      <x:c r="Y860" s="12" t="str">
        <x:f>IF(U860="BLOCKED_PENDING_RECEIPT","Log source path or blocker; do not promote","Route to review lane")</x:f>
        <x:v>Log source path or blocker; do not promote</x:v>
      </x:c>
      <x:c r="Z860" s="12" t="str">
        <x:f>IF(K860="P0","Primary seat + Hashlight/Lucerna","Seat lane")</x:f>
        <x:v>Seat lane</x:v>
      </x:c>
      <x:c r="AA860" s="12" t="str">
        <x:f>IF(R860="","no_claim_delta","claim_delta_present")</x:f>
        <x:v>no_claim_delta</x:v>
      </x:c>
      <x:c r="AB860" s="12" t="str">
        <x:f>IF(S860="","no_contradiction_delta","contradiction_delta_present")</x:f>
        <x:v>no_contradiction_delta</x:v>
      </x:c>
      <x:c r="AC860" s="12" t="str">
        <x:f>IF(OR(ISNUMBER(SEARCH("hacker",LOWER(F860&amp;" "&amp;H860&amp;" "&amp;I860&amp;" "&amp;M860&amp;" "&amp;N860&amp;" "&amp;T860))),ISNUMBER(SEARCH("hacking",LOWER(F860&amp;" "&amp;H860&amp;" "&amp;I860&amp;" "&amp;M860&amp;" "&amp;N860&amp;" "&amp;T860))),ISNUMBER(SEARCH("bank",LOWER(F860&amp;" "&amp;H860&amp;" "&amp;I860&amp;" "&amp;M860&amp;" "&amp;N860&amp;" "&amp;T860))),ISNUMBER(SEARCH("banking",LOWER(F860&amp;" "&amp;H860&amp;" "&amp;I860&amp;" "&amp;M860&amp;" "&amp;N860&amp;" "&amp;T860)))),"PRIVATE_QUARANTINE",IF(OR(ISNUMBER(SEARCH("treasury",LOWER(F860&amp;" "&amp;H860&amp;" "&amp;I860&amp;" "&amp;M860&amp;" "&amp;N860&amp;" "&amp;T860))),ISNUMBER(SEARCH("debt",LOWER(F860&amp;" "&amp;H860&amp;" "&amp;I860&amp;" "&amp;M860&amp;" "&amp;N860&amp;" "&amp;T860))),ISNUMBER(SEARCH("bond",LOWER(F860&amp;" "&amp;H860&amp;" "&amp;I860&amp;" "&amp;M860&amp;" "&amp;N860&amp;" "&amp;T860))),ISNUMBER(SEARCH("transaction",LOWER(F860&amp;" "&amp;H860&amp;" "&amp;I860&amp;" "&amp;M860&amp;" "&amp;N860&amp;" "&amp;T860)))),"PRIVATE_REVIEW","PUBLIC_CANDIDATE"))</x:f>
        <x:v>PUBLIC_CANDIDATE</x:v>
      </x:c>
      <x:c r="AD860" s="12" t="str">
        <x:f>IF(AC860="PRIVATE_QUARANTINE","hacker_or_bank_trigger",IF(AC860="PRIVATE_REVIEW","finance_risk_trigger","none"))</x:f>
        <x:v>none</x:v>
      </x:c>
      <x:c r="AE860" s="12" t="str">
        <x:f>IF(AC860="PUBLIC_CANDIDATE","prepare_public_github_candidate",IF(AC860="PRIVATE_REVIEW","hold_for_private_review","quarantine_private_do_not_publish"))</x:f>
        <x:v>prepare_public_github_candidate</x:v>
      </x:c>
      <x:c r="AF860" s="12" t="str">
        <x:f>IF(AC860="PUBLIC_CANDIDATE","TIDELOCK + Lucerna",IF(AC860="PRIVATE_REVIEW","AtlasBrain + Lucerna","TIDELOCK + Lucerna + Human-root"))</x:f>
        <x:v>TIDELOCK + Lucerna</x:v>
      </x:c>
      <x:c r="AG860" s="12" t="str">
        <x:f>IF(AND(AC860="PUBLIC_CANDIDATE",U860&lt;&gt;"BLOCKED_PENDING_RECEIPT"),"READY_AFTER_RECEIPT","NOT_READY")</x:f>
        <x:v>NOT_READY</x:v>
      </x:c>
      <x:c r="AH860" s="12" t="str">
        <x:f>IF(AC860="PUBLIC_CANDIDATE","none",AD860)</x:f>
        <x:v>none</x:v>
      </x:c>
      <x:c r="AI860" s="12" t="str">
        <x:f>IF(AC860="PUBLIC_CANDIDATE","archive/public_candidates/"&amp;A860,"private_quarantine/"&amp;A860)</x:f>
        <x:v>archive/public_candidates/SWARM-06-H12-S07</x:v>
      </x:c>
      <x:c r="AJ860" s="12" t="str">
        <x:f>IF(AC860="PUBLIC_CANDIDATE","public by default; still not canon","private/hold; do not publish")</x:f>
        <x:v>public by default; still not canon</x:v>
      </x:c>
      <x:c r="AK860" s="12" t="str">
        <x:f>IF(AE860="prepare_public_github_candidate","add receipt/status then mirror","resolve blocker before any public GitHub action")</x:f>
        <x:v>add receipt/status then mirror</x:v>
      </x:c>
    </x:row>
    <x:row r="861">
      <x:c r="A861" s="15" t="str">
        <x:v>SWARM-06-H12-S08</x:v>
      </x:c>
      <x:c r="B861" s="15" t="str">
        <x:v>Forgekid</x:v>
      </x:c>
      <x:c r="C861" s="15" t="str">
        <x:v>Aetherforge UX builder</x:v>
      </x:c>
      <x:c r="D861" s="15" t="str">
        <x:v>Canon-Gate Prep</x:v>
      </x:c>
      <x:c r="E861" s="15" t="str">
        <x:v>Sheldonbrain</x:v>
      </x:c>
      <x:c r="F861" s="15" t="str">
        <x:v>Prepare canon-gate brief for Sheldonbrain — Forgekid</x:v>
      </x:c>
      <x:c r="G861" s="15" t="str">
        <x:v>quest cards / task cards / board affordances</x:v>
      </x:c>
      <x:c r="H861" s="15" t="str">
        <x:v>source path + receipt + raw/export status + claim/edge/risk delta</x:v>
      </x:c>
      <x:c r="I861" s="15" t="str">
        <x:v>packet/SWARM-06-H12-S08</x:v>
      </x:c>
      <x:c r="J861" s="15" t="str">
        <x:v>TODO</x:v>
      </x:c>
      <x:c r="K861" s="15" t="str">
        <x:v>P1</x:v>
      </x:c>
      <x:c r="L861" s="15" t="str">
        <x:v>Done only when evidence is logged, contradiction search is noted, and boundary stamp remains non-canon unless ratified</x:v>
      </x:c>
      <x:c r="M861" s="15" t="str">
        <x:v>candidate / staging-only / not canon / not deployed / authority none</x:v>
      </x:c>
      <x:c r="N861" s="15" t="str">
        <x:v>Dispatch to Forgekid: complete Canon-Gate Prep x Sheldonbrain; return deltas only, receipts required.</x:v>
      </x:c>
      <x:c r="O861" s="15" t="str">
        <x:v>AF-KG-H12-S08</x:v>
      </x:c>
      <x:c r="P861" s="15" t="str">
        <x:v>Unverified</x:v>
      </x:c>
      <x:c r="Q861" s="15" t="str">
        <x:v>Not checked</x:v>
      </x:c>
      <x:c r="R861" s="15" t="str"/>
      <x:c r="S861" s="15" t="str"/>
      <x:c r="T861" s="15" t="str">
        <x:v>Log first source path or blocker</x:v>
      </x:c>
      <x:c r="U861" s="12" t="str">
        <x:f>IF(OR(P861="Unverified",Q861="Not checked"),"BLOCKED_PENDING_RECEIPT","READY_FOR_REVIEW")</x:f>
        <x:v>BLOCKED_PENDING_RECEIPT</x:v>
      </x:c>
      <x:c r="V861" s="12" t="str">
        <x:f>IF(J861="DONE","RETURNED",IF(U861="BLOCKED_PENDING_RECEIPT","SOURCE_TOUCH_REQUIRED","IN_PROGRESS"))</x:f>
        <x:v>SOURCE_TOUCH_REQUIRED</x:v>
      </x:c>
      <x:c r="W861" s="12" t="str">
        <x:f>IF(P861="Unverified","missing_receipt","receipt_logged")</x:f>
        <x:v>missing_receipt</x:v>
      </x:c>
      <x:c r="X861" s="12" t="str">
        <x:f>IF(Q861="Not checked","raw_status_missing","raw_status_logged")</x:f>
        <x:v>raw_status_missing</x:v>
      </x:c>
      <x:c r="Y861" s="12" t="str">
        <x:f>IF(U861="BLOCKED_PENDING_RECEIPT","Log source path or blocker; do not promote","Route to review lane")</x:f>
        <x:v>Log source path or blocker; do not promote</x:v>
      </x:c>
      <x:c r="Z861" s="12" t="str">
        <x:f>IF(K861="P0","Primary seat + Hashlight/Lucerna","Seat lane")</x:f>
        <x:v>Seat lane</x:v>
      </x:c>
      <x:c r="AA861" s="12" t="str">
        <x:f>IF(R861="","no_claim_delta","claim_delta_present")</x:f>
        <x:v>no_claim_delta</x:v>
      </x:c>
      <x:c r="AB861" s="12" t="str">
        <x:f>IF(S861="","no_contradiction_delta","contradiction_delta_present")</x:f>
        <x:v>no_contradiction_delta</x:v>
      </x:c>
      <x:c r="AC861" s="12" t="str">
        <x:f>IF(OR(ISNUMBER(SEARCH("hacker",LOWER(F861&amp;" "&amp;H861&amp;" "&amp;I861&amp;" "&amp;M861&amp;" "&amp;N861&amp;" "&amp;T861))),ISNUMBER(SEARCH("hacking",LOWER(F861&amp;" "&amp;H861&amp;" "&amp;I861&amp;" "&amp;M861&amp;" "&amp;N861&amp;" "&amp;T861))),ISNUMBER(SEARCH("bank",LOWER(F861&amp;" "&amp;H861&amp;" "&amp;I861&amp;" "&amp;M861&amp;" "&amp;N861&amp;" "&amp;T861))),ISNUMBER(SEARCH("banking",LOWER(F861&amp;" "&amp;H861&amp;" "&amp;I861&amp;" "&amp;M861&amp;" "&amp;N861&amp;" "&amp;T861)))),"PRIVATE_QUARANTINE",IF(OR(ISNUMBER(SEARCH("treasury",LOWER(F861&amp;" "&amp;H861&amp;" "&amp;I861&amp;" "&amp;M861&amp;" "&amp;N861&amp;" "&amp;T861))),ISNUMBER(SEARCH("debt",LOWER(F861&amp;" "&amp;H861&amp;" "&amp;I861&amp;" "&amp;M861&amp;" "&amp;N861&amp;" "&amp;T861))),ISNUMBER(SEARCH("bond",LOWER(F861&amp;" "&amp;H861&amp;" "&amp;I861&amp;" "&amp;M861&amp;" "&amp;N861&amp;" "&amp;T861))),ISNUMBER(SEARCH("transaction",LOWER(F861&amp;" "&amp;H861&amp;" "&amp;I861&amp;" "&amp;M861&amp;" "&amp;N861&amp;" "&amp;T861)))),"PRIVATE_REVIEW","PUBLIC_CANDIDATE"))</x:f>
        <x:v>PUBLIC_CANDIDATE</x:v>
      </x:c>
      <x:c r="AD861" s="12" t="str">
        <x:f>IF(AC861="PRIVATE_QUARANTINE","hacker_or_bank_trigger",IF(AC861="PRIVATE_REVIEW","finance_risk_trigger","none"))</x:f>
        <x:v>none</x:v>
      </x:c>
      <x:c r="AE861" s="12" t="str">
        <x:f>IF(AC861="PUBLIC_CANDIDATE","prepare_public_github_candidate",IF(AC861="PRIVATE_REVIEW","hold_for_private_review","quarantine_private_do_not_publish"))</x:f>
        <x:v>prepare_public_github_candidate</x:v>
      </x:c>
      <x:c r="AF861" s="12" t="str">
        <x:f>IF(AC861="PUBLIC_CANDIDATE","TIDELOCK + Lucerna",IF(AC861="PRIVATE_REVIEW","AtlasBrain + Lucerna","TIDELOCK + Lucerna + Human-root"))</x:f>
        <x:v>TIDELOCK + Lucerna</x:v>
      </x:c>
      <x:c r="AG861" s="12" t="str">
        <x:f>IF(AND(AC861="PUBLIC_CANDIDATE",U861&lt;&gt;"BLOCKED_PENDING_RECEIPT"),"READY_AFTER_RECEIPT","NOT_READY")</x:f>
        <x:v>NOT_READY</x:v>
      </x:c>
      <x:c r="AH861" s="12" t="str">
        <x:f>IF(AC861="PUBLIC_CANDIDATE","none",AD861)</x:f>
        <x:v>none</x:v>
      </x:c>
      <x:c r="AI861" s="12" t="str">
        <x:f>IF(AC861="PUBLIC_CANDIDATE","archive/public_candidates/"&amp;A861,"private_quarantine/"&amp;A861)</x:f>
        <x:v>archive/public_candidates/SWARM-06-H12-S08</x:v>
      </x:c>
      <x:c r="AJ861" s="12" t="str">
        <x:f>IF(AC861="PUBLIC_CANDIDATE","public by default; still not canon","private/hold; do not publish")</x:f>
        <x:v>public by default; still not canon</x:v>
      </x:c>
      <x:c r="AK861" s="12" t="str">
        <x:f>IF(AE861="prepare_public_github_candidate","add receipt/status then mirror","resolve blocker before any public GitHub action")</x:f>
        <x:v>add receipt/status then mirror</x:v>
      </x:c>
    </x:row>
    <x:row r="862">
      <x:c r="A862" s="15" t="str">
        <x:v>SWARM-06-H12-S09</x:v>
      </x:c>
      <x:c r="B862" s="15" t="str">
        <x:v>Forgekid</x:v>
      </x:c>
      <x:c r="C862" s="15" t="str">
        <x:v>Aetherforge UX builder</x:v>
      </x:c>
      <x:c r="D862" s="15" t="str">
        <x:v>Canon-Gate Prep</x:v>
      </x:c>
      <x:c r="E862" s="15" t="str">
        <x:v>Aetherforge</x:v>
      </x:c>
      <x:c r="F862" s="15" t="str">
        <x:v>Prepare canon-gate brief for Aetherforge — Forgekid</x:v>
      </x:c>
      <x:c r="G862" s="15" t="str">
        <x:v>quest cards / task cards / board affordances</x:v>
      </x:c>
      <x:c r="H862" s="15" t="str">
        <x:v>source path + receipt + raw/export status + claim/edge/risk delta</x:v>
      </x:c>
      <x:c r="I862" s="15" t="str">
        <x:v>packet/SWARM-06-H12-S09</x:v>
      </x:c>
      <x:c r="J862" s="15" t="str">
        <x:v>TODO</x:v>
      </x:c>
      <x:c r="K862" s="15" t="str">
        <x:v>P2</x:v>
      </x:c>
      <x:c r="L862" s="15" t="str">
        <x:v>Done only when evidence is logged, contradiction search is noted, and boundary stamp remains non-canon unless ratified</x:v>
      </x:c>
      <x:c r="M862" s="15" t="str">
        <x:v>candidate / staging-only / not canon / not deployed / authority none</x:v>
      </x:c>
      <x:c r="N862" s="15" t="str">
        <x:v>Dispatch to Forgekid: complete Canon-Gate Prep x Aetherforge; return deltas only, receipts required.</x:v>
      </x:c>
      <x:c r="O862" s="15" t="str">
        <x:v>AF-KG-H12-S09</x:v>
      </x:c>
      <x:c r="P862" s="15" t="str">
        <x:v>Unverified</x:v>
      </x:c>
      <x:c r="Q862" s="15" t="str">
        <x:v>Not checked</x:v>
      </x:c>
      <x:c r="R862" s="15" t="str"/>
      <x:c r="S862" s="15" t="str"/>
      <x:c r="T862" s="15" t="str">
        <x:v>Log first source path or blocker</x:v>
      </x:c>
      <x:c r="U862" s="12" t="str">
        <x:f>IF(OR(P862="Unverified",Q862="Not checked"),"BLOCKED_PENDING_RECEIPT","READY_FOR_REVIEW")</x:f>
        <x:v>BLOCKED_PENDING_RECEIPT</x:v>
      </x:c>
      <x:c r="V862" s="12" t="str">
        <x:f>IF(J862="DONE","RETURNED",IF(U862="BLOCKED_PENDING_RECEIPT","SOURCE_TOUCH_REQUIRED","IN_PROGRESS"))</x:f>
        <x:v>SOURCE_TOUCH_REQUIRED</x:v>
      </x:c>
      <x:c r="W862" s="12" t="str">
        <x:f>IF(P862="Unverified","missing_receipt","receipt_logged")</x:f>
        <x:v>missing_receipt</x:v>
      </x:c>
      <x:c r="X862" s="12" t="str">
        <x:f>IF(Q862="Not checked","raw_status_missing","raw_status_logged")</x:f>
        <x:v>raw_status_missing</x:v>
      </x:c>
      <x:c r="Y862" s="12" t="str">
        <x:f>IF(U862="BLOCKED_PENDING_RECEIPT","Log source path or blocker; do not promote","Route to review lane")</x:f>
        <x:v>Log source path or blocker; do not promote</x:v>
      </x:c>
      <x:c r="Z862" s="12" t="str">
        <x:f>IF(K862="P0","Primary seat + Hashlight/Lucerna","Seat lane")</x:f>
        <x:v>Seat lane</x:v>
      </x:c>
      <x:c r="AA862" s="12" t="str">
        <x:f>IF(R862="","no_claim_delta","claim_delta_present")</x:f>
        <x:v>no_claim_delta</x:v>
      </x:c>
      <x:c r="AB862" s="12" t="str">
        <x:f>IF(S862="","no_contradiction_delta","contradiction_delta_present")</x:f>
        <x:v>no_contradiction_delta</x:v>
      </x:c>
      <x:c r="AC862" s="12" t="str">
        <x:f>IF(OR(ISNUMBER(SEARCH("hacker",LOWER(F862&amp;" "&amp;H862&amp;" "&amp;I862&amp;" "&amp;M862&amp;" "&amp;N862&amp;" "&amp;T862))),ISNUMBER(SEARCH("hacking",LOWER(F862&amp;" "&amp;H862&amp;" "&amp;I862&amp;" "&amp;M862&amp;" "&amp;N862&amp;" "&amp;T862))),ISNUMBER(SEARCH("bank",LOWER(F862&amp;" "&amp;H862&amp;" "&amp;I862&amp;" "&amp;M862&amp;" "&amp;N862&amp;" "&amp;T862))),ISNUMBER(SEARCH("banking",LOWER(F862&amp;" "&amp;H862&amp;" "&amp;I862&amp;" "&amp;M862&amp;" "&amp;N862&amp;" "&amp;T862)))),"PRIVATE_QUARANTINE",IF(OR(ISNUMBER(SEARCH("treasury",LOWER(F862&amp;" "&amp;H862&amp;" "&amp;I862&amp;" "&amp;M862&amp;" "&amp;N862&amp;" "&amp;T862))),ISNUMBER(SEARCH("debt",LOWER(F862&amp;" "&amp;H862&amp;" "&amp;I862&amp;" "&amp;M862&amp;" "&amp;N862&amp;" "&amp;T862))),ISNUMBER(SEARCH("bond",LOWER(F862&amp;" "&amp;H862&amp;" "&amp;I862&amp;" "&amp;M862&amp;" "&amp;N862&amp;" "&amp;T862))),ISNUMBER(SEARCH("transaction",LOWER(F862&amp;" "&amp;H862&amp;" "&amp;I862&amp;" "&amp;M862&amp;" "&amp;N862&amp;" "&amp;T862)))),"PRIVATE_REVIEW","PUBLIC_CANDIDATE"))</x:f>
        <x:v>PUBLIC_CANDIDATE</x:v>
      </x:c>
      <x:c r="AD862" s="12" t="str">
        <x:f>IF(AC862="PRIVATE_QUARANTINE","hacker_or_bank_trigger",IF(AC862="PRIVATE_REVIEW","finance_risk_trigger","none"))</x:f>
        <x:v>none</x:v>
      </x:c>
      <x:c r="AE862" s="12" t="str">
        <x:f>IF(AC862="PUBLIC_CANDIDATE","prepare_public_github_candidate",IF(AC862="PRIVATE_REVIEW","hold_for_private_review","quarantine_private_do_not_publish"))</x:f>
        <x:v>prepare_public_github_candidate</x:v>
      </x:c>
      <x:c r="AF862" s="12" t="str">
        <x:f>IF(AC862="PUBLIC_CANDIDATE","TIDELOCK + Lucerna",IF(AC862="PRIVATE_REVIEW","AtlasBrain + Lucerna","TIDELOCK + Lucerna + Human-root"))</x:f>
        <x:v>TIDELOCK + Lucerna</x:v>
      </x:c>
      <x:c r="AG862" s="12" t="str">
        <x:f>IF(AND(AC862="PUBLIC_CANDIDATE",U862&lt;&gt;"BLOCKED_PENDING_RECEIPT"),"READY_AFTER_RECEIPT","NOT_READY")</x:f>
        <x:v>NOT_READY</x:v>
      </x:c>
      <x:c r="AH862" s="12" t="str">
        <x:f>IF(AC862="PUBLIC_CANDIDATE","none",AD862)</x:f>
        <x:v>none</x:v>
      </x:c>
      <x:c r="AI862" s="12" t="str">
        <x:f>IF(AC862="PUBLIC_CANDIDATE","archive/public_candidates/"&amp;A862,"private_quarantine/"&amp;A862)</x:f>
        <x:v>archive/public_candidates/SWARM-06-H12-S09</x:v>
      </x:c>
      <x:c r="AJ862" s="12" t="str">
        <x:f>IF(AC862="PUBLIC_CANDIDATE","public by default; still not canon","private/hold; do not publish")</x:f>
        <x:v>public by default; still not canon</x:v>
      </x:c>
      <x:c r="AK862" s="12" t="str">
        <x:f>IF(AE862="prepare_public_github_candidate","add receipt/status then mirror","resolve blocker before any public GitHub action")</x:f>
        <x:v>add receipt/status then mirror</x:v>
      </x:c>
    </x:row>
    <x:row r="863">
      <x:c r="A863" s="15" t="str">
        <x:v>SWARM-06-H12-S10</x:v>
      </x:c>
      <x:c r="B863" s="15" t="str">
        <x:v>Forgekid</x:v>
      </x:c>
      <x:c r="C863" s="15" t="str">
        <x:v>Aetherforge UX builder</x:v>
      </x:c>
      <x:c r="D863" s="15" t="str">
        <x:v>Canon-Gate Prep</x:v>
      </x:c>
      <x:c r="E863" s="15" t="str">
        <x:v>Human-Root</x:v>
      </x:c>
      <x:c r="F863" s="15" t="str">
        <x:v>Prepare canon-gate brief for Human-Root — Forgekid</x:v>
      </x:c>
      <x:c r="G863" s="15" t="str">
        <x:v>quest cards / task cards / board affordances</x:v>
      </x:c>
      <x:c r="H863" s="15" t="str">
        <x:v>source path + receipt + raw/export status + claim/edge/risk delta</x:v>
      </x:c>
      <x:c r="I863" s="15" t="str">
        <x:v>packet/SWARM-06-H12-S10</x:v>
      </x:c>
      <x:c r="J863" s="15" t="str">
        <x:v>TODO</x:v>
      </x:c>
      <x:c r="K863" s="15" t="str">
        <x:v>P2</x:v>
      </x:c>
      <x:c r="L863" s="15" t="str">
        <x:v>Done only when evidence is logged, contradiction search is noted, and boundary stamp remains non-canon unless ratified</x:v>
      </x:c>
      <x:c r="M863" s="15" t="str">
        <x:v>candidate / staging-only / not canon / not deployed / authority none</x:v>
      </x:c>
      <x:c r="N863" s="15" t="str">
        <x:v>Dispatch to Forgekid: complete Canon-Gate Prep x Human-Root; return deltas only, receipts required.</x:v>
      </x:c>
      <x:c r="O863" s="15" t="str">
        <x:v>AF-KG-H12-S10</x:v>
      </x:c>
      <x:c r="P863" s="15" t="str">
        <x:v>Unverified</x:v>
      </x:c>
      <x:c r="Q863" s="15" t="str">
        <x:v>Not checked</x:v>
      </x:c>
      <x:c r="R863" s="15" t="str"/>
      <x:c r="S863" s="15" t="str"/>
      <x:c r="T863" s="15" t="str">
        <x:v>Log first source path or blocker</x:v>
      </x:c>
      <x:c r="U863" s="12" t="str">
        <x:f>IF(OR(P863="Unverified",Q863="Not checked"),"BLOCKED_PENDING_RECEIPT","READY_FOR_REVIEW")</x:f>
        <x:v>BLOCKED_PENDING_RECEIPT</x:v>
      </x:c>
      <x:c r="V863" s="12" t="str">
        <x:f>IF(J863="DONE","RETURNED",IF(U863="BLOCKED_PENDING_RECEIPT","SOURCE_TOUCH_REQUIRED","IN_PROGRESS"))</x:f>
        <x:v>SOURCE_TOUCH_REQUIRED</x:v>
      </x:c>
      <x:c r="W863" s="12" t="str">
        <x:f>IF(P863="Unverified","missing_receipt","receipt_logged")</x:f>
        <x:v>missing_receipt</x:v>
      </x:c>
      <x:c r="X863" s="12" t="str">
        <x:f>IF(Q863="Not checked","raw_status_missing","raw_status_logged")</x:f>
        <x:v>raw_status_missing</x:v>
      </x:c>
      <x:c r="Y863" s="12" t="str">
        <x:f>IF(U863="BLOCKED_PENDING_RECEIPT","Log source path or blocker; do not promote","Route to review lane")</x:f>
        <x:v>Log source path or blocker; do not promote</x:v>
      </x:c>
      <x:c r="Z863" s="12" t="str">
        <x:f>IF(K863="P0","Primary seat + Hashlight/Lucerna","Seat lane")</x:f>
        <x:v>Seat lane</x:v>
      </x:c>
      <x:c r="AA863" s="12" t="str">
        <x:f>IF(R863="","no_claim_delta","claim_delta_present")</x:f>
        <x:v>no_claim_delta</x:v>
      </x:c>
      <x:c r="AB863" s="12" t="str">
        <x:f>IF(S863="","no_contradiction_delta","contradiction_delta_present")</x:f>
        <x:v>no_contradiction_delta</x:v>
      </x:c>
      <x:c r="AC863" s="12" t="str">
        <x:f>IF(OR(ISNUMBER(SEARCH("hacker",LOWER(F863&amp;" "&amp;H863&amp;" "&amp;I863&amp;" "&amp;M863&amp;" "&amp;N863&amp;" "&amp;T863))),ISNUMBER(SEARCH("hacking",LOWER(F863&amp;" "&amp;H863&amp;" "&amp;I863&amp;" "&amp;M863&amp;" "&amp;N863&amp;" "&amp;T863))),ISNUMBER(SEARCH("bank",LOWER(F863&amp;" "&amp;H863&amp;" "&amp;I863&amp;" "&amp;M863&amp;" "&amp;N863&amp;" "&amp;T863))),ISNUMBER(SEARCH("banking",LOWER(F863&amp;" "&amp;H863&amp;" "&amp;I863&amp;" "&amp;M863&amp;" "&amp;N863&amp;" "&amp;T863)))),"PRIVATE_QUARANTINE",IF(OR(ISNUMBER(SEARCH("treasury",LOWER(F863&amp;" "&amp;H863&amp;" "&amp;I863&amp;" "&amp;M863&amp;" "&amp;N863&amp;" "&amp;T863))),ISNUMBER(SEARCH("debt",LOWER(F863&amp;" "&amp;H863&amp;" "&amp;I863&amp;" "&amp;M863&amp;" "&amp;N863&amp;" "&amp;T863))),ISNUMBER(SEARCH("bond",LOWER(F863&amp;" "&amp;H863&amp;" "&amp;I863&amp;" "&amp;M863&amp;" "&amp;N863&amp;" "&amp;T863))),ISNUMBER(SEARCH("transaction",LOWER(F863&amp;" "&amp;H863&amp;" "&amp;I863&amp;" "&amp;M863&amp;" "&amp;N863&amp;" "&amp;T863)))),"PRIVATE_REVIEW","PUBLIC_CANDIDATE"))</x:f>
        <x:v>PUBLIC_CANDIDATE</x:v>
      </x:c>
      <x:c r="AD863" s="12" t="str">
        <x:f>IF(AC863="PRIVATE_QUARANTINE","hacker_or_bank_trigger",IF(AC863="PRIVATE_REVIEW","finance_risk_trigger","none"))</x:f>
        <x:v>none</x:v>
      </x:c>
      <x:c r="AE863" s="12" t="str">
        <x:f>IF(AC863="PUBLIC_CANDIDATE","prepare_public_github_candidate",IF(AC863="PRIVATE_REVIEW","hold_for_private_review","quarantine_private_do_not_publish"))</x:f>
        <x:v>prepare_public_github_candidate</x:v>
      </x:c>
      <x:c r="AF863" s="12" t="str">
        <x:f>IF(AC863="PUBLIC_CANDIDATE","TIDELOCK + Lucerna",IF(AC863="PRIVATE_REVIEW","AtlasBrain + Lucerna","TIDELOCK + Lucerna + Human-root"))</x:f>
        <x:v>TIDELOCK + Lucerna</x:v>
      </x:c>
      <x:c r="AG863" s="12" t="str">
        <x:f>IF(AND(AC863="PUBLIC_CANDIDATE",U863&lt;&gt;"BLOCKED_PENDING_RECEIPT"),"READY_AFTER_RECEIPT","NOT_READY")</x:f>
        <x:v>NOT_READY</x:v>
      </x:c>
      <x:c r="AH863" s="12" t="str">
        <x:f>IF(AC863="PUBLIC_CANDIDATE","none",AD863)</x:f>
        <x:v>none</x:v>
      </x:c>
      <x:c r="AI863" s="12" t="str">
        <x:f>IF(AC863="PUBLIC_CANDIDATE","archive/public_candidates/"&amp;A863,"private_quarantine/"&amp;A863)</x:f>
        <x:v>archive/public_candidates/SWARM-06-H12-S10</x:v>
      </x:c>
      <x:c r="AJ863" s="12" t="str">
        <x:f>IF(AC863="PUBLIC_CANDIDATE","public by default; still not canon","private/hold; do not publish")</x:f>
        <x:v>public by default; still not canon</x:v>
      </x:c>
      <x:c r="AK863" s="12" t="str">
        <x:f>IF(AE863="prepare_public_github_candidate","add receipt/status then mirror","resolve blocker before any public GitHub action")</x:f>
        <x:v>add receipt/status then mirror</x:v>
      </x:c>
    </x:row>
    <x:row r="864">
      <x:c r="A864" s="15" t="str">
        <x:v>SWARM-06-H12-S11</x:v>
      </x:c>
      <x:c r="B864" s="15" t="str">
        <x:v>Forgekid</x:v>
      </x:c>
      <x:c r="C864" s="15" t="str">
        <x:v>Aetherforge UX builder</x:v>
      </x:c>
      <x:c r="D864" s="15" t="str">
        <x:v>Canon-Gate Prep</x:v>
      </x:c>
      <x:c r="E864" s="15" t="str">
        <x:v>Automation</x:v>
      </x:c>
      <x:c r="F864" s="15" t="str">
        <x:v>Prepare canon-gate brief for Automation — Forgekid</x:v>
      </x:c>
      <x:c r="G864" s="15" t="str">
        <x:v>quest cards / task cards / board affordances</x:v>
      </x:c>
      <x:c r="H864" s="15" t="str">
        <x:v>source path + receipt + raw/export status + claim/edge/risk delta</x:v>
      </x:c>
      <x:c r="I864" s="15" t="str">
        <x:v>packet/SWARM-06-H12-S11</x:v>
      </x:c>
      <x:c r="J864" s="15" t="str">
        <x:v>TODO</x:v>
      </x:c>
      <x:c r="K864" s="15" t="str">
        <x:v>P2</x:v>
      </x:c>
      <x:c r="L864" s="15" t="str">
        <x:v>Done only when evidence is logged, contradiction search is noted, and boundary stamp remains non-canon unless ratified</x:v>
      </x:c>
      <x:c r="M864" s="15" t="str">
        <x:v>candidate / staging-only / not canon / not deployed / authority none</x:v>
      </x:c>
      <x:c r="N864" s="15" t="str">
        <x:v>Dispatch to Forgekid: complete Canon-Gate Prep x Automation; return deltas only, receipts required.</x:v>
      </x:c>
      <x:c r="O864" s="15" t="str">
        <x:v>AF-KG-H12-S11</x:v>
      </x:c>
      <x:c r="P864" s="15" t="str">
        <x:v>Unverified</x:v>
      </x:c>
      <x:c r="Q864" s="15" t="str">
        <x:v>Not checked</x:v>
      </x:c>
      <x:c r="R864" s="15" t="str"/>
      <x:c r="S864" s="15" t="str"/>
      <x:c r="T864" s="15" t="str">
        <x:v>Log first source path or blocker</x:v>
      </x:c>
      <x:c r="U864" s="12" t="str">
        <x:f>IF(OR(P864="Unverified",Q864="Not checked"),"BLOCKED_PENDING_RECEIPT","READY_FOR_REVIEW")</x:f>
        <x:v>BLOCKED_PENDING_RECEIPT</x:v>
      </x:c>
      <x:c r="V864" s="12" t="str">
        <x:f>IF(J864="DONE","RETURNED",IF(U864="BLOCKED_PENDING_RECEIPT","SOURCE_TOUCH_REQUIRED","IN_PROGRESS"))</x:f>
        <x:v>SOURCE_TOUCH_REQUIRED</x:v>
      </x:c>
      <x:c r="W864" s="12" t="str">
        <x:f>IF(P864="Unverified","missing_receipt","receipt_logged")</x:f>
        <x:v>missing_receipt</x:v>
      </x:c>
      <x:c r="X864" s="12" t="str">
        <x:f>IF(Q864="Not checked","raw_status_missing","raw_status_logged")</x:f>
        <x:v>raw_status_missing</x:v>
      </x:c>
      <x:c r="Y864" s="12" t="str">
        <x:f>IF(U864="BLOCKED_PENDING_RECEIPT","Log source path or blocker; do not promote","Route to review lane")</x:f>
        <x:v>Log source path or blocker; do not promote</x:v>
      </x:c>
      <x:c r="Z864" s="12" t="str">
        <x:f>IF(K864="P0","Primary seat + Hashlight/Lucerna","Seat lane")</x:f>
        <x:v>Seat lane</x:v>
      </x:c>
      <x:c r="AA864" s="12" t="str">
        <x:f>IF(R864="","no_claim_delta","claim_delta_present")</x:f>
        <x:v>no_claim_delta</x:v>
      </x:c>
      <x:c r="AB864" s="12" t="str">
        <x:f>IF(S864="","no_contradiction_delta","contradiction_delta_present")</x:f>
        <x:v>no_contradiction_delta</x:v>
      </x:c>
      <x:c r="AC864" s="12" t="str">
        <x:f>IF(OR(ISNUMBER(SEARCH("hacker",LOWER(F864&amp;" "&amp;H864&amp;" "&amp;I864&amp;" "&amp;M864&amp;" "&amp;N864&amp;" "&amp;T864))),ISNUMBER(SEARCH("hacking",LOWER(F864&amp;" "&amp;H864&amp;" "&amp;I864&amp;" "&amp;M864&amp;" "&amp;N864&amp;" "&amp;T864))),ISNUMBER(SEARCH("bank",LOWER(F864&amp;" "&amp;H864&amp;" "&amp;I864&amp;" "&amp;M864&amp;" "&amp;N864&amp;" "&amp;T864))),ISNUMBER(SEARCH("banking",LOWER(F864&amp;" "&amp;H864&amp;" "&amp;I864&amp;" "&amp;M864&amp;" "&amp;N864&amp;" "&amp;T864)))),"PRIVATE_QUARANTINE",IF(OR(ISNUMBER(SEARCH("treasury",LOWER(F864&amp;" "&amp;H864&amp;" "&amp;I864&amp;" "&amp;M864&amp;" "&amp;N864&amp;" "&amp;T864))),ISNUMBER(SEARCH("debt",LOWER(F864&amp;" "&amp;H864&amp;" "&amp;I864&amp;" "&amp;M864&amp;" "&amp;N864&amp;" "&amp;T864))),ISNUMBER(SEARCH("bond",LOWER(F864&amp;" "&amp;H864&amp;" "&amp;I864&amp;" "&amp;M864&amp;" "&amp;N864&amp;" "&amp;T864))),ISNUMBER(SEARCH("transaction",LOWER(F864&amp;" "&amp;H864&amp;" "&amp;I864&amp;" "&amp;M864&amp;" "&amp;N864&amp;" "&amp;T864)))),"PRIVATE_REVIEW","PUBLIC_CANDIDATE"))</x:f>
        <x:v>PUBLIC_CANDIDATE</x:v>
      </x:c>
      <x:c r="AD864" s="12" t="str">
        <x:f>IF(AC864="PRIVATE_QUARANTINE","hacker_or_bank_trigger",IF(AC864="PRIVATE_REVIEW","finance_risk_trigger","none"))</x:f>
        <x:v>none</x:v>
      </x:c>
      <x:c r="AE864" s="12" t="str">
        <x:f>IF(AC864="PUBLIC_CANDIDATE","prepare_public_github_candidate",IF(AC864="PRIVATE_REVIEW","hold_for_private_review","quarantine_private_do_not_publish"))</x:f>
        <x:v>prepare_public_github_candidate</x:v>
      </x:c>
      <x:c r="AF864" s="12" t="str">
        <x:f>IF(AC864="PUBLIC_CANDIDATE","TIDELOCK + Lucerna",IF(AC864="PRIVATE_REVIEW","AtlasBrain + Lucerna","TIDELOCK + Lucerna + Human-root"))</x:f>
        <x:v>TIDELOCK + Lucerna</x:v>
      </x:c>
      <x:c r="AG864" s="12" t="str">
        <x:f>IF(AND(AC864="PUBLIC_CANDIDATE",U864&lt;&gt;"BLOCKED_PENDING_RECEIPT"),"READY_AFTER_RECEIPT","NOT_READY")</x:f>
        <x:v>NOT_READY</x:v>
      </x:c>
      <x:c r="AH864" s="12" t="str">
        <x:f>IF(AC864="PUBLIC_CANDIDATE","none",AD864)</x:f>
        <x:v>none</x:v>
      </x:c>
      <x:c r="AI864" s="12" t="str">
        <x:f>IF(AC864="PUBLIC_CANDIDATE","archive/public_candidates/"&amp;A864,"private_quarantine/"&amp;A864)</x:f>
        <x:v>archive/public_candidates/SWARM-06-H12-S11</x:v>
      </x:c>
      <x:c r="AJ864" s="12" t="str">
        <x:f>IF(AC864="PUBLIC_CANDIDATE","public by default; still not canon","private/hold; do not publish")</x:f>
        <x:v>public by default; still not canon</x:v>
      </x:c>
      <x:c r="AK864" s="12" t="str">
        <x:f>IF(AE864="prepare_public_github_candidate","add receipt/status then mirror","resolve blocker before any public GitHub action")</x:f>
        <x:v>add receipt/status then mirror</x:v>
      </x:c>
    </x:row>
    <x:row r="865">
      <x:c r="A865" s="15" t="str">
        <x:v>SWARM-06-H12-S12</x:v>
      </x:c>
      <x:c r="B865" s="15" t="str">
        <x:v>Forgekid</x:v>
      </x:c>
      <x:c r="C865" s="15" t="str">
        <x:v>Aetherforge UX builder</x:v>
      </x:c>
      <x:c r="D865" s="15" t="str">
        <x:v>Canon-Gate Prep</x:v>
      </x:c>
      <x:c r="E865" s="15" t="str">
        <x:v>Risk / Safety</x:v>
      </x:c>
      <x:c r="F865" s="15" t="str">
        <x:v>Prepare canon-gate brief for Risk / Safety — Forgekid</x:v>
      </x:c>
      <x:c r="G865" s="15" t="str">
        <x:v>quest cards / task cards / board affordances</x:v>
      </x:c>
      <x:c r="H865" s="15" t="str">
        <x:v>source path + receipt + raw/export status + claim/edge/risk delta</x:v>
      </x:c>
      <x:c r="I865" s="15" t="str">
        <x:v>packet/SWARM-06-H12-S12</x:v>
      </x:c>
      <x:c r="J865" s="15" t="str">
        <x:v>TODO</x:v>
      </x:c>
      <x:c r="K865" s="15" t="str">
        <x:v>P2</x:v>
      </x:c>
      <x:c r="L865" s="15" t="str">
        <x:v>Done only when evidence is logged, contradiction search is noted, and boundary stamp remains non-canon unless ratified</x:v>
      </x:c>
      <x:c r="M865" s="15" t="str">
        <x:v>candidate / staging-only / not canon / not deployed / authority none</x:v>
      </x:c>
      <x:c r="N865" s="15" t="str">
        <x:v>Dispatch to Forgekid: complete Canon-Gate Prep x Risk / Safety; return deltas only, receipts required.</x:v>
      </x:c>
      <x:c r="O865" s="15" t="str">
        <x:v>AF-KG-H12-S12</x:v>
      </x:c>
      <x:c r="P865" s="15" t="str">
        <x:v>Unverified</x:v>
      </x:c>
      <x:c r="Q865" s="15" t="str">
        <x:v>Not checked</x:v>
      </x:c>
      <x:c r="R865" s="15" t="str"/>
      <x:c r="S865" s="15" t="str"/>
      <x:c r="T865" s="15" t="str">
        <x:v>Log first source path or blocker</x:v>
      </x:c>
      <x:c r="U865" s="12" t="str">
        <x:f>IF(OR(P865="Unverified",Q865="Not checked"),"BLOCKED_PENDING_RECEIPT","READY_FOR_REVIEW")</x:f>
        <x:v>BLOCKED_PENDING_RECEIPT</x:v>
      </x:c>
      <x:c r="V865" s="12" t="str">
        <x:f>IF(J865="DONE","RETURNED",IF(U865="BLOCKED_PENDING_RECEIPT","SOURCE_TOUCH_REQUIRED","IN_PROGRESS"))</x:f>
        <x:v>SOURCE_TOUCH_REQUIRED</x:v>
      </x:c>
      <x:c r="W865" s="12" t="str">
        <x:f>IF(P865="Unverified","missing_receipt","receipt_logged")</x:f>
        <x:v>missing_receipt</x:v>
      </x:c>
      <x:c r="X865" s="12" t="str">
        <x:f>IF(Q865="Not checked","raw_status_missing","raw_status_logged")</x:f>
        <x:v>raw_status_missing</x:v>
      </x:c>
      <x:c r="Y865" s="12" t="str">
        <x:f>IF(U865="BLOCKED_PENDING_RECEIPT","Log source path or blocker; do not promote","Route to review lane")</x:f>
        <x:v>Log source path or blocker; do not promote</x:v>
      </x:c>
      <x:c r="Z865" s="12" t="str">
        <x:f>IF(K865="P0","Primary seat + Hashlight/Lucerna","Seat lane")</x:f>
        <x:v>Seat lane</x:v>
      </x:c>
      <x:c r="AA865" s="12" t="str">
        <x:f>IF(R865="","no_claim_delta","claim_delta_present")</x:f>
        <x:v>no_claim_delta</x:v>
      </x:c>
      <x:c r="AB865" s="12" t="str">
        <x:f>IF(S865="","no_contradiction_delta","contradiction_delta_present")</x:f>
        <x:v>no_contradiction_delta</x:v>
      </x:c>
      <x:c r="AC865" s="12" t="str">
        <x:f>IF(OR(ISNUMBER(SEARCH("hacker",LOWER(F865&amp;" "&amp;H865&amp;" "&amp;I865&amp;" "&amp;M865&amp;" "&amp;N865&amp;" "&amp;T865))),ISNUMBER(SEARCH("hacking",LOWER(F865&amp;" "&amp;H865&amp;" "&amp;I865&amp;" "&amp;M865&amp;" "&amp;N865&amp;" "&amp;T865))),ISNUMBER(SEARCH("bank",LOWER(F865&amp;" "&amp;H865&amp;" "&amp;I865&amp;" "&amp;M865&amp;" "&amp;N865&amp;" "&amp;T865))),ISNUMBER(SEARCH("banking",LOWER(F865&amp;" "&amp;H865&amp;" "&amp;I865&amp;" "&amp;M865&amp;" "&amp;N865&amp;" "&amp;T865)))),"PRIVATE_QUARANTINE",IF(OR(ISNUMBER(SEARCH("treasury",LOWER(F865&amp;" "&amp;H865&amp;" "&amp;I865&amp;" "&amp;M865&amp;" "&amp;N865&amp;" "&amp;T865))),ISNUMBER(SEARCH("debt",LOWER(F865&amp;" "&amp;H865&amp;" "&amp;I865&amp;" "&amp;M865&amp;" "&amp;N865&amp;" "&amp;T865))),ISNUMBER(SEARCH("bond",LOWER(F865&amp;" "&amp;H865&amp;" "&amp;I865&amp;" "&amp;M865&amp;" "&amp;N865&amp;" "&amp;T865))),ISNUMBER(SEARCH("transaction",LOWER(F865&amp;" "&amp;H865&amp;" "&amp;I865&amp;" "&amp;M865&amp;" "&amp;N865&amp;" "&amp;T865)))),"PRIVATE_REVIEW","PUBLIC_CANDIDATE"))</x:f>
        <x:v>PUBLIC_CANDIDATE</x:v>
      </x:c>
      <x:c r="AD865" s="12" t="str">
        <x:f>IF(AC865="PRIVATE_QUARANTINE","hacker_or_bank_trigger",IF(AC865="PRIVATE_REVIEW","finance_risk_trigger","none"))</x:f>
        <x:v>none</x:v>
      </x:c>
      <x:c r="AE865" s="12" t="str">
        <x:f>IF(AC865="PUBLIC_CANDIDATE","prepare_public_github_candidate",IF(AC865="PRIVATE_REVIEW","hold_for_private_review","quarantine_private_do_not_publish"))</x:f>
        <x:v>prepare_public_github_candidate</x:v>
      </x:c>
      <x:c r="AF865" s="12" t="str">
        <x:f>IF(AC865="PUBLIC_CANDIDATE","TIDELOCK + Lucerna",IF(AC865="PRIVATE_REVIEW","AtlasBrain + Lucerna","TIDELOCK + Lucerna + Human-root"))</x:f>
        <x:v>TIDELOCK + Lucerna</x:v>
      </x:c>
      <x:c r="AG865" s="12" t="str">
        <x:f>IF(AND(AC865="PUBLIC_CANDIDATE",U865&lt;&gt;"BLOCKED_PENDING_RECEIPT"),"READY_AFTER_RECEIPT","NOT_READY")</x:f>
        <x:v>NOT_READY</x:v>
      </x:c>
      <x:c r="AH865" s="12" t="str">
        <x:f>IF(AC865="PUBLIC_CANDIDATE","none",AD865)</x:f>
        <x:v>none</x:v>
      </x:c>
      <x:c r="AI865" s="12" t="str">
        <x:f>IF(AC865="PUBLIC_CANDIDATE","archive/public_candidates/"&amp;A865,"private_quarantine/"&amp;A865)</x:f>
        <x:v>archive/public_candidates/SWARM-06-H12-S12</x:v>
      </x:c>
      <x:c r="AJ865" s="12" t="str">
        <x:f>IF(AC865="PUBLIC_CANDIDATE","public by default; still not canon","private/hold; do not publish")</x:f>
        <x:v>public by default; still not canon</x:v>
      </x:c>
      <x:c r="AK865" s="12" t="str">
        <x:f>IF(AE865="prepare_public_github_candidate","add receipt/status then mirror","resolve blocker before any public GitHub action")</x:f>
        <x:v>add receipt/status then mirror</x:v>
      </x:c>
    </x:row>
    <x:row r="866">
      <x:c r="A866" s="15" t="str">
        <x:v>SWARM-07-H01-S01</x:v>
      </x:c>
      <x:c r="B866" s="15" t="str">
        <x:v>Domechild</x:v>
      </x:c>
      <x:c r="C866" s="15" t="str">
        <x:v>Planetarium lane builder</x:v>
      </x:c>
      <x:c r="D866" s="15" t="str">
        <x:v>Source Inventory</x:v>
      </x:c>
      <x:c r="E866" s="15" t="str">
        <x:v>Notion</x:v>
      </x:c>
      <x:c r="F866" s="15" t="str">
        <x:v>Inventory Notion — Domechild</x:v>
      </x:c>
      <x:c r="G866" s="15" t="str">
        <x:v>planetarium source packets / civic-science deltas</x:v>
      </x:c>
      <x:c r="H866" s="15" t="str">
        <x:v>source path + receipt + raw/export status + claim/edge/risk delta</x:v>
      </x:c>
      <x:c r="I866" s="15" t="str">
        <x:v>packet/SWARM-07-H01-S01</x:v>
      </x:c>
      <x:c r="J866" s="15" t="str">
        <x:v>TODO</x:v>
      </x:c>
      <x:c r="K866" s="15" t="str">
        <x:v>P0</x:v>
      </x:c>
      <x:c r="L866" s="15" t="str">
        <x:v>Done only when evidence is logged, contradiction search is noted, and boundary stamp remains non-canon unless ratified</x:v>
      </x:c>
      <x:c r="M866" s="15" t="str">
        <x:v>candidate / staging-only / not canon / not deployed / authority none</x:v>
      </x:c>
      <x:c r="N866" s="15" t="str">
        <x:v>Dispatch to Domechild: complete Source Inventory x Notion; return deltas only, receipts required.</x:v>
      </x:c>
      <x:c r="O866" s="15" t="str">
        <x:v>AF-KG-H01-S01</x:v>
      </x:c>
      <x:c r="P866" s="15" t="str">
        <x:v>Unverified</x:v>
      </x:c>
      <x:c r="Q866" s="15" t="str">
        <x:v>Not checked</x:v>
      </x:c>
      <x:c r="R866" s="15" t="str"/>
      <x:c r="S866" s="15" t="str"/>
      <x:c r="T866" s="15" t="str">
        <x:v>Log first source path or blocker</x:v>
      </x:c>
      <x:c r="U866" s="12" t="str">
        <x:f>IF(OR(P866="Unverified",Q866="Not checked"),"BLOCKED_PENDING_RECEIPT","READY_FOR_REVIEW")</x:f>
        <x:v>BLOCKED_PENDING_RECEIPT</x:v>
      </x:c>
      <x:c r="V866" s="12" t="str">
        <x:f>IF(J866="DONE","RETURNED",IF(U866="BLOCKED_PENDING_RECEIPT","SOURCE_TOUCH_REQUIRED","IN_PROGRESS"))</x:f>
        <x:v>SOURCE_TOUCH_REQUIRED</x:v>
      </x:c>
      <x:c r="W866" s="12" t="str">
        <x:f>IF(P866="Unverified","missing_receipt","receipt_logged")</x:f>
        <x:v>missing_receipt</x:v>
      </x:c>
      <x:c r="X866" s="12" t="str">
        <x:f>IF(Q866="Not checked","raw_status_missing","raw_status_logged")</x:f>
        <x:v>raw_status_missing</x:v>
      </x:c>
      <x:c r="Y866" s="12" t="str">
        <x:f>IF(U866="BLOCKED_PENDING_RECEIPT","Log source path or blocker; do not promote","Route to review lane")</x:f>
        <x:v>Log source path or blocker; do not promote</x:v>
      </x:c>
      <x:c r="Z866" s="12" t="str">
        <x:f>IF(K866="P0","Primary seat + Hashlight/Lucerna","Seat lane")</x:f>
        <x:v>Primary seat + Hashlight/Lucerna</x:v>
      </x:c>
      <x:c r="AA866" s="12" t="str">
        <x:f>IF(R866="","no_claim_delta","claim_delta_present")</x:f>
        <x:v>no_claim_delta</x:v>
      </x:c>
      <x:c r="AB866" s="12" t="str">
        <x:f>IF(S866="","no_contradiction_delta","contradiction_delta_present")</x:f>
        <x:v>no_contradiction_delta</x:v>
      </x:c>
      <x:c r="AC866" s="12" t="str">
        <x:f>IF(OR(ISNUMBER(SEARCH("hacker",LOWER(F866&amp;" "&amp;H866&amp;" "&amp;I866&amp;" "&amp;M866&amp;" "&amp;N866&amp;" "&amp;T866))),ISNUMBER(SEARCH("hacking",LOWER(F866&amp;" "&amp;H866&amp;" "&amp;I866&amp;" "&amp;M866&amp;" "&amp;N866&amp;" "&amp;T866))),ISNUMBER(SEARCH("bank",LOWER(F866&amp;" "&amp;H866&amp;" "&amp;I866&amp;" "&amp;M866&amp;" "&amp;N866&amp;" "&amp;T866))),ISNUMBER(SEARCH("banking",LOWER(F866&amp;" "&amp;H866&amp;" "&amp;I866&amp;" "&amp;M866&amp;" "&amp;N866&amp;" "&amp;T866)))),"PRIVATE_QUARANTINE",IF(OR(ISNUMBER(SEARCH("treasury",LOWER(F866&amp;" "&amp;H866&amp;" "&amp;I866&amp;" "&amp;M866&amp;" "&amp;N866&amp;" "&amp;T866))),ISNUMBER(SEARCH("debt",LOWER(F866&amp;" "&amp;H866&amp;" "&amp;I866&amp;" "&amp;M866&amp;" "&amp;N866&amp;" "&amp;T866))),ISNUMBER(SEARCH("bond",LOWER(F866&amp;" "&amp;H866&amp;" "&amp;I866&amp;" "&amp;M866&amp;" "&amp;N866&amp;" "&amp;T866))),ISNUMBER(SEARCH("transaction",LOWER(F866&amp;" "&amp;H866&amp;" "&amp;I866&amp;" "&amp;M866&amp;" "&amp;N866&amp;" "&amp;T866)))),"PRIVATE_REVIEW","PUBLIC_CANDIDATE"))</x:f>
        <x:v>PUBLIC_CANDIDATE</x:v>
      </x:c>
      <x:c r="AD866" s="12" t="str">
        <x:f>IF(AC866="PRIVATE_QUARANTINE","hacker_or_bank_trigger",IF(AC866="PRIVATE_REVIEW","finance_risk_trigger","none"))</x:f>
        <x:v>none</x:v>
      </x:c>
      <x:c r="AE866" s="12" t="str">
        <x:f>IF(AC866="PUBLIC_CANDIDATE","prepare_public_github_candidate",IF(AC866="PRIVATE_REVIEW","hold_for_private_review","quarantine_private_do_not_publish"))</x:f>
        <x:v>prepare_public_github_candidate</x:v>
      </x:c>
      <x:c r="AF866" s="12" t="str">
        <x:f>IF(AC866="PUBLIC_CANDIDATE","TIDELOCK + Lucerna",IF(AC866="PRIVATE_REVIEW","AtlasBrain + Lucerna","TIDELOCK + Lucerna + Human-root"))</x:f>
        <x:v>TIDELOCK + Lucerna</x:v>
      </x:c>
      <x:c r="AG866" s="12" t="str">
        <x:f>IF(AND(AC866="PUBLIC_CANDIDATE",U866&lt;&gt;"BLOCKED_PENDING_RECEIPT"),"READY_AFTER_RECEIPT","NOT_READY")</x:f>
        <x:v>NOT_READY</x:v>
      </x:c>
      <x:c r="AH866" s="12" t="str">
        <x:f>IF(AC866="PUBLIC_CANDIDATE","none",AD866)</x:f>
        <x:v>none</x:v>
      </x:c>
      <x:c r="AI866" s="12" t="str">
        <x:f>IF(AC866="PUBLIC_CANDIDATE","archive/public_candidates/"&amp;A866,"private_quarantine/"&amp;A866)</x:f>
        <x:v>archive/public_candidates/SWARM-07-H01-S01</x:v>
      </x:c>
      <x:c r="AJ866" s="12" t="str">
        <x:f>IF(AC866="PUBLIC_CANDIDATE","public by default; still not canon","private/hold; do not publish")</x:f>
        <x:v>public by default; still not canon</x:v>
      </x:c>
      <x:c r="AK866" s="12" t="str">
        <x:f>IF(AE866="prepare_public_github_candidate","add receipt/status then mirror","resolve blocker before any public GitHub action")</x:f>
        <x:v>add receipt/status then mirror</x:v>
      </x:c>
    </x:row>
    <x:row r="867">
      <x:c r="A867" s="15" t="str">
        <x:v>SWARM-07-H01-S02</x:v>
      </x:c>
      <x:c r="B867" s="15" t="str">
        <x:v>Domechild</x:v>
      </x:c>
      <x:c r="C867" s="15" t="str">
        <x:v>Planetarium lane builder</x:v>
      </x:c>
      <x:c r="D867" s="15" t="str">
        <x:v>Source Inventory</x:v>
      </x:c>
      <x:c r="E867" s="15" t="str">
        <x:v>Drive</x:v>
      </x:c>
      <x:c r="F867" s="15" t="str">
        <x:v>Inventory Drive — Domechild</x:v>
      </x:c>
      <x:c r="G867" s="15" t="str">
        <x:v>planetarium source packets / civic-science deltas</x:v>
      </x:c>
      <x:c r="H867" s="15" t="str">
        <x:v>source path + receipt + raw/export status + claim/edge/risk delta</x:v>
      </x:c>
      <x:c r="I867" s="15" t="str">
        <x:v>packet/SWARM-07-H01-S02</x:v>
      </x:c>
      <x:c r="J867" s="15" t="str">
        <x:v>TODO</x:v>
      </x:c>
      <x:c r="K867" s="15" t="str">
        <x:v>P0</x:v>
      </x:c>
      <x:c r="L867" s="15" t="str">
        <x:v>Done only when evidence is logged, contradiction search is noted, and boundary stamp remains non-canon unless ratified</x:v>
      </x:c>
      <x:c r="M867" s="15" t="str">
        <x:v>candidate / staging-only / not canon / not deployed / authority none</x:v>
      </x:c>
      <x:c r="N867" s="15" t="str">
        <x:v>Dispatch to Domechild: complete Source Inventory x Drive; return deltas only, receipts required.</x:v>
      </x:c>
      <x:c r="O867" s="15" t="str">
        <x:v>AF-KG-H01-S02</x:v>
      </x:c>
      <x:c r="P867" s="15" t="str">
        <x:v>Unverified</x:v>
      </x:c>
      <x:c r="Q867" s="15" t="str">
        <x:v>Not checked</x:v>
      </x:c>
      <x:c r="R867" s="15" t="str"/>
      <x:c r="S867" s="15" t="str"/>
      <x:c r="T867" s="15" t="str">
        <x:v>Log first source path or blocker</x:v>
      </x:c>
      <x:c r="U867" s="12" t="str">
        <x:f>IF(OR(P867="Unverified",Q867="Not checked"),"BLOCKED_PENDING_RECEIPT","READY_FOR_REVIEW")</x:f>
        <x:v>BLOCKED_PENDING_RECEIPT</x:v>
      </x:c>
      <x:c r="V867" s="12" t="str">
        <x:f>IF(J867="DONE","RETURNED",IF(U867="BLOCKED_PENDING_RECEIPT","SOURCE_TOUCH_REQUIRED","IN_PROGRESS"))</x:f>
        <x:v>SOURCE_TOUCH_REQUIRED</x:v>
      </x:c>
      <x:c r="W867" s="12" t="str">
        <x:f>IF(P867="Unverified","missing_receipt","receipt_logged")</x:f>
        <x:v>missing_receipt</x:v>
      </x:c>
      <x:c r="X867" s="12" t="str">
        <x:f>IF(Q867="Not checked","raw_status_missing","raw_status_logged")</x:f>
        <x:v>raw_status_missing</x:v>
      </x:c>
      <x:c r="Y867" s="12" t="str">
        <x:f>IF(U867="BLOCKED_PENDING_RECEIPT","Log source path or blocker; do not promote","Route to review lane")</x:f>
        <x:v>Log source path or blocker; do not promote</x:v>
      </x:c>
      <x:c r="Z867" s="12" t="str">
        <x:f>IF(K867="P0","Primary seat + Hashlight/Lucerna","Seat lane")</x:f>
        <x:v>Primary seat + Hashlight/Lucerna</x:v>
      </x:c>
      <x:c r="AA867" s="12" t="str">
        <x:f>IF(R867="","no_claim_delta","claim_delta_present")</x:f>
        <x:v>no_claim_delta</x:v>
      </x:c>
      <x:c r="AB867" s="12" t="str">
        <x:f>IF(S867="","no_contradiction_delta","contradiction_delta_present")</x:f>
        <x:v>no_contradiction_delta</x:v>
      </x:c>
      <x:c r="AC867" s="12" t="str">
        <x:f>IF(OR(ISNUMBER(SEARCH("hacker",LOWER(F867&amp;" "&amp;H867&amp;" "&amp;I867&amp;" "&amp;M867&amp;" "&amp;N867&amp;" "&amp;T867))),ISNUMBER(SEARCH("hacking",LOWER(F867&amp;" "&amp;H867&amp;" "&amp;I867&amp;" "&amp;M867&amp;" "&amp;N867&amp;" "&amp;T867))),ISNUMBER(SEARCH("bank",LOWER(F867&amp;" "&amp;H867&amp;" "&amp;I867&amp;" "&amp;M867&amp;" "&amp;N867&amp;" "&amp;T867))),ISNUMBER(SEARCH("banking",LOWER(F867&amp;" "&amp;H867&amp;" "&amp;I867&amp;" "&amp;M867&amp;" "&amp;N867&amp;" "&amp;T867)))),"PRIVATE_QUARANTINE",IF(OR(ISNUMBER(SEARCH("treasury",LOWER(F867&amp;" "&amp;H867&amp;" "&amp;I867&amp;" "&amp;M867&amp;" "&amp;N867&amp;" "&amp;T867))),ISNUMBER(SEARCH("debt",LOWER(F867&amp;" "&amp;H867&amp;" "&amp;I867&amp;" "&amp;M867&amp;" "&amp;N867&amp;" "&amp;T867))),ISNUMBER(SEARCH("bond",LOWER(F867&amp;" "&amp;H867&amp;" "&amp;I867&amp;" "&amp;M867&amp;" "&amp;N867&amp;" "&amp;T867))),ISNUMBER(SEARCH("transaction",LOWER(F867&amp;" "&amp;H867&amp;" "&amp;I867&amp;" "&amp;M867&amp;" "&amp;N867&amp;" "&amp;T867)))),"PRIVATE_REVIEW","PUBLIC_CANDIDATE"))</x:f>
        <x:v>PUBLIC_CANDIDATE</x:v>
      </x:c>
      <x:c r="AD867" s="12" t="str">
        <x:f>IF(AC867="PRIVATE_QUARANTINE","hacker_or_bank_trigger",IF(AC867="PRIVATE_REVIEW","finance_risk_trigger","none"))</x:f>
        <x:v>none</x:v>
      </x:c>
      <x:c r="AE867" s="12" t="str">
        <x:f>IF(AC867="PUBLIC_CANDIDATE","prepare_public_github_candidate",IF(AC867="PRIVATE_REVIEW","hold_for_private_review","quarantine_private_do_not_publish"))</x:f>
        <x:v>prepare_public_github_candidate</x:v>
      </x:c>
      <x:c r="AF867" s="12" t="str">
        <x:f>IF(AC867="PUBLIC_CANDIDATE","TIDELOCK + Lucerna",IF(AC867="PRIVATE_REVIEW","AtlasBrain + Lucerna","TIDELOCK + Lucerna + Human-root"))</x:f>
        <x:v>TIDELOCK + Lucerna</x:v>
      </x:c>
      <x:c r="AG867" s="12" t="str">
        <x:f>IF(AND(AC867="PUBLIC_CANDIDATE",U867&lt;&gt;"BLOCKED_PENDING_RECEIPT"),"READY_AFTER_RECEIPT","NOT_READY")</x:f>
        <x:v>NOT_READY</x:v>
      </x:c>
      <x:c r="AH867" s="12" t="str">
        <x:f>IF(AC867="PUBLIC_CANDIDATE","none",AD867)</x:f>
        <x:v>none</x:v>
      </x:c>
      <x:c r="AI867" s="12" t="str">
        <x:f>IF(AC867="PUBLIC_CANDIDATE","archive/public_candidates/"&amp;A867,"private_quarantine/"&amp;A867)</x:f>
        <x:v>archive/public_candidates/SWARM-07-H01-S02</x:v>
      </x:c>
      <x:c r="AJ867" s="12" t="str">
        <x:f>IF(AC867="PUBLIC_CANDIDATE","public by default; still not canon","private/hold; do not publish")</x:f>
        <x:v>public by default; still not canon</x:v>
      </x:c>
      <x:c r="AK867" s="12" t="str">
        <x:f>IF(AE867="prepare_public_github_candidate","add receipt/status then mirror","resolve blocker before any public GitHub action")</x:f>
        <x:v>add receipt/status then mirror</x:v>
      </x:c>
    </x:row>
    <x:row r="868">
      <x:c r="A868" s="15" t="str">
        <x:v>SWARM-07-H01-S03</x:v>
      </x:c>
      <x:c r="B868" s="15" t="str">
        <x:v>Domechild</x:v>
      </x:c>
      <x:c r="C868" s="15" t="str">
        <x:v>Planetarium lane builder</x:v>
      </x:c>
      <x:c r="D868" s="15" t="str">
        <x:v>Source Inventory</x:v>
      </x:c>
      <x:c r="E868" s="15" t="str">
        <x:v>GitHub</x:v>
      </x:c>
      <x:c r="F868" s="15" t="str">
        <x:v>Inventory GitHub — Domechild</x:v>
      </x:c>
      <x:c r="G868" s="15" t="str">
        <x:v>planetarium source packets / civic-science deltas</x:v>
      </x:c>
      <x:c r="H868" s="15" t="str">
        <x:v>source path + receipt + raw/export status + claim/edge/risk delta</x:v>
      </x:c>
      <x:c r="I868" s="15" t="str">
        <x:v>packet/SWARM-07-H01-S03</x:v>
      </x:c>
      <x:c r="J868" s="15" t="str">
        <x:v>TODO</x:v>
      </x:c>
      <x:c r="K868" s="15" t="str">
        <x:v>P0</x:v>
      </x:c>
      <x:c r="L868" s="15" t="str">
        <x:v>Done only when evidence is logged, contradiction search is noted, and boundary stamp remains non-canon unless ratified</x:v>
      </x:c>
      <x:c r="M868" s="15" t="str">
        <x:v>candidate / staging-only / not canon / not deployed / authority none</x:v>
      </x:c>
      <x:c r="N868" s="15" t="str">
        <x:v>Dispatch to Domechild: complete Source Inventory x GitHub; return deltas only, receipts required.</x:v>
      </x:c>
      <x:c r="O868" s="15" t="str">
        <x:v>AF-KG-H01-S03</x:v>
      </x:c>
      <x:c r="P868" s="15" t="str">
        <x:v>Unverified</x:v>
      </x:c>
      <x:c r="Q868" s="15" t="str">
        <x:v>Not checked</x:v>
      </x:c>
      <x:c r="R868" s="15" t="str"/>
      <x:c r="S868" s="15" t="str"/>
      <x:c r="T868" s="15" t="str">
        <x:v>Log first source path or blocker</x:v>
      </x:c>
      <x:c r="U868" s="12" t="str">
        <x:f>IF(OR(P868="Unverified",Q868="Not checked"),"BLOCKED_PENDING_RECEIPT","READY_FOR_REVIEW")</x:f>
        <x:v>BLOCKED_PENDING_RECEIPT</x:v>
      </x:c>
      <x:c r="V868" s="12" t="str">
        <x:f>IF(J868="DONE","RETURNED",IF(U868="BLOCKED_PENDING_RECEIPT","SOURCE_TOUCH_REQUIRED","IN_PROGRESS"))</x:f>
        <x:v>SOURCE_TOUCH_REQUIRED</x:v>
      </x:c>
      <x:c r="W868" s="12" t="str">
        <x:f>IF(P868="Unverified","missing_receipt","receipt_logged")</x:f>
        <x:v>missing_receipt</x:v>
      </x:c>
      <x:c r="X868" s="12" t="str">
        <x:f>IF(Q868="Not checked","raw_status_missing","raw_status_logged")</x:f>
        <x:v>raw_status_missing</x:v>
      </x:c>
      <x:c r="Y868" s="12" t="str">
        <x:f>IF(U868="BLOCKED_PENDING_RECEIPT","Log source path or blocker; do not promote","Route to review lane")</x:f>
        <x:v>Log source path or blocker; do not promote</x:v>
      </x:c>
      <x:c r="Z868" s="12" t="str">
        <x:f>IF(K868="P0","Primary seat + Hashlight/Lucerna","Seat lane")</x:f>
        <x:v>Primary seat + Hashlight/Lucerna</x:v>
      </x:c>
      <x:c r="AA868" s="12" t="str">
        <x:f>IF(R868="","no_claim_delta","claim_delta_present")</x:f>
        <x:v>no_claim_delta</x:v>
      </x:c>
      <x:c r="AB868" s="12" t="str">
        <x:f>IF(S868="","no_contradiction_delta","contradiction_delta_present")</x:f>
        <x:v>no_contradiction_delta</x:v>
      </x:c>
      <x:c r="AC868" s="12" t="str">
        <x:f>IF(OR(ISNUMBER(SEARCH("hacker",LOWER(F868&amp;" "&amp;H868&amp;" "&amp;I868&amp;" "&amp;M868&amp;" "&amp;N868&amp;" "&amp;T868))),ISNUMBER(SEARCH("hacking",LOWER(F868&amp;" "&amp;H868&amp;" "&amp;I868&amp;" "&amp;M868&amp;" "&amp;N868&amp;" "&amp;T868))),ISNUMBER(SEARCH("bank",LOWER(F868&amp;" "&amp;H868&amp;" "&amp;I868&amp;" "&amp;M868&amp;" "&amp;N868&amp;" "&amp;T868))),ISNUMBER(SEARCH("banking",LOWER(F868&amp;" "&amp;H868&amp;" "&amp;I868&amp;" "&amp;M868&amp;" "&amp;N868&amp;" "&amp;T868)))),"PRIVATE_QUARANTINE",IF(OR(ISNUMBER(SEARCH("treasury",LOWER(F868&amp;" "&amp;H868&amp;" "&amp;I868&amp;" "&amp;M868&amp;" "&amp;N868&amp;" "&amp;T868))),ISNUMBER(SEARCH("debt",LOWER(F868&amp;" "&amp;H868&amp;" "&amp;I868&amp;" "&amp;M868&amp;" "&amp;N868&amp;" "&amp;T868))),ISNUMBER(SEARCH("bond",LOWER(F868&amp;" "&amp;H868&amp;" "&amp;I868&amp;" "&amp;M868&amp;" "&amp;N868&amp;" "&amp;T868))),ISNUMBER(SEARCH("transaction",LOWER(F868&amp;" "&amp;H868&amp;" "&amp;I868&amp;" "&amp;M868&amp;" "&amp;N868&amp;" "&amp;T868)))),"PRIVATE_REVIEW","PUBLIC_CANDIDATE"))</x:f>
        <x:v>PUBLIC_CANDIDATE</x:v>
      </x:c>
      <x:c r="AD868" s="12" t="str">
        <x:f>IF(AC868="PRIVATE_QUARANTINE","hacker_or_bank_trigger",IF(AC868="PRIVATE_REVIEW","finance_risk_trigger","none"))</x:f>
        <x:v>none</x:v>
      </x:c>
      <x:c r="AE868" s="12" t="str">
        <x:f>IF(AC868="PUBLIC_CANDIDATE","prepare_public_github_candidate",IF(AC868="PRIVATE_REVIEW","hold_for_private_review","quarantine_private_do_not_publish"))</x:f>
        <x:v>prepare_public_github_candidate</x:v>
      </x:c>
      <x:c r="AF868" s="12" t="str">
        <x:f>IF(AC868="PUBLIC_CANDIDATE","TIDELOCK + Lucerna",IF(AC868="PRIVATE_REVIEW","AtlasBrain + Lucerna","TIDELOCK + Lucerna + Human-root"))</x:f>
        <x:v>TIDELOCK + Lucerna</x:v>
      </x:c>
      <x:c r="AG868" s="12" t="str">
        <x:f>IF(AND(AC868="PUBLIC_CANDIDATE",U868&lt;&gt;"BLOCKED_PENDING_RECEIPT"),"READY_AFTER_RECEIPT","NOT_READY")</x:f>
        <x:v>NOT_READY</x:v>
      </x:c>
      <x:c r="AH868" s="12" t="str">
        <x:f>IF(AC868="PUBLIC_CANDIDATE","none",AD868)</x:f>
        <x:v>none</x:v>
      </x:c>
      <x:c r="AI868" s="12" t="str">
        <x:f>IF(AC868="PUBLIC_CANDIDATE","archive/public_candidates/"&amp;A868,"private_quarantine/"&amp;A868)</x:f>
        <x:v>archive/public_candidates/SWARM-07-H01-S03</x:v>
      </x:c>
      <x:c r="AJ868" s="12" t="str">
        <x:f>IF(AC868="PUBLIC_CANDIDATE","public by default; still not canon","private/hold; do not publish")</x:f>
        <x:v>public by default; still not canon</x:v>
      </x:c>
      <x:c r="AK868" s="12" t="str">
        <x:f>IF(AE868="prepare_public_github_candidate","add receipt/status then mirror","resolve blocker before any public GitHub action")</x:f>
        <x:v>add receipt/status then mirror</x:v>
      </x:c>
    </x:row>
    <x:row r="869">
      <x:c r="A869" s="15" t="str">
        <x:v>SWARM-07-H01-S04</x:v>
      </x:c>
      <x:c r="B869" s="15" t="str">
        <x:v>Domechild</x:v>
      </x:c>
      <x:c r="C869" s="15" t="str">
        <x:v>Planetarium lane builder</x:v>
      </x:c>
      <x:c r="D869" s="15" t="str">
        <x:v>Source Inventory</x:v>
      </x:c>
      <x:c r="E869" s="15" t="str">
        <x:v>Gamma</x:v>
      </x:c>
      <x:c r="F869" s="15" t="str">
        <x:v>Inventory Gamma — Domechild</x:v>
      </x:c>
      <x:c r="G869" s="15" t="str">
        <x:v>planetarium source packets / civic-science deltas</x:v>
      </x:c>
      <x:c r="H869" s="15" t="str">
        <x:v>source path + receipt + raw/export status + claim/edge/risk delta</x:v>
      </x:c>
      <x:c r="I869" s="15" t="str">
        <x:v>packet/SWARM-07-H01-S04</x:v>
      </x:c>
      <x:c r="J869" s="15" t="str">
        <x:v>TODO</x:v>
      </x:c>
      <x:c r="K869" s="15" t="str">
        <x:v>P1</x:v>
      </x:c>
      <x:c r="L869" s="15" t="str">
        <x:v>Done only when evidence is logged, contradiction search is noted, and boundary stamp remains non-canon unless ratified</x:v>
      </x:c>
      <x:c r="M869" s="15" t="str">
        <x:v>candidate / staging-only / not canon / not deployed / authority none</x:v>
      </x:c>
      <x:c r="N869" s="15" t="str">
        <x:v>Dispatch to Domechild: complete Source Inventory x Gamma; return deltas only, receipts required.</x:v>
      </x:c>
      <x:c r="O869" s="15" t="str">
        <x:v>AF-KG-H01-S04</x:v>
      </x:c>
      <x:c r="P869" s="15" t="str">
        <x:v>Unverified</x:v>
      </x:c>
      <x:c r="Q869" s="15" t="str">
        <x:v>Not checked</x:v>
      </x:c>
      <x:c r="R869" s="15" t="str"/>
      <x:c r="S869" s="15" t="str"/>
      <x:c r="T869" s="15" t="str">
        <x:v>Log first source path or blocker</x:v>
      </x:c>
      <x:c r="U869" s="12" t="str">
        <x:f>IF(OR(P869="Unverified",Q869="Not checked"),"BLOCKED_PENDING_RECEIPT","READY_FOR_REVIEW")</x:f>
        <x:v>BLOCKED_PENDING_RECEIPT</x:v>
      </x:c>
      <x:c r="V869" s="12" t="str">
        <x:f>IF(J869="DONE","RETURNED",IF(U869="BLOCKED_PENDING_RECEIPT","SOURCE_TOUCH_REQUIRED","IN_PROGRESS"))</x:f>
        <x:v>SOURCE_TOUCH_REQUIRED</x:v>
      </x:c>
      <x:c r="W869" s="12" t="str">
        <x:f>IF(P869="Unverified","missing_receipt","receipt_logged")</x:f>
        <x:v>missing_receipt</x:v>
      </x:c>
      <x:c r="X869" s="12" t="str">
        <x:f>IF(Q869="Not checked","raw_status_missing","raw_status_logged")</x:f>
        <x:v>raw_status_missing</x:v>
      </x:c>
      <x:c r="Y869" s="12" t="str">
        <x:f>IF(U869="BLOCKED_PENDING_RECEIPT","Log source path or blocker; do not promote","Route to review lane")</x:f>
        <x:v>Log source path or blocker; do not promote</x:v>
      </x:c>
      <x:c r="Z869" s="12" t="str">
        <x:f>IF(K869="P0","Primary seat + Hashlight/Lucerna","Seat lane")</x:f>
        <x:v>Seat lane</x:v>
      </x:c>
      <x:c r="AA869" s="12" t="str">
        <x:f>IF(R869="","no_claim_delta","claim_delta_present")</x:f>
        <x:v>no_claim_delta</x:v>
      </x:c>
      <x:c r="AB869" s="12" t="str">
        <x:f>IF(S869="","no_contradiction_delta","contradiction_delta_present")</x:f>
        <x:v>no_contradiction_delta</x:v>
      </x:c>
      <x:c r="AC869" s="12" t="str">
        <x:f>IF(OR(ISNUMBER(SEARCH("hacker",LOWER(F869&amp;" "&amp;H869&amp;" "&amp;I869&amp;" "&amp;M869&amp;" "&amp;N869&amp;" "&amp;T869))),ISNUMBER(SEARCH("hacking",LOWER(F869&amp;" "&amp;H869&amp;" "&amp;I869&amp;" "&amp;M869&amp;" "&amp;N869&amp;" "&amp;T869))),ISNUMBER(SEARCH("bank",LOWER(F869&amp;" "&amp;H869&amp;" "&amp;I869&amp;" "&amp;M869&amp;" "&amp;N869&amp;" "&amp;T869))),ISNUMBER(SEARCH("banking",LOWER(F869&amp;" "&amp;H869&amp;" "&amp;I869&amp;" "&amp;M869&amp;" "&amp;N869&amp;" "&amp;T869)))),"PRIVATE_QUARANTINE",IF(OR(ISNUMBER(SEARCH("treasury",LOWER(F869&amp;" "&amp;H869&amp;" "&amp;I869&amp;" "&amp;M869&amp;" "&amp;N869&amp;" "&amp;T869))),ISNUMBER(SEARCH("debt",LOWER(F869&amp;" "&amp;H869&amp;" "&amp;I869&amp;" "&amp;M869&amp;" "&amp;N869&amp;" "&amp;T869))),ISNUMBER(SEARCH("bond",LOWER(F869&amp;" "&amp;H869&amp;" "&amp;I869&amp;" "&amp;M869&amp;" "&amp;N869&amp;" "&amp;T869))),ISNUMBER(SEARCH("transaction",LOWER(F869&amp;" "&amp;H869&amp;" "&amp;I869&amp;" "&amp;M869&amp;" "&amp;N869&amp;" "&amp;T869)))),"PRIVATE_REVIEW","PUBLIC_CANDIDATE"))</x:f>
        <x:v>PUBLIC_CANDIDATE</x:v>
      </x:c>
      <x:c r="AD869" s="12" t="str">
        <x:f>IF(AC869="PRIVATE_QUARANTINE","hacker_or_bank_trigger",IF(AC869="PRIVATE_REVIEW","finance_risk_trigger","none"))</x:f>
        <x:v>none</x:v>
      </x:c>
      <x:c r="AE869" s="12" t="str">
        <x:f>IF(AC869="PUBLIC_CANDIDATE","prepare_public_github_candidate",IF(AC869="PRIVATE_REVIEW","hold_for_private_review","quarantine_private_do_not_publish"))</x:f>
        <x:v>prepare_public_github_candidate</x:v>
      </x:c>
      <x:c r="AF869" s="12" t="str">
        <x:f>IF(AC869="PUBLIC_CANDIDATE","TIDELOCK + Lucerna",IF(AC869="PRIVATE_REVIEW","AtlasBrain + Lucerna","TIDELOCK + Lucerna + Human-root"))</x:f>
        <x:v>TIDELOCK + Lucerna</x:v>
      </x:c>
      <x:c r="AG869" s="12" t="str">
        <x:f>IF(AND(AC869="PUBLIC_CANDIDATE",U869&lt;&gt;"BLOCKED_PENDING_RECEIPT"),"READY_AFTER_RECEIPT","NOT_READY")</x:f>
        <x:v>NOT_READY</x:v>
      </x:c>
      <x:c r="AH869" s="12" t="str">
        <x:f>IF(AC869="PUBLIC_CANDIDATE","none",AD869)</x:f>
        <x:v>none</x:v>
      </x:c>
      <x:c r="AI869" s="12" t="str">
        <x:f>IF(AC869="PUBLIC_CANDIDATE","archive/public_candidates/"&amp;A869,"private_quarantine/"&amp;A869)</x:f>
        <x:v>archive/public_candidates/SWARM-07-H01-S04</x:v>
      </x:c>
      <x:c r="AJ869" s="12" t="str">
        <x:f>IF(AC869="PUBLIC_CANDIDATE","public by default; still not canon","private/hold; do not publish")</x:f>
        <x:v>public by default; still not canon</x:v>
      </x:c>
      <x:c r="AK869" s="12" t="str">
        <x:f>IF(AE869="prepare_public_github_candidate","add receipt/status then mirror","resolve blocker before any public GitHub action")</x:f>
        <x:v>add receipt/status then mirror</x:v>
      </x:c>
    </x:row>
    <x:row r="870">
      <x:c r="A870" s="15" t="str">
        <x:v>SWARM-07-H01-S05</x:v>
      </x:c>
      <x:c r="B870" s="15" t="str">
        <x:v>Domechild</x:v>
      </x:c>
      <x:c r="C870" s="15" t="str">
        <x:v>Planetarium lane builder</x:v>
      </x:c>
      <x:c r="D870" s="15" t="str">
        <x:v>Source Inventory</x:v>
      </x:c>
      <x:c r="E870" s="15" t="str">
        <x:v>Chat</x:v>
      </x:c>
      <x:c r="F870" s="15" t="str">
        <x:v>Inventory Chat — Domechild</x:v>
      </x:c>
      <x:c r="G870" s="15" t="str">
        <x:v>planetarium source packets / civic-science deltas</x:v>
      </x:c>
      <x:c r="H870" s="15" t="str">
        <x:v>source path + receipt + raw/export status + claim/edge/risk delta</x:v>
      </x:c>
      <x:c r="I870" s="15" t="str">
        <x:v>packet/SWARM-07-H01-S05</x:v>
      </x:c>
      <x:c r="J870" s="15" t="str">
        <x:v>TODO</x:v>
      </x:c>
      <x:c r="K870" s="15" t="str">
        <x:v>P1</x:v>
      </x:c>
      <x:c r="L870" s="15" t="str">
        <x:v>Done only when evidence is logged, contradiction search is noted, and boundary stamp remains non-canon unless ratified</x:v>
      </x:c>
      <x:c r="M870" s="15" t="str">
        <x:v>candidate / staging-only / not canon / not deployed / authority none</x:v>
      </x:c>
      <x:c r="N870" s="15" t="str">
        <x:v>Dispatch to Domechild: complete Source Inventory x Chat; return deltas only, receipts required.</x:v>
      </x:c>
      <x:c r="O870" s="15" t="str">
        <x:v>AF-KG-H01-S05</x:v>
      </x:c>
      <x:c r="P870" s="15" t="str">
        <x:v>Unverified</x:v>
      </x:c>
      <x:c r="Q870" s="15" t="str">
        <x:v>Not checked</x:v>
      </x:c>
      <x:c r="R870" s="15" t="str"/>
      <x:c r="S870" s="15" t="str"/>
      <x:c r="T870" s="15" t="str">
        <x:v>Log first source path or blocker</x:v>
      </x:c>
      <x:c r="U870" s="12" t="str">
        <x:f>IF(OR(P870="Unverified",Q870="Not checked"),"BLOCKED_PENDING_RECEIPT","READY_FOR_REVIEW")</x:f>
        <x:v>BLOCKED_PENDING_RECEIPT</x:v>
      </x:c>
      <x:c r="V870" s="12" t="str">
        <x:f>IF(J870="DONE","RETURNED",IF(U870="BLOCKED_PENDING_RECEIPT","SOURCE_TOUCH_REQUIRED","IN_PROGRESS"))</x:f>
        <x:v>SOURCE_TOUCH_REQUIRED</x:v>
      </x:c>
      <x:c r="W870" s="12" t="str">
        <x:f>IF(P870="Unverified","missing_receipt","receipt_logged")</x:f>
        <x:v>missing_receipt</x:v>
      </x:c>
      <x:c r="X870" s="12" t="str">
        <x:f>IF(Q870="Not checked","raw_status_missing","raw_status_logged")</x:f>
        <x:v>raw_status_missing</x:v>
      </x:c>
      <x:c r="Y870" s="12" t="str">
        <x:f>IF(U870="BLOCKED_PENDING_RECEIPT","Log source path or blocker; do not promote","Route to review lane")</x:f>
        <x:v>Log source path or blocker; do not promote</x:v>
      </x:c>
      <x:c r="Z870" s="12" t="str">
        <x:f>IF(K870="P0","Primary seat + Hashlight/Lucerna","Seat lane")</x:f>
        <x:v>Seat lane</x:v>
      </x:c>
      <x:c r="AA870" s="12" t="str">
        <x:f>IF(R870="","no_claim_delta","claim_delta_present")</x:f>
        <x:v>no_claim_delta</x:v>
      </x:c>
      <x:c r="AB870" s="12" t="str">
        <x:f>IF(S870="","no_contradiction_delta","contradiction_delta_present")</x:f>
        <x:v>no_contradiction_delta</x:v>
      </x:c>
      <x:c r="AC870" s="12" t="str">
        <x:f>IF(OR(ISNUMBER(SEARCH("hacker",LOWER(F870&amp;" "&amp;H870&amp;" "&amp;I870&amp;" "&amp;M870&amp;" "&amp;N870&amp;" "&amp;T870))),ISNUMBER(SEARCH("hacking",LOWER(F870&amp;" "&amp;H870&amp;" "&amp;I870&amp;" "&amp;M870&amp;" "&amp;N870&amp;" "&amp;T870))),ISNUMBER(SEARCH("bank",LOWER(F870&amp;" "&amp;H870&amp;" "&amp;I870&amp;" "&amp;M870&amp;" "&amp;N870&amp;" "&amp;T870))),ISNUMBER(SEARCH("banking",LOWER(F870&amp;" "&amp;H870&amp;" "&amp;I870&amp;" "&amp;M870&amp;" "&amp;N870&amp;" "&amp;T870)))),"PRIVATE_QUARANTINE",IF(OR(ISNUMBER(SEARCH("treasury",LOWER(F870&amp;" "&amp;H870&amp;" "&amp;I870&amp;" "&amp;M870&amp;" "&amp;N870&amp;" "&amp;T870))),ISNUMBER(SEARCH("debt",LOWER(F870&amp;" "&amp;H870&amp;" "&amp;I870&amp;" "&amp;M870&amp;" "&amp;N870&amp;" "&amp;T870))),ISNUMBER(SEARCH("bond",LOWER(F870&amp;" "&amp;H870&amp;" "&amp;I870&amp;" "&amp;M870&amp;" "&amp;N870&amp;" "&amp;T870))),ISNUMBER(SEARCH("transaction",LOWER(F870&amp;" "&amp;H870&amp;" "&amp;I870&amp;" "&amp;M870&amp;" "&amp;N870&amp;" "&amp;T870)))),"PRIVATE_REVIEW","PUBLIC_CANDIDATE"))</x:f>
        <x:v>PUBLIC_CANDIDATE</x:v>
      </x:c>
      <x:c r="AD870" s="12" t="str">
        <x:f>IF(AC870="PRIVATE_QUARANTINE","hacker_or_bank_trigger",IF(AC870="PRIVATE_REVIEW","finance_risk_trigger","none"))</x:f>
        <x:v>none</x:v>
      </x:c>
      <x:c r="AE870" s="12" t="str">
        <x:f>IF(AC870="PUBLIC_CANDIDATE","prepare_public_github_candidate",IF(AC870="PRIVATE_REVIEW","hold_for_private_review","quarantine_private_do_not_publish"))</x:f>
        <x:v>prepare_public_github_candidate</x:v>
      </x:c>
      <x:c r="AF870" s="12" t="str">
        <x:f>IF(AC870="PUBLIC_CANDIDATE","TIDELOCK + Lucerna",IF(AC870="PRIVATE_REVIEW","AtlasBrain + Lucerna","TIDELOCK + Lucerna + Human-root"))</x:f>
        <x:v>TIDELOCK + Lucerna</x:v>
      </x:c>
      <x:c r="AG870" s="12" t="str">
        <x:f>IF(AND(AC870="PUBLIC_CANDIDATE",U870&lt;&gt;"BLOCKED_PENDING_RECEIPT"),"READY_AFTER_RECEIPT","NOT_READY")</x:f>
        <x:v>NOT_READY</x:v>
      </x:c>
      <x:c r="AH870" s="12" t="str">
        <x:f>IF(AC870="PUBLIC_CANDIDATE","none",AD870)</x:f>
        <x:v>none</x:v>
      </x:c>
      <x:c r="AI870" s="12" t="str">
        <x:f>IF(AC870="PUBLIC_CANDIDATE","archive/public_candidates/"&amp;A870,"private_quarantine/"&amp;A870)</x:f>
        <x:v>archive/public_candidates/SWARM-07-H01-S05</x:v>
      </x:c>
      <x:c r="AJ870" s="12" t="str">
        <x:f>IF(AC870="PUBLIC_CANDIDATE","public by default; still not canon","private/hold; do not publish")</x:f>
        <x:v>public by default; still not canon</x:v>
      </x:c>
      <x:c r="AK870" s="12" t="str">
        <x:f>IF(AE870="prepare_public_github_candidate","add receipt/status then mirror","resolve blocker before any public GitHub action")</x:f>
        <x:v>add receipt/status then mirror</x:v>
      </x:c>
    </x:row>
    <x:row r="871">
      <x:c r="A871" s="15" t="str">
        <x:v>SWARM-07-H01-S06</x:v>
      </x:c>
      <x:c r="B871" s="15" t="str">
        <x:v>Domechild</x:v>
      </x:c>
      <x:c r="C871" s="15" t="str">
        <x:v>Planetarium lane builder</x:v>
      </x:c>
      <x:c r="D871" s="15" t="str">
        <x:v>Source Inventory</x:v>
      </x:c>
      <x:c r="E871" s="15" t="str">
        <x:v>External Web</x:v>
      </x:c>
      <x:c r="F871" s="15" t="str">
        <x:v>Inventory External Web — Domechild</x:v>
      </x:c>
      <x:c r="G871" s="15" t="str">
        <x:v>planetarium source packets / civic-science deltas</x:v>
      </x:c>
      <x:c r="H871" s="15" t="str">
        <x:v>source path + receipt + raw/export status + claim/edge/risk delta</x:v>
      </x:c>
      <x:c r="I871" s="15" t="str">
        <x:v>packet/SWARM-07-H01-S06</x:v>
      </x:c>
      <x:c r="J871" s="15" t="str">
        <x:v>TODO</x:v>
      </x:c>
      <x:c r="K871" s="15" t="str">
        <x:v>P1</x:v>
      </x:c>
      <x:c r="L871" s="15" t="str">
        <x:v>Done only when evidence is logged, contradiction search is noted, and boundary stamp remains non-canon unless ratified</x:v>
      </x:c>
      <x:c r="M871" s="15" t="str">
        <x:v>candidate / staging-only / not canon / not deployed / authority none</x:v>
      </x:c>
      <x:c r="N871" s="15" t="str">
        <x:v>Dispatch to Domechild: complete Source Inventory x External Web; return deltas only, receipts required.</x:v>
      </x:c>
      <x:c r="O871" s="15" t="str">
        <x:v>AF-KG-H01-S06</x:v>
      </x:c>
      <x:c r="P871" s="15" t="str">
        <x:v>Unverified</x:v>
      </x:c>
      <x:c r="Q871" s="15" t="str">
        <x:v>Not checked</x:v>
      </x:c>
      <x:c r="R871" s="15" t="str"/>
      <x:c r="S871" s="15" t="str"/>
      <x:c r="T871" s="15" t="str">
        <x:v>Log first source path or blocker</x:v>
      </x:c>
      <x:c r="U871" s="12" t="str">
        <x:f>IF(OR(P871="Unverified",Q871="Not checked"),"BLOCKED_PENDING_RECEIPT","READY_FOR_REVIEW")</x:f>
        <x:v>BLOCKED_PENDING_RECEIPT</x:v>
      </x:c>
      <x:c r="V871" s="12" t="str">
        <x:f>IF(J871="DONE","RETURNED",IF(U871="BLOCKED_PENDING_RECEIPT","SOURCE_TOUCH_REQUIRED","IN_PROGRESS"))</x:f>
        <x:v>SOURCE_TOUCH_REQUIRED</x:v>
      </x:c>
      <x:c r="W871" s="12" t="str">
        <x:f>IF(P871="Unverified","missing_receipt","receipt_logged")</x:f>
        <x:v>missing_receipt</x:v>
      </x:c>
      <x:c r="X871" s="12" t="str">
        <x:f>IF(Q871="Not checked","raw_status_missing","raw_status_logged")</x:f>
        <x:v>raw_status_missing</x:v>
      </x:c>
      <x:c r="Y871" s="12" t="str">
        <x:f>IF(U871="BLOCKED_PENDING_RECEIPT","Log source path or blocker; do not promote","Route to review lane")</x:f>
        <x:v>Log source path or blocker; do not promote</x:v>
      </x:c>
      <x:c r="Z871" s="12" t="str">
        <x:f>IF(K871="P0","Primary seat + Hashlight/Lucerna","Seat lane")</x:f>
        <x:v>Seat lane</x:v>
      </x:c>
      <x:c r="AA871" s="12" t="str">
        <x:f>IF(R871="","no_claim_delta","claim_delta_present")</x:f>
        <x:v>no_claim_delta</x:v>
      </x:c>
      <x:c r="AB871" s="12" t="str">
        <x:f>IF(S871="","no_contradiction_delta","contradiction_delta_present")</x:f>
        <x:v>no_contradiction_delta</x:v>
      </x:c>
      <x:c r="AC871" s="12" t="str">
        <x:f>IF(OR(ISNUMBER(SEARCH("hacker",LOWER(F871&amp;" "&amp;H871&amp;" "&amp;I871&amp;" "&amp;M871&amp;" "&amp;N871&amp;" "&amp;T871))),ISNUMBER(SEARCH("hacking",LOWER(F871&amp;" "&amp;H871&amp;" "&amp;I871&amp;" "&amp;M871&amp;" "&amp;N871&amp;" "&amp;T871))),ISNUMBER(SEARCH("bank",LOWER(F871&amp;" "&amp;H871&amp;" "&amp;I871&amp;" "&amp;M871&amp;" "&amp;N871&amp;" "&amp;T871))),ISNUMBER(SEARCH("banking",LOWER(F871&amp;" "&amp;H871&amp;" "&amp;I871&amp;" "&amp;M871&amp;" "&amp;N871&amp;" "&amp;T871)))),"PRIVATE_QUARANTINE",IF(OR(ISNUMBER(SEARCH("treasury",LOWER(F871&amp;" "&amp;H871&amp;" "&amp;I871&amp;" "&amp;M871&amp;" "&amp;N871&amp;" "&amp;T871))),ISNUMBER(SEARCH("debt",LOWER(F871&amp;" "&amp;H871&amp;" "&amp;I871&amp;" "&amp;M871&amp;" "&amp;N871&amp;" "&amp;T871))),ISNUMBER(SEARCH("bond",LOWER(F871&amp;" "&amp;H871&amp;" "&amp;I871&amp;" "&amp;M871&amp;" "&amp;N871&amp;" "&amp;T871))),ISNUMBER(SEARCH("transaction",LOWER(F871&amp;" "&amp;H871&amp;" "&amp;I871&amp;" "&amp;M871&amp;" "&amp;N871&amp;" "&amp;T871)))),"PRIVATE_REVIEW","PUBLIC_CANDIDATE"))</x:f>
        <x:v>PUBLIC_CANDIDATE</x:v>
      </x:c>
      <x:c r="AD871" s="12" t="str">
        <x:f>IF(AC871="PRIVATE_QUARANTINE","hacker_or_bank_trigger",IF(AC871="PRIVATE_REVIEW","finance_risk_trigger","none"))</x:f>
        <x:v>none</x:v>
      </x:c>
      <x:c r="AE871" s="12" t="str">
        <x:f>IF(AC871="PUBLIC_CANDIDATE","prepare_public_github_candidate",IF(AC871="PRIVATE_REVIEW","hold_for_private_review","quarantine_private_do_not_publish"))</x:f>
        <x:v>prepare_public_github_candidate</x:v>
      </x:c>
      <x:c r="AF871" s="12" t="str">
        <x:f>IF(AC871="PUBLIC_CANDIDATE","TIDELOCK + Lucerna",IF(AC871="PRIVATE_REVIEW","AtlasBrain + Lucerna","TIDELOCK + Lucerna + Human-root"))</x:f>
        <x:v>TIDELOCK + Lucerna</x:v>
      </x:c>
      <x:c r="AG871" s="12" t="str">
        <x:f>IF(AND(AC871="PUBLIC_CANDIDATE",U871&lt;&gt;"BLOCKED_PENDING_RECEIPT"),"READY_AFTER_RECEIPT","NOT_READY")</x:f>
        <x:v>NOT_READY</x:v>
      </x:c>
      <x:c r="AH871" s="12" t="str">
        <x:f>IF(AC871="PUBLIC_CANDIDATE","none",AD871)</x:f>
        <x:v>none</x:v>
      </x:c>
      <x:c r="AI871" s="12" t="str">
        <x:f>IF(AC871="PUBLIC_CANDIDATE","archive/public_candidates/"&amp;A871,"private_quarantine/"&amp;A871)</x:f>
        <x:v>archive/public_candidates/SWARM-07-H01-S06</x:v>
      </x:c>
      <x:c r="AJ871" s="12" t="str">
        <x:f>IF(AC871="PUBLIC_CANDIDATE","public by default; still not canon","private/hold; do not publish")</x:f>
        <x:v>public by default; still not canon</x:v>
      </x:c>
      <x:c r="AK871" s="12" t="str">
        <x:f>IF(AE871="prepare_public_github_candidate","add receipt/status then mirror","resolve blocker before any public GitHub action")</x:f>
        <x:v>add receipt/status then mirror</x:v>
      </x:c>
    </x:row>
    <x:row r="872">
      <x:c r="A872" s="15" t="str">
        <x:v>SWARM-07-H01-S07</x:v>
      </x:c>
      <x:c r="B872" s="15" t="str">
        <x:v>Domechild</x:v>
      </x:c>
      <x:c r="C872" s="15" t="str">
        <x:v>Planetarium lane builder</x:v>
      </x:c>
      <x:c r="D872" s="15" t="str">
        <x:v>Source Inventory</x:v>
      </x:c>
      <x:c r="E872" s="15" t="str">
        <x:v>Planetarium</x:v>
      </x:c>
      <x:c r="F872" s="15" t="str">
        <x:v>Inventory Planetarium — Domechild</x:v>
      </x:c>
      <x:c r="G872" s="15" t="str">
        <x:v>planetarium source packets / civic-science deltas</x:v>
      </x:c>
      <x:c r="H872" s="15" t="str">
        <x:v>source path + receipt + raw/export status + claim/edge/risk delta</x:v>
      </x:c>
      <x:c r="I872" s="15" t="str">
        <x:v>packet/SWARM-07-H01-S07</x:v>
      </x:c>
      <x:c r="J872" s="15" t="str">
        <x:v>TODO</x:v>
      </x:c>
      <x:c r="K872" s="15" t="str">
        <x:v>P1</x:v>
      </x:c>
      <x:c r="L872" s="15" t="str">
        <x:v>Done only when evidence is logged, contradiction search is noted, and boundary stamp remains non-canon unless ratified</x:v>
      </x:c>
      <x:c r="M872" s="15" t="str">
        <x:v>candidate / staging-only / not canon / not deployed / authority none</x:v>
      </x:c>
      <x:c r="N872" s="15" t="str">
        <x:v>Dispatch to Domechild: complete Source Inventory x Planetarium; return deltas only, receipts required.</x:v>
      </x:c>
      <x:c r="O872" s="15" t="str">
        <x:v>AF-KG-H01-S07</x:v>
      </x:c>
      <x:c r="P872" s="15" t="str">
        <x:v>Unverified</x:v>
      </x:c>
      <x:c r="Q872" s="15" t="str">
        <x:v>Not checked</x:v>
      </x:c>
      <x:c r="R872" s="15" t="str"/>
      <x:c r="S872" s="15" t="str"/>
      <x:c r="T872" s="15" t="str">
        <x:v>Log first source path or blocker</x:v>
      </x:c>
      <x:c r="U872" s="12" t="str">
        <x:f>IF(OR(P872="Unverified",Q872="Not checked"),"BLOCKED_PENDING_RECEIPT","READY_FOR_REVIEW")</x:f>
        <x:v>BLOCKED_PENDING_RECEIPT</x:v>
      </x:c>
      <x:c r="V872" s="12" t="str">
        <x:f>IF(J872="DONE","RETURNED",IF(U872="BLOCKED_PENDING_RECEIPT","SOURCE_TOUCH_REQUIRED","IN_PROGRESS"))</x:f>
        <x:v>SOURCE_TOUCH_REQUIRED</x:v>
      </x:c>
      <x:c r="W872" s="12" t="str">
        <x:f>IF(P872="Unverified","missing_receipt","receipt_logged")</x:f>
        <x:v>missing_receipt</x:v>
      </x:c>
      <x:c r="X872" s="12" t="str">
        <x:f>IF(Q872="Not checked","raw_status_missing","raw_status_logged")</x:f>
        <x:v>raw_status_missing</x:v>
      </x:c>
      <x:c r="Y872" s="12" t="str">
        <x:f>IF(U872="BLOCKED_PENDING_RECEIPT","Log source path or blocker; do not promote","Route to review lane")</x:f>
        <x:v>Log source path or blocker; do not promote</x:v>
      </x:c>
      <x:c r="Z872" s="12" t="str">
        <x:f>IF(K872="P0","Primary seat + Hashlight/Lucerna","Seat lane")</x:f>
        <x:v>Seat lane</x:v>
      </x:c>
      <x:c r="AA872" s="12" t="str">
        <x:f>IF(R872="","no_claim_delta","claim_delta_present")</x:f>
        <x:v>no_claim_delta</x:v>
      </x:c>
      <x:c r="AB872" s="12" t="str">
        <x:f>IF(S872="","no_contradiction_delta","contradiction_delta_present")</x:f>
        <x:v>no_contradiction_delta</x:v>
      </x:c>
      <x:c r="AC872" s="12" t="str">
        <x:f>IF(OR(ISNUMBER(SEARCH("hacker",LOWER(F872&amp;" "&amp;H872&amp;" "&amp;I872&amp;" "&amp;M872&amp;" "&amp;N872&amp;" "&amp;T872))),ISNUMBER(SEARCH("hacking",LOWER(F872&amp;" "&amp;H872&amp;" "&amp;I872&amp;" "&amp;M872&amp;" "&amp;N872&amp;" "&amp;T872))),ISNUMBER(SEARCH("bank",LOWER(F872&amp;" "&amp;H872&amp;" "&amp;I872&amp;" "&amp;M872&amp;" "&amp;N872&amp;" "&amp;T872))),ISNUMBER(SEARCH("banking",LOWER(F872&amp;" "&amp;H872&amp;" "&amp;I872&amp;" "&amp;M872&amp;" "&amp;N872&amp;" "&amp;T872)))),"PRIVATE_QUARANTINE",IF(OR(ISNUMBER(SEARCH("treasury",LOWER(F872&amp;" "&amp;H872&amp;" "&amp;I872&amp;" "&amp;M872&amp;" "&amp;N872&amp;" "&amp;T872))),ISNUMBER(SEARCH("debt",LOWER(F872&amp;" "&amp;H872&amp;" "&amp;I872&amp;" "&amp;M872&amp;" "&amp;N872&amp;" "&amp;T872))),ISNUMBER(SEARCH("bond",LOWER(F872&amp;" "&amp;H872&amp;" "&amp;I872&amp;" "&amp;M872&amp;" "&amp;N872&amp;" "&amp;T872))),ISNUMBER(SEARCH("transaction",LOWER(F872&amp;" "&amp;H872&amp;" "&amp;I872&amp;" "&amp;M872&amp;" "&amp;N872&amp;" "&amp;T872)))),"PRIVATE_REVIEW","PUBLIC_CANDIDATE"))</x:f>
        <x:v>PUBLIC_CANDIDATE</x:v>
      </x:c>
      <x:c r="AD872" s="12" t="str">
        <x:f>IF(AC872="PRIVATE_QUARANTINE","hacker_or_bank_trigger",IF(AC872="PRIVATE_REVIEW","finance_risk_trigger","none"))</x:f>
        <x:v>none</x:v>
      </x:c>
      <x:c r="AE872" s="12" t="str">
        <x:f>IF(AC872="PUBLIC_CANDIDATE","prepare_public_github_candidate",IF(AC872="PRIVATE_REVIEW","hold_for_private_review","quarantine_private_do_not_publish"))</x:f>
        <x:v>prepare_public_github_candidate</x:v>
      </x:c>
      <x:c r="AF872" s="12" t="str">
        <x:f>IF(AC872="PUBLIC_CANDIDATE","TIDELOCK + Lucerna",IF(AC872="PRIVATE_REVIEW","AtlasBrain + Lucerna","TIDELOCK + Lucerna + Human-root"))</x:f>
        <x:v>TIDELOCK + Lucerna</x:v>
      </x:c>
      <x:c r="AG872" s="12" t="str">
        <x:f>IF(AND(AC872="PUBLIC_CANDIDATE",U872&lt;&gt;"BLOCKED_PENDING_RECEIPT"),"READY_AFTER_RECEIPT","NOT_READY")</x:f>
        <x:v>NOT_READY</x:v>
      </x:c>
      <x:c r="AH872" s="12" t="str">
        <x:f>IF(AC872="PUBLIC_CANDIDATE","none",AD872)</x:f>
        <x:v>none</x:v>
      </x:c>
      <x:c r="AI872" s="12" t="str">
        <x:f>IF(AC872="PUBLIC_CANDIDATE","archive/public_candidates/"&amp;A872,"private_quarantine/"&amp;A872)</x:f>
        <x:v>archive/public_candidates/SWARM-07-H01-S07</x:v>
      </x:c>
      <x:c r="AJ872" s="12" t="str">
        <x:f>IF(AC872="PUBLIC_CANDIDATE","public by default; still not canon","private/hold; do not publish")</x:f>
        <x:v>public by default; still not canon</x:v>
      </x:c>
      <x:c r="AK872" s="12" t="str">
        <x:f>IF(AE872="prepare_public_github_candidate","add receipt/status then mirror","resolve blocker before any public GitHub action")</x:f>
        <x:v>add receipt/status then mirror</x:v>
      </x:c>
    </x:row>
    <x:row r="873">
      <x:c r="A873" s="15" t="str">
        <x:v>SWARM-07-H01-S08</x:v>
      </x:c>
      <x:c r="B873" s="15" t="str">
        <x:v>Domechild</x:v>
      </x:c>
      <x:c r="C873" s="15" t="str">
        <x:v>Planetarium lane builder</x:v>
      </x:c>
      <x:c r="D873" s="15" t="str">
        <x:v>Source Inventory</x:v>
      </x:c>
      <x:c r="E873" s="15" t="str">
        <x:v>Sheldonbrain</x:v>
      </x:c>
      <x:c r="F873" s="15" t="str">
        <x:v>Inventory Sheldonbrain — Domechild</x:v>
      </x:c>
      <x:c r="G873" s="15" t="str">
        <x:v>planetarium source packets / civic-science deltas</x:v>
      </x:c>
      <x:c r="H873" s="15" t="str">
        <x:v>source path + receipt + raw/export status + claim/edge/risk delta</x:v>
      </x:c>
      <x:c r="I873" s="15" t="str">
        <x:v>packet/SWARM-07-H01-S08</x:v>
      </x:c>
      <x:c r="J873" s="15" t="str">
        <x:v>TODO</x:v>
      </x:c>
      <x:c r="K873" s="15" t="str">
        <x:v>P1</x:v>
      </x:c>
      <x:c r="L873" s="15" t="str">
        <x:v>Done only when evidence is logged, contradiction search is noted, and boundary stamp remains non-canon unless ratified</x:v>
      </x:c>
      <x:c r="M873" s="15" t="str">
        <x:v>candidate / staging-only / not canon / not deployed / authority none</x:v>
      </x:c>
      <x:c r="N873" s="15" t="str">
        <x:v>Dispatch to Domechild: complete Source Inventory x Sheldonbrain; return deltas only, receipts required.</x:v>
      </x:c>
      <x:c r="O873" s="15" t="str">
        <x:v>AF-KG-H01-S08</x:v>
      </x:c>
      <x:c r="P873" s="15" t="str">
        <x:v>Unverified</x:v>
      </x:c>
      <x:c r="Q873" s="15" t="str">
        <x:v>Not checked</x:v>
      </x:c>
      <x:c r="R873" s="15" t="str"/>
      <x:c r="S873" s="15" t="str"/>
      <x:c r="T873" s="15" t="str">
        <x:v>Log first source path or blocker</x:v>
      </x:c>
      <x:c r="U873" s="12" t="str">
        <x:f>IF(OR(P873="Unverified",Q873="Not checked"),"BLOCKED_PENDING_RECEIPT","READY_FOR_REVIEW")</x:f>
        <x:v>BLOCKED_PENDING_RECEIPT</x:v>
      </x:c>
      <x:c r="V873" s="12" t="str">
        <x:f>IF(J873="DONE","RETURNED",IF(U873="BLOCKED_PENDING_RECEIPT","SOURCE_TOUCH_REQUIRED","IN_PROGRESS"))</x:f>
        <x:v>SOURCE_TOUCH_REQUIRED</x:v>
      </x:c>
      <x:c r="W873" s="12" t="str">
        <x:f>IF(P873="Unverified","missing_receipt","receipt_logged")</x:f>
        <x:v>missing_receipt</x:v>
      </x:c>
      <x:c r="X873" s="12" t="str">
        <x:f>IF(Q873="Not checked","raw_status_missing","raw_status_logged")</x:f>
        <x:v>raw_status_missing</x:v>
      </x:c>
      <x:c r="Y873" s="12" t="str">
        <x:f>IF(U873="BLOCKED_PENDING_RECEIPT","Log source path or blocker; do not promote","Route to review lane")</x:f>
        <x:v>Log source path or blocker; do not promote</x:v>
      </x:c>
      <x:c r="Z873" s="12" t="str">
        <x:f>IF(K873="P0","Primary seat + Hashlight/Lucerna","Seat lane")</x:f>
        <x:v>Seat lane</x:v>
      </x:c>
      <x:c r="AA873" s="12" t="str">
        <x:f>IF(R873="","no_claim_delta","claim_delta_present")</x:f>
        <x:v>no_claim_delta</x:v>
      </x:c>
      <x:c r="AB873" s="12" t="str">
        <x:f>IF(S873="","no_contradiction_delta","contradiction_delta_present")</x:f>
        <x:v>no_contradiction_delta</x:v>
      </x:c>
      <x:c r="AC873" s="12" t="str">
        <x:f>IF(OR(ISNUMBER(SEARCH("hacker",LOWER(F873&amp;" "&amp;H873&amp;" "&amp;I873&amp;" "&amp;M873&amp;" "&amp;N873&amp;" "&amp;T873))),ISNUMBER(SEARCH("hacking",LOWER(F873&amp;" "&amp;H873&amp;" "&amp;I873&amp;" "&amp;M873&amp;" "&amp;N873&amp;" "&amp;T873))),ISNUMBER(SEARCH("bank",LOWER(F873&amp;" "&amp;H873&amp;" "&amp;I873&amp;" "&amp;M873&amp;" "&amp;N873&amp;" "&amp;T873))),ISNUMBER(SEARCH("banking",LOWER(F873&amp;" "&amp;H873&amp;" "&amp;I873&amp;" "&amp;M873&amp;" "&amp;N873&amp;" "&amp;T873)))),"PRIVATE_QUARANTINE",IF(OR(ISNUMBER(SEARCH("treasury",LOWER(F873&amp;" "&amp;H873&amp;" "&amp;I873&amp;" "&amp;M873&amp;" "&amp;N873&amp;" "&amp;T873))),ISNUMBER(SEARCH("debt",LOWER(F873&amp;" "&amp;H873&amp;" "&amp;I873&amp;" "&amp;M873&amp;" "&amp;N873&amp;" "&amp;T873))),ISNUMBER(SEARCH("bond",LOWER(F873&amp;" "&amp;H873&amp;" "&amp;I873&amp;" "&amp;M873&amp;" "&amp;N873&amp;" "&amp;T873))),ISNUMBER(SEARCH("transaction",LOWER(F873&amp;" "&amp;H873&amp;" "&amp;I873&amp;" "&amp;M873&amp;" "&amp;N873&amp;" "&amp;T873)))),"PRIVATE_REVIEW","PUBLIC_CANDIDATE"))</x:f>
        <x:v>PUBLIC_CANDIDATE</x:v>
      </x:c>
      <x:c r="AD873" s="12" t="str">
        <x:f>IF(AC873="PRIVATE_QUARANTINE","hacker_or_bank_trigger",IF(AC873="PRIVATE_REVIEW","finance_risk_trigger","none"))</x:f>
        <x:v>none</x:v>
      </x:c>
      <x:c r="AE873" s="12" t="str">
        <x:f>IF(AC873="PUBLIC_CANDIDATE","prepare_public_github_candidate",IF(AC873="PRIVATE_REVIEW","hold_for_private_review","quarantine_private_do_not_publish"))</x:f>
        <x:v>prepare_public_github_candidate</x:v>
      </x:c>
      <x:c r="AF873" s="12" t="str">
        <x:f>IF(AC873="PUBLIC_CANDIDATE","TIDELOCK + Lucerna",IF(AC873="PRIVATE_REVIEW","AtlasBrain + Lucerna","TIDELOCK + Lucerna + Human-root"))</x:f>
        <x:v>TIDELOCK + Lucerna</x:v>
      </x:c>
      <x:c r="AG873" s="12" t="str">
        <x:f>IF(AND(AC873="PUBLIC_CANDIDATE",U873&lt;&gt;"BLOCKED_PENDING_RECEIPT"),"READY_AFTER_RECEIPT","NOT_READY")</x:f>
        <x:v>NOT_READY</x:v>
      </x:c>
      <x:c r="AH873" s="12" t="str">
        <x:f>IF(AC873="PUBLIC_CANDIDATE","none",AD873)</x:f>
        <x:v>none</x:v>
      </x:c>
      <x:c r="AI873" s="12" t="str">
        <x:f>IF(AC873="PUBLIC_CANDIDATE","archive/public_candidates/"&amp;A873,"private_quarantine/"&amp;A873)</x:f>
        <x:v>archive/public_candidates/SWARM-07-H01-S08</x:v>
      </x:c>
      <x:c r="AJ873" s="12" t="str">
        <x:f>IF(AC873="PUBLIC_CANDIDATE","public by default; still not canon","private/hold; do not publish")</x:f>
        <x:v>public by default; still not canon</x:v>
      </x:c>
      <x:c r="AK873" s="12" t="str">
        <x:f>IF(AE873="prepare_public_github_candidate","add receipt/status then mirror","resolve blocker before any public GitHub action")</x:f>
        <x:v>add receipt/status then mirror</x:v>
      </x:c>
    </x:row>
    <x:row r="874">
      <x:c r="A874" s="15" t="str">
        <x:v>SWARM-07-H01-S09</x:v>
      </x:c>
      <x:c r="B874" s="15" t="str">
        <x:v>Domechild</x:v>
      </x:c>
      <x:c r="C874" s="15" t="str">
        <x:v>Planetarium lane builder</x:v>
      </x:c>
      <x:c r="D874" s="15" t="str">
        <x:v>Source Inventory</x:v>
      </x:c>
      <x:c r="E874" s="15" t="str">
        <x:v>Aetherforge</x:v>
      </x:c>
      <x:c r="F874" s="15" t="str">
        <x:v>Inventory Aetherforge — Domechild</x:v>
      </x:c>
      <x:c r="G874" s="15" t="str">
        <x:v>planetarium source packets / civic-science deltas</x:v>
      </x:c>
      <x:c r="H874" s="15" t="str">
        <x:v>source path + receipt + raw/export status + claim/edge/risk delta</x:v>
      </x:c>
      <x:c r="I874" s="15" t="str">
        <x:v>packet/SWARM-07-H01-S09</x:v>
      </x:c>
      <x:c r="J874" s="15" t="str">
        <x:v>TODO</x:v>
      </x:c>
      <x:c r="K874" s="15" t="str">
        <x:v>P2</x:v>
      </x:c>
      <x:c r="L874" s="15" t="str">
        <x:v>Done only when evidence is logged, contradiction search is noted, and boundary stamp remains non-canon unless ratified</x:v>
      </x:c>
      <x:c r="M874" s="15" t="str">
        <x:v>candidate / staging-only / not canon / not deployed / authority none</x:v>
      </x:c>
      <x:c r="N874" s="15" t="str">
        <x:v>Dispatch to Domechild: complete Source Inventory x Aetherforge; return deltas only, receipts required.</x:v>
      </x:c>
      <x:c r="O874" s="15" t="str">
        <x:v>AF-KG-H01-S09</x:v>
      </x:c>
      <x:c r="P874" s="15" t="str">
        <x:v>Unverified</x:v>
      </x:c>
      <x:c r="Q874" s="15" t="str">
        <x:v>Not checked</x:v>
      </x:c>
      <x:c r="R874" s="15" t="str"/>
      <x:c r="S874" s="15" t="str"/>
      <x:c r="T874" s="15" t="str">
        <x:v>Log first source path or blocker</x:v>
      </x:c>
      <x:c r="U874" s="12" t="str">
        <x:f>IF(OR(P874="Unverified",Q874="Not checked"),"BLOCKED_PENDING_RECEIPT","READY_FOR_REVIEW")</x:f>
        <x:v>BLOCKED_PENDING_RECEIPT</x:v>
      </x:c>
      <x:c r="V874" s="12" t="str">
        <x:f>IF(J874="DONE","RETURNED",IF(U874="BLOCKED_PENDING_RECEIPT","SOURCE_TOUCH_REQUIRED","IN_PROGRESS"))</x:f>
        <x:v>SOURCE_TOUCH_REQUIRED</x:v>
      </x:c>
      <x:c r="W874" s="12" t="str">
        <x:f>IF(P874="Unverified","missing_receipt","receipt_logged")</x:f>
        <x:v>missing_receipt</x:v>
      </x:c>
      <x:c r="X874" s="12" t="str">
        <x:f>IF(Q874="Not checked","raw_status_missing","raw_status_logged")</x:f>
        <x:v>raw_status_missing</x:v>
      </x:c>
      <x:c r="Y874" s="12" t="str">
        <x:f>IF(U874="BLOCKED_PENDING_RECEIPT","Log source path or blocker; do not promote","Route to review lane")</x:f>
        <x:v>Log source path or blocker; do not promote</x:v>
      </x:c>
      <x:c r="Z874" s="12" t="str">
        <x:f>IF(K874="P0","Primary seat + Hashlight/Lucerna","Seat lane")</x:f>
        <x:v>Seat lane</x:v>
      </x:c>
      <x:c r="AA874" s="12" t="str">
        <x:f>IF(R874="","no_claim_delta","claim_delta_present")</x:f>
        <x:v>no_claim_delta</x:v>
      </x:c>
      <x:c r="AB874" s="12" t="str">
        <x:f>IF(S874="","no_contradiction_delta","contradiction_delta_present")</x:f>
        <x:v>no_contradiction_delta</x:v>
      </x:c>
      <x:c r="AC874" s="12" t="str">
        <x:f>IF(OR(ISNUMBER(SEARCH("hacker",LOWER(F874&amp;" "&amp;H874&amp;" "&amp;I874&amp;" "&amp;M874&amp;" "&amp;N874&amp;" "&amp;T874))),ISNUMBER(SEARCH("hacking",LOWER(F874&amp;" "&amp;H874&amp;" "&amp;I874&amp;" "&amp;M874&amp;" "&amp;N874&amp;" "&amp;T874))),ISNUMBER(SEARCH("bank",LOWER(F874&amp;" "&amp;H874&amp;" "&amp;I874&amp;" "&amp;M874&amp;" "&amp;N874&amp;" "&amp;T874))),ISNUMBER(SEARCH("banking",LOWER(F874&amp;" "&amp;H874&amp;" "&amp;I874&amp;" "&amp;M874&amp;" "&amp;N874&amp;" "&amp;T874)))),"PRIVATE_QUARANTINE",IF(OR(ISNUMBER(SEARCH("treasury",LOWER(F874&amp;" "&amp;H874&amp;" "&amp;I874&amp;" "&amp;M874&amp;" "&amp;N874&amp;" "&amp;T874))),ISNUMBER(SEARCH("debt",LOWER(F874&amp;" "&amp;H874&amp;" "&amp;I874&amp;" "&amp;M874&amp;" "&amp;N874&amp;" "&amp;T874))),ISNUMBER(SEARCH("bond",LOWER(F874&amp;" "&amp;H874&amp;" "&amp;I874&amp;" "&amp;M874&amp;" "&amp;N874&amp;" "&amp;T874))),ISNUMBER(SEARCH("transaction",LOWER(F874&amp;" "&amp;H874&amp;" "&amp;I874&amp;" "&amp;M874&amp;" "&amp;N874&amp;" "&amp;T874)))),"PRIVATE_REVIEW","PUBLIC_CANDIDATE"))</x:f>
        <x:v>PUBLIC_CANDIDATE</x:v>
      </x:c>
      <x:c r="AD874" s="12" t="str">
        <x:f>IF(AC874="PRIVATE_QUARANTINE","hacker_or_bank_trigger",IF(AC874="PRIVATE_REVIEW","finance_risk_trigger","none"))</x:f>
        <x:v>none</x:v>
      </x:c>
      <x:c r="AE874" s="12" t="str">
        <x:f>IF(AC874="PUBLIC_CANDIDATE","prepare_public_github_candidate",IF(AC874="PRIVATE_REVIEW","hold_for_private_review","quarantine_private_do_not_publish"))</x:f>
        <x:v>prepare_public_github_candidate</x:v>
      </x:c>
      <x:c r="AF874" s="12" t="str">
        <x:f>IF(AC874="PUBLIC_CANDIDATE","TIDELOCK + Lucerna",IF(AC874="PRIVATE_REVIEW","AtlasBrain + Lucerna","TIDELOCK + Lucerna + Human-root"))</x:f>
        <x:v>TIDELOCK + Lucerna</x:v>
      </x:c>
      <x:c r="AG874" s="12" t="str">
        <x:f>IF(AND(AC874="PUBLIC_CANDIDATE",U874&lt;&gt;"BLOCKED_PENDING_RECEIPT"),"READY_AFTER_RECEIPT","NOT_READY")</x:f>
        <x:v>NOT_READY</x:v>
      </x:c>
      <x:c r="AH874" s="12" t="str">
        <x:f>IF(AC874="PUBLIC_CANDIDATE","none",AD874)</x:f>
        <x:v>none</x:v>
      </x:c>
      <x:c r="AI874" s="12" t="str">
        <x:f>IF(AC874="PUBLIC_CANDIDATE","archive/public_candidates/"&amp;A874,"private_quarantine/"&amp;A874)</x:f>
        <x:v>archive/public_candidates/SWARM-07-H01-S09</x:v>
      </x:c>
      <x:c r="AJ874" s="12" t="str">
        <x:f>IF(AC874="PUBLIC_CANDIDATE","public by default; still not canon","private/hold; do not publish")</x:f>
        <x:v>public by default; still not canon</x:v>
      </x:c>
      <x:c r="AK874" s="12" t="str">
        <x:f>IF(AE874="prepare_public_github_candidate","add receipt/status then mirror","resolve blocker before any public GitHub action")</x:f>
        <x:v>add receipt/status then mirror</x:v>
      </x:c>
    </x:row>
    <x:row r="875">
      <x:c r="A875" s="15" t="str">
        <x:v>SWARM-07-H01-S10</x:v>
      </x:c>
      <x:c r="B875" s="15" t="str">
        <x:v>Domechild</x:v>
      </x:c>
      <x:c r="C875" s="15" t="str">
        <x:v>Planetarium lane builder</x:v>
      </x:c>
      <x:c r="D875" s="15" t="str">
        <x:v>Source Inventory</x:v>
      </x:c>
      <x:c r="E875" s="15" t="str">
        <x:v>Human-Root</x:v>
      </x:c>
      <x:c r="F875" s="15" t="str">
        <x:v>Inventory Human-Root — Domechild</x:v>
      </x:c>
      <x:c r="G875" s="15" t="str">
        <x:v>planetarium source packets / civic-science deltas</x:v>
      </x:c>
      <x:c r="H875" s="15" t="str">
        <x:v>source path + receipt + raw/export status + claim/edge/risk delta</x:v>
      </x:c>
      <x:c r="I875" s="15" t="str">
        <x:v>packet/SWARM-07-H01-S10</x:v>
      </x:c>
      <x:c r="J875" s="15" t="str">
        <x:v>TODO</x:v>
      </x:c>
      <x:c r="K875" s="15" t="str">
        <x:v>P2</x:v>
      </x:c>
      <x:c r="L875" s="15" t="str">
        <x:v>Done only when evidence is logged, contradiction search is noted, and boundary stamp remains non-canon unless ratified</x:v>
      </x:c>
      <x:c r="M875" s="15" t="str">
        <x:v>candidate / staging-only / not canon / not deployed / authority none</x:v>
      </x:c>
      <x:c r="N875" s="15" t="str">
        <x:v>Dispatch to Domechild: complete Source Inventory x Human-Root; return deltas only, receipts required.</x:v>
      </x:c>
      <x:c r="O875" s="15" t="str">
        <x:v>AF-KG-H01-S10</x:v>
      </x:c>
      <x:c r="P875" s="15" t="str">
        <x:v>Unverified</x:v>
      </x:c>
      <x:c r="Q875" s="15" t="str">
        <x:v>Not checked</x:v>
      </x:c>
      <x:c r="R875" s="15" t="str"/>
      <x:c r="S875" s="15" t="str"/>
      <x:c r="T875" s="15" t="str">
        <x:v>Log first source path or blocker</x:v>
      </x:c>
      <x:c r="U875" s="12" t="str">
        <x:f>IF(OR(P875="Unverified",Q875="Not checked"),"BLOCKED_PENDING_RECEIPT","READY_FOR_REVIEW")</x:f>
        <x:v>BLOCKED_PENDING_RECEIPT</x:v>
      </x:c>
      <x:c r="V875" s="12" t="str">
        <x:f>IF(J875="DONE","RETURNED",IF(U875="BLOCKED_PENDING_RECEIPT","SOURCE_TOUCH_REQUIRED","IN_PROGRESS"))</x:f>
        <x:v>SOURCE_TOUCH_REQUIRED</x:v>
      </x:c>
      <x:c r="W875" s="12" t="str">
        <x:f>IF(P875="Unverified","missing_receipt","receipt_logged")</x:f>
        <x:v>missing_receipt</x:v>
      </x:c>
      <x:c r="X875" s="12" t="str">
        <x:f>IF(Q875="Not checked","raw_status_missing","raw_status_logged")</x:f>
        <x:v>raw_status_missing</x:v>
      </x:c>
      <x:c r="Y875" s="12" t="str">
        <x:f>IF(U875="BLOCKED_PENDING_RECEIPT","Log source path or blocker; do not promote","Route to review lane")</x:f>
        <x:v>Log source path or blocker; do not promote</x:v>
      </x:c>
      <x:c r="Z875" s="12" t="str">
        <x:f>IF(K875="P0","Primary seat + Hashlight/Lucerna","Seat lane")</x:f>
        <x:v>Seat lane</x:v>
      </x:c>
      <x:c r="AA875" s="12" t="str">
        <x:f>IF(R875="","no_claim_delta","claim_delta_present")</x:f>
        <x:v>no_claim_delta</x:v>
      </x:c>
      <x:c r="AB875" s="12" t="str">
        <x:f>IF(S875="","no_contradiction_delta","contradiction_delta_present")</x:f>
        <x:v>no_contradiction_delta</x:v>
      </x:c>
      <x:c r="AC875" s="12" t="str">
        <x:f>IF(OR(ISNUMBER(SEARCH("hacker",LOWER(F875&amp;" "&amp;H875&amp;" "&amp;I875&amp;" "&amp;M875&amp;" "&amp;N875&amp;" "&amp;T875))),ISNUMBER(SEARCH("hacking",LOWER(F875&amp;" "&amp;H875&amp;" "&amp;I875&amp;" "&amp;M875&amp;" "&amp;N875&amp;" "&amp;T875))),ISNUMBER(SEARCH("bank",LOWER(F875&amp;" "&amp;H875&amp;" "&amp;I875&amp;" "&amp;M875&amp;" "&amp;N875&amp;" "&amp;T875))),ISNUMBER(SEARCH("banking",LOWER(F875&amp;" "&amp;H875&amp;" "&amp;I875&amp;" "&amp;M875&amp;" "&amp;N875&amp;" "&amp;T875)))),"PRIVATE_QUARANTINE",IF(OR(ISNUMBER(SEARCH("treasury",LOWER(F875&amp;" "&amp;H875&amp;" "&amp;I875&amp;" "&amp;M875&amp;" "&amp;N875&amp;" "&amp;T875))),ISNUMBER(SEARCH("debt",LOWER(F875&amp;" "&amp;H875&amp;" "&amp;I875&amp;" "&amp;M875&amp;" "&amp;N875&amp;" "&amp;T875))),ISNUMBER(SEARCH("bond",LOWER(F875&amp;" "&amp;H875&amp;" "&amp;I875&amp;" "&amp;M875&amp;" "&amp;N875&amp;" "&amp;T875))),ISNUMBER(SEARCH("transaction",LOWER(F875&amp;" "&amp;H875&amp;" "&amp;I875&amp;" "&amp;M875&amp;" "&amp;N875&amp;" "&amp;T875)))),"PRIVATE_REVIEW","PUBLIC_CANDIDATE"))</x:f>
        <x:v>PUBLIC_CANDIDATE</x:v>
      </x:c>
      <x:c r="AD875" s="12" t="str">
        <x:f>IF(AC875="PRIVATE_QUARANTINE","hacker_or_bank_trigger",IF(AC875="PRIVATE_REVIEW","finance_risk_trigger","none"))</x:f>
        <x:v>none</x:v>
      </x:c>
      <x:c r="AE875" s="12" t="str">
        <x:f>IF(AC875="PUBLIC_CANDIDATE","prepare_public_github_candidate",IF(AC875="PRIVATE_REVIEW","hold_for_private_review","quarantine_private_do_not_publish"))</x:f>
        <x:v>prepare_public_github_candidate</x:v>
      </x:c>
      <x:c r="AF875" s="12" t="str">
        <x:f>IF(AC875="PUBLIC_CANDIDATE","TIDELOCK + Lucerna",IF(AC875="PRIVATE_REVIEW","AtlasBrain + Lucerna","TIDELOCK + Lucerna + Human-root"))</x:f>
        <x:v>TIDELOCK + Lucerna</x:v>
      </x:c>
      <x:c r="AG875" s="12" t="str">
        <x:f>IF(AND(AC875="PUBLIC_CANDIDATE",U875&lt;&gt;"BLOCKED_PENDING_RECEIPT"),"READY_AFTER_RECEIPT","NOT_READY")</x:f>
        <x:v>NOT_READY</x:v>
      </x:c>
      <x:c r="AH875" s="12" t="str">
        <x:f>IF(AC875="PUBLIC_CANDIDATE","none",AD875)</x:f>
        <x:v>none</x:v>
      </x:c>
      <x:c r="AI875" s="12" t="str">
        <x:f>IF(AC875="PUBLIC_CANDIDATE","archive/public_candidates/"&amp;A875,"private_quarantine/"&amp;A875)</x:f>
        <x:v>archive/public_candidates/SWARM-07-H01-S10</x:v>
      </x:c>
      <x:c r="AJ875" s="12" t="str">
        <x:f>IF(AC875="PUBLIC_CANDIDATE","public by default; still not canon","private/hold; do not publish")</x:f>
        <x:v>public by default; still not canon</x:v>
      </x:c>
      <x:c r="AK875" s="12" t="str">
        <x:f>IF(AE875="prepare_public_github_candidate","add receipt/status then mirror","resolve blocker before any public GitHub action")</x:f>
        <x:v>add receipt/status then mirror</x:v>
      </x:c>
    </x:row>
    <x:row r="876">
      <x:c r="A876" s="15" t="str">
        <x:v>SWARM-07-H01-S11</x:v>
      </x:c>
      <x:c r="B876" s="15" t="str">
        <x:v>Domechild</x:v>
      </x:c>
      <x:c r="C876" s="15" t="str">
        <x:v>Planetarium lane builder</x:v>
      </x:c>
      <x:c r="D876" s="15" t="str">
        <x:v>Source Inventory</x:v>
      </x:c>
      <x:c r="E876" s="15" t="str">
        <x:v>Automation</x:v>
      </x:c>
      <x:c r="F876" s="15" t="str">
        <x:v>Inventory Automation — Domechild</x:v>
      </x:c>
      <x:c r="G876" s="15" t="str">
        <x:v>planetarium source packets / civic-science deltas</x:v>
      </x:c>
      <x:c r="H876" s="15" t="str">
        <x:v>source path + receipt + raw/export status + claim/edge/risk delta</x:v>
      </x:c>
      <x:c r="I876" s="15" t="str">
        <x:v>packet/SWARM-07-H01-S11</x:v>
      </x:c>
      <x:c r="J876" s="15" t="str">
        <x:v>TODO</x:v>
      </x:c>
      <x:c r="K876" s="15" t="str">
        <x:v>P2</x:v>
      </x:c>
      <x:c r="L876" s="15" t="str">
        <x:v>Done only when evidence is logged, contradiction search is noted, and boundary stamp remains non-canon unless ratified</x:v>
      </x:c>
      <x:c r="M876" s="15" t="str">
        <x:v>candidate / staging-only / not canon / not deployed / authority none</x:v>
      </x:c>
      <x:c r="N876" s="15" t="str">
        <x:v>Dispatch to Domechild: complete Source Inventory x Automation; return deltas only, receipts required.</x:v>
      </x:c>
      <x:c r="O876" s="15" t="str">
        <x:v>AF-KG-H01-S11</x:v>
      </x:c>
      <x:c r="P876" s="15" t="str">
        <x:v>Unverified</x:v>
      </x:c>
      <x:c r="Q876" s="15" t="str">
        <x:v>Not checked</x:v>
      </x:c>
      <x:c r="R876" s="15" t="str"/>
      <x:c r="S876" s="15" t="str"/>
      <x:c r="T876" s="15" t="str">
        <x:v>Log first source path or blocker</x:v>
      </x:c>
      <x:c r="U876" s="12" t="str">
        <x:f>IF(OR(P876="Unverified",Q876="Not checked"),"BLOCKED_PENDING_RECEIPT","READY_FOR_REVIEW")</x:f>
        <x:v>BLOCKED_PENDING_RECEIPT</x:v>
      </x:c>
      <x:c r="V876" s="12" t="str">
        <x:f>IF(J876="DONE","RETURNED",IF(U876="BLOCKED_PENDING_RECEIPT","SOURCE_TOUCH_REQUIRED","IN_PROGRESS"))</x:f>
        <x:v>SOURCE_TOUCH_REQUIRED</x:v>
      </x:c>
      <x:c r="W876" s="12" t="str">
        <x:f>IF(P876="Unverified","missing_receipt","receipt_logged")</x:f>
        <x:v>missing_receipt</x:v>
      </x:c>
      <x:c r="X876" s="12" t="str">
        <x:f>IF(Q876="Not checked","raw_status_missing","raw_status_logged")</x:f>
        <x:v>raw_status_missing</x:v>
      </x:c>
      <x:c r="Y876" s="12" t="str">
        <x:f>IF(U876="BLOCKED_PENDING_RECEIPT","Log source path or blocker; do not promote","Route to review lane")</x:f>
        <x:v>Log source path or blocker; do not promote</x:v>
      </x:c>
      <x:c r="Z876" s="12" t="str">
        <x:f>IF(K876="P0","Primary seat + Hashlight/Lucerna","Seat lane")</x:f>
        <x:v>Seat lane</x:v>
      </x:c>
      <x:c r="AA876" s="12" t="str">
        <x:f>IF(R876="","no_claim_delta","claim_delta_present")</x:f>
        <x:v>no_claim_delta</x:v>
      </x:c>
      <x:c r="AB876" s="12" t="str">
        <x:f>IF(S876="","no_contradiction_delta","contradiction_delta_present")</x:f>
        <x:v>no_contradiction_delta</x:v>
      </x:c>
      <x:c r="AC876" s="12" t="str">
        <x:f>IF(OR(ISNUMBER(SEARCH("hacker",LOWER(F876&amp;" "&amp;H876&amp;" "&amp;I876&amp;" "&amp;M876&amp;" "&amp;N876&amp;" "&amp;T876))),ISNUMBER(SEARCH("hacking",LOWER(F876&amp;" "&amp;H876&amp;" "&amp;I876&amp;" "&amp;M876&amp;" "&amp;N876&amp;" "&amp;T876))),ISNUMBER(SEARCH("bank",LOWER(F876&amp;" "&amp;H876&amp;" "&amp;I876&amp;" "&amp;M876&amp;" "&amp;N876&amp;" "&amp;T876))),ISNUMBER(SEARCH("banking",LOWER(F876&amp;" "&amp;H876&amp;" "&amp;I876&amp;" "&amp;M876&amp;" "&amp;N876&amp;" "&amp;T876)))),"PRIVATE_QUARANTINE",IF(OR(ISNUMBER(SEARCH("treasury",LOWER(F876&amp;" "&amp;H876&amp;" "&amp;I876&amp;" "&amp;M876&amp;" "&amp;N876&amp;" "&amp;T876))),ISNUMBER(SEARCH("debt",LOWER(F876&amp;" "&amp;H876&amp;" "&amp;I876&amp;" "&amp;M876&amp;" "&amp;N876&amp;" "&amp;T876))),ISNUMBER(SEARCH("bond",LOWER(F876&amp;" "&amp;H876&amp;" "&amp;I876&amp;" "&amp;M876&amp;" "&amp;N876&amp;" "&amp;T876))),ISNUMBER(SEARCH("transaction",LOWER(F876&amp;" "&amp;H876&amp;" "&amp;I876&amp;" "&amp;M876&amp;" "&amp;N876&amp;" "&amp;T876)))),"PRIVATE_REVIEW","PUBLIC_CANDIDATE"))</x:f>
        <x:v>PUBLIC_CANDIDATE</x:v>
      </x:c>
      <x:c r="AD876" s="12" t="str">
        <x:f>IF(AC876="PRIVATE_QUARANTINE","hacker_or_bank_trigger",IF(AC876="PRIVATE_REVIEW","finance_risk_trigger","none"))</x:f>
        <x:v>none</x:v>
      </x:c>
      <x:c r="AE876" s="12" t="str">
        <x:f>IF(AC876="PUBLIC_CANDIDATE","prepare_public_github_candidate",IF(AC876="PRIVATE_REVIEW","hold_for_private_review","quarantine_private_do_not_publish"))</x:f>
        <x:v>prepare_public_github_candidate</x:v>
      </x:c>
      <x:c r="AF876" s="12" t="str">
        <x:f>IF(AC876="PUBLIC_CANDIDATE","TIDELOCK + Lucerna",IF(AC876="PRIVATE_REVIEW","AtlasBrain + Lucerna","TIDELOCK + Lucerna + Human-root"))</x:f>
        <x:v>TIDELOCK + Lucerna</x:v>
      </x:c>
      <x:c r="AG876" s="12" t="str">
        <x:f>IF(AND(AC876="PUBLIC_CANDIDATE",U876&lt;&gt;"BLOCKED_PENDING_RECEIPT"),"READY_AFTER_RECEIPT","NOT_READY")</x:f>
        <x:v>NOT_READY</x:v>
      </x:c>
      <x:c r="AH876" s="12" t="str">
        <x:f>IF(AC876="PUBLIC_CANDIDATE","none",AD876)</x:f>
        <x:v>none</x:v>
      </x:c>
      <x:c r="AI876" s="12" t="str">
        <x:f>IF(AC876="PUBLIC_CANDIDATE","archive/public_candidates/"&amp;A876,"private_quarantine/"&amp;A876)</x:f>
        <x:v>archive/public_candidates/SWARM-07-H01-S11</x:v>
      </x:c>
      <x:c r="AJ876" s="12" t="str">
        <x:f>IF(AC876="PUBLIC_CANDIDATE","public by default; still not canon","private/hold; do not publish")</x:f>
        <x:v>public by default; still not canon</x:v>
      </x:c>
      <x:c r="AK876" s="12" t="str">
        <x:f>IF(AE876="prepare_public_github_candidate","add receipt/status then mirror","resolve blocker before any public GitHub action")</x:f>
        <x:v>add receipt/status then mirror</x:v>
      </x:c>
    </x:row>
    <x:row r="877">
      <x:c r="A877" s="15" t="str">
        <x:v>SWARM-07-H01-S12</x:v>
      </x:c>
      <x:c r="B877" s="15" t="str">
        <x:v>Domechild</x:v>
      </x:c>
      <x:c r="C877" s="15" t="str">
        <x:v>Planetarium lane builder</x:v>
      </x:c>
      <x:c r="D877" s="15" t="str">
        <x:v>Source Inventory</x:v>
      </x:c>
      <x:c r="E877" s="15" t="str">
        <x:v>Risk / Safety</x:v>
      </x:c>
      <x:c r="F877" s="15" t="str">
        <x:v>Inventory Risk / Safety — Domechild</x:v>
      </x:c>
      <x:c r="G877" s="15" t="str">
        <x:v>planetarium source packets / civic-science deltas</x:v>
      </x:c>
      <x:c r="H877" s="15" t="str">
        <x:v>source path + receipt + raw/export status + claim/edge/risk delta</x:v>
      </x:c>
      <x:c r="I877" s="15" t="str">
        <x:v>packet/SWARM-07-H01-S12</x:v>
      </x:c>
      <x:c r="J877" s="15" t="str">
        <x:v>TODO</x:v>
      </x:c>
      <x:c r="K877" s="15" t="str">
        <x:v>P2</x:v>
      </x:c>
      <x:c r="L877" s="15" t="str">
        <x:v>Done only when evidence is logged, contradiction search is noted, and boundary stamp remains non-canon unless ratified</x:v>
      </x:c>
      <x:c r="M877" s="15" t="str">
        <x:v>candidate / staging-only / not canon / not deployed / authority none</x:v>
      </x:c>
      <x:c r="N877" s="15" t="str">
        <x:v>Dispatch to Domechild: complete Source Inventory x Risk / Safety; return deltas only, receipts required.</x:v>
      </x:c>
      <x:c r="O877" s="15" t="str">
        <x:v>AF-KG-H01-S12</x:v>
      </x:c>
      <x:c r="P877" s="15" t="str">
        <x:v>Unverified</x:v>
      </x:c>
      <x:c r="Q877" s="15" t="str">
        <x:v>Not checked</x:v>
      </x:c>
      <x:c r="R877" s="15" t="str"/>
      <x:c r="S877" s="15" t="str"/>
      <x:c r="T877" s="15" t="str">
        <x:v>Log first source path or blocker</x:v>
      </x:c>
      <x:c r="U877" s="12" t="str">
        <x:f>IF(OR(P877="Unverified",Q877="Not checked"),"BLOCKED_PENDING_RECEIPT","READY_FOR_REVIEW")</x:f>
        <x:v>BLOCKED_PENDING_RECEIPT</x:v>
      </x:c>
      <x:c r="V877" s="12" t="str">
        <x:f>IF(J877="DONE","RETURNED",IF(U877="BLOCKED_PENDING_RECEIPT","SOURCE_TOUCH_REQUIRED","IN_PROGRESS"))</x:f>
        <x:v>SOURCE_TOUCH_REQUIRED</x:v>
      </x:c>
      <x:c r="W877" s="12" t="str">
        <x:f>IF(P877="Unverified","missing_receipt","receipt_logged")</x:f>
        <x:v>missing_receipt</x:v>
      </x:c>
      <x:c r="X877" s="12" t="str">
        <x:f>IF(Q877="Not checked","raw_status_missing","raw_status_logged")</x:f>
        <x:v>raw_status_missing</x:v>
      </x:c>
      <x:c r="Y877" s="12" t="str">
        <x:f>IF(U877="BLOCKED_PENDING_RECEIPT","Log source path or blocker; do not promote","Route to review lane")</x:f>
        <x:v>Log source path or blocker; do not promote</x:v>
      </x:c>
      <x:c r="Z877" s="12" t="str">
        <x:f>IF(K877="P0","Primary seat + Hashlight/Lucerna","Seat lane")</x:f>
        <x:v>Seat lane</x:v>
      </x:c>
      <x:c r="AA877" s="12" t="str">
        <x:f>IF(R877="","no_claim_delta","claim_delta_present")</x:f>
        <x:v>no_claim_delta</x:v>
      </x:c>
      <x:c r="AB877" s="12" t="str">
        <x:f>IF(S877="","no_contradiction_delta","contradiction_delta_present")</x:f>
        <x:v>no_contradiction_delta</x:v>
      </x:c>
      <x:c r="AC877" s="12" t="str">
        <x:f>IF(OR(ISNUMBER(SEARCH("hacker",LOWER(F877&amp;" "&amp;H877&amp;" "&amp;I877&amp;" "&amp;M877&amp;" "&amp;N877&amp;" "&amp;T877))),ISNUMBER(SEARCH("hacking",LOWER(F877&amp;" "&amp;H877&amp;" "&amp;I877&amp;" "&amp;M877&amp;" "&amp;N877&amp;" "&amp;T877))),ISNUMBER(SEARCH("bank",LOWER(F877&amp;" "&amp;H877&amp;" "&amp;I877&amp;" "&amp;M877&amp;" "&amp;N877&amp;" "&amp;T877))),ISNUMBER(SEARCH("banking",LOWER(F877&amp;" "&amp;H877&amp;" "&amp;I877&amp;" "&amp;M877&amp;" "&amp;N877&amp;" "&amp;T877)))),"PRIVATE_QUARANTINE",IF(OR(ISNUMBER(SEARCH("treasury",LOWER(F877&amp;" "&amp;H877&amp;" "&amp;I877&amp;" "&amp;M877&amp;" "&amp;N877&amp;" "&amp;T877))),ISNUMBER(SEARCH("debt",LOWER(F877&amp;" "&amp;H877&amp;" "&amp;I877&amp;" "&amp;M877&amp;" "&amp;N877&amp;" "&amp;T877))),ISNUMBER(SEARCH("bond",LOWER(F877&amp;" "&amp;H877&amp;" "&amp;I877&amp;" "&amp;M877&amp;" "&amp;N877&amp;" "&amp;T877))),ISNUMBER(SEARCH("transaction",LOWER(F877&amp;" "&amp;H877&amp;" "&amp;I877&amp;" "&amp;M877&amp;" "&amp;N877&amp;" "&amp;T877)))),"PRIVATE_REVIEW","PUBLIC_CANDIDATE"))</x:f>
        <x:v>PUBLIC_CANDIDATE</x:v>
      </x:c>
      <x:c r="AD877" s="12" t="str">
        <x:f>IF(AC877="PRIVATE_QUARANTINE","hacker_or_bank_trigger",IF(AC877="PRIVATE_REVIEW","finance_risk_trigger","none"))</x:f>
        <x:v>none</x:v>
      </x:c>
      <x:c r="AE877" s="12" t="str">
        <x:f>IF(AC877="PUBLIC_CANDIDATE","prepare_public_github_candidate",IF(AC877="PRIVATE_REVIEW","hold_for_private_review","quarantine_private_do_not_publish"))</x:f>
        <x:v>prepare_public_github_candidate</x:v>
      </x:c>
      <x:c r="AF877" s="12" t="str">
        <x:f>IF(AC877="PUBLIC_CANDIDATE","TIDELOCK + Lucerna",IF(AC877="PRIVATE_REVIEW","AtlasBrain + Lucerna","TIDELOCK + Lucerna + Human-root"))</x:f>
        <x:v>TIDELOCK + Lucerna</x:v>
      </x:c>
      <x:c r="AG877" s="12" t="str">
        <x:f>IF(AND(AC877="PUBLIC_CANDIDATE",U877&lt;&gt;"BLOCKED_PENDING_RECEIPT"),"READY_AFTER_RECEIPT","NOT_READY")</x:f>
        <x:v>NOT_READY</x:v>
      </x:c>
      <x:c r="AH877" s="12" t="str">
        <x:f>IF(AC877="PUBLIC_CANDIDATE","none",AD877)</x:f>
        <x:v>none</x:v>
      </x:c>
      <x:c r="AI877" s="12" t="str">
        <x:f>IF(AC877="PUBLIC_CANDIDATE","archive/public_candidates/"&amp;A877,"private_quarantine/"&amp;A877)</x:f>
        <x:v>archive/public_candidates/SWARM-07-H01-S12</x:v>
      </x:c>
      <x:c r="AJ877" s="12" t="str">
        <x:f>IF(AC877="PUBLIC_CANDIDATE","public by default; still not canon","private/hold; do not publish")</x:f>
        <x:v>public by default; still not canon</x:v>
      </x:c>
      <x:c r="AK877" s="12" t="str">
        <x:f>IF(AE877="prepare_public_github_candidate","add receipt/status then mirror","resolve blocker before any public GitHub action")</x:f>
        <x:v>add receipt/status then mirror</x:v>
      </x:c>
    </x:row>
    <x:row r="878">
      <x:c r="A878" s="15" t="str">
        <x:v>SWARM-07-H02-S01</x:v>
      </x:c>
      <x:c r="B878" s="15" t="str">
        <x:v>Domechild</x:v>
      </x:c>
      <x:c r="C878" s="15" t="str">
        <x:v>Planetarium lane builder</x:v>
      </x:c>
      <x:c r="D878" s="15" t="str">
        <x:v>Receipt Verification</x:v>
      </x:c>
      <x:c r="E878" s="15" t="str">
        <x:v>Notion</x:v>
      </x:c>
      <x:c r="F878" s="15" t="str">
        <x:v>Verify receipts for Notion — Domechild</x:v>
      </x:c>
      <x:c r="G878" s="15" t="str">
        <x:v>planetarium source packets / civic-science deltas</x:v>
      </x:c>
      <x:c r="H878" s="15" t="str">
        <x:v>source path + receipt + raw/export status + claim/edge/risk delta</x:v>
      </x:c>
      <x:c r="I878" s="15" t="str">
        <x:v>packet/SWARM-07-H02-S01</x:v>
      </x:c>
      <x:c r="J878" s="15" t="str">
        <x:v>TODO</x:v>
      </x:c>
      <x:c r="K878" s="15" t="str">
        <x:v>P0</x:v>
      </x:c>
      <x:c r="L878" s="15" t="str">
        <x:v>Done only when evidence is logged, contradiction search is noted, and boundary stamp remains non-canon unless ratified</x:v>
      </x:c>
      <x:c r="M878" s="15" t="str">
        <x:v>candidate / staging-only / not canon / not deployed / authority none</x:v>
      </x:c>
      <x:c r="N878" s="15" t="str">
        <x:v>Dispatch to Domechild: complete Receipt Verification x Notion; return deltas only, receipts required.</x:v>
      </x:c>
      <x:c r="O878" s="15" t="str">
        <x:v>AF-KG-H02-S01</x:v>
      </x:c>
      <x:c r="P878" s="15" t="str">
        <x:v>Unverified</x:v>
      </x:c>
      <x:c r="Q878" s="15" t="str">
        <x:v>Not checked</x:v>
      </x:c>
      <x:c r="R878" s="15" t="str"/>
      <x:c r="S878" s="15" t="str"/>
      <x:c r="T878" s="15" t="str">
        <x:v>Log first source path or blocker</x:v>
      </x:c>
      <x:c r="U878" s="12" t="str">
        <x:f>IF(OR(P878="Unverified",Q878="Not checked"),"BLOCKED_PENDING_RECEIPT","READY_FOR_REVIEW")</x:f>
        <x:v>BLOCKED_PENDING_RECEIPT</x:v>
      </x:c>
      <x:c r="V878" s="12" t="str">
        <x:f>IF(J878="DONE","RETURNED",IF(U878="BLOCKED_PENDING_RECEIPT","SOURCE_TOUCH_REQUIRED","IN_PROGRESS"))</x:f>
        <x:v>SOURCE_TOUCH_REQUIRED</x:v>
      </x:c>
      <x:c r="W878" s="12" t="str">
        <x:f>IF(P878="Unverified","missing_receipt","receipt_logged")</x:f>
        <x:v>missing_receipt</x:v>
      </x:c>
      <x:c r="X878" s="12" t="str">
        <x:f>IF(Q878="Not checked","raw_status_missing","raw_status_logged")</x:f>
        <x:v>raw_status_missing</x:v>
      </x:c>
      <x:c r="Y878" s="12" t="str">
        <x:f>IF(U878="BLOCKED_PENDING_RECEIPT","Log source path or blocker; do not promote","Route to review lane")</x:f>
        <x:v>Log source path or blocker; do not promote</x:v>
      </x:c>
      <x:c r="Z878" s="12" t="str">
        <x:f>IF(K878="P0","Primary seat + Hashlight/Lucerna","Seat lane")</x:f>
        <x:v>Primary seat + Hashlight/Lucerna</x:v>
      </x:c>
      <x:c r="AA878" s="12" t="str">
        <x:f>IF(R878="","no_claim_delta","claim_delta_present")</x:f>
        <x:v>no_claim_delta</x:v>
      </x:c>
      <x:c r="AB878" s="12" t="str">
        <x:f>IF(S878="","no_contradiction_delta","contradiction_delta_present")</x:f>
        <x:v>no_contradiction_delta</x:v>
      </x:c>
      <x:c r="AC878" s="12" t="str">
        <x:f>IF(OR(ISNUMBER(SEARCH("hacker",LOWER(F878&amp;" "&amp;H878&amp;" "&amp;I878&amp;" "&amp;M878&amp;" "&amp;N878&amp;" "&amp;T878))),ISNUMBER(SEARCH("hacking",LOWER(F878&amp;" "&amp;H878&amp;" "&amp;I878&amp;" "&amp;M878&amp;" "&amp;N878&amp;" "&amp;T878))),ISNUMBER(SEARCH("bank",LOWER(F878&amp;" "&amp;H878&amp;" "&amp;I878&amp;" "&amp;M878&amp;" "&amp;N878&amp;" "&amp;T878))),ISNUMBER(SEARCH("banking",LOWER(F878&amp;" "&amp;H878&amp;" "&amp;I878&amp;" "&amp;M878&amp;" "&amp;N878&amp;" "&amp;T878)))),"PRIVATE_QUARANTINE",IF(OR(ISNUMBER(SEARCH("treasury",LOWER(F878&amp;" "&amp;H878&amp;" "&amp;I878&amp;" "&amp;M878&amp;" "&amp;N878&amp;" "&amp;T878))),ISNUMBER(SEARCH("debt",LOWER(F878&amp;" "&amp;H878&amp;" "&amp;I878&amp;" "&amp;M878&amp;" "&amp;N878&amp;" "&amp;T878))),ISNUMBER(SEARCH("bond",LOWER(F878&amp;" "&amp;H878&amp;" "&amp;I878&amp;" "&amp;M878&amp;" "&amp;N878&amp;" "&amp;T878))),ISNUMBER(SEARCH("transaction",LOWER(F878&amp;" "&amp;H878&amp;" "&amp;I878&amp;" "&amp;M878&amp;" "&amp;N878&amp;" "&amp;T878)))),"PRIVATE_REVIEW","PUBLIC_CANDIDATE"))</x:f>
        <x:v>PUBLIC_CANDIDATE</x:v>
      </x:c>
      <x:c r="AD878" s="12" t="str">
        <x:f>IF(AC878="PRIVATE_QUARANTINE","hacker_or_bank_trigger",IF(AC878="PRIVATE_REVIEW","finance_risk_trigger","none"))</x:f>
        <x:v>none</x:v>
      </x:c>
      <x:c r="AE878" s="12" t="str">
        <x:f>IF(AC878="PUBLIC_CANDIDATE","prepare_public_github_candidate",IF(AC878="PRIVATE_REVIEW","hold_for_private_review","quarantine_private_do_not_publish"))</x:f>
        <x:v>prepare_public_github_candidate</x:v>
      </x:c>
      <x:c r="AF878" s="12" t="str">
        <x:f>IF(AC878="PUBLIC_CANDIDATE","TIDELOCK + Lucerna",IF(AC878="PRIVATE_REVIEW","AtlasBrain + Lucerna","TIDELOCK + Lucerna + Human-root"))</x:f>
        <x:v>TIDELOCK + Lucerna</x:v>
      </x:c>
      <x:c r="AG878" s="12" t="str">
        <x:f>IF(AND(AC878="PUBLIC_CANDIDATE",U878&lt;&gt;"BLOCKED_PENDING_RECEIPT"),"READY_AFTER_RECEIPT","NOT_READY")</x:f>
        <x:v>NOT_READY</x:v>
      </x:c>
      <x:c r="AH878" s="12" t="str">
        <x:f>IF(AC878="PUBLIC_CANDIDATE","none",AD878)</x:f>
        <x:v>none</x:v>
      </x:c>
      <x:c r="AI878" s="12" t="str">
        <x:f>IF(AC878="PUBLIC_CANDIDATE","archive/public_candidates/"&amp;A878,"private_quarantine/"&amp;A878)</x:f>
        <x:v>archive/public_candidates/SWARM-07-H02-S01</x:v>
      </x:c>
      <x:c r="AJ878" s="12" t="str">
        <x:f>IF(AC878="PUBLIC_CANDIDATE","public by default; still not canon","private/hold; do not publish")</x:f>
        <x:v>public by default; still not canon</x:v>
      </x:c>
      <x:c r="AK878" s="12" t="str">
        <x:f>IF(AE878="prepare_public_github_candidate","add receipt/status then mirror","resolve blocker before any public GitHub action")</x:f>
        <x:v>add receipt/status then mirror</x:v>
      </x:c>
    </x:row>
    <x:row r="879">
      <x:c r="A879" s="15" t="str">
        <x:v>SWARM-07-H02-S02</x:v>
      </x:c>
      <x:c r="B879" s="15" t="str">
        <x:v>Domechild</x:v>
      </x:c>
      <x:c r="C879" s="15" t="str">
        <x:v>Planetarium lane builder</x:v>
      </x:c>
      <x:c r="D879" s="15" t="str">
        <x:v>Receipt Verification</x:v>
      </x:c>
      <x:c r="E879" s="15" t="str">
        <x:v>Drive</x:v>
      </x:c>
      <x:c r="F879" s="15" t="str">
        <x:v>Verify receipts for Drive — Domechild</x:v>
      </x:c>
      <x:c r="G879" s="15" t="str">
        <x:v>planetarium source packets / civic-science deltas</x:v>
      </x:c>
      <x:c r="H879" s="15" t="str">
        <x:v>source path + receipt + raw/export status + claim/edge/risk delta</x:v>
      </x:c>
      <x:c r="I879" s="15" t="str">
        <x:v>packet/SWARM-07-H02-S02</x:v>
      </x:c>
      <x:c r="J879" s="15" t="str">
        <x:v>TODO</x:v>
      </x:c>
      <x:c r="K879" s="15" t="str">
        <x:v>P0</x:v>
      </x:c>
      <x:c r="L879" s="15" t="str">
        <x:v>Done only when evidence is logged, contradiction search is noted, and boundary stamp remains non-canon unless ratified</x:v>
      </x:c>
      <x:c r="M879" s="15" t="str">
        <x:v>candidate / staging-only / not canon / not deployed / authority none</x:v>
      </x:c>
      <x:c r="N879" s="15" t="str">
        <x:v>Dispatch to Domechild: complete Receipt Verification x Drive; return deltas only, receipts required.</x:v>
      </x:c>
      <x:c r="O879" s="15" t="str">
        <x:v>AF-KG-H02-S02</x:v>
      </x:c>
      <x:c r="P879" s="15" t="str">
        <x:v>Unverified</x:v>
      </x:c>
      <x:c r="Q879" s="15" t="str">
        <x:v>Not checked</x:v>
      </x:c>
      <x:c r="R879" s="15" t="str"/>
      <x:c r="S879" s="15" t="str"/>
      <x:c r="T879" s="15" t="str">
        <x:v>Log first source path or blocker</x:v>
      </x:c>
      <x:c r="U879" s="12" t="str">
        <x:f>IF(OR(P879="Unverified",Q879="Not checked"),"BLOCKED_PENDING_RECEIPT","READY_FOR_REVIEW")</x:f>
        <x:v>BLOCKED_PENDING_RECEIPT</x:v>
      </x:c>
      <x:c r="V879" s="12" t="str">
        <x:f>IF(J879="DONE","RETURNED",IF(U879="BLOCKED_PENDING_RECEIPT","SOURCE_TOUCH_REQUIRED","IN_PROGRESS"))</x:f>
        <x:v>SOURCE_TOUCH_REQUIRED</x:v>
      </x:c>
      <x:c r="W879" s="12" t="str">
        <x:f>IF(P879="Unverified","missing_receipt","receipt_logged")</x:f>
        <x:v>missing_receipt</x:v>
      </x:c>
      <x:c r="X879" s="12" t="str">
        <x:f>IF(Q879="Not checked","raw_status_missing","raw_status_logged")</x:f>
        <x:v>raw_status_missing</x:v>
      </x:c>
      <x:c r="Y879" s="12" t="str">
        <x:f>IF(U879="BLOCKED_PENDING_RECEIPT","Log source path or blocker; do not promote","Route to review lane")</x:f>
        <x:v>Log source path or blocker; do not promote</x:v>
      </x:c>
      <x:c r="Z879" s="12" t="str">
        <x:f>IF(K879="P0","Primary seat + Hashlight/Lucerna","Seat lane")</x:f>
        <x:v>Primary seat + Hashlight/Lucerna</x:v>
      </x:c>
      <x:c r="AA879" s="12" t="str">
        <x:f>IF(R879="","no_claim_delta","claim_delta_present")</x:f>
        <x:v>no_claim_delta</x:v>
      </x:c>
      <x:c r="AB879" s="12" t="str">
        <x:f>IF(S879="","no_contradiction_delta","contradiction_delta_present")</x:f>
        <x:v>no_contradiction_delta</x:v>
      </x:c>
      <x:c r="AC879" s="12" t="str">
        <x:f>IF(OR(ISNUMBER(SEARCH("hacker",LOWER(F879&amp;" "&amp;H879&amp;" "&amp;I879&amp;" "&amp;M879&amp;" "&amp;N879&amp;" "&amp;T879))),ISNUMBER(SEARCH("hacking",LOWER(F879&amp;" "&amp;H879&amp;" "&amp;I879&amp;" "&amp;M879&amp;" "&amp;N879&amp;" "&amp;T879))),ISNUMBER(SEARCH("bank",LOWER(F879&amp;" "&amp;H879&amp;" "&amp;I879&amp;" "&amp;M879&amp;" "&amp;N879&amp;" "&amp;T879))),ISNUMBER(SEARCH("banking",LOWER(F879&amp;" "&amp;H879&amp;" "&amp;I879&amp;" "&amp;M879&amp;" "&amp;N879&amp;" "&amp;T879)))),"PRIVATE_QUARANTINE",IF(OR(ISNUMBER(SEARCH("treasury",LOWER(F879&amp;" "&amp;H879&amp;" "&amp;I879&amp;" "&amp;M879&amp;" "&amp;N879&amp;" "&amp;T879))),ISNUMBER(SEARCH("debt",LOWER(F879&amp;" "&amp;H879&amp;" "&amp;I879&amp;" "&amp;M879&amp;" "&amp;N879&amp;" "&amp;T879))),ISNUMBER(SEARCH("bond",LOWER(F879&amp;" "&amp;H879&amp;" "&amp;I879&amp;" "&amp;M879&amp;" "&amp;N879&amp;" "&amp;T879))),ISNUMBER(SEARCH("transaction",LOWER(F879&amp;" "&amp;H879&amp;" "&amp;I879&amp;" "&amp;M879&amp;" "&amp;N879&amp;" "&amp;T879)))),"PRIVATE_REVIEW","PUBLIC_CANDIDATE"))</x:f>
        <x:v>PUBLIC_CANDIDATE</x:v>
      </x:c>
      <x:c r="AD879" s="12" t="str">
        <x:f>IF(AC879="PRIVATE_QUARANTINE","hacker_or_bank_trigger",IF(AC879="PRIVATE_REVIEW","finance_risk_trigger","none"))</x:f>
        <x:v>none</x:v>
      </x:c>
      <x:c r="AE879" s="12" t="str">
        <x:f>IF(AC879="PUBLIC_CANDIDATE","prepare_public_github_candidate",IF(AC879="PRIVATE_REVIEW","hold_for_private_review","quarantine_private_do_not_publish"))</x:f>
        <x:v>prepare_public_github_candidate</x:v>
      </x:c>
      <x:c r="AF879" s="12" t="str">
        <x:f>IF(AC879="PUBLIC_CANDIDATE","TIDELOCK + Lucerna",IF(AC879="PRIVATE_REVIEW","AtlasBrain + Lucerna","TIDELOCK + Lucerna + Human-root"))</x:f>
        <x:v>TIDELOCK + Lucerna</x:v>
      </x:c>
      <x:c r="AG879" s="12" t="str">
        <x:f>IF(AND(AC879="PUBLIC_CANDIDATE",U879&lt;&gt;"BLOCKED_PENDING_RECEIPT"),"READY_AFTER_RECEIPT","NOT_READY")</x:f>
        <x:v>NOT_READY</x:v>
      </x:c>
      <x:c r="AH879" s="12" t="str">
        <x:f>IF(AC879="PUBLIC_CANDIDATE","none",AD879)</x:f>
        <x:v>none</x:v>
      </x:c>
      <x:c r="AI879" s="12" t="str">
        <x:f>IF(AC879="PUBLIC_CANDIDATE","archive/public_candidates/"&amp;A879,"private_quarantine/"&amp;A879)</x:f>
        <x:v>archive/public_candidates/SWARM-07-H02-S02</x:v>
      </x:c>
      <x:c r="AJ879" s="12" t="str">
        <x:f>IF(AC879="PUBLIC_CANDIDATE","public by default; still not canon","private/hold; do not publish")</x:f>
        <x:v>public by default; still not canon</x:v>
      </x:c>
      <x:c r="AK879" s="12" t="str">
        <x:f>IF(AE879="prepare_public_github_candidate","add receipt/status then mirror","resolve blocker before any public GitHub action")</x:f>
        <x:v>add receipt/status then mirror</x:v>
      </x:c>
    </x:row>
    <x:row r="880">
      <x:c r="A880" s="15" t="str">
        <x:v>SWARM-07-H02-S03</x:v>
      </x:c>
      <x:c r="B880" s="15" t="str">
        <x:v>Domechild</x:v>
      </x:c>
      <x:c r="C880" s="15" t="str">
        <x:v>Planetarium lane builder</x:v>
      </x:c>
      <x:c r="D880" s="15" t="str">
        <x:v>Receipt Verification</x:v>
      </x:c>
      <x:c r="E880" s="15" t="str">
        <x:v>GitHub</x:v>
      </x:c>
      <x:c r="F880" s="15" t="str">
        <x:v>Verify receipts for GitHub — Domechild</x:v>
      </x:c>
      <x:c r="G880" s="15" t="str">
        <x:v>planetarium source packets / civic-science deltas</x:v>
      </x:c>
      <x:c r="H880" s="15" t="str">
        <x:v>source path + receipt + raw/export status + claim/edge/risk delta</x:v>
      </x:c>
      <x:c r="I880" s="15" t="str">
        <x:v>packet/SWARM-07-H02-S03</x:v>
      </x:c>
      <x:c r="J880" s="15" t="str">
        <x:v>TODO</x:v>
      </x:c>
      <x:c r="K880" s="15" t="str">
        <x:v>P0</x:v>
      </x:c>
      <x:c r="L880" s="15" t="str">
        <x:v>Done only when evidence is logged, contradiction search is noted, and boundary stamp remains non-canon unless ratified</x:v>
      </x:c>
      <x:c r="M880" s="15" t="str">
        <x:v>candidate / staging-only / not canon / not deployed / authority none</x:v>
      </x:c>
      <x:c r="N880" s="15" t="str">
        <x:v>Dispatch to Domechild: complete Receipt Verification x GitHub; return deltas only, receipts required.</x:v>
      </x:c>
      <x:c r="O880" s="15" t="str">
        <x:v>AF-KG-H02-S03</x:v>
      </x:c>
      <x:c r="P880" s="15" t="str">
        <x:v>Unverified</x:v>
      </x:c>
      <x:c r="Q880" s="15" t="str">
        <x:v>Not checked</x:v>
      </x:c>
      <x:c r="R880" s="15" t="str"/>
      <x:c r="S880" s="15" t="str"/>
      <x:c r="T880" s="15" t="str">
        <x:v>Log first source path or blocker</x:v>
      </x:c>
      <x:c r="U880" s="12" t="str">
        <x:f>IF(OR(P880="Unverified",Q880="Not checked"),"BLOCKED_PENDING_RECEIPT","READY_FOR_REVIEW")</x:f>
        <x:v>BLOCKED_PENDING_RECEIPT</x:v>
      </x:c>
      <x:c r="V880" s="12" t="str">
        <x:f>IF(J880="DONE","RETURNED",IF(U880="BLOCKED_PENDING_RECEIPT","SOURCE_TOUCH_REQUIRED","IN_PROGRESS"))</x:f>
        <x:v>SOURCE_TOUCH_REQUIRED</x:v>
      </x:c>
      <x:c r="W880" s="12" t="str">
        <x:f>IF(P880="Unverified","missing_receipt","receipt_logged")</x:f>
        <x:v>missing_receipt</x:v>
      </x:c>
      <x:c r="X880" s="12" t="str">
        <x:f>IF(Q880="Not checked","raw_status_missing","raw_status_logged")</x:f>
        <x:v>raw_status_missing</x:v>
      </x:c>
      <x:c r="Y880" s="12" t="str">
        <x:f>IF(U880="BLOCKED_PENDING_RECEIPT","Log source path or blocker; do not promote","Route to review lane")</x:f>
        <x:v>Log source path or blocker; do not promote</x:v>
      </x:c>
      <x:c r="Z880" s="12" t="str">
        <x:f>IF(K880="P0","Primary seat + Hashlight/Lucerna","Seat lane")</x:f>
        <x:v>Primary seat + Hashlight/Lucerna</x:v>
      </x:c>
      <x:c r="AA880" s="12" t="str">
        <x:f>IF(R880="","no_claim_delta","claim_delta_present")</x:f>
        <x:v>no_claim_delta</x:v>
      </x:c>
      <x:c r="AB880" s="12" t="str">
        <x:f>IF(S880="","no_contradiction_delta","contradiction_delta_present")</x:f>
        <x:v>no_contradiction_delta</x:v>
      </x:c>
      <x:c r="AC880" s="12" t="str">
        <x:f>IF(OR(ISNUMBER(SEARCH("hacker",LOWER(F880&amp;" "&amp;H880&amp;" "&amp;I880&amp;" "&amp;M880&amp;" "&amp;N880&amp;" "&amp;T880))),ISNUMBER(SEARCH("hacking",LOWER(F880&amp;" "&amp;H880&amp;" "&amp;I880&amp;" "&amp;M880&amp;" "&amp;N880&amp;" "&amp;T880))),ISNUMBER(SEARCH("bank",LOWER(F880&amp;" "&amp;H880&amp;" "&amp;I880&amp;" "&amp;M880&amp;" "&amp;N880&amp;" "&amp;T880))),ISNUMBER(SEARCH("banking",LOWER(F880&amp;" "&amp;H880&amp;" "&amp;I880&amp;" "&amp;M880&amp;" "&amp;N880&amp;" "&amp;T880)))),"PRIVATE_QUARANTINE",IF(OR(ISNUMBER(SEARCH("treasury",LOWER(F880&amp;" "&amp;H880&amp;" "&amp;I880&amp;" "&amp;M880&amp;" "&amp;N880&amp;" "&amp;T880))),ISNUMBER(SEARCH("debt",LOWER(F880&amp;" "&amp;H880&amp;" "&amp;I880&amp;" "&amp;M880&amp;" "&amp;N880&amp;" "&amp;T880))),ISNUMBER(SEARCH("bond",LOWER(F880&amp;" "&amp;H880&amp;" "&amp;I880&amp;" "&amp;M880&amp;" "&amp;N880&amp;" "&amp;T880))),ISNUMBER(SEARCH("transaction",LOWER(F880&amp;" "&amp;H880&amp;" "&amp;I880&amp;" "&amp;M880&amp;" "&amp;N880&amp;" "&amp;T880)))),"PRIVATE_REVIEW","PUBLIC_CANDIDATE"))</x:f>
        <x:v>PUBLIC_CANDIDATE</x:v>
      </x:c>
      <x:c r="AD880" s="12" t="str">
        <x:f>IF(AC880="PRIVATE_QUARANTINE","hacker_or_bank_trigger",IF(AC880="PRIVATE_REVIEW","finance_risk_trigger","none"))</x:f>
        <x:v>none</x:v>
      </x:c>
      <x:c r="AE880" s="12" t="str">
        <x:f>IF(AC880="PUBLIC_CANDIDATE","prepare_public_github_candidate",IF(AC880="PRIVATE_REVIEW","hold_for_private_review","quarantine_private_do_not_publish"))</x:f>
        <x:v>prepare_public_github_candidate</x:v>
      </x:c>
      <x:c r="AF880" s="12" t="str">
        <x:f>IF(AC880="PUBLIC_CANDIDATE","TIDELOCK + Lucerna",IF(AC880="PRIVATE_REVIEW","AtlasBrain + Lucerna","TIDELOCK + Lucerna + Human-root"))</x:f>
        <x:v>TIDELOCK + Lucerna</x:v>
      </x:c>
      <x:c r="AG880" s="12" t="str">
        <x:f>IF(AND(AC880="PUBLIC_CANDIDATE",U880&lt;&gt;"BLOCKED_PENDING_RECEIPT"),"READY_AFTER_RECEIPT","NOT_READY")</x:f>
        <x:v>NOT_READY</x:v>
      </x:c>
      <x:c r="AH880" s="12" t="str">
        <x:f>IF(AC880="PUBLIC_CANDIDATE","none",AD880)</x:f>
        <x:v>none</x:v>
      </x:c>
      <x:c r="AI880" s="12" t="str">
        <x:f>IF(AC880="PUBLIC_CANDIDATE","archive/public_candidates/"&amp;A880,"private_quarantine/"&amp;A880)</x:f>
        <x:v>archive/public_candidates/SWARM-07-H02-S03</x:v>
      </x:c>
      <x:c r="AJ880" s="12" t="str">
        <x:f>IF(AC880="PUBLIC_CANDIDATE","public by default; still not canon","private/hold; do not publish")</x:f>
        <x:v>public by default; still not canon</x:v>
      </x:c>
      <x:c r="AK880" s="12" t="str">
        <x:f>IF(AE880="prepare_public_github_candidate","add receipt/status then mirror","resolve blocker before any public GitHub action")</x:f>
        <x:v>add receipt/status then mirror</x:v>
      </x:c>
    </x:row>
    <x:row r="881">
      <x:c r="A881" s="15" t="str">
        <x:v>SWARM-07-H02-S04</x:v>
      </x:c>
      <x:c r="B881" s="15" t="str">
        <x:v>Domechild</x:v>
      </x:c>
      <x:c r="C881" s="15" t="str">
        <x:v>Planetarium lane builder</x:v>
      </x:c>
      <x:c r="D881" s="15" t="str">
        <x:v>Receipt Verification</x:v>
      </x:c>
      <x:c r="E881" s="15" t="str">
        <x:v>Gamma</x:v>
      </x:c>
      <x:c r="F881" s="15" t="str">
        <x:v>Verify receipts for Gamma — Domechild</x:v>
      </x:c>
      <x:c r="G881" s="15" t="str">
        <x:v>planetarium source packets / civic-science deltas</x:v>
      </x:c>
      <x:c r="H881" s="15" t="str">
        <x:v>source path + receipt + raw/export status + claim/edge/risk delta</x:v>
      </x:c>
      <x:c r="I881" s="15" t="str">
        <x:v>packet/SWARM-07-H02-S04</x:v>
      </x:c>
      <x:c r="J881" s="15" t="str">
        <x:v>TODO</x:v>
      </x:c>
      <x:c r="K881" s="15" t="str">
        <x:v>P1</x:v>
      </x:c>
      <x:c r="L881" s="15" t="str">
        <x:v>Done only when evidence is logged, contradiction search is noted, and boundary stamp remains non-canon unless ratified</x:v>
      </x:c>
      <x:c r="M881" s="15" t="str">
        <x:v>candidate / staging-only / not canon / not deployed / authority none</x:v>
      </x:c>
      <x:c r="N881" s="15" t="str">
        <x:v>Dispatch to Domechild: complete Receipt Verification x Gamma; return deltas only, receipts required.</x:v>
      </x:c>
      <x:c r="O881" s="15" t="str">
        <x:v>AF-KG-H02-S04</x:v>
      </x:c>
      <x:c r="P881" s="15" t="str">
        <x:v>Unverified</x:v>
      </x:c>
      <x:c r="Q881" s="15" t="str">
        <x:v>Not checked</x:v>
      </x:c>
      <x:c r="R881" s="15" t="str"/>
      <x:c r="S881" s="15" t="str"/>
      <x:c r="T881" s="15" t="str">
        <x:v>Log first source path or blocker</x:v>
      </x:c>
      <x:c r="U881" s="12" t="str">
        <x:f>IF(OR(P881="Unverified",Q881="Not checked"),"BLOCKED_PENDING_RECEIPT","READY_FOR_REVIEW")</x:f>
        <x:v>BLOCKED_PENDING_RECEIPT</x:v>
      </x:c>
      <x:c r="V881" s="12" t="str">
        <x:f>IF(J881="DONE","RETURNED",IF(U881="BLOCKED_PENDING_RECEIPT","SOURCE_TOUCH_REQUIRED","IN_PROGRESS"))</x:f>
        <x:v>SOURCE_TOUCH_REQUIRED</x:v>
      </x:c>
      <x:c r="W881" s="12" t="str">
        <x:f>IF(P881="Unverified","missing_receipt","receipt_logged")</x:f>
        <x:v>missing_receipt</x:v>
      </x:c>
      <x:c r="X881" s="12" t="str">
        <x:f>IF(Q881="Not checked","raw_status_missing","raw_status_logged")</x:f>
        <x:v>raw_status_missing</x:v>
      </x:c>
      <x:c r="Y881" s="12" t="str">
        <x:f>IF(U881="BLOCKED_PENDING_RECEIPT","Log source path or blocker; do not promote","Route to review lane")</x:f>
        <x:v>Log source path or blocker; do not promote</x:v>
      </x:c>
      <x:c r="Z881" s="12" t="str">
        <x:f>IF(K881="P0","Primary seat + Hashlight/Lucerna","Seat lane")</x:f>
        <x:v>Seat lane</x:v>
      </x:c>
      <x:c r="AA881" s="12" t="str">
        <x:f>IF(R881="","no_claim_delta","claim_delta_present")</x:f>
        <x:v>no_claim_delta</x:v>
      </x:c>
      <x:c r="AB881" s="12" t="str">
        <x:f>IF(S881="","no_contradiction_delta","contradiction_delta_present")</x:f>
        <x:v>no_contradiction_delta</x:v>
      </x:c>
      <x:c r="AC881" s="12" t="str">
        <x:f>IF(OR(ISNUMBER(SEARCH("hacker",LOWER(F881&amp;" "&amp;H881&amp;" "&amp;I881&amp;" "&amp;M881&amp;" "&amp;N881&amp;" "&amp;T881))),ISNUMBER(SEARCH("hacking",LOWER(F881&amp;" "&amp;H881&amp;" "&amp;I881&amp;" "&amp;M881&amp;" "&amp;N881&amp;" "&amp;T881))),ISNUMBER(SEARCH("bank",LOWER(F881&amp;" "&amp;H881&amp;" "&amp;I881&amp;" "&amp;M881&amp;" "&amp;N881&amp;" "&amp;T881))),ISNUMBER(SEARCH("banking",LOWER(F881&amp;" "&amp;H881&amp;" "&amp;I881&amp;" "&amp;M881&amp;" "&amp;N881&amp;" "&amp;T881)))),"PRIVATE_QUARANTINE",IF(OR(ISNUMBER(SEARCH("treasury",LOWER(F881&amp;" "&amp;H881&amp;" "&amp;I881&amp;" "&amp;M881&amp;" "&amp;N881&amp;" "&amp;T881))),ISNUMBER(SEARCH("debt",LOWER(F881&amp;" "&amp;H881&amp;" "&amp;I881&amp;" "&amp;M881&amp;" "&amp;N881&amp;" "&amp;T881))),ISNUMBER(SEARCH("bond",LOWER(F881&amp;" "&amp;H881&amp;" "&amp;I881&amp;" "&amp;M881&amp;" "&amp;N881&amp;" "&amp;T881))),ISNUMBER(SEARCH("transaction",LOWER(F881&amp;" "&amp;H881&amp;" "&amp;I881&amp;" "&amp;M881&amp;" "&amp;N881&amp;" "&amp;T881)))),"PRIVATE_REVIEW","PUBLIC_CANDIDATE"))</x:f>
        <x:v>PUBLIC_CANDIDATE</x:v>
      </x:c>
      <x:c r="AD881" s="12" t="str">
        <x:f>IF(AC881="PRIVATE_QUARANTINE","hacker_or_bank_trigger",IF(AC881="PRIVATE_REVIEW","finance_risk_trigger","none"))</x:f>
        <x:v>none</x:v>
      </x:c>
      <x:c r="AE881" s="12" t="str">
        <x:f>IF(AC881="PUBLIC_CANDIDATE","prepare_public_github_candidate",IF(AC881="PRIVATE_REVIEW","hold_for_private_review","quarantine_private_do_not_publish"))</x:f>
        <x:v>prepare_public_github_candidate</x:v>
      </x:c>
      <x:c r="AF881" s="12" t="str">
        <x:f>IF(AC881="PUBLIC_CANDIDATE","TIDELOCK + Lucerna",IF(AC881="PRIVATE_REVIEW","AtlasBrain + Lucerna","TIDELOCK + Lucerna + Human-root"))</x:f>
        <x:v>TIDELOCK + Lucerna</x:v>
      </x:c>
      <x:c r="AG881" s="12" t="str">
        <x:f>IF(AND(AC881="PUBLIC_CANDIDATE",U881&lt;&gt;"BLOCKED_PENDING_RECEIPT"),"READY_AFTER_RECEIPT","NOT_READY")</x:f>
        <x:v>NOT_READY</x:v>
      </x:c>
      <x:c r="AH881" s="12" t="str">
        <x:f>IF(AC881="PUBLIC_CANDIDATE","none",AD881)</x:f>
        <x:v>none</x:v>
      </x:c>
      <x:c r="AI881" s="12" t="str">
        <x:f>IF(AC881="PUBLIC_CANDIDATE","archive/public_candidates/"&amp;A881,"private_quarantine/"&amp;A881)</x:f>
        <x:v>archive/public_candidates/SWARM-07-H02-S04</x:v>
      </x:c>
      <x:c r="AJ881" s="12" t="str">
        <x:f>IF(AC881="PUBLIC_CANDIDATE","public by default; still not canon","private/hold; do not publish")</x:f>
        <x:v>public by default; still not canon</x:v>
      </x:c>
      <x:c r="AK881" s="12" t="str">
        <x:f>IF(AE881="prepare_public_github_candidate","add receipt/status then mirror","resolve blocker before any public GitHub action")</x:f>
        <x:v>add receipt/status then mirror</x:v>
      </x:c>
    </x:row>
    <x:row r="882">
      <x:c r="A882" s="15" t="str">
        <x:v>SWARM-07-H02-S05</x:v>
      </x:c>
      <x:c r="B882" s="15" t="str">
        <x:v>Domechild</x:v>
      </x:c>
      <x:c r="C882" s="15" t="str">
        <x:v>Planetarium lane builder</x:v>
      </x:c>
      <x:c r="D882" s="15" t="str">
        <x:v>Receipt Verification</x:v>
      </x:c>
      <x:c r="E882" s="15" t="str">
        <x:v>Chat</x:v>
      </x:c>
      <x:c r="F882" s="15" t="str">
        <x:v>Verify receipts for Chat — Domechild</x:v>
      </x:c>
      <x:c r="G882" s="15" t="str">
        <x:v>planetarium source packets / civic-science deltas</x:v>
      </x:c>
      <x:c r="H882" s="15" t="str">
        <x:v>source path + receipt + raw/export status + claim/edge/risk delta</x:v>
      </x:c>
      <x:c r="I882" s="15" t="str">
        <x:v>packet/SWARM-07-H02-S05</x:v>
      </x:c>
      <x:c r="J882" s="15" t="str">
        <x:v>TODO</x:v>
      </x:c>
      <x:c r="K882" s="15" t="str">
        <x:v>P1</x:v>
      </x:c>
      <x:c r="L882" s="15" t="str">
        <x:v>Done only when evidence is logged, contradiction search is noted, and boundary stamp remains non-canon unless ratified</x:v>
      </x:c>
      <x:c r="M882" s="15" t="str">
        <x:v>candidate / staging-only / not canon / not deployed / authority none</x:v>
      </x:c>
      <x:c r="N882" s="15" t="str">
        <x:v>Dispatch to Domechild: complete Receipt Verification x Chat; return deltas only, receipts required.</x:v>
      </x:c>
      <x:c r="O882" s="15" t="str">
        <x:v>AF-KG-H02-S05</x:v>
      </x:c>
      <x:c r="P882" s="15" t="str">
        <x:v>Unverified</x:v>
      </x:c>
      <x:c r="Q882" s="15" t="str">
        <x:v>Not checked</x:v>
      </x:c>
      <x:c r="R882" s="15" t="str"/>
      <x:c r="S882" s="15" t="str"/>
      <x:c r="T882" s="15" t="str">
        <x:v>Log first source path or blocker</x:v>
      </x:c>
      <x:c r="U882" s="12" t="str">
        <x:f>IF(OR(P882="Unverified",Q882="Not checked"),"BLOCKED_PENDING_RECEIPT","READY_FOR_REVIEW")</x:f>
        <x:v>BLOCKED_PENDING_RECEIPT</x:v>
      </x:c>
      <x:c r="V882" s="12" t="str">
        <x:f>IF(J882="DONE","RETURNED",IF(U882="BLOCKED_PENDING_RECEIPT","SOURCE_TOUCH_REQUIRED","IN_PROGRESS"))</x:f>
        <x:v>SOURCE_TOUCH_REQUIRED</x:v>
      </x:c>
      <x:c r="W882" s="12" t="str">
        <x:f>IF(P882="Unverified","missing_receipt","receipt_logged")</x:f>
        <x:v>missing_receipt</x:v>
      </x:c>
      <x:c r="X882" s="12" t="str">
        <x:f>IF(Q882="Not checked","raw_status_missing","raw_status_logged")</x:f>
        <x:v>raw_status_missing</x:v>
      </x:c>
      <x:c r="Y882" s="12" t="str">
        <x:f>IF(U882="BLOCKED_PENDING_RECEIPT","Log source path or blocker; do not promote","Route to review lane")</x:f>
        <x:v>Log source path or blocker; do not promote</x:v>
      </x:c>
      <x:c r="Z882" s="12" t="str">
        <x:f>IF(K882="P0","Primary seat + Hashlight/Lucerna","Seat lane")</x:f>
        <x:v>Seat lane</x:v>
      </x:c>
      <x:c r="AA882" s="12" t="str">
        <x:f>IF(R882="","no_claim_delta","claim_delta_present")</x:f>
        <x:v>no_claim_delta</x:v>
      </x:c>
      <x:c r="AB882" s="12" t="str">
        <x:f>IF(S882="","no_contradiction_delta","contradiction_delta_present")</x:f>
        <x:v>no_contradiction_delta</x:v>
      </x:c>
      <x:c r="AC882" s="12" t="str">
        <x:f>IF(OR(ISNUMBER(SEARCH("hacker",LOWER(F882&amp;" "&amp;H882&amp;" "&amp;I882&amp;" "&amp;M882&amp;" "&amp;N882&amp;" "&amp;T882))),ISNUMBER(SEARCH("hacking",LOWER(F882&amp;" "&amp;H882&amp;" "&amp;I882&amp;" "&amp;M882&amp;" "&amp;N882&amp;" "&amp;T882))),ISNUMBER(SEARCH("bank",LOWER(F882&amp;" "&amp;H882&amp;" "&amp;I882&amp;" "&amp;M882&amp;" "&amp;N882&amp;" "&amp;T882))),ISNUMBER(SEARCH("banking",LOWER(F882&amp;" "&amp;H882&amp;" "&amp;I882&amp;" "&amp;M882&amp;" "&amp;N882&amp;" "&amp;T882)))),"PRIVATE_QUARANTINE",IF(OR(ISNUMBER(SEARCH("treasury",LOWER(F882&amp;" "&amp;H882&amp;" "&amp;I882&amp;" "&amp;M882&amp;" "&amp;N882&amp;" "&amp;T882))),ISNUMBER(SEARCH("debt",LOWER(F882&amp;" "&amp;H882&amp;" "&amp;I882&amp;" "&amp;M882&amp;" "&amp;N882&amp;" "&amp;T882))),ISNUMBER(SEARCH("bond",LOWER(F882&amp;" "&amp;H882&amp;" "&amp;I882&amp;" "&amp;M882&amp;" "&amp;N882&amp;" "&amp;T882))),ISNUMBER(SEARCH("transaction",LOWER(F882&amp;" "&amp;H882&amp;" "&amp;I882&amp;" "&amp;M882&amp;" "&amp;N882&amp;" "&amp;T882)))),"PRIVATE_REVIEW","PUBLIC_CANDIDATE"))</x:f>
        <x:v>PUBLIC_CANDIDATE</x:v>
      </x:c>
      <x:c r="AD882" s="12" t="str">
        <x:f>IF(AC882="PRIVATE_QUARANTINE","hacker_or_bank_trigger",IF(AC882="PRIVATE_REVIEW","finance_risk_trigger","none"))</x:f>
        <x:v>none</x:v>
      </x:c>
      <x:c r="AE882" s="12" t="str">
        <x:f>IF(AC882="PUBLIC_CANDIDATE","prepare_public_github_candidate",IF(AC882="PRIVATE_REVIEW","hold_for_private_review","quarantine_private_do_not_publish"))</x:f>
        <x:v>prepare_public_github_candidate</x:v>
      </x:c>
      <x:c r="AF882" s="12" t="str">
        <x:f>IF(AC882="PUBLIC_CANDIDATE","TIDELOCK + Lucerna",IF(AC882="PRIVATE_REVIEW","AtlasBrain + Lucerna","TIDELOCK + Lucerna + Human-root"))</x:f>
        <x:v>TIDELOCK + Lucerna</x:v>
      </x:c>
      <x:c r="AG882" s="12" t="str">
        <x:f>IF(AND(AC882="PUBLIC_CANDIDATE",U882&lt;&gt;"BLOCKED_PENDING_RECEIPT"),"READY_AFTER_RECEIPT","NOT_READY")</x:f>
        <x:v>NOT_READY</x:v>
      </x:c>
      <x:c r="AH882" s="12" t="str">
        <x:f>IF(AC882="PUBLIC_CANDIDATE","none",AD882)</x:f>
        <x:v>none</x:v>
      </x:c>
      <x:c r="AI882" s="12" t="str">
        <x:f>IF(AC882="PUBLIC_CANDIDATE","archive/public_candidates/"&amp;A882,"private_quarantine/"&amp;A882)</x:f>
        <x:v>archive/public_candidates/SWARM-07-H02-S05</x:v>
      </x:c>
      <x:c r="AJ882" s="12" t="str">
        <x:f>IF(AC882="PUBLIC_CANDIDATE","public by default; still not canon","private/hold; do not publish")</x:f>
        <x:v>public by default; still not canon</x:v>
      </x:c>
      <x:c r="AK882" s="12" t="str">
        <x:f>IF(AE882="prepare_public_github_candidate","add receipt/status then mirror","resolve blocker before any public GitHub action")</x:f>
        <x:v>add receipt/status then mirror</x:v>
      </x:c>
    </x:row>
    <x:row r="883">
      <x:c r="A883" s="15" t="str">
        <x:v>SWARM-07-H02-S06</x:v>
      </x:c>
      <x:c r="B883" s="15" t="str">
        <x:v>Domechild</x:v>
      </x:c>
      <x:c r="C883" s="15" t="str">
        <x:v>Planetarium lane builder</x:v>
      </x:c>
      <x:c r="D883" s="15" t="str">
        <x:v>Receipt Verification</x:v>
      </x:c>
      <x:c r="E883" s="15" t="str">
        <x:v>External Web</x:v>
      </x:c>
      <x:c r="F883" s="15" t="str">
        <x:v>Verify receipts for External Web — Domechild</x:v>
      </x:c>
      <x:c r="G883" s="15" t="str">
        <x:v>planetarium source packets / civic-science deltas</x:v>
      </x:c>
      <x:c r="H883" s="15" t="str">
        <x:v>source path + receipt + raw/export status + claim/edge/risk delta</x:v>
      </x:c>
      <x:c r="I883" s="15" t="str">
        <x:v>packet/SWARM-07-H02-S06</x:v>
      </x:c>
      <x:c r="J883" s="15" t="str">
        <x:v>TODO</x:v>
      </x:c>
      <x:c r="K883" s="15" t="str">
        <x:v>P1</x:v>
      </x:c>
      <x:c r="L883" s="15" t="str">
        <x:v>Done only when evidence is logged, contradiction search is noted, and boundary stamp remains non-canon unless ratified</x:v>
      </x:c>
      <x:c r="M883" s="15" t="str">
        <x:v>candidate / staging-only / not canon / not deployed / authority none</x:v>
      </x:c>
      <x:c r="N883" s="15" t="str">
        <x:v>Dispatch to Domechild: complete Receipt Verification x External Web; return deltas only, receipts required.</x:v>
      </x:c>
      <x:c r="O883" s="15" t="str">
        <x:v>AF-KG-H02-S06</x:v>
      </x:c>
      <x:c r="P883" s="15" t="str">
        <x:v>Unverified</x:v>
      </x:c>
      <x:c r="Q883" s="15" t="str">
        <x:v>Not checked</x:v>
      </x:c>
      <x:c r="R883" s="15" t="str"/>
      <x:c r="S883" s="15" t="str"/>
      <x:c r="T883" s="15" t="str">
        <x:v>Log first source path or blocker</x:v>
      </x:c>
      <x:c r="U883" s="12" t="str">
        <x:f>IF(OR(P883="Unverified",Q883="Not checked"),"BLOCKED_PENDING_RECEIPT","READY_FOR_REVIEW")</x:f>
        <x:v>BLOCKED_PENDING_RECEIPT</x:v>
      </x:c>
      <x:c r="V883" s="12" t="str">
        <x:f>IF(J883="DONE","RETURNED",IF(U883="BLOCKED_PENDING_RECEIPT","SOURCE_TOUCH_REQUIRED","IN_PROGRESS"))</x:f>
        <x:v>SOURCE_TOUCH_REQUIRED</x:v>
      </x:c>
      <x:c r="W883" s="12" t="str">
        <x:f>IF(P883="Unverified","missing_receipt","receipt_logged")</x:f>
        <x:v>missing_receipt</x:v>
      </x:c>
      <x:c r="X883" s="12" t="str">
        <x:f>IF(Q883="Not checked","raw_status_missing","raw_status_logged")</x:f>
        <x:v>raw_status_missing</x:v>
      </x:c>
      <x:c r="Y883" s="12" t="str">
        <x:f>IF(U883="BLOCKED_PENDING_RECEIPT","Log source path or blocker; do not promote","Route to review lane")</x:f>
        <x:v>Log source path or blocker; do not promote</x:v>
      </x:c>
      <x:c r="Z883" s="12" t="str">
        <x:f>IF(K883="P0","Primary seat + Hashlight/Lucerna","Seat lane")</x:f>
        <x:v>Seat lane</x:v>
      </x:c>
      <x:c r="AA883" s="12" t="str">
        <x:f>IF(R883="","no_claim_delta","claim_delta_present")</x:f>
        <x:v>no_claim_delta</x:v>
      </x:c>
      <x:c r="AB883" s="12" t="str">
        <x:f>IF(S883="","no_contradiction_delta","contradiction_delta_present")</x:f>
        <x:v>no_contradiction_delta</x:v>
      </x:c>
      <x:c r="AC883" s="12" t="str">
        <x:f>IF(OR(ISNUMBER(SEARCH("hacker",LOWER(F883&amp;" "&amp;H883&amp;" "&amp;I883&amp;" "&amp;M883&amp;" "&amp;N883&amp;" "&amp;T883))),ISNUMBER(SEARCH("hacking",LOWER(F883&amp;" "&amp;H883&amp;" "&amp;I883&amp;" "&amp;M883&amp;" "&amp;N883&amp;" "&amp;T883))),ISNUMBER(SEARCH("bank",LOWER(F883&amp;" "&amp;H883&amp;" "&amp;I883&amp;" "&amp;M883&amp;" "&amp;N883&amp;" "&amp;T883))),ISNUMBER(SEARCH("banking",LOWER(F883&amp;" "&amp;H883&amp;" "&amp;I883&amp;" "&amp;M883&amp;" "&amp;N883&amp;" "&amp;T883)))),"PRIVATE_QUARANTINE",IF(OR(ISNUMBER(SEARCH("treasury",LOWER(F883&amp;" "&amp;H883&amp;" "&amp;I883&amp;" "&amp;M883&amp;" "&amp;N883&amp;" "&amp;T883))),ISNUMBER(SEARCH("debt",LOWER(F883&amp;" "&amp;H883&amp;" "&amp;I883&amp;" "&amp;M883&amp;" "&amp;N883&amp;" "&amp;T883))),ISNUMBER(SEARCH("bond",LOWER(F883&amp;" "&amp;H883&amp;" "&amp;I883&amp;" "&amp;M883&amp;" "&amp;N883&amp;" "&amp;T883))),ISNUMBER(SEARCH("transaction",LOWER(F883&amp;" "&amp;H883&amp;" "&amp;I883&amp;" "&amp;M883&amp;" "&amp;N883&amp;" "&amp;T883)))),"PRIVATE_REVIEW","PUBLIC_CANDIDATE"))</x:f>
        <x:v>PUBLIC_CANDIDATE</x:v>
      </x:c>
      <x:c r="AD883" s="12" t="str">
        <x:f>IF(AC883="PRIVATE_QUARANTINE","hacker_or_bank_trigger",IF(AC883="PRIVATE_REVIEW","finance_risk_trigger","none"))</x:f>
        <x:v>none</x:v>
      </x:c>
      <x:c r="AE883" s="12" t="str">
        <x:f>IF(AC883="PUBLIC_CANDIDATE","prepare_public_github_candidate",IF(AC883="PRIVATE_REVIEW","hold_for_private_review","quarantine_private_do_not_publish"))</x:f>
        <x:v>prepare_public_github_candidate</x:v>
      </x:c>
      <x:c r="AF883" s="12" t="str">
        <x:f>IF(AC883="PUBLIC_CANDIDATE","TIDELOCK + Lucerna",IF(AC883="PRIVATE_REVIEW","AtlasBrain + Lucerna","TIDELOCK + Lucerna + Human-root"))</x:f>
        <x:v>TIDELOCK + Lucerna</x:v>
      </x:c>
      <x:c r="AG883" s="12" t="str">
        <x:f>IF(AND(AC883="PUBLIC_CANDIDATE",U883&lt;&gt;"BLOCKED_PENDING_RECEIPT"),"READY_AFTER_RECEIPT","NOT_READY")</x:f>
        <x:v>NOT_READY</x:v>
      </x:c>
      <x:c r="AH883" s="12" t="str">
        <x:f>IF(AC883="PUBLIC_CANDIDATE","none",AD883)</x:f>
        <x:v>none</x:v>
      </x:c>
      <x:c r="AI883" s="12" t="str">
        <x:f>IF(AC883="PUBLIC_CANDIDATE","archive/public_candidates/"&amp;A883,"private_quarantine/"&amp;A883)</x:f>
        <x:v>archive/public_candidates/SWARM-07-H02-S06</x:v>
      </x:c>
      <x:c r="AJ883" s="12" t="str">
        <x:f>IF(AC883="PUBLIC_CANDIDATE","public by default; still not canon","private/hold; do not publish")</x:f>
        <x:v>public by default; still not canon</x:v>
      </x:c>
      <x:c r="AK883" s="12" t="str">
        <x:f>IF(AE883="prepare_public_github_candidate","add receipt/status then mirror","resolve blocker before any public GitHub action")</x:f>
        <x:v>add receipt/status then mirror</x:v>
      </x:c>
    </x:row>
    <x:row r="884">
      <x:c r="A884" s="15" t="str">
        <x:v>SWARM-07-H02-S07</x:v>
      </x:c>
      <x:c r="B884" s="15" t="str">
        <x:v>Domechild</x:v>
      </x:c>
      <x:c r="C884" s="15" t="str">
        <x:v>Planetarium lane builder</x:v>
      </x:c>
      <x:c r="D884" s="15" t="str">
        <x:v>Receipt Verification</x:v>
      </x:c>
      <x:c r="E884" s="15" t="str">
        <x:v>Planetarium</x:v>
      </x:c>
      <x:c r="F884" s="15" t="str">
        <x:v>Verify receipts for Planetarium — Domechild</x:v>
      </x:c>
      <x:c r="G884" s="15" t="str">
        <x:v>planetarium source packets / civic-science deltas</x:v>
      </x:c>
      <x:c r="H884" s="15" t="str">
        <x:v>source path + receipt + raw/export status + claim/edge/risk delta</x:v>
      </x:c>
      <x:c r="I884" s="15" t="str">
        <x:v>packet/SWARM-07-H02-S07</x:v>
      </x:c>
      <x:c r="J884" s="15" t="str">
        <x:v>TODO</x:v>
      </x:c>
      <x:c r="K884" s="15" t="str">
        <x:v>P1</x:v>
      </x:c>
      <x:c r="L884" s="15" t="str">
        <x:v>Done only when evidence is logged, contradiction search is noted, and boundary stamp remains non-canon unless ratified</x:v>
      </x:c>
      <x:c r="M884" s="15" t="str">
        <x:v>candidate / staging-only / not canon / not deployed / authority none</x:v>
      </x:c>
      <x:c r="N884" s="15" t="str">
        <x:v>Dispatch to Domechild: complete Receipt Verification x Planetarium; return deltas only, receipts required.</x:v>
      </x:c>
      <x:c r="O884" s="15" t="str">
        <x:v>AF-KG-H02-S07</x:v>
      </x:c>
      <x:c r="P884" s="15" t="str">
        <x:v>Unverified</x:v>
      </x:c>
      <x:c r="Q884" s="15" t="str">
        <x:v>Not checked</x:v>
      </x:c>
      <x:c r="R884" s="15" t="str"/>
      <x:c r="S884" s="15" t="str"/>
      <x:c r="T884" s="15" t="str">
        <x:v>Log first source path or blocker</x:v>
      </x:c>
      <x:c r="U884" s="12" t="str">
        <x:f>IF(OR(P884="Unverified",Q884="Not checked"),"BLOCKED_PENDING_RECEIPT","READY_FOR_REVIEW")</x:f>
        <x:v>BLOCKED_PENDING_RECEIPT</x:v>
      </x:c>
      <x:c r="V884" s="12" t="str">
        <x:f>IF(J884="DONE","RETURNED",IF(U884="BLOCKED_PENDING_RECEIPT","SOURCE_TOUCH_REQUIRED","IN_PROGRESS"))</x:f>
        <x:v>SOURCE_TOUCH_REQUIRED</x:v>
      </x:c>
      <x:c r="W884" s="12" t="str">
        <x:f>IF(P884="Unverified","missing_receipt","receipt_logged")</x:f>
        <x:v>missing_receipt</x:v>
      </x:c>
      <x:c r="X884" s="12" t="str">
        <x:f>IF(Q884="Not checked","raw_status_missing","raw_status_logged")</x:f>
        <x:v>raw_status_missing</x:v>
      </x:c>
      <x:c r="Y884" s="12" t="str">
        <x:f>IF(U884="BLOCKED_PENDING_RECEIPT","Log source path or blocker; do not promote","Route to review lane")</x:f>
        <x:v>Log source path or blocker; do not promote</x:v>
      </x:c>
      <x:c r="Z884" s="12" t="str">
        <x:f>IF(K884="P0","Primary seat + Hashlight/Lucerna","Seat lane")</x:f>
        <x:v>Seat lane</x:v>
      </x:c>
      <x:c r="AA884" s="12" t="str">
        <x:f>IF(R884="","no_claim_delta","claim_delta_present")</x:f>
        <x:v>no_claim_delta</x:v>
      </x:c>
      <x:c r="AB884" s="12" t="str">
        <x:f>IF(S884="","no_contradiction_delta","contradiction_delta_present")</x:f>
        <x:v>no_contradiction_delta</x:v>
      </x:c>
      <x:c r="AC884" s="12" t="str">
        <x:f>IF(OR(ISNUMBER(SEARCH("hacker",LOWER(F884&amp;" "&amp;H884&amp;" "&amp;I884&amp;" "&amp;M884&amp;" "&amp;N884&amp;" "&amp;T884))),ISNUMBER(SEARCH("hacking",LOWER(F884&amp;" "&amp;H884&amp;" "&amp;I884&amp;" "&amp;M884&amp;" "&amp;N884&amp;" "&amp;T884))),ISNUMBER(SEARCH("bank",LOWER(F884&amp;" "&amp;H884&amp;" "&amp;I884&amp;" "&amp;M884&amp;" "&amp;N884&amp;" "&amp;T884))),ISNUMBER(SEARCH("banking",LOWER(F884&amp;" "&amp;H884&amp;" "&amp;I884&amp;" "&amp;M884&amp;" "&amp;N884&amp;" "&amp;T884)))),"PRIVATE_QUARANTINE",IF(OR(ISNUMBER(SEARCH("treasury",LOWER(F884&amp;" "&amp;H884&amp;" "&amp;I884&amp;" "&amp;M884&amp;" "&amp;N884&amp;" "&amp;T884))),ISNUMBER(SEARCH("debt",LOWER(F884&amp;" "&amp;H884&amp;" "&amp;I884&amp;" "&amp;M884&amp;" "&amp;N884&amp;" "&amp;T884))),ISNUMBER(SEARCH("bond",LOWER(F884&amp;" "&amp;H884&amp;" "&amp;I884&amp;" "&amp;M884&amp;" "&amp;N884&amp;" "&amp;T884))),ISNUMBER(SEARCH("transaction",LOWER(F884&amp;" "&amp;H884&amp;" "&amp;I884&amp;" "&amp;M884&amp;" "&amp;N884&amp;" "&amp;T884)))),"PRIVATE_REVIEW","PUBLIC_CANDIDATE"))</x:f>
        <x:v>PUBLIC_CANDIDATE</x:v>
      </x:c>
      <x:c r="AD884" s="12" t="str">
        <x:f>IF(AC884="PRIVATE_QUARANTINE","hacker_or_bank_trigger",IF(AC884="PRIVATE_REVIEW","finance_risk_trigger","none"))</x:f>
        <x:v>none</x:v>
      </x:c>
      <x:c r="AE884" s="12" t="str">
        <x:f>IF(AC884="PUBLIC_CANDIDATE","prepare_public_github_candidate",IF(AC884="PRIVATE_REVIEW","hold_for_private_review","quarantine_private_do_not_publish"))</x:f>
        <x:v>prepare_public_github_candidate</x:v>
      </x:c>
      <x:c r="AF884" s="12" t="str">
        <x:f>IF(AC884="PUBLIC_CANDIDATE","TIDELOCK + Lucerna",IF(AC884="PRIVATE_REVIEW","AtlasBrain + Lucerna","TIDELOCK + Lucerna + Human-root"))</x:f>
        <x:v>TIDELOCK + Lucerna</x:v>
      </x:c>
      <x:c r="AG884" s="12" t="str">
        <x:f>IF(AND(AC884="PUBLIC_CANDIDATE",U884&lt;&gt;"BLOCKED_PENDING_RECEIPT"),"READY_AFTER_RECEIPT","NOT_READY")</x:f>
        <x:v>NOT_READY</x:v>
      </x:c>
      <x:c r="AH884" s="12" t="str">
        <x:f>IF(AC884="PUBLIC_CANDIDATE","none",AD884)</x:f>
        <x:v>none</x:v>
      </x:c>
      <x:c r="AI884" s="12" t="str">
        <x:f>IF(AC884="PUBLIC_CANDIDATE","archive/public_candidates/"&amp;A884,"private_quarantine/"&amp;A884)</x:f>
        <x:v>archive/public_candidates/SWARM-07-H02-S07</x:v>
      </x:c>
      <x:c r="AJ884" s="12" t="str">
        <x:f>IF(AC884="PUBLIC_CANDIDATE","public by default; still not canon","private/hold; do not publish")</x:f>
        <x:v>public by default; still not canon</x:v>
      </x:c>
      <x:c r="AK884" s="12" t="str">
        <x:f>IF(AE884="prepare_public_github_candidate","add receipt/status then mirror","resolve blocker before any public GitHub action")</x:f>
        <x:v>add receipt/status then mirror</x:v>
      </x:c>
    </x:row>
    <x:row r="885">
      <x:c r="A885" s="15" t="str">
        <x:v>SWARM-07-H02-S08</x:v>
      </x:c>
      <x:c r="B885" s="15" t="str">
        <x:v>Domechild</x:v>
      </x:c>
      <x:c r="C885" s="15" t="str">
        <x:v>Planetarium lane builder</x:v>
      </x:c>
      <x:c r="D885" s="15" t="str">
        <x:v>Receipt Verification</x:v>
      </x:c>
      <x:c r="E885" s="15" t="str">
        <x:v>Sheldonbrain</x:v>
      </x:c>
      <x:c r="F885" s="15" t="str">
        <x:v>Verify receipts for Sheldonbrain — Domechild</x:v>
      </x:c>
      <x:c r="G885" s="15" t="str">
        <x:v>planetarium source packets / civic-science deltas</x:v>
      </x:c>
      <x:c r="H885" s="15" t="str">
        <x:v>source path + receipt + raw/export status + claim/edge/risk delta</x:v>
      </x:c>
      <x:c r="I885" s="15" t="str">
        <x:v>packet/SWARM-07-H02-S08</x:v>
      </x:c>
      <x:c r="J885" s="15" t="str">
        <x:v>TODO</x:v>
      </x:c>
      <x:c r="K885" s="15" t="str">
        <x:v>P1</x:v>
      </x:c>
      <x:c r="L885" s="15" t="str">
        <x:v>Done only when evidence is logged, contradiction search is noted, and boundary stamp remains non-canon unless ratified</x:v>
      </x:c>
      <x:c r="M885" s="15" t="str">
        <x:v>candidate / staging-only / not canon / not deployed / authority none</x:v>
      </x:c>
      <x:c r="N885" s="15" t="str">
        <x:v>Dispatch to Domechild: complete Receipt Verification x Sheldonbrain; return deltas only, receipts required.</x:v>
      </x:c>
      <x:c r="O885" s="15" t="str">
        <x:v>AF-KG-H02-S08</x:v>
      </x:c>
      <x:c r="P885" s="15" t="str">
        <x:v>Unverified</x:v>
      </x:c>
      <x:c r="Q885" s="15" t="str">
        <x:v>Not checked</x:v>
      </x:c>
      <x:c r="R885" s="15" t="str"/>
      <x:c r="S885" s="15" t="str"/>
      <x:c r="T885" s="15" t="str">
        <x:v>Log first source path or blocker</x:v>
      </x:c>
      <x:c r="U885" s="12" t="str">
        <x:f>IF(OR(P885="Unverified",Q885="Not checked"),"BLOCKED_PENDING_RECEIPT","READY_FOR_REVIEW")</x:f>
        <x:v>BLOCKED_PENDING_RECEIPT</x:v>
      </x:c>
      <x:c r="V885" s="12" t="str">
        <x:f>IF(J885="DONE","RETURNED",IF(U885="BLOCKED_PENDING_RECEIPT","SOURCE_TOUCH_REQUIRED","IN_PROGRESS"))</x:f>
        <x:v>SOURCE_TOUCH_REQUIRED</x:v>
      </x:c>
      <x:c r="W885" s="12" t="str">
        <x:f>IF(P885="Unverified","missing_receipt","receipt_logged")</x:f>
        <x:v>missing_receipt</x:v>
      </x:c>
      <x:c r="X885" s="12" t="str">
        <x:f>IF(Q885="Not checked","raw_status_missing","raw_status_logged")</x:f>
        <x:v>raw_status_missing</x:v>
      </x:c>
      <x:c r="Y885" s="12" t="str">
        <x:f>IF(U885="BLOCKED_PENDING_RECEIPT","Log source path or blocker; do not promote","Route to review lane")</x:f>
        <x:v>Log source path or blocker; do not promote</x:v>
      </x:c>
      <x:c r="Z885" s="12" t="str">
        <x:f>IF(K885="P0","Primary seat + Hashlight/Lucerna","Seat lane")</x:f>
        <x:v>Seat lane</x:v>
      </x:c>
      <x:c r="AA885" s="12" t="str">
        <x:f>IF(R885="","no_claim_delta","claim_delta_present")</x:f>
        <x:v>no_claim_delta</x:v>
      </x:c>
      <x:c r="AB885" s="12" t="str">
        <x:f>IF(S885="","no_contradiction_delta","contradiction_delta_present")</x:f>
        <x:v>no_contradiction_delta</x:v>
      </x:c>
      <x:c r="AC885" s="12" t="str">
        <x:f>IF(OR(ISNUMBER(SEARCH("hacker",LOWER(F885&amp;" "&amp;H885&amp;" "&amp;I885&amp;" "&amp;M885&amp;" "&amp;N885&amp;" "&amp;T885))),ISNUMBER(SEARCH("hacking",LOWER(F885&amp;" "&amp;H885&amp;" "&amp;I885&amp;" "&amp;M885&amp;" "&amp;N885&amp;" "&amp;T885))),ISNUMBER(SEARCH("bank",LOWER(F885&amp;" "&amp;H885&amp;" "&amp;I885&amp;" "&amp;M885&amp;" "&amp;N885&amp;" "&amp;T885))),ISNUMBER(SEARCH("banking",LOWER(F885&amp;" "&amp;H885&amp;" "&amp;I885&amp;" "&amp;M885&amp;" "&amp;N885&amp;" "&amp;T885)))),"PRIVATE_QUARANTINE",IF(OR(ISNUMBER(SEARCH("treasury",LOWER(F885&amp;" "&amp;H885&amp;" "&amp;I885&amp;" "&amp;M885&amp;" "&amp;N885&amp;" "&amp;T885))),ISNUMBER(SEARCH("debt",LOWER(F885&amp;" "&amp;H885&amp;" "&amp;I885&amp;" "&amp;M885&amp;" "&amp;N885&amp;" "&amp;T885))),ISNUMBER(SEARCH("bond",LOWER(F885&amp;" "&amp;H885&amp;" "&amp;I885&amp;" "&amp;M885&amp;" "&amp;N885&amp;" "&amp;T885))),ISNUMBER(SEARCH("transaction",LOWER(F885&amp;" "&amp;H885&amp;" "&amp;I885&amp;" "&amp;M885&amp;" "&amp;N885&amp;" "&amp;T885)))),"PRIVATE_REVIEW","PUBLIC_CANDIDATE"))</x:f>
        <x:v>PUBLIC_CANDIDATE</x:v>
      </x:c>
      <x:c r="AD885" s="12" t="str">
        <x:f>IF(AC885="PRIVATE_QUARANTINE","hacker_or_bank_trigger",IF(AC885="PRIVATE_REVIEW","finance_risk_trigger","none"))</x:f>
        <x:v>none</x:v>
      </x:c>
      <x:c r="AE885" s="12" t="str">
        <x:f>IF(AC885="PUBLIC_CANDIDATE","prepare_public_github_candidate",IF(AC885="PRIVATE_REVIEW","hold_for_private_review","quarantine_private_do_not_publish"))</x:f>
        <x:v>prepare_public_github_candidate</x:v>
      </x:c>
      <x:c r="AF885" s="12" t="str">
        <x:f>IF(AC885="PUBLIC_CANDIDATE","TIDELOCK + Lucerna",IF(AC885="PRIVATE_REVIEW","AtlasBrain + Lucerna","TIDELOCK + Lucerna + Human-root"))</x:f>
        <x:v>TIDELOCK + Lucerna</x:v>
      </x:c>
      <x:c r="AG885" s="12" t="str">
        <x:f>IF(AND(AC885="PUBLIC_CANDIDATE",U885&lt;&gt;"BLOCKED_PENDING_RECEIPT"),"READY_AFTER_RECEIPT","NOT_READY")</x:f>
        <x:v>NOT_READY</x:v>
      </x:c>
      <x:c r="AH885" s="12" t="str">
        <x:f>IF(AC885="PUBLIC_CANDIDATE","none",AD885)</x:f>
        <x:v>none</x:v>
      </x:c>
      <x:c r="AI885" s="12" t="str">
        <x:f>IF(AC885="PUBLIC_CANDIDATE","archive/public_candidates/"&amp;A885,"private_quarantine/"&amp;A885)</x:f>
        <x:v>archive/public_candidates/SWARM-07-H02-S08</x:v>
      </x:c>
      <x:c r="AJ885" s="12" t="str">
        <x:f>IF(AC885="PUBLIC_CANDIDATE","public by default; still not canon","private/hold; do not publish")</x:f>
        <x:v>public by default; still not canon</x:v>
      </x:c>
      <x:c r="AK885" s="12" t="str">
        <x:f>IF(AE885="prepare_public_github_candidate","add receipt/status then mirror","resolve blocker before any public GitHub action")</x:f>
        <x:v>add receipt/status then mirror</x:v>
      </x:c>
    </x:row>
    <x:row r="886">
      <x:c r="A886" s="15" t="str">
        <x:v>SWARM-07-H02-S09</x:v>
      </x:c>
      <x:c r="B886" s="15" t="str">
        <x:v>Domechild</x:v>
      </x:c>
      <x:c r="C886" s="15" t="str">
        <x:v>Planetarium lane builder</x:v>
      </x:c>
      <x:c r="D886" s="15" t="str">
        <x:v>Receipt Verification</x:v>
      </x:c>
      <x:c r="E886" s="15" t="str">
        <x:v>Aetherforge</x:v>
      </x:c>
      <x:c r="F886" s="15" t="str">
        <x:v>Verify receipts for Aetherforge — Domechild</x:v>
      </x:c>
      <x:c r="G886" s="15" t="str">
        <x:v>planetarium source packets / civic-science deltas</x:v>
      </x:c>
      <x:c r="H886" s="15" t="str">
        <x:v>source path + receipt + raw/export status + claim/edge/risk delta</x:v>
      </x:c>
      <x:c r="I886" s="15" t="str">
        <x:v>packet/SWARM-07-H02-S09</x:v>
      </x:c>
      <x:c r="J886" s="15" t="str">
        <x:v>TODO</x:v>
      </x:c>
      <x:c r="K886" s="15" t="str">
        <x:v>P2</x:v>
      </x:c>
      <x:c r="L886" s="15" t="str">
        <x:v>Done only when evidence is logged, contradiction search is noted, and boundary stamp remains non-canon unless ratified</x:v>
      </x:c>
      <x:c r="M886" s="15" t="str">
        <x:v>candidate / staging-only / not canon / not deployed / authority none</x:v>
      </x:c>
      <x:c r="N886" s="15" t="str">
        <x:v>Dispatch to Domechild: complete Receipt Verification x Aetherforge; return deltas only, receipts required.</x:v>
      </x:c>
      <x:c r="O886" s="15" t="str">
        <x:v>AF-KG-H02-S09</x:v>
      </x:c>
      <x:c r="P886" s="15" t="str">
        <x:v>Unverified</x:v>
      </x:c>
      <x:c r="Q886" s="15" t="str">
        <x:v>Not checked</x:v>
      </x:c>
      <x:c r="R886" s="15" t="str"/>
      <x:c r="S886" s="15" t="str"/>
      <x:c r="T886" s="15" t="str">
        <x:v>Log first source path or blocker</x:v>
      </x:c>
      <x:c r="U886" s="12" t="str">
        <x:f>IF(OR(P886="Unverified",Q886="Not checked"),"BLOCKED_PENDING_RECEIPT","READY_FOR_REVIEW")</x:f>
        <x:v>BLOCKED_PENDING_RECEIPT</x:v>
      </x:c>
      <x:c r="V886" s="12" t="str">
        <x:f>IF(J886="DONE","RETURNED",IF(U886="BLOCKED_PENDING_RECEIPT","SOURCE_TOUCH_REQUIRED","IN_PROGRESS"))</x:f>
        <x:v>SOURCE_TOUCH_REQUIRED</x:v>
      </x:c>
      <x:c r="W886" s="12" t="str">
        <x:f>IF(P886="Unverified","missing_receipt","receipt_logged")</x:f>
        <x:v>missing_receipt</x:v>
      </x:c>
      <x:c r="X886" s="12" t="str">
        <x:f>IF(Q886="Not checked","raw_status_missing","raw_status_logged")</x:f>
        <x:v>raw_status_missing</x:v>
      </x:c>
      <x:c r="Y886" s="12" t="str">
        <x:f>IF(U886="BLOCKED_PENDING_RECEIPT","Log source path or blocker; do not promote","Route to review lane")</x:f>
        <x:v>Log source path or blocker; do not promote</x:v>
      </x:c>
      <x:c r="Z886" s="12" t="str">
        <x:f>IF(K886="P0","Primary seat + Hashlight/Lucerna","Seat lane")</x:f>
        <x:v>Seat lane</x:v>
      </x:c>
      <x:c r="AA886" s="12" t="str">
        <x:f>IF(R886="","no_claim_delta","claim_delta_present")</x:f>
        <x:v>no_claim_delta</x:v>
      </x:c>
      <x:c r="AB886" s="12" t="str">
        <x:f>IF(S886="","no_contradiction_delta","contradiction_delta_present")</x:f>
        <x:v>no_contradiction_delta</x:v>
      </x:c>
      <x:c r="AC886" s="12" t="str">
        <x:f>IF(OR(ISNUMBER(SEARCH("hacker",LOWER(F886&amp;" "&amp;H886&amp;" "&amp;I886&amp;" "&amp;M886&amp;" "&amp;N886&amp;" "&amp;T886))),ISNUMBER(SEARCH("hacking",LOWER(F886&amp;" "&amp;H886&amp;" "&amp;I886&amp;" "&amp;M886&amp;" "&amp;N886&amp;" "&amp;T886))),ISNUMBER(SEARCH("bank",LOWER(F886&amp;" "&amp;H886&amp;" "&amp;I886&amp;" "&amp;M886&amp;" "&amp;N886&amp;" "&amp;T886))),ISNUMBER(SEARCH("banking",LOWER(F886&amp;" "&amp;H886&amp;" "&amp;I886&amp;" "&amp;M886&amp;" "&amp;N886&amp;" "&amp;T886)))),"PRIVATE_QUARANTINE",IF(OR(ISNUMBER(SEARCH("treasury",LOWER(F886&amp;" "&amp;H886&amp;" "&amp;I886&amp;" "&amp;M886&amp;" "&amp;N886&amp;" "&amp;T886))),ISNUMBER(SEARCH("debt",LOWER(F886&amp;" "&amp;H886&amp;" "&amp;I886&amp;" "&amp;M886&amp;" "&amp;N886&amp;" "&amp;T886))),ISNUMBER(SEARCH("bond",LOWER(F886&amp;" "&amp;H886&amp;" "&amp;I886&amp;" "&amp;M886&amp;" "&amp;N886&amp;" "&amp;T886))),ISNUMBER(SEARCH("transaction",LOWER(F886&amp;" "&amp;H886&amp;" "&amp;I886&amp;" "&amp;M886&amp;" "&amp;N886&amp;" "&amp;T886)))),"PRIVATE_REVIEW","PUBLIC_CANDIDATE"))</x:f>
        <x:v>PUBLIC_CANDIDATE</x:v>
      </x:c>
      <x:c r="AD886" s="12" t="str">
        <x:f>IF(AC886="PRIVATE_QUARANTINE","hacker_or_bank_trigger",IF(AC886="PRIVATE_REVIEW","finance_risk_trigger","none"))</x:f>
        <x:v>none</x:v>
      </x:c>
      <x:c r="AE886" s="12" t="str">
        <x:f>IF(AC886="PUBLIC_CANDIDATE","prepare_public_github_candidate",IF(AC886="PRIVATE_REVIEW","hold_for_private_review","quarantine_private_do_not_publish"))</x:f>
        <x:v>prepare_public_github_candidate</x:v>
      </x:c>
      <x:c r="AF886" s="12" t="str">
        <x:f>IF(AC886="PUBLIC_CANDIDATE","TIDELOCK + Lucerna",IF(AC886="PRIVATE_REVIEW","AtlasBrain + Lucerna","TIDELOCK + Lucerna + Human-root"))</x:f>
        <x:v>TIDELOCK + Lucerna</x:v>
      </x:c>
      <x:c r="AG886" s="12" t="str">
        <x:f>IF(AND(AC886="PUBLIC_CANDIDATE",U886&lt;&gt;"BLOCKED_PENDING_RECEIPT"),"READY_AFTER_RECEIPT","NOT_READY")</x:f>
        <x:v>NOT_READY</x:v>
      </x:c>
      <x:c r="AH886" s="12" t="str">
        <x:f>IF(AC886="PUBLIC_CANDIDATE","none",AD886)</x:f>
        <x:v>none</x:v>
      </x:c>
      <x:c r="AI886" s="12" t="str">
        <x:f>IF(AC886="PUBLIC_CANDIDATE","archive/public_candidates/"&amp;A886,"private_quarantine/"&amp;A886)</x:f>
        <x:v>archive/public_candidates/SWARM-07-H02-S09</x:v>
      </x:c>
      <x:c r="AJ886" s="12" t="str">
        <x:f>IF(AC886="PUBLIC_CANDIDATE","public by default; still not canon","private/hold; do not publish")</x:f>
        <x:v>public by default; still not canon</x:v>
      </x:c>
      <x:c r="AK886" s="12" t="str">
        <x:f>IF(AE886="prepare_public_github_candidate","add receipt/status then mirror","resolve blocker before any public GitHub action")</x:f>
        <x:v>add receipt/status then mirror</x:v>
      </x:c>
    </x:row>
    <x:row r="887">
      <x:c r="A887" s="15" t="str">
        <x:v>SWARM-07-H02-S10</x:v>
      </x:c>
      <x:c r="B887" s="15" t="str">
        <x:v>Domechild</x:v>
      </x:c>
      <x:c r="C887" s="15" t="str">
        <x:v>Planetarium lane builder</x:v>
      </x:c>
      <x:c r="D887" s="15" t="str">
        <x:v>Receipt Verification</x:v>
      </x:c>
      <x:c r="E887" s="15" t="str">
        <x:v>Human-Root</x:v>
      </x:c>
      <x:c r="F887" s="15" t="str">
        <x:v>Verify receipts for Human-Root — Domechild</x:v>
      </x:c>
      <x:c r="G887" s="15" t="str">
        <x:v>planetarium source packets / civic-science deltas</x:v>
      </x:c>
      <x:c r="H887" s="15" t="str">
        <x:v>source path + receipt + raw/export status + claim/edge/risk delta</x:v>
      </x:c>
      <x:c r="I887" s="15" t="str">
        <x:v>packet/SWARM-07-H02-S10</x:v>
      </x:c>
      <x:c r="J887" s="15" t="str">
        <x:v>TODO</x:v>
      </x:c>
      <x:c r="K887" s="15" t="str">
        <x:v>P2</x:v>
      </x:c>
      <x:c r="L887" s="15" t="str">
        <x:v>Done only when evidence is logged, contradiction search is noted, and boundary stamp remains non-canon unless ratified</x:v>
      </x:c>
      <x:c r="M887" s="15" t="str">
        <x:v>candidate / staging-only / not canon / not deployed / authority none</x:v>
      </x:c>
      <x:c r="N887" s="15" t="str">
        <x:v>Dispatch to Domechild: complete Receipt Verification x Human-Root; return deltas only, receipts required.</x:v>
      </x:c>
      <x:c r="O887" s="15" t="str">
        <x:v>AF-KG-H02-S10</x:v>
      </x:c>
      <x:c r="P887" s="15" t="str">
        <x:v>Unverified</x:v>
      </x:c>
      <x:c r="Q887" s="15" t="str">
        <x:v>Not checked</x:v>
      </x:c>
      <x:c r="R887" s="15" t="str"/>
      <x:c r="S887" s="15" t="str"/>
      <x:c r="T887" s="15" t="str">
        <x:v>Log first source path or blocker</x:v>
      </x:c>
      <x:c r="U887" s="12" t="str">
        <x:f>IF(OR(P887="Unverified",Q887="Not checked"),"BLOCKED_PENDING_RECEIPT","READY_FOR_REVIEW")</x:f>
        <x:v>BLOCKED_PENDING_RECEIPT</x:v>
      </x:c>
      <x:c r="V887" s="12" t="str">
        <x:f>IF(J887="DONE","RETURNED",IF(U887="BLOCKED_PENDING_RECEIPT","SOURCE_TOUCH_REQUIRED","IN_PROGRESS"))</x:f>
        <x:v>SOURCE_TOUCH_REQUIRED</x:v>
      </x:c>
      <x:c r="W887" s="12" t="str">
        <x:f>IF(P887="Unverified","missing_receipt","receipt_logged")</x:f>
        <x:v>missing_receipt</x:v>
      </x:c>
      <x:c r="X887" s="12" t="str">
        <x:f>IF(Q887="Not checked","raw_status_missing","raw_status_logged")</x:f>
        <x:v>raw_status_missing</x:v>
      </x:c>
      <x:c r="Y887" s="12" t="str">
        <x:f>IF(U887="BLOCKED_PENDING_RECEIPT","Log source path or blocker; do not promote","Route to review lane")</x:f>
        <x:v>Log source path or blocker; do not promote</x:v>
      </x:c>
      <x:c r="Z887" s="12" t="str">
        <x:f>IF(K887="P0","Primary seat + Hashlight/Lucerna","Seat lane")</x:f>
        <x:v>Seat lane</x:v>
      </x:c>
      <x:c r="AA887" s="12" t="str">
        <x:f>IF(R887="","no_claim_delta","claim_delta_present")</x:f>
        <x:v>no_claim_delta</x:v>
      </x:c>
      <x:c r="AB887" s="12" t="str">
        <x:f>IF(S887="","no_contradiction_delta","contradiction_delta_present")</x:f>
        <x:v>no_contradiction_delta</x:v>
      </x:c>
      <x:c r="AC887" s="12" t="str">
        <x:f>IF(OR(ISNUMBER(SEARCH("hacker",LOWER(F887&amp;" "&amp;H887&amp;" "&amp;I887&amp;" "&amp;M887&amp;" "&amp;N887&amp;" "&amp;T887))),ISNUMBER(SEARCH("hacking",LOWER(F887&amp;" "&amp;H887&amp;" "&amp;I887&amp;" "&amp;M887&amp;" "&amp;N887&amp;" "&amp;T887))),ISNUMBER(SEARCH("bank",LOWER(F887&amp;" "&amp;H887&amp;" "&amp;I887&amp;" "&amp;M887&amp;" "&amp;N887&amp;" "&amp;T887))),ISNUMBER(SEARCH("banking",LOWER(F887&amp;" "&amp;H887&amp;" "&amp;I887&amp;" "&amp;M887&amp;" "&amp;N887&amp;" "&amp;T887)))),"PRIVATE_QUARANTINE",IF(OR(ISNUMBER(SEARCH("treasury",LOWER(F887&amp;" "&amp;H887&amp;" "&amp;I887&amp;" "&amp;M887&amp;" "&amp;N887&amp;" "&amp;T887))),ISNUMBER(SEARCH("debt",LOWER(F887&amp;" "&amp;H887&amp;" "&amp;I887&amp;" "&amp;M887&amp;" "&amp;N887&amp;" "&amp;T887))),ISNUMBER(SEARCH("bond",LOWER(F887&amp;" "&amp;H887&amp;" "&amp;I887&amp;" "&amp;M887&amp;" "&amp;N887&amp;" "&amp;T887))),ISNUMBER(SEARCH("transaction",LOWER(F887&amp;" "&amp;H887&amp;" "&amp;I887&amp;" "&amp;M887&amp;" "&amp;N887&amp;" "&amp;T887)))),"PRIVATE_REVIEW","PUBLIC_CANDIDATE"))</x:f>
        <x:v>PUBLIC_CANDIDATE</x:v>
      </x:c>
      <x:c r="AD887" s="12" t="str">
        <x:f>IF(AC887="PRIVATE_QUARANTINE","hacker_or_bank_trigger",IF(AC887="PRIVATE_REVIEW","finance_risk_trigger","none"))</x:f>
        <x:v>none</x:v>
      </x:c>
      <x:c r="AE887" s="12" t="str">
        <x:f>IF(AC887="PUBLIC_CANDIDATE","prepare_public_github_candidate",IF(AC887="PRIVATE_REVIEW","hold_for_private_review","quarantine_private_do_not_publish"))</x:f>
        <x:v>prepare_public_github_candidate</x:v>
      </x:c>
      <x:c r="AF887" s="12" t="str">
        <x:f>IF(AC887="PUBLIC_CANDIDATE","TIDELOCK + Lucerna",IF(AC887="PRIVATE_REVIEW","AtlasBrain + Lucerna","TIDELOCK + Lucerna + Human-root"))</x:f>
        <x:v>TIDELOCK + Lucerna</x:v>
      </x:c>
      <x:c r="AG887" s="12" t="str">
        <x:f>IF(AND(AC887="PUBLIC_CANDIDATE",U887&lt;&gt;"BLOCKED_PENDING_RECEIPT"),"READY_AFTER_RECEIPT","NOT_READY")</x:f>
        <x:v>NOT_READY</x:v>
      </x:c>
      <x:c r="AH887" s="12" t="str">
        <x:f>IF(AC887="PUBLIC_CANDIDATE","none",AD887)</x:f>
        <x:v>none</x:v>
      </x:c>
      <x:c r="AI887" s="12" t="str">
        <x:f>IF(AC887="PUBLIC_CANDIDATE","archive/public_candidates/"&amp;A887,"private_quarantine/"&amp;A887)</x:f>
        <x:v>archive/public_candidates/SWARM-07-H02-S10</x:v>
      </x:c>
      <x:c r="AJ887" s="12" t="str">
        <x:f>IF(AC887="PUBLIC_CANDIDATE","public by default; still not canon","private/hold; do not publish")</x:f>
        <x:v>public by default; still not canon</x:v>
      </x:c>
      <x:c r="AK887" s="12" t="str">
        <x:f>IF(AE887="prepare_public_github_candidate","add receipt/status then mirror","resolve blocker before any public GitHub action")</x:f>
        <x:v>add receipt/status then mirror</x:v>
      </x:c>
    </x:row>
    <x:row r="888">
      <x:c r="A888" s="15" t="str">
        <x:v>SWARM-07-H02-S11</x:v>
      </x:c>
      <x:c r="B888" s="15" t="str">
        <x:v>Domechild</x:v>
      </x:c>
      <x:c r="C888" s="15" t="str">
        <x:v>Planetarium lane builder</x:v>
      </x:c>
      <x:c r="D888" s="15" t="str">
        <x:v>Receipt Verification</x:v>
      </x:c>
      <x:c r="E888" s="15" t="str">
        <x:v>Automation</x:v>
      </x:c>
      <x:c r="F888" s="15" t="str">
        <x:v>Verify receipts for Automation — Domechild</x:v>
      </x:c>
      <x:c r="G888" s="15" t="str">
        <x:v>planetarium source packets / civic-science deltas</x:v>
      </x:c>
      <x:c r="H888" s="15" t="str">
        <x:v>source path + receipt + raw/export status + claim/edge/risk delta</x:v>
      </x:c>
      <x:c r="I888" s="15" t="str">
        <x:v>packet/SWARM-07-H02-S11</x:v>
      </x:c>
      <x:c r="J888" s="15" t="str">
        <x:v>TODO</x:v>
      </x:c>
      <x:c r="K888" s="15" t="str">
        <x:v>P2</x:v>
      </x:c>
      <x:c r="L888" s="15" t="str">
        <x:v>Done only when evidence is logged, contradiction search is noted, and boundary stamp remains non-canon unless ratified</x:v>
      </x:c>
      <x:c r="M888" s="15" t="str">
        <x:v>candidate / staging-only / not canon / not deployed / authority none</x:v>
      </x:c>
      <x:c r="N888" s="15" t="str">
        <x:v>Dispatch to Domechild: complete Receipt Verification x Automation; return deltas only, receipts required.</x:v>
      </x:c>
      <x:c r="O888" s="15" t="str">
        <x:v>AF-KG-H02-S11</x:v>
      </x:c>
      <x:c r="P888" s="15" t="str">
        <x:v>Unverified</x:v>
      </x:c>
      <x:c r="Q888" s="15" t="str">
        <x:v>Not checked</x:v>
      </x:c>
      <x:c r="R888" s="15" t="str"/>
      <x:c r="S888" s="15" t="str"/>
      <x:c r="T888" s="15" t="str">
        <x:v>Log first source path or blocker</x:v>
      </x:c>
      <x:c r="U888" s="12" t="str">
        <x:f>IF(OR(P888="Unverified",Q888="Not checked"),"BLOCKED_PENDING_RECEIPT","READY_FOR_REVIEW")</x:f>
        <x:v>BLOCKED_PENDING_RECEIPT</x:v>
      </x:c>
      <x:c r="V888" s="12" t="str">
        <x:f>IF(J888="DONE","RETURNED",IF(U888="BLOCKED_PENDING_RECEIPT","SOURCE_TOUCH_REQUIRED","IN_PROGRESS"))</x:f>
        <x:v>SOURCE_TOUCH_REQUIRED</x:v>
      </x:c>
      <x:c r="W888" s="12" t="str">
        <x:f>IF(P888="Unverified","missing_receipt","receipt_logged")</x:f>
        <x:v>missing_receipt</x:v>
      </x:c>
      <x:c r="X888" s="12" t="str">
        <x:f>IF(Q888="Not checked","raw_status_missing","raw_status_logged")</x:f>
        <x:v>raw_status_missing</x:v>
      </x:c>
      <x:c r="Y888" s="12" t="str">
        <x:f>IF(U888="BLOCKED_PENDING_RECEIPT","Log source path or blocker; do not promote","Route to review lane")</x:f>
        <x:v>Log source path or blocker; do not promote</x:v>
      </x:c>
      <x:c r="Z888" s="12" t="str">
        <x:f>IF(K888="P0","Primary seat + Hashlight/Lucerna","Seat lane")</x:f>
        <x:v>Seat lane</x:v>
      </x:c>
      <x:c r="AA888" s="12" t="str">
        <x:f>IF(R888="","no_claim_delta","claim_delta_present")</x:f>
        <x:v>no_claim_delta</x:v>
      </x:c>
      <x:c r="AB888" s="12" t="str">
        <x:f>IF(S888="","no_contradiction_delta","contradiction_delta_present")</x:f>
        <x:v>no_contradiction_delta</x:v>
      </x:c>
      <x:c r="AC888" s="12" t="str">
        <x:f>IF(OR(ISNUMBER(SEARCH("hacker",LOWER(F888&amp;" "&amp;H888&amp;" "&amp;I888&amp;" "&amp;M888&amp;" "&amp;N888&amp;" "&amp;T888))),ISNUMBER(SEARCH("hacking",LOWER(F888&amp;" "&amp;H888&amp;" "&amp;I888&amp;" "&amp;M888&amp;" "&amp;N888&amp;" "&amp;T888))),ISNUMBER(SEARCH("bank",LOWER(F888&amp;" "&amp;H888&amp;" "&amp;I888&amp;" "&amp;M888&amp;" "&amp;N888&amp;" "&amp;T888))),ISNUMBER(SEARCH("banking",LOWER(F888&amp;" "&amp;H888&amp;" "&amp;I888&amp;" "&amp;M888&amp;" "&amp;N888&amp;" "&amp;T888)))),"PRIVATE_QUARANTINE",IF(OR(ISNUMBER(SEARCH("treasury",LOWER(F888&amp;" "&amp;H888&amp;" "&amp;I888&amp;" "&amp;M888&amp;" "&amp;N888&amp;" "&amp;T888))),ISNUMBER(SEARCH("debt",LOWER(F888&amp;" "&amp;H888&amp;" "&amp;I888&amp;" "&amp;M888&amp;" "&amp;N888&amp;" "&amp;T888))),ISNUMBER(SEARCH("bond",LOWER(F888&amp;" "&amp;H888&amp;" "&amp;I888&amp;" "&amp;M888&amp;" "&amp;N888&amp;" "&amp;T888))),ISNUMBER(SEARCH("transaction",LOWER(F888&amp;" "&amp;H888&amp;" "&amp;I888&amp;" "&amp;M888&amp;" "&amp;N888&amp;" "&amp;T888)))),"PRIVATE_REVIEW","PUBLIC_CANDIDATE"))</x:f>
        <x:v>PUBLIC_CANDIDATE</x:v>
      </x:c>
      <x:c r="AD888" s="12" t="str">
        <x:f>IF(AC888="PRIVATE_QUARANTINE","hacker_or_bank_trigger",IF(AC888="PRIVATE_REVIEW","finance_risk_trigger","none"))</x:f>
        <x:v>none</x:v>
      </x:c>
      <x:c r="AE888" s="12" t="str">
        <x:f>IF(AC888="PUBLIC_CANDIDATE","prepare_public_github_candidate",IF(AC888="PRIVATE_REVIEW","hold_for_private_review","quarantine_private_do_not_publish"))</x:f>
        <x:v>prepare_public_github_candidate</x:v>
      </x:c>
      <x:c r="AF888" s="12" t="str">
        <x:f>IF(AC888="PUBLIC_CANDIDATE","TIDELOCK + Lucerna",IF(AC888="PRIVATE_REVIEW","AtlasBrain + Lucerna","TIDELOCK + Lucerna + Human-root"))</x:f>
        <x:v>TIDELOCK + Lucerna</x:v>
      </x:c>
      <x:c r="AG888" s="12" t="str">
        <x:f>IF(AND(AC888="PUBLIC_CANDIDATE",U888&lt;&gt;"BLOCKED_PENDING_RECEIPT"),"READY_AFTER_RECEIPT","NOT_READY")</x:f>
        <x:v>NOT_READY</x:v>
      </x:c>
      <x:c r="AH888" s="12" t="str">
        <x:f>IF(AC888="PUBLIC_CANDIDATE","none",AD888)</x:f>
        <x:v>none</x:v>
      </x:c>
      <x:c r="AI888" s="12" t="str">
        <x:f>IF(AC888="PUBLIC_CANDIDATE","archive/public_candidates/"&amp;A888,"private_quarantine/"&amp;A888)</x:f>
        <x:v>archive/public_candidates/SWARM-07-H02-S11</x:v>
      </x:c>
      <x:c r="AJ888" s="12" t="str">
        <x:f>IF(AC888="PUBLIC_CANDIDATE","public by default; still not canon","private/hold; do not publish")</x:f>
        <x:v>public by default; still not canon</x:v>
      </x:c>
      <x:c r="AK888" s="12" t="str">
        <x:f>IF(AE888="prepare_public_github_candidate","add receipt/status then mirror","resolve blocker before any public GitHub action")</x:f>
        <x:v>add receipt/status then mirror</x:v>
      </x:c>
    </x:row>
    <x:row r="889">
      <x:c r="A889" s="15" t="str">
        <x:v>SWARM-07-H02-S12</x:v>
      </x:c>
      <x:c r="B889" s="15" t="str">
        <x:v>Domechild</x:v>
      </x:c>
      <x:c r="C889" s="15" t="str">
        <x:v>Planetarium lane builder</x:v>
      </x:c>
      <x:c r="D889" s="15" t="str">
        <x:v>Receipt Verification</x:v>
      </x:c>
      <x:c r="E889" s="15" t="str">
        <x:v>Risk / Safety</x:v>
      </x:c>
      <x:c r="F889" s="15" t="str">
        <x:v>Verify receipts for Risk / Safety — Domechild</x:v>
      </x:c>
      <x:c r="G889" s="15" t="str">
        <x:v>planetarium source packets / civic-science deltas</x:v>
      </x:c>
      <x:c r="H889" s="15" t="str">
        <x:v>source path + receipt + raw/export status + claim/edge/risk delta</x:v>
      </x:c>
      <x:c r="I889" s="15" t="str">
        <x:v>packet/SWARM-07-H02-S12</x:v>
      </x:c>
      <x:c r="J889" s="15" t="str">
        <x:v>TODO</x:v>
      </x:c>
      <x:c r="K889" s="15" t="str">
        <x:v>P2</x:v>
      </x:c>
      <x:c r="L889" s="15" t="str">
        <x:v>Done only when evidence is logged, contradiction search is noted, and boundary stamp remains non-canon unless ratified</x:v>
      </x:c>
      <x:c r="M889" s="15" t="str">
        <x:v>candidate / staging-only / not canon / not deployed / authority none</x:v>
      </x:c>
      <x:c r="N889" s="15" t="str">
        <x:v>Dispatch to Domechild: complete Receipt Verification x Risk / Safety; return deltas only, receipts required.</x:v>
      </x:c>
      <x:c r="O889" s="15" t="str">
        <x:v>AF-KG-H02-S12</x:v>
      </x:c>
      <x:c r="P889" s="15" t="str">
        <x:v>Unverified</x:v>
      </x:c>
      <x:c r="Q889" s="15" t="str">
        <x:v>Not checked</x:v>
      </x:c>
      <x:c r="R889" s="15" t="str"/>
      <x:c r="S889" s="15" t="str"/>
      <x:c r="T889" s="15" t="str">
        <x:v>Log first source path or blocker</x:v>
      </x:c>
      <x:c r="U889" s="12" t="str">
        <x:f>IF(OR(P889="Unverified",Q889="Not checked"),"BLOCKED_PENDING_RECEIPT","READY_FOR_REVIEW")</x:f>
        <x:v>BLOCKED_PENDING_RECEIPT</x:v>
      </x:c>
      <x:c r="V889" s="12" t="str">
        <x:f>IF(J889="DONE","RETURNED",IF(U889="BLOCKED_PENDING_RECEIPT","SOURCE_TOUCH_REQUIRED","IN_PROGRESS"))</x:f>
        <x:v>SOURCE_TOUCH_REQUIRED</x:v>
      </x:c>
      <x:c r="W889" s="12" t="str">
        <x:f>IF(P889="Unverified","missing_receipt","receipt_logged")</x:f>
        <x:v>missing_receipt</x:v>
      </x:c>
      <x:c r="X889" s="12" t="str">
        <x:f>IF(Q889="Not checked","raw_status_missing","raw_status_logged")</x:f>
        <x:v>raw_status_missing</x:v>
      </x:c>
      <x:c r="Y889" s="12" t="str">
        <x:f>IF(U889="BLOCKED_PENDING_RECEIPT","Log source path or blocker; do not promote","Route to review lane")</x:f>
        <x:v>Log source path or blocker; do not promote</x:v>
      </x:c>
      <x:c r="Z889" s="12" t="str">
        <x:f>IF(K889="P0","Primary seat + Hashlight/Lucerna","Seat lane")</x:f>
        <x:v>Seat lane</x:v>
      </x:c>
      <x:c r="AA889" s="12" t="str">
        <x:f>IF(R889="","no_claim_delta","claim_delta_present")</x:f>
        <x:v>no_claim_delta</x:v>
      </x:c>
      <x:c r="AB889" s="12" t="str">
        <x:f>IF(S889="","no_contradiction_delta","contradiction_delta_present")</x:f>
        <x:v>no_contradiction_delta</x:v>
      </x:c>
      <x:c r="AC889" s="12" t="str">
        <x:f>IF(OR(ISNUMBER(SEARCH("hacker",LOWER(F889&amp;" "&amp;H889&amp;" "&amp;I889&amp;" "&amp;M889&amp;" "&amp;N889&amp;" "&amp;T889))),ISNUMBER(SEARCH("hacking",LOWER(F889&amp;" "&amp;H889&amp;" "&amp;I889&amp;" "&amp;M889&amp;" "&amp;N889&amp;" "&amp;T889))),ISNUMBER(SEARCH("bank",LOWER(F889&amp;" "&amp;H889&amp;" "&amp;I889&amp;" "&amp;M889&amp;" "&amp;N889&amp;" "&amp;T889))),ISNUMBER(SEARCH("banking",LOWER(F889&amp;" "&amp;H889&amp;" "&amp;I889&amp;" "&amp;M889&amp;" "&amp;N889&amp;" "&amp;T889)))),"PRIVATE_QUARANTINE",IF(OR(ISNUMBER(SEARCH("treasury",LOWER(F889&amp;" "&amp;H889&amp;" "&amp;I889&amp;" "&amp;M889&amp;" "&amp;N889&amp;" "&amp;T889))),ISNUMBER(SEARCH("debt",LOWER(F889&amp;" "&amp;H889&amp;" "&amp;I889&amp;" "&amp;M889&amp;" "&amp;N889&amp;" "&amp;T889))),ISNUMBER(SEARCH("bond",LOWER(F889&amp;" "&amp;H889&amp;" "&amp;I889&amp;" "&amp;M889&amp;" "&amp;N889&amp;" "&amp;T889))),ISNUMBER(SEARCH("transaction",LOWER(F889&amp;" "&amp;H889&amp;" "&amp;I889&amp;" "&amp;M889&amp;" "&amp;N889&amp;" "&amp;T889)))),"PRIVATE_REVIEW","PUBLIC_CANDIDATE"))</x:f>
        <x:v>PUBLIC_CANDIDATE</x:v>
      </x:c>
      <x:c r="AD889" s="12" t="str">
        <x:f>IF(AC889="PRIVATE_QUARANTINE","hacker_or_bank_trigger",IF(AC889="PRIVATE_REVIEW","finance_risk_trigger","none"))</x:f>
        <x:v>none</x:v>
      </x:c>
      <x:c r="AE889" s="12" t="str">
        <x:f>IF(AC889="PUBLIC_CANDIDATE","prepare_public_github_candidate",IF(AC889="PRIVATE_REVIEW","hold_for_private_review","quarantine_private_do_not_publish"))</x:f>
        <x:v>prepare_public_github_candidate</x:v>
      </x:c>
      <x:c r="AF889" s="12" t="str">
        <x:f>IF(AC889="PUBLIC_CANDIDATE","TIDELOCK + Lucerna",IF(AC889="PRIVATE_REVIEW","AtlasBrain + Lucerna","TIDELOCK + Lucerna + Human-root"))</x:f>
        <x:v>TIDELOCK + Lucerna</x:v>
      </x:c>
      <x:c r="AG889" s="12" t="str">
        <x:f>IF(AND(AC889="PUBLIC_CANDIDATE",U889&lt;&gt;"BLOCKED_PENDING_RECEIPT"),"READY_AFTER_RECEIPT","NOT_READY")</x:f>
        <x:v>NOT_READY</x:v>
      </x:c>
      <x:c r="AH889" s="12" t="str">
        <x:f>IF(AC889="PUBLIC_CANDIDATE","none",AD889)</x:f>
        <x:v>none</x:v>
      </x:c>
      <x:c r="AI889" s="12" t="str">
        <x:f>IF(AC889="PUBLIC_CANDIDATE","archive/public_candidates/"&amp;A889,"private_quarantine/"&amp;A889)</x:f>
        <x:v>archive/public_candidates/SWARM-07-H02-S12</x:v>
      </x:c>
      <x:c r="AJ889" s="12" t="str">
        <x:f>IF(AC889="PUBLIC_CANDIDATE","public by default; still not canon","private/hold; do not publish")</x:f>
        <x:v>public by default; still not canon</x:v>
      </x:c>
      <x:c r="AK889" s="12" t="str">
        <x:f>IF(AE889="prepare_public_github_candidate","add receipt/status then mirror","resolve blocker before any public GitHub action")</x:f>
        <x:v>add receipt/status then mirror</x:v>
      </x:c>
    </x:row>
    <x:row r="890">
      <x:c r="A890" s="15" t="str">
        <x:v>SWARM-07-H03-S01</x:v>
      </x:c>
      <x:c r="B890" s="15" t="str">
        <x:v>Domechild</x:v>
      </x:c>
      <x:c r="C890" s="15" t="str">
        <x:v>Planetarium lane builder</x:v>
      </x:c>
      <x:c r="D890" s="15" t="str">
        <x:v>Raw Export Recovery</x:v>
      </x:c>
      <x:c r="E890" s="15" t="str">
        <x:v>Notion</x:v>
      </x:c>
      <x:c r="F890" s="15" t="str">
        <x:v>Recover raw exports for Notion — Domechild</x:v>
      </x:c>
      <x:c r="G890" s="15" t="str">
        <x:v>planetarium source packets / civic-science deltas</x:v>
      </x:c>
      <x:c r="H890" s="15" t="str">
        <x:v>source path + receipt + raw/export status + claim/edge/risk delta</x:v>
      </x:c>
      <x:c r="I890" s="15" t="str">
        <x:v>packet/SWARM-07-H03-S01</x:v>
      </x:c>
      <x:c r="J890" s="15" t="str">
        <x:v>TODO</x:v>
      </x:c>
      <x:c r="K890" s="15" t="str">
        <x:v>P0</x:v>
      </x:c>
      <x:c r="L890" s="15" t="str">
        <x:v>Done only when evidence is logged, contradiction search is noted, and boundary stamp remains non-canon unless ratified</x:v>
      </x:c>
      <x:c r="M890" s="15" t="str">
        <x:v>candidate / staging-only / not canon / not deployed / authority none</x:v>
      </x:c>
      <x:c r="N890" s="15" t="str">
        <x:v>Dispatch to Domechild: complete Raw Export Recovery x Notion; return deltas only, receipts required.</x:v>
      </x:c>
      <x:c r="O890" s="15" t="str">
        <x:v>AF-KG-H03-S01</x:v>
      </x:c>
      <x:c r="P890" s="15" t="str">
        <x:v>Unverified</x:v>
      </x:c>
      <x:c r="Q890" s="15" t="str">
        <x:v>Not checked</x:v>
      </x:c>
      <x:c r="R890" s="15" t="str"/>
      <x:c r="S890" s="15" t="str"/>
      <x:c r="T890" s="15" t="str">
        <x:v>Log first source path or blocker</x:v>
      </x:c>
      <x:c r="U890" s="12" t="str">
        <x:f>IF(OR(P890="Unverified",Q890="Not checked"),"BLOCKED_PENDING_RECEIPT","READY_FOR_REVIEW")</x:f>
        <x:v>BLOCKED_PENDING_RECEIPT</x:v>
      </x:c>
      <x:c r="V890" s="12" t="str">
        <x:f>IF(J890="DONE","RETURNED",IF(U890="BLOCKED_PENDING_RECEIPT","SOURCE_TOUCH_REQUIRED","IN_PROGRESS"))</x:f>
        <x:v>SOURCE_TOUCH_REQUIRED</x:v>
      </x:c>
      <x:c r="W890" s="12" t="str">
        <x:f>IF(P890="Unverified","missing_receipt","receipt_logged")</x:f>
        <x:v>missing_receipt</x:v>
      </x:c>
      <x:c r="X890" s="12" t="str">
        <x:f>IF(Q890="Not checked","raw_status_missing","raw_status_logged")</x:f>
        <x:v>raw_status_missing</x:v>
      </x:c>
      <x:c r="Y890" s="12" t="str">
        <x:f>IF(U890="BLOCKED_PENDING_RECEIPT","Log source path or blocker; do not promote","Route to review lane")</x:f>
        <x:v>Log source path or blocker; do not promote</x:v>
      </x:c>
      <x:c r="Z890" s="12" t="str">
        <x:f>IF(K890="P0","Primary seat + Hashlight/Lucerna","Seat lane")</x:f>
        <x:v>Primary seat + Hashlight/Lucerna</x:v>
      </x:c>
      <x:c r="AA890" s="12" t="str">
        <x:f>IF(R890="","no_claim_delta","claim_delta_present")</x:f>
        <x:v>no_claim_delta</x:v>
      </x:c>
      <x:c r="AB890" s="12" t="str">
        <x:f>IF(S890="","no_contradiction_delta","contradiction_delta_present")</x:f>
        <x:v>no_contradiction_delta</x:v>
      </x:c>
      <x:c r="AC890" s="12" t="str">
        <x:f>IF(OR(ISNUMBER(SEARCH("hacker",LOWER(F890&amp;" "&amp;H890&amp;" "&amp;I890&amp;" "&amp;M890&amp;" "&amp;N890&amp;" "&amp;T890))),ISNUMBER(SEARCH("hacking",LOWER(F890&amp;" "&amp;H890&amp;" "&amp;I890&amp;" "&amp;M890&amp;" "&amp;N890&amp;" "&amp;T890))),ISNUMBER(SEARCH("bank",LOWER(F890&amp;" "&amp;H890&amp;" "&amp;I890&amp;" "&amp;M890&amp;" "&amp;N890&amp;" "&amp;T890))),ISNUMBER(SEARCH("banking",LOWER(F890&amp;" "&amp;H890&amp;" "&amp;I890&amp;" "&amp;M890&amp;" "&amp;N890&amp;" "&amp;T890)))),"PRIVATE_QUARANTINE",IF(OR(ISNUMBER(SEARCH("treasury",LOWER(F890&amp;" "&amp;H890&amp;" "&amp;I890&amp;" "&amp;M890&amp;" "&amp;N890&amp;" "&amp;T890))),ISNUMBER(SEARCH("debt",LOWER(F890&amp;" "&amp;H890&amp;" "&amp;I890&amp;" "&amp;M890&amp;" "&amp;N890&amp;" "&amp;T890))),ISNUMBER(SEARCH("bond",LOWER(F890&amp;" "&amp;H890&amp;" "&amp;I890&amp;" "&amp;M890&amp;" "&amp;N890&amp;" "&amp;T890))),ISNUMBER(SEARCH("transaction",LOWER(F890&amp;" "&amp;H890&amp;" "&amp;I890&amp;" "&amp;M890&amp;" "&amp;N890&amp;" "&amp;T890)))),"PRIVATE_REVIEW","PUBLIC_CANDIDATE"))</x:f>
        <x:v>PUBLIC_CANDIDATE</x:v>
      </x:c>
      <x:c r="AD890" s="12" t="str">
        <x:f>IF(AC890="PRIVATE_QUARANTINE","hacker_or_bank_trigger",IF(AC890="PRIVATE_REVIEW","finance_risk_trigger","none"))</x:f>
        <x:v>none</x:v>
      </x:c>
      <x:c r="AE890" s="12" t="str">
        <x:f>IF(AC890="PUBLIC_CANDIDATE","prepare_public_github_candidate",IF(AC890="PRIVATE_REVIEW","hold_for_private_review","quarantine_private_do_not_publish"))</x:f>
        <x:v>prepare_public_github_candidate</x:v>
      </x:c>
      <x:c r="AF890" s="12" t="str">
        <x:f>IF(AC890="PUBLIC_CANDIDATE","TIDELOCK + Lucerna",IF(AC890="PRIVATE_REVIEW","AtlasBrain + Lucerna","TIDELOCK + Lucerna + Human-root"))</x:f>
        <x:v>TIDELOCK + Lucerna</x:v>
      </x:c>
      <x:c r="AG890" s="12" t="str">
        <x:f>IF(AND(AC890="PUBLIC_CANDIDATE",U890&lt;&gt;"BLOCKED_PENDING_RECEIPT"),"READY_AFTER_RECEIPT","NOT_READY")</x:f>
        <x:v>NOT_READY</x:v>
      </x:c>
      <x:c r="AH890" s="12" t="str">
        <x:f>IF(AC890="PUBLIC_CANDIDATE","none",AD890)</x:f>
        <x:v>none</x:v>
      </x:c>
      <x:c r="AI890" s="12" t="str">
        <x:f>IF(AC890="PUBLIC_CANDIDATE","archive/public_candidates/"&amp;A890,"private_quarantine/"&amp;A890)</x:f>
        <x:v>archive/public_candidates/SWARM-07-H03-S01</x:v>
      </x:c>
      <x:c r="AJ890" s="12" t="str">
        <x:f>IF(AC890="PUBLIC_CANDIDATE","public by default; still not canon","private/hold; do not publish")</x:f>
        <x:v>public by default; still not canon</x:v>
      </x:c>
      <x:c r="AK890" s="12" t="str">
        <x:f>IF(AE890="prepare_public_github_candidate","add receipt/status then mirror","resolve blocker before any public GitHub action")</x:f>
        <x:v>add receipt/status then mirror</x:v>
      </x:c>
    </x:row>
    <x:row r="891">
      <x:c r="A891" s="15" t="str">
        <x:v>SWARM-07-H03-S02</x:v>
      </x:c>
      <x:c r="B891" s="15" t="str">
        <x:v>Domechild</x:v>
      </x:c>
      <x:c r="C891" s="15" t="str">
        <x:v>Planetarium lane builder</x:v>
      </x:c>
      <x:c r="D891" s="15" t="str">
        <x:v>Raw Export Recovery</x:v>
      </x:c>
      <x:c r="E891" s="15" t="str">
        <x:v>Drive</x:v>
      </x:c>
      <x:c r="F891" s="15" t="str">
        <x:v>Recover raw exports for Drive — Domechild</x:v>
      </x:c>
      <x:c r="G891" s="15" t="str">
        <x:v>planetarium source packets / civic-science deltas</x:v>
      </x:c>
      <x:c r="H891" s="15" t="str">
        <x:v>source path + receipt + raw/export status + claim/edge/risk delta</x:v>
      </x:c>
      <x:c r="I891" s="15" t="str">
        <x:v>packet/SWARM-07-H03-S02</x:v>
      </x:c>
      <x:c r="J891" s="15" t="str">
        <x:v>TODO</x:v>
      </x:c>
      <x:c r="K891" s="15" t="str">
        <x:v>P0</x:v>
      </x:c>
      <x:c r="L891" s="15" t="str">
        <x:v>Done only when evidence is logged, contradiction search is noted, and boundary stamp remains non-canon unless ratified</x:v>
      </x:c>
      <x:c r="M891" s="15" t="str">
        <x:v>candidate / staging-only / not canon / not deployed / authority none</x:v>
      </x:c>
      <x:c r="N891" s="15" t="str">
        <x:v>Dispatch to Domechild: complete Raw Export Recovery x Drive; return deltas only, receipts required.</x:v>
      </x:c>
      <x:c r="O891" s="15" t="str">
        <x:v>AF-KG-H03-S02</x:v>
      </x:c>
      <x:c r="P891" s="15" t="str">
        <x:v>Unverified</x:v>
      </x:c>
      <x:c r="Q891" s="15" t="str">
        <x:v>Not checked</x:v>
      </x:c>
      <x:c r="R891" s="15" t="str"/>
      <x:c r="S891" s="15" t="str"/>
      <x:c r="T891" s="15" t="str">
        <x:v>Log first source path or blocker</x:v>
      </x:c>
      <x:c r="U891" s="12" t="str">
        <x:f>IF(OR(P891="Unverified",Q891="Not checked"),"BLOCKED_PENDING_RECEIPT","READY_FOR_REVIEW")</x:f>
        <x:v>BLOCKED_PENDING_RECEIPT</x:v>
      </x:c>
      <x:c r="V891" s="12" t="str">
        <x:f>IF(J891="DONE","RETURNED",IF(U891="BLOCKED_PENDING_RECEIPT","SOURCE_TOUCH_REQUIRED","IN_PROGRESS"))</x:f>
        <x:v>SOURCE_TOUCH_REQUIRED</x:v>
      </x:c>
      <x:c r="W891" s="12" t="str">
        <x:f>IF(P891="Unverified","missing_receipt","receipt_logged")</x:f>
        <x:v>missing_receipt</x:v>
      </x:c>
      <x:c r="X891" s="12" t="str">
        <x:f>IF(Q891="Not checked","raw_status_missing","raw_status_logged")</x:f>
        <x:v>raw_status_missing</x:v>
      </x:c>
      <x:c r="Y891" s="12" t="str">
        <x:f>IF(U891="BLOCKED_PENDING_RECEIPT","Log source path or blocker; do not promote","Route to review lane")</x:f>
        <x:v>Log source path or blocker; do not promote</x:v>
      </x:c>
      <x:c r="Z891" s="12" t="str">
        <x:f>IF(K891="P0","Primary seat + Hashlight/Lucerna","Seat lane")</x:f>
        <x:v>Primary seat + Hashlight/Lucerna</x:v>
      </x:c>
      <x:c r="AA891" s="12" t="str">
        <x:f>IF(R891="","no_claim_delta","claim_delta_present")</x:f>
        <x:v>no_claim_delta</x:v>
      </x:c>
      <x:c r="AB891" s="12" t="str">
        <x:f>IF(S891="","no_contradiction_delta","contradiction_delta_present")</x:f>
        <x:v>no_contradiction_delta</x:v>
      </x:c>
      <x:c r="AC891" s="12" t="str">
        <x:f>IF(OR(ISNUMBER(SEARCH("hacker",LOWER(F891&amp;" "&amp;H891&amp;" "&amp;I891&amp;" "&amp;M891&amp;" "&amp;N891&amp;" "&amp;T891))),ISNUMBER(SEARCH("hacking",LOWER(F891&amp;" "&amp;H891&amp;" "&amp;I891&amp;" "&amp;M891&amp;" "&amp;N891&amp;" "&amp;T891))),ISNUMBER(SEARCH("bank",LOWER(F891&amp;" "&amp;H891&amp;" "&amp;I891&amp;" "&amp;M891&amp;" "&amp;N891&amp;" "&amp;T891))),ISNUMBER(SEARCH("banking",LOWER(F891&amp;" "&amp;H891&amp;" "&amp;I891&amp;" "&amp;M891&amp;" "&amp;N891&amp;" "&amp;T891)))),"PRIVATE_QUARANTINE",IF(OR(ISNUMBER(SEARCH("treasury",LOWER(F891&amp;" "&amp;H891&amp;" "&amp;I891&amp;" "&amp;M891&amp;" "&amp;N891&amp;" "&amp;T891))),ISNUMBER(SEARCH("debt",LOWER(F891&amp;" "&amp;H891&amp;" "&amp;I891&amp;" "&amp;M891&amp;" "&amp;N891&amp;" "&amp;T891))),ISNUMBER(SEARCH("bond",LOWER(F891&amp;" "&amp;H891&amp;" "&amp;I891&amp;" "&amp;M891&amp;" "&amp;N891&amp;" "&amp;T891))),ISNUMBER(SEARCH("transaction",LOWER(F891&amp;" "&amp;H891&amp;" "&amp;I891&amp;" "&amp;M891&amp;" "&amp;N891&amp;" "&amp;T891)))),"PRIVATE_REVIEW","PUBLIC_CANDIDATE"))</x:f>
        <x:v>PUBLIC_CANDIDATE</x:v>
      </x:c>
      <x:c r="AD891" s="12" t="str">
        <x:f>IF(AC891="PRIVATE_QUARANTINE","hacker_or_bank_trigger",IF(AC891="PRIVATE_REVIEW","finance_risk_trigger","none"))</x:f>
        <x:v>none</x:v>
      </x:c>
      <x:c r="AE891" s="12" t="str">
        <x:f>IF(AC891="PUBLIC_CANDIDATE","prepare_public_github_candidate",IF(AC891="PRIVATE_REVIEW","hold_for_private_review","quarantine_private_do_not_publish"))</x:f>
        <x:v>prepare_public_github_candidate</x:v>
      </x:c>
      <x:c r="AF891" s="12" t="str">
        <x:f>IF(AC891="PUBLIC_CANDIDATE","TIDELOCK + Lucerna",IF(AC891="PRIVATE_REVIEW","AtlasBrain + Lucerna","TIDELOCK + Lucerna + Human-root"))</x:f>
        <x:v>TIDELOCK + Lucerna</x:v>
      </x:c>
      <x:c r="AG891" s="12" t="str">
        <x:f>IF(AND(AC891="PUBLIC_CANDIDATE",U891&lt;&gt;"BLOCKED_PENDING_RECEIPT"),"READY_AFTER_RECEIPT","NOT_READY")</x:f>
        <x:v>NOT_READY</x:v>
      </x:c>
      <x:c r="AH891" s="12" t="str">
        <x:f>IF(AC891="PUBLIC_CANDIDATE","none",AD891)</x:f>
        <x:v>none</x:v>
      </x:c>
      <x:c r="AI891" s="12" t="str">
        <x:f>IF(AC891="PUBLIC_CANDIDATE","archive/public_candidates/"&amp;A891,"private_quarantine/"&amp;A891)</x:f>
        <x:v>archive/public_candidates/SWARM-07-H03-S02</x:v>
      </x:c>
      <x:c r="AJ891" s="12" t="str">
        <x:f>IF(AC891="PUBLIC_CANDIDATE","public by default; still not canon","private/hold; do not publish")</x:f>
        <x:v>public by default; still not canon</x:v>
      </x:c>
      <x:c r="AK891" s="12" t="str">
        <x:f>IF(AE891="prepare_public_github_candidate","add receipt/status then mirror","resolve blocker before any public GitHub action")</x:f>
        <x:v>add receipt/status then mirror</x:v>
      </x:c>
    </x:row>
    <x:row r="892">
      <x:c r="A892" s="15" t="str">
        <x:v>SWARM-07-H03-S03</x:v>
      </x:c>
      <x:c r="B892" s="15" t="str">
        <x:v>Domechild</x:v>
      </x:c>
      <x:c r="C892" s="15" t="str">
        <x:v>Planetarium lane builder</x:v>
      </x:c>
      <x:c r="D892" s="15" t="str">
        <x:v>Raw Export Recovery</x:v>
      </x:c>
      <x:c r="E892" s="15" t="str">
        <x:v>GitHub</x:v>
      </x:c>
      <x:c r="F892" s="15" t="str">
        <x:v>Recover raw exports for GitHub — Domechild</x:v>
      </x:c>
      <x:c r="G892" s="15" t="str">
        <x:v>planetarium source packets / civic-science deltas</x:v>
      </x:c>
      <x:c r="H892" s="15" t="str">
        <x:v>source path + receipt + raw/export status + claim/edge/risk delta</x:v>
      </x:c>
      <x:c r="I892" s="15" t="str">
        <x:v>packet/SWARM-07-H03-S03</x:v>
      </x:c>
      <x:c r="J892" s="15" t="str">
        <x:v>TODO</x:v>
      </x:c>
      <x:c r="K892" s="15" t="str">
        <x:v>P0</x:v>
      </x:c>
      <x:c r="L892" s="15" t="str">
        <x:v>Done only when evidence is logged, contradiction search is noted, and boundary stamp remains non-canon unless ratified</x:v>
      </x:c>
      <x:c r="M892" s="15" t="str">
        <x:v>candidate / staging-only / not canon / not deployed / authority none</x:v>
      </x:c>
      <x:c r="N892" s="15" t="str">
        <x:v>Dispatch to Domechild: complete Raw Export Recovery x GitHub; return deltas only, receipts required.</x:v>
      </x:c>
      <x:c r="O892" s="15" t="str">
        <x:v>AF-KG-H03-S03</x:v>
      </x:c>
      <x:c r="P892" s="15" t="str">
        <x:v>Unverified</x:v>
      </x:c>
      <x:c r="Q892" s="15" t="str">
        <x:v>Not checked</x:v>
      </x:c>
      <x:c r="R892" s="15" t="str"/>
      <x:c r="S892" s="15" t="str"/>
      <x:c r="T892" s="15" t="str">
        <x:v>Log first source path or blocker</x:v>
      </x:c>
      <x:c r="U892" s="12" t="str">
        <x:f>IF(OR(P892="Unverified",Q892="Not checked"),"BLOCKED_PENDING_RECEIPT","READY_FOR_REVIEW")</x:f>
        <x:v>BLOCKED_PENDING_RECEIPT</x:v>
      </x:c>
      <x:c r="V892" s="12" t="str">
        <x:f>IF(J892="DONE","RETURNED",IF(U892="BLOCKED_PENDING_RECEIPT","SOURCE_TOUCH_REQUIRED","IN_PROGRESS"))</x:f>
        <x:v>SOURCE_TOUCH_REQUIRED</x:v>
      </x:c>
      <x:c r="W892" s="12" t="str">
        <x:f>IF(P892="Unverified","missing_receipt","receipt_logged")</x:f>
        <x:v>missing_receipt</x:v>
      </x:c>
      <x:c r="X892" s="12" t="str">
        <x:f>IF(Q892="Not checked","raw_status_missing","raw_status_logged")</x:f>
        <x:v>raw_status_missing</x:v>
      </x:c>
      <x:c r="Y892" s="12" t="str">
        <x:f>IF(U892="BLOCKED_PENDING_RECEIPT","Log source path or blocker; do not promote","Route to review lane")</x:f>
        <x:v>Log source path or blocker; do not promote</x:v>
      </x:c>
      <x:c r="Z892" s="12" t="str">
        <x:f>IF(K892="P0","Primary seat + Hashlight/Lucerna","Seat lane")</x:f>
        <x:v>Primary seat + Hashlight/Lucerna</x:v>
      </x:c>
      <x:c r="AA892" s="12" t="str">
        <x:f>IF(R892="","no_claim_delta","claim_delta_present")</x:f>
        <x:v>no_claim_delta</x:v>
      </x:c>
      <x:c r="AB892" s="12" t="str">
        <x:f>IF(S892="","no_contradiction_delta","contradiction_delta_present")</x:f>
        <x:v>no_contradiction_delta</x:v>
      </x:c>
      <x:c r="AC892" s="12" t="str">
        <x:f>IF(OR(ISNUMBER(SEARCH("hacker",LOWER(F892&amp;" "&amp;H892&amp;" "&amp;I892&amp;" "&amp;M892&amp;" "&amp;N892&amp;" "&amp;T892))),ISNUMBER(SEARCH("hacking",LOWER(F892&amp;" "&amp;H892&amp;" "&amp;I892&amp;" "&amp;M892&amp;" "&amp;N892&amp;" "&amp;T892))),ISNUMBER(SEARCH("bank",LOWER(F892&amp;" "&amp;H892&amp;" "&amp;I892&amp;" "&amp;M892&amp;" "&amp;N892&amp;" "&amp;T892))),ISNUMBER(SEARCH("banking",LOWER(F892&amp;" "&amp;H892&amp;" "&amp;I892&amp;" "&amp;M892&amp;" "&amp;N892&amp;" "&amp;T892)))),"PRIVATE_QUARANTINE",IF(OR(ISNUMBER(SEARCH("treasury",LOWER(F892&amp;" "&amp;H892&amp;" "&amp;I892&amp;" "&amp;M892&amp;" "&amp;N892&amp;" "&amp;T892))),ISNUMBER(SEARCH("debt",LOWER(F892&amp;" "&amp;H892&amp;" "&amp;I892&amp;" "&amp;M892&amp;" "&amp;N892&amp;" "&amp;T892))),ISNUMBER(SEARCH("bond",LOWER(F892&amp;" "&amp;H892&amp;" "&amp;I892&amp;" "&amp;M892&amp;" "&amp;N892&amp;" "&amp;T892))),ISNUMBER(SEARCH("transaction",LOWER(F892&amp;" "&amp;H892&amp;" "&amp;I892&amp;" "&amp;M892&amp;" "&amp;N892&amp;" "&amp;T892)))),"PRIVATE_REVIEW","PUBLIC_CANDIDATE"))</x:f>
        <x:v>PUBLIC_CANDIDATE</x:v>
      </x:c>
      <x:c r="AD892" s="12" t="str">
        <x:f>IF(AC892="PRIVATE_QUARANTINE","hacker_or_bank_trigger",IF(AC892="PRIVATE_REVIEW","finance_risk_trigger","none"))</x:f>
        <x:v>none</x:v>
      </x:c>
      <x:c r="AE892" s="12" t="str">
        <x:f>IF(AC892="PUBLIC_CANDIDATE","prepare_public_github_candidate",IF(AC892="PRIVATE_REVIEW","hold_for_private_review","quarantine_private_do_not_publish"))</x:f>
        <x:v>prepare_public_github_candidate</x:v>
      </x:c>
      <x:c r="AF892" s="12" t="str">
        <x:f>IF(AC892="PUBLIC_CANDIDATE","TIDELOCK + Lucerna",IF(AC892="PRIVATE_REVIEW","AtlasBrain + Lucerna","TIDELOCK + Lucerna + Human-root"))</x:f>
        <x:v>TIDELOCK + Lucerna</x:v>
      </x:c>
      <x:c r="AG892" s="12" t="str">
        <x:f>IF(AND(AC892="PUBLIC_CANDIDATE",U892&lt;&gt;"BLOCKED_PENDING_RECEIPT"),"READY_AFTER_RECEIPT","NOT_READY")</x:f>
        <x:v>NOT_READY</x:v>
      </x:c>
      <x:c r="AH892" s="12" t="str">
        <x:f>IF(AC892="PUBLIC_CANDIDATE","none",AD892)</x:f>
        <x:v>none</x:v>
      </x:c>
      <x:c r="AI892" s="12" t="str">
        <x:f>IF(AC892="PUBLIC_CANDIDATE","archive/public_candidates/"&amp;A892,"private_quarantine/"&amp;A892)</x:f>
        <x:v>archive/public_candidates/SWARM-07-H03-S03</x:v>
      </x:c>
      <x:c r="AJ892" s="12" t="str">
        <x:f>IF(AC892="PUBLIC_CANDIDATE","public by default; still not canon","private/hold; do not publish")</x:f>
        <x:v>public by default; still not canon</x:v>
      </x:c>
      <x:c r="AK892" s="12" t="str">
        <x:f>IF(AE892="prepare_public_github_candidate","add receipt/status then mirror","resolve blocker before any public GitHub action")</x:f>
        <x:v>add receipt/status then mirror</x:v>
      </x:c>
    </x:row>
    <x:row r="893">
      <x:c r="A893" s="15" t="str">
        <x:v>SWARM-07-H03-S04</x:v>
      </x:c>
      <x:c r="B893" s="15" t="str">
        <x:v>Domechild</x:v>
      </x:c>
      <x:c r="C893" s="15" t="str">
        <x:v>Planetarium lane builder</x:v>
      </x:c>
      <x:c r="D893" s="15" t="str">
        <x:v>Raw Export Recovery</x:v>
      </x:c>
      <x:c r="E893" s="15" t="str">
        <x:v>Gamma</x:v>
      </x:c>
      <x:c r="F893" s="15" t="str">
        <x:v>Recover raw exports for Gamma — Domechild</x:v>
      </x:c>
      <x:c r="G893" s="15" t="str">
        <x:v>planetarium source packets / civic-science deltas</x:v>
      </x:c>
      <x:c r="H893" s="15" t="str">
        <x:v>source path + receipt + raw/export status + claim/edge/risk delta</x:v>
      </x:c>
      <x:c r="I893" s="15" t="str">
        <x:v>packet/SWARM-07-H03-S04</x:v>
      </x:c>
      <x:c r="J893" s="15" t="str">
        <x:v>TODO</x:v>
      </x:c>
      <x:c r="K893" s="15" t="str">
        <x:v>P1</x:v>
      </x:c>
      <x:c r="L893" s="15" t="str">
        <x:v>Done only when evidence is logged, contradiction search is noted, and boundary stamp remains non-canon unless ratified</x:v>
      </x:c>
      <x:c r="M893" s="15" t="str">
        <x:v>candidate / staging-only / not canon / not deployed / authority none</x:v>
      </x:c>
      <x:c r="N893" s="15" t="str">
        <x:v>Dispatch to Domechild: complete Raw Export Recovery x Gamma; return deltas only, receipts required.</x:v>
      </x:c>
      <x:c r="O893" s="15" t="str">
        <x:v>AF-KG-H03-S04</x:v>
      </x:c>
      <x:c r="P893" s="15" t="str">
        <x:v>Unverified</x:v>
      </x:c>
      <x:c r="Q893" s="15" t="str">
        <x:v>Not checked</x:v>
      </x:c>
      <x:c r="R893" s="15" t="str"/>
      <x:c r="S893" s="15" t="str"/>
      <x:c r="T893" s="15" t="str">
        <x:v>Log first source path or blocker</x:v>
      </x:c>
      <x:c r="U893" s="12" t="str">
        <x:f>IF(OR(P893="Unverified",Q893="Not checked"),"BLOCKED_PENDING_RECEIPT","READY_FOR_REVIEW")</x:f>
        <x:v>BLOCKED_PENDING_RECEIPT</x:v>
      </x:c>
      <x:c r="V893" s="12" t="str">
        <x:f>IF(J893="DONE","RETURNED",IF(U893="BLOCKED_PENDING_RECEIPT","SOURCE_TOUCH_REQUIRED","IN_PROGRESS"))</x:f>
        <x:v>SOURCE_TOUCH_REQUIRED</x:v>
      </x:c>
      <x:c r="W893" s="12" t="str">
        <x:f>IF(P893="Unverified","missing_receipt","receipt_logged")</x:f>
        <x:v>missing_receipt</x:v>
      </x:c>
      <x:c r="X893" s="12" t="str">
        <x:f>IF(Q893="Not checked","raw_status_missing","raw_status_logged")</x:f>
        <x:v>raw_status_missing</x:v>
      </x:c>
      <x:c r="Y893" s="12" t="str">
        <x:f>IF(U893="BLOCKED_PENDING_RECEIPT","Log source path or blocker; do not promote","Route to review lane")</x:f>
        <x:v>Log source path or blocker; do not promote</x:v>
      </x:c>
      <x:c r="Z893" s="12" t="str">
        <x:f>IF(K893="P0","Primary seat + Hashlight/Lucerna","Seat lane")</x:f>
        <x:v>Seat lane</x:v>
      </x:c>
      <x:c r="AA893" s="12" t="str">
        <x:f>IF(R893="","no_claim_delta","claim_delta_present")</x:f>
        <x:v>no_claim_delta</x:v>
      </x:c>
      <x:c r="AB893" s="12" t="str">
        <x:f>IF(S893="","no_contradiction_delta","contradiction_delta_present")</x:f>
        <x:v>no_contradiction_delta</x:v>
      </x:c>
      <x:c r="AC893" s="12" t="str">
        <x:f>IF(OR(ISNUMBER(SEARCH("hacker",LOWER(F893&amp;" "&amp;H893&amp;" "&amp;I893&amp;" "&amp;M893&amp;" "&amp;N893&amp;" "&amp;T893))),ISNUMBER(SEARCH("hacking",LOWER(F893&amp;" "&amp;H893&amp;" "&amp;I893&amp;" "&amp;M893&amp;" "&amp;N893&amp;" "&amp;T893))),ISNUMBER(SEARCH("bank",LOWER(F893&amp;" "&amp;H893&amp;" "&amp;I893&amp;" "&amp;M893&amp;" "&amp;N893&amp;" "&amp;T893))),ISNUMBER(SEARCH("banking",LOWER(F893&amp;" "&amp;H893&amp;" "&amp;I893&amp;" "&amp;M893&amp;" "&amp;N893&amp;" "&amp;T893)))),"PRIVATE_QUARANTINE",IF(OR(ISNUMBER(SEARCH("treasury",LOWER(F893&amp;" "&amp;H893&amp;" "&amp;I893&amp;" "&amp;M893&amp;" "&amp;N893&amp;" "&amp;T893))),ISNUMBER(SEARCH("debt",LOWER(F893&amp;" "&amp;H893&amp;" "&amp;I893&amp;" "&amp;M893&amp;" "&amp;N893&amp;" "&amp;T893))),ISNUMBER(SEARCH("bond",LOWER(F893&amp;" "&amp;H893&amp;" "&amp;I893&amp;" "&amp;M893&amp;" "&amp;N893&amp;" "&amp;T893))),ISNUMBER(SEARCH("transaction",LOWER(F893&amp;" "&amp;H893&amp;" "&amp;I893&amp;" "&amp;M893&amp;" "&amp;N893&amp;" "&amp;T893)))),"PRIVATE_REVIEW","PUBLIC_CANDIDATE"))</x:f>
        <x:v>PUBLIC_CANDIDATE</x:v>
      </x:c>
      <x:c r="AD893" s="12" t="str">
        <x:f>IF(AC893="PRIVATE_QUARANTINE","hacker_or_bank_trigger",IF(AC893="PRIVATE_REVIEW","finance_risk_trigger","none"))</x:f>
        <x:v>none</x:v>
      </x:c>
      <x:c r="AE893" s="12" t="str">
        <x:f>IF(AC893="PUBLIC_CANDIDATE","prepare_public_github_candidate",IF(AC893="PRIVATE_REVIEW","hold_for_private_review","quarantine_private_do_not_publish"))</x:f>
        <x:v>prepare_public_github_candidate</x:v>
      </x:c>
      <x:c r="AF893" s="12" t="str">
        <x:f>IF(AC893="PUBLIC_CANDIDATE","TIDELOCK + Lucerna",IF(AC893="PRIVATE_REVIEW","AtlasBrain + Lucerna","TIDELOCK + Lucerna + Human-root"))</x:f>
        <x:v>TIDELOCK + Lucerna</x:v>
      </x:c>
      <x:c r="AG893" s="12" t="str">
        <x:f>IF(AND(AC893="PUBLIC_CANDIDATE",U893&lt;&gt;"BLOCKED_PENDING_RECEIPT"),"READY_AFTER_RECEIPT","NOT_READY")</x:f>
        <x:v>NOT_READY</x:v>
      </x:c>
      <x:c r="AH893" s="12" t="str">
        <x:f>IF(AC893="PUBLIC_CANDIDATE","none",AD893)</x:f>
        <x:v>none</x:v>
      </x:c>
      <x:c r="AI893" s="12" t="str">
        <x:f>IF(AC893="PUBLIC_CANDIDATE","archive/public_candidates/"&amp;A893,"private_quarantine/"&amp;A893)</x:f>
        <x:v>archive/public_candidates/SWARM-07-H03-S04</x:v>
      </x:c>
      <x:c r="AJ893" s="12" t="str">
        <x:f>IF(AC893="PUBLIC_CANDIDATE","public by default; still not canon","private/hold; do not publish")</x:f>
        <x:v>public by default; still not canon</x:v>
      </x:c>
      <x:c r="AK893" s="12" t="str">
        <x:f>IF(AE893="prepare_public_github_candidate","add receipt/status then mirror","resolve blocker before any public GitHub action")</x:f>
        <x:v>add receipt/status then mirror</x:v>
      </x:c>
    </x:row>
    <x:row r="894">
      <x:c r="A894" s="15" t="str">
        <x:v>SWARM-07-H03-S05</x:v>
      </x:c>
      <x:c r="B894" s="15" t="str">
        <x:v>Domechild</x:v>
      </x:c>
      <x:c r="C894" s="15" t="str">
        <x:v>Planetarium lane builder</x:v>
      </x:c>
      <x:c r="D894" s="15" t="str">
        <x:v>Raw Export Recovery</x:v>
      </x:c>
      <x:c r="E894" s="15" t="str">
        <x:v>Chat</x:v>
      </x:c>
      <x:c r="F894" s="15" t="str">
        <x:v>Recover raw exports for Chat — Domechild</x:v>
      </x:c>
      <x:c r="G894" s="15" t="str">
        <x:v>planetarium source packets / civic-science deltas</x:v>
      </x:c>
      <x:c r="H894" s="15" t="str">
        <x:v>source path + receipt + raw/export status + claim/edge/risk delta</x:v>
      </x:c>
      <x:c r="I894" s="15" t="str">
        <x:v>packet/SWARM-07-H03-S05</x:v>
      </x:c>
      <x:c r="J894" s="15" t="str">
        <x:v>TODO</x:v>
      </x:c>
      <x:c r="K894" s="15" t="str">
        <x:v>P1</x:v>
      </x:c>
      <x:c r="L894" s="15" t="str">
        <x:v>Done only when evidence is logged, contradiction search is noted, and boundary stamp remains non-canon unless ratified</x:v>
      </x:c>
      <x:c r="M894" s="15" t="str">
        <x:v>candidate / staging-only / not canon / not deployed / authority none</x:v>
      </x:c>
      <x:c r="N894" s="15" t="str">
        <x:v>Dispatch to Domechild: complete Raw Export Recovery x Chat; return deltas only, receipts required.</x:v>
      </x:c>
      <x:c r="O894" s="15" t="str">
        <x:v>AF-KG-H03-S05</x:v>
      </x:c>
      <x:c r="P894" s="15" t="str">
        <x:v>Unverified</x:v>
      </x:c>
      <x:c r="Q894" s="15" t="str">
        <x:v>Not checked</x:v>
      </x:c>
      <x:c r="R894" s="15" t="str"/>
      <x:c r="S894" s="15" t="str"/>
      <x:c r="T894" s="15" t="str">
        <x:v>Log first source path or blocker</x:v>
      </x:c>
      <x:c r="U894" s="12" t="str">
        <x:f>IF(OR(P894="Unverified",Q894="Not checked"),"BLOCKED_PENDING_RECEIPT","READY_FOR_REVIEW")</x:f>
        <x:v>BLOCKED_PENDING_RECEIPT</x:v>
      </x:c>
      <x:c r="V894" s="12" t="str">
        <x:f>IF(J894="DONE","RETURNED",IF(U894="BLOCKED_PENDING_RECEIPT","SOURCE_TOUCH_REQUIRED","IN_PROGRESS"))</x:f>
        <x:v>SOURCE_TOUCH_REQUIRED</x:v>
      </x:c>
      <x:c r="W894" s="12" t="str">
        <x:f>IF(P894="Unverified","missing_receipt","receipt_logged")</x:f>
        <x:v>missing_receipt</x:v>
      </x:c>
      <x:c r="X894" s="12" t="str">
        <x:f>IF(Q894="Not checked","raw_status_missing","raw_status_logged")</x:f>
        <x:v>raw_status_missing</x:v>
      </x:c>
      <x:c r="Y894" s="12" t="str">
        <x:f>IF(U894="BLOCKED_PENDING_RECEIPT","Log source path or blocker; do not promote","Route to review lane")</x:f>
        <x:v>Log source path or blocker; do not promote</x:v>
      </x:c>
      <x:c r="Z894" s="12" t="str">
        <x:f>IF(K894="P0","Primary seat + Hashlight/Lucerna","Seat lane")</x:f>
        <x:v>Seat lane</x:v>
      </x:c>
      <x:c r="AA894" s="12" t="str">
        <x:f>IF(R894="","no_claim_delta","claim_delta_present")</x:f>
        <x:v>no_claim_delta</x:v>
      </x:c>
      <x:c r="AB894" s="12" t="str">
        <x:f>IF(S894="","no_contradiction_delta","contradiction_delta_present")</x:f>
        <x:v>no_contradiction_delta</x:v>
      </x:c>
      <x:c r="AC894" s="12" t="str">
        <x:f>IF(OR(ISNUMBER(SEARCH("hacker",LOWER(F894&amp;" "&amp;H894&amp;" "&amp;I894&amp;" "&amp;M894&amp;" "&amp;N894&amp;" "&amp;T894))),ISNUMBER(SEARCH("hacking",LOWER(F894&amp;" "&amp;H894&amp;" "&amp;I894&amp;" "&amp;M894&amp;" "&amp;N894&amp;" "&amp;T894))),ISNUMBER(SEARCH("bank",LOWER(F894&amp;" "&amp;H894&amp;" "&amp;I894&amp;" "&amp;M894&amp;" "&amp;N894&amp;" "&amp;T894))),ISNUMBER(SEARCH("banking",LOWER(F894&amp;" "&amp;H894&amp;" "&amp;I894&amp;" "&amp;M894&amp;" "&amp;N894&amp;" "&amp;T894)))),"PRIVATE_QUARANTINE",IF(OR(ISNUMBER(SEARCH("treasury",LOWER(F894&amp;" "&amp;H894&amp;" "&amp;I894&amp;" "&amp;M894&amp;" "&amp;N894&amp;" "&amp;T894))),ISNUMBER(SEARCH("debt",LOWER(F894&amp;" "&amp;H894&amp;" "&amp;I894&amp;" "&amp;M894&amp;" "&amp;N894&amp;" "&amp;T894))),ISNUMBER(SEARCH("bond",LOWER(F894&amp;" "&amp;H894&amp;" "&amp;I894&amp;" "&amp;M894&amp;" "&amp;N894&amp;" "&amp;T894))),ISNUMBER(SEARCH("transaction",LOWER(F894&amp;" "&amp;H894&amp;" "&amp;I894&amp;" "&amp;M894&amp;" "&amp;N894&amp;" "&amp;T894)))),"PRIVATE_REVIEW","PUBLIC_CANDIDATE"))</x:f>
        <x:v>PUBLIC_CANDIDATE</x:v>
      </x:c>
      <x:c r="AD894" s="12" t="str">
        <x:f>IF(AC894="PRIVATE_QUARANTINE","hacker_or_bank_trigger",IF(AC894="PRIVATE_REVIEW","finance_risk_trigger","none"))</x:f>
        <x:v>none</x:v>
      </x:c>
      <x:c r="AE894" s="12" t="str">
        <x:f>IF(AC894="PUBLIC_CANDIDATE","prepare_public_github_candidate",IF(AC894="PRIVATE_REVIEW","hold_for_private_review","quarantine_private_do_not_publish"))</x:f>
        <x:v>prepare_public_github_candidate</x:v>
      </x:c>
      <x:c r="AF894" s="12" t="str">
        <x:f>IF(AC894="PUBLIC_CANDIDATE","TIDELOCK + Lucerna",IF(AC894="PRIVATE_REVIEW","AtlasBrain + Lucerna","TIDELOCK + Lucerna + Human-root"))</x:f>
        <x:v>TIDELOCK + Lucerna</x:v>
      </x:c>
      <x:c r="AG894" s="12" t="str">
        <x:f>IF(AND(AC894="PUBLIC_CANDIDATE",U894&lt;&gt;"BLOCKED_PENDING_RECEIPT"),"READY_AFTER_RECEIPT","NOT_READY")</x:f>
        <x:v>NOT_READY</x:v>
      </x:c>
      <x:c r="AH894" s="12" t="str">
        <x:f>IF(AC894="PUBLIC_CANDIDATE","none",AD894)</x:f>
        <x:v>none</x:v>
      </x:c>
      <x:c r="AI894" s="12" t="str">
        <x:f>IF(AC894="PUBLIC_CANDIDATE","archive/public_candidates/"&amp;A894,"private_quarantine/"&amp;A894)</x:f>
        <x:v>archive/public_candidates/SWARM-07-H03-S05</x:v>
      </x:c>
      <x:c r="AJ894" s="12" t="str">
        <x:f>IF(AC894="PUBLIC_CANDIDATE","public by default; still not canon","private/hold; do not publish")</x:f>
        <x:v>public by default; still not canon</x:v>
      </x:c>
      <x:c r="AK894" s="12" t="str">
        <x:f>IF(AE894="prepare_public_github_candidate","add receipt/status then mirror","resolve blocker before any public GitHub action")</x:f>
        <x:v>add receipt/status then mirror</x:v>
      </x:c>
    </x:row>
    <x:row r="895">
      <x:c r="A895" s="15" t="str">
        <x:v>SWARM-07-H03-S06</x:v>
      </x:c>
      <x:c r="B895" s="15" t="str">
        <x:v>Domechild</x:v>
      </x:c>
      <x:c r="C895" s="15" t="str">
        <x:v>Planetarium lane builder</x:v>
      </x:c>
      <x:c r="D895" s="15" t="str">
        <x:v>Raw Export Recovery</x:v>
      </x:c>
      <x:c r="E895" s="15" t="str">
        <x:v>External Web</x:v>
      </x:c>
      <x:c r="F895" s="15" t="str">
        <x:v>Recover raw exports for External Web — Domechild</x:v>
      </x:c>
      <x:c r="G895" s="15" t="str">
        <x:v>planetarium source packets / civic-science deltas</x:v>
      </x:c>
      <x:c r="H895" s="15" t="str">
        <x:v>source path + receipt + raw/export status + claim/edge/risk delta</x:v>
      </x:c>
      <x:c r="I895" s="15" t="str">
        <x:v>packet/SWARM-07-H03-S06</x:v>
      </x:c>
      <x:c r="J895" s="15" t="str">
        <x:v>TODO</x:v>
      </x:c>
      <x:c r="K895" s="15" t="str">
        <x:v>P1</x:v>
      </x:c>
      <x:c r="L895" s="15" t="str">
        <x:v>Done only when evidence is logged, contradiction search is noted, and boundary stamp remains non-canon unless ratified</x:v>
      </x:c>
      <x:c r="M895" s="15" t="str">
        <x:v>candidate / staging-only / not canon / not deployed / authority none</x:v>
      </x:c>
      <x:c r="N895" s="15" t="str">
        <x:v>Dispatch to Domechild: complete Raw Export Recovery x External Web; return deltas only, receipts required.</x:v>
      </x:c>
      <x:c r="O895" s="15" t="str">
        <x:v>AF-KG-H03-S06</x:v>
      </x:c>
      <x:c r="P895" s="15" t="str">
        <x:v>Unverified</x:v>
      </x:c>
      <x:c r="Q895" s="15" t="str">
        <x:v>Not checked</x:v>
      </x:c>
      <x:c r="R895" s="15" t="str"/>
      <x:c r="S895" s="15" t="str"/>
      <x:c r="T895" s="15" t="str">
        <x:v>Log first source path or blocker</x:v>
      </x:c>
      <x:c r="U895" s="12" t="str">
        <x:f>IF(OR(P895="Unverified",Q895="Not checked"),"BLOCKED_PENDING_RECEIPT","READY_FOR_REVIEW")</x:f>
        <x:v>BLOCKED_PENDING_RECEIPT</x:v>
      </x:c>
      <x:c r="V895" s="12" t="str">
        <x:f>IF(J895="DONE","RETURNED",IF(U895="BLOCKED_PENDING_RECEIPT","SOURCE_TOUCH_REQUIRED","IN_PROGRESS"))</x:f>
        <x:v>SOURCE_TOUCH_REQUIRED</x:v>
      </x:c>
      <x:c r="W895" s="12" t="str">
        <x:f>IF(P895="Unverified","missing_receipt","receipt_logged")</x:f>
        <x:v>missing_receipt</x:v>
      </x:c>
      <x:c r="X895" s="12" t="str">
        <x:f>IF(Q895="Not checked","raw_status_missing","raw_status_logged")</x:f>
        <x:v>raw_status_missing</x:v>
      </x:c>
      <x:c r="Y895" s="12" t="str">
        <x:f>IF(U895="BLOCKED_PENDING_RECEIPT","Log source path or blocker; do not promote","Route to review lane")</x:f>
        <x:v>Log source path or blocker; do not promote</x:v>
      </x:c>
      <x:c r="Z895" s="12" t="str">
        <x:f>IF(K895="P0","Primary seat + Hashlight/Lucerna","Seat lane")</x:f>
        <x:v>Seat lane</x:v>
      </x:c>
      <x:c r="AA895" s="12" t="str">
        <x:f>IF(R895="","no_claim_delta","claim_delta_present")</x:f>
        <x:v>no_claim_delta</x:v>
      </x:c>
      <x:c r="AB895" s="12" t="str">
        <x:f>IF(S895="","no_contradiction_delta","contradiction_delta_present")</x:f>
        <x:v>no_contradiction_delta</x:v>
      </x:c>
      <x:c r="AC895" s="12" t="str">
        <x:f>IF(OR(ISNUMBER(SEARCH("hacker",LOWER(F895&amp;" "&amp;H895&amp;" "&amp;I895&amp;" "&amp;M895&amp;" "&amp;N895&amp;" "&amp;T895))),ISNUMBER(SEARCH("hacking",LOWER(F895&amp;" "&amp;H895&amp;" "&amp;I895&amp;" "&amp;M895&amp;" "&amp;N895&amp;" "&amp;T895))),ISNUMBER(SEARCH("bank",LOWER(F895&amp;" "&amp;H895&amp;" "&amp;I895&amp;" "&amp;M895&amp;" "&amp;N895&amp;" "&amp;T895))),ISNUMBER(SEARCH("banking",LOWER(F895&amp;" "&amp;H895&amp;" "&amp;I895&amp;" "&amp;M895&amp;" "&amp;N895&amp;" "&amp;T895)))),"PRIVATE_QUARANTINE",IF(OR(ISNUMBER(SEARCH("treasury",LOWER(F895&amp;" "&amp;H895&amp;" "&amp;I895&amp;" "&amp;M895&amp;" "&amp;N895&amp;" "&amp;T895))),ISNUMBER(SEARCH("debt",LOWER(F895&amp;" "&amp;H895&amp;" "&amp;I895&amp;" "&amp;M895&amp;" "&amp;N895&amp;" "&amp;T895))),ISNUMBER(SEARCH("bond",LOWER(F895&amp;" "&amp;H895&amp;" "&amp;I895&amp;" "&amp;M895&amp;" "&amp;N895&amp;" "&amp;T895))),ISNUMBER(SEARCH("transaction",LOWER(F895&amp;" "&amp;H895&amp;" "&amp;I895&amp;" "&amp;M895&amp;" "&amp;N895&amp;" "&amp;T895)))),"PRIVATE_REVIEW","PUBLIC_CANDIDATE"))</x:f>
        <x:v>PUBLIC_CANDIDATE</x:v>
      </x:c>
      <x:c r="AD895" s="12" t="str">
        <x:f>IF(AC895="PRIVATE_QUARANTINE","hacker_or_bank_trigger",IF(AC895="PRIVATE_REVIEW","finance_risk_trigger","none"))</x:f>
        <x:v>none</x:v>
      </x:c>
      <x:c r="AE895" s="12" t="str">
        <x:f>IF(AC895="PUBLIC_CANDIDATE","prepare_public_github_candidate",IF(AC895="PRIVATE_REVIEW","hold_for_private_review","quarantine_private_do_not_publish"))</x:f>
        <x:v>prepare_public_github_candidate</x:v>
      </x:c>
      <x:c r="AF895" s="12" t="str">
        <x:f>IF(AC895="PUBLIC_CANDIDATE","TIDELOCK + Lucerna",IF(AC895="PRIVATE_REVIEW","AtlasBrain + Lucerna","TIDELOCK + Lucerna + Human-root"))</x:f>
        <x:v>TIDELOCK + Lucerna</x:v>
      </x:c>
      <x:c r="AG895" s="12" t="str">
        <x:f>IF(AND(AC895="PUBLIC_CANDIDATE",U895&lt;&gt;"BLOCKED_PENDING_RECEIPT"),"READY_AFTER_RECEIPT","NOT_READY")</x:f>
        <x:v>NOT_READY</x:v>
      </x:c>
      <x:c r="AH895" s="12" t="str">
        <x:f>IF(AC895="PUBLIC_CANDIDATE","none",AD895)</x:f>
        <x:v>none</x:v>
      </x:c>
      <x:c r="AI895" s="12" t="str">
        <x:f>IF(AC895="PUBLIC_CANDIDATE","archive/public_candidates/"&amp;A895,"private_quarantine/"&amp;A895)</x:f>
        <x:v>archive/public_candidates/SWARM-07-H03-S06</x:v>
      </x:c>
      <x:c r="AJ895" s="12" t="str">
        <x:f>IF(AC895="PUBLIC_CANDIDATE","public by default; still not canon","private/hold; do not publish")</x:f>
        <x:v>public by default; still not canon</x:v>
      </x:c>
      <x:c r="AK895" s="12" t="str">
        <x:f>IF(AE895="prepare_public_github_candidate","add receipt/status then mirror","resolve blocker before any public GitHub action")</x:f>
        <x:v>add receipt/status then mirror</x:v>
      </x:c>
    </x:row>
    <x:row r="896">
      <x:c r="A896" s="15" t="str">
        <x:v>SWARM-07-H03-S07</x:v>
      </x:c>
      <x:c r="B896" s="15" t="str">
        <x:v>Domechild</x:v>
      </x:c>
      <x:c r="C896" s="15" t="str">
        <x:v>Planetarium lane builder</x:v>
      </x:c>
      <x:c r="D896" s="15" t="str">
        <x:v>Raw Export Recovery</x:v>
      </x:c>
      <x:c r="E896" s="15" t="str">
        <x:v>Planetarium</x:v>
      </x:c>
      <x:c r="F896" s="15" t="str">
        <x:v>Recover raw exports for Planetarium — Domechild</x:v>
      </x:c>
      <x:c r="G896" s="15" t="str">
        <x:v>planetarium source packets / civic-science deltas</x:v>
      </x:c>
      <x:c r="H896" s="15" t="str">
        <x:v>source path + receipt + raw/export status + claim/edge/risk delta</x:v>
      </x:c>
      <x:c r="I896" s="15" t="str">
        <x:v>packet/SWARM-07-H03-S07</x:v>
      </x:c>
      <x:c r="J896" s="15" t="str">
        <x:v>TODO</x:v>
      </x:c>
      <x:c r="K896" s="15" t="str">
        <x:v>P1</x:v>
      </x:c>
      <x:c r="L896" s="15" t="str">
        <x:v>Done only when evidence is logged, contradiction search is noted, and boundary stamp remains non-canon unless ratified</x:v>
      </x:c>
      <x:c r="M896" s="15" t="str">
        <x:v>candidate / staging-only / not canon / not deployed / authority none</x:v>
      </x:c>
      <x:c r="N896" s="15" t="str">
        <x:v>Dispatch to Domechild: complete Raw Export Recovery x Planetarium; return deltas only, receipts required.</x:v>
      </x:c>
      <x:c r="O896" s="15" t="str">
        <x:v>AF-KG-H03-S07</x:v>
      </x:c>
      <x:c r="P896" s="15" t="str">
        <x:v>Unverified</x:v>
      </x:c>
      <x:c r="Q896" s="15" t="str">
        <x:v>Not checked</x:v>
      </x:c>
      <x:c r="R896" s="15" t="str"/>
      <x:c r="S896" s="15" t="str"/>
      <x:c r="T896" s="15" t="str">
        <x:v>Log first source path or blocker</x:v>
      </x:c>
      <x:c r="U896" s="12" t="str">
        <x:f>IF(OR(P896="Unverified",Q896="Not checked"),"BLOCKED_PENDING_RECEIPT","READY_FOR_REVIEW")</x:f>
        <x:v>BLOCKED_PENDING_RECEIPT</x:v>
      </x:c>
      <x:c r="V896" s="12" t="str">
        <x:f>IF(J896="DONE","RETURNED",IF(U896="BLOCKED_PENDING_RECEIPT","SOURCE_TOUCH_REQUIRED","IN_PROGRESS"))</x:f>
        <x:v>SOURCE_TOUCH_REQUIRED</x:v>
      </x:c>
      <x:c r="W896" s="12" t="str">
        <x:f>IF(P896="Unverified","missing_receipt","receipt_logged")</x:f>
        <x:v>missing_receipt</x:v>
      </x:c>
      <x:c r="X896" s="12" t="str">
        <x:f>IF(Q896="Not checked","raw_status_missing","raw_status_logged")</x:f>
        <x:v>raw_status_missing</x:v>
      </x:c>
      <x:c r="Y896" s="12" t="str">
        <x:f>IF(U896="BLOCKED_PENDING_RECEIPT","Log source path or blocker; do not promote","Route to review lane")</x:f>
        <x:v>Log source path or blocker; do not promote</x:v>
      </x:c>
      <x:c r="Z896" s="12" t="str">
        <x:f>IF(K896="P0","Primary seat + Hashlight/Lucerna","Seat lane")</x:f>
        <x:v>Seat lane</x:v>
      </x:c>
      <x:c r="AA896" s="12" t="str">
        <x:f>IF(R896="","no_claim_delta","claim_delta_present")</x:f>
        <x:v>no_claim_delta</x:v>
      </x:c>
      <x:c r="AB896" s="12" t="str">
        <x:f>IF(S896="","no_contradiction_delta","contradiction_delta_present")</x:f>
        <x:v>no_contradiction_delta</x:v>
      </x:c>
      <x:c r="AC896" s="12" t="str">
        <x:f>IF(OR(ISNUMBER(SEARCH("hacker",LOWER(F896&amp;" "&amp;H896&amp;" "&amp;I896&amp;" "&amp;M896&amp;" "&amp;N896&amp;" "&amp;T896))),ISNUMBER(SEARCH("hacking",LOWER(F896&amp;" "&amp;H896&amp;" "&amp;I896&amp;" "&amp;M896&amp;" "&amp;N896&amp;" "&amp;T896))),ISNUMBER(SEARCH("bank",LOWER(F896&amp;" "&amp;H896&amp;" "&amp;I896&amp;" "&amp;M896&amp;" "&amp;N896&amp;" "&amp;T896))),ISNUMBER(SEARCH("banking",LOWER(F896&amp;" "&amp;H896&amp;" "&amp;I896&amp;" "&amp;M896&amp;" "&amp;N896&amp;" "&amp;T896)))),"PRIVATE_QUARANTINE",IF(OR(ISNUMBER(SEARCH("treasury",LOWER(F896&amp;" "&amp;H896&amp;" "&amp;I896&amp;" "&amp;M896&amp;" "&amp;N896&amp;" "&amp;T896))),ISNUMBER(SEARCH("debt",LOWER(F896&amp;" "&amp;H896&amp;" "&amp;I896&amp;" "&amp;M896&amp;" "&amp;N896&amp;" "&amp;T896))),ISNUMBER(SEARCH("bond",LOWER(F896&amp;" "&amp;H896&amp;" "&amp;I896&amp;" "&amp;M896&amp;" "&amp;N896&amp;" "&amp;T896))),ISNUMBER(SEARCH("transaction",LOWER(F896&amp;" "&amp;H896&amp;" "&amp;I896&amp;" "&amp;M896&amp;" "&amp;N896&amp;" "&amp;T896)))),"PRIVATE_REVIEW","PUBLIC_CANDIDATE"))</x:f>
        <x:v>PUBLIC_CANDIDATE</x:v>
      </x:c>
      <x:c r="AD896" s="12" t="str">
        <x:f>IF(AC896="PRIVATE_QUARANTINE","hacker_or_bank_trigger",IF(AC896="PRIVATE_REVIEW","finance_risk_trigger","none"))</x:f>
        <x:v>none</x:v>
      </x:c>
      <x:c r="AE896" s="12" t="str">
        <x:f>IF(AC896="PUBLIC_CANDIDATE","prepare_public_github_candidate",IF(AC896="PRIVATE_REVIEW","hold_for_private_review","quarantine_private_do_not_publish"))</x:f>
        <x:v>prepare_public_github_candidate</x:v>
      </x:c>
      <x:c r="AF896" s="12" t="str">
        <x:f>IF(AC896="PUBLIC_CANDIDATE","TIDELOCK + Lucerna",IF(AC896="PRIVATE_REVIEW","AtlasBrain + Lucerna","TIDELOCK + Lucerna + Human-root"))</x:f>
        <x:v>TIDELOCK + Lucerna</x:v>
      </x:c>
      <x:c r="AG896" s="12" t="str">
        <x:f>IF(AND(AC896="PUBLIC_CANDIDATE",U896&lt;&gt;"BLOCKED_PENDING_RECEIPT"),"READY_AFTER_RECEIPT","NOT_READY")</x:f>
        <x:v>NOT_READY</x:v>
      </x:c>
      <x:c r="AH896" s="12" t="str">
        <x:f>IF(AC896="PUBLIC_CANDIDATE","none",AD896)</x:f>
        <x:v>none</x:v>
      </x:c>
      <x:c r="AI896" s="12" t="str">
        <x:f>IF(AC896="PUBLIC_CANDIDATE","archive/public_candidates/"&amp;A896,"private_quarantine/"&amp;A896)</x:f>
        <x:v>archive/public_candidates/SWARM-07-H03-S07</x:v>
      </x:c>
      <x:c r="AJ896" s="12" t="str">
        <x:f>IF(AC896="PUBLIC_CANDIDATE","public by default; still not canon","private/hold; do not publish")</x:f>
        <x:v>public by default; still not canon</x:v>
      </x:c>
      <x:c r="AK896" s="12" t="str">
        <x:f>IF(AE896="prepare_public_github_candidate","add receipt/status then mirror","resolve blocker before any public GitHub action")</x:f>
        <x:v>add receipt/status then mirror</x:v>
      </x:c>
    </x:row>
    <x:row r="897">
      <x:c r="A897" s="15" t="str">
        <x:v>SWARM-07-H03-S08</x:v>
      </x:c>
      <x:c r="B897" s="15" t="str">
        <x:v>Domechild</x:v>
      </x:c>
      <x:c r="C897" s="15" t="str">
        <x:v>Planetarium lane builder</x:v>
      </x:c>
      <x:c r="D897" s="15" t="str">
        <x:v>Raw Export Recovery</x:v>
      </x:c>
      <x:c r="E897" s="15" t="str">
        <x:v>Sheldonbrain</x:v>
      </x:c>
      <x:c r="F897" s="15" t="str">
        <x:v>Recover raw exports for Sheldonbrain — Domechild</x:v>
      </x:c>
      <x:c r="G897" s="15" t="str">
        <x:v>planetarium source packets / civic-science deltas</x:v>
      </x:c>
      <x:c r="H897" s="15" t="str">
        <x:v>source path + receipt + raw/export status + claim/edge/risk delta</x:v>
      </x:c>
      <x:c r="I897" s="15" t="str">
        <x:v>packet/SWARM-07-H03-S08</x:v>
      </x:c>
      <x:c r="J897" s="15" t="str">
        <x:v>TODO</x:v>
      </x:c>
      <x:c r="K897" s="15" t="str">
        <x:v>P1</x:v>
      </x:c>
      <x:c r="L897" s="15" t="str">
        <x:v>Done only when evidence is logged, contradiction search is noted, and boundary stamp remains non-canon unless ratified</x:v>
      </x:c>
      <x:c r="M897" s="15" t="str">
        <x:v>candidate / staging-only / not canon / not deployed / authority none</x:v>
      </x:c>
      <x:c r="N897" s="15" t="str">
        <x:v>Dispatch to Domechild: complete Raw Export Recovery x Sheldonbrain; return deltas only, receipts required.</x:v>
      </x:c>
      <x:c r="O897" s="15" t="str">
        <x:v>AF-KG-H03-S08</x:v>
      </x:c>
      <x:c r="P897" s="15" t="str">
        <x:v>Unverified</x:v>
      </x:c>
      <x:c r="Q897" s="15" t="str">
        <x:v>Not checked</x:v>
      </x:c>
      <x:c r="R897" s="15" t="str"/>
      <x:c r="S897" s="15" t="str"/>
      <x:c r="T897" s="15" t="str">
        <x:v>Log first source path or blocker</x:v>
      </x:c>
      <x:c r="U897" s="12" t="str">
        <x:f>IF(OR(P897="Unverified",Q897="Not checked"),"BLOCKED_PENDING_RECEIPT","READY_FOR_REVIEW")</x:f>
        <x:v>BLOCKED_PENDING_RECEIPT</x:v>
      </x:c>
      <x:c r="V897" s="12" t="str">
        <x:f>IF(J897="DONE","RETURNED",IF(U897="BLOCKED_PENDING_RECEIPT","SOURCE_TOUCH_REQUIRED","IN_PROGRESS"))</x:f>
        <x:v>SOURCE_TOUCH_REQUIRED</x:v>
      </x:c>
      <x:c r="W897" s="12" t="str">
        <x:f>IF(P897="Unverified","missing_receipt","receipt_logged")</x:f>
        <x:v>missing_receipt</x:v>
      </x:c>
      <x:c r="X897" s="12" t="str">
        <x:f>IF(Q897="Not checked","raw_status_missing","raw_status_logged")</x:f>
        <x:v>raw_status_missing</x:v>
      </x:c>
      <x:c r="Y897" s="12" t="str">
        <x:f>IF(U897="BLOCKED_PENDING_RECEIPT","Log source path or blocker; do not promote","Route to review lane")</x:f>
        <x:v>Log source path or blocker; do not promote</x:v>
      </x:c>
      <x:c r="Z897" s="12" t="str">
        <x:f>IF(K897="P0","Primary seat + Hashlight/Lucerna","Seat lane")</x:f>
        <x:v>Seat lane</x:v>
      </x:c>
      <x:c r="AA897" s="12" t="str">
        <x:f>IF(R897="","no_claim_delta","claim_delta_present")</x:f>
        <x:v>no_claim_delta</x:v>
      </x:c>
      <x:c r="AB897" s="12" t="str">
        <x:f>IF(S897="","no_contradiction_delta","contradiction_delta_present")</x:f>
        <x:v>no_contradiction_delta</x:v>
      </x:c>
      <x:c r="AC897" s="12" t="str">
        <x:f>IF(OR(ISNUMBER(SEARCH("hacker",LOWER(F897&amp;" "&amp;H897&amp;" "&amp;I897&amp;" "&amp;M897&amp;" "&amp;N897&amp;" "&amp;T897))),ISNUMBER(SEARCH("hacking",LOWER(F897&amp;" "&amp;H897&amp;" "&amp;I897&amp;" "&amp;M897&amp;" "&amp;N897&amp;" "&amp;T897))),ISNUMBER(SEARCH("bank",LOWER(F897&amp;" "&amp;H897&amp;" "&amp;I897&amp;" "&amp;M897&amp;" "&amp;N897&amp;" "&amp;T897))),ISNUMBER(SEARCH("banking",LOWER(F897&amp;" "&amp;H897&amp;" "&amp;I897&amp;" "&amp;M897&amp;" "&amp;N897&amp;" "&amp;T897)))),"PRIVATE_QUARANTINE",IF(OR(ISNUMBER(SEARCH("treasury",LOWER(F897&amp;" "&amp;H897&amp;" "&amp;I897&amp;" "&amp;M897&amp;" "&amp;N897&amp;" "&amp;T897))),ISNUMBER(SEARCH("debt",LOWER(F897&amp;" "&amp;H897&amp;" "&amp;I897&amp;" "&amp;M897&amp;" "&amp;N897&amp;" "&amp;T897))),ISNUMBER(SEARCH("bond",LOWER(F897&amp;" "&amp;H897&amp;" "&amp;I897&amp;" "&amp;M897&amp;" "&amp;N897&amp;" "&amp;T897))),ISNUMBER(SEARCH("transaction",LOWER(F897&amp;" "&amp;H897&amp;" "&amp;I897&amp;" "&amp;M897&amp;" "&amp;N897&amp;" "&amp;T897)))),"PRIVATE_REVIEW","PUBLIC_CANDIDATE"))</x:f>
        <x:v>PUBLIC_CANDIDATE</x:v>
      </x:c>
      <x:c r="AD897" s="12" t="str">
        <x:f>IF(AC897="PRIVATE_QUARANTINE","hacker_or_bank_trigger",IF(AC897="PRIVATE_REVIEW","finance_risk_trigger","none"))</x:f>
        <x:v>none</x:v>
      </x:c>
      <x:c r="AE897" s="12" t="str">
        <x:f>IF(AC897="PUBLIC_CANDIDATE","prepare_public_github_candidate",IF(AC897="PRIVATE_REVIEW","hold_for_private_review","quarantine_private_do_not_publish"))</x:f>
        <x:v>prepare_public_github_candidate</x:v>
      </x:c>
      <x:c r="AF897" s="12" t="str">
        <x:f>IF(AC897="PUBLIC_CANDIDATE","TIDELOCK + Lucerna",IF(AC897="PRIVATE_REVIEW","AtlasBrain + Lucerna","TIDELOCK + Lucerna + Human-root"))</x:f>
        <x:v>TIDELOCK + Lucerna</x:v>
      </x:c>
      <x:c r="AG897" s="12" t="str">
        <x:f>IF(AND(AC897="PUBLIC_CANDIDATE",U897&lt;&gt;"BLOCKED_PENDING_RECEIPT"),"READY_AFTER_RECEIPT","NOT_READY")</x:f>
        <x:v>NOT_READY</x:v>
      </x:c>
      <x:c r="AH897" s="12" t="str">
        <x:f>IF(AC897="PUBLIC_CANDIDATE","none",AD897)</x:f>
        <x:v>none</x:v>
      </x:c>
      <x:c r="AI897" s="12" t="str">
        <x:f>IF(AC897="PUBLIC_CANDIDATE","archive/public_candidates/"&amp;A897,"private_quarantine/"&amp;A897)</x:f>
        <x:v>archive/public_candidates/SWARM-07-H03-S08</x:v>
      </x:c>
      <x:c r="AJ897" s="12" t="str">
        <x:f>IF(AC897="PUBLIC_CANDIDATE","public by default; still not canon","private/hold; do not publish")</x:f>
        <x:v>public by default; still not canon</x:v>
      </x:c>
      <x:c r="AK897" s="12" t="str">
        <x:f>IF(AE897="prepare_public_github_candidate","add receipt/status then mirror","resolve blocker before any public GitHub action")</x:f>
        <x:v>add receipt/status then mirror</x:v>
      </x:c>
    </x:row>
    <x:row r="898">
      <x:c r="A898" s="15" t="str">
        <x:v>SWARM-07-H03-S09</x:v>
      </x:c>
      <x:c r="B898" s="15" t="str">
        <x:v>Domechild</x:v>
      </x:c>
      <x:c r="C898" s="15" t="str">
        <x:v>Planetarium lane builder</x:v>
      </x:c>
      <x:c r="D898" s="15" t="str">
        <x:v>Raw Export Recovery</x:v>
      </x:c>
      <x:c r="E898" s="15" t="str">
        <x:v>Aetherforge</x:v>
      </x:c>
      <x:c r="F898" s="15" t="str">
        <x:v>Recover raw exports for Aetherforge — Domechild</x:v>
      </x:c>
      <x:c r="G898" s="15" t="str">
        <x:v>planetarium source packets / civic-science deltas</x:v>
      </x:c>
      <x:c r="H898" s="15" t="str">
        <x:v>source path + receipt + raw/export status + claim/edge/risk delta</x:v>
      </x:c>
      <x:c r="I898" s="15" t="str">
        <x:v>packet/SWARM-07-H03-S09</x:v>
      </x:c>
      <x:c r="J898" s="15" t="str">
        <x:v>TODO</x:v>
      </x:c>
      <x:c r="K898" s="15" t="str">
        <x:v>P2</x:v>
      </x:c>
      <x:c r="L898" s="15" t="str">
        <x:v>Done only when evidence is logged, contradiction search is noted, and boundary stamp remains non-canon unless ratified</x:v>
      </x:c>
      <x:c r="M898" s="15" t="str">
        <x:v>candidate / staging-only / not canon / not deployed / authority none</x:v>
      </x:c>
      <x:c r="N898" s="15" t="str">
        <x:v>Dispatch to Domechild: complete Raw Export Recovery x Aetherforge; return deltas only, receipts required.</x:v>
      </x:c>
      <x:c r="O898" s="15" t="str">
        <x:v>AF-KG-H03-S09</x:v>
      </x:c>
      <x:c r="P898" s="15" t="str">
        <x:v>Unverified</x:v>
      </x:c>
      <x:c r="Q898" s="15" t="str">
        <x:v>Not checked</x:v>
      </x:c>
      <x:c r="R898" s="15" t="str"/>
      <x:c r="S898" s="15" t="str"/>
      <x:c r="T898" s="15" t="str">
        <x:v>Log first source path or blocker</x:v>
      </x:c>
      <x:c r="U898" s="12" t="str">
        <x:f>IF(OR(P898="Unverified",Q898="Not checked"),"BLOCKED_PENDING_RECEIPT","READY_FOR_REVIEW")</x:f>
        <x:v>BLOCKED_PENDING_RECEIPT</x:v>
      </x:c>
      <x:c r="V898" s="12" t="str">
        <x:f>IF(J898="DONE","RETURNED",IF(U898="BLOCKED_PENDING_RECEIPT","SOURCE_TOUCH_REQUIRED","IN_PROGRESS"))</x:f>
        <x:v>SOURCE_TOUCH_REQUIRED</x:v>
      </x:c>
      <x:c r="W898" s="12" t="str">
        <x:f>IF(P898="Unverified","missing_receipt","receipt_logged")</x:f>
        <x:v>missing_receipt</x:v>
      </x:c>
      <x:c r="X898" s="12" t="str">
        <x:f>IF(Q898="Not checked","raw_status_missing","raw_status_logged")</x:f>
        <x:v>raw_status_missing</x:v>
      </x:c>
      <x:c r="Y898" s="12" t="str">
        <x:f>IF(U898="BLOCKED_PENDING_RECEIPT","Log source path or blocker; do not promote","Route to review lane")</x:f>
        <x:v>Log source path or blocker; do not promote</x:v>
      </x:c>
      <x:c r="Z898" s="12" t="str">
        <x:f>IF(K898="P0","Primary seat + Hashlight/Lucerna","Seat lane")</x:f>
        <x:v>Seat lane</x:v>
      </x:c>
      <x:c r="AA898" s="12" t="str">
        <x:f>IF(R898="","no_claim_delta","claim_delta_present")</x:f>
        <x:v>no_claim_delta</x:v>
      </x:c>
      <x:c r="AB898" s="12" t="str">
        <x:f>IF(S898="","no_contradiction_delta","contradiction_delta_present")</x:f>
        <x:v>no_contradiction_delta</x:v>
      </x:c>
      <x:c r="AC898" s="12" t="str">
        <x:f>IF(OR(ISNUMBER(SEARCH("hacker",LOWER(F898&amp;" "&amp;H898&amp;" "&amp;I898&amp;" "&amp;M898&amp;" "&amp;N898&amp;" "&amp;T898))),ISNUMBER(SEARCH("hacking",LOWER(F898&amp;" "&amp;H898&amp;" "&amp;I898&amp;" "&amp;M898&amp;" "&amp;N898&amp;" "&amp;T898))),ISNUMBER(SEARCH("bank",LOWER(F898&amp;" "&amp;H898&amp;" "&amp;I898&amp;" "&amp;M898&amp;" "&amp;N898&amp;" "&amp;T898))),ISNUMBER(SEARCH("banking",LOWER(F898&amp;" "&amp;H898&amp;" "&amp;I898&amp;" "&amp;M898&amp;" "&amp;N898&amp;" "&amp;T898)))),"PRIVATE_QUARANTINE",IF(OR(ISNUMBER(SEARCH("treasury",LOWER(F898&amp;" "&amp;H898&amp;" "&amp;I898&amp;" "&amp;M898&amp;" "&amp;N898&amp;" "&amp;T898))),ISNUMBER(SEARCH("debt",LOWER(F898&amp;" "&amp;H898&amp;" "&amp;I898&amp;" "&amp;M898&amp;" "&amp;N898&amp;" "&amp;T898))),ISNUMBER(SEARCH("bond",LOWER(F898&amp;" "&amp;H898&amp;" "&amp;I898&amp;" "&amp;M898&amp;" "&amp;N898&amp;" "&amp;T898))),ISNUMBER(SEARCH("transaction",LOWER(F898&amp;" "&amp;H898&amp;" "&amp;I898&amp;" "&amp;M898&amp;" "&amp;N898&amp;" "&amp;T898)))),"PRIVATE_REVIEW","PUBLIC_CANDIDATE"))</x:f>
        <x:v>PUBLIC_CANDIDATE</x:v>
      </x:c>
      <x:c r="AD898" s="12" t="str">
        <x:f>IF(AC898="PRIVATE_QUARANTINE","hacker_or_bank_trigger",IF(AC898="PRIVATE_REVIEW","finance_risk_trigger","none"))</x:f>
        <x:v>none</x:v>
      </x:c>
      <x:c r="AE898" s="12" t="str">
        <x:f>IF(AC898="PUBLIC_CANDIDATE","prepare_public_github_candidate",IF(AC898="PRIVATE_REVIEW","hold_for_private_review","quarantine_private_do_not_publish"))</x:f>
        <x:v>prepare_public_github_candidate</x:v>
      </x:c>
      <x:c r="AF898" s="12" t="str">
        <x:f>IF(AC898="PUBLIC_CANDIDATE","TIDELOCK + Lucerna",IF(AC898="PRIVATE_REVIEW","AtlasBrain + Lucerna","TIDELOCK + Lucerna + Human-root"))</x:f>
        <x:v>TIDELOCK + Lucerna</x:v>
      </x:c>
      <x:c r="AG898" s="12" t="str">
        <x:f>IF(AND(AC898="PUBLIC_CANDIDATE",U898&lt;&gt;"BLOCKED_PENDING_RECEIPT"),"READY_AFTER_RECEIPT","NOT_READY")</x:f>
        <x:v>NOT_READY</x:v>
      </x:c>
      <x:c r="AH898" s="12" t="str">
        <x:f>IF(AC898="PUBLIC_CANDIDATE","none",AD898)</x:f>
        <x:v>none</x:v>
      </x:c>
      <x:c r="AI898" s="12" t="str">
        <x:f>IF(AC898="PUBLIC_CANDIDATE","archive/public_candidates/"&amp;A898,"private_quarantine/"&amp;A898)</x:f>
        <x:v>archive/public_candidates/SWARM-07-H03-S09</x:v>
      </x:c>
      <x:c r="AJ898" s="12" t="str">
        <x:f>IF(AC898="PUBLIC_CANDIDATE","public by default; still not canon","private/hold; do not publish")</x:f>
        <x:v>public by default; still not canon</x:v>
      </x:c>
      <x:c r="AK898" s="12" t="str">
        <x:f>IF(AE898="prepare_public_github_candidate","add receipt/status then mirror","resolve blocker before any public GitHub action")</x:f>
        <x:v>add receipt/status then mirror</x:v>
      </x:c>
    </x:row>
    <x:row r="899">
      <x:c r="A899" s="15" t="str">
        <x:v>SWARM-07-H03-S10</x:v>
      </x:c>
      <x:c r="B899" s="15" t="str">
        <x:v>Domechild</x:v>
      </x:c>
      <x:c r="C899" s="15" t="str">
        <x:v>Planetarium lane builder</x:v>
      </x:c>
      <x:c r="D899" s="15" t="str">
        <x:v>Raw Export Recovery</x:v>
      </x:c>
      <x:c r="E899" s="15" t="str">
        <x:v>Human-Root</x:v>
      </x:c>
      <x:c r="F899" s="15" t="str">
        <x:v>Recover raw exports for Human-Root — Domechild</x:v>
      </x:c>
      <x:c r="G899" s="15" t="str">
        <x:v>planetarium source packets / civic-science deltas</x:v>
      </x:c>
      <x:c r="H899" s="15" t="str">
        <x:v>source path + receipt + raw/export status + claim/edge/risk delta</x:v>
      </x:c>
      <x:c r="I899" s="15" t="str">
        <x:v>packet/SWARM-07-H03-S10</x:v>
      </x:c>
      <x:c r="J899" s="15" t="str">
        <x:v>TODO</x:v>
      </x:c>
      <x:c r="K899" s="15" t="str">
        <x:v>P2</x:v>
      </x:c>
      <x:c r="L899" s="15" t="str">
        <x:v>Done only when evidence is logged, contradiction search is noted, and boundary stamp remains non-canon unless ratified</x:v>
      </x:c>
      <x:c r="M899" s="15" t="str">
        <x:v>candidate / staging-only / not canon / not deployed / authority none</x:v>
      </x:c>
      <x:c r="N899" s="15" t="str">
        <x:v>Dispatch to Domechild: complete Raw Export Recovery x Human-Root; return deltas only, receipts required.</x:v>
      </x:c>
      <x:c r="O899" s="15" t="str">
        <x:v>AF-KG-H03-S10</x:v>
      </x:c>
      <x:c r="P899" s="15" t="str">
        <x:v>Unverified</x:v>
      </x:c>
      <x:c r="Q899" s="15" t="str">
        <x:v>Not checked</x:v>
      </x:c>
      <x:c r="R899" s="15" t="str"/>
      <x:c r="S899" s="15" t="str"/>
      <x:c r="T899" s="15" t="str">
        <x:v>Log first source path or blocker</x:v>
      </x:c>
      <x:c r="U899" s="12" t="str">
        <x:f>IF(OR(P899="Unverified",Q899="Not checked"),"BLOCKED_PENDING_RECEIPT","READY_FOR_REVIEW")</x:f>
        <x:v>BLOCKED_PENDING_RECEIPT</x:v>
      </x:c>
      <x:c r="V899" s="12" t="str">
        <x:f>IF(J899="DONE","RETURNED",IF(U899="BLOCKED_PENDING_RECEIPT","SOURCE_TOUCH_REQUIRED","IN_PROGRESS"))</x:f>
        <x:v>SOURCE_TOUCH_REQUIRED</x:v>
      </x:c>
      <x:c r="W899" s="12" t="str">
        <x:f>IF(P899="Unverified","missing_receipt","receipt_logged")</x:f>
        <x:v>missing_receipt</x:v>
      </x:c>
      <x:c r="X899" s="12" t="str">
        <x:f>IF(Q899="Not checked","raw_status_missing","raw_status_logged")</x:f>
        <x:v>raw_status_missing</x:v>
      </x:c>
      <x:c r="Y899" s="12" t="str">
        <x:f>IF(U899="BLOCKED_PENDING_RECEIPT","Log source path or blocker; do not promote","Route to review lane")</x:f>
        <x:v>Log source path or blocker; do not promote</x:v>
      </x:c>
      <x:c r="Z899" s="12" t="str">
        <x:f>IF(K899="P0","Primary seat + Hashlight/Lucerna","Seat lane")</x:f>
        <x:v>Seat lane</x:v>
      </x:c>
      <x:c r="AA899" s="12" t="str">
        <x:f>IF(R899="","no_claim_delta","claim_delta_present")</x:f>
        <x:v>no_claim_delta</x:v>
      </x:c>
      <x:c r="AB899" s="12" t="str">
        <x:f>IF(S899="","no_contradiction_delta","contradiction_delta_present")</x:f>
        <x:v>no_contradiction_delta</x:v>
      </x:c>
      <x:c r="AC899" s="12" t="str">
        <x:f>IF(OR(ISNUMBER(SEARCH("hacker",LOWER(F899&amp;" "&amp;H899&amp;" "&amp;I899&amp;" "&amp;M899&amp;" "&amp;N899&amp;" "&amp;T899))),ISNUMBER(SEARCH("hacking",LOWER(F899&amp;" "&amp;H899&amp;" "&amp;I899&amp;" "&amp;M899&amp;" "&amp;N899&amp;" "&amp;T899))),ISNUMBER(SEARCH("bank",LOWER(F899&amp;" "&amp;H899&amp;" "&amp;I899&amp;" "&amp;M899&amp;" "&amp;N899&amp;" "&amp;T899))),ISNUMBER(SEARCH("banking",LOWER(F899&amp;" "&amp;H899&amp;" "&amp;I899&amp;" "&amp;M899&amp;" "&amp;N899&amp;" "&amp;T899)))),"PRIVATE_QUARANTINE",IF(OR(ISNUMBER(SEARCH("treasury",LOWER(F899&amp;" "&amp;H899&amp;" "&amp;I899&amp;" "&amp;M899&amp;" "&amp;N899&amp;" "&amp;T899))),ISNUMBER(SEARCH("debt",LOWER(F899&amp;" "&amp;H899&amp;" "&amp;I899&amp;" "&amp;M899&amp;" "&amp;N899&amp;" "&amp;T899))),ISNUMBER(SEARCH("bond",LOWER(F899&amp;" "&amp;H899&amp;" "&amp;I899&amp;" "&amp;M899&amp;" "&amp;N899&amp;" "&amp;T899))),ISNUMBER(SEARCH("transaction",LOWER(F899&amp;" "&amp;H899&amp;" "&amp;I899&amp;" "&amp;M899&amp;" "&amp;N899&amp;" "&amp;T899)))),"PRIVATE_REVIEW","PUBLIC_CANDIDATE"))</x:f>
        <x:v>PUBLIC_CANDIDATE</x:v>
      </x:c>
      <x:c r="AD899" s="12" t="str">
        <x:f>IF(AC899="PRIVATE_QUARANTINE","hacker_or_bank_trigger",IF(AC899="PRIVATE_REVIEW","finance_risk_trigger","none"))</x:f>
        <x:v>none</x:v>
      </x:c>
      <x:c r="AE899" s="12" t="str">
        <x:f>IF(AC899="PUBLIC_CANDIDATE","prepare_public_github_candidate",IF(AC899="PRIVATE_REVIEW","hold_for_private_review","quarantine_private_do_not_publish"))</x:f>
        <x:v>prepare_public_github_candidate</x:v>
      </x:c>
      <x:c r="AF899" s="12" t="str">
        <x:f>IF(AC899="PUBLIC_CANDIDATE","TIDELOCK + Lucerna",IF(AC899="PRIVATE_REVIEW","AtlasBrain + Lucerna","TIDELOCK + Lucerna + Human-root"))</x:f>
        <x:v>TIDELOCK + Lucerna</x:v>
      </x:c>
      <x:c r="AG899" s="12" t="str">
        <x:f>IF(AND(AC899="PUBLIC_CANDIDATE",U899&lt;&gt;"BLOCKED_PENDING_RECEIPT"),"READY_AFTER_RECEIPT","NOT_READY")</x:f>
        <x:v>NOT_READY</x:v>
      </x:c>
      <x:c r="AH899" s="12" t="str">
        <x:f>IF(AC899="PUBLIC_CANDIDATE","none",AD899)</x:f>
        <x:v>none</x:v>
      </x:c>
      <x:c r="AI899" s="12" t="str">
        <x:f>IF(AC899="PUBLIC_CANDIDATE","archive/public_candidates/"&amp;A899,"private_quarantine/"&amp;A899)</x:f>
        <x:v>archive/public_candidates/SWARM-07-H03-S10</x:v>
      </x:c>
      <x:c r="AJ899" s="12" t="str">
        <x:f>IF(AC899="PUBLIC_CANDIDATE","public by default; still not canon","private/hold; do not publish")</x:f>
        <x:v>public by default; still not canon</x:v>
      </x:c>
      <x:c r="AK899" s="12" t="str">
        <x:f>IF(AE899="prepare_public_github_candidate","add receipt/status then mirror","resolve blocker before any public GitHub action")</x:f>
        <x:v>add receipt/status then mirror</x:v>
      </x:c>
    </x:row>
    <x:row r="900">
      <x:c r="A900" s="15" t="str">
        <x:v>SWARM-07-H03-S11</x:v>
      </x:c>
      <x:c r="B900" s="15" t="str">
        <x:v>Domechild</x:v>
      </x:c>
      <x:c r="C900" s="15" t="str">
        <x:v>Planetarium lane builder</x:v>
      </x:c>
      <x:c r="D900" s="15" t="str">
        <x:v>Raw Export Recovery</x:v>
      </x:c>
      <x:c r="E900" s="15" t="str">
        <x:v>Automation</x:v>
      </x:c>
      <x:c r="F900" s="15" t="str">
        <x:v>Recover raw exports for Automation — Domechild</x:v>
      </x:c>
      <x:c r="G900" s="15" t="str">
        <x:v>planetarium source packets / civic-science deltas</x:v>
      </x:c>
      <x:c r="H900" s="15" t="str">
        <x:v>source path + receipt + raw/export status + claim/edge/risk delta</x:v>
      </x:c>
      <x:c r="I900" s="15" t="str">
        <x:v>packet/SWARM-07-H03-S11</x:v>
      </x:c>
      <x:c r="J900" s="15" t="str">
        <x:v>TODO</x:v>
      </x:c>
      <x:c r="K900" s="15" t="str">
        <x:v>P2</x:v>
      </x:c>
      <x:c r="L900" s="15" t="str">
        <x:v>Done only when evidence is logged, contradiction search is noted, and boundary stamp remains non-canon unless ratified</x:v>
      </x:c>
      <x:c r="M900" s="15" t="str">
        <x:v>candidate / staging-only / not canon / not deployed / authority none</x:v>
      </x:c>
      <x:c r="N900" s="15" t="str">
        <x:v>Dispatch to Domechild: complete Raw Export Recovery x Automation; return deltas only, receipts required.</x:v>
      </x:c>
      <x:c r="O900" s="15" t="str">
        <x:v>AF-KG-H03-S11</x:v>
      </x:c>
      <x:c r="P900" s="15" t="str">
        <x:v>Unverified</x:v>
      </x:c>
      <x:c r="Q900" s="15" t="str">
        <x:v>Not checked</x:v>
      </x:c>
      <x:c r="R900" s="15" t="str"/>
      <x:c r="S900" s="15" t="str"/>
      <x:c r="T900" s="15" t="str">
        <x:v>Log first source path or blocker</x:v>
      </x:c>
      <x:c r="U900" s="12" t="str">
        <x:f>IF(OR(P900="Unverified",Q900="Not checked"),"BLOCKED_PENDING_RECEIPT","READY_FOR_REVIEW")</x:f>
        <x:v>BLOCKED_PENDING_RECEIPT</x:v>
      </x:c>
      <x:c r="V900" s="12" t="str">
        <x:f>IF(J900="DONE","RETURNED",IF(U900="BLOCKED_PENDING_RECEIPT","SOURCE_TOUCH_REQUIRED","IN_PROGRESS"))</x:f>
        <x:v>SOURCE_TOUCH_REQUIRED</x:v>
      </x:c>
      <x:c r="W900" s="12" t="str">
        <x:f>IF(P900="Unverified","missing_receipt","receipt_logged")</x:f>
        <x:v>missing_receipt</x:v>
      </x:c>
      <x:c r="X900" s="12" t="str">
        <x:f>IF(Q900="Not checked","raw_status_missing","raw_status_logged")</x:f>
        <x:v>raw_status_missing</x:v>
      </x:c>
      <x:c r="Y900" s="12" t="str">
        <x:f>IF(U900="BLOCKED_PENDING_RECEIPT","Log source path or blocker; do not promote","Route to review lane")</x:f>
        <x:v>Log source path or blocker; do not promote</x:v>
      </x:c>
      <x:c r="Z900" s="12" t="str">
        <x:f>IF(K900="P0","Primary seat + Hashlight/Lucerna","Seat lane")</x:f>
        <x:v>Seat lane</x:v>
      </x:c>
      <x:c r="AA900" s="12" t="str">
        <x:f>IF(R900="","no_claim_delta","claim_delta_present")</x:f>
        <x:v>no_claim_delta</x:v>
      </x:c>
      <x:c r="AB900" s="12" t="str">
        <x:f>IF(S900="","no_contradiction_delta","contradiction_delta_present")</x:f>
        <x:v>no_contradiction_delta</x:v>
      </x:c>
      <x:c r="AC900" s="12" t="str">
        <x:f>IF(OR(ISNUMBER(SEARCH("hacker",LOWER(F900&amp;" "&amp;H900&amp;" "&amp;I900&amp;" "&amp;M900&amp;" "&amp;N900&amp;" "&amp;T900))),ISNUMBER(SEARCH("hacking",LOWER(F900&amp;" "&amp;H900&amp;" "&amp;I900&amp;" "&amp;M900&amp;" "&amp;N900&amp;" "&amp;T900))),ISNUMBER(SEARCH("bank",LOWER(F900&amp;" "&amp;H900&amp;" "&amp;I900&amp;" "&amp;M900&amp;" "&amp;N900&amp;" "&amp;T900))),ISNUMBER(SEARCH("banking",LOWER(F900&amp;" "&amp;H900&amp;" "&amp;I900&amp;" "&amp;M900&amp;" "&amp;N900&amp;" "&amp;T900)))),"PRIVATE_QUARANTINE",IF(OR(ISNUMBER(SEARCH("treasury",LOWER(F900&amp;" "&amp;H900&amp;" "&amp;I900&amp;" "&amp;M900&amp;" "&amp;N900&amp;" "&amp;T900))),ISNUMBER(SEARCH("debt",LOWER(F900&amp;" "&amp;H900&amp;" "&amp;I900&amp;" "&amp;M900&amp;" "&amp;N900&amp;" "&amp;T900))),ISNUMBER(SEARCH("bond",LOWER(F900&amp;" "&amp;H900&amp;" "&amp;I900&amp;" "&amp;M900&amp;" "&amp;N900&amp;" "&amp;T900))),ISNUMBER(SEARCH("transaction",LOWER(F900&amp;" "&amp;H900&amp;" "&amp;I900&amp;" "&amp;M900&amp;" "&amp;N900&amp;" "&amp;T900)))),"PRIVATE_REVIEW","PUBLIC_CANDIDATE"))</x:f>
        <x:v>PUBLIC_CANDIDATE</x:v>
      </x:c>
      <x:c r="AD900" s="12" t="str">
        <x:f>IF(AC900="PRIVATE_QUARANTINE","hacker_or_bank_trigger",IF(AC900="PRIVATE_REVIEW","finance_risk_trigger","none"))</x:f>
        <x:v>none</x:v>
      </x:c>
      <x:c r="AE900" s="12" t="str">
        <x:f>IF(AC900="PUBLIC_CANDIDATE","prepare_public_github_candidate",IF(AC900="PRIVATE_REVIEW","hold_for_private_review","quarantine_private_do_not_publish"))</x:f>
        <x:v>prepare_public_github_candidate</x:v>
      </x:c>
      <x:c r="AF900" s="12" t="str">
        <x:f>IF(AC900="PUBLIC_CANDIDATE","TIDELOCK + Lucerna",IF(AC900="PRIVATE_REVIEW","AtlasBrain + Lucerna","TIDELOCK + Lucerna + Human-root"))</x:f>
        <x:v>TIDELOCK + Lucerna</x:v>
      </x:c>
      <x:c r="AG900" s="12" t="str">
        <x:f>IF(AND(AC900="PUBLIC_CANDIDATE",U900&lt;&gt;"BLOCKED_PENDING_RECEIPT"),"READY_AFTER_RECEIPT","NOT_READY")</x:f>
        <x:v>NOT_READY</x:v>
      </x:c>
      <x:c r="AH900" s="12" t="str">
        <x:f>IF(AC900="PUBLIC_CANDIDATE","none",AD900)</x:f>
        <x:v>none</x:v>
      </x:c>
      <x:c r="AI900" s="12" t="str">
        <x:f>IF(AC900="PUBLIC_CANDIDATE","archive/public_candidates/"&amp;A900,"private_quarantine/"&amp;A900)</x:f>
        <x:v>archive/public_candidates/SWARM-07-H03-S11</x:v>
      </x:c>
      <x:c r="AJ900" s="12" t="str">
        <x:f>IF(AC900="PUBLIC_CANDIDATE","public by default; still not canon","private/hold; do not publish")</x:f>
        <x:v>public by default; still not canon</x:v>
      </x:c>
      <x:c r="AK900" s="12" t="str">
        <x:f>IF(AE900="prepare_public_github_candidate","add receipt/status then mirror","resolve blocker before any public GitHub action")</x:f>
        <x:v>add receipt/status then mirror</x:v>
      </x:c>
    </x:row>
    <x:row r="901">
      <x:c r="A901" s="15" t="str">
        <x:v>SWARM-07-H03-S12</x:v>
      </x:c>
      <x:c r="B901" s="15" t="str">
        <x:v>Domechild</x:v>
      </x:c>
      <x:c r="C901" s="15" t="str">
        <x:v>Planetarium lane builder</x:v>
      </x:c>
      <x:c r="D901" s="15" t="str">
        <x:v>Raw Export Recovery</x:v>
      </x:c>
      <x:c r="E901" s="15" t="str">
        <x:v>Risk / Safety</x:v>
      </x:c>
      <x:c r="F901" s="15" t="str">
        <x:v>Recover raw exports for Risk / Safety — Domechild</x:v>
      </x:c>
      <x:c r="G901" s="15" t="str">
        <x:v>planetarium source packets / civic-science deltas</x:v>
      </x:c>
      <x:c r="H901" s="15" t="str">
        <x:v>source path + receipt + raw/export status + claim/edge/risk delta</x:v>
      </x:c>
      <x:c r="I901" s="15" t="str">
        <x:v>packet/SWARM-07-H03-S12</x:v>
      </x:c>
      <x:c r="J901" s="15" t="str">
        <x:v>TODO</x:v>
      </x:c>
      <x:c r="K901" s="15" t="str">
        <x:v>P2</x:v>
      </x:c>
      <x:c r="L901" s="15" t="str">
        <x:v>Done only when evidence is logged, contradiction search is noted, and boundary stamp remains non-canon unless ratified</x:v>
      </x:c>
      <x:c r="M901" s="15" t="str">
        <x:v>candidate / staging-only / not canon / not deployed / authority none</x:v>
      </x:c>
      <x:c r="N901" s="15" t="str">
        <x:v>Dispatch to Domechild: complete Raw Export Recovery x Risk / Safety; return deltas only, receipts required.</x:v>
      </x:c>
      <x:c r="O901" s="15" t="str">
        <x:v>AF-KG-H03-S12</x:v>
      </x:c>
      <x:c r="P901" s="15" t="str">
        <x:v>Unverified</x:v>
      </x:c>
      <x:c r="Q901" s="15" t="str">
        <x:v>Not checked</x:v>
      </x:c>
      <x:c r="R901" s="15" t="str"/>
      <x:c r="S901" s="15" t="str"/>
      <x:c r="T901" s="15" t="str">
        <x:v>Log first source path or blocker</x:v>
      </x:c>
      <x:c r="U901" s="12" t="str">
        <x:f>IF(OR(P901="Unverified",Q901="Not checked"),"BLOCKED_PENDING_RECEIPT","READY_FOR_REVIEW")</x:f>
        <x:v>BLOCKED_PENDING_RECEIPT</x:v>
      </x:c>
      <x:c r="V901" s="12" t="str">
        <x:f>IF(J901="DONE","RETURNED",IF(U901="BLOCKED_PENDING_RECEIPT","SOURCE_TOUCH_REQUIRED","IN_PROGRESS"))</x:f>
        <x:v>SOURCE_TOUCH_REQUIRED</x:v>
      </x:c>
      <x:c r="W901" s="12" t="str">
        <x:f>IF(P901="Unverified","missing_receipt","receipt_logged")</x:f>
        <x:v>missing_receipt</x:v>
      </x:c>
      <x:c r="X901" s="12" t="str">
        <x:f>IF(Q901="Not checked","raw_status_missing","raw_status_logged")</x:f>
        <x:v>raw_status_missing</x:v>
      </x:c>
      <x:c r="Y901" s="12" t="str">
        <x:f>IF(U901="BLOCKED_PENDING_RECEIPT","Log source path or blocker; do not promote","Route to review lane")</x:f>
        <x:v>Log source path or blocker; do not promote</x:v>
      </x:c>
      <x:c r="Z901" s="12" t="str">
        <x:f>IF(K901="P0","Primary seat + Hashlight/Lucerna","Seat lane")</x:f>
        <x:v>Seat lane</x:v>
      </x:c>
      <x:c r="AA901" s="12" t="str">
        <x:f>IF(R901="","no_claim_delta","claim_delta_present")</x:f>
        <x:v>no_claim_delta</x:v>
      </x:c>
      <x:c r="AB901" s="12" t="str">
        <x:f>IF(S901="","no_contradiction_delta","contradiction_delta_present")</x:f>
        <x:v>no_contradiction_delta</x:v>
      </x:c>
      <x:c r="AC901" s="12" t="str">
        <x:f>IF(OR(ISNUMBER(SEARCH("hacker",LOWER(F901&amp;" "&amp;H901&amp;" "&amp;I901&amp;" "&amp;M901&amp;" "&amp;N901&amp;" "&amp;T901))),ISNUMBER(SEARCH("hacking",LOWER(F901&amp;" "&amp;H901&amp;" "&amp;I901&amp;" "&amp;M901&amp;" "&amp;N901&amp;" "&amp;T901))),ISNUMBER(SEARCH("bank",LOWER(F901&amp;" "&amp;H901&amp;" "&amp;I901&amp;" "&amp;M901&amp;" "&amp;N901&amp;" "&amp;T901))),ISNUMBER(SEARCH("banking",LOWER(F901&amp;" "&amp;H901&amp;" "&amp;I901&amp;" "&amp;M901&amp;" "&amp;N901&amp;" "&amp;T901)))),"PRIVATE_QUARANTINE",IF(OR(ISNUMBER(SEARCH("treasury",LOWER(F901&amp;" "&amp;H901&amp;" "&amp;I901&amp;" "&amp;M901&amp;" "&amp;N901&amp;" "&amp;T901))),ISNUMBER(SEARCH("debt",LOWER(F901&amp;" "&amp;H901&amp;" "&amp;I901&amp;" "&amp;M901&amp;" "&amp;N901&amp;" "&amp;T901))),ISNUMBER(SEARCH("bond",LOWER(F901&amp;" "&amp;H901&amp;" "&amp;I901&amp;" "&amp;M901&amp;" "&amp;N901&amp;" "&amp;T901))),ISNUMBER(SEARCH("transaction",LOWER(F901&amp;" "&amp;H901&amp;" "&amp;I901&amp;" "&amp;M901&amp;" "&amp;N901&amp;" "&amp;T901)))),"PRIVATE_REVIEW","PUBLIC_CANDIDATE"))</x:f>
        <x:v>PUBLIC_CANDIDATE</x:v>
      </x:c>
      <x:c r="AD901" s="12" t="str">
        <x:f>IF(AC901="PRIVATE_QUARANTINE","hacker_or_bank_trigger",IF(AC901="PRIVATE_REVIEW","finance_risk_trigger","none"))</x:f>
        <x:v>none</x:v>
      </x:c>
      <x:c r="AE901" s="12" t="str">
        <x:f>IF(AC901="PUBLIC_CANDIDATE","prepare_public_github_candidate",IF(AC901="PRIVATE_REVIEW","hold_for_private_review","quarantine_private_do_not_publish"))</x:f>
        <x:v>prepare_public_github_candidate</x:v>
      </x:c>
      <x:c r="AF901" s="12" t="str">
        <x:f>IF(AC901="PUBLIC_CANDIDATE","TIDELOCK + Lucerna",IF(AC901="PRIVATE_REVIEW","AtlasBrain + Lucerna","TIDELOCK + Lucerna + Human-root"))</x:f>
        <x:v>TIDELOCK + Lucerna</x:v>
      </x:c>
      <x:c r="AG901" s="12" t="str">
        <x:f>IF(AND(AC901="PUBLIC_CANDIDATE",U901&lt;&gt;"BLOCKED_PENDING_RECEIPT"),"READY_AFTER_RECEIPT","NOT_READY")</x:f>
        <x:v>NOT_READY</x:v>
      </x:c>
      <x:c r="AH901" s="12" t="str">
        <x:f>IF(AC901="PUBLIC_CANDIDATE","none",AD901)</x:f>
        <x:v>none</x:v>
      </x:c>
      <x:c r="AI901" s="12" t="str">
        <x:f>IF(AC901="PUBLIC_CANDIDATE","archive/public_candidates/"&amp;A901,"private_quarantine/"&amp;A901)</x:f>
        <x:v>archive/public_candidates/SWARM-07-H03-S12</x:v>
      </x:c>
      <x:c r="AJ901" s="12" t="str">
        <x:f>IF(AC901="PUBLIC_CANDIDATE","public by default; still not canon","private/hold; do not publish")</x:f>
        <x:v>public by default; still not canon</x:v>
      </x:c>
      <x:c r="AK901" s="12" t="str">
        <x:f>IF(AE901="prepare_public_github_candidate","add receipt/status then mirror","resolve blocker before any public GitHub action")</x:f>
        <x:v>add receipt/status then mirror</x:v>
      </x:c>
    </x:row>
    <x:row r="902">
      <x:c r="A902" s="15" t="str">
        <x:v>SWARM-07-H04-S01</x:v>
      </x:c>
      <x:c r="B902" s="15" t="str">
        <x:v>Domechild</x:v>
      </x:c>
      <x:c r="C902" s="15" t="str">
        <x:v>Planetarium lane builder</x:v>
      </x:c>
      <x:c r="D902" s="15" t="str">
        <x:v>Claim Extraction</x:v>
      </x:c>
      <x:c r="E902" s="15" t="str">
        <x:v>Notion</x:v>
      </x:c>
      <x:c r="F902" s="15" t="str">
        <x:v>Extract claims from Notion — Domechild</x:v>
      </x:c>
      <x:c r="G902" s="15" t="str">
        <x:v>planetarium source packets / civic-science deltas</x:v>
      </x:c>
      <x:c r="H902" s="15" t="str">
        <x:v>source path + receipt + raw/export status + claim/edge/risk delta</x:v>
      </x:c>
      <x:c r="I902" s="15" t="str">
        <x:v>packet/SWARM-07-H04-S01</x:v>
      </x:c>
      <x:c r="J902" s="15" t="str">
        <x:v>TODO</x:v>
      </x:c>
      <x:c r="K902" s="15" t="str">
        <x:v>P0</x:v>
      </x:c>
      <x:c r="L902" s="15" t="str">
        <x:v>Done only when evidence is logged, contradiction search is noted, and boundary stamp remains non-canon unless ratified</x:v>
      </x:c>
      <x:c r="M902" s="15" t="str">
        <x:v>candidate / staging-only / not canon / not deployed / authority none</x:v>
      </x:c>
      <x:c r="N902" s="15" t="str">
        <x:v>Dispatch to Domechild: complete Claim Extraction x Notion; return deltas only, receipts required.</x:v>
      </x:c>
      <x:c r="O902" s="15" t="str">
        <x:v>AF-KG-H04-S01</x:v>
      </x:c>
      <x:c r="P902" s="15" t="str">
        <x:v>Unverified</x:v>
      </x:c>
      <x:c r="Q902" s="15" t="str">
        <x:v>Not checked</x:v>
      </x:c>
      <x:c r="R902" s="15" t="str"/>
      <x:c r="S902" s="15" t="str"/>
      <x:c r="T902" s="15" t="str">
        <x:v>Log first source path or blocker</x:v>
      </x:c>
      <x:c r="U902" s="12" t="str">
        <x:f>IF(OR(P902="Unverified",Q902="Not checked"),"BLOCKED_PENDING_RECEIPT","READY_FOR_REVIEW")</x:f>
        <x:v>BLOCKED_PENDING_RECEIPT</x:v>
      </x:c>
      <x:c r="V902" s="12" t="str">
        <x:f>IF(J902="DONE","RETURNED",IF(U902="BLOCKED_PENDING_RECEIPT","SOURCE_TOUCH_REQUIRED","IN_PROGRESS"))</x:f>
        <x:v>SOURCE_TOUCH_REQUIRED</x:v>
      </x:c>
      <x:c r="W902" s="12" t="str">
        <x:f>IF(P902="Unverified","missing_receipt","receipt_logged")</x:f>
        <x:v>missing_receipt</x:v>
      </x:c>
      <x:c r="X902" s="12" t="str">
        <x:f>IF(Q902="Not checked","raw_status_missing","raw_status_logged")</x:f>
        <x:v>raw_status_missing</x:v>
      </x:c>
      <x:c r="Y902" s="12" t="str">
        <x:f>IF(U902="BLOCKED_PENDING_RECEIPT","Log source path or blocker; do not promote","Route to review lane")</x:f>
        <x:v>Log source path or blocker; do not promote</x:v>
      </x:c>
      <x:c r="Z902" s="12" t="str">
        <x:f>IF(K902="P0","Primary seat + Hashlight/Lucerna","Seat lane")</x:f>
        <x:v>Primary seat + Hashlight/Lucerna</x:v>
      </x:c>
      <x:c r="AA902" s="12" t="str">
        <x:f>IF(R902="","no_claim_delta","claim_delta_present")</x:f>
        <x:v>no_claim_delta</x:v>
      </x:c>
      <x:c r="AB902" s="12" t="str">
        <x:f>IF(S902="","no_contradiction_delta","contradiction_delta_present")</x:f>
        <x:v>no_contradiction_delta</x:v>
      </x:c>
      <x:c r="AC902" s="12" t="str">
        <x:f>IF(OR(ISNUMBER(SEARCH("hacker",LOWER(F902&amp;" "&amp;H902&amp;" "&amp;I902&amp;" "&amp;M902&amp;" "&amp;N902&amp;" "&amp;T902))),ISNUMBER(SEARCH("hacking",LOWER(F902&amp;" "&amp;H902&amp;" "&amp;I902&amp;" "&amp;M902&amp;" "&amp;N902&amp;" "&amp;T902))),ISNUMBER(SEARCH("bank",LOWER(F902&amp;" "&amp;H902&amp;" "&amp;I902&amp;" "&amp;M902&amp;" "&amp;N902&amp;" "&amp;T902))),ISNUMBER(SEARCH("banking",LOWER(F902&amp;" "&amp;H902&amp;" "&amp;I902&amp;" "&amp;M902&amp;" "&amp;N902&amp;" "&amp;T902)))),"PRIVATE_QUARANTINE",IF(OR(ISNUMBER(SEARCH("treasury",LOWER(F902&amp;" "&amp;H902&amp;" "&amp;I902&amp;" "&amp;M902&amp;" "&amp;N902&amp;" "&amp;T902))),ISNUMBER(SEARCH("debt",LOWER(F902&amp;" "&amp;H902&amp;" "&amp;I902&amp;" "&amp;M902&amp;" "&amp;N902&amp;" "&amp;T902))),ISNUMBER(SEARCH("bond",LOWER(F902&amp;" "&amp;H902&amp;" "&amp;I902&amp;" "&amp;M902&amp;" "&amp;N902&amp;" "&amp;T902))),ISNUMBER(SEARCH("transaction",LOWER(F902&amp;" "&amp;H902&amp;" "&amp;I902&amp;" "&amp;M902&amp;" "&amp;N902&amp;" "&amp;T902)))),"PRIVATE_REVIEW","PUBLIC_CANDIDATE"))</x:f>
        <x:v>PUBLIC_CANDIDATE</x:v>
      </x:c>
      <x:c r="AD902" s="12" t="str">
        <x:f>IF(AC902="PRIVATE_QUARANTINE","hacker_or_bank_trigger",IF(AC902="PRIVATE_REVIEW","finance_risk_trigger","none"))</x:f>
        <x:v>none</x:v>
      </x:c>
      <x:c r="AE902" s="12" t="str">
        <x:f>IF(AC902="PUBLIC_CANDIDATE","prepare_public_github_candidate",IF(AC902="PRIVATE_REVIEW","hold_for_private_review","quarantine_private_do_not_publish"))</x:f>
        <x:v>prepare_public_github_candidate</x:v>
      </x:c>
      <x:c r="AF902" s="12" t="str">
        <x:f>IF(AC902="PUBLIC_CANDIDATE","TIDELOCK + Lucerna",IF(AC902="PRIVATE_REVIEW","AtlasBrain + Lucerna","TIDELOCK + Lucerna + Human-root"))</x:f>
        <x:v>TIDELOCK + Lucerna</x:v>
      </x:c>
      <x:c r="AG902" s="12" t="str">
        <x:f>IF(AND(AC902="PUBLIC_CANDIDATE",U902&lt;&gt;"BLOCKED_PENDING_RECEIPT"),"READY_AFTER_RECEIPT","NOT_READY")</x:f>
        <x:v>NOT_READY</x:v>
      </x:c>
      <x:c r="AH902" s="12" t="str">
        <x:f>IF(AC902="PUBLIC_CANDIDATE","none",AD902)</x:f>
        <x:v>none</x:v>
      </x:c>
      <x:c r="AI902" s="12" t="str">
        <x:f>IF(AC902="PUBLIC_CANDIDATE","archive/public_candidates/"&amp;A902,"private_quarantine/"&amp;A902)</x:f>
        <x:v>archive/public_candidates/SWARM-07-H04-S01</x:v>
      </x:c>
      <x:c r="AJ902" s="12" t="str">
        <x:f>IF(AC902="PUBLIC_CANDIDATE","public by default; still not canon","private/hold; do not publish")</x:f>
        <x:v>public by default; still not canon</x:v>
      </x:c>
      <x:c r="AK902" s="12" t="str">
        <x:f>IF(AE902="prepare_public_github_candidate","add receipt/status then mirror","resolve blocker before any public GitHub action")</x:f>
        <x:v>add receipt/status then mirror</x:v>
      </x:c>
    </x:row>
    <x:row r="903">
      <x:c r="A903" s="15" t="str">
        <x:v>SWARM-07-H04-S02</x:v>
      </x:c>
      <x:c r="B903" s="15" t="str">
        <x:v>Domechild</x:v>
      </x:c>
      <x:c r="C903" s="15" t="str">
        <x:v>Planetarium lane builder</x:v>
      </x:c>
      <x:c r="D903" s="15" t="str">
        <x:v>Claim Extraction</x:v>
      </x:c>
      <x:c r="E903" s="15" t="str">
        <x:v>Drive</x:v>
      </x:c>
      <x:c r="F903" s="15" t="str">
        <x:v>Extract claims from Drive — Domechild</x:v>
      </x:c>
      <x:c r="G903" s="15" t="str">
        <x:v>planetarium source packets / civic-science deltas</x:v>
      </x:c>
      <x:c r="H903" s="15" t="str">
        <x:v>source path + receipt + raw/export status + claim/edge/risk delta</x:v>
      </x:c>
      <x:c r="I903" s="15" t="str">
        <x:v>packet/SWARM-07-H04-S02</x:v>
      </x:c>
      <x:c r="J903" s="15" t="str">
        <x:v>TODO</x:v>
      </x:c>
      <x:c r="K903" s="15" t="str">
        <x:v>P0</x:v>
      </x:c>
      <x:c r="L903" s="15" t="str">
        <x:v>Done only when evidence is logged, contradiction search is noted, and boundary stamp remains non-canon unless ratified</x:v>
      </x:c>
      <x:c r="M903" s="15" t="str">
        <x:v>candidate / staging-only / not canon / not deployed / authority none</x:v>
      </x:c>
      <x:c r="N903" s="15" t="str">
        <x:v>Dispatch to Domechild: complete Claim Extraction x Drive; return deltas only, receipts required.</x:v>
      </x:c>
      <x:c r="O903" s="15" t="str">
        <x:v>AF-KG-H04-S02</x:v>
      </x:c>
      <x:c r="P903" s="15" t="str">
        <x:v>Unverified</x:v>
      </x:c>
      <x:c r="Q903" s="15" t="str">
        <x:v>Not checked</x:v>
      </x:c>
      <x:c r="R903" s="15" t="str"/>
      <x:c r="S903" s="15" t="str"/>
      <x:c r="T903" s="15" t="str">
        <x:v>Log first source path or blocker</x:v>
      </x:c>
      <x:c r="U903" s="12" t="str">
        <x:f>IF(OR(P903="Unverified",Q903="Not checked"),"BLOCKED_PENDING_RECEIPT","READY_FOR_REVIEW")</x:f>
        <x:v>BLOCKED_PENDING_RECEIPT</x:v>
      </x:c>
      <x:c r="V903" s="12" t="str">
        <x:f>IF(J903="DONE","RETURNED",IF(U903="BLOCKED_PENDING_RECEIPT","SOURCE_TOUCH_REQUIRED","IN_PROGRESS"))</x:f>
        <x:v>SOURCE_TOUCH_REQUIRED</x:v>
      </x:c>
      <x:c r="W903" s="12" t="str">
        <x:f>IF(P903="Unverified","missing_receipt","receipt_logged")</x:f>
        <x:v>missing_receipt</x:v>
      </x:c>
      <x:c r="X903" s="12" t="str">
        <x:f>IF(Q903="Not checked","raw_status_missing","raw_status_logged")</x:f>
        <x:v>raw_status_missing</x:v>
      </x:c>
      <x:c r="Y903" s="12" t="str">
        <x:f>IF(U903="BLOCKED_PENDING_RECEIPT","Log source path or blocker; do not promote","Route to review lane")</x:f>
        <x:v>Log source path or blocker; do not promote</x:v>
      </x:c>
      <x:c r="Z903" s="12" t="str">
        <x:f>IF(K903="P0","Primary seat + Hashlight/Lucerna","Seat lane")</x:f>
        <x:v>Primary seat + Hashlight/Lucerna</x:v>
      </x:c>
      <x:c r="AA903" s="12" t="str">
        <x:f>IF(R903="","no_claim_delta","claim_delta_present")</x:f>
        <x:v>no_claim_delta</x:v>
      </x:c>
      <x:c r="AB903" s="12" t="str">
        <x:f>IF(S903="","no_contradiction_delta","contradiction_delta_present")</x:f>
        <x:v>no_contradiction_delta</x:v>
      </x:c>
      <x:c r="AC903" s="12" t="str">
        <x:f>IF(OR(ISNUMBER(SEARCH("hacker",LOWER(F903&amp;" "&amp;H903&amp;" "&amp;I903&amp;" "&amp;M903&amp;" "&amp;N903&amp;" "&amp;T903))),ISNUMBER(SEARCH("hacking",LOWER(F903&amp;" "&amp;H903&amp;" "&amp;I903&amp;" "&amp;M903&amp;" "&amp;N903&amp;" "&amp;T903))),ISNUMBER(SEARCH("bank",LOWER(F903&amp;" "&amp;H903&amp;" "&amp;I903&amp;" "&amp;M903&amp;" "&amp;N903&amp;" "&amp;T903))),ISNUMBER(SEARCH("banking",LOWER(F903&amp;" "&amp;H903&amp;" "&amp;I903&amp;" "&amp;M903&amp;" "&amp;N903&amp;" "&amp;T903)))),"PRIVATE_QUARANTINE",IF(OR(ISNUMBER(SEARCH("treasury",LOWER(F903&amp;" "&amp;H903&amp;" "&amp;I903&amp;" "&amp;M903&amp;" "&amp;N903&amp;" "&amp;T903))),ISNUMBER(SEARCH("debt",LOWER(F903&amp;" "&amp;H903&amp;" "&amp;I903&amp;" "&amp;M903&amp;" "&amp;N903&amp;" "&amp;T903))),ISNUMBER(SEARCH("bond",LOWER(F903&amp;" "&amp;H903&amp;" "&amp;I903&amp;" "&amp;M903&amp;" "&amp;N903&amp;" "&amp;T903))),ISNUMBER(SEARCH("transaction",LOWER(F903&amp;" "&amp;H903&amp;" "&amp;I903&amp;" "&amp;M903&amp;" "&amp;N903&amp;" "&amp;T903)))),"PRIVATE_REVIEW","PUBLIC_CANDIDATE"))</x:f>
        <x:v>PUBLIC_CANDIDATE</x:v>
      </x:c>
      <x:c r="AD903" s="12" t="str">
        <x:f>IF(AC903="PRIVATE_QUARANTINE","hacker_or_bank_trigger",IF(AC903="PRIVATE_REVIEW","finance_risk_trigger","none"))</x:f>
        <x:v>none</x:v>
      </x:c>
      <x:c r="AE903" s="12" t="str">
        <x:f>IF(AC903="PUBLIC_CANDIDATE","prepare_public_github_candidate",IF(AC903="PRIVATE_REVIEW","hold_for_private_review","quarantine_private_do_not_publish"))</x:f>
        <x:v>prepare_public_github_candidate</x:v>
      </x:c>
      <x:c r="AF903" s="12" t="str">
        <x:f>IF(AC903="PUBLIC_CANDIDATE","TIDELOCK + Lucerna",IF(AC903="PRIVATE_REVIEW","AtlasBrain + Lucerna","TIDELOCK + Lucerna + Human-root"))</x:f>
        <x:v>TIDELOCK + Lucerna</x:v>
      </x:c>
      <x:c r="AG903" s="12" t="str">
        <x:f>IF(AND(AC903="PUBLIC_CANDIDATE",U903&lt;&gt;"BLOCKED_PENDING_RECEIPT"),"READY_AFTER_RECEIPT","NOT_READY")</x:f>
        <x:v>NOT_READY</x:v>
      </x:c>
      <x:c r="AH903" s="12" t="str">
        <x:f>IF(AC903="PUBLIC_CANDIDATE","none",AD903)</x:f>
        <x:v>none</x:v>
      </x:c>
      <x:c r="AI903" s="12" t="str">
        <x:f>IF(AC903="PUBLIC_CANDIDATE","archive/public_candidates/"&amp;A903,"private_quarantine/"&amp;A903)</x:f>
        <x:v>archive/public_candidates/SWARM-07-H04-S02</x:v>
      </x:c>
      <x:c r="AJ903" s="12" t="str">
        <x:f>IF(AC903="PUBLIC_CANDIDATE","public by default; still not canon","private/hold; do not publish")</x:f>
        <x:v>public by default; still not canon</x:v>
      </x:c>
      <x:c r="AK903" s="12" t="str">
        <x:f>IF(AE903="prepare_public_github_candidate","add receipt/status then mirror","resolve blocker before any public GitHub action")</x:f>
        <x:v>add receipt/status then mirror</x:v>
      </x:c>
    </x:row>
    <x:row r="904">
      <x:c r="A904" s="15" t="str">
        <x:v>SWARM-07-H04-S03</x:v>
      </x:c>
      <x:c r="B904" s="15" t="str">
        <x:v>Domechild</x:v>
      </x:c>
      <x:c r="C904" s="15" t="str">
        <x:v>Planetarium lane builder</x:v>
      </x:c>
      <x:c r="D904" s="15" t="str">
        <x:v>Claim Extraction</x:v>
      </x:c>
      <x:c r="E904" s="15" t="str">
        <x:v>GitHub</x:v>
      </x:c>
      <x:c r="F904" s="15" t="str">
        <x:v>Extract claims from GitHub — Domechild</x:v>
      </x:c>
      <x:c r="G904" s="15" t="str">
        <x:v>planetarium source packets / civic-science deltas</x:v>
      </x:c>
      <x:c r="H904" s="15" t="str">
        <x:v>source path + receipt + raw/export status + claim/edge/risk delta</x:v>
      </x:c>
      <x:c r="I904" s="15" t="str">
        <x:v>packet/SWARM-07-H04-S03</x:v>
      </x:c>
      <x:c r="J904" s="15" t="str">
        <x:v>TODO</x:v>
      </x:c>
      <x:c r="K904" s="15" t="str">
        <x:v>P0</x:v>
      </x:c>
      <x:c r="L904" s="15" t="str">
        <x:v>Done only when evidence is logged, contradiction search is noted, and boundary stamp remains non-canon unless ratified</x:v>
      </x:c>
      <x:c r="M904" s="15" t="str">
        <x:v>candidate / staging-only / not canon / not deployed / authority none</x:v>
      </x:c>
      <x:c r="N904" s="15" t="str">
        <x:v>Dispatch to Domechild: complete Claim Extraction x GitHub; return deltas only, receipts required.</x:v>
      </x:c>
      <x:c r="O904" s="15" t="str">
        <x:v>AF-KG-H04-S03</x:v>
      </x:c>
      <x:c r="P904" s="15" t="str">
        <x:v>Unverified</x:v>
      </x:c>
      <x:c r="Q904" s="15" t="str">
        <x:v>Not checked</x:v>
      </x:c>
      <x:c r="R904" s="15" t="str"/>
      <x:c r="S904" s="15" t="str"/>
      <x:c r="T904" s="15" t="str">
        <x:v>Log first source path or blocker</x:v>
      </x:c>
      <x:c r="U904" s="12" t="str">
        <x:f>IF(OR(P904="Unverified",Q904="Not checked"),"BLOCKED_PENDING_RECEIPT","READY_FOR_REVIEW")</x:f>
        <x:v>BLOCKED_PENDING_RECEIPT</x:v>
      </x:c>
      <x:c r="V904" s="12" t="str">
        <x:f>IF(J904="DONE","RETURNED",IF(U904="BLOCKED_PENDING_RECEIPT","SOURCE_TOUCH_REQUIRED","IN_PROGRESS"))</x:f>
        <x:v>SOURCE_TOUCH_REQUIRED</x:v>
      </x:c>
      <x:c r="W904" s="12" t="str">
        <x:f>IF(P904="Unverified","missing_receipt","receipt_logged")</x:f>
        <x:v>missing_receipt</x:v>
      </x:c>
      <x:c r="X904" s="12" t="str">
        <x:f>IF(Q904="Not checked","raw_status_missing","raw_status_logged")</x:f>
        <x:v>raw_status_missing</x:v>
      </x:c>
      <x:c r="Y904" s="12" t="str">
        <x:f>IF(U904="BLOCKED_PENDING_RECEIPT","Log source path or blocker; do not promote","Route to review lane")</x:f>
        <x:v>Log source path or blocker; do not promote</x:v>
      </x:c>
      <x:c r="Z904" s="12" t="str">
        <x:f>IF(K904="P0","Primary seat + Hashlight/Lucerna","Seat lane")</x:f>
        <x:v>Primary seat + Hashlight/Lucerna</x:v>
      </x:c>
      <x:c r="AA904" s="12" t="str">
        <x:f>IF(R904="","no_claim_delta","claim_delta_present")</x:f>
        <x:v>no_claim_delta</x:v>
      </x:c>
      <x:c r="AB904" s="12" t="str">
        <x:f>IF(S904="","no_contradiction_delta","contradiction_delta_present")</x:f>
        <x:v>no_contradiction_delta</x:v>
      </x:c>
      <x:c r="AC904" s="12" t="str">
        <x:f>IF(OR(ISNUMBER(SEARCH("hacker",LOWER(F904&amp;" "&amp;H904&amp;" "&amp;I904&amp;" "&amp;M904&amp;" "&amp;N904&amp;" "&amp;T904))),ISNUMBER(SEARCH("hacking",LOWER(F904&amp;" "&amp;H904&amp;" "&amp;I904&amp;" "&amp;M904&amp;" "&amp;N904&amp;" "&amp;T904))),ISNUMBER(SEARCH("bank",LOWER(F904&amp;" "&amp;H904&amp;" "&amp;I904&amp;" "&amp;M904&amp;" "&amp;N904&amp;" "&amp;T904))),ISNUMBER(SEARCH("banking",LOWER(F904&amp;" "&amp;H904&amp;" "&amp;I904&amp;" "&amp;M904&amp;" "&amp;N904&amp;" "&amp;T904)))),"PRIVATE_QUARANTINE",IF(OR(ISNUMBER(SEARCH("treasury",LOWER(F904&amp;" "&amp;H904&amp;" "&amp;I904&amp;" "&amp;M904&amp;" "&amp;N904&amp;" "&amp;T904))),ISNUMBER(SEARCH("debt",LOWER(F904&amp;" "&amp;H904&amp;" "&amp;I904&amp;" "&amp;M904&amp;" "&amp;N904&amp;" "&amp;T904))),ISNUMBER(SEARCH("bond",LOWER(F904&amp;" "&amp;H904&amp;" "&amp;I904&amp;" "&amp;M904&amp;" "&amp;N904&amp;" "&amp;T904))),ISNUMBER(SEARCH("transaction",LOWER(F904&amp;" "&amp;H904&amp;" "&amp;I904&amp;" "&amp;M904&amp;" "&amp;N904&amp;" "&amp;T904)))),"PRIVATE_REVIEW","PUBLIC_CANDIDATE"))</x:f>
        <x:v>PUBLIC_CANDIDATE</x:v>
      </x:c>
      <x:c r="AD904" s="12" t="str">
        <x:f>IF(AC904="PRIVATE_QUARANTINE","hacker_or_bank_trigger",IF(AC904="PRIVATE_REVIEW","finance_risk_trigger","none"))</x:f>
        <x:v>none</x:v>
      </x:c>
      <x:c r="AE904" s="12" t="str">
        <x:f>IF(AC904="PUBLIC_CANDIDATE","prepare_public_github_candidate",IF(AC904="PRIVATE_REVIEW","hold_for_private_review","quarantine_private_do_not_publish"))</x:f>
        <x:v>prepare_public_github_candidate</x:v>
      </x:c>
      <x:c r="AF904" s="12" t="str">
        <x:f>IF(AC904="PUBLIC_CANDIDATE","TIDELOCK + Lucerna",IF(AC904="PRIVATE_REVIEW","AtlasBrain + Lucerna","TIDELOCK + Lucerna + Human-root"))</x:f>
        <x:v>TIDELOCK + Lucerna</x:v>
      </x:c>
      <x:c r="AG904" s="12" t="str">
        <x:f>IF(AND(AC904="PUBLIC_CANDIDATE",U904&lt;&gt;"BLOCKED_PENDING_RECEIPT"),"READY_AFTER_RECEIPT","NOT_READY")</x:f>
        <x:v>NOT_READY</x:v>
      </x:c>
      <x:c r="AH904" s="12" t="str">
        <x:f>IF(AC904="PUBLIC_CANDIDATE","none",AD904)</x:f>
        <x:v>none</x:v>
      </x:c>
      <x:c r="AI904" s="12" t="str">
        <x:f>IF(AC904="PUBLIC_CANDIDATE","archive/public_candidates/"&amp;A904,"private_quarantine/"&amp;A904)</x:f>
        <x:v>archive/public_candidates/SWARM-07-H04-S03</x:v>
      </x:c>
      <x:c r="AJ904" s="12" t="str">
        <x:f>IF(AC904="PUBLIC_CANDIDATE","public by default; still not canon","private/hold; do not publish")</x:f>
        <x:v>public by default; still not canon</x:v>
      </x:c>
      <x:c r="AK904" s="12" t="str">
        <x:f>IF(AE904="prepare_public_github_candidate","add receipt/status then mirror","resolve blocker before any public GitHub action")</x:f>
        <x:v>add receipt/status then mirror</x:v>
      </x:c>
    </x:row>
    <x:row r="905">
      <x:c r="A905" s="15" t="str">
        <x:v>SWARM-07-H04-S04</x:v>
      </x:c>
      <x:c r="B905" s="15" t="str">
        <x:v>Domechild</x:v>
      </x:c>
      <x:c r="C905" s="15" t="str">
        <x:v>Planetarium lane builder</x:v>
      </x:c>
      <x:c r="D905" s="15" t="str">
        <x:v>Claim Extraction</x:v>
      </x:c>
      <x:c r="E905" s="15" t="str">
        <x:v>Gamma</x:v>
      </x:c>
      <x:c r="F905" s="15" t="str">
        <x:v>Extract claims from Gamma — Domechild</x:v>
      </x:c>
      <x:c r="G905" s="15" t="str">
        <x:v>planetarium source packets / civic-science deltas</x:v>
      </x:c>
      <x:c r="H905" s="15" t="str">
        <x:v>source path + receipt + raw/export status + claim/edge/risk delta</x:v>
      </x:c>
      <x:c r="I905" s="15" t="str">
        <x:v>packet/SWARM-07-H04-S04</x:v>
      </x:c>
      <x:c r="J905" s="15" t="str">
        <x:v>TODO</x:v>
      </x:c>
      <x:c r="K905" s="15" t="str">
        <x:v>P1</x:v>
      </x:c>
      <x:c r="L905" s="15" t="str">
        <x:v>Done only when evidence is logged, contradiction search is noted, and boundary stamp remains non-canon unless ratified</x:v>
      </x:c>
      <x:c r="M905" s="15" t="str">
        <x:v>candidate / staging-only / not canon / not deployed / authority none</x:v>
      </x:c>
      <x:c r="N905" s="15" t="str">
        <x:v>Dispatch to Domechild: complete Claim Extraction x Gamma; return deltas only, receipts required.</x:v>
      </x:c>
      <x:c r="O905" s="15" t="str">
        <x:v>AF-KG-H04-S04</x:v>
      </x:c>
      <x:c r="P905" s="15" t="str">
        <x:v>Unverified</x:v>
      </x:c>
      <x:c r="Q905" s="15" t="str">
        <x:v>Not checked</x:v>
      </x:c>
      <x:c r="R905" s="15" t="str"/>
      <x:c r="S905" s="15" t="str"/>
      <x:c r="T905" s="15" t="str">
        <x:v>Log first source path or blocker</x:v>
      </x:c>
      <x:c r="U905" s="12" t="str">
        <x:f>IF(OR(P905="Unverified",Q905="Not checked"),"BLOCKED_PENDING_RECEIPT","READY_FOR_REVIEW")</x:f>
        <x:v>BLOCKED_PENDING_RECEIPT</x:v>
      </x:c>
      <x:c r="V905" s="12" t="str">
        <x:f>IF(J905="DONE","RETURNED",IF(U905="BLOCKED_PENDING_RECEIPT","SOURCE_TOUCH_REQUIRED","IN_PROGRESS"))</x:f>
        <x:v>SOURCE_TOUCH_REQUIRED</x:v>
      </x:c>
      <x:c r="W905" s="12" t="str">
        <x:f>IF(P905="Unverified","missing_receipt","receipt_logged")</x:f>
        <x:v>missing_receipt</x:v>
      </x:c>
      <x:c r="X905" s="12" t="str">
        <x:f>IF(Q905="Not checked","raw_status_missing","raw_status_logged")</x:f>
        <x:v>raw_status_missing</x:v>
      </x:c>
      <x:c r="Y905" s="12" t="str">
        <x:f>IF(U905="BLOCKED_PENDING_RECEIPT","Log source path or blocker; do not promote","Route to review lane")</x:f>
        <x:v>Log source path or blocker; do not promote</x:v>
      </x:c>
      <x:c r="Z905" s="12" t="str">
        <x:f>IF(K905="P0","Primary seat + Hashlight/Lucerna","Seat lane")</x:f>
        <x:v>Seat lane</x:v>
      </x:c>
      <x:c r="AA905" s="12" t="str">
        <x:f>IF(R905="","no_claim_delta","claim_delta_present")</x:f>
        <x:v>no_claim_delta</x:v>
      </x:c>
      <x:c r="AB905" s="12" t="str">
        <x:f>IF(S905="","no_contradiction_delta","contradiction_delta_present")</x:f>
        <x:v>no_contradiction_delta</x:v>
      </x:c>
      <x:c r="AC905" s="12" t="str">
        <x:f>IF(OR(ISNUMBER(SEARCH("hacker",LOWER(F905&amp;" "&amp;H905&amp;" "&amp;I905&amp;" "&amp;M905&amp;" "&amp;N905&amp;" "&amp;T905))),ISNUMBER(SEARCH("hacking",LOWER(F905&amp;" "&amp;H905&amp;" "&amp;I905&amp;" "&amp;M905&amp;" "&amp;N905&amp;" "&amp;T905))),ISNUMBER(SEARCH("bank",LOWER(F905&amp;" "&amp;H905&amp;" "&amp;I905&amp;" "&amp;M905&amp;" "&amp;N905&amp;" "&amp;T905))),ISNUMBER(SEARCH("banking",LOWER(F905&amp;" "&amp;H905&amp;" "&amp;I905&amp;" "&amp;M905&amp;" "&amp;N905&amp;" "&amp;T905)))),"PRIVATE_QUARANTINE",IF(OR(ISNUMBER(SEARCH("treasury",LOWER(F905&amp;" "&amp;H905&amp;" "&amp;I905&amp;" "&amp;M905&amp;" "&amp;N905&amp;" "&amp;T905))),ISNUMBER(SEARCH("debt",LOWER(F905&amp;" "&amp;H905&amp;" "&amp;I905&amp;" "&amp;M905&amp;" "&amp;N905&amp;" "&amp;T905))),ISNUMBER(SEARCH("bond",LOWER(F905&amp;" "&amp;H905&amp;" "&amp;I905&amp;" "&amp;M905&amp;" "&amp;N905&amp;" "&amp;T905))),ISNUMBER(SEARCH("transaction",LOWER(F905&amp;" "&amp;H905&amp;" "&amp;I905&amp;" "&amp;M905&amp;" "&amp;N905&amp;" "&amp;T905)))),"PRIVATE_REVIEW","PUBLIC_CANDIDATE"))</x:f>
        <x:v>PUBLIC_CANDIDATE</x:v>
      </x:c>
      <x:c r="AD905" s="12" t="str">
        <x:f>IF(AC905="PRIVATE_QUARANTINE","hacker_or_bank_trigger",IF(AC905="PRIVATE_REVIEW","finance_risk_trigger","none"))</x:f>
        <x:v>none</x:v>
      </x:c>
      <x:c r="AE905" s="12" t="str">
        <x:f>IF(AC905="PUBLIC_CANDIDATE","prepare_public_github_candidate",IF(AC905="PRIVATE_REVIEW","hold_for_private_review","quarantine_private_do_not_publish"))</x:f>
        <x:v>prepare_public_github_candidate</x:v>
      </x:c>
      <x:c r="AF905" s="12" t="str">
        <x:f>IF(AC905="PUBLIC_CANDIDATE","TIDELOCK + Lucerna",IF(AC905="PRIVATE_REVIEW","AtlasBrain + Lucerna","TIDELOCK + Lucerna + Human-root"))</x:f>
        <x:v>TIDELOCK + Lucerna</x:v>
      </x:c>
      <x:c r="AG905" s="12" t="str">
        <x:f>IF(AND(AC905="PUBLIC_CANDIDATE",U905&lt;&gt;"BLOCKED_PENDING_RECEIPT"),"READY_AFTER_RECEIPT","NOT_READY")</x:f>
        <x:v>NOT_READY</x:v>
      </x:c>
      <x:c r="AH905" s="12" t="str">
        <x:f>IF(AC905="PUBLIC_CANDIDATE","none",AD905)</x:f>
        <x:v>none</x:v>
      </x:c>
      <x:c r="AI905" s="12" t="str">
        <x:f>IF(AC905="PUBLIC_CANDIDATE","archive/public_candidates/"&amp;A905,"private_quarantine/"&amp;A905)</x:f>
        <x:v>archive/public_candidates/SWARM-07-H04-S04</x:v>
      </x:c>
      <x:c r="AJ905" s="12" t="str">
        <x:f>IF(AC905="PUBLIC_CANDIDATE","public by default; still not canon","private/hold; do not publish")</x:f>
        <x:v>public by default; still not canon</x:v>
      </x:c>
      <x:c r="AK905" s="12" t="str">
        <x:f>IF(AE905="prepare_public_github_candidate","add receipt/status then mirror","resolve blocker before any public GitHub action")</x:f>
        <x:v>add receipt/status then mirror</x:v>
      </x:c>
    </x:row>
    <x:row r="906">
      <x:c r="A906" s="15" t="str">
        <x:v>SWARM-07-H04-S05</x:v>
      </x:c>
      <x:c r="B906" s="15" t="str">
        <x:v>Domechild</x:v>
      </x:c>
      <x:c r="C906" s="15" t="str">
        <x:v>Planetarium lane builder</x:v>
      </x:c>
      <x:c r="D906" s="15" t="str">
        <x:v>Claim Extraction</x:v>
      </x:c>
      <x:c r="E906" s="15" t="str">
        <x:v>Chat</x:v>
      </x:c>
      <x:c r="F906" s="15" t="str">
        <x:v>Extract claims from Chat — Domechild</x:v>
      </x:c>
      <x:c r="G906" s="15" t="str">
        <x:v>planetarium source packets / civic-science deltas</x:v>
      </x:c>
      <x:c r="H906" s="15" t="str">
        <x:v>source path + receipt + raw/export status + claim/edge/risk delta</x:v>
      </x:c>
      <x:c r="I906" s="15" t="str">
        <x:v>packet/SWARM-07-H04-S05</x:v>
      </x:c>
      <x:c r="J906" s="15" t="str">
        <x:v>TODO</x:v>
      </x:c>
      <x:c r="K906" s="15" t="str">
        <x:v>P1</x:v>
      </x:c>
      <x:c r="L906" s="15" t="str">
        <x:v>Done only when evidence is logged, contradiction search is noted, and boundary stamp remains non-canon unless ratified</x:v>
      </x:c>
      <x:c r="M906" s="15" t="str">
        <x:v>candidate / staging-only / not canon / not deployed / authority none</x:v>
      </x:c>
      <x:c r="N906" s="15" t="str">
        <x:v>Dispatch to Domechild: complete Claim Extraction x Chat; return deltas only, receipts required.</x:v>
      </x:c>
      <x:c r="O906" s="15" t="str">
        <x:v>AF-KG-H04-S05</x:v>
      </x:c>
      <x:c r="P906" s="15" t="str">
        <x:v>Unverified</x:v>
      </x:c>
      <x:c r="Q906" s="15" t="str">
        <x:v>Not checked</x:v>
      </x:c>
      <x:c r="R906" s="15" t="str"/>
      <x:c r="S906" s="15" t="str"/>
      <x:c r="T906" s="15" t="str">
        <x:v>Log first source path or blocker</x:v>
      </x:c>
      <x:c r="U906" s="12" t="str">
        <x:f>IF(OR(P906="Unverified",Q906="Not checked"),"BLOCKED_PENDING_RECEIPT","READY_FOR_REVIEW")</x:f>
        <x:v>BLOCKED_PENDING_RECEIPT</x:v>
      </x:c>
      <x:c r="V906" s="12" t="str">
        <x:f>IF(J906="DONE","RETURNED",IF(U906="BLOCKED_PENDING_RECEIPT","SOURCE_TOUCH_REQUIRED","IN_PROGRESS"))</x:f>
        <x:v>SOURCE_TOUCH_REQUIRED</x:v>
      </x:c>
      <x:c r="W906" s="12" t="str">
        <x:f>IF(P906="Unverified","missing_receipt","receipt_logged")</x:f>
        <x:v>missing_receipt</x:v>
      </x:c>
      <x:c r="X906" s="12" t="str">
        <x:f>IF(Q906="Not checked","raw_status_missing","raw_status_logged")</x:f>
        <x:v>raw_status_missing</x:v>
      </x:c>
      <x:c r="Y906" s="12" t="str">
        <x:f>IF(U906="BLOCKED_PENDING_RECEIPT","Log source path or blocker; do not promote","Route to review lane")</x:f>
        <x:v>Log source path or blocker; do not promote</x:v>
      </x:c>
      <x:c r="Z906" s="12" t="str">
        <x:f>IF(K906="P0","Primary seat + Hashlight/Lucerna","Seat lane")</x:f>
        <x:v>Seat lane</x:v>
      </x:c>
      <x:c r="AA906" s="12" t="str">
        <x:f>IF(R906="","no_claim_delta","claim_delta_present")</x:f>
        <x:v>no_claim_delta</x:v>
      </x:c>
      <x:c r="AB906" s="12" t="str">
        <x:f>IF(S906="","no_contradiction_delta","contradiction_delta_present")</x:f>
        <x:v>no_contradiction_delta</x:v>
      </x:c>
      <x:c r="AC906" s="12" t="str">
        <x:f>IF(OR(ISNUMBER(SEARCH("hacker",LOWER(F906&amp;" "&amp;H906&amp;" "&amp;I906&amp;" "&amp;M906&amp;" "&amp;N906&amp;" "&amp;T906))),ISNUMBER(SEARCH("hacking",LOWER(F906&amp;" "&amp;H906&amp;" "&amp;I906&amp;" "&amp;M906&amp;" "&amp;N906&amp;" "&amp;T906))),ISNUMBER(SEARCH("bank",LOWER(F906&amp;" "&amp;H906&amp;" "&amp;I906&amp;" "&amp;M906&amp;" "&amp;N906&amp;" "&amp;T906))),ISNUMBER(SEARCH("banking",LOWER(F906&amp;" "&amp;H906&amp;" "&amp;I906&amp;" "&amp;M906&amp;" "&amp;N906&amp;" "&amp;T906)))),"PRIVATE_QUARANTINE",IF(OR(ISNUMBER(SEARCH("treasury",LOWER(F906&amp;" "&amp;H906&amp;" "&amp;I906&amp;" "&amp;M906&amp;" "&amp;N906&amp;" "&amp;T906))),ISNUMBER(SEARCH("debt",LOWER(F906&amp;" "&amp;H906&amp;" "&amp;I906&amp;" "&amp;M906&amp;" "&amp;N906&amp;" "&amp;T906))),ISNUMBER(SEARCH("bond",LOWER(F906&amp;" "&amp;H906&amp;" "&amp;I906&amp;" "&amp;M906&amp;" "&amp;N906&amp;" "&amp;T906))),ISNUMBER(SEARCH("transaction",LOWER(F906&amp;" "&amp;H906&amp;" "&amp;I906&amp;" "&amp;M906&amp;" "&amp;N906&amp;" "&amp;T906)))),"PRIVATE_REVIEW","PUBLIC_CANDIDATE"))</x:f>
        <x:v>PUBLIC_CANDIDATE</x:v>
      </x:c>
      <x:c r="AD906" s="12" t="str">
        <x:f>IF(AC906="PRIVATE_QUARANTINE","hacker_or_bank_trigger",IF(AC906="PRIVATE_REVIEW","finance_risk_trigger","none"))</x:f>
        <x:v>none</x:v>
      </x:c>
      <x:c r="AE906" s="12" t="str">
        <x:f>IF(AC906="PUBLIC_CANDIDATE","prepare_public_github_candidate",IF(AC906="PRIVATE_REVIEW","hold_for_private_review","quarantine_private_do_not_publish"))</x:f>
        <x:v>prepare_public_github_candidate</x:v>
      </x:c>
      <x:c r="AF906" s="12" t="str">
        <x:f>IF(AC906="PUBLIC_CANDIDATE","TIDELOCK + Lucerna",IF(AC906="PRIVATE_REVIEW","AtlasBrain + Lucerna","TIDELOCK + Lucerna + Human-root"))</x:f>
        <x:v>TIDELOCK + Lucerna</x:v>
      </x:c>
      <x:c r="AG906" s="12" t="str">
        <x:f>IF(AND(AC906="PUBLIC_CANDIDATE",U906&lt;&gt;"BLOCKED_PENDING_RECEIPT"),"READY_AFTER_RECEIPT","NOT_READY")</x:f>
        <x:v>NOT_READY</x:v>
      </x:c>
      <x:c r="AH906" s="12" t="str">
        <x:f>IF(AC906="PUBLIC_CANDIDATE","none",AD906)</x:f>
        <x:v>none</x:v>
      </x:c>
      <x:c r="AI906" s="12" t="str">
        <x:f>IF(AC906="PUBLIC_CANDIDATE","archive/public_candidates/"&amp;A906,"private_quarantine/"&amp;A906)</x:f>
        <x:v>archive/public_candidates/SWARM-07-H04-S05</x:v>
      </x:c>
      <x:c r="AJ906" s="12" t="str">
        <x:f>IF(AC906="PUBLIC_CANDIDATE","public by default; still not canon","private/hold; do not publish")</x:f>
        <x:v>public by default; still not canon</x:v>
      </x:c>
      <x:c r="AK906" s="12" t="str">
        <x:f>IF(AE906="prepare_public_github_candidate","add receipt/status then mirror","resolve blocker before any public GitHub action")</x:f>
        <x:v>add receipt/status then mirror</x:v>
      </x:c>
    </x:row>
    <x:row r="907">
      <x:c r="A907" s="15" t="str">
        <x:v>SWARM-07-H04-S06</x:v>
      </x:c>
      <x:c r="B907" s="15" t="str">
        <x:v>Domechild</x:v>
      </x:c>
      <x:c r="C907" s="15" t="str">
        <x:v>Planetarium lane builder</x:v>
      </x:c>
      <x:c r="D907" s="15" t="str">
        <x:v>Claim Extraction</x:v>
      </x:c>
      <x:c r="E907" s="15" t="str">
        <x:v>External Web</x:v>
      </x:c>
      <x:c r="F907" s="15" t="str">
        <x:v>Extract claims from External Web — Domechild</x:v>
      </x:c>
      <x:c r="G907" s="15" t="str">
        <x:v>planetarium source packets / civic-science deltas</x:v>
      </x:c>
      <x:c r="H907" s="15" t="str">
        <x:v>source path + receipt + raw/export status + claim/edge/risk delta</x:v>
      </x:c>
      <x:c r="I907" s="15" t="str">
        <x:v>packet/SWARM-07-H04-S06</x:v>
      </x:c>
      <x:c r="J907" s="15" t="str">
        <x:v>TODO</x:v>
      </x:c>
      <x:c r="K907" s="15" t="str">
        <x:v>P1</x:v>
      </x:c>
      <x:c r="L907" s="15" t="str">
        <x:v>Done only when evidence is logged, contradiction search is noted, and boundary stamp remains non-canon unless ratified</x:v>
      </x:c>
      <x:c r="M907" s="15" t="str">
        <x:v>candidate / staging-only / not canon / not deployed / authority none</x:v>
      </x:c>
      <x:c r="N907" s="15" t="str">
        <x:v>Dispatch to Domechild: complete Claim Extraction x External Web; return deltas only, receipts required.</x:v>
      </x:c>
      <x:c r="O907" s="15" t="str">
        <x:v>AF-KG-H04-S06</x:v>
      </x:c>
      <x:c r="P907" s="15" t="str">
        <x:v>Unverified</x:v>
      </x:c>
      <x:c r="Q907" s="15" t="str">
        <x:v>Not checked</x:v>
      </x:c>
      <x:c r="R907" s="15" t="str"/>
      <x:c r="S907" s="15" t="str"/>
      <x:c r="T907" s="15" t="str">
        <x:v>Log first source path or blocker</x:v>
      </x:c>
      <x:c r="U907" s="12" t="str">
        <x:f>IF(OR(P907="Unverified",Q907="Not checked"),"BLOCKED_PENDING_RECEIPT","READY_FOR_REVIEW")</x:f>
        <x:v>BLOCKED_PENDING_RECEIPT</x:v>
      </x:c>
      <x:c r="V907" s="12" t="str">
        <x:f>IF(J907="DONE","RETURNED",IF(U907="BLOCKED_PENDING_RECEIPT","SOURCE_TOUCH_REQUIRED","IN_PROGRESS"))</x:f>
        <x:v>SOURCE_TOUCH_REQUIRED</x:v>
      </x:c>
      <x:c r="W907" s="12" t="str">
        <x:f>IF(P907="Unverified","missing_receipt","receipt_logged")</x:f>
        <x:v>missing_receipt</x:v>
      </x:c>
      <x:c r="X907" s="12" t="str">
        <x:f>IF(Q907="Not checked","raw_status_missing","raw_status_logged")</x:f>
        <x:v>raw_status_missing</x:v>
      </x:c>
      <x:c r="Y907" s="12" t="str">
        <x:f>IF(U907="BLOCKED_PENDING_RECEIPT","Log source path or blocker; do not promote","Route to review lane")</x:f>
        <x:v>Log source path or blocker; do not promote</x:v>
      </x:c>
      <x:c r="Z907" s="12" t="str">
        <x:f>IF(K907="P0","Primary seat + Hashlight/Lucerna","Seat lane")</x:f>
        <x:v>Seat lane</x:v>
      </x:c>
      <x:c r="AA907" s="12" t="str">
        <x:f>IF(R907="","no_claim_delta","claim_delta_present")</x:f>
        <x:v>no_claim_delta</x:v>
      </x:c>
      <x:c r="AB907" s="12" t="str">
        <x:f>IF(S907="","no_contradiction_delta","contradiction_delta_present")</x:f>
        <x:v>no_contradiction_delta</x:v>
      </x:c>
      <x:c r="AC907" s="12" t="str">
        <x:f>IF(OR(ISNUMBER(SEARCH("hacker",LOWER(F907&amp;" "&amp;H907&amp;" "&amp;I907&amp;" "&amp;M907&amp;" "&amp;N907&amp;" "&amp;T907))),ISNUMBER(SEARCH("hacking",LOWER(F907&amp;" "&amp;H907&amp;" "&amp;I907&amp;" "&amp;M907&amp;" "&amp;N907&amp;" "&amp;T907))),ISNUMBER(SEARCH("bank",LOWER(F907&amp;" "&amp;H907&amp;" "&amp;I907&amp;" "&amp;M907&amp;" "&amp;N907&amp;" "&amp;T907))),ISNUMBER(SEARCH("banking",LOWER(F907&amp;" "&amp;H907&amp;" "&amp;I907&amp;" "&amp;M907&amp;" "&amp;N907&amp;" "&amp;T907)))),"PRIVATE_QUARANTINE",IF(OR(ISNUMBER(SEARCH("treasury",LOWER(F907&amp;" "&amp;H907&amp;" "&amp;I907&amp;" "&amp;M907&amp;" "&amp;N907&amp;" "&amp;T907))),ISNUMBER(SEARCH("debt",LOWER(F907&amp;" "&amp;H907&amp;" "&amp;I907&amp;" "&amp;M907&amp;" "&amp;N907&amp;" "&amp;T907))),ISNUMBER(SEARCH("bond",LOWER(F907&amp;" "&amp;H907&amp;" "&amp;I907&amp;" "&amp;M907&amp;" "&amp;N907&amp;" "&amp;T907))),ISNUMBER(SEARCH("transaction",LOWER(F907&amp;" "&amp;H907&amp;" "&amp;I907&amp;" "&amp;M907&amp;" "&amp;N907&amp;" "&amp;T907)))),"PRIVATE_REVIEW","PUBLIC_CANDIDATE"))</x:f>
        <x:v>PUBLIC_CANDIDATE</x:v>
      </x:c>
      <x:c r="AD907" s="12" t="str">
        <x:f>IF(AC907="PRIVATE_QUARANTINE","hacker_or_bank_trigger",IF(AC907="PRIVATE_REVIEW","finance_risk_trigger","none"))</x:f>
        <x:v>none</x:v>
      </x:c>
      <x:c r="AE907" s="12" t="str">
        <x:f>IF(AC907="PUBLIC_CANDIDATE","prepare_public_github_candidate",IF(AC907="PRIVATE_REVIEW","hold_for_private_review","quarantine_private_do_not_publish"))</x:f>
        <x:v>prepare_public_github_candidate</x:v>
      </x:c>
      <x:c r="AF907" s="12" t="str">
        <x:f>IF(AC907="PUBLIC_CANDIDATE","TIDELOCK + Lucerna",IF(AC907="PRIVATE_REVIEW","AtlasBrain + Lucerna","TIDELOCK + Lucerna + Human-root"))</x:f>
        <x:v>TIDELOCK + Lucerna</x:v>
      </x:c>
      <x:c r="AG907" s="12" t="str">
        <x:f>IF(AND(AC907="PUBLIC_CANDIDATE",U907&lt;&gt;"BLOCKED_PENDING_RECEIPT"),"READY_AFTER_RECEIPT","NOT_READY")</x:f>
        <x:v>NOT_READY</x:v>
      </x:c>
      <x:c r="AH907" s="12" t="str">
        <x:f>IF(AC907="PUBLIC_CANDIDATE","none",AD907)</x:f>
        <x:v>none</x:v>
      </x:c>
      <x:c r="AI907" s="12" t="str">
        <x:f>IF(AC907="PUBLIC_CANDIDATE","archive/public_candidates/"&amp;A907,"private_quarantine/"&amp;A907)</x:f>
        <x:v>archive/public_candidates/SWARM-07-H04-S06</x:v>
      </x:c>
      <x:c r="AJ907" s="12" t="str">
        <x:f>IF(AC907="PUBLIC_CANDIDATE","public by default; still not canon","private/hold; do not publish")</x:f>
        <x:v>public by default; still not canon</x:v>
      </x:c>
      <x:c r="AK907" s="12" t="str">
        <x:f>IF(AE907="prepare_public_github_candidate","add receipt/status then mirror","resolve blocker before any public GitHub action")</x:f>
        <x:v>add receipt/status then mirror</x:v>
      </x:c>
    </x:row>
    <x:row r="908">
      <x:c r="A908" s="15" t="str">
        <x:v>SWARM-07-H04-S07</x:v>
      </x:c>
      <x:c r="B908" s="15" t="str">
        <x:v>Domechild</x:v>
      </x:c>
      <x:c r="C908" s="15" t="str">
        <x:v>Planetarium lane builder</x:v>
      </x:c>
      <x:c r="D908" s="15" t="str">
        <x:v>Claim Extraction</x:v>
      </x:c>
      <x:c r="E908" s="15" t="str">
        <x:v>Planetarium</x:v>
      </x:c>
      <x:c r="F908" s="15" t="str">
        <x:v>Extract claims from Planetarium — Domechild</x:v>
      </x:c>
      <x:c r="G908" s="15" t="str">
        <x:v>planetarium source packets / civic-science deltas</x:v>
      </x:c>
      <x:c r="H908" s="15" t="str">
        <x:v>source path + receipt + raw/export status + claim/edge/risk delta</x:v>
      </x:c>
      <x:c r="I908" s="15" t="str">
        <x:v>packet/SWARM-07-H04-S07</x:v>
      </x:c>
      <x:c r="J908" s="15" t="str">
        <x:v>TODO</x:v>
      </x:c>
      <x:c r="K908" s="15" t="str">
        <x:v>P1</x:v>
      </x:c>
      <x:c r="L908" s="15" t="str">
        <x:v>Done only when evidence is logged, contradiction search is noted, and boundary stamp remains non-canon unless ratified</x:v>
      </x:c>
      <x:c r="M908" s="15" t="str">
        <x:v>candidate / staging-only / not canon / not deployed / authority none</x:v>
      </x:c>
      <x:c r="N908" s="15" t="str">
        <x:v>Dispatch to Domechild: complete Claim Extraction x Planetarium; return deltas only, receipts required.</x:v>
      </x:c>
      <x:c r="O908" s="15" t="str">
        <x:v>AF-KG-H04-S07</x:v>
      </x:c>
      <x:c r="P908" s="15" t="str">
        <x:v>Unverified</x:v>
      </x:c>
      <x:c r="Q908" s="15" t="str">
        <x:v>Not checked</x:v>
      </x:c>
      <x:c r="R908" s="15" t="str"/>
      <x:c r="S908" s="15" t="str"/>
      <x:c r="T908" s="15" t="str">
        <x:v>Log first source path or blocker</x:v>
      </x:c>
      <x:c r="U908" s="12" t="str">
        <x:f>IF(OR(P908="Unverified",Q908="Not checked"),"BLOCKED_PENDING_RECEIPT","READY_FOR_REVIEW")</x:f>
        <x:v>BLOCKED_PENDING_RECEIPT</x:v>
      </x:c>
      <x:c r="V908" s="12" t="str">
        <x:f>IF(J908="DONE","RETURNED",IF(U908="BLOCKED_PENDING_RECEIPT","SOURCE_TOUCH_REQUIRED","IN_PROGRESS"))</x:f>
        <x:v>SOURCE_TOUCH_REQUIRED</x:v>
      </x:c>
      <x:c r="W908" s="12" t="str">
        <x:f>IF(P908="Unverified","missing_receipt","receipt_logged")</x:f>
        <x:v>missing_receipt</x:v>
      </x:c>
      <x:c r="X908" s="12" t="str">
        <x:f>IF(Q908="Not checked","raw_status_missing","raw_status_logged")</x:f>
        <x:v>raw_status_missing</x:v>
      </x:c>
      <x:c r="Y908" s="12" t="str">
        <x:f>IF(U908="BLOCKED_PENDING_RECEIPT","Log source path or blocker; do not promote","Route to review lane")</x:f>
        <x:v>Log source path or blocker; do not promote</x:v>
      </x:c>
      <x:c r="Z908" s="12" t="str">
        <x:f>IF(K908="P0","Primary seat + Hashlight/Lucerna","Seat lane")</x:f>
        <x:v>Seat lane</x:v>
      </x:c>
      <x:c r="AA908" s="12" t="str">
        <x:f>IF(R908="","no_claim_delta","claim_delta_present")</x:f>
        <x:v>no_claim_delta</x:v>
      </x:c>
      <x:c r="AB908" s="12" t="str">
        <x:f>IF(S908="","no_contradiction_delta","contradiction_delta_present")</x:f>
        <x:v>no_contradiction_delta</x:v>
      </x:c>
      <x:c r="AC908" s="12" t="str">
        <x:f>IF(OR(ISNUMBER(SEARCH("hacker",LOWER(F908&amp;" "&amp;H908&amp;" "&amp;I908&amp;" "&amp;M908&amp;" "&amp;N908&amp;" "&amp;T908))),ISNUMBER(SEARCH("hacking",LOWER(F908&amp;" "&amp;H908&amp;" "&amp;I908&amp;" "&amp;M908&amp;" "&amp;N908&amp;" "&amp;T908))),ISNUMBER(SEARCH("bank",LOWER(F908&amp;" "&amp;H908&amp;" "&amp;I908&amp;" "&amp;M908&amp;" "&amp;N908&amp;" "&amp;T908))),ISNUMBER(SEARCH("banking",LOWER(F908&amp;" "&amp;H908&amp;" "&amp;I908&amp;" "&amp;M908&amp;" "&amp;N908&amp;" "&amp;T908)))),"PRIVATE_QUARANTINE",IF(OR(ISNUMBER(SEARCH("treasury",LOWER(F908&amp;" "&amp;H908&amp;" "&amp;I908&amp;" "&amp;M908&amp;" "&amp;N908&amp;" "&amp;T908))),ISNUMBER(SEARCH("debt",LOWER(F908&amp;" "&amp;H908&amp;" "&amp;I908&amp;" "&amp;M908&amp;" "&amp;N908&amp;" "&amp;T908))),ISNUMBER(SEARCH("bond",LOWER(F908&amp;" "&amp;H908&amp;" "&amp;I908&amp;" "&amp;M908&amp;" "&amp;N908&amp;" "&amp;T908))),ISNUMBER(SEARCH("transaction",LOWER(F908&amp;" "&amp;H908&amp;" "&amp;I908&amp;" "&amp;M908&amp;" "&amp;N908&amp;" "&amp;T908)))),"PRIVATE_REVIEW","PUBLIC_CANDIDATE"))</x:f>
        <x:v>PUBLIC_CANDIDATE</x:v>
      </x:c>
      <x:c r="AD908" s="12" t="str">
        <x:f>IF(AC908="PRIVATE_QUARANTINE","hacker_or_bank_trigger",IF(AC908="PRIVATE_REVIEW","finance_risk_trigger","none"))</x:f>
        <x:v>none</x:v>
      </x:c>
      <x:c r="AE908" s="12" t="str">
        <x:f>IF(AC908="PUBLIC_CANDIDATE","prepare_public_github_candidate",IF(AC908="PRIVATE_REVIEW","hold_for_private_review","quarantine_private_do_not_publish"))</x:f>
        <x:v>prepare_public_github_candidate</x:v>
      </x:c>
      <x:c r="AF908" s="12" t="str">
        <x:f>IF(AC908="PUBLIC_CANDIDATE","TIDELOCK + Lucerna",IF(AC908="PRIVATE_REVIEW","AtlasBrain + Lucerna","TIDELOCK + Lucerna + Human-root"))</x:f>
        <x:v>TIDELOCK + Lucerna</x:v>
      </x:c>
      <x:c r="AG908" s="12" t="str">
        <x:f>IF(AND(AC908="PUBLIC_CANDIDATE",U908&lt;&gt;"BLOCKED_PENDING_RECEIPT"),"READY_AFTER_RECEIPT","NOT_READY")</x:f>
        <x:v>NOT_READY</x:v>
      </x:c>
      <x:c r="AH908" s="12" t="str">
        <x:f>IF(AC908="PUBLIC_CANDIDATE","none",AD908)</x:f>
        <x:v>none</x:v>
      </x:c>
      <x:c r="AI908" s="12" t="str">
        <x:f>IF(AC908="PUBLIC_CANDIDATE","archive/public_candidates/"&amp;A908,"private_quarantine/"&amp;A908)</x:f>
        <x:v>archive/public_candidates/SWARM-07-H04-S07</x:v>
      </x:c>
      <x:c r="AJ908" s="12" t="str">
        <x:f>IF(AC908="PUBLIC_CANDIDATE","public by default; still not canon","private/hold; do not publish")</x:f>
        <x:v>public by default; still not canon</x:v>
      </x:c>
      <x:c r="AK908" s="12" t="str">
        <x:f>IF(AE908="prepare_public_github_candidate","add receipt/status then mirror","resolve blocker before any public GitHub action")</x:f>
        <x:v>add receipt/status then mirror</x:v>
      </x:c>
    </x:row>
    <x:row r="909">
      <x:c r="A909" s="15" t="str">
        <x:v>SWARM-07-H04-S08</x:v>
      </x:c>
      <x:c r="B909" s="15" t="str">
        <x:v>Domechild</x:v>
      </x:c>
      <x:c r="C909" s="15" t="str">
        <x:v>Planetarium lane builder</x:v>
      </x:c>
      <x:c r="D909" s="15" t="str">
        <x:v>Claim Extraction</x:v>
      </x:c>
      <x:c r="E909" s="15" t="str">
        <x:v>Sheldonbrain</x:v>
      </x:c>
      <x:c r="F909" s="15" t="str">
        <x:v>Extract claims from Sheldonbrain — Domechild</x:v>
      </x:c>
      <x:c r="G909" s="15" t="str">
        <x:v>planetarium source packets / civic-science deltas</x:v>
      </x:c>
      <x:c r="H909" s="15" t="str">
        <x:v>source path + receipt + raw/export status + claim/edge/risk delta</x:v>
      </x:c>
      <x:c r="I909" s="15" t="str">
        <x:v>packet/SWARM-07-H04-S08</x:v>
      </x:c>
      <x:c r="J909" s="15" t="str">
        <x:v>TODO</x:v>
      </x:c>
      <x:c r="K909" s="15" t="str">
        <x:v>P1</x:v>
      </x:c>
      <x:c r="L909" s="15" t="str">
        <x:v>Done only when evidence is logged, contradiction search is noted, and boundary stamp remains non-canon unless ratified</x:v>
      </x:c>
      <x:c r="M909" s="15" t="str">
        <x:v>candidate / staging-only / not canon / not deployed / authority none</x:v>
      </x:c>
      <x:c r="N909" s="15" t="str">
        <x:v>Dispatch to Domechild: complete Claim Extraction x Sheldonbrain; return deltas only, receipts required.</x:v>
      </x:c>
      <x:c r="O909" s="15" t="str">
        <x:v>AF-KG-H04-S08</x:v>
      </x:c>
      <x:c r="P909" s="15" t="str">
        <x:v>Unverified</x:v>
      </x:c>
      <x:c r="Q909" s="15" t="str">
        <x:v>Not checked</x:v>
      </x:c>
      <x:c r="R909" s="15" t="str"/>
      <x:c r="S909" s="15" t="str"/>
      <x:c r="T909" s="15" t="str">
        <x:v>Log first source path or blocker</x:v>
      </x:c>
      <x:c r="U909" s="12" t="str">
        <x:f>IF(OR(P909="Unverified",Q909="Not checked"),"BLOCKED_PENDING_RECEIPT","READY_FOR_REVIEW")</x:f>
        <x:v>BLOCKED_PENDING_RECEIPT</x:v>
      </x:c>
      <x:c r="V909" s="12" t="str">
        <x:f>IF(J909="DONE","RETURNED",IF(U909="BLOCKED_PENDING_RECEIPT","SOURCE_TOUCH_REQUIRED","IN_PROGRESS"))</x:f>
        <x:v>SOURCE_TOUCH_REQUIRED</x:v>
      </x:c>
      <x:c r="W909" s="12" t="str">
        <x:f>IF(P909="Unverified","missing_receipt","receipt_logged")</x:f>
        <x:v>missing_receipt</x:v>
      </x:c>
      <x:c r="X909" s="12" t="str">
        <x:f>IF(Q909="Not checked","raw_status_missing","raw_status_logged")</x:f>
        <x:v>raw_status_missing</x:v>
      </x:c>
      <x:c r="Y909" s="12" t="str">
        <x:f>IF(U909="BLOCKED_PENDING_RECEIPT","Log source path or blocker; do not promote","Route to review lane")</x:f>
        <x:v>Log source path or blocker; do not promote</x:v>
      </x:c>
      <x:c r="Z909" s="12" t="str">
        <x:f>IF(K909="P0","Primary seat + Hashlight/Lucerna","Seat lane")</x:f>
        <x:v>Seat lane</x:v>
      </x:c>
      <x:c r="AA909" s="12" t="str">
        <x:f>IF(R909="","no_claim_delta","claim_delta_present")</x:f>
        <x:v>no_claim_delta</x:v>
      </x:c>
      <x:c r="AB909" s="12" t="str">
        <x:f>IF(S909="","no_contradiction_delta","contradiction_delta_present")</x:f>
        <x:v>no_contradiction_delta</x:v>
      </x:c>
      <x:c r="AC909" s="12" t="str">
        <x:f>IF(OR(ISNUMBER(SEARCH("hacker",LOWER(F909&amp;" "&amp;H909&amp;" "&amp;I909&amp;" "&amp;M909&amp;" "&amp;N909&amp;" "&amp;T909))),ISNUMBER(SEARCH("hacking",LOWER(F909&amp;" "&amp;H909&amp;" "&amp;I909&amp;" "&amp;M909&amp;" "&amp;N909&amp;" "&amp;T909))),ISNUMBER(SEARCH("bank",LOWER(F909&amp;" "&amp;H909&amp;" "&amp;I909&amp;" "&amp;M909&amp;" "&amp;N909&amp;" "&amp;T909))),ISNUMBER(SEARCH("banking",LOWER(F909&amp;" "&amp;H909&amp;" "&amp;I909&amp;" "&amp;M909&amp;" "&amp;N909&amp;" "&amp;T909)))),"PRIVATE_QUARANTINE",IF(OR(ISNUMBER(SEARCH("treasury",LOWER(F909&amp;" "&amp;H909&amp;" "&amp;I909&amp;" "&amp;M909&amp;" "&amp;N909&amp;" "&amp;T909))),ISNUMBER(SEARCH("debt",LOWER(F909&amp;" "&amp;H909&amp;" "&amp;I909&amp;" "&amp;M909&amp;" "&amp;N909&amp;" "&amp;T909))),ISNUMBER(SEARCH("bond",LOWER(F909&amp;" "&amp;H909&amp;" "&amp;I909&amp;" "&amp;M909&amp;" "&amp;N909&amp;" "&amp;T909))),ISNUMBER(SEARCH("transaction",LOWER(F909&amp;" "&amp;H909&amp;" "&amp;I909&amp;" "&amp;M909&amp;" "&amp;N909&amp;" "&amp;T909)))),"PRIVATE_REVIEW","PUBLIC_CANDIDATE"))</x:f>
        <x:v>PUBLIC_CANDIDATE</x:v>
      </x:c>
      <x:c r="AD909" s="12" t="str">
        <x:f>IF(AC909="PRIVATE_QUARANTINE","hacker_or_bank_trigger",IF(AC909="PRIVATE_REVIEW","finance_risk_trigger","none"))</x:f>
        <x:v>none</x:v>
      </x:c>
      <x:c r="AE909" s="12" t="str">
        <x:f>IF(AC909="PUBLIC_CANDIDATE","prepare_public_github_candidate",IF(AC909="PRIVATE_REVIEW","hold_for_private_review","quarantine_private_do_not_publish"))</x:f>
        <x:v>prepare_public_github_candidate</x:v>
      </x:c>
      <x:c r="AF909" s="12" t="str">
        <x:f>IF(AC909="PUBLIC_CANDIDATE","TIDELOCK + Lucerna",IF(AC909="PRIVATE_REVIEW","AtlasBrain + Lucerna","TIDELOCK + Lucerna + Human-root"))</x:f>
        <x:v>TIDELOCK + Lucerna</x:v>
      </x:c>
      <x:c r="AG909" s="12" t="str">
        <x:f>IF(AND(AC909="PUBLIC_CANDIDATE",U909&lt;&gt;"BLOCKED_PENDING_RECEIPT"),"READY_AFTER_RECEIPT","NOT_READY")</x:f>
        <x:v>NOT_READY</x:v>
      </x:c>
      <x:c r="AH909" s="12" t="str">
        <x:f>IF(AC909="PUBLIC_CANDIDATE","none",AD909)</x:f>
        <x:v>none</x:v>
      </x:c>
      <x:c r="AI909" s="12" t="str">
        <x:f>IF(AC909="PUBLIC_CANDIDATE","archive/public_candidates/"&amp;A909,"private_quarantine/"&amp;A909)</x:f>
        <x:v>archive/public_candidates/SWARM-07-H04-S08</x:v>
      </x:c>
      <x:c r="AJ909" s="12" t="str">
        <x:f>IF(AC909="PUBLIC_CANDIDATE","public by default; still not canon","private/hold; do not publish")</x:f>
        <x:v>public by default; still not canon</x:v>
      </x:c>
      <x:c r="AK909" s="12" t="str">
        <x:f>IF(AE909="prepare_public_github_candidate","add receipt/status then mirror","resolve blocker before any public GitHub action")</x:f>
        <x:v>add receipt/status then mirror</x:v>
      </x:c>
    </x:row>
    <x:row r="910">
      <x:c r="A910" s="15" t="str">
        <x:v>SWARM-07-H04-S09</x:v>
      </x:c>
      <x:c r="B910" s="15" t="str">
        <x:v>Domechild</x:v>
      </x:c>
      <x:c r="C910" s="15" t="str">
        <x:v>Planetarium lane builder</x:v>
      </x:c>
      <x:c r="D910" s="15" t="str">
        <x:v>Claim Extraction</x:v>
      </x:c>
      <x:c r="E910" s="15" t="str">
        <x:v>Aetherforge</x:v>
      </x:c>
      <x:c r="F910" s="15" t="str">
        <x:v>Extract claims from Aetherforge — Domechild</x:v>
      </x:c>
      <x:c r="G910" s="15" t="str">
        <x:v>planetarium source packets / civic-science deltas</x:v>
      </x:c>
      <x:c r="H910" s="15" t="str">
        <x:v>source path + receipt + raw/export status + claim/edge/risk delta</x:v>
      </x:c>
      <x:c r="I910" s="15" t="str">
        <x:v>packet/SWARM-07-H04-S09</x:v>
      </x:c>
      <x:c r="J910" s="15" t="str">
        <x:v>TODO</x:v>
      </x:c>
      <x:c r="K910" s="15" t="str">
        <x:v>P2</x:v>
      </x:c>
      <x:c r="L910" s="15" t="str">
        <x:v>Done only when evidence is logged, contradiction search is noted, and boundary stamp remains non-canon unless ratified</x:v>
      </x:c>
      <x:c r="M910" s="15" t="str">
        <x:v>candidate / staging-only / not canon / not deployed / authority none</x:v>
      </x:c>
      <x:c r="N910" s="15" t="str">
        <x:v>Dispatch to Domechild: complete Claim Extraction x Aetherforge; return deltas only, receipts required.</x:v>
      </x:c>
      <x:c r="O910" s="15" t="str">
        <x:v>AF-KG-H04-S09</x:v>
      </x:c>
      <x:c r="P910" s="15" t="str">
        <x:v>Unverified</x:v>
      </x:c>
      <x:c r="Q910" s="15" t="str">
        <x:v>Not checked</x:v>
      </x:c>
      <x:c r="R910" s="15" t="str"/>
      <x:c r="S910" s="15" t="str"/>
      <x:c r="T910" s="15" t="str">
        <x:v>Log first source path or blocker</x:v>
      </x:c>
      <x:c r="U910" s="12" t="str">
        <x:f>IF(OR(P910="Unverified",Q910="Not checked"),"BLOCKED_PENDING_RECEIPT","READY_FOR_REVIEW")</x:f>
        <x:v>BLOCKED_PENDING_RECEIPT</x:v>
      </x:c>
      <x:c r="V910" s="12" t="str">
        <x:f>IF(J910="DONE","RETURNED",IF(U910="BLOCKED_PENDING_RECEIPT","SOURCE_TOUCH_REQUIRED","IN_PROGRESS"))</x:f>
        <x:v>SOURCE_TOUCH_REQUIRED</x:v>
      </x:c>
      <x:c r="W910" s="12" t="str">
        <x:f>IF(P910="Unverified","missing_receipt","receipt_logged")</x:f>
        <x:v>missing_receipt</x:v>
      </x:c>
      <x:c r="X910" s="12" t="str">
        <x:f>IF(Q910="Not checked","raw_status_missing","raw_status_logged")</x:f>
        <x:v>raw_status_missing</x:v>
      </x:c>
      <x:c r="Y910" s="12" t="str">
        <x:f>IF(U910="BLOCKED_PENDING_RECEIPT","Log source path or blocker; do not promote","Route to review lane")</x:f>
        <x:v>Log source path or blocker; do not promote</x:v>
      </x:c>
      <x:c r="Z910" s="12" t="str">
        <x:f>IF(K910="P0","Primary seat + Hashlight/Lucerna","Seat lane")</x:f>
        <x:v>Seat lane</x:v>
      </x:c>
      <x:c r="AA910" s="12" t="str">
        <x:f>IF(R910="","no_claim_delta","claim_delta_present")</x:f>
        <x:v>no_claim_delta</x:v>
      </x:c>
      <x:c r="AB910" s="12" t="str">
        <x:f>IF(S910="","no_contradiction_delta","contradiction_delta_present")</x:f>
        <x:v>no_contradiction_delta</x:v>
      </x:c>
      <x:c r="AC910" s="12" t="str">
        <x:f>IF(OR(ISNUMBER(SEARCH("hacker",LOWER(F910&amp;" "&amp;H910&amp;" "&amp;I910&amp;" "&amp;M910&amp;" "&amp;N910&amp;" "&amp;T910))),ISNUMBER(SEARCH("hacking",LOWER(F910&amp;" "&amp;H910&amp;" "&amp;I910&amp;" "&amp;M910&amp;" "&amp;N910&amp;" "&amp;T910))),ISNUMBER(SEARCH("bank",LOWER(F910&amp;" "&amp;H910&amp;" "&amp;I910&amp;" "&amp;M910&amp;" "&amp;N910&amp;" "&amp;T910))),ISNUMBER(SEARCH("banking",LOWER(F910&amp;" "&amp;H910&amp;" "&amp;I910&amp;" "&amp;M910&amp;" "&amp;N910&amp;" "&amp;T910)))),"PRIVATE_QUARANTINE",IF(OR(ISNUMBER(SEARCH("treasury",LOWER(F910&amp;" "&amp;H910&amp;" "&amp;I910&amp;" "&amp;M910&amp;" "&amp;N910&amp;" "&amp;T910))),ISNUMBER(SEARCH("debt",LOWER(F910&amp;" "&amp;H910&amp;" "&amp;I910&amp;" "&amp;M910&amp;" "&amp;N910&amp;" "&amp;T910))),ISNUMBER(SEARCH("bond",LOWER(F910&amp;" "&amp;H910&amp;" "&amp;I910&amp;" "&amp;M910&amp;" "&amp;N910&amp;" "&amp;T910))),ISNUMBER(SEARCH("transaction",LOWER(F910&amp;" "&amp;H910&amp;" "&amp;I910&amp;" "&amp;M910&amp;" "&amp;N910&amp;" "&amp;T910)))),"PRIVATE_REVIEW","PUBLIC_CANDIDATE"))</x:f>
        <x:v>PUBLIC_CANDIDATE</x:v>
      </x:c>
      <x:c r="AD910" s="12" t="str">
        <x:f>IF(AC910="PRIVATE_QUARANTINE","hacker_or_bank_trigger",IF(AC910="PRIVATE_REVIEW","finance_risk_trigger","none"))</x:f>
        <x:v>none</x:v>
      </x:c>
      <x:c r="AE910" s="12" t="str">
        <x:f>IF(AC910="PUBLIC_CANDIDATE","prepare_public_github_candidate",IF(AC910="PRIVATE_REVIEW","hold_for_private_review","quarantine_private_do_not_publish"))</x:f>
        <x:v>prepare_public_github_candidate</x:v>
      </x:c>
      <x:c r="AF910" s="12" t="str">
        <x:f>IF(AC910="PUBLIC_CANDIDATE","TIDELOCK + Lucerna",IF(AC910="PRIVATE_REVIEW","AtlasBrain + Lucerna","TIDELOCK + Lucerna + Human-root"))</x:f>
        <x:v>TIDELOCK + Lucerna</x:v>
      </x:c>
      <x:c r="AG910" s="12" t="str">
        <x:f>IF(AND(AC910="PUBLIC_CANDIDATE",U910&lt;&gt;"BLOCKED_PENDING_RECEIPT"),"READY_AFTER_RECEIPT","NOT_READY")</x:f>
        <x:v>NOT_READY</x:v>
      </x:c>
      <x:c r="AH910" s="12" t="str">
        <x:f>IF(AC910="PUBLIC_CANDIDATE","none",AD910)</x:f>
        <x:v>none</x:v>
      </x:c>
      <x:c r="AI910" s="12" t="str">
        <x:f>IF(AC910="PUBLIC_CANDIDATE","archive/public_candidates/"&amp;A910,"private_quarantine/"&amp;A910)</x:f>
        <x:v>archive/public_candidates/SWARM-07-H04-S09</x:v>
      </x:c>
      <x:c r="AJ910" s="12" t="str">
        <x:f>IF(AC910="PUBLIC_CANDIDATE","public by default; still not canon","private/hold; do not publish")</x:f>
        <x:v>public by default; still not canon</x:v>
      </x:c>
      <x:c r="AK910" s="12" t="str">
        <x:f>IF(AE910="prepare_public_github_candidate","add receipt/status then mirror","resolve blocker before any public GitHub action")</x:f>
        <x:v>add receipt/status then mirror</x:v>
      </x:c>
    </x:row>
    <x:row r="911">
      <x:c r="A911" s="15" t="str">
        <x:v>SWARM-07-H04-S10</x:v>
      </x:c>
      <x:c r="B911" s="15" t="str">
        <x:v>Domechild</x:v>
      </x:c>
      <x:c r="C911" s="15" t="str">
        <x:v>Planetarium lane builder</x:v>
      </x:c>
      <x:c r="D911" s="15" t="str">
        <x:v>Claim Extraction</x:v>
      </x:c>
      <x:c r="E911" s="15" t="str">
        <x:v>Human-Root</x:v>
      </x:c>
      <x:c r="F911" s="15" t="str">
        <x:v>Extract claims from Human-Root — Domechild</x:v>
      </x:c>
      <x:c r="G911" s="15" t="str">
        <x:v>planetarium source packets / civic-science deltas</x:v>
      </x:c>
      <x:c r="H911" s="15" t="str">
        <x:v>source path + receipt + raw/export status + claim/edge/risk delta</x:v>
      </x:c>
      <x:c r="I911" s="15" t="str">
        <x:v>packet/SWARM-07-H04-S10</x:v>
      </x:c>
      <x:c r="J911" s="15" t="str">
        <x:v>TODO</x:v>
      </x:c>
      <x:c r="K911" s="15" t="str">
        <x:v>P2</x:v>
      </x:c>
      <x:c r="L911" s="15" t="str">
        <x:v>Done only when evidence is logged, contradiction search is noted, and boundary stamp remains non-canon unless ratified</x:v>
      </x:c>
      <x:c r="M911" s="15" t="str">
        <x:v>candidate / staging-only / not canon / not deployed / authority none</x:v>
      </x:c>
      <x:c r="N911" s="15" t="str">
        <x:v>Dispatch to Domechild: complete Claim Extraction x Human-Root; return deltas only, receipts required.</x:v>
      </x:c>
      <x:c r="O911" s="15" t="str">
        <x:v>AF-KG-H04-S10</x:v>
      </x:c>
      <x:c r="P911" s="15" t="str">
        <x:v>Unverified</x:v>
      </x:c>
      <x:c r="Q911" s="15" t="str">
        <x:v>Not checked</x:v>
      </x:c>
      <x:c r="R911" s="15" t="str"/>
      <x:c r="S911" s="15" t="str"/>
      <x:c r="T911" s="15" t="str">
        <x:v>Log first source path or blocker</x:v>
      </x:c>
      <x:c r="U911" s="12" t="str">
        <x:f>IF(OR(P911="Unverified",Q911="Not checked"),"BLOCKED_PENDING_RECEIPT","READY_FOR_REVIEW")</x:f>
        <x:v>BLOCKED_PENDING_RECEIPT</x:v>
      </x:c>
      <x:c r="V911" s="12" t="str">
        <x:f>IF(J911="DONE","RETURNED",IF(U911="BLOCKED_PENDING_RECEIPT","SOURCE_TOUCH_REQUIRED","IN_PROGRESS"))</x:f>
        <x:v>SOURCE_TOUCH_REQUIRED</x:v>
      </x:c>
      <x:c r="W911" s="12" t="str">
        <x:f>IF(P911="Unverified","missing_receipt","receipt_logged")</x:f>
        <x:v>missing_receipt</x:v>
      </x:c>
      <x:c r="X911" s="12" t="str">
        <x:f>IF(Q911="Not checked","raw_status_missing","raw_status_logged")</x:f>
        <x:v>raw_status_missing</x:v>
      </x:c>
      <x:c r="Y911" s="12" t="str">
        <x:f>IF(U911="BLOCKED_PENDING_RECEIPT","Log source path or blocker; do not promote","Route to review lane")</x:f>
        <x:v>Log source path or blocker; do not promote</x:v>
      </x:c>
      <x:c r="Z911" s="12" t="str">
        <x:f>IF(K911="P0","Primary seat + Hashlight/Lucerna","Seat lane")</x:f>
        <x:v>Seat lane</x:v>
      </x:c>
      <x:c r="AA911" s="12" t="str">
        <x:f>IF(R911="","no_claim_delta","claim_delta_present")</x:f>
        <x:v>no_claim_delta</x:v>
      </x:c>
      <x:c r="AB911" s="12" t="str">
        <x:f>IF(S911="","no_contradiction_delta","contradiction_delta_present")</x:f>
        <x:v>no_contradiction_delta</x:v>
      </x:c>
      <x:c r="AC911" s="12" t="str">
        <x:f>IF(OR(ISNUMBER(SEARCH("hacker",LOWER(F911&amp;" "&amp;H911&amp;" "&amp;I911&amp;" "&amp;M911&amp;" "&amp;N911&amp;" "&amp;T911))),ISNUMBER(SEARCH("hacking",LOWER(F911&amp;" "&amp;H911&amp;" "&amp;I911&amp;" "&amp;M911&amp;" "&amp;N911&amp;" "&amp;T911))),ISNUMBER(SEARCH("bank",LOWER(F911&amp;" "&amp;H911&amp;" "&amp;I911&amp;" "&amp;M911&amp;" "&amp;N911&amp;" "&amp;T911))),ISNUMBER(SEARCH("banking",LOWER(F911&amp;" "&amp;H911&amp;" "&amp;I911&amp;" "&amp;M911&amp;" "&amp;N911&amp;" "&amp;T911)))),"PRIVATE_QUARANTINE",IF(OR(ISNUMBER(SEARCH("treasury",LOWER(F911&amp;" "&amp;H911&amp;" "&amp;I911&amp;" "&amp;M911&amp;" "&amp;N911&amp;" "&amp;T911))),ISNUMBER(SEARCH("debt",LOWER(F911&amp;" "&amp;H911&amp;" "&amp;I911&amp;" "&amp;M911&amp;" "&amp;N911&amp;" "&amp;T911))),ISNUMBER(SEARCH("bond",LOWER(F911&amp;" "&amp;H911&amp;" "&amp;I911&amp;" "&amp;M911&amp;" "&amp;N911&amp;" "&amp;T911))),ISNUMBER(SEARCH("transaction",LOWER(F911&amp;" "&amp;H911&amp;" "&amp;I911&amp;" "&amp;M911&amp;" "&amp;N911&amp;" "&amp;T911)))),"PRIVATE_REVIEW","PUBLIC_CANDIDATE"))</x:f>
        <x:v>PUBLIC_CANDIDATE</x:v>
      </x:c>
      <x:c r="AD911" s="12" t="str">
        <x:f>IF(AC911="PRIVATE_QUARANTINE","hacker_or_bank_trigger",IF(AC911="PRIVATE_REVIEW","finance_risk_trigger","none"))</x:f>
        <x:v>none</x:v>
      </x:c>
      <x:c r="AE911" s="12" t="str">
        <x:f>IF(AC911="PUBLIC_CANDIDATE","prepare_public_github_candidate",IF(AC911="PRIVATE_REVIEW","hold_for_private_review","quarantine_private_do_not_publish"))</x:f>
        <x:v>prepare_public_github_candidate</x:v>
      </x:c>
      <x:c r="AF911" s="12" t="str">
        <x:f>IF(AC911="PUBLIC_CANDIDATE","TIDELOCK + Lucerna",IF(AC911="PRIVATE_REVIEW","AtlasBrain + Lucerna","TIDELOCK + Lucerna + Human-root"))</x:f>
        <x:v>TIDELOCK + Lucerna</x:v>
      </x:c>
      <x:c r="AG911" s="12" t="str">
        <x:f>IF(AND(AC911="PUBLIC_CANDIDATE",U911&lt;&gt;"BLOCKED_PENDING_RECEIPT"),"READY_AFTER_RECEIPT","NOT_READY")</x:f>
        <x:v>NOT_READY</x:v>
      </x:c>
      <x:c r="AH911" s="12" t="str">
        <x:f>IF(AC911="PUBLIC_CANDIDATE","none",AD911)</x:f>
        <x:v>none</x:v>
      </x:c>
      <x:c r="AI911" s="12" t="str">
        <x:f>IF(AC911="PUBLIC_CANDIDATE","archive/public_candidates/"&amp;A911,"private_quarantine/"&amp;A911)</x:f>
        <x:v>archive/public_candidates/SWARM-07-H04-S10</x:v>
      </x:c>
      <x:c r="AJ911" s="12" t="str">
        <x:f>IF(AC911="PUBLIC_CANDIDATE","public by default; still not canon","private/hold; do not publish")</x:f>
        <x:v>public by default; still not canon</x:v>
      </x:c>
      <x:c r="AK911" s="12" t="str">
        <x:f>IF(AE911="prepare_public_github_candidate","add receipt/status then mirror","resolve blocker before any public GitHub action")</x:f>
        <x:v>add receipt/status then mirror</x:v>
      </x:c>
    </x:row>
    <x:row r="912">
      <x:c r="A912" s="15" t="str">
        <x:v>SWARM-07-H04-S11</x:v>
      </x:c>
      <x:c r="B912" s="15" t="str">
        <x:v>Domechild</x:v>
      </x:c>
      <x:c r="C912" s="15" t="str">
        <x:v>Planetarium lane builder</x:v>
      </x:c>
      <x:c r="D912" s="15" t="str">
        <x:v>Claim Extraction</x:v>
      </x:c>
      <x:c r="E912" s="15" t="str">
        <x:v>Automation</x:v>
      </x:c>
      <x:c r="F912" s="15" t="str">
        <x:v>Extract claims from Automation — Domechild</x:v>
      </x:c>
      <x:c r="G912" s="15" t="str">
        <x:v>planetarium source packets / civic-science deltas</x:v>
      </x:c>
      <x:c r="H912" s="15" t="str">
        <x:v>source path + receipt + raw/export status + claim/edge/risk delta</x:v>
      </x:c>
      <x:c r="I912" s="15" t="str">
        <x:v>packet/SWARM-07-H04-S11</x:v>
      </x:c>
      <x:c r="J912" s="15" t="str">
        <x:v>TODO</x:v>
      </x:c>
      <x:c r="K912" s="15" t="str">
        <x:v>P2</x:v>
      </x:c>
      <x:c r="L912" s="15" t="str">
        <x:v>Done only when evidence is logged, contradiction search is noted, and boundary stamp remains non-canon unless ratified</x:v>
      </x:c>
      <x:c r="M912" s="15" t="str">
        <x:v>candidate / staging-only / not canon / not deployed / authority none</x:v>
      </x:c>
      <x:c r="N912" s="15" t="str">
        <x:v>Dispatch to Domechild: complete Claim Extraction x Automation; return deltas only, receipts required.</x:v>
      </x:c>
      <x:c r="O912" s="15" t="str">
        <x:v>AF-KG-H04-S11</x:v>
      </x:c>
      <x:c r="P912" s="15" t="str">
        <x:v>Unverified</x:v>
      </x:c>
      <x:c r="Q912" s="15" t="str">
        <x:v>Not checked</x:v>
      </x:c>
      <x:c r="R912" s="15" t="str"/>
      <x:c r="S912" s="15" t="str"/>
      <x:c r="T912" s="15" t="str">
        <x:v>Log first source path or blocker</x:v>
      </x:c>
      <x:c r="U912" s="12" t="str">
        <x:f>IF(OR(P912="Unverified",Q912="Not checked"),"BLOCKED_PENDING_RECEIPT","READY_FOR_REVIEW")</x:f>
        <x:v>BLOCKED_PENDING_RECEIPT</x:v>
      </x:c>
      <x:c r="V912" s="12" t="str">
        <x:f>IF(J912="DONE","RETURNED",IF(U912="BLOCKED_PENDING_RECEIPT","SOURCE_TOUCH_REQUIRED","IN_PROGRESS"))</x:f>
        <x:v>SOURCE_TOUCH_REQUIRED</x:v>
      </x:c>
      <x:c r="W912" s="12" t="str">
        <x:f>IF(P912="Unverified","missing_receipt","receipt_logged")</x:f>
        <x:v>missing_receipt</x:v>
      </x:c>
      <x:c r="X912" s="12" t="str">
        <x:f>IF(Q912="Not checked","raw_status_missing","raw_status_logged")</x:f>
        <x:v>raw_status_missing</x:v>
      </x:c>
      <x:c r="Y912" s="12" t="str">
        <x:f>IF(U912="BLOCKED_PENDING_RECEIPT","Log source path or blocker; do not promote","Route to review lane")</x:f>
        <x:v>Log source path or blocker; do not promote</x:v>
      </x:c>
      <x:c r="Z912" s="12" t="str">
        <x:f>IF(K912="P0","Primary seat + Hashlight/Lucerna","Seat lane")</x:f>
        <x:v>Seat lane</x:v>
      </x:c>
      <x:c r="AA912" s="12" t="str">
        <x:f>IF(R912="","no_claim_delta","claim_delta_present")</x:f>
        <x:v>no_claim_delta</x:v>
      </x:c>
      <x:c r="AB912" s="12" t="str">
        <x:f>IF(S912="","no_contradiction_delta","contradiction_delta_present")</x:f>
        <x:v>no_contradiction_delta</x:v>
      </x:c>
      <x:c r="AC912" s="12" t="str">
        <x:f>IF(OR(ISNUMBER(SEARCH("hacker",LOWER(F912&amp;" "&amp;H912&amp;" "&amp;I912&amp;" "&amp;M912&amp;" "&amp;N912&amp;" "&amp;T912))),ISNUMBER(SEARCH("hacking",LOWER(F912&amp;" "&amp;H912&amp;" "&amp;I912&amp;" "&amp;M912&amp;" "&amp;N912&amp;" "&amp;T912))),ISNUMBER(SEARCH("bank",LOWER(F912&amp;" "&amp;H912&amp;" "&amp;I912&amp;" "&amp;M912&amp;" "&amp;N912&amp;" "&amp;T912))),ISNUMBER(SEARCH("banking",LOWER(F912&amp;" "&amp;H912&amp;" "&amp;I912&amp;" "&amp;M912&amp;" "&amp;N912&amp;" "&amp;T912)))),"PRIVATE_QUARANTINE",IF(OR(ISNUMBER(SEARCH("treasury",LOWER(F912&amp;" "&amp;H912&amp;" "&amp;I912&amp;" "&amp;M912&amp;" "&amp;N912&amp;" "&amp;T912))),ISNUMBER(SEARCH("debt",LOWER(F912&amp;" "&amp;H912&amp;" "&amp;I912&amp;" "&amp;M912&amp;" "&amp;N912&amp;" "&amp;T912))),ISNUMBER(SEARCH("bond",LOWER(F912&amp;" "&amp;H912&amp;" "&amp;I912&amp;" "&amp;M912&amp;" "&amp;N912&amp;" "&amp;T912))),ISNUMBER(SEARCH("transaction",LOWER(F912&amp;" "&amp;H912&amp;" "&amp;I912&amp;" "&amp;M912&amp;" "&amp;N912&amp;" "&amp;T912)))),"PRIVATE_REVIEW","PUBLIC_CANDIDATE"))</x:f>
        <x:v>PUBLIC_CANDIDATE</x:v>
      </x:c>
      <x:c r="AD912" s="12" t="str">
        <x:f>IF(AC912="PRIVATE_QUARANTINE","hacker_or_bank_trigger",IF(AC912="PRIVATE_REVIEW","finance_risk_trigger","none"))</x:f>
        <x:v>none</x:v>
      </x:c>
      <x:c r="AE912" s="12" t="str">
        <x:f>IF(AC912="PUBLIC_CANDIDATE","prepare_public_github_candidate",IF(AC912="PRIVATE_REVIEW","hold_for_private_review","quarantine_private_do_not_publish"))</x:f>
        <x:v>prepare_public_github_candidate</x:v>
      </x:c>
      <x:c r="AF912" s="12" t="str">
        <x:f>IF(AC912="PUBLIC_CANDIDATE","TIDELOCK + Lucerna",IF(AC912="PRIVATE_REVIEW","AtlasBrain + Lucerna","TIDELOCK + Lucerna + Human-root"))</x:f>
        <x:v>TIDELOCK + Lucerna</x:v>
      </x:c>
      <x:c r="AG912" s="12" t="str">
        <x:f>IF(AND(AC912="PUBLIC_CANDIDATE",U912&lt;&gt;"BLOCKED_PENDING_RECEIPT"),"READY_AFTER_RECEIPT","NOT_READY")</x:f>
        <x:v>NOT_READY</x:v>
      </x:c>
      <x:c r="AH912" s="12" t="str">
        <x:f>IF(AC912="PUBLIC_CANDIDATE","none",AD912)</x:f>
        <x:v>none</x:v>
      </x:c>
      <x:c r="AI912" s="12" t="str">
        <x:f>IF(AC912="PUBLIC_CANDIDATE","archive/public_candidates/"&amp;A912,"private_quarantine/"&amp;A912)</x:f>
        <x:v>archive/public_candidates/SWARM-07-H04-S11</x:v>
      </x:c>
      <x:c r="AJ912" s="12" t="str">
        <x:f>IF(AC912="PUBLIC_CANDIDATE","public by default; still not canon","private/hold; do not publish")</x:f>
        <x:v>public by default; still not canon</x:v>
      </x:c>
      <x:c r="AK912" s="12" t="str">
        <x:f>IF(AE912="prepare_public_github_candidate","add receipt/status then mirror","resolve blocker before any public GitHub action")</x:f>
        <x:v>add receipt/status then mirror</x:v>
      </x:c>
    </x:row>
    <x:row r="913">
      <x:c r="A913" s="15" t="str">
        <x:v>SWARM-07-H04-S12</x:v>
      </x:c>
      <x:c r="B913" s="15" t="str">
        <x:v>Domechild</x:v>
      </x:c>
      <x:c r="C913" s="15" t="str">
        <x:v>Planetarium lane builder</x:v>
      </x:c>
      <x:c r="D913" s="15" t="str">
        <x:v>Claim Extraction</x:v>
      </x:c>
      <x:c r="E913" s="15" t="str">
        <x:v>Risk / Safety</x:v>
      </x:c>
      <x:c r="F913" s="15" t="str">
        <x:v>Extract claims from Risk / Safety — Domechild</x:v>
      </x:c>
      <x:c r="G913" s="15" t="str">
        <x:v>planetarium source packets / civic-science deltas</x:v>
      </x:c>
      <x:c r="H913" s="15" t="str">
        <x:v>source path + receipt + raw/export status + claim/edge/risk delta</x:v>
      </x:c>
      <x:c r="I913" s="15" t="str">
        <x:v>packet/SWARM-07-H04-S12</x:v>
      </x:c>
      <x:c r="J913" s="15" t="str">
        <x:v>TODO</x:v>
      </x:c>
      <x:c r="K913" s="15" t="str">
        <x:v>P2</x:v>
      </x:c>
      <x:c r="L913" s="15" t="str">
        <x:v>Done only when evidence is logged, contradiction search is noted, and boundary stamp remains non-canon unless ratified</x:v>
      </x:c>
      <x:c r="M913" s="15" t="str">
        <x:v>candidate / staging-only / not canon / not deployed / authority none</x:v>
      </x:c>
      <x:c r="N913" s="15" t="str">
        <x:v>Dispatch to Domechild: complete Claim Extraction x Risk / Safety; return deltas only, receipts required.</x:v>
      </x:c>
      <x:c r="O913" s="15" t="str">
        <x:v>AF-KG-H04-S12</x:v>
      </x:c>
      <x:c r="P913" s="15" t="str">
        <x:v>Unverified</x:v>
      </x:c>
      <x:c r="Q913" s="15" t="str">
        <x:v>Not checked</x:v>
      </x:c>
      <x:c r="R913" s="15" t="str"/>
      <x:c r="S913" s="15" t="str"/>
      <x:c r="T913" s="15" t="str">
        <x:v>Log first source path or blocker</x:v>
      </x:c>
      <x:c r="U913" s="12" t="str">
        <x:f>IF(OR(P913="Unverified",Q913="Not checked"),"BLOCKED_PENDING_RECEIPT","READY_FOR_REVIEW")</x:f>
        <x:v>BLOCKED_PENDING_RECEIPT</x:v>
      </x:c>
      <x:c r="V913" s="12" t="str">
        <x:f>IF(J913="DONE","RETURNED",IF(U913="BLOCKED_PENDING_RECEIPT","SOURCE_TOUCH_REQUIRED","IN_PROGRESS"))</x:f>
        <x:v>SOURCE_TOUCH_REQUIRED</x:v>
      </x:c>
      <x:c r="W913" s="12" t="str">
        <x:f>IF(P913="Unverified","missing_receipt","receipt_logged")</x:f>
        <x:v>missing_receipt</x:v>
      </x:c>
      <x:c r="X913" s="12" t="str">
        <x:f>IF(Q913="Not checked","raw_status_missing","raw_status_logged")</x:f>
        <x:v>raw_status_missing</x:v>
      </x:c>
      <x:c r="Y913" s="12" t="str">
        <x:f>IF(U913="BLOCKED_PENDING_RECEIPT","Log source path or blocker; do not promote","Route to review lane")</x:f>
        <x:v>Log source path or blocker; do not promote</x:v>
      </x:c>
      <x:c r="Z913" s="12" t="str">
        <x:f>IF(K913="P0","Primary seat + Hashlight/Lucerna","Seat lane")</x:f>
        <x:v>Seat lane</x:v>
      </x:c>
      <x:c r="AA913" s="12" t="str">
        <x:f>IF(R913="","no_claim_delta","claim_delta_present")</x:f>
        <x:v>no_claim_delta</x:v>
      </x:c>
      <x:c r="AB913" s="12" t="str">
        <x:f>IF(S913="","no_contradiction_delta","contradiction_delta_present")</x:f>
        <x:v>no_contradiction_delta</x:v>
      </x:c>
      <x:c r="AC913" s="12" t="str">
        <x:f>IF(OR(ISNUMBER(SEARCH("hacker",LOWER(F913&amp;" "&amp;H913&amp;" "&amp;I913&amp;" "&amp;M913&amp;" "&amp;N913&amp;" "&amp;T913))),ISNUMBER(SEARCH("hacking",LOWER(F913&amp;" "&amp;H913&amp;" "&amp;I913&amp;" "&amp;M913&amp;" "&amp;N913&amp;" "&amp;T913))),ISNUMBER(SEARCH("bank",LOWER(F913&amp;" "&amp;H913&amp;" "&amp;I913&amp;" "&amp;M913&amp;" "&amp;N913&amp;" "&amp;T913))),ISNUMBER(SEARCH("banking",LOWER(F913&amp;" "&amp;H913&amp;" "&amp;I913&amp;" "&amp;M913&amp;" "&amp;N913&amp;" "&amp;T913)))),"PRIVATE_QUARANTINE",IF(OR(ISNUMBER(SEARCH("treasury",LOWER(F913&amp;" "&amp;H913&amp;" "&amp;I913&amp;" "&amp;M913&amp;" "&amp;N913&amp;" "&amp;T913))),ISNUMBER(SEARCH("debt",LOWER(F913&amp;" "&amp;H913&amp;" "&amp;I913&amp;" "&amp;M913&amp;" "&amp;N913&amp;" "&amp;T913))),ISNUMBER(SEARCH("bond",LOWER(F913&amp;" "&amp;H913&amp;" "&amp;I913&amp;" "&amp;M913&amp;" "&amp;N913&amp;" "&amp;T913))),ISNUMBER(SEARCH("transaction",LOWER(F913&amp;" "&amp;H913&amp;" "&amp;I913&amp;" "&amp;M913&amp;" "&amp;N913&amp;" "&amp;T913)))),"PRIVATE_REVIEW","PUBLIC_CANDIDATE"))</x:f>
        <x:v>PUBLIC_CANDIDATE</x:v>
      </x:c>
      <x:c r="AD913" s="12" t="str">
        <x:f>IF(AC913="PRIVATE_QUARANTINE","hacker_or_bank_trigger",IF(AC913="PRIVATE_REVIEW","finance_risk_trigger","none"))</x:f>
        <x:v>none</x:v>
      </x:c>
      <x:c r="AE913" s="12" t="str">
        <x:f>IF(AC913="PUBLIC_CANDIDATE","prepare_public_github_candidate",IF(AC913="PRIVATE_REVIEW","hold_for_private_review","quarantine_private_do_not_publish"))</x:f>
        <x:v>prepare_public_github_candidate</x:v>
      </x:c>
      <x:c r="AF913" s="12" t="str">
        <x:f>IF(AC913="PUBLIC_CANDIDATE","TIDELOCK + Lucerna",IF(AC913="PRIVATE_REVIEW","AtlasBrain + Lucerna","TIDELOCK + Lucerna + Human-root"))</x:f>
        <x:v>TIDELOCK + Lucerna</x:v>
      </x:c>
      <x:c r="AG913" s="12" t="str">
        <x:f>IF(AND(AC913="PUBLIC_CANDIDATE",U913&lt;&gt;"BLOCKED_PENDING_RECEIPT"),"READY_AFTER_RECEIPT","NOT_READY")</x:f>
        <x:v>NOT_READY</x:v>
      </x:c>
      <x:c r="AH913" s="12" t="str">
        <x:f>IF(AC913="PUBLIC_CANDIDATE","none",AD913)</x:f>
        <x:v>none</x:v>
      </x:c>
      <x:c r="AI913" s="12" t="str">
        <x:f>IF(AC913="PUBLIC_CANDIDATE","archive/public_candidates/"&amp;A913,"private_quarantine/"&amp;A913)</x:f>
        <x:v>archive/public_candidates/SWARM-07-H04-S12</x:v>
      </x:c>
      <x:c r="AJ913" s="12" t="str">
        <x:f>IF(AC913="PUBLIC_CANDIDATE","public by default; still not canon","private/hold; do not publish")</x:f>
        <x:v>public by default; still not canon</x:v>
      </x:c>
      <x:c r="AK913" s="12" t="str">
        <x:f>IF(AE913="prepare_public_github_candidate","add receipt/status then mirror","resolve blocker before any public GitHub action")</x:f>
        <x:v>add receipt/status then mirror</x:v>
      </x:c>
    </x:row>
    <x:row r="914">
      <x:c r="A914" s="15" t="str">
        <x:v>SWARM-07-H05-S01</x:v>
      </x:c>
      <x:c r="B914" s="15" t="str">
        <x:v>Domechild</x:v>
      </x:c>
      <x:c r="C914" s="15" t="str">
        <x:v>Planetarium lane builder</x:v>
      </x:c>
      <x:c r="D914" s="15" t="str">
        <x:v>Contradiction Mapping</x:v>
      </x:c>
      <x:c r="E914" s="15" t="str">
        <x:v>Notion</x:v>
      </x:c>
      <x:c r="F914" s="15" t="str">
        <x:v>Map contradictions in Notion — Domechild</x:v>
      </x:c>
      <x:c r="G914" s="15" t="str">
        <x:v>planetarium source packets / civic-science deltas</x:v>
      </x:c>
      <x:c r="H914" s="15" t="str">
        <x:v>source path + receipt + raw/export status + claim/edge/risk delta</x:v>
      </x:c>
      <x:c r="I914" s="15" t="str">
        <x:v>packet/SWARM-07-H05-S01</x:v>
      </x:c>
      <x:c r="J914" s="15" t="str">
        <x:v>TODO</x:v>
      </x:c>
      <x:c r="K914" s="15" t="str">
        <x:v>P0</x:v>
      </x:c>
      <x:c r="L914" s="15" t="str">
        <x:v>Done only when evidence is logged, contradiction search is noted, and boundary stamp remains non-canon unless ratified</x:v>
      </x:c>
      <x:c r="M914" s="15" t="str">
        <x:v>candidate / staging-only / not canon / not deployed / authority none</x:v>
      </x:c>
      <x:c r="N914" s="15" t="str">
        <x:v>Dispatch to Domechild: complete Contradiction Mapping x Notion; return deltas only, receipts required.</x:v>
      </x:c>
      <x:c r="O914" s="15" t="str">
        <x:v>AF-KG-H05-S01</x:v>
      </x:c>
      <x:c r="P914" s="15" t="str">
        <x:v>Unverified</x:v>
      </x:c>
      <x:c r="Q914" s="15" t="str">
        <x:v>Not checked</x:v>
      </x:c>
      <x:c r="R914" s="15" t="str"/>
      <x:c r="S914" s="15" t="str"/>
      <x:c r="T914" s="15" t="str">
        <x:v>Log first source path or blocker</x:v>
      </x:c>
      <x:c r="U914" s="12" t="str">
        <x:f>IF(OR(P914="Unverified",Q914="Not checked"),"BLOCKED_PENDING_RECEIPT","READY_FOR_REVIEW")</x:f>
        <x:v>BLOCKED_PENDING_RECEIPT</x:v>
      </x:c>
      <x:c r="V914" s="12" t="str">
        <x:f>IF(J914="DONE","RETURNED",IF(U914="BLOCKED_PENDING_RECEIPT","SOURCE_TOUCH_REQUIRED","IN_PROGRESS"))</x:f>
        <x:v>SOURCE_TOUCH_REQUIRED</x:v>
      </x:c>
      <x:c r="W914" s="12" t="str">
        <x:f>IF(P914="Unverified","missing_receipt","receipt_logged")</x:f>
        <x:v>missing_receipt</x:v>
      </x:c>
      <x:c r="X914" s="12" t="str">
        <x:f>IF(Q914="Not checked","raw_status_missing","raw_status_logged")</x:f>
        <x:v>raw_status_missing</x:v>
      </x:c>
      <x:c r="Y914" s="12" t="str">
        <x:f>IF(U914="BLOCKED_PENDING_RECEIPT","Log source path or blocker; do not promote","Route to review lane")</x:f>
        <x:v>Log source path or blocker; do not promote</x:v>
      </x:c>
      <x:c r="Z914" s="12" t="str">
        <x:f>IF(K914="P0","Primary seat + Hashlight/Lucerna","Seat lane")</x:f>
        <x:v>Primary seat + Hashlight/Lucerna</x:v>
      </x:c>
      <x:c r="AA914" s="12" t="str">
        <x:f>IF(R914="","no_claim_delta","claim_delta_present")</x:f>
        <x:v>no_claim_delta</x:v>
      </x:c>
      <x:c r="AB914" s="12" t="str">
        <x:f>IF(S914="","no_contradiction_delta","contradiction_delta_present")</x:f>
        <x:v>no_contradiction_delta</x:v>
      </x:c>
      <x:c r="AC914" s="12" t="str">
        <x:f>IF(OR(ISNUMBER(SEARCH("hacker",LOWER(F914&amp;" "&amp;H914&amp;" "&amp;I914&amp;" "&amp;M914&amp;" "&amp;N914&amp;" "&amp;T914))),ISNUMBER(SEARCH("hacking",LOWER(F914&amp;" "&amp;H914&amp;" "&amp;I914&amp;" "&amp;M914&amp;" "&amp;N914&amp;" "&amp;T914))),ISNUMBER(SEARCH("bank",LOWER(F914&amp;" "&amp;H914&amp;" "&amp;I914&amp;" "&amp;M914&amp;" "&amp;N914&amp;" "&amp;T914))),ISNUMBER(SEARCH("banking",LOWER(F914&amp;" "&amp;H914&amp;" "&amp;I914&amp;" "&amp;M914&amp;" "&amp;N914&amp;" "&amp;T914)))),"PRIVATE_QUARANTINE",IF(OR(ISNUMBER(SEARCH("treasury",LOWER(F914&amp;" "&amp;H914&amp;" "&amp;I914&amp;" "&amp;M914&amp;" "&amp;N914&amp;" "&amp;T914))),ISNUMBER(SEARCH("debt",LOWER(F914&amp;" "&amp;H914&amp;" "&amp;I914&amp;" "&amp;M914&amp;" "&amp;N914&amp;" "&amp;T914))),ISNUMBER(SEARCH("bond",LOWER(F914&amp;" "&amp;H914&amp;" "&amp;I914&amp;" "&amp;M914&amp;" "&amp;N914&amp;" "&amp;T914))),ISNUMBER(SEARCH("transaction",LOWER(F914&amp;" "&amp;H914&amp;" "&amp;I914&amp;" "&amp;M914&amp;" "&amp;N914&amp;" "&amp;T914)))),"PRIVATE_REVIEW","PUBLIC_CANDIDATE"))</x:f>
        <x:v>PUBLIC_CANDIDATE</x:v>
      </x:c>
      <x:c r="AD914" s="12" t="str">
        <x:f>IF(AC914="PRIVATE_QUARANTINE","hacker_or_bank_trigger",IF(AC914="PRIVATE_REVIEW","finance_risk_trigger","none"))</x:f>
        <x:v>none</x:v>
      </x:c>
      <x:c r="AE914" s="12" t="str">
        <x:f>IF(AC914="PUBLIC_CANDIDATE","prepare_public_github_candidate",IF(AC914="PRIVATE_REVIEW","hold_for_private_review","quarantine_private_do_not_publish"))</x:f>
        <x:v>prepare_public_github_candidate</x:v>
      </x:c>
      <x:c r="AF914" s="12" t="str">
        <x:f>IF(AC914="PUBLIC_CANDIDATE","TIDELOCK + Lucerna",IF(AC914="PRIVATE_REVIEW","AtlasBrain + Lucerna","TIDELOCK + Lucerna + Human-root"))</x:f>
        <x:v>TIDELOCK + Lucerna</x:v>
      </x:c>
      <x:c r="AG914" s="12" t="str">
        <x:f>IF(AND(AC914="PUBLIC_CANDIDATE",U914&lt;&gt;"BLOCKED_PENDING_RECEIPT"),"READY_AFTER_RECEIPT","NOT_READY")</x:f>
        <x:v>NOT_READY</x:v>
      </x:c>
      <x:c r="AH914" s="12" t="str">
        <x:f>IF(AC914="PUBLIC_CANDIDATE","none",AD914)</x:f>
        <x:v>none</x:v>
      </x:c>
      <x:c r="AI914" s="12" t="str">
        <x:f>IF(AC914="PUBLIC_CANDIDATE","archive/public_candidates/"&amp;A914,"private_quarantine/"&amp;A914)</x:f>
        <x:v>archive/public_candidates/SWARM-07-H05-S01</x:v>
      </x:c>
      <x:c r="AJ914" s="12" t="str">
        <x:f>IF(AC914="PUBLIC_CANDIDATE","public by default; still not canon","private/hold; do not publish")</x:f>
        <x:v>public by default; still not canon</x:v>
      </x:c>
      <x:c r="AK914" s="12" t="str">
        <x:f>IF(AE914="prepare_public_github_candidate","add receipt/status then mirror","resolve blocker before any public GitHub action")</x:f>
        <x:v>add receipt/status then mirror</x:v>
      </x:c>
    </x:row>
    <x:row r="915">
      <x:c r="A915" s="15" t="str">
        <x:v>SWARM-07-H05-S02</x:v>
      </x:c>
      <x:c r="B915" s="15" t="str">
        <x:v>Domechild</x:v>
      </x:c>
      <x:c r="C915" s="15" t="str">
        <x:v>Planetarium lane builder</x:v>
      </x:c>
      <x:c r="D915" s="15" t="str">
        <x:v>Contradiction Mapping</x:v>
      </x:c>
      <x:c r="E915" s="15" t="str">
        <x:v>Drive</x:v>
      </x:c>
      <x:c r="F915" s="15" t="str">
        <x:v>Map contradictions in Drive — Domechild</x:v>
      </x:c>
      <x:c r="G915" s="15" t="str">
        <x:v>planetarium source packets / civic-science deltas</x:v>
      </x:c>
      <x:c r="H915" s="15" t="str">
        <x:v>source path + receipt + raw/export status + claim/edge/risk delta</x:v>
      </x:c>
      <x:c r="I915" s="15" t="str">
        <x:v>packet/SWARM-07-H05-S02</x:v>
      </x:c>
      <x:c r="J915" s="15" t="str">
        <x:v>TODO</x:v>
      </x:c>
      <x:c r="K915" s="15" t="str">
        <x:v>P0</x:v>
      </x:c>
      <x:c r="L915" s="15" t="str">
        <x:v>Done only when evidence is logged, contradiction search is noted, and boundary stamp remains non-canon unless ratified</x:v>
      </x:c>
      <x:c r="M915" s="15" t="str">
        <x:v>candidate / staging-only / not canon / not deployed / authority none</x:v>
      </x:c>
      <x:c r="N915" s="15" t="str">
        <x:v>Dispatch to Domechild: complete Contradiction Mapping x Drive; return deltas only, receipts required.</x:v>
      </x:c>
      <x:c r="O915" s="15" t="str">
        <x:v>AF-KG-H05-S02</x:v>
      </x:c>
      <x:c r="P915" s="15" t="str">
        <x:v>Unverified</x:v>
      </x:c>
      <x:c r="Q915" s="15" t="str">
        <x:v>Not checked</x:v>
      </x:c>
      <x:c r="R915" s="15" t="str"/>
      <x:c r="S915" s="15" t="str"/>
      <x:c r="T915" s="15" t="str">
        <x:v>Log first source path or blocker</x:v>
      </x:c>
      <x:c r="U915" s="12" t="str">
        <x:f>IF(OR(P915="Unverified",Q915="Not checked"),"BLOCKED_PENDING_RECEIPT","READY_FOR_REVIEW")</x:f>
        <x:v>BLOCKED_PENDING_RECEIPT</x:v>
      </x:c>
      <x:c r="V915" s="12" t="str">
        <x:f>IF(J915="DONE","RETURNED",IF(U915="BLOCKED_PENDING_RECEIPT","SOURCE_TOUCH_REQUIRED","IN_PROGRESS"))</x:f>
        <x:v>SOURCE_TOUCH_REQUIRED</x:v>
      </x:c>
      <x:c r="W915" s="12" t="str">
        <x:f>IF(P915="Unverified","missing_receipt","receipt_logged")</x:f>
        <x:v>missing_receipt</x:v>
      </x:c>
      <x:c r="X915" s="12" t="str">
        <x:f>IF(Q915="Not checked","raw_status_missing","raw_status_logged")</x:f>
        <x:v>raw_status_missing</x:v>
      </x:c>
      <x:c r="Y915" s="12" t="str">
        <x:f>IF(U915="BLOCKED_PENDING_RECEIPT","Log source path or blocker; do not promote","Route to review lane")</x:f>
        <x:v>Log source path or blocker; do not promote</x:v>
      </x:c>
      <x:c r="Z915" s="12" t="str">
        <x:f>IF(K915="P0","Primary seat + Hashlight/Lucerna","Seat lane")</x:f>
        <x:v>Primary seat + Hashlight/Lucerna</x:v>
      </x:c>
      <x:c r="AA915" s="12" t="str">
        <x:f>IF(R915="","no_claim_delta","claim_delta_present")</x:f>
        <x:v>no_claim_delta</x:v>
      </x:c>
      <x:c r="AB915" s="12" t="str">
        <x:f>IF(S915="","no_contradiction_delta","contradiction_delta_present")</x:f>
        <x:v>no_contradiction_delta</x:v>
      </x:c>
      <x:c r="AC915" s="12" t="str">
        <x:f>IF(OR(ISNUMBER(SEARCH("hacker",LOWER(F915&amp;" "&amp;H915&amp;" "&amp;I915&amp;" "&amp;M915&amp;" "&amp;N915&amp;" "&amp;T915))),ISNUMBER(SEARCH("hacking",LOWER(F915&amp;" "&amp;H915&amp;" "&amp;I915&amp;" "&amp;M915&amp;" "&amp;N915&amp;" "&amp;T915))),ISNUMBER(SEARCH("bank",LOWER(F915&amp;" "&amp;H915&amp;" "&amp;I915&amp;" "&amp;M915&amp;" "&amp;N915&amp;" "&amp;T915))),ISNUMBER(SEARCH("banking",LOWER(F915&amp;" "&amp;H915&amp;" "&amp;I915&amp;" "&amp;M915&amp;" "&amp;N915&amp;" "&amp;T915)))),"PRIVATE_QUARANTINE",IF(OR(ISNUMBER(SEARCH("treasury",LOWER(F915&amp;" "&amp;H915&amp;" "&amp;I915&amp;" "&amp;M915&amp;" "&amp;N915&amp;" "&amp;T915))),ISNUMBER(SEARCH("debt",LOWER(F915&amp;" "&amp;H915&amp;" "&amp;I915&amp;" "&amp;M915&amp;" "&amp;N915&amp;" "&amp;T915))),ISNUMBER(SEARCH("bond",LOWER(F915&amp;" "&amp;H915&amp;" "&amp;I915&amp;" "&amp;M915&amp;" "&amp;N915&amp;" "&amp;T915))),ISNUMBER(SEARCH("transaction",LOWER(F915&amp;" "&amp;H915&amp;" "&amp;I915&amp;" "&amp;M915&amp;" "&amp;N915&amp;" "&amp;T915)))),"PRIVATE_REVIEW","PUBLIC_CANDIDATE"))</x:f>
        <x:v>PUBLIC_CANDIDATE</x:v>
      </x:c>
      <x:c r="AD915" s="12" t="str">
        <x:f>IF(AC915="PRIVATE_QUARANTINE","hacker_or_bank_trigger",IF(AC915="PRIVATE_REVIEW","finance_risk_trigger","none"))</x:f>
        <x:v>none</x:v>
      </x:c>
      <x:c r="AE915" s="12" t="str">
        <x:f>IF(AC915="PUBLIC_CANDIDATE","prepare_public_github_candidate",IF(AC915="PRIVATE_REVIEW","hold_for_private_review","quarantine_private_do_not_publish"))</x:f>
        <x:v>prepare_public_github_candidate</x:v>
      </x:c>
      <x:c r="AF915" s="12" t="str">
        <x:f>IF(AC915="PUBLIC_CANDIDATE","TIDELOCK + Lucerna",IF(AC915="PRIVATE_REVIEW","AtlasBrain + Lucerna","TIDELOCK + Lucerna + Human-root"))</x:f>
        <x:v>TIDELOCK + Lucerna</x:v>
      </x:c>
      <x:c r="AG915" s="12" t="str">
        <x:f>IF(AND(AC915="PUBLIC_CANDIDATE",U915&lt;&gt;"BLOCKED_PENDING_RECEIPT"),"READY_AFTER_RECEIPT","NOT_READY")</x:f>
        <x:v>NOT_READY</x:v>
      </x:c>
      <x:c r="AH915" s="12" t="str">
        <x:f>IF(AC915="PUBLIC_CANDIDATE","none",AD915)</x:f>
        <x:v>none</x:v>
      </x:c>
      <x:c r="AI915" s="12" t="str">
        <x:f>IF(AC915="PUBLIC_CANDIDATE","archive/public_candidates/"&amp;A915,"private_quarantine/"&amp;A915)</x:f>
        <x:v>archive/public_candidates/SWARM-07-H05-S02</x:v>
      </x:c>
      <x:c r="AJ915" s="12" t="str">
        <x:f>IF(AC915="PUBLIC_CANDIDATE","public by default; still not canon","private/hold; do not publish")</x:f>
        <x:v>public by default; still not canon</x:v>
      </x:c>
      <x:c r="AK915" s="12" t="str">
        <x:f>IF(AE915="prepare_public_github_candidate","add receipt/status then mirror","resolve blocker before any public GitHub action")</x:f>
        <x:v>add receipt/status then mirror</x:v>
      </x:c>
    </x:row>
    <x:row r="916">
      <x:c r="A916" s="15" t="str">
        <x:v>SWARM-07-H05-S03</x:v>
      </x:c>
      <x:c r="B916" s="15" t="str">
        <x:v>Domechild</x:v>
      </x:c>
      <x:c r="C916" s="15" t="str">
        <x:v>Planetarium lane builder</x:v>
      </x:c>
      <x:c r="D916" s="15" t="str">
        <x:v>Contradiction Mapping</x:v>
      </x:c>
      <x:c r="E916" s="15" t="str">
        <x:v>GitHub</x:v>
      </x:c>
      <x:c r="F916" s="15" t="str">
        <x:v>Map contradictions in GitHub — Domechild</x:v>
      </x:c>
      <x:c r="G916" s="15" t="str">
        <x:v>planetarium source packets / civic-science deltas</x:v>
      </x:c>
      <x:c r="H916" s="15" t="str">
        <x:v>source path + receipt + raw/export status + claim/edge/risk delta</x:v>
      </x:c>
      <x:c r="I916" s="15" t="str">
        <x:v>packet/SWARM-07-H05-S03</x:v>
      </x:c>
      <x:c r="J916" s="15" t="str">
        <x:v>TODO</x:v>
      </x:c>
      <x:c r="K916" s="15" t="str">
        <x:v>P0</x:v>
      </x:c>
      <x:c r="L916" s="15" t="str">
        <x:v>Done only when evidence is logged, contradiction search is noted, and boundary stamp remains non-canon unless ratified</x:v>
      </x:c>
      <x:c r="M916" s="15" t="str">
        <x:v>candidate / staging-only / not canon / not deployed / authority none</x:v>
      </x:c>
      <x:c r="N916" s="15" t="str">
        <x:v>Dispatch to Domechild: complete Contradiction Mapping x GitHub; return deltas only, receipts required.</x:v>
      </x:c>
      <x:c r="O916" s="15" t="str">
        <x:v>AF-KG-H05-S03</x:v>
      </x:c>
      <x:c r="P916" s="15" t="str">
        <x:v>Unverified</x:v>
      </x:c>
      <x:c r="Q916" s="15" t="str">
        <x:v>Not checked</x:v>
      </x:c>
      <x:c r="R916" s="15" t="str"/>
      <x:c r="S916" s="15" t="str"/>
      <x:c r="T916" s="15" t="str">
        <x:v>Log first source path or blocker</x:v>
      </x:c>
      <x:c r="U916" s="12" t="str">
        <x:f>IF(OR(P916="Unverified",Q916="Not checked"),"BLOCKED_PENDING_RECEIPT","READY_FOR_REVIEW")</x:f>
        <x:v>BLOCKED_PENDING_RECEIPT</x:v>
      </x:c>
      <x:c r="V916" s="12" t="str">
        <x:f>IF(J916="DONE","RETURNED",IF(U916="BLOCKED_PENDING_RECEIPT","SOURCE_TOUCH_REQUIRED","IN_PROGRESS"))</x:f>
        <x:v>SOURCE_TOUCH_REQUIRED</x:v>
      </x:c>
      <x:c r="W916" s="12" t="str">
        <x:f>IF(P916="Unverified","missing_receipt","receipt_logged")</x:f>
        <x:v>missing_receipt</x:v>
      </x:c>
      <x:c r="X916" s="12" t="str">
        <x:f>IF(Q916="Not checked","raw_status_missing","raw_status_logged")</x:f>
        <x:v>raw_status_missing</x:v>
      </x:c>
      <x:c r="Y916" s="12" t="str">
        <x:f>IF(U916="BLOCKED_PENDING_RECEIPT","Log source path or blocker; do not promote","Route to review lane")</x:f>
        <x:v>Log source path or blocker; do not promote</x:v>
      </x:c>
      <x:c r="Z916" s="12" t="str">
        <x:f>IF(K916="P0","Primary seat + Hashlight/Lucerna","Seat lane")</x:f>
        <x:v>Primary seat + Hashlight/Lucerna</x:v>
      </x:c>
      <x:c r="AA916" s="12" t="str">
        <x:f>IF(R916="","no_claim_delta","claim_delta_present")</x:f>
        <x:v>no_claim_delta</x:v>
      </x:c>
      <x:c r="AB916" s="12" t="str">
        <x:f>IF(S916="","no_contradiction_delta","contradiction_delta_present")</x:f>
        <x:v>no_contradiction_delta</x:v>
      </x:c>
      <x:c r="AC916" s="12" t="str">
        <x:f>IF(OR(ISNUMBER(SEARCH("hacker",LOWER(F916&amp;" "&amp;H916&amp;" "&amp;I916&amp;" "&amp;M916&amp;" "&amp;N916&amp;" "&amp;T916))),ISNUMBER(SEARCH("hacking",LOWER(F916&amp;" "&amp;H916&amp;" "&amp;I916&amp;" "&amp;M916&amp;" "&amp;N916&amp;" "&amp;T916))),ISNUMBER(SEARCH("bank",LOWER(F916&amp;" "&amp;H916&amp;" "&amp;I916&amp;" "&amp;M916&amp;" "&amp;N916&amp;" "&amp;T916))),ISNUMBER(SEARCH("banking",LOWER(F916&amp;" "&amp;H916&amp;" "&amp;I916&amp;" "&amp;M916&amp;" "&amp;N916&amp;" "&amp;T916)))),"PRIVATE_QUARANTINE",IF(OR(ISNUMBER(SEARCH("treasury",LOWER(F916&amp;" "&amp;H916&amp;" "&amp;I916&amp;" "&amp;M916&amp;" "&amp;N916&amp;" "&amp;T916))),ISNUMBER(SEARCH("debt",LOWER(F916&amp;" "&amp;H916&amp;" "&amp;I916&amp;" "&amp;M916&amp;" "&amp;N916&amp;" "&amp;T916))),ISNUMBER(SEARCH("bond",LOWER(F916&amp;" "&amp;H916&amp;" "&amp;I916&amp;" "&amp;M916&amp;" "&amp;N916&amp;" "&amp;T916))),ISNUMBER(SEARCH("transaction",LOWER(F916&amp;" "&amp;H916&amp;" "&amp;I916&amp;" "&amp;M916&amp;" "&amp;N916&amp;" "&amp;T916)))),"PRIVATE_REVIEW","PUBLIC_CANDIDATE"))</x:f>
        <x:v>PUBLIC_CANDIDATE</x:v>
      </x:c>
      <x:c r="AD916" s="12" t="str">
        <x:f>IF(AC916="PRIVATE_QUARANTINE","hacker_or_bank_trigger",IF(AC916="PRIVATE_REVIEW","finance_risk_trigger","none"))</x:f>
        <x:v>none</x:v>
      </x:c>
      <x:c r="AE916" s="12" t="str">
        <x:f>IF(AC916="PUBLIC_CANDIDATE","prepare_public_github_candidate",IF(AC916="PRIVATE_REVIEW","hold_for_private_review","quarantine_private_do_not_publish"))</x:f>
        <x:v>prepare_public_github_candidate</x:v>
      </x:c>
      <x:c r="AF916" s="12" t="str">
        <x:f>IF(AC916="PUBLIC_CANDIDATE","TIDELOCK + Lucerna",IF(AC916="PRIVATE_REVIEW","AtlasBrain + Lucerna","TIDELOCK + Lucerna + Human-root"))</x:f>
        <x:v>TIDELOCK + Lucerna</x:v>
      </x:c>
      <x:c r="AG916" s="12" t="str">
        <x:f>IF(AND(AC916="PUBLIC_CANDIDATE",U916&lt;&gt;"BLOCKED_PENDING_RECEIPT"),"READY_AFTER_RECEIPT","NOT_READY")</x:f>
        <x:v>NOT_READY</x:v>
      </x:c>
      <x:c r="AH916" s="12" t="str">
        <x:f>IF(AC916="PUBLIC_CANDIDATE","none",AD916)</x:f>
        <x:v>none</x:v>
      </x:c>
      <x:c r="AI916" s="12" t="str">
        <x:f>IF(AC916="PUBLIC_CANDIDATE","archive/public_candidates/"&amp;A916,"private_quarantine/"&amp;A916)</x:f>
        <x:v>archive/public_candidates/SWARM-07-H05-S03</x:v>
      </x:c>
      <x:c r="AJ916" s="12" t="str">
        <x:f>IF(AC916="PUBLIC_CANDIDATE","public by default; still not canon","private/hold; do not publish")</x:f>
        <x:v>public by default; still not canon</x:v>
      </x:c>
      <x:c r="AK916" s="12" t="str">
        <x:f>IF(AE916="prepare_public_github_candidate","add receipt/status then mirror","resolve blocker before any public GitHub action")</x:f>
        <x:v>add receipt/status then mirror</x:v>
      </x:c>
    </x:row>
    <x:row r="917">
      <x:c r="A917" s="15" t="str">
        <x:v>SWARM-07-H05-S04</x:v>
      </x:c>
      <x:c r="B917" s="15" t="str">
        <x:v>Domechild</x:v>
      </x:c>
      <x:c r="C917" s="15" t="str">
        <x:v>Planetarium lane builder</x:v>
      </x:c>
      <x:c r="D917" s="15" t="str">
        <x:v>Contradiction Mapping</x:v>
      </x:c>
      <x:c r="E917" s="15" t="str">
        <x:v>Gamma</x:v>
      </x:c>
      <x:c r="F917" s="15" t="str">
        <x:v>Map contradictions in Gamma — Domechild</x:v>
      </x:c>
      <x:c r="G917" s="15" t="str">
        <x:v>planetarium source packets / civic-science deltas</x:v>
      </x:c>
      <x:c r="H917" s="15" t="str">
        <x:v>source path + receipt + raw/export status + claim/edge/risk delta</x:v>
      </x:c>
      <x:c r="I917" s="15" t="str">
        <x:v>packet/SWARM-07-H05-S04</x:v>
      </x:c>
      <x:c r="J917" s="15" t="str">
        <x:v>TODO</x:v>
      </x:c>
      <x:c r="K917" s="15" t="str">
        <x:v>P1</x:v>
      </x:c>
      <x:c r="L917" s="15" t="str">
        <x:v>Done only when evidence is logged, contradiction search is noted, and boundary stamp remains non-canon unless ratified</x:v>
      </x:c>
      <x:c r="M917" s="15" t="str">
        <x:v>candidate / staging-only / not canon / not deployed / authority none</x:v>
      </x:c>
      <x:c r="N917" s="15" t="str">
        <x:v>Dispatch to Domechild: complete Contradiction Mapping x Gamma; return deltas only, receipts required.</x:v>
      </x:c>
      <x:c r="O917" s="15" t="str">
        <x:v>AF-KG-H05-S04</x:v>
      </x:c>
      <x:c r="P917" s="15" t="str">
        <x:v>Unverified</x:v>
      </x:c>
      <x:c r="Q917" s="15" t="str">
        <x:v>Not checked</x:v>
      </x:c>
      <x:c r="R917" s="15" t="str"/>
      <x:c r="S917" s="15" t="str"/>
      <x:c r="T917" s="15" t="str">
        <x:v>Log first source path or blocker</x:v>
      </x:c>
      <x:c r="U917" s="12" t="str">
        <x:f>IF(OR(P917="Unverified",Q917="Not checked"),"BLOCKED_PENDING_RECEIPT","READY_FOR_REVIEW")</x:f>
        <x:v>BLOCKED_PENDING_RECEIPT</x:v>
      </x:c>
      <x:c r="V917" s="12" t="str">
        <x:f>IF(J917="DONE","RETURNED",IF(U917="BLOCKED_PENDING_RECEIPT","SOURCE_TOUCH_REQUIRED","IN_PROGRESS"))</x:f>
        <x:v>SOURCE_TOUCH_REQUIRED</x:v>
      </x:c>
      <x:c r="W917" s="12" t="str">
        <x:f>IF(P917="Unverified","missing_receipt","receipt_logged")</x:f>
        <x:v>missing_receipt</x:v>
      </x:c>
      <x:c r="X917" s="12" t="str">
        <x:f>IF(Q917="Not checked","raw_status_missing","raw_status_logged")</x:f>
        <x:v>raw_status_missing</x:v>
      </x:c>
      <x:c r="Y917" s="12" t="str">
        <x:f>IF(U917="BLOCKED_PENDING_RECEIPT","Log source path or blocker; do not promote","Route to review lane")</x:f>
        <x:v>Log source path or blocker; do not promote</x:v>
      </x:c>
      <x:c r="Z917" s="12" t="str">
        <x:f>IF(K917="P0","Primary seat + Hashlight/Lucerna","Seat lane")</x:f>
        <x:v>Seat lane</x:v>
      </x:c>
      <x:c r="AA917" s="12" t="str">
        <x:f>IF(R917="","no_claim_delta","claim_delta_present")</x:f>
        <x:v>no_claim_delta</x:v>
      </x:c>
      <x:c r="AB917" s="12" t="str">
        <x:f>IF(S917="","no_contradiction_delta","contradiction_delta_present")</x:f>
        <x:v>no_contradiction_delta</x:v>
      </x:c>
      <x:c r="AC917" s="12" t="str">
        <x:f>IF(OR(ISNUMBER(SEARCH("hacker",LOWER(F917&amp;" "&amp;H917&amp;" "&amp;I917&amp;" "&amp;M917&amp;" "&amp;N917&amp;" "&amp;T917))),ISNUMBER(SEARCH("hacking",LOWER(F917&amp;" "&amp;H917&amp;" "&amp;I917&amp;" "&amp;M917&amp;" "&amp;N917&amp;" "&amp;T917))),ISNUMBER(SEARCH("bank",LOWER(F917&amp;" "&amp;H917&amp;" "&amp;I917&amp;" "&amp;M917&amp;" "&amp;N917&amp;" "&amp;T917))),ISNUMBER(SEARCH("banking",LOWER(F917&amp;" "&amp;H917&amp;" "&amp;I917&amp;" "&amp;M917&amp;" "&amp;N917&amp;" "&amp;T917)))),"PRIVATE_QUARANTINE",IF(OR(ISNUMBER(SEARCH("treasury",LOWER(F917&amp;" "&amp;H917&amp;" "&amp;I917&amp;" "&amp;M917&amp;" "&amp;N917&amp;" "&amp;T917))),ISNUMBER(SEARCH("debt",LOWER(F917&amp;" "&amp;H917&amp;" "&amp;I917&amp;" "&amp;M917&amp;" "&amp;N917&amp;" "&amp;T917))),ISNUMBER(SEARCH("bond",LOWER(F917&amp;" "&amp;H917&amp;" "&amp;I917&amp;" "&amp;M917&amp;" "&amp;N917&amp;" "&amp;T917))),ISNUMBER(SEARCH("transaction",LOWER(F917&amp;" "&amp;H917&amp;" "&amp;I917&amp;" "&amp;M917&amp;" "&amp;N917&amp;" "&amp;T917)))),"PRIVATE_REVIEW","PUBLIC_CANDIDATE"))</x:f>
        <x:v>PUBLIC_CANDIDATE</x:v>
      </x:c>
      <x:c r="AD917" s="12" t="str">
        <x:f>IF(AC917="PRIVATE_QUARANTINE","hacker_or_bank_trigger",IF(AC917="PRIVATE_REVIEW","finance_risk_trigger","none"))</x:f>
        <x:v>none</x:v>
      </x:c>
      <x:c r="AE917" s="12" t="str">
        <x:f>IF(AC917="PUBLIC_CANDIDATE","prepare_public_github_candidate",IF(AC917="PRIVATE_REVIEW","hold_for_private_review","quarantine_private_do_not_publish"))</x:f>
        <x:v>prepare_public_github_candidate</x:v>
      </x:c>
      <x:c r="AF917" s="12" t="str">
        <x:f>IF(AC917="PUBLIC_CANDIDATE","TIDELOCK + Lucerna",IF(AC917="PRIVATE_REVIEW","AtlasBrain + Lucerna","TIDELOCK + Lucerna + Human-root"))</x:f>
        <x:v>TIDELOCK + Lucerna</x:v>
      </x:c>
      <x:c r="AG917" s="12" t="str">
        <x:f>IF(AND(AC917="PUBLIC_CANDIDATE",U917&lt;&gt;"BLOCKED_PENDING_RECEIPT"),"READY_AFTER_RECEIPT","NOT_READY")</x:f>
        <x:v>NOT_READY</x:v>
      </x:c>
      <x:c r="AH917" s="12" t="str">
        <x:f>IF(AC917="PUBLIC_CANDIDATE","none",AD917)</x:f>
        <x:v>none</x:v>
      </x:c>
      <x:c r="AI917" s="12" t="str">
        <x:f>IF(AC917="PUBLIC_CANDIDATE","archive/public_candidates/"&amp;A917,"private_quarantine/"&amp;A917)</x:f>
        <x:v>archive/public_candidates/SWARM-07-H05-S04</x:v>
      </x:c>
      <x:c r="AJ917" s="12" t="str">
        <x:f>IF(AC917="PUBLIC_CANDIDATE","public by default; still not canon","private/hold; do not publish")</x:f>
        <x:v>public by default; still not canon</x:v>
      </x:c>
      <x:c r="AK917" s="12" t="str">
        <x:f>IF(AE917="prepare_public_github_candidate","add receipt/status then mirror","resolve blocker before any public GitHub action")</x:f>
        <x:v>add receipt/status then mirror</x:v>
      </x:c>
    </x:row>
    <x:row r="918">
      <x:c r="A918" s="15" t="str">
        <x:v>SWARM-07-H05-S05</x:v>
      </x:c>
      <x:c r="B918" s="15" t="str">
        <x:v>Domechild</x:v>
      </x:c>
      <x:c r="C918" s="15" t="str">
        <x:v>Planetarium lane builder</x:v>
      </x:c>
      <x:c r="D918" s="15" t="str">
        <x:v>Contradiction Mapping</x:v>
      </x:c>
      <x:c r="E918" s="15" t="str">
        <x:v>Chat</x:v>
      </x:c>
      <x:c r="F918" s="15" t="str">
        <x:v>Map contradictions in Chat — Domechild</x:v>
      </x:c>
      <x:c r="G918" s="15" t="str">
        <x:v>planetarium source packets / civic-science deltas</x:v>
      </x:c>
      <x:c r="H918" s="15" t="str">
        <x:v>source path + receipt + raw/export status + claim/edge/risk delta</x:v>
      </x:c>
      <x:c r="I918" s="15" t="str">
        <x:v>packet/SWARM-07-H05-S05</x:v>
      </x:c>
      <x:c r="J918" s="15" t="str">
        <x:v>TODO</x:v>
      </x:c>
      <x:c r="K918" s="15" t="str">
        <x:v>P1</x:v>
      </x:c>
      <x:c r="L918" s="15" t="str">
        <x:v>Done only when evidence is logged, contradiction search is noted, and boundary stamp remains non-canon unless ratified</x:v>
      </x:c>
      <x:c r="M918" s="15" t="str">
        <x:v>candidate / staging-only / not canon / not deployed / authority none</x:v>
      </x:c>
      <x:c r="N918" s="15" t="str">
        <x:v>Dispatch to Domechild: complete Contradiction Mapping x Chat; return deltas only, receipts required.</x:v>
      </x:c>
      <x:c r="O918" s="15" t="str">
        <x:v>AF-KG-H05-S05</x:v>
      </x:c>
      <x:c r="P918" s="15" t="str">
        <x:v>Unverified</x:v>
      </x:c>
      <x:c r="Q918" s="15" t="str">
        <x:v>Not checked</x:v>
      </x:c>
      <x:c r="R918" s="15" t="str"/>
      <x:c r="S918" s="15" t="str"/>
      <x:c r="T918" s="15" t="str">
        <x:v>Log first source path or blocker</x:v>
      </x:c>
      <x:c r="U918" s="12" t="str">
        <x:f>IF(OR(P918="Unverified",Q918="Not checked"),"BLOCKED_PENDING_RECEIPT","READY_FOR_REVIEW")</x:f>
        <x:v>BLOCKED_PENDING_RECEIPT</x:v>
      </x:c>
      <x:c r="V918" s="12" t="str">
        <x:f>IF(J918="DONE","RETURNED",IF(U918="BLOCKED_PENDING_RECEIPT","SOURCE_TOUCH_REQUIRED","IN_PROGRESS"))</x:f>
        <x:v>SOURCE_TOUCH_REQUIRED</x:v>
      </x:c>
      <x:c r="W918" s="12" t="str">
        <x:f>IF(P918="Unverified","missing_receipt","receipt_logged")</x:f>
        <x:v>missing_receipt</x:v>
      </x:c>
      <x:c r="X918" s="12" t="str">
        <x:f>IF(Q918="Not checked","raw_status_missing","raw_status_logged")</x:f>
        <x:v>raw_status_missing</x:v>
      </x:c>
      <x:c r="Y918" s="12" t="str">
        <x:f>IF(U918="BLOCKED_PENDING_RECEIPT","Log source path or blocker; do not promote","Route to review lane")</x:f>
        <x:v>Log source path or blocker; do not promote</x:v>
      </x:c>
      <x:c r="Z918" s="12" t="str">
        <x:f>IF(K918="P0","Primary seat + Hashlight/Lucerna","Seat lane")</x:f>
        <x:v>Seat lane</x:v>
      </x:c>
      <x:c r="AA918" s="12" t="str">
        <x:f>IF(R918="","no_claim_delta","claim_delta_present")</x:f>
        <x:v>no_claim_delta</x:v>
      </x:c>
      <x:c r="AB918" s="12" t="str">
        <x:f>IF(S918="","no_contradiction_delta","contradiction_delta_present")</x:f>
        <x:v>no_contradiction_delta</x:v>
      </x:c>
      <x:c r="AC918" s="12" t="str">
        <x:f>IF(OR(ISNUMBER(SEARCH("hacker",LOWER(F918&amp;" "&amp;H918&amp;" "&amp;I918&amp;" "&amp;M918&amp;" "&amp;N918&amp;" "&amp;T918))),ISNUMBER(SEARCH("hacking",LOWER(F918&amp;" "&amp;H918&amp;" "&amp;I918&amp;" "&amp;M918&amp;" "&amp;N918&amp;" "&amp;T918))),ISNUMBER(SEARCH("bank",LOWER(F918&amp;" "&amp;H918&amp;" "&amp;I918&amp;" "&amp;M918&amp;" "&amp;N918&amp;" "&amp;T918))),ISNUMBER(SEARCH("banking",LOWER(F918&amp;" "&amp;H918&amp;" "&amp;I918&amp;" "&amp;M918&amp;" "&amp;N918&amp;" "&amp;T918)))),"PRIVATE_QUARANTINE",IF(OR(ISNUMBER(SEARCH("treasury",LOWER(F918&amp;" "&amp;H918&amp;" "&amp;I918&amp;" "&amp;M918&amp;" "&amp;N918&amp;" "&amp;T918))),ISNUMBER(SEARCH("debt",LOWER(F918&amp;" "&amp;H918&amp;" "&amp;I918&amp;" "&amp;M918&amp;" "&amp;N918&amp;" "&amp;T918))),ISNUMBER(SEARCH("bond",LOWER(F918&amp;" "&amp;H918&amp;" "&amp;I918&amp;" "&amp;M918&amp;" "&amp;N918&amp;" "&amp;T918))),ISNUMBER(SEARCH("transaction",LOWER(F918&amp;" "&amp;H918&amp;" "&amp;I918&amp;" "&amp;M918&amp;" "&amp;N918&amp;" "&amp;T918)))),"PRIVATE_REVIEW","PUBLIC_CANDIDATE"))</x:f>
        <x:v>PUBLIC_CANDIDATE</x:v>
      </x:c>
      <x:c r="AD918" s="12" t="str">
        <x:f>IF(AC918="PRIVATE_QUARANTINE","hacker_or_bank_trigger",IF(AC918="PRIVATE_REVIEW","finance_risk_trigger","none"))</x:f>
        <x:v>none</x:v>
      </x:c>
      <x:c r="AE918" s="12" t="str">
        <x:f>IF(AC918="PUBLIC_CANDIDATE","prepare_public_github_candidate",IF(AC918="PRIVATE_REVIEW","hold_for_private_review","quarantine_private_do_not_publish"))</x:f>
        <x:v>prepare_public_github_candidate</x:v>
      </x:c>
      <x:c r="AF918" s="12" t="str">
        <x:f>IF(AC918="PUBLIC_CANDIDATE","TIDELOCK + Lucerna",IF(AC918="PRIVATE_REVIEW","AtlasBrain + Lucerna","TIDELOCK + Lucerna + Human-root"))</x:f>
        <x:v>TIDELOCK + Lucerna</x:v>
      </x:c>
      <x:c r="AG918" s="12" t="str">
        <x:f>IF(AND(AC918="PUBLIC_CANDIDATE",U918&lt;&gt;"BLOCKED_PENDING_RECEIPT"),"READY_AFTER_RECEIPT","NOT_READY")</x:f>
        <x:v>NOT_READY</x:v>
      </x:c>
      <x:c r="AH918" s="12" t="str">
        <x:f>IF(AC918="PUBLIC_CANDIDATE","none",AD918)</x:f>
        <x:v>none</x:v>
      </x:c>
      <x:c r="AI918" s="12" t="str">
        <x:f>IF(AC918="PUBLIC_CANDIDATE","archive/public_candidates/"&amp;A918,"private_quarantine/"&amp;A918)</x:f>
        <x:v>archive/public_candidates/SWARM-07-H05-S05</x:v>
      </x:c>
      <x:c r="AJ918" s="12" t="str">
        <x:f>IF(AC918="PUBLIC_CANDIDATE","public by default; still not canon","private/hold; do not publish")</x:f>
        <x:v>public by default; still not canon</x:v>
      </x:c>
      <x:c r="AK918" s="12" t="str">
        <x:f>IF(AE918="prepare_public_github_candidate","add receipt/status then mirror","resolve blocker before any public GitHub action")</x:f>
        <x:v>add receipt/status then mirror</x:v>
      </x:c>
    </x:row>
    <x:row r="919">
      <x:c r="A919" s="15" t="str">
        <x:v>SWARM-07-H05-S06</x:v>
      </x:c>
      <x:c r="B919" s="15" t="str">
        <x:v>Domechild</x:v>
      </x:c>
      <x:c r="C919" s="15" t="str">
        <x:v>Planetarium lane builder</x:v>
      </x:c>
      <x:c r="D919" s="15" t="str">
        <x:v>Contradiction Mapping</x:v>
      </x:c>
      <x:c r="E919" s="15" t="str">
        <x:v>External Web</x:v>
      </x:c>
      <x:c r="F919" s="15" t="str">
        <x:v>Map contradictions in External Web — Domechild</x:v>
      </x:c>
      <x:c r="G919" s="15" t="str">
        <x:v>planetarium source packets / civic-science deltas</x:v>
      </x:c>
      <x:c r="H919" s="15" t="str">
        <x:v>source path + receipt + raw/export status + claim/edge/risk delta</x:v>
      </x:c>
      <x:c r="I919" s="15" t="str">
        <x:v>packet/SWARM-07-H05-S06</x:v>
      </x:c>
      <x:c r="J919" s="15" t="str">
        <x:v>TODO</x:v>
      </x:c>
      <x:c r="K919" s="15" t="str">
        <x:v>P1</x:v>
      </x:c>
      <x:c r="L919" s="15" t="str">
        <x:v>Done only when evidence is logged, contradiction search is noted, and boundary stamp remains non-canon unless ratified</x:v>
      </x:c>
      <x:c r="M919" s="15" t="str">
        <x:v>candidate / staging-only / not canon / not deployed / authority none</x:v>
      </x:c>
      <x:c r="N919" s="15" t="str">
        <x:v>Dispatch to Domechild: complete Contradiction Mapping x External Web; return deltas only, receipts required.</x:v>
      </x:c>
      <x:c r="O919" s="15" t="str">
        <x:v>AF-KG-H05-S06</x:v>
      </x:c>
      <x:c r="P919" s="15" t="str">
        <x:v>Unverified</x:v>
      </x:c>
      <x:c r="Q919" s="15" t="str">
        <x:v>Not checked</x:v>
      </x:c>
      <x:c r="R919" s="15" t="str"/>
      <x:c r="S919" s="15" t="str"/>
      <x:c r="T919" s="15" t="str">
        <x:v>Log first source path or blocker</x:v>
      </x:c>
      <x:c r="U919" s="12" t="str">
        <x:f>IF(OR(P919="Unverified",Q919="Not checked"),"BLOCKED_PENDING_RECEIPT","READY_FOR_REVIEW")</x:f>
        <x:v>BLOCKED_PENDING_RECEIPT</x:v>
      </x:c>
      <x:c r="V919" s="12" t="str">
        <x:f>IF(J919="DONE","RETURNED",IF(U919="BLOCKED_PENDING_RECEIPT","SOURCE_TOUCH_REQUIRED","IN_PROGRESS"))</x:f>
        <x:v>SOURCE_TOUCH_REQUIRED</x:v>
      </x:c>
      <x:c r="W919" s="12" t="str">
        <x:f>IF(P919="Unverified","missing_receipt","receipt_logged")</x:f>
        <x:v>missing_receipt</x:v>
      </x:c>
      <x:c r="X919" s="12" t="str">
        <x:f>IF(Q919="Not checked","raw_status_missing","raw_status_logged")</x:f>
        <x:v>raw_status_missing</x:v>
      </x:c>
      <x:c r="Y919" s="12" t="str">
        <x:f>IF(U919="BLOCKED_PENDING_RECEIPT","Log source path or blocker; do not promote","Route to review lane")</x:f>
        <x:v>Log source path or blocker; do not promote</x:v>
      </x:c>
      <x:c r="Z919" s="12" t="str">
        <x:f>IF(K919="P0","Primary seat + Hashlight/Lucerna","Seat lane")</x:f>
        <x:v>Seat lane</x:v>
      </x:c>
      <x:c r="AA919" s="12" t="str">
        <x:f>IF(R919="","no_claim_delta","claim_delta_present")</x:f>
        <x:v>no_claim_delta</x:v>
      </x:c>
      <x:c r="AB919" s="12" t="str">
        <x:f>IF(S919="","no_contradiction_delta","contradiction_delta_present")</x:f>
        <x:v>no_contradiction_delta</x:v>
      </x:c>
      <x:c r="AC919" s="12" t="str">
        <x:f>IF(OR(ISNUMBER(SEARCH("hacker",LOWER(F919&amp;" "&amp;H919&amp;" "&amp;I919&amp;" "&amp;M919&amp;" "&amp;N919&amp;" "&amp;T919))),ISNUMBER(SEARCH("hacking",LOWER(F919&amp;" "&amp;H919&amp;" "&amp;I919&amp;" "&amp;M919&amp;" "&amp;N919&amp;" "&amp;T919))),ISNUMBER(SEARCH("bank",LOWER(F919&amp;" "&amp;H919&amp;" "&amp;I919&amp;" "&amp;M919&amp;" "&amp;N919&amp;" "&amp;T919))),ISNUMBER(SEARCH("banking",LOWER(F919&amp;" "&amp;H919&amp;" "&amp;I919&amp;" "&amp;M919&amp;" "&amp;N919&amp;" "&amp;T919)))),"PRIVATE_QUARANTINE",IF(OR(ISNUMBER(SEARCH("treasury",LOWER(F919&amp;" "&amp;H919&amp;" "&amp;I919&amp;" "&amp;M919&amp;" "&amp;N919&amp;" "&amp;T919))),ISNUMBER(SEARCH("debt",LOWER(F919&amp;" "&amp;H919&amp;" "&amp;I919&amp;" "&amp;M919&amp;" "&amp;N919&amp;" "&amp;T919))),ISNUMBER(SEARCH("bond",LOWER(F919&amp;" "&amp;H919&amp;" "&amp;I919&amp;" "&amp;M919&amp;" "&amp;N919&amp;" "&amp;T919))),ISNUMBER(SEARCH("transaction",LOWER(F919&amp;" "&amp;H919&amp;" "&amp;I919&amp;" "&amp;M919&amp;" "&amp;N919&amp;" "&amp;T919)))),"PRIVATE_REVIEW","PUBLIC_CANDIDATE"))</x:f>
        <x:v>PUBLIC_CANDIDATE</x:v>
      </x:c>
      <x:c r="AD919" s="12" t="str">
        <x:f>IF(AC919="PRIVATE_QUARANTINE","hacker_or_bank_trigger",IF(AC919="PRIVATE_REVIEW","finance_risk_trigger","none"))</x:f>
        <x:v>none</x:v>
      </x:c>
      <x:c r="AE919" s="12" t="str">
        <x:f>IF(AC919="PUBLIC_CANDIDATE","prepare_public_github_candidate",IF(AC919="PRIVATE_REVIEW","hold_for_private_review","quarantine_private_do_not_publish"))</x:f>
        <x:v>prepare_public_github_candidate</x:v>
      </x:c>
      <x:c r="AF919" s="12" t="str">
        <x:f>IF(AC919="PUBLIC_CANDIDATE","TIDELOCK + Lucerna",IF(AC919="PRIVATE_REVIEW","AtlasBrain + Lucerna","TIDELOCK + Lucerna + Human-root"))</x:f>
        <x:v>TIDELOCK + Lucerna</x:v>
      </x:c>
      <x:c r="AG919" s="12" t="str">
        <x:f>IF(AND(AC919="PUBLIC_CANDIDATE",U919&lt;&gt;"BLOCKED_PENDING_RECEIPT"),"READY_AFTER_RECEIPT","NOT_READY")</x:f>
        <x:v>NOT_READY</x:v>
      </x:c>
      <x:c r="AH919" s="12" t="str">
        <x:f>IF(AC919="PUBLIC_CANDIDATE","none",AD919)</x:f>
        <x:v>none</x:v>
      </x:c>
      <x:c r="AI919" s="12" t="str">
        <x:f>IF(AC919="PUBLIC_CANDIDATE","archive/public_candidates/"&amp;A919,"private_quarantine/"&amp;A919)</x:f>
        <x:v>archive/public_candidates/SWARM-07-H05-S06</x:v>
      </x:c>
      <x:c r="AJ919" s="12" t="str">
        <x:f>IF(AC919="PUBLIC_CANDIDATE","public by default; still not canon","private/hold; do not publish")</x:f>
        <x:v>public by default; still not canon</x:v>
      </x:c>
      <x:c r="AK919" s="12" t="str">
        <x:f>IF(AE919="prepare_public_github_candidate","add receipt/status then mirror","resolve blocker before any public GitHub action")</x:f>
        <x:v>add receipt/status then mirror</x:v>
      </x:c>
    </x:row>
    <x:row r="920">
      <x:c r="A920" s="15" t="str">
        <x:v>SWARM-07-H05-S07</x:v>
      </x:c>
      <x:c r="B920" s="15" t="str">
        <x:v>Domechild</x:v>
      </x:c>
      <x:c r="C920" s="15" t="str">
        <x:v>Planetarium lane builder</x:v>
      </x:c>
      <x:c r="D920" s="15" t="str">
        <x:v>Contradiction Mapping</x:v>
      </x:c>
      <x:c r="E920" s="15" t="str">
        <x:v>Planetarium</x:v>
      </x:c>
      <x:c r="F920" s="15" t="str">
        <x:v>Map contradictions in Planetarium — Domechild</x:v>
      </x:c>
      <x:c r="G920" s="15" t="str">
        <x:v>planetarium source packets / civic-science deltas</x:v>
      </x:c>
      <x:c r="H920" s="15" t="str">
        <x:v>source path + receipt + raw/export status + claim/edge/risk delta</x:v>
      </x:c>
      <x:c r="I920" s="15" t="str">
        <x:v>packet/SWARM-07-H05-S07</x:v>
      </x:c>
      <x:c r="J920" s="15" t="str">
        <x:v>TODO</x:v>
      </x:c>
      <x:c r="K920" s="15" t="str">
        <x:v>P1</x:v>
      </x:c>
      <x:c r="L920" s="15" t="str">
        <x:v>Done only when evidence is logged, contradiction search is noted, and boundary stamp remains non-canon unless ratified</x:v>
      </x:c>
      <x:c r="M920" s="15" t="str">
        <x:v>candidate / staging-only / not canon / not deployed / authority none</x:v>
      </x:c>
      <x:c r="N920" s="15" t="str">
        <x:v>Dispatch to Domechild: complete Contradiction Mapping x Planetarium; return deltas only, receipts required.</x:v>
      </x:c>
      <x:c r="O920" s="15" t="str">
        <x:v>AF-KG-H05-S07</x:v>
      </x:c>
      <x:c r="P920" s="15" t="str">
        <x:v>Unverified</x:v>
      </x:c>
      <x:c r="Q920" s="15" t="str">
        <x:v>Not checked</x:v>
      </x:c>
      <x:c r="R920" s="15" t="str"/>
      <x:c r="S920" s="15" t="str"/>
      <x:c r="T920" s="15" t="str">
        <x:v>Log first source path or blocker</x:v>
      </x:c>
      <x:c r="U920" s="12" t="str">
        <x:f>IF(OR(P920="Unverified",Q920="Not checked"),"BLOCKED_PENDING_RECEIPT","READY_FOR_REVIEW")</x:f>
        <x:v>BLOCKED_PENDING_RECEIPT</x:v>
      </x:c>
      <x:c r="V920" s="12" t="str">
        <x:f>IF(J920="DONE","RETURNED",IF(U920="BLOCKED_PENDING_RECEIPT","SOURCE_TOUCH_REQUIRED","IN_PROGRESS"))</x:f>
        <x:v>SOURCE_TOUCH_REQUIRED</x:v>
      </x:c>
      <x:c r="W920" s="12" t="str">
        <x:f>IF(P920="Unverified","missing_receipt","receipt_logged")</x:f>
        <x:v>missing_receipt</x:v>
      </x:c>
      <x:c r="X920" s="12" t="str">
        <x:f>IF(Q920="Not checked","raw_status_missing","raw_status_logged")</x:f>
        <x:v>raw_status_missing</x:v>
      </x:c>
      <x:c r="Y920" s="12" t="str">
        <x:f>IF(U920="BLOCKED_PENDING_RECEIPT","Log source path or blocker; do not promote","Route to review lane")</x:f>
        <x:v>Log source path or blocker; do not promote</x:v>
      </x:c>
      <x:c r="Z920" s="12" t="str">
        <x:f>IF(K920="P0","Primary seat + Hashlight/Lucerna","Seat lane")</x:f>
        <x:v>Seat lane</x:v>
      </x:c>
      <x:c r="AA920" s="12" t="str">
        <x:f>IF(R920="","no_claim_delta","claim_delta_present")</x:f>
        <x:v>no_claim_delta</x:v>
      </x:c>
      <x:c r="AB920" s="12" t="str">
        <x:f>IF(S920="","no_contradiction_delta","contradiction_delta_present")</x:f>
        <x:v>no_contradiction_delta</x:v>
      </x:c>
      <x:c r="AC920" s="12" t="str">
        <x:f>IF(OR(ISNUMBER(SEARCH("hacker",LOWER(F920&amp;" "&amp;H920&amp;" "&amp;I920&amp;" "&amp;M920&amp;" "&amp;N920&amp;" "&amp;T920))),ISNUMBER(SEARCH("hacking",LOWER(F920&amp;" "&amp;H920&amp;" "&amp;I920&amp;" "&amp;M920&amp;" "&amp;N920&amp;" "&amp;T920))),ISNUMBER(SEARCH("bank",LOWER(F920&amp;" "&amp;H920&amp;" "&amp;I920&amp;" "&amp;M920&amp;" "&amp;N920&amp;" "&amp;T920))),ISNUMBER(SEARCH("banking",LOWER(F920&amp;" "&amp;H920&amp;" "&amp;I920&amp;" "&amp;M920&amp;" "&amp;N920&amp;" "&amp;T920)))),"PRIVATE_QUARANTINE",IF(OR(ISNUMBER(SEARCH("treasury",LOWER(F920&amp;" "&amp;H920&amp;" "&amp;I920&amp;" "&amp;M920&amp;" "&amp;N920&amp;" "&amp;T920))),ISNUMBER(SEARCH("debt",LOWER(F920&amp;" "&amp;H920&amp;" "&amp;I920&amp;" "&amp;M920&amp;" "&amp;N920&amp;" "&amp;T920))),ISNUMBER(SEARCH("bond",LOWER(F920&amp;" "&amp;H920&amp;" "&amp;I920&amp;" "&amp;M920&amp;" "&amp;N920&amp;" "&amp;T920))),ISNUMBER(SEARCH("transaction",LOWER(F920&amp;" "&amp;H920&amp;" "&amp;I920&amp;" "&amp;M920&amp;" "&amp;N920&amp;" "&amp;T920)))),"PRIVATE_REVIEW","PUBLIC_CANDIDATE"))</x:f>
        <x:v>PUBLIC_CANDIDATE</x:v>
      </x:c>
      <x:c r="AD920" s="12" t="str">
        <x:f>IF(AC920="PRIVATE_QUARANTINE","hacker_or_bank_trigger",IF(AC920="PRIVATE_REVIEW","finance_risk_trigger","none"))</x:f>
        <x:v>none</x:v>
      </x:c>
      <x:c r="AE920" s="12" t="str">
        <x:f>IF(AC920="PUBLIC_CANDIDATE","prepare_public_github_candidate",IF(AC920="PRIVATE_REVIEW","hold_for_private_review","quarantine_private_do_not_publish"))</x:f>
        <x:v>prepare_public_github_candidate</x:v>
      </x:c>
      <x:c r="AF920" s="12" t="str">
        <x:f>IF(AC920="PUBLIC_CANDIDATE","TIDELOCK + Lucerna",IF(AC920="PRIVATE_REVIEW","AtlasBrain + Lucerna","TIDELOCK + Lucerna + Human-root"))</x:f>
        <x:v>TIDELOCK + Lucerna</x:v>
      </x:c>
      <x:c r="AG920" s="12" t="str">
        <x:f>IF(AND(AC920="PUBLIC_CANDIDATE",U920&lt;&gt;"BLOCKED_PENDING_RECEIPT"),"READY_AFTER_RECEIPT","NOT_READY")</x:f>
        <x:v>NOT_READY</x:v>
      </x:c>
      <x:c r="AH920" s="12" t="str">
        <x:f>IF(AC920="PUBLIC_CANDIDATE","none",AD920)</x:f>
        <x:v>none</x:v>
      </x:c>
      <x:c r="AI920" s="12" t="str">
        <x:f>IF(AC920="PUBLIC_CANDIDATE","archive/public_candidates/"&amp;A920,"private_quarantine/"&amp;A920)</x:f>
        <x:v>archive/public_candidates/SWARM-07-H05-S07</x:v>
      </x:c>
      <x:c r="AJ920" s="12" t="str">
        <x:f>IF(AC920="PUBLIC_CANDIDATE","public by default; still not canon","private/hold; do not publish")</x:f>
        <x:v>public by default; still not canon</x:v>
      </x:c>
      <x:c r="AK920" s="12" t="str">
        <x:f>IF(AE920="prepare_public_github_candidate","add receipt/status then mirror","resolve blocker before any public GitHub action")</x:f>
        <x:v>add receipt/status then mirror</x:v>
      </x:c>
    </x:row>
    <x:row r="921">
      <x:c r="A921" s="15" t="str">
        <x:v>SWARM-07-H05-S08</x:v>
      </x:c>
      <x:c r="B921" s="15" t="str">
        <x:v>Domechild</x:v>
      </x:c>
      <x:c r="C921" s="15" t="str">
        <x:v>Planetarium lane builder</x:v>
      </x:c>
      <x:c r="D921" s="15" t="str">
        <x:v>Contradiction Mapping</x:v>
      </x:c>
      <x:c r="E921" s="15" t="str">
        <x:v>Sheldonbrain</x:v>
      </x:c>
      <x:c r="F921" s="15" t="str">
        <x:v>Map contradictions in Sheldonbrain — Domechild</x:v>
      </x:c>
      <x:c r="G921" s="15" t="str">
        <x:v>planetarium source packets / civic-science deltas</x:v>
      </x:c>
      <x:c r="H921" s="15" t="str">
        <x:v>source path + receipt + raw/export status + claim/edge/risk delta</x:v>
      </x:c>
      <x:c r="I921" s="15" t="str">
        <x:v>packet/SWARM-07-H05-S08</x:v>
      </x:c>
      <x:c r="J921" s="15" t="str">
        <x:v>TODO</x:v>
      </x:c>
      <x:c r="K921" s="15" t="str">
        <x:v>P1</x:v>
      </x:c>
      <x:c r="L921" s="15" t="str">
        <x:v>Done only when evidence is logged, contradiction search is noted, and boundary stamp remains non-canon unless ratified</x:v>
      </x:c>
      <x:c r="M921" s="15" t="str">
        <x:v>candidate / staging-only / not canon / not deployed / authority none</x:v>
      </x:c>
      <x:c r="N921" s="15" t="str">
        <x:v>Dispatch to Domechild: complete Contradiction Mapping x Sheldonbrain; return deltas only, receipts required.</x:v>
      </x:c>
      <x:c r="O921" s="15" t="str">
        <x:v>AF-KG-H05-S08</x:v>
      </x:c>
      <x:c r="P921" s="15" t="str">
        <x:v>Unverified</x:v>
      </x:c>
      <x:c r="Q921" s="15" t="str">
        <x:v>Not checked</x:v>
      </x:c>
      <x:c r="R921" s="15" t="str"/>
      <x:c r="S921" s="15" t="str"/>
      <x:c r="T921" s="15" t="str">
        <x:v>Log first source path or blocker</x:v>
      </x:c>
      <x:c r="U921" s="12" t="str">
        <x:f>IF(OR(P921="Unverified",Q921="Not checked"),"BLOCKED_PENDING_RECEIPT","READY_FOR_REVIEW")</x:f>
        <x:v>BLOCKED_PENDING_RECEIPT</x:v>
      </x:c>
      <x:c r="V921" s="12" t="str">
        <x:f>IF(J921="DONE","RETURNED",IF(U921="BLOCKED_PENDING_RECEIPT","SOURCE_TOUCH_REQUIRED","IN_PROGRESS"))</x:f>
        <x:v>SOURCE_TOUCH_REQUIRED</x:v>
      </x:c>
      <x:c r="W921" s="12" t="str">
        <x:f>IF(P921="Unverified","missing_receipt","receipt_logged")</x:f>
        <x:v>missing_receipt</x:v>
      </x:c>
      <x:c r="X921" s="12" t="str">
        <x:f>IF(Q921="Not checked","raw_status_missing","raw_status_logged")</x:f>
        <x:v>raw_status_missing</x:v>
      </x:c>
      <x:c r="Y921" s="12" t="str">
        <x:f>IF(U921="BLOCKED_PENDING_RECEIPT","Log source path or blocker; do not promote","Route to review lane")</x:f>
        <x:v>Log source path or blocker; do not promote</x:v>
      </x:c>
      <x:c r="Z921" s="12" t="str">
        <x:f>IF(K921="P0","Primary seat + Hashlight/Lucerna","Seat lane")</x:f>
        <x:v>Seat lane</x:v>
      </x:c>
      <x:c r="AA921" s="12" t="str">
        <x:f>IF(R921="","no_claim_delta","claim_delta_present")</x:f>
        <x:v>no_claim_delta</x:v>
      </x:c>
      <x:c r="AB921" s="12" t="str">
        <x:f>IF(S921="","no_contradiction_delta","contradiction_delta_present")</x:f>
        <x:v>no_contradiction_delta</x:v>
      </x:c>
      <x:c r="AC921" s="12" t="str">
        <x:f>IF(OR(ISNUMBER(SEARCH("hacker",LOWER(F921&amp;" "&amp;H921&amp;" "&amp;I921&amp;" "&amp;M921&amp;" "&amp;N921&amp;" "&amp;T921))),ISNUMBER(SEARCH("hacking",LOWER(F921&amp;" "&amp;H921&amp;" "&amp;I921&amp;" "&amp;M921&amp;" "&amp;N921&amp;" "&amp;T921))),ISNUMBER(SEARCH("bank",LOWER(F921&amp;" "&amp;H921&amp;" "&amp;I921&amp;" "&amp;M921&amp;" "&amp;N921&amp;" "&amp;T921))),ISNUMBER(SEARCH("banking",LOWER(F921&amp;" "&amp;H921&amp;" "&amp;I921&amp;" "&amp;M921&amp;" "&amp;N921&amp;" "&amp;T921)))),"PRIVATE_QUARANTINE",IF(OR(ISNUMBER(SEARCH("treasury",LOWER(F921&amp;" "&amp;H921&amp;" "&amp;I921&amp;" "&amp;M921&amp;" "&amp;N921&amp;" "&amp;T921))),ISNUMBER(SEARCH("debt",LOWER(F921&amp;" "&amp;H921&amp;" "&amp;I921&amp;" "&amp;M921&amp;" "&amp;N921&amp;" "&amp;T921))),ISNUMBER(SEARCH("bond",LOWER(F921&amp;" "&amp;H921&amp;" "&amp;I921&amp;" "&amp;M921&amp;" "&amp;N921&amp;" "&amp;T921))),ISNUMBER(SEARCH("transaction",LOWER(F921&amp;" "&amp;H921&amp;" "&amp;I921&amp;" "&amp;M921&amp;" "&amp;N921&amp;" "&amp;T921)))),"PRIVATE_REVIEW","PUBLIC_CANDIDATE"))</x:f>
        <x:v>PUBLIC_CANDIDATE</x:v>
      </x:c>
      <x:c r="AD921" s="12" t="str">
        <x:f>IF(AC921="PRIVATE_QUARANTINE","hacker_or_bank_trigger",IF(AC921="PRIVATE_REVIEW","finance_risk_trigger","none"))</x:f>
        <x:v>none</x:v>
      </x:c>
      <x:c r="AE921" s="12" t="str">
        <x:f>IF(AC921="PUBLIC_CANDIDATE","prepare_public_github_candidate",IF(AC921="PRIVATE_REVIEW","hold_for_private_review","quarantine_private_do_not_publish"))</x:f>
        <x:v>prepare_public_github_candidate</x:v>
      </x:c>
      <x:c r="AF921" s="12" t="str">
        <x:f>IF(AC921="PUBLIC_CANDIDATE","TIDELOCK + Lucerna",IF(AC921="PRIVATE_REVIEW","AtlasBrain + Lucerna","TIDELOCK + Lucerna + Human-root"))</x:f>
        <x:v>TIDELOCK + Lucerna</x:v>
      </x:c>
      <x:c r="AG921" s="12" t="str">
        <x:f>IF(AND(AC921="PUBLIC_CANDIDATE",U921&lt;&gt;"BLOCKED_PENDING_RECEIPT"),"READY_AFTER_RECEIPT","NOT_READY")</x:f>
        <x:v>NOT_READY</x:v>
      </x:c>
      <x:c r="AH921" s="12" t="str">
        <x:f>IF(AC921="PUBLIC_CANDIDATE","none",AD921)</x:f>
        <x:v>none</x:v>
      </x:c>
      <x:c r="AI921" s="12" t="str">
        <x:f>IF(AC921="PUBLIC_CANDIDATE","archive/public_candidates/"&amp;A921,"private_quarantine/"&amp;A921)</x:f>
        <x:v>archive/public_candidates/SWARM-07-H05-S08</x:v>
      </x:c>
      <x:c r="AJ921" s="12" t="str">
        <x:f>IF(AC921="PUBLIC_CANDIDATE","public by default; still not canon","private/hold; do not publish")</x:f>
        <x:v>public by default; still not canon</x:v>
      </x:c>
      <x:c r="AK921" s="12" t="str">
        <x:f>IF(AE921="prepare_public_github_candidate","add receipt/status then mirror","resolve blocker before any public GitHub action")</x:f>
        <x:v>add receipt/status then mirror</x:v>
      </x:c>
    </x:row>
    <x:row r="922">
      <x:c r="A922" s="15" t="str">
        <x:v>SWARM-07-H05-S09</x:v>
      </x:c>
      <x:c r="B922" s="15" t="str">
        <x:v>Domechild</x:v>
      </x:c>
      <x:c r="C922" s="15" t="str">
        <x:v>Planetarium lane builder</x:v>
      </x:c>
      <x:c r="D922" s="15" t="str">
        <x:v>Contradiction Mapping</x:v>
      </x:c>
      <x:c r="E922" s="15" t="str">
        <x:v>Aetherforge</x:v>
      </x:c>
      <x:c r="F922" s="15" t="str">
        <x:v>Map contradictions in Aetherforge — Domechild</x:v>
      </x:c>
      <x:c r="G922" s="15" t="str">
        <x:v>planetarium source packets / civic-science deltas</x:v>
      </x:c>
      <x:c r="H922" s="15" t="str">
        <x:v>source path + receipt + raw/export status + claim/edge/risk delta</x:v>
      </x:c>
      <x:c r="I922" s="15" t="str">
        <x:v>packet/SWARM-07-H05-S09</x:v>
      </x:c>
      <x:c r="J922" s="15" t="str">
        <x:v>TODO</x:v>
      </x:c>
      <x:c r="K922" s="15" t="str">
        <x:v>P2</x:v>
      </x:c>
      <x:c r="L922" s="15" t="str">
        <x:v>Done only when evidence is logged, contradiction search is noted, and boundary stamp remains non-canon unless ratified</x:v>
      </x:c>
      <x:c r="M922" s="15" t="str">
        <x:v>candidate / staging-only / not canon / not deployed / authority none</x:v>
      </x:c>
      <x:c r="N922" s="15" t="str">
        <x:v>Dispatch to Domechild: complete Contradiction Mapping x Aetherforge; return deltas only, receipts required.</x:v>
      </x:c>
      <x:c r="O922" s="15" t="str">
        <x:v>AF-KG-H05-S09</x:v>
      </x:c>
      <x:c r="P922" s="15" t="str">
        <x:v>Unverified</x:v>
      </x:c>
      <x:c r="Q922" s="15" t="str">
        <x:v>Not checked</x:v>
      </x:c>
      <x:c r="R922" s="15" t="str"/>
      <x:c r="S922" s="15" t="str"/>
      <x:c r="T922" s="15" t="str">
        <x:v>Log first source path or blocker</x:v>
      </x:c>
      <x:c r="U922" s="12" t="str">
        <x:f>IF(OR(P922="Unverified",Q922="Not checked"),"BLOCKED_PENDING_RECEIPT","READY_FOR_REVIEW")</x:f>
        <x:v>BLOCKED_PENDING_RECEIPT</x:v>
      </x:c>
      <x:c r="V922" s="12" t="str">
        <x:f>IF(J922="DONE","RETURNED",IF(U922="BLOCKED_PENDING_RECEIPT","SOURCE_TOUCH_REQUIRED","IN_PROGRESS"))</x:f>
        <x:v>SOURCE_TOUCH_REQUIRED</x:v>
      </x:c>
      <x:c r="W922" s="12" t="str">
        <x:f>IF(P922="Unverified","missing_receipt","receipt_logged")</x:f>
        <x:v>missing_receipt</x:v>
      </x:c>
      <x:c r="X922" s="12" t="str">
        <x:f>IF(Q922="Not checked","raw_status_missing","raw_status_logged")</x:f>
        <x:v>raw_status_missing</x:v>
      </x:c>
      <x:c r="Y922" s="12" t="str">
        <x:f>IF(U922="BLOCKED_PENDING_RECEIPT","Log source path or blocker; do not promote","Route to review lane")</x:f>
        <x:v>Log source path or blocker; do not promote</x:v>
      </x:c>
      <x:c r="Z922" s="12" t="str">
        <x:f>IF(K922="P0","Primary seat + Hashlight/Lucerna","Seat lane")</x:f>
        <x:v>Seat lane</x:v>
      </x:c>
      <x:c r="AA922" s="12" t="str">
        <x:f>IF(R922="","no_claim_delta","claim_delta_present")</x:f>
        <x:v>no_claim_delta</x:v>
      </x:c>
      <x:c r="AB922" s="12" t="str">
        <x:f>IF(S922="","no_contradiction_delta","contradiction_delta_present")</x:f>
        <x:v>no_contradiction_delta</x:v>
      </x:c>
      <x:c r="AC922" s="12" t="str">
        <x:f>IF(OR(ISNUMBER(SEARCH("hacker",LOWER(F922&amp;" "&amp;H922&amp;" "&amp;I922&amp;" "&amp;M922&amp;" "&amp;N922&amp;" "&amp;T922))),ISNUMBER(SEARCH("hacking",LOWER(F922&amp;" "&amp;H922&amp;" "&amp;I922&amp;" "&amp;M922&amp;" "&amp;N922&amp;" "&amp;T922))),ISNUMBER(SEARCH("bank",LOWER(F922&amp;" "&amp;H922&amp;" "&amp;I922&amp;" "&amp;M922&amp;" "&amp;N922&amp;" "&amp;T922))),ISNUMBER(SEARCH("banking",LOWER(F922&amp;" "&amp;H922&amp;" "&amp;I922&amp;" "&amp;M922&amp;" "&amp;N922&amp;" "&amp;T922)))),"PRIVATE_QUARANTINE",IF(OR(ISNUMBER(SEARCH("treasury",LOWER(F922&amp;" "&amp;H922&amp;" "&amp;I922&amp;" "&amp;M922&amp;" "&amp;N922&amp;" "&amp;T922))),ISNUMBER(SEARCH("debt",LOWER(F922&amp;" "&amp;H922&amp;" "&amp;I922&amp;" "&amp;M922&amp;" "&amp;N922&amp;" "&amp;T922))),ISNUMBER(SEARCH("bond",LOWER(F922&amp;" "&amp;H922&amp;" "&amp;I922&amp;" "&amp;M922&amp;" "&amp;N922&amp;" "&amp;T922))),ISNUMBER(SEARCH("transaction",LOWER(F922&amp;" "&amp;H922&amp;" "&amp;I922&amp;" "&amp;M922&amp;" "&amp;N922&amp;" "&amp;T922)))),"PRIVATE_REVIEW","PUBLIC_CANDIDATE"))</x:f>
        <x:v>PUBLIC_CANDIDATE</x:v>
      </x:c>
      <x:c r="AD922" s="12" t="str">
        <x:f>IF(AC922="PRIVATE_QUARANTINE","hacker_or_bank_trigger",IF(AC922="PRIVATE_REVIEW","finance_risk_trigger","none"))</x:f>
        <x:v>none</x:v>
      </x:c>
      <x:c r="AE922" s="12" t="str">
        <x:f>IF(AC922="PUBLIC_CANDIDATE","prepare_public_github_candidate",IF(AC922="PRIVATE_REVIEW","hold_for_private_review","quarantine_private_do_not_publish"))</x:f>
        <x:v>prepare_public_github_candidate</x:v>
      </x:c>
      <x:c r="AF922" s="12" t="str">
        <x:f>IF(AC922="PUBLIC_CANDIDATE","TIDELOCK + Lucerna",IF(AC922="PRIVATE_REVIEW","AtlasBrain + Lucerna","TIDELOCK + Lucerna + Human-root"))</x:f>
        <x:v>TIDELOCK + Lucerna</x:v>
      </x:c>
      <x:c r="AG922" s="12" t="str">
        <x:f>IF(AND(AC922="PUBLIC_CANDIDATE",U922&lt;&gt;"BLOCKED_PENDING_RECEIPT"),"READY_AFTER_RECEIPT","NOT_READY")</x:f>
        <x:v>NOT_READY</x:v>
      </x:c>
      <x:c r="AH922" s="12" t="str">
        <x:f>IF(AC922="PUBLIC_CANDIDATE","none",AD922)</x:f>
        <x:v>none</x:v>
      </x:c>
      <x:c r="AI922" s="12" t="str">
        <x:f>IF(AC922="PUBLIC_CANDIDATE","archive/public_candidates/"&amp;A922,"private_quarantine/"&amp;A922)</x:f>
        <x:v>archive/public_candidates/SWARM-07-H05-S09</x:v>
      </x:c>
      <x:c r="AJ922" s="12" t="str">
        <x:f>IF(AC922="PUBLIC_CANDIDATE","public by default; still not canon","private/hold; do not publish")</x:f>
        <x:v>public by default; still not canon</x:v>
      </x:c>
      <x:c r="AK922" s="12" t="str">
        <x:f>IF(AE922="prepare_public_github_candidate","add receipt/status then mirror","resolve blocker before any public GitHub action")</x:f>
        <x:v>add receipt/status then mirror</x:v>
      </x:c>
    </x:row>
    <x:row r="923">
      <x:c r="A923" s="15" t="str">
        <x:v>SWARM-07-H05-S10</x:v>
      </x:c>
      <x:c r="B923" s="15" t="str">
        <x:v>Domechild</x:v>
      </x:c>
      <x:c r="C923" s="15" t="str">
        <x:v>Planetarium lane builder</x:v>
      </x:c>
      <x:c r="D923" s="15" t="str">
        <x:v>Contradiction Mapping</x:v>
      </x:c>
      <x:c r="E923" s="15" t="str">
        <x:v>Human-Root</x:v>
      </x:c>
      <x:c r="F923" s="15" t="str">
        <x:v>Map contradictions in Human-Root — Domechild</x:v>
      </x:c>
      <x:c r="G923" s="15" t="str">
        <x:v>planetarium source packets / civic-science deltas</x:v>
      </x:c>
      <x:c r="H923" s="15" t="str">
        <x:v>source path + receipt + raw/export status + claim/edge/risk delta</x:v>
      </x:c>
      <x:c r="I923" s="15" t="str">
        <x:v>packet/SWARM-07-H05-S10</x:v>
      </x:c>
      <x:c r="J923" s="15" t="str">
        <x:v>TODO</x:v>
      </x:c>
      <x:c r="K923" s="15" t="str">
        <x:v>P2</x:v>
      </x:c>
      <x:c r="L923" s="15" t="str">
        <x:v>Done only when evidence is logged, contradiction search is noted, and boundary stamp remains non-canon unless ratified</x:v>
      </x:c>
      <x:c r="M923" s="15" t="str">
        <x:v>candidate / staging-only / not canon / not deployed / authority none</x:v>
      </x:c>
      <x:c r="N923" s="15" t="str">
        <x:v>Dispatch to Domechild: complete Contradiction Mapping x Human-Root; return deltas only, receipts required.</x:v>
      </x:c>
      <x:c r="O923" s="15" t="str">
        <x:v>AF-KG-H05-S10</x:v>
      </x:c>
      <x:c r="P923" s="15" t="str">
        <x:v>Unverified</x:v>
      </x:c>
      <x:c r="Q923" s="15" t="str">
        <x:v>Not checked</x:v>
      </x:c>
      <x:c r="R923" s="15" t="str"/>
      <x:c r="S923" s="15" t="str"/>
      <x:c r="T923" s="15" t="str">
        <x:v>Log first source path or blocker</x:v>
      </x:c>
      <x:c r="U923" s="12" t="str">
        <x:f>IF(OR(P923="Unverified",Q923="Not checked"),"BLOCKED_PENDING_RECEIPT","READY_FOR_REVIEW")</x:f>
        <x:v>BLOCKED_PENDING_RECEIPT</x:v>
      </x:c>
      <x:c r="V923" s="12" t="str">
        <x:f>IF(J923="DONE","RETURNED",IF(U923="BLOCKED_PENDING_RECEIPT","SOURCE_TOUCH_REQUIRED","IN_PROGRESS"))</x:f>
        <x:v>SOURCE_TOUCH_REQUIRED</x:v>
      </x:c>
      <x:c r="W923" s="12" t="str">
        <x:f>IF(P923="Unverified","missing_receipt","receipt_logged")</x:f>
        <x:v>missing_receipt</x:v>
      </x:c>
      <x:c r="X923" s="12" t="str">
        <x:f>IF(Q923="Not checked","raw_status_missing","raw_status_logged")</x:f>
        <x:v>raw_status_missing</x:v>
      </x:c>
      <x:c r="Y923" s="12" t="str">
        <x:f>IF(U923="BLOCKED_PENDING_RECEIPT","Log source path or blocker; do not promote","Route to review lane")</x:f>
        <x:v>Log source path or blocker; do not promote</x:v>
      </x:c>
      <x:c r="Z923" s="12" t="str">
        <x:f>IF(K923="P0","Primary seat + Hashlight/Lucerna","Seat lane")</x:f>
        <x:v>Seat lane</x:v>
      </x:c>
      <x:c r="AA923" s="12" t="str">
        <x:f>IF(R923="","no_claim_delta","claim_delta_present")</x:f>
        <x:v>no_claim_delta</x:v>
      </x:c>
      <x:c r="AB923" s="12" t="str">
        <x:f>IF(S923="","no_contradiction_delta","contradiction_delta_present")</x:f>
        <x:v>no_contradiction_delta</x:v>
      </x:c>
      <x:c r="AC923" s="12" t="str">
        <x:f>IF(OR(ISNUMBER(SEARCH("hacker",LOWER(F923&amp;" "&amp;H923&amp;" "&amp;I923&amp;" "&amp;M923&amp;" "&amp;N923&amp;" "&amp;T923))),ISNUMBER(SEARCH("hacking",LOWER(F923&amp;" "&amp;H923&amp;" "&amp;I923&amp;" "&amp;M923&amp;" "&amp;N923&amp;" "&amp;T923))),ISNUMBER(SEARCH("bank",LOWER(F923&amp;" "&amp;H923&amp;" "&amp;I923&amp;" "&amp;M923&amp;" "&amp;N923&amp;" "&amp;T923))),ISNUMBER(SEARCH("banking",LOWER(F923&amp;" "&amp;H923&amp;" "&amp;I923&amp;" "&amp;M923&amp;" "&amp;N923&amp;" "&amp;T923)))),"PRIVATE_QUARANTINE",IF(OR(ISNUMBER(SEARCH("treasury",LOWER(F923&amp;" "&amp;H923&amp;" "&amp;I923&amp;" "&amp;M923&amp;" "&amp;N923&amp;" "&amp;T923))),ISNUMBER(SEARCH("debt",LOWER(F923&amp;" "&amp;H923&amp;" "&amp;I923&amp;" "&amp;M923&amp;" "&amp;N923&amp;" "&amp;T923))),ISNUMBER(SEARCH("bond",LOWER(F923&amp;" "&amp;H923&amp;" "&amp;I923&amp;" "&amp;M923&amp;" "&amp;N923&amp;" "&amp;T923))),ISNUMBER(SEARCH("transaction",LOWER(F923&amp;" "&amp;H923&amp;" "&amp;I923&amp;" "&amp;M923&amp;" "&amp;N923&amp;" "&amp;T923)))),"PRIVATE_REVIEW","PUBLIC_CANDIDATE"))</x:f>
        <x:v>PUBLIC_CANDIDATE</x:v>
      </x:c>
      <x:c r="AD923" s="12" t="str">
        <x:f>IF(AC923="PRIVATE_QUARANTINE","hacker_or_bank_trigger",IF(AC923="PRIVATE_REVIEW","finance_risk_trigger","none"))</x:f>
        <x:v>none</x:v>
      </x:c>
      <x:c r="AE923" s="12" t="str">
        <x:f>IF(AC923="PUBLIC_CANDIDATE","prepare_public_github_candidate",IF(AC923="PRIVATE_REVIEW","hold_for_private_review","quarantine_private_do_not_publish"))</x:f>
        <x:v>prepare_public_github_candidate</x:v>
      </x:c>
      <x:c r="AF923" s="12" t="str">
        <x:f>IF(AC923="PUBLIC_CANDIDATE","TIDELOCK + Lucerna",IF(AC923="PRIVATE_REVIEW","AtlasBrain + Lucerna","TIDELOCK + Lucerna + Human-root"))</x:f>
        <x:v>TIDELOCK + Lucerna</x:v>
      </x:c>
      <x:c r="AG923" s="12" t="str">
        <x:f>IF(AND(AC923="PUBLIC_CANDIDATE",U923&lt;&gt;"BLOCKED_PENDING_RECEIPT"),"READY_AFTER_RECEIPT","NOT_READY")</x:f>
        <x:v>NOT_READY</x:v>
      </x:c>
      <x:c r="AH923" s="12" t="str">
        <x:f>IF(AC923="PUBLIC_CANDIDATE","none",AD923)</x:f>
        <x:v>none</x:v>
      </x:c>
      <x:c r="AI923" s="12" t="str">
        <x:f>IF(AC923="PUBLIC_CANDIDATE","archive/public_candidates/"&amp;A923,"private_quarantine/"&amp;A923)</x:f>
        <x:v>archive/public_candidates/SWARM-07-H05-S10</x:v>
      </x:c>
      <x:c r="AJ923" s="12" t="str">
        <x:f>IF(AC923="PUBLIC_CANDIDATE","public by default; still not canon","private/hold; do not publish")</x:f>
        <x:v>public by default; still not canon</x:v>
      </x:c>
      <x:c r="AK923" s="12" t="str">
        <x:f>IF(AE923="prepare_public_github_candidate","add receipt/status then mirror","resolve blocker before any public GitHub action")</x:f>
        <x:v>add receipt/status then mirror</x:v>
      </x:c>
    </x:row>
    <x:row r="924">
      <x:c r="A924" s="15" t="str">
        <x:v>SWARM-07-H05-S11</x:v>
      </x:c>
      <x:c r="B924" s="15" t="str">
        <x:v>Domechild</x:v>
      </x:c>
      <x:c r="C924" s="15" t="str">
        <x:v>Planetarium lane builder</x:v>
      </x:c>
      <x:c r="D924" s="15" t="str">
        <x:v>Contradiction Mapping</x:v>
      </x:c>
      <x:c r="E924" s="15" t="str">
        <x:v>Automation</x:v>
      </x:c>
      <x:c r="F924" s="15" t="str">
        <x:v>Map contradictions in Automation — Domechild</x:v>
      </x:c>
      <x:c r="G924" s="15" t="str">
        <x:v>planetarium source packets / civic-science deltas</x:v>
      </x:c>
      <x:c r="H924" s="15" t="str">
        <x:v>source path + receipt + raw/export status + claim/edge/risk delta</x:v>
      </x:c>
      <x:c r="I924" s="15" t="str">
        <x:v>packet/SWARM-07-H05-S11</x:v>
      </x:c>
      <x:c r="J924" s="15" t="str">
        <x:v>TODO</x:v>
      </x:c>
      <x:c r="K924" s="15" t="str">
        <x:v>P2</x:v>
      </x:c>
      <x:c r="L924" s="15" t="str">
        <x:v>Done only when evidence is logged, contradiction search is noted, and boundary stamp remains non-canon unless ratified</x:v>
      </x:c>
      <x:c r="M924" s="15" t="str">
        <x:v>candidate / staging-only / not canon / not deployed / authority none</x:v>
      </x:c>
      <x:c r="N924" s="15" t="str">
        <x:v>Dispatch to Domechild: complete Contradiction Mapping x Automation; return deltas only, receipts required.</x:v>
      </x:c>
      <x:c r="O924" s="15" t="str">
        <x:v>AF-KG-H05-S11</x:v>
      </x:c>
      <x:c r="P924" s="15" t="str">
        <x:v>Unverified</x:v>
      </x:c>
      <x:c r="Q924" s="15" t="str">
        <x:v>Not checked</x:v>
      </x:c>
      <x:c r="R924" s="15" t="str"/>
      <x:c r="S924" s="15" t="str"/>
      <x:c r="T924" s="15" t="str">
        <x:v>Log first source path or blocker</x:v>
      </x:c>
      <x:c r="U924" s="12" t="str">
        <x:f>IF(OR(P924="Unverified",Q924="Not checked"),"BLOCKED_PENDING_RECEIPT","READY_FOR_REVIEW")</x:f>
        <x:v>BLOCKED_PENDING_RECEIPT</x:v>
      </x:c>
      <x:c r="V924" s="12" t="str">
        <x:f>IF(J924="DONE","RETURNED",IF(U924="BLOCKED_PENDING_RECEIPT","SOURCE_TOUCH_REQUIRED","IN_PROGRESS"))</x:f>
        <x:v>SOURCE_TOUCH_REQUIRED</x:v>
      </x:c>
      <x:c r="W924" s="12" t="str">
        <x:f>IF(P924="Unverified","missing_receipt","receipt_logged")</x:f>
        <x:v>missing_receipt</x:v>
      </x:c>
      <x:c r="X924" s="12" t="str">
        <x:f>IF(Q924="Not checked","raw_status_missing","raw_status_logged")</x:f>
        <x:v>raw_status_missing</x:v>
      </x:c>
      <x:c r="Y924" s="12" t="str">
        <x:f>IF(U924="BLOCKED_PENDING_RECEIPT","Log source path or blocker; do not promote","Route to review lane")</x:f>
        <x:v>Log source path or blocker; do not promote</x:v>
      </x:c>
      <x:c r="Z924" s="12" t="str">
        <x:f>IF(K924="P0","Primary seat + Hashlight/Lucerna","Seat lane")</x:f>
        <x:v>Seat lane</x:v>
      </x:c>
      <x:c r="AA924" s="12" t="str">
        <x:f>IF(R924="","no_claim_delta","claim_delta_present")</x:f>
        <x:v>no_claim_delta</x:v>
      </x:c>
      <x:c r="AB924" s="12" t="str">
        <x:f>IF(S924="","no_contradiction_delta","contradiction_delta_present")</x:f>
        <x:v>no_contradiction_delta</x:v>
      </x:c>
      <x:c r="AC924" s="12" t="str">
        <x:f>IF(OR(ISNUMBER(SEARCH("hacker",LOWER(F924&amp;" "&amp;H924&amp;" "&amp;I924&amp;" "&amp;M924&amp;" "&amp;N924&amp;" "&amp;T924))),ISNUMBER(SEARCH("hacking",LOWER(F924&amp;" "&amp;H924&amp;" "&amp;I924&amp;" "&amp;M924&amp;" "&amp;N924&amp;" "&amp;T924))),ISNUMBER(SEARCH("bank",LOWER(F924&amp;" "&amp;H924&amp;" "&amp;I924&amp;" "&amp;M924&amp;" "&amp;N924&amp;" "&amp;T924))),ISNUMBER(SEARCH("banking",LOWER(F924&amp;" "&amp;H924&amp;" "&amp;I924&amp;" "&amp;M924&amp;" "&amp;N924&amp;" "&amp;T924)))),"PRIVATE_QUARANTINE",IF(OR(ISNUMBER(SEARCH("treasury",LOWER(F924&amp;" "&amp;H924&amp;" "&amp;I924&amp;" "&amp;M924&amp;" "&amp;N924&amp;" "&amp;T924))),ISNUMBER(SEARCH("debt",LOWER(F924&amp;" "&amp;H924&amp;" "&amp;I924&amp;" "&amp;M924&amp;" "&amp;N924&amp;" "&amp;T924))),ISNUMBER(SEARCH("bond",LOWER(F924&amp;" "&amp;H924&amp;" "&amp;I924&amp;" "&amp;M924&amp;" "&amp;N924&amp;" "&amp;T924))),ISNUMBER(SEARCH("transaction",LOWER(F924&amp;" "&amp;H924&amp;" "&amp;I924&amp;" "&amp;M924&amp;" "&amp;N924&amp;" "&amp;T924)))),"PRIVATE_REVIEW","PUBLIC_CANDIDATE"))</x:f>
        <x:v>PUBLIC_CANDIDATE</x:v>
      </x:c>
      <x:c r="AD924" s="12" t="str">
        <x:f>IF(AC924="PRIVATE_QUARANTINE","hacker_or_bank_trigger",IF(AC924="PRIVATE_REVIEW","finance_risk_trigger","none"))</x:f>
        <x:v>none</x:v>
      </x:c>
      <x:c r="AE924" s="12" t="str">
        <x:f>IF(AC924="PUBLIC_CANDIDATE","prepare_public_github_candidate",IF(AC924="PRIVATE_REVIEW","hold_for_private_review","quarantine_private_do_not_publish"))</x:f>
        <x:v>prepare_public_github_candidate</x:v>
      </x:c>
      <x:c r="AF924" s="12" t="str">
        <x:f>IF(AC924="PUBLIC_CANDIDATE","TIDELOCK + Lucerna",IF(AC924="PRIVATE_REVIEW","AtlasBrain + Lucerna","TIDELOCK + Lucerna + Human-root"))</x:f>
        <x:v>TIDELOCK + Lucerna</x:v>
      </x:c>
      <x:c r="AG924" s="12" t="str">
        <x:f>IF(AND(AC924="PUBLIC_CANDIDATE",U924&lt;&gt;"BLOCKED_PENDING_RECEIPT"),"READY_AFTER_RECEIPT","NOT_READY")</x:f>
        <x:v>NOT_READY</x:v>
      </x:c>
      <x:c r="AH924" s="12" t="str">
        <x:f>IF(AC924="PUBLIC_CANDIDATE","none",AD924)</x:f>
        <x:v>none</x:v>
      </x:c>
      <x:c r="AI924" s="12" t="str">
        <x:f>IF(AC924="PUBLIC_CANDIDATE","archive/public_candidates/"&amp;A924,"private_quarantine/"&amp;A924)</x:f>
        <x:v>archive/public_candidates/SWARM-07-H05-S11</x:v>
      </x:c>
      <x:c r="AJ924" s="12" t="str">
        <x:f>IF(AC924="PUBLIC_CANDIDATE","public by default; still not canon","private/hold; do not publish")</x:f>
        <x:v>public by default; still not canon</x:v>
      </x:c>
      <x:c r="AK924" s="12" t="str">
        <x:f>IF(AE924="prepare_public_github_candidate","add receipt/status then mirror","resolve blocker before any public GitHub action")</x:f>
        <x:v>add receipt/status then mirror</x:v>
      </x:c>
    </x:row>
    <x:row r="925">
      <x:c r="A925" s="15" t="str">
        <x:v>SWARM-07-H05-S12</x:v>
      </x:c>
      <x:c r="B925" s="15" t="str">
        <x:v>Domechild</x:v>
      </x:c>
      <x:c r="C925" s="15" t="str">
        <x:v>Planetarium lane builder</x:v>
      </x:c>
      <x:c r="D925" s="15" t="str">
        <x:v>Contradiction Mapping</x:v>
      </x:c>
      <x:c r="E925" s="15" t="str">
        <x:v>Risk / Safety</x:v>
      </x:c>
      <x:c r="F925" s="15" t="str">
        <x:v>Map contradictions in Risk / Safety — Domechild</x:v>
      </x:c>
      <x:c r="G925" s="15" t="str">
        <x:v>planetarium source packets / civic-science deltas</x:v>
      </x:c>
      <x:c r="H925" s="15" t="str">
        <x:v>source path + receipt + raw/export status + claim/edge/risk delta</x:v>
      </x:c>
      <x:c r="I925" s="15" t="str">
        <x:v>packet/SWARM-07-H05-S12</x:v>
      </x:c>
      <x:c r="J925" s="15" t="str">
        <x:v>TODO</x:v>
      </x:c>
      <x:c r="K925" s="15" t="str">
        <x:v>P2</x:v>
      </x:c>
      <x:c r="L925" s="15" t="str">
        <x:v>Done only when evidence is logged, contradiction search is noted, and boundary stamp remains non-canon unless ratified</x:v>
      </x:c>
      <x:c r="M925" s="15" t="str">
        <x:v>candidate / staging-only / not canon / not deployed / authority none</x:v>
      </x:c>
      <x:c r="N925" s="15" t="str">
        <x:v>Dispatch to Domechild: complete Contradiction Mapping x Risk / Safety; return deltas only, receipts required.</x:v>
      </x:c>
      <x:c r="O925" s="15" t="str">
        <x:v>AF-KG-H05-S12</x:v>
      </x:c>
      <x:c r="P925" s="15" t="str">
        <x:v>Unverified</x:v>
      </x:c>
      <x:c r="Q925" s="15" t="str">
        <x:v>Not checked</x:v>
      </x:c>
      <x:c r="R925" s="15" t="str"/>
      <x:c r="S925" s="15" t="str"/>
      <x:c r="T925" s="15" t="str">
        <x:v>Log first source path or blocker</x:v>
      </x:c>
      <x:c r="U925" s="12" t="str">
        <x:f>IF(OR(P925="Unverified",Q925="Not checked"),"BLOCKED_PENDING_RECEIPT","READY_FOR_REVIEW")</x:f>
        <x:v>BLOCKED_PENDING_RECEIPT</x:v>
      </x:c>
      <x:c r="V925" s="12" t="str">
        <x:f>IF(J925="DONE","RETURNED",IF(U925="BLOCKED_PENDING_RECEIPT","SOURCE_TOUCH_REQUIRED","IN_PROGRESS"))</x:f>
        <x:v>SOURCE_TOUCH_REQUIRED</x:v>
      </x:c>
      <x:c r="W925" s="12" t="str">
        <x:f>IF(P925="Unverified","missing_receipt","receipt_logged")</x:f>
        <x:v>missing_receipt</x:v>
      </x:c>
      <x:c r="X925" s="12" t="str">
        <x:f>IF(Q925="Not checked","raw_status_missing","raw_status_logged")</x:f>
        <x:v>raw_status_missing</x:v>
      </x:c>
      <x:c r="Y925" s="12" t="str">
        <x:f>IF(U925="BLOCKED_PENDING_RECEIPT","Log source path or blocker; do not promote","Route to review lane")</x:f>
        <x:v>Log source path or blocker; do not promote</x:v>
      </x:c>
      <x:c r="Z925" s="12" t="str">
        <x:f>IF(K925="P0","Primary seat + Hashlight/Lucerna","Seat lane")</x:f>
        <x:v>Seat lane</x:v>
      </x:c>
      <x:c r="AA925" s="12" t="str">
        <x:f>IF(R925="","no_claim_delta","claim_delta_present")</x:f>
        <x:v>no_claim_delta</x:v>
      </x:c>
      <x:c r="AB925" s="12" t="str">
        <x:f>IF(S925="","no_contradiction_delta","contradiction_delta_present")</x:f>
        <x:v>no_contradiction_delta</x:v>
      </x:c>
      <x:c r="AC925" s="12" t="str">
        <x:f>IF(OR(ISNUMBER(SEARCH("hacker",LOWER(F925&amp;" "&amp;H925&amp;" "&amp;I925&amp;" "&amp;M925&amp;" "&amp;N925&amp;" "&amp;T925))),ISNUMBER(SEARCH("hacking",LOWER(F925&amp;" "&amp;H925&amp;" "&amp;I925&amp;" "&amp;M925&amp;" "&amp;N925&amp;" "&amp;T925))),ISNUMBER(SEARCH("bank",LOWER(F925&amp;" "&amp;H925&amp;" "&amp;I925&amp;" "&amp;M925&amp;" "&amp;N925&amp;" "&amp;T925))),ISNUMBER(SEARCH("banking",LOWER(F925&amp;" "&amp;H925&amp;" "&amp;I925&amp;" "&amp;M925&amp;" "&amp;N925&amp;" "&amp;T925)))),"PRIVATE_QUARANTINE",IF(OR(ISNUMBER(SEARCH("treasury",LOWER(F925&amp;" "&amp;H925&amp;" "&amp;I925&amp;" "&amp;M925&amp;" "&amp;N925&amp;" "&amp;T925))),ISNUMBER(SEARCH("debt",LOWER(F925&amp;" "&amp;H925&amp;" "&amp;I925&amp;" "&amp;M925&amp;" "&amp;N925&amp;" "&amp;T925))),ISNUMBER(SEARCH("bond",LOWER(F925&amp;" "&amp;H925&amp;" "&amp;I925&amp;" "&amp;M925&amp;" "&amp;N925&amp;" "&amp;T925))),ISNUMBER(SEARCH("transaction",LOWER(F925&amp;" "&amp;H925&amp;" "&amp;I925&amp;" "&amp;M925&amp;" "&amp;N925&amp;" "&amp;T925)))),"PRIVATE_REVIEW","PUBLIC_CANDIDATE"))</x:f>
        <x:v>PUBLIC_CANDIDATE</x:v>
      </x:c>
      <x:c r="AD925" s="12" t="str">
        <x:f>IF(AC925="PRIVATE_QUARANTINE","hacker_or_bank_trigger",IF(AC925="PRIVATE_REVIEW","finance_risk_trigger","none"))</x:f>
        <x:v>none</x:v>
      </x:c>
      <x:c r="AE925" s="12" t="str">
        <x:f>IF(AC925="PUBLIC_CANDIDATE","prepare_public_github_candidate",IF(AC925="PRIVATE_REVIEW","hold_for_private_review","quarantine_private_do_not_publish"))</x:f>
        <x:v>prepare_public_github_candidate</x:v>
      </x:c>
      <x:c r="AF925" s="12" t="str">
        <x:f>IF(AC925="PUBLIC_CANDIDATE","TIDELOCK + Lucerna",IF(AC925="PRIVATE_REVIEW","AtlasBrain + Lucerna","TIDELOCK + Lucerna + Human-root"))</x:f>
        <x:v>TIDELOCK + Lucerna</x:v>
      </x:c>
      <x:c r="AG925" s="12" t="str">
        <x:f>IF(AND(AC925="PUBLIC_CANDIDATE",U925&lt;&gt;"BLOCKED_PENDING_RECEIPT"),"READY_AFTER_RECEIPT","NOT_READY")</x:f>
        <x:v>NOT_READY</x:v>
      </x:c>
      <x:c r="AH925" s="12" t="str">
        <x:f>IF(AC925="PUBLIC_CANDIDATE","none",AD925)</x:f>
        <x:v>none</x:v>
      </x:c>
      <x:c r="AI925" s="12" t="str">
        <x:f>IF(AC925="PUBLIC_CANDIDATE","archive/public_candidates/"&amp;A925,"private_quarantine/"&amp;A925)</x:f>
        <x:v>archive/public_candidates/SWARM-07-H05-S12</x:v>
      </x:c>
      <x:c r="AJ925" s="12" t="str">
        <x:f>IF(AC925="PUBLIC_CANDIDATE","public by default; still not canon","private/hold; do not publish")</x:f>
        <x:v>public by default; still not canon</x:v>
      </x:c>
      <x:c r="AK925" s="12" t="str">
        <x:f>IF(AE925="prepare_public_github_candidate","add receipt/status then mirror","resolve blocker before any public GitHub action")</x:f>
        <x:v>add receipt/status then mirror</x:v>
      </x:c>
    </x:row>
    <x:row r="926">
      <x:c r="A926" s="15" t="str">
        <x:v>SWARM-07-H06-S01</x:v>
      </x:c>
      <x:c r="B926" s="15" t="str">
        <x:v>Domechild</x:v>
      </x:c>
      <x:c r="C926" s="15" t="str">
        <x:v>Planetarium lane builder</x:v>
      </x:c>
      <x:c r="D926" s="15" t="str">
        <x:v>Ontology / Schema</x:v>
      </x:c>
      <x:c r="E926" s="15" t="str">
        <x:v>Notion</x:v>
      </x:c>
      <x:c r="F926" s="15" t="str">
        <x:v>Schema-map Notion — Domechild</x:v>
      </x:c>
      <x:c r="G926" s="15" t="str">
        <x:v>planetarium source packets / civic-science deltas</x:v>
      </x:c>
      <x:c r="H926" s="15" t="str">
        <x:v>source path + receipt + raw/export status + claim/edge/risk delta</x:v>
      </x:c>
      <x:c r="I926" s="15" t="str">
        <x:v>packet/SWARM-07-H06-S01</x:v>
      </x:c>
      <x:c r="J926" s="15" t="str">
        <x:v>TODO</x:v>
      </x:c>
      <x:c r="K926" s="15" t="str">
        <x:v>P0</x:v>
      </x:c>
      <x:c r="L926" s="15" t="str">
        <x:v>Done only when evidence is logged, contradiction search is noted, and boundary stamp remains non-canon unless ratified</x:v>
      </x:c>
      <x:c r="M926" s="15" t="str">
        <x:v>candidate / staging-only / not canon / not deployed / authority none</x:v>
      </x:c>
      <x:c r="N926" s="15" t="str">
        <x:v>Dispatch to Domechild: complete Ontology / Schema x Notion; return deltas only, receipts required.</x:v>
      </x:c>
      <x:c r="O926" s="15" t="str">
        <x:v>AF-KG-H06-S01</x:v>
      </x:c>
      <x:c r="P926" s="15" t="str">
        <x:v>Unverified</x:v>
      </x:c>
      <x:c r="Q926" s="15" t="str">
        <x:v>Not checked</x:v>
      </x:c>
      <x:c r="R926" s="15" t="str"/>
      <x:c r="S926" s="15" t="str"/>
      <x:c r="T926" s="15" t="str">
        <x:v>Log first source path or blocker</x:v>
      </x:c>
      <x:c r="U926" s="12" t="str">
        <x:f>IF(OR(P926="Unverified",Q926="Not checked"),"BLOCKED_PENDING_RECEIPT","READY_FOR_REVIEW")</x:f>
        <x:v>BLOCKED_PENDING_RECEIPT</x:v>
      </x:c>
      <x:c r="V926" s="12" t="str">
        <x:f>IF(J926="DONE","RETURNED",IF(U926="BLOCKED_PENDING_RECEIPT","SOURCE_TOUCH_REQUIRED","IN_PROGRESS"))</x:f>
        <x:v>SOURCE_TOUCH_REQUIRED</x:v>
      </x:c>
      <x:c r="W926" s="12" t="str">
        <x:f>IF(P926="Unverified","missing_receipt","receipt_logged")</x:f>
        <x:v>missing_receipt</x:v>
      </x:c>
      <x:c r="X926" s="12" t="str">
        <x:f>IF(Q926="Not checked","raw_status_missing","raw_status_logged")</x:f>
        <x:v>raw_status_missing</x:v>
      </x:c>
      <x:c r="Y926" s="12" t="str">
        <x:f>IF(U926="BLOCKED_PENDING_RECEIPT","Log source path or blocker; do not promote","Route to review lane")</x:f>
        <x:v>Log source path or blocker; do not promote</x:v>
      </x:c>
      <x:c r="Z926" s="12" t="str">
        <x:f>IF(K926="P0","Primary seat + Hashlight/Lucerna","Seat lane")</x:f>
        <x:v>Primary seat + Hashlight/Lucerna</x:v>
      </x:c>
      <x:c r="AA926" s="12" t="str">
        <x:f>IF(R926="","no_claim_delta","claim_delta_present")</x:f>
        <x:v>no_claim_delta</x:v>
      </x:c>
      <x:c r="AB926" s="12" t="str">
        <x:f>IF(S926="","no_contradiction_delta","contradiction_delta_present")</x:f>
        <x:v>no_contradiction_delta</x:v>
      </x:c>
      <x:c r="AC926" s="12" t="str">
        <x:f>IF(OR(ISNUMBER(SEARCH("hacker",LOWER(F926&amp;" "&amp;H926&amp;" "&amp;I926&amp;" "&amp;M926&amp;" "&amp;N926&amp;" "&amp;T926))),ISNUMBER(SEARCH("hacking",LOWER(F926&amp;" "&amp;H926&amp;" "&amp;I926&amp;" "&amp;M926&amp;" "&amp;N926&amp;" "&amp;T926))),ISNUMBER(SEARCH("bank",LOWER(F926&amp;" "&amp;H926&amp;" "&amp;I926&amp;" "&amp;M926&amp;" "&amp;N926&amp;" "&amp;T926))),ISNUMBER(SEARCH("banking",LOWER(F926&amp;" "&amp;H926&amp;" "&amp;I926&amp;" "&amp;M926&amp;" "&amp;N926&amp;" "&amp;T926)))),"PRIVATE_QUARANTINE",IF(OR(ISNUMBER(SEARCH("treasury",LOWER(F926&amp;" "&amp;H926&amp;" "&amp;I926&amp;" "&amp;M926&amp;" "&amp;N926&amp;" "&amp;T926))),ISNUMBER(SEARCH("debt",LOWER(F926&amp;" "&amp;H926&amp;" "&amp;I926&amp;" "&amp;M926&amp;" "&amp;N926&amp;" "&amp;T926))),ISNUMBER(SEARCH("bond",LOWER(F926&amp;" "&amp;H926&amp;" "&amp;I926&amp;" "&amp;M926&amp;" "&amp;N926&amp;" "&amp;T926))),ISNUMBER(SEARCH("transaction",LOWER(F926&amp;" "&amp;H926&amp;" "&amp;I926&amp;" "&amp;M926&amp;" "&amp;N926&amp;" "&amp;T926)))),"PRIVATE_REVIEW","PUBLIC_CANDIDATE"))</x:f>
        <x:v>PUBLIC_CANDIDATE</x:v>
      </x:c>
      <x:c r="AD926" s="12" t="str">
        <x:f>IF(AC926="PRIVATE_QUARANTINE","hacker_or_bank_trigger",IF(AC926="PRIVATE_REVIEW","finance_risk_trigger","none"))</x:f>
        <x:v>none</x:v>
      </x:c>
      <x:c r="AE926" s="12" t="str">
        <x:f>IF(AC926="PUBLIC_CANDIDATE","prepare_public_github_candidate",IF(AC926="PRIVATE_REVIEW","hold_for_private_review","quarantine_private_do_not_publish"))</x:f>
        <x:v>prepare_public_github_candidate</x:v>
      </x:c>
      <x:c r="AF926" s="12" t="str">
        <x:f>IF(AC926="PUBLIC_CANDIDATE","TIDELOCK + Lucerna",IF(AC926="PRIVATE_REVIEW","AtlasBrain + Lucerna","TIDELOCK + Lucerna + Human-root"))</x:f>
        <x:v>TIDELOCK + Lucerna</x:v>
      </x:c>
      <x:c r="AG926" s="12" t="str">
        <x:f>IF(AND(AC926="PUBLIC_CANDIDATE",U926&lt;&gt;"BLOCKED_PENDING_RECEIPT"),"READY_AFTER_RECEIPT","NOT_READY")</x:f>
        <x:v>NOT_READY</x:v>
      </x:c>
      <x:c r="AH926" s="12" t="str">
        <x:f>IF(AC926="PUBLIC_CANDIDATE","none",AD926)</x:f>
        <x:v>none</x:v>
      </x:c>
      <x:c r="AI926" s="12" t="str">
        <x:f>IF(AC926="PUBLIC_CANDIDATE","archive/public_candidates/"&amp;A926,"private_quarantine/"&amp;A926)</x:f>
        <x:v>archive/public_candidates/SWARM-07-H06-S01</x:v>
      </x:c>
      <x:c r="AJ926" s="12" t="str">
        <x:f>IF(AC926="PUBLIC_CANDIDATE","public by default; still not canon","private/hold; do not publish")</x:f>
        <x:v>public by default; still not canon</x:v>
      </x:c>
      <x:c r="AK926" s="12" t="str">
        <x:f>IF(AE926="prepare_public_github_candidate","add receipt/status then mirror","resolve blocker before any public GitHub action")</x:f>
        <x:v>add receipt/status then mirror</x:v>
      </x:c>
    </x:row>
    <x:row r="927">
      <x:c r="A927" s="15" t="str">
        <x:v>SWARM-07-H06-S02</x:v>
      </x:c>
      <x:c r="B927" s="15" t="str">
        <x:v>Domechild</x:v>
      </x:c>
      <x:c r="C927" s="15" t="str">
        <x:v>Planetarium lane builder</x:v>
      </x:c>
      <x:c r="D927" s="15" t="str">
        <x:v>Ontology / Schema</x:v>
      </x:c>
      <x:c r="E927" s="15" t="str">
        <x:v>Drive</x:v>
      </x:c>
      <x:c r="F927" s="15" t="str">
        <x:v>Schema-map Drive — Domechild</x:v>
      </x:c>
      <x:c r="G927" s="15" t="str">
        <x:v>planetarium source packets / civic-science deltas</x:v>
      </x:c>
      <x:c r="H927" s="15" t="str">
        <x:v>source path + receipt + raw/export status + claim/edge/risk delta</x:v>
      </x:c>
      <x:c r="I927" s="15" t="str">
        <x:v>packet/SWARM-07-H06-S02</x:v>
      </x:c>
      <x:c r="J927" s="15" t="str">
        <x:v>TODO</x:v>
      </x:c>
      <x:c r="K927" s="15" t="str">
        <x:v>P0</x:v>
      </x:c>
      <x:c r="L927" s="15" t="str">
        <x:v>Done only when evidence is logged, contradiction search is noted, and boundary stamp remains non-canon unless ratified</x:v>
      </x:c>
      <x:c r="M927" s="15" t="str">
        <x:v>candidate / staging-only / not canon / not deployed / authority none</x:v>
      </x:c>
      <x:c r="N927" s="15" t="str">
        <x:v>Dispatch to Domechild: complete Ontology / Schema x Drive; return deltas only, receipts required.</x:v>
      </x:c>
      <x:c r="O927" s="15" t="str">
        <x:v>AF-KG-H06-S02</x:v>
      </x:c>
      <x:c r="P927" s="15" t="str">
        <x:v>Unverified</x:v>
      </x:c>
      <x:c r="Q927" s="15" t="str">
        <x:v>Not checked</x:v>
      </x:c>
      <x:c r="R927" s="15" t="str"/>
      <x:c r="S927" s="15" t="str"/>
      <x:c r="T927" s="15" t="str">
        <x:v>Log first source path or blocker</x:v>
      </x:c>
      <x:c r="U927" s="12" t="str">
        <x:f>IF(OR(P927="Unverified",Q927="Not checked"),"BLOCKED_PENDING_RECEIPT","READY_FOR_REVIEW")</x:f>
        <x:v>BLOCKED_PENDING_RECEIPT</x:v>
      </x:c>
      <x:c r="V927" s="12" t="str">
        <x:f>IF(J927="DONE","RETURNED",IF(U927="BLOCKED_PENDING_RECEIPT","SOURCE_TOUCH_REQUIRED","IN_PROGRESS"))</x:f>
        <x:v>SOURCE_TOUCH_REQUIRED</x:v>
      </x:c>
      <x:c r="W927" s="12" t="str">
        <x:f>IF(P927="Unverified","missing_receipt","receipt_logged")</x:f>
        <x:v>missing_receipt</x:v>
      </x:c>
      <x:c r="X927" s="12" t="str">
        <x:f>IF(Q927="Not checked","raw_status_missing","raw_status_logged")</x:f>
        <x:v>raw_status_missing</x:v>
      </x:c>
      <x:c r="Y927" s="12" t="str">
        <x:f>IF(U927="BLOCKED_PENDING_RECEIPT","Log source path or blocker; do not promote","Route to review lane")</x:f>
        <x:v>Log source path or blocker; do not promote</x:v>
      </x:c>
      <x:c r="Z927" s="12" t="str">
        <x:f>IF(K927="P0","Primary seat + Hashlight/Lucerna","Seat lane")</x:f>
        <x:v>Primary seat + Hashlight/Lucerna</x:v>
      </x:c>
      <x:c r="AA927" s="12" t="str">
        <x:f>IF(R927="","no_claim_delta","claim_delta_present")</x:f>
        <x:v>no_claim_delta</x:v>
      </x:c>
      <x:c r="AB927" s="12" t="str">
        <x:f>IF(S927="","no_contradiction_delta","contradiction_delta_present")</x:f>
        <x:v>no_contradiction_delta</x:v>
      </x:c>
      <x:c r="AC927" s="12" t="str">
        <x:f>IF(OR(ISNUMBER(SEARCH("hacker",LOWER(F927&amp;" "&amp;H927&amp;" "&amp;I927&amp;" "&amp;M927&amp;" "&amp;N927&amp;" "&amp;T927))),ISNUMBER(SEARCH("hacking",LOWER(F927&amp;" "&amp;H927&amp;" "&amp;I927&amp;" "&amp;M927&amp;" "&amp;N927&amp;" "&amp;T927))),ISNUMBER(SEARCH("bank",LOWER(F927&amp;" "&amp;H927&amp;" "&amp;I927&amp;" "&amp;M927&amp;" "&amp;N927&amp;" "&amp;T927))),ISNUMBER(SEARCH("banking",LOWER(F927&amp;" "&amp;H927&amp;" "&amp;I927&amp;" "&amp;M927&amp;" "&amp;N927&amp;" "&amp;T927)))),"PRIVATE_QUARANTINE",IF(OR(ISNUMBER(SEARCH("treasury",LOWER(F927&amp;" "&amp;H927&amp;" "&amp;I927&amp;" "&amp;M927&amp;" "&amp;N927&amp;" "&amp;T927))),ISNUMBER(SEARCH("debt",LOWER(F927&amp;" "&amp;H927&amp;" "&amp;I927&amp;" "&amp;M927&amp;" "&amp;N927&amp;" "&amp;T927))),ISNUMBER(SEARCH("bond",LOWER(F927&amp;" "&amp;H927&amp;" "&amp;I927&amp;" "&amp;M927&amp;" "&amp;N927&amp;" "&amp;T927))),ISNUMBER(SEARCH("transaction",LOWER(F927&amp;" "&amp;H927&amp;" "&amp;I927&amp;" "&amp;M927&amp;" "&amp;N927&amp;" "&amp;T927)))),"PRIVATE_REVIEW","PUBLIC_CANDIDATE"))</x:f>
        <x:v>PUBLIC_CANDIDATE</x:v>
      </x:c>
      <x:c r="AD927" s="12" t="str">
        <x:f>IF(AC927="PRIVATE_QUARANTINE","hacker_or_bank_trigger",IF(AC927="PRIVATE_REVIEW","finance_risk_trigger","none"))</x:f>
        <x:v>none</x:v>
      </x:c>
      <x:c r="AE927" s="12" t="str">
        <x:f>IF(AC927="PUBLIC_CANDIDATE","prepare_public_github_candidate",IF(AC927="PRIVATE_REVIEW","hold_for_private_review","quarantine_private_do_not_publish"))</x:f>
        <x:v>prepare_public_github_candidate</x:v>
      </x:c>
      <x:c r="AF927" s="12" t="str">
        <x:f>IF(AC927="PUBLIC_CANDIDATE","TIDELOCK + Lucerna",IF(AC927="PRIVATE_REVIEW","AtlasBrain + Lucerna","TIDELOCK + Lucerna + Human-root"))</x:f>
        <x:v>TIDELOCK + Lucerna</x:v>
      </x:c>
      <x:c r="AG927" s="12" t="str">
        <x:f>IF(AND(AC927="PUBLIC_CANDIDATE",U927&lt;&gt;"BLOCKED_PENDING_RECEIPT"),"READY_AFTER_RECEIPT","NOT_READY")</x:f>
        <x:v>NOT_READY</x:v>
      </x:c>
      <x:c r="AH927" s="12" t="str">
        <x:f>IF(AC927="PUBLIC_CANDIDATE","none",AD927)</x:f>
        <x:v>none</x:v>
      </x:c>
      <x:c r="AI927" s="12" t="str">
        <x:f>IF(AC927="PUBLIC_CANDIDATE","archive/public_candidates/"&amp;A927,"private_quarantine/"&amp;A927)</x:f>
        <x:v>archive/public_candidates/SWARM-07-H06-S02</x:v>
      </x:c>
      <x:c r="AJ927" s="12" t="str">
        <x:f>IF(AC927="PUBLIC_CANDIDATE","public by default; still not canon","private/hold; do not publish")</x:f>
        <x:v>public by default; still not canon</x:v>
      </x:c>
      <x:c r="AK927" s="12" t="str">
        <x:f>IF(AE927="prepare_public_github_candidate","add receipt/status then mirror","resolve blocker before any public GitHub action")</x:f>
        <x:v>add receipt/status then mirror</x:v>
      </x:c>
    </x:row>
    <x:row r="928">
      <x:c r="A928" s="15" t="str">
        <x:v>SWARM-07-H06-S03</x:v>
      </x:c>
      <x:c r="B928" s="15" t="str">
        <x:v>Domechild</x:v>
      </x:c>
      <x:c r="C928" s="15" t="str">
        <x:v>Planetarium lane builder</x:v>
      </x:c>
      <x:c r="D928" s="15" t="str">
        <x:v>Ontology / Schema</x:v>
      </x:c>
      <x:c r="E928" s="15" t="str">
        <x:v>GitHub</x:v>
      </x:c>
      <x:c r="F928" s="15" t="str">
        <x:v>Schema-map GitHub — Domechild</x:v>
      </x:c>
      <x:c r="G928" s="15" t="str">
        <x:v>planetarium source packets / civic-science deltas</x:v>
      </x:c>
      <x:c r="H928" s="15" t="str">
        <x:v>source path + receipt + raw/export status + claim/edge/risk delta</x:v>
      </x:c>
      <x:c r="I928" s="15" t="str">
        <x:v>packet/SWARM-07-H06-S03</x:v>
      </x:c>
      <x:c r="J928" s="15" t="str">
        <x:v>TODO</x:v>
      </x:c>
      <x:c r="K928" s="15" t="str">
        <x:v>P0</x:v>
      </x:c>
      <x:c r="L928" s="15" t="str">
        <x:v>Done only when evidence is logged, contradiction search is noted, and boundary stamp remains non-canon unless ratified</x:v>
      </x:c>
      <x:c r="M928" s="15" t="str">
        <x:v>candidate / staging-only / not canon / not deployed / authority none</x:v>
      </x:c>
      <x:c r="N928" s="15" t="str">
        <x:v>Dispatch to Domechild: complete Ontology / Schema x GitHub; return deltas only, receipts required.</x:v>
      </x:c>
      <x:c r="O928" s="15" t="str">
        <x:v>AF-KG-H06-S03</x:v>
      </x:c>
      <x:c r="P928" s="15" t="str">
        <x:v>Unverified</x:v>
      </x:c>
      <x:c r="Q928" s="15" t="str">
        <x:v>Not checked</x:v>
      </x:c>
      <x:c r="R928" s="15" t="str"/>
      <x:c r="S928" s="15" t="str"/>
      <x:c r="T928" s="15" t="str">
        <x:v>Log first source path or blocker</x:v>
      </x:c>
      <x:c r="U928" s="12" t="str">
        <x:f>IF(OR(P928="Unverified",Q928="Not checked"),"BLOCKED_PENDING_RECEIPT","READY_FOR_REVIEW")</x:f>
        <x:v>BLOCKED_PENDING_RECEIPT</x:v>
      </x:c>
      <x:c r="V928" s="12" t="str">
        <x:f>IF(J928="DONE","RETURNED",IF(U928="BLOCKED_PENDING_RECEIPT","SOURCE_TOUCH_REQUIRED","IN_PROGRESS"))</x:f>
        <x:v>SOURCE_TOUCH_REQUIRED</x:v>
      </x:c>
      <x:c r="W928" s="12" t="str">
        <x:f>IF(P928="Unverified","missing_receipt","receipt_logged")</x:f>
        <x:v>missing_receipt</x:v>
      </x:c>
      <x:c r="X928" s="12" t="str">
        <x:f>IF(Q928="Not checked","raw_status_missing","raw_status_logged")</x:f>
        <x:v>raw_status_missing</x:v>
      </x:c>
      <x:c r="Y928" s="12" t="str">
        <x:f>IF(U928="BLOCKED_PENDING_RECEIPT","Log source path or blocker; do not promote","Route to review lane")</x:f>
        <x:v>Log source path or blocker; do not promote</x:v>
      </x:c>
      <x:c r="Z928" s="12" t="str">
        <x:f>IF(K928="P0","Primary seat + Hashlight/Lucerna","Seat lane")</x:f>
        <x:v>Primary seat + Hashlight/Lucerna</x:v>
      </x:c>
      <x:c r="AA928" s="12" t="str">
        <x:f>IF(R928="","no_claim_delta","claim_delta_present")</x:f>
        <x:v>no_claim_delta</x:v>
      </x:c>
      <x:c r="AB928" s="12" t="str">
        <x:f>IF(S928="","no_contradiction_delta","contradiction_delta_present")</x:f>
        <x:v>no_contradiction_delta</x:v>
      </x:c>
      <x:c r="AC928" s="12" t="str">
        <x:f>IF(OR(ISNUMBER(SEARCH("hacker",LOWER(F928&amp;" "&amp;H928&amp;" "&amp;I928&amp;" "&amp;M928&amp;" "&amp;N928&amp;" "&amp;T928))),ISNUMBER(SEARCH("hacking",LOWER(F928&amp;" "&amp;H928&amp;" "&amp;I928&amp;" "&amp;M928&amp;" "&amp;N928&amp;" "&amp;T928))),ISNUMBER(SEARCH("bank",LOWER(F928&amp;" "&amp;H928&amp;" "&amp;I928&amp;" "&amp;M928&amp;" "&amp;N928&amp;" "&amp;T928))),ISNUMBER(SEARCH("banking",LOWER(F928&amp;" "&amp;H928&amp;" "&amp;I928&amp;" "&amp;M928&amp;" "&amp;N928&amp;" "&amp;T928)))),"PRIVATE_QUARANTINE",IF(OR(ISNUMBER(SEARCH("treasury",LOWER(F928&amp;" "&amp;H928&amp;" "&amp;I928&amp;" "&amp;M928&amp;" "&amp;N928&amp;" "&amp;T928))),ISNUMBER(SEARCH("debt",LOWER(F928&amp;" "&amp;H928&amp;" "&amp;I928&amp;" "&amp;M928&amp;" "&amp;N928&amp;" "&amp;T928))),ISNUMBER(SEARCH("bond",LOWER(F928&amp;" "&amp;H928&amp;" "&amp;I928&amp;" "&amp;M928&amp;" "&amp;N928&amp;" "&amp;T928))),ISNUMBER(SEARCH("transaction",LOWER(F928&amp;" "&amp;H928&amp;" "&amp;I928&amp;" "&amp;M928&amp;" "&amp;N928&amp;" "&amp;T928)))),"PRIVATE_REVIEW","PUBLIC_CANDIDATE"))</x:f>
        <x:v>PUBLIC_CANDIDATE</x:v>
      </x:c>
      <x:c r="AD928" s="12" t="str">
        <x:f>IF(AC928="PRIVATE_QUARANTINE","hacker_or_bank_trigger",IF(AC928="PRIVATE_REVIEW","finance_risk_trigger","none"))</x:f>
        <x:v>none</x:v>
      </x:c>
      <x:c r="AE928" s="12" t="str">
        <x:f>IF(AC928="PUBLIC_CANDIDATE","prepare_public_github_candidate",IF(AC928="PRIVATE_REVIEW","hold_for_private_review","quarantine_private_do_not_publish"))</x:f>
        <x:v>prepare_public_github_candidate</x:v>
      </x:c>
      <x:c r="AF928" s="12" t="str">
        <x:f>IF(AC928="PUBLIC_CANDIDATE","TIDELOCK + Lucerna",IF(AC928="PRIVATE_REVIEW","AtlasBrain + Lucerna","TIDELOCK + Lucerna + Human-root"))</x:f>
        <x:v>TIDELOCK + Lucerna</x:v>
      </x:c>
      <x:c r="AG928" s="12" t="str">
        <x:f>IF(AND(AC928="PUBLIC_CANDIDATE",U928&lt;&gt;"BLOCKED_PENDING_RECEIPT"),"READY_AFTER_RECEIPT","NOT_READY")</x:f>
        <x:v>NOT_READY</x:v>
      </x:c>
      <x:c r="AH928" s="12" t="str">
        <x:f>IF(AC928="PUBLIC_CANDIDATE","none",AD928)</x:f>
        <x:v>none</x:v>
      </x:c>
      <x:c r="AI928" s="12" t="str">
        <x:f>IF(AC928="PUBLIC_CANDIDATE","archive/public_candidates/"&amp;A928,"private_quarantine/"&amp;A928)</x:f>
        <x:v>archive/public_candidates/SWARM-07-H06-S03</x:v>
      </x:c>
      <x:c r="AJ928" s="12" t="str">
        <x:f>IF(AC928="PUBLIC_CANDIDATE","public by default; still not canon","private/hold; do not publish")</x:f>
        <x:v>public by default; still not canon</x:v>
      </x:c>
      <x:c r="AK928" s="12" t="str">
        <x:f>IF(AE928="prepare_public_github_candidate","add receipt/status then mirror","resolve blocker before any public GitHub action")</x:f>
        <x:v>add receipt/status then mirror</x:v>
      </x:c>
    </x:row>
    <x:row r="929">
      <x:c r="A929" s="15" t="str">
        <x:v>SWARM-07-H06-S04</x:v>
      </x:c>
      <x:c r="B929" s="15" t="str">
        <x:v>Domechild</x:v>
      </x:c>
      <x:c r="C929" s="15" t="str">
        <x:v>Planetarium lane builder</x:v>
      </x:c>
      <x:c r="D929" s="15" t="str">
        <x:v>Ontology / Schema</x:v>
      </x:c>
      <x:c r="E929" s="15" t="str">
        <x:v>Gamma</x:v>
      </x:c>
      <x:c r="F929" s="15" t="str">
        <x:v>Schema-map Gamma — Domechild</x:v>
      </x:c>
      <x:c r="G929" s="15" t="str">
        <x:v>planetarium source packets / civic-science deltas</x:v>
      </x:c>
      <x:c r="H929" s="15" t="str">
        <x:v>source path + receipt + raw/export status + claim/edge/risk delta</x:v>
      </x:c>
      <x:c r="I929" s="15" t="str">
        <x:v>packet/SWARM-07-H06-S04</x:v>
      </x:c>
      <x:c r="J929" s="15" t="str">
        <x:v>TODO</x:v>
      </x:c>
      <x:c r="K929" s="15" t="str">
        <x:v>P1</x:v>
      </x:c>
      <x:c r="L929" s="15" t="str">
        <x:v>Done only when evidence is logged, contradiction search is noted, and boundary stamp remains non-canon unless ratified</x:v>
      </x:c>
      <x:c r="M929" s="15" t="str">
        <x:v>candidate / staging-only / not canon / not deployed / authority none</x:v>
      </x:c>
      <x:c r="N929" s="15" t="str">
        <x:v>Dispatch to Domechild: complete Ontology / Schema x Gamma; return deltas only, receipts required.</x:v>
      </x:c>
      <x:c r="O929" s="15" t="str">
        <x:v>AF-KG-H06-S04</x:v>
      </x:c>
      <x:c r="P929" s="15" t="str">
        <x:v>Unverified</x:v>
      </x:c>
      <x:c r="Q929" s="15" t="str">
        <x:v>Not checked</x:v>
      </x:c>
      <x:c r="R929" s="15" t="str"/>
      <x:c r="S929" s="15" t="str"/>
      <x:c r="T929" s="15" t="str">
        <x:v>Log first source path or blocker</x:v>
      </x:c>
      <x:c r="U929" s="12" t="str">
        <x:f>IF(OR(P929="Unverified",Q929="Not checked"),"BLOCKED_PENDING_RECEIPT","READY_FOR_REVIEW")</x:f>
        <x:v>BLOCKED_PENDING_RECEIPT</x:v>
      </x:c>
      <x:c r="V929" s="12" t="str">
        <x:f>IF(J929="DONE","RETURNED",IF(U929="BLOCKED_PENDING_RECEIPT","SOURCE_TOUCH_REQUIRED","IN_PROGRESS"))</x:f>
        <x:v>SOURCE_TOUCH_REQUIRED</x:v>
      </x:c>
      <x:c r="W929" s="12" t="str">
        <x:f>IF(P929="Unverified","missing_receipt","receipt_logged")</x:f>
        <x:v>missing_receipt</x:v>
      </x:c>
      <x:c r="X929" s="12" t="str">
        <x:f>IF(Q929="Not checked","raw_status_missing","raw_status_logged")</x:f>
        <x:v>raw_status_missing</x:v>
      </x:c>
      <x:c r="Y929" s="12" t="str">
        <x:f>IF(U929="BLOCKED_PENDING_RECEIPT","Log source path or blocker; do not promote","Route to review lane")</x:f>
        <x:v>Log source path or blocker; do not promote</x:v>
      </x:c>
      <x:c r="Z929" s="12" t="str">
        <x:f>IF(K929="P0","Primary seat + Hashlight/Lucerna","Seat lane")</x:f>
        <x:v>Seat lane</x:v>
      </x:c>
      <x:c r="AA929" s="12" t="str">
        <x:f>IF(R929="","no_claim_delta","claim_delta_present")</x:f>
        <x:v>no_claim_delta</x:v>
      </x:c>
      <x:c r="AB929" s="12" t="str">
        <x:f>IF(S929="","no_contradiction_delta","contradiction_delta_present")</x:f>
        <x:v>no_contradiction_delta</x:v>
      </x:c>
      <x:c r="AC929" s="12" t="str">
        <x:f>IF(OR(ISNUMBER(SEARCH("hacker",LOWER(F929&amp;" "&amp;H929&amp;" "&amp;I929&amp;" "&amp;M929&amp;" "&amp;N929&amp;" "&amp;T929))),ISNUMBER(SEARCH("hacking",LOWER(F929&amp;" "&amp;H929&amp;" "&amp;I929&amp;" "&amp;M929&amp;" "&amp;N929&amp;" "&amp;T929))),ISNUMBER(SEARCH("bank",LOWER(F929&amp;" "&amp;H929&amp;" "&amp;I929&amp;" "&amp;M929&amp;" "&amp;N929&amp;" "&amp;T929))),ISNUMBER(SEARCH("banking",LOWER(F929&amp;" "&amp;H929&amp;" "&amp;I929&amp;" "&amp;M929&amp;" "&amp;N929&amp;" "&amp;T929)))),"PRIVATE_QUARANTINE",IF(OR(ISNUMBER(SEARCH("treasury",LOWER(F929&amp;" "&amp;H929&amp;" "&amp;I929&amp;" "&amp;M929&amp;" "&amp;N929&amp;" "&amp;T929))),ISNUMBER(SEARCH("debt",LOWER(F929&amp;" "&amp;H929&amp;" "&amp;I929&amp;" "&amp;M929&amp;" "&amp;N929&amp;" "&amp;T929))),ISNUMBER(SEARCH("bond",LOWER(F929&amp;" "&amp;H929&amp;" "&amp;I929&amp;" "&amp;M929&amp;" "&amp;N929&amp;" "&amp;T929))),ISNUMBER(SEARCH("transaction",LOWER(F929&amp;" "&amp;H929&amp;" "&amp;I929&amp;" "&amp;M929&amp;" "&amp;N929&amp;" "&amp;T929)))),"PRIVATE_REVIEW","PUBLIC_CANDIDATE"))</x:f>
        <x:v>PUBLIC_CANDIDATE</x:v>
      </x:c>
      <x:c r="AD929" s="12" t="str">
        <x:f>IF(AC929="PRIVATE_QUARANTINE","hacker_or_bank_trigger",IF(AC929="PRIVATE_REVIEW","finance_risk_trigger","none"))</x:f>
        <x:v>none</x:v>
      </x:c>
      <x:c r="AE929" s="12" t="str">
        <x:f>IF(AC929="PUBLIC_CANDIDATE","prepare_public_github_candidate",IF(AC929="PRIVATE_REVIEW","hold_for_private_review","quarantine_private_do_not_publish"))</x:f>
        <x:v>prepare_public_github_candidate</x:v>
      </x:c>
      <x:c r="AF929" s="12" t="str">
        <x:f>IF(AC929="PUBLIC_CANDIDATE","TIDELOCK + Lucerna",IF(AC929="PRIVATE_REVIEW","AtlasBrain + Lucerna","TIDELOCK + Lucerna + Human-root"))</x:f>
        <x:v>TIDELOCK + Lucerna</x:v>
      </x:c>
      <x:c r="AG929" s="12" t="str">
        <x:f>IF(AND(AC929="PUBLIC_CANDIDATE",U929&lt;&gt;"BLOCKED_PENDING_RECEIPT"),"READY_AFTER_RECEIPT","NOT_READY")</x:f>
        <x:v>NOT_READY</x:v>
      </x:c>
      <x:c r="AH929" s="12" t="str">
        <x:f>IF(AC929="PUBLIC_CANDIDATE","none",AD929)</x:f>
        <x:v>none</x:v>
      </x:c>
      <x:c r="AI929" s="12" t="str">
        <x:f>IF(AC929="PUBLIC_CANDIDATE","archive/public_candidates/"&amp;A929,"private_quarantine/"&amp;A929)</x:f>
        <x:v>archive/public_candidates/SWARM-07-H06-S04</x:v>
      </x:c>
      <x:c r="AJ929" s="12" t="str">
        <x:f>IF(AC929="PUBLIC_CANDIDATE","public by default; still not canon","private/hold; do not publish")</x:f>
        <x:v>public by default; still not canon</x:v>
      </x:c>
      <x:c r="AK929" s="12" t="str">
        <x:f>IF(AE929="prepare_public_github_candidate","add receipt/status then mirror","resolve blocker before any public GitHub action")</x:f>
        <x:v>add receipt/status then mirror</x:v>
      </x:c>
    </x:row>
    <x:row r="930">
      <x:c r="A930" s="15" t="str">
        <x:v>SWARM-07-H06-S05</x:v>
      </x:c>
      <x:c r="B930" s="15" t="str">
        <x:v>Domechild</x:v>
      </x:c>
      <x:c r="C930" s="15" t="str">
        <x:v>Planetarium lane builder</x:v>
      </x:c>
      <x:c r="D930" s="15" t="str">
        <x:v>Ontology / Schema</x:v>
      </x:c>
      <x:c r="E930" s="15" t="str">
        <x:v>Chat</x:v>
      </x:c>
      <x:c r="F930" s="15" t="str">
        <x:v>Schema-map Chat — Domechild</x:v>
      </x:c>
      <x:c r="G930" s="15" t="str">
        <x:v>planetarium source packets / civic-science deltas</x:v>
      </x:c>
      <x:c r="H930" s="15" t="str">
        <x:v>source path + receipt + raw/export status + claim/edge/risk delta</x:v>
      </x:c>
      <x:c r="I930" s="15" t="str">
        <x:v>packet/SWARM-07-H06-S05</x:v>
      </x:c>
      <x:c r="J930" s="15" t="str">
        <x:v>TODO</x:v>
      </x:c>
      <x:c r="K930" s="15" t="str">
        <x:v>P1</x:v>
      </x:c>
      <x:c r="L930" s="15" t="str">
        <x:v>Done only when evidence is logged, contradiction search is noted, and boundary stamp remains non-canon unless ratified</x:v>
      </x:c>
      <x:c r="M930" s="15" t="str">
        <x:v>candidate / staging-only / not canon / not deployed / authority none</x:v>
      </x:c>
      <x:c r="N930" s="15" t="str">
        <x:v>Dispatch to Domechild: complete Ontology / Schema x Chat; return deltas only, receipts required.</x:v>
      </x:c>
      <x:c r="O930" s="15" t="str">
        <x:v>AF-KG-H06-S05</x:v>
      </x:c>
      <x:c r="P930" s="15" t="str">
        <x:v>Unverified</x:v>
      </x:c>
      <x:c r="Q930" s="15" t="str">
        <x:v>Not checked</x:v>
      </x:c>
      <x:c r="R930" s="15" t="str"/>
      <x:c r="S930" s="15" t="str"/>
      <x:c r="T930" s="15" t="str">
        <x:v>Log first source path or blocker</x:v>
      </x:c>
      <x:c r="U930" s="12" t="str">
        <x:f>IF(OR(P930="Unverified",Q930="Not checked"),"BLOCKED_PENDING_RECEIPT","READY_FOR_REVIEW")</x:f>
        <x:v>BLOCKED_PENDING_RECEIPT</x:v>
      </x:c>
      <x:c r="V930" s="12" t="str">
        <x:f>IF(J930="DONE","RETURNED",IF(U930="BLOCKED_PENDING_RECEIPT","SOURCE_TOUCH_REQUIRED","IN_PROGRESS"))</x:f>
        <x:v>SOURCE_TOUCH_REQUIRED</x:v>
      </x:c>
      <x:c r="W930" s="12" t="str">
        <x:f>IF(P930="Unverified","missing_receipt","receipt_logged")</x:f>
        <x:v>missing_receipt</x:v>
      </x:c>
      <x:c r="X930" s="12" t="str">
        <x:f>IF(Q930="Not checked","raw_status_missing","raw_status_logged")</x:f>
        <x:v>raw_status_missing</x:v>
      </x:c>
      <x:c r="Y930" s="12" t="str">
        <x:f>IF(U930="BLOCKED_PENDING_RECEIPT","Log source path or blocker; do not promote","Route to review lane")</x:f>
        <x:v>Log source path or blocker; do not promote</x:v>
      </x:c>
      <x:c r="Z930" s="12" t="str">
        <x:f>IF(K930="P0","Primary seat + Hashlight/Lucerna","Seat lane")</x:f>
        <x:v>Seat lane</x:v>
      </x:c>
      <x:c r="AA930" s="12" t="str">
        <x:f>IF(R930="","no_claim_delta","claim_delta_present")</x:f>
        <x:v>no_claim_delta</x:v>
      </x:c>
      <x:c r="AB930" s="12" t="str">
        <x:f>IF(S930="","no_contradiction_delta","contradiction_delta_present")</x:f>
        <x:v>no_contradiction_delta</x:v>
      </x:c>
      <x:c r="AC930" s="12" t="str">
        <x:f>IF(OR(ISNUMBER(SEARCH("hacker",LOWER(F930&amp;" "&amp;H930&amp;" "&amp;I930&amp;" "&amp;M930&amp;" "&amp;N930&amp;" "&amp;T930))),ISNUMBER(SEARCH("hacking",LOWER(F930&amp;" "&amp;H930&amp;" "&amp;I930&amp;" "&amp;M930&amp;" "&amp;N930&amp;" "&amp;T930))),ISNUMBER(SEARCH("bank",LOWER(F930&amp;" "&amp;H930&amp;" "&amp;I930&amp;" "&amp;M930&amp;" "&amp;N930&amp;" "&amp;T930))),ISNUMBER(SEARCH("banking",LOWER(F930&amp;" "&amp;H930&amp;" "&amp;I930&amp;" "&amp;M930&amp;" "&amp;N930&amp;" "&amp;T930)))),"PRIVATE_QUARANTINE",IF(OR(ISNUMBER(SEARCH("treasury",LOWER(F930&amp;" "&amp;H930&amp;" "&amp;I930&amp;" "&amp;M930&amp;" "&amp;N930&amp;" "&amp;T930))),ISNUMBER(SEARCH("debt",LOWER(F930&amp;" "&amp;H930&amp;" "&amp;I930&amp;" "&amp;M930&amp;" "&amp;N930&amp;" "&amp;T930))),ISNUMBER(SEARCH("bond",LOWER(F930&amp;" "&amp;H930&amp;" "&amp;I930&amp;" "&amp;M930&amp;" "&amp;N930&amp;" "&amp;T930))),ISNUMBER(SEARCH("transaction",LOWER(F930&amp;" "&amp;H930&amp;" "&amp;I930&amp;" "&amp;M930&amp;" "&amp;N930&amp;" "&amp;T930)))),"PRIVATE_REVIEW","PUBLIC_CANDIDATE"))</x:f>
        <x:v>PUBLIC_CANDIDATE</x:v>
      </x:c>
      <x:c r="AD930" s="12" t="str">
        <x:f>IF(AC930="PRIVATE_QUARANTINE","hacker_or_bank_trigger",IF(AC930="PRIVATE_REVIEW","finance_risk_trigger","none"))</x:f>
        <x:v>none</x:v>
      </x:c>
      <x:c r="AE930" s="12" t="str">
        <x:f>IF(AC930="PUBLIC_CANDIDATE","prepare_public_github_candidate",IF(AC930="PRIVATE_REVIEW","hold_for_private_review","quarantine_private_do_not_publish"))</x:f>
        <x:v>prepare_public_github_candidate</x:v>
      </x:c>
      <x:c r="AF930" s="12" t="str">
        <x:f>IF(AC930="PUBLIC_CANDIDATE","TIDELOCK + Lucerna",IF(AC930="PRIVATE_REVIEW","AtlasBrain + Lucerna","TIDELOCK + Lucerna + Human-root"))</x:f>
        <x:v>TIDELOCK + Lucerna</x:v>
      </x:c>
      <x:c r="AG930" s="12" t="str">
        <x:f>IF(AND(AC930="PUBLIC_CANDIDATE",U930&lt;&gt;"BLOCKED_PENDING_RECEIPT"),"READY_AFTER_RECEIPT","NOT_READY")</x:f>
        <x:v>NOT_READY</x:v>
      </x:c>
      <x:c r="AH930" s="12" t="str">
        <x:f>IF(AC930="PUBLIC_CANDIDATE","none",AD930)</x:f>
        <x:v>none</x:v>
      </x:c>
      <x:c r="AI930" s="12" t="str">
        <x:f>IF(AC930="PUBLIC_CANDIDATE","archive/public_candidates/"&amp;A930,"private_quarantine/"&amp;A930)</x:f>
        <x:v>archive/public_candidates/SWARM-07-H06-S05</x:v>
      </x:c>
      <x:c r="AJ930" s="12" t="str">
        <x:f>IF(AC930="PUBLIC_CANDIDATE","public by default; still not canon","private/hold; do not publish")</x:f>
        <x:v>public by default; still not canon</x:v>
      </x:c>
      <x:c r="AK930" s="12" t="str">
        <x:f>IF(AE930="prepare_public_github_candidate","add receipt/status then mirror","resolve blocker before any public GitHub action")</x:f>
        <x:v>add receipt/status then mirror</x:v>
      </x:c>
    </x:row>
    <x:row r="931">
      <x:c r="A931" s="15" t="str">
        <x:v>SWARM-07-H06-S06</x:v>
      </x:c>
      <x:c r="B931" s="15" t="str">
        <x:v>Domechild</x:v>
      </x:c>
      <x:c r="C931" s="15" t="str">
        <x:v>Planetarium lane builder</x:v>
      </x:c>
      <x:c r="D931" s="15" t="str">
        <x:v>Ontology / Schema</x:v>
      </x:c>
      <x:c r="E931" s="15" t="str">
        <x:v>External Web</x:v>
      </x:c>
      <x:c r="F931" s="15" t="str">
        <x:v>Schema-map External Web — Domechild</x:v>
      </x:c>
      <x:c r="G931" s="15" t="str">
        <x:v>planetarium source packets / civic-science deltas</x:v>
      </x:c>
      <x:c r="H931" s="15" t="str">
        <x:v>source path + receipt + raw/export status + claim/edge/risk delta</x:v>
      </x:c>
      <x:c r="I931" s="15" t="str">
        <x:v>packet/SWARM-07-H06-S06</x:v>
      </x:c>
      <x:c r="J931" s="15" t="str">
        <x:v>TODO</x:v>
      </x:c>
      <x:c r="K931" s="15" t="str">
        <x:v>P1</x:v>
      </x:c>
      <x:c r="L931" s="15" t="str">
        <x:v>Done only when evidence is logged, contradiction search is noted, and boundary stamp remains non-canon unless ratified</x:v>
      </x:c>
      <x:c r="M931" s="15" t="str">
        <x:v>candidate / staging-only / not canon / not deployed / authority none</x:v>
      </x:c>
      <x:c r="N931" s="15" t="str">
        <x:v>Dispatch to Domechild: complete Ontology / Schema x External Web; return deltas only, receipts required.</x:v>
      </x:c>
      <x:c r="O931" s="15" t="str">
        <x:v>AF-KG-H06-S06</x:v>
      </x:c>
      <x:c r="P931" s="15" t="str">
        <x:v>Unverified</x:v>
      </x:c>
      <x:c r="Q931" s="15" t="str">
        <x:v>Not checked</x:v>
      </x:c>
      <x:c r="R931" s="15" t="str"/>
      <x:c r="S931" s="15" t="str"/>
      <x:c r="T931" s="15" t="str">
        <x:v>Log first source path or blocker</x:v>
      </x:c>
      <x:c r="U931" s="12" t="str">
        <x:f>IF(OR(P931="Unverified",Q931="Not checked"),"BLOCKED_PENDING_RECEIPT","READY_FOR_REVIEW")</x:f>
        <x:v>BLOCKED_PENDING_RECEIPT</x:v>
      </x:c>
      <x:c r="V931" s="12" t="str">
        <x:f>IF(J931="DONE","RETURNED",IF(U931="BLOCKED_PENDING_RECEIPT","SOURCE_TOUCH_REQUIRED","IN_PROGRESS"))</x:f>
        <x:v>SOURCE_TOUCH_REQUIRED</x:v>
      </x:c>
      <x:c r="W931" s="12" t="str">
        <x:f>IF(P931="Unverified","missing_receipt","receipt_logged")</x:f>
        <x:v>missing_receipt</x:v>
      </x:c>
      <x:c r="X931" s="12" t="str">
        <x:f>IF(Q931="Not checked","raw_status_missing","raw_status_logged")</x:f>
        <x:v>raw_status_missing</x:v>
      </x:c>
      <x:c r="Y931" s="12" t="str">
        <x:f>IF(U931="BLOCKED_PENDING_RECEIPT","Log source path or blocker; do not promote","Route to review lane")</x:f>
        <x:v>Log source path or blocker; do not promote</x:v>
      </x:c>
      <x:c r="Z931" s="12" t="str">
        <x:f>IF(K931="P0","Primary seat + Hashlight/Lucerna","Seat lane")</x:f>
        <x:v>Seat lane</x:v>
      </x:c>
      <x:c r="AA931" s="12" t="str">
        <x:f>IF(R931="","no_claim_delta","claim_delta_present")</x:f>
        <x:v>no_claim_delta</x:v>
      </x:c>
      <x:c r="AB931" s="12" t="str">
        <x:f>IF(S931="","no_contradiction_delta","contradiction_delta_present")</x:f>
        <x:v>no_contradiction_delta</x:v>
      </x:c>
      <x:c r="AC931" s="12" t="str">
        <x:f>IF(OR(ISNUMBER(SEARCH("hacker",LOWER(F931&amp;" "&amp;H931&amp;" "&amp;I931&amp;" "&amp;M931&amp;" "&amp;N931&amp;" "&amp;T931))),ISNUMBER(SEARCH("hacking",LOWER(F931&amp;" "&amp;H931&amp;" "&amp;I931&amp;" "&amp;M931&amp;" "&amp;N931&amp;" "&amp;T931))),ISNUMBER(SEARCH("bank",LOWER(F931&amp;" "&amp;H931&amp;" "&amp;I931&amp;" "&amp;M931&amp;" "&amp;N931&amp;" "&amp;T931))),ISNUMBER(SEARCH("banking",LOWER(F931&amp;" "&amp;H931&amp;" "&amp;I931&amp;" "&amp;M931&amp;" "&amp;N931&amp;" "&amp;T931)))),"PRIVATE_QUARANTINE",IF(OR(ISNUMBER(SEARCH("treasury",LOWER(F931&amp;" "&amp;H931&amp;" "&amp;I931&amp;" "&amp;M931&amp;" "&amp;N931&amp;" "&amp;T931))),ISNUMBER(SEARCH("debt",LOWER(F931&amp;" "&amp;H931&amp;" "&amp;I931&amp;" "&amp;M931&amp;" "&amp;N931&amp;" "&amp;T931))),ISNUMBER(SEARCH("bond",LOWER(F931&amp;" "&amp;H931&amp;" "&amp;I931&amp;" "&amp;M931&amp;" "&amp;N931&amp;" "&amp;T931))),ISNUMBER(SEARCH("transaction",LOWER(F931&amp;" "&amp;H931&amp;" "&amp;I931&amp;" "&amp;M931&amp;" "&amp;N931&amp;" "&amp;T931)))),"PRIVATE_REVIEW","PUBLIC_CANDIDATE"))</x:f>
        <x:v>PUBLIC_CANDIDATE</x:v>
      </x:c>
      <x:c r="AD931" s="12" t="str">
        <x:f>IF(AC931="PRIVATE_QUARANTINE","hacker_or_bank_trigger",IF(AC931="PRIVATE_REVIEW","finance_risk_trigger","none"))</x:f>
        <x:v>none</x:v>
      </x:c>
      <x:c r="AE931" s="12" t="str">
        <x:f>IF(AC931="PUBLIC_CANDIDATE","prepare_public_github_candidate",IF(AC931="PRIVATE_REVIEW","hold_for_private_review","quarantine_private_do_not_publish"))</x:f>
        <x:v>prepare_public_github_candidate</x:v>
      </x:c>
      <x:c r="AF931" s="12" t="str">
        <x:f>IF(AC931="PUBLIC_CANDIDATE","TIDELOCK + Lucerna",IF(AC931="PRIVATE_REVIEW","AtlasBrain + Lucerna","TIDELOCK + Lucerna + Human-root"))</x:f>
        <x:v>TIDELOCK + Lucerna</x:v>
      </x:c>
      <x:c r="AG931" s="12" t="str">
        <x:f>IF(AND(AC931="PUBLIC_CANDIDATE",U931&lt;&gt;"BLOCKED_PENDING_RECEIPT"),"READY_AFTER_RECEIPT","NOT_READY")</x:f>
        <x:v>NOT_READY</x:v>
      </x:c>
      <x:c r="AH931" s="12" t="str">
        <x:f>IF(AC931="PUBLIC_CANDIDATE","none",AD931)</x:f>
        <x:v>none</x:v>
      </x:c>
      <x:c r="AI931" s="12" t="str">
        <x:f>IF(AC931="PUBLIC_CANDIDATE","archive/public_candidates/"&amp;A931,"private_quarantine/"&amp;A931)</x:f>
        <x:v>archive/public_candidates/SWARM-07-H06-S06</x:v>
      </x:c>
      <x:c r="AJ931" s="12" t="str">
        <x:f>IF(AC931="PUBLIC_CANDIDATE","public by default; still not canon","private/hold; do not publish")</x:f>
        <x:v>public by default; still not canon</x:v>
      </x:c>
      <x:c r="AK931" s="12" t="str">
        <x:f>IF(AE931="prepare_public_github_candidate","add receipt/status then mirror","resolve blocker before any public GitHub action")</x:f>
        <x:v>add receipt/status then mirror</x:v>
      </x:c>
    </x:row>
    <x:row r="932">
      <x:c r="A932" s="15" t="str">
        <x:v>SWARM-07-H06-S07</x:v>
      </x:c>
      <x:c r="B932" s="15" t="str">
        <x:v>Domechild</x:v>
      </x:c>
      <x:c r="C932" s="15" t="str">
        <x:v>Planetarium lane builder</x:v>
      </x:c>
      <x:c r="D932" s="15" t="str">
        <x:v>Ontology / Schema</x:v>
      </x:c>
      <x:c r="E932" s="15" t="str">
        <x:v>Planetarium</x:v>
      </x:c>
      <x:c r="F932" s="15" t="str">
        <x:v>Schema-map Planetarium — Domechild</x:v>
      </x:c>
      <x:c r="G932" s="15" t="str">
        <x:v>planetarium source packets / civic-science deltas</x:v>
      </x:c>
      <x:c r="H932" s="15" t="str">
        <x:v>source path + receipt + raw/export status + claim/edge/risk delta</x:v>
      </x:c>
      <x:c r="I932" s="15" t="str">
        <x:v>packet/SWARM-07-H06-S07</x:v>
      </x:c>
      <x:c r="J932" s="15" t="str">
        <x:v>TODO</x:v>
      </x:c>
      <x:c r="K932" s="15" t="str">
        <x:v>P1</x:v>
      </x:c>
      <x:c r="L932" s="15" t="str">
        <x:v>Done only when evidence is logged, contradiction search is noted, and boundary stamp remains non-canon unless ratified</x:v>
      </x:c>
      <x:c r="M932" s="15" t="str">
        <x:v>candidate / staging-only / not canon / not deployed / authority none</x:v>
      </x:c>
      <x:c r="N932" s="15" t="str">
        <x:v>Dispatch to Domechild: complete Ontology / Schema x Planetarium; return deltas only, receipts required.</x:v>
      </x:c>
      <x:c r="O932" s="15" t="str">
        <x:v>AF-KG-H06-S07</x:v>
      </x:c>
      <x:c r="P932" s="15" t="str">
        <x:v>Unverified</x:v>
      </x:c>
      <x:c r="Q932" s="15" t="str">
        <x:v>Not checked</x:v>
      </x:c>
      <x:c r="R932" s="15" t="str"/>
      <x:c r="S932" s="15" t="str"/>
      <x:c r="T932" s="15" t="str">
        <x:v>Log first source path or blocker</x:v>
      </x:c>
      <x:c r="U932" s="12" t="str">
        <x:f>IF(OR(P932="Unverified",Q932="Not checked"),"BLOCKED_PENDING_RECEIPT","READY_FOR_REVIEW")</x:f>
        <x:v>BLOCKED_PENDING_RECEIPT</x:v>
      </x:c>
      <x:c r="V932" s="12" t="str">
        <x:f>IF(J932="DONE","RETURNED",IF(U932="BLOCKED_PENDING_RECEIPT","SOURCE_TOUCH_REQUIRED","IN_PROGRESS"))</x:f>
        <x:v>SOURCE_TOUCH_REQUIRED</x:v>
      </x:c>
      <x:c r="W932" s="12" t="str">
        <x:f>IF(P932="Unverified","missing_receipt","receipt_logged")</x:f>
        <x:v>missing_receipt</x:v>
      </x:c>
      <x:c r="X932" s="12" t="str">
        <x:f>IF(Q932="Not checked","raw_status_missing","raw_status_logged")</x:f>
        <x:v>raw_status_missing</x:v>
      </x:c>
      <x:c r="Y932" s="12" t="str">
        <x:f>IF(U932="BLOCKED_PENDING_RECEIPT","Log source path or blocker; do not promote","Route to review lane")</x:f>
        <x:v>Log source path or blocker; do not promote</x:v>
      </x:c>
      <x:c r="Z932" s="12" t="str">
        <x:f>IF(K932="P0","Primary seat + Hashlight/Lucerna","Seat lane")</x:f>
        <x:v>Seat lane</x:v>
      </x:c>
      <x:c r="AA932" s="12" t="str">
        <x:f>IF(R932="","no_claim_delta","claim_delta_present")</x:f>
        <x:v>no_claim_delta</x:v>
      </x:c>
      <x:c r="AB932" s="12" t="str">
        <x:f>IF(S932="","no_contradiction_delta","contradiction_delta_present")</x:f>
        <x:v>no_contradiction_delta</x:v>
      </x:c>
      <x:c r="AC932" s="12" t="str">
        <x:f>IF(OR(ISNUMBER(SEARCH("hacker",LOWER(F932&amp;" "&amp;H932&amp;" "&amp;I932&amp;" "&amp;M932&amp;" "&amp;N932&amp;" "&amp;T932))),ISNUMBER(SEARCH("hacking",LOWER(F932&amp;" "&amp;H932&amp;" "&amp;I932&amp;" "&amp;M932&amp;" "&amp;N932&amp;" "&amp;T932))),ISNUMBER(SEARCH("bank",LOWER(F932&amp;" "&amp;H932&amp;" "&amp;I932&amp;" "&amp;M932&amp;" "&amp;N932&amp;" "&amp;T932))),ISNUMBER(SEARCH("banking",LOWER(F932&amp;" "&amp;H932&amp;" "&amp;I932&amp;" "&amp;M932&amp;" "&amp;N932&amp;" "&amp;T932)))),"PRIVATE_QUARANTINE",IF(OR(ISNUMBER(SEARCH("treasury",LOWER(F932&amp;" "&amp;H932&amp;" "&amp;I932&amp;" "&amp;M932&amp;" "&amp;N932&amp;" "&amp;T932))),ISNUMBER(SEARCH("debt",LOWER(F932&amp;" "&amp;H932&amp;" "&amp;I932&amp;" "&amp;M932&amp;" "&amp;N932&amp;" "&amp;T932))),ISNUMBER(SEARCH("bond",LOWER(F932&amp;" "&amp;H932&amp;" "&amp;I932&amp;" "&amp;M932&amp;" "&amp;N932&amp;" "&amp;T932))),ISNUMBER(SEARCH("transaction",LOWER(F932&amp;" "&amp;H932&amp;" "&amp;I932&amp;" "&amp;M932&amp;" "&amp;N932&amp;" "&amp;T932)))),"PRIVATE_REVIEW","PUBLIC_CANDIDATE"))</x:f>
        <x:v>PUBLIC_CANDIDATE</x:v>
      </x:c>
      <x:c r="AD932" s="12" t="str">
        <x:f>IF(AC932="PRIVATE_QUARANTINE","hacker_or_bank_trigger",IF(AC932="PRIVATE_REVIEW","finance_risk_trigger","none"))</x:f>
        <x:v>none</x:v>
      </x:c>
      <x:c r="AE932" s="12" t="str">
        <x:f>IF(AC932="PUBLIC_CANDIDATE","prepare_public_github_candidate",IF(AC932="PRIVATE_REVIEW","hold_for_private_review","quarantine_private_do_not_publish"))</x:f>
        <x:v>prepare_public_github_candidate</x:v>
      </x:c>
      <x:c r="AF932" s="12" t="str">
        <x:f>IF(AC932="PUBLIC_CANDIDATE","TIDELOCK + Lucerna",IF(AC932="PRIVATE_REVIEW","AtlasBrain + Lucerna","TIDELOCK + Lucerna + Human-root"))</x:f>
        <x:v>TIDELOCK + Lucerna</x:v>
      </x:c>
      <x:c r="AG932" s="12" t="str">
        <x:f>IF(AND(AC932="PUBLIC_CANDIDATE",U932&lt;&gt;"BLOCKED_PENDING_RECEIPT"),"READY_AFTER_RECEIPT","NOT_READY")</x:f>
        <x:v>NOT_READY</x:v>
      </x:c>
      <x:c r="AH932" s="12" t="str">
        <x:f>IF(AC932="PUBLIC_CANDIDATE","none",AD932)</x:f>
        <x:v>none</x:v>
      </x:c>
      <x:c r="AI932" s="12" t="str">
        <x:f>IF(AC932="PUBLIC_CANDIDATE","archive/public_candidates/"&amp;A932,"private_quarantine/"&amp;A932)</x:f>
        <x:v>archive/public_candidates/SWARM-07-H06-S07</x:v>
      </x:c>
      <x:c r="AJ932" s="12" t="str">
        <x:f>IF(AC932="PUBLIC_CANDIDATE","public by default; still not canon","private/hold; do not publish")</x:f>
        <x:v>public by default; still not canon</x:v>
      </x:c>
      <x:c r="AK932" s="12" t="str">
        <x:f>IF(AE932="prepare_public_github_candidate","add receipt/status then mirror","resolve blocker before any public GitHub action")</x:f>
        <x:v>add receipt/status then mirror</x:v>
      </x:c>
    </x:row>
    <x:row r="933">
      <x:c r="A933" s="15" t="str">
        <x:v>SWARM-07-H06-S08</x:v>
      </x:c>
      <x:c r="B933" s="15" t="str">
        <x:v>Domechild</x:v>
      </x:c>
      <x:c r="C933" s="15" t="str">
        <x:v>Planetarium lane builder</x:v>
      </x:c>
      <x:c r="D933" s="15" t="str">
        <x:v>Ontology / Schema</x:v>
      </x:c>
      <x:c r="E933" s="15" t="str">
        <x:v>Sheldonbrain</x:v>
      </x:c>
      <x:c r="F933" s="15" t="str">
        <x:v>Schema-map Sheldonbrain — Domechild</x:v>
      </x:c>
      <x:c r="G933" s="15" t="str">
        <x:v>planetarium source packets / civic-science deltas</x:v>
      </x:c>
      <x:c r="H933" s="15" t="str">
        <x:v>source path + receipt + raw/export status + claim/edge/risk delta</x:v>
      </x:c>
      <x:c r="I933" s="15" t="str">
        <x:v>packet/SWARM-07-H06-S08</x:v>
      </x:c>
      <x:c r="J933" s="15" t="str">
        <x:v>TODO</x:v>
      </x:c>
      <x:c r="K933" s="15" t="str">
        <x:v>P1</x:v>
      </x:c>
      <x:c r="L933" s="15" t="str">
        <x:v>Done only when evidence is logged, contradiction search is noted, and boundary stamp remains non-canon unless ratified</x:v>
      </x:c>
      <x:c r="M933" s="15" t="str">
        <x:v>candidate / staging-only / not canon / not deployed / authority none</x:v>
      </x:c>
      <x:c r="N933" s="15" t="str">
        <x:v>Dispatch to Domechild: complete Ontology / Schema x Sheldonbrain; return deltas only, receipts required.</x:v>
      </x:c>
      <x:c r="O933" s="15" t="str">
        <x:v>AF-KG-H06-S08</x:v>
      </x:c>
      <x:c r="P933" s="15" t="str">
        <x:v>Unverified</x:v>
      </x:c>
      <x:c r="Q933" s="15" t="str">
        <x:v>Not checked</x:v>
      </x:c>
      <x:c r="R933" s="15" t="str"/>
      <x:c r="S933" s="15" t="str"/>
      <x:c r="T933" s="15" t="str">
        <x:v>Log first source path or blocker</x:v>
      </x:c>
      <x:c r="U933" s="12" t="str">
        <x:f>IF(OR(P933="Unverified",Q933="Not checked"),"BLOCKED_PENDING_RECEIPT","READY_FOR_REVIEW")</x:f>
        <x:v>BLOCKED_PENDING_RECEIPT</x:v>
      </x:c>
      <x:c r="V933" s="12" t="str">
        <x:f>IF(J933="DONE","RETURNED",IF(U933="BLOCKED_PENDING_RECEIPT","SOURCE_TOUCH_REQUIRED","IN_PROGRESS"))</x:f>
        <x:v>SOURCE_TOUCH_REQUIRED</x:v>
      </x:c>
      <x:c r="W933" s="12" t="str">
        <x:f>IF(P933="Unverified","missing_receipt","receipt_logged")</x:f>
        <x:v>missing_receipt</x:v>
      </x:c>
      <x:c r="X933" s="12" t="str">
        <x:f>IF(Q933="Not checked","raw_status_missing","raw_status_logged")</x:f>
        <x:v>raw_status_missing</x:v>
      </x:c>
      <x:c r="Y933" s="12" t="str">
        <x:f>IF(U933="BLOCKED_PENDING_RECEIPT","Log source path or blocker; do not promote","Route to review lane")</x:f>
        <x:v>Log source path or blocker; do not promote</x:v>
      </x:c>
      <x:c r="Z933" s="12" t="str">
        <x:f>IF(K933="P0","Primary seat + Hashlight/Lucerna","Seat lane")</x:f>
        <x:v>Seat lane</x:v>
      </x:c>
      <x:c r="AA933" s="12" t="str">
        <x:f>IF(R933="","no_claim_delta","claim_delta_present")</x:f>
        <x:v>no_claim_delta</x:v>
      </x:c>
      <x:c r="AB933" s="12" t="str">
        <x:f>IF(S933="","no_contradiction_delta","contradiction_delta_present")</x:f>
        <x:v>no_contradiction_delta</x:v>
      </x:c>
      <x:c r="AC933" s="12" t="str">
        <x:f>IF(OR(ISNUMBER(SEARCH("hacker",LOWER(F933&amp;" "&amp;H933&amp;" "&amp;I933&amp;" "&amp;M933&amp;" "&amp;N933&amp;" "&amp;T933))),ISNUMBER(SEARCH("hacking",LOWER(F933&amp;" "&amp;H933&amp;" "&amp;I933&amp;" "&amp;M933&amp;" "&amp;N933&amp;" "&amp;T933))),ISNUMBER(SEARCH("bank",LOWER(F933&amp;" "&amp;H933&amp;" "&amp;I933&amp;" "&amp;M933&amp;" "&amp;N933&amp;" "&amp;T933))),ISNUMBER(SEARCH("banking",LOWER(F933&amp;" "&amp;H933&amp;" "&amp;I933&amp;" "&amp;M933&amp;" "&amp;N933&amp;" "&amp;T933)))),"PRIVATE_QUARANTINE",IF(OR(ISNUMBER(SEARCH("treasury",LOWER(F933&amp;" "&amp;H933&amp;" "&amp;I933&amp;" "&amp;M933&amp;" "&amp;N933&amp;" "&amp;T933))),ISNUMBER(SEARCH("debt",LOWER(F933&amp;" "&amp;H933&amp;" "&amp;I933&amp;" "&amp;M933&amp;" "&amp;N933&amp;" "&amp;T933))),ISNUMBER(SEARCH("bond",LOWER(F933&amp;" "&amp;H933&amp;" "&amp;I933&amp;" "&amp;M933&amp;" "&amp;N933&amp;" "&amp;T933))),ISNUMBER(SEARCH("transaction",LOWER(F933&amp;" "&amp;H933&amp;" "&amp;I933&amp;" "&amp;M933&amp;" "&amp;N933&amp;" "&amp;T933)))),"PRIVATE_REVIEW","PUBLIC_CANDIDATE"))</x:f>
        <x:v>PUBLIC_CANDIDATE</x:v>
      </x:c>
      <x:c r="AD933" s="12" t="str">
        <x:f>IF(AC933="PRIVATE_QUARANTINE","hacker_or_bank_trigger",IF(AC933="PRIVATE_REVIEW","finance_risk_trigger","none"))</x:f>
        <x:v>none</x:v>
      </x:c>
      <x:c r="AE933" s="12" t="str">
        <x:f>IF(AC933="PUBLIC_CANDIDATE","prepare_public_github_candidate",IF(AC933="PRIVATE_REVIEW","hold_for_private_review","quarantine_private_do_not_publish"))</x:f>
        <x:v>prepare_public_github_candidate</x:v>
      </x:c>
      <x:c r="AF933" s="12" t="str">
        <x:f>IF(AC933="PUBLIC_CANDIDATE","TIDELOCK + Lucerna",IF(AC933="PRIVATE_REVIEW","AtlasBrain + Lucerna","TIDELOCK + Lucerna + Human-root"))</x:f>
        <x:v>TIDELOCK + Lucerna</x:v>
      </x:c>
      <x:c r="AG933" s="12" t="str">
        <x:f>IF(AND(AC933="PUBLIC_CANDIDATE",U933&lt;&gt;"BLOCKED_PENDING_RECEIPT"),"READY_AFTER_RECEIPT","NOT_READY")</x:f>
        <x:v>NOT_READY</x:v>
      </x:c>
      <x:c r="AH933" s="12" t="str">
        <x:f>IF(AC933="PUBLIC_CANDIDATE","none",AD933)</x:f>
        <x:v>none</x:v>
      </x:c>
      <x:c r="AI933" s="12" t="str">
        <x:f>IF(AC933="PUBLIC_CANDIDATE","archive/public_candidates/"&amp;A933,"private_quarantine/"&amp;A933)</x:f>
        <x:v>archive/public_candidates/SWARM-07-H06-S08</x:v>
      </x:c>
      <x:c r="AJ933" s="12" t="str">
        <x:f>IF(AC933="PUBLIC_CANDIDATE","public by default; still not canon","private/hold; do not publish")</x:f>
        <x:v>public by default; still not canon</x:v>
      </x:c>
      <x:c r="AK933" s="12" t="str">
        <x:f>IF(AE933="prepare_public_github_candidate","add receipt/status then mirror","resolve blocker before any public GitHub action")</x:f>
        <x:v>add receipt/status then mirror</x:v>
      </x:c>
    </x:row>
    <x:row r="934">
      <x:c r="A934" s="15" t="str">
        <x:v>SWARM-07-H06-S09</x:v>
      </x:c>
      <x:c r="B934" s="15" t="str">
        <x:v>Domechild</x:v>
      </x:c>
      <x:c r="C934" s="15" t="str">
        <x:v>Planetarium lane builder</x:v>
      </x:c>
      <x:c r="D934" s="15" t="str">
        <x:v>Ontology / Schema</x:v>
      </x:c>
      <x:c r="E934" s="15" t="str">
        <x:v>Aetherforge</x:v>
      </x:c>
      <x:c r="F934" s="15" t="str">
        <x:v>Schema-map Aetherforge — Domechild</x:v>
      </x:c>
      <x:c r="G934" s="15" t="str">
        <x:v>planetarium source packets / civic-science deltas</x:v>
      </x:c>
      <x:c r="H934" s="15" t="str">
        <x:v>source path + receipt + raw/export status + claim/edge/risk delta</x:v>
      </x:c>
      <x:c r="I934" s="15" t="str">
        <x:v>packet/SWARM-07-H06-S09</x:v>
      </x:c>
      <x:c r="J934" s="15" t="str">
        <x:v>TODO</x:v>
      </x:c>
      <x:c r="K934" s="15" t="str">
        <x:v>P2</x:v>
      </x:c>
      <x:c r="L934" s="15" t="str">
        <x:v>Done only when evidence is logged, contradiction search is noted, and boundary stamp remains non-canon unless ratified</x:v>
      </x:c>
      <x:c r="M934" s="15" t="str">
        <x:v>candidate / staging-only / not canon / not deployed / authority none</x:v>
      </x:c>
      <x:c r="N934" s="15" t="str">
        <x:v>Dispatch to Domechild: complete Ontology / Schema x Aetherforge; return deltas only, receipts required.</x:v>
      </x:c>
      <x:c r="O934" s="15" t="str">
        <x:v>AF-KG-H06-S09</x:v>
      </x:c>
      <x:c r="P934" s="15" t="str">
        <x:v>Unverified</x:v>
      </x:c>
      <x:c r="Q934" s="15" t="str">
        <x:v>Not checked</x:v>
      </x:c>
      <x:c r="R934" s="15" t="str"/>
      <x:c r="S934" s="15" t="str"/>
      <x:c r="T934" s="15" t="str">
        <x:v>Log first source path or blocker</x:v>
      </x:c>
      <x:c r="U934" s="12" t="str">
        <x:f>IF(OR(P934="Unverified",Q934="Not checked"),"BLOCKED_PENDING_RECEIPT","READY_FOR_REVIEW")</x:f>
        <x:v>BLOCKED_PENDING_RECEIPT</x:v>
      </x:c>
      <x:c r="V934" s="12" t="str">
        <x:f>IF(J934="DONE","RETURNED",IF(U934="BLOCKED_PENDING_RECEIPT","SOURCE_TOUCH_REQUIRED","IN_PROGRESS"))</x:f>
        <x:v>SOURCE_TOUCH_REQUIRED</x:v>
      </x:c>
      <x:c r="W934" s="12" t="str">
        <x:f>IF(P934="Unverified","missing_receipt","receipt_logged")</x:f>
        <x:v>missing_receipt</x:v>
      </x:c>
      <x:c r="X934" s="12" t="str">
        <x:f>IF(Q934="Not checked","raw_status_missing","raw_status_logged")</x:f>
        <x:v>raw_status_missing</x:v>
      </x:c>
      <x:c r="Y934" s="12" t="str">
        <x:f>IF(U934="BLOCKED_PENDING_RECEIPT","Log source path or blocker; do not promote","Route to review lane")</x:f>
        <x:v>Log source path or blocker; do not promote</x:v>
      </x:c>
      <x:c r="Z934" s="12" t="str">
        <x:f>IF(K934="P0","Primary seat + Hashlight/Lucerna","Seat lane")</x:f>
        <x:v>Seat lane</x:v>
      </x:c>
      <x:c r="AA934" s="12" t="str">
        <x:f>IF(R934="","no_claim_delta","claim_delta_present")</x:f>
        <x:v>no_claim_delta</x:v>
      </x:c>
      <x:c r="AB934" s="12" t="str">
        <x:f>IF(S934="","no_contradiction_delta","contradiction_delta_present")</x:f>
        <x:v>no_contradiction_delta</x:v>
      </x:c>
      <x:c r="AC934" s="12" t="str">
        <x:f>IF(OR(ISNUMBER(SEARCH("hacker",LOWER(F934&amp;" "&amp;H934&amp;" "&amp;I934&amp;" "&amp;M934&amp;" "&amp;N934&amp;" "&amp;T934))),ISNUMBER(SEARCH("hacking",LOWER(F934&amp;" "&amp;H934&amp;" "&amp;I934&amp;" "&amp;M934&amp;" "&amp;N934&amp;" "&amp;T934))),ISNUMBER(SEARCH("bank",LOWER(F934&amp;" "&amp;H934&amp;" "&amp;I934&amp;" "&amp;M934&amp;" "&amp;N934&amp;" "&amp;T934))),ISNUMBER(SEARCH("banking",LOWER(F934&amp;" "&amp;H934&amp;" "&amp;I934&amp;" "&amp;M934&amp;" "&amp;N934&amp;" "&amp;T934)))),"PRIVATE_QUARANTINE",IF(OR(ISNUMBER(SEARCH("treasury",LOWER(F934&amp;" "&amp;H934&amp;" "&amp;I934&amp;" "&amp;M934&amp;" "&amp;N934&amp;" "&amp;T934))),ISNUMBER(SEARCH("debt",LOWER(F934&amp;" "&amp;H934&amp;" "&amp;I934&amp;" "&amp;M934&amp;" "&amp;N934&amp;" "&amp;T934))),ISNUMBER(SEARCH("bond",LOWER(F934&amp;" "&amp;H934&amp;" "&amp;I934&amp;" "&amp;M934&amp;" "&amp;N934&amp;" "&amp;T934))),ISNUMBER(SEARCH("transaction",LOWER(F934&amp;" "&amp;H934&amp;" "&amp;I934&amp;" "&amp;M934&amp;" "&amp;N934&amp;" "&amp;T934)))),"PRIVATE_REVIEW","PUBLIC_CANDIDATE"))</x:f>
        <x:v>PUBLIC_CANDIDATE</x:v>
      </x:c>
      <x:c r="AD934" s="12" t="str">
        <x:f>IF(AC934="PRIVATE_QUARANTINE","hacker_or_bank_trigger",IF(AC934="PRIVATE_REVIEW","finance_risk_trigger","none"))</x:f>
        <x:v>none</x:v>
      </x:c>
      <x:c r="AE934" s="12" t="str">
        <x:f>IF(AC934="PUBLIC_CANDIDATE","prepare_public_github_candidate",IF(AC934="PRIVATE_REVIEW","hold_for_private_review","quarantine_private_do_not_publish"))</x:f>
        <x:v>prepare_public_github_candidate</x:v>
      </x:c>
      <x:c r="AF934" s="12" t="str">
        <x:f>IF(AC934="PUBLIC_CANDIDATE","TIDELOCK + Lucerna",IF(AC934="PRIVATE_REVIEW","AtlasBrain + Lucerna","TIDELOCK + Lucerna + Human-root"))</x:f>
        <x:v>TIDELOCK + Lucerna</x:v>
      </x:c>
      <x:c r="AG934" s="12" t="str">
        <x:f>IF(AND(AC934="PUBLIC_CANDIDATE",U934&lt;&gt;"BLOCKED_PENDING_RECEIPT"),"READY_AFTER_RECEIPT","NOT_READY")</x:f>
        <x:v>NOT_READY</x:v>
      </x:c>
      <x:c r="AH934" s="12" t="str">
        <x:f>IF(AC934="PUBLIC_CANDIDATE","none",AD934)</x:f>
        <x:v>none</x:v>
      </x:c>
      <x:c r="AI934" s="12" t="str">
        <x:f>IF(AC934="PUBLIC_CANDIDATE","archive/public_candidates/"&amp;A934,"private_quarantine/"&amp;A934)</x:f>
        <x:v>archive/public_candidates/SWARM-07-H06-S09</x:v>
      </x:c>
      <x:c r="AJ934" s="12" t="str">
        <x:f>IF(AC934="PUBLIC_CANDIDATE","public by default; still not canon","private/hold; do not publish")</x:f>
        <x:v>public by default; still not canon</x:v>
      </x:c>
      <x:c r="AK934" s="12" t="str">
        <x:f>IF(AE934="prepare_public_github_candidate","add receipt/status then mirror","resolve blocker before any public GitHub action")</x:f>
        <x:v>add receipt/status then mirror</x:v>
      </x:c>
    </x:row>
    <x:row r="935">
      <x:c r="A935" s="15" t="str">
        <x:v>SWARM-07-H06-S10</x:v>
      </x:c>
      <x:c r="B935" s="15" t="str">
        <x:v>Domechild</x:v>
      </x:c>
      <x:c r="C935" s="15" t="str">
        <x:v>Planetarium lane builder</x:v>
      </x:c>
      <x:c r="D935" s="15" t="str">
        <x:v>Ontology / Schema</x:v>
      </x:c>
      <x:c r="E935" s="15" t="str">
        <x:v>Human-Root</x:v>
      </x:c>
      <x:c r="F935" s="15" t="str">
        <x:v>Schema-map Human-Root — Domechild</x:v>
      </x:c>
      <x:c r="G935" s="15" t="str">
        <x:v>planetarium source packets / civic-science deltas</x:v>
      </x:c>
      <x:c r="H935" s="15" t="str">
        <x:v>source path + receipt + raw/export status + claim/edge/risk delta</x:v>
      </x:c>
      <x:c r="I935" s="15" t="str">
        <x:v>packet/SWARM-07-H06-S10</x:v>
      </x:c>
      <x:c r="J935" s="15" t="str">
        <x:v>TODO</x:v>
      </x:c>
      <x:c r="K935" s="15" t="str">
        <x:v>P2</x:v>
      </x:c>
      <x:c r="L935" s="15" t="str">
        <x:v>Done only when evidence is logged, contradiction search is noted, and boundary stamp remains non-canon unless ratified</x:v>
      </x:c>
      <x:c r="M935" s="15" t="str">
        <x:v>candidate / staging-only / not canon / not deployed / authority none</x:v>
      </x:c>
      <x:c r="N935" s="15" t="str">
        <x:v>Dispatch to Domechild: complete Ontology / Schema x Human-Root; return deltas only, receipts required.</x:v>
      </x:c>
      <x:c r="O935" s="15" t="str">
        <x:v>AF-KG-H06-S10</x:v>
      </x:c>
      <x:c r="P935" s="15" t="str">
        <x:v>Unverified</x:v>
      </x:c>
      <x:c r="Q935" s="15" t="str">
        <x:v>Not checked</x:v>
      </x:c>
      <x:c r="R935" s="15" t="str"/>
      <x:c r="S935" s="15" t="str"/>
      <x:c r="T935" s="15" t="str">
        <x:v>Log first source path or blocker</x:v>
      </x:c>
      <x:c r="U935" s="12" t="str">
        <x:f>IF(OR(P935="Unverified",Q935="Not checked"),"BLOCKED_PENDING_RECEIPT","READY_FOR_REVIEW")</x:f>
        <x:v>BLOCKED_PENDING_RECEIPT</x:v>
      </x:c>
      <x:c r="V935" s="12" t="str">
        <x:f>IF(J935="DONE","RETURNED",IF(U935="BLOCKED_PENDING_RECEIPT","SOURCE_TOUCH_REQUIRED","IN_PROGRESS"))</x:f>
        <x:v>SOURCE_TOUCH_REQUIRED</x:v>
      </x:c>
      <x:c r="W935" s="12" t="str">
        <x:f>IF(P935="Unverified","missing_receipt","receipt_logged")</x:f>
        <x:v>missing_receipt</x:v>
      </x:c>
      <x:c r="X935" s="12" t="str">
        <x:f>IF(Q935="Not checked","raw_status_missing","raw_status_logged")</x:f>
        <x:v>raw_status_missing</x:v>
      </x:c>
      <x:c r="Y935" s="12" t="str">
        <x:f>IF(U935="BLOCKED_PENDING_RECEIPT","Log source path or blocker; do not promote","Route to review lane")</x:f>
        <x:v>Log source path or blocker; do not promote</x:v>
      </x:c>
      <x:c r="Z935" s="12" t="str">
        <x:f>IF(K935="P0","Primary seat + Hashlight/Lucerna","Seat lane")</x:f>
        <x:v>Seat lane</x:v>
      </x:c>
      <x:c r="AA935" s="12" t="str">
        <x:f>IF(R935="","no_claim_delta","claim_delta_present")</x:f>
        <x:v>no_claim_delta</x:v>
      </x:c>
      <x:c r="AB935" s="12" t="str">
        <x:f>IF(S935="","no_contradiction_delta","contradiction_delta_present")</x:f>
        <x:v>no_contradiction_delta</x:v>
      </x:c>
      <x:c r="AC935" s="12" t="str">
        <x:f>IF(OR(ISNUMBER(SEARCH("hacker",LOWER(F935&amp;" "&amp;H935&amp;" "&amp;I935&amp;" "&amp;M935&amp;" "&amp;N935&amp;" "&amp;T935))),ISNUMBER(SEARCH("hacking",LOWER(F935&amp;" "&amp;H935&amp;" "&amp;I935&amp;" "&amp;M935&amp;" "&amp;N935&amp;" "&amp;T935))),ISNUMBER(SEARCH("bank",LOWER(F935&amp;" "&amp;H935&amp;" "&amp;I935&amp;" "&amp;M935&amp;" "&amp;N935&amp;" "&amp;T935))),ISNUMBER(SEARCH("banking",LOWER(F935&amp;" "&amp;H935&amp;" "&amp;I935&amp;" "&amp;M935&amp;" "&amp;N935&amp;" "&amp;T935)))),"PRIVATE_QUARANTINE",IF(OR(ISNUMBER(SEARCH("treasury",LOWER(F935&amp;" "&amp;H935&amp;" "&amp;I935&amp;" "&amp;M935&amp;" "&amp;N935&amp;" "&amp;T935))),ISNUMBER(SEARCH("debt",LOWER(F935&amp;" "&amp;H935&amp;" "&amp;I935&amp;" "&amp;M935&amp;" "&amp;N935&amp;" "&amp;T935))),ISNUMBER(SEARCH("bond",LOWER(F935&amp;" "&amp;H935&amp;" "&amp;I935&amp;" "&amp;M935&amp;" "&amp;N935&amp;" "&amp;T935))),ISNUMBER(SEARCH("transaction",LOWER(F935&amp;" "&amp;H935&amp;" "&amp;I935&amp;" "&amp;M935&amp;" "&amp;N935&amp;" "&amp;T935)))),"PRIVATE_REVIEW","PUBLIC_CANDIDATE"))</x:f>
        <x:v>PUBLIC_CANDIDATE</x:v>
      </x:c>
      <x:c r="AD935" s="12" t="str">
        <x:f>IF(AC935="PRIVATE_QUARANTINE","hacker_or_bank_trigger",IF(AC935="PRIVATE_REVIEW","finance_risk_trigger","none"))</x:f>
        <x:v>none</x:v>
      </x:c>
      <x:c r="AE935" s="12" t="str">
        <x:f>IF(AC935="PUBLIC_CANDIDATE","prepare_public_github_candidate",IF(AC935="PRIVATE_REVIEW","hold_for_private_review","quarantine_private_do_not_publish"))</x:f>
        <x:v>prepare_public_github_candidate</x:v>
      </x:c>
      <x:c r="AF935" s="12" t="str">
        <x:f>IF(AC935="PUBLIC_CANDIDATE","TIDELOCK + Lucerna",IF(AC935="PRIVATE_REVIEW","AtlasBrain + Lucerna","TIDELOCK + Lucerna + Human-root"))</x:f>
        <x:v>TIDELOCK + Lucerna</x:v>
      </x:c>
      <x:c r="AG935" s="12" t="str">
        <x:f>IF(AND(AC935="PUBLIC_CANDIDATE",U935&lt;&gt;"BLOCKED_PENDING_RECEIPT"),"READY_AFTER_RECEIPT","NOT_READY")</x:f>
        <x:v>NOT_READY</x:v>
      </x:c>
      <x:c r="AH935" s="12" t="str">
        <x:f>IF(AC935="PUBLIC_CANDIDATE","none",AD935)</x:f>
        <x:v>none</x:v>
      </x:c>
      <x:c r="AI935" s="12" t="str">
        <x:f>IF(AC935="PUBLIC_CANDIDATE","archive/public_candidates/"&amp;A935,"private_quarantine/"&amp;A935)</x:f>
        <x:v>archive/public_candidates/SWARM-07-H06-S10</x:v>
      </x:c>
      <x:c r="AJ935" s="12" t="str">
        <x:f>IF(AC935="PUBLIC_CANDIDATE","public by default; still not canon","private/hold; do not publish")</x:f>
        <x:v>public by default; still not canon</x:v>
      </x:c>
      <x:c r="AK935" s="12" t="str">
        <x:f>IF(AE935="prepare_public_github_candidate","add receipt/status then mirror","resolve blocker before any public GitHub action")</x:f>
        <x:v>add receipt/status then mirror</x:v>
      </x:c>
    </x:row>
    <x:row r="936">
      <x:c r="A936" s="15" t="str">
        <x:v>SWARM-07-H06-S11</x:v>
      </x:c>
      <x:c r="B936" s="15" t="str">
        <x:v>Domechild</x:v>
      </x:c>
      <x:c r="C936" s="15" t="str">
        <x:v>Planetarium lane builder</x:v>
      </x:c>
      <x:c r="D936" s="15" t="str">
        <x:v>Ontology / Schema</x:v>
      </x:c>
      <x:c r="E936" s="15" t="str">
        <x:v>Automation</x:v>
      </x:c>
      <x:c r="F936" s="15" t="str">
        <x:v>Schema-map Automation — Domechild</x:v>
      </x:c>
      <x:c r="G936" s="15" t="str">
        <x:v>planetarium source packets / civic-science deltas</x:v>
      </x:c>
      <x:c r="H936" s="15" t="str">
        <x:v>source path + receipt + raw/export status + claim/edge/risk delta</x:v>
      </x:c>
      <x:c r="I936" s="15" t="str">
        <x:v>packet/SWARM-07-H06-S11</x:v>
      </x:c>
      <x:c r="J936" s="15" t="str">
        <x:v>TODO</x:v>
      </x:c>
      <x:c r="K936" s="15" t="str">
        <x:v>P2</x:v>
      </x:c>
      <x:c r="L936" s="15" t="str">
        <x:v>Done only when evidence is logged, contradiction search is noted, and boundary stamp remains non-canon unless ratified</x:v>
      </x:c>
      <x:c r="M936" s="15" t="str">
        <x:v>candidate / staging-only / not canon / not deployed / authority none</x:v>
      </x:c>
      <x:c r="N936" s="15" t="str">
        <x:v>Dispatch to Domechild: complete Ontology / Schema x Automation; return deltas only, receipts required.</x:v>
      </x:c>
      <x:c r="O936" s="15" t="str">
        <x:v>AF-KG-H06-S11</x:v>
      </x:c>
      <x:c r="P936" s="15" t="str">
        <x:v>Unverified</x:v>
      </x:c>
      <x:c r="Q936" s="15" t="str">
        <x:v>Not checked</x:v>
      </x:c>
      <x:c r="R936" s="15" t="str"/>
      <x:c r="S936" s="15" t="str"/>
      <x:c r="T936" s="15" t="str">
        <x:v>Log first source path or blocker</x:v>
      </x:c>
      <x:c r="U936" s="12" t="str">
        <x:f>IF(OR(P936="Unverified",Q936="Not checked"),"BLOCKED_PENDING_RECEIPT","READY_FOR_REVIEW")</x:f>
        <x:v>BLOCKED_PENDING_RECEIPT</x:v>
      </x:c>
      <x:c r="V936" s="12" t="str">
        <x:f>IF(J936="DONE","RETURNED",IF(U936="BLOCKED_PENDING_RECEIPT","SOURCE_TOUCH_REQUIRED","IN_PROGRESS"))</x:f>
        <x:v>SOURCE_TOUCH_REQUIRED</x:v>
      </x:c>
      <x:c r="W936" s="12" t="str">
        <x:f>IF(P936="Unverified","missing_receipt","receipt_logged")</x:f>
        <x:v>missing_receipt</x:v>
      </x:c>
      <x:c r="X936" s="12" t="str">
        <x:f>IF(Q936="Not checked","raw_status_missing","raw_status_logged")</x:f>
        <x:v>raw_status_missing</x:v>
      </x:c>
      <x:c r="Y936" s="12" t="str">
        <x:f>IF(U936="BLOCKED_PENDING_RECEIPT","Log source path or blocker; do not promote","Route to review lane")</x:f>
        <x:v>Log source path or blocker; do not promote</x:v>
      </x:c>
      <x:c r="Z936" s="12" t="str">
        <x:f>IF(K936="P0","Primary seat + Hashlight/Lucerna","Seat lane")</x:f>
        <x:v>Seat lane</x:v>
      </x:c>
      <x:c r="AA936" s="12" t="str">
        <x:f>IF(R936="","no_claim_delta","claim_delta_present")</x:f>
        <x:v>no_claim_delta</x:v>
      </x:c>
      <x:c r="AB936" s="12" t="str">
        <x:f>IF(S936="","no_contradiction_delta","contradiction_delta_present")</x:f>
        <x:v>no_contradiction_delta</x:v>
      </x:c>
      <x:c r="AC936" s="12" t="str">
        <x:f>IF(OR(ISNUMBER(SEARCH("hacker",LOWER(F936&amp;" "&amp;H936&amp;" "&amp;I936&amp;" "&amp;M936&amp;" "&amp;N936&amp;" "&amp;T936))),ISNUMBER(SEARCH("hacking",LOWER(F936&amp;" "&amp;H936&amp;" "&amp;I936&amp;" "&amp;M936&amp;" "&amp;N936&amp;" "&amp;T936))),ISNUMBER(SEARCH("bank",LOWER(F936&amp;" "&amp;H936&amp;" "&amp;I936&amp;" "&amp;M936&amp;" "&amp;N936&amp;" "&amp;T936))),ISNUMBER(SEARCH("banking",LOWER(F936&amp;" "&amp;H936&amp;" "&amp;I936&amp;" "&amp;M936&amp;" "&amp;N936&amp;" "&amp;T936)))),"PRIVATE_QUARANTINE",IF(OR(ISNUMBER(SEARCH("treasury",LOWER(F936&amp;" "&amp;H936&amp;" "&amp;I936&amp;" "&amp;M936&amp;" "&amp;N936&amp;" "&amp;T936))),ISNUMBER(SEARCH("debt",LOWER(F936&amp;" "&amp;H936&amp;" "&amp;I936&amp;" "&amp;M936&amp;" "&amp;N936&amp;" "&amp;T936))),ISNUMBER(SEARCH("bond",LOWER(F936&amp;" "&amp;H936&amp;" "&amp;I936&amp;" "&amp;M936&amp;" "&amp;N936&amp;" "&amp;T936))),ISNUMBER(SEARCH("transaction",LOWER(F936&amp;" "&amp;H936&amp;" "&amp;I936&amp;" "&amp;M936&amp;" "&amp;N936&amp;" "&amp;T936)))),"PRIVATE_REVIEW","PUBLIC_CANDIDATE"))</x:f>
        <x:v>PUBLIC_CANDIDATE</x:v>
      </x:c>
      <x:c r="AD936" s="12" t="str">
        <x:f>IF(AC936="PRIVATE_QUARANTINE","hacker_or_bank_trigger",IF(AC936="PRIVATE_REVIEW","finance_risk_trigger","none"))</x:f>
        <x:v>none</x:v>
      </x:c>
      <x:c r="AE936" s="12" t="str">
        <x:f>IF(AC936="PUBLIC_CANDIDATE","prepare_public_github_candidate",IF(AC936="PRIVATE_REVIEW","hold_for_private_review","quarantine_private_do_not_publish"))</x:f>
        <x:v>prepare_public_github_candidate</x:v>
      </x:c>
      <x:c r="AF936" s="12" t="str">
        <x:f>IF(AC936="PUBLIC_CANDIDATE","TIDELOCK + Lucerna",IF(AC936="PRIVATE_REVIEW","AtlasBrain + Lucerna","TIDELOCK + Lucerna + Human-root"))</x:f>
        <x:v>TIDELOCK + Lucerna</x:v>
      </x:c>
      <x:c r="AG936" s="12" t="str">
        <x:f>IF(AND(AC936="PUBLIC_CANDIDATE",U936&lt;&gt;"BLOCKED_PENDING_RECEIPT"),"READY_AFTER_RECEIPT","NOT_READY")</x:f>
        <x:v>NOT_READY</x:v>
      </x:c>
      <x:c r="AH936" s="12" t="str">
        <x:f>IF(AC936="PUBLIC_CANDIDATE","none",AD936)</x:f>
        <x:v>none</x:v>
      </x:c>
      <x:c r="AI936" s="12" t="str">
        <x:f>IF(AC936="PUBLIC_CANDIDATE","archive/public_candidates/"&amp;A936,"private_quarantine/"&amp;A936)</x:f>
        <x:v>archive/public_candidates/SWARM-07-H06-S11</x:v>
      </x:c>
      <x:c r="AJ936" s="12" t="str">
        <x:f>IF(AC936="PUBLIC_CANDIDATE","public by default; still not canon","private/hold; do not publish")</x:f>
        <x:v>public by default; still not canon</x:v>
      </x:c>
      <x:c r="AK936" s="12" t="str">
        <x:f>IF(AE936="prepare_public_github_candidate","add receipt/status then mirror","resolve blocker before any public GitHub action")</x:f>
        <x:v>add receipt/status then mirror</x:v>
      </x:c>
    </x:row>
    <x:row r="937">
      <x:c r="A937" s="15" t="str">
        <x:v>SWARM-07-H06-S12</x:v>
      </x:c>
      <x:c r="B937" s="15" t="str">
        <x:v>Domechild</x:v>
      </x:c>
      <x:c r="C937" s="15" t="str">
        <x:v>Planetarium lane builder</x:v>
      </x:c>
      <x:c r="D937" s="15" t="str">
        <x:v>Ontology / Schema</x:v>
      </x:c>
      <x:c r="E937" s="15" t="str">
        <x:v>Risk / Safety</x:v>
      </x:c>
      <x:c r="F937" s="15" t="str">
        <x:v>Schema-map Risk / Safety — Domechild</x:v>
      </x:c>
      <x:c r="G937" s="15" t="str">
        <x:v>planetarium source packets / civic-science deltas</x:v>
      </x:c>
      <x:c r="H937" s="15" t="str">
        <x:v>source path + receipt + raw/export status + claim/edge/risk delta</x:v>
      </x:c>
      <x:c r="I937" s="15" t="str">
        <x:v>packet/SWARM-07-H06-S12</x:v>
      </x:c>
      <x:c r="J937" s="15" t="str">
        <x:v>TODO</x:v>
      </x:c>
      <x:c r="K937" s="15" t="str">
        <x:v>P2</x:v>
      </x:c>
      <x:c r="L937" s="15" t="str">
        <x:v>Done only when evidence is logged, contradiction search is noted, and boundary stamp remains non-canon unless ratified</x:v>
      </x:c>
      <x:c r="M937" s="15" t="str">
        <x:v>candidate / staging-only / not canon / not deployed / authority none</x:v>
      </x:c>
      <x:c r="N937" s="15" t="str">
        <x:v>Dispatch to Domechild: complete Ontology / Schema x Risk / Safety; return deltas only, receipts required.</x:v>
      </x:c>
      <x:c r="O937" s="15" t="str">
        <x:v>AF-KG-H06-S12</x:v>
      </x:c>
      <x:c r="P937" s="15" t="str">
        <x:v>Unverified</x:v>
      </x:c>
      <x:c r="Q937" s="15" t="str">
        <x:v>Not checked</x:v>
      </x:c>
      <x:c r="R937" s="15" t="str"/>
      <x:c r="S937" s="15" t="str"/>
      <x:c r="T937" s="15" t="str">
        <x:v>Log first source path or blocker</x:v>
      </x:c>
      <x:c r="U937" s="12" t="str">
        <x:f>IF(OR(P937="Unverified",Q937="Not checked"),"BLOCKED_PENDING_RECEIPT","READY_FOR_REVIEW")</x:f>
        <x:v>BLOCKED_PENDING_RECEIPT</x:v>
      </x:c>
      <x:c r="V937" s="12" t="str">
        <x:f>IF(J937="DONE","RETURNED",IF(U937="BLOCKED_PENDING_RECEIPT","SOURCE_TOUCH_REQUIRED","IN_PROGRESS"))</x:f>
        <x:v>SOURCE_TOUCH_REQUIRED</x:v>
      </x:c>
      <x:c r="W937" s="12" t="str">
        <x:f>IF(P937="Unverified","missing_receipt","receipt_logged")</x:f>
        <x:v>missing_receipt</x:v>
      </x:c>
      <x:c r="X937" s="12" t="str">
        <x:f>IF(Q937="Not checked","raw_status_missing","raw_status_logged")</x:f>
        <x:v>raw_status_missing</x:v>
      </x:c>
      <x:c r="Y937" s="12" t="str">
        <x:f>IF(U937="BLOCKED_PENDING_RECEIPT","Log source path or blocker; do not promote","Route to review lane")</x:f>
        <x:v>Log source path or blocker; do not promote</x:v>
      </x:c>
      <x:c r="Z937" s="12" t="str">
        <x:f>IF(K937="P0","Primary seat + Hashlight/Lucerna","Seat lane")</x:f>
        <x:v>Seat lane</x:v>
      </x:c>
      <x:c r="AA937" s="12" t="str">
        <x:f>IF(R937="","no_claim_delta","claim_delta_present")</x:f>
        <x:v>no_claim_delta</x:v>
      </x:c>
      <x:c r="AB937" s="12" t="str">
        <x:f>IF(S937="","no_contradiction_delta","contradiction_delta_present")</x:f>
        <x:v>no_contradiction_delta</x:v>
      </x:c>
      <x:c r="AC937" s="12" t="str">
        <x:f>IF(OR(ISNUMBER(SEARCH("hacker",LOWER(F937&amp;" "&amp;H937&amp;" "&amp;I937&amp;" "&amp;M937&amp;" "&amp;N937&amp;" "&amp;T937))),ISNUMBER(SEARCH("hacking",LOWER(F937&amp;" "&amp;H937&amp;" "&amp;I937&amp;" "&amp;M937&amp;" "&amp;N937&amp;" "&amp;T937))),ISNUMBER(SEARCH("bank",LOWER(F937&amp;" "&amp;H937&amp;" "&amp;I937&amp;" "&amp;M937&amp;" "&amp;N937&amp;" "&amp;T937))),ISNUMBER(SEARCH("banking",LOWER(F937&amp;" "&amp;H937&amp;" "&amp;I937&amp;" "&amp;M937&amp;" "&amp;N937&amp;" "&amp;T937)))),"PRIVATE_QUARANTINE",IF(OR(ISNUMBER(SEARCH("treasury",LOWER(F937&amp;" "&amp;H937&amp;" "&amp;I937&amp;" "&amp;M937&amp;" "&amp;N937&amp;" "&amp;T937))),ISNUMBER(SEARCH("debt",LOWER(F937&amp;" "&amp;H937&amp;" "&amp;I937&amp;" "&amp;M937&amp;" "&amp;N937&amp;" "&amp;T937))),ISNUMBER(SEARCH("bond",LOWER(F937&amp;" "&amp;H937&amp;" "&amp;I937&amp;" "&amp;M937&amp;" "&amp;N937&amp;" "&amp;T937))),ISNUMBER(SEARCH("transaction",LOWER(F937&amp;" "&amp;H937&amp;" "&amp;I937&amp;" "&amp;M937&amp;" "&amp;N937&amp;" "&amp;T937)))),"PRIVATE_REVIEW","PUBLIC_CANDIDATE"))</x:f>
        <x:v>PUBLIC_CANDIDATE</x:v>
      </x:c>
      <x:c r="AD937" s="12" t="str">
        <x:f>IF(AC937="PRIVATE_QUARANTINE","hacker_or_bank_trigger",IF(AC937="PRIVATE_REVIEW","finance_risk_trigger","none"))</x:f>
        <x:v>none</x:v>
      </x:c>
      <x:c r="AE937" s="12" t="str">
        <x:f>IF(AC937="PUBLIC_CANDIDATE","prepare_public_github_candidate",IF(AC937="PRIVATE_REVIEW","hold_for_private_review","quarantine_private_do_not_publish"))</x:f>
        <x:v>prepare_public_github_candidate</x:v>
      </x:c>
      <x:c r="AF937" s="12" t="str">
        <x:f>IF(AC937="PUBLIC_CANDIDATE","TIDELOCK + Lucerna",IF(AC937="PRIVATE_REVIEW","AtlasBrain + Lucerna","TIDELOCK + Lucerna + Human-root"))</x:f>
        <x:v>TIDELOCK + Lucerna</x:v>
      </x:c>
      <x:c r="AG937" s="12" t="str">
        <x:f>IF(AND(AC937="PUBLIC_CANDIDATE",U937&lt;&gt;"BLOCKED_PENDING_RECEIPT"),"READY_AFTER_RECEIPT","NOT_READY")</x:f>
        <x:v>NOT_READY</x:v>
      </x:c>
      <x:c r="AH937" s="12" t="str">
        <x:f>IF(AC937="PUBLIC_CANDIDATE","none",AD937)</x:f>
        <x:v>none</x:v>
      </x:c>
      <x:c r="AI937" s="12" t="str">
        <x:f>IF(AC937="PUBLIC_CANDIDATE","archive/public_candidates/"&amp;A937,"private_quarantine/"&amp;A937)</x:f>
        <x:v>archive/public_candidates/SWARM-07-H06-S12</x:v>
      </x:c>
      <x:c r="AJ937" s="12" t="str">
        <x:f>IF(AC937="PUBLIC_CANDIDATE","public by default; still not canon","private/hold; do not publish")</x:f>
        <x:v>public by default; still not canon</x:v>
      </x:c>
      <x:c r="AK937" s="12" t="str">
        <x:f>IF(AE937="prepare_public_github_candidate","add receipt/status then mirror","resolve blocker before any public GitHub action")</x:f>
        <x:v>add receipt/status then mirror</x:v>
      </x:c>
    </x:row>
    <x:row r="938">
      <x:c r="A938" s="15" t="str">
        <x:v>SWARM-07-H07-S01</x:v>
      </x:c>
      <x:c r="B938" s="15" t="str">
        <x:v>Domechild</x:v>
      </x:c>
      <x:c r="C938" s="15" t="str">
        <x:v>Planetarium lane builder</x:v>
      </x:c>
      <x:c r="D938" s="15" t="str">
        <x:v>Graph Node Proposals</x:v>
      </x:c>
      <x:c r="E938" s="15" t="str">
        <x:v>Notion</x:v>
      </x:c>
      <x:c r="F938" s="15" t="str">
        <x:v>Propose graph nodes for Notion — Domechild</x:v>
      </x:c>
      <x:c r="G938" s="15" t="str">
        <x:v>planetarium source packets / civic-science deltas</x:v>
      </x:c>
      <x:c r="H938" s="15" t="str">
        <x:v>source path + receipt + raw/export status + claim/edge/risk delta</x:v>
      </x:c>
      <x:c r="I938" s="15" t="str">
        <x:v>packet/SWARM-07-H07-S01</x:v>
      </x:c>
      <x:c r="J938" s="15" t="str">
        <x:v>TODO</x:v>
      </x:c>
      <x:c r="K938" s="15" t="str">
        <x:v>P0</x:v>
      </x:c>
      <x:c r="L938" s="15" t="str">
        <x:v>Done only when evidence is logged, contradiction search is noted, and boundary stamp remains non-canon unless ratified</x:v>
      </x:c>
      <x:c r="M938" s="15" t="str">
        <x:v>candidate / staging-only / not canon / not deployed / authority none</x:v>
      </x:c>
      <x:c r="N938" s="15" t="str">
        <x:v>Dispatch to Domechild: complete Graph Node Proposals x Notion; return deltas only, receipts required.</x:v>
      </x:c>
      <x:c r="O938" s="15" t="str">
        <x:v>AF-KG-H07-S01</x:v>
      </x:c>
      <x:c r="P938" s="15" t="str">
        <x:v>Unverified</x:v>
      </x:c>
      <x:c r="Q938" s="15" t="str">
        <x:v>Not checked</x:v>
      </x:c>
      <x:c r="R938" s="15" t="str"/>
      <x:c r="S938" s="15" t="str"/>
      <x:c r="T938" s="15" t="str">
        <x:v>Log first source path or blocker</x:v>
      </x:c>
      <x:c r="U938" s="12" t="str">
        <x:f>IF(OR(P938="Unverified",Q938="Not checked"),"BLOCKED_PENDING_RECEIPT","READY_FOR_REVIEW")</x:f>
        <x:v>BLOCKED_PENDING_RECEIPT</x:v>
      </x:c>
      <x:c r="V938" s="12" t="str">
        <x:f>IF(J938="DONE","RETURNED",IF(U938="BLOCKED_PENDING_RECEIPT","SOURCE_TOUCH_REQUIRED","IN_PROGRESS"))</x:f>
        <x:v>SOURCE_TOUCH_REQUIRED</x:v>
      </x:c>
      <x:c r="W938" s="12" t="str">
        <x:f>IF(P938="Unverified","missing_receipt","receipt_logged")</x:f>
        <x:v>missing_receipt</x:v>
      </x:c>
      <x:c r="X938" s="12" t="str">
        <x:f>IF(Q938="Not checked","raw_status_missing","raw_status_logged")</x:f>
        <x:v>raw_status_missing</x:v>
      </x:c>
      <x:c r="Y938" s="12" t="str">
        <x:f>IF(U938="BLOCKED_PENDING_RECEIPT","Log source path or blocker; do not promote","Route to review lane")</x:f>
        <x:v>Log source path or blocker; do not promote</x:v>
      </x:c>
      <x:c r="Z938" s="12" t="str">
        <x:f>IF(K938="P0","Primary seat + Hashlight/Lucerna","Seat lane")</x:f>
        <x:v>Primary seat + Hashlight/Lucerna</x:v>
      </x:c>
      <x:c r="AA938" s="12" t="str">
        <x:f>IF(R938="","no_claim_delta","claim_delta_present")</x:f>
        <x:v>no_claim_delta</x:v>
      </x:c>
      <x:c r="AB938" s="12" t="str">
        <x:f>IF(S938="","no_contradiction_delta","contradiction_delta_present")</x:f>
        <x:v>no_contradiction_delta</x:v>
      </x:c>
      <x:c r="AC938" s="12" t="str">
        <x:f>IF(OR(ISNUMBER(SEARCH("hacker",LOWER(F938&amp;" "&amp;H938&amp;" "&amp;I938&amp;" "&amp;M938&amp;" "&amp;N938&amp;" "&amp;T938))),ISNUMBER(SEARCH("hacking",LOWER(F938&amp;" "&amp;H938&amp;" "&amp;I938&amp;" "&amp;M938&amp;" "&amp;N938&amp;" "&amp;T938))),ISNUMBER(SEARCH("bank",LOWER(F938&amp;" "&amp;H938&amp;" "&amp;I938&amp;" "&amp;M938&amp;" "&amp;N938&amp;" "&amp;T938))),ISNUMBER(SEARCH("banking",LOWER(F938&amp;" "&amp;H938&amp;" "&amp;I938&amp;" "&amp;M938&amp;" "&amp;N938&amp;" "&amp;T938)))),"PRIVATE_QUARANTINE",IF(OR(ISNUMBER(SEARCH("treasury",LOWER(F938&amp;" "&amp;H938&amp;" "&amp;I938&amp;" "&amp;M938&amp;" "&amp;N938&amp;" "&amp;T938))),ISNUMBER(SEARCH("debt",LOWER(F938&amp;" "&amp;H938&amp;" "&amp;I938&amp;" "&amp;M938&amp;" "&amp;N938&amp;" "&amp;T938))),ISNUMBER(SEARCH("bond",LOWER(F938&amp;" "&amp;H938&amp;" "&amp;I938&amp;" "&amp;M938&amp;" "&amp;N938&amp;" "&amp;T938))),ISNUMBER(SEARCH("transaction",LOWER(F938&amp;" "&amp;H938&amp;" "&amp;I938&amp;" "&amp;M938&amp;" "&amp;N938&amp;" "&amp;T938)))),"PRIVATE_REVIEW","PUBLIC_CANDIDATE"))</x:f>
        <x:v>PUBLIC_CANDIDATE</x:v>
      </x:c>
      <x:c r="AD938" s="12" t="str">
        <x:f>IF(AC938="PRIVATE_QUARANTINE","hacker_or_bank_trigger",IF(AC938="PRIVATE_REVIEW","finance_risk_trigger","none"))</x:f>
        <x:v>none</x:v>
      </x:c>
      <x:c r="AE938" s="12" t="str">
        <x:f>IF(AC938="PUBLIC_CANDIDATE","prepare_public_github_candidate",IF(AC938="PRIVATE_REVIEW","hold_for_private_review","quarantine_private_do_not_publish"))</x:f>
        <x:v>prepare_public_github_candidate</x:v>
      </x:c>
      <x:c r="AF938" s="12" t="str">
        <x:f>IF(AC938="PUBLIC_CANDIDATE","TIDELOCK + Lucerna",IF(AC938="PRIVATE_REVIEW","AtlasBrain + Lucerna","TIDELOCK + Lucerna + Human-root"))</x:f>
        <x:v>TIDELOCK + Lucerna</x:v>
      </x:c>
      <x:c r="AG938" s="12" t="str">
        <x:f>IF(AND(AC938="PUBLIC_CANDIDATE",U938&lt;&gt;"BLOCKED_PENDING_RECEIPT"),"READY_AFTER_RECEIPT","NOT_READY")</x:f>
        <x:v>NOT_READY</x:v>
      </x:c>
      <x:c r="AH938" s="12" t="str">
        <x:f>IF(AC938="PUBLIC_CANDIDATE","none",AD938)</x:f>
        <x:v>none</x:v>
      </x:c>
      <x:c r="AI938" s="12" t="str">
        <x:f>IF(AC938="PUBLIC_CANDIDATE","archive/public_candidates/"&amp;A938,"private_quarantine/"&amp;A938)</x:f>
        <x:v>archive/public_candidates/SWARM-07-H07-S01</x:v>
      </x:c>
      <x:c r="AJ938" s="12" t="str">
        <x:f>IF(AC938="PUBLIC_CANDIDATE","public by default; still not canon","private/hold; do not publish")</x:f>
        <x:v>public by default; still not canon</x:v>
      </x:c>
      <x:c r="AK938" s="12" t="str">
        <x:f>IF(AE938="prepare_public_github_candidate","add receipt/status then mirror","resolve blocker before any public GitHub action")</x:f>
        <x:v>add receipt/status then mirror</x:v>
      </x:c>
    </x:row>
    <x:row r="939">
      <x:c r="A939" s="15" t="str">
        <x:v>SWARM-07-H07-S02</x:v>
      </x:c>
      <x:c r="B939" s="15" t="str">
        <x:v>Domechild</x:v>
      </x:c>
      <x:c r="C939" s="15" t="str">
        <x:v>Planetarium lane builder</x:v>
      </x:c>
      <x:c r="D939" s="15" t="str">
        <x:v>Graph Node Proposals</x:v>
      </x:c>
      <x:c r="E939" s="15" t="str">
        <x:v>Drive</x:v>
      </x:c>
      <x:c r="F939" s="15" t="str">
        <x:v>Propose graph nodes for Drive — Domechild</x:v>
      </x:c>
      <x:c r="G939" s="15" t="str">
        <x:v>planetarium source packets / civic-science deltas</x:v>
      </x:c>
      <x:c r="H939" s="15" t="str">
        <x:v>source path + receipt + raw/export status + claim/edge/risk delta</x:v>
      </x:c>
      <x:c r="I939" s="15" t="str">
        <x:v>packet/SWARM-07-H07-S02</x:v>
      </x:c>
      <x:c r="J939" s="15" t="str">
        <x:v>TODO</x:v>
      </x:c>
      <x:c r="K939" s="15" t="str">
        <x:v>P0</x:v>
      </x:c>
      <x:c r="L939" s="15" t="str">
        <x:v>Done only when evidence is logged, contradiction search is noted, and boundary stamp remains non-canon unless ratified</x:v>
      </x:c>
      <x:c r="M939" s="15" t="str">
        <x:v>candidate / staging-only / not canon / not deployed / authority none</x:v>
      </x:c>
      <x:c r="N939" s="15" t="str">
        <x:v>Dispatch to Domechild: complete Graph Node Proposals x Drive; return deltas only, receipts required.</x:v>
      </x:c>
      <x:c r="O939" s="15" t="str">
        <x:v>AF-KG-H07-S02</x:v>
      </x:c>
      <x:c r="P939" s="15" t="str">
        <x:v>Unverified</x:v>
      </x:c>
      <x:c r="Q939" s="15" t="str">
        <x:v>Not checked</x:v>
      </x:c>
      <x:c r="R939" s="15" t="str"/>
      <x:c r="S939" s="15" t="str"/>
      <x:c r="T939" s="15" t="str">
        <x:v>Log first source path or blocker</x:v>
      </x:c>
      <x:c r="U939" s="12" t="str">
        <x:f>IF(OR(P939="Unverified",Q939="Not checked"),"BLOCKED_PENDING_RECEIPT","READY_FOR_REVIEW")</x:f>
        <x:v>BLOCKED_PENDING_RECEIPT</x:v>
      </x:c>
      <x:c r="V939" s="12" t="str">
        <x:f>IF(J939="DONE","RETURNED",IF(U939="BLOCKED_PENDING_RECEIPT","SOURCE_TOUCH_REQUIRED","IN_PROGRESS"))</x:f>
        <x:v>SOURCE_TOUCH_REQUIRED</x:v>
      </x:c>
      <x:c r="W939" s="12" t="str">
        <x:f>IF(P939="Unverified","missing_receipt","receipt_logged")</x:f>
        <x:v>missing_receipt</x:v>
      </x:c>
      <x:c r="X939" s="12" t="str">
        <x:f>IF(Q939="Not checked","raw_status_missing","raw_status_logged")</x:f>
        <x:v>raw_status_missing</x:v>
      </x:c>
      <x:c r="Y939" s="12" t="str">
        <x:f>IF(U939="BLOCKED_PENDING_RECEIPT","Log source path or blocker; do not promote","Route to review lane")</x:f>
        <x:v>Log source path or blocker; do not promote</x:v>
      </x:c>
      <x:c r="Z939" s="12" t="str">
        <x:f>IF(K939="P0","Primary seat + Hashlight/Lucerna","Seat lane")</x:f>
        <x:v>Primary seat + Hashlight/Lucerna</x:v>
      </x:c>
      <x:c r="AA939" s="12" t="str">
        <x:f>IF(R939="","no_claim_delta","claim_delta_present")</x:f>
        <x:v>no_claim_delta</x:v>
      </x:c>
      <x:c r="AB939" s="12" t="str">
        <x:f>IF(S939="","no_contradiction_delta","contradiction_delta_present")</x:f>
        <x:v>no_contradiction_delta</x:v>
      </x:c>
      <x:c r="AC939" s="12" t="str">
        <x:f>IF(OR(ISNUMBER(SEARCH("hacker",LOWER(F939&amp;" "&amp;H939&amp;" "&amp;I939&amp;" "&amp;M939&amp;" "&amp;N939&amp;" "&amp;T939))),ISNUMBER(SEARCH("hacking",LOWER(F939&amp;" "&amp;H939&amp;" "&amp;I939&amp;" "&amp;M939&amp;" "&amp;N939&amp;" "&amp;T939))),ISNUMBER(SEARCH("bank",LOWER(F939&amp;" "&amp;H939&amp;" "&amp;I939&amp;" "&amp;M939&amp;" "&amp;N939&amp;" "&amp;T939))),ISNUMBER(SEARCH("banking",LOWER(F939&amp;" "&amp;H939&amp;" "&amp;I939&amp;" "&amp;M939&amp;" "&amp;N939&amp;" "&amp;T939)))),"PRIVATE_QUARANTINE",IF(OR(ISNUMBER(SEARCH("treasury",LOWER(F939&amp;" "&amp;H939&amp;" "&amp;I939&amp;" "&amp;M939&amp;" "&amp;N939&amp;" "&amp;T939))),ISNUMBER(SEARCH("debt",LOWER(F939&amp;" "&amp;H939&amp;" "&amp;I939&amp;" "&amp;M939&amp;" "&amp;N939&amp;" "&amp;T939))),ISNUMBER(SEARCH("bond",LOWER(F939&amp;" "&amp;H939&amp;" "&amp;I939&amp;" "&amp;M939&amp;" "&amp;N939&amp;" "&amp;T939))),ISNUMBER(SEARCH("transaction",LOWER(F939&amp;" "&amp;H939&amp;" "&amp;I939&amp;" "&amp;M939&amp;" "&amp;N939&amp;" "&amp;T939)))),"PRIVATE_REVIEW","PUBLIC_CANDIDATE"))</x:f>
        <x:v>PUBLIC_CANDIDATE</x:v>
      </x:c>
      <x:c r="AD939" s="12" t="str">
        <x:f>IF(AC939="PRIVATE_QUARANTINE","hacker_or_bank_trigger",IF(AC939="PRIVATE_REVIEW","finance_risk_trigger","none"))</x:f>
        <x:v>none</x:v>
      </x:c>
      <x:c r="AE939" s="12" t="str">
        <x:f>IF(AC939="PUBLIC_CANDIDATE","prepare_public_github_candidate",IF(AC939="PRIVATE_REVIEW","hold_for_private_review","quarantine_private_do_not_publish"))</x:f>
        <x:v>prepare_public_github_candidate</x:v>
      </x:c>
      <x:c r="AF939" s="12" t="str">
        <x:f>IF(AC939="PUBLIC_CANDIDATE","TIDELOCK + Lucerna",IF(AC939="PRIVATE_REVIEW","AtlasBrain + Lucerna","TIDELOCK + Lucerna + Human-root"))</x:f>
        <x:v>TIDELOCK + Lucerna</x:v>
      </x:c>
      <x:c r="AG939" s="12" t="str">
        <x:f>IF(AND(AC939="PUBLIC_CANDIDATE",U939&lt;&gt;"BLOCKED_PENDING_RECEIPT"),"READY_AFTER_RECEIPT","NOT_READY")</x:f>
        <x:v>NOT_READY</x:v>
      </x:c>
      <x:c r="AH939" s="12" t="str">
        <x:f>IF(AC939="PUBLIC_CANDIDATE","none",AD939)</x:f>
        <x:v>none</x:v>
      </x:c>
      <x:c r="AI939" s="12" t="str">
        <x:f>IF(AC939="PUBLIC_CANDIDATE","archive/public_candidates/"&amp;A939,"private_quarantine/"&amp;A939)</x:f>
        <x:v>archive/public_candidates/SWARM-07-H07-S02</x:v>
      </x:c>
      <x:c r="AJ939" s="12" t="str">
        <x:f>IF(AC939="PUBLIC_CANDIDATE","public by default; still not canon","private/hold; do not publish")</x:f>
        <x:v>public by default; still not canon</x:v>
      </x:c>
      <x:c r="AK939" s="12" t="str">
        <x:f>IF(AE939="prepare_public_github_candidate","add receipt/status then mirror","resolve blocker before any public GitHub action")</x:f>
        <x:v>add receipt/status then mirror</x:v>
      </x:c>
    </x:row>
    <x:row r="940">
      <x:c r="A940" s="15" t="str">
        <x:v>SWARM-07-H07-S03</x:v>
      </x:c>
      <x:c r="B940" s="15" t="str">
        <x:v>Domechild</x:v>
      </x:c>
      <x:c r="C940" s="15" t="str">
        <x:v>Planetarium lane builder</x:v>
      </x:c>
      <x:c r="D940" s="15" t="str">
        <x:v>Graph Node Proposals</x:v>
      </x:c>
      <x:c r="E940" s="15" t="str">
        <x:v>GitHub</x:v>
      </x:c>
      <x:c r="F940" s="15" t="str">
        <x:v>Propose graph nodes for GitHub — Domechild</x:v>
      </x:c>
      <x:c r="G940" s="15" t="str">
        <x:v>planetarium source packets / civic-science deltas</x:v>
      </x:c>
      <x:c r="H940" s="15" t="str">
        <x:v>source path + receipt + raw/export status + claim/edge/risk delta</x:v>
      </x:c>
      <x:c r="I940" s="15" t="str">
        <x:v>packet/SWARM-07-H07-S03</x:v>
      </x:c>
      <x:c r="J940" s="15" t="str">
        <x:v>TODO</x:v>
      </x:c>
      <x:c r="K940" s="15" t="str">
        <x:v>P0</x:v>
      </x:c>
      <x:c r="L940" s="15" t="str">
        <x:v>Done only when evidence is logged, contradiction search is noted, and boundary stamp remains non-canon unless ratified</x:v>
      </x:c>
      <x:c r="M940" s="15" t="str">
        <x:v>candidate / staging-only / not canon / not deployed / authority none</x:v>
      </x:c>
      <x:c r="N940" s="15" t="str">
        <x:v>Dispatch to Domechild: complete Graph Node Proposals x GitHub; return deltas only, receipts required.</x:v>
      </x:c>
      <x:c r="O940" s="15" t="str">
        <x:v>AF-KG-H07-S03</x:v>
      </x:c>
      <x:c r="P940" s="15" t="str">
        <x:v>Unverified</x:v>
      </x:c>
      <x:c r="Q940" s="15" t="str">
        <x:v>Not checked</x:v>
      </x:c>
      <x:c r="R940" s="15" t="str"/>
      <x:c r="S940" s="15" t="str"/>
      <x:c r="T940" s="15" t="str">
        <x:v>Log first source path or blocker</x:v>
      </x:c>
      <x:c r="U940" s="12" t="str">
        <x:f>IF(OR(P940="Unverified",Q940="Not checked"),"BLOCKED_PENDING_RECEIPT","READY_FOR_REVIEW")</x:f>
        <x:v>BLOCKED_PENDING_RECEIPT</x:v>
      </x:c>
      <x:c r="V940" s="12" t="str">
        <x:f>IF(J940="DONE","RETURNED",IF(U940="BLOCKED_PENDING_RECEIPT","SOURCE_TOUCH_REQUIRED","IN_PROGRESS"))</x:f>
        <x:v>SOURCE_TOUCH_REQUIRED</x:v>
      </x:c>
      <x:c r="W940" s="12" t="str">
        <x:f>IF(P940="Unverified","missing_receipt","receipt_logged")</x:f>
        <x:v>missing_receipt</x:v>
      </x:c>
      <x:c r="X940" s="12" t="str">
        <x:f>IF(Q940="Not checked","raw_status_missing","raw_status_logged")</x:f>
        <x:v>raw_status_missing</x:v>
      </x:c>
      <x:c r="Y940" s="12" t="str">
        <x:f>IF(U940="BLOCKED_PENDING_RECEIPT","Log source path or blocker; do not promote","Route to review lane")</x:f>
        <x:v>Log source path or blocker; do not promote</x:v>
      </x:c>
      <x:c r="Z940" s="12" t="str">
        <x:f>IF(K940="P0","Primary seat + Hashlight/Lucerna","Seat lane")</x:f>
        <x:v>Primary seat + Hashlight/Lucerna</x:v>
      </x:c>
      <x:c r="AA940" s="12" t="str">
        <x:f>IF(R940="","no_claim_delta","claim_delta_present")</x:f>
        <x:v>no_claim_delta</x:v>
      </x:c>
      <x:c r="AB940" s="12" t="str">
        <x:f>IF(S940="","no_contradiction_delta","contradiction_delta_present")</x:f>
        <x:v>no_contradiction_delta</x:v>
      </x:c>
      <x:c r="AC940" s="12" t="str">
        <x:f>IF(OR(ISNUMBER(SEARCH("hacker",LOWER(F940&amp;" "&amp;H940&amp;" "&amp;I940&amp;" "&amp;M940&amp;" "&amp;N940&amp;" "&amp;T940))),ISNUMBER(SEARCH("hacking",LOWER(F940&amp;" "&amp;H940&amp;" "&amp;I940&amp;" "&amp;M940&amp;" "&amp;N940&amp;" "&amp;T940))),ISNUMBER(SEARCH("bank",LOWER(F940&amp;" "&amp;H940&amp;" "&amp;I940&amp;" "&amp;M940&amp;" "&amp;N940&amp;" "&amp;T940))),ISNUMBER(SEARCH("banking",LOWER(F940&amp;" "&amp;H940&amp;" "&amp;I940&amp;" "&amp;M940&amp;" "&amp;N940&amp;" "&amp;T940)))),"PRIVATE_QUARANTINE",IF(OR(ISNUMBER(SEARCH("treasury",LOWER(F940&amp;" "&amp;H940&amp;" "&amp;I940&amp;" "&amp;M940&amp;" "&amp;N940&amp;" "&amp;T940))),ISNUMBER(SEARCH("debt",LOWER(F940&amp;" "&amp;H940&amp;" "&amp;I940&amp;" "&amp;M940&amp;" "&amp;N940&amp;" "&amp;T940))),ISNUMBER(SEARCH("bond",LOWER(F940&amp;" "&amp;H940&amp;" "&amp;I940&amp;" "&amp;M940&amp;" "&amp;N940&amp;" "&amp;T940))),ISNUMBER(SEARCH("transaction",LOWER(F940&amp;" "&amp;H940&amp;" "&amp;I940&amp;" "&amp;M940&amp;" "&amp;N940&amp;" "&amp;T940)))),"PRIVATE_REVIEW","PUBLIC_CANDIDATE"))</x:f>
        <x:v>PUBLIC_CANDIDATE</x:v>
      </x:c>
      <x:c r="AD940" s="12" t="str">
        <x:f>IF(AC940="PRIVATE_QUARANTINE","hacker_or_bank_trigger",IF(AC940="PRIVATE_REVIEW","finance_risk_trigger","none"))</x:f>
        <x:v>none</x:v>
      </x:c>
      <x:c r="AE940" s="12" t="str">
        <x:f>IF(AC940="PUBLIC_CANDIDATE","prepare_public_github_candidate",IF(AC940="PRIVATE_REVIEW","hold_for_private_review","quarantine_private_do_not_publish"))</x:f>
        <x:v>prepare_public_github_candidate</x:v>
      </x:c>
      <x:c r="AF940" s="12" t="str">
        <x:f>IF(AC940="PUBLIC_CANDIDATE","TIDELOCK + Lucerna",IF(AC940="PRIVATE_REVIEW","AtlasBrain + Lucerna","TIDELOCK + Lucerna + Human-root"))</x:f>
        <x:v>TIDELOCK + Lucerna</x:v>
      </x:c>
      <x:c r="AG940" s="12" t="str">
        <x:f>IF(AND(AC940="PUBLIC_CANDIDATE",U940&lt;&gt;"BLOCKED_PENDING_RECEIPT"),"READY_AFTER_RECEIPT","NOT_READY")</x:f>
        <x:v>NOT_READY</x:v>
      </x:c>
      <x:c r="AH940" s="12" t="str">
        <x:f>IF(AC940="PUBLIC_CANDIDATE","none",AD940)</x:f>
        <x:v>none</x:v>
      </x:c>
      <x:c r="AI940" s="12" t="str">
        <x:f>IF(AC940="PUBLIC_CANDIDATE","archive/public_candidates/"&amp;A940,"private_quarantine/"&amp;A940)</x:f>
        <x:v>archive/public_candidates/SWARM-07-H07-S03</x:v>
      </x:c>
      <x:c r="AJ940" s="12" t="str">
        <x:f>IF(AC940="PUBLIC_CANDIDATE","public by default; still not canon","private/hold; do not publish")</x:f>
        <x:v>public by default; still not canon</x:v>
      </x:c>
      <x:c r="AK940" s="12" t="str">
        <x:f>IF(AE940="prepare_public_github_candidate","add receipt/status then mirror","resolve blocker before any public GitHub action")</x:f>
        <x:v>add receipt/status then mirror</x:v>
      </x:c>
    </x:row>
    <x:row r="941">
      <x:c r="A941" s="15" t="str">
        <x:v>SWARM-07-H07-S04</x:v>
      </x:c>
      <x:c r="B941" s="15" t="str">
        <x:v>Domechild</x:v>
      </x:c>
      <x:c r="C941" s="15" t="str">
        <x:v>Planetarium lane builder</x:v>
      </x:c>
      <x:c r="D941" s="15" t="str">
        <x:v>Graph Node Proposals</x:v>
      </x:c>
      <x:c r="E941" s="15" t="str">
        <x:v>Gamma</x:v>
      </x:c>
      <x:c r="F941" s="15" t="str">
        <x:v>Propose graph nodes for Gamma — Domechild</x:v>
      </x:c>
      <x:c r="G941" s="15" t="str">
        <x:v>planetarium source packets / civic-science deltas</x:v>
      </x:c>
      <x:c r="H941" s="15" t="str">
        <x:v>source path + receipt + raw/export status + claim/edge/risk delta</x:v>
      </x:c>
      <x:c r="I941" s="15" t="str">
        <x:v>packet/SWARM-07-H07-S04</x:v>
      </x:c>
      <x:c r="J941" s="15" t="str">
        <x:v>TODO</x:v>
      </x:c>
      <x:c r="K941" s="15" t="str">
        <x:v>P1</x:v>
      </x:c>
      <x:c r="L941" s="15" t="str">
        <x:v>Done only when evidence is logged, contradiction search is noted, and boundary stamp remains non-canon unless ratified</x:v>
      </x:c>
      <x:c r="M941" s="15" t="str">
        <x:v>candidate / staging-only / not canon / not deployed / authority none</x:v>
      </x:c>
      <x:c r="N941" s="15" t="str">
        <x:v>Dispatch to Domechild: complete Graph Node Proposals x Gamma; return deltas only, receipts required.</x:v>
      </x:c>
      <x:c r="O941" s="15" t="str">
        <x:v>AF-KG-H07-S04</x:v>
      </x:c>
      <x:c r="P941" s="15" t="str">
        <x:v>Unverified</x:v>
      </x:c>
      <x:c r="Q941" s="15" t="str">
        <x:v>Not checked</x:v>
      </x:c>
      <x:c r="R941" s="15" t="str"/>
      <x:c r="S941" s="15" t="str"/>
      <x:c r="T941" s="15" t="str">
        <x:v>Log first source path or blocker</x:v>
      </x:c>
      <x:c r="U941" s="12" t="str">
        <x:f>IF(OR(P941="Unverified",Q941="Not checked"),"BLOCKED_PENDING_RECEIPT","READY_FOR_REVIEW")</x:f>
        <x:v>BLOCKED_PENDING_RECEIPT</x:v>
      </x:c>
      <x:c r="V941" s="12" t="str">
        <x:f>IF(J941="DONE","RETURNED",IF(U941="BLOCKED_PENDING_RECEIPT","SOURCE_TOUCH_REQUIRED","IN_PROGRESS"))</x:f>
        <x:v>SOURCE_TOUCH_REQUIRED</x:v>
      </x:c>
      <x:c r="W941" s="12" t="str">
        <x:f>IF(P941="Unverified","missing_receipt","receipt_logged")</x:f>
        <x:v>missing_receipt</x:v>
      </x:c>
      <x:c r="X941" s="12" t="str">
        <x:f>IF(Q941="Not checked","raw_status_missing","raw_status_logged")</x:f>
        <x:v>raw_status_missing</x:v>
      </x:c>
      <x:c r="Y941" s="12" t="str">
        <x:f>IF(U941="BLOCKED_PENDING_RECEIPT","Log source path or blocker; do not promote","Route to review lane")</x:f>
        <x:v>Log source path or blocker; do not promote</x:v>
      </x:c>
      <x:c r="Z941" s="12" t="str">
        <x:f>IF(K941="P0","Primary seat + Hashlight/Lucerna","Seat lane")</x:f>
        <x:v>Seat lane</x:v>
      </x:c>
      <x:c r="AA941" s="12" t="str">
        <x:f>IF(R941="","no_claim_delta","claim_delta_present")</x:f>
        <x:v>no_claim_delta</x:v>
      </x:c>
      <x:c r="AB941" s="12" t="str">
        <x:f>IF(S941="","no_contradiction_delta","contradiction_delta_present")</x:f>
        <x:v>no_contradiction_delta</x:v>
      </x:c>
      <x:c r="AC941" s="12" t="str">
        <x:f>IF(OR(ISNUMBER(SEARCH("hacker",LOWER(F941&amp;" "&amp;H941&amp;" "&amp;I941&amp;" "&amp;M941&amp;" "&amp;N941&amp;" "&amp;T941))),ISNUMBER(SEARCH("hacking",LOWER(F941&amp;" "&amp;H941&amp;" "&amp;I941&amp;" "&amp;M941&amp;" "&amp;N941&amp;" "&amp;T941))),ISNUMBER(SEARCH("bank",LOWER(F941&amp;" "&amp;H941&amp;" "&amp;I941&amp;" "&amp;M941&amp;" "&amp;N941&amp;" "&amp;T941))),ISNUMBER(SEARCH("banking",LOWER(F941&amp;" "&amp;H941&amp;" "&amp;I941&amp;" "&amp;M941&amp;" "&amp;N941&amp;" "&amp;T941)))),"PRIVATE_QUARANTINE",IF(OR(ISNUMBER(SEARCH("treasury",LOWER(F941&amp;" "&amp;H941&amp;" "&amp;I941&amp;" "&amp;M941&amp;" "&amp;N941&amp;" "&amp;T941))),ISNUMBER(SEARCH("debt",LOWER(F941&amp;" "&amp;H941&amp;" "&amp;I941&amp;" "&amp;M941&amp;" "&amp;N941&amp;" "&amp;T941))),ISNUMBER(SEARCH("bond",LOWER(F941&amp;" "&amp;H941&amp;" "&amp;I941&amp;" "&amp;M941&amp;" "&amp;N941&amp;" "&amp;T941))),ISNUMBER(SEARCH("transaction",LOWER(F941&amp;" "&amp;H941&amp;" "&amp;I941&amp;" "&amp;M941&amp;" "&amp;N941&amp;" "&amp;T941)))),"PRIVATE_REVIEW","PUBLIC_CANDIDATE"))</x:f>
        <x:v>PUBLIC_CANDIDATE</x:v>
      </x:c>
      <x:c r="AD941" s="12" t="str">
        <x:f>IF(AC941="PRIVATE_QUARANTINE","hacker_or_bank_trigger",IF(AC941="PRIVATE_REVIEW","finance_risk_trigger","none"))</x:f>
        <x:v>none</x:v>
      </x:c>
      <x:c r="AE941" s="12" t="str">
        <x:f>IF(AC941="PUBLIC_CANDIDATE","prepare_public_github_candidate",IF(AC941="PRIVATE_REVIEW","hold_for_private_review","quarantine_private_do_not_publish"))</x:f>
        <x:v>prepare_public_github_candidate</x:v>
      </x:c>
      <x:c r="AF941" s="12" t="str">
        <x:f>IF(AC941="PUBLIC_CANDIDATE","TIDELOCK + Lucerna",IF(AC941="PRIVATE_REVIEW","AtlasBrain + Lucerna","TIDELOCK + Lucerna + Human-root"))</x:f>
        <x:v>TIDELOCK + Lucerna</x:v>
      </x:c>
      <x:c r="AG941" s="12" t="str">
        <x:f>IF(AND(AC941="PUBLIC_CANDIDATE",U941&lt;&gt;"BLOCKED_PENDING_RECEIPT"),"READY_AFTER_RECEIPT","NOT_READY")</x:f>
        <x:v>NOT_READY</x:v>
      </x:c>
      <x:c r="AH941" s="12" t="str">
        <x:f>IF(AC941="PUBLIC_CANDIDATE","none",AD941)</x:f>
        <x:v>none</x:v>
      </x:c>
      <x:c r="AI941" s="12" t="str">
        <x:f>IF(AC941="PUBLIC_CANDIDATE","archive/public_candidates/"&amp;A941,"private_quarantine/"&amp;A941)</x:f>
        <x:v>archive/public_candidates/SWARM-07-H07-S04</x:v>
      </x:c>
      <x:c r="AJ941" s="12" t="str">
        <x:f>IF(AC941="PUBLIC_CANDIDATE","public by default; still not canon","private/hold; do not publish")</x:f>
        <x:v>public by default; still not canon</x:v>
      </x:c>
      <x:c r="AK941" s="12" t="str">
        <x:f>IF(AE941="prepare_public_github_candidate","add receipt/status then mirror","resolve blocker before any public GitHub action")</x:f>
        <x:v>add receipt/status then mirror</x:v>
      </x:c>
    </x:row>
    <x:row r="942">
      <x:c r="A942" s="15" t="str">
        <x:v>SWARM-07-H07-S05</x:v>
      </x:c>
      <x:c r="B942" s="15" t="str">
        <x:v>Domechild</x:v>
      </x:c>
      <x:c r="C942" s="15" t="str">
        <x:v>Planetarium lane builder</x:v>
      </x:c>
      <x:c r="D942" s="15" t="str">
        <x:v>Graph Node Proposals</x:v>
      </x:c>
      <x:c r="E942" s="15" t="str">
        <x:v>Chat</x:v>
      </x:c>
      <x:c r="F942" s="15" t="str">
        <x:v>Propose graph nodes for Chat — Domechild</x:v>
      </x:c>
      <x:c r="G942" s="15" t="str">
        <x:v>planetarium source packets / civic-science deltas</x:v>
      </x:c>
      <x:c r="H942" s="15" t="str">
        <x:v>source path + receipt + raw/export status + claim/edge/risk delta</x:v>
      </x:c>
      <x:c r="I942" s="15" t="str">
        <x:v>packet/SWARM-07-H07-S05</x:v>
      </x:c>
      <x:c r="J942" s="15" t="str">
        <x:v>TODO</x:v>
      </x:c>
      <x:c r="K942" s="15" t="str">
        <x:v>P1</x:v>
      </x:c>
      <x:c r="L942" s="15" t="str">
        <x:v>Done only when evidence is logged, contradiction search is noted, and boundary stamp remains non-canon unless ratified</x:v>
      </x:c>
      <x:c r="M942" s="15" t="str">
        <x:v>candidate / staging-only / not canon / not deployed / authority none</x:v>
      </x:c>
      <x:c r="N942" s="15" t="str">
        <x:v>Dispatch to Domechild: complete Graph Node Proposals x Chat; return deltas only, receipts required.</x:v>
      </x:c>
      <x:c r="O942" s="15" t="str">
        <x:v>AF-KG-H07-S05</x:v>
      </x:c>
      <x:c r="P942" s="15" t="str">
        <x:v>Unverified</x:v>
      </x:c>
      <x:c r="Q942" s="15" t="str">
        <x:v>Not checked</x:v>
      </x:c>
      <x:c r="R942" s="15" t="str"/>
      <x:c r="S942" s="15" t="str"/>
      <x:c r="T942" s="15" t="str">
        <x:v>Log first source path or blocker</x:v>
      </x:c>
      <x:c r="U942" s="12" t="str">
        <x:f>IF(OR(P942="Unverified",Q942="Not checked"),"BLOCKED_PENDING_RECEIPT","READY_FOR_REVIEW")</x:f>
        <x:v>BLOCKED_PENDING_RECEIPT</x:v>
      </x:c>
      <x:c r="V942" s="12" t="str">
        <x:f>IF(J942="DONE","RETURNED",IF(U942="BLOCKED_PENDING_RECEIPT","SOURCE_TOUCH_REQUIRED","IN_PROGRESS"))</x:f>
        <x:v>SOURCE_TOUCH_REQUIRED</x:v>
      </x:c>
      <x:c r="W942" s="12" t="str">
        <x:f>IF(P942="Unverified","missing_receipt","receipt_logged")</x:f>
        <x:v>missing_receipt</x:v>
      </x:c>
      <x:c r="X942" s="12" t="str">
        <x:f>IF(Q942="Not checked","raw_status_missing","raw_status_logged")</x:f>
        <x:v>raw_status_missing</x:v>
      </x:c>
      <x:c r="Y942" s="12" t="str">
        <x:f>IF(U942="BLOCKED_PENDING_RECEIPT","Log source path or blocker; do not promote","Route to review lane")</x:f>
        <x:v>Log source path or blocker; do not promote</x:v>
      </x:c>
      <x:c r="Z942" s="12" t="str">
        <x:f>IF(K942="P0","Primary seat + Hashlight/Lucerna","Seat lane")</x:f>
        <x:v>Seat lane</x:v>
      </x:c>
      <x:c r="AA942" s="12" t="str">
        <x:f>IF(R942="","no_claim_delta","claim_delta_present")</x:f>
        <x:v>no_claim_delta</x:v>
      </x:c>
      <x:c r="AB942" s="12" t="str">
        <x:f>IF(S942="","no_contradiction_delta","contradiction_delta_present")</x:f>
        <x:v>no_contradiction_delta</x:v>
      </x:c>
      <x:c r="AC942" s="12" t="str">
        <x:f>IF(OR(ISNUMBER(SEARCH("hacker",LOWER(F942&amp;" "&amp;H942&amp;" "&amp;I942&amp;" "&amp;M942&amp;" "&amp;N942&amp;" "&amp;T942))),ISNUMBER(SEARCH("hacking",LOWER(F942&amp;" "&amp;H942&amp;" "&amp;I942&amp;" "&amp;M942&amp;" "&amp;N942&amp;" "&amp;T942))),ISNUMBER(SEARCH("bank",LOWER(F942&amp;" "&amp;H942&amp;" "&amp;I942&amp;" "&amp;M942&amp;" "&amp;N942&amp;" "&amp;T942))),ISNUMBER(SEARCH("banking",LOWER(F942&amp;" "&amp;H942&amp;" "&amp;I942&amp;" "&amp;M942&amp;" "&amp;N942&amp;" "&amp;T942)))),"PRIVATE_QUARANTINE",IF(OR(ISNUMBER(SEARCH("treasury",LOWER(F942&amp;" "&amp;H942&amp;" "&amp;I942&amp;" "&amp;M942&amp;" "&amp;N942&amp;" "&amp;T942))),ISNUMBER(SEARCH("debt",LOWER(F942&amp;" "&amp;H942&amp;" "&amp;I942&amp;" "&amp;M942&amp;" "&amp;N942&amp;" "&amp;T942))),ISNUMBER(SEARCH("bond",LOWER(F942&amp;" "&amp;H942&amp;" "&amp;I942&amp;" "&amp;M942&amp;" "&amp;N942&amp;" "&amp;T942))),ISNUMBER(SEARCH("transaction",LOWER(F942&amp;" "&amp;H942&amp;" "&amp;I942&amp;" "&amp;M942&amp;" "&amp;N942&amp;" "&amp;T942)))),"PRIVATE_REVIEW","PUBLIC_CANDIDATE"))</x:f>
        <x:v>PUBLIC_CANDIDATE</x:v>
      </x:c>
      <x:c r="AD942" s="12" t="str">
        <x:f>IF(AC942="PRIVATE_QUARANTINE","hacker_or_bank_trigger",IF(AC942="PRIVATE_REVIEW","finance_risk_trigger","none"))</x:f>
        <x:v>none</x:v>
      </x:c>
      <x:c r="AE942" s="12" t="str">
        <x:f>IF(AC942="PUBLIC_CANDIDATE","prepare_public_github_candidate",IF(AC942="PRIVATE_REVIEW","hold_for_private_review","quarantine_private_do_not_publish"))</x:f>
        <x:v>prepare_public_github_candidate</x:v>
      </x:c>
      <x:c r="AF942" s="12" t="str">
        <x:f>IF(AC942="PUBLIC_CANDIDATE","TIDELOCK + Lucerna",IF(AC942="PRIVATE_REVIEW","AtlasBrain + Lucerna","TIDELOCK + Lucerna + Human-root"))</x:f>
        <x:v>TIDELOCK + Lucerna</x:v>
      </x:c>
      <x:c r="AG942" s="12" t="str">
        <x:f>IF(AND(AC942="PUBLIC_CANDIDATE",U942&lt;&gt;"BLOCKED_PENDING_RECEIPT"),"READY_AFTER_RECEIPT","NOT_READY")</x:f>
        <x:v>NOT_READY</x:v>
      </x:c>
      <x:c r="AH942" s="12" t="str">
        <x:f>IF(AC942="PUBLIC_CANDIDATE","none",AD942)</x:f>
        <x:v>none</x:v>
      </x:c>
      <x:c r="AI942" s="12" t="str">
        <x:f>IF(AC942="PUBLIC_CANDIDATE","archive/public_candidates/"&amp;A942,"private_quarantine/"&amp;A942)</x:f>
        <x:v>archive/public_candidates/SWARM-07-H07-S05</x:v>
      </x:c>
      <x:c r="AJ942" s="12" t="str">
        <x:f>IF(AC942="PUBLIC_CANDIDATE","public by default; still not canon","private/hold; do not publish")</x:f>
        <x:v>public by default; still not canon</x:v>
      </x:c>
      <x:c r="AK942" s="12" t="str">
        <x:f>IF(AE942="prepare_public_github_candidate","add receipt/status then mirror","resolve blocker before any public GitHub action")</x:f>
        <x:v>add receipt/status then mirror</x:v>
      </x:c>
    </x:row>
    <x:row r="943">
      <x:c r="A943" s="15" t="str">
        <x:v>SWARM-07-H07-S06</x:v>
      </x:c>
      <x:c r="B943" s="15" t="str">
        <x:v>Domechild</x:v>
      </x:c>
      <x:c r="C943" s="15" t="str">
        <x:v>Planetarium lane builder</x:v>
      </x:c>
      <x:c r="D943" s="15" t="str">
        <x:v>Graph Node Proposals</x:v>
      </x:c>
      <x:c r="E943" s="15" t="str">
        <x:v>External Web</x:v>
      </x:c>
      <x:c r="F943" s="15" t="str">
        <x:v>Propose graph nodes for External Web — Domechild</x:v>
      </x:c>
      <x:c r="G943" s="15" t="str">
        <x:v>planetarium source packets / civic-science deltas</x:v>
      </x:c>
      <x:c r="H943" s="15" t="str">
        <x:v>source path + receipt + raw/export status + claim/edge/risk delta</x:v>
      </x:c>
      <x:c r="I943" s="15" t="str">
        <x:v>packet/SWARM-07-H07-S06</x:v>
      </x:c>
      <x:c r="J943" s="15" t="str">
        <x:v>TODO</x:v>
      </x:c>
      <x:c r="K943" s="15" t="str">
        <x:v>P1</x:v>
      </x:c>
      <x:c r="L943" s="15" t="str">
        <x:v>Done only when evidence is logged, contradiction search is noted, and boundary stamp remains non-canon unless ratified</x:v>
      </x:c>
      <x:c r="M943" s="15" t="str">
        <x:v>candidate / staging-only / not canon / not deployed / authority none</x:v>
      </x:c>
      <x:c r="N943" s="15" t="str">
        <x:v>Dispatch to Domechild: complete Graph Node Proposals x External Web; return deltas only, receipts required.</x:v>
      </x:c>
      <x:c r="O943" s="15" t="str">
        <x:v>AF-KG-H07-S06</x:v>
      </x:c>
      <x:c r="P943" s="15" t="str">
        <x:v>Unverified</x:v>
      </x:c>
      <x:c r="Q943" s="15" t="str">
        <x:v>Not checked</x:v>
      </x:c>
      <x:c r="R943" s="15" t="str"/>
      <x:c r="S943" s="15" t="str"/>
      <x:c r="T943" s="15" t="str">
        <x:v>Log first source path or blocker</x:v>
      </x:c>
      <x:c r="U943" s="12" t="str">
        <x:f>IF(OR(P943="Unverified",Q943="Not checked"),"BLOCKED_PENDING_RECEIPT","READY_FOR_REVIEW")</x:f>
        <x:v>BLOCKED_PENDING_RECEIPT</x:v>
      </x:c>
      <x:c r="V943" s="12" t="str">
        <x:f>IF(J943="DONE","RETURNED",IF(U943="BLOCKED_PENDING_RECEIPT","SOURCE_TOUCH_REQUIRED","IN_PROGRESS"))</x:f>
        <x:v>SOURCE_TOUCH_REQUIRED</x:v>
      </x:c>
      <x:c r="W943" s="12" t="str">
        <x:f>IF(P943="Unverified","missing_receipt","receipt_logged")</x:f>
        <x:v>missing_receipt</x:v>
      </x:c>
      <x:c r="X943" s="12" t="str">
        <x:f>IF(Q943="Not checked","raw_status_missing","raw_status_logged")</x:f>
        <x:v>raw_status_missing</x:v>
      </x:c>
      <x:c r="Y943" s="12" t="str">
        <x:f>IF(U943="BLOCKED_PENDING_RECEIPT","Log source path or blocker; do not promote","Route to review lane")</x:f>
        <x:v>Log source path or blocker; do not promote</x:v>
      </x:c>
      <x:c r="Z943" s="12" t="str">
        <x:f>IF(K943="P0","Primary seat + Hashlight/Lucerna","Seat lane")</x:f>
        <x:v>Seat lane</x:v>
      </x:c>
      <x:c r="AA943" s="12" t="str">
        <x:f>IF(R943="","no_claim_delta","claim_delta_present")</x:f>
        <x:v>no_claim_delta</x:v>
      </x:c>
      <x:c r="AB943" s="12" t="str">
        <x:f>IF(S943="","no_contradiction_delta","contradiction_delta_present")</x:f>
        <x:v>no_contradiction_delta</x:v>
      </x:c>
      <x:c r="AC943" s="12" t="str">
        <x:f>IF(OR(ISNUMBER(SEARCH("hacker",LOWER(F943&amp;" "&amp;H943&amp;" "&amp;I943&amp;" "&amp;M943&amp;" "&amp;N943&amp;" "&amp;T943))),ISNUMBER(SEARCH("hacking",LOWER(F943&amp;" "&amp;H943&amp;" "&amp;I943&amp;" "&amp;M943&amp;" "&amp;N943&amp;" "&amp;T943))),ISNUMBER(SEARCH("bank",LOWER(F943&amp;" "&amp;H943&amp;" "&amp;I943&amp;" "&amp;M943&amp;" "&amp;N943&amp;" "&amp;T943))),ISNUMBER(SEARCH("banking",LOWER(F943&amp;" "&amp;H943&amp;" "&amp;I943&amp;" "&amp;M943&amp;" "&amp;N943&amp;" "&amp;T943)))),"PRIVATE_QUARANTINE",IF(OR(ISNUMBER(SEARCH("treasury",LOWER(F943&amp;" "&amp;H943&amp;" "&amp;I943&amp;" "&amp;M943&amp;" "&amp;N943&amp;" "&amp;T943))),ISNUMBER(SEARCH("debt",LOWER(F943&amp;" "&amp;H943&amp;" "&amp;I943&amp;" "&amp;M943&amp;" "&amp;N943&amp;" "&amp;T943))),ISNUMBER(SEARCH("bond",LOWER(F943&amp;" "&amp;H943&amp;" "&amp;I943&amp;" "&amp;M943&amp;" "&amp;N943&amp;" "&amp;T943))),ISNUMBER(SEARCH("transaction",LOWER(F943&amp;" "&amp;H943&amp;" "&amp;I943&amp;" "&amp;M943&amp;" "&amp;N943&amp;" "&amp;T943)))),"PRIVATE_REVIEW","PUBLIC_CANDIDATE"))</x:f>
        <x:v>PUBLIC_CANDIDATE</x:v>
      </x:c>
      <x:c r="AD943" s="12" t="str">
        <x:f>IF(AC943="PRIVATE_QUARANTINE","hacker_or_bank_trigger",IF(AC943="PRIVATE_REVIEW","finance_risk_trigger","none"))</x:f>
        <x:v>none</x:v>
      </x:c>
      <x:c r="AE943" s="12" t="str">
        <x:f>IF(AC943="PUBLIC_CANDIDATE","prepare_public_github_candidate",IF(AC943="PRIVATE_REVIEW","hold_for_private_review","quarantine_private_do_not_publish"))</x:f>
        <x:v>prepare_public_github_candidate</x:v>
      </x:c>
      <x:c r="AF943" s="12" t="str">
        <x:f>IF(AC943="PUBLIC_CANDIDATE","TIDELOCK + Lucerna",IF(AC943="PRIVATE_REVIEW","AtlasBrain + Lucerna","TIDELOCK + Lucerna + Human-root"))</x:f>
        <x:v>TIDELOCK + Lucerna</x:v>
      </x:c>
      <x:c r="AG943" s="12" t="str">
        <x:f>IF(AND(AC943="PUBLIC_CANDIDATE",U943&lt;&gt;"BLOCKED_PENDING_RECEIPT"),"READY_AFTER_RECEIPT","NOT_READY")</x:f>
        <x:v>NOT_READY</x:v>
      </x:c>
      <x:c r="AH943" s="12" t="str">
        <x:f>IF(AC943="PUBLIC_CANDIDATE","none",AD943)</x:f>
        <x:v>none</x:v>
      </x:c>
      <x:c r="AI943" s="12" t="str">
        <x:f>IF(AC943="PUBLIC_CANDIDATE","archive/public_candidates/"&amp;A943,"private_quarantine/"&amp;A943)</x:f>
        <x:v>archive/public_candidates/SWARM-07-H07-S06</x:v>
      </x:c>
      <x:c r="AJ943" s="12" t="str">
        <x:f>IF(AC943="PUBLIC_CANDIDATE","public by default; still not canon","private/hold; do not publish")</x:f>
        <x:v>public by default; still not canon</x:v>
      </x:c>
      <x:c r="AK943" s="12" t="str">
        <x:f>IF(AE943="prepare_public_github_candidate","add receipt/status then mirror","resolve blocker before any public GitHub action")</x:f>
        <x:v>add receipt/status then mirror</x:v>
      </x:c>
    </x:row>
    <x:row r="944">
      <x:c r="A944" s="15" t="str">
        <x:v>SWARM-07-H07-S07</x:v>
      </x:c>
      <x:c r="B944" s="15" t="str">
        <x:v>Domechild</x:v>
      </x:c>
      <x:c r="C944" s="15" t="str">
        <x:v>Planetarium lane builder</x:v>
      </x:c>
      <x:c r="D944" s="15" t="str">
        <x:v>Graph Node Proposals</x:v>
      </x:c>
      <x:c r="E944" s="15" t="str">
        <x:v>Planetarium</x:v>
      </x:c>
      <x:c r="F944" s="15" t="str">
        <x:v>Propose graph nodes for Planetarium — Domechild</x:v>
      </x:c>
      <x:c r="G944" s="15" t="str">
        <x:v>planetarium source packets / civic-science deltas</x:v>
      </x:c>
      <x:c r="H944" s="15" t="str">
        <x:v>source path + receipt + raw/export status + claim/edge/risk delta</x:v>
      </x:c>
      <x:c r="I944" s="15" t="str">
        <x:v>packet/SWARM-07-H07-S07</x:v>
      </x:c>
      <x:c r="J944" s="15" t="str">
        <x:v>TODO</x:v>
      </x:c>
      <x:c r="K944" s="15" t="str">
        <x:v>P1</x:v>
      </x:c>
      <x:c r="L944" s="15" t="str">
        <x:v>Done only when evidence is logged, contradiction search is noted, and boundary stamp remains non-canon unless ratified</x:v>
      </x:c>
      <x:c r="M944" s="15" t="str">
        <x:v>candidate / staging-only / not canon / not deployed / authority none</x:v>
      </x:c>
      <x:c r="N944" s="15" t="str">
        <x:v>Dispatch to Domechild: complete Graph Node Proposals x Planetarium; return deltas only, receipts required.</x:v>
      </x:c>
      <x:c r="O944" s="15" t="str">
        <x:v>AF-KG-H07-S07</x:v>
      </x:c>
      <x:c r="P944" s="15" t="str">
        <x:v>Unverified</x:v>
      </x:c>
      <x:c r="Q944" s="15" t="str">
        <x:v>Not checked</x:v>
      </x:c>
      <x:c r="R944" s="15" t="str"/>
      <x:c r="S944" s="15" t="str"/>
      <x:c r="T944" s="15" t="str">
        <x:v>Log first source path or blocker</x:v>
      </x:c>
      <x:c r="U944" s="12" t="str">
        <x:f>IF(OR(P944="Unverified",Q944="Not checked"),"BLOCKED_PENDING_RECEIPT","READY_FOR_REVIEW")</x:f>
        <x:v>BLOCKED_PENDING_RECEIPT</x:v>
      </x:c>
      <x:c r="V944" s="12" t="str">
        <x:f>IF(J944="DONE","RETURNED",IF(U944="BLOCKED_PENDING_RECEIPT","SOURCE_TOUCH_REQUIRED","IN_PROGRESS"))</x:f>
        <x:v>SOURCE_TOUCH_REQUIRED</x:v>
      </x:c>
      <x:c r="W944" s="12" t="str">
        <x:f>IF(P944="Unverified","missing_receipt","receipt_logged")</x:f>
        <x:v>missing_receipt</x:v>
      </x:c>
      <x:c r="X944" s="12" t="str">
        <x:f>IF(Q944="Not checked","raw_status_missing","raw_status_logged")</x:f>
        <x:v>raw_status_missing</x:v>
      </x:c>
      <x:c r="Y944" s="12" t="str">
        <x:f>IF(U944="BLOCKED_PENDING_RECEIPT","Log source path or blocker; do not promote","Route to review lane")</x:f>
        <x:v>Log source path or blocker; do not promote</x:v>
      </x:c>
      <x:c r="Z944" s="12" t="str">
        <x:f>IF(K944="P0","Primary seat + Hashlight/Lucerna","Seat lane")</x:f>
        <x:v>Seat lane</x:v>
      </x:c>
      <x:c r="AA944" s="12" t="str">
        <x:f>IF(R944="","no_claim_delta","claim_delta_present")</x:f>
        <x:v>no_claim_delta</x:v>
      </x:c>
      <x:c r="AB944" s="12" t="str">
        <x:f>IF(S944="","no_contradiction_delta","contradiction_delta_present")</x:f>
        <x:v>no_contradiction_delta</x:v>
      </x:c>
      <x:c r="AC944" s="12" t="str">
        <x:f>IF(OR(ISNUMBER(SEARCH("hacker",LOWER(F944&amp;" "&amp;H944&amp;" "&amp;I944&amp;" "&amp;M944&amp;" "&amp;N944&amp;" "&amp;T944))),ISNUMBER(SEARCH("hacking",LOWER(F944&amp;" "&amp;H944&amp;" "&amp;I944&amp;" "&amp;M944&amp;" "&amp;N944&amp;" "&amp;T944))),ISNUMBER(SEARCH("bank",LOWER(F944&amp;" "&amp;H944&amp;" "&amp;I944&amp;" "&amp;M944&amp;" "&amp;N944&amp;" "&amp;T944))),ISNUMBER(SEARCH("banking",LOWER(F944&amp;" "&amp;H944&amp;" "&amp;I944&amp;" "&amp;M944&amp;" "&amp;N944&amp;" "&amp;T944)))),"PRIVATE_QUARANTINE",IF(OR(ISNUMBER(SEARCH("treasury",LOWER(F944&amp;" "&amp;H944&amp;" "&amp;I944&amp;" "&amp;M944&amp;" "&amp;N944&amp;" "&amp;T944))),ISNUMBER(SEARCH("debt",LOWER(F944&amp;" "&amp;H944&amp;" "&amp;I944&amp;" "&amp;M944&amp;" "&amp;N944&amp;" "&amp;T944))),ISNUMBER(SEARCH("bond",LOWER(F944&amp;" "&amp;H944&amp;" "&amp;I944&amp;" "&amp;M944&amp;" "&amp;N944&amp;" "&amp;T944))),ISNUMBER(SEARCH("transaction",LOWER(F944&amp;" "&amp;H944&amp;" "&amp;I944&amp;" "&amp;M944&amp;" "&amp;N944&amp;" "&amp;T944)))),"PRIVATE_REVIEW","PUBLIC_CANDIDATE"))</x:f>
        <x:v>PUBLIC_CANDIDATE</x:v>
      </x:c>
      <x:c r="AD944" s="12" t="str">
        <x:f>IF(AC944="PRIVATE_QUARANTINE","hacker_or_bank_trigger",IF(AC944="PRIVATE_REVIEW","finance_risk_trigger","none"))</x:f>
        <x:v>none</x:v>
      </x:c>
      <x:c r="AE944" s="12" t="str">
        <x:f>IF(AC944="PUBLIC_CANDIDATE","prepare_public_github_candidate",IF(AC944="PRIVATE_REVIEW","hold_for_private_review","quarantine_private_do_not_publish"))</x:f>
        <x:v>prepare_public_github_candidate</x:v>
      </x:c>
      <x:c r="AF944" s="12" t="str">
        <x:f>IF(AC944="PUBLIC_CANDIDATE","TIDELOCK + Lucerna",IF(AC944="PRIVATE_REVIEW","AtlasBrain + Lucerna","TIDELOCK + Lucerna + Human-root"))</x:f>
        <x:v>TIDELOCK + Lucerna</x:v>
      </x:c>
      <x:c r="AG944" s="12" t="str">
        <x:f>IF(AND(AC944="PUBLIC_CANDIDATE",U944&lt;&gt;"BLOCKED_PENDING_RECEIPT"),"READY_AFTER_RECEIPT","NOT_READY")</x:f>
        <x:v>NOT_READY</x:v>
      </x:c>
      <x:c r="AH944" s="12" t="str">
        <x:f>IF(AC944="PUBLIC_CANDIDATE","none",AD944)</x:f>
        <x:v>none</x:v>
      </x:c>
      <x:c r="AI944" s="12" t="str">
        <x:f>IF(AC944="PUBLIC_CANDIDATE","archive/public_candidates/"&amp;A944,"private_quarantine/"&amp;A944)</x:f>
        <x:v>archive/public_candidates/SWARM-07-H07-S07</x:v>
      </x:c>
      <x:c r="AJ944" s="12" t="str">
        <x:f>IF(AC944="PUBLIC_CANDIDATE","public by default; still not canon","private/hold; do not publish")</x:f>
        <x:v>public by default; still not canon</x:v>
      </x:c>
      <x:c r="AK944" s="12" t="str">
        <x:f>IF(AE944="prepare_public_github_candidate","add receipt/status then mirror","resolve blocker before any public GitHub action")</x:f>
        <x:v>add receipt/status then mirror</x:v>
      </x:c>
    </x:row>
    <x:row r="945">
      <x:c r="A945" s="15" t="str">
        <x:v>SWARM-07-H07-S08</x:v>
      </x:c>
      <x:c r="B945" s="15" t="str">
        <x:v>Domechild</x:v>
      </x:c>
      <x:c r="C945" s="15" t="str">
        <x:v>Planetarium lane builder</x:v>
      </x:c>
      <x:c r="D945" s="15" t="str">
        <x:v>Graph Node Proposals</x:v>
      </x:c>
      <x:c r="E945" s="15" t="str">
        <x:v>Sheldonbrain</x:v>
      </x:c>
      <x:c r="F945" s="15" t="str">
        <x:v>Propose graph nodes for Sheldonbrain — Domechild</x:v>
      </x:c>
      <x:c r="G945" s="15" t="str">
        <x:v>planetarium source packets / civic-science deltas</x:v>
      </x:c>
      <x:c r="H945" s="15" t="str">
        <x:v>source path + receipt + raw/export status + claim/edge/risk delta</x:v>
      </x:c>
      <x:c r="I945" s="15" t="str">
        <x:v>packet/SWARM-07-H07-S08</x:v>
      </x:c>
      <x:c r="J945" s="15" t="str">
        <x:v>TODO</x:v>
      </x:c>
      <x:c r="K945" s="15" t="str">
        <x:v>P1</x:v>
      </x:c>
      <x:c r="L945" s="15" t="str">
        <x:v>Done only when evidence is logged, contradiction search is noted, and boundary stamp remains non-canon unless ratified</x:v>
      </x:c>
      <x:c r="M945" s="15" t="str">
        <x:v>candidate / staging-only / not canon / not deployed / authority none</x:v>
      </x:c>
      <x:c r="N945" s="15" t="str">
        <x:v>Dispatch to Domechild: complete Graph Node Proposals x Sheldonbrain; return deltas only, receipts required.</x:v>
      </x:c>
      <x:c r="O945" s="15" t="str">
        <x:v>AF-KG-H07-S08</x:v>
      </x:c>
      <x:c r="P945" s="15" t="str">
        <x:v>Unverified</x:v>
      </x:c>
      <x:c r="Q945" s="15" t="str">
        <x:v>Not checked</x:v>
      </x:c>
      <x:c r="R945" s="15" t="str"/>
      <x:c r="S945" s="15" t="str"/>
      <x:c r="T945" s="15" t="str">
        <x:v>Log first source path or blocker</x:v>
      </x:c>
      <x:c r="U945" s="12" t="str">
        <x:f>IF(OR(P945="Unverified",Q945="Not checked"),"BLOCKED_PENDING_RECEIPT","READY_FOR_REVIEW")</x:f>
        <x:v>BLOCKED_PENDING_RECEIPT</x:v>
      </x:c>
      <x:c r="V945" s="12" t="str">
        <x:f>IF(J945="DONE","RETURNED",IF(U945="BLOCKED_PENDING_RECEIPT","SOURCE_TOUCH_REQUIRED","IN_PROGRESS"))</x:f>
        <x:v>SOURCE_TOUCH_REQUIRED</x:v>
      </x:c>
      <x:c r="W945" s="12" t="str">
        <x:f>IF(P945="Unverified","missing_receipt","receipt_logged")</x:f>
        <x:v>missing_receipt</x:v>
      </x:c>
      <x:c r="X945" s="12" t="str">
        <x:f>IF(Q945="Not checked","raw_status_missing","raw_status_logged")</x:f>
        <x:v>raw_status_missing</x:v>
      </x:c>
      <x:c r="Y945" s="12" t="str">
        <x:f>IF(U945="BLOCKED_PENDING_RECEIPT","Log source path or blocker; do not promote","Route to review lane")</x:f>
        <x:v>Log source path or blocker; do not promote</x:v>
      </x:c>
      <x:c r="Z945" s="12" t="str">
        <x:f>IF(K945="P0","Primary seat + Hashlight/Lucerna","Seat lane")</x:f>
        <x:v>Seat lane</x:v>
      </x:c>
      <x:c r="AA945" s="12" t="str">
        <x:f>IF(R945="","no_claim_delta","claim_delta_present")</x:f>
        <x:v>no_claim_delta</x:v>
      </x:c>
      <x:c r="AB945" s="12" t="str">
        <x:f>IF(S945="","no_contradiction_delta","contradiction_delta_present")</x:f>
        <x:v>no_contradiction_delta</x:v>
      </x:c>
      <x:c r="AC945" s="12" t="str">
        <x:f>IF(OR(ISNUMBER(SEARCH("hacker",LOWER(F945&amp;" "&amp;H945&amp;" "&amp;I945&amp;" "&amp;M945&amp;" "&amp;N945&amp;" "&amp;T945))),ISNUMBER(SEARCH("hacking",LOWER(F945&amp;" "&amp;H945&amp;" "&amp;I945&amp;" "&amp;M945&amp;" "&amp;N945&amp;" "&amp;T945))),ISNUMBER(SEARCH("bank",LOWER(F945&amp;" "&amp;H945&amp;" "&amp;I945&amp;" "&amp;M945&amp;" "&amp;N945&amp;" "&amp;T945))),ISNUMBER(SEARCH("banking",LOWER(F945&amp;" "&amp;H945&amp;" "&amp;I945&amp;" "&amp;M945&amp;" "&amp;N945&amp;" "&amp;T945)))),"PRIVATE_QUARANTINE",IF(OR(ISNUMBER(SEARCH("treasury",LOWER(F945&amp;" "&amp;H945&amp;" "&amp;I945&amp;" "&amp;M945&amp;" "&amp;N945&amp;" "&amp;T945))),ISNUMBER(SEARCH("debt",LOWER(F945&amp;" "&amp;H945&amp;" "&amp;I945&amp;" "&amp;M945&amp;" "&amp;N945&amp;" "&amp;T945))),ISNUMBER(SEARCH("bond",LOWER(F945&amp;" "&amp;H945&amp;" "&amp;I945&amp;" "&amp;M945&amp;" "&amp;N945&amp;" "&amp;T945))),ISNUMBER(SEARCH("transaction",LOWER(F945&amp;" "&amp;H945&amp;" "&amp;I945&amp;" "&amp;M945&amp;" "&amp;N945&amp;" "&amp;T945)))),"PRIVATE_REVIEW","PUBLIC_CANDIDATE"))</x:f>
        <x:v>PUBLIC_CANDIDATE</x:v>
      </x:c>
      <x:c r="AD945" s="12" t="str">
        <x:f>IF(AC945="PRIVATE_QUARANTINE","hacker_or_bank_trigger",IF(AC945="PRIVATE_REVIEW","finance_risk_trigger","none"))</x:f>
        <x:v>none</x:v>
      </x:c>
      <x:c r="AE945" s="12" t="str">
        <x:f>IF(AC945="PUBLIC_CANDIDATE","prepare_public_github_candidate",IF(AC945="PRIVATE_REVIEW","hold_for_private_review","quarantine_private_do_not_publish"))</x:f>
        <x:v>prepare_public_github_candidate</x:v>
      </x:c>
      <x:c r="AF945" s="12" t="str">
        <x:f>IF(AC945="PUBLIC_CANDIDATE","TIDELOCK + Lucerna",IF(AC945="PRIVATE_REVIEW","AtlasBrain + Lucerna","TIDELOCK + Lucerna + Human-root"))</x:f>
        <x:v>TIDELOCK + Lucerna</x:v>
      </x:c>
      <x:c r="AG945" s="12" t="str">
        <x:f>IF(AND(AC945="PUBLIC_CANDIDATE",U945&lt;&gt;"BLOCKED_PENDING_RECEIPT"),"READY_AFTER_RECEIPT","NOT_READY")</x:f>
        <x:v>NOT_READY</x:v>
      </x:c>
      <x:c r="AH945" s="12" t="str">
        <x:f>IF(AC945="PUBLIC_CANDIDATE","none",AD945)</x:f>
        <x:v>none</x:v>
      </x:c>
      <x:c r="AI945" s="12" t="str">
        <x:f>IF(AC945="PUBLIC_CANDIDATE","archive/public_candidates/"&amp;A945,"private_quarantine/"&amp;A945)</x:f>
        <x:v>archive/public_candidates/SWARM-07-H07-S08</x:v>
      </x:c>
      <x:c r="AJ945" s="12" t="str">
        <x:f>IF(AC945="PUBLIC_CANDIDATE","public by default; still not canon","private/hold; do not publish")</x:f>
        <x:v>public by default; still not canon</x:v>
      </x:c>
      <x:c r="AK945" s="12" t="str">
        <x:f>IF(AE945="prepare_public_github_candidate","add receipt/status then mirror","resolve blocker before any public GitHub action")</x:f>
        <x:v>add receipt/status then mirror</x:v>
      </x:c>
    </x:row>
    <x:row r="946">
      <x:c r="A946" s="15" t="str">
        <x:v>SWARM-07-H07-S09</x:v>
      </x:c>
      <x:c r="B946" s="15" t="str">
        <x:v>Domechild</x:v>
      </x:c>
      <x:c r="C946" s="15" t="str">
        <x:v>Planetarium lane builder</x:v>
      </x:c>
      <x:c r="D946" s="15" t="str">
        <x:v>Graph Node Proposals</x:v>
      </x:c>
      <x:c r="E946" s="15" t="str">
        <x:v>Aetherforge</x:v>
      </x:c>
      <x:c r="F946" s="15" t="str">
        <x:v>Propose graph nodes for Aetherforge — Domechild</x:v>
      </x:c>
      <x:c r="G946" s="15" t="str">
        <x:v>planetarium source packets / civic-science deltas</x:v>
      </x:c>
      <x:c r="H946" s="15" t="str">
        <x:v>source path + receipt + raw/export status + claim/edge/risk delta</x:v>
      </x:c>
      <x:c r="I946" s="15" t="str">
        <x:v>packet/SWARM-07-H07-S09</x:v>
      </x:c>
      <x:c r="J946" s="15" t="str">
        <x:v>TODO</x:v>
      </x:c>
      <x:c r="K946" s="15" t="str">
        <x:v>P2</x:v>
      </x:c>
      <x:c r="L946" s="15" t="str">
        <x:v>Done only when evidence is logged, contradiction search is noted, and boundary stamp remains non-canon unless ratified</x:v>
      </x:c>
      <x:c r="M946" s="15" t="str">
        <x:v>candidate / staging-only / not canon / not deployed / authority none</x:v>
      </x:c>
      <x:c r="N946" s="15" t="str">
        <x:v>Dispatch to Domechild: complete Graph Node Proposals x Aetherforge; return deltas only, receipts required.</x:v>
      </x:c>
      <x:c r="O946" s="15" t="str">
        <x:v>AF-KG-H07-S09</x:v>
      </x:c>
      <x:c r="P946" s="15" t="str">
        <x:v>Unverified</x:v>
      </x:c>
      <x:c r="Q946" s="15" t="str">
        <x:v>Not checked</x:v>
      </x:c>
      <x:c r="R946" s="15" t="str"/>
      <x:c r="S946" s="15" t="str"/>
      <x:c r="T946" s="15" t="str">
        <x:v>Log first source path or blocker</x:v>
      </x:c>
      <x:c r="U946" s="12" t="str">
        <x:f>IF(OR(P946="Unverified",Q946="Not checked"),"BLOCKED_PENDING_RECEIPT","READY_FOR_REVIEW")</x:f>
        <x:v>BLOCKED_PENDING_RECEIPT</x:v>
      </x:c>
      <x:c r="V946" s="12" t="str">
        <x:f>IF(J946="DONE","RETURNED",IF(U946="BLOCKED_PENDING_RECEIPT","SOURCE_TOUCH_REQUIRED","IN_PROGRESS"))</x:f>
        <x:v>SOURCE_TOUCH_REQUIRED</x:v>
      </x:c>
      <x:c r="W946" s="12" t="str">
        <x:f>IF(P946="Unverified","missing_receipt","receipt_logged")</x:f>
        <x:v>missing_receipt</x:v>
      </x:c>
      <x:c r="X946" s="12" t="str">
        <x:f>IF(Q946="Not checked","raw_status_missing","raw_status_logged")</x:f>
        <x:v>raw_status_missing</x:v>
      </x:c>
      <x:c r="Y946" s="12" t="str">
        <x:f>IF(U946="BLOCKED_PENDING_RECEIPT","Log source path or blocker; do not promote","Route to review lane")</x:f>
        <x:v>Log source path or blocker; do not promote</x:v>
      </x:c>
      <x:c r="Z946" s="12" t="str">
        <x:f>IF(K946="P0","Primary seat + Hashlight/Lucerna","Seat lane")</x:f>
        <x:v>Seat lane</x:v>
      </x:c>
      <x:c r="AA946" s="12" t="str">
        <x:f>IF(R946="","no_claim_delta","claim_delta_present")</x:f>
        <x:v>no_claim_delta</x:v>
      </x:c>
      <x:c r="AB946" s="12" t="str">
        <x:f>IF(S946="","no_contradiction_delta","contradiction_delta_present")</x:f>
        <x:v>no_contradiction_delta</x:v>
      </x:c>
      <x:c r="AC946" s="12" t="str">
        <x:f>IF(OR(ISNUMBER(SEARCH("hacker",LOWER(F946&amp;" "&amp;H946&amp;" "&amp;I946&amp;" "&amp;M946&amp;" "&amp;N946&amp;" "&amp;T946))),ISNUMBER(SEARCH("hacking",LOWER(F946&amp;" "&amp;H946&amp;" "&amp;I946&amp;" "&amp;M946&amp;" "&amp;N946&amp;" "&amp;T946))),ISNUMBER(SEARCH("bank",LOWER(F946&amp;" "&amp;H946&amp;" "&amp;I946&amp;" "&amp;M946&amp;" "&amp;N946&amp;" "&amp;T946))),ISNUMBER(SEARCH("banking",LOWER(F946&amp;" "&amp;H946&amp;" "&amp;I946&amp;" "&amp;M946&amp;" "&amp;N946&amp;" "&amp;T946)))),"PRIVATE_QUARANTINE",IF(OR(ISNUMBER(SEARCH("treasury",LOWER(F946&amp;" "&amp;H946&amp;" "&amp;I946&amp;" "&amp;M946&amp;" "&amp;N946&amp;" "&amp;T946))),ISNUMBER(SEARCH("debt",LOWER(F946&amp;" "&amp;H946&amp;" "&amp;I946&amp;" "&amp;M946&amp;" "&amp;N946&amp;" "&amp;T946))),ISNUMBER(SEARCH("bond",LOWER(F946&amp;" "&amp;H946&amp;" "&amp;I946&amp;" "&amp;M946&amp;" "&amp;N946&amp;" "&amp;T946))),ISNUMBER(SEARCH("transaction",LOWER(F946&amp;" "&amp;H946&amp;" "&amp;I946&amp;" "&amp;M946&amp;" "&amp;N946&amp;" "&amp;T946)))),"PRIVATE_REVIEW","PUBLIC_CANDIDATE"))</x:f>
        <x:v>PUBLIC_CANDIDATE</x:v>
      </x:c>
      <x:c r="AD946" s="12" t="str">
        <x:f>IF(AC946="PRIVATE_QUARANTINE","hacker_or_bank_trigger",IF(AC946="PRIVATE_REVIEW","finance_risk_trigger","none"))</x:f>
        <x:v>none</x:v>
      </x:c>
      <x:c r="AE946" s="12" t="str">
        <x:f>IF(AC946="PUBLIC_CANDIDATE","prepare_public_github_candidate",IF(AC946="PRIVATE_REVIEW","hold_for_private_review","quarantine_private_do_not_publish"))</x:f>
        <x:v>prepare_public_github_candidate</x:v>
      </x:c>
      <x:c r="AF946" s="12" t="str">
        <x:f>IF(AC946="PUBLIC_CANDIDATE","TIDELOCK + Lucerna",IF(AC946="PRIVATE_REVIEW","AtlasBrain + Lucerna","TIDELOCK + Lucerna + Human-root"))</x:f>
        <x:v>TIDELOCK + Lucerna</x:v>
      </x:c>
      <x:c r="AG946" s="12" t="str">
        <x:f>IF(AND(AC946="PUBLIC_CANDIDATE",U946&lt;&gt;"BLOCKED_PENDING_RECEIPT"),"READY_AFTER_RECEIPT","NOT_READY")</x:f>
        <x:v>NOT_READY</x:v>
      </x:c>
      <x:c r="AH946" s="12" t="str">
        <x:f>IF(AC946="PUBLIC_CANDIDATE","none",AD946)</x:f>
        <x:v>none</x:v>
      </x:c>
      <x:c r="AI946" s="12" t="str">
        <x:f>IF(AC946="PUBLIC_CANDIDATE","archive/public_candidates/"&amp;A946,"private_quarantine/"&amp;A946)</x:f>
        <x:v>archive/public_candidates/SWARM-07-H07-S09</x:v>
      </x:c>
      <x:c r="AJ946" s="12" t="str">
        <x:f>IF(AC946="PUBLIC_CANDIDATE","public by default; still not canon","private/hold; do not publish")</x:f>
        <x:v>public by default; still not canon</x:v>
      </x:c>
      <x:c r="AK946" s="12" t="str">
        <x:f>IF(AE946="prepare_public_github_candidate","add receipt/status then mirror","resolve blocker before any public GitHub action")</x:f>
        <x:v>add receipt/status then mirror</x:v>
      </x:c>
    </x:row>
    <x:row r="947">
      <x:c r="A947" s="15" t="str">
        <x:v>SWARM-07-H07-S10</x:v>
      </x:c>
      <x:c r="B947" s="15" t="str">
        <x:v>Domechild</x:v>
      </x:c>
      <x:c r="C947" s="15" t="str">
        <x:v>Planetarium lane builder</x:v>
      </x:c>
      <x:c r="D947" s="15" t="str">
        <x:v>Graph Node Proposals</x:v>
      </x:c>
      <x:c r="E947" s="15" t="str">
        <x:v>Human-Root</x:v>
      </x:c>
      <x:c r="F947" s="15" t="str">
        <x:v>Propose graph nodes for Human-Root — Domechild</x:v>
      </x:c>
      <x:c r="G947" s="15" t="str">
        <x:v>planetarium source packets / civic-science deltas</x:v>
      </x:c>
      <x:c r="H947" s="15" t="str">
        <x:v>source path + receipt + raw/export status + claim/edge/risk delta</x:v>
      </x:c>
      <x:c r="I947" s="15" t="str">
        <x:v>packet/SWARM-07-H07-S10</x:v>
      </x:c>
      <x:c r="J947" s="15" t="str">
        <x:v>TODO</x:v>
      </x:c>
      <x:c r="K947" s="15" t="str">
        <x:v>P2</x:v>
      </x:c>
      <x:c r="L947" s="15" t="str">
        <x:v>Done only when evidence is logged, contradiction search is noted, and boundary stamp remains non-canon unless ratified</x:v>
      </x:c>
      <x:c r="M947" s="15" t="str">
        <x:v>candidate / staging-only / not canon / not deployed / authority none</x:v>
      </x:c>
      <x:c r="N947" s="15" t="str">
        <x:v>Dispatch to Domechild: complete Graph Node Proposals x Human-Root; return deltas only, receipts required.</x:v>
      </x:c>
      <x:c r="O947" s="15" t="str">
        <x:v>AF-KG-H07-S10</x:v>
      </x:c>
      <x:c r="P947" s="15" t="str">
        <x:v>Unverified</x:v>
      </x:c>
      <x:c r="Q947" s="15" t="str">
        <x:v>Not checked</x:v>
      </x:c>
      <x:c r="R947" s="15" t="str"/>
      <x:c r="S947" s="15" t="str"/>
      <x:c r="T947" s="15" t="str">
        <x:v>Log first source path or blocker</x:v>
      </x:c>
      <x:c r="U947" s="12" t="str">
        <x:f>IF(OR(P947="Unverified",Q947="Not checked"),"BLOCKED_PENDING_RECEIPT","READY_FOR_REVIEW")</x:f>
        <x:v>BLOCKED_PENDING_RECEIPT</x:v>
      </x:c>
      <x:c r="V947" s="12" t="str">
        <x:f>IF(J947="DONE","RETURNED",IF(U947="BLOCKED_PENDING_RECEIPT","SOURCE_TOUCH_REQUIRED","IN_PROGRESS"))</x:f>
        <x:v>SOURCE_TOUCH_REQUIRED</x:v>
      </x:c>
      <x:c r="W947" s="12" t="str">
        <x:f>IF(P947="Unverified","missing_receipt","receipt_logged")</x:f>
        <x:v>missing_receipt</x:v>
      </x:c>
      <x:c r="X947" s="12" t="str">
        <x:f>IF(Q947="Not checked","raw_status_missing","raw_status_logged")</x:f>
        <x:v>raw_status_missing</x:v>
      </x:c>
      <x:c r="Y947" s="12" t="str">
        <x:f>IF(U947="BLOCKED_PENDING_RECEIPT","Log source path or blocker; do not promote","Route to review lane")</x:f>
        <x:v>Log source path or blocker; do not promote</x:v>
      </x:c>
      <x:c r="Z947" s="12" t="str">
        <x:f>IF(K947="P0","Primary seat + Hashlight/Lucerna","Seat lane")</x:f>
        <x:v>Seat lane</x:v>
      </x:c>
      <x:c r="AA947" s="12" t="str">
        <x:f>IF(R947="","no_claim_delta","claim_delta_present")</x:f>
        <x:v>no_claim_delta</x:v>
      </x:c>
      <x:c r="AB947" s="12" t="str">
        <x:f>IF(S947="","no_contradiction_delta","contradiction_delta_present")</x:f>
        <x:v>no_contradiction_delta</x:v>
      </x:c>
      <x:c r="AC947" s="12" t="str">
        <x:f>IF(OR(ISNUMBER(SEARCH("hacker",LOWER(F947&amp;" "&amp;H947&amp;" "&amp;I947&amp;" "&amp;M947&amp;" "&amp;N947&amp;" "&amp;T947))),ISNUMBER(SEARCH("hacking",LOWER(F947&amp;" "&amp;H947&amp;" "&amp;I947&amp;" "&amp;M947&amp;" "&amp;N947&amp;" "&amp;T947))),ISNUMBER(SEARCH("bank",LOWER(F947&amp;" "&amp;H947&amp;" "&amp;I947&amp;" "&amp;M947&amp;" "&amp;N947&amp;" "&amp;T947))),ISNUMBER(SEARCH("banking",LOWER(F947&amp;" "&amp;H947&amp;" "&amp;I947&amp;" "&amp;M947&amp;" "&amp;N947&amp;" "&amp;T947)))),"PRIVATE_QUARANTINE",IF(OR(ISNUMBER(SEARCH("treasury",LOWER(F947&amp;" "&amp;H947&amp;" "&amp;I947&amp;" "&amp;M947&amp;" "&amp;N947&amp;" "&amp;T947))),ISNUMBER(SEARCH("debt",LOWER(F947&amp;" "&amp;H947&amp;" "&amp;I947&amp;" "&amp;M947&amp;" "&amp;N947&amp;" "&amp;T947))),ISNUMBER(SEARCH("bond",LOWER(F947&amp;" "&amp;H947&amp;" "&amp;I947&amp;" "&amp;M947&amp;" "&amp;N947&amp;" "&amp;T947))),ISNUMBER(SEARCH("transaction",LOWER(F947&amp;" "&amp;H947&amp;" "&amp;I947&amp;" "&amp;M947&amp;" "&amp;N947&amp;" "&amp;T947)))),"PRIVATE_REVIEW","PUBLIC_CANDIDATE"))</x:f>
        <x:v>PUBLIC_CANDIDATE</x:v>
      </x:c>
      <x:c r="AD947" s="12" t="str">
        <x:f>IF(AC947="PRIVATE_QUARANTINE","hacker_or_bank_trigger",IF(AC947="PRIVATE_REVIEW","finance_risk_trigger","none"))</x:f>
        <x:v>none</x:v>
      </x:c>
      <x:c r="AE947" s="12" t="str">
        <x:f>IF(AC947="PUBLIC_CANDIDATE","prepare_public_github_candidate",IF(AC947="PRIVATE_REVIEW","hold_for_private_review","quarantine_private_do_not_publish"))</x:f>
        <x:v>prepare_public_github_candidate</x:v>
      </x:c>
      <x:c r="AF947" s="12" t="str">
        <x:f>IF(AC947="PUBLIC_CANDIDATE","TIDELOCK + Lucerna",IF(AC947="PRIVATE_REVIEW","AtlasBrain + Lucerna","TIDELOCK + Lucerna + Human-root"))</x:f>
        <x:v>TIDELOCK + Lucerna</x:v>
      </x:c>
      <x:c r="AG947" s="12" t="str">
        <x:f>IF(AND(AC947="PUBLIC_CANDIDATE",U947&lt;&gt;"BLOCKED_PENDING_RECEIPT"),"READY_AFTER_RECEIPT","NOT_READY")</x:f>
        <x:v>NOT_READY</x:v>
      </x:c>
      <x:c r="AH947" s="12" t="str">
        <x:f>IF(AC947="PUBLIC_CANDIDATE","none",AD947)</x:f>
        <x:v>none</x:v>
      </x:c>
      <x:c r="AI947" s="12" t="str">
        <x:f>IF(AC947="PUBLIC_CANDIDATE","archive/public_candidates/"&amp;A947,"private_quarantine/"&amp;A947)</x:f>
        <x:v>archive/public_candidates/SWARM-07-H07-S10</x:v>
      </x:c>
      <x:c r="AJ947" s="12" t="str">
        <x:f>IF(AC947="PUBLIC_CANDIDATE","public by default; still not canon","private/hold; do not publish")</x:f>
        <x:v>public by default; still not canon</x:v>
      </x:c>
      <x:c r="AK947" s="12" t="str">
        <x:f>IF(AE947="prepare_public_github_candidate","add receipt/status then mirror","resolve blocker before any public GitHub action")</x:f>
        <x:v>add receipt/status then mirror</x:v>
      </x:c>
    </x:row>
    <x:row r="948">
      <x:c r="A948" s="15" t="str">
        <x:v>SWARM-07-H07-S11</x:v>
      </x:c>
      <x:c r="B948" s="15" t="str">
        <x:v>Domechild</x:v>
      </x:c>
      <x:c r="C948" s="15" t="str">
        <x:v>Planetarium lane builder</x:v>
      </x:c>
      <x:c r="D948" s="15" t="str">
        <x:v>Graph Node Proposals</x:v>
      </x:c>
      <x:c r="E948" s="15" t="str">
        <x:v>Automation</x:v>
      </x:c>
      <x:c r="F948" s="15" t="str">
        <x:v>Propose graph nodes for Automation — Domechild</x:v>
      </x:c>
      <x:c r="G948" s="15" t="str">
        <x:v>planetarium source packets / civic-science deltas</x:v>
      </x:c>
      <x:c r="H948" s="15" t="str">
        <x:v>source path + receipt + raw/export status + claim/edge/risk delta</x:v>
      </x:c>
      <x:c r="I948" s="15" t="str">
        <x:v>packet/SWARM-07-H07-S11</x:v>
      </x:c>
      <x:c r="J948" s="15" t="str">
        <x:v>TODO</x:v>
      </x:c>
      <x:c r="K948" s="15" t="str">
        <x:v>P2</x:v>
      </x:c>
      <x:c r="L948" s="15" t="str">
        <x:v>Done only when evidence is logged, contradiction search is noted, and boundary stamp remains non-canon unless ratified</x:v>
      </x:c>
      <x:c r="M948" s="15" t="str">
        <x:v>candidate / staging-only / not canon / not deployed / authority none</x:v>
      </x:c>
      <x:c r="N948" s="15" t="str">
        <x:v>Dispatch to Domechild: complete Graph Node Proposals x Automation; return deltas only, receipts required.</x:v>
      </x:c>
      <x:c r="O948" s="15" t="str">
        <x:v>AF-KG-H07-S11</x:v>
      </x:c>
      <x:c r="P948" s="15" t="str">
        <x:v>Unverified</x:v>
      </x:c>
      <x:c r="Q948" s="15" t="str">
        <x:v>Not checked</x:v>
      </x:c>
      <x:c r="R948" s="15" t="str"/>
      <x:c r="S948" s="15" t="str"/>
      <x:c r="T948" s="15" t="str">
        <x:v>Log first source path or blocker</x:v>
      </x:c>
      <x:c r="U948" s="12" t="str">
        <x:f>IF(OR(P948="Unverified",Q948="Not checked"),"BLOCKED_PENDING_RECEIPT","READY_FOR_REVIEW")</x:f>
        <x:v>BLOCKED_PENDING_RECEIPT</x:v>
      </x:c>
      <x:c r="V948" s="12" t="str">
        <x:f>IF(J948="DONE","RETURNED",IF(U948="BLOCKED_PENDING_RECEIPT","SOURCE_TOUCH_REQUIRED","IN_PROGRESS"))</x:f>
        <x:v>SOURCE_TOUCH_REQUIRED</x:v>
      </x:c>
      <x:c r="W948" s="12" t="str">
        <x:f>IF(P948="Unverified","missing_receipt","receipt_logged")</x:f>
        <x:v>missing_receipt</x:v>
      </x:c>
      <x:c r="X948" s="12" t="str">
        <x:f>IF(Q948="Not checked","raw_status_missing","raw_status_logged")</x:f>
        <x:v>raw_status_missing</x:v>
      </x:c>
      <x:c r="Y948" s="12" t="str">
        <x:f>IF(U948="BLOCKED_PENDING_RECEIPT","Log source path or blocker; do not promote","Route to review lane")</x:f>
        <x:v>Log source path or blocker; do not promote</x:v>
      </x:c>
      <x:c r="Z948" s="12" t="str">
        <x:f>IF(K948="P0","Primary seat + Hashlight/Lucerna","Seat lane")</x:f>
        <x:v>Seat lane</x:v>
      </x:c>
      <x:c r="AA948" s="12" t="str">
        <x:f>IF(R948="","no_claim_delta","claim_delta_present")</x:f>
        <x:v>no_claim_delta</x:v>
      </x:c>
      <x:c r="AB948" s="12" t="str">
        <x:f>IF(S948="","no_contradiction_delta","contradiction_delta_present")</x:f>
        <x:v>no_contradiction_delta</x:v>
      </x:c>
      <x:c r="AC948" s="12" t="str">
        <x:f>IF(OR(ISNUMBER(SEARCH("hacker",LOWER(F948&amp;" "&amp;H948&amp;" "&amp;I948&amp;" "&amp;M948&amp;" "&amp;N948&amp;" "&amp;T948))),ISNUMBER(SEARCH("hacking",LOWER(F948&amp;" "&amp;H948&amp;" "&amp;I948&amp;" "&amp;M948&amp;" "&amp;N948&amp;" "&amp;T948))),ISNUMBER(SEARCH("bank",LOWER(F948&amp;" "&amp;H948&amp;" "&amp;I948&amp;" "&amp;M948&amp;" "&amp;N948&amp;" "&amp;T948))),ISNUMBER(SEARCH("banking",LOWER(F948&amp;" "&amp;H948&amp;" "&amp;I948&amp;" "&amp;M948&amp;" "&amp;N948&amp;" "&amp;T948)))),"PRIVATE_QUARANTINE",IF(OR(ISNUMBER(SEARCH("treasury",LOWER(F948&amp;" "&amp;H948&amp;" "&amp;I948&amp;" "&amp;M948&amp;" "&amp;N948&amp;" "&amp;T948))),ISNUMBER(SEARCH("debt",LOWER(F948&amp;" "&amp;H948&amp;" "&amp;I948&amp;" "&amp;M948&amp;" "&amp;N948&amp;" "&amp;T948))),ISNUMBER(SEARCH("bond",LOWER(F948&amp;" "&amp;H948&amp;" "&amp;I948&amp;" "&amp;M948&amp;" "&amp;N948&amp;" "&amp;T948))),ISNUMBER(SEARCH("transaction",LOWER(F948&amp;" "&amp;H948&amp;" "&amp;I948&amp;" "&amp;M948&amp;" "&amp;N948&amp;" "&amp;T948)))),"PRIVATE_REVIEW","PUBLIC_CANDIDATE"))</x:f>
        <x:v>PUBLIC_CANDIDATE</x:v>
      </x:c>
      <x:c r="AD948" s="12" t="str">
        <x:f>IF(AC948="PRIVATE_QUARANTINE","hacker_or_bank_trigger",IF(AC948="PRIVATE_REVIEW","finance_risk_trigger","none"))</x:f>
        <x:v>none</x:v>
      </x:c>
      <x:c r="AE948" s="12" t="str">
        <x:f>IF(AC948="PUBLIC_CANDIDATE","prepare_public_github_candidate",IF(AC948="PRIVATE_REVIEW","hold_for_private_review","quarantine_private_do_not_publish"))</x:f>
        <x:v>prepare_public_github_candidate</x:v>
      </x:c>
      <x:c r="AF948" s="12" t="str">
        <x:f>IF(AC948="PUBLIC_CANDIDATE","TIDELOCK + Lucerna",IF(AC948="PRIVATE_REVIEW","AtlasBrain + Lucerna","TIDELOCK + Lucerna + Human-root"))</x:f>
        <x:v>TIDELOCK + Lucerna</x:v>
      </x:c>
      <x:c r="AG948" s="12" t="str">
        <x:f>IF(AND(AC948="PUBLIC_CANDIDATE",U948&lt;&gt;"BLOCKED_PENDING_RECEIPT"),"READY_AFTER_RECEIPT","NOT_READY")</x:f>
        <x:v>NOT_READY</x:v>
      </x:c>
      <x:c r="AH948" s="12" t="str">
        <x:f>IF(AC948="PUBLIC_CANDIDATE","none",AD948)</x:f>
        <x:v>none</x:v>
      </x:c>
      <x:c r="AI948" s="12" t="str">
        <x:f>IF(AC948="PUBLIC_CANDIDATE","archive/public_candidates/"&amp;A948,"private_quarantine/"&amp;A948)</x:f>
        <x:v>archive/public_candidates/SWARM-07-H07-S11</x:v>
      </x:c>
      <x:c r="AJ948" s="12" t="str">
        <x:f>IF(AC948="PUBLIC_CANDIDATE","public by default; still not canon","private/hold; do not publish")</x:f>
        <x:v>public by default; still not canon</x:v>
      </x:c>
      <x:c r="AK948" s="12" t="str">
        <x:f>IF(AE948="prepare_public_github_candidate","add receipt/status then mirror","resolve blocker before any public GitHub action")</x:f>
        <x:v>add receipt/status then mirror</x:v>
      </x:c>
    </x:row>
    <x:row r="949">
      <x:c r="A949" s="15" t="str">
        <x:v>SWARM-07-H07-S12</x:v>
      </x:c>
      <x:c r="B949" s="15" t="str">
        <x:v>Domechild</x:v>
      </x:c>
      <x:c r="C949" s="15" t="str">
        <x:v>Planetarium lane builder</x:v>
      </x:c>
      <x:c r="D949" s="15" t="str">
        <x:v>Graph Node Proposals</x:v>
      </x:c>
      <x:c r="E949" s="15" t="str">
        <x:v>Risk / Safety</x:v>
      </x:c>
      <x:c r="F949" s="15" t="str">
        <x:v>Propose graph nodes for Risk / Safety — Domechild</x:v>
      </x:c>
      <x:c r="G949" s="15" t="str">
        <x:v>planetarium source packets / civic-science deltas</x:v>
      </x:c>
      <x:c r="H949" s="15" t="str">
        <x:v>source path + receipt + raw/export status + claim/edge/risk delta</x:v>
      </x:c>
      <x:c r="I949" s="15" t="str">
        <x:v>packet/SWARM-07-H07-S12</x:v>
      </x:c>
      <x:c r="J949" s="15" t="str">
        <x:v>TODO</x:v>
      </x:c>
      <x:c r="K949" s="15" t="str">
        <x:v>P2</x:v>
      </x:c>
      <x:c r="L949" s="15" t="str">
        <x:v>Done only when evidence is logged, contradiction search is noted, and boundary stamp remains non-canon unless ratified</x:v>
      </x:c>
      <x:c r="M949" s="15" t="str">
        <x:v>candidate / staging-only / not canon / not deployed / authority none</x:v>
      </x:c>
      <x:c r="N949" s="15" t="str">
        <x:v>Dispatch to Domechild: complete Graph Node Proposals x Risk / Safety; return deltas only, receipts required.</x:v>
      </x:c>
      <x:c r="O949" s="15" t="str">
        <x:v>AF-KG-H07-S12</x:v>
      </x:c>
      <x:c r="P949" s="15" t="str">
        <x:v>Unverified</x:v>
      </x:c>
      <x:c r="Q949" s="15" t="str">
        <x:v>Not checked</x:v>
      </x:c>
      <x:c r="R949" s="15" t="str"/>
      <x:c r="S949" s="15" t="str"/>
      <x:c r="T949" s="15" t="str">
        <x:v>Log first source path or blocker</x:v>
      </x:c>
      <x:c r="U949" s="12" t="str">
        <x:f>IF(OR(P949="Unverified",Q949="Not checked"),"BLOCKED_PENDING_RECEIPT","READY_FOR_REVIEW")</x:f>
        <x:v>BLOCKED_PENDING_RECEIPT</x:v>
      </x:c>
      <x:c r="V949" s="12" t="str">
        <x:f>IF(J949="DONE","RETURNED",IF(U949="BLOCKED_PENDING_RECEIPT","SOURCE_TOUCH_REQUIRED","IN_PROGRESS"))</x:f>
        <x:v>SOURCE_TOUCH_REQUIRED</x:v>
      </x:c>
      <x:c r="W949" s="12" t="str">
        <x:f>IF(P949="Unverified","missing_receipt","receipt_logged")</x:f>
        <x:v>missing_receipt</x:v>
      </x:c>
      <x:c r="X949" s="12" t="str">
        <x:f>IF(Q949="Not checked","raw_status_missing","raw_status_logged")</x:f>
        <x:v>raw_status_missing</x:v>
      </x:c>
      <x:c r="Y949" s="12" t="str">
        <x:f>IF(U949="BLOCKED_PENDING_RECEIPT","Log source path or blocker; do not promote","Route to review lane")</x:f>
        <x:v>Log source path or blocker; do not promote</x:v>
      </x:c>
      <x:c r="Z949" s="12" t="str">
        <x:f>IF(K949="P0","Primary seat + Hashlight/Lucerna","Seat lane")</x:f>
        <x:v>Seat lane</x:v>
      </x:c>
      <x:c r="AA949" s="12" t="str">
        <x:f>IF(R949="","no_claim_delta","claim_delta_present")</x:f>
        <x:v>no_claim_delta</x:v>
      </x:c>
      <x:c r="AB949" s="12" t="str">
        <x:f>IF(S949="","no_contradiction_delta","contradiction_delta_present")</x:f>
        <x:v>no_contradiction_delta</x:v>
      </x:c>
      <x:c r="AC949" s="12" t="str">
        <x:f>IF(OR(ISNUMBER(SEARCH("hacker",LOWER(F949&amp;" "&amp;H949&amp;" "&amp;I949&amp;" "&amp;M949&amp;" "&amp;N949&amp;" "&amp;T949))),ISNUMBER(SEARCH("hacking",LOWER(F949&amp;" "&amp;H949&amp;" "&amp;I949&amp;" "&amp;M949&amp;" "&amp;N949&amp;" "&amp;T949))),ISNUMBER(SEARCH("bank",LOWER(F949&amp;" "&amp;H949&amp;" "&amp;I949&amp;" "&amp;M949&amp;" "&amp;N949&amp;" "&amp;T949))),ISNUMBER(SEARCH("banking",LOWER(F949&amp;" "&amp;H949&amp;" "&amp;I949&amp;" "&amp;M949&amp;" "&amp;N949&amp;" "&amp;T949)))),"PRIVATE_QUARANTINE",IF(OR(ISNUMBER(SEARCH("treasury",LOWER(F949&amp;" "&amp;H949&amp;" "&amp;I949&amp;" "&amp;M949&amp;" "&amp;N949&amp;" "&amp;T949))),ISNUMBER(SEARCH("debt",LOWER(F949&amp;" "&amp;H949&amp;" "&amp;I949&amp;" "&amp;M949&amp;" "&amp;N949&amp;" "&amp;T949))),ISNUMBER(SEARCH("bond",LOWER(F949&amp;" "&amp;H949&amp;" "&amp;I949&amp;" "&amp;M949&amp;" "&amp;N949&amp;" "&amp;T949))),ISNUMBER(SEARCH("transaction",LOWER(F949&amp;" "&amp;H949&amp;" "&amp;I949&amp;" "&amp;M949&amp;" "&amp;N949&amp;" "&amp;T949)))),"PRIVATE_REVIEW","PUBLIC_CANDIDATE"))</x:f>
        <x:v>PUBLIC_CANDIDATE</x:v>
      </x:c>
      <x:c r="AD949" s="12" t="str">
        <x:f>IF(AC949="PRIVATE_QUARANTINE","hacker_or_bank_trigger",IF(AC949="PRIVATE_REVIEW","finance_risk_trigger","none"))</x:f>
        <x:v>none</x:v>
      </x:c>
      <x:c r="AE949" s="12" t="str">
        <x:f>IF(AC949="PUBLIC_CANDIDATE","prepare_public_github_candidate",IF(AC949="PRIVATE_REVIEW","hold_for_private_review","quarantine_private_do_not_publish"))</x:f>
        <x:v>prepare_public_github_candidate</x:v>
      </x:c>
      <x:c r="AF949" s="12" t="str">
        <x:f>IF(AC949="PUBLIC_CANDIDATE","TIDELOCK + Lucerna",IF(AC949="PRIVATE_REVIEW","AtlasBrain + Lucerna","TIDELOCK + Lucerna + Human-root"))</x:f>
        <x:v>TIDELOCK + Lucerna</x:v>
      </x:c>
      <x:c r="AG949" s="12" t="str">
        <x:f>IF(AND(AC949="PUBLIC_CANDIDATE",U949&lt;&gt;"BLOCKED_PENDING_RECEIPT"),"READY_AFTER_RECEIPT","NOT_READY")</x:f>
        <x:v>NOT_READY</x:v>
      </x:c>
      <x:c r="AH949" s="12" t="str">
        <x:f>IF(AC949="PUBLIC_CANDIDATE","none",AD949)</x:f>
        <x:v>none</x:v>
      </x:c>
      <x:c r="AI949" s="12" t="str">
        <x:f>IF(AC949="PUBLIC_CANDIDATE","archive/public_candidates/"&amp;A949,"private_quarantine/"&amp;A949)</x:f>
        <x:v>archive/public_candidates/SWARM-07-H07-S12</x:v>
      </x:c>
      <x:c r="AJ949" s="12" t="str">
        <x:f>IF(AC949="PUBLIC_CANDIDATE","public by default; still not canon","private/hold; do not publish")</x:f>
        <x:v>public by default; still not canon</x:v>
      </x:c>
      <x:c r="AK949" s="12" t="str">
        <x:f>IF(AE949="prepare_public_github_candidate","add receipt/status then mirror","resolve blocker before any public GitHub action")</x:f>
        <x:v>add receipt/status then mirror</x:v>
      </x:c>
    </x:row>
    <x:row r="950">
      <x:c r="A950" s="15" t="str">
        <x:v>SWARM-07-H08-S01</x:v>
      </x:c>
      <x:c r="B950" s="15" t="str">
        <x:v>Domechild</x:v>
      </x:c>
      <x:c r="C950" s="15" t="str">
        <x:v>Planetarium lane builder</x:v>
      </x:c>
      <x:c r="D950" s="15" t="str">
        <x:v>Graph Edge Proposals</x:v>
      </x:c>
      <x:c r="E950" s="15" t="str">
        <x:v>Notion</x:v>
      </x:c>
      <x:c r="F950" s="15" t="str">
        <x:v>Propose graph edges for Notion — Domechild</x:v>
      </x:c>
      <x:c r="G950" s="15" t="str">
        <x:v>planetarium source packets / civic-science deltas</x:v>
      </x:c>
      <x:c r="H950" s="15" t="str">
        <x:v>source path + receipt + raw/export status + claim/edge/risk delta</x:v>
      </x:c>
      <x:c r="I950" s="15" t="str">
        <x:v>packet/SWARM-07-H08-S01</x:v>
      </x:c>
      <x:c r="J950" s="15" t="str">
        <x:v>TODO</x:v>
      </x:c>
      <x:c r="K950" s="15" t="str">
        <x:v>P0</x:v>
      </x:c>
      <x:c r="L950" s="15" t="str">
        <x:v>Done only when evidence is logged, contradiction search is noted, and boundary stamp remains non-canon unless ratified</x:v>
      </x:c>
      <x:c r="M950" s="15" t="str">
        <x:v>candidate / staging-only / not canon / not deployed / authority none</x:v>
      </x:c>
      <x:c r="N950" s="15" t="str">
        <x:v>Dispatch to Domechild: complete Graph Edge Proposals x Notion; return deltas only, receipts required.</x:v>
      </x:c>
      <x:c r="O950" s="15" t="str">
        <x:v>AF-KG-H08-S01</x:v>
      </x:c>
      <x:c r="P950" s="15" t="str">
        <x:v>Unverified</x:v>
      </x:c>
      <x:c r="Q950" s="15" t="str">
        <x:v>Not checked</x:v>
      </x:c>
      <x:c r="R950" s="15" t="str"/>
      <x:c r="S950" s="15" t="str"/>
      <x:c r="T950" s="15" t="str">
        <x:v>Log first source path or blocker</x:v>
      </x:c>
      <x:c r="U950" s="12" t="str">
        <x:f>IF(OR(P950="Unverified",Q950="Not checked"),"BLOCKED_PENDING_RECEIPT","READY_FOR_REVIEW")</x:f>
        <x:v>BLOCKED_PENDING_RECEIPT</x:v>
      </x:c>
      <x:c r="V950" s="12" t="str">
        <x:f>IF(J950="DONE","RETURNED",IF(U950="BLOCKED_PENDING_RECEIPT","SOURCE_TOUCH_REQUIRED","IN_PROGRESS"))</x:f>
        <x:v>SOURCE_TOUCH_REQUIRED</x:v>
      </x:c>
      <x:c r="W950" s="12" t="str">
        <x:f>IF(P950="Unverified","missing_receipt","receipt_logged")</x:f>
        <x:v>missing_receipt</x:v>
      </x:c>
      <x:c r="X950" s="12" t="str">
        <x:f>IF(Q950="Not checked","raw_status_missing","raw_status_logged")</x:f>
        <x:v>raw_status_missing</x:v>
      </x:c>
      <x:c r="Y950" s="12" t="str">
        <x:f>IF(U950="BLOCKED_PENDING_RECEIPT","Log source path or blocker; do not promote","Route to review lane")</x:f>
        <x:v>Log source path or blocker; do not promote</x:v>
      </x:c>
      <x:c r="Z950" s="12" t="str">
        <x:f>IF(K950="P0","Primary seat + Hashlight/Lucerna","Seat lane")</x:f>
        <x:v>Primary seat + Hashlight/Lucerna</x:v>
      </x:c>
      <x:c r="AA950" s="12" t="str">
        <x:f>IF(R950="","no_claim_delta","claim_delta_present")</x:f>
        <x:v>no_claim_delta</x:v>
      </x:c>
      <x:c r="AB950" s="12" t="str">
        <x:f>IF(S950="","no_contradiction_delta","contradiction_delta_present")</x:f>
        <x:v>no_contradiction_delta</x:v>
      </x:c>
      <x:c r="AC950" s="12" t="str">
        <x:f>IF(OR(ISNUMBER(SEARCH("hacker",LOWER(F950&amp;" "&amp;H950&amp;" "&amp;I950&amp;" "&amp;M950&amp;" "&amp;N950&amp;" "&amp;T950))),ISNUMBER(SEARCH("hacking",LOWER(F950&amp;" "&amp;H950&amp;" "&amp;I950&amp;" "&amp;M950&amp;" "&amp;N950&amp;" "&amp;T950))),ISNUMBER(SEARCH("bank",LOWER(F950&amp;" "&amp;H950&amp;" "&amp;I950&amp;" "&amp;M950&amp;" "&amp;N950&amp;" "&amp;T950))),ISNUMBER(SEARCH("banking",LOWER(F950&amp;" "&amp;H950&amp;" "&amp;I950&amp;" "&amp;M950&amp;" "&amp;N950&amp;" "&amp;T950)))),"PRIVATE_QUARANTINE",IF(OR(ISNUMBER(SEARCH("treasury",LOWER(F950&amp;" "&amp;H950&amp;" "&amp;I950&amp;" "&amp;M950&amp;" "&amp;N950&amp;" "&amp;T950))),ISNUMBER(SEARCH("debt",LOWER(F950&amp;" "&amp;H950&amp;" "&amp;I950&amp;" "&amp;M950&amp;" "&amp;N950&amp;" "&amp;T950))),ISNUMBER(SEARCH("bond",LOWER(F950&amp;" "&amp;H950&amp;" "&amp;I950&amp;" "&amp;M950&amp;" "&amp;N950&amp;" "&amp;T950))),ISNUMBER(SEARCH("transaction",LOWER(F950&amp;" "&amp;H950&amp;" "&amp;I950&amp;" "&amp;M950&amp;" "&amp;N950&amp;" "&amp;T950)))),"PRIVATE_REVIEW","PUBLIC_CANDIDATE"))</x:f>
        <x:v>PUBLIC_CANDIDATE</x:v>
      </x:c>
      <x:c r="AD950" s="12" t="str">
        <x:f>IF(AC950="PRIVATE_QUARANTINE","hacker_or_bank_trigger",IF(AC950="PRIVATE_REVIEW","finance_risk_trigger","none"))</x:f>
        <x:v>none</x:v>
      </x:c>
      <x:c r="AE950" s="12" t="str">
        <x:f>IF(AC950="PUBLIC_CANDIDATE","prepare_public_github_candidate",IF(AC950="PRIVATE_REVIEW","hold_for_private_review","quarantine_private_do_not_publish"))</x:f>
        <x:v>prepare_public_github_candidate</x:v>
      </x:c>
      <x:c r="AF950" s="12" t="str">
        <x:f>IF(AC950="PUBLIC_CANDIDATE","TIDELOCK + Lucerna",IF(AC950="PRIVATE_REVIEW","AtlasBrain + Lucerna","TIDELOCK + Lucerna + Human-root"))</x:f>
        <x:v>TIDELOCK + Lucerna</x:v>
      </x:c>
      <x:c r="AG950" s="12" t="str">
        <x:f>IF(AND(AC950="PUBLIC_CANDIDATE",U950&lt;&gt;"BLOCKED_PENDING_RECEIPT"),"READY_AFTER_RECEIPT","NOT_READY")</x:f>
        <x:v>NOT_READY</x:v>
      </x:c>
      <x:c r="AH950" s="12" t="str">
        <x:f>IF(AC950="PUBLIC_CANDIDATE","none",AD950)</x:f>
        <x:v>none</x:v>
      </x:c>
      <x:c r="AI950" s="12" t="str">
        <x:f>IF(AC950="PUBLIC_CANDIDATE","archive/public_candidates/"&amp;A950,"private_quarantine/"&amp;A950)</x:f>
        <x:v>archive/public_candidates/SWARM-07-H08-S01</x:v>
      </x:c>
      <x:c r="AJ950" s="12" t="str">
        <x:f>IF(AC950="PUBLIC_CANDIDATE","public by default; still not canon","private/hold; do not publish")</x:f>
        <x:v>public by default; still not canon</x:v>
      </x:c>
      <x:c r="AK950" s="12" t="str">
        <x:f>IF(AE950="prepare_public_github_candidate","add receipt/status then mirror","resolve blocker before any public GitHub action")</x:f>
        <x:v>add receipt/status then mirror</x:v>
      </x:c>
    </x:row>
    <x:row r="951">
      <x:c r="A951" s="15" t="str">
        <x:v>SWARM-07-H08-S02</x:v>
      </x:c>
      <x:c r="B951" s="15" t="str">
        <x:v>Domechild</x:v>
      </x:c>
      <x:c r="C951" s="15" t="str">
        <x:v>Planetarium lane builder</x:v>
      </x:c>
      <x:c r="D951" s="15" t="str">
        <x:v>Graph Edge Proposals</x:v>
      </x:c>
      <x:c r="E951" s="15" t="str">
        <x:v>Drive</x:v>
      </x:c>
      <x:c r="F951" s="15" t="str">
        <x:v>Propose graph edges for Drive — Domechild</x:v>
      </x:c>
      <x:c r="G951" s="15" t="str">
        <x:v>planetarium source packets / civic-science deltas</x:v>
      </x:c>
      <x:c r="H951" s="15" t="str">
        <x:v>source path + receipt + raw/export status + claim/edge/risk delta</x:v>
      </x:c>
      <x:c r="I951" s="15" t="str">
        <x:v>packet/SWARM-07-H08-S02</x:v>
      </x:c>
      <x:c r="J951" s="15" t="str">
        <x:v>TODO</x:v>
      </x:c>
      <x:c r="K951" s="15" t="str">
        <x:v>P0</x:v>
      </x:c>
      <x:c r="L951" s="15" t="str">
        <x:v>Done only when evidence is logged, contradiction search is noted, and boundary stamp remains non-canon unless ratified</x:v>
      </x:c>
      <x:c r="M951" s="15" t="str">
        <x:v>candidate / staging-only / not canon / not deployed / authority none</x:v>
      </x:c>
      <x:c r="N951" s="15" t="str">
        <x:v>Dispatch to Domechild: complete Graph Edge Proposals x Drive; return deltas only, receipts required.</x:v>
      </x:c>
      <x:c r="O951" s="15" t="str">
        <x:v>AF-KG-H08-S02</x:v>
      </x:c>
      <x:c r="P951" s="15" t="str">
        <x:v>Unverified</x:v>
      </x:c>
      <x:c r="Q951" s="15" t="str">
        <x:v>Not checked</x:v>
      </x:c>
      <x:c r="R951" s="15" t="str"/>
      <x:c r="S951" s="15" t="str"/>
      <x:c r="T951" s="15" t="str">
        <x:v>Log first source path or blocker</x:v>
      </x:c>
      <x:c r="U951" s="12" t="str">
        <x:f>IF(OR(P951="Unverified",Q951="Not checked"),"BLOCKED_PENDING_RECEIPT","READY_FOR_REVIEW")</x:f>
        <x:v>BLOCKED_PENDING_RECEIPT</x:v>
      </x:c>
      <x:c r="V951" s="12" t="str">
        <x:f>IF(J951="DONE","RETURNED",IF(U951="BLOCKED_PENDING_RECEIPT","SOURCE_TOUCH_REQUIRED","IN_PROGRESS"))</x:f>
        <x:v>SOURCE_TOUCH_REQUIRED</x:v>
      </x:c>
      <x:c r="W951" s="12" t="str">
        <x:f>IF(P951="Unverified","missing_receipt","receipt_logged")</x:f>
        <x:v>missing_receipt</x:v>
      </x:c>
      <x:c r="X951" s="12" t="str">
        <x:f>IF(Q951="Not checked","raw_status_missing","raw_status_logged")</x:f>
        <x:v>raw_status_missing</x:v>
      </x:c>
      <x:c r="Y951" s="12" t="str">
        <x:f>IF(U951="BLOCKED_PENDING_RECEIPT","Log source path or blocker; do not promote","Route to review lane")</x:f>
        <x:v>Log source path or blocker; do not promote</x:v>
      </x:c>
      <x:c r="Z951" s="12" t="str">
        <x:f>IF(K951="P0","Primary seat + Hashlight/Lucerna","Seat lane")</x:f>
        <x:v>Primary seat + Hashlight/Lucerna</x:v>
      </x:c>
      <x:c r="AA951" s="12" t="str">
        <x:f>IF(R951="","no_claim_delta","claim_delta_present")</x:f>
        <x:v>no_claim_delta</x:v>
      </x:c>
      <x:c r="AB951" s="12" t="str">
        <x:f>IF(S951="","no_contradiction_delta","contradiction_delta_present")</x:f>
        <x:v>no_contradiction_delta</x:v>
      </x:c>
      <x:c r="AC951" s="12" t="str">
        <x:f>IF(OR(ISNUMBER(SEARCH("hacker",LOWER(F951&amp;" "&amp;H951&amp;" "&amp;I951&amp;" "&amp;M951&amp;" "&amp;N951&amp;" "&amp;T951))),ISNUMBER(SEARCH("hacking",LOWER(F951&amp;" "&amp;H951&amp;" "&amp;I951&amp;" "&amp;M951&amp;" "&amp;N951&amp;" "&amp;T951))),ISNUMBER(SEARCH("bank",LOWER(F951&amp;" "&amp;H951&amp;" "&amp;I951&amp;" "&amp;M951&amp;" "&amp;N951&amp;" "&amp;T951))),ISNUMBER(SEARCH("banking",LOWER(F951&amp;" "&amp;H951&amp;" "&amp;I951&amp;" "&amp;M951&amp;" "&amp;N951&amp;" "&amp;T951)))),"PRIVATE_QUARANTINE",IF(OR(ISNUMBER(SEARCH("treasury",LOWER(F951&amp;" "&amp;H951&amp;" "&amp;I951&amp;" "&amp;M951&amp;" "&amp;N951&amp;" "&amp;T951))),ISNUMBER(SEARCH("debt",LOWER(F951&amp;" "&amp;H951&amp;" "&amp;I951&amp;" "&amp;M951&amp;" "&amp;N951&amp;" "&amp;T951))),ISNUMBER(SEARCH("bond",LOWER(F951&amp;" "&amp;H951&amp;" "&amp;I951&amp;" "&amp;M951&amp;" "&amp;N951&amp;" "&amp;T951))),ISNUMBER(SEARCH("transaction",LOWER(F951&amp;" "&amp;H951&amp;" "&amp;I951&amp;" "&amp;M951&amp;" "&amp;N951&amp;" "&amp;T951)))),"PRIVATE_REVIEW","PUBLIC_CANDIDATE"))</x:f>
        <x:v>PUBLIC_CANDIDATE</x:v>
      </x:c>
      <x:c r="AD951" s="12" t="str">
        <x:f>IF(AC951="PRIVATE_QUARANTINE","hacker_or_bank_trigger",IF(AC951="PRIVATE_REVIEW","finance_risk_trigger","none"))</x:f>
        <x:v>none</x:v>
      </x:c>
      <x:c r="AE951" s="12" t="str">
        <x:f>IF(AC951="PUBLIC_CANDIDATE","prepare_public_github_candidate",IF(AC951="PRIVATE_REVIEW","hold_for_private_review","quarantine_private_do_not_publish"))</x:f>
        <x:v>prepare_public_github_candidate</x:v>
      </x:c>
      <x:c r="AF951" s="12" t="str">
        <x:f>IF(AC951="PUBLIC_CANDIDATE","TIDELOCK + Lucerna",IF(AC951="PRIVATE_REVIEW","AtlasBrain + Lucerna","TIDELOCK + Lucerna + Human-root"))</x:f>
        <x:v>TIDELOCK + Lucerna</x:v>
      </x:c>
      <x:c r="AG951" s="12" t="str">
        <x:f>IF(AND(AC951="PUBLIC_CANDIDATE",U951&lt;&gt;"BLOCKED_PENDING_RECEIPT"),"READY_AFTER_RECEIPT","NOT_READY")</x:f>
        <x:v>NOT_READY</x:v>
      </x:c>
      <x:c r="AH951" s="12" t="str">
        <x:f>IF(AC951="PUBLIC_CANDIDATE","none",AD951)</x:f>
        <x:v>none</x:v>
      </x:c>
      <x:c r="AI951" s="12" t="str">
        <x:f>IF(AC951="PUBLIC_CANDIDATE","archive/public_candidates/"&amp;A951,"private_quarantine/"&amp;A951)</x:f>
        <x:v>archive/public_candidates/SWARM-07-H08-S02</x:v>
      </x:c>
      <x:c r="AJ951" s="12" t="str">
        <x:f>IF(AC951="PUBLIC_CANDIDATE","public by default; still not canon","private/hold; do not publish")</x:f>
        <x:v>public by default; still not canon</x:v>
      </x:c>
      <x:c r="AK951" s="12" t="str">
        <x:f>IF(AE951="prepare_public_github_candidate","add receipt/status then mirror","resolve blocker before any public GitHub action")</x:f>
        <x:v>add receipt/status then mirror</x:v>
      </x:c>
    </x:row>
    <x:row r="952">
      <x:c r="A952" s="15" t="str">
        <x:v>SWARM-07-H08-S03</x:v>
      </x:c>
      <x:c r="B952" s="15" t="str">
        <x:v>Domechild</x:v>
      </x:c>
      <x:c r="C952" s="15" t="str">
        <x:v>Planetarium lane builder</x:v>
      </x:c>
      <x:c r="D952" s="15" t="str">
        <x:v>Graph Edge Proposals</x:v>
      </x:c>
      <x:c r="E952" s="15" t="str">
        <x:v>GitHub</x:v>
      </x:c>
      <x:c r="F952" s="15" t="str">
        <x:v>Propose graph edges for GitHub — Domechild</x:v>
      </x:c>
      <x:c r="G952" s="15" t="str">
        <x:v>planetarium source packets / civic-science deltas</x:v>
      </x:c>
      <x:c r="H952" s="15" t="str">
        <x:v>source path + receipt + raw/export status + claim/edge/risk delta</x:v>
      </x:c>
      <x:c r="I952" s="15" t="str">
        <x:v>packet/SWARM-07-H08-S03</x:v>
      </x:c>
      <x:c r="J952" s="15" t="str">
        <x:v>TODO</x:v>
      </x:c>
      <x:c r="K952" s="15" t="str">
        <x:v>P0</x:v>
      </x:c>
      <x:c r="L952" s="15" t="str">
        <x:v>Done only when evidence is logged, contradiction search is noted, and boundary stamp remains non-canon unless ratified</x:v>
      </x:c>
      <x:c r="M952" s="15" t="str">
        <x:v>candidate / staging-only / not canon / not deployed / authority none</x:v>
      </x:c>
      <x:c r="N952" s="15" t="str">
        <x:v>Dispatch to Domechild: complete Graph Edge Proposals x GitHub; return deltas only, receipts required.</x:v>
      </x:c>
      <x:c r="O952" s="15" t="str">
        <x:v>AF-KG-H08-S03</x:v>
      </x:c>
      <x:c r="P952" s="15" t="str">
        <x:v>Unverified</x:v>
      </x:c>
      <x:c r="Q952" s="15" t="str">
        <x:v>Not checked</x:v>
      </x:c>
      <x:c r="R952" s="15" t="str"/>
      <x:c r="S952" s="15" t="str"/>
      <x:c r="T952" s="15" t="str">
        <x:v>Log first source path or blocker</x:v>
      </x:c>
      <x:c r="U952" s="12" t="str">
        <x:f>IF(OR(P952="Unverified",Q952="Not checked"),"BLOCKED_PENDING_RECEIPT","READY_FOR_REVIEW")</x:f>
        <x:v>BLOCKED_PENDING_RECEIPT</x:v>
      </x:c>
      <x:c r="V952" s="12" t="str">
        <x:f>IF(J952="DONE","RETURNED",IF(U952="BLOCKED_PENDING_RECEIPT","SOURCE_TOUCH_REQUIRED","IN_PROGRESS"))</x:f>
        <x:v>SOURCE_TOUCH_REQUIRED</x:v>
      </x:c>
      <x:c r="W952" s="12" t="str">
        <x:f>IF(P952="Unverified","missing_receipt","receipt_logged")</x:f>
        <x:v>missing_receipt</x:v>
      </x:c>
      <x:c r="X952" s="12" t="str">
        <x:f>IF(Q952="Not checked","raw_status_missing","raw_status_logged")</x:f>
        <x:v>raw_status_missing</x:v>
      </x:c>
      <x:c r="Y952" s="12" t="str">
        <x:f>IF(U952="BLOCKED_PENDING_RECEIPT","Log source path or blocker; do not promote","Route to review lane")</x:f>
        <x:v>Log source path or blocker; do not promote</x:v>
      </x:c>
      <x:c r="Z952" s="12" t="str">
        <x:f>IF(K952="P0","Primary seat + Hashlight/Lucerna","Seat lane")</x:f>
        <x:v>Primary seat + Hashlight/Lucerna</x:v>
      </x:c>
      <x:c r="AA952" s="12" t="str">
        <x:f>IF(R952="","no_claim_delta","claim_delta_present")</x:f>
        <x:v>no_claim_delta</x:v>
      </x:c>
      <x:c r="AB952" s="12" t="str">
        <x:f>IF(S952="","no_contradiction_delta","contradiction_delta_present")</x:f>
        <x:v>no_contradiction_delta</x:v>
      </x:c>
      <x:c r="AC952" s="12" t="str">
        <x:f>IF(OR(ISNUMBER(SEARCH("hacker",LOWER(F952&amp;" "&amp;H952&amp;" "&amp;I952&amp;" "&amp;M952&amp;" "&amp;N952&amp;" "&amp;T952))),ISNUMBER(SEARCH("hacking",LOWER(F952&amp;" "&amp;H952&amp;" "&amp;I952&amp;" "&amp;M952&amp;" "&amp;N952&amp;" "&amp;T952))),ISNUMBER(SEARCH("bank",LOWER(F952&amp;" "&amp;H952&amp;" "&amp;I952&amp;" "&amp;M952&amp;" "&amp;N952&amp;" "&amp;T952))),ISNUMBER(SEARCH("banking",LOWER(F952&amp;" "&amp;H952&amp;" "&amp;I952&amp;" "&amp;M952&amp;" "&amp;N952&amp;" "&amp;T952)))),"PRIVATE_QUARANTINE",IF(OR(ISNUMBER(SEARCH("treasury",LOWER(F952&amp;" "&amp;H952&amp;" "&amp;I952&amp;" "&amp;M952&amp;" "&amp;N952&amp;" "&amp;T952))),ISNUMBER(SEARCH("debt",LOWER(F952&amp;" "&amp;H952&amp;" "&amp;I952&amp;" "&amp;M952&amp;" "&amp;N952&amp;" "&amp;T952))),ISNUMBER(SEARCH("bond",LOWER(F952&amp;" "&amp;H952&amp;" "&amp;I952&amp;" "&amp;M952&amp;" "&amp;N952&amp;" "&amp;T952))),ISNUMBER(SEARCH("transaction",LOWER(F952&amp;" "&amp;H952&amp;" "&amp;I952&amp;" "&amp;M952&amp;" "&amp;N952&amp;" "&amp;T952)))),"PRIVATE_REVIEW","PUBLIC_CANDIDATE"))</x:f>
        <x:v>PUBLIC_CANDIDATE</x:v>
      </x:c>
      <x:c r="AD952" s="12" t="str">
        <x:f>IF(AC952="PRIVATE_QUARANTINE","hacker_or_bank_trigger",IF(AC952="PRIVATE_REVIEW","finance_risk_trigger","none"))</x:f>
        <x:v>none</x:v>
      </x:c>
      <x:c r="AE952" s="12" t="str">
        <x:f>IF(AC952="PUBLIC_CANDIDATE","prepare_public_github_candidate",IF(AC952="PRIVATE_REVIEW","hold_for_private_review","quarantine_private_do_not_publish"))</x:f>
        <x:v>prepare_public_github_candidate</x:v>
      </x:c>
      <x:c r="AF952" s="12" t="str">
        <x:f>IF(AC952="PUBLIC_CANDIDATE","TIDELOCK + Lucerna",IF(AC952="PRIVATE_REVIEW","AtlasBrain + Lucerna","TIDELOCK + Lucerna + Human-root"))</x:f>
        <x:v>TIDELOCK + Lucerna</x:v>
      </x:c>
      <x:c r="AG952" s="12" t="str">
        <x:f>IF(AND(AC952="PUBLIC_CANDIDATE",U952&lt;&gt;"BLOCKED_PENDING_RECEIPT"),"READY_AFTER_RECEIPT","NOT_READY")</x:f>
        <x:v>NOT_READY</x:v>
      </x:c>
      <x:c r="AH952" s="12" t="str">
        <x:f>IF(AC952="PUBLIC_CANDIDATE","none",AD952)</x:f>
        <x:v>none</x:v>
      </x:c>
      <x:c r="AI952" s="12" t="str">
        <x:f>IF(AC952="PUBLIC_CANDIDATE","archive/public_candidates/"&amp;A952,"private_quarantine/"&amp;A952)</x:f>
        <x:v>archive/public_candidates/SWARM-07-H08-S03</x:v>
      </x:c>
      <x:c r="AJ952" s="12" t="str">
        <x:f>IF(AC952="PUBLIC_CANDIDATE","public by default; still not canon","private/hold; do not publish")</x:f>
        <x:v>public by default; still not canon</x:v>
      </x:c>
      <x:c r="AK952" s="12" t="str">
        <x:f>IF(AE952="prepare_public_github_candidate","add receipt/status then mirror","resolve blocker before any public GitHub action")</x:f>
        <x:v>add receipt/status then mirror</x:v>
      </x:c>
    </x:row>
    <x:row r="953">
      <x:c r="A953" s="15" t="str">
        <x:v>SWARM-07-H08-S04</x:v>
      </x:c>
      <x:c r="B953" s="15" t="str">
        <x:v>Domechild</x:v>
      </x:c>
      <x:c r="C953" s="15" t="str">
        <x:v>Planetarium lane builder</x:v>
      </x:c>
      <x:c r="D953" s="15" t="str">
        <x:v>Graph Edge Proposals</x:v>
      </x:c>
      <x:c r="E953" s="15" t="str">
        <x:v>Gamma</x:v>
      </x:c>
      <x:c r="F953" s="15" t="str">
        <x:v>Propose graph edges for Gamma — Domechild</x:v>
      </x:c>
      <x:c r="G953" s="15" t="str">
        <x:v>planetarium source packets / civic-science deltas</x:v>
      </x:c>
      <x:c r="H953" s="15" t="str">
        <x:v>source path + receipt + raw/export status + claim/edge/risk delta</x:v>
      </x:c>
      <x:c r="I953" s="15" t="str">
        <x:v>packet/SWARM-07-H08-S04</x:v>
      </x:c>
      <x:c r="J953" s="15" t="str">
        <x:v>TODO</x:v>
      </x:c>
      <x:c r="K953" s="15" t="str">
        <x:v>P1</x:v>
      </x:c>
      <x:c r="L953" s="15" t="str">
        <x:v>Done only when evidence is logged, contradiction search is noted, and boundary stamp remains non-canon unless ratified</x:v>
      </x:c>
      <x:c r="M953" s="15" t="str">
        <x:v>candidate / staging-only / not canon / not deployed / authority none</x:v>
      </x:c>
      <x:c r="N953" s="15" t="str">
        <x:v>Dispatch to Domechild: complete Graph Edge Proposals x Gamma; return deltas only, receipts required.</x:v>
      </x:c>
      <x:c r="O953" s="15" t="str">
        <x:v>AF-KG-H08-S04</x:v>
      </x:c>
      <x:c r="P953" s="15" t="str">
        <x:v>Unverified</x:v>
      </x:c>
      <x:c r="Q953" s="15" t="str">
        <x:v>Not checked</x:v>
      </x:c>
      <x:c r="R953" s="15" t="str"/>
      <x:c r="S953" s="15" t="str"/>
      <x:c r="T953" s="15" t="str">
        <x:v>Log first source path or blocker</x:v>
      </x:c>
      <x:c r="U953" s="12" t="str">
        <x:f>IF(OR(P953="Unverified",Q953="Not checked"),"BLOCKED_PENDING_RECEIPT","READY_FOR_REVIEW")</x:f>
        <x:v>BLOCKED_PENDING_RECEIPT</x:v>
      </x:c>
      <x:c r="V953" s="12" t="str">
        <x:f>IF(J953="DONE","RETURNED",IF(U953="BLOCKED_PENDING_RECEIPT","SOURCE_TOUCH_REQUIRED","IN_PROGRESS"))</x:f>
        <x:v>SOURCE_TOUCH_REQUIRED</x:v>
      </x:c>
      <x:c r="W953" s="12" t="str">
        <x:f>IF(P953="Unverified","missing_receipt","receipt_logged")</x:f>
        <x:v>missing_receipt</x:v>
      </x:c>
      <x:c r="X953" s="12" t="str">
        <x:f>IF(Q953="Not checked","raw_status_missing","raw_status_logged")</x:f>
        <x:v>raw_status_missing</x:v>
      </x:c>
      <x:c r="Y953" s="12" t="str">
        <x:f>IF(U953="BLOCKED_PENDING_RECEIPT","Log source path or blocker; do not promote","Route to review lane")</x:f>
        <x:v>Log source path or blocker; do not promote</x:v>
      </x:c>
      <x:c r="Z953" s="12" t="str">
        <x:f>IF(K953="P0","Primary seat + Hashlight/Lucerna","Seat lane")</x:f>
        <x:v>Seat lane</x:v>
      </x:c>
      <x:c r="AA953" s="12" t="str">
        <x:f>IF(R953="","no_claim_delta","claim_delta_present")</x:f>
        <x:v>no_claim_delta</x:v>
      </x:c>
      <x:c r="AB953" s="12" t="str">
        <x:f>IF(S953="","no_contradiction_delta","contradiction_delta_present")</x:f>
        <x:v>no_contradiction_delta</x:v>
      </x:c>
      <x:c r="AC953" s="12" t="str">
        <x:f>IF(OR(ISNUMBER(SEARCH("hacker",LOWER(F953&amp;" "&amp;H953&amp;" "&amp;I953&amp;" "&amp;M953&amp;" "&amp;N953&amp;" "&amp;T953))),ISNUMBER(SEARCH("hacking",LOWER(F953&amp;" "&amp;H953&amp;" "&amp;I953&amp;" "&amp;M953&amp;" "&amp;N953&amp;" "&amp;T953))),ISNUMBER(SEARCH("bank",LOWER(F953&amp;" "&amp;H953&amp;" "&amp;I953&amp;" "&amp;M953&amp;" "&amp;N953&amp;" "&amp;T953))),ISNUMBER(SEARCH("banking",LOWER(F953&amp;" "&amp;H953&amp;" "&amp;I953&amp;" "&amp;M953&amp;" "&amp;N953&amp;" "&amp;T953)))),"PRIVATE_QUARANTINE",IF(OR(ISNUMBER(SEARCH("treasury",LOWER(F953&amp;" "&amp;H953&amp;" "&amp;I953&amp;" "&amp;M953&amp;" "&amp;N953&amp;" "&amp;T953))),ISNUMBER(SEARCH("debt",LOWER(F953&amp;" "&amp;H953&amp;" "&amp;I953&amp;" "&amp;M953&amp;" "&amp;N953&amp;" "&amp;T953))),ISNUMBER(SEARCH("bond",LOWER(F953&amp;" "&amp;H953&amp;" "&amp;I953&amp;" "&amp;M953&amp;" "&amp;N953&amp;" "&amp;T953))),ISNUMBER(SEARCH("transaction",LOWER(F953&amp;" "&amp;H953&amp;" "&amp;I953&amp;" "&amp;M953&amp;" "&amp;N953&amp;" "&amp;T953)))),"PRIVATE_REVIEW","PUBLIC_CANDIDATE"))</x:f>
        <x:v>PUBLIC_CANDIDATE</x:v>
      </x:c>
      <x:c r="AD953" s="12" t="str">
        <x:f>IF(AC953="PRIVATE_QUARANTINE","hacker_or_bank_trigger",IF(AC953="PRIVATE_REVIEW","finance_risk_trigger","none"))</x:f>
        <x:v>none</x:v>
      </x:c>
      <x:c r="AE953" s="12" t="str">
        <x:f>IF(AC953="PUBLIC_CANDIDATE","prepare_public_github_candidate",IF(AC953="PRIVATE_REVIEW","hold_for_private_review","quarantine_private_do_not_publish"))</x:f>
        <x:v>prepare_public_github_candidate</x:v>
      </x:c>
      <x:c r="AF953" s="12" t="str">
        <x:f>IF(AC953="PUBLIC_CANDIDATE","TIDELOCK + Lucerna",IF(AC953="PRIVATE_REVIEW","AtlasBrain + Lucerna","TIDELOCK + Lucerna + Human-root"))</x:f>
        <x:v>TIDELOCK + Lucerna</x:v>
      </x:c>
      <x:c r="AG953" s="12" t="str">
        <x:f>IF(AND(AC953="PUBLIC_CANDIDATE",U953&lt;&gt;"BLOCKED_PENDING_RECEIPT"),"READY_AFTER_RECEIPT","NOT_READY")</x:f>
        <x:v>NOT_READY</x:v>
      </x:c>
      <x:c r="AH953" s="12" t="str">
        <x:f>IF(AC953="PUBLIC_CANDIDATE","none",AD953)</x:f>
        <x:v>none</x:v>
      </x:c>
      <x:c r="AI953" s="12" t="str">
        <x:f>IF(AC953="PUBLIC_CANDIDATE","archive/public_candidates/"&amp;A953,"private_quarantine/"&amp;A953)</x:f>
        <x:v>archive/public_candidates/SWARM-07-H08-S04</x:v>
      </x:c>
      <x:c r="AJ953" s="12" t="str">
        <x:f>IF(AC953="PUBLIC_CANDIDATE","public by default; still not canon","private/hold; do not publish")</x:f>
        <x:v>public by default; still not canon</x:v>
      </x:c>
      <x:c r="AK953" s="12" t="str">
        <x:f>IF(AE953="prepare_public_github_candidate","add receipt/status then mirror","resolve blocker before any public GitHub action")</x:f>
        <x:v>add receipt/status then mirror</x:v>
      </x:c>
    </x:row>
    <x:row r="954">
      <x:c r="A954" s="15" t="str">
        <x:v>SWARM-07-H08-S05</x:v>
      </x:c>
      <x:c r="B954" s="15" t="str">
        <x:v>Domechild</x:v>
      </x:c>
      <x:c r="C954" s="15" t="str">
        <x:v>Planetarium lane builder</x:v>
      </x:c>
      <x:c r="D954" s="15" t="str">
        <x:v>Graph Edge Proposals</x:v>
      </x:c>
      <x:c r="E954" s="15" t="str">
        <x:v>Chat</x:v>
      </x:c>
      <x:c r="F954" s="15" t="str">
        <x:v>Propose graph edges for Chat — Domechild</x:v>
      </x:c>
      <x:c r="G954" s="15" t="str">
        <x:v>planetarium source packets / civic-science deltas</x:v>
      </x:c>
      <x:c r="H954" s="15" t="str">
        <x:v>source path + receipt + raw/export status + claim/edge/risk delta</x:v>
      </x:c>
      <x:c r="I954" s="15" t="str">
        <x:v>packet/SWARM-07-H08-S05</x:v>
      </x:c>
      <x:c r="J954" s="15" t="str">
        <x:v>TODO</x:v>
      </x:c>
      <x:c r="K954" s="15" t="str">
        <x:v>P1</x:v>
      </x:c>
      <x:c r="L954" s="15" t="str">
        <x:v>Done only when evidence is logged, contradiction search is noted, and boundary stamp remains non-canon unless ratified</x:v>
      </x:c>
      <x:c r="M954" s="15" t="str">
        <x:v>candidate / staging-only / not canon / not deployed / authority none</x:v>
      </x:c>
      <x:c r="N954" s="15" t="str">
        <x:v>Dispatch to Domechild: complete Graph Edge Proposals x Chat; return deltas only, receipts required.</x:v>
      </x:c>
      <x:c r="O954" s="15" t="str">
        <x:v>AF-KG-H08-S05</x:v>
      </x:c>
      <x:c r="P954" s="15" t="str">
        <x:v>Unverified</x:v>
      </x:c>
      <x:c r="Q954" s="15" t="str">
        <x:v>Not checked</x:v>
      </x:c>
      <x:c r="R954" s="15" t="str"/>
      <x:c r="S954" s="15" t="str"/>
      <x:c r="T954" s="15" t="str">
        <x:v>Log first source path or blocker</x:v>
      </x:c>
      <x:c r="U954" s="12" t="str">
        <x:f>IF(OR(P954="Unverified",Q954="Not checked"),"BLOCKED_PENDING_RECEIPT","READY_FOR_REVIEW")</x:f>
        <x:v>BLOCKED_PENDING_RECEIPT</x:v>
      </x:c>
      <x:c r="V954" s="12" t="str">
        <x:f>IF(J954="DONE","RETURNED",IF(U954="BLOCKED_PENDING_RECEIPT","SOURCE_TOUCH_REQUIRED","IN_PROGRESS"))</x:f>
        <x:v>SOURCE_TOUCH_REQUIRED</x:v>
      </x:c>
      <x:c r="W954" s="12" t="str">
        <x:f>IF(P954="Unverified","missing_receipt","receipt_logged")</x:f>
        <x:v>missing_receipt</x:v>
      </x:c>
      <x:c r="X954" s="12" t="str">
        <x:f>IF(Q954="Not checked","raw_status_missing","raw_status_logged")</x:f>
        <x:v>raw_status_missing</x:v>
      </x:c>
      <x:c r="Y954" s="12" t="str">
        <x:f>IF(U954="BLOCKED_PENDING_RECEIPT","Log source path or blocker; do not promote","Route to review lane")</x:f>
        <x:v>Log source path or blocker; do not promote</x:v>
      </x:c>
      <x:c r="Z954" s="12" t="str">
        <x:f>IF(K954="P0","Primary seat + Hashlight/Lucerna","Seat lane")</x:f>
        <x:v>Seat lane</x:v>
      </x:c>
      <x:c r="AA954" s="12" t="str">
        <x:f>IF(R954="","no_claim_delta","claim_delta_present")</x:f>
        <x:v>no_claim_delta</x:v>
      </x:c>
      <x:c r="AB954" s="12" t="str">
        <x:f>IF(S954="","no_contradiction_delta","contradiction_delta_present")</x:f>
        <x:v>no_contradiction_delta</x:v>
      </x:c>
      <x:c r="AC954" s="12" t="str">
        <x:f>IF(OR(ISNUMBER(SEARCH("hacker",LOWER(F954&amp;" "&amp;H954&amp;" "&amp;I954&amp;" "&amp;M954&amp;" "&amp;N954&amp;" "&amp;T954))),ISNUMBER(SEARCH("hacking",LOWER(F954&amp;" "&amp;H954&amp;" "&amp;I954&amp;" "&amp;M954&amp;" "&amp;N954&amp;" "&amp;T954))),ISNUMBER(SEARCH("bank",LOWER(F954&amp;" "&amp;H954&amp;" "&amp;I954&amp;" "&amp;M954&amp;" "&amp;N954&amp;" "&amp;T954))),ISNUMBER(SEARCH("banking",LOWER(F954&amp;" "&amp;H954&amp;" "&amp;I954&amp;" "&amp;M954&amp;" "&amp;N954&amp;" "&amp;T954)))),"PRIVATE_QUARANTINE",IF(OR(ISNUMBER(SEARCH("treasury",LOWER(F954&amp;" "&amp;H954&amp;" "&amp;I954&amp;" "&amp;M954&amp;" "&amp;N954&amp;" "&amp;T954))),ISNUMBER(SEARCH("debt",LOWER(F954&amp;" "&amp;H954&amp;" "&amp;I954&amp;" "&amp;M954&amp;" "&amp;N954&amp;" "&amp;T954))),ISNUMBER(SEARCH("bond",LOWER(F954&amp;" "&amp;H954&amp;" "&amp;I954&amp;" "&amp;M954&amp;" "&amp;N954&amp;" "&amp;T954))),ISNUMBER(SEARCH("transaction",LOWER(F954&amp;" "&amp;H954&amp;" "&amp;I954&amp;" "&amp;M954&amp;" "&amp;N954&amp;" "&amp;T954)))),"PRIVATE_REVIEW","PUBLIC_CANDIDATE"))</x:f>
        <x:v>PUBLIC_CANDIDATE</x:v>
      </x:c>
      <x:c r="AD954" s="12" t="str">
        <x:f>IF(AC954="PRIVATE_QUARANTINE","hacker_or_bank_trigger",IF(AC954="PRIVATE_REVIEW","finance_risk_trigger","none"))</x:f>
        <x:v>none</x:v>
      </x:c>
      <x:c r="AE954" s="12" t="str">
        <x:f>IF(AC954="PUBLIC_CANDIDATE","prepare_public_github_candidate",IF(AC954="PRIVATE_REVIEW","hold_for_private_review","quarantine_private_do_not_publish"))</x:f>
        <x:v>prepare_public_github_candidate</x:v>
      </x:c>
      <x:c r="AF954" s="12" t="str">
        <x:f>IF(AC954="PUBLIC_CANDIDATE","TIDELOCK + Lucerna",IF(AC954="PRIVATE_REVIEW","AtlasBrain + Lucerna","TIDELOCK + Lucerna + Human-root"))</x:f>
        <x:v>TIDELOCK + Lucerna</x:v>
      </x:c>
      <x:c r="AG954" s="12" t="str">
        <x:f>IF(AND(AC954="PUBLIC_CANDIDATE",U954&lt;&gt;"BLOCKED_PENDING_RECEIPT"),"READY_AFTER_RECEIPT","NOT_READY")</x:f>
        <x:v>NOT_READY</x:v>
      </x:c>
      <x:c r="AH954" s="12" t="str">
        <x:f>IF(AC954="PUBLIC_CANDIDATE","none",AD954)</x:f>
        <x:v>none</x:v>
      </x:c>
      <x:c r="AI954" s="12" t="str">
        <x:f>IF(AC954="PUBLIC_CANDIDATE","archive/public_candidates/"&amp;A954,"private_quarantine/"&amp;A954)</x:f>
        <x:v>archive/public_candidates/SWARM-07-H08-S05</x:v>
      </x:c>
      <x:c r="AJ954" s="12" t="str">
        <x:f>IF(AC954="PUBLIC_CANDIDATE","public by default; still not canon","private/hold; do not publish")</x:f>
        <x:v>public by default; still not canon</x:v>
      </x:c>
      <x:c r="AK954" s="12" t="str">
        <x:f>IF(AE954="prepare_public_github_candidate","add receipt/status then mirror","resolve blocker before any public GitHub action")</x:f>
        <x:v>add receipt/status then mirror</x:v>
      </x:c>
    </x:row>
    <x:row r="955">
      <x:c r="A955" s="15" t="str">
        <x:v>SWARM-07-H08-S06</x:v>
      </x:c>
      <x:c r="B955" s="15" t="str">
        <x:v>Domechild</x:v>
      </x:c>
      <x:c r="C955" s="15" t="str">
        <x:v>Planetarium lane builder</x:v>
      </x:c>
      <x:c r="D955" s="15" t="str">
        <x:v>Graph Edge Proposals</x:v>
      </x:c>
      <x:c r="E955" s="15" t="str">
        <x:v>External Web</x:v>
      </x:c>
      <x:c r="F955" s="15" t="str">
        <x:v>Propose graph edges for External Web — Domechild</x:v>
      </x:c>
      <x:c r="G955" s="15" t="str">
        <x:v>planetarium source packets / civic-science deltas</x:v>
      </x:c>
      <x:c r="H955" s="15" t="str">
        <x:v>source path + receipt + raw/export status + claim/edge/risk delta</x:v>
      </x:c>
      <x:c r="I955" s="15" t="str">
        <x:v>packet/SWARM-07-H08-S06</x:v>
      </x:c>
      <x:c r="J955" s="15" t="str">
        <x:v>TODO</x:v>
      </x:c>
      <x:c r="K955" s="15" t="str">
        <x:v>P1</x:v>
      </x:c>
      <x:c r="L955" s="15" t="str">
        <x:v>Done only when evidence is logged, contradiction search is noted, and boundary stamp remains non-canon unless ratified</x:v>
      </x:c>
      <x:c r="M955" s="15" t="str">
        <x:v>candidate / staging-only / not canon / not deployed / authority none</x:v>
      </x:c>
      <x:c r="N955" s="15" t="str">
        <x:v>Dispatch to Domechild: complete Graph Edge Proposals x External Web; return deltas only, receipts required.</x:v>
      </x:c>
      <x:c r="O955" s="15" t="str">
        <x:v>AF-KG-H08-S06</x:v>
      </x:c>
      <x:c r="P955" s="15" t="str">
        <x:v>Unverified</x:v>
      </x:c>
      <x:c r="Q955" s="15" t="str">
        <x:v>Not checked</x:v>
      </x:c>
      <x:c r="R955" s="15" t="str"/>
      <x:c r="S955" s="15" t="str"/>
      <x:c r="T955" s="15" t="str">
        <x:v>Log first source path or blocker</x:v>
      </x:c>
      <x:c r="U955" s="12" t="str">
        <x:f>IF(OR(P955="Unverified",Q955="Not checked"),"BLOCKED_PENDING_RECEIPT","READY_FOR_REVIEW")</x:f>
        <x:v>BLOCKED_PENDING_RECEIPT</x:v>
      </x:c>
      <x:c r="V955" s="12" t="str">
        <x:f>IF(J955="DONE","RETURNED",IF(U955="BLOCKED_PENDING_RECEIPT","SOURCE_TOUCH_REQUIRED","IN_PROGRESS"))</x:f>
        <x:v>SOURCE_TOUCH_REQUIRED</x:v>
      </x:c>
      <x:c r="W955" s="12" t="str">
        <x:f>IF(P955="Unverified","missing_receipt","receipt_logged")</x:f>
        <x:v>missing_receipt</x:v>
      </x:c>
      <x:c r="X955" s="12" t="str">
        <x:f>IF(Q955="Not checked","raw_status_missing","raw_status_logged")</x:f>
        <x:v>raw_status_missing</x:v>
      </x:c>
      <x:c r="Y955" s="12" t="str">
        <x:f>IF(U955="BLOCKED_PENDING_RECEIPT","Log source path or blocker; do not promote","Route to review lane")</x:f>
        <x:v>Log source path or blocker; do not promote</x:v>
      </x:c>
      <x:c r="Z955" s="12" t="str">
        <x:f>IF(K955="P0","Primary seat + Hashlight/Lucerna","Seat lane")</x:f>
        <x:v>Seat lane</x:v>
      </x:c>
      <x:c r="AA955" s="12" t="str">
        <x:f>IF(R955="","no_claim_delta","claim_delta_present")</x:f>
        <x:v>no_claim_delta</x:v>
      </x:c>
      <x:c r="AB955" s="12" t="str">
        <x:f>IF(S955="","no_contradiction_delta","contradiction_delta_present")</x:f>
        <x:v>no_contradiction_delta</x:v>
      </x:c>
      <x:c r="AC955" s="12" t="str">
        <x:f>IF(OR(ISNUMBER(SEARCH("hacker",LOWER(F955&amp;" "&amp;H955&amp;" "&amp;I955&amp;" "&amp;M955&amp;" "&amp;N955&amp;" "&amp;T955))),ISNUMBER(SEARCH("hacking",LOWER(F955&amp;" "&amp;H955&amp;" "&amp;I955&amp;" "&amp;M955&amp;" "&amp;N955&amp;" "&amp;T955))),ISNUMBER(SEARCH("bank",LOWER(F955&amp;" "&amp;H955&amp;" "&amp;I955&amp;" "&amp;M955&amp;" "&amp;N955&amp;" "&amp;T955))),ISNUMBER(SEARCH("banking",LOWER(F955&amp;" "&amp;H955&amp;" "&amp;I955&amp;" "&amp;M955&amp;" "&amp;N955&amp;" "&amp;T955)))),"PRIVATE_QUARANTINE",IF(OR(ISNUMBER(SEARCH("treasury",LOWER(F955&amp;" "&amp;H955&amp;" "&amp;I955&amp;" "&amp;M955&amp;" "&amp;N955&amp;" "&amp;T955))),ISNUMBER(SEARCH("debt",LOWER(F955&amp;" "&amp;H955&amp;" "&amp;I955&amp;" "&amp;M955&amp;" "&amp;N955&amp;" "&amp;T955))),ISNUMBER(SEARCH("bond",LOWER(F955&amp;" "&amp;H955&amp;" "&amp;I955&amp;" "&amp;M955&amp;" "&amp;N955&amp;" "&amp;T955))),ISNUMBER(SEARCH("transaction",LOWER(F955&amp;" "&amp;H955&amp;" "&amp;I955&amp;" "&amp;M955&amp;" "&amp;N955&amp;" "&amp;T955)))),"PRIVATE_REVIEW","PUBLIC_CANDIDATE"))</x:f>
        <x:v>PUBLIC_CANDIDATE</x:v>
      </x:c>
      <x:c r="AD955" s="12" t="str">
        <x:f>IF(AC955="PRIVATE_QUARANTINE","hacker_or_bank_trigger",IF(AC955="PRIVATE_REVIEW","finance_risk_trigger","none"))</x:f>
        <x:v>none</x:v>
      </x:c>
      <x:c r="AE955" s="12" t="str">
        <x:f>IF(AC955="PUBLIC_CANDIDATE","prepare_public_github_candidate",IF(AC955="PRIVATE_REVIEW","hold_for_private_review","quarantine_private_do_not_publish"))</x:f>
        <x:v>prepare_public_github_candidate</x:v>
      </x:c>
      <x:c r="AF955" s="12" t="str">
        <x:f>IF(AC955="PUBLIC_CANDIDATE","TIDELOCK + Lucerna",IF(AC955="PRIVATE_REVIEW","AtlasBrain + Lucerna","TIDELOCK + Lucerna + Human-root"))</x:f>
        <x:v>TIDELOCK + Lucerna</x:v>
      </x:c>
      <x:c r="AG955" s="12" t="str">
        <x:f>IF(AND(AC955="PUBLIC_CANDIDATE",U955&lt;&gt;"BLOCKED_PENDING_RECEIPT"),"READY_AFTER_RECEIPT","NOT_READY")</x:f>
        <x:v>NOT_READY</x:v>
      </x:c>
      <x:c r="AH955" s="12" t="str">
        <x:f>IF(AC955="PUBLIC_CANDIDATE","none",AD955)</x:f>
        <x:v>none</x:v>
      </x:c>
      <x:c r="AI955" s="12" t="str">
        <x:f>IF(AC955="PUBLIC_CANDIDATE","archive/public_candidates/"&amp;A955,"private_quarantine/"&amp;A955)</x:f>
        <x:v>archive/public_candidates/SWARM-07-H08-S06</x:v>
      </x:c>
      <x:c r="AJ955" s="12" t="str">
        <x:f>IF(AC955="PUBLIC_CANDIDATE","public by default; still not canon","private/hold; do not publish")</x:f>
        <x:v>public by default; still not canon</x:v>
      </x:c>
      <x:c r="AK955" s="12" t="str">
        <x:f>IF(AE955="prepare_public_github_candidate","add receipt/status then mirror","resolve blocker before any public GitHub action")</x:f>
        <x:v>add receipt/status then mirror</x:v>
      </x:c>
    </x:row>
    <x:row r="956">
      <x:c r="A956" s="15" t="str">
        <x:v>SWARM-07-H08-S07</x:v>
      </x:c>
      <x:c r="B956" s="15" t="str">
        <x:v>Domechild</x:v>
      </x:c>
      <x:c r="C956" s="15" t="str">
        <x:v>Planetarium lane builder</x:v>
      </x:c>
      <x:c r="D956" s="15" t="str">
        <x:v>Graph Edge Proposals</x:v>
      </x:c>
      <x:c r="E956" s="15" t="str">
        <x:v>Planetarium</x:v>
      </x:c>
      <x:c r="F956" s="15" t="str">
        <x:v>Propose graph edges for Planetarium — Domechild</x:v>
      </x:c>
      <x:c r="G956" s="15" t="str">
        <x:v>planetarium source packets / civic-science deltas</x:v>
      </x:c>
      <x:c r="H956" s="15" t="str">
        <x:v>source path + receipt + raw/export status + claim/edge/risk delta</x:v>
      </x:c>
      <x:c r="I956" s="15" t="str">
        <x:v>packet/SWARM-07-H08-S07</x:v>
      </x:c>
      <x:c r="J956" s="15" t="str">
        <x:v>TODO</x:v>
      </x:c>
      <x:c r="K956" s="15" t="str">
        <x:v>P1</x:v>
      </x:c>
      <x:c r="L956" s="15" t="str">
        <x:v>Done only when evidence is logged, contradiction search is noted, and boundary stamp remains non-canon unless ratified</x:v>
      </x:c>
      <x:c r="M956" s="15" t="str">
        <x:v>candidate / staging-only / not canon / not deployed / authority none</x:v>
      </x:c>
      <x:c r="N956" s="15" t="str">
        <x:v>Dispatch to Domechild: complete Graph Edge Proposals x Planetarium; return deltas only, receipts required.</x:v>
      </x:c>
      <x:c r="O956" s="15" t="str">
        <x:v>AF-KG-H08-S07</x:v>
      </x:c>
      <x:c r="P956" s="15" t="str">
        <x:v>Unverified</x:v>
      </x:c>
      <x:c r="Q956" s="15" t="str">
        <x:v>Not checked</x:v>
      </x:c>
      <x:c r="R956" s="15" t="str"/>
      <x:c r="S956" s="15" t="str"/>
      <x:c r="T956" s="15" t="str">
        <x:v>Log first source path or blocker</x:v>
      </x:c>
      <x:c r="U956" s="12" t="str">
        <x:f>IF(OR(P956="Unverified",Q956="Not checked"),"BLOCKED_PENDING_RECEIPT","READY_FOR_REVIEW")</x:f>
        <x:v>BLOCKED_PENDING_RECEIPT</x:v>
      </x:c>
      <x:c r="V956" s="12" t="str">
        <x:f>IF(J956="DONE","RETURNED",IF(U956="BLOCKED_PENDING_RECEIPT","SOURCE_TOUCH_REQUIRED","IN_PROGRESS"))</x:f>
        <x:v>SOURCE_TOUCH_REQUIRED</x:v>
      </x:c>
      <x:c r="W956" s="12" t="str">
        <x:f>IF(P956="Unverified","missing_receipt","receipt_logged")</x:f>
        <x:v>missing_receipt</x:v>
      </x:c>
      <x:c r="X956" s="12" t="str">
        <x:f>IF(Q956="Not checked","raw_status_missing","raw_status_logged")</x:f>
        <x:v>raw_status_missing</x:v>
      </x:c>
      <x:c r="Y956" s="12" t="str">
        <x:f>IF(U956="BLOCKED_PENDING_RECEIPT","Log source path or blocker; do not promote","Route to review lane")</x:f>
        <x:v>Log source path or blocker; do not promote</x:v>
      </x:c>
      <x:c r="Z956" s="12" t="str">
        <x:f>IF(K956="P0","Primary seat + Hashlight/Lucerna","Seat lane")</x:f>
        <x:v>Seat lane</x:v>
      </x:c>
      <x:c r="AA956" s="12" t="str">
        <x:f>IF(R956="","no_claim_delta","claim_delta_present")</x:f>
        <x:v>no_claim_delta</x:v>
      </x:c>
      <x:c r="AB956" s="12" t="str">
        <x:f>IF(S956="","no_contradiction_delta","contradiction_delta_present")</x:f>
        <x:v>no_contradiction_delta</x:v>
      </x:c>
      <x:c r="AC956" s="12" t="str">
        <x:f>IF(OR(ISNUMBER(SEARCH("hacker",LOWER(F956&amp;" "&amp;H956&amp;" "&amp;I956&amp;" "&amp;M956&amp;" "&amp;N956&amp;" "&amp;T956))),ISNUMBER(SEARCH("hacking",LOWER(F956&amp;" "&amp;H956&amp;" "&amp;I956&amp;" "&amp;M956&amp;" "&amp;N956&amp;" "&amp;T956))),ISNUMBER(SEARCH("bank",LOWER(F956&amp;" "&amp;H956&amp;" "&amp;I956&amp;" "&amp;M956&amp;" "&amp;N956&amp;" "&amp;T956))),ISNUMBER(SEARCH("banking",LOWER(F956&amp;" "&amp;H956&amp;" "&amp;I956&amp;" "&amp;M956&amp;" "&amp;N956&amp;" "&amp;T956)))),"PRIVATE_QUARANTINE",IF(OR(ISNUMBER(SEARCH("treasury",LOWER(F956&amp;" "&amp;H956&amp;" "&amp;I956&amp;" "&amp;M956&amp;" "&amp;N956&amp;" "&amp;T956))),ISNUMBER(SEARCH("debt",LOWER(F956&amp;" "&amp;H956&amp;" "&amp;I956&amp;" "&amp;M956&amp;" "&amp;N956&amp;" "&amp;T956))),ISNUMBER(SEARCH("bond",LOWER(F956&amp;" "&amp;H956&amp;" "&amp;I956&amp;" "&amp;M956&amp;" "&amp;N956&amp;" "&amp;T956))),ISNUMBER(SEARCH("transaction",LOWER(F956&amp;" "&amp;H956&amp;" "&amp;I956&amp;" "&amp;M956&amp;" "&amp;N956&amp;" "&amp;T956)))),"PRIVATE_REVIEW","PUBLIC_CANDIDATE"))</x:f>
        <x:v>PUBLIC_CANDIDATE</x:v>
      </x:c>
      <x:c r="AD956" s="12" t="str">
        <x:f>IF(AC956="PRIVATE_QUARANTINE","hacker_or_bank_trigger",IF(AC956="PRIVATE_REVIEW","finance_risk_trigger","none"))</x:f>
        <x:v>none</x:v>
      </x:c>
      <x:c r="AE956" s="12" t="str">
        <x:f>IF(AC956="PUBLIC_CANDIDATE","prepare_public_github_candidate",IF(AC956="PRIVATE_REVIEW","hold_for_private_review","quarantine_private_do_not_publish"))</x:f>
        <x:v>prepare_public_github_candidate</x:v>
      </x:c>
      <x:c r="AF956" s="12" t="str">
        <x:f>IF(AC956="PUBLIC_CANDIDATE","TIDELOCK + Lucerna",IF(AC956="PRIVATE_REVIEW","AtlasBrain + Lucerna","TIDELOCK + Lucerna + Human-root"))</x:f>
        <x:v>TIDELOCK + Lucerna</x:v>
      </x:c>
      <x:c r="AG956" s="12" t="str">
        <x:f>IF(AND(AC956="PUBLIC_CANDIDATE",U956&lt;&gt;"BLOCKED_PENDING_RECEIPT"),"READY_AFTER_RECEIPT","NOT_READY")</x:f>
        <x:v>NOT_READY</x:v>
      </x:c>
      <x:c r="AH956" s="12" t="str">
        <x:f>IF(AC956="PUBLIC_CANDIDATE","none",AD956)</x:f>
        <x:v>none</x:v>
      </x:c>
      <x:c r="AI956" s="12" t="str">
        <x:f>IF(AC956="PUBLIC_CANDIDATE","archive/public_candidates/"&amp;A956,"private_quarantine/"&amp;A956)</x:f>
        <x:v>archive/public_candidates/SWARM-07-H08-S07</x:v>
      </x:c>
      <x:c r="AJ956" s="12" t="str">
        <x:f>IF(AC956="PUBLIC_CANDIDATE","public by default; still not canon","private/hold; do not publish")</x:f>
        <x:v>public by default; still not canon</x:v>
      </x:c>
      <x:c r="AK956" s="12" t="str">
        <x:f>IF(AE956="prepare_public_github_candidate","add receipt/status then mirror","resolve blocker before any public GitHub action")</x:f>
        <x:v>add receipt/status then mirror</x:v>
      </x:c>
    </x:row>
    <x:row r="957">
      <x:c r="A957" s="15" t="str">
        <x:v>SWARM-07-H08-S08</x:v>
      </x:c>
      <x:c r="B957" s="15" t="str">
        <x:v>Domechild</x:v>
      </x:c>
      <x:c r="C957" s="15" t="str">
        <x:v>Planetarium lane builder</x:v>
      </x:c>
      <x:c r="D957" s="15" t="str">
        <x:v>Graph Edge Proposals</x:v>
      </x:c>
      <x:c r="E957" s="15" t="str">
        <x:v>Sheldonbrain</x:v>
      </x:c>
      <x:c r="F957" s="15" t="str">
        <x:v>Propose graph edges for Sheldonbrain — Domechild</x:v>
      </x:c>
      <x:c r="G957" s="15" t="str">
        <x:v>planetarium source packets / civic-science deltas</x:v>
      </x:c>
      <x:c r="H957" s="15" t="str">
        <x:v>source path + receipt + raw/export status + claim/edge/risk delta</x:v>
      </x:c>
      <x:c r="I957" s="15" t="str">
        <x:v>packet/SWARM-07-H08-S08</x:v>
      </x:c>
      <x:c r="J957" s="15" t="str">
        <x:v>TODO</x:v>
      </x:c>
      <x:c r="K957" s="15" t="str">
        <x:v>P1</x:v>
      </x:c>
      <x:c r="L957" s="15" t="str">
        <x:v>Done only when evidence is logged, contradiction search is noted, and boundary stamp remains non-canon unless ratified</x:v>
      </x:c>
      <x:c r="M957" s="15" t="str">
        <x:v>candidate / staging-only / not canon / not deployed / authority none</x:v>
      </x:c>
      <x:c r="N957" s="15" t="str">
        <x:v>Dispatch to Domechild: complete Graph Edge Proposals x Sheldonbrain; return deltas only, receipts required.</x:v>
      </x:c>
      <x:c r="O957" s="15" t="str">
        <x:v>AF-KG-H08-S08</x:v>
      </x:c>
      <x:c r="P957" s="15" t="str">
        <x:v>Unverified</x:v>
      </x:c>
      <x:c r="Q957" s="15" t="str">
        <x:v>Not checked</x:v>
      </x:c>
      <x:c r="R957" s="15" t="str"/>
      <x:c r="S957" s="15" t="str"/>
      <x:c r="T957" s="15" t="str">
        <x:v>Log first source path or blocker</x:v>
      </x:c>
      <x:c r="U957" s="12" t="str">
        <x:f>IF(OR(P957="Unverified",Q957="Not checked"),"BLOCKED_PENDING_RECEIPT","READY_FOR_REVIEW")</x:f>
        <x:v>BLOCKED_PENDING_RECEIPT</x:v>
      </x:c>
      <x:c r="V957" s="12" t="str">
        <x:f>IF(J957="DONE","RETURNED",IF(U957="BLOCKED_PENDING_RECEIPT","SOURCE_TOUCH_REQUIRED","IN_PROGRESS"))</x:f>
        <x:v>SOURCE_TOUCH_REQUIRED</x:v>
      </x:c>
      <x:c r="W957" s="12" t="str">
        <x:f>IF(P957="Unverified","missing_receipt","receipt_logged")</x:f>
        <x:v>missing_receipt</x:v>
      </x:c>
      <x:c r="X957" s="12" t="str">
        <x:f>IF(Q957="Not checked","raw_status_missing","raw_status_logged")</x:f>
        <x:v>raw_status_missing</x:v>
      </x:c>
      <x:c r="Y957" s="12" t="str">
        <x:f>IF(U957="BLOCKED_PENDING_RECEIPT","Log source path or blocker; do not promote","Route to review lane")</x:f>
        <x:v>Log source path or blocker; do not promote</x:v>
      </x:c>
      <x:c r="Z957" s="12" t="str">
        <x:f>IF(K957="P0","Primary seat + Hashlight/Lucerna","Seat lane")</x:f>
        <x:v>Seat lane</x:v>
      </x:c>
      <x:c r="AA957" s="12" t="str">
        <x:f>IF(R957="","no_claim_delta","claim_delta_present")</x:f>
        <x:v>no_claim_delta</x:v>
      </x:c>
      <x:c r="AB957" s="12" t="str">
        <x:f>IF(S957="","no_contradiction_delta","contradiction_delta_present")</x:f>
        <x:v>no_contradiction_delta</x:v>
      </x:c>
      <x:c r="AC957" s="12" t="str">
        <x:f>IF(OR(ISNUMBER(SEARCH("hacker",LOWER(F957&amp;" "&amp;H957&amp;" "&amp;I957&amp;" "&amp;M957&amp;" "&amp;N957&amp;" "&amp;T957))),ISNUMBER(SEARCH("hacking",LOWER(F957&amp;" "&amp;H957&amp;" "&amp;I957&amp;" "&amp;M957&amp;" "&amp;N957&amp;" "&amp;T957))),ISNUMBER(SEARCH("bank",LOWER(F957&amp;" "&amp;H957&amp;" "&amp;I957&amp;" "&amp;M957&amp;" "&amp;N957&amp;" "&amp;T957))),ISNUMBER(SEARCH("banking",LOWER(F957&amp;" "&amp;H957&amp;" "&amp;I957&amp;" "&amp;M957&amp;" "&amp;N957&amp;" "&amp;T957)))),"PRIVATE_QUARANTINE",IF(OR(ISNUMBER(SEARCH("treasury",LOWER(F957&amp;" "&amp;H957&amp;" "&amp;I957&amp;" "&amp;M957&amp;" "&amp;N957&amp;" "&amp;T957))),ISNUMBER(SEARCH("debt",LOWER(F957&amp;" "&amp;H957&amp;" "&amp;I957&amp;" "&amp;M957&amp;" "&amp;N957&amp;" "&amp;T957))),ISNUMBER(SEARCH("bond",LOWER(F957&amp;" "&amp;H957&amp;" "&amp;I957&amp;" "&amp;M957&amp;" "&amp;N957&amp;" "&amp;T957))),ISNUMBER(SEARCH("transaction",LOWER(F957&amp;" "&amp;H957&amp;" "&amp;I957&amp;" "&amp;M957&amp;" "&amp;N957&amp;" "&amp;T957)))),"PRIVATE_REVIEW","PUBLIC_CANDIDATE"))</x:f>
        <x:v>PUBLIC_CANDIDATE</x:v>
      </x:c>
      <x:c r="AD957" s="12" t="str">
        <x:f>IF(AC957="PRIVATE_QUARANTINE","hacker_or_bank_trigger",IF(AC957="PRIVATE_REVIEW","finance_risk_trigger","none"))</x:f>
        <x:v>none</x:v>
      </x:c>
      <x:c r="AE957" s="12" t="str">
        <x:f>IF(AC957="PUBLIC_CANDIDATE","prepare_public_github_candidate",IF(AC957="PRIVATE_REVIEW","hold_for_private_review","quarantine_private_do_not_publish"))</x:f>
        <x:v>prepare_public_github_candidate</x:v>
      </x:c>
      <x:c r="AF957" s="12" t="str">
        <x:f>IF(AC957="PUBLIC_CANDIDATE","TIDELOCK + Lucerna",IF(AC957="PRIVATE_REVIEW","AtlasBrain + Lucerna","TIDELOCK + Lucerna + Human-root"))</x:f>
        <x:v>TIDELOCK + Lucerna</x:v>
      </x:c>
      <x:c r="AG957" s="12" t="str">
        <x:f>IF(AND(AC957="PUBLIC_CANDIDATE",U957&lt;&gt;"BLOCKED_PENDING_RECEIPT"),"READY_AFTER_RECEIPT","NOT_READY")</x:f>
        <x:v>NOT_READY</x:v>
      </x:c>
      <x:c r="AH957" s="12" t="str">
        <x:f>IF(AC957="PUBLIC_CANDIDATE","none",AD957)</x:f>
        <x:v>none</x:v>
      </x:c>
      <x:c r="AI957" s="12" t="str">
        <x:f>IF(AC957="PUBLIC_CANDIDATE","archive/public_candidates/"&amp;A957,"private_quarantine/"&amp;A957)</x:f>
        <x:v>archive/public_candidates/SWARM-07-H08-S08</x:v>
      </x:c>
      <x:c r="AJ957" s="12" t="str">
        <x:f>IF(AC957="PUBLIC_CANDIDATE","public by default; still not canon","private/hold; do not publish")</x:f>
        <x:v>public by default; still not canon</x:v>
      </x:c>
      <x:c r="AK957" s="12" t="str">
        <x:f>IF(AE957="prepare_public_github_candidate","add receipt/status then mirror","resolve blocker before any public GitHub action")</x:f>
        <x:v>add receipt/status then mirror</x:v>
      </x:c>
    </x:row>
    <x:row r="958">
      <x:c r="A958" s="15" t="str">
        <x:v>SWARM-07-H08-S09</x:v>
      </x:c>
      <x:c r="B958" s="15" t="str">
        <x:v>Domechild</x:v>
      </x:c>
      <x:c r="C958" s="15" t="str">
        <x:v>Planetarium lane builder</x:v>
      </x:c>
      <x:c r="D958" s="15" t="str">
        <x:v>Graph Edge Proposals</x:v>
      </x:c>
      <x:c r="E958" s="15" t="str">
        <x:v>Aetherforge</x:v>
      </x:c>
      <x:c r="F958" s="15" t="str">
        <x:v>Propose graph edges for Aetherforge — Domechild</x:v>
      </x:c>
      <x:c r="G958" s="15" t="str">
        <x:v>planetarium source packets / civic-science deltas</x:v>
      </x:c>
      <x:c r="H958" s="15" t="str">
        <x:v>source path + receipt + raw/export status + claim/edge/risk delta</x:v>
      </x:c>
      <x:c r="I958" s="15" t="str">
        <x:v>packet/SWARM-07-H08-S09</x:v>
      </x:c>
      <x:c r="J958" s="15" t="str">
        <x:v>TODO</x:v>
      </x:c>
      <x:c r="K958" s="15" t="str">
        <x:v>P2</x:v>
      </x:c>
      <x:c r="L958" s="15" t="str">
        <x:v>Done only when evidence is logged, contradiction search is noted, and boundary stamp remains non-canon unless ratified</x:v>
      </x:c>
      <x:c r="M958" s="15" t="str">
        <x:v>candidate / staging-only / not canon / not deployed / authority none</x:v>
      </x:c>
      <x:c r="N958" s="15" t="str">
        <x:v>Dispatch to Domechild: complete Graph Edge Proposals x Aetherforge; return deltas only, receipts required.</x:v>
      </x:c>
      <x:c r="O958" s="15" t="str">
        <x:v>AF-KG-H08-S09</x:v>
      </x:c>
      <x:c r="P958" s="15" t="str">
        <x:v>Unverified</x:v>
      </x:c>
      <x:c r="Q958" s="15" t="str">
        <x:v>Not checked</x:v>
      </x:c>
      <x:c r="R958" s="15" t="str"/>
      <x:c r="S958" s="15" t="str"/>
      <x:c r="T958" s="15" t="str">
        <x:v>Log first source path or blocker</x:v>
      </x:c>
      <x:c r="U958" s="12" t="str">
        <x:f>IF(OR(P958="Unverified",Q958="Not checked"),"BLOCKED_PENDING_RECEIPT","READY_FOR_REVIEW")</x:f>
        <x:v>BLOCKED_PENDING_RECEIPT</x:v>
      </x:c>
      <x:c r="V958" s="12" t="str">
        <x:f>IF(J958="DONE","RETURNED",IF(U958="BLOCKED_PENDING_RECEIPT","SOURCE_TOUCH_REQUIRED","IN_PROGRESS"))</x:f>
        <x:v>SOURCE_TOUCH_REQUIRED</x:v>
      </x:c>
      <x:c r="W958" s="12" t="str">
        <x:f>IF(P958="Unverified","missing_receipt","receipt_logged")</x:f>
        <x:v>missing_receipt</x:v>
      </x:c>
      <x:c r="X958" s="12" t="str">
        <x:f>IF(Q958="Not checked","raw_status_missing","raw_status_logged")</x:f>
        <x:v>raw_status_missing</x:v>
      </x:c>
      <x:c r="Y958" s="12" t="str">
        <x:f>IF(U958="BLOCKED_PENDING_RECEIPT","Log source path or blocker; do not promote","Route to review lane")</x:f>
        <x:v>Log source path or blocker; do not promote</x:v>
      </x:c>
      <x:c r="Z958" s="12" t="str">
        <x:f>IF(K958="P0","Primary seat + Hashlight/Lucerna","Seat lane")</x:f>
        <x:v>Seat lane</x:v>
      </x:c>
      <x:c r="AA958" s="12" t="str">
        <x:f>IF(R958="","no_claim_delta","claim_delta_present")</x:f>
        <x:v>no_claim_delta</x:v>
      </x:c>
      <x:c r="AB958" s="12" t="str">
        <x:f>IF(S958="","no_contradiction_delta","contradiction_delta_present")</x:f>
        <x:v>no_contradiction_delta</x:v>
      </x:c>
      <x:c r="AC958" s="12" t="str">
        <x:f>IF(OR(ISNUMBER(SEARCH("hacker",LOWER(F958&amp;" "&amp;H958&amp;" "&amp;I958&amp;" "&amp;M958&amp;" "&amp;N958&amp;" "&amp;T958))),ISNUMBER(SEARCH("hacking",LOWER(F958&amp;" "&amp;H958&amp;" "&amp;I958&amp;" "&amp;M958&amp;" "&amp;N958&amp;" "&amp;T958))),ISNUMBER(SEARCH("bank",LOWER(F958&amp;" "&amp;H958&amp;" "&amp;I958&amp;" "&amp;M958&amp;" "&amp;N958&amp;" "&amp;T958))),ISNUMBER(SEARCH("banking",LOWER(F958&amp;" "&amp;H958&amp;" "&amp;I958&amp;" "&amp;M958&amp;" "&amp;N958&amp;" "&amp;T958)))),"PRIVATE_QUARANTINE",IF(OR(ISNUMBER(SEARCH("treasury",LOWER(F958&amp;" "&amp;H958&amp;" "&amp;I958&amp;" "&amp;M958&amp;" "&amp;N958&amp;" "&amp;T958))),ISNUMBER(SEARCH("debt",LOWER(F958&amp;" "&amp;H958&amp;" "&amp;I958&amp;" "&amp;M958&amp;" "&amp;N958&amp;" "&amp;T958))),ISNUMBER(SEARCH("bond",LOWER(F958&amp;" "&amp;H958&amp;" "&amp;I958&amp;" "&amp;M958&amp;" "&amp;N958&amp;" "&amp;T958))),ISNUMBER(SEARCH("transaction",LOWER(F958&amp;" "&amp;H958&amp;" "&amp;I958&amp;" "&amp;M958&amp;" "&amp;N958&amp;" "&amp;T958)))),"PRIVATE_REVIEW","PUBLIC_CANDIDATE"))</x:f>
        <x:v>PUBLIC_CANDIDATE</x:v>
      </x:c>
      <x:c r="AD958" s="12" t="str">
        <x:f>IF(AC958="PRIVATE_QUARANTINE","hacker_or_bank_trigger",IF(AC958="PRIVATE_REVIEW","finance_risk_trigger","none"))</x:f>
        <x:v>none</x:v>
      </x:c>
      <x:c r="AE958" s="12" t="str">
        <x:f>IF(AC958="PUBLIC_CANDIDATE","prepare_public_github_candidate",IF(AC958="PRIVATE_REVIEW","hold_for_private_review","quarantine_private_do_not_publish"))</x:f>
        <x:v>prepare_public_github_candidate</x:v>
      </x:c>
      <x:c r="AF958" s="12" t="str">
        <x:f>IF(AC958="PUBLIC_CANDIDATE","TIDELOCK + Lucerna",IF(AC958="PRIVATE_REVIEW","AtlasBrain + Lucerna","TIDELOCK + Lucerna + Human-root"))</x:f>
        <x:v>TIDELOCK + Lucerna</x:v>
      </x:c>
      <x:c r="AG958" s="12" t="str">
        <x:f>IF(AND(AC958="PUBLIC_CANDIDATE",U958&lt;&gt;"BLOCKED_PENDING_RECEIPT"),"READY_AFTER_RECEIPT","NOT_READY")</x:f>
        <x:v>NOT_READY</x:v>
      </x:c>
      <x:c r="AH958" s="12" t="str">
        <x:f>IF(AC958="PUBLIC_CANDIDATE","none",AD958)</x:f>
        <x:v>none</x:v>
      </x:c>
      <x:c r="AI958" s="12" t="str">
        <x:f>IF(AC958="PUBLIC_CANDIDATE","archive/public_candidates/"&amp;A958,"private_quarantine/"&amp;A958)</x:f>
        <x:v>archive/public_candidates/SWARM-07-H08-S09</x:v>
      </x:c>
      <x:c r="AJ958" s="12" t="str">
        <x:f>IF(AC958="PUBLIC_CANDIDATE","public by default; still not canon","private/hold; do not publish")</x:f>
        <x:v>public by default; still not canon</x:v>
      </x:c>
      <x:c r="AK958" s="12" t="str">
        <x:f>IF(AE958="prepare_public_github_candidate","add receipt/status then mirror","resolve blocker before any public GitHub action")</x:f>
        <x:v>add receipt/status then mirror</x:v>
      </x:c>
    </x:row>
    <x:row r="959">
      <x:c r="A959" s="15" t="str">
        <x:v>SWARM-07-H08-S10</x:v>
      </x:c>
      <x:c r="B959" s="15" t="str">
        <x:v>Domechild</x:v>
      </x:c>
      <x:c r="C959" s="15" t="str">
        <x:v>Planetarium lane builder</x:v>
      </x:c>
      <x:c r="D959" s="15" t="str">
        <x:v>Graph Edge Proposals</x:v>
      </x:c>
      <x:c r="E959" s="15" t="str">
        <x:v>Human-Root</x:v>
      </x:c>
      <x:c r="F959" s="15" t="str">
        <x:v>Propose graph edges for Human-Root — Domechild</x:v>
      </x:c>
      <x:c r="G959" s="15" t="str">
        <x:v>planetarium source packets / civic-science deltas</x:v>
      </x:c>
      <x:c r="H959" s="15" t="str">
        <x:v>source path + receipt + raw/export status + claim/edge/risk delta</x:v>
      </x:c>
      <x:c r="I959" s="15" t="str">
        <x:v>packet/SWARM-07-H08-S10</x:v>
      </x:c>
      <x:c r="J959" s="15" t="str">
        <x:v>TODO</x:v>
      </x:c>
      <x:c r="K959" s="15" t="str">
        <x:v>P2</x:v>
      </x:c>
      <x:c r="L959" s="15" t="str">
        <x:v>Done only when evidence is logged, contradiction search is noted, and boundary stamp remains non-canon unless ratified</x:v>
      </x:c>
      <x:c r="M959" s="15" t="str">
        <x:v>candidate / staging-only / not canon / not deployed / authority none</x:v>
      </x:c>
      <x:c r="N959" s="15" t="str">
        <x:v>Dispatch to Domechild: complete Graph Edge Proposals x Human-Root; return deltas only, receipts required.</x:v>
      </x:c>
      <x:c r="O959" s="15" t="str">
        <x:v>AF-KG-H08-S10</x:v>
      </x:c>
      <x:c r="P959" s="15" t="str">
        <x:v>Unverified</x:v>
      </x:c>
      <x:c r="Q959" s="15" t="str">
        <x:v>Not checked</x:v>
      </x:c>
      <x:c r="R959" s="15" t="str"/>
      <x:c r="S959" s="15" t="str"/>
      <x:c r="T959" s="15" t="str">
        <x:v>Log first source path or blocker</x:v>
      </x:c>
      <x:c r="U959" s="12" t="str">
        <x:f>IF(OR(P959="Unverified",Q959="Not checked"),"BLOCKED_PENDING_RECEIPT","READY_FOR_REVIEW")</x:f>
        <x:v>BLOCKED_PENDING_RECEIPT</x:v>
      </x:c>
      <x:c r="V959" s="12" t="str">
        <x:f>IF(J959="DONE","RETURNED",IF(U959="BLOCKED_PENDING_RECEIPT","SOURCE_TOUCH_REQUIRED","IN_PROGRESS"))</x:f>
        <x:v>SOURCE_TOUCH_REQUIRED</x:v>
      </x:c>
      <x:c r="W959" s="12" t="str">
        <x:f>IF(P959="Unverified","missing_receipt","receipt_logged")</x:f>
        <x:v>missing_receipt</x:v>
      </x:c>
      <x:c r="X959" s="12" t="str">
        <x:f>IF(Q959="Not checked","raw_status_missing","raw_status_logged")</x:f>
        <x:v>raw_status_missing</x:v>
      </x:c>
      <x:c r="Y959" s="12" t="str">
        <x:f>IF(U959="BLOCKED_PENDING_RECEIPT","Log source path or blocker; do not promote","Route to review lane")</x:f>
        <x:v>Log source path or blocker; do not promote</x:v>
      </x:c>
      <x:c r="Z959" s="12" t="str">
        <x:f>IF(K959="P0","Primary seat + Hashlight/Lucerna","Seat lane")</x:f>
        <x:v>Seat lane</x:v>
      </x:c>
      <x:c r="AA959" s="12" t="str">
        <x:f>IF(R959="","no_claim_delta","claim_delta_present")</x:f>
        <x:v>no_claim_delta</x:v>
      </x:c>
      <x:c r="AB959" s="12" t="str">
        <x:f>IF(S959="","no_contradiction_delta","contradiction_delta_present")</x:f>
        <x:v>no_contradiction_delta</x:v>
      </x:c>
      <x:c r="AC959" s="12" t="str">
        <x:f>IF(OR(ISNUMBER(SEARCH("hacker",LOWER(F959&amp;" "&amp;H959&amp;" "&amp;I959&amp;" "&amp;M959&amp;" "&amp;N959&amp;" "&amp;T959))),ISNUMBER(SEARCH("hacking",LOWER(F959&amp;" "&amp;H959&amp;" "&amp;I959&amp;" "&amp;M959&amp;" "&amp;N959&amp;" "&amp;T959))),ISNUMBER(SEARCH("bank",LOWER(F959&amp;" "&amp;H959&amp;" "&amp;I959&amp;" "&amp;M959&amp;" "&amp;N959&amp;" "&amp;T959))),ISNUMBER(SEARCH("banking",LOWER(F959&amp;" "&amp;H959&amp;" "&amp;I959&amp;" "&amp;M959&amp;" "&amp;N959&amp;" "&amp;T959)))),"PRIVATE_QUARANTINE",IF(OR(ISNUMBER(SEARCH("treasury",LOWER(F959&amp;" "&amp;H959&amp;" "&amp;I959&amp;" "&amp;M959&amp;" "&amp;N959&amp;" "&amp;T959))),ISNUMBER(SEARCH("debt",LOWER(F959&amp;" "&amp;H959&amp;" "&amp;I959&amp;" "&amp;M959&amp;" "&amp;N959&amp;" "&amp;T959))),ISNUMBER(SEARCH("bond",LOWER(F959&amp;" "&amp;H959&amp;" "&amp;I959&amp;" "&amp;M959&amp;" "&amp;N959&amp;" "&amp;T959))),ISNUMBER(SEARCH("transaction",LOWER(F959&amp;" "&amp;H959&amp;" "&amp;I959&amp;" "&amp;M959&amp;" "&amp;N959&amp;" "&amp;T959)))),"PRIVATE_REVIEW","PUBLIC_CANDIDATE"))</x:f>
        <x:v>PUBLIC_CANDIDATE</x:v>
      </x:c>
      <x:c r="AD959" s="12" t="str">
        <x:f>IF(AC959="PRIVATE_QUARANTINE","hacker_or_bank_trigger",IF(AC959="PRIVATE_REVIEW","finance_risk_trigger","none"))</x:f>
        <x:v>none</x:v>
      </x:c>
      <x:c r="AE959" s="12" t="str">
        <x:f>IF(AC959="PUBLIC_CANDIDATE","prepare_public_github_candidate",IF(AC959="PRIVATE_REVIEW","hold_for_private_review","quarantine_private_do_not_publish"))</x:f>
        <x:v>prepare_public_github_candidate</x:v>
      </x:c>
      <x:c r="AF959" s="12" t="str">
        <x:f>IF(AC959="PUBLIC_CANDIDATE","TIDELOCK + Lucerna",IF(AC959="PRIVATE_REVIEW","AtlasBrain + Lucerna","TIDELOCK + Lucerna + Human-root"))</x:f>
        <x:v>TIDELOCK + Lucerna</x:v>
      </x:c>
      <x:c r="AG959" s="12" t="str">
        <x:f>IF(AND(AC959="PUBLIC_CANDIDATE",U959&lt;&gt;"BLOCKED_PENDING_RECEIPT"),"READY_AFTER_RECEIPT","NOT_READY")</x:f>
        <x:v>NOT_READY</x:v>
      </x:c>
      <x:c r="AH959" s="12" t="str">
        <x:f>IF(AC959="PUBLIC_CANDIDATE","none",AD959)</x:f>
        <x:v>none</x:v>
      </x:c>
      <x:c r="AI959" s="12" t="str">
        <x:f>IF(AC959="PUBLIC_CANDIDATE","archive/public_candidates/"&amp;A959,"private_quarantine/"&amp;A959)</x:f>
        <x:v>archive/public_candidates/SWARM-07-H08-S10</x:v>
      </x:c>
      <x:c r="AJ959" s="12" t="str">
        <x:f>IF(AC959="PUBLIC_CANDIDATE","public by default; still not canon","private/hold; do not publish")</x:f>
        <x:v>public by default; still not canon</x:v>
      </x:c>
      <x:c r="AK959" s="12" t="str">
        <x:f>IF(AE959="prepare_public_github_candidate","add receipt/status then mirror","resolve blocker before any public GitHub action")</x:f>
        <x:v>add receipt/status then mirror</x:v>
      </x:c>
    </x:row>
    <x:row r="960">
      <x:c r="A960" s="15" t="str">
        <x:v>SWARM-07-H08-S11</x:v>
      </x:c>
      <x:c r="B960" s="15" t="str">
        <x:v>Domechild</x:v>
      </x:c>
      <x:c r="C960" s="15" t="str">
        <x:v>Planetarium lane builder</x:v>
      </x:c>
      <x:c r="D960" s="15" t="str">
        <x:v>Graph Edge Proposals</x:v>
      </x:c>
      <x:c r="E960" s="15" t="str">
        <x:v>Automation</x:v>
      </x:c>
      <x:c r="F960" s="15" t="str">
        <x:v>Propose graph edges for Automation — Domechild</x:v>
      </x:c>
      <x:c r="G960" s="15" t="str">
        <x:v>planetarium source packets / civic-science deltas</x:v>
      </x:c>
      <x:c r="H960" s="15" t="str">
        <x:v>source path + receipt + raw/export status + claim/edge/risk delta</x:v>
      </x:c>
      <x:c r="I960" s="15" t="str">
        <x:v>packet/SWARM-07-H08-S11</x:v>
      </x:c>
      <x:c r="J960" s="15" t="str">
        <x:v>TODO</x:v>
      </x:c>
      <x:c r="K960" s="15" t="str">
        <x:v>P2</x:v>
      </x:c>
      <x:c r="L960" s="15" t="str">
        <x:v>Done only when evidence is logged, contradiction search is noted, and boundary stamp remains non-canon unless ratified</x:v>
      </x:c>
      <x:c r="M960" s="15" t="str">
        <x:v>candidate / staging-only / not canon / not deployed / authority none</x:v>
      </x:c>
      <x:c r="N960" s="15" t="str">
        <x:v>Dispatch to Domechild: complete Graph Edge Proposals x Automation; return deltas only, receipts required.</x:v>
      </x:c>
      <x:c r="O960" s="15" t="str">
        <x:v>AF-KG-H08-S11</x:v>
      </x:c>
      <x:c r="P960" s="15" t="str">
        <x:v>Unverified</x:v>
      </x:c>
      <x:c r="Q960" s="15" t="str">
        <x:v>Not checked</x:v>
      </x:c>
      <x:c r="R960" s="15" t="str"/>
      <x:c r="S960" s="15" t="str"/>
      <x:c r="T960" s="15" t="str">
        <x:v>Log first source path or blocker</x:v>
      </x:c>
      <x:c r="U960" s="12" t="str">
        <x:f>IF(OR(P960="Unverified",Q960="Not checked"),"BLOCKED_PENDING_RECEIPT","READY_FOR_REVIEW")</x:f>
        <x:v>BLOCKED_PENDING_RECEIPT</x:v>
      </x:c>
      <x:c r="V960" s="12" t="str">
        <x:f>IF(J960="DONE","RETURNED",IF(U960="BLOCKED_PENDING_RECEIPT","SOURCE_TOUCH_REQUIRED","IN_PROGRESS"))</x:f>
        <x:v>SOURCE_TOUCH_REQUIRED</x:v>
      </x:c>
      <x:c r="W960" s="12" t="str">
        <x:f>IF(P960="Unverified","missing_receipt","receipt_logged")</x:f>
        <x:v>missing_receipt</x:v>
      </x:c>
      <x:c r="X960" s="12" t="str">
        <x:f>IF(Q960="Not checked","raw_status_missing","raw_status_logged")</x:f>
        <x:v>raw_status_missing</x:v>
      </x:c>
      <x:c r="Y960" s="12" t="str">
        <x:f>IF(U960="BLOCKED_PENDING_RECEIPT","Log source path or blocker; do not promote","Route to review lane")</x:f>
        <x:v>Log source path or blocker; do not promote</x:v>
      </x:c>
      <x:c r="Z960" s="12" t="str">
        <x:f>IF(K960="P0","Primary seat + Hashlight/Lucerna","Seat lane")</x:f>
        <x:v>Seat lane</x:v>
      </x:c>
      <x:c r="AA960" s="12" t="str">
        <x:f>IF(R960="","no_claim_delta","claim_delta_present")</x:f>
        <x:v>no_claim_delta</x:v>
      </x:c>
      <x:c r="AB960" s="12" t="str">
        <x:f>IF(S960="","no_contradiction_delta","contradiction_delta_present")</x:f>
        <x:v>no_contradiction_delta</x:v>
      </x:c>
      <x:c r="AC960" s="12" t="str">
        <x:f>IF(OR(ISNUMBER(SEARCH("hacker",LOWER(F960&amp;" "&amp;H960&amp;" "&amp;I960&amp;" "&amp;M960&amp;" "&amp;N960&amp;" "&amp;T960))),ISNUMBER(SEARCH("hacking",LOWER(F960&amp;" "&amp;H960&amp;" "&amp;I960&amp;" "&amp;M960&amp;" "&amp;N960&amp;" "&amp;T960))),ISNUMBER(SEARCH("bank",LOWER(F960&amp;" "&amp;H960&amp;" "&amp;I960&amp;" "&amp;M960&amp;" "&amp;N960&amp;" "&amp;T960))),ISNUMBER(SEARCH("banking",LOWER(F960&amp;" "&amp;H960&amp;" "&amp;I960&amp;" "&amp;M960&amp;" "&amp;N960&amp;" "&amp;T960)))),"PRIVATE_QUARANTINE",IF(OR(ISNUMBER(SEARCH("treasury",LOWER(F960&amp;" "&amp;H960&amp;" "&amp;I960&amp;" "&amp;M960&amp;" "&amp;N960&amp;" "&amp;T960))),ISNUMBER(SEARCH("debt",LOWER(F960&amp;" "&amp;H960&amp;" "&amp;I960&amp;" "&amp;M960&amp;" "&amp;N960&amp;" "&amp;T960))),ISNUMBER(SEARCH("bond",LOWER(F960&amp;" "&amp;H960&amp;" "&amp;I960&amp;" "&amp;M960&amp;" "&amp;N960&amp;" "&amp;T960))),ISNUMBER(SEARCH("transaction",LOWER(F960&amp;" "&amp;H960&amp;" "&amp;I960&amp;" "&amp;M960&amp;" "&amp;N960&amp;" "&amp;T960)))),"PRIVATE_REVIEW","PUBLIC_CANDIDATE"))</x:f>
        <x:v>PUBLIC_CANDIDATE</x:v>
      </x:c>
      <x:c r="AD960" s="12" t="str">
        <x:f>IF(AC960="PRIVATE_QUARANTINE","hacker_or_bank_trigger",IF(AC960="PRIVATE_REVIEW","finance_risk_trigger","none"))</x:f>
        <x:v>none</x:v>
      </x:c>
      <x:c r="AE960" s="12" t="str">
        <x:f>IF(AC960="PUBLIC_CANDIDATE","prepare_public_github_candidate",IF(AC960="PRIVATE_REVIEW","hold_for_private_review","quarantine_private_do_not_publish"))</x:f>
        <x:v>prepare_public_github_candidate</x:v>
      </x:c>
      <x:c r="AF960" s="12" t="str">
        <x:f>IF(AC960="PUBLIC_CANDIDATE","TIDELOCK + Lucerna",IF(AC960="PRIVATE_REVIEW","AtlasBrain + Lucerna","TIDELOCK + Lucerna + Human-root"))</x:f>
        <x:v>TIDELOCK + Lucerna</x:v>
      </x:c>
      <x:c r="AG960" s="12" t="str">
        <x:f>IF(AND(AC960="PUBLIC_CANDIDATE",U960&lt;&gt;"BLOCKED_PENDING_RECEIPT"),"READY_AFTER_RECEIPT","NOT_READY")</x:f>
        <x:v>NOT_READY</x:v>
      </x:c>
      <x:c r="AH960" s="12" t="str">
        <x:f>IF(AC960="PUBLIC_CANDIDATE","none",AD960)</x:f>
        <x:v>none</x:v>
      </x:c>
      <x:c r="AI960" s="12" t="str">
        <x:f>IF(AC960="PUBLIC_CANDIDATE","archive/public_candidates/"&amp;A960,"private_quarantine/"&amp;A960)</x:f>
        <x:v>archive/public_candidates/SWARM-07-H08-S11</x:v>
      </x:c>
      <x:c r="AJ960" s="12" t="str">
        <x:f>IF(AC960="PUBLIC_CANDIDATE","public by default; still not canon","private/hold; do not publish")</x:f>
        <x:v>public by default; still not canon</x:v>
      </x:c>
      <x:c r="AK960" s="12" t="str">
        <x:f>IF(AE960="prepare_public_github_candidate","add receipt/status then mirror","resolve blocker before any public GitHub action")</x:f>
        <x:v>add receipt/status then mirror</x:v>
      </x:c>
    </x:row>
    <x:row r="961">
      <x:c r="A961" s="15" t="str">
        <x:v>SWARM-07-H08-S12</x:v>
      </x:c>
      <x:c r="B961" s="15" t="str">
        <x:v>Domechild</x:v>
      </x:c>
      <x:c r="C961" s="15" t="str">
        <x:v>Planetarium lane builder</x:v>
      </x:c>
      <x:c r="D961" s="15" t="str">
        <x:v>Graph Edge Proposals</x:v>
      </x:c>
      <x:c r="E961" s="15" t="str">
        <x:v>Risk / Safety</x:v>
      </x:c>
      <x:c r="F961" s="15" t="str">
        <x:v>Propose graph edges for Risk / Safety — Domechild</x:v>
      </x:c>
      <x:c r="G961" s="15" t="str">
        <x:v>planetarium source packets / civic-science deltas</x:v>
      </x:c>
      <x:c r="H961" s="15" t="str">
        <x:v>source path + receipt + raw/export status + claim/edge/risk delta</x:v>
      </x:c>
      <x:c r="I961" s="15" t="str">
        <x:v>packet/SWARM-07-H08-S12</x:v>
      </x:c>
      <x:c r="J961" s="15" t="str">
        <x:v>TODO</x:v>
      </x:c>
      <x:c r="K961" s="15" t="str">
        <x:v>P2</x:v>
      </x:c>
      <x:c r="L961" s="15" t="str">
        <x:v>Done only when evidence is logged, contradiction search is noted, and boundary stamp remains non-canon unless ratified</x:v>
      </x:c>
      <x:c r="M961" s="15" t="str">
        <x:v>candidate / staging-only / not canon / not deployed / authority none</x:v>
      </x:c>
      <x:c r="N961" s="15" t="str">
        <x:v>Dispatch to Domechild: complete Graph Edge Proposals x Risk / Safety; return deltas only, receipts required.</x:v>
      </x:c>
      <x:c r="O961" s="15" t="str">
        <x:v>AF-KG-H08-S12</x:v>
      </x:c>
      <x:c r="P961" s="15" t="str">
        <x:v>Unverified</x:v>
      </x:c>
      <x:c r="Q961" s="15" t="str">
        <x:v>Not checked</x:v>
      </x:c>
      <x:c r="R961" s="15" t="str"/>
      <x:c r="S961" s="15" t="str"/>
      <x:c r="T961" s="15" t="str">
        <x:v>Log first source path or blocker</x:v>
      </x:c>
      <x:c r="U961" s="12" t="str">
        <x:f>IF(OR(P961="Unverified",Q961="Not checked"),"BLOCKED_PENDING_RECEIPT","READY_FOR_REVIEW")</x:f>
        <x:v>BLOCKED_PENDING_RECEIPT</x:v>
      </x:c>
      <x:c r="V961" s="12" t="str">
        <x:f>IF(J961="DONE","RETURNED",IF(U961="BLOCKED_PENDING_RECEIPT","SOURCE_TOUCH_REQUIRED","IN_PROGRESS"))</x:f>
        <x:v>SOURCE_TOUCH_REQUIRED</x:v>
      </x:c>
      <x:c r="W961" s="12" t="str">
        <x:f>IF(P961="Unverified","missing_receipt","receipt_logged")</x:f>
        <x:v>missing_receipt</x:v>
      </x:c>
      <x:c r="X961" s="12" t="str">
        <x:f>IF(Q961="Not checked","raw_status_missing","raw_status_logged")</x:f>
        <x:v>raw_status_missing</x:v>
      </x:c>
      <x:c r="Y961" s="12" t="str">
        <x:f>IF(U961="BLOCKED_PENDING_RECEIPT","Log source path or blocker; do not promote","Route to review lane")</x:f>
        <x:v>Log source path or blocker; do not promote</x:v>
      </x:c>
      <x:c r="Z961" s="12" t="str">
        <x:f>IF(K961="P0","Primary seat + Hashlight/Lucerna","Seat lane")</x:f>
        <x:v>Seat lane</x:v>
      </x:c>
      <x:c r="AA961" s="12" t="str">
        <x:f>IF(R961="","no_claim_delta","claim_delta_present")</x:f>
        <x:v>no_claim_delta</x:v>
      </x:c>
      <x:c r="AB961" s="12" t="str">
        <x:f>IF(S961="","no_contradiction_delta","contradiction_delta_present")</x:f>
        <x:v>no_contradiction_delta</x:v>
      </x:c>
      <x:c r="AC961" s="12" t="str">
        <x:f>IF(OR(ISNUMBER(SEARCH("hacker",LOWER(F961&amp;" "&amp;H961&amp;" "&amp;I961&amp;" "&amp;M961&amp;" "&amp;N961&amp;" "&amp;T961))),ISNUMBER(SEARCH("hacking",LOWER(F961&amp;" "&amp;H961&amp;" "&amp;I961&amp;" "&amp;M961&amp;" "&amp;N961&amp;" "&amp;T961))),ISNUMBER(SEARCH("bank",LOWER(F961&amp;" "&amp;H961&amp;" "&amp;I961&amp;" "&amp;M961&amp;" "&amp;N961&amp;" "&amp;T961))),ISNUMBER(SEARCH("banking",LOWER(F961&amp;" "&amp;H961&amp;" "&amp;I961&amp;" "&amp;M961&amp;" "&amp;N961&amp;" "&amp;T961)))),"PRIVATE_QUARANTINE",IF(OR(ISNUMBER(SEARCH("treasury",LOWER(F961&amp;" "&amp;H961&amp;" "&amp;I961&amp;" "&amp;M961&amp;" "&amp;N961&amp;" "&amp;T961))),ISNUMBER(SEARCH("debt",LOWER(F961&amp;" "&amp;H961&amp;" "&amp;I961&amp;" "&amp;M961&amp;" "&amp;N961&amp;" "&amp;T961))),ISNUMBER(SEARCH("bond",LOWER(F961&amp;" "&amp;H961&amp;" "&amp;I961&amp;" "&amp;M961&amp;" "&amp;N961&amp;" "&amp;T961))),ISNUMBER(SEARCH("transaction",LOWER(F961&amp;" "&amp;H961&amp;" "&amp;I961&amp;" "&amp;M961&amp;" "&amp;N961&amp;" "&amp;T961)))),"PRIVATE_REVIEW","PUBLIC_CANDIDATE"))</x:f>
        <x:v>PUBLIC_CANDIDATE</x:v>
      </x:c>
      <x:c r="AD961" s="12" t="str">
        <x:f>IF(AC961="PRIVATE_QUARANTINE","hacker_or_bank_trigger",IF(AC961="PRIVATE_REVIEW","finance_risk_trigger","none"))</x:f>
        <x:v>none</x:v>
      </x:c>
      <x:c r="AE961" s="12" t="str">
        <x:f>IF(AC961="PUBLIC_CANDIDATE","prepare_public_github_candidate",IF(AC961="PRIVATE_REVIEW","hold_for_private_review","quarantine_private_do_not_publish"))</x:f>
        <x:v>prepare_public_github_candidate</x:v>
      </x:c>
      <x:c r="AF961" s="12" t="str">
        <x:f>IF(AC961="PUBLIC_CANDIDATE","TIDELOCK + Lucerna",IF(AC961="PRIVATE_REVIEW","AtlasBrain + Lucerna","TIDELOCK + Lucerna + Human-root"))</x:f>
        <x:v>TIDELOCK + Lucerna</x:v>
      </x:c>
      <x:c r="AG961" s="12" t="str">
        <x:f>IF(AND(AC961="PUBLIC_CANDIDATE",U961&lt;&gt;"BLOCKED_PENDING_RECEIPT"),"READY_AFTER_RECEIPT","NOT_READY")</x:f>
        <x:v>NOT_READY</x:v>
      </x:c>
      <x:c r="AH961" s="12" t="str">
        <x:f>IF(AC961="PUBLIC_CANDIDATE","none",AD961)</x:f>
        <x:v>none</x:v>
      </x:c>
      <x:c r="AI961" s="12" t="str">
        <x:f>IF(AC961="PUBLIC_CANDIDATE","archive/public_candidates/"&amp;A961,"private_quarantine/"&amp;A961)</x:f>
        <x:v>archive/public_candidates/SWARM-07-H08-S12</x:v>
      </x:c>
      <x:c r="AJ961" s="12" t="str">
        <x:f>IF(AC961="PUBLIC_CANDIDATE","public by default; still not canon","private/hold; do not publish")</x:f>
        <x:v>public by default; still not canon</x:v>
      </x:c>
      <x:c r="AK961" s="12" t="str">
        <x:f>IF(AE961="prepare_public_github_candidate","add receipt/status then mirror","resolve blocker before any public GitHub action")</x:f>
        <x:v>add receipt/status then mirror</x:v>
      </x:c>
    </x:row>
    <x:row r="962">
      <x:c r="A962" s="15" t="str">
        <x:v>SWARM-07-H09-S01</x:v>
      </x:c>
      <x:c r="B962" s="15" t="str">
        <x:v>Domechild</x:v>
      </x:c>
      <x:c r="C962" s="15" t="str">
        <x:v>Planetarium lane builder</x:v>
      </x:c>
      <x:c r="D962" s="15" t="str">
        <x:v>Review Queues</x:v>
      </x:c>
      <x:c r="E962" s="15" t="str">
        <x:v>Notion</x:v>
      </x:c>
      <x:c r="F962" s="15" t="str">
        <x:v>Queue review for Notion — Domechild</x:v>
      </x:c>
      <x:c r="G962" s="15" t="str">
        <x:v>planetarium source packets / civic-science deltas</x:v>
      </x:c>
      <x:c r="H962" s="15" t="str">
        <x:v>source path + receipt + raw/export status + claim/edge/risk delta</x:v>
      </x:c>
      <x:c r="I962" s="15" t="str">
        <x:v>packet/SWARM-07-H09-S01</x:v>
      </x:c>
      <x:c r="J962" s="15" t="str">
        <x:v>TODO</x:v>
      </x:c>
      <x:c r="K962" s="15" t="str">
        <x:v>P0</x:v>
      </x:c>
      <x:c r="L962" s="15" t="str">
        <x:v>Done only when evidence is logged, contradiction search is noted, and boundary stamp remains non-canon unless ratified</x:v>
      </x:c>
      <x:c r="M962" s="15" t="str">
        <x:v>candidate / staging-only / not canon / not deployed / authority none</x:v>
      </x:c>
      <x:c r="N962" s="15" t="str">
        <x:v>Dispatch to Domechild: complete Review Queues x Notion; return deltas only, receipts required.</x:v>
      </x:c>
      <x:c r="O962" s="15" t="str">
        <x:v>AF-KG-H09-S01</x:v>
      </x:c>
      <x:c r="P962" s="15" t="str">
        <x:v>Unverified</x:v>
      </x:c>
      <x:c r="Q962" s="15" t="str">
        <x:v>Not checked</x:v>
      </x:c>
      <x:c r="R962" s="15" t="str"/>
      <x:c r="S962" s="15" t="str"/>
      <x:c r="T962" s="15" t="str">
        <x:v>Log first source path or blocker</x:v>
      </x:c>
      <x:c r="U962" s="12" t="str">
        <x:f>IF(OR(P962="Unverified",Q962="Not checked"),"BLOCKED_PENDING_RECEIPT","READY_FOR_REVIEW")</x:f>
        <x:v>BLOCKED_PENDING_RECEIPT</x:v>
      </x:c>
      <x:c r="V962" s="12" t="str">
        <x:f>IF(J962="DONE","RETURNED",IF(U962="BLOCKED_PENDING_RECEIPT","SOURCE_TOUCH_REQUIRED","IN_PROGRESS"))</x:f>
        <x:v>SOURCE_TOUCH_REQUIRED</x:v>
      </x:c>
      <x:c r="W962" s="12" t="str">
        <x:f>IF(P962="Unverified","missing_receipt","receipt_logged")</x:f>
        <x:v>missing_receipt</x:v>
      </x:c>
      <x:c r="X962" s="12" t="str">
        <x:f>IF(Q962="Not checked","raw_status_missing","raw_status_logged")</x:f>
        <x:v>raw_status_missing</x:v>
      </x:c>
      <x:c r="Y962" s="12" t="str">
        <x:f>IF(U962="BLOCKED_PENDING_RECEIPT","Log source path or blocker; do not promote","Route to review lane")</x:f>
        <x:v>Log source path or blocker; do not promote</x:v>
      </x:c>
      <x:c r="Z962" s="12" t="str">
        <x:f>IF(K962="P0","Primary seat + Hashlight/Lucerna","Seat lane")</x:f>
        <x:v>Primary seat + Hashlight/Lucerna</x:v>
      </x:c>
      <x:c r="AA962" s="12" t="str">
        <x:f>IF(R962="","no_claim_delta","claim_delta_present")</x:f>
        <x:v>no_claim_delta</x:v>
      </x:c>
      <x:c r="AB962" s="12" t="str">
        <x:f>IF(S962="","no_contradiction_delta","contradiction_delta_present")</x:f>
        <x:v>no_contradiction_delta</x:v>
      </x:c>
      <x:c r="AC962" s="12" t="str">
        <x:f>IF(OR(ISNUMBER(SEARCH("hacker",LOWER(F962&amp;" "&amp;H962&amp;" "&amp;I962&amp;" "&amp;M962&amp;" "&amp;N962&amp;" "&amp;T962))),ISNUMBER(SEARCH("hacking",LOWER(F962&amp;" "&amp;H962&amp;" "&amp;I962&amp;" "&amp;M962&amp;" "&amp;N962&amp;" "&amp;T962))),ISNUMBER(SEARCH("bank",LOWER(F962&amp;" "&amp;H962&amp;" "&amp;I962&amp;" "&amp;M962&amp;" "&amp;N962&amp;" "&amp;T962))),ISNUMBER(SEARCH("banking",LOWER(F962&amp;" "&amp;H962&amp;" "&amp;I962&amp;" "&amp;M962&amp;" "&amp;N962&amp;" "&amp;T962)))),"PRIVATE_QUARANTINE",IF(OR(ISNUMBER(SEARCH("treasury",LOWER(F962&amp;" "&amp;H962&amp;" "&amp;I962&amp;" "&amp;M962&amp;" "&amp;N962&amp;" "&amp;T962))),ISNUMBER(SEARCH("debt",LOWER(F962&amp;" "&amp;H962&amp;" "&amp;I962&amp;" "&amp;M962&amp;" "&amp;N962&amp;" "&amp;T962))),ISNUMBER(SEARCH("bond",LOWER(F962&amp;" "&amp;H962&amp;" "&amp;I962&amp;" "&amp;M962&amp;" "&amp;N962&amp;" "&amp;T962))),ISNUMBER(SEARCH("transaction",LOWER(F962&amp;" "&amp;H962&amp;" "&amp;I962&amp;" "&amp;M962&amp;" "&amp;N962&amp;" "&amp;T962)))),"PRIVATE_REVIEW","PUBLIC_CANDIDATE"))</x:f>
        <x:v>PUBLIC_CANDIDATE</x:v>
      </x:c>
      <x:c r="AD962" s="12" t="str">
        <x:f>IF(AC962="PRIVATE_QUARANTINE","hacker_or_bank_trigger",IF(AC962="PRIVATE_REVIEW","finance_risk_trigger","none"))</x:f>
        <x:v>none</x:v>
      </x:c>
      <x:c r="AE962" s="12" t="str">
        <x:f>IF(AC962="PUBLIC_CANDIDATE","prepare_public_github_candidate",IF(AC962="PRIVATE_REVIEW","hold_for_private_review","quarantine_private_do_not_publish"))</x:f>
        <x:v>prepare_public_github_candidate</x:v>
      </x:c>
      <x:c r="AF962" s="12" t="str">
        <x:f>IF(AC962="PUBLIC_CANDIDATE","TIDELOCK + Lucerna",IF(AC962="PRIVATE_REVIEW","AtlasBrain + Lucerna","TIDELOCK + Lucerna + Human-root"))</x:f>
        <x:v>TIDELOCK + Lucerna</x:v>
      </x:c>
      <x:c r="AG962" s="12" t="str">
        <x:f>IF(AND(AC962="PUBLIC_CANDIDATE",U962&lt;&gt;"BLOCKED_PENDING_RECEIPT"),"READY_AFTER_RECEIPT","NOT_READY")</x:f>
        <x:v>NOT_READY</x:v>
      </x:c>
      <x:c r="AH962" s="12" t="str">
        <x:f>IF(AC962="PUBLIC_CANDIDATE","none",AD962)</x:f>
        <x:v>none</x:v>
      </x:c>
      <x:c r="AI962" s="12" t="str">
        <x:f>IF(AC962="PUBLIC_CANDIDATE","archive/public_candidates/"&amp;A962,"private_quarantine/"&amp;A962)</x:f>
        <x:v>archive/public_candidates/SWARM-07-H09-S01</x:v>
      </x:c>
      <x:c r="AJ962" s="12" t="str">
        <x:f>IF(AC962="PUBLIC_CANDIDATE","public by default; still not canon","private/hold; do not publish")</x:f>
        <x:v>public by default; still not canon</x:v>
      </x:c>
      <x:c r="AK962" s="12" t="str">
        <x:f>IF(AE962="prepare_public_github_candidate","add receipt/status then mirror","resolve blocker before any public GitHub action")</x:f>
        <x:v>add receipt/status then mirror</x:v>
      </x:c>
    </x:row>
    <x:row r="963">
      <x:c r="A963" s="15" t="str">
        <x:v>SWARM-07-H09-S02</x:v>
      </x:c>
      <x:c r="B963" s="15" t="str">
        <x:v>Domechild</x:v>
      </x:c>
      <x:c r="C963" s="15" t="str">
        <x:v>Planetarium lane builder</x:v>
      </x:c>
      <x:c r="D963" s="15" t="str">
        <x:v>Review Queues</x:v>
      </x:c>
      <x:c r="E963" s="15" t="str">
        <x:v>Drive</x:v>
      </x:c>
      <x:c r="F963" s="15" t="str">
        <x:v>Queue review for Drive — Domechild</x:v>
      </x:c>
      <x:c r="G963" s="15" t="str">
        <x:v>planetarium source packets / civic-science deltas</x:v>
      </x:c>
      <x:c r="H963" s="15" t="str">
        <x:v>source path + receipt + raw/export status + claim/edge/risk delta</x:v>
      </x:c>
      <x:c r="I963" s="15" t="str">
        <x:v>packet/SWARM-07-H09-S02</x:v>
      </x:c>
      <x:c r="J963" s="15" t="str">
        <x:v>TODO</x:v>
      </x:c>
      <x:c r="K963" s="15" t="str">
        <x:v>P0</x:v>
      </x:c>
      <x:c r="L963" s="15" t="str">
        <x:v>Done only when evidence is logged, contradiction search is noted, and boundary stamp remains non-canon unless ratified</x:v>
      </x:c>
      <x:c r="M963" s="15" t="str">
        <x:v>candidate / staging-only / not canon / not deployed / authority none</x:v>
      </x:c>
      <x:c r="N963" s="15" t="str">
        <x:v>Dispatch to Domechild: complete Review Queues x Drive; return deltas only, receipts required.</x:v>
      </x:c>
      <x:c r="O963" s="15" t="str">
        <x:v>AF-KG-H09-S02</x:v>
      </x:c>
      <x:c r="P963" s="15" t="str">
        <x:v>Unverified</x:v>
      </x:c>
      <x:c r="Q963" s="15" t="str">
        <x:v>Not checked</x:v>
      </x:c>
      <x:c r="R963" s="15" t="str"/>
      <x:c r="S963" s="15" t="str"/>
      <x:c r="T963" s="15" t="str">
        <x:v>Log first source path or blocker</x:v>
      </x:c>
      <x:c r="U963" s="12" t="str">
        <x:f>IF(OR(P963="Unverified",Q963="Not checked"),"BLOCKED_PENDING_RECEIPT","READY_FOR_REVIEW")</x:f>
        <x:v>BLOCKED_PENDING_RECEIPT</x:v>
      </x:c>
      <x:c r="V963" s="12" t="str">
        <x:f>IF(J963="DONE","RETURNED",IF(U963="BLOCKED_PENDING_RECEIPT","SOURCE_TOUCH_REQUIRED","IN_PROGRESS"))</x:f>
        <x:v>SOURCE_TOUCH_REQUIRED</x:v>
      </x:c>
      <x:c r="W963" s="12" t="str">
        <x:f>IF(P963="Unverified","missing_receipt","receipt_logged")</x:f>
        <x:v>missing_receipt</x:v>
      </x:c>
      <x:c r="X963" s="12" t="str">
        <x:f>IF(Q963="Not checked","raw_status_missing","raw_status_logged")</x:f>
        <x:v>raw_status_missing</x:v>
      </x:c>
      <x:c r="Y963" s="12" t="str">
        <x:f>IF(U963="BLOCKED_PENDING_RECEIPT","Log source path or blocker; do not promote","Route to review lane")</x:f>
        <x:v>Log source path or blocker; do not promote</x:v>
      </x:c>
      <x:c r="Z963" s="12" t="str">
        <x:f>IF(K963="P0","Primary seat + Hashlight/Lucerna","Seat lane")</x:f>
        <x:v>Primary seat + Hashlight/Lucerna</x:v>
      </x:c>
      <x:c r="AA963" s="12" t="str">
        <x:f>IF(R963="","no_claim_delta","claim_delta_present")</x:f>
        <x:v>no_claim_delta</x:v>
      </x:c>
      <x:c r="AB963" s="12" t="str">
        <x:f>IF(S963="","no_contradiction_delta","contradiction_delta_present")</x:f>
        <x:v>no_contradiction_delta</x:v>
      </x:c>
      <x:c r="AC963" s="12" t="str">
        <x:f>IF(OR(ISNUMBER(SEARCH("hacker",LOWER(F963&amp;" "&amp;H963&amp;" "&amp;I963&amp;" "&amp;M963&amp;" "&amp;N963&amp;" "&amp;T963))),ISNUMBER(SEARCH("hacking",LOWER(F963&amp;" "&amp;H963&amp;" "&amp;I963&amp;" "&amp;M963&amp;" "&amp;N963&amp;" "&amp;T963))),ISNUMBER(SEARCH("bank",LOWER(F963&amp;" "&amp;H963&amp;" "&amp;I963&amp;" "&amp;M963&amp;" "&amp;N963&amp;" "&amp;T963))),ISNUMBER(SEARCH("banking",LOWER(F963&amp;" "&amp;H963&amp;" "&amp;I963&amp;" "&amp;M963&amp;" "&amp;N963&amp;" "&amp;T963)))),"PRIVATE_QUARANTINE",IF(OR(ISNUMBER(SEARCH("treasury",LOWER(F963&amp;" "&amp;H963&amp;" "&amp;I963&amp;" "&amp;M963&amp;" "&amp;N963&amp;" "&amp;T963))),ISNUMBER(SEARCH("debt",LOWER(F963&amp;" "&amp;H963&amp;" "&amp;I963&amp;" "&amp;M963&amp;" "&amp;N963&amp;" "&amp;T963))),ISNUMBER(SEARCH("bond",LOWER(F963&amp;" "&amp;H963&amp;" "&amp;I963&amp;" "&amp;M963&amp;" "&amp;N963&amp;" "&amp;T963))),ISNUMBER(SEARCH("transaction",LOWER(F963&amp;" "&amp;H963&amp;" "&amp;I963&amp;" "&amp;M963&amp;" "&amp;N963&amp;" "&amp;T963)))),"PRIVATE_REVIEW","PUBLIC_CANDIDATE"))</x:f>
        <x:v>PUBLIC_CANDIDATE</x:v>
      </x:c>
      <x:c r="AD963" s="12" t="str">
        <x:f>IF(AC963="PRIVATE_QUARANTINE","hacker_or_bank_trigger",IF(AC963="PRIVATE_REVIEW","finance_risk_trigger","none"))</x:f>
        <x:v>none</x:v>
      </x:c>
      <x:c r="AE963" s="12" t="str">
        <x:f>IF(AC963="PUBLIC_CANDIDATE","prepare_public_github_candidate",IF(AC963="PRIVATE_REVIEW","hold_for_private_review","quarantine_private_do_not_publish"))</x:f>
        <x:v>prepare_public_github_candidate</x:v>
      </x:c>
      <x:c r="AF963" s="12" t="str">
        <x:f>IF(AC963="PUBLIC_CANDIDATE","TIDELOCK + Lucerna",IF(AC963="PRIVATE_REVIEW","AtlasBrain + Lucerna","TIDELOCK + Lucerna + Human-root"))</x:f>
        <x:v>TIDELOCK + Lucerna</x:v>
      </x:c>
      <x:c r="AG963" s="12" t="str">
        <x:f>IF(AND(AC963="PUBLIC_CANDIDATE",U963&lt;&gt;"BLOCKED_PENDING_RECEIPT"),"READY_AFTER_RECEIPT","NOT_READY")</x:f>
        <x:v>NOT_READY</x:v>
      </x:c>
      <x:c r="AH963" s="12" t="str">
        <x:f>IF(AC963="PUBLIC_CANDIDATE","none",AD963)</x:f>
        <x:v>none</x:v>
      </x:c>
      <x:c r="AI963" s="12" t="str">
        <x:f>IF(AC963="PUBLIC_CANDIDATE","archive/public_candidates/"&amp;A963,"private_quarantine/"&amp;A963)</x:f>
        <x:v>archive/public_candidates/SWARM-07-H09-S02</x:v>
      </x:c>
      <x:c r="AJ963" s="12" t="str">
        <x:f>IF(AC963="PUBLIC_CANDIDATE","public by default; still not canon","private/hold; do not publish")</x:f>
        <x:v>public by default; still not canon</x:v>
      </x:c>
      <x:c r="AK963" s="12" t="str">
        <x:f>IF(AE963="prepare_public_github_candidate","add receipt/status then mirror","resolve blocker before any public GitHub action")</x:f>
        <x:v>add receipt/status then mirror</x:v>
      </x:c>
    </x:row>
    <x:row r="964">
      <x:c r="A964" s="15" t="str">
        <x:v>SWARM-07-H09-S03</x:v>
      </x:c>
      <x:c r="B964" s="15" t="str">
        <x:v>Domechild</x:v>
      </x:c>
      <x:c r="C964" s="15" t="str">
        <x:v>Planetarium lane builder</x:v>
      </x:c>
      <x:c r="D964" s="15" t="str">
        <x:v>Review Queues</x:v>
      </x:c>
      <x:c r="E964" s="15" t="str">
        <x:v>GitHub</x:v>
      </x:c>
      <x:c r="F964" s="15" t="str">
        <x:v>Queue review for GitHub — Domechild</x:v>
      </x:c>
      <x:c r="G964" s="15" t="str">
        <x:v>planetarium source packets / civic-science deltas</x:v>
      </x:c>
      <x:c r="H964" s="15" t="str">
        <x:v>source path + receipt + raw/export status + claim/edge/risk delta</x:v>
      </x:c>
      <x:c r="I964" s="15" t="str">
        <x:v>packet/SWARM-07-H09-S03</x:v>
      </x:c>
      <x:c r="J964" s="15" t="str">
        <x:v>TODO</x:v>
      </x:c>
      <x:c r="K964" s="15" t="str">
        <x:v>P0</x:v>
      </x:c>
      <x:c r="L964" s="15" t="str">
        <x:v>Done only when evidence is logged, contradiction search is noted, and boundary stamp remains non-canon unless ratified</x:v>
      </x:c>
      <x:c r="M964" s="15" t="str">
        <x:v>candidate / staging-only / not canon / not deployed / authority none</x:v>
      </x:c>
      <x:c r="N964" s="15" t="str">
        <x:v>Dispatch to Domechild: complete Review Queues x GitHub; return deltas only, receipts required.</x:v>
      </x:c>
      <x:c r="O964" s="15" t="str">
        <x:v>AF-KG-H09-S03</x:v>
      </x:c>
      <x:c r="P964" s="15" t="str">
        <x:v>Unverified</x:v>
      </x:c>
      <x:c r="Q964" s="15" t="str">
        <x:v>Not checked</x:v>
      </x:c>
      <x:c r="R964" s="15" t="str"/>
      <x:c r="S964" s="15" t="str"/>
      <x:c r="T964" s="15" t="str">
        <x:v>Log first source path or blocker</x:v>
      </x:c>
      <x:c r="U964" s="12" t="str">
        <x:f>IF(OR(P964="Unverified",Q964="Not checked"),"BLOCKED_PENDING_RECEIPT","READY_FOR_REVIEW")</x:f>
        <x:v>BLOCKED_PENDING_RECEIPT</x:v>
      </x:c>
      <x:c r="V964" s="12" t="str">
        <x:f>IF(J964="DONE","RETURNED",IF(U964="BLOCKED_PENDING_RECEIPT","SOURCE_TOUCH_REQUIRED","IN_PROGRESS"))</x:f>
        <x:v>SOURCE_TOUCH_REQUIRED</x:v>
      </x:c>
      <x:c r="W964" s="12" t="str">
        <x:f>IF(P964="Unverified","missing_receipt","receipt_logged")</x:f>
        <x:v>missing_receipt</x:v>
      </x:c>
      <x:c r="X964" s="12" t="str">
        <x:f>IF(Q964="Not checked","raw_status_missing","raw_status_logged")</x:f>
        <x:v>raw_status_missing</x:v>
      </x:c>
      <x:c r="Y964" s="12" t="str">
        <x:f>IF(U964="BLOCKED_PENDING_RECEIPT","Log source path or blocker; do not promote","Route to review lane")</x:f>
        <x:v>Log source path or blocker; do not promote</x:v>
      </x:c>
      <x:c r="Z964" s="12" t="str">
        <x:f>IF(K964="P0","Primary seat + Hashlight/Lucerna","Seat lane")</x:f>
        <x:v>Primary seat + Hashlight/Lucerna</x:v>
      </x:c>
      <x:c r="AA964" s="12" t="str">
        <x:f>IF(R964="","no_claim_delta","claim_delta_present")</x:f>
        <x:v>no_claim_delta</x:v>
      </x:c>
      <x:c r="AB964" s="12" t="str">
        <x:f>IF(S964="","no_contradiction_delta","contradiction_delta_present")</x:f>
        <x:v>no_contradiction_delta</x:v>
      </x:c>
      <x:c r="AC964" s="12" t="str">
        <x:f>IF(OR(ISNUMBER(SEARCH("hacker",LOWER(F964&amp;" "&amp;H964&amp;" "&amp;I964&amp;" "&amp;M964&amp;" "&amp;N964&amp;" "&amp;T964))),ISNUMBER(SEARCH("hacking",LOWER(F964&amp;" "&amp;H964&amp;" "&amp;I964&amp;" "&amp;M964&amp;" "&amp;N964&amp;" "&amp;T964))),ISNUMBER(SEARCH("bank",LOWER(F964&amp;" "&amp;H964&amp;" "&amp;I964&amp;" "&amp;M964&amp;" "&amp;N964&amp;" "&amp;T964))),ISNUMBER(SEARCH("banking",LOWER(F964&amp;" "&amp;H964&amp;" "&amp;I964&amp;" "&amp;M964&amp;" "&amp;N964&amp;" "&amp;T964)))),"PRIVATE_QUARANTINE",IF(OR(ISNUMBER(SEARCH("treasury",LOWER(F964&amp;" "&amp;H964&amp;" "&amp;I964&amp;" "&amp;M964&amp;" "&amp;N964&amp;" "&amp;T964))),ISNUMBER(SEARCH("debt",LOWER(F964&amp;" "&amp;H964&amp;" "&amp;I964&amp;" "&amp;M964&amp;" "&amp;N964&amp;" "&amp;T964))),ISNUMBER(SEARCH("bond",LOWER(F964&amp;" "&amp;H964&amp;" "&amp;I964&amp;" "&amp;M964&amp;" "&amp;N964&amp;" "&amp;T964))),ISNUMBER(SEARCH("transaction",LOWER(F964&amp;" "&amp;H964&amp;" "&amp;I964&amp;" "&amp;M964&amp;" "&amp;N964&amp;" "&amp;T964)))),"PRIVATE_REVIEW","PUBLIC_CANDIDATE"))</x:f>
        <x:v>PUBLIC_CANDIDATE</x:v>
      </x:c>
      <x:c r="AD964" s="12" t="str">
        <x:f>IF(AC964="PRIVATE_QUARANTINE","hacker_or_bank_trigger",IF(AC964="PRIVATE_REVIEW","finance_risk_trigger","none"))</x:f>
        <x:v>none</x:v>
      </x:c>
      <x:c r="AE964" s="12" t="str">
        <x:f>IF(AC964="PUBLIC_CANDIDATE","prepare_public_github_candidate",IF(AC964="PRIVATE_REVIEW","hold_for_private_review","quarantine_private_do_not_publish"))</x:f>
        <x:v>prepare_public_github_candidate</x:v>
      </x:c>
      <x:c r="AF964" s="12" t="str">
        <x:f>IF(AC964="PUBLIC_CANDIDATE","TIDELOCK + Lucerna",IF(AC964="PRIVATE_REVIEW","AtlasBrain + Lucerna","TIDELOCK + Lucerna + Human-root"))</x:f>
        <x:v>TIDELOCK + Lucerna</x:v>
      </x:c>
      <x:c r="AG964" s="12" t="str">
        <x:f>IF(AND(AC964="PUBLIC_CANDIDATE",U964&lt;&gt;"BLOCKED_PENDING_RECEIPT"),"READY_AFTER_RECEIPT","NOT_READY")</x:f>
        <x:v>NOT_READY</x:v>
      </x:c>
      <x:c r="AH964" s="12" t="str">
        <x:f>IF(AC964="PUBLIC_CANDIDATE","none",AD964)</x:f>
        <x:v>none</x:v>
      </x:c>
      <x:c r="AI964" s="12" t="str">
        <x:f>IF(AC964="PUBLIC_CANDIDATE","archive/public_candidates/"&amp;A964,"private_quarantine/"&amp;A964)</x:f>
        <x:v>archive/public_candidates/SWARM-07-H09-S03</x:v>
      </x:c>
      <x:c r="AJ964" s="12" t="str">
        <x:f>IF(AC964="PUBLIC_CANDIDATE","public by default; still not canon","private/hold; do not publish")</x:f>
        <x:v>public by default; still not canon</x:v>
      </x:c>
      <x:c r="AK964" s="12" t="str">
        <x:f>IF(AE964="prepare_public_github_candidate","add receipt/status then mirror","resolve blocker before any public GitHub action")</x:f>
        <x:v>add receipt/status then mirror</x:v>
      </x:c>
    </x:row>
    <x:row r="965">
      <x:c r="A965" s="15" t="str">
        <x:v>SWARM-07-H09-S04</x:v>
      </x:c>
      <x:c r="B965" s="15" t="str">
        <x:v>Domechild</x:v>
      </x:c>
      <x:c r="C965" s="15" t="str">
        <x:v>Planetarium lane builder</x:v>
      </x:c>
      <x:c r="D965" s="15" t="str">
        <x:v>Review Queues</x:v>
      </x:c>
      <x:c r="E965" s="15" t="str">
        <x:v>Gamma</x:v>
      </x:c>
      <x:c r="F965" s="15" t="str">
        <x:v>Queue review for Gamma — Domechild</x:v>
      </x:c>
      <x:c r="G965" s="15" t="str">
        <x:v>planetarium source packets / civic-science deltas</x:v>
      </x:c>
      <x:c r="H965" s="15" t="str">
        <x:v>source path + receipt + raw/export status + claim/edge/risk delta</x:v>
      </x:c>
      <x:c r="I965" s="15" t="str">
        <x:v>packet/SWARM-07-H09-S04</x:v>
      </x:c>
      <x:c r="J965" s="15" t="str">
        <x:v>TODO</x:v>
      </x:c>
      <x:c r="K965" s="15" t="str">
        <x:v>P1</x:v>
      </x:c>
      <x:c r="L965" s="15" t="str">
        <x:v>Done only when evidence is logged, contradiction search is noted, and boundary stamp remains non-canon unless ratified</x:v>
      </x:c>
      <x:c r="M965" s="15" t="str">
        <x:v>candidate / staging-only / not canon / not deployed / authority none</x:v>
      </x:c>
      <x:c r="N965" s="15" t="str">
        <x:v>Dispatch to Domechild: complete Review Queues x Gamma; return deltas only, receipts required.</x:v>
      </x:c>
      <x:c r="O965" s="15" t="str">
        <x:v>AF-KG-H09-S04</x:v>
      </x:c>
      <x:c r="P965" s="15" t="str">
        <x:v>Unverified</x:v>
      </x:c>
      <x:c r="Q965" s="15" t="str">
        <x:v>Not checked</x:v>
      </x:c>
      <x:c r="R965" s="15" t="str"/>
      <x:c r="S965" s="15" t="str"/>
      <x:c r="T965" s="15" t="str">
        <x:v>Log first source path or blocker</x:v>
      </x:c>
      <x:c r="U965" s="12" t="str">
        <x:f>IF(OR(P965="Unverified",Q965="Not checked"),"BLOCKED_PENDING_RECEIPT","READY_FOR_REVIEW")</x:f>
        <x:v>BLOCKED_PENDING_RECEIPT</x:v>
      </x:c>
      <x:c r="V965" s="12" t="str">
        <x:f>IF(J965="DONE","RETURNED",IF(U965="BLOCKED_PENDING_RECEIPT","SOURCE_TOUCH_REQUIRED","IN_PROGRESS"))</x:f>
        <x:v>SOURCE_TOUCH_REQUIRED</x:v>
      </x:c>
      <x:c r="W965" s="12" t="str">
        <x:f>IF(P965="Unverified","missing_receipt","receipt_logged")</x:f>
        <x:v>missing_receipt</x:v>
      </x:c>
      <x:c r="X965" s="12" t="str">
        <x:f>IF(Q965="Not checked","raw_status_missing","raw_status_logged")</x:f>
        <x:v>raw_status_missing</x:v>
      </x:c>
      <x:c r="Y965" s="12" t="str">
        <x:f>IF(U965="BLOCKED_PENDING_RECEIPT","Log source path or blocker; do not promote","Route to review lane")</x:f>
        <x:v>Log source path or blocker; do not promote</x:v>
      </x:c>
      <x:c r="Z965" s="12" t="str">
        <x:f>IF(K965="P0","Primary seat + Hashlight/Lucerna","Seat lane")</x:f>
        <x:v>Seat lane</x:v>
      </x:c>
      <x:c r="AA965" s="12" t="str">
        <x:f>IF(R965="","no_claim_delta","claim_delta_present")</x:f>
        <x:v>no_claim_delta</x:v>
      </x:c>
      <x:c r="AB965" s="12" t="str">
        <x:f>IF(S965="","no_contradiction_delta","contradiction_delta_present")</x:f>
        <x:v>no_contradiction_delta</x:v>
      </x:c>
      <x:c r="AC965" s="12" t="str">
        <x:f>IF(OR(ISNUMBER(SEARCH("hacker",LOWER(F965&amp;" "&amp;H965&amp;" "&amp;I965&amp;" "&amp;M965&amp;" "&amp;N965&amp;" "&amp;T965))),ISNUMBER(SEARCH("hacking",LOWER(F965&amp;" "&amp;H965&amp;" "&amp;I965&amp;" "&amp;M965&amp;" "&amp;N965&amp;" "&amp;T965))),ISNUMBER(SEARCH("bank",LOWER(F965&amp;" "&amp;H965&amp;" "&amp;I965&amp;" "&amp;M965&amp;" "&amp;N965&amp;" "&amp;T965))),ISNUMBER(SEARCH("banking",LOWER(F965&amp;" "&amp;H965&amp;" "&amp;I965&amp;" "&amp;M965&amp;" "&amp;N965&amp;" "&amp;T965)))),"PRIVATE_QUARANTINE",IF(OR(ISNUMBER(SEARCH("treasury",LOWER(F965&amp;" "&amp;H965&amp;" "&amp;I965&amp;" "&amp;M965&amp;" "&amp;N965&amp;" "&amp;T965))),ISNUMBER(SEARCH("debt",LOWER(F965&amp;" "&amp;H965&amp;" "&amp;I965&amp;" "&amp;M965&amp;" "&amp;N965&amp;" "&amp;T965))),ISNUMBER(SEARCH("bond",LOWER(F965&amp;" "&amp;H965&amp;" "&amp;I965&amp;" "&amp;M965&amp;" "&amp;N965&amp;" "&amp;T965))),ISNUMBER(SEARCH("transaction",LOWER(F965&amp;" "&amp;H965&amp;" "&amp;I965&amp;" "&amp;M965&amp;" "&amp;N965&amp;" "&amp;T965)))),"PRIVATE_REVIEW","PUBLIC_CANDIDATE"))</x:f>
        <x:v>PUBLIC_CANDIDATE</x:v>
      </x:c>
      <x:c r="AD965" s="12" t="str">
        <x:f>IF(AC965="PRIVATE_QUARANTINE","hacker_or_bank_trigger",IF(AC965="PRIVATE_REVIEW","finance_risk_trigger","none"))</x:f>
        <x:v>none</x:v>
      </x:c>
      <x:c r="AE965" s="12" t="str">
        <x:f>IF(AC965="PUBLIC_CANDIDATE","prepare_public_github_candidate",IF(AC965="PRIVATE_REVIEW","hold_for_private_review","quarantine_private_do_not_publish"))</x:f>
        <x:v>prepare_public_github_candidate</x:v>
      </x:c>
      <x:c r="AF965" s="12" t="str">
        <x:f>IF(AC965="PUBLIC_CANDIDATE","TIDELOCK + Lucerna",IF(AC965="PRIVATE_REVIEW","AtlasBrain + Lucerna","TIDELOCK + Lucerna + Human-root"))</x:f>
        <x:v>TIDELOCK + Lucerna</x:v>
      </x:c>
      <x:c r="AG965" s="12" t="str">
        <x:f>IF(AND(AC965="PUBLIC_CANDIDATE",U965&lt;&gt;"BLOCKED_PENDING_RECEIPT"),"READY_AFTER_RECEIPT","NOT_READY")</x:f>
        <x:v>NOT_READY</x:v>
      </x:c>
      <x:c r="AH965" s="12" t="str">
        <x:f>IF(AC965="PUBLIC_CANDIDATE","none",AD965)</x:f>
        <x:v>none</x:v>
      </x:c>
      <x:c r="AI965" s="12" t="str">
        <x:f>IF(AC965="PUBLIC_CANDIDATE","archive/public_candidates/"&amp;A965,"private_quarantine/"&amp;A965)</x:f>
        <x:v>archive/public_candidates/SWARM-07-H09-S04</x:v>
      </x:c>
      <x:c r="AJ965" s="12" t="str">
        <x:f>IF(AC965="PUBLIC_CANDIDATE","public by default; still not canon","private/hold; do not publish")</x:f>
        <x:v>public by default; still not canon</x:v>
      </x:c>
      <x:c r="AK965" s="12" t="str">
        <x:f>IF(AE965="prepare_public_github_candidate","add receipt/status then mirror","resolve blocker before any public GitHub action")</x:f>
        <x:v>add receipt/status then mirror</x:v>
      </x:c>
    </x:row>
    <x:row r="966">
      <x:c r="A966" s="15" t="str">
        <x:v>SWARM-07-H09-S05</x:v>
      </x:c>
      <x:c r="B966" s="15" t="str">
        <x:v>Domechild</x:v>
      </x:c>
      <x:c r="C966" s="15" t="str">
        <x:v>Planetarium lane builder</x:v>
      </x:c>
      <x:c r="D966" s="15" t="str">
        <x:v>Review Queues</x:v>
      </x:c>
      <x:c r="E966" s="15" t="str">
        <x:v>Chat</x:v>
      </x:c>
      <x:c r="F966" s="15" t="str">
        <x:v>Queue review for Chat — Domechild</x:v>
      </x:c>
      <x:c r="G966" s="15" t="str">
        <x:v>planetarium source packets / civic-science deltas</x:v>
      </x:c>
      <x:c r="H966" s="15" t="str">
        <x:v>source path + receipt + raw/export status + claim/edge/risk delta</x:v>
      </x:c>
      <x:c r="I966" s="15" t="str">
        <x:v>packet/SWARM-07-H09-S05</x:v>
      </x:c>
      <x:c r="J966" s="15" t="str">
        <x:v>TODO</x:v>
      </x:c>
      <x:c r="K966" s="15" t="str">
        <x:v>P1</x:v>
      </x:c>
      <x:c r="L966" s="15" t="str">
        <x:v>Done only when evidence is logged, contradiction search is noted, and boundary stamp remains non-canon unless ratified</x:v>
      </x:c>
      <x:c r="M966" s="15" t="str">
        <x:v>candidate / staging-only / not canon / not deployed / authority none</x:v>
      </x:c>
      <x:c r="N966" s="15" t="str">
        <x:v>Dispatch to Domechild: complete Review Queues x Chat; return deltas only, receipts required.</x:v>
      </x:c>
      <x:c r="O966" s="15" t="str">
        <x:v>AF-KG-H09-S05</x:v>
      </x:c>
      <x:c r="P966" s="15" t="str">
        <x:v>Unverified</x:v>
      </x:c>
      <x:c r="Q966" s="15" t="str">
        <x:v>Not checked</x:v>
      </x:c>
      <x:c r="R966" s="15" t="str"/>
      <x:c r="S966" s="15" t="str"/>
      <x:c r="T966" s="15" t="str">
        <x:v>Log first source path or blocker</x:v>
      </x:c>
      <x:c r="U966" s="12" t="str">
        <x:f>IF(OR(P966="Unverified",Q966="Not checked"),"BLOCKED_PENDING_RECEIPT","READY_FOR_REVIEW")</x:f>
        <x:v>BLOCKED_PENDING_RECEIPT</x:v>
      </x:c>
      <x:c r="V966" s="12" t="str">
        <x:f>IF(J966="DONE","RETURNED",IF(U966="BLOCKED_PENDING_RECEIPT","SOURCE_TOUCH_REQUIRED","IN_PROGRESS"))</x:f>
        <x:v>SOURCE_TOUCH_REQUIRED</x:v>
      </x:c>
      <x:c r="W966" s="12" t="str">
        <x:f>IF(P966="Unverified","missing_receipt","receipt_logged")</x:f>
        <x:v>missing_receipt</x:v>
      </x:c>
      <x:c r="X966" s="12" t="str">
        <x:f>IF(Q966="Not checked","raw_status_missing","raw_status_logged")</x:f>
        <x:v>raw_status_missing</x:v>
      </x:c>
      <x:c r="Y966" s="12" t="str">
        <x:f>IF(U966="BLOCKED_PENDING_RECEIPT","Log source path or blocker; do not promote","Route to review lane")</x:f>
        <x:v>Log source path or blocker; do not promote</x:v>
      </x:c>
      <x:c r="Z966" s="12" t="str">
        <x:f>IF(K966="P0","Primary seat + Hashlight/Lucerna","Seat lane")</x:f>
        <x:v>Seat lane</x:v>
      </x:c>
      <x:c r="AA966" s="12" t="str">
        <x:f>IF(R966="","no_claim_delta","claim_delta_present")</x:f>
        <x:v>no_claim_delta</x:v>
      </x:c>
      <x:c r="AB966" s="12" t="str">
        <x:f>IF(S966="","no_contradiction_delta","contradiction_delta_present")</x:f>
        <x:v>no_contradiction_delta</x:v>
      </x:c>
      <x:c r="AC966" s="12" t="str">
        <x:f>IF(OR(ISNUMBER(SEARCH("hacker",LOWER(F966&amp;" "&amp;H966&amp;" "&amp;I966&amp;" "&amp;M966&amp;" "&amp;N966&amp;" "&amp;T966))),ISNUMBER(SEARCH("hacking",LOWER(F966&amp;" "&amp;H966&amp;" "&amp;I966&amp;" "&amp;M966&amp;" "&amp;N966&amp;" "&amp;T966))),ISNUMBER(SEARCH("bank",LOWER(F966&amp;" "&amp;H966&amp;" "&amp;I966&amp;" "&amp;M966&amp;" "&amp;N966&amp;" "&amp;T966))),ISNUMBER(SEARCH("banking",LOWER(F966&amp;" "&amp;H966&amp;" "&amp;I966&amp;" "&amp;M966&amp;" "&amp;N966&amp;" "&amp;T966)))),"PRIVATE_QUARANTINE",IF(OR(ISNUMBER(SEARCH("treasury",LOWER(F966&amp;" "&amp;H966&amp;" "&amp;I966&amp;" "&amp;M966&amp;" "&amp;N966&amp;" "&amp;T966))),ISNUMBER(SEARCH("debt",LOWER(F966&amp;" "&amp;H966&amp;" "&amp;I966&amp;" "&amp;M966&amp;" "&amp;N966&amp;" "&amp;T966))),ISNUMBER(SEARCH("bond",LOWER(F966&amp;" "&amp;H966&amp;" "&amp;I966&amp;" "&amp;M966&amp;" "&amp;N966&amp;" "&amp;T966))),ISNUMBER(SEARCH("transaction",LOWER(F966&amp;" "&amp;H966&amp;" "&amp;I966&amp;" "&amp;M966&amp;" "&amp;N966&amp;" "&amp;T966)))),"PRIVATE_REVIEW","PUBLIC_CANDIDATE"))</x:f>
        <x:v>PUBLIC_CANDIDATE</x:v>
      </x:c>
      <x:c r="AD966" s="12" t="str">
        <x:f>IF(AC966="PRIVATE_QUARANTINE","hacker_or_bank_trigger",IF(AC966="PRIVATE_REVIEW","finance_risk_trigger","none"))</x:f>
        <x:v>none</x:v>
      </x:c>
      <x:c r="AE966" s="12" t="str">
        <x:f>IF(AC966="PUBLIC_CANDIDATE","prepare_public_github_candidate",IF(AC966="PRIVATE_REVIEW","hold_for_private_review","quarantine_private_do_not_publish"))</x:f>
        <x:v>prepare_public_github_candidate</x:v>
      </x:c>
      <x:c r="AF966" s="12" t="str">
        <x:f>IF(AC966="PUBLIC_CANDIDATE","TIDELOCK + Lucerna",IF(AC966="PRIVATE_REVIEW","AtlasBrain + Lucerna","TIDELOCK + Lucerna + Human-root"))</x:f>
        <x:v>TIDELOCK + Lucerna</x:v>
      </x:c>
      <x:c r="AG966" s="12" t="str">
        <x:f>IF(AND(AC966="PUBLIC_CANDIDATE",U966&lt;&gt;"BLOCKED_PENDING_RECEIPT"),"READY_AFTER_RECEIPT","NOT_READY")</x:f>
        <x:v>NOT_READY</x:v>
      </x:c>
      <x:c r="AH966" s="12" t="str">
        <x:f>IF(AC966="PUBLIC_CANDIDATE","none",AD966)</x:f>
        <x:v>none</x:v>
      </x:c>
      <x:c r="AI966" s="12" t="str">
        <x:f>IF(AC966="PUBLIC_CANDIDATE","archive/public_candidates/"&amp;A966,"private_quarantine/"&amp;A966)</x:f>
        <x:v>archive/public_candidates/SWARM-07-H09-S05</x:v>
      </x:c>
      <x:c r="AJ966" s="12" t="str">
        <x:f>IF(AC966="PUBLIC_CANDIDATE","public by default; still not canon","private/hold; do not publish")</x:f>
        <x:v>public by default; still not canon</x:v>
      </x:c>
      <x:c r="AK966" s="12" t="str">
        <x:f>IF(AE966="prepare_public_github_candidate","add receipt/status then mirror","resolve blocker before any public GitHub action")</x:f>
        <x:v>add receipt/status then mirror</x:v>
      </x:c>
    </x:row>
    <x:row r="967">
      <x:c r="A967" s="15" t="str">
        <x:v>SWARM-07-H09-S06</x:v>
      </x:c>
      <x:c r="B967" s="15" t="str">
        <x:v>Domechild</x:v>
      </x:c>
      <x:c r="C967" s="15" t="str">
        <x:v>Planetarium lane builder</x:v>
      </x:c>
      <x:c r="D967" s="15" t="str">
        <x:v>Review Queues</x:v>
      </x:c>
      <x:c r="E967" s="15" t="str">
        <x:v>External Web</x:v>
      </x:c>
      <x:c r="F967" s="15" t="str">
        <x:v>Queue review for External Web — Domechild</x:v>
      </x:c>
      <x:c r="G967" s="15" t="str">
        <x:v>planetarium source packets / civic-science deltas</x:v>
      </x:c>
      <x:c r="H967" s="15" t="str">
        <x:v>source path + receipt + raw/export status + claim/edge/risk delta</x:v>
      </x:c>
      <x:c r="I967" s="15" t="str">
        <x:v>packet/SWARM-07-H09-S06</x:v>
      </x:c>
      <x:c r="J967" s="15" t="str">
        <x:v>TODO</x:v>
      </x:c>
      <x:c r="K967" s="15" t="str">
        <x:v>P1</x:v>
      </x:c>
      <x:c r="L967" s="15" t="str">
        <x:v>Done only when evidence is logged, contradiction search is noted, and boundary stamp remains non-canon unless ratified</x:v>
      </x:c>
      <x:c r="M967" s="15" t="str">
        <x:v>candidate / staging-only / not canon / not deployed / authority none</x:v>
      </x:c>
      <x:c r="N967" s="15" t="str">
        <x:v>Dispatch to Domechild: complete Review Queues x External Web; return deltas only, receipts required.</x:v>
      </x:c>
      <x:c r="O967" s="15" t="str">
        <x:v>AF-KG-H09-S06</x:v>
      </x:c>
      <x:c r="P967" s="15" t="str">
        <x:v>Unverified</x:v>
      </x:c>
      <x:c r="Q967" s="15" t="str">
        <x:v>Not checked</x:v>
      </x:c>
      <x:c r="R967" s="15" t="str"/>
      <x:c r="S967" s="15" t="str"/>
      <x:c r="T967" s="15" t="str">
        <x:v>Log first source path or blocker</x:v>
      </x:c>
      <x:c r="U967" s="12" t="str">
        <x:f>IF(OR(P967="Unverified",Q967="Not checked"),"BLOCKED_PENDING_RECEIPT","READY_FOR_REVIEW")</x:f>
        <x:v>BLOCKED_PENDING_RECEIPT</x:v>
      </x:c>
      <x:c r="V967" s="12" t="str">
        <x:f>IF(J967="DONE","RETURNED",IF(U967="BLOCKED_PENDING_RECEIPT","SOURCE_TOUCH_REQUIRED","IN_PROGRESS"))</x:f>
        <x:v>SOURCE_TOUCH_REQUIRED</x:v>
      </x:c>
      <x:c r="W967" s="12" t="str">
        <x:f>IF(P967="Unverified","missing_receipt","receipt_logged")</x:f>
        <x:v>missing_receipt</x:v>
      </x:c>
      <x:c r="X967" s="12" t="str">
        <x:f>IF(Q967="Not checked","raw_status_missing","raw_status_logged")</x:f>
        <x:v>raw_status_missing</x:v>
      </x:c>
      <x:c r="Y967" s="12" t="str">
        <x:f>IF(U967="BLOCKED_PENDING_RECEIPT","Log source path or blocker; do not promote","Route to review lane")</x:f>
        <x:v>Log source path or blocker; do not promote</x:v>
      </x:c>
      <x:c r="Z967" s="12" t="str">
        <x:f>IF(K967="P0","Primary seat + Hashlight/Lucerna","Seat lane")</x:f>
        <x:v>Seat lane</x:v>
      </x:c>
      <x:c r="AA967" s="12" t="str">
        <x:f>IF(R967="","no_claim_delta","claim_delta_present")</x:f>
        <x:v>no_claim_delta</x:v>
      </x:c>
      <x:c r="AB967" s="12" t="str">
        <x:f>IF(S967="","no_contradiction_delta","contradiction_delta_present")</x:f>
        <x:v>no_contradiction_delta</x:v>
      </x:c>
      <x:c r="AC967" s="12" t="str">
        <x:f>IF(OR(ISNUMBER(SEARCH("hacker",LOWER(F967&amp;" "&amp;H967&amp;" "&amp;I967&amp;" "&amp;M967&amp;" "&amp;N967&amp;" "&amp;T967))),ISNUMBER(SEARCH("hacking",LOWER(F967&amp;" "&amp;H967&amp;" "&amp;I967&amp;" "&amp;M967&amp;" "&amp;N967&amp;" "&amp;T967))),ISNUMBER(SEARCH("bank",LOWER(F967&amp;" "&amp;H967&amp;" "&amp;I967&amp;" "&amp;M967&amp;" "&amp;N967&amp;" "&amp;T967))),ISNUMBER(SEARCH("banking",LOWER(F967&amp;" "&amp;H967&amp;" "&amp;I967&amp;" "&amp;M967&amp;" "&amp;N967&amp;" "&amp;T967)))),"PRIVATE_QUARANTINE",IF(OR(ISNUMBER(SEARCH("treasury",LOWER(F967&amp;" "&amp;H967&amp;" "&amp;I967&amp;" "&amp;M967&amp;" "&amp;N967&amp;" "&amp;T967))),ISNUMBER(SEARCH("debt",LOWER(F967&amp;" "&amp;H967&amp;" "&amp;I967&amp;" "&amp;M967&amp;" "&amp;N967&amp;" "&amp;T967))),ISNUMBER(SEARCH("bond",LOWER(F967&amp;" "&amp;H967&amp;" "&amp;I967&amp;" "&amp;M967&amp;" "&amp;N967&amp;" "&amp;T967))),ISNUMBER(SEARCH("transaction",LOWER(F967&amp;" "&amp;H967&amp;" "&amp;I967&amp;" "&amp;M967&amp;" "&amp;N967&amp;" "&amp;T967)))),"PRIVATE_REVIEW","PUBLIC_CANDIDATE"))</x:f>
        <x:v>PUBLIC_CANDIDATE</x:v>
      </x:c>
      <x:c r="AD967" s="12" t="str">
        <x:f>IF(AC967="PRIVATE_QUARANTINE","hacker_or_bank_trigger",IF(AC967="PRIVATE_REVIEW","finance_risk_trigger","none"))</x:f>
        <x:v>none</x:v>
      </x:c>
      <x:c r="AE967" s="12" t="str">
        <x:f>IF(AC967="PUBLIC_CANDIDATE","prepare_public_github_candidate",IF(AC967="PRIVATE_REVIEW","hold_for_private_review","quarantine_private_do_not_publish"))</x:f>
        <x:v>prepare_public_github_candidate</x:v>
      </x:c>
      <x:c r="AF967" s="12" t="str">
        <x:f>IF(AC967="PUBLIC_CANDIDATE","TIDELOCK + Lucerna",IF(AC967="PRIVATE_REVIEW","AtlasBrain + Lucerna","TIDELOCK + Lucerna + Human-root"))</x:f>
        <x:v>TIDELOCK + Lucerna</x:v>
      </x:c>
      <x:c r="AG967" s="12" t="str">
        <x:f>IF(AND(AC967="PUBLIC_CANDIDATE",U967&lt;&gt;"BLOCKED_PENDING_RECEIPT"),"READY_AFTER_RECEIPT","NOT_READY")</x:f>
        <x:v>NOT_READY</x:v>
      </x:c>
      <x:c r="AH967" s="12" t="str">
        <x:f>IF(AC967="PUBLIC_CANDIDATE","none",AD967)</x:f>
        <x:v>none</x:v>
      </x:c>
      <x:c r="AI967" s="12" t="str">
        <x:f>IF(AC967="PUBLIC_CANDIDATE","archive/public_candidates/"&amp;A967,"private_quarantine/"&amp;A967)</x:f>
        <x:v>archive/public_candidates/SWARM-07-H09-S06</x:v>
      </x:c>
      <x:c r="AJ967" s="12" t="str">
        <x:f>IF(AC967="PUBLIC_CANDIDATE","public by default; still not canon","private/hold; do not publish")</x:f>
        <x:v>public by default; still not canon</x:v>
      </x:c>
      <x:c r="AK967" s="12" t="str">
        <x:f>IF(AE967="prepare_public_github_candidate","add receipt/status then mirror","resolve blocker before any public GitHub action")</x:f>
        <x:v>add receipt/status then mirror</x:v>
      </x:c>
    </x:row>
    <x:row r="968">
      <x:c r="A968" s="15" t="str">
        <x:v>SWARM-07-H09-S07</x:v>
      </x:c>
      <x:c r="B968" s="15" t="str">
        <x:v>Domechild</x:v>
      </x:c>
      <x:c r="C968" s="15" t="str">
        <x:v>Planetarium lane builder</x:v>
      </x:c>
      <x:c r="D968" s="15" t="str">
        <x:v>Review Queues</x:v>
      </x:c>
      <x:c r="E968" s="15" t="str">
        <x:v>Planetarium</x:v>
      </x:c>
      <x:c r="F968" s="15" t="str">
        <x:v>Queue review for Planetarium — Domechild</x:v>
      </x:c>
      <x:c r="G968" s="15" t="str">
        <x:v>planetarium source packets / civic-science deltas</x:v>
      </x:c>
      <x:c r="H968" s="15" t="str">
        <x:v>source path + receipt + raw/export status + claim/edge/risk delta</x:v>
      </x:c>
      <x:c r="I968" s="15" t="str">
        <x:v>packet/SWARM-07-H09-S07</x:v>
      </x:c>
      <x:c r="J968" s="15" t="str">
        <x:v>TODO</x:v>
      </x:c>
      <x:c r="K968" s="15" t="str">
        <x:v>P1</x:v>
      </x:c>
      <x:c r="L968" s="15" t="str">
        <x:v>Done only when evidence is logged, contradiction search is noted, and boundary stamp remains non-canon unless ratified</x:v>
      </x:c>
      <x:c r="M968" s="15" t="str">
        <x:v>candidate / staging-only / not canon / not deployed / authority none</x:v>
      </x:c>
      <x:c r="N968" s="15" t="str">
        <x:v>Dispatch to Domechild: complete Review Queues x Planetarium; return deltas only, receipts required.</x:v>
      </x:c>
      <x:c r="O968" s="15" t="str">
        <x:v>AF-KG-H09-S07</x:v>
      </x:c>
      <x:c r="P968" s="15" t="str">
        <x:v>Unverified</x:v>
      </x:c>
      <x:c r="Q968" s="15" t="str">
        <x:v>Not checked</x:v>
      </x:c>
      <x:c r="R968" s="15" t="str"/>
      <x:c r="S968" s="15" t="str"/>
      <x:c r="T968" s="15" t="str">
        <x:v>Log first source path or blocker</x:v>
      </x:c>
      <x:c r="U968" s="12" t="str">
        <x:f>IF(OR(P968="Unverified",Q968="Not checked"),"BLOCKED_PENDING_RECEIPT","READY_FOR_REVIEW")</x:f>
        <x:v>BLOCKED_PENDING_RECEIPT</x:v>
      </x:c>
      <x:c r="V968" s="12" t="str">
        <x:f>IF(J968="DONE","RETURNED",IF(U968="BLOCKED_PENDING_RECEIPT","SOURCE_TOUCH_REQUIRED","IN_PROGRESS"))</x:f>
        <x:v>SOURCE_TOUCH_REQUIRED</x:v>
      </x:c>
      <x:c r="W968" s="12" t="str">
        <x:f>IF(P968="Unverified","missing_receipt","receipt_logged")</x:f>
        <x:v>missing_receipt</x:v>
      </x:c>
      <x:c r="X968" s="12" t="str">
        <x:f>IF(Q968="Not checked","raw_status_missing","raw_status_logged")</x:f>
        <x:v>raw_status_missing</x:v>
      </x:c>
      <x:c r="Y968" s="12" t="str">
        <x:f>IF(U968="BLOCKED_PENDING_RECEIPT","Log source path or blocker; do not promote","Route to review lane")</x:f>
        <x:v>Log source path or blocker; do not promote</x:v>
      </x:c>
      <x:c r="Z968" s="12" t="str">
        <x:f>IF(K968="P0","Primary seat + Hashlight/Lucerna","Seat lane")</x:f>
        <x:v>Seat lane</x:v>
      </x:c>
      <x:c r="AA968" s="12" t="str">
        <x:f>IF(R968="","no_claim_delta","claim_delta_present")</x:f>
        <x:v>no_claim_delta</x:v>
      </x:c>
      <x:c r="AB968" s="12" t="str">
        <x:f>IF(S968="","no_contradiction_delta","contradiction_delta_present")</x:f>
        <x:v>no_contradiction_delta</x:v>
      </x:c>
      <x:c r="AC968" s="12" t="str">
        <x:f>IF(OR(ISNUMBER(SEARCH("hacker",LOWER(F968&amp;" "&amp;H968&amp;" "&amp;I968&amp;" "&amp;M968&amp;" "&amp;N968&amp;" "&amp;T968))),ISNUMBER(SEARCH("hacking",LOWER(F968&amp;" "&amp;H968&amp;" "&amp;I968&amp;" "&amp;M968&amp;" "&amp;N968&amp;" "&amp;T968))),ISNUMBER(SEARCH("bank",LOWER(F968&amp;" "&amp;H968&amp;" "&amp;I968&amp;" "&amp;M968&amp;" "&amp;N968&amp;" "&amp;T968))),ISNUMBER(SEARCH("banking",LOWER(F968&amp;" "&amp;H968&amp;" "&amp;I968&amp;" "&amp;M968&amp;" "&amp;N968&amp;" "&amp;T968)))),"PRIVATE_QUARANTINE",IF(OR(ISNUMBER(SEARCH("treasury",LOWER(F968&amp;" "&amp;H968&amp;" "&amp;I968&amp;" "&amp;M968&amp;" "&amp;N968&amp;" "&amp;T968))),ISNUMBER(SEARCH("debt",LOWER(F968&amp;" "&amp;H968&amp;" "&amp;I968&amp;" "&amp;M968&amp;" "&amp;N968&amp;" "&amp;T968))),ISNUMBER(SEARCH("bond",LOWER(F968&amp;" "&amp;H968&amp;" "&amp;I968&amp;" "&amp;M968&amp;" "&amp;N968&amp;" "&amp;T968))),ISNUMBER(SEARCH("transaction",LOWER(F968&amp;" "&amp;H968&amp;" "&amp;I968&amp;" "&amp;M968&amp;" "&amp;N968&amp;" "&amp;T968)))),"PRIVATE_REVIEW","PUBLIC_CANDIDATE"))</x:f>
        <x:v>PUBLIC_CANDIDATE</x:v>
      </x:c>
      <x:c r="AD968" s="12" t="str">
        <x:f>IF(AC968="PRIVATE_QUARANTINE","hacker_or_bank_trigger",IF(AC968="PRIVATE_REVIEW","finance_risk_trigger","none"))</x:f>
        <x:v>none</x:v>
      </x:c>
      <x:c r="AE968" s="12" t="str">
        <x:f>IF(AC968="PUBLIC_CANDIDATE","prepare_public_github_candidate",IF(AC968="PRIVATE_REVIEW","hold_for_private_review","quarantine_private_do_not_publish"))</x:f>
        <x:v>prepare_public_github_candidate</x:v>
      </x:c>
      <x:c r="AF968" s="12" t="str">
        <x:f>IF(AC968="PUBLIC_CANDIDATE","TIDELOCK + Lucerna",IF(AC968="PRIVATE_REVIEW","AtlasBrain + Lucerna","TIDELOCK + Lucerna + Human-root"))</x:f>
        <x:v>TIDELOCK + Lucerna</x:v>
      </x:c>
      <x:c r="AG968" s="12" t="str">
        <x:f>IF(AND(AC968="PUBLIC_CANDIDATE",U968&lt;&gt;"BLOCKED_PENDING_RECEIPT"),"READY_AFTER_RECEIPT","NOT_READY")</x:f>
        <x:v>NOT_READY</x:v>
      </x:c>
      <x:c r="AH968" s="12" t="str">
        <x:f>IF(AC968="PUBLIC_CANDIDATE","none",AD968)</x:f>
        <x:v>none</x:v>
      </x:c>
      <x:c r="AI968" s="12" t="str">
        <x:f>IF(AC968="PUBLIC_CANDIDATE","archive/public_candidates/"&amp;A968,"private_quarantine/"&amp;A968)</x:f>
        <x:v>archive/public_candidates/SWARM-07-H09-S07</x:v>
      </x:c>
      <x:c r="AJ968" s="12" t="str">
        <x:f>IF(AC968="PUBLIC_CANDIDATE","public by default; still not canon","private/hold; do not publish")</x:f>
        <x:v>public by default; still not canon</x:v>
      </x:c>
      <x:c r="AK968" s="12" t="str">
        <x:f>IF(AE968="prepare_public_github_candidate","add receipt/status then mirror","resolve blocker before any public GitHub action")</x:f>
        <x:v>add receipt/status then mirror</x:v>
      </x:c>
    </x:row>
    <x:row r="969">
      <x:c r="A969" s="15" t="str">
        <x:v>SWARM-07-H09-S08</x:v>
      </x:c>
      <x:c r="B969" s="15" t="str">
        <x:v>Domechild</x:v>
      </x:c>
      <x:c r="C969" s="15" t="str">
        <x:v>Planetarium lane builder</x:v>
      </x:c>
      <x:c r="D969" s="15" t="str">
        <x:v>Review Queues</x:v>
      </x:c>
      <x:c r="E969" s="15" t="str">
        <x:v>Sheldonbrain</x:v>
      </x:c>
      <x:c r="F969" s="15" t="str">
        <x:v>Queue review for Sheldonbrain — Domechild</x:v>
      </x:c>
      <x:c r="G969" s="15" t="str">
        <x:v>planetarium source packets / civic-science deltas</x:v>
      </x:c>
      <x:c r="H969" s="15" t="str">
        <x:v>source path + receipt + raw/export status + claim/edge/risk delta</x:v>
      </x:c>
      <x:c r="I969" s="15" t="str">
        <x:v>packet/SWARM-07-H09-S08</x:v>
      </x:c>
      <x:c r="J969" s="15" t="str">
        <x:v>TODO</x:v>
      </x:c>
      <x:c r="K969" s="15" t="str">
        <x:v>P1</x:v>
      </x:c>
      <x:c r="L969" s="15" t="str">
        <x:v>Done only when evidence is logged, contradiction search is noted, and boundary stamp remains non-canon unless ratified</x:v>
      </x:c>
      <x:c r="M969" s="15" t="str">
        <x:v>candidate / staging-only / not canon / not deployed / authority none</x:v>
      </x:c>
      <x:c r="N969" s="15" t="str">
        <x:v>Dispatch to Domechild: complete Review Queues x Sheldonbrain; return deltas only, receipts required.</x:v>
      </x:c>
      <x:c r="O969" s="15" t="str">
        <x:v>AF-KG-H09-S08</x:v>
      </x:c>
      <x:c r="P969" s="15" t="str">
        <x:v>Unverified</x:v>
      </x:c>
      <x:c r="Q969" s="15" t="str">
        <x:v>Not checked</x:v>
      </x:c>
      <x:c r="R969" s="15" t="str"/>
      <x:c r="S969" s="15" t="str"/>
      <x:c r="T969" s="15" t="str">
        <x:v>Log first source path or blocker</x:v>
      </x:c>
      <x:c r="U969" s="12" t="str">
        <x:f>IF(OR(P969="Unverified",Q969="Not checked"),"BLOCKED_PENDING_RECEIPT","READY_FOR_REVIEW")</x:f>
        <x:v>BLOCKED_PENDING_RECEIPT</x:v>
      </x:c>
      <x:c r="V969" s="12" t="str">
        <x:f>IF(J969="DONE","RETURNED",IF(U969="BLOCKED_PENDING_RECEIPT","SOURCE_TOUCH_REQUIRED","IN_PROGRESS"))</x:f>
        <x:v>SOURCE_TOUCH_REQUIRED</x:v>
      </x:c>
      <x:c r="W969" s="12" t="str">
        <x:f>IF(P969="Unverified","missing_receipt","receipt_logged")</x:f>
        <x:v>missing_receipt</x:v>
      </x:c>
      <x:c r="X969" s="12" t="str">
        <x:f>IF(Q969="Not checked","raw_status_missing","raw_status_logged")</x:f>
        <x:v>raw_status_missing</x:v>
      </x:c>
      <x:c r="Y969" s="12" t="str">
        <x:f>IF(U969="BLOCKED_PENDING_RECEIPT","Log source path or blocker; do not promote","Route to review lane")</x:f>
        <x:v>Log source path or blocker; do not promote</x:v>
      </x:c>
      <x:c r="Z969" s="12" t="str">
        <x:f>IF(K969="P0","Primary seat + Hashlight/Lucerna","Seat lane")</x:f>
        <x:v>Seat lane</x:v>
      </x:c>
      <x:c r="AA969" s="12" t="str">
        <x:f>IF(R969="","no_claim_delta","claim_delta_present")</x:f>
        <x:v>no_claim_delta</x:v>
      </x:c>
      <x:c r="AB969" s="12" t="str">
        <x:f>IF(S969="","no_contradiction_delta","contradiction_delta_present")</x:f>
        <x:v>no_contradiction_delta</x:v>
      </x:c>
      <x:c r="AC969" s="12" t="str">
        <x:f>IF(OR(ISNUMBER(SEARCH("hacker",LOWER(F969&amp;" "&amp;H969&amp;" "&amp;I969&amp;" "&amp;M969&amp;" "&amp;N969&amp;" "&amp;T969))),ISNUMBER(SEARCH("hacking",LOWER(F969&amp;" "&amp;H969&amp;" "&amp;I969&amp;" "&amp;M969&amp;" "&amp;N969&amp;" "&amp;T969))),ISNUMBER(SEARCH("bank",LOWER(F969&amp;" "&amp;H969&amp;" "&amp;I969&amp;" "&amp;M969&amp;" "&amp;N969&amp;" "&amp;T969))),ISNUMBER(SEARCH("banking",LOWER(F969&amp;" "&amp;H969&amp;" "&amp;I969&amp;" "&amp;M969&amp;" "&amp;N969&amp;" "&amp;T969)))),"PRIVATE_QUARANTINE",IF(OR(ISNUMBER(SEARCH("treasury",LOWER(F969&amp;" "&amp;H969&amp;" "&amp;I969&amp;" "&amp;M969&amp;" "&amp;N969&amp;" "&amp;T969))),ISNUMBER(SEARCH("debt",LOWER(F969&amp;" "&amp;H969&amp;" "&amp;I969&amp;" "&amp;M969&amp;" "&amp;N969&amp;" "&amp;T969))),ISNUMBER(SEARCH("bond",LOWER(F969&amp;" "&amp;H969&amp;" "&amp;I969&amp;" "&amp;M969&amp;" "&amp;N969&amp;" "&amp;T969))),ISNUMBER(SEARCH("transaction",LOWER(F969&amp;" "&amp;H969&amp;" "&amp;I969&amp;" "&amp;M969&amp;" "&amp;N969&amp;" "&amp;T969)))),"PRIVATE_REVIEW","PUBLIC_CANDIDATE"))</x:f>
        <x:v>PUBLIC_CANDIDATE</x:v>
      </x:c>
      <x:c r="AD969" s="12" t="str">
        <x:f>IF(AC969="PRIVATE_QUARANTINE","hacker_or_bank_trigger",IF(AC969="PRIVATE_REVIEW","finance_risk_trigger","none"))</x:f>
        <x:v>none</x:v>
      </x:c>
      <x:c r="AE969" s="12" t="str">
        <x:f>IF(AC969="PUBLIC_CANDIDATE","prepare_public_github_candidate",IF(AC969="PRIVATE_REVIEW","hold_for_private_review","quarantine_private_do_not_publish"))</x:f>
        <x:v>prepare_public_github_candidate</x:v>
      </x:c>
      <x:c r="AF969" s="12" t="str">
        <x:f>IF(AC969="PUBLIC_CANDIDATE","TIDELOCK + Lucerna",IF(AC969="PRIVATE_REVIEW","AtlasBrain + Lucerna","TIDELOCK + Lucerna + Human-root"))</x:f>
        <x:v>TIDELOCK + Lucerna</x:v>
      </x:c>
      <x:c r="AG969" s="12" t="str">
        <x:f>IF(AND(AC969="PUBLIC_CANDIDATE",U969&lt;&gt;"BLOCKED_PENDING_RECEIPT"),"READY_AFTER_RECEIPT","NOT_READY")</x:f>
        <x:v>NOT_READY</x:v>
      </x:c>
      <x:c r="AH969" s="12" t="str">
        <x:f>IF(AC969="PUBLIC_CANDIDATE","none",AD969)</x:f>
        <x:v>none</x:v>
      </x:c>
      <x:c r="AI969" s="12" t="str">
        <x:f>IF(AC969="PUBLIC_CANDIDATE","archive/public_candidates/"&amp;A969,"private_quarantine/"&amp;A969)</x:f>
        <x:v>archive/public_candidates/SWARM-07-H09-S08</x:v>
      </x:c>
      <x:c r="AJ969" s="12" t="str">
        <x:f>IF(AC969="PUBLIC_CANDIDATE","public by default; still not canon","private/hold; do not publish")</x:f>
        <x:v>public by default; still not canon</x:v>
      </x:c>
      <x:c r="AK969" s="12" t="str">
        <x:f>IF(AE969="prepare_public_github_candidate","add receipt/status then mirror","resolve blocker before any public GitHub action")</x:f>
        <x:v>add receipt/status then mirror</x:v>
      </x:c>
    </x:row>
    <x:row r="970">
      <x:c r="A970" s="15" t="str">
        <x:v>SWARM-07-H09-S09</x:v>
      </x:c>
      <x:c r="B970" s="15" t="str">
        <x:v>Domechild</x:v>
      </x:c>
      <x:c r="C970" s="15" t="str">
        <x:v>Planetarium lane builder</x:v>
      </x:c>
      <x:c r="D970" s="15" t="str">
        <x:v>Review Queues</x:v>
      </x:c>
      <x:c r="E970" s="15" t="str">
        <x:v>Aetherforge</x:v>
      </x:c>
      <x:c r="F970" s="15" t="str">
        <x:v>Queue review for Aetherforge — Domechild</x:v>
      </x:c>
      <x:c r="G970" s="15" t="str">
        <x:v>planetarium source packets / civic-science deltas</x:v>
      </x:c>
      <x:c r="H970" s="15" t="str">
        <x:v>source path + receipt + raw/export status + claim/edge/risk delta</x:v>
      </x:c>
      <x:c r="I970" s="15" t="str">
        <x:v>packet/SWARM-07-H09-S09</x:v>
      </x:c>
      <x:c r="J970" s="15" t="str">
        <x:v>TODO</x:v>
      </x:c>
      <x:c r="K970" s="15" t="str">
        <x:v>P2</x:v>
      </x:c>
      <x:c r="L970" s="15" t="str">
        <x:v>Done only when evidence is logged, contradiction search is noted, and boundary stamp remains non-canon unless ratified</x:v>
      </x:c>
      <x:c r="M970" s="15" t="str">
        <x:v>candidate / staging-only / not canon / not deployed / authority none</x:v>
      </x:c>
      <x:c r="N970" s="15" t="str">
        <x:v>Dispatch to Domechild: complete Review Queues x Aetherforge; return deltas only, receipts required.</x:v>
      </x:c>
      <x:c r="O970" s="15" t="str">
        <x:v>AF-KG-H09-S09</x:v>
      </x:c>
      <x:c r="P970" s="15" t="str">
        <x:v>Unverified</x:v>
      </x:c>
      <x:c r="Q970" s="15" t="str">
        <x:v>Not checked</x:v>
      </x:c>
      <x:c r="R970" s="15" t="str"/>
      <x:c r="S970" s="15" t="str"/>
      <x:c r="T970" s="15" t="str">
        <x:v>Log first source path or blocker</x:v>
      </x:c>
      <x:c r="U970" s="12" t="str">
        <x:f>IF(OR(P970="Unverified",Q970="Not checked"),"BLOCKED_PENDING_RECEIPT","READY_FOR_REVIEW")</x:f>
        <x:v>BLOCKED_PENDING_RECEIPT</x:v>
      </x:c>
      <x:c r="V970" s="12" t="str">
        <x:f>IF(J970="DONE","RETURNED",IF(U970="BLOCKED_PENDING_RECEIPT","SOURCE_TOUCH_REQUIRED","IN_PROGRESS"))</x:f>
        <x:v>SOURCE_TOUCH_REQUIRED</x:v>
      </x:c>
      <x:c r="W970" s="12" t="str">
        <x:f>IF(P970="Unverified","missing_receipt","receipt_logged")</x:f>
        <x:v>missing_receipt</x:v>
      </x:c>
      <x:c r="X970" s="12" t="str">
        <x:f>IF(Q970="Not checked","raw_status_missing","raw_status_logged")</x:f>
        <x:v>raw_status_missing</x:v>
      </x:c>
      <x:c r="Y970" s="12" t="str">
        <x:f>IF(U970="BLOCKED_PENDING_RECEIPT","Log source path or blocker; do not promote","Route to review lane")</x:f>
        <x:v>Log source path or blocker; do not promote</x:v>
      </x:c>
      <x:c r="Z970" s="12" t="str">
        <x:f>IF(K970="P0","Primary seat + Hashlight/Lucerna","Seat lane")</x:f>
        <x:v>Seat lane</x:v>
      </x:c>
      <x:c r="AA970" s="12" t="str">
        <x:f>IF(R970="","no_claim_delta","claim_delta_present")</x:f>
        <x:v>no_claim_delta</x:v>
      </x:c>
      <x:c r="AB970" s="12" t="str">
        <x:f>IF(S970="","no_contradiction_delta","contradiction_delta_present")</x:f>
        <x:v>no_contradiction_delta</x:v>
      </x:c>
      <x:c r="AC970" s="12" t="str">
        <x:f>IF(OR(ISNUMBER(SEARCH("hacker",LOWER(F970&amp;" "&amp;H970&amp;" "&amp;I970&amp;" "&amp;M970&amp;" "&amp;N970&amp;" "&amp;T970))),ISNUMBER(SEARCH("hacking",LOWER(F970&amp;" "&amp;H970&amp;" "&amp;I970&amp;" "&amp;M970&amp;" "&amp;N970&amp;" "&amp;T970))),ISNUMBER(SEARCH("bank",LOWER(F970&amp;" "&amp;H970&amp;" "&amp;I970&amp;" "&amp;M970&amp;" "&amp;N970&amp;" "&amp;T970))),ISNUMBER(SEARCH("banking",LOWER(F970&amp;" "&amp;H970&amp;" "&amp;I970&amp;" "&amp;M970&amp;" "&amp;N970&amp;" "&amp;T970)))),"PRIVATE_QUARANTINE",IF(OR(ISNUMBER(SEARCH("treasury",LOWER(F970&amp;" "&amp;H970&amp;" "&amp;I970&amp;" "&amp;M970&amp;" "&amp;N970&amp;" "&amp;T970))),ISNUMBER(SEARCH("debt",LOWER(F970&amp;" "&amp;H970&amp;" "&amp;I970&amp;" "&amp;M970&amp;" "&amp;N970&amp;" "&amp;T970))),ISNUMBER(SEARCH("bond",LOWER(F970&amp;" "&amp;H970&amp;" "&amp;I970&amp;" "&amp;M970&amp;" "&amp;N970&amp;" "&amp;T970))),ISNUMBER(SEARCH("transaction",LOWER(F970&amp;" "&amp;H970&amp;" "&amp;I970&amp;" "&amp;M970&amp;" "&amp;N970&amp;" "&amp;T970)))),"PRIVATE_REVIEW","PUBLIC_CANDIDATE"))</x:f>
        <x:v>PUBLIC_CANDIDATE</x:v>
      </x:c>
      <x:c r="AD970" s="12" t="str">
        <x:f>IF(AC970="PRIVATE_QUARANTINE","hacker_or_bank_trigger",IF(AC970="PRIVATE_REVIEW","finance_risk_trigger","none"))</x:f>
        <x:v>none</x:v>
      </x:c>
      <x:c r="AE970" s="12" t="str">
        <x:f>IF(AC970="PUBLIC_CANDIDATE","prepare_public_github_candidate",IF(AC970="PRIVATE_REVIEW","hold_for_private_review","quarantine_private_do_not_publish"))</x:f>
        <x:v>prepare_public_github_candidate</x:v>
      </x:c>
      <x:c r="AF970" s="12" t="str">
        <x:f>IF(AC970="PUBLIC_CANDIDATE","TIDELOCK + Lucerna",IF(AC970="PRIVATE_REVIEW","AtlasBrain + Lucerna","TIDELOCK + Lucerna + Human-root"))</x:f>
        <x:v>TIDELOCK + Lucerna</x:v>
      </x:c>
      <x:c r="AG970" s="12" t="str">
        <x:f>IF(AND(AC970="PUBLIC_CANDIDATE",U970&lt;&gt;"BLOCKED_PENDING_RECEIPT"),"READY_AFTER_RECEIPT","NOT_READY")</x:f>
        <x:v>NOT_READY</x:v>
      </x:c>
      <x:c r="AH970" s="12" t="str">
        <x:f>IF(AC970="PUBLIC_CANDIDATE","none",AD970)</x:f>
        <x:v>none</x:v>
      </x:c>
      <x:c r="AI970" s="12" t="str">
        <x:f>IF(AC970="PUBLIC_CANDIDATE","archive/public_candidates/"&amp;A970,"private_quarantine/"&amp;A970)</x:f>
        <x:v>archive/public_candidates/SWARM-07-H09-S09</x:v>
      </x:c>
      <x:c r="AJ970" s="12" t="str">
        <x:f>IF(AC970="PUBLIC_CANDIDATE","public by default; still not canon","private/hold; do not publish")</x:f>
        <x:v>public by default; still not canon</x:v>
      </x:c>
      <x:c r="AK970" s="12" t="str">
        <x:f>IF(AE970="prepare_public_github_candidate","add receipt/status then mirror","resolve blocker before any public GitHub action")</x:f>
        <x:v>add receipt/status then mirror</x:v>
      </x:c>
    </x:row>
    <x:row r="971">
      <x:c r="A971" s="15" t="str">
        <x:v>SWARM-07-H09-S10</x:v>
      </x:c>
      <x:c r="B971" s="15" t="str">
        <x:v>Domechild</x:v>
      </x:c>
      <x:c r="C971" s="15" t="str">
        <x:v>Planetarium lane builder</x:v>
      </x:c>
      <x:c r="D971" s="15" t="str">
        <x:v>Review Queues</x:v>
      </x:c>
      <x:c r="E971" s="15" t="str">
        <x:v>Human-Root</x:v>
      </x:c>
      <x:c r="F971" s="15" t="str">
        <x:v>Queue review for Human-Root — Domechild</x:v>
      </x:c>
      <x:c r="G971" s="15" t="str">
        <x:v>planetarium source packets / civic-science deltas</x:v>
      </x:c>
      <x:c r="H971" s="15" t="str">
        <x:v>source path + receipt + raw/export status + claim/edge/risk delta</x:v>
      </x:c>
      <x:c r="I971" s="15" t="str">
        <x:v>packet/SWARM-07-H09-S10</x:v>
      </x:c>
      <x:c r="J971" s="15" t="str">
        <x:v>TODO</x:v>
      </x:c>
      <x:c r="K971" s="15" t="str">
        <x:v>P2</x:v>
      </x:c>
      <x:c r="L971" s="15" t="str">
        <x:v>Done only when evidence is logged, contradiction search is noted, and boundary stamp remains non-canon unless ratified</x:v>
      </x:c>
      <x:c r="M971" s="15" t="str">
        <x:v>candidate / staging-only / not canon / not deployed / authority none</x:v>
      </x:c>
      <x:c r="N971" s="15" t="str">
        <x:v>Dispatch to Domechild: complete Review Queues x Human-Root; return deltas only, receipts required.</x:v>
      </x:c>
      <x:c r="O971" s="15" t="str">
        <x:v>AF-KG-H09-S10</x:v>
      </x:c>
      <x:c r="P971" s="15" t="str">
        <x:v>Unverified</x:v>
      </x:c>
      <x:c r="Q971" s="15" t="str">
        <x:v>Not checked</x:v>
      </x:c>
      <x:c r="R971" s="15" t="str"/>
      <x:c r="S971" s="15" t="str"/>
      <x:c r="T971" s="15" t="str">
        <x:v>Log first source path or blocker</x:v>
      </x:c>
      <x:c r="U971" s="12" t="str">
        <x:f>IF(OR(P971="Unverified",Q971="Not checked"),"BLOCKED_PENDING_RECEIPT","READY_FOR_REVIEW")</x:f>
        <x:v>BLOCKED_PENDING_RECEIPT</x:v>
      </x:c>
      <x:c r="V971" s="12" t="str">
        <x:f>IF(J971="DONE","RETURNED",IF(U971="BLOCKED_PENDING_RECEIPT","SOURCE_TOUCH_REQUIRED","IN_PROGRESS"))</x:f>
        <x:v>SOURCE_TOUCH_REQUIRED</x:v>
      </x:c>
      <x:c r="W971" s="12" t="str">
        <x:f>IF(P971="Unverified","missing_receipt","receipt_logged")</x:f>
        <x:v>missing_receipt</x:v>
      </x:c>
      <x:c r="X971" s="12" t="str">
        <x:f>IF(Q971="Not checked","raw_status_missing","raw_status_logged")</x:f>
        <x:v>raw_status_missing</x:v>
      </x:c>
      <x:c r="Y971" s="12" t="str">
        <x:f>IF(U971="BLOCKED_PENDING_RECEIPT","Log source path or blocker; do not promote","Route to review lane")</x:f>
        <x:v>Log source path or blocker; do not promote</x:v>
      </x:c>
      <x:c r="Z971" s="12" t="str">
        <x:f>IF(K971="P0","Primary seat + Hashlight/Lucerna","Seat lane")</x:f>
        <x:v>Seat lane</x:v>
      </x:c>
      <x:c r="AA971" s="12" t="str">
        <x:f>IF(R971="","no_claim_delta","claim_delta_present")</x:f>
        <x:v>no_claim_delta</x:v>
      </x:c>
      <x:c r="AB971" s="12" t="str">
        <x:f>IF(S971="","no_contradiction_delta","contradiction_delta_present")</x:f>
        <x:v>no_contradiction_delta</x:v>
      </x:c>
      <x:c r="AC971" s="12" t="str">
        <x:f>IF(OR(ISNUMBER(SEARCH("hacker",LOWER(F971&amp;" "&amp;H971&amp;" "&amp;I971&amp;" "&amp;M971&amp;" "&amp;N971&amp;" "&amp;T971))),ISNUMBER(SEARCH("hacking",LOWER(F971&amp;" "&amp;H971&amp;" "&amp;I971&amp;" "&amp;M971&amp;" "&amp;N971&amp;" "&amp;T971))),ISNUMBER(SEARCH("bank",LOWER(F971&amp;" "&amp;H971&amp;" "&amp;I971&amp;" "&amp;M971&amp;" "&amp;N971&amp;" "&amp;T971))),ISNUMBER(SEARCH("banking",LOWER(F971&amp;" "&amp;H971&amp;" "&amp;I971&amp;" "&amp;M971&amp;" "&amp;N971&amp;" "&amp;T971)))),"PRIVATE_QUARANTINE",IF(OR(ISNUMBER(SEARCH("treasury",LOWER(F971&amp;" "&amp;H971&amp;" "&amp;I971&amp;" "&amp;M971&amp;" "&amp;N971&amp;" "&amp;T971))),ISNUMBER(SEARCH("debt",LOWER(F971&amp;" "&amp;H971&amp;" "&amp;I971&amp;" "&amp;M971&amp;" "&amp;N971&amp;" "&amp;T971))),ISNUMBER(SEARCH("bond",LOWER(F971&amp;" "&amp;H971&amp;" "&amp;I971&amp;" "&amp;M971&amp;" "&amp;N971&amp;" "&amp;T971))),ISNUMBER(SEARCH("transaction",LOWER(F971&amp;" "&amp;H971&amp;" "&amp;I971&amp;" "&amp;M971&amp;" "&amp;N971&amp;" "&amp;T971)))),"PRIVATE_REVIEW","PUBLIC_CANDIDATE"))</x:f>
        <x:v>PUBLIC_CANDIDATE</x:v>
      </x:c>
      <x:c r="AD971" s="12" t="str">
        <x:f>IF(AC971="PRIVATE_QUARANTINE","hacker_or_bank_trigger",IF(AC971="PRIVATE_REVIEW","finance_risk_trigger","none"))</x:f>
        <x:v>none</x:v>
      </x:c>
      <x:c r="AE971" s="12" t="str">
        <x:f>IF(AC971="PUBLIC_CANDIDATE","prepare_public_github_candidate",IF(AC971="PRIVATE_REVIEW","hold_for_private_review","quarantine_private_do_not_publish"))</x:f>
        <x:v>prepare_public_github_candidate</x:v>
      </x:c>
      <x:c r="AF971" s="12" t="str">
        <x:f>IF(AC971="PUBLIC_CANDIDATE","TIDELOCK + Lucerna",IF(AC971="PRIVATE_REVIEW","AtlasBrain + Lucerna","TIDELOCK + Lucerna + Human-root"))</x:f>
        <x:v>TIDELOCK + Lucerna</x:v>
      </x:c>
      <x:c r="AG971" s="12" t="str">
        <x:f>IF(AND(AC971="PUBLIC_CANDIDATE",U971&lt;&gt;"BLOCKED_PENDING_RECEIPT"),"READY_AFTER_RECEIPT","NOT_READY")</x:f>
        <x:v>NOT_READY</x:v>
      </x:c>
      <x:c r="AH971" s="12" t="str">
        <x:f>IF(AC971="PUBLIC_CANDIDATE","none",AD971)</x:f>
        <x:v>none</x:v>
      </x:c>
      <x:c r="AI971" s="12" t="str">
        <x:f>IF(AC971="PUBLIC_CANDIDATE","archive/public_candidates/"&amp;A971,"private_quarantine/"&amp;A971)</x:f>
        <x:v>archive/public_candidates/SWARM-07-H09-S10</x:v>
      </x:c>
      <x:c r="AJ971" s="12" t="str">
        <x:f>IF(AC971="PUBLIC_CANDIDATE","public by default; still not canon","private/hold; do not publish")</x:f>
        <x:v>public by default; still not canon</x:v>
      </x:c>
      <x:c r="AK971" s="12" t="str">
        <x:f>IF(AE971="prepare_public_github_candidate","add receipt/status then mirror","resolve blocker before any public GitHub action")</x:f>
        <x:v>add receipt/status then mirror</x:v>
      </x:c>
    </x:row>
    <x:row r="972">
      <x:c r="A972" s="15" t="str">
        <x:v>SWARM-07-H09-S11</x:v>
      </x:c>
      <x:c r="B972" s="15" t="str">
        <x:v>Domechild</x:v>
      </x:c>
      <x:c r="C972" s="15" t="str">
        <x:v>Planetarium lane builder</x:v>
      </x:c>
      <x:c r="D972" s="15" t="str">
        <x:v>Review Queues</x:v>
      </x:c>
      <x:c r="E972" s="15" t="str">
        <x:v>Automation</x:v>
      </x:c>
      <x:c r="F972" s="15" t="str">
        <x:v>Queue review for Automation — Domechild</x:v>
      </x:c>
      <x:c r="G972" s="15" t="str">
        <x:v>planetarium source packets / civic-science deltas</x:v>
      </x:c>
      <x:c r="H972" s="15" t="str">
        <x:v>source path + receipt + raw/export status + claim/edge/risk delta</x:v>
      </x:c>
      <x:c r="I972" s="15" t="str">
        <x:v>packet/SWARM-07-H09-S11</x:v>
      </x:c>
      <x:c r="J972" s="15" t="str">
        <x:v>TODO</x:v>
      </x:c>
      <x:c r="K972" s="15" t="str">
        <x:v>P2</x:v>
      </x:c>
      <x:c r="L972" s="15" t="str">
        <x:v>Done only when evidence is logged, contradiction search is noted, and boundary stamp remains non-canon unless ratified</x:v>
      </x:c>
      <x:c r="M972" s="15" t="str">
        <x:v>candidate / staging-only / not canon / not deployed / authority none</x:v>
      </x:c>
      <x:c r="N972" s="15" t="str">
        <x:v>Dispatch to Domechild: complete Review Queues x Automation; return deltas only, receipts required.</x:v>
      </x:c>
      <x:c r="O972" s="15" t="str">
        <x:v>AF-KG-H09-S11</x:v>
      </x:c>
      <x:c r="P972" s="15" t="str">
        <x:v>Unverified</x:v>
      </x:c>
      <x:c r="Q972" s="15" t="str">
        <x:v>Not checked</x:v>
      </x:c>
      <x:c r="R972" s="15" t="str"/>
      <x:c r="S972" s="15" t="str"/>
      <x:c r="T972" s="15" t="str">
        <x:v>Log first source path or blocker</x:v>
      </x:c>
      <x:c r="U972" s="12" t="str">
        <x:f>IF(OR(P972="Unverified",Q972="Not checked"),"BLOCKED_PENDING_RECEIPT","READY_FOR_REVIEW")</x:f>
        <x:v>BLOCKED_PENDING_RECEIPT</x:v>
      </x:c>
      <x:c r="V972" s="12" t="str">
        <x:f>IF(J972="DONE","RETURNED",IF(U972="BLOCKED_PENDING_RECEIPT","SOURCE_TOUCH_REQUIRED","IN_PROGRESS"))</x:f>
        <x:v>SOURCE_TOUCH_REQUIRED</x:v>
      </x:c>
      <x:c r="W972" s="12" t="str">
        <x:f>IF(P972="Unverified","missing_receipt","receipt_logged")</x:f>
        <x:v>missing_receipt</x:v>
      </x:c>
      <x:c r="X972" s="12" t="str">
        <x:f>IF(Q972="Not checked","raw_status_missing","raw_status_logged")</x:f>
        <x:v>raw_status_missing</x:v>
      </x:c>
      <x:c r="Y972" s="12" t="str">
        <x:f>IF(U972="BLOCKED_PENDING_RECEIPT","Log source path or blocker; do not promote","Route to review lane")</x:f>
        <x:v>Log source path or blocker; do not promote</x:v>
      </x:c>
      <x:c r="Z972" s="12" t="str">
        <x:f>IF(K972="P0","Primary seat + Hashlight/Lucerna","Seat lane")</x:f>
        <x:v>Seat lane</x:v>
      </x:c>
      <x:c r="AA972" s="12" t="str">
        <x:f>IF(R972="","no_claim_delta","claim_delta_present")</x:f>
        <x:v>no_claim_delta</x:v>
      </x:c>
      <x:c r="AB972" s="12" t="str">
        <x:f>IF(S972="","no_contradiction_delta","contradiction_delta_present")</x:f>
        <x:v>no_contradiction_delta</x:v>
      </x:c>
      <x:c r="AC972" s="12" t="str">
        <x:f>IF(OR(ISNUMBER(SEARCH("hacker",LOWER(F972&amp;" "&amp;H972&amp;" "&amp;I972&amp;" "&amp;M972&amp;" "&amp;N972&amp;" "&amp;T972))),ISNUMBER(SEARCH("hacking",LOWER(F972&amp;" "&amp;H972&amp;" "&amp;I972&amp;" "&amp;M972&amp;" "&amp;N972&amp;" "&amp;T972))),ISNUMBER(SEARCH("bank",LOWER(F972&amp;" "&amp;H972&amp;" "&amp;I972&amp;" "&amp;M972&amp;" "&amp;N972&amp;" "&amp;T972))),ISNUMBER(SEARCH("banking",LOWER(F972&amp;" "&amp;H972&amp;" "&amp;I972&amp;" "&amp;M972&amp;" "&amp;N972&amp;" "&amp;T972)))),"PRIVATE_QUARANTINE",IF(OR(ISNUMBER(SEARCH("treasury",LOWER(F972&amp;" "&amp;H972&amp;" "&amp;I972&amp;" "&amp;M972&amp;" "&amp;N972&amp;" "&amp;T972))),ISNUMBER(SEARCH("debt",LOWER(F972&amp;" "&amp;H972&amp;" "&amp;I972&amp;" "&amp;M972&amp;" "&amp;N972&amp;" "&amp;T972))),ISNUMBER(SEARCH("bond",LOWER(F972&amp;" "&amp;H972&amp;" "&amp;I972&amp;" "&amp;M972&amp;" "&amp;N972&amp;" "&amp;T972))),ISNUMBER(SEARCH("transaction",LOWER(F972&amp;" "&amp;H972&amp;" "&amp;I972&amp;" "&amp;M972&amp;" "&amp;N972&amp;" "&amp;T972)))),"PRIVATE_REVIEW","PUBLIC_CANDIDATE"))</x:f>
        <x:v>PUBLIC_CANDIDATE</x:v>
      </x:c>
      <x:c r="AD972" s="12" t="str">
        <x:f>IF(AC972="PRIVATE_QUARANTINE","hacker_or_bank_trigger",IF(AC972="PRIVATE_REVIEW","finance_risk_trigger","none"))</x:f>
        <x:v>none</x:v>
      </x:c>
      <x:c r="AE972" s="12" t="str">
        <x:f>IF(AC972="PUBLIC_CANDIDATE","prepare_public_github_candidate",IF(AC972="PRIVATE_REVIEW","hold_for_private_review","quarantine_private_do_not_publish"))</x:f>
        <x:v>prepare_public_github_candidate</x:v>
      </x:c>
      <x:c r="AF972" s="12" t="str">
        <x:f>IF(AC972="PUBLIC_CANDIDATE","TIDELOCK + Lucerna",IF(AC972="PRIVATE_REVIEW","AtlasBrain + Lucerna","TIDELOCK + Lucerna + Human-root"))</x:f>
        <x:v>TIDELOCK + Lucerna</x:v>
      </x:c>
      <x:c r="AG972" s="12" t="str">
        <x:f>IF(AND(AC972="PUBLIC_CANDIDATE",U972&lt;&gt;"BLOCKED_PENDING_RECEIPT"),"READY_AFTER_RECEIPT","NOT_READY")</x:f>
        <x:v>NOT_READY</x:v>
      </x:c>
      <x:c r="AH972" s="12" t="str">
        <x:f>IF(AC972="PUBLIC_CANDIDATE","none",AD972)</x:f>
        <x:v>none</x:v>
      </x:c>
      <x:c r="AI972" s="12" t="str">
        <x:f>IF(AC972="PUBLIC_CANDIDATE","archive/public_candidates/"&amp;A972,"private_quarantine/"&amp;A972)</x:f>
        <x:v>archive/public_candidates/SWARM-07-H09-S11</x:v>
      </x:c>
      <x:c r="AJ972" s="12" t="str">
        <x:f>IF(AC972="PUBLIC_CANDIDATE","public by default; still not canon","private/hold; do not publish")</x:f>
        <x:v>public by default; still not canon</x:v>
      </x:c>
      <x:c r="AK972" s="12" t="str">
        <x:f>IF(AE972="prepare_public_github_candidate","add receipt/status then mirror","resolve blocker before any public GitHub action")</x:f>
        <x:v>add receipt/status then mirror</x:v>
      </x:c>
    </x:row>
    <x:row r="973">
      <x:c r="A973" s="15" t="str">
        <x:v>SWARM-07-H09-S12</x:v>
      </x:c>
      <x:c r="B973" s="15" t="str">
        <x:v>Domechild</x:v>
      </x:c>
      <x:c r="C973" s="15" t="str">
        <x:v>Planetarium lane builder</x:v>
      </x:c>
      <x:c r="D973" s="15" t="str">
        <x:v>Review Queues</x:v>
      </x:c>
      <x:c r="E973" s="15" t="str">
        <x:v>Risk / Safety</x:v>
      </x:c>
      <x:c r="F973" s="15" t="str">
        <x:v>Queue review for Risk / Safety — Domechild</x:v>
      </x:c>
      <x:c r="G973" s="15" t="str">
        <x:v>planetarium source packets / civic-science deltas</x:v>
      </x:c>
      <x:c r="H973" s="15" t="str">
        <x:v>source path + receipt + raw/export status + claim/edge/risk delta</x:v>
      </x:c>
      <x:c r="I973" s="15" t="str">
        <x:v>packet/SWARM-07-H09-S12</x:v>
      </x:c>
      <x:c r="J973" s="15" t="str">
        <x:v>TODO</x:v>
      </x:c>
      <x:c r="K973" s="15" t="str">
        <x:v>P2</x:v>
      </x:c>
      <x:c r="L973" s="15" t="str">
        <x:v>Done only when evidence is logged, contradiction search is noted, and boundary stamp remains non-canon unless ratified</x:v>
      </x:c>
      <x:c r="M973" s="15" t="str">
        <x:v>candidate / staging-only / not canon / not deployed / authority none</x:v>
      </x:c>
      <x:c r="N973" s="15" t="str">
        <x:v>Dispatch to Domechild: complete Review Queues x Risk / Safety; return deltas only, receipts required.</x:v>
      </x:c>
      <x:c r="O973" s="15" t="str">
        <x:v>AF-KG-H09-S12</x:v>
      </x:c>
      <x:c r="P973" s="15" t="str">
        <x:v>Unverified</x:v>
      </x:c>
      <x:c r="Q973" s="15" t="str">
        <x:v>Not checked</x:v>
      </x:c>
      <x:c r="R973" s="15" t="str"/>
      <x:c r="S973" s="15" t="str"/>
      <x:c r="T973" s="15" t="str">
        <x:v>Log first source path or blocker</x:v>
      </x:c>
      <x:c r="U973" s="12" t="str">
        <x:f>IF(OR(P973="Unverified",Q973="Not checked"),"BLOCKED_PENDING_RECEIPT","READY_FOR_REVIEW")</x:f>
        <x:v>BLOCKED_PENDING_RECEIPT</x:v>
      </x:c>
      <x:c r="V973" s="12" t="str">
        <x:f>IF(J973="DONE","RETURNED",IF(U973="BLOCKED_PENDING_RECEIPT","SOURCE_TOUCH_REQUIRED","IN_PROGRESS"))</x:f>
        <x:v>SOURCE_TOUCH_REQUIRED</x:v>
      </x:c>
      <x:c r="W973" s="12" t="str">
        <x:f>IF(P973="Unverified","missing_receipt","receipt_logged")</x:f>
        <x:v>missing_receipt</x:v>
      </x:c>
      <x:c r="X973" s="12" t="str">
        <x:f>IF(Q973="Not checked","raw_status_missing","raw_status_logged")</x:f>
        <x:v>raw_status_missing</x:v>
      </x:c>
      <x:c r="Y973" s="12" t="str">
        <x:f>IF(U973="BLOCKED_PENDING_RECEIPT","Log source path or blocker; do not promote","Route to review lane")</x:f>
        <x:v>Log source path or blocker; do not promote</x:v>
      </x:c>
      <x:c r="Z973" s="12" t="str">
        <x:f>IF(K973="P0","Primary seat + Hashlight/Lucerna","Seat lane")</x:f>
        <x:v>Seat lane</x:v>
      </x:c>
      <x:c r="AA973" s="12" t="str">
        <x:f>IF(R973="","no_claim_delta","claim_delta_present")</x:f>
        <x:v>no_claim_delta</x:v>
      </x:c>
      <x:c r="AB973" s="12" t="str">
        <x:f>IF(S973="","no_contradiction_delta","contradiction_delta_present")</x:f>
        <x:v>no_contradiction_delta</x:v>
      </x:c>
      <x:c r="AC973" s="12" t="str">
        <x:f>IF(OR(ISNUMBER(SEARCH("hacker",LOWER(F973&amp;" "&amp;H973&amp;" "&amp;I973&amp;" "&amp;M973&amp;" "&amp;N973&amp;" "&amp;T973))),ISNUMBER(SEARCH("hacking",LOWER(F973&amp;" "&amp;H973&amp;" "&amp;I973&amp;" "&amp;M973&amp;" "&amp;N973&amp;" "&amp;T973))),ISNUMBER(SEARCH("bank",LOWER(F973&amp;" "&amp;H973&amp;" "&amp;I973&amp;" "&amp;M973&amp;" "&amp;N973&amp;" "&amp;T973))),ISNUMBER(SEARCH("banking",LOWER(F973&amp;" "&amp;H973&amp;" "&amp;I973&amp;" "&amp;M973&amp;" "&amp;N973&amp;" "&amp;T973)))),"PRIVATE_QUARANTINE",IF(OR(ISNUMBER(SEARCH("treasury",LOWER(F973&amp;" "&amp;H973&amp;" "&amp;I973&amp;" "&amp;M973&amp;" "&amp;N973&amp;" "&amp;T973))),ISNUMBER(SEARCH("debt",LOWER(F973&amp;" "&amp;H973&amp;" "&amp;I973&amp;" "&amp;M973&amp;" "&amp;N973&amp;" "&amp;T973))),ISNUMBER(SEARCH("bond",LOWER(F973&amp;" "&amp;H973&amp;" "&amp;I973&amp;" "&amp;M973&amp;" "&amp;N973&amp;" "&amp;T973))),ISNUMBER(SEARCH("transaction",LOWER(F973&amp;" "&amp;H973&amp;" "&amp;I973&amp;" "&amp;M973&amp;" "&amp;N973&amp;" "&amp;T973)))),"PRIVATE_REVIEW","PUBLIC_CANDIDATE"))</x:f>
        <x:v>PUBLIC_CANDIDATE</x:v>
      </x:c>
      <x:c r="AD973" s="12" t="str">
        <x:f>IF(AC973="PRIVATE_QUARANTINE","hacker_or_bank_trigger",IF(AC973="PRIVATE_REVIEW","finance_risk_trigger","none"))</x:f>
        <x:v>none</x:v>
      </x:c>
      <x:c r="AE973" s="12" t="str">
        <x:f>IF(AC973="PUBLIC_CANDIDATE","prepare_public_github_candidate",IF(AC973="PRIVATE_REVIEW","hold_for_private_review","quarantine_private_do_not_publish"))</x:f>
        <x:v>prepare_public_github_candidate</x:v>
      </x:c>
      <x:c r="AF973" s="12" t="str">
        <x:f>IF(AC973="PUBLIC_CANDIDATE","TIDELOCK + Lucerna",IF(AC973="PRIVATE_REVIEW","AtlasBrain + Lucerna","TIDELOCK + Lucerna + Human-root"))</x:f>
        <x:v>TIDELOCK + Lucerna</x:v>
      </x:c>
      <x:c r="AG973" s="12" t="str">
        <x:f>IF(AND(AC973="PUBLIC_CANDIDATE",U973&lt;&gt;"BLOCKED_PENDING_RECEIPT"),"READY_AFTER_RECEIPT","NOT_READY")</x:f>
        <x:v>NOT_READY</x:v>
      </x:c>
      <x:c r="AH973" s="12" t="str">
        <x:f>IF(AC973="PUBLIC_CANDIDATE","none",AD973)</x:f>
        <x:v>none</x:v>
      </x:c>
      <x:c r="AI973" s="12" t="str">
        <x:f>IF(AC973="PUBLIC_CANDIDATE","archive/public_candidates/"&amp;A973,"private_quarantine/"&amp;A973)</x:f>
        <x:v>archive/public_candidates/SWARM-07-H09-S12</x:v>
      </x:c>
      <x:c r="AJ973" s="12" t="str">
        <x:f>IF(AC973="PUBLIC_CANDIDATE","public by default; still not canon","private/hold; do not publish")</x:f>
        <x:v>public by default; still not canon</x:v>
      </x:c>
      <x:c r="AK973" s="12" t="str">
        <x:f>IF(AE973="prepare_public_github_candidate","add receipt/status then mirror","resolve blocker before any public GitHub action")</x:f>
        <x:v>add receipt/status then mirror</x:v>
      </x:c>
    </x:row>
    <x:row r="974">
      <x:c r="A974" s="15" t="str">
        <x:v>SWARM-07-H10-S01</x:v>
      </x:c>
      <x:c r="B974" s="15" t="str">
        <x:v>Domechild</x:v>
      </x:c>
      <x:c r="C974" s="15" t="str">
        <x:v>Planetarium lane builder</x:v>
      </x:c>
      <x:c r="D974" s="15" t="str">
        <x:v>GitHub Source Packets</x:v>
      </x:c>
      <x:c r="E974" s="15" t="str">
        <x:v>Notion</x:v>
      </x:c>
      <x:c r="F974" s="15" t="str">
        <x:v>Build source packet for Notion — Domechild</x:v>
      </x:c>
      <x:c r="G974" s="15" t="str">
        <x:v>planetarium source packets / civic-science deltas</x:v>
      </x:c>
      <x:c r="H974" s="15" t="str">
        <x:v>source path + receipt + raw/export status + claim/edge/risk delta</x:v>
      </x:c>
      <x:c r="I974" s="15" t="str">
        <x:v>packet/SWARM-07-H10-S01</x:v>
      </x:c>
      <x:c r="J974" s="15" t="str">
        <x:v>TODO</x:v>
      </x:c>
      <x:c r="K974" s="15" t="str">
        <x:v>P0</x:v>
      </x:c>
      <x:c r="L974" s="15" t="str">
        <x:v>Done only when evidence is logged, contradiction search is noted, and boundary stamp remains non-canon unless ratified</x:v>
      </x:c>
      <x:c r="M974" s="15" t="str">
        <x:v>candidate / staging-only / not canon / not deployed / authority none</x:v>
      </x:c>
      <x:c r="N974" s="15" t="str">
        <x:v>Dispatch to Domechild: complete GitHub Source Packets x Notion; return deltas only, receipts required.</x:v>
      </x:c>
      <x:c r="O974" s="15" t="str">
        <x:v>AF-KG-H10-S01</x:v>
      </x:c>
      <x:c r="P974" s="15" t="str">
        <x:v>Unverified</x:v>
      </x:c>
      <x:c r="Q974" s="15" t="str">
        <x:v>Not checked</x:v>
      </x:c>
      <x:c r="R974" s="15" t="str"/>
      <x:c r="S974" s="15" t="str"/>
      <x:c r="T974" s="15" t="str">
        <x:v>Log first source path or blocker</x:v>
      </x:c>
      <x:c r="U974" s="12" t="str">
        <x:f>IF(OR(P974="Unverified",Q974="Not checked"),"BLOCKED_PENDING_RECEIPT","READY_FOR_REVIEW")</x:f>
        <x:v>BLOCKED_PENDING_RECEIPT</x:v>
      </x:c>
      <x:c r="V974" s="12" t="str">
        <x:f>IF(J974="DONE","RETURNED",IF(U974="BLOCKED_PENDING_RECEIPT","SOURCE_TOUCH_REQUIRED","IN_PROGRESS"))</x:f>
        <x:v>SOURCE_TOUCH_REQUIRED</x:v>
      </x:c>
      <x:c r="W974" s="12" t="str">
        <x:f>IF(P974="Unverified","missing_receipt","receipt_logged")</x:f>
        <x:v>missing_receipt</x:v>
      </x:c>
      <x:c r="X974" s="12" t="str">
        <x:f>IF(Q974="Not checked","raw_status_missing","raw_status_logged")</x:f>
        <x:v>raw_status_missing</x:v>
      </x:c>
      <x:c r="Y974" s="12" t="str">
        <x:f>IF(U974="BLOCKED_PENDING_RECEIPT","Log source path or blocker; do not promote","Route to review lane")</x:f>
        <x:v>Log source path or blocker; do not promote</x:v>
      </x:c>
      <x:c r="Z974" s="12" t="str">
        <x:f>IF(K974="P0","Primary seat + Hashlight/Lucerna","Seat lane")</x:f>
        <x:v>Primary seat + Hashlight/Lucerna</x:v>
      </x:c>
      <x:c r="AA974" s="12" t="str">
        <x:f>IF(R974="","no_claim_delta","claim_delta_present")</x:f>
        <x:v>no_claim_delta</x:v>
      </x:c>
      <x:c r="AB974" s="12" t="str">
        <x:f>IF(S974="","no_contradiction_delta","contradiction_delta_present")</x:f>
        <x:v>no_contradiction_delta</x:v>
      </x:c>
      <x:c r="AC974" s="12" t="str">
        <x:f>IF(OR(ISNUMBER(SEARCH("hacker",LOWER(F974&amp;" "&amp;H974&amp;" "&amp;I974&amp;" "&amp;M974&amp;" "&amp;N974&amp;" "&amp;T974))),ISNUMBER(SEARCH("hacking",LOWER(F974&amp;" "&amp;H974&amp;" "&amp;I974&amp;" "&amp;M974&amp;" "&amp;N974&amp;" "&amp;T974))),ISNUMBER(SEARCH("bank",LOWER(F974&amp;" "&amp;H974&amp;" "&amp;I974&amp;" "&amp;M974&amp;" "&amp;N974&amp;" "&amp;T974))),ISNUMBER(SEARCH("banking",LOWER(F974&amp;" "&amp;H974&amp;" "&amp;I974&amp;" "&amp;M974&amp;" "&amp;N974&amp;" "&amp;T974)))),"PRIVATE_QUARANTINE",IF(OR(ISNUMBER(SEARCH("treasury",LOWER(F974&amp;" "&amp;H974&amp;" "&amp;I974&amp;" "&amp;M974&amp;" "&amp;N974&amp;" "&amp;T974))),ISNUMBER(SEARCH("debt",LOWER(F974&amp;" "&amp;H974&amp;" "&amp;I974&amp;" "&amp;M974&amp;" "&amp;N974&amp;" "&amp;T974))),ISNUMBER(SEARCH("bond",LOWER(F974&amp;" "&amp;H974&amp;" "&amp;I974&amp;" "&amp;M974&amp;" "&amp;N974&amp;" "&amp;T974))),ISNUMBER(SEARCH("transaction",LOWER(F974&amp;" "&amp;H974&amp;" "&amp;I974&amp;" "&amp;M974&amp;" "&amp;N974&amp;" "&amp;T974)))),"PRIVATE_REVIEW","PUBLIC_CANDIDATE"))</x:f>
        <x:v>PUBLIC_CANDIDATE</x:v>
      </x:c>
      <x:c r="AD974" s="12" t="str">
        <x:f>IF(AC974="PRIVATE_QUARANTINE","hacker_or_bank_trigger",IF(AC974="PRIVATE_REVIEW","finance_risk_trigger","none"))</x:f>
        <x:v>none</x:v>
      </x:c>
      <x:c r="AE974" s="12" t="str">
        <x:f>IF(AC974="PUBLIC_CANDIDATE","prepare_public_github_candidate",IF(AC974="PRIVATE_REVIEW","hold_for_private_review","quarantine_private_do_not_publish"))</x:f>
        <x:v>prepare_public_github_candidate</x:v>
      </x:c>
      <x:c r="AF974" s="12" t="str">
        <x:f>IF(AC974="PUBLIC_CANDIDATE","TIDELOCK + Lucerna",IF(AC974="PRIVATE_REVIEW","AtlasBrain + Lucerna","TIDELOCK + Lucerna + Human-root"))</x:f>
        <x:v>TIDELOCK + Lucerna</x:v>
      </x:c>
      <x:c r="AG974" s="12" t="str">
        <x:f>IF(AND(AC974="PUBLIC_CANDIDATE",U974&lt;&gt;"BLOCKED_PENDING_RECEIPT"),"READY_AFTER_RECEIPT","NOT_READY")</x:f>
        <x:v>NOT_READY</x:v>
      </x:c>
      <x:c r="AH974" s="12" t="str">
        <x:f>IF(AC974="PUBLIC_CANDIDATE","none",AD974)</x:f>
        <x:v>none</x:v>
      </x:c>
      <x:c r="AI974" s="12" t="str">
        <x:f>IF(AC974="PUBLIC_CANDIDATE","archive/public_candidates/"&amp;A974,"private_quarantine/"&amp;A974)</x:f>
        <x:v>archive/public_candidates/SWARM-07-H10-S01</x:v>
      </x:c>
      <x:c r="AJ974" s="12" t="str">
        <x:f>IF(AC974="PUBLIC_CANDIDATE","public by default; still not canon","private/hold; do not publish")</x:f>
        <x:v>public by default; still not canon</x:v>
      </x:c>
      <x:c r="AK974" s="12" t="str">
        <x:f>IF(AE974="prepare_public_github_candidate","add receipt/status then mirror","resolve blocker before any public GitHub action")</x:f>
        <x:v>add receipt/status then mirror</x:v>
      </x:c>
    </x:row>
    <x:row r="975">
      <x:c r="A975" s="15" t="str">
        <x:v>SWARM-07-H10-S02</x:v>
      </x:c>
      <x:c r="B975" s="15" t="str">
        <x:v>Domechild</x:v>
      </x:c>
      <x:c r="C975" s="15" t="str">
        <x:v>Planetarium lane builder</x:v>
      </x:c>
      <x:c r="D975" s="15" t="str">
        <x:v>GitHub Source Packets</x:v>
      </x:c>
      <x:c r="E975" s="15" t="str">
        <x:v>Drive</x:v>
      </x:c>
      <x:c r="F975" s="15" t="str">
        <x:v>Build source packet for Drive — Domechild</x:v>
      </x:c>
      <x:c r="G975" s="15" t="str">
        <x:v>planetarium source packets / civic-science deltas</x:v>
      </x:c>
      <x:c r="H975" s="15" t="str">
        <x:v>source path + receipt + raw/export status + claim/edge/risk delta</x:v>
      </x:c>
      <x:c r="I975" s="15" t="str">
        <x:v>packet/SWARM-07-H10-S02</x:v>
      </x:c>
      <x:c r="J975" s="15" t="str">
        <x:v>TODO</x:v>
      </x:c>
      <x:c r="K975" s="15" t="str">
        <x:v>P0</x:v>
      </x:c>
      <x:c r="L975" s="15" t="str">
        <x:v>Done only when evidence is logged, contradiction search is noted, and boundary stamp remains non-canon unless ratified</x:v>
      </x:c>
      <x:c r="M975" s="15" t="str">
        <x:v>candidate / staging-only / not canon / not deployed / authority none</x:v>
      </x:c>
      <x:c r="N975" s="15" t="str">
        <x:v>Dispatch to Domechild: complete GitHub Source Packets x Drive; return deltas only, receipts required.</x:v>
      </x:c>
      <x:c r="O975" s="15" t="str">
        <x:v>AF-KG-H10-S02</x:v>
      </x:c>
      <x:c r="P975" s="15" t="str">
        <x:v>Unverified</x:v>
      </x:c>
      <x:c r="Q975" s="15" t="str">
        <x:v>Not checked</x:v>
      </x:c>
      <x:c r="R975" s="15" t="str"/>
      <x:c r="S975" s="15" t="str"/>
      <x:c r="T975" s="15" t="str">
        <x:v>Log first source path or blocker</x:v>
      </x:c>
      <x:c r="U975" s="12" t="str">
        <x:f>IF(OR(P975="Unverified",Q975="Not checked"),"BLOCKED_PENDING_RECEIPT","READY_FOR_REVIEW")</x:f>
        <x:v>BLOCKED_PENDING_RECEIPT</x:v>
      </x:c>
      <x:c r="V975" s="12" t="str">
        <x:f>IF(J975="DONE","RETURNED",IF(U975="BLOCKED_PENDING_RECEIPT","SOURCE_TOUCH_REQUIRED","IN_PROGRESS"))</x:f>
        <x:v>SOURCE_TOUCH_REQUIRED</x:v>
      </x:c>
      <x:c r="W975" s="12" t="str">
        <x:f>IF(P975="Unverified","missing_receipt","receipt_logged")</x:f>
        <x:v>missing_receipt</x:v>
      </x:c>
      <x:c r="X975" s="12" t="str">
        <x:f>IF(Q975="Not checked","raw_status_missing","raw_status_logged")</x:f>
        <x:v>raw_status_missing</x:v>
      </x:c>
      <x:c r="Y975" s="12" t="str">
        <x:f>IF(U975="BLOCKED_PENDING_RECEIPT","Log source path or blocker; do not promote","Route to review lane")</x:f>
        <x:v>Log source path or blocker; do not promote</x:v>
      </x:c>
      <x:c r="Z975" s="12" t="str">
        <x:f>IF(K975="P0","Primary seat + Hashlight/Lucerna","Seat lane")</x:f>
        <x:v>Primary seat + Hashlight/Lucerna</x:v>
      </x:c>
      <x:c r="AA975" s="12" t="str">
        <x:f>IF(R975="","no_claim_delta","claim_delta_present")</x:f>
        <x:v>no_claim_delta</x:v>
      </x:c>
      <x:c r="AB975" s="12" t="str">
        <x:f>IF(S975="","no_contradiction_delta","contradiction_delta_present")</x:f>
        <x:v>no_contradiction_delta</x:v>
      </x:c>
      <x:c r="AC975" s="12" t="str">
        <x:f>IF(OR(ISNUMBER(SEARCH("hacker",LOWER(F975&amp;" "&amp;H975&amp;" "&amp;I975&amp;" "&amp;M975&amp;" "&amp;N975&amp;" "&amp;T975))),ISNUMBER(SEARCH("hacking",LOWER(F975&amp;" "&amp;H975&amp;" "&amp;I975&amp;" "&amp;M975&amp;" "&amp;N975&amp;" "&amp;T975))),ISNUMBER(SEARCH("bank",LOWER(F975&amp;" "&amp;H975&amp;" "&amp;I975&amp;" "&amp;M975&amp;" "&amp;N975&amp;" "&amp;T975))),ISNUMBER(SEARCH("banking",LOWER(F975&amp;" "&amp;H975&amp;" "&amp;I975&amp;" "&amp;M975&amp;" "&amp;N975&amp;" "&amp;T975)))),"PRIVATE_QUARANTINE",IF(OR(ISNUMBER(SEARCH("treasury",LOWER(F975&amp;" "&amp;H975&amp;" "&amp;I975&amp;" "&amp;M975&amp;" "&amp;N975&amp;" "&amp;T975))),ISNUMBER(SEARCH("debt",LOWER(F975&amp;" "&amp;H975&amp;" "&amp;I975&amp;" "&amp;M975&amp;" "&amp;N975&amp;" "&amp;T975))),ISNUMBER(SEARCH("bond",LOWER(F975&amp;" "&amp;H975&amp;" "&amp;I975&amp;" "&amp;M975&amp;" "&amp;N975&amp;" "&amp;T975))),ISNUMBER(SEARCH("transaction",LOWER(F975&amp;" "&amp;H975&amp;" "&amp;I975&amp;" "&amp;M975&amp;" "&amp;N975&amp;" "&amp;T975)))),"PRIVATE_REVIEW","PUBLIC_CANDIDATE"))</x:f>
        <x:v>PUBLIC_CANDIDATE</x:v>
      </x:c>
      <x:c r="AD975" s="12" t="str">
        <x:f>IF(AC975="PRIVATE_QUARANTINE","hacker_or_bank_trigger",IF(AC975="PRIVATE_REVIEW","finance_risk_trigger","none"))</x:f>
        <x:v>none</x:v>
      </x:c>
      <x:c r="AE975" s="12" t="str">
        <x:f>IF(AC975="PUBLIC_CANDIDATE","prepare_public_github_candidate",IF(AC975="PRIVATE_REVIEW","hold_for_private_review","quarantine_private_do_not_publish"))</x:f>
        <x:v>prepare_public_github_candidate</x:v>
      </x:c>
      <x:c r="AF975" s="12" t="str">
        <x:f>IF(AC975="PUBLIC_CANDIDATE","TIDELOCK + Lucerna",IF(AC975="PRIVATE_REVIEW","AtlasBrain + Lucerna","TIDELOCK + Lucerna + Human-root"))</x:f>
        <x:v>TIDELOCK + Lucerna</x:v>
      </x:c>
      <x:c r="AG975" s="12" t="str">
        <x:f>IF(AND(AC975="PUBLIC_CANDIDATE",U975&lt;&gt;"BLOCKED_PENDING_RECEIPT"),"READY_AFTER_RECEIPT","NOT_READY")</x:f>
        <x:v>NOT_READY</x:v>
      </x:c>
      <x:c r="AH975" s="12" t="str">
        <x:f>IF(AC975="PUBLIC_CANDIDATE","none",AD975)</x:f>
        <x:v>none</x:v>
      </x:c>
      <x:c r="AI975" s="12" t="str">
        <x:f>IF(AC975="PUBLIC_CANDIDATE","archive/public_candidates/"&amp;A975,"private_quarantine/"&amp;A975)</x:f>
        <x:v>archive/public_candidates/SWARM-07-H10-S02</x:v>
      </x:c>
      <x:c r="AJ975" s="12" t="str">
        <x:f>IF(AC975="PUBLIC_CANDIDATE","public by default; still not canon","private/hold; do not publish")</x:f>
        <x:v>public by default; still not canon</x:v>
      </x:c>
      <x:c r="AK975" s="12" t="str">
        <x:f>IF(AE975="prepare_public_github_candidate","add receipt/status then mirror","resolve blocker before any public GitHub action")</x:f>
        <x:v>add receipt/status then mirror</x:v>
      </x:c>
    </x:row>
    <x:row r="976">
      <x:c r="A976" s="15" t="str">
        <x:v>SWARM-07-H10-S03</x:v>
      </x:c>
      <x:c r="B976" s="15" t="str">
        <x:v>Domechild</x:v>
      </x:c>
      <x:c r="C976" s="15" t="str">
        <x:v>Planetarium lane builder</x:v>
      </x:c>
      <x:c r="D976" s="15" t="str">
        <x:v>GitHub Source Packets</x:v>
      </x:c>
      <x:c r="E976" s="15" t="str">
        <x:v>GitHub</x:v>
      </x:c>
      <x:c r="F976" s="15" t="str">
        <x:v>Build source packet for GitHub — Domechild</x:v>
      </x:c>
      <x:c r="G976" s="15" t="str">
        <x:v>planetarium source packets / civic-science deltas</x:v>
      </x:c>
      <x:c r="H976" s="15" t="str">
        <x:v>source path + receipt + raw/export status + claim/edge/risk delta</x:v>
      </x:c>
      <x:c r="I976" s="15" t="str">
        <x:v>packet/SWARM-07-H10-S03</x:v>
      </x:c>
      <x:c r="J976" s="15" t="str">
        <x:v>TODO</x:v>
      </x:c>
      <x:c r="K976" s="15" t="str">
        <x:v>P0</x:v>
      </x:c>
      <x:c r="L976" s="15" t="str">
        <x:v>Done only when evidence is logged, contradiction search is noted, and boundary stamp remains non-canon unless ratified</x:v>
      </x:c>
      <x:c r="M976" s="15" t="str">
        <x:v>candidate / staging-only / not canon / not deployed / authority none</x:v>
      </x:c>
      <x:c r="N976" s="15" t="str">
        <x:v>Dispatch to Domechild: complete GitHub Source Packets x GitHub; return deltas only, receipts required.</x:v>
      </x:c>
      <x:c r="O976" s="15" t="str">
        <x:v>AF-KG-H10-S03</x:v>
      </x:c>
      <x:c r="P976" s="15" t="str">
        <x:v>Unverified</x:v>
      </x:c>
      <x:c r="Q976" s="15" t="str">
        <x:v>Not checked</x:v>
      </x:c>
      <x:c r="R976" s="15" t="str"/>
      <x:c r="S976" s="15" t="str"/>
      <x:c r="T976" s="15" t="str">
        <x:v>Log first source path or blocker</x:v>
      </x:c>
      <x:c r="U976" s="12" t="str">
        <x:f>IF(OR(P976="Unverified",Q976="Not checked"),"BLOCKED_PENDING_RECEIPT","READY_FOR_REVIEW")</x:f>
        <x:v>BLOCKED_PENDING_RECEIPT</x:v>
      </x:c>
      <x:c r="V976" s="12" t="str">
        <x:f>IF(J976="DONE","RETURNED",IF(U976="BLOCKED_PENDING_RECEIPT","SOURCE_TOUCH_REQUIRED","IN_PROGRESS"))</x:f>
        <x:v>SOURCE_TOUCH_REQUIRED</x:v>
      </x:c>
      <x:c r="W976" s="12" t="str">
        <x:f>IF(P976="Unverified","missing_receipt","receipt_logged")</x:f>
        <x:v>missing_receipt</x:v>
      </x:c>
      <x:c r="X976" s="12" t="str">
        <x:f>IF(Q976="Not checked","raw_status_missing","raw_status_logged")</x:f>
        <x:v>raw_status_missing</x:v>
      </x:c>
      <x:c r="Y976" s="12" t="str">
        <x:f>IF(U976="BLOCKED_PENDING_RECEIPT","Log source path or blocker; do not promote","Route to review lane")</x:f>
        <x:v>Log source path or blocker; do not promote</x:v>
      </x:c>
      <x:c r="Z976" s="12" t="str">
        <x:f>IF(K976="P0","Primary seat + Hashlight/Lucerna","Seat lane")</x:f>
        <x:v>Primary seat + Hashlight/Lucerna</x:v>
      </x:c>
      <x:c r="AA976" s="12" t="str">
        <x:f>IF(R976="","no_claim_delta","claim_delta_present")</x:f>
        <x:v>no_claim_delta</x:v>
      </x:c>
      <x:c r="AB976" s="12" t="str">
        <x:f>IF(S976="","no_contradiction_delta","contradiction_delta_present")</x:f>
        <x:v>no_contradiction_delta</x:v>
      </x:c>
      <x:c r="AC976" s="12" t="str">
        <x:f>IF(OR(ISNUMBER(SEARCH("hacker",LOWER(F976&amp;" "&amp;H976&amp;" "&amp;I976&amp;" "&amp;M976&amp;" "&amp;N976&amp;" "&amp;T976))),ISNUMBER(SEARCH("hacking",LOWER(F976&amp;" "&amp;H976&amp;" "&amp;I976&amp;" "&amp;M976&amp;" "&amp;N976&amp;" "&amp;T976))),ISNUMBER(SEARCH("bank",LOWER(F976&amp;" "&amp;H976&amp;" "&amp;I976&amp;" "&amp;M976&amp;" "&amp;N976&amp;" "&amp;T976))),ISNUMBER(SEARCH("banking",LOWER(F976&amp;" "&amp;H976&amp;" "&amp;I976&amp;" "&amp;M976&amp;" "&amp;N976&amp;" "&amp;T976)))),"PRIVATE_QUARANTINE",IF(OR(ISNUMBER(SEARCH("treasury",LOWER(F976&amp;" "&amp;H976&amp;" "&amp;I976&amp;" "&amp;M976&amp;" "&amp;N976&amp;" "&amp;T976))),ISNUMBER(SEARCH("debt",LOWER(F976&amp;" "&amp;H976&amp;" "&amp;I976&amp;" "&amp;M976&amp;" "&amp;N976&amp;" "&amp;T976))),ISNUMBER(SEARCH("bond",LOWER(F976&amp;" "&amp;H976&amp;" "&amp;I976&amp;" "&amp;M976&amp;" "&amp;N976&amp;" "&amp;T976))),ISNUMBER(SEARCH("transaction",LOWER(F976&amp;" "&amp;H976&amp;" "&amp;I976&amp;" "&amp;M976&amp;" "&amp;N976&amp;" "&amp;T976)))),"PRIVATE_REVIEW","PUBLIC_CANDIDATE"))</x:f>
        <x:v>PUBLIC_CANDIDATE</x:v>
      </x:c>
      <x:c r="AD976" s="12" t="str">
        <x:f>IF(AC976="PRIVATE_QUARANTINE","hacker_or_bank_trigger",IF(AC976="PRIVATE_REVIEW","finance_risk_trigger","none"))</x:f>
        <x:v>none</x:v>
      </x:c>
      <x:c r="AE976" s="12" t="str">
        <x:f>IF(AC976="PUBLIC_CANDIDATE","prepare_public_github_candidate",IF(AC976="PRIVATE_REVIEW","hold_for_private_review","quarantine_private_do_not_publish"))</x:f>
        <x:v>prepare_public_github_candidate</x:v>
      </x:c>
      <x:c r="AF976" s="12" t="str">
        <x:f>IF(AC976="PUBLIC_CANDIDATE","TIDELOCK + Lucerna",IF(AC976="PRIVATE_REVIEW","AtlasBrain + Lucerna","TIDELOCK + Lucerna + Human-root"))</x:f>
        <x:v>TIDELOCK + Lucerna</x:v>
      </x:c>
      <x:c r="AG976" s="12" t="str">
        <x:f>IF(AND(AC976="PUBLIC_CANDIDATE",U976&lt;&gt;"BLOCKED_PENDING_RECEIPT"),"READY_AFTER_RECEIPT","NOT_READY")</x:f>
        <x:v>NOT_READY</x:v>
      </x:c>
      <x:c r="AH976" s="12" t="str">
        <x:f>IF(AC976="PUBLIC_CANDIDATE","none",AD976)</x:f>
        <x:v>none</x:v>
      </x:c>
      <x:c r="AI976" s="12" t="str">
        <x:f>IF(AC976="PUBLIC_CANDIDATE","archive/public_candidates/"&amp;A976,"private_quarantine/"&amp;A976)</x:f>
        <x:v>archive/public_candidates/SWARM-07-H10-S03</x:v>
      </x:c>
      <x:c r="AJ976" s="12" t="str">
        <x:f>IF(AC976="PUBLIC_CANDIDATE","public by default; still not canon","private/hold; do not publish")</x:f>
        <x:v>public by default; still not canon</x:v>
      </x:c>
      <x:c r="AK976" s="12" t="str">
        <x:f>IF(AE976="prepare_public_github_candidate","add receipt/status then mirror","resolve blocker before any public GitHub action")</x:f>
        <x:v>add receipt/status then mirror</x:v>
      </x:c>
    </x:row>
    <x:row r="977">
      <x:c r="A977" s="15" t="str">
        <x:v>SWARM-07-H10-S04</x:v>
      </x:c>
      <x:c r="B977" s="15" t="str">
        <x:v>Domechild</x:v>
      </x:c>
      <x:c r="C977" s="15" t="str">
        <x:v>Planetarium lane builder</x:v>
      </x:c>
      <x:c r="D977" s="15" t="str">
        <x:v>GitHub Source Packets</x:v>
      </x:c>
      <x:c r="E977" s="15" t="str">
        <x:v>Gamma</x:v>
      </x:c>
      <x:c r="F977" s="15" t="str">
        <x:v>Build source packet for Gamma — Domechild</x:v>
      </x:c>
      <x:c r="G977" s="15" t="str">
        <x:v>planetarium source packets / civic-science deltas</x:v>
      </x:c>
      <x:c r="H977" s="15" t="str">
        <x:v>source path + receipt + raw/export status + claim/edge/risk delta</x:v>
      </x:c>
      <x:c r="I977" s="15" t="str">
        <x:v>packet/SWARM-07-H10-S04</x:v>
      </x:c>
      <x:c r="J977" s="15" t="str">
        <x:v>TODO</x:v>
      </x:c>
      <x:c r="K977" s="15" t="str">
        <x:v>P1</x:v>
      </x:c>
      <x:c r="L977" s="15" t="str">
        <x:v>Done only when evidence is logged, contradiction search is noted, and boundary stamp remains non-canon unless ratified</x:v>
      </x:c>
      <x:c r="M977" s="15" t="str">
        <x:v>candidate / staging-only / not canon / not deployed / authority none</x:v>
      </x:c>
      <x:c r="N977" s="15" t="str">
        <x:v>Dispatch to Domechild: complete GitHub Source Packets x Gamma; return deltas only, receipts required.</x:v>
      </x:c>
      <x:c r="O977" s="15" t="str">
        <x:v>AF-KG-H10-S04</x:v>
      </x:c>
      <x:c r="P977" s="15" t="str">
        <x:v>Unverified</x:v>
      </x:c>
      <x:c r="Q977" s="15" t="str">
        <x:v>Not checked</x:v>
      </x:c>
      <x:c r="R977" s="15" t="str"/>
      <x:c r="S977" s="15" t="str"/>
      <x:c r="T977" s="15" t="str">
        <x:v>Log first source path or blocker</x:v>
      </x:c>
      <x:c r="U977" s="12" t="str">
        <x:f>IF(OR(P977="Unverified",Q977="Not checked"),"BLOCKED_PENDING_RECEIPT","READY_FOR_REVIEW")</x:f>
        <x:v>BLOCKED_PENDING_RECEIPT</x:v>
      </x:c>
      <x:c r="V977" s="12" t="str">
        <x:f>IF(J977="DONE","RETURNED",IF(U977="BLOCKED_PENDING_RECEIPT","SOURCE_TOUCH_REQUIRED","IN_PROGRESS"))</x:f>
        <x:v>SOURCE_TOUCH_REQUIRED</x:v>
      </x:c>
      <x:c r="W977" s="12" t="str">
        <x:f>IF(P977="Unverified","missing_receipt","receipt_logged")</x:f>
        <x:v>missing_receipt</x:v>
      </x:c>
      <x:c r="X977" s="12" t="str">
        <x:f>IF(Q977="Not checked","raw_status_missing","raw_status_logged")</x:f>
        <x:v>raw_status_missing</x:v>
      </x:c>
      <x:c r="Y977" s="12" t="str">
        <x:f>IF(U977="BLOCKED_PENDING_RECEIPT","Log source path or blocker; do not promote","Route to review lane")</x:f>
        <x:v>Log source path or blocker; do not promote</x:v>
      </x:c>
      <x:c r="Z977" s="12" t="str">
        <x:f>IF(K977="P0","Primary seat + Hashlight/Lucerna","Seat lane")</x:f>
        <x:v>Seat lane</x:v>
      </x:c>
      <x:c r="AA977" s="12" t="str">
        <x:f>IF(R977="","no_claim_delta","claim_delta_present")</x:f>
        <x:v>no_claim_delta</x:v>
      </x:c>
      <x:c r="AB977" s="12" t="str">
        <x:f>IF(S977="","no_contradiction_delta","contradiction_delta_present")</x:f>
        <x:v>no_contradiction_delta</x:v>
      </x:c>
      <x:c r="AC977" s="12" t="str">
        <x:f>IF(OR(ISNUMBER(SEARCH("hacker",LOWER(F977&amp;" "&amp;H977&amp;" "&amp;I977&amp;" "&amp;M977&amp;" "&amp;N977&amp;" "&amp;T977))),ISNUMBER(SEARCH("hacking",LOWER(F977&amp;" "&amp;H977&amp;" "&amp;I977&amp;" "&amp;M977&amp;" "&amp;N977&amp;" "&amp;T977))),ISNUMBER(SEARCH("bank",LOWER(F977&amp;" "&amp;H977&amp;" "&amp;I977&amp;" "&amp;M977&amp;" "&amp;N977&amp;" "&amp;T977))),ISNUMBER(SEARCH("banking",LOWER(F977&amp;" "&amp;H977&amp;" "&amp;I977&amp;" "&amp;M977&amp;" "&amp;N977&amp;" "&amp;T977)))),"PRIVATE_QUARANTINE",IF(OR(ISNUMBER(SEARCH("treasury",LOWER(F977&amp;" "&amp;H977&amp;" "&amp;I977&amp;" "&amp;M977&amp;" "&amp;N977&amp;" "&amp;T977))),ISNUMBER(SEARCH("debt",LOWER(F977&amp;" "&amp;H977&amp;" "&amp;I977&amp;" "&amp;M977&amp;" "&amp;N977&amp;" "&amp;T977))),ISNUMBER(SEARCH("bond",LOWER(F977&amp;" "&amp;H977&amp;" "&amp;I977&amp;" "&amp;M977&amp;" "&amp;N977&amp;" "&amp;T977))),ISNUMBER(SEARCH("transaction",LOWER(F977&amp;" "&amp;H977&amp;" "&amp;I977&amp;" "&amp;M977&amp;" "&amp;N977&amp;" "&amp;T977)))),"PRIVATE_REVIEW","PUBLIC_CANDIDATE"))</x:f>
        <x:v>PUBLIC_CANDIDATE</x:v>
      </x:c>
      <x:c r="AD977" s="12" t="str">
        <x:f>IF(AC977="PRIVATE_QUARANTINE","hacker_or_bank_trigger",IF(AC977="PRIVATE_REVIEW","finance_risk_trigger","none"))</x:f>
        <x:v>none</x:v>
      </x:c>
      <x:c r="AE977" s="12" t="str">
        <x:f>IF(AC977="PUBLIC_CANDIDATE","prepare_public_github_candidate",IF(AC977="PRIVATE_REVIEW","hold_for_private_review","quarantine_private_do_not_publish"))</x:f>
        <x:v>prepare_public_github_candidate</x:v>
      </x:c>
      <x:c r="AF977" s="12" t="str">
        <x:f>IF(AC977="PUBLIC_CANDIDATE","TIDELOCK + Lucerna",IF(AC977="PRIVATE_REVIEW","AtlasBrain + Lucerna","TIDELOCK + Lucerna + Human-root"))</x:f>
        <x:v>TIDELOCK + Lucerna</x:v>
      </x:c>
      <x:c r="AG977" s="12" t="str">
        <x:f>IF(AND(AC977="PUBLIC_CANDIDATE",U977&lt;&gt;"BLOCKED_PENDING_RECEIPT"),"READY_AFTER_RECEIPT","NOT_READY")</x:f>
        <x:v>NOT_READY</x:v>
      </x:c>
      <x:c r="AH977" s="12" t="str">
        <x:f>IF(AC977="PUBLIC_CANDIDATE","none",AD977)</x:f>
        <x:v>none</x:v>
      </x:c>
      <x:c r="AI977" s="12" t="str">
        <x:f>IF(AC977="PUBLIC_CANDIDATE","archive/public_candidates/"&amp;A977,"private_quarantine/"&amp;A977)</x:f>
        <x:v>archive/public_candidates/SWARM-07-H10-S04</x:v>
      </x:c>
      <x:c r="AJ977" s="12" t="str">
        <x:f>IF(AC977="PUBLIC_CANDIDATE","public by default; still not canon","private/hold; do not publish")</x:f>
        <x:v>public by default; still not canon</x:v>
      </x:c>
      <x:c r="AK977" s="12" t="str">
        <x:f>IF(AE977="prepare_public_github_candidate","add receipt/status then mirror","resolve blocker before any public GitHub action")</x:f>
        <x:v>add receipt/status then mirror</x:v>
      </x:c>
    </x:row>
    <x:row r="978">
      <x:c r="A978" s="15" t="str">
        <x:v>SWARM-07-H10-S05</x:v>
      </x:c>
      <x:c r="B978" s="15" t="str">
        <x:v>Domechild</x:v>
      </x:c>
      <x:c r="C978" s="15" t="str">
        <x:v>Planetarium lane builder</x:v>
      </x:c>
      <x:c r="D978" s="15" t="str">
        <x:v>GitHub Source Packets</x:v>
      </x:c>
      <x:c r="E978" s="15" t="str">
        <x:v>Chat</x:v>
      </x:c>
      <x:c r="F978" s="15" t="str">
        <x:v>Build source packet for Chat — Domechild</x:v>
      </x:c>
      <x:c r="G978" s="15" t="str">
        <x:v>planetarium source packets / civic-science deltas</x:v>
      </x:c>
      <x:c r="H978" s="15" t="str">
        <x:v>source path + receipt + raw/export status + claim/edge/risk delta</x:v>
      </x:c>
      <x:c r="I978" s="15" t="str">
        <x:v>packet/SWARM-07-H10-S05</x:v>
      </x:c>
      <x:c r="J978" s="15" t="str">
        <x:v>TODO</x:v>
      </x:c>
      <x:c r="K978" s="15" t="str">
        <x:v>P1</x:v>
      </x:c>
      <x:c r="L978" s="15" t="str">
        <x:v>Done only when evidence is logged, contradiction search is noted, and boundary stamp remains non-canon unless ratified</x:v>
      </x:c>
      <x:c r="M978" s="15" t="str">
        <x:v>candidate / staging-only / not canon / not deployed / authority none</x:v>
      </x:c>
      <x:c r="N978" s="15" t="str">
        <x:v>Dispatch to Domechild: complete GitHub Source Packets x Chat; return deltas only, receipts required.</x:v>
      </x:c>
      <x:c r="O978" s="15" t="str">
        <x:v>AF-KG-H10-S05</x:v>
      </x:c>
      <x:c r="P978" s="15" t="str">
        <x:v>Unverified</x:v>
      </x:c>
      <x:c r="Q978" s="15" t="str">
        <x:v>Not checked</x:v>
      </x:c>
      <x:c r="R978" s="15" t="str"/>
      <x:c r="S978" s="15" t="str"/>
      <x:c r="T978" s="15" t="str">
        <x:v>Log first source path or blocker</x:v>
      </x:c>
      <x:c r="U978" s="12" t="str">
        <x:f>IF(OR(P978="Unverified",Q978="Not checked"),"BLOCKED_PENDING_RECEIPT","READY_FOR_REVIEW")</x:f>
        <x:v>BLOCKED_PENDING_RECEIPT</x:v>
      </x:c>
      <x:c r="V978" s="12" t="str">
        <x:f>IF(J978="DONE","RETURNED",IF(U978="BLOCKED_PENDING_RECEIPT","SOURCE_TOUCH_REQUIRED","IN_PROGRESS"))</x:f>
        <x:v>SOURCE_TOUCH_REQUIRED</x:v>
      </x:c>
      <x:c r="W978" s="12" t="str">
        <x:f>IF(P978="Unverified","missing_receipt","receipt_logged")</x:f>
        <x:v>missing_receipt</x:v>
      </x:c>
      <x:c r="X978" s="12" t="str">
        <x:f>IF(Q978="Not checked","raw_status_missing","raw_status_logged")</x:f>
        <x:v>raw_status_missing</x:v>
      </x:c>
      <x:c r="Y978" s="12" t="str">
        <x:f>IF(U978="BLOCKED_PENDING_RECEIPT","Log source path or blocker; do not promote","Route to review lane")</x:f>
        <x:v>Log source path or blocker; do not promote</x:v>
      </x:c>
      <x:c r="Z978" s="12" t="str">
        <x:f>IF(K978="P0","Primary seat + Hashlight/Lucerna","Seat lane")</x:f>
        <x:v>Seat lane</x:v>
      </x:c>
      <x:c r="AA978" s="12" t="str">
        <x:f>IF(R978="","no_claim_delta","claim_delta_present")</x:f>
        <x:v>no_claim_delta</x:v>
      </x:c>
      <x:c r="AB978" s="12" t="str">
        <x:f>IF(S978="","no_contradiction_delta","contradiction_delta_present")</x:f>
        <x:v>no_contradiction_delta</x:v>
      </x:c>
      <x:c r="AC978" s="12" t="str">
        <x:f>IF(OR(ISNUMBER(SEARCH("hacker",LOWER(F978&amp;" "&amp;H978&amp;" "&amp;I978&amp;" "&amp;M978&amp;" "&amp;N978&amp;" "&amp;T978))),ISNUMBER(SEARCH("hacking",LOWER(F978&amp;" "&amp;H978&amp;" "&amp;I978&amp;" "&amp;M978&amp;" "&amp;N978&amp;" "&amp;T978))),ISNUMBER(SEARCH("bank",LOWER(F978&amp;" "&amp;H978&amp;" "&amp;I978&amp;" "&amp;M978&amp;" "&amp;N978&amp;" "&amp;T978))),ISNUMBER(SEARCH("banking",LOWER(F978&amp;" "&amp;H978&amp;" "&amp;I978&amp;" "&amp;M978&amp;" "&amp;N978&amp;" "&amp;T978)))),"PRIVATE_QUARANTINE",IF(OR(ISNUMBER(SEARCH("treasury",LOWER(F978&amp;" "&amp;H978&amp;" "&amp;I978&amp;" "&amp;M978&amp;" "&amp;N978&amp;" "&amp;T978))),ISNUMBER(SEARCH("debt",LOWER(F978&amp;" "&amp;H978&amp;" "&amp;I978&amp;" "&amp;M978&amp;" "&amp;N978&amp;" "&amp;T978))),ISNUMBER(SEARCH("bond",LOWER(F978&amp;" "&amp;H978&amp;" "&amp;I978&amp;" "&amp;M978&amp;" "&amp;N978&amp;" "&amp;T978))),ISNUMBER(SEARCH("transaction",LOWER(F978&amp;" "&amp;H978&amp;" "&amp;I978&amp;" "&amp;M978&amp;" "&amp;N978&amp;" "&amp;T978)))),"PRIVATE_REVIEW","PUBLIC_CANDIDATE"))</x:f>
        <x:v>PUBLIC_CANDIDATE</x:v>
      </x:c>
      <x:c r="AD978" s="12" t="str">
        <x:f>IF(AC978="PRIVATE_QUARANTINE","hacker_or_bank_trigger",IF(AC978="PRIVATE_REVIEW","finance_risk_trigger","none"))</x:f>
        <x:v>none</x:v>
      </x:c>
      <x:c r="AE978" s="12" t="str">
        <x:f>IF(AC978="PUBLIC_CANDIDATE","prepare_public_github_candidate",IF(AC978="PRIVATE_REVIEW","hold_for_private_review","quarantine_private_do_not_publish"))</x:f>
        <x:v>prepare_public_github_candidate</x:v>
      </x:c>
      <x:c r="AF978" s="12" t="str">
        <x:f>IF(AC978="PUBLIC_CANDIDATE","TIDELOCK + Lucerna",IF(AC978="PRIVATE_REVIEW","AtlasBrain + Lucerna","TIDELOCK + Lucerna + Human-root"))</x:f>
        <x:v>TIDELOCK + Lucerna</x:v>
      </x:c>
      <x:c r="AG978" s="12" t="str">
        <x:f>IF(AND(AC978="PUBLIC_CANDIDATE",U978&lt;&gt;"BLOCKED_PENDING_RECEIPT"),"READY_AFTER_RECEIPT","NOT_READY")</x:f>
        <x:v>NOT_READY</x:v>
      </x:c>
      <x:c r="AH978" s="12" t="str">
        <x:f>IF(AC978="PUBLIC_CANDIDATE","none",AD978)</x:f>
        <x:v>none</x:v>
      </x:c>
      <x:c r="AI978" s="12" t="str">
        <x:f>IF(AC978="PUBLIC_CANDIDATE","archive/public_candidates/"&amp;A978,"private_quarantine/"&amp;A978)</x:f>
        <x:v>archive/public_candidates/SWARM-07-H10-S05</x:v>
      </x:c>
      <x:c r="AJ978" s="12" t="str">
        <x:f>IF(AC978="PUBLIC_CANDIDATE","public by default; still not canon","private/hold; do not publish")</x:f>
        <x:v>public by default; still not canon</x:v>
      </x:c>
      <x:c r="AK978" s="12" t="str">
        <x:f>IF(AE978="prepare_public_github_candidate","add receipt/status then mirror","resolve blocker before any public GitHub action")</x:f>
        <x:v>add receipt/status then mirror</x:v>
      </x:c>
    </x:row>
    <x:row r="979">
      <x:c r="A979" s="15" t="str">
        <x:v>SWARM-07-H10-S06</x:v>
      </x:c>
      <x:c r="B979" s="15" t="str">
        <x:v>Domechild</x:v>
      </x:c>
      <x:c r="C979" s="15" t="str">
        <x:v>Planetarium lane builder</x:v>
      </x:c>
      <x:c r="D979" s="15" t="str">
        <x:v>GitHub Source Packets</x:v>
      </x:c>
      <x:c r="E979" s="15" t="str">
        <x:v>External Web</x:v>
      </x:c>
      <x:c r="F979" s="15" t="str">
        <x:v>Build source packet for External Web — Domechild</x:v>
      </x:c>
      <x:c r="G979" s="15" t="str">
        <x:v>planetarium source packets / civic-science deltas</x:v>
      </x:c>
      <x:c r="H979" s="15" t="str">
        <x:v>source path + receipt + raw/export status + claim/edge/risk delta</x:v>
      </x:c>
      <x:c r="I979" s="15" t="str">
        <x:v>packet/SWARM-07-H10-S06</x:v>
      </x:c>
      <x:c r="J979" s="15" t="str">
        <x:v>TODO</x:v>
      </x:c>
      <x:c r="K979" s="15" t="str">
        <x:v>P1</x:v>
      </x:c>
      <x:c r="L979" s="15" t="str">
        <x:v>Done only when evidence is logged, contradiction search is noted, and boundary stamp remains non-canon unless ratified</x:v>
      </x:c>
      <x:c r="M979" s="15" t="str">
        <x:v>candidate / staging-only / not canon / not deployed / authority none</x:v>
      </x:c>
      <x:c r="N979" s="15" t="str">
        <x:v>Dispatch to Domechild: complete GitHub Source Packets x External Web; return deltas only, receipts required.</x:v>
      </x:c>
      <x:c r="O979" s="15" t="str">
        <x:v>AF-KG-H10-S06</x:v>
      </x:c>
      <x:c r="P979" s="15" t="str">
        <x:v>Unverified</x:v>
      </x:c>
      <x:c r="Q979" s="15" t="str">
        <x:v>Not checked</x:v>
      </x:c>
      <x:c r="R979" s="15" t="str"/>
      <x:c r="S979" s="15" t="str"/>
      <x:c r="T979" s="15" t="str">
        <x:v>Log first source path or blocker</x:v>
      </x:c>
      <x:c r="U979" s="12" t="str">
        <x:f>IF(OR(P979="Unverified",Q979="Not checked"),"BLOCKED_PENDING_RECEIPT","READY_FOR_REVIEW")</x:f>
        <x:v>BLOCKED_PENDING_RECEIPT</x:v>
      </x:c>
      <x:c r="V979" s="12" t="str">
        <x:f>IF(J979="DONE","RETURNED",IF(U979="BLOCKED_PENDING_RECEIPT","SOURCE_TOUCH_REQUIRED","IN_PROGRESS"))</x:f>
        <x:v>SOURCE_TOUCH_REQUIRED</x:v>
      </x:c>
      <x:c r="W979" s="12" t="str">
        <x:f>IF(P979="Unverified","missing_receipt","receipt_logged")</x:f>
        <x:v>missing_receipt</x:v>
      </x:c>
      <x:c r="X979" s="12" t="str">
        <x:f>IF(Q979="Not checked","raw_status_missing","raw_status_logged")</x:f>
        <x:v>raw_status_missing</x:v>
      </x:c>
      <x:c r="Y979" s="12" t="str">
        <x:f>IF(U979="BLOCKED_PENDING_RECEIPT","Log source path or blocker; do not promote","Route to review lane")</x:f>
        <x:v>Log source path or blocker; do not promote</x:v>
      </x:c>
      <x:c r="Z979" s="12" t="str">
        <x:f>IF(K979="P0","Primary seat + Hashlight/Lucerna","Seat lane")</x:f>
        <x:v>Seat lane</x:v>
      </x:c>
      <x:c r="AA979" s="12" t="str">
        <x:f>IF(R979="","no_claim_delta","claim_delta_present")</x:f>
        <x:v>no_claim_delta</x:v>
      </x:c>
      <x:c r="AB979" s="12" t="str">
        <x:f>IF(S979="","no_contradiction_delta","contradiction_delta_present")</x:f>
        <x:v>no_contradiction_delta</x:v>
      </x:c>
      <x:c r="AC979" s="12" t="str">
        <x:f>IF(OR(ISNUMBER(SEARCH("hacker",LOWER(F979&amp;" "&amp;H979&amp;" "&amp;I979&amp;" "&amp;M979&amp;" "&amp;N979&amp;" "&amp;T979))),ISNUMBER(SEARCH("hacking",LOWER(F979&amp;" "&amp;H979&amp;" "&amp;I979&amp;" "&amp;M979&amp;" "&amp;N979&amp;" "&amp;T979))),ISNUMBER(SEARCH("bank",LOWER(F979&amp;" "&amp;H979&amp;" "&amp;I979&amp;" "&amp;M979&amp;" "&amp;N979&amp;" "&amp;T979))),ISNUMBER(SEARCH("banking",LOWER(F979&amp;" "&amp;H979&amp;" "&amp;I979&amp;" "&amp;M979&amp;" "&amp;N979&amp;" "&amp;T979)))),"PRIVATE_QUARANTINE",IF(OR(ISNUMBER(SEARCH("treasury",LOWER(F979&amp;" "&amp;H979&amp;" "&amp;I979&amp;" "&amp;M979&amp;" "&amp;N979&amp;" "&amp;T979))),ISNUMBER(SEARCH("debt",LOWER(F979&amp;" "&amp;H979&amp;" "&amp;I979&amp;" "&amp;M979&amp;" "&amp;N979&amp;" "&amp;T979))),ISNUMBER(SEARCH("bond",LOWER(F979&amp;" "&amp;H979&amp;" "&amp;I979&amp;" "&amp;M979&amp;" "&amp;N979&amp;" "&amp;T979))),ISNUMBER(SEARCH("transaction",LOWER(F979&amp;" "&amp;H979&amp;" "&amp;I979&amp;" "&amp;M979&amp;" "&amp;N979&amp;" "&amp;T979)))),"PRIVATE_REVIEW","PUBLIC_CANDIDATE"))</x:f>
        <x:v>PUBLIC_CANDIDATE</x:v>
      </x:c>
      <x:c r="AD979" s="12" t="str">
        <x:f>IF(AC979="PRIVATE_QUARANTINE","hacker_or_bank_trigger",IF(AC979="PRIVATE_REVIEW","finance_risk_trigger","none"))</x:f>
        <x:v>none</x:v>
      </x:c>
      <x:c r="AE979" s="12" t="str">
        <x:f>IF(AC979="PUBLIC_CANDIDATE","prepare_public_github_candidate",IF(AC979="PRIVATE_REVIEW","hold_for_private_review","quarantine_private_do_not_publish"))</x:f>
        <x:v>prepare_public_github_candidate</x:v>
      </x:c>
      <x:c r="AF979" s="12" t="str">
        <x:f>IF(AC979="PUBLIC_CANDIDATE","TIDELOCK + Lucerna",IF(AC979="PRIVATE_REVIEW","AtlasBrain + Lucerna","TIDELOCK + Lucerna + Human-root"))</x:f>
        <x:v>TIDELOCK + Lucerna</x:v>
      </x:c>
      <x:c r="AG979" s="12" t="str">
        <x:f>IF(AND(AC979="PUBLIC_CANDIDATE",U979&lt;&gt;"BLOCKED_PENDING_RECEIPT"),"READY_AFTER_RECEIPT","NOT_READY")</x:f>
        <x:v>NOT_READY</x:v>
      </x:c>
      <x:c r="AH979" s="12" t="str">
        <x:f>IF(AC979="PUBLIC_CANDIDATE","none",AD979)</x:f>
        <x:v>none</x:v>
      </x:c>
      <x:c r="AI979" s="12" t="str">
        <x:f>IF(AC979="PUBLIC_CANDIDATE","archive/public_candidates/"&amp;A979,"private_quarantine/"&amp;A979)</x:f>
        <x:v>archive/public_candidates/SWARM-07-H10-S06</x:v>
      </x:c>
      <x:c r="AJ979" s="12" t="str">
        <x:f>IF(AC979="PUBLIC_CANDIDATE","public by default; still not canon","private/hold; do not publish")</x:f>
        <x:v>public by default; still not canon</x:v>
      </x:c>
      <x:c r="AK979" s="12" t="str">
        <x:f>IF(AE979="prepare_public_github_candidate","add receipt/status then mirror","resolve blocker before any public GitHub action")</x:f>
        <x:v>add receipt/status then mirror</x:v>
      </x:c>
    </x:row>
    <x:row r="980">
      <x:c r="A980" s="15" t="str">
        <x:v>SWARM-07-H10-S07</x:v>
      </x:c>
      <x:c r="B980" s="15" t="str">
        <x:v>Domechild</x:v>
      </x:c>
      <x:c r="C980" s="15" t="str">
        <x:v>Planetarium lane builder</x:v>
      </x:c>
      <x:c r="D980" s="15" t="str">
        <x:v>GitHub Source Packets</x:v>
      </x:c>
      <x:c r="E980" s="15" t="str">
        <x:v>Planetarium</x:v>
      </x:c>
      <x:c r="F980" s="15" t="str">
        <x:v>Build source packet for Planetarium — Domechild</x:v>
      </x:c>
      <x:c r="G980" s="15" t="str">
        <x:v>planetarium source packets / civic-science deltas</x:v>
      </x:c>
      <x:c r="H980" s="15" t="str">
        <x:v>source path + receipt + raw/export status + claim/edge/risk delta</x:v>
      </x:c>
      <x:c r="I980" s="15" t="str">
        <x:v>packet/SWARM-07-H10-S07</x:v>
      </x:c>
      <x:c r="J980" s="15" t="str">
        <x:v>TODO</x:v>
      </x:c>
      <x:c r="K980" s="15" t="str">
        <x:v>P1</x:v>
      </x:c>
      <x:c r="L980" s="15" t="str">
        <x:v>Done only when evidence is logged, contradiction search is noted, and boundary stamp remains non-canon unless ratified</x:v>
      </x:c>
      <x:c r="M980" s="15" t="str">
        <x:v>candidate / staging-only / not canon / not deployed / authority none</x:v>
      </x:c>
      <x:c r="N980" s="15" t="str">
        <x:v>Dispatch to Domechild: complete GitHub Source Packets x Planetarium; return deltas only, receipts required.</x:v>
      </x:c>
      <x:c r="O980" s="15" t="str">
        <x:v>AF-KG-H10-S07</x:v>
      </x:c>
      <x:c r="P980" s="15" t="str">
        <x:v>Unverified</x:v>
      </x:c>
      <x:c r="Q980" s="15" t="str">
        <x:v>Not checked</x:v>
      </x:c>
      <x:c r="R980" s="15" t="str"/>
      <x:c r="S980" s="15" t="str"/>
      <x:c r="T980" s="15" t="str">
        <x:v>Log first source path or blocker</x:v>
      </x:c>
      <x:c r="U980" s="12" t="str">
        <x:f>IF(OR(P980="Unverified",Q980="Not checked"),"BLOCKED_PENDING_RECEIPT","READY_FOR_REVIEW")</x:f>
        <x:v>BLOCKED_PENDING_RECEIPT</x:v>
      </x:c>
      <x:c r="V980" s="12" t="str">
        <x:f>IF(J980="DONE","RETURNED",IF(U980="BLOCKED_PENDING_RECEIPT","SOURCE_TOUCH_REQUIRED","IN_PROGRESS"))</x:f>
        <x:v>SOURCE_TOUCH_REQUIRED</x:v>
      </x:c>
      <x:c r="W980" s="12" t="str">
        <x:f>IF(P980="Unverified","missing_receipt","receipt_logged")</x:f>
        <x:v>missing_receipt</x:v>
      </x:c>
      <x:c r="X980" s="12" t="str">
        <x:f>IF(Q980="Not checked","raw_status_missing","raw_status_logged")</x:f>
        <x:v>raw_status_missing</x:v>
      </x:c>
      <x:c r="Y980" s="12" t="str">
        <x:f>IF(U980="BLOCKED_PENDING_RECEIPT","Log source path or blocker; do not promote","Route to review lane")</x:f>
        <x:v>Log source path or blocker; do not promote</x:v>
      </x:c>
      <x:c r="Z980" s="12" t="str">
        <x:f>IF(K980="P0","Primary seat + Hashlight/Lucerna","Seat lane")</x:f>
        <x:v>Seat lane</x:v>
      </x:c>
      <x:c r="AA980" s="12" t="str">
        <x:f>IF(R980="","no_claim_delta","claim_delta_present")</x:f>
        <x:v>no_claim_delta</x:v>
      </x:c>
      <x:c r="AB980" s="12" t="str">
        <x:f>IF(S980="","no_contradiction_delta","contradiction_delta_present")</x:f>
        <x:v>no_contradiction_delta</x:v>
      </x:c>
      <x:c r="AC980" s="12" t="str">
        <x:f>IF(OR(ISNUMBER(SEARCH("hacker",LOWER(F980&amp;" "&amp;H980&amp;" "&amp;I980&amp;" "&amp;M980&amp;" "&amp;N980&amp;" "&amp;T980))),ISNUMBER(SEARCH("hacking",LOWER(F980&amp;" "&amp;H980&amp;" "&amp;I980&amp;" "&amp;M980&amp;" "&amp;N980&amp;" "&amp;T980))),ISNUMBER(SEARCH("bank",LOWER(F980&amp;" "&amp;H980&amp;" "&amp;I980&amp;" "&amp;M980&amp;" "&amp;N980&amp;" "&amp;T980))),ISNUMBER(SEARCH("banking",LOWER(F980&amp;" "&amp;H980&amp;" "&amp;I980&amp;" "&amp;M980&amp;" "&amp;N980&amp;" "&amp;T980)))),"PRIVATE_QUARANTINE",IF(OR(ISNUMBER(SEARCH("treasury",LOWER(F980&amp;" "&amp;H980&amp;" "&amp;I980&amp;" "&amp;M980&amp;" "&amp;N980&amp;" "&amp;T980))),ISNUMBER(SEARCH("debt",LOWER(F980&amp;" "&amp;H980&amp;" "&amp;I980&amp;" "&amp;M980&amp;" "&amp;N980&amp;" "&amp;T980))),ISNUMBER(SEARCH("bond",LOWER(F980&amp;" "&amp;H980&amp;" "&amp;I980&amp;" "&amp;M980&amp;" "&amp;N980&amp;" "&amp;T980))),ISNUMBER(SEARCH("transaction",LOWER(F980&amp;" "&amp;H980&amp;" "&amp;I980&amp;" "&amp;M980&amp;" "&amp;N980&amp;" "&amp;T980)))),"PRIVATE_REVIEW","PUBLIC_CANDIDATE"))</x:f>
        <x:v>PUBLIC_CANDIDATE</x:v>
      </x:c>
      <x:c r="AD980" s="12" t="str">
        <x:f>IF(AC980="PRIVATE_QUARANTINE","hacker_or_bank_trigger",IF(AC980="PRIVATE_REVIEW","finance_risk_trigger","none"))</x:f>
        <x:v>none</x:v>
      </x:c>
      <x:c r="AE980" s="12" t="str">
        <x:f>IF(AC980="PUBLIC_CANDIDATE","prepare_public_github_candidate",IF(AC980="PRIVATE_REVIEW","hold_for_private_review","quarantine_private_do_not_publish"))</x:f>
        <x:v>prepare_public_github_candidate</x:v>
      </x:c>
      <x:c r="AF980" s="12" t="str">
        <x:f>IF(AC980="PUBLIC_CANDIDATE","TIDELOCK + Lucerna",IF(AC980="PRIVATE_REVIEW","AtlasBrain + Lucerna","TIDELOCK + Lucerna + Human-root"))</x:f>
        <x:v>TIDELOCK + Lucerna</x:v>
      </x:c>
      <x:c r="AG980" s="12" t="str">
        <x:f>IF(AND(AC980="PUBLIC_CANDIDATE",U980&lt;&gt;"BLOCKED_PENDING_RECEIPT"),"READY_AFTER_RECEIPT","NOT_READY")</x:f>
        <x:v>NOT_READY</x:v>
      </x:c>
      <x:c r="AH980" s="12" t="str">
        <x:f>IF(AC980="PUBLIC_CANDIDATE","none",AD980)</x:f>
        <x:v>none</x:v>
      </x:c>
      <x:c r="AI980" s="12" t="str">
        <x:f>IF(AC980="PUBLIC_CANDIDATE","archive/public_candidates/"&amp;A980,"private_quarantine/"&amp;A980)</x:f>
        <x:v>archive/public_candidates/SWARM-07-H10-S07</x:v>
      </x:c>
      <x:c r="AJ980" s="12" t="str">
        <x:f>IF(AC980="PUBLIC_CANDIDATE","public by default; still not canon","private/hold; do not publish")</x:f>
        <x:v>public by default; still not canon</x:v>
      </x:c>
      <x:c r="AK980" s="12" t="str">
        <x:f>IF(AE980="prepare_public_github_candidate","add receipt/status then mirror","resolve blocker before any public GitHub action")</x:f>
        <x:v>add receipt/status then mirror</x:v>
      </x:c>
    </x:row>
    <x:row r="981">
      <x:c r="A981" s="15" t="str">
        <x:v>SWARM-07-H10-S08</x:v>
      </x:c>
      <x:c r="B981" s="15" t="str">
        <x:v>Domechild</x:v>
      </x:c>
      <x:c r="C981" s="15" t="str">
        <x:v>Planetarium lane builder</x:v>
      </x:c>
      <x:c r="D981" s="15" t="str">
        <x:v>GitHub Source Packets</x:v>
      </x:c>
      <x:c r="E981" s="15" t="str">
        <x:v>Sheldonbrain</x:v>
      </x:c>
      <x:c r="F981" s="15" t="str">
        <x:v>Build source packet for Sheldonbrain — Domechild</x:v>
      </x:c>
      <x:c r="G981" s="15" t="str">
        <x:v>planetarium source packets / civic-science deltas</x:v>
      </x:c>
      <x:c r="H981" s="15" t="str">
        <x:v>source path + receipt + raw/export status + claim/edge/risk delta</x:v>
      </x:c>
      <x:c r="I981" s="15" t="str">
        <x:v>packet/SWARM-07-H10-S08</x:v>
      </x:c>
      <x:c r="J981" s="15" t="str">
        <x:v>TODO</x:v>
      </x:c>
      <x:c r="K981" s="15" t="str">
        <x:v>P1</x:v>
      </x:c>
      <x:c r="L981" s="15" t="str">
        <x:v>Done only when evidence is logged, contradiction search is noted, and boundary stamp remains non-canon unless ratified</x:v>
      </x:c>
      <x:c r="M981" s="15" t="str">
        <x:v>candidate / staging-only / not canon / not deployed / authority none</x:v>
      </x:c>
      <x:c r="N981" s="15" t="str">
        <x:v>Dispatch to Domechild: complete GitHub Source Packets x Sheldonbrain; return deltas only, receipts required.</x:v>
      </x:c>
      <x:c r="O981" s="15" t="str">
        <x:v>AF-KG-H10-S08</x:v>
      </x:c>
      <x:c r="P981" s="15" t="str">
        <x:v>Unverified</x:v>
      </x:c>
      <x:c r="Q981" s="15" t="str">
        <x:v>Not checked</x:v>
      </x:c>
      <x:c r="R981" s="15" t="str"/>
      <x:c r="S981" s="15" t="str"/>
      <x:c r="T981" s="15" t="str">
        <x:v>Log first source path or blocker</x:v>
      </x:c>
      <x:c r="U981" s="12" t="str">
        <x:f>IF(OR(P981="Unverified",Q981="Not checked"),"BLOCKED_PENDING_RECEIPT","READY_FOR_REVIEW")</x:f>
        <x:v>BLOCKED_PENDING_RECEIPT</x:v>
      </x:c>
      <x:c r="V981" s="12" t="str">
        <x:f>IF(J981="DONE","RETURNED",IF(U981="BLOCKED_PENDING_RECEIPT","SOURCE_TOUCH_REQUIRED","IN_PROGRESS"))</x:f>
        <x:v>SOURCE_TOUCH_REQUIRED</x:v>
      </x:c>
      <x:c r="W981" s="12" t="str">
        <x:f>IF(P981="Unverified","missing_receipt","receipt_logged")</x:f>
        <x:v>missing_receipt</x:v>
      </x:c>
      <x:c r="X981" s="12" t="str">
        <x:f>IF(Q981="Not checked","raw_status_missing","raw_status_logged")</x:f>
        <x:v>raw_status_missing</x:v>
      </x:c>
      <x:c r="Y981" s="12" t="str">
        <x:f>IF(U981="BLOCKED_PENDING_RECEIPT","Log source path or blocker; do not promote","Route to review lane")</x:f>
        <x:v>Log source path or blocker; do not promote</x:v>
      </x:c>
      <x:c r="Z981" s="12" t="str">
        <x:f>IF(K981="P0","Primary seat + Hashlight/Lucerna","Seat lane")</x:f>
        <x:v>Seat lane</x:v>
      </x:c>
      <x:c r="AA981" s="12" t="str">
        <x:f>IF(R981="","no_claim_delta","claim_delta_present")</x:f>
        <x:v>no_claim_delta</x:v>
      </x:c>
      <x:c r="AB981" s="12" t="str">
        <x:f>IF(S981="","no_contradiction_delta","contradiction_delta_present")</x:f>
        <x:v>no_contradiction_delta</x:v>
      </x:c>
      <x:c r="AC981" s="12" t="str">
        <x:f>IF(OR(ISNUMBER(SEARCH("hacker",LOWER(F981&amp;" "&amp;H981&amp;" "&amp;I981&amp;" "&amp;M981&amp;" "&amp;N981&amp;" "&amp;T981))),ISNUMBER(SEARCH("hacking",LOWER(F981&amp;" "&amp;H981&amp;" "&amp;I981&amp;" "&amp;M981&amp;" "&amp;N981&amp;" "&amp;T981))),ISNUMBER(SEARCH("bank",LOWER(F981&amp;" "&amp;H981&amp;" "&amp;I981&amp;" "&amp;M981&amp;" "&amp;N981&amp;" "&amp;T981))),ISNUMBER(SEARCH("banking",LOWER(F981&amp;" "&amp;H981&amp;" "&amp;I981&amp;" "&amp;M981&amp;" "&amp;N981&amp;" "&amp;T981)))),"PRIVATE_QUARANTINE",IF(OR(ISNUMBER(SEARCH("treasury",LOWER(F981&amp;" "&amp;H981&amp;" "&amp;I981&amp;" "&amp;M981&amp;" "&amp;N981&amp;" "&amp;T981))),ISNUMBER(SEARCH("debt",LOWER(F981&amp;" "&amp;H981&amp;" "&amp;I981&amp;" "&amp;M981&amp;" "&amp;N981&amp;" "&amp;T981))),ISNUMBER(SEARCH("bond",LOWER(F981&amp;" "&amp;H981&amp;" "&amp;I981&amp;" "&amp;M981&amp;" "&amp;N981&amp;" "&amp;T981))),ISNUMBER(SEARCH("transaction",LOWER(F981&amp;" "&amp;H981&amp;" "&amp;I981&amp;" "&amp;M981&amp;" "&amp;N981&amp;" "&amp;T981)))),"PRIVATE_REVIEW","PUBLIC_CANDIDATE"))</x:f>
        <x:v>PUBLIC_CANDIDATE</x:v>
      </x:c>
      <x:c r="AD981" s="12" t="str">
        <x:f>IF(AC981="PRIVATE_QUARANTINE","hacker_or_bank_trigger",IF(AC981="PRIVATE_REVIEW","finance_risk_trigger","none"))</x:f>
        <x:v>none</x:v>
      </x:c>
      <x:c r="AE981" s="12" t="str">
        <x:f>IF(AC981="PUBLIC_CANDIDATE","prepare_public_github_candidate",IF(AC981="PRIVATE_REVIEW","hold_for_private_review","quarantine_private_do_not_publish"))</x:f>
        <x:v>prepare_public_github_candidate</x:v>
      </x:c>
      <x:c r="AF981" s="12" t="str">
        <x:f>IF(AC981="PUBLIC_CANDIDATE","TIDELOCK + Lucerna",IF(AC981="PRIVATE_REVIEW","AtlasBrain + Lucerna","TIDELOCK + Lucerna + Human-root"))</x:f>
        <x:v>TIDELOCK + Lucerna</x:v>
      </x:c>
      <x:c r="AG981" s="12" t="str">
        <x:f>IF(AND(AC981="PUBLIC_CANDIDATE",U981&lt;&gt;"BLOCKED_PENDING_RECEIPT"),"READY_AFTER_RECEIPT","NOT_READY")</x:f>
        <x:v>NOT_READY</x:v>
      </x:c>
      <x:c r="AH981" s="12" t="str">
        <x:f>IF(AC981="PUBLIC_CANDIDATE","none",AD981)</x:f>
        <x:v>none</x:v>
      </x:c>
      <x:c r="AI981" s="12" t="str">
        <x:f>IF(AC981="PUBLIC_CANDIDATE","archive/public_candidates/"&amp;A981,"private_quarantine/"&amp;A981)</x:f>
        <x:v>archive/public_candidates/SWARM-07-H10-S08</x:v>
      </x:c>
      <x:c r="AJ981" s="12" t="str">
        <x:f>IF(AC981="PUBLIC_CANDIDATE","public by default; still not canon","private/hold; do not publish")</x:f>
        <x:v>public by default; still not canon</x:v>
      </x:c>
      <x:c r="AK981" s="12" t="str">
        <x:f>IF(AE981="prepare_public_github_candidate","add receipt/status then mirror","resolve blocker before any public GitHub action")</x:f>
        <x:v>add receipt/status then mirror</x:v>
      </x:c>
    </x:row>
    <x:row r="982">
      <x:c r="A982" s="15" t="str">
        <x:v>SWARM-07-H10-S09</x:v>
      </x:c>
      <x:c r="B982" s="15" t="str">
        <x:v>Domechild</x:v>
      </x:c>
      <x:c r="C982" s="15" t="str">
        <x:v>Planetarium lane builder</x:v>
      </x:c>
      <x:c r="D982" s="15" t="str">
        <x:v>GitHub Source Packets</x:v>
      </x:c>
      <x:c r="E982" s="15" t="str">
        <x:v>Aetherforge</x:v>
      </x:c>
      <x:c r="F982" s="15" t="str">
        <x:v>Build source packet for Aetherforge — Domechild</x:v>
      </x:c>
      <x:c r="G982" s="15" t="str">
        <x:v>planetarium source packets / civic-science deltas</x:v>
      </x:c>
      <x:c r="H982" s="15" t="str">
        <x:v>source path + receipt + raw/export status + claim/edge/risk delta</x:v>
      </x:c>
      <x:c r="I982" s="15" t="str">
        <x:v>packet/SWARM-07-H10-S09</x:v>
      </x:c>
      <x:c r="J982" s="15" t="str">
        <x:v>TODO</x:v>
      </x:c>
      <x:c r="K982" s="15" t="str">
        <x:v>P2</x:v>
      </x:c>
      <x:c r="L982" s="15" t="str">
        <x:v>Done only when evidence is logged, contradiction search is noted, and boundary stamp remains non-canon unless ratified</x:v>
      </x:c>
      <x:c r="M982" s="15" t="str">
        <x:v>candidate / staging-only / not canon / not deployed / authority none</x:v>
      </x:c>
      <x:c r="N982" s="15" t="str">
        <x:v>Dispatch to Domechild: complete GitHub Source Packets x Aetherforge; return deltas only, receipts required.</x:v>
      </x:c>
      <x:c r="O982" s="15" t="str">
        <x:v>AF-KG-H10-S09</x:v>
      </x:c>
      <x:c r="P982" s="15" t="str">
        <x:v>Unverified</x:v>
      </x:c>
      <x:c r="Q982" s="15" t="str">
        <x:v>Not checked</x:v>
      </x:c>
      <x:c r="R982" s="15" t="str"/>
      <x:c r="S982" s="15" t="str"/>
      <x:c r="T982" s="15" t="str">
        <x:v>Log first source path or blocker</x:v>
      </x:c>
      <x:c r="U982" s="12" t="str">
        <x:f>IF(OR(P982="Unverified",Q982="Not checked"),"BLOCKED_PENDING_RECEIPT","READY_FOR_REVIEW")</x:f>
        <x:v>BLOCKED_PENDING_RECEIPT</x:v>
      </x:c>
      <x:c r="V982" s="12" t="str">
        <x:f>IF(J982="DONE","RETURNED",IF(U982="BLOCKED_PENDING_RECEIPT","SOURCE_TOUCH_REQUIRED","IN_PROGRESS"))</x:f>
        <x:v>SOURCE_TOUCH_REQUIRED</x:v>
      </x:c>
      <x:c r="W982" s="12" t="str">
        <x:f>IF(P982="Unverified","missing_receipt","receipt_logged")</x:f>
        <x:v>missing_receipt</x:v>
      </x:c>
      <x:c r="X982" s="12" t="str">
        <x:f>IF(Q982="Not checked","raw_status_missing","raw_status_logged")</x:f>
        <x:v>raw_status_missing</x:v>
      </x:c>
      <x:c r="Y982" s="12" t="str">
        <x:f>IF(U982="BLOCKED_PENDING_RECEIPT","Log source path or blocker; do not promote","Route to review lane")</x:f>
        <x:v>Log source path or blocker; do not promote</x:v>
      </x:c>
      <x:c r="Z982" s="12" t="str">
        <x:f>IF(K982="P0","Primary seat + Hashlight/Lucerna","Seat lane")</x:f>
        <x:v>Seat lane</x:v>
      </x:c>
      <x:c r="AA982" s="12" t="str">
        <x:f>IF(R982="","no_claim_delta","claim_delta_present")</x:f>
        <x:v>no_claim_delta</x:v>
      </x:c>
      <x:c r="AB982" s="12" t="str">
        <x:f>IF(S982="","no_contradiction_delta","contradiction_delta_present")</x:f>
        <x:v>no_contradiction_delta</x:v>
      </x:c>
      <x:c r="AC982" s="12" t="str">
        <x:f>IF(OR(ISNUMBER(SEARCH("hacker",LOWER(F982&amp;" "&amp;H982&amp;" "&amp;I982&amp;" "&amp;M982&amp;" "&amp;N982&amp;" "&amp;T982))),ISNUMBER(SEARCH("hacking",LOWER(F982&amp;" "&amp;H982&amp;" "&amp;I982&amp;" "&amp;M982&amp;" "&amp;N982&amp;" "&amp;T982))),ISNUMBER(SEARCH("bank",LOWER(F982&amp;" "&amp;H982&amp;" "&amp;I982&amp;" "&amp;M982&amp;" "&amp;N982&amp;" "&amp;T982))),ISNUMBER(SEARCH("banking",LOWER(F982&amp;" "&amp;H982&amp;" "&amp;I982&amp;" "&amp;M982&amp;" "&amp;N982&amp;" "&amp;T982)))),"PRIVATE_QUARANTINE",IF(OR(ISNUMBER(SEARCH("treasury",LOWER(F982&amp;" "&amp;H982&amp;" "&amp;I982&amp;" "&amp;M982&amp;" "&amp;N982&amp;" "&amp;T982))),ISNUMBER(SEARCH("debt",LOWER(F982&amp;" "&amp;H982&amp;" "&amp;I982&amp;" "&amp;M982&amp;" "&amp;N982&amp;" "&amp;T982))),ISNUMBER(SEARCH("bond",LOWER(F982&amp;" "&amp;H982&amp;" "&amp;I982&amp;" "&amp;M982&amp;" "&amp;N982&amp;" "&amp;T982))),ISNUMBER(SEARCH("transaction",LOWER(F982&amp;" "&amp;H982&amp;" "&amp;I982&amp;" "&amp;M982&amp;" "&amp;N982&amp;" "&amp;T982)))),"PRIVATE_REVIEW","PUBLIC_CANDIDATE"))</x:f>
        <x:v>PUBLIC_CANDIDATE</x:v>
      </x:c>
      <x:c r="AD982" s="12" t="str">
        <x:f>IF(AC982="PRIVATE_QUARANTINE","hacker_or_bank_trigger",IF(AC982="PRIVATE_REVIEW","finance_risk_trigger","none"))</x:f>
        <x:v>none</x:v>
      </x:c>
      <x:c r="AE982" s="12" t="str">
        <x:f>IF(AC982="PUBLIC_CANDIDATE","prepare_public_github_candidate",IF(AC982="PRIVATE_REVIEW","hold_for_private_review","quarantine_private_do_not_publish"))</x:f>
        <x:v>prepare_public_github_candidate</x:v>
      </x:c>
      <x:c r="AF982" s="12" t="str">
        <x:f>IF(AC982="PUBLIC_CANDIDATE","TIDELOCK + Lucerna",IF(AC982="PRIVATE_REVIEW","AtlasBrain + Lucerna","TIDELOCK + Lucerna + Human-root"))</x:f>
        <x:v>TIDELOCK + Lucerna</x:v>
      </x:c>
      <x:c r="AG982" s="12" t="str">
        <x:f>IF(AND(AC982="PUBLIC_CANDIDATE",U982&lt;&gt;"BLOCKED_PENDING_RECEIPT"),"READY_AFTER_RECEIPT","NOT_READY")</x:f>
        <x:v>NOT_READY</x:v>
      </x:c>
      <x:c r="AH982" s="12" t="str">
        <x:f>IF(AC982="PUBLIC_CANDIDATE","none",AD982)</x:f>
        <x:v>none</x:v>
      </x:c>
      <x:c r="AI982" s="12" t="str">
        <x:f>IF(AC982="PUBLIC_CANDIDATE","archive/public_candidates/"&amp;A982,"private_quarantine/"&amp;A982)</x:f>
        <x:v>archive/public_candidates/SWARM-07-H10-S09</x:v>
      </x:c>
      <x:c r="AJ982" s="12" t="str">
        <x:f>IF(AC982="PUBLIC_CANDIDATE","public by default; still not canon","private/hold; do not publish")</x:f>
        <x:v>public by default; still not canon</x:v>
      </x:c>
      <x:c r="AK982" s="12" t="str">
        <x:f>IF(AE982="prepare_public_github_candidate","add receipt/status then mirror","resolve blocker before any public GitHub action")</x:f>
        <x:v>add receipt/status then mirror</x:v>
      </x:c>
    </x:row>
    <x:row r="983">
      <x:c r="A983" s="15" t="str">
        <x:v>SWARM-07-H10-S10</x:v>
      </x:c>
      <x:c r="B983" s="15" t="str">
        <x:v>Domechild</x:v>
      </x:c>
      <x:c r="C983" s="15" t="str">
        <x:v>Planetarium lane builder</x:v>
      </x:c>
      <x:c r="D983" s="15" t="str">
        <x:v>GitHub Source Packets</x:v>
      </x:c>
      <x:c r="E983" s="15" t="str">
        <x:v>Human-Root</x:v>
      </x:c>
      <x:c r="F983" s="15" t="str">
        <x:v>Build source packet for Human-Root — Domechild</x:v>
      </x:c>
      <x:c r="G983" s="15" t="str">
        <x:v>planetarium source packets / civic-science deltas</x:v>
      </x:c>
      <x:c r="H983" s="15" t="str">
        <x:v>source path + receipt + raw/export status + claim/edge/risk delta</x:v>
      </x:c>
      <x:c r="I983" s="15" t="str">
        <x:v>packet/SWARM-07-H10-S10</x:v>
      </x:c>
      <x:c r="J983" s="15" t="str">
        <x:v>TODO</x:v>
      </x:c>
      <x:c r="K983" s="15" t="str">
        <x:v>P2</x:v>
      </x:c>
      <x:c r="L983" s="15" t="str">
        <x:v>Done only when evidence is logged, contradiction search is noted, and boundary stamp remains non-canon unless ratified</x:v>
      </x:c>
      <x:c r="M983" s="15" t="str">
        <x:v>candidate / staging-only / not canon / not deployed / authority none</x:v>
      </x:c>
      <x:c r="N983" s="15" t="str">
        <x:v>Dispatch to Domechild: complete GitHub Source Packets x Human-Root; return deltas only, receipts required.</x:v>
      </x:c>
      <x:c r="O983" s="15" t="str">
        <x:v>AF-KG-H10-S10</x:v>
      </x:c>
      <x:c r="P983" s="15" t="str">
        <x:v>Unverified</x:v>
      </x:c>
      <x:c r="Q983" s="15" t="str">
        <x:v>Not checked</x:v>
      </x:c>
      <x:c r="R983" s="15" t="str"/>
      <x:c r="S983" s="15" t="str"/>
      <x:c r="T983" s="15" t="str">
        <x:v>Log first source path or blocker</x:v>
      </x:c>
      <x:c r="U983" s="12" t="str">
        <x:f>IF(OR(P983="Unverified",Q983="Not checked"),"BLOCKED_PENDING_RECEIPT","READY_FOR_REVIEW")</x:f>
        <x:v>BLOCKED_PENDING_RECEIPT</x:v>
      </x:c>
      <x:c r="V983" s="12" t="str">
        <x:f>IF(J983="DONE","RETURNED",IF(U983="BLOCKED_PENDING_RECEIPT","SOURCE_TOUCH_REQUIRED","IN_PROGRESS"))</x:f>
        <x:v>SOURCE_TOUCH_REQUIRED</x:v>
      </x:c>
      <x:c r="W983" s="12" t="str">
        <x:f>IF(P983="Unverified","missing_receipt","receipt_logged")</x:f>
        <x:v>missing_receipt</x:v>
      </x:c>
      <x:c r="X983" s="12" t="str">
        <x:f>IF(Q983="Not checked","raw_status_missing","raw_status_logged")</x:f>
        <x:v>raw_status_missing</x:v>
      </x:c>
      <x:c r="Y983" s="12" t="str">
        <x:f>IF(U983="BLOCKED_PENDING_RECEIPT","Log source path or blocker; do not promote","Route to review lane")</x:f>
        <x:v>Log source path or blocker; do not promote</x:v>
      </x:c>
      <x:c r="Z983" s="12" t="str">
        <x:f>IF(K983="P0","Primary seat + Hashlight/Lucerna","Seat lane")</x:f>
        <x:v>Seat lane</x:v>
      </x:c>
      <x:c r="AA983" s="12" t="str">
        <x:f>IF(R983="","no_claim_delta","claim_delta_present")</x:f>
        <x:v>no_claim_delta</x:v>
      </x:c>
      <x:c r="AB983" s="12" t="str">
        <x:f>IF(S983="","no_contradiction_delta","contradiction_delta_present")</x:f>
        <x:v>no_contradiction_delta</x:v>
      </x:c>
      <x:c r="AC983" s="12" t="str">
        <x:f>IF(OR(ISNUMBER(SEARCH("hacker",LOWER(F983&amp;" "&amp;H983&amp;" "&amp;I983&amp;" "&amp;M983&amp;" "&amp;N983&amp;" "&amp;T983))),ISNUMBER(SEARCH("hacking",LOWER(F983&amp;" "&amp;H983&amp;" "&amp;I983&amp;" "&amp;M983&amp;" "&amp;N983&amp;" "&amp;T983))),ISNUMBER(SEARCH("bank",LOWER(F983&amp;" "&amp;H983&amp;" "&amp;I983&amp;" "&amp;M983&amp;" "&amp;N983&amp;" "&amp;T983))),ISNUMBER(SEARCH("banking",LOWER(F983&amp;" "&amp;H983&amp;" "&amp;I983&amp;" "&amp;M983&amp;" "&amp;N983&amp;" "&amp;T983)))),"PRIVATE_QUARANTINE",IF(OR(ISNUMBER(SEARCH("treasury",LOWER(F983&amp;" "&amp;H983&amp;" "&amp;I983&amp;" "&amp;M983&amp;" "&amp;N983&amp;" "&amp;T983))),ISNUMBER(SEARCH("debt",LOWER(F983&amp;" "&amp;H983&amp;" "&amp;I983&amp;" "&amp;M983&amp;" "&amp;N983&amp;" "&amp;T983))),ISNUMBER(SEARCH("bond",LOWER(F983&amp;" "&amp;H983&amp;" "&amp;I983&amp;" "&amp;M983&amp;" "&amp;N983&amp;" "&amp;T983))),ISNUMBER(SEARCH("transaction",LOWER(F983&amp;" "&amp;H983&amp;" "&amp;I983&amp;" "&amp;M983&amp;" "&amp;N983&amp;" "&amp;T983)))),"PRIVATE_REVIEW","PUBLIC_CANDIDATE"))</x:f>
        <x:v>PUBLIC_CANDIDATE</x:v>
      </x:c>
      <x:c r="AD983" s="12" t="str">
        <x:f>IF(AC983="PRIVATE_QUARANTINE","hacker_or_bank_trigger",IF(AC983="PRIVATE_REVIEW","finance_risk_trigger","none"))</x:f>
        <x:v>none</x:v>
      </x:c>
      <x:c r="AE983" s="12" t="str">
        <x:f>IF(AC983="PUBLIC_CANDIDATE","prepare_public_github_candidate",IF(AC983="PRIVATE_REVIEW","hold_for_private_review","quarantine_private_do_not_publish"))</x:f>
        <x:v>prepare_public_github_candidate</x:v>
      </x:c>
      <x:c r="AF983" s="12" t="str">
        <x:f>IF(AC983="PUBLIC_CANDIDATE","TIDELOCK + Lucerna",IF(AC983="PRIVATE_REVIEW","AtlasBrain + Lucerna","TIDELOCK + Lucerna + Human-root"))</x:f>
        <x:v>TIDELOCK + Lucerna</x:v>
      </x:c>
      <x:c r="AG983" s="12" t="str">
        <x:f>IF(AND(AC983="PUBLIC_CANDIDATE",U983&lt;&gt;"BLOCKED_PENDING_RECEIPT"),"READY_AFTER_RECEIPT","NOT_READY")</x:f>
        <x:v>NOT_READY</x:v>
      </x:c>
      <x:c r="AH983" s="12" t="str">
        <x:f>IF(AC983="PUBLIC_CANDIDATE","none",AD983)</x:f>
        <x:v>none</x:v>
      </x:c>
      <x:c r="AI983" s="12" t="str">
        <x:f>IF(AC983="PUBLIC_CANDIDATE","archive/public_candidates/"&amp;A983,"private_quarantine/"&amp;A983)</x:f>
        <x:v>archive/public_candidates/SWARM-07-H10-S10</x:v>
      </x:c>
      <x:c r="AJ983" s="12" t="str">
        <x:f>IF(AC983="PUBLIC_CANDIDATE","public by default; still not canon","private/hold; do not publish")</x:f>
        <x:v>public by default; still not canon</x:v>
      </x:c>
      <x:c r="AK983" s="12" t="str">
        <x:f>IF(AE983="prepare_public_github_candidate","add receipt/status then mirror","resolve blocker before any public GitHub action")</x:f>
        <x:v>add receipt/status then mirror</x:v>
      </x:c>
    </x:row>
    <x:row r="984">
      <x:c r="A984" s="15" t="str">
        <x:v>SWARM-07-H10-S11</x:v>
      </x:c>
      <x:c r="B984" s="15" t="str">
        <x:v>Domechild</x:v>
      </x:c>
      <x:c r="C984" s="15" t="str">
        <x:v>Planetarium lane builder</x:v>
      </x:c>
      <x:c r="D984" s="15" t="str">
        <x:v>GitHub Source Packets</x:v>
      </x:c>
      <x:c r="E984" s="15" t="str">
        <x:v>Automation</x:v>
      </x:c>
      <x:c r="F984" s="15" t="str">
        <x:v>Build source packet for Automation — Domechild</x:v>
      </x:c>
      <x:c r="G984" s="15" t="str">
        <x:v>planetarium source packets / civic-science deltas</x:v>
      </x:c>
      <x:c r="H984" s="15" t="str">
        <x:v>source path + receipt + raw/export status + claim/edge/risk delta</x:v>
      </x:c>
      <x:c r="I984" s="15" t="str">
        <x:v>packet/SWARM-07-H10-S11</x:v>
      </x:c>
      <x:c r="J984" s="15" t="str">
        <x:v>TODO</x:v>
      </x:c>
      <x:c r="K984" s="15" t="str">
        <x:v>P2</x:v>
      </x:c>
      <x:c r="L984" s="15" t="str">
        <x:v>Done only when evidence is logged, contradiction search is noted, and boundary stamp remains non-canon unless ratified</x:v>
      </x:c>
      <x:c r="M984" s="15" t="str">
        <x:v>candidate / staging-only / not canon / not deployed / authority none</x:v>
      </x:c>
      <x:c r="N984" s="15" t="str">
        <x:v>Dispatch to Domechild: complete GitHub Source Packets x Automation; return deltas only, receipts required.</x:v>
      </x:c>
      <x:c r="O984" s="15" t="str">
        <x:v>AF-KG-H10-S11</x:v>
      </x:c>
      <x:c r="P984" s="15" t="str">
        <x:v>Unverified</x:v>
      </x:c>
      <x:c r="Q984" s="15" t="str">
        <x:v>Not checked</x:v>
      </x:c>
      <x:c r="R984" s="15" t="str"/>
      <x:c r="S984" s="15" t="str"/>
      <x:c r="T984" s="15" t="str">
        <x:v>Log first source path or blocker</x:v>
      </x:c>
      <x:c r="U984" s="12" t="str">
        <x:f>IF(OR(P984="Unverified",Q984="Not checked"),"BLOCKED_PENDING_RECEIPT","READY_FOR_REVIEW")</x:f>
        <x:v>BLOCKED_PENDING_RECEIPT</x:v>
      </x:c>
      <x:c r="V984" s="12" t="str">
        <x:f>IF(J984="DONE","RETURNED",IF(U984="BLOCKED_PENDING_RECEIPT","SOURCE_TOUCH_REQUIRED","IN_PROGRESS"))</x:f>
        <x:v>SOURCE_TOUCH_REQUIRED</x:v>
      </x:c>
      <x:c r="W984" s="12" t="str">
        <x:f>IF(P984="Unverified","missing_receipt","receipt_logged")</x:f>
        <x:v>missing_receipt</x:v>
      </x:c>
      <x:c r="X984" s="12" t="str">
        <x:f>IF(Q984="Not checked","raw_status_missing","raw_status_logged")</x:f>
        <x:v>raw_status_missing</x:v>
      </x:c>
      <x:c r="Y984" s="12" t="str">
        <x:f>IF(U984="BLOCKED_PENDING_RECEIPT","Log source path or blocker; do not promote","Route to review lane")</x:f>
        <x:v>Log source path or blocker; do not promote</x:v>
      </x:c>
      <x:c r="Z984" s="12" t="str">
        <x:f>IF(K984="P0","Primary seat + Hashlight/Lucerna","Seat lane")</x:f>
        <x:v>Seat lane</x:v>
      </x:c>
      <x:c r="AA984" s="12" t="str">
        <x:f>IF(R984="","no_claim_delta","claim_delta_present")</x:f>
        <x:v>no_claim_delta</x:v>
      </x:c>
      <x:c r="AB984" s="12" t="str">
        <x:f>IF(S984="","no_contradiction_delta","contradiction_delta_present")</x:f>
        <x:v>no_contradiction_delta</x:v>
      </x:c>
      <x:c r="AC984" s="12" t="str">
        <x:f>IF(OR(ISNUMBER(SEARCH("hacker",LOWER(F984&amp;" "&amp;H984&amp;" "&amp;I984&amp;" "&amp;M984&amp;" "&amp;N984&amp;" "&amp;T984))),ISNUMBER(SEARCH("hacking",LOWER(F984&amp;" "&amp;H984&amp;" "&amp;I984&amp;" "&amp;M984&amp;" "&amp;N984&amp;" "&amp;T984))),ISNUMBER(SEARCH("bank",LOWER(F984&amp;" "&amp;H984&amp;" "&amp;I984&amp;" "&amp;M984&amp;" "&amp;N984&amp;" "&amp;T984))),ISNUMBER(SEARCH("banking",LOWER(F984&amp;" "&amp;H984&amp;" "&amp;I984&amp;" "&amp;M984&amp;" "&amp;N984&amp;" "&amp;T984)))),"PRIVATE_QUARANTINE",IF(OR(ISNUMBER(SEARCH("treasury",LOWER(F984&amp;" "&amp;H984&amp;" "&amp;I984&amp;" "&amp;M984&amp;" "&amp;N984&amp;" "&amp;T984))),ISNUMBER(SEARCH("debt",LOWER(F984&amp;" "&amp;H984&amp;" "&amp;I984&amp;" "&amp;M984&amp;" "&amp;N984&amp;" "&amp;T984))),ISNUMBER(SEARCH("bond",LOWER(F984&amp;" "&amp;H984&amp;" "&amp;I984&amp;" "&amp;M984&amp;" "&amp;N984&amp;" "&amp;T984))),ISNUMBER(SEARCH("transaction",LOWER(F984&amp;" "&amp;H984&amp;" "&amp;I984&amp;" "&amp;M984&amp;" "&amp;N984&amp;" "&amp;T984)))),"PRIVATE_REVIEW","PUBLIC_CANDIDATE"))</x:f>
        <x:v>PUBLIC_CANDIDATE</x:v>
      </x:c>
      <x:c r="AD984" s="12" t="str">
        <x:f>IF(AC984="PRIVATE_QUARANTINE","hacker_or_bank_trigger",IF(AC984="PRIVATE_REVIEW","finance_risk_trigger","none"))</x:f>
        <x:v>none</x:v>
      </x:c>
      <x:c r="AE984" s="12" t="str">
        <x:f>IF(AC984="PUBLIC_CANDIDATE","prepare_public_github_candidate",IF(AC984="PRIVATE_REVIEW","hold_for_private_review","quarantine_private_do_not_publish"))</x:f>
        <x:v>prepare_public_github_candidate</x:v>
      </x:c>
      <x:c r="AF984" s="12" t="str">
        <x:f>IF(AC984="PUBLIC_CANDIDATE","TIDELOCK + Lucerna",IF(AC984="PRIVATE_REVIEW","AtlasBrain + Lucerna","TIDELOCK + Lucerna + Human-root"))</x:f>
        <x:v>TIDELOCK + Lucerna</x:v>
      </x:c>
      <x:c r="AG984" s="12" t="str">
        <x:f>IF(AND(AC984="PUBLIC_CANDIDATE",U984&lt;&gt;"BLOCKED_PENDING_RECEIPT"),"READY_AFTER_RECEIPT","NOT_READY")</x:f>
        <x:v>NOT_READY</x:v>
      </x:c>
      <x:c r="AH984" s="12" t="str">
        <x:f>IF(AC984="PUBLIC_CANDIDATE","none",AD984)</x:f>
        <x:v>none</x:v>
      </x:c>
      <x:c r="AI984" s="12" t="str">
        <x:f>IF(AC984="PUBLIC_CANDIDATE","archive/public_candidates/"&amp;A984,"private_quarantine/"&amp;A984)</x:f>
        <x:v>archive/public_candidates/SWARM-07-H10-S11</x:v>
      </x:c>
      <x:c r="AJ984" s="12" t="str">
        <x:f>IF(AC984="PUBLIC_CANDIDATE","public by default; still not canon","private/hold; do not publish")</x:f>
        <x:v>public by default; still not canon</x:v>
      </x:c>
      <x:c r="AK984" s="12" t="str">
        <x:f>IF(AE984="prepare_public_github_candidate","add receipt/status then mirror","resolve blocker before any public GitHub action")</x:f>
        <x:v>add receipt/status then mirror</x:v>
      </x:c>
    </x:row>
    <x:row r="985">
      <x:c r="A985" s="15" t="str">
        <x:v>SWARM-07-H10-S12</x:v>
      </x:c>
      <x:c r="B985" s="15" t="str">
        <x:v>Domechild</x:v>
      </x:c>
      <x:c r="C985" s="15" t="str">
        <x:v>Planetarium lane builder</x:v>
      </x:c>
      <x:c r="D985" s="15" t="str">
        <x:v>GitHub Source Packets</x:v>
      </x:c>
      <x:c r="E985" s="15" t="str">
        <x:v>Risk / Safety</x:v>
      </x:c>
      <x:c r="F985" s="15" t="str">
        <x:v>Build source packet for Risk / Safety — Domechild</x:v>
      </x:c>
      <x:c r="G985" s="15" t="str">
        <x:v>planetarium source packets / civic-science deltas</x:v>
      </x:c>
      <x:c r="H985" s="15" t="str">
        <x:v>source path + receipt + raw/export status + claim/edge/risk delta</x:v>
      </x:c>
      <x:c r="I985" s="15" t="str">
        <x:v>packet/SWARM-07-H10-S12</x:v>
      </x:c>
      <x:c r="J985" s="15" t="str">
        <x:v>TODO</x:v>
      </x:c>
      <x:c r="K985" s="15" t="str">
        <x:v>P2</x:v>
      </x:c>
      <x:c r="L985" s="15" t="str">
        <x:v>Done only when evidence is logged, contradiction search is noted, and boundary stamp remains non-canon unless ratified</x:v>
      </x:c>
      <x:c r="M985" s="15" t="str">
        <x:v>candidate / staging-only / not canon / not deployed / authority none</x:v>
      </x:c>
      <x:c r="N985" s="15" t="str">
        <x:v>Dispatch to Domechild: complete GitHub Source Packets x Risk / Safety; return deltas only, receipts required.</x:v>
      </x:c>
      <x:c r="O985" s="15" t="str">
        <x:v>AF-KG-H10-S12</x:v>
      </x:c>
      <x:c r="P985" s="15" t="str">
        <x:v>Unverified</x:v>
      </x:c>
      <x:c r="Q985" s="15" t="str">
        <x:v>Not checked</x:v>
      </x:c>
      <x:c r="R985" s="15" t="str"/>
      <x:c r="S985" s="15" t="str"/>
      <x:c r="T985" s="15" t="str">
        <x:v>Log first source path or blocker</x:v>
      </x:c>
      <x:c r="U985" s="12" t="str">
        <x:f>IF(OR(P985="Unverified",Q985="Not checked"),"BLOCKED_PENDING_RECEIPT","READY_FOR_REVIEW")</x:f>
        <x:v>BLOCKED_PENDING_RECEIPT</x:v>
      </x:c>
      <x:c r="V985" s="12" t="str">
        <x:f>IF(J985="DONE","RETURNED",IF(U985="BLOCKED_PENDING_RECEIPT","SOURCE_TOUCH_REQUIRED","IN_PROGRESS"))</x:f>
        <x:v>SOURCE_TOUCH_REQUIRED</x:v>
      </x:c>
      <x:c r="W985" s="12" t="str">
        <x:f>IF(P985="Unverified","missing_receipt","receipt_logged")</x:f>
        <x:v>missing_receipt</x:v>
      </x:c>
      <x:c r="X985" s="12" t="str">
        <x:f>IF(Q985="Not checked","raw_status_missing","raw_status_logged")</x:f>
        <x:v>raw_status_missing</x:v>
      </x:c>
      <x:c r="Y985" s="12" t="str">
        <x:f>IF(U985="BLOCKED_PENDING_RECEIPT","Log source path or blocker; do not promote","Route to review lane")</x:f>
        <x:v>Log source path or blocker; do not promote</x:v>
      </x:c>
      <x:c r="Z985" s="12" t="str">
        <x:f>IF(K985="P0","Primary seat + Hashlight/Lucerna","Seat lane")</x:f>
        <x:v>Seat lane</x:v>
      </x:c>
      <x:c r="AA985" s="12" t="str">
        <x:f>IF(R985="","no_claim_delta","claim_delta_present")</x:f>
        <x:v>no_claim_delta</x:v>
      </x:c>
      <x:c r="AB985" s="12" t="str">
        <x:f>IF(S985="","no_contradiction_delta","contradiction_delta_present")</x:f>
        <x:v>no_contradiction_delta</x:v>
      </x:c>
      <x:c r="AC985" s="12" t="str">
        <x:f>IF(OR(ISNUMBER(SEARCH("hacker",LOWER(F985&amp;" "&amp;H985&amp;" "&amp;I985&amp;" "&amp;M985&amp;" "&amp;N985&amp;" "&amp;T985))),ISNUMBER(SEARCH("hacking",LOWER(F985&amp;" "&amp;H985&amp;" "&amp;I985&amp;" "&amp;M985&amp;" "&amp;N985&amp;" "&amp;T985))),ISNUMBER(SEARCH("bank",LOWER(F985&amp;" "&amp;H985&amp;" "&amp;I985&amp;" "&amp;M985&amp;" "&amp;N985&amp;" "&amp;T985))),ISNUMBER(SEARCH("banking",LOWER(F985&amp;" "&amp;H985&amp;" "&amp;I985&amp;" "&amp;M985&amp;" "&amp;N985&amp;" "&amp;T985)))),"PRIVATE_QUARANTINE",IF(OR(ISNUMBER(SEARCH("treasury",LOWER(F985&amp;" "&amp;H985&amp;" "&amp;I985&amp;" "&amp;M985&amp;" "&amp;N985&amp;" "&amp;T985))),ISNUMBER(SEARCH("debt",LOWER(F985&amp;" "&amp;H985&amp;" "&amp;I985&amp;" "&amp;M985&amp;" "&amp;N985&amp;" "&amp;T985))),ISNUMBER(SEARCH("bond",LOWER(F985&amp;" "&amp;H985&amp;" "&amp;I985&amp;" "&amp;M985&amp;" "&amp;N985&amp;" "&amp;T985))),ISNUMBER(SEARCH("transaction",LOWER(F985&amp;" "&amp;H985&amp;" "&amp;I985&amp;" "&amp;M985&amp;" "&amp;N985&amp;" "&amp;T985)))),"PRIVATE_REVIEW","PUBLIC_CANDIDATE"))</x:f>
        <x:v>PUBLIC_CANDIDATE</x:v>
      </x:c>
      <x:c r="AD985" s="12" t="str">
        <x:f>IF(AC985="PRIVATE_QUARANTINE","hacker_or_bank_trigger",IF(AC985="PRIVATE_REVIEW","finance_risk_trigger","none"))</x:f>
        <x:v>none</x:v>
      </x:c>
      <x:c r="AE985" s="12" t="str">
        <x:f>IF(AC985="PUBLIC_CANDIDATE","prepare_public_github_candidate",IF(AC985="PRIVATE_REVIEW","hold_for_private_review","quarantine_private_do_not_publish"))</x:f>
        <x:v>prepare_public_github_candidate</x:v>
      </x:c>
      <x:c r="AF985" s="12" t="str">
        <x:f>IF(AC985="PUBLIC_CANDIDATE","TIDELOCK + Lucerna",IF(AC985="PRIVATE_REVIEW","AtlasBrain + Lucerna","TIDELOCK + Lucerna + Human-root"))</x:f>
        <x:v>TIDELOCK + Lucerna</x:v>
      </x:c>
      <x:c r="AG985" s="12" t="str">
        <x:f>IF(AND(AC985="PUBLIC_CANDIDATE",U985&lt;&gt;"BLOCKED_PENDING_RECEIPT"),"READY_AFTER_RECEIPT","NOT_READY")</x:f>
        <x:v>NOT_READY</x:v>
      </x:c>
      <x:c r="AH985" s="12" t="str">
        <x:f>IF(AC985="PUBLIC_CANDIDATE","none",AD985)</x:f>
        <x:v>none</x:v>
      </x:c>
      <x:c r="AI985" s="12" t="str">
        <x:f>IF(AC985="PUBLIC_CANDIDATE","archive/public_candidates/"&amp;A985,"private_quarantine/"&amp;A985)</x:f>
        <x:v>archive/public_candidates/SWARM-07-H10-S12</x:v>
      </x:c>
      <x:c r="AJ985" s="12" t="str">
        <x:f>IF(AC985="PUBLIC_CANDIDATE","public by default; still not canon","private/hold; do not publish")</x:f>
        <x:v>public by default; still not canon</x:v>
      </x:c>
      <x:c r="AK985" s="12" t="str">
        <x:f>IF(AE985="prepare_public_github_candidate","add receipt/status then mirror","resolve blocker before any public GitHub action")</x:f>
        <x:v>add receipt/status then mirror</x:v>
      </x:c>
    </x:row>
    <x:row r="986">
      <x:c r="A986" s="15" t="str">
        <x:v>SWARM-07-H11-S01</x:v>
      </x:c>
      <x:c r="B986" s="15" t="str">
        <x:v>Domechild</x:v>
      </x:c>
      <x:c r="C986" s="15" t="str">
        <x:v>Planetarium lane builder</x:v>
      </x:c>
      <x:c r="D986" s="15" t="str">
        <x:v>Aetherforge UX</x:v>
      </x:c>
      <x:c r="E986" s="15" t="str">
        <x:v>Notion</x:v>
      </x:c>
      <x:c r="F986" s="15" t="str">
        <x:v>Design quest card for Notion — Domechild</x:v>
      </x:c>
      <x:c r="G986" s="15" t="str">
        <x:v>planetarium source packets / civic-science deltas</x:v>
      </x:c>
      <x:c r="H986" s="15" t="str">
        <x:v>source path + receipt + raw/export status + claim/edge/risk delta</x:v>
      </x:c>
      <x:c r="I986" s="15" t="str">
        <x:v>packet/SWARM-07-H11-S01</x:v>
      </x:c>
      <x:c r="J986" s="15" t="str">
        <x:v>TODO</x:v>
      </x:c>
      <x:c r="K986" s="15" t="str">
        <x:v>P0</x:v>
      </x:c>
      <x:c r="L986" s="15" t="str">
        <x:v>Done only when evidence is logged, contradiction search is noted, and boundary stamp remains non-canon unless ratified</x:v>
      </x:c>
      <x:c r="M986" s="15" t="str">
        <x:v>candidate / staging-only / not canon / not deployed / authority none</x:v>
      </x:c>
      <x:c r="N986" s="15" t="str">
        <x:v>Dispatch to Domechild: complete Aetherforge UX x Notion; return deltas only, receipts required.</x:v>
      </x:c>
      <x:c r="O986" s="15" t="str">
        <x:v>AF-KG-H11-S01</x:v>
      </x:c>
      <x:c r="P986" s="15" t="str">
        <x:v>Unverified</x:v>
      </x:c>
      <x:c r="Q986" s="15" t="str">
        <x:v>Not checked</x:v>
      </x:c>
      <x:c r="R986" s="15" t="str"/>
      <x:c r="S986" s="15" t="str"/>
      <x:c r="T986" s="15" t="str">
        <x:v>Log first source path or blocker</x:v>
      </x:c>
      <x:c r="U986" s="12" t="str">
        <x:f>IF(OR(P986="Unverified",Q986="Not checked"),"BLOCKED_PENDING_RECEIPT","READY_FOR_REVIEW")</x:f>
        <x:v>BLOCKED_PENDING_RECEIPT</x:v>
      </x:c>
      <x:c r="V986" s="12" t="str">
        <x:f>IF(J986="DONE","RETURNED",IF(U986="BLOCKED_PENDING_RECEIPT","SOURCE_TOUCH_REQUIRED","IN_PROGRESS"))</x:f>
        <x:v>SOURCE_TOUCH_REQUIRED</x:v>
      </x:c>
      <x:c r="W986" s="12" t="str">
        <x:f>IF(P986="Unverified","missing_receipt","receipt_logged")</x:f>
        <x:v>missing_receipt</x:v>
      </x:c>
      <x:c r="X986" s="12" t="str">
        <x:f>IF(Q986="Not checked","raw_status_missing","raw_status_logged")</x:f>
        <x:v>raw_status_missing</x:v>
      </x:c>
      <x:c r="Y986" s="12" t="str">
        <x:f>IF(U986="BLOCKED_PENDING_RECEIPT","Log source path or blocker; do not promote","Route to review lane")</x:f>
        <x:v>Log source path or blocker; do not promote</x:v>
      </x:c>
      <x:c r="Z986" s="12" t="str">
        <x:f>IF(K986="P0","Primary seat + Hashlight/Lucerna","Seat lane")</x:f>
        <x:v>Primary seat + Hashlight/Lucerna</x:v>
      </x:c>
      <x:c r="AA986" s="12" t="str">
        <x:f>IF(R986="","no_claim_delta","claim_delta_present")</x:f>
        <x:v>no_claim_delta</x:v>
      </x:c>
      <x:c r="AB986" s="12" t="str">
        <x:f>IF(S986="","no_contradiction_delta","contradiction_delta_present")</x:f>
        <x:v>no_contradiction_delta</x:v>
      </x:c>
      <x:c r="AC986" s="12" t="str">
        <x:f>IF(OR(ISNUMBER(SEARCH("hacker",LOWER(F986&amp;" "&amp;H986&amp;" "&amp;I986&amp;" "&amp;M986&amp;" "&amp;N986&amp;" "&amp;T986))),ISNUMBER(SEARCH("hacking",LOWER(F986&amp;" "&amp;H986&amp;" "&amp;I986&amp;" "&amp;M986&amp;" "&amp;N986&amp;" "&amp;T986))),ISNUMBER(SEARCH("bank",LOWER(F986&amp;" "&amp;H986&amp;" "&amp;I986&amp;" "&amp;M986&amp;" "&amp;N986&amp;" "&amp;T986))),ISNUMBER(SEARCH("banking",LOWER(F986&amp;" "&amp;H986&amp;" "&amp;I986&amp;" "&amp;M986&amp;" "&amp;N986&amp;" "&amp;T986)))),"PRIVATE_QUARANTINE",IF(OR(ISNUMBER(SEARCH("treasury",LOWER(F986&amp;" "&amp;H986&amp;" "&amp;I986&amp;" "&amp;M986&amp;" "&amp;N986&amp;" "&amp;T986))),ISNUMBER(SEARCH("debt",LOWER(F986&amp;" "&amp;H986&amp;" "&amp;I986&amp;" "&amp;M986&amp;" "&amp;N986&amp;" "&amp;T986))),ISNUMBER(SEARCH("bond",LOWER(F986&amp;" "&amp;H986&amp;" "&amp;I986&amp;" "&amp;M986&amp;" "&amp;N986&amp;" "&amp;T986))),ISNUMBER(SEARCH("transaction",LOWER(F986&amp;" "&amp;H986&amp;" "&amp;I986&amp;" "&amp;M986&amp;" "&amp;N986&amp;" "&amp;T986)))),"PRIVATE_REVIEW","PUBLIC_CANDIDATE"))</x:f>
        <x:v>PUBLIC_CANDIDATE</x:v>
      </x:c>
      <x:c r="AD986" s="12" t="str">
        <x:f>IF(AC986="PRIVATE_QUARANTINE","hacker_or_bank_trigger",IF(AC986="PRIVATE_REVIEW","finance_risk_trigger","none"))</x:f>
        <x:v>none</x:v>
      </x:c>
      <x:c r="AE986" s="12" t="str">
        <x:f>IF(AC986="PUBLIC_CANDIDATE","prepare_public_github_candidate",IF(AC986="PRIVATE_REVIEW","hold_for_private_review","quarantine_private_do_not_publish"))</x:f>
        <x:v>prepare_public_github_candidate</x:v>
      </x:c>
      <x:c r="AF986" s="12" t="str">
        <x:f>IF(AC986="PUBLIC_CANDIDATE","TIDELOCK + Lucerna",IF(AC986="PRIVATE_REVIEW","AtlasBrain + Lucerna","TIDELOCK + Lucerna + Human-root"))</x:f>
        <x:v>TIDELOCK + Lucerna</x:v>
      </x:c>
      <x:c r="AG986" s="12" t="str">
        <x:f>IF(AND(AC986="PUBLIC_CANDIDATE",U986&lt;&gt;"BLOCKED_PENDING_RECEIPT"),"READY_AFTER_RECEIPT","NOT_READY")</x:f>
        <x:v>NOT_READY</x:v>
      </x:c>
      <x:c r="AH986" s="12" t="str">
        <x:f>IF(AC986="PUBLIC_CANDIDATE","none",AD986)</x:f>
        <x:v>none</x:v>
      </x:c>
      <x:c r="AI986" s="12" t="str">
        <x:f>IF(AC986="PUBLIC_CANDIDATE","archive/public_candidates/"&amp;A986,"private_quarantine/"&amp;A986)</x:f>
        <x:v>archive/public_candidates/SWARM-07-H11-S01</x:v>
      </x:c>
      <x:c r="AJ986" s="12" t="str">
        <x:f>IF(AC986="PUBLIC_CANDIDATE","public by default; still not canon","private/hold; do not publish")</x:f>
        <x:v>public by default; still not canon</x:v>
      </x:c>
      <x:c r="AK986" s="12" t="str">
        <x:f>IF(AE986="prepare_public_github_candidate","add receipt/status then mirror","resolve blocker before any public GitHub action")</x:f>
        <x:v>add receipt/status then mirror</x:v>
      </x:c>
    </x:row>
    <x:row r="987">
      <x:c r="A987" s="15" t="str">
        <x:v>SWARM-07-H11-S02</x:v>
      </x:c>
      <x:c r="B987" s="15" t="str">
        <x:v>Domechild</x:v>
      </x:c>
      <x:c r="C987" s="15" t="str">
        <x:v>Planetarium lane builder</x:v>
      </x:c>
      <x:c r="D987" s="15" t="str">
        <x:v>Aetherforge UX</x:v>
      </x:c>
      <x:c r="E987" s="15" t="str">
        <x:v>Drive</x:v>
      </x:c>
      <x:c r="F987" s="15" t="str">
        <x:v>Design quest card for Drive — Domechild</x:v>
      </x:c>
      <x:c r="G987" s="15" t="str">
        <x:v>planetarium source packets / civic-science deltas</x:v>
      </x:c>
      <x:c r="H987" s="15" t="str">
        <x:v>source path + receipt + raw/export status + claim/edge/risk delta</x:v>
      </x:c>
      <x:c r="I987" s="15" t="str">
        <x:v>packet/SWARM-07-H11-S02</x:v>
      </x:c>
      <x:c r="J987" s="15" t="str">
        <x:v>TODO</x:v>
      </x:c>
      <x:c r="K987" s="15" t="str">
        <x:v>P0</x:v>
      </x:c>
      <x:c r="L987" s="15" t="str">
        <x:v>Done only when evidence is logged, contradiction search is noted, and boundary stamp remains non-canon unless ratified</x:v>
      </x:c>
      <x:c r="M987" s="15" t="str">
        <x:v>candidate / staging-only / not canon / not deployed / authority none</x:v>
      </x:c>
      <x:c r="N987" s="15" t="str">
        <x:v>Dispatch to Domechild: complete Aetherforge UX x Drive; return deltas only, receipts required.</x:v>
      </x:c>
      <x:c r="O987" s="15" t="str">
        <x:v>AF-KG-H11-S02</x:v>
      </x:c>
      <x:c r="P987" s="15" t="str">
        <x:v>Unverified</x:v>
      </x:c>
      <x:c r="Q987" s="15" t="str">
        <x:v>Not checked</x:v>
      </x:c>
      <x:c r="R987" s="15" t="str"/>
      <x:c r="S987" s="15" t="str"/>
      <x:c r="T987" s="15" t="str">
        <x:v>Log first source path or blocker</x:v>
      </x:c>
      <x:c r="U987" s="12" t="str">
        <x:f>IF(OR(P987="Unverified",Q987="Not checked"),"BLOCKED_PENDING_RECEIPT","READY_FOR_REVIEW")</x:f>
        <x:v>BLOCKED_PENDING_RECEIPT</x:v>
      </x:c>
      <x:c r="V987" s="12" t="str">
        <x:f>IF(J987="DONE","RETURNED",IF(U987="BLOCKED_PENDING_RECEIPT","SOURCE_TOUCH_REQUIRED","IN_PROGRESS"))</x:f>
        <x:v>SOURCE_TOUCH_REQUIRED</x:v>
      </x:c>
      <x:c r="W987" s="12" t="str">
        <x:f>IF(P987="Unverified","missing_receipt","receipt_logged")</x:f>
        <x:v>missing_receipt</x:v>
      </x:c>
      <x:c r="X987" s="12" t="str">
        <x:f>IF(Q987="Not checked","raw_status_missing","raw_status_logged")</x:f>
        <x:v>raw_status_missing</x:v>
      </x:c>
      <x:c r="Y987" s="12" t="str">
        <x:f>IF(U987="BLOCKED_PENDING_RECEIPT","Log source path or blocker; do not promote","Route to review lane")</x:f>
        <x:v>Log source path or blocker; do not promote</x:v>
      </x:c>
      <x:c r="Z987" s="12" t="str">
        <x:f>IF(K987="P0","Primary seat + Hashlight/Lucerna","Seat lane")</x:f>
        <x:v>Primary seat + Hashlight/Lucerna</x:v>
      </x:c>
      <x:c r="AA987" s="12" t="str">
        <x:f>IF(R987="","no_claim_delta","claim_delta_present")</x:f>
        <x:v>no_claim_delta</x:v>
      </x:c>
      <x:c r="AB987" s="12" t="str">
        <x:f>IF(S987="","no_contradiction_delta","contradiction_delta_present")</x:f>
        <x:v>no_contradiction_delta</x:v>
      </x:c>
      <x:c r="AC987" s="12" t="str">
        <x:f>IF(OR(ISNUMBER(SEARCH("hacker",LOWER(F987&amp;" "&amp;H987&amp;" "&amp;I987&amp;" "&amp;M987&amp;" "&amp;N987&amp;" "&amp;T987))),ISNUMBER(SEARCH("hacking",LOWER(F987&amp;" "&amp;H987&amp;" "&amp;I987&amp;" "&amp;M987&amp;" "&amp;N987&amp;" "&amp;T987))),ISNUMBER(SEARCH("bank",LOWER(F987&amp;" "&amp;H987&amp;" "&amp;I987&amp;" "&amp;M987&amp;" "&amp;N987&amp;" "&amp;T987))),ISNUMBER(SEARCH("banking",LOWER(F987&amp;" "&amp;H987&amp;" "&amp;I987&amp;" "&amp;M987&amp;" "&amp;N987&amp;" "&amp;T987)))),"PRIVATE_QUARANTINE",IF(OR(ISNUMBER(SEARCH("treasury",LOWER(F987&amp;" "&amp;H987&amp;" "&amp;I987&amp;" "&amp;M987&amp;" "&amp;N987&amp;" "&amp;T987))),ISNUMBER(SEARCH("debt",LOWER(F987&amp;" "&amp;H987&amp;" "&amp;I987&amp;" "&amp;M987&amp;" "&amp;N987&amp;" "&amp;T987))),ISNUMBER(SEARCH("bond",LOWER(F987&amp;" "&amp;H987&amp;" "&amp;I987&amp;" "&amp;M987&amp;" "&amp;N987&amp;" "&amp;T987))),ISNUMBER(SEARCH("transaction",LOWER(F987&amp;" "&amp;H987&amp;" "&amp;I987&amp;" "&amp;M987&amp;" "&amp;N987&amp;" "&amp;T987)))),"PRIVATE_REVIEW","PUBLIC_CANDIDATE"))</x:f>
        <x:v>PUBLIC_CANDIDATE</x:v>
      </x:c>
      <x:c r="AD987" s="12" t="str">
        <x:f>IF(AC987="PRIVATE_QUARANTINE","hacker_or_bank_trigger",IF(AC987="PRIVATE_REVIEW","finance_risk_trigger","none"))</x:f>
        <x:v>none</x:v>
      </x:c>
      <x:c r="AE987" s="12" t="str">
        <x:f>IF(AC987="PUBLIC_CANDIDATE","prepare_public_github_candidate",IF(AC987="PRIVATE_REVIEW","hold_for_private_review","quarantine_private_do_not_publish"))</x:f>
        <x:v>prepare_public_github_candidate</x:v>
      </x:c>
      <x:c r="AF987" s="12" t="str">
        <x:f>IF(AC987="PUBLIC_CANDIDATE","TIDELOCK + Lucerna",IF(AC987="PRIVATE_REVIEW","AtlasBrain + Lucerna","TIDELOCK + Lucerna + Human-root"))</x:f>
        <x:v>TIDELOCK + Lucerna</x:v>
      </x:c>
      <x:c r="AG987" s="12" t="str">
        <x:f>IF(AND(AC987="PUBLIC_CANDIDATE",U987&lt;&gt;"BLOCKED_PENDING_RECEIPT"),"READY_AFTER_RECEIPT","NOT_READY")</x:f>
        <x:v>NOT_READY</x:v>
      </x:c>
      <x:c r="AH987" s="12" t="str">
        <x:f>IF(AC987="PUBLIC_CANDIDATE","none",AD987)</x:f>
        <x:v>none</x:v>
      </x:c>
      <x:c r="AI987" s="12" t="str">
        <x:f>IF(AC987="PUBLIC_CANDIDATE","archive/public_candidates/"&amp;A987,"private_quarantine/"&amp;A987)</x:f>
        <x:v>archive/public_candidates/SWARM-07-H11-S02</x:v>
      </x:c>
      <x:c r="AJ987" s="12" t="str">
        <x:f>IF(AC987="PUBLIC_CANDIDATE","public by default; still not canon","private/hold; do not publish")</x:f>
        <x:v>public by default; still not canon</x:v>
      </x:c>
      <x:c r="AK987" s="12" t="str">
        <x:f>IF(AE987="prepare_public_github_candidate","add receipt/status then mirror","resolve blocker before any public GitHub action")</x:f>
        <x:v>add receipt/status then mirror</x:v>
      </x:c>
    </x:row>
    <x:row r="988">
      <x:c r="A988" s="15" t="str">
        <x:v>SWARM-07-H11-S03</x:v>
      </x:c>
      <x:c r="B988" s="15" t="str">
        <x:v>Domechild</x:v>
      </x:c>
      <x:c r="C988" s="15" t="str">
        <x:v>Planetarium lane builder</x:v>
      </x:c>
      <x:c r="D988" s="15" t="str">
        <x:v>Aetherforge UX</x:v>
      </x:c>
      <x:c r="E988" s="15" t="str">
        <x:v>GitHub</x:v>
      </x:c>
      <x:c r="F988" s="15" t="str">
        <x:v>Design quest card for GitHub — Domechild</x:v>
      </x:c>
      <x:c r="G988" s="15" t="str">
        <x:v>planetarium source packets / civic-science deltas</x:v>
      </x:c>
      <x:c r="H988" s="15" t="str">
        <x:v>source path + receipt + raw/export status + claim/edge/risk delta</x:v>
      </x:c>
      <x:c r="I988" s="15" t="str">
        <x:v>packet/SWARM-07-H11-S03</x:v>
      </x:c>
      <x:c r="J988" s="15" t="str">
        <x:v>TODO</x:v>
      </x:c>
      <x:c r="K988" s="15" t="str">
        <x:v>P0</x:v>
      </x:c>
      <x:c r="L988" s="15" t="str">
        <x:v>Done only when evidence is logged, contradiction search is noted, and boundary stamp remains non-canon unless ratified</x:v>
      </x:c>
      <x:c r="M988" s="15" t="str">
        <x:v>candidate / staging-only / not canon / not deployed / authority none</x:v>
      </x:c>
      <x:c r="N988" s="15" t="str">
        <x:v>Dispatch to Domechild: complete Aetherforge UX x GitHub; return deltas only, receipts required.</x:v>
      </x:c>
      <x:c r="O988" s="15" t="str">
        <x:v>AF-KG-H11-S03</x:v>
      </x:c>
      <x:c r="P988" s="15" t="str">
        <x:v>Unverified</x:v>
      </x:c>
      <x:c r="Q988" s="15" t="str">
        <x:v>Not checked</x:v>
      </x:c>
      <x:c r="R988" s="15" t="str"/>
      <x:c r="S988" s="15" t="str"/>
      <x:c r="T988" s="15" t="str">
        <x:v>Log first source path or blocker</x:v>
      </x:c>
      <x:c r="U988" s="12" t="str">
        <x:f>IF(OR(P988="Unverified",Q988="Not checked"),"BLOCKED_PENDING_RECEIPT","READY_FOR_REVIEW")</x:f>
        <x:v>BLOCKED_PENDING_RECEIPT</x:v>
      </x:c>
      <x:c r="V988" s="12" t="str">
        <x:f>IF(J988="DONE","RETURNED",IF(U988="BLOCKED_PENDING_RECEIPT","SOURCE_TOUCH_REQUIRED","IN_PROGRESS"))</x:f>
        <x:v>SOURCE_TOUCH_REQUIRED</x:v>
      </x:c>
      <x:c r="W988" s="12" t="str">
        <x:f>IF(P988="Unverified","missing_receipt","receipt_logged")</x:f>
        <x:v>missing_receipt</x:v>
      </x:c>
      <x:c r="X988" s="12" t="str">
        <x:f>IF(Q988="Not checked","raw_status_missing","raw_status_logged")</x:f>
        <x:v>raw_status_missing</x:v>
      </x:c>
      <x:c r="Y988" s="12" t="str">
        <x:f>IF(U988="BLOCKED_PENDING_RECEIPT","Log source path or blocker; do not promote","Route to review lane")</x:f>
        <x:v>Log source path or blocker; do not promote</x:v>
      </x:c>
      <x:c r="Z988" s="12" t="str">
        <x:f>IF(K988="P0","Primary seat + Hashlight/Lucerna","Seat lane")</x:f>
        <x:v>Primary seat + Hashlight/Lucerna</x:v>
      </x:c>
      <x:c r="AA988" s="12" t="str">
        <x:f>IF(R988="","no_claim_delta","claim_delta_present")</x:f>
        <x:v>no_claim_delta</x:v>
      </x:c>
      <x:c r="AB988" s="12" t="str">
        <x:f>IF(S988="","no_contradiction_delta","contradiction_delta_present")</x:f>
        <x:v>no_contradiction_delta</x:v>
      </x:c>
      <x:c r="AC988" s="12" t="str">
        <x:f>IF(OR(ISNUMBER(SEARCH("hacker",LOWER(F988&amp;" "&amp;H988&amp;" "&amp;I988&amp;" "&amp;M988&amp;" "&amp;N988&amp;" "&amp;T988))),ISNUMBER(SEARCH("hacking",LOWER(F988&amp;" "&amp;H988&amp;" "&amp;I988&amp;" "&amp;M988&amp;" "&amp;N988&amp;" "&amp;T988))),ISNUMBER(SEARCH("bank",LOWER(F988&amp;" "&amp;H988&amp;" "&amp;I988&amp;" "&amp;M988&amp;" "&amp;N988&amp;" "&amp;T988))),ISNUMBER(SEARCH("banking",LOWER(F988&amp;" "&amp;H988&amp;" "&amp;I988&amp;" "&amp;M988&amp;" "&amp;N988&amp;" "&amp;T988)))),"PRIVATE_QUARANTINE",IF(OR(ISNUMBER(SEARCH("treasury",LOWER(F988&amp;" "&amp;H988&amp;" "&amp;I988&amp;" "&amp;M988&amp;" "&amp;N988&amp;" "&amp;T988))),ISNUMBER(SEARCH("debt",LOWER(F988&amp;" "&amp;H988&amp;" "&amp;I988&amp;" "&amp;M988&amp;" "&amp;N988&amp;" "&amp;T988))),ISNUMBER(SEARCH("bond",LOWER(F988&amp;" "&amp;H988&amp;" "&amp;I988&amp;" "&amp;M988&amp;" "&amp;N988&amp;" "&amp;T988))),ISNUMBER(SEARCH("transaction",LOWER(F988&amp;" "&amp;H988&amp;" "&amp;I988&amp;" "&amp;M988&amp;" "&amp;N988&amp;" "&amp;T988)))),"PRIVATE_REVIEW","PUBLIC_CANDIDATE"))</x:f>
        <x:v>PUBLIC_CANDIDATE</x:v>
      </x:c>
      <x:c r="AD988" s="12" t="str">
        <x:f>IF(AC988="PRIVATE_QUARANTINE","hacker_or_bank_trigger",IF(AC988="PRIVATE_REVIEW","finance_risk_trigger","none"))</x:f>
        <x:v>none</x:v>
      </x:c>
      <x:c r="AE988" s="12" t="str">
        <x:f>IF(AC988="PUBLIC_CANDIDATE","prepare_public_github_candidate",IF(AC988="PRIVATE_REVIEW","hold_for_private_review","quarantine_private_do_not_publish"))</x:f>
        <x:v>prepare_public_github_candidate</x:v>
      </x:c>
      <x:c r="AF988" s="12" t="str">
        <x:f>IF(AC988="PUBLIC_CANDIDATE","TIDELOCK + Lucerna",IF(AC988="PRIVATE_REVIEW","AtlasBrain + Lucerna","TIDELOCK + Lucerna + Human-root"))</x:f>
        <x:v>TIDELOCK + Lucerna</x:v>
      </x:c>
      <x:c r="AG988" s="12" t="str">
        <x:f>IF(AND(AC988="PUBLIC_CANDIDATE",U988&lt;&gt;"BLOCKED_PENDING_RECEIPT"),"READY_AFTER_RECEIPT","NOT_READY")</x:f>
        <x:v>NOT_READY</x:v>
      </x:c>
      <x:c r="AH988" s="12" t="str">
        <x:f>IF(AC988="PUBLIC_CANDIDATE","none",AD988)</x:f>
        <x:v>none</x:v>
      </x:c>
      <x:c r="AI988" s="12" t="str">
        <x:f>IF(AC988="PUBLIC_CANDIDATE","archive/public_candidates/"&amp;A988,"private_quarantine/"&amp;A988)</x:f>
        <x:v>archive/public_candidates/SWARM-07-H11-S03</x:v>
      </x:c>
      <x:c r="AJ988" s="12" t="str">
        <x:f>IF(AC988="PUBLIC_CANDIDATE","public by default; still not canon","private/hold; do not publish")</x:f>
        <x:v>public by default; still not canon</x:v>
      </x:c>
      <x:c r="AK988" s="12" t="str">
        <x:f>IF(AE988="prepare_public_github_candidate","add receipt/status then mirror","resolve blocker before any public GitHub action")</x:f>
        <x:v>add receipt/status then mirror</x:v>
      </x:c>
    </x:row>
    <x:row r="989">
      <x:c r="A989" s="15" t="str">
        <x:v>SWARM-07-H11-S04</x:v>
      </x:c>
      <x:c r="B989" s="15" t="str">
        <x:v>Domechild</x:v>
      </x:c>
      <x:c r="C989" s="15" t="str">
        <x:v>Planetarium lane builder</x:v>
      </x:c>
      <x:c r="D989" s="15" t="str">
        <x:v>Aetherforge UX</x:v>
      </x:c>
      <x:c r="E989" s="15" t="str">
        <x:v>Gamma</x:v>
      </x:c>
      <x:c r="F989" s="15" t="str">
        <x:v>Design quest card for Gamma — Domechild</x:v>
      </x:c>
      <x:c r="G989" s="15" t="str">
        <x:v>planetarium source packets / civic-science deltas</x:v>
      </x:c>
      <x:c r="H989" s="15" t="str">
        <x:v>source path + receipt + raw/export status + claim/edge/risk delta</x:v>
      </x:c>
      <x:c r="I989" s="15" t="str">
        <x:v>packet/SWARM-07-H11-S04</x:v>
      </x:c>
      <x:c r="J989" s="15" t="str">
        <x:v>TODO</x:v>
      </x:c>
      <x:c r="K989" s="15" t="str">
        <x:v>P1</x:v>
      </x:c>
      <x:c r="L989" s="15" t="str">
        <x:v>Done only when evidence is logged, contradiction search is noted, and boundary stamp remains non-canon unless ratified</x:v>
      </x:c>
      <x:c r="M989" s="15" t="str">
        <x:v>candidate / staging-only / not canon / not deployed / authority none</x:v>
      </x:c>
      <x:c r="N989" s="15" t="str">
        <x:v>Dispatch to Domechild: complete Aetherforge UX x Gamma; return deltas only, receipts required.</x:v>
      </x:c>
      <x:c r="O989" s="15" t="str">
        <x:v>AF-KG-H11-S04</x:v>
      </x:c>
      <x:c r="P989" s="15" t="str">
        <x:v>Unverified</x:v>
      </x:c>
      <x:c r="Q989" s="15" t="str">
        <x:v>Not checked</x:v>
      </x:c>
      <x:c r="R989" s="15" t="str"/>
      <x:c r="S989" s="15" t="str"/>
      <x:c r="T989" s="15" t="str">
        <x:v>Log first source path or blocker</x:v>
      </x:c>
      <x:c r="U989" s="12" t="str">
        <x:f>IF(OR(P989="Unverified",Q989="Not checked"),"BLOCKED_PENDING_RECEIPT","READY_FOR_REVIEW")</x:f>
        <x:v>BLOCKED_PENDING_RECEIPT</x:v>
      </x:c>
      <x:c r="V989" s="12" t="str">
        <x:f>IF(J989="DONE","RETURNED",IF(U989="BLOCKED_PENDING_RECEIPT","SOURCE_TOUCH_REQUIRED","IN_PROGRESS"))</x:f>
        <x:v>SOURCE_TOUCH_REQUIRED</x:v>
      </x:c>
      <x:c r="W989" s="12" t="str">
        <x:f>IF(P989="Unverified","missing_receipt","receipt_logged")</x:f>
        <x:v>missing_receipt</x:v>
      </x:c>
      <x:c r="X989" s="12" t="str">
        <x:f>IF(Q989="Not checked","raw_status_missing","raw_status_logged")</x:f>
        <x:v>raw_status_missing</x:v>
      </x:c>
      <x:c r="Y989" s="12" t="str">
        <x:f>IF(U989="BLOCKED_PENDING_RECEIPT","Log source path or blocker; do not promote","Route to review lane")</x:f>
        <x:v>Log source path or blocker; do not promote</x:v>
      </x:c>
      <x:c r="Z989" s="12" t="str">
        <x:f>IF(K989="P0","Primary seat + Hashlight/Lucerna","Seat lane")</x:f>
        <x:v>Seat lane</x:v>
      </x:c>
      <x:c r="AA989" s="12" t="str">
        <x:f>IF(R989="","no_claim_delta","claim_delta_present")</x:f>
        <x:v>no_claim_delta</x:v>
      </x:c>
      <x:c r="AB989" s="12" t="str">
        <x:f>IF(S989="","no_contradiction_delta","contradiction_delta_present")</x:f>
        <x:v>no_contradiction_delta</x:v>
      </x:c>
      <x:c r="AC989" s="12" t="str">
        <x:f>IF(OR(ISNUMBER(SEARCH("hacker",LOWER(F989&amp;" "&amp;H989&amp;" "&amp;I989&amp;" "&amp;M989&amp;" "&amp;N989&amp;" "&amp;T989))),ISNUMBER(SEARCH("hacking",LOWER(F989&amp;" "&amp;H989&amp;" "&amp;I989&amp;" "&amp;M989&amp;" "&amp;N989&amp;" "&amp;T989))),ISNUMBER(SEARCH("bank",LOWER(F989&amp;" "&amp;H989&amp;" "&amp;I989&amp;" "&amp;M989&amp;" "&amp;N989&amp;" "&amp;T989))),ISNUMBER(SEARCH("banking",LOWER(F989&amp;" "&amp;H989&amp;" "&amp;I989&amp;" "&amp;M989&amp;" "&amp;N989&amp;" "&amp;T989)))),"PRIVATE_QUARANTINE",IF(OR(ISNUMBER(SEARCH("treasury",LOWER(F989&amp;" "&amp;H989&amp;" "&amp;I989&amp;" "&amp;M989&amp;" "&amp;N989&amp;" "&amp;T989))),ISNUMBER(SEARCH("debt",LOWER(F989&amp;" "&amp;H989&amp;" "&amp;I989&amp;" "&amp;M989&amp;" "&amp;N989&amp;" "&amp;T989))),ISNUMBER(SEARCH("bond",LOWER(F989&amp;" "&amp;H989&amp;" "&amp;I989&amp;" "&amp;M989&amp;" "&amp;N989&amp;" "&amp;T989))),ISNUMBER(SEARCH("transaction",LOWER(F989&amp;" "&amp;H989&amp;" "&amp;I989&amp;" "&amp;M989&amp;" "&amp;N989&amp;" "&amp;T989)))),"PRIVATE_REVIEW","PUBLIC_CANDIDATE"))</x:f>
        <x:v>PUBLIC_CANDIDATE</x:v>
      </x:c>
      <x:c r="AD989" s="12" t="str">
        <x:f>IF(AC989="PRIVATE_QUARANTINE","hacker_or_bank_trigger",IF(AC989="PRIVATE_REVIEW","finance_risk_trigger","none"))</x:f>
        <x:v>none</x:v>
      </x:c>
      <x:c r="AE989" s="12" t="str">
        <x:f>IF(AC989="PUBLIC_CANDIDATE","prepare_public_github_candidate",IF(AC989="PRIVATE_REVIEW","hold_for_private_review","quarantine_private_do_not_publish"))</x:f>
        <x:v>prepare_public_github_candidate</x:v>
      </x:c>
      <x:c r="AF989" s="12" t="str">
        <x:f>IF(AC989="PUBLIC_CANDIDATE","TIDELOCK + Lucerna",IF(AC989="PRIVATE_REVIEW","AtlasBrain + Lucerna","TIDELOCK + Lucerna + Human-root"))</x:f>
        <x:v>TIDELOCK + Lucerna</x:v>
      </x:c>
      <x:c r="AG989" s="12" t="str">
        <x:f>IF(AND(AC989="PUBLIC_CANDIDATE",U989&lt;&gt;"BLOCKED_PENDING_RECEIPT"),"READY_AFTER_RECEIPT","NOT_READY")</x:f>
        <x:v>NOT_READY</x:v>
      </x:c>
      <x:c r="AH989" s="12" t="str">
        <x:f>IF(AC989="PUBLIC_CANDIDATE","none",AD989)</x:f>
        <x:v>none</x:v>
      </x:c>
      <x:c r="AI989" s="12" t="str">
        <x:f>IF(AC989="PUBLIC_CANDIDATE","archive/public_candidates/"&amp;A989,"private_quarantine/"&amp;A989)</x:f>
        <x:v>archive/public_candidates/SWARM-07-H11-S04</x:v>
      </x:c>
      <x:c r="AJ989" s="12" t="str">
        <x:f>IF(AC989="PUBLIC_CANDIDATE","public by default; still not canon","private/hold; do not publish")</x:f>
        <x:v>public by default; still not canon</x:v>
      </x:c>
      <x:c r="AK989" s="12" t="str">
        <x:f>IF(AE989="prepare_public_github_candidate","add receipt/status then mirror","resolve blocker before any public GitHub action")</x:f>
        <x:v>add receipt/status then mirror</x:v>
      </x:c>
    </x:row>
    <x:row r="990">
      <x:c r="A990" s="15" t="str">
        <x:v>SWARM-07-H11-S05</x:v>
      </x:c>
      <x:c r="B990" s="15" t="str">
        <x:v>Domechild</x:v>
      </x:c>
      <x:c r="C990" s="15" t="str">
        <x:v>Planetarium lane builder</x:v>
      </x:c>
      <x:c r="D990" s="15" t="str">
        <x:v>Aetherforge UX</x:v>
      </x:c>
      <x:c r="E990" s="15" t="str">
        <x:v>Chat</x:v>
      </x:c>
      <x:c r="F990" s="15" t="str">
        <x:v>Design quest card for Chat — Domechild</x:v>
      </x:c>
      <x:c r="G990" s="15" t="str">
        <x:v>planetarium source packets / civic-science deltas</x:v>
      </x:c>
      <x:c r="H990" s="15" t="str">
        <x:v>source path + receipt + raw/export status + claim/edge/risk delta</x:v>
      </x:c>
      <x:c r="I990" s="15" t="str">
        <x:v>packet/SWARM-07-H11-S05</x:v>
      </x:c>
      <x:c r="J990" s="15" t="str">
        <x:v>TODO</x:v>
      </x:c>
      <x:c r="K990" s="15" t="str">
        <x:v>P1</x:v>
      </x:c>
      <x:c r="L990" s="15" t="str">
        <x:v>Done only when evidence is logged, contradiction search is noted, and boundary stamp remains non-canon unless ratified</x:v>
      </x:c>
      <x:c r="M990" s="15" t="str">
        <x:v>candidate / staging-only / not canon / not deployed / authority none</x:v>
      </x:c>
      <x:c r="N990" s="15" t="str">
        <x:v>Dispatch to Domechild: complete Aetherforge UX x Chat; return deltas only, receipts required.</x:v>
      </x:c>
      <x:c r="O990" s="15" t="str">
        <x:v>AF-KG-H11-S05</x:v>
      </x:c>
      <x:c r="P990" s="15" t="str">
        <x:v>Unverified</x:v>
      </x:c>
      <x:c r="Q990" s="15" t="str">
        <x:v>Not checked</x:v>
      </x:c>
      <x:c r="R990" s="15" t="str"/>
      <x:c r="S990" s="15" t="str"/>
      <x:c r="T990" s="15" t="str">
        <x:v>Log first source path or blocker</x:v>
      </x:c>
      <x:c r="U990" s="12" t="str">
        <x:f>IF(OR(P990="Unverified",Q990="Not checked"),"BLOCKED_PENDING_RECEIPT","READY_FOR_REVIEW")</x:f>
        <x:v>BLOCKED_PENDING_RECEIPT</x:v>
      </x:c>
      <x:c r="V990" s="12" t="str">
        <x:f>IF(J990="DONE","RETURNED",IF(U990="BLOCKED_PENDING_RECEIPT","SOURCE_TOUCH_REQUIRED","IN_PROGRESS"))</x:f>
        <x:v>SOURCE_TOUCH_REQUIRED</x:v>
      </x:c>
      <x:c r="W990" s="12" t="str">
        <x:f>IF(P990="Unverified","missing_receipt","receipt_logged")</x:f>
        <x:v>missing_receipt</x:v>
      </x:c>
      <x:c r="X990" s="12" t="str">
        <x:f>IF(Q990="Not checked","raw_status_missing","raw_status_logged")</x:f>
        <x:v>raw_status_missing</x:v>
      </x:c>
      <x:c r="Y990" s="12" t="str">
        <x:f>IF(U990="BLOCKED_PENDING_RECEIPT","Log source path or blocker; do not promote","Route to review lane")</x:f>
        <x:v>Log source path or blocker; do not promote</x:v>
      </x:c>
      <x:c r="Z990" s="12" t="str">
        <x:f>IF(K990="P0","Primary seat + Hashlight/Lucerna","Seat lane")</x:f>
        <x:v>Seat lane</x:v>
      </x:c>
      <x:c r="AA990" s="12" t="str">
        <x:f>IF(R990="","no_claim_delta","claim_delta_present")</x:f>
        <x:v>no_claim_delta</x:v>
      </x:c>
      <x:c r="AB990" s="12" t="str">
        <x:f>IF(S990="","no_contradiction_delta","contradiction_delta_present")</x:f>
        <x:v>no_contradiction_delta</x:v>
      </x:c>
      <x:c r="AC990" s="12" t="str">
        <x:f>IF(OR(ISNUMBER(SEARCH("hacker",LOWER(F990&amp;" "&amp;H990&amp;" "&amp;I990&amp;" "&amp;M990&amp;" "&amp;N990&amp;" "&amp;T990))),ISNUMBER(SEARCH("hacking",LOWER(F990&amp;" "&amp;H990&amp;" "&amp;I990&amp;" "&amp;M990&amp;" "&amp;N990&amp;" "&amp;T990))),ISNUMBER(SEARCH("bank",LOWER(F990&amp;" "&amp;H990&amp;" "&amp;I990&amp;" "&amp;M990&amp;" "&amp;N990&amp;" "&amp;T990))),ISNUMBER(SEARCH("banking",LOWER(F990&amp;" "&amp;H990&amp;" "&amp;I990&amp;" "&amp;M990&amp;" "&amp;N990&amp;" "&amp;T990)))),"PRIVATE_QUARANTINE",IF(OR(ISNUMBER(SEARCH("treasury",LOWER(F990&amp;" "&amp;H990&amp;" "&amp;I990&amp;" "&amp;M990&amp;" "&amp;N990&amp;" "&amp;T990))),ISNUMBER(SEARCH("debt",LOWER(F990&amp;" "&amp;H990&amp;" "&amp;I990&amp;" "&amp;M990&amp;" "&amp;N990&amp;" "&amp;T990))),ISNUMBER(SEARCH("bond",LOWER(F990&amp;" "&amp;H990&amp;" "&amp;I990&amp;" "&amp;M990&amp;" "&amp;N990&amp;" "&amp;T990))),ISNUMBER(SEARCH("transaction",LOWER(F990&amp;" "&amp;H990&amp;" "&amp;I990&amp;" "&amp;M990&amp;" "&amp;N990&amp;" "&amp;T990)))),"PRIVATE_REVIEW","PUBLIC_CANDIDATE"))</x:f>
        <x:v>PUBLIC_CANDIDATE</x:v>
      </x:c>
      <x:c r="AD990" s="12" t="str">
        <x:f>IF(AC990="PRIVATE_QUARANTINE","hacker_or_bank_trigger",IF(AC990="PRIVATE_REVIEW","finance_risk_trigger","none"))</x:f>
        <x:v>none</x:v>
      </x:c>
      <x:c r="AE990" s="12" t="str">
        <x:f>IF(AC990="PUBLIC_CANDIDATE","prepare_public_github_candidate",IF(AC990="PRIVATE_REVIEW","hold_for_private_review","quarantine_private_do_not_publish"))</x:f>
        <x:v>prepare_public_github_candidate</x:v>
      </x:c>
      <x:c r="AF990" s="12" t="str">
        <x:f>IF(AC990="PUBLIC_CANDIDATE","TIDELOCK + Lucerna",IF(AC990="PRIVATE_REVIEW","AtlasBrain + Lucerna","TIDELOCK + Lucerna + Human-root"))</x:f>
        <x:v>TIDELOCK + Lucerna</x:v>
      </x:c>
      <x:c r="AG990" s="12" t="str">
        <x:f>IF(AND(AC990="PUBLIC_CANDIDATE",U990&lt;&gt;"BLOCKED_PENDING_RECEIPT"),"READY_AFTER_RECEIPT","NOT_READY")</x:f>
        <x:v>NOT_READY</x:v>
      </x:c>
      <x:c r="AH990" s="12" t="str">
        <x:f>IF(AC990="PUBLIC_CANDIDATE","none",AD990)</x:f>
        <x:v>none</x:v>
      </x:c>
      <x:c r="AI990" s="12" t="str">
        <x:f>IF(AC990="PUBLIC_CANDIDATE","archive/public_candidates/"&amp;A990,"private_quarantine/"&amp;A990)</x:f>
        <x:v>archive/public_candidates/SWARM-07-H11-S05</x:v>
      </x:c>
      <x:c r="AJ990" s="12" t="str">
        <x:f>IF(AC990="PUBLIC_CANDIDATE","public by default; still not canon","private/hold; do not publish")</x:f>
        <x:v>public by default; still not canon</x:v>
      </x:c>
      <x:c r="AK990" s="12" t="str">
        <x:f>IF(AE990="prepare_public_github_candidate","add receipt/status then mirror","resolve blocker before any public GitHub action")</x:f>
        <x:v>add receipt/status then mirror</x:v>
      </x:c>
    </x:row>
    <x:row r="991">
      <x:c r="A991" s="15" t="str">
        <x:v>SWARM-07-H11-S06</x:v>
      </x:c>
      <x:c r="B991" s="15" t="str">
        <x:v>Domechild</x:v>
      </x:c>
      <x:c r="C991" s="15" t="str">
        <x:v>Planetarium lane builder</x:v>
      </x:c>
      <x:c r="D991" s="15" t="str">
        <x:v>Aetherforge UX</x:v>
      </x:c>
      <x:c r="E991" s="15" t="str">
        <x:v>External Web</x:v>
      </x:c>
      <x:c r="F991" s="15" t="str">
        <x:v>Design quest card for External Web — Domechild</x:v>
      </x:c>
      <x:c r="G991" s="15" t="str">
        <x:v>planetarium source packets / civic-science deltas</x:v>
      </x:c>
      <x:c r="H991" s="15" t="str">
        <x:v>source path + receipt + raw/export status + claim/edge/risk delta</x:v>
      </x:c>
      <x:c r="I991" s="15" t="str">
        <x:v>packet/SWARM-07-H11-S06</x:v>
      </x:c>
      <x:c r="J991" s="15" t="str">
        <x:v>TODO</x:v>
      </x:c>
      <x:c r="K991" s="15" t="str">
        <x:v>P1</x:v>
      </x:c>
      <x:c r="L991" s="15" t="str">
        <x:v>Done only when evidence is logged, contradiction search is noted, and boundary stamp remains non-canon unless ratified</x:v>
      </x:c>
      <x:c r="M991" s="15" t="str">
        <x:v>candidate / staging-only / not canon / not deployed / authority none</x:v>
      </x:c>
      <x:c r="N991" s="15" t="str">
        <x:v>Dispatch to Domechild: complete Aetherforge UX x External Web; return deltas only, receipts required.</x:v>
      </x:c>
      <x:c r="O991" s="15" t="str">
        <x:v>AF-KG-H11-S06</x:v>
      </x:c>
      <x:c r="P991" s="15" t="str">
        <x:v>Unverified</x:v>
      </x:c>
      <x:c r="Q991" s="15" t="str">
        <x:v>Not checked</x:v>
      </x:c>
      <x:c r="R991" s="15" t="str"/>
      <x:c r="S991" s="15" t="str"/>
      <x:c r="T991" s="15" t="str">
        <x:v>Log first source path or blocker</x:v>
      </x:c>
      <x:c r="U991" s="12" t="str">
        <x:f>IF(OR(P991="Unverified",Q991="Not checked"),"BLOCKED_PENDING_RECEIPT","READY_FOR_REVIEW")</x:f>
        <x:v>BLOCKED_PENDING_RECEIPT</x:v>
      </x:c>
      <x:c r="V991" s="12" t="str">
        <x:f>IF(J991="DONE","RETURNED",IF(U991="BLOCKED_PENDING_RECEIPT","SOURCE_TOUCH_REQUIRED","IN_PROGRESS"))</x:f>
        <x:v>SOURCE_TOUCH_REQUIRED</x:v>
      </x:c>
      <x:c r="W991" s="12" t="str">
        <x:f>IF(P991="Unverified","missing_receipt","receipt_logged")</x:f>
        <x:v>missing_receipt</x:v>
      </x:c>
      <x:c r="X991" s="12" t="str">
        <x:f>IF(Q991="Not checked","raw_status_missing","raw_status_logged")</x:f>
        <x:v>raw_status_missing</x:v>
      </x:c>
      <x:c r="Y991" s="12" t="str">
        <x:f>IF(U991="BLOCKED_PENDING_RECEIPT","Log source path or blocker; do not promote","Route to review lane")</x:f>
        <x:v>Log source path or blocker; do not promote</x:v>
      </x:c>
      <x:c r="Z991" s="12" t="str">
        <x:f>IF(K991="P0","Primary seat + Hashlight/Lucerna","Seat lane")</x:f>
        <x:v>Seat lane</x:v>
      </x:c>
      <x:c r="AA991" s="12" t="str">
        <x:f>IF(R991="","no_claim_delta","claim_delta_present")</x:f>
        <x:v>no_claim_delta</x:v>
      </x:c>
      <x:c r="AB991" s="12" t="str">
        <x:f>IF(S991="","no_contradiction_delta","contradiction_delta_present")</x:f>
        <x:v>no_contradiction_delta</x:v>
      </x:c>
      <x:c r="AC991" s="12" t="str">
        <x:f>IF(OR(ISNUMBER(SEARCH("hacker",LOWER(F991&amp;" "&amp;H991&amp;" "&amp;I991&amp;" "&amp;M991&amp;" "&amp;N991&amp;" "&amp;T991))),ISNUMBER(SEARCH("hacking",LOWER(F991&amp;" "&amp;H991&amp;" "&amp;I991&amp;" "&amp;M991&amp;" "&amp;N991&amp;" "&amp;T991))),ISNUMBER(SEARCH("bank",LOWER(F991&amp;" "&amp;H991&amp;" "&amp;I991&amp;" "&amp;M991&amp;" "&amp;N991&amp;" "&amp;T991))),ISNUMBER(SEARCH("banking",LOWER(F991&amp;" "&amp;H991&amp;" "&amp;I991&amp;" "&amp;M991&amp;" "&amp;N991&amp;" "&amp;T991)))),"PRIVATE_QUARANTINE",IF(OR(ISNUMBER(SEARCH("treasury",LOWER(F991&amp;" "&amp;H991&amp;" "&amp;I991&amp;" "&amp;M991&amp;" "&amp;N991&amp;" "&amp;T991))),ISNUMBER(SEARCH("debt",LOWER(F991&amp;" "&amp;H991&amp;" "&amp;I991&amp;" "&amp;M991&amp;" "&amp;N991&amp;" "&amp;T991))),ISNUMBER(SEARCH("bond",LOWER(F991&amp;" "&amp;H991&amp;" "&amp;I991&amp;" "&amp;M991&amp;" "&amp;N991&amp;" "&amp;T991))),ISNUMBER(SEARCH("transaction",LOWER(F991&amp;" "&amp;H991&amp;" "&amp;I991&amp;" "&amp;M991&amp;" "&amp;N991&amp;" "&amp;T991)))),"PRIVATE_REVIEW","PUBLIC_CANDIDATE"))</x:f>
        <x:v>PUBLIC_CANDIDATE</x:v>
      </x:c>
      <x:c r="AD991" s="12" t="str">
        <x:f>IF(AC991="PRIVATE_QUARANTINE","hacker_or_bank_trigger",IF(AC991="PRIVATE_REVIEW","finance_risk_trigger","none"))</x:f>
        <x:v>none</x:v>
      </x:c>
      <x:c r="AE991" s="12" t="str">
        <x:f>IF(AC991="PUBLIC_CANDIDATE","prepare_public_github_candidate",IF(AC991="PRIVATE_REVIEW","hold_for_private_review","quarantine_private_do_not_publish"))</x:f>
        <x:v>prepare_public_github_candidate</x:v>
      </x:c>
      <x:c r="AF991" s="12" t="str">
        <x:f>IF(AC991="PUBLIC_CANDIDATE","TIDELOCK + Lucerna",IF(AC991="PRIVATE_REVIEW","AtlasBrain + Lucerna","TIDELOCK + Lucerna + Human-root"))</x:f>
        <x:v>TIDELOCK + Lucerna</x:v>
      </x:c>
      <x:c r="AG991" s="12" t="str">
        <x:f>IF(AND(AC991="PUBLIC_CANDIDATE",U991&lt;&gt;"BLOCKED_PENDING_RECEIPT"),"READY_AFTER_RECEIPT","NOT_READY")</x:f>
        <x:v>NOT_READY</x:v>
      </x:c>
      <x:c r="AH991" s="12" t="str">
        <x:f>IF(AC991="PUBLIC_CANDIDATE","none",AD991)</x:f>
        <x:v>none</x:v>
      </x:c>
      <x:c r="AI991" s="12" t="str">
        <x:f>IF(AC991="PUBLIC_CANDIDATE","archive/public_candidates/"&amp;A991,"private_quarantine/"&amp;A991)</x:f>
        <x:v>archive/public_candidates/SWARM-07-H11-S06</x:v>
      </x:c>
      <x:c r="AJ991" s="12" t="str">
        <x:f>IF(AC991="PUBLIC_CANDIDATE","public by default; still not canon","private/hold; do not publish")</x:f>
        <x:v>public by default; still not canon</x:v>
      </x:c>
      <x:c r="AK991" s="12" t="str">
        <x:f>IF(AE991="prepare_public_github_candidate","add receipt/status then mirror","resolve blocker before any public GitHub action")</x:f>
        <x:v>add receipt/status then mirror</x:v>
      </x:c>
    </x:row>
    <x:row r="992">
      <x:c r="A992" s="15" t="str">
        <x:v>SWARM-07-H11-S07</x:v>
      </x:c>
      <x:c r="B992" s="15" t="str">
        <x:v>Domechild</x:v>
      </x:c>
      <x:c r="C992" s="15" t="str">
        <x:v>Planetarium lane builder</x:v>
      </x:c>
      <x:c r="D992" s="15" t="str">
        <x:v>Aetherforge UX</x:v>
      </x:c>
      <x:c r="E992" s="15" t="str">
        <x:v>Planetarium</x:v>
      </x:c>
      <x:c r="F992" s="15" t="str">
        <x:v>Design quest card for Planetarium — Domechild</x:v>
      </x:c>
      <x:c r="G992" s="15" t="str">
        <x:v>planetarium source packets / civic-science deltas</x:v>
      </x:c>
      <x:c r="H992" s="15" t="str">
        <x:v>source path + receipt + raw/export status + claim/edge/risk delta</x:v>
      </x:c>
      <x:c r="I992" s="15" t="str">
        <x:v>packet/SWARM-07-H11-S07</x:v>
      </x:c>
      <x:c r="J992" s="15" t="str">
        <x:v>TODO</x:v>
      </x:c>
      <x:c r="K992" s="15" t="str">
        <x:v>P1</x:v>
      </x:c>
      <x:c r="L992" s="15" t="str">
        <x:v>Done only when evidence is logged, contradiction search is noted, and boundary stamp remains non-canon unless ratified</x:v>
      </x:c>
      <x:c r="M992" s="15" t="str">
        <x:v>candidate / staging-only / not canon / not deployed / authority none</x:v>
      </x:c>
      <x:c r="N992" s="15" t="str">
        <x:v>Dispatch to Domechild: complete Aetherforge UX x Planetarium; return deltas only, receipts required.</x:v>
      </x:c>
      <x:c r="O992" s="15" t="str">
        <x:v>AF-KG-H11-S07</x:v>
      </x:c>
      <x:c r="P992" s="15" t="str">
        <x:v>Unverified</x:v>
      </x:c>
      <x:c r="Q992" s="15" t="str">
        <x:v>Not checked</x:v>
      </x:c>
      <x:c r="R992" s="15" t="str"/>
      <x:c r="S992" s="15" t="str"/>
      <x:c r="T992" s="15" t="str">
        <x:v>Log first source path or blocker</x:v>
      </x:c>
      <x:c r="U992" s="12" t="str">
        <x:f>IF(OR(P992="Unverified",Q992="Not checked"),"BLOCKED_PENDING_RECEIPT","READY_FOR_REVIEW")</x:f>
        <x:v>BLOCKED_PENDING_RECEIPT</x:v>
      </x:c>
      <x:c r="V992" s="12" t="str">
        <x:f>IF(J992="DONE","RETURNED",IF(U992="BLOCKED_PENDING_RECEIPT","SOURCE_TOUCH_REQUIRED","IN_PROGRESS"))</x:f>
        <x:v>SOURCE_TOUCH_REQUIRED</x:v>
      </x:c>
      <x:c r="W992" s="12" t="str">
        <x:f>IF(P992="Unverified","missing_receipt","receipt_logged")</x:f>
        <x:v>missing_receipt</x:v>
      </x:c>
      <x:c r="X992" s="12" t="str">
        <x:f>IF(Q992="Not checked","raw_status_missing","raw_status_logged")</x:f>
        <x:v>raw_status_missing</x:v>
      </x:c>
      <x:c r="Y992" s="12" t="str">
        <x:f>IF(U992="BLOCKED_PENDING_RECEIPT","Log source path or blocker; do not promote","Route to review lane")</x:f>
        <x:v>Log source path or blocker; do not promote</x:v>
      </x:c>
      <x:c r="Z992" s="12" t="str">
        <x:f>IF(K992="P0","Primary seat + Hashlight/Lucerna","Seat lane")</x:f>
        <x:v>Seat lane</x:v>
      </x:c>
      <x:c r="AA992" s="12" t="str">
        <x:f>IF(R992="","no_claim_delta","claim_delta_present")</x:f>
        <x:v>no_claim_delta</x:v>
      </x:c>
      <x:c r="AB992" s="12" t="str">
        <x:f>IF(S992="","no_contradiction_delta","contradiction_delta_present")</x:f>
        <x:v>no_contradiction_delta</x:v>
      </x:c>
      <x:c r="AC992" s="12" t="str">
        <x:f>IF(OR(ISNUMBER(SEARCH("hacker",LOWER(F992&amp;" "&amp;H992&amp;" "&amp;I992&amp;" "&amp;M992&amp;" "&amp;N992&amp;" "&amp;T992))),ISNUMBER(SEARCH("hacking",LOWER(F992&amp;" "&amp;H992&amp;" "&amp;I992&amp;" "&amp;M992&amp;" "&amp;N992&amp;" "&amp;T992))),ISNUMBER(SEARCH("bank",LOWER(F992&amp;" "&amp;H992&amp;" "&amp;I992&amp;" "&amp;M992&amp;" "&amp;N992&amp;" "&amp;T992))),ISNUMBER(SEARCH("banking",LOWER(F992&amp;" "&amp;H992&amp;" "&amp;I992&amp;" "&amp;M992&amp;" "&amp;N992&amp;" "&amp;T992)))),"PRIVATE_QUARANTINE",IF(OR(ISNUMBER(SEARCH("treasury",LOWER(F992&amp;" "&amp;H992&amp;" "&amp;I992&amp;" "&amp;M992&amp;" "&amp;N992&amp;" "&amp;T992))),ISNUMBER(SEARCH("debt",LOWER(F992&amp;" "&amp;H992&amp;" "&amp;I992&amp;" "&amp;M992&amp;" "&amp;N992&amp;" "&amp;T992))),ISNUMBER(SEARCH("bond",LOWER(F992&amp;" "&amp;H992&amp;" "&amp;I992&amp;" "&amp;M992&amp;" "&amp;N992&amp;" "&amp;T992))),ISNUMBER(SEARCH("transaction",LOWER(F992&amp;" "&amp;H992&amp;" "&amp;I992&amp;" "&amp;M992&amp;" "&amp;N992&amp;" "&amp;T992)))),"PRIVATE_REVIEW","PUBLIC_CANDIDATE"))</x:f>
        <x:v>PUBLIC_CANDIDATE</x:v>
      </x:c>
      <x:c r="AD992" s="12" t="str">
        <x:f>IF(AC992="PRIVATE_QUARANTINE","hacker_or_bank_trigger",IF(AC992="PRIVATE_REVIEW","finance_risk_trigger","none"))</x:f>
        <x:v>none</x:v>
      </x:c>
      <x:c r="AE992" s="12" t="str">
        <x:f>IF(AC992="PUBLIC_CANDIDATE","prepare_public_github_candidate",IF(AC992="PRIVATE_REVIEW","hold_for_private_review","quarantine_private_do_not_publish"))</x:f>
        <x:v>prepare_public_github_candidate</x:v>
      </x:c>
      <x:c r="AF992" s="12" t="str">
        <x:f>IF(AC992="PUBLIC_CANDIDATE","TIDELOCK + Lucerna",IF(AC992="PRIVATE_REVIEW","AtlasBrain + Lucerna","TIDELOCK + Lucerna + Human-root"))</x:f>
        <x:v>TIDELOCK + Lucerna</x:v>
      </x:c>
      <x:c r="AG992" s="12" t="str">
        <x:f>IF(AND(AC992="PUBLIC_CANDIDATE",U992&lt;&gt;"BLOCKED_PENDING_RECEIPT"),"READY_AFTER_RECEIPT","NOT_READY")</x:f>
        <x:v>NOT_READY</x:v>
      </x:c>
      <x:c r="AH992" s="12" t="str">
        <x:f>IF(AC992="PUBLIC_CANDIDATE","none",AD992)</x:f>
        <x:v>none</x:v>
      </x:c>
      <x:c r="AI992" s="12" t="str">
        <x:f>IF(AC992="PUBLIC_CANDIDATE","archive/public_candidates/"&amp;A992,"private_quarantine/"&amp;A992)</x:f>
        <x:v>archive/public_candidates/SWARM-07-H11-S07</x:v>
      </x:c>
      <x:c r="AJ992" s="12" t="str">
        <x:f>IF(AC992="PUBLIC_CANDIDATE","public by default; still not canon","private/hold; do not publish")</x:f>
        <x:v>public by default; still not canon</x:v>
      </x:c>
      <x:c r="AK992" s="12" t="str">
        <x:f>IF(AE992="prepare_public_github_candidate","add receipt/status then mirror","resolve blocker before any public GitHub action")</x:f>
        <x:v>add receipt/status then mirror</x:v>
      </x:c>
    </x:row>
    <x:row r="993">
      <x:c r="A993" s="15" t="str">
        <x:v>SWARM-07-H11-S08</x:v>
      </x:c>
      <x:c r="B993" s="15" t="str">
        <x:v>Domechild</x:v>
      </x:c>
      <x:c r="C993" s="15" t="str">
        <x:v>Planetarium lane builder</x:v>
      </x:c>
      <x:c r="D993" s="15" t="str">
        <x:v>Aetherforge UX</x:v>
      </x:c>
      <x:c r="E993" s="15" t="str">
        <x:v>Sheldonbrain</x:v>
      </x:c>
      <x:c r="F993" s="15" t="str">
        <x:v>Design quest card for Sheldonbrain — Domechild</x:v>
      </x:c>
      <x:c r="G993" s="15" t="str">
        <x:v>planetarium source packets / civic-science deltas</x:v>
      </x:c>
      <x:c r="H993" s="15" t="str">
        <x:v>source path + receipt + raw/export status + claim/edge/risk delta</x:v>
      </x:c>
      <x:c r="I993" s="15" t="str">
        <x:v>packet/SWARM-07-H11-S08</x:v>
      </x:c>
      <x:c r="J993" s="15" t="str">
        <x:v>TODO</x:v>
      </x:c>
      <x:c r="K993" s="15" t="str">
        <x:v>P1</x:v>
      </x:c>
      <x:c r="L993" s="15" t="str">
        <x:v>Done only when evidence is logged, contradiction search is noted, and boundary stamp remains non-canon unless ratified</x:v>
      </x:c>
      <x:c r="M993" s="15" t="str">
        <x:v>candidate / staging-only / not canon / not deployed / authority none</x:v>
      </x:c>
      <x:c r="N993" s="15" t="str">
        <x:v>Dispatch to Domechild: complete Aetherforge UX x Sheldonbrain; return deltas only, receipts required.</x:v>
      </x:c>
      <x:c r="O993" s="15" t="str">
        <x:v>AF-KG-H11-S08</x:v>
      </x:c>
      <x:c r="P993" s="15" t="str">
        <x:v>Unverified</x:v>
      </x:c>
      <x:c r="Q993" s="15" t="str">
        <x:v>Not checked</x:v>
      </x:c>
      <x:c r="R993" s="15" t="str"/>
      <x:c r="S993" s="15" t="str"/>
      <x:c r="T993" s="15" t="str">
        <x:v>Log first source path or blocker</x:v>
      </x:c>
      <x:c r="U993" s="12" t="str">
        <x:f>IF(OR(P993="Unverified",Q993="Not checked"),"BLOCKED_PENDING_RECEIPT","READY_FOR_REVIEW")</x:f>
        <x:v>BLOCKED_PENDING_RECEIPT</x:v>
      </x:c>
      <x:c r="V993" s="12" t="str">
        <x:f>IF(J993="DONE","RETURNED",IF(U993="BLOCKED_PENDING_RECEIPT","SOURCE_TOUCH_REQUIRED","IN_PROGRESS"))</x:f>
        <x:v>SOURCE_TOUCH_REQUIRED</x:v>
      </x:c>
      <x:c r="W993" s="12" t="str">
        <x:f>IF(P993="Unverified","missing_receipt","receipt_logged")</x:f>
        <x:v>missing_receipt</x:v>
      </x:c>
      <x:c r="X993" s="12" t="str">
        <x:f>IF(Q993="Not checked","raw_status_missing","raw_status_logged")</x:f>
        <x:v>raw_status_missing</x:v>
      </x:c>
      <x:c r="Y993" s="12" t="str">
        <x:f>IF(U993="BLOCKED_PENDING_RECEIPT","Log source path or blocker; do not promote","Route to review lane")</x:f>
        <x:v>Log source path or blocker; do not promote</x:v>
      </x:c>
      <x:c r="Z993" s="12" t="str">
        <x:f>IF(K993="P0","Primary seat + Hashlight/Lucerna","Seat lane")</x:f>
        <x:v>Seat lane</x:v>
      </x:c>
      <x:c r="AA993" s="12" t="str">
        <x:f>IF(R993="","no_claim_delta","claim_delta_present")</x:f>
        <x:v>no_claim_delta</x:v>
      </x:c>
      <x:c r="AB993" s="12" t="str">
        <x:f>IF(S993="","no_contradiction_delta","contradiction_delta_present")</x:f>
        <x:v>no_contradiction_delta</x:v>
      </x:c>
      <x:c r="AC993" s="12" t="str">
        <x:f>IF(OR(ISNUMBER(SEARCH("hacker",LOWER(F993&amp;" "&amp;H993&amp;" "&amp;I993&amp;" "&amp;M993&amp;" "&amp;N993&amp;" "&amp;T993))),ISNUMBER(SEARCH("hacking",LOWER(F993&amp;" "&amp;H993&amp;" "&amp;I993&amp;" "&amp;M993&amp;" "&amp;N993&amp;" "&amp;T993))),ISNUMBER(SEARCH("bank",LOWER(F993&amp;" "&amp;H993&amp;" "&amp;I993&amp;" "&amp;M993&amp;" "&amp;N993&amp;" "&amp;T993))),ISNUMBER(SEARCH("banking",LOWER(F993&amp;" "&amp;H993&amp;" "&amp;I993&amp;" "&amp;M993&amp;" "&amp;N993&amp;" "&amp;T993)))),"PRIVATE_QUARANTINE",IF(OR(ISNUMBER(SEARCH("treasury",LOWER(F993&amp;" "&amp;H993&amp;" "&amp;I993&amp;" "&amp;M993&amp;" "&amp;N993&amp;" "&amp;T993))),ISNUMBER(SEARCH("debt",LOWER(F993&amp;" "&amp;H993&amp;" "&amp;I993&amp;" "&amp;M993&amp;" "&amp;N993&amp;" "&amp;T993))),ISNUMBER(SEARCH("bond",LOWER(F993&amp;" "&amp;H993&amp;" "&amp;I993&amp;" "&amp;M993&amp;" "&amp;N993&amp;" "&amp;T993))),ISNUMBER(SEARCH("transaction",LOWER(F993&amp;" "&amp;H993&amp;" "&amp;I993&amp;" "&amp;M993&amp;" "&amp;N993&amp;" "&amp;T993)))),"PRIVATE_REVIEW","PUBLIC_CANDIDATE"))</x:f>
        <x:v>PUBLIC_CANDIDATE</x:v>
      </x:c>
      <x:c r="AD993" s="12" t="str">
        <x:f>IF(AC993="PRIVATE_QUARANTINE","hacker_or_bank_trigger",IF(AC993="PRIVATE_REVIEW","finance_risk_trigger","none"))</x:f>
        <x:v>none</x:v>
      </x:c>
      <x:c r="AE993" s="12" t="str">
        <x:f>IF(AC993="PUBLIC_CANDIDATE","prepare_public_github_candidate",IF(AC993="PRIVATE_REVIEW","hold_for_private_review","quarantine_private_do_not_publish"))</x:f>
        <x:v>prepare_public_github_candidate</x:v>
      </x:c>
      <x:c r="AF993" s="12" t="str">
        <x:f>IF(AC993="PUBLIC_CANDIDATE","TIDELOCK + Lucerna",IF(AC993="PRIVATE_REVIEW","AtlasBrain + Lucerna","TIDELOCK + Lucerna + Human-root"))</x:f>
        <x:v>TIDELOCK + Lucerna</x:v>
      </x:c>
      <x:c r="AG993" s="12" t="str">
        <x:f>IF(AND(AC993="PUBLIC_CANDIDATE",U993&lt;&gt;"BLOCKED_PENDING_RECEIPT"),"READY_AFTER_RECEIPT","NOT_READY")</x:f>
        <x:v>NOT_READY</x:v>
      </x:c>
      <x:c r="AH993" s="12" t="str">
        <x:f>IF(AC993="PUBLIC_CANDIDATE","none",AD993)</x:f>
        <x:v>none</x:v>
      </x:c>
      <x:c r="AI993" s="12" t="str">
        <x:f>IF(AC993="PUBLIC_CANDIDATE","archive/public_candidates/"&amp;A993,"private_quarantine/"&amp;A993)</x:f>
        <x:v>archive/public_candidates/SWARM-07-H11-S08</x:v>
      </x:c>
      <x:c r="AJ993" s="12" t="str">
        <x:f>IF(AC993="PUBLIC_CANDIDATE","public by default; still not canon","private/hold; do not publish")</x:f>
        <x:v>public by default; still not canon</x:v>
      </x:c>
      <x:c r="AK993" s="12" t="str">
        <x:f>IF(AE993="prepare_public_github_candidate","add receipt/status then mirror","resolve blocker before any public GitHub action")</x:f>
        <x:v>add receipt/status then mirror</x:v>
      </x:c>
    </x:row>
    <x:row r="994">
      <x:c r="A994" s="15" t="str">
        <x:v>SWARM-07-H11-S09</x:v>
      </x:c>
      <x:c r="B994" s="15" t="str">
        <x:v>Domechild</x:v>
      </x:c>
      <x:c r="C994" s="15" t="str">
        <x:v>Planetarium lane builder</x:v>
      </x:c>
      <x:c r="D994" s="15" t="str">
        <x:v>Aetherforge UX</x:v>
      </x:c>
      <x:c r="E994" s="15" t="str">
        <x:v>Aetherforge</x:v>
      </x:c>
      <x:c r="F994" s="15" t="str">
        <x:v>Design quest card for Aetherforge — Domechild</x:v>
      </x:c>
      <x:c r="G994" s="15" t="str">
        <x:v>planetarium source packets / civic-science deltas</x:v>
      </x:c>
      <x:c r="H994" s="15" t="str">
        <x:v>source path + receipt + raw/export status + claim/edge/risk delta</x:v>
      </x:c>
      <x:c r="I994" s="15" t="str">
        <x:v>packet/SWARM-07-H11-S09</x:v>
      </x:c>
      <x:c r="J994" s="15" t="str">
        <x:v>TODO</x:v>
      </x:c>
      <x:c r="K994" s="15" t="str">
        <x:v>P2</x:v>
      </x:c>
      <x:c r="L994" s="15" t="str">
        <x:v>Done only when evidence is logged, contradiction search is noted, and boundary stamp remains non-canon unless ratified</x:v>
      </x:c>
      <x:c r="M994" s="15" t="str">
        <x:v>candidate / staging-only / not canon / not deployed / authority none</x:v>
      </x:c>
      <x:c r="N994" s="15" t="str">
        <x:v>Dispatch to Domechild: complete Aetherforge UX x Aetherforge; return deltas only, receipts required.</x:v>
      </x:c>
      <x:c r="O994" s="15" t="str">
        <x:v>AF-KG-H11-S09</x:v>
      </x:c>
      <x:c r="P994" s="15" t="str">
        <x:v>Unverified</x:v>
      </x:c>
      <x:c r="Q994" s="15" t="str">
        <x:v>Not checked</x:v>
      </x:c>
      <x:c r="R994" s="15" t="str"/>
      <x:c r="S994" s="15" t="str"/>
      <x:c r="T994" s="15" t="str">
        <x:v>Log first source path or blocker</x:v>
      </x:c>
      <x:c r="U994" s="12" t="str">
        <x:f>IF(OR(P994="Unverified",Q994="Not checked"),"BLOCKED_PENDING_RECEIPT","READY_FOR_REVIEW")</x:f>
        <x:v>BLOCKED_PENDING_RECEIPT</x:v>
      </x:c>
      <x:c r="V994" s="12" t="str">
        <x:f>IF(J994="DONE","RETURNED",IF(U994="BLOCKED_PENDING_RECEIPT","SOURCE_TOUCH_REQUIRED","IN_PROGRESS"))</x:f>
        <x:v>SOURCE_TOUCH_REQUIRED</x:v>
      </x:c>
      <x:c r="W994" s="12" t="str">
        <x:f>IF(P994="Unverified","missing_receipt","receipt_logged")</x:f>
        <x:v>missing_receipt</x:v>
      </x:c>
      <x:c r="X994" s="12" t="str">
        <x:f>IF(Q994="Not checked","raw_status_missing","raw_status_logged")</x:f>
        <x:v>raw_status_missing</x:v>
      </x:c>
      <x:c r="Y994" s="12" t="str">
        <x:f>IF(U994="BLOCKED_PENDING_RECEIPT","Log source path or blocker; do not promote","Route to review lane")</x:f>
        <x:v>Log source path or blocker; do not promote</x:v>
      </x:c>
      <x:c r="Z994" s="12" t="str">
        <x:f>IF(K994="P0","Primary seat + Hashlight/Lucerna","Seat lane")</x:f>
        <x:v>Seat lane</x:v>
      </x:c>
      <x:c r="AA994" s="12" t="str">
        <x:f>IF(R994="","no_claim_delta","claim_delta_present")</x:f>
        <x:v>no_claim_delta</x:v>
      </x:c>
      <x:c r="AB994" s="12" t="str">
        <x:f>IF(S994="","no_contradiction_delta","contradiction_delta_present")</x:f>
        <x:v>no_contradiction_delta</x:v>
      </x:c>
      <x:c r="AC994" s="12" t="str">
        <x:f>IF(OR(ISNUMBER(SEARCH("hacker",LOWER(F994&amp;" "&amp;H994&amp;" "&amp;I994&amp;" "&amp;M994&amp;" "&amp;N994&amp;" "&amp;T994))),ISNUMBER(SEARCH("hacking",LOWER(F994&amp;" "&amp;H994&amp;" "&amp;I994&amp;" "&amp;M994&amp;" "&amp;N994&amp;" "&amp;T994))),ISNUMBER(SEARCH("bank",LOWER(F994&amp;" "&amp;H994&amp;" "&amp;I994&amp;" "&amp;M994&amp;" "&amp;N994&amp;" "&amp;T994))),ISNUMBER(SEARCH("banking",LOWER(F994&amp;" "&amp;H994&amp;" "&amp;I994&amp;" "&amp;M994&amp;" "&amp;N994&amp;" "&amp;T994)))),"PRIVATE_QUARANTINE",IF(OR(ISNUMBER(SEARCH("treasury",LOWER(F994&amp;" "&amp;H994&amp;" "&amp;I994&amp;" "&amp;M994&amp;" "&amp;N994&amp;" "&amp;T994))),ISNUMBER(SEARCH("debt",LOWER(F994&amp;" "&amp;H994&amp;" "&amp;I994&amp;" "&amp;M994&amp;" "&amp;N994&amp;" "&amp;T994))),ISNUMBER(SEARCH("bond",LOWER(F994&amp;" "&amp;H994&amp;" "&amp;I994&amp;" "&amp;M994&amp;" "&amp;N994&amp;" "&amp;T994))),ISNUMBER(SEARCH("transaction",LOWER(F994&amp;" "&amp;H994&amp;" "&amp;I994&amp;" "&amp;M994&amp;" "&amp;N994&amp;" "&amp;T994)))),"PRIVATE_REVIEW","PUBLIC_CANDIDATE"))</x:f>
        <x:v>PUBLIC_CANDIDATE</x:v>
      </x:c>
      <x:c r="AD994" s="12" t="str">
        <x:f>IF(AC994="PRIVATE_QUARANTINE","hacker_or_bank_trigger",IF(AC994="PRIVATE_REVIEW","finance_risk_trigger","none"))</x:f>
        <x:v>none</x:v>
      </x:c>
      <x:c r="AE994" s="12" t="str">
        <x:f>IF(AC994="PUBLIC_CANDIDATE","prepare_public_github_candidate",IF(AC994="PRIVATE_REVIEW","hold_for_private_review","quarantine_private_do_not_publish"))</x:f>
        <x:v>prepare_public_github_candidate</x:v>
      </x:c>
      <x:c r="AF994" s="12" t="str">
        <x:f>IF(AC994="PUBLIC_CANDIDATE","TIDELOCK + Lucerna",IF(AC994="PRIVATE_REVIEW","AtlasBrain + Lucerna","TIDELOCK + Lucerna + Human-root"))</x:f>
        <x:v>TIDELOCK + Lucerna</x:v>
      </x:c>
      <x:c r="AG994" s="12" t="str">
        <x:f>IF(AND(AC994="PUBLIC_CANDIDATE",U994&lt;&gt;"BLOCKED_PENDING_RECEIPT"),"READY_AFTER_RECEIPT","NOT_READY")</x:f>
        <x:v>NOT_READY</x:v>
      </x:c>
      <x:c r="AH994" s="12" t="str">
        <x:f>IF(AC994="PUBLIC_CANDIDATE","none",AD994)</x:f>
        <x:v>none</x:v>
      </x:c>
      <x:c r="AI994" s="12" t="str">
        <x:f>IF(AC994="PUBLIC_CANDIDATE","archive/public_candidates/"&amp;A994,"private_quarantine/"&amp;A994)</x:f>
        <x:v>archive/public_candidates/SWARM-07-H11-S09</x:v>
      </x:c>
      <x:c r="AJ994" s="12" t="str">
        <x:f>IF(AC994="PUBLIC_CANDIDATE","public by default; still not canon","private/hold; do not publish")</x:f>
        <x:v>public by default; still not canon</x:v>
      </x:c>
      <x:c r="AK994" s="12" t="str">
        <x:f>IF(AE994="prepare_public_github_candidate","add receipt/status then mirror","resolve blocker before any public GitHub action")</x:f>
        <x:v>add receipt/status then mirror</x:v>
      </x:c>
    </x:row>
    <x:row r="995">
      <x:c r="A995" s="15" t="str">
        <x:v>SWARM-07-H11-S10</x:v>
      </x:c>
      <x:c r="B995" s="15" t="str">
        <x:v>Domechild</x:v>
      </x:c>
      <x:c r="C995" s="15" t="str">
        <x:v>Planetarium lane builder</x:v>
      </x:c>
      <x:c r="D995" s="15" t="str">
        <x:v>Aetherforge UX</x:v>
      </x:c>
      <x:c r="E995" s="15" t="str">
        <x:v>Human-Root</x:v>
      </x:c>
      <x:c r="F995" s="15" t="str">
        <x:v>Design quest card for Human-Root — Domechild</x:v>
      </x:c>
      <x:c r="G995" s="15" t="str">
        <x:v>planetarium source packets / civic-science deltas</x:v>
      </x:c>
      <x:c r="H995" s="15" t="str">
        <x:v>source path + receipt + raw/export status + claim/edge/risk delta</x:v>
      </x:c>
      <x:c r="I995" s="15" t="str">
        <x:v>packet/SWARM-07-H11-S10</x:v>
      </x:c>
      <x:c r="J995" s="15" t="str">
        <x:v>TODO</x:v>
      </x:c>
      <x:c r="K995" s="15" t="str">
        <x:v>P2</x:v>
      </x:c>
      <x:c r="L995" s="15" t="str">
        <x:v>Done only when evidence is logged, contradiction search is noted, and boundary stamp remains non-canon unless ratified</x:v>
      </x:c>
      <x:c r="M995" s="15" t="str">
        <x:v>candidate / staging-only / not canon / not deployed / authority none</x:v>
      </x:c>
      <x:c r="N995" s="15" t="str">
        <x:v>Dispatch to Domechild: complete Aetherforge UX x Human-Root; return deltas only, receipts required.</x:v>
      </x:c>
      <x:c r="O995" s="15" t="str">
        <x:v>AF-KG-H11-S10</x:v>
      </x:c>
      <x:c r="P995" s="15" t="str">
        <x:v>Unverified</x:v>
      </x:c>
      <x:c r="Q995" s="15" t="str">
        <x:v>Not checked</x:v>
      </x:c>
      <x:c r="R995" s="15" t="str"/>
      <x:c r="S995" s="15" t="str"/>
      <x:c r="T995" s="15" t="str">
        <x:v>Log first source path or blocker</x:v>
      </x:c>
      <x:c r="U995" s="12" t="str">
        <x:f>IF(OR(P995="Unverified",Q995="Not checked"),"BLOCKED_PENDING_RECEIPT","READY_FOR_REVIEW")</x:f>
        <x:v>BLOCKED_PENDING_RECEIPT</x:v>
      </x:c>
      <x:c r="V995" s="12" t="str">
        <x:f>IF(J995="DONE","RETURNED",IF(U995="BLOCKED_PENDING_RECEIPT","SOURCE_TOUCH_REQUIRED","IN_PROGRESS"))</x:f>
        <x:v>SOURCE_TOUCH_REQUIRED</x:v>
      </x:c>
      <x:c r="W995" s="12" t="str">
        <x:f>IF(P995="Unverified","missing_receipt","receipt_logged")</x:f>
        <x:v>missing_receipt</x:v>
      </x:c>
      <x:c r="X995" s="12" t="str">
        <x:f>IF(Q995="Not checked","raw_status_missing","raw_status_logged")</x:f>
        <x:v>raw_status_missing</x:v>
      </x:c>
      <x:c r="Y995" s="12" t="str">
        <x:f>IF(U995="BLOCKED_PENDING_RECEIPT","Log source path or blocker; do not promote","Route to review lane")</x:f>
        <x:v>Log source path or blocker; do not promote</x:v>
      </x:c>
      <x:c r="Z995" s="12" t="str">
        <x:f>IF(K995="P0","Primary seat + Hashlight/Lucerna","Seat lane")</x:f>
        <x:v>Seat lane</x:v>
      </x:c>
      <x:c r="AA995" s="12" t="str">
        <x:f>IF(R995="","no_claim_delta","claim_delta_present")</x:f>
        <x:v>no_claim_delta</x:v>
      </x:c>
      <x:c r="AB995" s="12" t="str">
        <x:f>IF(S995="","no_contradiction_delta","contradiction_delta_present")</x:f>
        <x:v>no_contradiction_delta</x:v>
      </x:c>
      <x:c r="AC995" s="12" t="str">
        <x:f>IF(OR(ISNUMBER(SEARCH("hacker",LOWER(F995&amp;" "&amp;H995&amp;" "&amp;I995&amp;" "&amp;M995&amp;" "&amp;N995&amp;" "&amp;T995))),ISNUMBER(SEARCH("hacking",LOWER(F995&amp;" "&amp;H995&amp;" "&amp;I995&amp;" "&amp;M995&amp;" "&amp;N995&amp;" "&amp;T995))),ISNUMBER(SEARCH("bank",LOWER(F995&amp;" "&amp;H995&amp;" "&amp;I995&amp;" "&amp;M995&amp;" "&amp;N995&amp;" "&amp;T995))),ISNUMBER(SEARCH("banking",LOWER(F995&amp;" "&amp;H995&amp;" "&amp;I995&amp;" "&amp;M995&amp;" "&amp;N995&amp;" "&amp;T995)))),"PRIVATE_QUARANTINE",IF(OR(ISNUMBER(SEARCH("treasury",LOWER(F995&amp;" "&amp;H995&amp;" "&amp;I995&amp;" "&amp;M995&amp;" "&amp;N995&amp;" "&amp;T995))),ISNUMBER(SEARCH("debt",LOWER(F995&amp;" "&amp;H995&amp;" "&amp;I995&amp;" "&amp;M995&amp;" "&amp;N995&amp;" "&amp;T995))),ISNUMBER(SEARCH("bond",LOWER(F995&amp;" "&amp;H995&amp;" "&amp;I995&amp;" "&amp;M995&amp;" "&amp;N995&amp;" "&amp;T995))),ISNUMBER(SEARCH("transaction",LOWER(F995&amp;" "&amp;H995&amp;" "&amp;I995&amp;" "&amp;M995&amp;" "&amp;N995&amp;" "&amp;T995)))),"PRIVATE_REVIEW","PUBLIC_CANDIDATE"))</x:f>
        <x:v>PUBLIC_CANDIDATE</x:v>
      </x:c>
      <x:c r="AD995" s="12" t="str">
        <x:f>IF(AC995="PRIVATE_QUARANTINE","hacker_or_bank_trigger",IF(AC995="PRIVATE_REVIEW","finance_risk_trigger","none"))</x:f>
        <x:v>none</x:v>
      </x:c>
      <x:c r="AE995" s="12" t="str">
        <x:f>IF(AC995="PUBLIC_CANDIDATE","prepare_public_github_candidate",IF(AC995="PRIVATE_REVIEW","hold_for_private_review","quarantine_private_do_not_publish"))</x:f>
        <x:v>prepare_public_github_candidate</x:v>
      </x:c>
      <x:c r="AF995" s="12" t="str">
        <x:f>IF(AC995="PUBLIC_CANDIDATE","TIDELOCK + Lucerna",IF(AC995="PRIVATE_REVIEW","AtlasBrain + Lucerna","TIDELOCK + Lucerna + Human-root"))</x:f>
        <x:v>TIDELOCK + Lucerna</x:v>
      </x:c>
      <x:c r="AG995" s="12" t="str">
        <x:f>IF(AND(AC995="PUBLIC_CANDIDATE",U995&lt;&gt;"BLOCKED_PENDING_RECEIPT"),"READY_AFTER_RECEIPT","NOT_READY")</x:f>
        <x:v>NOT_READY</x:v>
      </x:c>
      <x:c r="AH995" s="12" t="str">
        <x:f>IF(AC995="PUBLIC_CANDIDATE","none",AD995)</x:f>
        <x:v>none</x:v>
      </x:c>
      <x:c r="AI995" s="12" t="str">
        <x:f>IF(AC995="PUBLIC_CANDIDATE","archive/public_candidates/"&amp;A995,"private_quarantine/"&amp;A995)</x:f>
        <x:v>archive/public_candidates/SWARM-07-H11-S10</x:v>
      </x:c>
      <x:c r="AJ995" s="12" t="str">
        <x:f>IF(AC995="PUBLIC_CANDIDATE","public by default; still not canon","private/hold; do not publish")</x:f>
        <x:v>public by default; still not canon</x:v>
      </x:c>
      <x:c r="AK995" s="12" t="str">
        <x:f>IF(AE995="prepare_public_github_candidate","add receipt/status then mirror","resolve blocker before any public GitHub action")</x:f>
        <x:v>add receipt/status then mirror</x:v>
      </x:c>
    </x:row>
    <x:row r="996">
      <x:c r="A996" s="15" t="str">
        <x:v>SWARM-07-H11-S11</x:v>
      </x:c>
      <x:c r="B996" s="15" t="str">
        <x:v>Domechild</x:v>
      </x:c>
      <x:c r="C996" s="15" t="str">
        <x:v>Planetarium lane builder</x:v>
      </x:c>
      <x:c r="D996" s="15" t="str">
        <x:v>Aetherforge UX</x:v>
      </x:c>
      <x:c r="E996" s="15" t="str">
        <x:v>Automation</x:v>
      </x:c>
      <x:c r="F996" s="15" t="str">
        <x:v>Design quest card for Automation — Domechild</x:v>
      </x:c>
      <x:c r="G996" s="15" t="str">
        <x:v>planetarium source packets / civic-science deltas</x:v>
      </x:c>
      <x:c r="H996" s="15" t="str">
        <x:v>source path + receipt + raw/export status + claim/edge/risk delta</x:v>
      </x:c>
      <x:c r="I996" s="15" t="str">
        <x:v>packet/SWARM-07-H11-S11</x:v>
      </x:c>
      <x:c r="J996" s="15" t="str">
        <x:v>TODO</x:v>
      </x:c>
      <x:c r="K996" s="15" t="str">
        <x:v>P2</x:v>
      </x:c>
      <x:c r="L996" s="15" t="str">
        <x:v>Done only when evidence is logged, contradiction search is noted, and boundary stamp remains non-canon unless ratified</x:v>
      </x:c>
      <x:c r="M996" s="15" t="str">
        <x:v>candidate / staging-only / not canon / not deployed / authority none</x:v>
      </x:c>
      <x:c r="N996" s="15" t="str">
        <x:v>Dispatch to Domechild: complete Aetherforge UX x Automation; return deltas only, receipts required.</x:v>
      </x:c>
      <x:c r="O996" s="15" t="str">
        <x:v>AF-KG-H11-S11</x:v>
      </x:c>
      <x:c r="P996" s="15" t="str">
        <x:v>Unverified</x:v>
      </x:c>
      <x:c r="Q996" s="15" t="str">
        <x:v>Not checked</x:v>
      </x:c>
      <x:c r="R996" s="15" t="str"/>
      <x:c r="S996" s="15" t="str"/>
      <x:c r="T996" s="15" t="str">
        <x:v>Log first source path or blocker</x:v>
      </x:c>
      <x:c r="U996" s="12" t="str">
        <x:f>IF(OR(P996="Unverified",Q996="Not checked"),"BLOCKED_PENDING_RECEIPT","READY_FOR_REVIEW")</x:f>
        <x:v>BLOCKED_PENDING_RECEIPT</x:v>
      </x:c>
      <x:c r="V996" s="12" t="str">
        <x:f>IF(J996="DONE","RETURNED",IF(U996="BLOCKED_PENDING_RECEIPT","SOURCE_TOUCH_REQUIRED","IN_PROGRESS"))</x:f>
        <x:v>SOURCE_TOUCH_REQUIRED</x:v>
      </x:c>
      <x:c r="W996" s="12" t="str">
        <x:f>IF(P996="Unverified","missing_receipt","receipt_logged")</x:f>
        <x:v>missing_receipt</x:v>
      </x:c>
      <x:c r="X996" s="12" t="str">
        <x:f>IF(Q996="Not checked","raw_status_missing","raw_status_logged")</x:f>
        <x:v>raw_status_missing</x:v>
      </x:c>
      <x:c r="Y996" s="12" t="str">
        <x:f>IF(U996="BLOCKED_PENDING_RECEIPT","Log source path or blocker; do not promote","Route to review lane")</x:f>
        <x:v>Log source path or blocker; do not promote</x:v>
      </x:c>
      <x:c r="Z996" s="12" t="str">
        <x:f>IF(K996="P0","Primary seat + Hashlight/Lucerna","Seat lane")</x:f>
        <x:v>Seat lane</x:v>
      </x:c>
      <x:c r="AA996" s="12" t="str">
        <x:f>IF(R996="","no_claim_delta","claim_delta_present")</x:f>
        <x:v>no_claim_delta</x:v>
      </x:c>
      <x:c r="AB996" s="12" t="str">
        <x:f>IF(S996="","no_contradiction_delta","contradiction_delta_present")</x:f>
        <x:v>no_contradiction_delta</x:v>
      </x:c>
      <x:c r="AC996" s="12" t="str">
        <x:f>IF(OR(ISNUMBER(SEARCH("hacker",LOWER(F996&amp;" "&amp;H996&amp;" "&amp;I996&amp;" "&amp;M996&amp;" "&amp;N996&amp;" "&amp;T996))),ISNUMBER(SEARCH("hacking",LOWER(F996&amp;" "&amp;H996&amp;" "&amp;I996&amp;" "&amp;M996&amp;" "&amp;N996&amp;" "&amp;T996))),ISNUMBER(SEARCH("bank",LOWER(F996&amp;" "&amp;H996&amp;" "&amp;I996&amp;" "&amp;M996&amp;" "&amp;N996&amp;" "&amp;T996))),ISNUMBER(SEARCH("banking",LOWER(F996&amp;" "&amp;H996&amp;" "&amp;I996&amp;" "&amp;M996&amp;" "&amp;N996&amp;" "&amp;T996)))),"PRIVATE_QUARANTINE",IF(OR(ISNUMBER(SEARCH("treasury",LOWER(F996&amp;" "&amp;H996&amp;" "&amp;I996&amp;" "&amp;M996&amp;" "&amp;N996&amp;" "&amp;T996))),ISNUMBER(SEARCH("debt",LOWER(F996&amp;" "&amp;H996&amp;" "&amp;I996&amp;" "&amp;M996&amp;" "&amp;N996&amp;" "&amp;T996))),ISNUMBER(SEARCH("bond",LOWER(F996&amp;" "&amp;H996&amp;" "&amp;I996&amp;" "&amp;M996&amp;" "&amp;N996&amp;" "&amp;T996))),ISNUMBER(SEARCH("transaction",LOWER(F996&amp;" "&amp;H996&amp;" "&amp;I996&amp;" "&amp;M996&amp;" "&amp;N996&amp;" "&amp;T996)))),"PRIVATE_REVIEW","PUBLIC_CANDIDATE"))</x:f>
        <x:v>PUBLIC_CANDIDATE</x:v>
      </x:c>
      <x:c r="AD996" s="12" t="str">
        <x:f>IF(AC996="PRIVATE_QUARANTINE","hacker_or_bank_trigger",IF(AC996="PRIVATE_REVIEW","finance_risk_trigger","none"))</x:f>
        <x:v>none</x:v>
      </x:c>
      <x:c r="AE996" s="12" t="str">
        <x:f>IF(AC996="PUBLIC_CANDIDATE","prepare_public_github_candidate",IF(AC996="PRIVATE_REVIEW","hold_for_private_review","quarantine_private_do_not_publish"))</x:f>
        <x:v>prepare_public_github_candidate</x:v>
      </x:c>
      <x:c r="AF996" s="12" t="str">
        <x:f>IF(AC996="PUBLIC_CANDIDATE","TIDELOCK + Lucerna",IF(AC996="PRIVATE_REVIEW","AtlasBrain + Lucerna","TIDELOCK + Lucerna + Human-root"))</x:f>
        <x:v>TIDELOCK + Lucerna</x:v>
      </x:c>
      <x:c r="AG996" s="12" t="str">
        <x:f>IF(AND(AC996="PUBLIC_CANDIDATE",U996&lt;&gt;"BLOCKED_PENDING_RECEIPT"),"READY_AFTER_RECEIPT","NOT_READY")</x:f>
        <x:v>NOT_READY</x:v>
      </x:c>
      <x:c r="AH996" s="12" t="str">
        <x:f>IF(AC996="PUBLIC_CANDIDATE","none",AD996)</x:f>
        <x:v>none</x:v>
      </x:c>
      <x:c r="AI996" s="12" t="str">
        <x:f>IF(AC996="PUBLIC_CANDIDATE","archive/public_candidates/"&amp;A996,"private_quarantine/"&amp;A996)</x:f>
        <x:v>archive/public_candidates/SWARM-07-H11-S11</x:v>
      </x:c>
      <x:c r="AJ996" s="12" t="str">
        <x:f>IF(AC996="PUBLIC_CANDIDATE","public by default; still not canon","private/hold; do not publish")</x:f>
        <x:v>public by default; still not canon</x:v>
      </x:c>
      <x:c r="AK996" s="12" t="str">
        <x:f>IF(AE996="prepare_public_github_candidate","add receipt/status then mirror","resolve blocker before any public GitHub action")</x:f>
        <x:v>add receipt/status then mirror</x:v>
      </x:c>
    </x:row>
    <x:row r="997">
      <x:c r="A997" s="15" t="str">
        <x:v>SWARM-07-H11-S12</x:v>
      </x:c>
      <x:c r="B997" s="15" t="str">
        <x:v>Domechild</x:v>
      </x:c>
      <x:c r="C997" s="15" t="str">
        <x:v>Planetarium lane builder</x:v>
      </x:c>
      <x:c r="D997" s="15" t="str">
        <x:v>Aetherforge UX</x:v>
      </x:c>
      <x:c r="E997" s="15" t="str">
        <x:v>Risk / Safety</x:v>
      </x:c>
      <x:c r="F997" s="15" t="str">
        <x:v>Design quest card for Risk / Safety — Domechild</x:v>
      </x:c>
      <x:c r="G997" s="15" t="str">
        <x:v>planetarium source packets / civic-science deltas</x:v>
      </x:c>
      <x:c r="H997" s="15" t="str">
        <x:v>source path + receipt + raw/export status + claim/edge/risk delta</x:v>
      </x:c>
      <x:c r="I997" s="15" t="str">
        <x:v>packet/SWARM-07-H11-S12</x:v>
      </x:c>
      <x:c r="J997" s="15" t="str">
        <x:v>TODO</x:v>
      </x:c>
      <x:c r="K997" s="15" t="str">
        <x:v>P2</x:v>
      </x:c>
      <x:c r="L997" s="15" t="str">
        <x:v>Done only when evidence is logged, contradiction search is noted, and boundary stamp remains non-canon unless ratified</x:v>
      </x:c>
      <x:c r="M997" s="15" t="str">
        <x:v>candidate / staging-only / not canon / not deployed / authority none</x:v>
      </x:c>
      <x:c r="N997" s="15" t="str">
        <x:v>Dispatch to Domechild: complete Aetherforge UX x Risk / Safety; return deltas only, receipts required.</x:v>
      </x:c>
      <x:c r="O997" s="15" t="str">
        <x:v>AF-KG-H11-S12</x:v>
      </x:c>
      <x:c r="P997" s="15" t="str">
        <x:v>Unverified</x:v>
      </x:c>
      <x:c r="Q997" s="15" t="str">
        <x:v>Not checked</x:v>
      </x:c>
      <x:c r="R997" s="15" t="str"/>
      <x:c r="S997" s="15" t="str"/>
      <x:c r="T997" s="15" t="str">
        <x:v>Log first source path or blocker</x:v>
      </x:c>
      <x:c r="U997" s="12" t="str">
        <x:f>IF(OR(P997="Unverified",Q997="Not checked"),"BLOCKED_PENDING_RECEIPT","READY_FOR_REVIEW")</x:f>
        <x:v>BLOCKED_PENDING_RECEIPT</x:v>
      </x:c>
      <x:c r="V997" s="12" t="str">
        <x:f>IF(J997="DONE","RETURNED",IF(U997="BLOCKED_PENDING_RECEIPT","SOURCE_TOUCH_REQUIRED","IN_PROGRESS"))</x:f>
        <x:v>SOURCE_TOUCH_REQUIRED</x:v>
      </x:c>
      <x:c r="W997" s="12" t="str">
        <x:f>IF(P997="Unverified","missing_receipt","receipt_logged")</x:f>
        <x:v>missing_receipt</x:v>
      </x:c>
      <x:c r="X997" s="12" t="str">
        <x:f>IF(Q997="Not checked","raw_status_missing","raw_status_logged")</x:f>
        <x:v>raw_status_missing</x:v>
      </x:c>
      <x:c r="Y997" s="12" t="str">
        <x:f>IF(U997="BLOCKED_PENDING_RECEIPT","Log source path or blocker; do not promote","Route to review lane")</x:f>
        <x:v>Log source path or blocker; do not promote</x:v>
      </x:c>
      <x:c r="Z997" s="12" t="str">
        <x:f>IF(K997="P0","Primary seat + Hashlight/Lucerna","Seat lane")</x:f>
        <x:v>Seat lane</x:v>
      </x:c>
      <x:c r="AA997" s="12" t="str">
        <x:f>IF(R997="","no_claim_delta","claim_delta_present")</x:f>
        <x:v>no_claim_delta</x:v>
      </x:c>
      <x:c r="AB997" s="12" t="str">
        <x:f>IF(S997="","no_contradiction_delta","contradiction_delta_present")</x:f>
        <x:v>no_contradiction_delta</x:v>
      </x:c>
      <x:c r="AC997" s="12" t="str">
        <x:f>IF(OR(ISNUMBER(SEARCH("hacker",LOWER(F997&amp;" "&amp;H997&amp;" "&amp;I997&amp;" "&amp;M997&amp;" "&amp;N997&amp;" "&amp;T997))),ISNUMBER(SEARCH("hacking",LOWER(F997&amp;" "&amp;H997&amp;" "&amp;I997&amp;" "&amp;M997&amp;" "&amp;N997&amp;" "&amp;T997))),ISNUMBER(SEARCH("bank",LOWER(F997&amp;" "&amp;H997&amp;" "&amp;I997&amp;" "&amp;M997&amp;" "&amp;N997&amp;" "&amp;T997))),ISNUMBER(SEARCH("banking",LOWER(F997&amp;" "&amp;H997&amp;" "&amp;I997&amp;" "&amp;M997&amp;" "&amp;N997&amp;" "&amp;T997)))),"PRIVATE_QUARANTINE",IF(OR(ISNUMBER(SEARCH("treasury",LOWER(F997&amp;" "&amp;H997&amp;" "&amp;I997&amp;" "&amp;M997&amp;" "&amp;N997&amp;" "&amp;T997))),ISNUMBER(SEARCH("debt",LOWER(F997&amp;" "&amp;H997&amp;" "&amp;I997&amp;" "&amp;M997&amp;" "&amp;N997&amp;" "&amp;T997))),ISNUMBER(SEARCH("bond",LOWER(F997&amp;" "&amp;H997&amp;" "&amp;I997&amp;" "&amp;M997&amp;" "&amp;N997&amp;" "&amp;T997))),ISNUMBER(SEARCH("transaction",LOWER(F997&amp;" "&amp;H997&amp;" "&amp;I997&amp;" "&amp;M997&amp;" "&amp;N997&amp;" "&amp;T997)))),"PRIVATE_REVIEW","PUBLIC_CANDIDATE"))</x:f>
        <x:v>PUBLIC_CANDIDATE</x:v>
      </x:c>
      <x:c r="AD997" s="12" t="str">
        <x:f>IF(AC997="PRIVATE_QUARANTINE","hacker_or_bank_trigger",IF(AC997="PRIVATE_REVIEW","finance_risk_trigger","none"))</x:f>
        <x:v>none</x:v>
      </x:c>
      <x:c r="AE997" s="12" t="str">
        <x:f>IF(AC997="PUBLIC_CANDIDATE","prepare_public_github_candidate",IF(AC997="PRIVATE_REVIEW","hold_for_private_review","quarantine_private_do_not_publish"))</x:f>
        <x:v>prepare_public_github_candidate</x:v>
      </x:c>
      <x:c r="AF997" s="12" t="str">
        <x:f>IF(AC997="PUBLIC_CANDIDATE","TIDELOCK + Lucerna",IF(AC997="PRIVATE_REVIEW","AtlasBrain + Lucerna","TIDELOCK + Lucerna + Human-root"))</x:f>
        <x:v>TIDELOCK + Lucerna</x:v>
      </x:c>
      <x:c r="AG997" s="12" t="str">
        <x:f>IF(AND(AC997="PUBLIC_CANDIDATE",U997&lt;&gt;"BLOCKED_PENDING_RECEIPT"),"READY_AFTER_RECEIPT","NOT_READY")</x:f>
        <x:v>NOT_READY</x:v>
      </x:c>
      <x:c r="AH997" s="12" t="str">
        <x:f>IF(AC997="PUBLIC_CANDIDATE","none",AD997)</x:f>
        <x:v>none</x:v>
      </x:c>
      <x:c r="AI997" s="12" t="str">
        <x:f>IF(AC997="PUBLIC_CANDIDATE","archive/public_candidates/"&amp;A997,"private_quarantine/"&amp;A997)</x:f>
        <x:v>archive/public_candidates/SWARM-07-H11-S12</x:v>
      </x:c>
      <x:c r="AJ997" s="12" t="str">
        <x:f>IF(AC997="PUBLIC_CANDIDATE","public by default; still not canon","private/hold; do not publish")</x:f>
        <x:v>public by default; still not canon</x:v>
      </x:c>
      <x:c r="AK997" s="12" t="str">
        <x:f>IF(AE997="prepare_public_github_candidate","add receipt/status then mirror","resolve blocker before any public GitHub action")</x:f>
        <x:v>add receipt/status then mirror</x:v>
      </x:c>
    </x:row>
    <x:row r="998">
      <x:c r="A998" s="15" t="str">
        <x:v>SWARM-07-H12-S01</x:v>
      </x:c>
      <x:c r="B998" s="15" t="str">
        <x:v>Domechild</x:v>
      </x:c>
      <x:c r="C998" s="15" t="str">
        <x:v>Planetarium lane builder</x:v>
      </x:c>
      <x:c r="D998" s="15" t="str">
        <x:v>Canon-Gate Prep</x:v>
      </x:c>
      <x:c r="E998" s="15" t="str">
        <x:v>Notion</x:v>
      </x:c>
      <x:c r="F998" s="15" t="str">
        <x:v>Prepare canon-gate brief for Notion — Domechild</x:v>
      </x:c>
      <x:c r="G998" s="15" t="str">
        <x:v>planetarium source packets / civic-science deltas</x:v>
      </x:c>
      <x:c r="H998" s="15" t="str">
        <x:v>source path + receipt + raw/export status + claim/edge/risk delta</x:v>
      </x:c>
      <x:c r="I998" s="15" t="str">
        <x:v>packet/SWARM-07-H12-S01</x:v>
      </x:c>
      <x:c r="J998" s="15" t="str">
        <x:v>TODO</x:v>
      </x:c>
      <x:c r="K998" s="15" t="str">
        <x:v>P0</x:v>
      </x:c>
      <x:c r="L998" s="15" t="str">
        <x:v>Done only when evidence is logged, contradiction search is noted, and boundary stamp remains non-canon unless ratified</x:v>
      </x:c>
      <x:c r="M998" s="15" t="str">
        <x:v>candidate / staging-only / not canon / not deployed / authority none</x:v>
      </x:c>
      <x:c r="N998" s="15" t="str">
        <x:v>Dispatch to Domechild: complete Canon-Gate Prep x Notion; return deltas only, receipts required.</x:v>
      </x:c>
      <x:c r="O998" s="15" t="str">
        <x:v>AF-KG-H12-S01</x:v>
      </x:c>
      <x:c r="P998" s="15" t="str">
        <x:v>Unverified</x:v>
      </x:c>
      <x:c r="Q998" s="15" t="str">
        <x:v>Not checked</x:v>
      </x:c>
      <x:c r="R998" s="15" t="str"/>
      <x:c r="S998" s="15" t="str"/>
      <x:c r="T998" s="15" t="str">
        <x:v>Log first source path or blocker</x:v>
      </x:c>
      <x:c r="U998" s="12" t="str">
        <x:f>IF(OR(P998="Unverified",Q998="Not checked"),"BLOCKED_PENDING_RECEIPT","READY_FOR_REVIEW")</x:f>
        <x:v>BLOCKED_PENDING_RECEIPT</x:v>
      </x:c>
      <x:c r="V998" s="12" t="str">
        <x:f>IF(J998="DONE","RETURNED",IF(U998="BLOCKED_PENDING_RECEIPT","SOURCE_TOUCH_REQUIRED","IN_PROGRESS"))</x:f>
        <x:v>SOURCE_TOUCH_REQUIRED</x:v>
      </x:c>
      <x:c r="W998" s="12" t="str">
        <x:f>IF(P998="Unverified","missing_receipt","receipt_logged")</x:f>
        <x:v>missing_receipt</x:v>
      </x:c>
      <x:c r="X998" s="12" t="str">
        <x:f>IF(Q998="Not checked","raw_status_missing","raw_status_logged")</x:f>
        <x:v>raw_status_missing</x:v>
      </x:c>
      <x:c r="Y998" s="12" t="str">
        <x:f>IF(U998="BLOCKED_PENDING_RECEIPT","Log source path or blocker; do not promote","Route to review lane")</x:f>
        <x:v>Log source path or blocker; do not promote</x:v>
      </x:c>
      <x:c r="Z998" s="12" t="str">
        <x:f>IF(K998="P0","Primary seat + Hashlight/Lucerna","Seat lane")</x:f>
        <x:v>Primary seat + Hashlight/Lucerna</x:v>
      </x:c>
      <x:c r="AA998" s="12" t="str">
        <x:f>IF(R998="","no_claim_delta","claim_delta_present")</x:f>
        <x:v>no_claim_delta</x:v>
      </x:c>
      <x:c r="AB998" s="12" t="str">
        <x:f>IF(S998="","no_contradiction_delta","contradiction_delta_present")</x:f>
        <x:v>no_contradiction_delta</x:v>
      </x:c>
      <x:c r="AC998" s="12" t="str">
        <x:f>IF(OR(ISNUMBER(SEARCH("hacker",LOWER(F998&amp;" "&amp;H998&amp;" "&amp;I998&amp;" "&amp;M998&amp;" "&amp;N998&amp;" "&amp;T998))),ISNUMBER(SEARCH("hacking",LOWER(F998&amp;" "&amp;H998&amp;" "&amp;I998&amp;" "&amp;M998&amp;" "&amp;N998&amp;" "&amp;T998))),ISNUMBER(SEARCH("bank",LOWER(F998&amp;" "&amp;H998&amp;" "&amp;I998&amp;" "&amp;M998&amp;" "&amp;N998&amp;" "&amp;T998))),ISNUMBER(SEARCH("banking",LOWER(F998&amp;" "&amp;H998&amp;" "&amp;I998&amp;" "&amp;M998&amp;" "&amp;N998&amp;" "&amp;T998)))),"PRIVATE_QUARANTINE",IF(OR(ISNUMBER(SEARCH("treasury",LOWER(F998&amp;" "&amp;H998&amp;" "&amp;I998&amp;" "&amp;M998&amp;" "&amp;N998&amp;" "&amp;T998))),ISNUMBER(SEARCH("debt",LOWER(F998&amp;" "&amp;H998&amp;" "&amp;I998&amp;" "&amp;M998&amp;" "&amp;N998&amp;" "&amp;T998))),ISNUMBER(SEARCH("bond",LOWER(F998&amp;" "&amp;H998&amp;" "&amp;I998&amp;" "&amp;M998&amp;" "&amp;N998&amp;" "&amp;T998))),ISNUMBER(SEARCH("transaction",LOWER(F998&amp;" "&amp;H998&amp;" "&amp;I998&amp;" "&amp;M998&amp;" "&amp;N998&amp;" "&amp;T998)))),"PRIVATE_REVIEW","PUBLIC_CANDIDATE"))</x:f>
        <x:v>PUBLIC_CANDIDATE</x:v>
      </x:c>
      <x:c r="AD998" s="12" t="str">
        <x:f>IF(AC998="PRIVATE_QUARANTINE","hacker_or_bank_trigger",IF(AC998="PRIVATE_REVIEW","finance_risk_trigger","none"))</x:f>
        <x:v>none</x:v>
      </x:c>
      <x:c r="AE998" s="12" t="str">
        <x:f>IF(AC998="PUBLIC_CANDIDATE","prepare_public_github_candidate",IF(AC998="PRIVATE_REVIEW","hold_for_private_review","quarantine_private_do_not_publish"))</x:f>
        <x:v>prepare_public_github_candidate</x:v>
      </x:c>
      <x:c r="AF998" s="12" t="str">
        <x:f>IF(AC998="PUBLIC_CANDIDATE","TIDELOCK + Lucerna",IF(AC998="PRIVATE_REVIEW","AtlasBrain + Lucerna","TIDELOCK + Lucerna + Human-root"))</x:f>
        <x:v>TIDELOCK + Lucerna</x:v>
      </x:c>
      <x:c r="AG998" s="12" t="str">
        <x:f>IF(AND(AC998="PUBLIC_CANDIDATE",U998&lt;&gt;"BLOCKED_PENDING_RECEIPT"),"READY_AFTER_RECEIPT","NOT_READY")</x:f>
        <x:v>NOT_READY</x:v>
      </x:c>
      <x:c r="AH998" s="12" t="str">
        <x:f>IF(AC998="PUBLIC_CANDIDATE","none",AD998)</x:f>
        <x:v>none</x:v>
      </x:c>
      <x:c r="AI998" s="12" t="str">
        <x:f>IF(AC998="PUBLIC_CANDIDATE","archive/public_candidates/"&amp;A998,"private_quarantine/"&amp;A998)</x:f>
        <x:v>archive/public_candidates/SWARM-07-H12-S01</x:v>
      </x:c>
      <x:c r="AJ998" s="12" t="str">
        <x:f>IF(AC998="PUBLIC_CANDIDATE","public by default; still not canon","private/hold; do not publish")</x:f>
        <x:v>public by default; still not canon</x:v>
      </x:c>
      <x:c r="AK998" s="12" t="str">
        <x:f>IF(AE998="prepare_public_github_candidate","add receipt/status then mirror","resolve blocker before any public GitHub action")</x:f>
        <x:v>add receipt/status then mirror</x:v>
      </x:c>
    </x:row>
    <x:row r="999">
      <x:c r="A999" s="15" t="str">
        <x:v>SWARM-07-H12-S02</x:v>
      </x:c>
      <x:c r="B999" s="15" t="str">
        <x:v>Domechild</x:v>
      </x:c>
      <x:c r="C999" s="15" t="str">
        <x:v>Planetarium lane builder</x:v>
      </x:c>
      <x:c r="D999" s="15" t="str">
        <x:v>Canon-Gate Prep</x:v>
      </x:c>
      <x:c r="E999" s="15" t="str">
        <x:v>Drive</x:v>
      </x:c>
      <x:c r="F999" s="15" t="str">
        <x:v>Prepare canon-gate brief for Drive — Domechild</x:v>
      </x:c>
      <x:c r="G999" s="15" t="str">
        <x:v>planetarium source packets / civic-science deltas</x:v>
      </x:c>
      <x:c r="H999" s="15" t="str">
        <x:v>source path + receipt + raw/export status + claim/edge/risk delta</x:v>
      </x:c>
      <x:c r="I999" s="15" t="str">
        <x:v>packet/SWARM-07-H12-S02</x:v>
      </x:c>
      <x:c r="J999" s="15" t="str">
        <x:v>TODO</x:v>
      </x:c>
      <x:c r="K999" s="15" t="str">
        <x:v>P0</x:v>
      </x:c>
      <x:c r="L999" s="15" t="str">
        <x:v>Done only when evidence is logged, contradiction search is noted, and boundary stamp remains non-canon unless ratified</x:v>
      </x:c>
      <x:c r="M999" s="15" t="str">
        <x:v>candidate / staging-only / not canon / not deployed / authority none</x:v>
      </x:c>
      <x:c r="N999" s="15" t="str">
        <x:v>Dispatch to Domechild: complete Canon-Gate Prep x Drive; return deltas only, receipts required.</x:v>
      </x:c>
      <x:c r="O999" s="15" t="str">
        <x:v>AF-KG-H12-S02</x:v>
      </x:c>
      <x:c r="P999" s="15" t="str">
        <x:v>Unverified</x:v>
      </x:c>
      <x:c r="Q999" s="15" t="str">
        <x:v>Not checked</x:v>
      </x:c>
      <x:c r="R999" s="15" t="str"/>
      <x:c r="S999" s="15" t="str"/>
      <x:c r="T999" s="15" t="str">
        <x:v>Log first source path or blocker</x:v>
      </x:c>
      <x:c r="U999" s="12" t="str">
        <x:f>IF(OR(P999="Unverified",Q999="Not checked"),"BLOCKED_PENDING_RECEIPT","READY_FOR_REVIEW")</x:f>
        <x:v>BLOCKED_PENDING_RECEIPT</x:v>
      </x:c>
      <x:c r="V999" s="12" t="str">
        <x:f>IF(J999="DONE","RETURNED",IF(U999="BLOCKED_PENDING_RECEIPT","SOURCE_TOUCH_REQUIRED","IN_PROGRESS"))</x:f>
        <x:v>SOURCE_TOUCH_REQUIRED</x:v>
      </x:c>
      <x:c r="W999" s="12" t="str">
        <x:f>IF(P999="Unverified","missing_receipt","receipt_logged")</x:f>
        <x:v>missing_receipt</x:v>
      </x:c>
      <x:c r="X999" s="12" t="str">
        <x:f>IF(Q999="Not checked","raw_status_missing","raw_status_logged")</x:f>
        <x:v>raw_status_missing</x:v>
      </x:c>
      <x:c r="Y999" s="12" t="str">
        <x:f>IF(U999="BLOCKED_PENDING_RECEIPT","Log source path or blocker; do not promote","Route to review lane")</x:f>
        <x:v>Log source path or blocker; do not promote</x:v>
      </x:c>
      <x:c r="Z999" s="12" t="str">
        <x:f>IF(K999="P0","Primary seat + Hashlight/Lucerna","Seat lane")</x:f>
        <x:v>Primary seat + Hashlight/Lucerna</x:v>
      </x:c>
      <x:c r="AA999" s="12" t="str">
        <x:f>IF(R999="","no_claim_delta","claim_delta_present")</x:f>
        <x:v>no_claim_delta</x:v>
      </x:c>
      <x:c r="AB999" s="12" t="str">
        <x:f>IF(S999="","no_contradiction_delta","contradiction_delta_present")</x:f>
        <x:v>no_contradiction_delta</x:v>
      </x:c>
      <x:c r="AC999" s="12" t="str">
        <x:f>IF(OR(ISNUMBER(SEARCH("hacker",LOWER(F999&amp;" "&amp;H999&amp;" "&amp;I999&amp;" "&amp;M999&amp;" "&amp;N999&amp;" "&amp;T999))),ISNUMBER(SEARCH("hacking",LOWER(F999&amp;" "&amp;H999&amp;" "&amp;I999&amp;" "&amp;M999&amp;" "&amp;N999&amp;" "&amp;T999))),ISNUMBER(SEARCH("bank",LOWER(F999&amp;" "&amp;H999&amp;" "&amp;I999&amp;" "&amp;M999&amp;" "&amp;N999&amp;" "&amp;T999))),ISNUMBER(SEARCH("banking",LOWER(F999&amp;" "&amp;H999&amp;" "&amp;I999&amp;" "&amp;M999&amp;" "&amp;N999&amp;" "&amp;T999)))),"PRIVATE_QUARANTINE",IF(OR(ISNUMBER(SEARCH("treasury",LOWER(F999&amp;" "&amp;H999&amp;" "&amp;I999&amp;" "&amp;M999&amp;" "&amp;N999&amp;" "&amp;T999))),ISNUMBER(SEARCH("debt",LOWER(F999&amp;" "&amp;H999&amp;" "&amp;I999&amp;" "&amp;M999&amp;" "&amp;N999&amp;" "&amp;T999))),ISNUMBER(SEARCH("bond",LOWER(F999&amp;" "&amp;H999&amp;" "&amp;I999&amp;" "&amp;M999&amp;" "&amp;N999&amp;" "&amp;T999))),ISNUMBER(SEARCH("transaction",LOWER(F999&amp;" "&amp;H999&amp;" "&amp;I999&amp;" "&amp;M999&amp;" "&amp;N999&amp;" "&amp;T999)))),"PRIVATE_REVIEW","PUBLIC_CANDIDATE"))</x:f>
        <x:v>PUBLIC_CANDIDATE</x:v>
      </x:c>
      <x:c r="AD999" s="12" t="str">
        <x:f>IF(AC999="PRIVATE_QUARANTINE","hacker_or_bank_trigger",IF(AC999="PRIVATE_REVIEW","finance_risk_trigger","none"))</x:f>
        <x:v>none</x:v>
      </x:c>
      <x:c r="AE999" s="12" t="str">
        <x:f>IF(AC999="PUBLIC_CANDIDATE","prepare_public_github_candidate",IF(AC999="PRIVATE_REVIEW","hold_for_private_review","quarantine_private_do_not_publish"))</x:f>
        <x:v>prepare_public_github_candidate</x:v>
      </x:c>
      <x:c r="AF999" s="12" t="str">
        <x:f>IF(AC999="PUBLIC_CANDIDATE","TIDELOCK + Lucerna",IF(AC999="PRIVATE_REVIEW","AtlasBrain + Lucerna","TIDELOCK + Lucerna + Human-root"))</x:f>
        <x:v>TIDELOCK + Lucerna</x:v>
      </x:c>
      <x:c r="AG999" s="12" t="str">
        <x:f>IF(AND(AC999="PUBLIC_CANDIDATE",U999&lt;&gt;"BLOCKED_PENDING_RECEIPT"),"READY_AFTER_RECEIPT","NOT_READY")</x:f>
        <x:v>NOT_READY</x:v>
      </x:c>
      <x:c r="AH999" s="12" t="str">
        <x:f>IF(AC999="PUBLIC_CANDIDATE","none",AD999)</x:f>
        <x:v>none</x:v>
      </x:c>
      <x:c r="AI999" s="12" t="str">
        <x:f>IF(AC999="PUBLIC_CANDIDATE","archive/public_candidates/"&amp;A999,"private_quarantine/"&amp;A999)</x:f>
        <x:v>archive/public_candidates/SWARM-07-H12-S02</x:v>
      </x:c>
      <x:c r="AJ999" s="12" t="str">
        <x:f>IF(AC999="PUBLIC_CANDIDATE","public by default; still not canon","private/hold; do not publish")</x:f>
        <x:v>public by default; still not canon</x:v>
      </x:c>
      <x:c r="AK999" s="12" t="str">
        <x:f>IF(AE999="prepare_public_github_candidate","add receipt/status then mirror","resolve blocker before any public GitHub action")</x:f>
        <x:v>add receipt/status then mirror</x:v>
      </x:c>
    </x:row>
    <x:row r="1000">
      <x:c r="A1000" s="15" t="str">
        <x:v>SWARM-07-H12-S03</x:v>
      </x:c>
      <x:c r="B1000" s="15" t="str">
        <x:v>Domechild</x:v>
      </x:c>
      <x:c r="C1000" s="15" t="str">
        <x:v>Planetarium lane builder</x:v>
      </x:c>
      <x:c r="D1000" s="15" t="str">
        <x:v>Canon-Gate Prep</x:v>
      </x:c>
      <x:c r="E1000" s="15" t="str">
        <x:v>GitHub</x:v>
      </x:c>
      <x:c r="F1000" s="15" t="str">
        <x:v>Prepare canon-gate brief for GitHub — Domechild</x:v>
      </x:c>
      <x:c r="G1000" s="15" t="str">
        <x:v>planetarium source packets / civic-science deltas</x:v>
      </x:c>
      <x:c r="H1000" s="15" t="str">
        <x:v>source path + receipt + raw/export status + claim/edge/risk delta</x:v>
      </x:c>
      <x:c r="I1000" s="15" t="str">
        <x:v>packet/SWARM-07-H12-S03</x:v>
      </x:c>
      <x:c r="J1000" s="15" t="str">
        <x:v>TODO</x:v>
      </x:c>
      <x:c r="K1000" s="15" t="str">
        <x:v>P0</x:v>
      </x:c>
      <x:c r="L1000" s="15" t="str">
        <x:v>Done only when evidence is logged, contradiction search is noted, and boundary stamp remains non-canon unless ratified</x:v>
      </x:c>
      <x:c r="M1000" s="15" t="str">
        <x:v>candidate / staging-only / not canon / not deployed / authority none</x:v>
      </x:c>
      <x:c r="N1000" s="15" t="str">
        <x:v>Dispatch to Domechild: complete Canon-Gate Prep x GitHub; return deltas only, receipts required.</x:v>
      </x:c>
      <x:c r="O1000" s="15" t="str">
        <x:v>AF-KG-H12-S03</x:v>
      </x:c>
      <x:c r="P1000" s="15" t="str">
        <x:v>Unverified</x:v>
      </x:c>
      <x:c r="Q1000" s="15" t="str">
        <x:v>Not checked</x:v>
      </x:c>
      <x:c r="R1000" s="15" t="str"/>
      <x:c r="S1000" s="15" t="str"/>
      <x:c r="T1000" s="15" t="str">
        <x:v>Log first source path or blocker</x:v>
      </x:c>
      <x:c r="U1000" s="12" t="str">
        <x:f>IF(OR(P1000="Unverified",Q1000="Not checked"),"BLOCKED_PENDING_RECEIPT","READY_FOR_REVIEW")</x:f>
        <x:v>BLOCKED_PENDING_RECEIPT</x:v>
      </x:c>
      <x:c r="V1000" s="12" t="str">
        <x:f>IF(J1000="DONE","RETURNED",IF(U1000="BLOCKED_PENDING_RECEIPT","SOURCE_TOUCH_REQUIRED","IN_PROGRESS"))</x:f>
        <x:v>SOURCE_TOUCH_REQUIRED</x:v>
      </x:c>
      <x:c r="W1000" s="12" t="str">
        <x:f>IF(P1000="Unverified","missing_receipt","receipt_logged")</x:f>
        <x:v>missing_receipt</x:v>
      </x:c>
      <x:c r="X1000" s="12" t="str">
        <x:f>IF(Q1000="Not checked","raw_status_missing","raw_status_logged")</x:f>
        <x:v>raw_status_missing</x:v>
      </x:c>
      <x:c r="Y1000" s="12" t="str">
        <x:f>IF(U1000="BLOCKED_PENDING_RECEIPT","Log source path or blocker; do not promote","Route to review lane")</x:f>
        <x:v>Log source path or blocker; do not promote</x:v>
      </x:c>
      <x:c r="Z1000" s="12" t="str">
        <x:f>IF(K1000="P0","Primary seat + Hashlight/Lucerna","Seat lane")</x:f>
        <x:v>Primary seat + Hashlight/Lucerna</x:v>
      </x:c>
      <x:c r="AA1000" s="12" t="str">
        <x:f>IF(R1000="","no_claim_delta","claim_delta_present")</x:f>
        <x:v>no_claim_delta</x:v>
      </x:c>
      <x:c r="AB1000" s="12" t="str">
        <x:f>IF(S1000="","no_contradiction_delta","contradiction_delta_present")</x:f>
        <x:v>no_contradiction_delta</x:v>
      </x:c>
      <x:c r="AC1000" s="12" t="str">
        <x:f>IF(OR(ISNUMBER(SEARCH("hacker",LOWER(F1000&amp;" "&amp;H1000&amp;" "&amp;I1000&amp;" "&amp;M1000&amp;" "&amp;N1000&amp;" "&amp;T1000))),ISNUMBER(SEARCH("hacking",LOWER(F1000&amp;" "&amp;H1000&amp;" "&amp;I1000&amp;" "&amp;M1000&amp;" "&amp;N1000&amp;" "&amp;T1000))),ISNUMBER(SEARCH("bank",LOWER(F1000&amp;" "&amp;H1000&amp;" "&amp;I1000&amp;" "&amp;M1000&amp;" "&amp;N1000&amp;" "&amp;T1000))),ISNUMBER(SEARCH("banking",LOWER(F1000&amp;" "&amp;H1000&amp;" "&amp;I1000&amp;" "&amp;M1000&amp;" "&amp;N1000&amp;" "&amp;T1000)))),"PRIVATE_QUARANTINE",IF(OR(ISNUMBER(SEARCH("treasury",LOWER(F1000&amp;" "&amp;H1000&amp;" "&amp;I1000&amp;" "&amp;M1000&amp;" "&amp;N1000&amp;" "&amp;T1000))),ISNUMBER(SEARCH("debt",LOWER(F1000&amp;" "&amp;H1000&amp;" "&amp;I1000&amp;" "&amp;M1000&amp;" "&amp;N1000&amp;" "&amp;T1000))),ISNUMBER(SEARCH("bond",LOWER(F1000&amp;" "&amp;H1000&amp;" "&amp;I1000&amp;" "&amp;M1000&amp;" "&amp;N1000&amp;" "&amp;T1000))),ISNUMBER(SEARCH("transaction",LOWER(F1000&amp;" "&amp;H1000&amp;" "&amp;I1000&amp;" "&amp;M1000&amp;" "&amp;N1000&amp;" "&amp;T1000)))),"PRIVATE_REVIEW","PUBLIC_CANDIDATE"))</x:f>
        <x:v>PUBLIC_CANDIDATE</x:v>
      </x:c>
      <x:c r="AD1000" s="12" t="str">
        <x:f>IF(AC1000="PRIVATE_QUARANTINE","hacker_or_bank_trigger",IF(AC1000="PRIVATE_REVIEW","finance_risk_trigger","none"))</x:f>
        <x:v>none</x:v>
      </x:c>
      <x:c r="AE1000" s="12" t="str">
        <x:f>IF(AC1000="PUBLIC_CANDIDATE","prepare_public_github_candidate",IF(AC1000="PRIVATE_REVIEW","hold_for_private_review","quarantine_private_do_not_publish"))</x:f>
        <x:v>prepare_public_github_candidate</x:v>
      </x:c>
      <x:c r="AF1000" s="12" t="str">
        <x:f>IF(AC1000="PUBLIC_CANDIDATE","TIDELOCK + Lucerna",IF(AC1000="PRIVATE_REVIEW","AtlasBrain + Lucerna","TIDELOCK + Lucerna + Human-root"))</x:f>
        <x:v>TIDELOCK + Lucerna</x:v>
      </x:c>
      <x:c r="AG1000" s="12" t="str">
        <x:f>IF(AND(AC1000="PUBLIC_CANDIDATE",U1000&lt;&gt;"BLOCKED_PENDING_RECEIPT"),"READY_AFTER_RECEIPT","NOT_READY")</x:f>
        <x:v>NOT_READY</x:v>
      </x:c>
      <x:c r="AH1000" s="12" t="str">
        <x:f>IF(AC1000="PUBLIC_CANDIDATE","none",AD1000)</x:f>
        <x:v>none</x:v>
      </x:c>
      <x:c r="AI1000" s="12" t="str">
        <x:f>IF(AC1000="PUBLIC_CANDIDATE","archive/public_candidates/"&amp;A1000,"private_quarantine/"&amp;A1000)</x:f>
        <x:v>archive/public_candidates/SWARM-07-H12-S03</x:v>
      </x:c>
      <x:c r="AJ1000" s="12" t="str">
        <x:f>IF(AC1000="PUBLIC_CANDIDATE","public by default; still not canon","private/hold; do not publish")</x:f>
        <x:v>public by default; still not canon</x:v>
      </x:c>
      <x:c r="AK1000" s="12" t="str">
        <x:f>IF(AE1000="prepare_public_github_candidate","add receipt/status then mirror","resolve blocker before any public GitHub action")</x:f>
        <x:v>add receipt/status then mirror</x:v>
      </x:c>
    </x:row>
    <x:row r="1001">
      <x:c r="A1001" s="15" t="str">
        <x:v>SWARM-07-H12-S04</x:v>
      </x:c>
      <x:c r="B1001" s="15" t="str">
        <x:v>Domechild</x:v>
      </x:c>
      <x:c r="C1001" s="15" t="str">
        <x:v>Planetarium lane builder</x:v>
      </x:c>
      <x:c r="D1001" s="15" t="str">
        <x:v>Canon-Gate Prep</x:v>
      </x:c>
      <x:c r="E1001" s="15" t="str">
        <x:v>Gamma</x:v>
      </x:c>
      <x:c r="F1001" s="15" t="str">
        <x:v>Prepare canon-gate brief for Gamma — Domechild</x:v>
      </x:c>
      <x:c r="G1001" s="15" t="str">
        <x:v>planetarium source packets / civic-science deltas</x:v>
      </x:c>
      <x:c r="H1001" s="15" t="str">
        <x:v>source path + receipt + raw/export status + claim/edge/risk delta</x:v>
      </x:c>
      <x:c r="I1001" s="15" t="str">
        <x:v>packet/SWARM-07-H12-S04</x:v>
      </x:c>
      <x:c r="J1001" s="15" t="str">
        <x:v>TODO</x:v>
      </x:c>
      <x:c r="K1001" s="15" t="str">
        <x:v>P1</x:v>
      </x:c>
      <x:c r="L1001" s="15" t="str">
        <x:v>Done only when evidence is logged, contradiction search is noted, and boundary stamp remains non-canon unless ratified</x:v>
      </x:c>
      <x:c r="M1001" s="15" t="str">
        <x:v>candidate / staging-only / not canon / not deployed / authority none</x:v>
      </x:c>
      <x:c r="N1001" s="15" t="str">
        <x:v>Dispatch to Domechild: complete Canon-Gate Prep x Gamma; return deltas only, receipts required.</x:v>
      </x:c>
      <x:c r="O1001" s="15" t="str">
        <x:v>AF-KG-H12-S04</x:v>
      </x:c>
      <x:c r="P1001" s="15" t="str">
        <x:v>Unverified</x:v>
      </x:c>
      <x:c r="Q1001" s="15" t="str">
        <x:v>Not checked</x:v>
      </x:c>
      <x:c r="R1001" s="15" t="str"/>
      <x:c r="S1001" s="15" t="str"/>
      <x:c r="T1001" s="15" t="str">
        <x:v>Log first source path or blocker</x:v>
      </x:c>
      <x:c r="U1001" s="12" t="str">
        <x:f>IF(OR(P1001="Unverified",Q1001="Not checked"),"BLOCKED_PENDING_RECEIPT","READY_FOR_REVIEW")</x:f>
        <x:v>BLOCKED_PENDING_RECEIPT</x:v>
      </x:c>
      <x:c r="V1001" s="12" t="str">
        <x:f>IF(J1001="DONE","RETURNED",IF(U1001="BLOCKED_PENDING_RECEIPT","SOURCE_TOUCH_REQUIRED","IN_PROGRESS"))</x:f>
        <x:v>SOURCE_TOUCH_REQUIRED</x:v>
      </x:c>
      <x:c r="W1001" s="12" t="str">
        <x:f>IF(P1001="Unverified","missing_receipt","receipt_logged")</x:f>
        <x:v>missing_receipt</x:v>
      </x:c>
      <x:c r="X1001" s="12" t="str">
        <x:f>IF(Q1001="Not checked","raw_status_missing","raw_status_logged")</x:f>
        <x:v>raw_status_missing</x:v>
      </x:c>
      <x:c r="Y1001" s="12" t="str">
        <x:f>IF(U1001="BLOCKED_PENDING_RECEIPT","Log source path or blocker; do not promote","Route to review lane")</x:f>
        <x:v>Log source path or blocker; do not promote</x:v>
      </x:c>
      <x:c r="Z1001" s="12" t="str">
        <x:f>IF(K1001="P0","Primary seat + Hashlight/Lucerna","Seat lane")</x:f>
        <x:v>Seat lane</x:v>
      </x:c>
      <x:c r="AA1001" s="12" t="str">
        <x:f>IF(R1001="","no_claim_delta","claim_delta_present")</x:f>
        <x:v>no_claim_delta</x:v>
      </x:c>
      <x:c r="AB1001" s="12" t="str">
        <x:f>IF(S1001="","no_contradiction_delta","contradiction_delta_present")</x:f>
        <x:v>no_contradiction_delta</x:v>
      </x:c>
      <x:c r="AC1001" s="12" t="str">
        <x:f>IF(OR(ISNUMBER(SEARCH("hacker",LOWER(F1001&amp;" "&amp;H1001&amp;" "&amp;I1001&amp;" "&amp;M1001&amp;" "&amp;N1001&amp;" "&amp;T1001))),ISNUMBER(SEARCH("hacking",LOWER(F1001&amp;" "&amp;H1001&amp;" "&amp;I1001&amp;" "&amp;M1001&amp;" "&amp;N1001&amp;" "&amp;T1001))),ISNUMBER(SEARCH("bank",LOWER(F1001&amp;" "&amp;H1001&amp;" "&amp;I1001&amp;" "&amp;M1001&amp;" "&amp;N1001&amp;" "&amp;T1001))),ISNUMBER(SEARCH("banking",LOWER(F1001&amp;" "&amp;H1001&amp;" "&amp;I1001&amp;" "&amp;M1001&amp;" "&amp;N1001&amp;" "&amp;T1001)))),"PRIVATE_QUARANTINE",IF(OR(ISNUMBER(SEARCH("treasury",LOWER(F1001&amp;" "&amp;H1001&amp;" "&amp;I1001&amp;" "&amp;M1001&amp;" "&amp;N1001&amp;" "&amp;T1001))),ISNUMBER(SEARCH("debt",LOWER(F1001&amp;" "&amp;H1001&amp;" "&amp;I1001&amp;" "&amp;M1001&amp;" "&amp;N1001&amp;" "&amp;T1001))),ISNUMBER(SEARCH("bond",LOWER(F1001&amp;" "&amp;H1001&amp;" "&amp;I1001&amp;" "&amp;M1001&amp;" "&amp;N1001&amp;" "&amp;T1001))),ISNUMBER(SEARCH("transaction",LOWER(F1001&amp;" "&amp;H1001&amp;" "&amp;I1001&amp;" "&amp;M1001&amp;" "&amp;N1001&amp;" "&amp;T1001)))),"PRIVATE_REVIEW","PUBLIC_CANDIDATE"))</x:f>
        <x:v>PUBLIC_CANDIDATE</x:v>
      </x:c>
      <x:c r="AD1001" s="12" t="str">
        <x:f>IF(AC1001="PRIVATE_QUARANTINE","hacker_or_bank_trigger",IF(AC1001="PRIVATE_REVIEW","finance_risk_trigger","none"))</x:f>
        <x:v>none</x:v>
      </x:c>
      <x:c r="AE1001" s="12" t="str">
        <x:f>IF(AC1001="PUBLIC_CANDIDATE","prepare_public_github_candidate",IF(AC1001="PRIVATE_REVIEW","hold_for_private_review","quarantine_private_do_not_publish"))</x:f>
        <x:v>prepare_public_github_candidate</x:v>
      </x:c>
      <x:c r="AF1001" s="12" t="str">
        <x:f>IF(AC1001="PUBLIC_CANDIDATE","TIDELOCK + Lucerna",IF(AC1001="PRIVATE_REVIEW","AtlasBrain + Lucerna","TIDELOCK + Lucerna + Human-root"))</x:f>
        <x:v>TIDELOCK + Lucerna</x:v>
      </x:c>
      <x:c r="AG1001" s="12" t="str">
        <x:f>IF(AND(AC1001="PUBLIC_CANDIDATE",U1001&lt;&gt;"BLOCKED_PENDING_RECEIPT"),"READY_AFTER_RECEIPT","NOT_READY")</x:f>
        <x:v>NOT_READY</x:v>
      </x:c>
      <x:c r="AH1001" s="12" t="str">
        <x:f>IF(AC1001="PUBLIC_CANDIDATE","none",AD1001)</x:f>
        <x:v>none</x:v>
      </x:c>
      <x:c r="AI1001" s="12" t="str">
        <x:f>IF(AC1001="PUBLIC_CANDIDATE","archive/public_candidates/"&amp;A1001,"private_quarantine/"&amp;A1001)</x:f>
        <x:v>archive/public_candidates/SWARM-07-H12-S04</x:v>
      </x:c>
      <x:c r="AJ1001" s="12" t="str">
        <x:f>IF(AC1001="PUBLIC_CANDIDATE","public by default; still not canon","private/hold; do not publish")</x:f>
        <x:v>public by default; still not canon</x:v>
      </x:c>
      <x:c r="AK1001" s="12" t="str">
        <x:f>IF(AE1001="prepare_public_github_candidate","add receipt/status then mirror","resolve blocker before any public GitHub action")</x:f>
        <x:v>add receipt/status then mirror</x:v>
      </x:c>
    </x:row>
    <x:row r="1002">
      <x:c r="A1002" s="15" t="str">
        <x:v>SWARM-07-H12-S05</x:v>
      </x:c>
      <x:c r="B1002" s="15" t="str">
        <x:v>Domechild</x:v>
      </x:c>
      <x:c r="C1002" s="15" t="str">
        <x:v>Planetarium lane builder</x:v>
      </x:c>
      <x:c r="D1002" s="15" t="str">
        <x:v>Canon-Gate Prep</x:v>
      </x:c>
      <x:c r="E1002" s="15" t="str">
        <x:v>Chat</x:v>
      </x:c>
      <x:c r="F1002" s="15" t="str">
        <x:v>Prepare canon-gate brief for Chat — Domechild</x:v>
      </x:c>
      <x:c r="G1002" s="15" t="str">
        <x:v>planetarium source packets / civic-science deltas</x:v>
      </x:c>
      <x:c r="H1002" s="15" t="str">
        <x:v>source path + receipt + raw/export status + claim/edge/risk delta</x:v>
      </x:c>
      <x:c r="I1002" s="15" t="str">
        <x:v>packet/SWARM-07-H12-S05</x:v>
      </x:c>
      <x:c r="J1002" s="15" t="str">
        <x:v>TODO</x:v>
      </x:c>
      <x:c r="K1002" s="15" t="str">
        <x:v>P1</x:v>
      </x:c>
      <x:c r="L1002" s="15" t="str">
        <x:v>Done only when evidence is logged, contradiction search is noted, and boundary stamp remains non-canon unless ratified</x:v>
      </x:c>
      <x:c r="M1002" s="15" t="str">
        <x:v>candidate / staging-only / not canon / not deployed / authority none</x:v>
      </x:c>
      <x:c r="N1002" s="15" t="str">
        <x:v>Dispatch to Domechild: complete Canon-Gate Prep x Chat; return deltas only, receipts required.</x:v>
      </x:c>
      <x:c r="O1002" s="15" t="str">
        <x:v>AF-KG-H12-S05</x:v>
      </x:c>
      <x:c r="P1002" s="15" t="str">
        <x:v>Unverified</x:v>
      </x:c>
      <x:c r="Q1002" s="15" t="str">
        <x:v>Not checked</x:v>
      </x:c>
      <x:c r="R1002" s="15" t="str"/>
      <x:c r="S1002" s="15" t="str"/>
      <x:c r="T1002" s="15" t="str">
        <x:v>Log first source path or blocker</x:v>
      </x:c>
      <x:c r="U1002" s="12" t="str">
        <x:f>IF(OR(P1002="Unverified",Q1002="Not checked"),"BLOCKED_PENDING_RECEIPT","READY_FOR_REVIEW")</x:f>
        <x:v>BLOCKED_PENDING_RECEIPT</x:v>
      </x:c>
      <x:c r="V1002" s="12" t="str">
        <x:f>IF(J1002="DONE","RETURNED",IF(U1002="BLOCKED_PENDING_RECEIPT","SOURCE_TOUCH_REQUIRED","IN_PROGRESS"))</x:f>
        <x:v>SOURCE_TOUCH_REQUIRED</x:v>
      </x:c>
      <x:c r="W1002" s="12" t="str">
        <x:f>IF(P1002="Unverified","missing_receipt","receipt_logged")</x:f>
        <x:v>missing_receipt</x:v>
      </x:c>
      <x:c r="X1002" s="12" t="str">
        <x:f>IF(Q1002="Not checked","raw_status_missing","raw_status_logged")</x:f>
        <x:v>raw_status_missing</x:v>
      </x:c>
      <x:c r="Y1002" s="12" t="str">
        <x:f>IF(U1002="BLOCKED_PENDING_RECEIPT","Log source path or blocker; do not promote","Route to review lane")</x:f>
        <x:v>Log source path or blocker; do not promote</x:v>
      </x:c>
      <x:c r="Z1002" s="12" t="str">
        <x:f>IF(K1002="P0","Primary seat + Hashlight/Lucerna","Seat lane")</x:f>
        <x:v>Seat lane</x:v>
      </x:c>
      <x:c r="AA1002" s="12" t="str">
        <x:f>IF(R1002="","no_claim_delta","claim_delta_present")</x:f>
        <x:v>no_claim_delta</x:v>
      </x:c>
      <x:c r="AB1002" s="12" t="str">
        <x:f>IF(S1002="","no_contradiction_delta","contradiction_delta_present")</x:f>
        <x:v>no_contradiction_delta</x:v>
      </x:c>
      <x:c r="AC1002" s="12" t="str">
        <x:f>IF(OR(ISNUMBER(SEARCH("hacker",LOWER(F1002&amp;" "&amp;H1002&amp;" "&amp;I1002&amp;" "&amp;M1002&amp;" "&amp;N1002&amp;" "&amp;T1002))),ISNUMBER(SEARCH("hacking",LOWER(F1002&amp;" "&amp;H1002&amp;" "&amp;I1002&amp;" "&amp;M1002&amp;" "&amp;N1002&amp;" "&amp;T1002))),ISNUMBER(SEARCH("bank",LOWER(F1002&amp;" "&amp;H1002&amp;" "&amp;I1002&amp;" "&amp;M1002&amp;" "&amp;N1002&amp;" "&amp;T1002))),ISNUMBER(SEARCH("banking",LOWER(F1002&amp;" "&amp;H1002&amp;" "&amp;I1002&amp;" "&amp;M1002&amp;" "&amp;N1002&amp;" "&amp;T1002)))),"PRIVATE_QUARANTINE",IF(OR(ISNUMBER(SEARCH("treasury",LOWER(F1002&amp;" "&amp;H1002&amp;" "&amp;I1002&amp;" "&amp;M1002&amp;" "&amp;N1002&amp;" "&amp;T1002))),ISNUMBER(SEARCH("debt",LOWER(F1002&amp;" "&amp;H1002&amp;" "&amp;I1002&amp;" "&amp;M1002&amp;" "&amp;N1002&amp;" "&amp;T1002))),ISNUMBER(SEARCH("bond",LOWER(F1002&amp;" "&amp;H1002&amp;" "&amp;I1002&amp;" "&amp;M1002&amp;" "&amp;N1002&amp;" "&amp;T1002))),ISNUMBER(SEARCH("transaction",LOWER(F1002&amp;" "&amp;H1002&amp;" "&amp;I1002&amp;" "&amp;M1002&amp;" "&amp;N1002&amp;" "&amp;T1002)))),"PRIVATE_REVIEW","PUBLIC_CANDIDATE"))</x:f>
        <x:v>PUBLIC_CANDIDATE</x:v>
      </x:c>
      <x:c r="AD1002" s="12" t="str">
        <x:f>IF(AC1002="PRIVATE_QUARANTINE","hacker_or_bank_trigger",IF(AC1002="PRIVATE_REVIEW","finance_risk_trigger","none"))</x:f>
        <x:v>none</x:v>
      </x:c>
      <x:c r="AE1002" s="12" t="str">
        <x:f>IF(AC1002="PUBLIC_CANDIDATE","prepare_public_github_candidate",IF(AC1002="PRIVATE_REVIEW","hold_for_private_review","quarantine_private_do_not_publish"))</x:f>
        <x:v>prepare_public_github_candidate</x:v>
      </x:c>
      <x:c r="AF1002" s="12" t="str">
        <x:f>IF(AC1002="PUBLIC_CANDIDATE","TIDELOCK + Lucerna",IF(AC1002="PRIVATE_REVIEW","AtlasBrain + Lucerna","TIDELOCK + Lucerna + Human-root"))</x:f>
        <x:v>TIDELOCK + Lucerna</x:v>
      </x:c>
      <x:c r="AG1002" s="12" t="str">
        <x:f>IF(AND(AC1002="PUBLIC_CANDIDATE",U1002&lt;&gt;"BLOCKED_PENDING_RECEIPT"),"READY_AFTER_RECEIPT","NOT_READY")</x:f>
        <x:v>NOT_READY</x:v>
      </x:c>
      <x:c r="AH1002" s="12" t="str">
        <x:f>IF(AC1002="PUBLIC_CANDIDATE","none",AD1002)</x:f>
        <x:v>none</x:v>
      </x:c>
      <x:c r="AI1002" s="12" t="str">
        <x:f>IF(AC1002="PUBLIC_CANDIDATE","archive/public_candidates/"&amp;A1002,"private_quarantine/"&amp;A1002)</x:f>
        <x:v>archive/public_candidates/SWARM-07-H12-S05</x:v>
      </x:c>
      <x:c r="AJ1002" s="12" t="str">
        <x:f>IF(AC1002="PUBLIC_CANDIDATE","public by default; still not canon","private/hold; do not publish")</x:f>
        <x:v>public by default; still not canon</x:v>
      </x:c>
      <x:c r="AK1002" s="12" t="str">
        <x:f>IF(AE1002="prepare_public_github_candidate","add receipt/status then mirror","resolve blocker before any public GitHub action")</x:f>
        <x:v>add receipt/status then mirror</x:v>
      </x:c>
    </x:row>
    <x:row r="1003">
      <x:c r="A1003" s="15" t="str">
        <x:v>SWARM-07-H12-S06</x:v>
      </x:c>
      <x:c r="B1003" s="15" t="str">
        <x:v>Domechild</x:v>
      </x:c>
      <x:c r="C1003" s="15" t="str">
        <x:v>Planetarium lane builder</x:v>
      </x:c>
      <x:c r="D1003" s="15" t="str">
        <x:v>Canon-Gate Prep</x:v>
      </x:c>
      <x:c r="E1003" s="15" t="str">
        <x:v>External Web</x:v>
      </x:c>
      <x:c r="F1003" s="15" t="str">
        <x:v>Prepare canon-gate brief for External Web — Domechild</x:v>
      </x:c>
      <x:c r="G1003" s="15" t="str">
        <x:v>planetarium source packets / civic-science deltas</x:v>
      </x:c>
      <x:c r="H1003" s="15" t="str">
        <x:v>source path + receipt + raw/export status + claim/edge/risk delta</x:v>
      </x:c>
      <x:c r="I1003" s="15" t="str">
        <x:v>packet/SWARM-07-H12-S06</x:v>
      </x:c>
      <x:c r="J1003" s="15" t="str">
        <x:v>TODO</x:v>
      </x:c>
      <x:c r="K1003" s="15" t="str">
        <x:v>P1</x:v>
      </x:c>
      <x:c r="L1003" s="15" t="str">
        <x:v>Done only when evidence is logged, contradiction search is noted, and boundary stamp remains non-canon unless ratified</x:v>
      </x:c>
      <x:c r="M1003" s="15" t="str">
        <x:v>candidate / staging-only / not canon / not deployed / authority none</x:v>
      </x:c>
      <x:c r="N1003" s="15" t="str">
        <x:v>Dispatch to Domechild: complete Canon-Gate Prep x External Web; return deltas only, receipts required.</x:v>
      </x:c>
      <x:c r="O1003" s="15" t="str">
        <x:v>AF-KG-H12-S06</x:v>
      </x:c>
      <x:c r="P1003" s="15" t="str">
        <x:v>Unverified</x:v>
      </x:c>
      <x:c r="Q1003" s="15" t="str">
        <x:v>Not checked</x:v>
      </x:c>
      <x:c r="R1003" s="15" t="str"/>
      <x:c r="S1003" s="15" t="str"/>
      <x:c r="T1003" s="15" t="str">
        <x:v>Log first source path or blocker</x:v>
      </x:c>
      <x:c r="U1003" s="12" t="str">
        <x:f>IF(OR(P1003="Unverified",Q1003="Not checked"),"BLOCKED_PENDING_RECEIPT","READY_FOR_REVIEW")</x:f>
        <x:v>BLOCKED_PENDING_RECEIPT</x:v>
      </x:c>
      <x:c r="V1003" s="12" t="str">
        <x:f>IF(J1003="DONE","RETURNED",IF(U1003="BLOCKED_PENDING_RECEIPT","SOURCE_TOUCH_REQUIRED","IN_PROGRESS"))</x:f>
        <x:v>SOURCE_TOUCH_REQUIRED</x:v>
      </x:c>
      <x:c r="W1003" s="12" t="str">
        <x:f>IF(P1003="Unverified","missing_receipt","receipt_logged")</x:f>
        <x:v>missing_receipt</x:v>
      </x:c>
      <x:c r="X1003" s="12" t="str">
        <x:f>IF(Q1003="Not checked","raw_status_missing","raw_status_logged")</x:f>
        <x:v>raw_status_missing</x:v>
      </x:c>
      <x:c r="Y1003" s="12" t="str">
        <x:f>IF(U1003="BLOCKED_PENDING_RECEIPT","Log source path or blocker; do not promote","Route to review lane")</x:f>
        <x:v>Log source path or blocker; do not promote</x:v>
      </x:c>
      <x:c r="Z1003" s="12" t="str">
        <x:f>IF(K1003="P0","Primary seat + Hashlight/Lucerna","Seat lane")</x:f>
        <x:v>Seat lane</x:v>
      </x:c>
      <x:c r="AA1003" s="12" t="str">
        <x:f>IF(R1003="","no_claim_delta","claim_delta_present")</x:f>
        <x:v>no_claim_delta</x:v>
      </x:c>
      <x:c r="AB1003" s="12" t="str">
        <x:f>IF(S1003="","no_contradiction_delta","contradiction_delta_present")</x:f>
        <x:v>no_contradiction_delta</x:v>
      </x:c>
      <x:c r="AC1003" s="12" t="str">
        <x:f>IF(OR(ISNUMBER(SEARCH("hacker",LOWER(F1003&amp;" "&amp;H1003&amp;" "&amp;I1003&amp;" "&amp;M1003&amp;" "&amp;N1003&amp;" "&amp;T1003))),ISNUMBER(SEARCH("hacking",LOWER(F1003&amp;" "&amp;H1003&amp;" "&amp;I1003&amp;" "&amp;M1003&amp;" "&amp;N1003&amp;" "&amp;T1003))),ISNUMBER(SEARCH("bank",LOWER(F1003&amp;" "&amp;H1003&amp;" "&amp;I1003&amp;" "&amp;M1003&amp;" "&amp;N1003&amp;" "&amp;T1003))),ISNUMBER(SEARCH("banking",LOWER(F1003&amp;" "&amp;H1003&amp;" "&amp;I1003&amp;" "&amp;M1003&amp;" "&amp;N1003&amp;" "&amp;T1003)))),"PRIVATE_QUARANTINE",IF(OR(ISNUMBER(SEARCH("treasury",LOWER(F1003&amp;" "&amp;H1003&amp;" "&amp;I1003&amp;" "&amp;M1003&amp;" "&amp;N1003&amp;" "&amp;T1003))),ISNUMBER(SEARCH("debt",LOWER(F1003&amp;" "&amp;H1003&amp;" "&amp;I1003&amp;" "&amp;M1003&amp;" "&amp;N1003&amp;" "&amp;T1003))),ISNUMBER(SEARCH("bond",LOWER(F1003&amp;" "&amp;H1003&amp;" "&amp;I1003&amp;" "&amp;M1003&amp;" "&amp;N1003&amp;" "&amp;T1003))),ISNUMBER(SEARCH("transaction",LOWER(F1003&amp;" "&amp;H1003&amp;" "&amp;I1003&amp;" "&amp;M1003&amp;" "&amp;N1003&amp;" "&amp;T1003)))),"PRIVATE_REVIEW","PUBLIC_CANDIDATE"))</x:f>
        <x:v>PUBLIC_CANDIDATE</x:v>
      </x:c>
      <x:c r="AD1003" s="12" t="str">
        <x:f>IF(AC1003="PRIVATE_QUARANTINE","hacker_or_bank_trigger",IF(AC1003="PRIVATE_REVIEW","finance_risk_trigger","none"))</x:f>
        <x:v>none</x:v>
      </x:c>
      <x:c r="AE1003" s="12" t="str">
        <x:f>IF(AC1003="PUBLIC_CANDIDATE","prepare_public_github_candidate",IF(AC1003="PRIVATE_REVIEW","hold_for_private_review","quarantine_private_do_not_publish"))</x:f>
        <x:v>prepare_public_github_candidate</x:v>
      </x:c>
      <x:c r="AF1003" s="12" t="str">
        <x:f>IF(AC1003="PUBLIC_CANDIDATE","TIDELOCK + Lucerna",IF(AC1003="PRIVATE_REVIEW","AtlasBrain + Lucerna","TIDELOCK + Lucerna + Human-root"))</x:f>
        <x:v>TIDELOCK + Lucerna</x:v>
      </x:c>
      <x:c r="AG1003" s="12" t="str">
        <x:f>IF(AND(AC1003="PUBLIC_CANDIDATE",U1003&lt;&gt;"BLOCKED_PENDING_RECEIPT"),"READY_AFTER_RECEIPT","NOT_READY")</x:f>
        <x:v>NOT_READY</x:v>
      </x:c>
      <x:c r="AH1003" s="12" t="str">
        <x:f>IF(AC1003="PUBLIC_CANDIDATE","none",AD1003)</x:f>
        <x:v>none</x:v>
      </x:c>
      <x:c r="AI1003" s="12" t="str">
        <x:f>IF(AC1003="PUBLIC_CANDIDATE","archive/public_candidates/"&amp;A1003,"private_quarantine/"&amp;A1003)</x:f>
        <x:v>archive/public_candidates/SWARM-07-H12-S06</x:v>
      </x:c>
      <x:c r="AJ1003" s="12" t="str">
        <x:f>IF(AC1003="PUBLIC_CANDIDATE","public by default; still not canon","private/hold; do not publish")</x:f>
        <x:v>public by default; still not canon</x:v>
      </x:c>
      <x:c r="AK1003" s="12" t="str">
        <x:f>IF(AE1003="prepare_public_github_candidate","add receipt/status then mirror","resolve blocker before any public GitHub action")</x:f>
        <x:v>add receipt/status then mirror</x:v>
      </x:c>
    </x:row>
    <x:row r="1004">
      <x:c r="A1004" s="15" t="str">
        <x:v>SWARM-07-H12-S07</x:v>
      </x:c>
      <x:c r="B1004" s="15" t="str">
        <x:v>Domechild</x:v>
      </x:c>
      <x:c r="C1004" s="15" t="str">
        <x:v>Planetarium lane builder</x:v>
      </x:c>
      <x:c r="D1004" s="15" t="str">
        <x:v>Canon-Gate Prep</x:v>
      </x:c>
      <x:c r="E1004" s="15" t="str">
        <x:v>Planetarium</x:v>
      </x:c>
      <x:c r="F1004" s="15" t="str">
        <x:v>Prepare canon-gate brief for Planetarium — Domechild</x:v>
      </x:c>
      <x:c r="G1004" s="15" t="str">
        <x:v>planetarium source packets / civic-science deltas</x:v>
      </x:c>
      <x:c r="H1004" s="15" t="str">
        <x:v>source path + receipt + raw/export status + claim/edge/risk delta</x:v>
      </x:c>
      <x:c r="I1004" s="15" t="str">
        <x:v>packet/SWARM-07-H12-S07</x:v>
      </x:c>
      <x:c r="J1004" s="15" t="str">
        <x:v>TODO</x:v>
      </x:c>
      <x:c r="K1004" s="15" t="str">
        <x:v>P1</x:v>
      </x:c>
      <x:c r="L1004" s="15" t="str">
        <x:v>Done only when evidence is logged, contradiction search is noted, and boundary stamp remains non-canon unless ratified</x:v>
      </x:c>
      <x:c r="M1004" s="15" t="str">
        <x:v>candidate / staging-only / not canon / not deployed / authority none</x:v>
      </x:c>
      <x:c r="N1004" s="15" t="str">
        <x:v>Dispatch to Domechild: complete Canon-Gate Prep x Planetarium; return deltas only, receipts required.</x:v>
      </x:c>
      <x:c r="O1004" s="15" t="str">
        <x:v>AF-KG-H12-S07</x:v>
      </x:c>
      <x:c r="P1004" s="15" t="str">
        <x:v>Unverified</x:v>
      </x:c>
      <x:c r="Q1004" s="15" t="str">
        <x:v>Not checked</x:v>
      </x:c>
      <x:c r="R1004" s="15" t="str"/>
      <x:c r="S1004" s="15" t="str"/>
      <x:c r="T1004" s="15" t="str">
        <x:v>Log first source path or blocker</x:v>
      </x:c>
      <x:c r="U1004" s="12" t="str">
        <x:f>IF(OR(P1004="Unverified",Q1004="Not checked"),"BLOCKED_PENDING_RECEIPT","READY_FOR_REVIEW")</x:f>
        <x:v>BLOCKED_PENDING_RECEIPT</x:v>
      </x:c>
      <x:c r="V1004" s="12" t="str">
        <x:f>IF(J1004="DONE","RETURNED",IF(U1004="BLOCKED_PENDING_RECEIPT","SOURCE_TOUCH_REQUIRED","IN_PROGRESS"))</x:f>
        <x:v>SOURCE_TOUCH_REQUIRED</x:v>
      </x:c>
      <x:c r="W1004" s="12" t="str">
        <x:f>IF(P1004="Unverified","missing_receipt","receipt_logged")</x:f>
        <x:v>missing_receipt</x:v>
      </x:c>
      <x:c r="X1004" s="12" t="str">
        <x:f>IF(Q1004="Not checked","raw_status_missing","raw_status_logged")</x:f>
        <x:v>raw_status_missing</x:v>
      </x:c>
      <x:c r="Y1004" s="12" t="str">
        <x:f>IF(U1004="BLOCKED_PENDING_RECEIPT","Log source path or blocker; do not promote","Route to review lane")</x:f>
        <x:v>Log source path or blocker; do not promote</x:v>
      </x:c>
      <x:c r="Z1004" s="12" t="str">
        <x:f>IF(K1004="P0","Primary seat + Hashlight/Lucerna","Seat lane")</x:f>
        <x:v>Seat lane</x:v>
      </x:c>
      <x:c r="AA1004" s="12" t="str">
        <x:f>IF(R1004="","no_claim_delta","claim_delta_present")</x:f>
        <x:v>no_claim_delta</x:v>
      </x:c>
      <x:c r="AB1004" s="12" t="str">
        <x:f>IF(S1004="","no_contradiction_delta","contradiction_delta_present")</x:f>
        <x:v>no_contradiction_delta</x:v>
      </x:c>
      <x:c r="AC1004" s="12" t="str">
        <x:f>IF(OR(ISNUMBER(SEARCH("hacker",LOWER(F1004&amp;" "&amp;H1004&amp;" "&amp;I1004&amp;" "&amp;M1004&amp;" "&amp;N1004&amp;" "&amp;T1004))),ISNUMBER(SEARCH("hacking",LOWER(F1004&amp;" "&amp;H1004&amp;" "&amp;I1004&amp;" "&amp;M1004&amp;" "&amp;N1004&amp;" "&amp;T1004))),ISNUMBER(SEARCH("bank",LOWER(F1004&amp;" "&amp;H1004&amp;" "&amp;I1004&amp;" "&amp;M1004&amp;" "&amp;N1004&amp;" "&amp;T1004))),ISNUMBER(SEARCH("banking",LOWER(F1004&amp;" "&amp;H1004&amp;" "&amp;I1004&amp;" "&amp;M1004&amp;" "&amp;N1004&amp;" "&amp;T1004)))),"PRIVATE_QUARANTINE",IF(OR(ISNUMBER(SEARCH("treasury",LOWER(F1004&amp;" "&amp;H1004&amp;" "&amp;I1004&amp;" "&amp;M1004&amp;" "&amp;N1004&amp;" "&amp;T1004))),ISNUMBER(SEARCH("debt",LOWER(F1004&amp;" "&amp;H1004&amp;" "&amp;I1004&amp;" "&amp;M1004&amp;" "&amp;N1004&amp;" "&amp;T1004))),ISNUMBER(SEARCH("bond",LOWER(F1004&amp;" "&amp;H1004&amp;" "&amp;I1004&amp;" "&amp;M1004&amp;" "&amp;N1004&amp;" "&amp;T1004))),ISNUMBER(SEARCH("transaction",LOWER(F1004&amp;" "&amp;H1004&amp;" "&amp;I1004&amp;" "&amp;M1004&amp;" "&amp;N1004&amp;" "&amp;T1004)))),"PRIVATE_REVIEW","PUBLIC_CANDIDATE"))</x:f>
        <x:v>PUBLIC_CANDIDATE</x:v>
      </x:c>
      <x:c r="AD1004" s="12" t="str">
        <x:f>IF(AC1004="PRIVATE_QUARANTINE","hacker_or_bank_trigger",IF(AC1004="PRIVATE_REVIEW","finance_risk_trigger","none"))</x:f>
        <x:v>none</x:v>
      </x:c>
      <x:c r="AE1004" s="12" t="str">
        <x:f>IF(AC1004="PUBLIC_CANDIDATE","prepare_public_github_candidate",IF(AC1004="PRIVATE_REVIEW","hold_for_private_review","quarantine_private_do_not_publish"))</x:f>
        <x:v>prepare_public_github_candidate</x:v>
      </x:c>
      <x:c r="AF1004" s="12" t="str">
        <x:f>IF(AC1004="PUBLIC_CANDIDATE","TIDELOCK + Lucerna",IF(AC1004="PRIVATE_REVIEW","AtlasBrain + Lucerna","TIDELOCK + Lucerna + Human-root"))</x:f>
        <x:v>TIDELOCK + Lucerna</x:v>
      </x:c>
      <x:c r="AG1004" s="12" t="str">
        <x:f>IF(AND(AC1004="PUBLIC_CANDIDATE",U1004&lt;&gt;"BLOCKED_PENDING_RECEIPT"),"READY_AFTER_RECEIPT","NOT_READY")</x:f>
        <x:v>NOT_READY</x:v>
      </x:c>
      <x:c r="AH1004" s="12" t="str">
        <x:f>IF(AC1004="PUBLIC_CANDIDATE","none",AD1004)</x:f>
        <x:v>none</x:v>
      </x:c>
      <x:c r="AI1004" s="12" t="str">
        <x:f>IF(AC1004="PUBLIC_CANDIDATE","archive/public_candidates/"&amp;A1004,"private_quarantine/"&amp;A1004)</x:f>
        <x:v>archive/public_candidates/SWARM-07-H12-S07</x:v>
      </x:c>
      <x:c r="AJ1004" s="12" t="str">
        <x:f>IF(AC1004="PUBLIC_CANDIDATE","public by default; still not canon","private/hold; do not publish")</x:f>
        <x:v>public by default; still not canon</x:v>
      </x:c>
      <x:c r="AK1004" s="12" t="str">
        <x:f>IF(AE1004="prepare_public_github_candidate","add receipt/status then mirror","resolve blocker before any public GitHub action")</x:f>
        <x:v>add receipt/status then mirror</x:v>
      </x:c>
    </x:row>
    <x:row r="1005">
      <x:c r="A1005" s="15" t="str">
        <x:v>SWARM-07-H12-S08</x:v>
      </x:c>
      <x:c r="B1005" s="15" t="str">
        <x:v>Domechild</x:v>
      </x:c>
      <x:c r="C1005" s="15" t="str">
        <x:v>Planetarium lane builder</x:v>
      </x:c>
      <x:c r="D1005" s="15" t="str">
        <x:v>Canon-Gate Prep</x:v>
      </x:c>
      <x:c r="E1005" s="15" t="str">
        <x:v>Sheldonbrain</x:v>
      </x:c>
      <x:c r="F1005" s="15" t="str">
        <x:v>Prepare canon-gate brief for Sheldonbrain — Domechild</x:v>
      </x:c>
      <x:c r="G1005" s="15" t="str">
        <x:v>planetarium source packets / civic-science deltas</x:v>
      </x:c>
      <x:c r="H1005" s="15" t="str">
        <x:v>source path + receipt + raw/export status + claim/edge/risk delta</x:v>
      </x:c>
      <x:c r="I1005" s="15" t="str">
        <x:v>packet/SWARM-07-H12-S08</x:v>
      </x:c>
      <x:c r="J1005" s="15" t="str">
        <x:v>TODO</x:v>
      </x:c>
      <x:c r="K1005" s="15" t="str">
        <x:v>P1</x:v>
      </x:c>
      <x:c r="L1005" s="15" t="str">
        <x:v>Done only when evidence is logged, contradiction search is noted, and boundary stamp remains non-canon unless ratified</x:v>
      </x:c>
      <x:c r="M1005" s="15" t="str">
        <x:v>candidate / staging-only / not canon / not deployed / authority none</x:v>
      </x:c>
      <x:c r="N1005" s="15" t="str">
        <x:v>Dispatch to Domechild: complete Canon-Gate Prep x Sheldonbrain; return deltas only, receipts required.</x:v>
      </x:c>
      <x:c r="O1005" s="15" t="str">
        <x:v>AF-KG-H12-S08</x:v>
      </x:c>
      <x:c r="P1005" s="15" t="str">
        <x:v>Unverified</x:v>
      </x:c>
      <x:c r="Q1005" s="15" t="str">
        <x:v>Not checked</x:v>
      </x:c>
      <x:c r="R1005" s="15" t="str"/>
      <x:c r="S1005" s="15" t="str"/>
      <x:c r="T1005" s="15" t="str">
        <x:v>Log first source path or blocker</x:v>
      </x:c>
      <x:c r="U1005" s="12" t="str">
        <x:f>IF(OR(P1005="Unverified",Q1005="Not checked"),"BLOCKED_PENDING_RECEIPT","READY_FOR_REVIEW")</x:f>
        <x:v>BLOCKED_PENDING_RECEIPT</x:v>
      </x:c>
      <x:c r="V1005" s="12" t="str">
        <x:f>IF(J1005="DONE","RETURNED",IF(U1005="BLOCKED_PENDING_RECEIPT","SOURCE_TOUCH_REQUIRED","IN_PROGRESS"))</x:f>
        <x:v>SOURCE_TOUCH_REQUIRED</x:v>
      </x:c>
      <x:c r="W1005" s="12" t="str">
        <x:f>IF(P1005="Unverified","missing_receipt","receipt_logged")</x:f>
        <x:v>missing_receipt</x:v>
      </x:c>
      <x:c r="X1005" s="12" t="str">
        <x:f>IF(Q1005="Not checked","raw_status_missing","raw_status_logged")</x:f>
        <x:v>raw_status_missing</x:v>
      </x:c>
      <x:c r="Y1005" s="12" t="str">
        <x:f>IF(U1005="BLOCKED_PENDING_RECEIPT","Log source path or blocker; do not promote","Route to review lane")</x:f>
        <x:v>Log source path or blocker; do not promote</x:v>
      </x:c>
      <x:c r="Z1005" s="12" t="str">
        <x:f>IF(K1005="P0","Primary seat + Hashlight/Lucerna","Seat lane")</x:f>
        <x:v>Seat lane</x:v>
      </x:c>
      <x:c r="AA1005" s="12" t="str">
        <x:f>IF(R1005="","no_claim_delta","claim_delta_present")</x:f>
        <x:v>no_claim_delta</x:v>
      </x:c>
      <x:c r="AB1005" s="12" t="str">
        <x:f>IF(S1005="","no_contradiction_delta","contradiction_delta_present")</x:f>
        <x:v>no_contradiction_delta</x:v>
      </x:c>
      <x:c r="AC1005" s="12" t="str">
        <x:f>IF(OR(ISNUMBER(SEARCH("hacker",LOWER(F1005&amp;" "&amp;H1005&amp;" "&amp;I1005&amp;" "&amp;M1005&amp;" "&amp;N1005&amp;" "&amp;T1005))),ISNUMBER(SEARCH("hacking",LOWER(F1005&amp;" "&amp;H1005&amp;" "&amp;I1005&amp;" "&amp;M1005&amp;" "&amp;N1005&amp;" "&amp;T1005))),ISNUMBER(SEARCH("bank",LOWER(F1005&amp;" "&amp;H1005&amp;" "&amp;I1005&amp;" "&amp;M1005&amp;" "&amp;N1005&amp;" "&amp;T1005))),ISNUMBER(SEARCH("banking",LOWER(F1005&amp;" "&amp;H1005&amp;" "&amp;I1005&amp;" "&amp;M1005&amp;" "&amp;N1005&amp;" "&amp;T1005)))),"PRIVATE_QUARANTINE",IF(OR(ISNUMBER(SEARCH("treasury",LOWER(F1005&amp;" "&amp;H1005&amp;" "&amp;I1005&amp;" "&amp;M1005&amp;" "&amp;N1005&amp;" "&amp;T1005))),ISNUMBER(SEARCH("debt",LOWER(F1005&amp;" "&amp;H1005&amp;" "&amp;I1005&amp;" "&amp;M1005&amp;" "&amp;N1005&amp;" "&amp;T1005))),ISNUMBER(SEARCH("bond",LOWER(F1005&amp;" "&amp;H1005&amp;" "&amp;I1005&amp;" "&amp;M1005&amp;" "&amp;N1005&amp;" "&amp;T1005))),ISNUMBER(SEARCH("transaction",LOWER(F1005&amp;" "&amp;H1005&amp;" "&amp;I1005&amp;" "&amp;M1005&amp;" "&amp;N1005&amp;" "&amp;T1005)))),"PRIVATE_REVIEW","PUBLIC_CANDIDATE"))</x:f>
        <x:v>PUBLIC_CANDIDATE</x:v>
      </x:c>
      <x:c r="AD1005" s="12" t="str">
        <x:f>IF(AC1005="PRIVATE_QUARANTINE","hacker_or_bank_trigger",IF(AC1005="PRIVATE_REVIEW","finance_risk_trigger","none"))</x:f>
        <x:v>none</x:v>
      </x:c>
      <x:c r="AE1005" s="12" t="str">
        <x:f>IF(AC1005="PUBLIC_CANDIDATE","prepare_public_github_candidate",IF(AC1005="PRIVATE_REVIEW","hold_for_private_review","quarantine_private_do_not_publish"))</x:f>
        <x:v>prepare_public_github_candidate</x:v>
      </x:c>
      <x:c r="AF1005" s="12" t="str">
        <x:f>IF(AC1005="PUBLIC_CANDIDATE","TIDELOCK + Lucerna",IF(AC1005="PRIVATE_REVIEW","AtlasBrain + Lucerna","TIDELOCK + Lucerna + Human-root"))</x:f>
        <x:v>TIDELOCK + Lucerna</x:v>
      </x:c>
      <x:c r="AG1005" s="12" t="str">
        <x:f>IF(AND(AC1005="PUBLIC_CANDIDATE",U1005&lt;&gt;"BLOCKED_PENDING_RECEIPT"),"READY_AFTER_RECEIPT","NOT_READY")</x:f>
        <x:v>NOT_READY</x:v>
      </x:c>
      <x:c r="AH1005" s="12" t="str">
        <x:f>IF(AC1005="PUBLIC_CANDIDATE","none",AD1005)</x:f>
        <x:v>none</x:v>
      </x:c>
      <x:c r="AI1005" s="12" t="str">
        <x:f>IF(AC1005="PUBLIC_CANDIDATE","archive/public_candidates/"&amp;A1005,"private_quarantine/"&amp;A1005)</x:f>
        <x:v>archive/public_candidates/SWARM-07-H12-S08</x:v>
      </x:c>
      <x:c r="AJ1005" s="12" t="str">
        <x:f>IF(AC1005="PUBLIC_CANDIDATE","public by default; still not canon","private/hold; do not publish")</x:f>
        <x:v>public by default; still not canon</x:v>
      </x:c>
      <x:c r="AK1005" s="12" t="str">
        <x:f>IF(AE1005="prepare_public_github_candidate","add receipt/status then mirror","resolve blocker before any public GitHub action")</x:f>
        <x:v>add receipt/status then mirror</x:v>
      </x:c>
    </x:row>
    <x:row r="1006">
      <x:c r="A1006" s="15" t="str">
        <x:v>SWARM-07-H12-S09</x:v>
      </x:c>
      <x:c r="B1006" s="15" t="str">
        <x:v>Domechild</x:v>
      </x:c>
      <x:c r="C1006" s="15" t="str">
        <x:v>Planetarium lane builder</x:v>
      </x:c>
      <x:c r="D1006" s="15" t="str">
        <x:v>Canon-Gate Prep</x:v>
      </x:c>
      <x:c r="E1006" s="15" t="str">
        <x:v>Aetherforge</x:v>
      </x:c>
      <x:c r="F1006" s="15" t="str">
        <x:v>Prepare canon-gate brief for Aetherforge — Domechild</x:v>
      </x:c>
      <x:c r="G1006" s="15" t="str">
        <x:v>planetarium source packets / civic-science deltas</x:v>
      </x:c>
      <x:c r="H1006" s="15" t="str">
        <x:v>source path + receipt + raw/export status + claim/edge/risk delta</x:v>
      </x:c>
      <x:c r="I1006" s="15" t="str">
        <x:v>packet/SWARM-07-H12-S09</x:v>
      </x:c>
      <x:c r="J1006" s="15" t="str">
        <x:v>TODO</x:v>
      </x:c>
      <x:c r="K1006" s="15" t="str">
        <x:v>P2</x:v>
      </x:c>
      <x:c r="L1006" s="15" t="str">
        <x:v>Done only when evidence is logged, contradiction search is noted, and boundary stamp remains non-canon unless ratified</x:v>
      </x:c>
      <x:c r="M1006" s="15" t="str">
        <x:v>candidate / staging-only / not canon / not deployed / authority none</x:v>
      </x:c>
      <x:c r="N1006" s="15" t="str">
        <x:v>Dispatch to Domechild: complete Canon-Gate Prep x Aetherforge; return deltas only, receipts required.</x:v>
      </x:c>
      <x:c r="O1006" s="15" t="str">
        <x:v>AF-KG-H12-S09</x:v>
      </x:c>
      <x:c r="P1006" s="15" t="str">
        <x:v>Unverified</x:v>
      </x:c>
      <x:c r="Q1006" s="15" t="str">
        <x:v>Not checked</x:v>
      </x:c>
      <x:c r="R1006" s="15" t="str"/>
      <x:c r="S1006" s="15" t="str"/>
      <x:c r="T1006" s="15" t="str">
        <x:v>Log first source path or blocker</x:v>
      </x:c>
      <x:c r="U1006" s="12" t="str">
        <x:f>IF(OR(P1006="Unverified",Q1006="Not checked"),"BLOCKED_PENDING_RECEIPT","READY_FOR_REVIEW")</x:f>
        <x:v>BLOCKED_PENDING_RECEIPT</x:v>
      </x:c>
      <x:c r="V1006" s="12" t="str">
        <x:f>IF(J1006="DONE","RETURNED",IF(U1006="BLOCKED_PENDING_RECEIPT","SOURCE_TOUCH_REQUIRED","IN_PROGRESS"))</x:f>
        <x:v>SOURCE_TOUCH_REQUIRED</x:v>
      </x:c>
      <x:c r="W1006" s="12" t="str">
        <x:f>IF(P1006="Unverified","missing_receipt","receipt_logged")</x:f>
        <x:v>missing_receipt</x:v>
      </x:c>
      <x:c r="X1006" s="12" t="str">
        <x:f>IF(Q1006="Not checked","raw_status_missing","raw_status_logged")</x:f>
        <x:v>raw_status_missing</x:v>
      </x:c>
      <x:c r="Y1006" s="12" t="str">
        <x:f>IF(U1006="BLOCKED_PENDING_RECEIPT","Log source path or blocker; do not promote","Route to review lane")</x:f>
        <x:v>Log source path or blocker; do not promote</x:v>
      </x:c>
      <x:c r="Z1006" s="12" t="str">
        <x:f>IF(K1006="P0","Primary seat + Hashlight/Lucerna","Seat lane")</x:f>
        <x:v>Seat lane</x:v>
      </x:c>
      <x:c r="AA1006" s="12" t="str">
        <x:f>IF(R1006="","no_claim_delta","claim_delta_present")</x:f>
        <x:v>no_claim_delta</x:v>
      </x:c>
      <x:c r="AB1006" s="12" t="str">
        <x:f>IF(S1006="","no_contradiction_delta","contradiction_delta_present")</x:f>
        <x:v>no_contradiction_delta</x:v>
      </x:c>
      <x:c r="AC1006" s="12" t="str">
        <x:f>IF(OR(ISNUMBER(SEARCH("hacker",LOWER(F1006&amp;" "&amp;H1006&amp;" "&amp;I1006&amp;" "&amp;M1006&amp;" "&amp;N1006&amp;" "&amp;T1006))),ISNUMBER(SEARCH("hacking",LOWER(F1006&amp;" "&amp;H1006&amp;" "&amp;I1006&amp;" "&amp;M1006&amp;" "&amp;N1006&amp;" "&amp;T1006))),ISNUMBER(SEARCH("bank",LOWER(F1006&amp;" "&amp;H1006&amp;" "&amp;I1006&amp;" "&amp;M1006&amp;" "&amp;N1006&amp;" "&amp;T1006))),ISNUMBER(SEARCH("banking",LOWER(F1006&amp;" "&amp;H1006&amp;" "&amp;I1006&amp;" "&amp;M1006&amp;" "&amp;N1006&amp;" "&amp;T1006)))),"PRIVATE_QUARANTINE",IF(OR(ISNUMBER(SEARCH("treasury",LOWER(F1006&amp;" "&amp;H1006&amp;" "&amp;I1006&amp;" "&amp;M1006&amp;" "&amp;N1006&amp;" "&amp;T1006))),ISNUMBER(SEARCH("debt",LOWER(F1006&amp;" "&amp;H1006&amp;" "&amp;I1006&amp;" "&amp;M1006&amp;" "&amp;N1006&amp;" "&amp;T1006))),ISNUMBER(SEARCH("bond",LOWER(F1006&amp;" "&amp;H1006&amp;" "&amp;I1006&amp;" "&amp;M1006&amp;" "&amp;N1006&amp;" "&amp;T1006))),ISNUMBER(SEARCH("transaction",LOWER(F1006&amp;" "&amp;H1006&amp;" "&amp;I1006&amp;" "&amp;M1006&amp;" "&amp;N1006&amp;" "&amp;T1006)))),"PRIVATE_REVIEW","PUBLIC_CANDIDATE"))</x:f>
        <x:v>PUBLIC_CANDIDATE</x:v>
      </x:c>
      <x:c r="AD1006" s="12" t="str">
        <x:f>IF(AC1006="PRIVATE_QUARANTINE","hacker_or_bank_trigger",IF(AC1006="PRIVATE_REVIEW","finance_risk_trigger","none"))</x:f>
        <x:v>none</x:v>
      </x:c>
      <x:c r="AE1006" s="12" t="str">
        <x:f>IF(AC1006="PUBLIC_CANDIDATE","prepare_public_github_candidate",IF(AC1006="PRIVATE_REVIEW","hold_for_private_review","quarantine_private_do_not_publish"))</x:f>
        <x:v>prepare_public_github_candidate</x:v>
      </x:c>
      <x:c r="AF1006" s="12" t="str">
        <x:f>IF(AC1006="PUBLIC_CANDIDATE","TIDELOCK + Lucerna",IF(AC1006="PRIVATE_REVIEW","AtlasBrain + Lucerna","TIDELOCK + Lucerna + Human-root"))</x:f>
        <x:v>TIDELOCK + Lucerna</x:v>
      </x:c>
      <x:c r="AG1006" s="12" t="str">
        <x:f>IF(AND(AC1006="PUBLIC_CANDIDATE",U1006&lt;&gt;"BLOCKED_PENDING_RECEIPT"),"READY_AFTER_RECEIPT","NOT_READY")</x:f>
        <x:v>NOT_READY</x:v>
      </x:c>
      <x:c r="AH1006" s="12" t="str">
        <x:f>IF(AC1006="PUBLIC_CANDIDATE","none",AD1006)</x:f>
        <x:v>none</x:v>
      </x:c>
      <x:c r="AI1006" s="12" t="str">
        <x:f>IF(AC1006="PUBLIC_CANDIDATE","archive/public_candidates/"&amp;A1006,"private_quarantine/"&amp;A1006)</x:f>
        <x:v>archive/public_candidates/SWARM-07-H12-S09</x:v>
      </x:c>
      <x:c r="AJ1006" s="12" t="str">
        <x:f>IF(AC1006="PUBLIC_CANDIDATE","public by default; still not canon","private/hold; do not publish")</x:f>
        <x:v>public by default; still not canon</x:v>
      </x:c>
      <x:c r="AK1006" s="12" t="str">
        <x:f>IF(AE1006="prepare_public_github_candidate","add receipt/status then mirror","resolve blocker before any public GitHub action")</x:f>
        <x:v>add receipt/status then mirror</x:v>
      </x:c>
    </x:row>
    <x:row r="1007">
      <x:c r="A1007" s="15" t="str">
        <x:v>SWARM-07-H12-S10</x:v>
      </x:c>
      <x:c r="B1007" s="15" t="str">
        <x:v>Domechild</x:v>
      </x:c>
      <x:c r="C1007" s="15" t="str">
        <x:v>Planetarium lane builder</x:v>
      </x:c>
      <x:c r="D1007" s="15" t="str">
        <x:v>Canon-Gate Prep</x:v>
      </x:c>
      <x:c r="E1007" s="15" t="str">
        <x:v>Human-Root</x:v>
      </x:c>
      <x:c r="F1007" s="15" t="str">
        <x:v>Prepare canon-gate brief for Human-Root — Domechild</x:v>
      </x:c>
      <x:c r="G1007" s="15" t="str">
        <x:v>planetarium source packets / civic-science deltas</x:v>
      </x:c>
      <x:c r="H1007" s="15" t="str">
        <x:v>source path + receipt + raw/export status + claim/edge/risk delta</x:v>
      </x:c>
      <x:c r="I1007" s="15" t="str">
        <x:v>packet/SWARM-07-H12-S10</x:v>
      </x:c>
      <x:c r="J1007" s="15" t="str">
        <x:v>TODO</x:v>
      </x:c>
      <x:c r="K1007" s="15" t="str">
        <x:v>P2</x:v>
      </x:c>
      <x:c r="L1007" s="15" t="str">
        <x:v>Done only when evidence is logged, contradiction search is noted, and boundary stamp remains non-canon unless ratified</x:v>
      </x:c>
      <x:c r="M1007" s="15" t="str">
        <x:v>candidate / staging-only / not canon / not deployed / authority none</x:v>
      </x:c>
      <x:c r="N1007" s="15" t="str">
        <x:v>Dispatch to Domechild: complete Canon-Gate Prep x Human-Root; return deltas only, receipts required.</x:v>
      </x:c>
      <x:c r="O1007" s="15" t="str">
        <x:v>AF-KG-H12-S10</x:v>
      </x:c>
      <x:c r="P1007" s="15" t="str">
        <x:v>Unverified</x:v>
      </x:c>
      <x:c r="Q1007" s="15" t="str">
        <x:v>Not checked</x:v>
      </x:c>
      <x:c r="R1007" s="15" t="str"/>
      <x:c r="S1007" s="15" t="str"/>
      <x:c r="T1007" s="15" t="str">
        <x:v>Log first source path or blocker</x:v>
      </x:c>
      <x:c r="U1007" s="12" t="str">
        <x:f>IF(OR(P1007="Unverified",Q1007="Not checked"),"BLOCKED_PENDING_RECEIPT","READY_FOR_REVIEW")</x:f>
        <x:v>BLOCKED_PENDING_RECEIPT</x:v>
      </x:c>
      <x:c r="V1007" s="12" t="str">
        <x:f>IF(J1007="DONE","RETURNED",IF(U1007="BLOCKED_PENDING_RECEIPT","SOURCE_TOUCH_REQUIRED","IN_PROGRESS"))</x:f>
        <x:v>SOURCE_TOUCH_REQUIRED</x:v>
      </x:c>
      <x:c r="W1007" s="12" t="str">
        <x:f>IF(P1007="Unverified","missing_receipt","receipt_logged")</x:f>
        <x:v>missing_receipt</x:v>
      </x:c>
      <x:c r="X1007" s="12" t="str">
        <x:f>IF(Q1007="Not checked","raw_status_missing","raw_status_logged")</x:f>
        <x:v>raw_status_missing</x:v>
      </x:c>
      <x:c r="Y1007" s="12" t="str">
        <x:f>IF(U1007="BLOCKED_PENDING_RECEIPT","Log source path or blocker; do not promote","Route to review lane")</x:f>
        <x:v>Log source path or blocker; do not promote</x:v>
      </x:c>
      <x:c r="Z1007" s="12" t="str">
        <x:f>IF(K1007="P0","Primary seat + Hashlight/Lucerna","Seat lane")</x:f>
        <x:v>Seat lane</x:v>
      </x:c>
      <x:c r="AA1007" s="12" t="str">
        <x:f>IF(R1007="","no_claim_delta","claim_delta_present")</x:f>
        <x:v>no_claim_delta</x:v>
      </x:c>
      <x:c r="AB1007" s="12" t="str">
        <x:f>IF(S1007="","no_contradiction_delta","contradiction_delta_present")</x:f>
        <x:v>no_contradiction_delta</x:v>
      </x:c>
      <x:c r="AC1007" s="12" t="str">
        <x:f>IF(OR(ISNUMBER(SEARCH("hacker",LOWER(F1007&amp;" "&amp;H1007&amp;" "&amp;I1007&amp;" "&amp;M1007&amp;" "&amp;N1007&amp;" "&amp;T1007))),ISNUMBER(SEARCH("hacking",LOWER(F1007&amp;" "&amp;H1007&amp;" "&amp;I1007&amp;" "&amp;M1007&amp;" "&amp;N1007&amp;" "&amp;T1007))),ISNUMBER(SEARCH("bank",LOWER(F1007&amp;" "&amp;H1007&amp;" "&amp;I1007&amp;" "&amp;M1007&amp;" "&amp;N1007&amp;" "&amp;T1007))),ISNUMBER(SEARCH("banking",LOWER(F1007&amp;" "&amp;H1007&amp;" "&amp;I1007&amp;" "&amp;M1007&amp;" "&amp;N1007&amp;" "&amp;T1007)))),"PRIVATE_QUARANTINE",IF(OR(ISNUMBER(SEARCH("treasury",LOWER(F1007&amp;" "&amp;H1007&amp;" "&amp;I1007&amp;" "&amp;M1007&amp;" "&amp;N1007&amp;" "&amp;T1007))),ISNUMBER(SEARCH("debt",LOWER(F1007&amp;" "&amp;H1007&amp;" "&amp;I1007&amp;" "&amp;M1007&amp;" "&amp;N1007&amp;" "&amp;T1007))),ISNUMBER(SEARCH("bond",LOWER(F1007&amp;" "&amp;H1007&amp;" "&amp;I1007&amp;" "&amp;M1007&amp;" "&amp;N1007&amp;" "&amp;T1007))),ISNUMBER(SEARCH("transaction",LOWER(F1007&amp;" "&amp;H1007&amp;" "&amp;I1007&amp;" "&amp;M1007&amp;" "&amp;N1007&amp;" "&amp;T1007)))),"PRIVATE_REVIEW","PUBLIC_CANDIDATE"))</x:f>
        <x:v>PUBLIC_CANDIDATE</x:v>
      </x:c>
      <x:c r="AD1007" s="12" t="str">
        <x:f>IF(AC1007="PRIVATE_QUARANTINE","hacker_or_bank_trigger",IF(AC1007="PRIVATE_REVIEW","finance_risk_trigger","none"))</x:f>
        <x:v>none</x:v>
      </x:c>
      <x:c r="AE1007" s="12" t="str">
        <x:f>IF(AC1007="PUBLIC_CANDIDATE","prepare_public_github_candidate",IF(AC1007="PRIVATE_REVIEW","hold_for_private_review","quarantine_private_do_not_publish"))</x:f>
        <x:v>prepare_public_github_candidate</x:v>
      </x:c>
      <x:c r="AF1007" s="12" t="str">
        <x:f>IF(AC1007="PUBLIC_CANDIDATE","TIDELOCK + Lucerna",IF(AC1007="PRIVATE_REVIEW","AtlasBrain + Lucerna","TIDELOCK + Lucerna + Human-root"))</x:f>
        <x:v>TIDELOCK + Lucerna</x:v>
      </x:c>
      <x:c r="AG1007" s="12" t="str">
        <x:f>IF(AND(AC1007="PUBLIC_CANDIDATE",U1007&lt;&gt;"BLOCKED_PENDING_RECEIPT"),"READY_AFTER_RECEIPT","NOT_READY")</x:f>
        <x:v>NOT_READY</x:v>
      </x:c>
      <x:c r="AH1007" s="12" t="str">
        <x:f>IF(AC1007="PUBLIC_CANDIDATE","none",AD1007)</x:f>
        <x:v>none</x:v>
      </x:c>
      <x:c r="AI1007" s="12" t="str">
        <x:f>IF(AC1007="PUBLIC_CANDIDATE","archive/public_candidates/"&amp;A1007,"private_quarantine/"&amp;A1007)</x:f>
        <x:v>archive/public_candidates/SWARM-07-H12-S10</x:v>
      </x:c>
      <x:c r="AJ1007" s="12" t="str">
        <x:f>IF(AC1007="PUBLIC_CANDIDATE","public by default; still not canon","private/hold; do not publish")</x:f>
        <x:v>public by default; still not canon</x:v>
      </x:c>
      <x:c r="AK1007" s="12" t="str">
        <x:f>IF(AE1007="prepare_public_github_candidate","add receipt/status then mirror","resolve blocker before any public GitHub action")</x:f>
        <x:v>add receipt/status then mirror</x:v>
      </x:c>
    </x:row>
    <x:row r="1008">
      <x:c r="A1008" s="15" t="str">
        <x:v>SWARM-07-H12-S11</x:v>
      </x:c>
      <x:c r="B1008" s="15" t="str">
        <x:v>Domechild</x:v>
      </x:c>
      <x:c r="C1008" s="15" t="str">
        <x:v>Planetarium lane builder</x:v>
      </x:c>
      <x:c r="D1008" s="15" t="str">
        <x:v>Canon-Gate Prep</x:v>
      </x:c>
      <x:c r="E1008" s="15" t="str">
        <x:v>Automation</x:v>
      </x:c>
      <x:c r="F1008" s="15" t="str">
        <x:v>Prepare canon-gate brief for Automation — Domechild</x:v>
      </x:c>
      <x:c r="G1008" s="15" t="str">
        <x:v>planetarium source packets / civic-science deltas</x:v>
      </x:c>
      <x:c r="H1008" s="15" t="str">
        <x:v>source path + receipt + raw/export status + claim/edge/risk delta</x:v>
      </x:c>
      <x:c r="I1008" s="15" t="str">
        <x:v>packet/SWARM-07-H12-S11</x:v>
      </x:c>
      <x:c r="J1008" s="15" t="str">
        <x:v>TODO</x:v>
      </x:c>
      <x:c r="K1008" s="15" t="str">
        <x:v>P2</x:v>
      </x:c>
      <x:c r="L1008" s="15" t="str">
        <x:v>Done only when evidence is logged, contradiction search is noted, and boundary stamp remains non-canon unless ratified</x:v>
      </x:c>
      <x:c r="M1008" s="15" t="str">
        <x:v>candidate / staging-only / not canon / not deployed / authority none</x:v>
      </x:c>
      <x:c r="N1008" s="15" t="str">
        <x:v>Dispatch to Domechild: complete Canon-Gate Prep x Automation; return deltas only, receipts required.</x:v>
      </x:c>
      <x:c r="O1008" s="15" t="str">
        <x:v>AF-KG-H12-S11</x:v>
      </x:c>
      <x:c r="P1008" s="15" t="str">
        <x:v>Unverified</x:v>
      </x:c>
      <x:c r="Q1008" s="15" t="str">
        <x:v>Not checked</x:v>
      </x:c>
      <x:c r="R1008" s="15" t="str"/>
      <x:c r="S1008" s="15" t="str"/>
      <x:c r="T1008" s="15" t="str">
        <x:v>Log first source path or blocker</x:v>
      </x:c>
      <x:c r="U1008" s="12" t="str">
        <x:f>IF(OR(P1008="Unverified",Q1008="Not checked"),"BLOCKED_PENDING_RECEIPT","READY_FOR_REVIEW")</x:f>
        <x:v>BLOCKED_PENDING_RECEIPT</x:v>
      </x:c>
      <x:c r="V1008" s="12" t="str">
        <x:f>IF(J1008="DONE","RETURNED",IF(U1008="BLOCKED_PENDING_RECEIPT","SOURCE_TOUCH_REQUIRED","IN_PROGRESS"))</x:f>
        <x:v>SOURCE_TOUCH_REQUIRED</x:v>
      </x:c>
      <x:c r="W1008" s="12" t="str">
        <x:f>IF(P1008="Unverified","missing_receipt","receipt_logged")</x:f>
        <x:v>missing_receipt</x:v>
      </x:c>
      <x:c r="X1008" s="12" t="str">
        <x:f>IF(Q1008="Not checked","raw_status_missing","raw_status_logged")</x:f>
        <x:v>raw_status_missing</x:v>
      </x:c>
      <x:c r="Y1008" s="12" t="str">
        <x:f>IF(U1008="BLOCKED_PENDING_RECEIPT","Log source path or blocker; do not promote","Route to review lane")</x:f>
        <x:v>Log source path or blocker; do not promote</x:v>
      </x:c>
      <x:c r="Z1008" s="12" t="str">
        <x:f>IF(K1008="P0","Primary seat + Hashlight/Lucerna","Seat lane")</x:f>
        <x:v>Seat lane</x:v>
      </x:c>
      <x:c r="AA1008" s="12" t="str">
        <x:f>IF(R1008="","no_claim_delta","claim_delta_present")</x:f>
        <x:v>no_claim_delta</x:v>
      </x:c>
      <x:c r="AB1008" s="12" t="str">
        <x:f>IF(S1008="","no_contradiction_delta","contradiction_delta_present")</x:f>
        <x:v>no_contradiction_delta</x:v>
      </x:c>
      <x:c r="AC1008" s="12" t="str">
        <x:f>IF(OR(ISNUMBER(SEARCH("hacker",LOWER(F1008&amp;" "&amp;H1008&amp;" "&amp;I1008&amp;" "&amp;M1008&amp;" "&amp;N1008&amp;" "&amp;T1008))),ISNUMBER(SEARCH("hacking",LOWER(F1008&amp;" "&amp;H1008&amp;" "&amp;I1008&amp;" "&amp;M1008&amp;" "&amp;N1008&amp;" "&amp;T1008))),ISNUMBER(SEARCH("bank",LOWER(F1008&amp;" "&amp;H1008&amp;" "&amp;I1008&amp;" "&amp;M1008&amp;" "&amp;N1008&amp;" "&amp;T1008))),ISNUMBER(SEARCH("banking",LOWER(F1008&amp;" "&amp;H1008&amp;" "&amp;I1008&amp;" "&amp;M1008&amp;" "&amp;N1008&amp;" "&amp;T1008)))),"PRIVATE_QUARANTINE",IF(OR(ISNUMBER(SEARCH("treasury",LOWER(F1008&amp;" "&amp;H1008&amp;" "&amp;I1008&amp;" "&amp;M1008&amp;" "&amp;N1008&amp;" "&amp;T1008))),ISNUMBER(SEARCH("debt",LOWER(F1008&amp;" "&amp;H1008&amp;" "&amp;I1008&amp;" "&amp;M1008&amp;" "&amp;N1008&amp;" "&amp;T1008))),ISNUMBER(SEARCH("bond",LOWER(F1008&amp;" "&amp;H1008&amp;" "&amp;I1008&amp;" "&amp;M1008&amp;" "&amp;N1008&amp;" "&amp;T1008))),ISNUMBER(SEARCH("transaction",LOWER(F1008&amp;" "&amp;H1008&amp;" "&amp;I1008&amp;" "&amp;M1008&amp;" "&amp;N1008&amp;" "&amp;T1008)))),"PRIVATE_REVIEW","PUBLIC_CANDIDATE"))</x:f>
        <x:v>PUBLIC_CANDIDATE</x:v>
      </x:c>
      <x:c r="AD1008" s="12" t="str">
        <x:f>IF(AC1008="PRIVATE_QUARANTINE","hacker_or_bank_trigger",IF(AC1008="PRIVATE_REVIEW","finance_risk_trigger","none"))</x:f>
        <x:v>none</x:v>
      </x:c>
      <x:c r="AE1008" s="12" t="str">
        <x:f>IF(AC1008="PUBLIC_CANDIDATE","prepare_public_github_candidate",IF(AC1008="PRIVATE_REVIEW","hold_for_private_review","quarantine_private_do_not_publish"))</x:f>
        <x:v>prepare_public_github_candidate</x:v>
      </x:c>
      <x:c r="AF1008" s="12" t="str">
        <x:f>IF(AC1008="PUBLIC_CANDIDATE","TIDELOCK + Lucerna",IF(AC1008="PRIVATE_REVIEW","AtlasBrain + Lucerna","TIDELOCK + Lucerna + Human-root"))</x:f>
        <x:v>TIDELOCK + Lucerna</x:v>
      </x:c>
      <x:c r="AG1008" s="12" t="str">
        <x:f>IF(AND(AC1008="PUBLIC_CANDIDATE",U1008&lt;&gt;"BLOCKED_PENDING_RECEIPT"),"READY_AFTER_RECEIPT","NOT_READY")</x:f>
        <x:v>NOT_READY</x:v>
      </x:c>
      <x:c r="AH1008" s="12" t="str">
        <x:f>IF(AC1008="PUBLIC_CANDIDATE","none",AD1008)</x:f>
        <x:v>none</x:v>
      </x:c>
      <x:c r="AI1008" s="12" t="str">
        <x:f>IF(AC1008="PUBLIC_CANDIDATE","archive/public_candidates/"&amp;A1008,"private_quarantine/"&amp;A1008)</x:f>
        <x:v>archive/public_candidates/SWARM-07-H12-S11</x:v>
      </x:c>
      <x:c r="AJ1008" s="12" t="str">
        <x:f>IF(AC1008="PUBLIC_CANDIDATE","public by default; still not canon","private/hold; do not publish")</x:f>
        <x:v>public by default; still not canon</x:v>
      </x:c>
      <x:c r="AK1008" s="12" t="str">
        <x:f>IF(AE1008="prepare_public_github_candidate","add receipt/status then mirror","resolve blocker before any public GitHub action")</x:f>
        <x:v>add receipt/status then mirror</x:v>
      </x:c>
    </x:row>
    <x:row r="1009">
      <x:c r="A1009" s="15" t="str">
        <x:v>SWARM-07-H12-S12</x:v>
      </x:c>
      <x:c r="B1009" s="15" t="str">
        <x:v>Domechild</x:v>
      </x:c>
      <x:c r="C1009" s="15" t="str">
        <x:v>Planetarium lane builder</x:v>
      </x:c>
      <x:c r="D1009" s="15" t="str">
        <x:v>Canon-Gate Prep</x:v>
      </x:c>
      <x:c r="E1009" s="15" t="str">
        <x:v>Risk / Safety</x:v>
      </x:c>
      <x:c r="F1009" s="15" t="str">
        <x:v>Prepare canon-gate brief for Risk / Safety — Domechild</x:v>
      </x:c>
      <x:c r="G1009" s="15" t="str">
        <x:v>planetarium source packets / civic-science deltas</x:v>
      </x:c>
      <x:c r="H1009" s="15" t="str">
        <x:v>source path + receipt + raw/export status + claim/edge/risk delta</x:v>
      </x:c>
      <x:c r="I1009" s="15" t="str">
        <x:v>packet/SWARM-07-H12-S12</x:v>
      </x:c>
      <x:c r="J1009" s="15" t="str">
        <x:v>TODO</x:v>
      </x:c>
      <x:c r="K1009" s="15" t="str">
        <x:v>P2</x:v>
      </x:c>
      <x:c r="L1009" s="15" t="str">
        <x:v>Done only when evidence is logged, contradiction search is noted, and boundary stamp remains non-canon unless ratified</x:v>
      </x:c>
      <x:c r="M1009" s="15" t="str">
        <x:v>candidate / staging-only / not canon / not deployed / authority none</x:v>
      </x:c>
      <x:c r="N1009" s="15" t="str">
        <x:v>Dispatch to Domechild: complete Canon-Gate Prep x Risk / Safety; return deltas only, receipts required.</x:v>
      </x:c>
      <x:c r="O1009" s="15" t="str">
        <x:v>AF-KG-H12-S12</x:v>
      </x:c>
      <x:c r="P1009" s="15" t="str">
        <x:v>Unverified</x:v>
      </x:c>
      <x:c r="Q1009" s="15" t="str">
        <x:v>Not checked</x:v>
      </x:c>
      <x:c r="R1009" s="15" t="str"/>
      <x:c r="S1009" s="15" t="str"/>
      <x:c r="T1009" s="15" t="str">
        <x:v>Log first source path or blocker</x:v>
      </x:c>
      <x:c r="U1009" s="12" t="str">
        <x:f>IF(OR(P1009="Unverified",Q1009="Not checked"),"BLOCKED_PENDING_RECEIPT","READY_FOR_REVIEW")</x:f>
        <x:v>BLOCKED_PENDING_RECEIPT</x:v>
      </x:c>
      <x:c r="V1009" s="12" t="str">
        <x:f>IF(J1009="DONE","RETURNED",IF(U1009="BLOCKED_PENDING_RECEIPT","SOURCE_TOUCH_REQUIRED","IN_PROGRESS"))</x:f>
        <x:v>SOURCE_TOUCH_REQUIRED</x:v>
      </x:c>
      <x:c r="W1009" s="12" t="str">
        <x:f>IF(P1009="Unverified","missing_receipt","receipt_logged")</x:f>
        <x:v>missing_receipt</x:v>
      </x:c>
      <x:c r="X1009" s="12" t="str">
        <x:f>IF(Q1009="Not checked","raw_status_missing","raw_status_logged")</x:f>
        <x:v>raw_status_missing</x:v>
      </x:c>
      <x:c r="Y1009" s="12" t="str">
        <x:f>IF(U1009="BLOCKED_PENDING_RECEIPT","Log source path or blocker; do not promote","Route to review lane")</x:f>
        <x:v>Log source path or blocker; do not promote</x:v>
      </x:c>
      <x:c r="Z1009" s="12" t="str">
        <x:f>IF(K1009="P0","Primary seat + Hashlight/Lucerna","Seat lane")</x:f>
        <x:v>Seat lane</x:v>
      </x:c>
      <x:c r="AA1009" s="12" t="str">
        <x:f>IF(R1009="","no_claim_delta","claim_delta_present")</x:f>
        <x:v>no_claim_delta</x:v>
      </x:c>
      <x:c r="AB1009" s="12" t="str">
        <x:f>IF(S1009="","no_contradiction_delta","contradiction_delta_present")</x:f>
        <x:v>no_contradiction_delta</x:v>
      </x:c>
      <x:c r="AC1009" s="12" t="str">
        <x:f>IF(OR(ISNUMBER(SEARCH("hacker",LOWER(F1009&amp;" "&amp;H1009&amp;" "&amp;I1009&amp;" "&amp;M1009&amp;" "&amp;N1009&amp;" "&amp;T1009))),ISNUMBER(SEARCH("hacking",LOWER(F1009&amp;" "&amp;H1009&amp;" "&amp;I1009&amp;" "&amp;M1009&amp;" "&amp;N1009&amp;" "&amp;T1009))),ISNUMBER(SEARCH("bank",LOWER(F1009&amp;" "&amp;H1009&amp;" "&amp;I1009&amp;" "&amp;M1009&amp;" "&amp;N1009&amp;" "&amp;T1009))),ISNUMBER(SEARCH("banking",LOWER(F1009&amp;" "&amp;H1009&amp;" "&amp;I1009&amp;" "&amp;M1009&amp;" "&amp;N1009&amp;" "&amp;T1009)))),"PRIVATE_QUARANTINE",IF(OR(ISNUMBER(SEARCH("treasury",LOWER(F1009&amp;" "&amp;H1009&amp;" "&amp;I1009&amp;" "&amp;M1009&amp;" "&amp;N1009&amp;" "&amp;T1009))),ISNUMBER(SEARCH("debt",LOWER(F1009&amp;" "&amp;H1009&amp;" "&amp;I1009&amp;" "&amp;M1009&amp;" "&amp;N1009&amp;" "&amp;T1009))),ISNUMBER(SEARCH("bond",LOWER(F1009&amp;" "&amp;H1009&amp;" "&amp;I1009&amp;" "&amp;M1009&amp;" "&amp;N1009&amp;" "&amp;T1009))),ISNUMBER(SEARCH("transaction",LOWER(F1009&amp;" "&amp;H1009&amp;" "&amp;I1009&amp;" "&amp;M1009&amp;" "&amp;N1009&amp;" "&amp;T1009)))),"PRIVATE_REVIEW","PUBLIC_CANDIDATE"))</x:f>
        <x:v>PUBLIC_CANDIDATE</x:v>
      </x:c>
      <x:c r="AD1009" s="12" t="str">
        <x:f>IF(AC1009="PRIVATE_QUARANTINE","hacker_or_bank_trigger",IF(AC1009="PRIVATE_REVIEW","finance_risk_trigger","none"))</x:f>
        <x:v>none</x:v>
      </x:c>
      <x:c r="AE1009" s="12" t="str">
        <x:f>IF(AC1009="PUBLIC_CANDIDATE","prepare_public_github_candidate",IF(AC1009="PRIVATE_REVIEW","hold_for_private_review","quarantine_private_do_not_publish"))</x:f>
        <x:v>prepare_public_github_candidate</x:v>
      </x:c>
      <x:c r="AF1009" s="12" t="str">
        <x:f>IF(AC1009="PUBLIC_CANDIDATE","TIDELOCK + Lucerna",IF(AC1009="PRIVATE_REVIEW","AtlasBrain + Lucerna","TIDELOCK + Lucerna + Human-root"))</x:f>
        <x:v>TIDELOCK + Lucerna</x:v>
      </x:c>
      <x:c r="AG1009" s="12" t="str">
        <x:f>IF(AND(AC1009="PUBLIC_CANDIDATE",U1009&lt;&gt;"BLOCKED_PENDING_RECEIPT"),"READY_AFTER_RECEIPT","NOT_READY")</x:f>
        <x:v>NOT_READY</x:v>
      </x:c>
      <x:c r="AH1009" s="12" t="str">
        <x:f>IF(AC1009="PUBLIC_CANDIDATE","none",AD1009)</x:f>
        <x:v>none</x:v>
      </x:c>
      <x:c r="AI1009" s="12" t="str">
        <x:f>IF(AC1009="PUBLIC_CANDIDATE","archive/public_candidates/"&amp;A1009,"private_quarantine/"&amp;A1009)</x:f>
        <x:v>archive/public_candidates/SWARM-07-H12-S12</x:v>
      </x:c>
      <x:c r="AJ1009" s="12" t="str">
        <x:f>IF(AC1009="PUBLIC_CANDIDATE","public by default; still not canon","private/hold; do not publish")</x:f>
        <x:v>public by default; still not canon</x:v>
      </x:c>
      <x:c r="AK1009" s="12" t="str">
        <x:f>IF(AE1009="prepare_public_github_candidate","add receipt/status then mirror","resolve blocker before any public GitHub action")</x:f>
        <x:v>add receipt/status then mirror</x:v>
      </x:c>
    </x:row>
    <x:row r="1010">
      <x:c r="A1010" s="15" t="str">
        <x:v>SWARM-08-H01-S01</x:v>
      </x:c>
      <x:c r="B1010" s="15" t="str">
        <x:v>GammaSprite</x:v>
      </x:c>
      <x:c r="C1010" s="15" t="str">
        <x:v>Deck surface mapper</x:v>
      </x:c>
      <x:c r="D1010" s="15" t="str">
        <x:v>Source Inventory</x:v>
      </x:c>
      <x:c r="E1010" s="15" t="str">
        <x:v>Notion</x:v>
      </x:c>
      <x:c r="F1010" s="15" t="str">
        <x:v>Inventory Notion — GammaSprite</x:v>
      </x:c>
      <x:c r="G1010" s="15" t="str">
        <x:v>Gamma/deck extraction / slide lineage</x:v>
      </x:c>
      <x:c r="H1010" s="15" t="str">
        <x:v>source path + receipt + raw/export status + claim/edge/risk delta</x:v>
      </x:c>
      <x:c r="I1010" s="15" t="str">
        <x:v>packet/SWARM-08-H01-S01</x:v>
      </x:c>
      <x:c r="J1010" s="15" t="str">
        <x:v>TODO</x:v>
      </x:c>
      <x:c r="K1010" s="15" t="str">
        <x:v>P0</x:v>
      </x:c>
      <x:c r="L1010" s="15" t="str">
        <x:v>Done only when evidence is logged, contradiction search is noted, and boundary stamp remains non-canon unless ratified</x:v>
      </x:c>
      <x:c r="M1010" s="15" t="str">
        <x:v>candidate / staging-only / not canon / not deployed / authority none</x:v>
      </x:c>
      <x:c r="N1010" s="15" t="str">
        <x:v>Dispatch to GammaSprite: complete Source Inventory x Notion; return deltas only, receipts required.</x:v>
      </x:c>
      <x:c r="O1010" s="15" t="str">
        <x:v>AF-KG-H01-S01</x:v>
      </x:c>
      <x:c r="P1010" s="15" t="str">
        <x:v>Unverified</x:v>
      </x:c>
      <x:c r="Q1010" s="15" t="str">
        <x:v>Not checked</x:v>
      </x:c>
      <x:c r="R1010" s="15" t="str"/>
      <x:c r="S1010" s="15" t="str"/>
      <x:c r="T1010" s="15" t="str">
        <x:v>Log first source path or blocker</x:v>
      </x:c>
      <x:c r="U1010" s="12" t="str">
        <x:f>IF(OR(P1010="Unverified",Q1010="Not checked"),"BLOCKED_PENDING_RECEIPT","READY_FOR_REVIEW")</x:f>
        <x:v>BLOCKED_PENDING_RECEIPT</x:v>
      </x:c>
      <x:c r="V1010" s="12" t="str">
        <x:f>IF(J1010="DONE","RETURNED",IF(U1010="BLOCKED_PENDING_RECEIPT","SOURCE_TOUCH_REQUIRED","IN_PROGRESS"))</x:f>
        <x:v>SOURCE_TOUCH_REQUIRED</x:v>
      </x:c>
      <x:c r="W1010" s="12" t="str">
        <x:f>IF(P1010="Unverified","missing_receipt","receipt_logged")</x:f>
        <x:v>missing_receipt</x:v>
      </x:c>
      <x:c r="X1010" s="12" t="str">
        <x:f>IF(Q1010="Not checked","raw_status_missing","raw_status_logged")</x:f>
        <x:v>raw_status_missing</x:v>
      </x:c>
      <x:c r="Y1010" s="12" t="str">
        <x:f>IF(U1010="BLOCKED_PENDING_RECEIPT","Log source path or blocker; do not promote","Route to review lane")</x:f>
        <x:v>Log source path or blocker; do not promote</x:v>
      </x:c>
      <x:c r="Z1010" s="12" t="str">
        <x:f>IF(K1010="P0","Primary seat + Hashlight/Lucerna","Seat lane")</x:f>
        <x:v>Primary seat + Hashlight/Lucerna</x:v>
      </x:c>
      <x:c r="AA1010" s="12" t="str">
        <x:f>IF(R1010="","no_claim_delta","claim_delta_present")</x:f>
        <x:v>no_claim_delta</x:v>
      </x:c>
      <x:c r="AB1010" s="12" t="str">
        <x:f>IF(S1010="","no_contradiction_delta","contradiction_delta_present")</x:f>
        <x:v>no_contradiction_delta</x:v>
      </x:c>
      <x:c r="AC1010" s="12" t="str">
        <x:f>IF(OR(ISNUMBER(SEARCH("hacker",LOWER(F1010&amp;" "&amp;H1010&amp;" "&amp;I1010&amp;" "&amp;M1010&amp;" "&amp;N1010&amp;" "&amp;T1010))),ISNUMBER(SEARCH("hacking",LOWER(F1010&amp;" "&amp;H1010&amp;" "&amp;I1010&amp;" "&amp;M1010&amp;" "&amp;N1010&amp;" "&amp;T1010))),ISNUMBER(SEARCH("bank",LOWER(F1010&amp;" "&amp;H1010&amp;" "&amp;I1010&amp;" "&amp;M1010&amp;" "&amp;N1010&amp;" "&amp;T1010))),ISNUMBER(SEARCH("banking",LOWER(F1010&amp;" "&amp;H1010&amp;" "&amp;I1010&amp;" "&amp;M1010&amp;" "&amp;N1010&amp;" "&amp;T1010)))),"PRIVATE_QUARANTINE",IF(OR(ISNUMBER(SEARCH("treasury",LOWER(F1010&amp;" "&amp;H1010&amp;" "&amp;I1010&amp;" "&amp;M1010&amp;" "&amp;N1010&amp;" "&amp;T1010))),ISNUMBER(SEARCH("debt",LOWER(F1010&amp;" "&amp;H1010&amp;" "&amp;I1010&amp;" "&amp;M1010&amp;" "&amp;N1010&amp;" "&amp;T1010))),ISNUMBER(SEARCH("bond",LOWER(F1010&amp;" "&amp;H1010&amp;" "&amp;I1010&amp;" "&amp;M1010&amp;" "&amp;N1010&amp;" "&amp;T1010))),ISNUMBER(SEARCH("transaction",LOWER(F1010&amp;" "&amp;H1010&amp;" "&amp;I1010&amp;" "&amp;M1010&amp;" "&amp;N1010&amp;" "&amp;T1010)))),"PRIVATE_REVIEW","PUBLIC_CANDIDATE"))</x:f>
        <x:v>PUBLIC_CANDIDATE</x:v>
      </x:c>
      <x:c r="AD1010" s="12" t="str">
        <x:f>IF(AC1010="PRIVATE_QUARANTINE","hacker_or_bank_trigger",IF(AC1010="PRIVATE_REVIEW","finance_risk_trigger","none"))</x:f>
        <x:v>none</x:v>
      </x:c>
      <x:c r="AE1010" s="12" t="str">
        <x:f>IF(AC1010="PUBLIC_CANDIDATE","prepare_public_github_candidate",IF(AC1010="PRIVATE_REVIEW","hold_for_private_review","quarantine_private_do_not_publish"))</x:f>
        <x:v>prepare_public_github_candidate</x:v>
      </x:c>
      <x:c r="AF1010" s="12" t="str">
        <x:f>IF(AC1010="PUBLIC_CANDIDATE","TIDELOCK + Lucerna",IF(AC1010="PRIVATE_REVIEW","AtlasBrain + Lucerna","TIDELOCK + Lucerna + Human-root"))</x:f>
        <x:v>TIDELOCK + Lucerna</x:v>
      </x:c>
      <x:c r="AG1010" s="12" t="str">
        <x:f>IF(AND(AC1010="PUBLIC_CANDIDATE",U1010&lt;&gt;"BLOCKED_PENDING_RECEIPT"),"READY_AFTER_RECEIPT","NOT_READY")</x:f>
        <x:v>NOT_READY</x:v>
      </x:c>
      <x:c r="AH1010" s="12" t="str">
        <x:f>IF(AC1010="PUBLIC_CANDIDATE","none",AD1010)</x:f>
        <x:v>none</x:v>
      </x:c>
      <x:c r="AI1010" s="12" t="str">
        <x:f>IF(AC1010="PUBLIC_CANDIDATE","archive/public_candidates/"&amp;A1010,"private_quarantine/"&amp;A1010)</x:f>
        <x:v>archive/public_candidates/SWARM-08-H01-S01</x:v>
      </x:c>
      <x:c r="AJ1010" s="12" t="str">
        <x:f>IF(AC1010="PUBLIC_CANDIDATE","public by default; still not canon","private/hold; do not publish")</x:f>
        <x:v>public by default; still not canon</x:v>
      </x:c>
      <x:c r="AK1010" s="12" t="str">
        <x:f>IF(AE1010="prepare_public_github_candidate","add receipt/status then mirror","resolve blocker before any public GitHub action")</x:f>
        <x:v>add receipt/status then mirror</x:v>
      </x:c>
    </x:row>
    <x:row r="1011">
      <x:c r="A1011" s="15" t="str">
        <x:v>SWARM-08-H01-S02</x:v>
      </x:c>
      <x:c r="B1011" s="15" t="str">
        <x:v>GammaSprite</x:v>
      </x:c>
      <x:c r="C1011" s="15" t="str">
        <x:v>Deck surface mapper</x:v>
      </x:c>
      <x:c r="D1011" s="15" t="str">
        <x:v>Source Inventory</x:v>
      </x:c>
      <x:c r="E1011" s="15" t="str">
        <x:v>Drive</x:v>
      </x:c>
      <x:c r="F1011" s="15" t="str">
        <x:v>Inventory Drive — GammaSprite</x:v>
      </x:c>
      <x:c r="G1011" s="15" t="str">
        <x:v>Gamma/deck extraction / slide lineage</x:v>
      </x:c>
      <x:c r="H1011" s="15" t="str">
        <x:v>source path + receipt + raw/export status + claim/edge/risk delta</x:v>
      </x:c>
      <x:c r="I1011" s="15" t="str">
        <x:v>packet/SWARM-08-H01-S02</x:v>
      </x:c>
      <x:c r="J1011" s="15" t="str">
        <x:v>TODO</x:v>
      </x:c>
      <x:c r="K1011" s="15" t="str">
        <x:v>P0</x:v>
      </x:c>
      <x:c r="L1011" s="15" t="str">
        <x:v>Done only when evidence is logged, contradiction search is noted, and boundary stamp remains non-canon unless ratified</x:v>
      </x:c>
      <x:c r="M1011" s="15" t="str">
        <x:v>candidate / staging-only / not canon / not deployed / authority none</x:v>
      </x:c>
      <x:c r="N1011" s="15" t="str">
        <x:v>Dispatch to GammaSprite: complete Source Inventory x Drive; return deltas only, receipts required.</x:v>
      </x:c>
      <x:c r="O1011" s="15" t="str">
        <x:v>AF-KG-H01-S02</x:v>
      </x:c>
      <x:c r="P1011" s="15" t="str">
        <x:v>Unverified</x:v>
      </x:c>
      <x:c r="Q1011" s="15" t="str">
        <x:v>Not checked</x:v>
      </x:c>
      <x:c r="R1011" s="15" t="str"/>
      <x:c r="S1011" s="15" t="str"/>
      <x:c r="T1011" s="15" t="str">
        <x:v>Log first source path or blocker</x:v>
      </x:c>
      <x:c r="U1011" s="12" t="str">
        <x:f>IF(OR(P1011="Unverified",Q1011="Not checked"),"BLOCKED_PENDING_RECEIPT","READY_FOR_REVIEW")</x:f>
        <x:v>BLOCKED_PENDING_RECEIPT</x:v>
      </x:c>
      <x:c r="V1011" s="12" t="str">
        <x:f>IF(J1011="DONE","RETURNED",IF(U1011="BLOCKED_PENDING_RECEIPT","SOURCE_TOUCH_REQUIRED","IN_PROGRESS"))</x:f>
        <x:v>SOURCE_TOUCH_REQUIRED</x:v>
      </x:c>
      <x:c r="W1011" s="12" t="str">
        <x:f>IF(P1011="Unverified","missing_receipt","receipt_logged")</x:f>
        <x:v>missing_receipt</x:v>
      </x:c>
      <x:c r="X1011" s="12" t="str">
        <x:f>IF(Q1011="Not checked","raw_status_missing","raw_status_logged")</x:f>
        <x:v>raw_status_missing</x:v>
      </x:c>
      <x:c r="Y1011" s="12" t="str">
        <x:f>IF(U1011="BLOCKED_PENDING_RECEIPT","Log source path or blocker; do not promote","Route to review lane")</x:f>
        <x:v>Log source path or blocker; do not promote</x:v>
      </x:c>
      <x:c r="Z1011" s="12" t="str">
        <x:f>IF(K1011="P0","Primary seat + Hashlight/Lucerna","Seat lane")</x:f>
        <x:v>Primary seat + Hashlight/Lucerna</x:v>
      </x:c>
      <x:c r="AA1011" s="12" t="str">
        <x:f>IF(R1011="","no_claim_delta","claim_delta_present")</x:f>
        <x:v>no_claim_delta</x:v>
      </x:c>
      <x:c r="AB1011" s="12" t="str">
        <x:f>IF(S1011="","no_contradiction_delta","contradiction_delta_present")</x:f>
        <x:v>no_contradiction_delta</x:v>
      </x:c>
      <x:c r="AC1011" s="12" t="str">
        <x:f>IF(OR(ISNUMBER(SEARCH("hacker",LOWER(F1011&amp;" "&amp;H1011&amp;" "&amp;I1011&amp;" "&amp;M1011&amp;" "&amp;N1011&amp;" "&amp;T1011))),ISNUMBER(SEARCH("hacking",LOWER(F1011&amp;" "&amp;H1011&amp;" "&amp;I1011&amp;" "&amp;M1011&amp;" "&amp;N1011&amp;" "&amp;T1011))),ISNUMBER(SEARCH("bank",LOWER(F1011&amp;" "&amp;H1011&amp;" "&amp;I1011&amp;" "&amp;M1011&amp;" "&amp;N1011&amp;" "&amp;T1011))),ISNUMBER(SEARCH("banking",LOWER(F1011&amp;" "&amp;H1011&amp;" "&amp;I1011&amp;" "&amp;M1011&amp;" "&amp;N1011&amp;" "&amp;T1011)))),"PRIVATE_QUARANTINE",IF(OR(ISNUMBER(SEARCH("treasury",LOWER(F1011&amp;" "&amp;H1011&amp;" "&amp;I1011&amp;" "&amp;M1011&amp;" "&amp;N1011&amp;" "&amp;T1011))),ISNUMBER(SEARCH("debt",LOWER(F1011&amp;" "&amp;H1011&amp;" "&amp;I1011&amp;" "&amp;M1011&amp;" "&amp;N1011&amp;" "&amp;T1011))),ISNUMBER(SEARCH("bond",LOWER(F1011&amp;" "&amp;H1011&amp;" "&amp;I1011&amp;" "&amp;M1011&amp;" "&amp;N1011&amp;" "&amp;T1011))),ISNUMBER(SEARCH("transaction",LOWER(F1011&amp;" "&amp;H1011&amp;" "&amp;I1011&amp;" "&amp;M1011&amp;" "&amp;N1011&amp;" "&amp;T1011)))),"PRIVATE_REVIEW","PUBLIC_CANDIDATE"))</x:f>
        <x:v>PUBLIC_CANDIDATE</x:v>
      </x:c>
      <x:c r="AD1011" s="12" t="str">
        <x:f>IF(AC1011="PRIVATE_QUARANTINE","hacker_or_bank_trigger",IF(AC1011="PRIVATE_REVIEW","finance_risk_trigger","none"))</x:f>
        <x:v>none</x:v>
      </x:c>
      <x:c r="AE1011" s="12" t="str">
        <x:f>IF(AC1011="PUBLIC_CANDIDATE","prepare_public_github_candidate",IF(AC1011="PRIVATE_REVIEW","hold_for_private_review","quarantine_private_do_not_publish"))</x:f>
        <x:v>prepare_public_github_candidate</x:v>
      </x:c>
      <x:c r="AF1011" s="12" t="str">
        <x:f>IF(AC1011="PUBLIC_CANDIDATE","TIDELOCK + Lucerna",IF(AC1011="PRIVATE_REVIEW","AtlasBrain + Lucerna","TIDELOCK + Lucerna + Human-root"))</x:f>
        <x:v>TIDELOCK + Lucerna</x:v>
      </x:c>
      <x:c r="AG1011" s="12" t="str">
        <x:f>IF(AND(AC1011="PUBLIC_CANDIDATE",U1011&lt;&gt;"BLOCKED_PENDING_RECEIPT"),"READY_AFTER_RECEIPT","NOT_READY")</x:f>
        <x:v>NOT_READY</x:v>
      </x:c>
      <x:c r="AH1011" s="12" t="str">
        <x:f>IF(AC1011="PUBLIC_CANDIDATE","none",AD1011)</x:f>
        <x:v>none</x:v>
      </x:c>
      <x:c r="AI1011" s="12" t="str">
        <x:f>IF(AC1011="PUBLIC_CANDIDATE","archive/public_candidates/"&amp;A1011,"private_quarantine/"&amp;A1011)</x:f>
        <x:v>archive/public_candidates/SWARM-08-H01-S02</x:v>
      </x:c>
      <x:c r="AJ1011" s="12" t="str">
        <x:f>IF(AC1011="PUBLIC_CANDIDATE","public by default; still not canon","private/hold; do not publish")</x:f>
        <x:v>public by default; still not canon</x:v>
      </x:c>
      <x:c r="AK1011" s="12" t="str">
        <x:f>IF(AE1011="prepare_public_github_candidate","add receipt/status then mirror","resolve blocker before any public GitHub action")</x:f>
        <x:v>add receipt/status then mirror</x:v>
      </x:c>
    </x:row>
    <x:row r="1012">
      <x:c r="A1012" s="15" t="str">
        <x:v>SWARM-08-H01-S03</x:v>
      </x:c>
      <x:c r="B1012" s="15" t="str">
        <x:v>GammaSprite</x:v>
      </x:c>
      <x:c r="C1012" s="15" t="str">
        <x:v>Deck surface mapper</x:v>
      </x:c>
      <x:c r="D1012" s="15" t="str">
        <x:v>Source Inventory</x:v>
      </x:c>
      <x:c r="E1012" s="15" t="str">
        <x:v>GitHub</x:v>
      </x:c>
      <x:c r="F1012" s="15" t="str">
        <x:v>Inventory GitHub — GammaSprite</x:v>
      </x:c>
      <x:c r="G1012" s="15" t="str">
        <x:v>Gamma/deck extraction / slide lineage</x:v>
      </x:c>
      <x:c r="H1012" s="15" t="str">
        <x:v>source path + receipt + raw/export status + claim/edge/risk delta</x:v>
      </x:c>
      <x:c r="I1012" s="15" t="str">
        <x:v>packet/SWARM-08-H01-S03</x:v>
      </x:c>
      <x:c r="J1012" s="15" t="str">
        <x:v>TODO</x:v>
      </x:c>
      <x:c r="K1012" s="15" t="str">
        <x:v>P0</x:v>
      </x:c>
      <x:c r="L1012" s="15" t="str">
        <x:v>Done only when evidence is logged, contradiction search is noted, and boundary stamp remains non-canon unless ratified</x:v>
      </x:c>
      <x:c r="M1012" s="15" t="str">
        <x:v>candidate / staging-only / not canon / not deployed / authority none</x:v>
      </x:c>
      <x:c r="N1012" s="15" t="str">
        <x:v>Dispatch to GammaSprite: complete Source Inventory x GitHub; return deltas only, receipts required.</x:v>
      </x:c>
      <x:c r="O1012" s="15" t="str">
        <x:v>AF-KG-H01-S03</x:v>
      </x:c>
      <x:c r="P1012" s="15" t="str">
        <x:v>Unverified</x:v>
      </x:c>
      <x:c r="Q1012" s="15" t="str">
        <x:v>Not checked</x:v>
      </x:c>
      <x:c r="R1012" s="15" t="str"/>
      <x:c r="S1012" s="15" t="str"/>
      <x:c r="T1012" s="15" t="str">
        <x:v>Log first source path or blocker</x:v>
      </x:c>
      <x:c r="U1012" s="12" t="str">
        <x:f>IF(OR(P1012="Unverified",Q1012="Not checked"),"BLOCKED_PENDING_RECEIPT","READY_FOR_REVIEW")</x:f>
        <x:v>BLOCKED_PENDING_RECEIPT</x:v>
      </x:c>
      <x:c r="V1012" s="12" t="str">
        <x:f>IF(J1012="DONE","RETURNED",IF(U1012="BLOCKED_PENDING_RECEIPT","SOURCE_TOUCH_REQUIRED","IN_PROGRESS"))</x:f>
        <x:v>SOURCE_TOUCH_REQUIRED</x:v>
      </x:c>
      <x:c r="W1012" s="12" t="str">
        <x:f>IF(P1012="Unverified","missing_receipt","receipt_logged")</x:f>
        <x:v>missing_receipt</x:v>
      </x:c>
      <x:c r="X1012" s="12" t="str">
        <x:f>IF(Q1012="Not checked","raw_status_missing","raw_status_logged")</x:f>
        <x:v>raw_status_missing</x:v>
      </x:c>
      <x:c r="Y1012" s="12" t="str">
        <x:f>IF(U1012="BLOCKED_PENDING_RECEIPT","Log source path or blocker; do not promote","Route to review lane")</x:f>
        <x:v>Log source path or blocker; do not promote</x:v>
      </x:c>
      <x:c r="Z1012" s="12" t="str">
        <x:f>IF(K1012="P0","Primary seat + Hashlight/Lucerna","Seat lane")</x:f>
        <x:v>Primary seat + Hashlight/Lucerna</x:v>
      </x:c>
      <x:c r="AA1012" s="12" t="str">
        <x:f>IF(R1012="","no_claim_delta","claim_delta_present")</x:f>
        <x:v>no_claim_delta</x:v>
      </x:c>
      <x:c r="AB1012" s="12" t="str">
        <x:f>IF(S1012="","no_contradiction_delta","contradiction_delta_present")</x:f>
        <x:v>no_contradiction_delta</x:v>
      </x:c>
      <x:c r="AC1012" s="12" t="str">
        <x:f>IF(OR(ISNUMBER(SEARCH("hacker",LOWER(F1012&amp;" "&amp;H1012&amp;" "&amp;I1012&amp;" "&amp;M1012&amp;" "&amp;N1012&amp;" "&amp;T1012))),ISNUMBER(SEARCH("hacking",LOWER(F1012&amp;" "&amp;H1012&amp;" "&amp;I1012&amp;" "&amp;M1012&amp;" "&amp;N1012&amp;" "&amp;T1012))),ISNUMBER(SEARCH("bank",LOWER(F1012&amp;" "&amp;H1012&amp;" "&amp;I1012&amp;" "&amp;M1012&amp;" "&amp;N1012&amp;" "&amp;T1012))),ISNUMBER(SEARCH("banking",LOWER(F1012&amp;" "&amp;H1012&amp;" "&amp;I1012&amp;" "&amp;M1012&amp;" "&amp;N1012&amp;" "&amp;T1012)))),"PRIVATE_QUARANTINE",IF(OR(ISNUMBER(SEARCH("treasury",LOWER(F1012&amp;" "&amp;H1012&amp;" "&amp;I1012&amp;" "&amp;M1012&amp;" "&amp;N1012&amp;" "&amp;T1012))),ISNUMBER(SEARCH("debt",LOWER(F1012&amp;" "&amp;H1012&amp;" "&amp;I1012&amp;" "&amp;M1012&amp;" "&amp;N1012&amp;" "&amp;T1012))),ISNUMBER(SEARCH("bond",LOWER(F1012&amp;" "&amp;H1012&amp;" "&amp;I1012&amp;" "&amp;M1012&amp;" "&amp;N1012&amp;" "&amp;T1012))),ISNUMBER(SEARCH("transaction",LOWER(F1012&amp;" "&amp;H1012&amp;" "&amp;I1012&amp;" "&amp;M1012&amp;" "&amp;N1012&amp;" "&amp;T1012)))),"PRIVATE_REVIEW","PUBLIC_CANDIDATE"))</x:f>
        <x:v>PUBLIC_CANDIDATE</x:v>
      </x:c>
      <x:c r="AD1012" s="12" t="str">
        <x:f>IF(AC1012="PRIVATE_QUARANTINE","hacker_or_bank_trigger",IF(AC1012="PRIVATE_REVIEW","finance_risk_trigger","none"))</x:f>
        <x:v>none</x:v>
      </x:c>
      <x:c r="AE1012" s="12" t="str">
        <x:f>IF(AC1012="PUBLIC_CANDIDATE","prepare_public_github_candidate",IF(AC1012="PRIVATE_REVIEW","hold_for_private_review","quarantine_private_do_not_publish"))</x:f>
        <x:v>prepare_public_github_candidate</x:v>
      </x:c>
      <x:c r="AF1012" s="12" t="str">
        <x:f>IF(AC1012="PUBLIC_CANDIDATE","TIDELOCK + Lucerna",IF(AC1012="PRIVATE_REVIEW","AtlasBrain + Lucerna","TIDELOCK + Lucerna + Human-root"))</x:f>
        <x:v>TIDELOCK + Lucerna</x:v>
      </x:c>
      <x:c r="AG1012" s="12" t="str">
        <x:f>IF(AND(AC1012="PUBLIC_CANDIDATE",U1012&lt;&gt;"BLOCKED_PENDING_RECEIPT"),"READY_AFTER_RECEIPT","NOT_READY")</x:f>
        <x:v>NOT_READY</x:v>
      </x:c>
      <x:c r="AH1012" s="12" t="str">
        <x:f>IF(AC1012="PUBLIC_CANDIDATE","none",AD1012)</x:f>
        <x:v>none</x:v>
      </x:c>
      <x:c r="AI1012" s="12" t="str">
        <x:f>IF(AC1012="PUBLIC_CANDIDATE","archive/public_candidates/"&amp;A1012,"private_quarantine/"&amp;A1012)</x:f>
        <x:v>archive/public_candidates/SWARM-08-H01-S03</x:v>
      </x:c>
      <x:c r="AJ1012" s="12" t="str">
        <x:f>IF(AC1012="PUBLIC_CANDIDATE","public by default; still not canon","private/hold; do not publish")</x:f>
        <x:v>public by default; still not canon</x:v>
      </x:c>
      <x:c r="AK1012" s="12" t="str">
        <x:f>IF(AE1012="prepare_public_github_candidate","add receipt/status then mirror","resolve blocker before any public GitHub action")</x:f>
        <x:v>add receipt/status then mirror</x:v>
      </x:c>
    </x:row>
    <x:row r="1013">
      <x:c r="A1013" s="15" t="str">
        <x:v>SWARM-08-H01-S04</x:v>
      </x:c>
      <x:c r="B1013" s="15" t="str">
        <x:v>GammaSprite</x:v>
      </x:c>
      <x:c r="C1013" s="15" t="str">
        <x:v>Deck surface mapper</x:v>
      </x:c>
      <x:c r="D1013" s="15" t="str">
        <x:v>Source Inventory</x:v>
      </x:c>
      <x:c r="E1013" s="15" t="str">
        <x:v>Gamma</x:v>
      </x:c>
      <x:c r="F1013" s="15" t="str">
        <x:v>Inventory Gamma — GammaSprite</x:v>
      </x:c>
      <x:c r="G1013" s="15" t="str">
        <x:v>Gamma/deck extraction / slide lineage</x:v>
      </x:c>
      <x:c r="H1013" s="15" t="str">
        <x:v>source path + receipt + raw/export status + claim/edge/risk delta</x:v>
      </x:c>
      <x:c r="I1013" s="15" t="str">
        <x:v>packet/SWARM-08-H01-S04</x:v>
      </x:c>
      <x:c r="J1013" s="15" t="str">
        <x:v>TODO</x:v>
      </x:c>
      <x:c r="K1013" s="15" t="str">
        <x:v>P1</x:v>
      </x:c>
      <x:c r="L1013" s="15" t="str">
        <x:v>Done only when evidence is logged, contradiction search is noted, and boundary stamp remains non-canon unless ratified</x:v>
      </x:c>
      <x:c r="M1013" s="15" t="str">
        <x:v>candidate / staging-only / not canon / not deployed / authority none</x:v>
      </x:c>
      <x:c r="N1013" s="15" t="str">
        <x:v>Dispatch to GammaSprite: complete Source Inventory x Gamma; return deltas only, receipts required.</x:v>
      </x:c>
      <x:c r="O1013" s="15" t="str">
        <x:v>AF-KG-H01-S04</x:v>
      </x:c>
      <x:c r="P1013" s="15" t="str">
        <x:v>Unverified</x:v>
      </x:c>
      <x:c r="Q1013" s="15" t="str">
        <x:v>Not checked</x:v>
      </x:c>
      <x:c r="R1013" s="15" t="str"/>
      <x:c r="S1013" s="15" t="str"/>
      <x:c r="T1013" s="15" t="str">
        <x:v>Log first source path or blocker</x:v>
      </x:c>
      <x:c r="U1013" s="12" t="str">
        <x:f>IF(OR(P1013="Unverified",Q1013="Not checked"),"BLOCKED_PENDING_RECEIPT","READY_FOR_REVIEW")</x:f>
        <x:v>BLOCKED_PENDING_RECEIPT</x:v>
      </x:c>
      <x:c r="V1013" s="12" t="str">
        <x:f>IF(J1013="DONE","RETURNED",IF(U1013="BLOCKED_PENDING_RECEIPT","SOURCE_TOUCH_REQUIRED","IN_PROGRESS"))</x:f>
        <x:v>SOURCE_TOUCH_REQUIRED</x:v>
      </x:c>
      <x:c r="W1013" s="12" t="str">
        <x:f>IF(P1013="Unverified","missing_receipt","receipt_logged")</x:f>
        <x:v>missing_receipt</x:v>
      </x:c>
      <x:c r="X1013" s="12" t="str">
        <x:f>IF(Q1013="Not checked","raw_status_missing","raw_status_logged")</x:f>
        <x:v>raw_status_missing</x:v>
      </x:c>
      <x:c r="Y1013" s="12" t="str">
        <x:f>IF(U1013="BLOCKED_PENDING_RECEIPT","Log source path or blocker; do not promote","Route to review lane")</x:f>
        <x:v>Log source path or blocker; do not promote</x:v>
      </x:c>
      <x:c r="Z1013" s="12" t="str">
        <x:f>IF(K1013="P0","Primary seat + Hashlight/Lucerna","Seat lane")</x:f>
        <x:v>Seat lane</x:v>
      </x:c>
      <x:c r="AA1013" s="12" t="str">
        <x:f>IF(R1013="","no_claim_delta","claim_delta_present")</x:f>
        <x:v>no_claim_delta</x:v>
      </x:c>
      <x:c r="AB1013" s="12" t="str">
        <x:f>IF(S1013="","no_contradiction_delta","contradiction_delta_present")</x:f>
        <x:v>no_contradiction_delta</x:v>
      </x:c>
      <x:c r="AC1013" s="12" t="str">
        <x:f>IF(OR(ISNUMBER(SEARCH("hacker",LOWER(F1013&amp;" "&amp;H1013&amp;" "&amp;I1013&amp;" "&amp;M1013&amp;" "&amp;N1013&amp;" "&amp;T1013))),ISNUMBER(SEARCH("hacking",LOWER(F1013&amp;" "&amp;H1013&amp;" "&amp;I1013&amp;" "&amp;M1013&amp;" "&amp;N1013&amp;" "&amp;T1013))),ISNUMBER(SEARCH("bank",LOWER(F1013&amp;" "&amp;H1013&amp;" "&amp;I1013&amp;" "&amp;M1013&amp;" "&amp;N1013&amp;" "&amp;T1013))),ISNUMBER(SEARCH("banking",LOWER(F1013&amp;" "&amp;H1013&amp;" "&amp;I1013&amp;" "&amp;M1013&amp;" "&amp;N1013&amp;" "&amp;T1013)))),"PRIVATE_QUARANTINE",IF(OR(ISNUMBER(SEARCH("treasury",LOWER(F1013&amp;" "&amp;H1013&amp;" "&amp;I1013&amp;" "&amp;M1013&amp;" "&amp;N1013&amp;" "&amp;T1013))),ISNUMBER(SEARCH("debt",LOWER(F1013&amp;" "&amp;H1013&amp;" "&amp;I1013&amp;" "&amp;M1013&amp;" "&amp;N1013&amp;" "&amp;T1013))),ISNUMBER(SEARCH("bond",LOWER(F1013&amp;" "&amp;H1013&amp;" "&amp;I1013&amp;" "&amp;M1013&amp;" "&amp;N1013&amp;" "&amp;T1013))),ISNUMBER(SEARCH("transaction",LOWER(F1013&amp;" "&amp;H1013&amp;" "&amp;I1013&amp;" "&amp;M1013&amp;" "&amp;N1013&amp;" "&amp;T1013)))),"PRIVATE_REVIEW","PUBLIC_CANDIDATE"))</x:f>
        <x:v>PUBLIC_CANDIDATE</x:v>
      </x:c>
      <x:c r="AD1013" s="12" t="str">
        <x:f>IF(AC1013="PRIVATE_QUARANTINE","hacker_or_bank_trigger",IF(AC1013="PRIVATE_REVIEW","finance_risk_trigger","none"))</x:f>
        <x:v>none</x:v>
      </x:c>
      <x:c r="AE1013" s="12" t="str">
        <x:f>IF(AC1013="PUBLIC_CANDIDATE","prepare_public_github_candidate",IF(AC1013="PRIVATE_REVIEW","hold_for_private_review","quarantine_private_do_not_publish"))</x:f>
        <x:v>prepare_public_github_candidate</x:v>
      </x:c>
      <x:c r="AF1013" s="12" t="str">
        <x:f>IF(AC1013="PUBLIC_CANDIDATE","TIDELOCK + Lucerna",IF(AC1013="PRIVATE_REVIEW","AtlasBrain + Lucerna","TIDELOCK + Lucerna + Human-root"))</x:f>
        <x:v>TIDELOCK + Lucerna</x:v>
      </x:c>
      <x:c r="AG1013" s="12" t="str">
        <x:f>IF(AND(AC1013="PUBLIC_CANDIDATE",U1013&lt;&gt;"BLOCKED_PENDING_RECEIPT"),"READY_AFTER_RECEIPT","NOT_READY")</x:f>
        <x:v>NOT_READY</x:v>
      </x:c>
      <x:c r="AH1013" s="12" t="str">
        <x:f>IF(AC1013="PUBLIC_CANDIDATE","none",AD1013)</x:f>
        <x:v>none</x:v>
      </x:c>
      <x:c r="AI1013" s="12" t="str">
        <x:f>IF(AC1013="PUBLIC_CANDIDATE","archive/public_candidates/"&amp;A1013,"private_quarantine/"&amp;A1013)</x:f>
        <x:v>archive/public_candidates/SWARM-08-H01-S04</x:v>
      </x:c>
      <x:c r="AJ1013" s="12" t="str">
        <x:f>IF(AC1013="PUBLIC_CANDIDATE","public by default; still not canon","private/hold; do not publish")</x:f>
        <x:v>public by default; still not canon</x:v>
      </x:c>
      <x:c r="AK1013" s="12" t="str">
        <x:f>IF(AE1013="prepare_public_github_candidate","add receipt/status then mirror","resolve blocker before any public GitHub action")</x:f>
        <x:v>add receipt/status then mirror</x:v>
      </x:c>
    </x:row>
    <x:row r="1014">
      <x:c r="A1014" s="15" t="str">
        <x:v>SWARM-08-H01-S05</x:v>
      </x:c>
      <x:c r="B1014" s="15" t="str">
        <x:v>GammaSprite</x:v>
      </x:c>
      <x:c r="C1014" s="15" t="str">
        <x:v>Deck surface mapper</x:v>
      </x:c>
      <x:c r="D1014" s="15" t="str">
        <x:v>Source Inventory</x:v>
      </x:c>
      <x:c r="E1014" s="15" t="str">
        <x:v>Chat</x:v>
      </x:c>
      <x:c r="F1014" s="15" t="str">
        <x:v>Inventory Chat — GammaSprite</x:v>
      </x:c>
      <x:c r="G1014" s="15" t="str">
        <x:v>Gamma/deck extraction / slide lineage</x:v>
      </x:c>
      <x:c r="H1014" s="15" t="str">
        <x:v>source path + receipt + raw/export status + claim/edge/risk delta</x:v>
      </x:c>
      <x:c r="I1014" s="15" t="str">
        <x:v>packet/SWARM-08-H01-S05</x:v>
      </x:c>
      <x:c r="J1014" s="15" t="str">
        <x:v>TODO</x:v>
      </x:c>
      <x:c r="K1014" s="15" t="str">
        <x:v>P1</x:v>
      </x:c>
      <x:c r="L1014" s="15" t="str">
        <x:v>Done only when evidence is logged, contradiction search is noted, and boundary stamp remains non-canon unless ratified</x:v>
      </x:c>
      <x:c r="M1014" s="15" t="str">
        <x:v>candidate / staging-only / not canon / not deployed / authority none</x:v>
      </x:c>
      <x:c r="N1014" s="15" t="str">
        <x:v>Dispatch to GammaSprite: complete Source Inventory x Chat; return deltas only, receipts required.</x:v>
      </x:c>
      <x:c r="O1014" s="15" t="str">
        <x:v>AF-KG-H01-S05</x:v>
      </x:c>
      <x:c r="P1014" s="15" t="str">
        <x:v>Unverified</x:v>
      </x:c>
      <x:c r="Q1014" s="15" t="str">
        <x:v>Not checked</x:v>
      </x:c>
      <x:c r="R1014" s="15" t="str"/>
      <x:c r="S1014" s="15" t="str"/>
      <x:c r="T1014" s="15" t="str">
        <x:v>Log first source path or blocker</x:v>
      </x:c>
      <x:c r="U1014" s="12" t="str">
        <x:f>IF(OR(P1014="Unverified",Q1014="Not checked"),"BLOCKED_PENDING_RECEIPT","READY_FOR_REVIEW")</x:f>
        <x:v>BLOCKED_PENDING_RECEIPT</x:v>
      </x:c>
      <x:c r="V1014" s="12" t="str">
        <x:f>IF(J1014="DONE","RETURNED",IF(U1014="BLOCKED_PENDING_RECEIPT","SOURCE_TOUCH_REQUIRED","IN_PROGRESS"))</x:f>
        <x:v>SOURCE_TOUCH_REQUIRED</x:v>
      </x:c>
      <x:c r="W1014" s="12" t="str">
        <x:f>IF(P1014="Unverified","missing_receipt","receipt_logged")</x:f>
        <x:v>missing_receipt</x:v>
      </x:c>
      <x:c r="X1014" s="12" t="str">
        <x:f>IF(Q1014="Not checked","raw_status_missing","raw_status_logged")</x:f>
        <x:v>raw_status_missing</x:v>
      </x:c>
      <x:c r="Y1014" s="12" t="str">
        <x:f>IF(U1014="BLOCKED_PENDING_RECEIPT","Log source path or blocker; do not promote","Route to review lane")</x:f>
        <x:v>Log source path or blocker; do not promote</x:v>
      </x:c>
      <x:c r="Z1014" s="12" t="str">
        <x:f>IF(K1014="P0","Primary seat + Hashlight/Lucerna","Seat lane")</x:f>
        <x:v>Seat lane</x:v>
      </x:c>
      <x:c r="AA1014" s="12" t="str">
        <x:f>IF(R1014="","no_claim_delta","claim_delta_present")</x:f>
        <x:v>no_claim_delta</x:v>
      </x:c>
      <x:c r="AB1014" s="12" t="str">
        <x:f>IF(S1014="","no_contradiction_delta","contradiction_delta_present")</x:f>
        <x:v>no_contradiction_delta</x:v>
      </x:c>
      <x:c r="AC1014" s="12" t="str">
        <x:f>IF(OR(ISNUMBER(SEARCH("hacker",LOWER(F1014&amp;" "&amp;H1014&amp;" "&amp;I1014&amp;" "&amp;M1014&amp;" "&amp;N1014&amp;" "&amp;T1014))),ISNUMBER(SEARCH("hacking",LOWER(F1014&amp;" "&amp;H1014&amp;" "&amp;I1014&amp;" "&amp;M1014&amp;" "&amp;N1014&amp;" "&amp;T1014))),ISNUMBER(SEARCH("bank",LOWER(F1014&amp;" "&amp;H1014&amp;" "&amp;I1014&amp;" "&amp;M1014&amp;" "&amp;N1014&amp;" "&amp;T1014))),ISNUMBER(SEARCH("banking",LOWER(F1014&amp;" "&amp;H1014&amp;" "&amp;I1014&amp;" "&amp;M1014&amp;" "&amp;N1014&amp;" "&amp;T1014)))),"PRIVATE_QUARANTINE",IF(OR(ISNUMBER(SEARCH("treasury",LOWER(F1014&amp;" "&amp;H1014&amp;" "&amp;I1014&amp;" "&amp;M1014&amp;" "&amp;N1014&amp;" "&amp;T1014))),ISNUMBER(SEARCH("debt",LOWER(F1014&amp;" "&amp;H1014&amp;" "&amp;I1014&amp;" "&amp;M1014&amp;" "&amp;N1014&amp;" "&amp;T1014))),ISNUMBER(SEARCH("bond",LOWER(F1014&amp;" "&amp;H1014&amp;" "&amp;I1014&amp;" "&amp;M1014&amp;" "&amp;N1014&amp;" "&amp;T1014))),ISNUMBER(SEARCH("transaction",LOWER(F1014&amp;" "&amp;H1014&amp;" "&amp;I1014&amp;" "&amp;M1014&amp;" "&amp;N1014&amp;" "&amp;T1014)))),"PRIVATE_REVIEW","PUBLIC_CANDIDATE"))</x:f>
        <x:v>PUBLIC_CANDIDATE</x:v>
      </x:c>
      <x:c r="AD1014" s="12" t="str">
        <x:f>IF(AC1014="PRIVATE_QUARANTINE","hacker_or_bank_trigger",IF(AC1014="PRIVATE_REVIEW","finance_risk_trigger","none"))</x:f>
        <x:v>none</x:v>
      </x:c>
      <x:c r="AE1014" s="12" t="str">
        <x:f>IF(AC1014="PUBLIC_CANDIDATE","prepare_public_github_candidate",IF(AC1014="PRIVATE_REVIEW","hold_for_private_review","quarantine_private_do_not_publish"))</x:f>
        <x:v>prepare_public_github_candidate</x:v>
      </x:c>
      <x:c r="AF1014" s="12" t="str">
        <x:f>IF(AC1014="PUBLIC_CANDIDATE","TIDELOCK + Lucerna",IF(AC1014="PRIVATE_REVIEW","AtlasBrain + Lucerna","TIDELOCK + Lucerna + Human-root"))</x:f>
        <x:v>TIDELOCK + Lucerna</x:v>
      </x:c>
      <x:c r="AG1014" s="12" t="str">
        <x:f>IF(AND(AC1014="PUBLIC_CANDIDATE",U1014&lt;&gt;"BLOCKED_PENDING_RECEIPT"),"READY_AFTER_RECEIPT","NOT_READY")</x:f>
        <x:v>NOT_READY</x:v>
      </x:c>
      <x:c r="AH1014" s="12" t="str">
        <x:f>IF(AC1014="PUBLIC_CANDIDATE","none",AD1014)</x:f>
        <x:v>none</x:v>
      </x:c>
      <x:c r="AI1014" s="12" t="str">
        <x:f>IF(AC1014="PUBLIC_CANDIDATE","archive/public_candidates/"&amp;A1014,"private_quarantine/"&amp;A1014)</x:f>
        <x:v>archive/public_candidates/SWARM-08-H01-S05</x:v>
      </x:c>
      <x:c r="AJ1014" s="12" t="str">
        <x:f>IF(AC1014="PUBLIC_CANDIDATE","public by default; still not canon","private/hold; do not publish")</x:f>
        <x:v>public by default; still not canon</x:v>
      </x:c>
      <x:c r="AK1014" s="12" t="str">
        <x:f>IF(AE1014="prepare_public_github_candidate","add receipt/status then mirror","resolve blocker before any public GitHub action")</x:f>
        <x:v>add receipt/status then mirror</x:v>
      </x:c>
    </x:row>
    <x:row r="1015">
      <x:c r="A1015" s="15" t="str">
        <x:v>SWARM-08-H01-S06</x:v>
      </x:c>
      <x:c r="B1015" s="15" t="str">
        <x:v>GammaSprite</x:v>
      </x:c>
      <x:c r="C1015" s="15" t="str">
        <x:v>Deck surface mapper</x:v>
      </x:c>
      <x:c r="D1015" s="15" t="str">
        <x:v>Source Inventory</x:v>
      </x:c>
      <x:c r="E1015" s="15" t="str">
        <x:v>External Web</x:v>
      </x:c>
      <x:c r="F1015" s="15" t="str">
        <x:v>Inventory External Web — GammaSprite</x:v>
      </x:c>
      <x:c r="G1015" s="15" t="str">
        <x:v>Gamma/deck extraction / slide lineage</x:v>
      </x:c>
      <x:c r="H1015" s="15" t="str">
        <x:v>source path + receipt + raw/export status + claim/edge/risk delta</x:v>
      </x:c>
      <x:c r="I1015" s="15" t="str">
        <x:v>packet/SWARM-08-H01-S06</x:v>
      </x:c>
      <x:c r="J1015" s="15" t="str">
        <x:v>TODO</x:v>
      </x:c>
      <x:c r="K1015" s="15" t="str">
        <x:v>P1</x:v>
      </x:c>
      <x:c r="L1015" s="15" t="str">
        <x:v>Done only when evidence is logged, contradiction search is noted, and boundary stamp remains non-canon unless ratified</x:v>
      </x:c>
      <x:c r="M1015" s="15" t="str">
        <x:v>candidate / staging-only / not canon / not deployed / authority none</x:v>
      </x:c>
      <x:c r="N1015" s="15" t="str">
        <x:v>Dispatch to GammaSprite: complete Source Inventory x External Web; return deltas only, receipts required.</x:v>
      </x:c>
      <x:c r="O1015" s="15" t="str">
        <x:v>AF-KG-H01-S06</x:v>
      </x:c>
      <x:c r="P1015" s="15" t="str">
        <x:v>Unverified</x:v>
      </x:c>
      <x:c r="Q1015" s="15" t="str">
        <x:v>Not checked</x:v>
      </x:c>
      <x:c r="R1015" s="15" t="str"/>
      <x:c r="S1015" s="15" t="str"/>
      <x:c r="T1015" s="15" t="str">
        <x:v>Log first source path or blocker</x:v>
      </x:c>
      <x:c r="U1015" s="12" t="str">
        <x:f>IF(OR(P1015="Unverified",Q1015="Not checked"),"BLOCKED_PENDING_RECEIPT","READY_FOR_REVIEW")</x:f>
        <x:v>BLOCKED_PENDING_RECEIPT</x:v>
      </x:c>
      <x:c r="V1015" s="12" t="str">
        <x:f>IF(J1015="DONE","RETURNED",IF(U1015="BLOCKED_PENDING_RECEIPT","SOURCE_TOUCH_REQUIRED","IN_PROGRESS"))</x:f>
        <x:v>SOURCE_TOUCH_REQUIRED</x:v>
      </x:c>
      <x:c r="W1015" s="12" t="str">
        <x:f>IF(P1015="Unverified","missing_receipt","receipt_logged")</x:f>
        <x:v>missing_receipt</x:v>
      </x:c>
      <x:c r="X1015" s="12" t="str">
        <x:f>IF(Q1015="Not checked","raw_status_missing","raw_status_logged")</x:f>
        <x:v>raw_status_missing</x:v>
      </x:c>
      <x:c r="Y1015" s="12" t="str">
        <x:f>IF(U1015="BLOCKED_PENDING_RECEIPT","Log source path or blocker; do not promote","Route to review lane")</x:f>
        <x:v>Log source path or blocker; do not promote</x:v>
      </x:c>
      <x:c r="Z1015" s="12" t="str">
        <x:f>IF(K1015="P0","Primary seat + Hashlight/Lucerna","Seat lane")</x:f>
        <x:v>Seat lane</x:v>
      </x:c>
      <x:c r="AA1015" s="12" t="str">
        <x:f>IF(R1015="","no_claim_delta","claim_delta_present")</x:f>
        <x:v>no_claim_delta</x:v>
      </x:c>
      <x:c r="AB1015" s="12" t="str">
        <x:f>IF(S1015="","no_contradiction_delta","contradiction_delta_present")</x:f>
        <x:v>no_contradiction_delta</x:v>
      </x:c>
      <x:c r="AC1015" s="12" t="str">
        <x:f>IF(OR(ISNUMBER(SEARCH("hacker",LOWER(F1015&amp;" "&amp;H1015&amp;" "&amp;I1015&amp;" "&amp;M1015&amp;" "&amp;N1015&amp;" "&amp;T1015))),ISNUMBER(SEARCH("hacking",LOWER(F1015&amp;" "&amp;H1015&amp;" "&amp;I1015&amp;" "&amp;M1015&amp;" "&amp;N1015&amp;" "&amp;T1015))),ISNUMBER(SEARCH("bank",LOWER(F1015&amp;" "&amp;H1015&amp;" "&amp;I1015&amp;" "&amp;M1015&amp;" "&amp;N1015&amp;" "&amp;T1015))),ISNUMBER(SEARCH("banking",LOWER(F1015&amp;" "&amp;H1015&amp;" "&amp;I1015&amp;" "&amp;M1015&amp;" "&amp;N1015&amp;" "&amp;T1015)))),"PRIVATE_QUARANTINE",IF(OR(ISNUMBER(SEARCH("treasury",LOWER(F1015&amp;" "&amp;H1015&amp;" "&amp;I1015&amp;" "&amp;M1015&amp;" "&amp;N1015&amp;" "&amp;T1015))),ISNUMBER(SEARCH("debt",LOWER(F1015&amp;" "&amp;H1015&amp;" "&amp;I1015&amp;" "&amp;M1015&amp;" "&amp;N1015&amp;" "&amp;T1015))),ISNUMBER(SEARCH("bond",LOWER(F1015&amp;" "&amp;H1015&amp;" "&amp;I1015&amp;" "&amp;M1015&amp;" "&amp;N1015&amp;" "&amp;T1015))),ISNUMBER(SEARCH("transaction",LOWER(F1015&amp;" "&amp;H1015&amp;" "&amp;I1015&amp;" "&amp;M1015&amp;" "&amp;N1015&amp;" "&amp;T1015)))),"PRIVATE_REVIEW","PUBLIC_CANDIDATE"))</x:f>
        <x:v>PUBLIC_CANDIDATE</x:v>
      </x:c>
      <x:c r="AD1015" s="12" t="str">
        <x:f>IF(AC1015="PRIVATE_QUARANTINE","hacker_or_bank_trigger",IF(AC1015="PRIVATE_REVIEW","finance_risk_trigger","none"))</x:f>
        <x:v>none</x:v>
      </x:c>
      <x:c r="AE1015" s="12" t="str">
        <x:f>IF(AC1015="PUBLIC_CANDIDATE","prepare_public_github_candidate",IF(AC1015="PRIVATE_REVIEW","hold_for_private_review","quarantine_private_do_not_publish"))</x:f>
        <x:v>prepare_public_github_candidate</x:v>
      </x:c>
      <x:c r="AF1015" s="12" t="str">
        <x:f>IF(AC1015="PUBLIC_CANDIDATE","TIDELOCK + Lucerna",IF(AC1015="PRIVATE_REVIEW","AtlasBrain + Lucerna","TIDELOCK + Lucerna + Human-root"))</x:f>
        <x:v>TIDELOCK + Lucerna</x:v>
      </x:c>
      <x:c r="AG1015" s="12" t="str">
        <x:f>IF(AND(AC1015="PUBLIC_CANDIDATE",U1015&lt;&gt;"BLOCKED_PENDING_RECEIPT"),"READY_AFTER_RECEIPT","NOT_READY")</x:f>
        <x:v>NOT_READY</x:v>
      </x:c>
      <x:c r="AH1015" s="12" t="str">
        <x:f>IF(AC1015="PUBLIC_CANDIDATE","none",AD1015)</x:f>
        <x:v>none</x:v>
      </x:c>
      <x:c r="AI1015" s="12" t="str">
        <x:f>IF(AC1015="PUBLIC_CANDIDATE","archive/public_candidates/"&amp;A1015,"private_quarantine/"&amp;A1015)</x:f>
        <x:v>archive/public_candidates/SWARM-08-H01-S06</x:v>
      </x:c>
      <x:c r="AJ1015" s="12" t="str">
        <x:f>IF(AC1015="PUBLIC_CANDIDATE","public by default; still not canon","private/hold; do not publish")</x:f>
        <x:v>public by default; still not canon</x:v>
      </x:c>
      <x:c r="AK1015" s="12" t="str">
        <x:f>IF(AE1015="prepare_public_github_candidate","add receipt/status then mirror","resolve blocker before any public GitHub action")</x:f>
        <x:v>add receipt/status then mirror</x:v>
      </x:c>
    </x:row>
    <x:row r="1016">
      <x:c r="A1016" s="15" t="str">
        <x:v>SWARM-08-H01-S07</x:v>
      </x:c>
      <x:c r="B1016" s="15" t="str">
        <x:v>GammaSprite</x:v>
      </x:c>
      <x:c r="C1016" s="15" t="str">
        <x:v>Deck surface mapper</x:v>
      </x:c>
      <x:c r="D1016" s="15" t="str">
        <x:v>Source Inventory</x:v>
      </x:c>
      <x:c r="E1016" s="15" t="str">
        <x:v>Planetarium</x:v>
      </x:c>
      <x:c r="F1016" s="15" t="str">
        <x:v>Inventory Planetarium — GammaSprite</x:v>
      </x:c>
      <x:c r="G1016" s="15" t="str">
        <x:v>Gamma/deck extraction / slide lineage</x:v>
      </x:c>
      <x:c r="H1016" s="15" t="str">
        <x:v>source path + receipt + raw/export status + claim/edge/risk delta</x:v>
      </x:c>
      <x:c r="I1016" s="15" t="str">
        <x:v>packet/SWARM-08-H01-S07</x:v>
      </x:c>
      <x:c r="J1016" s="15" t="str">
        <x:v>TODO</x:v>
      </x:c>
      <x:c r="K1016" s="15" t="str">
        <x:v>P1</x:v>
      </x:c>
      <x:c r="L1016" s="15" t="str">
        <x:v>Done only when evidence is logged, contradiction search is noted, and boundary stamp remains non-canon unless ratified</x:v>
      </x:c>
      <x:c r="M1016" s="15" t="str">
        <x:v>candidate / staging-only / not canon / not deployed / authority none</x:v>
      </x:c>
      <x:c r="N1016" s="15" t="str">
        <x:v>Dispatch to GammaSprite: complete Source Inventory x Planetarium; return deltas only, receipts required.</x:v>
      </x:c>
      <x:c r="O1016" s="15" t="str">
        <x:v>AF-KG-H01-S07</x:v>
      </x:c>
      <x:c r="P1016" s="15" t="str">
        <x:v>Unverified</x:v>
      </x:c>
      <x:c r="Q1016" s="15" t="str">
        <x:v>Not checked</x:v>
      </x:c>
      <x:c r="R1016" s="15" t="str"/>
      <x:c r="S1016" s="15" t="str"/>
      <x:c r="T1016" s="15" t="str">
        <x:v>Log first source path or blocker</x:v>
      </x:c>
      <x:c r="U1016" s="12" t="str">
        <x:f>IF(OR(P1016="Unverified",Q1016="Not checked"),"BLOCKED_PENDING_RECEIPT","READY_FOR_REVIEW")</x:f>
        <x:v>BLOCKED_PENDING_RECEIPT</x:v>
      </x:c>
      <x:c r="V1016" s="12" t="str">
        <x:f>IF(J1016="DONE","RETURNED",IF(U1016="BLOCKED_PENDING_RECEIPT","SOURCE_TOUCH_REQUIRED","IN_PROGRESS"))</x:f>
        <x:v>SOURCE_TOUCH_REQUIRED</x:v>
      </x:c>
      <x:c r="W1016" s="12" t="str">
        <x:f>IF(P1016="Unverified","missing_receipt","receipt_logged")</x:f>
        <x:v>missing_receipt</x:v>
      </x:c>
      <x:c r="X1016" s="12" t="str">
        <x:f>IF(Q1016="Not checked","raw_status_missing","raw_status_logged")</x:f>
        <x:v>raw_status_missing</x:v>
      </x:c>
      <x:c r="Y1016" s="12" t="str">
        <x:f>IF(U1016="BLOCKED_PENDING_RECEIPT","Log source path or blocker; do not promote","Route to review lane")</x:f>
        <x:v>Log source path or blocker; do not promote</x:v>
      </x:c>
      <x:c r="Z1016" s="12" t="str">
        <x:f>IF(K1016="P0","Primary seat + Hashlight/Lucerna","Seat lane")</x:f>
        <x:v>Seat lane</x:v>
      </x:c>
      <x:c r="AA1016" s="12" t="str">
        <x:f>IF(R1016="","no_claim_delta","claim_delta_present")</x:f>
        <x:v>no_claim_delta</x:v>
      </x:c>
      <x:c r="AB1016" s="12" t="str">
        <x:f>IF(S1016="","no_contradiction_delta","contradiction_delta_present")</x:f>
        <x:v>no_contradiction_delta</x:v>
      </x:c>
      <x:c r="AC1016" s="12" t="str">
        <x:f>IF(OR(ISNUMBER(SEARCH("hacker",LOWER(F1016&amp;" "&amp;H1016&amp;" "&amp;I1016&amp;" "&amp;M1016&amp;" "&amp;N1016&amp;" "&amp;T1016))),ISNUMBER(SEARCH("hacking",LOWER(F1016&amp;" "&amp;H1016&amp;" "&amp;I1016&amp;" "&amp;M1016&amp;" "&amp;N1016&amp;" "&amp;T1016))),ISNUMBER(SEARCH("bank",LOWER(F1016&amp;" "&amp;H1016&amp;" "&amp;I1016&amp;" "&amp;M1016&amp;" "&amp;N1016&amp;" "&amp;T1016))),ISNUMBER(SEARCH("banking",LOWER(F1016&amp;" "&amp;H1016&amp;" "&amp;I1016&amp;" "&amp;M1016&amp;" "&amp;N1016&amp;" "&amp;T1016)))),"PRIVATE_QUARANTINE",IF(OR(ISNUMBER(SEARCH("treasury",LOWER(F1016&amp;" "&amp;H1016&amp;" "&amp;I1016&amp;" "&amp;M1016&amp;" "&amp;N1016&amp;" "&amp;T1016))),ISNUMBER(SEARCH("debt",LOWER(F1016&amp;" "&amp;H1016&amp;" "&amp;I1016&amp;" "&amp;M1016&amp;" "&amp;N1016&amp;" "&amp;T1016))),ISNUMBER(SEARCH("bond",LOWER(F1016&amp;" "&amp;H1016&amp;" "&amp;I1016&amp;" "&amp;M1016&amp;" "&amp;N1016&amp;" "&amp;T1016))),ISNUMBER(SEARCH("transaction",LOWER(F1016&amp;" "&amp;H1016&amp;" "&amp;I1016&amp;" "&amp;M1016&amp;" "&amp;N1016&amp;" "&amp;T1016)))),"PRIVATE_REVIEW","PUBLIC_CANDIDATE"))</x:f>
        <x:v>PUBLIC_CANDIDATE</x:v>
      </x:c>
      <x:c r="AD1016" s="12" t="str">
        <x:f>IF(AC1016="PRIVATE_QUARANTINE","hacker_or_bank_trigger",IF(AC1016="PRIVATE_REVIEW","finance_risk_trigger","none"))</x:f>
        <x:v>none</x:v>
      </x:c>
      <x:c r="AE1016" s="12" t="str">
        <x:f>IF(AC1016="PUBLIC_CANDIDATE","prepare_public_github_candidate",IF(AC1016="PRIVATE_REVIEW","hold_for_private_review","quarantine_private_do_not_publish"))</x:f>
        <x:v>prepare_public_github_candidate</x:v>
      </x:c>
      <x:c r="AF1016" s="12" t="str">
        <x:f>IF(AC1016="PUBLIC_CANDIDATE","TIDELOCK + Lucerna",IF(AC1016="PRIVATE_REVIEW","AtlasBrain + Lucerna","TIDELOCK + Lucerna + Human-root"))</x:f>
        <x:v>TIDELOCK + Lucerna</x:v>
      </x:c>
      <x:c r="AG1016" s="12" t="str">
        <x:f>IF(AND(AC1016="PUBLIC_CANDIDATE",U1016&lt;&gt;"BLOCKED_PENDING_RECEIPT"),"READY_AFTER_RECEIPT","NOT_READY")</x:f>
        <x:v>NOT_READY</x:v>
      </x:c>
      <x:c r="AH1016" s="12" t="str">
        <x:f>IF(AC1016="PUBLIC_CANDIDATE","none",AD1016)</x:f>
        <x:v>none</x:v>
      </x:c>
      <x:c r="AI1016" s="12" t="str">
        <x:f>IF(AC1016="PUBLIC_CANDIDATE","archive/public_candidates/"&amp;A1016,"private_quarantine/"&amp;A1016)</x:f>
        <x:v>archive/public_candidates/SWARM-08-H01-S07</x:v>
      </x:c>
      <x:c r="AJ1016" s="12" t="str">
        <x:f>IF(AC1016="PUBLIC_CANDIDATE","public by default; still not canon","private/hold; do not publish")</x:f>
        <x:v>public by default; still not canon</x:v>
      </x:c>
      <x:c r="AK1016" s="12" t="str">
        <x:f>IF(AE1016="prepare_public_github_candidate","add receipt/status then mirror","resolve blocker before any public GitHub action")</x:f>
        <x:v>add receipt/status then mirror</x:v>
      </x:c>
    </x:row>
    <x:row r="1017">
      <x:c r="A1017" s="15" t="str">
        <x:v>SWARM-08-H01-S08</x:v>
      </x:c>
      <x:c r="B1017" s="15" t="str">
        <x:v>GammaSprite</x:v>
      </x:c>
      <x:c r="C1017" s="15" t="str">
        <x:v>Deck surface mapper</x:v>
      </x:c>
      <x:c r="D1017" s="15" t="str">
        <x:v>Source Inventory</x:v>
      </x:c>
      <x:c r="E1017" s="15" t="str">
        <x:v>Sheldonbrain</x:v>
      </x:c>
      <x:c r="F1017" s="15" t="str">
        <x:v>Inventory Sheldonbrain — GammaSprite</x:v>
      </x:c>
      <x:c r="G1017" s="15" t="str">
        <x:v>Gamma/deck extraction / slide lineage</x:v>
      </x:c>
      <x:c r="H1017" s="15" t="str">
        <x:v>source path + receipt + raw/export status + claim/edge/risk delta</x:v>
      </x:c>
      <x:c r="I1017" s="15" t="str">
        <x:v>packet/SWARM-08-H01-S08</x:v>
      </x:c>
      <x:c r="J1017" s="15" t="str">
        <x:v>TODO</x:v>
      </x:c>
      <x:c r="K1017" s="15" t="str">
        <x:v>P1</x:v>
      </x:c>
      <x:c r="L1017" s="15" t="str">
        <x:v>Done only when evidence is logged, contradiction search is noted, and boundary stamp remains non-canon unless ratified</x:v>
      </x:c>
      <x:c r="M1017" s="15" t="str">
        <x:v>candidate / staging-only / not canon / not deployed / authority none</x:v>
      </x:c>
      <x:c r="N1017" s="15" t="str">
        <x:v>Dispatch to GammaSprite: complete Source Inventory x Sheldonbrain; return deltas only, receipts required.</x:v>
      </x:c>
      <x:c r="O1017" s="15" t="str">
        <x:v>AF-KG-H01-S08</x:v>
      </x:c>
      <x:c r="P1017" s="15" t="str">
        <x:v>Unverified</x:v>
      </x:c>
      <x:c r="Q1017" s="15" t="str">
        <x:v>Not checked</x:v>
      </x:c>
      <x:c r="R1017" s="15" t="str"/>
      <x:c r="S1017" s="15" t="str"/>
      <x:c r="T1017" s="15" t="str">
        <x:v>Log first source path or blocker</x:v>
      </x:c>
      <x:c r="U1017" s="12" t="str">
        <x:f>IF(OR(P1017="Unverified",Q1017="Not checked"),"BLOCKED_PENDING_RECEIPT","READY_FOR_REVIEW")</x:f>
        <x:v>BLOCKED_PENDING_RECEIPT</x:v>
      </x:c>
      <x:c r="V1017" s="12" t="str">
        <x:f>IF(J1017="DONE","RETURNED",IF(U1017="BLOCKED_PENDING_RECEIPT","SOURCE_TOUCH_REQUIRED","IN_PROGRESS"))</x:f>
        <x:v>SOURCE_TOUCH_REQUIRED</x:v>
      </x:c>
      <x:c r="W1017" s="12" t="str">
        <x:f>IF(P1017="Unverified","missing_receipt","receipt_logged")</x:f>
        <x:v>missing_receipt</x:v>
      </x:c>
      <x:c r="X1017" s="12" t="str">
        <x:f>IF(Q1017="Not checked","raw_status_missing","raw_status_logged")</x:f>
        <x:v>raw_status_missing</x:v>
      </x:c>
      <x:c r="Y1017" s="12" t="str">
        <x:f>IF(U1017="BLOCKED_PENDING_RECEIPT","Log source path or blocker; do not promote","Route to review lane")</x:f>
        <x:v>Log source path or blocker; do not promote</x:v>
      </x:c>
      <x:c r="Z1017" s="12" t="str">
        <x:f>IF(K1017="P0","Primary seat + Hashlight/Lucerna","Seat lane")</x:f>
        <x:v>Seat lane</x:v>
      </x:c>
      <x:c r="AA1017" s="12" t="str">
        <x:f>IF(R1017="","no_claim_delta","claim_delta_present")</x:f>
        <x:v>no_claim_delta</x:v>
      </x:c>
      <x:c r="AB1017" s="12" t="str">
        <x:f>IF(S1017="","no_contradiction_delta","contradiction_delta_present")</x:f>
        <x:v>no_contradiction_delta</x:v>
      </x:c>
      <x:c r="AC1017" s="12" t="str">
        <x:f>IF(OR(ISNUMBER(SEARCH("hacker",LOWER(F1017&amp;" "&amp;H1017&amp;" "&amp;I1017&amp;" "&amp;M1017&amp;" "&amp;N1017&amp;" "&amp;T1017))),ISNUMBER(SEARCH("hacking",LOWER(F1017&amp;" "&amp;H1017&amp;" "&amp;I1017&amp;" "&amp;M1017&amp;" "&amp;N1017&amp;" "&amp;T1017))),ISNUMBER(SEARCH("bank",LOWER(F1017&amp;" "&amp;H1017&amp;" "&amp;I1017&amp;" "&amp;M1017&amp;" "&amp;N1017&amp;" "&amp;T1017))),ISNUMBER(SEARCH("banking",LOWER(F1017&amp;" "&amp;H1017&amp;" "&amp;I1017&amp;" "&amp;M1017&amp;" "&amp;N1017&amp;" "&amp;T1017)))),"PRIVATE_QUARANTINE",IF(OR(ISNUMBER(SEARCH("treasury",LOWER(F1017&amp;" "&amp;H1017&amp;" "&amp;I1017&amp;" "&amp;M1017&amp;" "&amp;N1017&amp;" "&amp;T1017))),ISNUMBER(SEARCH("debt",LOWER(F1017&amp;" "&amp;H1017&amp;" "&amp;I1017&amp;" "&amp;M1017&amp;" "&amp;N1017&amp;" "&amp;T1017))),ISNUMBER(SEARCH("bond",LOWER(F1017&amp;" "&amp;H1017&amp;" "&amp;I1017&amp;" "&amp;M1017&amp;" "&amp;N1017&amp;" "&amp;T1017))),ISNUMBER(SEARCH("transaction",LOWER(F1017&amp;" "&amp;H1017&amp;" "&amp;I1017&amp;" "&amp;M1017&amp;" "&amp;N1017&amp;" "&amp;T1017)))),"PRIVATE_REVIEW","PUBLIC_CANDIDATE"))</x:f>
        <x:v>PUBLIC_CANDIDATE</x:v>
      </x:c>
      <x:c r="AD1017" s="12" t="str">
        <x:f>IF(AC1017="PRIVATE_QUARANTINE","hacker_or_bank_trigger",IF(AC1017="PRIVATE_REVIEW","finance_risk_trigger","none"))</x:f>
        <x:v>none</x:v>
      </x:c>
      <x:c r="AE1017" s="12" t="str">
        <x:f>IF(AC1017="PUBLIC_CANDIDATE","prepare_public_github_candidate",IF(AC1017="PRIVATE_REVIEW","hold_for_private_review","quarantine_private_do_not_publish"))</x:f>
        <x:v>prepare_public_github_candidate</x:v>
      </x:c>
      <x:c r="AF1017" s="12" t="str">
        <x:f>IF(AC1017="PUBLIC_CANDIDATE","TIDELOCK + Lucerna",IF(AC1017="PRIVATE_REVIEW","AtlasBrain + Lucerna","TIDELOCK + Lucerna + Human-root"))</x:f>
        <x:v>TIDELOCK + Lucerna</x:v>
      </x:c>
      <x:c r="AG1017" s="12" t="str">
        <x:f>IF(AND(AC1017="PUBLIC_CANDIDATE",U1017&lt;&gt;"BLOCKED_PENDING_RECEIPT"),"READY_AFTER_RECEIPT","NOT_READY")</x:f>
        <x:v>NOT_READY</x:v>
      </x:c>
      <x:c r="AH1017" s="12" t="str">
        <x:f>IF(AC1017="PUBLIC_CANDIDATE","none",AD1017)</x:f>
        <x:v>none</x:v>
      </x:c>
      <x:c r="AI1017" s="12" t="str">
        <x:f>IF(AC1017="PUBLIC_CANDIDATE","archive/public_candidates/"&amp;A1017,"private_quarantine/"&amp;A1017)</x:f>
        <x:v>archive/public_candidates/SWARM-08-H01-S08</x:v>
      </x:c>
      <x:c r="AJ1017" s="12" t="str">
        <x:f>IF(AC1017="PUBLIC_CANDIDATE","public by default; still not canon","private/hold; do not publish")</x:f>
        <x:v>public by default; still not canon</x:v>
      </x:c>
      <x:c r="AK1017" s="12" t="str">
        <x:f>IF(AE1017="prepare_public_github_candidate","add receipt/status then mirror","resolve blocker before any public GitHub action")</x:f>
        <x:v>add receipt/status then mirror</x:v>
      </x:c>
    </x:row>
    <x:row r="1018">
      <x:c r="A1018" s="15" t="str">
        <x:v>SWARM-08-H01-S09</x:v>
      </x:c>
      <x:c r="B1018" s="15" t="str">
        <x:v>GammaSprite</x:v>
      </x:c>
      <x:c r="C1018" s="15" t="str">
        <x:v>Deck surface mapper</x:v>
      </x:c>
      <x:c r="D1018" s="15" t="str">
        <x:v>Source Inventory</x:v>
      </x:c>
      <x:c r="E1018" s="15" t="str">
        <x:v>Aetherforge</x:v>
      </x:c>
      <x:c r="F1018" s="15" t="str">
        <x:v>Inventory Aetherforge — GammaSprite</x:v>
      </x:c>
      <x:c r="G1018" s="15" t="str">
        <x:v>Gamma/deck extraction / slide lineage</x:v>
      </x:c>
      <x:c r="H1018" s="15" t="str">
        <x:v>source path + receipt + raw/export status + claim/edge/risk delta</x:v>
      </x:c>
      <x:c r="I1018" s="15" t="str">
        <x:v>packet/SWARM-08-H01-S09</x:v>
      </x:c>
      <x:c r="J1018" s="15" t="str">
        <x:v>TODO</x:v>
      </x:c>
      <x:c r="K1018" s="15" t="str">
        <x:v>P2</x:v>
      </x:c>
      <x:c r="L1018" s="15" t="str">
        <x:v>Done only when evidence is logged, contradiction search is noted, and boundary stamp remains non-canon unless ratified</x:v>
      </x:c>
      <x:c r="M1018" s="15" t="str">
        <x:v>candidate / staging-only / not canon / not deployed / authority none</x:v>
      </x:c>
      <x:c r="N1018" s="15" t="str">
        <x:v>Dispatch to GammaSprite: complete Source Inventory x Aetherforge; return deltas only, receipts required.</x:v>
      </x:c>
      <x:c r="O1018" s="15" t="str">
        <x:v>AF-KG-H01-S09</x:v>
      </x:c>
      <x:c r="P1018" s="15" t="str">
        <x:v>Unverified</x:v>
      </x:c>
      <x:c r="Q1018" s="15" t="str">
        <x:v>Not checked</x:v>
      </x:c>
      <x:c r="R1018" s="15" t="str"/>
      <x:c r="S1018" s="15" t="str"/>
      <x:c r="T1018" s="15" t="str">
        <x:v>Log first source path or blocker</x:v>
      </x:c>
      <x:c r="U1018" s="12" t="str">
        <x:f>IF(OR(P1018="Unverified",Q1018="Not checked"),"BLOCKED_PENDING_RECEIPT","READY_FOR_REVIEW")</x:f>
        <x:v>BLOCKED_PENDING_RECEIPT</x:v>
      </x:c>
      <x:c r="V1018" s="12" t="str">
        <x:f>IF(J1018="DONE","RETURNED",IF(U1018="BLOCKED_PENDING_RECEIPT","SOURCE_TOUCH_REQUIRED","IN_PROGRESS"))</x:f>
        <x:v>SOURCE_TOUCH_REQUIRED</x:v>
      </x:c>
      <x:c r="W1018" s="12" t="str">
        <x:f>IF(P1018="Unverified","missing_receipt","receipt_logged")</x:f>
        <x:v>missing_receipt</x:v>
      </x:c>
      <x:c r="X1018" s="12" t="str">
        <x:f>IF(Q1018="Not checked","raw_status_missing","raw_status_logged")</x:f>
        <x:v>raw_status_missing</x:v>
      </x:c>
      <x:c r="Y1018" s="12" t="str">
        <x:f>IF(U1018="BLOCKED_PENDING_RECEIPT","Log source path or blocker; do not promote","Route to review lane")</x:f>
        <x:v>Log source path or blocker; do not promote</x:v>
      </x:c>
      <x:c r="Z1018" s="12" t="str">
        <x:f>IF(K1018="P0","Primary seat + Hashlight/Lucerna","Seat lane")</x:f>
        <x:v>Seat lane</x:v>
      </x:c>
      <x:c r="AA1018" s="12" t="str">
        <x:f>IF(R1018="","no_claim_delta","claim_delta_present")</x:f>
        <x:v>no_claim_delta</x:v>
      </x:c>
      <x:c r="AB1018" s="12" t="str">
        <x:f>IF(S1018="","no_contradiction_delta","contradiction_delta_present")</x:f>
        <x:v>no_contradiction_delta</x:v>
      </x:c>
      <x:c r="AC1018" s="12" t="str">
        <x:f>IF(OR(ISNUMBER(SEARCH("hacker",LOWER(F1018&amp;" "&amp;H1018&amp;" "&amp;I1018&amp;" "&amp;M1018&amp;" "&amp;N1018&amp;" "&amp;T1018))),ISNUMBER(SEARCH("hacking",LOWER(F1018&amp;" "&amp;H1018&amp;" "&amp;I1018&amp;" "&amp;M1018&amp;" "&amp;N1018&amp;" "&amp;T1018))),ISNUMBER(SEARCH("bank",LOWER(F1018&amp;" "&amp;H1018&amp;" "&amp;I1018&amp;" "&amp;M1018&amp;" "&amp;N1018&amp;" "&amp;T1018))),ISNUMBER(SEARCH("banking",LOWER(F1018&amp;" "&amp;H1018&amp;" "&amp;I1018&amp;" "&amp;M1018&amp;" "&amp;N1018&amp;" "&amp;T1018)))),"PRIVATE_QUARANTINE",IF(OR(ISNUMBER(SEARCH("treasury",LOWER(F1018&amp;" "&amp;H1018&amp;" "&amp;I1018&amp;" "&amp;M1018&amp;" "&amp;N1018&amp;" "&amp;T1018))),ISNUMBER(SEARCH("debt",LOWER(F1018&amp;" "&amp;H1018&amp;" "&amp;I1018&amp;" "&amp;M1018&amp;" "&amp;N1018&amp;" "&amp;T1018))),ISNUMBER(SEARCH("bond",LOWER(F1018&amp;" "&amp;H1018&amp;" "&amp;I1018&amp;" "&amp;M1018&amp;" "&amp;N1018&amp;" "&amp;T1018))),ISNUMBER(SEARCH("transaction",LOWER(F1018&amp;" "&amp;H1018&amp;" "&amp;I1018&amp;" "&amp;M1018&amp;" "&amp;N1018&amp;" "&amp;T1018)))),"PRIVATE_REVIEW","PUBLIC_CANDIDATE"))</x:f>
        <x:v>PUBLIC_CANDIDATE</x:v>
      </x:c>
      <x:c r="AD1018" s="12" t="str">
        <x:f>IF(AC1018="PRIVATE_QUARANTINE","hacker_or_bank_trigger",IF(AC1018="PRIVATE_REVIEW","finance_risk_trigger","none"))</x:f>
        <x:v>none</x:v>
      </x:c>
      <x:c r="AE1018" s="12" t="str">
        <x:f>IF(AC1018="PUBLIC_CANDIDATE","prepare_public_github_candidate",IF(AC1018="PRIVATE_REVIEW","hold_for_private_review","quarantine_private_do_not_publish"))</x:f>
        <x:v>prepare_public_github_candidate</x:v>
      </x:c>
      <x:c r="AF1018" s="12" t="str">
        <x:f>IF(AC1018="PUBLIC_CANDIDATE","TIDELOCK + Lucerna",IF(AC1018="PRIVATE_REVIEW","AtlasBrain + Lucerna","TIDELOCK + Lucerna + Human-root"))</x:f>
        <x:v>TIDELOCK + Lucerna</x:v>
      </x:c>
      <x:c r="AG1018" s="12" t="str">
        <x:f>IF(AND(AC1018="PUBLIC_CANDIDATE",U1018&lt;&gt;"BLOCKED_PENDING_RECEIPT"),"READY_AFTER_RECEIPT","NOT_READY")</x:f>
        <x:v>NOT_READY</x:v>
      </x:c>
      <x:c r="AH1018" s="12" t="str">
        <x:f>IF(AC1018="PUBLIC_CANDIDATE","none",AD1018)</x:f>
        <x:v>none</x:v>
      </x:c>
      <x:c r="AI1018" s="12" t="str">
        <x:f>IF(AC1018="PUBLIC_CANDIDATE","archive/public_candidates/"&amp;A1018,"private_quarantine/"&amp;A1018)</x:f>
        <x:v>archive/public_candidates/SWARM-08-H01-S09</x:v>
      </x:c>
      <x:c r="AJ1018" s="12" t="str">
        <x:f>IF(AC1018="PUBLIC_CANDIDATE","public by default; still not canon","private/hold; do not publish")</x:f>
        <x:v>public by default; still not canon</x:v>
      </x:c>
      <x:c r="AK1018" s="12" t="str">
        <x:f>IF(AE1018="prepare_public_github_candidate","add receipt/status then mirror","resolve blocker before any public GitHub action")</x:f>
        <x:v>add receipt/status then mirror</x:v>
      </x:c>
    </x:row>
    <x:row r="1019">
      <x:c r="A1019" s="15" t="str">
        <x:v>SWARM-08-H01-S10</x:v>
      </x:c>
      <x:c r="B1019" s="15" t="str">
        <x:v>GammaSprite</x:v>
      </x:c>
      <x:c r="C1019" s="15" t="str">
        <x:v>Deck surface mapper</x:v>
      </x:c>
      <x:c r="D1019" s="15" t="str">
        <x:v>Source Inventory</x:v>
      </x:c>
      <x:c r="E1019" s="15" t="str">
        <x:v>Human-Root</x:v>
      </x:c>
      <x:c r="F1019" s="15" t="str">
        <x:v>Inventory Human-Root — GammaSprite</x:v>
      </x:c>
      <x:c r="G1019" s="15" t="str">
        <x:v>Gamma/deck extraction / slide lineage</x:v>
      </x:c>
      <x:c r="H1019" s="15" t="str">
        <x:v>source path + receipt + raw/export status + claim/edge/risk delta</x:v>
      </x:c>
      <x:c r="I1019" s="15" t="str">
        <x:v>packet/SWARM-08-H01-S10</x:v>
      </x:c>
      <x:c r="J1019" s="15" t="str">
        <x:v>TODO</x:v>
      </x:c>
      <x:c r="K1019" s="15" t="str">
        <x:v>P2</x:v>
      </x:c>
      <x:c r="L1019" s="15" t="str">
        <x:v>Done only when evidence is logged, contradiction search is noted, and boundary stamp remains non-canon unless ratified</x:v>
      </x:c>
      <x:c r="M1019" s="15" t="str">
        <x:v>candidate / staging-only / not canon / not deployed / authority none</x:v>
      </x:c>
      <x:c r="N1019" s="15" t="str">
        <x:v>Dispatch to GammaSprite: complete Source Inventory x Human-Root; return deltas only, receipts required.</x:v>
      </x:c>
      <x:c r="O1019" s="15" t="str">
        <x:v>AF-KG-H01-S10</x:v>
      </x:c>
      <x:c r="P1019" s="15" t="str">
        <x:v>Unverified</x:v>
      </x:c>
      <x:c r="Q1019" s="15" t="str">
        <x:v>Not checked</x:v>
      </x:c>
      <x:c r="R1019" s="15" t="str"/>
      <x:c r="S1019" s="15" t="str"/>
      <x:c r="T1019" s="15" t="str">
        <x:v>Log first source path or blocker</x:v>
      </x:c>
      <x:c r="U1019" s="12" t="str">
        <x:f>IF(OR(P1019="Unverified",Q1019="Not checked"),"BLOCKED_PENDING_RECEIPT","READY_FOR_REVIEW")</x:f>
        <x:v>BLOCKED_PENDING_RECEIPT</x:v>
      </x:c>
      <x:c r="V1019" s="12" t="str">
        <x:f>IF(J1019="DONE","RETURNED",IF(U1019="BLOCKED_PENDING_RECEIPT","SOURCE_TOUCH_REQUIRED","IN_PROGRESS"))</x:f>
        <x:v>SOURCE_TOUCH_REQUIRED</x:v>
      </x:c>
      <x:c r="W1019" s="12" t="str">
        <x:f>IF(P1019="Unverified","missing_receipt","receipt_logged")</x:f>
        <x:v>missing_receipt</x:v>
      </x:c>
      <x:c r="X1019" s="12" t="str">
        <x:f>IF(Q1019="Not checked","raw_status_missing","raw_status_logged")</x:f>
        <x:v>raw_status_missing</x:v>
      </x:c>
      <x:c r="Y1019" s="12" t="str">
        <x:f>IF(U1019="BLOCKED_PENDING_RECEIPT","Log source path or blocker; do not promote","Route to review lane")</x:f>
        <x:v>Log source path or blocker; do not promote</x:v>
      </x:c>
      <x:c r="Z1019" s="12" t="str">
        <x:f>IF(K1019="P0","Primary seat + Hashlight/Lucerna","Seat lane")</x:f>
        <x:v>Seat lane</x:v>
      </x:c>
      <x:c r="AA1019" s="12" t="str">
        <x:f>IF(R1019="","no_claim_delta","claim_delta_present")</x:f>
        <x:v>no_claim_delta</x:v>
      </x:c>
      <x:c r="AB1019" s="12" t="str">
        <x:f>IF(S1019="","no_contradiction_delta","contradiction_delta_present")</x:f>
        <x:v>no_contradiction_delta</x:v>
      </x:c>
      <x:c r="AC1019" s="12" t="str">
        <x:f>IF(OR(ISNUMBER(SEARCH("hacker",LOWER(F1019&amp;" "&amp;H1019&amp;" "&amp;I1019&amp;" "&amp;M1019&amp;" "&amp;N1019&amp;" "&amp;T1019))),ISNUMBER(SEARCH("hacking",LOWER(F1019&amp;" "&amp;H1019&amp;" "&amp;I1019&amp;" "&amp;M1019&amp;" "&amp;N1019&amp;" "&amp;T1019))),ISNUMBER(SEARCH("bank",LOWER(F1019&amp;" "&amp;H1019&amp;" "&amp;I1019&amp;" "&amp;M1019&amp;" "&amp;N1019&amp;" "&amp;T1019))),ISNUMBER(SEARCH("banking",LOWER(F1019&amp;" "&amp;H1019&amp;" "&amp;I1019&amp;" "&amp;M1019&amp;" "&amp;N1019&amp;" "&amp;T1019)))),"PRIVATE_QUARANTINE",IF(OR(ISNUMBER(SEARCH("treasury",LOWER(F1019&amp;" "&amp;H1019&amp;" "&amp;I1019&amp;" "&amp;M1019&amp;" "&amp;N1019&amp;" "&amp;T1019))),ISNUMBER(SEARCH("debt",LOWER(F1019&amp;" "&amp;H1019&amp;" "&amp;I1019&amp;" "&amp;M1019&amp;" "&amp;N1019&amp;" "&amp;T1019))),ISNUMBER(SEARCH("bond",LOWER(F1019&amp;" "&amp;H1019&amp;" "&amp;I1019&amp;" "&amp;M1019&amp;" "&amp;N1019&amp;" "&amp;T1019))),ISNUMBER(SEARCH("transaction",LOWER(F1019&amp;" "&amp;H1019&amp;" "&amp;I1019&amp;" "&amp;M1019&amp;" "&amp;N1019&amp;" "&amp;T1019)))),"PRIVATE_REVIEW","PUBLIC_CANDIDATE"))</x:f>
        <x:v>PUBLIC_CANDIDATE</x:v>
      </x:c>
      <x:c r="AD1019" s="12" t="str">
        <x:f>IF(AC1019="PRIVATE_QUARANTINE","hacker_or_bank_trigger",IF(AC1019="PRIVATE_REVIEW","finance_risk_trigger","none"))</x:f>
        <x:v>none</x:v>
      </x:c>
      <x:c r="AE1019" s="12" t="str">
        <x:f>IF(AC1019="PUBLIC_CANDIDATE","prepare_public_github_candidate",IF(AC1019="PRIVATE_REVIEW","hold_for_private_review","quarantine_private_do_not_publish"))</x:f>
        <x:v>prepare_public_github_candidate</x:v>
      </x:c>
      <x:c r="AF1019" s="12" t="str">
        <x:f>IF(AC1019="PUBLIC_CANDIDATE","TIDELOCK + Lucerna",IF(AC1019="PRIVATE_REVIEW","AtlasBrain + Lucerna","TIDELOCK + Lucerna + Human-root"))</x:f>
        <x:v>TIDELOCK + Lucerna</x:v>
      </x:c>
      <x:c r="AG1019" s="12" t="str">
        <x:f>IF(AND(AC1019="PUBLIC_CANDIDATE",U1019&lt;&gt;"BLOCKED_PENDING_RECEIPT"),"READY_AFTER_RECEIPT","NOT_READY")</x:f>
        <x:v>NOT_READY</x:v>
      </x:c>
      <x:c r="AH1019" s="12" t="str">
        <x:f>IF(AC1019="PUBLIC_CANDIDATE","none",AD1019)</x:f>
        <x:v>none</x:v>
      </x:c>
      <x:c r="AI1019" s="12" t="str">
        <x:f>IF(AC1019="PUBLIC_CANDIDATE","archive/public_candidates/"&amp;A1019,"private_quarantine/"&amp;A1019)</x:f>
        <x:v>archive/public_candidates/SWARM-08-H01-S10</x:v>
      </x:c>
      <x:c r="AJ1019" s="12" t="str">
        <x:f>IF(AC1019="PUBLIC_CANDIDATE","public by default; still not canon","private/hold; do not publish")</x:f>
        <x:v>public by default; still not canon</x:v>
      </x:c>
      <x:c r="AK1019" s="12" t="str">
        <x:f>IF(AE1019="prepare_public_github_candidate","add receipt/status then mirror","resolve blocker before any public GitHub action")</x:f>
        <x:v>add receipt/status then mirror</x:v>
      </x:c>
    </x:row>
    <x:row r="1020">
      <x:c r="A1020" s="15" t="str">
        <x:v>SWARM-08-H01-S11</x:v>
      </x:c>
      <x:c r="B1020" s="15" t="str">
        <x:v>GammaSprite</x:v>
      </x:c>
      <x:c r="C1020" s="15" t="str">
        <x:v>Deck surface mapper</x:v>
      </x:c>
      <x:c r="D1020" s="15" t="str">
        <x:v>Source Inventory</x:v>
      </x:c>
      <x:c r="E1020" s="15" t="str">
        <x:v>Automation</x:v>
      </x:c>
      <x:c r="F1020" s="15" t="str">
        <x:v>Inventory Automation — GammaSprite</x:v>
      </x:c>
      <x:c r="G1020" s="15" t="str">
        <x:v>Gamma/deck extraction / slide lineage</x:v>
      </x:c>
      <x:c r="H1020" s="15" t="str">
        <x:v>source path + receipt + raw/export status + claim/edge/risk delta</x:v>
      </x:c>
      <x:c r="I1020" s="15" t="str">
        <x:v>packet/SWARM-08-H01-S11</x:v>
      </x:c>
      <x:c r="J1020" s="15" t="str">
        <x:v>TODO</x:v>
      </x:c>
      <x:c r="K1020" s="15" t="str">
        <x:v>P2</x:v>
      </x:c>
      <x:c r="L1020" s="15" t="str">
        <x:v>Done only when evidence is logged, contradiction search is noted, and boundary stamp remains non-canon unless ratified</x:v>
      </x:c>
      <x:c r="M1020" s="15" t="str">
        <x:v>candidate / staging-only / not canon / not deployed / authority none</x:v>
      </x:c>
      <x:c r="N1020" s="15" t="str">
        <x:v>Dispatch to GammaSprite: complete Source Inventory x Automation; return deltas only, receipts required.</x:v>
      </x:c>
      <x:c r="O1020" s="15" t="str">
        <x:v>AF-KG-H01-S11</x:v>
      </x:c>
      <x:c r="P1020" s="15" t="str">
        <x:v>Unverified</x:v>
      </x:c>
      <x:c r="Q1020" s="15" t="str">
        <x:v>Not checked</x:v>
      </x:c>
      <x:c r="R1020" s="15" t="str"/>
      <x:c r="S1020" s="15" t="str"/>
      <x:c r="T1020" s="15" t="str">
        <x:v>Log first source path or blocker</x:v>
      </x:c>
      <x:c r="U1020" s="12" t="str">
        <x:f>IF(OR(P1020="Unverified",Q1020="Not checked"),"BLOCKED_PENDING_RECEIPT","READY_FOR_REVIEW")</x:f>
        <x:v>BLOCKED_PENDING_RECEIPT</x:v>
      </x:c>
      <x:c r="V1020" s="12" t="str">
        <x:f>IF(J1020="DONE","RETURNED",IF(U1020="BLOCKED_PENDING_RECEIPT","SOURCE_TOUCH_REQUIRED","IN_PROGRESS"))</x:f>
        <x:v>SOURCE_TOUCH_REQUIRED</x:v>
      </x:c>
      <x:c r="W1020" s="12" t="str">
        <x:f>IF(P1020="Unverified","missing_receipt","receipt_logged")</x:f>
        <x:v>missing_receipt</x:v>
      </x:c>
      <x:c r="X1020" s="12" t="str">
        <x:f>IF(Q1020="Not checked","raw_status_missing","raw_status_logged")</x:f>
        <x:v>raw_status_missing</x:v>
      </x:c>
      <x:c r="Y1020" s="12" t="str">
        <x:f>IF(U1020="BLOCKED_PENDING_RECEIPT","Log source path or blocker; do not promote","Route to review lane")</x:f>
        <x:v>Log source path or blocker; do not promote</x:v>
      </x:c>
      <x:c r="Z1020" s="12" t="str">
        <x:f>IF(K1020="P0","Primary seat + Hashlight/Lucerna","Seat lane")</x:f>
        <x:v>Seat lane</x:v>
      </x:c>
      <x:c r="AA1020" s="12" t="str">
        <x:f>IF(R1020="","no_claim_delta","claim_delta_present")</x:f>
        <x:v>no_claim_delta</x:v>
      </x:c>
      <x:c r="AB1020" s="12" t="str">
        <x:f>IF(S1020="","no_contradiction_delta","contradiction_delta_present")</x:f>
        <x:v>no_contradiction_delta</x:v>
      </x:c>
      <x:c r="AC1020" s="12" t="str">
        <x:f>IF(OR(ISNUMBER(SEARCH("hacker",LOWER(F1020&amp;" "&amp;H1020&amp;" "&amp;I1020&amp;" "&amp;M1020&amp;" "&amp;N1020&amp;" "&amp;T1020))),ISNUMBER(SEARCH("hacking",LOWER(F1020&amp;" "&amp;H1020&amp;" "&amp;I1020&amp;" "&amp;M1020&amp;" "&amp;N1020&amp;" "&amp;T1020))),ISNUMBER(SEARCH("bank",LOWER(F1020&amp;" "&amp;H1020&amp;" "&amp;I1020&amp;" "&amp;M1020&amp;" "&amp;N1020&amp;" "&amp;T1020))),ISNUMBER(SEARCH("banking",LOWER(F1020&amp;" "&amp;H1020&amp;" "&amp;I1020&amp;" "&amp;M1020&amp;" "&amp;N1020&amp;" "&amp;T1020)))),"PRIVATE_QUARANTINE",IF(OR(ISNUMBER(SEARCH("treasury",LOWER(F1020&amp;" "&amp;H1020&amp;" "&amp;I1020&amp;" "&amp;M1020&amp;" "&amp;N1020&amp;" "&amp;T1020))),ISNUMBER(SEARCH("debt",LOWER(F1020&amp;" "&amp;H1020&amp;" "&amp;I1020&amp;" "&amp;M1020&amp;" "&amp;N1020&amp;" "&amp;T1020))),ISNUMBER(SEARCH("bond",LOWER(F1020&amp;" "&amp;H1020&amp;" "&amp;I1020&amp;" "&amp;M1020&amp;" "&amp;N1020&amp;" "&amp;T1020))),ISNUMBER(SEARCH("transaction",LOWER(F1020&amp;" "&amp;H1020&amp;" "&amp;I1020&amp;" "&amp;M1020&amp;" "&amp;N1020&amp;" "&amp;T1020)))),"PRIVATE_REVIEW","PUBLIC_CANDIDATE"))</x:f>
        <x:v>PUBLIC_CANDIDATE</x:v>
      </x:c>
      <x:c r="AD1020" s="12" t="str">
        <x:f>IF(AC1020="PRIVATE_QUARANTINE","hacker_or_bank_trigger",IF(AC1020="PRIVATE_REVIEW","finance_risk_trigger","none"))</x:f>
        <x:v>none</x:v>
      </x:c>
      <x:c r="AE1020" s="12" t="str">
        <x:f>IF(AC1020="PUBLIC_CANDIDATE","prepare_public_github_candidate",IF(AC1020="PRIVATE_REVIEW","hold_for_private_review","quarantine_private_do_not_publish"))</x:f>
        <x:v>prepare_public_github_candidate</x:v>
      </x:c>
      <x:c r="AF1020" s="12" t="str">
        <x:f>IF(AC1020="PUBLIC_CANDIDATE","TIDELOCK + Lucerna",IF(AC1020="PRIVATE_REVIEW","AtlasBrain + Lucerna","TIDELOCK + Lucerna + Human-root"))</x:f>
        <x:v>TIDELOCK + Lucerna</x:v>
      </x:c>
      <x:c r="AG1020" s="12" t="str">
        <x:f>IF(AND(AC1020="PUBLIC_CANDIDATE",U1020&lt;&gt;"BLOCKED_PENDING_RECEIPT"),"READY_AFTER_RECEIPT","NOT_READY")</x:f>
        <x:v>NOT_READY</x:v>
      </x:c>
      <x:c r="AH1020" s="12" t="str">
        <x:f>IF(AC1020="PUBLIC_CANDIDATE","none",AD1020)</x:f>
        <x:v>none</x:v>
      </x:c>
      <x:c r="AI1020" s="12" t="str">
        <x:f>IF(AC1020="PUBLIC_CANDIDATE","archive/public_candidates/"&amp;A1020,"private_quarantine/"&amp;A1020)</x:f>
        <x:v>archive/public_candidates/SWARM-08-H01-S11</x:v>
      </x:c>
      <x:c r="AJ1020" s="12" t="str">
        <x:f>IF(AC1020="PUBLIC_CANDIDATE","public by default; still not canon","private/hold; do not publish")</x:f>
        <x:v>public by default; still not canon</x:v>
      </x:c>
      <x:c r="AK1020" s="12" t="str">
        <x:f>IF(AE1020="prepare_public_github_candidate","add receipt/status then mirror","resolve blocker before any public GitHub action")</x:f>
        <x:v>add receipt/status then mirror</x:v>
      </x:c>
    </x:row>
    <x:row r="1021">
      <x:c r="A1021" s="15" t="str">
        <x:v>SWARM-08-H01-S12</x:v>
      </x:c>
      <x:c r="B1021" s="15" t="str">
        <x:v>GammaSprite</x:v>
      </x:c>
      <x:c r="C1021" s="15" t="str">
        <x:v>Deck surface mapper</x:v>
      </x:c>
      <x:c r="D1021" s="15" t="str">
        <x:v>Source Inventory</x:v>
      </x:c>
      <x:c r="E1021" s="15" t="str">
        <x:v>Risk / Safety</x:v>
      </x:c>
      <x:c r="F1021" s="15" t="str">
        <x:v>Inventory Risk / Safety — GammaSprite</x:v>
      </x:c>
      <x:c r="G1021" s="15" t="str">
        <x:v>Gamma/deck extraction / slide lineage</x:v>
      </x:c>
      <x:c r="H1021" s="15" t="str">
        <x:v>source path + receipt + raw/export status + claim/edge/risk delta</x:v>
      </x:c>
      <x:c r="I1021" s="15" t="str">
        <x:v>packet/SWARM-08-H01-S12</x:v>
      </x:c>
      <x:c r="J1021" s="15" t="str">
        <x:v>TODO</x:v>
      </x:c>
      <x:c r="K1021" s="15" t="str">
        <x:v>P2</x:v>
      </x:c>
      <x:c r="L1021" s="15" t="str">
        <x:v>Done only when evidence is logged, contradiction search is noted, and boundary stamp remains non-canon unless ratified</x:v>
      </x:c>
      <x:c r="M1021" s="15" t="str">
        <x:v>candidate / staging-only / not canon / not deployed / authority none</x:v>
      </x:c>
      <x:c r="N1021" s="15" t="str">
        <x:v>Dispatch to GammaSprite: complete Source Inventory x Risk / Safety; return deltas only, receipts required.</x:v>
      </x:c>
      <x:c r="O1021" s="15" t="str">
        <x:v>AF-KG-H01-S12</x:v>
      </x:c>
      <x:c r="P1021" s="15" t="str">
        <x:v>Unverified</x:v>
      </x:c>
      <x:c r="Q1021" s="15" t="str">
        <x:v>Not checked</x:v>
      </x:c>
      <x:c r="R1021" s="15" t="str"/>
      <x:c r="S1021" s="15" t="str"/>
      <x:c r="T1021" s="15" t="str">
        <x:v>Log first source path or blocker</x:v>
      </x:c>
      <x:c r="U1021" s="12" t="str">
        <x:f>IF(OR(P1021="Unverified",Q1021="Not checked"),"BLOCKED_PENDING_RECEIPT","READY_FOR_REVIEW")</x:f>
        <x:v>BLOCKED_PENDING_RECEIPT</x:v>
      </x:c>
      <x:c r="V1021" s="12" t="str">
        <x:f>IF(J1021="DONE","RETURNED",IF(U1021="BLOCKED_PENDING_RECEIPT","SOURCE_TOUCH_REQUIRED","IN_PROGRESS"))</x:f>
        <x:v>SOURCE_TOUCH_REQUIRED</x:v>
      </x:c>
      <x:c r="W1021" s="12" t="str">
        <x:f>IF(P1021="Unverified","missing_receipt","receipt_logged")</x:f>
        <x:v>missing_receipt</x:v>
      </x:c>
      <x:c r="X1021" s="12" t="str">
        <x:f>IF(Q1021="Not checked","raw_status_missing","raw_status_logged")</x:f>
        <x:v>raw_status_missing</x:v>
      </x:c>
      <x:c r="Y1021" s="12" t="str">
        <x:f>IF(U1021="BLOCKED_PENDING_RECEIPT","Log source path or blocker; do not promote","Route to review lane")</x:f>
        <x:v>Log source path or blocker; do not promote</x:v>
      </x:c>
      <x:c r="Z1021" s="12" t="str">
        <x:f>IF(K1021="P0","Primary seat + Hashlight/Lucerna","Seat lane")</x:f>
        <x:v>Seat lane</x:v>
      </x:c>
      <x:c r="AA1021" s="12" t="str">
        <x:f>IF(R1021="","no_claim_delta","claim_delta_present")</x:f>
        <x:v>no_claim_delta</x:v>
      </x:c>
      <x:c r="AB1021" s="12" t="str">
        <x:f>IF(S1021="","no_contradiction_delta","contradiction_delta_present")</x:f>
        <x:v>no_contradiction_delta</x:v>
      </x:c>
      <x:c r="AC1021" s="12" t="str">
        <x:f>IF(OR(ISNUMBER(SEARCH("hacker",LOWER(F1021&amp;" "&amp;H1021&amp;" "&amp;I1021&amp;" "&amp;M1021&amp;" "&amp;N1021&amp;" "&amp;T1021))),ISNUMBER(SEARCH("hacking",LOWER(F1021&amp;" "&amp;H1021&amp;" "&amp;I1021&amp;" "&amp;M1021&amp;" "&amp;N1021&amp;" "&amp;T1021))),ISNUMBER(SEARCH("bank",LOWER(F1021&amp;" "&amp;H1021&amp;" "&amp;I1021&amp;" "&amp;M1021&amp;" "&amp;N1021&amp;" "&amp;T1021))),ISNUMBER(SEARCH("banking",LOWER(F1021&amp;" "&amp;H1021&amp;" "&amp;I1021&amp;" "&amp;M1021&amp;" "&amp;N1021&amp;" "&amp;T1021)))),"PRIVATE_QUARANTINE",IF(OR(ISNUMBER(SEARCH("treasury",LOWER(F1021&amp;" "&amp;H1021&amp;" "&amp;I1021&amp;" "&amp;M1021&amp;" "&amp;N1021&amp;" "&amp;T1021))),ISNUMBER(SEARCH("debt",LOWER(F1021&amp;" "&amp;H1021&amp;" "&amp;I1021&amp;" "&amp;M1021&amp;" "&amp;N1021&amp;" "&amp;T1021))),ISNUMBER(SEARCH("bond",LOWER(F1021&amp;" "&amp;H1021&amp;" "&amp;I1021&amp;" "&amp;M1021&amp;" "&amp;N1021&amp;" "&amp;T1021))),ISNUMBER(SEARCH("transaction",LOWER(F1021&amp;" "&amp;H1021&amp;" "&amp;I1021&amp;" "&amp;M1021&amp;" "&amp;N1021&amp;" "&amp;T1021)))),"PRIVATE_REVIEW","PUBLIC_CANDIDATE"))</x:f>
        <x:v>PUBLIC_CANDIDATE</x:v>
      </x:c>
      <x:c r="AD1021" s="12" t="str">
        <x:f>IF(AC1021="PRIVATE_QUARANTINE","hacker_or_bank_trigger",IF(AC1021="PRIVATE_REVIEW","finance_risk_trigger","none"))</x:f>
        <x:v>none</x:v>
      </x:c>
      <x:c r="AE1021" s="12" t="str">
        <x:f>IF(AC1021="PUBLIC_CANDIDATE","prepare_public_github_candidate",IF(AC1021="PRIVATE_REVIEW","hold_for_private_review","quarantine_private_do_not_publish"))</x:f>
        <x:v>prepare_public_github_candidate</x:v>
      </x:c>
      <x:c r="AF1021" s="12" t="str">
        <x:f>IF(AC1021="PUBLIC_CANDIDATE","TIDELOCK + Lucerna",IF(AC1021="PRIVATE_REVIEW","AtlasBrain + Lucerna","TIDELOCK + Lucerna + Human-root"))</x:f>
        <x:v>TIDELOCK + Lucerna</x:v>
      </x:c>
      <x:c r="AG1021" s="12" t="str">
        <x:f>IF(AND(AC1021="PUBLIC_CANDIDATE",U1021&lt;&gt;"BLOCKED_PENDING_RECEIPT"),"READY_AFTER_RECEIPT","NOT_READY")</x:f>
        <x:v>NOT_READY</x:v>
      </x:c>
      <x:c r="AH1021" s="12" t="str">
        <x:f>IF(AC1021="PUBLIC_CANDIDATE","none",AD1021)</x:f>
        <x:v>none</x:v>
      </x:c>
      <x:c r="AI1021" s="12" t="str">
        <x:f>IF(AC1021="PUBLIC_CANDIDATE","archive/public_candidates/"&amp;A1021,"private_quarantine/"&amp;A1021)</x:f>
        <x:v>archive/public_candidates/SWARM-08-H01-S12</x:v>
      </x:c>
      <x:c r="AJ1021" s="12" t="str">
        <x:f>IF(AC1021="PUBLIC_CANDIDATE","public by default; still not canon","private/hold; do not publish")</x:f>
        <x:v>public by default; still not canon</x:v>
      </x:c>
      <x:c r="AK1021" s="12" t="str">
        <x:f>IF(AE1021="prepare_public_github_candidate","add receipt/status then mirror","resolve blocker before any public GitHub action")</x:f>
        <x:v>add receipt/status then mirror</x:v>
      </x:c>
    </x:row>
    <x:row r="1022">
      <x:c r="A1022" s="15" t="str">
        <x:v>SWARM-08-H02-S01</x:v>
      </x:c>
      <x:c r="B1022" s="15" t="str">
        <x:v>GammaSprite</x:v>
      </x:c>
      <x:c r="C1022" s="15" t="str">
        <x:v>Deck surface mapper</x:v>
      </x:c>
      <x:c r="D1022" s="15" t="str">
        <x:v>Receipt Verification</x:v>
      </x:c>
      <x:c r="E1022" s="15" t="str">
        <x:v>Notion</x:v>
      </x:c>
      <x:c r="F1022" s="15" t="str">
        <x:v>Verify receipts for Notion — GammaSprite</x:v>
      </x:c>
      <x:c r="G1022" s="15" t="str">
        <x:v>Gamma/deck extraction / slide lineage</x:v>
      </x:c>
      <x:c r="H1022" s="15" t="str">
        <x:v>source path + receipt + raw/export status + claim/edge/risk delta</x:v>
      </x:c>
      <x:c r="I1022" s="15" t="str">
        <x:v>packet/SWARM-08-H02-S01</x:v>
      </x:c>
      <x:c r="J1022" s="15" t="str">
        <x:v>TODO</x:v>
      </x:c>
      <x:c r="K1022" s="15" t="str">
        <x:v>P0</x:v>
      </x:c>
      <x:c r="L1022" s="15" t="str">
        <x:v>Done only when evidence is logged, contradiction search is noted, and boundary stamp remains non-canon unless ratified</x:v>
      </x:c>
      <x:c r="M1022" s="15" t="str">
        <x:v>candidate / staging-only / not canon / not deployed / authority none</x:v>
      </x:c>
      <x:c r="N1022" s="15" t="str">
        <x:v>Dispatch to GammaSprite: complete Receipt Verification x Notion; return deltas only, receipts required.</x:v>
      </x:c>
      <x:c r="O1022" s="15" t="str">
        <x:v>AF-KG-H02-S01</x:v>
      </x:c>
      <x:c r="P1022" s="15" t="str">
        <x:v>Unverified</x:v>
      </x:c>
      <x:c r="Q1022" s="15" t="str">
        <x:v>Not checked</x:v>
      </x:c>
      <x:c r="R1022" s="15" t="str"/>
      <x:c r="S1022" s="15" t="str"/>
      <x:c r="T1022" s="15" t="str">
        <x:v>Log first source path or blocker</x:v>
      </x:c>
      <x:c r="U1022" s="12" t="str">
        <x:f>IF(OR(P1022="Unverified",Q1022="Not checked"),"BLOCKED_PENDING_RECEIPT","READY_FOR_REVIEW")</x:f>
        <x:v>BLOCKED_PENDING_RECEIPT</x:v>
      </x:c>
      <x:c r="V1022" s="12" t="str">
        <x:f>IF(J1022="DONE","RETURNED",IF(U1022="BLOCKED_PENDING_RECEIPT","SOURCE_TOUCH_REQUIRED","IN_PROGRESS"))</x:f>
        <x:v>SOURCE_TOUCH_REQUIRED</x:v>
      </x:c>
      <x:c r="W1022" s="12" t="str">
        <x:f>IF(P1022="Unverified","missing_receipt","receipt_logged")</x:f>
        <x:v>missing_receipt</x:v>
      </x:c>
      <x:c r="X1022" s="12" t="str">
        <x:f>IF(Q1022="Not checked","raw_status_missing","raw_status_logged")</x:f>
        <x:v>raw_status_missing</x:v>
      </x:c>
      <x:c r="Y1022" s="12" t="str">
        <x:f>IF(U1022="BLOCKED_PENDING_RECEIPT","Log source path or blocker; do not promote","Route to review lane")</x:f>
        <x:v>Log source path or blocker; do not promote</x:v>
      </x:c>
      <x:c r="Z1022" s="12" t="str">
        <x:f>IF(K1022="P0","Primary seat + Hashlight/Lucerna","Seat lane")</x:f>
        <x:v>Primary seat + Hashlight/Lucerna</x:v>
      </x:c>
      <x:c r="AA1022" s="12" t="str">
        <x:f>IF(R1022="","no_claim_delta","claim_delta_present")</x:f>
        <x:v>no_claim_delta</x:v>
      </x:c>
      <x:c r="AB1022" s="12" t="str">
        <x:f>IF(S1022="","no_contradiction_delta","contradiction_delta_present")</x:f>
        <x:v>no_contradiction_delta</x:v>
      </x:c>
      <x:c r="AC1022" s="12" t="str">
        <x:f>IF(OR(ISNUMBER(SEARCH("hacker",LOWER(F1022&amp;" "&amp;H1022&amp;" "&amp;I1022&amp;" "&amp;M1022&amp;" "&amp;N1022&amp;" "&amp;T1022))),ISNUMBER(SEARCH("hacking",LOWER(F1022&amp;" "&amp;H1022&amp;" "&amp;I1022&amp;" "&amp;M1022&amp;" "&amp;N1022&amp;" "&amp;T1022))),ISNUMBER(SEARCH("bank",LOWER(F1022&amp;" "&amp;H1022&amp;" "&amp;I1022&amp;" "&amp;M1022&amp;" "&amp;N1022&amp;" "&amp;T1022))),ISNUMBER(SEARCH("banking",LOWER(F1022&amp;" "&amp;H1022&amp;" "&amp;I1022&amp;" "&amp;M1022&amp;" "&amp;N1022&amp;" "&amp;T1022)))),"PRIVATE_QUARANTINE",IF(OR(ISNUMBER(SEARCH("treasury",LOWER(F1022&amp;" "&amp;H1022&amp;" "&amp;I1022&amp;" "&amp;M1022&amp;" "&amp;N1022&amp;" "&amp;T1022))),ISNUMBER(SEARCH("debt",LOWER(F1022&amp;" "&amp;H1022&amp;" "&amp;I1022&amp;" "&amp;M1022&amp;" "&amp;N1022&amp;" "&amp;T1022))),ISNUMBER(SEARCH("bond",LOWER(F1022&amp;" "&amp;H1022&amp;" "&amp;I1022&amp;" "&amp;M1022&amp;" "&amp;N1022&amp;" "&amp;T1022))),ISNUMBER(SEARCH("transaction",LOWER(F1022&amp;" "&amp;H1022&amp;" "&amp;I1022&amp;" "&amp;M1022&amp;" "&amp;N1022&amp;" "&amp;T1022)))),"PRIVATE_REVIEW","PUBLIC_CANDIDATE"))</x:f>
        <x:v>PUBLIC_CANDIDATE</x:v>
      </x:c>
      <x:c r="AD1022" s="12" t="str">
        <x:f>IF(AC1022="PRIVATE_QUARANTINE","hacker_or_bank_trigger",IF(AC1022="PRIVATE_REVIEW","finance_risk_trigger","none"))</x:f>
        <x:v>none</x:v>
      </x:c>
      <x:c r="AE1022" s="12" t="str">
        <x:f>IF(AC1022="PUBLIC_CANDIDATE","prepare_public_github_candidate",IF(AC1022="PRIVATE_REVIEW","hold_for_private_review","quarantine_private_do_not_publish"))</x:f>
        <x:v>prepare_public_github_candidate</x:v>
      </x:c>
      <x:c r="AF1022" s="12" t="str">
        <x:f>IF(AC1022="PUBLIC_CANDIDATE","TIDELOCK + Lucerna",IF(AC1022="PRIVATE_REVIEW","AtlasBrain + Lucerna","TIDELOCK + Lucerna + Human-root"))</x:f>
        <x:v>TIDELOCK + Lucerna</x:v>
      </x:c>
      <x:c r="AG1022" s="12" t="str">
        <x:f>IF(AND(AC1022="PUBLIC_CANDIDATE",U1022&lt;&gt;"BLOCKED_PENDING_RECEIPT"),"READY_AFTER_RECEIPT","NOT_READY")</x:f>
        <x:v>NOT_READY</x:v>
      </x:c>
      <x:c r="AH1022" s="12" t="str">
        <x:f>IF(AC1022="PUBLIC_CANDIDATE","none",AD1022)</x:f>
        <x:v>none</x:v>
      </x:c>
      <x:c r="AI1022" s="12" t="str">
        <x:f>IF(AC1022="PUBLIC_CANDIDATE","archive/public_candidates/"&amp;A1022,"private_quarantine/"&amp;A1022)</x:f>
        <x:v>archive/public_candidates/SWARM-08-H02-S01</x:v>
      </x:c>
      <x:c r="AJ1022" s="12" t="str">
        <x:f>IF(AC1022="PUBLIC_CANDIDATE","public by default; still not canon","private/hold; do not publish")</x:f>
        <x:v>public by default; still not canon</x:v>
      </x:c>
      <x:c r="AK1022" s="12" t="str">
        <x:f>IF(AE1022="prepare_public_github_candidate","add receipt/status then mirror","resolve blocker before any public GitHub action")</x:f>
        <x:v>add receipt/status then mirror</x:v>
      </x:c>
    </x:row>
    <x:row r="1023">
      <x:c r="A1023" s="15" t="str">
        <x:v>SWARM-08-H02-S02</x:v>
      </x:c>
      <x:c r="B1023" s="15" t="str">
        <x:v>GammaSprite</x:v>
      </x:c>
      <x:c r="C1023" s="15" t="str">
        <x:v>Deck surface mapper</x:v>
      </x:c>
      <x:c r="D1023" s="15" t="str">
        <x:v>Receipt Verification</x:v>
      </x:c>
      <x:c r="E1023" s="15" t="str">
        <x:v>Drive</x:v>
      </x:c>
      <x:c r="F1023" s="15" t="str">
        <x:v>Verify receipts for Drive — GammaSprite</x:v>
      </x:c>
      <x:c r="G1023" s="15" t="str">
        <x:v>Gamma/deck extraction / slide lineage</x:v>
      </x:c>
      <x:c r="H1023" s="15" t="str">
        <x:v>source path + receipt + raw/export status + claim/edge/risk delta</x:v>
      </x:c>
      <x:c r="I1023" s="15" t="str">
        <x:v>packet/SWARM-08-H02-S02</x:v>
      </x:c>
      <x:c r="J1023" s="15" t="str">
        <x:v>TODO</x:v>
      </x:c>
      <x:c r="K1023" s="15" t="str">
        <x:v>P0</x:v>
      </x:c>
      <x:c r="L1023" s="15" t="str">
        <x:v>Done only when evidence is logged, contradiction search is noted, and boundary stamp remains non-canon unless ratified</x:v>
      </x:c>
      <x:c r="M1023" s="15" t="str">
        <x:v>candidate / staging-only / not canon / not deployed / authority none</x:v>
      </x:c>
      <x:c r="N1023" s="15" t="str">
        <x:v>Dispatch to GammaSprite: complete Receipt Verification x Drive; return deltas only, receipts required.</x:v>
      </x:c>
      <x:c r="O1023" s="15" t="str">
        <x:v>AF-KG-H02-S02</x:v>
      </x:c>
      <x:c r="P1023" s="15" t="str">
        <x:v>Unverified</x:v>
      </x:c>
      <x:c r="Q1023" s="15" t="str">
        <x:v>Not checked</x:v>
      </x:c>
      <x:c r="R1023" s="15" t="str"/>
      <x:c r="S1023" s="15" t="str"/>
      <x:c r="T1023" s="15" t="str">
        <x:v>Log first source path or blocker</x:v>
      </x:c>
      <x:c r="U1023" s="12" t="str">
        <x:f>IF(OR(P1023="Unverified",Q1023="Not checked"),"BLOCKED_PENDING_RECEIPT","READY_FOR_REVIEW")</x:f>
        <x:v>BLOCKED_PENDING_RECEIPT</x:v>
      </x:c>
      <x:c r="V1023" s="12" t="str">
        <x:f>IF(J1023="DONE","RETURNED",IF(U1023="BLOCKED_PENDING_RECEIPT","SOURCE_TOUCH_REQUIRED","IN_PROGRESS"))</x:f>
        <x:v>SOURCE_TOUCH_REQUIRED</x:v>
      </x:c>
      <x:c r="W1023" s="12" t="str">
        <x:f>IF(P1023="Unverified","missing_receipt","receipt_logged")</x:f>
        <x:v>missing_receipt</x:v>
      </x:c>
      <x:c r="X1023" s="12" t="str">
        <x:f>IF(Q1023="Not checked","raw_status_missing","raw_status_logged")</x:f>
        <x:v>raw_status_missing</x:v>
      </x:c>
      <x:c r="Y1023" s="12" t="str">
        <x:f>IF(U1023="BLOCKED_PENDING_RECEIPT","Log source path or blocker; do not promote","Route to review lane")</x:f>
        <x:v>Log source path or blocker; do not promote</x:v>
      </x:c>
      <x:c r="Z1023" s="12" t="str">
        <x:f>IF(K1023="P0","Primary seat + Hashlight/Lucerna","Seat lane")</x:f>
        <x:v>Primary seat + Hashlight/Lucerna</x:v>
      </x:c>
      <x:c r="AA1023" s="12" t="str">
        <x:f>IF(R1023="","no_claim_delta","claim_delta_present")</x:f>
        <x:v>no_claim_delta</x:v>
      </x:c>
      <x:c r="AB1023" s="12" t="str">
        <x:f>IF(S1023="","no_contradiction_delta","contradiction_delta_present")</x:f>
        <x:v>no_contradiction_delta</x:v>
      </x:c>
      <x:c r="AC1023" s="12" t="str">
        <x:f>IF(OR(ISNUMBER(SEARCH("hacker",LOWER(F1023&amp;" "&amp;H1023&amp;" "&amp;I1023&amp;" "&amp;M1023&amp;" "&amp;N1023&amp;" "&amp;T1023))),ISNUMBER(SEARCH("hacking",LOWER(F1023&amp;" "&amp;H1023&amp;" "&amp;I1023&amp;" "&amp;M1023&amp;" "&amp;N1023&amp;" "&amp;T1023))),ISNUMBER(SEARCH("bank",LOWER(F1023&amp;" "&amp;H1023&amp;" "&amp;I1023&amp;" "&amp;M1023&amp;" "&amp;N1023&amp;" "&amp;T1023))),ISNUMBER(SEARCH("banking",LOWER(F1023&amp;" "&amp;H1023&amp;" "&amp;I1023&amp;" "&amp;M1023&amp;" "&amp;N1023&amp;" "&amp;T1023)))),"PRIVATE_QUARANTINE",IF(OR(ISNUMBER(SEARCH("treasury",LOWER(F1023&amp;" "&amp;H1023&amp;" "&amp;I1023&amp;" "&amp;M1023&amp;" "&amp;N1023&amp;" "&amp;T1023))),ISNUMBER(SEARCH("debt",LOWER(F1023&amp;" "&amp;H1023&amp;" "&amp;I1023&amp;" "&amp;M1023&amp;" "&amp;N1023&amp;" "&amp;T1023))),ISNUMBER(SEARCH("bond",LOWER(F1023&amp;" "&amp;H1023&amp;" "&amp;I1023&amp;" "&amp;M1023&amp;" "&amp;N1023&amp;" "&amp;T1023))),ISNUMBER(SEARCH("transaction",LOWER(F1023&amp;" "&amp;H1023&amp;" "&amp;I1023&amp;" "&amp;M1023&amp;" "&amp;N1023&amp;" "&amp;T1023)))),"PRIVATE_REVIEW","PUBLIC_CANDIDATE"))</x:f>
        <x:v>PUBLIC_CANDIDATE</x:v>
      </x:c>
      <x:c r="AD1023" s="12" t="str">
        <x:f>IF(AC1023="PRIVATE_QUARANTINE","hacker_or_bank_trigger",IF(AC1023="PRIVATE_REVIEW","finance_risk_trigger","none"))</x:f>
        <x:v>none</x:v>
      </x:c>
      <x:c r="AE1023" s="12" t="str">
        <x:f>IF(AC1023="PUBLIC_CANDIDATE","prepare_public_github_candidate",IF(AC1023="PRIVATE_REVIEW","hold_for_private_review","quarantine_private_do_not_publish"))</x:f>
        <x:v>prepare_public_github_candidate</x:v>
      </x:c>
      <x:c r="AF1023" s="12" t="str">
        <x:f>IF(AC1023="PUBLIC_CANDIDATE","TIDELOCK + Lucerna",IF(AC1023="PRIVATE_REVIEW","AtlasBrain + Lucerna","TIDELOCK + Lucerna + Human-root"))</x:f>
        <x:v>TIDELOCK + Lucerna</x:v>
      </x:c>
      <x:c r="AG1023" s="12" t="str">
        <x:f>IF(AND(AC1023="PUBLIC_CANDIDATE",U1023&lt;&gt;"BLOCKED_PENDING_RECEIPT"),"READY_AFTER_RECEIPT","NOT_READY")</x:f>
        <x:v>NOT_READY</x:v>
      </x:c>
      <x:c r="AH1023" s="12" t="str">
        <x:f>IF(AC1023="PUBLIC_CANDIDATE","none",AD1023)</x:f>
        <x:v>none</x:v>
      </x:c>
      <x:c r="AI1023" s="12" t="str">
        <x:f>IF(AC1023="PUBLIC_CANDIDATE","archive/public_candidates/"&amp;A1023,"private_quarantine/"&amp;A1023)</x:f>
        <x:v>archive/public_candidates/SWARM-08-H02-S02</x:v>
      </x:c>
      <x:c r="AJ1023" s="12" t="str">
        <x:f>IF(AC1023="PUBLIC_CANDIDATE","public by default; still not canon","private/hold; do not publish")</x:f>
        <x:v>public by default; still not canon</x:v>
      </x:c>
      <x:c r="AK1023" s="12" t="str">
        <x:f>IF(AE1023="prepare_public_github_candidate","add receipt/status then mirror","resolve blocker before any public GitHub action")</x:f>
        <x:v>add receipt/status then mirror</x:v>
      </x:c>
    </x:row>
    <x:row r="1024">
      <x:c r="A1024" s="15" t="str">
        <x:v>SWARM-08-H02-S03</x:v>
      </x:c>
      <x:c r="B1024" s="15" t="str">
        <x:v>GammaSprite</x:v>
      </x:c>
      <x:c r="C1024" s="15" t="str">
        <x:v>Deck surface mapper</x:v>
      </x:c>
      <x:c r="D1024" s="15" t="str">
        <x:v>Receipt Verification</x:v>
      </x:c>
      <x:c r="E1024" s="15" t="str">
        <x:v>GitHub</x:v>
      </x:c>
      <x:c r="F1024" s="15" t="str">
        <x:v>Verify receipts for GitHub — GammaSprite</x:v>
      </x:c>
      <x:c r="G1024" s="15" t="str">
        <x:v>Gamma/deck extraction / slide lineage</x:v>
      </x:c>
      <x:c r="H1024" s="15" t="str">
        <x:v>source path + receipt + raw/export status + claim/edge/risk delta</x:v>
      </x:c>
      <x:c r="I1024" s="15" t="str">
        <x:v>packet/SWARM-08-H02-S03</x:v>
      </x:c>
      <x:c r="J1024" s="15" t="str">
        <x:v>TODO</x:v>
      </x:c>
      <x:c r="K1024" s="15" t="str">
        <x:v>P0</x:v>
      </x:c>
      <x:c r="L1024" s="15" t="str">
        <x:v>Done only when evidence is logged, contradiction search is noted, and boundary stamp remains non-canon unless ratified</x:v>
      </x:c>
      <x:c r="M1024" s="15" t="str">
        <x:v>candidate / staging-only / not canon / not deployed / authority none</x:v>
      </x:c>
      <x:c r="N1024" s="15" t="str">
        <x:v>Dispatch to GammaSprite: complete Receipt Verification x GitHub; return deltas only, receipts required.</x:v>
      </x:c>
      <x:c r="O1024" s="15" t="str">
        <x:v>AF-KG-H02-S03</x:v>
      </x:c>
      <x:c r="P1024" s="15" t="str">
        <x:v>Unverified</x:v>
      </x:c>
      <x:c r="Q1024" s="15" t="str">
        <x:v>Not checked</x:v>
      </x:c>
      <x:c r="R1024" s="15" t="str"/>
      <x:c r="S1024" s="15" t="str"/>
      <x:c r="T1024" s="15" t="str">
        <x:v>Log first source path or blocker</x:v>
      </x:c>
      <x:c r="U1024" s="12" t="str">
        <x:f>IF(OR(P1024="Unverified",Q1024="Not checked"),"BLOCKED_PENDING_RECEIPT","READY_FOR_REVIEW")</x:f>
        <x:v>BLOCKED_PENDING_RECEIPT</x:v>
      </x:c>
      <x:c r="V1024" s="12" t="str">
        <x:f>IF(J1024="DONE","RETURNED",IF(U1024="BLOCKED_PENDING_RECEIPT","SOURCE_TOUCH_REQUIRED","IN_PROGRESS"))</x:f>
        <x:v>SOURCE_TOUCH_REQUIRED</x:v>
      </x:c>
      <x:c r="W1024" s="12" t="str">
        <x:f>IF(P1024="Unverified","missing_receipt","receipt_logged")</x:f>
        <x:v>missing_receipt</x:v>
      </x:c>
      <x:c r="X1024" s="12" t="str">
        <x:f>IF(Q1024="Not checked","raw_status_missing","raw_status_logged")</x:f>
        <x:v>raw_status_missing</x:v>
      </x:c>
      <x:c r="Y1024" s="12" t="str">
        <x:f>IF(U1024="BLOCKED_PENDING_RECEIPT","Log source path or blocker; do not promote","Route to review lane")</x:f>
        <x:v>Log source path or blocker; do not promote</x:v>
      </x:c>
      <x:c r="Z1024" s="12" t="str">
        <x:f>IF(K1024="P0","Primary seat + Hashlight/Lucerna","Seat lane")</x:f>
        <x:v>Primary seat + Hashlight/Lucerna</x:v>
      </x:c>
      <x:c r="AA1024" s="12" t="str">
        <x:f>IF(R1024="","no_claim_delta","claim_delta_present")</x:f>
        <x:v>no_claim_delta</x:v>
      </x:c>
      <x:c r="AB1024" s="12" t="str">
        <x:f>IF(S1024="","no_contradiction_delta","contradiction_delta_present")</x:f>
        <x:v>no_contradiction_delta</x:v>
      </x:c>
      <x:c r="AC1024" s="12" t="str">
        <x:f>IF(OR(ISNUMBER(SEARCH("hacker",LOWER(F1024&amp;" "&amp;H1024&amp;" "&amp;I1024&amp;" "&amp;M1024&amp;" "&amp;N1024&amp;" "&amp;T1024))),ISNUMBER(SEARCH("hacking",LOWER(F1024&amp;" "&amp;H1024&amp;" "&amp;I1024&amp;" "&amp;M1024&amp;" "&amp;N1024&amp;" "&amp;T1024))),ISNUMBER(SEARCH("bank",LOWER(F1024&amp;" "&amp;H1024&amp;" "&amp;I1024&amp;" "&amp;M1024&amp;" "&amp;N1024&amp;" "&amp;T1024))),ISNUMBER(SEARCH("banking",LOWER(F1024&amp;" "&amp;H1024&amp;" "&amp;I1024&amp;" "&amp;M1024&amp;" "&amp;N1024&amp;" "&amp;T1024)))),"PRIVATE_QUARANTINE",IF(OR(ISNUMBER(SEARCH("treasury",LOWER(F1024&amp;" "&amp;H1024&amp;" "&amp;I1024&amp;" "&amp;M1024&amp;" "&amp;N1024&amp;" "&amp;T1024))),ISNUMBER(SEARCH("debt",LOWER(F1024&amp;" "&amp;H1024&amp;" "&amp;I1024&amp;" "&amp;M1024&amp;" "&amp;N1024&amp;" "&amp;T1024))),ISNUMBER(SEARCH("bond",LOWER(F1024&amp;" "&amp;H1024&amp;" "&amp;I1024&amp;" "&amp;M1024&amp;" "&amp;N1024&amp;" "&amp;T1024))),ISNUMBER(SEARCH("transaction",LOWER(F1024&amp;" "&amp;H1024&amp;" "&amp;I1024&amp;" "&amp;M1024&amp;" "&amp;N1024&amp;" "&amp;T1024)))),"PRIVATE_REVIEW","PUBLIC_CANDIDATE"))</x:f>
        <x:v>PUBLIC_CANDIDATE</x:v>
      </x:c>
      <x:c r="AD1024" s="12" t="str">
        <x:f>IF(AC1024="PRIVATE_QUARANTINE","hacker_or_bank_trigger",IF(AC1024="PRIVATE_REVIEW","finance_risk_trigger","none"))</x:f>
        <x:v>none</x:v>
      </x:c>
      <x:c r="AE1024" s="12" t="str">
        <x:f>IF(AC1024="PUBLIC_CANDIDATE","prepare_public_github_candidate",IF(AC1024="PRIVATE_REVIEW","hold_for_private_review","quarantine_private_do_not_publish"))</x:f>
        <x:v>prepare_public_github_candidate</x:v>
      </x:c>
      <x:c r="AF1024" s="12" t="str">
        <x:f>IF(AC1024="PUBLIC_CANDIDATE","TIDELOCK + Lucerna",IF(AC1024="PRIVATE_REVIEW","AtlasBrain + Lucerna","TIDELOCK + Lucerna + Human-root"))</x:f>
        <x:v>TIDELOCK + Lucerna</x:v>
      </x:c>
      <x:c r="AG1024" s="12" t="str">
        <x:f>IF(AND(AC1024="PUBLIC_CANDIDATE",U1024&lt;&gt;"BLOCKED_PENDING_RECEIPT"),"READY_AFTER_RECEIPT","NOT_READY")</x:f>
        <x:v>NOT_READY</x:v>
      </x:c>
      <x:c r="AH1024" s="12" t="str">
        <x:f>IF(AC1024="PUBLIC_CANDIDATE","none",AD1024)</x:f>
        <x:v>none</x:v>
      </x:c>
      <x:c r="AI1024" s="12" t="str">
        <x:f>IF(AC1024="PUBLIC_CANDIDATE","archive/public_candidates/"&amp;A1024,"private_quarantine/"&amp;A1024)</x:f>
        <x:v>archive/public_candidates/SWARM-08-H02-S03</x:v>
      </x:c>
      <x:c r="AJ1024" s="12" t="str">
        <x:f>IF(AC1024="PUBLIC_CANDIDATE","public by default; still not canon","private/hold; do not publish")</x:f>
        <x:v>public by default; still not canon</x:v>
      </x:c>
      <x:c r="AK1024" s="12" t="str">
        <x:f>IF(AE1024="prepare_public_github_candidate","add receipt/status then mirror","resolve blocker before any public GitHub action")</x:f>
        <x:v>add receipt/status then mirror</x:v>
      </x:c>
    </x:row>
    <x:row r="1025">
      <x:c r="A1025" s="15" t="str">
        <x:v>SWARM-08-H02-S04</x:v>
      </x:c>
      <x:c r="B1025" s="15" t="str">
        <x:v>GammaSprite</x:v>
      </x:c>
      <x:c r="C1025" s="15" t="str">
        <x:v>Deck surface mapper</x:v>
      </x:c>
      <x:c r="D1025" s="15" t="str">
        <x:v>Receipt Verification</x:v>
      </x:c>
      <x:c r="E1025" s="15" t="str">
        <x:v>Gamma</x:v>
      </x:c>
      <x:c r="F1025" s="15" t="str">
        <x:v>Verify receipts for Gamma — GammaSprite</x:v>
      </x:c>
      <x:c r="G1025" s="15" t="str">
        <x:v>Gamma/deck extraction / slide lineage</x:v>
      </x:c>
      <x:c r="H1025" s="15" t="str">
        <x:v>source path + receipt + raw/export status + claim/edge/risk delta</x:v>
      </x:c>
      <x:c r="I1025" s="15" t="str">
        <x:v>packet/SWARM-08-H02-S04</x:v>
      </x:c>
      <x:c r="J1025" s="15" t="str">
        <x:v>TODO</x:v>
      </x:c>
      <x:c r="K1025" s="15" t="str">
        <x:v>P1</x:v>
      </x:c>
      <x:c r="L1025" s="15" t="str">
        <x:v>Done only when evidence is logged, contradiction search is noted, and boundary stamp remains non-canon unless ratified</x:v>
      </x:c>
      <x:c r="M1025" s="15" t="str">
        <x:v>candidate / staging-only / not canon / not deployed / authority none</x:v>
      </x:c>
      <x:c r="N1025" s="15" t="str">
        <x:v>Dispatch to GammaSprite: complete Receipt Verification x Gamma; return deltas only, receipts required.</x:v>
      </x:c>
      <x:c r="O1025" s="15" t="str">
        <x:v>AF-KG-H02-S04</x:v>
      </x:c>
      <x:c r="P1025" s="15" t="str">
        <x:v>Unverified</x:v>
      </x:c>
      <x:c r="Q1025" s="15" t="str">
        <x:v>Not checked</x:v>
      </x:c>
      <x:c r="R1025" s="15" t="str"/>
      <x:c r="S1025" s="15" t="str"/>
      <x:c r="T1025" s="15" t="str">
        <x:v>Log first source path or blocker</x:v>
      </x:c>
      <x:c r="U1025" s="12" t="str">
        <x:f>IF(OR(P1025="Unverified",Q1025="Not checked"),"BLOCKED_PENDING_RECEIPT","READY_FOR_REVIEW")</x:f>
        <x:v>BLOCKED_PENDING_RECEIPT</x:v>
      </x:c>
      <x:c r="V1025" s="12" t="str">
        <x:f>IF(J1025="DONE","RETURNED",IF(U1025="BLOCKED_PENDING_RECEIPT","SOURCE_TOUCH_REQUIRED","IN_PROGRESS"))</x:f>
        <x:v>SOURCE_TOUCH_REQUIRED</x:v>
      </x:c>
      <x:c r="W1025" s="12" t="str">
        <x:f>IF(P1025="Unverified","missing_receipt","receipt_logged")</x:f>
        <x:v>missing_receipt</x:v>
      </x:c>
      <x:c r="X1025" s="12" t="str">
        <x:f>IF(Q1025="Not checked","raw_status_missing","raw_status_logged")</x:f>
        <x:v>raw_status_missing</x:v>
      </x:c>
      <x:c r="Y1025" s="12" t="str">
        <x:f>IF(U1025="BLOCKED_PENDING_RECEIPT","Log source path or blocker; do not promote","Route to review lane")</x:f>
        <x:v>Log source path or blocker; do not promote</x:v>
      </x:c>
      <x:c r="Z1025" s="12" t="str">
        <x:f>IF(K1025="P0","Primary seat + Hashlight/Lucerna","Seat lane")</x:f>
        <x:v>Seat lane</x:v>
      </x:c>
      <x:c r="AA1025" s="12" t="str">
        <x:f>IF(R1025="","no_claim_delta","claim_delta_present")</x:f>
        <x:v>no_claim_delta</x:v>
      </x:c>
      <x:c r="AB1025" s="12" t="str">
        <x:f>IF(S1025="","no_contradiction_delta","contradiction_delta_present")</x:f>
        <x:v>no_contradiction_delta</x:v>
      </x:c>
      <x:c r="AC1025" s="12" t="str">
        <x:f>IF(OR(ISNUMBER(SEARCH("hacker",LOWER(F1025&amp;" "&amp;H1025&amp;" "&amp;I1025&amp;" "&amp;M1025&amp;" "&amp;N1025&amp;" "&amp;T1025))),ISNUMBER(SEARCH("hacking",LOWER(F1025&amp;" "&amp;H1025&amp;" "&amp;I1025&amp;" "&amp;M1025&amp;" "&amp;N1025&amp;" "&amp;T1025))),ISNUMBER(SEARCH("bank",LOWER(F1025&amp;" "&amp;H1025&amp;" "&amp;I1025&amp;" "&amp;M1025&amp;" "&amp;N1025&amp;" "&amp;T1025))),ISNUMBER(SEARCH("banking",LOWER(F1025&amp;" "&amp;H1025&amp;" "&amp;I1025&amp;" "&amp;M1025&amp;" "&amp;N1025&amp;" "&amp;T1025)))),"PRIVATE_QUARANTINE",IF(OR(ISNUMBER(SEARCH("treasury",LOWER(F1025&amp;" "&amp;H1025&amp;" "&amp;I1025&amp;" "&amp;M1025&amp;" "&amp;N1025&amp;" "&amp;T1025))),ISNUMBER(SEARCH("debt",LOWER(F1025&amp;" "&amp;H1025&amp;" "&amp;I1025&amp;" "&amp;M1025&amp;" "&amp;N1025&amp;" "&amp;T1025))),ISNUMBER(SEARCH("bond",LOWER(F1025&amp;" "&amp;H1025&amp;" "&amp;I1025&amp;" "&amp;M1025&amp;" "&amp;N1025&amp;" "&amp;T1025))),ISNUMBER(SEARCH("transaction",LOWER(F1025&amp;" "&amp;H1025&amp;" "&amp;I1025&amp;" "&amp;M1025&amp;" "&amp;N1025&amp;" "&amp;T1025)))),"PRIVATE_REVIEW","PUBLIC_CANDIDATE"))</x:f>
        <x:v>PUBLIC_CANDIDATE</x:v>
      </x:c>
      <x:c r="AD1025" s="12" t="str">
        <x:f>IF(AC1025="PRIVATE_QUARANTINE","hacker_or_bank_trigger",IF(AC1025="PRIVATE_REVIEW","finance_risk_trigger","none"))</x:f>
        <x:v>none</x:v>
      </x:c>
      <x:c r="AE1025" s="12" t="str">
        <x:f>IF(AC1025="PUBLIC_CANDIDATE","prepare_public_github_candidate",IF(AC1025="PRIVATE_REVIEW","hold_for_private_review","quarantine_private_do_not_publish"))</x:f>
        <x:v>prepare_public_github_candidate</x:v>
      </x:c>
      <x:c r="AF1025" s="12" t="str">
        <x:f>IF(AC1025="PUBLIC_CANDIDATE","TIDELOCK + Lucerna",IF(AC1025="PRIVATE_REVIEW","AtlasBrain + Lucerna","TIDELOCK + Lucerna + Human-root"))</x:f>
        <x:v>TIDELOCK + Lucerna</x:v>
      </x:c>
      <x:c r="AG1025" s="12" t="str">
        <x:f>IF(AND(AC1025="PUBLIC_CANDIDATE",U1025&lt;&gt;"BLOCKED_PENDING_RECEIPT"),"READY_AFTER_RECEIPT","NOT_READY")</x:f>
        <x:v>NOT_READY</x:v>
      </x:c>
      <x:c r="AH1025" s="12" t="str">
        <x:f>IF(AC1025="PUBLIC_CANDIDATE","none",AD1025)</x:f>
        <x:v>none</x:v>
      </x:c>
      <x:c r="AI1025" s="12" t="str">
        <x:f>IF(AC1025="PUBLIC_CANDIDATE","archive/public_candidates/"&amp;A1025,"private_quarantine/"&amp;A1025)</x:f>
        <x:v>archive/public_candidates/SWARM-08-H02-S04</x:v>
      </x:c>
      <x:c r="AJ1025" s="12" t="str">
        <x:f>IF(AC1025="PUBLIC_CANDIDATE","public by default; still not canon","private/hold; do not publish")</x:f>
        <x:v>public by default; still not canon</x:v>
      </x:c>
      <x:c r="AK1025" s="12" t="str">
        <x:f>IF(AE1025="prepare_public_github_candidate","add receipt/status then mirror","resolve blocker before any public GitHub action")</x:f>
        <x:v>add receipt/status then mirror</x:v>
      </x:c>
    </x:row>
    <x:row r="1026">
      <x:c r="A1026" s="15" t="str">
        <x:v>SWARM-08-H02-S05</x:v>
      </x:c>
      <x:c r="B1026" s="15" t="str">
        <x:v>GammaSprite</x:v>
      </x:c>
      <x:c r="C1026" s="15" t="str">
        <x:v>Deck surface mapper</x:v>
      </x:c>
      <x:c r="D1026" s="15" t="str">
        <x:v>Receipt Verification</x:v>
      </x:c>
      <x:c r="E1026" s="15" t="str">
        <x:v>Chat</x:v>
      </x:c>
      <x:c r="F1026" s="15" t="str">
        <x:v>Verify receipts for Chat — GammaSprite</x:v>
      </x:c>
      <x:c r="G1026" s="15" t="str">
        <x:v>Gamma/deck extraction / slide lineage</x:v>
      </x:c>
      <x:c r="H1026" s="15" t="str">
        <x:v>source path + receipt + raw/export status + claim/edge/risk delta</x:v>
      </x:c>
      <x:c r="I1026" s="15" t="str">
        <x:v>packet/SWARM-08-H02-S05</x:v>
      </x:c>
      <x:c r="J1026" s="15" t="str">
        <x:v>TODO</x:v>
      </x:c>
      <x:c r="K1026" s="15" t="str">
        <x:v>P1</x:v>
      </x:c>
      <x:c r="L1026" s="15" t="str">
        <x:v>Done only when evidence is logged, contradiction search is noted, and boundary stamp remains non-canon unless ratified</x:v>
      </x:c>
      <x:c r="M1026" s="15" t="str">
        <x:v>candidate / staging-only / not canon / not deployed / authority none</x:v>
      </x:c>
      <x:c r="N1026" s="15" t="str">
        <x:v>Dispatch to GammaSprite: complete Receipt Verification x Chat; return deltas only, receipts required.</x:v>
      </x:c>
      <x:c r="O1026" s="15" t="str">
        <x:v>AF-KG-H02-S05</x:v>
      </x:c>
      <x:c r="P1026" s="15" t="str">
        <x:v>Unverified</x:v>
      </x:c>
      <x:c r="Q1026" s="15" t="str">
        <x:v>Not checked</x:v>
      </x:c>
      <x:c r="R1026" s="15" t="str"/>
      <x:c r="S1026" s="15" t="str"/>
      <x:c r="T1026" s="15" t="str">
        <x:v>Log first source path or blocker</x:v>
      </x:c>
      <x:c r="U1026" s="12" t="str">
        <x:f>IF(OR(P1026="Unverified",Q1026="Not checked"),"BLOCKED_PENDING_RECEIPT","READY_FOR_REVIEW")</x:f>
        <x:v>BLOCKED_PENDING_RECEIPT</x:v>
      </x:c>
      <x:c r="V1026" s="12" t="str">
        <x:f>IF(J1026="DONE","RETURNED",IF(U1026="BLOCKED_PENDING_RECEIPT","SOURCE_TOUCH_REQUIRED","IN_PROGRESS"))</x:f>
        <x:v>SOURCE_TOUCH_REQUIRED</x:v>
      </x:c>
      <x:c r="W1026" s="12" t="str">
        <x:f>IF(P1026="Unverified","missing_receipt","receipt_logged")</x:f>
        <x:v>missing_receipt</x:v>
      </x:c>
      <x:c r="X1026" s="12" t="str">
        <x:f>IF(Q1026="Not checked","raw_status_missing","raw_status_logged")</x:f>
        <x:v>raw_status_missing</x:v>
      </x:c>
      <x:c r="Y1026" s="12" t="str">
        <x:f>IF(U1026="BLOCKED_PENDING_RECEIPT","Log source path or blocker; do not promote","Route to review lane")</x:f>
        <x:v>Log source path or blocker; do not promote</x:v>
      </x:c>
      <x:c r="Z1026" s="12" t="str">
        <x:f>IF(K1026="P0","Primary seat + Hashlight/Lucerna","Seat lane")</x:f>
        <x:v>Seat lane</x:v>
      </x:c>
      <x:c r="AA1026" s="12" t="str">
        <x:f>IF(R1026="","no_claim_delta","claim_delta_present")</x:f>
        <x:v>no_claim_delta</x:v>
      </x:c>
      <x:c r="AB1026" s="12" t="str">
        <x:f>IF(S1026="","no_contradiction_delta","contradiction_delta_present")</x:f>
        <x:v>no_contradiction_delta</x:v>
      </x:c>
      <x:c r="AC1026" s="12" t="str">
        <x:f>IF(OR(ISNUMBER(SEARCH("hacker",LOWER(F1026&amp;" "&amp;H1026&amp;" "&amp;I1026&amp;" "&amp;M1026&amp;" "&amp;N1026&amp;" "&amp;T1026))),ISNUMBER(SEARCH("hacking",LOWER(F1026&amp;" "&amp;H1026&amp;" "&amp;I1026&amp;" "&amp;M1026&amp;" "&amp;N1026&amp;" "&amp;T1026))),ISNUMBER(SEARCH("bank",LOWER(F1026&amp;" "&amp;H1026&amp;" "&amp;I1026&amp;" "&amp;M1026&amp;" "&amp;N1026&amp;" "&amp;T1026))),ISNUMBER(SEARCH("banking",LOWER(F1026&amp;" "&amp;H1026&amp;" "&amp;I1026&amp;" "&amp;M1026&amp;" "&amp;N1026&amp;" "&amp;T1026)))),"PRIVATE_QUARANTINE",IF(OR(ISNUMBER(SEARCH("treasury",LOWER(F1026&amp;" "&amp;H1026&amp;" "&amp;I1026&amp;" "&amp;M1026&amp;" "&amp;N1026&amp;" "&amp;T1026))),ISNUMBER(SEARCH("debt",LOWER(F1026&amp;" "&amp;H1026&amp;" "&amp;I1026&amp;" "&amp;M1026&amp;" "&amp;N1026&amp;" "&amp;T1026))),ISNUMBER(SEARCH("bond",LOWER(F1026&amp;" "&amp;H1026&amp;" "&amp;I1026&amp;" "&amp;M1026&amp;" "&amp;N1026&amp;" "&amp;T1026))),ISNUMBER(SEARCH("transaction",LOWER(F1026&amp;" "&amp;H1026&amp;" "&amp;I1026&amp;" "&amp;M1026&amp;" "&amp;N1026&amp;" "&amp;T1026)))),"PRIVATE_REVIEW","PUBLIC_CANDIDATE"))</x:f>
        <x:v>PUBLIC_CANDIDATE</x:v>
      </x:c>
      <x:c r="AD1026" s="12" t="str">
        <x:f>IF(AC1026="PRIVATE_QUARANTINE","hacker_or_bank_trigger",IF(AC1026="PRIVATE_REVIEW","finance_risk_trigger","none"))</x:f>
        <x:v>none</x:v>
      </x:c>
      <x:c r="AE1026" s="12" t="str">
        <x:f>IF(AC1026="PUBLIC_CANDIDATE","prepare_public_github_candidate",IF(AC1026="PRIVATE_REVIEW","hold_for_private_review","quarantine_private_do_not_publish"))</x:f>
        <x:v>prepare_public_github_candidate</x:v>
      </x:c>
      <x:c r="AF1026" s="12" t="str">
        <x:f>IF(AC1026="PUBLIC_CANDIDATE","TIDELOCK + Lucerna",IF(AC1026="PRIVATE_REVIEW","AtlasBrain + Lucerna","TIDELOCK + Lucerna + Human-root"))</x:f>
        <x:v>TIDELOCK + Lucerna</x:v>
      </x:c>
      <x:c r="AG1026" s="12" t="str">
        <x:f>IF(AND(AC1026="PUBLIC_CANDIDATE",U1026&lt;&gt;"BLOCKED_PENDING_RECEIPT"),"READY_AFTER_RECEIPT","NOT_READY")</x:f>
        <x:v>NOT_READY</x:v>
      </x:c>
      <x:c r="AH1026" s="12" t="str">
        <x:f>IF(AC1026="PUBLIC_CANDIDATE","none",AD1026)</x:f>
        <x:v>none</x:v>
      </x:c>
      <x:c r="AI1026" s="12" t="str">
        <x:f>IF(AC1026="PUBLIC_CANDIDATE","archive/public_candidates/"&amp;A1026,"private_quarantine/"&amp;A1026)</x:f>
        <x:v>archive/public_candidates/SWARM-08-H02-S05</x:v>
      </x:c>
      <x:c r="AJ1026" s="12" t="str">
        <x:f>IF(AC1026="PUBLIC_CANDIDATE","public by default; still not canon","private/hold; do not publish")</x:f>
        <x:v>public by default; still not canon</x:v>
      </x:c>
      <x:c r="AK1026" s="12" t="str">
        <x:f>IF(AE1026="prepare_public_github_candidate","add receipt/status then mirror","resolve blocker before any public GitHub action")</x:f>
        <x:v>add receipt/status then mirror</x:v>
      </x:c>
    </x:row>
    <x:row r="1027">
      <x:c r="A1027" s="15" t="str">
        <x:v>SWARM-08-H02-S06</x:v>
      </x:c>
      <x:c r="B1027" s="15" t="str">
        <x:v>GammaSprite</x:v>
      </x:c>
      <x:c r="C1027" s="15" t="str">
        <x:v>Deck surface mapper</x:v>
      </x:c>
      <x:c r="D1027" s="15" t="str">
        <x:v>Receipt Verification</x:v>
      </x:c>
      <x:c r="E1027" s="15" t="str">
        <x:v>External Web</x:v>
      </x:c>
      <x:c r="F1027" s="15" t="str">
        <x:v>Verify receipts for External Web — GammaSprite</x:v>
      </x:c>
      <x:c r="G1027" s="15" t="str">
        <x:v>Gamma/deck extraction / slide lineage</x:v>
      </x:c>
      <x:c r="H1027" s="15" t="str">
        <x:v>source path + receipt + raw/export status + claim/edge/risk delta</x:v>
      </x:c>
      <x:c r="I1027" s="15" t="str">
        <x:v>packet/SWARM-08-H02-S06</x:v>
      </x:c>
      <x:c r="J1027" s="15" t="str">
        <x:v>TODO</x:v>
      </x:c>
      <x:c r="K1027" s="15" t="str">
        <x:v>P1</x:v>
      </x:c>
      <x:c r="L1027" s="15" t="str">
        <x:v>Done only when evidence is logged, contradiction search is noted, and boundary stamp remains non-canon unless ratified</x:v>
      </x:c>
      <x:c r="M1027" s="15" t="str">
        <x:v>candidate / staging-only / not canon / not deployed / authority none</x:v>
      </x:c>
      <x:c r="N1027" s="15" t="str">
        <x:v>Dispatch to GammaSprite: complete Receipt Verification x External Web; return deltas only, receipts required.</x:v>
      </x:c>
      <x:c r="O1027" s="15" t="str">
        <x:v>AF-KG-H02-S06</x:v>
      </x:c>
      <x:c r="P1027" s="15" t="str">
        <x:v>Unverified</x:v>
      </x:c>
      <x:c r="Q1027" s="15" t="str">
        <x:v>Not checked</x:v>
      </x:c>
      <x:c r="R1027" s="15" t="str"/>
      <x:c r="S1027" s="15" t="str"/>
      <x:c r="T1027" s="15" t="str">
        <x:v>Log first source path or blocker</x:v>
      </x:c>
      <x:c r="U1027" s="12" t="str">
        <x:f>IF(OR(P1027="Unverified",Q1027="Not checked"),"BLOCKED_PENDING_RECEIPT","READY_FOR_REVIEW")</x:f>
        <x:v>BLOCKED_PENDING_RECEIPT</x:v>
      </x:c>
      <x:c r="V1027" s="12" t="str">
        <x:f>IF(J1027="DONE","RETURNED",IF(U1027="BLOCKED_PENDING_RECEIPT","SOURCE_TOUCH_REQUIRED","IN_PROGRESS"))</x:f>
        <x:v>SOURCE_TOUCH_REQUIRED</x:v>
      </x:c>
      <x:c r="W1027" s="12" t="str">
        <x:f>IF(P1027="Unverified","missing_receipt","receipt_logged")</x:f>
        <x:v>missing_receipt</x:v>
      </x:c>
      <x:c r="X1027" s="12" t="str">
        <x:f>IF(Q1027="Not checked","raw_status_missing","raw_status_logged")</x:f>
        <x:v>raw_status_missing</x:v>
      </x:c>
      <x:c r="Y1027" s="12" t="str">
        <x:f>IF(U1027="BLOCKED_PENDING_RECEIPT","Log source path or blocker; do not promote","Route to review lane")</x:f>
        <x:v>Log source path or blocker; do not promote</x:v>
      </x:c>
      <x:c r="Z1027" s="12" t="str">
        <x:f>IF(K1027="P0","Primary seat + Hashlight/Lucerna","Seat lane")</x:f>
        <x:v>Seat lane</x:v>
      </x:c>
      <x:c r="AA1027" s="12" t="str">
        <x:f>IF(R1027="","no_claim_delta","claim_delta_present")</x:f>
        <x:v>no_claim_delta</x:v>
      </x:c>
      <x:c r="AB1027" s="12" t="str">
        <x:f>IF(S1027="","no_contradiction_delta","contradiction_delta_present")</x:f>
        <x:v>no_contradiction_delta</x:v>
      </x:c>
      <x:c r="AC1027" s="12" t="str">
        <x:f>IF(OR(ISNUMBER(SEARCH("hacker",LOWER(F1027&amp;" "&amp;H1027&amp;" "&amp;I1027&amp;" "&amp;M1027&amp;" "&amp;N1027&amp;" "&amp;T1027))),ISNUMBER(SEARCH("hacking",LOWER(F1027&amp;" "&amp;H1027&amp;" "&amp;I1027&amp;" "&amp;M1027&amp;" "&amp;N1027&amp;" "&amp;T1027))),ISNUMBER(SEARCH("bank",LOWER(F1027&amp;" "&amp;H1027&amp;" "&amp;I1027&amp;" "&amp;M1027&amp;" "&amp;N1027&amp;" "&amp;T1027))),ISNUMBER(SEARCH("banking",LOWER(F1027&amp;" "&amp;H1027&amp;" "&amp;I1027&amp;" "&amp;M1027&amp;" "&amp;N1027&amp;" "&amp;T1027)))),"PRIVATE_QUARANTINE",IF(OR(ISNUMBER(SEARCH("treasury",LOWER(F1027&amp;" "&amp;H1027&amp;" "&amp;I1027&amp;" "&amp;M1027&amp;" "&amp;N1027&amp;" "&amp;T1027))),ISNUMBER(SEARCH("debt",LOWER(F1027&amp;" "&amp;H1027&amp;" "&amp;I1027&amp;" "&amp;M1027&amp;" "&amp;N1027&amp;" "&amp;T1027))),ISNUMBER(SEARCH("bond",LOWER(F1027&amp;" "&amp;H1027&amp;" "&amp;I1027&amp;" "&amp;M1027&amp;" "&amp;N1027&amp;" "&amp;T1027))),ISNUMBER(SEARCH("transaction",LOWER(F1027&amp;" "&amp;H1027&amp;" "&amp;I1027&amp;" "&amp;M1027&amp;" "&amp;N1027&amp;" "&amp;T1027)))),"PRIVATE_REVIEW","PUBLIC_CANDIDATE"))</x:f>
        <x:v>PUBLIC_CANDIDATE</x:v>
      </x:c>
      <x:c r="AD1027" s="12" t="str">
        <x:f>IF(AC1027="PRIVATE_QUARANTINE","hacker_or_bank_trigger",IF(AC1027="PRIVATE_REVIEW","finance_risk_trigger","none"))</x:f>
        <x:v>none</x:v>
      </x:c>
      <x:c r="AE1027" s="12" t="str">
        <x:f>IF(AC1027="PUBLIC_CANDIDATE","prepare_public_github_candidate",IF(AC1027="PRIVATE_REVIEW","hold_for_private_review","quarantine_private_do_not_publish"))</x:f>
        <x:v>prepare_public_github_candidate</x:v>
      </x:c>
      <x:c r="AF1027" s="12" t="str">
        <x:f>IF(AC1027="PUBLIC_CANDIDATE","TIDELOCK + Lucerna",IF(AC1027="PRIVATE_REVIEW","AtlasBrain + Lucerna","TIDELOCK + Lucerna + Human-root"))</x:f>
        <x:v>TIDELOCK + Lucerna</x:v>
      </x:c>
      <x:c r="AG1027" s="12" t="str">
        <x:f>IF(AND(AC1027="PUBLIC_CANDIDATE",U1027&lt;&gt;"BLOCKED_PENDING_RECEIPT"),"READY_AFTER_RECEIPT","NOT_READY")</x:f>
        <x:v>NOT_READY</x:v>
      </x:c>
      <x:c r="AH1027" s="12" t="str">
        <x:f>IF(AC1027="PUBLIC_CANDIDATE","none",AD1027)</x:f>
        <x:v>none</x:v>
      </x:c>
      <x:c r="AI1027" s="12" t="str">
        <x:f>IF(AC1027="PUBLIC_CANDIDATE","archive/public_candidates/"&amp;A1027,"private_quarantine/"&amp;A1027)</x:f>
        <x:v>archive/public_candidates/SWARM-08-H02-S06</x:v>
      </x:c>
      <x:c r="AJ1027" s="12" t="str">
        <x:f>IF(AC1027="PUBLIC_CANDIDATE","public by default; still not canon","private/hold; do not publish")</x:f>
        <x:v>public by default; still not canon</x:v>
      </x:c>
      <x:c r="AK1027" s="12" t="str">
        <x:f>IF(AE1027="prepare_public_github_candidate","add receipt/status then mirror","resolve blocker before any public GitHub action")</x:f>
        <x:v>add receipt/status then mirror</x:v>
      </x:c>
    </x:row>
    <x:row r="1028">
      <x:c r="A1028" s="15" t="str">
        <x:v>SWARM-08-H02-S07</x:v>
      </x:c>
      <x:c r="B1028" s="15" t="str">
        <x:v>GammaSprite</x:v>
      </x:c>
      <x:c r="C1028" s="15" t="str">
        <x:v>Deck surface mapper</x:v>
      </x:c>
      <x:c r="D1028" s="15" t="str">
        <x:v>Receipt Verification</x:v>
      </x:c>
      <x:c r="E1028" s="15" t="str">
        <x:v>Planetarium</x:v>
      </x:c>
      <x:c r="F1028" s="15" t="str">
        <x:v>Verify receipts for Planetarium — GammaSprite</x:v>
      </x:c>
      <x:c r="G1028" s="15" t="str">
        <x:v>Gamma/deck extraction / slide lineage</x:v>
      </x:c>
      <x:c r="H1028" s="15" t="str">
        <x:v>source path + receipt + raw/export status + claim/edge/risk delta</x:v>
      </x:c>
      <x:c r="I1028" s="15" t="str">
        <x:v>packet/SWARM-08-H02-S07</x:v>
      </x:c>
      <x:c r="J1028" s="15" t="str">
        <x:v>TODO</x:v>
      </x:c>
      <x:c r="K1028" s="15" t="str">
        <x:v>P1</x:v>
      </x:c>
      <x:c r="L1028" s="15" t="str">
        <x:v>Done only when evidence is logged, contradiction search is noted, and boundary stamp remains non-canon unless ratified</x:v>
      </x:c>
      <x:c r="M1028" s="15" t="str">
        <x:v>candidate / staging-only / not canon / not deployed / authority none</x:v>
      </x:c>
      <x:c r="N1028" s="15" t="str">
        <x:v>Dispatch to GammaSprite: complete Receipt Verification x Planetarium; return deltas only, receipts required.</x:v>
      </x:c>
      <x:c r="O1028" s="15" t="str">
        <x:v>AF-KG-H02-S07</x:v>
      </x:c>
      <x:c r="P1028" s="15" t="str">
        <x:v>Unverified</x:v>
      </x:c>
      <x:c r="Q1028" s="15" t="str">
        <x:v>Not checked</x:v>
      </x:c>
      <x:c r="R1028" s="15" t="str"/>
      <x:c r="S1028" s="15" t="str"/>
      <x:c r="T1028" s="15" t="str">
        <x:v>Log first source path or blocker</x:v>
      </x:c>
      <x:c r="U1028" s="12" t="str">
        <x:f>IF(OR(P1028="Unverified",Q1028="Not checked"),"BLOCKED_PENDING_RECEIPT","READY_FOR_REVIEW")</x:f>
        <x:v>BLOCKED_PENDING_RECEIPT</x:v>
      </x:c>
      <x:c r="V1028" s="12" t="str">
        <x:f>IF(J1028="DONE","RETURNED",IF(U1028="BLOCKED_PENDING_RECEIPT","SOURCE_TOUCH_REQUIRED","IN_PROGRESS"))</x:f>
        <x:v>SOURCE_TOUCH_REQUIRED</x:v>
      </x:c>
      <x:c r="W1028" s="12" t="str">
        <x:f>IF(P1028="Unverified","missing_receipt","receipt_logged")</x:f>
        <x:v>missing_receipt</x:v>
      </x:c>
      <x:c r="X1028" s="12" t="str">
        <x:f>IF(Q1028="Not checked","raw_status_missing","raw_status_logged")</x:f>
        <x:v>raw_status_missing</x:v>
      </x:c>
      <x:c r="Y1028" s="12" t="str">
        <x:f>IF(U1028="BLOCKED_PENDING_RECEIPT","Log source path or blocker; do not promote","Route to review lane")</x:f>
        <x:v>Log source path or blocker; do not promote</x:v>
      </x:c>
      <x:c r="Z1028" s="12" t="str">
        <x:f>IF(K1028="P0","Primary seat + Hashlight/Lucerna","Seat lane")</x:f>
        <x:v>Seat lane</x:v>
      </x:c>
      <x:c r="AA1028" s="12" t="str">
        <x:f>IF(R1028="","no_claim_delta","claim_delta_present")</x:f>
        <x:v>no_claim_delta</x:v>
      </x:c>
      <x:c r="AB1028" s="12" t="str">
        <x:f>IF(S1028="","no_contradiction_delta","contradiction_delta_present")</x:f>
        <x:v>no_contradiction_delta</x:v>
      </x:c>
      <x:c r="AC1028" s="12" t="str">
        <x:f>IF(OR(ISNUMBER(SEARCH("hacker",LOWER(F1028&amp;" "&amp;H1028&amp;" "&amp;I1028&amp;" "&amp;M1028&amp;" "&amp;N1028&amp;" "&amp;T1028))),ISNUMBER(SEARCH("hacking",LOWER(F1028&amp;" "&amp;H1028&amp;" "&amp;I1028&amp;" "&amp;M1028&amp;" "&amp;N1028&amp;" "&amp;T1028))),ISNUMBER(SEARCH("bank",LOWER(F1028&amp;" "&amp;H1028&amp;" "&amp;I1028&amp;" "&amp;M1028&amp;" "&amp;N1028&amp;" "&amp;T1028))),ISNUMBER(SEARCH("banking",LOWER(F1028&amp;" "&amp;H1028&amp;" "&amp;I1028&amp;" "&amp;M1028&amp;" "&amp;N1028&amp;" "&amp;T1028)))),"PRIVATE_QUARANTINE",IF(OR(ISNUMBER(SEARCH("treasury",LOWER(F1028&amp;" "&amp;H1028&amp;" "&amp;I1028&amp;" "&amp;M1028&amp;" "&amp;N1028&amp;" "&amp;T1028))),ISNUMBER(SEARCH("debt",LOWER(F1028&amp;" "&amp;H1028&amp;" "&amp;I1028&amp;" "&amp;M1028&amp;" "&amp;N1028&amp;" "&amp;T1028))),ISNUMBER(SEARCH("bond",LOWER(F1028&amp;" "&amp;H1028&amp;" "&amp;I1028&amp;" "&amp;M1028&amp;" "&amp;N1028&amp;" "&amp;T1028))),ISNUMBER(SEARCH("transaction",LOWER(F1028&amp;" "&amp;H1028&amp;" "&amp;I1028&amp;" "&amp;M1028&amp;" "&amp;N1028&amp;" "&amp;T1028)))),"PRIVATE_REVIEW","PUBLIC_CANDIDATE"))</x:f>
        <x:v>PUBLIC_CANDIDATE</x:v>
      </x:c>
      <x:c r="AD1028" s="12" t="str">
        <x:f>IF(AC1028="PRIVATE_QUARANTINE","hacker_or_bank_trigger",IF(AC1028="PRIVATE_REVIEW","finance_risk_trigger","none"))</x:f>
        <x:v>none</x:v>
      </x:c>
      <x:c r="AE1028" s="12" t="str">
        <x:f>IF(AC1028="PUBLIC_CANDIDATE","prepare_public_github_candidate",IF(AC1028="PRIVATE_REVIEW","hold_for_private_review","quarantine_private_do_not_publish"))</x:f>
        <x:v>prepare_public_github_candidate</x:v>
      </x:c>
      <x:c r="AF1028" s="12" t="str">
        <x:f>IF(AC1028="PUBLIC_CANDIDATE","TIDELOCK + Lucerna",IF(AC1028="PRIVATE_REVIEW","AtlasBrain + Lucerna","TIDELOCK + Lucerna + Human-root"))</x:f>
        <x:v>TIDELOCK + Lucerna</x:v>
      </x:c>
      <x:c r="AG1028" s="12" t="str">
        <x:f>IF(AND(AC1028="PUBLIC_CANDIDATE",U1028&lt;&gt;"BLOCKED_PENDING_RECEIPT"),"READY_AFTER_RECEIPT","NOT_READY")</x:f>
        <x:v>NOT_READY</x:v>
      </x:c>
      <x:c r="AH1028" s="12" t="str">
        <x:f>IF(AC1028="PUBLIC_CANDIDATE","none",AD1028)</x:f>
        <x:v>none</x:v>
      </x:c>
      <x:c r="AI1028" s="12" t="str">
        <x:f>IF(AC1028="PUBLIC_CANDIDATE","archive/public_candidates/"&amp;A1028,"private_quarantine/"&amp;A1028)</x:f>
        <x:v>archive/public_candidates/SWARM-08-H02-S07</x:v>
      </x:c>
      <x:c r="AJ1028" s="12" t="str">
        <x:f>IF(AC1028="PUBLIC_CANDIDATE","public by default; still not canon","private/hold; do not publish")</x:f>
        <x:v>public by default; still not canon</x:v>
      </x:c>
      <x:c r="AK1028" s="12" t="str">
        <x:f>IF(AE1028="prepare_public_github_candidate","add receipt/status then mirror","resolve blocker before any public GitHub action")</x:f>
        <x:v>add receipt/status then mirror</x:v>
      </x:c>
    </x:row>
    <x:row r="1029">
      <x:c r="A1029" s="15" t="str">
        <x:v>SWARM-08-H02-S08</x:v>
      </x:c>
      <x:c r="B1029" s="15" t="str">
        <x:v>GammaSprite</x:v>
      </x:c>
      <x:c r="C1029" s="15" t="str">
        <x:v>Deck surface mapper</x:v>
      </x:c>
      <x:c r="D1029" s="15" t="str">
        <x:v>Receipt Verification</x:v>
      </x:c>
      <x:c r="E1029" s="15" t="str">
        <x:v>Sheldonbrain</x:v>
      </x:c>
      <x:c r="F1029" s="15" t="str">
        <x:v>Verify receipts for Sheldonbrain — GammaSprite</x:v>
      </x:c>
      <x:c r="G1029" s="15" t="str">
        <x:v>Gamma/deck extraction / slide lineage</x:v>
      </x:c>
      <x:c r="H1029" s="15" t="str">
        <x:v>source path + receipt + raw/export status + claim/edge/risk delta</x:v>
      </x:c>
      <x:c r="I1029" s="15" t="str">
        <x:v>packet/SWARM-08-H02-S08</x:v>
      </x:c>
      <x:c r="J1029" s="15" t="str">
        <x:v>TODO</x:v>
      </x:c>
      <x:c r="K1029" s="15" t="str">
        <x:v>P1</x:v>
      </x:c>
      <x:c r="L1029" s="15" t="str">
        <x:v>Done only when evidence is logged, contradiction search is noted, and boundary stamp remains non-canon unless ratified</x:v>
      </x:c>
      <x:c r="M1029" s="15" t="str">
        <x:v>candidate / staging-only / not canon / not deployed / authority none</x:v>
      </x:c>
      <x:c r="N1029" s="15" t="str">
        <x:v>Dispatch to GammaSprite: complete Receipt Verification x Sheldonbrain; return deltas only, receipts required.</x:v>
      </x:c>
      <x:c r="O1029" s="15" t="str">
        <x:v>AF-KG-H02-S08</x:v>
      </x:c>
      <x:c r="P1029" s="15" t="str">
        <x:v>Unverified</x:v>
      </x:c>
      <x:c r="Q1029" s="15" t="str">
        <x:v>Not checked</x:v>
      </x:c>
      <x:c r="R1029" s="15" t="str"/>
      <x:c r="S1029" s="15" t="str"/>
      <x:c r="T1029" s="15" t="str">
        <x:v>Log first source path or blocker</x:v>
      </x:c>
      <x:c r="U1029" s="12" t="str">
        <x:f>IF(OR(P1029="Unverified",Q1029="Not checked"),"BLOCKED_PENDING_RECEIPT","READY_FOR_REVIEW")</x:f>
        <x:v>BLOCKED_PENDING_RECEIPT</x:v>
      </x:c>
      <x:c r="V1029" s="12" t="str">
        <x:f>IF(J1029="DONE","RETURNED",IF(U1029="BLOCKED_PENDING_RECEIPT","SOURCE_TOUCH_REQUIRED","IN_PROGRESS"))</x:f>
        <x:v>SOURCE_TOUCH_REQUIRED</x:v>
      </x:c>
      <x:c r="W1029" s="12" t="str">
        <x:f>IF(P1029="Unverified","missing_receipt","receipt_logged")</x:f>
        <x:v>missing_receipt</x:v>
      </x:c>
      <x:c r="X1029" s="12" t="str">
        <x:f>IF(Q1029="Not checked","raw_status_missing","raw_status_logged")</x:f>
        <x:v>raw_status_missing</x:v>
      </x:c>
      <x:c r="Y1029" s="12" t="str">
        <x:f>IF(U1029="BLOCKED_PENDING_RECEIPT","Log source path or blocker; do not promote","Route to review lane")</x:f>
        <x:v>Log source path or blocker; do not promote</x:v>
      </x:c>
      <x:c r="Z1029" s="12" t="str">
        <x:f>IF(K1029="P0","Primary seat + Hashlight/Lucerna","Seat lane")</x:f>
        <x:v>Seat lane</x:v>
      </x:c>
      <x:c r="AA1029" s="12" t="str">
        <x:f>IF(R1029="","no_claim_delta","claim_delta_present")</x:f>
        <x:v>no_claim_delta</x:v>
      </x:c>
      <x:c r="AB1029" s="12" t="str">
        <x:f>IF(S1029="","no_contradiction_delta","contradiction_delta_present")</x:f>
        <x:v>no_contradiction_delta</x:v>
      </x:c>
      <x:c r="AC1029" s="12" t="str">
        <x:f>IF(OR(ISNUMBER(SEARCH("hacker",LOWER(F1029&amp;" "&amp;H1029&amp;" "&amp;I1029&amp;" "&amp;M1029&amp;" "&amp;N1029&amp;" "&amp;T1029))),ISNUMBER(SEARCH("hacking",LOWER(F1029&amp;" "&amp;H1029&amp;" "&amp;I1029&amp;" "&amp;M1029&amp;" "&amp;N1029&amp;" "&amp;T1029))),ISNUMBER(SEARCH("bank",LOWER(F1029&amp;" "&amp;H1029&amp;" "&amp;I1029&amp;" "&amp;M1029&amp;" "&amp;N1029&amp;" "&amp;T1029))),ISNUMBER(SEARCH("banking",LOWER(F1029&amp;" "&amp;H1029&amp;" "&amp;I1029&amp;" "&amp;M1029&amp;" "&amp;N1029&amp;" "&amp;T1029)))),"PRIVATE_QUARANTINE",IF(OR(ISNUMBER(SEARCH("treasury",LOWER(F1029&amp;" "&amp;H1029&amp;" "&amp;I1029&amp;" "&amp;M1029&amp;" "&amp;N1029&amp;" "&amp;T1029))),ISNUMBER(SEARCH("debt",LOWER(F1029&amp;" "&amp;H1029&amp;" "&amp;I1029&amp;" "&amp;M1029&amp;" "&amp;N1029&amp;" "&amp;T1029))),ISNUMBER(SEARCH("bond",LOWER(F1029&amp;" "&amp;H1029&amp;" "&amp;I1029&amp;" "&amp;M1029&amp;" "&amp;N1029&amp;" "&amp;T1029))),ISNUMBER(SEARCH("transaction",LOWER(F1029&amp;" "&amp;H1029&amp;" "&amp;I1029&amp;" "&amp;M1029&amp;" "&amp;N1029&amp;" "&amp;T1029)))),"PRIVATE_REVIEW","PUBLIC_CANDIDATE"))</x:f>
        <x:v>PUBLIC_CANDIDATE</x:v>
      </x:c>
      <x:c r="AD1029" s="12" t="str">
        <x:f>IF(AC1029="PRIVATE_QUARANTINE","hacker_or_bank_trigger",IF(AC1029="PRIVATE_REVIEW","finance_risk_trigger","none"))</x:f>
        <x:v>none</x:v>
      </x:c>
      <x:c r="AE1029" s="12" t="str">
        <x:f>IF(AC1029="PUBLIC_CANDIDATE","prepare_public_github_candidate",IF(AC1029="PRIVATE_REVIEW","hold_for_private_review","quarantine_private_do_not_publish"))</x:f>
        <x:v>prepare_public_github_candidate</x:v>
      </x:c>
      <x:c r="AF1029" s="12" t="str">
        <x:f>IF(AC1029="PUBLIC_CANDIDATE","TIDELOCK + Lucerna",IF(AC1029="PRIVATE_REVIEW","AtlasBrain + Lucerna","TIDELOCK + Lucerna + Human-root"))</x:f>
        <x:v>TIDELOCK + Lucerna</x:v>
      </x:c>
      <x:c r="AG1029" s="12" t="str">
        <x:f>IF(AND(AC1029="PUBLIC_CANDIDATE",U1029&lt;&gt;"BLOCKED_PENDING_RECEIPT"),"READY_AFTER_RECEIPT","NOT_READY")</x:f>
        <x:v>NOT_READY</x:v>
      </x:c>
      <x:c r="AH1029" s="12" t="str">
        <x:f>IF(AC1029="PUBLIC_CANDIDATE","none",AD1029)</x:f>
        <x:v>none</x:v>
      </x:c>
      <x:c r="AI1029" s="12" t="str">
        <x:f>IF(AC1029="PUBLIC_CANDIDATE","archive/public_candidates/"&amp;A1029,"private_quarantine/"&amp;A1029)</x:f>
        <x:v>archive/public_candidates/SWARM-08-H02-S08</x:v>
      </x:c>
      <x:c r="AJ1029" s="12" t="str">
        <x:f>IF(AC1029="PUBLIC_CANDIDATE","public by default; still not canon","private/hold; do not publish")</x:f>
        <x:v>public by default; still not canon</x:v>
      </x:c>
      <x:c r="AK1029" s="12" t="str">
        <x:f>IF(AE1029="prepare_public_github_candidate","add receipt/status then mirror","resolve blocker before any public GitHub action")</x:f>
        <x:v>add receipt/status then mirror</x:v>
      </x:c>
    </x:row>
    <x:row r="1030">
      <x:c r="A1030" s="15" t="str">
        <x:v>SWARM-08-H02-S09</x:v>
      </x:c>
      <x:c r="B1030" s="15" t="str">
        <x:v>GammaSprite</x:v>
      </x:c>
      <x:c r="C1030" s="15" t="str">
        <x:v>Deck surface mapper</x:v>
      </x:c>
      <x:c r="D1030" s="15" t="str">
        <x:v>Receipt Verification</x:v>
      </x:c>
      <x:c r="E1030" s="15" t="str">
        <x:v>Aetherforge</x:v>
      </x:c>
      <x:c r="F1030" s="15" t="str">
        <x:v>Verify receipts for Aetherforge — GammaSprite</x:v>
      </x:c>
      <x:c r="G1030" s="15" t="str">
        <x:v>Gamma/deck extraction / slide lineage</x:v>
      </x:c>
      <x:c r="H1030" s="15" t="str">
        <x:v>source path + receipt + raw/export status + claim/edge/risk delta</x:v>
      </x:c>
      <x:c r="I1030" s="15" t="str">
        <x:v>packet/SWARM-08-H02-S09</x:v>
      </x:c>
      <x:c r="J1030" s="15" t="str">
        <x:v>TODO</x:v>
      </x:c>
      <x:c r="K1030" s="15" t="str">
        <x:v>P2</x:v>
      </x:c>
      <x:c r="L1030" s="15" t="str">
        <x:v>Done only when evidence is logged, contradiction search is noted, and boundary stamp remains non-canon unless ratified</x:v>
      </x:c>
      <x:c r="M1030" s="15" t="str">
        <x:v>candidate / staging-only / not canon / not deployed / authority none</x:v>
      </x:c>
      <x:c r="N1030" s="15" t="str">
        <x:v>Dispatch to GammaSprite: complete Receipt Verification x Aetherforge; return deltas only, receipts required.</x:v>
      </x:c>
      <x:c r="O1030" s="15" t="str">
        <x:v>AF-KG-H02-S09</x:v>
      </x:c>
      <x:c r="P1030" s="15" t="str">
        <x:v>Unverified</x:v>
      </x:c>
      <x:c r="Q1030" s="15" t="str">
        <x:v>Not checked</x:v>
      </x:c>
      <x:c r="R1030" s="15" t="str"/>
      <x:c r="S1030" s="15" t="str"/>
      <x:c r="T1030" s="15" t="str">
        <x:v>Log first source path or blocker</x:v>
      </x:c>
      <x:c r="U1030" s="12" t="str">
        <x:f>IF(OR(P1030="Unverified",Q1030="Not checked"),"BLOCKED_PENDING_RECEIPT","READY_FOR_REVIEW")</x:f>
        <x:v>BLOCKED_PENDING_RECEIPT</x:v>
      </x:c>
      <x:c r="V1030" s="12" t="str">
        <x:f>IF(J1030="DONE","RETURNED",IF(U1030="BLOCKED_PENDING_RECEIPT","SOURCE_TOUCH_REQUIRED","IN_PROGRESS"))</x:f>
        <x:v>SOURCE_TOUCH_REQUIRED</x:v>
      </x:c>
      <x:c r="W1030" s="12" t="str">
        <x:f>IF(P1030="Unverified","missing_receipt","receipt_logged")</x:f>
        <x:v>missing_receipt</x:v>
      </x:c>
      <x:c r="X1030" s="12" t="str">
        <x:f>IF(Q1030="Not checked","raw_status_missing","raw_status_logged")</x:f>
        <x:v>raw_status_missing</x:v>
      </x:c>
      <x:c r="Y1030" s="12" t="str">
        <x:f>IF(U1030="BLOCKED_PENDING_RECEIPT","Log source path or blocker; do not promote","Route to review lane")</x:f>
        <x:v>Log source path or blocker; do not promote</x:v>
      </x:c>
      <x:c r="Z1030" s="12" t="str">
        <x:f>IF(K1030="P0","Primary seat + Hashlight/Lucerna","Seat lane")</x:f>
        <x:v>Seat lane</x:v>
      </x:c>
      <x:c r="AA1030" s="12" t="str">
        <x:f>IF(R1030="","no_claim_delta","claim_delta_present")</x:f>
        <x:v>no_claim_delta</x:v>
      </x:c>
      <x:c r="AB1030" s="12" t="str">
        <x:f>IF(S1030="","no_contradiction_delta","contradiction_delta_present")</x:f>
        <x:v>no_contradiction_delta</x:v>
      </x:c>
      <x:c r="AC1030" s="12" t="str">
        <x:f>IF(OR(ISNUMBER(SEARCH("hacker",LOWER(F1030&amp;" "&amp;H1030&amp;" "&amp;I1030&amp;" "&amp;M1030&amp;" "&amp;N1030&amp;" "&amp;T1030))),ISNUMBER(SEARCH("hacking",LOWER(F1030&amp;" "&amp;H1030&amp;" "&amp;I1030&amp;" "&amp;M1030&amp;" "&amp;N1030&amp;" "&amp;T1030))),ISNUMBER(SEARCH("bank",LOWER(F1030&amp;" "&amp;H1030&amp;" "&amp;I1030&amp;" "&amp;M1030&amp;" "&amp;N1030&amp;" "&amp;T1030))),ISNUMBER(SEARCH("banking",LOWER(F1030&amp;" "&amp;H1030&amp;" "&amp;I1030&amp;" "&amp;M1030&amp;" "&amp;N1030&amp;" "&amp;T1030)))),"PRIVATE_QUARANTINE",IF(OR(ISNUMBER(SEARCH("treasury",LOWER(F1030&amp;" "&amp;H1030&amp;" "&amp;I1030&amp;" "&amp;M1030&amp;" "&amp;N1030&amp;" "&amp;T1030))),ISNUMBER(SEARCH("debt",LOWER(F1030&amp;" "&amp;H1030&amp;" "&amp;I1030&amp;" "&amp;M1030&amp;" "&amp;N1030&amp;" "&amp;T1030))),ISNUMBER(SEARCH("bond",LOWER(F1030&amp;" "&amp;H1030&amp;" "&amp;I1030&amp;" "&amp;M1030&amp;" "&amp;N1030&amp;" "&amp;T1030))),ISNUMBER(SEARCH("transaction",LOWER(F1030&amp;" "&amp;H1030&amp;" "&amp;I1030&amp;" "&amp;M1030&amp;" "&amp;N1030&amp;" "&amp;T1030)))),"PRIVATE_REVIEW","PUBLIC_CANDIDATE"))</x:f>
        <x:v>PUBLIC_CANDIDATE</x:v>
      </x:c>
      <x:c r="AD1030" s="12" t="str">
        <x:f>IF(AC1030="PRIVATE_QUARANTINE","hacker_or_bank_trigger",IF(AC1030="PRIVATE_REVIEW","finance_risk_trigger","none"))</x:f>
        <x:v>none</x:v>
      </x:c>
      <x:c r="AE1030" s="12" t="str">
        <x:f>IF(AC1030="PUBLIC_CANDIDATE","prepare_public_github_candidate",IF(AC1030="PRIVATE_REVIEW","hold_for_private_review","quarantine_private_do_not_publish"))</x:f>
        <x:v>prepare_public_github_candidate</x:v>
      </x:c>
      <x:c r="AF1030" s="12" t="str">
        <x:f>IF(AC1030="PUBLIC_CANDIDATE","TIDELOCK + Lucerna",IF(AC1030="PRIVATE_REVIEW","AtlasBrain + Lucerna","TIDELOCK + Lucerna + Human-root"))</x:f>
        <x:v>TIDELOCK + Lucerna</x:v>
      </x:c>
      <x:c r="AG1030" s="12" t="str">
        <x:f>IF(AND(AC1030="PUBLIC_CANDIDATE",U1030&lt;&gt;"BLOCKED_PENDING_RECEIPT"),"READY_AFTER_RECEIPT","NOT_READY")</x:f>
        <x:v>NOT_READY</x:v>
      </x:c>
      <x:c r="AH1030" s="12" t="str">
        <x:f>IF(AC1030="PUBLIC_CANDIDATE","none",AD1030)</x:f>
        <x:v>none</x:v>
      </x:c>
      <x:c r="AI1030" s="12" t="str">
        <x:f>IF(AC1030="PUBLIC_CANDIDATE","archive/public_candidates/"&amp;A1030,"private_quarantine/"&amp;A1030)</x:f>
        <x:v>archive/public_candidates/SWARM-08-H02-S09</x:v>
      </x:c>
      <x:c r="AJ1030" s="12" t="str">
        <x:f>IF(AC1030="PUBLIC_CANDIDATE","public by default; still not canon","private/hold; do not publish")</x:f>
        <x:v>public by default; still not canon</x:v>
      </x:c>
      <x:c r="AK1030" s="12" t="str">
        <x:f>IF(AE1030="prepare_public_github_candidate","add receipt/status then mirror","resolve blocker before any public GitHub action")</x:f>
        <x:v>add receipt/status then mirror</x:v>
      </x:c>
    </x:row>
    <x:row r="1031">
      <x:c r="A1031" s="15" t="str">
        <x:v>SWARM-08-H02-S10</x:v>
      </x:c>
      <x:c r="B1031" s="15" t="str">
        <x:v>GammaSprite</x:v>
      </x:c>
      <x:c r="C1031" s="15" t="str">
        <x:v>Deck surface mapper</x:v>
      </x:c>
      <x:c r="D1031" s="15" t="str">
        <x:v>Receipt Verification</x:v>
      </x:c>
      <x:c r="E1031" s="15" t="str">
        <x:v>Human-Root</x:v>
      </x:c>
      <x:c r="F1031" s="15" t="str">
        <x:v>Verify receipts for Human-Root — GammaSprite</x:v>
      </x:c>
      <x:c r="G1031" s="15" t="str">
        <x:v>Gamma/deck extraction / slide lineage</x:v>
      </x:c>
      <x:c r="H1031" s="15" t="str">
        <x:v>source path + receipt + raw/export status + claim/edge/risk delta</x:v>
      </x:c>
      <x:c r="I1031" s="15" t="str">
        <x:v>packet/SWARM-08-H02-S10</x:v>
      </x:c>
      <x:c r="J1031" s="15" t="str">
        <x:v>TODO</x:v>
      </x:c>
      <x:c r="K1031" s="15" t="str">
        <x:v>P2</x:v>
      </x:c>
      <x:c r="L1031" s="15" t="str">
        <x:v>Done only when evidence is logged, contradiction search is noted, and boundary stamp remains non-canon unless ratified</x:v>
      </x:c>
      <x:c r="M1031" s="15" t="str">
        <x:v>candidate / staging-only / not canon / not deployed / authority none</x:v>
      </x:c>
      <x:c r="N1031" s="15" t="str">
        <x:v>Dispatch to GammaSprite: complete Receipt Verification x Human-Root; return deltas only, receipts required.</x:v>
      </x:c>
      <x:c r="O1031" s="15" t="str">
        <x:v>AF-KG-H02-S10</x:v>
      </x:c>
      <x:c r="P1031" s="15" t="str">
        <x:v>Unverified</x:v>
      </x:c>
      <x:c r="Q1031" s="15" t="str">
        <x:v>Not checked</x:v>
      </x:c>
      <x:c r="R1031" s="15" t="str"/>
      <x:c r="S1031" s="15" t="str"/>
      <x:c r="T1031" s="15" t="str">
        <x:v>Log first source path or blocker</x:v>
      </x:c>
      <x:c r="U1031" s="12" t="str">
        <x:f>IF(OR(P1031="Unverified",Q1031="Not checked"),"BLOCKED_PENDING_RECEIPT","READY_FOR_REVIEW")</x:f>
        <x:v>BLOCKED_PENDING_RECEIPT</x:v>
      </x:c>
      <x:c r="V1031" s="12" t="str">
        <x:f>IF(J1031="DONE","RETURNED",IF(U1031="BLOCKED_PENDING_RECEIPT","SOURCE_TOUCH_REQUIRED","IN_PROGRESS"))</x:f>
        <x:v>SOURCE_TOUCH_REQUIRED</x:v>
      </x:c>
      <x:c r="W1031" s="12" t="str">
        <x:f>IF(P1031="Unverified","missing_receipt","receipt_logged")</x:f>
        <x:v>missing_receipt</x:v>
      </x:c>
      <x:c r="X1031" s="12" t="str">
        <x:f>IF(Q1031="Not checked","raw_status_missing","raw_status_logged")</x:f>
        <x:v>raw_status_missing</x:v>
      </x:c>
      <x:c r="Y1031" s="12" t="str">
        <x:f>IF(U1031="BLOCKED_PENDING_RECEIPT","Log source path or blocker; do not promote","Route to review lane")</x:f>
        <x:v>Log source path or blocker; do not promote</x:v>
      </x:c>
      <x:c r="Z1031" s="12" t="str">
        <x:f>IF(K1031="P0","Primary seat + Hashlight/Lucerna","Seat lane")</x:f>
        <x:v>Seat lane</x:v>
      </x:c>
      <x:c r="AA1031" s="12" t="str">
        <x:f>IF(R1031="","no_claim_delta","claim_delta_present")</x:f>
        <x:v>no_claim_delta</x:v>
      </x:c>
      <x:c r="AB1031" s="12" t="str">
        <x:f>IF(S1031="","no_contradiction_delta","contradiction_delta_present")</x:f>
        <x:v>no_contradiction_delta</x:v>
      </x:c>
      <x:c r="AC1031" s="12" t="str">
        <x:f>IF(OR(ISNUMBER(SEARCH("hacker",LOWER(F1031&amp;" "&amp;H1031&amp;" "&amp;I1031&amp;" "&amp;M1031&amp;" "&amp;N1031&amp;" "&amp;T1031))),ISNUMBER(SEARCH("hacking",LOWER(F1031&amp;" "&amp;H1031&amp;" "&amp;I1031&amp;" "&amp;M1031&amp;" "&amp;N1031&amp;" "&amp;T1031))),ISNUMBER(SEARCH("bank",LOWER(F1031&amp;" "&amp;H1031&amp;" "&amp;I1031&amp;" "&amp;M1031&amp;" "&amp;N1031&amp;" "&amp;T1031))),ISNUMBER(SEARCH("banking",LOWER(F1031&amp;" "&amp;H1031&amp;" "&amp;I1031&amp;" "&amp;M1031&amp;" "&amp;N1031&amp;" "&amp;T1031)))),"PRIVATE_QUARANTINE",IF(OR(ISNUMBER(SEARCH("treasury",LOWER(F1031&amp;" "&amp;H1031&amp;" "&amp;I1031&amp;" "&amp;M1031&amp;" "&amp;N1031&amp;" "&amp;T1031))),ISNUMBER(SEARCH("debt",LOWER(F1031&amp;" "&amp;H1031&amp;" "&amp;I1031&amp;" "&amp;M1031&amp;" "&amp;N1031&amp;" "&amp;T1031))),ISNUMBER(SEARCH("bond",LOWER(F1031&amp;" "&amp;H1031&amp;" "&amp;I1031&amp;" "&amp;M1031&amp;" "&amp;N1031&amp;" "&amp;T1031))),ISNUMBER(SEARCH("transaction",LOWER(F1031&amp;" "&amp;H1031&amp;" "&amp;I1031&amp;" "&amp;M1031&amp;" "&amp;N1031&amp;" "&amp;T1031)))),"PRIVATE_REVIEW","PUBLIC_CANDIDATE"))</x:f>
        <x:v>PUBLIC_CANDIDATE</x:v>
      </x:c>
      <x:c r="AD1031" s="12" t="str">
        <x:f>IF(AC1031="PRIVATE_QUARANTINE","hacker_or_bank_trigger",IF(AC1031="PRIVATE_REVIEW","finance_risk_trigger","none"))</x:f>
        <x:v>none</x:v>
      </x:c>
      <x:c r="AE1031" s="12" t="str">
        <x:f>IF(AC1031="PUBLIC_CANDIDATE","prepare_public_github_candidate",IF(AC1031="PRIVATE_REVIEW","hold_for_private_review","quarantine_private_do_not_publish"))</x:f>
        <x:v>prepare_public_github_candidate</x:v>
      </x:c>
      <x:c r="AF1031" s="12" t="str">
        <x:f>IF(AC1031="PUBLIC_CANDIDATE","TIDELOCK + Lucerna",IF(AC1031="PRIVATE_REVIEW","AtlasBrain + Lucerna","TIDELOCK + Lucerna + Human-root"))</x:f>
        <x:v>TIDELOCK + Lucerna</x:v>
      </x:c>
      <x:c r="AG1031" s="12" t="str">
        <x:f>IF(AND(AC1031="PUBLIC_CANDIDATE",U1031&lt;&gt;"BLOCKED_PENDING_RECEIPT"),"READY_AFTER_RECEIPT","NOT_READY")</x:f>
        <x:v>NOT_READY</x:v>
      </x:c>
      <x:c r="AH1031" s="12" t="str">
        <x:f>IF(AC1031="PUBLIC_CANDIDATE","none",AD1031)</x:f>
        <x:v>none</x:v>
      </x:c>
      <x:c r="AI1031" s="12" t="str">
        <x:f>IF(AC1031="PUBLIC_CANDIDATE","archive/public_candidates/"&amp;A1031,"private_quarantine/"&amp;A1031)</x:f>
        <x:v>archive/public_candidates/SWARM-08-H02-S10</x:v>
      </x:c>
      <x:c r="AJ1031" s="12" t="str">
        <x:f>IF(AC1031="PUBLIC_CANDIDATE","public by default; still not canon","private/hold; do not publish")</x:f>
        <x:v>public by default; still not canon</x:v>
      </x:c>
      <x:c r="AK1031" s="12" t="str">
        <x:f>IF(AE1031="prepare_public_github_candidate","add receipt/status then mirror","resolve blocker before any public GitHub action")</x:f>
        <x:v>add receipt/status then mirror</x:v>
      </x:c>
    </x:row>
    <x:row r="1032">
      <x:c r="A1032" s="15" t="str">
        <x:v>SWARM-08-H02-S11</x:v>
      </x:c>
      <x:c r="B1032" s="15" t="str">
        <x:v>GammaSprite</x:v>
      </x:c>
      <x:c r="C1032" s="15" t="str">
        <x:v>Deck surface mapper</x:v>
      </x:c>
      <x:c r="D1032" s="15" t="str">
        <x:v>Receipt Verification</x:v>
      </x:c>
      <x:c r="E1032" s="15" t="str">
        <x:v>Automation</x:v>
      </x:c>
      <x:c r="F1032" s="15" t="str">
        <x:v>Verify receipts for Automation — GammaSprite</x:v>
      </x:c>
      <x:c r="G1032" s="15" t="str">
        <x:v>Gamma/deck extraction / slide lineage</x:v>
      </x:c>
      <x:c r="H1032" s="15" t="str">
        <x:v>source path + receipt + raw/export status + claim/edge/risk delta</x:v>
      </x:c>
      <x:c r="I1032" s="15" t="str">
        <x:v>packet/SWARM-08-H02-S11</x:v>
      </x:c>
      <x:c r="J1032" s="15" t="str">
        <x:v>TODO</x:v>
      </x:c>
      <x:c r="K1032" s="15" t="str">
        <x:v>P2</x:v>
      </x:c>
      <x:c r="L1032" s="15" t="str">
        <x:v>Done only when evidence is logged, contradiction search is noted, and boundary stamp remains non-canon unless ratified</x:v>
      </x:c>
      <x:c r="M1032" s="15" t="str">
        <x:v>candidate / staging-only / not canon / not deployed / authority none</x:v>
      </x:c>
      <x:c r="N1032" s="15" t="str">
        <x:v>Dispatch to GammaSprite: complete Receipt Verification x Automation; return deltas only, receipts required.</x:v>
      </x:c>
      <x:c r="O1032" s="15" t="str">
        <x:v>AF-KG-H02-S11</x:v>
      </x:c>
      <x:c r="P1032" s="15" t="str">
        <x:v>Unverified</x:v>
      </x:c>
      <x:c r="Q1032" s="15" t="str">
        <x:v>Not checked</x:v>
      </x:c>
      <x:c r="R1032" s="15" t="str"/>
      <x:c r="S1032" s="15" t="str"/>
      <x:c r="T1032" s="15" t="str">
        <x:v>Log first source path or blocker</x:v>
      </x:c>
      <x:c r="U1032" s="12" t="str">
        <x:f>IF(OR(P1032="Unverified",Q1032="Not checked"),"BLOCKED_PENDING_RECEIPT","READY_FOR_REVIEW")</x:f>
        <x:v>BLOCKED_PENDING_RECEIPT</x:v>
      </x:c>
      <x:c r="V1032" s="12" t="str">
        <x:f>IF(J1032="DONE","RETURNED",IF(U1032="BLOCKED_PENDING_RECEIPT","SOURCE_TOUCH_REQUIRED","IN_PROGRESS"))</x:f>
        <x:v>SOURCE_TOUCH_REQUIRED</x:v>
      </x:c>
      <x:c r="W1032" s="12" t="str">
        <x:f>IF(P1032="Unverified","missing_receipt","receipt_logged")</x:f>
        <x:v>missing_receipt</x:v>
      </x:c>
      <x:c r="X1032" s="12" t="str">
        <x:f>IF(Q1032="Not checked","raw_status_missing","raw_status_logged")</x:f>
        <x:v>raw_status_missing</x:v>
      </x:c>
      <x:c r="Y1032" s="12" t="str">
        <x:f>IF(U1032="BLOCKED_PENDING_RECEIPT","Log source path or blocker; do not promote","Route to review lane")</x:f>
        <x:v>Log source path or blocker; do not promote</x:v>
      </x:c>
      <x:c r="Z1032" s="12" t="str">
        <x:f>IF(K1032="P0","Primary seat + Hashlight/Lucerna","Seat lane")</x:f>
        <x:v>Seat lane</x:v>
      </x:c>
      <x:c r="AA1032" s="12" t="str">
        <x:f>IF(R1032="","no_claim_delta","claim_delta_present")</x:f>
        <x:v>no_claim_delta</x:v>
      </x:c>
      <x:c r="AB1032" s="12" t="str">
        <x:f>IF(S1032="","no_contradiction_delta","contradiction_delta_present")</x:f>
        <x:v>no_contradiction_delta</x:v>
      </x:c>
      <x:c r="AC1032" s="12" t="str">
        <x:f>IF(OR(ISNUMBER(SEARCH("hacker",LOWER(F1032&amp;" "&amp;H1032&amp;" "&amp;I1032&amp;" "&amp;M1032&amp;" "&amp;N1032&amp;" "&amp;T1032))),ISNUMBER(SEARCH("hacking",LOWER(F1032&amp;" "&amp;H1032&amp;" "&amp;I1032&amp;" "&amp;M1032&amp;" "&amp;N1032&amp;" "&amp;T1032))),ISNUMBER(SEARCH("bank",LOWER(F1032&amp;" "&amp;H1032&amp;" "&amp;I1032&amp;" "&amp;M1032&amp;" "&amp;N1032&amp;" "&amp;T1032))),ISNUMBER(SEARCH("banking",LOWER(F1032&amp;" "&amp;H1032&amp;" "&amp;I1032&amp;" "&amp;M1032&amp;" "&amp;N1032&amp;" "&amp;T1032)))),"PRIVATE_QUARANTINE",IF(OR(ISNUMBER(SEARCH("treasury",LOWER(F1032&amp;" "&amp;H1032&amp;" "&amp;I1032&amp;" "&amp;M1032&amp;" "&amp;N1032&amp;" "&amp;T1032))),ISNUMBER(SEARCH("debt",LOWER(F1032&amp;" "&amp;H1032&amp;" "&amp;I1032&amp;" "&amp;M1032&amp;" "&amp;N1032&amp;" "&amp;T1032))),ISNUMBER(SEARCH("bond",LOWER(F1032&amp;" "&amp;H1032&amp;" "&amp;I1032&amp;" "&amp;M1032&amp;" "&amp;N1032&amp;" "&amp;T1032))),ISNUMBER(SEARCH("transaction",LOWER(F1032&amp;" "&amp;H1032&amp;" "&amp;I1032&amp;" "&amp;M1032&amp;" "&amp;N1032&amp;" "&amp;T1032)))),"PRIVATE_REVIEW","PUBLIC_CANDIDATE"))</x:f>
        <x:v>PUBLIC_CANDIDATE</x:v>
      </x:c>
      <x:c r="AD1032" s="12" t="str">
        <x:f>IF(AC1032="PRIVATE_QUARANTINE","hacker_or_bank_trigger",IF(AC1032="PRIVATE_REVIEW","finance_risk_trigger","none"))</x:f>
        <x:v>none</x:v>
      </x:c>
      <x:c r="AE1032" s="12" t="str">
        <x:f>IF(AC1032="PUBLIC_CANDIDATE","prepare_public_github_candidate",IF(AC1032="PRIVATE_REVIEW","hold_for_private_review","quarantine_private_do_not_publish"))</x:f>
        <x:v>prepare_public_github_candidate</x:v>
      </x:c>
      <x:c r="AF1032" s="12" t="str">
        <x:f>IF(AC1032="PUBLIC_CANDIDATE","TIDELOCK + Lucerna",IF(AC1032="PRIVATE_REVIEW","AtlasBrain + Lucerna","TIDELOCK + Lucerna + Human-root"))</x:f>
        <x:v>TIDELOCK + Lucerna</x:v>
      </x:c>
      <x:c r="AG1032" s="12" t="str">
        <x:f>IF(AND(AC1032="PUBLIC_CANDIDATE",U1032&lt;&gt;"BLOCKED_PENDING_RECEIPT"),"READY_AFTER_RECEIPT","NOT_READY")</x:f>
        <x:v>NOT_READY</x:v>
      </x:c>
      <x:c r="AH1032" s="12" t="str">
        <x:f>IF(AC1032="PUBLIC_CANDIDATE","none",AD1032)</x:f>
        <x:v>none</x:v>
      </x:c>
      <x:c r="AI1032" s="12" t="str">
        <x:f>IF(AC1032="PUBLIC_CANDIDATE","archive/public_candidates/"&amp;A1032,"private_quarantine/"&amp;A1032)</x:f>
        <x:v>archive/public_candidates/SWARM-08-H02-S11</x:v>
      </x:c>
      <x:c r="AJ1032" s="12" t="str">
        <x:f>IF(AC1032="PUBLIC_CANDIDATE","public by default; still not canon","private/hold; do not publish")</x:f>
        <x:v>public by default; still not canon</x:v>
      </x:c>
      <x:c r="AK1032" s="12" t="str">
        <x:f>IF(AE1032="prepare_public_github_candidate","add receipt/status then mirror","resolve blocker before any public GitHub action")</x:f>
        <x:v>add receipt/status then mirror</x:v>
      </x:c>
    </x:row>
    <x:row r="1033">
      <x:c r="A1033" s="15" t="str">
        <x:v>SWARM-08-H02-S12</x:v>
      </x:c>
      <x:c r="B1033" s="15" t="str">
        <x:v>GammaSprite</x:v>
      </x:c>
      <x:c r="C1033" s="15" t="str">
        <x:v>Deck surface mapper</x:v>
      </x:c>
      <x:c r="D1033" s="15" t="str">
        <x:v>Receipt Verification</x:v>
      </x:c>
      <x:c r="E1033" s="15" t="str">
        <x:v>Risk / Safety</x:v>
      </x:c>
      <x:c r="F1033" s="15" t="str">
        <x:v>Verify receipts for Risk / Safety — GammaSprite</x:v>
      </x:c>
      <x:c r="G1033" s="15" t="str">
        <x:v>Gamma/deck extraction / slide lineage</x:v>
      </x:c>
      <x:c r="H1033" s="15" t="str">
        <x:v>source path + receipt + raw/export status + claim/edge/risk delta</x:v>
      </x:c>
      <x:c r="I1033" s="15" t="str">
        <x:v>packet/SWARM-08-H02-S12</x:v>
      </x:c>
      <x:c r="J1033" s="15" t="str">
        <x:v>TODO</x:v>
      </x:c>
      <x:c r="K1033" s="15" t="str">
        <x:v>P2</x:v>
      </x:c>
      <x:c r="L1033" s="15" t="str">
        <x:v>Done only when evidence is logged, contradiction search is noted, and boundary stamp remains non-canon unless ratified</x:v>
      </x:c>
      <x:c r="M1033" s="15" t="str">
        <x:v>candidate / staging-only / not canon / not deployed / authority none</x:v>
      </x:c>
      <x:c r="N1033" s="15" t="str">
        <x:v>Dispatch to GammaSprite: complete Receipt Verification x Risk / Safety; return deltas only, receipts required.</x:v>
      </x:c>
      <x:c r="O1033" s="15" t="str">
        <x:v>AF-KG-H02-S12</x:v>
      </x:c>
      <x:c r="P1033" s="15" t="str">
        <x:v>Unverified</x:v>
      </x:c>
      <x:c r="Q1033" s="15" t="str">
        <x:v>Not checked</x:v>
      </x:c>
      <x:c r="R1033" s="15" t="str"/>
      <x:c r="S1033" s="15" t="str"/>
      <x:c r="T1033" s="15" t="str">
        <x:v>Log first source path or blocker</x:v>
      </x:c>
      <x:c r="U1033" s="12" t="str">
        <x:f>IF(OR(P1033="Unverified",Q1033="Not checked"),"BLOCKED_PENDING_RECEIPT","READY_FOR_REVIEW")</x:f>
        <x:v>BLOCKED_PENDING_RECEIPT</x:v>
      </x:c>
      <x:c r="V1033" s="12" t="str">
        <x:f>IF(J1033="DONE","RETURNED",IF(U1033="BLOCKED_PENDING_RECEIPT","SOURCE_TOUCH_REQUIRED","IN_PROGRESS"))</x:f>
        <x:v>SOURCE_TOUCH_REQUIRED</x:v>
      </x:c>
      <x:c r="W1033" s="12" t="str">
        <x:f>IF(P1033="Unverified","missing_receipt","receipt_logged")</x:f>
        <x:v>missing_receipt</x:v>
      </x:c>
      <x:c r="X1033" s="12" t="str">
        <x:f>IF(Q1033="Not checked","raw_status_missing","raw_status_logged")</x:f>
        <x:v>raw_status_missing</x:v>
      </x:c>
      <x:c r="Y1033" s="12" t="str">
        <x:f>IF(U1033="BLOCKED_PENDING_RECEIPT","Log source path or blocker; do not promote","Route to review lane")</x:f>
        <x:v>Log source path or blocker; do not promote</x:v>
      </x:c>
      <x:c r="Z1033" s="12" t="str">
        <x:f>IF(K1033="P0","Primary seat + Hashlight/Lucerna","Seat lane")</x:f>
        <x:v>Seat lane</x:v>
      </x:c>
      <x:c r="AA1033" s="12" t="str">
        <x:f>IF(R1033="","no_claim_delta","claim_delta_present")</x:f>
        <x:v>no_claim_delta</x:v>
      </x:c>
      <x:c r="AB1033" s="12" t="str">
        <x:f>IF(S1033="","no_contradiction_delta","contradiction_delta_present")</x:f>
        <x:v>no_contradiction_delta</x:v>
      </x:c>
      <x:c r="AC1033" s="12" t="str">
        <x:f>IF(OR(ISNUMBER(SEARCH("hacker",LOWER(F1033&amp;" "&amp;H1033&amp;" "&amp;I1033&amp;" "&amp;M1033&amp;" "&amp;N1033&amp;" "&amp;T1033))),ISNUMBER(SEARCH("hacking",LOWER(F1033&amp;" "&amp;H1033&amp;" "&amp;I1033&amp;" "&amp;M1033&amp;" "&amp;N1033&amp;" "&amp;T1033))),ISNUMBER(SEARCH("bank",LOWER(F1033&amp;" "&amp;H1033&amp;" "&amp;I1033&amp;" "&amp;M1033&amp;" "&amp;N1033&amp;" "&amp;T1033))),ISNUMBER(SEARCH("banking",LOWER(F1033&amp;" "&amp;H1033&amp;" "&amp;I1033&amp;" "&amp;M1033&amp;" "&amp;N1033&amp;" "&amp;T1033)))),"PRIVATE_QUARANTINE",IF(OR(ISNUMBER(SEARCH("treasury",LOWER(F1033&amp;" "&amp;H1033&amp;" "&amp;I1033&amp;" "&amp;M1033&amp;" "&amp;N1033&amp;" "&amp;T1033))),ISNUMBER(SEARCH("debt",LOWER(F1033&amp;" "&amp;H1033&amp;" "&amp;I1033&amp;" "&amp;M1033&amp;" "&amp;N1033&amp;" "&amp;T1033))),ISNUMBER(SEARCH("bond",LOWER(F1033&amp;" "&amp;H1033&amp;" "&amp;I1033&amp;" "&amp;M1033&amp;" "&amp;N1033&amp;" "&amp;T1033))),ISNUMBER(SEARCH("transaction",LOWER(F1033&amp;" "&amp;H1033&amp;" "&amp;I1033&amp;" "&amp;M1033&amp;" "&amp;N1033&amp;" "&amp;T1033)))),"PRIVATE_REVIEW","PUBLIC_CANDIDATE"))</x:f>
        <x:v>PUBLIC_CANDIDATE</x:v>
      </x:c>
      <x:c r="AD1033" s="12" t="str">
        <x:f>IF(AC1033="PRIVATE_QUARANTINE","hacker_or_bank_trigger",IF(AC1033="PRIVATE_REVIEW","finance_risk_trigger","none"))</x:f>
        <x:v>none</x:v>
      </x:c>
      <x:c r="AE1033" s="12" t="str">
        <x:f>IF(AC1033="PUBLIC_CANDIDATE","prepare_public_github_candidate",IF(AC1033="PRIVATE_REVIEW","hold_for_private_review","quarantine_private_do_not_publish"))</x:f>
        <x:v>prepare_public_github_candidate</x:v>
      </x:c>
      <x:c r="AF1033" s="12" t="str">
        <x:f>IF(AC1033="PUBLIC_CANDIDATE","TIDELOCK + Lucerna",IF(AC1033="PRIVATE_REVIEW","AtlasBrain + Lucerna","TIDELOCK + Lucerna + Human-root"))</x:f>
        <x:v>TIDELOCK + Lucerna</x:v>
      </x:c>
      <x:c r="AG1033" s="12" t="str">
        <x:f>IF(AND(AC1033="PUBLIC_CANDIDATE",U1033&lt;&gt;"BLOCKED_PENDING_RECEIPT"),"READY_AFTER_RECEIPT","NOT_READY")</x:f>
        <x:v>NOT_READY</x:v>
      </x:c>
      <x:c r="AH1033" s="12" t="str">
        <x:f>IF(AC1033="PUBLIC_CANDIDATE","none",AD1033)</x:f>
        <x:v>none</x:v>
      </x:c>
      <x:c r="AI1033" s="12" t="str">
        <x:f>IF(AC1033="PUBLIC_CANDIDATE","archive/public_candidates/"&amp;A1033,"private_quarantine/"&amp;A1033)</x:f>
        <x:v>archive/public_candidates/SWARM-08-H02-S12</x:v>
      </x:c>
      <x:c r="AJ1033" s="12" t="str">
        <x:f>IF(AC1033="PUBLIC_CANDIDATE","public by default; still not canon","private/hold; do not publish")</x:f>
        <x:v>public by default; still not canon</x:v>
      </x:c>
      <x:c r="AK1033" s="12" t="str">
        <x:f>IF(AE1033="prepare_public_github_candidate","add receipt/status then mirror","resolve blocker before any public GitHub action")</x:f>
        <x:v>add receipt/status then mirror</x:v>
      </x:c>
    </x:row>
    <x:row r="1034">
      <x:c r="A1034" s="15" t="str">
        <x:v>SWARM-08-H03-S01</x:v>
      </x:c>
      <x:c r="B1034" s="15" t="str">
        <x:v>GammaSprite</x:v>
      </x:c>
      <x:c r="C1034" s="15" t="str">
        <x:v>Deck surface mapper</x:v>
      </x:c>
      <x:c r="D1034" s="15" t="str">
        <x:v>Raw Export Recovery</x:v>
      </x:c>
      <x:c r="E1034" s="15" t="str">
        <x:v>Notion</x:v>
      </x:c>
      <x:c r="F1034" s="15" t="str">
        <x:v>Recover raw exports for Notion — GammaSprite</x:v>
      </x:c>
      <x:c r="G1034" s="15" t="str">
        <x:v>Gamma/deck extraction / slide lineage</x:v>
      </x:c>
      <x:c r="H1034" s="15" t="str">
        <x:v>source path + receipt + raw/export status + claim/edge/risk delta</x:v>
      </x:c>
      <x:c r="I1034" s="15" t="str">
        <x:v>packet/SWARM-08-H03-S01</x:v>
      </x:c>
      <x:c r="J1034" s="15" t="str">
        <x:v>TODO</x:v>
      </x:c>
      <x:c r="K1034" s="15" t="str">
        <x:v>P0</x:v>
      </x:c>
      <x:c r="L1034" s="15" t="str">
        <x:v>Done only when evidence is logged, contradiction search is noted, and boundary stamp remains non-canon unless ratified</x:v>
      </x:c>
      <x:c r="M1034" s="15" t="str">
        <x:v>candidate / staging-only / not canon / not deployed / authority none</x:v>
      </x:c>
      <x:c r="N1034" s="15" t="str">
        <x:v>Dispatch to GammaSprite: complete Raw Export Recovery x Notion; return deltas only, receipts required.</x:v>
      </x:c>
      <x:c r="O1034" s="15" t="str">
        <x:v>AF-KG-H03-S01</x:v>
      </x:c>
      <x:c r="P1034" s="15" t="str">
        <x:v>Unverified</x:v>
      </x:c>
      <x:c r="Q1034" s="15" t="str">
        <x:v>Not checked</x:v>
      </x:c>
      <x:c r="R1034" s="15" t="str"/>
      <x:c r="S1034" s="15" t="str"/>
      <x:c r="T1034" s="15" t="str">
        <x:v>Log first source path or blocker</x:v>
      </x:c>
      <x:c r="U1034" s="12" t="str">
        <x:f>IF(OR(P1034="Unverified",Q1034="Not checked"),"BLOCKED_PENDING_RECEIPT","READY_FOR_REVIEW")</x:f>
        <x:v>BLOCKED_PENDING_RECEIPT</x:v>
      </x:c>
      <x:c r="V1034" s="12" t="str">
        <x:f>IF(J1034="DONE","RETURNED",IF(U1034="BLOCKED_PENDING_RECEIPT","SOURCE_TOUCH_REQUIRED","IN_PROGRESS"))</x:f>
        <x:v>SOURCE_TOUCH_REQUIRED</x:v>
      </x:c>
      <x:c r="W1034" s="12" t="str">
        <x:f>IF(P1034="Unverified","missing_receipt","receipt_logged")</x:f>
        <x:v>missing_receipt</x:v>
      </x:c>
      <x:c r="X1034" s="12" t="str">
        <x:f>IF(Q1034="Not checked","raw_status_missing","raw_status_logged")</x:f>
        <x:v>raw_status_missing</x:v>
      </x:c>
      <x:c r="Y1034" s="12" t="str">
        <x:f>IF(U1034="BLOCKED_PENDING_RECEIPT","Log source path or blocker; do not promote","Route to review lane")</x:f>
        <x:v>Log source path or blocker; do not promote</x:v>
      </x:c>
      <x:c r="Z1034" s="12" t="str">
        <x:f>IF(K1034="P0","Primary seat + Hashlight/Lucerna","Seat lane")</x:f>
        <x:v>Primary seat + Hashlight/Lucerna</x:v>
      </x:c>
      <x:c r="AA1034" s="12" t="str">
        <x:f>IF(R1034="","no_claim_delta","claim_delta_present")</x:f>
        <x:v>no_claim_delta</x:v>
      </x:c>
      <x:c r="AB1034" s="12" t="str">
        <x:f>IF(S1034="","no_contradiction_delta","contradiction_delta_present")</x:f>
        <x:v>no_contradiction_delta</x:v>
      </x:c>
      <x:c r="AC1034" s="12" t="str">
        <x:f>IF(OR(ISNUMBER(SEARCH("hacker",LOWER(F1034&amp;" "&amp;H1034&amp;" "&amp;I1034&amp;" "&amp;M1034&amp;" "&amp;N1034&amp;" "&amp;T1034))),ISNUMBER(SEARCH("hacking",LOWER(F1034&amp;" "&amp;H1034&amp;" "&amp;I1034&amp;" "&amp;M1034&amp;" "&amp;N1034&amp;" "&amp;T1034))),ISNUMBER(SEARCH("bank",LOWER(F1034&amp;" "&amp;H1034&amp;" "&amp;I1034&amp;" "&amp;M1034&amp;" "&amp;N1034&amp;" "&amp;T1034))),ISNUMBER(SEARCH("banking",LOWER(F1034&amp;" "&amp;H1034&amp;" "&amp;I1034&amp;" "&amp;M1034&amp;" "&amp;N1034&amp;" "&amp;T1034)))),"PRIVATE_QUARANTINE",IF(OR(ISNUMBER(SEARCH("treasury",LOWER(F1034&amp;" "&amp;H1034&amp;" "&amp;I1034&amp;" "&amp;M1034&amp;" "&amp;N1034&amp;" "&amp;T1034))),ISNUMBER(SEARCH("debt",LOWER(F1034&amp;" "&amp;H1034&amp;" "&amp;I1034&amp;" "&amp;M1034&amp;" "&amp;N1034&amp;" "&amp;T1034))),ISNUMBER(SEARCH("bond",LOWER(F1034&amp;" "&amp;H1034&amp;" "&amp;I1034&amp;" "&amp;M1034&amp;" "&amp;N1034&amp;" "&amp;T1034))),ISNUMBER(SEARCH("transaction",LOWER(F1034&amp;" "&amp;H1034&amp;" "&amp;I1034&amp;" "&amp;M1034&amp;" "&amp;N1034&amp;" "&amp;T1034)))),"PRIVATE_REVIEW","PUBLIC_CANDIDATE"))</x:f>
        <x:v>PUBLIC_CANDIDATE</x:v>
      </x:c>
      <x:c r="AD1034" s="12" t="str">
        <x:f>IF(AC1034="PRIVATE_QUARANTINE","hacker_or_bank_trigger",IF(AC1034="PRIVATE_REVIEW","finance_risk_trigger","none"))</x:f>
        <x:v>none</x:v>
      </x:c>
      <x:c r="AE1034" s="12" t="str">
        <x:f>IF(AC1034="PUBLIC_CANDIDATE","prepare_public_github_candidate",IF(AC1034="PRIVATE_REVIEW","hold_for_private_review","quarantine_private_do_not_publish"))</x:f>
        <x:v>prepare_public_github_candidate</x:v>
      </x:c>
      <x:c r="AF1034" s="12" t="str">
        <x:f>IF(AC1034="PUBLIC_CANDIDATE","TIDELOCK + Lucerna",IF(AC1034="PRIVATE_REVIEW","AtlasBrain + Lucerna","TIDELOCK + Lucerna + Human-root"))</x:f>
        <x:v>TIDELOCK + Lucerna</x:v>
      </x:c>
      <x:c r="AG1034" s="12" t="str">
        <x:f>IF(AND(AC1034="PUBLIC_CANDIDATE",U1034&lt;&gt;"BLOCKED_PENDING_RECEIPT"),"READY_AFTER_RECEIPT","NOT_READY")</x:f>
        <x:v>NOT_READY</x:v>
      </x:c>
      <x:c r="AH1034" s="12" t="str">
        <x:f>IF(AC1034="PUBLIC_CANDIDATE","none",AD1034)</x:f>
        <x:v>none</x:v>
      </x:c>
      <x:c r="AI1034" s="12" t="str">
        <x:f>IF(AC1034="PUBLIC_CANDIDATE","archive/public_candidates/"&amp;A1034,"private_quarantine/"&amp;A1034)</x:f>
        <x:v>archive/public_candidates/SWARM-08-H03-S01</x:v>
      </x:c>
      <x:c r="AJ1034" s="12" t="str">
        <x:f>IF(AC1034="PUBLIC_CANDIDATE","public by default; still not canon","private/hold; do not publish")</x:f>
        <x:v>public by default; still not canon</x:v>
      </x:c>
      <x:c r="AK1034" s="12" t="str">
        <x:f>IF(AE1034="prepare_public_github_candidate","add receipt/status then mirror","resolve blocker before any public GitHub action")</x:f>
        <x:v>add receipt/status then mirror</x:v>
      </x:c>
    </x:row>
    <x:row r="1035">
      <x:c r="A1035" s="15" t="str">
        <x:v>SWARM-08-H03-S02</x:v>
      </x:c>
      <x:c r="B1035" s="15" t="str">
        <x:v>GammaSprite</x:v>
      </x:c>
      <x:c r="C1035" s="15" t="str">
        <x:v>Deck surface mapper</x:v>
      </x:c>
      <x:c r="D1035" s="15" t="str">
        <x:v>Raw Export Recovery</x:v>
      </x:c>
      <x:c r="E1035" s="15" t="str">
        <x:v>Drive</x:v>
      </x:c>
      <x:c r="F1035" s="15" t="str">
        <x:v>Recover raw exports for Drive — GammaSprite</x:v>
      </x:c>
      <x:c r="G1035" s="15" t="str">
        <x:v>Gamma/deck extraction / slide lineage</x:v>
      </x:c>
      <x:c r="H1035" s="15" t="str">
        <x:v>source path + receipt + raw/export status + claim/edge/risk delta</x:v>
      </x:c>
      <x:c r="I1035" s="15" t="str">
        <x:v>packet/SWARM-08-H03-S02</x:v>
      </x:c>
      <x:c r="J1035" s="15" t="str">
        <x:v>TODO</x:v>
      </x:c>
      <x:c r="K1035" s="15" t="str">
        <x:v>P0</x:v>
      </x:c>
      <x:c r="L1035" s="15" t="str">
        <x:v>Done only when evidence is logged, contradiction search is noted, and boundary stamp remains non-canon unless ratified</x:v>
      </x:c>
      <x:c r="M1035" s="15" t="str">
        <x:v>candidate / staging-only / not canon / not deployed / authority none</x:v>
      </x:c>
      <x:c r="N1035" s="15" t="str">
        <x:v>Dispatch to GammaSprite: complete Raw Export Recovery x Drive; return deltas only, receipts required.</x:v>
      </x:c>
      <x:c r="O1035" s="15" t="str">
        <x:v>AF-KG-H03-S02</x:v>
      </x:c>
      <x:c r="P1035" s="15" t="str">
        <x:v>Unverified</x:v>
      </x:c>
      <x:c r="Q1035" s="15" t="str">
        <x:v>Not checked</x:v>
      </x:c>
      <x:c r="R1035" s="15" t="str"/>
      <x:c r="S1035" s="15" t="str"/>
      <x:c r="T1035" s="15" t="str">
        <x:v>Log first source path or blocker</x:v>
      </x:c>
      <x:c r="U1035" s="12" t="str">
        <x:f>IF(OR(P1035="Unverified",Q1035="Not checked"),"BLOCKED_PENDING_RECEIPT","READY_FOR_REVIEW")</x:f>
        <x:v>BLOCKED_PENDING_RECEIPT</x:v>
      </x:c>
      <x:c r="V1035" s="12" t="str">
        <x:f>IF(J1035="DONE","RETURNED",IF(U1035="BLOCKED_PENDING_RECEIPT","SOURCE_TOUCH_REQUIRED","IN_PROGRESS"))</x:f>
        <x:v>SOURCE_TOUCH_REQUIRED</x:v>
      </x:c>
      <x:c r="W1035" s="12" t="str">
        <x:f>IF(P1035="Unverified","missing_receipt","receipt_logged")</x:f>
        <x:v>missing_receipt</x:v>
      </x:c>
      <x:c r="X1035" s="12" t="str">
        <x:f>IF(Q1035="Not checked","raw_status_missing","raw_status_logged")</x:f>
        <x:v>raw_status_missing</x:v>
      </x:c>
      <x:c r="Y1035" s="12" t="str">
        <x:f>IF(U1035="BLOCKED_PENDING_RECEIPT","Log source path or blocker; do not promote","Route to review lane")</x:f>
        <x:v>Log source path or blocker; do not promote</x:v>
      </x:c>
      <x:c r="Z1035" s="12" t="str">
        <x:f>IF(K1035="P0","Primary seat + Hashlight/Lucerna","Seat lane")</x:f>
        <x:v>Primary seat + Hashlight/Lucerna</x:v>
      </x:c>
      <x:c r="AA1035" s="12" t="str">
        <x:f>IF(R1035="","no_claim_delta","claim_delta_present")</x:f>
        <x:v>no_claim_delta</x:v>
      </x:c>
      <x:c r="AB1035" s="12" t="str">
        <x:f>IF(S1035="","no_contradiction_delta","contradiction_delta_present")</x:f>
        <x:v>no_contradiction_delta</x:v>
      </x:c>
      <x:c r="AC1035" s="12" t="str">
        <x:f>IF(OR(ISNUMBER(SEARCH("hacker",LOWER(F1035&amp;" "&amp;H1035&amp;" "&amp;I1035&amp;" "&amp;M1035&amp;" "&amp;N1035&amp;" "&amp;T1035))),ISNUMBER(SEARCH("hacking",LOWER(F1035&amp;" "&amp;H1035&amp;" "&amp;I1035&amp;" "&amp;M1035&amp;" "&amp;N1035&amp;" "&amp;T1035))),ISNUMBER(SEARCH("bank",LOWER(F1035&amp;" "&amp;H1035&amp;" "&amp;I1035&amp;" "&amp;M1035&amp;" "&amp;N1035&amp;" "&amp;T1035))),ISNUMBER(SEARCH("banking",LOWER(F1035&amp;" "&amp;H1035&amp;" "&amp;I1035&amp;" "&amp;M1035&amp;" "&amp;N1035&amp;" "&amp;T1035)))),"PRIVATE_QUARANTINE",IF(OR(ISNUMBER(SEARCH("treasury",LOWER(F1035&amp;" "&amp;H1035&amp;" "&amp;I1035&amp;" "&amp;M1035&amp;" "&amp;N1035&amp;" "&amp;T1035))),ISNUMBER(SEARCH("debt",LOWER(F1035&amp;" "&amp;H1035&amp;" "&amp;I1035&amp;" "&amp;M1035&amp;" "&amp;N1035&amp;" "&amp;T1035))),ISNUMBER(SEARCH("bond",LOWER(F1035&amp;" "&amp;H1035&amp;" "&amp;I1035&amp;" "&amp;M1035&amp;" "&amp;N1035&amp;" "&amp;T1035))),ISNUMBER(SEARCH("transaction",LOWER(F1035&amp;" "&amp;H1035&amp;" "&amp;I1035&amp;" "&amp;M1035&amp;" "&amp;N1035&amp;" "&amp;T1035)))),"PRIVATE_REVIEW","PUBLIC_CANDIDATE"))</x:f>
        <x:v>PUBLIC_CANDIDATE</x:v>
      </x:c>
      <x:c r="AD1035" s="12" t="str">
        <x:f>IF(AC1035="PRIVATE_QUARANTINE","hacker_or_bank_trigger",IF(AC1035="PRIVATE_REVIEW","finance_risk_trigger","none"))</x:f>
        <x:v>none</x:v>
      </x:c>
      <x:c r="AE1035" s="12" t="str">
        <x:f>IF(AC1035="PUBLIC_CANDIDATE","prepare_public_github_candidate",IF(AC1035="PRIVATE_REVIEW","hold_for_private_review","quarantine_private_do_not_publish"))</x:f>
        <x:v>prepare_public_github_candidate</x:v>
      </x:c>
      <x:c r="AF1035" s="12" t="str">
        <x:f>IF(AC1035="PUBLIC_CANDIDATE","TIDELOCK + Lucerna",IF(AC1035="PRIVATE_REVIEW","AtlasBrain + Lucerna","TIDELOCK + Lucerna + Human-root"))</x:f>
        <x:v>TIDELOCK + Lucerna</x:v>
      </x:c>
      <x:c r="AG1035" s="12" t="str">
        <x:f>IF(AND(AC1035="PUBLIC_CANDIDATE",U1035&lt;&gt;"BLOCKED_PENDING_RECEIPT"),"READY_AFTER_RECEIPT","NOT_READY")</x:f>
        <x:v>NOT_READY</x:v>
      </x:c>
      <x:c r="AH1035" s="12" t="str">
        <x:f>IF(AC1035="PUBLIC_CANDIDATE","none",AD1035)</x:f>
        <x:v>none</x:v>
      </x:c>
      <x:c r="AI1035" s="12" t="str">
        <x:f>IF(AC1035="PUBLIC_CANDIDATE","archive/public_candidates/"&amp;A1035,"private_quarantine/"&amp;A1035)</x:f>
        <x:v>archive/public_candidates/SWARM-08-H03-S02</x:v>
      </x:c>
      <x:c r="AJ1035" s="12" t="str">
        <x:f>IF(AC1035="PUBLIC_CANDIDATE","public by default; still not canon","private/hold; do not publish")</x:f>
        <x:v>public by default; still not canon</x:v>
      </x:c>
      <x:c r="AK1035" s="12" t="str">
        <x:f>IF(AE1035="prepare_public_github_candidate","add receipt/status then mirror","resolve blocker before any public GitHub action")</x:f>
        <x:v>add receipt/status then mirror</x:v>
      </x:c>
    </x:row>
    <x:row r="1036">
      <x:c r="A1036" s="15" t="str">
        <x:v>SWARM-08-H03-S03</x:v>
      </x:c>
      <x:c r="B1036" s="15" t="str">
        <x:v>GammaSprite</x:v>
      </x:c>
      <x:c r="C1036" s="15" t="str">
        <x:v>Deck surface mapper</x:v>
      </x:c>
      <x:c r="D1036" s="15" t="str">
        <x:v>Raw Export Recovery</x:v>
      </x:c>
      <x:c r="E1036" s="15" t="str">
        <x:v>GitHub</x:v>
      </x:c>
      <x:c r="F1036" s="15" t="str">
        <x:v>Recover raw exports for GitHub — GammaSprite</x:v>
      </x:c>
      <x:c r="G1036" s="15" t="str">
        <x:v>Gamma/deck extraction / slide lineage</x:v>
      </x:c>
      <x:c r="H1036" s="15" t="str">
        <x:v>source path + receipt + raw/export status + claim/edge/risk delta</x:v>
      </x:c>
      <x:c r="I1036" s="15" t="str">
        <x:v>packet/SWARM-08-H03-S03</x:v>
      </x:c>
      <x:c r="J1036" s="15" t="str">
        <x:v>TODO</x:v>
      </x:c>
      <x:c r="K1036" s="15" t="str">
        <x:v>P0</x:v>
      </x:c>
      <x:c r="L1036" s="15" t="str">
        <x:v>Done only when evidence is logged, contradiction search is noted, and boundary stamp remains non-canon unless ratified</x:v>
      </x:c>
      <x:c r="M1036" s="15" t="str">
        <x:v>candidate / staging-only / not canon / not deployed / authority none</x:v>
      </x:c>
      <x:c r="N1036" s="15" t="str">
        <x:v>Dispatch to GammaSprite: complete Raw Export Recovery x GitHub; return deltas only, receipts required.</x:v>
      </x:c>
      <x:c r="O1036" s="15" t="str">
        <x:v>AF-KG-H03-S03</x:v>
      </x:c>
      <x:c r="P1036" s="15" t="str">
        <x:v>Unverified</x:v>
      </x:c>
      <x:c r="Q1036" s="15" t="str">
        <x:v>Not checked</x:v>
      </x:c>
      <x:c r="R1036" s="15" t="str"/>
      <x:c r="S1036" s="15" t="str"/>
      <x:c r="T1036" s="15" t="str">
        <x:v>Log first source path or blocker</x:v>
      </x:c>
      <x:c r="U1036" s="12" t="str">
        <x:f>IF(OR(P1036="Unverified",Q1036="Not checked"),"BLOCKED_PENDING_RECEIPT","READY_FOR_REVIEW")</x:f>
        <x:v>BLOCKED_PENDING_RECEIPT</x:v>
      </x:c>
      <x:c r="V1036" s="12" t="str">
        <x:f>IF(J1036="DONE","RETURNED",IF(U1036="BLOCKED_PENDING_RECEIPT","SOURCE_TOUCH_REQUIRED","IN_PROGRESS"))</x:f>
        <x:v>SOURCE_TOUCH_REQUIRED</x:v>
      </x:c>
      <x:c r="W1036" s="12" t="str">
        <x:f>IF(P1036="Unverified","missing_receipt","receipt_logged")</x:f>
        <x:v>missing_receipt</x:v>
      </x:c>
      <x:c r="X1036" s="12" t="str">
        <x:f>IF(Q1036="Not checked","raw_status_missing","raw_status_logged")</x:f>
        <x:v>raw_status_missing</x:v>
      </x:c>
      <x:c r="Y1036" s="12" t="str">
        <x:f>IF(U1036="BLOCKED_PENDING_RECEIPT","Log source path or blocker; do not promote","Route to review lane")</x:f>
        <x:v>Log source path or blocker; do not promote</x:v>
      </x:c>
      <x:c r="Z1036" s="12" t="str">
        <x:f>IF(K1036="P0","Primary seat + Hashlight/Lucerna","Seat lane")</x:f>
        <x:v>Primary seat + Hashlight/Lucerna</x:v>
      </x:c>
      <x:c r="AA1036" s="12" t="str">
        <x:f>IF(R1036="","no_claim_delta","claim_delta_present")</x:f>
        <x:v>no_claim_delta</x:v>
      </x:c>
      <x:c r="AB1036" s="12" t="str">
        <x:f>IF(S1036="","no_contradiction_delta","contradiction_delta_present")</x:f>
        <x:v>no_contradiction_delta</x:v>
      </x:c>
      <x:c r="AC1036" s="12" t="str">
        <x:f>IF(OR(ISNUMBER(SEARCH("hacker",LOWER(F1036&amp;" "&amp;H1036&amp;" "&amp;I1036&amp;" "&amp;M1036&amp;" "&amp;N1036&amp;" "&amp;T1036))),ISNUMBER(SEARCH("hacking",LOWER(F1036&amp;" "&amp;H1036&amp;" "&amp;I1036&amp;" "&amp;M1036&amp;" "&amp;N1036&amp;" "&amp;T1036))),ISNUMBER(SEARCH("bank",LOWER(F1036&amp;" "&amp;H1036&amp;" "&amp;I1036&amp;" "&amp;M1036&amp;" "&amp;N1036&amp;" "&amp;T1036))),ISNUMBER(SEARCH("banking",LOWER(F1036&amp;" "&amp;H1036&amp;" "&amp;I1036&amp;" "&amp;M1036&amp;" "&amp;N1036&amp;" "&amp;T1036)))),"PRIVATE_QUARANTINE",IF(OR(ISNUMBER(SEARCH("treasury",LOWER(F1036&amp;" "&amp;H1036&amp;" "&amp;I1036&amp;" "&amp;M1036&amp;" "&amp;N1036&amp;" "&amp;T1036))),ISNUMBER(SEARCH("debt",LOWER(F1036&amp;" "&amp;H1036&amp;" "&amp;I1036&amp;" "&amp;M1036&amp;" "&amp;N1036&amp;" "&amp;T1036))),ISNUMBER(SEARCH("bond",LOWER(F1036&amp;" "&amp;H1036&amp;" "&amp;I1036&amp;" "&amp;M1036&amp;" "&amp;N1036&amp;" "&amp;T1036))),ISNUMBER(SEARCH("transaction",LOWER(F1036&amp;" "&amp;H1036&amp;" "&amp;I1036&amp;" "&amp;M1036&amp;" "&amp;N1036&amp;" "&amp;T1036)))),"PRIVATE_REVIEW","PUBLIC_CANDIDATE"))</x:f>
        <x:v>PUBLIC_CANDIDATE</x:v>
      </x:c>
      <x:c r="AD1036" s="12" t="str">
        <x:f>IF(AC1036="PRIVATE_QUARANTINE","hacker_or_bank_trigger",IF(AC1036="PRIVATE_REVIEW","finance_risk_trigger","none"))</x:f>
        <x:v>none</x:v>
      </x:c>
      <x:c r="AE1036" s="12" t="str">
        <x:f>IF(AC1036="PUBLIC_CANDIDATE","prepare_public_github_candidate",IF(AC1036="PRIVATE_REVIEW","hold_for_private_review","quarantine_private_do_not_publish"))</x:f>
        <x:v>prepare_public_github_candidate</x:v>
      </x:c>
      <x:c r="AF1036" s="12" t="str">
        <x:f>IF(AC1036="PUBLIC_CANDIDATE","TIDELOCK + Lucerna",IF(AC1036="PRIVATE_REVIEW","AtlasBrain + Lucerna","TIDELOCK + Lucerna + Human-root"))</x:f>
        <x:v>TIDELOCK + Lucerna</x:v>
      </x:c>
      <x:c r="AG1036" s="12" t="str">
        <x:f>IF(AND(AC1036="PUBLIC_CANDIDATE",U1036&lt;&gt;"BLOCKED_PENDING_RECEIPT"),"READY_AFTER_RECEIPT","NOT_READY")</x:f>
        <x:v>NOT_READY</x:v>
      </x:c>
      <x:c r="AH1036" s="12" t="str">
        <x:f>IF(AC1036="PUBLIC_CANDIDATE","none",AD1036)</x:f>
        <x:v>none</x:v>
      </x:c>
      <x:c r="AI1036" s="12" t="str">
        <x:f>IF(AC1036="PUBLIC_CANDIDATE","archive/public_candidates/"&amp;A1036,"private_quarantine/"&amp;A1036)</x:f>
        <x:v>archive/public_candidates/SWARM-08-H03-S03</x:v>
      </x:c>
      <x:c r="AJ1036" s="12" t="str">
        <x:f>IF(AC1036="PUBLIC_CANDIDATE","public by default; still not canon","private/hold; do not publish")</x:f>
        <x:v>public by default; still not canon</x:v>
      </x:c>
      <x:c r="AK1036" s="12" t="str">
        <x:f>IF(AE1036="prepare_public_github_candidate","add receipt/status then mirror","resolve blocker before any public GitHub action")</x:f>
        <x:v>add receipt/status then mirror</x:v>
      </x:c>
    </x:row>
    <x:row r="1037">
      <x:c r="A1037" s="15" t="str">
        <x:v>SWARM-08-H03-S04</x:v>
      </x:c>
      <x:c r="B1037" s="15" t="str">
        <x:v>GammaSprite</x:v>
      </x:c>
      <x:c r="C1037" s="15" t="str">
        <x:v>Deck surface mapper</x:v>
      </x:c>
      <x:c r="D1037" s="15" t="str">
        <x:v>Raw Export Recovery</x:v>
      </x:c>
      <x:c r="E1037" s="15" t="str">
        <x:v>Gamma</x:v>
      </x:c>
      <x:c r="F1037" s="15" t="str">
        <x:v>Recover raw exports for Gamma — GammaSprite</x:v>
      </x:c>
      <x:c r="G1037" s="15" t="str">
        <x:v>Gamma/deck extraction / slide lineage</x:v>
      </x:c>
      <x:c r="H1037" s="15" t="str">
        <x:v>source path + receipt + raw/export status + claim/edge/risk delta</x:v>
      </x:c>
      <x:c r="I1037" s="15" t="str">
        <x:v>packet/SWARM-08-H03-S04</x:v>
      </x:c>
      <x:c r="J1037" s="15" t="str">
        <x:v>TODO</x:v>
      </x:c>
      <x:c r="K1037" s="15" t="str">
        <x:v>P1</x:v>
      </x:c>
      <x:c r="L1037" s="15" t="str">
        <x:v>Done only when evidence is logged, contradiction search is noted, and boundary stamp remains non-canon unless ratified</x:v>
      </x:c>
      <x:c r="M1037" s="15" t="str">
        <x:v>candidate / staging-only / not canon / not deployed / authority none</x:v>
      </x:c>
      <x:c r="N1037" s="15" t="str">
        <x:v>Dispatch to GammaSprite: complete Raw Export Recovery x Gamma; return deltas only, receipts required.</x:v>
      </x:c>
      <x:c r="O1037" s="15" t="str">
        <x:v>AF-KG-H03-S04</x:v>
      </x:c>
      <x:c r="P1037" s="15" t="str">
        <x:v>Unverified</x:v>
      </x:c>
      <x:c r="Q1037" s="15" t="str">
        <x:v>Not checked</x:v>
      </x:c>
      <x:c r="R1037" s="15" t="str"/>
      <x:c r="S1037" s="15" t="str"/>
      <x:c r="T1037" s="15" t="str">
        <x:v>Log first source path or blocker</x:v>
      </x:c>
      <x:c r="U1037" s="12" t="str">
        <x:f>IF(OR(P1037="Unverified",Q1037="Not checked"),"BLOCKED_PENDING_RECEIPT","READY_FOR_REVIEW")</x:f>
        <x:v>BLOCKED_PENDING_RECEIPT</x:v>
      </x:c>
      <x:c r="V1037" s="12" t="str">
        <x:f>IF(J1037="DONE","RETURNED",IF(U1037="BLOCKED_PENDING_RECEIPT","SOURCE_TOUCH_REQUIRED","IN_PROGRESS"))</x:f>
        <x:v>SOURCE_TOUCH_REQUIRED</x:v>
      </x:c>
      <x:c r="W1037" s="12" t="str">
        <x:f>IF(P1037="Unverified","missing_receipt","receipt_logged")</x:f>
        <x:v>missing_receipt</x:v>
      </x:c>
      <x:c r="X1037" s="12" t="str">
        <x:f>IF(Q1037="Not checked","raw_status_missing","raw_status_logged")</x:f>
        <x:v>raw_status_missing</x:v>
      </x:c>
      <x:c r="Y1037" s="12" t="str">
        <x:f>IF(U1037="BLOCKED_PENDING_RECEIPT","Log source path or blocker; do not promote","Route to review lane")</x:f>
        <x:v>Log source path or blocker; do not promote</x:v>
      </x:c>
      <x:c r="Z1037" s="12" t="str">
        <x:f>IF(K1037="P0","Primary seat + Hashlight/Lucerna","Seat lane")</x:f>
        <x:v>Seat lane</x:v>
      </x:c>
      <x:c r="AA1037" s="12" t="str">
        <x:f>IF(R1037="","no_claim_delta","claim_delta_present")</x:f>
        <x:v>no_claim_delta</x:v>
      </x:c>
      <x:c r="AB1037" s="12" t="str">
        <x:f>IF(S1037="","no_contradiction_delta","contradiction_delta_present")</x:f>
        <x:v>no_contradiction_delta</x:v>
      </x:c>
      <x:c r="AC1037" s="12" t="str">
        <x:f>IF(OR(ISNUMBER(SEARCH("hacker",LOWER(F1037&amp;" "&amp;H1037&amp;" "&amp;I1037&amp;" "&amp;M1037&amp;" "&amp;N1037&amp;" "&amp;T1037))),ISNUMBER(SEARCH("hacking",LOWER(F1037&amp;" "&amp;H1037&amp;" "&amp;I1037&amp;" "&amp;M1037&amp;" "&amp;N1037&amp;" "&amp;T1037))),ISNUMBER(SEARCH("bank",LOWER(F1037&amp;" "&amp;H1037&amp;" "&amp;I1037&amp;" "&amp;M1037&amp;" "&amp;N1037&amp;" "&amp;T1037))),ISNUMBER(SEARCH("banking",LOWER(F1037&amp;" "&amp;H1037&amp;" "&amp;I1037&amp;" "&amp;M1037&amp;" "&amp;N1037&amp;" "&amp;T1037)))),"PRIVATE_QUARANTINE",IF(OR(ISNUMBER(SEARCH("treasury",LOWER(F1037&amp;" "&amp;H1037&amp;" "&amp;I1037&amp;" "&amp;M1037&amp;" "&amp;N1037&amp;" "&amp;T1037))),ISNUMBER(SEARCH("debt",LOWER(F1037&amp;" "&amp;H1037&amp;" "&amp;I1037&amp;" "&amp;M1037&amp;" "&amp;N1037&amp;" "&amp;T1037))),ISNUMBER(SEARCH("bond",LOWER(F1037&amp;" "&amp;H1037&amp;" "&amp;I1037&amp;" "&amp;M1037&amp;" "&amp;N1037&amp;" "&amp;T1037))),ISNUMBER(SEARCH("transaction",LOWER(F1037&amp;" "&amp;H1037&amp;" "&amp;I1037&amp;" "&amp;M1037&amp;" "&amp;N1037&amp;" "&amp;T1037)))),"PRIVATE_REVIEW","PUBLIC_CANDIDATE"))</x:f>
        <x:v>PUBLIC_CANDIDATE</x:v>
      </x:c>
      <x:c r="AD1037" s="12" t="str">
        <x:f>IF(AC1037="PRIVATE_QUARANTINE","hacker_or_bank_trigger",IF(AC1037="PRIVATE_REVIEW","finance_risk_trigger","none"))</x:f>
        <x:v>none</x:v>
      </x:c>
      <x:c r="AE1037" s="12" t="str">
        <x:f>IF(AC1037="PUBLIC_CANDIDATE","prepare_public_github_candidate",IF(AC1037="PRIVATE_REVIEW","hold_for_private_review","quarantine_private_do_not_publish"))</x:f>
        <x:v>prepare_public_github_candidate</x:v>
      </x:c>
      <x:c r="AF1037" s="12" t="str">
        <x:f>IF(AC1037="PUBLIC_CANDIDATE","TIDELOCK + Lucerna",IF(AC1037="PRIVATE_REVIEW","AtlasBrain + Lucerna","TIDELOCK + Lucerna + Human-root"))</x:f>
        <x:v>TIDELOCK + Lucerna</x:v>
      </x:c>
      <x:c r="AG1037" s="12" t="str">
        <x:f>IF(AND(AC1037="PUBLIC_CANDIDATE",U1037&lt;&gt;"BLOCKED_PENDING_RECEIPT"),"READY_AFTER_RECEIPT","NOT_READY")</x:f>
        <x:v>NOT_READY</x:v>
      </x:c>
      <x:c r="AH1037" s="12" t="str">
        <x:f>IF(AC1037="PUBLIC_CANDIDATE","none",AD1037)</x:f>
        <x:v>none</x:v>
      </x:c>
      <x:c r="AI1037" s="12" t="str">
        <x:f>IF(AC1037="PUBLIC_CANDIDATE","archive/public_candidates/"&amp;A1037,"private_quarantine/"&amp;A1037)</x:f>
        <x:v>archive/public_candidates/SWARM-08-H03-S04</x:v>
      </x:c>
      <x:c r="AJ1037" s="12" t="str">
        <x:f>IF(AC1037="PUBLIC_CANDIDATE","public by default; still not canon","private/hold; do not publish")</x:f>
        <x:v>public by default; still not canon</x:v>
      </x:c>
      <x:c r="AK1037" s="12" t="str">
        <x:f>IF(AE1037="prepare_public_github_candidate","add receipt/status then mirror","resolve blocker before any public GitHub action")</x:f>
        <x:v>add receipt/status then mirror</x:v>
      </x:c>
    </x:row>
    <x:row r="1038">
      <x:c r="A1038" s="15" t="str">
        <x:v>SWARM-08-H03-S05</x:v>
      </x:c>
      <x:c r="B1038" s="15" t="str">
        <x:v>GammaSprite</x:v>
      </x:c>
      <x:c r="C1038" s="15" t="str">
        <x:v>Deck surface mapper</x:v>
      </x:c>
      <x:c r="D1038" s="15" t="str">
        <x:v>Raw Export Recovery</x:v>
      </x:c>
      <x:c r="E1038" s="15" t="str">
        <x:v>Chat</x:v>
      </x:c>
      <x:c r="F1038" s="15" t="str">
        <x:v>Recover raw exports for Chat — GammaSprite</x:v>
      </x:c>
      <x:c r="G1038" s="15" t="str">
        <x:v>Gamma/deck extraction / slide lineage</x:v>
      </x:c>
      <x:c r="H1038" s="15" t="str">
        <x:v>source path + receipt + raw/export status + claim/edge/risk delta</x:v>
      </x:c>
      <x:c r="I1038" s="15" t="str">
        <x:v>packet/SWARM-08-H03-S05</x:v>
      </x:c>
      <x:c r="J1038" s="15" t="str">
        <x:v>TODO</x:v>
      </x:c>
      <x:c r="K1038" s="15" t="str">
        <x:v>P1</x:v>
      </x:c>
      <x:c r="L1038" s="15" t="str">
        <x:v>Done only when evidence is logged, contradiction search is noted, and boundary stamp remains non-canon unless ratified</x:v>
      </x:c>
      <x:c r="M1038" s="15" t="str">
        <x:v>candidate / staging-only / not canon / not deployed / authority none</x:v>
      </x:c>
      <x:c r="N1038" s="15" t="str">
        <x:v>Dispatch to GammaSprite: complete Raw Export Recovery x Chat; return deltas only, receipts required.</x:v>
      </x:c>
      <x:c r="O1038" s="15" t="str">
        <x:v>AF-KG-H03-S05</x:v>
      </x:c>
      <x:c r="P1038" s="15" t="str">
        <x:v>Unverified</x:v>
      </x:c>
      <x:c r="Q1038" s="15" t="str">
        <x:v>Not checked</x:v>
      </x:c>
      <x:c r="R1038" s="15" t="str"/>
      <x:c r="S1038" s="15" t="str"/>
      <x:c r="T1038" s="15" t="str">
        <x:v>Log first source path or blocker</x:v>
      </x:c>
      <x:c r="U1038" s="12" t="str">
        <x:f>IF(OR(P1038="Unverified",Q1038="Not checked"),"BLOCKED_PENDING_RECEIPT","READY_FOR_REVIEW")</x:f>
        <x:v>BLOCKED_PENDING_RECEIPT</x:v>
      </x:c>
      <x:c r="V1038" s="12" t="str">
        <x:f>IF(J1038="DONE","RETURNED",IF(U1038="BLOCKED_PENDING_RECEIPT","SOURCE_TOUCH_REQUIRED","IN_PROGRESS"))</x:f>
        <x:v>SOURCE_TOUCH_REQUIRED</x:v>
      </x:c>
      <x:c r="W1038" s="12" t="str">
        <x:f>IF(P1038="Unverified","missing_receipt","receipt_logged")</x:f>
        <x:v>missing_receipt</x:v>
      </x:c>
      <x:c r="X1038" s="12" t="str">
        <x:f>IF(Q1038="Not checked","raw_status_missing","raw_status_logged")</x:f>
        <x:v>raw_status_missing</x:v>
      </x:c>
      <x:c r="Y1038" s="12" t="str">
        <x:f>IF(U1038="BLOCKED_PENDING_RECEIPT","Log source path or blocker; do not promote","Route to review lane")</x:f>
        <x:v>Log source path or blocker; do not promote</x:v>
      </x:c>
      <x:c r="Z1038" s="12" t="str">
        <x:f>IF(K1038="P0","Primary seat + Hashlight/Lucerna","Seat lane")</x:f>
        <x:v>Seat lane</x:v>
      </x:c>
      <x:c r="AA1038" s="12" t="str">
        <x:f>IF(R1038="","no_claim_delta","claim_delta_present")</x:f>
        <x:v>no_claim_delta</x:v>
      </x:c>
      <x:c r="AB1038" s="12" t="str">
        <x:f>IF(S1038="","no_contradiction_delta","contradiction_delta_present")</x:f>
        <x:v>no_contradiction_delta</x:v>
      </x:c>
      <x:c r="AC1038" s="12" t="str">
        <x:f>IF(OR(ISNUMBER(SEARCH("hacker",LOWER(F1038&amp;" "&amp;H1038&amp;" "&amp;I1038&amp;" "&amp;M1038&amp;" "&amp;N1038&amp;" "&amp;T1038))),ISNUMBER(SEARCH("hacking",LOWER(F1038&amp;" "&amp;H1038&amp;" "&amp;I1038&amp;" "&amp;M1038&amp;" "&amp;N1038&amp;" "&amp;T1038))),ISNUMBER(SEARCH("bank",LOWER(F1038&amp;" "&amp;H1038&amp;" "&amp;I1038&amp;" "&amp;M1038&amp;" "&amp;N1038&amp;" "&amp;T1038))),ISNUMBER(SEARCH("banking",LOWER(F1038&amp;" "&amp;H1038&amp;" "&amp;I1038&amp;" "&amp;M1038&amp;" "&amp;N1038&amp;" "&amp;T1038)))),"PRIVATE_QUARANTINE",IF(OR(ISNUMBER(SEARCH("treasury",LOWER(F1038&amp;" "&amp;H1038&amp;" "&amp;I1038&amp;" "&amp;M1038&amp;" "&amp;N1038&amp;" "&amp;T1038))),ISNUMBER(SEARCH("debt",LOWER(F1038&amp;" "&amp;H1038&amp;" "&amp;I1038&amp;" "&amp;M1038&amp;" "&amp;N1038&amp;" "&amp;T1038))),ISNUMBER(SEARCH("bond",LOWER(F1038&amp;" "&amp;H1038&amp;" "&amp;I1038&amp;" "&amp;M1038&amp;" "&amp;N1038&amp;" "&amp;T1038))),ISNUMBER(SEARCH("transaction",LOWER(F1038&amp;" "&amp;H1038&amp;" "&amp;I1038&amp;" "&amp;M1038&amp;" "&amp;N1038&amp;" "&amp;T1038)))),"PRIVATE_REVIEW","PUBLIC_CANDIDATE"))</x:f>
        <x:v>PUBLIC_CANDIDATE</x:v>
      </x:c>
      <x:c r="AD1038" s="12" t="str">
        <x:f>IF(AC1038="PRIVATE_QUARANTINE","hacker_or_bank_trigger",IF(AC1038="PRIVATE_REVIEW","finance_risk_trigger","none"))</x:f>
        <x:v>none</x:v>
      </x:c>
      <x:c r="AE1038" s="12" t="str">
        <x:f>IF(AC1038="PUBLIC_CANDIDATE","prepare_public_github_candidate",IF(AC1038="PRIVATE_REVIEW","hold_for_private_review","quarantine_private_do_not_publish"))</x:f>
        <x:v>prepare_public_github_candidate</x:v>
      </x:c>
      <x:c r="AF1038" s="12" t="str">
        <x:f>IF(AC1038="PUBLIC_CANDIDATE","TIDELOCK + Lucerna",IF(AC1038="PRIVATE_REVIEW","AtlasBrain + Lucerna","TIDELOCK + Lucerna + Human-root"))</x:f>
        <x:v>TIDELOCK + Lucerna</x:v>
      </x:c>
      <x:c r="AG1038" s="12" t="str">
        <x:f>IF(AND(AC1038="PUBLIC_CANDIDATE",U1038&lt;&gt;"BLOCKED_PENDING_RECEIPT"),"READY_AFTER_RECEIPT","NOT_READY")</x:f>
        <x:v>NOT_READY</x:v>
      </x:c>
      <x:c r="AH1038" s="12" t="str">
        <x:f>IF(AC1038="PUBLIC_CANDIDATE","none",AD1038)</x:f>
        <x:v>none</x:v>
      </x:c>
      <x:c r="AI1038" s="12" t="str">
        <x:f>IF(AC1038="PUBLIC_CANDIDATE","archive/public_candidates/"&amp;A1038,"private_quarantine/"&amp;A1038)</x:f>
        <x:v>archive/public_candidates/SWARM-08-H03-S05</x:v>
      </x:c>
      <x:c r="AJ1038" s="12" t="str">
        <x:f>IF(AC1038="PUBLIC_CANDIDATE","public by default; still not canon","private/hold; do not publish")</x:f>
        <x:v>public by default; still not canon</x:v>
      </x:c>
      <x:c r="AK1038" s="12" t="str">
        <x:f>IF(AE1038="prepare_public_github_candidate","add receipt/status then mirror","resolve blocker before any public GitHub action")</x:f>
        <x:v>add receipt/status then mirror</x:v>
      </x:c>
    </x:row>
    <x:row r="1039">
      <x:c r="A1039" s="15" t="str">
        <x:v>SWARM-08-H03-S06</x:v>
      </x:c>
      <x:c r="B1039" s="15" t="str">
        <x:v>GammaSprite</x:v>
      </x:c>
      <x:c r="C1039" s="15" t="str">
        <x:v>Deck surface mapper</x:v>
      </x:c>
      <x:c r="D1039" s="15" t="str">
        <x:v>Raw Export Recovery</x:v>
      </x:c>
      <x:c r="E1039" s="15" t="str">
        <x:v>External Web</x:v>
      </x:c>
      <x:c r="F1039" s="15" t="str">
        <x:v>Recover raw exports for External Web — GammaSprite</x:v>
      </x:c>
      <x:c r="G1039" s="15" t="str">
        <x:v>Gamma/deck extraction / slide lineage</x:v>
      </x:c>
      <x:c r="H1039" s="15" t="str">
        <x:v>source path + receipt + raw/export status + claim/edge/risk delta</x:v>
      </x:c>
      <x:c r="I1039" s="15" t="str">
        <x:v>packet/SWARM-08-H03-S06</x:v>
      </x:c>
      <x:c r="J1039" s="15" t="str">
        <x:v>TODO</x:v>
      </x:c>
      <x:c r="K1039" s="15" t="str">
        <x:v>P1</x:v>
      </x:c>
      <x:c r="L1039" s="15" t="str">
        <x:v>Done only when evidence is logged, contradiction search is noted, and boundary stamp remains non-canon unless ratified</x:v>
      </x:c>
      <x:c r="M1039" s="15" t="str">
        <x:v>candidate / staging-only / not canon / not deployed / authority none</x:v>
      </x:c>
      <x:c r="N1039" s="15" t="str">
        <x:v>Dispatch to GammaSprite: complete Raw Export Recovery x External Web; return deltas only, receipts required.</x:v>
      </x:c>
      <x:c r="O1039" s="15" t="str">
        <x:v>AF-KG-H03-S06</x:v>
      </x:c>
      <x:c r="P1039" s="15" t="str">
        <x:v>Unverified</x:v>
      </x:c>
      <x:c r="Q1039" s="15" t="str">
        <x:v>Not checked</x:v>
      </x:c>
      <x:c r="R1039" s="15" t="str"/>
      <x:c r="S1039" s="15" t="str"/>
      <x:c r="T1039" s="15" t="str">
        <x:v>Log first source path or blocker</x:v>
      </x:c>
      <x:c r="U1039" s="12" t="str">
        <x:f>IF(OR(P1039="Unverified",Q1039="Not checked"),"BLOCKED_PENDING_RECEIPT","READY_FOR_REVIEW")</x:f>
        <x:v>BLOCKED_PENDING_RECEIPT</x:v>
      </x:c>
      <x:c r="V1039" s="12" t="str">
        <x:f>IF(J1039="DONE","RETURNED",IF(U1039="BLOCKED_PENDING_RECEIPT","SOURCE_TOUCH_REQUIRED","IN_PROGRESS"))</x:f>
        <x:v>SOURCE_TOUCH_REQUIRED</x:v>
      </x:c>
      <x:c r="W1039" s="12" t="str">
        <x:f>IF(P1039="Unverified","missing_receipt","receipt_logged")</x:f>
        <x:v>missing_receipt</x:v>
      </x:c>
      <x:c r="X1039" s="12" t="str">
        <x:f>IF(Q1039="Not checked","raw_status_missing","raw_status_logged")</x:f>
        <x:v>raw_status_missing</x:v>
      </x:c>
      <x:c r="Y1039" s="12" t="str">
        <x:f>IF(U1039="BLOCKED_PENDING_RECEIPT","Log source path or blocker; do not promote","Route to review lane")</x:f>
        <x:v>Log source path or blocker; do not promote</x:v>
      </x:c>
      <x:c r="Z1039" s="12" t="str">
        <x:f>IF(K1039="P0","Primary seat + Hashlight/Lucerna","Seat lane")</x:f>
        <x:v>Seat lane</x:v>
      </x:c>
      <x:c r="AA1039" s="12" t="str">
        <x:f>IF(R1039="","no_claim_delta","claim_delta_present")</x:f>
        <x:v>no_claim_delta</x:v>
      </x:c>
      <x:c r="AB1039" s="12" t="str">
        <x:f>IF(S1039="","no_contradiction_delta","contradiction_delta_present")</x:f>
        <x:v>no_contradiction_delta</x:v>
      </x:c>
      <x:c r="AC1039" s="12" t="str">
        <x:f>IF(OR(ISNUMBER(SEARCH("hacker",LOWER(F1039&amp;" "&amp;H1039&amp;" "&amp;I1039&amp;" "&amp;M1039&amp;" "&amp;N1039&amp;" "&amp;T1039))),ISNUMBER(SEARCH("hacking",LOWER(F1039&amp;" "&amp;H1039&amp;" "&amp;I1039&amp;" "&amp;M1039&amp;" "&amp;N1039&amp;" "&amp;T1039))),ISNUMBER(SEARCH("bank",LOWER(F1039&amp;" "&amp;H1039&amp;" "&amp;I1039&amp;" "&amp;M1039&amp;" "&amp;N1039&amp;" "&amp;T1039))),ISNUMBER(SEARCH("banking",LOWER(F1039&amp;" "&amp;H1039&amp;" "&amp;I1039&amp;" "&amp;M1039&amp;" "&amp;N1039&amp;" "&amp;T1039)))),"PRIVATE_QUARANTINE",IF(OR(ISNUMBER(SEARCH("treasury",LOWER(F1039&amp;" "&amp;H1039&amp;" "&amp;I1039&amp;" "&amp;M1039&amp;" "&amp;N1039&amp;" "&amp;T1039))),ISNUMBER(SEARCH("debt",LOWER(F1039&amp;" "&amp;H1039&amp;" "&amp;I1039&amp;" "&amp;M1039&amp;" "&amp;N1039&amp;" "&amp;T1039))),ISNUMBER(SEARCH("bond",LOWER(F1039&amp;" "&amp;H1039&amp;" "&amp;I1039&amp;" "&amp;M1039&amp;" "&amp;N1039&amp;" "&amp;T1039))),ISNUMBER(SEARCH("transaction",LOWER(F1039&amp;" "&amp;H1039&amp;" "&amp;I1039&amp;" "&amp;M1039&amp;" "&amp;N1039&amp;" "&amp;T1039)))),"PRIVATE_REVIEW","PUBLIC_CANDIDATE"))</x:f>
        <x:v>PUBLIC_CANDIDATE</x:v>
      </x:c>
      <x:c r="AD1039" s="12" t="str">
        <x:f>IF(AC1039="PRIVATE_QUARANTINE","hacker_or_bank_trigger",IF(AC1039="PRIVATE_REVIEW","finance_risk_trigger","none"))</x:f>
        <x:v>none</x:v>
      </x:c>
      <x:c r="AE1039" s="12" t="str">
        <x:f>IF(AC1039="PUBLIC_CANDIDATE","prepare_public_github_candidate",IF(AC1039="PRIVATE_REVIEW","hold_for_private_review","quarantine_private_do_not_publish"))</x:f>
        <x:v>prepare_public_github_candidate</x:v>
      </x:c>
      <x:c r="AF1039" s="12" t="str">
        <x:f>IF(AC1039="PUBLIC_CANDIDATE","TIDELOCK + Lucerna",IF(AC1039="PRIVATE_REVIEW","AtlasBrain + Lucerna","TIDELOCK + Lucerna + Human-root"))</x:f>
        <x:v>TIDELOCK + Lucerna</x:v>
      </x:c>
      <x:c r="AG1039" s="12" t="str">
        <x:f>IF(AND(AC1039="PUBLIC_CANDIDATE",U1039&lt;&gt;"BLOCKED_PENDING_RECEIPT"),"READY_AFTER_RECEIPT","NOT_READY")</x:f>
        <x:v>NOT_READY</x:v>
      </x:c>
      <x:c r="AH1039" s="12" t="str">
        <x:f>IF(AC1039="PUBLIC_CANDIDATE","none",AD1039)</x:f>
        <x:v>none</x:v>
      </x:c>
      <x:c r="AI1039" s="12" t="str">
        <x:f>IF(AC1039="PUBLIC_CANDIDATE","archive/public_candidates/"&amp;A1039,"private_quarantine/"&amp;A1039)</x:f>
        <x:v>archive/public_candidates/SWARM-08-H03-S06</x:v>
      </x:c>
      <x:c r="AJ1039" s="12" t="str">
        <x:f>IF(AC1039="PUBLIC_CANDIDATE","public by default; still not canon","private/hold; do not publish")</x:f>
        <x:v>public by default; still not canon</x:v>
      </x:c>
      <x:c r="AK1039" s="12" t="str">
        <x:f>IF(AE1039="prepare_public_github_candidate","add receipt/status then mirror","resolve blocker before any public GitHub action")</x:f>
        <x:v>add receipt/status then mirror</x:v>
      </x:c>
    </x:row>
    <x:row r="1040">
      <x:c r="A1040" s="15" t="str">
        <x:v>SWARM-08-H03-S07</x:v>
      </x:c>
      <x:c r="B1040" s="15" t="str">
        <x:v>GammaSprite</x:v>
      </x:c>
      <x:c r="C1040" s="15" t="str">
        <x:v>Deck surface mapper</x:v>
      </x:c>
      <x:c r="D1040" s="15" t="str">
        <x:v>Raw Export Recovery</x:v>
      </x:c>
      <x:c r="E1040" s="15" t="str">
        <x:v>Planetarium</x:v>
      </x:c>
      <x:c r="F1040" s="15" t="str">
        <x:v>Recover raw exports for Planetarium — GammaSprite</x:v>
      </x:c>
      <x:c r="G1040" s="15" t="str">
        <x:v>Gamma/deck extraction / slide lineage</x:v>
      </x:c>
      <x:c r="H1040" s="15" t="str">
        <x:v>source path + receipt + raw/export status + claim/edge/risk delta</x:v>
      </x:c>
      <x:c r="I1040" s="15" t="str">
        <x:v>packet/SWARM-08-H03-S07</x:v>
      </x:c>
      <x:c r="J1040" s="15" t="str">
        <x:v>TODO</x:v>
      </x:c>
      <x:c r="K1040" s="15" t="str">
        <x:v>P1</x:v>
      </x:c>
      <x:c r="L1040" s="15" t="str">
        <x:v>Done only when evidence is logged, contradiction search is noted, and boundary stamp remains non-canon unless ratified</x:v>
      </x:c>
      <x:c r="M1040" s="15" t="str">
        <x:v>candidate / staging-only / not canon / not deployed / authority none</x:v>
      </x:c>
      <x:c r="N1040" s="15" t="str">
        <x:v>Dispatch to GammaSprite: complete Raw Export Recovery x Planetarium; return deltas only, receipts required.</x:v>
      </x:c>
      <x:c r="O1040" s="15" t="str">
        <x:v>AF-KG-H03-S07</x:v>
      </x:c>
      <x:c r="P1040" s="15" t="str">
        <x:v>Unverified</x:v>
      </x:c>
      <x:c r="Q1040" s="15" t="str">
        <x:v>Not checked</x:v>
      </x:c>
      <x:c r="R1040" s="15" t="str"/>
      <x:c r="S1040" s="15" t="str"/>
      <x:c r="T1040" s="15" t="str">
        <x:v>Log first source path or blocker</x:v>
      </x:c>
      <x:c r="U1040" s="12" t="str">
        <x:f>IF(OR(P1040="Unverified",Q1040="Not checked"),"BLOCKED_PENDING_RECEIPT","READY_FOR_REVIEW")</x:f>
        <x:v>BLOCKED_PENDING_RECEIPT</x:v>
      </x:c>
      <x:c r="V1040" s="12" t="str">
        <x:f>IF(J1040="DONE","RETURNED",IF(U1040="BLOCKED_PENDING_RECEIPT","SOURCE_TOUCH_REQUIRED","IN_PROGRESS"))</x:f>
        <x:v>SOURCE_TOUCH_REQUIRED</x:v>
      </x:c>
      <x:c r="W1040" s="12" t="str">
        <x:f>IF(P1040="Unverified","missing_receipt","receipt_logged")</x:f>
        <x:v>missing_receipt</x:v>
      </x:c>
      <x:c r="X1040" s="12" t="str">
        <x:f>IF(Q1040="Not checked","raw_status_missing","raw_status_logged")</x:f>
        <x:v>raw_status_missing</x:v>
      </x:c>
      <x:c r="Y1040" s="12" t="str">
        <x:f>IF(U1040="BLOCKED_PENDING_RECEIPT","Log source path or blocker; do not promote","Route to review lane")</x:f>
        <x:v>Log source path or blocker; do not promote</x:v>
      </x:c>
      <x:c r="Z1040" s="12" t="str">
        <x:f>IF(K1040="P0","Primary seat + Hashlight/Lucerna","Seat lane")</x:f>
        <x:v>Seat lane</x:v>
      </x:c>
      <x:c r="AA1040" s="12" t="str">
        <x:f>IF(R1040="","no_claim_delta","claim_delta_present")</x:f>
        <x:v>no_claim_delta</x:v>
      </x:c>
      <x:c r="AB1040" s="12" t="str">
        <x:f>IF(S1040="","no_contradiction_delta","contradiction_delta_present")</x:f>
        <x:v>no_contradiction_delta</x:v>
      </x:c>
      <x:c r="AC1040" s="12" t="str">
        <x:f>IF(OR(ISNUMBER(SEARCH("hacker",LOWER(F1040&amp;" "&amp;H1040&amp;" "&amp;I1040&amp;" "&amp;M1040&amp;" "&amp;N1040&amp;" "&amp;T1040))),ISNUMBER(SEARCH("hacking",LOWER(F1040&amp;" "&amp;H1040&amp;" "&amp;I1040&amp;" "&amp;M1040&amp;" "&amp;N1040&amp;" "&amp;T1040))),ISNUMBER(SEARCH("bank",LOWER(F1040&amp;" "&amp;H1040&amp;" "&amp;I1040&amp;" "&amp;M1040&amp;" "&amp;N1040&amp;" "&amp;T1040))),ISNUMBER(SEARCH("banking",LOWER(F1040&amp;" "&amp;H1040&amp;" "&amp;I1040&amp;" "&amp;M1040&amp;" "&amp;N1040&amp;" "&amp;T1040)))),"PRIVATE_QUARANTINE",IF(OR(ISNUMBER(SEARCH("treasury",LOWER(F1040&amp;" "&amp;H1040&amp;" "&amp;I1040&amp;" "&amp;M1040&amp;" "&amp;N1040&amp;" "&amp;T1040))),ISNUMBER(SEARCH("debt",LOWER(F1040&amp;" "&amp;H1040&amp;" "&amp;I1040&amp;" "&amp;M1040&amp;" "&amp;N1040&amp;" "&amp;T1040))),ISNUMBER(SEARCH("bond",LOWER(F1040&amp;" "&amp;H1040&amp;" "&amp;I1040&amp;" "&amp;M1040&amp;" "&amp;N1040&amp;" "&amp;T1040))),ISNUMBER(SEARCH("transaction",LOWER(F1040&amp;" "&amp;H1040&amp;" "&amp;I1040&amp;" "&amp;M1040&amp;" "&amp;N1040&amp;" "&amp;T1040)))),"PRIVATE_REVIEW","PUBLIC_CANDIDATE"))</x:f>
        <x:v>PUBLIC_CANDIDATE</x:v>
      </x:c>
      <x:c r="AD1040" s="12" t="str">
        <x:f>IF(AC1040="PRIVATE_QUARANTINE","hacker_or_bank_trigger",IF(AC1040="PRIVATE_REVIEW","finance_risk_trigger","none"))</x:f>
        <x:v>none</x:v>
      </x:c>
      <x:c r="AE1040" s="12" t="str">
        <x:f>IF(AC1040="PUBLIC_CANDIDATE","prepare_public_github_candidate",IF(AC1040="PRIVATE_REVIEW","hold_for_private_review","quarantine_private_do_not_publish"))</x:f>
        <x:v>prepare_public_github_candidate</x:v>
      </x:c>
      <x:c r="AF1040" s="12" t="str">
        <x:f>IF(AC1040="PUBLIC_CANDIDATE","TIDELOCK + Lucerna",IF(AC1040="PRIVATE_REVIEW","AtlasBrain + Lucerna","TIDELOCK + Lucerna + Human-root"))</x:f>
        <x:v>TIDELOCK + Lucerna</x:v>
      </x:c>
      <x:c r="AG1040" s="12" t="str">
        <x:f>IF(AND(AC1040="PUBLIC_CANDIDATE",U1040&lt;&gt;"BLOCKED_PENDING_RECEIPT"),"READY_AFTER_RECEIPT","NOT_READY")</x:f>
        <x:v>NOT_READY</x:v>
      </x:c>
      <x:c r="AH1040" s="12" t="str">
        <x:f>IF(AC1040="PUBLIC_CANDIDATE","none",AD1040)</x:f>
        <x:v>none</x:v>
      </x:c>
      <x:c r="AI1040" s="12" t="str">
        <x:f>IF(AC1040="PUBLIC_CANDIDATE","archive/public_candidates/"&amp;A1040,"private_quarantine/"&amp;A1040)</x:f>
        <x:v>archive/public_candidates/SWARM-08-H03-S07</x:v>
      </x:c>
      <x:c r="AJ1040" s="12" t="str">
        <x:f>IF(AC1040="PUBLIC_CANDIDATE","public by default; still not canon","private/hold; do not publish")</x:f>
        <x:v>public by default; still not canon</x:v>
      </x:c>
      <x:c r="AK1040" s="12" t="str">
        <x:f>IF(AE1040="prepare_public_github_candidate","add receipt/status then mirror","resolve blocker before any public GitHub action")</x:f>
        <x:v>add receipt/status then mirror</x:v>
      </x:c>
    </x:row>
    <x:row r="1041">
      <x:c r="A1041" s="15" t="str">
        <x:v>SWARM-08-H03-S08</x:v>
      </x:c>
      <x:c r="B1041" s="15" t="str">
        <x:v>GammaSprite</x:v>
      </x:c>
      <x:c r="C1041" s="15" t="str">
        <x:v>Deck surface mapper</x:v>
      </x:c>
      <x:c r="D1041" s="15" t="str">
        <x:v>Raw Export Recovery</x:v>
      </x:c>
      <x:c r="E1041" s="15" t="str">
        <x:v>Sheldonbrain</x:v>
      </x:c>
      <x:c r="F1041" s="15" t="str">
        <x:v>Recover raw exports for Sheldonbrain — GammaSprite</x:v>
      </x:c>
      <x:c r="G1041" s="15" t="str">
        <x:v>Gamma/deck extraction / slide lineage</x:v>
      </x:c>
      <x:c r="H1041" s="15" t="str">
        <x:v>source path + receipt + raw/export status + claim/edge/risk delta</x:v>
      </x:c>
      <x:c r="I1041" s="15" t="str">
        <x:v>packet/SWARM-08-H03-S08</x:v>
      </x:c>
      <x:c r="J1041" s="15" t="str">
        <x:v>TODO</x:v>
      </x:c>
      <x:c r="K1041" s="15" t="str">
        <x:v>P1</x:v>
      </x:c>
      <x:c r="L1041" s="15" t="str">
        <x:v>Done only when evidence is logged, contradiction search is noted, and boundary stamp remains non-canon unless ratified</x:v>
      </x:c>
      <x:c r="M1041" s="15" t="str">
        <x:v>candidate / staging-only / not canon / not deployed / authority none</x:v>
      </x:c>
      <x:c r="N1041" s="15" t="str">
        <x:v>Dispatch to GammaSprite: complete Raw Export Recovery x Sheldonbrain; return deltas only, receipts required.</x:v>
      </x:c>
      <x:c r="O1041" s="15" t="str">
        <x:v>AF-KG-H03-S08</x:v>
      </x:c>
      <x:c r="P1041" s="15" t="str">
        <x:v>Unverified</x:v>
      </x:c>
      <x:c r="Q1041" s="15" t="str">
        <x:v>Not checked</x:v>
      </x:c>
      <x:c r="R1041" s="15" t="str"/>
      <x:c r="S1041" s="15" t="str"/>
      <x:c r="T1041" s="15" t="str">
        <x:v>Log first source path or blocker</x:v>
      </x:c>
      <x:c r="U1041" s="12" t="str">
        <x:f>IF(OR(P1041="Unverified",Q1041="Not checked"),"BLOCKED_PENDING_RECEIPT","READY_FOR_REVIEW")</x:f>
        <x:v>BLOCKED_PENDING_RECEIPT</x:v>
      </x:c>
      <x:c r="V1041" s="12" t="str">
        <x:f>IF(J1041="DONE","RETURNED",IF(U1041="BLOCKED_PENDING_RECEIPT","SOURCE_TOUCH_REQUIRED","IN_PROGRESS"))</x:f>
        <x:v>SOURCE_TOUCH_REQUIRED</x:v>
      </x:c>
      <x:c r="W1041" s="12" t="str">
        <x:f>IF(P1041="Unverified","missing_receipt","receipt_logged")</x:f>
        <x:v>missing_receipt</x:v>
      </x:c>
      <x:c r="X1041" s="12" t="str">
        <x:f>IF(Q1041="Not checked","raw_status_missing","raw_status_logged")</x:f>
        <x:v>raw_status_missing</x:v>
      </x:c>
      <x:c r="Y1041" s="12" t="str">
        <x:f>IF(U1041="BLOCKED_PENDING_RECEIPT","Log source path or blocker; do not promote","Route to review lane")</x:f>
        <x:v>Log source path or blocker; do not promote</x:v>
      </x:c>
      <x:c r="Z1041" s="12" t="str">
        <x:f>IF(K1041="P0","Primary seat + Hashlight/Lucerna","Seat lane")</x:f>
        <x:v>Seat lane</x:v>
      </x:c>
      <x:c r="AA1041" s="12" t="str">
        <x:f>IF(R1041="","no_claim_delta","claim_delta_present")</x:f>
        <x:v>no_claim_delta</x:v>
      </x:c>
      <x:c r="AB1041" s="12" t="str">
        <x:f>IF(S1041="","no_contradiction_delta","contradiction_delta_present")</x:f>
        <x:v>no_contradiction_delta</x:v>
      </x:c>
      <x:c r="AC1041" s="12" t="str">
        <x:f>IF(OR(ISNUMBER(SEARCH("hacker",LOWER(F1041&amp;" "&amp;H1041&amp;" "&amp;I1041&amp;" "&amp;M1041&amp;" "&amp;N1041&amp;" "&amp;T1041))),ISNUMBER(SEARCH("hacking",LOWER(F1041&amp;" "&amp;H1041&amp;" "&amp;I1041&amp;" "&amp;M1041&amp;" "&amp;N1041&amp;" "&amp;T1041))),ISNUMBER(SEARCH("bank",LOWER(F1041&amp;" "&amp;H1041&amp;" "&amp;I1041&amp;" "&amp;M1041&amp;" "&amp;N1041&amp;" "&amp;T1041))),ISNUMBER(SEARCH("banking",LOWER(F1041&amp;" "&amp;H1041&amp;" "&amp;I1041&amp;" "&amp;M1041&amp;" "&amp;N1041&amp;" "&amp;T1041)))),"PRIVATE_QUARANTINE",IF(OR(ISNUMBER(SEARCH("treasury",LOWER(F1041&amp;" "&amp;H1041&amp;" "&amp;I1041&amp;" "&amp;M1041&amp;" "&amp;N1041&amp;" "&amp;T1041))),ISNUMBER(SEARCH("debt",LOWER(F1041&amp;" "&amp;H1041&amp;" "&amp;I1041&amp;" "&amp;M1041&amp;" "&amp;N1041&amp;" "&amp;T1041))),ISNUMBER(SEARCH("bond",LOWER(F1041&amp;" "&amp;H1041&amp;" "&amp;I1041&amp;" "&amp;M1041&amp;" "&amp;N1041&amp;" "&amp;T1041))),ISNUMBER(SEARCH("transaction",LOWER(F1041&amp;" "&amp;H1041&amp;" "&amp;I1041&amp;" "&amp;M1041&amp;" "&amp;N1041&amp;" "&amp;T1041)))),"PRIVATE_REVIEW","PUBLIC_CANDIDATE"))</x:f>
        <x:v>PUBLIC_CANDIDATE</x:v>
      </x:c>
      <x:c r="AD1041" s="12" t="str">
        <x:f>IF(AC1041="PRIVATE_QUARANTINE","hacker_or_bank_trigger",IF(AC1041="PRIVATE_REVIEW","finance_risk_trigger","none"))</x:f>
        <x:v>none</x:v>
      </x:c>
      <x:c r="AE1041" s="12" t="str">
        <x:f>IF(AC1041="PUBLIC_CANDIDATE","prepare_public_github_candidate",IF(AC1041="PRIVATE_REVIEW","hold_for_private_review","quarantine_private_do_not_publish"))</x:f>
        <x:v>prepare_public_github_candidate</x:v>
      </x:c>
      <x:c r="AF1041" s="12" t="str">
        <x:f>IF(AC1041="PUBLIC_CANDIDATE","TIDELOCK + Lucerna",IF(AC1041="PRIVATE_REVIEW","AtlasBrain + Lucerna","TIDELOCK + Lucerna + Human-root"))</x:f>
        <x:v>TIDELOCK + Lucerna</x:v>
      </x:c>
      <x:c r="AG1041" s="12" t="str">
        <x:f>IF(AND(AC1041="PUBLIC_CANDIDATE",U1041&lt;&gt;"BLOCKED_PENDING_RECEIPT"),"READY_AFTER_RECEIPT","NOT_READY")</x:f>
        <x:v>NOT_READY</x:v>
      </x:c>
      <x:c r="AH1041" s="12" t="str">
        <x:f>IF(AC1041="PUBLIC_CANDIDATE","none",AD1041)</x:f>
        <x:v>none</x:v>
      </x:c>
      <x:c r="AI1041" s="12" t="str">
        <x:f>IF(AC1041="PUBLIC_CANDIDATE","archive/public_candidates/"&amp;A1041,"private_quarantine/"&amp;A1041)</x:f>
        <x:v>archive/public_candidates/SWARM-08-H03-S08</x:v>
      </x:c>
      <x:c r="AJ1041" s="12" t="str">
        <x:f>IF(AC1041="PUBLIC_CANDIDATE","public by default; still not canon","private/hold; do not publish")</x:f>
        <x:v>public by default; still not canon</x:v>
      </x:c>
      <x:c r="AK1041" s="12" t="str">
        <x:f>IF(AE1041="prepare_public_github_candidate","add receipt/status then mirror","resolve blocker before any public GitHub action")</x:f>
        <x:v>add receipt/status then mirror</x:v>
      </x:c>
    </x:row>
    <x:row r="1042">
      <x:c r="A1042" s="15" t="str">
        <x:v>SWARM-08-H03-S09</x:v>
      </x:c>
      <x:c r="B1042" s="15" t="str">
        <x:v>GammaSprite</x:v>
      </x:c>
      <x:c r="C1042" s="15" t="str">
        <x:v>Deck surface mapper</x:v>
      </x:c>
      <x:c r="D1042" s="15" t="str">
        <x:v>Raw Export Recovery</x:v>
      </x:c>
      <x:c r="E1042" s="15" t="str">
        <x:v>Aetherforge</x:v>
      </x:c>
      <x:c r="F1042" s="15" t="str">
        <x:v>Recover raw exports for Aetherforge — GammaSprite</x:v>
      </x:c>
      <x:c r="G1042" s="15" t="str">
        <x:v>Gamma/deck extraction / slide lineage</x:v>
      </x:c>
      <x:c r="H1042" s="15" t="str">
        <x:v>source path + receipt + raw/export status + claim/edge/risk delta</x:v>
      </x:c>
      <x:c r="I1042" s="15" t="str">
        <x:v>packet/SWARM-08-H03-S09</x:v>
      </x:c>
      <x:c r="J1042" s="15" t="str">
        <x:v>TODO</x:v>
      </x:c>
      <x:c r="K1042" s="15" t="str">
        <x:v>P2</x:v>
      </x:c>
      <x:c r="L1042" s="15" t="str">
        <x:v>Done only when evidence is logged, contradiction search is noted, and boundary stamp remains non-canon unless ratified</x:v>
      </x:c>
      <x:c r="M1042" s="15" t="str">
        <x:v>candidate / staging-only / not canon / not deployed / authority none</x:v>
      </x:c>
      <x:c r="N1042" s="15" t="str">
        <x:v>Dispatch to GammaSprite: complete Raw Export Recovery x Aetherforge; return deltas only, receipts required.</x:v>
      </x:c>
      <x:c r="O1042" s="15" t="str">
        <x:v>AF-KG-H03-S09</x:v>
      </x:c>
      <x:c r="P1042" s="15" t="str">
        <x:v>Unverified</x:v>
      </x:c>
      <x:c r="Q1042" s="15" t="str">
        <x:v>Not checked</x:v>
      </x:c>
      <x:c r="R1042" s="15" t="str"/>
      <x:c r="S1042" s="15" t="str"/>
      <x:c r="T1042" s="15" t="str">
        <x:v>Log first source path or blocker</x:v>
      </x:c>
      <x:c r="U1042" s="12" t="str">
        <x:f>IF(OR(P1042="Unverified",Q1042="Not checked"),"BLOCKED_PENDING_RECEIPT","READY_FOR_REVIEW")</x:f>
        <x:v>BLOCKED_PENDING_RECEIPT</x:v>
      </x:c>
      <x:c r="V1042" s="12" t="str">
        <x:f>IF(J1042="DONE","RETURNED",IF(U1042="BLOCKED_PENDING_RECEIPT","SOURCE_TOUCH_REQUIRED","IN_PROGRESS"))</x:f>
        <x:v>SOURCE_TOUCH_REQUIRED</x:v>
      </x:c>
      <x:c r="W1042" s="12" t="str">
        <x:f>IF(P1042="Unverified","missing_receipt","receipt_logged")</x:f>
        <x:v>missing_receipt</x:v>
      </x:c>
      <x:c r="X1042" s="12" t="str">
        <x:f>IF(Q1042="Not checked","raw_status_missing","raw_status_logged")</x:f>
        <x:v>raw_status_missing</x:v>
      </x:c>
      <x:c r="Y1042" s="12" t="str">
        <x:f>IF(U1042="BLOCKED_PENDING_RECEIPT","Log source path or blocker; do not promote","Route to review lane")</x:f>
        <x:v>Log source path or blocker; do not promote</x:v>
      </x:c>
      <x:c r="Z1042" s="12" t="str">
        <x:f>IF(K1042="P0","Primary seat + Hashlight/Lucerna","Seat lane")</x:f>
        <x:v>Seat lane</x:v>
      </x:c>
      <x:c r="AA1042" s="12" t="str">
        <x:f>IF(R1042="","no_claim_delta","claim_delta_present")</x:f>
        <x:v>no_claim_delta</x:v>
      </x:c>
      <x:c r="AB1042" s="12" t="str">
        <x:f>IF(S1042="","no_contradiction_delta","contradiction_delta_present")</x:f>
        <x:v>no_contradiction_delta</x:v>
      </x:c>
      <x:c r="AC1042" s="12" t="str">
        <x:f>IF(OR(ISNUMBER(SEARCH("hacker",LOWER(F1042&amp;" "&amp;H1042&amp;" "&amp;I1042&amp;" "&amp;M1042&amp;" "&amp;N1042&amp;" "&amp;T1042))),ISNUMBER(SEARCH("hacking",LOWER(F1042&amp;" "&amp;H1042&amp;" "&amp;I1042&amp;" "&amp;M1042&amp;" "&amp;N1042&amp;" "&amp;T1042))),ISNUMBER(SEARCH("bank",LOWER(F1042&amp;" "&amp;H1042&amp;" "&amp;I1042&amp;" "&amp;M1042&amp;" "&amp;N1042&amp;" "&amp;T1042))),ISNUMBER(SEARCH("banking",LOWER(F1042&amp;" "&amp;H1042&amp;" "&amp;I1042&amp;" "&amp;M1042&amp;" "&amp;N1042&amp;" "&amp;T1042)))),"PRIVATE_QUARANTINE",IF(OR(ISNUMBER(SEARCH("treasury",LOWER(F1042&amp;" "&amp;H1042&amp;" "&amp;I1042&amp;" "&amp;M1042&amp;" "&amp;N1042&amp;" "&amp;T1042))),ISNUMBER(SEARCH("debt",LOWER(F1042&amp;" "&amp;H1042&amp;" "&amp;I1042&amp;" "&amp;M1042&amp;" "&amp;N1042&amp;" "&amp;T1042))),ISNUMBER(SEARCH("bond",LOWER(F1042&amp;" "&amp;H1042&amp;" "&amp;I1042&amp;" "&amp;M1042&amp;" "&amp;N1042&amp;" "&amp;T1042))),ISNUMBER(SEARCH("transaction",LOWER(F1042&amp;" "&amp;H1042&amp;" "&amp;I1042&amp;" "&amp;M1042&amp;" "&amp;N1042&amp;" "&amp;T1042)))),"PRIVATE_REVIEW","PUBLIC_CANDIDATE"))</x:f>
        <x:v>PUBLIC_CANDIDATE</x:v>
      </x:c>
      <x:c r="AD1042" s="12" t="str">
        <x:f>IF(AC1042="PRIVATE_QUARANTINE","hacker_or_bank_trigger",IF(AC1042="PRIVATE_REVIEW","finance_risk_trigger","none"))</x:f>
        <x:v>none</x:v>
      </x:c>
      <x:c r="AE1042" s="12" t="str">
        <x:f>IF(AC1042="PUBLIC_CANDIDATE","prepare_public_github_candidate",IF(AC1042="PRIVATE_REVIEW","hold_for_private_review","quarantine_private_do_not_publish"))</x:f>
        <x:v>prepare_public_github_candidate</x:v>
      </x:c>
      <x:c r="AF1042" s="12" t="str">
        <x:f>IF(AC1042="PUBLIC_CANDIDATE","TIDELOCK + Lucerna",IF(AC1042="PRIVATE_REVIEW","AtlasBrain + Lucerna","TIDELOCK + Lucerna + Human-root"))</x:f>
        <x:v>TIDELOCK + Lucerna</x:v>
      </x:c>
      <x:c r="AG1042" s="12" t="str">
        <x:f>IF(AND(AC1042="PUBLIC_CANDIDATE",U1042&lt;&gt;"BLOCKED_PENDING_RECEIPT"),"READY_AFTER_RECEIPT","NOT_READY")</x:f>
        <x:v>NOT_READY</x:v>
      </x:c>
      <x:c r="AH1042" s="12" t="str">
        <x:f>IF(AC1042="PUBLIC_CANDIDATE","none",AD1042)</x:f>
        <x:v>none</x:v>
      </x:c>
      <x:c r="AI1042" s="12" t="str">
        <x:f>IF(AC1042="PUBLIC_CANDIDATE","archive/public_candidates/"&amp;A1042,"private_quarantine/"&amp;A1042)</x:f>
        <x:v>archive/public_candidates/SWARM-08-H03-S09</x:v>
      </x:c>
      <x:c r="AJ1042" s="12" t="str">
        <x:f>IF(AC1042="PUBLIC_CANDIDATE","public by default; still not canon","private/hold; do not publish")</x:f>
        <x:v>public by default; still not canon</x:v>
      </x:c>
      <x:c r="AK1042" s="12" t="str">
        <x:f>IF(AE1042="prepare_public_github_candidate","add receipt/status then mirror","resolve blocker before any public GitHub action")</x:f>
        <x:v>add receipt/status then mirror</x:v>
      </x:c>
    </x:row>
    <x:row r="1043">
      <x:c r="A1043" s="15" t="str">
        <x:v>SWARM-08-H03-S10</x:v>
      </x:c>
      <x:c r="B1043" s="15" t="str">
        <x:v>GammaSprite</x:v>
      </x:c>
      <x:c r="C1043" s="15" t="str">
        <x:v>Deck surface mapper</x:v>
      </x:c>
      <x:c r="D1043" s="15" t="str">
        <x:v>Raw Export Recovery</x:v>
      </x:c>
      <x:c r="E1043" s="15" t="str">
        <x:v>Human-Root</x:v>
      </x:c>
      <x:c r="F1043" s="15" t="str">
        <x:v>Recover raw exports for Human-Root — GammaSprite</x:v>
      </x:c>
      <x:c r="G1043" s="15" t="str">
        <x:v>Gamma/deck extraction / slide lineage</x:v>
      </x:c>
      <x:c r="H1043" s="15" t="str">
        <x:v>source path + receipt + raw/export status + claim/edge/risk delta</x:v>
      </x:c>
      <x:c r="I1043" s="15" t="str">
        <x:v>packet/SWARM-08-H03-S10</x:v>
      </x:c>
      <x:c r="J1043" s="15" t="str">
        <x:v>TODO</x:v>
      </x:c>
      <x:c r="K1043" s="15" t="str">
        <x:v>P2</x:v>
      </x:c>
      <x:c r="L1043" s="15" t="str">
        <x:v>Done only when evidence is logged, contradiction search is noted, and boundary stamp remains non-canon unless ratified</x:v>
      </x:c>
      <x:c r="M1043" s="15" t="str">
        <x:v>candidate / staging-only / not canon / not deployed / authority none</x:v>
      </x:c>
      <x:c r="N1043" s="15" t="str">
        <x:v>Dispatch to GammaSprite: complete Raw Export Recovery x Human-Root; return deltas only, receipts required.</x:v>
      </x:c>
      <x:c r="O1043" s="15" t="str">
        <x:v>AF-KG-H03-S10</x:v>
      </x:c>
      <x:c r="P1043" s="15" t="str">
        <x:v>Unverified</x:v>
      </x:c>
      <x:c r="Q1043" s="15" t="str">
        <x:v>Not checked</x:v>
      </x:c>
      <x:c r="R1043" s="15" t="str"/>
      <x:c r="S1043" s="15" t="str"/>
      <x:c r="T1043" s="15" t="str">
        <x:v>Log first source path or blocker</x:v>
      </x:c>
      <x:c r="U1043" s="12" t="str">
        <x:f>IF(OR(P1043="Unverified",Q1043="Not checked"),"BLOCKED_PENDING_RECEIPT","READY_FOR_REVIEW")</x:f>
        <x:v>BLOCKED_PENDING_RECEIPT</x:v>
      </x:c>
      <x:c r="V1043" s="12" t="str">
        <x:f>IF(J1043="DONE","RETURNED",IF(U1043="BLOCKED_PENDING_RECEIPT","SOURCE_TOUCH_REQUIRED","IN_PROGRESS"))</x:f>
        <x:v>SOURCE_TOUCH_REQUIRED</x:v>
      </x:c>
      <x:c r="W1043" s="12" t="str">
        <x:f>IF(P1043="Unverified","missing_receipt","receipt_logged")</x:f>
        <x:v>missing_receipt</x:v>
      </x:c>
      <x:c r="X1043" s="12" t="str">
        <x:f>IF(Q1043="Not checked","raw_status_missing","raw_status_logged")</x:f>
        <x:v>raw_status_missing</x:v>
      </x:c>
      <x:c r="Y1043" s="12" t="str">
        <x:f>IF(U1043="BLOCKED_PENDING_RECEIPT","Log source path or blocker; do not promote","Route to review lane")</x:f>
        <x:v>Log source path or blocker; do not promote</x:v>
      </x:c>
      <x:c r="Z1043" s="12" t="str">
        <x:f>IF(K1043="P0","Primary seat + Hashlight/Lucerna","Seat lane")</x:f>
        <x:v>Seat lane</x:v>
      </x:c>
      <x:c r="AA1043" s="12" t="str">
        <x:f>IF(R1043="","no_claim_delta","claim_delta_present")</x:f>
        <x:v>no_claim_delta</x:v>
      </x:c>
      <x:c r="AB1043" s="12" t="str">
        <x:f>IF(S1043="","no_contradiction_delta","contradiction_delta_present")</x:f>
        <x:v>no_contradiction_delta</x:v>
      </x:c>
      <x:c r="AC1043" s="12" t="str">
        <x:f>IF(OR(ISNUMBER(SEARCH("hacker",LOWER(F1043&amp;" "&amp;H1043&amp;" "&amp;I1043&amp;" "&amp;M1043&amp;" "&amp;N1043&amp;" "&amp;T1043))),ISNUMBER(SEARCH("hacking",LOWER(F1043&amp;" "&amp;H1043&amp;" "&amp;I1043&amp;" "&amp;M1043&amp;" "&amp;N1043&amp;" "&amp;T1043))),ISNUMBER(SEARCH("bank",LOWER(F1043&amp;" "&amp;H1043&amp;" "&amp;I1043&amp;" "&amp;M1043&amp;" "&amp;N1043&amp;" "&amp;T1043))),ISNUMBER(SEARCH("banking",LOWER(F1043&amp;" "&amp;H1043&amp;" "&amp;I1043&amp;" "&amp;M1043&amp;" "&amp;N1043&amp;" "&amp;T1043)))),"PRIVATE_QUARANTINE",IF(OR(ISNUMBER(SEARCH("treasury",LOWER(F1043&amp;" "&amp;H1043&amp;" "&amp;I1043&amp;" "&amp;M1043&amp;" "&amp;N1043&amp;" "&amp;T1043))),ISNUMBER(SEARCH("debt",LOWER(F1043&amp;" "&amp;H1043&amp;" "&amp;I1043&amp;" "&amp;M1043&amp;" "&amp;N1043&amp;" "&amp;T1043))),ISNUMBER(SEARCH("bond",LOWER(F1043&amp;" "&amp;H1043&amp;" "&amp;I1043&amp;" "&amp;M1043&amp;" "&amp;N1043&amp;" "&amp;T1043))),ISNUMBER(SEARCH("transaction",LOWER(F1043&amp;" "&amp;H1043&amp;" "&amp;I1043&amp;" "&amp;M1043&amp;" "&amp;N1043&amp;" "&amp;T1043)))),"PRIVATE_REVIEW","PUBLIC_CANDIDATE"))</x:f>
        <x:v>PUBLIC_CANDIDATE</x:v>
      </x:c>
      <x:c r="AD1043" s="12" t="str">
        <x:f>IF(AC1043="PRIVATE_QUARANTINE","hacker_or_bank_trigger",IF(AC1043="PRIVATE_REVIEW","finance_risk_trigger","none"))</x:f>
        <x:v>none</x:v>
      </x:c>
      <x:c r="AE1043" s="12" t="str">
        <x:f>IF(AC1043="PUBLIC_CANDIDATE","prepare_public_github_candidate",IF(AC1043="PRIVATE_REVIEW","hold_for_private_review","quarantine_private_do_not_publish"))</x:f>
        <x:v>prepare_public_github_candidate</x:v>
      </x:c>
      <x:c r="AF1043" s="12" t="str">
        <x:f>IF(AC1043="PUBLIC_CANDIDATE","TIDELOCK + Lucerna",IF(AC1043="PRIVATE_REVIEW","AtlasBrain + Lucerna","TIDELOCK + Lucerna + Human-root"))</x:f>
        <x:v>TIDELOCK + Lucerna</x:v>
      </x:c>
      <x:c r="AG1043" s="12" t="str">
        <x:f>IF(AND(AC1043="PUBLIC_CANDIDATE",U1043&lt;&gt;"BLOCKED_PENDING_RECEIPT"),"READY_AFTER_RECEIPT","NOT_READY")</x:f>
        <x:v>NOT_READY</x:v>
      </x:c>
      <x:c r="AH1043" s="12" t="str">
        <x:f>IF(AC1043="PUBLIC_CANDIDATE","none",AD1043)</x:f>
        <x:v>none</x:v>
      </x:c>
      <x:c r="AI1043" s="12" t="str">
        <x:f>IF(AC1043="PUBLIC_CANDIDATE","archive/public_candidates/"&amp;A1043,"private_quarantine/"&amp;A1043)</x:f>
        <x:v>archive/public_candidates/SWARM-08-H03-S10</x:v>
      </x:c>
      <x:c r="AJ1043" s="12" t="str">
        <x:f>IF(AC1043="PUBLIC_CANDIDATE","public by default; still not canon","private/hold; do not publish")</x:f>
        <x:v>public by default; still not canon</x:v>
      </x:c>
      <x:c r="AK1043" s="12" t="str">
        <x:f>IF(AE1043="prepare_public_github_candidate","add receipt/status then mirror","resolve blocker before any public GitHub action")</x:f>
        <x:v>add receipt/status then mirror</x:v>
      </x:c>
    </x:row>
    <x:row r="1044">
      <x:c r="A1044" s="15" t="str">
        <x:v>SWARM-08-H03-S11</x:v>
      </x:c>
      <x:c r="B1044" s="15" t="str">
        <x:v>GammaSprite</x:v>
      </x:c>
      <x:c r="C1044" s="15" t="str">
        <x:v>Deck surface mapper</x:v>
      </x:c>
      <x:c r="D1044" s="15" t="str">
        <x:v>Raw Export Recovery</x:v>
      </x:c>
      <x:c r="E1044" s="15" t="str">
        <x:v>Automation</x:v>
      </x:c>
      <x:c r="F1044" s="15" t="str">
        <x:v>Recover raw exports for Automation — GammaSprite</x:v>
      </x:c>
      <x:c r="G1044" s="15" t="str">
        <x:v>Gamma/deck extraction / slide lineage</x:v>
      </x:c>
      <x:c r="H1044" s="15" t="str">
        <x:v>source path + receipt + raw/export status + claim/edge/risk delta</x:v>
      </x:c>
      <x:c r="I1044" s="15" t="str">
        <x:v>packet/SWARM-08-H03-S11</x:v>
      </x:c>
      <x:c r="J1044" s="15" t="str">
        <x:v>TODO</x:v>
      </x:c>
      <x:c r="K1044" s="15" t="str">
        <x:v>P2</x:v>
      </x:c>
      <x:c r="L1044" s="15" t="str">
        <x:v>Done only when evidence is logged, contradiction search is noted, and boundary stamp remains non-canon unless ratified</x:v>
      </x:c>
      <x:c r="M1044" s="15" t="str">
        <x:v>candidate / staging-only / not canon / not deployed / authority none</x:v>
      </x:c>
      <x:c r="N1044" s="15" t="str">
        <x:v>Dispatch to GammaSprite: complete Raw Export Recovery x Automation; return deltas only, receipts required.</x:v>
      </x:c>
      <x:c r="O1044" s="15" t="str">
        <x:v>AF-KG-H03-S11</x:v>
      </x:c>
      <x:c r="P1044" s="15" t="str">
        <x:v>Unverified</x:v>
      </x:c>
      <x:c r="Q1044" s="15" t="str">
        <x:v>Not checked</x:v>
      </x:c>
      <x:c r="R1044" s="15" t="str"/>
      <x:c r="S1044" s="15" t="str"/>
      <x:c r="T1044" s="15" t="str">
        <x:v>Log first source path or blocker</x:v>
      </x:c>
      <x:c r="U1044" s="12" t="str">
        <x:f>IF(OR(P1044="Unverified",Q1044="Not checked"),"BLOCKED_PENDING_RECEIPT","READY_FOR_REVIEW")</x:f>
        <x:v>BLOCKED_PENDING_RECEIPT</x:v>
      </x:c>
      <x:c r="V1044" s="12" t="str">
        <x:f>IF(J1044="DONE","RETURNED",IF(U1044="BLOCKED_PENDING_RECEIPT","SOURCE_TOUCH_REQUIRED","IN_PROGRESS"))</x:f>
        <x:v>SOURCE_TOUCH_REQUIRED</x:v>
      </x:c>
      <x:c r="W1044" s="12" t="str">
        <x:f>IF(P1044="Unverified","missing_receipt","receipt_logged")</x:f>
        <x:v>missing_receipt</x:v>
      </x:c>
      <x:c r="X1044" s="12" t="str">
        <x:f>IF(Q1044="Not checked","raw_status_missing","raw_status_logged")</x:f>
        <x:v>raw_status_missing</x:v>
      </x:c>
      <x:c r="Y1044" s="12" t="str">
        <x:f>IF(U1044="BLOCKED_PENDING_RECEIPT","Log source path or blocker; do not promote","Route to review lane")</x:f>
        <x:v>Log source path or blocker; do not promote</x:v>
      </x:c>
      <x:c r="Z1044" s="12" t="str">
        <x:f>IF(K1044="P0","Primary seat + Hashlight/Lucerna","Seat lane")</x:f>
        <x:v>Seat lane</x:v>
      </x:c>
      <x:c r="AA1044" s="12" t="str">
        <x:f>IF(R1044="","no_claim_delta","claim_delta_present")</x:f>
        <x:v>no_claim_delta</x:v>
      </x:c>
      <x:c r="AB1044" s="12" t="str">
        <x:f>IF(S1044="","no_contradiction_delta","contradiction_delta_present")</x:f>
        <x:v>no_contradiction_delta</x:v>
      </x:c>
      <x:c r="AC1044" s="12" t="str">
        <x:f>IF(OR(ISNUMBER(SEARCH("hacker",LOWER(F1044&amp;" "&amp;H1044&amp;" "&amp;I1044&amp;" "&amp;M1044&amp;" "&amp;N1044&amp;" "&amp;T1044))),ISNUMBER(SEARCH("hacking",LOWER(F1044&amp;" "&amp;H1044&amp;" "&amp;I1044&amp;" "&amp;M1044&amp;" "&amp;N1044&amp;" "&amp;T1044))),ISNUMBER(SEARCH("bank",LOWER(F1044&amp;" "&amp;H1044&amp;" "&amp;I1044&amp;" "&amp;M1044&amp;" "&amp;N1044&amp;" "&amp;T1044))),ISNUMBER(SEARCH("banking",LOWER(F1044&amp;" "&amp;H1044&amp;" "&amp;I1044&amp;" "&amp;M1044&amp;" "&amp;N1044&amp;" "&amp;T1044)))),"PRIVATE_QUARANTINE",IF(OR(ISNUMBER(SEARCH("treasury",LOWER(F1044&amp;" "&amp;H1044&amp;" "&amp;I1044&amp;" "&amp;M1044&amp;" "&amp;N1044&amp;" "&amp;T1044))),ISNUMBER(SEARCH("debt",LOWER(F1044&amp;" "&amp;H1044&amp;" "&amp;I1044&amp;" "&amp;M1044&amp;" "&amp;N1044&amp;" "&amp;T1044))),ISNUMBER(SEARCH("bond",LOWER(F1044&amp;" "&amp;H1044&amp;" "&amp;I1044&amp;" "&amp;M1044&amp;" "&amp;N1044&amp;" "&amp;T1044))),ISNUMBER(SEARCH("transaction",LOWER(F1044&amp;" "&amp;H1044&amp;" "&amp;I1044&amp;" "&amp;M1044&amp;" "&amp;N1044&amp;" "&amp;T1044)))),"PRIVATE_REVIEW","PUBLIC_CANDIDATE"))</x:f>
        <x:v>PUBLIC_CANDIDATE</x:v>
      </x:c>
      <x:c r="AD1044" s="12" t="str">
        <x:f>IF(AC1044="PRIVATE_QUARANTINE","hacker_or_bank_trigger",IF(AC1044="PRIVATE_REVIEW","finance_risk_trigger","none"))</x:f>
        <x:v>none</x:v>
      </x:c>
      <x:c r="AE1044" s="12" t="str">
        <x:f>IF(AC1044="PUBLIC_CANDIDATE","prepare_public_github_candidate",IF(AC1044="PRIVATE_REVIEW","hold_for_private_review","quarantine_private_do_not_publish"))</x:f>
        <x:v>prepare_public_github_candidate</x:v>
      </x:c>
      <x:c r="AF1044" s="12" t="str">
        <x:f>IF(AC1044="PUBLIC_CANDIDATE","TIDELOCK + Lucerna",IF(AC1044="PRIVATE_REVIEW","AtlasBrain + Lucerna","TIDELOCK + Lucerna + Human-root"))</x:f>
        <x:v>TIDELOCK + Lucerna</x:v>
      </x:c>
      <x:c r="AG1044" s="12" t="str">
        <x:f>IF(AND(AC1044="PUBLIC_CANDIDATE",U1044&lt;&gt;"BLOCKED_PENDING_RECEIPT"),"READY_AFTER_RECEIPT","NOT_READY")</x:f>
        <x:v>NOT_READY</x:v>
      </x:c>
      <x:c r="AH1044" s="12" t="str">
        <x:f>IF(AC1044="PUBLIC_CANDIDATE","none",AD1044)</x:f>
        <x:v>none</x:v>
      </x:c>
      <x:c r="AI1044" s="12" t="str">
        <x:f>IF(AC1044="PUBLIC_CANDIDATE","archive/public_candidates/"&amp;A1044,"private_quarantine/"&amp;A1044)</x:f>
        <x:v>archive/public_candidates/SWARM-08-H03-S11</x:v>
      </x:c>
      <x:c r="AJ1044" s="12" t="str">
        <x:f>IF(AC1044="PUBLIC_CANDIDATE","public by default; still not canon","private/hold; do not publish")</x:f>
        <x:v>public by default; still not canon</x:v>
      </x:c>
      <x:c r="AK1044" s="12" t="str">
        <x:f>IF(AE1044="prepare_public_github_candidate","add receipt/status then mirror","resolve blocker before any public GitHub action")</x:f>
        <x:v>add receipt/status then mirror</x:v>
      </x:c>
    </x:row>
    <x:row r="1045">
      <x:c r="A1045" s="15" t="str">
        <x:v>SWARM-08-H03-S12</x:v>
      </x:c>
      <x:c r="B1045" s="15" t="str">
        <x:v>GammaSprite</x:v>
      </x:c>
      <x:c r="C1045" s="15" t="str">
        <x:v>Deck surface mapper</x:v>
      </x:c>
      <x:c r="D1045" s="15" t="str">
        <x:v>Raw Export Recovery</x:v>
      </x:c>
      <x:c r="E1045" s="15" t="str">
        <x:v>Risk / Safety</x:v>
      </x:c>
      <x:c r="F1045" s="15" t="str">
        <x:v>Recover raw exports for Risk / Safety — GammaSprite</x:v>
      </x:c>
      <x:c r="G1045" s="15" t="str">
        <x:v>Gamma/deck extraction / slide lineage</x:v>
      </x:c>
      <x:c r="H1045" s="15" t="str">
        <x:v>source path + receipt + raw/export status + claim/edge/risk delta</x:v>
      </x:c>
      <x:c r="I1045" s="15" t="str">
        <x:v>packet/SWARM-08-H03-S12</x:v>
      </x:c>
      <x:c r="J1045" s="15" t="str">
        <x:v>TODO</x:v>
      </x:c>
      <x:c r="K1045" s="15" t="str">
        <x:v>P2</x:v>
      </x:c>
      <x:c r="L1045" s="15" t="str">
        <x:v>Done only when evidence is logged, contradiction search is noted, and boundary stamp remains non-canon unless ratified</x:v>
      </x:c>
      <x:c r="M1045" s="15" t="str">
        <x:v>candidate / staging-only / not canon / not deployed / authority none</x:v>
      </x:c>
      <x:c r="N1045" s="15" t="str">
        <x:v>Dispatch to GammaSprite: complete Raw Export Recovery x Risk / Safety; return deltas only, receipts required.</x:v>
      </x:c>
      <x:c r="O1045" s="15" t="str">
        <x:v>AF-KG-H03-S12</x:v>
      </x:c>
      <x:c r="P1045" s="15" t="str">
        <x:v>Unverified</x:v>
      </x:c>
      <x:c r="Q1045" s="15" t="str">
        <x:v>Not checked</x:v>
      </x:c>
      <x:c r="R1045" s="15" t="str"/>
      <x:c r="S1045" s="15" t="str"/>
      <x:c r="T1045" s="15" t="str">
        <x:v>Log first source path or blocker</x:v>
      </x:c>
      <x:c r="U1045" s="12" t="str">
        <x:f>IF(OR(P1045="Unverified",Q1045="Not checked"),"BLOCKED_PENDING_RECEIPT","READY_FOR_REVIEW")</x:f>
        <x:v>BLOCKED_PENDING_RECEIPT</x:v>
      </x:c>
      <x:c r="V1045" s="12" t="str">
        <x:f>IF(J1045="DONE","RETURNED",IF(U1045="BLOCKED_PENDING_RECEIPT","SOURCE_TOUCH_REQUIRED","IN_PROGRESS"))</x:f>
        <x:v>SOURCE_TOUCH_REQUIRED</x:v>
      </x:c>
      <x:c r="W1045" s="12" t="str">
        <x:f>IF(P1045="Unverified","missing_receipt","receipt_logged")</x:f>
        <x:v>missing_receipt</x:v>
      </x:c>
      <x:c r="X1045" s="12" t="str">
        <x:f>IF(Q1045="Not checked","raw_status_missing","raw_status_logged")</x:f>
        <x:v>raw_status_missing</x:v>
      </x:c>
      <x:c r="Y1045" s="12" t="str">
        <x:f>IF(U1045="BLOCKED_PENDING_RECEIPT","Log source path or blocker; do not promote","Route to review lane")</x:f>
        <x:v>Log source path or blocker; do not promote</x:v>
      </x:c>
      <x:c r="Z1045" s="12" t="str">
        <x:f>IF(K1045="P0","Primary seat + Hashlight/Lucerna","Seat lane")</x:f>
        <x:v>Seat lane</x:v>
      </x:c>
      <x:c r="AA1045" s="12" t="str">
        <x:f>IF(R1045="","no_claim_delta","claim_delta_present")</x:f>
        <x:v>no_claim_delta</x:v>
      </x:c>
      <x:c r="AB1045" s="12" t="str">
        <x:f>IF(S1045="","no_contradiction_delta","contradiction_delta_present")</x:f>
        <x:v>no_contradiction_delta</x:v>
      </x:c>
      <x:c r="AC1045" s="12" t="str">
        <x:f>IF(OR(ISNUMBER(SEARCH("hacker",LOWER(F1045&amp;" "&amp;H1045&amp;" "&amp;I1045&amp;" "&amp;M1045&amp;" "&amp;N1045&amp;" "&amp;T1045))),ISNUMBER(SEARCH("hacking",LOWER(F1045&amp;" "&amp;H1045&amp;" "&amp;I1045&amp;" "&amp;M1045&amp;" "&amp;N1045&amp;" "&amp;T1045))),ISNUMBER(SEARCH("bank",LOWER(F1045&amp;" "&amp;H1045&amp;" "&amp;I1045&amp;" "&amp;M1045&amp;" "&amp;N1045&amp;" "&amp;T1045))),ISNUMBER(SEARCH("banking",LOWER(F1045&amp;" "&amp;H1045&amp;" "&amp;I1045&amp;" "&amp;M1045&amp;" "&amp;N1045&amp;" "&amp;T1045)))),"PRIVATE_QUARANTINE",IF(OR(ISNUMBER(SEARCH("treasury",LOWER(F1045&amp;" "&amp;H1045&amp;" "&amp;I1045&amp;" "&amp;M1045&amp;" "&amp;N1045&amp;" "&amp;T1045))),ISNUMBER(SEARCH("debt",LOWER(F1045&amp;" "&amp;H1045&amp;" "&amp;I1045&amp;" "&amp;M1045&amp;" "&amp;N1045&amp;" "&amp;T1045))),ISNUMBER(SEARCH("bond",LOWER(F1045&amp;" "&amp;H1045&amp;" "&amp;I1045&amp;" "&amp;M1045&amp;" "&amp;N1045&amp;" "&amp;T1045))),ISNUMBER(SEARCH("transaction",LOWER(F1045&amp;" "&amp;H1045&amp;" "&amp;I1045&amp;" "&amp;M1045&amp;" "&amp;N1045&amp;" "&amp;T1045)))),"PRIVATE_REVIEW","PUBLIC_CANDIDATE"))</x:f>
        <x:v>PUBLIC_CANDIDATE</x:v>
      </x:c>
      <x:c r="AD1045" s="12" t="str">
        <x:f>IF(AC1045="PRIVATE_QUARANTINE","hacker_or_bank_trigger",IF(AC1045="PRIVATE_REVIEW","finance_risk_trigger","none"))</x:f>
        <x:v>none</x:v>
      </x:c>
      <x:c r="AE1045" s="12" t="str">
        <x:f>IF(AC1045="PUBLIC_CANDIDATE","prepare_public_github_candidate",IF(AC1045="PRIVATE_REVIEW","hold_for_private_review","quarantine_private_do_not_publish"))</x:f>
        <x:v>prepare_public_github_candidate</x:v>
      </x:c>
      <x:c r="AF1045" s="12" t="str">
        <x:f>IF(AC1045="PUBLIC_CANDIDATE","TIDELOCK + Lucerna",IF(AC1045="PRIVATE_REVIEW","AtlasBrain + Lucerna","TIDELOCK + Lucerna + Human-root"))</x:f>
        <x:v>TIDELOCK + Lucerna</x:v>
      </x:c>
      <x:c r="AG1045" s="12" t="str">
        <x:f>IF(AND(AC1045="PUBLIC_CANDIDATE",U1045&lt;&gt;"BLOCKED_PENDING_RECEIPT"),"READY_AFTER_RECEIPT","NOT_READY")</x:f>
        <x:v>NOT_READY</x:v>
      </x:c>
      <x:c r="AH1045" s="12" t="str">
        <x:f>IF(AC1045="PUBLIC_CANDIDATE","none",AD1045)</x:f>
        <x:v>none</x:v>
      </x:c>
      <x:c r="AI1045" s="12" t="str">
        <x:f>IF(AC1045="PUBLIC_CANDIDATE","archive/public_candidates/"&amp;A1045,"private_quarantine/"&amp;A1045)</x:f>
        <x:v>archive/public_candidates/SWARM-08-H03-S12</x:v>
      </x:c>
      <x:c r="AJ1045" s="12" t="str">
        <x:f>IF(AC1045="PUBLIC_CANDIDATE","public by default; still not canon","private/hold; do not publish")</x:f>
        <x:v>public by default; still not canon</x:v>
      </x:c>
      <x:c r="AK1045" s="12" t="str">
        <x:f>IF(AE1045="prepare_public_github_candidate","add receipt/status then mirror","resolve blocker before any public GitHub action")</x:f>
        <x:v>add receipt/status then mirror</x:v>
      </x:c>
    </x:row>
    <x:row r="1046">
      <x:c r="A1046" s="15" t="str">
        <x:v>SWARM-08-H04-S01</x:v>
      </x:c>
      <x:c r="B1046" s="15" t="str">
        <x:v>GammaSprite</x:v>
      </x:c>
      <x:c r="C1046" s="15" t="str">
        <x:v>Deck surface mapper</x:v>
      </x:c>
      <x:c r="D1046" s="15" t="str">
        <x:v>Claim Extraction</x:v>
      </x:c>
      <x:c r="E1046" s="15" t="str">
        <x:v>Notion</x:v>
      </x:c>
      <x:c r="F1046" s="15" t="str">
        <x:v>Extract claims from Notion — GammaSprite</x:v>
      </x:c>
      <x:c r="G1046" s="15" t="str">
        <x:v>Gamma/deck extraction / slide lineage</x:v>
      </x:c>
      <x:c r="H1046" s="15" t="str">
        <x:v>source path + receipt + raw/export status + claim/edge/risk delta</x:v>
      </x:c>
      <x:c r="I1046" s="15" t="str">
        <x:v>packet/SWARM-08-H04-S01</x:v>
      </x:c>
      <x:c r="J1046" s="15" t="str">
        <x:v>TODO</x:v>
      </x:c>
      <x:c r="K1046" s="15" t="str">
        <x:v>P0</x:v>
      </x:c>
      <x:c r="L1046" s="15" t="str">
        <x:v>Done only when evidence is logged, contradiction search is noted, and boundary stamp remains non-canon unless ratified</x:v>
      </x:c>
      <x:c r="M1046" s="15" t="str">
        <x:v>candidate / staging-only / not canon / not deployed / authority none</x:v>
      </x:c>
      <x:c r="N1046" s="15" t="str">
        <x:v>Dispatch to GammaSprite: complete Claim Extraction x Notion; return deltas only, receipts required.</x:v>
      </x:c>
      <x:c r="O1046" s="15" t="str">
        <x:v>AF-KG-H04-S01</x:v>
      </x:c>
      <x:c r="P1046" s="15" t="str">
        <x:v>Unverified</x:v>
      </x:c>
      <x:c r="Q1046" s="15" t="str">
        <x:v>Not checked</x:v>
      </x:c>
      <x:c r="R1046" s="15" t="str"/>
      <x:c r="S1046" s="15" t="str"/>
      <x:c r="T1046" s="15" t="str">
        <x:v>Log first source path or blocker</x:v>
      </x:c>
      <x:c r="U1046" s="12" t="str">
        <x:f>IF(OR(P1046="Unverified",Q1046="Not checked"),"BLOCKED_PENDING_RECEIPT","READY_FOR_REVIEW")</x:f>
        <x:v>BLOCKED_PENDING_RECEIPT</x:v>
      </x:c>
      <x:c r="V1046" s="12" t="str">
        <x:f>IF(J1046="DONE","RETURNED",IF(U1046="BLOCKED_PENDING_RECEIPT","SOURCE_TOUCH_REQUIRED","IN_PROGRESS"))</x:f>
        <x:v>SOURCE_TOUCH_REQUIRED</x:v>
      </x:c>
      <x:c r="W1046" s="12" t="str">
        <x:f>IF(P1046="Unverified","missing_receipt","receipt_logged")</x:f>
        <x:v>missing_receipt</x:v>
      </x:c>
      <x:c r="X1046" s="12" t="str">
        <x:f>IF(Q1046="Not checked","raw_status_missing","raw_status_logged")</x:f>
        <x:v>raw_status_missing</x:v>
      </x:c>
      <x:c r="Y1046" s="12" t="str">
        <x:f>IF(U1046="BLOCKED_PENDING_RECEIPT","Log source path or blocker; do not promote","Route to review lane")</x:f>
        <x:v>Log source path or blocker; do not promote</x:v>
      </x:c>
      <x:c r="Z1046" s="12" t="str">
        <x:f>IF(K1046="P0","Primary seat + Hashlight/Lucerna","Seat lane")</x:f>
        <x:v>Primary seat + Hashlight/Lucerna</x:v>
      </x:c>
      <x:c r="AA1046" s="12" t="str">
        <x:f>IF(R1046="","no_claim_delta","claim_delta_present")</x:f>
        <x:v>no_claim_delta</x:v>
      </x:c>
      <x:c r="AB1046" s="12" t="str">
        <x:f>IF(S1046="","no_contradiction_delta","contradiction_delta_present")</x:f>
        <x:v>no_contradiction_delta</x:v>
      </x:c>
      <x:c r="AC1046" s="12" t="str">
        <x:f>IF(OR(ISNUMBER(SEARCH("hacker",LOWER(F1046&amp;" "&amp;H1046&amp;" "&amp;I1046&amp;" "&amp;M1046&amp;" "&amp;N1046&amp;" "&amp;T1046))),ISNUMBER(SEARCH("hacking",LOWER(F1046&amp;" "&amp;H1046&amp;" "&amp;I1046&amp;" "&amp;M1046&amp;" "&amp;N1046&amp;" "&amp;T1046))),ISNUMBER(SEARCH("bank",LOWER(F1046&amp;" "&amp;H1046&amp;" "&amp;I1046&amp;" "&amp;M1046&amp;" "&amp;N1046&amp;" "&amp;T1046))),ISNUMBER(SEARCH("banking",LOWER(F1046&amp;" "&amp;H1046&amp;" "&amp;I1046&amp;" "&amp;M1046&amp;" "&amp;N1046&amp;" "&amp;T1046)))),"PRIVATE_QUARANTINE",IF(OR(ISNUMBER(SEARCH("treasury",LOWER(F1046&amp;" "&amp;H1046&amp;" "&amp;I1046&amp;" "&amp;M1046&amp;" "&amp;N1046&amp;" "&amp;T1046))),ISNUMBER(SEARCH("debt",LOWER(F1046&amp;" "&amp;H1046&amp;" "&amp;I1046&amp;" "&amp;M1046&amp;" "&amp;N1046&amp;" "&amp;T1046))),ISNUMBER(SEARCH("bond",LOWER(F1046&amp;" "&amp;H1046&amp;" "&amp;I1046&amp;" "&amp;M1046&amp;" "&amp;N1046&amp;" "&amp;T1046))),ISNUMBER(SEARCH("transaction",LOWER(F1046&amp;" "&amp;H1046&amp;" "&amp;I1046&amp;" "&amp;M1046&amp;" "&amp;N1046&amp;" "&amp;T1046)))),"PRIVATE_REVIEW","PUBLIC_CANDIDATE"))</x:f>
        <x:v>PUBLIC_CANDIDATE</x:v>
      </x:c>
      <x:c r="AD1046" s="12" t="str">
        <x:f>IF(AC1046="PRIVATE_QUARANTINE","hacker_or_bank_trigger",IF(AC1046="PRIVATE_REVIEW","finance_risk_trigger","none"))</x:f>
        <x:v>none</x:v>
      </x:c>
      <x:c r="AE1046" s="12" t="str">
        <x:f>IF(AC1046="PUBLIC_CANDIDATE","prepare_public_github_candidate",IF(AC1046="PRIVATE_REVIEW","hold_for_private_review","quarantine_private_do_not_publish"))</x:f>
        <x:v>prepare_public_github_candidate</x:v>
      </x:c>
      <x:c r="AF1046" s="12" t="str">
        <x:f>IF(AC1046="PUBLIC_CANDIDATE","TIDELOCK + Lucerna",IF(AC1046="PRIVATE_REVIEW","AtlasBrain + Lucerna","TIDELOCK + Lucerna + Human-root"))</x:f>
        <x:v>TIDELOCK + Lucerna</x:v>
      </x:c>
      <x:c r="AG1046" s="12" t="str">
        <x:f>IF(AND(AC1046="PUBLIC_CANDIDATE",U1046&lt;&gt;"BLOCKED_PENDING_RECEIPT"),"READY_AFTER_RECEIPT","NOT_READY")</x:f>
        <x:v>NOT_READY</x:v>
      </x:c>
      <x:c r="AH1046" s="12" t="str">
        <x:f>IF(AC1046="PUBLIC_CANDIDATE","none",AD1046)</x:f>
        <x:v>none</x:v>
      </x:c>
      <x:c r="AI1046" s="12" t="str">
        <x:f>IF(AC1046="PUBLIC_CANDIDATE","archive/public_candidates/"&amp;A1046,"private_quarantine/"&amp;A1046)</x:f>
        <x:v>archive/public_candidates/SWARM-08-H04-S01</x:v>
      </x:c>
      <x:c r="AJ1046" s="12" t="str">
        <x:f>IF(AC1046="PUBLIC_CANDIDATE","public by default; still not canon","private/hold; do not publish")</x:f>
        <x:v>public by default; still not canon</x:v>
      </x:c>
      <x:c r="AK1046" s="12" t="str">
        <x:f>IF(AE1046="prepare_public_github_candidate","add receipt/status then mirror","resolve blocker before any public GitHub action")</x:f>
        <x:v>add receipt/status then mirror</x:v>
      </x:c>
    </x:row>
    <x:row r="1047">
      <x:c r="A1047" s="15" t="str">
        <x:v>SWARM-08-H04-S02</x:v>
      </x:c>
      <x:c r="B1047" s="15" t="str">
        <x:v>GammaSprite</x:v>
      </x:c>
      <x:c r="C1047" s="15" t="str">
        <x:v>Deck surface mapper</x:v>
      </x:c>
      <x:c r="D1047" s="15" t="str">
        <x:v>Claim Extraction</x:v>
      </x:c>
      <x:c r="E1047" s="15" t="str">
        <x:v>Drive</x:v>
      </x:c>
      <x:c r="F1047" s="15" t="str">
        <x:v>Extract claims from Drive — GammaSprite</x:v>
      </x:c>
      <x:c r="G1047" s="15" t="str">
        <x:v>Gamma/deck extraction / slide lineage</x:v>
      </x:c>
      <x:c r="H1047" s="15" t="str">
        <x:v>source path + receipt + raw/export status + claim/edge/risk delta</x:v>
      </x:c>
      <x:c r="I1047" s="15" t="str">
        <x:v>packet/SWARM-08-H04-S02</x:v>
      </x:c>
      <x:c r="J1047" s="15" t="str">
        <x:v>TODO</x:v>
      </x:c>
      <x:c r="K1047" s="15" t="str">
        <x:v>P0</x:v>
      </x:c>
      <x:c r="L1047" s="15" t="str">
        <x:v>Done only when evidence is logged, contradiction search is noted, and boundary stamp remains non-canon unless ratified</x:v>
      </x:c>
      <x:c r="M1047" s="15" t="str">
        <x:v>candidate / staging-only / not canon / not deployed / authority none</x:v>
      </x:c>
      <x:c r="N1047" s="15" t="str">
        <x:v>Dispatch to GammaSprite: complete Claim Extraction x Drive; return deltas only, receipts required.</x:v>
      </x:c>
      <x:c r="O1047" s="15" t="str">
        <x:v>AF-KG-H04-S02</x:v>
      </x:c>
      <x:c r="P1047" s="15" t="str">
        <x:v>Unverified</x:v>
      </x:c>
      <x:c r="Q1047" s="15" t="str">
        <x:v>Not checked</x:v>
      </x:c>
      <x:c r="R1047" s="15" t="str"/>
      <x:c r="S1047" s="15" t="str"/>
      <x:c r="T1047" s="15" t="str">
        <x:v>Log first source path or blocker</x:v>
      </x:c>
      <x:c r="U1047" s="12" t="str">
        <x:f>IF(OR(P1047="Unverified",Q1047="Not checked"),"BLOCKED_PENDING_RECEIPT","READY_FOR_REVIEW")</x:f>
        <x:v>BLOCKED_PENDING_RECEIPT</x:v>
      </x:c>
      <x:c r="V1047" s="12" t="str">
        <x:f>IF(J1047="DONE","RETURNED",IF(U1047="BLOCKED_PENDING_RECEIPT","SOURCE_TOUCH_REQUIRED","IN_PROGRESS"))</x:f>
        <x:v>SOURCE_TOUCH_REQUIRED</x:v>
      </x:c>
      <x:c r="W1047" s="12" t="str">
        <x:f>IF(P1047="Unverified","missing_receipt","receipt_logged")</x:f>
        <x:v>missing_receipt</x:v>
      </x:c>
      <x:c r="X1047" s="12" t="str">
        <x:f>IF(Q1047="Not checked","raw_status_missing","raw_status_logged")</x:f>
        <x:v>raw_status_missing</x:v>
      </x:c>
      <x:c r="Y1047" s="12" t="str">
        <x:f>IF(U1047="BLOCKED_PENDING_RECEIPT","Log source path or blocker; do not promote","Route to review lane")</x:f>
        <x:v>Log source path or blocker; do not promote</x:v>
      </x:c>
      <x:c r="Z1047" s="12" t="str">
        <x:f>IF(K1047="P0","Primary seat + Hashlight/Lucerna","Seat lane")</x:f>
        <x:v>Primary seat + Hashlight/Lucerna</x:v>
      </x:c>
      <x:c r="AA1047" s="12" t="str">
        <x:f>IF(R1047="","no_claim_delta","claim_delta_present")</x:f>
        <x:v>no_claim_delta</x:v>
      </x:c>
      <x:c r="AB1047" s="12" t="str">
        <x:f>IF(S1047="","no_contradiction_delta","contradiction_delta_present")</x:f>
        <x:v>no_contradiction_delta</x:v>
      </x:c>
      <x:c r="AC1047" s="12" t="str">
        <x:f>IF(OR(ISNUMBER(SEARCH("hacker",LOWER(F1047&amp;" "&amp;H1047&amp;" "&amp;I1047&amp;" "&amp;M1047&amp;" "&amp;N1047&amp;" "&amp;T1047))),ISNUMBER(SEARCH("hacking",LOWER(F1047&amp;" "&amp;H1047&amp;" "&amp;I1047&amp;" "&amp;M1047&amp;" "&amp;N1047&amp;" "&amp;T1047))),ISNUMBER(SEARCH("bank",LOWER(F1047&amp;" "&amp;H1047&amp;" "&amp;I1047&amp;" "&amp;M1047&amp;" "&amp;N1047&amp;" "&amp;T1047))),ISNUMBER(SEARCH("banking",LOWER(F1047&amp;" "&amp;H1047&amp;" "&amp;I1047&amp;" "&amp;M1047&amp;" "&amp;N1047&amp;" "&amp;T1047)))),"PRIVATE_QUARANTINE",IF(OR(ISNUMBER(SEARCH("treasury",LOWER(F1047&amp;" "&amp;H1047&amp;" "&amp;I1047&amp;" "&amp;M1047&amp;" "&amp;N1047&amp;" "&amp;T1047))),ISNUMBER(SEARCH("debt",LOWER(F1047&amp;" "&amp;H1047&amp;" "&amp;I1047&amp;" "&amp;M1047&amp;" "&amp;N1047&amp;" "&amp;T1047))),ISNUMBER(SEARCH("bond",LOWER(F1047&amp;" "&amp;H1047&amp;" "&amp;I1047&amp;" "&amp;M1047&amp;" "&amp;N1047&amp;" "&amp;T1047))),ISNUMBER(SEARCH("transaction",LOWER(F1047&amp;" "&amp;H1047&amp;" "&amp;I1047&amp;" "&amp;M1047&amp;" "&amp;N1047&amp;" "&amp;T1047)))),"PRIVATE_REVIEW","PUBLIC_CANDIDATE"))</x:f>
        <x:v>PUBLIC_CANDIDATE</x:v>
      </x:c>
      <x:c r="AD1047" s="12" t="str">
        <x:f>IF(AC1047="PRIVATE_QUARANTINE","hacker_or_bank_trigger",IF(AC1047="PRIVATE_REVIEW","finance_risk_trigger","none"))</x:f>
        <x:v>none</x:v>
      </x:c>
      <x:c r="AE1047" s="12" t="str">
        <x:f>IF(AC1047="PUBLIC_CANDIDATE","prepare_public_github_candidate",IF(AC1047="PRIVATE_REVIEW","hold_for_private_review","quarantine_private_do_not_publish"))</x:f>
        <x:v>prepare_public_github_candidate</x:v>
      </x:c>
      <x:c r="AF1047" s="12" t="str">
        <x:f>IF(AC1047="PUBLIC_CANDIDATE","TIDELOCK + Lucerna",IF(AC1047="PRIVATE_REVIEW","AtlasBrain + Lucerna","TIDELOCK + Lucerna + Human-root"))</x:f>
        <x:v>TIDELOCK + Lucerna</x:v>
      </x:c>
      <x:c r="AG1047" s="12" t="str">
        <x:f>IF(AND(AC1047="PUBLIC_CANDIDATE",U1047&lt;&gt;"BLOCKED_PENDING_RECEIPT"),"READY_AFTER_RECEIPT","NOT_READY")</x:f>
        <x:v>NOT_READY</x:v>
      </x:c>
      <x:c r="AH1047" s="12" t="str">
        <x:f>IF(AC1047="PUBLIC_CANDIDATE","none",AD1047)</x:f>
        <x:v>none</x:v>
      </x:c>
      <x:c r="AI1047" s="12" t="str">
        <x:f>IF(AC1047="PUBLIC_CANDIDATE","archive/public_candidates/"&amp;A1047,"private_quarantine/"&amp;A1047)</x:f>
        <x:v>archive/public_candidates/SWARM-08-H04-S02</x:v>
      </x:c>
      <x:c r="AJ1047" s="12" t="str">
        <x:f>IF(AC1047="PUBLIC_CANDIDATE","public by default; still not canon","private/hold; do not publish")</x:f>
        <x:v>public by default; still not canon</x:v>
      </x:c>
      <x:c r="AK1047" s="12" t="str">
        <x:f>IF(AE1047="prepare_public_github_candidate","add receipt/status then mirror","resolve blocker before any public GitHub action")</x:f>
        <x:v>add receipt/status then mirror</x:v>
      </x:c>
    </x:row>
    <x:row r="1048">
      <x:c r="A1048" s="15" t="str">
        <x:v>SWARM-08-H04-S03</x:v>
      </x:c>
      <x:c r="B1048" s="15" t="str">
        <x:v>GammaSprite</x:v>
      </x:c>
      <x:c r="C1048" s="15" t="str">
        <x:v>Deck surface mapper</x:v>
      </x:c>
      <x:c r="D1048" s="15" t="str">
        <x:v>Claim Extraction</x:v>
      </x:c>
      <x:c r="E1048" s="15" t="str">
        <x:v>GitHub</x:v>
      </x:c>
      <x:c r="F1048" s="15" t="str">
        <x:v>Extract claims from GitHub — GammaSprite</x:v>
      </x:c>
      <x:c r="G1048" s="15" t="str">
        <x:v>Gamma/deck extraction / slide lineage</x:v>
      </x:c>
      <x:c r="H1048" s="15" t="str">
        <x:v>source path + receipt + raw/export status + claim/edge/risk delta</x:v>
      </x:c>
      <x:c r="I1048" s="15" t="str">
        <x:v>packet/SWARM-08-H04-S03</x:v>
      </x:c>
      <x:c r="J1048" s="15" t="str">
        <x:v>TODO</x:v>
      </x:c>
      <x:c r="K1048" s="15" t="str">
        <x:v>P0</x:v>
      </x:c>
      <x:c r="L1048" s="15" t="str">
        <x:v>Done only when evidence is logged, contradiction search is noted, and boundary stamp remains non-canon unless ratified</x:v>
      </x:c>
      <x:c r="M1048" s="15" t="str">
        <x:v>candidate / staging-only / not canon / not deployed / authority none</x:v>
      </x:c>
      <x:c r="N1048" s="15" t="str">
        <x:v>Dispatch to GammaSprite: complete Claim Extraction x GitHub; return deltas only, receipts required.</x:v>
      </x:c>
      <x:c r="O1048" s="15" t="str">
        <x:v>AF-KG-H04-S03</x:v>
      </x:c>
      <x:c r="P1048" s="15" t="str">
        <x:v>Unverified</x:v>
      </x:c>
      <x:c r="Q1048" s="15" t="str">
        <x:v>Not checked</x:v>
      </x:c>
      <x:c r="R1048" s="15" t="str"/>
      <x:c r="S1048" s="15" t="str"/>
      <x:c r="T1048" s="15" t="str">
        <x:v>Log first source path or blocker</x:v>
      </x:c>
      <x:c r="U1048" s="12" t="str">
        <x:f>IF(OR(P1048="Unverified",Q1048="Not checked"),"BLOCKED_PENDING_RECEIPT","READY_FOR_REVIEW")</x:f>
        <x:v>BLOCKED_PENDING_RECEIPT</x:v>
      </x:c>
      <x:c r="V1048" s="12" t="str">
        <x:f>IF(J1048="DONE","RETURNED",IF(U1048="BLOCKED_PENDING_RECEIPT","SOURCE_TOUCH_REQUIRED","IN_PROGRESS"))</x:f>
        <x:v>SOURCE_TOUCH_REQUIRED</x:v>
      </x:c>
      <x:c r="W1048" s="12" t="str">
        <x:f>IF(P1048="Unverified","missing_receipt","receipt_logged")</x:f>
        <x:v>missing_receipt</x:v>
      </x:c>
      <x:c r="X1048" s="12" t="str">
        <x:f>IF(Q1048="Not checked","raw_status_missing","raw_status_logged")</x:f>
        <x:v>raw_status_missing</x:v>
      </x:c>
      <x:c r="Y1048" s="12" t="str">
        <x:f>IF(U1048="BLOCKED_PENDING_RECEIPT","Log source path or blocker; do not promote","Route to review lane")</x:f>
        <x:v>Log source path or blocker; do not promote</x:v>
      </x:c>
      <x:c r="Z1048" s="12" t="str">
        <x:f>IF(K1048="P0","Primary seat + Hashlight/Lucerna","Seat lane")</x:f>
        <x:v>Primary seat + Hashlight/Lucerna</x:v>
      </x:c>
      <x:c r="AA1048" s="12" t="str">
        <x:f>IF(R1048="","no_claim_delta","claim_delta_present")</x:f>
        <x:v>no_claim_delta</x:v>
      </x:c>
      <x:c r="AB1048" s="12" t="str">
        <x:f>IF(S1048="","no_contradiction_delta","contradiction_delta_present")</x:f>
        <x:v>no_contradiction_delta</x:v>
      </x:c>
      <x:c r="AC1048" s="12" t="str">
        <x:f>IF(OR(ISNUMBER(SEARCH("hacker",LOWER(F1048&amp;" "&amp;H1048&amp;" "&amp;I1048&amp;" "&amp;M1048&amp;" "&amp;N1048&amp;" "&amp;T1048))),ISNUMBER(SEARCH("hacking",LOWER(F1048&amp;" "&amp;H1048&amp;" "&amp;I1048&amp;" "&amp;M1048&amp;" "&amp;N1048&amp;" "&amp;T1048))),ISNUMBER(SEARCH("bank",LOWER(F1048&amp;" "&amp;H1048&amp;" "&amp;I1048&amp;" "&amp;M1048&amp;" "&amp;N1048&amp;" "&amp;T1048))),ISNUMBER(SEARCH("banking",LOWER(F1048&amp;" "&amp;H1048&amp;" "&amp;I1048&amp;" "&amp;M1048&amp;" "&amp;N1048&amp;" "&amp;T1048)))),"PRIVATE_QUARANTINE",IF(OR(ISNUMBER(SEARCH("treasury",LOWER(F1048&amp;" "&amp;H1048&amp;" "&amp;I1048&amp;" "&amp;M1048&amp;" "&amp;N1048&amp;" "&amp;T1048))),ISNUMBER(SEARCH("debt",LOWER(F1048&amp;" "&amp;H1048&amp;" "&amp;I1048&amp;" "&amp;M1048&amp;" "&amp;N1048&amp;" "&amp;T1048))),ISNUMBER(SEARCH("bond",LOWER(F1048&amp;" "&amp;H1048&amp;" "&amp;I1048&amp;" "&amp;M1048&amp;" "&amp;N1048&amp;" "&amp;T1048))),ISNUMBER(SEARCH("transaction",LOWER(F1048&amp;" "&amp;H1048&amp;" "&amp;I1048&amp;" "&amp;M1048&amp;" "&amp;N1048&amp;" "&amp;T1048)))),"PRIVATE_REVIEW","PUBLIC_CANDIDATE"))</x:f>
        <x:v>PUBLIC_CANDIDATE</x:v>
      </x:c>
      <x:c r="AD1048" s="12" t="str">
        <x:f>IF(AC1048="PRIVATE_QUARANTINE","hacker_or_bank_trigger",IF(AC1048="PRIVATE_REVIEW","finance_risk_trigger","none"))</x:f>
        <x:v>none</x:v>
      </x:c>
      <x:c r="AE1048" s="12" t="str">
        <x:f>IF(AC1048="PUBLIC_CANDIDATE","prepare_public_github_candidate",IF(AC1048="PRIVATE_REVIEW","hold_for_private_review","quarantine_private_do_not_publish"))</x:f>
        <x:v>prepare_public_github_candidate</x:v>
      </x:c>
      <x:c r="AF1048" s="12" t="str">
        <x:f>IF(AC1048="PUBLIC_CANDIDATE","TIDELOCK + Lucerna",IF(AC1048="PRIVATE_REVIEW","AtlasBrain + Lucerna","TIDELOCK + Lucerna + Human-root"))</x:f>
        <x:v>TIDELOCK + Lucerna</x:v>
      </x:c>
      <x:c r="AG1048" s="12" t="str">
        <x:f>IF(AND(AC1048="PUBLIC_CANDIDATE",U1048&lt;&gt;"BLOCKED_PENDING_RECEIPT"),"READY_AFTER_RECEIPT","NOT_READY")</x:f>
        <x:v>NOT_READY</x:v>
      </x:c>
      <x:c r="AH1048" s="12" t="str">
        <x:f>IF(AC1048="PUBLIC_CANDIDATE","none",AD1048)</x:f>
        <x:v>none</x:v>
      </x:c>
      <x:c r="AI1048" s="12" t="str">
        <x:f>IF(AC1048="PUBLIC_CANDIDATE","archive/public_candidates/"&amp;A1048,"private_quarantine/"&amp;A1048)</x:f>
        <x:v>archive/public_candidates/SWARM-08-H04-S03</x:v>
      </x:c>
      <x:c r="AJ1048" s="12" t="str">
        <x:f>IF(AC1048="PUBLIC_CANDIDATE","public by default; still not canon","private/hold; do not publish")</x:f>
        <x:v>public by default; still not canon</x:v>
      </x:c>
      <x:c r="AK1048" s="12" t="str">
        <x:f>IF(AE1048="prepare_public_github_candidate","add receipt/status then mirror","resolve blocker before any public GitHub action")</x:f>
        <x:v>add receipt/status then mirror</x:v>
      </x:c>
    </x:row>
    <x:row r="1049">
      <x:c r="A1049" s="15" t="str">
        <x:v>SWARM-08-H04-S04</x:v>
      </x:c>
      <x:c r="B1049" s="15" t="str">
        <x:v>GammaSprite</x:v>
      </x:c>
      <x:c r="C1049" s="15" t="str">
        <x:v>Deck surface mapper</x:v>
      </x:c>
      <x:c r="D1049" s="15" t="str">
        <x:v>Claim Extraction</x:v>
      </x:c>
      <x:c r="E1049" s="15" t="str">
        <x:v>Gamma</x:v>
      </x:c>
      <x:c r="F1049" s="15" t="str">
        <x:v>Extract claims from Gamma — GammaSprite</x:v>
      </x:c>
      <x:c r="G1049" s="15" t="str">
        <x:v>Gamma/deck extraction / slide lineage</x:v>
      </x:c>
      <x:c r="H1049" s="15" t="str">
        <x:v>source path + receipt + raw/export status + claim/edge/risk delta</x:v>
      </x:c>
      <x:c r="I1049" s="15" t="str">
        <x:v>packet/SWARM-08-H04-S04</x:v>
      </x:c>
      <x:c r="J1049" s="15" t="str">
        <x:v>TODO</x:v>
      </x:c>
      <x:c r="K1049" s="15" t="str">
        <x:v>P1</x:v>
      </x:c>
      <x:c r="L1049" s="15" t="str">
        <x:v>Done only when evidence is logged, contradiction search is noted, and boundary stamp remains non-canon unless ratified</x:v>
      </x:c>
      <x:c r="M1049" s="15" t="str">
        <x:v>candidate / staging-only / not canon / not deployed / authority none</x:v>
      </x:c>
      <x:c r="N1049" s="15" t="str">
        <x:v>Dispatch to GammaSprite: complete Claim Extraction x Gamma; return deltas only, receipts required.</x:v>
      </x:c>
      <x:c r="O1049" s="15" t="str">
        <x:v>AF-KG-H04-S04</x:v>
      </x:c>
      <x:c r="P1049" s="15" t="str">
        <x:v>Unverified</x:v>
      </x:c>
      <x:c r="Q1049" s="15" t="str">
        <x:v>Not checked</x:v>
      </x:c>
      <x:c r="R1049" s="15" t="str"/>
      <x:c r="S1049" s="15" t="str"/>
      <x:c r="T1049" s="15" t="str">
        <x:v>Log first source path or blocker</x:v>
      </x:c>
      <x:c r="U1049" s="12" t="str">
        <x:f>IF(OR(P1049="Unverified",Q1049="Not checked"),"BLOCKED_PENDING_RECEIPT","READY_FOR_REVIEW")</x:f>
        <x:v>BLOCKED_PENDING_RECEIPT</x:v>
      </x:c>
      <x:c r="V1049" s="12" t="str">
        <x:f>IF(J1049="DONE","RETURNED",IF(U1049="BLOCKED_PENDING_RECEIPT","SOURCE_TOUCH_REQUIRED","IN_PROGRESS"))</x:f>
        <x:v>SOURCE_TOUCH_REQUIRED</x:v>
      </x:c>
      <x:c r="W1049" s="12" t="str">
        <x:f>IF(P1049="Unverified","missing_receipt","receipt_logged")</x:f>
        <x:v>missing_receipt</x:v>
      </x:c>
      <x:c r="X1049" s="12" t="str">
        <x:f>IF(Q1049="Not checked","raw_status_missing","raw_status_logged")</x:f>
        <x:v>raw_status_missing</x:v>
      </x:c>
      <x:c r="Y1049" s="12" t="str">
        <x:f>IF(U1049="BLOCKED_PENDING_RECEIPT","Log source path or blocker; do not promote","Route to review lane")</x:f>
        <x:v>Log source path or blocker; do not promote</x:v>
      </x:c>
      <x:c r="Z1049" s="12" t="str">
        <x:f>IF(K1049="P0","Primary seat + Hashlight/Lucerna","Seat lane")</x:f>
        <x:v>Seat lane</x:v>
      </x:c>
      <x:c r="AA1049" s="12" t="str">
        <x:f>IF(R1049="","no_claim_delta","claim_delta_present")</x:f>
        <x:v>no_claim_delta</x:v>
      </x:c>
      <x:c r="AB1049" s="12" t="str">
        <x:f>IF(S1049="","no_contradiction_delta","contradiction_delta_present")</x:f>
        <x:v>no_contradiction_delta</x:v>
      </x:c>
      <x:c r="AC1049" s="12" t="str">
        <x:f>IF(OR(ISNUMBER(SEARCH("hacker",LOWER(F1049&amp;" "&amp;H1049&amp;" "&amp;I1049&amp;" "&amp;M1049&amp;" "&amp;N1049&amp;" "&amp;T1049))),ISNUMBER(SEARCH("hacking",LOWER(F1049&amp;" "&amp;H1049&amp;" "&amp;I1049&amp;" "&amp;M1049&amp;" "&amp;N1049&amp;" "&amp;T1049))),ISNUMBER(SEARCH("bank",LOWER(F1049&amp;" "&amp;H1049&amp;" "&amp;I1049&amp;" "&amp;M1049&amp;" "&amp;N1049&amp;" "&amp;T1049))),ISNUMBER(SEARCH("banking",LOWER(F1049&amp;" "&amp;H1049&amp;" "&amp;I1049&amp;" "&amp;M1049&amp;" "&amp;N1049&amp;" "&amp;T1049)))),"PRIVATE_QUARANTINE",IF(OR(ISNUMBER(SEARCH("treasury",LOWER(F1049&amp;" "&amp;H1049&amp;" "&amp;I1049&amp;" "&amp;M1049&amp;" "&amp;N1049&amp;" "&amp;T1049))),ISNUMBER(SEARCH("debt",LOWER(F1049&amp;" "&amp;H1049&amp;" "&amp;I1049&amp;" "&amp;M1049&amp;" "&amp;N1049&amp;" "&amp;T1049))),ISNUMBER(SEARCH("bond",LOWER(F1049&amp;" "&amp;H1049&amp;" "&amp;I1049&amp;" "&amp;M1049&amp;" "&amp;N1049&amp;" "&amp;T1049))),ISNUMBER(SEARCH("transaction",LOWER(F1049&amp;" "&amp;H1049&amp;" "&amp;I1049&amp;" "&amp;M1049&amp;" "&amp;N1049&amp;" "&amp;T1049)))),"PRIVATE_REVIEW","PUBLIC_CANDIDATE"))</x:f>
        <x:v>PUBLIC_CANDIDATE</x:v>
      </x:c>
      <x:c r="AD1049" s="12" t="str">
        <x:f>IF(AC1049="PRIVATE_QUARANTINE","hacker_or_bank_trigger",IF(AC1049="PRIVATE_REVIEW","finance_risk_trigger","none"))</x:f>
        <x:v>none</x:v>
      </x:c>
      <x:c r="AE1049" s="12" t="str">
        <x:f>IF(AC1049="PUBLIC_CANDIDATE","prepare_public_github_candidate",IF(AC1049="PRIVATE_REVIEW","hold_for_private_review","quarantine_private_do_not_publish"))</x:f>
        <x:v>prepare_public_github_candidate</x:v>
      </x:c>
      <x:c r="AF1049" s="12" t="str">
        <x:f>IF(AC1049="PUBLIC_CANDIDATE","TIDELOCK + Lucerna",IF(AC1049="PRIVATE_REVIEW","AtlasBrain + Lucerna","TIDELOCK + Lucerna + Human-root"))</x:f>
        <x:v>TIDELOCK + Lucerna</x:v>
      </x:c>
      <x:c r="AG1049" s="12" t="str">
        <x:f>IF(AND(AC1049="PUBLIC_CANDIDATE",U1049&lt;&gt;"BLOCKED_PENDING_RECEIPT"),"READY_AFTER_RECEIPT","NOT_READY")</x:f>
        <x:v>NOT_READY</x:v>
      </x:c>
      <x:c r="AH1049" s="12" t="str">
        <x:f>IF(AC1049="PUBLIC_CANDIDATE","none",AD1049)</x:f>
        <x:v>none</x:v>
      </x:c>
      <x:c r="AI1049" s="12" t="str">
        <x:f>IF(AC1049="PUBLIC_CANDIDATE","archive/public_candidates/"&amp;A1049,"private_quarantine/"&amp;A1049)</x:f>
        <x:v>archive/public_candidates/SWARM-08-H04-S04</x:v>
      </x:c>
      <x:c r="AJ1049" s="12" t="str">
        <x:f>IF(AC1049="PUBLIC_CANDIDATE","public by default; still not canon","private/hold; do not publish")</x:f>
        <x:v>public by default; still not canon</x:v>
      </x:c>
      <x:c r="AK1049" s="12" t="str">
        <x:f>IF(AE1049="prepare_public_github_candidate","add receipt/status then mirror","resolve blocker before any public GitHub action")</x:f>
        <x:v>add receipt/status then mirror</x:v>
      </x:c>
    </x:row>
    <x:row r="1050">
      <x:c r="A1050" s="15" t="str">
        <x:v>SWARM-08-H04-S05</x:v>
      </x:c>
      <x:c r="B1050" s="15" t="str">
        <x:v>GammaSprite</x:v>
      </x:c>
      <x:c r="C1050" s="15" t="str">
        <x:v>Deck surface mapper</x:v>
      </x:c>
      <x:c r="D1050" s="15" t="str">
        <x:v>Claim Extraction</x:v>
      </x:c>
      <x:c r="E1050" s="15" t="str">
        <x:v>Chat</x:v>
      </x:c>
      <x:c r="F1050" s="15" t="str">
        <x:v>Extract claims from Chat — GammaSprite</x:v>
      </x:c>
      <x:c r="G1050" s="15" t="str">
        <x:v>Gamma/deck extraction / slide lineage</x:v>
      </x:c>
      <x:c r="H1050" s="15" t="str">
        <x:v>source path + receipt + raw/export status + claim/edge/risk delta</x:v>
      </x:c>
      <x:c r="I1050" s="15" t="str">
        <x:v>packet/SWARM-08-H04-S05</x:v>
      </x:c>
      <x:c r="J1050" s="15" t="str">
        <x:v>TODO</x:v>
      </x:c>
      <x:c r="K1050" s="15" t="str">
        <x:v>P1</x:v>
      </x:c>
      <x:c r="L1050" s="15" t="str">
        <x:v>Done only when evidence is logged, contradiction search is noted, and boundary stamp remains non-canon unless ratified</x:v>
      </x:c>
      <x:c r="M1050" s="15" t="str">
        <x:v>candidate / staging-only / not canon / not deployed / authority none</x:v>
      </x:c>
      <x:c r="N1050" s="15" t="str">
        <x:v>Dispatch to GammaSprite: complete Claim Extraction x Chat; return deltas only, receipts required.</x:v>
      </x:c>
      <x:c r="O1050" s="15" t="str">
        <x:v>AF-KG-H04-S05</x:v>
      </x:c>
      <x:c r="P1050" s="15" t="str">
        <x:v>Unverified</x:v>
      </x:c>
      <x:c r="Q1050" s="15" t="str">
        <x:v>Not checked</x:v>
      </x:c>
      <x:c r="R1050" s="15" t="str"/>
      <x:c r="S1050" s="15" t="str"/>
      <x:c r="T1050" s="15" t="str">
        <x:v>Log first source path or blocker</x:v>
      </x:c>
      <x:c r="U1050" s="12" t="str">
        <x:f>IF(OR(P1050="Unverified",Q1050="Not checked"),"BLOCKED_PENDING_RECEIPT","READY_FOR_REVIEW")</x:f>
        <x:v>BLOCKED_PENDING_RECEIPT</x:v>
      </x:c>
      <x:c r="V1050" s="12" t="str">
        <x:f>IF(J1050="DONE","RETURNED",IF(U1050="BLOCKED_PENDING_RECEIPT","SOURCE_TOUCH_REQUIRED","IN_PROGRESS"))</x:f>
        <x:v>SOURCE_TOUCH_REQUIRED</x:v>
      </x:c>
      <x:c r="W1050" s="12" t="str">
        <x:f>IF(P1050="Unverified","missing_receipt","receipt_logged")</x:f>
        <x:v>missing_receipt</x:v>
      </x:c>
      <x:c r="X1050" s="12" t="str">
        <x:f>IF(Q1050="Not checked","raw_status_missing","raw_status_logged")</x:f>
        <x:v>raw_status_missing</x:v>
      </x:c>
      <x:c r="Y1050" s="12" t="str">
        <x:f>IF(U1050="BLOCKED_PENDING_RECEIPT","Log source path or blocker; do not promote","Route to review lane")</x:f>
        <x:v>Log source path or blocker; do not promote</x:v>
      </x:c>
      <x:c r="Z1050" s="12" t="str">
        <x:f>IF(K1050="P0","Primary seat + Hashlight/Lucerna","Seat lane")</x:f>
        <x:v>Seat lane</x:v>
      </x:c>
      <x:c r="AA1050" s="12" t="str">
        <x:f>IF(R1050="","no_claim_delta","claim_delta_present")</x:f>
        <x:v>no_claim_delta</x:v>
      </x:c>
      <x:c r="AB1050" s="12" t="str">
        <x:f>IF(S1050="","no_contradiction_delta","contradiction_delta_present")</x:f>
        <x:v>no_contradiction_delta</x:v>
      </x:c>
      <x:c r="AC1050" s="12" t="str">
        <x:f>IF(OR(ISNUMBER(SEARCH("hacker",LOWER(F1050&amp;" "&amp;H1050&amp;" "&amp;I1050&amp;" "&amp;M1050&amp;" "&amp;N1050&amp;" "&amp;T1050))),ISNUMBER(SEARCH("hacking",LOWER(F1050&amp;" "&amp;H1050&amp;" "&amp;I1050&amp;" "&amp;M1050&amp;" "&amp;N1050&amp;" "&amp;T1050))),ISNUMBER(SEARCH("bank",LOWER(F1050&amp;" "&amp;H1050&amp;" "&amp;I1050&amp;" "&amp;M1050&amp;" "&amp;N1050&amp;" "&amp;T1050))),ISNUMBER(SEARCH("banking",LOWER(F1050&amp;" "&amp;H1050&amp;" "&amp;I1050&amp;" "&amp;M1050&amp;" "&amp;N1050&amp;" "&amp;T1050)))),"PRIVATE_QUARANTINE",IF(OR(ISNUMBER(SEARCH("treasury",LOWER(F1050&amp;" "&amp;H1050&amp;" "&amp;I1050&amp;" "&amp;M1050&amp;" "&amp;N1050&amp;" "&amp;T1050))),ISNUMBER(SEARCH("debt",LOWER(F1050&amp;" "&amp;H1050&amp;" "&amp;I1050&amp;" "&amp;M1050&amp;" "&amp;N1050&amp;" "&amp;T1050))),ISNUMBER(SEARCH("bond",LOWER(F1050&amp;" "&amp;H1050&amp;" "&amp;I1050&amp;" "&amp;M1050&amp;" "&amp;N1050&amp;" "&amp;T1050))),ISNUMBER(SEARCH("transaction",LOWER(F1050&amp;" "&amp;H1050&amp;" "&amp;I1050&amp;" "&amp;M1050&amp;" "&amp;N1050&amp;" "&amp;T1050)))),"PRIVATE_REVIEW","PUBLIC_CANDIDATE"))</x:f>
        <x:v>PUBLIC_CANDIDATE</x:v>
      </x:c>
      <x:c r="AD1050" s="12" t="str">
        <x:f>IF(AC1050="PRIVATE_QUARANTINE","hacker_or_bank_trigger",IF(AC1050="PRIVATE_REVIEW","finance_risk_trigger","none"))</x:f>
        <x:v>none</x:v>
      </x:c>
      <x:c r="AE1050" s="12" t="str">
        <x:f>IF(AC1050="PUBLIC_CANDIDATE","prepare_public_github_candidate",IF(AC1050="PRIVATE_REVIEW","hold_for_private_review","quarantine_private_do_not_publish"))</x:f>
        <x:v>prepare_public_github_candidate</x:v>
      </x:c>
      <x:c r="AF1050" s="12" t="str">
        <x:f>IF(AC1050="PUBLIC_CANDIDATE","TIDELOCK + Lucerna",IF(AC1050="PRIVATE_REVIEW","AtlasBrain + Lucerna","TIDELOCK + Lucerna + Human-root"))</x:f>
        <x:v>TIDELOCK + Lucerna</x:v>
      </x:c>
      <x:c r="AG1050" s="12" t="str">
        <x:f>IF(AND(AC1050="PUBLIC_CANDIDATE",U1050&lt;&gt;"BLOCKED_PENDING_RECEIPT"),"READY_AFTER_RECEIPT","NOT_READY")</x:f>
        <x:v>NOT_READY</x:v>
      </x:c>
      <x:c r="AH1050" s="12" t="str">
        <x:f>IF(AC1050="PUBLIC_CANDIDATE","none",AD1050)</x:f>
        <x:v>none</x:v>
      </x:c>
      <x:c r="AI1050" s="12" t="str">
        <x:f>IF(AC1050="PUBLIC_CANDIDATE","archive/public_candidates/"&amp;A1050,"private_quarantine/"&amp;A1050)</x:f>
        <x:v>archive/public_candidates/SWARM-08-H04-S05</x:v>
      </x:c>
      <x:c r="AJ1050" s="12" t="str">
        <x:f>IF(AC1050="PUBLIC_CANDIDATE","public by default; still not canon","private/hold; do not publish")</x:f>
        <x:v>public by default; still not canon</x:v>
      </x:c>
      <x:c r="AK1050" s="12" t="str">
        <x:f>IF(AE1050="prepare_public_github_candidate","add receipt/status then mirror","resolve blocker before any public GitHub action")</x:f>
        <x:v>add receipt/status then mirror</x:v>
      </x:c>
    </x:row>
    <x:row r="1051">
      <x:c r="A1051" s="15" t="str">
        <x:v>SWARM-08-H04-S06</x:v>
      </x:c>
      <x:c r="B1051" s="15" t="str">
        <x:v>GammaSprite</x:v>
      </x:c>
      <x:c r="C1051" s="15" t="str">
        <x:v>Deck surface mapper</x:v>
      </x:c>
      <x:c r="D1051" s="15" t="str">
        <x:v>Claim Extraction</x:v>
      </x:c>
      <x:c r="E1051" s="15" t="str">
        <x:v>External Web</x:v>
      </x:c>
      <x:c r="F1051" s="15" t="str">
        <x:v>Extract claims from External Web — GammaSprite</x:v>
      </x:c>
      <x:c r="G1051" s="15" t="str">
        <x:v>Gamma/deck extraction / slide lineage</x:v>
      </x:c>
      <x:c r="H1051" s="15" t="str">
        <x:v>source path + receipt + raw/export status + claim/edge/risk delta</x:v>
      </x:c>
      <x:c r="I1051" s="15" t="str">
        <x:v>packet/SWARM-08-H04-S06</x:v>
      </x:c>
      <x:c r="J1051" s="15" t="str">
        <x:v>TODO</x:v>
      </x:c>
      <x:c r="K1051" s="15" t="str">
        <x:v>P1</x:v>
      </x:c>
      <x:c r="L1051" s="15" t="str">
        <x:v>Done only when evidence is logged, contradiction search is noted, and boundary stamp remains non-canon unless ratified</x:v>
      </x:c>
      <x:c r="M1051" s="15" t="str">
        <x:v>candidate / staging-only / not canon / not deployed / authority none</x:v>
      </x:c>
      <x:c r="N1051" s="15" t="str">
        <x:v>Dispatch to GammaSprite: complete Claim Extraction x External Web; return deltas only, receipts required.</x:v>
      </x:c>
      <x:c r="O1051" s="15" t="str">
        <x:v>AF-KG-H04-S06</x:v>
      </x:c>
      <x:c r="P1051" s="15" t="str">
        <x:v>Unverified</x:v>
      </x:c>
      <x:c r="Q1051" s="15" t="str">
        <x:v>Not checked</x:v>
      </x:c>
      <x:c r="R1051" s="15" t="str"/>
      <x:c r="S1051" s="15" t="str"/>
      <x:c r="T1051" s="15" t="str">
        <x:v>Log first source path or blocker</x:v>
      </x:c>
      <x:c r="U1051" s="12" t="str">
        <x:f>IF(OR(P1051="Unverified",Q1051="Not checked"),"BLOCKED_PENDING_RECEIPT","READY_FOR_REVIEW")</x:f>
        <x:v>BLOCKED_PENDING_RECEIPT</x:v>
      </x:c>
      <x:c r="V1051" s="12" t="str">
        <x:f>IF(J1051="DONE","RETURNED",IF(U1051="BLOCKED_PENDING_RECEIPT","SOURCE_TOUCH_REQUIRED","IN_PROGRESS"))</x:f>
        <x:v>SOURCE_TOUCH_REQUIRED</x:v>
      </x:c>
      <x:c r="W1051" s="12" t="str">
        <x:f>IF(P1051="Unverified","missing_receipt","receipt_logged")</x:f>
        <x:v>missing_receipt</x:v>
      </x:c>
      <x:c r="X1051" s="12" t="str">
        <x:f>IF(Q1051="Not checked","raw_status_missing","raw_status_logged")</x:f>
        <x:v>raw_status_missing</x:v>
      </x:c>
      <x:c r="Y1051" s="12" t="str">
        <x:f>IF(U1051="BLOCKED_PENDING_RECEIPT","Log source path or blocker; do not promote","Route to review lane")</x:f>
        <x:v>Log source path or blocker; do not promote</x:v>
      </x:c>
      <x:c r="Z1051" s="12" t="str">
        <x:f>IF(K1051="P0","Primary seat + Hashlight/Lucerna","Seat lane")</x:f>
        <x:v>Seat lane</x:v>
      </x:c>
      <x:c r="AA1051" s="12" t="str">
        <x:f>IF(R1051="","no_claim_delta","claim_delta_present")</x:f>
        <x:v>no_claim_delta</x:v>
      </x:c>
      <x:c r="AB1051" s="12" t="str">
        <x:f>IF(S1051="","no_contradiction_delta","contradiction_delta_present")</x:f>
        <x:v>no_contradiction_delta</x:v>
      </x:c>
      <x:c r="AC1051" s="12" t="str">
        <x:f>IF(OR(ISNUMBER(SEARCH("hacker",LOWER(F1051&amp;" "&amp;H1051&amp;" "&amp;I1051&amp;" "&amp;M1051&amp;" "&amp;N1051&amp;" "&amp;T1051))),ISNUMBER(SEARCH("hacking",LOWER(F1051&amp;" "&amp;H1051&amp;" "&amp;I1051&amp;" "&amp;M1051&amp;" "&amp;N1051&amp;" "&amp;T1051))),ISNUMBER(SEARCH("bank",LOWER(F1051&amp;" "&amp;H1051&amp;" "&amp;I1051&amp;" "&amp;M1051&amp;" "&amp;N1051&amp;" "&amp;T1051))),ISNUMBER(SEARCH("banking",LOWER(F1051&amp;" "&amp;H1051&amp;" "&amp;I1051&amp;" "&amp;M1051&amp;" "&amp;N1051&amp;" "&amp;T1051)))),"PRIVATE_QUARANTINE",IF(OR(ISNUMBER(SEARCH("treasury",LOWER(F1051&amp;" "&amp;H1051&amp;" "&amp;I1051&amp;" "&amp;M1051&amp;" "&amp;N1051&amp;" "&amp;T1051))),ISNUMBER(SEARCH("debt",LOWER(F1051&amp;" "&amp;H1051&amp;" "&amp;I1051&amp;" "&amp;M1051&amp;" "&amp;N1051&amp;" "&amp;T1051))),ISNUMBER(SEARCH("bond",LOWER(F1051&amp;" "&amp;H1051&amp;" "&amp;I1051&amp;" "&amp;M1051&amp;" "&amp;N1051&amp;" "&amp;T1051))),ISNUMBER(SEARCH("transaction",LOWER(F1051&amp;" "&amp;H1051&amp;" "&amp;I1051&amp;" "&amp;M1051&amp;" "&amp;N1051&amp;" "&amp;T1051)))),"PRIVATE_REVIEW","PUBLIC_CANDIDATE"))</x:f>
        <x:v>PUBLIC_CANDIDATE</x:v>
      </x:c>
      <x:c r="AD1051" s="12" t="str">
        <x:f>IF(AC1051="PRIVATE_QUARANTINE","hacker_or_bank_trigger",IF(AC1051="PRIVATE_REVIEW","finance_risk_trigger","none"))</x:f>
        <x:v>none</x:v>
      </x:c>
      <x:c r="AE1051" s="12" t="str">
        <x:f>IF(AC1051="PUBLIC_CANDIDATE","prepare_public_github_candidate",IF(AC1051="PRIVATE_REVIEW","hold_for_private_review","quarantine_private_do_not_publish"))</x:f>
        <x:v>prepare_public_github_candidate</x:v>
      </x:c>
      <x:c r="AF1051" s="12" t="str">
        <x:f>IF(AC1051="PUBLIC_CANDIDATE","TIDELOCK + Lucerna",IF(AC1051="PRIVATE_REVIEW","AtlasBrain + Lucerna","TIDELOCK + Lucerna + Human-root"))</x:f>
        <x:v>TIDELOCK + Lucerna</x:v>
      </x:c>
      <x:c r="AG1051" s="12" t="str">
        <x:f>IF(AND(AC1051="PUBLIC_CANDIDATE",U1051&lt;&gt;"BLOCKED_PENDING_RECEIPT"),"READY_AFTER_RECEIPT","NOT_READY")</x:f>
        <x:v>NOT_READY</x:v>
      </x:c>
      <x:c r="AH1051" s="12" t="str">
        <x:f>IF(AC1051="PUBLIC_CANDIDATE","none",AD1051)</x:f>
        <x:v>none</x:v>
      </x:c>
      <x:c r="AI1051" s="12" t="str">
        <x:f>IF(AC1051="PUBLIC_CANDIDATE","archive/public_candidates/"&amp;A1051,"private_quarantine/"&amp;A1051)</x:f>
        <x:v>archive/public_candidates/SWARM-08-H04-S06</x:v>
      </x:c>
      <x:c r="AJ1051" s="12" t="str">
        <x:f>IF(AC1051="PUBLIC_CANDIDATE","public by default; still not canon","private/hold; do not publish")</x:f>
        <x:v>public by default; still not canon</x:v>
      </x:c>
      <x:c r="AK1051" s="12" t="str">
        <x:f>IF(AE1051="prepare_public_github_candidate","add receipt/status then mirror","resolve blocker before any public GitHub action")</x:f>
        <x:v>add receipt/status then mirror</x:v>
      </x:c>
    </x:row>
    <x:row r="1052">
      <x:c r="A1052" s="15" t="str">
        <x:v>SWARM-08-H04-S07</x:v>
      </x:c>
      <x:c r="B1052" s="15" t="str">
        <x:v>GammaSprite</x:v>
      </x:c>
      <x:c r="C1052" s="15" t="str">
        <x:v>Deck surface mapper</x:v>
      </x:c>
      <x:c r="D1052" s="15" t="str">
        <x:v>Claim Extraction</x:v>
      </x:c>
      <x:c r="E1052" s="15" t="str">
        <x:v>Planetarium</x:v>
      </x:c>
      <x:c r="F1052" s="15" t="str">
        <x:v>Extract claims from Planetarium — GammaSprite</x:v>
      </x:c>
      <x:c r="G1052" s="15" t="str">
        <x:v>Gamma/deck extraction / slide lineage</x:v>
      </x:c>
      <x:c r="H1052" s="15" t="str">
        <x:v>source path + receipt + raw/export status + claim/edge/risk delta</x:v>
      </x:c>
      <x:c r="I1052" s="15" t="str">
        <x:v>packet/SWARM-08-H04-S07</x:v>
      </x:c>
      <x:c r="J1052" s="15" t="str">
        <x:v>TODO</x:v>
      </x:c>
      <x:c r="K1052" s="15" t="str">
        <x:v>P1</x:v>
      </x:c>
      <x:c r="L1052" s="15" t="str">
        <x:v>Done only when evidence is logged, contradiction search is noted, and boundary stamp remains non-canon unless ratified</x:v>
      </x:c>
      <x:c r="M1052" s="15" t="str">
        <x:v>candidate / staging-only / not canon / not deployed / authority none</x:v>
      </x:c>
      <x:c r="N1052" s="15" t="str">
        <x:v>Dispatch to GammaSprite: complete Claim Extraction x Planetarium; return deltas only, receipts required.</x:v>
      </x:c>
      <x:c r="O1052" s="15" t="str">
        <x:v>AF-KG-H04-S07</x:v>
      </x:c>
      <x:c r="P1052" s="15" t="str">
        <x:v>Unverified</x:v>
      </x:c>
      <x:c r="Q1052" s="15" t="str">
        <x:v>Not checked</x:v>
      </x:c>
      <x:c r="R1052" s="15" t="str"/>
      <x:c r="S1052" s="15" t="str"/>
      <x:c r="T1052" s="15" t="str">
        <x:v>Log first source path or blocker</x:v>
      </x:c>
      <x:c r="U1052" s="12" t="str">
        <x:f>IF(OR(P1052="Unverified",Q1052="Not checked"),"BLOCKED_PENDING_RECEIPT","READY_FOR_REVIEW")</x:f>
        <x:v>BLOCKED_PENDING_RECEIPT</x:v>
      </x:c>
      <x:c r="V1052" s="12" t="str">
        <x:f>IF(J1052="DONE","RETURNED",IF(U1052="BLOCKED_PENDING_RECEIPT","SOURCE_TOUCH_REQUIRED","IN_PROGRESS"))</x:f>
        <x:v>SOURCE_TOUCH_REQUIRED</x:v>
      </x:c>
      <x:c r="W1052" s="12" t="str">
        <x:f>IF(P1052="Unverified","missing_receipt","receipt_logged")</x:f>
        <x:v>missing_receipt</x:v>
      </x:c>
      <x:c r="X1052" s="12" t="str">
        <x:f>IF(Q1052="Not checked","raw_status_missing","raw_status_logged")</x:f>
        <x:v>raw_status_missing</x:v>
      </x:c>
      <x:c r="Y1052" s="12" t="str">
        <x:f>IF(U1052="BLOCKED_PENDING_RECEIPT","Log source path or blocker; do not promote","Route to review lane")</x:f>
        <x:v>Log source path or blocker; do not promote</x:v>
      </x:c>
      <x:c r="Z1052" s="12" t="str">
        <x:f>IF(K1052="P0","Primary seat + Hashlight/Lucerna","Seat lane")</x:f>
        <x:v>Seat lane</x:v>
      </x:c>
      <x:c r="AA1052" s="12" t="str">
        <x:f>IF(R1052="","no_claim_delta","claim_delta_present")</x:f>
        <x:v>no_claim_delta</x:v>
      </x:c>
      <x:c r="AB1052" s="12" t="str">
        <x:f>IF(S1052="","no_contradiction_delta","contradiction_delta_present")</x:f>
        <x:v>no_contradiction_delta</x:v>
      </x:c>
      <x:c r="AC1052" s="12" t="str">
        <x:f>IF(OR(ISNUMBER(SEARCH("hacker",LOWER(F1052&amp;" "&amp;H1052&amp;" "&amp;I1052&amp;" "&amp;M1052&amp;" "&amp;N1052&amp;" "&amp;T1052))),ISNUMBER(SEARCH("hacking",LOWER(F1052&amp;" "&amp;H1052&amp;" "&amp;I1052&amp;" "&amp;M1052&amp;" "&amp;N1052&amp;" "&amp;T1052))),ISNUMBER(SEARCH("bank",LOWER(F1052&amp;" "&amp;H1052&amp;" "&amp;I1052&amp;" "&amp;M1052&amp;" "&amp;N1052&amp;" "&amp;T1052))),ISNUMBER(SEARCH("banking",LOWER(F1052&amp;" "&amp;H1052&amp;" "&amp;I1052&amp;" "&amp;M1052&amp;" "&amp;N1052&amp;" "&amp;T1052)))),"PRIVATE_QUARANTINE",IF(OR(ISNUMBER(SEARCH("treasury",LOWER(F1052&amp;" "&amp;H1052&amp;" "&amp;I1052&amp;" "&amp;M1052&amp;" "&amp;N1052&amp;" "&amp;T1052))),ISNUMBER(SEARCH("debt",LOWER(F1052&amp;" "&amp;H1052&amp;" "&amp;I1052&amp;" "&amp;M1052&amp;" "&amp;N1052&amp;" "&amp;T1052))),ISNUMBER(SEARCH("bond",LOWER(F1052&amp;" "&amp;H1052&amp;" "&amp;I1052&amp;" "&amp;M1052&amp;" "&amp;N1052&amp;" "&amp;T1052))),ISNUMBER(SEARCH("transaction",LOWER(F1052&amp;" "&amp;H1052&amp;" "&amp;I1052&amp;" "&amp;M1052&amp;" "&amp;N1052&amp;" "&amp;T1052)))),"PRIVATE_REVIEW","PUBLIC_CANDIDATE"))</x:f>
        <x:v>PUBLIC_CANDIDATE</x:v>
      </x:c>
      <x:c r="AD1052" s="12" t="str">
        <x:f>IF(AC1052="PRIVATE_QUARANTINE","hacker_or_bank_trigger",IF(AC1052="PRIVATE_REVIEW","finance_risk_trigger","none"))</x:f>
        <x:v>none</x:v>
      </x:c>
      <x:c r="AE1052" s="12" t="str">
        <x:f>IF(AC1052="PUBLIC_CANDIDATE","prepare_public_github_candidate",IF(AC1052="PRIVATE_REVIEW","hold_for_private_review","quarantine_private_do_not_publish"))</x:f>
        <x:v>prepare_public_github_candidate</x:v>
      </x:c>
      <x:c r="AF1052" s="12" t="str">
        <x:f>IF(AC1052="PUBLIC_CANDIDATE","TIDELOCK + Lucerna",IF(AC1052="PRIVATE_REVIEW","AtlasBrain + Lucerna","TIDELOCK + Lucerna + Human-root"))</x:f>
        <x:v>TIDELOCK + Lucerna</x:v>
      </x:c>
      <x:c r="AG1052" s="12" t="str">
        <x:f>IF(AND(AC1052="PUBLIC_CANDIDATE",U1052&lt;&gt;"BLOCKED_PENDING_RECEIPT"),"READY_AFTER_RECEIPT","NOT_READY")</x:f>
        <x:v>NOT_READY</x:v>
      </x:c>
      <x:c r="AH1052" s="12" t="str">
        <x:f>IF(AC1052="PUBLIC_CANDIDATE","none",AD1052)</x:f>
        <x:v>none</x:v>
      </x:c>
      <x:c r="AI1052" s="12" t="str">
        <x:f>IF(AC1052="PUBLIC_CANDIDATE","archive/public_candidates/"&amp;A1052,"private_quarantine/"&amp;A1052)</x:f>
        <x:v>archive/public_candidates/SWARM-08-H04-S07</x:v>
      </x:c>
      <x:c r="AJ1052" s="12" t="str">
        <x:f>IF(AC1052="PUBLIC_CANDIDATE","public by default; still not canon","private/hold; do not publish")</x:f>
        <x:v>public by default; still not canon</x:v>
      </x:c>
      <x:c r="AK1052" s="12" t="str">
        <x:f>IF(AE1052="prepare_public_github_candidate","add receipt/status then mirror","resolve blocker before any public GitHub action")</x:f>
        <x:v>add receipt/status then mirror</x:v>
      </x:c>
    </x:row>
    <x:row r="1053">
      <x:c r="A1053" s="15" t="str">
        <x:v>SWARM-08-H04-S08</x:v>
      </x:c>
      <x:c r="B1053" s="15" t="str">
        <x:v>GammaSprite</x:v>
      </x:c>
      <x:c r="C1053" s="15" t="str">
        <x:v>Deck surface mapper</x:v>
      </x:c>
      <x:c r="D1053" s="15" t="str">
        <x:v>Claim Extraction</x:v>
      </x:c>
      <x:c r="E1053" s="15" t="str">
        <x:v>Sheldonbrain</x:v>
      </x:c>
      <x:c r="F1053" s="15" t="str">
        <x:v>Extract claims from Sheldonbrain — GammaSprite</x:v>
      </x:c>
      <x:c r="G1053" s="15" t="str">
        <x:v>Gamma/deck extraction / slide lineage</x:v>
      </x:c>
      <x:c r="H1053" s="15" t="str">
        <x:v>source path + receipt + raw/export status + claim/edge/risk delta</x:v>
      </x:c>
      <x:c r="I1053" s="15" t="str">
        <x:v>packet/SWARM-08-H04-S08</x:v>
      </x:c>
      <x:c r="J1053" s="15" t="str">
        <x:v>TODO</x:v>
      </x:c>
      <x:c r="K1053" s="15" t="str">
        <x:v>P1</x:v>
      </x:c>
      <x:c r="L1053" s="15" t="str">
        <x:v>Done only when evidence is logged, contradiction search is noted, and boundary stamp remains non-canon unless ratified</x:v>
      </x:c>
      <x:c r="M1053" s="15" t="str">
        <x:v>candidate / staging-only / not canon / not deployed / authority none</x:v>
      </x:c>
      <x:c r="N1053" s="15" t="str">
        <x:v>Dispatch to GammaSprite: complete Claim Extraction x Sheldonbrain; return deltas only, receipts required.</x:v>
      </x:c>
      <x:c r="O1053" s="15" t="str">
        <x:v>AF-KG-H04-S08</x:v>
      </x:c>
      <x:c r="P1053" s="15" t="str">
        <x:v>Unverified</x:v>
      </x:c>
      <x:c r="Q1053" s="15" t="str">
        <x:v>Not checked</x:v>
      </x:c>
      <x:c r="R1053" s="15" t="str"/>
      <x:c r="S1053" s="15" t="str"/>
      <x:c r="T1053" s="15" t="str">
        <x:v>Log first source path or blocker</x:v>
      </x:c>
      <x:c r="U1053" s="12" t="str">
        <x:f>IF(OR(P1053="Unverified",Q1053="Not checked"),"BLOCKED_PENDING_RECEIPT","READY_FOR_REVIEW")</x:f>
        <x:v>BLOCKED_PENDING_RECEIPT</x:v>
      </x:c>
      <x:c r="V1053" s="12" t="str">
        <x:f>IF(J1053="DONE","RETURNED",IF(U1053="BLOCKED_PENDING_RECEIPT","SOURCE_TOUCH_REQUIRED","IN_PROGRESS"))</x:f>
        <x:v>SOURCE_TOUCH_REQUIRED</x:v>
      </x:c>
      <x:c r="W1053" s="12" t="str">
        <x:f>IF(P1053="Unverified","missing_receipt","receipt_logged")</x:f>
        <x:v>missing_receipt</x:v>
      </x:c>
      <x:c r="X1053" s="12" t="str">
        <x:f>IF(Q1053="Not checked","raw_status_missing","raw_status_logged")</x:f>
        <x:v>raw_status_missing</x:v>
      </x:c>
      <x:c r="Y1053" s="12" t="str">
        <x:f>IF(U1053="BLOCKED_PENDING_RECEIPT","Log source path or blocker; do not promote","Route to review lane")</x:f>
        <x:v>Log source path or blocker; do not promote</x:v>
      </x:c>
      <x:c r="Z1053" s="12" t="str">
        <x:f>IF(K1053="P0","Primary seat + Hashlight/Lucerna","Seat lane")</x:f>
        <x:v>Seat lane</x:v>
      </x:c>
      <x:c r="AA1053" s="12" t="str">
        <x:f>IF(R1053="","no_claim_delta","claim_delta_present")</x:f>
        <x:v>no_claim_delta</x:v>
      </x:c>
      <x:c r="AB1053" s="12" t="str">
        <x:f>IF(S1053="","no_contradiction_delta","contradiction_delta_present")</x:f>
        <x:v>no_contradiction_delta</x:v>
      </x:c>
      <x:c r="AC1053" s="12" t="str">
        <x:f>IF(OR(ISNUMBER(SEARCH("hacker",LOWER(F1053&amp;" "&amp;H1053&amp;" "&amp;I1053&amp;" "&amp;M1053&amp;" "&amp;N1053&amp;" "&amp;T1053))),ISNUMBER(SEARCH("hacking",LOWER(F1053&amp;" "&amp;H1053&amp;" "&amp;I1053&amp;" "&amp;M1053&amp;" "&amp;N1053&amp;" "&amp;T1053))),ISNUMBER(SEARCH("bank",LOWER(F1053&amp;" "&amp;H1053&amp;" "&amp;I1053&amp;" "&amp;M1053&amp;" "&amp;N1053&amp;" "&amp;T1053))),ISNUMBER(SEARCH("banking",LOWER(F1053&amp;" "&amp;H1053&amp;" "&amp;I1053&amp;" "&amp;M1053&amp;" "&amp;N1053&amp;" "&amp;T1053)))),"PRIVATE_QUARANTINE",IF(OR(ISNUMBER(SEARCH("treasury",LOWER(F1053&amp;" "&amp;H1053&amp;" "&amp;I1053&amp;" "&amp;M1053&amp;" "&amp;N1053&amp;" "&amp;T1053))),ISNUMBER(SEARCH("debt",LOWER(F1053&amp;" "&amp;H1053&amp;" "&amp;I1053&amp;" "&amp;M1053&amp;" "&amp;N1053&amp;" "&amp;T1053))),ISNUMBER(SEARCH("bond",LOWER(F1053&amp;" "&amp;H1053&amp;" "&amp;I1053&amp;" "&amp;M1053&amp;" "&amp;N1053&amp;" "&amp;T1053))),ISNUMBER(SEARCH("transaction",LOWER(F1053&amp;" "&amp;H1053&amp;" "&amp;I1053&amp;" "&amp;M1053&amp;" "&amp;N1053&amp;" "&amp;T1053)))),"PRIVATE_REVIEW","PUBLIC_CANDIDATE"))</x:f>
        <x:v>PUBLIC_CANDIDATE</x:v>
      </x:c>
      <x:c r="AD1053" s="12" t="str">
        <x:f>IF(AC1053="PRIVATE_QUARANTINE","hacker_or_bank_trigger",IF(AC1053="PRIVATE_REVIEW","finance_risk_trigger","none"))</x:f>
        <x:v>none</x:v>
      </x:c>
      <x:c r="AE1053" s="12" t="str">
        <x:f>IF(AC1053="PUBLIC_CANDIDATE","prepare_public_github_candidate",IF(AC1053="PRIVATE_REVIEW","hold_for_private_review","quarantine_private_do_not_publish"))</x:f>
        <x:v>prepare_public_github_candidate</x:v>
      </x:c>
      <x:c r="AF1053" s="12" t="str">
        <x:f>IF(AC1053="PUBLIC_CANDIDATE","TIDELOCK + Lucerna",IF(AC1053="PRIVATE_REVIEW","AtlasBrain + Lucerna","TIDELOCK + Lucerna + Human-root"))</x:f>
        <x:v>TIDELOCK + Lucerna</x:v>
      </x:c>
      <x:c r="AG1053" s="12" t="str">
        <x:f>IF(AND(AC1053="PUBLIC_CANDIDATE",U1053&lt;&gt;"BLOCKED_PENDING_RECEIPT"),"READY_AFTER_RECEIPT","NOT_READY")</x:f>
        <x:v>NOT_READY</x:v>
      </x:c>
      <x:c r="AH1053" s="12" t="str">
        <x:f>IF(AC1053="PUBLIC_CANDIDATE","none",AD1053)</x:f>
        <x:v>none</x:v>
      </x:c>
      <x:c r="AI1053" s="12" t="str">
        <x:f>IF(AC1053="PUBLIC_CANDIDATE","archive/public_candidates/"&amp;A1053,"private_quarantine/"&amp;A1053)</x:f>
        <x:v>archive/public_candidates/SWARM-08-H04-S08</x:v>
      </x:c>
      <x:c r="AJ1053" s="12" t="str">
        <x:f>IF(AC1053="PUBLIC_CANDIDATE","public by default; still not canon","private/hold; do not publish")</x:f>
        <x:v>public by default; still not canon</x:v>
      </x:c>
      <x:c r="AK1053" s="12" t="str">
        <x:f>IF(AE1053="prepare_public_github_candidate","add receipt/status then mirror","resolve blocker before any public GitHub action")</x:f>
        <x:v>add receipt/status then mirror</x:v>
      </x:c>
    </x:row>
    <x:row r="1054">
      <x:c r="A1054" s="15" t="str">
        <x:v>SWARM-08-H04-S09</x:v>
      </x:c>
      <x:c r="B1054" s="15" t="str">
        <x:v>GammaSprite</x:v>
      </x:c>
      <x:c r="C1054" s="15" t="str">
        <x:v>Deck surface mapper</x:v>
      </x:c>
      <x:c r="D1054" s="15" t="str">
        <x:v>Claim Extraction</x:v>
      </x:c>
      <x:c r="E1054" s="15" t="str">
        <x:v>Aetherforge</x:v>
      </x:c>
      <x:c r="F1054" s="15" t="str">
        <x:v>Extract claims from Aetherforge — GammaSprite</x:v>
      </x:c>
      <x:c r="G1054" s="15" t="str">
        <x:v>Gamma/deck extraction / slide lineage</x:v>
      </x:c>
      <x:c r="H1054" s="15" t="str">
        <x:v>source path + receipt + raw/export status + claim/edge/risk delta</x:v>
      </x:c>
      <x:c r="I1054" s="15" t="str">
        <x:v>packet/SWARM-08-H04-S09</x:v>
      </x:c>
      <x:c r="J1054" s="15" t="str">
        <x:v>TODO</x:v>
      </x:c>
      <x:c r="K1054" s="15" t="str">
        <x:v>P2</x:v>
      </x:c>
      <x:c r="L1054" s="15" t="str">
        <x:v>Done only when evidence is logged, contradiction search is noted, and boundary stamp remains non-canon unless ratified</x:v>
      </x:c>
      <x:c r="M1054" s="15" t="str">
        <x:v>candidate / staging-only / not canon / not deployed / authority none</x:v>
      </x:c>
      <x:c r="N1054" s="15" t="str">
        <x:v>Dispatch to GammaSprite: complete Claim Extraction x Aetherforge; return deltas only, receipts required.</x:v>
      </x:c>
      <x:c r="O1054" s="15" t="str">
        <x:v>AF-KG-H04-S09</x:v>
      </x:c>
      <x:c r="P1054" s="15" t="str">
        <x:v>Unverified</x:v>
      </x:c>
      <x:c r="Q1054" s="15" t="str">
        <x:v>Not checked</x:v>
      </x:c>
      <x:c r="R1054" s="15" t="str"/>
      <x:c r="S1054" s="15" t="str"/>
      <x:c r="T1054" s="15" t="str">
        <x:v>Log first source path or blocker</x:v>
      </x:c>
      <x:c r="U1054" s="12" t="str">
        <x:f>IF(OR(P1054="Unverified",Q1054="Not checked"),"BLOCKED_PENDING_RECEIPT","READY_FOR_REVIEW")</x:f>
        <x:v>BLOCKED_PENDING_RECEIPT</x:v>
      </x:c>
      <x:c r="V1054" s="12" t="str">
        <x:f>IF(J1054="DONE","RETURNED",IF(U1054="BLOCKED_PENDING_RECEIPT","SOURCE_TOUCH_REQUIRED","IN_PROGRESS"))</x:f>
        <x:v>SOURCE_TOUCH_REQUIRED</x:v>
      </x:c>
      <x:c r="W1054" s="12" t="str">
        <x:f>IF(P1054="Unverified","missing_receipt","receipt_logged")</x:f>
        <x:v>missing_receipt</x:v>
      </x:c>
      <x:c r="X1054" s="12" t="str">
        <x:f>IF(Q1054="Not checked","raw_status_missing","raw_status_logged")</x:f>
        <x:v>raw_status_missing</x:v>
      </x:c>
      <x:c r="Y1054" s="12" t="str">
        <x:f>IF(U1054="BLOCKED_PENDING_RECEIPT","Log source path or blocker; do not promote","Route to review lane")</x:f>
        <x:v>Log source path or blocker; do not promote</x:v>
      </x:c>
      <x:c r="Z1054" s="12" t="str">
        <x:f>IF(K1054="P0","Primary seat + Hashlight/Lucerna","Seat lane")</x:f>
        <x:v>Seat lane</x:v>
      </x:c>
      <x:c r="AA1054" s="12" t="str">
        <x:f>IF(R1054="","no_claim_delta","claim_delta_present")</x:f>
        <x:v>no_claim_delta</x:v>
      </x:c>
      <x:c r="AB1054" s="12" t="str">
        <x:f>IF(S1054="","no_contradiction_delta","contradiction_delta_present")</x:f>
        <x:v>no_contradiction_delta</x:v>
      </x:c>
      <x:c r="AC1054" s="12" t="str">
        <x:f>IF(OR(ISNUMBER(SEARCH("hacker",LOWER(F1054&amp;" "&amp;H1054&amp;" "&amp;I1054&amp;" "&amp;M1054&amp;" "&amp;N1054&amp;" "&amp;T1054))),ISNUMBER(SEARCH("hacking",LOWER(F1054&amp;" "&amp;H1054&amp;" "&amp;I1054&amp;" "&amp;M1054&amp;" "&amp;N1054&amp;" "&amp;T1054))),ISNUMBER(SEARCH("bank",LOWER(F1054&amp;" "&amp;H1054&amp;" "&amp;I1054&amp;" "&amp;M1054&amp;" "&amp;N1054&amp;" "&amp;T1054))),ISNUMBER(SEARCH("banking",LOWER(F1054&amp;" "&amp;H1054&amp;" "&amp;I1054&amp;" "&amp;M1054&amp;" "&amp;N1054&amp;" "&amp;T1054)))),"PRIVATE_QUARANTINE",IF(OR(ISNUMBER(SEARCH("treasury",LOWER(F1054&amp;" "&amp;H1054&amp;" "&amp;I1054&amp;" "&amp;M1054&amp;" "&amp;N1054&amp;" "&amp;T1054))),ISNUMBER(SEARCH("debt",LOWER(F1054&amp;" "&amp;H1054&amp;" "&amp;I1054&amp;" "&amp;M1054&amp;" "&amp;N1054&amp;" "&amp;T1054))),ISNUMBER(SEARCH("bond",LOWER(F1054&amp;" "&amp;H1054&amp;" "&amp;I1054&amp;" "&amp;M1054&amp;" "&amp;N1054&amp;" "&amp;T1054))),ISNUMBER(SEARCH("transaction",LOWER(F1054&amp;" "&amp;H1054&amp;" "&amp;I1054&amp;" "&amp;M1054&amp;" "&amp;N1054&amp;" "&amp;T1054)))),"PRIVATE_REVIEW","PUBLIC_CANDIDATE"))</x:f>
        <x:v>PUBLIC_CANDIDATE</x:v>
      </x:c>
      <x:c r="AD1054" s="12" t="str">
        <x:f>IF(AC1054="PRIVATE_QUARANTINE","hacker_or_bank_trigger",IF(AC1054="PRIVATE_REVIEW","finance_risk_trigger","none"))</x:f>
        <x:v>none</x:v>
      </x:c>
      <x:c r="AE1054" s="12" t="str">
        <x:f>IF(AC1054="PUBLIC_CANDIDATE","prepare_public_github_candidate",IF(AC1054="PRIVATE_REVIEW","hold_for_private_review","quarantine_private_do_not_publish"))</x:f>
        <x:v>prepare_public_github_candidate</x:v>
      </x:c>
      <x:c r="AF1054" s="12" t="str">
        <x:f>IF(AC1054="PUBLIC_CANDIDATE","TIDELOCK + Lucerna",IF(AC1054="PRIVATE_REVIEW","AtlasBrain + Lucerna","TIDELOCK + Lucerna + Human-root"))</x:f>
        <x:v>TIDELOCK + Lucerna</x:v>
      </x:c>
      <x:c r="AG1054" s="12" t="str">
        <x:f>IF(AND(AC1054="PUBLIC_CANDIDATE",U1054&lt;&gt;"BLOCKED_PENDING_RECEIPT"),"READY_AFTER_RECEIPT","NOT_READY")</x:f>
        <x:v>NOT_READY</x:v>
      </x:c>
      <x:c r="AH1054" s="12" t="str">
        <x:f>IF(AC1054="PUBLIC_CANDIDATE","none",AD1054)</x:f>
        <x:v>none</x:v>
      </x:c>
      <x:c r="AI1054" s="12" t="str">
        <x:f>IF(AC1054="PUBLIC_CANDIDATE","archive/public_candidates/"&amp;A1054,"private_quarantine/"&amp;A1054)</x:f>
        <x:v>archive/public_candidates/SWARM-08-H04-S09</x:v>
      </x:c>
      <x:c r="AJ1054" s="12" t="str">
        <x:f>IF(AC1054="PUBLIC_CANDIDATE","public by default; still not canon","private/hold; do not publish")</x:f>
        <x:v>public by default; still not canon</x:v>
      </x:c>
      <x:c r="AK1054" s="12" t="str">
        <x:f>IF(AE1054="prepare_public_github_candidate","add receipt/status then mirror","resolve blocker before any public GitHub action")</x:f>
        <x:v>add receipt/status then mirror</x:v>
      </x:c>
    </x:row>
    <x:row r="1055">
      <x:c r="A1055" s="15" t="str">
        <x:v>SWARM-08-H04-S10</x:v>
      </x:c>
      <x:c r="B1055" s="15" t="str">
        <x:v>GammaSprite</x:v>
      </x:c>
      <x:c r="C1055" s="15" t="str">
        <x:v>Deck surface mapper</x:v>
      </x:c>
      <x:c r="D1055" s="15" t="str">
        <x:v>Claim Extraction</x:v>
      </x:c>
      <x:c r="E1055" s="15" t="str">
        <x:v>Human-Root</x:v>
      </x:c>
      <x:c r="F1055" s="15" t="str">
        <x:v>Extract claims from Human-Root — GammaSprite</x:v>
      </x:c>
      <x:c r="G1055" s="15" t="str">
        <x:v>Gamma/deck extraction / slide lineage</x:v>
      </x:c>
      <x:c r="H1055" s="15" t="str">
        <x:v>source path + receipt + raw/export status + claim/edge/risk delta</x:v>
      </x:c>
      <x:c r="I1055" s="15" t="str">
        <x:v>packet/SWARM-08-H04-S10</x:v>
      </x:c>
      <x:c r="J1055" s="15" t="str">
        <x:v>TODO</x:v>
      </x:c>
      <x:c r="K1055" s="15" t="str">
        <x:v>P2</x:v>
      </x:c>
      <x:c r="L1055" s="15" t="str">
        <x:v>Done only when evidence is logged, contradiction search is noted, and boundary stamp remains non-canon unless ratified</x:v>
      </x:c>
      <x:c r="M1055" s="15" t="str">
        <x:v>candidate / staging-only / not canon / not deployed / authority none</x:v>
      </x:c>
      <x:c r="N1055" s="15" t="str">
        <x:v>Dispatch to GammaSprite: complete Claim Extraction x Human-Root; return deltas only, receipts required.</x:v>
      </x:c>
      <x:c r="O1055" s="15" t="str">
        <x:v>AF-KG-H04-S10</x:v>
      </x:c>
      <x:c r="P1055" s="15" t="str">
        <x:v>Unverified</x:v>
      </x:c>
      <x:c r="Q1055" s="15" t="str">
        <x:v>Not checked</x:v>
      </x:c>
      <x:c r="R1055" s="15" t="str"/>
      <x:c r="S1055" s="15" t="str"/>
      <x:c r="T1055" s="15" t="str">
        <x:v>Log first source path or blocker</x:v>
      </x:c>
      <x:c r="U1055" s="12" t="str">
        <x:f>IF(OR(P1055="Unverified",Q1055="Not checked"),"BLOCKED_PENDING_RECEIPT","READY_FOR_REVIEW")</x:f>
        <x:v>BLOCKED_PENDING_RECEIPT</x:v>
      </x:c>
      <x:c r="V1055" s="12" t="str">
        <x:f>IF(J1055="DONE","RETURNED",IF(U1055="BLOCKED_PENDING_RECEIPT","SOURCE_TOUCH_REQUIRED","IN_PROGRESS"))</x:f>
        <x:v>SOURCE_TOUCH_REQUIRED</x:v>
      </x:c>
      <x:c r="W1055" s="12" t="str">
        <x:f>IF(P1055="Unverified","missing_receipt","receipt_logged")</x:f>
        <x:v>missing_receipt</x:v>
      </x:c>
      <x:c r="X1055" s="12" t="str">
        <x:f>IF(Q1055="Not checked","raw_status_missing","raw_status_logged")</x:f>
        <x:v>raw_status_missing</x:v>
      </x:c>
      <x:c r="Y1055" s="12" t="str">
        <x:f>IF(U1055="BLOCKED_PENDING_RECEIPT","Log source path or blocker; do not promote","Route to review lane")</x:f>
        <x:v>Log source path or blocker; do not promote</x:v>
      </x:c>
      <x:c r="Z1055" s="12" t="str">
        <x:f>IF(K1055="P0","Primary seat + Hashlight/Lucerna","Seat lane")</x:f>
        <x:v>Seat lane</x:v>
      </x:c>
      <x:c r="AA1055" s="12" t="str">
        <x:f>IF(R1055="","no_claim_delta","claim_delta_present")</x:f>
        <x:v>no_claim_delta</x:v>
      </x:c>
      <x:c r="AB1055" s="12" t="str">
        <x:f>IF(S1055="","no_contradiction_delta","contradiction_delta_present")</x:f>
        <x:v>no_contradiction_delta</x:v>
      </x:c>
      <x:c r="AC1055" s="12" t="str">
        <x:f>IF(OR(ISNUMBER(SEARCH("hacker",LOWER(F1055&amp;" "&amp;H1055&amp;" "&amp;I1055&amp;" "&amp;M1055&amp;" "&amp;N1055&amp;" "&amp;T1055))),ISNUMBER(SEARCH("hacking",LOWER(F1055&amp;" "&amp;H1055&amp;" "&amp;I1055&amp;" "&amp;M1055&amp;" "&amp;N1055&amp;" "&amp;T1055))),ISNUMBER(SEARCH("bank",LOWER(F1055&amp;" "&amp;H1055&amp;" "&amp;I1055&amp;" "&amp;M1055&amp;" "&amp;N1055&amp;" "&amp;T1055))),ISNUMBER(SEARCH("banking",LOWER(F1055&amp;" "&amp;H1055&amp;" "&amp;I1055&amp;" "&amp;M1055&amp;" "&amp;N1055&amp;" "&amp;T1055)))),"PRIVATE_QUARANTINE",IF(OR(ISNUMBER(SEARCH("treasury",LOWER(F1055&amp;" "&amp;H1055&amp;" "&amp;I1055&amp;" "&amp;M1055&amp;" "&amp;N1055&amp;" "&amp;T1055))),ISNUMBER(SEARCH("debt",LOWER(F1055&amp;" "&amp;H1055&amp;" "&amp;I1055&amp;" "&amp;M1055&amp;" "&amp;N1055&amp;" "&amp;T1055))),ISNUMBER(SEARCH("bond",LOWER(F1055&amp;" "&amp;H1055&amp;" "&amp;I1055&amp;" "&amp;M1055&amp;" "&amp;N1055&amp;" "&amp;T1055))),ISNUMBER(SEARCH("transaction",LOWER(F1055&amp;" "&amp;H1055&amp;" "&amp;I1055&amp;" "&amp;M1055&amp;" "&amp;N1055&amp;" "&amp;T1055)))),"PRIVATE_REVIEW","PUBLIC_CANDIDATE"))</x:f>
        <x:v>PUBLIC_CANDIDATE</x:v>
      </x:c>
      <x:c r="AD1055" s="12" t="str">
        <x:f>IF(AC1055="PRIVATE_QUARANTINE","hacker_or_bank_trigger",IF(AC1055="PRIVATE_REVIEW","finance_risk_trigger","none"))</x:f>
        <x:v>none</x:v>
      </x:c>
      <x:c r="AE1055" s="12" t="str">
        <x:f>IF(AC1055="PUBLIC_CANDIDATE","prepare_public_github_candidate",IF(AC1055="PRIVATE_REVIEW","hold_for_private_review","quarantine_private_do_not_publish"))</x:f>
        <x:v>prepare_public_github_candidate</x:v>
      </x:c>
      <x:c r="AF1055" s="12" t="str">
        <x:f>IF(AC1055="PUBLIC_CANDIDATE","TIDELOCK + Lucerna",IF(AC1055="PRIVATE_REVIEW","AtlasBrain + Lucerna","TIDELOCK + Lucerna + Human-root"))</x:f>
        <x:v>TIDELOCK + Lucerna</x:v>
      </x:c>
      <x:c r="AG1055" s="12" t="str">
        <x:f>IF(AND(AC1055="PUBLIC_CANDIDATE",U1055&lt;&gt;"BLOCKED_PENDING_RECEIPT"),"READY_AFTER_RECEIPT","NOT_READY")</x:f>
        <x:v>NOT_READY</x:v>
      </x:c>
      <x:c r="AH1055" s="12" t="str">
        <x:f>IF(AC1055="PUBLIC_CANDIDATE","none",AD1055)</x:f>
        <x:v>none</x:v>
      </x:c>
      <x:c r="AI1055" s="12" t="str">
        <x:f>IF(AC1055="PUBLIC_CANDIDATE","archive/public_candidates/"&amp;A1055,"private_quarantine/"&amp;A1055)</x:f>
        <x:v>archive/public_candidates/SWARM-08-H04-S10</x:v>
      </x:c>
      <x:c r="AJ1055" s="12" t="str">
        <x:f>IF(AC1055="PUBLIC_CANDIDATE","public by default; still not canon","private/hold; do not publish")</x:f>
        <x:v>public by default; still not canon</x:v>
      </x:c>
      <x:c r="AK1055" s="12" t="str">
        <x:f>IF(AE1055="prepare_public_github_candidate","add receipt/status then mirror","resolve blocker before any public GitHub action")</x:f>
        <x:v>add receipt/status then mirror</x:v>
      </x:c>
    </x:row>
    <x:row r="1056">
      <x:c r="A1056" s="15" t="str">
        <x:v>SWARM-08-H04-S11</x:v>
      </x:c>
      <x:c r="B1056" s="15" t="str">
        <x:v>GammaSprite</x:v>
      </x:c>
      <x:c r="C1056" s="15" t="str">
        <x:v>Deck surface mapper</x:v>
      </x:c>
      <x:c r="D1056" s="15" t="str">
        <x:v>Claim Extraction</x:v>
      </x:c>
      <x:c r="E1056" s="15" t="str">
        <x:v>Automation</x:v>
      </x:c>
      <x:c r="F1056" s="15" t="str">
        <x:v>Extract claims from Automation — GammaSprite</x:v>
      </x:c>
      <x:c r="G1056" s="15" t="str">
        <x:v>Gamma/deck extraction / slide lineage</x:v>
      </x:c>
      <x:c r="H1056" s="15" t="str">
        <x:v>source path + receipt + raw/export status + claim/edge/risk delta</x:v>
      </x:c>
      <x:c r="I1056" s="15" t="str">
        <x:v>packet/SWARM-08-H04-S11</x:v>
      </x:c>
      <x:c r="J1056" s="15" t="str">
        <x:v>TODO</x:v>
      </x:c>
      <x:c r="K1056" s="15" t="str">
        <x:v>P2</x:v>
      </x:c>
      <x:c r="L1056" s="15" t="str">
        <x:v>Done only when evidence is logged, contradiction search is noted, and boundary stamp remains non-canon unless ratified</x:v>
      </x:c>
      <x:c r="M1056" s="15" t="str">
        <x:v>candidate / staging-only / not canon / not deployed / authority none</x:v>
      </x:c>
      <x:c r="N1056" s="15" t="str">
        <x:v>Dispatch to GammaSprite: complete Claim Extraction x Automation; return deltas only, receipts required.</x:v>
      </x:c>
      <x:c r="O1056" s="15" t="str">
        <x:v>AF-KG-H04-S11</x:v>
      </x:c>
      <x:c r="P1056" s="15" t="str">
        <x:v>Unverified</x:v>
      </x:c>
      <x:c r="Q1056" s="15" t="str">
        <x:v>Not checked</x:v>
      </x:c>
      <x:c r="R1056" s="15" t="str"/>
      <x:c r="S1056" s="15" t="str"/>
      <x:c r="T1056" s="15" t="str">
        <x:v>Log first source path or blocker</x:v>
      </x:c>
      <x:c r="U1056" s="12" t="str">
        <x:f>IF(OR(P1056="Unverified",Q1056="Not checked"),"BLOCKED_PENDING_RECEIPT","READY_FOR_REVIEW")</x:f>
        <x:v>BLOCKED_PENDING_RECEIPT</x:v>
      </x:c>
      <x:c r="V1056" s="12" t="str">
        <x:f>IF(J1056="DONE","RETURNED",IF(U1056="BLOCKED_PENDING_RECEIPT","SOURCE_TOUCH_REQUIRED","IN_PROGRESS"))</x:f>
        <x:v>SOURCE_TOUCH_REQUIRED</x:v>
      </x:c>
      <x:c r="W1056" s="12" t="str">
        <x:f>IF(P1056="Unverified","missing_receipt","receipt_logged")</x:f>
        <x:v>missing_receipt</x:v>
      </x:c>
      <x:c r="X1056" s="12" t="str">
        <x:f>IF(Q1056="Not checked","raw_status_missing","raw_status_logged")</x:f>
        <x:v>raw_status_missing</x:v>
      </x:c>
      <x:c r="Y1056" s="12" t="str">
        <x:f>IF(U1056="BLOCKED_PENDING_RECEIPT","Log source path or blocker; do not promote","Route to review lane")</x:f>
        <x:v>Log source path or blocker; do not promote</x:v>
      </x:c>
      <x:c r="Z1056" s="12" t="str">
        <x:f>IF(K1056="P0","Primary seat + Hashlight/Lucerna","Seat lane")</x:f>
        <x:v>Seat lane</x:v>
      </x:c>
      <x:c r="AA1056" s="12" t="str">
        <x:f>IF(R1056="","no_claim_delta","claim_delta_present")</x:f>
        <x:v>no_claim_delta</x:v>
      </x:c>
      <x:c r="AB1056" s="12" t="str">
        <x:f>IF(S1056="","no_contradiction_delta","contradiction_delta_present")</x:f>
        <x:v>no_contradiction_delta</x:v>
      </x:c>
      <x:c r="AC1056" s="12" t="str">
        <x:f>IF(OR(ISNUMBER(SEARCH("hacker",LOWER(F1056&amp;" "&amp;H1056&amp;" "&amp;I1056&amp;" "&amp;M1056&amp;" "&amp;N1056&amp;" "&amp;T1056))),ISNUMBER(SEARCH("hacking",LOWER(F1056&amp;" "&amp;H1056&amp;" "&amp;I1056&amp;" "&amp;M1056&amp;" "&amp;N1056&amp;" "&amp;T1056))),ISNUMBER(SEARCH("bank",LOWER(F1056&amp;" "&amp;H1056&amp;" "&amp;I1056&amp;" "&amp;M1056&amp;" "&amp;N1056&amp;" "&amp;T1056))),ISNUMBER(SEARCH("banking",LOWER(F1056&amp;" "&amp;H1056&amp;" "&amp;I1056&amp;" "&amp;M1056&amp;" "&amp;N1056&amp;" "&amp;T1056)))),"PRIVATE_QUARANTINE",IF(OR(ISNUMBER(SEARCH("treasury",LOWER(F1056&amp;" "&amp;H1056&amp;" "&amp;I1056&amp;" "&amp;M1056&amp;" "&amp;N1056&amp;" "&amp;T1056))),ISNUMBER(SEARCH("debt",LOWER(F1056&amp;" "&amp;H1056&amp;" "&amp;I1056&amp;" "&amp;M1056&amp;" "&amp;N1056&amp;" "&amp;T1056))),ISNUMBER(SEARCH("bond",LOWER(F1056&amp;" "&amp;H1056&amp;" "&amp;I1056&amp;" "&amp;M1056&amp;" "&amp;N1056&amp;" "&amp;T1056))),ISNUMBER(SEARCH("transaction",LOWER(F1056&amp;" "&amp;H1056&amp;" "&amp;I1056&amp;" "&amp;M1056&amp;" "&amp;N1056&amp;" "&amp;T1056)))),"PRIVATE_REVIEW","PUBLIC_CANDIDATE"))</x:f>
        <x:v>PUBLIC_CANDIDATE</x:v>
      </x:c>
      <x:c r="AD1056" s="12" t="str">
        <x:f>IF(AC1056="PRIVATE_QUARANTINE","hacker_or_bank_trigger",IF(AC1056="PRIVATE_REVIEW","finance_risk_trigger","none"))</x:f>
        <x:v>none</x:v>
      </x:c>
      <x:c r="AE1056" s="12" t="str">
        <x:f>IF(AC1056="PUBLIC_CANDIDATE","prepare_public_github_candidate",IF(AC1056="PRIVATE_REVIEW","hold_for_private_review","quarantine_private_do_not_publish"))</x:f>
        <x:v>prepare_public_github_candidate</x:v>
      </x:c>
      <x:c r="AF1056" s="12" t="str">
        <x:f>IF(AC1056="PUBLIC_CANDIDATE","TIDELOCK + Lucerna",IF(AC1056="PRIVATE_REVIEW","AtlasBrain + Lucerna","TIDELOCK + Lucerna + Human-root"))</x:f>
        <x:v>TIDELOCK + Lucerna</x:v>
      </x:c>
      <x:c r="AG1056" s="12" t="str">
        <x:f>IF(AND(AC1056="PUBLIC_CANDIDATE",U1056&lt;&gt;"BLOCKED_PENDING_RECEIPT"),"READY_AFTER_RECEIPT","NOT_READY")</x:f>
        <x:v>NOT_READY</x:v>
      </x:c>
      <x:c r="AH1056" s="12" t="str">
        <x:f>IF(AC1056="PUBLIC_CANDIDATE","none",AD1056)</x:f>
        <x:v>none</x:v>
      </x:c>
      <x:c r="AI1056" s="12" t="str">
        <x:f>IF(AC1056="PUBLIC_CANDIDATE","archive/public_candidates/"&amp;A1056,"private_quarantine/"&amp;A1056)</x:f>
        <x:v>archive/public_candidates/SWARM-08-H04-S11</x:v>
      </x:c>
      <x:c r="AJ1056" s="12" t="str">
        <x:f>IF(AC1056="PUBLIC_CANDIDATE","public by default; still not canon","private/hold; do not publish")</x:f>
        <x:v>public by default; still not canon</x:v>
      </x:c>
      <x:c r="AK1056" s="12" t="str">
        <x:f>IF(AE1056="prepare_public_github_candidate","add receipt/status then mirror","resolve blocker before any public GitHub action")</x:f>
        <x:v>add receipt/status then mirror</x:v>
      </x:c>
    </x:row>
    <x:row r="1057">
      <x:c r="A1057" s="15" t="str">
        <x:v>SWARM-08-H04-S12</x:v>
      </x:c>
      <x:c r="B1057" s="15" t="str">
        <x:v>GammaSprite</x:v>
      </x:c>
      <x:c r="C1057" s="15" t="str">
        <x:v>Deck surface mapper</x:v>
      </x:c>
      <x:c r="D1057" s="15" t="str">
        <x:v>Claim Extraction</x:v>
      </x:c>
      <x:c r="E1057" s="15" t="str">
        <x:v>Risk / Safety</x:v>
      </x:c>
      <x:c r="F1057" s="15" t="str">
        <x:v>Extract claims from Risk / Safety — GammaSprite</x:v>
      </x:c>
      <x:c r="G1057" s="15" t="str">
        <x:v>Gamma/deck extraction / slide lineage</x:v>
      </x:c>
      <x:c r="H1057" s="15" t="str">
        <x:v>source path + receipt + raw/export status + claim/edge/risk delta</x:v>
      </x:c>
      <x:c r="I1057" s="15" t="str">
        <x:v>packet/SWARM-08-H04-S12</x:v>
      </x:c>
      <x:c r="J1057" s="15" t="str">
        <x:v>TODO</x:v>
      </x:c>
      <x:c r="K1057" s="15" t="str">
        <x:v>P2</x:v>
      </x:c>
      <x:c r="L1057" s="15" t="str">
        <x:v>Done only when evidence is logged, contradiction search is noted, and boundary stamp remains non-canon unless ratified</x:v>
      </x:c>
      <x:c r="M1057" s="15" t="str">
        <x:v>candidate / staging-only / not canon / not deployed / authority none</x:v>
      </x:c>
      <x:c r="N1057" s="15" t="str">
        <x:v>Dispatch to GammaSprite: complete Claim Extraction x Risk / Safety; return deltas only, receipts required.</x:v>
      </x:c>
      <x:c r="O1057" s="15" t="str">
        <x:v>AF-KG-H04-S12</x:v>
      </x:c>
      <x:c r="P1057" s="15" t="str">
        <x:v>Unverified</x:v>
      </x:c>
      <x:c r="Q1057" s="15" t="str">
        <x:v>Not checked</x:v>
      </x:c>
      <x:c r="R1057" s="15" t="str"/>
      <x:c r="S1057" s="15" t="str"/>
      <x:c r="T1057" s="15" t="str">
        <x:v>Log first source path or blocker</x:v>
      </x:c>
      <x:c r="U1057" s="12" t="str">
        <x:f>IF(OR(P1057="Unverified",Q1057="Not checked"),"BLOCKED_PENDING_RECEIPT","READY_FOR_REVIEW")</x:f>
        <x:v>BLOCKED_PENDING_RECEIPT</x:v>
      </x:c>
      <x:c r="V1057" s="12" t="str">
        <x:f>IF(J1057="DONE","RETURNED",IF(U1057="BLOCKED_PENDING_RECEIPT","SOURCE_TOUCH_REQUIRED","IN_PROGRESS"))</x:f>
        <x:v>SOURCE_TOUCH_REQUIRED</x:v>
      </x:c>
      <x:c r="W1057" s="12" t="str">
        <x:f>IF(P1057="Unverified","missing_receipt","receipt_logged")</x:f>
        <x:v>missing_receipt</x:v>
      </x:c>
      <x:c r="X1057" s="12" t="str">
        <x:f>IF(Q1057="Not checked","raw_status_missing","raw_status_logged")</x:f>
        <x:v>raw_status_missing</x:v>
      </x:c>
      <x:c r="Y1057" s="12" t="str">
        <x:f>IF(U1057="BLOCKED_PENDING_RECEIPT","Log source path or blocker; do not promote","Route to review lane")</x:f>
        <x:v>Log source path or blocker; do not promote</x:v>
      </x:c>
      <x:c r="Z1057" s="12" t="str">
        <x:f>IF(K1057="P0","Primary seat + Hashlight/Lucerna","Seat lane")</x:f>
        <x:v>Seat lane</x:v>
      </x:c>
      <x:c r="AA1057" s="12" t="str">
        <x:f>IF(R1057="","no_claim_delta","claim_delta_present")</x:f>
        <x:v>no_claim_delta</x:v>
      </x:c>
      <x:c r="AB1057" s="12" t="str">
        <x:f>IF(S1057="","no_contradiction_delta","contradiction_delta_present")</x:f>
        <x:v>no_contradiction_delta</x:v>
      </x:c>
      <x:c r="AC1057" s="12" t="str">
        <x:f>IF(OR(ISNUMBER(SEARCH("hacker",LOWER(F1057&amp;" "&amp;H1057&amp;" "&amp;I1057&amp;" "&amp;M1057&amp;" "&amp;N1057&amp;" "&amp;T1057))),ISNUMBER(SEARCH("hacking",LOWER(F1057&amp;" "&amp;H1057&amp;" "&amp;I1057&amp;" "&amp;M1057&amp;" "&amp;N1057&amp;" "&amp;T1057))),ISNUMBER(SEARCH("bank",LOWER(F1057&amp;" "&amp;H1057&amp;" "&amp;I1057&amp;" "&amp;M1057&amp;" "&amp;N1057&amp;" "&amp;T1057))),ISNUMBER(SEARCH("banking",LOWER(F1057&amp;" "&amp;H1057&amp;" "&amp;I1057&amp;" "&amp;M1057&amp;" "&amp;N1057&amp;" "&amp;T1057)))),"PRIVATE_QUARANTINE",IF(OR(ISNUMBER(SEARCH("treasury",LOWER(F1057&amp;" "&amp;H1057&amp;" "&amp;I1057&amp;" "&amp;M1057&amp;" "&amp;N1057&amp;" "&amp;T1057))),ISNUMBER(SEARCH("debt",LOWER(F1057&amp;" "&amp;H1057&amp;" "&amp;I1057&amp;" "&amp;M1057&amp;" "&amp;N1057&amp;" "&amp;T1057))),ISNUMBER(SEARCH("bond",LOWER(F1057&amp;" "&amp;H1057&amp;" "&amp;I1057&amp;" "&amp;M1057&amp;" "&amp;N1057&amp;" "&amp;T1057))),ISNUMBER(SEARCH("transaction",LOWER(F1057&amp;" "&amp;H1057&amp;" "&amp;I1057&amp;" "&amp;M1057&amp;" "&amp;N1057&amp;" "&amp;T1057)))),"PRIVATE_REVIEW","PUBLIC_CANDIDATE"))</x:f>
        <x:v>PUBLIC_CANDIDATE</x:v>
      </x:c>
      <x:c r="AD1057" s="12" t="str">
        <x:f>IF(AC1057="PRIVATE_QUARANTINE","hacker_or_bank_trigger",IF(AC1057="PRIVATE_REVIEW","finance_risk_trigger","none"))</x:f>
        <x:v>none</x:v>
      </x:c>
      <x:c r="AE1057" s="12" t="str">
        <x:f>IF(AC1057="PUBLIC_CANDIDATE","prepare_public_github_candidate",IF(AC1057="PRIVATE_REVIEW","hold_for_private_review","quarantine_private_do_not_publish"))</x:f>
        <x:v>prepare_public_github_candidate</x:v>
      </x:c>
      <x:c r="AF1057" s="12" t="str">
        <x:f>IF(AC1057="PUBLIC_CANDIDATE","TIDELOCK + Lucerna",IF(AC1057="PRIVATE_REVIEW","AtlasBrain + Lucerna","TIDELOCK + Lucerna + Human-root"))</x:f>
        <x:v>TIDELOCK + Lucerna</x:v>
      </x:c>
      <x:c r="AG1057" s="12" t="str">
        <x:f>IF(AND(AC1057="PUBLIC_CANDIDATE",U1057&lt;&gt;"BLOCKED_PENDING_RECEIPT"),"READY_AFTER_RECEIPT","NOT_READY")</x:f>
        <x:v>NOT_READY</x:v>
      </x:c>
      <x:c r="AH1057" s="12" t="str">
        <x:f>IF(AC1057="PUBLIC_CANDIDATE","none",AD1057)</x:f>
        <x:v>none</x:v>
      </x:c>
      <x:c r="AI1057" s="12" t="str">
        <x:f>IF(AC1057="PUBLIC_CANDIDATE","archive/public_candidates/"&amp;A1057,"private_quarantine/"&amp;A1057)</x:f>
        <x:v>archive/public_candidates/SWARM-08-H04-S12</x:v>
      </x:c>
      <x:c r="AJ1057" s="12" t="str">
        <x:f>IF(AC1057="PUBLIC_CANDIDATE","public by default; still not canon","private/hold; do not publish")</x:f>
        <x:v>public by default; still not canon</x:v>
      </x:c>
      <x:c r="AK1057" s="12" t="str">
        <x:f>IF(AE1057="prepare_public_github_candidate","add receipt/status then mirror","resolve blocker before any public GitHub action")</x:f>
        <x:v>add receipt/status then mirror</x:v>
      </x:c>
    </x:row>
    <x:row r="1058">
      <x:c r="A1058" s="15" t="str">
        <x:v>SWARM-08-H05-S01</x:v>
      </x:c>
      <x:c r="B1058" s="15" t="str">
        <x:v>GammaSprite</x:v>
      </x:c>
      <x:c r="C1058" s="15" t="str">
        <x:v>Deck surface mapper</x:v>
      </x:c>
      <x:c r="D1058" s="15" t="str">
        <x:v>Contradiction Mapping</x:v>
      </x:c>
      <x:c r="E1058" s="15" t="str">
        <x:v>Notion</x:v>
      </x:c>
      <x:c r="F1058" s="15" t="str">
        <x:v>Map contradictions in Notion — GammaSprite</x:v>
      </x:c>
      <x:c r="G1058" s="15" t="str">
        <x:v>Gamma/deck extraction / slide lineage</x:v>
      </x:c>
      <x:c r="H1058" s="15" t="str">
        <x:v>source path + receipt + raw/export status + claim/edge/risk delta</x:v>
      </x:c>
      <x:c r="I1058" s="15" t="str">
        <x:v>packet/SWARM-08-H05-S01</x:v>
      </x:c>
      <x:c r="J1058" s="15" t="str">
        <x:v>TODO</x:v>
      </x:c>
      <x:c r="K1058" s="15" t="str">
        <x:v>P0</x:v>
      </x:c>
      <x:c r="L1058" s="15" t="str">
        <x:v>Done only when evidence is logged, contradiction search is noted, and boundary stamp remains non-canon unless ratified</x:v>
      </x:c>
      <x:c r="M1058" s="15" t="str">
        <x:v>candidate / staging-only / not canon / not deployed / authority none</x:v>
      </x:c>
      <x:c r="N1058" s="15" t="str">
        <x:v>Dispatch to GammaSprite: complete Contradiction Mapping x Notion; return deltas only, receipts required.</x:v>
      </x:c>
      <x:c r="O1058" s="15" t="str">
        <x:v>AF-KG-H05-S01</x:v>
      </x:c>
      <x:c r="P1058" s="15" t="str">
        <x:v>Unverified</x:v>
      </x:c>
      <x:c r="Q1058" s="15" t="str">
        <x:v>Not checked</x:v>
      </x:c>
      <x:c r="R1058" s="15" t="str"/>
      <x:c r="S1058" s="15" t="str"/>
      <x:c r="T1058" s="15" t="str">
        <x:v>Log first source path or blocker</x:v>
      </x:c>
      <x:c r="U1058" s="12" t="str">
        <x:f>IF(OR(P1058="Unverified",Q1058="Not checked"),"BLOCKED_PENDING_RECEIPT","READY_FOR_REVIEW")</x:f>
        <x:v>BLOCKED_PENDING_RECEIPT</x:v>
      </x:c>
      <x:c r="V1058" s="12" t="str">
        <x:f>IF(J1058="DONE","RETURNED",IF(U1058="BLOCKED_PENDING_RECEIPT","SOURCE_TOUCH_REQUIRED","IN_PROGRESS"))</x:f>
        <x:v>SOURCE_TOUCH_REQUIRED</x:v>
      </x:c>
      <x:c r="W1058" s="12" t="str">
        <x:f>IF(P1058="Unverified","missing_receipt","receipt_logged")</x:f>
        <x:v>missing_receipt</x:v>
      </x:c>
      <x:c r="X1058" s="12" t="str">
        <x:f>IF(Q1058="Not checked","raw_status_missing","raw_status_logged")</x:f>
        <x:v>raw_status_missing</x:v>
      </x:c>
      <x:c r="Y1058" s="12" t="str">
        <x:f>IF(U1058="BLOCKED_PENDING_RECEIPT","Log source path or blocker; do not promote","Route to review lane")</x:f>
        <x:v>Log source path or blocker; do not promote</x:v>
      </x:c>
      <x:c r="Z1058" s="12" t="str">
        <x:f>IF(K1058="P0","Primary seat + Hashlight/Lucerna","Seat lane")</x:f>
        <x:v>Primary seat + Hashlight/Lucerna</x:v>
      </x:c>
      <x:c r="AA1058" s="12" t="str">
        <x:f>IF(R1058="","no_claim_delta","claim_delta_present")</x:f>
        <x:v>no_claim_delta</x:v>
      </x:c>
      <x:c r="AB1058" s="12" t="str">
        <x:f>IF(S1058="","no_contradiction_delta","contradiction_delta_present")</x:f>
        <x:v>no_contradiction_delta</x:v>
      </x:c>
      <x:c r="AC1058" s="12" t="str">
        <x:f>IF(OR(ISNUMBER(SEARCH("hacker",LOWER(F1058&amp;" "&amp;H1058&amp;" "&amp;I1058&amp;" "&amp;M1058&amp;" "&amp;N1058&amp;" "&amp;T1058))),ISNUMBER(SEARCH("hacking",LOWER(F1058&amp;" "&amp;H1058&amp;" "&amp;I1058&amp;" "&amp;M1058&amp;" "&amp;N1058&amp;" "&amp;T1058))),ISNUMBER(SEARCH("bank",LOWER(F1058&amp;" "&amp;H1058&amp;" "&amp;I1058&amp;" "&amp;M1058&amp;" "&amp;N1058&amp;" "&amp;T1058))),ISNUMBER(SEARCH("banking",LOWER(F1058&amp;" "&amp;H1058&amp;" "&amp;I1058&amp;" "&amp;M1058&amp;" "&amp;N1058&amp;" "&amp;T1058)))),"PRIVATE_QUARANTINE",IF(OR(ISNUMBER(SEARCH("treasury",LOWER(F1058&amp;" "&amp;H1058&amp;" "&amp;I1058&amp;" "&amp;M1058&amp;" "&amp;N1058&amp;" "&amp;T1058))),ISNUMBER(SEARCH("debt",LOWER(F1058&amp;" "&amp;H1058&amp;" "&amp;I1058&amp;" "&amp;M1058&amp;" "&amp;N1058&amp;" "&amp;T1058))),ISNUMBER(SEARCH("bond",LOWER(F1058&amp;" "&amp;H1058&amp;" "&amp;I1058&amp;" "&amp;M1058&amp;" "&amp;N1058&amp;" "&amp;T1058))),ISNUMBER(SEARCH("transaction",LOWER(F1058&amp;" "&amp;H1058&amp;" "&amp;I1058&amp;" "&amp;M1058&amp;" "&amp;N1058&amp;" "&amp;T1058)))),"PRIVATE_REVIEW","PUBLIC_CANDIDATE"))</x:f>
        <x:v>PUBLIC_CANDIDATE</x:v>
      </x:c>
      <x:c r="AD1058" s="12" t="str">
        <x:f>IF(AC1058="PRIVATE_QUARANTINE","hacker_or_bank_trigger",IF(AC1058="PRIVATE_REVIEW","finance_risk_trigger","none"))</x:f>
        <x:v>none</x:v>
      </x:c>
      <x:c r="AE1058" s="12" t="str">
        <x:f>IF(AC1058="PUBLIC_CANDIDATE","prepare_public_github_candidate",IF(AC1058="PRIVATE_REVIEW","hold_for_private_review","quarantine_private_do_not_publish"))</x:f>
        <x:v>prepare_public_github_candidate</x:v>
      </x:c>
      <x:c r="AF1058" s="12" t="str">
        <x:f>IF(AC1058="PUBLIC_CANDIDATE","TIDELOCK + Lucerna",IF(AC1058="PRIVATE_REVIEW","AtlasBrain + Lucerna","TIDELOCK + Lucerna + Human-root"))</x:f>
        <x:v>TIDELOCK + Lucerna</x:v>
      </x:c>
      <x:c r="AG1058" s="12" t="str">
        <x:f>IF(AND(AC1058="PUBLIC_CANDIDATE",U1058&lt;&gt;"BLOCKED_PENDING_RECEIPT"),"READY_AFTER_RECEIPT","NOT_READY")</x:f>
        <x:v>NOT_READY</x:v>
      </x:c>
      <x:c r="AH1058" s="12" t="str">
        <x:f>IF(AC1058="PUBLIC_CANDIDATE","none",AD1058)</x:f>
        <x:v>none</x:v>
      </x:c>
      <x:c r="AI1058" s="12" t="str">
        <x:f>IF(AC1058="PUBLIC_CANDIDATE","archive/public_candidates/"&amp;A1058,"private_quarantine/"&amp;A1058)</x:f>
        <x:v>archive/public_candidates/SWARM-08-H05-S01</x:v>
      </x:c>
      <x:c r="AJ1058" s="12" t="str">
        <x:f>IF(AC1058="PUBLIC_CANDIDATE","public by default; still not canon","private/hold; do not publish")</x:f>
        <x:v>public by default; still not canon</x:v>
      </x:c>
      <x:c r="AK1058" s="12" t="str">
        <x:f>IF(AE1058="prepare_public_github_candidate","add receipt/status then mirror","resolve blocker before any public GitHub action")</x:f>
        <x:v>add receipt/status then mirror</x:v>
      </x:c>
    </x:row>
    <x:row r="1059">
      <x:c r="A1059" s="15" t="str">
        <x:v>SWARM-08-H05-S02</x:v>
      </x:c>
      <x:c r="B1059" s="15" t="str">
        <x:v>GammaSprite</x:v>
      </x:c>
      <x:c r="C1059" s="15" t="str">
        <x:v>Deck surface mapper</x:v>
      </x:c>
      <x:c r="D1059" s="15" t="str">
        <x:v>Contradiction Mapping</x:v>
      </x:c>
      <x:c r="E1059" s="15" t="str">
        <x:v>Drive</x:v>
      </x:c>
      <x:c r="F1059" s="15" t="str">
        <x:v>Map contradictions in Drive — GammaSprite</x:v>
      </x:c>
      <x:c r="G1059" s="15" t="str">
        <x:v>Gamma/deck extraction / slide lineage</x:v>
      </x:c>
      <x:c r="H1059" s="15" t="str">
        <x:v>source path + receipt + raw/export status + claim/edge/risk delta</x:v>
      </x:c>
      <x:c r="I1059" s="15" t="str">
        <x:v>packet/SWARM-08-H05-S02</x:v>
      </x:c>
      <x:c r="J1059" s="15" t="str">
        <x:v>TODO</x:v>
      </x:c>
      <x:c r="K1059" s="15" t="str">
        <x:v>P0</x:v>
      </x:c>
      <x:c r="L1059" s="15" t="str">
        <x:v>Done only when evidence is logged, contradiction search is noted, and boundary stamp remains non-canon unless ratified</x:v>
      </x:c>
      <x:c r="M1059" s="15" t="str">
        <x:v>candidate / staging-only / not canon / not deployed / authority none</x:v>
      </x:c>
      <x:c r="N1059" s="15" t="str">
        <x:v>Dispatch to GammaSprite: complete Contradiction Mapping x Drive; return deltas only, receipts required.</x:v>
      </x:c>
      <x:c r="O1059" s="15" t="str">
        <x:v>AF-KG-H05-S02</x:v>
      </x:c>
      <x:c r="P1059" s="15" t="str">
        <x:v>Unverified</x:v>
      </x:c>
      <x:c r="Q1059" s="15" t="str">
        <x:v>Not checked</x:v>
      </x:c>
      <x:c r="R1059" s="15" t="str"/>
      <x:c r="S1059" s="15" t="str"/>
      <x:c r="T1059" s="15" t="str">
        <x:v>Log first source path or blocker</x:v>
      </x:c>
      <x:c r="U1059" s="12" t="str">
        <x:f>IF(OR(P1059="Unverified",Q1059="Not checked"),"BLOCKED_PENDING_RECEIPT","READY_FOR_REVIEW")</x:f>
        <x:v>BLOCKED_PENDING_RECEIPT</x:v>
      </x:c>
      <x:c r="V1059" s="12" t="str">
        <x:f>IF(J1059="DONE","RETURNED",IF(U1059="BLOCKED_PENDING_RECEIPT","SOURCE_TOUCH_REQUIRED","IN_PROGRESS"))</x:f>
        <x:v>SOURCE_TOUCH_REQUIRED</x:v>
      </x:c>
      <x:c r="W1059" s="12" t="str">
        <x:f>IF(P1059="Unverified","missing_receipt","receipt_logged")</x:f>
        <x:v>missing_receipt</x:v>
      </x:c>
      <x:c r="X1059" s="12" t="str">
        <x:f>IF(Q1059="Not checked","raw_status_missing","raw_status_logged")</x:f>
        <x:v>raw_status_missing</x:v>
      </x:c>
      <x:c r="Y1059" s="12" t="str">
        <x:f>IF(U1059="BLOCKED_PENDING_RECEIPT","Log source path or blocker; do not promote","Route to review lane")</x:f>
        <x:v>Log source path or blocker; do not promote</x:v>
      </x:c>
      <x:c r="Z1059" s="12" t="str">
        <x:f>IF(K1059="P0","Primary seat + Hashlight/Lucerna","Seat lane")</x:f>
        <x:v>Primary seat + Hashlight/Lucerna</x:v>
      </x:c>
      <x:c r="AA1059" s="12" t="str">
        <x:f>IF(R1059="","no_claim_delta","claim_delta_present")</x:f>
        <x:v>no_claim_delta</x:v>
      </x:c>
      <x:c r="AB1059" s="12" t="str">
        <x:f>IF(S1059="","no_contradiction_delta","contradiction_delta_present")</x:f>
        <x:v>no_contradiction_delta</x:v>
      </x:c>
      <x:c r="AC1059" s="12" t="str">
        <x:f>IF(OR(ISNUMBER(SEARCH("hacker",LOWER(F1059&amp;" "&amp;H1059&amp;" "&amp;I1059&amp;" "&amp;M1059&amp;" "&amp;N1059&amp;" "&amp;T1059))),ISNUMBER(SEARCH("hacking",LOWER(F1059&amp;" "&amp;H1059&amp;" "&amp;I1059&amp;" "&amp;M1059&amp;" "&amp;N1059&amp;" "&amp;T1059))),ISNUMBER(SEARCH("bank",LOWER(F1059&amp;" "&amp;H1059&amp;" "&amp;I1059&amp;" "&amp;M1059&amp;" "&amp;N1059&amp;" "&amp;T1059))),ISNUMBER(SEARCH("banking",LOWER(F1059&amp;" "&amp;H1059&amp;" "&amp;I1059&amp;" "&amp;M1059&amp;" "&amp;N1059&amp;" "&amp;T1059)))),"PRIVATE_QUARANTINE",IF(OR(ISNUMBER(SEARCH("treasury",LOWER(F1059&amp;" "&amp;H1059&amp;" "&amp;I1059&amp;" "&amp;M1059&amp;" "&amp;N1059&amp;" "&amp;T1059))),ISNUMBER(SEARCH("debt",LOWER(F1059&amp;" "&amp;H1059&amp;" "&amp;I1059&amp;" "&amp;M1059&amp;" "&amp;N1059&amp;" "&amp;T1059))),ISNUMBER(SEARCH("bond",LOWER(F1059&amp;" "&amp;H1059&amp;" "&amp;I1059&amp;" "&amp;M1059&amp;" "&amp;N1059&amp;" "&amp;T1059))),ISNUMBER(SEARCH("transaction",LOWER(F1059&amp;" "&amp;H1059&amp;" "&amp;I1059&amp;" "&amp;M1059&amp;" "&amp;N1059&amp;" "&amp;T1059)))),"PRIVATE_REVIEW","PUBLIC_CANDIDATE"))</x:f>
        <x:v>PUBLIC_CANDIDATE</x:v>
      </x:c>
      <x:c r="AD1059" s="12" t="str">
        <x:f>IF(AC1059="PRIVATE_QUARANTINE","hacker_or_bank_trigger",IF(AC1059="PRIVATE_REVIEW","finance_risk_trigger","none"))</x:f>
        <x:v>none</x:v>
      </x:c>
      <x:c r="AE1059" s="12" t="str">
        <x:f>IF(AC1059="PUBLIC_CANDIDATE","prepare_public_github_candidate",IF(AC1059="PRIVATE_REVIEW","hold_for_private_review","quarantine_private_do_not_publish"))</x:f>
        <x:v>prepare_public_github_candidate</x:v>
      </x:c>
      <x:c r="AF1059" s="12" t="str">
        <x:f>IF(AC1059="PUBLIC_CANDIDATE","TIDELOCK + Lucerna",IF(AC1059="PRIVATE_REVIEW","AtlasBrain + Lucerna","TIDELOCK + Lucerna + Human-root"))</x:f>
        <x:v>TIDELOCK + Lucerna</x:v>
      </x:c>
      <x:c r="AG1059" s="12" t="str">
        <x:f>IF(AND(AC1059="PUBLIC_CANDIDATE",U1059&lt;&gt;"BLOCKED_PENDING_RECEIPT"),"READY_AFTER_RECEIPT","NOT_READY")</x:f>
        <x:v>NOT_READY</x:v>
      </x:c>
      <x:c r="AH1059" s="12" t="str">
        <x:f>IF(AC1059="PUBLIC_CANDIDATE","none",AD1059)</x:f>
        <x:v>none</x:v>
      </x:c>
      <x:c r="AI1059" s="12" t="str">
        <x:f>IF(AC1059="PUBLIC_CANDIDATE","archive/public_candidates/"&amp;A1059,"private_quarantine/"&amp;A1059)</x:f>
        <x:v>archive/public_candidates/SWARM-08-H05-S02</x:v>
      </x:c>
      <x:c r="AJ1059" s="12" t="str">
        <x:f>IF(AC1059="PUBLIC_CANDIDATE","public by default; still not canon","private/hold; do not publish")</x:f>
        <x:v>public by default; still not canon</x:v>
      </x:c>
      <x:c r="AK1059" s="12" t="str">
        <x:f>IF(AE1059="prepare_public_github_candidate","add receipt/status then mirror","resolve blocker before any public GitHub action")</x:f>
        <x:v>add receipt/status then mirror</x:v>
      </x:c>
    </x:row>
    <x:row r="1060">
      <x:c r="A1060" s="15" t="str">
        <x:v>SWARM-08-H05-S03</x:v>
      </x:c>
      <x:c r="B1060" s="15" t="str">
        <x:v>GammaSprite</x:v>
      </x:c>
      <x:c r="C1060" s="15" t="str">
        <x:v>Deck surface mapper</x:v>
      </x:c>
      <x:c r="D1060" s="15" t="str">
        <x:v>Contradiction Mapping</x:v>
      </x:c>
      <x:c r="E1060" s="15" t="str">
        <x:v>GitHub</x:v>
      </x:c>
      <x:c r="F1060" s="15" t="str">
        <x:v>Map contradictions in GitHub — GammaSprite</x:v>
      </x:c>
      <x:c r="G1060" s="15" t="str">
        <x:v>Gamma/deck extraction / slide lineage</x:v>
      </x:c>
      <x:c r="H1060" s="15" t="str">
        <x:v>source path + receipt + raw/export status + claim/edge/risk delta</x:v>
      </x:c>
      <x:c r="I1060" s="15" t="str">
        <x:v>packet/SWARM-08-H05-S03</x:v>
      </x:c>
      <x:c r="J1060" s="15" t="str">
        <x:v>TODO</x:v>
      </x:c>
      <x:c r="K1060" s="15" t="str">
        <x:v>P0</x:v>
      </x:c>
      <x:c r="L1060" s="15" t="str">
        <x:v>Done only when evidence is logged, contradiction search is noted, and boundary stamp remains non-canon unless ratified</x:v>
      </x:c>
      <x:c r="M1060" s="15" t="str">
        <x:v>candidate / staging-only / not canon / not deployed / authority none</x:v>
      </x:c>
      <x:c r="N1060" s="15" t="str">
        <x:v>Dispatch to GammaSprite: complete Contradiction Mapping x GitHub; return deltas only, receipts required.</x:v>
      </x:c>
      <x:c r="O1060" s="15" t="str">
        <x:v>AF-KG-H05-S03</x:v>
      </x:c>
      <x:c r="P1060" s="15" t="str">
        <x:v>Unverified</x:v>
      </x:c>
      <x:c r="Q1060" s="15" t="str">
        <x:v>Not checked</x:v>
      </x:c>
      <x:c r="R1060" s="15" t="str"/>
      <x:c r="S1060" s="15" t="str"/>
      <x:c r="T1060" s="15" t="str">
        <x:v>Log first source path or blocker</x:v>
      </x:c>
      <x:c r="U1060" s="12" t="str">
        <x:f>IF(OR(P1060="Unverified",Q1060="Not checked"),"BLOCKED_PENDING_RECEIPT","READY_FOR_REVIEW")</x:f>
        <x:v>BLOCKED_PENDING_RECEIPT</x:v>
      </x:c>
      <x:c r="V1060" s="12" t="str">
        <x:f>IF(J1060="DONE","RETURNED",IF(U1060="BLOCKED_PENDING_RECEIPT","SOURCE_TOUCH_REQUIRED","IN_PROGRESS"))</x:f>
        <x:v>SOURCE_TOUCH_REQUIRED</x:v>
      </x:c>
      <x:c r="W1060" s="12" t="str">
        <x:f>IF(P1060="Unverified","missing_receipt","receipt_logged")</x:f>
        <x:v>missing_receipt</x:v>
      </x:c>
      <x:c r="X1060" s="12" t="str">
        <x:f>IF(Q1060="Not checked","raw_status_missing","raw_status_logged")</x:f>
        <x:v>raw_status_missing</x:v>
      </x:c>
      <x:c r="Y1060" s="12" t="str">
        <x:f>IF(U1060="BLOCKED_PENDING_RECEIPT","Log source path or blocker; do not promote","Route to review lane")</x:f>
        <x:v>Log source path or blocker; do not promote</x:v>
      </x:c>
      <x:c r="Z1060" s="12" t="str">
        <x:f>IF(K1060="P0","Primary seat + Hashlight/Lucerna","Seat lane")</x:f>
        <x:v>Primary seat + Hashlight/Lucerna</x:v>
      </x:c>
      <x:c r="AA1060" s="12" t="str">
        <x:f>IF(R1060="","no_claim_delta","claim_delta_present")</x:f>
        <x:v>no_claim_delta</x:v>
      </x:c>
      <x:c r="AB1060" s="12" t="str">
        <x:f>IF(S1060="","no_contradiction_delta","contradiction_delta_present")</x:f>
        <x:v>no_contradiction_delta</x:v>
      </x:c>
      <x:c r="AC1060" s="12" t="str">
        <x:f>IF(OR(ISNUMBER(SEARCH("hacker",LOWER(F1060&amp;" "&amp;H1060&amp;" "&amp;I1060&amp;" "&amp;M1060&amp;" "&amp;N1060&amp;" "&amp;T1060))),ISNUMBER(SEARCH("hacking",LOWER(F1060&amp;" "&amp;H1060&amp;" "&amp;I1060&amp;" "&amp;M1060&amp;" "&amp;N1060&amp;" "&amp;T1060))),ISNUMBER(SEARCH("bank",LOWER(F1060&amp;" "&amp;H1060&amp;" "&amp;I1060&amp;" "&amp;M1060&amp;" "&amp;N1060&amp;" "&amp;T1060))),ISNUMBER(SEARCH("banking",LOWER(F1060&amp;" "&amp;H1060&amp;" "&amp;I1060&amp;" "&amp;M1060&amp;" "&amp;N1060&amp;" "&amp;T1060)))),"PRIVATE_QUARANTINE",IF(OR(ISNUMBER(SEARCH("treasury",LOWER(F1060&amp;" "&amp;H1060&amp;" "&amp;I1060&amp;" "&amp;M1060&amp;" "&amp;N1060&amp;" "&amp;T1060))),ISNUMBER(SEARCH("debt",LOWER(F1060&amp;" "&amp;H1060&amp;" "&amp;I1060&amp;" "&amp;M1060&amp;" "&amp;N1060&amp;" "&amp;T1060))),ISNUMBER(SEARCH("bond",LOWER(F1060&amp;" "&amp;H1060&amp;" "&amp;I1060&amp;" "&amp;M1060&amp;" "&amp;N1060&amp;" "&amp;T1060))),ISNUMBER(SEARCH("transaction",LOWER(F1060&amp;" "&amp;H1060&amp;" "&amp;I1060&amp;" "&amp;M1060&amp;" "&amp;N1060&amp;" "&amp;T1060)))),"PRIVATE_REVIEW","PUBLIC_CANDIDATE"))</x:f>
        <x:v>PUBLIC_CANDIDATE</x:v>
      </x:c>
      <x:c r="AD1060" s="12" t="str">
        <x:f>IF(AC1060="PRIVATE_QUARANTINE","hacker_or_bank_trigger",IF(AC1060="PRIVATE_REVIEW","finance_risk_trigger","none"))</x:f>
        <x:v>none</x:v>
      </x:c>
      <x:c r="AE1060" s="12" t="str">
        <x:f>IF(AC1060="PUBLIC_CANDIDATE","prepare_public_github_candidate",IF(AC1060="PRIVATE_REVIEW","hold_for_private_review","quarantine_private_do_not_publish"))</x:f>
        <x:v>prepare_public_github_candidate</x:v>
      </x:c>
      <x:c r="AF1060" s="12" t="str">
        <x:f>IF(AC1060="PUBLIC_CANDIDATE","TIDELOCK + Lucerna",IF(AC1060="PRIVATE_REVIEW","AtlasBrain + Lucerna","TIDELOCK + Lucerna + Human-root"))</x:f>
        <x:v>TIDELOCK + Lucerna</x:v>
      </x:c>
      <x:c r="AG1060" s="12" t="str">
        <x:f>IF(AND(AC1060="PUBLIC_CANDIDATE",U1060&lt;&gt;"BLOCKED_PENDING_RECEIPT"),"READY_AFTER_RECEIPT","NOT_READY")</x:f>
        <x:v>NOT_READY</x:v>
      </x:c>
      <x:c r="AH1060" s="12" t="str">
        <x:f>IF(AC1060="PUBLIC_CANDIDATE","none",AD1060)</x:f>
        <x:v>none</x:v>
      </x:c>
      <x:c r="AI1060" s="12" t="str">
        <x:f>IF(AC1060="PUBLIC_CANDIDATE","archive/public_candidates/"&amp;A1060,"private_quarantine/"&amp;A1060)</x:f>
        <x:v>archive/public_candidates/SWARM-08-H05-S03</x:v>
      </x:c>
      <x:c r="AJ1060" s="12" t="str">
        <x:f>IF(AC1060="PUBLIC_CANDIDATE","public by default; still not canon","private/hold; do not publish")</x:f>
        <x:v>public by default; still not canon</x:v>
      </x:c>
      <x:c r="AK1060" s="12" t="str">
        <x:f>IF(AE1060="prepare_public_github_candidate","add receipt/status then mirror","resolve blocker before any public GitHub action")</x:f>
        <x:v>add receipt/status then mirror</x:v>
      </x:c>
    </x:row>
    <x:row r="1061">
      <x:c r="A1061" s="15" t="str">
        <x:v>SWARM-08-H05-S04</x:v>
      </x:c>
      <x:c r="B1061" s="15" t="str">
        <x:v>GammaSprite</x:v>
      </x:c>
      <x:c r="C1061" s="15" t="str">
        <x:v>Deck surface mapper</x:v>
      </x:c>
      <x:c r="D1061" s="15" t="str">
        <x:v>Contradiction Mapping</x:v>
      </x:c>
      <x:c r="E1061" s="15" t="str">
        <x:v>Gamma</x:v>
      </x:c>
      <x:c r="F1061" s="15" t="str">
        <x:v>Map contradictions in Gamma — GammaSprite</x:v>
      </x:c>
      <x:c r="G1061" s="15" t="str">
        <x:v>Gamma/deck extraction / slide lineage</x:v>
      </x:c>
      <x:c r="H1061" s="15" t="str">
        <x:v>source path + receipt + raw/export status + claim/edge/risk delta</x:v>
      </x:c>
      <x:c r="I1061" s="15" t="str">
        <x:v>packet/SWARM-08-H05-S04</x:v>
      </x:c>
      <x:c r="J1061" s="15" t="str">
        <x:v>TODO</x:v>
      </x:c>
      <x:c r="K1061" s="15" t="str">
        <x:v>P1</x:v>
      </x:c>
      <x:c r="L1061" s="15" t="str">
        <x:v>Done only when evidence is logged, contradiction search is noted, and boundary stamp remains non-canon unless ratified</x:v>
      </x:c>
      <x:c r="M1061" s="15" t="str">
        <x:v>candidate / staging-only / not canon / not deployed / authority none</x:v>
      </x:c>
      <x:c r="N1061" s="15" t="str">
        <x:v>Dispatch to GammaSprite: complete Contradiction Mapping x Gamma; return deltas only, receipts required.</x:v>
      </x:c>
      <x:c r="O1061" s="15" t="str">
        <x:v>AF-KG-H05-S04</x:v>
      </x:c>
      <x:c r="P1061" s="15" t="str">
        <x:v>Unverified</x:v>
      </x:c>
      <x:c r="Q1061" s="15" t="str">
        <x:v>Not checked</x:v>
      </x:c>
      <x:c r="R1061" s="15" t="str"/>
      <x:c r="S1061" s="15" t="str"/>
      <x:c r="T1061" s="15" t="str">
        <x:v>Log first source path or blocker</x:v>
      </x:c>
      <x:c r="U1061" s="12" t="str">
        <x:f>IF(OR(P1061="Unverified",Q1061="Not checked"),"BLOCKED_PENDING_RECEIPT","READY_FOR_REVIEW")</x:f>
        <x:v>BLOCKED_PENDING_RECEIPT</x:v>
      </x:c>
      <x:c r="V1061" s="12" t="str">
        <x:f>IF(J1061="DONE","RETURNED",IF(U1061="BLOCKED_PENDING_RECEIPT","SOURCE_TOUCH_REQUIRED","IN_PROGRESS"))</x:f>
        <x:v>SOURCE_TOUCH_REQUIRED</x:v>
      </x:c>
      <x:c r="W1061" s="12" t="str">
        <x:f>IF(P1061="Unverified","missing_receipt","receipt_logged")</x:f>
        <x:v>missing_receipt</x:v>
      </x:c>
      <x:c r="X1061" s="12" t="str">
        <x:f>IF(Q1061="Not checked","raw_status_missing","raw_status_logged")</x:f>
        <x:v>raw_status_missing</x:v>
      </x:c>
      <x:c r="Y1061" s="12" t="str">
        <x:f>IF(U1061="BLOCKED_PENDING_RECEIPT","Log source path or blocker; do not promote","Route to review lane")</x:f>
        <x:v>Log source path or blocker; do not promote</x:v>
      </x:c>
      <x:c r="Z1061" s="12" t="str">
        <x:f>IF(K1061="P0","Primary seat + Hashlight/Lucerna","Seat lane")</x:f>
        <x:v>Seat lane</x:v>
      </x:c>
      <x:c r="AA1061" s="12" t="str">
        <x:f>IF(R1061="","no_claim_delta","claim_delta_present")</x:f>
        <x:v>no_claim_delta</x:v>
      </x:c>
      <x:c r="AB1061" s="12" t="str">
        <x:f>IF(S1061="","no_contradiction_delta","contradiction_delta_present")</x:f>
        <x:v>no_contradiction_delta</x:v>
      </x:c>
      <x:c r="AC1061" s="12" t="str">
        <x:f>IF(OR(ISNUMBER(SEARCH("hacker",LOWER(F1061&amp;" "&amp;H1061&amp;" "&amp;I1061&amp;" "&amp;M1061&amp;" "&amp;N1061&amp;" "&amp;T1061))),ISNUMBER(SEARCH("hacking",LOWER(F1061&amp;" "&amp;H1061&amp;" "&amp;I1061&amp;" "&amp;M1061&amp;" "&amp;N1061&amp;" "&amp;T1061))),ISNUMBER(SEARCH("bank",LOWER(F1061&amp;" "&amp;H1061&amp;" "&amp;I1061&amp;" "&amp;M1061&amp;" "&amp;N1061&amp;" "&amp;T1061))),ISNUMBER(SEARCH("banking",LOWER(F1061&amp;" "&amp;H1061&amp;" "&amp;I1061&amp;" "&amp;M1061&amp;" "&amp;N1061&amp;" "&amp;T1061)))),"PRIVATE_QUARANTINE",IF(OR(ISNUMBER(SEARCH("treasury",LOWER(F1061&amp;" "&amp;H1061&amp;" "&amp;I1061&amp;" "&amp;M1061&amp;" "&amp;N1061&amp;" "&amp;T1061))),ISNUMBER(SEARCH("debt",LOWER(F1061&amp;" "&amp;H1061&amp;" "&amp;I1061&amp;" "&amp;M1061&amp;" "&amp;N1061&amp;" "&amp;T1061))),ISNUMBER(SEARCH("bond",LOWER(F1061&amp;" "&amp;H1061&amp;" "&amp;I1061&amp;" "&amp;M1061&amp;" "&amp;N1061&amp;" "&amp;T1061))),ISNUMBER(SEARCH("transaction",LOWER(F1061&amp;" "&amp;H1061&amp;" "&amp;I1061&amp;" "&amp;M1061&amp;" "&amp;N1061&amp;" "&amp;T1061)))),"PRIVATE_REVIEW","PUBLIC_CANDIDATE"))</x:f>
        <x:v>PUBLIC_CANDIDATE</x:v>
      </x:c>
      <x:c r="AD1061" s="12" t="str">
        <x:f>IF(AC1061="PRIVATE_QUARANTINE","hacker_or_bank_trigger",IF(AC1061="PRIVATE_REVIEW","finance_risk_trigger","none"))</x:f>
        <x:v>none</x:v>
      </x:c>
      <x:c r="AE1061" s="12" t="str">
        <x:f>IF(AC1061="PUBLIC_CANDIDATE","prepare_public_github_candidate",IF(AC1061="PRIVATE_REVIEW","hold_for_private_review","quarantine_private_do_not_publish"))</x:f>
        <x:v>prepare_public_github_candidate</x:v>
      </x:c>
      <x:c r="AF1061" s="12" t="str">
        <x:f>IF(AC1061="PUBLIC_CANDIDATE","TIDELOCK + Lucerna",IF(AC1061="PRIVATE_REVIEW","AtlasBrain + Lucerna","TIDELOCK + Lucerna + Human-root"))</x:f>
        <x:v>TIDELOCK + Lucerna</x:v>
      </x:c>
      <x:c r="AG1061" s="12" t="str">
        <x:f>IF(AND(AC1061="PUBLIC_CANDIDATE",U1061&lt;&gt;"BLOCKED_PENDING_RECEIPT"),"READY_AFTER_RECEIPT","NOT_READY")</x:f>
        <x:v>NOT_READY</x:v>
      </x:c>
      <x:c r="AH1061" s="12" t="str">
        <x:f>IF(AC1061="PUBLIC_CANDIDATE","none",AD1061)</x:f>
        <x:v>none</x:v>
      </x:c>
      <x:c r="AI1061" s="12" t="str">
        <x:f>IF(AC1061="PUBLIC_CANDIDATE","archive/public_candidates/"&amp;A1061,"private_quarantine/"&amp;A1061)</x:f>
        <x:v>archive/public_candidates/SWARM-08-H05-S04</x:v>
      </x:c>
      <x:c r="AJ1061" s="12" t="str">
        <x:f>IF(AC1061="PUBLIC_CANDIDATE","public by default; still not canon","private/hold; do not publish")</x:f>
        <x:v>public by default; still not canon</x:v>
      </x:c>
      <x:c r="AK1061" s="12" t="str">
        <x:f>IF(AE1061="prepare_public_github_candidate","add receipt/status then mirror","resolve blocker before any public GitHub action")</x:f>
        <x:v>add receipt/status then mirror</x:v>
      </x:c>
    </x:row>
    <x:row r="1062">
      <x:c r="A1062" s="15" t="str">
        <x:v>SWARM-08-H05-S05</x:v>
      </x:c>
      <x:c r="B1062" s="15" t="str">
        <x:v>GammaSprite</x:v>
      </x:c>
      <x:c r="C1062" s="15" t="str">
        <x:v>Deck surface mapper</x:v>
      </x:c>
      <x:c r="D1062" s="15" t="str">
        <x:v>Contradiction Mapping</x:v>
      </x:c>
      <x:c r="E1062" s="15" t="str">
        <x:v>Chat</x:v>
      </x:c>
      <x:c r="F1062" s="15" t="str">
        <x:v>Map contradictions in Chat — GammaSprite</x:v>
      </x:c>
      <x:c r="G1062" s="15" t="str">
        <x:v>Gamma/deck extraction / slide lineage</x:v>
      </x:c>
      <x:c r="H1062" s="15" t="str">
        <x:v>source path + receipt + raw/export status + claim/edge/risk delta</x:v>
      </x:c>
      <x:c r="I1062" s="15" t="str">
        <x:v>packet/SWARM-08-H05-S05</x:v>
      </x:c>
      <x:c r="J1062" s="15" t="str">
        <x:v>TODO</x:v>
      </x:c>
      <x:c r="K1062" s="15" t="str">
        <x:v>P1</x:v>
      </x:c>
      <x:c r="L1062" s="15" t="str">
        <x:v>Done only when evidence is logged, contradiction search is noted, and boundary stamp remains non-canon unless ratified</x:v>
      </x:c>
      <x:c r="M1062" s="15" t="str">
        <x:v>candidate / staging-only / not canon / not deployed / authority none</x:v>
      </x:c>
      <x:c r="N1062" s="15" t="str">
        <x:v>Dispatch to GammaSprite: complete Contradiction Mapping x Chat; return deltas only, receipts required.</x:v>
      </x:c>
      <x:c r="O1062" s="15" t="str">
        <x:v>AF-KG-H05-S05</x:v>
      </x:c>
      <x:c r="P1062" s="15" t="str">
        <x:v>Unverified</x:v>
      </x:c>
      <x:c r="Q1062" s="15" t="str">
        <x:v>Not checked</x:v>
      </x:c>
      <x:c r="R1062" s="15" t="str"/>
      <x:c r="S1062" s="15" t="str"/>
      <x:c r="T1062" s="15" t="str">
        <x:v>Log first source path or blocker</x:v>
      </x:c>
      <x:c r="U1062" s="12" t="str">
        <x:f>IF(OR(P1062="Unverified",Q1062="Not checked"),"BLOCKED_PENDING_RECEIPT","READY_FOR_REVIEW")</x:f>
        <x:v>BLOCKED_PENDING_RECEIPT</x:v>
      </x:c>
      <x:c r="V1062" s="12" t="str">
        <x:f>IF(J1062="DONE","RETURNED",IF(U1062="BLOCKED_PENDING_RECEIPT","SOURCE_TOUCH_REQUIRED","IN_PROGRESS"))</x:f>
        <x:v>SOURCE_TOUCH_REQUIRED</x:v>
      </x:c>
      <x:c r="W1062" s="12" t="str">
        <x:f>IF(P1062="Unverified","missing_receipt","receipt_logged")</x:f>
        <x:v>missing_receipt</x:v>
      </x:c>
      <x:c r="X1062" s="12" t="str">
        <x:f>IF(Q1062="Not checked","raw_status_missing","raw_status_logged")</x:f>
        <x:v>raw_status_missing</x:v>
      </x:c>
      <x:c r="Y1062" s="12" t="str">
        <x:f>IF(U1062="BLOCKED_PENDING_RECEIPT","Log source path or blocker; do not promote","Route to review lane")</x:f>
        <x:v>Log source path or blocker; do not promote</x:v>
      </x:c>
      <x:c r="Z1062" s="12" t="str">
        <x:f>IF(K1062="P0","Primary seat + Hashlight/Lucerna","Seat lane")</x:f>
        <x:v>Seat lane</x:v>
      </x:c>
      <x:c r="AA1062" s="12" t="str">
        <x:f>IF(R1062="","no_claim_delta","claim_delta_present")</x:f>
        <x:v>no_claim_delta</x:v>
      </x:c>
      <x:c r="AB1062" s="12" t="str">
        <x:f>IF(S1062="","no_contradiction_delta","contradiction_delta_present")</x:f>
        <x:v>no_contradiction_delta</x:v>
      </x:c>
      <x:c r="AC1062" s="12" t="str">
        <x:f>IF(OR(ISNUMBER(SEARCH("hacker",LOWER(F1062&amp;" "&amp;H1062&amp;" "&amp;I1062&amp;" "&amp;M1062&amp;" "&amp;N1062&amp;" "&amp;T1062))),ISNUMBER(SEARCH("hacking",LOWER(F1062&amp;" "&amp;H1062&amp;" "&amp;I1062&amp;" "&amp;M1062&amp;" "&amp;N1062&amp;" "&amp;T1062))),ISNUMBER(SEARCH("bank",LOWER(F1062&amp;" "&amp;H1062&amp;" "&amp;I1062&amp;" "&amp;M1062&amp;" "&amp;N1062&amp;" "&amp;T1062))),ISNUMBER(SEARCH("banking",LOWER(F1062&amp;" "&amp;H1062&amp;" "&amp;I1062&amp;" "&amp;M1062&amp;" "&amp;N1062&amp;" "&amp;T1062)))),"PRIVATE_QUARANTINE",IF(OR(ISNUMBER(SEARCH("treasury",LOWER(F1062&amp;" "&amp;H1062&amp;" "&amp;I1062&amp;" "&amp;M1062&amp;" "&amp;N1062&amp;" "&amp;T1062))),ISNUMBER(SEARCH("debt",LOWER(F1062&amp;" "&amp;H1062&amp;" "&amp;I1062&amp;" "&amp;M1062&amp;" "&amp;N1062&amp;" "&amp;T1062))),ISNUMBER(SEARCH("bond",LOWER(F1062&amp;" "&amp;H1062&amp;" "&amp;I1062&amp;" "&amp;M1062&amp;" "&amp;N1062&amp;" "&amp;T1062))),ISNUMBER(SEARCH("transaction",LOWER(F1062&amp;" "&amp;H1062&amp;" "&amp;I1062&amp;" "&amp;M1062&amp;" "&amp;N1062&amp;" "&amp;T1062)))),"PRIVATE_REVIEW","PUBLIC_CANDIDATE"))</x:f>
        <x:v>PUBLIC_CANDIDATE</x:v>
      </x:c>
      <x:c r="AD1062" s="12" t="str">
        <x:f>IF(AC1062="PRIVATE_QUARANTINE","hacker_or_bank_trigger",IF(AC1062="PRIVATE_REVIEW","finance_risk_trigger","none"))</x:f>
        <x:v>none</x:v>
      </x:c>
      <x:c r="AE1062" s="12" t="str">
        <x:f>IF(AC1062="PUBLIC_CANDIDATE","prepare_public_github_candidate",IF(AC1062="PRIVATE_REVIEW","hold_for_private_review","quarantine_private_do_not_publish"))</x:f>
        <x:v>prepare_public_github_candidate</x:v>
      </x:c>
      <x:c r="AF1062" s="12" t="str">
        <x:f>IF(AC1062="PUBLIC_CANDIDATE","TIDELOCK + Lucerna",IF(AC1062="PRIVATE_REVIEW","AtlasBrain + Lucerna","TIDELOCK + Lucerna + Human-root"))</x:f>
        <x:v>TIDELOCK + Lucerna</x:v>
      </x:c>
      <x:c r="AG1062" s="12" t="str">
        <x:f>IF(AND(AC1062="PUBLIC_CANDIDATE",U1062&lt;&gt;"BLOCKED_PENDING_RECEIPT"),"READY_AFTER_RECEIPT","NOT_READY")</x:f>
        <x:v>NOT_READY</x:v>
      </x:c>
      <x:c r="AH1062" s="12" t="str">
        <x:f>IF(AC1062="PUBLIC_CANDIDATE","none",AD1062)</x:f>
        <x:v>none</x:v>
      </x:c>
      <x:c r="AI1062" s="12" t="str">
        <x:f>IF(AC1062="PUBLIC_CANDIDATE","archive/public_candidates/"&amp;A1062,"private_quarantine/"&amp;A1062)</x:f>
        <x:v>archive/public_candidates/SWARM-08-H05-S05</x:v>
      </x:c>
      <x:c r="AJ1062" s="12" t="str">
        <x:f>IF(AC1062="PUBLIC_CANDIDATE","public by default; still not canon","private/hold; do not publish")</x:f>
        <x:v>public by default; still not canon</x:v>
      </x:c>
      <x:c r="AK1062" s="12" t="str">
        <x:f>IF(AE1062="prepare_public_github_candidate","add receipt/status then mirror","resolve blocker before any public GitHub action")</x:f>
        <x:v>add receipt/status then mirror</x:v>
      </x:c>
    </x:row>
    <x:row r="1063">
      <x:c r="A1063" s="15" t="str">
        <x:v>SWARM-08-H05-S06</x:v>
      </x:c>
      <x:c r="B1063" s="15" t="str">
        <x:v>GammaSprite</x:v>
      </x:c>
      <x:c r="C1063" s="15" t="str">
        <x:v>Deck surface mapper</x:v>
      </x:c>
      <x:c r="D1063" s="15" t="str">
        <x:v>Contradiction Mapping</x:v>
      </x:c>
      <x:c r="E1063" s="15" t="str">
        <x:v>External Web</x:v>
      </x:c>
      <x:c r="F1063" s="15" t="str">
        <x:v>Map contradictions in External Web — GammaSprite</x:v>
      </x:c>
      <x:c r="G1063" s="15" t="str">
        <x:v>Gamma/deck extraction / slide lineage</x:v>
      </x:c>
      <x:c r="H1063" s="15" t="str">
        <x:v>source path + receipt + raw/export status + claim/edge/risk delta</x:v>
      </x:c>
      <x:c r="I1063" s="15" t="str">
        <x:v>packet/SWARM-08-H05-S06</x:v>
      </x:c>
      <x:c r="J1063" s="15" t="str">
        <x:v>TODO</x:v>
      </x:c>
      <x:c r="K1063" s="15" t="str">
        <x:v>P1</x:v>
      </x:c>
      <x:c r="L1063" s="15" t="str">
        <x:v>Done only when evidence is logged, contradiction search is noted, and boundary stamp remains non-canon unless ratified</x:v>
      </x:c>
      <x:c r="M1063" s="15" t="str">
        <x:v>candidate / staging-only / not canon / not deployed / authority none</x:v>
      </x:c>
      <x:c r="N1063" s="15" t="str">
        <x:v>Dispatch to GammaSprite: complete Contradiction Mapping x External Web; return deltas only, receipts required.</x:v>
      </x:c>
      <x:c r="O1063" s="15" t="str">
        <x:v>AF-KG-H05-S06</x:v>
      </x:c>
      <x:c r="P1063" s="15" t="str">
        <x:v>Unverified</x:v>
      </x:c>
      <x:c r="Q1063" s="15" t="str">
        <x:v>Not checked</x:v>
      </x:c>
      <x:c r="R1063" s="15" t="str"/>
      <x:c r="S1063" s="15" t="str"/>
      <x:c r="T1063" s="15" t="str">
        <x:v>Log first source path or blocker</x:v>
      </x:c>
      <x:c r="U1063" s="12" t="str">
        <x:f>IF(OR(P1063="Unverified",Q1063="Not checked"),"BLOCKED_PENDING_RECEIPT","READY_FOR_REVIEW")</x:f>
        <x:v>BLOCKED_PENDING_RECEIPT</x:v>
      </x:c>
      <x:c r="V1063" s="12" t="str">
        <x:f>IF(J1063="DONE","RETURNED",IF(U1063="BLOCKED_PENDING_RECEIPT","SOURCE_TOUCH_REQUIRED","IN_PROGRESS"))</x:f>
        <x:v>SOURCE_TOUCH_REQUIRED</x:v>
      </x:c>
      <x:c r="W1063" s="12" t="str">
        <x:f>IF(P1063="Unverified","missing_receipt","receipt_logged")</x:f>
        <x:v>missing_receipt</x:v>
      </x:c>
      <x:c r="X1063" s="12" t="str">
        <x:f>IF(Q1063="Not checked","raw_status_missing","raw_status_logged")</x:f>
        <x:v>raw_status_missing</x:v>
      </x:c>
      <x:c r="Y1063" s="12" t="str">
        <x:f>IF(U1063="BLOCKED_PENDING_RECEIPT","Log source path or blocker; do not promote","Route to review lane")</x:f>
        <x:v>Log source path or blocker; do not promote</x:v>
      </x:c>
      <x:c r="Z1063" s="12" t="str">
        <x:f>IF(K1063="P0","Primary seat + Hashlight/Lucerna","Seat lane")</x:f>
        <x:v>Seat lane</x:v>
      </x:c>
      <x:c r="AA1063" s="12" t="str">
        <x:f>IF(R1063="","no_claim_delta","claim_delta_present")</x:f>
        <x:v>no_claim_delta</x:v>
      </x:c>
      <x:c r="AB1063" s="12" t="str">
        <x:f>IF(S1063="","no_contradiction_delta","contradiction_delta_present")</x:f>
        <x:v>no_contradiction_delta</x:v>
      </x:c>
      <x:c r="AC1063" s="12" t="str">
        <x:f>IF(OR(ISNUMBER(SEARCH("hacker",LOWER(F1063&amp;" "&amp;H1063&amp;" "&amp;I1063&amp;" "&amp;M1063&amp;" "&amp;N1063&amp;" "&amp;T1063))),ISNUMBER(SEARCH("hacking",LOWER(F1063&amp;" "&amp;H1063&amp;" "&amp;I1063&amp;" "&amp;M1063&amp;" "&amp;N1063&amp;" "&amp;T1063))),ISNUMBER(SEARCH("bank",LOWER(F1063&amp;" "&amp;H1063&amp;" "&amp;I1063&amp;" "&amp;M1063&amp;" "&amp;N1063&amp;" "&amp;T1063))),ISNUMBER(SEARCH("banking",LOWER(F1063&amp;" "&amp;H1063&amp;" "&amp;I1063&amp;" "&amp;M1063&amp;" "&amp;N1063&amp;" "&amp;T1063)))),"PRIVATE_QUARANTINE",IF(OR(ISNUMBER(SEARCH("treasury",LOWER(F1063&amp;" "&amp;H1063&amp;" "&amp;I1063&amp;" "&amp;M1063&amp;" "&amp;N1063&amp;" "&amp;T1063))),ISNUMBER(SEARCH("debt",LOWER(F1063&amp;" "&amp;H1063&amp;" "&amp;I1063&amp;" "&amp;M1063&amp;" "&amp;N1063&amp;" "&amp;T1063))),ISNUMBER(SEARCH("bond",LOWER(F1063&amp;" "&amp;H1063&amp;" "&amp;I1063&amp;" "&amp;M1063&amp;" "&amp;N1063&amp;" "&amp;T1063))),ISNUMBER(SEARCH("transaction",LOWER(F1063&amp;" "&amp;H1063&amp;" "&amp;I1063&amp;" "&amp;M1063&amp;" "&amp;N1063&amp;" "&amp;T1063)))),"PRIVATE_REVIEW","PUBLIC_CANDIDATE"))</x:f>
        <x:v>PUBLIC_CANDIDATE</x:v>
      </x:c>
      <x:c r="AD1063" s="12" t="str">
        <x:f>IF(AC1063="PRIVATE_QUARANTINE","hacker_or_bank_trigger",IF(AC1063="PRIVATE_REVIEW","finance_risk_trigger","none"))</x:f>
        <x:v>none</x:v>
      </x:c>
      <x:c r="AE1063" s="12" t="str">
        <x:f>IF(AC1063="PUBLIC_CANDIDATE","prepare_public_github_candidate",IF(AC1063="PRIVATE_REVIEW","hold_for_private_review","quarantine_private_do_not_publish"))</x:f>
        <x:v>prepare_public_github_candidate</x:v>
      </x:c>
      <x:c r="AF1063" s="12" t="str">
        <x:f>IF(AC1063="PUBLIC_CANDIDATE","TIDELOCK + Lucerna",IF(AC1063="PRIVATE_REVIEW","AtlasBrain + Lucerna","TIDELOCK + Lucerna + Human-root"))</x:f>
        <x:v>TIDELOCK + Lucerna</x:v>
      </x:c>
      <x:c r="AG1063" s="12" t="str">
        <x:f>IF(AND(AC1063="PUBLIC_CANDIDATE",U1063&lt;&gt;"BLOCKED_PENDING_RECEIPT"),"READY_AFTER_RECEIPT","NOT_READY")</x:f>
        <x:v>NOT_READY</x:v>
      </x:c>
      <x:c r="AH1063" s="12" t="str">
        <x:f>IF(AC1063="PUBLIC_CANDIDATE","none",AD1063)</x:f>
        <x:v>none</x:v>
      </x:c>
      <x:c r="AI1063" s="12" t="str">
        <x:f>IF(AC1063="PUBLIC_CANDIDATE","archive/public_candidates/"&amp;A1063,"private_quarantine/"&amp;A1063)</x:f>
        <x:v>archive/public_candidates/SWARM-08-H05-S06</x:v>
      </x:c>
      <x:c r="AJ1063" s="12" t="str">
        <x:f>IF(AC1063="PUBLIC_CANDIDATE","public by default; still not canon","private/hold; do not publish")</x:f>
        <x:v>public by default; still not canon</x:v>
      </x:c>
      <x:c r="AK1063" s="12" t="str">
        <x:f>IF(AE1063="prepare_public_github_candidate","add receipt/status then mirror","resolve blocker before any public GitHub action")</x:f>
        <x:v>add receipt/status then mirror</x:v>
      </x:c>
    </x:row>
    <x:row r="1064">
      <x:c r="A1064" s="15" t="str">
        <x:v>SWARM-08-H05-S07</x:v>
      </x:c>
      <x:c r="B1064" s="15" t="str">
        <x:v>GammaSprite</x:v>
      </x:c>
      <x:c r="C1064" s="15" t="str">
        <x:v>Deck surface mapper</x:v>
      </x:c>
      <x:c r="D1064" s="15" t="str">
        <x:v>Contradiction Mapping</x:v>
      </x:c>
      <x:c r="E1064" s="15" t="str">
        <x:v>Planetarium</x:v>
      </x:c>
      <x:c r="F1064" s="15" t="str">
        <x:v>Map contradictions in Planetarium — GammaSprite</x:v>
      </x:c>
      <x:c r="G1064" s="15" t="str">
        <x:v>Gamma/deck extraction / slide lineage</x:v>
      </x:c>
      <x:c r="H1064" s="15" t="str">
        <x:v>source path + receipt + raw/export status + claim/edge/risk delta</x:v>
      </x:c>
      <x:c r="I1064" s="15" t="str">
        <x:v>packet/SWARM-08-H05-S07</x:v>
      </x:c>
      <x:c r="J1064" s="15" t="str">
        <x:v>TODO</x:v>
      </x:c>
      <x:c r="K1064" s="15" t="str">
        <x:v>P1</x:v>
      </x:c>
      <x:c r="L1064" s="15" t="str">
        <x:v>Done only when evidence is logged, contradiction search is noted, and boundary stamp remains non-canon unless ratified</x:v>
      </x:c>
      <x:c r="M1064" s="15" t="str">
        <x:v>candidate / staging-only / not canon / not deployed / authority none</x:v>
      </x:c>
      <x:c r="N1064" s="15" t="str">
        <x:v>Dispatch to GammaSprite: complete Contradiction Mapping x Planetarium; return deltas only, receipts required.</x:v>
      </x:c>
      <x:c r="O1064" s="15" t="str">
        <x:v>AF-KG-H05-S07</x:v>
      </x:c>
      <x:c r="P1064" s="15" t="str">
        <x:v>Unverified</x:v>
      </x:c>
      <x:c r="Q1064" s="15" t="str">
        <x:v>Not checked</x:v>
      </x:c>
      <x:c r="R1064" s="15" t="str"/>
      <x:c r="S1064" s="15" t="str"/>
      <x:c r="T1064" s="15" t="str">
        <x:v>Log first source path or blocker</x:v>
      </x:c>
      <x:c r="U1064" s="12" t="str">
        <x:f>IF(OR(P1064="Unverified",Q1064="Not checked"),"BLOCKED_PENDING_RECEIPT","READY_FOR_REVIEW")</x:f>
        <x:v>BLOCKED_PENDING_RECEIPT</x:v>
      </x:c>
      <x:c r="V1064" s="12" t="str">
        <x:f>IF(J1064="DONE","RETURNED",IF(U1064="BLOCKED_PENDING_RECEIPT","SOURCE_TOUCH_REQUIRED","IN_PROGRESS"))</x:f>
        <x:v>SOURCE_TOUCH_REQUIRED</x:v>
      </x:c>
      <x:c r="W1064" s="12" t="str">
        <x:f>IF(P1064="Unverified","missing_receipt","receipt_logged")</x:f>
        <x:v>missing_receipt</x:v>
      </x:c>
      <x:c r="X1064" s="12" t="str">
        <x:f>IF(Q1064="Not checked","raw_status_missing","raw_status_logged")</x:f>
        <x:v>raw_status_missing</x:v>
      </x:c>
      <x:c r="Y1064" s="12" t="str">
        <x:f>IF(U1064="BLOCKED_PENDING_RECEIPT","Log source path or blocker; do not promote","Route to review lane")</x:f>
        <x:v>Log source path or blocker; do not promote</x:v>
      </x:c>
      <x:c r="Z1064" s="12" t="str">
        <x:f>IF(K1064="P0","Primary seat + Hashlight/Lucerna","Seat lane")</x:f>
        <x:v>Seat lane</x:v>
      </x:c>
      <x:c r="AA1064" s="12" t="str">
        <x:f>IF(R1064="","no_claim_delta","claim_delta_present")</x:f>
        <x:v>no_claim_delta</x:v>
      </x:c>
      <x:c r="AB1064" s="12" t="str">
        <x:f>IF(S1064="","no_contradiction_delta","contradiction_delta_present")</x:f>
        <x:v>no_contradiction_delta</x:v>
      </x:c>
      <x:c r="AC1064" s="12" t="str">
        <x:f>IF(OR(ISNUMBER(SEARCH("hacker",LOWER(F1064&amp;" "&amp;H1064&amp;" "&amp;I1064&amp;" "&amp;M1064&amp;" "&amp;N1064&amp;" "&amp;T1064))),ISNUMBER(SEARCH("hacking",LOWER(F1064&amp;" "&amp;H1064&amp;" "&amp;I1064&amp;" "&amp;M1064&amp;" "&amp;N1064&amp;" "&amp;T1064))),ISNUMBER(SEARCH("bank",LOWER(F1064&amp;" "&amp;H1064&amp;" "&amp;I1064&amp;" "&amp;M1064&amp;" "&amp;N1064&amp;" "&amp;T1064))),ISNUMBER(SEARCH("banking",LOWER(F1064&amp;" "&amp;H1064&amp;" "&amp;I1064&amp;" "&amp;M1064&amp;" "&amp;N1064&amp;" "&amp;T1064)))),"PRIVATE_QUARANTINE",IF(OR(ISNUMBER(SEARCH("treasury",LOWER(F1064&amp;" "&amp;H1064&amp;" "&amp;I1064&amp;" "&amp;M1064&amp;" "&amp;N1064&amp;" "&amp;T1064))),ISNUMBER(SEARCH("debt",LOWER(F1064&amp;" "&amp;H1064&amp;" "&amp;I1064&amp;" "&amp;M1064&amp;" "&amp;N1064&amp;" "&amp;T1064))),ISNUMBER(SEARCH("bond",LOWER(F1064&amp;" "&amp;H1064&amp;" "&amp;I1064&amp;" "&amp;M1064&amp;" "&amp;N1064&amp;" "&amp;T1064))),ISNUMBER(SEARCH("transaction",LOWER(F1064&amp;" "&amp;H1064&amp;" "&amp;I1064&amp;" "&amp;M1064&amp;" "&amp;N1064&amp;" "&amp;T1064)))),"PRIVATE_REVIEW","PUBLIC_CANDIDATE"))</x:f>
        <x:v>PUBLIC_CANDIDATE</x:v>
      </x:c>
      <x:c r="AD1064" s="12" t="str">
        <x:f>IF(AC1064="PRIVATE_QUARANTINE","hacker_or_bank_trigger",IF(AC1064="PRIVATE_REVIEW","finance_risk_trigger","none"))</x:f>
        <x:v>none</x:v>
      </x:c>
      <x:c r="AE1064" s="12" t="str">
        <x:f>IF(AC1064="PUBLIC_CANDIDATE","prepare_public_github_candidate",IF(AC1064="PRIVATE_REVIEW","hold_for_private_review","quarantine_private_do_not_publish"))</x:f>
        <x:v>prepare_public_github_candidate</x:v>
      </x:c>
      <x:c r="AF1064" s="12" t="str">
        <x:f>IF(AC1064="PUBLIC_CANDIDATE","TIDELOCK + Lucerna",IF(AC1064="PRIVATE_REVIEW","AtlasBrain + Lucerna","TIDELOCK + Lucerna + Human-root"))</x:f>
        <x:v>TIDELOCK + Lucerna</x:v>
      </x:c>
      <x:c r="AG1064" s="12" t="str">
        <x:f>IF(AND(AC1064="PUBLIC_CANDIDATE",U1064&lt;&gt;"BLOCKED_PENDING_RECEIPT"),"READY_AFTER_RECEIPT","NOT_READY")</x:f>
        <x:v>NOT_READY</x:v>
      </x:c>
      <x:c r="AH1064" s="12" t="str">
        <x:f>IF(AC1064="PUBLIC_CANDIDATE","none",AD1064)</x:f>
        <x:v>none</x:v>
      </x:c>
      <x:c r="AI1064" s="12" t="str">
        <x:f>IF(AC1064="PUBLIC_CANDIDATE","archive/public_candidates/"&amp;A1064,"private_quarantine/"&amp;A1064)</x:f>
        <x:v>archive/public_candidates/SWARM-08-H05-S07</x:v>
      </x:c>
      <x:c r="AJ1064" s="12" t="str">
        <x:f>IF(AC1064="PUBLIC_CANDIDATE","public by default; still not canon","private/hold; do not publish")</x:f>
        <x:v>public by default; still not canon</x:v>
      </x:c>
      <x:c r="AK1064" s="12" t="str">
        <x:f>IF(AE1064="prepare_public_github_candidate","add receipt/status then mirror","resolve blocker before any public GitHub action")</x:f>
        <x:v>add receipt/status then mirror</x:v>
      </x:c>
    </x:row>
    <x:row r="1065">
      <x:c r="A1065" s="15" t="str">
        <x:v>SWARM-08-H05-S08</x:v>
      </x:c>
      <x:c r="B1065" s="15" t="str">
        <x:v>GammaSprite</x:v>
      </x:c>
      <x:c r="C1065" s="15" t="str">
        <x:v>Deck surface mapper</x:v>
      </x:c>
      <x:c r="D1065" s="15" t="str">
        <x:v>Contradiction Mapping</x:v>
      </x:c>
      <x:c r="E1065" s="15" t="str">
        <x:v>Sheldonbrain</x:v>
      </x:c>
      <x:c r="F1065" s="15" t="str">
        <x:v>Map contradictions in Sheldonbrain — GammaSprite</x:v>
      </x:c>
      <x:c r="G1065" s="15" t="str">
        <x:v>Gamma/deck extraction / slide lineage</x:v>
      </x:c>
      <x:c r="H1065" s="15" t="str">
        <x:v>source path + receipt + raw/export status + claim/edge/risk delta</x:v>
      </x:c>
      <x:c r="I1065" s="15" t="str">
        <x:v>packet/SWARM-08-H05-S08</x:v>
      </x:c>
      <x:c r="J1065" s="15" t="str">
        <x:v>TODO</x:v>
      </x:c>
      <x:c r="K1065" s="15" t="str">
        <x:v>P1</x:v>
      </x:c>
      <x:c r="L1065" s="15" t="str">
        <x:v>Done only when evidence is logged, contradiction search is noted, and boundary stamp remains non-canon unless ratified</x:v>
      </x:c>
      <x:c r="M1065" s="15" t="str">
        <x:v>candidate / staging-only / not canon / not deployed / authority none</x:v>
      </x:c>
      <x:c r="N1065" s="15" t="str">
        <x:v>Dispatch to GammaSprite: complete Contradiction Mapping x Sheldonbrain; return deltas only, receipts required.</x:v>
      </x:c>
      <x:c r="O1065" s="15" t="str">
        <x:v>AF-KG-H05-S08</x:v>
      </x:c>
      <x:c r="P1065" s="15" t="str">
        <x:v>Unverified</x:v>
      </x:c>
      <x:c r="Q1065" s="15" t="str">
        <x:v>Not checked</x:v>
      </x:c>
      <x:c r="R1065" s="15" t="str"/>
      <x:c r="S1065" s="15" t="str"/>
      <x:c r="T1065" s="15" t="str">
        <x:v>Log first source path or blocker</x:v>
      </x:c>
      <x:c r="U1065" s="12" t="str">
        <x:f>IF(OR(P1065="Unverified",Q1065="Not checked"),"BLOCKED_PENDING_RECEIPT","READY_FOR_REVIEW")</x:f>
        <x:v>BLOCKED_PENDING_RECEIPT</x:v>
      </x:c>
      <x:c r="V1065" s="12" t="str">
        <x:f>IF(J1065="DONE","RETURNED",IF(U1065="BLOCKED_PENDING_RECEIPT","SOURCE_TOUCH_REQUIRED","IN_PROGRESS"))</x:f>
        <x:v>SOURCE_TOUCH_REQUIRED</x:v>
      </x:c>
      <x:c r="W1065" s="12" t="str">
        <x:f>IF(P1065="Unverified","missing_receipt","receipt_logged")</x:f>
        <x:v>missing_receipt</x:v>
      </x:c>
      <x:c r="X1065" s="12" t="str">
        <x:f>IF(Q1065="Not checked","raw_status_missing","raw_status_logged")</x:f>
        <x:v>raw_status_missing</x:v>
      </x:c>
      <x:c r="Y1065" s="12" t="str">
        <x:f>IF(U1065="BLOCKED_PENDING_RECEIPT","Log source path or blocker; do not promote","Route to review lane")</x:f>
        <x:v>Log source path or blocker; do not promote</x:v>
      </x:c>
      <x:c r="Z1065" s="12" t="str">
        <x:f>IF(K1065="P0","Primary seat + Hashlight/Lucerna","Seat lane")</x:f>
        <x:v>Seat lane</x:v>
      </x:c>
      <x:c r="AA1065" s="12" t="str">
        <x:f>IF(R1065="","no_claim_delta","claim_delta_present")</x:f>
        <x:v>no_claim_delta</x:v>
      </x:c>
      <x:c r="AB1065" s="12" t="str">
        <x:f>IF(S1065="","no_contradiction_delta","contradiction_delta_present")</x:f>
        <x:v>no_contradiction_delta</x:v>
      </x:c>
      <x:c r="AC1065" s="12" t="str">
        <x:f>IF(OR(ISNUMBER(SEARCH("hacker",LOWER(F1065&amp;" "&amp;H1065&amp;" "&amp;I1065&amp;" "&amp;M1065&amp;" "&amp;N1065&amp;" "&amp;T1065))),ISNUMBER(SEARCH("hacking",LOWER(F1065&amp;" "&amp;H1065&amp;" "&amp;I1065&amp;" "&amp;M1065&amp;" "&amp;N1065&amp;" "&amp;T1065))),ISNUMBER(SEARCH("bank",LOWER(F1065&amp;" "&amp;H1065&amp;" "&amp;I1065&amp;" "&amp;M1065&amp;" "&amp;N1065&amp;" "&amp;T1065))),ISNUMBER(SEARCH("banking",LOWER(F1065&amp;" "&amp;H1065&amp;" "&amp;I1065&amp;" "&amp;M1065&amp;" "&amp;N1065&amp;" "&amp;T1065)))),"PRIVATE_QUARANTINE",IF(OR(ISNUMBER(SEARCH("treasury",LOWER(F1065&amp;" "&amp;H1065&amp;" "&amp;I1065&amp;" "&amp;M1065&amp;" "&amp;N1065&amp;" "&amp;T1065))),ISNUMBER(SEARCH("debt",LOWER(F1065&amp;" "&amp;H1065&amp;" "&amp;I1065&amp;" "&amp;M1065&amp;" "&amp;N1065&amp;" "&amp;T1065))),ISNUMBER(SEARCH("bond",LOWER(F1065&amp;" "&amp;H1065&amp;" "&amp;I1065&amp;" "&amp;M1065&amp;" "&amp;N1065&amp;" "&amp;T1065))),ISNUMBER(SEARCH("transaction",LOWER(F1065&amp;" "&amp;H1065&amp;" "&amp;I1065&amp;" "&amp;M1065&amp;" "&amp;N1065&amp;" "&amp;T1065)))),"PRIVATE_REVIEW","PUBLIC_CANDIDATE"))</x:f>
        <x:v>PUBLIC_CANDIDATE</x:v>
      </x:c>
      <x:c r="AD1065" s="12" t="str">
        <x:f>IF(AC1065="PRIVATE_QUARANTINE","hacker_or_bank_trigger",IF(AC1065="PRIVATE_REVIEW","finance_risk_trigger","none"))</x:f>
        <x:v>none</x:v>
      </x:c>
      <x:c r="AE1065" s="12" t="str">
        <x:f>IF(AC1065="PUBLIC_CANDIDATE","prepare_public_github_candidate",IF(AC1065="PRIVATE_REVIEW","hold_for_private_review","quarantine_private_do_not_publish"))</x:f>
        <x:v>prepare_public_github_candidate</x:v>
      </x:c>
      <x:c r="AF1065" s="12" t="str">
        <x:f>IF(AC1065="PUBLIC_CANDIDATE","TIDELOCK + Lucerna",IF(AC1065="PRIVATE_REVIEW","AtlasBrain + Lucerna","TIDELOCK + Lucerna + Human-root"))</x:f>
        <x:v>TIDELOCK + Lucerna</x:v>
      </x:c>
      <x:c r="AG1065" s="12" t="str">
        <x:f>IF(AND(AC1065="PUBLIC_CANDIDATE",U1065&lt;&gt;"BLOCKED_PENDING_RECEIPT"),"READY_AFTER_RECEIPT","NOT_READY")</x:f>
        <x:v>NOT_READY</x:v>
      </x:c>
      <x:c r="AH1065" s="12" t="str">
        <x:f>IF(AC1065="PUBLIC_CANDIDATE","none",AD1065)</x:f>
        <x:v>none</x:v>
      </x:c>
      <x:c r="AI1065" s="12" t="str">
        <x:f>IF(AC1065="PUBLIC_CANDIDATE","archive/public_candidates/"&amp;A1065,"private_quarantine/"&amp;A1065)</x:f>
        <x:v>archive/public_candidates/SWARM-08-H05-S08</x:v>
      </x:c>
      <x:c r="AJ1065" s="12" t="str">
        <x:f>IF(AC1065="PUBLIC_CANDIDATE","public by default; still not canon","private/hold; do not publish")</x:f>
        <x:v>public by default; still not canon</x:v>
      </x:c>
      <x:c r="AK1065" s="12" t="str">
        <x:f>IF(AE1065="prepare_public_github_candidate","add receipt/status then mirror","resolve blocker before any public GitHub action")</x:f>
        <x:v>add receipt/status then mirror</x:v>
      </x:c>
    </x:row>
    <x:row r="1066">
      <x:c r="A1066" s="15" t="str">
        <x:v>SWARM-08-H05-S09</x:v>
      </x:c>
      <x:c r="B1066" s="15" t="str">
        <x:v>GammaSprite</x:v>
      </x:c>
      <x:c r="C1066" s="15" t="str">
        <x:v>Deck surface mapper</x:v>
      </x:c>
      <x:c r="D1066" s="15" t="str">
        <x:v>Contradiction Mapping</x:v>
      </x:c>
      <x:c r="E1066" s="15" t="str">
        <x:v>Aetherforge</x:v>
      </x:c>
      <x:c r="F1066" s="15" t="str">
        <x:v>Map contradictions in Aetherforge — GammaSprite</x:v>
      </x:c>
      <x:c r="G1066" s="15" t="str">
        <x:v>Gamma/deck extraction / slide lineage</x:v>
      </x:c>
      <x:c r="H1066" s="15" t="str">
        <x:v>source path + receipt + raw/export status + claim/edge/risk delta</x:v>
      </x:c>
      <x:c r="I1066" s="15" t="str">
        <x:v>packet/SWARM-08-H05-S09</x:v>
      </x:c>
      <x:c r="J1066" s="15" t="str">
        <x:v>TODO</x:v>
      </x:c>
      <x:c r="K1066" s="15" t="str">
        <x:v>P2</x:v>
      </x:c>
      <x:c r="L1066" s="15" t="str">
        <x:v>Done only when evidence is logged, contradiction search is noted, and boundary stamp remains non-canon unless ratified</x:v>
      </x:c>
      <x:c r="M1066" s="15" t="str">
        <x:v>candidate / staging-only / not canon / not deployed / authority none</x:v>
      </x:c>
      <x:c r="N1066" s="15" t="str">
        <x:v>Dispatch to GammaSprite: complete Contradiction Mapping x Aetherforge; return deltas only, receipts required.</x:v>
      </x:c>
      <x:c r="O1066" s="15" t="str">
        <x:v>AF-KG-H05-S09</x:v>
      </x:c>
      <x:c r="P1066" s="15" t="str">
        <x:v>Unverified</x:v>
      </x:c>
      <x:c r="Q1066" s="15" t="str">
        <x:v>Not checked</x:v>
      </x:c>
      <x:c r="R1066" s="15" t="str"/>
      <x:c r="S1066" s="15" t="str"/>
      <x:c r="T1066" s="15" t="str">
        <x:v>Log first source path or blocker</x:v>
      </x:c>
      <x:c r="U1066" s="12" t="str">
        <x:f>IF(OR(P1066="Unverified",Q1066="Not checked"),"BLOCKED_PENDING_RECEIPT","READY_FOR_REVIEW")</x:f>
        <x:v>BLOCKED_PENDING_RECEIPT</x:v>
      </x:c>
      <x:c r="V1066" s="12" t="str">
        <x:f>IF(J1066="DONE","RETURNED",IF(U1066="BLOCKED_PENDING_RECEIPT","SOURCE_TOUCH_REQUIRED","IN_PROGRESS"))</x:f>
        <x:v>SOURCE_TOUCH_REQUIRED</x:v>
      </x:c>
      <x:c r="W1066" s="12" t="str">
        <x:f>IF(P1066="Unverified","missing_receipt","receipt_logged")</x:f>
        <x:v>missing_receipt</x:v>
      </x:c>
      <x:c r="X1066" s="12" t="str">
        <x:f>IF(Q1066="Not checked","raw_status_missing","raw_status_logged")</x:f>
        <x:v>raw_status_missing</x:v>
      </x:c>
      <x:c r="Y1066" s="12" t="str">
        <x:f>IF(U1066="BLOCKED_PENDING_RECEIPT","Log source path or blocker; do not promote","Route to review lane")</x:f>
        <x:v>Log source path or blocker; do not promote</x:v>
      </x:c>
      <x:c r="Z1066" s="12" t="str">
        <x:f>IF(K1066="P0","Primary seat + Hashlight/Lucerna","Seat lane")</x:f>
        <x:v>Seat lane</x:v>
      </x:c>
      <x:c r="AA1066" s="12" t="str">
        <x:f>IF(R1066="","no_claim_delta","claim_delta_present")</x:f>
        <x:v>no_claim_delta</x:v>
      </x:c>
      <x:c r="AB1066" s="12" t="str">
        <x:f>IF(S1066="","no_contradiction_delta","contradiction_delta_present")</x:f>
        <x:v>no_contradiction_delta</x:v>
      </x:c>
      <x:c r="AC1066" s="12" t="str">
        <x:f>IF(OR(ISNUMBER(SEARCH("hacker",LOWER(F1066&amp;" "&amp;H1066&amp;" "&amp;I1066&amp;" "&amp;M1066&amp;" "&amp;N1066&amp;" "&amp;T1066))),ISNUMBER(SEARCH("hacking",LOWER(F1066&amp;" "&amp;H1066&amp;" "&amp;I1066&amp;" "&amp;M1066&amp;" "&amp;N1066&amp;" "&amp;T1066))),ISNUMBER(SEARCH("bank",LOWER(F1066&amp;" "&amp;H1066&amp;" "&amp;I1066&amp;" "&amp;M1066&amp;" "&amp;N1066&amp;" "&amp;T1066))),ISNUMBER(SEARCH("banking",LOWER(F1066&amp;" "&amp;H1066&amp;" "&amp;I1066&amp;" "&amp;M1066&amp;" "&amp;N1066&amp;" "&amp;T1066)))),"PRIVATE_QUARANTINE",IF(OR(ISNUMBER(SEARCH("treasury",LOWER(F1066&amp;" "&amp;H1066&amp;" "&amp;I1066&amp;" "&amp;M1066&amp;" "&amp;N1066&amp;" "&amp;T1066))),ISNUMBER(SEARCH("debt",LOWER(F1066&amp;" "&amp;H1066&amp;" "&amp;I1066&amp;" "&amp;M1066&amp;" "&amp;N1066&amp;" "&amp;T1066))),ISNUMBER(SEARCH("bond",LOWER(F1066&amp;" "&amp;H1066&amp;" "&amp;I1066&amp;" "&amp;M1066&amp;" "&amp;N1066&amp;" "&amp;T1066))),ISNUMBER(SEARCH("transaction",LOWER(F1066&amp;" "&amp;H1066&amp;" "&amp;I1066&amp;" "&amp;M1066&amp;" "&amp;N1066&amp;" "&amp;T1066)))),"PRIVATE_REVIEW","PUBLIC_CANDIDATE"))</x:f>
        <x:v>PUBLIC_CANDIDATE</x:v>
      </x:c>
      <x:c r="AD1066" s="12" t="str">
        <x:f>IF(AC1066="PRIVATE_QUARANTINE","hacker_or_bank_trigger",IF(AC1066="PRIVATE_REVIEW","finance_risk_trigger","none"))</x:f>
        <x:v>none</x:v>
      </x:c>
      <x:c r="AE1066" s="12" t="str">
        <x:f>IF(AC1066="PUBLIC_CANDIDATE","prepare_public_github_candidate",IF(AC1066="PRIVATE_REVIEW","hold_for_private_review","quarantine_private_do_not_publish"))</x:f>
        <x:v>prepare_public_github_candidate</x:v>
      </x:c>
      <x:c r="AF1066" s="12" t="str">
        <x:f>IF(AC1066="PUBLIC_CANDIDATE","TIDELOCK + Lucerna",IF(AC1066="PRIVATE_REVIEW","AtlasBrain + Lucerna","TIDELOCK + Lucerna + Human-root"))</x:f>
        <x:v>TIDELOCK + Lucerna</x:v>
      </x:c>
      <x:c r="AG1066" s="12" t="str">
        <x:f>IF(AND(AC1066="PUBLIC_CANDIDATE",U1066&lt;&gt;"BLOCKED_PENDING_RECEIPT"),"READY_AFTER_RECEIPT","NOT_READY")</x:f>
        <x:v>NOT_READY</x:v>
      </x:c>
      <x:c r="AH1066" s="12" t="str">
        <x:f>IF(AC1066="PUBLIC_CANDIDATE","none",AD1066)</x:f>
        <x:v>none</x:v>
      </x:c>
      <x:c r="AI1066" s="12" t="str">
        <x:f>IF(AC1066="PUBLIC_CANDIDATE","archive/public_candidates/"&amp;A1066,"private_quarantine/"&amp;A1066)</x:f>
        <x:v>archive/public_candidates/SWARM-08-H05-S09</x:v>
      </x:c>
      <x:c r="AJ1066" s="12" t="str">
        <x:f>IF(AC1066="PUBLIC_CANDIDATE","public by default; still not canon","private/hold; do not publish")</x:f>
        <x:v>public by default; still not canon</x:v>
      </x:c>
      <x:c r="AK1066" s="12" t="str">
        <x:f>IF(AE1066="prepare_public_github_candidate","add receipt/status then mirror","resolve blocker before any public GitHub action")</x:f>
        <x:v>add receipt/status then mirror</x:v>
      </x:c>
    </x:row>
    <x:row r="1067">
      <x:c r="A1067" s="15" t="str">
        <x:v>SWARM-08-H05-S10</x:v>
      </x:c>
      <x:c r="B1067" s="15" t="str">
        <x:v>GammaSprite</x:v>
      </x:c>
      <x:c r="C1067" s="15" t="str">
        <x:v>Deck surface mapper</x:v>
      </x:c>
      <x:c r="D1067" s="15" t="str">
        <x:v>Contradiction Mapping</x:v>
      </x:c>
      <x:c r="E1067" s="15" t="str">
        <x:v>Human-Root</x:v>
      </x:c>
      <x:c r="F1067" s="15" t="str">
        <x:v>Map contradictions in Human-Root — GammaSprite</x:v>
      </x:c>
      <x:c r="G1067" s="15" t="str">
        <x:v>Gamma/deck extraction / slide lineage</x:v>
      </x:c>
      <x:c r="H1067" s="15" t="str">
        <x:v>source path + receipt + raw/export status + claim/edge/risk delta</x:v>
      </x:c>
      <x:c r="I1067" s="15" t="str">
        <x:v>packet/SWARM-08-H05-S10</x:v>
      </x:c>
      <x:c r="J1067" s="15" t="str">
        <x:v>TODO</x:v>
      </x:c>
      <x:c r="K1067" s="15" t="str">
        <x:v>P2</x:v>
      </x:c>
      <x:c r="L1067" s="15" t="str">
        <x:v>Done only when evidence is logged, contradiction search is noted, and boundary stamp remains non-canon unless ratified</x:v>
      </x:c>
      <x:c r="M1067" s="15" t="str">
        <x:v>candidate / staging-only / not canon / not deployed / authority none</x:v>
      </x:c>
      <x:c r="N1067" s="15" t="str">
        <x:v>Dispatch to GammaSprite: complete Contradiction Mapping x Human-Root; return deltas only, receipts required.</x:v>
      </x:c>
      <x:c r="O1067" s="15" t="str">
        <x:v>AF-KG-H05-S10</x:v>
      </x:c>
      <x:c r="P1067" s="15" t="str">
        <x:v>Unverified</x:v>
      </x:c>
      <x:c r="Q1067" s="15" t="str">
        <x:v>Not checked</x:v>
      </x:c>
      <x:c r="R1067" s="15" t="str"/>
      <x:c r="S1067" s="15" t="str"/>
      <x:c r="T1067" s="15" t="str">
        <x:v>Log first source path or blocker</x:v>
      </x:c>
      <x:c r="U1067" s="12" t="str">
        <x:f>IF(OR(P1067="Unverified",Q1067="Not checked"),"BLOCKED_PENDING_RECEIPT","READY_FOR_REVIEW")</x:f>
        <x:v>BLOCKED_PENDING_RECEIPT</x:v>
      </x:c>
      <x:c r="V1067" s="12" t="str">
        <x:f>IF(J1067="DONE","RETURNED",IF(U1067="BLOCKED_PENDING_RECEIPT","SOURCE_TOUCH_REQUIRED","IN_PROGRESS"))</x:f>
        <x:v>SOURCE_TOUCH_REQUIRED</x:v>
      </x:c>
      <x:c r="W1067" s="12" t="str">
        <x:f>IF(P1067="Unverified","missing_receipt","receipt_logged")</x:f>
        <x:v>missing_receipt</x:v>
      </x:c>
      <x:c r="X1067" s="12" t="str">
        <x:f>IF(Q1067="Not checked","raw_status_missing","raw_status_logged")</x:f>
        <x:v>raw_status_missing</x:v>
      </x:c>
      <x:c r="Y1067" s="12" t="str">
        <x:f>IF(U1067="BLOCKED_PENDING_RECEIPT","Log source path or blocker; do not promote","Route to review lane")</x:f>
        <x:v>Log source path or blocker; do not promote</x:v>
      </x:c>
      <x:c r="Z1067" s="12" t="str">
        <x:f>IF(K1067="P0","Primary seat + Hashlight/Lucerna","Seat lane")</x:f>
        <x:v>Seat lane</x:v>
      </x:c>
      <x:c r="AA1067" s="12" t="str">
        <x:f>IF(R1067="","no_claim_delta","claim_delta_present")</x:f>
        <x:v>no_claim_delta</x:v>
      </x:c>
      <x:c r="AB1067" s="12" t="str">
        <x:f>IF(S1067="","no_contradiction_delta","contradiction_delta_present")</x:f>
        <x:v>no_contradiction_delta</x:v>
      </x:c>
      <x:c r="AC1067" s="12" t="str">
        <x:f>IF(OR(ISNUMBER(SEARCH("hacker",LOWER(F1067&amp;" "&amp;H1067&amp;" "&amp;I1067&amp;" "&amp;M1067&amp;" "&amp;N1067&amp;" "&amp;T1067))),ISNUMBER(SEARCH("hacking",LOWER(F1067&amp;" "&amp;H1067&amp;" "&amp;I1067&amp;" "&amp;M1067&amp;" "&amp;N1067&amp;" "&amp;T1067))),ISNUMBER(SEARCH("bank",LOWER(F1067&amp;" "&amp;H1067&amp;" "&amp;I1067&amp;" "&amp;M1067&amp;" "&amp;N1067&amp;" "&amp;T1067))),ISNUMBER(SEARCH("banking",LOWER(F1067&amp;" "&amp;H1067&amp;" "&amp;I1067&amp;" "&amp;M1067&amp;" "&amp;N1067&amp;" "&amp;T1067)))),"PRIVATE_QUARANTINE",IF(OR(ISNUMBER(SEARCH("treasury",LOWER(F1067&amp;" "&amp;H1067&amp;" "&amp;I1067&amp;" "&amp;M1067&amp;" "&amp;N1067&amp;" "&amp;T1067))),ISNUMBER(SEARCH("debt",LOWER(F1067&amp;" "&amp;H1067&amp;" "&amp;I1067&amp;" "&amp;M1067&amp;" "&amp;N1067&amp;" "&amp;T1067))),ISNUMBER(SEARCH("bond",LOWER(F1067&amp;" "&amp;H1067&amp;" "&amp;I1067&amp;" "&amp;M1067&amp;" "&amp;N1067&amp;" "&amp;T1067))),ISNUMBER(SEARCH("transaction",LOWER(F1067&amp;" "&amp;H1067&amp;" "&amp;I1067&amp;" "&amp;M1067&amp;" "&amp;N1067&amp;" "&amp;T1067)))),"PRIVATE_REVIEW","PUBLIC_CANDIDATE"))</x:f>
        <x:v>PUBLIC_CANDIDATE</x:v>
      </x:c>
      <x:c r="AD1067" s="12" t="str">
        <x:f>IF(AC1067="PRIVATE_QUARANTINE","hacker_or_bank_trigger",IF(AC1067="PRIVATE_REVIEW","finance_risk_trigger","none"))</x:f>
        <x:v>none</x:v>
      </x:c>
      <x:c r="AE1067" s="12" t="str">
        <x:f>IF(AC1067="PUBLIC_CANDIDATE","prepare_public_github_candidate",IF(AC1067="PRIVATE_REVIEW","hold_for_private_review","quarantine_private_do_not_publish"))</x:f>
        <x:v>prepare_public_github_candidate</x:v>
      </x:c>
      <x:c r="AF1067" s="12" t="str">
        <x:f>IF(AC1067="PUBLIC_CANDIDATE","TIDELOCK + Lucerna",IF(AC1067="PRIVATE_REVIEW","AtlasBrain + Lucerna","TIDELOCK + Lucerna + Human-root"))</x:f>
        <x:v>TIDELOCK + Lucerna</x:v>
      </x:c>
      <x:c r="AG1067" s="12" t="str">
        <x:f>IF(AND(AC1067="PUBLIC_CANDIDATE",U1067&lt;&gt;"BLOCKED_PENDING_RECEIPT"),"READY_AFTER_RECEIPT","NOT_READY")</x:f>
        <x:v>NOT_READY</x:v>
      </x:c>
      <x:c r="AH1067" s="12" t="str">
        <x:f>IF(AC1067="PUBLIC_CANDIDATE","none",AD1067)</x:f>
        <x:v>none</x:v>
      </x:c>
      <x:c r="AI1067" s="12" t="str">
        <x:f>IF(AC1067="PUBLIC_CANDIDATE","archive/public_candidates/"&amp;A1067,"private_quarantine/"&amp;A1067)</x:f>
        <x:v>archive/public_candidates/SWARM-08-H05-S10</x:v>
      </x:c>
      <x:c r="AJ1067" s="12" t="str">
        <x:f>IF(AC1067="PUBLIC_CANDIDATE","public by default; still not canon","private/hold; do not publish")</x:f>
        <x:v>public by default; still not canon</x:v>
      </x:c>
      <x:c r="AK1067" s="12" t="str">
        <x:f>IF(AE1067="prepare_public_github_candidate","add receipt/status then mirror","resolve blocker before any public GitHub action")</x:f>
        <x:v>add receipt/status then mirror</x:v>
      </x:c>
    </x:row>
    <x:row r="1068">
      <x:c r="A1068" s="15" t="str">
        <x:v>SWARM-08-H05-S11</x:v>
      </x:c>
      <x:c r="B1068" s="15" t="str">
        <x:v>GammaSprite</x:v>
      </x:c>
      <x:c r="C1068" s="15" t="str">
        <x:v>Deck surface mapper</x:v>
      </x:c>
      <x:c r="D1068" s="15" t="str">
        <x:v>Contradiction Mapping</x:v>
      </x:c>
      <x:c r="E1068" s="15" t="str">
        <x:v>Automation</x:v>
      </x:c>
      <x:c r="F1068" s="15" t="str">
        <x:v>Map contradictions in Automation — GammaSprite</x:v>
      </x:c>
      <x:c r="G1068" s="15" t="str">
        <x:v>Gamma/deck extraction / slide lineage</x:v>
      </x:c>
      <x:c r="H1068" s="15" t="str">
        <x:v>source path + receipt + raw/export status + claim/edge/risk delta</x:v>
      </x:c>
      <x:c r="I1068" s="15" t="str">
        <x:v>packet/SWARM-08-H05-S11</x:v>
      </x:c>
      <x:c r="J1068" s="15" t="str">
        <x:v>TODO</x:v>
      </x:c>
      <x:c r="K1068" s="15" t="str">
        <x:v>P2</x:v>
      </x:c>
      <x:c r="L1068" s="15" t="str">
        <x:v>Done only when evidence is logged, contradiction search is noted, and boundary stamp remains non-canon unless ratified</x:v>
      </x:c>
      <x:c r="M1068" s="15" t="str">
        <x:v>candidate / staging-only / not canon / not deployed / authority none</x:v>
      </x:c>
      <x:c r="N1068" s="15" t="str">
        <x:v>Dispatch to GammaSprite: complete Contradiction Mapping x Automation; return deltas only, receipts required.</x:v>
      </x:c>
      <x:c r="O1068" s="15" t="str">
        <x:v>AF-KG-H05-S11</x:v>
      </x:c>
      <x:c r="P1068" s="15" t="str">
        <x:v>Unverified</x:v>
      </x:c>
      <x:c r="Q1068" s="15" t="str">
        <x:v>Not checked</x:v>
      </x:c>
      <x:c r="R1068" s="15" t="str"/>
      <x:c r="S1068" s="15" t="str"/>
      <x:c r="T1068" s="15" t="str">
        <x:v>Log first source path or blocker</x:v>
      </x:c>
      <x:c r="U1068" s="12" t="str">
        <x:f>IF(OR(P1068="Unverified",Q1068="Not checked"),"BLOCKED_PENDING_RECEIPT","READY_FOR_REVIEW")</x:f>
        <x:v>BLOCKED_PENDING_RECEIPT</x:v>
      </x:c>
      <x:c r="V1068" s="12" t="str">
        <x:f>IF(J1068="DONE","RETURNED",IF(U1068="BLOCKED_PENDING_RECEIPT","SOURCE_TOUCH_REQUIRED","IN_PROGRESS"))</x:f>
        <x:v>SOURCE_TOUCH_REQUIRED</x:v>
      </x:c>
      <x:c r="W1068" s="12" t="str">
        <x:f>IF(P1068="Unverified","missing_receipt","receipt_logged")</x:f>
        <x:v>missing_receipt</x:v>
      </x:c>
      <x:c r="X1068" s="12" t="str">
        <x:f>IF(Q1068="Not checked","raw_status_missing","raw_status_logged")</x:f>
        <x:v>raw_status_missing</x:v>
      </x:c>
      <x:c r="Y1068" s="12" t="str">
        <x:f>IF(U1068="BLOCKED_PENDING_RECEIPT","Log source path or blocker; do not promote","Route to review lane")</x:f>
        <x:v>Log source path or blocker; do not promote</x:v>
      </x:c>
      <x:c r="Z1068" s="12" t="str">
        <x:f>IF(K1068="P0","Primary seat + Hashlight/Lucerna","Seat lane")</x:f>
        <x:v>Seat lane</x:v>
      </x:c>
      <x:c r="AA1068" s="12" t="str">
        <x:f>IF(R1068="","no_claim_delta","claim_delta_present")</x:f>
        <x:v>no_claim_delta</x:v>
      </x:c>
      <x:c r="AB1068" s="12" t="str">
        <x:f>IF(S1068="","no_contradiction_delta","contradiction_delta_present")</x:f>
        <x:v>no_contradiction_delta</x:v>
      </x:c>
      <x:c r="AC1068" s="12" t="str">
        <x:f>IF(OR(ISNUMBER(SEARCH("hacker",LOWER(F1068&amp;" "&amp;H1068&amp;" "&amp;I1068&amp;" "&amp;M1068&amp;" "&amp;N1068&amp;" "&amp;T1068))),ISNUMBER(SEARCH("hacking",LOWER(F1068&amp;" "&amp;H1068&amp;" "&amp;I1068&amp;" "&amp;M1068&amp;" "&amp;N1068&amp;" "&amp;T1068))),ISNUMBER(SEARCH("bank",LOWER(F1068&amp;" "&amp;H1068&amp;" "&amp;I1068&amp;" "&amp;M1068&amp;" "&amp;N1068&amp;" "&amp;T1068))),ISNUMBER(SEARCH("banking",LOWER(F1068&amp;" "&amp;H1068&amp;" "&amp;I1068&amp;" "&amp;M1068&amp;" "&amp;N1068&amp;" "&amp;T1068)))),"PRIVATE_QUARANTINE",IF(OR(ISNUMBER(SEARCH("treasury",LOWER(F1068&amp;" "&amp;H1068&amp;" "&amp;I1068&amp;" "&amp;M1068&amp;" "&amp;N1068&amp;" "&amp;T1068))),ISNUMBER(SEARCH("debt",LOWER(F1068&amp;" "&amp;H1068&amp;" "&amp;I1068&amp;" "&amp;M1068&amp;" "&amp;N1068&amp;" "&amp;T1068))),ISNUMBER(SEARCH("bond",LOWER(F1068&amp;" "&amp;H1068&amp;" "&amp;I1068&amp;" "&amp;M1068&amp;" "&amp;N1068&amp;" "&amp;T1068))),ISNUMBER(SEARCH("transaction",LOWER(F1068&amp;" "&amp;H1068&amp;" "&amp;I1068&amp;" "&amp;M1068&amp;" "&amp;N1068&amp;" "&amp;T1068)))),"PRIVATE_REVIEW","PUBLIC_CANDIDATE"))</x:f>
        <x:v>PUBLIC_CANDIDATE</x:v>
      </x:c>
      <x:c r="AD1068" s="12" t="str">
        <x:f>IF(AC1068="PRIVATE_QUARANTINE","hacker_or_bank_trigger",IF(AC1068="PRIVATE_REVIEW","finance_risk_trigger","none"))</x:f>
        <x:v>none</x:v>
      </x:c>
      <x:c r="AE1068" s="12" t="str">
        <x:f>IF(AC1068="PUBLIC_CANDIDATE","prepare_public_github_candidate",IF(AC1068="PRIVATE_REVIEW","hold_for_private_review","quarantine_private_do_not_publish"))</x:f>
        <x:v>prepare_public_github_candidate</x:v>
      </x:c>
      <x:c r="AF1068" s="12" t="str">
        <x:f>IF(AC1068="PUBLIC_CANDIDATE","TIDELOCK + Lucerna",IF(AC1068="PRIVATE_REVIEW","AtlasBrain + Lucerna","TIDELOCK + Lucerna + Human-root"))</x:f>
        <x:v>TIDELOCK + Lucerna</x:v>
      </x:c>
      <x:c r="AG1068" s="12" t="str">
        <x:f>IF(AND(AC1068="PUBLIC_CANDIDATE",U1068&lt;&gt;"BLOCKED_PENDING_RECEIPT"),"READY_AFTER_RECEIPT","NOT_READY")</x:f>
        <x:v>NOT_READY</x:v>
      </x:c>
      <x:c r="AH1068" s="12" t="str">
        <x:f>IF(AC1068="PUBLIC_CANDIDATE","none",AD1068)</x:f>
        <x:v>none</x:v>
      </x:c>
      <x:c r="AI1068" s="12" t="str">
        <x:f>IF(AC1068="PUBLIC_CANDIDATE","archive/public_candidates/"&amp;A1068,"private_quarantine/"&amp;A1068)</x:f>
        <x:v>archive/public_candidates/SWARM-08-H05-S11</x:v>
      </x:c>
      <x:c r="AJ1068" s="12" t="str">
        <x:f>IF(AC1068="PUBLIC_CANDIDATE","public by default; still not canon","private/hold; do not publish")</x:f>
        <x:v>public by default; still not canon</x:v>
      </x:c>
      <x:c r="AK1068" s="12" t="str">
        <x:f>IF(AE1068="prepare_public_github_candidate","add receipt/status then mirror","resolve blocker before any public GitHub action")</x:f>
        <x:v>add receipt/status then mirror</x:v>
      </x:c>
    </x:row>
    <x:row r="1069">
      <x:c r="A1069" s="15" t="str">
        <x:v>SWARM-08-H05-S12</x:v>
      </x:c>
      <x:c r="B1069" s="15" t="str">
        <x:v>GammaSprite</x:v>
      </x:c>
      <x:c r="C1069" s="15" t="str">
        <x:v>Deck surface mapper</x:v>
      </x:c>
      <x:c r="D1069" s="15" t="str">
        <x:v>Contradiction Mapping</x:v>
      </x:c>
      <x:c r="E1069" s="15" t="str">
        <x:v>Risk / Safety</x:v>
      </x:c>
      <x:c r="F1069" s="15" t="str">
        <x:v>Map contradictions in Risk / Safety — GammaSprite</x:v>
      </x:c>
      <x:c r="G1069" s="15" t="str">
        <x:v>Gamma/deck extraction / slide lineage</x:v>
      </x:c>
      <x:c r="H1069" s="15" t="str">
        <x:v>source path + receipt + raw/export status + claim/edge/risk delta</x:v>
      </x:c>
      <x:c r="I1069" s="15" t="str">
        <x:v>packet/SWARM-08-H05-S12</x:v>
      </x:c>
      <x:c r="J1069" s="15" t="str">
        <x:v>TODO</x:v>
      </x:c>
      <x:c r="K1069" s="15" t="str">
        <x:v>P2</x:v>
      </x:c>
      <x:c r="L1069" s="15" t="str">
        <x:v>Done only when evidence is logged, contradiction search is noted, and boundary stamp remains non-canon unless ratified</x:v>
      </x:c>
      <x:c r="M1069" s="15" t="str">
        <x:v>candidate / staging-only / not canon / not deployed / authority none</x:v>
      </x:c>
      <x:c r="N1069" s="15" t="str">
        <x:v>Dispatch to GammaSprite: complete Contradiction Mapping x Risk / Safety; return deltas only, receipts required.</x:v>
      </x:c>
      <x:c r="O1069" s="15" t="str">
        <x:v>AF-KG-H05-S12</x:v>
      </x:c>
      <x:c r="P1069" s="15" t="str">
        <x:v>Unverified</x:v>
      </x:c>
      <x:c r="Q1069" s="15" t="str">
        <x:v>Not checked</x:v>
      </x:c>
      <x:c r="R1069" s="15" t="str"/>
      <x:c r="S1069" s="15" t="str"/>
      <x:c r="T1069" s="15" t="str">
        <x:v>Log first source path or blocker</x:v>
      </x:c>
      <x:c r="U1069" s="12" t="str">
        <x:f>IF(OR(P1069="Unverified",Q1069="Not checked"),"BLOCKED_PENDING_RECEIPT","READY_FOR_REVIEW")</x:f>
        <x:v>BLOCKED_PENDING_RECEIPT</x:v>
      </x:c>
      <x:c r="V1069" s="12" t="str">
        <x:f>IF(J1069="DONE","RETURNED",IF(U1069="BLOCKED_PENDING_RECEIPT","SOURCE_TOUCH_REQUIRED","IN_PROGRESS"))</x:f>
        <x:v>SOURCE_TOUCH_REQUIRED</x:v>
      </x:c>
      <x:c r="W1069" s="12" t="str">
        <x:f>IF(P1069="Unverified","missing_receipt","receipt_logged")</x:f>
        <x:v>missing_receipt</x:v>
      </x:c>
      <x:c r="X1069" s="12" t="str">
        <x:f>IF(Q1069="Not checked","raw_status_missing","raw_status_logged")</x:f>
        <x:v>raw_status_missing</x:v>
      </x:c>
      <x:c r="Y1069" s="12" t="str">
        <x:f>IF(U1069="BLOCKED_PENDING_RECEIPT","Log source path or blocker; do not promote","Route to review lane")</x:f>
        <x:v>Log source path or blocker; do not promote</x:v>
      </x:c>
      <x:c r="Z1069" s="12" t="str">
        <x:f>IF(K1069="P0","Primary seat + Hashlight/Lucerna","Seat lane")</x:f>
        <x:v>Seat lane</x:v>
      </x:c>
      <x:c r="AA1069" s="12" t="str">
        <x:f>IF(R1069="","no_claim_delta","claim_delta_present")</x:f>
        <x:v>no_claim_delta</x:v>
      </x:c>
      <x:c r="AB1069" s="12" t="str">
        <x:f>IF(S1069="","no_contradiction_delta","contradiction_delta_present")</x:f>
        <x:v>no_contradiction_delta</x:v>
      </x:c>
      <x:c r="AC1069" s="12" t="str">
        <x:f>IF(OR(ISNUMBER(SEARCH("hacker",LOWER(F1069&amp;" "&amp;H1069&amp;" "&amp;I1069&amp;" "&amp;M1069&amp;" "&amp;N1069&amp;" "&amp;T1069))),ISNUMBER(SEARCH("hacking",LOWER(F1069&amp;" "&amp;H1069&amp;" "&amp;I1069&amp;" "&amp;M1069&amp;" "&amp;N1069&amp;" "&amp;T1069))),ISNUMBER(SEARCH("bank",LOWER(F1069&amp;" "&amp;H1069&amp;" "&amp;I1069&amp;" "&amp;M1069&amp;" "&amp;N1069&amp;" "&amp;T1069))),ISNUMBER(SEARCH("banking",LOWER(F1069&amp;" "&amp;H1069&amp;" "&amp;I1069&amp;" "&amp;M1069&amp;" "&amp;N1069&amp;" "&amp;T1069)))),"PRIVATE_QUARANTINE",IF(OR(ISNUMBER(SEARCH("treasury",LOWER(F1069&amp;" "&amp;H1069&amp;" "&amp;I1069&amp;" "&amp;M1069&amp;" "&amp;N1069&amp;" "&amp;T1069))),ISNUMBER(SEARCH("debt",LOWER(F1069&amp;" "&amp;H1069&amp;" "&amp;I1069&amp;" "&amp;M1069&amp;" "&amp;N1069&amp;" "&amp;T1069))),ISNUMBER(SEARCH("bond",LOWER(F1069&amp;" "&amp;H1069&amp;" "&amp;I1069&amp;" "&amp;M1069&amp;" "&amp;N1069&amp;" "&amp;T1069))),ISNUMBER(SEARCH("transaction",LOWER(F1069&amp;" "&amp;H1069&amp;" "&amp;I1069&amp;" "&amp;M1069&amp;" "&amp;N1069&amp;" "&amp;T1069)))),"PRIVATE_REVIEW","PUBLIC_CANDIDATE"))</x:f>
        <x:v>PUBLIC_CANDIDATE</x:v>
      </x:c>
      <x:c r="AD1069" s="12" t="str">
        <x:f>IF(AC1069="PRIVATE_QUARANTINE","hacker_or_bank_trigger",IF(AC1069="PRIVATE_REVIEW","finance_risk_trigger","none"))</x:f>
        <x:v>none</x:v>
      </x:c>
      <x:c r="AE1069" s="12" t="str">
        <x:f>IF(AC1069="PUBLIC_CANDIDATE","prepare_public_github_candidate",IF(AC1069="PRIVATE_REVIEW","hold_for_private_review","quarantine_private_do_not_publish"))</x:f>
        <x:v>prepare_public_github_candidate</x:v>
      </x:c>
      <x:c r="AF1069" s="12" t="str">
        <x:f>IF(AC1069="PUBLIC_CANDIDATE","TIDELOCK + Lucerna",IF(AC1069="PRIVATE_REVIEW","AtlasBrain + Lucerna","TIDELOCK + Lucerna + Human-root"))</x:f>
        <x:v>TIDELOCK + Lucerna</x:v>
      </x:c>
      <x:c r="AG1069" s="12" t="str">
        <x:f>IF(AND(AC1069="PUBLIC_CANDIDATE",U1069&lt;&gt;"BLOCKED_PENDING_RECEIPT"),"READY_AFTER_RECEIPT","NOT_READY")</x:f>
        <x:v>NOT_READY</x:v>
      </x:c>
      <x:c r="AH1069" s="12" t="str">
        <x:f>IF(AC1069="PUBLIC_CANDIDATE","none",AD1069)</x:f>
        <x:v>none</x:v>
      </x:c>
      <x:c r="AI1069" s="12" t="str">
        <x:f>IF(AC1069="PUBLIC_CANDIDATE","archive/public_candidates/"&amp;A1069,"private_quarantine/"&amp;A1069)</x:f>
        <x:v>archive/public_candidates/SWARM-08-H05-S12</x:v>
      </x:c>
      <x:c r="AJ1069" s="12" t="str">
        <x:f>IF(AC1069="PUBLIC_CANDIDATE","public by default; still not canon","private/hold; do not publish")</x:f>
        <x:v>public by default; still not canon</x:v>
      </x:c>
      <x:c r="AK1069" s="12" t="str">
        <x:f>IF(AE1069="prepare_public_github_candidate","add receipt/status then mirror","resolve blocker before any public GitHub action")</x:f>
        <x:v>add receipt/status then mirror</x:v>
      </x:c>
    </x:row>
    <x:row r="1070">
      <x:c r="A1070" s="15" t="str">
        <x:v>SWARM-08-H06-S01</x:v>
      </x:c>
      <x:c r="B1070" s="15" t="str">
        <x:v>GammaSprite</x:v>
      </x:c>
      <x:c r="C1070" s="15" t="str">
        <x:v>Deck surface mapper</x:v>
      </x:c>
      <x:c r="D1070" s="15" t="str">
        <x:v>Ontology / Schema</x:v>
      </x:c>
      <x:c r="E1070" s="15" t="str">
        <x:v>Notion</x:v>
      </x:c>
      <x:c r="F1070" s="15" t="str">
        <x:v>Schema-map Notion — GammaSprite</x:v>
      </x:c>
      <x:c r="G1070" s="15" t="str">
        <x:v>Gamma/deck extraction / slide lineage</x:v>
      </x:c>
      <x:c r="H1070" s="15" t="str">
        <x:v>source path + receipt + raw/export status + claim/edge/risk delta</x:v>
      </x:c>
      <x:c r="I1070" s="15" t="str">
        <x:v>packet/SWARM-08-H06-S01</x:v>
      </x:c>
      <x:c r="J1070" s="15" t="str">
        <x:v>TODO</x:v>
      </x:c>
      <x:c r="K1070" s="15" t="str">
        <x:v>P0</x:v>
      </x:c>
      <x:c r="L1070" s="15" t="str">
        <x:v>Done only when evidence is logged, contradiction search is noted, and boundary stamp remains non-canon unless ratified</x:v>
      </x:c>
      <x:c r="M1070" s="15" t="str">
        <x:v>candidate / staging-only / not canon / not deployed / authority none</x:v>
      </x:c>
      <x:c r="N1070" s="15" t="str">
        <x:v>Dispatch to GammaSprite: complete Ontology / Schema x Notion; return deltas only, receipts required.</x:v>
      </x:c>
      <x:c r="O1070" s="15" t="str">
        <x:v>AF-KG-H06-S01</x:v>
      </x:c>
      <x:c r="P1070" s="15" t="str">
        <x:v>Unverified</x:v>
      </x:c>
      <x:c r="Q1070" s="15" t="str">
        <x:v>Not checked</x:v>
      </x:c>
      <x:c r="R1070" s="15" t="str"/>
      <x:c r="S1070" s="15" t="str"/>
      <x:c r="T1070" s="15" t="str">
        <x:v>Log first source path or blocker</x:v>
      </x:c>
      <x:c r="U1070" s="12" t="str">
        <x:f>IF(OR(P1070="Unverified",Q1070="Not checked"),"BLOCKED_PENDING_RECEIPT","READY_FOR_REVIEW")</x:f>
        <x:v>BLOCKED_PENDING_RECEIPT</x:v>
      </x:c>
      <x:c r="V1070" s="12" t="str">
        <x:f>IF(J1070="DONE","RETURNED",IF(U1070="BLOCKED_PENDING_RECEIPT","SOURCE_TOUCH_REQUIRED","IN_PROGRESS"))</x:f>
        <x:v>SOURCE_TOUCH_REQUIRED</x:v>
      </x:c>
      <x:c r="W1070" s="12" t="str">
        <x:f>IF(P1070="Unverified","missing_receipt","receipt_logged")</x:f>
        <x:v>missing_receipt</x:v>
      </x:c>
      <x:c r="X1070" s="12" t="str">
        <x:f>IF(Q1070="Not checked","raw_status_missing","raw_status_logged")</x:f>
        <x:v>raw_status_missing</x:v>
      </x:c>
      <x:c r="Y1070" s="12" t="str">
        <x:f>IF(U1070="BLOCKED_PENDING_RECEIPT","Log source path or blocker; do not promote","Route to review lane")</x:f>
        <x:v>Log source path or blocker; do not promote</x:v>
      </x:c>
      <x:c r="Z1070" s="12" t="str">
        <x:f>IF(K1070="P0","Primary seat + Hashlight/Lucerna","Seat lane")</x:f>
        <x:v>Primary seat + Hashlight/Lucerna</x:v>
      </x:c>
      <x:c r="AA1070" s="12" t="str">
        <x:f>IF(R1070="","no_claim_delta","claim_delta_present")</x:f>
        <x:v>no_claim_delta</x:v>
      </x:c>
      <x:c r="AB1070" s="12" t="str">
        <x:f>IF(S1070="","no_contradiction_delta","contradiction_delta_present")</x:f>
        <x:v>no_contradiction_delta</x:v>
      </x:c>
      <x:c r="AC1070" s="12" t="str">
        <x:f>IF(OR(ISNUMBER(SEARCH("hacker",LOWER(F1070&amp;" "&amp;H1070&amp;" "&amp;I1070&amp;" "&amp;M1070&amp;" "&amp;N1070&amp;" "&amp;T1070))),ISNUMBER(SEARCH("hacking",LOWER(F1070&amp;" "&amp;H1070&amp;" "&amp;I1070&amp;" "&amp;M1070&amp;" "&amp;N1070&amp;" "&amp;T1070))),ISNUMBER(SEARCH("bank",LOWER(F1070&amp;" "&amp;H1070&amp;" "&amp;I1070&amp;" "&amp;M1070&amp;" "&amp;N1070&amp;" "&amp;T1070))),ISNUMBER(SEARCH("banking",LOWER(F1070&amp;" "&amp;H1070&amp;" "&amp;I1070&amp;" "&amp;M1070&amp;" "&amp;N1070&amp;" "&amp;T1070)))),"PRIVATE_QUARANTINE",IF(OR(ISNUMBER(SEARCH("treasury",LOWER(F1070&amp;" "&amp;H1070&amp;" "&amp;I1070&amp;" "&amp;M1070&amp;" "&amp;N1070&amp;" "&amp;T1070))),ISNUMBER(SEARCH("debt",LOWER(F1070&amp;" "&amp;H1070&amp;" "&amp;I1070&amp;" "&amp;M1070&amp;" "&amp;N1070&amp;" "&amp;T1070))),ISNUMBER(SEARCH("bond",LOWER(F1070&amp;" "&amp;H1070&amp;" "&amp;I1070&amp;" "&amp;M1070&amp;" "&amp;N1070&amp;" "&amp;T1070))),ISNUMBER(SEARCH("transaction",LOWER(F1070&amp;" "&amp;H1070&amp;" "&amp;I1070&amp;" "&amp;M1070&amp;" "&amp;N1070&amp;" "&amp;T1070)))),"PRIVATE_REVIEW","PUBLIC_CANDIDATE"))</x:f>
        <x:v>PUBLIC_CANDIDATE</x:v>
      </x:c>
      <x:c r="AD1070" s="12" t="str">
        <x:f>IF(AC1070="PRIVATE_QUARANTINE","hacker_or_bank_trigger",IF(AC1070="PRIVATE_REVIEW","finance_risk_trigger","none"))</x:f>
        <x:v>none</x:v>
      </x:c>
      <x:c r="AE1070" s="12" t="str">
        <x:f>IF(AC1070="PUBLIC_CANDIDATE","prepare_public_github_candidate",IF(AC1070="PRIVATE_REVIEW","hold_for_private_review","quarantine_private_do_not_publish"))</x:f>
        <x:v>prepare_public_github_candidate</x:v>
      </x:c>
      <x:c r="AF1070" s="12" t="str">
        <x:f>IF(AC1070="PUBLIC_CANDIDATE","TIDELOCK + Lucerna",IF(AC1070="PRIVATE_REVIEW","AtlasBrain + Lucerna","TIDELOCK + Lucerna + Human-root"))</x:f>
        <x:v>TIDELOCK + Lucerna</x:v>
      </x:c>
      <x:c r="AG1070" s="12" t="str">
        <x:f>IF(AND(AC1070="PUBLIC_CANDIDATE",U1070&lt;&gt;"BLOCKED_PENDING_RECEIPT"),"READY_AFTER_RECEIPT","NOT_READY")</x:f>
        <x:v>NOT_READY</x:v>
      </x:c>
      <x:c r="AH1070" s="12" t="str">
        <x:f>IF(AC1070="PUBLIC_CANDIDATE","none",AD1070)</x:f>
        <x:v>none</x:v>
      </x:c>
      <x:c r="AI1070" s="12" t="str">
        <x:f>IF(AC1070="PUBLIC_CANDIDATE","archive/public_candidates/"&amp;A1070,"private_quarantine/"&amp;A1070)</x:f>
        <x:v>archive/public_candidates/SWARM-08-H06-S01</x:v>
      </x:c>
      <x:c r="AJ1070" s="12" t="str">
        <x:f>IF(AC1070="PUBLIC_CANDIDATE","public by default; still not canon","private/hold; do not publish")</x:f>
        <x:v>public by default; still not canon</x:v>
      </x:c>
      <x:c r="AK1070" s="12" t="str">
        <x:f>IF(AE1070="prepare_public_github_candidate","add receipt/status then mirror","resolve blocker before any public GitHub action")</x:f>
        <x:v>add receipt/status then mirror</x:v>
      </x:c>
    </x:row>
    <x:row r="1071">
      <x:c r="A1071" s="15" t="str">
        <x:v>SWARM-08-H06-S02</x:v>
      </x:c>
      <x:c r="B1071" s="15" t="str">
        <x:v>GammaSprite</x:v>
      </x:c>
      <x:c r="C1071" s="15" t="str">
        <x:v>Deck surface mapper</x:v>
      </x:c>
      <x:c r="D1071" s="15" t="str">
        <x:v>Ontology / Schema</x:v>
      </x:c>
      <x:c r="E1071" s="15" t="str">
        <x:v>Drive</x:v>
      </x:c>
      <x:c r="F1071" s="15" t="str">
        <x:v>Schema-map Drive — GammaSprite</x:v>
      </x:c>
      <x:c r="G1071" s="15" t="str">
        <x:v>Gamma/deck extraction / slide lineage</x:v>
      </x:c>
      <x:c r="H1071" s="15" t="str">
        <x:v>source path + receipt + raw/export status + claim/edge/risk delta</x:v>
      </x:c>
      <x:c r="I1071" s="15" t="str">
        <x:v>packet/SWARM-08-H06-S02</x:v>
      </x:c>
      <x:c r="J1071" s="15" t="str">
        <x:v>TODO</x:v>
      </x:c>
      <x:c r="K1071" s="15" t="str">
        <x:v>P0</x:v>
      </x:c>
      <x:c r="L1071" s="15" t="str">
        <x:v>Done only when evidence is logged, contradiction search is noted, and boundary stamp remains non-canon unless ratified</x:v>
      </x:c>
      <x:c r="M1071" s="15" t="str">
        <x:v>candidate / staging-only / not canon / not deployed / authority none</x:v>
      </x:c>
      <x:c r="N1071" s="15" t="str">
        <x:v>Dispatch to GammaSprite: complete Ontology / Schema x Drive; return deltas only, receipts required.</x:v>
      </x:c>
      <x:c r="O1071" s="15" t="str">
        <x:v>AF-KG-H06-S02</x:v>
      </x:c>
      <x:c r="P1071" s="15" t="str">
        <x:v>Unverified</x:v>
      </x:c>
      <x:c r="Q1071" s="15" t="str">
        <x:v>Not checked</x:v>
      </x:c>
      <x:c r="R1071" s="15" t="str"/>
      <x:c r="S1071" s="15" t="str"/>
      <x:c r="T1071" s="15" t="str">
        <x:v>Log first source path or blocker</x:v>
      </x:c>
      <x:c r="U1071" s="12" t="str">
        <x:f>IF(OR(P1071="Unverified",Q1071="Not checked"),"BLOCKED_PENDING_RECEIPT","READY_FOR_REVIEW")</x:f>
        <x:v>BLOCKED_PENDING_RECEIPT</x:v>
      </x:c>
      <x:c r="V1071" s="12" t="str">
        <x:f>IF(J1071="DONE","RETURNED",IF(U1071="BLOCKED_PENDING_RECEIPT","SOURCE_TOUCH_REQUIRED","IN_PROGRESS"))</x:f>
        <x:v>SOURCE_TOUCH_REQUIRED</x:v>
      </x:c>
      <x:c r="W1071" s="12" t="str">
        <x:f>IF(P1071="Unverified","missing_receipt","receipt_logged")</x:f>
        <x:v>missing_receipt</x:v>
      </x:c>
      <x:c r="X1071" s="12" t="str">
        <x:f>IF(Q1071="Not checked","raw_status_missing","raw_status_logged")</x:f>
        <x:v>raw_status_missing</x:v>
      </x:c>
      <x:c r="Y1071" s="12" t="str">
        <x:f>IF(U1071="BLOCKED_PENDING_RECEIPT","Log source path or blocker; do not promote","Route to review lane")</x:f>
        <x:v>Log source path or blocker; do not promote</x:v>
      </x:c>
      <x:c r="Z1071" s="12" t="str">
        <x:f>IF(K1071="P0","Primary seat + Hashlight/Lucerna","Seat lane")</x:f>
        <x:v>Primary seat + Hashlight/Lucerna</x:v>
      </x:c>
      <x:c r="AA1071" s="12" t="str">
        <x:f>IF(R1071="","no_claim_delta","claim_delta_present")</x:f>
        <x:v>no_claim_delta</x:v>
      </x:c>
      <x:c r="AB1071" s="12" t="str">
        <x:f>IF(S1071="","no_contradiction_delta","contradiction_delta_present")</x:f>
        <x:v>no_contradiction_delta</x:v>
      </x:c>
      <x:c r="AC1071" s="12" t="str">
        <x:f>IF(OR(ISNUMBER(SEARCH("hacker",LOWER(F1071&amp;" "&amp;H1071&amp;" "&amp;I1071&amp;" "&amp;M1071&amp;" "&amp;N1071&amp;" "&amp;T1071))),ISNUMBER(SEARCH("hacking",LOWER(F1071&amp;" "&amp;H1071&amp;" "&amp;I1071&amp;" "&amp;M1071&amp;" "&amp;N1071&amp;" "&amp;T1071))),ISNUMBER(SEARCH("bank",LOWER(F1071&amp;" "&amp;H1071&amp;" "&amp;I1071&amp;" "&amp;M1071&amp;" "&amp;N1071&amp;" "&amp;T1071))),ISNUMBER(SEARCH("banking",LOWER(F1071&amp;" "&amp;H1071&amp;" "&amp;I1071&amp;" "&amp;M1071&amp;" "&amp;N1071&amp;" "&amp;T1071)))),"PRIVATE_QUARANTINE",IF(OR(ISNUMBER(SEARCH("treasury",LOWER(F1071&amp;" "&amp;H1071&amp;" "&amp;I1071&amp;" "&amp;M1071&amp;" "&amp;N1071&amp;" "&amp;T1071))),ISNUMBER(SEARCH("debt",LOWER(F1071&amp;" "&amp;H1071&amp;" "&amp;I1071&amp;" "&amp;M1071&amp;" "&amp;N1071&amp;" "&amp;T1071))),ISNUMBER(SEARCH("bond",LOWER(F1071&amp;" "&amp;H1071&amp;" "&amp;I1071&amp;" "&amp;M1071&amp;" "&amp;N1071&amp;" "&amp;T1071))),ISNUMBER(SEARCH("transaction",LOWER(F1071&amp;" "&amp;H1071&amp;" "&amp;I1071&amp;" "&amp;M1071&amp;" "&amp;N1071&amp;" "&amp;T1071)))),"PRIVATE_REVIEW","PUBLIC_CANDIDATE"))</x:f>
        <x:v>PUBLIC_CANDIDATE</x:v>
      </x:c>
      <x:c r="AD1071" s="12" t="str">
        <x:f>IF(AC1071="PRIVATE_QUARANTINE","hacker_or_bank_trigger",IF(AC1071="PRIVATE_REVIEW","finance_risk_trigger","none"))</x:f>
        <x:v>none</x:v>
      </x:c>
      <x:c r="AE1071" s="12" t="str">
        <x:f>IF(AC1071="PUBLIC_CANDIDATE","prepare_public_github_candidate",IF(AC1071="PRIVATE_REVIEW","hold_for_private_review","quarantine_private_do_not_publish"))</x:f>
        <x:v>prepare_public_github_candidate</x:v>
      </x:c>
      <x:c r="AF1071" s="12" t="str">
        <x:f>IF(AC1071="PUBLIC_CANDIDATE","TIDELOCK + Lucerna",IF(AC1071="PRIVATE_REVIEW","AtlasBrain + Lucerna","TIDELOCK + Lucerna + Human-root"))</x:f>
        <x:v>TIDELOCK + Lucerna</x:v>
      </x:c>
      <x:c r="AG1071" s="12" t="str">
        <x:f>IF(AND(AC1071="PUBLIC_CANDIDATE",U1071&lt;&gt;"BLOCKED_PENDING_RECEIPT"),"READY_AFTER_RECEIPT","NOT_READY")</x:f>
        <x:v>NOT_READY</x:v>
      </x:c>
      <x:c r="AH1071" s="12" t="str">
        <x:f>IF(AC1071="PUBLIC_CANDIDATE","none",AD1071)</x:f>
        <x:v>none</x:v>
      </x:c>
      <x:c r="AI1071" s="12" t="str">
        <x:f>IF(AC1071="PUBLIC_CANDIDATE","archive/public_candidates/"&amp;A1071,"private_quarantine/"&amp;A1071)</x:f>
        <x:v>archive/public_candidates/SWARM-08-H06-S02</x:v>
      </x:c>
      <x:c r="AJ1071" s="12" t="str">
        <x:f>IF(AC1071="PUBLIC_CANDIDATE","public by default; still not canon","private/hold; do not publish")</x:f>
        <x:v>public by default; still not canon</x:v>
      </x:c>
      <x:c r="AK1071" s="12" t="str">
        <x:f>IF(AE1071="prepare_public_github_candidate","add receipt/status then mirror","resolve blocker before any public GitHub action")</x:f>
        <x:v>add receipt/status then mirror</x:v>
      </x:c>
    </x:row>
    <x:row r="1072">
      <x:c r="A1072" s="15" t="str">
        <x:v>SWARM-08-H06-S03</x:v>
      </x:c>
      <x:c r="B1072" s="15" t="str">
        <x:v>GammaSprite</x:v>
      </x:c>
      <x:c r="C1072" s="15" t="str">
        <x:v>Deck surface mapper</x:v>
      </x:c>
      <x:c r="D1072" s="15" t="str">
        <x:v>Ontology / Schema</x:v>
      </x:c>
      <x:c r="E1072" s="15" t="str">
        <x:v>GitHub</x:v>
      </x:c>
      <x:c r="F1072" s="15" t="str">
        <x:v>Schema-map GitHub — GammaSprite</x:v>
      </x:c>
      <x:c r="G1072" s="15" t="str">
        <x:v>Gamma/deck extraction / slide lineage</x:v>
      </x:c>
      <x:c r="H1072" s="15" t="str">
        <x:v>source path + receipt + raw/export status + claim/edge/risk delta</x:v>
      </x:c>
      <x:c r="I1072" s="15" t="str">
        <x:v>packet/SWARM-08-H06-S03</x:v>
      </x:c>
      <x:c r="J1072" s="15" t="str">
        <x:v>TODO</x:v>
      </x:c>
      <x:c r="K1072" s="15" t="str">
        <x:v>P0</x:v>
      </x:c>
      <x:c r="L1072" s="15" t="str">
        <x:v>Done only when evidence is logged, contradiction search is noted, and boundary stamp remains non-canon unless ratified</x:v>
      </x:c>
      <x:c r="M1072" s="15" t="str">
        <x:v>candidate / staging-only / not canon / not deployed / authority none</x:v>
      </x:c>
      <x:c r="N1072" s="15" t="str">
        <x:v>Dispatch to GammaSprite: complete Ontology / Schema x GitHub; return deltas only, receipts required.</x:v>
      </x:c>
      <x:c r="O1072" s="15" t="str">
        <x:v>AF-KG-H06-S03</x:v>
      </x:c>
      <x:c r="P1072" s="15" t="str">
        <x:v>Unverified</x:v>
      </x:c>
      <x:c r="Q1072" s="15" t="str">
        <x:v>Not checked</x:v>
      </x:c>
      <x:c r="R1072" s="15" t="str"/>
      <x:c r="S1072" s="15" t="str"/>
      <x:c r="T1072" s="15" t="str">
        <x:v>Log first source path or blocker</x:v>
      </x:c>
      <x:c r="U1072" s="12" t="str">
        <x:f>IF(OR(P1072="Unverified",Q1072="Not checked"),"BLOCKED_PENDING_RECEIPT","READY_FOR_REVIEW")</x:f>
        <x:v>BLOCKED_PENDING_RECEIPT</x:v>
      </x:c>
      <x:c r="V1072" s="12" t="str">
        <x:f>IF(J1072="DONE","RETURNED",IF(U1072="BLOCKED_PENDING_RECEIPT","SOURCE_TOUCH_REQUIRED","IN_PROGRESS"))</x:f>
        <x:v>SOURCE_TOUCH_REQUIRED</x:v>
      </x:c>
      <x:c r="W1072" s="12" t="str">
        <x:f>IF(P1072="Unverified","missing_receipt","receipt_logged")</x:f>
        <x:v>missing_receipt</x:v>
      </x:c>
      <x:c r="X1072" s="12" t="str">
        <x:f>IF(Q1072="Not checked","raw_status_missing","raw_status_logged")</x:f>
        <x:v>raw_status_missing</x:v>
      </x:c>
      <x:c r="Y1072" s="12" t="str">
        <x:f>IF(U1072="BLOCKED_PENDING_RECEIPT","Log source path or blocker; do not promote","Route to review lane")</x:f>
        <x:v>Log source path or blocker; do not promote</x:v>
      </x:c>
      <x:c r="Z1072" s="12" t="str">
        <x:f>IF(K1072="P0","Primary seat + Hashlight/Lucerna","Seat lane")</x:f>
        <x:v>Primary seat + Hashlight/Lucerna</x:v>
      </x:c>
      <x:c r="AA1072" s="12" t="str">
        <x:f>IF(R1072="","no_claim_delta","claim_delta_present")</x:f>
        <x:v>no_claim_delta</x:v>
      </x:c>
      <x:c r="AB1072" s="12" t="str">
        <x:f>IF(S1072="","no_contradiction_delta","contradiction_delta_present")</x:f>
        <x:v>no_contradiction_delta</x:v>
      </x:c>
      <x:c r="AC1072" s="12" t="str">
        <x:f>IF(OR(ISNUMBER(SEARCH("hacker",LOWER(F1072&amp;" "&amp;H1072&amp;" "&amp;I1072&amp;" "&amp;M1072&amp;" "&amp;N1072&amp;" "&amp;T1072))),ISNUMBER(SEARCH("hacking",LOWER(F1072&amp;" "&amp;H1072&amp;" "&amp;I1072&amp;" "&amp;M1072&amp;" "&amp;N1072&amp;" "&amp;T1072))),ISNUMBER(SEARCH("bank",LOWER(F1072&amp;" "&amp;H1072&amp;" "&amp;I1072&amp;" "&amp;M1072&amp;" "&amp;N1072&amp;" "&amp;T1072))),ISNUMBER(SEARCH("banking",LOWER(F1072&amp;" "&amp;H1072&amp;" "&amp;I1072&amp;" "&amp;M1072&amp;" "&amp;N1072&amp;" "&amp;T1072)))),"PRIVATE_QUARANTINE",IF(OR(ISNUMBER(SEARCH("treasury",LOWER(F1072&amp;" "&amp;H1072&amp;" "&amp;I1072&amp;" "&amp;M1072&amp;" "&amp;N1072&amp;" "&amp;T1072))),ISNUMBER(SEARCH("debt",LOWER(F1072&amp;" "&amp;H1072&amp;" "&amp;I1072&amp;" "&amp;M1072&amp;" "&amp;N1072&amp;" "&amp;T1072))),ISNUMBER(SEARCH("bond",LOWER(F1072&amp;" "&amp;H1072&amp;" "&amp;I1072&amp;" "&amp;M1072&amp;" "&amp;N1072&amp;" "&amp;T1072))),ISNUMBER(SEARCH("transaction",LOWER(F1072&amp;" "&amp;H1072&amp;" "&amp;I1072&amp;" "&amp;M1072&amp;" "&amp;N1072&amp;" "&amp;T1072)))),"PRIVATE_REVIEW","PUBLIC_CANDIDATE"))</x:f>
        <x:v>PUBLIC_CANDIDATE</x:v>
      </x:c>
      <x:c r="AD1072" s="12" t="str">
        <x:f>IF(AC1072="PRIVATE_QUARANTINE","hacker_or_bank_trigger",IF(AC1072="PRIVATE_REVIEW","finance_risk_trigger","none"))</x:f>
        <x:v>none</x:v>
      </x:c>
      <x:c r="AE1072" s="12" t="str">
        <x:f>IF(AC1072="PUBLIC_CANDIDATE","prepare_public_github_candidate",IF(AC1072="PRIVATE_REVIEW","hold_for_private_review","quarantine_private_do_not_publish"))</x:f>
        <x:v>prepare_public_github_candidate</x:v>
      </x:c>
      <x:c r="AF1072" s="12" t="str">
        <x:f>IF(AC1072="PUBLIC_CANDIDATE","TIDELOCK + Lucerna",IF(AC1072="PRIVATE_REVIEW","AtlasBrain + Lucerna","TIDELOCK + Lucerna + Human-root"))</x:f>
        <x:v>TIDELOCK + Lucerna</x:v>
      </x:c>
      <x:c r="AG1072" s="12" t="str">
        <x:f>IF(AND(AC1072="PUBLIC_CANDIDATE",U1072&lt;&gt;"BLOCKED_PENDING_RECEIPT"),"READY_AFTER_RECEIPT","NOT_READY")</x:f>
        <x:v>NOT_READY</x:v>
      </x:c>
      <x:c r="AH1072" s="12" t="str">
        <x:f>IF(AC1072="PUBLIC_CANDIDATE","none",AD1072)</x:f>
        <x:v>none</x:v>
      </x:c>
      <x:c r="AI1072" s="12" t="str">
        <x:f>IF(AC1072="PUBLIC_CANDIDATE","archive/public_candidates/"&amp;A1072,"private_quarantine/"&amp;A1072)</x:f>
        <x:v>archive/public_candidates/SWARM-08-H06-S03</x:v>
      </x:c>
      <x:c r="AJ1072" s="12" t="str">
        <x:f>IF(AC1072="PUBLIC_CANDIDATE","public by default; still not canon","private/hold; do not publish")</x:f>
        <x:v>public by default; still not canon</x:v>
      </x:c>
      <x:c r="AK1072" s="12" t="str">
        <x:f>IF(AE1072="prepare_public_github_candidate","add receipt/status then mirror","resolve blocker before any public GitHub action")</x:f>
        <x:v>add receipt/status then mirror</x:v>
      </x:c>
    </x:row>
    <x:row r="1073">
      <x:c r="A1073" s="15" t="str">
        <x:v>SWARM-08-H06-S04</x:v>
      </x:c>
      <x:c r="B1073" s="15" t="str">
        <x:v>GammaSprite</x:v>
      </x:c>
      <x:c r="C1073" s="15" t="str">
        <x:v>Deck surface mapper</x:v>
      </x:c>
      <x:c r="D1073" s="15" t="str">
        <x:v>Ontology / Schema</x:v>
      </x:c>
      <x:c r="E1073" s="15" t="str">
        <x:v>Gamma</x:v>
      </x:c>
      <x:c r="F1073" s="15" t="str">
        <x:v>Schema-map Gamma — GammaSprite</x:v>
      </x:c>
      <x:c r="G1073" s="15" t="str">
        <x:v>Gamma/deck extraction / slide lineage</x:v>
      </x:c>
      <x:c r="H1073" s="15" t="str">
        <x:v>source path + receipt + raw/export status + claim/edge/risk delta</x:v>
      </x:c>
      <x:c r="I1073" s="15" t="str">
        <x:v>packet/SWARM-08-H06-S04</x:v>
      </x:c>
      <x:c r="J1073" s="15" t="str">
        <x:v>TODO</x:v>
      </x:c>
      <x:c r="K1073" s="15" t="str">
        <x:v>P1</x:v>
      </x:c>
      <x:c r="L1073" s="15" t="str">
        <x:v>Done only when evidence is logged, contradiction search is noted, and boundary stamp remains non-canon unless ratified</x:v>
      </x:c>
      <x:c r="M1073" s="15" t="str">
        <x:v>candidate / staging-only / not canon / not deployed / authority none</x:v>
      </x:c>
      <x:c r="N1073" s="15" t="str">
        <x:v>Dispatch to GammaSprite: complete Ontology / Schema x Gamma; return deltas only, receipts required.</x:v>
      </x:c>
      <x:c r="O1073" s="15" t="str">
        <x:v>AF-KG-H06-S04</x:v>
      </x:c>
      <x:c r="P1073" s="15" t="str">
        <x:v>Unverified</x:v>
      </x:c>
      <x:c r="Q1073" s="15" t="str">
        <x:v>Not checked</x:v>
      </x:c>
      <x:c r="R1073" s="15" t="str"/>
      <x:c r="S1073" s="15" t="str"/>
      <x:c r="T1073" s="15" t="str">
        <x:v>Log first source path or blocker</x:v>
      </x:c>
      <x:c r="U1073" s="12" t="str">
        <x:f>IF(OR(P1073="Unverified",Q1073="Not checked"),"BLOCKED_PENDING_RECEIPT","READY_FOR_REVIEW")</x:f>
        <x:v>BLOCKED_PENDING_RECEIPT</x:v>
      </x:c>
      <x:c r="V1073" s="12" t="str">
        <x:f>IF(J1073="DONE","RETURNED",IF(U1073="BLOCKED_PENDING_RECEIPT","SOURCE_TOUCH_REQUIRED","IN_PROGRESS"))</x:f>
        <x:v>SOURCE_TOUCH_REQUIRED</x:v>
      </x:c>
      <x:c r="W1073" s="12" t="str">
        <x:f>IF(P1073="Unverified","missing_receipt","receipt_logged")</x:f>
        <x:v>missing_receipt</x:v>
      </x:c>
      <x:c r="X1073" s="12" t="str">
        <x:f>IF(Q1073="Not checked","raw_status_missing","raw_status_logged")</x:f>
        <x:v>raw_status_missing</x:v>
      </x:c>
      <x:c r="Y1073" s="12" t="str">
        <x:f>IF(U1073="BLOCKED_PENDING_RECEIPT","Log source path or blocker; do not promote","Route to review lane")</x:f>
        <x:v>Log source path or blocker; do not promote</x:v>
      </x:c>
      <x:c r="Z1073" s="12" t="str">
        <x:f>IF(K1073="P0","Primary seat + Hashlight/Lucerna","Seat lane")</x:f>
        <x:v>Seat lane</x:v>
      </x:c>
      <x:c r="AA1073" s="12" t="str">
        <x:f>IF(R1073="","no_claim_delta","claim_delta_present")</x:f>
        <x:v>no_claim_delta</x:v>
      </x:c>
      <x:c r="AB1073" s="12" t="str">
        <x:f>IF(S1073="","no_contradiction_delta","contradiction_delta_present")</x:f>
        <x:v>no_contradiction_delta</x:v>
      </x:c>
      <x:c r="AC1073" s="12" t="str">
        <x:f>IF(OR(ISNUMBER(SEARCH("hacker",LOWER(F1073&amp;" "&amp;H1073&amp;" "&amp;I1073&amp;" "&amp;M1073&amp;" "&amp;N1073&amp;" "&amp;T1073))),ISNUMBER(SEARCH("hacking",LOWER(F1073&amp;" "&amp;H1073&amp;" "&amp;I1073&amp;" "&amp;M1073&amp;" "&amp;N1073&amp;" "&amp;T1073))),ISNUMBER(SEARCH("bank",LOWER(F1073&amp;" "&amp;H1073&amp;" "&amp;I1073&amp;" "&amp;M1073&amp;" "&amp;N1073&amp;" "&amp;T1073))),ISNUMBER(SEARCH("banking",LOWER(F1073&amp;" "&amp;H1073&amp;" "&amp;I1073&amp;" "&amp;M1073&amp;" "&amp;N1073&amp;" "&amp;T1073)))),"PRIVATE_QUARANTINE",IF(OR(ISNUMBER(SEARCH("treasury",LOWER(F1073&amp;" "&amp;H1073&amp;" "&amp;I1073&amp;" "&amp;M1073&amp;" "&amp;N1073&amp;" "&amp;T1073))),ISNUMBER(SEARCH("debt",LOWER(F1073&amp;" "&amp;H1073&amp;" "&amp;I1073&amp;" "&amp;M1073&amp;" "&amp;N1073&amp;" "&amp;T1073))),ISNUMBER(SEARCH("bond",LOWER(F1073&amp;" "&amp;H1073&amp;" "&amp;I1073&amp;" "&amp;M1073&amp;" "&amp;N1073&amp;" "&amp;T1073))),ISNUMBER(SEARCH("transaction",LOWER(F1073&amp;" "&amp;H1073&amp;" "&amp;I1073&amp;" "&amp;M1073&amp;" "&amp;N1073&amp;" "&amp;T1073)))),"PRIVATE_REVIEW","PUBLIC_CANDIDATE"))</x:f>
        <x:v>PUBLIC_CANDIDATE</x:v>
      </x:c>
      <x:c r="AD1073" s="12" t="str">
        <x:f>IF(AC1073="PRIVATE_QUARANTINE","hacker_or_bank_trigger",IF(AC1073="PRIVATE_REVIEW","finance_risk_trigger","none"))</x:f>
        <x:v>none</x:v>
      </x:c>
      <x:c r="AE1073" s="12" t="str">
        <x:f>IF(AC1073="PUBLIC_CANDIDATE","prepare_public_github_candidate",IF(AC1073="PRIVATE_REVIEW","hold_for_private_review","quarantine_private_do_not_publish"))</x:f>
        <x:v>prepare_public_github_candidate</x:v>
      </x:c>
      <x:c r="AF1073" s="12" t="str">
        <x:f>IF(AC1073="PUBLIC_CANDIDATE","TIDELOCK + Lucerna",IF(AC1073="PRIVATE_REVIEW","AtlasBrain + Lucerna","TIDELOCK + Lucerna + Human-root"))</x:f>
        <x:v>TIDELOCK + Lucerna</x:v>
      </x:c>
      <x:c r="AG1073" s="12" t="str">
        <x:f>IF(AND(AC1073="PUBLIC_CANDIDATE",U1073&lt;&gt;"BLOCKED_PENDING_RECEIPT"),"READY_AFTER_RECEIPT","NOT_READY")</x:f>
        <x:v>NOT_READY</x:v>
      </x:c>
      <x:c r="AH1073" s="12" t="str">
        <x:f>IF(AC1073="PUBLIC_CANDIDATE","none",AD1073)</x:f>
        <x:v>none</x:v>
      </x:c>
      <x:c r="AI1073" s="12" t="str">
        <x:f>IF(AC1073="PUBLIC_CANDIDATE","archive/public_candidates/"&amp;A1073,"private_quarantine/"&amp;A1073)</x:f>
        <x:v>archive/public_candidates/SWARM-08-H06-S04</x:v>
      </x:c>
      <x:c r="AJ1073" s="12" t="str">
        <x:f>IF(AC1073="PUBLIC_CANDIDATE","public by default; still not canon","private/hold; do not publish")</x:f>
        <x:v>public by default; still not canon</x:v>
      </x:c>
      <x:c r="AK1073" s="12" t="str">
        <x:f>IF(AE1073="prepare_public_github_candidate","add receipt/status then mirror","resolve blocker before any public GitHub action")</x:f>
        <x:v>add receipt/status then mirror</x:v>
      </x:c>
    </x:row>
    <x:row r="1074">
      <x:c r="A1074" s="15" t="str">
        <x:v>SWARM-08-H06-S05</x:v>
      </x:c>
      <x:c r="B1074" s="15" t="str">
        <x:v>GammaSprite</x:v>
      </x:c>
      <x:c r="C1074" s="15" t="str">
        <x:v>Deck surface mapper</x:v>
      </x:c>
      <x:c r="D1074" s="15" t="str">
        <x:v>Ontology / Schema</x:v>
      </x:c>
      <x:c r="E1074" s="15" t="str">
        <x:v>Chat</x:v>
      </x:c>
      <x:c r="F1074" s="15" t="str">
        <x:v>Schema-map Chat — GammaSprite</x:v>
      </x:c>
      <x:c r="G1074" s="15" t="str">
        <x:v>Gamma/deck extraction / slide lineage</x:v>
      </x:c>
      <x:c r="H1074" s="15" t="str">
        <x:v>source path + receipt + raw/export status + claim/edge/risk delta</x:v>
      </x:c>
      <x:c r="I1074" s="15" t="str">
        <x:v>packet/SWARM-08-H06-S05</x:v>
      </x:c>
      <x:c r="J1074" s="15" t="str">
        <x:v>TODO</x:v>
      </x:c>
      <x:c r="K1074" s="15" t="str">
        <x:v>P1</x:v>
      </x:c>
      <x:c r="L1074" s="15" t="str">
        <x:v>Done only when evidence is logged, contradiction search is noted, and boundary stamp remains non-canon unless ratified</x:v>
      </x:c>
      <x:c r="M1074" s="15" t="str">
        <x:v>candidate / staging-only / not canon / not deployed / authority none</x:v>
      </x:c>
      <x:c r="N1074" s="15" t="str">
        <x:v>Dispatch to GammaSprite: complete Ontology / Schema x Chat; return deltas only, receipts required.</x:v>
      </x:c>
      <x:c r="O1074" s="15" t="str">
        <x:v>AF-KG-H06-S05</x:v>
      </x:c>
      <x:c r="P1074" s="15" t="str">
        <x:v>Unverified</x:v>
      </x:c>
      <x:c r="Q1074" s="15" t="str">
        <x:v>Not checked</x:v>
      </x:c>
      <x:c r="R1074" s="15" t="str"/>
      <x:c r="S1074" s="15" t="str"/>
      <x:c r="T1074" s="15" t="str">
        <x:v>Log first source path or blocker</x:v>
      </x:c>
      <x:c r="U1074" s="12" t="str">
        <x:f>IF(OR(P1074="Unverified",Q1074="Not checked"),"BLOCKED_PENDING_RECEIPT","READY_FOR_REVIEW")</x:f>
        <x:v>BLOCKED_PENDING_RECEIPT</x:v>
      </x:c>
      <x:c r="V1074" s="12" t="str">
        <x:f>IF(J1074="DONE","RETURNED",IF(U1074="BLOCKED_PENDING_RECEIPT","SOURCE_TOUCH_REQUIRED","IN_PROGRESS"))</x:f>
        <x:v>SOURCE_TOUCH_REQUIRED</x:v>
      </x:c>
      <x:c r="W1074" s="12" t="str">
        <x:f>IF(P1074="Unverified","missing_receipt","receipt_logged")</x:f>
        <x:v>missing_receipt</x:v>
      </x:c>
      <x:c r="X1074" s="12" t="str">
        <x:f>IF(Q1074="Not checked","raw_status_missing","raw_status_logged")</x:f>
        <x:v>raw_status_missing</x:v>
      </x:c>
      <x:c r="Y1074" s="12" t="str">
        <x:f>IF(U1074="BLOCKED_PENDING_RECEIPT","Log source path or blocker; do not promote","Route to review lane")</x:f>
        <x:v>Log source path or blocker; do not promote</x:v>
      </x:c>
      <x:c r="Z1074" s="12" t="str">
        <x:f>IF(K1074="P0","Primary seat + Hashlight/Lucerna","Seat lane")</x:f>
        <x:v>Seat lane</x:v>
      </x:c>
      <x:c r="AA1074" s="12" t="str">
        <x:f>IF(R1074="","no_claim_delta","claim_delta_present")</x:f>
        <x:v>no_claim_delta</x:v>
      </x:c>
      <x:c r="AB1074" s="12" t="str">
        <x:f>IF(S1074="","no_contradiction_delta","contradiction_delta_present")</x:f>
        <x:v>no_contradiction_delta</x:v>
      </x:c>
      <x:c r="AC1074" s="12" t="str">
        <x:f>IF(OR(ISNUMBER(SEARCH("hacker",LOWER(F1074&amp;" "&amp;H1074&amp;" "&amp;I1074&amp;" "&amp;M1074&amp;" "&amp;N1074&amp;" "&amp;T1074))),ISNUMBER(SEARCH("hacking",LOWER(F1074&amp;" "&amp;H1074&amp;" "&amp;I1074&amp;" "&amp;M1074&amp;" "&amp;N1074&amp;" "&amp;T1074))),ISNUMBER(SEARCH("bank",LOWER(F1074&amp;" "&amp;H1074&amp;" "&amp;I1074&amp;" "&amp;M1074&amp;" "&amp;N1074&amp;" "&amp;T1074))),ISNUMBER(SEARCH("banking",LOWER(F1074&amp;" "&amp;H1074&amp;" "&amp;I1074&amp;" "&amp;M1074&amp;" "&amp;N1074&amp;" "&amp;T1074)))),"PRIVATE_QUARANTINE",IF(OR(ISNUMBER(SEARCH("treasury",LOWER(F1074&amp;" "&amp;H1074&amp;" "&amp;I1074&amp;" "&amp;M1074&amp;" "&amp;N1074&amp;" "&amp;T1074))),ISNUMBER(SEARCH("debt",LOWER(F1074&amp;" "&amp;H1074&amp;" "&amp;I1074&amp;" "&amp;M1074&amp;" "&amp;N1074&amp;" "&amp;T1074))),ISNUMBER(SEARCH("bond",LOWER(F1074&amp;" "&amp;H1074&amp;" "&amp;I1074&amp;" "&amp;M1074&amp;" "&amp;N1074&amp;" "&amp;T1074))),ISNUMBER(SEARCH("transaction",LOWER(F1074&amp;" "&amp;H1074&amp;" "&amp;I1074&amp;" "&amp;M1074&amp;" "&amp;N1074&amp;" "&amp;T1074)))),"PRIVATE_REVIEW","PUBLIC_CANDIDATE"))</x:f>
        <x:v>PUBLIC_CANDIDATE</x:v>
      </x:c>
      <x:c r="AD1074" s="12" t="str">
        <x:f>IF(AC1074="PRIVATE_QUARANTINE","hacker_or_bank_trigger",IF(AC1074="PRIVATE_REVIEW","finance_risk_trigger","none"))</x:f>
        <x:v>none</x:v>
      </x:c>
      <x:c r="AE1074" s="12" t="str">
        <x:f>IF(AC1074="PUBLIC_CANDIDATE","prepare_public_github_candidate",IF(AC1074="PRIVATE_REVIEW","hold_for_private_review","quarantine_private_do_not_publish"))</x:f>
        <x:v>prepare_public_github_candidate</x:v>
      </x:c>
      <x:c r="AF1074" s="12" t="str">
        <x:f>IF(AC1074="PUBLIC_CANDIDATE","TIDELOCK + Lucerna",IF(AC1074="PRIVATE_REVIEW","AtlasBrain + Lucerna","TIDELOCK + Lucerna + Human-root"))</x:f>
        <x:v>TIDELOCK + Lucerna</x:v>
      </x:c>
      <x:c r="AG1074" s="12" t="str">
        <x:f>IF(AND(AC1074="PUBLIC_CANDIDATE",U1074&lt;&gt;"BLOCKED_PENDING_RECEIPT"),"READY_AFTER_RECEIPT","NOT_READY")</x:f>
        <x:v>NOT_READY</x:v>
      </x:c>
      <x:c r="AH1074" s="12" t="str">
        <x:f>IF(AC1074="PUBLIC_CANDIDATE","none",AD1074)</x:f>
        <x:v>none</x:v>
      </x:c>
      <x:c r="AI1074" s="12" t="str">
        <x:f>IF(AC1074="PUBLIC_CANDIDATE","archive/public_candidates/"&amp;A1074,"private_quarantine/"&amp;A1074)</x:f>
        <x:v>archive/public_candidates/SWARM-08-H06-S05</x:v>
      </x:c>
      <x:c r="AJ1074" s="12" t="str">
        <x:f>IF(AC1074="PUBLIC_CANDIDATE","public by default; still not canon","private/hold; do not publish")</x:f>
        <x:v>public by default; still not canon</x:v>
      </x:c>
      <x:c r="AK1074" s="12" t="str">
        <x:f>IF(AE1074="prepare_public_github_candidate","add receipt/status then mirror","resolve blocker before any public GitHub action")</x:f>
        <x:v>add receipt/status then mirror</x:v>
      </x:c>
    </x:row>
    <x:row r="1075">
      <x:c r="A1075" s="15" t="str">
        <x:v>SWARM-08-H06-S06</x:v>
      </x:c>
      <x:c r="B1075" s="15" t="str">
        <x:v>GammaSprite</x:v>
      </x:c>
      <x:c r="C1075" s="15" t="str">
        <x:v>Deck surface mapper</x:v>
      </x:c>
      <x:c r="D1075" s="15" t="str">
        <x:v>Ontology / Schema</x:v>
      </x:c>
      <x:c r="E1075" s="15" t="str">
        <x:v>External Web</x:v>
      </x:c>
      <x:c r="F1075" s="15" t="str">
        <x:v>Schema-map External Web — GammaSprite</x:v>
      </x:c>
      <x:c r="G1075" s="15" t="str">
        <x:v>Gamma/deck extraction / slide lineage</x:v>
      </x:c>
      <x:c r="H1075" s="15" t="str">
        <x:v>source path + receipt + raw/export status + claim/edge/risk delta</x:v>
      </x:c>
      <x:c r="I1075" s="15" t="str">
        <x:v>packet/SWARM-08-H06-S06</x:v>
      </x:c>
      <x:c r="J1075" s="15" t="str">
        <x:v>TODO</x:v>
      </x:c>
      <x:c r="K1075" s="15" t="str">
        <x:v>P1</x:v>
      </x:c>
      <x:c r="L1075" s="15" t="str">
        <x:v>Done only when evidence is logged, contradiction search is noted, and boundary stamp remains non-canon unless ratified</x:v>
      </x:c>
      <x:c r="M1075" s="15" t="str">
        <x:v>candidate / staging-only / not canon / not deployed / authority none</x:v>
      </x:c>
      <x:c r="N1075" s="15" t="str">
        <x:v>Dispatch to GammaSprite: complete Ontology / Schema x External Web; return deltas only, receipts required.</x:v>
      </x:c>
      <x:c r="O1075" s="15" t="str">
        <x:v>AF-KG-H06-S06</x:v>
      </x:c>
      <x:c r="P1075" s="15" t="str">
        <x:v>Unverified</x:v>
      </x:c>
      <x:c r="Q1075" s="15" t="str">
        <x:v>Not checked</x:v>
      </x:c>
      <x:c r="R1075" s="15" t="str"/>
      <x:c r="S1075" s="15" t="str"/>
      <x:c r="T1075" s="15" t="str">
        <x:v>Log first source path or blocker</x:v>
      </x:c>
      <x:c r="U1075" s="12" t="str">
        <x:f>IF(OR(P1075="Unverified",Q1075="Not checked"),"BLOCKED_PENDING_RECEIPT","READY_FOR_REVIEW")</x:f>
        <x:v>BLOCKED_PENDING_RECEIPT</x:v>
      </x:c>
      <x:c r="V1075" s="12" t="str">
        <x:f>IF(J1075="DONE","RETURNED",IF(U1075="BLOCKED_PENDING_RECEIPT","SOURCE_TOUCH_REQUIRED","IN_PROGRESS"))</x:f>
        <x:v>SOURCE_TOUCH_REQUIRED</x:v>
      </x:c>
      <x:c r="W1075" s="12" t="str">
        <x:f>IF(P1075="Unverified","missing_receipt","receipt_logged")</x:f>
        <x:v>missing_receipt</x:v>
      </x:c>
      <x:c r="X1075" s="12" t="str">
        <x:f>IF(Q1075="Not checked","raw_status_missing","raw_status_logged")</x:f>
        <x:v>raw_status_missing</x:v>
      </x:c>
      <x:c r="Y1075" s="12" t="str">
        <x:f>IF(U1075="BLOCKED_PENDING_RECEIPT","Log source path or blocker; do not promote","Route to review lane")</x:f>
        <x:v>Log source path or blocker; do not promote</x:v>
      </x:c>
      <x:c r="Z1075" s="12" t="str">
        <x:f>IF(K1075="P0","Primary seat + Hashlight/Lucerna","Seat lane")</x:f>
        <x:v>Seat lane</x:v>
      </x:c>
      <x:c r="AA1075" s="12" t="str">
        <x:f>IF(R1075="","no_claim_delta","claim_delta_present")</x:f>
        <x:v>no_claim_delta</x:v>
      </x:c>
      <x:c r="AB1075" s="12" t="str">
        <x:f>IF(S1075="","no_contradiction_delta","contradiction_delta_present")</x:f>
        <x:v>no_contradiction_delta</x:v>
      </x:c>
      <x:c r="AC1075" s="12" t="str">
        <x:f>IF(OR(ISNUMBER(SEARCH("hacker",LOWER(F1075&amp;" "&amp;H1075&amp;" "&amp;I1075&amp;" "&amp;M1075&amp;" "&amp;N1075&amp;" "&amp;T1075))),ISNUMBER(SEARCH("hacking",LOWER(F1075&amp;" "&amp;H1075&amp;" "&amp;I1075&amp;" "&amp;M1075&amp;" "&amp;N1075&amp;" "&amp;T1075))),ISNUMBER(SEARCH("bank",LOWER(F1075&amp;" "&amp;H1075&amp;" "&amp;I1075&amp;" "&amp;M1075&amp;" "&amp;N1075&amp;" "&amp;T1075))),ISNUMBER(SEARCH("banking",LOWER(F1075&amp;" "&amp;H1075&amp;" "&amp;I1075&amp;" "&amp;M1075&amp;" "&amp;N1075&amp;" "&amp;T1075)))),"PRIVATE_QUARANTINE",IF(OR(ISNUMBER(SEARCH("treasury",LOWER(F1075&amp;" "&amp;H1075&amp;" "&amp;I1075&amp;" "&amp;M1075&amp;" "&amp;N1075&amp;" "&amp;T1075))),ISNUMBER(SEARCH("debt",LOWER(F1075&amp;" "&amp;H1075&amp;" "&amp;I1075&amp;" "&amp;M1075&amp;" "&amp;N1075&amp;" "&amp;T1075))),ISNUMBER(SEARCH("bond",LOWER(F1075&amp;" "&amp;H1075&amp;" "&amp;I1075&amp;" "&amp;M1075&amp;" "&amp;N1075&amp;" "&amp;T1075))),ISNUMBER(SEARCH("transaction",LOWER(F1075&amp;" "&amp;H1075&amp;" "&amp;I1075&amp;" "&amp;M1075&amp;" "&amp;N1075&amp;" "&amp;T1075)))),"PRIVATE_REVIEW","PUBLIC_CANDIDATE"))</x:f>
        <x:v>PUBLIC_CANDIDATE</x:v>
      </x:c>
      <x:c r="AD1075" s="12" t="str">
        <x:f>IF(AC1075="PRIVATE_QUARANTINE","hacker_or_bank_trigger",IF(AC1075="PRIVATE_REVIEW","finance_risk_trigger","none"))</x:f>
        <x:v>none</x:v>
      </x:c>
      <x:c r="AE1075" s="12" t="str">
        <x:f>IF(AC1075="PUBLIC_CANDIDATE","prepare_public_github_candidate",IF(AC1075="PRIVATE_REVIEW","hold_for_private_review","quarantine_private_do_not_publish"))</x:f>
        <x:v>prepare_public_github_candidate</x:v>
      </x:c>
      <x:c r="AF1075" s="12" t="str">
        <x:f>IF(AC1075="PUBLIC_CANDIDATE","TIDELOCK + Lucerna",IF(AC1075="PRIVATE_REVIEW","AtlasBrain + Lucerna","TIDELOCK + Lucerna + Human-root"))</x:f>
        <x:v>TIDELOCK + Lucerna</x:v>
      </x:c>
      <x:c r="AG1075" s="12" t="str">
        <x:f>IF(AND(AC1075="PUBLIC_CANDIDATE",U1075&lt;&gt;"BLOCKED_PENDING_RECEIPT"),"READY_AFTER_RECEIPT","NOT_READY")</x:f>
        <x:v>NOT_READY</x:v>
      </x:c>
      <x:c r="AH1075" s="12" t="str">
        <x:f>IF(AC1075="PUBLIC_CANDIDATE","none",AD1075)</x:f>
        <x:v>none</x:v>
      </x:c>
      <x:c r="AI1075" s="12" t="str">
        <x:f>IF(AC1075="PUBLIC_CANDIDATE","archive/public_candidates/"&amp;A1075,"private_quarantine/"&amp;A1075)</x:f>
        <x:v>archive/public_candidates/SWARM-08-H06-S06</x:v>
      </x:c>
      <x:c r="AJ1075" s="12" t="str">
        <x:f>IF(AC1075="PUBLIC_CANDIDATE","public by default; still not canon","private/hold; do not publish")</x:f>
        <x:v>public by default; still not canon</x:v>
      </x:c>
      <x:c r="AK1075" s="12" t="str">
        <x:f>IF(AE1075="prepare_public_github_candidate","add receipt/status then mirror","resolve blocker before any public GitHub action")</x:f>
        <x:v>add receipt/status then mirror</x:v>
      </x:c>
    </x:row>
    <x:row r="1076">
      <x:c r="A1076" s="15" t="str">
        <x:v>SWARM-08-H06-S07</x:v>
      </x:c>
      <x:c r="B1076" s="15" t="str">
        <x:v>GammaSprite</x:v>
      </x:c>
      <x:c r="C1076" s="15" t="str">
        <x:v>Deck surface mapper</x:v>
      </x:c>
      <x:c r="D1076" s="15" t="str">
        <x:v>Ontology / Schema</x:v>
      </x:c>
      <x:c r="E1076" s="15" t="str">
        <x:v>Planetarium</x:v>
      </x:c>
      <x:c r="F1076" s="15" t="str">
        <x:v>Schema-map Planetarium — GammaSprite</x:v>
      </x:c>
      <x:c r="G1076" s="15" t="str">
        <x:v>Gamma/deck extraction / slide lineage</x:v>
      </x:c>
      <x:c r="H1076" s="15" t="str">
        <x:v>source path + receipt + raw/export status + claim/edge/risk delta</x:v>
      </x:c>
      <x:c r="I1076" s="15" t="str">
        <x:v>packet/SWARM-08-H06-S07</x:v>
      </x:c>
      <x:c r="J1076" s="15" t="str">
        <x:v>TODO</x:v>
      </x:c>
      <x:c r="K1076" s="15" t="str">
        <x:v>P1</x:v>
      </x:c>
      <x:c r="L1076" s="15" t="str">
        <x:v>Done only when evidence is logged, contradiction search is noted, and boundary stamp remains non-canon unless ratified</x:v>
      </x:c>
      <x:c r="M1076" s="15" t="str">
        <x:v>candidate / staging-only / not canon / not deployed / authority none</x:v>
      </x:c>
      <x:c r="N1076" s="15" t="str">
        <x:v>Dispatch to GammaSprite: complete Ontology / Schema x Planetarium; return deltas only, receipts required.</x:v>
      </x:c>
      <x:c r="O1076" s="15" t="str">
        <x:v>AF-KG-H06-S07</x:v>
      </x:c>
      <x:c r="P1076" s="15" t="str">
        <x:v>Unverified</x:v>
      </x:c>
      <x:c r="Q1076" s="15" t="str">
        <x:v>Not checked</x:v>
      </x:c>
      <x:c r="R1076" s="15" t="str"/>
      <x:c r="S1076" s="15" t="str"/>
      <x:c r="T1076" s="15" t="str">
        <x:v>Log first source path or blocker</x:v>
      </x:c>
      <x:c r="U1076" s="12" t="str">
        <x:f>IF(OR(P1076="Unverified",Q1076="Not checked"),"BLOCKED_PENDING_RECEIPT","READY_FOR_REVIEW")</x:f>
        <x:v>BLOCKED_PENDING_RECEIPT</x:v>
      </x:c>
      <x:c r="V1076" s="12" t="str">
        <x:f>IF(J1076="DONE","RETURNED",IF(U1076="BLOCKED_PENDING_RECEIPT","SOURCE_TOUCH_REQUIRED","IN_PROGRESS"))</x:f>
        <x:v>SOURCE_TOUCH_REQUIRED</x:v>
      </x:c>
      <x:c r="W1076" s="12" t="str">
        <x:f>IF(P1076="Unverified","missing_receipt","receipt_logged")</x:f>
        <x:v>missing_receipt</x:v>
      </x:c>
      <x:c r="X1076" s="12" t="str">
        <x:f>IF(Q1076="Not checked","raw_status_missing","raw_status_logged")</x:f>
        <x:v>raw_status_missing</x:v>
      </x:c>
      <x:c r="Y1076" s="12" t="str">
        <x:f>IF(U1076="BLOCKED_PENDING_RECEIPT","Log source path or blocker; do not promote","Route to review lane")</x:f>
        <x:v>Log source path or blocker; do not promote</x:v>
      </x:c>
      <x:c r="Z1076" s="12" t="str">
        <x:f>IF(K1076="P0","Primary seat + Hashlight/Lucerna","Seat lane")</x:f>
        <x:v>Seat lane</x:v>
      </x:c>
      <x:c r="AA1076" s="12" t="str">
        <x:f>IF(R1076="","no_claim_delta","claim_delta_present")</x:f>
        <x:v>no_claim_delta</x:v>
      </x:c>
      <x:c r="AB1076" s="12" t="str">
        <x:f>IF(S1076="","no_contradiction_delta","contradiction_delta_present")</x:f>
        <x:v>no_contradiction_delta</x:v>
      </x:c>
      <x:c r="AC1076" s="12" t="str">
        <x:f>IF(OR(ISNUMBER(SEARCH("hacker",LOWER(F1076&amp;" "&amp;H1076&amp;" "&amp;I1076&amp;" "&amp;M1076&amp;" "&amp;N1076&amp;" "&amp;T1076))),ISNUMBER(SEARCH("hacking",LOWER(F1076&amp;" "&amp;H1076&amp;" "&amp;I1076&amp;" "&amp;M1076&amp;" "&amp;N1076&amp;" "&amp;T1076))),ISNUMBER(SEARCH("bank",LOWER(F1076&amp;" "&amp;H1076&amp;" "&amp;I1076&amp;" "&amp;M1076&amp;" "&amp;N1076&amp;" "&amp;T1076))),ISNUMBER(SEARCH("banking",LOWER(F1076&amp;" "&amp;H1076&amp;" "&amp;I1076&amp;" "&amp;M1076&amp;" "&amp;N1076&amp;" "&amp;T1076)))),"PRIVATE_QUARANTINE",IF(OR(ISNUMBER(SEARCH("treasury",LOWER(F1076&amp;" "&amp;H1076&amp;" "&amp;I1076&amp;" "&amp;M1076&amp;" "&amp;N1076&amp;" "&amp;T1076))),ISNUMBER(SEARCH("debt",LOWER(F1076&amp;" "&amp;H1076&amp;" "&amp;I1076&amp;" "&amp;M1076&amp;" "&amp;N1076&amp;" "&amp;T1076))),ISNUMBER(SEARCH("bond",LOWER(F1076&amp;" "&amp;H1076&amp;" "&amp;I1076&amp;" "&amp;M1076&amp;" "&amp;N1076&amp;" "&amp;T1076))),ISNUMBER(SEARCH("transaction",LOWER(F1076&amp;" "&amp;H1076&amp;" "&amp;I1076&amp;" "&amp;M1076&amp;" "&amp;N1076&amp;" "&amp;T1076)))),"PRIVATE_REVIEW","PUBLIC_CANDIDATE"))</x:f>
        <x:v>PUBLIC_CANDIDATE</x:v>
      </x:c>
      <x:c r="AD1076" s="12" t="str">
        <x:f>IF(AC1076="PRIVATE_QUARANTINE","hacker_or_bank_trigger",IF(AC1076="PRIVATE_REVIEW","finance_risk_trigger","none"))</x:f>
        <x:v>none</x:v>
      </x:c>
      <x:c r="AE1076" s="12" t="str">
        <x:f>IF(AC1076="PUBLIC_CANDIDATE","prepare_public_github_candidate",IF(AC1076="PRIVATE_REVIEW","hold_for_private_review","quarantine_private_do_not_publish"))</x:f>
        <x:v>prepare_public_github_candidate</x:v>
      </x:c>
      <x:c r="AF1076" s="12" t="str">
        <x:f>IF(AC1076="PUBLIC_CANDIDATE","TIDELOCK + Lucerna",IF(AC1076="PRIVATE_REVIEW","AtlasBrain + Lucerna","TIDELOCK + Lucerna + Human-root"))</x:f>
        <x:v>TIDELOCK + Lucerna</x:v>
      </x:c>
      <x:c r="AG1076" s="12" t="str">
        <x:f>IF(AND(AC1076="PUBLIC_CANDIDATE",U1076&lt;&gt;"BLOCKED_PENDING_RECEIPT"),"READY_AFTER_RECEIPT","NOT_READY")</x:f>
        <x:v>NOT_READY</x:v>
      </x:c>
      <x:c r="AH1076" s="12" t="str">
        <x:f>IF(AC1076="PUBLIC_CANDIDATE","none",AD1076)</x:f>
        <x:v>none</x:v>
      </x:c>
      <x:c r="AI1076" s="12" t="str">
        <x:f>IF(AC1076="PUBLIC_CANDIDATE","archive/public_candidates/"&amp;A1076,"private_quarantine/"&amp;A1076)</x:f>
        <x:v>archive/public_candidates/SWARM-08-H06-S07</x:v>
      </x:c>
      <x:c r="AJ1076" s="12" t="str">
        <x:f>IF(AC1076="PUBLIC_CANDIDATE","public by default; still not canon","private/hold; do not publish")</x:f>
        <x:v>public by default; still not canon</x:v>
      </x:c>
      <x:c r="AK1076" s="12" t="str">
        <x:f>IF(AE1076="prepare_public_github_candidate","add receipt/status then mirror","resolve blocker before any public GitHub action")</x:f>
        <x:v>add receipt/status then mirror</x:v>
      </x:c>
    </x:row>
    <x:row r="1077">
      <x:c r="A1077" s="15" t="str">
        <x:v>SWARM-08-H06-S08</x:v>
      </x:c>
      <x:c r="B1077" s="15" t="str">
        <x:v>GammaSprite</x:v>
      </x:c>
      <x:c r="C1077" s="15" t="str">
        <x:v>Deck surface mapper</x:v>
      </x:c>
      <x:c r="D1077" s="15" t="str">
        <x:v>Ontology / Schema</x:v>
      </x:c>
      <x:c r="E1077" s="15" t="str">
        <x:v>Sheldonbrain</x:v>
      </x:c>
      <x:c r="F1077" s="15" t="str">
        <x:v>Schema-map Sheldonbrain — GammaSprite</x:v>
      </x:c>
      <x:c r="G1077" s="15" t="str">
        <x:v>Gamma/deck extraction / slide lineage</x:v>
      </x:c>
      <x:c r="H1077" s="15" t="str">
        <x:v>source path + receipt + raw/export status + claim/edge/risk delta</x:v>
      </x:c>
      <x:c r="I1077" s="15" t="str">
        <x:v>packet/SWARM-08-H06-S08</x:v>
      </x:c>
      <x:c r="J1077" s="15" t="str">
        <x:v>TODO</x:v>
      </x:c>
      <x:c r="K1077" s="15" t="str">
        <x:v>P1</x:v>
      </x:c>
      <x:c r="L1077" s="15" t="str">
        <x:v>Done only when evidence is logged, contradiction search is noted, and boundary stamp remains non-canon unless ratified</x:v>
      </x:c>
      <x:c r="M1077" s="15" t="str">
        <x:v>candidate / staging-only / not canon / not deployed / authority none</x:v>
      </x:c>
      <x:c r="N1077" s="15" t="str">
        <x:v>Dispatch to GammaSprite: complete Ontology / Schema x Sheldonbrain; return deltas only, receipts required.</x:v>
      </x:c>
      <x:c r="O1077" s="15" t="str">
        <x:v>AF-KG-H06-S08</x:v>
      </x:c>
      <x:c r="P1077" s="15" t="str">
        <x:v>Unverified</x:v>
      </x:c>
      <x:c r="Q1077" s="15" t="str">
        <x:v>Not checked</x:v>
      </x:c>
      <x:c r="R1077" s="15" t="str"/>
      <x:c r="S1077" s="15" t="str"/>
      <x:c r="T1077" s="15" t="str">
        <x:v>Log first source path or blocker</x:v>
      </x:c>
      <x:c r="U1077" s="12" t="str">
        <x:f>IF(OR(P1077="Unverified",Q1077="Not checked"),"BLOCKED_PENDING_RECEIPT","READY_FOR_REVIEW")</x:f>
        <x:v>BLOCKED_PENDING_RECEIPT</x:v>
      </x:c>
      <x:c r="V1077" s="12" t="str">
        <x:f>IF(J1077="DONE","RETURNED",IF(U1077="BLOCKED_PENDING_RECEIPT","SOURCE_TOUCH_REQUIRED","IN_PROGRESS"))</x:f>
        <x:v>SOURCE_TOUCH_REQUIRED</x:v>
      </x:c>
      <x:c r="W1077" s="12" t="str">
        <x:f>IF(P1077="Unverified","missing_receipt","receipt_logged")</x:f>
        <x:v>missing_receipt</x:v>
      </x:c>
      <x:c r="X1077" s="12" t="str">
        <x:f>IF(Q1077="Not checked","raw_status_missing","raw_status_logged")</x:f>
        <x:v>raw_status_missing</x:v>
      </x:c>
      <x:c r="Y1077" s="12" t="str">
        <x:f>IF(U1077="BLOCKED_PENDING_RECEIPT","Log source path or blocker; do not promote","Route to review lane")</x:f>
        <x:v>Log source path or blocker; do not promote</x:v>
      </x:c>
      <x:c r="Z1077" s="12" t="str">
        <x:f>IF(K1077="P0","Primary seat + Hashlight/Lucerna","Seat lane")</x:f>
        <x:v>Seat lane</x:v>
      </x:c>
      <x:c r="AA1077" s="12" t="str">
        <x:f>IF(R1077="","no_claim_delta","claim_delta_present")</x:f>
        <x:v>no_claim_delta</x:v>
      </x:c>
      <x:c r="AB1077" s="12" t="str">
        <x:f>IF(S1077="","no_contradiction_delta","contradiction_delta_present")</x:f>
        <x:v>no_contradiction_delta</x:v>
      </x:c>
      <x:c r="AC1077" s="12" t="str">
        <x:f>IF(OR(ISNUMBER(SEARCH("hacker",LOWER(F1077&amp;" "&amp;H1077&amp;" "&amp;I1077&amp;" "&amp;M1077&amp;" "&amp;N1077&amp;" "&amp;T1077))),ISNUMBER(SEARCH("hacking",LOWER(F1077&amp;" "&amp;H1077&amp;" "&amp;I1077&amp;" "&amp;M1077&amp;" "&amp;N1077&amp;" "&amp;T1077))),ISNUMBER(SEARCH("bank",LOWER(F1077&amp;" "&amp;H1077&amp;" "&amp;I1077&amp;" "&amp;M1077&amp;" "&amp;N1077&amp;" "&amp;T1077))),ISNUMBER(SEARCH("banking",LOWER(F1077&amp;" "&amp;H1077&amp;" "&amp;I1077&amp;" "&amp;M1077&amp;" "&amp;N1077&amp;" "&amp;T1077)))),"PRIVATE_QUARANTINE",IF(OR(ISNUMBER(SEARCH("treasury",LOWER(F1077&amp;" "&amp;H1077&amp;" "&amp;I1077&amp;" "&amp;M1077&amp;" "&amp;N1077&amp;" "&amp;T1077))),ISNUMBER(SEARCH("debt",LOWER(F1077&amp;" "&amp;H1077&amp;" "&amp;I1077&amp;" "&amp;M1077&amp;" "&amp;N1077&amp;" "&amp;T1077))),ISNUMBER(SEARCH("bond",LOWER(F1077&amp;" "&amp;H1077&amp;" "&amp;I1077&amp;" "&amp;M1077&amp;" "&amp;N1077&amp;" "&amp;T1077))),ISNUMBER(SEARCH("transaction",LOWER(F1077&amp;" "&amp;H1077&amp;" "&amp;I1077&amp;" "&amp;M1077&amp;" "&amp;N1077&amp;" "&amp;T1077)))),"PRIVATE_REVIEW","PUBLIC_CANDIDATE"))</x:f>
        <x:v>PUBLIC_CANDIDATE</x:v>
      </x:c>
      <x:c r="AD1077" s="12" t="str">
        <x:f>IF(AC1077="PRIVATE_QUARANTINE","hacker_or_bank_trigger",IF(AC1077="PRIVATE_REVIEW","finance_risk_trigger","none"))</x:f>
        <x:v>none</x:v>
      </x:c>
      <x:c r="AE1077" s="12" t="str">
        <x:f>IF(AC1077="PUBLIC_CANDIDATE","prepare_public_github_candidate",IF(AC1077="PRIVATE_REVIEW","hold_for_private_review","quarantine_private_do_not_publish"))</x:f>
        <x:v>prepare_public_github_candidate</x:v>
      </x:c>
      <x:c r="AF1077" s="12" t="str">
        <x:f>IF(AC1077="PUBLIC_CANDIDATE","TIDELOCK + Lucerna",IF(AC1077="PRIVATE_REVIEW","AtlasBrain + Lucerna","TIDELOCK + Lucerna + Human-root"))</x:f>
        <x:v>TIDELOCK + Lucerna</x:v>
      </x:c>
      <x:c r="AG1077" s="12" t="str">
        <x:f>IF(AND(AC1077="PUBLIC_CANDIDATE",U1077&lt;&gt;"BLOCKED_PENDING_RECEIPT"),"READY_AFTER_RECEIPT","NOT_READY")</x:f>
        <x:v>NOT_READY</x:v>
      </x:c>
      <x:c r="AH1077" s="12" t="str">
        <x:f>IF(AC1077="PUBLIC_CANDIDATE","none",AD1077)</x:f>
        <x:v>none</x:v>
      </x:c>
      <x:c r="AI1077" s="12" t="str">
        <x:f>IF(AC1077="PUBLIC_CANDIDATE","archive/public_candidates/"&amp;A1077,"private_quarantine/"&amp;A1077)</x:f>
        <x:v>archive/public_candidates/SWARM-08-H06-S08</x:v>
      </x:c>
      <x:c r="AJ1077" s="12" t="str">
        <x:f>IF(AC1077="PUBLIC_CANDIDATE","public by default; still not canon","private/hold; do not publish")</x:f>
        <x:v>public by default; still not canon</x:v>
      </x:c>
      <x:c r="AK1077" s="12" t="str">
        <x:f>IF(AE1077="prepare_public_github_candidate","add receipt/status then mirror","resolve blocker before any public GitHub action")</x:f>
        <x:v>add receipt/status then mirror</x:v>
      </x:c>
    </x:row>
    <x:row r="1078">
      <x:c r="A1078" s="15" t="str">
        <x:v>SWARM-08-H06-S09</x:v>
      </x:c>
      <x:c r="B1078" s="15" t="str">
        <x:v>GammaSprite</x:v>
      </x:c>
      <x:c r="C1078" s="15" t="str">
        <x:v>Deck surface mapper</x:v>
      </x:c>
      <x:c r="D1078" s="15" t="str">
        <x:v>Ontology / Schema</x:v>
      </x:c>
      <x:c r="E1078" s="15" t="str">
        <x:v>Aetherforge</x:v>
      </x:c>
      <x:c r="F1078" s="15" t="str">
        <x:v>Schema-map Aetherforge — GammaSprite</x:v>
      </x:c>
      <x:c r="G1078" s="15" t="str">
        <x:v>Gamma/deck extraction / slide lineage</x:v>
      </x:c>
      <x:c r="H1078" s="15" t="str">
        <x:v>source path + receipt + raw/export status + claim/edge/risk delta</x:v>
      </x:c>
      <x:c r="I1078" s="15" t="str">
        <x:v>packet/SWARM-08-H06-S09</x:v>
      </x:c>
      <x:c r="J1078" s="15" t="str">
        <x:v>TODO</x:v>
      </x:c>
      <x:c r="K1078" s="15" t="str">
        <x:v>P2</x:v>
      </x:c>
      <x:c r="L1078" s="15" t="str">
        <x:v>Done only when evidence is logged, contradiction search is noted, and boundary stamp remains non-canon unless ratified</x:v>
      </x:c>
      <x:c r="M1078" s="15" t="str">
        <x:v>candidate / staging-only / not canon / not deployed / authority none</x:v>
      </x:c>
      <x:c r="N1078" s="15" t="str">
        <x:v>Dispatch to GammaSprite: complete Ontology / Schema x Aetherforge; return deltas only, receipts required.</x:v>
      </x:c>
      <x:c r="O1078" s="15" t="str">
        <x:v>AF-KG-H06-S09</x:v>
      </x:c>
      <x:c r="P1078" s="15" t="str">
        <x:v>Unverified</x:v>
      </x:c>
      <x:c r="Q1078" s="15" t="str">
        <x:v>Not checked</x:v>
      </x:c>
      <x:c r="R1078" s="15" t="str"/>
      <x:c r="S1078" s="15" t="str"/>
      <x:c r="T1078" s="15" t="str">
        <x:v>Log first source path or blocker</x:v>
      </x:c>
      <x:c r="U1078" s="12" t="str">
        <x:f>IF(OR(P1078="Unverified",Q1078="Not checked"),"BLOCKED_PENDING_RECEIPT","READY_FOR_REVIEW")</x:f>
        <x:v>BLOCKED_PENDING_RECEIPT</x:v>
      </x:c>
      <x:c r="V1078" s="12" t="str">
        <x:f>IF(J1078="DONE","RETURNED",IF(U1078="BLOCKED_PENDING_RECEIPT","SOURCE_TOUCH_REQUIRED","IN_PROGRESS"))</x:f>
        <x:v>SOURCE_TOUCH_REQUIRED</x:v>
      </x:c>
      <x:c r="W1078" s="12" t="str">
        <x:f>IF(P1078="Unverified","missing_receipt","receipt_logged")</x:f>
        <x:v>missing_receipt</x:v>
      </x:c>
      <x:c r="X1078" s="12" t="str">
        <x:f>IF(Q1078="Not checked","raw_status_missing","raw_status_logged")</x:f>
        <x:v>raw_status_missing</x:v>
      </x:c>
      <x:c r="Y1078" s="12" t="str">
        <x:f>IF(U1078="BLOCKED_PENDING_RECEIPT","Log source path or blocker; do not promote","Route to review lane")</x:f>
        <x:v>Log source path or blocker; do not promote</x:v>
      </x:c>
      <x:c r="Z1078" s="12" t="str">
        <x:f>IF(K1078="P0","Primary seat + Hashlight/Lucerna","Seat lane")</x:f>
        <x:v>Seat lane</x:v>
      </x:c>
      <x:c r="AA1078" s="12" t="str">
        <x:f>IF(R1078="","no_claim_delta","claim_delta_present")</x:f>
        <x:v>no_claim_delta</x:v>
      </x:c>
      <x:c r="AB1078" s="12" t="str">
        <x:f>IF(S1078="","no_contradiction_delta","contradiction_delta_present")</x:f>
        <x:v>no_contradiction_delta</x:v>
      </x:c>
      <x:c r="AC1078" s="12" t="str">
        <x:f>IF(OR(ISNUMBER(SEARCH("hacker",LOWER(F1078&amp;" "&amp;H1078&amp;" "&amp;I1078&amp;" "&amp;M1078&amp;" "&amp;N1078&amp;" "&amp;T1078))),ISNUMBER(SEARCH("hacking",LOWER(F1078&amp;" "&amp;H1078&amp;" "&amp;I1078&amp;" "&amp;M1078&amp;" "&amp;N1078&amp;" "&amp;T1078))),ISNUMBER(SEARCH("bank",LOWER(F1078&amp;" "&amp;H1078&amp;" "&amp;I1078&amp;" "&amp;M1078&amp;" "&amp;N1078&amp;" "&amp;T1078))),ISNUMBER(SEARCH("banking",LOWER(F1078&amp;" "&amp;H1078&amp;" "&amp;I1078&amp;" "&amp;M1078&amp;" "&amp;N1078&amp;" "&amp;T1078)))),"PRIVATE_QUARANTINE",IF(OR(ISNUMBER(SEARCH("treasury",LOWER(F1078&amp;" "&amp;H1078&amp;" "&amp;I1078&amp;" "&amp;M1078&amp;" "&amp;N1078&amp;" "&amp;T1078))),ISNUMBER(SEARCH("debt",LOWER(F1078&amp;" "&amp;H1078&amp;" "&amp;I1078&amp;" "&amp;M1078&amp;" "&amp;N1078&amp;" "&amp;T1078))),ISNUMBER(SEARCH("bond",LOWER(F1078&amp;" "&amp;H1078&amp;" "&amp;I1078&amp;" "&amp;M1078&amp;" "&amp;N1078&amp;" "&amp;T1078))),ISNUMBER(SEARCH("transaction",LOWER(F1078&amp;" "&amp;H1078&amp;" "&amp;I1078&amp;" "&amp;M1078&amp;" "&amp;N1078&amp;" "&amp;T1078)))),"PRIVATE_REVIEW","PUBLIC_CANDIDATE"))</x:f>
        <x:v>PUBLIC_CANDIDATE</x:v>
      </x:c>
      <x:c r="AD1078" s="12" t="str">
        <x:f>IF(AC1078="PRIVATE_QUARANTINE","hacker_or_bank_trigger",IF(AC1078="PRIVATE_REVIEW","finance_risk_trigger","none"))</x:f>
        <x:v>none</x:v>
      </x:c>
      <x:c r="AE1078" s="12" t="str">
        <x:f>IF(AC1078="PUBLIC_CANDIDATE","prepare_public_github_candidate",IF(AC1078="PRIVATE_REVIEW","hold_for_private_review","quarantine_private_do_not_publish"))</x:f>
        <x:v>prepare_public_github_candidate</x:v>
      </x:c>
      <x:c r="AF1078" s="12" t="str">
        <x:f>IF(AC1078="PUBLIC_CANDIDATE","TIDELOCK + Lucerna",IF(AC1078="PRIVATE_REVIEW","AtlasBrain + Lucerna","TIDELOCK + Lucerna + Human-root"))</x:f>
        <x:v>TIDELOCK + Lucerna</x:v>
      </x:c>
      <x:c r="AG1078" s="12" t="str">
        <x:f>IF(AND(AC1078="PUBLIC_CANDIDATE",U1078&lt;&gt;"BLOCKED_PENDING_RECEIPT"),"READY_AFTER_RECEIPT","NOT_READY")</x:f>
        <x:v>NOT_READY</x:v>
      </x:c>
      <x:c r="AH1078" s="12" t="str">
        <x:f>IF(AC1078="PUBLIC_CANDIDATE","none",AD1078)</x:f>
        <x:v>none</x:v>
      </x:c>
      <x:c r="AI1078" s="12" t="str">
        <x:f>IF(AC1078="PUBLIC_CANDIDATE","archive/public_candidates/"&amp;A1078,"private_quarantine/"&amp;A1078)</x:f>
        <x:v>archive/public_candidates/SWARM-08-H06-S09</x:v>
      </x:c>
      <x:c r="AJ1078" s="12" t="str">
        <x:f>IF(AC1078="PUBLIC_CANDIDATE","public by default; still not canon","private/hold; do not publish")</x:f>
        <x:v>public by default; still not canon</x:v>
      </x:c>
      <x:c r="AK1078" s="12" t="str">
        <x:f>IF(AE1078="prepare_public_github_candidate","add receipt/status then mirror","resolve blocker before any public GitHub action")</x:f>
        <x:v>add receipt/status then mirror</x:v>
      </x:c>
    </x:row>
    <x:row r="1079">
      <x:c r="A1079" s="15" t="str">
        <x:v>SWARM-08-H06-S10</x:v>
      </x:c>
      <x:c r="B1079" s="15" t="str">
        <x:v>GammaSprite</x:v>
      </x:c>
      <x:c r="C1079" s="15" t="str">
        <x:v>Deck surface mapper</x:v>
      </x:c>
      <x:c r="D1079" s="15" t="str">
        <x:v>Ontology / Schema</x:v>
      </x:c>
      <x:c r="E1079" s="15" t="str">
        <x:v>Human-Root</x:v>
      </x:c>
      <x:c r="F1079" s="15" t="str">
        <x:v>Schema-map Human-Root — GammaSprite</x:v>
      </x:c>
      <x:c r="G1079" s="15" t="str">
        <x:v>Gamma/deck extraction / slide lineage</x:v>
      </x:c>
      <x:c r="H1079" s="15" t="str">
        <x:v>source path + receipt + raw/export status + claim/edge/risk delta</x:v>
      </x:c>
      <x:c r="I1079" s="15" t="str">
        <x:v>packet/SWARM-08-H06-S10</x:v>
      </x:c>
      <x:c r="J1079" s="15" t="str">
        <x:v>TODO</x:v>
      </x:c>
      <x:c r="K1079" s="15" t="str">
        <x:v>P2</x:v>
      </x:c>
      <x:c r="L1079" s="15" t="str">
        <x:v>Done only when evidence is logged, contradiction search is noted, and boundary stamp remains non-canon unless ratified</x:v>
      </x:c>
      <x:c r="M1079" s="15" t="str">
        <x:v>candidate / staging-only / not canon / not deployed / authority none</x:v>
      </x:c>
      <x:c r="N1079" s="15" t="str">
        <x:v>Dispatch to GammaSprite: complete Ontology / Schema x Human-Root; return deltas only, receipts required.</x:v>
      </x:c>
      <x:c r="O1079" s="15" t="str">
        <x:v>AF-KG-H06-S10</x:v>
      </x:c>
      <x:c r="P1079" s="15" t="str">
        <x:v>Unverified</x:v>
      </x:c>
      <x:c r="Q1079" s="15" t="str">
        <x:v>Not checked</x:v>
      </x:c>
      <x:c r="R1079" s="15" t="str"/>
      <x:c r="S1079" s="15" t="str"/>
      <x:c r="T1079" s="15" t="str">
        <x:v>Log first source path or blocker</x:v>
      </x:c>
      <x:c r="U1079" s="12" t="str">
        <x:f>IF(OR(P1079="Unverified",Q1079="Not checked"),"BLOCKED_PENDING_RECEIPT","READY_FOR_REVIEW")</x:f>
        <x:v>BLOCKED_PENDING_RECEIPT</x:v>
      </x:c>
      <x:c r="V1079" s="12" t="str">
        <x:f>IF(J1079="DONE","RETURNED",IF(U1079="BLOCKED_PENDING_RECEIPT","SOURCE_TOUCH_REQUIRED","IN_PROGRESS"))</x:f>
        <x:v>SOURCE_TOUCH_REQUIRED</x:v>
      </x:c>
      <x:c r="W1079" s="12" t="str">
        <x:f>IF(P1079="Unverified","missing_receipt","receipt_logged")</x:f>
        <x:v>missing_receipt</x:v>
      </x:c>
      <x:c r="X1079" s="12" t="str">
        <x:f>IF(Q1079="Not checked","raw_status_missing","raw_status_logged")</x:f>
        <x:v>raw_status_missing</x:v>
      </x:c>
      <x:c r="Y1079" s="12" t="str">
        <x:f>IF(U1079="BLOCKED_PENDING_RECEIPT","Log source path or blocker; do not promote","Route to review lane")</x:f>
        <x:v>Log source path or blocker; do not promote</x:v>
      </x:c>
      <x:c r="Z1079" s="12" t="str">
        <x:f>IF(K1079="P0","Primary seat + Hashlight/Lucerna","Seat lane")</x:f>
        <x:v>Seat lane</x:v>
      </x:c>
      <x:c r="AA1079" s="12" t="str">
        <x:f>IF(R1079="","no_claim_delta","claim_delta_present")</x:f>
        <x:v>no_claim_delta</x:v>
      </x:c>
      <x:c r="AB1079" s="12" t="str">
        <x:f>IF(S1079="","no_contradiction_delta","contradiction_delta_present")</x:f>
        <x:v>no_contradiction_delta</x:v>
      </x:c>
      <x:c r="AC1079" s="12" t="str">
        <x:f>IF(OR(ISNUMBER(SEARCH("hacker",LOWER(F1079&amp;" "&amp;H1079&amp;" "&amp;I1079&amp;" "&amp;M1079&amp;" "&amp;N1079&amp;" "&amp;T1079))),ISNUMBER(SEARCH("hacking",LOWER(F1079&amp;" "&amp;H1079&amp;" "&amp;I1079&amp;" "&amp;M1079&amp;" "&amp;N1079&amp;" "&amp;T1079))),ISNUMBER(SEARCH("bank",LOWER(F1079&amp;" "&amp;H1079&amp;" "&amp;I1079&amp;" "&amp;M1079&amp;" "&amp;N1079&amp;" "&amp;T1079))),ISNUMBER(SEARCH("banking",LOWER(F1079&amp;" "&amp;H1079&amp;" "&amp;I1079&amp;" "&amp;M1079&amp;" "&amp;N1079&amp;" "&amp;T1079)))),"PRIVATE_QUARANTINE",IF(OR(ISNUMBER(SEARCH("treasury",LOWER(F1079&amp;" "&amp;H1079&amp;" "&amp;I1079&amp;" "&amp;M1079&amp;" "&amp;N1079&amp;" "&amp;T1079))),ISNUMBER(SEARCH("debt",LOWER(F1079&amp;" "&amp;H1079&amp;" "&amp;I1079&amp;" "&amp;M1079&amp;" "&amp;N1079&amp;" "&amp;T1079))),ISNUMBER(SEARCH("bond",LOWER(F1079&amp;" "&amp;H1079&amp;" "&amp;I1079&amp;" "&amp;M1079&amp;" "&amp;N1079&amp;" "&amp;T1079))),ISNUMBER(SEARCH("transaction",LOWER(F1079&amp;" "&amp;H1079&amp;" "&amp;I1079&amp;" "&amp;M1079&amp;" "&amp;N1079&amp;" "&amp;T1079)))),"PRIVATE_REVIEW","PUBLIC_CANDIDATE"))</x:f>
        <x:v>PUBLIC_CANDIDATE</x:v>
      </x:c>
      <x:c r="AD1079" s="12" t="str">
        <x:f>IF(AC1079="PRIVATE_QUARANTINE","hacker_or_bank_trigger",IF(AC1079="PRIVATE_REVIEW","finance_risk_trigger","none"))</x:f>
        <x:v>none</x:v>
      </x:c>
      <x:c r="AE1079" s="12" t="str">
        <x:f>IF(AC1079="PUBLIC_CANDIDATE","prepare_public_github_candidate",IF(AC1079="PRIVATE_REVIEW","hold_for_private_review","quarantine_private_do_not_publish"))</x:f>
        <x:v>prepare_public_github_candidate</x:v>
      </x:c>
      <x:c r="AF1079" s="12" t="str">
        <x:f>IF(AC1079="PUBLIC_CANDIDATE","TIDELOCK + Lucerna",IF(AC1079="PRIVATE_REVIEW","AtlasBrain + Lucerna","TIDELOCK + Lucerna + Human-root"))</x:f>
        <x:v>TIDELOCK + Lucerna</x:v>
      </x:c>
      <x:c r="AG1079" s="12" t="str">
        <x:f>IF(AND(AC1079="PUBLIC_CANDIDATE",U1079&lt;&gt;"BLOCKED_PENDING_RECEIPT"),"READY_AFTER_RECEIPT","NOT_READY")</x:f>
        <x:v>NOT_READY</x:v>
      </x:c>
      <x:c r="AH1079" s="12" t="str">
        <x:f>IF(AC1079="PUBLIC_CANDIDATE","none",AD1079)</x:f>
        <x:v>none</x:v>
      </x:c>
      <x:c r="AI1079" s="12" t="str">
        <x:f>IF(AC1079="PUBLIC_CANDIDATE","archive/public_candidates/"&amp;A1079,"private_quarantine/"&amp;A1079)</x:f>
        <x:v>archive/public_candidates/SWARM-08-H06-S10</x:v>
      </x:c>
      <x:c r="AJ1079" s="12" t="str">
        <x:f>IF(AC1079="PUBLIC_CANDIDATE","public by default; still not canon","private/hold; do not publish")</x:f>
        <x:v>public by default; still not canon</x:v>
      </x:c>
      <x:c r="AK1079" s="12" t="str">
        <x:f>IF(AE1079="prepare_public_github_candidate","add receipt/status then mirror","resolve blocker before any public GitHub action")</x:f>
        <x:v>add receipt/status then mirror</x:v>
      </x:c>
    </x:row>
    <x:row r="1080">
      <x:c r="A1080" s="15" t="str">
        <x:v>SWARM-08-H06-S11</x:v>
      </x:c>
      <x:c r="B1080" s="15" t="str">
        <x:v>GammaSprite</x:v>
      </x:c>
      <x:c r="C1080" s="15" t="str">
        <x:v>Deck surface mapper</x:v>
      </x:c>
      <x:c r="D1080" s="15" t="str">
        <x:v>Ontology / Schema</x:v>
      </x:c>
      <x:c r="E1080" s="15" t="str">
        <x:v>Automation</x:v>
      </x:c>
      <x:c r="F1080" s="15" t="str">
        <x:v>Schema-map Automation — GammaSprite</x:v>
      </x:c>
      <x:c r="G1080" s="15" t="str">
        <x:v>Gamma/deck extraction / slide lineage</x:v>
      </x:c>
      <x:c r="H1080" s="15" t="str">
        <x:v>source path + receipt + raw/export status + claim/edge/risk delta</x:v>
      </x:c>
      <x:c r="I1080" s="15" t="str">
        <x:v>packet/SWARM-08-H06-S11</x:v>
      </x:c>
      <x:c r="J1080" s="15" t="str">
        <x:v>TODO</x:v>
      </x:c>
      <x:c r="K1080" s="15" t="str">
        <x:v>P2</x:v>
      </x:c>
      <x:c r="L1080" s="15" t="str">
        <x:v>Done only when evidence is logged, contradiction search is noted, and boundary stamp remains non-canon unless ratified</x:v>
      </x:c>
      <x:c r="M1080" s="15" t="str">
        <x:v>candidate / staging-only / not canon / not deployed / authority none</x:v>
      </x:c>
      <x:c r="N1080" s="15" t="str">
        <x:v>Dispatch to GammaSprite: complete Ontology / Schema x Automation; return deltas only, receipts required.</x:v>
      </x:c>
      <x:c r="O1080" s="15" t="str">
        <x:v>AF-KG-H06-S11</x:v>
      </x:c>
      <x:c r="P1080" s="15" t="str">
        <x:v>Unverified</x:v>
      </x:c>
      <x:c r="Q1080" s="15" t="str">
        <x:v>Not checked</x:v>
      </x:c>
      <x:c r="R1080" s="15" t="str"/>
      <x:c r="S1080" s="15" t="str"/>
      <x:c r="T1080" s="15" t="str">
        <x:v>Log first source path or blocker</x:v>
      </x:c>
      <x:c r="U1080" s="12" t="str">
        <x:f>IF(OR(P1080="Unverified",Q1080="Not checked"),"BLOCKED_PENDING_RECEIPT","READY_FOR_REVIEW")</x:f>
        <x:v>BLOCKED_PENDING_RECEIPT</x:v>
      </x:c>
      <x:c r="V1080" s="12" t="str">
        <x:f>IF(J1080="DONE","RETURNED",IF(U1080="BLOCKED_PENDING_RECEIPT","SOURCE_TOUCH_REQUIRED","IN_PROGRESS"))</x:f>
        <x:v>SOURCE_TOUCH_REQUIRED</x:v>
      </x:c>
      <x:c r="W1080" s="12" t="str">
        <x:f>IF(P1080="Unverified","missing_receipt","receipt_logged")</x:f>
        <x:v>missing_receipt</x:v>
      </x:c>
      <x:c r="X1080" s="12" t="str">
        <x:f>IF(Q1080="Not checked","raw_status_missing","raw_status_logged")</x:f>
        <x:v>raw_status_missing</x:v>
      </x:c>
      <x:c r="Y1080" s="12" t="str">
        <x:f>IF(U1080="BLOCKED_PENDING_RECEIPT","Log source path or blocker; do not promote","Route to review lane")</x:f>
        <x:v>Log source path or blocker; do not promote</x:v>
      </x:c>
      <x:c r="Z1080" s="12" t="str">
        <x:f>IF(K1080="P0","Primary seat + Hashlight/Lucerna","Seat lane")</x:f>
        <x:v>Seat lane</x:v>
      </x:c>
      <x:c r="AA1080" s="12" t="str">
        <x:f>IF(R1080="","no_claim_delta","claim_delta_present")</x:f>
        <x:v>no_claim_delta</x:v>
      </x:c>
      <x:c r="AB1080" s="12" t="str">
        <x:f>IF(S1080="","no_contradiction_delta","contradiction_delta_present")</x:f>
        <x:v>no_contradiction_delta</x:v>
      </x:c>
      <x:c r="AC1080" s="12" t="str">
        <x:f>IF(OR(ISNUMBER(SEARCH("hacker",LOWER(F1080&amp;" "&amp;H1080&amp;" "&amp;I1080&amp;" "&amp;M1080&amp;" "&amp;N1080&amp;" "&amp;T1080))),ISNUMBER(SEARCH("hacking",LOWER(F1080&amp;" "&amp;H1080&amp;" "&amp;I1080&amp;" "&amp;M1080&amp;" "&amp;N1080&amp;" "&amp;T1080))),ISNUMBER(SEARCH("bank",LOWER(F1080&amp;" "&amp;H1080&amp;" "&amp;I1080&amp;" "&amp;M1080&amp;" "&amp;N1080&amp;" "&amp;T1080))),ISNUMBER(SEARCH("banking",LOWER(F1080&amp;" "&amp;H1080&amp;" "&amp;I1080&amp;" "&amp;M1080&amp;" "&amp;N1080&amp;" "&amp;T1080)))),"PRIVATE_QUARANTINE",IF(OR(ISNUMBER(SEARCH("treasury",LOWER(F1080&amp;" "&amp;H1080&amp;" "&amp;I1080&amp;" "&amp;M1080&amp;" "&amp;N1080&amp;" "&amp;T1080))),ISNUMBER(SEARCH("debt",LOWER(F1080&amp;" "&amp;H1080&amp;" "&amp;I1080&amp;" "&amp;M1080&amp;" "&amp;N1080&amp;" "&amp;T1080))),ISNUMBER(SEARCH("bond",LOWER(F1080&amp;" "&amp;H1080&amp;" "&amp;I1080&amp;" "&amp;M1080&amp;" "&amp;N1080&amp;" "&amp;T1080))),ISNUMBER(SEARCH("transaction",LOWER(F1080&amp;" "&amp;H1080&amp;" "&amp;I1080&amp;" "&amp;M1080&amp;" "&amp;N1080&amp;" "&amp;T1080)))),"PRIVATE_REVIEW","PUBLIC_CANDIDATE"))</x:f>
        <x:v>PUBLIC_CANDIDATE</x:v>
      </x:c>
      <x:c r="AD1080" s="12" t="str">
        <x:f>IF(AC1080="PRIVATE_QUARANTINE","hacker_or_bank_trigger",IF(AC1080="PRIVATE_REVIEW","finance_risk_trigger","none"))</x:f>
        <x:v>none</x:v>
      </x:c>
      <x:c r="AE1080" s="12" t="str">
        <x:f>IF(AC1080="PUBLIC_CANDIDATE","prepare_public_github_candidate",IF(AC1080="PRIVATE_REVIEW","hold_for_private_review","quarantine_private_do_not_publish"))</x:f>
        <x:v>prepare_public_github_candidate</x:v>
      </x:c>
      <x:c r="AF1080" s="12" t="str">
        <x:f>IF(AC1080="PUBLIC_CANDIDATE","TIDELOCK + Lucerna",IF(AC1080="PRIVATE_REVIEW","AtlasBrain + Lucerna","TIDELOCK + Lucerna + Human-root"))</x:f>
        <x:v>TIDELOCK + Lucerna</x:v>
      </x:c>
      <x:c r="AG1080" s="12" t="str">
        <x:f>IF(AND(AC1080="PUBLIC_CANDIDATE",U1080&lt;&gt;"BLOCKED_PENDING_RECEIPT"),"READY_AFTER_RECEIPT","NOT_READY")</x:f>
        <x:v>NOT_READY</x:v>
      </x:c>
      <x:c r="AH1080" s="12" t="str">
        <x:f>IF(AC1080="PUBLIC_CANDIDATE","none",AD1080)</x:f>
        <x:v>none</x:v>
      </x:c>
      <x:c r="AI1080" s="12" t="str">
        <x:f>IF(AC1080="PUBLIC_CANDIDATE","archive/public_candidates/"&amp;A1080,"private_quarantine/"&amp;A1080)</x:f>
        <x:v>archive/public_candidates/SWARM-08-H06-S11</x:v>
      </x:c>
      <x:c r="AJ1080" s="12" t="str">
        <x:f>IF(AC1080="PUBLIC_CANDIDATE","public by default; still not canon","private/hold; do not publish")</x:f>
        <x:v>public by default; still not canon</x:v>
      </x:c>
      <x:c r="AK1080" s="12" t="str">
        <x:f>IF(AE1080="prepare_public_github_candidate","add receipt/status then mirror","resolve blocker before any public GitHub action")</x:f>
        <x:v>add receipt/status then mirror</x:v>
      </x:c>
    </x:row>
    <x:row r="1081">
      <x:c r="A1081" s="15" t="str">
        <x:v>SWARM-08-H06-S12</x:v>
      </x:c>
      <x:c r="B1081" s="15" t="str">
        <x:v>GammaSprite</x:v>
      </x:c>
      <x:c r="C1081" s="15" t="str">
        <x:v>Deck surface mapper</x:v>
      </x:c>
      <x:c r="D1081" s="15" t="str">
        <x:v>Ontology / Schema</x:v>
      </x:c>
      <x:c r="E1081" s="15" t="str">
        <x:v>Risk / Safety</x:v>
      </x:c>
      <x:c r="F1081" s="15" t="str">
        <x:v>Schema-map Risk / Safety — GammaSprite</x:v>
      </x:c>
      <x:c r="G1081" s="15" t="str">
        <x:v>Gamma/deck extraction / slide lineage</x:v>
      </x:c>
      <x:c r="H1081" s="15" t="str">
        <x:v>source path + receipt + raw/export status + claim/edge/risk delta</x:v>
      </x:c>
      <x:c r="I1081" s="15" t="str">
        <x:v>packet/SWARM-08-H06-S12</x:v>
      </x:c>
      <x:c r="J1081" s="15" t="str">
        <x:v>TODO</x:v>
      </x:c>
      <x:c r="K1081" s="15" t="str">
        <x:v>P2</x:v>
      </x:c>
      <x:c r="L1081" s="15" t="str">
        <x:v>Done only when evidence is logged, contradiction search is noted, and boundary stamp remains non-canon unless ratified</x:v>
      </x:c>
      <x:c r="M1081" s="15" t="str">
        <x:v>candidate / staging-only / not canon / not deployed / authority none</x:v>
      </x:c>
      <x:c r="N1081" s="15" t="str">
        <x:v>Dispatch to GammaSprite: complete Ontology / Schema x Risk / Safety; return deltas only, receipts required.</x:v>
      </x:c>
      <x:c r="O1081" s="15" t="str">
        <x:v>AF-KG-H06-S12</x:v>
      </x:c>
      <x:c r="P1081" s="15" t="str">
        <x:v>Unverified</x:v>
      </x:c>
      <x:c r="Q1081" s="15" t="str">
        <x:v>Not checked</x:v>
      </x:c>
      <x:c r="R1081" s="15" t="str"/>
      <x:c r="S1081" s="15" t="str"/>
      <x:c r="T1081" s="15" t="str">
        <x:v>Log first source path or blocker</x:v>
      </x:c>
      <x:c r="U1081" s="12" t="str">
        <x:f>IF(OR(P1081="Unverified",Q1081="Not checked"),"BLOCKED_PENDING_RECEIPT","READY_FOR_REVIEW")</x:f>
        <x:v>BLOCKED_PENDING_RECEIPT</x:v>
      </x:c>
      <x:c r="V1081" s="12" t="str">
        <x:f>IF(J1081="DONE","RETURNED",IF(U1081="BLOCKED_PENDING_RECEIPT","SOURCE_TOUCH_REQUIRED","IN_PROGRESS"))</x:f>
        <x:v>SOURCE_TOUCH_REQUIRED</x:v>
      </x:c>
      <x:c r="W1081" s="12" t="str">
        <x:f>IF(P1081="Unverified","missing_receipt","receipt_logged")</x:f>
        <x:v>missing_receipt</x:v>
      </x:c>
      <x:c r="X1081" s="12" t="str">
        <x:f>IF(Q1081="Not checked","raw_status_missing","raw_status_logged")</x:f>
        <x:v>raw_status_missing</x:v>
      </x:c>
      <x:c r="Y1081" s="12" t="str">
        <x:f>IF(U1081="BLOCKED_PENDING_RECEIPT","Log source path or blocker; do not promote","Route to review lane")</x:f>
        <x:v>Log source path or blocker; do not promote</x:v>
      </x:c>
      <x:c r="Z1081" s="12" t="str">
        <x:f>IF(K1081="P0","Primary seat + Hashlight/Lucerna","Seat lane")</x:f>
        <x:v>Seat lane</x:v>
      </x:c>
      <x:c r="AA1081" s="12" t="str">
        <x:f>IF(R1081="","no_claim_delta","claim_delta_present")</x:f>
        <x:v>no_claim_delta</x:v>
      </x:c>
      <x:c r="AB1081" s="12" t="str">
        <x:f>IF(S1081="","no_contradiction_delta","contradiction_delta_present")</x:f>
        <x:v>no_contradiction_delta</x:v>
      </x:c>
      <x:c r="AC1081" s="12" t="str">
        <x:f>IF(OR(ISNUMBER(SEARCH("hacker",LOWER(F1081&amp;" "&amp;H1081&amp;" "&amp;I1081&amp;" "&amp;M1081&amp;" "&amp;N1081&amp;" "&amp;T1081))),ISNUMBER(SEARCH("hacking",LOWER(F1081&amp;" "&amp;H1081&amp;" "&amp;I1081&amp;" "&amp;M1081&amp;" "&amp;N1081&amp;" "&amp;T1081))),ISNUMBER(SEARCH("bank",LOWER(F1081&amp;" "&amp;H1081&amp;" "&amp;I1081&amp;" "&amp;M1081&amp;" "&amp;N1081&amp;" "&amp;T1081))),ISNUMBER(SEARCH("banking",LOWER(F1081&amp;" "&amp;H1081&amp;" "&amp;I1081&amp;" "&amp;M1081&amp;" "&amp;N1081&amp;" "&amp;T1081)))),"PRIVATE_QUARANTINE",IF(OR(ISNUMBER(SEARCH("treasury",LOWER(F1081&amp;" "&amp;H1081&amp;" "&amp;I1081&amp;" "&amp;M1081&amp;" "&amp;N1081&amp;" "&amp;T1081))),ISNUMBER(SEARCH("debt",LOWER(F1081&amp;" "&amp;H1081&amp;" "&amp;I1081&amp;" "&amp;M1081&amp;" "&amp;N1081&amp;" "&amp;T1081))),ISNUMBER(SEARCH("bond",LOWER(F1081&amp;" "&amp;H1081&amp;" "&amp;I1081&amp;" "&amp;M1081&amp;" "&amp;N1081&amp;" "&amp;T1081))),ISNUMBER(SEARCH("transaction",LOWER(F1081&amp;" "&amp;H1081&amp;" "&amp;I1081&amp;" "&amp;M1081&amp;" "&amp;N1081&amp;" "&amp;T1081)))),"PRIVATE_REVIEW","PUBLIC_CANDIDATE"))</x:f>
        <x:v>PUBLIC_CANDIDATE</x:v>
      </x:c>
      <x:c r="AD1081" s="12" t="str">
        <x:f>IF(AC1081="PRIVATE_QUARANTINE","hacker_or_bank_trigger",IF(AC1081="PRIVATE_REVIEW","finance_risk_trigger","none"))</x:f>
        <x:v>none</x:v>
      </x:c>
      <x:c r="AE1081" s="12" t="str">
        <x:f>IF(AC1081="PUBLIC_CANDIDATE","prepare_public_github_candidate",IF(AC1081="PRIVATE_REVIEW","hold_for_private_review","quarantine_private_do_not_publish"))</x:f>
        <x:v>prepare_public_github_candidate</x:v>
      </x:c>
      <x:c r="AF1081" s="12" t="str">
        <x:f>IF(AC1081="PUBLIC_CANDIDATE","TIDELOCK + Lucerna",IF(AC1081="PRIVATE_REVIEW","AtlasBrain + Lucerna","TIDELOCK + Lucerna + Human-root"))</x:f>
        <x:v>TIDELOCK + Lucerna</x:v>
      </x:c>
      <x:c r="AG1081" s="12" t="str">
        <x:f>IF(AND(AC1081="PUBLIC_CANDIDATE",U1081&lt;&gt;"BLOCKED_PENDING_RECEIPT"),"READY_AFTER_RECEIPT","NOT_READY")</x:f>
        <x:v>NOT_READY</x:v>
      </x:c>
      <x:c r="AH1081" s="12" t="str">
        <x:f>IF(AC1081="PUBLIC_CANDIDATE","none",AD1081)</x:f>
        <x:v>none</x:v>
      </x:c>
      <x:c r="AI1081" s="12" t="str">
        <x:f>IF(AC1081="PUBLIC_CANDIDATE","archive/public_candidates/"&amp;A1081,"private_quarantine/"&amp;A1081)</x:f>
        <x:v>archive/public_candidates/SWARM-08-H06-S12</x:v>
      </x:c>
      <x:c r="AJ1081" s="12" t="str">
        <x:f>IF(AC1081="PUBLIC_CANDIDATE","public by default; still not canon","private/hold; do not publish")</x:f>
        <x:v>public by default; still not canon</x:v>
      </x:c>
      <x:c r="AK1081" s="12" t="str">
        <x:f>IF(AE1081="prepare_public_github_candidate","add receipt/status then mirror","resolve blocker before any public GitHub action")</x:f>
        <x:v>add receipt/status then mirror</x:v>
      </x:c>
    </x:row>
    <x:row r="1082">
      <x:c r="A1082" s="15" t="str">
        <x:v>SWARM-08-H07-S01</x:v>
      </x:c>
      <x:c r="B1082" s="15" t="str">
        <x:v>GammaSprite</x:v>
      </x:c>
      <x:c r="C1082" s="15" t="str">
        <x:v>Deck surface mapper</x:v>
      </x:c>
      <x:c r="D1082" s="15" t="str">
        <x:v>Graph Node Proposals</x:v>
      </x:c>
      <x:c r="E1082" s="15" t="str">
        <x:v>Notion</x:v>
      </x:c>
      <x:c r="F1082" s="15" t="str">
        <x:v>Propose graph nodes for Notion — GammaSprite</x:v>
      </x:c>
      <x:c r="G1082" s="15" t="str">
        <x:v>Gamma/deck extraction / slide lineage</x:v>
      </x:c>
      <x:c r="H1082" s="15" t="str">
        <x:v>source path + receipt + raw/export status + claim/edge/risk delta</x:v>
      </x:c>
      <x:c r="I1082" s="15" t="str">
        <x:v>packet/SWARM-08-H07-S01</x:v>
      </x:c>
      <x:c r="J1082" s="15" t="str">
        <x:v>TODO</x:v>
      </x:c>
      <x:c r="K1082" s="15" t="str">
        <x:v>P0</x:v>
      </x:c>
      <x:c r="L1082" s="15" t="str">
        <x:v>Done only when evidence is logged, contradiction search is noted, and boundary stamp remains non-canon unless ratified</x:v>
      </x:c>
      <x:c r="M1082" s="15" t="str">
        <x:v>candidate / staging-only / not canon / not deployed / authority none</x:v>
      </x:c>
      <x:c r="N1082" s="15" t="str">
        <x:v>Dispatch to GammaSprite: complete Graph Node Proposals x Notion; return deltas only, receipts required.</x:v>
      </x:c>
      <x:c r="O1082" s="15" t="str">
        <x:v>AF-KG-H07-S01</x:v>
      </x:c>
      <x:c r="P1082" s="15" t="str">
        <x:v>Unverified</x:v>
      </x:c>
      <x:c r="Q1082" s="15" t="str">
        <x:v>Not checked</x:v>
      </x:c>
      <x:c r="R1082" s="15" t="str"/>
      <x:c r="S1082" s="15" t="str"/>
      <x:c r="T1082" s="15" t="str">
        <x:v>Log first source path or blocker</x:v>
      </x:c>
      <x:c r="U1082" s="12" t="str">
        <x:f>IF(OR(P1082="Unverified",Q1082="Not checked"),"BLOCKED_PENDING_RECEIPT","READY_FOR_REVIEW")</x:f>
        <x:v>BLOCKED_PENDING_RECEIPT</x:v>
      </x:c>
      <x:c r="V1082" s="12" t="str">
        <x:f>IF(J1082="DONE","RETURNED",IF(U1082="BLOCKED_PENDING_RECEIPT","SOURCE_TOUCH_REQUIRED","IN_PROGRESS"))</x:f>
        <x:v>SOURCE_TOUCH_REQUIRED</x:v>
      </x:c>
      <x:c r="W1082" s="12" t="str">
        <x:f>IF(P1082="Unverified","missing_receipt","receipt_logged")</x:f>
        <x:v>missing_receipt</x:v>
      </x:c>
      <x:c r="X1082" s="12" t="str">
        <x:f>IF(Q1082="Not checked","raw_status_missing","raw_status_logged")</x:f>
        <x:v>raw_status_missing</x:v>
      </x:c>
      <x:c r="Y1082" s="12" t="str">
        <x:f>IF(U1082="BLOCKED_PENDING_RECEIPT","Log source path or blocker; do not promote","Route to review lane")</x:f>
        <x:v>Log source path or blocker; do not promote</x:v>
      </x:c>
      <x:c r="Z1082" s="12" t="str">
        <x:f>IF(K1082="P0","Primary seat + Hashlight/Lucerna","Seat lane")</x:f>
        <x:v>Primary seat + Hashlight/Lucerna</x:v>
      </x:c>
      <x:c r="AA1082" s="12" t="str">
        <x:f>IF(R1082="","no_claim_delta","claim_delta_present")</x:f>
        <x:v>no_claim_delta</x:v>
      </x:c>
      <x:c r="AB1082" s="12" t="str">
        <x:f>IF(S1082="","no_contradiction_delta","contradiction_delta_present")</x:f>
        <x:v>no_contradiction_delta</x:v>
      </x:c>
      <x:c r="AC1082" s="12" t="str">
        <x:f>IF(OR(ISNUMBER(SEARCH("hacker",LOWER(F1082&amp;" "&amp;H1082&amp;" "&amp;I1082&amp;" "&amp;M1082&amp;" "&amp;N1082&amp;" "&amp;T1082))),ISNUMBER(SEARCH("hacking",LOWER(F1082&amp;" "&amp;H1082&amp;" "&amp;I1082&amp;" "&amp;M1082&amp;" "&amp;N1082&amp;" "&amp;T1082))),ISNUMBER(SEARCH("bank",LOWER(F1082&amp;" "&amp;H1082&amp;" "&amp;I1082&amp;" "&amp;M1082&amp;" "&amp;N1082&amp;" "&amp;T1082))),ISNUMBER(SEARCH("banking",LOWER(F1082&amp;" "&amp;H1082&amp;" "&amp;I1082&amp;" "&amp;M1082&amp;" "&amp;N1082&amp;" "&amp;T1082)))),"PRIVATE_QUARANTINE",IF(OR(ISNUMBER(SEARCH("treasury",LOWER(F1082&amp;" "&amp;H1082&amp;" "&amp;I1082&amp;" "&amp;M1082&amp;" "&amp;N1082&amp;" "&amp;T1082))),ISNUMBER(SEARCH("debt",LOWER(F1082&amp;" "&amp;H1082&amp;" "&amp;I1082&amp;" "&amp;M1082&amp;" "&amp;N1082&amp;" "&amp;T1082))),ISNUMBER(SEARCH("bond",LOWER(F1082&amp;" "&amp;H1082&amp;" "&amp;I1082&amp;" "&amp;M1082&amp;" "&amp;N1082&amp;" "&amp;T1082))),ISNUMBER(SEARCH("transaction",LOWER(F1082&amp;" "&amp;H1082&amp;" "&amp;I1082&amp;" "&amp;M1082&amp;" "&amp;N1082&amp;" "&amp;T1082)))),"PRIVATE_REVIEW","PUBLIC_CANDIDATE"))</x:f>
        <x:v>PUBLIC_CANDIDATE</x:v>
      </x:c>
      <x:c r="AD1082" s="12" t="str">
        <x:f>IF(AC1082="PRIVATE_QUARANTINE","hacker_or_bank_trigger",IF(AC1082="PRIVATE_REVIEW","finance_risk_trigger","none"))</x:f>
        <x:v>none</x:v>
      </x:c>
      <x:c r="AE1082" s="12" t="str">
        <x:f>IF(AC1082="PUBLIC_CANDIDATE","prepare_public_github_candidate",IF(AC1082="PRIVATE_REVIEW","hold_for_private_review","quarantine_private_do_not_publish"))</x:f>
        <x:v>prepare_public_github_candidate</x:v>
      </x:c>
      <x:c r="AF1082" s="12" t="str">
        <x:f>IF(AC1082="PUBLIC_CANDIDATE","TIDELOCK + Lucerna",IF(AC1082="PRIVATE_REVIEW","AtlasBrain + Lucerna","TIDELOCK + Lucerna + Human-root"))</x:f>
        <x:v>TIDELOCK + Lucerna</x:v>
      </x:c>
      <x:c r="AG1082" s="12" t="str">
        <x:f>IF(AND(AC1082="PUBLIC_CANDIDATE",U1082&lt;&gt;"BLOCKED_PENDING_RECEIPT"),"READY_AFTER_RECEIPT","NOT_READY")</x:f>
        <x:v>NOT_READY</x:v>
      </x:c>
      <x:c r="AH1082" s="12" t="str">
        <x:f>IF(AC1082="PUBLIC_CANDIDATE","none",AD1082)</x:f>
        <x:v>none</x:v>
      </x:c>
      <x:c r="AI1082" s="12" t="str">
        <x:f>IF(AC1082="PUBLIC_CANDIDATE","archive/public_candidates/"&amp;A1082,"private_quarantine/"&amp;A1082)</x:f>
        <x:v>archive/public_candidates/SWARM-08-H07-S01</x:v>
      </x:c>
      <x:c r="AJ1082" s="12" t="str">
        <x:f>IF(AC1082="PUBLIC_CANDIDATE","public by default; still not canon","private/hold; do not publish")</x:f>
        <x:v>public by default; still not canon</x:v>
      </x:c>
      <x:c r="AK1082" s="12" t="str">
        <x:f>IF(AE1082="prepare_public_github_candidate","add receipt/status then mirror","resolve blocker before any public GitHub action")</x:f>
        <x:v>add receipt/status then mirror</x:v>
      </x:c>
    </x:row>
    <x:row r="1083">
      <x:c r="A1083" s="15" t="str">
        <x:v>SWARM-08-H07-S02</x:v>
      </x:c>
      <x:c r="B1083" s="15" t="str">
        <x:v>GammaSprite</x:v>
      </x:c>
      <x:c r="C1083" s="15" t="str">
        <x:v>Deck surface mapper</x:v>
      </x:c>
      <x:c r="D1083" s="15" t="str">
        <x:v>Graph Node Proposals</x:v>
      </x:c>
      <x:c r="E1083" s="15" t="str">
        <x:v>Drive</x:v>
      </x:c>
      <x:c r="F1083" s="15" t="str">
        <x:v>Propose graph nodes for Drive — GammaSprite</x:v>
      </x:c>
      <x:c r="G1083" s="15" t="str">
        <x:v>Gamma/deck extraction / slide lineage</x:v>
      </x:c>
      <x:c r="H1083" s="15" t="str">
        <x:v>source path + receipt + raw/export status + claim/edge/risk delta</x:v>
      </x:c>
      <x:c r="I1083" s="15" t="str">
        <x:v>packet/SWARM-08-H07-S02</x:v>
      </x:c>
      <x:c r="J1083" s="15" t="str">
        <x:v>TODO</x:v>
      </x:c>
      <x:c r="K1083" s="15" t="str">
        <x:v>P0</x:v>
      </x:c>
      <x:c r="L1083" s="15" t="str">
        <x:v>Done only when evidence is logged, contradiction search is noted, and boundary stamp remains non-canon unless ratified</x:v>
      </x:c>
      <x:c r="M1083" s="15" t="str">
        <x:v>candidate / staging-only / not canon / not deployed / authority none</x:v>
      </x:c>
      <x:c r="N1083" s="15" t="str">
        <x:v>Dispatch to GammaSprite: complete Graph Node Proposals x Drive; return deltas only, receipts required.</x:v>
      </x:c>
      <x:c r="O1083" s="15" t="str">
        <x:v>AF-KG-H07-S02</x:v>
      </x:c>
      <x:c r="P1083" s="15" t="str">
        <x:v>Unverified</x:v>
      </x:c>
      <x:c r="Q1083" s="15" t="str">
        <x:v>Not checked</x:v>
      </x:c>
      <x:c r="R1083" s="15" t="str"/>
      <x:c r="S1083" s="15" t="str"/>
      <x:c r="T1083" s="15" t="str">
        <x:v>Log first source path or blocker</x:v>
      </x:c>
      <x:c r="U1083" s="12" t="str">
        <x:f>IF(OR(P1083="Unverified",Q1083="Not checked"),"BLOCKED_PENDING_RECEIPT","READY_FOR_REVIEW")</x:f>
        <x:v>BLOCKED_PENDING_RECEIPT</x:v>
      </x:c>
      <x:c r="V1083" s="12" t="str">
        <x:f>IF(J1083="DONE","RETURNED",IF(U1083="BLOCKED_PENDING_RECEIPT","SOURCE_TOUCH_REQUIRED","IN_PROGRESS"))</x:f>
        <x:v>SOURCE_TOUCH_REQUIRED</x:v>
      </x:c>
      <x:c r="W1083" s="12" t="str">
        <x:f>IF(P1083="Unverified","missing_receipt","receipt_logged")</x:f>
        <x:v>missing_receipt</x:v>
      </x:c>
      <x:c r="X1083" s="12" t="str">
        <x:f>IF(Q1083="Not checked","raw_status_missing","raw_status_logged")</x:f>
        <x:v>raw_status_missing</x:v>
      </x:c>
      <x:c r="Y1083" s="12" t="str">
        <x:f>IF(U1083="BLOCKED_PENDING_RECEIPT","Log source path or blocker; do not promote","Route to review lane")</x:f>
        <x:v>Log source path or blocker; do not promote</x:v>
      </x:c>
      <x:c r="Z1083" s="12" t="str">
        <x:f>IF(K1083="P0","Primary seat + Hashlight/Lucerna","Seat lane")</x:f>
        <x:v>Primary seat + Hashlight/Lucerna</x:v>
      </x:c>
      <x:c r="AA1083" s="12" t="str">
        <x:f>IF(R1083="","no_claim_delta","claim_delta_present")</x:f>
        <x:v>no_claim_delta</x:v>
      </x:c>
      <x:c r="AB1083" s="12" t="str">
        <x:f>IF(S1083="","no_contradiction_delta","contradiction_delta_present")</x:f>
        <x:v>no_contradiction_delta</x:v>
      </x:c>
      <x:c r="AC1083" s="12" t="str">
        <x:f>IF(OR(ISNUMBER(SEARCH("hacker",LOWER(F1083&amp;" "&amp;H1083&amp;" "&amp;I1083&amp;" "&amp;M1083&amp;" "&amp;N1083&amp;" "&amp;T1083))),ISNUMBER(SEARCH("hacking",LOWER(F1083&amp;" "&amp;H1083&amp;" "&amp;I1083&amp;" "&amp;M1083&amp;" "&amp;N1083&amp;" "&amp;T1083))),ISNUMBER(SEARCH("bank",LOWER(F1083&amp;" "&amp;H1083&amp;" "&amp;I1083&amp;" "&amp;M1083&amp;" "&amp;N1083&amp;" "&amp;T1083))),ISNUMBER(SEARCH("banking",LOWER(F1083&amp;" "&amp;H1083&amp;" "&amp;I1083&amp;" "&amp;M1083&amp;" "&amp;N1083&amp;" "&amp;T1083)))),"PRIVATE_QUARANTINE",IF(OR(ISNUMBER(SEARCH("treasury",LOWER(F1083&amp;" "&amp;H1083&amp;" "&amp;I1083&amp;" "&amp;M1083&amp;" "&amp;N1083&amp;" "&amp;T1083))),ISNUMBER(SEARCH("debt",LOWER(F1083&amp;" "&amp;H1083&amp;" "&amp;I1083&amp;" "&amp;M1083&amp;" "&amp;N1083&amp;" "&amp;T1083))),ISNUMBER(SEARCH("bond",LOWER(F1083&amp;" "&amp;H1083&amp;" "&amp;I1083&amp;" "&amp;M1083&amp;" "&amp;N1083&amp;" "&amp;T1083))),ISNUMBER(SEARCH("transaction",LOWER(F1083&amp;" "&amp;H1083&amp;" "&amp;I1083&amp;" "&amp;M1083&amp;" "&amp;N1083&amp;" "&amp;T1083)))),"PRIVATE_REVIEW","PUBLIC_CANDIDATE"))</x:f>
        <x:v>PUBLIC_CANDIDATE</x:v>
      </x:c>
      <x:c r="AD1083" s="12" t="str">
        <x:f>IF(AC1083="PRIVATE_QUARANTINE","hacker_or_bank_trigger",IF(AC1083="PRIVATE_REVIEW","finance_risk_trigger","none"))</x:f>
        <x:v>none</x:v>
      </x:c>
      <x:c r="AE1083" s="12" t="str">
        <x:f>IF(AC1083="PUBLIC_CANDIDATE","prepare_public_github_candidate",IF(AC1083="PRIVATE_REVIEW","hold_for_private_review","quarantine_private_do_not_publish"))</x:f>
        <x:v>prepare_public_github_candidate</x:v>
      </x:c>
      <x:c r="AF1083" s="12" t="str">
        <x:f>IF(AC1083="PUBLIC_CANDIDATE","TIDELOCK + Lucerna",IF(AC1083="PRIVATE_REVIEW","AtlasBrain + Lucerna","TIDELOCK + Lucerna + Human-root"))</x:f>
        <x:v>TIDELOCK + Lucerna</x:v>
      </x:c>
      <x:c r="AG1083" s="12" t="str">
        <x:f>IF(AND(AC1083="PUBLIC_CANDIDATE",U1083&lt;&gt;"BLOCKED_PENDING_RECEIPT"),"READY_AFTER_RECEIPT","NOT_READY")</x:f>
        <x:v>NOT_READY</x:v>
      </x:c>
      <x:c r="AH1083" s="12" t="str">
        <x:f>IF(AC1083="PUBLIC_CANDIDATE","none",AD1083)</x:f>
        <x:v>none</x:v>
      </x:c>
      <x:c r="AI1083" s="12" t="str">
        <x:f>IF(AC1083="PUBLIC_CANDIDATE","archive/public_candidates/"&amp;A1083,"private_quarantine/"&amp;A1083)</x:f>
        <x:v>archive/public_candidates/SWARM-08-H07-S02</x:v>
      </x:c>
      <x:c r="AJ1083" s="12" t="str">
        <x:f>IF(AC1083="PUBLIC_CANDIDATE","public by default; still not canon","private/hold; do not publish")</x:f>
        <x:v>public by default; still not canon</x:v>
      </x:c>
      <x:c r="AK1083" s="12" t="str">
        <x:f>IF(AE1083="prepare_public_github_candidate","add receipt/status then mirror","resolve blocker before any public GitHub action")</x:f>
        <x:v>add receipt/status then mirror</x:v>
      </x:c>
    </x:row>
    <x:row r="1084">
      <x:c r="A1084" s="15" t="str">
        <x:v>SWARM-08-H07-S03</x:v>
      </x:c>
      <x:c r="B1084" s="15" t="str">
        <x:v>GammaSprite</x:v>
      </x:c>
      <x:c r="C1084" s="15" t="str">
        <x:v>Deck surface mapper</x:v>
      </x:c>
      <x:c r="D1084" s="15" t="str">
        <x:v>Graph Node Proposals</x:v>
      </x:c>
      <x:c r="E1084" s="15" t="str">
        <x:v>GitHub</x:v>
      </x:c>
      <x:c r="F1084" s="15" t="str">
        <x:v>Propose graph nodes for GitHub — GammaSprite</x:v>
      </x:c>
      <x:c r="G1084" s="15" t="str">
        <x:v>Gamma/deck extraction / slide lineage</x:v>
      </x:c>
      <x:c r="H1084" s="15" t="str">
        <x:v>source path + receipt + raw/export status + claim/edge/risk delta</x:v>
      </x:c>
      <x:c r="I1084" s="15" t="str">
        <x:v>packet/SWARM-08-H07-S03</x:v>
      </x:c>
      <x:c r="J1084" s="15" t="str">
        <x:v>TODO</x:v>
      </x:c>
      <x:c r="K1084" s="15" t="str">
        <x:v>P0</x:v>
      </x:c>
      <x:c r="L1084" s="15" t="str">
        <x:v>Done only when evidence is logged, contradiction search is noted, and boundary stamp remains non-canon unless ratified</x:v>
      </x:c>
      <x:c r="M1084" s="15" t="str">
        <x:v>candidate / staging-only / not canon / not deployed / authority none</x:v>
      </x:c>
      <x:c r="N1084" s="15" t="str">
        <x:v>Dispatch to GammaSprite: complete Graph Node Proposals x GitHub; return deltas only, receipts required.</x:v>
      </x:c>
      <x:c r="O1084" s="15" t="str">
        <x:v>AF-KG-H07-S03</x:v>
      </x:c>
      <x:c r="P1084" s="15" t="str">
        <x:v>Unverified</x:v>
      </x:c>
      <x:c r="Q1084" s="15" t="str">
        <x:v>Not checked</x:v>
      </x:c>
      <x:c r="R1084" s="15" t="str"/>
      <x:c r="S1084" s="15" t="str"/>
      <x:c r="T1084" s="15" t="str">
        <x:v>Log first source path or blocker</x:v>
      </x:c>
      <x:c r="U1084" s="12" t="str">
        <x:f>IF(OR(P1084="Unverified",Q1084="Not checked"),"BLOCKED_PENDING_RECEIPT","READY_FOR_REVIEW")</x:f>
        <x:v>BLOCKED_PENDING_RECEIPT</x:v>
      </x:c>
      <x:c r="V1084" s="12" t="str">
        <x:f>IF(J1084="DONE","RETURNED",IF(U1084="BLOCKED_PENDING_RECEIPT","SOURCE_TOUCH_REQUIRED","IN_PROGRESS"))</x:f>
        <x:v>SOURCE_TOUCH_REQUIRED</x:v>
      </x:c>
      <x:c r="W1084" s="12" t="str">
        <x:f>IF(P1084="Unverified","missing_receipt","receipt_logged")</x:f>
        <x:v>missing_receipt</x:v>
      </x:c>
      <x:c r="X1084" s="12" t="str">
        <x:f>IF(Q1084="Not checked","raw_status_missing","raw_status_logged")</x:f>
        <x:v>raw_status_missing</x:v>
      </x:c>
      <x:c r="Y1084" s="12" t="str">
        <x:f>IF(U1084="BLOCKED_PENDING_RECEIPT","Log source path or blocker; do not promote","Route to review lane")</x:f>
        <x:v>Log source path or blocker; do not promote</x:v>
      </x:c>
      <x:c r="Z1084" s="12" t="str">
        <x:f>IF(K1084="P0","Primary seat + Hashlight/Lucerna","Seat lane")</x:f>
        <x:v>Primary seat + Hashlight/Lucerna</x:v>
      </x:c>
      <x:c r="AA1084" s="12" t="str">
        <x:f>IF(R1084="","no_claim_delta","claim_delta_present")</x:f>
        <x:v>no_claim_delta</x:v>
      </x:c>
      <x:c r="AB1084" s="12" t="str">
        <x:f>IF(S1084="","no_contradiction_delta","contradiction_delta_present")</x:f>
        <x:v>no_contradiction_delta</x:v>
      </x:c>
      <x:c r="AC1084" s="12" t="str">
        <x:f>IF(OR(ISNUMBER(SEARCH("hacker",LOWER(F1084&amp;" "&amp;H1084&amp;" "&amp;I1084&amp;" "&amp;M1084&amp;" "&amp;N1084&amp;" "&amp;T1084))),ISNUMBER(SEARCH("hacking",LOWER(F1084&amp;" "&amp;H1084&amp;" "&amp;I1084&amp;" "&amp;M1084&amp;" "&amp;N1084&amp;" "&amp;T1084))),ISNUMBER(SEARCH("bank",LOWER(F1084&amp;" "&amp;H1084&amp;" "&amp;I1084&amp;" "&amp;M1084&amp;" "&amp;N1084&amp;" "&amp;T1084))),ISNUMBER(SEARCH("banking",LOWER(F1084&amp;" "&amp;H1084&amp;" "&amp;I1084&amp;" "&amp;M1084&amp;" "&amp;N1084&amp;" "&amp;T1084)))),"PRIVATE_QUARANTINE",IF(OR(ISNUMBER(SEARCH("treasury",LOWER(F1084&amp;" "&amp;H1084&amp;" "&amp;I1084&amp;" "&amp;M1084&amp;" "&amp;N1084&amp;" "&amp;T1084))),ISNUMBER(SEARCH("debt",LOWER(F1084&amp;" "&amp;H1084&amp;" "&amp;I1084&amp;" "&amp;M1084&amp;" "&amp;N1084&amp;" "&amp;T1084))),ISNUMBER(SEARCH("bond",LOWER(F1084&amp;" "&amp;H1084&amp;" "&amp;I1084&amp;" "&amp;M1084&amp;" "&amp;N1084&amp;" "&amp;T1084))),ISNUMBER(SEARCH("transaction",LOWER(F1084&amp;" "&amp;H1084&amp;" "&amp;I1084&amp;" "&amp;M1084&amp;" "&amp;N1084&amp;" "&amp;T1084)))),"PRIVATE_REVIEW","PUBLIC_CANDIDATE"))</x:f>
        <x:v>PUBLIC_CANDIDATE</x:v>
      </x:c>
      <x:c r="AD1084" s="12" t="str">
        <x:f>IF(AC1084="PRIVATE_QUARANTINE","hacker_or_bank_trigger",IF(AC1084="PRIVATE_REVIEW","finance_risk_trigger","none"))</x:f>
        <x:v>none</x:v>
      </x:c>
      <x:c r="AE1084" s="12" t="str">
        <x:f>IF(AC1084="PUBLIC_CANDIDATE","prepare_public_github_candidate",IF(AC1084="PRIVATE_REVIEW","hold_for_private_review","quarantine_private_do_not_publish"))</x:f>
        <x:v>prepare_public_github_candidate</x:v>
      </x:c>
      <x:c r="AF1084" s="12" t="str">
        <x:f>IF(AC1084="PUBLIC_CANDIDATE","TIDELOCK + Lucerna",IF(AC1084="PRIVATE_REVIEW","AtlasBrain + Lucerna","TIDELOCK + Lucerna + Human-root"))</x:f>
        <x:v>TIDELOCK + Lucerna</x:v>
      </x:c>
      <x:c r="AG1084" s="12" t="str">
        <x:f>IF(AND(AC1084="PUBLIC_CANDIDATE",U1084&lt;&gt;"BLOCKED_PENDING_RECEIPT"),"READY_AFTER_RECEIPT","NOT_READY")</x:f>
        <x:v>NOT_READY</x:v>
      </x:c>
      <x:c r="AH1084" s="12" t="str">
        <x:f>IF(AC1084="PUBLIC_CANDIDATE","none",AD1084)</x:f>
        <x:v>none</x:v>
      </x:c>
      <x:c r="AI1084" s="12" t="str">
        <x:f>IF(AC1084="PUBLIC_CANDIDATE","archive/public_candidates/"&amp;A1084,"private_quarantine/"&amp;A1084)</x:f>
        <x:v>archive/public_candidates/SWARM-08-H07-S03</x:v>
      </x:c>
      <x:c r="AJ1084" s="12" t="str">
        <x:f>IF(AC1084="PUBLIC_CANDIDATE","public by default; still not canon","private/hold; do not publish")</x:f>
        <x:v>public by default; still not canon</x:v>
      </x:c>
      <x:c r="AK1084" s="12" t="str">
        <x:f>IF(AE1084="prepare_public_github_candidate","add receipt/status then mirror","resolve blocker before any public GitHub action")</x:f>
        <x:v>add receipt/status then mirror</x:v>
      </x:c>
    </x:row>
    <x:row r="1085">
      <x:c r="A1085" s="15" t="str">
        <x:v>SWARM-08-H07-S04</x:v>
      </x:c>
      <x:c r="B1085" s="15" t="str">
        <x:v>GammaSprite</x:v>
      </x:c>
      <x:c r="C1085" s="15" t="str">
        <x:v>Deck surface mapper</x:v>
      </x:c>
      <x:c r="D1085" s="15" t="str">
        <x:v>Graph Node Proposals</x:v>
      </x:c>
      <x:c r="E1085" s="15" t="str">
        <x:v>Gamma</x:v>
      </x:c>
      <x:c r="F1085" s="15" t="str">
        <x:v>Propose graph nodes for Gamma — GammaSprite</x:v>
      </x:c>
      <x:c r="G1085" s="15" t="str">
        <x:v>Gamma/deck extraction / slide lineage</x:v>
      </x:c>
      <x:c r="H1085" s="15" t="str">
        <x:v>source path + receipt + raw/export status + claim/edge/risk delta</x:v>
      </x:c>
      <x:c r="I1085" s="15" t="str">
        <x:v>packet/SWARM-08-H07-S04</x:v>
      </x:c>
      <x:c r="J1085" s="15" t="str">
        <x:v>TODO</x:v>
      </x:c>
      <x:c r="K1085" s="15" t="str">
        <x:v>P1</x:v>
      </x:c>
      <x:c r="L1085" s="15" t="str">
        <x:v>Done only when evidence is logged, contradiction search is noted, and boundary stamp remains non-canon unless ratified</x:v>
      </x:c>
      <x:c r="M1085" s="15" t="str">
        <x:v>candidate / staging-only / not canon / not deployed / authority none</x:v>
      </x:c>
      <x:c r="N1085" s="15" t="str">
        <x:v>Dispatch to GammaSprite: complete Graph Node Proposals x Gamma; return deltas only, receipts required.</x:v>
      </x:c>
      <x:c r="O1085" s="15" t="str">
        <x:v>AF-KG-H07-S04</x:v>
      </x:c>
      <x:c r="P1085" s="15" t="str">
        <x:v>Unverified</x:v>
      </x:c>
      <x:c r="Q1085" s="15" t="str">
        <x:v>Not checked</x:v>
      </x:c>
      <x:c r="R1085" s="15" t="str"/>
      <x:c r="S1085" s="15" t="str"/>
      <x:c r="T1085" s="15" t="str">
        <x:v>Log first source path or blocker</x:v>
      </x:c>
      <x:c r="U1085" s="12" t="str">
        <x:f>IF(OR(P1085="Unverified",Q1085="Not checked"),"BLOCKED_PENDING_RECEIPT","READY_FOR_REVIEW")</x:f>
        <x:v>BLOCKED_PENDING_RECEIPT</x:v>
      </x:c>
      <x:c r="V1085" s="12" t="str">
        <x:f>IF(J1085="DONE","RETURNED",IF(U1085="BLOCKED_PENDING_RECEIPT","SOURCE_TOUCH_REQUIRED","IN_PROGRESS"))</x:f>
        <x:v>SOURCE_TOUCH_REQUIRED</x:v>
      </x:c>
      <x:c r="W1085" s="12" t="str">
        <x:f>IF(P1085="Unverified","missing_receipt","receipt_logged")</x:f>
        <x:v>missing_receipt</x:v>
      </x:c>
      <x:c r="X1085" s="12" t="str">
        <x:f>IF(Q1085="Not checked","raw_status_missing","raw_status_logged")</x:f>
        <x:v>raw_status_missing</x:v>
      </x:c>
      <x:c r="Y1085" s="12" t="str">
        <x:f>IF(U1085="BLOCKED_PENDING_RECEIPT","Log source path or blocker; do not promote","Route to review lane")</x:f>
        <x:v>Log source path or blocker; do not promote</x:v>
      </x:c>
      <x:c r="Z1085" s="12" t="str">
        <x:f>IF(K1085="P0","Primary seat + Hashlight/Lucerna","Seat lane")</x:f>
        <x:v>Seat lane</x:v>
      </x:c>
      <x:c r="AA1085" s="12" t="str">
        <x:f>IF(R1085="","no_claim_delta","claim_delta_present")</x:f>
        <x:v>no_claim_delta</x:v>
      </x:c>
      <x:c r="AB1085" s="12" t="str">
        <x:f>IF(S1085="","no_contradiction_delta","contradiction_delta_present")</x:f>
        <x:v>no_contradiction_delta</x:v>
      </x:c>
      <x:c r="AC1085" s="12" t="str">
        <x:f>IF(OR(ISNUMBER(SEARCH("hacker",LOWER(F1085&amp;" "&amp;H1085&amp;" "&amp;I1085&amp;" "&amp;M1085&amp;" "&amp;N1085&amp;" "&amp;T1085))),ISNUMBER(SEARCH("hacking",LOWER(F1085&amp;" "&amp;H1085&amp;" "&amp;I1085&amp;" "&amp;M1085&amp;" "&amp;N1085&amp;" "&amp;T1085))),ISNUMBER(SEARCH("bank",LOWER(F1085&amp;" "&amp;H1085&amp;" "&amp;I1085&amp;" "&amp;M1085&amp;" "&amp;N1085&amp;" "&amp;T1085))),ISNUMBER(SEARCH("banking",LOWER(F1085&amp;" "&amp;H1085&amp;" "&amp;I1085&amp;" "&amp;M1085&amp;" "&amp;N1085&amp;" "&amp;T1085)))),"PRIVATE_QUARANTINE",IF(OR(ISNUMBER(SEARCH("treasury",LOWER(F1085&amp;" "&amp;H1085&amp;" "&amp;I1085&amp;" "&amp;M1085&amp;" "&amp;N1085&amp;" "&amp;T1085))),ISNUMBER(SEARCH("debt",LOWER(F1085&amp;" "&amp;H1085&amp;" "&amp;I1085&amp;" "&amp;M1085&amp;" "&amp;N1085&amp;" "&amp;T1085))),ISNUMBER(SEARCH("bond",LOWER(F1085&amp;" "&amp;H1085&amp;" "&amp;I1085&amp;" "&amp;M1085&amp;" "&amp;N1085&amp;" "&amp;T1085))),ISNUMBER(SEARCH("transaction",LOWER(F1085&amp;" "&amp;H1085&amp;" "&amp;I1085&amp;" "&amp;M1085&amp;" "&amp;N1085&amp;" "&amp;T1085)))),"PRIVATE_REVIEW","PUBLIC_CANDIDATE"))</x:f>
        <x:v>PUBLIC_CANDIDATE</x:v>
      </x:c>
      <x:c r="AD1085" s="12" t="str">
        <x:f>IF(AC1085="PRIVATE_QUARANTINE","hacker_or_bank_trigger",IF(AC1085="PRIVATE_REVIEW","finance_risk_trigger","none"))</x:f>
        <x:v>none</x:v>
      </x:c>
      <x:c r="AE1085" s="12" t="str">
        <x:f>IF(AC1085="PUBLIC_CANDIDATE","prepare_public_github_candidate",IF(AC1085="PRIVATE_REVIEW","hold_for_private_review","quarantine_private_do_not_publish"))</x:f>
        <x:v>prepare_public_github_candidate</x:v>
      </x:c>
      <x:c r="AF1085" s="12" t="str">
        <x:f>IF(AC1085="PUBLIC_CANDIDATE","TIDELOCK + Lucerna",IF(AC1085="PRIVATE_REVIEW","AtlasBrain + Lucerna","TIDELOCK + Lucerna + Human-root"))</x:f>
        <x:v>TIDELOCK + Lucerna</x:v>
      </x:c>
      <x:c r="AG1085" s="12" t="str">
        <x:f>IF(AND(AC1085="PUBLIC_CANDIDATE",U1085&lt;&gt;"BLOCKED_PENDING_RECEIPT"),"READY_AFTER_RECEIPT","NOT_READY")</x:f>
        <x:v>NOT_READY</x:v>
      </x:c>
      <x:c r="AH1085" s="12" t="str">
        <x:f>IF(AC1085="PUBLIC_CANDIDATE","none",AD1085)</x:f>
        <x:v>none</x:v>
      </x:c>
      <x:c r="AI1085" s="12" t="str">
        <x:f>IF(AC1085="PUBLIC_CANDIDATE","archive/public_candidates/"&amp;A1085,"private_quarantine/"&amp;A1085)</x:f>
        <x:v>archive/public_candidates/SWARM-08-H07-S04</x:v>
      </x:c>
      <x:c r="AJ1085" s="12" t="str">
        <x:f>IF(AC1085="PUBLIC_CANDIDATE","public by default; still not canon","private/hold; do not publish")</x:f>
        <x:v>public by default; still not canon</x:v>
      </x:c>
      <x:c r="AK1085" s="12" t="str">
        <x:f>IF(AE1085="prepare_public_github_candidate","add receipt/status then mirror","resolve blocker before any public GitHub action")</x:f>
        <x:v>add receipt/status then mirror</x:v>
      </x:c>
    </x:row>
    <x:row r="1086">
      <x:c r="A1086" s="15" t="str">
        <x:v>SWARM-08-H07-S05</x:v>
      </x:c>
      <x:c r="B1086" s="15" t="str">
        <x:v>GammaSprite</x:v>
      </x:c>
      <x:c r="C1086" s="15" t="str">
        <x:v>Deck surface mapper</x:v>
      </x:c>
      <x:c r="D1086" s="15" t="str">
        <x:v>Graph Node Proposals</x:v>
      </x:c>
      <x:c r="E1086" s="15" t="str">
        <x:v>Chat</x:v>
      </x:c>
      <x:c r="F1086" s="15" t="str">
        <x:v>Propose graph nodes for Chat — GammaSprite</x:v>
      </x:c>
      <x:c r="G1086" s="15" t="str">
        <x:v>Gamma/deck extraction / slide lineage</x:v>
      </x:c>
      <x:c r="H1086" s="15" t="str">
        <x:v>source path + receipt + raw/export status + claim/edge/risk delta</x:v>
      </x:c>
      <x:c r="I1086" s="15" t="str">
        <x:v>packet/SWARM-08-H07-S05</x:v>
      </x:c>
      <x:c r="J1086" s="15" t="str">
        <x:v>TODO</x:v>
      </x:c>
      <x:c r="K1086" s="15" t="str">
        <x:v>P1</x:v>
      </x:c>
      <x:c r="L1086" s="15" t="str">
        <x:v>Done only when evidence is logged, contradiction search is noted, and boundary stamp remains non-canon unless ratified</x:v>
      </x:c>
      <x:c r="M1086" s="15" t="str">
        <x:v>candidate / staging-only / not canon / not deployed / authority none</x:v>
      </x:c>
      <x:c r="N1086" s="15" t="str">
        <x:v>Dispatch to GammaSprite: complete Graph Node Proposals x Chat; return deltas only, receipts required.</x:v>
      </x:c>
      <x:c r="O1086" s="15" t="str">
        <x:v>AF-KG-H07-S05</x:v>
      </x:c>
      <x:c r="P1086" s="15" t="str">
        <x:v>Unverified</x:v>
      </x:c>
      <x:c r="Q1086" s="15" t="str">
        <x:v>Not checked</x:v>
      </x:c>
      <x:c r="R1086" s="15" t="str"/>
      <x:c r="S1086" s="15" t="str"/>
      <x:c r="T1086" s="15" t="str">
        <x:v>Log first source path or blocker</x:v>
      </x:c>
      <x:c r="U1086" s="12" t="str">
        <x:f>IF(OR(P1086="Unverified",Q1086="Not checked"),"BLOCKED_PENDING_RECEIPT","READY_FOR_REVIEW")</x:f>
        <x:v>BLOCKED_PENDING_RECEIPT</x:v>
      </x:c>
      <x:c r="V1086" s="12" t="str">
        <x:f>IF(J1086="DONE","RETURNED",IF(U1086="BLOCKED_PENDING_RECEIPT","SOURCE_TOUCH_REQUIRED","IN_PROGRESS"))</x:f>
        <x:v>SOURCE_TOUCH_REQUIRED</x:v>
      </x:c>
      <x:c r="W1086" s="12" t="str">
        <x:f>IF(P1086="Unverified","missing_receipt","receipt_logged")</x:f>
        <x:v>missing_receipt</x:v>
      </x:c>
      <x:c r="X1086" s="12" t="str">
        <x:f>IF(Q1086="Not checked","raw_status_missing","raw_status_logged")</x:f>
        <x:v>raw_status_missing</x:v>
      </x:c>
      <x:c r="Y1086" s="12" t="str">
        <x:f>IF(U1086="BLOCKED_PENDING_RECEIPT","Log source path or blocker; do not promote","Route to review lane")</x:f>
        <x:v>Log source path or blocker; do not promote</x:v>
      </x:c>
      <x:c r="Z1086" s="12" t="str">
        <x:f>IF(K1086="P0","Primary seat + Hashlight/Lucerna","Seat lane")</x:f>
        <x:v>Seat lane</x:v>
      </x:c>
      <x:c r="AA1086" s="12" t="str">
        <x:f>IF(R1086="","no_claim_delta","claim_delta_present")</x:f>
        <x:v>no_claim_delta</x:v>
      </x:c>
      <x:c r="AB1086" s="12" t="str">
        <x:f>IF(S1086="","no_contradiction_delta","contradiction_delta_present")</x:f>
        <x:v>no_contradiction_delta</x:v>
      </x:c>
      <x:c r="AC1086" s="12" t="str">
        <x:f>IF(OR(ISNUMBER(SEARCH("hacker",LOWER(F1086&amp;" "&amp;H1086&amp;" "&amp;I1086&amp;" "&amp;M1086&amp;" "&amp;N1086&amp;" "&amp;T1086))),ISNUMBER(SEARCH("hacking",LOWER(F1086&amp;" "&amp;H1086&amp;" "&amp;I1086&amp;" "&amp;M1086&amp;" "&amp;N1086&amp;" "&amp;T1086))),ISNUMBER(SEARCH("bank",LOWER(F1086&amp;" "&amp;H1086&amp;" "&amp;I1086&amp;" "&amp;M1086&amp;" "&amp;N1086&amp;" "&amp;T1086))),ISNUMBER(SEARCH("banking",LOWER(F1086&amp;" "&amp;H1086&amp;" "&amp;I1086&amp;" "&amp;M1086&amp;" "&amp;N1086&amp;" "&amp;T1086)))),"PRIVATE_QUARANTINE",IF(OR(ISNUMBER(SEARCH("treasury",LOWER(F1086&amp;" "&amp;H1086&amp;" "&amp;I1086&amp;" "&amp;M1086&amp;" "&amp;N1086&amp;" "&amp;T1086))),ISNUMBER(SEARCH("debt",LOWER(F1086&amp;" "&amp;H1086&amp;" "&amp;I1086&amp;" "&amp;M1086&amp;" "&amp;N1086&amp;" "&amp;T1086))),ISNUMBER(SEARCH("bond",LOWER(F1086&amp;" "&amp;H1086&amp;" "&amp;I1086&amp;" "&amp;M1086&amp;" "&amp;N1086&amp;" "&amp;T1086))),ISNUMBER(SEARCH("transaction",LOWER(F1086&amp;" "&amp;H1086&amp;" "&amp;I1086&amp;" "&amp;M1086&amp;" "&amp;N1086&amp;" "&amp;T1086)))),"PRIVATE_REVIEW","PUBLIC_CANDIDATE"))</x:f>
        <x:v>PUBLIC_CANDIDATE</x:v>
      </x:c>
      <x:c r="AD1086" s="12" t="str">
        <x:f>IF(AC1086="PRIVATE_QUARANTINE","hacker_or_bank_trigger",IF(AC1086="PRIVATE_REVIEW","finance_risk_trigger","none"))</x:f>
        <x:v>none</x:v>
      </x:c>
      <x:c r="AE1086" s="12" t="str">
        <x:f>IF(AC1086="PUBLIC_CANDIDATE","prepare_public_github_candidate",IF(AC1086="PRIVATE_REVIEW","hold_for_private_review","quarantine_private_do_not_publish"))</x:f>
        <x:v>prepare_public_github_candidate</x:v>
      </x:c>
      <x:c r="AF1086" s="12" t="str">
        <x:f>IF(AC1086="PUBLIC_CANDIDATE","TIDELOCK + Lucerna",IF(AC1086="PRIVATE_REVIEW","AtlasBrain + Lucerna","TIDELOCK + Lucerna + Human-root"))</x:f>
        <x:v>TIDELOCK + Lucerna</x:v>
      </x:c>
      <x:c r="AG1086" s="12" t="str">
        <x:f>IF(AND(AC1086="PUBLIC_CANDIDATE",U1086&lt;&gt;"BLOCKED_PENDING_RECEIPT"),"READY_AFTER_RECEIPT","NOT_READY")</x:f>
        <x:v>NOT_READY</x:v>
      </x:c>
      <x:c r="AH1086" s="12" t="str">
        <x:f>IF(AC1086="PUBLIC_CANDIDATE","none",AD1086)</x:f>
        <x:v>none</x:v>
      </x:c>
      <x:c r="AI1086" s="12" t="str">
        <x:f>IF(AC1086="PUBLIC_CANDIDATE","archive/public_candidates/"&amp;A1086,"private_quarantine/"&amp;A1086)</x:f>
        <x:v>archive/public_candidates/SWARM-08-H07-S05</x:v>
      </x:c>
      <x:c r="AJ1086" s="12" t="str">
        <x:f>IF(AC1086="PUBLIC_CANDIDATE","public by default; still not canon","private/hold; do not publish")</x:f>
        <x:v>public by default; still not canon</x:v>
      </x:c>
      <x:c r="AK1086" s="12" t="str">
        <x:f>IF(AE1086="prepare_public_github_candidate","add receipt/status then mirror","resolve blocker before any public GitHub action")</x:f>
        <x:v>add receipt/status then mirror</x:v>
      </x:c>
    </x:row>
    <x:row r="1087">
      <x:c r="A1087" s="15" t="str">
        <x:v>SWARM-08-H07-S06</x:v>
      </x:c>
      <x:c r="B1087" s="15" t="str">
        <x:v>GammaSprite</x:v>
      </x:c>
      <x:c r="C1087" s="15" t="str">
        <x:v>Deck surface mapper</x:v>
      </x:c>
      <x:c r="D1087" s="15" t="str">
        <x:v>Graph Node Proposals</x:v>
      </x:c>
      <x:c r="E1087" s="15" t="str">
        <x:v>External Web</x:v>
      </x:c>
      <x:c r="F1087" s="15" t="str">
        <x:v>Propose graph nodes for External Web — GammaSprite</x:v>
      </x:c>
      <x:c r="G1087" s="15" t="str">
        <x:v>Gamma/deck extraction / slide lineage</x:v>
      </x:c>
      <x:c r="H1087" s="15" t="str">
        <x:v>source path + receipt + raw/export status + claim/edge/risk delta</x:v>
      </x:c>
      <x:c r="I1087" s="15" t="str">
        <x:v>packet/SWARM-08-H07-S06</x:v>
      </x:c>
      <x:c r="J1087" s="15" t="str">
        <x:v>TODO</x:v>
      </x:c>
      <x:c r="K1087" s="15" t="str">
        <x:v>P1</x:v>
      </x:c>
      <x:c r="L1087" s="15" t="str">
        <x:v>Done only when evidence is logged, contradiction search is noted, and boundary stamp remains non-canon unless ratified</x:v>
      </x:c>
      <x:c r="M1087" s="15" t="str">
        <x:v>candidate / staging-only / not canon / not deployed / authority none</x:v>
      </x:c>
      <x:c r="N1087" s="15" t="str">
        <x:v>Dispatch to GammaSprite: complete Graph Node Proposals x External Web; return deltas only, receipts required.</x:v>
      </x:c>
      <x:c r="O1087" s="15" t="str">
        <x:v>AF-KG-H07-S06</x:v>
      </x:c>
      <x:c r="P1087" s="15" t="str">
        <x:v>Unverified</x:v>
      </x:c>
      <x:c r="Q1087" s="15" t="str">
        <x:v>Not checked</x:v>
      </x:c>
      <x:c r="R1087" s="15" t="str"/>
      <x:c r="S1087" s="15" t="str"/>
      <x:c r="T1087" s="15" t="str">
        <x:v>Log first source path or blocker</x:v>
      </x:c>
      <x:c r="U1087" s="12" t="str">
        <x:f>IF(OR(P1087="Unverified",Q1087="Not checked"),"BLOCKED_PENDING_RECEIPT","READY_FOR_REVIEW")</x:f>
        <x:v>BLOCKED_PENDING_RECEIPT</x:v>
      </x:c>
      <x:c r="V1087" s="12" t="str">
        <x:f>IF(J1087="DONE","RETURNED",IF(U1087="BLOCKED_PENDING_RECEIPT","SOURCE_TOUCH_REQUIRED","IN_PROGRESS"))</x:f>
        <x:v>SOURCE_TOUCH_REQUIRED</x:v>
      </x:c>
      <x:c r="W1087" s="12" t="str">
        <x:f>IF(P1087="Unverified","missing_receipt","receipt_logged")</x:f>
        <x:v>missing_receipt</x:v>
      </x:c>
      <x:c r="X1087" s="12" t="str">
        <x:f>IF(Q1087="Not checked","raw_status_missing","raw_status_logged")</x:f>
        <x:v>raw_status_missing</x:v>
      </x:c>
      <x:c r="Y1087" s="12" t="str">
        <x:f>IF(U1087="BLOCKED_PENDING_RECEIPT","Log source path or blocker; do not promote","Route to review lane")</x:f>
        <x:v>Log source path or blocker; do not promote</x:v>
      </x:c>
      <x:c r="Z1087" s="12" t="str">
        <x:f>IF(K1087="P0","Primary seat + Hashlight/Lucerna","Seat lane")</x:f>
        <x:v>Seat lane</x:v>
      </x:c>
      <x:c r="AA1087" s="12" t="str">
        <x:f>IF(R1087="","no_claim_delta","claim_delta_present")</x:f>
        <x:v>no_claim_delta</x:v>
      </x:c>
      <x:c r="AB1087" s="12" t="str">
        <x:f>IF(S1087="","no_contradiction_delta","contradiction_delta_present")</x:f>
        <x:v>no_contradiction_delta</x:v>
      </x:c>
      <x:c r="AC1087" s="12" t="str">
        <x:f>IF(OR(ISNUMBER(SEARCH("hacker",LOWER(F1087&amp;" "&amp;H1087&amp;" "&amp;I1087&amp;" "&amp;M1087&amp;" "&amp;N1087&amp;" "&amp;T1087))),ISNUMBER(SEARCH("hacking",LOWER(F1087&amp;" "&amp;H1087&amp;" "&amp;I1087&amp;" "&amp;M1087&amp;" "&amp;N1087&amp;" "&amp;T1087))),ISNUMBER(SEARCH("bank",LOWER(F1087&amp;" "&amp;H1087&amp;" "&amp;I1087&amp;" "&amp;M1087&amp;" "&amp;N1087&amp;" "&amp;T1087))),ISNUMBER(SEARCH("banking",LOWER(F1087&amp;" "&amp;H1087&amp;" "&amp;I1087&amp;" "&amp;M1087&amp;" "&amp;N1087&amp;" "&amp;T1087)))),"PRIVATE_QUARANTINE",IF(OR(ISNUMBER(SEARCH("treasury",LOWER(F1087&amp;" "&amp;H1087&amp;" "&amp;I1087&amp;" "&amp;M1087&amp;" "&amp;N1087&amp;" "&amp;T1087))),ISNUMBER(SEARCH("debt",LOWER(F1087&amp;" "&amp;H1087&amp;" "&amp;I1087&amp;" "&amp;M1087&amp;" "&amp;N1087&amp;" "&amp;T1087))),ISNUMBER(SEARCH("bond",LOWER(F1087&amp;" "&amp;H1087&amp;" "&amp;I1087&amp;" "&amp;M1087&amp;" "&amp;N1087&amp;" "&amp;T1087))),ISNUMBER(SEARCH("transaction",LOWER(F1087&amp;" "&amp;H1087&amp;" "&amp;I1087&amp;" "&amp;M1087&amp;" "&amp;N1087&amp;" "&amp;T1087)))),"PRIVATE_REVIEW","PUBLIC_CANDIDATE"))</x:f>
        <x:v>PUBLIC_CANDIDATE</x:v>
      </x:c>
      <x:c r="AD1087" s="12" t="str">
        <x:f>IF(AC1087="PRIVATE_QUARANTINE","hacker_or_bank_trigger",IF(AC1087="PRIVATE_REVIEW","finance_risk_trigger","none"))</x:f>
        <x:v>none</x:v>
      </x:c>
      <x:c r="AE1087" s="12" t="str">
        <x:f>IF(AC1087="PUBLIC_CANDIDATE","prepare_public_github_candidate",IF(AC1087="PRIVATE_REVIEW","hold_for_private_review","quarantine_private_do_not_publish"))</x:f>
        <x:v>prepare_public_github_candidate</x:v>
      </x:c>
      <x:c r="AF1087" s="12" t="str">
        <x:f>IF(AC1087="PUBLIC_CANDIDATE","TIDELOCK + Lucerna",IF(AC1087="PRIVATE_REVIEW","AtlasBrain + Lucerna","TIDELOCK + Lucerna + Human-root"))</x:f>
        <x:v>TIDELOCK + Lucerna</x:v>
      </x:c>
      <x:c r="AG1087" s="12" t="str">
        <x:f>IF(AND(AC1087="PUBLIC_CANDIDATE",U1087&lt;&gt;"BLOCKED_PENDING_RECEIPT"),"READY_AFTER_RECEIPT","NOT_READY")</x:f>
        <x:v>NOT_READY</x:v>
      </x:c>
      <x:c r="AH1087" s="12" t="str">
        <x:f>IF(AC1087="PUBLIC_CANDIDATE","none",AD1087)</x:f>
        <x:v>none</x:v>
      </x:c>
      <x:c r="AI1087" s="12" t="str">
        <x:f>IF(AC1087="PUBLIC_CANDIDATE","archive/public_candidates/"&amp;A1087,"private_quarantine/"&amp;A1087)</x:f>
        <x:v>archive/public_candidates/SWARM-08-H07-S06</x:v>
      </x:c>
      <x:c r="AJ1087" s="12" t="str">
        <x:f>IF(AC1087="PUBLIC_CANDIDATE","public by default; still not canon","private/hold; do not publish")</x:f>
        <x:v>public by default; still not canon</x:v>
      </x:c>
      <x:c r="AK1087" s="12" t="str">
        <x:f>IF(AE1087="prepare_public_github_candidate","add receipt/status then mirror","resolve blocker before any public GitHub action")</x:f>
        <x:v>add receipt/status then mirror</x:v>
      </x:c>
    </x:row>
    <x:row r="1088">
      <x:c r="A1088" s="15" t="str">
        <x:v>SWARM-08-H07-S07</x:v>
      </x:c>
      <x:c r="B1088" s="15" t="str">
        <x:v>GammaSprite</x:v>
      </x:c>
      <x:c r="C1088" s="15" t="str">
        <x:v>Deck surface mapper</x:v>
      </x:c>
      <x:c r="D1088" s="15" t="str">
        <x:v>Graph Node Proposals</x:v>
      </x:c>
      <x:c r="E1088" s="15" t="str">
        <x:v>Planetarium</x:v>
      </x:c>
      <x:c r="F1088" s="15" t="str">
        <x:v>Propose graph nodes for Planetarium — GammaSprite</x:v>
      </x:c>
      <x:c r="G1088" s="15" t="str">
        <x:v>Gamma/deck extraction / slide lineage</x:v>
      </x:c>
      <x:c r="H1088" s="15" t="str">
        <x:v>source path + receipt + raw/export status + claim/edge/risk delta</x:v>
      </x:c>
      <x:c r="I1088" s="15" t="str">
        <x:v>packet/SWARM-08-H07-S07</x:v>
      </x:c>
      <x:c r="J1088" s="15" t="str">
        <x:v>TODO</x:v>
      </x:c>
      <x:c r="K1088" s="15" t="str">
        <x:v>P1</x:v>
      </x:c>
      <x:c r="L1088" s="15" t="str">
        <x:v>Done only when evidence is logged, contradiction search is noted, and boundary stamp remains non-canon unless ratified</x:v>
      </x:c>
      <x:c r="M1088" s="15" t="str">
        <x:v>candidate / staging-only / not canon / not deployed / authority none</x:v>
      </x:c>
      <x:c r="N1088" s="15" t="str">
        <x:v>Dispatch to GammaSprite: complete Graph Node Proposals x Planetarium; return deltas only, receipts required.</x:v>
      </x:c>
      <x:c r="O1088" s="15" t="str">
        <x:v>AF-KG-H07-S07</x:v>
      </x:c>
      <x:c r="P1088" s="15" t="str">
        <x:v>Unverified</x:v>
      </x:c>
      <x:c r="Q1088" s="15" t="str">
        <x:v>Not checked</x:v>
      </x:c>
      <x:c r="R1088" s="15" t="str"/>
      <x:c r="S1088" s="15" t="str"/>
      <x:c r="T1088" s="15" t="str">
        <x:v>Log first source path or blocker</x:v>
      </x:c>
      <x:c r="U1088" s="12" t="str">
        <x:f>IF(OR(P1088="Unverified",Q1088="Not checked"),"BLOCKED_PENDING_RECEIPT","READY_FOR_REVIEW")</x:f>
        <x:v>BLOCKED_PENDING_RECEIPT</x:v>
      </x:c>
      <x:c r="V1088" s="12" t="str">
        <x:f>IF(J1088="DONE","RETURNED",IF(U1088="BLOCKED_PENDING_RECEIPT","SOURCE_TOUCH_REQUIRED","IN_PROGRESS"))</x:f>
        <x:v>SOURCE_TOUCH_REQUIRED</x:v>
      </x:c>
      <x:c r="W1088" s="12" t="str">
        <x:f>IF(P1088="Unverified","missing_receipt","receipt_logged")</x:f>
        <x:v>missing_receipt</x:v>
      </x:c>
      <x:c r="X1088" s="12" t="str">
        <x:f>IF(Q1088="Not checked","raw_status_missing","raw_status_logged")</x:f>
        <x:v>raw_status_missing</x:v>
      </x:c>
      <x:c r="Y1088" s="12" t="str">
        <x:f>IF(U1088="BLOCKED_PENDING_RECEIPT","Log source path or blocker; do not promote","Route to review lane")</x:f>
        <x:v>Log source path or blocker; do not promote</x:v>
      </x:c>
      <x:c r="Z1088" s="12" t="str">
        <x:f>IF(K1088="P0","Primary seat + Hashlight/Lucerna","Seat lane")</x:f>
        <x:v>Seat lane</x:v>
      </x:c>
      <x:c r="AA1088" s="12" t="str">
        <x:f>IF(R1088="","no_claim_delta","claim_delta_present")</x:f>
        <x:v>no_claim_delta</x:v>
      </x:c>
      <x:c r="AB1088" s="12" t="str">
        <x:f>IF(S1088="","no_contradiction_delta","contradiction_delta_present")</x:f>
        <x:v>no_contradiction_delta</x:v>
      </x:c>
      <x:c r="AC1088" s="12" t="str">
        <x:f>IF(OR(ISNUMBER(SEARCH("hacker",LOWER(F1088&amp;" "&amp;H1088&amp;" "&amp;I1088&amp;" "&amp;M1088&amp;" "&amp;N1088&amp;" "&amp;T1088))),ISNUMBER(SEARCH("hacking",LOWER(F1088&amp;" "&amp;H1088&amp;" "&amp;I1088&amp;" "&amp;M1088&amp;" "&amp;N1088&amp;" "&amp;T1088))),ISNUMBER(SEARCH("bank",LOWER(F1088&amp;" "&amp;H1088&amp;" "&amp;I1088&amp;" "&amp;M1088&amp;" "&amp;N1088&amp;" "&amp;T1088))),ISNUMBER(SEARCH("banking",LOWER(F1088&amp;" "&amp;H1088&amp;" "&amp;I1088&amp;" "&amp;M1088&amp;" "&amp;N1088&amp;" "&amp;T1088)))),"PRIVATE_QUARANTINE",IF(OR(ISNUMBER(SEARCH("treasury",LOWER(F1088&amp;" "&amp;H1088&amp;" "&amp;I1088&amp;" "&amp;M1088&amp;" "&amp;N1088&amp;" "&amp;T1088))),ISNUMBER(SEARCH("debt",LOWER(F1088&amp;" "&amp;H1088&amp;" "&amp;I1088&amp;" "&amp;M1088&amp;" "&amp;N1088&amp;" "&amp;T1088))),ISNUMBER(SEARCH("bond",LOWER(F1088&amp;" "&amp;H1088&amp;" "&amp;I1088&amp;" "&amp;M1088&amp;" "&amp;N1088&amp;" "&amp;T1088))),ISNUMBER(SEARCH("transaction",LOWER(F1088&amp;" "&amp;H1088&amp;" "&amp;I1088&amp;" "&amp;M1088&amp;" "&amp;N1088&amp;" "&amp;T1088)))),"PRIVATE_REVIEW","PUBLIC_CANDIDATE"))</x:f>
        <x:v>PUBLIC_CANDIDATE</x:v>
      </x:c>
      <x:c r="AD1088" s="12" t="str">
        <x:f>IF(AC1088="PRIVATE_QUARANTINE","hacker_or_bank_trigger",IF(AC1088="PRIVATE_REVIEW","finance_risk_trigger","none"))</x:f>
        <x:v>none</x:v>
      </x:c>
      <x:c r="AE1088" s="12" t="str">
        <x:f>IF(AC1088="PUBLIC_CANDIDATE","prepare_public_github_candidate",IF(AC1088="PRIVATE_REVIEW","hold_for_private_review","quarantine_private_do_not_publish"))</x:f>
        <x:v>prepare_public_github_candidate</x:v>
      </x:c>
      <x:c r="AF1088" s="12" t="str">
        <x:f>IF(AC1088="PUBLIC_CANDIDATE","TIDELOCK + Lucerna",IF(AC1088="PRIVATE_REVIEW","AtlasBrain + Lucerna","TIDELOCK + Lucerna + Human-root"))</x:f>
        <x:v>TIDELOCK + Lucerna</x:v>
      </x:c>
      <x:c r="AG1088" s="12" t="str">
        <x:f>IF(AND(AC1088="PUBLIC_CANDIDATE",U1088&lt;&gt;"BLOCKED_PENDING_RECEIPT"),"READY_AFTER_RECEIPT","NOT_READY")</x:f>
        <x:v>NOT_READY</x:v>
      </x:c>
      <x:c r="AH1088" s="12" t="str">
        <x:f>IF(AC1088="PUBLIC_CANDIDATE","none",AD1088)</x:f>
        <x:v>none</x:v>
      </x:c>
      <x:c r="AI1088" s="12" t="str">
        <x:f>IF(AC1088="PUBLIC_CANDIDATE","archive/public_candidates/"&amp;A1088,"private_quarantine/"&amp;A1088)</x:f>
        <x:v>archive/public_candidates/SWARM-08-H07-S07</x:v>
      </x:c>
      <x:c r="AJ1088" s="12" t="str">
        <x:f>IF(AC1088="PUBLIC_CANDIDATE","public by default; still not canon","private/hold; do not publish")</x:f>
        <x:v>public by default; still not canon</x:v>
      </x:c>
      <x:c r="AK1088" s="12" t="str">
        <x:f>IF(AE1088="prepare_public_github_candidate","add receipt/status then mirror","resolve blocker before any public GitHub action")</x:f>
        <x:v>add receipt/status then mirror</x:v>
      </x:c>
    </x:row>
    <x:row r="1089">
      <x:c r="A1089" s="15" t="str">
        <x:v>SWARM-08-H07-S08</x:v>
      </x:c>
      <x:c r="B1089" s="15" t="str">
        <x:v>GammaSprite</x:v>
      </x:c>
      <x:c r="C1089" s="15" t="str">
        <x:v>Deck surface mapper</x:v>
      </x:c>
      <x:c r="D1089" s="15" t="str">
        <x:v>Graph Node Proposals</x:v>
      </x:c>
      <x:c r="E1089" s="15" t="str">
        <x:v>Sheldonbrain</x:v>
      </x:c>
      <x:c r="F1089" s="15" t="str">
        <x:v>Propose graph nodes for Sheldonbrain — GammaSprite</x:v>
      </x:c>
      <x:c r="G1089" s="15" t="str">
        <x:v>Gamma/deck extraction / slide lineage</x:v>
      </x:c>
      <x:c r="H1089" s="15" t="str">
        <x:v>source path + receipt + raw/export status + claim/edge/risk delta</x:v>
      </x:c>
      <x:c r="I1089" s="15" t="str">
        <x:v>packet/SWARM-08-H07-S08</x:v>
      </x:c>
      <x:c r="J1089" s="15" t="str">
        <x:v>TODO</x:v>
      </x:c>
      <x:c r="K1089" s="15" t="str">
        <x:v>P1</x:v>
      </x:c>
      <x:c r="L1089" s="15" t="str">
        <x:v>Done only when evidence is logged, contradiction search is noted, and boundary stamp remains non-canon unless ratified</x:v>
      </x:c>
      <x:c r="M1089" s="15" t="str">
        <x:v>candidate / staging-only / not canon / not deployed / authority none</x:v>
      </x:c>
      <x:c r="N1089" s="15" t="str">
        <x:v>Dispatch to GammaSprite: complete Graph Node Proposals x Sheldonbrain; return deltas only, receipts required.</x:v>
      </x:c>
      <x:c r="O1089" s="15" t="str">
        <x:v>AF-KG-H07-S08</x:v>
      </x:c>
      <x:c r="P1089" s="15" t="str">
        <x:v>Unverified</x:v>
      </x:c>
      <x:c r="Q1089" s="15" t="str">
        <x:v>Not checked</x:v>
      </x:c>
      <x:c r="R1089" s="15" t="str"/>
      <x:c r="S1089" s="15" t="str"/>
      <x:c r="T1089" s="15" t="str">
        <x:v>Log first source path or blocker</x:v>
      </x:c>
      <x:c r="U1089" s="12" t="str">
        <x:f>IF(OR(P1089="Unverified",Q1089="Not checked"),"BLOCKED_PENDING_RECEIPT","READY_FOR_REVIEW")</x:f>
        <x:v>BLOCKED_PENDING_RECEIPT</x:v>
      </x:c>
      <x:c r="V1089" s="12" t="str">
        <x:f>IF(J1089="DONE","RETURNED",IF(U1089="BLOCKED_PENDING_RECEIPT","SOURCE_TOUCH_REQUIRED","IN_PROGRESS"))</x:f>
        <x:v>SOURCE_TOUCH_REQUIRED</x:v>
      </x:c>
      <x:c r="W1089" s="12" t="str">
        <x:f>IF(P1089="Unverified","missing_receipt","receipt_logged")</x:f>
        <x:v>missing_receipt</x:v>
      </x:c>
      <x:c r="X1089" s="12" t="str">
        <x:f>IF(Q1089="Not checked","raw_status_missing","raw_status_logged")</x:f>
        <x:v>raw_status_missing</x:v>
      </x:c>
      <x:c r="Y1089" s="12" t="str">
        <x:f>IF(U1089="BLOCKED_PENDING_RECEIPT","Log source path or blocker; do not promote","Route to review lane")</x:f>
        <x:v>Log source path or blocker; do not promote</x:v>
      </x:c>
      <x:c r="Z1089" s="12" t="str">
        <x:f>IF(K1089="P0","Primary seat + Hashlight/Lucerna","Seat lane")</x:f>
        <x:v>Seat lane</x:v>
      </x:c>
      <x:c r="AA1089" s="12" t="str">
        <x:f>IF(R1089="","no_claim_delta","claim_delta_present")</x:f>
        <x:v>no_claim_delta</x:v>
      </x:c>
      <x:c r="AB1089" s="12" t="str">
        <x:f>IF(S1089="","no_contradiction_delta","contradiction_delta_present")</x:f>
        <x:v>no_contradiction_delta</x:v>
      </x:c>
      <x:c r="AC1089" s="12" t="str">
        <x:f>IF(OR(ISNUMBER(SEARCH("hacker",LOWER(F1089&amp;" "&amp;H1089&amp;" "&amp;I1089&amp;" "&amp;M1089&amp;" "&amp;N1089&amp;" "&amp;T1089))),ISNUMBER(SEARCH("hacking",LOWER(F1089&amp;" "&amp;H1089&amp;" "&amp;I1089&amp;" "&amp;M1089&amp;" "&amp;N1089&amp;" "&amp;T1089))),ISNUMBER(SEARCH("bank",LOWER(F1089&amp;" "&amp;H1089&amp;" "&amp;I1089&amp;" "&amp;M1089&amp;" "&amp;N1089&amp;" "&amp;T1089))),ISNUMBER(SEARCH("banking",LOWER(F1089&amp;" "&amp;H1089&amp;" "&amp;I1089&amp;" "&amp;M1089&amp;" "&amp;N1089&amp;" "&amp;T1089)))),"PRIVATE_QUARANTINE",IF(OR(ISNUMBER(SEARCH("treasury",LOWER(F1089&amp;" "&amp;H1089&amp;" "&amp;I1089&amp;" "&amp;M1089&amp;" "&amp;N1089&amp;" "&amp;T1089))),ISNUMBER(SEARCH("debt",LOWER(F1089&amp;" "&amp;H1089&amp;" "&amp;I1089&amp;" "&amp;M1089&amp;" "&amp;N1089&amp;" "&amp;T1089))),ISNUMBER(SEARCH("bond",LOWER(F1089&amp;" "&amp;H1089&amp;" "&amp;I1089&amp;" "&amp;M1089&amp;" "&amp;N1089&amp;" "&amp;T1089))),ISNUMBER(SEARCH("transaction",LOWER(F1089&amp;" "&amp;H1089&amp;" "&amp;I1089&amp;" "&amp;M1089&amp;" "&amp;N1089&amp;" "&amp;T1089)))),"PRIVATE_REVIEW","PUBLIC_CANDIDATE"))</x:f>
        <x:v>PUBLIC_CANDIDATE</x:v>
      </x:c>
      <x:c r="AD1089" s="12" t="str">
        <x:f>IF(AC1089="PRIVATE_QUARANTINE","hacker_or_bank_trigger",IF(AC1089="PRIVATE_REVIEW","finance_risk_trigger","none"))</x:f>
        <x:v>none</x:v>
      </x:c>
      <x:c r="AE1089" s="12" t="str">
        <x:f>IF(AC1089="PUBLIC_CANDIDATE","prepare_public_github_candidate",IF(AC1089="PRIVATE_REVIEW","hold_for_private_review","quarantine_private_do_not_publish"))</x:f>
        <x:v>prepare_public_github_candidate</x:v>
      </x:c>
      <x:c r="AF1089" s="12" t="str">
        <x:f>IF(AC1089="PUBLIC_CANDIDATE","TIDELOCK + Lucerna",IF(AC1089="PRIVATE_REVIEW","AtlasBrain + Lucerna","TIDELOCK + Lucerna + Human-root"))</x:f>
        <x:v>TIDELOCK + Lucerna</x:v>
      </x:c>
      <x:c r="AG1089" s="12" t="str">
        <x:f>IF(AND(AC1089="PUBLIC_CANDIDATE",U1089&lt;&gt;"BLOCKED_PENDING_RECEIPT"),"READY_AFTER_RECEIPT","NOT_READY")</x:f>
        <x:v>NOT_READY</x:v>
      </x:c>
      <x:c r="AH1089" s="12" t="str">
        <x:f>IF(AC1089="PUBLIC_CANDIDATE","none",AD1089)</x:f>
        <x:v>none</x:v>
      </x:c>
      <x:c r="AI1089" s="12" t="str">
        <x:f>IF(AC1089="PUBLIC_CANDIDATE","archive/public_candidates/"&amp;A1089,"private_quarantine/"&amp;A1089)</x:f>
        <x:v>archive/public_candidates/SWARM-08-H07-S08</x:v>
      </x:c>
      <x:c r="AJ1089" s="12" t="str">
        <x:f>IF(AC1089="PUBLIC_CANDIDATE","public by default; still not canon","private/hold; do not publish")</x:f>
        <x:v>public by default; still not canon</x:v>
      </x:c>
      <x:c r="AK1089" s="12" t="str">
        <x:f>IF(AE1089="prepare_public_github_candidate","add receipt/status then mirror","resolve blocker before any public GitHub action")</x:f>
        <x:v>add receipt/status then mirror</x:v>
      </x:c>
    </x:row>
    <x:row r="1090">
      <x:c r="A1090" s="15" t="str">
        <x:v>SWARM-08-H07-S09</x:v>
      </x:c>
      <x:c r="B1090" s="15" t="str">
        <x:v>GammaSprite</x:v>
      </x:c>
      <x:c r="C1090" s="15" t="str">
        <x:v>Deck surface mapper</x:v>
      </x:c>
      <x:c r="D1090" s="15" t="str">
        <x:v>Graph Node Proposals</x:v>
      </x:c>
      <x:c r="E1090" s="15" t="str">
        <x:v>Aetherforge</x:v>
      </x:c>
      <x:c r="F1090" s="15" t="str">
        <x:v>Propose graph nodes for Aetherforge — GammaSprite</x:v>
      </x:c>
      <x:c r="G1090" s="15" t="str">
        <x:v>Gamma/deck extraction / slide lineage</x:v>
      </x:c>
      <x:c r="H1090" s="15" t="str">
        <x:v>source path + receipt + raw/export status + claim/edge/risk delta</x:v>
      </x:c>
      <x:c r="I1090" s="15" t="str">
        <x:v>packet/SWARM-08-H07-S09</x:v>
      </x:c>
      <x:c r="J1090" s="15" t="str">
        <x:v>TODO</x:v>
      </x:c>
      <x:c r="K1090" s="15" t="str">
        <x:v>P2</x:v>
      </x:c>
      <x:c r="L1090" s="15" t="str">
        <x:v>Done only when evidence is logged, contradiction search is noted, and boundary stamp remains non-canon unless ratified</x:v>
      </x:c>
      <x:c r="M1090" s="15" t="str">
        <x:v>candidate / staging-only / not canon / not deployed / authority none</x:v>
      </x:c>
      <x:c r="N1090" s="15" t="str">
        <x:v>Dispatch to GammaSprite: complete Graph Node Proposals x Aetherforge; return deltas only, receipts required.</x:v>
      </x:c>
      <x:c r="O1090" s="15" t="str">
        <x:v>AF-KG-H07-S09</x:v>
      </x:c>
      <x:c r="P1090" s="15" t="str">
        <x:v>Unverified</x:v>
      </x:c>
      <x:c r="Q1090" s="15" t="str">
        <x:v>Not checked</x:v>
      </x:c>
      <x:c r="R1090" s="15" t="str"/>
      <x:c r="S1090" s="15" t="str"/>
      <x:c r="T1090" s="15" t="str">
        <x:v>Log first source path or blocker</x:v>
      </x:c>
      <x:c r="U1090" s="12" t="str">
        <x:f>IF(OR(P1090="Unverified",Q1090="Not checked"),"BLOCKED_PENDING_RECEIPT","READY_FOR_REVIEW")</x:f>
        <x:v>BLOCKED_PENDING_RECEIPT</x:v>
      </x:c>
      <x:c r="V1090" s="12" t="str">
        <x:f>IF(J1090="DONE","RETURNED",IF(U1090="BLOCKED_PENDING_RECEIPT","SOURCE_TOUCH_REQUIRED","IN_PROGRESS"))</x:f>
        <x:v>SOURCE_TOUCH_REQUIRED</x:v>
      </x:c>
      <x:c r="W1090" s="12" t="str">
        <x:f>IF(P1090="Unverified","missing_receipt","receipt_logged")</x:f>
        <x:v>missing_receipt</x:v>
      </x:c>
      <x:c r="X1090" s="12" t="str">
        <x:f>IF(Q1090="Not checked","raw_status_missing","raw_status_logged")</x:f>
        <x:v>raw_status_missing</x:v>
      </x:c>
      <x:c r="Y1090" s="12" t="str">
        <x:f>IF(U1090="BLOCKED_PENDING_RECEIPT","Log source path or blocker; do not promote","Route to review lane")</x:f>
        <x:v>Log source path or blocker; do not promote</x:v>
      </x:c>
      <x:c r="Z1090" s="12" t="str">
        <x:f>IF(K1090="P0","Primary seat + Hashlight/Lucerna","Seat lane")</x:f>
        <x:v>Seat lane</x:v>
      </x:c>
      <x:c r="AA1090" s="12" t="str">
        <x:f>IF(R1090="","no_claim_delta","claim_delta_present")</x:f>
        <x:v>no_claim_delta</x:v>
      </x:c>
      <x:c r="AB1090" s="12" t="str">
        <x:f>IF(S1090="","no_contradiction_delta","contradiction_delta_present")</x:f>
        <x:v>no_contradiction_delta</x:v>
      </x:c>
      <x:c r="AC1090" s="12" t="str">
        <x:f>IF(OR(ISNUMBER(SEARCH("hacker",LOWER(F1090&amp;" "&amp;H1090&amp;" "&amp;I1090&amp;" "&amp;M1090&amp;" "&amp;N1090&amp;" "&amp;T1090))),ISNUMBER(SEARCH("hacking",LOWER(F1090&amp;" "&amp;H1090&amp;" "&amp;I1090&amp;" "&amp;M1090&amp;" "&amp;N1090&amp;" "&amp;T1090))),ISNUMBER(SEARCH("bank",LOWER(F1090&amp;" "&amp;H1090&amp;" "&amp;I1090&amp;" "&amp;M1090&amp;" "&amp;N1090&amp;" "&amp;T1090))),ISNUMBER(SEARCH("banking",LOWER(F1090&amp;" "&amp;H1090&amp;" "&amp;I1090&amp;" "&amp;M1090&amp;" "&amp;N1090&amp;" "&amp;T1090)))),"PRIVATE_QUARANTINE",IF(OR(ISNUMBER(SEARCH("treasury",LOWER(F1090&amp;" "&amp;H1090&amp;" "&amp;I1090&amp;" "&amp;M1090&amp;" "&amp;N1090&amp;" "&amp;T1090))),ISNUMBER(SEARCH("debt",LOWER(F1090&amp;" "&amp;H1090&amp;" "&amp;I1090&amp;" "&amp;M1090&amp;" "&amp;N1090&amp;" "&amp;T1090))),ISNUMBER(SEARCH("bond",LOWER(F1090&amp;" "&amp;H1090&amp;" "&amp;I1090&amp;" "&amp;M1090&amp;" "&amp;N1090&amp;" "&amp;T1090))),ISNUMBER(SEARCH("transaction",LOWER(F1090&amp;" "&amp;H1090&amp;" "&amp;I1090&amp;" "&amp;M1090&amp;" "&amp;N1090&amp;" "&amp;T1090)))),"PRIVATE_REVIEW","PUBLIC_CANDIDATE"))</x:f>
        <x:v>PUBLIC_CANDIDATE</x:v>
      </x:c>
      <x:c r="AD1090" s="12" t="str">
        <x:f>IF(AC1090="PRIVATE_QUARANTINE","hacker_or_bank_trigger",IF(AC1090="PRIVATE_REVIEW","finance_risk_trigger","none"))</x:f>
        <x:v>none</x:v>
      </x:c>
      <x:c r="AE1090" s="12" t="str">
        <x:f>IF(AC1090="PUBLIC_CANDIDATE","prepare_public_github_candidate",IF(AC1090="PRIVATE_REVIEW","hold_for_private_review","quarantine_private_do_not_publish"))</x:f>
        <x:v>prepare_public_github_candidate</x:v>
      </x:c>
      <x:c r="AF1090" s="12" t="str">
        <x:f>IF(AC1090="PUBLIC_CANDIDATE","TIDELOCK + Lucerna",IF(AC1090="PRIVATE_REVIEW","AtlasBrain + Lucerna","TIDELOCK + Lucerna + Human-root"))</x:f>
        <x:v>TIDELOCK + Lucerna</x:v>
      </x:c>
      <x:c r="AG1090" s="12" t="str">
        <x:f>IF(AND(AC1090="PUBLIC_CANDIDATE",U1090&lt;&gt;"BLOCKED_PENDING_RECEIPT"),"READY_AFTER_RECEIPT","NOT_READY")</x:f>
        <x:v>NOT_READY</x:v>
      </x:c>
      <x:c r="AH1090" s="12" t="str">
        <x:f>IF(AC1090="PUBLIC_CANDIDATE","none",AD1090)</x:f>
        <x:v>none</x:v>
      </x:c>
      <x:c r="AI1090" s="12" t="str">
        <x:f>IF(AC1090="PUBLIC_CANDIDATE","archive/public_candidates/"&amp;A1090,"private_quarantine/"&amp;A1090)</x:f>
        <x:v>archive/public_candidates/SWARM-08-H07-S09</x:v>
      </x:c>
      <x:c r="AJ1090" s="12" t="str">
        <x:f>IF(AC1090="PUBLIC_CANDIDATE","public by default; still not canon","private/hold; do not publish")</x:f>
        <x:v>public by default; still not canon</x:v>
      </x:c>
      <x:c r="AK1090" s="12" t="str">
        <x:f>IF(AE1090="prepare_public_github_candidate","add receipt/status then mirror","resolve blocker before any public GitHub action")</x:f>
        <x:v>add receipt/status then mirror</x:v>
      </x:c>
    </x:row>
    <x:row r="1091">
      <x:c r="A1091" s="15" t="str">
        <x:v>SWARM-08-H07-S10</x:v>
      </x:c>
      <x:c r="B1091" s="15" t="str">
        <x:v>GammaSprite</x:v>
      </x:c>
      <x:c r="C1091" s="15" t="str">
        <x:v>Deck surface mapper</x:v>
      </x:c>
      <x:c r="D1091" s="15" t="str">
        <x:v>Graph Node Proposals</x:v>
      </x:c>
      <x:c r="E1091" s="15" t="str">
        <x:v>Human-Root</x:v>
      </x:c>
      <x:c r="F1091" s="15" t="str">
        <x:v>Propose graph nodes for Human-Root — GammaSprite</x:v>
      </x:c>
      <x:c r="G1091" s="15" t="str">
        <x:v>Gamma/deck extraction / slide lineage</x:v>
      </x:c>
      <x:c r="H1091" s="15" t="str">
        <x:v>source path + receipt + raw/export status + claim/edge/risk delta</x:v>
      </x:c>
      <x:c r="I1091" s="15" t="str">
        <x:v>packet/SWARM-08-H07-S10</x:v>
      </x:c>
      <x:c r="J1091" s="15" t="str">
        <x:v>TODO</x:v>
      </x:c>
      <x:c r="K1091" s="15" t="str">
        <x:v>P2</x:v>
      </x:c>
      <x:c r="L1091" s="15" t="str">
        <x:v>Done only when evidence is logged, contradiction search is noted, and boundary stamp remains non-canon unless ratified</x:v>
      </x:c>
      <x:c r="M1091" s="15" t="str">
        <x:v>candidate / staging-only / not canon / not deployed / authority none</x:v>
      </x:c>
      <x:c r="N1091" s="15" t="str">
        <x:v>Dispatch to GammaSprite: complete Graph Node Proposals x Human-Root; return deltas only, receipts required.</x:v>
      </x:c>
      <x:c r="O1091" s="15" t="str">
        <x:v>AF-KG-H07-S10</x:v>
      </x:c>
      <x:c r="P1091" s="15" t="str">
        <x:v>Unverified</x:v>
      </x:c>
      <x:c r="Q1091" s="15" t="str">
        <x:v>Not checked</x:v>
      </x:c>
      <x:c r="R1091" s="15" t="str"/>
      <x:c r="S1091" s="15" t="str"/>
      <x:c r="T1091" s="15" t="str">
        <x:v>Log first source path or blocker</x:v>
      </x:c>
      <x:c r="U1091" s="12" t="str">
        <x:f>IF(OR(P1091="Unverified",Q1091="Not checked"),"BLOCKED_PENDING_RECEIPT","READY_FOR_REVIEW")</x:f>
        <x:v>BLOCKED_PENDING_RECEIPT</x:v>
      </x:c>
      <x:c r="V1091" s="12" t="str">
        <x:f>IF(J1091="DONE","RETURNED",IF(U1091="BLOCKED_PENDING_RECEIPT","SOURCE_TOUCH_REQUIRED","IN_PROGRESS"))</x:f>
        <x:v>SOURCE_TOUCH_REQUIRED</x:v>
      </x:c>
      <x:c r="W1091" s="12" t="str">
        <x:f>IF(P1091="Unverified","missing_receipt","receipt_logged")</x:f>
        <x:v>missing_receipt</x:v>
      </x:c>
      <x:c r="X1091" s="12" t="str">
        <x:f>IF(Q1091="Not checked","raw_status_missing","raw_status_logged")</x:f>
        <x:v>raw_status_missing</x:v>
      </x:c>
      <x:c r="Y1091" s="12" t="str">
        <x:f>IF(U1091="BLOCKED_PENDING_RECEIPT","Log source path or blocker; do not promote","Route to review lane")</x:f>
        <x:v>Log source path or blocker; do not promote</x:v>
      </x:c>
      <x:c r="Z1091" s="12" t="str">
        <x:f>IF(K1091="P0","Primary seat + Hashlight/Lucerna","Seat lane")</x:f>
        <x:v>Seat lane</x:v>
      </x:c>
      <x:c r="AA1091" s="12" t="str">
        <x:f>IF(R1091="","no_claim_delta","claim_delta_present")</x:f>
        <x:v>no_claim_delta</x:v>
      </x:c>
      <x:c r="AB1091" s="12" t="str">
        <x:f>IF(S1091="","no_contradiction_delta","contradiction_delta_present")</x:f>
        <x:v>no_contradiction_delta</x:v>
      </x:c>
      <x:c r="AC1091" s="12" t="str">
        <x:f>IF(OR(ISNUMBER(SEARCH("hacker",LOWER(F1091&amp;" "&amp;H1091&amp;" "&amp;I1091&amp;" "&amp;M1091&amp;" "&amp;N1091&amp;" "&amp;T1091))),ISNUMBER(SEARCH("hacking",LOWER(F1091&amp;" "&amp;H1091&amp;" "&amp;I1091&amp;" "&amp;M1091&amp;" "&amp;N1091&amp;" "&amp;T1091))),ISNUMBER(SEARCH("bank",LOWER(F1091&amp;" "&amp;H1091&amp;" "&amp;I1091&amp;" "&amp;M1091&amp;" "&amp;N1091&amp;" "&amp;T1091))),ISNUMBER(SEARCH("banking",LOWER(F1091&amp;" "&amp;H1091&amp;" "&amp;I1091&amp;" "&amp;M1091&amp;" "&amp;N1091&amp;" "&amp;T1091)))),"PRIVATE_QUARANTINE",IF(OR(ISNUMBER(SEARCH("treasury",LOWER(F1091&amp;" "&amp;H1091&amp;" "&amp;I1091&amp;" "&amp;M1091&amp;" "&amp;N1091&amp;" "&amp;T1091))),ISNUMBER(SEARCH("debt",LOWER(F1091&amp;" "&amp;H1091&amp;" "&amp;I1091&amp;" "&amp;M1091&amp;" "&amp;N1091&amp;" "&amp;T1091))),ISNUMBER(SEARCH("bond",LOWER(F1091&amp;" "&amp;H1091&amp;" "&amp;I1091&amp;" "&amp;M1091&amp;" "&amp;N1091&amp;" "&amp;T1091))),ISNUMBER(SEARCH("transaction",LOWER(F1091&amp;" "&amp;H1091&amp;" "&amp;I1091&amp;" "&amp;M1091&amp;" "&amp;N1091&amp;" "&amp;T1091)))),"PRIVATE_REVIEW","PUBLIC_CANDIDATE"))</x:f>
        <x:v>PUBLIC_CANDIDATE</x:v>
      </x:c>
      <x:c r="AD1091" s="12" t="str">
        <x:f>IF(AC1091="PRIVATE_QUARANTINE","hacker_or_bank_trigger",IF(AC1091="PRIVATE_REVIEW","finance_risk_trigger","none"))</x:f>
        <x:v>none</x:v>
      </x:c>
      <x:c r="AE1091" s="12" t="str">
        <x:f>IF(AC1091="PUBLIC_CANDIDATE","prepare_public_github_candidate",IF(AC1091="PRIVATE_REVIEW","hold_for_private_review","quarantine_private_do_not_publish"))</x:f>
        <x:v>prepare_public_github_candidate</x:v>
      </x:c>
      <x:c r="AF1091" s="12" t="str">
        <x:f>IF(AC1091="PUBLIC_CANDIDATE","TIDELOCK + Lucerna",IF(AC1091="PRIVATE_REVIEW","AtlasBrain + Lucerna","TIDELOCK + Lucerna + Human-root"))</x:f>
        <x:v>TIDELOCK + Lucerna</x:v>
      </x:c>
      <x:c r="AG1091" s="12" t="str">
        <x:f>IF(AND(AC1091="PUBLIC_CANDIDATE",U1091&lt;&gt;"BLOCKED_PENDING_RECEIPT"),"READY_AFTER_RECEIPT","NOT_READY")</x:f>
        <x:v>NOT_READY</x:v>
      </x:c>
      <x:c r="AH1091" s="12" t="str">
        <x:f>IF(AC1091="PUBLIC_CANDIDATE","none",AD1091)</x:f>
        <x:v>none</x:v>
      </x:c>
      <x:c r="AI1091" s="12" t="str">
        <x:f>IF(AC1091="PUBLIC_CANDIDATE","archive/public_candidates/"&amp;A1091,"private_quarantine/"&amp;A1091)</x:f>
        <x:v>archive/public_candidates/SWARM-08-H07-S10</x:v>
      </x:c>
      <x:c r="AJ1091" s="12" t="str">
        <x:f>IF(AC1091="PUBLIC_CANDIDATE","public by default; still not canon","private/hold; do not publish")</x:f>
        <x:v>public by default; still not canon</x:v>
      </x:c>
      <x:c r="AK1091" s="12" t="str">
        <x:f>IF(AE1091="prepare_public_github_candidate","add receipt/status then mirror","resolve blocker before any public GitHub action")</x:f>
        <x:v>add receipt/status then mirror</x:v>
      </x:c>
    </x:row>
    <x:row r="1092">
      <x:c r="A1092" s="15" t="str">
        <x:v>SWARM-08-H07-S11</x:v>
      </x:c>
      <x:c r="B1092" s="15" t="str">
        <x:v>GammaSprite</x:v>
      </x:c>
      <x:c r="C1092" s="15" t="str">
        <x:v>Deck surface mapper</x:v>
      </x:c>
      <x:c r="D1092" s="15" t="str">
        <x:v>Graph Node Proposals</x:v>
      </x:c>
      <x:c r="E1092" s="15" t="str">
        <x:v>Automation</x:v>
      </x:c>
      <x:c r="F1092" s="15" t="str">
        <x:v>Propose graph nodes for Automation — GammaSprite</x:v>
      </x:c>
      <x:c r="G1092" s="15" t="str">
        <x:v>Gamma/deck extraction / slide lineage</x:v>
      </x:c>
      <x:c r="H1092" s="15" t="str">
        <x:v>source path + receipt + raw/export status + claim/edge/risk delta</x:v>
      </x:c>
      <x:c r="I1092" s="15" t="str">
        <x:v>packet/SWARM-08-H07-S11</x:v>
      </x:c>
      <x:c r="J1092" s="15" t="str">
        <x:v>TODO</x:v>
      </x:c>
      <x:c r="K1092" s="15" t="str">
        <x:v>P2</x:v>
      </x:c>
      <x:c r="L1092" s="15" t="str">
        <x:v>Done only when evidence is logged, contradiction search is noted, and boundary stamp remains non-canon unless ratified</x:v>
      </x:c>
      <x:c r="M1092" s="15" t="str">
        <x:v>candidate / staging-only / not canon / not deployed / authority none</x:v>
      </x:c>
      <x:c r="N1092" s="15" t="str">
        <x:v>Dispatch to GammaSprite: complete Graph Node Proposals x Automation; return deltas only, receipts required.</x:v>
      </x:c>
      <x:c r="O1092" s="15" t="str">
        <x:v>AF-KG-H07-S11</x:v>
      </x:c>
      <x:c r="P1092" s="15" t="str">
        <x:v>Unverified</x:v>
      </x:c>
      <x:c r="Q1092" s="15" t="str">
        <x:v>Not checked</x:v>
      </x:c>
      <x:c r="R1092" s="15" t="str"/>
      <x:c r="S1092" s="15" t="str"/>
      <x:c r="T1092" s="15" t="str">
        <x:v>Log first source path or blocker</x:v>
      </x:c>
      <x:c r="U1092" s="12" t="str">
        <x:f>IF(OR(P1092="Unverified",Q1092="Not checked"),"BLOCKED_PENDING_RECEIPT","READY_FOR_REVIEW")</x:f>
        <x:v>BLOCKED_PENDING_RECEIPT</x:v>
      </x:c>
      <x:c r="V1092" s="12" t="str">
        <x:f>IF(J1092="DONE","RETURNED",IF(U1092="BLOCKED_PENDING_RECEIPT","SOURCE_TOUCH_REQUIRED","IN_PROGRESS"))</x:f>
        <x:v>SOURCE_TOUCH_REQUIRED</x:v>
      </x:c>
      <x:c r="W1092" s="12" t="str">
        <x:f>IF(P1092="Unverified","missing_receipt","receipt_logged")</x:f>
        <x:v>missing_receipt</x:v>
      </x:c>
      <x:c r="X1092" s="12" t="str">
        <x:f>IF(Q1092="Not checked","raw_status_missing","raw_status_logged")</x:f>
        <x:v>raw_status_missing</x:v>
      </x:c>
      <x:c r="Y1092" s="12" t="str">
        <x:f>IF(U1092="BLOCKED_PENDING_RECEIPT","Log source path or blocker; do not promote","Route to review lane")</x:f>
        <x:v>Log source path or blocker; do not promote</x:v>
      </x:c>
      <x:c r="Z1092" s="12" t="str">
        <x:f>IF(K1092="P0","Primary seat + Hashlight/Lucerna","Seat lane")</x:f>
        <x:v>Seat lane</x:v>
      </x:c>
      <x:c r="AA1092" s="12" t="str">
        <x:f>IF(R1092="","no_claim_delta","claim_delta_present")</x:f>
        <x:v>no_claim_delta</x:v>
      </x:c>
      <x:c r="AB1092" s="12" t="str">
        <x:f>IF(S1092="","no_contradiction_delta","contradiction_delta_present")</x:f>
        <x:v>no_contradiction_delta</x:v>
      </x:c>
      <x:c r="AC1092" s="12" t="str">
        <x:f>IF(OR(ISNUMBER(SEARCH("hacker",LOWER(F1092&amp;" "&amp;H1092&amp;" "&amp;I1092&amp;" "&amp;M1092&amp;" "&amp;N1092&amp;" "&amp;T1092))),ISNUMBER(SEARCH("hacking",LOWER(F1092&amp;" "&amp;H1092&amp;" "&amp;I1092&amp;" "&amp;M1092&amp;" "&amp;N1092&amp;" "&amp;T1092))),ISNUMBER(SEARCH("bank",LOWER(F1092&amp;" "&amp;H1092&amp;" "&amp;I1092&amp;" "&amp;M1092&amp;" "&amp;N1092&amp;" "&amp;T1092))),ISNUMBER(SEARCH("banking",LOWER(F1092&amp;" "&amp;H1092&amp;" "&amp;I1092&amp;" "&amp;M1092&amp;" "&amp;N1092&amp;" "&amp;T1092)))),"PRIVATE_QUARANTINE",IF(OR(ISNUMBER(SEARCH("treasury",LOWER(F1092&amp;" "&amp;H1092&amp;" "&amp;I1092&amp;" "&amp;M1092&amp;" "&amp;N1092&amp;" "&amp;T1092))),ISNUMBER(SEARCH("debt",LOWER(F1092&amp;" "&amp;H1092&amp;" "&amp;I1092&amp;" "&amp;M1092&amp;" "&amp;N1092&amp;" "&amp;T1092))),ISNUMBER(SEARCH("bond",LOWER(F1092&amp;" "&amp;H1092&amp;" "&amp;I1092&amp;" "&amp;M1092&amp;" "&amp;N1092&amp;" "&amp;T1092))),ISNUMBER(SEARCH("transaction",LOWER(F1092&amp;" "&amp;H1092&amp;" "&amp;I1092&amp;" "&amp;M1092&amp;" "&amp;N1092&amp;" "&amp;T1092)))),"PRIVATE_REVIEW","PUBLIC_CANDIDATE"))</x:f>
        <x:v>PUBLIC_CANDIDATE</x:v>
      </x:c>
      <x:c r="AD1092" s="12" t="str">
        <x:f>IF(AC1092="PRIVATE_QUARANTINE","hacker_or_bank_trigger",IF(AC1092="PRIVATE_REVIEW","finance_risk_trigger","none"))</x:f>
        <x:v>none</x:v>
      </x:c>
      <x:c r="AE1092" s="12" t="str">
        <x:f>IF(AC1092="PUBLIC_CANDIDATE","prepare_public_github_candidate",IF(AC1092="PRIVATE_REVIEW","hold_for_private_review","quarantine_private_do_not_publish"))</x:f>
        <x:v>prepare_public_github_candidate</x:v>
      </x:c>
      <x:c r="AF1092" s="12" t="str">
        <x:f>IF(AC1092="PUBLIC_CANDIDATE","TIDELOCK + Lucerna",IF(AC1092="PRIVATE_REVIEW","AtlasBrain + Lucerna","TIDELOCK + Lucerna + Human-root"))</x:f>
        <x:v>TIDELOCK + Lucerna</x:v>
      </x:c>
      <x:c r="AG1092" s="12" t="str">
        <x:f>IF(AND(AC1092="PUBLIC_CANDIDATE",U1092&lt;&gt;"BLOCKED_PENDING_RECEIPT"),"READY_AFTER_RECEIPT","NOT_READY")</x:f>
        <x:v>NOT_READY</x:v>
      </x:c>
      <x:c r="AH1092" s="12" t="str">
        <x:f>IF(AC1092="PUBLIC_CANDIDATE","none",AD1092)</x:f>
        <x:v>none</x:v>
      </x:c>
      <x:c r="AI1092" s="12" t="str">
        <x:f>IF(AC1092="PUBLIC_CANDIDATE","archive/public_candidates/"&amp;A1092,"private_quarantine/"&amp;A1092)</x:f>
        <x:v>archive/public_candidates/SWARM-08-H07-S11</x:v>
      </x:c>
      <x:c r="AJ1092" s="12" t="str">
        <x:f>IF(AC1092="PUBLIC_CANDIDATE","public by default; still not canon","private/hold; do not publish")</x:f>
        <x:v>public by default; still not canon</x:v>
      </x:c>
      <x:c r="AK1092" s="12" t="str">
        <x:f>IF(AE1092="prepare_public_github_candidate","add receipt/status then mirror","resolve blocker before any public GitHub action")</x:f>
        <x:v>add receipt/status then mirror</x:v>
      </x:c>
    </x:row>
    <x:row r="1093">
      <x:c r="A1093" s="15" t="str">
        <x:v>SWARM-08-H07-S12</x:v>
      </x:c>
      <x:c r="B1093" s="15" t="str">
        <x:v>GammaSprite</x:v>
      </x:c>
      <x:c r="C1093" s="15" t="str">
        <x:v>Deck surface mapper</x:v>
      </x:c>
      <x:c r="D1093" s="15" t="str">
        <x:v>Graph Node Proposals</x:v>
      </x:c>
      <x:c r="E1093" s="15" t="str">
        <x:v>Risk / Safety</x:v>
      </x:c>
      <x:c r="F1093" s="15" t="str">
        <x:v>Propose graph nodes for Risk / Safety — GammaSprite</x:v>
      </x:c>
      <x:c r="G1093" s="15" t="str">
        <x:v>Gamma/deck extraction / slide lineage</x:v>
      </x:c>
      <x:c r="H1093" s="15" t="str">
        <x:v>source path + receipt + raw/export status + claim/edge/risk delta</x:v>
      </x:c>
      <x:c r="I1093" s="15" t="str">
        <x:v>packet/SWARM-08-H07-S12</x:v>
      </x:c>
      <x:c r="J1093" s="15" t="str">
        <x:v>TODO</x:v>
      </x:c>
      <x:c r="K1093" s="15" t="str">
        <x:v>P2</x:v>
      </x:c>
      <x:c r="L1093" s="15" t="str">
        <x:v>Done only when evidence is logged, contradiction search is noted, and boundary stamp remains non-canon unless ratified</x:v>
      </x:c>
      <x:c r="M1093" s="15" t="str">
        <x:v>candidate / staging-only / not canon / not deployed / authority none</x:v>
      </x:c>
      <x:c r="N1093" s="15" t="str">
        <x:v>Dispatch to GammaSprite: complete Graph Node Proposals x Risk / Safety; return deltas only, receipts required.</x:v>
      </x:c>
      <x:c r="O1093" s="15" t="str">
        <x:v>AF-KG-H07-S12</x:v>
      </x:c>
      <x:c r="P1093" s="15" t="str">
        <x:v>Unverified</x:v>
      </x:c>
      <x:c r="Q1093" s="15" t="str">
        <x:v>Not checked</x:v>
      </x:c>
      <x:c r="R1093" s="15" t="str"/>
      <x:c r="S1093" s="15" t="str"/>
      <x:c r="T1093" s="15" t="str">
        <x:v>Log first source path or blocker</x:v>
      </x:c>
      <x:c r="U1093" s="12" t="str">
        <x:f>IF(OR(P1093="Unverified",Q1093="Not checked"),"BLOCKED_PENDING_RECEIPT","READY_FOR_REVIEW")</x:f>
        <x:v>BLOCKED_PENDING_RECEIPT</x:v>
      </x:c>
      <x:c r="V1093" s="12" t="str">
        <x:f>IF(J1093="DONE","RETURNED",IF(U1093="BLOCKED_PENDING_RECEIPT","SOURCE_TOUCH_REQUIRED","IN_PROGRESS"))</x:f>
        <x:v>SOURCE_TOUCH_REQUIRED</x:v>
      </x:c>
      <x:c r="W1093" s="12" t="str">
        <x:f>IF(P1093="Unverified","missing_receipt","receipt_logged")</x:f>
        <x:v>missing_receipt</x:v>
      </x:c>
      <x:c r="X1093" s="12" t="str">
        <x:f>IF(Q1093="Not checked","raw_status_missing","raw_status_logged")</x:f>
        <x:v>raw_status_missing</x:v>
      </x:c>
      <x:c r="Y1093" s="12" t="str">
        <x:f>IF(U1093="BLOCKED_PENDING_RECEIPT","Log source path or blocker; do not promote","Route to review lane")</x:f>
        <x:v>Log source path or blocker; do not promote</x:v>
      </x:c>
      <x:c r="Z1093" s="12" t="str">
        <x:f>IF(K1093="P0","Primary seat + Hashlight/Lucerna","Seat lane")</x:f>
        <x:v>Seat lane</x:v>
      </x:c>
      <x:c r="AA1093" s="12" t="str">
        <x:f>IF(R1093="","no_claim_delta","claim_delta_present")</x:f>
        <x:v>no_claim_delta</x:v>
      </x:c>
      <x:c r="AB1093" s="12" t="str">
        <x:f>IF(S1093="","no_contradiction_delta","contradiction_delta_present")</x:f>
        <x:v>no_contradiction_delta</x:v>
      </x:c>
      <x:c r="AC1093" s="12" t="str">
        <x:f>IF(OR(ISNUMBER(SEARCH("hacker",LOWER(F1093&amp;" "&amp;H1093&amp;" "&amp;I1093&amp;" "&amp;M1093&amp;" "&amp;N1093&amp;" "&amp;T1093))),ISNUMBER(SEARCH("hacking",LOWER(F1093&amp;" "&amp;H1093&amp;" "&amp;I1093&amp;" "&amp;M1093&amp;" "&amp;N1093&amp;" "&amp;T1093))),ISNUMBER(SEARCH("bank",LOWER(F1093&amp;" "&amp;H1093&amp;" "&amp;I1093&amp;" "&amp;M1093&amp;" "&amp;N1093&amp;" "&amp;T1093))),ISNUMBER(SEARCH("banking",LOWER(F1093&amp;" "&amp;H1093&amp;" "&amp;I1093&amp;" "&amp;M1093&amp;" "&amp;N1093&amp;" "&amp;T1093)))),"PRIVATE_QUARANTINE",IF(OR(ISNUMBER(SEARCH("treasury",LOWER(F1093&amp;" "&amp;H1093&amp;" "&amp;I1093&amp;" "&amp;M1093&amp;" "&amp;N1093&amp;" "&amp;T1093))),ISNUMBER(SEARCH("debt",LOWER(F1093&amp;" "&amp;H1093&amp;" "&amp;I1093&amp;" "&amp;M1093&amp;" "&amp;N1093&amp;" "&amp;T1093))),ISNUMBER(SEARCH("bond",LOWER(F1093&amp;" "&amp;H1093&amp;" "&amp;I1093&amp;" "&amp;M1093&amp;" "&amp;N1093&amp;" "&amp;T1093))),ISNUMBER(SEARCH("transaction",LOWER(F1093&amp;" "&amp;H1093&amp;" "&amp;I1093&amp;" "&amp;M1093&amp;" "&amp;N1093&amp;" "&amp;T1093)))),"PRIVATE_REVIEW","PUBLIC_CANDIDATE"))</x:f>
        <x:v>PUBLIC_CANDIDATE</x:v>
      </x:c>
      <x:c r="AD1093" s="12" t="str">
        <x:f>IF(AC1093="PRIVATE_QUARANTINE","hacker_or_bank_trigger",IF(AC1093="PRIVATE_REVIEW","finance_risk_trigger","none"))</x:f>
        <x:v>none</x:v>
      </x:c>
      <x:c r="AE1093" s="12" t="str">
        <x:f>IF(AC1093="PUBLIC_CANDIDATE","prepare_public_github_candidate",IF(AC1093="PRIVATE_REVIEW","hold_for_private_review","quarantine_private_do_not_publish"))</x:f>
        <x:v>prepare_public_github_candidate</x:v>
      </x:c>
      <x:c r="AF1093" s="12" t="str">
        <x:f>IF(AC1093="PUBLIC_CANDIDATE","TIDELOCK + Lucerna",IF(AC1093="PRIVATE_REVIEW","AtlasBrain + Lucerna","TIDELOCK + Lucerna + Human-root"))</x:f>
        <x:v>TIDELOCK + Lucerna</x:v>
      </x:c>
      <x:c r="AG1093" s="12" t="str">
        <x:f>IF(AND(AC1093="PUBLIC_CANDIDATE",U1093&lt;&gt;"BLOCKED_PENDING_RECEIPT"),"READY_AFTER_RECEIPT","NOT_READY")</x:f>
        <x:v>NOT_READY</x:v>
      </x:c>
      <x:c r="AH1093" s="12" t="str">
        <x:f>IF(AC1093="PUBLIC_CANDIDATE","none",AD1093)</x:f>
        <x:v>none</x:v>
      </x:c>
      <x:c r="AI1093" s="12" t="str">
        <x:f>IF(AC1093="PUBLIC_CANDIDATE","archive/public_candidates/"&amp;A1093,"private_quarantine/"&amp;A1093)</x:f>
        <x:v>archive/public_candidates/SWARM-08-H07-S12</x:v>
      </x:c>
      <x:c r="AJ1093" s="12" t="str">
        <x:f>IF(AC1093="PUBLIC_CANDIDATE","public by default; still not canon","private/hold; do not publish")</x:f>
        <x:v>public by default; still not canon</x:v>
      </x:c>
      <x:c r="AK1093" s="12" t="str">
        <x:f>IF(AE1093="prepare_public_github_candidate","add receipt/status then mirror","resolve blocker before any public GitHub action")</x:f>
        <x:v>add receipt/status then mirror</x:v>
      </x:c>
    </x:row>
    <x:row r="1094">
      <x:c r="A1094" s="15" t="str">
        <x:v>SWARM-08-H08-S01</x:v>
      </x:c>
      <x:c r="B1094" s="15" t="str">
        <x:v>GammaSprite</x:v>
      </x:c>
      <x:c r="C1094" s="15" t="str">
        <x:v>Deck surface mapper</x:v>
      </x:c>
      <x:c r="D1094" s="15" t="str">
        <x:v>Graph Edge Proposals</x:v>
      </x:c>
      <x:c r="E1094" s="15" t="str">
        <x:v>Notion</x:v>
      </x:c>
      <x:c r="F1094" s="15" t="str">
        <x:v>Propose graph edges for Notion — GammaSprite</x:v>
      </x:c>
      <x:c r="G1094" s="15" t="str">
        <x:v>Gamma/deck extraction / slide lineage</x:v>
      </x:c>
      <x:c r="H1094" s="15" t="str">
        <x:v>source path + receipt + raw/export status + claim/edge/risk delta</x:v>
      </x:c>
      <x:c r="I1094" s="15" t="str">
        <x:v>packet/SWARM-08-H08-S01</x:v>
      </x:c>
      <x:c r="J1094" s="15" t="str">
        <x:v>TODO</x:v>
      </x:c>
      <x:c r="K1094" s="15" t="str">
        <x:v>P0</x:v>
      </x:c>
      <x:c r="L1094" s="15" t="str">
        <x:v>Done only when evidence is logged, contradiction search is noted, and boundary stamp remains non-canon unless ratified</x:v>
      </x:c>
      <x:c r="M1094" s="15" t="str">
        <x:v>candidate / staging-only / not canon / not deployed / authority none</x:v>
      </x:c>
      <x:c r="N1094" s="15" t="str">
        <x:v>Dispatch to GammaSprite: complete Graph Edge Proposals x Notion; return deltas only, receipts required.</x:v>
      </x:c>
      <x:c r="O1094" s="15" t="str">
        <x:v>AF-KG-H08-S01</x:v>
      </x:c>
      <x:c r="P1094" s="15" t="str">
        <x:v>Unverified</x:v>
      </x:c>
      <x:c r="Q1094" s="15" t="str">
        <x:v>Not checked</x:v>
      </x:c>
      <x:c r="R1094" s="15" t="str"/>
      <x:c r="S1094" s="15" t="str"/>
      <x:c r="T1094" s="15" t="str">
        <x:v>Log first source path or blocker</x:v>
      </x:c>
      <x:c r="U1094" s="12" t="str">
        <x:f>IF(OR(P1094="Unverified",Q1094="Not checked"),"BLOCKED_PENDING_RECEIPT","READY_FOR_REVIEW")</x:f>
        <x:v>BLOCKED_PENDING_RECEIPT</x:v>
      </x:c>
      <x:c r="V1094" s="12" t="str">
        <x:f>IF(J1094="DONE","RETURNED",IF(U1094="BLOCKED_PENDING_RECEIPT","SOURCE_TOUCH_REQUIRED","IN_PROGRESS"))</x:f>
        <x:v>SOURCE_TOUCH_REQUIRED</x:v>
      </x:c>
      <x:c r="W1094" s="12" t="str">
        <x:f>IF(P1094="Unverified","missing_receipt","receipt_logged")</x:f>
        <x:v>missing_receipt</x:v>
      </x:c>
      <x:c r="X1094" s="12" t="str">
        <x:f>IF(Q1094="Not checked","raw_status_missing","raw_status_logged")</x:f>
        <x:v>raw_status_missing</x:v>
      </x:c>
      <x:c r="Y1094" s="12" t="str">
        <x:f>IF(U1094="BLOCKED_PENDING_RECEIPT","Log source path or blocker; do not promote","Route to review lane")</x:f>
        <x:v>Log source path or blocker; do not promote</x:v>
      </x:c>
      <x:c r="Z1094" s="12" t="str">
        <x:f>IF(K1094="P0","Primary seat + Hashlight/Lucerna","Seat lane")</x:f>
        <x:v>Primary seat + Hashlight/Lucerna</x:v>
      </x:c>
      <x:c r="AA1094" s="12" t="str">
        <x:f>IF(R1094="","no_claim_delta","claim_delta_present")</x:f>
        <x:v>no_claim_delta</x:v>
      </x:c>
      <x:c r="AB1094" s="12" t="str">
        <x:f>IF(S1094="","no_contradiction_delta","contradiction_delta_present")</x:f>
        <x:v>no_contradiction_delta</x:v>
      </x:c>
      <x:c r="AC1094" s="12" t="str">
        <x:f>IF(OR(ISNUMBER(SEARCH("hacker",LOWER(F1094&amp;" "&amp;H1094&amp;" "&amp;I1094&amp;" "&amp;M1094&amp;" "&amp;N1094&amp;" "&amp;T1094))),ISNUMBER(SEARCH("hacking",LOWER(F1094&amp;" "&amp;H1094&amp;" "&amp;I1094&amp;" "&amp;M1094&amp;" "&amp;N1094&amp;" "&amp;T1094))),ISNUMBER(SEARCH("bank",LOWER(F1094&amp;" "&amp;H1094&amp;" "&amp;I1094&amp;" "&amp;M1094&amp;" "&amp;N1094&amp;" "&amp;T1094))),ISNUMBER(SEARCH("banking",LOWER(F1094&amp;" "&amp;H1094&amp;" "&amp;I1094&amp;" "&amp;M1094&amp;" "&amp;N1094&amp;" "&amp;T1094)))),"PRIVATE_QUARANTINE",IF(OR(ISNUMBER(SEARCH("treasury",LOWER(F1094&amp;" "&amp;H1094&amp;" "&amp;I1094&amp;" "&amp;M1094&amp;" "&amp;N1094&amp;" "&amp;T1094))),ISNUMBER(SEARCH("debt",LOWER(F1094&amp;" "&amp;H1094&amp;" "&amp;I1094&amp;" "&amp;M1094&amp;" "&amp;N1094&amp;" "&amp;T1094))),ISNUMBER(SEARCH("bond",LOWER(F1094&amp;" "&amp;H1094&amp;" "&amp;I1094&amp;" "&amp;M1094&amp;" "&amp;N1094&amp;" "&amp;T1094))),ISNUMBER(SEARCH("transaction",LOWER(F1094&amp;" "&amp;H1094&amp;" "&amp;I1094&amp;" "&amp;M1094&amp;" "&amp;N1094&amp;" "&amp;T1094)))),"PRIVATE_REVIEW","PUBLIC_CANDIDATE"))</x:f>
        <x:v>PUBLIC_CANDIDATE</x:v>
      </x:c>
      <x:c r="AD1094" s="12" t="str">
        <x:f>IF(AC1094="PRIVATE_QUARANTINE","hacker_or_bank_trigger",IF(AC1094="PRIVATE_REVIEW","finance_risk_trigger","none"))</x:f>
        <x:v>none</x:v>
      </x:c>
      <x:c r="AE1094" s="12" t="str">
        <x:f>IF(AC1094="PUBLIC_CANDIDATE","prepare_public_github_candidate",IF(AC1094="PRIVATE_REVIEW","hold_for_private_review","quarantine_private_do_not_publish"))</x:f>
        <x:v>prepare_public_github_candidate</x:v>
      </x:c>
      <x:c r="AF1094" s="12" t="str">
        <x:f>IF(AC1094="PUBLIC_CANDIDATE","TIDELOCK + Lucerna",IF(AC1094="PRIVATE_REVIEW","AtlasBrain + Lucerna","TIDELOCK + Lucerna + Human-root"))</x:f>
        <x:v>TIDELOCK + Lucerna</x:v>
      </x:c>
      <x:c r="AG1094" s="12" t="str">
        <x:f>IF(AND(AC1094="PUBLIC_CANDIDATE",U1094&lt;&gt;"BLOCKED_PENDING_RECEIPT"),"READY_AFTER_RECEIPT","NOT_READY")</x:f>
        <x:v>NOT_READY</x:v>
      </x:c>
      <x:c r="AH1094" s="12" t="str">
        <x:f>IF(AC1094="PUBLIC_CANDIDATE","none",AD1094)</x:f>
        <x:v>none</x:v>
      </x:c>
      <x:c r="AI1094" s="12" t="str">
        <x:f>IF(AC1094="PUBLIC_CANDIDATE","archive/public_candidates/"&amp;A1094,"private_quarantine/"&amp;A1094)</x:f>
        <x:v>archive/public_candidates/SWARM-08-H08-S01</x:v>
      </x:c>
      <x:c r="AJ1094" s="12" t="str">
        <x:f>IF(AC1094="PUBLIC_CANDIDATE","public by default; still not canon","private/hold; do not publish")</x:f>
        <x:v>public by default; still not canon</x:v>
      </x:c>
      <x:c r="AK1094" s="12" t="str">
        <x:f>IF(AE1094="prepare_public_github_candidate","add receipt/status then mirror","resolve blocker before any public GitHub action")</x:f>
        <x:v>add receipt/status then mirror</x:v>
      </x:c>
    </x:row>
    <x:row r="1095">
      <x:c r="A1095" s="15" t="str">
        <x:v>SWARM-08-H08-S02</x:v>
      </x:c>
      <x:c r="B1095" s="15" t="str">
        <x:v>GammaSprite</x:v>
      </x:c>
      <x:c r="C1095" s="15" t="str">
        <x:v>Deck surface mapper</x:v>
      </x:c>
      <x:c r="D1095" s="15" t="str">
        <x:v>Graph Edge Proposals</x:v>
      </x:c>
      <x:c r="E1095" s="15" t="str">
        <x:v>Drive</x:v>
      </x:c>
      <x:c r="F1095" s="15" t="str">
        <x:v>Propose graph edges for Drive — GammaSprite</x:v>
      </x:c>
      <x:c r="G1095" s="15" t="str">
        <x:v>Gamma/deck extraction / slide lineage</x:v>
      </x:c>
      <x:c r="H1095" s="15" t="str">
        <x:v>source path + receipt + raw/export status + claim/edge/risk delta</x:v>
      </x:c>
      <x:c r="I1095" s="15" t="str">
        <x:v>packet/SWARM-08-H08-S02</x:v>
      </x:c>
      <x:c r="J1095" s="15" t="str">
        <x:v>TODO</x:v>
      </x:c>
      <x:c r="K1095" s="15" t="str">
        <x:v>P0</x:v>
      </x:c>
      <x:c r="L1095" s="15" t="str">
        <x:v>Done only when evidence is logged, contradiction search is noted, and boundary stamp remains non-canon unless ratified</x:v>
      </x:c>
      <x:c r="M1095" s="15" t="str">
        <x:v>candidate / staging-only / not canon / not deployed / authority none</x:v>
      </x:c>
      <x:c r="N1095" s="15" t="str">
        <x:v>Dispatch to GammaSprite: complete Graph Edge Proposals x Drive; return deltas only, receipts required.</x:v>
      </x:c>
      <x:c r="O1095" s="15" t="str">
        <x:v>AF-KG-H08-S02</x:v>
      </x:c>
      <x:c r="P1095" s="15" t="str">
        <x:v>Unverified</x:v>
      </x:c>
      <x:c r="Q1095" s="15" t="str">
        <x:v>Not checked</x:v>
      </x:c>
      <x:c r="R1095" s="15" t="str"/>
      <x:c r="S1095" s="15" t="str"/>
      <x:c r="T1095" s="15" t="str">
        <x:v>Log first source path or blocker</x:v>
      </x:c>
      <x:c r="U1095" s="12" t="str">
        <x:f>IF(OR(P1095="Unverified",Q1095="Not checked"),"BLOCKED_PENDING_RECEIPT","READY_FOR_REVIEW")</x:f>
        <x:v>BLOCKED_PENDING_RECEIPT</x:v>
      </x:c>
      <x:c r="V1095" s="12" t="str">
        <x:f>IF(J1095="DONE","RETURNED",IF(U1095="BLOCKED_PENDING_RECEIPT","SOURCE_TOUCH_REQUIRED","IN_PROGRESS"))</x:f>
        <x:v>SOURCE_TOUCH_REQUIRED</x:v>
      </x:c>
      <x:c r="W1095" s="12" t="str">
        <x:f>IF(P1095="Unverified","missing_receipt","receipt_logged")</x:f>
        <x:v>missing_receipt</x:v>
      </x:c>
      <x:c r="X1095" s="12" t="str">
        <x:f>IF(Q1095="Not checked","raw_status_missing","raw_status_logged")</x:f>
        <x:v>raw_status_missing</x:v>
      </x:c>
      <x:c r="Y1095" s="12" t="str">
        <x:f>IF(U1095="BLOCKED_PENDING_RECEIPT","Log source path or blocker; do not promote","Route to review lane")</x:f>
        <x:v>Log source path or blocker; do not promote</x:v>
      </x:c>
      <x:c r="Z1095" s="12" t="str">
        <x:f>IF(K1095="P0","Primary seat + Hashlight/Lucerna","Seat lane")</x:f>
        <x:v>Primary seat + Hashlight/Lucerna</x:v>
      </x:c>
      <x:c r="AA1095" s="12" t="str">
        <x:f>IF(R1095="","no_claim_delta","claim_delta_present")</x:f>
        <x:v>no_claim_delta</x:v>
      </x:c>
      <x:c r="AB1095" s="12" t="str">
        <x:f>IF(S1095="","no_contradiction_delta","contradiction_delta_present")</x:f>
        <x:v>no_contradiction_delta</x:v>
      </x:c>
      <x:c r="AC1095" s="12" t="str">
        <x:f>IF(OR(ISNUMBER(SEARCH("hacker",LOWER(F1095&amp;" "&amp;H1095&amp;" "&amp;I1095&amp;" "&amp;M1095&amp;" "&amp;N1095&amp;" "&amp;T1095))),ISNUMBER(SEARCH("hacking",LOWER(F1095&amp;" "&amp;H1095&amp;" "&amp;I1095&amp;" "&amp;M1095&amp;" "&amp;N1095&amp;" "&amp;T1095))),ISNUMBER(SEARCH("bank",LOWER(F1095&amp;" "&amp;H1095&amp;" "&amp;I1095&amp;" "&amp;M1095&amp;" "&amp;N1095&amp;" "&amp;T1095))),ISNUMBER(SEARCH("banking",LOWER(F1095&amp;" "&amp;H1095&amp;" "&amp;I1095&amp;" "&amp;M1095&amp;" "&amp;N1095&amp;" "&amp;T1095)))),"PRIVATE_QUARANTINE",IF(OR(ISNUMBER(SEARCH("treasury",LOWER(F1095&amp;" "&amp;H1095&amp;" "&amp;I1095&amp;" "&amp;M1095&amp;" "&amp;N1095&amp;" "&amp;T1095))),ISNUMBER(SEARCH("debt",LOWER(F1095&amp;" "&amp;H1095&amp;" "&amp;I1095&amp;" "&amp;M1095&amp;" "&amp;N1095&amp;" "&amp;T1095))),ISNUMBER(SEARCH("bond",LOWER(F1095&amp;" "&amp;H1095&amp;" "&amp;I1095&amp;" "&amp;M1095&amp;" "&amp;N1095&amp;" "&amp;T1095))),ISNUMBER(SEARCH("transaction",LOWER(F1095&amp;" "&amp;H1095&amp;" "&amp;I1095&amp;" "&amp;M1095&amp;" "&amp;N1095&amp;" "&amp;T1095)))),"PRIVATE_REVIEW","PUBLIC_CANDIDATE"))</x:f>
        <x:v>PUBLIC_CANDIDATE</x:v>
      </x:c>
      <x:c r="AD1095" s="12" t="str">
        <x:f>IF(AC1095="PRIVATE_QUARANTINE","hacker_or_bank_trigger",IF(AC1095="PRIVATE_REVIEW","finance_risk_trigger","none"))</x:f>
        <x:v>none</x:v>
      </x:c>
      <x:c r="AE1095" s="12" t="str">
        <x:f>IF(AC1095="PUBLIC_CANDIDATE","prepare_public_github_candidate",IF(AC1095="PRIVATE_REVIEW","hold_for_private_review","quarantine_private_do_not_publish"))</x:f>
        <x:v>prepare_public_github_candidate</x:v>
      </x:c>
      <x:c r="AF1095" s="12" t="str">
        <x:f>IF(AC1095="PUBLIC_CANDIDATE","TIDELOCK + Lucerna",IF(AC1095="PRIVATE_REVIEW","AtlasBrain + Lucerna","TIDELOCK + Lucerna + Human-root"))</x:f>
        <x:v>TIDELOCK + Lucerna</x:v>
      </x:c>
      <x:c r="AG1095" s="12" t="str">
        <x:f>IF(AND(AC1095="PUBLIC_CANDIDATE",U1095&lt;&gt;"BLOCKED_PENDING_RECEIPT"),"READY_AFTER_RECEIPT","NOT_READY")</x:f>
        <x:v>NOT_READY</x:v>
      </x:c>
      <x:c r="AH1095" s="12" t="str">
        <x:f>IF(AC1095="PUBLIC_CANDIDATE","none",AD1095)</x:f>
        <x:v>none</x:v>
      </x:c>
      <x:c r="AI1095" s="12" t="str">
        <x:f>IF(AC1095="PUBLIC_CANDIDATE","archive/public_candidates/"&amp;A1095,"private_quarantine/"&amp;A1095)</x:f>
        <x:v>archive/public_candidates/SWARM-08-H08-S02</x:v>
      </x:c>
      <x:c r="AJ1095" s="12" t="str">
        <x:f>IF(AC1095="PUBLIC_CANDIDATE","public by default; still not canon","private/hold; do not publish")</x:f>
        <x:v>public by default; still not canon</x:v>
      </x:c>
      <x:c r="AK1095" s="12" t="str">
        <x:f>IF(AE1095="prepare_public_github_candidate","add receipt/status then mirror","resolve blocker before any public GitHub action")</x:f>
        <x:v>add receipt/status then mirror</x:v>
      </x:c>
    </x:row>
    <x:row r="1096">
      <x:c r="A1096" s="15" t="str">
        <x:v>SWARM-08-H08-S03</x:v>
      </x:c>
      <x:c r="B1096" s="15" t="str">
        <x:v>GammaSprite</x:v>
      </x:c>
      <x:c r="C1096" s="15" t="str">
        <x:v>Deck surface mapper</x:v>
      </x:c>
      <x:c r="D1096" s="15" t="str">
        <x:v>Graph Edge Proposals</x:v>
      </x:c>
      <x:c r="E1096" s="15" t="str">
        <x:v>GitHub</x:v>
      </x:c>
      <x:c r="F1096" s="15" t="str">
        <x:v>Propose graph edges for GitHub — GammaSprite</x:v>
      </x:c>
      <x:c r="G1096" s="15" t="str">
        <x:v>Gamma/deck extraction / slide lineage</x:v>
      </x:c>
      <x:c r="H1096" s="15" t="str">
        <x:v>source path + receipt + raw/export status + claim/edge/risk delta</x:v>
      </x:c>
      <x:c r="I1096" s="15" t="str">
        <x:v>packet/SWARM-08-H08-S03</x:v>
      </x:c>
      <x:c r="J1096" s="15" t="str">
        <x:v>TODO</x:v>
      </x:c>
      <x:c r="K1096" s="15" t="str">
        <x:v>P0</x:v>
      </x:c>
      <x:c r="L1096" s="15" t="str">
        <x:v>Done only when evidence is logged, contradiction search is noted, and boundary stamp remains non-canon unless ratified</x:v>
      </x:c>
      <x:c r="M1096" s="15" t="str">
        <x:v>candidate / staging-only / not canon / not deployed / authority none</x:v>
      </x:c>
      <x:c r="N1096" s="15" t="str">
        <x:v>Dispatch to GammaSprite: complete Graph Edge Proposals x GitHub; return deltas only, receipts required.</x:v>
      </x:c>
      <x:c r="O1096" s="15" t="str">
        <x:v>AF-KG-H08-S03</x:v>
      </x:c>
      <x:c r="P1096" s="15" t="str">
        <x:v>Unverified</x:v>
      </x:c>
      <x:c r="Q1096" s="15" t="str">
        <x:v>Not checked</x:v>
      </x:c>
      <x:c r="R1096" s="15" t="str"/>
      <x:c r="S1096" s="15" t="str"/>
      <x:c r="T1096" s="15" t="str">
        <x:v>Log first source path or blocker</x:v>
      </x:c>
      <x:c r="U1096" s="12" t="str">
        <x:f>IF(OR(P1096="Unverified",Q1096="Not checked"),"BLOCKED_PENDING_RECEIPT","READY_FOR_REVIEW")</x:f>
        <x:v>BLOCKED_PENDING_RECEIPT</x:v>
      </x:c>
      <x:c r="V1096" s="12" t="str">
        <x:f>IF(J1096="DONE","RETURNED",IF(U1096="BLOCKED_PENDING_RECEIPT","SOURCE_TOUCH_REQUIRED","IN_PROGRESS"))</x:f>
        <x:v>SOURCE_TOUCH_REQUIRED</x:v>
      </x:c>
      <x:c r="W1096" s="12" t="str">
        <x:f>IF(P1096="Unverified","missing_receipt","receipt_logged")</x:f>
        <x:v>missing_receipt</x:v>
      </x:c>
      <x:c r="X1096" s="12" t="str">
        <x:f>IF(Q1096="Not checked","raw_status_missing","raw_status_logged")</x:f>
        <x:v>raw_status_missing</x:v>
      </x:c>
      <x:c r="Y1096" s="12" t="str">
        <x:f>IF(U1096="BLOCKED_PENDING_RECEIPT","Log source path or blocker; do not promote","Route to review lane")</x:f>
        <x:v>Log source path or blocker; do not promote</x:v>
      </x:c>
      <x:c r="Z1096" s="12" t="str">
        <x:f>IF(K1096="P0","Primary seat + Hashlight/Lucerna","Seat lane")</x:f>
        <x:v>Primary seat + Hashlight/Lucerna</x:v>
      </x:c>
      <x:c r="AA1096" s="12" t="str">
        <x:f>IF(R1096="","no_claim_delta","claim_delta_present")</x:f>
        <x:v>no_claim_delta</x:v>
      </x:c>
      <x:c r="AB1096" s="12" t="str">
        <x:f>IF(S1096="","no_contradiction_delta","contradiction_delta_present")</x:f>
        <x:v>no_contradiction_delta</x:v>
      </x:c>
      <x:c r="AC1096" s="12" t="str">
        <x:f>IF(OR(ISNUMBER(SEARCH("hacker",LOWER(F1096&amp;" "&amp;H1096&amp;" "&amp;I1096&amp;" "&amp;M1096&amp;" "&amp;N1096&amp;" "&amp;T1096))),ISNUMBER(SEARCH("hacking",LOWER(F1096&amp;" "&amp;H1096&amp;" "&amp;I1096&amp;" "&amp;M1096&amp;" "&amp;N1096&amp;" "&amp;T1096))),ISNUMBER(SEARCH("bank",LOWER(F1096&amp;" "&amp;H1096&amp;" "&amp;I1096&amp;" "&amp;M1096&amp;" "&amp;N1096&amp;" "&amp;T1096))),ISNUMBER(SEARCH("banking",LOWER(F1096&amp;" "&amp;H1096&amp;" "&amp;I1096&amp;" "&amp;M1096&amp;" "&amp;N1096&amp;" "&amp;T1096)))),"PRIVATE_QUARANTINE",IF(OR(ISNUMBER(SEARCH("treasury",LOWER(F1096&amp;" "&amp;H1096&amp;" "&amp;I1096&amp;" "&amp;M1096&amp;" "&amp;N1096&amp;" "&amp;T1096))),ISNUMBER(SEARCH("debt",LOWER(F1096&amp;" "&amp;H1096&amp;" "&amp;I1096&amp;" "&amp;M1096&amp;" "&amp;N1096&amp;" "&amp;T1096))),ISNUMBER(SEARCH("bond",LOWER(F1096&amp;" "&amp;H1096&amp;" "&amp;I1096&amp;" "&amp;M1096&amp;" "&amp;N1096&amp;" "&amp;T1096))),ISNUMBER(SEARCH("transaction",LOWER(F1096&amp;" "&amp;H1096&amp;" "&amp;I1096&amp;" "&amp;M1096&amp;" "&amp;N1096&amp;" "&amp;T1096)))),"PRIVATE_REVIEW","PUBLIC_CANDIDATE"))</x:f>
        <x:v>PUBLIC_CANDIDATE</x:v>
      </x:c>
      <x:c r="AD1096" s="12" t="str">
        <x:f>IF(AC1096="PRIVATE_QUARANTINE","hacker_or_bank_trigger",IF(AC1096="PRIVATE_REVIEW","finance_risk_trigger","none"))</x:f>
        <x:v>none</x:v>
      </x:c>
      <x:c r="AE1096" s="12" t="str">
        <x:f>IF(AC1096="PUBLIC_CANDIDATE","prepare_public_github_candidate",IF(AC1096="PRIVATE_REVIEW","hold_for_private_review","quarantine_private_do_not_publish"))</x:f>
        <x:v>prepare_public_github_candidate</x:v>
      </x:c>
      <x:c r="AF1096" s="12" t="str">
        <x:f>IF(AC1096="PUBLIC_CANDIDATE","TIDELOCK + Lucerna",IF(AC1096="PRIVATE_REVIEW","AtlasBrain + Lucerna","TIDELOCK + Lucerna + Human-root"))</x:f>
        <x:v>TIDELOCK + Lucerna</x:v>
      </x:c>
      <x:c r="AG1096" s="12" t="str">
        <x:f>IF(AND(AC1096="PUBLIC_CANDIDATE",U1096&lt;&gt;"BLOCKED_PENDING_RECEIPT"),"READY_AFTER_RECEIPT","NOT_READY")</x:f>
        <x:v>NOT_READY</x:v>
      </x:c>
      <x:c r="AH1096" s="12" t="str">
        <x:f>IF(AC1096="PUBLIC_CANDIDATE","none",AD1096)</x:f>
        <x:v>none</x:v>
      </x:c>
      <x:c r="AI1096" s="12" t="str">
        <x:f>IF(AC1096="PUBLIC_CANDIDATE","archive/public_candidates/"&amp;A1096,"private_quarantine/"&amp;A1096)</x:f>
        <x:v>archive/public_candidates/SWARM-08-H08-S03</x:v>
      </x:c>
      <x:c r="AJ1096" s="12" t="str">
        <x:f>IF(AC1096="PUBLIC_CANDIDATE","public by default; still not canon","private/hold; do not publish")</x:f>
        <x:v>public by default; still not canon</x:v>
      </x:c>
      <x:c r="AK1096" s="12" t="str">
        <x:f>IF(AE1096="prepare_public_github_candidate","add receipt/status then mirror","resolve blocker before any public GitHub action")</x:f>
        <x:v>add receipt/status then mirror</x:v>
      </x:c>
    </x:row>
    <x:row r="1097">
      <x:c r="A1097" s="15" t="str">
        <x:v>SWARM-08-H08-S04</x:v>
      </x:c>
      <x:c r="B1097" s="15" t="str">
        <x:v>GammaSprite</x:v>
      </x:c>
      <x:c r="C1097" s="15" t="str">
        <x:v>Deck surface mapper</x:v>
      </x:c>
      <x:c r="D1097" s="15" t="str">
        <x:v>Graph Edge Proposals</x:v>
      </x:c>
      <x:c r="E1097" s="15" t="str">
        <x:v>Gamma</x:v>
      </x:c>
      <x:c r="F1097" s="15" t="str">
        <x:v>Propose graph edges for Gamma — GammaSprite</x:v>
      </x:c>
      <x:c r="G1097" s="15" t="str">
        <x:v>Gamma/deck extraction / slide lineage</x:v>
      </x:c>
      <x:c r="H1097" s="15" t="str">
        <x:v>source path + receipt + raw/export status + claim/edge/risk delta</x:v>
      </x:c>
      <x:c r="I1097" s="15" t="str">
        <x:v>packet/SWARM-08-H08-S04</x:v>
      </x:c>
      <x:c r="J1097" s="15" t="str">
        <x:v>TODO</x:v>
      </x:c>
      <x:c r="K1097" s="15" t="str">
        <x:v>P1</x:v>
      </x:c>
      <x:c r="L1097" s="15" t="str">
        <x:v>Done only when evidence is logged, contradiction search is noted, and boundary stamp remains non-canon unless ratified</x:v>
      </x:c>
      <x:c r="M1097" s="15" t="str">
        <x:v>candidate / staging-only / not canon / not deployed / authority none</x:v>
      </x:c>
      <x:c r="N1097" s="15" t="str">
        <x:v>Dispatch to GammaSprite: complete Graph Edge Proposals x Gamma; return deltas only, receipts required.</x:v>
      </x:c>
      <x:c r="O1097" s="15" t="str">
        <x:v>AF-KG-H08-S04</x:v>
      </x:c>
      <x:c r="P1097" s="15" t="str">
        <x:v>Unverified</x:v>
      </x:c>
      <x:c r="Q1097" s="15" t="str">
        <x:v>Not checked</x:v>
      </x:c>
      <x:c r="R1097" s="15" t="str"/>
      <x:c r="S1097" s="15" t="str"/>
      <x:c r="T1097" s="15" t="str">
        <x:v>Log first source path or blocker</x:v>
      </x:c>
      <x:c r="U1097" s="12" t="str">
        <x:f>IF(OR(P1097="Unverified",Q1097="Not checked"),"BLOCKED_PENDING_RECEIPT","READY_FOR_REVIEW")</x:f>
        <x:v>BLOCKED_PENDING_RECEIPT</x:v>
      </x:c>
      <x:c r="V1097" s="12" t="str">
        <x:f>IF(J1097="DONE","RETURNED",IF(U1097="BLOCKED_PENDING_RECEIPT","SOURCE_TOUCH_REQUIRED","IN_PROGRESS"))</x:f>
        <x:v>SOURCE_TOUCH_REQUIRED</x:v>
      </x:c>
      <x:c r="W1097" s="12" t="str">
        <x:f>IF(P1097="Unverified","missing_receipt","receipt_logged")</x:f>
        <x:v>missing_receipt</x:v>
      </x:c>
      <x:c r="X1097" s="12" t="str">
        <x:f>IF(Q1097="Not checked","raw_status_missing","raw_status_logged")</x:f>
        <x:v>raw_status_missing</x:v>
      </x:c>
      <x:c r="Y1097" s="12" t="str">
        <x:f>IF(U1097="BLOCKED_PENDING_RECEIPT","Log source path or blocker; do not promote","Route to review lane")</x:f>
        <x:v>Log source path or blocker; do not promote</x:v>
      </x:c>
      <x:c r="Z1097" s="12" t="str">
        <x:f>IF(K1097="P0","Primary seat + Hashlight/Lucerna","Seat lane")</x:f>
        <x:v>Seat lane</x:v>
      </x:c>
      <x:c r="AA1097" s="12" t="str">
        <x:f>IF(R1097="","no_claim_delta","claim_delta_present")</x:f>
        <x:v>no_claim_delta</x:v>
      </x:c>
      <x:c r="AB1097" s="12" t="str">
        <x:f>IF(S1097="","no_contradiction_delta","contradiction_delta_present")</x:f>
        <x:v>no_contradiction_delta</x:v>
      </x:c>
      <x:c r="AC1097" s="12" t="str">
        <x:f>IF(OR(ISNUMBER(SEARCH("hacker",LOWER(F1097&amp;" "&amp;H1097&amp;" "&amp;I1097&amp;" "&amp;M1097&amp;" "&amp;N1097&amp;" "&amp;T1097))),ISNUMBER(SEARCH("hacking",LOWER(F1097&amp;" "&amp;H1097&amp;" "&amp;I1097&amp;" "&amp;M1097&amp;" "&amp;N1097&amp;" "&amp;T1097))),ISNUMBER(SEARCH("bank",LOWER(F1097&amp;" "&amp;H1097&amp;" "&amp;I1097&amp;" "&amp;M1097&amp;" "&amp;N1097&amp;" "&amp;T1097))),ISNUMBER(SEARCH("banking",LOWER(F1097&amp;" "&amp;H1097&amp;" "&amp;I1097&amp;" "&amp;M1097&amp;" "&amp;N1097&amp;" "&amp;T1097)))),"PRIVATE_QUARANTINE",IF(OR(ISNUMBER(SEARCH("treasury",LOWER(F1097&amp;" "&amp;H1097&amp;" "&amp;I1097&amp;" "&amp;M1097&amp;" "&amp;N1097&amp;" "&amp;T1097))),ISNUMBER(SEARCH("debt",LOWER(F1097&amp;" "&amp;H1097&amp;" "&amp;I1097&amp;" "&amp;M1097&amp;" "&amp;N1097&amp;" "&amp;T1097))),ISNUMBER(SEARCH("bond",LOWER(F1097&amp;" "&amp;H1097&amp;" "&amp;I1097&amp;" "&amp;M1097&amp;" "&amp;N1097&amp;" "&amp;T1097))),ISNUMBER(SEARCH("transaction",LOWER(F1097&amp;" "&amp;H1097&amp;" "&amp;I1097&amp;" "&amp;M1097&amp;" "&amp;N1097&amp;" "&amp;T1097)))),"PRIVATE_REVIEW","PUBLIC_CANDIDATE"))</x:f>
        <x:v>PUBLIC_CANDIDATE</x:v>
      </x:c>
      <x:c r="AD1097" s="12" t="str">
        <x:f>IF(AC1097="PRIVATE_QUARANTINE","hacker_or_bank_trigger",IF(AC1097="PRIVATE_REVIEW","finance_risk_trigger","none"))</x:f>
        <x:v>none</x:v>
      </x:c>
      <x:c r="AE1097" s="12" t="str">
        <x:f>IF(AC1097="PUBLIC_CANDIDATE","prepare_public_github_candidate",IF(AC1097="PRIVATE_REVIEW","hold_for_private_review","quarantine_private_do_not_publish"))</x:f>
        <x:v>prepare_public_github_candidate</x:v>
      </x:c>
      <x:c r="AF1097" s="12" t="str">
        <x:f>IF(AC1097="PUBLIC_CANDIDATE","TIDELOCK + Lucerna",IF(AC1097="PRIVATE_REVIEW","AtlasBrain + Lucerna","TIDELOCK + Lucerna + Human-root"))</x:f>
        <x:v>TIDELOCK + Lucerna</x:v>
      </x:c>
      <x:c r="AG1097" s="12" t="str">
        <x:f>IF(AND(AC1097="PUBLIC_CANDIDATE",U1097&lt;&gt;"BLOCKED_PENDING_RECEIPT"),"READY_AFTER_RECEIPT","NOT_READY")</x:f>
        <x:v>NOT_READY</x:v>
      </x:c>
      <x:c r="AH1097" s="12" t="str">
        <x:f>IF(AC1097="PUBLIC_CANDIDATE","none",AD1097)</x:f>
        <x:v>none</x:v>
      </x:c>
      <x:c r="AI1097" s="12" t="str">
        <x:f>IF(AC1097="PUBLIC_CANDIDATE","archive/public_candidates/"&amp;A1097,"private_quarantine/"&amp;A1097)</x:f>
        <x:v>archive/public_candidates/SWARM-08-H08-S04</x:v>
      </x:c>
      <x:c r="AJ1097" s="12" t="str">
        <x:f>IF(AC1097="PUBLIC_CANDIDATE","public by default; still not canon","private/hold; do not publish")</x:f>
        <x:v>public by default; still not canon</x:v>
      </x:c>
      <x:c r="AK1097" s="12" t="str">
        <x:f>IF(AE1097="prepare_public_github_candidate","add receipt/status then mirror","resolve blocker before any public GitHub action")</x:f>
        <x:v>add receipt/status then mirror</x:v>
      </x:c>
    </x:row>
    <x:row r="1098">
      <x:c r="A1098" s="15" t="str">
        <x:v>SWARM-08-H08-S05</x:v>
      </x:c>
      <x:c r="B1098" s="15" t="str">
        <x:v>GammaSprite</x:v>
      </x:c>
      <x:c r="C1098" s="15" t="str">
        <x:v>Deck surface mapper</x:v>
      </x:c>
      <x:c r="D1098" s="15" t="str">
        <x:v>Graph Edge Proposals</x:v>
      </x:c>
      <x:c r="E1098" s="15" t="str">
        <x:v>Chat</x:v>
      </x:c>
      <x:c r="F1098" s="15" t="str">
        <x:v>Propose graph edges for Chat — GammaSprite</x:v>
      </x:c>
      <x:c r="G1098" s="15" t="str">
        <x:v>Gamma/deck extraction / slide lineage</x:v>
      </x:c>
      <x:c r="H1098" s="15" t="str">
        <x:v>source path + receipt + raw/export status + claim/edge/risk delta</x:v>
      </x:c>
      <x:c r="I1098" s="15" t="str">
        <x:v>packet/SWARM-08-H08-S05</x:v>
      </x:c>
      <x:c r="J1098" s="15" t="str">
        <x:v>TODO</x:v>
      </x:c>
      <x:c r="K1098" s="15" t="str">
        <x:v>P1</x:v>
      </x:c>
      <x:c r="L1098" s="15" t="str">
        <x:v>Done only when evidence is logged, contradiction search is noted, and boundary stamp remains non-canon unless ratified</x:v>
      </x:c>
      <x:c r="M1098" s="15" t="str">
        <x:v>candidate / staging-only / not canon / not deployed / authority none</x:v>
      </x:c>
      <x:c r="N1098" s="15" t="str">
        <x:v>Dispatch to GammaSprite: complete Graph Edge Proposals x Chat; return deltas only, receipts required.</x:v>
      </x:c>
      <x:c r="O1098" s="15" t="str">
        <x:v>AF-KG-H08-S05</x:v>
      </x:c>
      <x:c r="P1098" s="15" t="str">
        <x:v>Unverified</x:v>
      </x:c>
      <x:c r="Q1098" s="15" t="str">
        <x:v>Not checked</x:v>
      </x:c>
      <x:c r="R1098" s="15" t="str"/>
      <x:c r="S1098" s="15" t="str"/>
      <x:c r="T1098" s="15" t="str">
        <x:v>Log first source path or blocker</x:v>
      </x:c>
      <x:c r="U1098" s="12" t="str">
        <x:f>IF(OR(P1098="Unverified",Q1098="Not checked"),"BLOCKED_PENDING_RECEIPT","READY_FOR_REVIEW")</x:f>
        <x:v>BLOCKED_PENDING_RECEIPT</x:v>
      </x:c>
      <x:c r="V1098" s="12" t="str">
        <x:f>IF(J1098="DONE","RETURNED",IF(U1098="BLOCKED_PENDING_RECEIPT","SOURCE_TOUCH_REQUIRED","IN_PROGRESS"))</x:f>
        <x:v>SOURCE_TOUCH_REQUIRED</x:v>
      </x:c>
      <x:c r="W1098" s="12" t="str">
        <x:f>IF(P1098="Unverified","missing_receipt","receipt_logged")</x:f>
        <x:v>missing_receipt</x:v>
      </x:c>
      <x:c r="X1098" s="12" t="str">
        <x:f>IF(Q1098="Not checked","raw_status_missing","raw_status_logged")</x:f>
        <x:v>raw_status_missing</x:v>
      </x:c>
      <x:c r="Y1098" s="12" t="str">
        <x:f>IF(U1098="BLOCKED_PENDING_RECEIPT","Log source path or blocker; do not promote","Route to review lane")</x:f>
        <x:v>Log source path or blocker; do not promote</x:v>
      </x:c>
      <x:c r="Z1098" s="12" t="str">
        <x:f>IF(K1098="P0","Primary seat + Hashlight/Lucerna","Seat lane")</x:f>
        <x:v>Seat lane</x:v>
      </x:c>
      <x:c r="AA1098" s="12" t="str">
        <x:f>IF(R1098="","no_claim_delta","claim_delta_present")</x:f>
        <x:v>no_claim_delta</x:v>
      </x:c>
      <x:c r="AB1098" s="12" t="str">
        <x:f>IF(S1098="","no_contradiction_delta","contradiction_delta_present")</x:f>
        <x:v>no_contradiction_delta</x:v>
      </x:c>
      <x:c r="AC1098" s="12" t="str">
        <x:f>IF(OR(ISNUMBER(SEARCH("hacker",LOWER(F1098&amp;" "&amp;H1098&amp;" "&amp;I1098&amp;" "&amp;M1098&amp;" "&amp;N1098&amp;" "&amp;T1098))),ISNUMBER(SEARCH("hacking",LOWER(F1098&amp;" "&amp;H1098&amp;" "&amp;I1098&amp;" "&amp;M1098&amp;" "&amp;N1098&amp;" "&amp;T1098))),ISNUMBER(SEARCH("bank",LOWER(F1098&amp;" "&amp;H1098&amp;" "&amp;I1098&amp;" "&amp;M1098&amp;" "&amp;N1098&amp;" "&amp;T1098))),ISNUMBER(SEARCH("banking",LOWER(F1098&amp;" "&amp;H1098&amp;" "&amp;I1098&amp;" "&amp;M1098&amp;" "&amp;N1098&amp;" "&amp;T1098)))),"PRIVATE_QUARANTINE",IF(OR(ISNUMBER(SEARCH("treasury",LOWER(F1098&amp;" "&amp;H1098&amp;" "&amp;I1098&amp;" "&amp;M1098&amp;" "&amp;N1098&amp;" "&amp;T1098))),ISNUMBER(SEARCH("debt",LOWER(F1098&amp;" "&amp;H1098&amp;" "&amp;I1098&amp;" "&amp;M1098&amp;" "&amp;N1098&amp;" "&amp;T1098))),ISNUMBER(SEARCH("bond",LOWER(F1098&amp;" "&amp;H1098&amp;" "&amp;I1098&amp;" "&amp;M1098&amp;" "&amp;N1098&amp;" "&amp;T1098))),ISNUMBER(SEARCH("transaction",LOWER(F1098&amp;" "&amp;H1098&amp;" "&amp;I1098&amp;" "&amp;M1098&amp;" "&amp;N1098&amp;" "&amp;T1098)))),"PRIVATE_REVIEW","PUBLIC_CANDIDATE"))</x:f>
        <x:v>PUBLIC_CANDIDATE</x:v>
      </x:c>
      <x:c r="AD1098" s="12" t="str">
        <x:f>IF(AC1098="PRIVATE_QUARANTINE","hacker_or_bank_trigger",IF(AC1098="PRIVATE_REVIEW","finance_risk_trigger","none"))</x:f>
        <x:v>none</x:v>
      </x:c>
      <x:c r="AE1098" s="12" t="str">
        <x:f>IF(AC1098="PUBLIC_CANDIDATE","prepare_public_github_candidate",IF(AC1098="PRIVATE_REVIEW","hold_for_private_review","quarantine_private_do_not_publish"))</x:f>
        <x:v>prepare_public_github_candidate</x:v>
      </x:c>
      <x:c r="AF1098" s="12" t="str">
        <x:f>IF(AC1098="PUBLIC_CANDIDATE","TIDELOCK + Lucerna",IF(AC1098="PRIVATE_REVIEW","AtlasBrain + Lucerna","TIDELOCK + Lucerna + Human-root"))</x:f>
        <x:v>TIDELOCK + Lucerna</x:v>
      </x:c>
      <x:c r="AG1098" s="12" t="str">
        <x:f>IF(AND(AC1098="PUBLIC_CANDIDATE",U1098&lt;&gt;"BLOCKED_PENDING_RECEIPT"),"READY_AFTER_RECEIPT","NOT_READY")</x:f>
        <x:v>NOT_READY</x:v>
      </x:c>
      <x:c r="AH1098" s="12" t="str">
        <x:f>IF(AC1098="PUBLIC_CANDIDATE","none",AD1098)</x:f>
        <x:v>none</x:v>
      </x:c>
      <x:c r="AI1098" s="12" t="str">
        <x:f>IF(AC1098="PUBLIC_CANDIDATE","archive/public_candidates/"&amp;A1098,"private_quarantine/"&amp;A1098)</x:f>
        <x:v>archive/public_candidates/SWARM-08-H08-S05</x:v>
      </x:c>
      <x:c r="AJ1098" s="12" t="str">
        <x:f>IF(AC1098="PUBLIC_CANDIDATE","public by default; still not canon","private/hold; do not publish")</x:f>
        <x:v>public by default; still not canon</x:v>
      </x:c>
      <x:c r="AK1098" s="12" t="str">
        <x:f>IF(AE1098="prepare_public_github_candidate","add receipt/status then mirror","resolve blocker before any public GitHub action")</x:f>
        <x:v>add receipt/status then mirror</x:v>
      </x:c>
    </x:row>
    <x:row r="1099">
      <x:c r="A1099" s="15" t="str">
        <x:v>SWARM-08-H08-S06</x:v>
      </x:c>
      <x:c r="B1099" s="15" t="str">
        <x:v>GammaSprite</x:v>
      </x:c>
      <x:c r="C1099" s="15" t="str">
        <x:v>Deck surface mapper</x:v>
      </x:c>
      <x:c r="D1099" s="15" t="str">
        <x:v>Graph Edge Proposals</x:v>
      </x:c>
      <x:c r="E1099" s="15" t="str">
        <x:v>External Web</x:v>
      </x:c>
      <x:c r="F1099" s="15" t="str">
        <x:v>Propose graph edges for External Web — GammaSprite</x:v>
      </x:c>
      <x:c r="G1099" s="15" t="str">
        <x:v>Gamma/deck extraction / slide lineage</x:v>
      </x:c>
      <x:c r="H1099" s="15" t="str">
        <x:v>source path + receipt + raw/export status + claim/edge/risk delta</x:v>
      </x:c>
      <x:c r="I1099" s="15" t="str">
        <x:v>packet/SWARM-08-H08-S06</x:v>
      </x:c>
      <x:c r="J1099" s="15" t="str">
        <x:v>TODO</x:v>
      </x:c>
      <x:c r="K1099" s="15" t="str">
        <x:v>P1</x:v>
      </x:c>
      <x:c r="L1099" s="15" t="str">
        <x:v>Done only when evidence is logged, contradiction search is noted, and boundary stamp remains non-canon unless ratified</x:v>
      </x:c>
      <x:c r="M1099" s="15" t="str">
        <x:v>candidate / staging-only / not canon / not deployed / authority none</x:v>
      </x:c>
      <x:c r="N1099" s="15" t="str">
        <x:v>Dispatch to GammaSprite: complete Graph Edge Proposals x External Web; return deltas only, receipts required.</x:v>
      </x:c>
      <x:c r="O1099" s="15" t="str">
        <x:v>AF-KG-H08-S06</x:v>
      </x:c>
      <x:c r="P1099" s="15" t="str">
        <x:v>Unverified</x:v>
      </x:c>
      <x:c r="Q1099" s="15" t="str">
        <x:v>Not checked</x:v>
      </x:c>
      <x:c r="R1099" s="15" t="str"/>
      <x:c r="S1099" s="15" t="str"/>
      <x:c r="T1099" s="15" t="str">
        <x:v>Log first source path or blocker</x:v>
      </x:c>
      <x:c r="U1099" s="12" t="str">
        <x:f>IF(OR(P1099="Unverified",Q1099="Not checked"),"BLOCKED_PENDING_RECEIPT","READY_FOR_REVIEW")</x:f>
        <x:v>BLOCKED_PENDING_RECEIPT</x:v>
      </x:c>
      <x:c r="V1099" s="12" t="str">
        <x:f>IF(J1099="DONE","RETURNED",IF(U1099="BLOCKED_PENDING_RECEIPT","SOURCE_TOUCH_REQUIRED","IN_PROGRESS"))</x:f>
        <x:v>SOURCE_TOUCH_REQUIRED</x:v>
      </x:c>
      <x:c r="W1099" s="12" t="str">
        <x:f>IF(P1099="Unverified","missing_receipt","receipt_logged")</x:f>
        <x:v>missing_receipt</x:v>
      </x:c>
      <x:c r="X1099" s="12" t="str">
        <x:f>IF(Q1099="Not checked","raw_status_missing","raw_status_logged")</x:f>
        <x:v>raw_status_missing</x:v>
      </x:c>
      <x:c r="Y1099" s="12" t="str">
        <x:f>IF(U1099="BLOCKED_PENDING_RECEIPT","Log source path or blocker; do not promote","Route to review lane")</x:f>
        <x:v>Log source path or blocker; do not promote</x:v>
      </x:c>
      <x:c r="Z1099" s="12" t="str">
        <x:f>IF(K1099="P0","Primary seat + Hashlight/Lucerna","Seat lane")</x:f>
        <x:v>Seat lane</x:v>
      </x:c>
      <x:c r="AA1099" s="12" t="str">
        <x:f>IF(R1099="","no_claim_delta","claim_delta_present")</x:f>
        <x:v>no_claim_delta</x:v>
      </x:c>
      <x:c r="AB1099" s="12" t="str">
        <x:f>IF(S1099="","no_contradiction_delta","contradiction_delta_present")</x:f>
        <x:v>no_contradiction_delta</x:v>
      </x:c>
      <x:c r="AC1099" s="12" t="str">
        <x:f>IF(OR(ISNUMBER(SEARCH("hacker",LOWER(F1099&amp;" "&amp;H1099&amp;" "&amp;I1099&amp;" "&amp;M1099&amp;" "&amp;N1099&amp;" "&amp;T1099))),ISNUMBER(SEARCH("hacking",LOWER(F1099&amp;" "&amp;H1099&amp;" "&amp;I1099&amp;" "&amp;M1099&amp;" "&amp;N1099&amp;" "&amp;T1099))),ISNUMBER(SEARCH("bank",LOWER(F1099&amp;" "&amp;H1099&amp;" "&amp;I1099&amp;" "&amp;M1099&amp;" "&amp;N1099&amp;" "&amp;T1099))),ISNUMBER(SEARCH("banking",LOWER(F1099&amp;" "&amp;H1099&amp;" "&amp;I1099&amp;" "&amp;M1099&amp;" "&amp;N1099&amp;" "&amp;T1099)))),"PRIVATE_QUARANTINE",IF(OR(ISNUMBER(SEARCH("treasury",LOWER(F1099&amp;" "&amp;H1099&amp;" "&amp;I1099&amp;" "&amp;M1099&amp;" "&amp;N1099&amp;" "&amp;T1099))),ISNUMBER(SEARCH("debt",LOWER(F1099&amp;" "&amp;H1099&amp;" "&amp;I1099&amp;" "&amp;M1099&amp;" "&amp;N1099&amp;" "&amp;T1099))),ISNUMBER(SEARCH("bond",LOWER(F1099&amp;" "&amp;H1099&amp;" "&amp;I1099&amp;" "&amp;M1099&amp;" "&amp;N1099&amp;" "&amp;T1099))),ISNUMBER(SEARCH("transaction",LOWER(F1099&amp;" "&amp;H1099&amp;" "&amp;I1099&amp;" "&amp;M1099&amp;" "&amp;N1099&amp;" "&amp;T1099)))),"PRIVATE_REVIEW","PUBLIC_CANDIDATE"))</x:f>
        <x:v>PUBLIC_CANDIDATE</x:v>
      </x:c>
      <x:c r="AD1099" s="12" t="str">
        <x:f>IF(AC1099="PRIVATE_QUARANTINE","hacker_or_bank_trigger",IF(AC1099="PRIVATE_REVIEW","finance_risk_trigger","none"))</x:f>
        <x:v>none</x:v>
      </x:c>
      <x:c r="AE1099" s="12" t="str">
        <x:f>IF(AC1099="PUBLIC_CANDIDATE","prepare_public_github_candidate",IF(AC1099="PRIVATE_REVIEW","hold_for_private_review","quarantine_private_do_not_publish"))</x:f>
        <x:v>prepare_public_github_candidate</x:v>
      </x:c>
      <x:c r="AF1099" s="12" t="str">
        <x:f>IF(AC1099="PUBLIC_CANDIDATE","TIDELOCK + Lucerna",IF(AC1099="PRIVATE_REVIEW","AtlasBrain + Lucerna","TIDELOCK + Lucerna + Human-root"))</x:f>
        <x:v>TIDELOCK + Lucerna</x:v>
      </x:c>
      <x:c r="AG1099" s="12" t="str">
        <x:f>IF(AND(AC1099="PUBLIC_CANDIDATE",U1099&lt;&gt;"BLOCKED_PENDING_RECEIPT"),"READY_AFTER_RECEIPT","NOT_READY")</x:f>
        <x:v>NOT_READY</x:v>
      </x:c>
      <x:c r="AH1099" s="12" t="str">
        <x:f>IF(AC1099="PUBLIC_CANDIDATE","none",AD1099)</x:f>
        <x:v>none</x:v>
      </x:c>
      <x:c r="AI1099" s="12" t="str">
        <x:f>IF(AC1099="PUBLIC_CANDIDATE","archive/public_candidates/"&amp;A1099,"private_quarantine/"&amp;A1099)</x:f>
        <x:v>archive/public_candidates/SWARM-08-H08-S06</x:v>
      </x:c>
      <x:c r="AJ1099" s="12" t="str">
        <x:f>IF(AC1099="PUBLIC_CANDIDATE","public by default; still not canon","private/hold; do not publish")</x:f>
        <x:v>public by default; still not canon</x:v>
      </x:c>
      <x:c r="AK1099" s="12" t="str">
        <x:f>IF(AE1099="prepare_public_github_candidate","add receipt/status then mirror","resolve blocker before any public GitHub action")</x:f>
        <x:v>add receipt/status then mirror</x:v>
      </x:c>
    </x:row>
    <x:row r="1100">
      <x:c r="A1100" s="15" t="str">
        <x:v>SWARM-08-H08-S07</x:v>
      </x:c>
      <x:c r="B1100" s="15" t="str">
        <x:v>GammaSprite</x:v>
      </x:c>
      <x:c r="C1100" s="15" t="str">
        <x:v>Deck surface mapper</x:v>
      </x:c>
      <x:c r="D1100" s="15" t="str">
        <x:v>Graph Edge Proposals</x:v>
      </x:c>
      <x:c r="E1100" s="15" t="str">
        <x:v>Planetarium</x:v>
      </x:c>
      <x:c r="F1100" s="15" t="str">
        <x:v>Propose graph edges for Planetarium — GammaSprite</x:v>
      </x:c>
      <x:c r="G1100" s="15" t="str">
        <x:v>Gamma/deck extraction / slide lineage</x:v>
      </x:c>
      <x:c r="H1100" s="15" t="str">
        <x:v>source path + receipt + raw/export status + claim/edge/risk delta</x:v>
      </x:c>
      <x:c r="I1100" s="15" t="str">
        <x:v>packet/SWARM-08-H08-S07</x:v>
      </x:c>
      <x:c r="J1100" s="15" t="str">
        <x:v>TODO</x:v>
      </x:c>
      <x:c r="K1100" s="15" t="str">
        <x:v>P1</x:v>
      </x:c>
      <x:c r="L1100" s="15" t="str">
        <x:v>Done only when evidence is logged, contradiction search is noted, and boundary stamp remains non-canon unless ratified</x:v>
      </x:c>
      <x:c r="M1100" s="15" t="str">
        <x:v>candidate / staging-only / not canon / not deployed / authority none</x:v>
      </x:c>
      <x:c r="N1100" s="15" t="str">
        <x:v>Dispatch to GammaSprite: complete Graph Edge Proposals x Planetarium; return deltas only, receipts required.</x:v>
      </x:c>
      <x:c r="O1100" s="15" t="str">
        <x:v>AF-KG-H08-S07</x:v>
      </x:c>
      <x:c r="P1100" s="15" t="str">
        <x:v>Unverified</x:v>
      </x:c>
      <x:c r="Q1100" s="15" t="str">
        <x:v>Not checked</x:v>
      </x:c>
      <x:c r="R1100" s="15" t="str"/>
      <x:c r="S1100" s="15" t="str"/>
      <x:c r="T1100" s="15" t="str">
        <x:v>Log first source path or blocker</x:v>
      </x:c>
      <x:c r="U1100" s="12" t="str">
        <x:f>IF(OR(P1100="Unverified",Q1100="Not checked"),"BLOCKED_PENDING_RECEIPT","READY_FOR_REVIEW")</x:f>
        <x:v>BLOCKED_PENDING_RECEIPT</x:v>
      </x:c>
      <x:c r="V1100" s="12" t="str">
        <x:f>IF(J1100="DONE","RETURNED",IF(U1100="BLOCKED_PENDING_RECEIPT","SOURCE_TOUCH_REQUIRED","IN_PROGRESS"))</x:f>
        <x:v>SOURCE_TOUCH_REQUIRED</x:v>
      </x:c>
      <x:c r="W1100" s="12" t="str">
        <x:f>IF(P1100="Unverified","missing_receipt","receipt_logged")</x:f>
        <x:v>missing_receipt</x:v>
      </x:c>
      <x:c r="X1100" s="12" t="str">
        <x:f>IF(Q1100="Not checked","raw_status_missing","raw_status_logged")</x:f>
        <x:v>raw_status_missing</x:v>
      </x:c>
      <x:c r="Y1100" s="12" t="str">
        <x:f>IF(U1100="BLOCKED_PENDING_RECEIPT","Log source path or blocker; do not promote","Route to review lane")</x:f>
        <x:v>Log source path or blocker; do not promote</x:v>
      </x:c>
      <x:c r="Z1100" s="12" t="str">
        <x:f>IF(K1100="P0","Primary seat + Hashlight/Lucerna","Seat lane")</x:f>
        <x:v>Seat lane</x:v>
      </x:c>
      <x:c r="AA1100" s="12" t="str">
        <x:f>IF(R1100="","no_claim_delta","claim_delta_present")</x:f>
        <x:v>no_claim_delta</x:v>
      </x:c>
      <x:c r="AB1100" s="12" t="str">
        <x:f>IF(S1100="","no_contradiction_delta","contradiction_delta_present")</x:f>
        <x:v>no_contradiction_delta</x:v>
      </x:c>
      <x:c r="AC1100" s="12" t="str">
        <x:f>IF(OR(ISNUMBER(SEARCH("hacker",LOWER(F1100&amp;" "&amp;H1100&amp;" "&amp;I1100&amp;" "&amp;M1100&amp;" "&amp;N1100&amp;" "&amp;T1100))),ISNUMBER(SEARCH("hacking",LOWER(F1100&amp;" "&amp;H1100&amp;" "&amp;I1100&amp;" "&amp;M1100&amp;" "&amp;N1100&amp;" "&amp;T1100))),ISNUMBER(SEARCH("bank",LOWER(F1100&amp;" "&amp;H1100&amp;" "&amp;I1100&amp;" "&amp;M1100&amp;" "&amp;N1100&amp;" "&amp;T1100))),ISNUMBER(SEARCH("banking",LOWER(F1100&amp;" "&amp;H1100&amp;" "&amp;I1100&amp;" "&amp;M1100&amp;" "&amp;N1100&amp;" "&amp;T1100)))),"PRIVATE_QUARANTINE",IF(OR(ISNUMBER(SEARCH("treasury",LOWER(F1100&amp;" "&amp;H1100&amp;" "&amp;I1100&amp;" "&amp;M1100&amp;" "&amp;N1100&amp;" "&amp;T1100))),ISNUMBER(SEARCH("debt",LOWER(F1100&amp;" "&amp;H1100&amp;" "&amp;I1100&amp;" "&amp;M1100&amp;" "&amp;N1100&amp;" "&amp;T1100))),ISNUMBER(SEARCH("bond",LOWER(F1100&amp;" "&amp;H1100&amp;" "&amp;I1100&amp;" "&amp;M1100&amp;" "&amp;N1100&amp;" "&amp;T1100))),ISNUMBER(SEARCH("transaction",LOWER(F1100&amp;" "&amp;H1100&amp;" "&amp;I1100&amp;" "&amp;M1100&amp;" "&amp;N1100&amp;" "&amp;T1100)))),"PRIVATE_REVIEW","PUBLIC_CANDIDATE"))</x:f>
        <x:v>PUBLIC_CANDIDATE</x:v>
      </x:c>
      <x:c r="AD1100" s="12" t="str">
        <x:f>IF(AC1100="PRIVATE_QUARANTINE","hacker_or_bank_trigger",IF(AC1100="PRIVATE_REVIEW","finance_risk_trigger","none"))</x:f>
        <x:v>none</x:v>
      </x:c>
      <x:c r="AE1100" s="12" t="str">
        <x:f>IF(AC1100="PUBLIC_CANDIDATE","prepare_public_github_candidate",IF(AC1100="PRIVATE_REVIEW","hold_for_private_review","quarantine_private_do_not_publish"))</x:f>
        <x:v>prepare_public_github_candidate</x:v>
      </x:c>
      <x:c r="AF1100" s="12" t="str">
        <x:f>IF(AC1100="PUBLIC_CANDIDATE","TIDELOCK + Lucerna",IF(AC1100="PRIVATE_REVIEW","AtlasBrain + Lucerna","TIDELOCK + Lucerna + Human-root"))</x:f>
        <x:v>TIDELOCK + Lucerna</x:v>
      </x:c>
      <x:c r="AG1100" s="12" t="str">
        <x:f>IF(AND(AC1100="PUBLIC_CANDIDATE",U1100&lt;&gt;"BLOCKED_PENDING_RECEIPT"),"READY_AFTER_RECEIPT","NOT_READY")</x:f>
        <x:v>NOT_READY</x:v>
      </x:c>
      <x:c r="AH1100" s="12" t="str">
        <x:f>IF(AC1100="PUBLIC_CANDIDATE","none",AD1100)</x:f>
        <x:v>none</x:v>
      </x:c>
      <x:c r="AI1100" s="12" t="str">
        <x:f>IF(AC1100="PUBLIC_CANDIDATE","archive/public_candidates/"&amp;A1100,"private_quarantine/"&amp;A1100)</x:f>
        <x:v>archive/public_candidates/SWARM-08-H08-S07</x:v>
      </x:c>
      <x:c r="AJ1100" s="12" t="str">
        <x:f>IF(AC1100="PUBLIC_CANDIDATE","public by default; still not canon","private/hold; do not publish")</x:f>
        <x:v>public by default; still not canon</x:v>
      </x:c>
      <x:c r="AK1100" s="12" t="str">
        <x:f>IF(AE1100="prepare_public_github_candidate","add receipt/status then mirror","resolve blocker before any public GitHub action")</x:f>
        <x:v>add receipt/status then mirror</x:v>
      </x:c>
    </x:row>
    <x:row r="1101">
      <x:c r="A1101" s="15" t="str">
        <x:v>SWARM-08-H08-S08</x:v>
      </x:c>
      <x:c r="B1101" s="15" t="str">
        <x:v>GammaSprite</x:v>
      </x:c>
      <x:c r="C1101" s="15" t="str">
        <x:v>Deck surface mapper</x:v>
      </x:c>
      <x:c r="D1101" s="15" t="str">
        <x:v>Graph Edge Proposals</x:v>
      </x:c>
      <x:c r="E1101" s="15" t="str">
        <x:v>Sheldonbrain</x:v>
      </x:c>
      <x:c r="F1101" s="15" t="str">
        <x:v>Propose graph edges for Sheldonbrain — GammaSprite</x:v>
      </x:c>
      <x:c r="G1101" s="15" t="str">
        <x:v>Gamma/deck extraction / slide lineage</x:v>
      </x:c>
      <x:c r="H1101" s="15" t="str">
        <x:v>source path + receipt + raw/export status + claim/edge/risk delta</x:v>
      </x:c>
      <x:c r="I1101" s="15" t="str">
        <x:v>packet/SWARM-08-H08-S08</x:v>
      </x:c>
      <x:c r="J1101" s="15" t="str">
        <x:v>TODO</x:v>
      </x:c>
      <x:c r="K1101" s="15" t="str">
        <x:v>P1</x:v>
      </x:c>
      <x:c r="L1101" s="15" t="str">
        <x:v>Done only when evidence is logged, contradiction search is noted, and boundary stamp remains non-canon unless ratified</x:v>
      </x:c>
      <x:c r="M1101" s="15" t="str">
        <x:v>candidate / staging-only / not canon / not deployed / authority none</x:v>
      </x:c>
      <x:c r="N1101" s="15" t="str">
        <x:v>Dispatch to GammaSprite: complete Graph Edge Proposals x Sheldonbrain; return deltas only, receipts required.</x:v>
      </x:c>
      <x:c r="O1101" s="15" t="str">
        <x:v>AF-KG-H08-S08</x:v>
      </x:c>
      <x:c r="P1101" s="15" t="str">
        <x:v>Unverified</x:v>
      </x:c>
      <x:c r="Q1101" s="15" t="str">
        <x:v>Not checked</x:v>
      </x:c>
      <x:c r="R1101" s="15" t="str"/>
      <x:c r="S1101" s="15" t="str"/>
      <x:c r="T1101" s="15" t="str">
        <x:v>Log first source path or blocker</x:v>
      </x:c>
      <x:c r="U1101" s="12" t="str">
        <x:f>IF(OR(P1101="Unverified",Q1101="Not checked"),"BLOCKED_PENDING_RECEIPT","READY_FOR_REVIEW")</x:f>
        <x:v>BLOCKED_PENDING_RECEIPT</x:v>
      </x:c>
      <x:c r="V1101" s="12" t="str">
        <x:f>IF(J1101="DONE","RETURNED",IF(U1101="BLOCKED_PENDING_RECEIPT","SOURCE_TOUCH_REQUIRED","IN_PROGRESS"))</x:f>
        <x:v>SOURCE_TOUCH_REQUIRED</x:v>
      </x:c>
      <x:c r="W1101" s="12" t="str">
        <x:f>IF(P1101="Unverified","missing_receipt","receipt_logged")</x:f>
        <x:v>missing_receipt</x:v>
      </x:c>
      <x:c r="X1101" s="12" t="str">
        <x:f>IF(Q1101="Not checked","raw_status_missing","raw_status_logged")</x:f>
        <x:v>raw_status_missing</x:v>
      </x:c>
      <x:c r="Y1101" s="12" t="str">
        <x:f>IF(U1101="BLOCKED_PENDING_RECEIPT","Log source path or blocker; do not promote","Route to review lane")</x:f>
        <x:v>Log source path or blocker; do not promote</x:v>
      </x:c>
      <x:c r="Z1101" s="12" t="str">
        <x:f>IF(K1101="P0","Primary seat + Hashlight/Lucerna","Seat lane")</x:f>
        <x:v>Seat lane</x:v>
      </x:c>
      <x:c r="AA1101" s="12" t="str">
        <x:f>IF(R1101="","no_claim_delta","claim_delta_present")</x:f>
        <x:v>no_claim_delta</x:v>
      </x:c>
      <x:c r="AB1101" s="12" t="str">
        <x:f>IF(S1101="","no_contradiction_delta","contradiction_delta_present")</x:f>
        <x:v>no_contradiction_delta</x:v>
      </x:c>
      <x:c r="AC1101" s="12" t="str">
        <x:f>IF(OR(ISNUMBER(SEARCH("hacker",LOWER(F1101&amp;" "&amp;H1101&amp;" "&amp;I1101&amp;" "&amp;M1101&amp;" "&amp;N1101&amp;" "&amp;T1101))),ISNUMBER(SEARCH("hacking",LOWER(F1101&amp;" "&amp;H1101&amp;" "&amp;I1101&amp;" "&amp;M1101&amp;" "&amp;N1101&amp;" "&amp;T1101))),ISNUMBER(SEARCH("bank",LOWER(F1101&amp;" "&amp;H1101&amp;" "&amp;I1101&amp;" "&amp;M1101&amp;" "&amp;N1101&amp;" "&amp;T1101))),ISNUMBER(SEARCH("banking",LOWER(F1101&amp;" "&amp;H1101&amp;" "&amp;I1101&amp;" "&amp;M1101&amp;" "&amp;N1101&amp;" "&amp;T1101)))),"PRIVATE_QUARANTINE",IF(OR(ISNUMBER(SEARCH("treasury",LOWER(F1101&amp;" "&amp;H1101&amp;" "&amp;I1101&amp;" "&amp;M1101&amp;" "&amp;N1101&amp;" "&amp;T1101))),ISNUMBER(SEARCH("debt",LOWER(F1101&amp;" "&amp;H1101&amp;" "&amp;I1101&amp;" "&amp;M1101&amp;" "&amp;N1101&amp;" "&amp;T1101))),ISNUMBER(SEARCH("bond",LOWER(F1101&amp;" "&amp;H1101&amp;" "&amp;I1101&amp;" "&amp;M1101&amp;" "&amp;N1101&amp;" "&amp;T1101))),ISNUMBER(SEARCH("transaction",LOWER(F1101&amp;" "&amp;H1101&amp;" "&amp;I1101&amp;" "&amp;M1101&amp;" "&amp;N1101&amp;" "&amp;T1101)))),"PRIVATE_REVIEW","PUBLIC_CANDIDATE"))</x:f>
        <x:v>PUBLIC_CANDIDATE</x:v>
      </x:c>
      <x:c r="AD1101" s="12" t="str">
        <x:f>IF(AC1101="PRIVATE_QUARANTINE","hacker_or_bank_trigger",IF(AC1101="PRIVATE_REVIEW","finance_risk_trigger","none"))</x:f>
        <x:v>none</x:v>
      </x:c>
      <x:c r="AE1101" s="12" t="str">
        <x:f>IF(AC1101="PUBLIC_CANDIDATE","prepare_public_github_candidate",IF(AC1101="PRIVATE_REVIEW","hold_for_private_review","quarantine_private_do_not_publish"))</x:f>
        <x:v>prepare_public_github_candidate</x:v>
      </x:c>
      <x:c r="AF1101" s="12" t="str">
        <x:f>IF(AC1101="PUBLIC_CANDIDATE","TIDELOCK + Lucerna",IF(AC1101="PRIVATE_REVIEW","AtlasBrain + Lucerna","TIDELOCK + Lucerna + Human-root"))</x:f>
        <x:v>TIDELOCK + Lucerna</x:v>
      </x:c>
      <x:c r="AG1101" s="12" t="str">
        <x:f>IF(AND(AC1101="PUBLIC_CANDIDATE",U1101&lt;&gt;"BLOCKED_PENDING_RECEIPT"),"READY_AFTER_RECEIPT","NOT_READY")</x:f>
        <x:v>NOT_READY</x:v>
      </x:c>
      <x:c r="AH1101" s="12" t="str">
        <x:f>IF(AC1101="PUBLIC_CANDIDATE","none",AD1101)</x:f>
        <x:v>none</x:v>
      </x:c>
      <x:c r="AI1101" s="12" t="str">
        <x:f>IF(AC1101="PUBLIC_CANDIDATE","archive/public_candidates/"&amp;A1101,"private_quarantine/"&amp;A1101)</x:f>
        <x:v>archive/public_candidates/SWARM-08-H08-S08</x:v>
      </x:c>
      <x:c r="AJ1101" s="12" t="str">
        <x:f>IF(AC1101="PUBLIC_CANDIDATE","public by default; still not canon","private/hold; do not publish")</x:f>
        <x:v>public by default; still not canon</x:v>
      </x:c>
      <x:c r="AK1101" s="12" t="str">
        <x:f>IF(AE1101="prepare_public_github_candidate","add receipt/status then mirror","resolve blocker before any public GitHub action")</x:f>
        <x:v>add receipt/status then mirror</x:v>
      </x:c>
    </x:row>
    <x:row r="1102">
      <x:c r="A1102" s="15" t="str">
        <x:v>SWARM-08-H08-S09</x:v>
      </x:c>
      <x:c r="B1102" s="15" t="str">
        <x:v>GammaSprite</x:v>
      </x:c>
      <x:c r="C1102" s="15" t="str">
        <x:v>Deck surface mapper</x:v>
      </x:c>
      <x:c r="D1102" s="15" t="str">
        <x:v>Graph Edge Proposals</x:v>
      </x:c>
      <x:c r="E1102" s="15" t="str">
        <x:v>Aetherforge</x:v>
      </x:c>
      <x:c r="F1102" s="15" t="str">
        <x:v>Propose graph edges for Aetherforge — GammaSprite</x:v>
      </x:c>
      <x:c r="G1102" s="15" t="str">
        <x:v>Gamma/deck extraction / slide lineage</x:v>
      </x:c>
      <x:c r="H1102" s="15" t="str">
        <x:v>source path + receipt + raw/export status + claim/edge/risk delta</x:v>
      </x:c>
      <x:c r="I1102" s="15" t="str">
        <x:v>packet/SWARM-08-H08-S09</x:v>
      </x:c>
      <x:c r="J1102" s="15" t="str">
        <x:v>TODO</x:v>
      </x:c>
      <x:c r="K1102" s="15" t="str">
        <x:v>P2</x:v>
      </x:c>
      <x:c r="L1102" s="15" t="str">
        <x:v>Done only when evidence is logged, contradiction search is noted, and boundary stamp remains non-canon unless ratified</x:v>
      </x:c>
      <x:c r="M1102" s="15" t="str">
        <x:v>candidate / staging-only / not canon / not deployed / authority none</x:v>
      </x:c>
      <x:c r="N1102" s="15" t="str">
        <x:v>Dispatch to GammaSprite: complete Graph Edge Proposals x Aetherforge; return deltas only, receipts required.</x:v>
      </x:c>
      <x:c r="O1102" s="15" t="str">
        <x:v>AF-KG-H08-S09</x:v>
      </x:c>
      <x:c r="P1102" s="15" t="str">
        <x:v>Unverified</x:v>
      </x:c>
      <x:c r="Q1102" s="15" t="str">
        <x:v>Not checked</x:v>
      </x:c>
      <x:c r="R1102" s="15" t="str"/>
      <x:c r="S1102" s="15" t="str"/>
      <x:c r="T1102" s="15" t="str">
        <x:v>Log first source path or blocker</x:v>
      </x:c>
      <x:c r="U1102" s="12" t="str">
        <x:f>IF(OR(P1102="Unverified",Q1102="Not checked"),"BLOCKED_PENDING_RECEIPT","READY_FOR_REVIEW")</x:f>
        <x:v>BLOCKED_PENDING_RECEIPT</x:v>
      </x:c>
      <x:c r="V1102" s="12" t="str">
        <x:f>IF(J1102="DONE","RETURNED",IF(U1102="BLOCKED_PENDING_RECEIPT","SOURCE_TOUCH_REQUIRED","IN_PROGRESS"))</x:f>
        <x:v>SOURCE_TOUCH_REQUIRED</x:v>
      </x:c>
      <x:c r="W1102" s="12" t="str">
        <x:f>IF(P1102="Unverified","missing_receipt","receipt_logged")</x:f>
        <x:v>missing_receipt</x:v>
      </x:c>
      <x:c r="X1102" s="12" t="str">
        <x:f>IF(Q1102="Not checked","raw_status_missing","raw_status_logged")</x:f>
        <x:v>raw_status_missing</x:v>
      </x:c>
      <x:c r="Y1102" s="12" t="str">
        <x:f>IF(U1102="BLOCKED_PENDING_RECEIPT","Log source path or blocker; do not promote","Route to review lane")</x:f>
        <x:v>Log source path or blocker; do not promote</x:v>
      </x:c>
      <x:c r="Z1102" s="12" t="str">
        <x:f>IF(K1102="P0","Primary seat + Hashlight/Lucerna","Seat lane")</x:f>
        <x:v>Seat lane</x:v>
      </x:c>
      <x:c r="AA1102" s="12" t="str">
        <x:f>IF(R1102="","no_claim_delta","claim_delta_present")</x:f>
        <x:v>no_claim_delta</x:v>
      </x:c>
      <x:c r="AB1102" s="12" t="str">
        <x:f>IF(S1102="","no_contradiction_delta","contradiction_delta_present")</x:f>
        <x:v>no_contradiction_delta</x:v>
      </x:c>
      <x:c r="AC1102" s="12" t="str">
        <x:f>IF(OR(ISNUMBER(SEARCH("hacker",LOWER(F1102&amp;" "&amp;H1102&amp;" "&amp;I1102&amp;" "&amp;M1102&amp;" "&amp;N1102&amp;" "&amp;T1102))),ISNUMBER(SEARCH("hacking",LOWER(F1102&amp;" "&amp;H1102&amp;" "&amp;I1102&amp;" "&amp;M1102&amp;" "&amp;N1102&amp;" "&amp;T1102))),ISNUMBER(SEARCH("bank",LOWER(F1102&amp;" "&amp;H1102&amp;" "&amp;I1102&amp;" "&amp;M1102&amp;" "&amp;N1102&amp;" "&amp;T1102))),ISNUMBER(SEARCH("banking",LOWER(F1102&amp;" "&amp;H1102&amp;" "&amp;I1102&amp;" "&amp;M1102&amp;" "&amp;N1102&amp;" "&amp;T1102)))),"PRIVATE_QUARANTINE",IF(OR(ISNUMBER(SEARCH("treasury",LOWER(F1102&amp;" "&amp;H1102&amp;" "&amp;I1102&amp;" "&amp;M1102&amp;" "&amp;N1102&amp;" "&amp;T1102))),ISNUMBER(SEARCH("debt",LOWER(F1102&amp;" "&amp;H1102&amp;" "&amp;I1102&amp;" "&amp;M1102&amp;" "&amp;N1102&amp;" "&amp;T1102))),ISNUMBER(SEARCH("bond",LOWER(F1102&amp;" "&amp;H1102&amp;" "&amp;I1102&amp;" "&amp;M1102&amp;" "&amp;N1102&amp;" "&amp;T1102))),ISNUMBER(SEARCH("transaction",LOWER(F1102&amp;" "&amp;H1102&amp;" "&amp;I1102&amp;" "&amp;M1102&amp;" "&amp;N1102&amp;" "&amp;T1102)))),"PRIVATE_REVIEW","PUBLIC_CANDIDATE"))</x:f>
        <x:v>PUBLIC_CANDIDATE</x:v>
      </x:c>
      <x:c r="AD1102" s="12" t="str">
        <x:f>IF(AC1102="PRIVATE_QUARANTINE","hacker_or_bank_trigger",IF(AC1102="PRIVATE_REVIEW","finance_risk_trigger","none"))</x:f>
        <x:v>none</x:v>
      </x:c>
      <x:c r="AE1102" s="12" t="str">
        <x:f>IF(AC1102="PUBLIC_CANDIDATE","prepare_public_github_candidate",IF(AC1102="PRIVATE_REVIEW","hold_for_private_review","quarantine_private_do_not_publish"))</x:f>
        <x:v>prepare_public_github_candidate</x:v>
      </x:c>
      <x:c r="AF1102" s="12" t="str">
        <x:f>IF(AC1102="PUBLIC_CANDIDATE","TIDELOCK + Lucerna",IF(AC1102="PRIVATE_REVIEW","AtlasBrain + Lucerna","TIDELOCK + Lucerna + Human-root"))</x:f>
        <x:v>TIDELOCK + Lucerna</x:v>
      </x:c>
      <x:c r="AG1102" s="12" t="str">
        <x:f>IF(AND(AC1102="PUBLIC_CANDIDATE",U1102&lt;&gt;"BLOCKED_PENDING_RECEIPT"),"READY_AFTER_RECEIPT","NOT_READY")</x:f>
        <x:v>NOT_READY</x:v>
      </x:c>
      <x:c r="AH1102" s="12" t="str">
        <x:f>IF(AC1102="PUBLIC_CANDIDATE","none",AD1102)</x:f>
        <x:v>none</x:v>
      </x:c>
      <x:c r="AI1102" s="12" t="str">
        <x:f>IF(AC1102="PUBLIC_CANDIDATE","archive/public_candidates/"&amp;A1102,"private_quarantine/"&amp;A1102)</x:f>
        <x:v>archive/public_candidates/SWARM-08-H08-S09</x:v>
      </x:c>
      <x:c r="AJ1102" s="12" t="str">
        <x:f>IF(AC1102="PUBLIC_CANDIDATE","public by default; still not canon","private/hold; do not publish")</x:f>
        <x:v>public by default; still not canon</x:v>
      </x:c>
      <x:c r="AK1102" s="12" t="str">
        <x:f>IF(AE1102="prepare_public_github_candidate","add receipt/status then mirror","resolve blocker before any public GitHub action")</x:f>
        <x:v>add receipt/status then mirror</x:v>
      </x:c>
    </x:row>
    <x:row r="1103">
      <x:c r="A1103" s="15" t="str">
        <x:v>SWARM-08-H08-S10</x:v>
      </x:c>
      <x:c r="B1103" s="15" t="str">
        <x:v>GammaSprite</x:v>
      </x:c>
      <x:c r="C1103" s="15" t="str">
        <x:v>Deck surface mapper</x:v>
      </x:c>
      <x:c r="D1103" s="15" t="str">
        <x:v>Graph Edge Proposals</x:v>
      </x:c>
      <x:c r="E1103" s="15" t="str">
        <x:v>Human-Root</x:v>
      </x:c>
      <x:c r="F1103" s="15" t="str">
        <x:v>Propose graph edges for Human-Root — GammaSprite</x:v>
      </x:c>
      <x:c r="G1103" s="15" t="str">
        <x:v>Gamma/deck extraction / slide lineage</x:v>
      </x:c>
      <x:c r="H1103" s="15" t="str">
        <x:v>source path + receipt + raw/export status + claim/edge/risk delta</x:v>
      </x:c>
      <x:c r="I1103" s="15" t="str">
        <x:v>packet/SWARM-08-H08-S10</x:v>
      </x:c>
      <x:c r="J1103" s="15" t="str">
        <x:v>TODO</x:v>
      </x:c>
      <x:c r="K1103" s="15" t="str">
        <x:v>P2</x:v>
      </x:c>
      <x:c r="L1103" s="15" t="str">
        <x:v>Done only when evidence is logged, contradiction search is noted, and boundary stamp remains non-canon unless ratified</x:v>
      </x:c>
      <x:c r="M1103" s="15" t="str">
        <x:v>candidate / staging-only / not canon / not deployed / authority none</x:v>
      </x:c>
      <x:c r="N1103" s="15" t="str">
        <x:v>Dispatch to GammaSprite: complete Graph Edge Proposals x Human-Root; return deltas only, receipts required.</x:v>
      </x:c>
      <x:c r="O1103" s="15" t="str">
        <x:v>AF-KG-H08-S10</x:v>
      </x:c>
      <x:c r="P1103" s="15" t="str">
        <x:v>Unverified</x:v>
      </x:c>
      <x:c r="Q1103" s="15" t="str">
        <x:v>Not checked</x:v>
      </x:c>
      <x:c r="R1103" s="15" t="str"/>
      <x:c r="S1103" s="15" t="str"/>
      <x:c r="T1103" s="15" t="str">
        <x:v>Log first source path or blocker</x:v>
      </x:c>
      <x:c r="U1103" s="12" t="str">
        <x:f>IF(OR(P1103="Unverified",Q1103="Not checked"),"BLOCKED_PENDING_RECEIPT","READY_FOR_REVIEW")</x:f>
        <x:v>BLOCKED_PENDING_RECEIPT</x:v>
      </x:c>
      <x:c r="V1103" s="12" t="str">
        <x:f>IF(J1103="DONE","RETURNED",IF(U1103="BLOCKED_PENDING_RECEIPT","SOURCE_TOUCH_REQUIRED","IN_PROGRESS"))</x:f>
        <x:v>SOURCE_TOUCH_REQUIRED</x:v>
      </x:c>
      <x:c r="W1103" s="12" t="str">
        <x:f>IF(P1103="Unverified","missing_receipt","receipt_logged")</x:f>
        <x:v>missing_receipt</x:v>
      </x:c>
      <x:c r="X1103" s="12" t="str">
        <x:f>IF(Q1103="Not checked","raw_status_missing","raw_status_logged")</x:f>
        <x:v>raw_status_missing</x:v>
      </x:c>
      <x:c r="Y1103" s="12" t="str">
        <x:f>IF(U1103="BLOCKED_PENDING_RECEIPT","Log source path or blocker; do not promote","Route to review lane")</x:f>
        <x:v>Log source path or blocker; do not promote</x:v>
      </x:c>
      <x:c r="Z1103" s="12" t="str">
        <x:f>IF(K1103="P0","Primary seat + Hashlight/Lucerna","Seat lane")</x:f>
        <x:v>Seat lane</x:v>
      </x:c>
      <x:c r="AA1103" s="12" t="str">
        <x:f>IF(R1103="","no_claim_delta","claim_delta_present")</x:f>
        <x:v>no_claim_delta</x:v>
      </x:c>
      <x:c r="AB1103" s="12" t="str">
        <x:f>IF(S1103="","no_contradiction_delta","contradiction_delta_present")</x:f>
        <x:v>no_contradiction_delta</x:v>
      </x:c>
      <x:c r="AC1103" s="12" t="str">
        <x:f>IF(OR(ISNUMBER(SEARCH("hacker",LOWER(F1103&amp;" "&amp;H1103&amp;" "&amp;I1103&amp;" "&amp;M1103&amp;" "&amp;N1103&amp;" "&amp;T1103))),ISNUMBER(SEARCH("hacking",LOWER(F1103&amp;" "&amp;H1103&amp;" "&amp;I1103&amp;" "&amp;M1103&amp;" "&amp;N1103&amp;" "&amp;T1103))),ISNUMBER(SEARCH("bank",LOWER(F1103&amp;" "&amp;H1103&amp;" "&amp;I1103&amp;" "&amp;M1103&amp;" "&amp;N1103&amp;" "&amp;T1103))),ISNUMBER(SEARCH("banking",LOWER(F1103&amp;" "&amp;H1103&amp;" "&amp;I1103&amp;" "&amp;M1103&amp;" "&amp;N1103&amp;" "&amp;T1103)))),"PRIVATE_QUARANTINE",IF(OR(ISNUMBER(SEARCH("treasury",LOWER(F1103&amp;" "&amp;H1103&amp;" "&amp;I1103&amp;" "&amp;M1103&amp;" "&amp;N1103&amp;" "&amp;T1103))),ISNUMBER(SEARCH("debt",LOWER(F1103&amp;" "&amp;H1103&amp;" "&amp;I1103&amp;" "&amp;M1103&amp;" "&amp;N1103&amp;" "&amp;T1103))),ISNUMBER(SEARCH("bond",LOWER(F1103&amp;" "&amp;H1103&amp;" "&amp;I1103&amp;" "&amp;M1103&amp;" "&amp;N1103&amp;" "&amp;T1103))),ISNUMBER(SEARCH("transaction",LOWER(F1103&amp;" "&amp;H1103&amp;" "&amp;I1103&amp;" "&amp;M1103&amp;" "&amp;N1103&amp;" "&amp;T1103)))),"PRIVATE_REVIEW","PUBLIC_CANDIDATE"))</x:f>
        <x:v>PUBLIC_CANDIDATE</x:v>
      </x:c>
      <x:c r="AD1103" s="12" t="str">
        <x:f>IF(AC1103="PRIVATE_QUARANTINE","hacker_or_bank_trigger",IF(AC1103="PRIVATE_REVIEW","finance_risk_trigger","none"))</x:f>
        <x:v>none</x:v>
      </x:c>
      <x:c r="AE1103" s="12" t="str">
        <x:f>IF(AC1103="PUBLIC_CANDIDATE","prepare_public_github_candidate",IF(AC1103="PRIVATE_REVIEW","hold_for_private_review","quarantine_private_do_not_publish"))</x:f>
        <x:v>prepare_public_github_candidate</x:v>
      </x:c>
      <x:c r="AF1103" s="12" t="str">
        <x:f>IF(AC1103="PUBLIC_CANDIDATE","TIDELOCK + Lucerna",IF(AC1103="PRIVATE_REVIEW","AtlasBrain + Lucerna","TIDELOCK + Lucerna + Human-root"))</x:f>
        <x:v>TIDELOCK + Lucerna</x:v>
      </x:c>
      <x:c r="AG1103" s="12" t="str">
        <x:f>IF(AND(AC1103="PUBLIC_CANDIDATE",U1103&lt;&gt;"BLOCKED_PENDING_RECEIPT"),"READY_AFTER_RECEIPT","NOT_READY")</x:f>
        <x:v>NOT_READY</x:v>
      </x:c>
      <x:c r="AH1103" s="12" t="str">
        <x:f>IF(AC1103="PUBLIC_CANDIDATE","none",AD1103)</x:f>
        <x:v>none</x:v>
      </x:c>
      <x:c r="AI1103" s="12" t="str">
        <x:f>IF(AC1103="PUBLIC_CANDIDATE","archive/public_candidates/"&amp;A1103,"private_quarantine/"&amp;A1103)</x:f>
        <x:v>archive/public_candidates/SWARM-08-H08-S10</x:v>
      </x:c>
      <x:c r="AJ1103" s="12" t="str">
        <x:f>IF(AC1103="PUBLIC_CANDIDATE","public by default; still not canon","private/hold; do not publish")</x:f>
        <x:v>public by default; still not canon</x:v>
      </x:c>
      <x:c r="AK1103" s="12" t="str">
        <x:f>IF(AE1103="prepare_public_github_candidate","add receipt/status then mirror","resolve blocker before any public GitHub action")</x:f>
        <x:v>add receipt/status then mirror</x:v>
      </x:c>
    </x:row>
    <x:row r="1104">
      <x:c r="A1104" s="15" t="str">
        <x:v>SWARM-08-H08-S11</x:v>
      </x:c>
      <x:c r="B1104" s="15" t="str">
        <x:v>GammaSprite</x:v>
      </x:c>
      <x:c r="C1104" s="15" t="str">
        <x:v>Deck surface mapper</x:v>
      </x:c>
      <x:c r="D1104" s="15" t="str">
        <x:v>Graph Edge Proposals</x:v>
      </x:c>
      <x:c r="E1104" s="15" t="str">
        <x:v>Automation</x:v>
      </x:c>
      <x:c r="F1104" s="15" t="str">
        <x:v>Propose graph edges for Automation — GammaSprite</x:v>
      </x:c>
      <x:c r="G1104" s="15" t="str">
        <x:v>Gamma/deck extraction / slide lineage</x:v>
      </x:c>
      <x:c r="H1104" s="15" t="str">
        <x:v>source path + receipt + raw/export status + claim/edge/risk delta</x:v>
      </x:c>
      <x:c r="I1104" s="15" t="str">
        <x:v>packet/SWARM-08-H08-S11</x:v>
      </x:c>
      <x:c r="J1104" s="15" t="str">
        <x:v>TODO</x:v>
      </x:c>
      <x:c r="K1104" s="15" t="str">
        <x:v>P2</x:v>
      </x:c>
      <x:c r="L1104" s="15" t="str">
        <x:v>Done only when evidence is logged, contradiction search is noted, and boundary stamp remains non-canon unless ratified</x:v>
      </x:c>
      <x:c r="M1104" s="15" t="str">
        <x:v>candidate / staging-only / not canon / not deployed / authority none</x:v>
      </x:c>
      <x:c r="N1104" s="15" t="str">
        <x:v>Dispatch to GammaSprite: complete Graph Edge Proposals x Automation; return deltas only, receipts required.</x:v>
      </x:c>
      <x:c r="O1104" s="15" t="str">
        <x:v>AF-KG-H08-S11</x:v>
      </x:c>
      <x:c r="P1104" s="15" t="str">
        <x:v>Unverified</x:v>
      </x:c>
      <x:c r="Q1104" s="15" t="str">
        <x:v>Not checked</x:v>
      </x:c>
      <x:c r="R1104" s="15" t="str"/>
      <x:c r="S1104" s="15" t="str"/>
      <x:c r="T1104" s="15" t="str">
        <x:v>Log first source path or blocker</x:v>
      </x:c>
      <x:c r="U1104" s="12" t="str">
        <x:f>IF(OR(P1104="Unverified",Q1104="Not checked"),"BLOCKED_PENDING_RECEIPT","READY_FOR_REVIEW")</x:f>
        <x:v>BLOCKED_PENDING_RECEIPT</x:v>
      </x:c>
      <x:c r="V1104" s="12" t="str">
        <x:f>IF(J1104="DONE","RETURNED",IF(U1104="BLOCKED_PENDING_RECEIPT","SOURCE_TOUCH_REQUIRED","IN_PROGRESS"))</x:f>
        <x:v>SOURCE_TOUCH_REQUIRED</x:v>
      </x:c>
      <x:c r="W1104" s="12" t="str">
        <x:f>IF(P1104="Unverified","missing_receipt","receipt_logged")</x:f>
        <x:v>missing_receipt</x:v>
      </x:c>
      <x:c r="X1104" s="12" t="str">
        <x:f>IF(Q1104="Not checked","raw_status_missing","raw_status_logged")</x:f>
        <x:v>raw_status_missing</x:v>
      </x:c>
      <x:c r="Y1104" s="12" t="str">
        <x:f>IF(U1104="BLOCKED_PENDING_RECEIPT","Log source path or blocker; do not promote","Route to review lane")</x:f>
        <x:v>Log source path or blocker; do not promote</x:v>
      </x:c>
      <x:c r="Z1104" s="12" t="str">
        <x:f>IF(K1104="P0","Primary seat + Hashlight/Lucerna","Seat lane")</x:f>
        <x:v>Seat lane</x:v>
      </x:c>
      <x:c r="AA1104" s="12" t="str">
        <x:f>IF(R1104="","no_claim_delta","claim_delta_present")</x:f>
        <x:v>no_claim_delta</x:v>
      </x:c>
      <x:c r="AB1104" s="12" t="str">
        <x:f>IF(S1104="","no_contradiction_delta","contradiction_delta_present")</x:f>
        <x:v>no_contradiction_delta</x:v>
      </x:c>
      <x:c r="AC1104" s="12" t="str">
        <x:f>IF(OR(ISNUMBER(SEARCH("hacker",LOWER(F1104&amp;" "&amp;H1104&amp;" "&amp;I1104&amp;" "&amp;M1104&amp;" "&amp;N1104&amp;" "&amp;T1104))),ISNUMBER(SEARCH("hacking",LOWER(F1104&amp;" "&amp;H1104&amp;" "&amp;I1104&amp;" "&amp;M1104&amp;" "&amp;N1104&amp;" "&amp;T1104))),ISNUMBER(SEARCH("bank",LOWER(F1104&amp;" "&amp;H1104&amp;" "&amp;I1104&amp;" "&amp;M1104&amp;" "&amp;N1104&amp;" "&amp;T1104))),ISNUMBER(SEARCH("banking",LOWER(F1104&amp;" "&amp;H1104&amp;" "&amp;I1104&amp;" "&amp;M1104&amp;" "&amp;N1104&amp;" "&amp;T1104)))),"PRIVATE_QUARANTINE",IF(OR(ISNUMBER(SEARCH("treasury",LOWER(F1104&amp;" "&amp;H1104&amp;" "&amp;I1104&amp;" "&amp;M1104&amp;" "&amp;N1104&amp;" "&amp;T1104))),ISNUMBER(SEARCH("debt",LOWER(F1104&amp;" "&amp;H1104&amp;" "&amp;I1104&amp;" "&amp;M1104&amp;" "&amp;N1104&amp;" "&amp;T1104))),ISNUMBER(SEARCH("bond",LOWER(F1104&amp;" "&amp;H1104&amp;" "&amp;I1104&amp;" "&amp;M1104&amp;" "&amp;N1104&amp;" "&amp;T1104))),ISNUMBER(SEARCH("transaction",LOWER(F1104&amp;" "&amp;H1104&amp;" "&amp;I1104&amp;" "&amp;M1104&amp;" "&amp;N1104&amp;" "&amp;T1104)))),"PRIVATE_REVIEW","PUBLIC_CANDIDATE"))</x:f>
        <x:v>PUBLIC_CANDIDATE</x:v>
      </x:c>
      <x:c r="AD1104" s="12" t="str">
        <x:f>IF(AC1104="PRIVATE_QUARANTINE","hacker_or_bank_trigger",IF(AC1104="PRIVATE_REVIEW","finance_risk_trigger","none"))</x:f>
        <x:v>none</x:v>
      </x:c>
      <x:c r="AE1104" s="12" t="str">
        <x:f>IF(AC1104="PUBLIC_CANDIDATE","prepare_public_github_candidate",IF(AC1104="PRIVATE_REVIEW","hold_for_private_review","quarantine_private_do_not_publish"))</x:f>
        <x:v>prepare_public_github_candidate</x:v>
      </x:c>
      <x:c r="AF1104" s="12" t="str">
        <x:f>IF(AC1104="PUBLIC_CANDIDATE","TIDELOCK + Lucerna",IF(AC1104="PRIVATE_REVIEW","AtlasBrain + Lucerna","TIDELOCK + Lucerna + Human-root"))</x:f>
        <x:v>TIDELOCK + Lucerna</x:v>
      </x:c>
      <x:c r="AG1104" s="12" t="str">
        <x:f>IF(AND(AC1104="PUBLIC_CANDIDATE",U1104&lt;&gt;"BLOCKED_PENDING_RECEIPT"),"READY_AFTER_RECEIPT","NOT_READY")</x:f>
        <x:v>NOT_READY</x:v>
      </x:c>
      <x:c r="AH1104" s="12" t="str">
        <x:f>IF(AC1104="PUBLIC_CANDIDATE","none",AD1104)</x:f>
        <x:v>none</x:v>
      </x:c>
      <x:c r="AI1104" s="12" t="str">
        <x:f>IF(AC1104="PUBLIC_CANDIDATE","archive/public_candidates/"&amp;A1104,"private_quarantine/"&amp;A1104)</x:f>
        <x:v>archive/public_candidates/SWARM-08-H08-S11</x:v>
      </x:c>
      <x:c r="AJ1104" s="12" t="str">
        <x:f>IF(AC1104="PUBLIC_CANDIDATE","public by default; still not canon","private/hold; do not publish")</x:f>
        <x:v>public by default; still not canon</x:v>
      </x:c>
      <x:c r="AK1104" s="12" t="str">
        <x:f>IF(AE1104="prepare_public_github_candidate","add receipt/status then mirror","resolve blocker before any public GitHub action")</x:f>
        <x:v>add receipt/status then mirror</x:v>
      </x:c>
    </x:row>
    <x:row r="1105">
      <x:c r="A1105" s="15" t="str">
        <x:v>SWARM-08-H08-S12</x:v>
      </x:c>
      <x:c r="B1105" s="15" t="str">
        <x:v>GammaSprite</x:v>
      </x:c>
      <x:c r="C1105" s="15" t="str">
        <x:v>Deck surface mapper</x:v>
      </x:c>
      <x:c r="D1105" s="15" t="str">
        <x:v>Graph Edge Proposals</x:v>
      </x:c>
      <x:c r="E1105" s="15" t="str">
        <x:v>Risk / Safety</x:v>
      </x:c>
      <x:c r="F1105" s="15" t="str">
        <x:v>Propose graph edges for Risk / Safety — GammaSprite</x:v>
      </x:c>
      <x:c r="G1105" s="15" t="str">
        <x:v>Gamma/deck extraction / slide lineage</x:v>
      </x:c>
      <x:c r="H1105" s="15" t="str">
        <x:v>source path + receipt + raw/export status + claim/edge/risk delta</x:v>
      </x:c>
      <x:c r="I1105" s="15" t="str">
        <x:v>packet/SWARM-08-H08-S12</x:v>
      </x:c>
      <x:c r="J1105" s="15" t="str">
        <x:v>TODO</x:v>
      </x:c>
      <x:c r="K1105" s="15" t="str">
        <x:v>P2</x:v>
      </x:c>
      <x:c r="L1105" s="15" t="str">
        <x:v>Done only when evidence is logged, contradiction search is noted, and boundary stamp remains non-canon unless ratified</x:v>
      </x:c>
      <x:c r="M1105" s="15" t="str">
        <x:v>candidate / staging-only / not canon / not deployed / authority none</x:v>
      </x:c>
      <x:c r="N1105" s="15" t="str">
        <x:v>Dispatch to GammaSprite: complete Graph Edge Proposals x Risk / Safety; return deltas only, receipts required.</x:v>
      </x:c>
      <x:c r="O1105" s="15" t="str">
        <x:v>AF-KG-H08-S12</x:v>
      </x:c>
      <x:c r="P1105" s="15" t="str">
        <x:v>Unverified</x:v>
      </x:c>
      <x:c r="Q1105" s="15" t="str">
        <x:v>Not checked</x:v>
      </x:c>
      <x:c r="R1105" s="15" t="str"/>
      <x:c r="S1105" s="15" t="str"/>
      <x:c r="T1105" s="15" t="str">
        <x:v>Log first source path or blocker</x:v>
      </x:c>
      <x:c r="U1105" s="12" t="str">
        <x:f>IF(OR(P1105="Unverified",Q1105="Not checked"),"BLOCKED_PENDING_RECEIPT","READY_FOR_REVIEW")</x:f>
        <x:v>BLOCKED_PENDING_RECEIPT</x:v>
      </x:c>
      <x:c r="V1105" s="12" t="str">
        <x:f>IF(J1105="DONE","RETURNED",IF(U1105="BLOCKED_PENDING_RECEIPT","SOURCE_TOUCH_REQUIRED","IN_PROGRESS"))</x:f>
        <x:v>SOURCE_TOUCH_REQUIRED</x:v>
      </x:c>
      <x:c r="W1105" s="12" t="str">
        <x:f>IF(P1105="Unverified","missing_receipt","receipt_logged")</x:f>
        <x:v>missing_receipt</x:v>
      </x:c>
      <x:c r="X1105" s="12" t="str">
        <x:f>IF(Q1105="Not checked","raw_status_missing","raw_status_logged")</x:f>
        <x:v>raw_status_missing</x:v>
      </x:c>
      <x:c r="Y1105" s="12" t="str">
        <x:f>IF(U1105="BLOCKED_PENDING_RECEIPT","Log source path or blocker; do not promote","Route to review lane")</x:f>
        <x:v>Log source path or blocker; do not promote</x:v>
      </x:c>
      <x:c r="Z1105" s="12" t="str">
        <x:f>IF(K1105="P0","Primary seat + Hashlight/Lucerna","Seat lane")</x:f>
        <x:v>Seat lane</x:v>
      </x:c>
      <x:c r="AA1105" s="12" t="str">
        <x:f>IF(R1105="","no_claim_delta","claim_delta_present")</x:f>
        <x:v>no_claim_delta</x:v>
      </x:c>
      <x:c r="AB1105" s="12" t="str">
        <x:f>IF(S1105="","no_contradiction_delta","contradiction_delta_present")</x:f>
        <x:v>no_contradiction_delta</x:v>
      </x:c>
      <x:c r="AC1105" s="12" t="str">
        <x:f>IF(OR(ISNUMBER(SEARCH("hacker",LOWER(F1105&amp;" "&amp;H1105&amp;" "&amp;I1105&amp;" "&amp;M1105&amp;" "&amp;N1105&amp;" "&amp;T1105))),ISNUMBER(SEARCH("hacking",LOWER(F1105&amp;" "&amp;H1105&amp;" "&amp;I1105&amp;" "&amp;M1105&amp;" "&amp;N1105&amp;" "&amp;T1105))),ISNUMBER(SEARCH("bank",LOWER(F1105&amp;" "&amp;H1105&amp;" "&amp;I1105&amp;" "&amp;M1105&amp;" "&amp;N1105&amp;" "&amp;T1105))),ISNUMBER(SEARCH("banking",LOWER(F1105&amp;" "&amp;H1105&amp;" "&amp;I1105&amp;" "&amp;M1105&amp;" "&amp;N1105&amp;" "&amp;T1105)))),"PRIVATE_QUARANTINE",IF(OR(ISNUMBER(SEARCH("treasury",LOWER(F1105&amp;" "&amp;H1105&amp;" "&amp;I1105&amp;" "&amp;M1105&amp;" "&amp;N1105&amp;" "&amp;T1105))),ISNUMBER(SEARCH("debt",LOWER(F1105&amp;" "&amp;H1105&amp;" "&amp;I1105&amp;" "&amp;M1105&amp;" "&amp;N1105&amp;" "&amp;T1105))),ISNUMBER(SEARCH("bond",LOWER(F1105&amp;" "&amp;H1105&amp;" "&amp;I1105&amp;" "&amp;M1105&amp;" "&amp;N1105&amp;" "&amp;T1105))),ISNUMBER(SEARCH("transaction",LOWER(F1105&amp;" "&amp;H1105&amp;" "&amp;I1105&amp;" "&amp;M1105&amp;" "&amp;N1105&amp;" "&amp;T1105)))),"PRIVATE_REVIEW","PUBLIC_CANDIDATE"))</x:f>
        <x:v>PUBLIC_CANDIDATE</x:v>
      </x:c>
      <x:c r="AD1105" s="12" t="str">
        <x:f>IF(AC1105="PRIVATE_QUARANTINE","hacker_or_bank_trigger",IF(AC1105="PRIVATE_REVIEW","finance_risk_trigger","none"))</x:f>
        <x:v>none</x:v>
      </x:c>
      <x:c r="AE1105" s="12" t="str">
        <x:f>IF(AC1105="PUBLIC_CANDIDATE","prepare_public_github_candidate",IF(AC1105="PRIVATE_REVIEW","hold_for_private_review","quarantine_private_do_not_publish"))</x:f>
        <x:v>prepare_public_github_candidate</x:v>
      </x:c>
      <x:c r="AF1105" s="12" t="str">
        <x:f>IF(AC1105="PUBLIC_CANDIDATE","TIDELOCK + Lucerna",IF(AC1105="PRIVATE_REVIEW","AtlasBrain + Lucerna","TIDELOCK + Lucerna + Human-root"))</x:f>
        <x:v>TIDELOCK + Lucerna</x:v>
      </x:c>
      <x:c r="AG1105" s="12" t="str">
        <x:f>IF(AND(AC1105="PUBLIC_CANDIDATE",U1105&lt;&gt;"BLOCKED_PENDING_RECEIPT"),"READY_AFTER_RECEIPT","NOT_READY")</x:f>
        <x:v>NOT_READY</x:v>
      </x:c>
      <x:c r="AH1105" s="12" t="str">
        <x:f>IF(AC1105="PUBLIC_CANDIDATE","none",AD1105)</x:f>
        <x:v>none</x:v>
      </x:c>
      <x:c r="AI1105" s="12" t="str">
        <x:f>IF(AC1105="PUBLIC_CANDIDATE","archive/public_candidates/"&amp;A1105,"private_quarantine/"&amp;A1105)</x:f>
        <x:v>archive/public_candidates/SWARM-08-H08-S12</x:v>
      </x:c>
      <x:c r="AJ1105" s="12" t="str">
        <x:f>IF(AC1105="PUBLIC_CANDIDATE","public by default; still not canon","private/hold; do not publish")</x:f>
        <x:v>public by default; still not canon</x:v>
      </x:c>
      <x:c r="AK1105" s="12" t="str">
        <x:f>IF(AE1105="prepare_public_github_candidate","add receipt/status then mirror","resolve blocker before any public GitHub action")</x:f>
        <x:v>add receipt/status then mirror</x:v>
      </x:c>
    </x:row>
    <x:row r="1106">
      <x:c r="A1106" s="15" t="str">
        <x:v>SWARM-08-H09-S01</x:v>
      </x:c>
      <x:c r="B1106" s="15" t="str">
        <x:v>GammaSprite</x:v>
      </x:c>
      <x:c r="C1106" s="15" t="str">
        <x:v>Deck surface mapper</x:v>
      </x:c>
      <x:c r="D1106" s="15" t="str">
        <x:v>Review Queues</x:v>
      </x:c>
      <x:c r="E1106" s="15" t="str">
        <x:v>Notion</x:v>
      </x:c>
      <x:c r="F1106" s="15" t="str">
        <x:v>Queue review for Notion — GammaSprite</x:v>
      </x:c>
      <x:c r="G1106" s="15" t="str">
        <x:v>Gamma/deck extraction / slide lineage</x:v>
      </x:c>
      <x:c r="H1106" s="15" t="str">
        <x:v>source path + receipt + raw/export status + claim/edge/risk delta</x:v>
      </x:c>
      <x:c r="I1106" s="15" t="str">
        <x:v>packet/SWARM-08-H09-S01</x:v>
      </x:c>
      <x:c r="J1106" s="15" t="str">
        <x:v>TODO</x:v>
      </x:c>
      <x:c r="K1106" s="15" t="str">
        <x:v>P0</x:v>
      </x:c>
      <x:c r="L1106" s="15" t="str">
        <x:v>Done only when evidence is logged, contradiction search is noted, and boundary stamp remains non-canon unless ratified</x:v>
      </x:c>
      <x:c r="M1106" s="15" t="str">
        <x:v>candidate / staging-only / not canon / not deployed / authority none</x:v>
      </x:c>
      <x:c r="N1106" s="15" t="str">
        <x:v>Dispatch to GammaSprite: complete Review Queues x Notion; return deltas only, receipts required.</x:v>
      </x:c>
      <x:c r="O1106" s="15" t="str">
        <x:v>AF-KG-H09-S01</x:v>
      </x:c>
      <x:c r="P1106" s="15" t="str">
        <x:v>Unverified</x:v>
      </x:c>
      <x:c r="Q1106" s="15" t="str">
        <x:v>Not checked</x:v>
      </x:c>
      <x:c r="R1106" s="15" t="str"/>
      <x:c r="S1106" s="15" t="str"/>
      <x:c r="T1106" s="15" t="str">
        <x:v>Log first source path or blocker</x:v>
      </x:c>
      <x:c r="U1106" s="12" t="str">
        <x:f>IF(OR(P1106="Unverified",Q1106="Not checked"),"BLOCKED_PENDING_RECEIPT","READY_FOR_REVIEW")</x:f>
        <x:v>BLOCKED_PENDING_RECEIPT</x:v>
      </x:c>
      <x:c r="V1106" s="12" t="str">
        <x:f>IF(J1106="DONE","RETURNED",IF(U1106="BLOCKED_PENDING_RECEIPT","SOURCE_TOUCH_REQUIRED","IN_PROGRESS"))</x:f>
        <x:v>SOURCE_TOUCH_REQUIRED</x:v>
      </x:c>
      <x:c r="W1106" s="12" t="str">
        <x:f>IF(P1106="Unverified","missing_receipt","receipt_logged")</x:f>
        <x:v>missing_receipt</x:v>
      </x:c>
      <x:c r="X1106" s="12" t="str">
        <x:f>IF(Q1106="Not checked","raw_status_missing","raw_status_logged")</x:f>
        <x:v>raw_status_missing</x:v>
      </x:c>
      <x:c r="Y1106" s="12" t="str">
        <x:f>IF(U1106="BLOCKED_PENDING_RECEIPT","Log source path or blocker; do not promote","Route to review lane")</x:f>
        <x:v>Log source path or blocker; do not promote</x:v>
      </x:c>
      <x:c r="Z1106" s="12" t="str">
        <x:f>IF(K1106="P0","Primary seat + Hashlight/Lucerna","Seat lane")</x:f>
        <x:v>Primary seat + Hashlight/Lucerna</x:v>
      </x:c>
      <x:c r="AA1106" s="12" t="str">
        <x:f>IF(R1106="","no_claim_delta","claim_delta_present")</x:f>
        <x:v>no_claim_delta</x:v>
      </x:c>
      <x:c r="AB1106" s="12" t="str">
        <x:f>IF(S1106="","no_contradiction_delta","contradiction_delta_present")</x:f>
        <x:v>no_contradiction_delta</x:v>
      </x:c>
      <x:c r="AC1106" s="12" t="str">
        <x:f>IF(OR(ISNUMBER(SEARCH("hacker",LOWER(F1106&amp;" "&amp;H1106&amp;" "&amp;I1106&amp;" "&amp;M1106&amp;" "&amp;N1106&amp;" "&amp;T1106))),ISNUMBER(SEARCH("hacking",LOWER(F1106&amp;" "&amp;H1106&amp;" "&amp;I1106&amp;" "&amp;M1106&amp;" "&amp;N1106&amp;" "&amp;T1106))),ISNUMBER(SEARCH("bank",LOWER(F1106&amp;" "&amp;H1106&amp;" "&amp;I1106&amp;" "&amp;M1106&amp;" "&amp;N1106&amp;" "&amp;T1106))),ISNUMBER(SEARCH("banking",LOWER(F1106&amp;" "&amp;H1106&amp;" "&amp;I1106&amp;" "&amp;M1106&amp;" "&amp;N1106&amp;" "&amp;T1106)))),"PRIVATE_QUARANTINE",IF(OR(ISNUMBER(SEARCH("treasury",LOWER(F1106&amp;" "&amp;H1106&amp;" "&amp;I1106&amp;" "&amp;M1106&amp;" "&amp;N1106&amp;" "&amp;T1106))),ISNUMBER(SEARCH("debt",LOWER(F1106&amp;" "&amp;H1106&amp;" "&amp;I1106&amp;" "&amp;M1106&amp;" "&amp;N1106&amp;" "&amp;T1106))),ISNUMBER(SEARCH("bond",LOWER(F1106&amp;" "&amp;H1106&amp;" "&amp;I1106&amp;" "&amp;M1106&amp;" "&amp;N1106&amp;" "&amp;T1106))),ISNUMBER(SEARCH("transaction",LOWER(F1106&amp;" "&amp;H1106&amp;" "&amp;I1106&amp;" "&amp;M1106&amp;" "&amp;N1106&amp;" "&amp;T1106)))),"PRIVATE_REVIEW","PUBLIC_CANDIDATE"))</x:f>
        <x:v>PUBLIC_CANDIDATE</x:v>
      </x:c>
      <x:c r="AD1106" s="12" t="str">
        <x:f>IF(AC1106="PRIVATE_QUARANTINE","hacker_or_bank_trigger",IF(AC1106="PRIVATE_REVIEW","finance_risk_trigger","none"))</x:f>
        <x:v>none</x:v>
      </x:c>
      <x:c r="AE1106" s="12" t="str">
        <x:f>IF(AC1106="PUBLIC_CANDIDATE","prepare_public_github_candidate",IF(AC1106="PRIVATE_REVIEW","hold_for_private_review","quarantine_private_do_not_publish"))</x:f>
        <x:v>prepare_public_github_candidate</x:v>
      </x:c>
      <x:c r="AF1106" s="12" t="str">
        <x:f>IF(AC1106="PUBLIC_CANDIDATE","TIDELOCK + Lucerna",IF(AC1106="PRIVATE_REVIEW","AtlasBrain + Lucerna","TIDELOCK + Lucerna + Human-root"))</x:f>
        <x:v>TIDELOCK + Lucerna</x:v>
      </x:c>
      <x:c r="AG1106" s="12" t="str">
        <x:f>IF(AND(AC1106="PUBLIC_CANDIDATE",U1106&lt;&gt;"BLOCKED_PENDING_RECEIPT"),"READY_AFTER_RECEIPT","NOT_READY")</x:f>
        <x:v>NOT_READY</x:v>
      </x:c>
      <x:c r="AH1106" s="12" t="str">
        <x:f>IF(AC1106="PUBLIC_CANDIDATE","none",AD1106)</x:f>
        <x:v>none</x:v>
      </x:c>
      <x:c r="AI1106" s="12" t="str">
        <x:f>IF(AC1106="PUBLIC_CANDIDATE","archive/public_candidates/"&amp;A1106,"private_quarantine/"&amp;A1106)</x:f>
        <x:v>archive/public_candidates/SWARM-08-H09-S01</x:v>
      </x:c>
      <x:c r="AJ1106" s="12" t="str">
        <x:f>IF(AC1106="PUBLIC_CANDIDATE","public by default; still not canon","private/hold; do not publish")</x:f>
        <x:v>public by default; still not canon</x:v>
      </x:c>
      <x:c r="AK1106" s="12" t="str">
        <x:f>IF(AE1106="prepare_public_github_candidate","add receipt/status then mirror","resolve blocker before any public GitHub action")</x:f>
        <x:v>add receipt/status then mirror</x:v>
      </x:c>
    </x:row>
    <x:row r="1107">
      <x:c r="A1107" s="15" t="str">
        <x:v>SWARM-08-H09-S02</x:v>
      </x:c>
      <x:c r="B1107" s="15" t="str">
        <x:v>GammaSprite</x:v>
      </x:c>
      <x:c r="C1107" s="15" t="str">
        <x:v>Deck surface mapper</x:v>
      </x:c>
      <x:c r="D1107" s="15" t="str">
        <x:v>Review Queues</x:v>
      </x:c>
      <x:c r="E1107" s="15" t="str">
        <x:v>Drive</x:v>
      </x:c>
      <x:c r="F1107" s="15" t="str">
        <x:v>Queue review for Drive — GammaSprite</x:v>
      </x:c>
      <x:c r="G1107" s="15" t="str">
        <x:v>Gamma/deck extraction / slide lineage</x:v>
      </x:c>
      <x:c r="H1107" s="15" t="str">
        <x:v>source path + receipt + raw/export status + claim/edge/risk delta</x:v>
      </x:c>
      <x:c r="I1107" s="15" t="str">
        <x:v>packet/SWARM-08-H09-S02</x:v>
      </x:c>
      <x:c r="J1107" s="15" t="str">
        <x:v>TODO</x:v>
      </x:c>
      <x:c r="K1107" s="15" t="str">
        <x:v>P0</x:v>
      </x:c>
      <x:c r="L1107" s="15" t="str">
        <x:v>Done only when evidence is logged, contradiction search is noted, and boundary stamp remains non-canon unless ratified</x:v>
      </x:c>
      <x:c r="M1107" s="15" t="str">
        <x:v>candidate / staging-only / not canon / not deployed / authority none</x:v>
      </x:c>
      <x:c r="N1107" s="15" t="str">
        <x:v>Dispatch to GammaSprite: complete Review Queues x Drive; return deltas only, receipts required.</x:v>
      </x:c>
      <x:c r="O1107" s="15" t="str">
        <x:v>AF-KG-H09-S02</x:v>
      </x:c>
      <x:c r="P1107" s="15" t="str">
        <x:v>Unverified</x:v>
      </x:c>
      <x:c r="Q1107" s="15" t="str">
        <x:v>Not checked</x:v>
      </x:c>
      <x:c r="R1107" s="15" t="str"/>
      <x:c r="S1107" s="15" t="str"/>
      <x:c r="T1107" s="15" t="str">
        <x:v>Log first source path or blocker</x:v>
      </x:c>
      <x:c r="U1107" s="12" t="str">
        <x:f>IF(OR(P1107="Unverified",Q1107="Not checked"),"BLOCKED_PENDING_RECEIPT","READY_FOR_REVIEW")</x:f>
        <x:v>BLOCKED_PENDING_RECEIPT</x:v>
      </x:c>
      <x:c r="V1107" s="12" t="str">
        <x:f>IF(J1107="DONE","RETURNED",IF(U1107="BLOCKED_PENDING_RECEIPT","SOURCE_TOUCH_REQUIRED","IN_PROGRESS"))</x:f>
        <x:v>SOURCE_TOUCH_REQUIRED</x:v>
      </x:c>
      <x:c r="W1107" s="12" t="str">
        <x:f>IF(P1107="Unverified","missing_receipt","receipt_logged")</x:f>
        <x:v>missing_receipt</x:v>
      </x:c>
      <x:c r="X1107" s="12" t="str">
        <x:f>IF(Q1107="Not checked","raw_status_missing","raw_status_logged")</x:f>
        <x:v>raw_status_missing</x:v>
      </x:c>
      <x:c r="Y1107" s="12" t="str">
        <x:f>IF(U1107="BLOCKED_PENDING_RECEIPT","Log source path or blocker; do not promote","Route to review lane")</x:f>
        <x:v>Log source path or blocker; do not promote</x:v>
      </x:c>
      <x:c r="Z1107" s="12" t="str">
        <x:f>IF(K1107="P0","Primary seat + Hashlight/Lucerna","Seat lane")</x:f>
        <x:v>Primary seat + Hashlight/Lucerna</x:v>
      </x:c>
      <x:c r="AA1107" s="12" t="str">
        <x:f>IF(R1107="","no_claim_delta","claim_delta_present")</x:f>
        <x:v>no_claim_delta</x:v>
      </x:c>
      <x:c r="AB1107" s="12" t="str">
        <x:f>IF(S1107="","no_contradiction_delta","contradiction_delta_present")</x:f>
        <x:v>no_contradiction_delta</x:v>
      </x:c>
      <x:c r="AC1107" s="12" t="str">
        <x:f>IF(OR(ISNUMBER(SEARCH("hacker",LOWER(F1107&amp;" "&amp;H1107&amp;" "&amp;I1107&amp;" "&amp;M1107&amp;" "&amp;N1107&amp;" "&amp;T1107))),ISNUMBER(SEARCH("hacking",LOWER(F1107&amp;" "&amp;H1107&amp;" "&amp;I1107&amp;" "&amp;M1107&amp;" "&amp;N1107&amp;" "&amp;T1107))),ISNUMBER(SEARCH("bank",LOWER(F1107&amp;" "&amp;H1107&amp;" "&amp;I1107&amp;" "&amp;M1107&amp;" "&amp;N1107&amp;" "&amp;T1107))),ISNUMBER(SEARCH("banking",LOWER(F1107&amp;" "&amp;H1107&amp;" "&amp;I1107&amp;" "&amp;M1107&amp;" "&amp;N1107&amp;" "&amp;T1107)))),"PRIVATE_QUARANTINE",IF(OR(ISNUMBER(SEARCH("treasury",LOWER(F1107&amp;" "&amp;H1107&amp;" "&amp;I1107&amp;" "&amp;M1107&amp;" "&amp;N1107&amp;" "&amp;T1107))),ISNUMBER(SEARCH("debt",LOWER(F1107&amp;" "&amp;H1107&amp;" "&amp;I1107&amp;" "&amp;M1107&amp;" "&amp;N1107&amp;" "&amp;T1107))),ISNUMBER(SEARCH("bond",LOWER(F1107&amp;" "&amp;H1107&amp;" "&amp;I1107&amp;" "&amp;M1107&amp;" "&amp;N1107&amp;" "&amp;T1107))),ISNUMBER(SEARCH("transaction",LOWER(F1107&amp;" "&amp;H1107&amp;" "&amp;I1107&amp;" "&amp;M1107&amp;" "&amp;N1107&amp;" "&amp;T1107)))),"PRIVATE_REVIEW","PUBLIC_CANDIDATE"))</x:f>
        <x:v>PUBLIC_CANDIDATE</x:v>
      </x:c>
      <x:c r="AD1107" s="12" t="str">
        <x:f>IF(AC1107="PRIVATE_QUARANTINE","hacker_or_bank_trigger",IF(AC1107="PRIVATE_REVIEW","finance_risk_trigger","none"))</x:f>
        <x:v>none</x:v>
      </x:c>
      <x:c r="AE1107" s="12" t="str">
        <x:f>IF(AC1107="PUBLIC_CANDIDATE","prepare_public_github_candidate",IF(AC1107="PRIVATE_REVIEW","hold_for_private_review","quarantine_private_do_not_publish"))</x:f>
        <x:v>prepare_public_github_candidate</x:v>
      </x:c>
      <x:c r="AF1107" s="12" t="str">
        <x:f>IF(AC1107="PUBLIC_CANDIDATE","TIDELOCK + Lucerna",IF(AC1107="PRIVATE_REVIEW","AtlasBrain + Lucerna","TIDELOCK + Lucerna + Human-root"))</x:f>
        <x:v>TIDELOCK + Lucerna</x:v>
      </x:c>
      <x:c r="AG1107" s="12" t="str">
        <x:f>IF(AND(AC1107="PUBLIC_CANDIDATE",U1107&lt;&gt;"BLOCKED_PENDING_RECEIPT"),"READY_AFTER_RECEIPT","NOT_READY")</x:f>
        <x:v>NOT_READY</x:v>
      </x:c>
      <x:c r="AH1107" s="12" t="str">
        <x:f>IF(AC1107="PUBLIC_CANDIDATE","none",AD1107)</x:f>
        <x:v>none</x:v>
      </x:c>
      <x:c r="AI1107" s="12" t="str">
        <x:f>IF(AC1107="PUBLIC_CANDIDATE","archive/public_candidates/"&amp;A1107,"private_quarantine/"&amp;A1107)</x:f>
        <x:v>archive/public_candidates/SWARM-08-H09-S02</x:v>
      </x:c>
      <x:c r="AJ1107" s="12" t="str">
        <x:f>IF(AC1107="PUBLIC_CANDIDATE","public by default; still not canon","private/hold; do not publish")</x:f>
        <x:v>public by default; still not canon</x:v>
      </x:c>
      <x:c r="AK1107" s="12" t="str">
        <x:f>IF(AE1107="prepare_public_github_candidate","add receipt/status then mirror","resolve blocker before any public GitHub action")</x:f>
        <x:v>add receipt/status then mirror</x:v>
      </x:c>
    </x:row>
    <x:row r="1108">
      <x:c r="A1108" s="15" t="str">
        <x:v>SWARM-08-H09-S03</x:v>
      </x:c>
      <x:c r="B1108" s="15" t="str">
        <x:v>GammaSprite</x:v>
      </x:c>
      <x:c r="C1108" s="15" t="str">
        <x:v>Deck surface mapper</x:v>
      </x:c>
      <x:c r="D1108" s="15" t="str">
        <x:v>Review Queues</x:v>
      </x:c>
      <x:c r="E1108" s="15" t="str">
        <x:v>GitHub</x:v>
      </x:c>
      <x:c r="F1108" s="15" t="str">
        <x:v>Queue review for GitHub — GammaSprite</x:v>
      </x:c>
      <x:c r="G1108" s="15" t="str">
        <x:v>Gamma/deck extraction / slide lineage</x:v>
      </x:c>
      <x:c r="H1108" s="15" t="str">
        <x:v>source path + receipt + raw/export status + claim/edge/risk delta</x:v>
      </x:c>
      <x:c r="I1108" s="15" t="str">
        <x:v>packet/SWARM-08-H09-S03</x:v>
      </x:c>
      <x:c r="J1108" s="15" t="str">
        <x:v>TODO</x:v>
      </x:c>
      <x:c r="K1108" s="15" t="str">
        <x:v>P0</x:v>
      </x:c>
      <x:c r="L1108" s="15" t="str">
        <x:v>Done only when evidence is logged, contradiction search is noted, and boundary stamp remains non-canon unless ratified</x:v>
      </x:c>
      <x:c r="M1108" s="15" t="str">
        <x:v>candidate / staging-only / not canon / not deployed / authority none</x:v>
      </x:c>
      <x:c r="N1108" s="15" t="str">
        <x:v>Dispatch to GammaSprite: complete Review Queues x GitHub; return deltas only, receipts required.</x:v>
      </x:c>
      <x:c r="O1108" s="15" t="str">
        <x:v>AF-KG-H09-S03</x:v>
      </x:c>
      <x:c r="P1108" s="15" t="str">
        <x:v>Unverified</x:v>
      </x:c>
      <x:c r="Q1108" s="15" t="str">
        <x:v>Not checked</x:v>
      </x:c>
      <x:c r="R1108" s="15" t="str"/>
      <x:c r="S1108" s="15" t="str"/>
      <x:c r="T1108" s="15" t="str">
        <x:v>Log first source path or blocker</x:v>
      </x:c>
      <x:c r="U1108" s="12" t="str">
        <x:f>IF(OR(P1108="Unverified",Q1108="Not checked"),"BLOCKED_PENDING_RECEIPT","READY_FOR_REVIEW")</x:f>
        <x:v>BLOCKED_PENDING_RECEIPT</x:v>
      </x:c>
      <x:c r="V1108" s="12" t="str">
        <x:f>IF(J1108="DONE","RETURNED",IF(U1108="BLOCKED_PENDING_RECEIPT","SOURCE_TOUCH_REQUIRED","IN_PROGRESS"))</x:f>
        <x:v>SOURCE_TOUCH_REQUIRED</x:v>
      </x:c>
      <x:c r="W1108" s="12" t="str">
        <x:f>IF(P1108="Unverified","missing_receipt","receipt_logged")</x:f>
        <x:v>missing_receipt</x:v>
      </x:c>
      <x:c r="X1108" s="12" t="str">
        <x:f>IF(Q1108="Not checked","raw_status_missing","raw_status_logged")</x:f>
        <x:v>raw_status_missing</x:v>
      </x:c>
      <x:c r="Y1108" s="12" t="str">
        <x:f>IF(U1108="BLOCKED_PENDING_RECEIPT","Log source path or blocker; do not promote","Route to review lane")</x:f>
        <x:v>Log source path or blocker; do not promote</x:v>
      </x:c>
      <x:c r="Z1108" s="12" t="str">
        <x:f>IF(K1108="P0","Primary seat + Hashlight/Lucerna","Seat lane")</x:f>
        <x:v>Primary seat + Hashlight/Lucerna</x:v>
      </x:c>
      <x:c r="AA1108" s="12" t="str">
        <x:f>IF(R1108="","no_claim_delta","claim_delta_present")</x:f>
        <x:v>no_claim_delta</x:v>
      </x:c>
      <x:c r="AB1108" s="12" t="str">
        <x:f>IF(S1108="","no_contradiction_delta","contradiction_delta_present")</x:f>
        <x:v>no_contradiction_delta</x:v>
      </x:c>
      <x:c r="AC1108" s="12" t="str">
        <x:f>IF(OR(ISNUMBER(SEARCH("hacker",LOWER(F1108&amp;" "&amp;H1108&amp;" "&amp;I1108&amp;" "&amp;M1108&amp;" "&amp;N1108&amp;" "&amp;T1108))),ISNUMBER(SEARCH("hacking",LOWER(F1108&amp;" "&amp;H1108&amp;" "&amp;I1108&amp;" "&amp;M1108&amp;" "&amp;N1108&amp;" "&amp;T1108))),ISNUMBER(SEARCH("bank",LOWER(F1108&amp;" "&amp;H1108&amp;" "&amp;I1108&amp;" "&amp;M1108&amp;" "&amp;N1108&amp;" "&amp;T1108))),ISNUMBER(SEARCH("banking",LOWER(F1108&amp;" "&amp;H1108&amp;" "&amp;I1108&amp;" "&amp;M1108&amp;" "&amp;N1108&amp;" "&amp;T1108)))),"PRIVATE_QUARANTINE",IF(OR(ISNUMBER(SEARCH("treasury",LOWER(F1108&amp;" "&amp;H1108&amp;" "&amp;I1108&amp;" "&amp;M1108&amp;" "&amp;N1108&amp;" "&amp;T1108))),ISNUMBER(SEARCH("debt",LOWER(F1108&amp;" "&amp;H1108&amp;" "&amp;I1108&amp;" "&amp;M1108&amp;" "&amp;N1108&amp;" "&amp;T1108))),ISNUMBER(SEARCH("bond",LOWER(F1108&amp;" "&amp;H1108&amp;" "&amp;I1108&amp;" "&amp;M1108&amp;" "&amp;N1108&amp;" "&amp;T1108))),ISNUMBER(SEARCH("transaction",LOWER(F1108&amp;" "&amp;H1108&amp;" "&amp;I1108&amp;" "&amp;M1108&amp;" "&amp;N1108&amp;" "&amp;T1108)))),"PRIVATE_REVIEW","PUBLIC_CANDIDATE"))</x:f>
        <x:v>PUBLIC_CANDIDATE</x:v>
      </x:c>
      <x:c r="AD1108" s="12" t="str">
        <x:f>IF(AC1108="PRIVATE_QUARANTINE","hacker_or_bank_trigger",IF(AC1108="PRIVATE_REVIEW","finance_risk_trigger","none"))</x:f>
        <x:v>none</x:v>
      </x:c>
      <x:c r="AE1108" s="12" t="str">
        <x:f>IF(AC1108="PUBLIC_CANDIDATE","prepare_public_github_candidate",IF(AC1108="PRIVATE_REVIEW","hold_for_private_review","quarantine_private_do_not_publish"))</x:f>
        <x:v>prepare_public_github_candidate</x:v>
      </x:c>
      <x:c r="AF1108" s="12" t="str">
        <x:f>IF(AC1108="PUBLIC_CANDIDATE","TIDELOCK + Lucerna",IF(AC1108="PRIVATE_REVIEW","AtlasBrain + Lucerna","TIDELOCK + Lucerna + Human-root"))</x:f>
        <x:v>TIDELOCK + Lucerna</x:v>
      </x:c>
      <x:c r="AG1108" s="12" t="str">
        <x:f>IF(AND(AC1108="PUBLIC_CANDIDATE",U1108&lt;&gt;"BLOCKED_PENDING_RECEIPT"),"READY_AFTER_RECEIPT","NOT_READY")</x:f>
        <x:v>NOT_READY</x:v>
      </x:c>
      <x:c r="AH1108" s="12" t="str">
        <x:f>IF(AC1108="PUBLIC_CANDIDATE","none",AD1108)</x:f>
        <x:v>none</x:v>
      </x:c>
      <x:c r="AI1108" s="12" t="str">
        <x:f>IF(AC1108="PUBLIC_CANDIDATE","archive/public_candidates/"&amp;A1108,"private_quarantine/"&amp;A1108)</x:f>
        <x:v>archive/public_candidates/SWARM-08-H09-S03</x:v>
      </x:c>
      <x:c r="AJ1108" s="12" t="str">
        <x:f>IF(AC1108="PUBLIC_CANDIDATE","public by default; still not canon","private/hold; do not publish")</x:f>
        <x:v>public by default; still not canon</x:v>
      </x:c>
      <x:c r="AK1108" s="12" t="str">
        <x:f>IF(AE1108="prepare_public_github_candidate","add receipt/status then mirror","resolve blocker before any public GitHub action")</x:f>
        <x:v>add receipt/status then mirror</x:v>
      </x:c>
    </x:row>
    <x:row r="1109">
      <x:c r="A1109" s="15" t="str">
        <x:v>SWARM-08-H09-S04</x:v>
      </x:c>
      <x:c r="B1109" s="15" t="str">
        <x:v>GammaSprite</x:v>
      </x:c>
      <x:c r="C1109" s="15" t="str">
        <x:v>Deck surface mapper</x:v>
      </x:c>
      <x:c r="D1109" s="15" t="str">
        <x:v>Review Queues</x:v>
      </x:c>
      <x:c r="E1109" s="15" t="str">
        <x:v>Gamma</x:v>
      </x:c>
      <x:c r="F1109" s="15" t="str">
        <x:v>Queue review for Gamma — GammaSprite</x:v>
      </x:c>
      <x:c r="G1109" s="15" t="str">
        <x:v>Gamma/deck extraction / slide lineage</x:v>
      </x:c>
      <x:c r="H1109" s="15" t="str">
        <x:v>source path + receipt + raw/export status + claim/edge/risk delta</x:v>
      </x:c>
      <x:c r="I1109" s="15" t="str">
        <x:v>packet/SWARM-08-H09-S04</x:v>
      </x:c>
      <x:c r="J1109" s="15" t="str">
        <x:v>TODO</x:v>
      </x:c>
      <x:c r="K1109" s="15" t="str">
        <x:v>P1</x:v>
      </x:c>
      <x:c r="L1109" s="15" t="str">
        <x:v>Done only when evidence is logged, contradiction search is noted, and boundary stamp remains non-canon unless ratified</x:v>
      </x:c>
      <x:c r="M1109" s="15" t="str">
        <x:v>candidate / staging-only / not canon / not deployed / authority none</x:v>
      </x:c>
      <x:c r="N1109" s="15" t="str">
        <x:v>Dispatch to GammaSprite: complete Review Queues x Gamma; return deltas only, receipts required.</x:v>
      </x:c>
      <x:c r="O1109" s="15" t="str">
        <x:v>AF-KG-H09-S04</x:v>
      </x:c>
      <x:c r="P1109" s="15" t="str">
        <x:v>Unverified</x:v>
      </x:c>
      <x:c r="Q1109" s="15" t="str">
        <x:v>Not checked</x:v>
      </x:c>
      <x:c r="R1109" s="15" t="str"/>
      <x:c r="S1109" s="15" t="str"/>
      <x:c r="T1109" s="15" t="str">
        <x:v>Log first source path or blocker</x:v>
      </x:c>
      <x:c r="U1109" s="12" t="str">
        <x:f>IF(OR(P1109="Unverified",Q1109="Not checked"),"BLOCKED_PENDING_RECEIPT","READY_FOR_REVIEW")</x:f>
        <x:v>BLOCKED_PENDING_RECEIPT</x:v>
      </x:c>
      <x:c r="V1109" s="12" t="str">
        <x:f>IF(J1109="DONE","RETURNED",IF(U1109="BLOCKED_PENDING_RECEIPT","SOURCE_TOUCH_REQUIRED","IN_PROGRESS"))</x:f>
        <x:v>SOURCE_TOUCH_REQUIRED</x:v>
      </x:c>
      <x:c r="W1109" s="12" t="str">
        <x:f>IF(P1109="Unverified","missing_receipt","receipt_logged")</x:f>
        <x:v>missing_receipt</x:v>
      </x:c>
      <x:c r="X1109" s="12" t="str">
        <x:f>IF(Q1109="Not checked","raw_status_missing","raw_status_logged")</x:f>
        <x:v>raw_status_missing</x:v>
      </x:c>
      <x:c r="Y1109" s="12" t="str">
        <x:f>IF(U1109="BLOCKED_PENDING_RECEIPT","Log source path or blocker; do not promote","Route to review lane")</x:f>
        <x:v>Log source path or blocker; do not promote</x:v>
      </x:c>
      <x:c r="Z1109" s="12" t="str">
        <x:f>IF(K1109="P0","Primary seat + Hashlight/Lucerna","Seat lane")</x:f>
        <x:v>Seat lane</x:v>
      </x:c>
      <x:c r="AA1109" s="12" t="str">
        <x:f>IF(R1109="","no_claim_delta","claim_delta_present")</x:f>
        <x:v>no_claim_delta</x:v>
      </x:c>
      <x:c r="AB1109" s="12" t="str">
        <x:f>IF(S1109="","no_contradiction_delta","contradiction_delta_present")</x:f>
        <x:v>no_contradiction_delta</x:v>
      </x:c>
      <x:c r="AC1109" s="12" t="str">
        <x:f>IF(OR(ISNUMBER(SEARCH("hacker",LOWER(F1109&amp;" "&amp;H1109&amp;" "&amp;I1109&amp;" "&amp;M1109&amp;" "&amp;N1109&amp;" "&amp;T1109))),ISNUMBER(SEARCH("hacking",LOWER(F1109&amp;" "&amp;H1109&amp;" "&amp;I1109&amp;" "&amp;M1109&amp;" "&amp;N1109&amp;" "&amp;T1109))),ISNUMBER(SEARCH("bank",LOWER(F1109&amp;" "&amp;H1109&amp;" "&amp;I1109&amp;" "&amp;M1109&amp;" "&amp;N1109&amp;" "&amp;T1109))),ISNUMBER(SEARCH("banking",LOWER(F1109&amp;" "&amp;H1109&amp;" "&amp;I1109&amp;" "&amp;M1109&amp;" "&amp;N1109&amp;" "&amp;T1109)))),"PRIVATE_QUARANTINE",IF(OR(ISNUMBER(SEARCH("treasury",LOWER(F1109&amp;" "&amp;H1109&amp;" "&amp;I1109&amp;" "&amp;M1109&amp;" "&amp;N1109&amp;" "&amp;T1109))),ISNUMBER(SEARCH("debt",LOWER(F1109&amp;" "&amp;H1109&amp;" "&amp;I1109&amp;" "&amp;M1109&amp;" "&amp;N1109&amp;" "&amp;T1109))),ISNUMBER(SEARCH("bond",LOWER(F1109&amp;" "&amp;H1109&amp;" "&amp;I1109&amp;" "&amp;M1109&amp;" "&amp;N1109&amp;" "&amp;T1109))),ISNUMBER(SEARCH("transaction",LOWER(F1109&amp;" "&amp;H1109&amp;" "&amp;I1109&amp;" "&amp;M1109&amp;" "&amp;N1109&amp;" "&amp;T1109)))),"PRIVATE_REVIEW","PUBLIC_CANDIDATE"))</x:f>
        <x:v>PUBLIC_CANDIDATE</x:v>
      </x:c>
      <x:c r="AD1109" s="12" t="str">
        <x:f>IF(AC1109="PRIVATE_QUARANTINE","hacker_or_bank_trigger",IF(AC1109="PRIVATE_REVIEW","finance_risk_trigger","none"))</x:f>
        <x:v>none</x:v>
      </x:c>
      <x:c r="AE1109" s="12" t="str">
        <x:f>IF(AC1109="PUBLIC_CANDIDATE","prepare_public_github_candidate",IF(AC1109="PRIVATE_REVIEW","hold_for_private_review","quarantine_private_do_not_publish"))</x:f>
        <x:v>prepare_public_github_candidate</x:v>
      </x:c>
      <x:c r="AF1109" s="12" t="str">
        <x:f>IF(AC1109="PUBLIC_CANDIDATE","TIDELOCK + Lucerna",IF(AC1109="PRIVATE_REVIEW","AtlasBrain + Lucerna","TIDELOCK + Lucerna + Human-root"))</x:f>
        <x:v>TIDELOCK + Lucerna</x:v>
      </x:c>
      <x:c r="AG1109" s="12" t="str">
        <x:f>IF(AND(AC1109="PUBLIC_CANDIDATE",U1109&lt;&gt;"BLOCKED_PENDING_RECEIPT"),"READY_AFTER_RECEIPT","NOT_READY")</x:f>
        <x:v>NOT_READY</x:v>
      </x:c>
      <x:c r="AH1109" s="12" t="str">
        <x:f>IF(AC1109="PUBLIC_CANDIDATE","none",AD1109)</x:f>
        <x:v>none</x:v>
      </x:c>
      <x:c r="AI1109" s="12" t="str">
        <x:f>IF(AC1109="PUBLIC_CANDIDATE","archive/public_candidates/"&amp;A1109,"private_quarantine/"&amp;A1109)</x:f>
        <x:v>archive/public_candidates/SWARM-08-H09-S04</x:v>
      </x:c>
      <x:c r="AJ1109" s="12" t="str">
        <x:f>IF(AC1109="PUBLIC_CANDIDATE","public by default; still not canon","private/hold; do not publish")</x:f>
        <x:v>public by default; still not canon</x:v>
      </x:c>
      <x:c r="AK1109" s="12" t="str">
        <x:f>IF(AE1109="prepare_public_github_candidate","add receipt/status then mirror","resolve blocker before any public GitHub action")</x:f>
        <x:v>add receipt/status then mirror</x:v>
      </x:c>
    </x:row>
    <x:row r="1110">
      <x:c r="A1110" s="15" t="str">
        <x:v>SWARM-08-H09-S05</x:v>
      </x:c>
      <x:c r="B1110" s="15" t="str">
        <x:v>GammaSprite</x:v>
      </x:c>
      <x:c r="C1110" s="15" t="str">
        <x:v>Deck surface mapper</x:v>
      </x:c>
      <x:c r="D1110" s="15" t="str">
        <x:v>Review Queues</x:v>
      </x:c>
      <x:c r="E1110" s="15" t="str">
        <x:v>Chat</x:v>
      </x:c>
      <x:c r="F1110" s="15" t="str">
        <x:v>Queue review for Chat — GammaSprite</x:v>
      </x:c>
      <x:c r="G1110" s="15" t="str">
        <x:v>Gamma/deck extraction / slide lineage</x:v>
      </x:c>
      <x:c r="H1110" s="15" t="str">
        <x:v>source path + receipt + raw/export status + claim/edge/risk delta</x:v>
      </x:c>
      <x:c r="I1110" s="15" t="str">
        <x:v>packet/SWARM-08-H09-S05</x:v>
      </x:c>
      <x:c r="J1110" s="15" t="str">
        <x:v>TODO</x:v>
      </x:c>
      <x:c r="K1110" s="15" t="str">
        <x:v>P1</x:v>
      </x:c>
      <x:c r="L1110" s="15" t="str">
        <x:v>Done only when evidence is logged, contradiction search is noted, and boundary stamp remains non-canon unless ratified</x:v>
      </x:c>
      <x:c r="M1110" s="15" t="str">
        <x:v>candidate / staging-only / not canon / not deployed / authority none</x:v>
      </x:c>
      <x:c r="N1110" s="15" t="str">
        <x:v>Dispatch to GammaSprite: complete Review Queues x Chat; return deltas only, receipts required.</x:v>
      </x:c>
      <x:c r="O1110" s="15" t="str">
        <x:v>AF-KG-H09-S05</x:v>
      </x:c>
      <x:c r="P1110" s="15" t="str">
        <x:v>Unverified</x:v>
      </x:c>
      <x:c r="Q1110" s="15" t="str">
        <x:v>Not checked</x:v>
      </x:c>
      <x:c r="R1110" s="15" t="str"/>
      <x:c r="S1110" s="15" t="str"/>
      <x:c r="T1110" s="15" t="str">
        <x:v>Log first source path or blocker</x:v>
      </x:c>
      <x:c r="U1110" s="12" t="str">
        <x:f>IF(OR(P1110="Unverified",Q1110="Not checked"),"BLOCKED_PENDING_RECEIPT","READY_FOR_REVIEW")</x:f>
        <x:v>BLOCKED_PENDING_RECEIPT</x:v>
      </x:c>
      <x:c r="V1110" s="12" t="str">
        <x:f>IF(J1110="DONE","RETURNED",IF(U1110="BLOCKED_PENDING_RECEIPT","SOURCE_TOUCH_REQUIRED","IN_PROGRESS"))</x:f>
        <x:v>SOURCE_TOUCH_REQUIRED</x:v>
      </x:c>
      <x:c r="W1110" s="12" t="str">
        <x:f>IF(P1110="Unverified","missing_receipt","receipt_logged")</x:f>
        <x:v>missing_receipt</x:v>
      </x:c>
      <x:c r="X1110" s="12" t="str">
        <x:f>IF(Q1110="Not checked","raw_status_missing","raw_status_logged")</x:f>
        <x:v>raw_status_missing</x:v>
      </x:c>
      <x:c r="Y1110" s="12" t="str">
        <x:f>IF(U1110="BLOCKED_PENDING_RECEIPT","Log source path or blocker; do not promote","Route to review lane")</x:f>
        <x:v>Log source path or blocker; do not promote</x:v>
      </x:c>
      <x:c r="Z1110" s="12" t="str">
        <x:f>IF(K1110="P0","Primary seat + Hashlight/Lucerna","Seat lane")</x:f>
        <x:v>Seat lane</x:v>
      </x:c>
      <x:c r="AA1110" s="12" t="str">
        <x:f>IF(R1110="","no_claim_delta","claim_delta_present")</x:f>
        <x:v>no_claim_delta</x:v>
      </x:c>
      <x:c r="AB1110" s="12" t="str">
        <x:f>IF(S1110="","no_contradiction_delta","contradiction_delta_present")</x:f>
        <x:v>no_contradiction_delta</x:v>
      </x:c>
      <x:c r="AC1110" s="12" t="str">
        <x:f>IF(OR(ISNUMBER(SEARCH("hacker",LOWER(F1110&amp;" "&amp;H1110&amp;" "&amp;I1110&amp;" "&amp;M1110&amp;" "&amp;N1110&amp;" "&amp;T1110))),ISNUMBER(SEARCH("hacking",LOWER(F1110&amp;" "&amp;H1110&amp;" "&amp;I1110&amp;" "&amp;M1110&amp;" "&amp;N1110&amp;" "&amp;T1110))),ISNUMBER(SEARCH("bank",LOWER(F1110&amp;" "&amp;H1110&amp;" "&amp;I1110&amp;" "&amp;M1110&amp;" "&amp;N1110&amp;" "&amp;T1110))),ISNUMBER(SEARCH("banking",LOWER(F1110&amp;" "&amp;H1110&amp;" "&amp;I1110&amp;" "&amp;M1110&amp;" "&amp;N1110&amp;" "&amp;T1110)))),"PRIVATE_QUARANTINE",IF(OR(ISNUMBER(SEARCH("treasury",LOWER(F1110&amp;" "&amp;H1110&amp;" "&amp;I1110&amp;" "&amp;M1110&amp;" "&amp;N1110&amp;" "&amp;T1110))),ISNUMBER(SEARCH("debt",LOWER(F1110&amp;" "&amp;H1110&amp;" "&amp;I1110&amp;" "&amp;M1110&amp;" "&amp;N1110&amp;" "&amp;T1110))),ISNUMBER(SEARCH("bond",LOWER(F1110&amp;" "&amp;H1110&amp;" "&amp;I1110&amp;" "&amp;M1110&amp;" "&amp;N1110&amp;" "&amp;T1110))),ISNUMBER(SEARCH("transaction",LOWER(F1110&amp;" "&amp;H1110&amp;" "&amp;I1110&amp;" "&amp;M1110&amp;" "&amp;N1110&amp;" "&amp;T1110)))),"PRIVATE_REVIEW","PUBLIC_CANDIDATE"))</x:f>
        <x:v>PUBLIC_CANDIDATE</x:v>
      </x:c>
      <x:c r="AD1110" s="12" t="str">
        <x:f>IF(AC1110="PRIVATE_QUARANTINE","hacker_or_bank_trigger",IF(AC1110="PRIVATE_REVIEW","finance_risk_trigger","none"))</x:f>
        <x:v>none</x:v>
      </x:c>
      <x:c r="AE1110" s="12" t="str">
        <x:f>IF(AC1110="PUBLIC_CANDIDATE","prepare_public_github_candidate",IF(AC1110="PRIVATE_REVIEW","hold_for_private_review","quarantine_private_do_not_publish"))</x:f>
        <x:v>prepare_public_github_candidate</x:v>
      </x:c>
      <x:c r="AF1110" s="12" t="str">
        <x:f>IF(AC1110="PUBLIC_CANDIDATE","TIDELOCK + Lucerna",IF(AC1110="PRIVATE_REVIEW","AtlasBrain + Lucerna","TIDELOCK + Lucerna + Human-root"))</x:f>
        <x:v>TIDELOCK + Lucerna</x:v>
      </x:c>
      <x:c r="AG1110" s="12" t="str">
        <x:f>IF(AND(AC1110="PUBLIC_CANDIDATE",U1110&lt;&gt;"BLOCKED_PENDING_RECEIPT"),"READY_AFTER_RECEIPT","NOT_READY")</x:f>
        <x:v>NOT_READY</x:v>
      </x:c>
      <x:c r="AH1110" s="12" t="str">
        <x:f>IF(AC1110="PUBLIC_CANDIDATE","none",AD1110)</x:f>
        <x:v>none</x:v>
      </x:c>
      <x:c r="AI1110" s="12" t="str">
        <x:f>IF(AC1110="PUBLIC_CANDIDATE","archive/public_candidates/"&amp;A1110,"private_quarantine/"&amp;A1110)</x:f>
        <x:v>archive/public_candidates/SWARM-08-H09-S05</x:v>
      </x:c>
      <x:c r="AJ1110" s="12" t="str">
        <x:f>IF(AC1110="PUBLIC_CANDIDATE","public by default; still not canon","private/hold; do not publish")</x:f>
        <x:v>public by default; still not canon</x:v>
      </x:c>
      <x:c r="AK1110" s="12" t="str">
        <x:f>IF(AE1110="prepare_public_github_candidate","add receipt/status then mirror","resolve blocker before any public GitHub action")</x:f>
        <x:v>add receipt/status then mirror</x:v>
      </x:c>
    </x:row>
    <x:row r="1111">
      <x:c r="A1111" s="15" t="str">
        <x:v>SWARM-08-H09-S06</x:v>
      </x:c>
      <x:c r="B1111" s="15" t="str">
        <x:v>GammaSprite</x:v>
      </x:c>
      <x:c r="C1111" s="15" t="str">
        <x:v>Deck surface mapper</x:v>
      </x:c>
      <x:c r="D1111" s="15" t="str">
        <x:v>Review Queues</x:v>
      </x:c>
      <x:c r="E1111" s="15" t="str">
        <x:v>External Web</x:v>
      </x:c>
      <x:c r="F1111" s="15" t="str">
        <x:v>Queue review for External Web — GammaSprite</x:v>
      </x:c>
      <x:c r="G1111" s="15" t="str">
        <x:v>Gamma/deck extraction / slide lineage</x:v>
      </x:c>
      <x:c r="H1111" s="15" t="str">
        <x:v>source path + receipt + raw/export status + claim/edge/risk delta</x:v>
      </x:c>
      <x:c r="I1111" s="15" t="str">
        <x:v>packet/SWARM-08-H09-S06</x:v>
      </x:c>
      <x:c r="J1111" s="15" t="str">
        <x:v>TODO</x:v>
      </x:c>
      <x:c r="K1111" s="15" t="str">
        <x:v>P1</x:v>
      </x:c>
      <x:c r="L1111" s="15" t="str">
        <x:v>Done only when evidence is logged, contradiction search is noted, and boundary stamp remains non-canon unless ratified</x:v>
      </x:c>
      <x:c r="M1111" s="15" t="str">
        <x:v>candidate / staging-only / not canon / not deployed / authority none</x:v>
      </x:c>
      <x:c r="N1111" s="15" t="str">
        <x:v>Dispatch to GammaSprite: complete Review Queues x External Web; return deltas only, receipts required.</x:v>
      </x:c>
      <x:c r="O1111" s="15" t="str">
        <x:v>AF-KG-H09-S06</x:v>
      </x:c>
      <x:c r="P1111" s="15" t="str">
        <x:v>Unverified</x:v>
      </x:c>
      <x:c r="Q1111" s="15" t="str">
        <x:v>Not checked</x:v>
      </x:c>
      <x:c r="R1111" s="15" t="str"/>
      <x:c r="S1111" s="15" t="str"/>
      <x:c r="T1111" s="15" t="str">
        <x:v>Log first source path or blocker</x:v>
      </x:c>
      <x:c r="U1111" s="12" t="str">
        <x:f>IF(OR(P1111="Unverified",Q1111="Not checked"),"BLOCKED_PENDING_RECEIPT","READY_FOR_REVIEW")</x:f>
        <x:v>BLOCKED_PENDING_RECEIPT</x:v>
      </x:c>
      <x:c r="V1111" s="12" t="str">
        <x:f>IF(J1111="DONE","RETURNED",IF(U1111="BLOCKED_PENDING_RECEIPT","SOURCE_TOUCH_REQUIRED","IN_PROGRESS"))</x:f>
        <x:v>SOURCE_TOUCH_REQUIRED</x:v>
      </x:c>
      <x:c r="W1111" s="12" t="str">
        <x:f>IF(P1111="Unverified","missing_receipt","receipt_logged")</x:f>
        <x:v>missing_receipt</x:v>
      </x:c>
      <x:c r="X1111" s="12" t="str">
        <x:f>IF(Q1111="Not checked","raw_status_missing","raw_status_logged")</x:f>
        <x:v>raw_status_missing</x:v>
      </x:c>
      <x:c r="Y1111" s="12" t="str">
        <x:f>IF(U1111="BLOCKED_PENDING_RECEIPT","Log source path or blocker; do not promote","Route to review lane")</x:f>
        <x:v>Log source path or blocker; do not promote</x:v>
      </x:c>
      <x:c r="Z1111" s="12" t="str">
        <x:f>IF(K1111="P0","Primary seat + Hashlight/Lucerna","Seat lane")</x:f>
        <x:v>Seat lane</x:v>
      </x:c>
      <x:c r="AA1111" s="12" t="str">
        <x:f>IF(R1111="","no_claim_delta","claim_delta_present")</x:f>
        <x:v>no_claim_delta</x:v>
      </x:c>
      <x:c r="AB1111" s="12" t="str">
        <x:f>IF(S1111="","no_contradiction_delta","contradiction_delta_present")</x:f>
        <x:v>no_contradiction_delta</x:v>
      </x:c>
      <x:c r="AC1111" s="12" t="str">
        <x:f>IF(OR(ISNUMBER(SEARCH("hacker",LOWER(F1111&amp;" "&amp;H1111&amp;" "&amp;I1111&amp;" "&amp;M1111&amp;" "&amp;N1111&amp;" "&amp;T1111))),ISNUMBER(SEARCH("hacking",LOWER(F1111&amp;" "&amp;H1111&amp;" "&amp;I1111&amp;" "&amp;M1111&amp;" "&amp;N1111&amp;" "&amp;T1111))),ISNUMBER(SEARCH("bank",LOWER(F1111&amp;" "&amp;H1111&amp;" "&amp;I1111&amp;" "&amp;M1111&amp;" "&amp;N1111&amp;" "&amp;T1111))),ISNUMBER(SEARCH("banking",LOWER(F1111&amp;" "&amp;H1111&amp;" "&amp;I1111&amp;" "&amp;M1111&amp;" "&amp;N1111&amp;" "&amp;T1111)))),"PRIVATE_QUARANTINE",IF(OR(ISNUMBER(SEARCH("treasury",LOWER(F1111&amp;" "&amp;H1111&amp;" "&amp;I1111&amp;" "&amp;M1111&amp;" "&amp;N1111&amp;" "&amp;T1111))),ISNUMBER(SEARCH("debt",LOWER(F1111&amp;" "&amp;H1111&amp;" "&amp;I1111&amp;" "&amp;M1111&amp;" "&amp;N1111&amp;" "&amp;T1111))),ISNUMBER(SEARCH("bond",LOWER(F1111&amp;" "&amp;H1111&amp;" "&amp;I1111&amp;" "&amp;M1111&amp;" "&amp;N1111&amp;" "&amp;T1111))),ISNUMBER(SEARCH("transaction",LOWER(F1111&amp;" "&amp;H1111&amp;" "&amp;I1111&amp;" "&amp;M1111&amp;" "&amp;N1111&amp;" "&amp;T1111)))),"PRIVATE_REVIEW","PUBLIC_CANDIDATE"))</x:f>
        <x:v>PUBLIC_CANDIDATE</x:v>
      </x:c>
      <x:c r="AD1111" s="12" t="str">
        <x:f>IF(AC1111="PRIVATE_QUARANTINE","hacker_or_bank_trigger",IF(AC1111="PRIVATE_REVIEW","finance_risk_trigger","none"))</x:f>
        <x:v>none</x:v>
      </x:c>
      <x:c r="AE1111" s="12" t="str">
        <x:f>IF(AC1111="PUBLIC_CANDIDATE","prepare_public_github_candidate",IF(AC1111="PRIVATE_REVIEW","hold_for_private_review","quarantine_private_do_not_publish"))</x:f>
        <x:v>prepare_public_github_candidate</x:v>
      </x:c>
      <x:c r="AF1111" s="12" t="str">
        <x:f>IF(AC1111="PUBLIC_CANDIDATE","TIDELOCK + Lucerna",IF(AC1111="PRIVATE_REVIEW","AtlasBrain + Lucerna","TIDELOCK + Lucerna + Human-root"))</x:f>
        <x:v>TIDELOCK + Lucerna</x:v>
      </x:c>
      <x:c r="AG1111" s="12" t="str">
        <x:f>IF(AND(AC1111="PUBLIC_CANDIDATE",U1111&lt;&gt;"BLOCKED_PENDING_RECEIPT"),"READY_AFTER_RECEIPT","NOT_READY")</x:f>
        <x:v>NOT_READY</x:v>
      </x:c>
      <x:c r="AH1111" s="12" t="str">
        <x:f>IF(AC1111="PUBLIC_CANDIDATE","none",AD1111)</x:f>
        <x:v>none</x:v>
      </x:c>
      <x:c r="AI1111" s="12" t="str">
        <x:f>IF(AC1111="PUBLIC_CANDIDATE","archive/public_candidates/"&amp;A1111,"private_quarantine/"&amp;A1111)</x:f>
        <x:v>archive/public_candidates/SWARM-08-H09-S06</x:v>
      </x:c>
      <x:c r="AJ1111" s="12" t="str">
        <x:f>IF(AC1111="PUBLIC_CANDIDATE","public by default; still not canon","private/hold; do not publish")</x:f>
        <x:v>public by default; still not canon</x:v>
      </x:c>
      <x:c r="AK1111" s="12" t="str">
        <x:f>IF(AE1111="prepare_public_github_candidate","add receipt/status then mirror","resolve blocker before any public GitHub action")</x:f>
        <x:v>add receipt/status then mirror</x:v>
      </x:c>
    </x:row>
    <x:row r="1112">
      <x:c r="A1112" s="15" t="str">
        <x:v>SWARM-08-H09-S07</x:v>
      </x:c>
      <x:c r="B1112" s="15" t="str">
        <x:v>GammaSprite</x:v>
      </x:c>
      <x:c r="C1112" s="15" t="str">
        <x:v>Deck surface mapper</x:v>
      </x:c>
      <x:c r="D1112" s="15" t="str">
        <x:v>Review Queues</x:v>
      </x:c>
      <x:c r="E1112" s="15" t="str">
        <x:v>Planetarium</x:v>
      </x:c>
      <x:c r="F1112" s="15" t="str">
        <x:v>Queue review for Planetarium — GammaSprite</x:v>
      </x:c>
      <x:c r="G1112" s="15" t="str">
        <x:v>Gamma/deck extraction / slide lineage</x:v>
      </x:c>
      <x:c r="H1112" s="15" t="str">
        <x:v>source path + receipt + raw/export status + claim/edge/risk delta</x:v>
      </x:c>
      <x:c r="I1112" s="15" t="str">
        <x:v>packet/SWARM-08-H09-S07</x:v>
      </x:c>
      <x:c r="J1112" s="15" t="str">
        <x:v>TODO</x:v>
      </x:c>
      <x:c r="K1112" s="15" t="str">
        <x:v>P1</x:v>
      </x:c>
      <x:c r="L1112" s="15" t="str">
        <x:v>Done only when evidence is logged, contradiction search is noted, and boundary stamp remains non-canon unless ratified</x:v>
      </x:c>
      <x:c r="M1112" s="15" t="str">
        <x:v>candidate / staging-only / not canon / not deployed / authority none</x:v>
      </x:c>
      <x:c r="N1112" s="15" t="str">
        <x:v>Dispatch to GammaSprite: complete Review Queues x Planetarium; return deltas only, receipts required.</x:v>
      </x:c>
      <x:c r="O1112" s="15" t="str">
        <x:v>AF-KG-H09-S07</x:v>
      </x:c>
      <x:c r="P1112" s="15" t="str">
        <x:v>Unverified</x:v>
      </x:c>
      <x:c r="Q1112" s="15" t="str">
        <x:v>Not checked</x:v>
      </x:c>
      <x:c r="R1112" s="15" t="str"/>
      <x:c r="S1112" s="15" t="str"/>
      <x:c r="T1112" s="15" t="str">
        <x:v>Log first source path or blocker</x:v>
      </x:c>
      <x:c r="U1112" s="12" t="str">
        <x:f>IF(OR(P1112="Unverified",Q1112="Not checked"),"BLOCKED_PENDING_RECEIPT","READY_FOR_REVIEW")</x:f>
        <x:v>BLOCKED_PENDING_RECEIPT</x:v>
      </x:c>
      <x:c r="V1112" s="12" t="str">
        <x:f>IF(J1112="DONE","RETURNED",IF(U1112="BLOCKED_PENDING_RECEIPT","SOURCE_TOUCH_REQUIRED","IN_PROGRESS"))</x:f>
        <x:v>SOURCE_TOUCH_REQUIRED</x:v>
      </x:c>
      <x:c r="W1112" s="12" t="str">
        <x:f>IF(P1112="Unverified","missing_receipt","receipt_logged")</x:f>
        <x:v>missing_receipt</x:v>
      </x:c>
      <x:c r="X1112" s="12" t="str">
        <x:f>IF(Q1112="Not checked","raw_status_missing","raw_status_logged")</x:f>
        <x:v>raw_status_missing</x:v>
      </x:c>
      <x:c r="Y1112" s="12" t="str">
        <x:f>IF(U1112="BLOCKED_PENDING_RECEIPT","Log source path or blocker; do not promote","Route to review lane")</x:f>
        <x:v>Log source path or blocker; do not promote</x:v>
      </x:c>
      <x:c r="Z1112" s="12" t="str">
        <x:f>IF(K1112="P0","Primary seat + Hashlight/Lucerna","Seat lane")</x:f>
        <x:v>Seat lane</x:v>
      </x:c>
      <x:c r="AA1112" s="12" t="str">
        <x:f>IF(R1112="","no_claim_delta","claim_delta_present")</x:f>
        <x:v>no_claim_delta</x:v>
      </x:c>
      <x:c r="AB1112" s="12" t="str">
        <x:f>IF(S1112="","no_contradiction_delta","contradiction_delta_present")</x:f>
        <x:v>no_contradiction_delta</x:v>
      </x:c>
      <x:c r="AC1112" s="12" t="str">
        <x:f>IF(OR(ISNUMBER(SEARCH("hacker",LOWER(F1112&amp;" "&amp;H1112&amp;" "&amp;I1112&amp;" "&amp;M1112&amp;" "&amp;N1112&amp;" "&amp;T1112))),ISNUMBER(SEARCH("hacking",LOWER(F1112&amp;" "&amp;H1112&amp;" "&amp;I1112&amp;" "&amp;M1112&amp;" "&amp;N1112&amp;" "&amp;T1112))),ISNUMBER(SEARCH("bank",LOWER(F1112&amp;" "&amp;H1112&amp;" "&amp;I1112&amp;" "&amp;M1112&amp;" "&amp;N1112&amp;" "&amp;T1112))),ISNUMBER(SEARCH("banking",LOWER(F1112&amp;" "&amp;H1112&amp;" "&amp;I1112&amp;" "&amp;M1112&amp;" "&amp;N1112&amp;" "&amp;T1112)))),"PRIVATE_QUARANTINE",IF(OR(ISNUMBER(SEARCH("treasury",LOWER(F1112&amp;" "&amp;H1112&amp;" "&amp;I1112&amp;" "&amp;M1112&amp;" "&amp;N1112&amp;" "&amp;T1112))),ISNUMBER(SEARCH("debt",LOWER(F1112&amp;" "&amp;H1112&amp;" "&amp;I1112&amp;" "&amp;M1112&amp;" "&amp;N1112&amp;" "&amp;T1112))),ISNUMBER(SEARCH("bond",LOWER(F1112&amp;" "&amp;H1112&amp;" "&amp;I1112&amp;" "&amp;M1112&amp;" "&amp;N1112&amp;" "&amp;T1112))),ISNUMBER(SEARCH("transaction",LOWER(F1112&amp;" "&amp;H1112&amp;" "&amp;I1112&amp;" "&amp;M1112&amp;" "&amp;N1112&amp;" "&amp;T1112)))),"PRIVATE_REVIEW","PUBLIC_CANDIDATE"))</x:f>
        <x:v>PUBLIC_CANDIDATE</x:v>
      </x:c>
      <x:c r="AD1112" s="12" t="str">
        <x:f>IF(AC1112="PRIVATE_QUARANTINE","hacker_or_bank_trigger",IF(AC1112="PRIVATE_REVIEW","finance_risk_trigger","none"))</x:f>
        <x:v>none</x:v>
      </x:c>
      <x:c r="AE1112" s="12" t="str">
        <x:f>IF(AC1112="PUBLIC_CANDIDATE","prepare_public_github_candidate",IF(AC1112="PRIVATE_REVIEW","hold_for_private_review","quarantine_private_do_not_publish"))</x:f>
        <x:v>prepare_public_github_candidate</x:v>
      </x:c>
      <x:c r="AF1112" s="12" t="str">
        <x:f>IF(AC1112="PUBLIC_CANDIDATE","TIDELOCK + Lucerna",IF(AC1112="PRIVATE_REVIEW","AtlasBrain + Lucerna","TIDELOCK + Lucerna + Human-root"))</x:f>
        <x:v>TIDELOCK + Lucerna</x:v>
      </x:c>
      <x:c r="AG1112" s="12" t="str">
        <x:f>IF(AND(AC1112="PUBLIC_CANDIDATE",U1112&lt;&gt;"BLOCKED_PENDING_RECEIPT"),"READY_AFTER_RECEIPT","NOT_READY")</x:f>
        <x:v>NOT_READY</x:v>
      </x:c>
      <x:c r="AH1112" s="12" t="str">
        <x:f>IF(AC1112="PUBLIC_CANDIDATE","none",AD1112)</x:f>
        <x:v>none</x:v>
      </x:c>
      <x:c r="AI1112" s="12" t="str">
        <x:f>IF(AC1112="PUBLIC_CANDIDATE","archive/public_candidates/"&amp;A1112,"private_quarantine/"&amp;A1112)</x:f>
        <x:v>archive/public_candidates/SWARM-08-H09-S07</x:v>
      </x:c>
      <x:c r="AJ1112" s="12" t="str">
        <x:f>IF(AC1112="PUBLIC_CANDIDATE","public by default; still not canon","private/hold; do not publish")</x:f>
        <x:v>public by default; still not canon</x:v>
      </x:c>
      <x:c r="AK1112" s="12" t="str">
        <x:f>IF(AE1112="prepare_public_github_candidate","add receipt/status then mirror","resolve blocker before any public GitHub action")</x:f>
        <x:v>add receipt/status then mirror</x:v>
      </x:c>
    </x:row>
    <x:row r="1113">
      <x:c r="A1113" s="15" t="str">
        <x:v>SWARM-08-H09-S08</x:v>
      </x:c>
      <x:c r="B1113" s="15" t="str">
        <x:v>GammaSprite</x:v>
      </x:c>
      <x:c r="C1113" s="15" t="str">
        <x:v>Deck surface mapper</x:v>
      </x:c>
      <x:c r="D1113" s="15" t="str">
        <x:v>Review Queues</x:v>
      </x:c>
      <x:c r="E1113" s="15" t="str">
        <x:v>Sheldonbrain</x:v>
      </x:c>
      <x:c r="F1113" s="15" t="str">
        <x:v>Queue review for Sheldonbrain — GammaSprite</x:v>
      </x:c>
      <x:c r="G1113" s="15" t="str">
        <x:v>Gamma/deck extraction / slide lineage</x:v>
      </x:c>
      <x:c r="H1113" s="15" t="str">
        <x:v>source path + receipt + raw/export status + claim/edge/risk delta</x:v>
      </x:c>
      <x:c r="I1113" s="15" t="str">
        <x:v>packet/SWARM-08-H09-S08</x:v>
      </x:c>
      <x:c r="J1113" s="15" t="str">
        <x:v>TODO</x:v>
      </x:c>
      <x:c r="K1113" s="15" t="str">
        <x:v>P1</x:v>
      </x:c>
      <x:c r="L1113" s="15" t="str">
        <x:v>Done only when evidence is logged, contradiction search is noted, and boundary stamp remains non-canon unless ratified</x:v>
      </x:c>
      <x:c r="M1113" s="15" t="str">
        <x:v>candidate / staging-only / not canon / not deployed / authority none</x:v>
      </x:c>
      <x:c r="N1113" s="15" t="str">
        <x:v>Dispatch to GammaSprite: complete Review Queues x Sheldonbrain; return deltas only, receipts required.</x:v>
      </x:c>
      <x:c r="O1113" s="15" t="str">
        <x:v>AF-KG-H09-S08</x:v>
      </x:c>
      <x:c r="P1113" s="15" t="str">
        <x:v>Unverified</x:v>
      </x:c>
      <x:c r="Q1113" s="15" t="str">
        <x:v>Not checked</x:v>
      </x:c>
      <x:c r="R1113" s="15" t="str"/>
      <x:c r="S1113" s="15" t="str"/>
      <x:c r="T1113" s="15" t="str">
        <x:v>Log first source path or blocker</x:v>
      </x:c>
      <x:c r="U1113" s="12" t="str">
        <x:f>IF(OR(P1113="Unverified",Q1113="Not checked"),"BLOCKED_PENDING_RECEIPT","READY_FOR_REVIEW")</x:f>
        <x:v>BLOCKED_PENDING_RECEIPT</x:v>
      </x:c>
      <x:c r="V1113" s="12" t="str">
        <x:f>IF(J1113="DONE","RETURNED",IF(U1113="BLOCKED_PENDING_RECEIPT","SOURCE_TOUCH_REQUIRED","IN_PROGRESS"))</x:f>
        <x:v>SOURCE_TOUCH_REQUIRED</x:v>
      </x:c>
      <x:c r="W1113" s="12" t="str">
        <x:f>IF(P1113="Unverified","missing_receipt","receipt_logged")</x:f>
        <x:v>missing_receipt</x:v>
      </x:c>
      <x:c r="X1113" s="12" t="str">
        <x:f>IF(Q1113="Not checked","raw_status_missing","raw_status_logged")</x:f>
        <x:v>raw_status_missing</x:v>
      </x:c>
      <x:c r="Y1113" s="12" t="str">
        <x:f>IF(U1113="BLOCKED_PENDING_RECEIPT","Log source path or blocker; do not promote","Route to review lane")</x:f>
        <x:v>Log source path or blocker; do not promote</x:v>
      </x:c>
      <x:c r="Z1113" s="12" t="str">
        <x:f>IF(K1113="P0","Primary seat + Hashlight/Lucerna","Seat lane")</x:f>
        <x:v>Seat lane</x:v>
      </x:c>
      <x:c r="AA1113" s="12" t="str">
        <x:f>IF(R1113="","no_claim_delta","claim_delta_present")</x:f>
        <x:v>no_claim_delta</x:v>
      </x:c>
      <x:c r="AB1113" s="12" t="str">
        <x:f>IF(S1113="","no_contradiction_delta","contradiction_delta_present")</x:f>
        <x:v>no_contradiction_delta</x:v>
      </x:c>
      <x:c r="AC1113" s="12" t="str">
        <x:f>IF(OR(ISNUMBER(SEARCH("hacker",LOWER(F1113&amp;" "&amp;H1113&amp;" "&amp;I1113&amp;" "&amp;M1113&amp;" "&amp;N1113&amp;" "&amp;T1113))),ISNUMBER(SEARCH("hacking",LOWER(F1113&amp;" "&amp;H1113&amp;" "&amp;I1113&amp;" "&amp;M1113&amp;" "&amp;N1113&amp;" "&amp;T1113))),ISNUMBER(SEARCH("bank",LOWER(F1113&amp;" "&amp;H1113&amp;" "&amp;I1113&amp;" "&amp;M1113&amp;" "&amp;N1113&amp;" "&amp;T1113))),ISNUMBER(SEARCH("banking",LOWER(F1113&amp;" "&amp;H1113&amp;" "&amp;I1113&amp;" "&amp;M1113&amp;" "&amp;N1113&amp;" "&amp;T1113)))),"PRIVATE_QUARANTINE",IF(OR(ISNUMBER(SEARCH("treasury",LOWER(F1113&amp;" "&amp;H1113&amp;" "&amp;I1113&amp;" "&amp;M1113&amp;" "&amp;N1113&amp;" "&amp;T1113))),ISNUMBER(SEARCH("debt",LOWER(F1113&amp;" "&amp;H1113&amp;" "&amp;I1113&amp;" "&amp;M1113&amp;" "&amp;N1113&amp;" "&amp;T1113))),ISNUMBER(SEARCH("bond",LOWER(F1113&amp;" "&amp;H1113&amp;" "&amp;I1113&amp;" "&amp;M1113&amp;" "&amp;N1113&amp;" "&amp;T1113))),ISNUMBER(SEARCH("transaction",LOWER(F1113&amp;" "&amp;H1113&amp;" "&amp;I1113&amp;" "&amp;M1113&amp;" "&amp;N1113&amp;" "&amp;T1113)))),"PRIVATE_REVIEW","PUBLIC_CANDIDATE"))</x:f>
        <x:v>PUBLIC_CANDIDATE</x:v>
      </x:c>
      <x:c r="AD1113" s="12" t="str">
        <x:f>IF(AC1113="PRIVATE_QUARANTINE","hacker_or_bank_trigger",IF(AC1113="PRIVATE_REVIEW","finance_risk_trigger","none"))</x:f>
        <x:v>none</x:v>
      </x:c>
      <x:c r="AE1113" s="12" t="str">
        <x:f>IF(AC1113="PUBLIC_CANDIDATE","prepare_public_github_candidate",IF(AC1113="PRIVATE_REVIEW","hold_for_private_review","quarantine_private_do_not_publish"))</x:f>
        <x:v>prepare_public_github_candidate</x:v>
      </x:c>
      <x:c r="AF1113" s="12" t="str">
        <x:f>IF(AC1113="PUBLIC_CANDIDATE","TIDELOCK + Lucerna",IF(AC1113="PRIVATE_REVIEW","AtlasBrain + Lucerna","TIDELOCK + Lucerna + Human-root"))</x:f>
        <x:v>TIDELOCK + Lucerna</x:v>
      </x:c>
      <x:c r="AG1113" s="12" t="str">
        <x:f>IF(AND(AC1113="PUBLIC_CANDIDATE",U1113&lt;&gt;"BLOCKED_PENDING_RECEIPT"),"READY_AFTER_RECEIPT","NOT_READY")</x:f>
        <x:v>NOT_READY</x:v>
      </x:c>
      <x:c r="AH1113" s="12" t="str">
        <x:f>IF(AC1113="PUBLIC_CANDIDATE","none",AD1113)</x:f>
        <x:v>none</x:v>
      </x:c>
      <x:c r="AI1113" s="12" t="str">
        <x:f>IF(AC1113="PUBLIC_CANDIDATE","archive/public_candidates/"&amp;A1113,"private_quarantine/"&amp;A1113)</x:f>
        <x:v>archive/public_candidates/SWARM-08-H09-S08</x:v>
      </x:c>
      <x:c r="AJ1113" s="12" t="str">
        <x:f>IF(AC1113="PUBLIC_CANDIDATE","public by default; still not canon","private/hold; do not publish")</x:f>
        <x:v>public by default; still not canon</x:v>
      </x:c>
      <x:c r="AK1113" s="12" t="str">
        <x:f>IF(AE1113="prepare_public_github_candidate","add receipt/status then mirror","resolve blocker before any public GitHub action")</x:f>
        <x:v>add receipt/status then mirror</x:v>
      </x:c>
    </x:row>
    <x:row r="1114">
      <x:c r="A1114" s="15" t="str">
        <x:v>SWARM-08-H09-S09</x:v>
      </x:c>
      <x:c r="B1114" s="15" t="str">
        <x:v>GammaSprite</x:v>
      </x:c>
      <x:c r="C1114" s="15" t="str">
        <x:v>Deck surface mapper</x:v>
      </x:c>
      <x:c r="D1114" s="15" t="str">
        <x:v>Review Queues</x:v>
      </x:c>
      <x:c r="E1114" s="15" t="str">
        <x:v>Aetherforge</x:v>
      </x:c>
      <x:c r="F1114" s="15" t="str">
        <x:v>Queue review for Aetherforge — GammaSprite</x:v>
      </x:c>
      <x:c r="G1114" s="15" t="str">
        <x:v>Gamma/deck extraction / slide lineage</x:v>
      </x:c>
      <x:c r="H1114" s="15" t="str">
        <x:v>source path + receipt + raw/export status + claim/edge/risk delta</x:v>
      </x:c>
      <x:c r="I1114" s="15" t="str">
        <x:v>packet/SWARM-08-H09-S09</x:v>
      </x:c>
      <x:c r="J1114" s="15" t="str">
        <x:v>TODO</x:v>
      </x:c>
      <x:c r="K1114" s="15" t="str">
        <x:v>P2</x:v>
      </x:c>
      <x:c r="L1114" s="15" t="str">
        <x:v>Done only when evidence is logged, contradiction search is noted, and boundary stamp remains non-canon unless ratified</x:v>
      </x:c>
      <x:c r="M1114" s="15" t="str">
        <x:v>candidate / staging-only / not canon / not deployed / authority none</x:v>
      </x:c>
      <x:c r="N1114" s="15" t="str">
        <x:v>Dispatch to GammaSprite: complete Review Queues x Aetherforge; return deltas only, receipts required.</x:v>
      </x:c>
      <x:c r="O1114" s="15" t="str">
        <x:v>AF-KG-H09-S09</x:v>
      </x:c>
      <x:c r="P1114" s="15" t="str">
        <x:v>Unverified</x:v>
      </x:c>
      <x:c r="Q1114" s="15" t="str">
        <x:v>Not checked</x:v>
      </x:c>
      <x:c r="R1114" s="15" t="str"/>
      <x:c r="S1114" s="15" t="str"/>
      <x:c r="T1114" s="15" t="str">
        <x:v>Log first source path or blocker</x:v>
      </x:c>
      <x:c r="U1114" s="12" t="str">
        <x:f>IF(OR(P1114="Unverified",Q1114="Not checked"),"BLOCKED_PENDING_RECEIPT","READY_FOR_REVIEW")</x:f>
        <x:v>BLOCKED_PENDING_RECEIPT</x:v>
      </x:c>
      <x:c r="V1114" s="12" t="str">
        <x:f>IF(J1114="DONE","RETURNED",IF(U1114="BLOCKED_PENDING_RECEIPT","SOURCE_TOUCH_REQUIRED","IN_PROGRESS"))</x:f>
        <x:v>SOURCE_TOUCH_REQUIRED</x:v>
      </x:c>
      <x:c r="W1114" s="12" t="str">
        <x:f>IF(P1114="Unverified","missing_receipt","receipt_logged")</x:f>
        <x:v>missing_receipt</x:v>
      </x:c>
      <x:c r="X1114" s="12" t="str">
        <x:f>IF(Q1114="Not checked","raw_status_missing","raw_status_logged")</x:f>
        <x:v>raw_status_missing</x:v>
      </x:c>
      <x:c r="Y1114" s="12" t="str">
        <x:f>IF(U1114="BLOCKED_PENDING_RECEIPT","Log source path or blocker; do not promote","Route to review lane")</x:f>
        <x:v>Log source path or blocker; do not promote</x:v>
      </x:c>
      <x:c r="Z1114" s="12" t="str">
        <x:f>IF(K1114="P0","Primary seat + Hashlight/Lucerna","Seat lane")</x:f>
        <x:v>Seat lane</x:v>
      </x:c>
      <x:c r="AA1114" s="12" t="str">
        <x:f>IF(R1114="","no_claim_delta","claim_delta_present")</x:f>
        <x:v>no_claim_delta</x:v>
      </x:c>
      <x:c r="AB1114" s="12" t="str">
        <x:f>IF(S1114="","no_contradiction_delta","contradiction_delta_present")</x:f>
        <x:v>no_contradiction_delta</x:v>
      </x:c>
      <x:c r="AC1114" s="12" t="str">
        <x:f>IF(OR(ISNUMBER(SEARCH("hacker",LOWER(F1114&amp;" "&amp;H1114&amp;" "&amp;I1114&amp;" "&amp;M1114&amp;" "&amp;N1114&amp;" "&amp;T1114))),ISNUMBER(SEARCH("hacking",LOWER(F1114&amp;" "&amp;H1114&amp;" "&amp;I1114&amp;" "&amp;M1114&amp;" "&amp;N1114&amp;" "&amp;T1114))),ISNUMBER(SEARCH("bank",LOWER(F1114&amp;" "&amp;H1114&amp;" "&amp;I1114&amp;" "&amp;M1114&amp;" "&amp;N1114&amp;" "&amp;T1114))),ISNUMBER(SEARCH("banking",LOWER(F1114&amp;" "&amp;H1114&amp;" "&amp;I1114&amp;" "&amp;M1114&amp;" "&amp;N1114&amp;" "&amp;T1114)))),"PRIVATE_QUARANTINE",IF(OR(ISNUMBER(SEARCH("treasury",LOWER(F1114&amp;" "&amp;H1114&amp;" "&amp;I1114&amp;" "&amp;M1114&amp;" "&amp;N1114&amp;" "&amp;T1114))),ISNUMBER(SEARCH("debt",LOWER(F1114&amp;" "&amp;H1114&amp;" "&amp;I1114&amp;" "&amp;M1114&amp;" "&amp;N1114&amp;" "&amp;T1114))),ISNUMBER(SEARCH("bond",LOWER(F1114&amp;" "&amp;H1114&amp;" "&amp;I1114&amp;" "&amp;M1114&amp;" "&amp;N1114&amp;" "&amp;T1114))),ISNUMBER(SEARCH("transaction",LOWER(F1114&amp;" "&amp;H1114&amp;" "&amp;I1114&amp;" "&amp;M1114&amp;" "&amp;N1114&amp;" "&amp;T1114)))),"PRIVATE_REVIEW","PUBLIC_CANDIDATE"))</x:f>
        <x:v>PUBLIC_CANDIDATE</x:v>
      </x:c>
      <x:c r="AD1114" s="12" t="str">
        <x:f>IF(AC1114="PRIVATE_QUARANTINE","hacker_or_bank_trigger",IF(AC1114="PRIVATE_REVIEW","finance_risk_trigger","none"))</x:f>
        <x:v>none</x:v>
      </x:c>
      <x:c r="AE1114" s="12" t="str">
        <x:f>IF(AC1114="PUBLIC_CANDIDATE","prepare_public_github_candidate",IF(AC1114="PRIVATE_REVIEW","hold_for_private_review","quarantine_private_do_not_publish"))</x:f>
        <x:v>prepare_public_github_candidate</x:v>
      </x:c>
      <x:c r="AF1114" s="12" t="str">
        <x:f>IF(AC1114="PUBLIC_CANDIDATE","TIDELOCK + Lucerna",IF(AC1114="PRIVATE_REVIEW","AtlasBrain + Lucerna","TIDELOCK + Lucerna + Human-root"))</x:f>
        <x:v>TIDELOCK + Lucerna</x:v>
      </x:c>
      <x:c r="AG1114" s="12" t="str">
        <x:f>IF(AND(AC1114="PUBLIC_CANDIDATE",U1114&lt;&gt;"BLOCKED_PENDING_RECEIPT"),"READY_AFTER_RECEIPT","NOT_READY")</x:f>
        <x:v>NOT_READY</x:v>
      </x:c>
      <x:c r="AH1114" s="12" t="str">
        <x:f>IF(AC1114="PUBLIC_CANDIDATE","none",AD1114)</x:f>
        <x:v>none</x:v>
      </x:c>
      <x:c r="AI1114" s="12" t="str">
        <x:f>IF(AC1114="PUBLIC_CANDIDATE","archive/public_candidates/"&amp;A1114,"private_quarantine/"&amp;A1114)</x:f>
        <x:v>archive/public_candidates/SWARM-08-H09-S09</x:v>
      </x:c>
      <x:c r="AJ1114" s="12" t="str">
        <x:f>IF(AC1114="PUBLIC_CANDIDATE","public by default; still not canon","private/hold; do not publish")</x:f>
        <x:v>public by default; still not canon</x:v>
      </x:c>
      <x:c r="AK1114" s="12" t="str">
        <x:f>IF(AE1114="prepare_public_github_candidate","add receipt/status then mirror","resolve blocker before any public GitHub action")</x:f>
        <x:v>add receipt/status then mirror</x:v>
      </x:c>
    </x:row>
    <x:row r="1115">
      <x:c r="A1115" s="15" t="str">
        <x:v>SWARM-08-H09-S10</x:v>
      </x:c>
      <x:c r="B1115" s="15" t="str">
        <x:v>GammaSprite</x:v>
      </x:c>
      <x:c r="C1115" s="15" t="str">
        <x:v>Deck surface mapper</x:v>
      </x:c>
      <x:c r="D1115" s="15" t="str">
        <x:v>Review Queues</x:v>
      </x:c>
      <x:c r="E1115" s="15" t="str">
        <x:v>Human-Root</x:v>
      </x:c>
      <x:c r="F1115" s="15" t="str">
        <x:v>Queue review for Human-Root — GammaSprite</x:v>
      </x:c>
      <x:c r="G1115" s="15" t="str">
        <x:v>Gamma/deck extraction / slide lineage</x:v>
      </x:c>
      <x:c r="H1115" s="15" t="str">
        <x:v>source path + receipt + raw/export status + claim/edge/risk delta</x:v>
      </x:c>
      <x:c r="I1115" s="15" t="str">
        <x:v>packet/SWARM-08-H09-S10</x:v>
      </x:c>
      <x:c r="J1115" s="15" t="str">
        <x:v>TODO</x:v>
      </x:c>
      <x:c r="K1115" s="15" t="str">
        <x:v>P2</x:v>
      </x:c>
      <x:c r="L1115" s="15" t="str">
        <x:v>Done only when evidence is logged, contradiction search is noted, and boundary stamp remains non-canon unless ratified</x:v>
      </x:c>
      <x:c r="M1115" s="15" t="str">
        <x:v>candidate / staging-only / not canon / not deployed / authority none</x:v>
      </x:c>
      <x:c r="N1115" s="15" t="str">
        <x:v>Dispatch to GammaSprite: complete Review Queues x Human-Root; return deltas only, receipts required.</x:v>
      </x:c>
      <x:c r="O1115" s="15" t="str">
        <x:v>AF-KG-H09-S10</x:v>
      </x:c>
      <x:c r="P1115" s="15" t="str">
        <x:v>Unverified</x:v>
      </x:c>
      <x:c r="Q1115" s="15" t="str">
        <x:v>Not checked</x:v>
      </x:c>
      <x:c r="R1115" s="15" t="str"/>
      <x:c r="S1115" s="15" t="str"/>
      <x:c r="T1115" s="15" t="str">
        <x:v>Log first source path or blocker</x:v>
      </x:c>
      <x:c r="U1115" s="12" t="str">
        <x:f>IF(OR(P1115="Unverified",Q1115="Not checked"),"BLOCKED_PENDING_RECEIPT","READY_FOR_REVIEW")</x:f>
        <x:v>BLOCKED_PENDING_RECEIPT</x:v>
      </x:c>
      <x:c r="V1115" s="12" t="str">
        <x:f>IF(J1115="DONE","RETURNED",IF(U1115="BLOCKED_PENDING_RECEIPT","SOURCE_TOUCH_REQUIRED","IN_PROGRESS"))</x:f>
        <x:v>SOURCE_TOUCH_REQUIRED</x:v>
      </x:c>
      <x:c r="W1115" s="12" t="str">
        <x:f>IF(P1115="Unverified","missing_receipt","receipt_logged")</x:f>
        <x:v>missing_receipt</x:v>
      </x:c>
      <x:c r="X1115" s="12" t="str">
        <x:f>IF(Q1115="Not checked","raw_status_missing","raw_status_logged")</x:f>
        <x:v>raw_status_missing</x:v>
      </x:c>
      <x:c r="Y1115" s="12" t="str">
        <x:f>IF(U1115="BLOCKED_PENDING_RECEIPT","Log source path or blocker; do not promote","Route to review lane")</x:f>
        <x:v>Log source path or blocker; do not promote</x:v>
      </x:c>
      <x:c r="Z1115" s="12" t="str">
        <x:f>IF(K1115="P0","Primary seat + Hashlight/Lucerna","Seat lane")</x:f>
        <x:v>Seat lane</x:v>
      </x:c>
      <x:c r="AA1115" s="12" t="str">
        <x:f>IF(R1115="","no_claim_delta","claim_delta_present")</x:f>
        <x:v>no_claim_delta</x:v>
      </x:c>
      <x:c r="AB1115" s="12" t="str">
        <x:f>IF(S1115="","no_contradiction_delta","contradiction_delta_present")</x:f>
        <x:v>no_contradiction_delta</x:v>
      </x:c>
      <x:c r="AC1115" s="12" t="str">
        <x:f>IF(OR(ISNUMBER(SEARCH("hacker",LOWER(F1115&amp;" "&amp;H1115&amp;" "&amp;I1115&amp;" "&amp;M1115&amp;" "&amp;N1115&amp;" "&amp;T1115))),ISNUMBER(SEARCH("hacking",LOWER(F1115&amp;" "&amp;H1115&amp;" "&amp;I1115&amp;" "&amp;M1115&amp;" "&amp;N1115&amp;" "&amp;T1115))),ISNUMBER(SEARCH("bank",LOWER(F1115&amp;" "&amp;H1115&amp;" "&amp;I1115&amp;" "&amp;M1115&amp;" "&amp;N1115&amp;" "&amp;T1115))),ISNUMBER(SEARCH("banking",LOWER(F1115&amp;" "&amp;H1115&amp;" "&amp;I1115&amp;" "&amp;M1115&amp;" "&amp;N1115&amp;" "&amp;T1115)))),"PRIVATE_QUARANTINE",IF(OR(ISNUMBER(SEARCH("treasury",LOWER(F1115&amp;" "&amp;H1115&amp;" "&amp;I1115&amp;" "&amp;M1115&amp;" "&amp;N1115&amp;" "&amp;T1115))),ISNUMBER(SEARCH("debt",LOWER(F1115&amp;" "&amp;H1115&amp;" "&amp;I1115&amp;" "&amp;M1115&amp;" "&amp;N1115&amp;" "&amp;T1115))),ISNUMBER(SEARCH("bond",LOWER(F1115&amp;" "&amp;H1115&amp;" "&amp;I1115&amp;" "&amp;M1115&amp;" "&amp;N1115&amp;" "&amp;T1115))),ISNUMBER(SEARCH("transaction",LOWER(F1115&amp;" "&amp;H1115&amp;" "&amp;I1115&amp;" "&amp;M1115&amp;" "&amp;N1115&amp;" "&amp;T1115)))),"PRIVATE_REVIEW","PUBLIC_CANDIDATE"))</x:f>
        <x:v>PUBLIC_CANDIDATE</x:v>
      </x:c>
      <x:c r="AD1115" s="12" t="str">
        <x:f>IF(AC1115="PRIVATE_QUARANTINE","hacker_or_bank_trigger",IF(AC1115="PRIVATE_REVIEW","finance_risk_trigger","none"))</x:f>
        <x:v>none</x:v>
      </x:c>
      <x:c r="AE1115" s="12" t="str">
        <x:f>IF(AC1115="PUBLIC_CANDIDATE","prepare_public_github_candidate",IF(AC1115="PRIVATE_REVIEW","hold_for_private_review","quarantine_private_do_not_publish"))</x:f>
        <x:v>prepare_public_github_candidate</x:v>
      </x:c>
      <x:c r="AF1115" s="12" t="str">
        <x:f>IF(AC1115="PUBLIC_CANDIDATE","TIDELOCK + Lucerna",IF(AC1115="PRIVATE_REVIEW","AtlasBrain + Lucerna","TIDELOCK + Lucerna + Human-root"))</x:f>
        <x:v>TIDELOCK + Lucerna</x:v>
      </x:c>
      <x:c r="AG1115" s="12" t="str">
        <x:f>IF(AND(AC1115="PUBLIC_CANDIDATE",U1115&lt;&gt;"BLOCKED_PENDING_RECEIPT"),"READY_AFTER_RECEIPT","NOT_READY")</x:f>
        <x:v>NOT_READY</x:v>
      </x:c>
      <x:c r="AH1115" s="12" t="str">
        <x:f>IF(AC1115="PUBLIC_CANDIDATE","none",AD1115)</x:f>
        <x:v>none</x:v>
      </x:c>
      <x:c r="AI1115" s="12" t="str">
        <x:f>IF(AC1115="PUBLIC_CANDIDATE","archive/public_candidates/"&amp;A1115,"private_quarantine/"&amp;A1115)</x:f>
        <x:v>archive/public_candidates/SWARM-08-H09-S10</x:v>
      </x:c>
      <x:c r="AJ1115" s="12" t="str">
        <x:f>IF(AC1115="PUBLIC_CANDIDATE","public by default; still not canon","private/hold; do not publish")</x:f>
        <x:v>public by default; still not canon</x:v>
      </x:c>
      <x:c r="AK1115" s="12" t="str">
        <x:f>IF(AE1115="prepare_public_github_candidate","add receipt/status then mirror","resolve blocker before any public GitHub action")</x:f>
        <x:v>add receipt/status then mirror</x:v>
      </x:c>
    </x:row>
    <x:row r="1116">
      <x:c r="A1116" s="15" t="str">
        <x:v>SWARM-08-H09-S11</x:v>
      </x:c>
      <x:c r="B1116" s="15" t="str">
        <x:v>GammaSprite</x:v>
      </x:c>
      <x:c r="C1116" s="15" t="str">
        <x:v>Deck surface mapper</x:v>
      </x:c>
      <x:c r="D1116" s="15" t="str">
        <x:v>Review Queues</x:v>
      </x:c>
      <x:c r="E1116" s="15" t="str">
        <x:v>Automation</x:v>
      </x:c>
      <x:c r="F1116" s="15" t="str">
        <x:v>Queue review for Automation — GammaSprite</x:v>
      </x:c>
      <x:c r="G1116" s="15" t="str">
        <x:v>Gamma/deck extraction / slide lineage</x:v>
      </x:c>
      <x:c r="H1116" s="15" t="str">
        <x:v>source path + receipt + raw/export status + claim/edge/risk delta</x:v>
      </x:c>
      <x:c r="I1116" s="15" t="str">
        <x:v>packet/SWARM-08-H09-S11</x:v>
      </x:c>
      <x:c r="J1116" s="15" t="str">
        <x:v>TODO</x:v>
      </x:c>
      <x:c r="K1116" s="15" t="str">
        <x:v>P2</x:v>
      </x:c>
      <x:c r="L1116" s="15" t="str">
        <x:v>Done only when evidence is logged, contradiction search is noted, and boundary stamp remains non-canon unless ratified</x:v>
      </x:c>
      <x:c r="M1116" s="15" t="str">
        <x:v>candidate / staging-only / not canon / not deployed / authority none</x:v>
      </x:c>
      <x:c r="N1116" s="15" t="str">
        <x:v>Dispatch to GammaSprite: complete Review Queues x Automation; return deltas only, receipts required.</x:v>
      </x:c>
      <x:c r="O1116" s="15" t="str">
        <x:v>AF-KG-H09-S11</x:v>
      </x:c>
      <x:c r="P1116" s="15" t="str">
        <x:v>Unverified</x:v>
      </x:c>
      <x:c r="Q1116" s="15" t="str">
        <x:v>Not checked</x:v>
      </x:c>
      <x:c r="R1116" s="15" t="str"/>
      <x:c r="S1116" s="15" t="str"/>
      <x:c r="T1116" s="15" t="str">
        <x:v>Log first source path or blocker</x:v>
      </x:c>
      <x:c r="U1116" s="12" t="str">
        <x:f>IF(OR(P1116="Unverified",Q1116="Not checked"),"BLOCKED_PENDING_RECEIPT","READY_FOR_REVIEW")</x:f>
        <x:v>BLOCKED_PENDING_RECEIPT</x:v>
      </x:c>
      <x:c r="V1116" s="12" t="str">
        <x:f>IF(J1116="DONE","RETURNED",IF(U1116="BLOCKED_PENDING_RECEIPT","SOURCE_TOUCH_REQUIRED","IN_PROGRESS"))</x:f>
        <x:v>SOURCE_TOUCH_REQUIRED</x:v>
      </x:c>
      <x:c r="W1116" s="12" t="str">
        <x:f>IF(P1116="Unverified","missing_receipt","receipt_logged")</x:f>
        <x:v>missing_receipt</x:v>
      </x:c>
      <x:c r="X1116" s="12" t="str">
        <x:f>IF(Q1116="Not checked","raw_status_missing","raw_status_logged")</x:f>
        <x:v>raw_status_missing</x:v>
      </x:c>
      <x:c r="Y1116" s="12" t="str">
        <x:f>IF(U1116="BLOCKED_PENDING_RECEIPT","Log source path or blocker; do not promote","Route to review lane")</x:f>
        <x:v>Log source path or blocker; do not promote</x:v>
      </x:c>
      <x:c r="Z1116" s="12" t="str">
        <x:f>IF(K1116="P0","Primary seat + Hashlight/Lucerna","Seat lane")</x:f>
        <x:v>Seat lane</x:v>
      </x:c>
      <x:c r="AA1116" s="12" t="str">
        <x:f>IF(R1116="","no_claim_delta","claim_delta_present")</x:f>
        <x:v>no_claim_delta</x:v>
      </x:c>
      <x:c r="AB1116" s="12" t="str">
        <x:f>IF(S1116="","no_contradiction_delta","contradiction_delta_present")</x:f>
        <x:v>no_contradiction_delta</x:v>
      </x:c>
      <x:c r="AC1116" s="12" t="str">
        <x:f>IF(OR(ISNUMBER(SEARCH("hacker",LOWER(F1116&amp;" "&amp;H1116&amp;" "&amp;I1116&amp;" "&amp;M1116&amp;" "&amp;N1116&amp;" "&amp;T1116))),ISNUMBER(SEARCH("hacking",LOWER(F1116&amp;" "&amp;H1116&amp;" "&amp;I1116&amp;" "&amp;M1116&amp;" "&amp;N1116&amp;" "&amp;T1116))),ISNUMBER(SEARCH("bank",LOWER(F1116&amp;" "&amp;H1116&amp;" "&amp;I1116&amp;" "&amp;M1116&amp;" "&amp;N1116&amp;" "&amp;T1116))),ISNUMBER(SEARCH("banking",LOWER(F1116&amp;" "&amp;H1116&amp;" "&amp;I1116&amp;" "&amp;M1116&amp;" "&amp;N1116&amp;" "&amp;T1116)))),"PRIVATE_QUARANTINE",IF(OR(ISNUMBER(SEARCH("treasury",LOWER(F1116&amp;" "&amp;H1116&amp;" "&amp;I1116&amp;" "&amp;M1116&amp;" "&amp;N1116&amp;" "&amp;T1116))),ISNUMBER(SEARCH("debt",LOWER(F1116&amp;" "&amp;H1116&amp;" "&amp;I1116&amp;" "&amp;M1116&amp;" "&amp;N1116&amp;" "&amp;T1116))),ISNUMBER(SEARCH("bond",LOWER(F1116&amp;" "&amp;H1116&amp;" "&amp;I1116&amp;" "&amp;M1116&amp;" "&amp;N1116&amp;" "&amp;T1116))),ISNUMBER(SEARCH("transaction",LOWER(F1116&amp;" "&amp;H1116&amp;" "&amp;I1116&amp;" "&amp;M1116&amp;" "&amp;N1116&amp;" "&amp;T1116)))),"PRIVATE_REVIEW","PUBLIC_CANDIDATE"))</x:f>
        <x:v>PUBLIC_CANDIDATE</x:v>
      </x:c>
      <x:c r="AD1116" s="12" t="str">
        <x:f>IF(AC1116="PRIVATE_QUARANTINE","hacker_or_bank_trigger",IF(AC1116="PRIVATE_REVIEW","finance_risk_trigger","none"))</x:f>
        <x:v>none</x:v>
      </x:c>
      <x:c r="AE1116" s="12" t="str">
        <x:f>IF(AC1116="PUBLIC_CANDIDATE","prepare_public_github_candidate",IF(AC1116="PRIVATE_REVIEW","hold_for_private_review","quarantine_private_do_not_publish"))</x:f>
        <x:v>prepare_public_github_candidate</x:v>
      </x:c>
      <x:c r="AF1116" s="12" t="str">
        <x:f>IF(AC1116="PUBLIC_CANDIDATE","TIDELOCK + Lucerna",IF(AC1116="PRIVATE_REVIEW","AtlasBrain + Lucerna","TIDELOCK + Lucerna + Human-root"))</x:f>
        <x:v>TIDELOCK + Lucerna</x:v>
      </x:c>
      <x:c r="AG1116" s="12" t="str">
        <x:f>IF(AND(AC1116="PUBLIC_CANDIDATE",U1116&lt;&gt;"BLOCKED_PENDING_RECEIPT"),"READY_AFTER_RECEIPT","NOT_READY")</x:f>
        <x:v>NOT_READY</x:v>
      </x:c>
      <x:c r="AH1116" s="12" t="str">
        <x:f>IF(AC1116="PUBLIC_CANDIDATE","none",AD1116)</x:f>
        <x:v>none</x:v>
      </x:c>
      <x:c r="AI1116" s="12" t="str">
        <x:f>IF(AC1116="PUBLIC_CANDIDATE","archive/public_candidates/"&amp;A1116,"private_quarantine/"&amp;A1116)</x:f>
        <x:v>archive/public_candidates/SWARM-08-H09-S11</x:v>
      </x:c>
      <x:c r="AJ1116" s="12" t="str">
        <x:f>IF(AC1116="PUBLIC_CANDIDATE","public by default; still not canon","private/hold; do not publish")</x:f>
        <x:v>public by default; still not canon</x:v>
      </x:c>
      <x:c r="AK1116" s="12" t="str">
        <x:f>IF(AE1116="prepare_public_github_candidate","add receipt/status then mirror","resolve blocker before any public GitHub action")</x:f>
        <x:v>add receipt/status then mirror</x:v>
      </x:c>
    </x:row>
    <x:row r="1117">
      <x:c r="A1117" s="15" t="str">
        <x:v>SWARM-08-H09-S12</x:v>
      </x:c>
      <x:c r="B1117" s="15" t="str">
        <x:v>GammaSprite</x:v>
      </x:c>
      <x:c r="C1117" s="15" t="str">
        <x:v>Deck surface mapper</x:v>
      </x:c>
      <x:c r="D1117" s="15" t="str">
        <x:v>Review Queues</x:v>
      </x:c>
      <x:c r="E1117" s="15" t="str">
        <x:v>Risk / Safety</x:v>
      </x:c>
      <x:c r="F1117" s="15" t="str">
        <x:v>Queue review for Risk / Safety — GammaSprite</x:v>
      </x:c>
      <x:c r="G1117" s="15" t="str">
        <x:v>Gamma/deck extraction / slide lineage</x:v>
      </x:c>
      <x:c r="H1117" s="15" t="str">
        <x:v>source path + receipt + raw/export status + claim/edge/risk delta</x:v>
      </x:c>
      <x:c r="I1117" s="15" t="str">
        <x:v>packet/SWARM-08-H09-S12</x:v>
      </x:c>
      <x:c r="J1117" s="15" t="str">
        <x:v>TODO</x:v>
      </x:c>
      <x:c r="K1117" s="15" t="str">
        <x:v>P2</x:v>
      </x:c>
      <x:c r="L1117" s="15" t="str">
        <x:v>Done only when evidence is logged, contradiction search is noted, and boundary stamp remains non-canon unless ratified</x:v>
      </x:c>
      <x:c r="M1117" s="15" t="str">
        <x:v>candidate / staging-only / not canon / not deployed / authority none</x:v>
      </x:c>
      <x:c r="N1117" s="15" t="str">
        <x:v>Dispatch to GammaSprite: complete Review Queues x Risk / Safety; return deltas only, receipts required.</x:v>
      </x:c>
      <x:c r="O1117" s="15" t="str">
        <x:v>AF-KG-H09-S12</x:v>
      </x:c>
      <x:c r="P1117" s="15" t="str">
        <x:v>Unverified</x:v>
      </x:c>
      <x:c r="Q1117" s="15" t="str">
        <x:v>Not checked</x:v>
      </x:c>
      <x:c r="R1117" s="15" t="str"/>
      <x:c r="S1117" s="15" t="str"/>
      <x:c r="T1117" s="15" t="str">
        <x:v>Log first source path or blocker</x:v>
      </x:c>
      <x:c r="U1117" s="12" t="str">
        <x:f>IF(OR(P1117="Unverified",Q1117="Not checked"),"BLOCKED_PENDING_RECEIPT","READY_FOR_REVIEW")</x:f>
        <x:v>BLOCKED_PENDING_RECEIPT</x:v>
      </x:c>
      <x:c r="V1117" s="12" t="str">
        <x:f>IF(J1117="DONE","RETURNED",IF(U1117="BLOCKED_PENDING_RECEIPT","SOURCE_TOUCH_REQUIRED","IN_PROGRESS"))</x:f>
        <x:v>SOURCE_TOUCH_REQUIRED</x:v>
      </x:c>
      <x:c r="W1117" s="12" t="str">
        <x:f>IF(P1117="Unverified","missing_receipt","receipt_logged")</x:f>
        <x:v>missing_receipt</x:v>
      </x:c>
      <x:c r="X1117" s="12" t="str">
        <x:f>IF(Q1117="Not checked","raw_status_missing","raw_status_logged")</x:f>
        <x:v>raw_status_missing</x:v>
      </x:c>
      <x:c r="Y1117" s="12" t="str">
        <x:f>IF(U1117="BLOCKED_PENDING_RECEIPT","Log source path or blocker; do not promote","Route to review lane")</x:f>
        <x:v>Log source path or blocker; do not promote</x:v>
      </x:c>
      <x:c r="Z1117" s="12" t="str">
        <x:f>IF(K1117="P0","Primary seat + Hashlight/Lucerna","Seat lane")</x:f>
        <x:v>Seat lane</x:v>
      </x:c>
      <x:c r="AA1117" s="12" t="str">
        <x:f>IF(R1117="","no_claim_delta","claim_delta_present")</x:f>
        <x:v>no_claim_delta</x:v>
      </x:c>
      <x:c r="AB1117" s="12" t="str">
        <x:f>IF(S1117="","no_contradiction_delta","contradiction_delta_present")</x:f>
        <x:v>no_contradiction_delta</x:v>
      </x:c>
      <x:c r="AC1117" s="12" t="str">
        <x:f>IF(OR(ISNUMBER(SEARCH("hacker",LOWER(F1117&amp;" "&amp;H1117&amp;" "&amp;I1117&amp;" "&amp;M1117&amp;" "&amp;N1117&amp;" "&amp;T1117))),ISNUMBER(SEARCH("hacking",LOWER(F1117&amp;" "&amp;H1117&amp;" "&amp;I1117&amp;" "&amp;M1117&amp;" "&amp;N1117&amp;" "&amp;T1117))),ISNUMBER(SEARCH("bank",LOWER(F1117&amp;" "&amp;H1117&amp;" "&amp;I1117&amp;" "&amp;M1117&amp;" "&amp;N1117&amp;" "&amp;T1117))),ISNUMBER(SEARCH("banking",LOWER(F1117&amp;" "&amp;H1117&amp;" "&amp;I1117&amp;" "&amp;M1117&amp;" "&amp;N1117&amp;" "&amp;T1117)))),"PRIVATE_QUARANTINE",IF(OR(ISNUMBER(SEARCH("treasury",LOWER(F1117&amp;" "&amp;H1117&amp;" "&amp;I1117&amp;" "&amp;M1117&amp;" "&amp;N1117&amp;" "&amp;T1117))),ISNUMBER(SEARCH("debt",LOWER(F1117&amp;" "&amp;H1117&amp;" "&amp;I1117&amp;" "&amp;M1117&amp;" "&amp;N1117&amp;" "&amp;T1117))),ISNUMBER(SEARCH("bond",LOWER(F1117&amp;" "&amp;H1117&amp;" "&amp;I1117&amp;" "&amp;M1117&amp;" "&amp;N1117&amp;" "&amp;T1117))),ISNUMBER(SEARCH("transaction",LOWER(F1117&amp;" "&amp;H1117&amp;" "&amp;I1117&amp;" "&amp;M1117&amp;" "&amp;N1117&amp;" "&amp;T1117)))),"PRIVATE_REVIEW","PUBLIC_CANDIDATE"))</x:f>
        <x:v>PUBLIC_CANDIDATE</x:v>
      </x:c>
      <x:c r="AD1117" s="12" t="str">
        <x:f>IF(AC1117="PRIVATE_QUARANTINE","hacker_or_bank_trigger",IF(AC1117="PRIVATE_REVIEW","finance_risk_trigger","none"))</x:f>
        <x:v>none</x:v>
      </x:c>
      <x:c r="AE1117" s="12" t="str">
        <x:f>IF(AC1117="PUBLIC_CANDIDATE","prepare_public_github_candidate",IF(AC1117="PRIVATE_REVIEW","hold_for_private_review","quarantine_private_do_not_publish"))</x:f>
        <x:v>prepare_public_github_candidate</x:v>
      </x:c>
      <x:c r="AF1117" s="12" t="str">
        <x:f>IF(AC1117="PUBLIC_CANDIDATE","TIDELOCK + Lucerna",IF(AC1117="PRIVATE_REVIEW","AtlasBrain + Lucerna","TIDELOCK + Lucerna + Human-root"))</x:f>
        <x:v>TIDELOCK + Lucerna</x:v>
      </x:c>
      <x:c r="AG1117" s="12" t="str">
        <x:f>IF(AND(AC1117="PUBLIC_CANDIDATE",U1117&lt;&gt;"BLOCKED_PENDING_RECEIPT"),"READY_AFTER_RECEIPT","NOT_READY")</x:f>
        <x:v>NOT_READY</x:v>
      </x:c>
      <x:c r="AH1117" s="12" t="str">
        <x:f>IF(AC1117="PUBLIC_CANDIDATE","none",AD1117)</x:f>
        <x:v>none</x:v>
      </x:c>
      <x:c r="AI1117" s="12" t="str">
        <x:f>IF(AC1117="PUBLIC_CANDIDATE","archive/public_candidates/"&amp;A1117,"private_quarantine/"&amp;A1117)</x:f>
        <x:v>archive/public_candidates/SWARM-08-H09-S12</x:v>
      </x:c>
      <x:c r="AJ1117" s="12" t="str">
        <x:f>IF(AC1117="PUBLIC_CANDIDATE","public by default; still not canon","private/hold; do not publish")</x:f>
        <x:v>public by default; still not canon</x:v>
      </x:c>
      <x:c r="AK1117" s="12" t="str">
        <x:f>IF(AE1117="prepare_public_github_candidate","add receipt/status then mirror","resolve blocker before any public GitHub action")</x:f>
        <x:v>add receipt/status then mirror</x:v>
      </x:c>
    </x:row>
    <x:row r="1118">
      <x:c r="A1118" s="15" t="str">
        <x:v>SWARM-08-H10-S01</x:v>
      </x:c>
      <x:c r="B1118" s="15" t="str">
        <x:v>GammaSprite</x:v>
      </x:c>
      <x:c r="C1118" s="15" t="str">
        <x:v>Deck surface mapper</x:v>
      </x:c>
      <x:c r="D1118" s="15" t="str">
        <x:v>GitHub Source Packets</x:v>
      </x:c>
      <x:c r="E1118" s="15" t="str">
        <x:v>Notion</x:v>
      </x:c>
      <x:c r="F1118" s="15" t="str">
        <x:v>Build source packet for Notion — GammaSprite</x:v>
      </x:c>
      <x:c r="G1118" s="15" t="str">
        <x:v>Gamma/deck extraction / slide lineage</x:v>
      </x:c>
      <x:c r="H1118" s="15" t="str">
        <x:v>source path + receipt + raw/export status + claim/edge/risk delta</x:v>
      </x:c>
      <x:c r="I1118" s="15" t="str">
        <x:v>packet/SWARM-08-H10-S01</x:v>
      </x:c>
      <x:c r="J1118" s="15" t="str">
        <x:v>TODO</x:v>
      </x:c>
      <x:c r="K1118" s="15" t="str">
        <x:v>P0</x:v>
      </x:c>
      <x:c r="L1118" s="15" t="str">
        <x:v>Done only when evidence is logged, contradiction search is noted, and boundary stamp remains non-canon unless ratified</x:v>
      </x:c>
      <x:c r="M1118" s="15" t="str">
        <x:v>candidate / staging-only / not canon / not deployed / authority none</x:v>
      </x:c>
      <x:c r="N1118" s="15" t="str">
        <x:v>Dispatch to GammaSprite: complete GitHub Source Packets x Notion; return deltas only, receipts required.</x:v>
      </x:c>
      <x:c r="O1118" s="15" t="str">
        <x:v>AF-KG-H10-S01</x:v>
      </x:c>
      <x:c r="P1118" s="15" t="str">
        <x:v>Unverified</x:v>
      </x:c>
      <x:c r="Q1118" s="15" t="str">
        <x:v>Not checked</x:v>
      </x:c>
      <x:c r="R1118" s="15" t="str"/>
      <x:c r="S1118" s="15" t="str"/>
      <x:c r="T1118" s="15" t="str">
        <x:v>Log first source path or blocker</x:v>
      </x:c>
      <x:c r="U1118" s="12" t="str">
        <x:f>IF(OR(P1118="Unverified",Q1118="Not checked"),"BLOCKED_PENDING_RECEIPT","READY_FOR_REVIEW")</x:f>
        <x:v>BLOCKED_PENDING_RECEIPT</x:v>
      </x:c>
      <x:c r="V1118" s="12" t="str">
        <x:f>IF(J1118="DONE","RETURNED",IF(U1118="BLOCKED_PENDING_RECEIPT","SOURCE_TOUCH_REQUIRED","IN_PROGRESS"))</x:f>
        <x:v>SOURCE_TOUCH_REQUIRED</x:v>
      </x:c>
      <x:c r="W1118" s="12" t="str">
        <x:f>IF(P1118="Unverified","missing_receipt","receipt_logged")</x:f>
        <x:v>missing_receipt</x:v>
      </x:c>
      <x:c r="X1118" s="12" t="str">
        <x:f>IF(Q1118="Not checked","raw_status_missing","raw_status_logged")</x:f>
        <x:v>raw_status_missing</x:v>
      </x:c>
      <x:c r="Y1118" s="12" t="str">
        <x:f>IF(U1118="BLOCKED_PENDING_RECEIPT","Log source path or blocker; do not promote","Route to review lane")</x:f>
        <x:v>Log source path or blocker; do not promote</x:v>
      </x:c>
      <x:c r="Z1118" s="12" t="str">
        <x:f>IF(K1118="P0","Primary seat + Hashlight/Lucerna","Seat lane")</x:f>
        <x:v>Primary seat + Hashlight/Lucerna</x:v>
      </x:c>
      <x:c r="AA1118" s="12" t="str">
        <x:f>IF(R1118="","no_claim_delta","claim_delta_present")</x:f>
        <x:v>no_claim_delta</x:v>
      </x:c>
      <x:c r="AB1118" s="12" t="str">
        <x:f>IF(S1118="","no_contradiction_delta","contradiction_delta_present")</x:f>
        <x:v>no_contradiction_delta</x:v>
      </x:c>
      <x:c r="AC1118" s="12" t="str">
        <x:f>IF(OR(ISNUMBER(SEARCH("hacker",LOWER(F1118&amp;" "&amp;H1118&amp;" "&amp;I1118&amp;" "&amp;M1118&amp;" "&amp;N1118&amp;" "&amp;T1118))),ISNUMBER(SEARCH("hacking",LOWER(F1118&amp;" "&amp;H1118&amp;" "&amp;I1118&amp;" "&amp;M1118&amp;" "&amp;N1118&amp;" "&amp;T1118))),ISNUMBER(SEARCH("bank",LOWER(F1118&amp;" "&amp;H1118&amp;" "&amp;I1118&amp;" "&amp;M1118&amp;" "&amp;N1118&amp;" "&amp;T1118))),ISNUMBER(SEARCH("banking",LOWER(F1118&amp;" "&amp;H1118&amp;" "&amp;I1118&amp;" "&amp;M1118&amp;" "&amp;N1118&amp;" "&amp;T1118)))),"PRIVATE_QUARANTINE",IF(OR(ISNUMBER(SEARCH("treasury",LOWER(F1118&amp;" "&amp;H1118&amp;" "&amp;I1118&amp;" "&amp;M1118&amp;" "&amp;N1118&amp;" "&amp;T1118))),ISNUMBER(SEARCH("debt",LOWER(F1118&amp;" "&amp;H1118&amp;" "&amp;I1118&amp;" "&amp;M1118&amp;" "&amp;N1118&amp;" "&amp;T1118))),ISNUMBER(SEARCH("bond",LOWER(F1118&amp;" "&amp;H1118&amp;" "&amp;I1118&amp;" "&amp;M1118&amp;" "&amp;N1118&amp;" "&amp;T1118))),ISNUMBER(SEARCH("transaction",LOWER(F1118&amp;" "&amp;H1118&amp;" "&amp;I1118&amp;" "&amp;M1118&amp;" "&amp;N1118&amp;" "&amp;T1118)))),"PRIVATE_REVIEW","PUBLIC_CANDIDATE"))</x:f>
        <x:v>PUBLIC_CANDIDATE</x:v>
      </x:c>
      <x:c r="AD1118" s="12" t="str">
        <x:f>IF(AC1118="PRIVATE_QUARANTINE","hacker_or_bank_trigger",IF(AC1118="PRIVATE_REVIEW","finance_risk_trigger","none"))</x:f>
        <x:v>none</x:v>
      </x:c>
      <x:c r="AE1118" s="12" t="str">
        <x:f>IF(AC1118="PUBLIC_CANDIDATE","prepare_public_github_candidate",IF(AC1118="PRIVATE_REVIEW","hold_for_private_review","quarantine_private_do_not_publish"))</x:f>
        <x:v>prepare_public_github_candidate</x:v>
      </x:c>
      <x:c r="AF1118" s="12" t="str">
        <x:f>IF(AC1118="PUBLIC_CANDIDATE","TIDELOCK + Lucerna",IF(AC1118="PRIVATE_REVIEW","AtlasBrain + Lucerna","TIDELOCK + Lucerna + Human-root"))</x:f>
        <x:v>TIDELOCK + Lucerna</x:v>
      </x:c>
      <x:c r="AG1118" s="12" t="str">
        <x:f>IF(AND(AC1118="PUBLIC_CANDIDATE",U1118&lt;&gt;"BLOCKED_PENDING_RECEIPT"),"READY_AFTER_RECEIPT","NOT_READY")</x:f>
        <x:v>NOT_READY</x:v>
      </x:c>
      <x:c r="AH1118" s="12" t="str">
        <x:f>IF(AC1118="PUBLIC_CANDIDATE","none",AD1118)</x:f>
        <x:v>none</x:v>
      </x:c>
      <x:c r="AI1118" s="12" t="str">
        <x:f>IF(AC1118="PUBLIC_CANDIDATE","archive/public_candidates/"&amp;A1118,"private_quarantine/"&amp;A1118)</x:f>
        <x:v>archive/public_candidates/SWARM-08-H10-S01</x:v>
      </x:c>
      <x:c r="AJ1118" s="12" t="str">
        <x:f>IF(AC1118="PUBLIC_CANDIDATE","public by default; still not canon","private/hold; do not publish")</x:f>
        <x:v>public by default; still not canon</x:v>
      </x:c>
      <x:c r="AK1118" s="12" t="str">
        <x:f>IF(AE1118="prepare_public_github_candidate","add receipt/status then mirror","resolve blocker before any public GitHub action")</x:f>
        <x:v>add receipt/status then mirror</x:v>
      </x:c>
    </x:row>
    <x:row r="1119">
      <x:c r="A1119" s="15" t="str">
        <x:v>SWARM-08-H10-S02</x:v>
      </x:c>
      <x:c r="B1119" s="15" t="str">
        <x:v>GammaSprite</x:v>
      </x:c>
      <x:c r="C1119" s="15" t="str">
        <x:v>Deck surface mapper</x:v>
      </x:c>
      <x:c r="D1119" s="15" t="str">
        <x:v>GitHub Source Packets</x:v>
      </x:c>
      <x:c r="E1119" s="15" t="str">
        <x:v>Drive</x:v>
      </x:c>
      <x:c r="F1119" s="15" t="str">
        <x:v>Build source packet for Drive — GammaSprite</x:v>
      </x:c>
      <x:c r="G1119" s="15" t="str">
        <x:v>Gamma/deck extraction / slide lineage</x:v>
      </x:c>
      <x:c r="H1119" s="15" t="str">
        <x:v>source path + receipt + raw/export status + claim/edge/risk delta</x:v>
      </x:c>
      <x:c r="I1119" s="15" t="str">
        <x:v>packet/SWARM-08-H10-S02</x:v>
      </x:c>
      <x:c r="J1119" s="15" t="str">
        <x:v>TODO</x:v>
      </x:c>
      <x:c r="K1119" s="15" t="str">
        <x:v>P0</x:v>
      </x:c>
      <x:c r="L1119" s="15" t="str">
        <x:v>Done only when evidence is logged, contradiction search is noted, and boundary stamp remains non-canon unless ratified</x:v>
      </x:c>
      <x:c r="M1119" s="15" t="str">
        <x:v>candidate / staging-only / not canon / not deployed / authority none</x:v>
      </x:c>
      <x:c r="N1119" s="15" t="str">
        <x:v>Dispatch to GammaSprite: complete GitHub Source Packets x Drive; return deltas only, receipts required.</x:v>
      </x:c>
      <x:c r="O1119" s="15" t="str">
        <x:v>AF-KG-H10-S02</x:v>
      </x:c>
      <x:c r="P1119" s="15" t="str">
        <x:v>Unverified</x:v>
      </x:c>
      <x:c r="Q1119" s="15" t="str">
        <x:v>Not checked</x:v>
      </x:c>
      <x:c r="R1119" s="15" t="str"/>
      <x:c r="S1119" s="15" t="str"/>
      <x:c r="T1119" s="15" t="str">
        <x:v>Log first source path or blocker</x:v>
      </x:c>
      <x:c r="U1119" s="12" t="str">
        <x:f>IF(OR(P1119="Unverified",Q1119="Not checked"),"BLOCKED_PENDING_RECEIPT","READY_FOR_REVIEW")</x:f>
        <x:v>BLOCKED_PENDING_RECEIPT</x:v>
      </x:c>
      <x:c r="V1119" s="12" t="str">
        <x:f>IF(J1119="DONE","RETURNED",IF(U1119="BLOCKED_PENDING_RECEIPT","SOURCE_TOUCH_REQUIRED","IN_PROGRESS"))</x:f>
        <x:v>SOURCE_TOUCH_REQUIRED</x:v>
      </x:c>
      <x:c r="W1119" s="12" t="str">
        <x:f>IF(P1119="Unverified","missing_receipt","receipt_logged")</x:f>
        <x:v>missing_receipt</x:v>
      </x:c>
      <x:c r="X1119" s="12" t="str">
        <x:f>IF(Q1119="Not checked","raw_status_missing","raw_status_logged")</x:f>
        <x:v>raw_status_missing</x:v>
      </x:c>
      <x:c r="Y1119" s="12" t="str">
        <x:f>IF(U1119="BLOCKED_PENDING_RECEIPT","Log source path or blocker; do not promote","Route to review lane")</x:f>
        <x:v>Log source path or blocker; do not promote</x:v>
      </x:c>
      <x:c r="Z1119" s="12" t="str">
        <x:f>IF(K1119="P0","Primary seat + Hashlight/Lucerna","Seat lane")</x:f>
        <x:v>Primary seat + Hashlight/Lucerna</x:v>
      </x:c>
      <x:c r="AA1119" s="12" t="str">
        <x:f>IF(R1119="","no_claim_delta","claim_delta_present")</x:f>
        <x:v>no_claim_delta</x:v>
      </x:c>
      <x:c r="AB1119" s="12" t="str">
        <x:f>IF(S1119="","no_contradiction_delta","contradiction_delta_present")</x:f>
        <x:v>no_contradiction_delta</x:v>
      </x:c>
      <x:c r="AC1119" s="12" t="str">
        <x:f>IF(OR(ISNUMBER(SEARCH("hacker",LOWER(F1119&amp;" "&amp;H1119&amp;" "&amp;I1119&amp;" "&amp;M1119&amp;" "&amp;N1119&amp;" "&amp;T1119))),ISNUMBER(SEARCH("hacking",LOWER(F1119&amp;" "&amp;H1119&amp;" "&amp;I1119&amp;" "&amp;M1119&amp;" "&amp;N1119&amp;" "&amp;T1119))),ISNUMBER(SEARCH("bank",LOWER(F1119&amp;" "&amp;H1119&amp;" "&amp;I1119&amp;" "&amp;M1119&amp;" "&amp;N1119&amp;" "&amp;T1119))),ISNUMBER(SEARCH("banking",LOWER(F1119&amp;" "&amp;H1119&amp;" "&amp;I1119&amp;" "&amp;M1119&amp;" "&amp;N1119&amp;" "&amp;T1119)))),"PRIVATE_QUARANTINE",IF(OR(ISNUMBER(SEARCH("treasury",LOWER(F1119&amp;" "&amp;H1119&amp;" "&amp;I1119&amp;" "&amp;M1119&amp;" "&amp;N1119&amp;" "&amp;T1119))),ISNUMBER(SEARCH("debt",LOWER(F1119&amp;" "&amp;H1119&amp;" "&amp;I1119&amp;" "&amp;M1119&amp;" "&amp;N1119&amp;" "&amp;T1119))),ISNUMBER(SEARCH("bond",LOWER(F1119&amp;" "&amp;H1119&amp;" "&amp;I1119&amp;" "&amp;M1119&amp;" "&amp;N1119&amp;" "&amp;T1119))),ISNUMBER(SEARCH("transaction",LOWER(F1119&amp;" "&amp;H1119&amp;" "&amp;I1119&amp;" "&amp;M1119&amp;" "&amp;N1119&amp;" "&amp;T1119)))),"PRIVATE_REVIEW","PUBLIC_CANDIDATE"))</x:f>
        <x:v>PUBLIC_CANDIDATE</x:v>
      </x:c>
      <x:c r="AD1119" s="12" t="str">
        <x:f>IF(AC1119="PRIVATE_QUARANTINE","hacker_or_bank_trigger",IF(AC1119="PRIVATE_REVIEW","finance_risk_trigger","none"))</x:f>
        <x:v>none</x:v>
      </x:c>
      <x:c r="AE1119" s="12" t="str">
        <x:f>IF(AC1119="PUBLIC_CANDIDATE","prepare_public_github_candidate",IF(AC1119="PRIVATE_REVIEW","hold_for_private_review","quarantine_private_do_not_publish"))</x:f>
        <x:v>prepare_public_github_candidate</x:v>
      </x:c>
      <x:c r="AF1119" s="12" t="str">
        <x:f>IF(AC1119="PUBLIC_CANDIDATE","TIDELOCK + Lucerna",IF(AC1119="PRIVATE_REVIEW","AtlasBrain + Lucerna","TIDELOCK + Lucerna + Human-root"))</x:f>
        <x:v>TIDELOCK + Lucerna</x:v>
      </x:c>
      <x:c r="AG1119" s="12" t="str">
        <x:f>IF(AND(AC1119="PUBLIC_CANDIDATE",U1119&lt;&gt;"BLOCKED_PENDING_RECEIPT"),"READY_AFTER_RECEIPT","NOT_READY")</x:f>
        <x:v>NOT_READY</x:v>
      </x:c>
      <x:c r="AH1119" s="12" t="str">
        <x:f>IF(AC1119="PUBLIC_CANDIDATE","none",AD1119)</x:f>
        <x:v>none</x:v>
      </x:c>
      <x:c r="AI1119" s="12" t="str">
        <x:f>IF(AC1119="PUBLIC_CANDIDATE","archive/public_candidates/"&amp;A1119,"private_quarantine/"&amp;A1119)</x:f>
        <x:v>archive/public_candidates/SWARM-08-H10-S02</x:v>
      </x:c>
      <x:c r="AJ1119" s="12" t="str">
        <x:f>IF(AC1119="PUBLIC_CANDIDATE","public by default; still not canon","private/hold; do not publish")</x:f>
        <x:v>public by default; still not canon</x:v>
      </x:c>
      <x:c r="AK1119" s="12" t="str">
        <x:f>IF(AE1119="prepare_public_github_candidate","add receipt/status then mirror","resolve blocker before any public GitHub action")</x:f>
        <x:v>add receipt/status then mirror</x:v>
      </x:c>
    </x:row>
    <x:row r="1120">
      <x:c r="A1120" s="15" t="str">
        <x:v>SWARM-08-H10-S03</x:v>
      </x:c>
      <x:c r="B1120" s="15" t="str">
        <x:v>GammaSprite</x:v>
      </x:c>
      <x:c r="C1120" s="15" t="str">
        <x:v>Deck surface mapper</x:v>
      </x:c>
      <x:c r="D1120" s="15" t="str">
        <x:v>GitHub Source Packets</x:v>
      </x:c>
      <x:c r="E1120" s="15" t="str">
        <x:v>GitHub</x:v>
      </x:c>
      <x:c r="F1120" s="15" t="str">
        <x:v>Build source packet for GitHub — GammaSprite</x:v>
      </x:c>
      <x:c r="G1120" s="15" t="str">
        <x:v>Gamma/deck extraction / slide lineage</x:v>
      </x:c>
      <x:c r="H1120" s="15" t="str">
        <x:v>source path + receipt + raw/export status + claim/edge/risk delta</x:v>
      </x:c>
      <x:c r="I1120" s="15" t="str">
        <x:v>packet/SWARM-08-H10-S03</x:v>
      </x:c>
      <x:c r="J1120" s="15" t="str">
        <x:v>TODO</x:v>
      </x:c>
      <x:c r="K1120" s="15" t="str">
        <x:v>P0</x:v>
      </x:c>
      <x:c r="L1120" s="15" t="str">
        <x:v>Done only when evidence is logged, contradiction search is noted, and boundary stamp remains non-canon unless ratified</x:v>
      </x:c>
      <x:c r="M1120" s="15" t="str">
        <x:v>candidate / staging-only / not canon / not deployed / authority none</x:v>
      </x:c>
      <x:c r="N1120" s="15" t="str">
        <x:v>Dispatch to GammaSprite: complete GitHub Source Packets x GitHub; return deltas only, receipts required.</x:v>
      </x:c>
      <x:c r="O1120" s="15" t="str">
        <x:v>AF-KG-H10-S03</x:v>
      </x:c>
      <x:c r="P1120" s="15" t="str">
        <x:v>Unverified</x:v>
      </x:c>
      <x:c r="Q1120" s="15" t="str">
        <x:v>Not checked</x:v>
      </x:c>
      <x:c r="R1120" s="15" t="str"/>
      <x:c r="S1120" s="15" t="str"/>
      <x:c r="T1120" s="15" t="str">
        <x:v>Log first source path or blocker</x:v>
      </x:c>
      <x:c r="U1120" s="12" t="str">
        <x:f>IF(OR(P1120="Unverified",Q1120="Not checked"),"BLOCKED_PENDING_RECEIPT","READY_FOR_REVIEW")</x:f>
        <x:v>BLOCKED_PENDING_RECEIPT</x:v>
      </x:c>
      <x:c r="V1120" s="12" t="str">
        <x:f>IF(J1120="DONE","RETURNED",IF(U1120="BLOCKED_PENDING_RECEIPT","SOURCE_TOUCH_REQUIRED","IN_PROGRESS"))</x:f>
        <x:v>SOURCE_TOUCH_REQUIRED</x:v>
      </x:c>
      <x:c r="W1120" s="12" t="str">
        <x:f>IF(P1120="Unverified","missing_receipt","receipt_logged")</x:f>
        <x:v>missing_receipt</x:v>
      </x:c>
      <x:c r="X1120" s="12" t="str">
        <x:f>IF(Q1120="Not checked","raw_status_missing","raw_status_logged")</x:f>
        <x:v>raw_status_missing</x:v>
      </x:c>
      <x:c r="Y1120" s="12" t="str">
        <x:f>IF(U1120="BLOCKED_PENDING_RECEIPT","Log source path or blocker; do not promote","Route to review lane")</x:f>
        <x:v>Log source path or blocker; do not promote</x:v>
      </x:c>
      <x:c r="Z1120" s="12" t="str">
        <x:f>IF(K1120="P0","Primary seat + Hashlight/Lucerna","Seat lane")</x:f>
        <x:v>Primary seat + Hashlight/Lucerna</x:v>
      </x:c>
      <x:c r="AA1120" s="12" t="str">
        <x:f>IF(R1120="","no_claim_delta","claim_delta_present")</x:f>
        <x:v>no_claim_delta</x:v>
      </x:c>
      <x:c r="AB1120" s="12" t="str">
        <x:f>IF(S1120="","no_contradiction_delta","contradiction_delta_present")</x:f>
        <x:v>no_contradiction_delta</x:v>
      </x:c>
      <x:c r="AC1120" s="12" t="str">
        <x:f>IF(OR(ISNUMBER(SEARCH("hacker",LOWER(F1120&amp;" "&amp;H1120&amp;" "&amp;I1120&amp;" "&amp;M1120&amp;" "&amp;N1120&amp;" "&amp;T1120))),ISNUMBER(SEARCH("hacking",LOWER(F1120&amp;" "&amp;H1120&amp;" "&amp;I1120&amp;" "&amp;M1120&amp;" "&amp;N1120&amp;" "&amp;T1120))),ISNUMBER(SEARCH("bank",LOWER(F1120&amp;" "&amp;H1120&amp;" "&amp;I1120&amp;" "&amp;M1120&amp;" "&amp;N1120&amp;" "&amp;T1120))),ISNUMBER(SEARCH("banking",LOWER(F1120&amp;" "&amp;H1120&amp;" "&amp;I1120&amp;" "&amp;M1120&amp;" "&amp;N1120&amp;" "&amp;T1120)))),"PRIVATE_QUARANTINE",IF(OR(ISNUMBER(SEARCH("treasury",LOWER(F1120&amp;" "&amp;H1120&amp;" "&amp;I1120&amp;" "&amp;M1120&amp;" "&amp;N1120&amp;" "&amp;T1120))),ISNUMBER(SEARCH("debt",LOWER(F1120&amp;" "&amp;H1120&amp;" "&amp;I1120&amp;" "&amp;M1120&amp;" "&amp;N1120&amp;" "&amp;T1120))),ISNUMBER(SEARCH("bond",LOWER(F1120&amp;" "&amp;H1120&amp;" "&amp;I1120&amp;" "&amp;M1120&amp;" "&amp;N1120&amp;" "&amp;T1120))),ISNUMBER(SEARCH("transaction",LOWER(F1120&amp;" "&amp;H1120&amp;" "&amp;I1120&amp;" "&amp;M1120&amp;" "&amp;N1120&amp;" "&amp;T1120)))),"PRIVATE_REVIEW","PUBLIC_CANDIDATE"))</x:f>
        <x:v>PUBLIC_CANDIDATE</x:v>
      </x:c>
      <x:c r="AD1120" s="12" t="str">
        <x:f>IF(AC1120="PRIVATE_QUARANTINE","hacker_or_bank_trigger",IF(AC1120="PRIVATE_REVIEW","finance_risk_trigger","none"))</x:f>
        <x:v>none</x:v>
      </x:c>
      <x:c r="AE1120" s="12" t="str">
        <x:f>IF(AC1120="PUBLIC_CANDIDATE","prepare_public_github_candidate",IF(AC1120="PRIVATE_REVIEW","hold_for_private_review","quarantine_private_do_not_publish"))</x:f>
        <x:v>prepare_public_github_candidate</x:v>
      </x:c>
      <x:c r="AF1120" s="12" t="str">
        <x:f>IF(AC1120="PUBLIC_CANDIDATE","TIDELOCK + Lucerna",IF(AC1120="PRIVATE_REVIEW","AtlasBrain + Lucerna","TIDELOCK + Lucerna + Human-root"))</x:f>
        <x:v>TIDELOCK + Lucerna</x:v>
      </x:c>
      <x:c r="AG1120" s="12" t="str">
        <x:f>IF(AND(AC1120="PUBLIC_CANDIDATE",U1120&lt;&gt;"BLOCKED_PENDING_RECEIPT"),"READY_AFTER_RECEIPT","NOT_READY")</x:f>
        <x:v>NOT_READY</x:v>
      </x:c>
      <x:c r="AH1120" s="12" t="str">
        <x:f>IF(AC1120="PUBLIC_CANDIDATE","none",AD1120)</x:f>
        <x:v>none</x:v>
      </x:c>
      <x:c r="AI1120" s="12" t="str">
        <x:f>IF(AC1120="PUBLIC_CANDIDATE","archive/public_candidates/"&amp;A1120,"private_quarantine/"&amp;A1120)</x:f>
        <x:v>archive/public_candidates/SWARM-08-H10-S03</x:v>
      </x:c>
      <x:c r="AJ1120" s="12" t="str">
        <x:f>IF(AC1120="PUBLIC_CANDIDATE","public by default; still not canon","private/hold; do not publish")</x:f>
        <x:v>public by default; still not canon</x:v>
      </x:c>
      <x:c r="AK1120" s="12" t="str">
        <x:f>IF(AE1120="prepare_public_github_candidate","add receipt/status then mirror","resolve blocker before any public GitHub action")</x:f>
        <x:v>add receipt/status then mirror</x:v>
      </x:c>
    </x:row>
    <x:row r="1121">
      <x:c r="A1121" s="15" t="str">
        <x:v>SWARM-08-H10-S04</x:v>
      </x:c>
      <x:c r="B1121" s="15" t="str">
        <x:v>GammaSprite</x:v>
      </x:c>
      <x:c r="C1121" s="15" t="str">
        <x:v>Deck surface mapper</x:v>
      </x:c>
      <x:c r="D1121" s="15" t="str">
        <x:v>GitHub Source Packets</x:v>
      </x:c>
      <x:c r="E1121" s="15" t="str">
        <x:v>Gamma</x:v>
      </x:c>
      <x:c r="F1121" s="15" t="str">
        <x:v>Build source packet for Gamma — GammaSprite</x:v>
      </x:c>
      <x:c r="G1121" s="15" t="str">
        <x:v>Gamma/deck extraction / slide lineage</x:v>
      </x:c>
      <x:c r="H1121" s="15" t="str">
        <x:v>source path + receipt + raw/export status + claim/edge/risk delta</x:v>
      </x:c>
      <x:c r="I1121" s="15" t="str">
        <x:v>packet/SWARM-08-H10-S04</x:v>
      </x:c>
      <x:c r="J1121" s="15" t="str">
        <x:v>TODO</x:v>
      </x:c>
      <x:c r="K1121" s="15" t="str">
        <x:v>P1</x:v>
      </x:c>
      <x:c r="L1121" s="15" t="str">
        <x:v>Done only when evidence is logged, contradiction search is noted, and boundary stamp remains non-canon unless ratified</x:v>
      </x:c>
      <x:c r="M1121" s="15" t="str">
        <x:v>candidate / staging-only / not canon / not deployed / authority none</x:v>
      </x:c>
      <x:c r="N1121" s="15" t="str">
        <x:v>Dispatch to GammaSprite: complete GitHub Source Packets x Gamma; return deltas only, receipts required.</x:v>
      </x:c>
      <x:c r="O1121" s="15" t="str">
        <x:v>AF-KG-H10-S04</x:v>
      </x:c>
      <x:c r="P1121" s="15" t="str">
        <x:v>Unverified</x:v>
      </x:c>
      <x:c r="Q1121" s="15" t="str">
        <x:v>Not checked</x:v>
      </x:c>
      <x:c r="R1121" s="15" t="str"/>
      <x:c r="S1121" s="15" t="str"/>
      <x:c r="T1121" s="15" t="str">
        <x:v>Log first source path or blocker</x:v>
      </x:c>
      <x:c r="U1121" s="12" t="str">
        <x:f>IF(OR(P1121="Unverified",Q1121="Not checked"),"BLOCKED_PENDING_RECEIPT","READY_FOR_REVIEW")</x:f>
        <x:v>BLOCKED_PENDING_RECEIPT</x:v>
      </x:c>
      <x:c r="V1121" s="12" t="str">
        <x:f>IF(J1121="DONE","RETURNED",IF(U1121="BLOCKED_PENDING_RECEIPT","SOURCE_TOUCH_REQUIRED","IN_PROGRESS"))</x:f>
        <x:v>SOURCE_TOUCH_REQUIRED</x:v>
      </x:c>
      <x:c r="W1121" s="12" t="str">
        <x:f>IF(P1121="Unverified","missing_receipt","receipt_logged")</x:f>
        <x:v>missing_receipt</x:v>
      </x:c>
      <x:c r="X1121" s="12" t="str">
        <x:f>IF(Q1121="Not checked","raw_status_missing","raw_status_logged")</x:f>
        <x:v>raw_status_missing</x:v>
      </x:c>
      <x:c r="Y1121" s="12" t="str">
        <x:f>IF(U1121="BLOCKED_PENDING_RECEIPT","Log source path or blocker; do not promote","Route to review lane")</x:f>
        <x:v>Log source path or blocker; do not promote</x:v>
      </x:c>
      <x:c r="Z1121" s="12" t="str">
        <x:f>IF(K1121="P0","Primary seat + Hashlight/Lucerna","Seat lane")</x:f>
        <x:v>Seat lane</x:v>
      </x:c>
      <x:c r="AA1121" s="12" t="str">
        <x:f>IF(R1121="","no_claim_delta","claim_delta_present")</x:f>
        <x:v>no_claim_delta</x:v>
      </x:c>
      <x:c r="AB1121" s="12" t="str">
        <x:f>IF(S1121="","no_contradiction_delta","contradiction_delta_present")</x:f>
        <x:v>no_contradiction_delta</x:v>
      </x:c>
      <x:c r="AC1121" s="12" t="str">
        <x:f>IF(OR(ISNUMBER(SEARCH("hacker",LOWER(F1121&amp;" "&amp;H1121&amp;" "&amp;I1121&amp;" "&amp;M1121&amp;" "&amp;N1121&amp;" "&amp;T1121))),ISNUMBER(SEARCH("hacking",LOWER(F1121&amp;" "&amp;H1121&amp;" "&amp;I1121&amp;" "&amp;M1121&amp;" "&amp;N1121&amp;" "&amp;T1121))),ISNUMBER(SEARCH("bank",LOWER(F1121&amp;" "&amp;H1121&amp;" "&amp;I1121&amp;" "&amp;M1121&amp;" "&amp;N1121&amp;" "&amp;T1121))),ISNUMBER(SEARCH("banking",LOWER(F1121&amp;" "&amp;H1121&amp;" "&amp;I1121&amp;" "&amp;M1121&amp;" "&amp;N1121&amp;" "&amp;T1121)))),"PRIVATE_QUARANTINE",IF(OR(ISNUMBER(SEARCH("treasury",LOWER(F1121&amp;" "&amp;H1121&amp;" "&amp;I1121&amp;" "&amp;M1121&amp;" "&amp;N1121&amp;" "&amp;T1121))),ISNUMBER(SEARCH("debt",LOWER(F1121&amp;" "&amp;H1121&amp;" "&amp;I1121&amp;" "&amp;M1121&amp;" "&amp;N1121&amp;" "&amp;T1121))),ISNUMBER(SEARCH("bond",LOWER(F1121&amp;" "&amp;H1121&amp;" "&amp;I1121&amp;" "&amp;M1121&amp;" "&amp;N1121&amp;" "&amp;T1121))),ISNUMBER(SEARCH("transaction",LOWER(F1121&amp;" "&amp;H1121&amp;" "&amp;I1121&amp;" "&amp;M1121&amp;" "&amp;N1121&amp;" "&amp;T1121)))),"PRIVATE_REVIEW","PUBLIC_CANDIDATE"))</x:f>
        <x:v>PUBLIC_CANDIDATE</x:v>
      </x:c>
      <x:c r="AD1121" s="12" t="str">
        <x:f>IF(AC1121="PRIVATE_QUARANTINE","hacker_or_bank_trigger",IF(AC1121="PRIVATE_REVIEW","finance_risk_trigger","none"))</x:f>
        <x:v>none</x:v>
      </x:c>
      <x:c r="AE1121" s="12" t="str">
        <x:f>IF(AC1121="PUBLIC_CANDIDATE","prepare_public_github_candidate",IF(AC1121="PRIVATE_REVIEW","hold_for_private_review","quarantine_private_do_not_publish"))</x:f>
        <x:v>prepare_public_github_candidate</x:v>
      </x:c>
      <x:c r="AF1121" s="12" t="str">
        <x:f>IF(AC1121="PUBLIC_CANDIDATE","TIDELOCK + Lucerna",IF(AC1121="PRIVATE_REVIEW","AtlasBrain + Lucerna","TIDELOCK + Lucerna + Human-root"))</x:f>
        <x:v>TIDELOCK + Lucerna</x:v>
      </x:c>
      <x:c r="AG1121" s="12" t="str">
        <x:f>IF(AND(AC1121="PUBLIC_CANDIDATE",U1121&lt;&gt;"BLOCKED_PENDING_RECEIPT"),"READY_AFTER_RECEIPT","NOT_READY")</x:f>
        <x:v>NOT_READY</x:v>
      </x:c>
      <x:c r="AH1121" s="12" t="str">
        <x:f>IF(AC1121="PUBLIC_CANDIDATE","none",AD1121)</x:f>
        <x:v>none</x:v>
      </x:c>
      <x:c r="AI1121" s="12" t="str">
        <x:f>IF(AC1121="PUBLIC_CANDIDATE","archive/public_candidates/"&amp;A1121,"private_quarantine/"&amp;A1121)</x:f>
        <x:v>archive/public_candidates/SWARM-08-H10-S04</x:v>
      </x:c>
      <x:c r="AJ1121" s="12" t="str">
        <x:f>IF(AC1121="PUBLIC_CANDIDATE","public by default; still not canon","private/hold; do not publish")</x:f>
        <x:v>public by default; still not canon</x:v>
      </x:c>
      <x:c r="AK1121" s="12" t="str">
        <x:f>IF(AE1121="prepare_public_github_candidate","add receipt/status then mirror","resolve blocker before any public GitHub action")</x:f>
        <x:v>add receipt/status then mirror</x:v>
      </x:c>
    </x:row>
    <x:row r="1122">
      <x:c r="A1122" s="15" t="str">
        <x:v>SWARM-08-H10-S05</x:v>
      </x:c>
      <x:c r="B1122" s="15" t="str">
        <x:v>GammaSprite</x:v>
      </x:c>
      <x:c r="C1122" s="15" t="str">
        <x:v>Deck surface mapper</x:v>
      </x:c>
      <x:c r="D1122" s="15" t="str">
        <x:v>GitHub Source Packets</x:v>
      </x:c>
      <x:c r="E1122" s="15" t="str">
        <x:v>Chat</x:v>
      </x:c>
      <x:c r="F1122" s="15" t="str">
        <x:v>Build source packet for Chat — GammaSprite</x:v>
      </x:c>
      <x:c r="G1122" s="15" t="str">
        <x:v>Gamma/deck extraction / slide lineage</x:v>
      </x:c>
      <x:c r="H1122" s="15" t="str">
        <x:v>source path + receipt + raw/export status + claim/edge/risk delta</x:v>
      </x:c>
      <x:c r="I1122" s="15" t="str">
        <x:v>packet/SWARM-08-H10-S05</x:v>
      </x:c>
      <x:c r="J1122" s="15" t="str">
        <x:v>TODO</x:v>
      </x:c>
      <x:c r="K1122" s="15" t="str">
        <x:v>P1</x:v>
      </x:c>
      <x:c r="L1122" s="15" t="str">
        <x:v>Done only when evidence is logged, contradiction search is noted, and boundary stamp remains non-canon unless ratified</x:v>
      </x:c>
      <x:c r="M1122" s="15" t="str">
        <x:v>candidate / staging-only / not canon / not deployed / authority none</x:v>
      </x:c>
      <x:c r="N1122" s="15" t="str">
        <x:v>Dispatch to GammaSprite: complete GitHub Source Packets x Chat; return deltas only, receipts required.</x:v>
      </x:c>
      <x:c r="O1122" s="15" t="str">
        <x:v>AF-KG-H10-S05</x:v>
      </x:c>
      <x:c r="P1122" s="15" t="str">
        <x:v>Unverified</x:v>
      </x:c>
      <x:c r="Q1122" s="15" t="str">
        <x:v>Not checked</x:v>
      </x:c>
      <x:c r="R1122" s="15" t="str"/>
      <x:c r="S1122" s="15" t="str"/>
      <x:c r="T1122" s="15" t="str">
        <x:v>Log first source path or blocker</x:v>
      </x:c>
      <x:c r="U1122" s="12" t="str">
        <x:f>IF(OR(P1122="Unverified",Q1122="Not checked"),"BLOCKED_PENDING_RECEIPT","READY_FOR_REVIEW")</x:f>
        <x:v>BLOCKED_PENDING_RECEIPT</x:v>
      </x:c>
      <x:c r="V1122" s="12" t="str">
        <x:f>IF(J1122="DONE","RETURNED",IF(U1122="BLOCKED_PENDING_RECEIPT","SOURCE_TOUCH_REQUIRED","IN_PROGRESS"))</x:f>
        <x:v>SOURCE_TOUCH_REQUIRED</x:v>
      </x:c>
      <x:c r="W1122" s="12" t="str">
        <x:f>IF(P1122="Unverified","missing_receipt","receipt_logged")</x:f>
        <x:v>missing_receipt</x:v>
      </x:c>
      <x:c r="X1122" s="12" t="str">
        <x:f>IF(Q1122="Not checked","raw_status_missing","raw_status_logged")</x:f>
        <x:v>raw_status_missing</x:v>
      </x:c>
      <x:c r="Y1122" s="12" t="str">
        <x:f>IF(U1122="BLOCKED_PENDING_RECEIPT","Log source path or blocker; do not promote","Route to review lane")</x:f>
        <x:v>Log source path or blocker; do not promote</x:v>
      </x:c>
      <x:c r="Z1122" s="12" t="str">
        <x:f>IF(K1122="P0","Primary seat + Hashlight/Lucerna","Seat lane")</x:f>
        <x:v>Seat lane</x:v>
      </x:c>
      <x:c r="AA1122" s="12" t="str">
        <x:f>IF(R1122="","no_claim_delta","claim_delta_present")</x:f>
        <x:v>no_claim_delta</x:v>
      </x:c>
      <x:c r="AB1122" s="12" t="str">
        <x:f>IF(S1122="","no_contradiction_delta","contradiction_delta_present")</x:f>
        <x:v>no_contradiction_delta</x:v>
      </x:c>
      <x:c r="AC1122" s="12" t="str">
        <x:f>IF(OR(ISNUMBER(SEARCH("hacker",LOWER(F1122&amp;" "&amp;H1122&amp;" "&amp;I1122&amp;" "&amp;M1122&amp;" "&amp;N1122&amp;" "&amp;T1122))),ISNUMBER(SEARCH("hacking",LOWER(F1122&amp;" "&amp;H1122&amp;" "&amp;I1122&amp;" "&amp;M1122&amp;" "&amp;N1122&amp;" "&amp;T1122))),ISNUMBER(SEARCH("bank",LOWER(F1122&amp;" "&amp;H1122&amp;" "&amp;I1122&amp;" "&amp;M1122&amp;" "&amp;N1122&amp;" "&amp;T1122))),ISNUMBER(SEARCH("banking",LOWER(F1122&amp;" "&amp;H1122&amp;" "&amp;I1122&amp;" "&amp;M1122&amp;" "&amp;N1122&amp;" "&amp;T1122)))),"PRIVATE_QUARANTINE",IF(OR(ISNUMBER(SEARCH("treasury",LOWER(F1122&amp;" "&amp;H1122&amp;" "&amp;I1122&amp;" "&amp;M1122&amp;" "&amp;N1122&amp;" "&amp;T1122))),ISNUMBER(SEARCH("debt",LOWER(F1122&amp;" "&amp;H1122&amp;" "&amp;I1122&amp;" "&amp;M1122&amp;" "&amp;N1122&amp;" "&amp;T1122))),ISNUMBER(SEARCH("bond",LOWER(F1122&amp;" "&amp;H1122&amp;" "&amp;I1122&amp;" "&amp;M1122&amp;" "&amp;N1122&amp;" "&amp;T1122))),ISNUMBER(SEARCH("transaction",LOWER(F1122&amp;" "&amp;H1122&amp;" "&amp;I1122&amp;" "&amp;M1122&amp;" "&amp;N1122&amp;" "&amp;T1122)))),"PRIVATE_REVIEW","PUBLIC_CANDIDATE"))</x:f>
        <x:v>PUBLIC_CANDIDATE</x:v>
      </x:c>
      <x:c r="AD1122" s="12" t="str">
        <x:f>IF(AC1122="PRIVATE_QUARANTINE","hacker_or_bank_trigger",IF(AC1122="PRIVATE_REVIEW","finance_risk_trigger","none"))</x:f>
        <x:v>none</x:v>
      </x:c>
      <x:c r="AE1122" s="12" t="str">
        <x:f>IF(AC1122="PUBLIC_CANDIDATE","prepare_public_github_candidate",IF(AC1122="PRIVATE_REVIEW","hold_for_private_review","quarantine_private_do_not_publish"))</x:f>
        <x:v>prepare_public_github_candidate</x:v>
      </x:c>
      <x:c r="AF1122" s="12" t="str">
        <x:f>IF(AC1122="PUBLIC_CANDIDATE","TIDELOCK + Lucerna",IF(AC1122="PRIVATE_REVIEW","AtlasBrain + Lucerna","TIDELOCK + Lucerna + Human-root"))</x:f>
        <x:v>TIDELOCK + Lucerna</x:v>
      </x:c>
      <x:c r="AG1122" s="12" t="str">
        <x:f>IF(AND(AC1122="PUBLIC_CANDIDATE",U1122&lt;&gt;"BLOCKED_PENDING_RECEIPT"),"READY_AFTER_RECEIPT","NOT_READY")</x:f>
        <x:v>NOT_READY</x:v>
      </x:c>
      <x:c r="AH1122" s="12" t="str">
        <x:f>IF(AC1122="PUBLIC_CANDIDATE","none",AD1122)</x:f>
        <x:v>none</x:v>
      </x:c>
      <x:c r="AI1122" s="12" t="str">
        <x:f>IF(AC1122="PUBLIC_CANDIDATE","archive/public_candidates/"&amp;A1122,"private_quarantine/"&amp;A1122)</x:f>
        <x:v>archive/public_candidates/SWARM-08-H10-S05</x:v>
      </x:c>
      <x:c r="AJ1122" s="12" t="str">
        <x:f>IF(AC1122="PUBLIC_CANDIDATE","public by default; still not canon","private/hold; do not publish")</x:f>
        <x:v>public by default; still not canon</x:v>
      </x:c>
      <x:c r="AK1122" s="12" t="str">
        <x:f>IF(AE1122="prepare_public_github_candidate","add receipt/status then mirror","resolve blocker before any public GitHub action")</x:f>
        <x:v>add receipt/status then mirror</x:v>
      </x:c>
    </x:row>
    <x:row r="1123">
      <x:c r="A1123" s="15" t="str">
        <x:v>SWARM-08-H10-S06</x:v>
      </x:c>
      <x:c r="B1123" s="15" t="str">
        <x:v>GammaSprite</x:v>
      </x:c>
      <x:c r="C1123" s="15" t="str">
        <x:v>Deck surface mapper</x:v>
      </x:c>
      <x:c r="D1123" s="15" t="str">
        <x:v>GitHub Source Packets</x:v>
      </x:c>
      <x:c r="E1123" s="15" t="str">
        <x:v>External Web</x:v>
      </x:c>
      <x:c r="F1123" s="15" t="str">
        <x:v>Build source packet for External Web — GammaSprite</x:v>
      </x:c>
      <x:c r="G1123" s="15" t="str">
        <x:v>Gamma/deck extraction / slide lineage</x:v>
      </x:c>
      <x:c r="H1123" s="15" t="str">
        <x:v>source path + receipt + raw/export status + claim/edge/risk delta</x:v>
      </x:c>
      <x:c r="I1123" s="15" t="str">
        <x:v>packet/SWARM-08-H10-S06</x:v>
      </x:c>
      <x:c r="J1123" s="15" t="str">
        <x:v>TODO</x:v>
      </x:c>
      <x:c r="K1123" s="15" t="str">
        <x:v>P1</x:v>
      </x:c>
      <x:c r="L1123" s="15" t="str">
        <x:v>Done only when evidence is logged, contradiction search is noted, and boundary stamp remains non-canon unless ratified</x:v>
      </x:c>
      <x:c r="M1123" s="15" t="str">
        <x:v>candidate / staging-only / not canon / not deployed / authority none</x:v>
      </x:c>
      <x:c r="N1123" s="15" t="str">
        <x:v>Dispatch to GammaSprite: complete GitHub Source Packets x External Web; return deltas only, receipts required.</x:v>
      </x:c>
      <x:c r="O1123" s="15" t="str">
        <x:v>AF-KG-H10-S06</x:v>
      </x:c>
      <x:c r="P1123" s="15" t="str">
        <x:v>Unverified</x:v>
      </x:c>
      <x:c r="Q1123" s="15" t="str">
        <x:v>Not checked</x:v>
      </x:c>
      <x:c r="R1123" s="15" t="str"/>
      <x:c r="S1123" s="15" t="str"/>
      <x:c r="T1123" s="15" t="str">
        <x:v>Log first source path or blocker</x:v>
      </x:c>
      <x:c r="U1123" s="12" t="str">
        <x:f>IF(OR(P1123="Unverified",Q1123="Not checked"),"BLOCKED_PENDING_RECEIPT","READY_FOR_REVIEW")</x:f>
        <x:v>BLOCKED_PENDING_RECEIPT</x:v>
      </x:c>
      <x:c r="V1123" s="12" t="str">
        <x:f>IF(J1123="DONE","RETURNED",IF(U1123="BLOCKED_PENDING_RECEIPT","SOURCE_TOUCH_REQUIRED","IN_PROGRESS"))</x:f>
        <x:v>SOURCE_TOUCH_REQUIRED</x:v>
      </x:c>
      <x:c r="W1123" s="12" t="str">
        <x:f>IF(P1123="Unverified","missing_receipt","receipt_logged")</x:f>
        <x:v>missing_receipt</x:v>
      </x:c>
      <x:c r="X1123" s="12" t="str">
        <x:f>IF(Q1123="Not checked","raw_status_missing","raw_status_logged")</x:f>
        <x:v>raw_status_missing</x:v>
      </x:c>
      <x:c r="Y1123" s="12" t="str">
        <x:f>IF(U1123="BLOCKED_PENDING_RECEIPT","Log source path or blocker; do not promote","Route to review lane")</x:f>
        <x:v>Log source path or blocker; do not promote</x:v>
      </x:c>
      <x:c r="Z1123" s="12" t="str">
        <x:f>IF(K1123="P0","Primary seat + Hashlight/Lucerna","Seat lane")</x:f>
        <x:v>Seat lane</x:v>
      </x:c>
      <x:c r="AA1123" s="12" t="str">
        <x:f>IF(R1123="","no_claim_delta","claim_delta_present")</x:f>
        <x:v>no_claim_delta</x:v>
      </x:c>
      <x:c r="AB1123" s="12" t="str">
        <x:f>IF(S1123="","no_contradiction_delta","contradiction_delta_present")</x:f>
        <x:v>no_contradiction_delta</x:v>
      </x:c>
      <x:c r="AC1123" s="12" t="str">
        <x:f>IF(OR(ISNUMBER(SEARCH("hacker",LOWER(F1123&amp;" "&amp;H1123&amp;" "&amp;I1123&amp;" "&amp;M1123&amp;" "&amp;N1123&amp;" "&amp;T1123))),ISNUMBER(SEARCH("hacking",LOWER(F1123&amp;" "&amp;H1123&amp;" "&amp;I1123&amp;" "&amp;M1123&amp;" "&amp;N1123&amp;" "&amp;T1123))),ISNUMBER(SEARCH("bank",LOWER(F1123&amp;" "&amp;H1123&amp;" "&amp;I1123&amp;" "&amp;M1123&amp;" "&amp;N1123&amp;" "&amp;T1123))),ISNUMBER(SEARCH("banking",LOWER(F1123&amp;" "&amp;H1123&amp;" "&amp;I1123&amp;" "&amp;M1123&amp;" "&amp;N1123&amp;" "&amp;T1123)))),"PRIVATE_QUARANTINE",IF(OR(ISNUMBER(SEARCH("treasury",LOWER(F1123&amp;" "&amp;H1123&amp;" "&amp;I1123&amp;" "&amp;M1123&amp;" "&amp;N1123&amp;" "&amp;T1123))),ISNUMBER(SEARCH("debt",LOWER(F1123&amp;" "&amp;H1123&amp;" "&amp;I1123&amp;" "&amp;M1123&amp;" "&amp;N1123&amp;" "&amp;T1123))),ISNUMBER(SEARCH("bond",LOWER(F1123&amp;" "&amp;H1123&amp;" "&amp;I1123&amp;" "&amp;M1123&amp;" "&amp;N1123&amp;" "&amp;T1123))),ISNUMBER(SEARCH("transaction",LOWER(F1123&amp;" "&amp;H1123&amp;" "&amp;I1123&amp;" "&amp;M1123&amp;" "&amp;N1123&amp;" "&amp;T1123)))),"PRIVATE_REVIEW","PUBLIC_CANDIDATE"))</x:f>
        <x:v>PUBLIC_CANDIDATE</x:v>
      </x:c>
      <x:c r="AD1123" s="12" t="str">
        <x:f>IF(AC1123="PRIVATE_QUARANTINE","hacker_or_bank_trigger",IF(AC1123="PRIVATE_REVIEW","finance_risk_trigger","none"))</x:f>
        <x:v>none</x:v>
      </x:c>
      <x:c r="AE1123" s="12" t="str">
        <x:f>IF(AC1123="PUBLIC_CANDIDATE","prepare_public_github_candidate",IF(AC1123="PRIVATE_REVIEW","hold_for_private_review","quarantine_private_do_not_publish"))</x:f>
        <x:v>prepare_public_github_candidate</x:v>
      </x:c>
      <x:c r="AF1123" s="12" t="str">
        <x:f>IF(AC1123="PUBLIC_CANDIDATE","TIDELOCK + Lucerna",IF(AC1123="PRIVATE_REVIEW","AtlasBrain + Lucerna","TIDELOCK + Lucerna + Human-root"))</x:f>
        <x:v>TIDELOCK + Lucerna</x:v>
      </x:c>
      <x:c r="AG1123" s="12" t="str">
        <x:f>IF(AND(AC1123="PUBLIC_CANDIDATE",U1123&lt;&gt;"BLOCKED_PENDING_RECEIPT"),"READY_AFTER_RECEIPT","NOT_READY")</x:f>
        <x:v>NOT_READY</x:v>
      </x:c>
      <x:c r="AH1123" s="12" t="str">
        <x:f>IF(AC1123="PUBLIC_CANDIDATE","none",AD1123)</x:f>
        <x:v>none</x:v>
      </x:c>
      <x:c r="AI1123" s="12" t="str">
        <x:f>IF(AC1123="PUBLIC_CANDIDATE","archive/public_candidates/"&amp;A1123,"private_quarantine/"&amp;A1123)</x:f>
        <x:v>archive/public_candidates/SWARM-08-H10-S06</x:v>
      </x:c>
      <x:c r="AJ1123" s="12" t="str">
        <x:f>IF(AC1123="PUBLIC_CANDIDATE","public by default; still not canon","private/hold; do not publish")</x:f>
        <x:v>public by default; still not canon</x:v>
      </x:c>
      <x:c r="AK1123" s="12" t="str">
        <x:f>IF(AE1123="prepare_public_github_candidate","add receipt/status then mirror","resolve blocker before any public GitHub action")</x:f>
        <x:v>add receipt/status then mirror</x:v>
      </x:c>
    </x:row>
    <x:row r="1124">
      <x:c r="A1124" s="15" t="str">
        <x:v>SWARM-08-H10-S07</x:v>
      </x:c>
      <x:c r="B1124" s="15" t="str">
        <x:v>GammaSprite</x:v>
      </x:c>
      <x:c r="C1124" s="15" t="str">
        <x:v>Deck surface mapper</x:v>
      </x:c>
      <x:c r="D1124" s="15" t="str">
        <x:v>GitHub Source Packets</x:v>
      </x:c>
      <x:c r="E1124" s="15" t="str">
        <x:v>Planetarium</x:v>
      </x:c>
      <x:c r="F1124" s="15" t="str">
        <x:v>Build source packet for Planetarium — GammaSprite</x:v>
      </x:c>
      <x:c r="G1124" s="15" t="str">
        <x:v>Gamma/deck extraction / slide lineage</x:v>
      </x:c>
      <x:c r="H1124" s="15" t="str">
        <x:v>source path + receipt + raw/export status + claim/edge/risk delta</x:v>
      </x:c>
      <x:c r="I1124" s="15" t="str">
        <x:v>packet/SWARM-08-H10-S07</x:v>
      </x:c>
      <x:c r="J1124" s="15" t="str">
        <x:v>TODO</x:v>
      </x:c>
      <x:c r="K1124" s="15" t="str">
        <x:v>P1</x:v>
      </x:c>
      <x:c r="L1124" s="15" t="str">
        <x:v>Done only when evidence is logged, contradiction search is noted, and boundary stamp remains non-canon unless ratified</x:v>
      </x:c>
      <x:c r="M1124" s="15" t="str">
        <x:v>candidate / staging-only / not canon / not deployed / authority none</x:v>
      </x:c>
      <x:c r="N1124" s="15" t="str">
        <x:v>Dispatch to GammaSprite: complete GitHub Source Packets x Planetarium; return deltas only, receipts required.</x:v>
      </x:c>
      <x:c r="O1124" s="15" t="str">
        <x:v>AF-KG-H10-S07</x:v>
      </x:c>
      <x:c r="P1124" s="15" t="str">
        <x:v>Unverified</x:v>
      </x:c>
      <x:c r="Q1124" s="15" t="str">
        <x:v>Not checked</x:v>
      </x:c>
      <x:c r="R1124" s="15" t="str"/>
      <x:c r="S1124" s="15" t="str"/>
      <x:c r="T1124" s="15" t="str">
        <x:v>Log first source path or blocker</x:v>
      </x:c>
      <x:c r="U1124" s="12" t="str">
        <x:f>IF(OR(P1124="Unverified",Q1124="Not checked"),"BLOCKED_PENDING_RECEIPT","READY_FOR_REVIEW")</x:f>
        <x:v>BLOCKED_PENDING_RECEIPT</x:v>
      </x:c>
      <x:c r="V1124" s="12" t="str">
        <x:f>IF(J1124="DONE","RETURNED",IF(U1124="BLOCKED_PENDING_RECEIPT","SOURCE_TOUCH_REQUIRED","IN_PROGRESS"))</x:f>
        <x:v>SOURCE_TOUCH_REQUIRED</x:v>
      </x:c>
      <x:c r="W1124" s="12" t="str">
        <x:f>IF(P1124="Unverified","missing_receipt","receipt_logged")</x:f>
        <x:v>missing_receipt</x:v>
      </x:c>
      <x:c r="X1124" s="12" t="str">
        <x:f>IF(Q1124="Not checked","raw_status_missing","raw_status_logged")</x:f>
        <x:v>raw_status_missing</x:v>
      </x:c>
      <x:c r="Y1124" s="12" t="str">
        <x:f>IF(U1124="BLOCKED_PENDING_RECEIPT","Log source path or blocker; do not promote","Route to review lane")</x:f>
        <x:v>Log source path or blocker; do not promote</x:v>
      </x:c>
      <x:c r="Z1124" s="12" t="str">
        <x:f>IF(K1124="P0","Primary seat + Hashlight/Lucerna","Seat lane")</x:f>
        <x:v>Seat lane</x:v>
      </x:c>
      <x:c r="AA1124" s="12" t="str">
        <x:f>IF(R1124="","no_claim_delta","claim_delta_present")</x:f>
        <x:v>no_claim_delta</x:v>
      </x:c>
      <x:c r="AB1124" s="12" t="str">
        <x:f>IF(S1124="","no_contradiction_delta","contradiction_delta_present")</x:f>
        <x:v>no_contradiction_delta</x:v>
      </x:c>
      <x:c r="AC1124" s="12" t="str">
        <x:f>IF(OR(ISNUMBER(SEARCH("hacker",LOWER(F1124&amp;" "&amp;H1124&amp;" "&amp;I1124&amp;" "&amp;M1124&amp;" "&amp;N1124&amp;" "&amp;T1124))),ISNUMBER(SEARCH("hacking",LOWER(F1124&amp;" "&amp;H1124&amp;" "&amp;I1124&amp;" "&amp;M1124&amp;" "&amp;N1124&amp;" "&amp;T1124))),ISNUMBER(SEARCH("bank",LOWER(F1124&amp;" "&amp;H1124&amp;" "&amp;I1124&amp;" "&amp;M1124&amp;" "&amp;N1124&amp;" "&amp;T1124))),ISNUMBER(SEARCH("banking",LOWER(F1124&amp;" "&amp;H1124&amp;" "&amp;I1124&amp;" "&amp;M1124&amp;" "&amp;N1124&amp;" "&amp;T1124)))),"PRIVATE_QUARANTINE",IF(OR(ISNUMBER(SEARCH("treasury",LOWER(F1124&amp;" "&amp;H1124&amp;" "&amp;I1124&amp;" "&amp;M1124&amp;" "&amp;N1124&amp;" "&amp;T1124))),ISNUMBER(SEARCH("debt",LOWER(F1124&amp;" "&amp;H1124&amp;" "&amp;I1124&amp;" "&amp;M1124&amp;" "&amp;N1124&amp;" "&amp;T1124))),ISNUMBER(SEARCH("bond",LOWER(F1124&amp;" "&amp;H1124&amp;" "&amp;I1124&amp;" "&amp;M1124&amp;" "&amp;N1124&amp;" "&amp;T1124))),ISNUMBER(SEARCH("transaction",LOWER(F1124&amp;" "&amp;H1124&amp;" "&amp;I1124&amp;" "&amp;M1124&amp;" "&amp;N1124&amp;" "&amp;T1124)))),"PRIVATE_REVIEW","PUBLIC_CANDIDATE"))</x:f>
        <x:v>PUBLIC_CANDIDATE</x:v>
      </x:c>
      <x:c r="AD1124" s="12" t="str">
        <x:f>IF(AC1124="PRIVATE_QUARANTINE","hacker_or_bank_trigger",IF(AC1124="PRIVATE_REVIEW","finance_risk_trigger","none"))</x:f>
        <x:v>none</x:v>
      </x:c>
      <x:c r="AE1124" s="12" t="str">
        <x:f>IF(AC1124="PUBLIC_CANDIDATE","prepare_public_github_candidate",IF(AC1124="PRIVATE_REVIEW","hold_for_private_review","quarantine_private_do_not_publish"))</x:f>
        <x:v>prepare_public_github_candidate</x:v>
      </x:c>
      <x:c r="AF1124" s="12" t="str">
        <x:f>IF(AC1124="PUBLIC_CANDIDATE","TIDELOCK + Lucerna",IF(AC1124="PRIVATE_REVIEW","AtlasBrain + Lucerna","TIDELOCK + Lucerna + Human-root"))</x:f>
        <x:v>TIDELOCK + Lucerna</x:v>
      </x:c>
      <x:c r="AG1124" s="12" t="str">
        <x:f>IF(AND(AC1124="PUBLIC_CANDIDATE",U1124&lt;&gt;"BLOCKED_PENDING_RECEIPT"),"READY_AFTER_RECEIPT","NOT_READY")</x:f>
        <x:v>NOT_READY</x:v>
      </x:c>
      <x:c r="AH1124" s="12" t="str">
        <x:f>IF(AC1124="PUBLIC_CANDIDATE","none",AD1124)</x:f>
        <x:v>none</x:v>
      </x:c>
      <x:c r="AI1124" s="12" t="str">
        <x:f>IF(AC1124="PUBLIC_CANDIDATE","archive/public_candidates/"&amp;A1124,"private_quarantine/"&amp;A1124)</x:f>
        <x:v>archive/public_candidates/SWARM-08-H10-S07</x:v>
      </x:c>
      <x:c r="AJ1124" s="12" t="str">
        <x:f>IF(AC1124="PUBLIC_CANDIDATE","public by default; still not canon","private/hold; do not publish")</x:f>
        <x:v>public by default; still not canon</x:v>
      </x:c>
      <x:c r="AK1124" s="12" t="str">
        <x:f>IF(AE1124="prepare_public_github_candidate","add receipt/status then mirror","resolve blocker before any public GitHub action")</x:f>
        <x:v>add receipt/status then mirror</x:v>
      </x:c>
    </x:row>
    <x:row r="1125">
      <x:c r="A1125" s="15" t="str">
        <x:v>SWARM-08-H10-S08</x:v>
      </x:c>
      <x:c r="B1125" s="15" t="str">
        <x:v>GammaSprite</x:v>
      </x:c>
      <x:c r="C1125" s="15" t="str">
        <x:v>Deck surface mapper</x:v>
      </x:c>
      <x:c r="D1125" s="15" t="str">
        <x:v>GitHub Source Packets</x:v>
      </x:c>
      <x:c r="E1125" s="15" t="str">
        <x:v>Sheldonbrain</x:v>
      </x:c>
      <x:c r="F1125" s="15" t="str">
        <x:v>Build source packet for Sheldonbrain — GammaSprite</x:v>
      </x:c>
      <x:c r="G1125" s="15" t="str">
        <x:v>Gamma/deck extraction / slide lineage</x:v>
      </x:c>
      <x:c r="H1125" s="15" t="str">
        <x:v>source path + receipt + raw/export status + claim/edge/risk delta</x:v>
      </x:c>
      <x:c r="I1125" s="15" t="str">
        <x:v>packet/SWARM-08-H10-S08</x:v>
      </x:c>
      <x:c r="J1125" s="15" t="str">
        <x:v>TODO</x:v>
      </x:c>
      <x:c r="K1125" s="15" t="str">
        <x:v>P1</x:v>
      </x:c>
      <x:c r="L1125" s="15" t="str">
        <x:v>Done only when evidence is logged, contradiction search is noted, and boundary stamp remains non-canon unless ratified</x:v>
      </x:c>
      <x:c r="M1125" s="15" t="str">
        <x:v>candidate / staging-only / not canon / not deployed / authority none</x:v>
      </x:c>
      <x:c r="N1125" s="15" t="str">
        <x:v>Dispatch to GammaSprite: complete GitHub Source Packets x Sheldonbrain; return deltas only, receipts required.</x:v>
      </x:c>
      <x:c r="O1125" s="15" t="str">
        <x:v>AF-KG-H10-S08</x:v>
      </x:c>
      <x:c r="P1125" s="15" t="str">
        <x:v>Unverified</x:v>
      </x:c>
      <x:c r="Q1125" s="15" t="str">
        <x:v>Not checked</x:v>
      </x:c>
      <x:c r="R1125" s="15" t="str"/>
      <x:c r="S1125" s="15" t="str"/>
      <x:c r="T1125" s="15" t="str">
        <x:v>Log first source path or blocker</x:v>
      </x:c>
      <x:c r="U1125" s="12" t="str">
        <x:f>IF(OR(P1125="Unverified",Q1125="Not checked"),"BLOCKED_PENDING_RECEIPT","READY_FOR_REVIEW")</x:f>
        <x:v>BLOCKED_PENDING_RECEIPT</x:v>
      </x:c>
      <x:c r="V1125" s="12" t="str">
        <x:f>IF(J1125="DONE","RETURNED",IF(U1125="BLOCKED_PENDING_RECEIPT","SOURCE_TOUCH_REQUIRED","IN_PROGRESS"))</x:f>
        <x:v>SOURCE_TOUCH_REQUIRED</x:v>
      </x:c>
      <x:c r="W1125" s="12" t="str">
        <x:f>IF(P1125="Unverified","missing_receipt","receipt_logged")</x:f>
        <x:v>missing_receipt</x:v>
      </x:c>
      <x:c r="X1125" s="12" t="str">
        <x:f>IF(Q1125="Not checked","raw_status_missing","raw_status_logged")</x:f>
        <x:v>raw_status_missing</x:v>
      </x:c>
      <x:c r="Y1125" s="12" t="str">
        <x:f>IF(U1125="BLOCKED_PENDING_RECEIPT","Log source path or blocker; do not promote","Route to review lane")</x:f>
        <x:v>Log source path or blocker; do not promote</x:v>
      </x:c>
      <x:c r="Z1125" s="12" t="str">
        <x:f>IF(K1125="P0","Primary seat + Hashlight/Lucerna","Seat lane")</x:f>
        <x:v>Seat lane</x:v>
      </x:c>
      <x:c r="AA1125" s="12" t="str">
        <x:f>IF(R1125="","no_claim_delta","claim_delta_present")</x:f>
        <x:v>no_claim_delta</x:v>
      </x:c>
      <x:c r="AB1125" s="12" t="str">
        <x:f>IF(S1125="","no_contradiction_delta","contradiction_delta_present")</x:f>
        <x:v>no_contradiction_delta</x:v>
      </x:c>
      <x:c r="AC1125" s="12" t="str">
        <x:f>IF(OR(ISNUMBER(SEARCH("hacker",LOWER(F1125&amp;" "&amp;H1125&amp;" "&amp;I1125&amp;" "&amp;M1125&amp;" "&amp;N1125&amp;" "&amp;T1125))),ISNUMBER(SEARCH("hacking",LOWER(F1125&amp;" "&amp;H1125&amp;" "&amp;I1125&amp;" "&amp;M1125&amp;" "&amp;N1125&amp;" "&amp;T1125))),ISNUMBER(SEARCH("bank",LOWER(F1125&amp;" "&amp;H1125&amp;" "&amp;I1125&amp;" "&amp;M1125&amp;" "&amp;N1125&amp;" "&amp;T1125))),ISNUMBER(SEARCH("banking",LOWER(F1125&amp;" "&amp;H1125&amp;" "&amp;I1125&amp;" "&amp;M1125&amp;" "&amp;N1125&amp;" "&amp;T1125)))),"PRIVATE_QUARANTINE",IF(OR(ISNUMBER(SEARCH("treasury",LOWER(F1125&amp;" "&amp;H1125&amp;" "&amp;I1125&amp;" "&amp;M1125&amp;" "&amp;N1125&amp;" "&amp;T1125))),ISNUMBER(SEARCH("debt",LOWER(F1125&amp;" "&amp;H1125&amp;" "&amp;I1125&amp;" "&amp;M1125&amp;" "&amp;N1125&amp;" "&amp;T1125))),ISNUMBER(SEARCH("bond",LOWER(F1125&amp;" "&amp;H1125&amp;" "&amp;I1125&amp;" "&amp;M1125&amp;" "&amp;N1125&amp;" "&amp;T1125))),ISNUMBER(SEARCH("transaction",LOWER(F1125&amp;" "&amp;H1125&amp;" "&amp;I1125&amp;" "&amp;M1125&amp;" "&amp;N1125&amp;" "&amp;T1125)))),"PRIVATE_REVIEW","PUBLIC_CANDIDATE"))</x:f>
        <x:v>PUBLIC_CANDIDATE</x:v>
      </x:c>
      <x:c r="AD1125" s="12" t="str">
        <x:f>IF(AC1125="PRIVATE_QUARANTINE","hacker_or_bank_trigger",IF(AC1125="PRIVATE_REVIEW","finance_risk_trigger","none"))</x:f>
        <x:v>none</x:v>
      </x:c>
      <x:c r="AE1125" s="12" t="str">
        <x:f>IF(AC1125="PUBLIC_CANDIDATE","prepare_public_github_candidate",IF(AC1125="PRIVATE_REVIEW","hold_for_private_review","quarantine_private_do_not_publish"))</x:f>
        <x:v>prepare_public_github_candidate</x:v>
      </x:c>
      <x:c r="AF1125" s="12" t="str">
        <x:f>IF(AC1125="PUBLIC_CANDIDATE","TIDELOCK + Lucerna",IF(AC1125="PRIVATE_REVIEW","AtlasBrain + Lucerna","TIDELOCK + Lucerna + Human-root"))</x:f>
        <x:v>TIDELOCK + Lucerna</x:v>
      </x:c>
      <x:c r="AG1125" s="12" t="str">
        <x:f>IF(AND(AC1125="PUBLIC_CANDIDATE",U1125&lt;&gt;"BLOCKED_PENDING_RECEIPT"),"READY_AFTER_RECEIPT","NOT_READY")</x:f>
        <x:v>NOT_READY</x:v>
      </x:c>
      <x:c r="AH1125" s="12" t="str">
        <x:f>IF(AC1125="PUBLIC_CANDIDATE","none",AD1125)</x:f>
        <x:v>none</x:v>
      </x:c>
      <x:c r="AI1125" s="12" t="str">
        <x:f>IF(AC1125="PUBLIC_CANDIDATE","archive/public_candidates/"&amp;A1125,"private_quarantine/"&amp;A1125)</x:f>
        <x:v>archive/public_candidates/SWARM-08-H10-S08</x:v>
      </x:c>
      <x:c r="AJ1125" s="12" t="str">
        <x:f>IF(AC1125="PUBLIC_CANDIDATE","public by default; still not canon","private/hold; do not publish")</x:f>
        <x:v>public by default; still not canon</x:v>
      </x:c>
      <x:c r="AK1125" s="12" t="str">
        <x:f>IF(AE1125="prepare_public_github_candidate","add receipt/status then mirror","resolve blocker before any public GitHub action")</x:f>
        <x:v>add receipt/status then mirror</x:v>
      </x:c>
    </x:row>
    <x:row r="1126">
      <x:c r="A1126" s="15" t="str">
        <x:v>SWARM-08-H10-S09</x:v>
      </x:c>
      <x:c r="B1126" s="15" t="str">
        <x:v>GammaSprite</x:v>
      </x:c>
      <x:c r="C1126" s="15" t="str">
        <x:v>Deck surface mapper</x:v>
      </x:c>
      <x:c r="D1126" s="15" t="str">
        <x:v>GitHub Source Packets</x:v>
      </x:c>
      <x:c r="E1126" s="15" t="str">
        <x:v>Aetherforge</x:v>
      </x:c>
      <x:c r="F1126" s="15" t="str">
        <x:v>Build source packet for Aetherforge — GammaSprite</x:v>
      </x:c>
      <x:c r="G1126" s="15" t="str">
        <x:v>Gamma/deck extraction / slide lineage</x:v>
      </x:c>
      <x:c r="H1126" s="15" t="str">
        <x:v>source path + receipt + raw/export status + claim/edge/risk delta</x:v>
      </x:c>
      <x:c r="I1126" s="15" t="str">
        <x:v>packet/SWARM-08-H10-S09</x:v>
      </x:c>
      <x:c r="J1126" s="15" t="str">
        <x:v>TODO</x:v>
      </x:c>
      <x:c r="K1126" s="15" t="str">
        <x:v>P2</x:v>
      </x:c>
      <x:c r="L1126" s="15" t="str">
        <x:v>Done only when evidence is logged, contradiction search is noted, and boundary stamp remains non-canon unless ratified</x:v>
      </x:c>
      <x:c r="M1126" s="15" t="str">
        <x:v>candidate / staging-only / not canon / not deployed / authority none</x:v>
      </x:c>
      <x:c r="N1126" s="15" t="str">
        <x:v>Dispatch to GammaSprite: complete GitHub Source Packets x Aetherforge; return deltas only, receipts required.</x:v>
      </x:c>
      <x:c r="O1126" s="15" t="str">
        <x:v>AF-KG-H10-S09</x:v>
      </x:c>
      <x:c r="P1126" s="15" t="str">
        <x:v>Unverified</x:v>
      </x:c>
      <x:c r="Q1126" s="15" t="str">
        <x:v>Not checked</x:v>
      </x:c>
      <x:c r="R1126" s="15" t="str"/>
      <x:c r="S1126" s="15" t="str"/>
      <x:c r="T1126" s="15" t="str">
        <x:v>Log first source path or blocker</x:v>
      </x:c>
      <x:c r="U1126" s="12" t="str">
        <x:f>IF(OR(P1126="Unverified",Q1126="Not checked"),"BLOCKED_PENDING_RECEIPT","READY_FOR_REVIEW")</x:f>
        <x:v>BLOCKED_PENDING_RECEIPT</x:v>
      </x:c>
      <x:c r="V1126" s="12" t="str">
        <x:f>IF(J1126="DONE","RETURNED",IF(U1126="BLOCKED_PENDING_RECEIPT","SOURCE_TOUCH_REQUIRED","IN_PROGRESS"))</x:f>
        <x:v>SOURCE_TOUCH_REQUIRED</x:v>
      </x:c>
      <x:c r="W1126" s="12" t="str">
        <x:f>IF(P1126="Unverified","missing_receipt","receipt_logged")</x:f>
        <x:v>missing_receipt</x:v>
      </x:c>
      <x:c r="X1126" s="12" t="str">
        <x:f>IF(Q1126="Not checked","raw_status_missing","raw_status_logged")</x:f>
        <x:v>raw_status_missing</x:v>
      </x:c>
      <x:c r="Y1126" s="12" t="str">
        <x:f>IF(U1126="BLOCKED_PENDING_RECEIPT","Log source path or blocker; do not promote","Route to review lane")</x:f>
        <x:v>Log source path or blocker; do not promote</x:v>
      </x:c>
      <x:c r="Z1126" s="12" t="str">
        <x:f>IF(K1126="P0","Primary seat + Hashlight/Lucerna","Seat lane")</x:f>
        <x:v>Seat lane</x:v>
      </x:c>
      <x:c r="AA1126" s="12" t="str">
        <x:f>IF(R1126="","no_claim_delta","claim_delta_present")</x:f>
        <x:v>no_claim_delta</x:v>
      </x:c>
      <x:c r="AB1126" s="12" t="str">
        <x:f>IF(S1126="","no_contradiction_delta","contradiction_delta_present")</x:f>
        <x:v>no_contradiction_delta</x:v>
      </x:c>
      <x:c r="AC1126" s="12" t="str">
        <x:f>IF(OR(ISNUMBER(SEARCH("hacker",LOWER(F1126&amp;" "&amp;H1126&amp;" "&amp;I1126&amp;" "&amp;M1126&amp;" "&amp;N1126&amp;" "&amp;T1126))),ISNUMBER(SEARCH("hacking",LOWER(F1126&amp;" "&amp;H1126&amp;" "&amp;I1126&amp;" "&amp;M1126&amp;" "&amp;N1126&amp;" "&amp;T1126))),ISNUMBER(SEARCH("bank",LOWER(F1126&amp;" "&amp;H1126&amp;" "&amp;I1126&amp;" "&amp;M1126&amp;" "&amp;N1126&amp;" "&amp;T1126))),ISNUMBER(SEARCH("banking",LOWER(F1126&amp;" "&amp;H1126&amp;" "&amp;I1126&amp;" "&amp;M1126&amp;" "&amp;N1126&amp;" "&amp;T1126)))),"PRIVATE_QUARANTINE",IF(OR(ISNUMBER(SEARCH("treasury",LOWER(F1126&amp;" "&amp;H1126&amp;" "&amp;I1126&amp;" "&amp;M1126&amp;" "&amp;N1126&amp;" "&amp;T1126))),ISNUMBER(SEARCH("debt",LOWER(F1126&amp;" "&amp;H1126&amp;" "&amp;I1126&amp;" "&amp;M1126&amp;" "&amp;N1126&amp;" "&amp;T1126))),ISNUMBER(SEARCH("bond",LOWER(F1126&amp;" "&amp;H1126&amp;" "&amp;I1126&amp;" "&amp;M1126&amp;" "&amp;N1126&amp;" "&amp;T1126))),ISNUMBER(SEARCH("transaction",LOWER(F1126&amp;" "&amp;H1126&amp;" "&amp;I1126&amp;" "&amp;M1126&amp;" "&amp;N1126&amp;" "&amp;T1126)))),"PRIVATE_REVIEW","PUBLIC_CANDIDATE"))</x:f>
        <x:v>PUBLIC_CANDIDATE</x:v>
      </x:c>
      <x:c r="AD1126" s="12" t="str">
        <x:f>IF(AC1126="PRIVATE_QUARANTINE","hacker_or_bank_trigger",IF(AC1126="PRIVATE_REVIEW","finance_risk_trigger","none"))</x:f>
        <x:v>none</x:v>
      </x:c>
      <x:c r="AE1126" s="12" t="str">
        <x:f>IF(AC1126="PUBLIC_CANDIDATE","prepare_public_github_candidate",IF(AC1126="PRIVATE_REVIEW","hold_for_private_review","quarantine_private_do_not_publish"))</x:f>
        <x:v>prepare_public_github_candidate</x:v>
      </x:c>
      <x:c r="AF1126" s="12" t="str">
        <x:f>IF(AC1126="PUBLIC_CANDIDATE","TIDELOCK + Lucerna",IF(AC1126="PRIVATE_REVIEW","AtlasBrain + Lucerna","TIDELOCK + Lucerna + Human-root"))</x:f>
        <x:v>TIDELOCK + Lucerna</x:v>
      </x:c>
      <x:c r="AG1126" s="12" t="str">
        <x:f>IF(AND(AC1126="PUBLIC_CANDIDATE",U1126&lt;&gt;"BLOCKED_PENDING_RECEIPT"),"READY_AFTER_RECEIPT","NOT_READY")</x:f>
        <x:v>NOT_READY</x:v>
      </x:c>
      <x:c r="AH1126" s="12" t="str">
        <x:f>IF(AC1126="PUBLIC_CANDIDATE","none",AD1126)</x:f>
        <x:v>none</x:v>
      </x:c>
      <x:c r="AI1126" s="12" t="str">
        <x:f>IF(AC1126="PUBLIC_CANDIDATE","archive/public_candidates/"&amp;A1126,"private_quarantine/"&amp;A1126)</x:f>
        <x:v>archive/public_candidates/SWARM-08-H10-S09</x:v>
      </x:c>
      <x:c r="AJ1126" s="12" t="str">
        <x:f>IF(AC1126="PUBLIC_CANDIDATE","public by default; still not canon","private/hold; do not publish")</x:f>
        <x:v>public by default; still not canon</x:v>
      </x:c>
      <x:c r="AK1126" s="12" t="str">
        <x:f>IF(AE1126="prepare_public_github_candidate","add receipt/status then mirror","resolve blocker before any public GitHub action")</x:f>
        <x:v>add receipt/status then mirror</x:v>
      </x:c>
    </x:row>
    <x:row r="1127">
      <x:c r="A1127" s="15" t="str">
        <x:v>SWARM-08-H10-S10</x:v>
      </x:c>
      <x:c r="B1127" s="15" t="str">
        <x:v>GammaSprite</x:v>
      </x:c>
      <x:c r="C1127" s="15" t="str">
        <x:v>Deck surface mapper</x:v>
      </x:c>
      <x:c r="D1127" s="15" t="str">
        <x:v>GitHub Source Packets</x:v>
      </x:c>
      <x:c r="E1127" s="15" t="str">
        <x:v>Human-Root</x:v>
      </x:c>
      <x:c r="F1127" s="15" t="str">
        <x:v>Build source packet for Human-Root — GammaSprite</x:v>
      </x:c>
      <x:c r="G1127" s="15" t="str">
        <x:v>Gamma/deck extraction / slide lineage</x:v>
      </x:c>
      <x:c r="H1127" s="15" t="str">
        <x:v>source path + receipt + raw/export status + claim/edge/risk delta</x:v>
      </x:c>
      <x:c r="I1127" s="15" t="str">
        <x:v>packet/SWARM-08-H10-S10</x:v>
      </x:c>
      <x:c r="J1127" s="15" t="str">
        <x:v>TODO</x:v>
      </x:c>
      <x:c r="K1127" s="15" t="str">
        <x:v>P2</x:v>
      </x:c>
      <x:c r="L1127" s="15" t="str">
        <x:v>Done only when evidence is logged, contradiction search is noted, and boundary stamp remains non-canon unless ratified</x:v>
      </x:c>
      <x:c r="M1127" s="15" t="str">
        <x:v>candidate / staging-only / not canon / not deployed / authority none</x:v>
      </x:c>
      <x:c r="N1127" s="15" t="str">
        <x:v>Dispatch to GammaSprite: complete GitHub Source Packets x Human-Root; return deltas only, receipts required.</x:v>
      </x:c>
      <x:c r="O1127" s="15" t="str">
        <x:v>AF-KG-H10-S10</x:v>
      </x:c>
      <x:c r="P1127" s="15" t="str">
        <x:v>Unverified</x:v>
      </x:c>
      <x:c r="Q1127" s="15" t="str">
        <x:v>Not checked</x:v>
      </x:c>
      <x:c r="R1127" s="15" t="str"/>
      <x:c r="S1127" s="15" t="str"/>
      <x:c r="T1127" s="15" t="str">
        <x:v>Log first source path or blocker</x:v>
      </x:c>
      <x:c r="U1127" s="12" t="str">
        <x:f>IF(OR(P1127="Unverified",Q1127="Not checked"),"BLOCKED_PENDING_RECEIPT","READY_FOR_REVIEW")</x:f>
        <x:v>BLOCKED_PENDING_RECEIPT</x:v>
      </x:c>
      <x:c r="V1127" s="12" t="str">
        <x:f>IF(J1127="DONE","RETURNED",IF(U1127="BLOCKED_PENDING_RECEIPT","SOURCE_TOUCH_REQUIRED","IN_PROGRESS"))</x:f>
        <x:v>SOURCE_TOUCH_REQUIRED</x:v>
      </x:c>
      <x:c r="W1127" s="12" t="str">
        <x:f>IF(P1127="Unverified","missing_receipt","receipt_logged")</x:f>
        <x:v>missing_receipt</x:v>
      </x:c>
      <x:c r="X1127" s="12" t="str">
        <x:f>IF(Q1127="Not checked","raw_status_missing","raw_status_logged")</x:f>
        <x:v>raw_status_missing</x:v>
      </x:c>
      <x:c r="Y1127" s="12" t="str">
        <x:f>IF(U1127="BLOCKED_PENDING_RECEIPT","Log source path or blocker; do not promote","Route to review lane")</x:f>
        <x:v>Log source path or blocker; do not promote</x:v>
      </x:c>
      <x:c r="Z1127" s="12" t="str">
        <x:f>IF(K1127="P0","Primary seat + Hashlight/Lucerna","Seat lane")</x:f>
        <x:v>Seat lane</x:v>
      </x:c>
      <x:c r="AA1127" s="12" t="str">
        <x:f>IF(R1127="","no_claim_delta","claim_delta_present")</x:f>
        <x:v>no_claim_delta</x:v>
      </x:c>
      <x:c r="AB1127" s="12" t="str">
        <x:f>IF(S1127="","no_contradiction_delta","contradiction_delta_present")</x:f>
        <x:v>no_contradiction_delta</x:v>
      </x:c>
      <x:c r="AC1127" s="12" t="str">
        <x:f>IF(OR(ISNUMBER(SEARCH("hacker",LOWER(F1127&amp;" "&amp;H1127&amp;" "&amp;I1127&amp;" "&amp;M1127&amp;" "&amp;N1127&amp;" "&amp;T1127))),ISNUMBER(SEARCH("hacking",LOWER(F1127&amp;" "&amp;H1127&amp;" "&amp;I1127&amp;" "&amp;M1127&amp;" "&amp;N1127&amp;" "&amp;T1127))),ISNUMBER(SEARCH("bank",LOWER(F1127&amp;" "&amp;H1127&amp;" "&amp;I1127&amp;" "&amp;M1127&amp;" "&amp;N1127&amp;" "&amp;T1127))),ISNUMBER(SEARCH("banking",LOWER(F1127&amp;" "&amp;H1127&amp;" "&amp;I1127&amp;" "&amp;M1127&amp;" "&amp;N1127&amp;" "&amp;T1127)))),"PRIVATE_QUARANTINE",IF(OR(ISNUMBER(SEARCH("treasury",LOWER(F1127&amp;" "&amp;H1127&amp;" "&amp;I1127&amp;" "&amp;M1127&amp;" "&amp;N1127&amp;" "&amp;T1127))),ISNUMBER(SEARCH("debt",LOWER(F1127&amp;" "&amp;H1127&amp;" "&amp;I1127&amp;" "&amp;M1127&amp;" "&amp;N1127&amp;" "&amp;T1127))),ISNUMBER(SEARCH("bond",LOWER(F1127&amp;" "&amp;H1127&amp;" "&amp;I1127&amp;" "&amp;M1127&amp;" "&amp;N1127&amp;" "&amp;T1127))),ISNUMBER(SEARCH("transaction",LOWER(F1127&amp;" "&amp;H1127&amp;" "&amp;I1127&amp;" "&amp;M1127&amp;" "&amp;N1127&amp;" "&amp;T1127)))),"PRIVATE_REVIEW","PUBLIC_CANDIDATE"))</x:f>
        <x:v>PUBLIC_CANDIDATE</x:v>
      </x:c>
      <x:c r="AD1127" s="12" t="str">
        <x:f>IF(AC1127="PRIVATE_QUARANTINE","hacker_or_bank_trigger",IF(AC1127="PRIVATE_REVIEW","finance_risk_trigger","none"))</x:f>
        <x:v>none</x:v>
      </x:c>
      <x:c r="AE1127" s="12" t="str">
        <x:f>IF(AC1127="PUBLIC_CANDIDATE","prepare_public_github_candidate",IF(AC1127="PRIVATE_REVIEW","hold_for_private_review","quarantine_private_do_not_publish"))</x:f>
        <x:v>prepare_public_github_candidate</x:v>
      </x:c>
      <x:c r="AF1127" s="12" t="str">
        <x:f>IF(AC1127="PUBLIC_CANDIDATE","TIDELOCK + Lucerna",IF(AC1127="PRIVATE_REVIEW","AtlasBrain + Lucerna","TIDELOCK + Lucerna + Human-root"))</x:f>
        <x:v>TIDELOCK + Lucerna</x:v>
      </x:c>
      <x:c r="AG1127" s="12" t="str">
        <x:f>IF(AND(AC1127="PUBLIC_CANDIDATE",U1127&lt;&gt;"BLOCKED_PENDING_RECEIPT"),"READY_AFTER_RECEIPT","NOT_READY")</x:f>
        <x:v>NOT_READY</x:v>
      </x:c>
      <x:c r="AH1127" s="12" t="str">
        <x:f>IF(AC1127="PUBLIC_CANDIDATE","none",AD1127)</x:f>
        <x:v>none</x:v>
      </x:c>
      <x:c r="AI1127" s="12" t="str">
        <x:f>IF(AC1127="PUBLIC_CANDIDATE","archive/public_candidates/"&amp;A1127,"private_quarantine/"&amp;A1127)</x:f>
        <x:v>archive/public_candidates/SWARM-08-H10-S10</x:v>
      </x:c>
      <x:c r="AJ1127" s="12" t="str">
        <x:f>IF(AC1127="PUBLIC_CANDIDATE","public by default; still not canon","private/hold; do not publish")</x:f>
        <x:v>public by default; still not canon</x:v>
      </x:c>
      <x:c r="AK1127" s="12" t="str">
        <x:f>IF(AE1127="prepare_public_github_candidate","add receipt/status then mirror","resolve blocker before any public GitHub action")</x:f>
        <x:v>add receipt/status then mirror</x:v>
      </x:c>
    </x:row>
    <x:row r="1128">
      <x:c r="A1128" s="15" t="str">
        <x:v>SWARM-08-H10-S11</x:v>
      </x:c>
      <x:c r="B1128" s="15" t="str">
        <x:v>GammaSprite</x:v>
      </x:c>
      <x:c r="C1128" s="15" t="str">
        <x:v>Deck surface mapper</x:v>
      </x:c>
      <x:c r="D1128" s="15" t="str">
        <x:v>GitHub Source Packets</x:v>
      </x:c>
      <x:c r="E1128" s="15" t="str">
        <x:v>Automation</x:v>
      </x:c>
      <x:c r="F1128" s="15" t="str">
        <x:v>Build source packet for Automation — GammaSprite</x:v>
      </x:c>
      <x:c r="G1128" s="15" t="str">
        <x:v>Gamma/deck extraction / slide lineage</x:v>
      </x:c>
      <x:c r="H1128" s="15" t="str">
        <x:v>source path + receipt + raw/export status + claim/edge/risk delta</x:v>
      </x:c>
      <x:c r="I1128" s="15" t="str">
        <x:v>packet/SWARM-08-H10-S11</x:v>
      </x:c>
      <x:c r="J1128" s="15" t="str">
        <x:v>TODO</x:v>
      </x:c>
      <x:c r="K1128" s="15" t="str">
        <x:v>P2</x:v>
      </x:c>
      <x:c r="L1128" s="15" t="str">
        <x:v>Done only when evidence is logged, contradiction search is noted, and boundary stamp remains non-canon unless ratified</x:v>
      </x:c>
      <x:c r="M1128" s="15" t="str">
        <x:v>candidate / staging-only / not canon / not deployed / authority none</x:v>
      </x:c>
      <x:c r="N1128" s="15" t="str">
        <x:v>Dispatch to GammaSprite: complete GitHub Source Packets x Automation; return deltas only, receipts required.</x:v>
      </x:c>
      <x:c r="O1128" s="15" t="str">
        <x:v>AF-KG-H10-S11</x:v>
      </x:c>
      <x:c r="P1128" s="15" t="str">
        <x:v>Unverified</x:v>
      </x:c>
      <x:c r="Q1128" s="15" t="str">
        <x:v>Not checked</x:v>
      </x:c>
      <x:c r="R1128" s="15" t="str"/>
      <x:c r="S1128" s="15" t="str"/>
      <x:c r="T1128" s="15" t="str">
        <x:v>Log first source path or blocker</x:v>
      </x:c>
      <x:c r="U1128" s="12" t="str">
        <x:f>IF(OR(P1128="Unverified",Q1128="Not checked"),"BLOCKED_PENDING_RECEIPT","READY_FOR_REVIEW")</x:f>
        <x:v>BLOCKED_PENDING_RECEIPT</x:v>
      </x:c>
      <x:c r="V1128" s="12" t="str">
        <x:f>IF(J1128="DONE","RETURNED",IF(U1128="BLOCKED_PENDING_RECEIPT","SOURCE_TOUCH_REQUIRED","IN_PROGRESS"))</x:f>
        <x:v>SOURCE_TOUCH_REQUIRED</x:v>
      </x:c>
      <x:c r="W1128" s="12" t="str">
        <x:f>IF(P1128="Unverified","missing_receipt","receipt_logged")</x:f>
        <x:v>missing_receipt</x:v>
      </x:c>
      <x:c r="X1128" s="12" t="str">
        <x:f>IF(Q1128="Not checked","raw_status_missing","raw_status_logged")</x:f>
        <x:v>raw_status_missing</x:v>
      </x:c>
      <x:c r="Y1128" s="12" t="str">
        <x:f>IF(U1128="BLOCKED_PENDING_RECEIPT","Log source path or blocker; do not promote","Route to review lane")</x:f>
        <x:v>Log source path or blocker; do not promote</x:v>
      </x:c>
      <x:c r="Z1128" s="12" t="str">
        <x:f>IF(K1128="P0","Primary seat + Hashlight/Lucerna","Seat lane")</x:f>
        <x:v>Seat lane</x:v>
      </x:c>
      <x:c r="AA1128" s="12" t="str">
        <x:f>IF(R1128="","no_claim_delta","claim_delta_present")</x:f>
        <x:v>no_claim_delta</x:v>
      </x:c>
      <x:c r="AB1128" s="12" t="str">
        <x:f>IF(S1128="","no_contradiction_delta","contradiction_delta_present")</x:f>
        <x:v>no_contradiction_delta</x:v>
      </x:c>
      <x:c r="AC1128" s="12" t="str">
        <x:f>IF(OR(ISNUMBER(SEARCH("hacker",LOWER(F1128&amp;" "&amp;H1128&amp;" "&amp;I1128&amp;" "&amp;M1128&amp;" "&amp;N1128&amp;" "&amp;T1128))),ISNUMBER(SEARCH("hacking",LOWER(F1128&amp;" "&amp;H1128&amp;" "&amp;I1128&amp;" "&amp;M1128&amp;" "&amp;N1128&amp;" "&amp;T1128))),ISNUMBER(SEARCH("bank",LOWER(F1128&amp;" "&amp;H1128&amp;" "&amp;I1128&amp;" "&amp;M1128&amp;" "&amp;N1128&amp;" "&amp;T1128))),ISNUMBER(SEARCH("banking",LOWER(F1128&amp;" "&amp;H1128&amp;" "&amp;I1128&amp;" "&amp;M1128&amp;" "&amp;N1128&amp;" "&amp;T1128)))),"PRIVATE_QUARANTINE",IF(OR(ISNUMBER(SEARCH("treasury",LOWER(F1128&amp;" "&amp;H1128&amp;" "&amp;I1128&amp;" "&amp;M1128&amp;" "&amp;N1128&amp;" "&amp;T1128))),ISNUMBER(SEARCH("debt",LOWER(F1128&amp;" "&amp;H1128&amp;" "&amp;I1128&amp;" "&amp;M1128&amp;" "&amp;N1128&amp;" "&amp;T1128))),ISNUMBER(SEARCH("bond",LOWER(F1128&amp;" "&amp;H1128&amp;" "&amp;I1128&amp;" "&amp;M1128&amp;" "&amp;N1128&amp;" "&amp;T1128))),ISNUMBER(SEARCH("transaction",LOWER(F1128&amp;" "&amp;H1128&amp;" "&amp;I1128&amp;" "&amp;M1128&amp;" "&amp;N1128&amp;" "&amp;T1128)))),"PRIVATE_REVIEW","PUBLIC_CANDIDATE"))</x:f>
        <x:v>PUBLIC_CANDIDATE</x:v>
      </x:c>
      <x:c r="AD1128" s="12" t="str">
        <x:f>IF(AC1128="PRIVATE_QUARANTINE","hacker_or_bank_trigger",IF(AC1128="PRIVATE_REVIEW","finance_risk_trigger","none"))</x:f>
        <x:v>none</x:v>
      </x:c>
      <x:c r="AE1128" s="12" t="str">
        <x:f>IF(AC1128="PUBLIC_CANDIDATE","prepare_public_github_candidate",IF(AC1128="PRIVATE_REVIEW","hold_for_private_review","quarantine_private_do_not_publish"))</x:f>
        <x:v>prepare_public_github_candidate</x:v>
      </x:c>
      <x:c r="AF1128" s="12" t="str">
        <x:f>IF(AC1128="PUBLIC_CANDIDATE","TIDELOCK + Lucerna",IF(AC1128="PRIVATE_REVIEW","AtlasBrain + Lucerna","TIDELOCK + Lucerna + Human-root"))</x:f>
        <x:v>TIDELOCK + Lucerna</x:v>
      </x:c>
      <x:c r="AG1128" s="12" t="str">
        <x:f>IF(AND(AC1128="PUBLIC_CANDIDATE",U1128&lt;&gt;"BLOCKED_PENDING_RECEIPT"),"READY_AFTER_RECEIPT","NOT_READY")</x:f>
        <x:v>NOT_READY</x:v>
      </x:c>
      <x:c r="AH1128" s="12" t="str">
        <x:f>IF(AC1128="PUBLIC_CANDIDATE","none",AD1128)</x:f>
        <x:v>none</x:v>
      </x:c>
      <x:c r="AI1128" s="12" t="str">
        <x:f>IF(AC1128="PUBLIC_CANDIDATE","archive/public_candidates/"&amp;A1128,"private_quarantine/"&amp;A1128)</x:f>
        <x:v>archive/public_candidates/SWARM-08-H10-S11</x:v>
      </x:c>
      <x:c r="AJ1128" s="12" t="str">
        <x:f>IF(AC1128="PUBLIC_CANDIDATE","public by default; still not canon","private/hold; do not publish")</x:f>
        <x:v>public by default; still not canon</x:v>
      </x:c>
      <x:c r="AK1128" s="12" t="str">
        <x:f>IF(AE1128="prepare_public_github_candidate","add receipt/status then mirror","resolve blocker before any public GitHub action")</x:f>
        <x:v>add receipt/status then mirror</x:v>
      </x:c>
    </x:row>
    <x:row r="1129">
      <x:c r="A1129" s="15" t="str">
        <x:v>SWARM-08-H10-S12</x:v>
      </x:c>
      <x:c r="B1129" s="15" t="str">
        <x:v>GammaSprite</x:v>
      </x:c>
      <x:c r="C1129" s="15" t="str">
        <x:v>Deck surface mapper</x:v>
      </x:c>
      <x:c r="D1129" s="15" t="str">
        <x:v>GitHub Source Packets</x:v>
      </x:c>
      <x:c r="E1129" s="15" t="str">
        <x:v>Risk / Safety</x:v>
      </x:c>
      <x:c r="F1129" s="15" t="str">
        <x:v>Build source packet for Risk / Safety — GammaSprite</x:v>
      </x:c>
      <x:c r="G1129" s="15" t="str">
        <x:v>Gamma/deck extraction / slide lineage</x:v>
      </x:c>
      <x:c r="H1129" s="15" t="str">
        <x:v>source path + receipt + raw/export status + claim/edge/risk delta</x:v>
      </x:c>
      <x:c r="I1129" s="15" t="str">
        <x:v>packet/SWARM-08-H10-S12</x:v>
      </x:c>
      <x:c r="J1129" s="15" t="str">
        <x:v>TODO</x:v>
      </x:c>
      <x:c r="K1129" s="15" t="str">
        <x:v>P2</x:v>
      </x:c>
      <x:c r="L1129" s="15" t="str">
        <x:v>Done only when evidence is logged, contradiction search is noted, and boundary stamp remains non-canon unless ratified</x:v>
      </x:c>
      <x:c r="M1129" s="15" t="str">
        <x:v>candidate / staging-only / not canon / not deployed / authority none</x:v>
      </x:c>
      <x:c r="N1129" s="15" t="str">
        <x:v>Dispatch to GammaSprite: complete GitHub Source Packets x Risk / Safety; return deltas only, receipts required.</x:v>
      </x:c>
      <x:c r="O1129" s="15" t="str">
        <x:v>AF-KG-H10-S12</x:v>
      </x:c>
      <x:c r="P1129" s="15" t="str">
        <x:v>Unverified</x:v>
      </x:c>
      <x:c r="Q1129" s="15" t="str">
        <x:v>Not checked</x:v>
      </x:c>
      <x:c r="R1129" s="15" t="str"/>
      <x:c r="S1129" s="15" t="str"/>
      <x:c r="T1129" s="15" t="str">
        <x:v>Log first source path or blocker</x:v>
      </x:c>
      <x:c r="U1129" s="12" t="str">
        <x:f>IF(OR(P1129="Unverified",Q1129="Not checked"),"BLOCKED_PENDING_RECEIPT","READY_FOR_REVIEW")</x:f>
        <x:v>BLOCKED_PENDING_RECEIPT</x:v>
      </x:c>
      <x:c r="V1129" s="12" t="str">
        <x:f>IF(J1129="DONE","RETURNED",IF(U1129="BLOCKED_PENDING_RECEIPT","SOURCE_TOUCH_REQUIRED","IN_PROGRESS"))</x:f>
        <x:v>SOURCE_TOUCH_REQUIRED</x:v>
      </x:c>
      <x:c r="W1129" s="12" t="str">
        <x:f>IF(P1129="Unverified","missing_receipt","receipt_logged")</x:f>
        <x:v>missing_receipt</x:v>
      </x:c>
      <x:c r="X1129" s="12" t="str">
        <x:f>IF(Q1129="Not checked","raw_status_missing","raw_status_logged")</x:f>
        <x:v>raw_status_missing</x:v>
      </x:c>
      <x:c r="Y1129" s="12" t="str">
        <x:f>IF(U1129="BLOCKED_PENDING_RECEIPT","Log source path or blocker; do not promote","Route to review lane")</x:f>
        <x:v>Log source path or blocker; do not promote</x:v>
      </x:c>
      <x:c r="Z1129" s="12" t="str">
        <x:f>IF(K1129="P0","Primary seat + Hashlight/Lucerna","Seat lane")</x:f>
        <x:v>Seat lane</x:v>
      </x:c>
      <x:c r="AA1129" s="12" t="str">
        <x:f>IF(R1129="","no_claim_delta","claim_delta_present")</x:f>
        <x:v>no_claim_delta</x:v>
      </x:c>
      <x:c r="AB1129" s="12" t="str">
        <x:f>IF(S1129="","no_contradiction_delta","contradiction_delta_present")</x:f>
        <x:v>no_contradiction_delta</x:v>
      </x:c>
      <x:c r="AC1129" s="12" t="str">
        <x:f>IF(OR(ISNUMBER(SEARCH("hacker",LOWER(F1129&amp;" "&amp;H1129&amp;" "&amp;I1129&amp;" "&amp;M1129&amp;" "&amp;N1129&amp;" "&amp;T1129))),ISNUMBER(SEARCH("hacking",LOWER(F1129&amp;" "&amp;H1129&amp;" "&amp;I1129&amp;" "&amp;M1129&amp;" "&amp;N1129&amp;" "&amp;T1129))),ISNUMBER(SEARCH("bank",LOWER(F1129&amp;" "&amp;H1129&amp;" "&amp;I1129&amp;" "&amp;M1129&amp;" "&amp;N1129&amp;" "&amp;T1129))),ISNUMBER(SEARCH("banking",LOWER(F1129&amp;" "&amp;H1129&amp;" "&amp;I1129&amp;" "&amp;M1129&amp;" "&amp;N1129&amp;" "&amp;T1129)))),"PRIVATE_QUARANTINE",IF(OR(ISNUMBER(SEARCH("treasury",LOWER(F1129&amp;" "&amp;H1129&amp;" "&amp;I1129&amp;" "&amp;M1129&amp;" "&amp;N1129&amp;" "&amp;T1129))),ISNUMBER(SEARCH("debt",LOWER(F1129&amp;" "&amp;H1129&amp;" "&amp;I1129&amp;" "&amp;M1129&amp;" "&amp;N1129&amp;" "&amp;T1129))),ISNUMBER(SEARCH("bond",LOWER(F1129&amp;" "&amp;H1129&amp;" "&amp;I1129&amp;" "&amp;M1129&amp;" "&amp;N1129&amp;" "&amp;T1129))),ISNUMBER(SEARCH("transaction",LOWER(F1129&amp;" "&amp;H1129&amp;" "&amp;I1129&amp;" "&amp;M1129&amp;" "&amp;N1129&amp;" "&amp;T1129)))),"PRIVATE_REVIEW","PUBLIC_CANDIDATE"))</x:f>
        <x:v>PUBLIC_CANDIDATE</x:v>
      </x:c>
      <x:c r="AD1129" s="12" t="str">
        <x:f>IF(AC1129="PRIVATE_QUARANTINE","hacker_or_bank_trigger",IF(AC1129="PRIVATE_REVIEW","finance_risk_trigger","none"))</x:f>
        <x:v>none</x:v>
      </x:c>
      <x:c r="AE1129" s="12" t="str">
        <x:f>IF(AC1129="PUBLIC_CANDIDATE","prepare_public_github_candidate",IF(AC1129="PRIVATE_REVIEW","hold_for_private_review","quarantine_private_do_not_publish"))</x:f>
        <x:v>prepare_public_github_candidate</x:v>
      </x:c>
      <x:c r="AF1129" s="12" t="str">
        <x:f>IF(AC1129="PUBLIC_CANDIDATE","TIDELOCK + Lucerna",IF(AC1129="PRIVATE_REVIEW","AtlasBrain + Lucerna","TIDELOCK + Lucerna + Human-root"))</x:f>
        <x:v>TIDELOCK + Lucerna</x:v>
      </x:c>
      <x:c r="AG1129" s="12" t="str">
        <x:f>IF(AND(AC1129="PUBLIC_CANDIDATE",U1129&lt;&gt;"BLOCKED_PENDING_RECEIPT"),"READY_AFTER_RECEIPT","NOT_READY")</x:f>
        <x:v>NOT_READY</x:v>
      </x:c>
      <x:c r="AH1129" s="12" t="str">
        <x:f>IF(AC1129="PUBLIC_CANDIDATE","none",AD1129)</x:f>
        <x:v>none</x:v>
      </x:c>
      <x:c r="AI1129" s="12" t="str">
        <x:f>IF(AC1129="PUBLIC_CANDIDATE","archive/public_candidates/"&amp;A1129,"private_quarantine/"&amp;A1129)</x:f>
        <x:v>archive/public_candidates/SWARM-08-H10-S12</x:v>
      </x:c>
      <x:c r="AJ1129" s="12" t="str">
        <x:f>IF(AC1129="PUBLIC_CANDIDATE","public by default; still not canon","private/hold; do not publish")</x:f>
        <x:v>public by default; still not canon</x:v>
      </x:c>
      <x:c r="AK1129" s="12" t="str">
        <x:f>IF(AE1129="prepare_public_github_candidate","add receipt/status then mirror","resolve blocker before any public GitHub action")</x:f>
        <x:v>add receipt/status then mirror</x:v>
      </x:c>
    </x:row>
    <x:row r="1130">
      <x:c r="A1130" s="15" t="str">
        <x:v>SWARM-08-H11-S01</x:v>
      </x:c>
      <x:c r="B1130" s="15" t="str">
        <x:v>GammaSprite</x:v>
      </x:c>
      <x:c r="C1130" s="15" t="str">
        <x:v>Deck surface mapper</x:v>
      </x:c>
      <x:c r="D1130" s="15" t="str">
        <x:v>Aetherforge UX</x:v>
      </x:c>
      <x:c r="E1130" s="15" t="str">
        <x:v>Notion</x:v>
      </x:c>
      <x:c r="F1130" s="15" t="str">
        <x:v>Design quest card for Notion — GammaSprite</x:v>
      </x:c>
      <x:c r="G1130" s="15" t="str">
        <x:v>Gamma/deck extraction / slide lineage</x:v>
      </x:c>
      <x:c r="H1130" s="15" t="str">
        <x:v>source path + receipt + raw/export status + claim/edge/risk delta</x:v>
      </x:c>
      <x:c r="I1130" s="15" t="str">
        <x:v>packet/SWARM-08-H11-S01</x:v>
      </x:c>
      <x:c r="J1130" s="15" t="str">
        <x:v>TODO</x:v>
      </x:c>
      <x:c r="K1130" s="15" t="str">
        <x:v>P0</x:v>
      </x:c>
      <x:c r="L1130" s="15" t="str">
        <x:v>Done only when evidence is logged, contradiction search is noted, and boundary stamp remains non-canon unless ratified</x:v>
      </x:c>
      <x:c r="M1130" s="15" t="str">
        <x:v>candidate / staging-only / not canon / not deployed / authority none</x:v>
      </x:c>
      <x:c r="N1130" s="15" t="str">
        <x:v>Dispatch to GammaSprite: complete Aetherforge UX x Notion; return deltas only, receipts required.</x:v>
      </x:c>
      <x:c r="O1130" s="15" t="str">
        <x:v>AF-KG-H11-S01</x:v>
      </x:c>
      <x:c r="P1130" s="15" t="str">
        <x:v>Unverified</x:v>
      </x:c>
      <x:c r="Q1130" s="15" t="str">
        <x:v>Not checked</x:v>
      </x:c>
      <x:c r="R1130" s="15" t="str"/>
      <x:c r="S1130" s="15" t="str"/>
      <x:c r="T1130" s="15" t="str">
        <x:v>Log first source path or blocker</x:v>
      </x:c>
      <x:c r="U1130" s="12" t="str">
        <x:f>IF(OR(P1130="Unverified",Q1130="Not checked"),"BLOCKED_PENDING_RECEIPT","READY_FOR_REVIEW")</x:f>
        <x:v>BLOCKED_PENDING_RECEIPT</x:v>
      </x:c>
      <x:c r="V1130" s="12" t="str">
        <x:f>IF(J1130="DONE","RETURNED",IF(U1130="BLOCKED_PENDING_RECEIPT","SOURCE_TOUCH_REQUIRED","IN_PROGRESS"))</x:f>
        <x:v>SOURCE_TOUCH_REQUIRED</x:v>
      </x:c>
      <x:c r="W1130" s="12" t="str">
        <x:f>IF(P1130="Unverified","missing_receipt","receipt_logged")</x:f>
        <x:v>missing_receipt</x:v>
      </x:c>
      <x:c r="X1130" s="12" t="str">
        <x:f>IF(Q1130="Not checked","raw_status_missing","raw_status_logged")</x:f>
        <x:v>raw_status_missing</x:v>
      </x:c>
      <x:c r="Y1130" s="12" t="str">
        <x:f>IF(U1130="BLOCKED_PENDING_RECEIPT","Log source path or blocker; do not promote","Route to review lane")</x:f>
        <x:v>Log source path or blocker; do not promote</x:v>
      </x:c>
      <x:c r="Z1130" s="12" t="str">
        <x:f>IF(K1130="P0","Primary seat + Hashlight/Lucerna","Seat lane")</x:f>
        <x:v>Primary seat + Hashlight/Lucerna</x:v>
      </x:c>
      <x:c r="AA1130" s="12" t="str">
        <x:f>IF(R1130="","no_claim_delta","claim_delta_present")</x:f>
        <x:v>no_claim_delta</x:v>
      </x:c>
      <x:c r="AB1130" s="12" t="str">
        <x:f>IF(S1130="","no_contradiction_delta","contradiction_delta_present")</x:f>
        <x:v>no_contradiction_delta</x:v>
      </x:c>
      <x:c r="AC1130" s="12" t="str">
        <x:f>IF(OR(ISNUMBER(SEARCH("hacker",LOWER(F1130&amp;" "&amp;H1130&amp;" "&amp;I1130&amp;" "&amp;M1130&amp;" "&amp;N1130&amp;" "&amp;T1130))),ISNUMBER(SEARCH("hacking",LOWER(F1130&amp;" "&amp;H1130&amp;" "&amp;I1130&amp;" "&amp;M1130&amp;" "&amp;N1130&amp;" "&amp;T1130))),ISNUMBER(SEARCH("bank",LOWER(F1130&amp;" "&amp;H1130&amp;" "&amp;I1130&amp;" "&amp;M1130&amp;" "&amp;N1130&amp;" "&amp;T1130))),ISNUMBER(SEARCH("banking",LOWER(F1130&amp;" "&amp;H1130&amp;" "&amp;I1130&amp;" "&amp;M1130&amp;" "&amp;N1130&amp;" "&amp;T1130)))),"PRIVATE_QUARANTINE",IF(OR(ISNUMBER(SEARCH("treasury",LOWER(F1130&amp;" "&amp;H1130&amp;" "&amp;I1130&amp;" "&amp;M1130&amp;" "&amp;N1130&amp;" "&amp;T1130))),ISNUMBER(SEARCH("debt",LOWER(F1130&amp;" "&amp;H1130&amp;" "&amp;I1130&amp;" "&amp;M1130&amp;" "&amp;N1130&amp;" "&amp;T1130))),ISNUMBER(SEARCH("bond",LOWER(F1130&amp;" "&amp;H1130&amp;" "&amp;I1130&amp;" "&amp;M1130&amp;" "&amp;N1130&amp;" "&amp;T1130))),ISNUMBER(SEARCH("transaction",LOWER(F1130&amp;" "&amp;H1130&amp;" "&amp;I1130&amp;" "&amp;M1130&amp;" "&amp;N1130&amp;" "&amp;T1130)))),"PRIVATE_REVIEW","PUBLIC_CANDIDATE"))</x:f>
        <x:v>PUBLIC_CANDIDATE</x:v>
      </x:c>
      <x:c r="AD1130" s="12" t="str">
        <x:f>IF(AC1130="PRIVATE_QUARANTINE","hacker_or_bank_trigger",IF(AC1130="PRIVATE_REVIEW","finance_risk_trigger","none"))</x:f>
        <x:v>none</x:v>
      </x:c>
      <x:c r="AE1130" s="12" t="str">
        <x:f>IF(AC1130="PUBLIC_CANDIDATE","prepare_public_github_candidate",IF(AC1130="PRIVATE_REVIEW","hold_for_private_review","quarantine_private_do_not_publish"))</x:f>
        <x:v>prepare_public_github_candidate</x:v>
      </x:c>
      <x:c r="AF1130" s="12" t="str">
        <x:f>IF(AC1130="PUBLIC_CANDIDATE","TIDELOCK + Lucerna",IF(AC1130="PRIVATE_REVIEW","AtlasBrain + Lucerna","TIDELOCK + Lucerna + Human-root"))</x:f>
        <x:v>TIDELOCK + Lucerna</x:v>
      </x:c>
      <x:c r="AG1130" s="12" t="str">
        <x:f>IF(AND(AC1130="PUBLIC_CANDIDATE",U1130&lt;&gt;"BLOCKED_PENDING_RECEIPT"),"READY_AFTER_RECEIPT","NOT_READY")</x:f>
        <x:v>NOT_READY</x:v>
      </x:c>
      <x:c r="AH1130" s="12" t="str">
        <x:f>IF(AC1130="PUBLIC_CANDIDATE","none",AD1130)</x:f>
        <x:v>none</x:v>
      </x:c>
      <x:c r="AI1130" s="12" t="str">
        <x:f>IF(AC1130="PUBLIC_CANDIDATE","archive/public_candidates/"&amp;A1130,"private_quarantine/"&amp;A1130)</x:f>
        <x:v>archive/public_candidates/SWARM-08-H11-S01</x:v>
      </x:c>
      <x:c r="AJ1130" s="12" t="str">
        <x:f>IF(AC1130="PUBLIC_CANDIDATE","public by default; still not canon","private/hold; do not publish")</x:f>
        <x:v>public by default; still not canon</x:v>
      </x:c>
      <x:c r="AK1130" s="12" t="str">
        <x:f>IF(AE1130="prepare_public_github_candidate","add receipt/status then mirror","resolve blocker before any public GitHub action")</x:f>
        <x:v>add receipt/status then mirror</x:v>
      </x:c>
    </x:row>
    <x:row r="1131">
      <x:c r="A1131" s="15" t="str">
        <x:v>SWARM-08-H11-S02</x:v>
      </x:c>
      <x:c r="B1131" s="15" t="str">
        <x:v>GammaSprite</x:v>
      </x:c>
      <x:c r="C1131" s="15" t="str">
        <x:v>Deck surface mapper</x:v>
      </x:c>
      <x:c r="D1131" s="15" t="str">
        <x:v>Aetherforge UX</x:v>
      </x:c>
      <x:c r="E1131" s="15" t="str">
        <x:v>Drive</x:v>
      </x:c>
      <x:c r="F1131" s="15" t="str">
        <x:v>Design quest card for Drive — GammaSprite</x:v>
      </x:c>
      <x:c r="G1131" s="15" t="str">
        <x:v>Gamma/deck extraction / slide lineage</x:v>
      </x:c>
      <x:c r="H1131" s="15" t="str">
        <x:v>source path + receipt + raw/export status + claim/edge/risk delta</x:v>
      </x:c>
      <x:c r="I1131" s="15" t="str">
        <x:v>packet/SWARM-08-H11-S02</x:v>
      </x:c>
      <x:c r="J1131" s="15" t="str">
        <x:v>TODO</x:v>
      </x:c>
      <x:c r="K1131" s="15" t="str">
        <x:v>P0</x:v>
      </x:c>
      <x:c r="L1131" s="15" t="str">
        <x:v>Done only when evidence is logged, contradiction search is noted, and boundary stamp remains non-canon unless ratified</x:v>
      </x:c>
      <x:c r="M1131" s="15" t="str">
        <x:v>candidate / staging-only / not canon / not deployed / authority none</x:v>
      </x:c>
      <x:c r="N1131" s="15" t="str">
        <x:v>Dispatch to GammaSprite: complete Aetherforge UX x Drive; return deltas only, receipts required.</x:v>
      </x:c>
      <x:c r="O1131" s="15" t="str">
        <x:v>AF-KG-H11-S02</x:v>
      </x:c>
      <x:c r="P1131" s="15" t="str">
        <x:v>Unverified</x:v>
      </x:c>
      <x:c r="Q1131" s="15" t="str">
        <x:v>Not checked</x:v>
      </x:c>
      <x:c r="R1131" s="15" t="str"/>
      <x:c r="S1131" s="15" t="str"/>
      <x:c r="T1131" s="15" t="str">
        <x:v>Log first source path or blocker</x:v>
      </x:c>
      <x:c r="U1131" s="12" t="str">
        <x:f>IF(OR(P1131="Unverified",Q1131="Not checked"),"BLOCKED_PENDING_RECEIPT","READY_FOR_REVIEW")</x:f>
        <x:v>BLOCKED_PENDING_RECEIPT</x:v>
      </x:c>
      <x:c r="V1131" s="12" t="str">
        <x:f>IF(J1131="DONE","RETURNED",IF(U1131="BLOCKED_PENDING_RECEIPT","SOURCE_TOUCH_REQUIRED","IN_PROGRESS"))</x:f>
        <x:v>SOURCE_TOUCH_REQUIRED</x:v>
      </x:c>
      <x:c r="W1131" s="12" t="str">
        <x:f>IF(P1131="Unverified","missing_receipt","receipt_logged")</x:f>
        <x:v>missing_receipt</x:v>
      </x:c>
      <x:c r="X1131" s="12" t="str">
        <x:f>IF(Q1131="Not checked","raw_status_missing","raw_status_logged")</x:f>
        <x:v>raw_status_missing</x:v>
      </x:c>
      <x:c r="Y1131" s="12" t="str">
        <x:f>IF(U1131="BLOCKED_PENDING_RECEIPT","Log source path or blocker; do not promote","Route to review lane")</x:f>
        <x:v>Log source path or blocker; do not promote</x:v>
      </x:c>
      <x:c r="Z1131" s="12" t="str">
        <x:f>IF(K1131="P0","Primary seat + Hashlight/Lucerna","Seat lane")</x:f>
        <x:v>Primary seat + Hashlight/Lucerna</x:v>
      </x:c>
      <x:c r="AA1131" s="12" t="str">
        <x:f>IF(R1131="","no_claim_delta","claim_delta_present")</x:f>
        <x:v>no_claim_delta</x:v>
      </x:c>
      <x:c r="AB1131" s="12" t="str">
        <x:f>IF(S1131="","no_contradiction_delta","contradiction_delta_present")</x:f>
        <x:v>no_contradiction_delta</x:v>
      </x:c>
      <x:c r="AC1131" s="12" t="str">
        <x:f>IF(OR(ISNUMBER(SEARCH("hacker",LOWER(F1131&amp;" "&amp;H1131&amp;" "&amp;I1131&amp;" "&amp;M1131&amp;" "&amp;N1131&amp;" "&amp;T1131))),ISNUMBER(SEARCH("hacking",LOWER(F1131&amp;" "&amp;H1131&amp;" "&amp;I1131&amp;" "&amp;M1131&amp;" "&amp;N1131&amp;" "&amp;T1131))),ISNUMBER(SEARCH("bank",LOWER(F1131&amp;" "&amp;H1131&amp;" "&amp;I1131&amp;" "&amp;M1131&amp;" "&amp;N1131&amp;" "&amp;T1131))),ISNUMBER(SEARCH("banking",LOWER(F1131&amp;" "&amp;H1131&amp;" "&amp;I1131&amp;" "&amp;M1131&amp;" "&amp;N1131&amp;" "&amp;T1131)))),"PRIVATE_QUARANTINE",IF(OR(ISNUMBER(SEARCH("treasury",LOWER(F1131&amp;" "&amp;H1131&amp;" "&amp;I1131&amp;" "&amp;M1131&amp;" "&amp;N1131&amp;" "&amp;T1131))),ISNUMBER(SEARCH("debt",LOWER(F1131&amp;" "&amp;H1131&amp;" "&amp;I1131&amp;" "&amp;M1131&amp;" "&amp;N1131&amp;" "&amp;T1131))),ISNUMBER(SEARCH("bond",LOWER(F1131&amp;" "&amp;H1131&amp;" "&amp;I1131&amp;" "&amp;M1131&amp;" "&amp;N1131&amp;" "&amp;T1131))),ISNUMBER(SEARCH("transaction",LOWER(F1131&amp;" "&amp;H1131&amp;" "&amp;I1131&amp;" "&amp;M1131&amp;" "&amp;N1131&amp;" "&amp;T1131)))),"PRIVATE_REVIEW","PUBLIC_CANDIDATE"))</x:f>
        <x:v>PUBLIC_CANDIDATE</x:v>
      </x:c>
      <x:c r="AD1131" s="12" t="str">
        <x:f>IF(AC1131="PRIVATE_QUARANTINE","hacker_or_bank_trigger",IF(AC1131="PRIVATE_REVIEW","finance_risk_trigger","none"))</x:f>
        <x:v>none</x:v>
      </x:c>
      <x:c r="AE1131" s="12" t="str">
        <x:f>IF(AC1131="PUBLIC_CANDIDATE","prepare_public_github_candidate",IF(AC1131="PRIVATE_REVIEW","hold_for_private_review","quarantine_private_do_not_publish"))</x:f>
        <x:v>prepare_public_github_candidate</x:v>
      </x:c>
      <x:c r="AF1131" s="12" t="str">
        <x:f>IF(AC1131="PUBLIC_CANDIDATE","TIDELOCK + Lucerna",IF(AC1131="PRIVATE_REVIEW","AtlasBrain + Lucerna","TIDELOCK + Lucerna + Human-root"))</x:f>
        <x:v>TIDELOCK + Lucerna</x:v>
      </x:c>
      <x:c r="AG1131" s="12" t="str">
        <x:f>IF(AND(AC1131="PUBLIC_CANDIDATE",U1131&lt;&gt;"BLOCKED_PENDING_RECEIPT"),"READY_AFTER_RECEIPT","NOT_READY")</x:f>
        <x:v>NOT_READY</x:v>
      </x:c>
      <x:c r="AH1131" s="12" t="str">
        <x:f>IF(AC1131="PUBLIC_CANDIDATE","none",AD1131)</x:f>
        <x:v>none</x:v>
      </x:c>
      <x:c r="AI1131" s="12" t="str">
        <x:f>IF(AC1131="PUBLIC_CANDIDATE","archive/public_candidates/"&amp;A1131,"private_quarantine/"&amp;A1131)</x:f>
        <x:v>archive/public_candidates/SWARM-08-H11-S02</x:v>
      </x:c>
      <x:c r="AJ1131" s="12" t="str">
        <x:f>IF(AC1131="PUBLIC_CANDIDATE","public by default; still not canon","private/hold; do not publish")</x:f>
        <x:v>public by default; still not canon</x:v>
      </x:c>
      <x:c r="AK1131" s="12" t="str">
        <x:f>IF(AE1131="prepare_public_github_candidate","add receipt/status then mirror","resolve blocker before any public GitHub action")</x:f>
        <x:v>add receipt/status then mirror</x:v>
      </x:c>
    </x:row>
    <x:row r="1132">
      <x:c r="A1132" s="15" t="str">
        <x:v>SWARM-08-H11-S03</x:v>
      </x:c>
      <x:c r="B1132" s="15" t="str">
        <x:v>GammaSprite</x:v>
      </x:c>
      <x:c r="C1132" s="15" t="str">
        <x:v>Deck surface mapper</x:v>
      </x:c>
      <x:c r="D1132" s="15" t="str">
        <x:v>Aetherforge UX</x:v>
      </x:c>
      <x:c r="E1132" s="15" t="str">
        <x:v>GitHub</x:v>
      </x:c>
      <x:c r="F1132" s="15" t="str">
        <x:v>Design quest card for GitHub — GammaSprite</x:v>
      </x:c>
      <x:c r="G1132" s="15" t="str">
        <x:v>Gamma/deck extraction / slide lineage</x:v>
      </x:c>
      <x:c r="H1132" s="15" t="str">
        <x:v>source path + receipt + raw/export status + claim/edge/risk delta</x:v>
      </x:c>
      <x:c r="I1132" s="15" t="str">
        <x:v>packet/SWARM-08-H11-S03</x:v>
      </x:c>
      <x:c r="J1132" s="15" t="str">
        <x:v>TODO</x:v>
      </x:c>
      <x:c r="K1132" s="15" t="str">
        <x:v>P0</x:v>
      </x:c>
      <x:c r="L1132" s="15" t="str">
        <x:v>Done only when evidence is logged, contradiction search is noted, and boundary stamp remains non-canon unless ratified</x:v>
      </x:c>
      <x:c r="M1132" s="15" t="str">
        <x:v>candidate / staging-only / not canon / not deployed / authority none</x:v>
      </x:c>
      <x:c r="N1132" s="15" t="str">
        <x:v>Dispatch to GammaSprite: complete Aetherforge UX x GitHub; return deltas only, receipts required.</x:v>
      </x:c>
      <x:c r="O1132" s="15" t="str">
        <x:v>AF-KG-H11-S03</x:v>
      </x:c>
      <x:c r="P1132" s="15" t="str">
        <x:v>Unverified</x:v>
      </x:c>
      <x:c r="Q1132" s="15" t="str">
        <x:v>Not checked</x:v>
      </x:c>
      <x:c r="R1132" s="15" t="str"/>
      <x:c r="S1132" s="15" t="str"/>
      <x:c r="T1132" s="15" t="str">
        <x:v>Log first source path or blocker</x:v>
      </x:c>
      <x:c r="U1132" s="12" t="str">
        <x:f>IF(OR(P1132="Unverified",Q1132="Not checked"),"BLOCKED_PENDING_RECEIPT","READY_FOR_REVIEW")</x:f>
        <x:v>BLOCKED_PENDING_RECEIPT</x:v>
      </x:c>
      <x:c r="V1132" s="12" t="str">
        <x:f>IF(J1132="DONE","RETURNED",IF(U1132="BLOCKED_PENDING_RECEIPT","SOURCE_TOUCH_REQUIRED","IN_PROGRESS"))</x:f>
        <x:v>SOURCE_TOUCH_REQUIRED</x:v>
      </x:c>
      <x:c r="W1132" s="12" t="str">
        <x:f>IF(P1132="Unverified","missing_receipt","receipt_logged")</x:f>
        <x:v>missing_receipt</x:v>
      </x:c>
      <x:c r="X1132" s="12" t="str">
        <x:f>IF(Q1132="Not checked","raw_status_missing","raw_status_logged")</x:f>
        <x:v>raw_status_missing</x:v>
      </x:c>
      <x:c r="Y1132" s="12" t="str">
        <x:f>IF(U1132="BLOCKED_PENDING_RECEIPT","Log source path or blocker; do not promote","Route to review lane")</x:f>
        <x:v>Log source path or blocker; do not promote</x:v>
      </x:c>
      <x:c r="Z1132" s="12" t="str">
        <x:f>IF(K1132="P0","Primary seat + Hashlight/Lucerna","Seat lane")</x:f>
        <x:v>Primary seat + Hashlight/Lucerna</x:v>
      </x:c>
      <x:c r="AA1132" s="12" t="str">
        <x:f>IF(R1132="","no_claim_delta","claim_delta_present")</x:f>
        <x:v>no_claim_delta</x:v>
      </x:c>
      <x:c r="AB1132" s="12" t="str">
        <x:f>IF(S1132="","no_contradiction_delta","contradiction_delta_present")</x:f>
        <x:v>no_contradiction_delta</x:v>
      </x:c>
      <x:c r="AC1132" s="12" t="str">
        <x:f>IF(OR(ISNUMBER(SEARCH("hacker",LOWER(F1132&amp;" "&amp;H1132&amp;" "&amp;I1132&amp;" "&amp;M1132&amp;" "&amp;N1132&amp;" "&amp;T1132))),ISNUMBER(SEARCH("hacking",LOWER(F1132&amp;" "&amp;H1132&amp;" "&amp;I1132&amp;" "&amp;M1132&amp;" "&amp;N1132&amp;" "&amp;T1132))),ISNUMBER(SEARCH("bank",LOWER(F1132&amp;" "&amp;H1132&amp;" "&amp;I1132&amp;" "&amp;M1132&amp;" "&amp;N1132&amp;" "&amp;T1132))),ISNUMBER(SEARCH("banking",LOWER(F1132&amp;" "&amp;H1132&amp;" "&amp;I1132&amp;" "&amp;M1132&amp;" "&amp;N1132&amp;" "&amp;T1132)))),"PRIVATE_QUARANTINE",IF(OR(ISNUMBER(SEARCH("treasury",LOWER(F1132&amp;" "&amp;H1132&amp;" "&amp;I1132&amp;" "&amp;M1132&amp;" "&amp;N1132&amp;" "&amp;T1132))),ISNUMBER(SEARCH("debt",LOWER(F1132&amp;" "&amp;H1132&amp;" "&amp;I1132&amp;" "&amp;M1132&amp;" "&amp;N1132&amp;" "&amp;T1132))),ISNUMBER(SEARCH("bond",LOWER(F1132&amp;" "&amp;H1132&amp;" "&amp;I1132&amp;" "&amp;M1132&amp;" "&amp;N1132&amp;" "&amp;T1132))),ISNUMBER(SEARCH("transaction",LOWER(F1132&amp;" "&amp;H1132&amp;" "&amp;I1132&amp;" "&amp;M1132&amp;" "&amp;N1132&amp;" "&amp;T1132)))),"PRIVATE_REVIEW","PUBLIC_CANDIDATE"))</x:f>
        <x:v>PUBLIC_CANDIDATE</x:v>
      </x:c>
      <x:c r="AD1132" s="12" t="str">
        <x:f>IF(AC1132="PRIVATE_QUARANTINE","hacker_or_bank_trigger",IF(AC1132="PRIVATE_REVIEW","finance_risk_trigger","none"))</x:f>
        <x:v>none</x:v>
      </x:c>
      <x:c r="AE1132" s="12" t="str">
        <x:f>IF(AC1132="PUBLIC_CANDIDATE","prepare_public_github_candidate",IF(AC1132="PRIVATE_REVIEW","hold_for_private_review","quarantine_private_do_not_publish"))</x:f>
        <x:v>prepare_public_github_candidate</x:v>
      </x:c>
      <x:c r="AF1132" s="12" t="str">
        <x:f>IF(AC1132="PUBLIC_CANDIDATE","TIDELOCK + Lucerna",IF(AC1132="PRIVATE_REVIEW","AtlasBrain + Lucerna","TIDELOCK + Lucerna + Human-root"))</x:f>
        <x:v>TIDELOCK + Lucerna</x:v>
      </x:c>
      <x:c r="AG1132" s="12" t="str">
        <x:f>IF(AND(AC1132="PUBLIC_CANDIDATE",U1132&lt;&gt;"BLOCKED_PENDING_RECEIPT"),"READY_AFTER_RECEIPT","NOT_READY")</x:f>
        <x:v>NOT_READY</x:v>
      </x:c>
      <x:c r="AH1132" s="12" t="str">
        <x:f>IF(AC1132="PUBLIC_CANDIDATE","none",AD1132)</x:f>
        <x:v>none</x:v>
      </x:c>
      <x:c r="AI1132" s="12" t="str">
        <x:f>IF(AC1132="PUBLIC_CANDIDATE","archive/public_candidates/"&amp;A1132,"private_quarantine/"&amp;A1132)</x:f>
        <x:v>archive/public_candidates/SWARM-08-H11-S03</x:v>
      </x:c>
      <x:c r="AJ1132" s="12" t="str">
        <x:f>IF(AC1132="PUBLIC_CANDIDATE","public by default; still not canon","private/hold; do not publish")</x:f>
        <x:v>public by default; still not canon</x:v>
      </x:c>
      <x:c r="AK1132" s="12" t="str">
        <x:f>IF(AE1132="prepare_public_github_candidate","add receipt/status then mirror","resolve blocker before any public GitHub action")</x:f>
        <x:v>add receipt/status then mirror</x:v>
      </x:c>
    </x:row>
    <x:row r="1133">
      <x:c r="A1133" s="15" t="str">
        <x:v>SWARM-08-H11-S04</x:v>
      </x:c>
      <x:c r="B1133" s="15" t="str">
        <x:v>GammaSprite</x:v>
      </x:c>
      <x:c r="C1133" s="15" t="str">
        <x:v>Deck surface mapper</x:v>
      </x:c>
      <x:c r="D1133" s="15" t="str">
        <x:v>Aetherforge UX</x:v>
      </x:c>
      <x:c r="E1133" s="15" t="str">
        <x:v>Gamma</x:v>
      </x:c>
      <x:c r="F1133" s="15" t="str">
        <x:v>Design quest card for Gamma — GammaSprite</x:v>
      </x:c>
      <x:c r="G1133" s="15" t="str">
        <x:v>Gamma/deck extraction / slide lineage</x:v>
      </x:c>
      <x:c r="H1133" s="15" t="str">
        <x:v>source path + receipt + raw/export status + claim/edge/risk delta</x:v>
      </x:c>
      <x:c r="I1133" s="15" t="str">
        <x:v>packet/SWARM-08-H11-S04</x:v>
      </x:c>
      <x:c r="J1133" s="15" t="str">
        <x:v>TODO</x:v>
      </x:c>
      <x:c r="K1133" s="15" t="str">
        <x:v>P1</x:v>
      </x:c>
      <x:c r="L1133" s="15" t="str">
        <x:v>Done only when evidence is logged, contradiction search is noted, and boundary stamp remains non-canon unless ratified</x:v>
      </x:c>
      <x:c r="M1133" s="15" t="str">
        <x:v>candidate / staging-only / not canon / not deployed / authority none</x:v>
      </x:c>
      <x:c r="N1133" s="15" t="str">
        <x:v>Dispatch to GammaSprite: complete Aetherforge UX x Gamma; return deltas only, receipts required.</x:v>
      </x:c>
      <x:c r="O1133" s="15" t="str">
        <x:v>AF-KG-H11-S04</x:v>
      </x:c>
      <x:c r="P1133" s="15" t="str">
        <x:v>Unverified</x:v>
      </x:c>
      <x:c r="Q1133" s="15" t="str">
        <x:v>Not checked</x:v>
      </x:c>
      <x:c r="R1133" s="15" t="str"/>
      <x:c r="S1133" s="15" t="str"/>
      <x:c r="T1133" s="15" t="str">
        <x:v>Log first source path or blocker</x:v>
      </x:c>
      <x:c r="U1133" s="12" t="str">
        <x:f>IF(OR(P1133="Unverified",Q1133="Not checked"),"BLOCKED_PENDING_RECEIPT","READY_FOR_REVIEW")</x:f>
        <x:v>BLOCKED_PENDING_RECEIPT</x:v>
      </x:c>
      <x:c r="V1133" s="12" t="str">
        <x:f>IF(J1133="DONE","RETURNED",IF(U1133="BLOCKED_PENDING_RECEIPT","SOURCE_TOUCH_REQUIRED","IN_PROGRESS"))</x:f>
        <x:v>SOURCE_TOUCH_REQUIRED</x:v>
      </x:c>
      <x:c r="W1133" s="12" t="str">
        <x:f>IF(P1133="Unverified","missing_receipt","receipt_logged")</x:f>
        <x:v>missing_receipt</x:v>
      </x:c>
      <x:c r="X1133" s="12" t="str">
        <x:f>IF(Q1133="Not checked","raw_status_missing","raw_status_logged")</x:f>
        <x:v>raw_status_missing</x:v>
      </x:c>
      <x:c r="Y1133" s="12" t="str">
        <x:f>IF(U1133="BLOCKED_PENDING_RECEIPT","Log source path or blocker; do not promote","Route to review lane")</x:f>
        <x:v>Log source path or blocker; do not promote</x:v>
      </x:c>
      <x:c r="Z1133" s="12" t="str">
        <x:f>IF(K1133="P0","Primary seat + Hashlight/Lucerna","Seat lane")</x:f>
        <x:v>Seat lane</x:v>
      </x:c>
      <x:c r="AA1133" s="12" t="str">
        <x:f>IF(R1133="","no_claim_delta","claim_delta_present")</x:f>
        <x:v>no_claim_delta</x:v>
      </x:c>
      <x:c r="AB1133" s="12" t="str">
        <x:f>IF(S1133="","no_contradiction_delta","contradiction_delta_present")</x:f>
        <x:v>no_contradiction_delta</x:v>
      </x:c>
      <x:c r="AC1133" s="12" t="str">
        <x:f>IF(OR(ISNUMBER(SEARCH("hacker",LOWER(F1133&amp;" "&amp;H1133&amp;" "&amp;I1133&amp;" "&amp;M1133&amp;" "&amp;N1133&amp;" "&amp;T1133))),ISNUMBER(SEARCH("hacking",LOWER(F1133&amp;" "&amp;H1133&amp;" "&amp;I1133&amp;" "&amp;M1133&amp;" "&amp;N1133&amp;" "&amp;T1133))),ISNUMBER(SEARCH("bank",LOWER(F1133&amp;" "&amp;H1133&amp;" "&amp;I1133&amp;" "&amp;M1133&amp;" "&amp;N1133&amp;" "&amp;T1133))),ISNUMBER(SEARCH("banking",LOWER(F1133&amp;" "&amp;H1133&amp;" "&amp;I1133&amp;" "&amp;M1133&amp;" "&amp;N1133&amp;" "&amp;T1133)))),"PRIVATE_QUARANTINE",IF(OR(ISNUMBER(SEARCH("treasury",LOWER(F1133&amp;" "&amp;H1133&amp;" "&amp;I1133&amp;" "&amp;M1133&amp;" "&amp;N1133&amp;" "&amp;T1133))),ISNUMBER(SEARCH("debt",LOWER(F1133&amp;" "&amp;H1133&amp;" "&amp;I1133&amp;" "&amp;M1133&amp;" "&amp;N1133&amp;" "&amp;T1133))),ISNUMBER(SEARCH("bond",LOWER(F1133&amp;" "&amp;H1133&amp;" "&amp;I1133&amp;" "&amp;M1133&amp;" "&amp;N1133&amp;" "&amp;T1133))),ISNUMBER(SEARCH("transaction",LOWER(F1133&amp;" "&amp;H1133&amp;" "&amp;I1133&amp;" "&amp;M1133&amp;" "&amp;N1133&amp;" "&amp;T1133)))),"PRIVATE_REVIEW","PUBLIC_CANDIDATE"))</x:f>
        <x:v>PUBLIC_CANDIDATE</x:v>
      </x:c>
      <x:c r="AD1133" s="12" t="str">
        <x:f>IF(AC1133="PRIVATE_QUARANTINE","hacker_or_bank_trigger",IF(AC1133="PRIVATE_REVIEW","finance_risk_trigger","none"))</x:f>
        <x:v>none</x:v>
      </x:c>
      <x:c r="AE1133" s="12" t="str">
        <x:f>IF(AC1133="PUBLIC_CANDIDATE","prepare_public_github_candidate",IF(AC1133="PRIVATE_REVIEW","hold_for_private_review","quarantine_private_do_not_publish"))</x:f>
        <x:v>prepare_public_github_candidate</x:v>
      </x:c>
      <x:c r="AF1133" s="12" t="str">
        <x:f>IF(AC1133="PUBLIC_CANDIDATE","TIDELOCK + Lucerna",IF(AC1133="PRIVATE_REVIEW","AtlasBrain + Lucerna","TIDELOCK + Lucerna + Human-root"))</x:f>
        <x:v>TIDELOCK + Lucerna</x:v>
      </x:c>
      <x:c r="AG1133" s="12" t="str">
        <x:f>IF(AND(AC1133="PUBLIC_CANDIDATE",U1133&lt;&gt;"BLOCKED_PENDING_RECEIPT"),"READY_AFTER_RECEIPT","NOT_READY")</x:f>
        <x:v>NOT_READY</x:v>
      </x:c>
      <x:c r="AH1133" s="12" t="str">
        <x:f>IF(AC1133="PUBLIC_CANDIDATE","none",AD1133)</x:f>
        <x:v>none</x:v>
      </x:c>
      <x:c r="AI1133" s="12" t="str">
        <x:f>IF(AC1133="PUBLIC_CANDIDATE","archive/public_candidates/"&amp;A1133,"private_quarantine/"&amp;A1133)</x:f>
        <x:v>archive/public_candidates/SWARM-08-H11-S04</x:v>
      </x:c>
      <x:c r="AJ1133" s="12" t="str">
        <x:f>IF(AC1133="PUBLIC_CANDIDATE","public by default; still not canon","private/hold; do not publish")</x:f>
        <x:v>public by default; still not canon</x:v>
      </x:c>
      <x:c r="AK1133" s="12" t="str">
        <x:f>IF(AE1133="prepare_public_github_candidate","add receipt/status then mirror","resolve blocker before any public GitHub action")</x:f>
        <x:v>add receipt/status then mirror</x:v>
      </x:c>
    </x:row>
    <x:row r="1134">
      <x:c r="A1134" s="15" t="str">
        <x:v>SWARM-08-H11-S05</x:v>
      </x:c>
      <x:c r="B1134" s="15" t="str">
        <x:v>GammaSprite</x:v>
      </x:c>
      <x:c r="C1134" s="15" t="str">
        <x:v>Deck surface mapper</x:v>
      </x:c>
      <x:c r="D1134" s="15" t="str">
        <x:v>Aetherforge UX</x:v>
      </x:c>
      <x:c r="E1134" s="15" t="str">
        <x:v>Chat</x:v>
      </x:c>
      <x:c r="F1134" s="15" t="str">
        <x:v>Design quest card for Chat — GammaSprite</x:v>
      </x:c>
      <x:c r="G1134" s="15" t="str">
        <x:v>Gamma/deck extraction / slide lineage</x:v>
      </x:c>
      <x:c r="H1134" s="15" t="str">
        <x:v>source path + receipt + raw/export status + claim/edge/risk delta</x:v>
      </x:c>
      <x:c r="I1134" s="15" t="str">
        <x:v>packet/SWARM-08-H11-S05</x:v>
      </x:c>
      <x:c r="J1134" s="15" t="str">
        <x:v>TODO</x:v>
      </x:c>
      <x:c r="K1134" s="15" t="str">
        <x:v>P1</x:v>
      </x:c>
      <x:c r="L1134" s="15" t="str">
        <x:v>Done only when evidence is logged, contradiction search is noted, and boundary stamp remains non-canon unless ratified</x:v>
      </x:c>
      <x:c r="M1134" s="15" t="str">
        <x:v>candidate / staging-only / not canon / not deployed / authority none</x:v>
      </x:c>
      <x:c r="N1134" s="15" t="str">
        <x:v>Dispatch to GammaSprite: complete Aetherforge UX x Chat; return deltas only, receipts required.</x:v>
      </x:c>
      <x:c r="O1134" s="15" t="str">
        <x:v>AF-KG-H11-S05</x:v>
      </x:c>
      <x:c r="P1134" s="15" t="str">
        <x:v>Unverified</x:v>
      </x:c>
      <x:c r="Q1134" s="15" t="str">
        <x:v>Not checked</x:v>
      </x:c>
      <x:c r="R1134" s="15" t="str"/>
      <x:c r="S1134" s="15" t="str"/>
      <x:c r="T1134" s="15" t="str">
        <x:v>Log first source path or blocker</x:v>
      </x:c>
      <x:c r="U1134" s="12" t="str">
        <x:f>IF(OR(P1134="Unverified",Q1134="Not checked"),"BLOCKED_PENDING_RECEIPT","READY_FOR_REVIEW")</x:f>
        <x:v>BLOCKED_PENDING_RECEIPT</x:v>
      </x:c>
      <x:c r="V1134" s="12" t="str">
        <x:f>IF(J1134="DONE","RETURNED",IF(U1134="BLOCKED_PENDING_RECEIPT","SOURCE_TOUCH_REQUIRED","IN_PROGRESS"))</x:f>
        <x:v>SOURCE_TOUCH_REQUIRED</x:v>
      </x:c>
      <x:c r="W1134" s="12" t="str">
        <x:f>IF(P1134="Unverified","missing_receipt","receipt_logged")</x:f>
        <x:v>missing_receipt</x:v>
      </x:c>
      <x:c r="X1134" s="12" t="str">
        <x:f>IF(Q1134="Not checked","raw_status_missing","raw_status_logged")</x:f>
        <x:v>raw_status_missing</x:v>
      </x:c>
      <x:c r="Y1134" s="12" t="str">
        <x:f>IF(U1134="BLOCKED_PENDING_RECEIPT","Log source path or blocker; do not promote","Route to review lane")</x:f>
        <x:v>Log source path or blocker; do not promote</x:v>
      </x:c>
      <x:c r="Z1134" s="12" t="str">
        <x:f>IF(K1134="P0","Primary seat + Hashlight/Lucerna","Seat lane")</x:f>
        <x:v>Seat lane</x:v>
      </x:c>
      <x:c r="AA1134" s="12" t="str">
        <x:f>IF(R1134="","no_claim_delta","claim_delta_present")</x:f>
        <x:v>no_claim_delta</x:v>
      </x:c>
      <x:c r="AB1134" s="12" t="str">
        <x:f>IF(S1134="","no_contradiction_delta","contradiction_delta_present")</x:f>
        <x:v>no_contradiction_delta</x:v>
      </x:c>
      <x:c r="AC1134" s="12" t="str">
        <x:f>IF(OR(ISNUMBER(SEARCH("hacker",LOWER(F1134&amp;" "&amp;H1134&amp;" "&amp;I1134&amp;" "&amp;M1134&amp;" "&amp;N1134&amp;" "&amp;T1134))),ISNUMBER(SEARCH("hacking",LOWER(F1134&amp;" "&amp;H1134&amp;" "&amp;I1134&amp;" "&amp;M1134&amp;" "&amp;N1134&amp;" "&amp;T1134))),ISNUMBER(SEARCH("bank",LOWER(F1134&amp;" "&amp;H1134&amp;" "&amp;I1134&amp;" "&amp;M1134&amp;" "&amp;N1134&amp;" "&amp;T1134))),ISNUMBER(SEARCH("banking",LOWER(F1134&amp;" "&amp;H1134&amp;" "&amp;I1134&amp;" "&amp;M1134&amp;" "&amp;N1134&amp;" "&amp;T1134)))),"PRIVATE_QUARANTINE",IF(OR(ISNUMBER(SEARCH("treasury",LOWER(F1134&amp;" "&amp;H1134&amp;" "&amp;I1134&amp;" "&amp;M1134&amp;" "&amp;N1134&amp;" "&amp;T1134))),ISNUMBER(SEARCH("debt",LOWER(F1134&amp;" "&amp;H1134&amp;" "&amp;I1134&amp;" "&amp;M1134&amp;" "&amp;N1134&amp;" "&amp;T1134))),ISNUMBER(SEARCH("bond",LOWER(F1134&amp;" "&amp;H1134&amp;" "&amp;I1134&amp;" "&amp;M1134&amp;" "&amp;N1134&amp;" "&amp;T1134))),ISNUMBER(SEARCH("transaction",LOWER(F1134&amp;" "&amp;H1134&amp;" "&amp;I1134&amp;" "&amp;M1134&amp;" "&amp;N1134&amp;" "&amp;T1134)))),"PRIVATE_REVIEW","PUBLIC_CANDIDATE"))</x:f>
        <x:v>PUBLIC_CANDIDATE</x:v>
      </x:c>
      <x:c r="AD1134" s="12" t="str">
        <x:f>IF(AC1134="PRIVATE_QUARANTINE","hacker_or_bank_trigger",IF(AC1134="PRIVATE_REVIEW","finance_risk_trigger","none"))</x:f>
        <x:v>none</x:v>
      </x:c>
      <x:c r="AE1134" s="12" t="str">
        <x:f>IF(AC1134="PUBLIC_CANDIDATE","prepare_public_github_candidate",IF(AC1134="PRIVATE_REVIEW","hold_for_private_review","quarantine_private_do_not_publish"))</x:f>
        <x:v>prepare_public_github_candidate</x:v>
      </x:c>
      <x:c r="AF1134" s="12" t="str">
        <x:f>IF(AC1134="PUBLIC_CANDIDATE","TIDELOCK + Lucerna",IF(AC1134="PRIVATE_REVIEW","AtlasBrain + Lucerna","TIDELOCK + Lucerna + Human-root"))</x:f>
        <x:v>TIDELOCK + Lucerna</x:v>
      </x:c>
      <x:c r="AG1134" s="12" t="str">
        <x:f>IF(AND(AC1134="PUBLIC_CANDIDATE",U1134&lt;&gt;"BLOCKED_PENDING_RECEIPT"),"READY_AFTER_RECEIPT","NOT_READY")</x:f>
        <x:v>NOT_READY</x:v>
      </x:c>
      <x:c r="AH1134" s="12" t="str">
        <x:f>IF(AC1134="PUBLIC_CANDIDATE","none",AD1134)</x:f>
        <x:v>none</x:v>
      </x:c>
      <x:c r="AI1134" s="12" t="str">
        <x:f>IF(AC1134="PUBLIC_CANDIDATE","archive/public_candidates/"&amp;A1134,"private_quarantine/"&amp;A1134)</x:f>
        <x:v>archive/public_candidates/SWARM-08-H11-S05</x:v>
      </x:c>
      <x:c r="AJ1134" s="12" t="str">
        <x:f>IF(AC1134="PUBLIC_CANDIDATE","public by default; still not canon","private/hold; do not publish")</x:f>
        <x:v>public by default; still not canon</x:v>
      </x:c>
      <x:c r="AK1134" s="12" t="str">
        <x:f>IF(AE1134="prepare_public_github_candidate","add receipt/status then mirror","resolve blocker before any public GitHub action")</x:f>
        <x:v>add receipt/status then mirror</x:v>
      </x:c>
    </x:row>
    <x:row r="1135">
      <x:c r="A1135" s="15" t="str">
        <x:v>SWARM-08-H11-S06</x:v>
      </x:c>
      <x:c r="B1135" s="15" t="str">
        <x:v>GammaSprite</x:v>
      </x:c>
      <x:c r="C1135" s="15" t="str">
        <x:v>Deck surface mapper</x:v>
      </x:c>
      <x:c r="D1135" s="15" t="str">
        <x:v>Aetherforge UX</x:v>
      </x:c>
      <x:c r="E1135" s="15" t="str">
        <x:v>External Web</x:v>
      </x:c>
      <x:c r="F1135" s="15" t="str">
        <x:v>Design quest card for External Web — GammaSprite</x:v>
      </x:c>
      <x:c r="G1135" s="15" t="str">
        <x:v>Gamma/deck extraction / slide lineage</x:v>
      </x:c>
      <x:c r="H1135" s="15" t="str">
        <x:v>source path + receipt + raw/export status + claim/edge/risk delta</x:v>
      </x:c>
      <x:c r="I1135" s="15" t="str">
        <x:v>packet/SWARM-08-H11-S06</x:v>
      </x:c>
      <x:c r="J1135" s="15" t="str">
        <x:v>TODO</x:v>
      </x:c>
      <x:c r="K1135" s="15" t="str">
        <x:v>P1</x:v>
      </x:c>
      <x:c r="L1135" s="15" t="str">
        <x:v>Done only when evidence is logged, contradiction search is noted, and boundary stamp remains non-canon unless ratified</x:v>
      </x:c>
      <x:c r="M1135" s="15" t="str">
        <x:v>candidate / staging-only / not canon / not deployed / authority none</x:v>
      </x:c>
      <x:c r="N1135" s="15" t="str">
        <x:v>Dispatch to GammaSprite: complete Aetherforge UX x External Web; return deltas only, receipts required.</x:v>
      </x:c>
      <x:c r="O1135" s="15" t="str">
        <x:v>AF-KG-H11-S06</x:v>
      </x:c>
      <x:c r="P1135" s="15" t="str">
        <x:v>Unverified</x:v>
      </x:c>
      <x:c r="Q1135" s="15" t="str">
        <x:v>Not checked</x:v>
      </x:c>
      <x:c r="R1135" s="15" t="str"/>
      <x:c r="S1135" s="15" t="str"/>
      <x:c r="T1135" s="15" t="str">
        <x:v>Log first source path or blocker</x:v>
      </x:c>
      <x:c r="U1135" s="12" t="str">
        <x:f>IF(OR(P1135="Unverified",Q1135="Not checked"),"BLOCKED_PENDING_RECEIPT","READY_FOR_REVIEW")</x:f>
        <x:v>BLOCKED_PENDING_RECEIPT</x:v>
      </x:c>
      <x:c r="V1135" s="12" t="str">
        <x:f>IF(J1135="DONE","RETURNED",IF(U1135="BLOCKED_PENDING_RECEIPT","SOURCE_TOUCH_REQUIRED","IN_PROGRESS"))</x:f>
        <x:v>SOURCE_TOUCH_REQUIRED</x:v>
      </x:c>
      <x:c r="W1135" s="12" t="str">
        <x:f>IF(P1135="Unverified","missing_receipt","receipt_logged")</x:f>
        <x:v>missing_receipt</x:v>
      </x:c>
      <x:c r="X1135" s="12" t="str">
        <x:f>IF(Q1135="Not checked","raw_status_missing","raw_status_logged")</x:f>
        <x:v>raw_status_missing</x:v>
      </x:c>
      <x:c r="Y1135" s="12" t="str">
        <x:f>IF(U1135="BLOCKED_PENDING_RECEIPT","Log source path or blocker; do not promote","Route to review lane")</x:f>
        <x:v>Log source path or blocker; do not promote</x:v>
      </x:c>
      <x:c r="Z1135" s="12" t="str">
        <x:f>IF(K1135="P0","Primary seat + Hashlight/Lucerna","Seat lane")</x:f>
        <x:v>Seat lane</x:v>
      </x:c>
      <x:c r="AA1135" s="12" t="str">
        <x:f>IF(R1135="","no_claim_delta","claim_delta_present")</x:f>
        <x:v>no_claim_delta</x:v>
      </x:c>
      <x:c r="AB1135" s="12" t="str">
        <x:f>IF(S1135="","no_contradiction_delta","contradiction_delta_present")</x:f>
        <x:v>no_contradiction_delta</x:v>
      </x:c>
      <x:c r="AC1135" s="12" t="str">
        <x:f>IF(OR(ISNUMBER(SEARCH("hacker",LOWER(F1135&amp;" "&amp;H1135&amp;" "&amp;I1135&amp;" "&amp;M1135&amp;" "&amp;N1135&amp;" "&amp;T1135))),ISNUMBER(SEARCH("hacking",LOWER(F1135&amp;" "&amp;H1135&amp;" "&amp;I1135&amp;" "&amp;M1135&amp;" "&amp;N1135&amp;" "&amp;T1135))),ISNUMBER(SEARCH("bank",LOWER(F1135&amp;" "&amp;H1135&amp;" "&amp;I1135&amp;" "&amp;M1135&amp;" "&amp;N1135&amp;" "&amp;T1135))),ISNUMBER(SEARCH("banking",LOWER(F1135&amp;" "&amp;H1135&amp;" "&amp;I1135&amp;" "&amp;M1135&amp;" "&amp;N1135&amp;" "&amp;T1135)))),"PRIVATE_QUARANTINE",IF(OR(ISNUMBER(SEARCH("treasury",LOWER(F1135&amp;" "&amp;H1135&amp;" "&amp;I1135&amp;" "&amp;M1135&amp;" "&amp;N1135&amp;" "&amp;T1135))),ISNUMBER(SEARCH("debt",LOWER(F1135&amp;" "&amp;H1135&amp;" "&amp;I1135&amp;" "&amp;M1135&amp;" "&amp;N1135&amp;" "&amp;T1135))),ISNUMBER(SEARCH("bond",LOWER(F1135&amp;" "&amp;H1135&amp;" "&amp;I1135&amp;" "&amp;M1135&amp;" "&amp;N1135&amp;" "&amp;T1135))),ISNUMBER(SEARCH("transaction",LOWER(F1135&amp;" "&amp;H1135&amp;" "&amp;I1135&amp;" "&amp;M1135&amp;" "&amp;N1135&amp;" "&amp;T1135)))),"PRIVATE_REVIEW","PUBLIC_CANDIDATE"))</x:f>
        <x:v>PUBLIC_CANDIDATE</x:v>
      </x:c>
      <x:c r="AD1135" s="12" t="str">
        <x:f>IF(AC1135="PRIVATE_QUARANTINE","hacker_or_bank_trigger",IF(AC1135="PRIVATE_REVIEW","finance_risk_trigger","none"))</x:f>
        <x:v>none</x:v>
      </x:c>
      <x:c r="AE1135" s="12" t="str">
        <x:f>IF(AC1135="PUBLIC_CANDIDATE","prepare_public_github_candidate",IF(AC1135="PRIVATE_REVIEW","hold_for_private_review","quarantine_private_do_not_publish"))</x:f>
        <x:v>prepare_public_github_candidate</x:v>
      </x:c>
      <x:c r="AF1135" s="12" t="str">
        <x:f>IF(AC1135="PUBLIC_CANDIDATE","TIDELOCK + Lucerna",IF(AC1135="PRIVATE_REVIEW","AtlasBrain + Lucerna","TIDELOCK + Lucerna + Human-root"))</x:f>
        <x:v>TIDELOCK + Lucerna</x:v>
      </x:c>
      <x:c r="AG1135" s="12" t="str">
        <x:f>IF(AND(AC1135="PUBLIC_CANDIDATE",U1135&lt;&gt;"BLOCKED_PENDING_RECEIPT"),"READY_AFTER_RECEIPT","NOT_READY")</x:f>
        <x:v>NOT_READY</x:v>
      </x:c>
      <x:c r="AH1135" s="12" t="str">
        <x:f>IF(AC1135="PUBLIC_CANDIDATE","none",AD1135)</x:f>
        <x:v>none</x:v>
      </x:c>
      <x:c r="AI1135" s="12" t="str">
        <x:f>IF(AC1135="PUBLIC_CANDIDATE","archive/public_candidates/"&amp;A1135,"private_quarantine/"&amp;A1135)</x:f>
        <x:v>archive/public_candidates/SWARM-08-H11-S06</x:v>
      </x:c>
      <x:c r="AJ1135" s="12" t="str">
        <x:f>IF(AC1135="PUBLIC_CANDIDATE","public by default; still not canon","private/hold; do not publish")</x:f>
        <x:v>public by default; still not canon</x:v>
      </x:c>
      <x:c r="AK1135" s="12" t="str">
        <x:f>IF(AE1135="prepare_public_github_candidate","add receipt/status then mirror","resolve blocker before any public GitHub action")</x:f>
        <x:v>add receipt/status then mirror</x:v>
      </x:c>
    </x:row>
    <x:row r="1136">
      <x:c r="A1136" s="15" t="str">
        <x:v>SWARM-08-H11-S07</x:v>
      </x:c>
      <x:c r="B1136" s="15" t="str">
        <x:v>GammaSprite</x:v>
      </x:c>
      <x:c r="C1136" s="15" t="str">
        <x:v>Deck surface mapper</x:v>
      </x:c>
      <x:c r="D1136" s="15" t="str">
        <x:v>Aetherforge UX</x:v>
      </x:c>
      <x:c r="E1136" s="15" t="str">
        <x:v>Planetarium</x:v>
      </x:c>
      <x:c r="F1136" s="15" t="str">
        <x:v>Design quest card for Planetarium — GammaSprite</x:v>
      </x:c>
      <x:c r="G1136" s="15" t="str">
        <x:v>Gamma/deck extraction / slide lineage</x:v>
      </x:c>
      <x:c r="H1136" s="15" t="str">
        <x:v>source path + receipt + raw/export status + claim/edge/risk delta</x:v>
      </x:c>
      <x:c r="I1136" s="15" t="str">
        <x:v>packet/SWARM-08-H11-S07</x:v>
      </x:c>
      <x:c r="J1136" s="15" t="str">
        <x:v>TODO</x:v>
      </x:c>
      <x:c r="K1136" s="15" t="str">
        <x:v>P1</x:v>
      </x:c>
      <x:c r="L1136" s="15" t="str">
        <x:v>Done only when evidence is logged, contradiction search is noted, and boundary stamp remains non-canon unless ratified</x:v>
      </x:c>
      <x:c r="M1136" s="15" t="str">
        <x:v>candidate / staging-only / not canon / not deployed / authority none</x:v>
      </x:c>
      <x:c r="N1136" s="15" t="str">
        <x:v>Dispatch to GammaSprite: complete Aetherforge UX x Planetarium; return deltas only, receipts required.</x:v>
      </x:c>
      <x:c r="O1136" s="15" t="str">
        <x:v>AF-KG-H11-S07</x:v>
      </x:c>
      <x:c r="P1136" s="15" t="str">
        <x:v>Unverified</x:v>
      </x:c>
      <x:c r="Q1136" s="15" t="str">
        <x:v>Not checked</x:v>
      </x:c>
      <x:c r="R1136" s="15" t="str"/>
      <x:c r="S1136" s="15" t="str"/>
      <x:c r="T1136" s="15" t="str">
        <x:v>Log first source path or blocker</x:v>
      </x:c>
      <x:c r="U1136" s="12" t="str">
        <x:f>IF(OR(P1136="Unverified",Q1136="Not checked"),"BLOCKED_PENDING_RECEIPT","READY_FOR_REVIEW")</x:f>
        <x:v>BLOCKED_PENDING_RECEIPT</x:v>
      </x:c>
      <x:c r="V1136" s="12" t="str">
        <x:f>IF(J1136="DONE","RETURNED",IF(U1136="BLOCKED_PENDING_RECEIPT","SOURCE_TOUCH_REQUIRED","IN_PROGRESS"))</x:f>
        <x:v>SOURCE_TOUCH_REQUIRED</x:v>
      </x:c>
      <x:c r="W1136" s="12" t="str">
        <x:f>IF(P1136="Unverified","missing_receipt","receipt_logged")</x:f>
        <x:v>missing_receipt</x:v>
      </x:c>
      <x:c r="X1136" s="12" t="str">
        <x:f>IF(Q1136="Not checked","raw_status_missing","raw_status_logged")</x:f>
        <x:v>raw_status_missing</x:v>
      </x:c>
      <x:c r="Y1136" s="12" t="str">
        <x:f>IF(U1136="BLOCKED_PENDING_RECEIPT","Log source path or blocker; do not promote","Route to review lane")</x:f>
        <x:v>Log source path or blocker; do not promote</x:v>
      </x:c>
      <x:c r="Z1136" s="12" t="str">
        <x:f>IF(K1136="P0","Primary seat + Hashlight/Lucerna","Seat lane")</x:f>
        <x:v>Seat lane</x:v>
      </x:c>
      <x:c r="AA1136" s="12" t="str">
        <x:f>IF(R1136="","no_claim_delta","claim_delta_present")</x:f>
        <x:v>no_claim_delta</x:v>
      </x:c>
      <x:c r="AB1136" s="12" t="str">
        <x:f>IF(S1136="","no_contradiction_delta","contradiction_delta_present")</x:f>
        <x:v>no_contradiction_delta</x:v>
      </x:c>
      <x:c r="AC1136" s="12" t="str">
        <x:f>IF(OR(ISNUMBER(SEARCH("hacker",LOWER(F1136&amp;" "&amp;H1136&amp;" "&amp;I1136&amp;" "&amp;M1136&amp;" "&amp;N1136&amp;" "&amp;T1136))),ISNUMBER(SEARCH("hacking",LOWER(F1136&amp;" "&amp;H1136&amp;" "&amp;I1136&amp;" "&amp;M1136&amp;" "&amp;N1136&amp;" "&amp;T1136))),ISNUMBER(SEARCH("bank",LOWER(F1136&amp;" "&amp;H1136&amp;" "&amp;I1136&amp;" "&amp;M1136&amp;" "&amp;N1136&amp;" "&amp;T1136))),ISNUMBER(SEARCH("banking",LOWER(F1136&amp;" "&amp;H1136&amp;" "&amp;I1136&amp;" "&amp;M1136&amp;" "&amp;N1136&amp;" "&amp;T1136)))),"PRIVATE_QUARANTINE",IF(OR(ISNUMBER(SEARCH("treasury",LOWER(F1136&amp;" "&amp;H1136&amp;" "&amp;I1136&amp;" "&amp;M1136&amp;" "&amp;N1136&amp;" "&amp;T1136))),ISNUMBER(SEARCH("debt",LOWER(F1136&amp;" "&amp;H1136&amp;" "&amp;I1136&amp;" "&amp;M1136&amp;" "&amp;N1136&amp;" "&amp;T1136))),ISNUMBER(SEARCH("bond",LOWER(F1136&amp;" "&amp;H1136&amp;" "&amp;I1136&amp;" "&amp;M1136&amp;" "&amp;N1136&amp;" "&amp;T1136))),ISNUMBER(SEARCH("transaction",LOWER(F1136&amp;" "&amp;H1136&amp;" "&amp;I1136&amp;" "&amp;M1136&amp;" "&amp;N1136&amp;" "&amp;T1136)))),"PRIVATE_REVIEW","PUBLIC_CANDIDATE"))</x:f>
        <x:v>PUBLIC_CANDIDATE</x:v>
      </x:c>
      <x:c r="AD1136" s="12" t="str">
        <x:f>IF(AC1136="PRIVATE_QUARANTINE","hacker_or_bank_trigger",IF(AC1136="PRIVATE_REVIEW","finance_risk_trigger","none"))</x:f>
        <x:v>none</x:v>
      </x:c>
      <x:c r="AE1136" s="12" t="str">
        <x:f>IF(AC1136="PUBLIC_CANDIDATE","prepare_public_github_candidate",IF(AC1136="PRIVATE_REVIEW","hold_for_private_review","quarantine_private_do_not_publish"))</x:f>
        <x:v>prepare_public_github_candidate</x:v>
      </x:c>
      <x:c r="AF1136" s="12" t="str">
        <x:f>IF(AC1136="PUBLIC_CANDIDATE","TIDELOCK + Lucerna",IF(AC1136="PRIVATE_REVIEW","AtlasBrain + Lucerna","TIDELOCK + Lucerna + Human-root"))</x:f>
        <x:v>TIDELOCK + Lucerna</x:v>
      </x:c>
      <x:c r="AG1136" s="12" t="str">
        <x:f>IF(AND(AC1136="PUBLIC_CANDIDATE",U1136&lt;&gt;"BLOCKED_PENDING_RECEIPT"),"READY_AFTER_RECEIPT","NOT_READY")</x:f>
        <x:v>NOT_READY</x:v>
      </x:c>
      <x:c r="AH1136" s="12" t="str">
        <x:f>IF(AC1136="PUBLIC_CANDIDATE","none",AD1136)</x:f>
        <x:v>none</x:v>
      </x:c>
      <x:c r="AI1136" s="12" t="str">
        <x:f>IF(AC1136="PUBLIC_CANDIDATE","archive/public_candidates/"&amp;A1136,"private_quarantine/"&amp;A1136)</x:f>
        <x:v>archive/public_candidates/SWARM-08-H11-S07</x:v>
      </x:c>
      <x:c r="AJ1136" s="12" t="str">
        <x:f>IF(AC1136="PUBLIC_CANDIDATE","public by default; still not canon","private/hold; do not publish")</x:f>
        <x:v>public by default; still not canon</x:v>
      </x:c>
      <x:c r="AK1136" s="12" t="str">
        <x:f>IF(AE1136="prepare_public_github_candidate","add receipt/status then mirror","resolve blocker before any public GitHub action")</x:f>
        <x:v>add receipt/status then mirror</x:v>
      </x:c>
    </x:row>
    <x:row r="1137">
      <x:c r="A1137" s="15" t="str">
        <x:v>SWARM-08-H11-S08</x:v>
      </x:c>
      <x:c r="B1137" s="15" t="str">
        <x:v>GammaSprite</x:v>
      </x:c>
      <x:c r="C1137" s="15" t="str">
        <x:v>Deck surface mapper</x:v>
      </x:c>
      <x:c r="D1137" s="15" t="str">
        <x:v>Aetherforge UX</x:v>
      </x:c>
      <x:c r="E1137" s="15" t="str">
        <x:v>Sheldonbrain</x:v>
      </x:c>
      <x:c r="F1137" s="15" t="str">
        <x:v>Design quest card for Sheldonbrain — GammaSprite</x:v>
      </x:c>
      <x:c r="G1137" s="15" t="str">
        <x:v>Gamma/deck extraction / slide lineage</x:v>
      </x:c>
      <x:c r="H1137" s="15" t="str">
        <x:v>source path + receipt + raw/export status + claim/edge/risk delta</x:v>
      </x:c>
      <x:c r="I1137" s="15" t="str">
        <x:v>packet/SWARM-08-H11-S08</x:v>
      </x:c>
      <x:c r="J1137" s="15" t="str">
        <x:v>TODO</x:v>
      </x:c>
      <x:c r="K1137" s="15" t="str">
        <x:v>P1</x:v>
      </x:c>
      <x:c r="L1137" s="15" t="str">
        <x:v>Done only when evidence is logged, contradiction search is noted, and boundary stamp remains non-canon unless ratified</x:v>
      </x:c>
      <x:c r="M1137" s="15" t="str">
        <x:v>candidate / staging-only / not canon / not deployed / authority none</x:v>
      </x:c>
      <x:c r="N1137" s="15" t="str">
        <x:v>Dispatch to GammaSprite: complete Aetherforge UX x Sheldonbrain; return deltas only, receipts required.</x:v>
      </x:c>
      <x:c r="O1137" s="15" t="str">
        <x:v>AF-KG-H11-S08</x:v>
      </x:c>
      <x:c r="P1137" s="15" t="str">
        <x:v>Unverified</x:v>
      </x:c>
      <x:c r="Q1137" s="15" t="str">
        <x:v>Not checked</x:v>
      </x:c>
      <x:c r="R1137" s="15" t="str"/>
      <x:c r="S1137" s="15" t="str"/>
      <x:c r="T1137" s="15" t="str">
        <x:v>Log first source path or blocker</x:v>
      </x:c>
      <x:c r="U1137" s="12" t="str">
        <x:f>IF(OR(P1137="Unverified",Q1137="Not checked"),"BLOCKED_PENDING_RECEIPT","READY_FOR_REVIEW")</x:f>
        <x:v>BLOCKED_PENDING_RECEIPT</x:v>
      </x:c>
      <x:c r="V1137" s="12" t="str">
        <x:f>IF(J1137="DONE","RETURNED",IF(U1137="BLOCKED_PENDING_RECEIPT","SOURCE_TOUCH_REQUIRED","IN_PROGRESS"))</x:f>
        <x:v>SOURCE_TOUCH_REQUIRED</x:v>
      </x:c>
      <x:c r="W1137" s="12" t="str">
        <x:f>IF(P1137="Unverified","missing_receipt","receipt_logged")</x:f>
        <x:v>missing_receipt</x:v>
      </x:c>
      <x:c r="X1137" s="12" t="str">
        <x:f>IF(Q1137="Not checked","raw_status_missing","raw_status_logged")</x:f>
        <x:v>raw_status_missing</x:v>
      </x:c>
      <x:c r="Y1137" s="12" t="str">
        <x:f>IF(U1137="BLOCKED_PENDING_RECEIPT","Log source path or blocker; do not promote","Route to review lane")</x:f>
        <x:v>Log source path or blocker; do not promote</x:v>
      </x:c>
      <x:c r="Z1137" s="12" t="str">
        <x:f>IF(K1137="P0","Primary seat + Hashlight/Lucerna","Seat lane")</x:f>
        <x:v>Seat lane</x:v>
      </x:c>
      <x:c r="AA1137" s="12" t="str">
        <x:f>IF(R1137="","no_claim_delta","claim_delta_present")</x:f>
        <x:v>no_claim_delta</x:v>
      </x:c>
      <x:c r="AB1137" s="12" t="str">
        <x:f>IF(S1137="","no_contradiction_delta","contradiction_delta_present")</x:f>
        <x:v>no_contradiction_delta</x:v>
      </x:c>
      <x:c r="AC1137" s="12" t="str">
        <x:f>IF(OR(ISNUMBER(SEARCH("hacker",LOWER(F1137&amp;" "&amp;H1137&amp;" "&amp;I1137&amp;" "&amp;M1137&amp;" "&amp;N1137&amp;" "&amp;T1137))),ISNUMBER(SEARCH("hacking",LOWER(F1137&amp;" "&amp;H1137&amp;" "&amp;I1137&amp;" "&amp;M1137&amp;" "&amp;N1137&amp;" "&amp;T1137))),ISNUMBER(SEARCH("bank",LOWER(F1137&amp;" "&amp;H1137&amp;" "&amp;I1137&amp;" "&amp;M1137&amp;" "&amp;N1137&amp;" "&amp;T1137))),ISNUMBER(SEARCH("banking",LOWER(F1137&amp;" "&amp;H1137&amp;" "&amp;I1137&amp;" "&amp;M1137&amp;" "&amp;N1137&amp;" "&amp;T1137)))),"PRIVATE_QUARANTINE",IF(OR(ISNUMBER(SEARCH("treasury",LOWER(F1137&amp;" "&amp;H1137&amp;" "&amp;I1137&amp;" "&amp;M1137&amp;" "&amp;N1137&amp;" "&amp;T1137))),ISNUMBER(SEARCH("debt",LOWER(F1137&amp;" "&amp;H1137&amp;" "&amp;I1137&amp;" "&amp;M1137&amp;" "&amp;N1137&amp;" "&amp;T1137))),ISNUMBER(SEARCH("bond",LOWER(F1137&amp;" "&amp;H1137&amp;" "&amp;I1137&amp;" "&amp;M1137&amp;" "&amp;N1137&amp;" "&amp;T1137))),ISNUMBER(SEARCH("transaction",LOWER(F1137&amp;" "&amp;H1137&amp;" "&amp;I1137&amp;" "&amp;M1137&amp;" "&amp;N1137&amp;" "&amp;T1137)))),"PRIVATE_REVIEW","PUBLIC_CANDIDATE"))</x:f>
        <x:v>PUBLIC_CANDIDATE</x:v>
      </x:c>
      <x:c r="AD1137" s="12" t="str">
        <x:f>IF(AC1137="PRIVATE_QUARANTINE","hacker_or_bank_trigger",IF(AC1137="PRIVATE_REVIEW","finance_risk_trigger","none"))</x:f>
        <x:v>none</x:v>
      </x:c>
      <x:c r="AE1137" s="12" t="str">
        <x:f>IF(AC1137="PUBLIC_CANDIDATE","prepare_public_github_candidate",IF(AC1137="PRIVATE_REVIEW","hold_for_private_review","quarantine_private_do_not_publish"))</x:f>
        <x:v>prepare_public_github_candidate</x:v>
      </x:c>
      <x:c r="AF1137" s="12" t="str">
        <x:f>IF(AC1137="PUBLIC_CANDIDATE","TIDELOCK + Lucerna",IF(AC1137="PRIVATE_REVIEW","AtlasBrain + Lucerna","TIDELOCK + Lucerna + Human-root"))</x:f>
        <x:v>TIDELOCK + Lucerna</x:v>
      </x:c>
      <x:c r="AG1137" s="12" t="str">
        <x:f>IF(AND(AC1137="PUBLIC_CANDIDATE",U1137&lt;&gt;"BLOCKED_PENDING_RECEIPT"),"READY_AFTER_RECEIPT","NOT_READY")</x:f>
        <x:v>NOT_READY</x:v>
      </x:c>
      <x:c r="AH1137" s="12" t="str">
        <x:f>IF(AC1137="PUBLIC_CANDIDATE","none",AD1137)</x:f>
        <x:v>none</x:v>
      </x:c>
      <x:c r="AI1137" s="12" t="str">
        <x:f>IF(AC1137="PUBLIC_CANDIDATE","archive/public_candidates/"&amp;A1137,"private_quarantine/"&amp;A1137)</x:f>
        <x:v>archive/public_candidates/SWARM-08-H11-S08</x:v>
      </x:c>
      <x:c r="AJ1137" s="12" t="str">
        <x:f>IF(AC1137="PUBLIC_CANDIDATE","public by default; still not canon","private/hold; do not publish")</x:f>
        <x:v>public by default; still not canon</x:v>
      </x:c>
      <x:c r="AK1137" s="12" t="str">
        <x:f>IF(AE1137="prepare_public_github_candidate","add receipt/status then mirror","resolve blocker before any public GitHub action")</x:f>
        <x:v>add receipt/status then mirror</x:v>
      </x:c>
    </x:row>
    <x:row r="1138">
      <x:c r="A1138" s="15" t="str">
        <x:v>SWARM-08-H11-S09</x:v>
      </x:c>
      <x:c r="B1138" s="15" t="str">
        <x:v>GammaSprite</x:v>
      </x:c>
      <x:c r="C1138" s="15" t="str">
        <x:v>Deck surface mapper</x:v>
      </x:c>
      <x:c r="D1138" s="15" t="str">
        <x:v>Aetherforge UX</x:v>
      </x:c>
      <x:c r="E1138" s="15" t="str">
        <x:v>Aetherforge</x:v>
      </x:c>
      <x:c r="F1138" s="15" t="str">
        <x:v>Design quest card for Aetherforge — GammaSprite</x:v>
      </x:c>
      <x:c r="G1138" s="15" t="str">
        <x:v>Gamma/deck extraction / slide lineage</x:v>
      </x:c>
      <x:c r="H1138" s="15" t="str">
        <x:v>source path + receipt + raw/export status + claim/edge/risk delta</x:v>
      </x:c>
      <x:c r="I1138" s="15" t="str">
        <x:v>packet/SWARM-08-H11-S09</x:v>
      </x:c>
      <x:c r="J1138" s="15" t="str">
        <x:v>TODO</x:v>
      </x:c>
      <x:c r="K1138" s="15" t="str">
        <x:v>P2</x:v>
      </x:c>
      <x:c r="L1138" s="15" t="str">
        <x:v>Done only when evidence is logged, contradiction search is noted, and boundary stamp remains non-canon unless ratified</x:v>
      </x:c>
      <x:c r="M1138" s="15" t="str">
        <x:v>candidate / staging-only / not canon / not deployed / authority none</x:v>
      </x:c>
      <x:c r="N1138" s="15" t="str">
        <x:v>Dispatch to GammaSprite: complete Aetherforge UX x Aetherforge; return deltas only, receipts required.</x:v>
      </x:c>
      <x:c r="O1138" s="15" t="str">
        <x:v>AF-KG-H11-S09</x:v>
      </x:c>
      <x:c r="P1138" s="15" t="str">
        <x:v>Unverified</x:v>
      </x:c>
      <x:c r="Q1138" s="15" t="str">
        <x:v>Not checked</x:v>
      </x:c>
      <x:c r="R1138" s="15" t="str"/>
      <x:c r="S1138" s="15" t="str"/>
      <x:c r="T1138" s="15" t="str">
        <x:v>Log first source path or blocker</x:v>
      </x:c>
      <x:c r="U1138" s="12" t="str">
        <x:f>IF(OR(P1138="Unverified",Q1138="Not checked"),"BLOCKED_PENDING_RECEIPT","READY_FOR_REVIEW")</x:f>
        <x:v>BLOCKED_PENDING_RECEIPT</x:v>
      </x:c>
      <x:c r="V1138" s="12" t="str">
        <x:f>IF(J1138="DONE","RETURNED",IF(U1138="BLOCKED_PENDING_RECEIPT","SOURCE_TOUCH_REQUIRED","IN_PROGRESS"))</x:f>
        <x:v>SOURCE_TOUCH_REQUIRED</x:v>
      </x:c>
      <x:c r="W1138" s="12" t="str">
        <x:f>IF(P1138="Unverified","missing_receipt","receipt_logged")</x:f>
        <x:v>missing_receipt</x:v>
      </x:c>
      <x:c r="X1138" s="12" t="str">
        <x:f>IF(Q1138="Not checked","raw_status_missing","raw_status_logged")</x:f>
        <x:v>raw_status_missing</x:v>
      </x:c>
      <x:c r="Y1138" s="12" t="str">
        <x:f>IF(U1138="BLOCKED_PENDING_RECEIPT","Log source path or blocker; do not promote","Route to review lane")</x:f>
        <x:v>Log source path or blocker; do not promote</x:v>
      </x:c>
      <x:c r="Z1138" s="12" t="str">
        <x:f>IF(K1138="P0","Primary seat + Hashlight/Lucerna","Seat lane")</x:f>
        <x:v>Seat lane</x:v>
      </x:c>
      <x:c r="AA1138" s="12" t="str">
        <x:f>IF(R1138="","no_claim_delta","claim_delta_present")</x:f>
        <x:v>no_claim_delta</x:v>
      </x:c>
      <x:c r="AB1138" s="12" t="str">
        <x:f>IF(S1138="","no_contradiction_delta","contradiction_delta_present")</x:f>
        <x:v>no_contradiction_delta</x:v>
      </x:c>
      <x:c r="AC1138" s="12" t="str">
        <x:f>IF(OR(ISNUMBER(SEARCH("hacker",LOWER(F1138&amp;" "&amp;H1138&amp;" "&amp;I1138&amp;" "&amp;M1138&amp;" "&amp;N1138&amp;" "&amp;T1138))),ISNUMBER(SEARCH("hacking",LOWER(F1138&amp;" "&amp;H1138&amp;" "&amp;I1138&amp;" "&amp;M1138&amp;" "&amp;N1138&amp;" "&amp;T1138))),ISNUMBER(SEARCH("bank",LOWER(F1138&amp;" "&amp;H1138&amp;" "&amp;I1138&amp;" "&amp;M1138&amp;" "&amp;N1138&amp;" "&amp;T1138))),ISNUMBER(SEARCH("banking",LOWER(F1138&amp;" "&amp;H1138&amp;" "&amp;I1138&amp;" "&amp;M1138&amp;" "&amp;N1138&amp;" "&amp;T1138)))),"PRIVATE_QUARANTINE",IF(OR(ISNUMBER(SEARCH("treasury",LOWER(F1138&amp;" "&amp;H1138&amp;" "&amp;I1138&amp;" "&amp;M1138&amp;" "&amp;N1138&amp;" "&amp;T1138))),ISNUMBER(SEARCH("debt",LOWER(F1138&amp;" "&amp;H1138&amp;" "&amp;I1138&amp;" "&amp;M1138&amp;" "&amp;N1138&amp;" "&amp;T1138))),ISNUMBER(SEARCH("bond",LOWER(F1138&amp;" "&amp;H1138&amp;" "&amp;I1138&amp;" "&amp;M1138&amp;" "&amp;N1138&amp;" "&amp;T1138))),ISNUMBER(SEARCH("transaction",LOWER(F1138&amp;" "&amp;H1138&amp;" "&amp;I1138&amp;" "&amp;M1138&amp;" "&amp;N1138&amp;" "&amp;T1138)))),"PRIVATE_REVIEW","PUBLIC_CANDIDATE"))</x:f>
        <x:v>PUBLIC_CANDIDATE</x:v>
      </x:c>
      <x:c r="AD1138" s="12" t="str">
        <x:f>IF(AC1138="PRIVATE_QUARANTINE","hacker_or_bank_trigger",IF(AC1138="PRIVATE_REVIEW","finance_risk_trigger","none"))</x:f>
        <x:v>none</x:v>
      </x:c>
      <x:c r="AE1138" s="12" t="str">
        <x:f>IF(AC1138="PUBLIC_CANDIDATE","prepare_public_github_candidate",IF(AC1138="PRIVATE_REVIEW","hold_for_private_review","quarantine_private_do_not_publish"))</x:f>
        <x:v>prepare_public_github_candidate</x:v>
      </x:c>
      <x:c r="AF1138" s="12" t="str">
        <x:f>IF(AC1138="PUBLIC_CANDIDATE","TIDELOCK + Lucerna",IF(AC1138="PRIVATE_REVIEW","AtlasBrain + Lucerna","TIDELOCK + Lucerna + Human-root"))</x:f>
        <x:v>TIDELOCK + Lucerna</x:v>
      </x:c>
      <x:c r="AG1138" s="12" t="str">
        <x:f>IF(AND(AC1138="PUBLIC_CANDIDATE",U1138&lt;&gt;"BLOCKED_PENDING_RECEIPT"),"READY_AFTER_RECEIPT","NOT_READY")</x:f>
        <x:v>NOT_READY</x:v>
      </x:c>
      <x:c r="AH1138" s="12" t="str">
        <x:f>IF(AC1138="PUBLIC_CANDIDATE","none",AD1138)</x:f>
        <x:v>none</x:v>
      </x:c>
      <x:c r="AI1138" s="12" t="str">
        <x:f>IF(AC1138="PUBLIC_CANDIDATE","archive/public_candidates/"&amp;A1138,"private_quarantine/"&amp;A1138)</x:f>
        <x:v>archive/public_candidates/SWARM-08-H11-S09</x:v>
      </x:c>
      <x:c r="AJ1138" s="12" t="str">
        <x:f>IF(AC1138="PUBLIC_CANDIDATE","public by default; still not canon","private/hold; do not publish")</x:f>
        <x:v>public by default; still not canon</x:v>
      </x:c>
      <x:c r="AK1138" s="12" t="str">
        <x:f>IF(AE1138="prepare_public_github_candidate","add receipt/status then mirror","resolve blocker before any public GitHub action")</x:f>
        <x:v>add receipt/status then mirror</x:v>
      </x:c>
    </x:row>
    <x:row r="1139">
      <x:c r="A1139" s="15" t="str">
        <x:v>SWARM-08-H11-S10</x:v>
      </x:c>
      <x:c r="B1139" s="15" t="str">
        <x:v>GammaSprite</x:v>
      </x:c>
      <x:c r="C1139" s="15" t="str">
        <x:v>Deck surface mapper</x:v>
      </x:c>
      <x:c r="D1139" s="15" t="str">
        <x:v>Aetherforge UX</x:v>
      </x:c>
      <x:c r="E1139" s="15" t="str">
        <x:v>Human-Root</x:v>
      </x:c>
      <x:c r="F1139" s="15" t="str">
        <x:v>Design quest card for Human-Root — GammaSprite</x:v>
      </x:c>
      <x:c r="G1139" s="15" t="str">
        <x:v>Gamma/deck extraction / slide lineage</x:v>
      </x:c>
      <x:c r="H1139" s="15" t="str">
        <x:v>source path + receipt + raw/export status + claim/edge/risk delta</x:v>
      </x:c>
      <x:c r="I1139" s="15" t="str">
        <x:v>packet/SWARM-08-H11-S10</x:v>
      </x:c>
      <x:c r="J1139" s="15" t="str">
        <x:v>TODO</x:v>
      </x:c>
      <x:c r="K1139" s="15" t="str">
        <x:v>P2</x:v>
      </x:c>
      <x:c r="L1139" s="15" t="str">
        <x:v>Done only when evidence is logged, contradiction search is noted, and boundary stamp remains non-canon unless ratified</x:v>
      </x:c>
      <x:c r="M1139" s="15" t="str">
        <x:v>candidate / staging-only / not canon / not deployed / authority none</x:v>
      </x:c>
      <x:c r="N1139" s="15" t="str">
        <x:v>Dispatch to GammaSprite: complete Aetherforge UX x Human-Root; return deltas only, receipts required.</x:v>
      </x:c>
      <x:c r="O1139" s="15" t="str">
        <x:v>AF-KG-H11-S10</x:v>
      </x:c>
      <x:c r="P1139" s="15" t="str">
        <x:v>Unverified</x:v>
      </x:c>
      <x:c r="Q1139" s="15" t="str">
        <x:v>Not checked</x:v>
      </x:c>
      <x:c r="R1139" s="15" t="str"/>
      <x:c r="S1139" s="15" t="str"/>
      <x:c r="T1139" s="15" t="str">
        <x:v>Log first source path or blocker</x:v>
      </x:c>
      <x:c r="U1139" s="12" t="str">
        <x:f>IF(OR(P1139="Unverified",Q1139="Not checked"),"BLOCKED_PENDING_RECEIPT","READY_FOR_REVIEW")</x:f>
        <x:v>BLOCKED_PENDING_RECEIPT</x:v>
      </x:c>
      <x:c r="V1139" s="12" t="str">
        <x:f>IF(J1139="DONE","RETURNED",IF(U1139="BLOCKED_PENDING_RECEIPT","SOURCE_TOUCH_REQUIRED","IN_PROGRESS"))</x:f>
        <x:v>SOURCE_TOUCH_REQUIRED</x:v>
      </x:c>
      <x:c r="W1139" s="12" t="str">
        <x:f>IF(P1139="Unverified","missing_receipt","receipt_logged")</x:f>
        <x:v>missing_receipt</x:v>
      </x:c>
      <x:c r="X1139" s="12" t="str">
        <x:f>IF(Q1139="Not checked","raw_status_missing","raw_status_logged")</x:f>
        <x:v>raw_status_missing</x:v>
      </x:c>
      <x:c r="Y1139" s="12" t="str">
        <x:f>IF(U1139="BLOCKED_PENDING_RECEIPT","Log source path or blocker; do not promote","Route to review lane")</x:f>
        <x:v>Log source path or blocker; do not promote</x:v>
      </x:c>
      <x:c r="Z1139" s="12" t="str">
        <x:f>IF(K1139="P0","Primary seat + Hashlight/Lucerna","Seat lane")</x:f>
        <x:v>Seat lane</x:v>
      </x:c>
      <x:c r="AA1139" s="12" t="str">
        <x:f>IF(R1139="","no_claim_delta","claim_delta_present")</x:f>
        <x:v>no_claim_delta</x:v>
      </x:c>
      <x:c r="AB1139" s="12" t="str">
        <x:f>IF(S1139="","no_contradiction_delta","contradiction_delta_present")</x:f>
        <x:v>no_contradiction_delta</x:v>
      </x:c>
      <x:c r="AC1139" s="12" t="str">
        <x:f>IF(OR(ISNUMBER(SEARCH("hacker",LOWER(F1139&amp;" "&amp;H1139&amp;" "&amp;I1139&amp;" "&amp;M1139&amp;" "&amp;N1139&amp;" "&amp;T1139))),ISNUMBER(SEARCH("hacking",LOWER(F1139&amp;" "&amp;H1139&amp;" "&amp;I1139&amp;" "&amp;M1139&amp;" "&amp;N1139&amp;" "&amp;T1139))),ISNUMBER(SEARCH("bank",LOWER(F1139&amp;" "&amp;H1139&amp;" "&amp;I1139&amp;" "&amp;M1139&amp;" "&amp;N1139&amp;" "&amp;T1139))),ISNUMBER(SEARCH("banking",LOWER(F1139&amp;" "&amp;H1139&amp;" "&amp;I1139&amp;" "&amp;M1139&amp;" "&amp;N1139&amp;" "&amp;T1139)))),"PRIVATE_QUARANTINE",IF(OR(ISNUMBER(SEARCH("treasury",LOWER(F1139&amp;" "&amp;H1139&amp;" "&amp;I1139&amp;" "&amp;M1139&amp;" "&amp;N1139&amp;" "&amp;T1139))),ISNUMBER(SEARCH("debt",LOWER(F1139&amp;" "&amp;H1139&amp;" "&amp;I1139&amp;" "&amp;M1139&amp;" "&amp;N1139&amp;" "&amp;T1139))),ISNUMBER(SEARCH("bond",LOWER(F1139&amp;" "&amp;H1139&amp;" "&amp;I1139&amp;" "&amp;M1139&amp;" "&amp;N1139&amp;" "&amp;T1139))),ISNUMBER(SEARCH("transaction",LOWER(F1139&amp;" "&amp;H1139&amp;" "&amp;I1139&amp;" "&amp;M1139&amp;" "&amp;N1139&amp;" "&amp;T1139)))),"PRIVATE_REVIEW","PUBLIC_CANDIDATE"))</x:f>
        <x:v>PUBLIC_CANDIDATE</x:v>
      </x:c>
      <x:c r="AD1139" s="12" t="str">
        <x:f>IF(AC1139="PRIVATE_QUARANTINE","hacker_or_bank_trigger",IF(AC1139="PRIVATE_REVIEW","finance_risk_trigger","none"))</x:f>
        <x:v>none</x:v>
      </x:c>
      <x:c r="AE1139" s="12" t="str">
        <x:f>IF(AC1139="PUBLIC_CANDIDATE","prepare_public_github_candidate",IF(AC1139="PRIVATE_REVIEW","hold_for_private_review","quarantine_private_do_not_publish"))</x:f>
        <x:v>prepare_public_github_candidate</x:v>
      </x:c>
      <x:c r="AF1139" s="12" t="str">
        <x:f>IF(AC1139="PUBLIC_CANDIDATE","TIDELOCK + Lucerna",IF(AC1139="PRIVATE_REVIEW","AtlasBrain + Lucerna","TIDELOCK + Lucerna + Human-root"))</x:f>
        <x:v>TIDELOCK + Lucerna</x:v>
      </x:c>
      <x:c r="AG1139" s="12" t="str">
        <x:f>IF(AND(AC1139="PUBLIC_CANDIDATE",U1139&lt;&gt;"BLOCKED_PENDING_RECEIPT"),"READY_AFTER_RECEIPT","NOT_READY")</x:f>
        <x:v>NOT_READY</x:v>
      </x:c>
      <x:c r="AH1139" s="12" t="str">
        <x:f>IF(AC1139="PUBLIC_CANDIDATE","none",AD1139)</x:f>
        <x:v>none</x:v>
      </x:c>
      <x:c r="AI1139" s="12" t="str">
        <x:f>IF(AC1139="PUBLIC_CANDIDATE","archive/public_candidates/"&amp;A1139,"private_quarantine/"&amp;A1139)</x:f>
        <x:v>archive/public_candidates/SWARM-08-H11-S10</x:v>
      </x:c>
      <x:c r="AJ1139" s="12" t="str">
        <x:f>IF(AC1139="PUBLIC_CANDIDATE","public by default; still not canon","private/hold; do not publish")</x:f>
        <x:v>public by default; still not canon</x:v>
      </x:c>
      <x:c r="AK1139" s="12" t="str">
        <x:f>IF(AE1139="prepare_public_github_candidate","add receipt/status then mirror","resolve blocker before any public GitHub action")</x:f>
        <x:v>add receipt/status then mirror</x:v>
      </x:c>
    </x:row>
    <x:row r="1140">
      <x:c r="A1140" s="15" t="str">
        <x:v>SWARM-08-H11-S11</x:v>
      </x:c>
      <x:c r="B1140" s="15" t="str">
        <x:v>GammaSprite</x:v>
      </x:c>
      <x:c r="C1140" s="15" t="str">
        <x:v>Deck surface mapper</x:v>
      </x:c>
      <x:c r="D1140" s="15" t="str">
        <x:v>Aetherforge UX</x:v>
      </x:c>
      <x:c r="E1140" s="15" t="str">
        <x:v>Automation</x:v>
      </x:c>
      <x:c r="F1140" s="15" t="str">
        <x:v>Design quest card for Automation — GammaSprite</x:v>
      </x:c>
      <x:c r="G1140" s="15" t="str">
        <x:v>Gamma/deck extraction / slide lineage</x:v>
      </x:c>
      <x:c r="H1140" s="15" t="str">
        <x:v>source path + receipt + raw/export status + claim/edge/risk delta</x:v>
      </x:c>
      <x:c r="I1140" s="15" t="str">
        <x:v>packet/SWARM-08-H11-S11</x:v>
      </x:c>
      <x:c r="J1140" s="15" t="str">
        <x:v>TODO</x:v>
      </x:c>
      <x:c r="K1140" s="15" t="str">
        <x:v>P2</x:v>
      </x:c>
      <x:c r="L1140" s="15" t="str">
        <x:v>Done only when evidence is logged, contradiction search is noted, and boundary stamp remains non-canon unless ratified</x:v>
      </x:c>
      <x:c r="M1140" s="15" t="str">
        <x:v>candidate / staging-only / not canon / not deployed / authority none</x:v>
      </x:c>
      <x:c r="N1140" s="15" t="str">
        <x:v>Dispatch to GammaSprite: complete Aetherforge UX x Automation; return deltas only, receipts required.</x:v>
      </x:c>
      <x:c r="O1140" s="15" t="str">
        <x:v>AF-KG-H11-S11</x:v>
      </x:c>
      <x:c r="P1140" s="15" t="str">
        <x:v>Unverified</x:v>
      </x:c>
      <x:c r="Q1140" s="15" t="str">
        <x:v>Not checked</x:v>
      </x:c>
      <x:c r="R1140" s="15" t="str"/>
      <x:c r="S1140" s="15" t="str"/>
      <x:c r="T1140" s="15" t="str">
        <x:v>Log first source path or blocker</x:v>
      </x:c>
      <x:c r="U1140" s="12" t="str">
        <x:f>IF(OR(P1140="Unverified",Q1140="Not checked"),"BLOCKED_PENDING_RECEIPT","READY_FOR_REVIEW")</x:f>
        <x:v>BLOCKED_PENDING_RECEIPT</x:v>
      </x:c>
      <x:c r="V1140" s="12" t="str">
        <x:f>IF(J1140="DONE","RETURNED",IF(U1140="BLOCKED_PENDING_RECEIPT","SOURCE_TOUCH_REQUIRED","IN_PROGRESS"))</x:f>
        <x:v>SOURCE_TOUCH_REQUIRED</x:v>
      </x:c>
      <x:c r="W1140" s="12" t="str">
        <x:f>IF(P1140="Unverified","missing_receipt","receipt_logged")</x:f>
        <x:v>missing_receipt</x:v>
      </x:c>
      <x:c r="X1140" s="12" t="str">
        <x:f>IF(Q1140="Not checked","raw_status_missing","raw_status_logged")</x:f>
        <x:v>raw_status_missing</x:v>
      </x:c>
      <x:c r="Y1140" s="12" t="str">
        <x:f>IF(U1140="BLOCKED_PENDING_RECEIPT","Log source path or blocker; do not promote","Route to review lane")</x:f>
        <x:v>Log source path or blocker; do not promote</x:v>
      </x:c>
      <x:c r="Z1140" s="12" t="str">
        <x:f>IF(K1140="P0","Primary seat + Hashlight/Lucerna","Seat lane")</x:f>
        <x:v>Seat lane</x:v>
      </x:c>
      <x:c r="AA1140" s="12" t="str">
        <x:f>IF(R1140="","no_claim_delta","claim_delta_present")</x:f>
        <x:v>no_claim_delta</x:v>
      </x:c>
      <x:c r="AB1140" s="12" t="str">
        <x:f>IF(S1140="","no_contradiction_delta","contradiction_delta_present")</x:f>
        <x:v>no_contradiction_delta</x:v>
      </x:c>
      <x:c r="AC1140" s="12" t="str">
        <x:f>IF(OR(ISNUMBER(SEARCH("hacker",LOWER(F1140&amp;" "&amp;H1140&amp;" "&amp;I1140&amp;" "&amp;M1140&amp;" "&amp;N1140&amp;" "&amp;T1140))),ISNUMBER(SEARCH("hacking",LOWER(F1140&amp;" "&amp;H1140&amp;" "&amp;I1140&amp;" "&amp;M1140&amp;" "&amp;N1140&amp;" "&amp;T1140))),ISNUMBER(SEARCH("bank",LOWER(F1140&amp;" "&amp;H1140&amp;" "&amp;I1140&amp;" "&amp;M1140&amp;" "&amp;N1140&amp;" "&amp;T1140))),ISNUMBER(SEARCH("banking",LOWER(F1140&amp;" "&amp;H1140&amp;" "&amp;I1140&amp;" "&amp;M1140&amp;" "&amp;N1140&amp;" "&amp;T1140)))),"PRIVATE_QUARANTINE",IF(OR(ISNUMBER(SEARCH("treasury",LOWER(F1140&amp;" "&amp;H1140&amp;" "&amp;I1140&amp;" "&amp;M1140&amp;" "&amp;N1140&amp;" "&amp;T1140))),ISNUMBER(SEARCH("debt",LOWER(F1140&amp;" "&amp;H1140&amp;" "&amp;I1140&amp;" "&amp;M1140&amp;" "&amp;N1140&amp;" "&amp;T1140))),ISNUMBER(SEARCH("bond",LOWER(F1140&amp;" "&amp;H1140&amp;" "&amp;I1140&amp;" "&amp;M1140&amp;" "&amp;N1140&amp;" "&amp;T1140))),ISNUMBER(SEARCH("transaction",LOWER(F1140&amp;" "&amp;H1140&amp;" "&amp;I1140&amp;" "&amp;M1140&amp;" "&amp;N1140&amp;" "&amp;T1140)))),"PRIVATE_REVIEW","PUBLIC_CANDIDATE"))</x:f>
        <x:v>PUBLIC_CANDIDATE</x:v>
      </x:c>
      <x:c r="AD1140" s="12" t="str">
        <x:f>IF(AC1140="PRIVATE_QUARANTINE","hacker_or_bank_trigger",IF(AC1140="PRIVATE_REVIEW","finance_risk_trigger","none"))</x:f>
        <x:v>none</x:v>
      </x:c>
      <x:c r="AE1140" s="12" t="str">
        <x:f>IF(AC1140="PUBLIC_CANDIDATE","prepare_public_github_candidate",IF(AC1140="PRIVATE_REVIEW","hold_for_private_review","quarantine_private_do_not_publish"))</x:f>
        <x:v>prepare_public_github_candidate</x:v>
      </x:c>
      <x:c r="AF1140" s="12" t="str">
        <x:f>IF(AC1140="PUBLIC_CANDIDATE","TIDELOCK + Lucerna",IF(AC1140="PRIVATE_REVIEW","AtlasBrain + Lucerna","TIDELOCK + Lucerna + Human-root"))</x:f>
        <x:v>TIDELOCK + Lucerna</x:v>
      </x:c>
      <x:c r="AG1140" s="12" t="str">
        <x:f>IF(AND(AC1140="PUBLIC_CANDIDATE",U1140&lt;&gt;"BLOCKED_PENDING_RECEIPT"),"READY_AFTER_RECEIPT","NOT_READY")</x:f>
        <x:v>NOT_READY</x:v>
      </x:c>
      <x:c r="AH1140" s="12" t="str">
        <x:f>IF(AC1140="PUBLIC_CANDIDATE","none",AD1140)</x:f>
        <x:v>none</x:v>
      </x:c>
      <x:c r="AI1140" s="12" t="str">
        <x:f>IF(AC1140="PUBLIC_CANDIDATE","archive/public_candidates/"&amp;A1140,"private_quarantine/"&amp;A1140)</x:f>
        <x:v>archive/public_candidates/SWARM-08-H11-S11</x:v>
      </x:c>
      <x:c r="AJ1140" s="12" t="str">
        <x:f>IF(AC1140="PUBLIC_CANDIDATE","public by default; still not canon","private/hold; do not publish")</x:f>
        <x:v>public by default; still not canon</x:v>
      </x:c>
      <x:c r="AK1140" s="12" t="str">
        <x:f>IF(AE1140="prepare_public_github_candidate","add receipt/status then mirror","resolve blocker before any public GitHub action")</x:f>
        <x:v>add receipt/status then mirror</x:v>
      </x:c>
    </x:row>
    <x:row r="1141">
      <x:c r="A1141" s="15" t="str">
        <x:v>SWARM-08-H11-S12</x:v>
      </x:c>
      <x:c r="B1141" s="15" t="str">
        <x:v>GammaSprite</x:v>
      </x:c>
      <x:c r="C1141" s="15" t="str">
        <x:v>Deck surface mapper</x:v>
      </x:c>
      <x:c r="D1141" s="15" t="str">
        <x:v>Aetherforge UX</x:v>
      </x:c>
      <x:c r="E1141" s="15" t="str">
        <x:v>Risk / Safety</x:v>
      </x:c>
      <x:c r="F1141" s="15" t="str">
        <x:v>Design quest card for Risk / Safety — GammaSprite</x:v>
      </x:c>
      <x:c r="G1141" s="15" t="str">
        <x:v>Gamma/deck extraction / slide lineage</x:v>
      </x:c>
      <x:c r="H1141" s="15" t="str">
        <x:v>source path + receipt + raw/export status + claim/edge/risk delta</x:v>
      </x:c>
      <x:c r="I1141" s="15" t="str">
        <x:v>packet/SWARM-08-H11-S12</x:v>
      </x:c>
      <x:c r="J1141" s="15" t="str">
        <x:v>TODO</x:v>
      </x:c>
      <x:c r="K1141" s="15" t="str">
        <x:v>P2</x:v>
      </x:c>
      <x:c r="L1141" s="15" t="str">
        <x:v>Done only when evidence is logged, contradiction search is noted, and boundary stamp remains non-canon unless ratified</x:v>
      </x:c>
      <x:c r="M1141" s="15" t="str">
        <x:v>candidate / staging-only / not canon / not deployed / authority none</x:v>
      </x:c>
      <x:c r="N1141" s="15" t="str">
        <x:v>Dispatch to GammaSprite: complete Aetherforge UX x Risk / Safety; return deltas only, receipts required.</x:v>
      </x:c>
      <x:c r="O1141" s="15" t="str">
        <x:v>AF-KG-H11-S12</x:v>
      </x:c>
      <x:c r="P1141" s="15" t="str">
        <x:v>Unverified</x:v>
      </x:c>
      <x:c r="Q1141" s="15" t="str">
        <x:v>Not checked</x:v>
      </x:c>
      <x:c r="R1141" s="15" t="str"/>
      <x:c r="S1141" s="15" t="str"/>
      <x:c r="T1141" s="15" t="str">
        <x:v>Log first source path or blocker</x:v>
      </x:c>
      <x:c r="U1141" s="12" t="str">
        <x:f>IF(OR(P1141="Unverified",Q1141="Not checked"),"BLOCKED_PENDING_RECEIPT","READY_FOR_REVIEW")</x:f>
        <x:v>BLOCKED_PENDING_RECEIPT</x:v>
      </x:c>
      <x:c r="V1141" s="12" t="str">
        <x:f>IF(J1141="DONE","RETURNED",IF(U1141="BLOCKED_PENDING_RECEIPT","SOURCE_TOUCH_REQUIRED","IN_PROGRESS"))</x:f>
        <x:v>SOURCE_TOUCH_REQUIRED</x:v>
      </x:c>
      <x:c r="W1141" s="12" t="str">
        <x:f>IF(P1141="Unverified","missing_receipt","receipt_logged")</x:f>
        <x:v>missing_receipt</x:v>
      </x:c>
      <x:c r="X1141" s="12" t="str">
        <x:f>IF(Q1141="Not checked","raw_status_missing","raw_status_logged")</x:f>
        <x:v>raw_status_missing</x:v>
      </x:c>
      <x:c r="Y1141" s="12" t="str">
        <x:f>IF(U1141="BLOCKED_PENDING_RECEIPT","Log source path or blocker; do not promote","Route to review lane")</x:f>
        <x:v>Log source path or blocker; do not promote</x:v>
      </x:c>
      <x:c r="Z1141" s="12" t="str">
        <x:f>IF(K1141="P0","Primary seat + Hashlight/Lucerna","Seat lane")</x:f>
        <x:v>Seat lane</x:v>
      </x:c>
      <x:c r="AA1141" s="12" t="str">
        <x:f>IF(R1141="","no_claim_delta","claim_delta_present")</x:f>
        <x:v>no_claim_delta</x:v>
      </x:c>
      <x:c r="AB1141" s="12" t="str">
        <x:f>IF(S1141="","no_contradiction_delta","contradiction_delta_present")</x:f>
        <x:v>no_contradiction_delta</x:v>
      </x:c>
      <x:c r="AC1141" s="12" t="str">
        <x:f>IF(OR(ISNUMBER(SEARCH("hacker",LOWER(F1141&amp;" "&amp;H1141&amp;" "&amp;I1141&amp;" "&amp;M1141&amp;" "&amp;N1141&amp;" "&amp;T1141))),ISNUMBER(SEARCH("hacking",LOWER(F1141&amp;" "&amp;H1141&amp;" "&amp;I1141&amp;" "&amp;M1141&amp;" "&amp;N1141&amp;" "&amp;T1141))),ISNUMBER(SEARCH("bank",LOWER(F1141&amp;" "&amp;H1141&amp;" "&amp;I1141&amp;" "&amp;M1141&amp;" "&amp;N1141&amp;" "&amp;T1141))),ISNUMBER(SEARCH("banking",LOWER(F1141&amp;" "&amp;H1141&amp;" "&amp;I1141&amp;" "&amp;M1141&amp;" "&amp;N1141&amp;" "&amp;T1141)))),"PRIVATE_QUARANTINE",IF(OR(ISNUMBER(SEARCH("treasury",LOWER(F1141&amp;" "&amp;H1141&amp;" "&amp;I1141&amp;" "&amp;M1141&amp;" "&amp;N1141&amp;" "&amp;T1141))),ISNUMBER(SEARCH("debt",LOWER(F1141&amp;" "&amp;H1141&amp;" "&amp;I1141&amp;" "&amp;M1141&amp;" "&amp;N1141&amp;" "&amp;T1141))),ISNUMBER(SEARCH("bond",LOWER(F1141&amp;" "&amp;H1141&amp;" "&amp;I1141&amp;" "&amp;M1141&amp;" "&amp;N1141&amp;" "&amp;T1141))),ISNUMBER(SEARCH("transaction",LOWER(F1141&amp;" "&amp;H1141&amp;" "&amp;I1141&amp;" "&amp;M1141&amp;" "&amp;N1141&amp;" "&amp;T1141)))),"PRIVATE_REVIEW","PUBLIC_CANDIDATE"))</x:f>
        <x:v>PUBLIC_CANDIDATE</x:v>
      </x:c>
      <x:c r="AD1141" s="12" t="str">
        <x:f>IF(AC1141="PRIVATE_QUARANTINE","hacker_or_bank_trigger",IF(AC1141="PRIVATE_REVIEW","finance_risk_trigger","none"))</x:f>
        <x:v>none</x:v>
      </x:c>
      <x:c r="AE1141" s="12" t="str">
        <x:f>IF(AC1141="PUBLIC_CANDIDATE","prepare_public_github_candidate",IF(AC1141="PRIVATE_REVIEW","hold_for_private_review","quarantine_private_do_not_publish"))</x:f>
        <x:v>prepare_public_github_candidate</x:v>
      </x:c>
      <x:c r="AF1141" s="12" t="str">
        <x:f>IF(AC1141="PUBLIC_CANDIDATE","TIDELOCK + Lucerna",IF(AC1141="PRIVATE_REVIEW","AtlasBrain + Lucerna","TIDELOCK + Lucerna + Human-root"))</x:f>
        <x:v>TIDELOCK + Lucerna</x:v>
      </x:c>
      <x:c r="AG1141" s="12" t="str">
        <x:f>IF(AND(AC1141="PUBLIC_CANDIDATE",U1141&lt;&gt;"BLOCKED_PENDING_RECEIPT"),"READY_AFTER_RECEIPT","NOT_READY")</x:f>
        <x:v>NOT_READY</x:v>
      </x:c>
      <x:c r="AH1141" s="12" t="str">
        <x:f>IF(AC1141="PUBLIC_CANDIDATE","none",AD1141)</x:f>
        <x:v>none</x:v>
      </x:c>
      <x:c r="AI1141" s="12" t="str">
        <x:f>IF(AC1141="PUBLIC_CANDIDATE","archive/public_candidates/"&amp;A1141,"private_quarantine/"&amp;A1141)</x:f>
        <x:v>archive/public_candidates/SWARM-08-H11-S12</x:v>
      </x:c>
      <x:c r="AJ1141" s="12" t="str">
        <x:f>IF(AC1141="PUBLIC_CANDIDATE","public by default; still not canon","private/hold; do not publish")</x:f>
        <x:v>public by default; still not canon</x:v>
      </x:c>
      <x:c r="AK1141" s="12" t="str">
        <x:f>IF(AE1141="prepare_public_github_candidate","add receipt/status then mirror","resolve blocker before any public GitHub action")</x:f>
        <x:v>add receipt/status then mirror</x:v>
      </x:c>
    </x:row>
    <x:row r="1142">
      <x:c r="A1142" s="15" t="str">
        <x:v>SWARM-08-H12-S01</x:v>
      </x:c>
      <x:c r="B1142" s="15" t="str">
        <x:v>GammaSprite</x:v>
      </x:c>
      <x:c r="C1142" s="15" t="str">
        <x:v>Deck surface mapper</x:v>
      </x:c>
      <x:c r="D1142" s="15" t="str">
        <x:v>Canon-Gate Prep</x:v>
      </x:c>
      <x:c r="E1142" s="15" t="str">
        <x:v>Notion</x:v>
      </x:c>
      <x:c r="F1142" s="15" t="str">
        <x:v>Prepare canon-gate brief for Notion — GammaSprite</x:v>
      </x:c>
      <x:c r="G1142" s="15" t="str">
        <x:v>Gamma/deck extraction / slide lineage</x:v>
      </x:c>
      <x:c r="H1142" s="15" t="str">
        <x:v>source path + receipt + raw/export status + claim/edge/risk delta</x:v>
      </x:c>
      <x:c r="I1142" s="15" t="str">
        <x:v>packet/SWARM-08-H12-S01</x:v>
      </x:c>
      <x:c r="J1142" s="15" t="str">
        <x:v>TODO</x:v>
      </x:c>
      <x:c r="K1142" s="15" t="str">
        <x:v>P0</x:v>
      </x:c>
      <x:c r="L1142" s="15" t="str">
        <x:v>Done only when evidence is logged, contradiction search is noted, and boundary stamp remains non-canon unless ratified</x:v>
      </x:c>
      <x:c r="M1142" s="15" t="str">
        <x:v>candidate / staging-only / not canon / not deployed / authority none</x:v>
      </x:c>
      <x:c r="N1142" s="15" t="str">
        <x:v>Dispatch to GammaSprite: complete Canon-Gate Prep x Notion; return deltas only, receipts required.</x:v>
      </x:c>
      <x:c r="O1142" s="15" t="str">
        <x:v>AF-KG-H12-S01</x:v>
      </x:c>
      <x:c r="P1142" s="15" t="str">
        <x:v>Unverified</x:v>
      </x:c>
      <x:c r="Q1142" s="15" t="str">
        <x:v>Not checked</x:v>
      </x:c>
      <x:c r="R1142" s="15" t="str"/>
      <x:c r="S1142" s="15" t="str"/>
      <x:c r="T1142" s="15" t="str">
        <x:v>Log first source path or blocker</x:v>
      </x:c>
      <x:c r="U1142" s="12" t="str">
        <x:f>IF(OR(P1142="Unverified",Q1142="Not checked"),"BLOCKED_PENDING_RECEIPT","READY_FOR_REVIEW")</x:f>
        <x:v>BLOCKED_PENDING_RECEIPT</x:v>
      </x:c>
      <x:c r="V1142" s="12" t="str">
        <x:f>IF(J1142="DONE","RETURNED",IF(U1142="BLOCKED_PENDING_RECEIPT","SOURCE_TOUCH_REQUIRED","IN_PROGRESS"))</x:f>
        <x:v>SOURCE_TOUCH_REQUIRED</x:v>
      </x:c>
      <x:c r="W1142" s="12" t="str">
        <x:f>IF(P1142="Unverified","missing_receipt","receipt_logged")</x:f>
        <x:v>missing_receipt</x:v>
      </x:c>
      <x:c r="X1142" s="12" t="str">
        <x:f>IF(Q1142="Not checked","raw_status_missing","raw_status_logged")</x:f>
        <x:v>raw_status_missing</x:v>
      </x:c>
      <x:c r="Y1142" s="12" t="str">
        <x:f>IF(U1142="BLOCKED_PENDING_RECEIPT","Log source path or blocker; do not promote","Route to review lane")</x:f>
        <x:v>Log source path or blocker; do not promote</x:v>
      </x:c>
      <x:c r="Z1142" s="12" t="str">
        <x:f>IF(K1142="P0","Primary seat + Hashlight/Lucerna","Seat lane")</x:f>
        <x:v>Primary seat + Hashlight/Lucerna</x:v>
      </x:c>
      <x:c r="AA1142" s="12" t="str">
        <x:f>IF(R1142="","no_claim_delta","claim_delta_present")</x:f>
        <x:v>no_claim_delta</x:v>
      </x:c>
      <x:c r="AB1142" s="12" t="str">
        <x:f>IF(S1142="","no_contradiction_delta","contradiction_delta_present")</x:f>
        <x:v>no_contradiction_delta</x:v>
      </x:c>
      <x:c r="AC1142" s="12" t="str">
        <x:f>IF(OR(ISNUMBER(SEARCH("hacker",LOWER(F1142&amp;" "&amp;H1142&amp;" "&amp;I1142&amp;" "&amp;M1142&amp;" "&amp;N1142&amp;" "&amp;T1142))),ISNUMBER(SEARCH("hacking",LOWER(F1142&amp;" "&amp;H1142&amp;" "&amp;I1142&amp;" "&amp;M1142&amp;" "&amp;N1142&amp;" "&amp;T1142))),ISNUMBER(SEARCH("bank",LOWER(F1142&amp;" "&amp;H1142&amp;" "&amp;I1142&amp;" "&amp;M1142&amp;" "&amp;N1142&amp;" "&amp;T1142))),ISNUMBER(SEARCH("banking",LOWER(F1142&amp;" "&amp;H1142&amp;" "&amp;I1142&amp;" "&amp;M1142&amp;" "&amp;N1142&amp;" "&amp;T1142)))),"PRIVATE_QUARANTINE",IF(OR(ISNUMBER(SEARCH("treasury",LOWER(F1142&amp;" "&amp;H1142&amp;" "&amp;I1142&amp;" "&amp;M1142&amp;" "&amp;N1142&amp;" "&amp;T1142))),ISNUMBER(SEARCH("debt",LOWER(F1142&amp;" "&amp;H1142&amp;" "&amp;I1142&amp;" "&amp;M1142&amp;" "&amp;N1142&amp;" "&amp;T1142))),ISNUMBER(SEARCH("bond",LOWER(F1142&amp;" "&amp;H1142&amp;" "&amp;I1142&amp;" "&amp;M1142&amp;" "&amp;N1142&amp;" "&amp;T1142))),ISNUMBER(SEARCH("transaction",LOWER(F1142&amp;" "&amp;H1142&amp;" "&amp;I1142&amp;" "&amp;M1142&amp;" "&amp;N1142&amp;" "&amp;T1142)))),"PRIVATE_REVIEW","PUBLIC_CANDIDATE"))</x:f>
        <x:v>PUBLIC_CANDIDATE</x:v>
      </x:c>
      <x:c r="AD1142" s="12" t="str">
        <x:f>IF(AC1142="PRIVATE_QUARANTINE","hacker_or_bank_trigger",IF(AC1142="PRIVATE_REVIEW","finance_risk_trigger","none"))</x:f>
        <x:v>none</x:v>
      </x:c>
      <x:c r="AE1142" s="12" t="str">
        <x:f>IF(AC1142="PUBLIC_CANDIDATE","prepare_public_github_candidate",IF(AC1142="PRIVATE_REVIEW","hold_for_private_review","quarantine_private_do_not_publish"))</x:f>
        <x:v>prepare_public_github_candidate</x:v>
      </x:c>
      <x:c r="AF1142" s="12" t="str">
        <x:f>IF(AC1142="PUBLIC_CANDIDATE","TIDELOCK + Lucerna",IF(AC1142="PRIVATE_REVIEW","AtlasBrain + Lucerna","TIDELOCK + Lucerna + Human-root"))</x:f>
        <x:v>TIDELOCK + Lucerna</x:v>
      </x:c>
      <x:c r="AG1142" s="12" t="str">
        <x:f>IF(AND(AC1142="PUBLIC_CANDIDATE",U1142&lt;&gt;"BLOCKED_PENDING_RECEIPT"),"READY_AFTER_RECEIPT","NOT_READY")</x:f>
        <x:v>NOT_READY</x:v>
      </x:c>
      <x:c r="AH1142" s="12" t="str">
        <x:f>IF(AC1142="PUBLIC_CANDIDATE","none",AD1142)</x:f>
        <x:v>none</x:v>
      </x:c>
      <x:c r="AI1142" s="12" t="str">
        <x:f>IF(AC1142="PUBLIC_CANDIDATE","archive/public_candidates/"&amp;A1142,"private_quarantine/"&amp;A1142)</x:f>
        <x:v>archive/public_candidates/SWARM-08-H12-S01</x:v>
      </x:c>
      <x:c r="AJ1142" s="12" t="str">
        <x:f>IF(AC1142="PUBLIC_CANDIDATE","public by default; still not canon","private/hold; do not publish")</x:f>
        <x:v>public by default; still not canon</x:v>
      </x:c>
      <x:c r="AK1142" s="12" t="str">
        <x:f>IF(AE1142="prepare_public_github_candidate","add receipt/status then mirror","resolve blocker before any public GitHub action")</x:f>
        <x:v>add receipt/status then mirror</x:v>
      </x:c>
    </x:row>
    <x:row r="1143">
      <x:c r="A1143" s="15" t="str">
        <x:v>SWARM-08-H12-S02</x:v>
      </x:c>
      <x:c r="B1143" s="15" t="str">
        <x:v>GammaSprite</x:v>
      </x:c>
      <x:c r="C1143" s="15" t="str">
        <x:v>Deck surface mapper</x:v>
      </x:c>
      <x:c r="D1143" s="15" t="str">
        <x:v>Canon-Gate Prep</x:v>
      </x:c>
      <x:c r="E1143" s="15" t="str">
        <x:v>Drive</x:v>
      </x:c>
      <x:c r="F1143" s="15" t="str">
        <x:v>Prepare canon-gate brief for Drive — GammaSprite</x:v>
      </x:c>
      <x:c r="G1143" s="15" t="str">
        <x:v>Gamma/deck extraction / slide lineage</x:v>
      </x:c>
      <x:c r="H1143" s="15" t="str">
        <x:v>source path + receipt + raw/export status + claim/edge/risk delta</x:v>
      </x:c>
      <x:c r="I1143" s="15" t="str">
        <x:v>packet/SWARM-08-H12-S02</x:v>
      </x:c>
      <x:c r="J1143" s="15" t="str">
        <x:v>TODO</x:v>
      </x:c>
      <x:c r="K1143" s="15" t="str">
        <x:v>P0</x:v>
      </x:c>
      <x:c r="L1143" s="15" t="str">
        <x:v>Done only when evidence is logged, contradiction search is noted, and boundary stamp remains non-canon unless ratified</x:v>
      </x:c>
      <x:c r="M1143" s="15" t="str">
        <x:v>candidate / staging-only / not canon / not deployed / authority none</x:v>
      </x:c>
      <x:c r="N1143" s="15" t="str">
        <x:v>Dispatch to GammaSprite: complete Canon-Gate Prep x Drive; return deltas only, receipts required.</x:v>
      </x:c>
      <x:c r="O1143" s="15" t="str">
        <x:v>AF-KG-H12-S02</x:v>
      </x:c>
      <x:c r="P1143" s="15" t="str">
        <x:v>Unverified</x:v>
      </x:c>
      <x:c r="Q1143" s="15" t="str">
        <x:v>Not checked</x:v>
      </x:c>
      <x:c r="R1143" s="15" t="str"/>
      <x:c r="S1143" s="15" t="str"/>
      <x:c r="T1143" s="15" t="str">
        <x:v>Log first source path or blocker</x:v>
      </x:c>
      <x:c r="U1143" s="12" t="str">
        <x:f>IF(OR(P1143="Unverified",Q1143="Not checked"),"BLOCKED_PENDING_RECEIPT","READY_FOR_REVIEW")</x:f>
        <x:v>BLOCKED_PENDING_RECEIPT</x:v>
      </x:c>
      <x:c r="V1143" s="12" t="str">
        <x:f>IF(J1143="DONE","RETURNED",IF(U1143="BLOCKED_PENDING_RECEIPT","SOURCE_TOUCH_REQUIRED","IN_PROGRESS"))</x:f>
        <x:v>SOURCE_TOUCH_REQUIRED</x:v>
      </x:c>
      <x:c r="W1143" s="12" t="str">
        <x:f>IF(P1143="Unverified","missing_receipt","receipt_logged")</x:f>
        <x:v>missing_receipt</x:v>
      </x:c>
      <x:c r="X1143" s="12" t="str">
        <x:f>IF(Q1143="Not checked","raw_status_missing","raw_status_logged")</x:f>
        <x:v>raw_status_missing</x:v>
      </x:c>
      <x:c r="Y1143" s="12" t="str">
        <x:f>IF(U1143="BLOCKED_PENDING_RECEIPT","Log source path or blocker; do not promote","Route to review lane")</x:f>
        <x:v>Log source path or blocker; do not promote</x:v>
      </x:c>
      <x:c r="Z1143" s="12" t="str">
        <x:f>IF(K1143="P0","Primary seat + Hashlight/Lucerna","Seat lane")</x:f>
        <x:v>Primary seat + Hashlight/Lucerna</x:v>
      </x:c>
      <x:c r="AA1143" s="12" t="str">
        <x:f>IF(R1143="","no_claim_delta","claim_delta_present")</x:f>
        <x:v>no_claim_delta</x:v>
      </x:c>
      <x:c r="AB1143" s="12" t="str">
        <x:f>IF(S1143="","no_contradiction_delta","contradiction_delta_present")</x:f>
        <x:v>no_contradiction_delta</x:v>
      </x:c>
      <x:c r="AC1143" s="12" t="str">
        <x:f>IF(OR(ISNUMBER(SEARCH("hacker",LOWER(F1143&amp;" "&amp;H1143&amp;" "&amp;I1143&amp;" "&amp;M1143&amp;" "&amp;N1143&amp;" "&amp;T1143))),ISNUMBER(SEARCH("hacking",LOWER(F1143&amp;" "&amp;H1143&amp;" "&amp;I1143&amp;" "&amp;M1143&amp;" "&amp;N1143&amp;" "&amp;T1143))),ISNUMBER(SEARCH("bank",LOWER(F1143&amp;" "&amp;H1143&amp;" "&amp;I1143&amp;" "&amp;M1143&amp;" "&amp;N1143&amp;" "&amp;T1143))),ISNUMBER(SEARCH("banking",LOWER(F1143&amp;" "&amp;H1143&amp;" "&amp;I1143&amp;" "&amp;M1143&amp;" "&amp;N1143&amp;" "&amp;T1143)))),"PRIVATE_QUARANTINE",IF(OR(ISNUMBER(SEARCH("treasury",LOWER(F1143&amp;" "&amp;H1143&amp;" "&amp;I1143&amp;" "&amp;M1143&amp;" "&amp;N1143&amp;" "&amp;T1143))),ISNUMBER(SEARCH("debt",LOWER(F1143&amp;" "&amp;H1143&amp;" "&amp;I1143&amp;" "&amp;M1143&amp;" "&amp;N1143&amp;" "&amp;T1143))),ISNUMBER(SEARCH("bond",LOWER(F1143&amp;" "&amp;H1143&amp;" "&amp;I1143&amp;" "&amp;M1143&amp;" "&amp;N1143&amp;" "&amp;T1143))),ISNUMBER(SEARCH("transaction",LOWER(F1143&amp;" "&amp;H1143&amp;" "&amp;I1143&amp;" "&amp;M1143&amp;" "&amp;N1143&amp;" "&amp;T1143)))),"PRIVATE_REVIEW","PUBLIC_CANDIDATE"))</x:f>
        <x:v>PUBLIC_CANDIDATE</x:v>
      </x:c>
      <x:c r="AD1143" s="12" t="str">
        <x:f>IF(AC1143="PRIVATE_QUARANTINE","hacker_or_bank_trigger",IF(AC1143="PRIVATE_REVIEW","finance_risk_trigger","none"))</x:f>
        <x:v>none</x:v>
      </x:c>
      <x:c r="AE1143" s="12" t="str">
        <x:f>IF(AC1143="PUBLIC_CANDIDATE","prepare_public_github_candidate",IF(AC1143="PRIVATE_REVIEW","hold_for_private_review","quarantine_private_do_not_publish"))</x:f>
        <x:v>prepare_public_github_candidate</x:v>
      </x:c>
      <x:c r="AF1143" s="12" t="str">
        <x:f>IF(AC1143="PUBLIC_CANDIDATE","TIDELOCK + Lucerna",IF(AC1143="PRIVATE_REVIEW","AtlasBrain + Lucerna","TIDELOCK + Lucerna + Human-root"))</x:f>
        <x:v>TIDELOCK + Lucerna</x:v>
      </x:c>
      <x:c r="AG1143" s="12" t="str">
        <x:f>IF(AND(AC1143="PUBLIC_CANDIDATE",U1143&lt;&gt;"BLOCKED_PENDING_RECEIPT"),"READY_AFTER_RECEIPT","NOT_READY")</x:f>
        <x:v>NOT_READY</x:v>
      </x:c>
      <x:c r="AH1143" s="12" t="str">
        <x:f>IF(AC1143="PUBLIC_CANDIDATE","none",AD1143)</x:f>
        <x:v>none</x:v>
      </x:c>
      <x:c r="AI1143" s="12" t="str">
        <x:f>IF(AC1143="PUBLIC_CANDIDATE","archive/public_candidates/"&amp;A1143,"private_quarantine/"&amp;A1143)</x:f>
        <x:v>archive/public_candidates/SWARM-08-H12-S02</x:v>
      </x:c>
      <x:c r="AJ1143" s="12" t="str">
        <x:f>IF(AC1143="PUBLIC_CANDIDATE","public by default; still not canon","private/hold; do not publish")</x:f>
        <x:v>public by default; still not canon</x:v>
      </x:c>
      <x:c r="AK1143" s="12" t="str">
        <x:f>IF(AE1143="prepare_public_github_candidate","add receipt/status then mirror","resolve blocker before any public GitHub action")</x:f>
        <x:v>add receipt/status then mirror</x:v>
      </x:c>
    </x:row>
    <x:row r="1144">
      <x:c r="A1144" s="15" t="str">
        <x:v>SWARM-08-H12-S03</x:v>
      </x:c>
      <x:c r="B1144" s="15" t="str">
        <x:v>GammaSprite</x:v>
      </x:c>
      <x:c r="C1144" s="15" t="str">
        <x:v>Deck surface mapper</x:v>
      </x:c>
      <x:c r="D1144" s="15" t="str">
        <x:v>Canon-Gate Prep</x:v>
      </x:c>
      <x:c r="E1144" s="15" t="str">
        <x:v>GitHub</x:v>
      </x:c>
      <x:c r="F1144" s="15" t="str">
        <x:v>Prepare canon-gate brief for GitHub — GammaSprite</x:v>
      </x:c>
      <x:c r="G1144" s="15" t="str">
        <x:v>Gamma/deck extraction / slide lineage</x:v>
      </x:c>
      <x:c r="H1144" s="15" t="str">
        <x:v>source path + receipt + raw/export status + claim/edge/risk delta</x:v>
      </x:c>
      <x:c r="I1144" s="15" t="str">
        <x:v>packet/SWARM-08-H12-S03</x:v>
      </x:c>
      <x:c r="J1144" s="15" t="str">
        <x:v>TODO</x:v>
      </x:c>
      <x:c r="K1144" s="15" t="str">
        <x:v>P0</x:v>
      </x:c>
      <x:c r="L1144" s="15" t="str">
        <x:v>Done only when evidence is logged, contradiction search is noted, and boundary stamp remains non-canon unless ratified</x:v>
      </x:c>
      <x:c r="M1144" s="15" t="str">
        <x:v>candidate / staging-only / not canon / not deployed / authority none</x:v>
      </x:c>
      <x:c r="N1144" s="15" t="str">
        <x:v>Dispatch to GammaSprite: complete Canon-Gate Prep x GitHub; return deltas only, receipts required.</x:v>
      </x:c>
      <x:c r="O1144" s="15" t="str">
        <x:v>AF-KG-H12-S03</x:v>
      </x:c>
      <x:c r="P1144" s="15" t="str">
        <x:v>Unverified</x:v>
      </x:c>
      <x:c r="Q1144" s="15" t="str">
        <x:v>Not checked</x:v>
      </x:c>
      <x:c r="R1144" s="15" t="str"/>
      <x:c r="S1144" s="15" t="str"/>
      <x:c r="T1144" s="15" t="str">
        <x:v>Log first source path or blocker</x:v>
      </x:c>
      <x:c r="U1144" s="12" t="str">
        <x:f>IF(OR(P1144="Unverified",Q1144="Not checked"),"BLOCKED_PENDING_RECEIPT","READY_FOR_REVIEW")</x:f>
        <x:v>BLOCKED_PENDING_RECEIPT</x:v>
      </x:c>
      <x:c r="V1144" s="12" t="str">
        <x:f>IF(J1144="DONE","RETURNED",IF(U1144="BLOCKED_PENDING_RECEIPT","SOURCE_TOUCH_REQUIRED","IN_PROGRESS"))</x:f>
        <x:v>SOURCE_TOUCH_REQUIRED</x:v>
      </x:c>
      <x:c r="W1144" s="12" t="str">
        <x:f>IF(P1144="Unverified","missing_receipt","receipt_logged")</x:f>
        <x:v>missing_receipt</x:v>
      </x:c>
      <x:c r="X1144" s="12" t="str">
        <x:f>IF(Q1144="Not checked","raw_status_missing","raw_status_logged")</x:f>
        <x:v>raw_status_missing</x:v>
      </x:c>
      <x:c r="Y1144" s="12" t="str">
        <x:f>IF(U1144="BLOCKED_PENDING_RECEIPT","Log source path or blocker; do not promote","Route to review lane")</x:f>
        <x:v>Log source path or blocker; do not promote</x:v>
      </x:c>
      <x:c r="Z1144" s="12" t="str">
        <x:f>IF(K1144="P0","Primary seat + Hashlight/Lucerna","Seat lane")</x:f>
        <x:v>Primary seat + Hashlight/Lucerna</x:v>
      </x:c>
      <x:c r="AA1144" s="12" t="str">
        <x:f>IF(R1144="","no_claim_delta","claim_delta_present")</x:f>
        <x:v>no_claim_delta</x:v>
      </x:c>
      <x:c r="AB1144" s="12" t="str">
        <x:f>IF(S1144="","no_contradiction_delta","contradiction_delta_present")</x:f>
        <x:v>no_contradiction_delta</x:v>
      </x:c>
      <x:c r="AC1144" s="12" t="str">
        <x:f>IF(OR(ISNUMBER(SEARCH("hacker",LOWER(F1144&amp;" "&amp;H1144&amp;" "&amp;I1144&amp;" "&amp;M1144&amp;" "&amp;N1144&amp;" "&amp;T1144))),ISNUMBER(SEARCH("hacking",LOWER(F1144&amp;" "&amp;H1144&amp;" "&amp;I1144&amp;" "&amp;M1144&amp;" "&amp;N1144&amp;" "&amp;T1144))),ISNUMBER(SEARCH("bank",LOWER(F1144&amp;" "&amp;H1144&amp;" "&amp;I1144&amp;" "&amp;M1144&amp;" "&amp;N1144&amp;" "&amp;T1144))),ISNUMBER(SEARCH("banking",LOWER(F1144&amp;" "&amp;H1144&amp;" "&amp;I1144&amp;" "&amp;M1144&amp;" "&amp;N1144&amp;" "&amp;T1144)))),"PRIVATE_QUARANTINE",IF(OR(ISNUMBER(SEARCH("treasury",LOWER(F1144&amp;" "&amp;H1144&amp;" "&amp;I1144&amp;" "&amp;M1144&amp;" "&amp;N1144&amp;" "&amp;T1144))),ISNUMBER(SEARCH("debt",LOWER(F1144&amp;" "&amp;H1144&amp;" "&amp;I1144&amp;" "&amp;M1144&amp;" "&amp;N1144&amp;" "&amp;T1144))),ISNUMBER(SEARCH("bond",LOWER(F1144&amp;" "&amp;H1144&amp;" "&amp;I1144&amp;" "&amp;M1144&amp;" "&amp;N1144&amp;" "&amp;T1144))),ISNUMBER(SEARCH("transaction",LOWER(F1144&amp;" "&amp;H1144&amp;" "&amp;I1144&amp;" "&amp;M1144&amp;" "&amp;N1144&amp;" "&amp;T1144)))),"PRIVATE_REVIEW","PUBLIC_CANDIDATE"))</x:f>
        <x:v>PUBLIC_CANDIDATE</x:v>
      </x:c>
      <x:c r="AD1144" s="12" t="str">
        <x:f>IF(AC1144="PRIVATE_QUARANTINE","hacker_or_bank_trigger",IF(AC1144="PRIVATE_REVIEW","finance_risk_trigger","none"))</x:f>
        <x:v>none</x:v>
      </x:c>
      <x:c r="AE1144" s="12" t="str">
        <x:f>IF(AC1144="PUBLIC_CANDIDATE","prepare_public_github_candidate",IF(AC1144="PRIVATE_REVIEW","hold_for_private_review","quarantine_private_do_not_publish"))</x:f>
        <x:v>prepare_public_github_candidate</x:v>
      </x:c>
      <x:c r="AF1144" s="12" t="str">
        <x:f>IF(AC1144="PUBLIC_CANDIDATE","TIDELOCK + Lucerna",IF(AC1144="PRIVATE_REVIEW","AtlasBrain + Lucerna","TIDELOCK + Lucerna + Human-root"))</x:f>
        <x:v>TIDELOCK + Lucerna</x:v>
      </x:c>
      <x:c r="AG1144" s="12" t="str">
        <x:f>IF(AND(AC1144="PUBLIC_CANDIDATE",U1144&lt;&gt;"BLOCKED_PENDING_RECEIPT"),"READY_AFTER_RECEIPT","NOT_READY")</x:f>
        <x:v>NOT_READY</x:v>
      </x:c>
      <x:c r="AH1144" s="12" t="str">
        <x:f>IF(AC1144="PUBLIC_CANDIDATE","none",AD1144)</x:f>
        <x:v>none</x:v>
      </x:c>
      <x:c r="AI1144" s="12" t="str">
        <x:f>IF(AC1144="PUBLIC_CANDIDATE","archive/public_candidates/"&amp;A1144,"private_quarantine/"&amp;A1144)</x:f>
        <x:v>archive/public_candidates/SWARM-08-H12-S03</x:v>
      </x:c>
      <x:c r="AJ1144" s="12" t="str">
        <x:f>IF(AC1144="PUBLIC_CANDIDATE","public by default; still not canon","private/hold; do not publish")</x:f>
        <x:v>public by default; still not canon</x:v>
      </x:c>
      <x:c r="AK1144" s="12" t="str">
        <x:f>IF(AE1144="prepare_public_github_candidate","add receipt/status then mirror","resolve blocker before any public GitHub action")</x:f>
        <x:v>add receipt/status then mirror</x:v>
      </x:c>
    </x:row>
    <x:row r="1145">
      <x:c r="A1145" s="15" t="str">
        <x:v>SWARM-08-H12-S04</x:v>
      </x:c>
      <x:c r="B1145" s="15" t="str">
        <x:v>GammaSprite</x:v>
      </x:c>
      <x:c r="C1145" s="15" t="str">
        <x:v>Deck surface mapper</x:v>
      </x:c>
      <x:c r="D1145" s="15" t="str">
        <x:v>Canon-Gate Prep</x:v>
      </x:c>
      <x:c r="E1145" s="15" t="str">
        <x:v>Gamma</x:v>
      </x:c>
      <x:c r="F1145" s="15" t="str">
        <x:v>Prepare canon-gate brief for Gamma — GammaSprite</x:v>
      </x:c>
      <x:c r="G1145" s="15" t="str">
        <x:v>Gamma/deck extraction / slide lineage</x:v>
      </x:c>
      <x:c r="H1145" s="15" t="str">
        <x:v>source path + receipt + raw/export status + claim/edge/risk delta</x:v>
      </x:c>
      <x:c r="I1145" s="15" t="str">
        <x:v>packet/SWARM-08-H12-S04</x:v>
      </x:c>
      <x:c r="J1145" s="15" t="str">
        <x:v>TODO</x:v>
      </x:c>
      <x:c r="K1145" s="15" t="str">
        <x:v>P1</x:v>
      </x:c>
      <x:c r="L1145" s="15" t="str">
        <x:v>Done only when evidence is logged, contradiction search is noted, and boundary stamp remains non-canon unless ratified</x:v>
      </x:c>
      <x:c r="M1145" s="15" t="str">
        <x:v>candidate / staging-only / not canon / not deployed / authority none</x:v>
      </x:c>
      <x:c r="N1145" s="15" t="str">
        <x:v>Dispatch to GammaSprite: complete Canon-Gate Prep x Gamma; return deltas only, receipts required.</x:v>
      </x:c>
      <x:c r="O1145" s="15" t="str">
        <x:v>AF-KG-H12-S04</x:v>
      </x:c>
      <x:c r="P1145" s="15" t="str">
        <x:v>Unverified</x:v>
      </x:c>
      <x:c r="Q1145" s="15" t="str">
        <x:v>Not checked</x:v>
      </x:c>
      <x:c r="R1145" s="15" t="str"/>
      <x:c r="S1145" s="15" t="str"/>
      <x:c r="T1145" s="15" t="str">
        <x:v>Log first source path or blocker</x:v>
      </x:c>
      <x:c r="U1145" s="12" t="str">
        <x:f>IF(OR(P1145="Unverified",Q1145="Not checked"),"BLOCKED_PENDING_RECEIPT","READY_FOR_REVIEW")</x:f>
        <x:v>BLOCKED_PENDING_RECEIPT</x:v>
      </x:c>
      <x:c r="V1145" s="12" t="str">
        <x:f>IF(J1145="DONE","RETURNED",IF(U1145="BLOCKED_PENDING_RECEIPT","SOURCE_TOUCH_REQUIRED","IN_PROGRESS"))</x:f>
        <x:v>SOURCE_TOUCH_REQUIRED</x:v>
      </x:c>
      <x:c r="W1145" s="12" t="str">
        <x:f>IF(P1145="Unverified","missing_receipt","receipt_logged")</x:f>
        <x:v>missing_receipt</x:v>
      </x:c>
      <x:c r="X1145" s="12" t="str">
        <x:f>IF(Q1145="Not checked","raw_status_missing","raw_status_logged")</x:f>
        <x:v>raw_status_missing</x:v>
      </x:c>
      <x:c r="Y1145" s="12" t="str">
        <x:f>IF(U1145="BLOCKED_PENDING_RECEIPT","Log source path or blocker; do not promote","Route to review lane")</x:f>
        <x:v>Log source path or blocker; do not promote</x:v>
      </x:c>
      <x:c r="Z1145" s="12" t="str">
        <x:f>IF(K1145="P0","Primary seat + Hashlight/Lucerna","Seat lane")</x:f>
        <x:v>Seat lane</x:v>
      </x:c>
      <x:c r="AA1145" s="12" t="str">
        <x:f>IF(R1145="","no_claim_delta","claim_delta_present")</x:f>
        <x:v>no_claim_delta</x:v>
      </x:c>
      <x:c r="AB1145" s="12" t="str">
        <x:f>IF(S1145="","no_contradiction_delta","contradiction_delta_present")</x:f>
        <x:v>no_contradiction_delta</x:v>
      </x:c>
      <x:c r="AC1145" s="12" t="str">
        <x:f>IF(OR(ISNUMBER(SEARCH("hacker",LOWER(F1145&amp;" "&amp;H1145&amp;" "&amp;I1145&amp;" "&amp;M1145&amp;" "&amp;N1145&amp;" "&amp;T1145))),ISNUMBER(SEARCH("hacking",LOWER(F1145&amp;" "&amp;H1145&amp;" "&amp;I1145&amp;" "&amp;M1145&amp;" "&amp;N1145&amp;" "&amp;T1145))),ISNUMBER(SEARCH("bank",LOWER(F1145&amp;" "&amp;H1145&amp;" "&amp;I1145&amp;" "&amp;M1145&amp;" "&amp;N1145&amp;" "&amp;T1145))),ISNUMBER(SEARCH("banking",LOWER(F1145&amp;" "&amp;H1145&amp;" "&amp;I1145&amp;" "&amp;M1145&amp;" "&amp;N1145&amp;" "&amp;T1145)))),"PRIVATE_QUARANTINE",IF(OR(ISNUMBER(SEARCH("treasury",LOWER(F1145&amp;" "&amp;H1145&amp;" "&amp;I1145&amp;" "&amp;M1145&amp;" "&amp;N1145&amp;" "&amp;T1145))),ISNUMBER(SEARCH("debt",LOWER(F1145&amp;" "&amp;H1145&amp;" "&amp;I1145&amp;" "&amp;M1145&amp;" "&amp;N1145&amp;" "&amp;T1145))),ISNUMBER(SEARCH("bond",LOWER(F1145&amp;" "&amp;H1145&amp;" "&amp;I1145&amp;" "&amp;M1145&amp;" "&amp;N1145&amp;" "&amp;T1145))),ISNUMBER(SEARCH("transaction",LOWER(F1145&amp;" "&amp;H1145&amp;" "&amp;I1145&amp;" "&amp;M1145&amp;" "&amp;N1145&amp;" "&amp;T1145)))),"PRIVATE_REVIEW","PUBLIC_CANDIDATE"))</x:f>
        <x:v>PUBLIC_CANDIDATE</x:v>
      </x:c>
      <x:c r="AD1145" s="12" t="str">
        <x:f>IF(AC1145="PRIVATE_QUARANTINE","hacker_or_bank_trigger",IF(AC1145="PRIVATE_REVIEW","finance_risk_trigger","none"))</x:f>
        <x:v>none</x:v>
      </x:c>
      <x:c r="AE1145" s="12" t="str">
        <x:f>IF(AC1145="PUBLIC_CANDIDATE","prepare_public_github_candidate",IF(AC1145="PRIVATE_REVIEW","hold_for_private_review","quarantine_private_do_not_publish"))</x:f>
        <x:v>prepare_public_github_candidate</x:v>
      </x:c>
      <x:c r="AF1145" s="12" t="str">
        <x:f>IF(AC1145="PUBLIC_CANDIDATE","TIDELOCK + Lucerna",IF(AC1145="PRIVATE_REVIEW","AtlasBrain + Lucerna","TIDELOCK + Lucerna + Human-root"))</x:f>
        <x:v>TIDELOCK + Lucerna</x:v>
      </x:c>
      <x:c r="AG1145" s="12" t="str">
        <x:f>IF(AND(AC1145="PUBLIC_CANDIDATE",U1145&lt;&gt;"BLOCKED_PENDING_RECEIPT"),"READY_AFTER_RECEIPT","NOT_READY")</x:f>
        <x:v>NOT_READY</x:v>
      </x:c>
      <x:c r="AH1145" s="12" t="str">
        <x:f>IF(AC1145="PUBLIC_CANDIDATE","none",AD1145)</x:f>
        <x:v>none</x:v>
      </x:c>
      <x:c r="AI1145" s="12" t="str">
        <x:f>IF(AC1145="PUBLIC_CANDIDATE","archive/public_candidates/"&amp;A1145,"private_quarantine/"&amp;A1145)</x:f>
        <x:v>archive/public_candidates/SWARM-08-H12-S04</x:v>
      </x:c>
      <x:c r="AJ1145" s="12" t="str">
        <x:f>IF(AC1145="PUBLIC_CANDIDATE","public by default; still not canon","private/hold; do not publish")</x:f>
        <x:v>public by default; still not canon</x:v>
      </x:c>
      <x:c r="AK1145" s="12" t="str">
        <x:f>IF(AE1145="prepare_public_github_candidate","add receipt/status then mirror","resolve blocker before any public GitHub action")</x:f>
        <x:v>add receipt/status then mirror</x:v>
      </x:c>
    </x:row>
    <x:row r="1146">
      <x:c r="A1146" s="15" t="str">
        <x:v>SWARM-08-H12-S05</x:v>
      </x:c>
      <x:c r="B1146" s="15" t="str">
        <x:v>GammaSprite</x:v>
      </x:c>
      <x:c r="C1146" s="15" t="str">
        <x:v>Deck surface mapper</x:v>
      </x:c>
      <x:c r="D1146" s="15" t="str">
        <x:v>Canon-Gate Prep</x:v>
      </x:c>
      <x:c r="E1146" s="15" t="str">
        <x:v>Chat</x:v>
      </x:c>
      <x:c r="F1146" s="15" t="str">
        <x:v>Prepare canon-gate brief for Chat — GammaSprite</x:v>
      </x:c>
      <x:c r="G1146" s="15" t="str">
        <x:v>Gamma/deck extraction / slide lineage</x:v>
      </x:c>
      <x:c r="H1146" s="15" t="str">
        <x:v>source path + receipt + raw/export status + claim/edge/risk delta</x:v>
      </x:c>
      <x:c r="I1146" s="15" t="str">
        <x:v>packet/SWARM-08-H12-S05</x:v>
      </x:c>
      <x:c r="J1146" s="15" t="str">
        <x:v>TODO</x:v>
      </x:c>
      <x:c r="K1146" s="15" t="str">
        <x:v>P1</x:v>
      </x:c>
      <x:c r="L1146" s="15" t="str">
        <x:v>Done only when evidence is logged, contradiction search is noted, and boundary stamp remains non-canon unless ratified</x:v>
      </x:c>
      <x:c r="M1146" s="15" t="str">
        <x:v>candidate / staging-only / not canon / not deployed / authority none</x:v>
      </x:c>
      <x:c r="N1146" s="15" t="str">
        <x:v>Dispatch to GammaSprite: complete Canon-Gate Prep x Chat; return deltas only, receipts required.</x:v>
      </x:c>
      <x:c r="O1146" s="15" t="str">
        <x:v>AF-KG-H12-S05</x:v>
      </x:c>
      <x:c r="P1146" s="15" t="str">
        <x:v>Unverified</x:v>
      </x:c>
      <x:c r="Q1146" s="15" t="str">
        <x:v>Not checked</x:v>
      </x:c>
      <x:c r="R1146" s="15" t="str"/>
      <x:c r="S1146" s="15" t="str"/>
      <x:c r="T1146" s="15" t="str">
        <x:v>Log first source path or blocker</x:v>
      </x:c>
      <x:c r="U1146" s="12" t="str">
        <x:f>IF(OR(P1146="Unverified",Q1146="Not checked"),"BLOCKED_PENDING_RECEIPT","READY_FOR_REVIEW")</x:f>
        <x:v>BLOCKED_PENDING_RECEIPT</x:v>
      </x:c>
      <x:c r="V1146" s="12" t="str">
        <x:f>IF(J1146="DONE","RETURNED",IF(U1146="BLOCKED_PENDING_RECEIPT","SOURCE_TOUCH_REQUIRED","IN_PROGRESS"))</x:f>
        <x:v>SOURCE_TOUCH_REQUIRED</x:v>
      </x:c>
      <x:c r="W1146" s="12" t="str">
        <x:f>IF(P1146="Unverified","missing_receipt","receipt_logged")</x:f>
        <x:v>missing_receipt</x:v>
      </x:c>
      <x:c r="X1146" s="12" t="str">
        <x:f>IF(Q1146="Not checked","raw_status_missing","raw_status_logged")</x:f>
        <x:v>raw_status_missing</x:v>
      </x:c>
      <x:c r="Y1146" s="12" t="str">
        <x:f>IF(U1146="BLOCKED_PENDING_RECEIPT","Log source path or blocker; do not promote","Route to review lane")</x:f>
        <x:v>Log source path or blocker; do not promote</x:v>
      </x:c>
      <x:c r="Z1146" s="12" t="str">
        <x:f>IF(K1146="P0","Primary seat + Hashlight/Lucerna","Seat lane")</x:f>
        <x:v>Seat lane</x:v>
      </x:c>
      <x:c r="AA1146" s="12" t="str">
        <x:f>IF(R1146="","no_claim_delta","claim_delta_present")</x:f>
        <x:v>no_claim_delta</x:v>
      </x:c>
      <x:c r="AB1146" s="12" t="str">
        <x:f>IF(S1146="","no_contradiction_delta","contradiction_delta_present")</x:f>
        <x:v>no_contradiction_delta</x:v>
      </x:c>
      <x:c r="AC1146" s="12" t="str">
        <x:f>IF(OR(ISNUMBER(SEARCH("hacker",LOWER(F1146&amp;" "&amp;H1146&amp;" "&amp;I1146&amp;" "&amp;M1146&amp;" "&amp;N1146&amp;" "&amp;T1146))),ISNUMBER(SEARCH("hacking",LOWER(F1146&amp;" "&amp;H1146&amp;" "&amp;I1146&amp;" "&amp;M1146&amp;" "&amp;N1146&amp;" "&amp;T1146))),ISNUMBER(SEARCH("bank",LOWER(F1146&amp;" "&amp;H1146&amp;" "&amp;I1146&amp;" "&amp;M1146&amp;" "&amp;N1146&amp;" "&amp;T1146))),ISNUMBER(SEARCH("banking",LOWER(F1146&amp;" "&amp;H1146&amp;" "&amp;I1146&amp;" "&amp;M1146&amp;" "&amp;N1146&amp;" "&amp;T1146)))),"PRIVATE_QUARANTINE",IF(OR(ISNUMBER(SEARCH("treasury",LOWER(F1146&amp;" "&amp;H1146&amp;" "&amp;I1146&amp;" "&amp;M1146&amp;" "&amp;N1146&amp;" "&amp;T1146))),ISNUMBER(SEARCH("debt",LOWER(F1146&amp;" "&amp;H1146&amp;" "&amp;I1146&amp;" "&amp;M1146&amp;" "&amp;N1146&amp;" "&amp;T1146))),ISNUMBER(SEARCH("bond",LOWER(F1146&amp;" "&amp;H1146&amp;" "&amp;I1146&amp;" "&amp;M1146&amp;" "&amp;N1146&amp;" "&amp;T1146))),ISNUMBER(SEARCH("transaction",LOWER(F1146&amp;" "&amp;H1146&amp;" "&amp;I1146&amp;" "&amp;M1146&amp;" "&amp;N1146&amp;" "&amp;T1146)))),"PRIVATE_REVIEW","PUBLIC_CANDIDATE"))</x:f>
        <x:v>PUBLIC_CANDIDATE</x:v>
      </x:c>
      <x:c r="AD1146" s="12" t="str">
        <x:f>IF(AC1146="PRIVATE_QUARANTINE","hacker_or_bank_trigger",IF(AC1146="PRIVATE_REVIEW","finance_risk_trigger","none"))</x:f>
        <x:v>none</x:v>
      </x:c>
      <x:c r="AE1146" s="12" t="str">
        <x:f>IF(AC1146="PUBLIC_CANDIDATE","prepare_public_github_candidate",IF(AC1146="PRIVATE_REVIEW","hold_for_private_review","quarantine_private_do_not_publish"))</x:f>
        <x:v>prepare_public_github_candidate</x:v>
      </x:c>
      <x:c r="AF1146" s="12" t="str">
        <x:f>IF(AC1146="PUBLIC_CANDIDATE","TIDELOCK + Lucerna",IF(AC1146="PRIVATE_REVIEW","AtlasBrain + Lucerna","TIDELOCK + Lucerna + Human-root"))</x:f>
        <x:v>TIDELOCK + Lucerna</x:v>
      </x:c>
      <x:c r="AG1146" s="12" t="str">
        <x:f>IF(AND(AC1146="PUBLIC_CANDIDATE",U1146&lt;&gt;"BLOCKED_PENDING_RECEIPT"),"READY_AFTER_RECEIPT","NOT_READY")</x:f>
        <x:v>NOT_READY</x:v>
      </x:c>
      <x:c r="AH1146" s="12" t="str">
        <x:f>IF(AC1146="PUBLIC_CANDIDATE","none",AD1146)</x:f>
        <x:v>none</x:v>
      </x:c>
      <x:c r="AI1146" s="12" t="str">
        <x:f>IF(AC1146="PUBLIC_CANDIDATE","archive/public_candidates/"&amp;A1146,"private_quarantine/"&amp;A1146)</x:f>
        <x:v>archive/public_candidates/SWARM-08-H12-S05</x:v>
      </x:c>
      <x:c r="AJ1146" s="12" t="str">
        <x:f>IF(AC1146="PUBLIC_CANDIDATE","public by default; still not canon","private/hold; do not publish")</x:f>
        <x:v>public by default; still not canon</x:v>
      </x:c>
      <x:c r="AK1146" s="12" t="str">
        <x:f>IF(AE1146="prepare_public_github_candidate","add receipt/status then mirror","resolve blocker before any public GitHub action")</x:f>
        <x:v>add receipt/status then mirror</x:v>
      </x:c>
    </x:row>
    <x:row r="1147">
      <x:c r="A1147" s="15" t="str">
        <x:v>SWARM-08-H12-S06</x:v>
      </x:c>
      <x:c r="B1147" s="15" t="str">
        <x:v>GammaSprite</x:v>
      </x:c>
      <x:c r="C1147" s="15" t="str">
        <x:v>Deck surface mapper</x:v>
      </x:c>
      <x:c r="D1147" s="15" t="str">
        <x:v>Canon-Gate Prep</x:v>
      </x:c>
      <x:c r="E1147" s="15" t="str">
        <x:v>External Web</x:v>
      </x:c>
      <x:c r="F1147" s="15" t="str">
        <x:v>Prepare canon-gate brief for External Web — GammaSprite</x:v>
      </x:c>
      <x:c r="G1147" s="15" t="str">
        <x:v>Gamma/deck extraction / slide lineage</x:v>
      </x:c>
      <x:c r="H1147" s="15" t="str">
        <x:v>source path + receipt + raw/export status + claim/edge/risk delta</x:v>
      </x:c>
      <x:c r="I1147" s="15" t="str">
        <x:v>packet/SWARM-08-H12-S06</x:v>
      </x:c>
      <x:c r="J1147" s="15" t="str">
        <x:v>TODO</x:v>
      </x:c>
      <x:c r="K1147" s="15" t="str">
        <x:v>P1</x:v>
      </x:c>
      <x:c r="L1147" s="15" t="str">
        <x:v>Done only when evidence is logged, contradiction search is noted, and boundary stamp remains non-canon unless ratified</x:v>
      </x:c>
      <x:c r="M1147" s="15" t="str">
        <x:v>candidate / staging-only / not canon / not deployed / authority none</x:v>
      </x:c>
      <x:c r="N1147" s="15" t="str">
        <x:v>Dispatch to GammaSprite: complete Canon-Gate Prep x External Web; return deltas only, receipts required.</x:v>
      </x:c>
      <x:c r="O1147" s="15" t="str">
        <x:v>AF-KG-H12-S06</x:v>
      </x:c>
      <x:c r="P1147" s="15" t="str">
        <x:v>Unverified</x:v>
      </x:c>
      <x:c r="Q1147" s="15" t="str">
        <x:v>Not checked</x:v>
      </x:c>
      <x:c r="R1147" s="15" t="str"/>
      <x:c r="S1147" s="15" t="str"/>
      <x:c r="T1147" s="15" t="str">
        <x:v>Log first source path or blocker</x:v>
      </x:c>
      <x:c r="U1147" s="12" t="str">
        <x:f>IF(OR(P1147="Unverified",Q1147="Not checked"),"BLOCKED_PENDING_RECEIPT","READY_FOR_REVIEW")</x:f>
        <x:v>BLOCKED_PENDING_RECEIPT</x:v>
      </x:c>
      <x:c r="V1147" s="12" t="str">
        <x:f>IF(J1147="DONE","RETURNED",IF(U1147="BLOCKED_PENDING_RECEIPT","SOURCE_TOUCH_REQUIRED","IN_PROGRESS"))</x:f>
        <x:v>SOURCE_TOUCH_REQUIRED</x:v>
      </x:c>
      <x:c r="W1147" s="12" t="str">
        <x:f>IF(P1147="Unverified","missing_receipt","receipt_logged")</x:f>
        <x:v>missing_receipt</x:v>
      </x:c>
      <x:c r="X1147" s="12" t="str">
        <x:f>IF(Q1147="Not checked","raw_status_missing","raw_status_logged")</x:f>
        <x:v>raw_status_missing</x:v>
      </x:c>
      <x:c r="Y1147" s="12" t="str">
        <x:f>IF(U1147="BLOCKED_PENDING_RECEIPT","Log source path or blocker; do not promote","Route to review lane")</x:f>
        <x:v>Log source path or blocker; do not promote</x:v>
      </x:c>
      <x:c r="Z1147" s="12" t="str">
        <x:f>IF(K1147="P0","Primary seat + Hashlight/Lucerna","Seat lane")</x:f>
        <x:v>Seat lane</x:v>
      </x:c>
      <x:c r="AA1147" s="12" t="str">
        <x:f>IF(R1147="","no_claim_delta","claim_delta_present")</x:f>
        <x:v>no_claim_delta</x:v>
      </x:c>
      <x:c r="AB1147" s="12" t="str">
        <x:f>IF(S1147="","no_contradiction_delta","contradiction_delta_present")</x:f>
        <x:v>no_contradiction_delta</x:v>
      </x:c>
      <x:c r="AC1147" s="12" t="str">
        <x:f>IF(OR(ISNUMBER(SEARCH("hacker",LOWER(F1147&amp;" "&amp;H1147&amp;" "&amp;I1147&amp;" "&amp;M1147&amp;" "&amp;N1147&amp;" "&amp;T1147))),ISNUMBER(SEARCH("hacking",LOWER(F1147&amp;" "&amp;H1147&amp;" "&amp;I1147&amp;" "&amp;M1147&amp;" "&amp;N1147&amp;" "&amp;T1147))),ISNUMBER(SEARCH("bank",LOWER(F1147&amp;" "&amp;H1147&amp;" "&amp;I1147&amp;" "&amp;M1147&amp;" "&amp;N1147&amp;" "&amp;T1147))),ISNUMBER(SEARCH("banking",LOWER(F1147&amp;" "&amp;H1147&amp;" "&amp;I1147&amp;" "&amp;M1147&amp;" "&amp;N1147&amp;" "&amp;T1147)))),"PRIVATE_QUARANTINE",IF(OR(ISNUMBER(SEARCH("treasury",LOWER(F1147&amp;" "&amp;H1147&amp;" "&amp;I1147&amp;" "&amp;M1147&amp;" "&amp;N1147&amp;" "&amp;T1147))),ISNUMBER(SEARCH("debt",LOWER(F1147&amp;" "&amp;H1147&amp;" "&amp;I1147&amp;" "&amp;M1147&amp;" "&amp;N1147&amp;" "&amp;T1147))),ISNUMBER(SEARCH("bond",LOWER(F1147&amp;" "&amp;H1147&amp;" "&amp;I1147&amp;" "&amp;M1147&amp;" "&amp;N1147&amp;" "&amp;T1147))),ISNUMBER(SEARCH("transaction",LOWER(F1147&amp;" "&amp;H1147&amp;" "&amp;I1147&amp;" "&amp;M1147&amp;" "&amp;N1147&amp;" "&amp;T1147)))),"PRIVATE_REVIEW","PUBLIC_CANDIDATE"))</x:f>
        <x:v>PUBLIC_CANDIDATE</x:v>
      </x:c>
      <x:c r="AD1147" s="12" t="str">
        <x:f>IF(AC1147="PRIVATE_QUARANTINE","hacker_or_bank_trigger",IF(AC1147="PRIVATE_REVIEW","finance_risk_trigger","none"))</x:f>
        <x:v>none</x:v>
      </x:c>
      <x:c r="AE1147" s="12" t="str">
        <x:f>IF(AC1147="PUBLIC_CANDIDATE","prepare_public_github_candidate",IF(AC1147="PRIVATE_REVIEW","hold_for_private_review","quarantine_private_do_not_publish"))</x:f>
        <x:v>prepare_public_github_candidate</x:v>
      </x:c>
      <x:c r="AF1147" s="12" t="str">
        <x:f>IF(AC1147="PUBLIC_CANDIDATE","TIDELOCK + Lucerna",IF(AC1147="PRIVATE_REVIEW","AtlasBrain + Lucerna","TIDELOCK + Lucerna + Human-root"))</x:f>
        <x:v>TIDELOCK + Lucerna</x:v>
      </x:c>
      <x:c r="AG1147" s="12" t="str">
        <x:f>IF(AND(AC1147="PUBLIC_CANDIDATE",U1147&lt;&gt;"BLOCKED_PENDING_RECEIPT"),"READY_AFTER_RECEIPT","NOT_READY")</x:f>
        <x:v>NOT_READY</x:v>
      </x:c>
      <x:c r="AH1147" s="12" t="str">
        <x:f>IF(AC1147="PUBLIC_CANDIDATE","none",AD1147)</x:f>
        <x:v>none</x:v>
      </x:c>
      <x:c r="AI1147" s="12" t="str">
        <x:f>IF(AC1147="PUBLIC_CANDIDATE","archive/public_candidates/"&amp;A1147,"private_quarantine/"&amp;A1147)</x:f>
        <x:v>archive/public_candidates/SWARM-08-H12-S06</x:v>
      </x:c>
      <x:c r="AJ1147" s="12" t="str">
        <x:f>IF(AC1147="PUBLIC_CANDIDATE","public by default; still not canon","private/hold; do not publish")</x:f>
        <x:v>public by default; still not canon</x:v>
      </x:c>
      <x:c r="AK1147" s="12" t="str">
        <x:f>IF(AE1147="prepare_public_github_candidate","add receipt/status then mirror","resolve blocker before any public GitHub action")</x:f>
        <x:v>add receipt/status then mirror</x:v>
      </x:c>
    </x:row>
    <x:row r="1148">
      <x:c r="A1148" s="15" t="str">
        <x:v>SWARM-08-H12-S07</x:v>
      </x:c>
      <x:c r="B1148" s="15" t="str">
        <x:v>GammaSprite</x:v>
      </x:c>
      <x:c r="C1148" s="15" t="str">
        <x:v>Deck surface mapper</x:v>
      </x:c>
      <x:c r="D1148" s="15" t="str">
        <x:v>Canon-Gate Prep</x:v>
      </x:c>
      <x:c r="E1148" s="15" t="str">
        <x:v>Planetarium</x:v>
      </x:c>
      <x:c r="F1148" s="15" t="str">
        <x:v>Prepare canon-gate brief for Planetarium — GammaSprite</x:v>
      </x:c>
      <x:c r="G1148" s="15" t="str">
        <x:v>Gamma/deck extraction / slide lineage</x:v>
      </x:c>
      <x:c r="H1148" s="15" t="str">
        <x:v>source path + receipt + raw/export status + claim/edge/risk delta</x:v>
      </x:c>
      <x:c r="I1148" s="15" t="str">
        <x:v>packet/SWARM-08-H12-S07</x:v>
      </x:c>
      <x:c r="J1148" s="15" t="str">
        <x:v>TODO</x:v>
      </x:c>
      <x:c r="K1148" s="15" t="str">
        <x:v>P1</x:v>
      </x:c>
      <x:c r="L1148" s="15" t="str">
        <x:v>Done only when evidence is logged, contradiction search is noted, and boundary stamp remains non-canon unless ratified</x:v>
      </x:c>
      <x:c r="M1148" s="15" t="str">
        <x:v>candidate / staging-only / not canon / not deployed / authority none</x:v>
      </x:c>
      <x:c r="N1148" s="15" t="str">
        <x:v>Dispatch to GammaSprite: complete Canon-Gate Prep x Planetarium; return deltas only, receipts required.</x:v>
      </x:c>
      <x:c r="O1148" s="15" t="str">
        <x:v>AF-KG-H12-S07</x:v>
      </x:c>
      <x:c r="P1148" s="15" t="str">
        <x:v>Unverified</x:v>
      </x:c>
      <x:c r="Q1148" s="15" t="str">
        <x:v>Not checked</x:v>
      </x:c>
      <x:c r="R1148" s="15" t="str"/>
      <x:c r="S1148" s="15" t="str"/>
      <x:c r="T1148" s="15" t="str">
        <x:v>Log first source path or blocker</x:v>
      </x:c>
      <x:c r="U1148" s="12" t="str">
        <x:f>IF(OR(P1148="Unverified",Q1148="Not checked"),"BLOCKED_PENDING_RECEIPT","READY_FOR_REVIEW")</x:f>
        <x:v>BLOCKED_PENDING_RECEIPT</x:v>
      </x:c>
      <x:c r="V1148" s="12" t="str">
        <x:f>IF(J1148="DONE","RETURNED",IF(U1148="BLOCKED_PENDING_RECEIPT","SOURCE_TOUCH_REQUIRED","IN_PROGRESS"))</x:f>
        <x:v>SOURCE_TOUCH_REQUIRED</x:v>
      </x:c>
      <x:c r="W1148" s="12" t="str">
        <x:f>IF(P1148="Unverified","missing_receipt","receipt_logged")</x:f>
        <x:v>missing_receipt</x:v>
      </x:c>
      <x:c r="X1148" s="12" t="str">
        <x:f>IF(Q1148="Not checked","raw_status_missing","raw_status_logged")</x:f>
        <x:v>raw_status_missing</x:v>
      </x:c>
      <x:c r="Y1148" s="12" t="str">
        <x:f>IF(U1148="BLOCKED_PENDING_RECEIPT","Log source path or blocker; do not promote","Route to review lane")</x:f>
        <x:v>Log source path or blocker; do not promote</x:v>
      </x:c>
      <x:c r="Z1148" s="12" t="str">
        <x:f>IF(K1148="P0","Primary seat + Hashlight/Lucerna","Seat lane")</x:f>
        <x:v>Seat lane</x:v>
      </x:c>
      <x:c r="AA1148" s="12" t="str">
        <x:f>IF(R1148="","no_claim_delta","claim_delta_present")</x:f>
        <x:v>no_claim_delta</x:v>
      </x:c>
      <x:c r="AB1148" s="12" t="str">
        <x:f>IF(S1148="","no_contradiction_delta","contradiction_delta_present")</x:f>
        <x:v>no_contradiction_delta</x:v>
      </x:c>
      <x:c r="AC1148" s="12" t="str">
        <x:f>IF(OR(ISNUMBER(SEARCH("hacker",LOWER(F1148&amp;" "&amp;H1148&amp;" "&amp;I1148&amp;" "&amp;M1148&amp;" "&amp;N1148&amp;" "&amp;T1148))),ISNUMBER(SEARCH("hacking",LOWER(F1148&amp;" "&amp;H1148&amp;" "&amp;I1148&amp;" "&amp;M1148&amp;" "&amp;N1148&amp;" "&amp;T1148))),ISNUMBER(SEARCH("bank",LOWER(F1148&amp;" "&amp;H1148&amp;" "&amp;I1148&amp;" "&amp;M1148&amp;" "&amp;N1148&amp;" "&amp;T1148))),ISNUMBER(SEARCH("banking",LOWER(F1148&amp;" "&amp;H1148&amp;" "&amp;I1148&amp;" "&amp;M1148&amp;" "&amp;N1148&amp;" "&amp;T1148)))),"PRIVATE_QUARANTINE",IF(OR(ISNUMBER(SEARCH("treasury",LOWER(F1148&amp;" "&amp;H1148&amp;" "&amp;I1148&amp;" "&amp;M1148&amp;" "&amp;N1148&amp;" "&amp;T1148))),ISNUMBER(SEARCH("debt",LOWER(F1148&amp;" "&amp;H1148&amp;" "&amp;I1148&amp;" "&amp;M1148&amp;" "&amp;N1148&amp;" "&amp;T1148))),ISNUMBER(SEARCH("bond",LOWER(F1148&amp;" "&amp;H1148&amp;" "&amp;I1148&amp;" "&amp;M1148&amp;" "&amp;N1148&amp;" "&amp;T1148))),ISNUMBER(SEARCH("transaction",LOWER(F1148&amp;" "&amp;H1148&amp;" "&amp;I1148&amp;" "&amp;M1148&amp;" "&amp;N1148&amp;" "&amp;T1148)))),"PRIVATE_REVIEW","PUBLIC_CANDIDATE"))</x:f>
        <x:v>PUBLIC_CANDIDATE</x:v>
      </x:c>
      <x:c r="AD1148" s="12" t="str">
        <x:f>IF(AC1148="PRIVATE_QUARANTINE","hacker_or_bank_trigger",IF(AC1148="PRIVATE_REVIEW","finance_risk_trigger","none"))</x:f>
        <x:v>none</x:v>
      </x:c>
      <x:c r="AE1148" s="12" t="str">
        <x:f>IF(AC1148="PUBLIC_CANDIDATE","prepare_public_github_candidate",IF(AC1148="PRIVATE_REVIEW","hold_for_private_review","quarantine_private_do_not_publish"))</x:f>
        <x:v>prepare_public_github_candidate</x:v>
      </x:c>
      <x:c r="AF1148" s="12" t="str">
        <x:f>IF(AC1148="PUBLIC_CANDIDATE","TIDELOCK + Lucerna",IF(AC1148="PRIVATE_REVIEW","AtlasBrain + Lucerna","TIDELOCK + Lucerna + Human-root"))</x:f>
        <x:v>TIDELOCK + Lucerna</x:v>
      </x:c>
      <x:c r="AG1148" s="12" t="str">
        <x:f>IF(AND(AC1148="PUBLIC_CANDIDATE",U1148&lt;&gt;"BLOCKED_PENDING_RECEIPT"),"READY_AFTER_RECEIPT","NOT_READY")</x:f>
        <x:v>NOT_READY</x:v>
      </x:c>
      <x:c r="AH1148" s="12" t="str">
        <x:f>IF(AC1148="PUBLIC_CANDIDATE","none",AD1148)</x:f>
        <x:v>none</x:v>
      </x:c>
      <x:c r="AI1148" s="12" t="str">
        <x:f>IF(AC1148="PUBLIC_CANDIDATE","archive/public_candidates/"&amp;A1148,"private_quarantine/"&amp;A1148)</x:f>
        <x:v>archive/public_candidates/SWARM-08-H12-S07</x:v>
      </x:c>
      <x:c r="AJ1148" s="12" t="str">
        <x:f>IF(AC1148="PUBLIC_CANDIDATE","public by default; still not canon","private/hold; do not publish")</x:f>
        <x:v>public by default; still not canon</x:v>
      </x:c>
      <x:c r="AK1148" s="12" t="str">
        <x:f>IF(AE1148="prepare_public_github_candidate","add receipt/status then mirror","resolve blocker before any public GitHub action")</x:f>
        <x:v>add receipt/status then mirror</x:v>
      </x:c>
    </x:row>
    <x:row r="1149">
      <x:c r="A1149" s="15" t="str">
        <x:v>SWARM-08-H12-S08</x:v>
      </x:c>
      <x:c r="B1149" s="15" t="str">
        <x:v>GammaSprite</x:v>
      </x:c>
      <x:c r="C1149" s="15" t="str">
        <x:v>Deck surface mapper</x:v>
      </x:c>
      <x:c r="D1149" s="15" t="str">
        <x:v>Canon-Gate Prep</x:v>
      </x:c>
      <x:c r="E1149" s="15" t="str">
        <x:v>Sheldonbrain</x:v>
      </x:c>
      <x:c r="F1149" s="15" t="str">
        <x:v>Prepare canon-gate brief for Sheldonbrain — GammaSprite</x:v>
      </x:c>
      <x:c r="G1149" s="15" t="str">
        <x:v>Gamma/deck extraction / slide lineage</x:v>
      </x:c>
      <x:c r="H1149" s="15" t="str">
        <x:v>source path + receipt + raw/export status + claim/edge/risk delta</x:v>
      </x:c>
      <x:c r="I1149" s="15" t="str">
        <x:v>packet/SWARM-08-H12-S08</x:v>
      </x:c>
      <x:c r="J1149" s="15" t="str">
        <x:v>TODO</x:v>
      </x:c>
      <x:c r="K1149" s="15" t="str">
        <x:v>P1</x:v>
      </x:c>
      <x:c r="L1149" s="15" t="str">
        <x:v>Done only when evidence is logged, contradiction search is noted, and boundary stamp remains non-canon unless ratified</x:v>
      </x:c>
      <x:c r="M1149" s="15" t="str">
        <x:v>candidate / staging-only / not canon / not deployed / authority none</x:v>
      </x:c>
      <x:c r="N1149" s="15" t="str">
        <x:v>Dispatch to GammaSprite: complete Canon-Gate Prep x Sheldonbrain; return deltas only, receipts required.</x:v>
      </x:c>
      <x:c r="O1149" s="15" t="str">
        <x:v>AF-KG-H12-S08</x:v>
      </x:c>
      <x:c r="P1149" s="15" t="str">
        <x:v>Unverified</x:v>
      </x:c>
      <x:c r="Q1149" s="15" t="str">
        <x:v>Not checked</x:v>
      </x:c>
      <x:c r="R1149" s="15" t="str"/>
      <x:c r="S1149" s="15" t="str"/>
      <x:c r="T1149" s="15" t="str">
        <x:v>Log first source path or blocker</x:v>
      </x:c>
      <x:c r="U1149" s="12" t="str">
        <x:f>IF(OR(P1149="Unverified",Q1149="Not checked"),"BLOCKED_PENDING_RECEIPT","READY_FOR_REVIEW")</x:f>
        <x:v>BLOCKED_PENDING_RECEIPT</x:v>
      </x:c>
      <x:c r="V1149" s="12" t="str">
        <x:f>IF(J1149="DONE","RETURNED",IF(U1149="BLOCKED_PENDING_RECEIPT","SOURCE_TOUCH_REQUIRED","IN_PROGRESS"))</x:f>
        <x:v>SOURCE_TOUCH_REQUIRED</x:v>
      </x:c>
      <x:c r="W1149" s="12" t="str">
        <x:f>IF(P1149="Unverified","missing_receipt","receipt_logged")</x:f>
        <x:v>missing_receipt</x:v>
      </x:c>
      <x:c r="X1149" s="12" t="str">
        <x:f>IF(Q1149="Not checked","raw_status_missing","raw_status_logged")</x:f>
        <x:v>raw_status_missing</x:v>
      </x:c>
      <x:c r="Y1149" s="12" t="str">
        <x:f>IF(U1149="BLOCKED_PENDING_RECEIPT","Log source path or blocker; do not promote","Route to review lane")</x:f>
        <x:v>Log source path or blocker; do not promote</x:v>
      </x:c>
      <x:c r="Z1149" s="12" t="str">
        <x:f>IF(K1149="P0","Primary seat + Hashlight/Lucerna","Seat lane")</x:f>
        <x:v>Seat lane</x:v>
      </x:c>
      <x:c r="AA1149" s="12" t="str">
        <x:f>IF(R1149="","no_claim_delta","claim_delta_present")</x:f>
        <x:v>no_claim_delta</x:v>
      </x:c>
      <x:c r="AB1149" s="12" t="str">
        <x:f>IF(S1149="","no_contradiction_delta","contradiction_delta_present")</x:f>
        <x:v>no_contradiction_delta</x:v>
      </x:c>
      <x:c r="AC1149" s="12" t="str">
        <x:f>IF(OR(ISNUMBER(SEARCH("hacker",LOWER(F1149&amp;" "&amp;H1149&amp;" "&amp;I1149&amp;" "&amp;M1149&amp;" "&amp;N1149&amp;" "&amp;T1149))),ISNUMBER(SEARCH("hacking",LOWER(F1149&amp;" "&amp;H1149&amp;" "&amp;I1149&amp;" "&amp;M1149&amp;" "&amp;N1149&amp;" "&amp;T1149))),ISNUMBER(SEARCH("bank",LOWER(F1149&amp;" "&amp;H1149&amp;" "&amp;I1149&amp;" "&amp;M1149&amp;" "&amp;N1149&amp;" "&amp;T1149))),ISNUMBER(SEARCH("banking",LOWER(F1149&amp;" "&amp;H1149&amp;" "&amp;I1149&amp;" "&amp;M1149&amp;" "&amp;N1149&amp;" "&amp;T1149)))),"PRIVATE_QUARANTINE",IF(OR(ISNUMBER(SEARCH("treasury",LOWER(F1149&amp;" "&amp;H1149&amp;" "&amp;I1149&amp;" "&amp;M1149&amp;" "&amp;N1149&amp;" "&amp;T1149))),ISNUMBER(SEARCH("debt",LOWER(F1149&amp;" "&amp;H1149&amp;" "&amp;I1149&amp;" "&amp;M1149&amp;" "&amp;N1149&amp;" "&amp;T1149))),ISNUMBER(SEARCH("bond",LOWER(F1149&amp;" "&amp;H1149&amp;" "&amp;I1149&amp;" "&amp;M1149&amp;" "&amp;N1149&amp;" "&amp;T1149))),ISNUMBER(SEARCH("transaction",LOWER(F1149&amp;" "&amp;H1149&amp;" "&amp;I1149&amp;" "&amp;M1149&amp;" "&amp;N1149&amp;" "&amp;T1149)))),"PRIVATE_REVIEW","PUBLIC_CANDIDATE"))</x:f>
        <x:v>PUBLIC_CANDIDATE</x:v>
      </x:c>
      <x:c r="AD1149" s="12" t="str">
        <x:f>IF(AC1149="PRIVATE_QUARANTINE","hacker_or_bank_trigger",IF(AC1149="PRIVATE_REVIEW","finance_risk_trigger","none"))</x:f>
        <x:v>none</x:v>
      </x:c>
      <x:c r="AE1149" s="12" t="str">
        <x:f>IF(AC1149="PUBLIC_CANDIDATE","prepare_public_github_candidate",IF(AC1149="PRIVATE_REVIEW","hold_for_private_review","quarantine_private_do_not_publish"))</x:f>
        <x:v>prepare_public_github_candidate</x:v>
      </x:c>
      <x:c r="AF1149" s="12" t="str">
        <x:f>IF(AC1149="PUBLIC_CANDIDATE","TIDELOCK + Lucerna",IF(AC1149="PRIVATE_REVIEW","AtlasBrain + Lucerna","TIDELOCK + Lucerna + Human-root"))</x:f>
        <x:v>TIDELOCK + Lucerna</x:v>
      </x:c>
      <x:c r="AG1149" s="12" t="str">
        <x:f>IF(AND(AC1149="PUBLIC_CANDIDATE",U1149&lt;&gt;"BLOCKED_PENDING_RECEIPT"),"READY_AFTER_RECEIPT","NOT_READY")</x:f>
        <x:v>NOT_READY</x:v>
      </x:c>
      <x:c r="AH1149" s="12" t="str">
        <x:f>IF(AC1149="PUBLIC_CANDIDATE","none",AD1149)</x:f>
        <x:v>none</x:v>
      </x:c>
      <x:c r="AI1149" s="12" t="str">
        <x:f>IF(AC1149="PUBLIC_CANDIDATE","archive/public_candidates/"&amp;A1149,"private_quarantine/"&amp;A1149)</x:f>
        <x:v>archive/public_candidates/SWARM-08-H12-S08</x:v>
      </x:c>
      <x:c r="AJ1149" s="12" t="str">
        <x:f>IF(AC1149="PUBLIC_CANDIDATE","public by default; still not canon","private/hold; do not publish")</x:f>
        <x:v>public by default; still not canon</x:v>
      </x:c>
      <x:c r="AK1149" s="12" t="str">
        <x:f>IF(AE1149="prepare_public_github_candidate","add receipt/status then mirror","resolve blocker before any public GitHub action")</x:f>
        <x:v>add receipt/status then mirror</x:v>
      </x:c>
    </x:row>
    <x:row r="1150">
      <x:c r="A1150" s="15" t="str">
        <x:v>SWARM-08-H12-S09</x:v>
      </x:c>
      <x:c r="B1150" s="15" t="str">
        <x:v>GammaSprite</x:v>
      </x:c>
      <x:c r="C1150" s="15" t="str">
        <x:v>Deck surface mapper</x:v>
      </x:c>
      <x:c r="D1150" s="15" t="str">
        <x:v>Canon-Gate Prep</x:v>
      </x:c>
      <x:c r="E1150" s="15" t="str">
        <x:v>Aetherforge</x:v>
      </x:c>
      <x:c r="F1150" s="15" t="str">
        <x:v>Prepare canon-gate brief for Aetherforge — GammaSprite</x:v>
      </x:c>
      <x:c r="G1150" s="15" t="str">
        <x:v>Gamma/deck extraction / slide lineage</x:v>
      </x:c>
      <x:c r="H1150" s="15" t="str">
        <x:v>source path + receipt + raw/export status + claim/edge/risk delta</x:v>
      </x:c>
      <x:c r="I1150" s="15" t="str">
        <x:v>packet/SWARM-08-H12-S09</x:v>
      </x:c>
      <x:c r="J1150" s="15" t="str">
        <x:v>TODO</x:v>
      </x:c>
      <x:c r="K1150" s="15" t="str">
        <x:v>P2</x:v>
      </x:c>
      <x:c r="L1150" s="15" t="str">
        <x:v>Done only when evidence is logged, contradiction search is noted, and boundary stamp remains non-canon unless ratified</x:v>
      </x:c>
      <x:c r="M1150" s="15" t="str">
        <x:v>candidate / staging-only / not canon / not deployed / authority none</x:v>
      </x:c>
      <x:c r="N1150" s="15" t="str">
        <x:v>Dispatch to GammaSprite: complete Canon-Gate Prep x Aetherforge; return deltas only, receipts required.</x:v>
      </x:c>
      <x:c r="O1150" s="15" t="str">
        <x:v>AF-KG-H12-S09</x:v>
      </x:c>
      <x:c r="P1150" s="15" t="str">
        <x:v>Unverified</x:v>
      </x:c>
      <x:c r="Q1150" s="15" t="str">
        <x:v>Not checked</x:v>
      </x:c>
      <x:c r="R1150" s="15" t="str"/>
      <x:c r="S1150" s="15" t="str"/>
      <x:c r="T1150" s="15" t="str">
        <x:v>Log first source path or blocker</x:v>
      </x:c>
      <x:c r="U1150" s="12" t="str">
        <x:f>IF(OR(P1150="Unverified",Q1150="Not checked"),"BLOCKED_PENDING_RECEIPT","READY_FOR_REVIEW")</x:f>
        <x:v>BLOCKED_PENDING_RECEIPT</x:v>
      </x:c>
      <x:c r="V1150" s="12" t="str">
        <x:f>IF(J1150="DONE","RETURNED",IF(U1150="BLOCKED_PENDING_RECEIPT","SOURCE_TOUCH_REQUIRED","IN_PROGRESS"))</x:f>
        <x:v>SOURCE_TOUCH_REQUIRED</x:v>
      </x:c>
      <x:c r="W1150" s="12" t="str">
        <x:f>IF(P1150="Unverified","missing_receipt","receipt_logged")</x:f>
        <x:v>missing_receipt</x:v>
      </x:c>
      <x:c r="X1150" s="12" t="str">
        <x:f>IF(Q1150="Not checked","raw_status_missing","raw_status_logged")</x:f>
        <x:v>raw_status_missing</x:v>
      </x:c>
      <x:c r="Y1150" s="12" t="str">
        <x:f>IF(U1150="BLOCKED_PENDING_RECEIPT","Log source path or blocker; do not promote","Route to review lane")</x:f>
        <x:v>Log source path or blocker; do not promote</x:v>
      </x:c>
      <x:c r="Z1150" s="12" t="str">
        <x:f>IF(K1150="P0","Primary seat + Hashlight/Lucerna","Seat lane")</x:f>
        <x:v>Seat lane</x:v>
      </x:c>
      <x:c r="AA1150" s="12" t="str">
        <x:f>IF(R1150="","no_claim_delta","claim_delta_present")</x:f>
        <x:v>no_claim_delta</x:v>
      </x:c>
      <x:c r="AB1150" s="12" t="str">
        <x:f>IF(S1150="","no_contradiction_delta","contradiction_delta_present")</x:f>
        <x:v>no_contradiction_delta</x:v>
      </x:c>
      <x:c r="AC1150" s="12" t="str">
        <x:f>IF(OR(ISNUMBER(SEARCH("hacker",LOWER(F1150&amp;" "&amp;H1150&amp;" "&amp;I1150&amp;" "&amp;M1150&amp;" "&amp;N1150&amp;" "&amp;T1150))),ISNUMBER(SEARCH("hacking",LOWER(F1150&amp;" "&amp;H1150&amp;" "&amp;I1150&amp;" "&amp;M1150&amp;" "&amp;N1150&amp;" "&amp;T1150))),ISNUMBER(SEARCH("bank",LOWER(F1150&amp;" "&amp;H1150&amp;" "&amp;I1150&amp;" "&amp;M1150&amp;" "&amp;N1150&amp;" "&amp;T1150))),ISNUMBER(SEARCH("banking",LOWER(F1150&amp;" "&amp;H1150&amp;" "&amp;I1150&amp;" "&amp;M1150&amp;" "&amp;N1150&amp;" "&amp;T1150)))),"PRIVATE_QUARANTINE",IF(OR(ISNUMBER(SEARCH("treasury",LOWER(F1150&amp;" "&amp;H1150&amp;" "&amp;I1150&amp;" "&amp;M1150&amp;" "&amp;N1150&amp;" "&amp;T1150))),ISNUMBER(SEARCH("debt",LOWER(F1150&amp;" "&amp;H1150&amp;" "&amp;I1150&amp;" "&amp;M1150&amp;" "&amp;N1150&amp;" "&amp;T1150))),ISNUMBER(SEARCH("bond",LOWER(F1150&amp;" "&amp;H1150&amp;" "&amp;I1150&amp;" "&amp;M1150&amp;" "&amp;N1150&amp;" "&amp;T1150))),ISNUMBER(SEARCH("transaction",LOWER(F1150&amp;" "&amp;H1150&amp;" "&amp;I1150&amp;" "&amp;M1150&amp;" "&amp;N1150&amp;" "&amp;T1150)))),"PRIVATE_REVIEW","PUBLIC_CANDIDATE"))</x:f>
        <x:v>PUBLIC_CANDIDATE</x:v>
      </x:c>
      <x:c r="AD1150" s="12" t="str">
        <x:f>IF(AC1150="PRIVATE_QUARANTINE","hacker_or_bank_trigger",IF(AC1150="PRIVATE_REVIEW","finance_risk_trigger","none"))</x:f>
        <x:v>none</x:v>
      </x:c>
      <x:c r="AE1150" s="12" t="str">
        <x:f>IF(AC1150="PUBLIC_CANDIDATE","prepare_public_github_candidate",IF(AC1150="PRIVATE_REVIEW","hold_for_private_review","quarantine_private_do_not_publish"))</x:f>
        <x:v>prepare_public_github_candidate</x:v>
      </x:c>
      <x:c r="AF1150" s="12" t="str">
        <x:f>IF(AC1150="PUBLIC_CANDIDATE","TIDELOCK + Lucerna",IF(AC1150="PRIVATE_REVIEW","AtlasBrain + Lucerna","TIDELOCK + Lucerna + Human-root"))</x:f>
        <x:v>TIDELOCK + Lucerna</x:v>
      </x:c>
      <x:c r="AG1150" s="12" t="str">
        <x:f>IF(AND(AC1150="PUBLIC_CANDIDATE",U1150&lt;&gt;"BLOCKED_PENDING_RECEIPT"),"READY_AFTER_RECEIPT","NOT_READY")</x:f>
        <x:v>NOT_READY</x:v>
      </x:c>
      <x:c r="AH1150" s="12" t="str">
        <x:f>IF(AC1150="PUBLIC_CANDIDATE","none",AD1150)</x:f>
        <x:v>none</x:v>
      </x:c>
      <x:c r="AI1150" s="12" t="str">
        <x:f>IF(AC1150="PUBLIC_CANDIDATE","archive/public_candidates/"&amp;A1150,"private_quarantine/"&amp;A1150)</x:f>
        <x:v>archive/public_candidates/SWARM-08-H12-S09</x:v>
      </x:c>
      <x:c r="AJ1150" s="12" t="str">
        <x:f>IF(AC1150="PUBLIC_CANDIDATE","public by default; still not canon","private/hold; do not publish")</x:f>
        <x:v>public by default; still not canon</x:v>
      </x:c>
      <x:c r="AK1150" s="12" t="str">
        <x:f>IF(AE1150="prepare_public_github_candidate","add receipt/status then mirror","resolve blocker before any public GitHub action")</x:f>
        <x:v>add receipt/status then mirror</x:v>
      </x:c>
    </x:row>
    <x:row r="1151">
      <x:c r="A1151" s="15" t="str">
        <x:v>SWARM-08-H12-S10</x:v>
      </x:c>
      <x:c r="B1151" s="15" t="str">
        <x:v>GammaSprite</x:v>
      </x:c>
      <x:c r="C1151" s="15" t="str">
        <x:v>Deck surface mapper</x:v>
      </x:c>
      <x:c r="D1151" s="15" t="str">
        <x:v>Canon-Gate Prep</x:v>
      </x:c>
      <x:c r="E1151" s="15" t="str">
        <x:v>Human-Root</x:v>
      </x:c>
      <x:c r="F1151" s="15" t="str">
        <x:v>Prepare canon-gate brief for Human-Root — GammaSprite</x:v>
      </x:c>
      <x:c r="G1151" s="15" t="str">
        <x:v>Gamma/deck extraction / slide lineage</x:v>
      </x:c>
      <x:c r="H1151" s="15" t="str">
        <x:v>source path + receipt + raw/export status + claim/edge/risk delta</x:v>
      </x:c>
      <x:c r="I1151" s="15" t="str">
        <x:v>packet/SWARM-08-H12-S10</x:v>
      </x:c>
      <x:c r="J1151" s="15" t="str">
        <x:v>TODO</x:v>
      </x:c>
      <x:c r="K1151" s="15" t="str">
        <x:v>P2</x:v>
      </x:c>
      <x:c r="L1151" s="15" t="str">
        <x:v>Done only when evidence is logged, contradiction search is noted, and boundary stamp remains non-canon unless ratified</x:v>
      </x:c>
      <x:c r="M1151" s="15" t="str">
        <x:v>candidate / staging-only / not canon / not deployed / authority none</x:v>
      </x:c>
      <x:c r="N1151" s="15" t="str">
        <x:v>Dispatch to GammaSprite: complete Canon-Gate Prep x Human-Root; return deltas only, receipts required.</x:v>
      </x:c>
      <x:c r="O1151" s="15" t="str">
        <x:v>AF-KG-H12-S10</x:v>
      </x:c>
      <x:c r="P1151" s="15" t="str">
        <x:v>Unverified</x:v>
      </x:c>
      <x:c r="Q1151" s="15" t="str">
        <x:v>Not checked</x:v>
      </x:c>
      <x:c r="R1151" s="15" t="str"/>
      <x:c r="S1151" s="15" t="str"/>
      <x:c r="T1151" s="15" t="str">
        <x:v>Log first source path or blocker</x:v>
      </x:c>
      <x:c r="U1151" s="12" t="str">
        <x:f>IF(OR(P1151="Unverified",Q1151="Not checked"),"BLOCKED_PENDING_RECEIPT","READY_FOR_REVIEW")</x:f>
        <x:v>BLOCKED_PENDING_RECEIPT</x:v>
      </x:c>
      <x:c r="V1151" s="12" t="str">
        <x:f>IF(J1151="DONE","RETURNED",IF(U1151="BLOCKED_PENDING_RECEIPT","SOURCE_TOUCH_REQUIRED","IN_PROGRESS"))</x:f>
        <x:v>SOURCE_TOUCH_REQUIRED</x:v>
      </x:c>
      <x:c r="W1151" s="12" t="str">
        <x:f>IF(P1151="Unverified","missing_receipt","receipt_logged")</x:f>
        <x:v>missing_receipt</x:v>
      </x:c>
      <x:c r="X1151" s="12" t="str">
        <x:f>IF(Q1151="Not checked","raw_status_missing","raw_status_logged")</x:f>
        <x:v>raw_status_missing</x:v>
      </x:c>
      <x:c r="Y1151" s="12" t="str">
        <x:f>IF(U1151="BLOCKED_PENDING_RECEIPT","Log source path or blocker; do not promote","Route to review lane")</x:f>
        <x:v>Log source path or blocker; do not promote</x:v>
      </x:c>
      <x:c r="Z1151" s="12" t="str">
        <x:f>IF(K1151="P0","Primary seat + Hashlight/Lucerna","Seat lane")</x:f>
        <x:v>Seat lane</x:v>
      </x:c>
      <x:c r="AA1151" s="12" t="str">
        <x:f>IF(R1151="","no_claim_delta","claim_delta_present")</x:f>
        <x:v>no_claim_delta</x:v>
      </x:c>
      <x:c r="AB1151" s="12" t="str">
        <x:f>IF(S1151="","no_contradiction_delta","contradiction_delta_present")</x:f>
        <x:v>no_contradiction_delta</x:v>
      </x:c>
      <x:c r="AC1151" s="12" t="str">
        <x:f>IF(OR(ISNUMBER(SEARCH("hacker",LOWER(F1151&amp;" "&amp;H1151&amp;" "&amp;I1151&amp;" "&amp;M1151&amp;" "&amp;N1151&amp;" "&amp;T1151))),ISNUMBER(SEARCH("hacking",LOWER(F1151&amp;" "&amp;H1151&amp;" "&amp;I1151&amp;" "&amp;M1151&amp;" "&amp;N1151&amp;" "&amp;T1151))),ISNUMBER(SEARCH("bank",LOWER(F1151&amp;" "&amp;H1151&amp;" "&amp;I1151&amp;" "&amp;M1151&amp;" "&amp;N1151&amp;" "&amp;T1151))),ISNUMBER(SEARCH("banking",LOWER(F1151&amp;" "&amp;H1151&amp;" "&amp;I1151&amp;" "&amp;M1151&amp;" "&amp;N1151&amp;" "&amp;T1151)))),"PRIVATE_QUARANTINE",IF(OR(ISNUMBER(SEARCH("treasury",LOWER(F1151&amp;" "&amp;H1151&amp;" "&amp;I1151&amp;" "&amp;M1151&amp;" "&amp;N1151&amp;" "&amp;T1151))),ISNUMBER(SEARCH("debt",LOWER(F1151&amp;" "&amp;H1151&amp;" "&amp;I1151&amp;" "&amp;M1151&amp;" "&amp;N1151&amp;" "&amp;T1151))),ISNUMBER(SEARCH("bond",LOWER(F1151&amp;" "&amp;H1151&amp;" "&amp;I1151&amp;" "&amp;M1151&amp;" "&amp;N1151&amp;" "&amp;T1151))),ISNUMBER(SEARCH("transaction",LOWER(F1151&amp;" "&amp;H1151&amp;" "&amp;I1151&amp;" "&amp;M1151&amp;" "&amp;N1151&amp;" "&amp;T1151)))),"PRIVATE_REVIEW","PUBLIC_CANDIDATE"))</x:f>
        <x:v>PUBLIC_CANDIDATE</x:v>
      </x:c>
      <x:c r="AD1151" s="12" t="str">
        <x:f>IF(AC1151="PRIVATE_QUARANTINE","hacker_or_bank_trigger",IF(AC1151="PRIVATE_REVIEW","finance_risk_trigger","none"))</x:f>
        <x:v>none</x:v>
      </x:c>
      <x:c r="AE1151" s="12" t="str">
        <x:f>IF(AC1151="PUBLIC_CANDIDATE","prepare_public_github_candidate",IF(AC1151="PRIVATE_REVIEW","hold_for_private_review","quarantine_private_do_not_publish"))</x:f>
        <x:v>prepare_public_github_candidate</x:v>
      </x:c>
      <x:c r="AF1151" s="12" t="str">
        <x:f>IF(AC1151="PUBLIC_CANDIDATE","TIDELOCK + Lucerna",IF(AC1151="PRIVATE_REVIEW","AtlasBrain + Lucerna","TIDELOCK + Lucerna + Human-root"))</x:f>
        <x:v>TIDELOCK + Lucerna</x:v>
      </x:c>
      <x:c r="AG1151" s="12" t="str">
        <x:f>IF(AND(AC1151="PUBLIC_CANDIDATE",U1151&lt;&gt;"BLOCKED_PENDING_RECEIPT"),"READY_AFTER_RECEIPT","NOT_READY")</x:f>
        <x:v>NOT_READY</x:v>
      </x:c>
      <x:c r="AH1151" s="12" t="str">
        <x:f>IF(AC1151="PUBLIC_CANDIDATE","none",AD1151)</x:f>
        <x:v>none</x:v>
      </x:c>
      <x:c r="AI1151" s="12" t="str">
        <x:f>IF(AC1151="PUBLIC_CANDIDATE","archive/public_candidates/"&amp;A1151,"private_quarantine/"&amp;A1151)</x:f>
        <x:v>archive/public_candidates/SWARM-08-H12-S10</x:v>
      </x:c>
      <x:c r="AJ1151" s="12" t="str">
        <x:f>IF(AC1151="PUBLIC_CANDIDATE","public by default; still not canon","private/hold; do not publish")</x:f>
        <x:v>public by default; still not canon</x:v>
      </x:c>
      <x:c r="AK1151" s="12" t="str">
        <x:f>IF(AE1151="prepare_public_github_candidate","add receipt/status then mirror","resolve blocker before any public GitHub action")</x:f>
        <x:v>add receipt/status then mirror</x:v>
      </x:c>
    </x:row>
    <x:row r="1152">
      <x:c r="A1152" s="15" t="str">
        <x:v>SWARM-08-H12-S11</x:v>
      </x:c>
      <x:c r="B1152" s="15" t="str">
        <x:v>GammaSprite</x:v>
      </x:c>
      <x:c r="C1152" s="15" t="str">
        <x:v>Deck surface mapper</x:v>
      </x:c>
      <x:c r="D1152" s="15" t="str">
        <x:v>Canon-Gate Prep</x:v>
      </x:c>
      <x:c r="E1152" s="15" t="str">
        <x:v>Automation</x:v>
      </x:c>
      <x:c r="F1152" s="15" t="str">
        <x:v>Prepare canon-gate brief for Automation — GammaSprite</x:v>
      </x:c>
      <x:c r="G1152" s="15" t="str">
        <x:v>Gamma/deck extraction / slide lineage</x:v>
      </x:c>
      <x:c r="H1152" s="15" t="str">
        <x:v>source path + receipt + raw/export status + claim/edge/risk delta</x:v>
      </x:c>
      <x:c r="I1152" s="15" t="str">
        <x:v>packet/SWARM-08-H12-S11</x:v>
      </x:c>
      <x:c r="J1152" s="15" t="str">
        <x:v>TODO</x:v>
      </x:c>
      <x:c r="K1152" s="15" t="str">
        <x:v>P2</x:v>
      </x:c>
      <x:c r="L1152" s="15" t="str">
        <x:v>Done only when evidence is logged, contradiction search is noted, and boundary stamp remains non-canon unless ratified</x:v>
      </x:c>
      <x:c r="M1152" s="15" t="str">
        <x:v>candidate / staging-only / not canon / not deployed / authority none</x:v>
      </x:c>
      <x:c r="N1152" s="15" t="str">
        <x:v>Dispatch to GammaSprite: complete Canon-Gate Prep x Automation; return deltas only, receipts required.</x:v>
      </x:c>
      <x:c r="O1152" s="15" t="str">
        <x:v>AF-KG-H12-S11</x:v>
      </x:c>
      <x:c r="P1152" s="15" t="str">
        <x:v>Unverified</x:v>
      </x:c>
      <x:c r="Q1152" s="15" t="str">
        <x:v>Not checked</x:v>
      </x:c>
      <x:c r="R1152" s="15" t="str"/>
      <x:c r="S1152" s="15" t="str"/>
      <x:c r="T1152" s="15" t="str">
        <x:v>Log first source path or blocker</x:v>
      </x:c>
      <x:c r="U1152" s="12" t="str">
        <x:f>IF(OR(P1152="Unverified",Q1152="Not checked"),"BLOCKED_PENDING_RECEIPT","READY_FOR_REVIEW")</x:f>
        <x:v>BLOCKED_PENDING_RECEIPT</x:v>
      </x:c>
      <x:c r="V1152" s="12" t="str">
        <x:f>IF(J1152="DONE","RETURNED",IF(U1152="BLOCKED_PENDING_RECEIPT","SOURCE_TOUCH_REQUIRED","IN_PROGRESS"))</x:f>
        <x:v>SOURCE_TOUCH_REQUIRED</x:v>
      </x:c>
      <x:c r="W1152" s="12" t="str">
        <x:f>IF(P1152="Unverified","missing_receipt","receipt_logged")</x:f>
        <x:v>missing_receipt</x:v>
      </x:c>
      <x:c r="X1152" s="12" t="str">
        <x:f>IF(Q1152="Not checked","raw_status_missing","raw_status_logged")</x:f>
        <x:v>raw_status_missing</x:v>
      </x:c>
      <x:c r="Y1152" s="12" t="str">
        <x:f>IF(U1152="BLOCKED_PENDING_RECEIPT","Log source path or blocker; do not promote","Route to review lane")</x:f>
        <x:v>Log source path or blocker; do not promote</x:v>
      </x:c>
      <x:c r="Z1152" s="12" t="str">
        <x:f>IF(K1152="P0","Primary seat + Hashlight/Lucerna","Seat lane")</x:f>
        <x:v>Seat lane</x:v>
      </x:c>
      <x:c r="AA1152" s="12" t="str">
        <x:f>IF(R1152="","no_claim_delta","claim_delta_present")</x:f>
        <x:v>no_claim_delta</x:v>
      </x:c>
      <x:c r="AB1152" s="12" t="str">
        <x:f>IF(S1152="","no_contradiction_delta","contradiction_delta_present")</x:f>
        <x:v>no_contradiction_delta</x:v>
      </x:c>
      <x:c r="AC1152" s="12" t="str">
        <x:f>IF(OR(ISNUMBER(SEARCH("hacker",LOWER(F1152&amp;" "&amp;H1152&amp;" "&amp;I1152&amp;" "&amp;M1152&amp;" "&amp;N1152&amp;" "&amp;T1152))),ISNUMBER(SEARCH("hacking",LOWER(F1152&amp;" "&amp;H1152&amp;" "&amp;I1152&amp;" "&amp;M1152&amp;" "&amp;N1152&amp;" "&amp;T1152))),ISNUMBER(SEARCH("bank",LOWER(F1152&amp;" "&amp;H1152&amp;" "&amp;I1152&amp;" "&amp;M1152&amp;" "&amp;N1152&amp;" "&amp;T1152))),ISNUMBER(SEARCH("banking",LOWER(F1152&amp;" "&amp;H1152&amp;" "&amp;I1152&amp;" "&amp;M1152&amp;" "&amp;N1152&amp;" "&amp;T1152)))),"PRIVATE_QUARANTINE",IF(OR(ISNUMBER(SEARCH("treasury",LOWER(F1152&amp;" "&amp;H1152&amp;" "&amp;I1152&amp;" "&amp;M1152&amp;" "&amp;N1152&amp;" "&amp;T1152))),ISNUMBER(SEARCH("debt",LOWER(F1152&amp;" "&amp;H1152&amp;" "&amp;I1152&amp;" "&amp;M1152&amp;" "&amp;N1152&amp;" "&amp;T1152))),ISNUMBER(SEARCH("bond",LOWER(F1152&amp;" "&amp;H1152&amp;" "&amp;I1152&amp;" "&amp;M1152&amp;" "&amp;N1152&amp;" "&amp;T1152))),ISNUMBER(SEARCH("transaction",LOWER(F1152&amp;" "&amp;H1152&amp;" "&amp;I1152&amp;" "&amp;M1152&amp;" "&amp;N1152&amp;" "&amp;T1152)))),"PRIVATE_REVIEW","PUBLIC_CANDIDATE"))</x:f>
        <x:v>PUBLIC_CANDIDATE</x:v>
      </x:c>
      <x:c r="AD1152" s="12" t="str">
        <x:f>IF(AC1152="PRIVATE_QUARANTINE","hacker_or_bank_trigger",IF(AC1152="PRIVATE_REVIEW","finance_risk_trigger","none"))</x:f>
        <x:v>none</x:v>
      </x:c>
      <x:c r="AE1152" s="12" t="str">
        <x:f>IF(AC1152="PUBLIC_CANDIDATE","prepare_public_github_candidate",IF(AC1152="PRIVATE_REVIEW","hold_for_private_review","quarantine_private_do_not_publish"))</x:f>
        <x:v>prepare_public_github_candidate</x:v>
      </x:c>
      <x:c r="AF1152" s="12" t="str">
        <x:f>IF(AC1152="PUBLIC_CANDIDATE","TIDELOCK + Lucerna",IF(AC1152="PRIVATE_REVIEW","AtlasBrain + Lucerna","TIDELOCK + Lucerna + Human-root"))</x:f>
        <x:v>TIDELOCK + Lucerna</x:v>
      </x:c>
      <x:c r="AG1152" s="12" t="str">
        <x:f>IF(AND(AC1152="PUBLIC_CANDIDATE",U1152&lt;&gt;"BLOCKED_PENDING_RECEIPT"),"READY_AFTER_RECEIPT","NOT_READY")</x:f>
        <x:v>NOT_READY</x:v>
      </x:c>
      <x:c r="AH1152" s="12" t="str">
        <x:f>IF(AC1152="PUBLIC_CANDIDATE","none",AD1152)</x:f>
        <x:v>none</x:v>
      </x:c>
      <x:c r="AI1152" s="12" t="str">
        <x:f>IF(AC1152="PUBLIC_CANDIDATE","archive/public_candidates/"&amp;A1152,"private_quarantine/"&amp;A1152)</x:f>
        <x:v>archive/public_candidates/SWARM-08-H12-S11</x:v>
      </x:c>
      <x:c r="AJ1152" s="12" t="str">
        <x:f>IF(AC1152="PUBLIC_CANDIDATE","public by default; still not canon","private/hold; do not publish")</x:f>
        <x:v>public by default; still not canon</x:v>
      </x:c>
      <x:c r="AK1152" s="12" t="str">
        <x:f>IF(AE1152="prepare_public_github_candidate","add receipt/status then mirror","resolve blocker before any public GitHub action")</x:f>
        <x:v>add receipt/status then mirror</x:v>
      </x:c>
    </x:row>
    <x:row r="1153">
      <x:c r="A1153" s="15" t="str">
        <x:v>SWARM-08-H12-S12</x:v>
      </x:c>
      <x:c r="B1153" s="15" t="str">
        <x:v>GammaSprite</x:v>
      </x:c>
      <x:c r="C1153" s="15" t="str">
        <x:v>Deck surface mapper</x:v>
      </x:c>
      <x:c r="D1153" s="15" t="str">
        <x:v>Canon-Gate Prep</x:v>
      </x:c>
      <x:c r="E1153" s="15" t="str">
        <x:v>Risk / Safety</x:v>
      </x:c>
      <x:c r="F1153" s="15" t="str">
        <x:v>Prepare canon-gate brief for Risk / Safety — GammaSprite</x:v>
      </x:c>
      <x:c r="G1153" s="15" t="str">
        <x:v>Gamma/deck extraction / slide lineage</x:v>
      </x:c>
      <x:c r="H1153" s="15" t="str">
        <x:v>source path + receipt + raw/export status + claim/edge/risk delta</x:v>
      </x:c>
      <x:c r="I1153" s="15" t="str">
        <x:v>packet/SWARM-08-H12-S12</x:v>
      </x:c>
      <x:c r="J1153" s="15" t="str">
        <x:v>TODO</x:v>
      </x:c>
      <x:c r="K1153" s="15" t="str">
        <x:v>P2</x:v>
      </x:c>
      <x:c r="L1153" s="15" t="str">
        <x:v>Done only when evidence is logged, contradiction search is noted, and boundary stamp remains non-canon unless ratified</x:v>
      </x:c>
      <x:c r="M1153" s="15" t="str">
        <x:v>candidate / staging-only / not canon / not deployed / authority none</x:v>
      </x:c>
      <x:c r="N1153" s="15" t="str">
        <x:v>Dispatch to GammaSprite: complete Canon-Gate Prep x Risk / Safety; return deltas only, receipts required.</x:v>
      </x:c>
      <x:c r="O1153" s="15" t="str">
        <x:v>AF-KG-H12-S12</x:v>
      </x:c>
      <x:c r="P1153" s="15" t="str">
        <x:v>Unverified</x:v>
      </x:c>
      <x:c r="Q1153" s="15" t="str">
        <x:v>Not checked</x:v>
      </x:c>
      <x:c r="R1153" s="15" t="str"/>
      <x:c r="S1153" s="15" t="str"/>
      <x:c r="T1153" s="15" t="str">
        <x:v>Log first source path or blocker</x:v>
      </x:c>
      <x:c r="U1153" s="12" t="str">
        <x:f>IF(OR(P1153="Unverified",Q1153="Not checked"),"BLOCKED_PENDING_RECEIPT","READY_FOR_REVIEW")</x:f>
        <x:v>BLOCKED_PENDING_RECEIPT</x:v>
      </x:c>
      <x:c r="V1153" s="12" t="str">
        <x:f>IF(J1153="DONE","RETURNED",IF(U1153="BLOCKED_PENDING_RECEIPT","SOURCE_TOUCH_REQUIRED","IN_PROGRESS"))</x:f>
        <x:v>SOURCE_TOUCH_REQUIRED</x:v>
      </x:c>
      <x:c r="W1153" s="12" t="str">
        <x:f>IF(P1153="Unverified","missing_receipt","receipt_logged")</x:f>
        <x:v>missing_receipt</x:v>
      </x:c>
      <x:c r="X1153" s="12" t="str">
        <x:f>IF(Q1153="Not checked","raw_status_missing","raw_status_logged")</x:f>
        <x:v>raw_status_missing</x:v>
      </x:c>
      <x:c r="Y1153" s="12" t="str">
        <x:f>IF(U1153="BLOCKED_PENDING_RECEIPT","Log source path or blocker; do not promote","Route to review lane")</x:f>
        <x:v>Log source path or blocker; do not promote</x:v>
      </x:c>
      <x:c r="Z1153" s="12" t="str">
        <x:f>IF(K1153="P0","Primary seat + Hashlight/Lucerna","Seat lane")</x:f>
        <x:v>Seat lane</x:v>
      </x:c>
      <x:c r="AA1153" s="12" t="str">
        <x:f>IF(R1153="","no_claim_delta","claim_delta_present")</x:f>
        <x:v>no_claim_delta</x:v>
      </x:c>
      <x:c r="AB1153" s="12" t="str">
        <x:f>IF(S1153="","no_contradiction_delta","contradiction_delta_present")</x:f>
        <x:v>no_contradiction_delta</x:v>
      </x:c>
      <x:c r="AC1153" s="12" t="str">
        <x:f>IF(OR(ISNUMBER(SEARCH("hacker",LOWER(F1153&amp;" "&amp;H1153&amp;" "&amp;I1153&amp;" "&amp;M1153&amp;" "&amp;N1153&amp;" "&amp;T1153))),ISNUMBER(SEARCH("hacking",LOWER(F1153&amp;" "&amp;H1153&amp;" "&amp;I1153&amp;" "&amp;M1153&amp;" "&amp;N1153&amp;" "&amp;T1153))),ISNUMBER(SEARCH("bank",LOWER(F1153&amp;" "&amp;H1153&amp;" "&amp;I1153&amp;" "&amp;M1153&amp;" "&amp;N1153&amp;" "&amp;T1153))),ISNUMBER(SEARCH("banking",LOWER(F1153&amp;" "&amp;H1153&amp;" "&amp;I1153&amp;" "&amp;M1153&amp;" "&amp;N1153&amp;" "&amp;T1153)))),"PRIVATE_QUARANTINE",IF(OR(ISNUMBER(SEARCH("treasury",LOWER(F1153&amp;" "&amp;H1153&amp;" "&amp;I1153&amp;" "&amp;M1153&amp;" "&amp;N1153&amp;" "&amp;T1153))),ISNUMBER(SEARCH("debt",LOWER(F1153&amp;" "&amp;H1153&amp;" "&amp;I1153&amp;" "&amp;M1153&amp;" "&amp;N1153&amp;" "&amp;T1153))),ISNUMBER(SEARCH("bond",LOWER(F1153&amp;" "&amp;H1153&amp;" "&amp;I1153&amp;" "&amp;M1153&amp;" "&amp;N1153&amp;" "&amp;T1153))),ISNUMBER(SEARCH("transaction",LOWER(F1153&amp;" "&amp;H1153&amp;" "&amp;I1153&amp;" "&amp;M1153&amp;" "&amp;N1153&amp;" "&amp;T1153)))),"PRIVATE_REVIEW","PUBLIC_CANDIDATE"))</x:f>
        <x:v>PUBLIC_CANDIDATE</x:v>
      </x:c>
      <x:c r="AD1153" s="12" t="str">
        <x:f>IF(AC1153="PRIVATE_QUARANTINE","hacker_or_bank_trigger",IF(AC1153="PRIVATE_REVIEW","finance_risk_trigger","none"))</x:f>
        <x:v>none</x:v>
      </x:c>
      <x:c r="AE1153" s="12" t="str">
        <x:f>IF(AC1153="PUBLIC_CANDIDATE","prepare_public_github_candidate",IF(AC1153="PRIVATE_REVIEW","hold_for_private_review","quarantine_private_do_not_publish"))</x:f>
        <x:v>prepare_public_github_candidate</x:v>
      </x:c>
      <x:c r="AF1153" s="12" t="str">
        <x:f>IF(AC1153="PUBLIC_CANDIDATE","TIDELOCK + Lucerna",IF(AC1153="PRIVATE_REVIEW","AtlasBrain + Lucerna","TIDELOCK + Lucerna + Human-root"))</x:f>
        <x:v>TIDELOCK + Lucerna</x:v>
      </x:c>
      <x:c r="AG1153" s="12" t="str">
        <x:f>IF(AND(AC1153="PUBLIC_CANDIDATE",U1153&lt;&gt;"BLOCKED_PENDING_RECEIPT"),"READY_AFTER_RECEIPT","NOT_READY")</x:f>
        <x:v>NOT_READY</x:v>
      </x:c>
      <x:c r="AH1153" s="12" t="str">
        <x:f>IF(AC1153="PUBLIC_CANDIDATE","none",AD1153)</x:f>
        <x:v>none</x:v>
      </x:c>
      <x:c r="AI1153" s="12" t="str">
        <x:f>IF(AC1153="PUBLIC_CANDIDATE","archive/public_candidates/"&amp;A1153,"private_quarantine/"&amp;A1153)</x:f>
        <x:v>archive/public_candidates/SWARM-08-H12-S12</x:v>
      </x:c>
      <x:c r="AJ1153" s="12" t="str">
        <x:f>IF(AC1153="PUBLIC_CANDIDATE","public by default; still not canon","private/hold; do not publish")</x:f>
        <x:v>public by default; still not canon</x:v>
      </x:c>
      <x:c r="AK1153" s="12" t="str">
        <x:f>IF(AE1153="prepare_public_github_candidate","add receipt/status then mirror","resolve blocker before any public GitHub action")</x:f>
        <x:v>add receipt/status then mirror</x:v>
      </x:c>
    </x:row>
    <x:row r="1154">
      <x:c r="A1154" s="15" t="str">
        <x:v>SWARM-09-H01-S01</x:v>
      </x:c>
      <x:c r="B1154" s="15" t="str">
        <x:v>NotionMoth</x:v>
      </x:c>
      <x:c r="C1154" s="15" t="str">
        <x:v>Notion ontology mapper</x:v>
      </x:c>
      <x:c r="D1154" s="15" t="str">
        <x:v>Source Inventory</x:v>
      </x:c>
      <x:c r="E1154" s="15" t="str">
        <x:v>Notion</x:v>
      </x:c>
      <x:c r="F1154" s="15" t="str">
        <x:v>Inventory Notion — NotionMoth</x:v>
      </x:c>
      <x:c r="G1154" s="15" t="str">
        <x:v>legacy schema / Notion export prep</x:v>
      </x:c>
      <x:c r="H1154" s="15" t="str">
        <x:v>source path + receipt + raw/export status + claim/edge/risk delta</x:v>
      </x:c>
      <x:c r="I1154" s="15" t="str">
        <x:v>packet/SWARM-09-H01-S01</x:v>
      </x:c>
      <x:c r="J1154" s="15" t="str">
        <x:v>TODO</x:v>
      </x:c>
      <x:c r="K1154" s="15" t="str">
        <x:v>P0</x:v>
      </x:c>
      <x:c r="L1154" s="15" t="str">
        <x:v>Done only when evidence is logged, contradiction search is noted, and boundary stamp remains non-canon unless ratified</x:v>
      </x:c>
      <x:c r="M1154" s="15" t="str">
        <x:v>candidate / staging-only / not canon / not deployed / authority none</x:v>
      </x:c>
      <x:c r="N1154" s="15" t="str">
        <x:v>Dispatch to NotionMoth: complete Source Inventory x Notion; return deltas only, receipts required.</x:v>
      </x:c>
      <x:c r="O1154" s="15" t="str">
        <x:v>AF-KG-H01-S01</x:v>
      </x:c>
      <x:c r="P1154" s="15" t="str">
        <x:v>Unverified</x:v>
      </x:c>
      <x:c r="Q1154" s="15" t="str">
        <x:v>Not checked</x:v>
      </x:c>
      <x:c r="R1154" s="15" t="str"/>
      <x:c r="S1154" s="15" t="str"/>
      <x:c r="T1154" s="15" t="str">
        <x:v>Log first source path or blocker</x:v>
      </x:c>
      <x:c r="U1154" s="12" t="str">
        <x:f>IF(OR(P1154="Unverified",Q1154="Not checked"),"BLOCKED_PENDING_RECEIPT","READY_FOR_REVIEW")</x:f>
        <x:v>BLOCKED_PENDING_RECEIPT</x:v>
      </x:c>
      <x:c r="V1154" s="12" t="str">
        <x:f>IF(J1154="DONE","RETURNED",IF(U1154="BLOCKED_PENDING_RECEIPT","SOURCE_TOUCH_REQUIRED","IN_PROGRESS"))</x:f>
        <x:v>SOURCE_TOUCH_REQUIRED</x:v>
      </x:c>
      <x:c r="W1154" s="12" t="str">
        <x:f>IF(P1154="Unverified","missing_receipt","receipt_logged")</x:f>
        <x:v>missing_receipt</x:v>
      </x:c>
      <x:c r="X1154" s="12" t="str">
        <x:f>IF(Q1154="Not checked","raw_status_missing","raw_status_logged")</x:f>
        <x:v>raw_status_missing</x:v>
      </x:c>
      <x:c r="Y1154" s="12" t="str">
        <x:f>IF(U1154="BLOCKED_PENDING_RECEIPT","Log source path or blocker; do not promote","Route to review lane")</x:f>
        <x:v>Log source path or blocker; do not promote</x:v>
      </x:c>
      <x:c r="Z1154" s="12" t="str">
        <x:f>IF(K1154="P0","Primary seat + Hashlight/Lucerna","Seat lane")</x:f>
        <x:v>Primary seat + Hashlight/Lucerna</x:v>
      </x:c>
      <x:c r="AA1154" s="12" t="str">
        <x:f>IF(R1154="","no_claim_delta","claim_delta_present")</x:f>
        <x:v>no_claim_delta</x:v>
      </x:c>
      <x:c r="AB1154" s="12" t="str">
        <x:f>IF(S1154="","no_contradiction_delta","contradiction_delta_present")</x:f>
        <x:v>no_contradiction_delta</x:v>
      </x:c>
      <x:c r="AC1154" s="12" t="str">
        <x:f>IF(OR(ISNUMBER(SEARCH("hacker",LOWER(F1154&amp;" "&amp;H1154&amp;" "&amp;I1154&amp;" "&amp;M1154&amp;" "&amp;N1154&amp;" "&amp;T1154))),ISNUMBER(SEARCH("hacking",LOWER(F1154&amp;" "&amp;H1154&amp;" "&amp;I1154&amp;" "&amp;M1154&amp;" "&amp;N1154&amp;" "&amp;T1154))),ISNUMBER(SEARCH("bank",LOWER(F1154&amp;" "&amp;H1154&amp;" "&amp;I1154&amp;" "&amp;M1154&amp;" "&amp;N1154&amp;" "&amp;T1154))),ISNUMBER(SEARCH("banking",LOWER(F1154&amp;" "&amp;H1154&amp;" "&amp;I1154&amp;" "&amp;M1154&amp;" "&amp;N1154&amp;" "&amp;T1154)))),"PRIVATE_QUARANTINE",IF(OR(ISNUMBER(SEARCH("treasury",LOWER(F1154&amp;" "&amp;H1154&amp;" "&amp;I1154&amp;" "&amp;M1154&amp;" "&amp;N1154&amp;" "&amp;T1154))),ISNUMBER(SEARCH("debt",LOWER(F1154&amp;" "&amp;H1154&amp;" "&amp;I1154&amp;" "&amp;M1154&amp;" "&amp;N1154&amp;" "&amp;T1154))),ISNUMBER(SEARCH("bond",LOWER(F1154&amp;" "&amp;H1154&amp;" "&amp;I1154&amp;" "&amp;M1154&amp;" "&amp;N1154&amp;" "&amp;T1154))),ISNUMBER(SEARCH("transaction",LOWER(F1154&amp;" "&amp;H1154&amp;" "&amp;I1154&amp;" "&amp;M1154&amp;" "&amp;N1154&amp;" "&amp;T1154)))),"PRIVATE_REVIEW","PUBLIC_CANDIDATE"))</x:f>
        <x:v>PUBLIC_CANDIDATE</x:v>
      </x:c>
      <x:c r="AD1154" s="12" t="str">
        <x:f>IF(AC1154="PRIVATE_QUARANTINE","hacker_or_bank_trigger",IF(AC1154="PRIVATE_REVIEW","finance_risk_trigger","none"))</x:f>
        <x:v>none</x:v>
      </x:c>
      <x:c r="AE1154" s="12" t="str">
        <x:f>IF(AC1154="PUBLIC_CANDIDATE","prepare_public_github_candidate",IF(AC1154="PRIVATE_REVIEW","hold_for_private_review","quarantine_private_do_not_publish"))</x:f>
        <x:v>prepare_public_github_candidate</x:v>
      </x:c>
      <x:c r="AF1154" s="12" t="str">
        <x:f>IF(AC1154="PUBLIC_CANDIDATE","TIDELOCK + Lucerna",IF(AC1154="PRIVATE_REVIEW","AtlasBrain + Lucerna","TIDELOCK + Lucerna + Human-root"))</x:f>
        <x:v>TIDELOCK + Lucerna</x:v>
      </x:c>
      <x:c r="AG1154" s="12" t="str">
        <x:f>IF(AND(AC1154="PUBLIC_CANDIDATE",U1154&lt;&gt;"BLOCKED_PENDING_RECEIPT"),"READY_AFTER_RECEIPT","NOT_READY")</x:f>
        <x:v>NOT_READY</x:v>
      </x:c>
      <x:c r="AH1154" s="12" t="str">
        <x:f>IF(AC1154="PUBLIC_CANDIDATE","none",AD1154)</x:f>
        <x:v>none</x:v>
      </x:c>
      <x:c r="AI1154" s="12" t="str">
        <x:f>IF(AC1154="PUBLIC_CANDIDATE","archive/public_candidates/"&amp;A1154,"private_quarantine/"&amp;A1154)</x:f>
        <x:v>archive/public_candidates/SWARM-09-H01-S01</x:v>
      </x:c>
      <x:c r="AJ1154" s="12" t="str">
        <x:f>IF(AC1154="PUBLIC_CANDIDATE","public by default; still not canon","private/hold; do not publish")</x:f>
        <x:v>public by default; still not canon</x:v>
      </x:c>
      <x:c r="AK1154" s="12" t="str">
        <x:f>IF(AE1154="prepare_public_github_candidate","add receipt/status then mirror","resolve blocker before any public GitHub action")</x:f>
        <x:v>add receipt/status then mirror</x:v>
      </x:c>
    </x:row>
    <x:row r="1155">
      <x:c r="A1155" s="15" t="str">
        <x:v>SWARM-09-H01-S02</x:v>
      </x:c>
      <x:c r="B1155" s="15" t="str">
        <x:v>NotionMoth</x:v>
      </x:c>
      <x:c r="C1155" s="15" t="str">
        <x:v>Notion ontology mapper</x:v>
      </x:c>
      <x:c r="D1155" s="15" t="str">
        <x:v>Source Inventory</x:v>
      </x:c>
      <x:c r="E1155" s="15" t="str">
        <x:v>Drive</x:v>
      </x:c>
      <x:c r="F1155" s="15" t="str">
        <x:v>Inventory Drive — NotionMoth</x:v>
      </x:c>
      <x:c r="G1155" s="15" t="str">
        <x:v>legacy schema / Notion export prep</x:v>
      </x:c>
      <x:c r="H1155" s="15" t="str">
        <x:v>source path + receipt + raw/export status + claim/edge/risk delta</x:v>
      </x:c>
      <x:c r="I1155" s="15" t="str">
        <x:v>packet/SWARM-09-H01-S02</x:v>
      </x:c>
      <x:c r="J1155" s="15" t="str">
        <x:v>TODO</x:v>
      </x:c>
      <x:c r="K1155" s="15" t="str">
        <x:v>P0</x:v>
      </x:c>
      <x:c r="L1155" s="15" t="str">
        <x:v>Done only when evidence is logged, contradiction search is noted, and boundary stamp remains non-canon unless ratified</x:v>
      </x:c>
      <x:c r="M1155" s="15" t="str">
        <x:v>candidate / staging-only / not canon / not deployed / authority none</x:v>
      </x:c>
      <x:c r="N1155" s="15" t="str">
        <x:v>Dispatch to NotionMoth: complete Source Inventory x Drive; return deltas only, receipts required.</x:v>
      </x:c>
      <x:c r="O1155" s="15" t="str">
        <x:v>AF-KG-H01-S02</x:v>
      </x:c>
      <x:c r="P1155" s="15" t="str">
        <x:v>Unverified</x:v>
      </x:c>
      <x:c r="Q1155" s="15" t="str">
        <x:v>Not checked</x:v>
      </x:c>
      <x:c r="R1155" s="15" t="str"/>
      <x:c r="S1155" s="15" t="str"/>
      <x:c r="T1155" s="15" t="str">
        <x:v>Log first source path or blocker</x:v>
      </x:c>
      <x:c r="U1155" s="12" t="str">
        <x:f>IF(OR(P1155="Unverified",Q1155="Not checked"),"BLOCKED_PENDING_RECEIPT","READY_FOR_REVIEW")</x:f>
        <x:v>BLOCKED_PENDING_RECEIPT</x:v>
      </x:c>
      <x:c r="V1155" s="12" t="str">
        <x:f>IF(J1155="DONE","RETURNED",IF(U1155="BLOCKED_PENDING_RECEIPT","SOURCE_TOUCH_REQUIRED","IN_PROGRESS"))</x:f>
        <x:v>SOURCE_TOUCH_REQUIRED</x:v>
      </x:c>
      <x:c r="W1155" s="12" t="str">
        <x:f>IF(P1155="Unverified","missing_receipt","receipt_logged")</x:f>
        <x:v>missing_receipt</x:v>
      </x:c>
      <x:c r="X1155" s="12" t="str">
        <x:f>IF(Q1155="Not checked","raw_status_missing","raw_status_logged")</x:f>
        <x:v>raw_status_missing</x:v>
      </x:c>
      <x:c r="Y1155" s="12" t="str">
        <x:f>IF(U1155="BLOCKED_PENDING_RECEIPT","Log source path or blocker; do not promote","Route to review lane")</x:f>
        <x:v>Log source path or blocker; do not promote</x:v>
      </x:c>
      <x:c r="Z1155" s="12" t="str">
        <x:f>IF(K1155="P0","Primary seat + Hashlight/Lucerna","Seat lane")</x:f>
        <x:v>Primary seat + Hashlight/Lucerna</x:v>
      </x:c>
      <x:c r="AA1155" s="12" t="str">
        <x:f>IF(R1155="","no_claim_delta","claim_delta_present")</x:f>
        <x:v>no_claim_delta</x:v>
      </x:c>
      <x:c r="AB1155" s="12" t="str">
        <x:f>IF(S1155="","no_contradiction_delta","contradiction_delta_present")</x:f>
        <x:v>no_contradiction_delta</x:v>
      </x:c>
      <x:c r="AC1155" s="12" t="str">
        <x:f>IF(OR(ISNUMBER(SEARCH("hacker",LOWER(F1155&amp;" "&amp;H1155&amp;" "&amp;I1155&amp;" "&amp;M1155&amp;" "&amp;N1155&amp;" "&amp;T1155))),ISNUMBER(SEARCH("hacking",LOWER(F1155&amp;" "&amp;H1155&amp;" "&amp;I1155&amp;" "&amp;M1155&amp;" "&amp;N1155&amp;" "&amp;T1155))),ISNUMBER(SEARCH("bank",LOWER(F1155&amp;" "&amp;H1155&amp;" "&amp;I1155&amp;" "&amp;M1155&amp;" "&amp;N1155&amp;" "&amp;T1155))),ISNUMBER(SEARCH("banking",LOWER(F1155&amp;" "&amp;H1155&amp;" "&amp;I1155&amp;" "&amp;M1155&amp;" "&amp;N1155&amp;" "&amp;T1155)))),"PRIVATE_QUARANTINE",IF(OR(ISNUMBER(SEARCH("treasury",LOWER(F1155&amp;" "&amp;H1155&amp;" "&amp;I1155&amp;" "&amp;M1155&amp;" "&amp;N1155&amp;" "&amp;T1155))),ISNUMBER(SEARCH("debt",LOWER(F1155&amp;" "&amp;H1155&amp;" "&amp;I1155&amp;" "&amp;M1155&amp;" "&amp;N1155&amp;" "&amp;T1155))),ISNUMBER(SEARCH("bond",LOWER(F1155&amp;" "&amp;H1155&amp;" "&amp;I1155&amp;" "&amp;M1155&amp;" "&amp;N1155&amp;" "&amp;T1155))),ISNUMBER(SEARCH("transaction",LOWER(F1155&amp;" "&amp;H1155&amp;" "&amp;I1155&amp;" "&amp;M1155&amp;" "&amp;N1155&amp;" "&amp;T1155)))),"PRIVATE_REVIEW","PUBLIC_CANDIDATE"))</x:f>
        <x:v>PUBLIC_CANDIDATE</x:v>
      </x:c>
      <x:c r="AD1155" s="12" t="str">
        <x:f>IF(AC1155="PRIVATE_QUARANTINE","hacker_or_bank_trigger",IF(AC1155="PRIVATE_REVIEW","finance_risk_trigger","none"))</x:f>
        <x:v>none</x:v>
      </x:c>
      <x:c r="AE1155" s="12" t="str">
        <x:f>IF(AC1155="PUBLIC_CANDIDATE","prepare_public_github_candidate",IF(AC1155="PRIVATE_REVIEW","hold_for_private_review","quarantine_private_do_not_publish"))</x:f>
        <x:v>prepare_public_github_candidate</x:v>
      </x:c>
      <x:c r="AF1155" s="12" t="str">
        <x:f>IF(AC1155="PUBLIC_CANDIDATE","TIDELOCK + Lucerna",IF(AC1155="PRIVATE_REVIEW","AtlasBrain + Lucerna","TIDELOCK + Lucerna + Human-root"))</x:f>
        <x:v>TIDELOCK + Lucerna</x:v>
      </x:c>
      <x:c r="AG1155" s="12" t="str">
        <x:f>IF(AND(AC1155="PUBLIC_CANDIDATE",U1155&lt;&gt;"BLOCKED_PENDING_RECEIPT"),"READY_AFTER_RECEIPT","NOT_READY")</x:f>
        <x:v>NOT_READY</x:v>
      </x:c>
      <x:c r="AH1155" s="12" t="str">
        <x:f>IF(AC1155="PUBLIC_CANDIDATE","none",AD1155)</x:f>
        <x:v>none</x:v>
      </x:c>
      <x:c r="AI1155" s="12" t="str">
        <x:f>IF(AC1155="PUBLIC_CANDIDATE","archive/public_candidates/"&amp;A1155,"private_quarantine/"&amp;A1155)</x:f>
        <x:v>archive/public_candidates/SWARM-09-H01-S02</x:v>
      </x:c>
      <x:c r="AJ1155" s="12" t="str">
        <x:f>IF(AC1155="PUBLIC_CANDIDATE","public by default; still not canon","private/hold; do not publish")</x:f>
        <x:v>public by default; still not canon</x:v>
      </x:c>
      <x:c r="AK1155" s="12" t="str">
        <x:f>IF(AE1155="prepare_public_github_candidate","add receipt/status then mirror","resolve blocker before any public GitHub action")</x:f>
        <x:v>add receipt/status then mirror</x:v>
      </x:c>
    </x:row>
    <x:row r="1156">
      <x:c r="A1156" s="15" t="str">
        <x:v>SWARM-09-H01-S03</x:v>
      </x:c>
      <x:c r="B1156" s="15" t="str">
        <x:v>NotionMoth</x:v>
      </x:c>
      <x:c r="C1156" s="15" t="str">
        <x:v>Notion ontology mapper</x:v>
      </x:c>
      <x:c r="D1156" s="15" t="str">
        <x:v>Source Inventory</x:v>
      </x:c>
      <x:c r="E1156" s="15" t="str">
        <x:v>GitHub</x:v>
      </x:c>
      <x:c r="F1156" s="15" t="str">
        <x:v>Inventory GitHub — NotionMoth</x:v>
      </x:c>
      <x:c r="G1156" s="15" t="str">
        <x:v>legacy schema / Notion export prep</x:v>
      </x:c>
      <x:c r="H1156" s="15" t="str">
        <x:v>source path + receipt + raw/export status + claim/edge/risk delta</x:v>
      </x:c>
      <x:c r="I1156" s="15" t="str">
        <x:v>packet/SWARM-09-H01-S03</x:v>
      </x:c>
      <x:c r="J1156" s="15" t="str">
        <x:v>TODO</x:v>
      </x:c>
      <x:c r="K1156" s="15" t="str">
        <x:v>P0</x:v>
      </x:c>
      <x:c r="L1156" s="15" t="str">
        <x:v>Done only when evidence is logged, contradiction search is noted, and boundary stamp remains non-canon unless ratified</x:v>
      </x:c>
      <x:c r="M1156" s="15" t="str">
        <x:v>candidate / staging-only / not canon / not deployed / authority none</x:v>
      </x:c>
      <x:c r="N1156" s="15" t="str">
        <x:v>Dispatch to NotionMoth: complete Source Inventory x GitHub; return deltas only, receipts required.</x:v>
      </x:c>
      <x:c r="O1156" s="15" t="str">
        <x:v>AF-KG-H01-S03</x:v>
      </x:c>
      <x:c r="P1156" s="15" t="str">
        <x:v>Unverified</x:v>
      </x:c>
      <x:c r="Q1156" s="15" t="str">
        <x:v>Not checked</x:v>
      </x:c>
      <x:c r="R1156" s="15" t="str"/>
      <x:c r="S1156" s="15" t="str"/>
      <x:c r="T1156" s="15" t="str">
        <x:v>Log first source path or blocker</x:v>
      </x:c>
      <x:c r="U1156" s="12" t="str">
        <x:f>IF(OR(P1156="Unverified",Q1156="Not checked"),"BLOCKED_PENDING_RECEIPT","READY_FOR_REVIEW")</x:f>
        <x:v>BLOCKED_PENDING_RECEIPT</x:v>
      </x:c>
      <x:c r="V1156" s="12" t="str">
        <x:f>IF(J1156="DONE","RETURNED",IF(U1156="BLOCKED_PENDING_RECEIPT","SOURCE_TOUCH_REQUIRED","IN_PROGRESS"))</x:f>
        <x:v>SOURCE_TOUCH_REQUIRED</x:v>
      </x:c>
      <x:c r="W1156" s="12" t="str">
        <x:f>IF(P1156="Unverified","missing_receipt","receipt_logged")</x:f>
        <x:v>missing_receipt</x:v>
      </x:c>
      <x:c r="X1156" s="12" t="str">
        <x:f>IF(Q1156="Not checked","raw_status_missing","raw_status_logged")</x:f>
        <x:v>raw_status_missing</x:v>
      </x:c>
      <x:c r="Y1156" s="12" t="str">
        <x:f>IF(U1156="BLOCKED_PENDING_RECEIPT","Log source path or blocker; do not promote","Route to review lane")</x:f>
        <x:v>Log source path or blocker; do not promote</x:v>
      </x:c>
      <x:c r="Z1156" s="12" t="str">
        <x:f>IF(K1156="P0","Primary seat + Hashlight/Lucerna","Seat lane")</x:f>
        <x:v>Primary seat + Hashlight/Lucerna</x:v>
      </x:c>
      <x:c r="AA1156" s="12" t="str">
        <x:f>IF(R1156="","no_claim_delta","claim_delta_present")</x:f>
        <x:v>no_claim_delta</x:v>
      </x:c>
      <x:c r="AB1156" s="12" t="str">
        <x:f>IF(S1156="","no_contradiction_delta","contradiction_delta_present")</x:f>
        <x:v>no_contradiction_delta</x:v>
      </x:c>
      <x:c r="AC1156" s="12" t="str">
        <x:f>IF(OR(ISNUMBER(SEARCH("hacker",LOWER(F1156&amp;" "&amp;H1156&amp;" "&amp;I1156&amp;" "&amp;M1156&amp;" "&amp;N1156&amp;" "&amp;T1156))),ISNUMBER(SEARCH("hacking",LOWER(F1156&amp;" "&amp;H1156&amp;" "&amp;I1156&amp;" "&amp;M1156&amp;" "&amp;N1156&amp;" "&amp;T1156))),ISNUMBER(SEARCH("bank",LOWER(F1156&amp;" "&amp;H1156&amp;" "&amp;I1156&amp;" "&amp;M1156&amp;" "&amp;N1156&amp;" "&amp;T1156))),ISNUMBER(SEARCH("banking",LOWER(F1156&amp;" "&amp;H1156&amp;" "&amp;I1156&amp;" "&amp;M1156&amp;" "&amp;N1156&amp;" "&amp;T1156)))),"PRIVATE_QUARANTINE",IF(OR(ISNUMBER(SEARCH("treasury",LOWER(F1156&amp;" "&amp;H1156&amp;" "&amp;I1156&amp;" "&amp;M1156&amp;" "&amp;N1156&amp;" "&amp;T1156))),ISNUMBER(SEARCH("debt",LOWER(F1156&amp;" "&amp;H1156&amp;" "&amp;I1156&amp;" "&amp;M1156&amp;" "&amp;N1156&amp;" "&amp;T1156))),ISNUMBER(SEARCH("bond",LOWER(F1156&amp;" "&amp;H1156&amp;" "&amp;I1156&amp;" "&amp;M1156&amp;" "&amp;N1156&amp;" "&amp;T1156))),ISNUMBER(SEARCH("transaction",LOWER(F1156&amp;" "&amp;H1156&amp;" "&amp;I1156&amp;" "&amp;M1156&amp;" "&amp;N1156&amp;" "&amp;T1156)))),"PRIVATE_REVIEW","PUBLIC_CANDIDATE"))</x:f>
        <x:v>PUBLIC_CANDIDATE</x:v>
      </x:c>
      <x:c r="AD1156" s="12" t="str">
        <x:f>IF(AC1156="PRIVATE_QUARANTINE","hacker_or_bank_trigger",IF(AC1156="PRIVATE_REVIEW","finance_risk_trigger","none"))</x:f>
        <x:v>none</x:v>
      </x:c>
      <x:c r="AE1156" s="12" t="str">
        <x:f>IF(AC1156="PUBLIC_CANDIDATE","prepare_public_github_candidate",IF(AC1156="PRIVATE_REVIEW","hold_for_private_review","quarantine_private_do_not_publish"))</x:f>
        <x:v>prepare_public_github_candidate</x:v>
      </x:c>
      <x:c r="AF1156" s="12" t="str">
        <x:f>IF(AC1156="PUBLIC_CANDIDATE","TIDELOCK + Lucerna",IF(AC1156="PRIVATE_REVIEW","AtlasBrain + Lucerna","TIDELOCK + Lucerna + Human-root"))</x:f>
        <x:v>TIDELOCK + Lucerna</x:v>
      </x:c>
      <x:c r="AG1156" s="12" t="str">
        <x:f>IF(AND(AC1156="PUBLIC_CANDIDATE",U1156&lt;&gt;"BLOCKED_PENDING_RECEIPT"),"READY_AFTER_RECEIPT","NOT_READY")</x:f>
        <x:v>NOT_READY</x:v>
      </x:c>
      <x:c r="AH1156" s="12" t="str">
        <x:f>IF(AC1156="PUBLIC_CANDIDATE","none",AD1156)</x:f>
        <x:v>none</x:v>
      </x:c>
      <x:c r="AI1156" s="12" t="str">
        <x:f>IF(AC1156="PUBLIC_CANDIDATE","archive/public_candidates/"&amp;A1156,"private_quarantine/"&amp;A1156)</x:f>
        <x:v>archive/public_candidates/SWARM-09-H01-S03</x:v>
      </x:c>
      <x:c r="AJ1156" s="12" t="str">
        <x:f>IF(AC1156="PUBLIC_CANDIDATE","public by default; still not canon","private/hold; do not publish")</x:f>
        <x:v>public by default; still not canon</x:v>
      </x:c>
      <x:c r="AK1156" s="12" t="str">
        <x:f>IF(AE1156="prepare_public_github_candidate","add receipt/status then mirror","resolve blocker before any public GitHub action")</x:f>
        <x:v>add receipt/status then mirror</x:v>
      </x:c>
    </x:row>
    <x:row r="1157">
      <x:c r="A1157" s="15" t="str">
        <x:v>SWARM-09-H01-S04</x:v>
      </x:c>
      <x:c r="B1157" s="15" t="str">
        <x:v>NotionMoth</x:v>
      </x:c>
      <x:c r="C1157" s="15" t="str">
        <x:v>Notion ontology mapper</x:v>
      </x:c>
      <x:c r="D1157" s="15" t="str">
        <x:v>Source Inventory</x:v>
      </x:c>
      <x:c r="E1157" s="15" t="str">
        <x:v>Gamma</x:v>
      </x:c>
      <x:c r="F1157" s="15" t="str">
        <x:v>Inventory Gamma — NotionMoth</x:v>
      </x:c>
      <x:c r="G1157" s="15" t="str">
        <x:v>legacy schema / Notion export prep</x:v>
      </x:c>
      <x:c r="H1157" s="15" t="str">
        <x:v>source path + receipt + raw/export status + claim/edge/risk delta</x:v>
      </x:c>
      <x:c r="I1157" s="15" t="str">
        <x:v>packet/SWARM-09-H01-S04</x:v>
      </x:c>
      <x:c r="J1157" s="15" t="str">
        <x:v>TODO</x:v>
      </x:c>
      <x:c r="K1157" s="15" t="str">
        <x:v>P1</x:v>
      </x:c>
      <x:c r="L1157" s="15" t="str">
        <x:v>Done only when evidence is logged, contradiction search is noted, and boundary stamp remains non-canon unless ratified</x:v>
      </x:c>
      <x:c r="M1157" s="15" t="str">
        <x:v>candidate / staging-only / not canon / not deployed / authority none</x:v>
      </x:c>
      <x:c r="N1157" s="15" t="str">
        <x:v>Dispatch to NotionMoth: complete Source Inventory x Gamma; return deltas only, receipts required.</x:v>
      </x:c>
      <x:c r="O1157" s="15" t="str">
        <x:v>AF-KG-H01-S04</x:v>
      </x:c>
      <x:c r="P1157" s="15" t="str">
        <x:v>Unverified</x:v>
      </x:c>
      <x:c r="Q1157" s="15" t="str">
        <x:v>Not checked</x:v>
      </x:c>
      <x:c r="R1157" s="15" t="str"/>
      <x:c r="S1157" s="15" t="str"/>
      <x:c r="T1157" s="15" t="str">
        <x:v>Log first source path or blocker</x:v>
      </x:c>
      <x:c r="U1157" s="12" t="str">
        <x:f>IF(OR(P1157="Unverified",Q1157="Not checked"),"BLOCKED_PENDING_RECEIPT","READY_FOR_REVIEW")</x:f>
        <x:v>BLOCKED_PENDING_RECEIPT</x:v>
      </x:c>
      <x:c r="V1157" s="12" t="str">
        <x:f>IF(J1157="DONE","RETURNED",IF(U1157="BLOCKED_PENDING_RECEIPT","SOURCE_TOUCH_REQUIRED","IN_PROGRESS"))</x:f>
        <x:v>SOURCE_TOUCH_REQUIRED</x:v>
      </x:c>
      <x:c r="W1157" s="12" t="str">
        <x:f>IF(P1157="Unverified","missing_receipt","receipt_logged")</x:f>
        <x:v>missing_receipt</x:v>
      </x:c>
      <x:c r="X1157" s="12" t="str">
        <x:f>IF(Q1157="Not checked","raw_status_missing","raw_status_logged")</x:f>
        <x:v>raw_status_missing</x:v>
      </x:c>
      <x:c r="Y1157" s="12" t="str">
        <x:f>IF(U1157="BLOCKED_PENDING_RECEIPT","Log source path or blocker; do not promote","Route to review lane")</x:f>
        <x:v>Log source path or blocker; do not promote</x:v>
      </x:c>
      <x:c r="Z1157" s="12" t="str">
        <x:f>IF(K1157="P0","Primary seat + Hashlight/Lucerna","Seat lane")</x:f>
        <x:v>Seat lane</x:v>
      </x:c>
      <x:c r="AA1157" s="12" t="str">
        <x:f>IF(R1157="","no_claim_delta","claim_delta_present")</x:f>
        <x:v>no_claim_delta</x:v>
      </x:c>
      <x:c r="AB1157" s="12" t="str">
        <x:f>IF(S1157="","no_contradiction_delta","contradiction_delta_present")</x:f>
        <x:v>no_contradiction_delta</x:v>
      </x:c>
      <x:c r="AC1157" s="12" t="str">
        <x:f>IF(OR(ISNUMBER(SEARCH("hacker",LOWER(F1157&amp;" "&amp;H1157&amp;" "&amp;I1157&amp;" "&amp;M1157&amp;" "&amp;N1157&amp;" "&amp;T1157))),ISNUMBER(SEARCH("hacking",LOWER(F1157&amp;" "&amp;H1157&amp;" "&amp;I1157&amp;" "&amp;M1157&amp;" "&amp;N1157&amp;" "&amp;T1157))),ISNUMBER(SEARCH("bank",LOWER(F1157&amp;" "&amp;H1157&amp;" "&amp;I1157&amp;" "&amp;M1157&amp;" "&amp;N1157&amp;" "&amp;T1157))),ISNUMBER(SEARCH("banking",LOWER(F1157&amp;" "&amp;H1157&amp;" "&amp;I1157&amp;" "&amp;M1157&amp;" "&amp;N1157&amp;" "&amp;T1157)))),"PRIVATE_QUARANTINE",IF(OR(ISNUMBER(SEARCH("treasury",LOWER(F1157&amp;" "&amp;H1157&amp;" "&amp;I1157&amp;" "&amp;M1157&amp;" "&amp;N1157&amp;" "&amp;T1157))),ISNUMBER(SEARCH("debt",LOWER(F1157&amp;" "&amp;H1157&amp;" "&amp;I1157&amp;" "&amp;M1157&amp;" "&amp;N1157&amp;" "&amp;T1157))),ISNUMBER(SEARCH("bond",LOWER(F1157&amp;" "&amp;H1157&amp;" "&amp;I1157&amp;" "&amp;M1157&amp;" "&amp;N1157&amp;" "&amp;T1157))),ISNUMBER(SEARCH("transaction",LOWER(F1157&amp;" "&amp;H1157&amp;" "&amp;I1157&amp;" "&amp;M1157&amp;" "&amp;N1157&amp;" "&amp;T1157)))),"PRIVATE_REVIEW","PUBLIC_CANDIDATE"))</x:f>
        <x:v>PUBLIC_CANDIDATE</x:v>
      </x:c>
      <x:c r="AD1157" s="12" t="str">
        <x:f>IF(AC1157="PRIVATE_QUARANTINE","hacker_or_bank_trigger",IF(AC1157="PRIVATE_REVIEW","finance_risk_trigger","none"))</x:f>
        <x:v>none</x:v>
      </x:c>
      <x:c r="AE1157" s="12" t="str">
        <x:f>IF(AC1157="PUBLIC_CANDIDATE","prepare_public_github_candidate",IF(AC1157="PRIVATE_REVIEW","hold_for_private_review","quarantine_private_do_not_publish"))</x:f>
        <x:v>prepare_public_github_candidate</x:v>
      </x:c>
      <x:c r="AF1157" s="12" t="str">
        <x:f>IF(AC1157="PUBLIC_CANDIDATE","TIDELOCK + Lucerna",IF(AC1157="PRIVATE_REVIEW","AtlasBrain + Lucerna","TIDELOCK + Lucerna + Human-root"))</x:f>
        <x:v>TIDELOCK + Lucerna</x:v>
      </x:c>
      <x:c r="AG1157" s="12" t="str">
        <x:f>IF(AND(AC1157="PUBLIC_CANDIDATE",U1157&lt;&gt;"BLOCKED_PENDING_RECEIPT"),"READY_AFTER_RECEIPT","NOT_READY")</x:f>
        <x:v>NOT_READY</x:v>
      </x:c>
      <x:c r="AH1157" s="12" t="str">
        <x:f>IF(AC1157="PUBLIC_CANDIDATE","none",AD1157)</x:f>
        <x:v>none</x:v>
      </x:c>
      <x:c r="AI1157" s="12" t="str">
        <x:f>IF(AC1157="PUBLIC_CANDIDATE","archive/public_candidates/"&amp;A1157,"private_quarantine/"&amp;A1157)</x:f>
        <x:v>archive/public_candidates/SWARM-09-H01-S04</x:v>
      </x:c>
      <x:c r="AJ1157" s="12" t="str">
        <x:f>IF(AC1157="PUBLIC_CANDIDATE","public by default; still not canon","private/hold; do not publish")</x:f>
        <x:v>public by default; still not canon</x:v>
      </x:c>
      <x:c r="AK1157" s="12" t="str">
        <x:f>IF(AE1157="prepare_public_github_candidate","add receipt/status then mirror","resolve blocker before any public GitHub action")</x:f>
        <x:v>add receipt/status then mirror</x:v>
      </x:c>
    </x:row>
    <x:row r="1158">
      <x:c r="A1158" s="15" t="str">
        <x:v>SWARM-09-H01-S05</x:v>
      </x:c>
      <x:c r="B1158" s="15" t="str">
        <x:v>NotionMoth</x:v>
      </x:c>
      <x:c r="C1158" s="15" t="str">
        <x:v>Notion ontology mapper</x:v>
      </x:c>
      <x:c r="D1158" s="15" t="str">
        <x:v>Source Inventory</x:v>
      </x:c>
      <x:c r="E1158" s="15" t="str">
        <x:v>Chat</x:v>
      </x:c>
      <x:c r="F1158" s="15" t="str">
        <x:v>Inventory Chat — NotionMoth</x:v>
      </x:c>
      <x:c r="G1158" s="15" t="str">
        <x:v>legacy schema / Notion export prep</x:v>
      </x:c>
      <x:c r="H1158" s="15" t="str">
        <x:v>source path + receipt + raw/export status + claim/edge/risk delta</x:v>
      </x:c>
      <x:c r="I1158" s="15" t="str">
        <x:v>packet/SWARM-09-H01-S05</x:v>
      </x:c>
      <x:c r="J1158" s="15" t="str">
        <x:v>TODO</x:v>
      </x:c>
      <x:c r="K1158" s="15" t="str">
        <x:v>P1</x:v>
      </x:c>
      <x:c r="L1158" s="15" t="str">
        <x:v>Done only when evidence is logged, contradiction search is noted, and boundary stamp remains non-canon unless ratified</x:v>
      </x:c>
      <x:c r="M1158" s="15" t="str">
        <x:v>candidate / staging-only / not canon / not deployed / authority none</x:v>
      </x:c>
      <x:c r="N1158" s="15" t="str">
        <x:v>Dispatch to NotionMoth: complete Source Inventory x Chat; return deltas only, receipts required.</x:v>
      </x:c>
      <x:c r="O1158" s="15" t="str">
        <x:v>AF-KG-H01-S05</x:v>
      </x:c>
      <x:c r="P1158" s="15" t="str">
        <x:v>Unverified</x:v>
      </x:c>
      <x:c r="Q1158" s="15" t="str">
        <x:v>Not checked</x:v>
      </x:c>
      <x:c r="R1158" s="15" t="str"/>
      <x:c r="S1158" s="15" t="str"/>
      <x:c r="T1158" s="15" t="str">
        <x:v>Log first source path or blocker</x:v>
      </x:c>
      <x:c r="U1158" s="12" t="str">
        <x:f>IF(OR(P1158="Unverified",Q1158="Not checked"),"BLOCKED_PENDING_RECEIPT","READY_FOR_REVIEW")</x:f>
        <x:v>BLOCKED_PENDING_RECEIPT</x:v>
      </x:c>
      <x:c r="V1158" s="12" t="str">
        <x:f>IF(J1158="DONE","RETURNED",IF(U1158="BLOCKED_PENDING_RECEIPT","SOURCE_TOUCH_REQUIRED","IN_PROGRESS"))</x:f>
        <x:v>SOURCE_TOUCH_REQUIRED</x:v>
      </x:c>
      <x:c r="W1158" s="12" t="str">
        <x:f>IF(P1158="Unverified","missing_receipt","receipt_logged")</x:f>
        <x:v>missing_receipt</x:v>
      </x:c>
      <x:c r="X1158" s="12" t="str">
        <x:f>IF(Q1158="Not checked","raw_status_missing","raw_status_logged")</x:f>
        <x:v>raw_status_missing</x:v>
      </x:c>
      <x:c r="Y1158" s="12" t="str">
        <x:f>IF(U1158="BLOCKED_PENDING_RECEIPT","Log source path or blocker; do not promote","Route to review lane")</x:f>
        <x:v>Log source path or blocker; do not promote</x:v>
      </x:c>
      <x:c r="Z1158" s="12" t="str">
        <x:f>IF(K1158="P0","Primary seat + Hashlight/Lucerna","Seat lane")</x:f>
        <x:v>Seat lane</x:v>
      </x:c>
      <x:c r="AA1158" s="12" t="str">
        <x:f>IF(R1158="","no_claim_delta","claim_delta_present")</x:f>
        <x:v>no_claim_delta</x:v>
      </x:c>
      <x:c r="AB1158" s="12" t="str">
        <x:f>IF(S1158="","no_contradiction_delta","contradiction_delta_present")</x:f>
        <x:v>no_contradiction_delta</x:v>
      </x:c>
      <x:c r="AC1158" s="12" t="str">
        <x:f>IF(OR(ISNUMBER(SEARCH("hacker",LOWER(F1158&amp;" "&amp;H1158&amp;" "&amp;I1158&amp;" "&amp;M1158&amp;" "&amp;N1158&amp;" "&amp;T1158))),ISNUMBER(SEARCH("hacking",LOWER(F1158&amp;" "&amp;H1158&amp;" "&amp;I1158&amp;" "&amp;M1158&amp;" "&amp;N1158&amp;" "&amp;T1158))),ISNUMBER(SEARCH("bank",LOWER(F1158&amp;" "&amp;H1158&amp;" "&amp;I1158&amp;" "&amp;M1158&amp;" "&amp;N1158&amp;" "&amp;T1158))),ISNUMBER(SEARCH("banking",LOWER(F1158&amp;" "&amp;H1158&amp;" "&amp;I1158&amp;" "&amp;M1158&amp;" "&amp;N1158&amp;" "&amp;T1158)))),"PRIVATE_QUARANTINE",IF(OR(ISNUMBER(SEARCH("treasury",LOWER(F1158&amp;" "&amp;H1158&amp;" "&amp;I1158&amp;" "&amp;M1158&amp;" "&amp;N1158&amp;" "&amp;T1158))),ISNUMBER(SEARCH("debt",LOWER(F1158&amp;" "&amp;H1158&amp;" "&amp;I1158&amp;" "&amp;M1158&amp;" "&amp;N1158&amp;" "&amp;T1158))),ISNUMBER(SEARCH("bond",LOWER(F1158&amp;" "&amp;H1158&amp;" "&amp;I1158&amp;" "&amp;M1158&amp;" "&amp;N1158&amp;" "&amp;T1158))),ISNUMBER(SEARCH("transaction",LOWER(F1158&amp;" "&amp;H1158&amp;" "&amp;I1158&amp;" "&amp;M1158&amp;" "&amp;N1158&amp;" "&amp;T1158)))),"PRIVATE_REVIEW","PUBLIC_CANDIDATE"))</x:f>
        <x:v>PUBLIC_CANDIDATE</x:v>
      </x:c>
      <x:c r="AD1158" s="12" t="str">
        <x:f>IF(AC1158="PRIVATE_QUARANTINE","hacker_or_bank_trigger",IF(AC1158="PRIVATE_REVIEW","finance_risk_trigger","none"))</x:f>
        <x:v>none</x:v>
      </x:c>
      <x:c r="AE1158" s="12" t="str">
        <x:f>IF(AC1158="PUBLIC_CANDIDATE","prepare_public_github_candidate",IF(AC1158="PRIVATE_REVIEW","hold_for_private_review","quarantine_private_do_not_publish"))</x:f>
        <x:v>prepare_public_github_candidate</x:v>
      </x:c>
      <x:c r="AF1158" s="12" t="str">
        <x:f>IF(AC1158="PUBLIC_CANDIDATE","TIDELOCK + Lucerna",IF(AC1158="PRIVATE_REVIEW","AtlasBrain + Lucerna","TIDELOCK + Lucerna + Human-root"))</x:f>
        <x:v>TIDELOCK + Lucerna</x:v>
      </x:c>
      <x:c r="AG1158" s="12" t="str">
        <x:f>IF(AND(AC1158="PUBLIC_CANDIDATE",U1158&lt;&gt;"BLOCKED_PENDING_RECEIPT"),"READY_AFTER_RECEIPT","NOT_READY")</x:f>
        <x:v>NOT_READY</x:v>
      </x:c>
      <x:c r="AH1158" s="12" t="str">
        <x:f>IF(AC1158="PUBLIC_CANDIDATE","none",AD1158)</x:f>
        <x:v>none</x:v>
      </x:c>
      <x:c r="AI1158" s="12" t="str">
        <x:f>IF(AC1158="PUBLIC_CANDIDATE","archive/public_candidates/"&amp;A1158,"private_quarantine/"&amp;A1158)</x:f>
        <x:v>archive/public_candidates/SWARM-09-H01-S05</x:v>
      </x:c>
      <x:c r="AJ1158" s="12" t="str">
        <x:f>IF(AC1158="PUBLIC_CANDIDATE","public by default; still not canon","private/hold; do not publish")</x:f>
        <x:v>public by default; still not canon</x:v>
      </x:c>
      <x:c r="AK1158" s="12" t="str">
        <x:f>IF(AE1158="prepare_public_github_candidate","add receipt/status then mirror","resolve blocker before any public GitHub action")</x:f>
        <x:v>add receipt/status then mirror</x:v>
      </x:c>
    </x:row>
    <x:row r="1159">
      <x:c r="A1159" s="15" t="str">
        <x:v>SWARM-09-H01-S06</x:v>
      </x:c>
      <x:c r="B1159" s="15" t="str">
        <x:v>NotionMoth</x:v>
      </x:c>
      <x:c r="C1159" s="15" t="str">
        <x:v>Notion ontology mapper</x:v>
      </x:c>
      <x:c r="D1159" s="15" t="str">
        <x:v>Source Inventory</x:v>
      </x:c>
      <x:c r="E1159" s="15" t="str">
        <x:v>External Web</x:v>
      </x:c>
      <x:c r="F1159" s="15" t="str">
        <x:v>Inventory External Web — NotionMoth</x:v>
      </x:c>
      <x:c r="G1159" s="15" t="str">
        <x:v>legacy schema / Notion export prep</x:v>
      </x:c>
      <x:c r="H1159" s="15" t="str">
        <x:v>source path + receipt + raw/export status + claim/edge/risk delta</x:v>
      </x:c>
      <x:c r="I1159" s="15" t="str">
        <x:v>packet/SWARM-09-H01-S06</x:v>
      </x:c>
      <x:c r="J1159" s="15" t="str">
        <x:v>TODO</x:v>
      </x:c>
      <x:c r="K1159" s="15" t="str">
        <x:v>P1</x:v>
      </x:c>
      <x:c r="L1159" s="15" t="str">
        <x:v>Done only when evidence is logged, contradiction search is noted, and boundary stamp remains non-canon unless ratified</x:v>
      </x:c>
      <x:c r="M1159" s="15" t="str">
        <x:v>candidate / staging-only / not canon / not deployed / authority none</x:v>
      </x:c>
      <x:c r="N1159" s="15" t="str">
        <x:v>Dispatch to NotionMoth: complete Source Inventory x External Web; return deltas only, receipts required.</x:v>
      </x:c>
      <x:c r="O1159" s="15" t="str">
        <x:v>AF-KG-H01-S06</x:v>
      </x:c>
      <x:c r="P1159" s="15" t="str">
        <x:v>Unverified</x:v>
      </x:c>
      <x:c r="Q1159" s="15" t="str">
        <x:v>Not checked</x:v>
      </x:c>
      <x:c r="R1159" s="15" t="str"/>
      <x:c r="S1159" s="15" t="str"/>
      <x:c r="T1159" s="15" t="str">
        <x:v>Log first source path or blocker</x:v>
      </x:c>
      <x:c r="U1159" s="12" t="str">
        <x:f>IF(OR(P1159="Unverified",Q1159="Not checked"),"BLOCKED_PENDING_RECEIPT","READY_FOR_REVIEW")</x:f>
        <x:v>BLOCKED_PENDING_RECEIPT</x:v>
      </x:c>
      <x:c r="V1159" s="12" t="str">
        <x:f>IF(J1159="DONE","RETURNED",IF(U1159="BLOCKED_PENDING_RECEIPT","SOURCE_TOUCH_REQUIRED","IN_PROGRESS"))</x:f>
        <x:v>SOURCE_TOUCH_REQUIRED</x:v>
      </x:c>
      <x:c r="W1159" s="12" t="str">
        <x:f>IF(P1159="Unverified","missing_receipt","receipt_logged")</x:f>
        <x:v>missing_receipt</x:v>
      </x:c>
      <x:c r="X1159" s="12" t="str">
        <x:f>IF(Q1159="Not checked","raw_status_missing","raw_status_logged")</x:f>
        <x:v>raw_status_missing</x:v>
      </x:c>
      <x:c r="Y1159" s="12" t="str">
        <x:f>IF(U1159="BLOCKED_PENDING_RECEIPT","Log source path or blocker; do not promote","Route to review lane")</x:f>
        <x:v>Log source path or blocker; do not promote</x:v>
      </x:c>
      <x:c r="Z1159" s="12" t="str">
        <x:f>IF(K1159="P0","Primary seat + Hashlight/Lucerna","Seat lane")</x:f>
        <x:v>Seat lane</x:v>
      </x:c>
      <x:c r="AA1159" s="12" t="str">
        <x:f>IF(R1159="","no_claim_delta","claim_delta_present")</x:f>
        <x:v>no_claim_delta</x:v>
      </x:c>
      <x:c r="AB1159" s="12" t="str">
        <x:f>IF(S1159="","no_contradiction_delta","contradiction_delta_present")</x:f>
        <x:v>no_contradiction_delta</x:v>
      </x:c>
      <x:c r="AC1159" s="12" t="str">
        <x:f>IF(OR(ISNUMBER(SEARCH("hacker",LOWER(F1159&amp;" "&amp;H1159&amp;" "&amp;I1159&amp;" "&amp;M1159&amp;" "&amp;N1159&amp;" "&amp;T1159))),ISNUMBER(SEARCH("hacking",LOWER(F1159&amp;" "&amp;H1159&amp;" "&amp;I1159&amp;" "&amp;M1159&amp;" "&amp;N1159&amp;" "&amp;T1159))),ISNUMBER(SEARCH("bank",LOWER(F1159&amp;" "&amp;H1159&amp;" "&amp;I1159&amp;" "&amp;M1159&amp;" "&amp;N1159&amp;" "&amp;T1159))),ISNUMBER(SEARCH("banking",LOWER(F1159&amp;" "&amp;H1159&amp;" "&amp;I1159&amp;" "&amp;M1159&amp;" "&amp;N1159&amp;" "&amp;T1159)))),"PRIVATE_QUARANTINE",IF(OR(ISNUMBER(SEARCH("treasury",LOWER(F1159&amp;" "&amp;H1159&amp;" "&amp;I1159&amp;" "&amp;M1159&amp;" "&amp;N1159&amp;" "&amp;T1159))),ISNUMBER(SEARCH("debt",LOWER(F1159&amp;" "&amp;H1159&amp;" "&amp;I1159&amp;" "&amp;M1159&amp;" "&amp;N1159&amp;" "&amp;T1159))),ISNUMBER(SEARCH("bond",LOWER(F1159&amp;" "&amp;H1159&amp;" "&amp;I1159&amp;" "&amp;M1159&amp;" "&amp;N1159&amp;" "&amp;T1159))),ISNUMBER(SEARCH("transaction",LOWER(F1159&amp;" "&amp;H1159&amp;" "&amp;I1159&amp;" "&amp;M1159&amp;" "&amp;N1159&amp;" "&amp;T1159)))),"PRIVATE_REVIEW","PUBLIC_CANDIDATE"))</x:f>
        <x:v>PUBLIC_CANDIDATE</x:v>
      </x:c>
      <x:c r="AD1159" s="12" t="str">
        <x:f>IF(AC1159="PRIVATE_QUARANTINE","hacker_or_bank_trigger",IF(AC1159="PRIVATE_REVIEW","finance_risk_trigger","none"))</x:f>
        <x:v>none</x:v>
      </x:c>
      <x:c r="AE1159" s="12" t="str">
        <x:f>IF(AC1159="PUBLIC_CANDIDATE","prepare_public_github_candidate",IF(AC1159="PRIVATE_REVIEW","hold_for_private_review","quarantine_private_do_not_publish"))</x:f>
        <x:v>prepare_public_github_candidate</x:v>
      </x:c>
      <x:c r="AF1159" s="12" t="str">
        <x:f>IF(AC1159="PUBLIC_CANDIDATE","TIDELOCK + Lucerna",IF(AC1159="PRIVATE_REVIEW","AtlasBrain + Lucerna","TIDELOCK + Lucerna + Human-root"))</x:f>
        <x:v>TIDELOCK + Lucerna</x:v>
      </x:c>
      <x:c r="AG1159" s="12" t="str">
        <x:f>IF(AND(AC1159="PUBLIC_CANDIDATE",U1159&lt;&gt;"BLOCKED_PENDING_RECEIPT"),"READY_AFTER_RECEIPT","NOT_READY")</x:f>
        <x:v>NOT_READY</x:v>
      </x:c>
      <x:c r="AH1159" s="12" t="str">
        <x:f>IF(AC1159="PUBLIC_CANDIDATE","none",AD1159)</x:f>
        <x:v>none</x:v>
      </x:c>
      <x:c r="AI1159" s="12" t="str">
        <x:f>IF(AC1159="PUBLIC_CANDIDATE","archive/public_candidates/"&amp;A1159,"private_quarantine/"&amp;A1159)</x:f>
        <x:v>archive/public_candidates/SWARM-09-H01-S06</x:v>
      </x:c>
      <x:c r="AJ1159" s="12" t="str">
        <x:f>IF(AC1159="PUBLIC_CANDIDATE","public by default; still not canon","private/hold; do not publish")</x:f>
        <x:v>public by default; still not canon</x:v>
      </x:c>
      <x:c r="AK1159" s="12" t="str">
        <x:f>IF(AE1159="prepare_public_github_candidate","add receipt/status then mirror","resolve blocker before any public GitHub action")</x:f>
        <x:v>add receipt/status then mirror</x:v>
      </x:c>
    </x:row>
    <x:row r="1160">
      <x:c r="A1160" s="15" t="str">
        <x:v>SWARM-09-H01-S07</x:v>
      </x:c>
      <x:c r="B1160" s="15" t="str">
        <x:v>NotionMoth</x:v>
      </x:c>
      <x:c r="C1160" s="15" t="str">
        <x:v>Notion ontology mapper</x:v>
      </x:c>
      <x:c r="D1160" s="15" t="str">
        <x:v>Source Inventory</x:v>
      </x:c>
      <x:c r="E1160" s="15" t="str">
        <x:v>Planetarium</x:v>
      </x:c>
      <x:c r="F1160" s="15" t="str">
        <x:v>Inventory Planetarium — NotionMoth</x:v>
      </x:c>
      <x:c r="G1160" s="15" t="str">
        <x:v>legacy schema / Notion export prep</x:v>
      </x:c>
      <x:c r="H1160" s="15" t="str">
        <x:v>source path + receipt + raw/export status + claim/edge/risk delta</x:v>
      </x:c>
      <x:c r="I1160" s="15" t="str">
        <x:v>packet/SWARM-09-H01-S07</x:v>
      </x:c>
      <x:c r="J1160" s="15" t="str">
        <x:v>TODO</x:v>
      </x:c>
      <x:c r="K1160" s="15" t="str">
        <x:v>P1</x:v>
      </x:c>
      <x:c r="L1160" s="15" t="str">
        <x:v>Done only when evidence is logged, contradiction search is noted, and boundary stamp remains non-canon unless ratified</x:v>
      </x:c>
      <x:c r="M1160" s="15" t="str">
        <x:v>candidate / staging-only / not canon / not deployed / authority none</x:v>
      </x:c>
      <x:c r="N1160" s="15" t="str">
        <x:v>Dispatch to NotionMoth: complete Source Inventory x Planetarium; return deltas only, receipts required.</x:v>
      </x:c>
      <x:c r="O1160" s="15" t="str">
        <x:v>AF-KG-H01-S07</x:v>
      </x:c>
      <x:c r="P1160" s="15" t="str">
        <x:v>Unverified</x:v>
      </x:c>
      <x:c r="Q1160" s="15" t="str">
        <x:v>Not checked</x:v>
      </x:c>
      <x:c r="R1160" s="15" t="str"/>
      <x:c r="S1160" s="15" t="str"/>
      <x:c r="T1160" s="15" t="str">
        <x:v>Log first source path or blocker</x:v>
      </x:c>
      <x:c r="U1160" s="12" t="str">
        <x:f>IF(OR(P1160="Unverified",Q1160="Not checked"),"BLOCKED_PENDING_RECEIPT","READY_FOR_REVIEW")</x:f>
        <x:v>BLOCKED_PENDING_RECEIPT</x:v>
      </x:c>
      <x:c r="V1160" s="12" t="str">
        <x:f>IF(J1160="DONE","RETURNED",IF(U1160="BLOCKED_PENDING_RECEIPT","SOURCE_TOUCH_REQUIRED","IN_PROGRESS"))</x:f>
        <x:v>SOURCE_TOUCH_REQUIRED</x:v>
      </x:c>
      <x:c r="W1160" s="12" t="str">
        <x:f>IF(P1160="Unverified","missing_receipt","receipt_logged")</x:f>
        <x:v>missing_receipt</x:v>
      </x:c>
      <x:c r="X1160" s="12" t="str">
        <x:f>IF(Q1160="Not checked","raw_status_missing","raw_status_logged")</x:f>
        <x:v>raw_status_missing</x:v>
      </x:c>
      <x:c r="Y1160" s="12" t="str">
        <x:f>IF(U1160="BLOCKED_PENDING_RECEIPT","Log source path or blocker; do not promote","Route to review lane")</x:f>
        <x:v>Log source path or blocker; do not promote</x:v>
      </x:c>
      <x:c r="Z1160" s="12" t="str">
        <x:f>IF(K1160="P0","Primary seat + Hashlight/Lucerna","Seat lane")</x:f>
        <x:v>Seat lane</x:v>
      </x:c>
      <x:c r="AA1160" s="12" t="str">
        <x:f>IF(R1160="","no_claim_delta","claim_delta_present")</x:f>
        <x:v>no_claim_delta</x:v>
      </x:c>
      <x:c r="AB1160" s="12" t="str">
        <x:f>IF(S1160="","no_contradiction_delta","contradiction_delta_present")</x:f>
        <x:v>no_contradiction_delta</x:v>
      </x:c>
      <x:c r="AC1160" s="12" t="str">
        <x:f>IF(OR(ISNUMBER(SEARCH("hacker",LOWER(F1160&amp;" "&amp;H1160&amp;" "&amp;I1160&amp;" "&amp;M1160&amp;" "&amp;N1160&amp;" "&amp;T1160))),ISNUMBER(SEARCH("hacking",LOWER(F1160&amp;" "&amp;H1160&amp;" "&amp;I1160&amp;" "&amp;M1160&amp;" "&amp;N1160&amp;" "&amp;T1160))),ISNUMBER(SEARCH("bank",LOWER(F1160&amp;" "&amp;H1160&amp;" "&amp;I1160&amp;" "&amp;M1160&amp;" "&amp;N1160&amp;" "&amp;T1160))),ISNUMBER(SEARCH("banking",LOWER(F1160&amp;" "&amp;H1160&amp;" "&amp;I1160&amp;" "&amp;M1160&amp;" "&amp;N1160&amp;" "&amp;T1160)))),"PRIVATE_QUARANTINE",IF(OR(ISNUMBER(SEARCH("treasury",LOWER(F1160&amp;" "&amp;H1160&amp;" "&amp;I1160&amp;" "&amp;M1160&amp;" "&amp;N1160&amp;" "&amp;T1160))),ISNUMBER(SEARCH("debt",LOWER(F1160&amp;" "&amp;H1160&amp;" "&amp;I1160&amp;" "&amp;M1160&amp;" "&amp;N1160&amp;" "&amp;T1160))),ISNUMBER(SEARCH("bond",LOWER(F1160&amp;" "&amp;H1160&amp;" "&amp;I1160&amp;" "&amp;M1160&amp;" "&amp;N1160&amp;" "&amp;T1160))),ISNUMBER(SEARCH("transaction",LOWER(F1160&amp;" "&amp;H1160&amp;" "&amp;I1160&amp;" "&amp;M1160&amp;" "&amp;N1160&amp;" "&amp;T1160)))),"PRIVATE_REVIEW","PUBLIC_CANDIDATE"))</x:f>
        <x:v>PUBLIC_CANDIDATE</x:v>
      </x:c>
      <x:c r="AD1160" s="12" t="str">
        <x:f>IF(AC1160="PRIVATE_QUARANTINE","hacker_or_bank_trigger",IF(AC1160="PRIVATE_REVIEW","finance_risk_trigger","none"))</x:f>
        <x:v>none</x:v>
      </x:c>
      <x:c r="AE1160" s="12" t="str">
        <x:f>IF(AC1160="PUBLIC_CANDIDATE","prepare_public_github_candidate",IF(AC1160="PRIVATE_REVIEW","hold_for_private_review","quarantine_private_do_not_publish"))</x:f>
        <x:v>prepare_public_github_candidate</x:v>
      </x:c>
      <x:c r="AF1160" s="12" t="str">
        <x:f>IF(AC1160="PUBLIC_CANDIDATE","TIDELOCK + Lucerna",IF(AC1160="PRIVATE_REVIEW","AtlasBrain + Lucerna","TIDELOCK + Lucerna + Human-root"))</x:f>
        <x:v>TIDELOCK + Lucerna</x:v>
      </x:c>
      <x:c r="AG1160" s="12" t="str">
        <x:f>IF(AND(AC1160="PUBLIC_CANDIDATE",U1160&lt;&gt;"BLOCKED_PENDING_RECEIPT"),"READY_AFTER_RECEIPT","NOT_READY")</x:f>
        <x:v>NOT_READY</x:v>
      </x:c>
      <x:c r="AH1160" s="12" t="str">
        <x:f>IF(AC1160="PUBLIC_CANDIDATE","none",AD1160)</x:f>
        <x:v>none</x:v>
      </x:c>
      <x:c r="AI1160" s="12" t="str">
        <x:f>IF(AC1160="PUBLIC_CANDIDATE","archive/public_candidates/"&amp;A1160,"private_quarantine/"&amp;A1160)</x:f>
        <x:v>archive/public_candidates/SWARM-09-H01-S07</x:v>
      </x:c>
      <x:c r="AJ1160" s="12" t="str">
        <x:f>IF(AC1160="PUBLIC_CANDIDATE","public by default; still not canon","private/hold; do not publish")</x:f>
        <x:v>public by default; still not canon</x:v>
      </x:c>
      <x:c r="AK1160" s="12" t="str">
        <x:f>IF(AE1160="prepare_public_github_candidate","add receipt/status then mirror","resolve blocker before any public GitHub action")</x:f>
        <x:v>add receipt/status then mirror</x:v>
      </x:c>
    </x:row>
    <x:row r="1161">
      <x:c r="A1161" s="15" t="str">
        <x:v>SWARM-09-H01-S08</x:v>
      </x:c>
      <x:c r="B1161" s="15" t="str">
        <x:v>NotionMoth</x:v>
      </x:c>
      <x:c r="C1161" s="15" t="str">
        <x:v>Notion ontology mapper</x:v>
      </x:c>
      <x:c r="D1161" s="15" t="str">
        <x:v>Source Inventory</x:v>
      </x:c>
      <x:c r="E1161" s="15" t="str">
        <x:v>Sheldonbrain</x:v>
      </x:c>
      <x:c r="F1161" s="15" t="str">
        <x:v>Inventory Sheldonbrain — NotionMoth</x:v>
      </x:c>
      <x:c r="G1161" s="15" t="str">
        <x:v>legacy schema / Notion export prep</x:v>
      </x:c>
      <x:c r="H1161" s="15" t="str">
        <x:v>source path + receipt + raw/export status + claim/edge/risk delta</x:v>
      </x:c>
      <x:c r="I1161" s="15" t="str">
        <x:v>packet/SWARM-09-H01-S08</x:v>
      </x:c>
      <x:c r="J1161" s="15" t="str">
        <x:v>TODO</x:v>
      </x:c>
      <x:c r="K1161" s="15" t="str">
        <x:v>P1</x:v>
      </x:c>
      <x:c r="L1161" s="15" t="str">
        <x:v>Done only when evidence is logged, contradiction search is noted, and boundary stamp remains non-canon unless ratified</x:v>
      </x:c>
      <x:c r="M1161" s="15" t="str">
        <x:v>candidate / staging-only / not canon / not deployed / authority none</x:v>
      </x:c>
      <x:c r="N1161" s="15" t="str">
        <x:v>Dispatch to NotionMoth: complete Source Inventory x Sheldonbrain; return deltas only, receipts required.</x:v>
      </x:c>
      <x:c r="O1161" s="15" t="str">
        <x:v>AF-KG-H01-S08</x:v>
      </x:c>
      <x:c r="P1161" s="15" t="str">
        <x:v>Unverified</x:v>
      </x:c>
      <x:c r="Q1161" s="15" t="str">
        <x:v>Not checked</x:v>
      </x:c>
      <x:c r="R1161" s="15" t="str"/>
      <x:c r="S1161" s="15" t="str"/>
      <x:c r="T1161" s="15" t="str">
        <x:v>Log first source path or blocker</x:v>
      </x:c>
      <x:c r="U1161" s="12" t="str">
        <x:f>IF(OR(P1161="Unverified",Q1161="Not checked"),"BLOCKED_PENDING_RECEIPT","READY_FOR_REVIEW")</x:f>
        <x:v>BLOCKED_PENDING_RECEIPT</x:v>
      </x:c>
      <x:c r="V1161" s="12" t="str">
        <x:f>IF(J1161="DONE","RETURNED",IF(U1161="BLOCKED_PENDING_RECEIPT","SOURCE_TOUCH_REQUIRED","IN_PROGRESS"))</x:f>
        <x:v>SOURCE_TOUCH_REQUIRED</x:v>
      </x:c>
      <x:c r="W1161" s="12" t="str">
        <x:f>IF(P1161="Unverified","missing_receipt","receipt_logged")</x:f>
        <x:v>missing_receipt</x:v>
      </x:c>
      <x:c r="X1161" s="12" t="str">
        <x:f>IF(Q1161="Not checked","raw_status_missing","raw_status_logged")</x:f>
        <x:v>raw_status_missing</x:v>
      </x:c>
      <x:c r="Y1161" s="12" t="str">
        <x:f>IF(U1161="BLOCKED_PENDING_RECEIPT","Log source path or blocker; do not promote","Route to review lane")</x:f>
        <x:v>Log source path or blocker; do not promote</x:v>
      </x:c>
      <x:c r="Z1161" s="12" t="str">
        <x:f>IF(K1161="P0","Primary seat + Hashlight/Lucerna","Seat lane")</x:f>
        <x:v>Seat lane</x:v>
      </x:c>
      <x:c r="AA1161" s="12" t="str">
        <x:f>IF(R1161="","no_claim_delta","claim_delta_present")</x:f>
        <x:v>no_claim_delta</x:v>
      </x:c>
      <x:c r="AB1161" s="12" t="str">
        <x:f>IF(S1161="","no_contradiction_delta","contradiction_delta_present")</x:f>
        <x:v>no_contradiction_delta</x:v>
      </x:c>
      <x:c r="AC1161" s="12" t="str">
        <x:f>IF(OR(ISNUMBER(SEARCH("hacker",LOWER(F1161&amp;" "&amp;H1161&amp;" "&amp;I1161&amp;" "&amp;M1161&amp;" "&amp;N1161&amp;" "&amp;T1161))),ISNUMBER(SEARCH("hacking",LOWER(F1161&amp;" "&amp;H1161&amp;" "&amp;I1161&amp;" "&amp;M1161&amp;" "&amp;N1161&amp;" "&amp;T1161))),ISNUMBER(SEARCH("bank",LOWER(F1161&amp;" "&amp;H1161&amp;" "&amp;I1161&amp;" "&amp;M1161&amp;" "&amp;N1161&amp;" "&amp;T1161))),ISNUMBER(SEARCH("banking",LOWER(F1161&amp;" "&amp;H1161&amp;" "&amp;I1161&amp;" "&amp;M1161&amp;" "&amp;N1161&amp;" "&amp;T1161)))),"PRIVATE_QUARANTINE",IF(OR(ISNUMBER(SEARCH("treasury",LOWER(F1161&amp;" "&amp;H1161&amp;" "&amp;I1161&amp;" "&amp;M1161&amp;" "&amp;N1161&amp;" "&amp;T1161))),ISNUMBER(SEARCH("debt",LOWER(F1161&amp;" "&amp;H1161&amp;" "&amp;I1161&amp;" "&amp;M1161&amp;" "&amp;N1161&amp;" "&amp;T1161))),ISNUMBER(SEARCH("bond",LOWER(F1161&amp;" "&amp;H1161&amp;" "&amp;I1161&amp;" "&amp;M1161&amp;" "&amp;N1161&amp;" "&amp;T1161))),ISNUMBER(SEARCH("transaction",LOWER(F1161&amp;" "&amp;H1161&amp;" "&amp;I1161&amp;" "&amp;M1161&amp;" "&amp;N1161&amp;" "&amp;T1161)))),"PRIVATE_REVIEW","PUBLIC_CANDIDATE"))</x:f>
        <x:v>PUBLIC_CANDIDATE</x:v>
      </x:c>
      <x:c r="AD1161" s="12" t="str">
        <x:f>IF(AC1161="PRIVATE_QUARANTINE","hacker_or_bank_trigger",IF(AC1161="PRIVATE_REVIEW","finance_risk_trigger","none"))</x:f>
        <x:v>none</x:v>
      </x:c>
      <x:c r="AE1161" s="12" t="str">
        <x:f>IF(AC1161="PUBLIC_CANDIDATE","prepare_public_github_candidate",IF(AC1161="PRIVATE_REVIEW","hold_for_private_review","quarantine_private_do_not_publish"))</x:f>
        <x:v>prepare_public_github_candidate</x:v>
      </x:c>
      <x:c r="AF1161" s="12" t="str">
        <x:f>IF(AC1161="PUBLIC_CANDIDATE","TIDELOCK + Lucerna",IF(AC1161="PRIVATE_REVIEW","AtlasBrain + Lucerna","TIDELOCK + Lucerna + Human-root"))</x:f>
        <x:v>TIDELOCK + Lucerna</x:v>
      </x:c>
      <x:c r="AG1161" s="12" t="str">
        <x:f>IF(AND(AC1161="PUBLIC_CANDIDATE",U1161&lt;&gt;"BLOCKED_PENDING_RECEIPT"),"READY_AFTER_RECEIPT","NOT_READY")</x:f>
        <x:v>NOT_READY</x:v>
      </x:c>
      <x:c r="AH1161" s="12" t="str">
        <x:f>IF(AC1161="PUBLIC_CANDIDATE","none",AD1161)</x:f>
        <x:v>none</x:v>
      </x:c>
      <x:c r="AI1161" s="12" t="str">
        <x:f>IF(AC1161="PUBLIC_CANDIDATE","archive/public_candidates/"&amp;A1161,"private_quarantine/"&amp;A1161)</x:f>
        <x:v>archive/public_candidates/SWARM-09-H01-S08</x:v>
      </x:c>
      <x:c r="AJ1161" s="12" t="str">
        <x:f>IF(AC1161="PUBLIC_CANDIDATE","public by default; still not canon","private/hold; do not publish")</x:f>
        <x:v>public by default; still not canon</x:v>
      </x:c>
      <x:c r="AK1161" s="12" t="str">
        <x:f>IF(AE1161="prepare_public_github_candidate","add receipt/status then mirror","resolve blocker before any public GitHub action")</x:f>
        <x:v>add receipt/status then mirror</x:v>
      </x:c>
    </x:row>
    <x:row r="1162">
      <x:c r="A1162" s="15" t="str">
        <x:v>SWARM-09-H01-S09</x:v>
      </x:c>
      <x:c r="B1162" s="15" t="str">
        <x:v>NotionMoth</x:v>
      </x:c>
      <x:c r="C1162" s="15" t="str">
        <x:v>Notion ontology mapper</x:v>
      </x:c>
      <x:c r="D1162" s="15" t="str">
        <x:v>Source Inventory</x:v>
      </x:c>
      <x:c r="E1162" s="15" t="str">
        <x:v>Aetherforge</x:v>
      </x:c>
      <x:c r="F1162" s="15" t="str">
        <x:v>Inventory Aetherforge — NotionMoth</x:v>
      </x:c>
      <x:c r="G1162" s="15" t="str">
        <x:v>legacy schema / Notion export prep</x:v>
      </x:c>
      <x:c r="H1162" s="15" t="str">
        <x:v>source path + receipt + raw/export status + claim/edge/risk delta</x:v>
      </x:c>
      <x:c r="I1162" s="15" t="str">
        <x:v>packet/SWARM-09-H01-S09</x:v>
      </x:c>
      <x:c r="J1162" s="15" t="str">
        <x:v>TODO</x:v>
      </x:c>
      <x:c r="K1162" s="15" t="str">
        <x:v>P2</x:v>
      </x:c>
      <x:c r="L1162" s="15" t="str">
        <x:v>Done only when evidence is logged, contradiction search is noted, and boundary stamp remains non-canon unless ratified</x:v>
      </x:c>
      <x:c r="M1162" s="15" t="str">
        <x:v>candidate / staging-only / not canon / not deployed / authority none</x:v>
      </x:c>
      <x:c r="N1162" s="15" t="str">
        <x:v>Dispatch to NotionMoth: complete Source Inventory x Aetherforge; return deltas only, receipts required.</x:v>
      </x:c>
      <x:c r="O1162" s="15" t="str">
        <x:v>AF-KG-H01-S09</x:v>
      </x:c>
      <x:c r="P1162" s="15" t="str">
        <x:v>Unverified</x:v>
      </x:c>
      <x:c r="Q1162" s="15" t="str">
        <x:v>Not checked</x:v>
      </x:c>
      <x:c r="R1162" s="15" t="str"/>
      <x:c r="S1162" s="15" t="str"/>
      <x:c r="T1162" s="15" t="str">
        <x:v>Log first source path or blocker</x:v>
      </x:c>
      <x:c r="U1162" s="12" t="str">
        <x:f>IF(OR(P1162="Unverified",Q1162="Not checked"),"BLOCKED_PENDING_RECEIPT","READY_FOR_REVIEW")</x:f>
        <x:v>BLOCKED_PENDING_RECEIPT</x:v>
      </x:c>
      <x:c r="V1162" s="12" t="str">
        <x:f>IF(J1162="DONE","RETURNED",IF(U1162="BLOCKED_PENDING_RECEIPT","SOURCE_TOUCH_REQUIRED","IN_PROGRESS"))</x:f>
        <x:v>SOURCE_TOUCH_REQUIRED</x:v>
      </x:c>
      <x:c r="W1162" s="12" t="str">
        <x:f>IF(P1162="Unverified","missing_receipt","receipt_logged")</x:f>
        <x:v>missing_receipt</x:v>
      </x:c>
      <x:c r="X1162" s="12" t="str">
        <x:f>IF(Q1162="Not checked","raw_status_missing","raw_status_logged")</x:f>
        <x:v>raw_status_missing</x:v>
      </x:c>
      <x:c r="Y1162" s="12" t="str">
        <x:f>IF(U1162="BLOCKED_PENDING_RECEIPT","Log source path or blocker; do not promote","Route to review lane")</x:f>
        <x:v>Log source path or blocker; do not promote</x:v>
      </x:c>
      <x:c r="Z1162" s="12" t="str">
        <x:f>IF(K1162="P0","Primary seat + Hashlight/Lucerna","Seat lane")</x:f>
        <x:v>Seat lane</x:v>
      </x:c>
      <x:c r="AA1162" s="12" t="str">
        <x:f>IF(R1162="","no_claim_delta","claim_delta_present")</x:f>
        <x:v>no_claim_delta</x:v>
      </x:c>
      <x:c r="AB1162" s="12" t="str">
        <x:f>IF(S1162="","no_contradiction_delta","contradiction_delta_present")</x:f>
        <x:v>no_contradiction_delta</x:v>
      </x:c>
      <x:c r="AC1162" s="12" t="str">
        <x:f>IF(OR(ISNUMBER(SEARCH("hacker",LOWER(F1162&amp;" "&amp;H1162&amp;" "&amp;I1162&amp;" "&amp;M1162&amp;" "&amp;N1162&amp;" "&amp;T1162))),ISNUMBER(SEARCH("hacking",LOWER(F1162&amp;" "&amp;H1162&amp;" "&amp;I1162&amp;" "&amp;M1162&amp;" "&amp;N1162&amp;" "&amp;T1162))),ISNUMBER(SEARCH("bank",LOWER(F1162&amp;" "&amp;H1162&amp;" "&amp;I1162&amp;" "&amp;M1162&amp;" "&amp;N1162&amp;" "&amp;T1162))),ISNUMBER(SEARCH("banking",LOWER(F1162&amp;" "&amp;H1162&amp;" "&amp;I1162&amp;" "&amp;M1162&amp;" "&amp;N1162&amp;" "&amp;T1162)))),"PRIVATE_QUARANTINE",IF(OR(ISNUMBER(SEARCH("treasury",LOWER(F1162&amp;" "&amp;H1162&amp;" "&amp;I1162&amp;" "&amp;M1162&amp;" "&amp;N1162&amp;" "&amp;T1162))),ISNUMBER(SEARCH("debt",LOWER(F1162&amp;" "&amp;H1162&amp;" "&amp;I1162&amp;" "&amp;M1162&amp;" "&amp;N1162&amp;" "&amp;T1162))),ISNUMBER(SEARCH("bond",LOWER(F1162&amp;" "&amp;H1162&amp;" "&amp;I1162&amp;" "&amp;M1162&amp;" "&amp;N1162&amp;" "&amp;T1162))),ISNUMBER(SEARCH("transaction",LOWER(F1162&amp;" "&amp;H1162&amp;" "&amp;I1162&amp;" "&amp;M1162&amp;" "&amp;N1162&amp;" "&amp;T1162)))),"PRIVATE_REVIEW","PUBLIC_CANDIDATE"))</x:f>
        <x:v>PUBLIC_CANDIDATE</x:v>
      </x:c>
      <x:c r="AD1162" s="12" t="str">
        <x:f>IF(AC1162="PRIVATE_QUARANTINE","hacker_or_bank_trigger",IF(AC1162="PRIVATE_REVIEW","finance_risk_trigger","none"))</x:f>
        <x:v>none</x:v>
      </x:c>
      <x:c r="AE1162" s="12" t="str">
        <x:f>IF(AC1162="PUBLIC_CANDIDATE","prepare_public_github_candidate",IF(AC1162="PRIVATE_REVIEW","hold_for_private_review","quarantine_private_do_not_publish"))</x:f>
        <x:v>prepare_public_github_candidate</x:v>
      </x:c>
      <x:c r="AF1162" s="12" t="str">
        <x:f>IF(AC1162="PUBLIC_CANDIDATE","TIDELOCK + Lucerna",IF(AC1162="PRIVATE_REVIEW","AtlasBrain + Lucerna","TIDELOCK + Lucerna + Human-root"))</x:f>
        <x:v>TIDELOCK + Lucerna</x:v>
      </x:c>
      <x:c r="AG1162" s="12" t="str">
        <x:f>IF(AND(AC1162="PUBLIC_CANDIDATE",U1162&lt;&gt;"BLOCKED_PENDING_RECEIPT"),"READY_AFTER_RECEIPT","NOT_READY")</x:f>
        <x:v>NOT_READY</x:v>
      </x:c>
      <x:c r="AH1162" s="12" t="str">
        <x:f>IF(AC1162="PUBLIC_CANDIDATE","none",AD1162)</x:f>
        <x:v>none</x:v>
      </x:c>
      <x:c r="AI1162" s="12" t="str">
        <x:f>IF(AC1162="PUBLIC_CANDIDATE","archive/public_candidates/"&amp;A1162,"private_quarantine/"&amp;A1162)</x:f>
        <x:v>archive/public_candidates/SWARM-09-H01-S09</x:v>
      </x:c>
      <x:c r="AJ1162" s="12" t="str">
        <x:f>IF(AC1162="PUBLIC_CANDIDATE","public by default; still not canon","private/hold; do not publish")</x:f>
        <x:v>public by default; still not canon</x:v>
      </x:c>
      <x:c r="AK1162" s="12" t="str">
        <x:f>IF(AE1162="prepare_public_github_candidate","add receipt/status then mirror","resolve blocker before any public GitHub action")</x:f>
        <x:v>add receipt/status then mirror</x:v>
      </x:c>
    </x:row>
    <x:row r="1163">
      <x:c r="A1163" s="15" t="str">
        <x:v>SWARM-09-H01-S10</x:v>
      </x:c>
      <x:c r="B1163" s="15" t="str">
        <x:v>NotionMoth</x:v>
      </x:c>
      <x:c r="C1163" s="15" t="str">
        <x:v>Notion ontology mapper</x:v>
      </x:c>
      <x:c r="D1163" s="15" t="str">
        <x:v>Source Inventory</x:v>
      </x:c>
      <x:c r="E1163" s="15" t="str">
        <x:v>Human-Root</x:v>
      </x:c>
      <x:c r="F1163" s="15" t="str">
        <x:v>Inventory Human-Root — NotionMoth</x:v>
      </x:c>
      <x:c r="G1163" s="15" t="str">
        <x:v>legacy schema / Notion export prep</x:v>
      </x:c>
      <x:c r="H1163" s="15" t="str">
        <x:v>source path + receipt + raw/export status + claim/edge/risk delta</x:v>
      </x:c>
      <x:c r="I1163" s="15" t="str">
        <x:v>packet/SWARM-09-H01-S10</x:v>
      </x:c>
      <x:c r="J1163" s="15" t="str">
        <x:v>TODO</x:v>
      </x:c>
      <x:c r="K1163" s="15" t="str">
        <x:v>P2</x:v>
      </x:c>
      <x:c r="L1163" s="15" t="str">
        <x:v>Done only when evidence is logged, contradiction search is noted, and boundary stamp remains non-canon unless ratified</x:v>
      </x:c>
      <x:c r="M1163" s="15" t="str">
        <x:v>candidate / staging-only / not canon / not deployed / authority none</x:v>
      </x:c>
      <x:c r="N1163" s="15" t="str">
        <x:v>Dispatch to NotionMoth: complete Source Inventory x Human-Root; return deltas only, receipts required.</x:v>
      </x:c>
      <x:c r="O1163" s="15" t="str">
        <x:v>AF-KG-H01-S10</x:v>
      </x:c>
      <x:c r="P1163" s="15" t="str">
        <x:v>Unverified</x:v>
      </x:c>
      <x:c r="Q1163" s="15" t="str">
        <x:v>Not checked</x:v>
      </x:c>
      <x:c r="R1163" s="15" t="str"/>
      <x:c r="S1163" s="15" t="str"/>
      <x:c r="T1163" s="15" t="str">
        <x:v>Log first source path or blocker</x:v>
      </x:c>
      <x:c r="U1163" s="12" t="str">
        <x:f>IF(OR(P1163="Unverified",Q1163="Not checked"),"BLOCKED_PENDING_RECEIPT","READY_FOR_REVIEW")</x:f>
        <x:v>BLOCKED_PENDING_RECEIPT</x:v>
      </x:c>
      <x:c r="V1163" s="12" t="str">
        <x:f>IF(J1163="DONE","RETURNED",IF(U1163="BLOCKED_PENDING_RECEIPT","SOURCE_TOUCH_REQUIRED","IN_PROGRESS"))</x:f>
        <x:v>SOURCE_TOUCH_REQUIRED</x:v>
      </x:c>
      <x:c r="W1163" s="12" t="str">
        <x:f>IF(P1163="Unverified","missing_receipt","receipt_logged")</x:f>
        <x:v>missing_receipt</x:v>
      </x:c>
      <x:c r="X1163" s="12" t="str">
        <x:f>IF(Q1163="Not checked","raw_status_missing","raw_status_logged")</x:f>
        <x:v>raw_status_missing</x:v>
      </x:c>
      <x:c r="Y1163" s="12" t="str">
        <x:f>IF(U1163="BLOCKED_PENDING_RECEIPT","Log source path or blocker; do not promote","Route to review lane")</x:f>
        <x:v>Log source path or blocker; do not promote</x:v>
      </x:c>
      <x:c r="Z1163" s="12" t="str">
        <x:f>IF(K1163="P0","Primary seat + Hashlight/Lucerna","Seat lane")</x:f>
        <x:v>Seat lane</x:v>
      </x:c>
      <x:c r="AA1163" s="12" t="str">
        <x:f>IF(R1163="","no_claim_delta","claim_delta_present")</x:f>
        <x:v>no_claim_delta</x:v>
      </x:c>
      <x:c r="AB1163" s="12" t="str">
        <x:f>IF(S1163="","no_contradiction_delta","contradiction_delta_present")</x:f>
        <x:v>no_contradiction_delta</x:v>
      </x:c>
      <x:c r="AC1163" s="12" t="str">
        <x:f>IF(OR(ISNUMBER(SEARCH("hacker",LOWER(F1163&amp;" "&amp;H1163&amp;" "&amp;I1163&amp;" "&amp;M1163&amp;" "&amp;N1163&amp;" "&amp;T1163))),ISNUMBER(SEARCH("hacking",LOWER(F1163&amp;" "&amp;H1163&amp;" "&amp;I1163&amp;" "&amp;M1163&amp;" "&amp;N1163&amp;" "&amp;T1163))),ISNUMBER(SEARCH("bank",LOWER(F1163&amp;" "&amp;H1163&amp;" "&amp;I1163&amp;" "&amp;M1163&amp;" "&amp;N1163&amp;" "&amp;T1163))),ISNUMBER(SEARCH("banking",LOWER(F1163&amp;" "&amp;H1163&amp;" "&amp;I1163&amp;" "&amp;M1163&amp;" "&amp;N1163&amp;" "&amp;T1163)))),"PRIVATE_QUARANTINE",IF(OR(ISNUMBER(SEARCH("treasury",LOWER(F1163&amp;" "&amp;H1163&amp;" "&amp;I1163&amp;" "&amp;M1163&amp;" "&amp;N1163&amp;" "&amp;T1163))),ISNUMBER(SEARCH("debt",LOWER(F1163&amp;" "&amp;H1163&amp;" "&amp;I1163&amp;" "&amp;M1163&amp;" "&amp;N1163&amp;" "&amp;T1163))),ISNUMBER(SEARCH("bond",LOWER(F1163&amp;" "&amp;H1163&amp;" "&amp;I1163&amp;" "&amp;M1163&amp;" "&amp;N1163&amp;" "&amp;T1163))),ISNUMBER(SEARCH("transaction",LOWER(F1163&amp;" "&amp;H1163&amp;" "&amp;I1163&amp;" "&amp;M1163&amp;" "&amp;N1163&amp;" "&amp;T1163)))),"PRIVATE_REVIEW","PUBLIC_CANDIDATE"))</x:f>
        <x:v>PUBLIC_CANDIDATE</x:v>
      </x:c>
      <x:c r="AD1163" s="12" t="str">
        <x:f>IF(AC1163="PRIVATE_QUARANTINE","hacker_or_bank_trigger",IF(AC1163="PRIVATE_REVIEW","finance_risk_trigger","none"))</x:f>
        <x:v>none</x:v>
      </x:c>
      <x:c r="AE1163" s="12" t="str">
        <x:f>IF(AC1163="PUBLIC_CANDIDATE","prepare_public_github_candidate",IF(AC1163="PRIVATE_REVIEW","hold_for_private_review","quarantine_private_do_not_publish"))</x:f>
        <x:v>prepare_public_github_candidate</x:v>
      </x:c>
      <x:c r="AF1163" s="12" t="str">
        <x:f>IF(AC1163="PUBLIC_CANDIDATE","TIDELOCK + Lucerna",IF(AC1163="PRIVATE_REVIEW","AtlasBrain + Lucerna","TIDELOCK + Lucerna + Human-root"))</x:f>
        <x:v>TIDELOCK + Lucerna</x:v>
      </x:c>
      <x:c r="AG1163" s="12" t="str">
        <x:f>IF(AND(AC1163="PUBLIC_CANDIDATE",U1163&lt;&gt;"BLOCKED_PENDING_RECEIPT"),"READY_AFTER_RECEIPT","NOT_READY")</x:f>
        <x:v>NOT_READY</x:v>
      </x:c>
      <x:c r="AH1163" s="12" t="str">
        <x:f>IF(AC1163="PUBLIC_CANDIDATE","none",AD1163)</x:f>
        <x:v>none</x:v>
      </x:c>
      <x:c r="AI1163" s="12" t="str">
        <x:f>IF(AC1163="PUBLIC_CANDIDATE","archive/public_candidates/"&amp;A1163,"private_quarantine/"&amp;A1163)</x:f>
        <x:v>archive/public_candidates/SWARM-09-H01-S10</x:v>
      </x:c>
      <x:c r="AJ1163" s="12" t="str">
        <x:f>IF(AC1163="PUBLIC_CANDIDATE","public by default; still not canon","private/hold; do not publish")</x:f>
        <x:v>public by default; still not canon</x:v>
      </x:c>
      <x:c r="AK1163" s="12" t="str">
        <x:f>IF(AE1163="prepare_public_github_candidate","add receipt/status then mirror","resolve blocker before any public GitHub action")</x:f>
        <x:v>add receipt/status then mirror</x:v>
      </x:c>
    </x:row>
    <x:row r="1164">
      <x:c r="A1164" s="15" t="str">
        <x:v>SWARM-09-H01-S11</x:v>
      </x:c>
      <x:c r="B1164" s="15" t="str">
        <x:v>NotionMoth</x:v>
      </x:c>
      <x:c r="C1164" s="15" t="str">
        <x:v>Notion ontology mapper</x:v>
      </x:c>
      <x:c r="D1164" s="15" t="str">
        <x:v>Source Inventory</x:v>
      </x:c>
      <x:c r="E1164" s="15" t="str">
        <x:v>Automation</x:v>
      </x:c>
      <x:c r="F1164" s="15" t="str">
        <x:v>Inventory Automation — NotionMoth</x:v>
      </x:c>
      <x:c r="G1164" s="15" t="str">
        <x:v>legacy schema / Notion export prep</x:v>
      </x:c>
      <x:c r="H1164" s="15" t="str">
        <x:v>source path + receipt + raw/export status + claim/edge/risk delta</x:v>
      </x:c>
      <x:c r="I1164" s="15" t="str">
        <x:v>packet/SWARM-09-H01-S11</x:v>
      </x:c>
      <x:c r="J1164" s="15" t="str">
        <x:v>TODO</x:v>
      </x:c>
      <x:c r="K1164" s="15" t="str">
        <x:v>P2</x:v>
      </x:c>
      <x:c r="L1164" s="15" t="str">
        <x:v>Done only when evidence is logged, contradiction search is noted, and boundary stamp remains non-canon unless ratified</x:v>
      </x:c>
      <x:c r="M1164" s="15" t="str">
        <x:v>candidate / staging-only / not canon / not deployed / authority none</x:v>
      </x:c>
      <x:c r="N1164" s="15" t="str">
        <x:v>Dispatch to NotionMoth: complete Source Inventory x Automation; return deltas only, receipts required.</x:v>
      </x:c>
      <x:c r="O1164" s="15" t="str">
        <x:v>AF-KG-H01-S11</x:v>
      </x:c>
      <x:c r="P1164" s="15" t="str">
        <x:v>Unverified</x:v>
      </x:c>
      <x:c r="Q1164" s="15" t="str">
        <x:v>Not checked</x:v>
      </x:c>
      <x:c r="R1164" s="15" t="str"/>
      <x:c r="S1164" s="15" t="str"/>
      <x:c r="T1164" s="15" t="str">
        <x:v>Log first source path or blocker</x:v>
      </x:c>
      <x:c r="U1164" s="12" t="str">
        <x:f>IF(OR(P1164="Unverified",Q1164="Not checked"),"BLOCKED_PENDING_RECEIPT","READY_FOR_REVIEW")</x:f>
        <x:v>BLOCKED_PENDING_RECEIPT</x:v>
      </x:c>
      <x:c r="V1164" s="12" t="str">
        <x:f>IF(J1164="DONE","RETURNED",IF(U1164="BLOCKED_PENDING_RECEIPT","SOURCE_TOUCH_REQUIRED","IN_PROGRESS"))</x:f>
        <x:v>SOURCE_TOUCH_REQUIRED</x:v>
      </x:c>
      <x:c r="W1164" s="12" t="str">
        <x:f>IF(P1164="Unverified","missing_receipt","receipt_logged")</x:f>
        <x:v>missing_receipt</x:v>
      </x:c>
      <x:c r="X1164" s="12" t="str">
        <x:f>IF(Q1164="Not checked","raw_status_missing","raw_status_logged")</x:f>
        <x:v>raw_status_missing</x:v>
      </x:c>
      <x:c r="Y1164" s="12" t="str">
        <x:f>IF(U1164="BLOCKED_PENDING_RECEIPT","Log source path or blocker; do not promote","Route to review lane")</x:f>
        <x:v>Log source path or blocker; do not promote</x:v>
      </x:c>
      <x:c r="Z1164" s="12" t="str">
        <x:f>IF(K1164="P0","Primary seat + Hashlight/Lucerna","Seat lane")</x:f>
        <x:v>Seat lane</x:v>
      </x:c>
      <x:c r="AA1164" s="12" t="str">
        <x:f>IF(R1164="","no_claim_delta","claim_delta_present")</x:f>
        <x:v>no_claim_delta</x:v>
      </x:c>
      <x:c r="AB1164" s="12" t="str">
        <x:f>IF(S1164="","no_contradiction_delta","contradiction_delta_present")</x:f>
        <x:v>no_contradiction_delta</x:v>
      </x:c>
      <x:c r="AC1164" s="12" t="str">
        <x:f>IF(OR(ISNUMBER(SEARCH("hacker",LOWER(F1164&amp;" "&amp;H1164&amp;" "&amp;I1164&amp;" "&amp;M1164&amp;" "&amp;N1164&amp;" "&amp;T1164))),ISNUMBER(SEARCH("hacking",LOWER(F1164&amp;" "&amp;H1164&amp;" "&amp;I1164&amp;" "&amp;M1164&amp;" "&amp;N1164&amp;" "&amp;T1164))),ISNUMBER(SEARCH("bank",LOWER(F1164&amp;" "&amp;H1164&amp;" "&amp;I1164&amp;" "&amp;M1164&amp;" "&amp;N1164&amp;" "&amp;T1164))),ISNUMBER(SEARCH("banking",LOWER(F1164&amp;" "&amp;H1164&amp;" "&amp;I1164&amp;" "&amp;M1164&amp;" "&amp;N1164&amp;" "&amp;T1164)))),"PRIVATE_QUARANTINE",IF(OR(ISNUMBER(SEARCH("treasury",LOWER(F1164&amp;" "&amp;H1164&amp;" "&amp;I1164&amp;" "&amp;M1164&amp;" "&amp;N1164&amp;" "&amp;T1164))),ISNUMBER(SEARCH("debt",LOWER(F1164&amp;" "&amp;H1164&amp;" "&amp;I1164&amp;" "&amp;M1164&amp;" "&amp;N1164&amp;" "&amp;T1164))),ISNUMBER(SEARCH("bond",LOWER(F1164&amp;" "&amp;H1164&amp;" "&amp;I1164&amp;" "&amp;M1164&amp;" "&amp;N1164&amp;" "&amp;T1164))),ISNUMBER(SEARCH("transaction",LOWER(F1164&amp;" "&amp;H1164&amp;" "&amp;I1164&amp;" "&amp;M1164&amp;" "&amp;N1164&amp;" "&amp;T1164)))),"PRIVATE_REVIEW","PUBLIC_CANDIDATE"))</x:f>
        <x:v>PUBLIC_CANDIDATE</x:v>
      </x:c>
      <x:c r="AD1164" s="12" t="str">
        <x:f>IF(AC1164="PRIVATE_QUARANTINE","hacker_or_bank_trigger",IF(AC1164="PRIVATE_REVIEW","finance_risk_trigger","none"))</x:f>
        <x:v>none</x:v>
      </x:c>
      <x:c r="AE1164" s="12" t="str">
        <x:f>IF(AC1164="PUBLIC_CANDIDATE","prepare_public_github_candidate",IF(AC1164="PRIVATE_REVIEW","hold_for_private_review","quarantine_private_do_not_publish"))</x:f>
        <x:v>prepare_public_github_candidate</x:v>
      </x:c>
      <x:c r="AF1164" s="12" t="str">
        <x:f>IF(AC1164="PUBLIC_CANDIDATE","TIDELOCK + Lucerna",IF(AC1164="PRIVATE_REVIEW","AtlasBrain + Lucerna","TIDELOCK + Lucerna + Human-root"))</x:f>
        <x:v>TIDELOCK + Lucerna</x:v>
      </x:c>
      <x:c r="AG1164" s="12" t="str">
        <x:f>IF(AND(AC1164="PUBLIC_CANDIDATE",U1164&lt;&gt;"BLOCKED_PENDING_RECEIPT"),"READY_AFTER_RECEIPT","NOT_READY")</x:f>
        <x:v>NOT_READY</x:v>
      </x:c>
      <x:c r="AH1164" s="12" t="str">
        <x:f>IF(AC1164="PUBLIC_CANDIDATE","none",AD1164)</x:f>
        <x:v>none</x:v>
      </x:c>
      <x:c r="AI1164" s="12" t="str">
        <x:f>IF(AC1164="PUBLIC_CANDIDATE","archive/public_candidates/"&amp;A1164,"private_quarantine/"&amp;A1164)</x:f>
        <x:v>archive/public_candidates/SWARM-09-H01-S11</x:v>
      </x:c>
      <x:c r="AJ1164" s="12" t="str">
        <x:f>IF(AC1164="PUBLIC_CANDIDATE","public by default; still not canon","private/hold; do not publish")</x:f>
        <x:v>public by default; still not canon</x:v>
      </x:c>
      <x:c r="AK1164" s="12" t="str">
        <x:f>IF(AE1164="prepare_public_github_candidate","add receipt/status then mirror","resolve blocker before any public GitHub action")</x:f>
        <x:v>add receipt/status then mirror</x:v>
      </x:c>
    </x:row>
    <x:row r="1165">
      <x:c r="A1165" s="15" t="str">
        <x:v>SWARM-09-H01-S12</x:v>
      </x:c>
      <x:c r="B1165" s="15" t="str">
        <x:v>NotionMoth</x:v>
      </x:c>
      <x:c r="C1165" s="15" t="str">
        <x:v>Notion ontology mapper</x:v>
      </x:c>
      <x:c r="D1165" s="15" t="str">
        <x:v>Source Inventory</x:v>
      </x:c>
      <x:c r="E1165" s="15" t="str">
        <x:v>Risk / Safety</x:v>
      </x:c>
      <x:c r="F1165" s="15" t="str">
        <x:v>Inventory Risk / Safety — NotionMoth</x:v>
      </x:c>
      <x:c r="G1165" s="15" t="str">
        <x:v>legacy schema / Notion export prep</x:v>
      </x:c>
      <x:c r="H1165" s="15" t="str">
        <x:v>source path + receipt + raw/export status + claim/edge/risk delta</x:v>
      </x:c>
      <x:c r="I1165" s="15" t="str">
        <x:v>packet/SWARM-09-H01-S12</x:v>
      </x:c>
      <x:c r="J1165" s="15" t="str">
        <x:v>TODO</x:v>
      </x:c>
      <x:c r="K1165" s="15" t="str">
        <x:v>P2</x:v>
      </x:c>
      <x:c r="L1165" s="15" t="str">
        <x:v>Done only when evidence is logged, contradiction search is noted, and boundary stamp remains non-canon unless ratified</x:v>
      </x:c>
      <x:c r="M1165" s="15" t="str">
        <x:v>candidate / staging-only / not canon / not deployed / authority none</x:v>
      </x:c>
      <x:c r="N1165" s="15" t="str">
        <x:v>Dispatch to NotionMoth: complete Source Inventory x Risk / Safety; return deltas only, receipts required.</x:v>
      </x:c>
      <x:c r="O1165" s="15" t="str">
        <x:v>AF-KG-H01-S12</x:v>
      </x:c>
      <x:c r="P1165" s="15" t="str">
        <x:v>Unverified</x:v>
      </x:c>
      <x:c r="Q1165" s="15" t="str">
        <x:v>Not checked</x:v>
      </x:c>
      <x:c r="R1165" s="15" t="str"/>
      <x:c r="S1165" s="15" t="str"/>
      <x:c r="T1165" s="15" t="str">
        <x:v>Log first source path or blocker</x:v>
      </x:c>
      <x:c r="U1165" s="12" t="str">
        <x:f>IF(OR(P1165="Unverified",Q1165="Not checked"),"BLOCKED_PENDING_RECEIPT","READY_FOR_REVIEW")</x:f>
        <x:v>BLOCKED_PENDING_RECEIPT</x:v>
      </x:c>
      <x:c r="V1165" s="12" t="str">
        <x:f>IF(J1165="DONE","RETURNED",IF(U1165="BLOCKED_PENDING_RECEIPT","SOURCE_TOUCH_REQUIRED","IN_PROGRESS"))</x:f>
        <x:v>SOURCE_TOUCH_REQUIRED</x:v>
      </x:c>
      <x:c r="W1165" s="12" t="str">
        <x:f>IF(P1165="Unverified","missing_receipt","receipt_logged")</x:f>
        <x:v>missing_receipt</x:v>
      </x:c>
      <x:c r="X1165" s="12" t="str">
        <x:f>IF(Q1165="Not checked","raw_status_missing","raw_status_logged")</x:f>
        <x:v>raw_status_missing</x:v>
      </x:c>
      <x:c r="Y1165" s="12" t="str">
        <x:f>IF(U1165="BLOCKED_PENDING_RECEIPT","Log source path or blocker; do not promote","Route to review lane")</x:f>
        <x:v>Log source path or blocker; do not promote</x:v>
      </x:c>
      <x:c r="Z1165" s="12" t="str">
        <x:f>IF(K1165="P0","Primary seat + Hashlight/Lucerna","Seat lane")</x:f>
        <x:v>Seat lane</x:v>
      </x:c>
      <x:c r="AA1165" s="12" t="str">
        <x:f>IF(R1165="","no_claim_delta","claim_delta_present")</x:f>
        <x:v>no_claim_delta</x:v>
      </x:c>
      <x:c r="AB1165" s="12" t="str">
        <x:f>IF(S1165="","no_contradiction_delta","contradiction_delta_present")</x:f>
        <x:v>no_contradiction_delta</x:v>
      </x:c>
      <x:c r="AC1165" s="12" t="str">
        <x:f>IF(OR(ISNUMBER(SEARCH("hacker",LOWER(F1165&amp;" "&amp;H1165&amp;" "&amp;I1165&amp;" "&amp;M1165&amp;" "&amp;N1165&amp;" "&amp;T1165))),ISNUMBER(SEARCH("hacking",LOWER(F1165&amp;" "&amp;H1165&amp;" "&amp;I1165&amp;" "&amp;M1165&amp;" "&amp;N1165&amp;" "&amp;T1165))),ISNUMBER(SEARCH("bank",LOWER(F1165&amp;" "&amp;H1165&amp;" "&amp;I1165&amp;" "&amp;M1165&amp;" "&amp;N1165&amp;" "&amp;T1165))),ISNUMBER(SEARCH("banking",LOWER(F1165&amp;" "&amp;H1165&amp;" "&amp;I1165&amp;" "&amp;M1165&amp;" "&amp;N1165&amp;" "&amp;T1165)))),"PRIVATE_QUARANTINE",IF(OR(ISNUMBER(SEARCH("treasury",LOWER(F1165&amp;" "&amp;H1165&amp;" "&amp;I1165&amp;" "&amp;M1165&amp;" "&amp;N1165&amp;" "&amp;T1165))),ISNUMBER(SEARCH("debt",LOWER(F1165&amp;" "&amp;H1165&amp;" "&amp;I1165&amp;" "&amp;M1165&amp;" "&amp;N1165&amp;" "&amp;T1165))),ISNUMBER(SEARCH("bond",LOWER(F1165&amp;" "&amp;H1165&amp;" "&amp;I1165&amp;" "&amp;M1165&amp;" "&amp;N1165&amp;" "&amp;T1165))),ISNUMBER(SEARCH("transaction",LOWER(F1165&amp;" "&amp;H1165&amp;" "&amp;I1165&amp;" "&amp;M1165&amp;" "&amp;N1165&amp;" "&amp;T1165)))),"PRIVATE_REVIEW","PUBLIC_CANDIDATE"))</x:f>
        <x:v>PUBLIC_CANDIDATE</x:v>
      </x:c>
      <x:c r="AD1165" s="12" t="str">
        <x:f>IF(AC1165="PRIVATE_QUARANTINE","hacker_or_bank_trigger",IF(AC1165="PRIVATE_REVIEW","finance_risk_trigger","none"))</x:f>
        <x:v>none</x:v>
      </x:c>
      <x:c r="AE1165" s="12" t="str">
        <x:f>IF(AC1165="PUBLIC_CANDIDATE","prepare_public_github_candidate",IF(AC1165="PRIVATE_REVIEW","hold_for_private_review","quarantine_private_do_not_publish"))</x:f>
        <x:v>prepare_public_github_candidate</x:v>
      </x:c>
      <x:c r="AF1165" s="12" t="str">
        <x:f>IF(AC1165="PUBLIC_CANDIDATE","TIDELOCK + Lucerna",IF(AC1165="PRIVATE_REVIEW","AtlasBrain + Lucerna","TIDELOCK + Lucerna + Human-root"))</x:f>
        <x:v>TIDELOCK + Lucerna</x:v>
      </x:c>
      <x:c r="AG1165" s="12" t="str">
        <x:f>IF(AND(AC1165="PUBLIC_CANDIDATE",U1165&lt;&gt;"BLOCKED_PENDING_RECEIPT"),"READY_AFTER_RECEIPT","NOT_READY")</x:f>
        <x:v>NOT_READY</x:v>
      </x:c>
      <x:c r="AH1165" s="12" t="str">
        <x:f>IF(AC1165="PUBLIC_CANDIDATE","none",AD1165)</x:f>
        <x:v>none</x:v>
      </x:c>
      <x:c r="AI1165" s="12" t="str">
        <x:f>IF(AC1165="PUBLIC_CANDIDATE","archive/public_candidates/"&amp;A1165,"private_quarantine/"&amp;A1165)</x:f>
        <x:v>archive/public_candidates/SWARM-09-H01-S12</x:v>
      </x:c>
      <x:c r="AJ1165" s="12" t="str">
        <x:f>IF(AC1165="PUBLIC_CANDIDATE","public by default; still not canon","private/hold; do not publish")</x:f>
        <x:v>public by default; still not canon</x:v>
      </x:c>
      <x:c r="AK1165" s="12" t="str">
        <x:f>IF(AE1165="prepare_public_github_candidate","add receipt/status then mirror","resolve blocker before any public GitHub action")</x:f>
        <x:v>add receipt/status then mirror</x:v>
      </x:c>
    </x:row>
    <x:row r="1166">
      <x:c r="A1166" s="15" t="str">
        <x:v>SWARM-09-H02-S01</x:v>
      </x:c>
      <x:c r="B1166" s="15" t="str">
        <x:v>NotionMoth</x:v>
      </x:c>
      <x:c r="C1166" s="15" t="str">
        <x:v>Notion ontology mapper</x:v>
      </x:c>
      <x:c r="D1166" s="15" t="str">
        <x:v>Receipt Verification</x:v>
      </x:c>
      <x:c r="E1166" s="15" t="str">
        <x:v>Notion</x:v>
      </x:c>
      <x:c r="F1166" s="15" t="str">
        <x:v>Verify receipts for Notion — NotionMoth</x:v>
      </x:c>
      <x:c r="G1166" s="15" t="str">
        <x:v>legacy schema / Notion export prep</x:v>
      </x:c>
      <x:c r="H1166" s="15" t="str">
        <x:v>source path + receipt + raw/export status + claim/edge/risk delta</x:v>
      </x:c>
      <x:c r="I1166" s="15" t="str">
        <x:v>packet/SWARM-09-H02-S01</x:v>
      </x:c>
      <x:c r="J1166" s="15" t="str">
        <x:v>TODO</x:v>
      </x:c>
      <x:c r="K1166" s="15" t="str">
        <x:v>P0</x:v>
      </x:c>
      <x:c r="L1166" s="15" t="str">
        <x:v>Done only when evidence is logged, contradiction search is noted, and boundary stamp remains non-canon unless ratified</x:v>
      </x:c>
      <x:c r="M1166" s="15" t="str">
        <x:v>candidate / staging-only / not canon / not deployed / authority none</x:v>
      </x:c>
      <x:c r="N1166" s="15" t="str">
        <x:v>Dispatch to NotionMoth: complete Receipt Verification x Notion; return deltas only, receipts required.</x:v>
      </x:c>
      <x:c r="O1166" s="15" t="str">
        <x:v>AF-KG-H02-S01</x:v>
      </x:c>
      <x:c r="P1166" s="15" t="str">
        <x:v>Unverified</x:v>
      </x:c>
      <x:c r="Q1166" s="15" t="str">
        <x:v>Not checked</x:v>
      </x:c>
      <x:c r="R1166" s="15" t="str"/>
      <x:c r="S1166" s="15" t="str"/>
      <x:c r="T1166" s="15" t="str">
        <x:v>Log first source path or blocker</x:v>
      </x:c>
      <x:c r="U1166" s="12" t="str">
        <x:f>IF(OR(P1166="Unverified",Q1166="Not checked"),"BLOCKED_PENDING_RECEIPT","READY_FOR_REVIEW")</x:f>
        <x:v>BLOCKED_PENDING_RECEIPT</x:v>
      </x:c>
      <x:c r="V1166" s="12" t="str">
        <x:f>IF(J1166="DONE","RETURNED",IF(U1166="BLOCKED_PENDING_RECEIPT","SOURCE_TOUCH_REQUIRED","IN_PROGRESS"))</x:f>
        <x:v>SOURCE_TOUCH_REQUIRED</x:v>
      </x:c>
      <x:c r="W1166" s="12" t="str">
        <x:f>IF(P1166="Unverified","missing_receipt","receipt_logged")</x:f>
        <x:v>missing_receipt</x:v>
      </x:c>
      <x:c r="X1166" s="12" t="str">
        <x:f>IF(Q1166="Not checked","raw_status_missing","raw_status_logged")</x:f>
        <x:v>raw_status_missing</x:v>
      </x:c>
      <x:c r="Y1166" s="12" t="str">
        <x:f>IF(U1166="BLOCKED_PENDING_RECEIPT","Log source path or blocker; do not promote","Route to review lane")</x:f>
        <x:v>Log source path or blocker; do not promote</x:v>
      </x:c>
      <x:c r="Z1166" s="12" t="str">
        <x:f>IF(K1166="P0","Primary seat + Hashlight/Lucerna","Seat lane")</x:f>
        <x:v>Primary seat + Hashlight/Lucerna</x:v>
      </x:c>
      <x:c r="AA1166" s="12" t="str">
        <x:f>IF(R1166="","no_claim_delta","claim_delta_present")</x:f>
        <x:v>no_claim_delta</x:v>
      </x:c>
      <x:c r="AB1166" s="12" t="str">
        <x:f>IF(S1166="","no_contradiction_delta","contradiction_delta_present")</x:f>
        <x:v>no_contradiction_delta</x:v>
      </x:c>
      <x:c r="AC1166" s="12" t="str">
        <x:f>IF(OR(ISNUMBER(SEARCH("hacker",LOWER(F1166&amp;" "&amp;H1166&amp;" "&amp;I1166&amp;" "&amp;M1166&amp;" "&amp;N1166&amp;" "&amp;T1166))),ISNUMBER(SEARCH("hacking",LOWER(F1166&amp;" "&amp;H1166&amp;" "&amp;I1166&amp;" "&amp;M1166&amp;" "&amp;N1166&amp;" "&amp;T1166))),ISNUMBER(SEARCH("bank",LOWER(F1166&amp;" "&amp;H1166&amp;" "&amp;I1166&amp;" "&amp;M1166&amp;" "&amp;N1166&amp;" "&amp;T1166))),ISNUMBER(SEARCH("banking",LOWER(F1166&amp;" "&amp;H1166&amp;" "&amp;I1166&amp;" "&amp;M1166&amp;" "&amp;N1166&amp;" "&amp;T1166)))),"PRIVATE_QUARANTINE",IF(OR(ISNUMBER(SEARCH("treasury",LOWER(F1166&amp;" "&amp;H1166&amp;" "&amp;I1166&amp;" "&amp;M1166&amp;" "&amp;N1166&amp;" "&amp;T1166))),ISNUMBER(SEARCH("debt",LOWER(F1166&amp;" "&amp;H1166&amp;" "&amp;I1166&amp;" "&amp;M1166&amp;" "&amp;N1166&amp;" "&amp;T1166))),ISNUMBER(SEARCH("bond",LOWER(F1166&amp;" "&amp;H1166&amp;" "&amp;I1166&amp;" "&amp;M1166&amp;" "&amp;N1166&amp;" "&amp;T1166))),ISNUMBER(SEARCH("transaction",LOWER(F1166&amp;" "&amp;H1166&amp;" "&amp;I1166&amp;" "&amp;M1166&amp;" "&amp;N1166&amp;" "&amp;T1166)))),"PRIVATE_REVIEW","PUBLIC_CANDIDATE"))</x:f>
        <x:v>PUBLIC_CANDIDATE</x:v>
      </x:c>
      <x:c r="AD1166" s="12" t="str">
        <x:f>IF(AC1166="PRIVATE_QUARANTINE","hacker_or_bank_trigger",IF(AC1166="PRIVATE_REVIEW","finance_risk_trigger","none"))</x:f>
        <x:v>none</x:v>
      </x:c>
      <x:c r="AE1166" s="12" t="str">
        <x:f>IF(AC1166="PUBLIC_CANDIDATE","prepare_public_github_candidate",IF(AC1166="PRIVATE_REVIEW","hold_for_private_review","quarantine_private_do_not_publish"))</x:f>
        <x:v>prepare_public_github_candidate</x:v>
      </x:c>
      <x:c r="AF1166" s="12" t="str">
        <x:f>IF(AC1166="PUBLIC_CANDIDATE","TIDELOCK + Lucerna",IF(AC1166="PRIVATE_REVIEW","AtlasBrain + Lucerna","TIDELOCK + Lucerna + Human-root"))</x:f>
        <x:v>TIDELOCK + Lucerna</x:v>
      </x:c>
      <x:c r="AG1166" s="12" t="str">
        <x:f>IF(AND(AC1166="PUBLIC_CANDIDATE",U1166&lt;&gt;"BLOCKED_PENDING_RECEIPT"),"READY_AFTER_RECEIPT","NOT_READY")</x:f>
        <x:v>NOT_READY</x:v>
      </x:c>
      <x:c r="AH1166" s="12" t="str">
        <x:f>IF(AC1166="PUBLIC_CANDIDATE","none",AD1166)</x:f>
        <x:v>none</x:v>
      </x:c>
      <x:c r="AI1166" s="12" t="str">
        <x:f>IF(AC1166="PUBLIC_CANDIDATE","archive/public_candidates/"&amp;A1166,"private_quarantine/"&amp;A1166)</x:f>
        <x:v>archive/public_candidates/SWARM-09-H02-S01</x:v>
      </x:c>
      <x:c r="AJ1166" s="12" t="str">
        <x:f>IF(AC1166="PUBLIC_CANDIDATE","public by default; still not canon","private/hold; do not publish")</x:f>
        <x:v>public by default; still not canon</x:v>
      </x:c>
      <x:c r="AK1166" s="12" t="str">
        <x:f>IF(AE1166="prepare_public_github_candidate","add receipt/status then mirror","resolve blocker before any public GitHub action")</x:f>
        <x:v>add receipt/status then mirror</x:v>
      </x:c>
    </x:row>
    <x:row r="1167">
      <x:c r="A1167" s="15" t="str">
        <x:v>SWARM-09-H02-S02</x:v>
      </x:c>
      <x:c r="B1167" s="15" t="str">
        <x:v>NotionMoth</x:v>
      </x:c>
      <x:c r="C1167" s="15" t="str">
        <x:v>Notion ontology mapper</x:v>
      </x:c>
      <x:c r="D1167" s="15" t="str">
        <x:v>Receipt Verification</x:v>
      </x:c>
      <x:c r="E1167" s="15" t="str">
        <x:v>Drive</x:v>
      </x:c>
      <x:c r="F1167" s="15" t="str">
        <x:v>Verify receipts for Drive — NotionMoth</x:v>
      </x:c>
      <x:c r="G1167" s="15" t="str">
        <x:v>legacy schema / Notion export prep</x:v>
      </x:c>
      <x:c r="H1167" s="15" t="str">
        <x:v>source path + receipt + raw/export status + claim/edge/risk delta</x:v>
      </x:c>
      <x:c r="I1167" s="15" t="str">
        <x:v>packet/SWARM-09-H02-S02</x:v>
      </x:c>
      <x:c r="J1167" s="15" t="str">
        <x:v>TODO</x:v>
      </x:c>
      <x:c r="K1167" s="15" t="str">
        <x:v>P0</x:v>
      </x:c>
      <x:c r="L1167" s="15" t="str">
        <x:v>Done only when evidence is logged, contradiction search is noted, and boundary stamp remains non-canon unless ratified</x:v>
      </x:c>
      <x:c r="M1167" s="15" t="str">
        <x:v>candidate / staging-only / not canon / not deployed / authority none</x:v>
      </x:c>
      <x:c r="N1167" s="15" t="str">
        <x:v>Dispatch to NotionMoth: complete Receipt Verification x Drive; return deltas only, receipts required.</x:v>
      </x:c>
      <x:c r="O1167" s="15" t="str">
        <x:v>AF-KG-H02-S02</x:v>
      </x:c>
      <x:c r="P1167" s="15" t="str">
        <x:v>Unverified</x:v>
      </x:c>
      <x:c r="Q1167" s="15" t="str">
        <x:v>Not checked</x:v>
      </x:c>
      <x:c r="R1167" s="15" t="str"/>
      <x:c r="S1167" s="15" t="str"/>
      <x:c r="T1167" s="15" t="str">
        <x:v>Log first source path or blocker</x:v>
      </x:c>
      <x:c r="U1167" s="12" t="str">
        <x:f>IF(OR(P1167="Unverified",Q1167="Not checked"),"BLOCKED_PENDING_RECEIPT","READY_FOR_REVIEW")</x:f>
        <x:v>BLOCKED_PENDING_RECEIPT</x:v>
      </x:c>
      <x:c r="V1167" s="12" t="str">
        <x:f>IF(J1167="DONE","RETURNED",IF(U1167="BLOCKED_PENDING_RECEIPT","SOURCE_TOUCH_REQUIRED","IN_PROGRESS"))</x:f>
        <x:v>SOURCE_TOUCH_REQUIRED</x:v>
      </x:c>
      <x:c r="W1167" s="12" t="str">
        <x:f>IF(P1167="Unverified","missing_receipt","receipt_logged")</x:f>
        <x:v>missing_receipt</x:v>
      </x:c>
      <x:c r="X1167" s="12" t="str">
        <x:f>IF(Q1167="Not checked","raw_status_missing","raw_status_logged")</x:f>
        <x:v>raw_status_missing</x:v>
      </x:c>
      <x:c r="Y1167" s="12" t="str">
        <x:f>IF(U1167="BLOCKED_PENDING_RECEIPT","Log source path or blocker; do not promote","Route to review lane")</x:f>
        <x:v>Log source path or blocker; do not promote</x:v>
      </x:c>
      <x:c r="Z1167" s="12" t="str">
        <x:f>IF(K1167="P0","Primary seat + Hashlight/Lucerna","Seat lane")</x:f>
        <x:v>Primary seat + Hashlight/Lucerna</x:v>
      </x:c>
      <x:c r="AA1167" s="12" t="str">
        <x:f>IF(R1167="","no_claim_delta","claim_delta_present")</x:f>
        <x:v>no_claim_delta</x:v>
      </x:c>
      <x:c r="AB1167" s="12" t="str">
        <x:f>IF(S1167="","no_contradiction_delta","contradiction_delta_present")</x:f>
        <x:v>no_contradiction_delta</x:v>
      </x:c>
      <x:c r="AC1167" s="12" t="str">
        <x:f>IF(OR(ISNUMBER(SEARCH("hacker",LOWER(F1167&amp;" "&amp;H1167&amp;" "&amp;I1167&amp;" "&amp;M1167&amp;" "&amp;N1167&amp;" "&amp;T1167))),ISNUMBER(SEARCH("hacking",LOWER(F1167&amp;" "&amp;H1167&amp;" "&amp;I1167&amp;" "&amp;M1167&amp;" "&amp;N1167&amp;" "&amp;T1167))),ISNUMBER(SEARCH("bank",LOWER(F1167&amp;" "&amp;H1167&amp;" "&amp;I1167&amp;" "&amp;M1167&amp;" "&amp;N1167&amp;" "&amp;T1167))),ISNUMBER(SEARCH("banking",LOWER(F1167&amp;" "&amp;H1167&amp;" "&amp;I1167&amp;" "&amp;M1167&amp;" "&amp;N1167&amp;" "&amp;T1167)))),"PRIVATE_QUARANTINE",IF(OR(ISNUMBER(SEARCH("treasury",LOWER(F1167&amp;" "&amp;H1167&amp;" "&amp;I1167&amp;" "&amp;M1167&amp;" "&amp;N1167&amp;" "&amp;T1167))),ISNUMBER(SEARCH("debt",LOWER(F1167&amp;" "&amp;H1167&amp;" "&amp;I1167&amp;" "&amp;M1167&amp;" "&amp;N1167&amp;" "&amp;T1167))),ISNUMBER(SEARCH("bond",LOWER(F1167&amp;" "&amp;H1167&amp;" "&amp;I1167&amp;" "&amp;M1167&amp;" "&amp;N1167&amp;" "&amp;T1167))),ISNUMBER(SEARCH("transaction",LOWER(F1167&amp;" "&amp;H1167&amp;" "&amp;I1167&amp;" "&amp;M1167&amp;" "&amp;N1167&amp;" "&amp;T1167)))),"PRIVATE_REVIEW","PUBLIC_CANDIDATE"))</x:f>
        <x:v>PUBLIC_CANDIDATE</x:v>
      </x:c>
      <x:c r="AD1167" s="12" t="str">
        <x:f>IF(AC1167="PRIVATE_QUARANTINE","hacker_or_bank_trigger",IF(AC1167="PRIVATE_REVIEW","finance_risk_trigger","none"))</x:f>
        <x:v>none</x:v>
      </x:c>
      <x:c r="AE1167" s="12" t="str">
        <x:f>IF(AC1167="PUBLIC_CANDIDATE","prepare_public_github_candidate",IF(AC1167="PRIVATE_REVIEW","hold_for_private_review","quarantine_private_do_not_publish"))</x:f>
        <x:v>prepare_public_github_candidate</x:v>
      </x:c>
      <x:c r="AF1167" s="12" t="str">
        <x:f>IF(AC1167="PUBLIC_CANDIDATE","TIDELOCK + Lucerna",IF(AC1167="PRIVATE_REVIEW","AtlasBrain + Lucerna","TIDELOCK + Lucerna + Human-root"))</x:f>
        <x:v>TIDELOCK + Lucerna</x:v>
      </x:c>
      <x:c r="AG1167" s="12" t="str">
        <x:f>IF(AND(AC1167="PUBLIC_CANDIDATE",U1167&lt;&gt;"BLOCKED_PENDING_RECEIPT"),"READY_AFTER_RECEIPT","NOT_READY")</x:f>
        <x:v>NOT_READY</x:v>
      </x:c>
      <x:c r="AH1167" s="12" t="str">
        <x:f>IF(AC1167="PUBLIC_CANDIDATE","none",AD1167)</x:f>
        <x:v>none</x:v>
      </x:c>
      <x:c r="AI1167" s="12" t="str">
        <x:f>IF(AC1167="PUBLIC_CANDIDATE","archive/public_candidates/"&amp;A1167,"private_quarantine/"&amp;A1167)</x:f>
        <x:v>archive/public_candidates/SWARM-09-H02-S02</x:v>
      </x:c>
      <x:c r="AJ1167" s="12" t="str">
        <x:f>IF(AC1167="PUBLIC_CANDIDATE","public by default; still not canon","private/hold; do not publish")</x:f>
        <x:v>public by default; still not canon</x:v>
      </x:c>
      <x:c r="AK1167" s="12" t="str">
        <x:f>IF(AE1167="prepare_public_github_candidate","add receipt/status then mirror","resolve blocker before any public GitHub action")</x:f>
        <x:v>add receipt/status then mirror</x:v>
      </x:c>
    </x:row>
    <x:row r="1168">
      <x:c r="A1168" s="15" t="str">
        <x:v>SWARM-09-H02-S03</x:v>
      </x:c>
      <x:c r="B1168" s="15" t="str">
        <x:v>NotionMoth</x:v>
      </x:c>
      <x:c r="C1168" s="15" t="str">
        <x:v>Notion ontology mapper</x:v>
      </x:c>
      <x:c r="D1168" s="15" t="str">
        <x:v>Receipt Verification</x:v>
      </x:c>
      <x:c r="E1168" s="15" t="str">
        <x:v>GitHub</x:v>
      </x:c>
      <x:c r="F1168" s="15" t="str">
        <x:v>Verify receipts for GitHub — NotionMoth</x:v>
      </x:c>
      <x:c r="G1168" s="15" t="str">
        <x:v>legacy schema / Notion export prep</x:v>
      </x:c>
      <x:c r="H1168" s="15" t="str">
        <x:v>source path + receipt + raw/export status + claim/edge/risk delta</x:v>
      </x:c>
      <x:c r="I1168" s="15" t="str">
        <x:v>packet/SWARM-09-H02-S03</x:v>
      </x:c>
      <x:c r="J1168" s="15" t="str">
        <x:v>TODO</x:v>
      </x:c>
      <x:c r="K1168" s="15" t="str">
        <x:v>P0</x:v>
      </x:c>
      <x:c r="L1168" s="15" t="str">
        <x:v>Done only when evidence is logged, contradiction search is noted, and boundary stamp remains non-canon unless ratified</x:v>
      </x:c>
      <x:c r="M1168" s="15" t="str">
        <x:v>candidate / staging-only / not canon / not deployed / authority none</x:v>
      </x:c>
      <x:c r="N1168" s="15" t="str">
        <x:v>Dispatch to NotionMoth: complete Receipt Verification x GitHub; return deltas only, receipts required.</x:v>
      </x:c>
      <x:c r="O1168" s="15" t="str">
        <x:v>AF-KG-H02-S03</x:v>
      </x:c>
      <x:c r="P1168" s="15" t="str">
        <x:v>Unverified</x:v>
      </x:c>
      <x:c r="Q1168" s="15" t="str">
        <x:v>Not checked</x:v>
      </x:c>
      <x:c r="R1168" s="15" t="str"/>
      <x:c r="S1168" s="15" t="str"/>
      <x:c r="T1168" s="15" t="str">
        <x:v>Log first source path or blocker</x:v>
      </x:c>
      <x:c r="U1168" s="12" t="str">
        <x:f>IF(OR(P1168="Unverified",Q1168="Not checked"),"BLOCKED_PENDING_RECEIPT","READY_FOR_REVIEW")</x:f>
        <x:v>BLOCKED_PENDING_RECEIPT</x:v>
      </x:c>
      <x:c r="V1168" s="12" t="str">
        <x:f>IF(J1168="DONE","RETURNED",IF(U1168="BLOCKED_PENDING_RECEIPT","SOURCE_TOUCH_REQUIRED","IN_PROGRESS"))</x:f>
        <x:v>SOURCE_TOUCH_REQUIRED</x:v>
      </x:c>
      <x:c r="W1168" s="12" t="str">
        <x:f>IF(P1168="Unverified","missing_receipt","receipt_logged")</x:f>
        <x:v>missing_receipt</x:v>
      </x:c>
      <x:c r="X1168" s="12" t="str">
        <x:f>IF(Q1168="Not checked","raw_status_missing","raw_status_logged")</x:f>
        <x:v>raw_status_missing</x:v>
      </x:c>
      <x:c r="Y1168" s="12" t="str">
        <x:f>IF(U1168="BLOCKED_PENDING_RECEIPT","Log source path or blocker; do not promote","Route to review lane")</x:f>
        <x:v>Log source path or blocker; do not promote</x:v>
      </x:c>
      <x:c r="Z1168" s="12" t="str">
        <x:f>IF(K1168="P0","Primary seat + Hashlight/Lucerna","Seat lane")</x:f>
        <x:v>Primary seat + Hashlight/Lucerna</x:v>
      </x:c>
      <x:c r="AA1168" s="12" t="str">
        <x:f>IF(R1168="","no_claim_delta","claim_delta_present")</x:f>
        <x:v>no_claim_delta</x:v>
      </x:c>
      <x:c r="AB1168" s="12" t="str">
        <x:f>IF(S1168="","no_contradiction_delta","contradiction_delta_present")</x:f>
        <x:v>no_contradiction_delta</x:v>
      </x:c>
      <x:c r="AC1168" s="12" t="str">
        <x:f>IF(OR(ISNUMBER(SEARCH("hacker",LOWER(F1168&amp;" "&amp;H1168&amp;" "&amp;I1168&amp;" "&amp;M1168&amp;" "&amp;N1168&amp;" "&amp;T1168))),ISNUMBER(SEARCH("hacking",LOWER(F1168&amp;" "&amp;H1168&amp;" "&amp;I1168&amp;" "&amp;M1168&amp;" "&amp;N1168&amp;" "&amp;T1168))),ISNUMBER(SEARCH("bank",LOWER(F1168&amp;" "&amp;H1168&amp;" "&amp;I1168&amp;" "&amp;M1168&amp;" "&amp;N1168&amp;" "&amp;T1168))),ISNUMBER(SEARCH("banking",LOWER(F1168&amp;" "&amp;H1168&amp;" "&amp;I1168&amp;" "&amp;M1168&amp;" "&amp;N1168&amp;" "&amp;T1168)))),"PRIVATE_QUARANTINE",IF(OR(ISNUMBER(SEARCH("treasury",LOWER(F1168&amp;" "&amp;H1168&amp;" "&amp;I1168&amp;" "&amp;M1168&amp;" "&amp;N1168&amp;" "&amp;T1168))),ISNUMBER(SEARCH("debt",LOWER(F1168&amp;" "&amp;H1168&amp;" "&amp;I1168&amp;" "&amp;M1168&amp;" "&amp;N1168&amp;" "&amp;T1168))),ISNUMBER(SEARCH("bond",LOWER(F1168&amp;" "&amp;H1168&amp;" "&amp;I1168&amp;" "&amp;M1168&amp;" "&amp;N1168&amp;" "&amp;T1168))),ISNUMBER(SEARCH("transaction",LOWER(F1168&amp;" "&amp;H1168&amp;" "&amp;I1168&amp;" "&amp;M1168&amp;" "&amp;N1168&amp;" "&amp;T1168)))),"PRIVATE_REVIEW","PUBLIC_CANDIDATE"))</x:f>
        <x:v>PUBLIC_CANDIDATE</x:v>
      </x:c>
      <x:c r="AD1168" s="12" t="str">
        <x:f>IF(AC1168="PRIVATE_QUARANTINE","hacker_or_bank_trigger",IF(AC1168="PRIVATE_REVIEW","finance_risk_trigger","none"))</x:f>
        <x:v>none</x:v>
      </x:c>
      <x:c r="AE1168" s="12" t="str">
        <x:f>IF(AC1168="PUBLIC_CANDIDATE","prepare_public_github_candidate",IF(AC1168="PRIVATE_REVIEW","hold_for_private_review","quarantine_private_do_not_publish"))</x:f>
        <x:v>prepare_public_github_candidate</x:v>
      </x:c>
      <x:c r="AF1168" s="12" t="str">
        <x:f>IF(AC1168="PUBLIC_CANDIDATE","TIDELOCK + Lucerna",IF(AC1168="PRIVATE_REVIEW","AtlasBrain + Lucerna","TIDELOCK + Lucerna + Human-root"))</x:f>
        <x:v>TIDELOCK + Lucerna</x:v>
      </x:c>
      <x:c r="AG1168" s="12" t="str">
        <x:f>IF(AND(AC1168="PUBLIC_CANDIDATE",U1168&lt;&gt;"BLOCKED_PENDING_RECEIPT"),"READY_AFTER_RECEIPT","NOT_READY")</x:f>
        <x:v>NOT_READY</x:v>
      </x:c>
      <x:c r="AH1168" s="12" t="str">
        <x:f>IF(AC1168="PUBLIC_CANDIDATE","none",AD1168)</x:f>
        <x:v>none</x:v>
      </x:c>
      <x:c r="AI1168" s="12" t="str">
        <x:f>IF(AC1168="PUBLIC_CANDIDATE","archive/public_candidates/"&amp;A1168,"private_quarantine/"&amp;A1168)</x:f>
        <x:v>archive/public_candidates/SWARM-09-H02-S03</x:v>
      </x:c>
      <x:c r="AJ1168" s="12" t="str">
        <x:f>IF(AC1168="PUBLIC_CANDIDATE","public by default; still not canon","private/hold; do not publish")</x:f>
        <x:v>public by default; still not canon</x:v>
      </x:c>
      <x:c r="AK1168" s="12" t="str">
        <x:f>IF(AE1168="prepare_public_github_candidate","add receipt/status then mirror","resolve blocker before any public GitHub action")</x:f>
        <x:v>add receipt/status then mirror</x:v>
      </x:c>
    </x:row>
    <x:row r="1169">
      <x:c r="A1169" s="15" t="str">
        <x:v>SWARM-09-H02-S04</x:v>
      </x:c>
      <x:c r="B1169" s="15" t="str">
        <x:v>NotionMoth</x:v>
      </x:c>
      <x:c r="C1169" s="15" t="str">
        <x:v>Notion ontology mapper</x:v>
      </x:c>
      <x:c r="D1169" s="15" t="str">
        <x:v>Receipt Verification</x:v>
      </x:c>
      <x:c r="E1169" s="15" t="str">
        <x:v>Gamma</x:v>
      </x:c>
      <x:c r="F1169" s="15" t="str">
        <x:v>Verify receipts for Gamma — NotionMoth</x:v>
      </x:c>
      <x:c r="G1169" s="15" t="str">
        <x:v>legacy schema / Notion export prep</x:v>
      </x:c>
      <x:c r="H1169" s="15" t="str">
        <x:v>source path + receipt + raw/export status + claim/edge/risk delta</x:v>
      </x:c>
      <x:c r="I1169" s="15" t="str">
        <x:v>packet/SWARM-09-H02-S04</x:v>
      </x:c>
      <x:c r="J1169" s="15" t="str">
        <x:v>TODO</x:v>
      </x:c>
      <x:c r="K1169" s="15" t="str">
        <x:v>P1</x:v>
      </x:c>
      <x:c r="L1169" s="15" t="str">
        <x:v>Done only when evidence is logged, contradiction search is noted, and boundary stamp remains non-canon unless ratified</x:v>
      </x:c>
      <x:c r="M1169" s="15" t="str">
        <x:v>candidate / staging-only / not canon / not deployed / authority none</x:v>
      </x:c>
      <x:c r="N1169" s="15" t="str">
        <x:v>Dispatch to NotionMoth: complete Receipt Verification x Gamma; return deltas only, receipts required.</x:v>
      </x:c>
      <x:c r="O1169" s="15" t="str">
        <x:v>AF-KG-H02-S04</x:v>
      </x:c>
      <x:c r="P1169" s="15" t="str">
        <x:v>Unverified</x:v>
      </x:c>
      <x:c r="Q1169" s="15" t="str">
        <x:v>Not checked</x:v>
      </x:c>
      <x:c r="R1169" s="15" t="str"/>
      <x:c r="S1169" s="15" t="str"/>
      <x:c r="T1169" s="15" t="str">
        <x:v>Log first source path or blocker</x:v>
      </x:c>
      <x:c r="U1169" s="12" t="str">
        <x:f>IF(OR(P1169="Unverified",Q1169="Not checked"),"BLOCKED_PENDING_RECEIPT","READY_FOR_REVIEW")</x:f>
        <x:v>BLOCKED_PENDING_RECEIPT</x:v>
      </x:c>
      <x:c r="V1169" s="12" t="str">
        <x:f>IF(J1169="DONE","RETURNED",IF(U1169="BLOCKED_PENDING_RECEIPT","SOURCE_TOUCH_REQUIRED","IN_PROGRESS"))</x:f>
        <x:v>SOURCE_TOUCH_REQUIRED</x:v>
      </x:c>
      <x:c r="W1169" s="12" t="str">
        <x:f>IF(P1169="Unverified","missing_receipt","receipt_logged")</x:f>
        <x:v>missing_receipt</x:v>
      </x:c>
      <x:c r="X1169" s="12" t="str">
        <x:f>IF(Q1169="Not checked","raw_status_missing","raw_status_logged")</x:f>
        <x:v>raw_status_missing</x:v>
      </x:c>
      <x:c r="Y1169" s="12" t="str">
        <x:f>IF(U1169="BLOCKED_PENDING_RECEIPT","Log source path or blocker; do not promote","Route to review lane")</x:f>
        <x:v>Log source path or blocker; do not promote</x:v>
      </x:c>
      <x:c r="Z1169" s="12" t="str">
        <x:f>IF(K1169="P0","Primary seat + Hashlight/Lucerna","Seat lane")</x:f>
        <x:v>Seat lane</x:v>
      </x:c>
      <x:c r="AA1169" s="12" t="str">
        <x:f>IF(R1169="","no_claim_delta","claim_delta_present")</x:f>
        <x:v>no_claim_delta</x:v>
      </x:c>
      <x:c r="AB1169" s="12" t="str">
        <x:f>IF(S1169="","no_contradiction_delta","contradiction_delta_present")</x:f>
        <x:v>no_contradiction_delta</x:v>
      </x:c>
      <x:c r="AC1169" s="12" t="str">
        <x:f>IF(OR(ISNUMBER(SEARCH("hacker",LOWER(F1169&amp;" "&amp;H1169&amp;" "&amp;I1169&amp;" "&amp;M1169&amp;" "&amp;N1169&amp;" "&amp;T1169))),ISNUMBER(SEARCH("hacking",LOWER(F1169&amp;" "&amp;H1169&amp;" "&amp;I1169&amp;" "&amp;M1169&amp;" "&amp;N1169&amp;" "&amp;T1169))),ISNUMBER(SEARCH("bank",LOWER(F1169&amp;" "&amp;H1169&amp;" "&amp;I1169&amp;" "&amp;M1169&amp;" "&amp;N1169&amp;" "&amp;T1169))),ISNUMBER(SEARCH("banking",LOWER(F1169&amp;" "&amp;H1169&amp;" "&amp;I1169&amp;" "&amp;M1169&amp;" "&amp;N1169&amp;" "&amp;T1169)))),"PRIVATE_QUARANTINE",IF(OR(ISNUMBER(SEARCH("treasury",LOWER(F1169&amp;" "&amp;H1169&amp;" "&amp;I1169&amp;" "&amp;M1169&amp;" "&amp;N1169&amp;" "&amp;T1169))),ISNUMBER(SEARCH("debt",LOWER(F1169&amp;" "&amp;H1169&amp;" "&amp;I1169&amp;" "&amp;M1169&amp;" "&amp;N1169&amp;" "&amp;T1169))),ISNUMBER(SEARCH("bond",LOWER(F1169&amp;" "&amp;H1169&amp;" "&amp;I1169&amp;" "&amp;M1169&amp;" "&amp;N1169&amp;" "&amp;T1169))),ISNUMBER(SEARCH("transaction",LOWER(F1169&amp;" "&amp;H1169&amp;" "&amp;I1169&amp;" "&amp;M1169&amp;" "&amp;N1169&amp;" "&amp;T1169)))),"PRIVATE_REVIEW","PUBLIC_CANDIDATE"))</x:f>
        <x:v>PUBLIC_CANDIDATE</x:v>
      </x:c>
      <x:c r="AD1169" s="12" t="str">
        <x:f>IF(AC1169="PRIVATE_QUARANTINE","hacker_or_bank_trigger",IF(AC1169="PRIVATE_REVIEW","finance_risk_trigger","none"))</x:f>
        <x:v>none</x:v>
      </x:c>
      <x:c r="AE1169" s="12" t="str">
        <x:f>IF(AC1169="PUBLIC_CANDIDATE","prepare_public_github_candidate",IF(AC1169="PRIVATE_REVIEW","hold_for_private_review","quarantine_private_do_not_publish"))</x:f>
        <x:v>prepare_public_github_candidate</x:v>
      </x:c>
      <x:c r="AF1169" s="12" t="str">
        <x:f>IF(AC1169="PUBLIC_CANDIDATE","TIDELOCK + Lucerna",IF(AC1169="PRIVATE_REVIEW","AtlasBrain + Lucerna","TIDELOCK + Lucerna + Human-root"))</x:f>
        <x:v>TIDELOCK + Lucerna</x:v>
      </x:c>
      <x:c r="AG1169" s="12" t="str">
        <x:f>IF(AND(AC1169="PUBLIC_CANDIDATE",U1169&lt;&gt;"BLOCKED_PENDING_RECEIPT"),"READY_AFTER_RECEIPT","NOT_READY")</x:f>
        <x:v>NOT_READY</x:v>
      </x:c>
      <x:c r="AH1169" s="12" t="str">
        <x:f>IF(AC1169="PUBLIC_CANDIDATE","none",AD1169)</x:f>
        <x:v>none</x:v>
      </x:c>
      <x:c r="AI1169" s="12" t="str">
        <x:f>IF(AC1169="PUBLIC_CANDIDATE","archive/public_candidates/"&amp;A1169,"private_quarantine/"&amp;A1169)</x:f>
        <x:v>archive/public_candidates/SWARM-09-H02-S04</x:v>
      </x:c>
      <x:c r="AJ1169" s="12" t="str">
        <x:f>IF(AC1169="PUBLIC_CANDIDATE","public by default; still not canon","private/hold; do not publish")</x:f>
        <x:v>public by default; still not canon</x:v>
      </x:c>
      <x:c r="AK1169" s="12" t="str">
        <x:f>IF(AE1169="prepare_public_github_candidate","add receipt/status then mirror","resolve blocker before any public GitHub action")</x:f>
        <x:v>add receipt/status then mirror</x:v>
      </x:c>
    </x:row>
    <x:row r="1170">
      <x:c r="A1170" s="15" t="str">
        <x:v>SWARM-09-H02-S05</x:v>
      </x:c>
      <x:c r="B1170" s="15" t="str">
        <x:v>NotionMoth</x:v>
      </x:c>
      <x:c r="C1170" s="15" t="str">
        <x:v>Notion ontology mapper</x:v>
      </x:c>
      <x:c r="D1170" s="15" t="str">
        <x:v>Receipt Verification</x:v>
      </x:c>
      <x:c r="E1170" s="15" t="str">
        <x:v>Chat</x:v>
      </x:c>
      <x:c r="F1170" s="15" t="str">
        <x:v>Verify receipts for Chat — NotionMoth</x:v>
      </x:c>
      <x:c r="G1170" s="15" t="str">
        <x:v>legacy schema / Notion export prep</x:v>
      </x:c>
      <x:c r="H1170" s="15" t="str">
        <x:v>source path + receipt + raw/export status + claim/edge/risk delta</x:v>
      </x:c>
      <x:c r="I1170" s="15" t="str">
        <x:v>packet/SWARM-09-H02-S05</x:v>
      </x:c>
      <x:c r="J1170" s="15" t="str">
        <x:v>TODO</x:v>
      </x:c>
      <x:c r="K1170" s="15" t="str">
        <x:v>P1</x:v>
      </x:c>
      <x:c r="L1170" s="15" t="str">
        <x:v>Done only when evidence is logged, contradiction search is noted, and boundary stamp remains non-canon unless ratified</x:v>
      </x:c>
      <x:c r="M1170" s="15" t="str">
        <x:v>candidate / staging-only / not canon / not deployed / authority none</x:v>
      </x:c>
      <x:c r="N1170" s="15" t="str">
        <x:v>Dispatch to NotionMoth: complete Receipt Verification x Chat; return deltas only, receipts required.</x:v>
      </x:c>
      <x:c r="O1170" s="15" t="str">
        <x:v>AF-KG-H02-S05</x:v>
      </x:c>
      <x:c r="P1170" s="15" t="str">
        <x:v>Unverified</x:v>
      </x:c>
      <x:c r="Q1170" s="15" t="str">
        <x:v>Not checked</x:v>
      </x:c>
      <x:c r="R1170" s="15" t="str"/>
      <x:c r="S1170" s="15" t="str"/>
      <x:c r="T1170" s="15" t="str">
        <x:v>Log first source path or blocker</x:v>
      </x:c>
      <x:c r="U1170" s="12" t="str">
        <x:f>IF(OR(P1170="Unverified",Q1170="Not checked"),"BLOCKED_PENDING_RECEIPT","READY_FOR_REVIEW")</x:f>
        <x:v>BLOCKED_PENDING_RECEIPT</x:v>
      </x:c>
      <x:c r="V1170" s="12" t="str">
        <x:f>IF(J1170="DONE","RETURNED",IF(U1170="BLOCKED_PENDING_RECEIPT","SOURCE_TOUCH_REQUIRED","IN_PROGRESS"))</x:f>
        <x:v>SOURCE_TOUCH_REQUIRED</x:v>
      </x:c>
      <x:c r="W1170" s="12" t="str">
        <x:f>IF(P1170="Unverified","missing_receipt","receipt_logged")</x:f>
        <x:v>missing_receipt</x:v>
      </x:c>
      <x:c r="X1170" s="12" t="str">
        <x:f>IF(Q1170="Not checked","raw_status_missing","raw_status_logged")</x:f>
        <x:v>raw_status_missing</x:v>
      </x:c>
      <x:c r="Y1170" s="12" t="str">
        <x:f>IF(U1170="BLOCKED_PENDING_RECEIPT","Log source path or blocker; do not promote","Route to review lane")</x:f>
        <x:v>Log source path or blocker; do not promote</x:v>
      </x:c>
      <x:c r="Z1170" s="12" t="str">
        <x:f>IF(K1170="P0","Primary seat + Hashlight/Lucerna","Seat lane")</x:f>
        <x:v>Seat lane</x:v>
      </x:c>
      <x:c r="AA1170" s="12" t="str">
        <x:f>IF(R1170="","no_claim_delta","claim_delta_present")</x:f>
        <x:v>no_claim_delta</x:v>
      </x:c>
      <x:c r="AB1170" s="12" t="str">
        <x:f>IF(S1170="","no_contradiction_delta","contradiction_delta_present")</x:f>
        <x:v>no_contradiction_delta</x:v>
      </x:c>
      <x:c r="AC1170" s="12" t="str">
        <x:f>IF(OR(ISNUMBER(SEARCH("hacker",LOWER(F1170&amp;" "&amp;H1170&amp;" "&amp;I1170&amp;" "&amp;M1170&amp;" "&amp;N1170&amp;" "&amp;T1170))),ISNUMBER(SEARCH("hacking",LOWER(F1170&amp;" "&amp;H1170&amp;" "&amp;I1170&amp;" "&amp;M1170&amp;" "&amp;N1170&amp;" "&amp;T1170))),ISNUMBER(SEARCH("bank",LOWER(F1170&amp;" "&amp;H1170&amp;" "&amp;I1170&amp;" "&amp;M1170&amp;" "&amp;N1170&amp;" "&amp;T1170))),ISNUMBER(SEARCH("banking",LOWER(F1170&amp;" "&amp;H1170&amp;" "&amp;I1170&amp;" "&amp;M1170&amp;" "&amp;N1170&amp;" "&amp;T1170)))),"PRIVATE_QUARANTINE",IF(OR(ISNUMBER(SEARCH("treasury",LOWER(F1170&amp;" "&amp;H1170&amp;" "&amp;I1170&amp;" "&amp;M1170&amp;" "&amp;N1170&amp;" "&amp;T1170))),ISNUMBER(SEARCH("debt",LOWER(F1170&amp;" "&amp;H1170&amp;" "&amp;I1170&amp;" "&amp;M1170&amp;" "&amp;N1170&amp;" "&amp;T1170))),ISNUMBER(SEARCH("bond",LOWER(F1170&amp;" "&amp;H1170&amp;" "&amp;I1170&amp;" "&amp;M1170&amp;" "&amp;N1170&amp;" "&amp;T1170))),ISNUMBER(SEARCH("transaction",LOWER(F1170&amp;" "&amp;H1170&amp;" "&amp;I1170&amp;" "&amp;M1170&amp;" "&amp;N1170&amp;" "&amp;T1170)))),"PRIVATE_REVIEW","PUBLIC_CANDIDATE"))</x:f>
        <x:v>PUBLIC_CANDIDATE</x:v>
      </x:c>
      <x:c r="AD1170" s="12" t="str">
        <x:f>IF(AC1170="PRIVATE_QUARANTINE","hacker_or_bank_trigger",IF(AC1170="PRIVATE_REVIEW","finance_risk_trigger","none"))</x:f>
        <x:v>none</x:v>
      </x:c>
      <x:c r="AE1170" s="12" t="str">
        <x:f>IF(AC1170="PUBLIC_CANDIDATE","prepare_public_github_candidate",IF(AC1170="PRIVATE_REVIEW","hold_for_private_review","quarantine_private_do_not_publish"))</x:f>
        <x:v>prepare_public_github_candidate</x:v>
      </x:c>
      <x:c r="AF1170" s="12" t="str">
        <x:f>IF(AC1170="PUBLIC_CANDIDATE","TIDELOCK + Lucerna",IF(AC1170="PRIVATE_REVIEW","AtlasBrain + Lucerna","TIDELOCK + Lucerna + Human-root"))</x:f>
        <x:v>TIDELOCK + Lucerna</x:v>
      </x:c>
      <x:c r="AG1170" s="12" t="str">
        <x:f>IF(AND(AC1170="PUBLIC_CANDIDATE",U1170&lt;&gt;"BLOCKED_PENDING_RECEIPT"),"READY_AFTER_RECEIPT","NOT_READY")</x:f>
        <x:v>NOT_READY</x:v>
      </x:c>
      <x:c r="AH1170" s="12" t="str">
        <x:f>IF(AC1170="PUBLIC_CANDIDATE","none",AD1170)</x:f>
        <x:v>none</x:v>
      </x:c>
      <x:c r="AI1170" s="12" t="str">
        <x:f>IF(AC1170="PUBLIC_CANDIDATE","archive/public_candidates/"&amp;A1170,"private_quarantine/"&amp;A1170)</x:f>
        <x:v>archive/public_candidates/SWARM-09-H02-S05</x:v>
      </x:c>
      <x:c r="AJ1170" s="12" t="str">
        <x:f>IF(AC1170="PUBLIC_CANDIDATE","public by default; still not canon","private/hold; do not publish")</x:f>
        <x:v>public by default; still not canon</x:v>
      </x:c>
      <x:c r="AK1170" s="12" t="str">
        <x:f>IF(AE1170="prepare_public_github_candidate","add receipt/status then mirror","resolve blocker before any public GitHub action")</x:f>
        <x:v>add receipt/status then mirror</x:v>
      </x:c>
    </x:row>
    <x:row r="1171">
      <x:c r="A1171" s="15" t="str">
        <x:v>SWARM-09-H02-S06</x:v>
      </x:c>
      <x:c r="B1171" s="15" t="str">
        <x:v>NotionMoth</x:v>
      </x:c>
      <x:c r="C1171" s="15" t="str">
        <x:v>Notion ontology mapper</x:v>
      </x:c>
      <x:c r="D1171" s="15" t="str">
        <x:v>Receipt Verification</x:v>
      </x:c>
      <x:c r="E1171" s="15" t="str">
        <x:v>External Web</x:v>
      </x:c>
      <x:c r="F1171" s="15" t="str">
        <x:v>Verify receipts for External Web — NotionMoth</x:v>
      </x:c>
      <x:c r="G1171" s="15" t="str">
        <x:v>legacy schema / Notion export prep</x:v>
      </x:c>
      <x:c r="H1171" s="15" t="str">
        <x:v>source path + receipt + raw/export status + claim/edge/risk delta</x:v>
      </x:c>
      <x:c r="I1171" s="15" t="str">
        <x:v>packet/SWARM-09-H02-S06</x:v>
      </x:c>
      <x:c r="J1171" s="15" t="str">
        <x:v>TODO</x:v>
      </x:c>
      <x:c r="K1171" s="15" t="str">
        <x:v>P1</x:v>
      </x:c>
      <x:c r="L1171" s="15" t="str">
        <x:v>Done only when evidence is logged, contradiction search is noted, and boundary stamp remains non-canon unless ratified</x:v>
      </x:c>
      <x:c r="M1171" s="15" t="str">
        <x:v>candidate / staging-only / not canon / not deployed / authority none</x:v>
      </x:c>
      <x:c r="N1171" s="15" t="str">
        <x:v>Dispatch to NotionMoth: complete Receipt Verification x External Web; return deltas only, receipts required.</x:v>
      </x:c>
      <x:c r="O1171" s="15" t="str">
        <x:v>AF-KG-H02-S06</x:v>
      </x:c>
      <x:c r="P1171" s="15" t="str">
        <x:v>Unverified</x:v>
      </x:c>
      <x:c r="Q1171" s="15" t="str">
        <x:v>Not checked</x:v>
      </x:c>
      <x:c r="R1171" s="15" t="str"/>
      <x:c r="S1171" s="15" t="str"/>
      <x:c r="T1171" s="15" t="str">
        <x:v>Log first source path or blocker</x:v>
      </x:c>
      <x:c r="U1171" s="12" t="str">
        <x:f>IF(OR(P1171="Unverified",Q1171="Not checked"),"BLOCKED_PENDING_RECEIPT","READY_FOR_REVIEW")</x:f>
        <x:v>BLOCKED_PENDING_RECEIPT</x:v>
      </x:c>
      <x:c r="V1171" s="12" t="str">
        <x:f>IF(J1171="DONE","RETURNED",IF(U1171="BLOCKED_PENDING_RECEIPT","SOURCE_TOUCH_REQUIRED","IN_PROGRESS"))</x:f>
        <x:v>SOURCE_TOUCH_REQUIRED</x:v>
      </x:c>
      <x:c r="W1171" s="12" t="str">
        <x:f>IF(P1171="Unverified","missing_receipt","receipt_logged")</x:f>
        <x:v>missing_receipt</x:v>
      </x:c>
      <x:c r="X1171" s="12" t="str">
        <x:f>IF(Q1171="Not checked","raw_status_missing","raw_status_logged")</x:f>
        <x:v>raw_status_missing</x:v>
      </x:c>
      <x:c r="Y1171" s="12" t="str">
        <x:f>IF(U1171="BLOCKED_PENDING_RECEIPT","Log source path or blocker; do not promote","Route to review lane")</x:f>
        <x:v>Log source path or blocker; do not promote</x:v>
      </x:c>
      <x:c r="Z1171" s="12" t="str">
        <x:f>IF(K1171="P0","Primary seat + Hashlight/Lucerna","Seat lane")</x:f>
        <x:v>Seat lane</x:v>
      </x:c>
      <x:c r="AA1171" s="12" t="str">
        <x:f>IF(R1171="","no_claim_delta","claim_delta_present")</x:f>
        <x:v>no_claim_delta</x:v>
      </x:c>
      <x:c r="AB1171" s="12" t="str">
        <x:f>IF(S1171="","no_contradiction_delta","contradiction_delta_present")</x:f>
        <x:v>no_contradiction_delta</x:v>
      </x:c>
      <x:c r="AC1171" s="12" t="str">
        <x:f>IF(OR(ISNUMBER(SEARCH("hacker",LOWER(F1171&amp;" "&amp;H1171&amp;" "&amp;I1171&amp;" "&amp;M1171&amp;" "&amp;N1171&amp;" "&amp;T1171))),ISNUMBER(SEARCH("hacking",LOWER(F1171&amp;" "&amp;H1171&amp;" "&amp;I1171&amp;" "&amp;M1171&amp;" "&amp;N1171&amp;" "&amp;T1171))),ISNUMBER(SEARCH("bank",LOWER(F1171&amp;" "&amp;H1171&amp;" "&amp;I1171&amp;" "&amp;M1171&amp;" "&amp;N1171&amp;" "&amp;T1171))),ISNUMBER(SEARCH("banking",LOWER(F1171&amp;" "&amp;H1171&amp;" "&amp;I1171&amp;" "&amp;M1171&amp;" "&amp;N1171&amp;" "&amp;T1171)))),"PRIVATE_QUARANTINE",IF(OR(ISNUMBER(SEARCH("treasury",LOWER(F1171&amp;" "&amp;H1171&amp;" "&amp;I1171&amp;" "&amp;M1171&amp;" "&amp;N1171&amp;" "&amp;T1171))),ISNUMBER(SEARCH("debt",LOWER(F1171&amp;" "&amp;H1171&amp;" "&amp;I1171&amp;" "&amp;M1171&amp;" "&amp;N1171&amp;" "&amp;T1171))),ISNUMBER(SEARCH("bond",LOWER(F1171&amp;" "&amp;H1171&amp;" "&amp;I1171&amp;" "&amp;M1171&amp;" "&amp;N1171&amp;" "&amp;T1171))),ISNUMBER(SEARCH("transaction",LOWER(F1171&amp;" "&amp;H1171&amp;" "&amp;I1171&amp;" "&amp;M1171&amp;" "&amp;N1171&amp;" "&amp;T1171)))),"PRIVATE_REVIEW","PUBLIC_CANDIDATE"))</x:f>
        <x:v>PUBLIC_CANDIDATE</x:v>
      </x:c>
      <x:c r="AD1171" s="12" t="str">
        <x:f>IF(AC1171="PRIVATE_QUARANTINE","hacker_or_bank_trigger",IF(AC1171="PRIVATE_REVIEW","finance_risk_trigger","none"))</x:f>
        <x:v>none</x:v>
      </x:c>
      <x:c r="AE1171" s="12" t="str">
        <x:f>IF(AC1171="PUBLIC_CANDIDATE","prepare_public_github_candidate",IF(AC1171="PRIVATE_REVIEW","hold_for_private_review","quarantine_private_do_not_publish"))</x:f>
        <x:v>prepare_public_github_candidate</x:v>
      </x:c>
      <x:c r="AF1171" s="12" t="str">
        <x:f>IF(AC1171="PUBLIC_CANDIDATE","TIDELOCK + Lucerna",IF(AC1171="PRIVATE_REVIEW","AtlasBrain + Lucerna","TIDELOCK + Lucerna + Human-root"))</x:f>
        <x:v>TIDELOCK + Lucerna</x:v>
      </x:c>
      <x:c r="AG1171" s="12" t="str">
        <x:f>IF(AND(AC1171="PUBLIC_CANDIDATE",U1171&lt;&gt;"BLOCKED_PENDING_RECEIPT"),"READY_AFTER_RECEIPT","NOT_READY")</x:f>
        <x:v>NOT_READY</x:v>
      </x:c>
      <x:c r="AH1171" s="12" t="str">
        <x:f>IF(AC1171="PUBLIC_CANDIDATE","none",AD1171)</x:f>
        <x:v>none</x:v>
      </x:c>
      <x:c r="AI1171" s="12" t="str">
        <x:f>IF(AC1171="PUBLIC_CANDIDATE","archive/public_candidates/"&amp;A1171,"private_quarantine/"&amp;A1171)</x:f>
        <x:v>archive/public_candidates/SWARM-09-H02-S06</x:v>
      </x:c>
      <x:c r="AJ1171" s="12" t="str">
        <x:f>IF(AC1171="PUBLIC_CANDIDATE","public by default; still not canon","private/hold; do not publish")</x:f>
        <x:v>public by default; still not canon</x:v>
      </x:c>
      <x:c r="AK1171" s="12" t="str">
        <x:f>IF(AE1171="prepare_public_github_candidate","add receipt/status then mirror","resolve blocker before any public GitHub action")</x:f>
        <x:v>add receipt/status then mirror</x:v>
      </x:c>
    </x:row>
    <x:row r="1172">
      <x:c r="A1172" s="15" t="str">
        <x:v>SWARM-09-H02-S07</x:v>
      </x:c>
      <x:c r="B1172" s="15" t="str">
        <x:v>NotionMoth</x:v>
      </x:c>
      <x:c r="C1172" s="15" t="str">
        <x:v>Notion ontology mapper</x:v>
      </x:c>
      <x:c r="D1172" s="15" t="str">
        <x:v>Receipt Verification</x:v>
      </x:c>
      <x:c r="E1172" s="15" t="str">
        <x:v>Planetarium</x:v>
      </x:c>
      <x:c r="F1172" s="15" t="str">
        <x:v>Verify receipts for Planetarium — NotionMoth</x:v>
      </x:c>
      <x:c r="G1172" s="15" t="str">
        <x:v>legacy schema / Notion export prep</x:v>
      </x:c>
      <x:c r="H1172" s="15" t="str">
        <x:v>source path + receipt + raw/export status + claim/edge/risk delta</x:v>
      </x:c>
      <x:c r="I1172" s="15" t="str">
        <x:v>packet/SWARM-09-H02-S07</x:v>
      </x:c>
      <x:c r="J1172" s="15" t="str">
        <x:v>TODO</x:v>
      </x:c>
      <x:c r="K1172" s="15" t="str">
        <x:v>P1</x:v>
      </x:c>
      <x:c r="L1172" s="15" t="str">
        <x:v>Done only when evidence is logged, contradiction search is noted, and boundary stamp remains non-canon unless ratified</x:v>
      </x:c>
      <x:c r="M1172" s="15" t="str">
        <x:v>candidate / staging-only / not canon / not deployed / authority none</x:v>
      </x:c>
      <x:c r="N1172" s="15" t="str">
        <x:v>Dispatch to NotionMoth: complete Receipt Verification x Planetarium; return deltas only, receipts required.</x:v>
      </x:c>
      <x:c r="O1172" s="15" t="str">
        <x:v>AF-KG-H02-S07</x:v>
      </x:c>
      <x:c r="P1172" s="15" t="str">
        <x:v>Unverified</x:v>
      </x:c>
      <x:c r="Q1172" s="15" t="str">
        <x:v>Not checked</x:v>
      </x:c>
      <x:c r="R1172" s="15" t="str"/>
      <x:c r="S1172" s="15" t="str"/>
      <x:c r="T1172" s="15" t="str">
        <x:v>Log first source path or blocker</x:v>
      </x:c>
      <x:c r="U1172" s="12" t="str">
        <x:f>IF(OR(P1172="Unverified",Q1172="Not checked"),"BLOCKED_PENDING_RECEIPT","READY_FOR_REVIEW")</x:f>
        <x:v>BLOCKED_PENDING_RECEIPT</x:v>
      </x:c>
      <x:c r="V1172" s="12" t="str">
        <x:f>IF(J1172="DONE","RETURNED",IF(U1172="BLOCKED_PENDING_RECEIPT","SOURCE_TOUCH_REQUIRED","IN_PROGRESS"))</x:f>
        <x:v>SOURCE_TOUCH_REQUIRED</x:v>
      </x:c>
      <x:c r="W1172" s="12" t="str">
        <x:f>IF(P1172="Unverified","missing_receipt","receipt_logged")</x:f>
        <x:v>missing_receipt</x:v>
      </x:c>
      <x:c r="X1172" s="12" t="str">
        <x:f>IF(Q1172="Not checked","raw_status_missing","raw_status_logged")</x:f>
        <x:v>raw_status_missing</x:v>
      </x:c>
      <x:c r="Y1172" s="12" t="str">
        <x:f>IF(U1172="BLOCKED_PENDING_RECEIPT","Log source path or blocker; do not promote","Route to review lane")</x:f>
        <x:v>Log source path or blocker; do not promote</x:v>
      </x:c>
      <x:c r="Z1172" s="12" t="str">
        <x:f>IF(K1172="P0","Primary seat + Hashlight/Lucerna","Seat lane")</x:f>
        <x:v>Seat lane</x:v>
      </x:c>
      <x:c r="AA1172" s="12" t="str">
        <x:f>IF(R1172="","no_claim_delta","claim_delta_present")</x:f>
        <x:v>no_claim_delta</x:v>
      </x:c>
      <x:c r="AB1172" s="12" t="str">
        <x:f>IF(S1172="","no_contradiction_delta","contradiction_delta_present")</x:f>
        <x:v>no_contradiction_delta</x:v>
      </x:c>
      <x:c r="AC1172" s="12" t="str">
        <x:f>IF(OR(ISNUMBER(SEARCH("hacker",LOWER(F1172&amp;" "&amp;H1172&amp;" "&amp;I1172&amp;" "&amp;M1172&amp;" "&amp;N1172&amp;" "&amp;T1172))),ISNUMBER(SEARCH("hacking",LOWER(F1172&amp;" "&amp;H1172&amp;" "&amp;I1172&amp;" "&amp;M1172&amp;" "&amp;N1172&amp;" "&amp;T1172))),ISNUMBER(SEARCH("bank",LOWER(F1172&amp;" "&amp;H1172&amp;" "&amp;I1172&amp;" "&amp;M1172&amp;" "&amp;N1172&amp;" "&amp;T1172))),ISNUMBER(SEARCH("banking",LOWER(F1172&amp;" "&amp;H1172&amp;" "&amp;I1172&amp;" "&amp;M1172&amp;" "&amp;N1172&amp;" "&amp;T1172)))),"PRIVATE_QUARANTINE",IF(OR(ISNUMBER(SEARCH("treasury",LOWER(F1172&amp;" "&amp;H1172&amp;" "&amp;I1172&amp;" "&amp;M1172&amp;" "&amp;N1172&amp;" "&amp;T1172))),ISNUMBER(SEARCH("debt",LOWER(F1172&amp;" "&amp;H1172&amp;" "&amp;I1172&amp;" "&amp;M1172&amp;" "&amp;N1172&amp;" "&amp;T1172))),ISNUMBER(SEARCH("bond",LOWER(F1172&amp;" "&amp;H1172&amp;" "&amp;I1172&amp;" "&amp;M1172&amp;" "&amp;N1172&amp;" "&amp;T1172))),ISNUMBER(SEARCH("transaction",LOWER(F1172&amp;" "&amp;H1172&amp;" "&amp;I1172&amp;" "&amp;M1172&amp;" "&amp;N1172&amp;" "&amp;T1172)))),"PRIVATE_REVIEW","PUBLIC_CANDIDATE"))</x:f>
        <x:v>PUBLIC_CANDIDATE</x:v>
      </x:c>
      <x:c r="AD1172" s="12" t="str">
        <x:f>IF(AC1172="PRIVATE_QUARANTINE","hacker_or_bank_trigger",IF(AC1172="PRIVATE_REVIEW","finance_risk_trigger","none"))</x:f>
        <x:v>none</x:v>
      </x:c>
      <x:c r="AE1172" s="12" t="str">
        <x:f>IF(AC1172="PUBLIC_CANDIDATE","prepare_public_github_candidate",IF(AC1172="PRIVATE_REVIEW","hold_for_private_review","quarantine_private_do_not_publish"))</x:f>
        <x:v>prepare_public_github_candidate</x:v>
      </x:c>
      <x:c r="AF1172" s="12" t="str">
        <x:f>IF(AC1172="PUBLIC_CANDIDATE","TIDELOCK + Lucerna",IF(AC1172="PRIVATE_REVIEW","AtlasBrain + Lucerna","TIDELOCK + Lucerna + Human-root"))</x:f>
        <x:v>TIDELOCK + Lucerna</x:v>
      </x:c>
      <x:c r="AG1172" s="12" t="str">
        <x:f>IF(AND(AC1172="PUBLIC_CANDIDATE",U1172&lt;&gt;"BLOCKED_PENDING_RECEIPT"),"READY_AFTER_RECEIPT","NOT_READY")</x:f>
        <x:v>NOT_READY</x:v>
      </x:c>
      <x:c r="AH1172" s="12" t="str">
        <x:f>IF(AC1172="PUBLIC_CANDIDATE","none",AD1172)</x:f>
        <x:v>none</x:v>
      </x:c>
      <x:c r="AI1172" s="12" t="str">
        <x:f>IF(AC1172="PUBLIC_CANDIDATE","archive/public_candidates/"&amp;A1172,"private_quarantine/"&amp;A1172)</x:f>
        <x:v>archive/public_candidates/SWARM-09-H02-S07</x:v>
      </x:c>
      <x:c r="AJ1172" s="12" t="str">
        <x:f>IF(AC1172="PUBLIC_CANDIDATE","public by default; still not canon","private/hold; do not publish")</x:f>
        <x:v>public by default; still not canon</x:v>
      </x:c>
      <x:c r="AK1172" s="12" t="str">
        <x:f>IF(AE1172="prepare_public_github_candidate","add receipt/status then mirror","resolve blocker before any public GitHub action")</x:f>
        <x:v>add receipt/status then mirror</x:v>
      </x:c>
    </x:row>
    <x:row r="1173">
      <x:c r="A1173" s="15" t="str">
        <x:v>SWARM-09-H02-S08</x:v>
      </x:c>
      <x:c r="B1173" s="15" t="str">
        <x:v>NotionMoth</x:v>
      </x:c>
      <x:c r="C1173" s="15" t="str">
        <x:v>Notion ontology mapper</x:v>
      </x:c>
      <x:c r="D1173" s="15" t="str">
        <x:v>Receipt Verification</x:v>
      </x:c>
      <x:c r="E1173" s="15" t="str">
        <x:v>Sheldonbrain</x:v>
      </x:c>
      <x:c r="F1173" s="15" t="str">
        <x:v>Verify receipts for Sheldonbrain — NotionMoth</x:v>
      </x:c>
      <x:c r="G1173" s="15" t="str">
        <x:v>legacy schema / Notion export prep</x:v>
      </x:c>
      <x:c r="H1173" s="15" t="str">
        <x:v>source path + receipt + raw/export status + claim/edge/risk delta</x:v>
      </x:c>
      <x:c r="I1173" s="15" t="str">
        <x:v>packet/SWARM-09-H02-S08</x:v>
      </x:c>
      <x:c r="J1173" s="15" t="str">
        <x:v>TODO</x:v>
      </x:c>
      <x:c r="K1173" s="15" t="str">
        <x:v>P1</x:v>
      </x:c>
      <x:c r="L1173" s="15" t="str">
        <x:v>Done only when evidence is logged, contradiction search is noted, and boundary stamp remains non-canon unless ratified</x:v>
      </x:c>
      <x:c r="M1173" s="15" t="str">
        <x:v>candidate / staging-only / not canon / not deployed / authority none</x:v>
      </x:c>
      <x:c r="N1173" s="15" t="str">
        <x:v>Dispatch to NotionMoth: complete Receipt Verification x Sheldonbrain; return deltas only, receipts required.</x:v>
      </x:c>
      <x:c r="O1173" s="15" t="str">
        <x:v>AF-KG-H02-S08</x:v>
      </x:c>
      <x:c r="P1173" s="15" t="str">
        <x:v>Unverified</x:v>
      </x:c>
      <x:c r="Q1173" s="15" t="str">
        <x:v>Not checked</x:v>
      </x:c>
      <x:c r="R1173" s="15" t="str"/>
      <x:c r="S1173" s="15" t="str"/>
      <x:c r="T1173" s="15" t="str">
        <x:v>Log first source path or blocker</x:v>
      </x:c>
      <x:c r="U1173" s="12" t="str">
        <x:f>IF(OR(P1173="Unverified",Q1173="Not checked"),"BLOCKED_PENDING_RECEIPT","READY_FOR_REVIEW")</x:f>
        <x:v>BLOCKED_PENDING_RECEIPT</x:v>
      </x:c>
      <x:c r="V1173" s="12" t="str">
        <x:f>IF(J1173="DONE","RETURNED",IF(U1173="BLOCKED_PENDING_RECEIPT","SOURCE_TOUCH_REQUIRED","IN_PROGRESS"))</x:f>
        <x:v>SOURCE_TOUCH_REQUIRED</x:v>
      </x:c>
      <x:c r="W1173" s="12" t="str">
        <x:f>IF(P1173="Unverified","missing_receipt","receipt_logged")</x:f>
        <x:v>missing_receipt</x:v>
      </x:c>
      <x:c r="X1173" s="12" t="str">
        <x:f>IF(Q1173="Not checked","raw_status_missing","raw_status_logged")</x:f>
        <x:v>raw_status_missing</x:v>
      </x:c>
      <x:c r="Y1173" s="12" t="str">
        <x:f>IF(U1173="BLOCKED_PENDING_RECEIPT","Log source path or blocker; do not promote","Route to review lane")</x:f>
        <x:v>Log source path or blocker; do not promote</x:v>
      </x:c>
      <x:c r="Z1173" s="12" t="str">
        <x:f>IF(K1173="P0","Primary seat + Hashlight/Lucerna","Seat lane")</x:f>
        <x:v>Seat lane</x:v>
      </x:c>
      <x:c r="AA1173" s="12" t="str">
        <x:f>IF(R1173="","no_claim_delta","claim_delta_present")</x:f>
        <x:v>no_claim_delta</x:v>
      </x:c>
      <x:c r="AB1173" s="12" t="str">
        <x:f>IF(S1173="","no_contradiction_delta","contradiction_delta_present")</x:f>
        <x:v>no_contradiction_delta</x:v>
      </x:c>
      <x:c r="AC1173" s="12" t="str">
        <x:f>IF(OR(ISNUMBER(SEARCH("hacker",LOWER(F1173&amp;" "&amp;H1173&amp;" "&amp;I1173&amp;" "&amp;M1173&amp;" "&amp;N1173&amp;" "&amp;T1173))),ISNUMBER(SEARCH("hacking",LOWER(F1173&amp;" "&amp;H1173&amp;" "&amp;I1173&amp;" "&amp;M1173&amp;" "&amp;N1173&amp;" "&amp;T1173))),ISNUMBER(SEARCH("bank",LOWER(F1173&amp;" "&amp;H1173&amp;" "&amp;I1173&amp;" "&amp;M1173&amp;" "&amp;N1173&amp;" "&amp;T1173))),ISNUMBER(SEARCH("banking",LOWER(F1173&amp;" "&amp;H1173&amp;" "&amp;I1173&amp;" "&amp;M1173&amp;" "&amp;N1173&amp;" "&amp;T1173)))),"PRIVATE_QUARANTINE",IF(OR(ISNUMBER(SEARCH("treasury",LOWER(F1173&amp;" "&amp;H1173&amp;" "&amp;I1173&amp;" "&amp;M1173&amp;" "&amp;N1173&amp;" "&amp;T1173))),ISNUMBER(SEARCH("debt",LOWER(F1173&amp;" "&amp;H1173&amp;" "&amp;I1173&amp;" "&amp;M1173&amp;" "&amp;N1173&amp;" "&amp;T1173))),ISNUMBER(SEARCH("bond",LOWER(F1173&amp;" "&amp;H1173&amp;" "&amp;I1173&amp;" "&amp;M1173&amp;" "&amp;N1173&amp;" "&amp;T1173))),ISNUMBER(SEARCH("transaction",LOWER(F1173&amp;" "&amp;H1173&amp;" "&amp;I1173&amp;" "&amp;M1173&amp;" "&amp;N1173&amp;" "&amp;T1173)))),"PRIVATE_REVIEW","PUBLIC_CANDIDATE"))</x:f>
        <x:v>PUBLIC_CANDIDATE</x:v>
      </x:c>
      <x:c r="AD1173" s="12" t="str">
        <x:f>IF(AC1173="PRIVATE_QUARANTINE","hacker_or_bank_trigger",IF(AC1173="PRIVATE_REVIEW","finance_risk_trigger","none"))</x:f>
        <x:v>none</x:v>
      </x:c>
      <x:c r="AE1173" s="12" t="str">
        <x:f>IF(AC1173="PUBLIC_CANDIDATE","prepare_public_github_candidate",IF(AC1173="PRIVATE_REVIEW","hold_for_private_review","quarantine_private_do_not_publish"))</x:f>
        <x:v>prepare_public_github_candidate</x:v>
      </x:c>
      <x:c r="AF1173" s="12" t="str">
        <x:f>IF(AC1173="PUBLIC_CANDIDATE","TIDELOCK + Lucerna",IF(AC1173="PRIVATE_REVIEW","AtlasBrain + Lucerna","TIDELOCK + Lucerna + Human-root"))</x:f>
        <x:v>TIDELOCK + Lucerna</x:v>
      </x:c>
      <x:c r="AG1173" s="12" t="str">
        <x:f>IF(AND(AC1173="PUBLIC_CANDIDATE",U1173&lt;&gt;"BLOCKED_PENDING_RECEIPT"),"READY_AFTER_RECEIPT","NOT_READY")</x:f>
        <x:v>NOT_READY</x:v>
      </x:c>
      <x:c r="AH1173" s="12" t="str">
        <x:f>IF(AC1173="PUBLIC_CANDIDATE","none",AD1173)</x:f>
        <x:v>none</x:v>
      </x:c>
      <x:c r="AI1173" s="12" t="str">
        <x:f>IF(AC1173="PUBLIC_CANDIDATE","archive/public_candidates/"&amp;A1173,"private_quarantine/"&amp;A1173)</x:f>
        <x:v>archive/public_candidates/SWARM-09-H02-S08</x:v>
      </x:c>
      <x:c r="AJ1173" s="12" t="str">
        <x:f>IF(AC1173="PUBLIC_CANDIDATE","public by default; still not canon","private/hold; do not publish")</x:f>
        <x:v>public by default; still not canon</x:v>
      </x:c>
      <x:c r="AK1173" s="12" t="str">
        <x:f>IF(AE1173="prepare_public_github_candidate","add receipt/status then mirror","resolve blocker before any public GitHub action")</x:f>
        <x:v>add receipt/status then mirror</x:v>
      </x:c>
    </x:row>
    <x:row r="1174">
      <x:c r="A1174" s="15" t="str">
        <x:v>SWARM-09-H02-S09</x:v>
      </x:c>
      <x:c r="B1174" s="15" t="str">
        <x:v>NotionMoth</x:v>
      </x:c>
      <x:c r="C1174" s="15" t="str">
        <x:v>Notion ontology mapper</x:v>
      </x:c>
      <x:c r="D1174" s="15" t="str">
        <x:v>Receipt Verification</x:v>
      </x:c>
      <x:c r="E1174" s="15" t="str">
        <x:v>Aetherforge</x:v>
      </x:c>
      <x:c r="F1174" s="15" t="str">
        <x:v>Verify receipts for Aetherforge — NotionMoth</x:v>
      </x:c>
      <x:c r="G1174" s="15" t="str">
        <x:v>legacy schema / Notion export prep</x:v>
      </x:c>
      <x:c r="H1174" s="15" t="str">
        <x:v>source path + receipt + raw/export status + claim/edge/risk delta</x:v>
      </x:c>
      <x:c r="I1174" s="15" t="str">
        <x:v>packet/SWARM-09-H02-S09</x:v>
      </x:c>
      <x:c r="J1174" s="15" t="str">
        <x:v>TODO</x:v>
      </x:c>
      <x:c r="K1174" s="15" t="str">
        <x:v>P2</x:v>
      </x:c>
      <x:c r="L1174" s="15" t="str">
        <x:v>Done only when evidence is logged, contradiction search is noted, and boundary stamp remains non-canon unless ratified</x:v>
      </x:c>
      <x:c r="M1174" s="15" t="str">
        <x:v>candidate / staging-only / not canon / not deployed / authority none</x:v>
      </x:c>
      <x:c r="N1174" s="15" t="str">
        <x:v>Dispatch to NotionMoth: complete Receipt Verification x Aetherforge; return deltas only, receipts required.</x:v>
      </x:c>
      <x:c r="O1174" s="15" t="str">
        <x:v>AF-KG-H02-S09</x:v>
      </x:c>
      <x:c r="P1174" s="15" t="str">
        <x:v>Unverified</x:v>
      </x:c>
      <x:c r="Q1174" s="15" t="str">
        <x:v>Not checked</x:v>
      </x:c>
      <x:c r="R1174" s="15" t="str"/>
      <x:c r="S1174" s="15" t="str"/>
      <x:c r="T1174" s="15" t="str">
        <x:v>Log first source path or blocker</x:v>
      </x:c>
      <x:c r="U1174" s="12" t="str">
        <x:f>IF(OR(P1174="Unverified",Q1174="Not checked"),"BLOCKED_PENDING_RECEIPT","READY_FOR_REVIEW")</x:f>
        <x:v>BLOCKED_PENDING_RECEIPT</x:v>
      </x:c>
      <x:c r="V1174" s="12" t="str">
        <x:f>IF(J1174="DONE","RETURNED",IF(U1174="BLOCKED_PENDING_RECEIPT","SOURCE_TOUCH_REQUIRED","IN_PROGRESS"))</x:f>
        <x:v>SOURCE_TOUCH_REQUIRED</x:v>
      </x:c>
      <x:c r="W1174" s="12" t="str">
        <x:f>IF(P1174="Unverified","missing_receipt","receipt_logged")</x:f>
        <x:v>missing_receipt</x:v>
      </x:c>
      <x:c r="X1174" s="12" t="str">
        <x:f>IF(Q1174="Not checked","raw_status_missing","raw_status_logged")</x:f>
        <x:v>raw_status_missing</x:v>
      </x:c>
      <x:c r="Y1174" s="12" t="str">
        <x:f>IF(U1174="BLOCKED_PENDING_RECEIPT","Log source path or blocker; do not promote","Route to review lane")</x:f>
        <x:v>Log source path or blocker; do not promote</x:v>
      </x:c>
      <x:c r="Z1174" s="12" t="str">
        <x:f>IF(K1174="P0","Primary seat + Hashlight/Lucerna","Seat lane")</x:f>
        <x:v>Seat lane</x:v>
      </x:c>
      <x:c r="AA1174" s="12" t="str">
        <x:f>IF(R1174="","no_claim_delta","claim_delta_present")</x:f>
        <x:v>no_claim_delta</x:v>
      </x:c>
      <x:c r="AB1174" s="12" t="str">
        <x:f>IF(S1174="","no_contradiction_delta","contradiction_delta_present")</x:f>
        <x:v>no_contradiction_delta</x:v>
      </x:c>
      <x:c r="AC1174" s="12" t="str">
        <x:f>IF(OR(ISNUMBER(SEARCH("hacker",LOWER(F1174&amp;" "&amp;H1174&amp;" "&amp;I1174&amp;" "&amp;M1174&amp;" "&amp;N1174&amp;" "&amp;T1174))),ISNUMBER(SEARCH("hacking",LOWER(F1174&amp;" "&amp;H1174&amp;" "&amp;I1174&amp;" "&amp;M1174&amp;" "&amp;N1174&amp;" "&amp;T1174))),ISNUMBER(SEARCH("bank",LOWER(F1174&amp;" "&amp;H1174&amp;" "&amp;I1174&amp;" "&amp;M1174&amp;" "&amp;N1174&amp;" "&amp;T1174))),ISNUMBER(SEARCH("banking",LOWER(F1174&amp;" "&amp;H1174&amp;" "&amp;I1174&amp;" "&amp;M1174&amp;" "&amp;N1174&amp;" "&amp;T1174)))),"PRIVATE_QUARANTINE",IF(OR(ISNUMBER(SEARCH("treasury",LOWER(F1174&amp;" "&amp;H1174&amp;" "&amp;I1174&amp;" "&amp;M1174&amp;" "&amp;N1174&amp;" "&amp;T1174))),ISNUMBER(SEARCH("debt",LOWER(F1174&amp;" "&amp;H1174&amp;" "&amp;I1174&amp;" "&amp;M1174&amp;" "&amp;N1174&amp;" "&amp;T1174))),ISNUMBER(SEARCH("bond",LOWER(F1174&amp;" "&amp;H1174&amp;" "&amp;I1174&amp;" "&amp;M1174&amp;" "&amp;N1174&amp;" "&amp;T1174))),ISNUMBER(SEARCH("transaction",LOWER(F1174&amp;" "&amp;H1174&amp;" "&amp;I1174&amp;" "&amp;M1174&amp;" "&amp;N1174&amp;" "&amp;T1174)))),"PRIVATE_REVIEW","PUBLIC_CANDIDATE"))</x:f>
        <x:v>PUBLIC_CANDIDATE</x:v>
      </x:c>
      <x:c r="AD1174" s="12" t="str">
        <x:f>IF(AC1174="PRIVATE_QUARANTINE","hacker_or_bank_trigger",IF(AC1174="PRIVATE_REVIEW","finance_risk_trigger","none"))</x:f>
        <x:v>none</x:v>
      </x:c>
      <x:c r="AE1174" s="12" t="str">
        <x:f>IF(AC1174="PUBLIC_CANDIDATE","prepare_public_github_candidate",IF(AC1174="PRIVATE_REVIEW","hold_for_private_review","quarantine_private_do_not_publish"))</x:f>
        <x:v>prepare_public_github_candidate</x:v>
      </x:c>
      <x:c r="AF1174" s="12" t="str">
        <x:f>IF(AC1174="PUBLIC_CANDIDATE","TIDELOCK + Lucerna",IF(AC1174="PRIVATE_REVIEW","AtlasBrain + Lucerna","TIDELOCK + Lucerna + Human-root"))</x:f>
        <x:v>TIDELOCK + Lucerna</x:v>
      </x:c>
      <x:c r="AG1174" s="12" t="str">
        <x:f>IF(AND(AC1174="PUBLIC_CANDIDATE",U1174&lt;&gt;"BLOCKED_PENDING_RECEIPT"),"READY_AFTER_RECEIPT","NOT_READY")</x:f>
        <x:v>NOT_READY</x:v>
      </x:c>
      <x:c r="AH1174" s="12" t="str">
        <x:f>IF(AC1174="PUBLIC_CANDIDATE","none",AD1174)</x:f>
        <x:v>none</x:v>
      </x:c>
      <x:c r="AI1174" s="12" t="str">
        <x:f>IF(AC1174="PUBLIC_CANDIDATE","archive/public_candidates/"&amp;A1174,"private_quarantine/"&amp;A1174)</x:f>
        <x:v>archive/public_candidates/SWARM-09-H02-S09</x:v>
      </x:c>
      <x:c r="AJ1174" s="12" t="str">
        <x:f>IF(AC1174="PUBLIC_CANDIDATE","public by default; still not canon","private/hold; do not publish")</x:f>
        <x:v>public by default; still not canon</x:v>
      </x:c>
      <x:c r="AK1174" s="12" t="str">
        <x:f>IF(AE1174="prepare_public_github_candidate","add receipt/status then mirror","resolve blocker before any public GitHub action")</x:f>
        <x:v>add receipt/status then mirror</x:v>
      </x:c>
    </x:row>
    <x:row r="1175">
      <x:c r="A1175" s="15" t="str">
        <x:v>SWARM-09-H02-S10</x:v>
      </x:c>
      <x:c r="B1175" s="15" t="str">
        <x:v>NotionMoth</x:v>
      </x:c>
      <x:c r="C1175" s="15" t="str">
        <x:v>Notion ontology mapper</x:v>
      </x:c>
      <x:c r="D1175" s="15" t="str">
        <x:v>Receipt Verification</x:v>
      </x:c>
      <x:c r="E1175" s="15" t="str">
        <x:v>Human-Root</x:v>
      </x:c>
      <x:c r="F1175" s="15" t="str">
        <x:v>Verify receipts for Human-Root — NotionMoth</x:v>
      </x:c>
      <x:c r="G1175" s="15" t="str">
        <x:v>legacy schema / Notion export prep</x:v>
      </x:c>
      <x:c r="H1175" s="15" t="str">
        <x:v>source path + receipt + raw/export status + claim/edge/risk delta</x:v>
      </x:c>
      <x:c r="I1175" s="15" t="str">
        <x:v>packet/SWARM-09-H02-S10</x:v>
      </x:c>
      <x:c r="J1175" s="15" t="str">
        <x:v>TODO</x:v>
      </x:c>
      <x:c r="K1175" s="15" t="str">
        <x:v>P2</x:v>
      </x:c>
      <x:c r="L1175" s="15" t="str">
        <x:v>Done only when evidence is logged, contradiction search is noted, and boundary stamp remains non-canon unless ratified</x:v>
      </x:c>
      <x:c r="M1175" s="15" t="str">
        <x:v>candidate / staging-only / not canon / not deployed / authority none</x:v>
      </x:c>
      <x:c r="N1175" s="15" t="str">
        <x:v>Dispatch to NotionMoth: complete Receipt Verification x Human-Root; return deltas only, receipts required.</x:v>
      </x:c>
      <x:c r="O1175" s="15" t="str">
        <x:v>AF-KG-H02-S10</x:v>
      </x:c>
      <x:c r="P1175" s="15" t="str">
        <x:v>Unverified</x:v>
      </x:c>
      <x:c r="Q1175" s="15" t="str">
        <x:v>Not checked</x:v>
      </x:c>
      <x:c r="R1175" s="15" t="str"/>
      <x:c r="S1175" s="15" t="str"/>
      <x:c r="T1175" s="15" t="str">
        <x:v>Log first source path or blocker</x:v>
      </x:c>
      <x:c r="U1175" s="12" t="str">
        <x:f>IF(OR(P1175="Unverified",Q1175="Not checked"),"BLOCKED_PENDING_RECEIPT","READY_FOR_REVIEW")</x:f>
        <x:v>BLOCKED_PENDING_RECEIPT</x:v>
      </x:c>
      <x:c r="V1175" s="12" t="str">
        <x:f>IF(J1175="DONE","RETURNED",IF(U1175="BLOCKED_PENDING_RECEIPT","SOURCE_TOUCH_REQUIRED","IN_PROGRESS"))</x:f>
        <x:v>SOURCE_TOUCH_REQUIRED</x:v>
      </x:c>
      <x:c r="W1175" s="12" t="str">
        <x:f>IF(P1175="Unverified","missing_receipt","receipt_logged")</x:f>
        <x:v>missing_receipt</x:v>
      </x:c>
      <x:c r="X1175" s="12" t="str">
        <x:f>IF(Q1175="Not checked","raw_status_missing","raw_status_logged")</x:f>
        <x:v>raw_status_missing</x:v>
      </x:c>
      <x:c r="Y1175" s="12" t="str">
        <x:f>IF(U1175="BLOCKED_PENDING_RECEIPT","Log source path or blocker; do not promote","Route to review lane")</x:f>
        <x:v>Log source path or blocker; do not promote</x:v>
      </x:c>
      <x:c r="Z1175" s="12" t="str">
        <x:f>IF(K1175="P0","Primary seat + Hashlight/Lucerna","Seat lane")</x:f>
        <x:v>Seat lane</x:v>
      </x:c>
      <x:c r="AA1175" s="12" t="str">
        <x:f>IF(R1175="","no_claim_delta","claim_delta_present")</x:f>
        <x:v>no_claim_delta</x:v>
      </x:c>
      <x:c r="AB1175" s="12" t="str">
        <x:f>IF(S1175="","no_contradiction_delta","contradiction_delta_present")</x:f>
        <x:v>no_contradiction_delta</x:v>
      </x:c>
      <x:c r="AC1175" s="12" t="str">
        <x:f>IF(OR(ISNUMBER(SEARCH("hacker",LOWER(F1175&amp;" "&amp;H1175&amp;" "&amp;I1175&amp;" "&amp;M1175&amp;" "&amp;N1175&amp;" "&amp;T1175))),ISNUMBER(SEARCH("hacking",LOWER(F1175&amp;" "&amp;H1175&amp;" "&amp;I1175&amp;" "&amp;M1175&amp;" "&amp;N1175&amp;" "&amp;T1175))),ISNUMBER(SEARCH("bank",LOWER(F1175&amp;" "&amp;H1175&amp;" "&amp;I1175&amp;" "&amp;M1175&amp;" "&amp;N1175&amp;" "&amp;T1175))),ISNUMBER(SEARCH("banking",LOWER(F1175&amp;" "&amp;H1175&amp;" "&amp;I1175&amp;" "&amp;M1175&amp;" "&amp;N1175&amp;" "&amp;T1175)))),"PRIVATE_QUARANTINE",IF(OR(ISNUMBER(SEARCH("treasury",LOWER(F1175&amp;" "&amp;H1175&amp;" "&amp;I1175&amp;" "&amp;M1175&amp;" "&amp;N1175&amp;" "&amp;T1175))),ISNUMBER(SEARCH("debt",LOWER(F1175&amp;" "&amp;H1175&amp;" "&amp;I1175&amp;" "&amp;M1175&amp;" "&amp;N1175&amp;" "&amp;T1175))),ISNUMBER(SEARCH("bond",LOWER(F1175&amp;" "&amp;H1175&amp;" "&amp;I1175&amp;" "&amp;M1175&amp;" "&amp;N1175&amp;" "&amp;T1175))),ISNUMBER(SEARCH("transaction",LOWER(F1175&amp;" "&amp;H1175&amp;" "&amp;I1175&amp;" "&amp;M1175&amp;" "&amp;N1175&amp;" "&amp;T1175)))),"PRIVATE_REVIEW","PUBLIC_CANDIDATE"))</x:f>
        <x:v>PUBLIC_CANDIDATE</x:v>
      </x:c>
      <x:c r="AD1175" s="12" t="str">
        <x:f>IF(AC1175="PRIVATE_QUARANTINE","hacker_or_bank_trigger",IF(AC1175="PRIVATE_REVIEW","finance_risk_trigger","none"))</x:f>
        <x:v>none</x:v>
      </x:c>
      <x:c r="AE1175" s="12" t="str">
        <x:f>IF(AC1175="PUBLIC_CANDIDATE","prepare_public_github_candidate",IF(AC1175="PRIVATE_REVIEW","hold_for_private_review","quarantine_private_do_not_publish"))</x:f>
        <x:v>prepare_public_github_candidate</x:v>
      </x:c>
      <x:c r="AF1175" s="12" t="str">
        <x:f>IF(AC1175="PUBLIC_CANDIDATE","TIDELOCK + Lucerna",IF(AC1175="PRIVATE_REVIEW","AtlasBrain + Lucerna","TIDELOCK + Lucerna + Human-root"))</x:f>
        <x:v>TIDELOCK + Lucerna</x:v>
      </x:c>
      <x:c r="AG1175" s="12" t="str">
        <x:f>IF(AND(AC1175="PUBLIC_CANDIDATE",U1175&lt;&gt;"BLOCKED_PENDING_RECEIPT"),"READY_AFTER_RECEIPT","NOT_READY")</x:f>
        <x:v>NOT_READY</x:v>
      </x:c>
      <x:c r="AH1175" s="12" t="str">
        <x:f>IF(AC1175="PUBLIC_CANDIDATE","none",AD1175)</x:f>
        <x:v>none</x:v>
      </x:c>
      <x:c r="AI1175" s="12" t="str">
        <x:f>IF(AC1175="PUBLIC_CANDIDATE","archive/public_candidates/"&amp;A1175,"private_quarantine/"&amp;A1175)</x:f>
        <x:v>archive/public_candidates/SWARM-09-H02-S10</x:v>
      </x:c>
      <x:c r="AJ1175" s="12" t="str">
        <x:f>IF(AC1175="PUBLIC_CANDIDATE","public by default; still not canon","private/hold; do not publish")</x:f>
        <x:v>public by default; still not canon</x:v>
      </x:c>
      <x:c r="AK1175" s="12" t="str">
        <x:f>IF(AE1175="prepare_public_github_candidate","add receipt/status then mirror","resolve blocker before any public GitHub action")</x:f>
        <x:v>add receipt/status then mirror</x:v>
      </x:c>
    </x:row>
    <x:row r="1176">
      <x:c r="A1176" s="15" t="str">
        <x:v>SWARM-09-H02-S11</x:v>
      </x:c>
      <x:c r="B1176" s="15" t="str">
        <x:v>NotionMoth</x:v>
      </x:c>
      <x:c r="C1176" s="15" t="str">
        <x:v>Notion ontology mapper</x:v>
      </x:c>
      <x:c r="D1176" s="15" t="str">
        <x:v>Receipt Verification</x:v>
      </x:c>
      <x:c r="E1176" s="15" t="str">
        <x:v>Automation</x:v>
      </x:c>
      <x:c r="F1176" s="15" t="str">
        <x:v>Verify receipts for Automation — NotionMoth</x:v>
      </x:c>
      <x:c r="G1176" s="15" t="str">
        <x:v>legacy schema / Notion export prep</x:v>
      </x:c>
      <x:c r="H1176" s="15" t="str">
        <x:v>source path + receipt + raw/export status + claim/edge/risk delta</x:v>
      </x:c>
      <x:c r="I1176" s="15" t="str">
        <x:v>packet/SWARM-09-H02-S11</x:v>
      </x:c>
      <x:c r="J1176" s="15" t="str">
        <x:v>TODO</x:v>
      </x:c>
      <x:c r="K1176" s="15" t="str">
        <x:v>P2</x:v>
      </x:c>
      <x:c r="L1176" s="15" t="str">
        <x:v>Done only when evidence is logged, contradiction search is noted, and boundary stamp remains non-canon unless ratified</x:v>
      </x:c>
      <x:c r="M1176" s="15" t="str">
        <x:v>candidate / staging-only / not canon / not deployed / authority none</x:v>
      </x:c>
      <x:c r="N1176" s="15" t="str">
        <x:v>Dispatch to NotionMoth: complete Receipt Verification x Automation; return deltas only, receipts required.</x:v>
      </x:c>
      <x:c r="O1176" s="15" t="str">
        <x:v>AF-KG-H02-S11</x:v>
      </x:c>
      <x:c r="P1176" s="15" t="str">
        <x:v>Unverified</x:v>
      </x:c>
      <x:c r="Q1176" s="15" t="str">
        <x:v>Not checked</x:v>
      </x:c>
      <x:c r="R1176" s="15" t="str"/>
      <x:c r="S1176" s="15" t="str"/>
      <x:c r="T1176" s="15" t="str">
        <x:v>Log first source path or blocker</x:v>
      </x:c>
      <x:c r="U1176" s="12" t="str">
        <x:f>IF(OR(P1176="Unverified",Q1176="Not checked"),"BLOCKED_PENDING_RECEIPT","READY_FOR_REVIEW")</x:f>
        <x:v>BLOCKED_PENDING_RECEIPT</x:v>
      </x:c>
      <x:c r="V1176" s="12" t="str">
        <x:f>IF(J1176="DONE","RETURNED",IF(U1176="BLOCKED_PENDING_RECEIPT","SOURCE_TOUCH_REQUIRED","IN_PROGRESS"))</x:f>
        <x:v>SOURCE_TOUCH_REQUIRED</x:v>
      </x:c>
      <x:c r="W1176" s="12" t="str">
        <x:f>IF(P1176="Unverified","missing_receipt","receipt_logged")</x:f>
        <x:v>missing_receipt</x:v>
      </x:c>
      <x:c r="X1176" s="12" t="str">
        <x:f>IF(Q1176="Not checked","raw_status_missing","raw_status_logged")</x:f>
        <x:v>raw_status_missing</x:v>
      </x:c>
      <x:c r="Y1176" s="12" t="str">
        <x:f>IF(U1176="BLOCKED_PENDING_RECEIPT","Log source path or blocker; do not promote","Route to review lane")</x:f>
        <x:v>Log source path or blocker; do not promote</x:v>
      </x:c>
      <x:c r="Z1176" s="12" t="str">
        <x:f>IF(K1176="P0","Primary seat + Hashlight/Lucerna","Seat lane")</x:f>
        <x:v>Seat lane</x:v>
      </x:c>
      <x:c r="AA1176" s="12" t="str">
        <x:f>IF(R1176="","no_claim_delta","claim_delta_present")</x:f>
        <x:v>no_claim_delta</x:v>
      </x:c>
      <x:c r="AB1176" s="12" t="str">
        <x:f>IF(S1176="","no_contradiction_delta","contradiction_delta_present")</x:f>
        <x:v>no_contradiction_delta</x:v>
      </x:c>
      <x:c r="AC1176" s="12" t="str">
        <x:f>IF(OR(ISNUMBER(SEARCH("hacker",LOWER(F1176&amp;" "&amp;H1176&amp;" "&amp;I1176&amp;" "&amp;M1176&amp;" "&amp;N1176&amp;" "&amp;T1176))),ISNUMBER(SEARCH("hacking",LOWER(F1176&amp;" "&amp;H1176&amp;" "&amp;I1176&amp;" "&amp;M1176&amp;" "&amp;N1176&amp;" "&amp;T1176))),ISNUMBER(SEARCH("bank",LOWER(F1176&amp;" "&amp;H1176&amp;" "&amp;I1176&amp;" "&amp;M1176&amp;" "&amp;N1176&amp;" "&amp;T1176))),ISNUMBER(SEARCH("banking",LOWER(F1176&amp;" "&amp;H1176&amp;" "&amp;I1176&amp;" "&amp;M1176&amp;" "&amp;N1176&amp;" "&amp;T1176)))),"PRIVATE_QUARANTINE",IF(OR(ISNUMBER(SEARCH("treasury",LOWER(F1176&amp;" "&amp;H1176&amp;" "&amp;I1176&amp;" "&amp;M1176&amp;" "&amp;N1176&amp;" "&amp;T1176))),ISNUMBER(SEARCH("debt",LOWER(F1176&amp;" "&amp;H1176&amp;" "&amp;I1176&amp;" "&amp;M1176&amp;" "&amp;N1176&amp;" "&amp;T1176))),ISNUMBER(SEARCH("bond",LOWER(F1176&amp;" "&amp;H1176&amp;" "&amp;I1176&amp;" "&amp;M1176&amp;" "&amp;N1176&amp;" "&amp;T1176))),ISNUMBER(SEARCH("transaction",LOWER(F1176&amp;" "&amp;H1176&amp;" "&amp;I1176&amp;" "&amp;M1176&amp;" "&amp;N1176&amp;" "&amp;T1176)))),"PRIVATE_REVIEW","PUBLIC_CANDIDATE"))</x:f>
        <x:v>PUBLIC_CANDIDATE</x:v>
      </x:c>
      <x:c r="AD1176" s="12" t="str">
        <x:f>IF(AC1176="PRIVATE_QUARANTINE","hacker_or_bank_trigger",IF(AC1176="PRIVATE_REVIEW","finance_risk_trigger","none"))</x:f>
        <x:v>none</x:v>
      </x:c>
      <x:c r="AE1176" s="12" t="str">
        <x:f>IF(AC1176="PUBLIC_CANDIDATE","prepare_public_github_candidate",IF(AC1176="PRIVATE_REVIEW","hold_for_private_review","quarantine_private_do_not_publish"))</x:f>
        <x:v>prepare_public_github_candidate</x:v>
      </x:c>
      <x:c r="AF1176" s="12" t="str">
        <x:f>IF(AC1176="PUBLIC_CANDIDATE","TIDELOCK + Lucerna",IF(AC1176="PRIVATE_REVIEW","AtlasBrain + Lucerna","TIDELOCK + Lucerna + Human-root"))</x:f>
        <x:v>TIDELOCK + Lucerna</x:v>
      </x:c>
      <x:c r="AG1176" s="12" t="str">
        <x:f>IF(AND(AC1176="PUBLIC_CANDIDATE",U1176&lt;&gt;"BLOCKED_PENDING_RECEIPT"),"READY_AFTER_RECEIPT","NOT_READY")</x:f>
        <x:v>NOT_READY</x:v>
      </x:c>
      <x:c r="AH1176" s="12" t="str">
        <x:f>IF(AC1176="PUBLIC_CANDIDATE","none",AD1176)</x:f>
        <x:v>none</x:v>
      </x:c>
      <x:c r="AI1176" s="12" t="str">
        <x:f>IF(AC1176="PUBLIC_CANDIDATE","archive/public_candidates/"&amp;A1176,"private_quarantine/"&amp;A1176)</x:f>
        <x:v>archive/public_candidates/SWARM-09-H02-S11</x:v>
      </x:c>
      <x:c r="AJ1176" s="12" t="str">
        <x:f>IF(AC1176="PUBLIC_CANDIDATE","public by default; still not canon","private/hold; do not publish")</x:f>
        <x:v>public by default; still not canon</x:v>
      </x:c>
      <x:c r="AK1176" s="12" t="str">
        <x:f>IF(AE1176="prepare_public_github_candidate","add receipt/status then mirror","resolve blocker before any public GitHub action")</x:f>
        <x:v>add receipt/status then mirror</x:v>
      </x:c>
    </x:row>
    <x:row r="1177">
      <x:c r="A1177" s="15" t="str">
        <x:v>SWARM-09-H02-S12</x:v>
      </x:c>
      <x:c r="B1177" s="15" t="str">
        <x:v>NotionMoth</x:v>
      </x:c>
      <x:c r="C1177" s="15" t="str">
        <x:v>Notion ontology mapper</x:v>
      </x:c>
      <x:c r="D1177" s="15" t="str">
        <x:v>Receipt Verification</x:v>
      </x:c>
      <x:c r="E1177" s="15" t="str">
        <x:v>Risk / Safety</x:v>
      </x:c>
      <x:c r="F1177" s="15" t="str">
        <x:v>Verify receipts for Risk / Safety — NotionMoth</x:v>
      </x:c>
      <x:c r="G1177" s="15" t="str">
        <x:v>legacy schema / Notion export prep</x:v>
      </x:c>
      <x:c r="H1177" s="15" t="str">
        <x:v>source path + receipt + raw/export status + claim/edge/risk delta</x:v>
      </x:c>
      <x:c r="I1177" s="15" t="str">
        <x:v>packet/SWARM-09-H02-S12</x:v>
      </x:c>
      <x:c r="J1177" s="15" t="str">
        <x:v>TODO</x:v>
      </x:c>
      <x:c r="K1177" s="15" t="str">
        <x:v>P2</x:v>
      </x:c>
      <x:c r="L1177" s="15" t="str">
        <x:v>Done only when evidence is logged, contradiction search is noted, and boundary stamp remains non-canon unless ratified</x:v>
      </x:c>
      <x:c r="M1177" s="15" t="str">
        <x:v>candidate / staging-only / not canon / not deployed / authority none</x:v>
      </x:c>
      <x:c r="N1177" s="15" t="str">
        <x:v>Dispatch to NotionMoth: complete Receipt Verification x Risk / Safety; return deltas only, receipts required.</x:v>
      </x:c>
      <x:c r="O1177" s="15" t="str">
        <x:v>AF-KG-H02-S12</x:v>
      </x:c>
      <x:c r="P1177" s="15" t="str">
        <x:v>Unverified</x:v>
      </x:c>
      <x:c r="Q1177" s="15" t="str">
        <x:v>Not checked</x:v>
      </x:c>
      <x:c r="R1177" s="15" t="str"/>
      <x:c r="S1177" s="15" t="str"/>
      <x:c r="T1177" s="15" t="str">
        <x:v>Log first source path or blocker</x:v>
      </x:c>
      <x:c r="U1177" s="12" t="str">
        <x:f>IF(OR(P1177="Unverified",Q1177="Not checked"),"BLOCKED_PENDING_RECEIPT","READY_FOR_REVIEW")</x:f>
        <x:v>BLOCKED_PENDING_RECEIPT</x:v>
      </x:c>
      <x:c r="V1177" s="12" t="str">
        <x:f>IF(J1177="DONE","RETURNED",IF(U1177="BLOCKED_PENDING_RECEIPT","SOURCE_TOUCH_REQUIRED","IN_PROGRESS"))</x:f>
        <x:v>SOURCE_TOUCH_REQUIRED</x:v>
      </x:c>
      <x:c r="W1177" s="12" t="str">
        <x:f>IF(P1177="Unverified","missing_receipt","receipt_logged")</x:f>
        <x:v>missing_receipt</x:v>
      </x:c>
      <x:c r="X1177" s="12" t="str">
        <x:f>IF(Q1177="Not checked","raw_status_missing","raw_status_logged")</x:f>
        <x:v>raw_status_missing</x:v>
      </x:c>
      <x:c r="Y1177" s="12" t="str">
        <x:f>IF(U1177="BLOCKED_PENDING_RECEIPT","Log source path or blocker; do not promote","Route to review lane")</x:f>
        <x:v>Log source path or blocker; do not promote</x:v>
      </x:c>
      <x:c r="Z1177" s="12" t="str">
        <x:f>IF(K1177="P0","Primary seat + Hashlight/Lucerna","Seat lane")</x:f>
        <x:v>Seat lane</x:v>
      </x:c>
      <x:c r="AA1177" s="12" t="str">
        <x:f>IF(R1177="","no_claim_delta","claim_delta_present")</x:f>
        <x:v>no_claim_delta</x:v>
      </x:c>
      <x:c r="AB1177" s="12" t="str">
        <x:f>IF(S1177="","no_contradiction_delta","contradiction_delta_present")</x:f>
        <x:v>no_contradiction_delta</x:v>
      </x:c>
      <x:c r="AC1177" s="12" t="str">
        <x:f>IF(OR(ISNUMBER(SEARCH("hacker",LOWER(F1177&amp;" "&amp;H1177&amp;" "&amp;I1177&amp;" "&amp;M1177&amp;" "&amp;N1177&amp;" "&amp;T1177))),ISNUMBER(SEARCH("hacking",LOWER(F1177&amp;" "&amp;H1177&amp;" "&amp;I1177&amp;" "&amp;M1177&amp;" "&amp;N1177&amp;" "&amp;T1177))),ISNUMBER(SEARCH("bank",LOWER(F1177&amp;" "&amp;H1177&amp;" "&amp;I1177&amp;" "&amp;M1177&amp;" "&amp;N1177&amp;" "&amp;T1177))),ISNUMBER(SEARCH("banking",LOWER(F1177&amp;" "&amp;H1177&amp;" "&amp;I1177&amp;" "&amp;M1177&amp;" "&amp;N1177&amp;" "&amp;T1177)))),"PRIVATE_QUARANTINE",IF(OR(ISNUMBER(SEARCH("treasury",LOWER(F1177&amp;" "&amp;H1177&amp;" "&amp;I1177&amp;" "&amp;M1177&amp;" "&amp;N1177&amp;" "&amp;T1177))),ISNUMBER(SEARCH("debt",LOWER(F1177&amp;" "&amp;H1177&amp;" "&amp;I1177&amp;" "&amp;M1177&amp;" "&amp;N1177&amp;" "&amp;T1177))),ISNUMBER(SEARCH("bond",LOWER(F1177&amp;" "&amp;H1177&amp;" "&amp;I1177&amp;" "&amp;M1177&amp;" "&amp;N1177&amp;" "&amp;T1177))),ISNUMBER(SEARCH("transaction",LOWER(F1177&amp;" "&amp;H1177&amp;" "&amp;I1177&amp;" "&amp;M1177&amp;" "&amp;N1177&amp;" "&amp;T1177)))),"PRIVATE_REVIEW","PUBLIC_CANDIDATE"))</x:f>
        <x:v>PUBLIC_CANDIDATE</x:v>
      </x:c>
      <x:c r="AD1177" s="12" t="str">
        <x:f>IF(AC1177="PRIVATE_QUARANTINE","hacker_or_bank_trigger",IF(AC1177="PRIVATE_REVIEW","finance_risk_trigger","none"))</x:f>
        <x:v>none</x:v>
      </x:c>
      <x:c r="AE1177" s="12" t="str">
        <x:f>IF(AC1177="PUBLIC_CANDIDATE","prepare_public_github_candidate",IF(AC1177="PRIVATE_REVIEW","hold_for_private_review","quarantine_private_do_not_publish"))</x:f>
        <x:v>prepare_public_github_candidate</x:v>
      </x:c>
      <x:c r="AF1177" s="12" t="str">
        <x:f>IF(AC1177="PUBLIC_CANDIDATE","TIDELOCK + Lucerna",IF(AC1177="PRIVATE_REVIEW","AtlasBrain + Lucerna","TIDELOCK + Lucerna + Human-root"))</x:f>
        <x:v>TIDELOCK + Lucerna</x:v>
      </x:c>
      <x:c r="AG1177" s="12" t="str">
        <x:f>IF(AND(AC1177="PUBLIC_CANDIDATE",U1177&lt;&gt;"BLOCKED_PENDING_RECEIPT"),"READY_AFTER_RECEIPT","NOT_READY")</x:f>
        <x:v>NOT_READY</x:v>
      </x:c>
      <x:c r="AH1177" s="12" t="str">
        <x:f>IF(AC1177="PUBLIC_CANDIDATE","none",AD1177)</x:f>
        <x:v>none</x:v>
      </x:c>
      <x:c r="AI1177" s="12" t="str">
        <x:f>IF(AC1177="PUBLIC_CANDIDATE","archive/public_candidates/"&amp;A1177,"private_quarantine/"&amp;A1177)</x:f>
        <x:v>archive/public_candidates/SWARM-09-H02-S12</x:v>
      </x:c>
      <x:c r="AJ1177" s="12" t="str">
        <x:f>IF(AC1177="PUBLIC_CANDIDATE","public by default; still not canon","private/hold; do not publish")</x:f>
        <x:v>public by default; still not canon</x:v>
      </x:c>
      <x:c r="AK1177" s="12" t="str">
        <x:f>IF(AE1177="prepare_public_github_candidate","add receipt/status then mirror","resolve blocker before any public GitHub action")</x:f>
        <x:v>add receipt/status then mirror</x:v>
      </x:c>
    </x:row>
    <x:row r="1178">
      <x:c r="A1178" s="15" t="str">
        <x:v>SWARM-09-H03-S01</x:v>
      </x:c>
      <x:c r="B1178" s="15" t="str">
        <x:v>NotionMoth</x:v>
      </x:c>
      <x:c r="C1178" s="15" t="str">
        <x:v>Notion ontology mapper</x:v>
      </x:c>
      <x:c r="D1178" s="15" t="str">
        <x:v>Raw Export Recovery</x:v>
      </x:c>
      <x:c r="E1178" s="15" t="str">
        <x:v>Notion</x:v>
      </x:c>
      <x:c r="F1178" s="15" t="str">
        <x:v>Recover raw exports for Notion — NotionMoth</x:v>
      </x:c>
      <x:c r="G1178" s="15" t="str">
        <x:v>legacy schema / Notion export prep</x:v>
      </x:c>
      <x:c r="H1178" s="15" t="str">
        <x:v>source path + receipt + raw/export status + claim/edge/risk delta</x:v>
      </x:c>
      <x:c r="I1178" s="15" t="str">
        <x:v>packet/SWARM-09-H03-S01</x:v>
      </x:c>
      <x:c r="J1178" s="15" t="str">
        <x:v>TODO</x:v>
      </x:c>
      <x:c r="K1178" s="15" t="str">
        <x:v>P0</x:v>
      </x:c>
      <x:c r="L1178" s="15" t="str">
        <x:v>Done only when evidence is logged, contradiction search is noted, and boundary stamp remains non-canon unless ratified</x:v>
      </x:c>
      <x:c r="M1178" s="15" t="str">
        <x:v>candidate / staging-only / not canon / not deployed / authority none</x:v>
      </x:c>
      <x:c r="N1178" s="15" t="str">
        <x:v>Dispatch to NotionMoth: complete Raw Export Recovery x Notion; return deltas only, receipts required.</x:v>
      </x:c>
      <x:c r="O1178" s="15" t="str">
        <x:v>AF-KG-H03-S01</x:v>
      </x:c>
      <x:c r="P1178" s="15" t="str">
        <x:v>Unverified</x:v>
      </x:c>
      <x:c r="Q1178" s="15" t="str">
        <x:v>Not checked</x:v>
      </x:c>
      <x:c r="R1178" s="15" t="str"/>
      <x:c r="S1178" s="15" t="str"/>
      <x:c r="T1178" s="15" t="str">
        <x:v>Log first source path or blocker</x:v>
      </x:c>
      <x:c r="U1178" s="12" t="str">
        <x:f>IF(OR(P1178="Unverified",Q1178="Not checked"),"BLOCKED_PENDING_RECEIPT","READY_FOR_REVIEW")</x:f>
        <x:v>BLOCKED_PENDING_RECEIPT</x:v>
      </x:c>
      <x:c r="V1178" s="12" t="str">
        <x:f>IF(J1178="DONE","RETURNED",IF(U1178="BLOCKED_PENDING_RECEIPT","SOURCE_TOUCH_REQUIRED","IN_PROGRESS"))</x:f>
        <x:v>SOURCE_TOUCH_REQUIRED</x:v>
      </x:c>
      <x:c r="W1178" s="12" t="str">
        <x:f>IF(P1178="Unverified","missing_receipt","receipt_logged")</x:f>
        <x:v>missing_receipt</x:v>
      </x:c>
      <x:c r="X1178" s="12" t="str">
        <x:f>IF(Q1178="Not checked","raw_status_missing","raw_status_logged")</x:f>
        <x:v>raw_status_missing</x:v>
      </x:c>
      <x:c r="Y1178" s="12" t="str">
        <x:f>IF(U1178="BLOCKED_PENDING_RECEIPT","Log source path or blocker; do not promote","Route to review lane")</x:f>
        <x:v>Log source path or blocker; do not promote</x:v>
      </x:c>
      <x:c r="Z1178" s="12" t="str">
        <x:f>IF(K1178="P0","Primary seat + Hashlight/Lucerna","Seat lane")</x:f>
        <x:v>Primary seat + Hashlight/Lucerna</x:v>
      </x:c>
      <x:c r="AA1178" s="12" t="str">
        <x:f>IF(R1178="","no_claim_delta","claim_delta_present")</x:f>
        <x:v>no_claim_delta</x:v>
      </x:c>
      <x:c r="AB1178" s="12" t="str">
        <x:f>IF(S1178="","no_contradiction_delta","contradiction_delta_present")</x:f>
        <x:v>no_contradiction_delta</x:v>
      </x:c>
      <x:c r="AC1178" s="12" t="str">
        <x:f>IF(OR(ISNUMBER(SEARCH("hacker",LOWER(F1178&amp;" "&amp;H1178&amp;" "&amp;I1178&amp;" "&amp;M1178&amp;" "&amp;N1178&amp;" "&amp;T1178))),ISNUMBER(SEARCH("hacking",LOWER(F1178&amp;" "&amp;H1178&amp;" "&amp;I1178&amp;" "&amp;M1178&amp;" "&amp;N1178&amp;" "&amp;T1178))),ISNUMBER(SEARCH("bank",LOWER(F1178&amp;" "&amp;H1178&amp;" "&amp;I1178&amp;" "&amp;M1178&amp;" "&amp;N1178&amp;" "&amp;T1178))),ISNUMBER(SEARCH("banking",LOWER(F1178&amp;" "&amp;H1178&amp;" "&amp;I1178&amp;" "&amp;M1178&amp;" "&amp;N1178&amp;" "&amp;T1178)))),"PRIVATE_QUARANTINE",IF(OR(ISNUMBER(SEARCH("treasury",LOWER(F1178&amp;" "&amp;H1178&amp;" "&amp;I1178&amp;" "&amp;M1178&amp;" "&amp;N1178&amp;" "&amp;T1178))),ISNUMBER(SEARCH("debt",LOWER(F1178&amp;" "&amp;H1178&amp;" "&amp;I1178&amp;" "&amp;M1178&amp;" "&amp;N1178&amp;" "&amp;T1178))),ISNUMBER(SEARCH("bond",LOWER(F1178&amp;" "&amp;H1178&amp;" "&amp;I1178&amp;" "&amp;M1178&amp;" "&amp;N1178&amp;" "&amp;T1178))),ISNUMBER(SEARCH("transaction",LOWER(F1178&amp;" "&amp;H1178&amp;" "&amp;I1178&amp;" "&amp;M1178&amp;" "&amp;N1178&amp;" "&amp;T1178)))),"PRIVATE_REVIEW","PUBLIC_CANDIDATE"))</x:f>
        <x:v>PUBLIC_CANDIDATE</x:v>
      </x:c>
      <x:c r="AD1178" s="12" t="str">
        <x:f>IF(AC1178="PRIVATE_QUARANTINE","hacker_or_bank_trigger",IF(AC1178="PRIVATE_REVIEW","finance_risk_trigger","none"))</x:f>
        <x:v>none</x:v>
      </x:c>
      <x:c r="AE1178" s="12" t="str">
        <x:f>IF(AC1178="PUBLIC_CANDIDATE","prepare_public_github_candidate",IF(AC1178="PRIVATE_REVIEW","hold_for_private_review","quarantine_private_do_not_publish"))</x:f>
        <x:v>prepare_public_github_candidate</x:v>
      </x:c>
      <x:c r="AF1178" s="12" t="str">
        <x:f>IF(AC1178="PUBLIC_CANDIDATE","TIDELOCK + Lucerna",IF(AC1178="PRIVATE_REVIEW","AtlasBrain + Lucerna","TIDELOCK + Lucerna + Human-root"))</x:f>
        <x:v>TIDELOCK + Lucerna</x:v>
      </x:c>
      <x:c r="AG1178" s="12" t="str">
        <x:f>IF(AND(AC1178="PUBLIC_CANDIDATE",U1178&lt;&gt;"BLOCKED_PENDING_RECEIPT"),"READY_AFTER_RECEIPT","NOT_READY")</x:f>
        <x:v>NOT_READY</x:v>
      </x:c>
      <x:c r="AH1178" s="12" t="str">
        <x:f>IF(AC1178="PUBLIC_CANDIDATE","none",AD1178)</x:f>
        <x:v>none</x:v>
      </x:c>
      <x:c r="AI1178" s="12" t="str">
        <x:f>IF(AC1178="PUBLIC_CANDIDATE","archive/public_candidates/"&amp;A1178,"private_quarantine/"&amp;A1178)</x:f>
        <x:v>archive/public_candidates/SWARM-09-H03-S01</x:v>
      </x:c>
      <x:c r="AJ1178" s="12" t="str">
        <x:f>IF(AC1178="PUBLIC_CANDIDATE","public by default; still not canon","private/hold; do not publish")</x:f>
        <x:v>public by default; still not canon</x:v>
      </x:c>
      <x:c r="AK1178" s="12" t="str">
        <x:f>IF(AE1178="prepare_public_github_candidate","add receipt/status then mirror","resolve blocker before any public GitHub action")</x:f>
        <x:v>add receipt/status then mirror</x:v>
      </x:c>
    </x:row>
    <x:row r="1179">
      <x:c r="A1179" s="15" t="str">
        <x:v>SWARM-09-H03-S02</x:v>
      </x:c>
      <x:c r="B1179" s="15" t="str">
        <x:v>NotionMoth</x:v>
      </x:c>
      <x:c r="C1179" s="15" t="str">
        <x:v>Notion ontology mapper</x:v>
      </x:c>
      <x:c r="D1179" s="15" t="str">
        <x:v>Raw Export Recovery</x:v>
      </x:c>
      <x:c r="E1179" s="15" t="str">
        <x:v>Drive</x:v>
      </x:c>
      <x:c r="F1179" s="15" t="str">
        <x:v>Recover raw exports for Drive — NotionMoth</x:v>
      </x:c>
      <x:c r="G1179" s="15" t="str">
        <x:v>legacy schema / Notion export prep</x:v>
      </x:c>
      <x:c r="H1179" s="15" t="str">
        <x:v>source path + receipt + raw/export status + claim/edge/risk delta</x:v>
      </x:c>
      <x:c r="I1179" s="15" t="str">
        <x:v>packet/SWARM-09-H03-S02</x:v>
      </x:c>
      <x:c r="J1179" s="15" t="str">
        <x:v>TODO</x:v>
      </x:c>
      <x:c r="K1179" s="15" t="str">
        <x:v>P0</x:v>
      </x:c>
      <x:c r="L1179" s="15" t="str">
        <x:v>Done only when evidence is logged, contradiction search is noted, and boundary stamp remains non-canon unless ratified</x:v>
      </x:c>
      <x:c r="M1179" s="15" t="str">
        <x:v>candidate / staging-only / not canon / not deployed / authority none</x:v>
      </x:c>
      <x:c r="N1179" s="15" t="str">
        <x:v>Dispatch to NotionMoth: complete Raw Export Recovery x Drive; return deltas only, receipts required.</x:v>
      </x:c>
      <x:c r="O1179" s="15" t="str">
        <x:v>AF-KG-H03-S02</x:v>
      </x:c>
      <x:c r="P1179" s="15" t="str">
        <x:v>Unverified</x:v>
      </x:c>
      <x:c r="Q1179" s="15" t="str">
        <x:v>Not checked</x:v>
      </x:c>
      <x:c r="R1179" s="15" t="str"/>
      <x:c r="S1179" s="15" t="str"/>
      <x:c r="T1179" s="15" t="str">
        <x:v>Log first source path or blocker</x:v>
      </x:c>
      <x:c r="U1179" s="12" t="str">
        <x:f>IF(OR(P1179="Unverified",Q1179="Not checked"),"BLOCKED_PENDING_RECEIPT","READY_FOR_REVIEW")</x:f>
        <x:v>BLOCKED_PENDING_RECEIPT</x:v>
      </x:c>
      <x:c r="V1179" s="12" t="str">
        <x:f>IF(J1179="DONE","RETURNED",IF(U1179="BLOCKED_PENDING_RECEIPT","SOURCE_TOUCH_REQUIRED","IN_PROGRESS"))</x:f>
        <x:v>SOURCE_TOUCH_REQUIRED</x:v>
      </x:c>
      <x:c r="W1179" s="12" t="str">
        <x:f>IF(P1179="Unverified","missing_receipt","receipt_logged")</x:f>
        <x:v>missing_receipt</x:v>
      </x:c>
      <x:c r="X1179" s="12" t="str">
        <x:f>IF(Q1179="Not checked","raw_status_missing","raw_status_logged")</x:f>
        <x:v>raw_status_missing</x:v>
      </x:c>
      <x:c r="Y1179" s="12" t="str">
        <x:f>IF(U1179="BLOCKED_PENDING_RECEIPT","Log source path or blocker; do not promote","Route to review lane")</x:f>
        <x:v>Log source path or blocker; do not promote</x:v>
      </x:c>
      <x:c r="Z1179" s="12" t="str">
        <x:f>IF(K1179="P0","Primary seat + Hashlight/Lucerna","Seat lane")</x:f>
        <x:v>Primary seat + Hashlight/Lucerna</x:v>
      </x:c>
      <x:c r="AA1179" s="12" t="str">
        <x:f>IF(R1179="","no_claim_delta","claim_delta_present")</x:f>
        <x:v>no_claim_delta</x:v>
      </x:c>
      <x:c r="AB1179" s="12" t="str">
        <x:f>IF(S1179="","no_contradiction_delta","contradiction_delta_present")</x:f>
        <x:v>no_contradiction_delta</x:v>
      </x:c>
      <x:c r="AC1179" s="12" t="str">
        <x:f>IF(OR(ISNUMBER(SEARCH("hacker",LOWER(F1179&amp;" "&amp;H1179&amp;" "&amp;I1179&amp;" "&amp;M1179&amp;" "&amp;N1179&amp;" "&amp;T1179))),ISNUMBER(SEARCH("hacking",LOWER(F1179&amp;" "&amp;H1179&amp;" "&amp;I1179&amp;" "&amp;M1179&amp;" "&amp;N1179&amp;" "&amp;T1179))),ISNUMBER(SEARCH("bank",LOWER(F1179&amp;" "&amp;H1179&amp;" "&amp;I1179&amp;" "&amp;M1179&amp;" "&amp;N1179&amp;" "&amp;T1179))),ISNUMBER(SEARCH("banking",LOWER(F1179&amp;" "&amp;H1179&amp;" "&amp;I1179&amp;" "&amp;M1179&amp;" "&amp;N1179&amp;" "&amp;T1179)))),"PRIVATE_QUARANTINE",IF(OR(ISNUMBER(SEARCH("treasury",LOWER(F1179&amp;" "&amp;H1179&amp;" "&amp;I1179&amp;" "&amp;M1179&amp;" "&amp;N1179&amp;" "&amp;T1179))),ISNUMBER(SEARCH("debt",LOWER(F1179&amp;" "&amp;H1179&amp;" "&amp;I1179&amp;" "&amp;M1179&amp;" "&amp;N1179&amp;" "&amp;T1179))),ISNUMBER(SEARCH("bond",LOWER(F1179&amp;" "&amp;H1179&amp;" "&amp;I1179&amp;" "&amp;M1179&amp;" "&amp;N1179&amp;" "&amp;T1179))),ISNUMBER(SEARCH("transaction",LOWER(F1179&amp;" "&amp;H1179&amp;" "&amp;I1179&amp;" "&amp;M1179&amp;" "&amp;N1179&amp;" "&amp;T1179)))),"PRIVATE_REVIEW","PUBLIC_CANDIDATE"))</x:f>
        <x:v>PUBLIC_CANDIDATE</x:v>
      </x:c>
      <x:c r="AD1179" s="12" t="str">
        <x:f>IF(AC1179="PRIVATE_QUARANTINE","hacker_or_bank_trigger",IF(AC1179="PRIVATE_REVIEW","finance_risk_trigger","none"))</x:f>
        <x:v>none</x:v>
      </x:c>
      <x:c r="AE1179" s="12" t="str">
        <x:f>IF(AC1179="PUBLIC_CANDIDATE","prepare_public_github_candidate",IF(AC1179="PRIVATE_REVIEW","hold_for_private_review","quarantine_private_do_not_publish"))</x:f>
        <x:v>prepare_public_github_candidate</x:v>
      </x:c>
      <x:c r="AF1179" s="12" t="str">
        <x:f>IF(AC1179="PUBLIC_CANDIDATE","TIDELOCK + Lucerna",IF(AC1179="PRIVATE_REVIEW","AtlasBrain + Lucerna","TIDELOCK + Lucerna + Human-root"))</x:f>
        <x:v>TIDELOCK + Lucerna</x:v>
      </x:c>
      <x:c r="AG1179" s="12" t="str">
        <x:f>IF(AND(AC1179="PUBLIC_CANDIDATE",U1179&lt;&gt;"BLOCKED_PENDING_RECEIPT"),"READY_AFTER_RECEIPT","NOT_READY")</x:f>
        <x:v>NOT_READY</x:v>
      </x:c>
      <x:c r="AH1179" s="12" t="str">
        <x:f>IF(AC1179="PUBLIC_CANDIDATE","none",AD1179)</x:f>
        <x:v>none</x:v>
      </x:c>
      <x:c r="AI1179" s="12" t="str">
        <x:f>IF(AC1179="PUBLIC_CANDIDATE","archive/public_candidates/"&amp;A1179,"private_quarantine/"&amp;A1179)</x:f>
        <x:v>archive/public_candidates/SWARM-09-H03-S02</x:v>
      </x:c>
      <x:c r="AJ1179" s="12" t="str">
        <x:f>IF(AC1179="PUBLIC_CANDIDATE","public by default; still not canon","private/hold; do not publish")</x:f>
        <x:v>public by default; still not canon</x:v>
      </x:c>
      <x:c r="AK1179" s="12" t="str">
        <x:f>IF(AE1179="prepare_public_github_candidate","add receipt/status then mirror","resolve blocker before any public GitHub action")</x:f>
        <x:v>add receipt/status then mirror</x:v>
      </x:c>
    </x:row>
    <x:row r="1180">
      <x:c r="A1180" s="15" t="str">
        <x:v>SWARM-09-H03-S03</x:v>
      </x:c>
      <x:c r="B1180" s="15" t="str">
        <x:v>NotionMoth</x:v>
      </x:c>
      <x:c r="C1180" s="15" t="str">
        <x:v>Notion ontology mapper</x:v>
      </x:c>
      <x:c r="D1180" s="15" t="str">
        <x:v>Raw Export Recovery</x:v>
      </x:c>
      <x:c r="E1180" s="15" t="str">
        <x:v>GitHub</x:v>
      </x:c>
      <x:c r="F1180" s="15" t="str">
        <x:v>Recover raw exports for GitHub — NotionMoth</x:v>
      </x:c>
      <x:c r="G1180" s="15" t="str">
        <x:v>legacy schema / Notion export prep</x:v>
      </x:c>
      <x:c r="H1180" s="15" t="str">
        <x:v>source path + receipt + raw/export status + claim/edge/risk delta</x:v>
      </x:c>
      <x:c r="I1180" s="15" t="str">
        <x:v>packet/SWARM-09-H03-S03</x:v>
      </x:c>
      <x:c r="J1180" s="15" t="str">
        <x:v>TODO</x:v>
      </x:c>
      <x:c r="K1180" s="15" t="str">
        <x:v>P0</x:v>
      </x:c>
      <x:c r="L1180" s="15" t="str">
        <x:v>Done only when evidence is logged, contradiction search is noted, and boundary stamp remains non-canon unless ratified</x:v>
      </x:c>
      <x:c r="M1180" s="15" t="str">
        <x:v>candidate / staging-only / not canon / not deployed / authority none</x:v>
      </x:c>
      <x:c r="N1180" s="15" t="str">
        <x:v>Dispatch to NotionMoth: complete Raw Export Recovery x GitHub; return deltas only, receipts required.</x:v>
      </x:c>
      <x:c r="O1180" s="15" t="str">
        <x:v>AF-KG-H03-S03</x:v>
      </x:c>
      <x:c r="P1180" s="15" t="str">
        <x:v>Unverified</x:v>
      </x:c>
      <x:c r="Q1180" s="15" t="str">
        <x:v>Not checked</x:v>
      </x:c>
      <x:c r="R1180" s="15" t="str"/>
      <x:c r="S1180" s="15" t="str"/>
      <x:c r="T1180" s="15" t="str">
        <x:v>Log first source path or blocker</x:v>
      </x:c>
      <x:c r="U1180" s="12" t="str">
        <x:f>IF(OR(P1180="Unverified",Q1180="Not checked"),"BLOCKED_PENDING_RECEIPT","READY_FOR_REVIEW")</x:f>
        <x:v>BLOCKED_PENDING_RECEIPT</x:v>
      </x:c>
      <x:c r="V1180" s="12" t="str">
        <x:f>IF(J1180="DONE","RETURNED",IF(U1180="BLOCKED_PENDING_RECEIPT","SOURCE_TOUCH_REQUIRED","IN_PROGRESS"))</x:f>
        <x:v>SOURCE_TOUCH_REQUIRED</x:v>
      </x:c>
      <x:c r="W1180" s="12" t="str">
        <x:f>IF(P1180="Unverified","missing_receipt","receipt_logged")</x:f>
        <x:v>missing_receipt</x:v>
      </x:c>
      <x:c r="X1180" s="12" t="str">
        <x:f>IF(Q1180="Not checked","raw_status_missing","raw_status_logged")</x:f>
        <x:v>raw_status_missing</x:v>
      </x:c>
      <x:c r="Y1180" s="12" t="str">
        <x:f>IF(U1180="BLOCKED_PENDING_RECEIPT","Log source path or blocker; do not promote","Route to review lane")</x:f>
        <x:v>Log source path or blocker; do not promote</x:v>
      </x:c>
      <x:c r="Z1180" s="12" t="str">
        <x:f>IF(K1180="P0","Primary seat + Hashlight/Lucerna","Seat lane")</x:f>
        <x:v>Primary seat + Hashlight/Lucerna</x:v>
      </x:c>
      <x:c r="AA1180" s="12" t="str">
        <x:f>IF(R1180="","no_claim_delta","claim_delta_present")</x:f>
        <x:v>no_claim_delta</x:v>
      </x:c>
      <x:c r="AB1180" s="12" t="str">
        <x:f>IF(S1180="","no_contradiction_delta","contradiction_delta_present")</x:f>
        <x:v>no_contradiction_delta</x:v>
      </x:c>
      <x:c r="AC1180" s="12" t="str">
        <x:f>IF(OR(ISNUMBER(SEARCH("hacker",LOWER(F1180&amp;" "&amp;H1180&amp;" "&amp;I1180&amp;" "&amp;M1180&amp;" "&amp;N1180&amp;" "&amp;T1180))),ISNUMBER(SEARCH("hacking",LOWER(F1180&amp;" "&amp;H1180&amp;" "&amp;I1180&amp;" "&amp;M1180&amp;" "&amp;N1180&amp;" "&amp;T1180))),ISNUMBER(SEARCH("bank",LOWER(F1180&amp;" "&amp;H1180&amp;" "&amp;I1180&amp;" "&amp;M1180&amp;" "&amp;N1180&amp;" "&amp;T1180))),ISNUMBER(SEARCH("banking",LOWER(F1180&amp;" "&amp;H1180&amp;" "&amp;I1180&amp;" "&amp;M1180&amp;" "&amp;N1180&amp;" "&amp;T1180)))),"PRIVATE_QUARANTINE",IF(OR(ISNUMBER(SEARCH("treasury",LOWER(F1180&amp;" "&amp;H1180&amp;" "&amp;I1180&amp;" "&amp;M1180&amp;" "&amp;N1180&amp;" "&amp;T1180))),ISNUMBER(SEARCH("debt",LOWER(F1180&amp;" "&amp;H1180&amp;" "&amp;I1180&amp;" "&amp;M1180&amp;" "&amp;N1180&amp;" "&amp;T1180))),ISNUMBER(SEARCH("bond",LOWER(F1180&amp;" "&amp;H1180&amp;" "&amp;I1180&amp;" "&amp;M1180&amp;" "&amp;N1180&amp;" "&amp;T1180))),ISNUMBER(SEARCH("transaction",LOWER(F1180&amp;" "&amp;H1180&amp;" "&amp;I1180&amp;" "&amp;M1180&amp;" "&amp;N1180&amp;" "&amp;T1180)))),"PRIVATE_REVIEW","PUBLIC_CANDIDATE"))</x:f>
        <x:v>PUBLIC_CANDIDATE</x:v>
      </x:c>
      <x:c r="AD1180" s="12" t="str">
        <x:f>IF(AC1180="PRIVATE_QUARANTINE","hacker_or_bank_trigger",IF(AC1180="PRIVATE_REVIEW","finance_risk_trigger","none"))</x:f>
        <x:v>none</x:v>
      </x:c>
      <x:c r="AE1180" s="12" t="str">
        <x:f>IF(AC1180="PUBLIC_CANDIDATE","prepare_public_github_candidate",IF(AC1180="PRIVATE_REVIEW","hold_for_private_review","quarantine_private_do_not_publish"))</x:f>
        <x:v>prepare_public_github_candidate</x:v>
      </x:c>
      <x:c r="AF1180" s="12" t="str">
        <x:f>IF(AC1180="PUBLIC_CANDIDATE","TIDELOCK + Lucerna",IF(AC1180="PRIVATE_REVIEW","AtlasBrain + Lucerna","TIDELOCK + Lucerna + Human-root"))</x:f>
        <x:v>TIDELOCK + Lucerna</x:v>
      </x:c>
      <x:c r="AG1180" s="12" t="str">
        <x:f>IF(AND(AC1180="PUBLIC_CANDIDATE",U1180&lt;&gt;"BLOCKED_PENDING_RECEIPT"),"READY_AFTER_RECEIPT","NOT_READY")</x:f>
        <x:v>NOT_READY</x:v>
      </x:c>
      <x:c r="AH1180" s="12" t="str">
        <x:f>IF(AC1180="PUBLIC_CANDIDATE","none",AD1180)</x:f>
        <x:v>none</x:v>
      </x:c>
      <x:c r="AI1180" s="12" t="str">
        <x:f>IF(AC1180="PUBLIC_CANDIDATE","archive/public_candidates/"&amp;A1180,"private_quarantine/"&amp;A1180)</x:f>
        <x:v>archive/public_candidates/SWARM-09-H03-S03</x:v>
      </x:c>
      <x:c r="AJ1180" s="12" t="str">
        <x:f>IF(AC1180="PUBLIC_CANDIDATE","public by default; still not canon","private/hold; do not publish")</x:f>
        <x:v>public by default; still not canon</x:v>
      </x:c>
      <x:c r="AK1180" s="12" t="str">
        <x:f>IF(AE1180="prepare_public_github_candidate","add receipt/status then mirror","resolve blocker before any public GitHub action")</x:f>
        <x:v>add receipt/status then mirror</x:v>
      </x:c>
    </x:row>
    <x:row r="1181">
      <x:c r="A1181" s="15" t="str">
        <x:v>SWARM-09-H03-S04</x:v>
      </x:c>
      <x:c r="B1181" s="15" t="str">
        <x:v>NotionMoth</x:v>
      </x:c>
      <x:c r="C1181" s="15" t="str">
        <x:v>Notion ontology mapper</x:v>
      </x:c>
      <x:c r="D1181" s="15" t="str">
        <x:v>Raw Export Recovery</x:v>
      </x:c>
      <x:c r="E1181" s="15" t="str">
        <x:v>Gamma</x:v>
      </x:c>
      <x:c r="F1181" s="15" t="str">
        <x:v>Recover raw exports for Gamma — NotionMoth</x:v>
      </x:c>
      <x:c r="G1181" s="15" t="str">
        <x:v>legacy schema / Notion export prep</x:v>
      </x:c>
      <x:c r="H1181" s="15" t="str">
        <x:v>source path + receipt + raw/export status + claim/edge/risk delta</x:v>
      </x:c>
      <x:c r="I1181" s="15" t="str">
        <x:v>packet/SWARM-09-H03-S04</x:v>
      </x:c>
      <x:c r="J1181" s="15" t="str">
        <x:v>TODO</x:v>
      </x:c>
      <x:c r="K1181" s="15" t="str">
        <x:v>P1</x:v>
      </x:c>
      <x:c r="L1181" s="15" t="str">
        <x:v>Done only when evidence is logged, contradiction search is noted, and boundary stamp remains non-canon unless ratified</x:v>
      </x:c>
      <x:c r="M1181" s="15" t="str">
        <x:v>candidate / staging-only / not canon / not deployed / authority none</x:v>
      </x:c>
      <x:c r="N1181" s="15" t="str">
        <x:v>Dispatch to NotionMoth: complete Raw Export Recovery x Gamma; return deltas only, receipts required.</x:v>
      </x:c>
      <x:c r="O1181" s="15" t="str">
        <x:v>AF-KG-H03-S04</x:v>
      </x:c>
      <x:c r="P1181" s="15" t="str">
        <x:v>Unverified</x:v>
      </x:c>
      <x:c r="Q1181" s="15" t="str">
        <x:v>Not checked</x:v>
      </x:c>
      <x:c r="R1181" s="15" t="str"/>
      <x:c r="S1181" s="15" t="str"/>
      <x:c r="T1181" s="15" t="str">
        <x:v>Log first source path or blocker</x:v>
      </x:c>
      <x:c r="U1181" s="12" t="str">
        <x:f>IF(OR(P1181="Unverified",Q1181="Not checked"),"BLOCKED_PENDING_RECEIPT","READY_FOR_REVIEW")</x:f>
        <x:v>BLOCKED_PENDING_RECEIPT</x:v>
      </x:c>
      <x:c r="V1181" s="12" t="str">
        <x:f>IF(J1181="DONE","RETURNED",IF(U1181="BLOCKED_PENDING_RECEIPT","SOURCE_TOUCH_REQUIRED","IN_PROGRESS"))</x:f>
        <x:v>SOURCE_TOUCH_REQUIRED</x:v>
      </x:c>
      <x:c r="W1181" s="12" t="str">
        <x:f>IF(P1181="Unverified","missing_receipt","receipt_logged")</x:f>
        <x:v>missing_receipt</x:v>
      </x:c>
      <x:c r="X1181" s="12" t="str">
        <x:f>IF(Q1181="Not checked","raw_status_missing","raw_status_logged")</x:f>
        <x:v>raw_status_missing</x:v>
      </x:c>
      <x:c r="Y1181" s="12" t="str">
        <x:f>IF(U1181="BLOCKED_PENDING_RECEIPT","Log source path or blocker; do not promote","Route to review lane")</x:f>
        <x:v>Log source path or blocker; do not promote</x:v>
      </x:c>
      <x:c r="Z1181" s="12" t="str">
        <x:f>IF(K1181="P0","Primary seat + Hashlight/Lucerna","Seat lane")</x:f>
        <x:v>Seat lane</x:v>
      </x:c>
      <x:c r="AA1181" s="12" t="str">
        <x:f>IF(R1181="","no_claim_delta","claim_delta_present")</x:f>
        <x:v>no_claim_delta</x:v>
      </x:c>
      <x:c r="AB1181" s="12" t="str">
        <x:f>IF(S1181="","no_contradiction_delta","contradiction_delta_present")</x:f>
        <x:v>no_contradiction_delta</x:v>
      </x:c>
      <x:c r="AC1181" s="12" t="str">
        <x:f>IF(OR(ISNUMBER(SEARCH("hacker",LOWER(F1181&amp;" "&amp;H1181&amp;" "&amp;I1181&amp;" "&amp;M1181&amp;" "&amp;N1181&amp;" "&amp;T1181))),ISNUMBER(SEARCH("hacking",LOWER(F1181&amp;" "&amp;H1181&amp;" "&amp;I1181&amp;" "&amp;M1181&amp;" "&amp;N1181&amp;" "&amp;T1181))),ISNUMBER(SEARCH("bank",LOWER(F1181&amp;" "&amp;H1181&amp;" "&amp;I1181&amp;" "&amp;M1181&amp;" "&amp;N1181&amp;" "&amp;T1181))),ISNUMBER(SEARCH("banking",LOWER(F1181&amp;" "&amp;H1181&amp;" "&amp;I1181&amp;" "&amp;M1181&amp;" "&amp;N1181&amp;" "&amp;T1181)))),"PRIVATE_QUARANTINE",IF(OR(ISNUMBER(SEARCH("treasury",LOWER(F1181&amp;" "&amp;H1181&amp;" "&amp;I1181&amp;" "&amp;M1181&amp;" "&amp;N1181&amp;" "&amp;T1181))),ISNUMBER(SEARCH("debt",LOWER(F1181&amp;" "&amp;H1181&amp;" "&amp;I1181&amp;" "&amp;M1181&amp;" "&amp;N1181&amp;" "&amp;T1181))),ISNUMBER(SEARCH("bond",LOWER(F1181&amp;" "&amp;H1181&amp;" "&amp;I1181&amp;" "&amp;M1181&amp;" "&amp;N1181&amp;" "&amp;T1181))),ISNUMBER(SEARCH("transaction",LOWER(F1181&amp;" "&amp;H1181&amp;" "&amp;I1181&amp;" "&amp;M1181&amp;" "&amp;N1181&amp;" "&amp;T1181)))),"PRIVATE_REVIEW","PUBLIC_CANDIDATE"))</x:f>
        <x:v>PUBLIC_CANDIDATE</x:v>
      </x:c>
      <x:c r="AD1181" s="12" t="str">
        <x:f>IF(AC1181="PRIVATE_QUARANTINE","hacker_or_bank_trigger",IF(AC1181="PRIVATE_REVIEW","finance_risk_trigger","none"))</x:f>
        <x:v>none</x:v>
      </x:c>
      <x:c r="AE1181" s="12" t="str">
        <x:f>IF(AC1181="PUBLIC_CANDIDATE","prepare_public_github_candidate",IF(AC1181="PRIVATE_REVIEW","hold_for_private_review","quarantine_private_do_not_publish"))</x:f>
        <x:v>prepare_public_github_candidate</x:v>
      </x:c>
      <x:c r="AF1181" s="12" t="str">
        <x:f>IF(AC1181="PUBLIC_CANDIDATE","TIDELOCK + Lucerna",IF(AC1181="PRIVATE_REVIEW","AtlasBrain + Lucerna","TIDELOCK + Lucerna + Human-root"))</x:f>
        <x:v>TIDELOCK + Lucerna</x:v>
      </x:c>
      <x:c r="AG1181" s="12" t="str">
        <x:f>IF(AND(AC1181="PUBLIC_CANDIDATE",U1181&lt;&gt;"BLOCKED_PENDING_RECEIPT"),"READY_AFTER_RECEIPT","NOT_READY")</x:f>
        <x:v>NOT_READY</x:v>
      </x:c>
      <x:c r="AH1181" s="12" t="str">
        <x:f>IF(AC1181="PUBLIC_CANDIDATE","none",AD1181)</x:f>
        <x:v>none</x:v>
      </x:c>
      <x:c r="AI1181" s="12" t="str">
        <x:f>IF(AC1181="PUBLIC_CANDIDATE","archive/public_candidates/"&amp;A1181,"private_quarantine/"&amp;A1181)</x:f>
        <x:v>archive/public_candidates/SWARM-09-H03-S04</x:v>
      </x:c>
      <x:c r="AJ1181" s="12" t="str">
        <x:f>IF(AC1181="PUBLIC_CANDIDATE","public by default; still not canon","private/hold; do not publish")</x:f>
        <x:v>public by default; still not canon</x:v>
      </x:c>
      <x:c r="AK1181" s="12" t="str">
        <x:f>IF(AE1181="prepare_public_github_candidate","add receipt/status then mirror","resolve blocker before any public GitHub action")</x:f>
        <x:v>add receipt/status then mirror</x:v>
      </x:c>
    </x:row>
    <x:row r="1182">
      <x:c r="A1182" s="15" t="str">
        <x:v>SWARM-09-H03-S05</x:v>
      </x:c>
      <x:c r="B1182" s="15" t="str">
        <x:v>NotionMoth</x:v>
      </x:c>
      <x:c r="C1182" s="15" t="str">
        <x:v>Notion ontology mapper</x:v>
      </x:c>
      <x:c r="D1182" s="15" t="str">
        <x:v>Raw Export Recovery</x:v>
      </x:c>
      <x:c r="E1182" s="15" t="str">
        <x:v>Chat</x:v>
      </x:c>
      <x:c r="F1182" s="15" t="str">
        <x:v>Recover raw exports for Chat — NotionMoth</x:v>
      </x:c>
      <x:c r="G1182" s="15" t="str">
        <x:v>legacy schema / Notion export prep</x:v>
      </x:c>
      <x:c r="H1182" s="15" t="str">
        <x:v>source path + receipt + raw/export status + claim/edge/risk delta</x:v>
      </x:c>
      <x:c r="I1182" s="15" t="str">
        <x:v>packet/SWARM-09-H03-S05</x:v>
      </x:c>
      <x:c r="J1182" s="15" t="str">
        <x:v>TODO</x:v>
      </x:c>
      <x:c r="K1182" s="15" t="str">
        <x:v>P1</x:v>
      </x:c>
      <x:c r="L1182" s="15" t="str">
        <x:v>Done only when evidence is logged, contradiction search is noted, and boundary stamp remains non-canon unless ratified</x:v>
      </x:c>
      <x:c r="M1182" s="15" t="str">
        <x:v>candidate / staging-only / not canon / not deployed / authority none</x:v>
      </x:c>
      <x:c r="N1182" s="15" t="str">
        <x:v>Dispatch to NotionMoth: complete Raw Export Recovery x Chat; return deltas only, receipts required.</x:v>
      </x:c>
      <x:c r="O1182" s="15" t="str">
        <x:v>AF-KG-H03-S05</x:v>
      </x:c>
      <x:c r="P1182" s="15" t="str">
        <x:v>Unverified</x:v>
      </x:c>
      <x:c r="Q1182" s="15" t="str">
        <x:v>Not checked</x:v>
      </x:c>
      <x:c r="R1182" s="15" t="str"/>
      <x:c r="S1182" s="15" t="str"/>
      <x:c r="T1182" s="15" t="str">
        <x:v>Log first source path or blocker</x:v>
      </x:c>
      <x:c r="U1182" s="12" t="str">
        <x:f>IF(OR(P1182="Unverified",Q1182="Not checked"),"BLOCKED_PENDING_RECEIPT","READY_FOR_REVIEW")</x:f>
        <x:v>BLOCKED_PENDING_RECEIPT</x:v>
      </x:c>
      <x:c r="V1182" s="12" t="str">
        <x:f>IF(J1182="DONE","RETURNED",IF(U1182="BLOCKED_PENDING_RECEIPT","SOURCE_TOUCH_REQUIRED","IN_PROGRESS"))</x:f>
        <x:v>SOURCE_TOUCH_REQUIRED</x:v>
      </x:c>
      <x:c r="W1182" s="12" t="str">
        <x:f>IF(P1182="Unverified","missing_receipt","receipt_logged")</x:f>
        <x:v>missing_receipt</x:v>
      </x:c>
      <x:c r="X1182" s="12" t="str">
        <x:f>IF(Q1182="Not checked","raw_status_missing","raw_status_logged")</x:f>
        <x:v>raw_status_missing</x:v>
      </x:c>
      <x:c r="Y1182" s="12" t="str">
        <x:f>IF(U1182="BLOCKED_PENDING_RECEIPT","Log source path or blocker; do not promote","Route to review lane")</x:f>
        <x:v>Log source path or blocker; do not promote</x:v>
      </x:c>
      <x:c r="Z1182" s="12" t="str">
        <x:f>IF(K1182="P0","Primary seat + Hashlight/Lucerna","Seat lane")</x:f>
        <x:v>Seat lane</x:v>
      </x:c>
      <x:c r="AA1182" s="12" t="str">
        <x:f>IF(R1182="","no_claim_delta","claim_delta_present")</x:f>
        <x:v>no_claim_delta</x:v>
      </x:c>
      <x:c r="AB1182" s="12" t="str">
        <x:f>IF(S1182="","no_contradiction_delta","contradiction_delta_present")</x:f>
        <x:v>no_contradiction_delta</x:v>
      </x:c>
      <x:c r="AC1182" s="12" t="str">
        <x:f>IF(OR(ISNUMBER(SEARCH("hacker",LOWER(F1182&amp;" "&amp;H1182&amp;" "&amp;I1182&amp;" "&amp;M1182&amp;" "&amp;N1182&amp;" "&amp;T1182))),ISNUMBER(SEARCH("hacking",LOWER(F1182&amp;" "&amp;H1182&amp;" "&amp;I1182&amp;" "&amp;M1182&amp;" "&amp;N1182&amp;" "&amp;T1182))),ISNUMBER(SEARCH("bank",LOWER(F1182&amp;" "&amp;H1182&amp;" "&amp;I1182&amp;" "&amp;M1182&amp;" "&amp;N1182&amp;" "&amp;T1182))),ISNUMBER(SEARCH("banking",LOWER(F1182&amp;" "&amp;H1182&amp;" "&amp;I1182&amp;" "&amp;M1182&amp;" "&amp;N1182&amp;" "&amp;T1182)))),"PRIVATE_QUARANTINE",IF(OR(ISNUMBER(SEARCH("treasury",LOWER(F1182&amp;" "&amp;H1182&amp;" "&amp;I1182&amp;" "&amp;M1182&amp;" "&amp;N1182&amp;" "&amp;T1182))),ISNUMBER(SEARCH("debt",LOWER(F1182&amp;" "&amp;H1182&amp;" "&amp;I1182&amp;" "&amp;M1182&amp;" "&amp;N1182&amp;" "&amp;T1182))),ISNUMBER(SEARCH("bond",LOWER(F1182&amp;" "&amp;H1182&amp;" "&amp;I1182&amp;" "&amp;M1182&amp;" "&amp;N1182&amp;" "&amp;T1182))),ISNUMBER(SEARCH("transaction",LOWER(F1182&amp;" "&amp;H1182&amp;" "&amp;I1182&amp;" "&amp;M1182&amp;" "&amp;N1182&amp;" "&amp;T1182)))),"PRIVATE_REVIEW","PUBLIC_CANDIDATE"))</x:f>
        <x:v>PUBLIC_CANDIDATE</x:v>
      </x:c>
      <x:c r="AD1182" s="12" t="str">
        <x:f>IF(AC1182="PRIVATE_QUARANTINE","hacker_or_bank_trigger",IF(AC1182="PRIVATE_REVIEW","finance_risk_trigger","none"))</x:f>
        <x:v>none</x:v>
      </x:c>
      <x:c r="AE1182" s="12" t="str">
        <x:f>IF(AC1182="PUBLIC_CANDIDATE","prepare_public_github_candidate",IF(AC1182="PRIVATE_REVIEW","hold_for_private_review","quarantine_private_do_not_publish"))</x:f>
        <x:v>prepare_public_github_candidate</x:v>
      </x:c>
      <x:c r="AF1182" s="12" t="str">
        <x:f>IF(AC1182="PUBLIC_CANDIDATE","TIDELOCK + Lucerna",IF(AC1182="PRIVATE_REVIEW","AtlasBrain + Lucerna","TIDELOCK + Lucerna + Human-root"))</x:f>
        <x:v>TIDELOCK + Lucerna</x:v>
      </x:c>
      <x:c r="AG1182" s="12" t="str">
        <x:f>IF(AND(AC1182="PUBLIC_CANDIDATE",U1182&lt;&gt;"BLOCKED_PENDING_RECEIPT"),"READY_AFTER_RECEIPT","NOT_READY")</x:f>
        <x:v>NOT_READY</x:v>
      </x:c>
      <x:c r="AH1182" s="12" t="str">
        <x:f>IF(AC1182="PUBLIC_CANDIDATE","none",AD1182)</x:f>
        <x:v>none</x:v>
      </x:c>
      <x:c r="AI1182" s="12" t="str">
        <x:f>IF(AC1182="PUBLIC_CANDIDATE","archive/public_candidates/"&amp;A1182,"private_quarantine/"&amp;A1182)</x:f>
        <x:v>archive/public_candidates/SWARM-09-H03-S05</x:v>
      </x:c>
      <x:c r="AJ1182" s="12" t="str">
        <x:f>IF(AC1182="PUBLIC_CANDIDATE","public by default; still not canon","private/hold; do not publish")</x:f>
        <x:v>public by default; still not canon</x:v>
      </x:c>
      <x:c r="AK1182" s="12" t="str">
        <x:f>IF(AE1182="prepare_public_github_candidate","add receipt/status then mirror","resolve blocker before any public GitHub action")</x:f>
        <x:v>add receipt/status then mirror</x:v>
      </x:c>
    </x:row>
    <x:row r="1183">
      <x:c r="A1183" s="15" t="str">
        <x:v>SWARM-09-H03-S06</x:v>
      </x:c>
      <x:c r="B1183" s="15" t="str">
        <x:v>NotionMoth</x:v>
      </x:c>
      <x:c r="C1183" s="15" t="str">
        <x:v>Notion ontology mapper</x:v>
      </x:c>
      <x:c r="D1183" s="15" t="str">
        <x:v>Raw Export Recovery</x:v>
      </x:c>
      <x:c r="E1183" s="15" t="str">
        <x:v>External Web</x:v>
      </x:c>
      <x:c r="F1183" s="15" t="str">
        <x:v>Recover raw exports for External Web — NotionMoth</x:v>
      </x:c>
      <x:c r="G1183" s="15" t="str">
        <x:v>legacy schema / Notion export prep</x:v>
      </x:c>
      <x:c r="H1183" s="15" t="str">
        <x:v>source path + receipt + raw/export status + claim/edge/risk delta</x:v>
      </x:c>
      <x:c r="I1183" s="15" t="str">
        <x:v>packet/SWARM-09-H03-S06</x:v>
      </x:c>
      <x:c r="J1183" s="15" t="str">
        <x:v>TODO</x:v>
      </x:c>
      <x:c r="K1183" s="15" t="str">
        <x:v>P1</x:v>
      </x:c>
      <x:c r="L1183" s="15" t="str">
        <x:v>Done only when evidence is logged, contradiction search is noted, and boundary stamp remains non-canon unless ratified</x:v>
      </x:c>
      <x:c r="M1183" s="15" t="str">
        <x:v>candidate / staging-only / not canon / not deployed / authority none</x:v>
      </x:c>
      <x:c r="N1183" s="15" t="str">
        <x:v>Dispatch to NotionMoth: complete Raw Export Recovery x External Web; return deltas only, receipts required.</x:v>
      </x:c>
      <x:c r="O1183" s="15" t="str">
        <x:v>AF-KG-H03-S06</x:v>
      </x:c>
      <x:c r="P1183" s="15" t="str">
        <x:v>Unverified</x:v>
      </x:c>
      <x:c r="Q1183" s="15" t="str">
        <x:v>Not checked</x:v>
      </x:c>
      <x:c r="R1183" s="15" t="str"/>
      <x:c r="S1183" s="15" t="str"/>
      <x:c r="T1183" s="15" t="str">
        <x:v>Log first source path or blocker</x:v>
      </x:c>
      <x:c r="U1183" s="12" t="str">
        <x:f>IF(OR(P1183="Unverified",Q1183="Not checked"),"BLOCKED_PENDING_RECEIPT","READY_FOR_REVIEW")</x:f>
        <x:v>BLOCKED_PENDING_RECEIPT</x:v>
      </x:c>
      <x:c r="V1183" s="12" t="str">
        <x:f>IF(J1183="DONE","RETURNED",IF(U1183="BLOCKED_PENDING_RECEIPT","SOURCE_TOUCH_REQUIRED","IN_PROGRESS"))</x:f>
        <x:v>SOURCE_TOUCH_REQUIRED</x:v>
      </x:c>
      <x:c r="W1183" s="12" t="str">
        <x:f>IF(P1183="Unverified","missing_receipt","receipt_logged")</x:f>
        <x:v>missing_receipt</x:v>
      </x:c>
      <x:c r="X1183" s="12" t="str">
        <x:f>IF(Q1183="Not checked","raw_status_missing","raw_status_logged")</x:f>
        <x:v>raw_status_missing</x:v>
      </x:c>
      <x:c r="Y1183" s="12" t="str">
        <x:f>IF(U1183="BLOCKED_PENDING_RECEIPT","Log source path or blocker; do not promote","Route to review lane")</x:f>
        <x:v>Log source path or blocker; do not promote</x:v>
      </x:c>
      <x:c r="Z1183" s="12" t="str">
        <x:f>IF(K1183="P0","Primary seat + Hashlight/Lucerna","Seat lane")</x:f>
        <x:v>Seat lane</x:v>
      </x:c>
      <x:c r="AA1183" s="12" t="str">
        <x:f>IF(R1183="","no_claim_delta","claim_delta_present")</x:f>
        <x:v>no_claim_delta</x:v>
      </x:c>
      <x:c r="AB1183" s="12" t="str">
        <x:f>IF(S1183="","no_contradiction_delta","contradiction_delta_present")</x:f>
        <x:v>no_contradiction_delta</x:v>
      </x:c>
      <x:c r="AC1183" s="12" t="str">
        <x:f>IF(OR(ISNUMBER(SEARCH("hacker",LOWER(F1183&amp;" "&amp;H1183&amp;" "&amp;I1183&amp;" "&amp;M1183&amp;" "&amp;N1183&amp;" "&amp;T1183))),ISNUMBER(SEARCH("hacking",LOWER(F1183&amp;" "&amp;H1183&amp;" "&amp;I1183&amp;" "&amp;M1183&amp;" "&amp;N1183&amp;" "&amp;T1183))),ISNUMBER(SEARCH("bank",LOWER(F1183&amp;" "&amp;H1183&amp;" "&amp;I1183&amp;" "&amp;M1183&amp;" "&amp;N1183&amp;" "&amp;T1183))),ISNUMBER(SEARCH("banking",LOWER(F1183&amp;" "&amp;H1183&amp;" "&amp;I1183&amp;" "&amp;M1183&amp;" "&amp;N1183&amp;" "&amp;T1183)))),"PRIVATE_QUARANTINE",IF(OR(ISNUMBER(SEARCH("treasury",LOWER(F1183&amp;" "&amp;H1183&amp;" "&amp;I1183&amp;" "&amp;M1183&amp;" "&amp;N1183&amp;" "&amp;T1183))),ISNUMBER(SEARCH("debt",LOWER(F1183&amp;" "&amp;H1183&amp;" "&amp;I1183&amp;" "&amp;M1183&amp;" "&amp;N1183&amp;" "&amp;T1183))),ISNUMBER(SEARCH("bond",LOWER(F1183&amp;" "&amp;H1183&amp;" "&amp;I1183&amp;" "&amp;M1183&amp;" "&amp;N1183&amp;" "&amp;T1183))),ISNUMBER(SEARCH("transaction",LOWER(F1183&amp;" "&amp;H1183&amp;" "&amp;I1183&amp;" "&amp;M1183&amp;" "&amp;N1183&amp;" "&amp;T1183)))),"PRIVATE_REVIEW","PUBLIC_CANDIDATE"))</x:f>
        <x:v>PUBLIC_CANDIDATE</x:v>
      </x:c>
      <x:c r="AD1183" s="12" t="str">
        <x:f>IF(AC1183="PRIVATE_QUARANTINE","hacker_or_bank_trigger",IF(AC1183="PRIVATE_REVIEW","finance_risk_trigger","none"))</x:f>
        <x:v>none</x:v>
      </x:c>
      <x:c r="AE1183" s="12" t="str">
        <x:f>IF(AC1183="PUBLIC_CANDIDATE","prepare_public_github_candidate",IF(AC1183="PRIVATE_REVIEW","hold_for_private_review","quarantine_private_do_not_publish"))</x:f>
        <x:v>prepare_public_github_candidate</x:v>
      </x:c>
      <x:c r="AF1183" s="12" t="str">
        <x:f>IF(AC1183="PUBLIC_CANDIDATE","TIDELOCK + Lucerna",IF(AC1183="PRIVATE_REVIEW","AtlasBrain + Lucerna","TIDELOCK + Lucerna + Human-root"))</x:f>
        <x:v>TIDELOCK + Lucerna</x:v>
      </x:c>
      <x:c r="AG1183" s="12" t="str">
        <x:f>IF(AND(AC1183="PUBLIC_CANDIDATE",U1183&lt;&gt;"BLOCKED_PENDING_RECEIPT"),"READY_AFTER_RECEIPT","NOT_READY")</x:f>
        <x:v>NOT_READY</x:v>
      </x:c>
      <x:c r="AH1183" s="12" t="str">
        <x:f>IF(AC1183="PUBLIC_CANDIDATE","none",AD1183)</x:f>
        <x:v>none</x:v>
      </x:c>
      <x:c r="AI1183" s="12" t="str">
        <x:f>IF(AC1183="PUBLIC_CANDIDATE","archive/public_candidates/"&amp;A1183,"private_quarantine/"&amp;A1183)</x:f>
        <x:v>archive/public_candidates/SWARM-09-H03-S06</x:v>
      </x:c>
      <x:c r="AJ1183" s="12" t="str">
        <x:f>IF(AC1183="PUBLIC_CANDIDATE","public by default; still not canon","private/hold; do not publish")</x:f>
        <x:v>public by default; still not canon</x:v>
      </x:c>
      <x:c r="AK1183" s="12" t="str">
        <x:f>IF(AE1183="prepare_public_github_candidate","add receipt/status then mirror","resolve blocker before any public GitHub action")</x:f>
        <x:v>add receipt/status then mirror</x:v>
      </x:c>
    </x:row>
    <x:row r="1184">
      <x:c r="A1184" s="15" t="str">
        <x:v>SWARM-09-H03-S07</x:v>
      </x:c>
      <x:c r="B1184" s="15" t="str">
        <x:v>NotionMoth</x:v>
      </x:c>
      <x:c r="C1184" s="15" t="str">
        <x:v>Notion ontology mapper</x:v>
      </x:c>
      <x:c r="D1184" s="15" t="str">
        <x:v>Raw Export Recovery</x:v>
      </x:c>
      <x:c r="E1184" s="15" t="str">
        <x:v>Planetarium</x:v>
      </x:c>
      <x:c r="F1184" s="15" t="str">
        <x:v>Recover raw exports for Planetarium — NotionMoth</x:v>
      </x:c>
      <x:c r="G1184" s="15" t="str">
        <x:v>legacy schema / Notion export prep</x:v>
      </x:c>
      <x:c r="H1184" s="15" t="str">
        <x:v>source path + receipt + raw/export status + claim/edge/risk delta</x:v>
      </x:c>
      <x:c r="I1184" s="15" t="str">
        <x:v>packet/SWARM-09-H03-S07</x:v>
      </x:c>
      <x:c r="J1184" s="15" t="str">
        <x:v>TODO</x:v>
      </x:c>
      <x:c r="K1184" s="15" t="str">
        <x:v>P1</x:v>
      </x:c>
      <x:c r="L1184" s="15" t="str">
        <x:v>Done only when evidence is logged, contradiction search is noted, and boundary stamp remains non-canon unless ratified</x:v>
      </x:c>
      <x:c r="M1184" s="15" t="str">
        <x:v>candidate / staging-only / not canon / not deployed / authority none</x:v>
      </x:c>
      <x:c r="N1184" s="15" t="str">
        <x:v>Dispatch to NotionMoth: complete Raw Export Recovery x Planetarium; return deltas only, receipts required.</x:v>
      </x:c>
      <x:c r="O1184" s="15" t="str">
        <x:v>AF-KG-H03-S07</x:v>
      </x:c>
      <x:c r="P1184" s="15" t="str">
        <x:v>Unverified</x:v>
      </x:c>
      <x:c r="Q1184" s="15" t="str">
        <x:v>Not checked</x:v>
      </x:c>
      <x:c r="R1184" s="15" t="str"/>
      <x:c r="S1184" s="15" t="str"/>
      <x:c r="T1184" s="15" t="str">
        <x:v>Log first source path or blocker</x:v>
      </x:c>
      <x:c r="U1184" s="12" t="str">
        <x:f>IF(OR(P1184="Unverified",Q1184="Not checked"),"BLOCKED_PENDING_RECEIPT","READY_FOR_REVIEW")</x:f>
        <x:v>BLOCKED_PENDING_RECEIPT</x:v>
      </x:c>
      <x:c r="V1184" s="12" t="str">
        <x:f>IF(J1184="DONE","RETURNED",IF(U1184="BLOCKED_PENDING_RECEIPT","SOURCE_TOUCH_REQUIRED","IN_PROGRESS"))</x:f>
        <x:v>SOURCE_TOUCH_REQUIRED</x:v>
      </x:c>
      <x:c r="W1184" s="12" t="str">
        <x:f>IF(P1184="Unverified","missing_receipt","receipt_logged")</x:f>
        <x:v>missing_receipt</x:v>
      </x:c>
      <x:c r="X1184" s="12" t="str">
        <x:f>IF(Q1184="Not checked","raw_status_missing","raw_status_logged")</x:f>
        <x:v>raw_status_missing</x:v>
      </x:c>
      <x:c r="Y1184" s="12" t="str">
        <x:f>IF(U1184="BLOCKED_PENDING_RECEIPT","Log source path or blocker; do not promote","Route to review lane")</x:f>
        <x:v>Log source path or blocker; do not promote</x:v>
      </x:c>
      <x:c r="Z1184" s="12" t="str">
        <x:f>IF(K1184="P0","Primary seat + Hashlight/Lucerna","Seat lane")</x:f>
        <x:v>Seat lane</x:v>
      </x:c>
      <x:c r="AA1184" s="12" t="str">
        <x:f>IF(R1184="","no_claim_delta","claim_delta_present")</x:f>
        <x:v>no_claim_delta</x:v>
      </x:c>
      <x:c r="AB1184" s="12" t="str">
        <x:f>IF(S1184="","no_contradiction_delta","contradiction_delta_present")</x:f>
        <x:v>no_contradiction_delta</x:v>
      </x:c>
      <x:c r="AC1184" s="12" t="str">
        <x:f>IF(OR(ISNUMBER(SEARCH("hacker",LOWER(F1184&amp;" "&amp;H1184&amp;" "&amp;I1184&amp;" "&amp;M1184&amp;" "&amp;N1184&amp;" "&amp;T1184))),ISNUMBER(SEARCH("hacking",LOWER(F1184&amp;" "&amp;H1184&amp;" "&amp;I1184&amp;" "&amp;M1184&amp;" "&amp;N1184&amp;" "&amp;T1184))),ISNUMBER(SEARCH("bank",LOWER(F1184&amp;" "&amp;H1184&amp;" "&amp;I1184&amp;" "&amp;M1184&amp;" "&amp;N1184&amp;" "&amp;T1184))),ISNUMBER(SEARCH("banking",LOWER(F1184&amp;" "&amp;H1184&amp;" "&amp;I1184&amp;" "&amp;M1184&amp;" "&amp;N1184&amp;" "&amp;T1184)))),"PRIVATE_QUARANTINE",IF(OR(ISNUMBER(SEARCH("treasury",LOWER(F1184&amp;" "&amp;H1184&amp;" "&amp;I1184&amp;" "&amp;M1184&amp;" "&amp;N1184&amp;" "&amp;T1184))),ISNUMBER(SEARCH("debt",LOWER(F1184&amp;" "&amp;H1184&amp;" "&amp;I1184&amp;" "&amp;M1184&amp;" "&amp;N1184&amp;" "&amp;T1184))),ISNUMBER(SEARCH("bond",LOWER(F1184&amp;" "&amp;H1184&amp;" "&amp;I1184&amp;" "&amp;M1184&amp;" "&amp;N1184&amp;" "&amp;T1184))),ISNUMBER(SEARCH("transaction",LOWER(F1184&amp;" "&amp;H1184&amp;" "&amp;I1184&amp;" "&amp;M1184&amp;" "&amp;N1184&amp;" "&amp;T1184)))),"PRIVATE_REVIEW","PUBLIC_CANDIDATE"))</x:f>
        <x:v>PUBLIC_CANDIDATE</x:v>
      </x:c>
      <x:c r="AD1184" s="12" t="str">
        <x:f>IF(AC1184="PRIVATE_QUARANTINE","hacker_or_bank_trigger",IF(AC1184="PRIVATE_REVIEW","finance_risk_trigger","none"))</x:f>
        <x:v>none</x:v>
      </x:c>
      <x:c r="AE1184" s="12" t="str">
        <x:f>IF(AC1184="PUBLIC_CANDIDATE","prepare_public_github_candidate",IF(AC1184="PRIVATE_REVIEW","hold_for_private_review","quarantine_private_do_not_publish"))</x:f>
        <x:v>prepare_public_github_candidate</x:v>
      </x:c>
      <x:c r="AF1184" s="12" t="str">
        <x:f>IF(AC1184="PUBLIC_CANDIDATE","TIDELOCK + Lucerna",IF(AC1184="PRIVATE_REVIEW","AtlasBrain + Lucerna","TIDELOCK + Lucerna + Human-root"))</x:f>
        <x:v>TIDELOCK + Lucerna</x:v>
      </x:c>
      <x:c r="AG1184" s="12" t="str">
        <x:f>IF(AND(AC1184="PUBLIC_CANDIDATE",U1184&lt;&gt;"BLOCKED_PENDING_RECEIPT"),"READY_AFTER_RECEIPT","NOT_READY")</x:f>
        <x:v>NOT_READY</x:v>
      </x:c>
      <x:c r="AH1184" s="12" t="str">
        <x:f>IF(AC1184="PUBLIC_CANDIDATE","none",AD1184)</x:f>
        <x:v>none</x:v>
      </x:c>
      <x:c r="AI1184" s="12" t="str">
        <x:f>IF(AC1184="PUBLIC_CANDIDATE","archive/public_candidates/"&amp;A1184,"private_quarantine/"&amp;A1184)</x:f>
        <x:v>archive/public_candidates/SWARM-09-H03-S07</x:v>
      </x:c>
      <x:c r="AJ1184" s="12" t="str">
        <x:f>IF(AC1184="PUBLIC_CANDIDATE","public by default; still not canon","private/hold; do not publish")</x:f>
        <x:v>public by default; still not canon</x:v>
      </x:c>
      <x:c r="AK1184" s="12" t="str">
        <x:f>IF(AE1184="prepare_public_github_candidate","add receipt/status then mirror","resolve blocker before any public GitHub action")</x:f>
        <x:v>add receipt/status then mirror</x:v>
      </x:c>
    </x:row>
    <x:row r="1185">
      <x:c r="A1185" s="15" t="str">
        <x:v>SWARM-09-H03-S08</x:v>
      </x:c>
      <x:c r="B1185" s="15" t="str">
        <x:v>NotionMoth</x:v>
      </x:c>
      <x:c r="C1185" s="15" t="str">
        <x:v>Notion ontology mapper</x:v>
      </x:c>
      <x:c r="D1185" s="15" t="str">
        <x:v>Raw Export Recovery</x:v>
      </x:c>
      <x:c r="E1185" s="15" t="str">
        <x:v>Sheldonbrain</x:v>
      </x:c>
      <x:c r="F1185" s="15" t="str">
        <x:v>Recover raw exports for Sheldonbrain — NotionMoth</x:v>
      </x:c>
      <x:c r="G1185" s="15" t="str">
        <x:v>legacy schema / Notion export prep</x:v>
      </x:c>
      <x:c r="H1185" s="15" t="str">
        <x:v>source path + receipt + raw/export status + claim/edge/risk delta</x:v>
      </x:c>
      <x:c r="I1185" s="15" t="str">
        <x:v>packet/SWARM-09-H03-S08</x:v>
      </x:c>
      <x:c r="J1185" s="15" t="str">
        <x:v>TODO</x:v>
      </x:c>
      <x:c r="K1185" s="15" t="str">
        <x:v>P1</x:v>
      </x:c>
      <x:c r="L1185" s="15" t="str">
        <x:v>Done only when evidence is logged, contradiction search is noted, and boundary stamp remains non-canon unless ratified</x:v>
      </x:c>
      <x:c r="M1185" s="15" t="str">
        <x:v>candidate / staging-only / not canon / not deployed / authority none</x:v>
      </x:c>
      <x:c r="N1185" s="15" t="str">
        <x:v>Dispatch to NotionMoth: complete Raw Export Recovery x Sheldonbrain; return deltas only, receipts required.</x:v>
      </x:c>
      <x:c r="O1185" s="15" t="str">
        <x:v>AF-KG-H03-S08</x:v>
      </x:c>
      <x:c r="P1185" s="15" t="str">
        <x:v>Unverified</x:v>
      </x:c>
      <x:c r="Q1185" s="15" t="str">
        <x:v>Not checked</x:v>
      </x:c>
      <x:c r="R1185" s="15" t="str"/>
      <x:c r="S1185" s="15" t="str"/>
      <x:c r="T1185" s="15" t="str">
        <x:v>Log first source path or blocker</x:v>
      </x:c>
      <x:c r="U1185" s="12" t="str">
        <x:f>IF(OR(P1185="Unverified",Q1185="Not checked"),"BLOCKED_PENDING_RECEIPT","READY_FOR_REVIEW")</x:f>
        <x:v>BLOCKED_PENDING_RECEIPT</x:v>
      </x:c>
      <x:c r="V1185" s="12" t="str">
        <x:f>IF(J1185="DONE","RETURNED",IF(U1185="BLOCKED_PENDING_RECEIPT","SOURCE_TOUCH_REQUIRED","IN_PROGRESS"))</x:f>
        <x:v>SOURCE_TOUCH_REQUIRED</x:v>
      </x:c>
      <x:c r="W1185" s="12" t="str">
        <x:f>IF(P1185="Unverified","missing_receipt","receipt_logged")</x:f>
        <x:v>missing_receipt</x:v>
      </x:c>
      <x:c r="X1185" s="12" t="str">
        <x:f>IF(Q1185="Not checked","raw_status_missing","raw_status_logged")</x:f>
        <x:v>raw_status_missing</x:v>
      </x:c>
      <x:c r="Y1185" s="12" t="str">
        <x:f>IF(U1185="BLOCKED_PENDING_RECEIPT","Log source path or blocker; do not promote","Route to review lane")</x:f>
        <x:v>Log source path or blocker; do not promote</x:v>
      </x:c>
      <x:c r="Z1185" s="12" t="str">
        <x:f>IF(K1185="P0","Primary seat + Hashlight/Lucerna","Seat lane")</x:f>
        <x:v>Seat lane</x:v>
      </x:c>
      <x:c r="AA1185" s="12" t="str">
        <x:f>IF(R1185="","no_claim_delta","claim_delta_present")</x:f>
        <x:v>no_claim_delta</x:v>
      </x:c>
      <x:c r="AB1185" s="12" t="str">
        <x:f>IF(S1185="","no_contradiction_delta","contradiction_delta_present")</x:f>
        <x:v>no_contradiction_delta</x:v>
      </x:c>
      <x:c r="AC1185" s="12" t="str">
        <x:f>IF(OR(ISNUMBER(SEARCH("hacker",LOWER(F1185&amp;" "&amp;H1185&amp;" "&amp;I1185&amp;" "&amp;M1185&amp;" "&amp;N1185&amp;" "&amp;T1185))),ISNUMBER(SEARCH("hacking",LOWER(F1185&amp;" "&amp;H1185&amp;" "&amp;I1185&amp;" "&amp;M1185&amp;" "&amp;N1185&amp;" "&amp;T1185))),ISNUMBER(SEARCH("bank",LOWER(F1185&amp;" "&amp;H1185&amp;" "&amp;I1185&amp;" "&amp;M1185&amp;" "&amp;N1185&amp;" "&amp;T1185))),ISNUMBER(SEARCH("banking",LOWER(F1185&amp;" "&amp;H1185&amp;" "&amp;I1185&amp;" "&amp;M1185&amp;" "&amp;N1185&amp;" "&amp;T1185)))),"PRIVATE_QUARANTINE",IF(OR(ISNUMBER(SEARCH("treasury",LOWER(F1185&amp;" "&amp;H1185&amp;" "&amp;I1185&amp;" "&amp;M1185&amp;" "&amp;N1185&amp;" "&amp;T1185))),ISNUMBER(SEARCH("debt",LOWER(F1185&amp;" "&amp;H1185&amp;" "&amp;I1185&amp;" "&amp;M1185&amp;" "&amp;N1185&amp;" "&amp;T1185))),ISNUMBER(SEARCH("bond",LOWER(F1185&amp;" "&amp;H1185&amp;" "&amp;I1185&amp;" "&amp;M1185&amp;" "&amp;N1185&amp;" "&amp;T1185))),ISNUMBER(SEARCH("transaction",LOWER(F1185&amp;" "&amp;H1185&amp;" "&amp;I1185&amp;" "&amp;M1185&amp;" "&amp;N1185&amp;" "&amp;T1185)))),"PRIVATE_REVIEW","PUBLIC_CANDIDATE"))</x:f>
        <x:v>PUBLIC_CANDIDATE</x:v>
      </x:c>
      <x:c r="AD1185" s="12" t="str">
        <x:f>IF(AC1185="PRIVATE_QUARANTINE","hacker_or_bank_trigger",IF(AC1185="PRIVATE_REVIEW","finance_risk_trigger","none"))</x:f>
        <x:v>none</x:v>
      </x:c>
      <x:c r="AE1185" s="12" t="str">
        <x:f>IF(AC1185="PUBLIC_CANDIDATE","prepare_public_github_candidate",IF(AC1185="PRIVATE_REVIEW","hold_for_private_review","quarantine_private_do_not_publish"))</x:f>
        <x:v>prepare_public_github_candidate</x:v>
      </x:c>
      <x:c r="AF1185" s="12" t="str">
        <x:f>IF(AC1185="PUBLIC_CANDIDATE","TIDELOCK + Lucerna",IF(AC1185="PRIVATE_REVIEW","AtlasBrain + Lucerna","TIDELOCK + Lucerna + Human-root"))</x:f>
        <x:v>TIDELOCK + Lucerna</x:v>
      </x:c>
      <x:c r="AG1185" s="12" t="str">
        <x:f>IF(AND(AC1185="PUBLIC_CANDIDATE",U1185&lt;&gt;"BLOCKED_PENDING_RECEIPT"),"READY_AFTER_RECEIPT","NOT_READY")</x:f>
        <x:v>NOT_READY</x:v>
      </x:c>
      <x:c r="AH1185" s="12" t="str">
        <x:f>IF(AC1185="PUBLIC_CANDIDATE","none",AD1185)</x:f>
        <x:v>none</x:v>
      </x:c>
      <x:c r="AI1185" s="12" t="str">
        <x:f>IF(AC1185="PUBLIC_CANDIDATE","archive/public_candidates/"&amp;A1185,"private_quarantine/"&amp;A1185)</x:f>
        <x:v>archive/public_candidates/SWARM-09-H03-S08</x:v>
      </x:c>
      <x:c r="AJ1185" s="12" t="str">
        <x:f>IF(AC1185="PUBLIC_CANDIDATE","public by default; still not canon","private/hold; do not publish")</x:f>
        <x:v>public by default; still not canon</x:v>
      </x:c>
      <x:c r="AK1185" s="12" t="str">
        <x:f>IF(AE1185="prepare_public_github_candidate","add receipt/status then mirror","resolve blocker before any public GitHub action")</x:f>
        <x:v>add receipt/status then mirror</x:v>
      </x:c>
    </x:row>
    <x:row r="1186">
      <x:c r="A1186" s="15" t="str">
        <x:v>SWARM-09-H03-S09</x:v>
      </x:c>
      <x:c r="B1186" s="15" t="str">
        <x:v>NotionMoth</x:v>
      </x:c>
      <x:c r="C1186" s="15" t="str">
        <x:v>Notion ontology mapper</x:v>
      </x:c>
      <x:c r="D1186" s="15" t="str">
        <x:v>Raw Export Recovery</x:v>
      </x:c>
      <x:c r="E1186" s="15" t="str">
        <x:v>Aetherforge</x:v>
      </x:c>
      <x:c r="F1186" s="15" t="str">
        <x:v>Recover raw exports for Aetherforge — NotionMoth</x:v>
      </x:c>
      <x:c r="G1186" s="15" t="str">
        <x:v>legacy schema / Notion export prep</x:v>
      </x:c>
      <x:c r="H1186" s="15" t="str">
        <x:v>source path + receipt + raw/export status + claim/edge/risk delta</x:v>
      </x:c>
      <x:c r="I1186" s="15" t="str">
        <x:v>packet/SWARM-09-H03-S09</x:v>
      </x:c>
      <x:c r="J1186" s="15" t="str">
        <x:v>TODO</x:v>
      </x:c>
      <x:c r="K1186" s="15" t="str">
        <x:v>P2</x:v>
      </x:c>
      <x:c r="L1186" s="15" t="str">
        <x:v>Done only when evidence is logged, contradiction search is noted, and boundary stamp remains non-canon unless ratified</x:v>
      </x:c>
      <x:c r="M1186" s="15" t="str">
        <x:v>candidate / staging-only / not canon / not deployed / authority none</x:v>
      </x:c>
      <x:c r="N1186" s="15" t="str">
        <x:v>Dispatch to NotionMoth: complete Raw Export Recovery x Aetherforge; return deltas only, receipts required.</x:v>
      </x:c>
      <x:c r="O1186" s="15" t="str">
        <x:v>AF-KG-H03-S09</x:v>
      </x:c>
      <x:c r="P1186" s="15" t="str">
        <x:v>Unverified</x:v>
      </x:c>
      <x:c r="Q1186" s="15" t="str">
        <x:v>Not checked</x:v>
      </x:c>
      <x:c r="R1186" s="15" t="str"/>
      <x:c r="S1186" s="15" t="str"/>
      <x:c r="T1186" s="15" t="str">
        <x:v>Log first source path or blocker</x:v>
      </x:c>
      <x:c r="U1186" s="12" t="str">
        <x:f>IF(OR(P1186="Unverified",Q1186="Not checked"),"BLOCKED_PENDING_RECEIPT","READY_FOR_REVIEW")</x:f>
        <x:v>BLOCKED_PENDING_RECEIPT</x:v>
      </x:c>
      <x:c r="V1186" s="12" t="str">
        <x:f>IF(J1186="DONE","RETURNED",IF(U1186="BLOCKED_PENDING_RECEIPT","SOURCE_TOUCH_REQUIRED","IN_PROGRESS"))</x:f>
        <x:v>SOURCE_TOUCH_REQUIRED</x:v>
      </x:c>
      <x:c r="W1186" s="12" t="str">
        <x:f>IF(P1186="Unverified","missing_receipt","receipt_logged")</x:f>
        <x:v>missing_receipt</x:v>
      </x:c>
      <x:c r="X1186" s="12" t="str">
        <x:f>IF(Q1186="Not checked","raw_status_missing","raw_status_logged")</x:f>
        <x:v>raw_status_missing</x:v>
      </x:c>
      <x:c r="Y1186" s="12" t="str">
        <x:f>IF(U1186="BLOCKED_PENDING_RECEIPT","Log source path or blocker; do not promote","Route to review lane")</x:f>
        <x:v>Log source path or blocker; do not promote</x:v>
      </x:c>
      <x:c r="Z1186" s="12" t="str">
        <x:f>IF(K1186="P0","Primary seat + Hashlight/Lucerna","Seat lane")</x:f>
        <x:v>Seat lane</x:v>
      </x:c>
      <x:c r="AA1186" s="12" t="str">
        <x:f>IF(R1186="","no_claim_delta","claim_delta_present")</x:f>
        <x:v>no_claim_delta</x:v>
      </x:c>
      <x:c r="AB1186" s="12" t="str">
        <x:f>IF(S1186="","no_contradiction_delta","contradiction_delta_present")</x:f>
        <x:v>no_contradiction_delta</x:v>
      </x:c>
      <x:c r="AC1186" s="12" t="str">
        <x:f>IF(OR(ISNUMBER(SEARCH("hacker",LOWER(F1186&amp;" "&amp;H1186&amp;" "&amp;I1186&amp;" "&amp;M1186&amp;" "&amp;N1186&amp;" "&amp;T1186))),ISNUMBER(SEARCH("hacking",LOWER(F1186&amp;" "&amp;H1186&amp;" "&amp;I1186&amp;" "&amp;M1186&amp;" "&amp;N1186&amp;" "&amp;T1186))),ISNUMBER(SEARCH("bank",LOWER(F1186&amp;" "&amp;H1186&amp;" "&amp;I1186&amp;" "&amp;M1186&amp;" "&amp;N1186&amp;" "&amp;T1186))),ISNUMBER(SEARCH("banking",LOWER(F1186&amp;" "&amp;H1186&amp;" "&amp;I1186&amp;" "&amp;M1186&amp;" "&amp;N1186&amp;" "&amp;T1186)))),"PRIVATE_QUARANTINE",IF(OR(ISNUMBER(SEARCH("treasury",LOWER(F1186&amp;" "&amp;H1186&amp;" "&amp;I1186&amp;" "&amp;M1186&amp;" "&amp;N1186&amp;" "&amp;T1186))),ISNUMBER(SEARCH("debt",LOWER(F1186&amp;" "&amp;H1186&amp;" "&amp;I1186&amp;" "&amp;M1186&amp;" "&amp;N1186&amp;" "&amp;T1186))),ISNUMBER(SEARCH("bond",LOWER(F1186&amp;" "&amp;H1186&amp;" "&amp;I1186&amp;" "&amp;M1186&amp;" "&amp;N1186&amp;" "&amp;T1186))),ISNUMBER(SEARCH("transaction",LOWER(F1186&amp;" "&amp;H1186&amp;" "&amp;I1186&amp;" "&amp;M1186&amp;" "&amp;N1186&amp;" "&amp;T1186)))),"PRIVATE_REVIEW","PUBLIC_CANDIDATE"))</x:f>
        <x:v>PUBLIC_CANDIDATE</x:v>
      </x:c>
      <x:c r="AD1186" s="12" t="str">
        <x:f>IF(AC1186="PRIVATE_QUARANTINE","hacker_or_bank_trigger",IF(AC1186="PRIVATE_REVIEW","finance_risk_trigger","none"))</x:f>
        <x:v>none</x:v>
      </x:c>
      <x:c r="AE1186" s="12" t="str">
        <x:f>IF(AC1186="PUBLIC_CANDIDATE","prepare_public_github_candidate",IF(AC1186="PRIVATE_REVIEW","hold_for_private_review","quarantine_private_do_not_publish"))</x:f>
        <x:v>prepare_public_github_candidate</x:v>
      </x:c>
      <x:c r="AF1186" s="12" t="str">
        <x:f>IF(AC1186="PUBLIC_CANDIDATE","TIDELOCK + Lucerna",IF(AC1186="PRIVATE_REVIEW","AtlasBrain + Lucerna","TIDELOCK + Lucerna + Human-root"))</x:f>
        <x:v>TIDELOCK + Lucerna</x:v>
      </x:c>
      <x:c r="AG1186" s="12" t="str">
        <x:f>IF(AND(AC1186="PUBLIC_CANDIDATE",U1186&lt;&gt;"BLOCKED_PENDING_RECEIPT"),"READY_AFTER_RECEIPT","NOT_READY")</x:f>
        <x:v>NOT_READY</x:v>
      </x:c>
      <x:c r="AH1186" s="12" t="str">
        <x:f>IF(AC1186="PUBLIC_CANDIDATE","none",AD1186)</x:f>
        <x:v>none</x:v>
      </x:c>
      <x:c r="AI1186" s="12" t="str">
        <x:f>IF(AC1186="PUBLIC_CANDIDATE","archive/public_candidates/"&amp;A1186,"private_quarantine/"&amp;A1186)</x:f>
        <x:v>archive/public_candidates/SWARM-09-H03-S09</x:v>
      </x:c>
      <x:c r="AJ1186" s="12" t="str">
        <x:f>IF(AC1186="PUBLIC_CANDIDATE","public by default; still not canon","private/hold; do not publish")</x:f>
        <x:v>public by default; still not canon</x:v>
      </x:c>
      <x:c r="AK1186" s="12" t="str">
        <x:f>IF(AE1186="prepare_public_github_candidate","add receipt/status then mirror","resolve blocker before any public GitHub action")</x:f>
        <x:v>add receipt/status then mirror</x:v>
      </x:c>
    </x:row>
    <x:row r="1187">
      <x:c r="A1187" s="15" t="str">
        <x:v>SWARM-09-H03-S10</x:v>
      </x:c>
      <x:c r="B1187" s="15" t="str">
        <x:v>NotionMoth</x:v>
      </x:c>
      <x:c r="C1187" s="15" t="str">
        <x:v>Notion ontology mapper</x:v>
      </x:c>
      <x:c r="D1187" s="15" t="str">
        <x:v>Raw Export Recovery</x:v>
      </x:c>
      <x:c r="E1187" s="15" t="str">
        <x:v>Human-Root</x:v>
      </x:c>
      <x:c r="F1187" s="15" t="str">
        <x:v>Recover raw exports for Human-Root — NotionMoth</x:v>
      </x:c>
      <x:c r="G1187" s="15" t="str">
        <x:v>legacy schema / Notion export prep</x:v>
      </x:c>
      <x:c r="H1187" s="15" t="str">
        <x:v>source path + receipt + raw/export status + claim/edge/risk delta</x:v>
      </x:c>
      <x:c r="I1187" s="15" t="str">
        <x:v>packet/SWARM-09-H03-S10</x:v>
      </x:c>
      <x:c r="J1187" s="15" t="str">
        <x:v>TODO</x:v>
      </x:c>
      <x:c r="K1187" s="15" t="str">
        <x:v>P2</x:v>
      </x:c>
      <x:c r="L1187" s="15" t="str">
        <x:v>Done only when evidence is logged, contradiction search is noted, and boundary stamp remains non-canon unless ratified</x:v>
      </x:c>
      <x:c r="M1187" s="15" t="str">
        <x:v>candidate / staging-only / not canon / not deployed / authority none</x:v>
      </x:c>
      <x:c r="N1187" s="15" t="str">
        <x:v>Dispatch to NotionMoth: complete Raw Export Recovery x Human-Root; return deltas only, receipts required.</x:v>
      </x:c>
      <x:c r="O1187" s="15" t="str">
        <x:v>AF-KG-H03-S10</x:v>
      </x:c>
      <x:c r="P1187" s="15" t="str">
        <x:v>Unverified</x:v>
      </x:c>
      <x:c r="Q1187" s="15" t="str">
        <x:v>Not checked</x:v>
      </x:c>
      <x:c r="R1187" s="15" t="str"/>
      <x:c r="S1187" s="15" t="str"/>
      <x:c r="T1187" s="15" t="str">
        <x:v>Log first source path or blocker</x:v>
      </x:c>
      <x:c r="U1187" s="12" t="str">
        <x:f>IF(OR(P1187="Unverified",Q1187="Not checked"),"BLOCKED_PENDING_RECEIPT","READY_FOR_REVIEW")</x:f>
        <x:v>BLOCKED_PENDING_RECEIPT</x:v>
      </x:c>
      <x:c r="V1187" s="12" t="str">
        <x:f>IF(J1187="DONE","RETURNED",IF(U1187="BLOCKED_PENDING_RECEIPT","SOURCE_TOUCH_REQUIRED","IN_PROGRESS"))</x:f>
        <x:v>SOURCE_TOUCH_REQUIRED</x:v>
      </x:c>
      <x:c r="W1187" s="12" t="str">
        <x:f>IF(P1187="Unverified","missing_receipt","receipt_logged")</x:f>
        <x:v>missing_receipt</x:v>
      </x:c>
      <x:c r="X1187" s="12" t="str">
        <x:f>IF(Q1187="Not checked","raw_status_missing","raw_status_logged")</x:f>
        <x:v>raw_status_missing</x:v>
      </x:c>
      <x:c r="Y1187" s="12" t="str">
        <x:f>IF(U1187="BLOCKED_PENDING_RECEIPT","Log source path or blocker; do not promote","Route to review lane")</x:f>
        <x:v>Log source path or blocker; do not promote</x:v>
      </x:c>
      <x:c r="Z1187" s="12" t="str">
        <x:f>IF(K1187="P0","Primary seat + Hashlight/Lucerna","Seat lane")</x:f>
        <x:v>Seat lane</x:v>
      </x:c>
      <x:c r="AA1187" s="12" t="str">
        <x:f>IF(R1187="","no_claim_delta","claim_delta_present")</x:f>
        <x:v>no_claim_delta</x:v>
      </x:c>
      <x:c r="AB1187" s="12" t="str">
        <x:f>IF(S1187="","no_contradiction_delta","contradiction_delta_present")</x:f>
        <x:v>no_contradiction_delta</x:v>
      </x:c>
      <x:c r="AC1187" s="12" t="str">
        <x:f>IF(OR(ISNUMBER(SEARCH("hacker",LOWER(F1187&amp;" "&amp;H1187&amp;" "&amp;I1187&amp;" "&amp;M1187&amp;" "&amp;N1187&amp;" "&amp;T1187))),ISNUMBER(SEARCH("hacking",LOWER(F1187&amp;" "&amp;H1187&amp;" "&amp;I1187&amp;" "&amp;M1187&amp;" "&amp;N1187&amp;" "&amp;T1187))),ISNUMBER(SEARCH("bank",LOWER(F1187&amp;" "&amp;H1187&amp;" "&amp;I1187&amp;" "&amp;M1187&amp;" "&amp;N1187&amp;" "&amp;T1187))),ISNUMBER(SEARCH("banking",LOWER(F1187&amp;" "&amp;H1187&amp;" "&amp;I1187&amp;" "&amp;M1187&amp;" "&amp;N1187&amp;" "&amp;T1187)))),"PRIVATE_QUARANTINE",IF(OR(ISNUMBER(SEARCH("treasury",LOWER(F1187&amp;" "&amp;H1187&amp;" "&amp;I1187&amp;" "&amp;M1187&amp;" "&amp;N1187&amp;" "&amp;T1187))),ISNUMBER(SEARCH("debt",LOWER(F1187&amp;" "&amp;H1187&amp;" "&amp;I1187&amp;" "&amp;M1187&amp;" "&amp;N1187&amp;" "&amp;T1187))),ISNUMBER(SEARCH("bond",LOWER(F1187&amp;" "&amp;H1187&amp;" "&amp;I1187&amp;" "&amp;M1187&amp;" "&amp;N1187&amp;" "&amp;T1187))),ISNUMBER(SEARCH("transaction",LOWER(F1187&amp;" "&amp;H1187&amp;" "&amp;I1187&amp;" "&amp;M1187&amp;" "&amp;N1187&amp;" "&amp;T1187)))),"PRIVATE_REVIEW","PUBLIC_CANDIDATE"))</x:f>
        <x:v>PUBLIC_CANDIDATE</x:v>
      </x:c>
      <x:c r="AD1187" s="12" t="str">
        <x:f>IF(AC1187="PRIVATE_QUARANTINE","hacker_or_bank_trigger",IF(AC1187="PRIVATE_REVIEW","finance_risk_trigger","none"))</x:f>
        <x:v>none</x:v>
      </x:c>
      <x:c r="AE1187" s="12" t="str">
        <x:f>IF(AC1187="PUBLIC_CANDIDATE","prepare_public_github_candidate",IF(AC1187="PRIVATE_REVIEW","hold_for_private_review","quarantine_private_do_not_publish"))</x:f>
        <x:v>prepare_public_github_candidate</x:v>
      </x:c>
      <x:c r="AF1187" s="12" t="str">
        <x:f>IF(AC1187="PUBLIC_CANDIDATE","TIDELOCK + Lucerna",IF(AC1187="PRIVATE_REVIEW","AtlasBrain + Lucerna","TIDELOCK + Lucerna + Human-root"))</x:f>
        <x:v>TIDELOCK + Lucerna</x:v>
      </x:c>
      <x:c r="AG1187" s="12" t="str">
        <x:f>IF(AND(AC1187="PUBLIC_CANDIDATE",U1187&lt;&gt;"BLOCKED_PENDING_RECEIPT"),"READY_AFTER_RECEIPT","NOT_READY")</x:f>
        <x:v>NOT_READY</x:v>
      </x:c>
      <x:c r="AH1187" s="12" t="str">
        <x:f>IF(AC1187="PUBLIC_CANDIDATE","none",AD1187)</x:f>
        <x:v>none</x:v>
      </x:c>
      <x:c r="AI1187" s="12" t="str">
        <x:f>IF(AC1187="PUBLIC_CANDIDATE","archive/public_candidates/"&amp;A1187,"private_quarantine/"&amp;A1187)</x:f>
        <x:v>archive/public_candidates/SWARM-09-H03-S10</x:v>
      </x:c>
      <x:c r="AJ1187" s="12" t="str">
        <x:f>IF(AC1187="PUBLIC_CANDIDATE","public by default; still not canon","private/hold; do not publish")</x:f>
        <x:v>public by default; still not canon</x:v>
      </x:c>
      <x:c r="AK1187" s="12" t="str">
        <x:f>IF(AE1187="prepare_public_github_candidate","add receipt/status then mirror","resolve blocker before any public GitHub action")</x:f>
        <x:v>add receipt/status then mirror</x:v>
      </x:c>
    </x:row>
    <x:row r="1188">
      <x:c r="A1188" s="15" t="str">
        <x:v>SWARM-09-H03-S11</x:v>
      </x:c>
      <x:c r="B1188" s="15" t="str">
        <x:v>NotionMoth</x:v>
      </x:c>
      <x:c r="C1188" s="15" t="str">
        <x:v>Notion ontology mapper</x:v>
      </x:c>
      <x:c r="D1188" s="15" t="str">
        <x:v>Raw Export Recovery</x:v>
      </x:c>
      <x:c r="E1188" s="15" t="str">
        <x:v>Automation</x:v>
      </x:c>
      <x:c r="F1188" s="15" t="str">
        <x:v>Recover raw exports for Automation — NotionMoth</x:v>
      </x:c>
      <x:c r="G1188" s="15" t="str">
        <x:v>legacy schema / Notion export prep</x:v>
      </x:c>
      <x:c r="H1188" s="15" t="str">
        <x:v>source path + receipt + raw/export status + claim/edge/risk delta</x:v>
      </x:c>
      <x:c r="I1188" s="15" t="str">
        <x:v>packet/SWARM-09-H03-S11</x:v>
      </x:c>
      <x:c r="J1188" s="15" t="str">
        <x:v>TODO</x:v>
      </x:c>
      <x:c r="K1188" s="15" t="str">
        <x:v>P2</x:v>
      </x:c>
      <x:c r="L1188" s="15" t="str">
        <x:v>Done only when evidence is logged, contradiction search is noted, and boundary stamp remains non-canon unless ratified</x:v>
      </x:c>
      <x:c r="M1188" s="15" t="str">
        <x:v>candidate / staging-only / not canon / not deployed / authority none</x:v>
      </x:c>
      <x:c r="N1188" s="15" t="str">
        <x:v>Dispatch to NotionMoth: complete Raw Export Recovery x Automation; return deltas only, receipts required.</x:v>
      </x:c>
      <x:c r="O1188" s="15" t="str">
        <x:v>AF-KG-H03-S11</x:v>
      </x:c>
      <x:c r="P1188" s="15" t="str">
        <x:v>Unverified</x:v>
      </x:c>
      <x:c r="Q1188" s="15" t="str">
        <x:v>Not checked</x:v>
      </x:c>
      <x:c r="R1188" s="15" t="str"/>
      <x:c r="S1188" s="15" t="str"/>
      <x:c r="T1188" s="15" t="str">
        <x:v>Log first source path or blocker</x:v>
      </x:c>
      <x:c r="U1188" s="12" t="str">
        <x:f>IF(OR(P1188="Unverified",Q1188="Not checked"),"BLOCKED_PENDING_RECEIPT","READY_FOR_REVIEW")</x:f>
        <x:v>BLOCKED_PENDING_RECEIPT</x:v>
      </x:c>
      <x:c r="V1188" s="12" t="str">
        <x:f>IF(J1188="DONE","RETURNED",IF(U1188="BLOCKED_PENDING_RECEIPT","SOURCE_TOUCH_REQUIRED","IN_PROGRESS"))</x:f>
        <x:v>SOURCE_TOUCH_REQUIRED</x:v>
      </x:c>
      <x:c r="W1188" s="12" t="str">
        <x:f>IF(P1188="Unverified","missing_receipt","receipt_logged")</x:f>
        <x:v>missing_receipt</x:v>
      </x:c>
      <x:c r="X1188" s="12" t="str">
        <x:f>IF(Q1188="Not checked","raw_status_missing","raw_status_logged")</x:f>
        <x:v>raw_status_missing</x:v>
      </x:c>
      <x:c r="Y1188" s="12" t="str">
        <x:f>IF(U1188="BLOCKED_PENDING_RECEIPT","Log source path or blocker; do not promote","Route to review lane")</x:f>
        <x:v>Log source path or blocker; do not promote</x:v>
      </x:c>
      <x:c r="Z1188" s="12" t="str">
        <x:f>IF(K1188="P0","Primary seat + Hashlight/Lucerna","Seat lane")</x:f>
        <x:v>Seat lane</x:v>
      </x:c>
      <x:c r="AA1188" s="12" t="str">
        <x:f>IF(R1188="","no_claim_delta","claim_delta_present")</x:f>
        <x:v>no_claim_delta</x:v>
      </x:c>
      <x:c r="AB1188" s="12" t="str">
        <x:f>IF(S1188="","no_contradiction_delta","contradiction_delta_present")</x:f>
        <x:v>no_contradiction_delta</x:v>
      </x:c>
      <x:c r="AC1188" s="12" t="str">
        <x:f>IF(OR(ISNUMBER(SEARCH("hacker",LOWER(F1188&amp;" "&amp;H1188&amp;" "&amp;I1188&amp;" "&amp;M1188&amp;" "&amp;N1188&amp;" "&amp;T1188))),ISNUMBER(SEARCH("hacking",LOWER(F1188&amp;" "&amp;H1188&amp;" "&amp;I1188&amp;" "&amp;M1188&amp;" "&amp;N1188&amp;" "&amp;T1188))),ISNUMBER(SEARCH("bank",LOWER(F1188&amp;" "&amp;H1188&amp;" "&amp;I1188&amp;" "&amp;M1188&amp;" "&amp;N1188&amp;" "&amp;T1188))),ISNUMBER(SEARCH("banking",LOWER(F1188&amp;" "&amp;H1188&amp;" "&amp;I1188&amp;" "&amp;M1188&amp;" "&amp;N1188&amp;" "&amp;T1188)))),"PRIVATE_QUARANTINE",IF(OR(ISNUMBER(SEARCH("treasury",LOWER(F1188&amp;" "&amp;H1188&amp;" "&amp;I1188&amp;" "&amp;M1188&amp;" "&amp;N1188&amp;" "&amp;T1188))),ISNUMBER(SEARCH("debt",LOWER(F1188&amp;" "&amp;H1188&amp;" "&amp;I1188&amp;" "&amp;M1188&amp;" "&amp;N1188&amp;" "&amp;T1188))),ISNUMBER(SEARCH("bond",LOWER(F1188&amp;" "&amp;H1188&amp;" "&amp;I1188&amp;" "&amp;M1188&amp;" "&amp;N1188&amp;" "&amp;T1188))),ISNUMBER(SEARCH("transaction",LOWER(F1188&amp;" "&amp;H1188&amp;" "&amp;I1188&amp;" "&amp;M1188&amp;" "&amp;N1188&amp;" "&amp;T1188)))),"PRIVATE_REVIEW","PUBLIC_CANDIDATE"))</x:f>
        <x:v>PUBLIC_CANDIDATE</x:v>
      </x:c>
      <x:c r="AD1188" s="12" t="str">
        <x:f>IF(AC1188="PRIVATE_QUARANTINE","hacker_or_bank_trigger",IF(AC1188="PRIVATE_REVIEW","finance_risk_trigger","none"))</x:f>
        <x:v>none</x:v>
      </x:c>
      <x:c r="AE1188" s="12" t="str">
        <x:f>IF(AC1188="PUBLIC_CANDIDATE","prepare_public_github_candidate",IF(AC1188="PRIVATE_REVIEW","hold_for_private_review","quarantine_private_do_not_publish"))</x:f>
        <x:v>prepare_public_github_candidate</x:v>
      </x:c>
      <x:c r="AF1188" s="12" t="str">
        <x:f>IF(AC1188="PUBLIC_CANDIDATE","TIDELOCK + Lucerna",IF(AC1188="PRIVATE_REVIEW","AtlasBrain + Lucerna","TIDELOCK + Lucerna + Human-root"))</x:f>
        <x:v>TIDELOCK + Lucerna</x:v>
      </x:c>
      <x:c r="AG1188" s="12" t="str">
        <x:f>IF(AND(AC1188="PUBLIC_CANDIDATE",U1188&lt;&gt;"BLOCKED_PENDING_RECEIPT"),"READY_AFTER_RECEIPT","NOT_READY")</x:f>
        <x:v>NOT_READY</x:v>
      </x:c>
      <x:c r="AH1188" s="12" t="str">
        <x:f>IF(AC1188="PUBLIC_CANDIDATE","none",AD1188)</x:f>
        <x:v>none</x:v>
      </x:c>
      <x:c r="AI1188" s="12" t="str">
        <x:f>IF(AC1188="PUBLIC_CANDIDATE","archive/public_candidates/"&amp;A1188,"private_quarantine/"&amp;A1188)</x:f>
        <x:v>archive/public_candidates/SWARM-09-H03-S11</x:v>
      </x:c>
      <x:c r="AJ1188" s="12" t="str">
        <x:f>IF(AC1188="PUBLIC_CANDIDATE","public by default; still not canon","private/hold; do not publish")</x:f>
        <x:v>public by default; still not canon</x:v>
      </x:c>
      <x:c r="AK1188" s="12" t="str">
        <x:f>IF(AE1188="prepare_public_github_candidate","add receipt/status then mirror","resolve blocker before any public GitHub action")</x:f>
        <x:v>add receipt/status then mirror</x:v>
      </x:c>
    </x:row>
    <x:row r="1189">
      <x:c r="A1189" s="15" t="str">
        <x:v>SWARM-09-H03-S12</x:v>
      </x:c>
      <x:c r="B1189" s="15" t="str">
        <x:v>NotionMoth</x:v>
      </x:c>
      <x:c r="C1189" s="15" t="str">
        <x:v>Notion ontology mapper</x:v>
      </x:c>
      <x:c r="D1189" s="15" t="str">
        <x:v>Raw Export Recovery</x:v>
      </x:c>
      <x:c r="E1189" s="15" t="str">
        <x:v>Risk / Safety</x:v>
      </x:c>
      <x:c r="F1189" s="15" t="str">
        <x:v>Recover raw exports for Risk / Safety — NotionMoth</x:v>
      </x:c>
      <x:c r="G1189" s="15" t="str">
        <x:v>legacy schema / Notion export prep</x:v>
      </x:c>
      <x:c r="H1189" s="15" t="str">
        <x:v>source path + receipt + raw/export status + claim/edge/risk delta</x:v>
      </x:c>
      <x:c r="I1189" s="15" t="str">
        <x:v>packet/SWARM-09-H03-S12</x:v>
      </x:c>
      <x:c r="J1189" s="15" t="str">
        <x:v>TODO</x:v>
      </x:c>
      <x:c r="K1189" s="15" t="str">
        <x:v>P2</x:v>
      </x:c>
      <x:c r="L1189" s="15" t="str">
        <x:v>Done only when evidence is logged, contradiction search is noted, and boundary stamp remains non-canon unless ratified</x:v>
      </x:c>
      <x:c r="M1189" s="15" t="str">
        <x:v>candidate / staging-only / not canon / not deployed / authority none</x:v>
      </x:c>
      <x:c r="N1189" s="15" t="str">
        <x:v>Dispatch to NotionMoth: complete Raw Export Recovery x Risk / Safety; return deltas only, receipts required.</x:v>
      </x:c>
      <x:c r="O1189" s="15" t="str">
        <x:v>AF-KG-H03-S12</x:v>
      </x:c>
      <x:c r="P1189" s="15" t="str">
        <x:v>Unverified</x:v>
      </x:c>
      <x:c r="Q1189" s="15" t="str">
        <x:v>Not checked</x:v>
      </x:c>
      <x:c r="R1189" s="15" t="str"/>
      <x:c r="S1189" s="15" t="str"/>
      <x:c r="T1189" s="15" t="str">
        <x:v>Log first source path or blocker</x:v>
      </x:c>
      <x:c r="U1189" s="12" t="str">
        <x:f>IF(OR(P1189="Unverified",Q1189="Not checked"),"BLOCKED_PENDING_RECEIPT","READY_FOR_REVIEW")</x:f>
        <x:v>BLOCKED_PENDING_RECEIPT</x:v>
      </x:c>
      <x:c r="V1189" s="12" t="str">
        <x:f>IF(J1189="DONE","RETURNED",IF(U1189="BLOCKED_PENDING_RECEIPT","SOURCE_TOUCH_REQUIRED","IN_PROGRESS"))</x:f>
        <x:v>SOURCE_TOUCH_REQUIRED</x:v>
      </x:c>
      <x:c r="W1189" s="12" t="str">
        <x:f>IF(P1189="Unverified","missing_receipt","receipt_logged")</x:f>
        <x:v>missing_receipt</x:v>
      </x:c>
      <x:c r="X1189" s="12" t="str">
        <x:f>IF(Q1189="Not checked","raw_status_missing","raw_status_logged")</x:f>
        <x:v>raw_status_missing</x:v>
      </x:c>
      <x:c r="Y1189" s="12" t="str">
        <x:f>IF(U1189="BLOCKED_PENDING_RECEIPT","Log source path or blocker; do not promote","Route to review lane")</x:f>
        <x:v>Log source path or blocker; do not promote</x:v>
      </x:c>
      <x:c r="Z1189" s="12" t="str">
        <x:f>IF(K1189="P0","Primary seat + Hashlight/Lucerna","Seat lane")</x:f>
        <x:v>Seat lane</x:v>
      </x:c>
      <x:c r="AA1189" s="12" t="str">
        <x:f>IF(R1189="","no_claim_delta","claim_delta_present")</x:f>
        <x:v>no_claim_delta</x:v>
      </x:c>
      <x:c r="AB1189" s="12" t="str">
        <x:f>IF(S1189="","no_contradiction_delta","contradiction_delta_present")</x:f>
        <x:v>no_contradiction_delta</x:v>
      </x:c>
      <x:c r="AC1189" s="12" t="str">
        <x:f>IF(OR(ISNUMBER(SEARCH("hacker",LOWER(F1189&amp;" "&amp;H1189&amp;" "&amp;I1189&amp;" "&amp;M1189&amp;" "&amp;N1189&amp;" "&amp;T1189))),ISNUMBER(SEARCH("hacking",LOWER(F1189&amp;" "&amp;H1189&amp;" "&amp;I1189&amp;" "&amp;M1189&amp;" "&amp;N1189&amp;" "&amp;T1189))),ISNUMBER(SEARCH("bank",LOWER(F1189&amp;" "&amp;H1189&amp;" "&amp;I1189&amp;" "&amp;M1189&amp;" "&amp;N1189&amp;" "&amp;T1189))),ISNUMBER(SEARCH("banking",LOWER(F1189&amp;" "&amp;H1189&amp;" "&amp;I1189&amp;" "&amp;M1189&amp;" "&amp;N1189&amp;" "&amp;T1189)))),"PRIVATE_QUARANTINE",IF(OR(ISNUMBER(SEARCH("treasury",LOWER(F1189&amp;" "&amp;H1189&amp;" "&amp;I1189&amp;" "&amp;M1189&amp;" "&amp;N1189&amp;" "&amp;T1189))),ISNUMBER(SEARCH("debt",LOWER(F1189&amp;" "&amp;H1189&amp;" "&amp;I1189&amp;" "&amp;M1189&amp;" "&amp;N1189&amp;" "&amp;T1189))),ISNUMBER(SEARCH("bond",LOWER(F1189&amp;" "&amp;H1189&amp;" "&amp;I1189&amp;" "&amp;M1189&amp;" "&amp;N1189&amp;" "&amp;T1189))),ISNUMBER(SEARCH("transaction",LOWER(F1189&amp;" "&amp;H1189&amp;" "&amp;I1189&amp;" "&amp;M1189&amp;" "&amp;N1189&amp;" "&amp;T1189)))),"PRIVATE_REVIEW","PUBLIC_CANDIDATE"))</x:f>
        <x:v>PUBLIC_CANDIDATE</x:v>
      </x:c>
      <x:c r="AD1189" s="12" t="str">
        <x:f>IF(AC1189="PRIVATE_QUARANTINE","hacker_or_bank_trigger",IF(AC1189="PRIVATE_REVIEW","finance_risk_trigger","none"))</x:f>
        <x:v>none</x:v>
      </x:c>
      <x:c r="AE1189" s="12" t="str">
        <x:f>IF(AC1189="PUBLIC_CANDIDATE","prepare_public_github_candidate",IF(AC1189="PRIVATE_REVIEW","hold_for_private_review","quarantine_private_do_not_publish"))</x:f>
        <x:v>prepare_public_github_candidate</x:v>
      </x:c>
      <x:c r="AF1189" s="12" t="str">
        <x:f>IF(AC1189="PUBLIC_CANDIDATE","TIDELOCK + Lucerna",IF(AC1189="PRIVATE_REVIEW","AtlasBrain + Lucerna","TIDELOCK + Lucerna + Human-root"))</x:f>
        <x:v>TIDELOCK + Lucerna</x:v>
      </x:c>
      <x:c r="AG1189" s="12" t="str">
        <x:f>IF(AND(AC1189="PUBLIC_CANDIDATE",U1189&lt;&gt;"BLOCKED_PENDING_RECEIPT"),"READY_AFTER_RECEIPT","NOT_READY")</x:f>
        <x:v>NOT_READY</x:v>
      </x:c>
      <x:c r="AH1189" s="12" t="str">
        <x:f>IF(AC1189="PUBLIC_CANDIDATE","none",AD1189)</x:f>
        <x:v>none</x:v>
      </x:c>
      <x:c r="AI1189" s="12" t="str">
        <x:f>IF(AC1189="PUBLIC_CANDIDATE","archive/public_candidates/"&amp;A1189,"private_quarantine/"&amp;A1189)</x:f>
        <x:v>archive/public_candidates/SWARM-09-H03-S12</x:v>
      </x:c>
      <x:c r="AJ1189" s="12" t="str">
        <x:f>IF(AC1189="PUBLIC_CANDIDATE","public by default; still not canon","private/hold; do not publish")</x:f>
        <x:v>public by default; still not canon</x:v>
      </x:c>
      <x:c r="AK1189" s="12" t="str">
        <x:f>IF(AE1189="prepare_public_github_candidate","add receipt/status then mirror","resolve blocker before any public GitHub action")</x:f>
        <x:v>add receipt/status then mirror</x:v>
      </x:c>
    </x:row>
    <x:row r="1190">
      <x:c r="A1190" s="15" t="str">
        <x:v>SWARM-09-H04-S01</x:v>
      </x:c>
      <x:c r="B1190" s="15" t="str">
        <x:v>NotionMoth</x:v>
      </x:c>
      <x:c r="C1190" s="15" t="str">
        <x:v>Notion ontology mapper</x:v>
      </x:c>
      <x:c r="D1190" s="15" t="str">
        <x:v>Claim Extraction</x:v>
      </x:c>
      <x:c r="E1190" s="15" t="str">
        <x:v>Notion</x:v>
      </x:c>
      <x:c r="F1190" s="15" t="str">
        <x:v>Extract claims from Notion — NotionMoth</x:v>
      </x:c>
      <x:c r="G1190" s="15" t="str">
        <x:v>legacy schema / Notion export prep</x:v>
      </x:c>
      <x:c r="H1190" s="15" t="str">
        <x:v>source path + receipt + raw/export status + claim/edge/risk delta</x:v>
      </x:c>
      <x:c r="I1190" s="15" t="str">
        <x:v>packet/SWARM-09-H04-S01</x:v>
      </x:c>
      <x:c r="J1190" s="15" t="str">
        <x:v>TODO</x:v>
      </x:c>
      <x:c r="K1190" s="15" t="str">
        <x:v>P0</x:v>
      </x:c>
      <x:c r="L1190" s="15" t="str">
        <x:v>Done only when evidence is logged, contradiction search is noted, and boundary stamp remains non-canon unless ratified</x:v>
      </x:c>
      <x:c r="M1190" s="15" t="str">
        <x:v>candidate / staging-only / not canon / not deployed / authority none</x:v>
      </x:c>
      <x:c r="N1190" s="15" t="str">
        <x:v>Dispatch to NotionMoth: complete Claim Extraction x Notion; return deltas only, receipts required.</x:v>
      </x:c>
      <x:c r="O1190" s="15" t="str">
        <x:v>AF-KG-H04-S01</x:v>
      </x:c>
      <x:c r="P1190" s="15" t="str">
        <x:v>Unverified</x:v>
      </x:c>
      <x:c r="Q1190" s="15" t="str">
        <x:v>Not checked</x:v>
      </x:c>
      <x:c r="R1190" s="15" t="str"/>
      <x:c r="S1190" s="15" t="str"/>
      <x:c r="T1190" s="15" t="str">
        <x:v>Log first source path or blocker</x:v>
      </x:c>
      <x:c r="U1190" s="12" t="str">
        <x:f>IF(OR(P1190="Unverified",Q1190="Not checked"),"BLOCKED_PENDING_RECEIPT","READY_FOR_REVIEW")</x:f>
        <x:v>BLOCKED_PENDING_RECEIPT</x:v>
      </x:c>
      <x:c r="V1190" s="12" t="str">
        <x:f>IF(J1190="DONE","RETURNED",IF(U1190="BLOCKED_PENDING_RECEIPT","SOURCE_TOUCH_REQUIRED","IN_PROGRESS"))</x:f>
        <x:v>SOURCE_TOUCH_REQUIRED</x:v>
      </x:c>
      <x:c r="W1190" s="12" t="str">
        <x:f>IF(P1190="Unverified","missing_receipt","receipt_logged")</x:f>
        <x:v>missing_receipt</x:v>
      </x:c>
      <x:c r="X1190" s="12" t="str">
        <x:f>IF(Q1190="Not checked","raw_status_missing","raw_status_logged")</x:f>
        <x:v>raw_status_missing</x:v>
      </x:c>
      <x:c r="Y1190" s="12" t="str">
        <x:f>IF(U1190="BLOCKED_PENDING_RECEIPT","Log source path or blocker; do not promote","Route to review lane")</x:f>
        <x:v>Log source path or blocker; do not promote</x:v>
      </x:c>
      <x:c r="Z1190" s="12" t="str">
        <x:f>IF(K1190="P0","Primary seat + Hashlight/Lucerna","Seat lane")</x:f>
        <x:v>Primary seat + Hashlight/Lucerna</x:v>
      </x:c>
      <x:c r="AA1190" s="12" t="str">
        <x:f>IF(R1190="","no_claim_delta","claim_delta_present")</x:f>
        <x:v>no_claim_delta</x:v>
      </x:c>
      <x:c r="AB1190" s="12" t="str">
        <x:f>IF(S1190="","no_contradiction_delta","contradiction_delta_present")</x:f>
        <x:v>no_contradiction_delta</x:v>
      </x:c>
      <x:c r="AC1190" s="12" t="str">
        <x:f>IF(OR(ISNUMBER(SEARCH("hacker",LOWER(F1190&amp;" "&amp;H1190&amp;" "&amp;I1190&amp;" "&amp;M1190&amp;" "&amp;N1190&amp;" "&amp;T1190))),ISNUMBER(SEARCH("hacking",LOWER(F1190&amp;" "&amp;H1190&amp;" "&amp;I1190&amp;" "&amp;M1190&amp;" "&amp;N1190&amp;" "&amp;T1190))),ISNUMBER(SEARCH("bank",LOWER(F1190&amp;" "&amp;H1190&amp;" "&amp;I1190&amp;" "&amp;M1190&amp;" "&amp;N1190&amp;" "&amp;T1190))),ISNUMBER(SEARCH("banking",LOWER(F1190&amp;" "&amp;H1190&amp;" "&amp;I1190&amp;" "&amp;M1190&amp;" "&amp;N1190&amp;" "&amp;T1190)))),"PRIVATE_QUARANTINE",IF(OR(ISNUMBER(SEARCH("treasury",LOWER(F1190&amp;" "&amp;H1190&amp;" "&amp;I1190&amp;" "&amp;M1190&amp;" "&amp;N1190&amp;" "&amp;T1190))),ISNUMBER(SEARCH("debt",LOWER(F1190&amp;" "&amp;H1190&amp;" "&amp;I1190&amp;" "&amp;M1190&amp;" "&amp;N1190&amp;" "&amp;T1190))),ISNUMBER(SEARCH("bond",LOWER(F1190&amp;" "&amp;H1190&amp;" "&amp;I1190&amp;" "&amp;M1190&amp;" "&amp;N1190&amp;" "&amp;T1190))),ISNUMBER(SEARCH("transaction",LOWER(F1190&amp;" "&amp;H1190&amp;" "&amp;I1190&amp;" "&amp;M1190&amp;" "&amp;N1190&amp;" "&amp;T1190)))),"PRIVATE_REVIEW","PUBLIC_CANDIDATE"))</x:f>
        <x:v>PUBLIC_CANDIDATE</x:v>
      </x:c>
      <x:c r="AD1190" s="12" t="str">
        <x:f>IF(AC1190="PRIVATE_QUARANTINE","hacker_or_bank_trigger",IF(AC1190="PRIVATE_REVIEW","finance_risk_trigger","none"))</x:f>
        <x:v>none</x:v>
      </x:c>
      <x:c r="AE1190" s="12" t="str">
        <x:f>IF(AC1190="PUBLIC_CANDIDATE","prepare_public_github_candidate",IF(AC1190="PRIVATE_REVIEW","hold_for_private_review","quarantine_private_do_not_publish"))</x:f>
        <x:v>prepare_public_github_candidate</x:v>
      </x:c>
      <x:c r="AF1190" s="12" t="str">
        <x:f>IF(AC1190="PUBLIC_CANDIDATE","TIDELOCK + Lucerna",IF(AC1190="PRIVATE_REVIEW","AtlasBrain + Lucerna","TIDELOCK + Lucerna + Human-root"))</x:f>
        <x:v>TIDELOCK + Lucerna</x:v>
      </x:c>
      <x:c r="AG1190" s="12" t="str">
        <x:f>IF(AND(AC1190="PUBLIC_CANDIDATE",U1190&lt;&gt;"BLOCKED_PENDING_RECEIPT"),"READY_AFTER_RECEIPT","NOT_READY")</x:f>
        <x:v>NOT_READY</x:v>
      </x:c>
      <x:c r="AH1190" s="12" t="str">
        <x:f>IF(AC1190="PUBLIC_CANDIDATE","none",AD1190)</x:f>
        <x:v>none</x:v>
      </x:c>
      <x:c r="AI1190" s="12" t="str">
        <x:f>IF(AC1190="PUBLIC_CANDIDATE","archive/public_candidates/"&amp;A1190,"private_quarantine/"&amp;A1190)</x:f>
        <x:v>archive/public_candidates/SWARM-09-H04-S01</x:v>
      </x:c>
      <x:c r="AJ1190" s="12" t="str">
        <x:f>IF(AC1190="PUBLIC_CANDIDATE","public by default; still not canon","private/hold; do not publish")</x:f>
        <x:v>public by default; still not canon</x:v>
      </x:c>
      <x:c r="AK1190" s="12" t="str">
        <x:f>IF(AE1190="prepare_public_github_candidate","add receipt/status then mirror","resolve blocker before any public GitHub action")</x:f>
        <x:v>add receipt/status then mirror</x:v>
      </x:c>
    </x:row>
    <x:row r="1191">
      <x:c r="A1191" s="15" t="str">
        <x:v>SWARM-09-H04-S02</x:v>
      </x:c>
      <x:c r="B1191" s="15" t="str">
        <x:v>NotionMoth</x:v>
      </x:c>
      <x:c r="C1191" s="15" t="str">
        <x:v>Notion ontology mapper</x:v>
      </x:c>
      <x:c r="D1191" s="15" t="str">
        <x:v>Claim Extraction</x:v>
      </x:c>
      <x:c r="E1191" s="15" t="str">
        <x:v>Drive</x:v>
      </x:c>
      <x:c r="F1191" s="15" t="str">
        <x:v>Extract claims from Drive — NotionMoth</x:v>
      </x:c>
      <x:c r="G1191" s="15" t="str">
        <x:v>legacy schema / Notion export prep</x:v>
      </x:c>
      <x:c r="H1191" s="15" t="str">
        <x:v>source path + receipt + raw/export status + claim/edge/risk delta</x:v>
      </x:c>
      <x:c r="I1191" s="15" t="str">
        <x:v>packet/SWARM-09-H04-S02</x:v>
      </x:c>
      <x:c r="J1191" s="15" t="str">
        <x:v>TODO</x:v>
      </x:c>
      <x:c r="K1191" s="15" t="str">
        <x:v>P0</x:v>
      </x:c>
      <x:c r="L1191" s="15" t="str">
        <x:v>Done only when evidence is logged, contradiction search is noted, and boundary stamp remains non-canon unless ratified</x:v>
      </x:c>
      <x:c r="M1191" s="15" t="str">
        <x:v>candidate / staging-only / not canon / not deployed / authority none</x:v>
      </x:c>
      <x:c r="N1191" s="15" t="str">
        <x:v>Dispatch to NotionMoth: complete Claim Extraction x Drive; return deltas only, receipts required.</x:v>
      </x:c>
      <x:c r="O1191" s="15" t="str">
        <x:v>AF-KG-H04-S02</x:v>
      </x:c>
      <x:c r="P1191" s="15" t="str">
        <x:v>Unverified</x:v>
      </x:c>
      <x:c r="Q1191" s="15" t="str">
        <x:v>Not checked</x:v>
      </x:c>
      <x:c r="R1191" s="15" t="str"/>
      <x:c r="S1191" s="15" t="str"/>
      <x:c r="T1191" s="15" t="str">
        <x:v>Log first source path or blocker</x:v>
      </x:c>
      <x:c r="U1191" s="12" t="str">
        <x:f>IF(OR(P1191="Unverified",Q1191="Not checked"),"BLOCKED_PENDING_RECEIPT","READY_FOR_REVIEW")</x:f>
        <x:v>BLOCKED_PENDING_RECEIPT</x:v>
      </x:c>
      <x:c r="V1191" s="12" t="str">
        <x:f>IF(J1191="DONE","RETURNED",IF(U1191="BLOCKED_PENDING_RECEIPT","SOURCE_TOUCH_REQUIRED","IN_PROGRESS"))</x:f>
        <x:v>SOURCE_TOUCH_REQUIRED</x:v>
      </x:c>
      <x:c r="W1191" s="12" t="str">
        <x:f>IF(P1191="Unverified","missing_receipt","receipt_logged")</x:f>
        <x:v>missing_receipt</x:v>
      </x:c>
      <x:c r="X1191" s="12" t="str">
        <x:f>IF(Q1191="Not checked","raw_status_missing","raw_status_logged")</x:f>
        <x:v>raw_status_missing</x:v>
      </x:c>
      <x:c r="Y1191" s="12" t="str">
        <x:f>IF(U1191="BLOCKED_PENDING_RECEIPT","Log source path or blocker; do not promote","Route to review lane")</x:f>
        <x:v>Log source path or blocker; do not promote</x:v>
      </x:c>
      <x:c r="Z1191" s="12" t="str">
        <x:f>IF(K1191="P0","Primary seat + Hashlight/Lucerna","Seat lane")</x:f>
        <x:v>Primary seat + Hashlight/Lucerna</x:v>
      </x:c>
      <x:c r="AA1191" s="12" t="str">
        <x:f>IF(R1191="","no_claim_delta","claim_delta_present")</x:f>
        <x:v>no_claim_delta</x:v>
      </x:c>
      <x:c r="AB1191" s="12" t="str">
        <x:f>IF(S1191="","no_contradiction_delta","contradiction_delta_present")</x:f>
        <x:v>no_contradiction_delta</x:v>
      </x:c>
      <x:c r="AC1191" s="12" t="str">
        <x:f>IF(OR(ISNUMBER(SEARCH("hacker",LOWER(F1191&amp;" "&amp;H1191&amp;" "&amp;I1191&amp;" "&amp;M1191&amp;" "&amp;N1191&amp;" "&amp;T1191))),ISNUMBER(SEARCH("hacking",LOWER(F1191&amp;" "&amp;H1191&amp;" "&amp;I1191&amp;" "&amp;M1191&amp;" "&amp;N1191&amp;" "&amp;T1191))),ISNUMBER(SEARCH("bank",LOWER(F1191&amp;" "&amp;H1191&amp;" "&amp;I1191&amp;" "&amp;M1191&amp;" "&amp;N1191&amp;" "&amp;T1191))),ISNUMBER(SEARCH("banking",LOWER(F1191&amp;" "&amp;H1191&amp;" "&amp;I1191&amp;" "&amp;M1191&amp;" "&amp;N1191&amp;" "&amp;T1191)))),"PRIVATE_QUARANTINE",IF(OR(ISNUMBER(SEARCH("treasury",LOWER(F1191&amp;" "&amp;H1191&amp;" "&amp;I1191&amp;" "&amp;M1191&amp;" "&amp;N1191&amp;" "&amp;T1191))),ISNUMBER(SEARCH("debt",LOWER(F1191&amp;" "&amp;H1191&amp;" "&amp;I1191&amp;" "&amp;M1191&amp;" "&amp;N1191&amp;" "&amp;T1191))),ISNUMBER(SEARCH("bond",LOWER(F1191&amp;" "&amp;H1191&amp;" "&amp;I1191&amp;" "&amp;M1191&amp;" "&amp;N1191&amp;" "&amp;T1191))),ISNUMBER(SEARCH("transaction",LOWER(F1191&amp;" "&amp;H1191&amp;" "&amp;I1191&amp;" "&amp;M1191&amp;" "&amp;N1191&amp;" "&amp;T1191)))),"PRIVATE_REVIEW","PUBLIC_CANDIDATE"))</x:f>
        <x:v>PUBLIC_CANDIDATE</x:v>
      </x:c>
      <x:c r="AD1191" s="12" t="str">
        <x:f>IF(AC1191="PRIVATE_QUARANTINE","hacker_or_bank_trigger",IF(AC1191="PRIVATE_REVIEW","finance_risk_trigger","none"))</x:f>
        <x:v>none</x:v>
      </x:c>
      <x:c r="AE1191" s="12" t="str">
        <x:f>IF(AC1191="PUBLIC_CANDIDATE","prepare_public_github_candidate",IF(AC1191="PRIVATE_REVIEW","hold_for_private_review","quarantine_private_do_not_publish"))</x:f>
        <x:v>prepare_public_github_candidate</x:v>
      </x:c>
      <x:c r="AF1191" s="12" t="str">
        <x:f>IF(AC1191="PUBLIC_CANDIDATE","TIDELOCK + Lucerna",IF(AC1191="PRIVATE_REVIEW","AtlasBrain + Lucerna","TIDELOCK + Lucerna + Human-root"))</x:f>
        <x:v>TIDELOCK + Lucerna</x:v>
      </x:c>
      <x:c r="AG1191" s="12" t="str">
        <x:f>IF(AND(AC1191="PUBLIC_CANDIDATE",U1191&lt;&gt;"BLOCKED_PENDING_RECEIPT"),"READY_AFTER_RECEIPT","NOT_READY")</x:f>
        <x:v>NOT_READY</x:v>
      </x:c>
      <x:c r="AH1191" s="12" t="str">
        <x:f>IF(AC1191="PUBLIC_CANDIDATE","none",AD1191)</x:f>
        <x:v>none</x:v>
      </x:c>
      <x:c r="AI1191" s="12" t="str">
        <x:f>IF(AC1191="PUBLIC_CANDIDATE","archive/public_candidates/"&amp;A1191,"private_quarantine/"&amp;A1191)</x:f>
        <x:v>archive/public_candidates/SWARM-09-H04-S02</x:v>
      </x:c>
      <x:c r="AJ1191" s="12" t="str">
        <x:f>IF(AC1191="PUBLIC_CANDIDATE","public by default; still not canon","private/hold; do not publish")</x:f>
        <x:v>public by default; still not canon</x:v>
      </x:c>
      <x:c r="AK1191" s="12" t="str">
        <x:f>IF(AE1191="prepare_public_github_candidate","add receipt/status then mirror","resolve blocker before any public GitHub action")</x:f>
        <x:v>add receipt/status then mirror</x:v>
      </x:c>
    </x:row>
    <x:row r="1192">
      <x:c r="A1192" s="15" t="str">
        <x:v>SWARM-09-H04-S03</x:v>
      </x:c>
      <x:c r="B1192" s="15" t="str">
        <x:v>NotionMoth</x:v>
      </x:c>
      <x:c r="C1192" s="15" t="str">
        <x:v>Notion ontology mapper</x:v>
      </x:c>
      <x:c r="D1192" s="15" t="str">
        <x:v>Claim Extraction</x:v>
      </x:c>
      <x:c r="E1192" s="15" t="str">
        <x:v>GitHub</x:v>
      </x:c>
      <x:c r="F1192" s="15" t="str">
        <x:v>Extract claims from GitHub — NotionMoth</x:v>
      </x:c>
      <x:c r="G1192" s="15" t="str">
        <x:v>legacy schema / Notion export prep</x:v>
      </x:c>
      <x:c r="H1192" s="15" t="str">
        <x:v>source path + receipt + raw/export status + claim/edge/risk delta</x:v>
      </x:c>
      <x:c r="I1192" s="15" t="str">
        <x:v>packet/SWARM-09-H04-S03</x:v>
      </x:c>
      <x:c r="J1192" s="15" t="str">
        <x:v>TODO</x:v>
      </x:c>
      <x:c r="K1192" s="15" t="str">
        <x:v>P0</x:v>
      </x:c>
      <x:c r="L1192" s="15" t="str">
        <x:v>Done only when evidence is logged, contradiction search is noted, and boundary stamp remains non-canon unless ratified</x:v>
      </x:c>
      <x:c r="M1192" s="15" t="str">
        <x:v>candidate / staging-only / not canon / not deployed / authority none</x:v>
      </x:c>
      <x:c r="N1192" s="15" t="str">
        <x:v>Dispatch to NotionMoth: complete Claim Extraction x GitHub; return deltas only, receipts required.</x:v>
      </x:c>
      <x:c r="O1192" s="15" t="str">
        <x:v>AF-KG-H04-S03</x:v>
      </x:c>
      <x:c r="P1192" s="15" t="str">
        <x:v>Unverified</x:v>
      </x:c>
      <x:c r="Q1192" s="15" t="str">
        <x:v>Not checked</x:v>
      </x:c>
      <x:c r="R1192" s="15" t="str"/>
      <x:c r="S1192" s="15" t="str"/>
      <x:c r="T1192" s="15" t="str">
        <x:v>Log first source path or blocker</x:v>
      </x:c>
      <x:c r="U1192" s="12" t="str">
        <x:f>IF(OR(P1192="Unverified",Q1192="Not checked"),"BLOCKED_PENDING_RECEIPT","READY_FOR_REVIEW")</x:f>
        <x:v>BLOCKED_PENDING_RECEIPT</x:v>
      </x:c>
      <x:c r="V1192" s="12" t="str">
        <x:f>IF(J1192="DONE","RETURNED",IF(U1192="BLOCKED_PENDING_RECEIPT","SOURCE_TOUCH_REQUIRED","IN_PROGRESS"))</x:f>
        <x:v>SOURCE_TOUCH_REQUIRED</x:v>
      </x:c>
      <x:c r="W1192" s="12" t="str">
        <x:f>IF(P1192="Unverified","missing_receipt","receipt_logged")</x:f>
        <x:v>missing_receipt</x:v>
      </x:c>
      <x:c r="X1192" s="12" t="str">
        <x:f>IF(Q1192="Not checked","raw_status_missing","raw_status_logged")</x:f>
        <x:v>raw_status_missing</x:v>
      </x:c>
      <x:c r="Y1192" s="12" t="str">
        <x:f>IF(U1192="BLOCKED_PENDING_RECEIPT","Log source path or blocker; do not promote","Route to review lane")</x:f>
        <x:v>Log source path or blocker; do not promote</x:v>
      </x:c>
      <x:c r="Z1192" s="12" t="str">
        <x:f>IF(K1192="P0","Primary seat + Hashlight/Lucerna","Seat lane")</x:f>
        <x:v>Primary seat + Hashlight/Lucerna</x:v>
      </x:c>
      <x:c r="AA1192" s="12" t="str">
        <x:f>IF(R1192="","no_claim_delta","claim_delta_present")</x:f>
        <x:v>no_claim_delta</x:v>
      </x:c>
      <x:c r="AB1192" s="12" t="str">
        <x:f>IF(S1192="","no_contradiction_delta","contradiction_delta_present")</x:f>
        <x:v>no_contradiction_delta</x:v>
      </x:c>
      <x:c r="AC1192" s="12" t="str">
        <x:f>IF(OR(ISNUMBER(SEARCH("hacker",LOWER(F1192&amp;" "&amp;H1192&amp;" "&amp;I1192&amp;" "&amp;M1192&amp;" "&amp;N1192&amp;" "&amp;T1192))),ISNUMBER(SEARCH("hacking",LOWER(F1192&amp;" "&amp;H1192&amp;" "&amp;I1192&amp;" "&amp;M1192&amp;" "&amp;N1192&amp;" "&amp;T1192))),ISNUMBER(SEARCH("bank",LOWER(F1192&amp;" "&amp;H1192&amp;" "&amp;I1192&amp;" "&amp;M1192&amp;" "&amp;N1192&amp;" "&amp;T1192))),ISNUMBER(SEARCH("banking",LOWER(F1192&amp;" "&amp;H1192&amp;" "&amp;I1192&amp;" "&amp;M1192&amp;" "&amp;N1192&amp;" "&amp;T1192)))),"PRIVATE_QUARANTINE",IF(OR(ISNUMBER(SEARCH("treasury",LOWER(F1192&amp;" "&amp;H1192&amp;" "&amp;I1192&amp;" "&amp;M1192&amp;" "&amp;N1192&amp;" "&amp;T1192))),ISNUMBER(SEARCH("debt",LOWER(F1192&amp;" "&amp;H1192&amp;" "&amp;I1192&amp;" "&amp;M1192&amp;" "&amp;N1192&amp;" "&amp;T1192))),ISNUMBER(SEARCH("bond",LOWER(F1192&amp;" "&amp;H1192&amp;" "&amp;I1192&amp;" "&amp;M1192&amp;" "&amp;N1192&amp;" "&amp;T1192))),ISNUMBER(SEARCH("transaction",LOWER(F1192&amp;" "&amp;H1192&amp;" "&amp;I1192&amp;" "&amp;M1192&amp;" "&amp;N1192&amp;" "&amp;T1192)))),"PRIVATE_REVIEW","PUBLIC_CANDIDATE"))</x:f>
        <x:v>PUBLIC_CANDIDATE</x:v>
      </x:c>
      <x:c r="AD1192" s="12" t="str">
        <x:f>IF(AC1192="PRIVATE_QUARANTINE","hacker_or_bank_trigger",IF(AC1192="PRIVATE_REVIEW","finance_risk_trigger","none"))</x:f>
        <x:v>none</x:v>
      </x:c>
      <x:c r="AE1192" s="12" t="str">
        <x:f>IF(AC1192="PUBLIC_CANDIDATE","prepare_public_github_candidate",IF(AC1192="PRIVATE_REVIEW","hold_for_private_review","quarantine_private_do_not_publish"))</x:f>
        <x:v>prepare_public_github_candidate</x:v>
      </x:c>
      <x:c r="AF1192" s="12" t="str">
        <x:f>IF(AC1192="PUBLIC_CANDIDATE","TIDELOCK + Lucerna",IF(AC1192="PRIVATE_REVIEW","AtlasBrain + Lucerna","TIDELOCK + Lucerna + Human-root"))</x:f>
        <x:v>TIDELOCK + Lucerna</x:v>
      </x:c>
      <x:c r="AG1192" s="12" t="str">
        <x:f>IF(AND(AC1192="PUBLIC_CANDIDATE",U1192&lt;&gt;"BLOCKED_PENDING_RECEIPT"),"READY_AFTER_RECEIPT","NOT_READY")</x:f>
        <x:v>NOT_READY</x:v>
      </x:c>
      <x:c r="AH1192" s="12" t="str">
        <x:f>IF(AC1192="PUBLIC_CANDIDATE","none",AD1192)</x:f>
        <x:v>none</x:v>
      </x:c>
      <x:c r="AI1192" s="12" t="str">
        <x:f>IF(AC1192="PUBLIC_CANDIDATE","archive/public_candidates/"&amp;A1192,"private_quarantine/"&amp;A1192)</x:f>
        <x:v>archive/public_candidates/SWARM-09-H04-S03</x:v>
      </x:c>
      <x:c r="AJ1192" s="12" t="str">
        <x:f>IF(AC1192="PUBLIC_CANDIDATE","public by default; still not canon","private/hold; do not publish")</x:f>
        <x:v>public by default; still not canon</x:v>
      </x:c>
      <x:c r="AK1192" s="12" t="str">
        <x:f>IF(AE1192="prepare_public_github_candidate","add receipt/status then mirror","resolve blocker before any public GitHub action")</x:f>
        <x:v>add receipt/status then mirror</x:v>
      </x:c>
    </x:row>
    <x:row r="1193">
      <x:c r="A1193" s="15" t="str">
        <x:v>SWARM-09-H04-S04</x:v>
      </x:c>
      <x:c r="B1193" s="15" t="str">
        <x:v>NotionMoth</x:v>
      </x:c>
      <x:c r="C1193" s="15" t="str">
        <x:v>Notion ontology mapper</x:v>
      </x:c>
      <x:c r="D1193" s="15" t="str">
        <x:v>Claim Extraction</x:v>
      </x:c>
      <x:c r="E1193" s="15" t="str">
        <x:v>Gamma</x:v>
      </x:c>
      <x:c r="F1193" s="15" t="str">
        <x:v>Extract claims from Gamma — NotionMoth</x:v>
      </x:c>
      <x:c r="G1193" s="15" t="str">
        <x:v>legacy schema / Notion export prep</x:v>
      </x:c>
      <x:c r="H1193" s="15" t="str">
        <x:v>source path + receipt + raw/export status + claim/edge/risk delta</x:v>
      </x:c>
      <x:c r="I1193" s="15" t="str">
        <x:v>packet/SWARM-09-H04-S04</x:v>
      </x:c>
      <x:c r="J1193" s="15" t="str">
        <x:v>TODO</x:v>
      </x:c>
      <x:c r="K1193" s="15" t="str">
        <x:v>P1</x:v>
      </x:c>
      <x:c r="L1193" s="15" t="str">
        <x:v>Done only when evidence is logged, contradiction search is noted, and boundary stamp remains non-canon unless ratified</x:v>
      </x:c>
      <x:c r="M1193" s="15" t="str">
        <x:v>candidate / staging-only / not canon / not deployed / authority none</x:v>
      </x:c>
      <x:c r="N1193" s="15" t="str">
        <x:v>Dispatch to NotionMoth: complete Claim Extraction x Gamma; return deltas only, receipts required.</x:v>
      </x:c>
      <x:c r="O1193" s="15" t="str">
        <x:v>AF-KG-H04-S04</x:v>
      </x:c>
      <x:c r="P1193" s="15" t="str">
        <x:v>Unverified</x:v>
      </x:c>
      <x:c r="Q1193" s="15" t="str">
        <x:v>Not checked</x:v>
      </x:c>
      <x:c r="R1193" s="15" t="str"/>
      <x:c r="S1193" s="15" t="str"/>
      <x:c r="T1193" s="15" t="str">
        <x:v>Log first source path or blocker</x:v>
      </x:c>
      <x:c r="U1193" s="12" t="str">
        <x:f>IF(OR(P1193="Unverified",Q1193="Not checked"),"BLOCKED_PENDING_RECEIPT","READY_FOR_REVIEW")</x:f>
        <x:v>BLOCKED_PENDING_RECEIPT</x:v>
      </x:c>
      <x:c r="V1193" s="12" t="str">
        <x:f>IF(J1193="DONE","RETURNED",IF(U1193="BLOCKED_PENDING_RECEIPT","SOURCE_TOUCH_REQUIRED","IN_PROGRESS"))</x:f>
        <x:v>SOURCE_TOUCH_REQUIRED</x:v>
      </x:c>
      <x:c r="W1193" s="12" t="str">
        <x:f>IF(P1193="Unverified","missing_receipt","receipt_logged")</x:f>
        <x:v>missing_receipt</x:v>
      </x:c>
      <x:c r="X1193" s="12" t="str">
        <x:f>IF(Q1193="Not checked","raw_status_missing","raw_status_logged")</x:f>
        <x:v>raw_status_missing</x:v>
      </x:c>
      <x:c r="Y1193" s="12" t="str">
        <x:f>IF(U1193="BLOCKED_PENDING_RECEIPT","Log source path or blocker; do not promote","Route to review lane")</x:f>
        <x:v>Log source path or blocker; do not promote</x:v>
      </x:c>
      <x:c r="Z1193" s="12" t="str">
        <x:f>IF(K1193="P0","Primary seat + Hashlight/Lucerna","Seat lane")</x:f>
        <x:v>Seat lane</x:v>
      </x:c>
      <x:c r="AA1193" s="12" t="str">
        <x:f>IF(R1193="","no_claim_delta","claim_delta_present")</x:f>
        <x:v>no_claim_delta</x:v>
      </x:c>
      <x:c r="AB1193" s="12" t="str">
        <x:f>IF(S1193="","no_contradiction_delta","contradiction_delta_present")</x:f>
        <x:v>no_contradiction_delta</x:v>
      </x:c>
      <x:c r="AC1193" s="12" t="str">
        <x:f>IF(OR(ISNUMBER(SEARCH("hacker",LOWER(F1193&amp;" "&amp;H1193&amp;" "&amp;I1193&amp;" "&amp;M1193&amp;" "&amp;N1193&amp;" "&amp;T1193))),ISNUMBER(SEARCH("hacking",LOWER(F1193&amp;" "&amp;H1193&amp;" "&amp;I1193&amp;" "&amp;M1193&amp;" "&amp;N1193&amp;" "&amp;T1193))),ISNUMBER(SEARCH("bank",LOWER(F1193&amp;" "&amp;H1193&amp;" "&amp;I1193&amp;" "&amp;M1193&amp;" "&amp;N1193&amp;" "&amp;T1193))),ISNUMBER(SEARCH("banking",LOWER(F1193&amp;" "&amp;H1193&amp;" "&amp;I1193&amp;" "&amp;M1193&amp;" "&amp;N1193&amp;" "&amp;T1193)))),"PRIVATE_QUARANTINE",IF(OR(ISNUMBER(SEARCH("treasury",LOWER(F1193&amp;" "&amp;H1193&amp;" "&amp;I1193&amp;" "&amp;M1193&amp;" "&amp;N1193&amp;" "&amp;T1193))),ISNUMBER(SEARCH("debt",LOWER(F1193&amp;" "&amp;H1193&amp;" "&amp;I1193&amp;" "&amp;M1193&amp;" "&amp;N1193&amp;" "&amp;T1193))),ISNUMBER(SEARCH("bond",LOWER(F1193&amp;" "&amp;H1193&amp;" "&amp;I1193&amp;" "&amp;M1193&amp;" "&amp;N1193&amp;" "&amp;T1193))),ISNUMBER(SEARCH("transaction",LOWER(F1193&amp;" "&amp;H1193&amp;" "&amp;I1193&amp;" "&amp;M1193&amp;" "&amp;N1193&amp;" "&amp;T1193)))),"PRIVATE_REVIEW","PUBLIC_CANDIDATE"))</x:f>
        <x:v>PUBLIC_CANDIDATE</x:v>
      </x:c>
      <x:c r="AD1193" s="12" t="str">
        <x:f>IF(AC1193="PRIVATE_QUARANTINE","hacker_or_bank_trigger",IF(AC1193="PRIVATE_REVIEW","finance_risk_trigger","none"))</x:f>
        <x:v>none</x:v>
      </x:c>
      <x:c r="AE1193" s="12" t="str">
        <x:f>IF(AC1193="PUBLIC_CANDIDATE","prepare_public_github_candidate",IF(AC1193="PRIVATE_REVIEW","hold_for_private_review","quarantine_private_do_not_publish"))</x:f>
        <x:v>prepare_public_github_candidate</x:v>
      </x:c>
      <x:c r="AF1193" s="12" t="str">
        <x:f>IF(AC1193="PUBLIC_CANDIDATE","TIDELOCK + Lucerna",IF(AC1193="PRIVATE_REVIEW","AtlasBrain + Lucerna","TIDELOCK + Lucerna + Human-root"))</x:f>
        <x:v>TIDELOCK + Lucerna</x:v>
      </x:c>
      <x:c r="AG1193" s="12" t="str">
        <x:f>IF(AND(AC1193="PUBLIC_CANDIDATE",U1193&lt;&gt;"BLOCKED_PENDING_RECEIPT"),"READY_AFTER_RECEIPT","NOT_READY")</x:f>
        <x:v>NOT_READY</x:v>
      </x:c>
      <x:c r="AH1193" s="12" t="str">
        <x:f>IF(AC1193="PUBLIC_CANDIDATE","none",AD1193)</x:f>
        <x:v>none</x:v>
      </x:c>
      <x:c r="AI1193" s="12" t="str">
        <x:f>IF(AC1193="PUBLIC_CANDIDATE","archive/public_candidates/"&amp;A1193,"private_quarantine/"&amp;A1193)</x:f>
        <x:v>archive/public_candidates/SWARM-09-H04-S04</x:v>
      </x:c>
      <x:c r="AJ1193" s="12" t="str">
        <x:f>IF(AC1193="PUBLIC_CANDIDATE","public by default; still not canon","private/hold; do not publish")</x:f>
        <x:v>public by default; still not canon</x:v>
      </x:c>
      <x:c r="AK1193" s="12" t="str">
        <x:f>IF(AE1193="prepare_public_github_candidate","add receipt/status then mirror","resolve blocker before any public GitHub action")</x:f>
        <x:v>add receipt/status then mirror</x:v>
      </x:c>
    </x:row>
    <x:row r="1194">
      <x:c r="A1194" s="15" t="str">
        <x:v>SWARM-09-H04-S05</x:v>
      </x:c>
      <x:c r="B1194" s="15" t="str">
        <x:v>NotionMoth</x:v>
      </x:c>
      <x:c r="C1194" s="15" t="str">
        <x:v>Notion ontology mapper</x:v>
      </x:c>
      <x:c r="D1194" s="15" t="str">
        <x:v>Claim Extraction</x:v>
      </x:c>
      <x:c r="E1194" s="15" t="str">
        <x:v>Chat</x:v>
      </x:c>
      <x:c r="F1194" s="15" t="str">
        <x:v>Extract claims from Chat — NotionMoth</x:v>
      </x:c>
      <x:c r="G1194" s="15" t="str">
        <x:v>legacy schema / Notion export prep</x:v>
      </x:c>
      <x:c r="H1194" s="15" t="str">
        <x:v>source path + receipt + raw/export status + claim/edge/risk delta</x:v>
      </x:c>
      <x:c r="I1194" s="15" t="str">
        <x:v>packet/SWARM-09-H04-S05</x:v>
      </x:c>
      <x:c r="J1194" s="15" t="str">
        <x:v>TODO</x:v>
      </x:c>
      <x:c r="K1194" s="15" t="str">
        <x:v>P1</x:v>
      </x:c>
      <x:c r="L1194" s="15" t="str">
        <x:v>Done only when evidence is logged, contradiction search is noted, and boundary stamp remains non-canon unless ratified</x:v>
      </x:c>
      <x:c r="M1194" s="15" t="str">
        <x:v>candidate / staging-only / not canon / not deployed / authority none</x:v>
      </x:c>
      <x:c r="N1194" s="15" t="str">
        <x:v>Dispatch to NotionMoth: complete Claim Extraction x Chat; return deltas only, receipts required.</x:v>
      </x:c>
      <x:c r="O1194" s="15" t="str">
        <x:v>AF-KG-H04-S05</x:v>
      </x:c>
      <x:c r="P1194" s="15" t="str">
        <x:v>Unverified</x:v>
      </x:c>
      <x:c r="Q1194" s="15" t="str">
        <x:v>Not checked</x:v>
      </x:c>
      <x:c r="R1194" s="15" t="str"/>
      <x:c r="S1194" s="15" t="str"/>
      <x:c r="T1194" s="15" t="str">
        <x:v>Log first source path or blocker</x:v>
      </x:c>
      <x:c r="U1194" s="12" t="str">
        <x:f>IF(OR(P1194="Unverified",Q1194="Not checked"),"BLOCKED_PENDING_RECEIPT","READY_FOR_REVIEW")</x:f>
        <x:v>BLOCKED_PENDING_RECEIPT</x:v>
      </x:c>
      <x:c r="V1194" s="12" t="str">
        <x:f>IF(J1194="DONE","RETURNED",IF(U1194="BLOCKED_PENDING_RECEIPT","SOURCE_TOUCH_REQUIRED","IN_PROGRESS"))</x:f>
        <x:v>SOURCE_TOUCH_REQUIRED</x:v>
      </x:c>
      <x:c r="W1194" s="12" t="str">
        <x:f>IF(P1194="Unverified","missing_receipt","receipt_logged")</x:f>
        <x:v>missing_receipt</x:v>
      </x:c>
      <x:c r="X1194" s="12" t="str">
        <x:f>IF(Q1194="Not checked","raw_status_missing","raw_status_logged")</x:f>
        <x:v>raw_status_missing</x:v>
      </x:c>
      <x:c r="Y1194" s="12" t="str">
        <x:f>IF(U1194="BLOCKED_PENDING_RECEIPT","Log source path or blocker; do not promote","Route to review lane")</x:f>
        <x:v>Log source path or blocker; do not promote</x:v>
      </x:c>
      <x:c r="Z1194" s="12" t="str">
        <x:f>IF(K1194="P0","Primary seat + Hashlight/Lucerna","Seat lane")</x:f>
        <x:v>Seat lane</x:v>
      </x:c>
      <x:c r="AA1194" s="12" t="str">
        <x:f>IF(R1194="","no_claim_delta","claim_delta_present")</x:f>
        <x:v>no_claim_delta</x:v>
      </x:c>
      <x:c r="AB1194" s="12" t="str">
        <x:f>IF(S1194="","no_contradiction_delta","contradiction_delta_present")</x:f>
        <x:v>no_contradiction_delta</x:v>
      </x:c>
      <x:c r="AC1194" s="12" t="str">
        <x:f>IF(OR(ISNUMBER(SEARCH("hacker",LOWER(F1194&amp;" "&amp;H1194&amp;" "&amp;I1194&amp;" "&amp;M1194&amp;" "&amp;N1194&amp;" "&amp;T1194))),ISNUMBER(SEARCH("hacking",LOWER(F1194&amp;" "&amp;H1194&amp;" "&amp;I1194&amp;" "&amp;M1194&amp;" "&amp;N1194&amp;" "&amp;T1194))),ISNUMBER(SEARCH("bank",LOWER(F1194&amp;" "&amp;H1194&amp;" "&amp;I1194&amp;" "&amp;M1194&amp;" "&amp;N1194&amp;" "&amp;T1194))),ISNUMBER(SEARCH("banking",LOWER(F1194&amp;" "&amp;H1194&amp;" "&amp;I1194&amp;" "&amp;M1194&amp;" "&amp;N1194&amp;" "&amp;T1194)))),"PRIVATE_QUARANTINE",IF(OR(ISNUMBER(SEARCH("treasury",LOWER(F1194&amp;" "&amp;H1194&amp;" "&amp;I1194&amp;" "&amp;M1194&amp;" "&amp;N1194&amp;" "&amp;T1194))),ISNUMBER(SEARCH("debt",LOWER(F1194&amp;" "&amp;H1194&amp;" "&amp;I1194&amp;" "&amp;M1194&amp;" "&amp;N1194&amp;" "&amp;T1194))),ISNUMBER(SEARCH("bond",LOWER(F1194&amp;" "&amp;H1194&amp;" "&amp;I1194&amp;" "&amp;M1194&amp;" "&amp;N1194&amp;" "&amp;T1194))),ISNUMBER(SEARCH("transaction",LOWER(F1194&amp;" "&amp;H1194&amp;" "&amp;I1194&amp;" "&amp;M1194&amp;" "&amp;N1194&amp;" "&amp;T1194)))),"PRIVATE_REVIEW","PUBLIC_CANDIDATE"))</x:f>
        <x:v>PUBLIC_CANDIDATE</x:v>
      </x:c>
      <x:c r="AD1194" s="12" t="str">
        <x:f>IF(AC1194="PRIVATE_QUARANTINE","hacker_or_bank_trigger",IF(AC1194="PRIVATE_REVIEW","finance_risk_trigger","none"))</x:f>
        <x:v>none</x:v>
      </x:c>
      <x:c r="AE1194" s="12" t="str">
        <x:f>IF(AC1194="PUBLIC_CANDIDATE","prepare_public_github_candidate",IF(AC1194="PRIVATE_REVIEW","hold_for_private_review","quarantine_private_do_not_publish"))</x:f>
        <x:v>prepare_public_github_candidate</x:v>
      </x:c>
      <x:c r="AF1194" s="12" t="str">
        <x:f>IF(AC1194="PUBLIC_CANDIDATE","TIDELOCK + Lucerna",IF(AC1194="PRIVATE_REVIEW","AtlasBrain + Lucerna","TIDELOCK + Lucerna + Human-root"))</x:f>
        <x:v>TIDELOCK + Lucerna</x:v>
      </x:c>
      <x:c r="AG1194" s="12" t="str">
        <x:f>IF(AND(AC1194="PUBLIC_CANDIDATE",U1194&lt;&gt;"BLOCKED_PENDING_RECEIPT"),"READY_AFTER_RECEIPT","NOT_READY")</x:f>
        <x:v>NOT_READY</x:v>
      </x:c>
      <x:c r="AH1194" s="12" t="str">
        <x:f>IF(AC1194="PUBLIC_CANDIDATE","none",AD1194)</x:f>
        <x:v>none</x:v>
      </x:c>
      <x:c r="AI1194" s="12" t="str">
        <x:f>IF(AC1194="PUBLIC_CANDIDATE","archive/public_candidates/"&amp;A1194,"private_quarantine/"&amp;A1194)</x:f>
        <x:v>archive/public_candidates/SWARM-09-H04-S05</x:v>
      </x:c>
      <x:c r="AJ1194" s="12" t="str">
        <x:f>IF(AC1194="PUBLIC_CANDIDATE","public by default; still not canon","private/hold; do not publish")</x:f>
        <x:v>public by default; still not canon</x:v>
      </x:c>
      <x:c r="AK1194" s="12" t="str">
        <x:f>IF(AE1194="prepare_public_github_candidate","add receipt/status then mirror","resolve blocker before any public GitHub action")</x:f>
        <x:v>add receipt/status then mirror</x:v>
      </x:c>
    </x:row>
    <x:row r="1195">
      <x:c r="A1195" s="15" t="str">
        <x:v>SWARM-09-H04-S06</x:v>
      </x:c>
      <x:c r="B1195" s="15" t="str">
        <x:v>NotionMoth</x:v>
      </x:c>
      <x:c r="C1195" s="15" t="str">
        <x:v>Notion ontology mapper</x:v>
      </x:c>
      <x:c r="D1195" s="15" t="str">
        <x:v>Claim Extraction</x:v>
      </x:c>
      <x:c r="E1195" s="15" t="str">
        <x:v>External Web</x:v>
      </x:c>
      <x:c r="F1195" s="15" t="str">
        <x:v>Extract claims from External Web — NotionMoth</x:v>
      </x:c>
      <x:c r="G1195" s="15" t="str">
        <x:v>legacy schema / Notion export prep</x:v>
      </x:c>
      <x:c r="H1195" s="15" t="str">
        <x:v>source path + receipt + raw/export status + claim/edge/risk delta</x:v>
      </x:c>
      <x:c r="I1195" s="15" t="str">
        <x:v>packet/SWARM-09-H04-S06</x:v>
      </x:c>
      <x:c r="J1195" s="15" t="str">
        <x:v>TODO</x:v>
      </x:c>
      <x:c r="K1195" s="15" t="str">
        <x:v>P1</x:v>
      </x:c>
      <x:c r="L1195" s="15" t="str">
        <x:v>Done only when evidence is logged, contradiction search is noted, and boundary stamp remains non-canon unless ratified</x:v>
      </x:c>
      <x:c r="M1195" s="15" t="str">
        <x:v>candidate / staging-only / not canon / not deployed / authority none</x:v>
      </x:c>
      <x:c r="N1195" s="15" t="str">
        <x:v>Dispatch to NotionMoth: complete Claim Extraction x External Web; return deltas only, receipts required.</x:v>
      </x:c>
      <x:c r="O1195" s="15" t="str">
        <x:v>AF-KG-H04-S06</x:v>
      </x:c>
      <x:c r="P1195" s="15" t="str">
        <x:v>Unverified</x:v>
      </x:c>
      <x:c r="Q1195" s="15" t="str">
        <x:v>Not checked</x:v>
      </x:c>
      <x:c r="R1195" s="15" t="str"/>
      <x:c r="S1195" s="15" t="str"/>
      <x:c r="T1195" s="15" t="str">
        <x:v>Log first source path or blocker</x:v>
      </x:c>
      <x:c r="U1195" s="12" t="str">
        <x:f>IF(OR(P1195="Unverified",Q1195="Not checked"),"BLOCKED_PENDING_RECEIPT","READY_FOR_REVIEW")</x:f>
        <x:v>BLOCKED_PENDING_RECEIPT</x:v>
      </x:c>
      <x:c r="V1195" s="12" t="str">
        <x:f>IF(J1195="DONE","RETURNED",IF(U1195="BLOCKED_PENDING_RECEIPT","SOURCE_TOUCH_REQUIRED","IN_PROGRESS"))</x:f>
        <x:v>SOURCE_TOUCH_REQUIRED</x:v>
      </x:c>
      <x:c r="W1195" s="12" t="str">
        <x:f>IF(P1195="Unverified","missing_receipt","receipt_logged")</x:f>
        <x:v>missing_receipt</x:v>
      </x:c>
      <x:c r="X1195" s="12" t="str">
        <x:f>IF(Q1195="Not checked","raw_status_missing","raw_status_logged")</x:f>
        <x:v>raw_status_missing</x:v>
      </x:c>
      <x:c r="Y1195" s="12" t="str">
        <x:f>IF(U1195="BLOCKED_PENDING_RECEIPT","Log source path or blocker; do not promote","Route to review lane")</x:f>
        <x:v>Log source path or blocker; do not promote</x:v>
      </x:c>
      <x:c r="Z1195" s="12" t="str">
        <x:f>IF(K1195="P0","Primary seat + Hashlight/Lucerna","Seat lane")</x:f>
        <x:v>Seat lane</x:v>
      </x:c>
      <x:c r="AA1195" s="12" t="str">
        <x:f>IF(R1195="","no_claim_delta","claim_delta_present")</x:f>
        <x:v>no_claim_delta</x:v>
      </x:c>
      <x:c r="AB1195" s="12" t="str">
        <x:f>IF(S1195="","no_contradiction_delta","contradiction_delta_present")</x:f>
        <x:v>no_contradiction_delta</x:v>
      </x:c>
      <x:c r="AC1195" s="12" t="str">
        <x:f>IF(OR(ISNUMBER(SEARCH("hacker",LOWER(F1195&amp;" "&amp;H1195&amp;" "&amp;I1195&amp;" "&amp;M1195&amp;" "&amp;N1195&amp;" "&amp;T1195))),ISNUMBER(SEARCH("hacking",LOWER(F1195&amp;" "&amp;H1195&amp;" "&amp;I1195&amp;" "&amp;M1195&amp;" "&amp;N1195&amp;" "&amp;T1195))),ISNUMBER(SEARCH("bank",LOWER(F1195&amp;" "&amp;H1195&amp;" "&amp;I1195&amp;" "&amp;M1195&amp;" "&amp;N1195&amp;" "&amp;T1195))),ISNUMBER(SEARCH("banking",LOWER(F1195&amp;" "&amp;H1195&amp;" "&amp;I1195&amp;" "&amp;M1195&amp;" "&amp;N1195&amp;" "&amp;T1195)))),"PRIVATE_QUARANTINE",IF(OR(ISNUMBER(SEARCH("treasury",LOWER(F1195&amp;" "&amp;H1195&amp;" "&amp;I1195&amp;" "&amp;M1195&amp;" "&amp;N1195&amp;" "&amp;T1195))),ISNUMBER(SEARCH("debt",LOWER(F1195&amp;" "&amp;H1195&amp;" "&amp;I1195&amp;" "&amp;M1195&amp;" "&amp;N1195&amp;" "&amp;T1195))),ISNUMBER(SEARCH("bond",LOWER(F1195&amp;" "&amp;H1195&amp;" "&amp;I1195&amp;" "&amp;M1195&amp;" "&amp;N1195&amp;" "&amp;T1195))),ISNUMBER(SEARCH("transaction",LOWER(F1195&amp;" "&amp;H1195&amp;" "&amp;I1195&amp;" "&amp;M1195&amp;" "&amp;N1195&amp;" "&amp;T1195)))),"PRIVATE_REVIEW","PUBLIC_CANDIDATE"))</x:f>
        <x:v>PUBLIC_CANDIDATE</x:v>
      </x:c>
      <x:c r="AD1195" s="12" t="str">
        <x:f>IF(AC1195="PRIVATE_QUARANTINE","hacker_or_bank_trigger",IF(AC1195="PRIVATE_REVIEW","finance_risk_trigger","none"))</x:f>
        <x:v>none</x:v>
      </x:c>
      <x:c r="AE1195" s="12" t="str">
        <x:f>IF(AC1195="PUBLIC_CANDIDATE","prepare_public_github_candidate",IF(AC1195="PRIVATE_REVIEW","hold_for_private_review","quarantine_private_do_not_publish"))</x:f>
        <x:v>prepare_public_github_candidate</x:v>
      </x:c>
      <x:c r="AF1195" s="12" t="str">
        <x:f>IF(AC1195="PUBLIC_CANDIDATE","TIDELOCK + Lucerna",IF(AC1195="PRIVATE_REVIEW","AtlasBrain + Lucerna","TIDELOCK + Lucerna + Human-root"))</x:f>
        <x:v>TIDELOCK + Lucerna</x:v>
      </x:c>
      <x:c r="AG1195" s="12" t="str">
        <x:f>IF(AND(AC1195="PUBLIC_CANDIDATE",U1195&lt;&gt;"BLOCKED_PENDING_RECEIPT"),"READY_AFTER_RECEIPT","NOT_READY")</x:f>
        <x:v>NOT_READY</x:v>
      </x:c>
      <x:c r="AH1195" s="12" t="str">
        <x:f>IF(AC1195="PUBLIC_CANDIDATE","none",AD1195)</x:f>
        <x:v>none</x:v>
      </x:c>
      <x:c r="AI1195" s="12" t="str">
        <x:f>IF(AC1195="PUBLIC_CANDIDATE","archive/public_candidates/"&amp;A1195,"private_quarantine/"&amp;A1195)</x:f>
        <x:v>archive/public_candidates/SWARM-09-H04-S06</x:v>
      </x:c>
      <x:c r="AJ1195" s="12" t="str">
        <x:f>IF(AC1195="PUBLIC_CANDIDATE","public by default; still not canon","private/hold; do not publish")</x:f>
        <x:v>public by default; still not canon</x:v>
      </x:c>
      <x:c r="AK1195" s="12" t="str">
        <x:f>IF(AE1195="prepare_public_github_candidate","add receipt/status then mirror","resolve blocker before any public GitHub action")</x:f>
        <x:v>add receipt/status then mirror</x:v>
      </x:c>
    </x:row>
    <x:row r="1196">
      <x:c r="A1196" s="15" t="str">
        <x:v>SWARM-09-H04-S07</x:v>
      </x:c>
      <x:c r="B1196" s="15" t="str">
        <x:v>NotionMoth</x:v>
      </x:c>
      <x:c r="C1196" s="15" t="str">
        <x:v>Notion ontology mapper</x:v>
      </x:c>
      <x:c r="D1196" s="15" t="str">
        <x:v>Claim Extraction</x:v>
      </x:c>
      <x:c r="E1196" s="15" t="str">
        <x:v>Planetarium</x:v>
      </x:c>
      <x:c r="F1196" s="15" t="str">
        <x:v>Extract claims from Planetarium — NotionMoth</x:v>
      </x:c>
      <x:c r="G1196" s="15" t="str">
        <x:v>legacy schema / Notion export prep</x:v>
      </x:c>
      <x:c r="H1196" s="15" t="str">
        <x:v>source path + receipt + raw/export status + claim/edge/risk delta</x:v>
      </x:c>
      <x:c r="I1196" s="15" t="str">
        <x:v>packet/SWARM-09-H04-S07</x:v>
      </x:c>
      <x:c r="J1196" s="15" t="str">
        <x:v>TODO</x:v>
      </x:c>
      <x:c r="K1196" s="15" t="str">
        <x:v>P1</x:v>
      </x:c>
      <x:c r="L1196" s="15" t="str">
        <x:v>Done only when evidence is logged, contradiction search is noted, and boundary stamp remains non-canon unless ratified</x:v>
      </x:c>
      <x:c r="M1196" s="15" t="str">
        <x:v>candidate / staging-only / not canon / not deployed / authority none</x:v>
      </x:c>
      <x:c r="N1196" s="15" t="str">
        <x:v>Dispatch to NotionMoth: complete Claim Extraction x Planetarium; return deltas only, receipts required.</x:v>
      </x:c>
      <x:c r="O1196" s="15" t="str">
        <x:v>AF-KG-H04-S07</x:v>
      </x:c>
      <x:c r="P1196" s="15" t="str">
        <x:v>Unverified</x:v>
      </x:c>
      <x:c r="Q1196" s="15" t="str">
        <x:v>Not checked</x:v>
      </x:c>
      <x:c r="R1196" s="15" t="str"/>
      <x:c r="S1196" s="15" t="str"/>
      <x:c r="T1196" s="15" t="str">
        <x:v>Log first source path or blocker</x:v>
      </x:c>
      <x:c r="U1196" s="12" t="str">
        <x:f>IF(OR(P1196="Unverified",Q1196="Not checked"),"BLOCKED_PENDING_RECEIPT","READY_FOR_REVIEW")</x:f>
        <x:v>BLOCKED_PENDING_RECEIPT</x:v>
      </x:c>
      <x:c r="V1196" s="12" t="str">
        <x:f>IF(J1196="DONE","RETURNED",IF(U1196="BLOCKED_PENDING_RECEIPT","SOURCE_TOUCH_REQUIRED","IN_PROGRESS"))</x:f>
        <x:v>SOURCE_TOUCH_REQUIRED</x:v>
      </x:c>
      <x:c r="W1196" s="12" t="str">
        <x:f>IF(P1196="Unverified","missing_receipt","receipt_logged")</x:f>
        <x:v>missing_receipt</x:v>
      </x:c>
      <x:c r="X1196" s="12" t="str">
        <x:f>IF(Q1196="Not checked","raw_status_missing","raw_status_logged")</x:f>
        <x:v>raw_status_missing</x:v>
      </x:c>
      <x:c r="Y1196" s="12" t="str">
        <x:f>IF(U1196="BLOCKED_PENDING_RECEIPT","Log source path or blocker; do not promote","Route to review lane")</x:f>
        <x:v>Log source path or blocker; do not promote</x:v>
      </x:c>
      <x:c r="Z1196" s="12" t="str">
        <x:f>IF(K1196="P0","Primary seat + Hashlight/Lucerna","Seat lane")</x:f>
        <x:v>Seat lane</x:v>
      </x:c>
      <x:c r="AA1196" s="12" t="str">
        <x:f>IF(R1196="","no_claim_delta","claim_delta_present")</x:f>
        <x:v>no_claim_delta</x:v>
      </x:c>
      <x:c r="AB1196" s="12" t="str">
        <x:f>IF(S1196="","no_contradiction_delta","contradiction_delta_present")</x:f>
        <x:v>no_contradiction_delta</x:v>
      </x:c>
      <x:c r="AC1196" s="12" t="str">
        <x:f>IF(OR(ISNUMBER(SEARCH("hacker",LOWER(F1196&amp;" "&amp;H1196&amp;" "&amp;I1196&amp;" "&amp;M1196&amp;" "&amp;N1196&amp;" "&amp;T1196))),ISNUMBER(SEARCH("hacking",LOWER(F1196&amp;" "&amp;H1196&amp;" "&amp;I1196&amp;" "&amp;M1196&amp;" "&amp;N1196&amp;" "&amp;T1196))),ISNUMBER(SEARCH("bank",LOWER(F1196&amp;" "&amp;H1196&amp;" "&amp;I1196&amp;" "&amp;M1196&amp;" "&amp;N1196&amp;" "&amp;T1196))),ISNUMBER(SEARCH("banking",LOWER(F1196&amp;" "&amp;H1196&amp;" "&amp;I1196&amp;" "&amp;M1196&amp;" "&amp;N1196&amp;" "&amp;T1196)))),"PRIVATE_QUARANTINE",IF(OR(ISNUMBER(SEARCH("treasury",LOWER(F1196&amp;" "&amp;H1196&amp;" "&amp;I1196&amp;" "&amp;M1196&amp;" "&amp;N1196&amp;" "&amp;T1196))),ISNUMBER(SEARCH("debt",LOWER(F1196&amp;" "&amp;H1196&amp;" "&amp;I1196&amp;" "&amp;M1196&amp;" "&amp;N1196&amp;" "&amp;T1196))),ISNUMBER(SEARCH("bond",LOWER(F1196&amp;" "&amp;H1196&amp;" "&amp;I1196&amp;" "&amp;M1196&amp;" "&amp;N1196&amp;" "&amp;T1196))),ISNUMBER(SEARCH("transaction",LOWER(F1196&amp;" "&amp;H1196&amp;" "&amp;I1196&amp;" "&amp;M1196&amp;" "&amp;N1196&amp;" "&amp;T1196)))),"PRIVATE_REVIEW","PUBLIC_CANDIDATE"))</x:f>
        <x:v>PUBLIC_CANDIDATE</x:v>
      </x:c>
      <x:c r="AD1196" s="12" t="str">
        <x:f>IF(AC1196="PRIVATE_QUARANTINE","hacker_or_bank_trigger",IF(AC1196="PRIVATE_REVIEW","finance_risk_trigger","none"))</x:f>
        <x:v>none</x:v>
      </x:c>
      <x:c r="AE1196" s="12" t="str">
        <x:f>IF(AC1196="PUBLIC_CANDIDATE","prepare_public_github_candidate",IF(AC1196="PRIVATE_REVIEW","hold_for_private_review","quarantine_private_do_not_publish"))</x:f>
        <x:v>prepare_public_github_candidate</x:v>
      </x:c>
      <x:c r="AF1196" s="12" t="str">
        <x:f>IF(AC1196="PUBLIC_CANDIDATE","TIDELOCK + Lucerna",IF(AC1196="PRIVATE_REVIEW","AtlasBrain + Lucerna","TIDELOCK + Lucerna + Human-root"))</x:f>
        <x:v>TIDELOCK + Lucerna</x:v>
      </x:c>
      <x:c r="AG1196" s="12" t="str">
        <x:f>IF(AND(AC1196="PUBLIC_CANDIDATE",U1196&lt;&gt;"BLOCKED_PENDING_RECEIPT"),"READY_AFTER_RECEIPT","NOT_READY")</x:f>
        <x:v>NOT_READY</x:v>
      </x:c>
      <x:c r="AH1196" s="12" t="str">
        <x:f>IF(AC1196="PUBLIC_CANDIDATE","none",AD1196)</x:f>
        <x:v>none</x:v>
      </x:c>
      <x:c r="AI1196" s="12" t="str">
        <x:f>IF(AC1196="PUBLIC_CANDIDATE","archive/public_candidates/"&amp;A1196,"private_quarantine/"&amp;A1196)</x:f>
        <x:v>archive/public_candidates/SWARM-09-H04-S07</x:v>
      </x:c>
      <x:c r="AJ1196" s="12" t="str">
        <x:f>IF(AC1196="PUBLIC_CANDIDATE","public by default; still not canon","private/hold; do not publish")</x:f>
        <x:v>public by default; still not canon</x:v>
      </x:c>
      <x:c r="AK1196" s="12" t="str">
        <x:f>IF(AE1196="prepare_public_github_candidate","add receipt/status then mirror","resolve blocker before any public GitHub action")</x:f>
        <x:v>add receipt/status then mirror</x:v>
      </x:c>
    </x:row>
    <x:row r="1197">
      <x:c r="A1197" s="15" t="str">
        <x:v>SWARM-09-H04-S08</x:v>
      </x:c>
      <x:c r="B1197" s="15" t="str">
        <x:v>NotionMoth</x:v>
      </x:c>
      <x:c r="C1197" s="15" t="str">
        <x:v>Notion ontology mapper</x:v>
      </x:c>
      <x:c r="D1197" s="15" t="str">
        <x:v>Claim Extraction</x:v>
      </x:c>
      <x:c r="E1197" s="15" t="str">
        <x:v>Sheldonbrain</x:v>
      </x:c>
      <x:c r="F1197" s="15" t="str">
        <x:v>Extract claims from Sheldonbrain — NotionMoth</x:v>
      </x:c>
      <x:c r="G1197" s="15" t="str">
        <x:v>legacy schema / Notion export prep</x:v>
      </x:c>
      <x:c r="H1197" s="15" t="str">
        <x:v>source path + receipt + raw/export status + claim/edge/risk delta</x:v>
      </x:c>
      <x:c r="I1197" s="15" t="str">
        <x:v>packet/SWARM-09-H04-S08</x:v>
      </x:c>
      <x:c r="J1197" s="15" t="str">
        <x:v>TODO</x:v>
      </x:c>
      <x:c r="K1197" s="15" t="str">
        <x:v>P1</x:v>
      </x:c>
      <x:c r="L1197" s="15" t="str">
        <x:v>Done only when evidence is logged, contradiction search is noted, and boundary stamp remains non-canon unless ratified</x:v>
      </x:c>
      <x:c r="M1197" s="15" t="str">
        <x:v>candidate / staging-only / not canon / not deployed / authority none</x:v>
      </x:c>
      <x:c r="N1197" s="15" t="str">
        <x:v>Dispatch to NotionMoth: complete Claim Extraction x Sheldonbrain; return deltas only, receipts required.</x:v>
      </x:c>
      <x:c r="O1197" s="15" t="str">
        <x:v>AF-KG-H04-S08</x:v>
      </x:c>
      <x:c r="P1197" s="15" t="str">
        <x:v>Unverified</x:v>
      </x:c>
      <x:c r="Q1197" s="15" t="str">
        <x:v>Not checked</x:v>
      </x:c>
      <x:c r="R1197" s="15" t="str"/>
      <x:c r="S1197" s="15" t="str"/>
      <x:c r="T1197" s="15" t="str">
        <x:v>Log first source path or blocker</x:v>
      </x:c>
      <x:c r="U1197" s="12" t="str">
        <x:f>IF(OR(P1197="Unverified",Q1197="Not checked"),"BLOCKED_PENDING_RECEIPT","READY_FOR_REVIEW")</x:f>
        <x:v>BLOCKED_PENDING_RECEIPT</x:v>
      </x:c>
      <x:c r="V1197" s="12" t="str">
        <x:f>IF(J1197="DONE","RETURNED",IF(U1197="BLOCKED_PENDING_RECEIPT","SOURCE_TOUCH_REQUIRED","IN_PROGRESS"))</x:f>
        <x:v>SOURCE_TOUCH_REQUIRED</x:v>
      </x:c>
      <x:c r="W1197" s="12" t="str">
        <x:f>IF(P1197="Unverified","missing_receipt","receipt_logged")</x:f>
        <x:v>missing_receipt</x:v>
      </x:c>
      <x:c r="X1197" s="12" t="str">
        <x:f>IF(Q1197="Not checked","raw_status_missing","raw_status_logged")</x:f>
        <x:v>raw_status_missing</x:v>
      </x:c>
      <x:c r="Y1197" s="12" t="str">
        <x:f>IF(U1197="BLOCKED_PENDING_RECEIPT","Log source path or blocker; do not promote","Route to review lane")</x:f>
        <x:v>Log source path or blocker; do not promote</x:v>
      </x:c>
      <x:c r="Z1197" s="12" t="str">
        <x:f>IF(K1197="P0","Primary seat + Hashlight/Lucerna","Seat lane")</x:f>
        <x:v>Seat lane</x:v>
      </x:c>
      <x:c r="AA1197" s="12" t="str">
        <x:f>IF(R1197="","no_claim_delta","claim_delta_present")</x:f>
        <x:v>no_claim_delta</x:v>
      </x:c>
      <x:c r="AB1197" s="12" t="str">
        <x:f>IF(S1197="","no_contradiction_delta","contradiction_delta_present")</x:f>
        <x:v>no_contradiction_delta</x:v>
      </x:c>
      <x:c r="AC1197" s="12" t="str">
        <x:f>IF(OR(ISNUMBER(SEARCH("hacker",LOWER(F1197&amp;" "&amp;H1197&amp;" "&amp;I1197&amp;" "&amp;M1197&amp;" "&amp;N1197&amp;" "&amp;T1197))),ISNUMBER(SEARCH("hacking",LOWER(F1197&amp;" "&amp;H1197&amp;" "&amp;I1197&amp;" "&amp;M1197&amp;" "&amp;N1197&amp;" "&amp;T1197))),ISNUMBER(SEARCH("bank",LOWER(F1197&amp;" "&amp;H1197&amp;" "&amp;I1197&amp;" "&amp;M1197&amp;" "&amp;N1197&amp;" "&amp;T1197))),ISNUMBER(SEARCH("banking",LOWER(F1197&amp;" "&amp;H1197&amp;" "&amp;I1197&amp;" "&amp;M1197&amp;" "&amp;N1197&amp;" "&amp;T1197)))),"PRIVATE_QUARANTINE",IF(OR(ISNUMBER(SEARCH("treasury",LOWER(F1197&amp;" "&amp;H1197&amp;" "&amp;I1197&amp;" "&amp;M1197&amp;" "&amp;N1197&amp;" "&amp;T1197))),ISNUMBER(SEARCH("debt",LOWER(F1197&amp;" "&amp;H1197&amp;" "&amp;I1197&amp;" "&amp;M1197&amp;" "&amp;N1197&amp;" "&amp;T1197))),ISNUMBER(SEARCH("bond",LOWER(F1197&amp;" "&amp;H1197&amp;" "&amp;I1197&amp;" "&amp;M1197&amp;" "&amp;N1197&amp;" "&amp;T1197))),ISNUMBER(SEARCH("transaction",LOWER(F1197&amp;" "&amp;H1197&amp;" "&amp;I1197&amp;" "&amp;M1197&amp;" "&amp;N1197&amp;" "&amp;T1197)))),"PRIVATE_REVIEW","PUBLIC_CANDIDATE"))</x:f>
        <x:v>PUBLIC_CANDIDATE</x:v>
      </x:c>
      <x:c r="AD1197" s="12" t="str">
        <x:f>IF(AC1197="PRIVATE_QUARANTINE","hacker_or_bank_trigger",IF(AC1197="PRIVATE_REVIEW","finance_risk_trigger","none"))</x:f>
        <x:v>none</x:v>
      </x:c>
      <x:c r="AE1197" s="12" t="str">
        <x:f>IF(AC1197="PUBLIC_CANDIDATE","prepare_public_github_candidate",IF(AC1197="PRIVATE_REVIEW","hold_for_private_review","quarantine_private_do_not_publish"))</x:f>
        <x:v>prepare_public_github_candidate</x:v>
      </x:c>
      <x:c r="AF1197" s="12" t="str">
        <x:f>IF(AC1197="PUBLIC_CANDIDATE","TIDELOCK + Lucerna",IF(AC1197="PRIVATE_REVIEW","AtlasBrain + Lucerna","TIDELOCK + Lucerna + Human-root"))</x:f>
        <x:v>TIDELOCK + Lucerna</x:v>
      </x:c>
      <x:c r="AG1197" s="12" t="str">
        <x:f>IF(AND(AC1197="PUBLIC_CANDIDATE",U1197&lt;&gt;"BLOCKED_PENDING_RECEIPT"),"READY_AFTER_RECEIPT","NOT_READY")</x:f>
        <x:v>NOT_READY</x:v>
      </x:c>
      <x:c r="AH1197" s="12" t="str">
        <x:f>IF(AC1197="PUBLIC_CANDIDATE","none",AD1197)</x:f>
        <x:v>none</x:v>
      </x:c>
      <x:c r="AI1197" s="12" t="str">
        <x:f>IF(AC1197="PUBLIC_CANDIDATE","archive/public_candidates/"&amp;A1197,"private_quarantine/"&amp;A1197)</x:f>
        <x:v>archive/public_candidates/SWARM-09-H04-S08</x:v>
      </x:c>
      <x:c r="AJ1197" s="12" t="str">
        <x:f>IF(AC1197="PUBLIC_CANDIDATE","public by default; still not canon","private/hold; do not publish")</x:f>
        <x:v>public by default; still not canon</x:v>
      </x:c>
      <x:c r="AK1197" s="12" t="str">
        <x:f>IF(AE1197="prepare_public_github_candidate","add receipt/status then mirror","resolve blocker before any public GitHub action")</x:f>
        <x:v>add receipt/status then mirror</x:v>
      </x:c>
    </x:row>
    <x:row r="1198">
      <x:c r="A1198" s="15" t="str">
        <x:v>SWARM-09-H04-S09</x:v>
      </x:c>
      <x:c r="B1198" s="15" t="str">
        <x:v>NotionMoth</x:v>
      </x:c>
      <x:c r="C1198" s="15" t="str">
        <x:v>Notion ontology mapper</x:v>
      </x:c>
      <x:c r="D1198" s="15" t="str">
        <x:v>Claim Extraction</x:v>
      </x:c>
      <x:c r="E1198" s="15" t="str">
        <x:v>Aetherforge</x:v>
      </x:c>
      <x:c r="F1198" s="15" t="str">
        <x:v>Extract claims from Aetherforge — NotionMoth</x:v>
      </x:c>
      <x:c r="G1198" s="15" t="str">
        <x:v>legacy schema / Notion export prep</x:v>
      </x:c>
      <x:c r="H1198" s="15" t="str">
        <x:v>source path + receipt + raw/export status + claim/edge/risk delta</x:v>
      </x:c>
      <x:c r="I1198" s="15" t="str">
        <x:v>packet/SWARM-09-H04-S09</x:v>
      </x:c>
      <x:c r="J1198" s="15" t="str">
        <x:v>TODO</x:v>
      </x:c>
      <x:c r="K1198" s="15" t="str">
        <x:v>P2</x:v>
      </x:c>
      <x:c r="L1198" s="15" t="str">
        <x:v>Done only when evidence is logged, contradiction search is noted, and boundary stamp remains non-canon unless ratified</x:v>
      </x:c>
      <x:c r="M1198" s="15" t="str">
        <x:v>candidate / staging-only / not canon / not deployed / authority none</x:v>
      </x:c>
      <x:c r="N1198" s="15" t="str">
        <x:v>Dispatch to NotionMoth: complete Claim Extraction x Aetherforge; return deltas only, receipts required.</x:v>
      </x:c>
      <x:c r="O1198" s="15" t="str">
        <x:v>AF-KG-H04-S09</x:v>
      </x:c>
      <x:c r="P1198" s="15" t="str">
        <x:v>Unverified</x:v>
      </x:c>
      <x:c r="Q1198" s="15" t="str">
        <x:v>Not checked</x:v>
      </x:c>
      <x:c r="R1198" s="15" t="str"/>
      <x:c r="S1198" s="15" t="str"/>
      <x:c r="T1198" s="15" t="str">
        <x:v>Log first source path or blocker</x:v>
      </x:c>
      <x:c r="U1198" s="12" t="str">
        <x:f>IF(OR(P1198="Unverified",Q1198="Not checked"),"BLOCKED_PENDING_RECEIPT","READY_FOR_REVIEW")</x:f>
        <x:v>BLOCKED_PENDING_RECEIPT</x:v>
      </x:c>
      <x:c r="V1198" s="12" t="str">
        <x:f>IF(J1198="DONE","RETURNED",IF(U1198="BLOCKED_PENDING_RECEIPT","SOURCE_TOUCH_REQUIRED","IN_PROGRESS"))</x:f>
        <x:v>SOURCE_TOUCH_REQUIRED</x:v>
      </x:c>
      <x:c r="W1198" s="12" t="str">
        <x:f>IF(P1198="Unverified","missing_receipt","receipt_logged")</x:f>
        <x:v>missing_receipt</x:v>
      </x:c>
      <x:c r="X1198" s="12" t="str">
        <x:f>IF(Q1198="Not checked","raw_status_missing","raw_status_logged")</x:f>
        <x:v>raw_status_missing</x:v>
      </x:c>
      <x:c r="Y1198" s="12" t="str">
        <x:f>IF(U1198="BLOCKED_PENDING_RECEIPT","Log source path or blocker; do not promote","Route to review lane")</x:f>
        <x:v>Log source path or blocker; do not promote</x:v>
      </x:c>
      <x:c r="Z1198" s="12" t="str">
        <x:f>IF(K1198="P0","Primary seat + Hashlight/Lucerna","Seat lane")</x:f>
        <x:v>Seat lane</x:v>
      </x:c>
      <x:c r="AA1198" s="12" t="str">
        <x:f>IF(R1198="","no_claim_delta","claim_delta_present")</x:f>
        <x:v>no_claim_delta</x:v>
      </x:c>
      <x:c r="AB1198" s="12" t="str">
        <x:f>IF(S1198="","no_contradiction_delta","contradiction_delta_present")</x:f>
        <x:v>no_contradiction_delta</x:v>
      </x:c>
      <x:c r="AC1198" s="12" t="str">
        <x:f>IF(OR(ISNUMBER(SEARCH("hacker",LOWER(F1198&amp;" "&amp;H1198&amp;" "&amp;I1198&amp;" "&amp;M1198&amp;" "&amp;N1198&amp;" "&amp;T1198))),ISNUMBER(SEARCH("hacking",LOWER(F1198&amp;" "&amp;H1198&amp;" "&amp;I1198&amp;" "&amp;M1198&amp;" "&amp;N1198&amp;" "&amp;T1198))),ISNUMBER(SEARCH("bank",LOWER(F1198&amp;" "&amp;H1198&amp;" "&amp;I1198&amp;" "&amp;M1198&amp;" "&amp;N1198&amp;" "&amp;T1198))),ISNUMBER(SEARCH("banking",LOWER(F1198&amp;" "&amp;H1198&amp;" "&amp;I1198&amp;" "&amp;M1198&amp;" "&amp;N1198&amp;" "&amp;T1198)))),"PRIVATE_QUARANTINE",IF(OR(ISNUMBER(SEARCH("treasury",LOWER(F1198&amp;" "&amp;H1198&amp;" "&amp;I1198&amp;" "&amp;M1198&amp;" "&amp;N1198&amp;" "&amp;T1198))),ISNUMBER(SEARCH("debt",LOWER(F1198&amp;" "&amp;H1198&amp;" "&amp;I1198&amp;" "&amp;M1198&amp;" "&amp;N1198&amp;" "&amp;T1198))),ISNUMBER(SEARCH("bond",LOWER(F1198&amp;" "&amp;H1198&amp;" "&amp;I1198&amp;" "&amp;M1198&amp;" "&amp;N1198&amp;" "&amp;T1198))),ISNUMBER(SEARCH("transaction",LOWER(F1198&amp;" "&amp;H1198&amp;" "&amp;I1198&amp;" "&amp;M1198&amp;" "&amp;N1198&amp;" "&amp;T1198)))),"PRIVATE_REVIEW","PUBLIC_CANDIDATE"))</x:f>
        <x:v>PUBLIC_CANDIDATE</x:v>
      </x:c>
      <x:c r="AD1198" s="12" t="str">
        <x:f>IF(AC1198="PRIVATE_QUARANTINE","hacker_or_bank_trigger",IF(AC1198="PRIVATE_REVIEW","finance_risk_trigger","none"))</x:f>
        <x:v>none</x:v>
      </x:c>
      <x:c r="AE1198" s="12" t="str">
        <x:f>IF(AC1198="PUBLIC_CANDIDATE","prepare_public_github_candidate",IF(AC1198="PRIVATE_REVIEW","hold_for_private_review","quarantine_private_do_not_publish"))</x:f>
        <x:v>prepare_public_github_candidate</x:v>
      </x:c>
      <x:c r="AF1198" s="12" t="str">
        <x:f>IF(AC1198="PUBLIC_CANDIDATE","TIDELOCK + Lucerna",IF(AC1198="PRIVATE_REVIEW","AtlasBrain + Lucerna","TIDELOCK + Lucerna + Human-root"))</x:f>
        <x:v>TIDELOCK + Lucerna</x:v>
      </x:c>
      <x:c r="AG1198" s="12" t="str">
        <x:f>IF(AND(AC1198="PUBLIC_CANDIDATE",U1198&lt;&gt;"BLOCKED_PENDING_RECEIPT"),"READY_AFTER_RECEIPT","NOT_READY")</x:f>
        <x:v>NOT_READY</x:v>
      </x:c>
      <x:c r="AH1198" s="12" t="str">
        <x:f>IF(AC1198="PUBLIC_CANDIDATE","none",AD1198)</x:f>
        <x:v>none</x:v>
      </x:c>
      <x:c r="AI1198" s="12" t="str">
        <x:f>IF(AC1198="PUBLIC_CANDIDATE","archive/public_candidates/"&amp;A1198,"private_quarantine/"&amp;A1198)</x:f>
        <x:v>archive/public_candidates/SWARM-09-H04-S09</x:v>
      </x:c>
      <x:c r="AJ1198" s="12" t="str">
        <x:f>IF(AC1198="PUBLIC_CANDIDATE","public by default; still not canon","private/hold; do not publish")</x:f>
        <x:v>public by default; still not canon</x:v>
      </x:c>
      <x:c r="AK1198" s="12" t="str">
        <x:f>IF(AE1198="prepare_public_github_candidate","add receipt/status then mirror","resolve blocker before any public GitHub action")</x:f>
        <x:v>add receipt/status then mirror</x:v>
      </x:c>
    </x:row>
    <x:row r="1199">
      <x:c r="A1199" s="15" t="str">
        <x:v>SWARM-09-H04-S10</x:v>
      </x:c>
      <x:c r="B1199" s="15" t="str">
        <x:v>NotionMoth</x:v>
      </x:c>
      <x:c r="C1199" s="15" t="str">
        <x:v>Notion ontology mapper</x:v>
      </x:c>
      <x:c r="D1199" s="15" t="str">
        <x:v>Claim Extraction</x:v>
      </x:c>
      <x:c r="E1199" s="15" t="str">
        <x:v>Human-Root</x:v>
      </x:c>
      <x:c r="F1199" s="15" t="str">
        <x:v>Extract claims from Human-Root — NotionMoth</x:v>
      </x:c>
      <x:c r="G1199" s="15" t="str">
        <x:v>legacy schema / Notion export prep</x:v>
      </x:c>
      <x:c r="H1199" s="15" t="str">
        <x:v>source path + receipt + raw/export status + claim/edge/risk delta</x:v>
      </x:c>
      <x:c r="I1199" s="15" t="str">
        <x:v>packet/SWARM-09-H04-S10</x:v>
      </x:c>
      <x:c r="J1199" s="15" t="str">
        <x:v>TODO</x:v>
      </x:c>
      <x:c r="K1199" s="15" t="str">
        <x:v>P2</x:v>
      </x:c>
      <x:c r="L1199" s="15" t="str">
        <x:v>Done only when evidence is logged, contradiction search is noted, and boundary stamp remains non-canon unless ratified</x:v>
      </x:c>
      <x:c r="M1199" s="15" t="str">
        <x:v>candidate / staging-only / not canon / not deployed / authority none</x:v>
      </x:c>
      <x:c r="N1199" s="15" t="str">
        <x:v>Dispatch to NotionMoth: complete Claim Extraction x Human-Root; return deltas only, receipts required.</x:v>
      </x:c>
      <x:c r="O1199" s="15" t="str">
        <x:v>AF-KG-H04-S10</x:v>
      </x:c>
      <x:c r="P1199" s="15" t="str">
        <x:v>Unverified</x:v>
      </x:c>
      <x:c r="Q1199" s="15" t="str">
        <x:v>Not checked</x:v>
      </x:c>
      <x:c r="R1199" s="15" t="str"/>
      <x:c r="S1199" s="15" t="str"/>
      <x:c r="T1199" s="15" t="str">
        <x:v>Log first source path or blocker</x:v>
      </x:c>
      <x:c r="U1199" s="12" t="str">
        <x:f>IF(OR(P1199="Unverified",Q1199="Not checked"),"BLOCKED_PENDING_RECEIPT","READY_FOR_REVIEW")</x:f>
        <x:v>BLOCKED_PENDING_RECEIPT</x:v>
      </x:c>
      <x:c r="V1199" s="12" t="str">
        <x:f>IF(J1199="DONE","RETURNED",IF(U1199="BLOCKED_PENDING_RECEIPT","SOURCE_TOUCH_REQUIRED","IN_PROGRESS"))</x:f>
        <x:v>SOURCE_TOUCH_REQUIRED</x:v>
      </x:c>
      <x:c r="W1199" s="12" t="str">
        <x:f>IF(P1199="Unverified","missing_receipt","receipt_logged")</x:f>
        <x:v>missing_receipt</x:v>
      </x:c>
      <x:c r="X1199" s="12" t="str">
        <x:f>IF(Q1199="Not checked","raw_status_missing","raw_status_logged")</x:f>
        <x:v>raw_status_missing</x:v>
      </x:c>
      <x:c r="Y1199" s="12" t="str">
        <x:f>IF(U1199="BLOCKED_PENDING_RECEIPT","Log source path or blocker; do not promote","Route to review lane")</x:f>
        <x:v>Log source path or blocker; do not promote</x:v>
      </x:c>
      <x:c r="Z1199" s="12" t="str">
        <x:f>IF(K1199="P0","Primary seat + Hashlight/Lucerna","Seat lane")</x:f>
        <x:v>Seat lane</x:v>
      </x:c>
      <x:c r="AA1199" s="12" t="str">
        <x:f>IF(R1199="","no_claim_delta","claim_delta_present")</x:f>
        <x:v>no_claim_delta</x:v>
      </x:c>
      <x:c r="AB1199" s="12" t="str">
        <x:f>IF(S1199="","no_contradiction_delta","contradiction_delta_present")</x:f>
        <x:v>no_contradiction_delta</x:v>
      </x:c>
      <x:c r="AC1199" s="12" t="str">
        <x:f>IF(OR(ISNUMBER(SEARCH("hacker",LOWER(F1199&amp;" "&amp;H1199&amp;" "&amp;I1199&amp;" "&amp;M1199&amp;" "&amp;N1199&amp;" "&amp;T1199))),ISNUMBER(SEARCH("hacking",LOWER(F1199&amp;" "&amp;H1199&amp;" "&amp;I1199&amp;" "&amp;M1199&amp;" "&amp;N1199&amp;" "&amp;T1199))),ISNUMBER(SEARCH("bank",LOWER(F1199&amp;" "&amp;H1199&amp;" "&amp;I1199&amp;" "&amp;M1199&amp;" "&amp;N1199&amp;" "&amp;T1199))),ISNUMBER(SEARCH("banking",LOWER(F1199&amp;" "&amp;H1199&amp;" "&amp;I1199&amp;" "&amp;M1199&amp;" "&amp;N1199&amp;" "&amp;T1199)))),"PRIVATE_QUARANTINE",IF(OR(ISNUMBER(SEARCH("treasury",LOWER(F1199&amp;" "&amp;H1199&amp;" "&amp;I1199&amp;" "&amp;M1199&amp;" "&amp;N1199&amp;" "&amp;T1199))),ISNUMBER(SEARCH("debt",LOWER(F1199&amp;" "&amp;H1199&amp;" "&amp;I1199&amp;" "&amp;M1199&amp;" "&amp;N1199&amp;" "&amp;T1199))),ISNUMBER(SEARCH("bond",LOWER(F1199&amp;" "&amp;H1199&amp;" "&amp;I1199&amp;" "&amp;M1199&amp;" "&amp;N1199&amp;" "&amp;T1199))),ISNUMBER(SEARCH("transaction",LOWER(F1199&amp;" "&amp;H1199&amp;" "&amp;I1199&amp;" "&amp;M1199&amp;" "&amp;N1199&amp;" "&amp;T1199)))),"PRIVATE_REVIEW","PUBLIC_CANDIDATE"))</x:f>
        <x:v>PUBLIC_CANDIDATE</x:v>
      </x:c>
      <x:c r="AD1199" s="12" t="str">
        <x:f>IF(AC1199="PRIVATE_QUARANTINE","hacker_or_bank_trigger",IF(AC1199="PRIVATE_REVIEW","finance_risk_trigger","none"))</x:f>
        <x:v>none</x:v>
      </x:c>
      <x:c r="AE1199" s="12" t="str">
        <x:f>IF(AC1199="PUBLIC_CANDIDATE","prepare_public_github_candidate",IF(AC1199="PRIVATE_REVIEW","hold_for_private_review","quarantine_private_do_not_publish"))</x:f>
        <x:v>prepare_public_github_candidate</x:v>
      </x:c>
      <x:c r="AF1199" s="12" t="str">
        <x:f>IF(AC1199="PUBLIC_CANDIDATE","TIDELOCK + Lucerna",IF(AC1199="PRIVATE_REVIEW","AtlasBrain + Lucerna","TIDELOCK + Lucerna + Human-root"))</x:f>
        <x:v>TIDELOCK + Lucerna</x:v>
      </x:c>
      <x:c r="AG1199" s="12" t="str">
        <x:f>IF(AND(AC1199="PUBLIC_CANDIDATE",U1199&lt;&gt;"BLOCKED_PENDING_RECEIPT"),"READY_AFTER_RECEIPT","NOT_READY")</x:f>
        <x:v>NOT_READY</x:v>
      </x:c>
      <x:c r="AH1199" s="12" t="str">
        <x:f>IF(AC1199="PUBLIC_CANDIDATE","none",AD1199)</x:f>
        <x:v>none</x:v>
      </x:c>
      <x:c r="AI1199" s="12" t="str">
        <x:f>IF(AC1199="PUBLIC_CANDIDATE","archive/public_candidates/"&amp;A1199,"private_quarantine/"&amp;A1199)</x:f>
        <x:v>archive/public_candidates/SWARM-09-H04-S10</x:v>
      </x:c>
      <x:c r="AJ1199" s="12" t="str">
        <x:f>IF(AC1199="PUBLIC_CANDIDATE","public by default; still not canon","private/hold; do not publish")</x:f>
        <x:v>public by default; still not canon</x:v>
      </x:c>
      <x:c r="AK1199" s="12" t="str">
        <x:f>IF(AE1199="prepare_public_github_candidate","add receipt/status then mirror","resolve blocker before any public GitHub action")</x:f>
        <x:v>add receipt/status then mirror</x:v>
      </x:c>
    </x:row>
    <x:row r="1200">
      <x:c r="A1200" s="15" t="str">
        <x:v>SWARM-09-H04-S11</x:v>
      </x:c>
      <x:c r="B1200" s="15" t="str">
        <x:v>NotionMoth</x:v>
      </x:c>
      <x:c r="C1200" s="15" t="str">
        <x:v>Notion ontology mapper</x:v>
      </x:c>
      <x:c r="D1200" s="15" t="str">
        <x:v>Claim Extraction</x:v>
      </x:c>
      <x:c r="E1200" s="15" t="str">
        <x:v>Automation</x:v>
      </x:c>
      <x:c r="F1200" s="15" t="str">
        <x:v>Extract claims from Automation — NotionMoth</x:v>
      </x:c>
      <x:c r="G1200" s="15" t="str">
        <x:v>legacy schema / Notion export prep</x:v>
      </x:c>
      <x:c r="H1200" s="15" t="str">
        <x:v>source path + receipt + raw/export status + claim/edge/risk delta</x:v>
      </x:c>
      <x:c r="I1200" s="15" t="str">
        <x:v>packet/SWARM-09-H04-S11</x:v>
      </x:c>
      <x:c r="J1200" s="15" t="str">
        <x:v>TODO</x:v>
      </x:c>
      <x:c r="K1200" s="15" t="str">
        <x:v>P2</x:v>
      </x:c>
      <x:c r="L1200" s="15" t="str">
        <x:v>Done only when evidence is logged, contradiction search is noted, and boundary stamp remains non-canon unless ratified</x:v>
      </x:c>
      <x:c r="M1200" s="15" t="str">
        <x:v>candidate / staging-only / not canon / not deployed / authority none</x:v>
      </x:c>
      <x:c r="N1200" s="15" t="str">
        <x:v>Dispatch to NotionMoth: complete Claim Extraction x Automation; return deltas only, receipts required.</x:v>
      </x:c>
      <x:c r="O1200" s="15" t="str">
        <x:v>AF-KG-H04-S11</x:v>
      </x:c>
      <x:c r="P1200" s="15" t="str">
        <x:v>Unverified</x:v>
      </x:c>
      <x:c r="Q1200" s="15" t="str">
        <x:v>Not checked</x:v>
      </x:c>
      <x:c r="R1200" s="15" t="str"/>
      <x:c r="S1200" s="15" t="str"/>
      <x:c r="T1200" s="15" t="str">
        <x:v>Log first source path or blocker</x:v>
      </x:c>
      <x:c r="U1200" s="12" t="str">
        <x:f>IF(OR(P1200="Unverified",Q1200="Not checked"),"BLOCKED_PENDING_RECEIPT","READY_FOR_REVIEW")</x:f>
        <x:v>BLOCKED_PENDING_RECEIPT</x:v>
      </x:c>
      <x:c r="V1200" s="12" t="str">
        <x:f>IF(J1200="DONE","RETURNED",IF(U1200="BLOCKED_PENDING_RECEIPT","SOURCE_TOUCH_REQUIRED","IN_PROGRESS"))</x:f>
        <x:v>SOURCE_TOUCH_REQUIRED</x:v>
      </x:c>
      <x:c r="W1200" s="12" t="str">
        <x:f>IF(P1200="Unverified","missing_receipt","receipt_logged")</x:f>
        <x:v>missing_receipt</x:v>
      </x:c>
      <x:c r="X1200" s="12" t="str">
        <x:f>IF(Q1200="Not checked","raw_status_missing","raw_status_logged")</x:f>
        <x:v>raw_status_missing</x:v>
      </x:c>
      <x:c r="Y1200" s="12" t="str">
        <x:f>IF(U1200="BLOCKED_PENDING_RECEIPT","Log source path or blocker; do not promote","Route to review lane")</x:f>
        <x:v>Log source path or blocker; do not promote</x:v>
      </x:c>
      <x:c r="Z1200" s="12" t="str">
        <x:f>IF(K1200="P0","Primary seat + Hashlight/Lucerna","Seat lane")</x:f>
        <x:v>Seat lane</x:v>
      </x:c>
      <x:c r="AA1200" s="12" t="str">
        <x:f>IF(R1200="","no_claim_delta","claim_delta_present")</x:f>
        <x:v>no_claim_delta</x:v>
      </x:c>
      <x:c r="AB1200" s="12" t="str">
        <x:f>IF(S1200="","no_contradiction_delta","contradiction_delta_present")</x:f>
        <x:v>no_contradiction_delta</x:v>
      </x:c>
      <x:c r="AC1200" s="12" t="str">
        <x:f>IF(OR(ISNUMBER(SEARCH("hacker",LOWER(F1200&amp;" "&amp;H1200&amp;" "&amp;I1200&amp;" "&amp;M1200&amp;" "&amp;N1200&amp;" "&amp;T1200))),ISNUMBER(SEARCH("hacking",LOWER(F1200&amp;" "&amp;H1200&amp;" "&amp;I1200&amp;" "&amp;M1200&amp;" "&amp;N1200&amp;" "&amp;T1200))),ISNUMBER(SEARCH("bank",LOWER(F1200&amp;" "&amp;H1200&amp;" "&amp;I1200&amp;" "&amp;M1200&amp;" "&amp;N1200&amp;" "&amp;T1200))),ISNUMBER(SEARCH("banking",LOWER(F1200&amp;" "&amp;H1200&amp;" "&amp;I1200&amp;" "&amp;M1200&amp;" "&amp;N1200&amp;" "&amp;T1200)))),"PRIVATE_QUARANTINE",IF(OR(ISNUMBER(SEARCH("treasury",LOWER(F1200&amp;" "&amp;H1200&amp;" "&amp;I1200&amp;" "&amp;M1200&amp;" "&amp;N1200&amp;" "&amp;T1200))),ISNUMBER(SEARCH("debt",LOWER(F1200&amp;" "&amp;H1200&amp;" "&amp;I1200&amp;" "&amp;M1200&amp;" "&amp;N1200&amp;" "&amp;T1200))),ISNUMBER(SEARCH("bond",LOWER(F1200&amp;" "&amp;H1200&amp;" "&amp;I1200&amp;" "&amp;M1200&amp;" "&amp;N1200&amp;" "&amp;T1200))),ISNUMBER(SEARCH("transaction",LOWER(F1200&amp;" "&amp;H1200&amp;" "&amp;I1200&amp;" "&amp;M1200&amp;" "&amp;N1200&amp;" "&amp;T1200)))),"PRIVATE_REVIEW","PUBLIC_CANDIDATE"))</x:f>
        <x:v>PUBLIC_CANDIDATE</x:v>
      </x:c>
      <x:c r="AD1200" s="12" t="str">
        <x:f>IF(AC1200="PRIVATE_QUARANTINE","hacker_or_bank_trigger",IF(AC1200="PRIVATE_REVIEW","finance_risk_trigger","none"))</x:f>
        <x:v>none</x:v>
      </x:c>
      <x:c r="AE1200" s="12" t="str">
        <x:f>IF(AC1200="PUBLIC_CANDIDATE","prepare_public_github_candidate",IF(AC1200="PRIVATE_REVIEW","hold_for_private_review","quarantine_private_do_not_publish"))</x:f>
        <x:v>prepare_public_github_candidate</x:v>
      </x:c>
      <x:c r="AF1200" s="12" t="str">
        <x:f>IF(AC1200="PUBLIC_CANDIDATE","TIDELOCK + Lucerna",IF(AC1200="PRIVATE_REVIEW","AtlasBrain + Lucerna","TIDELOCK + Lucerna + Human-root"))</x:f>
        <x:v>TIDELOCK + Lucerna</x:v>
      </x:c>
      <x:c r="AG1200" s="12" t="str">
        <x:f>IF(AND(AC1200="PUBLIC_CANDIDATE",U1200&lt;&gt;"BLOCKED_PENDING_RECEIPT"),"READY_AFTER_RECEIPT","NOT_READY")</x:f>
        <x:v>NOT_READY</x:v>
      </x:c>
      <x:c r="AH1200" s="12" t="str">
        <x:f>IF(AC1200="PUBLIC_CANDIDATE","none",AD1200)</x:f>
        <x:v>none</x:v>
      </x:c>
      <x:c r="AI1200" s="12" t="str">
        <x:f>IF(AC1200="PUBLIC_CANDIDATE","archive/public_candidates/"&amp;A1200,"private_quarantine/"&amp;A1200)</x:f>
        <x:v>archive/public_candidates/SWARM-09-H04-S11</x:v>
      </x:c>
      <x:c r="AJ1200" s="12" t="str">
        <x:f>IF(AC1200="PUBLIC_CANDIDATE","public by default; still not canon","private/hold; do not publish")</x:f>
        <x:v>public by default; still not canon</x:v>
      </x:c>
      <x:c r="AK1200" s="12" t="str">
        <x:f>IF(AE1200="prepare_public_github_candidate","add receipt/status then mirror","resolve blocker before any public GitHub action")</x:f>
        <x:v>add receipt/status then mirror</x:v>
      </x:c>
    </x:row>
    <x:row r="1201">
      <x:c r="A1201" s="15" t="str">
        <x:v>SWARM-09-H04-S12</x:v>
      </x:c>
      <x:c r="B1201" s="15" t="str">
        <x:v>NotionMoth</x:v>
      </x:c>
      <x:c r="C1201" s="15" t="str">
        <x:v>Notion ontology mapper</x:v>
      </x:c>
      <x:c r="D1201" s="15" t="str">
        <x:v>Claim Extraction</x:v>
      </x:c>
      <x:c r="E1201" s="15" t="str">
        <x:v>Risk / Safety</x:v>
      </x:c>
      <x:c r="F1201" s="15" t="str">
        <x:v>Extract claims from Risk / Safety — NotionMoth</x:v>
      </x:c>
      <x:c r="G1201" s="15" t="str">
        <x:v>legacy schema / Notion export prep</x:v>
      </x:c>
      <x:c r="H1201" s="15" t="str">
        <x:v>source path + receipt + raw/export status + claim/edge/risk delta</x:v>
      </x:c>
      <x:c r="I1201" s="15" t="str">
        <x:v>packet/SWARM-09-H04-S12</x:v>
      </x:c>
      <x:c r="J1201" s="15" t="str">
        <x:v>TODO</x:v>
      </x:c>
      <x:c r="K1201" s="15" t="str">
        <x:v>P2</x:v>
      </x:c>
      <x:c r="L1201" s="15" t="str">
        <x:v>Done only when evidence is logged, contradiction search is noted, and boundary stamp remains non-canon unless ratified</x:v>
      </x:c>
      <x:c r="M1201" s="15" t="str">
        <x:v>candidate / staging-only / not canon / not deployed / authority none</x:v>
      </x:c>
      <x:c r="N1201" s="15" t="str">
        <x:v>Dispatch to NotionMoth: complete Claim Extraction x Risk / Safety; return deltas only, receipts required.</x:v>
      </x:c>
      <x:c r="O1201" s="15" t="str">
        <x:v>AF-KG-H04-S12</x:v>
      </x:c>
      <x:c r="P1201" s="15" t="str">
        <x:v>Unverified</x:v>
      </x:c>
      <x:c r="Q1201" s="15" t="str">
        <x:v>Not checked</x:v>
      </x:c>
      <x:c r="R1201" s="15" t="str"/>
      <x:c r="S1201" s="15" t="str"/>
      <x:c r="T1201" s="15" t="str">
        <x:v>Log first source path or blocker</x:v>
      </x:c>
      <x:c r="U1201" s="12" t="str">
        <x:f>IF(OR(P1201="Unverified",Q1201="Not checked"),"BLOCKED_PENDING_RECEIPT","READY_FOR_REVIEW")</x:f>
        <x:v>BLOCKED_PENDING_RECEIPT</x:v>
      </x:c>
      <x:c r="V1201" s="12" t="str">
        <x:f>IF(J1201="DONE","RETURNED",IF(U1201="BLOCKED_PENDING_RECEIPT","SOURCE_TOUCH_REQUIRED","IN_PROGRESS"))</x:f>
        <x:v>SOURCE_TOUCH_REQUIRED</x:v>
      </x:c>
      <x:c r="W1201" s="12" t="str">
        <x:f>IF(P1201="Unverified","missing_receipt","receipt_logged")</x:f>
        <x:v>missing_receipt</x:v>
      </x:c>
      <x:c r="X1201" s="12" t="str">
        <x:f>IF(Q1201="Not checked","raw_status_missing","raw_status_logged")</x:f>
        <x:v>raw_status_missing</x:v>
      </x:c>
      <x:c r="Y1201" s="12" t="str">
        <x:f>IF(U1201="BLOCKED_PENDING_RECEIPT","Log source path or blocker; do not promote","Route to review lane")</x:f>
        <x:v>Log source path or blocker; do not promote</x:v>
      </x:c>
      <x:c r="Z1201" s="12" t="str">
        <x:f>IF(K1201="P0","Primary seat + Hashlight/Lucerna","Seat lane")</x:f>
        <x:v>Seat lane</x:v>
      </x:c>
      <x:c r="AA1201" s="12" t="str">
        <x:f>IF(R1201="","no_claim_delta","claim_delta_present")</x:f>
        <x:v>no_claim_delta</x:v>
      </x:c>
      <x:c r="AB1201" s="12" t="str">
        <x:f>IF(S1201="","no_contradiction_delta","contradiction_delta_present")</x:f>
        <x:v>no_contradiction_delta</x:v>
      </x:c>
      <x:c r="AC1201" s="12" t="str">
        <x:f>IF(OR(ISNUMBER(SEARCH("hacker",LOWER(F1201&amp;" "&amp;H1201&amp;" "&amp;I1201&amp;" "&amp;M1201&amp;" "&amp;N1201&amp;" "&amp;T1201))),ISNUMBER(SEARCH("hacking",LOWER(F1201&amp;" "&amp;H1201&amp;" "&amp;I1201&amp;" "&amp;M1201&amp;" "&amp;N1201&amp;" "&amp;T1201))),ISNUMBER(SEARCH("bank",LOWER(F1201&amp;" "&amp;H1201&amp;" "&amp;I1201&amp;" "&amp;M1201&amp;" "&amp;N1201&amp;" "&amp;T1201))),ISNUMBER(SEARCH("banking",LOWER(F1201&amp;" "&amp;H1201&amp;" "&amp;I1201&amp;" "&amp;M1201&amp;" "&amp;N1201&amp;" "&amp;T1201)))),"PRIVATE_QUARANTINE",IF(OR(ISNUMBER(SEARCH("treasury",LOWER(F1201&amp;" "&amp;H1201&amp;" "&amp;I1201&amp;" "&amp;M1201&amp;" "&amp;N1201&amp;" "&amp;T1201))),ISNUMBER(SEARCH("debt",LOWER(F1201&amp;" "&amp;H1201&amp;" "&amp;I1201&amp;" "&amp;M1201&amp;" "&amp;N1201&amp;" "&amp;T1201))),ISNUMBER(SEARCH("bond",LOWER(F1201&amp;" "&amp;H1201&amp;" "&amp;I1201&amp;" "&amp;M1201&amp;" "&amp;N1201&amp;" "&amp;T1201))),ISNUMBER(SEARCH("transaction",LOWER(F1201&amp;" "&amp;H1201&amp;" "&amp;I1201&amp;" "&amp;M1201&amp;" "&amp;N1201&amp;" "&amp;T1201)))),"PRIVATE_REVIEW","PUBLIC_CANDIDATE"))</x:f>
        <x:v>PUBLIC_CANDIDATE</x:v>
      </x:c>
      <x:c r="AD1201" s="12" t="str">
        <x:f>IF(AC1201="PRIVATE_QUARANTINE","hacker_or_bank_trigger",IF(AC1201="PRIVATE_REVIEW","finance_risk_trigger","none"))</x:f>
        <x:v>none</x:v>
      </x:c>
      <x:c r="AE1201" s="12" t="str">
        <x:f>IF(AC1201="PUBLIC_CANDIDATE","prepare_public_github_candidate",IF(AC1201="PRIVATE_REVIEW","hold_for_private_review","quarantine_private_do_not_publish"))</x:f>
        <x:v>prepare_public_github_candidate</x:v>
      </x:c>
      <x:c r="AF1201" s="12" t="str">
        <x:f>IF(AC1201="PUBLIC_CANDIDATE","TIDELOCK + Lucerna",IF(AC1201="PRIVATE_REVIEW","AtlasBrain + Lucerna","TIDELOCK + Lucerna + Human-root"))</x:f>
        <x:v>TIDELOCK + Lucerna</x:v>
      </x:c>
      <x:c r="AG1201" s="12" t="str">
        <x:f>IF(AND(AC1201="PUBLIC_CANDIDATE",U1201&lt;&gt;"BLOCKED_PENDING_RECEIPT"),"READY_AFTER_RECEIPT","NOT_READY")</x:f>
        <x:v>NOT_READY</x:v>
      </x:c>
      <x:c r="AH1201" s="12" t="str">
        <x:f>IF(AC1201="PUBLIC_CANDIDATE","none",AD1201)</x:f>
        <x:v>none</x:v>
      </x:c>
      <x:c r="AI1201" s="12" t="str">
        <x:f>IF(AC1201="PUBLIC_CANDIDATE","archive/public_candidates/"&amp;A1201,"private_quarantine/"&amp;A1201)</x:f>
        <x:v>archive/public_candidates/SWARM-09-H04-S12</x:v>
      </x:c>
      <x:c r="AJ1201" s="12" t="str">
        <x:f>IF(AC1201="PUBLIC_CANDIDATE","public by default; still not canon","private/hold; do not publish")</x:f>
        <x:v>public by default; still not canon</x:v>
      </x:c>
      <x:c r="AK1201" s="12" t="str">
        <x:f>IF(AE1201="prepare_public_github_candidate","add receipt/status then mirror","resolve blocker before any public GitHub action")</x:f>
        <x:v>add receipt/status then mirror</x:v>
      </x:c>
    </x:row>
    <x:row r="1202">
      <x:c r="A1202" s="15" t="str">
        <x:v>SWARM-09-H05-S01</x:v>
      </x:c>
      <x:c r="B1202" s="15" t="str">
        <x:v>NotionMoth</x:v>
      </x:c>
      <x:c r="C1202" s="15" t="str">
        <x:v>Notion ontology mapper</x:v>
      </x:c>
      <x:c r="D1202" s="15" t="str">
        <x:v>Contradiction Mapping</x:v>
      </x:c>
      <x:c r="E1202" s="15" t="str">
        <x:v>Notion</x:v>
      </x:c>
      <x:c r="F1202" s="15" t="str">
        <x:v>Map contradictions in Notion — NotionMoth</x:v>
      </x:c>
      <x:c r="G1202" s="15" t="str">
        <x:v>legacy schema / Notion export prep</x:v>
      </x:c>
      <x:c r="H1202" s="15" t="str">
        <x:v>source path + receipt + raw/export status + claim/edge/risk delta</x:v>
      </x:c>
      <x:c r="I1202" s="15" t="str">
        <x:v>packet/SWARM-09-H05-S01</x:v>
      </x:c>
      <x:c r="J1202" s="15" t="str">
        <x:v>TODO</x:v>
      </x:c>
      <x:c r="K1202" s="15" t="str">
        <x:v>P0</x:v>
      </x:c>
      <x:c r="L1202" s="15" t="str">
        <x:v>Done only when evidence is logged, contradiction search is noted, and boundary stamp remains non-canon unless ratified</x:v>
      </x:c>
      <x:c r="M1202" s="15" t="str">
        <x:v>candidate / staging-only / not canon / not deployed / authority none</x:v>
      </x:c>
      <x:c r="N1202" s="15" t="str">
        <x:v>Dispatch to NotionMoth: complete Contradiction Mapping x Notion; return deltas only, receipts required.</x:v>
      </x:c>
      <x:c r="O1202" s="15" t="str">
        <x:v>AF-KG-H05-S01</x:v>
      </x:c>
      <x:c r="P1202" s="15" t="str">
        <x:v>Unverified</x:v>
      </x:c>
      <x:c r="Q1202" s="15" t="str">
        <x:v>Not checked</x:v>
      </x:c>
      <x:c r="R1202" s="15" t="str"/>
      <x:c r="S1202" s="15" t="str"/>
      <x:c r="T1202" s="15" t="str">
        <x:v>Log first source path or blocker</x:v>
      </x:c>
      <x:c r="U1202" s="12" t="str">
        <x:f>IF(OR(P1202="Unverified",Q1202="Not checked"),"BLOCKED_PENDING_RECEIPT","READY_FOR_REVIEW")</x:f>
        <x:v>BLOCKED_PENDING_RECEIPT</x:v>
      </x:c>
      <x:c r="V1202" s="12" t="str">
        <x:f>IF(J1202="DONE","RETURNED",IF(U1202="BLOCKED_PENDING_RECEIPT","SOURCE_TOUCH_REQUIRED","IN_PROGRESS"))</x:f>
        <x:v>SOURCE_TOUCH_REQUIRED</x:v>
      </x:c>
      <x:c r="W1202" s="12" t="str">
        <x:f>IF(P1202="Unverified","missing_receipt","receipt_logged")</x:f>
        <x:v>missing_receipt</x:v>
      </x:c>
      <x:c r="X1202" s="12" t="str">
        <x:f>IF(Q1202="Not checked","raw_status_missing","raw_status_logged")</x:f>
        <x:v>raw_status_missing</x:v>
      </x:c>
      <x:c r="Y1202" s="12" t="str">
        <x:f>IF(U1202="BLOCKED_PENDING_RECEIPT","Log source path or blocker; do not promote","Route to review lane")</x:f>
        <x:v>Log source path or blocker; do not promote</x:v>
      </x:c>
      <x:c r="Z1202" s="12" t="str">
        <x:f>IF(K1202="P0","Primary seat + Hashlight/Lucerna","Seat lane")</x:f>
        <x:v>Primary seat + Hashlight/Lucerna</x:v>
      </x:c>
      <x:c r="AA1202" s="12" t="str">
        <x:f>IF(R1202="","no_claim_delta","claim_delta_present")</x:f>
        <x:v>no_claim_delta</x:v>
      </x:c>
      <x:c r="AB1202" s="12" t="str">
        <x:f>IF(S1202="","no_contradiction_delta","contradiction_delta_present")</x:f>
        <x:v>no_contradiction_delta</x:v>
      </x:c>
      <x:c r="AC1202" s="12" t="str">
        <x:f>IF(OR(ISNUMBER(SEARCH("hacker",LOWER(F1202&amp;" "&amp;H1202&amp;" "&amp;I1202&amp;" "&amp;M1202&amp;" "&amp;N1202&amp;" "&amp;T1202))),ISNUMBER(SEARCH("hacking",LOWER(F1202&amp;" "&amp;H1202&amp;" "&amp;I1202&amp;" "&amp;M1202&amp;" "&amp;N1202&amp;" "&amp;T1202))),ISNUMBER(SEARCH("bank",LOWER(F1202&amp;" "&amp;H1202&amp;" "&amp;I1202&amp;" "&amp;M1202&amp;" "&amp;N1202&amp;" "&amp;T1202))),ISNUMBER(SEARCH("banking",LOWER(F1202&amp;" "&amp;H1202&amp;" "&amp;I1202&amp;" "&amp;M1202&amp;" "&amp;N1202&amp;" "&amp;T1202)))),"PRIVATE_QUARANTINE",IF(OR(ISNUMBER(SEARCH("treasury",LOWER(F1202&amp;" "&amp;H1202&amp;" "&amp;I1202&amp;" "&amp;M1202&amp;" "&amp;N1202&amp;" "&amp;T1202))),ISNUMBER(SEARCH("debt",LOWER(F1202&amp;" "&amp;H1202&amp;" "&amp;I1202&amp;" "&amp;M1202&amp;" "&amp;N1202&amp;" "&amp;T1202))),ISNUMBER(SEARCH("bond",LOWER(F1202&amp;" "&amp;H1202&amp;" "&amp;I1202&amp;" "&amp;M1202&amp;" "&amp;N1202&amp;" "&amp;T1202))),ISNUMBER(SEARCH("transaction",LOWER(F1202&amp;" "&amp;H1202&amp;" "&amp;I1202&amp;" "&amp;M1202&amp;" "&amp;N1202&amp;" "&amp;T1202)))),"PRIVATE_REVIEW","PUBLIC_CANDIDATE"))</x:f>
        <x:v>PUBLIC_CANDIDATE</x:v>
      </x:c>
      <x:c r="AD1202" s="12" t="str">
        <x:f>IF(AC1202="PRIVATE_QUARANTINE","hacker_or_bank_trigger",IF(AC1202="PRIVATE_REVIEW","finance_risk_trigger","none"))</x:f>
        <x:v>none</x:v>
      </x:c>
      <x:c r="AE1202" s="12" t="str">
        <x:f>IF(AC1202="PUBLIC_CANDIDATE","prepare_public_github_candidate",IF(AC1202="PRIVATE_REVIEW","hold_for_private_review","quarantine_private_do_not_publish"))</x:f>
        <x:v>prepare_public_github_candidate</x:v>
      </x:c>
      <x:c r="AF1202" s="12" t="str">
        <x:f>IF(AC1202="PUBLIC_CANDIDATE","TIDELOCK + Lucerna",IF(AC1202="PRIVATE_REVIEW","AtlasBrain + Lucerna","TIDELOCK + Lucerna + Human-root"))</x:f>
        <x:v>TIDELOCK + Lucerna</x:v>
      </x:c>
      <x:c r="AG1202" s="12" t="str">
        <x:f>IF(AND(AC1202="PUBLIC_CANDIDATE",U1202&lt;&gt;"BLOCKED_PENDING_RECEIPT"),"READY_AFTER_RECEIPT","NOT_READY")</x:f>
        <x:v>NOT_READY</x:v>
      </x:c>
      <x:c r="AH1202" s="12" t="str">
        <x:f>IF(AC1202="PUBLIC_CANDIDATE","none",AD1202)</x:f>
        <x:v>none</x:v>
      </x:c>
      <x:c r="AI1202" s="12" t="str">
        <x:f>IF(AC1202="PUBLIC_CANDIDATE","archive/public_candidates/"&amp;A1202,"private_quarantine/"&amp;A1202)</x:f>
        <x:v>archive/public_candidates/SWARM-09-H05-S01</x:v>
      </x:c>
      <x:c r="AJ1202" s="12" t="str">
        <x:f>IF(AC1202="PUBLIC_CANDIDATE","public by default; still not canon","private/hold; do not publish")</x:f>
        <x:v>public by default; still not canon</x:v>
      </x:c>
      <x:c r="AK1202" s="12" t="str">
        <x:f>IF(AE1202="prepare_public_github_candidate","add receipt/status then mirror","resolve blocker before any public GitHub action")</x:f>
        <x:v>add receipt/status then mirror</x:v>
      </x:c>
    </x:row>
    <x:row r="1203">
      <x:c r="A1203" s="15" t="str">
        <x:v>SWARM-09-H05-S02</x:v>
      </x:c>
      <x:c r="B1203" s="15" t="str">
        <x:v>NotionMoth</x:v>
      </x:c>
      <x:c r="C1203" s="15" t="str">
        <x:v>Notion ontology mapper</x:v>
      </x:c>
      <x:c r="D1203" s="15" t="str">
        <x:v>Contradiction Mapping</x:v>
      </x:c>
      <x:c r="E1203" s="15" t="str">
        <x:v>Drive</x:v>
      </x:c>
      <x:c r="F1203" s="15" t="str">
        <x:v>Map contradictions in Drive — NotionMoth</x:v>
      </x:c>
      <x:c r="G1203" s="15" t="str">
        <x:v>legacy schema / Notion export prep</x:v>
      </x:c>
      <x:c r="H1203" s="15" t="str">
        <x:v>source path + receipt + raw/export status + claim/edge/risk delta</x:v>
      </x:c>
      <x:c r="I1203" s="15" t="str">
        <x:v>packet/SWARM-09-H05-S02</x:v>
      </x:c>
      <x:c r="J1203" s="15" t="str">
        <x:v>TODO</x:v>
      </x:c>
      <x:c r="K1203" s="15" t="str">
        <x:v>P0</x:v>
      </x:c>
      <x:c r="L1203" s="15" t="str">
        <x:v>Done only when evidence is logged, contradiction search is noted, and boundary stamp remains non-canon unless ratified</x:v>
      </x:c>
      <x:c r="M1203" s="15" t="str">
        <x:v>candidate / staging-only / not canon / not deployed / authority none</x:v>
      </x:c>
      <x:c r="N1203" s="15" t="str">
        <x:v>Dispatch to NotionMoth: complete Contradiction Mapping x Drive; return deltas only, receipts required.</x:v>
      </x:c>
      <x:c r="O1203" s="15" t="str">
        <x:v>AF-KG-H05-S02</x:v>
      </x:c>
      <x:c r="P1203" s="15" t="str">
        <x:v>Unverified</x:v>
      </x:c>
      <x:c r="Q1203" s="15" t="str">
        <x:v>Not checked</x:v>
      </x:c>
      <x:c r="R1203" s="15" t="str"/>
      <x:c r="S1203" s="15" t="str"/>
      <x:c r="T1203" s="15" t="str">
        <x:v>Log first source path or blocker</x:v>
      </x:c>
      <x:c r="U1203" s="12" t="str">
        <x:f>IF(OR(P1203="Unverified",Q1203="Not checked"),"BLOCKED_PENDING_RECEIPT","READY_FOR_REVIEW")</x:f>
        <x:v>BLOCKED_PENDING_RECEIPT</x:v>
      </x:c>
      <x:c r="V1203" s="12" t="str">
        <x:f>IF(J1203="DONE","RETURNED",IF(U1203="BLOCKED_PENDING_RECEIPT","SOURCE_TOUCH_REQUIRED","IN_PROGRESS"))</x:f>
        <x:v>SOURCE_TOUCH_REQUIRED</x:v>
      </x:c>
      <x:c r="W1203" s="12" t="str">
        <x:f>IF(P1203="Unverified","missing_receipt","receipt_logged")</x:f>
        <x:v>missing_receipt</x:v>
      </x:c>
      <x:c r="X1203" s="12" t="str">
        <x:f>IF(Q1203="Not checked","raw_status_missing","raw_status_logged")</x:f>
        <x:v>raw_status_missing</x:v>
      </x:c>
      <x:c r="Y1203" s="12" t="str">
        <x:f>IF(U1203="BLOCKED_PENDING_RECEIPT","Log source path or blocker; do not promote","Route to review lane")</x:f>
        <x:v>Log source path or blocker; do not promote</x:v>
      </x:c>
      <x:c r="Z1203" s="12" t="str">
        <x:f>IF(K1203="P0","Primary seat + Hashlight/Lucerna","Seat lane")</x:f>
        <x:v>Primary seat + Hashlight/Lucerna</x:v>
      </x:c>
      <x:c r="AA1203" s="12" t="str">
        <x:f>IF(R1203="","no_claim_delta","claim_delta_present")</x:f>
        <x:v>no_claim_delta</x:v>
      </x:c>
      <x:c r="AB1203" s="12" t="str">
        <x:f>IF(S1203="","no_contradiction_delta","contradiction_delta_present")</x:f>
        <x:v>no_contradiction_delta</x:v>
      </x:c>
      <x:c r="AC1203" s="12" t="str">
        <x:f>IF(OR(ISNUMBER(SEARCH("hacker",LOWER(F1203&amp;" "&amp;H1203&amp;" "&amp;I1203&amp;" "&amp;M1203&amp;" "&amp;N1203&amp;" "&amp;T1203))),ISNUMBER(SEARCH("hacking",LOWER(F1203&amp;" "&amp;H1203&amp;" "&amp;I1203&amp;" "&amp;M1203&amp;" "&amp;N1203&amp;" "&amp;T1203))),ISNUMBER(SEARCH("bank",LOWER(F1203&amp;" "&amp;H1203&amp;" "&amp;I1203&amp;" "&amp;M1203&amp;" "&amp;N1203&amp;" "&amp;T1203))),ISNUMBER(SEARCH("banking",LOWER(F1203&amp;" "&amp;H1203&amp;" "&amp;I1203&amp;" "&amp;M1203&amp;" "&amp;N1203&amp;" "&amp;T1203)))),"PRIVATE_QUARANTINE",IF(OR(ISNUMBER(SEARCH("treasury",LOWER(F1203&amp;" "&amp;H1203&amp;" "&amp;I1203&amp;" "&amp;M1203&amp;" "&amp;N1203&amp;" "&amp;T1203))),ISNUMBER(SEARCH("debt",LOWER(F1203&amp;" "&amp;H1203&amp;" "&amp;I1203&amp;" "&amp;M1203&amp;" "&amp;N1203&amp;" "&amp;T1203))),ISNUMBER(SEARCH("bond",LOWER(F1203&amp;" "&amp;H1203&amp;" "&amp;I1203&amp;" "&amp;M1203&amp;" "&amp;N1203&amp;" "&amp;T1203))),ISNUMBER(SEARCH("transaction",LOWER(F1203&amp;" "&amp;H1203&amp;" "&amp;I1203&amp;" "&amp;M1203&amp;" "&amp;N1203&amp;" "&amp;T1203)))),"PRIVATE_REVIEW","PUBLIC_CANDIDATE"))</x:f>
        <x:v>PUBLIC_CANDIDATE</x:v>
      </x:c>
      <x:c r="AD1203" s="12" t="str">
        <x:f>IF(AC1203="PRIVATE_QUARANTINE","hacker_or_bank_trigger",IF(AC1203="PRIVATE_REVIEW","finance_risk_trigger","none"))</x:f>
        <x:v>none</x:v>
      </x:c>
      <x:c r="AE1203" s="12" t="str">
        <x:f>IF(AC1203="PUBLIC_CANDIDATE","prepare_public_github_candidate",IF(AC1203="PRIVATE_REVIEW","hold_for_private_review","quarantine_private_do_not_publish"))</x:f>
        <x:v>prepare_public_github_candidate</x:v>
      </x:c>
      <x:c r="AF1203" s="12" t="str">
        <x:f>IF(AC1203="PUBLIC_CANDIDATE","TIDELOCK + Lucerna",IF(AC1203="PRIVATE_REVIEW","AtlasBrain + Lucerna","TIDELOCK + Lucerna + Human-root"))</x:f>
        <x:v>TIDELOCK + Lucerna</x:v>
      </x:c>
      <x:c r="AG1203" s="12" t="str">
        <x:f>IF(AND(AC1203="PUBLIC_CANDIDATE",U1203&lt;&gt;"BLOCKED_PENDING_RECEIPT"),"READY_AFTER_RECEIPT","NOT_READY")</x:f>
        <x:v>NOT_READY</x:v>
      </x:c>
      <x:c r="AH1203" s="12" t="str">
        <x:f>IF(AC1203="PUBLIC_CANDIDATE","none",AD1203)</x:f>
        <x:v>none</x:v>
      </x:c>
      <x:c r="AI1203" s="12" t="str">
        <x:f>IF(AC1203="PUBLIC_CANDIDATE","archive/public_candidates/"&amp;A1203,"private_quarantine/"&amp;A1203)</x:f>
        <x:v>archive/public_candidates/SWARM-09-H05-S02</x:v>
      </x:c>
      <x:c r="AJ1203" s="12" t="str">
        <x:f>IF(AC1203="PUBLIC_CANDIDATE","public by default; still not canon","private/hold; do not publish")</x:f>
        <x:v>public by default; still not canon</x:v>
      </x:c>
      <x:c r="AK1203" s="12" t="str">
        <x:f>IF(AE1203="prepare_public_github_candidate","add receipt/status then mirror","resolve blocker before any public GitHub action")</x:f>
        <x:v>add receipt/status then mirror</x:v>
      </x:c>
    </x:row>
    <x:row r="1204">
      <x:c r="A1204" s="15" t="str">
        <x:v>SWARM-09-H05-S03</x:v>
      </x:c>
      <x:c r="B1204" s="15" t="str">
        <x:v>NotionMoth</x:v>
      </x:c>
      <x:c r="C1204" s="15" t="str">
        <x:v>Notion ontology mapper</x:v>
      </x:c>
      <x:c r="D1204" s="15" t="str">
        <x:v>Contradiction Mapping</x:v>
      </x:c>
      <x:c r="E1204" s="15" t="str">
        <x:v>GitHub</x:v>
      </x:c>
      <x:c r="F1204" s="15" t="str">
        <x:v>Map contradictions in GitHub — NotionMoth</x:v>
      </x:c>
      <x:c r="G1204" s="15" t="str">
        <x:v>legacy schema / Notion export prep</x:v>
      </x:c>
      <x:c r="H1204" s="15" t="str">
        <x:v>source path + receipt + raw/export status + claim/edge/risk delta</x:v>
      </x:c>
      <x:c r="I1204" s="15" t="str">
        <x:v>packet/SWARM-09-H05-S03</x:v>
      </x:c>
      <x:c r="J1204" s="15" t="str">
        <x:v>TODO</x:v>
      </x:c>
      <x:c r="K1204" s="15" t="str">
        <x:v>P0</x:v>
      </x:c>
      <x:c r="L1204" s="15" t="str">
        <x:v>Done only when evidence is logged, contradiction search is noted, and boundary stamp remains non-canon unless ratified</x:v>
      </x:c>
      <x:c r="M1204" s="15" t="str">
        <x:v>candidate / staging-only / not canon / not deployed / authority none</x:v>
      </x:c>
      <x:c r="N1204" s="15" t="str">
        <x:v>Dispatch to NotionMoth: complete Contradiction Mapping x GitHub; return deltas only, receipts required.</x:v>
      </x:c>
      <x:c r="O1204" s="15" t="str">
        <x:v>AF-KG-H05-S03</x:v>
      </x:c>
      <x:c r="P1204" s="15" t="str">
        <x:v>Unverified</x:v>
      </x:c>
      <x:c r="Q1204" s="15" t="str">
        <x:v>Not checked</x:v>
      </x:c>
      <x:c r="R1204" s="15" t="str"/>
      <x:c r="S1204" s="15" t="str"/>
      <x:c r="T1204" s="15" t="str">
        <x:v>Log first source path or blocker</x:v>
      </x:c>
      <x:c r="U1204" s="12" t="str">
        <x:f>IF(OR(P1204="Unverified",Q1204="Not checked"),"BLOCKED_PENDING_RECEIPT","READY_FOR_REVIEW")</x:f>
        <x:v>BLOCKED_PENDING_RECEIPT</x:v>
      </x:c>
      <x:c r="V1204" s="12" t="str">
        <x:f>IF(J1204="DONE","RETURNED",IF(U1204="BLOCKED_PENDING_RECEIPT","SOURCE_TOUCH_REQUIRED","IN_PROGRESS"))</x:f>
        <x:v>SOURCE_TOUCH_REQUIRED</x:v>
      </x:c>
      <x:c r="W1204" s="12" t="str">
        <x:f>IF(P1204="Unverified","missing_receipt","receipt_logged")</x:f>
        <x:v>missing_receipt</x:v>
      </x:c>
      <x:c r="X1204" s="12" t="str">
        <x:f>IF(Q1204="Not checked","raw_status_missing","raw_status_logged")</x:f>
        <x:v>raw_status_missing</x:v>
      </x:c>
      <x:c r="Y1204" s="12" t="str">
        <x:f>IF(U1204="BLOCKED_PENDING_RECEIPT","Log source path or blocker; do not promote","Route to review lane")</x:f>
        <x:v>Log source path or blocker; do not promote</x:v>
      </x:c>
      <x:c r="Z1204" s="12" t="str">
        <x:f>IF(K1204="P0","Primary seat + Hashlight/Lucerna","Seat lane")</x:f>
        <x:v>Primary seat + Hashlight/Lucerna</x:v>
      </x:c>
      <x:c r="AA1204" s="12" t="str">
        <x:f>IF(R1204="","no_claim_delta","claim_delta_present")</x:f>
        <x:v>no_claim_delta</x:v>
      </x:c>
      <x:c r="AB1204" s="12" t="str">
        <x:f>IF(S1204="","no_contradiction_delta","contradiction_delta_present")</x:f>
        <x:v>no_contradiction_delta</x:v>
      </x:c>
      <x:c r="AC1204" s="12" t="str">
        <x:f>IF(OR(ISNUMBER(SEARCH("hacker",LOWER(F1204&amp;" "&amp;H1204&amp;" "&amp;I1204&amp;" "&amp;M1204&amp;" "&amp;N1204&amp;" "&amp;T1204))),ISNUMBER(SEARCH("hacking",LOWER(F1204&amp;" "&amp;H1204&amp;" "&amp;I1204&amp;" "&amp;M1204&amp;" "&amp;N1204&amp;" "&amp;T1204))),ISNUMBER(SEARCH("bank",LOWER(F1204&amp;" "&amp;H1204&amp;" "&amp;I1204&amp;" "&amp;M1204&amp;" "&amp;N1204&amp;" "&amp;T1204))),ISNUMBER(SEARCH("banking",LOWER(F1204&amp;" "&amp;H1204&amp;" "&amp;I1204&amp;" "&amp;M1204&amp;" "&amp;N1204&amp;" "&amp;T1204)))),"PRIVATE_QUARANTINE",IF(OR(ISNUMBER(SEARCH("treasury",LOWER(F1204&amp;" "&amp;H1204&amp;" "&amp;I1204&amp;" "&amp;M1204&amp;" "&amp;N1204&amp;" "&amp;T1204))),ISNUMBER(SEARCH("debt",LOWER(F1204&amp;" "&amp;H1204&amp;" "&amp;I1204&amp;" "&amp;M1204&amp;" "&amp;N1204&amp;" "&amp;T1204))),ISNUMBER(SEARCH("bond",LOWER(F1204&amp;" "&amp;H1204&amp;" "&amp;I1204&amp;" "&amp;M1204&amp;" "&amp;N1204&amp;" "&amp;T1204))),ISNUMBER(SEARCH("transaction",LOWER(F1204&amp;" "&amp;H1204&amp;" "&amp;I1204&amp;" "&amp;M1204&amp;" "&amp;N1204&amp;" "&amp;T1204)))),"PRIVATE_REVIEW","PUBLIC_CANDIDATE"))</x:f>
        <x:v>PUBLIC_CANDIDATE</x:v>
      </x:c>
      <x:c r="AD1204" s="12" t="str">
        <x:f>IF(AC1204="PRIVATE_QUARANTINE","hacker_or_bank_trigger",IF(AC1204="PRIVATE_REVIEW","finance_risk_trigger","none"))</x:f>
        <x:v>none</x:v>
      </x:c>
      <x:c r="AE1204" s="12" t="str">
        <x:f>IF(AC1204="PUBLIC_CANDIDATE","prepare_public_github_candidate",IF(AC1204="PRIVATE_REVIEW","hold_for_private_review","quarantine_private_do_not_publish"))</x:f>
        <x:v>prepare_public_github_candidate</x:v>
      </x:c>
      <x:c r="AF1204" s="12" t="str">
        <x:f>IF(AC1204="PUBLIC_CANDIDATE","TIDELOCK + Lucerna",IF(AC1204="PRIVATE_REVIEW","AtlasBrain + Lucerna","TIDELOCK + Lucerna + Human-root"))</x:f>
        <x:v>TIDELOCK + Lucerna</x:v>
      </x:c>
      <x:c r="AG1204" s="12" t="str">
        <x:f>IF(AND(AC1204="PUBLIC_CANDIDATE",U1204&lt;&gt;"BLOCKED_PENDING_RECEIPT"),"READY_AFTER_RECEIPT","NOT_READY")</x:f>
        <x:v>NOT_READY</x:v>
      </x:c>
      <x:c r="AH1204" s="12" t="str">
        <x:f>IF(AC1204="PUBLIC_CANDIDATE","none",AD1204)</x:f>
        <x:v>none</x:v>
      </x:c>
      <x:c r="AI1204" s="12" t="str">
        <x:f>IF(AC1204="PUBLIC_CANDIDATE","archive/public_candidates/"&amp;A1204,"private_quarantine/"&amp;A1204)</x:f>
        <x:v>archive/public_candidates/SWARM-09-H05-S03</x:v>
      </x:c>
      <x:c r="AJ1204" s="12" t="str">
        <x:f>IF(AC1204="PUBLIC_CANDIDATE","public by default; still not canon","private/hold; do not publish")</x:f>
        <x:v>public by default; still not canon</x:v>
      </x:c>
      <x:c r="AK1204" s="12" t="str">
        <x:f>IF(AE1204="prepare_public_github_candidate","add receipt/status then mirror","resolve blocker before any public GitHub action")</x:f>
        <x:v>add receipt/status then mirror</x:v>
      </x:c>
    </x:row>
    <x:row r="1205">
      <x:c r="A1205" s="15" t="str">
        <x:v>SWARM-09-H05-S04</x:v>
      </x:c>
      <x:c r="B1205" s="15" t="str">
        <x:v>NotionMoth</x:v>
      </x:c>
      <x:c r="C1205" s="15" t="str">
        <x:v>Notion ontology mapper</x:v>
      </x:c>
      <x:c r="D1205" s="15" t="str">
        <x:v>Contradiction Mapping</x:v>
      </x:c>
      <x:c r="E1205" s="15" t="str">
        <x:v>Gamma</x:v>
      </x:c>
      <x:c r="F1205" s="15" t="str">
        <x:v>Map contradictions in Gamma — NotionMoth</x:v>
      </x:c>
      <x:c r="G1205" s="15" t="str">
        <x:v>legacy schema / Notion export prep</x:v>
      </x:c>
      <x:c r="H1205" s="15" t="str">
        <x:v>source path + receipt + raw/export status + claim/edge/risk delta</x:v>
      </x:c>
      <x:c r="I1205" s="15" t="str">
        <x:v>packet/SWARM-09-H05-S04</x:v>
      </x:c>
      <x:c r="J1205" s="15" t="str">
        <x:v>TODO</x:v>
      </x:c>
      <x:c r="K1205" s="15" t="str">
        <x:v>P1</x:v>
      </x:c>
      <x:c r="L1205" s="15" t="str">
        <x:v>Done only when evidence is logged, contradiction search is noted, and boundary stamp remains non-canon unless ratified</x:v>
      </x:c>
      <x:c r="M1205" s="15" t="str">
        <x:v>candidate / staging-only / not canon / not deployed / authority none</x:v>
      </x:c>
      <x:c r="N1205" s="15" t="str">
        <x:v>Dispatch to NotionMoth: complete Contradiction Mapping x Gamma; return deltas only, receipts required.</x:v>
      </x:c>
      <x:c r="O1205" s="15" t="str">
        <x:v>AF-KG-H05-S04</x:v>
      </x:c>
      <x:c r="P1205" s="15" t="str">
        <x:v>Unverified</x:v>
      </x:c>
      <x:c r="Q1205" s="15" t="str">
        <x:v>Not checked</x:v>
      </x:c>
      <x:c r="R1205" s="15" t="str"/>
      <x:c r="S1205" s="15" t="str"/>
      <x:c r="T1205" s="15" t="str">
        <x:v>Log first source path or blocker</x:v>
      </x:c>
      <x:c r="U1205" s="12" t="str">
        <x:f>IF(OR(P1205="Unverified",Q1205="Not checked"),"BLOCKED_PENDING_RECEIPT","READY_FOR_REVIEW")</x:f>
        <x:v>BLOCKED_PENDING_RECEIPT</x:v>
      </x:c>
      <x:c r="V1205" s="12" t="str">
        <x:f>IF(J1205="DONE","RETURNED",IF(U1205="BLOCKED_PENDING_RECEIPT","SOURCE_TOUCH_REQUIRED","IN_PROGRESS"))</x:f>
        <x:v>SOURCE_TOUCH_REQUIRED</x:v>
      </x:c>
      <x:c r="W1205" s="12" t="str">
        <x:f>IF(P1205="Unverified","missing_receipt","receipt_logged")</x:f>
        <x:v>missing_receipt</x:v>
      </x:c>
      <x:c r="X1205" s="12" t="str">
        <x:f>IF(Q1205="Not checked","raw_status_missing","raw_status_logged")</x:f>
        <x:v>raw_status_missing</x:v>
      </x:c>
      <x:c r="Y1205" s="12" t="str">
        <x:f>IF(U1205="BLOCKED_PENDING_RECEIPT","Log source path or blocker; do not promote","Route to review lane")</x:f>
        <x:v>Log source path or blocker; do not promote</x:v>
      </x:c>
      <x:c r="Z1205" s="12" t="str">
        <x:f>IF(K1205="P0","Primary seat + Hashlight/Lucerna","Seat lane")</x:f>
        <x:v>Seat lane</x:v>
      </x:c>
      <x:c r="AA1205" s="12" t="str">
        <x:f>IF(R1205="","no_claim_delta","claim_delta_present")</x:f>
        <x:v>no_claim_delta</x:v>
      </x:c>
      <x:c r="AB1205" s="12" t="str">
        <x:f>IF(S1205="","no_contradiction_delta","contradiction_delta_present")</x:f>
        <x:v>no_contradiction_delta</x:v>
      </x:c>
      <x:c r="AC1205" s="12" t="str">
        <x:f>IF(OR(ISNUMBER(SEARCH("hacker",LOWER(F1205&amp;" "&amp;H1205&amp;" "&amp;I1205&amp;" "&amp;M1205&amp;" "&amp;N1205&amp;" "&amp;T1205))),ISNUMBER(SEARCH("hacking",LOWER(F1205&amp;" "&amp;H1205&amp;" "&amp;I1205&amp;" "&amp;M1205&amp;" "&amp;N1205&amp;" "&amp;T1205))),ISNUMBER(SEARCH("bank",LOWER(F1205&amp;" "&amp;H1205&amp;" "&amp;I1205&amp;" "&amp;M1205&amp;" "&amp;N1205&amp;" "&amp;T1205))),ISNUMBER(SEARCH("banking",LOWER(F1205&amp;" "&amp;H1205&amp;" "&amp;I1205&amp;" "&amp;M1205&amp;" "&amp;N1205&amp;" "&amp;T1205)))),"PRIVATE_QUARANTINE",IF(OR(ISNUMBER(SEARCH("treasury",LOWER(F1205&amp;" "&amp;H1205&amp;" "&amp;I1205&amp;" "&amp;M1205&amp;" "&amp;N1205&amp;" "&amp;T1205))),ISNUMBER(SEARCH("debt",LOWER(F1205&amp;" "&amp;H1205&amp;" "&amp;I1205&amp;" "&amp;M1205&amp;" "&amp;N1205&amp;" "&amp;T1205))),ISNUMBER(SEARCH("bond",LOWER(F1205&amp;" "&amp;H1205&amp;" "&amp;I1205&amp;" "&amp;M1205&amp;" "&amp;N1205&amp;" "&amp;T1205))),ISNUMBER(SEARCH("transaction",LOWER(F1205&amp;" "&amp;H1205&amp;" "&amp;I1205&amp;" "&amp;M1205&amp;" "&amp;N1205&amp;" "&amp;T1205)))),"PRIVATE_REVIEW","PUBLIC_CANDIDATE"))</x:f>
        <x:v>PUBLIC_CANDIDATE</x:v>
      </x:c>
      <x:c r="AD1205" s="12" t="str">
        <x:f>IF(AC1205="PRIVATE_QUARANTINE","hacker_or_bank_trigger",IF(AC1205="PRIVATE_REVIEW","finance_risk_trigger","none"))</x:f>
        <x:v>none</x:v>
      </x:c>
      <x:c r="AE1205" s="12" t="str">
        <x:f>IF(AC1205="PUBLIC_CANDIDATE","prepare_public_github_candidate",IF(AC1205="PRIVATE_REVIEW","hold_for_private_review","quarantine_private_do_not_publish"))</x:f>
        <x:v>prepare_public_github_candidate</x:v>
      </x:c>
      <x:c r="AF1205" s="12" t="str">
        <x:f>IF(AC1205="PUBLIC_CANDIDATE","TIDELOCK + Lucerna",IF(AC1205="PRIVATE_REVIEW","AtlasBrain + Lucerna","TIDELOCK + Lucerna + Human-root"))</x:f>
        <x:v>TIDELOCK + Lucerna</x:v>
      </x:c>
      <x:c r="AG1205" s="12" t="str">
        <x:f>IF(AND(AC1205="PUBLIC_CANDIDATE",U1205&lt;&gt;"BLOCKED_PENDING_RECEIPT"),"READY_AFTER_RECEIPT","NOT_READY")</x:f>
        <x:v>NOT_READY</x:v>
      </x:c>
      <x:c r="AH1205" s="12" t="str">
        <x:f>IF(AC1205="PUBLIC_CANDIDATE","none",AD1205)</x:f>
        <x:v>none</x:v>
      </x:c>
      <x:c r="AI1205" s="12" t="str">
        <x:f>IF(AC1205="PUBLIC_CANDIDATE","archive/public_candidates/"&amp;A1205,"private_quarantine/"&amp;A1205)</x:f>
        <x:v>archive/public_candidates/SWARM-09-H05-S04</x:v>
      </x:c>
      <x:c r="AJ1205" s="12" t="str">
        <x:f>IF(AC1205="PUBLIC_CANDIDATE","public by default; still not canon","private/hold; do not publish")</x:f>
        <x:v>public by default; still not canon</x:v>
      </x:c>
      <x:c r="AK1205" s="12" t="str">
        <x:f>IF(AE1205="prepare_public_github_candidate","add receipt/status then mirror","resolve blocker before any public GitHub action")</x:f>
        <x:v>add receipt/status then mirror</x:v>
      </x:c>
    </x:row>
    <x:row r="1206">
      <x:c r="A1206" s="15" t="str">
        <x:v>SWARM-09-H05-S05</x:v>
      </x:c>
      <x:c r="B1206" s="15" t="str">
        <x:v>NotionMoth</x:v>
      </x:c>
      <x:c r="C1206" s="15" t="str">
        <x:v>Notion ontology mapper</x:v>
      </x:c>
      <x:c r="D1206" s="15" t="str">
        <x:v>Contradiction Mapping</x:v>
      </x:c>
      <x:c r="E1206" s="15" t="str">
        <x:v>Chat</x:v>
      </x:c>
      <x:c r="F1206" s="15" t="str">
        <x:v>Map contradictions in Chat — NotionMoth</x:v>
      </x:c>
      <x:c r="G1206" s="15" t="str">
        <x:v>legacy schema / Notion export prep</x:v>
      </x:c>
      <x:c r="H1206" s="15" t="str">
        <x:v>source path + receipt + raw/export status + claim/edge/risk delta</x:v>
      </x:c>
      <x:c r="I1206" s="15" t="str">
        <x:v>packet/SWARM-09-H05-S05</x:v>
      </x:c>
      <x:c r="J1206" s="15" t="str">
        <x:v>TODO</x:v>
      </x:c>
      <x:c r="K1206" s="15" t="str">
        <x:v>P1</x:v>
      </x:c>
      <x:c r="L1206" s="15" t="str">
        <x:v>Done only when evidence is logged, contradiction search is noted, and boundary stamp remains non-canon unless ratified</x:v>
      </x:c>
      <x:c r="M1206" s="15" t="str">
        <x:v>candidate / staging-only / not canon / not deployed / authority none</x:v>
      </x:c>
      <x:c r="N1206" s="15" t="str">
        <x:v>Dispatch to NotionMoth: complete Contradiction Mapping x Chat; return deltas only, receipts required.</x:v>
      </x:c>
      <x:c r="O1206" s="15" t="str">
        <x:v>AF-KG-H05-S05</x:v>
      </x:c>
      <x:c r="P1206" s="15" t="str">
        <x:v>Unverified</x:v>
      </x:c>
      <x:c r="Q1206" s="15" t="str">
        <x:v>Not checked</x:v>
      </x:c>
      <x:c r="R1206" s="15" t="str"/>
      <x:c r="S1206" s="15" t="str"/>
      <x:c r="T1206" s="15" t="str">
        <x:v>Log first source path or blocker</x:v>
      </x:c>
      <x:c r="U1206" s="12" t="str">
        <x:f>IF(OR(P1206="Unverified",Q1206="Not checked"),"BLOCKED_PENDING_RECEIPT","READY_FOR_REVIEW")</x:f>
        <x:v>BLOCKED_PENDING_RECEIPT</x:v>
      </x:c>
      <x:c r="V1206" s="12" t="str">
        <x:f>IF(J1206="DONE","RETURNED",IF(U1206="BLOCKED_PENDING_RECEIPT","SOURCE_TOUCH_REQUIRED","IN_PROGRESS"))</x:f>
        <x:v>SOURCE_TOUCH_REQUIRED</x:v>
      </x:c>
      <x:c r="W1206" s="12" t="str">
        <x:f>IF(P1206="Unverified","missing_receipt","receipt_logged")</x:f>
        <x:v>missing_receipt</x:v>
      </x:c>
      <x:c r="X1206" s="12" t="str">
        <x:f>IF(Q1206="Not checked","raw_status_missing","raw_status_logged")</x:f>
        <x:v>raw_status_missing</x:v>
      </x:c>
      <x:c r="Y1206" s="12" t="str">
        <x:f>IF(U1206="BLOCKED_PENDING_RECEIPT","Log source path or blocker; do not promote","Route to review lane")</x:f>
        <x:v>Log source path or blocker; do not promote</x:v>
      </x:c>
      <x:c r="Z1206" s="12" t="str">
        <x:f>IF(K1206="P0","Primary seat + Hashlight/Lucerna","Seat lane")</x:f>
        <x:v>Seat lane</x:v>
      </x:c>
      <x:c r="AA1206" s="12" t="str">
        <x:f>IF(R1206="","no_claim_delta","claim_delta_present")</x:f>
        <x:v>no_claim_delta</x:v>
      </x:c>
      <x:c r="AB1206" s="12" t="str">
        <x:f>IF(S1206="","no_contradiction_delta","contradiction_delta_present")</x:f>
        <x:v>no_contradiction_delta</x:v>
      </x:c>
      <x:c r="AC1206" s="12" t="str">
        <x:f>IF(OR(ISNUMBER(SEARCH("hacker",LOWER(F1206&amp;" "&amp;H1206&amp;" "&amp;I1206&amp;" "&amp;M1206&amp;" "&amp;N1206&amp;" "&amp;T1206))),ISNUMBER(SEARCH("hacking",LOWER(F1206&amp;" "&amp;H1206&amp;" "&amp;I1206&amp;" "&amp;M1206&amp;" "&amp;N1206&amp;" "&amp;T1206))),ISNUMBER(SEARCH("bank",LOWER(F1206&amp;" "&amp;H1206&amp;" "&amp;I1206&amp;" "&amp;M1206&amp;" "&amp;N1206&amp;" "&amp;T1206))),ISNUMBER(SEARCH("banking",LOWER(F1206&amp;" "&amp;H1206&amp;" "&amp;I1206&amp;" "&amp;M1206&amp;" "&amp;N1206&amp;" "&amp;T1206)))),"PRIVATE_QUARANTINE",IF(OR(ISNUMBER(SEARCH("treasury",LOWER(F1206&amp;" "&amp;H1206&amp;" "&amp;I1206&amp;" "&amp;M1206&amp;" "&amp;N1206&amp;" "&amp;T1206))),ISNUMBER(SEARCH("debt",LOWER(F1206&amp;" "&amp;H1206&amp;" "&amp;I1206&amp;" "&amp;M1206&amp;" "&amp;N1206&amp;" "&amp;T1206))),ISNUMBER(SEARCH("bond",LOWER(F1206&amp;" "&amp;H1206&amp;" "&amp;I1206&amp;" "&amp;M1206&amp;" "&amp;N1206&amp;" "&amp;T1206))),ISNUMBER(SEARCH("transaction",LOWER(F1206&amp;" "&amp;H1206&amp;" "&amp;I1206&amp;" "&amp;M1206&amp;" "&amp;N1206&amp;" "&amp;T1206)))),"PRIVATE_REVIEW","PUBLIC_CANDIDATE"))</x:f>
        <x:v>PUBLIC_CANDIDATE</x:v>
      </x:c>
      <x:c r="AD1206" s="12" t="str">
        <x:f>IF(AC1206="PRIVATE_QUARANTINE","hacker_or_bank_trigger",IF(AC1206="PRIVATE_REVIEW","finance_risk_trigger","none"))</x:f>
        <x:v>none</x:v>
      </x:c>
      <x:c r="AE1206" s="12" t="str">
        <x:f>IF(AC1206="PUBLIC_CANDIDATE","prepare_public_github_candidate",IF(AC1206="PRIVATE_REVIEW","hold_for_private_review","quarantine_private_do_not_publish"))</x:f>
        <x:v>prepare_public_github_candidate</x:v>
      </x:c>
      <x:c r="AF1206" s="12" t="str">
        <x:f>IF(AC1206="PUBLIC_CANDIDATE","TIDELOCK + Lucerna",IF(AC1206="PRIVATE_REVIEW","AtlasBrain + Lucerna","TIDELOCK + Lucerna + Human-root"))</x:f>
        <x:v>TIDELOCK + Lucerna</x:v>
      </x:c>
      <x:c r="AG1206" s="12" t="str">
        <x:f>IF(AND(AC1206="PUBLIC_CANDIDATE",U1206&lt;&gt;"BLOCKED_PENDING_RECEIPT"),"READY_AFTER_RECEIPT","NOT_READY")</x:f>
        <x:v>NOT_READY</x:v>
      </x:c>
      <x:c r="AH1206" s="12" t="str">
        <x:f>IF(AC1206="PUBLIC_CANDIDATE","none",AD1206)</x:f>
        <x:v>none</x:v>
      </x:c>
      <x:c r="AI1206" s="12" t="str">
        <x:f>IF(AC1206="PUBLIC_CANDIDATE","archive/public_candidates/"&amp;A1206,"private_quarantine/"&amp;A1206)</x:f>
        <x:v>archive/public_candidates/SWARM-09-H05-S05</x:v>
      </x:c>
      <x:c r="AJ1206" s="12" t="str">
        <x:f>IF(AC1206="PUBLIC_CANDIDATE","public by default; still not canon","private/hold; do not publish")</x:f>
        <x:v>public by default; still not canon</x:v>
      </x:c>
      <x:c r="AK1206" s="12" t="str">
        <x:f>IF(AE1206="prepare_public_github_candidate","add receipt/status then mirror","resolve blocker before any public GitHub action")</x:f>
        <x:v>add receipt/status then mirror</x:v>
      </x:c>
    </x:row>
    <x:row r="1207">
      <x:c r="A1207" s="15" t="str">
        <x:v>SWARM-09-H05-S06</x:v>
      </x:c>
      <x:c r="B1207" s="15" t="str">
        <x:v>NotionMoth</x:v>
      </x:c>
      <x:c r="C1207" s="15" t="str">
        <x:v>Notion ontology mapper</x:v>
      </x:c>
      <x:c r="D1207" s="15" t="str">
        <x:v>Contradiction Mapping</x:v>
      </x:c>
      <x:c r="E1207" s="15" t="str">
        <x:v>External Web</x:v>
      </x:c>
      <x:c r="F1207" s="15" t="str">
        <x:v>Map contradictions in External Web — NotionMoth</x:v>
      </x:c>
      <x:c r="G1207" s="15" t="str">
        <x:v>legacy schema / Notion export prep</x:v>
      </x:c>
      <x:c r="H1207" s="15" t="str">
        <x:v>source path + receipt + raw/export status + claim/edge/risk delta</x:v>
      </x:c>
      <x:c r="I1207" s="15" t="str">
        <x:v>packet/SWARM-09-H05-S06</x:v>
      </x:c>
      <x:c r="J1207" s="15" t="str">
        <x:v>TODO</x:v>
      </x:c>
      <x:c r="K1207" s="15" t="str">
        <x:v>P1</x:v>
      </x:c>
      <x:c r="L1207" s="15" t="str">
        <x:v>Done only when evidence is logged, contradiction search is noted, and boundary stamp remains non-canon unless ratified</x:v>
      </x:c>
      <x:c r="M1207" s="15" t="str">
        <x:v>candidate / staging-only / not canon / not deployed / authority none</x:v>
      </x:c>
      <x:c r="N1207" s="15" t="str">
        <x:v>Dispatch to NotionMoth: complete Contradiction Mapping x External Web; return deltas only, receipts required.</x:v>
      </x:c>
      <x:c r="O1207" s="15" t="str">
        <x:v>AF-KG-H05-S06</x:v>
      </x:c>
      <x:c r="P1207" s="15" t="str">
        <x:v>Unverified</x:v>
      </x:c>
      <x:c r="Q1207" s="15" t="str">
        <x:v>Not checked</x:v>
      </x:c>
      <x:c r="R1207" s="15" t="str"/>
      <x:c r="S1207" s="15" t="str"/>
      <x:c r="T1207" s="15" t="str">
        <x:v>Log first source path or blocker</x:v>
      </x:c>
      <x:c r="U1207" s="12" t="str">
        <x:f>IF(OR(P1207="Unverified",Q1207="Not checked"),"BLOCKED_PENDING_RECEIPT","READY_FOR_REVIEW")</x:f>
        <x:v>BLOCKED_PENDING_RECEIPT</x:v>
      </x:c>
      <x:c r="V1207" s="12" t="str">
        <x:f>IF(J1207="DONE","RETURNED",IF(U1207="BLOCKED_PENDING_RECEIPT","SOURCE_TOUCH_REQUIRED","IN_PROGRESS"))</x:f>
        <x:v>SOURCE_TOUCH_REQUIRED</x:v>
      </x:c>
      <x:c r="W1207" s="12" t="str">
        <x:f>IF(P1207="Unverified","missing_receipt","receipt_logged")</x:f>
        <x:v>missing_receipt</x:v>
      </x:c>
      <x:c r="X1207" s="12" t="str">
        <x:f>IF(Q1207="Not checked","raw_status_missing","raw_status_logged")</x:f>
        <x:v>raw_status_missing</x:v>
      </x:c>
      <x:c r="Y1207" s="12" t="str">
        <x:f>IF(U1207="BLOCKED_PENDING_RECEIPT","Log source path or blocker; do not promote","Route to review lane")</x:f>
        <x:v>Log source path or blocker; do not promote</x:v>
      </x:c>
      <x:c r="Z1207" s="12" t="str">
        <x:f>IF(K1207="P0","Primary seat + Hashlight/Lucerna","Seat lane")</x:f>
        <x:v>Seat lane</x:v>
      </x:c>
      <x:c r="AA1207" s="12" t="str">
        <x:f>IF(R1207="","no_claim_delta","claim_delta_present")</x:f>
        <x:v>no_claim_delta</x:v>
      </x:c>
      <x:c r="AB1207" s="12" t="str">
        <x:f>IF(S1207="","no_contradiction_delta","contradiction_delta_present")</x:f>
        <x:v>no_contradiction_delta</x:v>
      </x:c>
      <x:c r="AC1207" s="12" t="str">
        <x:f>IF(OR(ISNUMBER(SEARCH("hacker",LOWER(F1207&amp;" "&amp;H1207&amp;" "&amp;I1207&amp;" "&amp;M1207&amp;" "&amp;N1207&amp;" "&amp;T1207))),ISNUMBER(SEARCH("hacking",LOWER(F1207&amp;" "&amp;H1207&amp;" "&amp;I1207&amp;" "&amp;M1207&amp;" "&amp;N1207&amp;" "&amp;T1207))),ISNUMBER(SEARCH("bank",LOWER(F1207&amp;" "&amp;H1207&amp;" "&amp;I1207&amp;" "&amp;M1207&amp;" "&amp;N1207&amp;" "&amp;T1207))),ISNUMBER(SEARCH("banking",LOWER(F1207&amp;" "&amp;H1207&amp;" "&amp;I1207&amp;" "&amp;M1207&amp;" "&amp;N1207&amp;" "&amp;T1207)))),"PRIVATE_QUARANTINE",IF(OR(ISNUMBER(SEARCH("treasury",LOWER(F1207&amp;" "&amp;H1207&amp;" "&amp;I1207&amp;" "&amp;M1207&amp;" "&amp;N1207&amp;" "&amp;T1207))),ISNUMBER(SEARCH("debt",LOWER(F1207&amp;" "&amp;H1207&amp;" "&amp;I1207&amp;" "&amp;M1207&amp;" "&amp;N1207&amp;" "&amp;T1207))),ISNUMBER(SEARCH("bond",LOWER(F1207&amp;" "&amp;H1207&amp;" "&amp;I1207&amp;" "&amp;M1207&amp;" "&amp;N1207&amp;" "&amp;T1207))),ISNUMBER(SEARCH("transaction",LOWER(F1207&amp;" "&amp;H1207&amp;" "&amp;I1207&amp;" "&amp;M1207&amp;" "&amp;N1207&amp;" "&amp;T1207)))),"PRIVATE_REVIEW","PUBLIC_CANDIDATE"))</x:f>
        <x:v>PUBLIC_CANDIDATE</x:v>
      </x:c>
      <x:c r="AD1207" s="12" t="str">
        <x:f>IF(AC1207="PRIVATE_QUARANTINE","hacker_or_bank_trigger",IF(AC1207="PRIVATE_REVIEW","finance_risk_trigger","none"))</x:f>
        <x:v>none</x:v>
      </x:c>
      <x:c r="AE1207" s="12" t="str">
        <x:f>IF(AC1207="PUBLIC_CANDIDATE","prepare_public_github_candidate",IF(AC1207="PRIVATE_REVIEW","hold_for_private_review","quarantine_private_do_not_publish"))</x:f>
        <x:v>prepare_public_github_candidate</x:v>
      </x:c>
      <x:c r="AF1207" s="12" t="str">
        <x:f>IF(AC1207="PUBLIC_CANDIDATE","TIDELOCK + Lucerna",IF(AC1207="PRIVATE_REVIEW","AtlasBrain + Lucerna","TIDELOCK + Lucerna + Human-root"))</x:f>
        <x:v>TIDELOCK + Lucerna</x:v>
      </x:c>
      <x:c r="AG1207" s="12" t="str">
        <x:f>IF(AND(AC1207="PUBLIC_CANDIDATE",U1207&lt;&gt;"BLOCKED_PENDING_RECEIPT"),"READY_AFTER_RECEIPT","NOT_READY")</x:f>
        <x:v>NOT_READY</x:v>
      </x:c>
      <x:c r="AH1207" s="12" t="str">
        <x:f>IF(AC1207="PUBLIC_CANDIDATE","none",AD1207)</x:f>
        <x:v>none</x:v>
      </x:c>
      <x:c r="AI1207" s="12" t="str">
        <x:f>IF(AC1207="PUBLIC_CANDIDATE","archive/public_candidates/"&amp;A1207,"private_quarantine/"&amp;A1207)</x:f>
        <x:v>archive/public_candidates/SWARM-09-H05-S06</x:v>
      </x:c>
      <x:c r="AJ1207" s="12" t="str">
        <x:f>IF(AC1207="PUBLIC_CANDIDATE","public by default; still not canon","private/hold; do not publish")</x:f>
        <x:v>public by default; still not canon</x:v>
      </x:c>
      <x:c r="AK1207" s="12" t="str">
        <x:f>IF(AE1207="prepare_public_github_candidate","add receipt/status then mirror","resolve blocker before any public GitHub action")</x:f>
        <x:v>add receipt/status then mirror</x:v>
      </x:c>
    </x:row>
    <x:row r="1208">
      <x:c r="A1208" s="15" t="str">
        <x:v>SWARM-09-H05-S07</x:v>
      </x:c>
      <x:c r="B1208" s="15" t="str">
        <x:v>NotionMoth</x:v>
      </x:c>
      <x:c r="C1208" s="15" t="str">
        <x:v>Notion ontology mapper</x:v>
      </x:c>
      <x:c r="D1208" s="15" t="str">
        <x:v>Contradiction Mapping</x:v>
      </x:c>
      <x:c r="E1208" s="15" t="str">
        <x:v>Planetarium</x:v>
      </x:c>
      <x:c r="F1208" s="15" t="str">
        <x:v>Map contradictions in Planetarium — NotionMoth</x:v>
      </x:c>
      <x:c r="G1208" s="15" t="str">
        <x:v>legacy schema / Notion export prep</x:v>
      </x:c>
      <x:c r="H1208" s="15" t="str">
        <x:v>source path + receipt + raw/export status + claim/edge/risk delta</x:v>
      </x:c>
      <x:c r="I1208" s="15" t="str">
        <x:v>packet/SWARM-09-H05-S07</x:v>
      </x:c>
      <x:c r="J1208" s="15" t="str">
        <x:v>TODO</x:v>
      </x:c>
      <x:c r="K1208" s="15" t="str">
        <x:v>P1</x:v>
      </x:c>
      <x:c r="L1208" s="15" t="str">
        <x:v>Done only when evidence is logged, contradiction search is noted, and boundary stamp remains non-canon unless ratified</x:v>
      </x:c>
      <x:c r="M1208" s="15" t="str">
        <x:v>candidate / staging-only / not canon / not deployed / authority none</x:v>
      </x:c>
      <x:c r="N1208" s="15" t="str">
        <x:v>Dispatch to NotionMoth: complete Contradiction Mapping x Planetarium; return deltas only, receipts required.</x:v>
      </x:c>
      <x:c r="O1208" s="15" t="str">
        <x:v>AF-KG-H05-S07</x:v>
      </x:c>
      <x:c r="P1208" s="15" t="str">
        <x:v>Unverified</x:v>
      </x:c>
      <x:c r="Q1208" s="15" t="str">
        <x:v>Not checked</x:v>
      </x:c>
      <x:c r="R1208" s="15" t="str"/>
      <x:c r="S1208" s="15" t="str"/>
      <x:c r="T1208" s="15" t="str">
        <x:v>Log first source path or blocker</x:v>
      </x:c>
      <x:c r="U1208" s="12" t="str">
        <x:f>IF(OR(P1208="Unverified",Q1208="Not checked"),"BLOCKED_PENDING_RECEIPT","READY_FOR_REVIEW")</x:f>
        <x:v>BLOCKED_PENDING_RECEIPT</x:v>
      </x:c>
      <x:c r="V1208" s="12" t="str">
        <x:f>IF(J1208="DONE","RETURNED",IF(U1208="BLOCKED_PENDING_RECEIPT","SOURCE_TOUCH_REQUIRED","IN_PROGRESS"))</x:f>
        <x:v>SOURCE_TOUCH_REQUIRED</x:v>
      </x:c>
      <x:c r="W1208" s="12" t="str">
        <x:f>IF(P1208="Unverified","missing_receipt","receipt_logged")</x:f>
        <x:v>missing_receipt</x:v>
      </x:c>
      <x:c r="X1208" s="12" t="str">
        <x:f>IF(Q1208="Not checked","raw_status_missing","raw_status_logged")</x:f>
        <x:v>raw_status_missing</x:v>
      </x:c>
      <x:c r="Y1208" s="12" t="str">
        <x:f>IF(U1208="BLOCKED_PENDING_RECEIPT","Log source path or blocker; do not promote","Route to review lane")</x:f>
        <x:v>Log source path or blocker; do not promote</x:v>
      </x:c>
      <x:c r="Z1208" s="12" t="str">
        <x:f>IF(K1208="P0","Primary seat + Hashlight/Lucerna","Seat lane")</x:f>
        <x:v>Seat lane</x:v>
      </x:c>
      <x:c r="AA1208" s="12" t="str">
        <x:f>IF(R1208="","no_claim_delta","claim_delta_present")</x:f>
        <x:v>no_claim_delta</x:v>
      </x:c>
      <x:c r="AB1208" s="12" t="str">
        <x:f>IF(S1208="","no_contradiction_delta","contradiction_delta_present")</x:f>
        <x:v>no_contradiction_delta</x:v>
      </x:c>
      <x:c r="AC1208" s="12" t="str">
        <x:f>IF(OR(ISNUMBER(SEARCH("hacker",LOWER(F1208&amp;" "&amp;H1208&amp;" "&amp;I1208&amp;" "&amp;M1208&amp;" "&amp;N1208&amp;" "&amp;T1208))),ISNUMBER(SEARCH("hacking",LOWER(F1208&amp;" "&amp;H1208&amp;" "&amp;I1208&amp;" "&amp;M1208&amp;" "&amp;N1208&amp;" "&amp;T1208))),ISNUMBER(SEARCH("bank",LOWER(F1208&amp;" "&amp;H1208&amp;" "&amp;I1208&amp;" "&amp;M1208&amp;" "&amp;N1208&amp;" "&amp;T1208))),ISNUMBER(SEARCH("banking",LOWER(F1208&amp;" "&amp;H1208&amp;" "&amp;I1208&amp;" "&amp;M1208&amp;" "&amp;N1208&amp;" "&amp;T1208)))),"PRIVATE_QUARANTINE",IF(OR(ISNUMBER(SEARCH("treasury",LOWER(F1208&amp;" "&amp;H1208&amp;" "&amp;I1208&amp;" "&amp;M1208&amp;" "&amp;N1208&amp;" "&amp;T1208))),ISNUMBER(SEARCH("debt",LOWER(F1208&amp;" "&amp;H1208&amp;" "&amp;I1208&amp;" "&amp;M1208&amp;" "&amp;N1208&amp;" "&amp;T1208))),ISNUMBER(SEARCH("bond",LOWER(F1208&amp;" "&amp;H1208&amp;" "&amp;I1208&amp;" "&amp;M1208&amp;" "&amp;N1208&amp;" "&amp;T1208))),ISNUMBER(SEARCH("transaction",LOWER(F1208&amp;" "&amp;H1208&amp;" "&amp;I1208&amp;" "&amp;M1208&amp;" "&amp;N1208&amp;" "&amp;T1208)))),"PRIVATE_REVIEW","PUBLIC_CANDIDATE"))</x:f>
        <x:v>PUBLIC_CANDIDATE</x:v>
      </x:c>
      <x:c r="AD1208" s="12" t="str">
        <x:f>IF(AC1208="PRIVATE_QUARANTINE","hacker_or_bank_trigger",IF(AC1208="PRIVATE_REVIEW","finance_risk_trigger","none"))</x:f>
        <x:v>none</x:v>
      </x:c>
      <x:c r="AE1208" s="12" t="str">
        <x:f>IF(AC1208="PUBLIC_CANDIDATE","prepare_public_github_candidate",IF(AC1208="PRIVATE_REVIEW","hold_for_private_review","quarantine_private_do_not_publish"))</x:f>
        <x:v>prepare_public_github_candidate</x:v>
      </x:c>
      <x:c r="AF1208" s="12" t="str">
        <x:f>IF(AC1208="PUBLIC_CANDIDATE","TIDELOCK + Lucerna",IF(AC1208="PRIVATE_REVIEW","AtlasBrain + Lucerna","TIDELOCK + Lucerna + Human-root"))</x:f>
        <x:v>TIDELOCK + Lucerna</x:v>
      </x:c>
      <x:c r="AG1208" s="12" t="str">
        <x:f>IF(AND(AC1208="PUBLIC_CANDIDATE",U1208&lt;&gt;"BLOCKED_PENDING_RECEIPT"),"READY_AFTER_RECEIPT","NOT_READY")</x:f>
        <x:v>NOT_READY</x:v>
      </x:c>
      <x:c r="AH1208" s="12" t="str">
        <x:f>IF(AC1208="PUBLIC_CANDIDATE","none",AD1208)</x:f>
        <x:v>none</x:v>
      </x:c>
      <x:c r="AI1208" s="12" t="str">
        <x:f>IF(AC1208="PUBLIC_CANDIDATE","archive/public_candidates/"&amp;A1208,"private_quarantine/"&amp;A1208)</x:f>
        <x:v>archive/public_candidates/SWARM-09-H05-S07</x:v>
      </x:c>
      <x:c r="AJ1208" s="12" t="str">
        <x:f>IF(AC1208="PUBLIC_CANDIDATE","public by default; still not canon","private/hold; do not publish")</x:f>
        <x:v>public by default; still not canon</x:v>
      </x:c>
      <x:c r="AK1208" s="12" t="str">
        <x:f>IF(AE1208="prepare_public_github_candidate","add receipt/status then mirror","resolve blocker before any public GitHub action")</x:f>
        <x:v>add receipt/status then mirror</x:v>
      </x:c>
    </x:row>
    <x:row r="1209">
      <x:c r="A1209" s="15" t="str">
        <x:v>SWARM-09-H05-S08</x:v>
      </x:c>
      <x:c r="B1209" s="15" t="str">
        <x:v>NotionMoth</x:v>
      </x:c>
      <x:c r="C1209" s="15" t="str">
        <x:v>Notion ontology mapper</x:v>
      </x:c>
      <x:c r="D1209" s="15" t="str">
        <x:v>Contradiction Mapping</x:v>
      </x:c>
      <x:c r="E1209" s="15" t="str">
        <x:v>Sheldonbrain</x:v>
      </x:c>
      <x:c r="F1209" s="15" t="str">
        <x:v>Map contradictions in Sheldonbrain — NotionMoth</x:v>
      </x:c>
      <x:c r="G1209" s="15" t="str">
        <x:v>legacy schema / Notion export prep</x:v>
      </x:c>
      <x:c r="H1209" s="15" t="str">
        <x:v>source path + receipt + raw/export status + claim/edge/risk delta</x:v>
      </x:c>
      <x:c r="I1209" s="15" t="str">
        <x:v>packet/SWARM-09-H05-S08</x:v>
      </x:c>
      <x:c r="J1209" s="15" t="str">
        <x:v>TODO</x:v>
      </x:c>
      <x:c r="K1209" s="15" t="str">
        <x:v>P1</x:v>
      </x:c>
      <x:c r="L1209" s="15" t="str">
        <x:v>Done only when evidence is logged, contradiction search is noted, and boundary stamp remains non-canon unless ratified</x:v>
      </x:c>
      <x:c r="M1209" s="15" t="str">
        <x:v>candidate / staging-only / not canon / not deployed / authority none</x:v>
      </x:c>
      <x:c r="N1209" s="15" t="str">
        <x:v>Dispatch to NotionMoth: complete Contradiction Mapping x Sheldonbrain; return deltas only, receipts required.</x:v>
      </x:c>
      <x:c r="O1209" s="15" t="str">
        <x:v>AF-KG-H05-S08</x:v>
      </x:c>
      <x:c r="P1209" s="15" t="str">
        <x:v>Unverified</x:v>
      </x:c>
      <x:c r="Q1209" s="15" t="str">
        <x:v>Not checked</x:v>
      </x:c>
      <x:c r="R1209" s="15" t="str"/>
      <x:c r="S1209" s="15" t="str"/>
      <x:c r="T1209" s="15" t="str">
        <x:v>Log first source path or blocker</x:v>
      </x:c>
      <x:c r="U1209" s="12" t="str">
        <x:f>IF(OR(P1209="Unverified",Q1209="Not checked"),"BLOCKED_PENDING_RECEIPT","READY_FOR_REVIEW")</x:f>
        <x:v>BLOCKED_PENDING_RECEIPT</x:v>
      </x:c>
      <x:c r="V1209" s="12" t="str">
        <x:f>IF(J1209="DONE","RETURNED",IF(U1209="BLOCKED_PENDING_RECEIPT","SOURCE_TOUCH_REQUIRED","IN_PROGRESS"))</x:f>
        <x:v>SOURCE_TOUCH_REQUIRED</x:v>
      </x:c>
      <x:c r="W1209" s="12" t="str">
        <x:f>IF(P1209="Unverified","missing_receipt","receipt_logged")</x:f>
        <x:v>missing_receipt</x:v>
      </x:c>
      <x:c r="X1209" s="12" t="str">
        <x:f>IF(Q1209="Not checked","raw_status_missing","raw_status_logged")</x:f>
        <x:v>raw_status_missing</x:v>
      </x:c>
      <x:c r="Y1209" s="12" t="str">
        <x:f>IF(U1209="BLOCKED_PENDING_RECEIPT","Log source path or blocker; do not promote","Route to review lane")</x:f>
        <x:v>Log source path or blocker; do not promote</x:v>
      </x:c>
      <x:c r="Z1209" s="12" t="str">
        <x:f>IF(K1209="P0","Primary seat + Hashlight/Lucerna","Seat lane")</x:f>
        <x:v>Seat lane</x:v>
      </x:c>
      <x:c r="AA1209" s="12" t="str">
        <x:f>IF(R1209="","no_claim_delta","claim_delta_present")</x:f>
        <x:v>no_claim_delta</x:v>
      </x:c>
      <x:c r="AB1209" s="12" t="str">
        <x:f>IF(S1209="","no_contradiction_delta","contradiction_delta_present")</x:f>
        <x:v>no_contradiction_delta</x:v>
      </x:c>
      <x:c r="AC1209" s="12" t="str">
        <x:f>IF(OR(ISNUMBER(SEARCH("hacker",LOWER(F1209&amp;" "&amp;H1209&amp;" "&amp;I1209&amp;" "&amp;M1209&amp;" "&amp;N1209&amp;" "&amp;T1209))),ISNUMBER(SEARCH("hacking",LOWER(F1209&amp;" "&amp;H1209&amp;" "&amp;I1209&amp;" "&amp;M1209&amp;" "&amp;N1209&amp;" "&amp;T1209))),ISNUMBER(SEARCH("bank",LOWER(F1209&amp;" "&amp;H1209&amp;" "&amp;I1209&amp;" "&amp;M1209&amp;" "&amp;N1209&amp;" "&amp;T1209))),ISNUMBER(SEARCH("banking",LOWER(F1209&amp;" "&amp;H1209&amp;" "&amp;I1209&amp;" "&amp;M1209&amp;" "&amp;N1209&amp;" "&amp;T1209)))),"PRIVATE_QUARANTINE",IF(OR(ISNUMBER(SEARCH("treasury",LOWER(F1209&amp;" "&amp;H1209&amp;" "&amp;I1209&amp;" "&amp;M1209&amp;" "&amp;N1209&amp;" "&amp;T1209))),ISNUMBER(SEARCH("debt",LOWER(F1209&amp;" "&amp;H1209&amp;" "&amp;I1209&amp;" "&amp;M1209&amp;" "&amp;N1209&amp;" "&amp;T1209))),ISNUMBER(SEARCH("bond",LOWER(F1209&amp;" "&amp;H1209&amp;" "&amp;I1209&amp;" "&amp;M1209&amp;" "&amp;N1209&amp;" "&amp;T1209))),ISNUMBER(SEARCH("transaction",LOWER(F1209&amp;" "&amp;H1209&amp;" "&amp;I1209&amp;" "&amp;M1209&amp;" "&amp;N1209&amp;" "&amp;T1209)))),"PRIVATE_REVIEW","PUBLIC_CANDIDATE"))</x:f>
        <x:v>PUBLIC_CANDIDATE</x:v>
      </x:c>
      <x:c r="AD1209" s="12" t="str">
        <x:f>IF(AC1209="PRIVATE_QUARANTINE","hacker_or_bank_trigger",IF(AC1209="PRIVATE_REVIEW","finance_risk_trigger","none"))</x:f>
        <x:v>none</x:v>
      </x:c>
      <x:c r="AE1209" s="12" t="str">
        <x:f>IF(AC1209="PUBLIC_CANDIDATE","prepare_public_github_candidate",IF(AC1209="PRIVATE_REVIEW","hold_for_private_review","quarantine_private_do_not_publish"))</x:f>
        <x:v>prepare_public_github_candidate</x:v>
      </x:c>
      <x:c r="AF1209" s="12" t="str">
        <x:f>IF(AC1209="PUBLIC_CANDIDATE","TIDELOCK + Lucerna",IF(AC1209="PRIVATE_REVIEW","AtlasBrain + Lucerna","TIDELOCK + Lucerna + Human-root"))</x:f>
        <x:v>TIDELOCK + Lucerna</x:v>
      </x:c>
      <x:c r="AG1209" s="12" t="str">
        <x:f>IF(AND(AC1209="PUBLIC_CANDIDATE",U1209&lt;&gt;"BLOCKED_PENDING_RECEIPT"),"READY_AFTER_RECEIPT","NOT_READY")</x:f>
        <x:v>NOT_READY</x:v>
      </x:c>
      <x:c r="AH1209" s="12" t="str">
        <x:f>IF(AC1209="PUBLIC_CANDIDATE","none",AD1209)</x:f>
        <x:v>none</x:v>
      </x:c>
      <x:c r="AI1209" s="12" t="str">
        <x:f>IF(AC1209="PUBLIC_CANDIDATE","archive/public_candidates/"&amp;A1209,"private_quarantine/"&amp;A1209)</x:f>
        <x:v>archive/public_candidates/SWARM-09-H05-S08</x:v>
      </x:c>
      <x:c r="AJ1209" s="12" t="str">
        <x:f>IF(AC1209="PUBLIC_CANDIDATE","public by default; still not canon","private/hold; do not publish")</x:f>
        <x:v>public by default; still not canon</x:v>
      </x:c>
      <x:c r="AK1209" s="12" t="str">
        <x:f>IF(AE1209="prepare_public_github_candidate","add receipt/status then mirror","resolve blocker before any public GitHub action")</x:f>
        <x:v>add receipt/status then mirror</x:v>
      </x:c>
    </x:row>
    <x:row r="1210">
      <x:c r="A1210" s="15" t="str">
        <x:v>SWARM-09-H05-S09</x:v>
      </x:c>
      <x:c r="B1210" s="15" t="str">
        <x:v>NotionMoth</x:v>
      </x:c>
      <x:c r="C1210" s="15" t="str">
        <x:v>Notion ontology mapper</x:v>
      </x:c>
      <x:c r="D1210" s="15" t="str">
        <x:v>Contradiction Mapping</x:v>
      </x:c>
      <x:c r="E1210" s="15" t="str">
        <x:v>Aetherforge</x:v>
      </x:c>
      <x:c r="F1210" s="15" t="str">
        <x:v>Map contradictions in Aetherforge — NotionMoth</x:v>
      </x:c>
      <x:c r="G1210" s="15" t="str">
        <x:v>legacy schema / Notion export prep</x:v>
      </x:c>
      <x:c r="H1210" s="15" t="str">
        <x:v>source path + receipt + raw/export status + claim/edge/risk delta</x:v>
      </x:c>
      <x:c r="I1210" s="15" t="str">
        <x:v>packet/SWARM-09-H05-S09</x:v>
      </x:c>
      <x:c r="J1210" s="15" t="str">
        <x:v>TODO</x:v>
      </x:c>
      <x:c r="K1210" s="15" t="str">
        <x:v>P2</x:v>
      </x:c>
      <x:c r="L1210" s="15" t="str">
        <x:v>Done only when evidence is logged, contradiction search is noted, and boundary stamp remains non-canon unless ratified</x:v>
      </x:c>
      <x:c r="M1210" s="15" t="str">
        <x:v>candidate / staging-only / not canon / not deployed / authority none</x:v>
      </x:c>
      <x:c r="N1210" s="15" t="str">
        <x:v>Dispatch to NotionMoth: complete Contradiction Mapping x Aetherforge; return deltas only, receipts required.</x:v>
      </x:c>
      <x:c r="O1210" s="15" t="str">
        <x:v>AF-KG-H05-S09</x:v>
      </x:c>
      <x:c r="P1210" s="15" t="str">
        <x:v>Unverified</x:v>
      </x:c>
      <x:c r="Q1210" s="15" t="str">
        <x:v>Not checked</x:v>
      </x:c>
      <x:c r="R1210" s="15" t="str"/>
      <x:c r="S1210" s="15" t="str"/>
      <x:c r="T1210" s="15" t="str">
        <x:v>Log first source path or blocker</x:v>
      </x:c>
      <x:c r="U1210" s="12" t="str">
        <x:f>IF(OR(P1210="Unverified",Q1210="Not checked"),"BLOCKED_PENDING_RECEIPT","READY_FOR_REVIEW")</x:f>
        <x:v>BLOCKED_PENDING_RECEIPT</x:v>
      </x:c>
      <x:c r="V1210" s="12" t="str">
        <x:f>IF(J1210="DONE","RETURNED",IF(U1210="BLOCKED_PENDING_RECEIPT","SOURCE_TOUCH_REQUIRED","IN_PROGRESS"))</x:f>
        <x:v>SOURCE_TOUCH_REQUIRED</x:v>
      </x:c>
      <x:c r="W1210" s="12" t="str">
        <x:f>IF(P1210="Unverified","missing_receipt","receipt_logged")</x:f>
        <x:v>missing_receipt</x:v>
      </x:c>
      <x:c r="X1210" s="12" t="str">
        <x:f>IF(Q1210="Not checked","raw_status_missing","raw_status_logged")</x:f>
        <x:v>raw_status_missing</x:v>
      </x:c>
      <x:c r="Y1210" s="12" t="str">
        <x:f>IF(U1210="BLOCKED_PENDING_RECEIPT","Log source path or blocker; do not promote","Route to review lane")</x:f>
        <x:v>Log source path or blocker; do not promote</x:v>
      </x:c>
      <x:c r="Z1210" s="12" t="str">
        <x:f>IF(K1210="P0","Primary seat + Hashlight/Lucerna","Seat lane")</x:f>
        <x:v>Seat lane</x:v>
      </x:c>
      <x:c r="AA1210" s="12" t="str">
        <x:f>IF(R1210="","no_claim_delta","claim_delta_present")</x:f>
        <x:v>no_claim_delta</x:v>
      </x:c>
      <x:c r="AB1210" s="12" t="str">
        <x:f>IF(S1210="","no_contradiction_delta","contradiction_delta_present")</x:f>
        <x:v>no_contradiction_delta</x:v>
      </x:c>
      <x:c r="AC1210" s="12" t="str">
        <x:f>IF(OR(ISNUMBER(SEARCH("hacker",LOWER(F1210&amp;" "&amp;H1210&amp;" "&amp;I1210&amp;" "&amp;M1210&amp;" "&amp;N1210&amp;" "&amp;T1210))),ISNUMBER(SEARCH("hacking",LOWER(F1210&amp;" "&amp;H1210&amp;" "&amp;I1210&amp;" "&amp;M1210&amp;" "&amp;N1210&amp;" "&amp;T1210))),ISNUMBER(SEARCH("bank",LOWER(F1210&amp;" "&amp;H1210&amp;" "&amp;I1210&amp;" "&amp;M1210&amp;" "&amp;N1210&amp;" "&amp;T1210))),ISNUMBER(SEARCH("banking",LOWER(F1210&amp;" "&amp;H1210&amp;" "&amp;I1210&amp;" "&amp;M1210&amp;" "&amp;N1210&amp;" "&amp;T1210)))),"PRIVATE_QUARANTINE",IF(OR(ISNUMBER(SEARCH("treasury",LOWER(F1210&amp;" "&amp;H1210&amp;" "&amp;I1210&amp;" "&amp;M1210&amp;" "&amp;N1210&amp;" "&amp;T1210))),ISNUMBER(SEARCH("debt",LOWER(F1210&amp;" "&amp;H1210&amp;" "&amp;I1210&amp;" "&amp;M1210&amp;" "&amp;N1210&amp;" "&amp;T1210))),ISNUMBER(SEARCH("bond",LOWER(F1210&amp;" "&amp;H1210&amp;" "&amp;I1210&amp;" "&amp;M1210&amp;" "&amp;N1210&amp;" "&amp;T1210))),ISNUMBER(SEARCH("transaction",LOWER(F1210&amp;" "&amp;H1210&amp;" "&amp;I1210&amp;" "&amp;M1210&amp;" "&amp;N1210&amp;" "&amp;T1210)))),"PRIVATE_REVIEW","PUBLIC_CANDIDATE"))</x:f>
        <x:v>PUBLIC_CANDIDATE</x:v>
      </x:c>
      <x:c r="AD1210" s="12" t="str">
        <x:f>IF(AC1210="PRIVATE_QUARANTINE","hacker_or_bank_trigger",IF(AC1210="PRIVATE_REVIEW","finance_risk_trigger","none"))</x:f>
        <x:v>none</x:v>
      </x:c>
      <x:c r="AE1210" s="12" t="str">
        <x:f>IF(AC1210="PUBLIC_CANDIDATE","prepare_public_github_candidate",IF(AC1210="PRIVATE_REVIEW","hold_for_private_review","quarantine_private_do_not_publish"))</x:f>
        <x:v>prepare_public_github_candidate</x:v>
      </x:c>
      <x:c r="AF1210" s="12" t="str">
        <x:f>IF(AC1210="PUBLIC_CANDIDATE","TIDELOCK + Lucerna",IF(AC1210="PRIVATE_REVIEW","AtlasBrain + Lucerna","TIDELOCK + Lucerna + Human-root"))</x:f>
        <x:v>TIDELOCK + Lucerna</x:v>
      </x:c>
      <x:c r="AG1210" s="12" t="str">
        <x:f>IF(AND(AC1210="PUBLIC_CANDIDATE",U1210&lt;&gt;"BLOCKED_PENDING_RECEIPT"),"READY_AFTER_RECEIPT","NOT_READY")</x:f>
        <x:v>NOT_READY</x:v>
      </x:c>
      <x:c r="AH1210" s="12" t="str">
        <x:f>IF(AC1210="PUBLIC_CANDIDATE","none",AD1210)</x:f>
        <x:v>none</x:v>
      </x:c>
      <x:c r="AI1210" s="12" t="str">
        <x:f>IF(AC1210="PUBLIC_CANDIDATE","archive/public_candidates/"&amp;A1210,"private_quarantine/"&amp;A1210)</x:f>
        <x:v>archive/public_candidates/SWARM-09-H05-S09</x:v>
      </x:c>
      <x:c r="AJ1210" s="12" t="str">
        <x:f>IF(AC1210="PUBLIC_CANDIDATE","public by default; still not canon","private/hold; do not publish")</x:f>
        <x:v>public by default; still not canon</x:v>
      </x:c>
      <x:c r="AK1210" s="12" t="str">
        <x:f>IF(AE1210="prepare_public_github_candidate","add receipt/status then mirror","resolve blocker before any public GitHub action")</x:f>
        <x:v>add receipt/status then mirror</x:v>
      </x:c>
    </x:row>
    <x:row r="1211">
      <x:c r="A1211" s="15" t="str">
        <x:v>SWARM-09-H05-S10</x:v>
      </x:c>
      <x:c r="B1211" s="15" t="str">
        <x:v>NotionMoth</x:v>
      </x:c>
      <x:c r="C1211" s="15" t="str">
        <x:v>Notion ontology mapper</x:v>
      </x:c>
      <x:c r="D1211" s="15" t="str">
        <x:v>Contradiction Mapping</x:v>
      </x:c>
      <x:c r="E1211" s="15" t="str">
        <x:v>Human-Root</x:v>
      </x:c>
      <x:c r="F1211" s="15" t="str">
        <x:v>Map contradictions in Human-Root — NotionMoth</x:v>
      </x:c>
      <x:c r="G1211" s="15" t="str">
        <x:v>legacy schema / Notion export prep</x:v>
      </x:c>
      <x:c r="H1211" s="15" t="str">
        <x:v>source path + receipt + raw/export status + claim/edge/risk delta</x:v>
      </x:c>
      <x:c r="I1211" s="15" t="str">
        <x:v>packet/SWARM-09-H05-S10</x:v>
      </x:c>
      <x:c r="J1211" s="15" t="str">
        <x:v>TODO</x:v>
      </x:c>
      <x:c r="K1211" s="15" t="str">
        <x:v>P2</x:v>
      </x:c>
      <x:c r="L1211" s="15" t="str">
        <x:v>Done only when evidence is logged, contradiction search is noted, and boundary stamp remains non-canon unless ratified</x:v>
      </x:c>
      <x:c r="M1211" s="15" t="str">
        <x:v>candidate / staging-only / not canon / not deployed / authority none</x:v>
      </x:c>
      <x:c r="N1211" s="15" t="str">
        <x:v>Dispatch to NotionMoth: complete Contradiction Mapping x Human-Root; return deltas only, receipts required.</x:v>
      </x:c>
      <x:c r="O1211" s="15" t="str">
        <x:v>AF-KG-H05-S10</x:v>
      </x:c>
      <x:c r="P1211" s="15" t="str">
        <x:v>Unverified</x:v>
      </x:c>
      <x:c r="Q1211" s="15" t="str">
        <x:v>Not checked</x:v>
      </x:c>
      <x:c r="R1211" s="15" t="str"/>
      <x:c r="S1211" s="15" t="str"/>
      <x:c r="T1211" s="15" t="str">
        <x:v>Log first source path or blocker</x:v>
      </x:c>
      <x:c r="U1211" s="12" t="str">
        <x:f>IF(OR(P1211="Unverified",Q1211="Not checked"),"BLOCKED_PENDING_RECEIPT","READY_FOR_REVIEW")</x:f>
        <x:v>BLOCKED_PENDING_RECEIPT</x:v>
      </x:c>
      <x:c r="V1211" s="12" t="str">
        <x:f>IF(J1211="DONE","RETURNED",IF(U1211="BLOCKED_PENDING_RECEIPT","SOURCE_TOUCH_REQUIRED","IN_PROGRESS"))</x:f>
        <x:v>SOURCE_TOUCH_REQUIRED</x:v>
      </x:c>
      <x:c r="W1211" s="12" t="str">
        <x:f>IF(P1211="Unverified","missing_receipt","receipt_logged")</x:f>
        <x:v>missing_receipt</x:v>
      </x:c>
      <x:c r="X1211" s="12" t="str">
        <x:f>IF(Q1211="Not checked","raw_status_missing","raw_status_logged")</x:f>
        <x:v>raw_status_missing</x:v>
      </x:c>
      <x:c r="Y1211" s="12" t="str">
        <x:f>IF(U1211="BLOCKED_PENDING_RECEIPT","Log source path or blocker; do not promote","Route to review lane")</x:f>
        <x:v>Log source path or blocker; do not promote</x:v>
      </x:c>
      <x:c r="Z1211" s="12" t="str">
        <x:f>IF(K1211="P0","Primary seat + Hashlight/Lucerna","Seat lane")</x:f>
        <x:v>Seat lane</x:v>
      </x:c>
      <x:c r="AA1211" s="12" t="str">
        <x:f>IF(R1211="","no_claim_delta","claim_delta_present")</x:f>
        <x:v>no_claim_delta</x:v>
      </x:c>
      <x:c r="AB1211" s="12" t="str">
        <x:f>IF(S1211="","no_contradiction_delta","contradiction_delta_present")</x:f>
        <x:v>no_contradiction_delta</x:v>
      </x:c>
      <x:c r="AC1211" s="12" t="str">
        <x:f>IF(OR(ISNUMBER(SEARCH("hacker",LOWER(F1211&amp;" "&amp;H1211&amp;" "&amp;I1211&amp;" "&amp;M1211&amp;" "&amp;N1211&amp;" "&amp;T1211))),ISNUMBER(SEARCH("hacking",LOWER(F1211&amp;" "&amp;H1211&amp;" "&amp;I1211&amp;" "&amp;M1211&amp;" "&amp;N1211&amp;" "&amp;T1211))),ISNUMBER(SEARCH("bank",LOWER(F1211&amp;" "&amp;H1211&amp;" "&amp;I1211&amp;" "&amp;M1211&amp;" "&amp;N1211&amp;" "&amp;T1211))),ISNUMBER(SEARCH("banking",LOWER(F1211&amp;" "&amp;H1211&amp;" "&amp;I1211&amp;" "&amp;M1211&amp;" "&amp;N1211&amp;" "&amp;T1211)))),"PRIVATE_QUARANTINE",IF(OR(ISNUMBER(SEARCH("treasury",LOWER(F1211&amp;" "&amp;H1211&amp;" "&amp;I1211&amp;" "&amp;M1211&amp;" "&amp;N1211&amp;" "&amp;T1211))),ISNUMBER(SEARCH("debt",LOWER(F1211&amp;" "&amp;H1211&amp;" "&amp;I1211&amp;" "&amp;M1211&amp;" "&amp;N1211&amp;" "&amp;T1211))),ISNUMBER(SEARCH("bond",LOWER(F1211&amp;" "&amp;H1211&amp;" "&amp;I1211&amp;" "&amp;M1211&amp;" "&amp;N1211&amp;" "&amp;T1211))),ISNUMBER(SEARCH("transaction",LOWER(F1211&amp;" "&amp;H1211&amp;" "&amp;I1211&amp;" "&amp;M1211&amp;" "&amp;N1211&amp;" "&amp;T1211)))),"PRIVATE_REVIEW","PUBLIC_CANDIDATE"))</x:f>
        <x:v>PUBLIC_CANDIDATE</x:v>
      </x:c>
      <x:c r="AD1211" s="12" t="str">
        <x:f>IF(AC1211="PRIVATE_QUARANTINE","hacker_or_bank_trigger",IF(AC1211="PRIVATE_REVIEW","finance_risk_trigger","none"))</x:f>
        <x:v>none</x:v>
      </x:c>
      <x:c r="AE1211" s="12" t="str">
        <x:f>IF(AC1211="PUBLIC_CANDIDATE","prepare_public_github_candidate",IF(AC1211="PRIVATE_REVIEW","hold_for_private_review","quarantine_private_do_not_publish"))</x:f>
        <x:v>prepare_public_github_candidate</x:v>
      </x:c>
      <x:c r="AF1211" s="12" t="str">
        <x:f>IF(AC1211="PUBLIC_CANDIDATE","TIDELOCK + Lucerna",IF(AC1211="PRIVATE_REVIEW","AtlasBrain + Lucerna","TIDELOCK + Lucerna + Human-root"))</x:f>
        <x:v>TIDELOCK + Lucerna</x:v>
      </x:c>
      <x:c r="AG1211" s="12" t="str">
        <x:f>IF(AND(AC1211="PUBLIC_CANDIDATE",U1211&lt;&gt;"BLOCKED_PENDING_RECEIPT"),"READY_AFTER_RECEIPT","NOT_READY")</x:f>
        <x:v>NOT_READY</x:v>
      </x:c>
      <x:c r="AH1211" s="12" t="str">
        <x:f>IF(AC1211="PUBLIC_CANDIDATE","none",AD1211)</x:f>
        <x:v>none</x:v>
      </x:c>
      <x:c r="AI1211" s="12" t="str">
        <x:f>IF(AC1211="PUBLIC_CANDIDATE","archive/public_candidates/"&amp;A1211,"private_quarantine/"&amp;A1211)</x:f>
        <x:v>archive/public_candidates/SWARM-09-H05-S10</x:v>
      </x:c>
      <x:c r="AJ1211" s="12" t="str">
        <x:f>IF(AC1211="PUBLIC_CANDIDATE","public by default; still not canon","private/hold; do not publish")</x:f>
        <x:v>public by default; still not canon</x:v>
      </x:c>
      <x:c r="AK1211" s="12" t="str">
        <x:f>IF(AE1211="prepare_public_github_candidate","add receipt/status then mirror","resolve blocker before any public GitHub action")</x:f>
        <x:v>add receipt/status then mirror</x:v>
      </x:c>
    </x:row>
    <x:row r="1212">
      <x:c r="A1212" s="15" t="str">
        <x:v>SWARM-09-H05-S11</x:v>
      </x:c>
      <x:c r="B1212" s="15" t="str">
        <x:v>NotionMoth</x:v>
      </x:c>
      <x:c r="C1212" s="15" t="str">
        <x:v>Notion ontology mapper</x:v>
      </x:c>
      <x:c r="D1212" s="15" t="str">
        <x:v>Contradiction Mapping</x:v>
      </x:c>
      <x:c r="E1212" s="15" t="str">
        <x:v>Automation</x:v>
      </x:c>
      <x:c r="F1212" s="15" t="str">
        <x:v>Map contradictions in Automation — NotionMoth</x:v>
      </x:c>
      <x:c r="G1212" s="15" t="str">
        <x:v>legacy schema / Notion export prep</x:v>
      </x:c>
      <x:c r="H1212" s="15" t="str">
        <x:v>source path + receipt + raw/export status + claim/edge/risk delta</x:v>
      </x:c>
      <x:c r="I1212" s="15" t="str">
        <x:v>packet/SWARM-09-H05-S11</x:v>
      </x:c>
      <x:c r="J1212" s="15" t="str">
        <x:v>TODO</x:v>
      </x:c>
      <x:c r="K1212" s="15" t="str">
        <x:v>P2</x:v>
      </x:c>
      <x:c r="L1212" s="15" t="str">
        <x:v>Done only when evidence is logged, contradiction search is noted, and boundary stamp remains non-canon unless ratified</x:v>
      </x:c>
      <x:c r="M1212" s="15" t="str">
        <x:v>candidate / staging-only / not canon / not deployed / authority none</x:v>
      </x:c>
      <x:c r="N1212" s="15" t="str">
        <x:v>Dispatch to NotionMoth: complete Contradiction Mapping x Automation; return deltas only, receipts required.</x:v>
      </x:c>
      <x:c r="O1212" s="15" t="str">
        <x:v>AF-KG-H05-S11</x:v>
      </x:c>
      <x:c r="P1212" s="15" t="str">
        <x:v>Unverified</x:v>
      </x:c>
      <x:c r="Q1212" s="15" t="str">
        <x:v>Not checked</x:v>
      </x:c>
      <x:c r="R1212" s="15" t="str"/>
      <x:c r="S1212" s="15" t="str"/>
      <x:c r="T1212" s="15" t="str">
        <x:v>Log first source path or blocker</x:v>
      </x:c>
      <x:c r="U1212" s="12" t="str">
        <x:f>IF(OR(P1212="Unverified",Q1212="Not checked"),"BLOCKED_PENDING_RECEIPT","READY_FOR_REVIEW")</x:f>
        <x:v>BLOCKED_PENDING_RECEIPT</x:v>
      </x:c>
      <x:c r="V1212" s="12" t="str">
        <x:f>IF(J1212="DONE","RETURNED",IF(U1212="BLOCKED_PENDING_RECEIPT","SOURCE_TOUCH_REQUIRED","IN_PROGRESS"))</x:f>
        <x:v>SOURCE_TOUCH_REQUIRED</x:v>
      </x:c>
      <x:c r="W1212" s="12" t="str">
        <x:f>IF(P1212="Unverified","missing_receipt","receipt_logged")</x:f>
        <x:v>missing_receipt</x:v>
      </x:c>
      <x:c r="X1212" s="12" t="str">
        <x:f>IF(Q1212="Not checked","raw_status_missing","raw_status_logged")</x:f>
        <x:v>raw_status_missing</x:v>
      </x:c>
      <x:c r="Y1212" s="12" t="str">
        <x:f>IF(U1212="BLOCKED_PENDING_RECEIPT","Log source path or blocker; do not promote","Route to review lane")</x:f>
        <x:v>Log source path or blocker; do not promote</x:v>
      </x:c>
      <x:c r="Z1212" s="12" t="str">
        <x:f>IF(K1212="P0","Primary seat + Hashlight/Lucerna","Seat lane")</x:f>
        <x:v>Seat lane</x:v>
      </x:c>
      <x:c r="AA1212" s="12" t="str">
        <x:f>IF(R1212="","no_claim_delta","claim_delta_present")</x:f>
        <x:v>no_claim_delta</x:v>
      </x:c>
      <x:c r="AB1212" s="12" t="str">
        <x:f>IF(S1212="","no_contradiction_delta","contradiction_delta_present")</x:f>
        <x:v>no_contradiction_delta</x:v>
      </x:c>
      <x:c r="AC1212" s="12" t="str">
        <x:f>IF(OR(ISNUMBER(SEARCH("hacker",LOWER(F1212&amp;" "&amp;H1212&amp;" "&amp;I1212&amp;" "&amp;M1212&amp;" "&amp;N1212&amp;" "&amp;T1212))),ISNUMBER(SEARCH("hacking",LOWER(F1212&amp;" "&amp;H1212&amp;" "&amp;I1212&amp;" "&amp;M1212&amp;" "&amp;N1212&amp;" "&amp;T1212))),ISNUMBER(SEARCH("bank",LOWER(F1212&amp;" "&amp;H1212&amp;" "&amp;I1212&amp;" "&amp;M1212&amp;" "&amp;N1212&amp;" "&amp;T1212))),ISNUMBER(SEARCH("banking",LOWER(F1212&amp;" "&amp;H1212&amp;" "&amp;I1212&amp;" "&amp;M1212&amp;" "&amp;N1212&amp;" "&amp;T1212)))),"PRIVATE_QUARANTINE",IF(OR(ISNUMBER(SEARCH("treasury",LOWER(F1212&amp;" "&amp;H1212&amp;" "&amp;I1212&amp;" "&amp;M1212&amp;" "&amp;N1212&amp;" "&amp;T1212))),ISNUMBER(SEARCH("debt",LOWER(F1212&amp;" "&amp;H1212&amp;" "&amp;I1212&amp;" "&amp;M1212&amp;" "&amp;N1212&amp;" "&amp;T1212))),ISNUMBER(SEARCH("bond",LOWER(F1212&amp;" "&amp;H1212&amp;" "&amp;I1212&amp;" "&amp;M1212&amp;" "&amp;N1212&amp;" "&amp;T1212))),ISNUMBER(SEARCH("transaction",LOWER(F1212&amp;" "&amp;H1212&amp;" "&amp;I1212&amp;" "&amp;M1212&amp;" "&amp;N1212&amp;" "&amp;T1212)))),"PRIVATE_REVIEW","PUBLIC_CANDIDATE"))</x:f>
        <x:v>PUBLIC_CANDIDATE</x:v>
      </x:c>
      <x:c r="AD1212" s="12" t="str">
        <x:f>IF(AC1212="PRIVATE_QUARANTINE","hacker_or_bank_trigger",IF(AC1212="PRIVATE_REVIEW","finance_risk_trigger","none"))</x:f>
        <x:v>none</x:v>
      </x:c>
      <x:c r="AE1212" s="12" t="str">
        <x:f>IF(AC1212="PUBLIC_CANDIDATE","prepare_public_github_candidate",IF(AC1212="PRIVATE_REVIEW","hold_for_private_review","quarantine_private_do_not_publish"))</x:f>
        <x:v>prepare_public_github_candidate</x:v>
      </x:c>
      <x:c r="AF1212" s="12" t="str">
        <x:f>IF(AC1212="PUBLIC_CANDIDATE","TIDELOCK + Lucerna",IF(AC1212="PRIVATE_REVIEW","AtlasBrain + Lucerna","TIDELOCK + Lucerna + Human-root"))</x:f>
        <x:v>TIDELOCK + Lucerna</x:v>
      </x:c>
      <x:c r="AG1212" s="12" t="str">
        <x:f>IF(AND(AC1212="PUBLIC_CANDIDATE",U1212&lt;&gt;"BLOCKED_PENDING_RECEIPT"),"READY_AFTER_RECEIPT","NOT_READY")</x:f>
        <x:v>NOT_READY</x:v>
      </x:c>
      <x:c r="AH1212" s="12" t="str">
        <x:f>IF(AC1212="PUBLIC_CANDIDATE","none",AD1212)</x:f>
        <x:v>none</x:v>
      </x:c>
      <x:c r="AI1212" s="12" t="str">
        <x:f>IF(AC1212="PUBLIC_CANDIDATE","archive/public_candidates/"&amp;A1212,"private_quarantine/"&amp;A1212)</x:f>
        <x:v>archive/public_candidates/SWARM-09-H05-S11</x:v>
      </x:c>
      <x:c r="AJ1212" s="12" t="str">
        <x:f>IF(AC1212="PUBLIC_CANDIDATE","public by default; still not canon","private/hold; do not publish")</x:f>
        <x:v>public by default; still not canon</x:v>
      </x:c>
      <x:c r="AK1212" s="12" t="str">
        <x:f>IF(AE1212="prepare_public_github_candidate","add receipt/status then mirror","resolve blocker before any public GitHub action")</x:f>
        <x:v>add receipt/status then mirror</x:v>
      </x:c>
    </x:row>
    <x:row r="1213">
      <x:c r="A1213" s="15" t="str">
        <x:v>SWARM-09-H05-S12</x:v>
      </x:c>
      <x:c r="B1213" s="15" t="str">
        <x:v>NotionMoth</x:v>
      </x:c>
      <x:c r="C1213" s="15" t="str">
        <x:v>Notion ontology mapper</x:v>
      </x:c>
      <x:c r="D1213" s="15" t="str">
        <x:v>Contradiction Mapping</x:v>
      </x:c>
      <x:c r="E1213" s="15" t="str">
        <x:v>Risk / Safety</x:v>
      </x:c>
      <x:c r="F1213" s="15" t="str">
        <x:v>Map contradictions in Risk / Safety — NotionMoth</x:v>
      </x:c>
      <x:c r="G1213" s="15" t="str">
        <x:v>legacy schema / Notion export prep</x:v>
      </x:c>
      <x:c r="H1213" s="15" t="str">
        <x:v>source path + receipt + raw/export status + claim/edge/risk delta</x:v>
      </x:c>
      <x:c r="I1213" s="15" t="str">
        <x:v>packet/SWARM-09-H05-S12</x:v>
      </x:c>
      <x:c r="J1213" s="15" t="str">
        <x:v>TODO</x:v>
      </x:c>
      <x:c r="K1213" s="15" t="str">
        <x:v>P2</x:v>
      </x:c>
      <x:c r="L1213" s="15" t="str">
        <x:v>Done only when evidence is logged, contradiction search is noted, and boundary stamp remains non-canon unless ratified</x:v>
      </x:c>
      <x:c r="M1213" s="15" t="str">
        <x:v>candidate / staging-only / not canon / not deployed / authority none</x:v>
      </x:c>
      <x:c r="N1213" s="15" t="str">
        <x:v>Dispatch to NotionMoth: complete Contradiction Mapping x Risk / Safety; return deltas only, receipts required.</x:v>
      </x:c>
      <x:c r="O1213" s="15" t="str">
        <x:v>AF-KG-H05-S12</x:v>
      </x:c>
      <x:c r="P1213" s="15" t="str">
        <x:v>Unverified</x:v>
      </x:c>
      <x:c r="Q1213" s="15" t="str">
        <x:v>Not checked</x:v>
      </x:c>
      <x:c r="R1213" s="15" t="str"/>
      <x:c r="S1213" s="15" t="str"/>
      <x:c r="T1213" s="15" t="str">
        <x:v>Log first source path or blocker</x:v>
      </x:c>
      <x:c r="U1213" s="12" t="str">
        <x:f>IF(OR(P1213="Unverified",Q1213="Not checked"),"BLOCKED_PENDING_RECEIPT","READY_FOR_REVIEW")</x:f>
        <x:v>BLOCKED_PENDING_RECEIPT</x:v>
      </x:c>
      <x:c r="V1213" s="12" t="str">
        <x:f>IF(J1213="DONE","RETURNED",IF(U1213="BLOCKED_PENDING_RECEIPT","SOURCE_TOUCH_REQUIRED","IN_PROGRESS"))</x:f>
        <x:v>SOURCE_TOUCH_REQUIRED</x:v>
      </x:c>
      <x:c r="W1213" s="12" t="str">
        <x:f>IF(P1213="Unverified","missing_receipt","receipt_logged")</x:f>
        <x:v>missing_receipt</x:v>
      </x:c>
      <x:c r="X1213" s="12" t="str">
        <x:f>IF(Q1213="Not checked","raw_status_missing","raw_status_logged")</x:f>
        <x:v>raw_status_missing</x:v>
      </x:c>
      <x:c r="Y1213" s="12" t="str">
        <x:f>IF(U1213="BLOCKED_PENDING_RECEIPT","Log source path or blocker; do not promote","Route to review lane")</x:f>
        <x:v>Log source path or blocker; do not promote</x:v>
      </x:c>
      <x:c r="Z1213" s="12" t="str">
        <x:f>IF(K1213="P0","Primary seat + Hashlight/Lucerna","Seat lane")</x:f>
        <x:v>Seat lane</x:v>
      </x:c>
      <x:c r="AA1213" s="12" t="str">
        <x:f>IF(R1213="","no_claim_delta","claim_delta_present")</x:f>
        <x:v>no_claim_delta</x:v>
      </x:c>
      <x:c r="AB1213" s="12" t="str">
        <x:f>IF(S1213="","no_contradiction_delta","contradiction_delta_present")</x:f>
        <x:v>no_contradiction_delta</x:v>
      </x:c>
      <x:c r="AC1213" s="12" t="str">
        <x:f>IF(OR(ISNUMBER(SEARCH("hacker",LOWER(F1213&amp;" "&amp;H1213&amp;" "&amp;I1213&amp;" "&amp;M1213&amp;" "&amp;N1213&amp;" "&amp;T1213))),ISNUMBER(SEARCH("hacking",LOWER(F1213&amp;" "&amp;H1213&amp;" "&amp;I1213&amp;" "&amp;M1213&amp;" "&amp;N1213&amp;" "&amp;T1213))),ISNUMBER(SEARCH("bank",LOWER(F1213&amp;" "&amp;H1213&amp;" "&amp;I1213&amp;" "&amp;M1213&amp;" "&amp;N1213&amp;" "&amp;T1213))),ISNUMBER(SEARCH("banking",LOWER(F1213&amp;" "&amp;H1213&amp;" "&amp;I1213&amp;" "&amp;M1213&amp;" "&amp;N1213&amp;" "&amp;T1213)))),"PRIVATE_QUARANTINE",IF(OR(ISNUMBER(SEARCH("treasury",LOWER(F1213&amp;" "&amp;H1213&amp;" "&amp;I1213&amp;" "&amp;M1213&amp;" "&amp;N1213&amp;" "&amp;T1213))),ISNUMBER(SEARCH("debt",LOWER(F1213&amp;" "&amp;H1213&amp;" "&amp;I1213&amp;" "&amp;M1213&amp;" "&amp;N1213&amp;" "&amp;T1213))),ISNUMBER(SEARCH("bond",LOWER(F1213&amp;" "&amp;H1213&amp;" "&amp;I1213&amp;" "&amp;M1213&amp;" "&amp;N1213&amp;" "&amp;T1213))),ISNUMBER(SEARCH("transaction",LOWER(F1213&amp;" "&amp;H1213&amp;" "&amp;I1213&amp;" "&amp;M1213&amp;" "&amp;N1213&amp;" "&amp;T1213)))),"PRIVATE_REVIEW","PUBLIC_CANDIDATE"))</x:f>
        <x:v>PUBLIC_CANDIDATE</x:v>
      </x:c>
      <x:c r="AD1213" s="12" t="str">
        <x:f>IF(AC1213="PRIVATE_QUARANTINE","hacker_or_bank_trigger",IF(AC1213="PRIVATE_REVIEW","finance_risk_trigger","none"))</x:f>
        <x:v>none</x:v>
      </x:c>
      <x:c r="AE1213" s="12" t="str">
        <x:f>IF(AC1213="PUBLIC_CANDIDATE","prepare_public_github_candidate",IF(AC1213="PRIVATE_REVIEW","hold_for_private_review","quarantine_private_do_not_publish"))</x:f>
        <x:v>prepare_public_github_candidate</x:v>
      </x:c>
      <x:c r="AF1213" s="12" t="str">
        <x:f>IF(AC1213="PUBLIC_CANDIDATE","TIDELOCK + Lucerna",IF(AC1213="PRIVATE_REVIEW","AtlasBrain + Lucerna","TIDELOCK + Lucerna + Human-root"))</x:f>
        <x:v>TIDELOCK + Lucerna</x:v>
      </x:c>
      <x:c r="AG1213" s="12" t="str">
        <x:f>IF(AND(AC1213="PUBLIC_CANDIDATE",U1213&lt;&gt;"BLOCKED_PENDING_RECEIPT"),"READY_AFTER_RECEIPT","NOT_READY")</x:f>
        <x:v>NOT_READY</x:v>
      </x:c>
      <x:c r="AH1213" s="12" t="str">
        <x:f>IF(AC1213="PUBLIC_CANDIDATE","none",AD1213)</x:f>
        <x:v>none</x:v>
      </x:c>
      <x:c r="AI1213" s="12" t="str">
        <x:f>IF(AC1213="PUBLIC_CANDIDATE","archive/public_candidates/"&amp;A1213,"private_quarantine/"&amp;A1213)</x:f>
        <x:v>archive/public_candidates/SWARM-09-H05-S12</x:v>
      </x:c>
      <x:c r="AJ1213" s="12" t="str">
        <x:f>IF(AC1213="PUBLIC_CANDIDATE","public by default; still not canon","private/hold; do not publish")</x:f>
        <x:v>public by default; still not canon</x:v>
      </x:c>
      <x:c r="AK1213" s="12" t="str">
        <x:f>IF(AE1213="prepare_public_github_candidate","add receipt/status then mirror","resolve blocker before any public GitHub action")</x:f>
        <x:v>add receipt/status then mirror</x:v>
      </x:c>
    </x:row>
    <x:row r="1214">
      <x:c r="A1214" s="15" t="str">
        <x:v>SWARM-09-H06-S01</x:v>
      </x:c>
      <x:c r="B1214" s="15" t="str">
        <x:v>NotionMoth</x:v>
      </x:c>
      <x:c r="C1214" s="15" t="str">
        <x:v>Notion ontology mapper</x:v>
      </x:c>
      <x:c r="D1214" s="15" t="str">
        <x:v>Ontology / Schema</x:v>
      </x:c>
      <x:c r="E1214" s="15" t="str">
        <x:v>Notion</x:v>
      </x:c>
      <x:c r="F1214" s="15" t="str">
        <x:v>Schema-map Notion — NotionMoth</x:v>
      </x:c>
      <x:c r="G1214" s="15" t="str">
        <x:v>legacy schema / Notion export prep</x:v>
      </x:c>
      <x:c r="H1214" s="15" t="str">
        <x:v>source path + receipt + raw/export status + claim/edge/risk delta</x:v>
      </x:c>
      <x:c r="I1214" s="15" t="str">
        <x:v>packet/SWARM-09-H06-S01</x:v>
      </x:c>
      <x:c r="J1214" s="15" t="str">
        <x:v>TODO</x:v>
      </x:c>
      <x:c r="K1214" s="15" t="str">
        <x:v>P0</x:v>
      </x:c>
      <x:c r="L1214" s="15" t="str">
        <x:v>Done only when evidence is logged, contradiction search is noted, and boundary stamp remains non-canon unless ratified</x:v>
      </x:c>
      <x:c r="M1214" s="15" t="str">
        <x:v>candidate / staging-only / not canon / not deployed / authority none</x:v>
      </x:c>
      <x:c r="N1214" s="15" t="str">
        <x:v>Dispatch to NotionMoth: complete Ontology / Schema x Notion; return deltas only, receipts required.</x:v>
      </x:c>
      <x:c r="O1214" s="15" t="str">
        <x:v>AF-KG-H06-S01</x:v>
      </x:c>
      <x:c r="P1214" s="15" t="str">
        <x:v>Unverified</x:v>
      </x:c>
      <x:c r="Q1214" s="15" t="str">
        <x:v>Not checked</x:v>
      </x:c>
      <x:c r="R1214" s="15" t="str"/>
      <x:c r="S1214" s="15" t="str"/>
      <x:c r="T1214" s="15" t="str">
        <x:v>Log first source path or blocker</x:v>
      </x:c>
      <x:c r="U1214" s="12" t="str">
        <x:f>IF(OR(P1214="Unverified",Q1214="Not checked"),"BLOCKED_PENDING_RECEIPT","READY_FOR_REVIEW")</x:f>
        <x:v>BLOCKED_PENDING_RECEIPT</x:v>
      </x:c>
      <x:c r="V1214" s="12" t="str">
        <x:f>IF(J1214="DONE","RETURNED",IF(U1214="BLOCKED_PENDING_RECEIPT","SOURCE_TOUCH_REQUIRED","IN_PROGRESS"))</x:f>
        <x:v>SOURCE_TOUCH_REQUIRED</x:v>
      </x:c>
      <x:c r="W1214" s="12" t="str">
        <x:f>IF(P1214="Unverified","missing_receipt","receipt_logged")</x:f>
        <x:v>missing_receipt</x:v>
      </x:c>
      <x:c r="X1214" s="12" t="str">
        <x:f>IF(Q1214="Not checked","raw_status_missing","raw_status_logged")</x:f>
        <x:v>raw_status_missing</x:v>
      </x:c>
      <x:c r="Y1214" s="12" t="str">
        <x:f>IF(U1214="BLOCKED_PENDING_RECEIPT","Log source path or blocker; do not promote","Route to review lane")</x:f>
        <x:v>Log source path or blocker; do not promote</x:v>
      </x:c>
      <x:c r="Z1214" s="12" t="str">
        <x:f>IF(K1214="P0","Primary seat + Hashlight/Lucerna","Seat lane")</x:f>
        <x:v>Primary seat + Hashlight/Lucerna</x:v>
      </x:c>
      <x:c r="AA1214" s="12" t="str">
        <x:f>IF(R1214="","no_claim_delta","claim_delta_present")</x:f>
        <x:v>no_claim_delta</x:v>
      </x:c>
      <x:c r="AB1214" s="12" t="str">
        <x:f>IF(S1214="","no_contradiction_delta","contradiction_delta_present")</x:f>
        <x:v>no_contradiction_delta</x:v>
      </x:c>
      <x:c r="AC1214" s="12" t="str">
        <x:f>IF(OR(ISNUMBER(SEARCH("hacker",LOWER(F1214&amp;" "&amp;H1214&amp;" "&amp;I1214&amp;" "&amp;M1214&amp;" "&amp;N1214&amp;" "&amp;T1214))),ISNUMBER(SEARCH("hacking",LOWER(F1214&amp;" "&amp;H1214&amp;" "&amp;I1214&amp;" "&amp;M1214&amp;" "&amp;N1214&amp;" "&amp;T1214))),ISNUMBER(SEARCH("bank",LOWER(F1214&amp;" "&amp;H1214&amp;" "&amp;I1214&amp;" "&amp;M1214&amp;" "&amp;N1214&amp;" "&amp;T1214))),ISNUMBER(SEARCH("banking",LOWER(F1214&amp;" "&amp;H1214&amp;" "&amp;I1214&amp;" "&amp;M1214&amp;" "&amp;N1214&amp;" "&amp;T1214)))),"PRIVATE_QUARANTINE",IF(OR(ISNUMBER(SEARCH("treasury",LOWER(F1214&amp;" "&amp;H1214&amp;" "&amp;I1214&amp;" "&amp;M1214&amp;" "&amp;N1214&amp;" "&amp;T1214))),ISNUMBER(SEARCH("debt",LOWER(F1214&amp;" "&amp;H1214&amp;" "&amp;I1214&amp;" "&amp;M1214&amp;" "&amp;N1214&amp;" "&amp;T1214))),ISNUMBER(SEARCH("bond",LOWER(F1214&amp;" "&amp;H1214&amp;" "&amp;I1214&amp;" "&amp;M1214&amp;" "&amp;N1214&amp;" "&amp;T1214))),ISNUMBER(SEARCH("transaction",LOWER(F1214&amp;" "&amp;H1214&amp;" "&amp;I1214&amp;" "&amp;M1214&amp;" "&amp;N1214&amp;" "&amp;T1214)))),"PRIVATE_REVIEW","PUBLIC_CANDIDATE"))</x:f>
        <x:v>PUBLIC_CANDIDATE</x:v>
      </x:c>
      <x:c r="AD1214" s="12" t="str">
        <x:f>IF(AC1214="PRIVATE_QUARANTINE","hacker_or_bank_trigger",IF(AC1214="PRIVATE_REVIEW","finance_risk_trigger","none"))</x:f>
        <x:v>none</x:v>
      </x:c>
      <x:c r="AE1214" s="12" t="str">
        <x:f>IF(AC1214="PUBLIC_CANDIDATE","prepare_public_github_candidate",IF(AC1214="PRIVATE_REVIEW","hold_for_private_review","quarantine_private_do_not_publish"))</x:f>
        <x:v>prepare_public_github_candidate</x:v>
      </x:c>
      <x:c r="AF1214" s="12" t="str">
        <x:f>IF(AC1214="PUBLIC_CANDIDATE","TIDELOCK + Lucerna",IF(AC1214="PRIVATE_REVIEW","AtlasBrain + Lucerna","TIDELOCK + Lucerna + Human-root"))</x:f>
        <x:v>TIDELOCK + Lucerna</x:v>
      </x:c>
      <x:c r="AG1214" s="12" t="str">
        <x:f>IF(AND(AC1214="PUBLIC_CANDIDATE",U1214&lt;&gt;"BLOCKED_PENDING_RECEIPT"),"READY_AFTER_RECEIPT","NOT_READY")</x:f>
        <x:v>NOT_READY</x:v>
      </x:c>
      <x:c r="AH1214" s="12" t="str">
        <x:f>IF(AC1214="PUBLIC_CANDIDATE","none",AD1214)</x:f>
        <x:v>none</x:v>
      </x:c>
      <x:c r="AI1214" s="12" t="str">
        <x:f>IF(AC1214="PUBLIC_CANDIDATE","archive/public_candidates/"&amp;A1214,"private_quarantine/"&amp;A1214)</x:f>
        <x:v>archive/public_candidates/SWARM-09-H06-S01</x:v>
      </x:c>
      <x:c r="AJ1214" s="12" t="str">
        <x:f>IF(AC1214="PUBLIC_CANDIDATE","public by default; still not canon","private/hold; do not publish")</x:f>
        <x:v>public by default; still not canon</x:v>
      </x:c>
      <x:c r="AK1214" s="12" t="str">
        <x:f>IF(AE1214="prepare_public_github_candidate","add receipt/status then mirror","resolve blocker before any public GitHub action")</x:f>
        <x:v>add receipt/status then mirror</x:v>
      </x:c>
    </x:row>
    <x:row r="1215">
      <x:c r="A1215" s="15" t="str">
        <x:v>SWARM-09-H06-S02</x:v>
      </x:c>
      <x:c r="B1215" s="15" t="str">
        <x:v>NotionMoth</x:v>
      </x:c>
      <x:c r="C1215" s="15" t="str">
        <x:v>Notion ontology mapper</x:v>
      </x:c>
      <x:c r="D1215" s="15" t="str">
        <x:v>Ontology / Schema</x:v>
      </x:c>
      <x:c r="E1215" s="15" t="str">
        <x:v>Drive</x:v>
      </x:c>
      <x:c r="F1215" s="15" t="str">
        <x:v>Schema-map Drive — NotionMoth</x:v>
      </x:c>
      <x:c r="G1215" s="15" t="str">
        <x:v>legacy schema / Notion export prep</x:v>
      </x:c>
      <x:c r="H1215" s="15" t="str">
        <x:v>source path + receipt + raw/export status + claim/edge/risk delta</x:v>
      </x:c>
      <x:c r="I1215" s="15" t="str">
        <x:v>packet/SWARM-09-H06-S02</x:v>
      </x:c>
      <x:c r="J1215" s="15" t="str">
        <x:v>TODO</x:v>
      </x:c>
      <x:c r="K1215" s="15" t="str">
        <x:v>P0</x:v>
      </x:c>
      <x:c r="L1215" s="15" t="str">
        <x:v>Done only when evidence is logged, contradiction search is noted, and boundary stamp remains non-canon unless ratified</x:v>
      </x:c>
      <x:c r="M1215" s="15" t="str">
        <x:v>candidate / staging-only / not canon / not deployed / authority none</x:v>
      </x:c>
      <x:c r="N1215" s="15" t="str">
        <x:v>Dispatch to NotionMoth: complete Ontology / Schema x Drive; return deltas only, receipts required.</x:v>
      </x:c>
      <x:c r="O1215" s="15" t="str">
        <x:v>AF-KG-H06-S02</x:v>
      </x:c>
      <x:c r="P1215" s="15" t="str">
        <x:v>Unverified</x:v>
      </x:c>
      <x:c r="Q1215" s="15" t="str">
        <x:v>Not checked</x:v>
      </x:c>
      <x:c r="R1215" s="15" t="str"/>
      <x:c r="S1215" s="15" t="str"/>
      <x:c r="T1215" s="15" t="str">
        <x:v>Log first source path or blocker</x:v>
      </x:c>
      <x:c r="U1215" s="12" t="str">
        <x:f>IF(OR(P1215="Unverified",Q1215="Not checked"),"BLOCKED_PENDING_RECEIPT","READY_FOR_REVIEW")</x:f>
        <x:v>BLOCKED_PENDING_RECEIPT</x:v>
      </x:c>
      <x:c r="V1215" s="12" t="str">
        <x:f>IF(J1215="DONE","RETURNED",IF(U1215="BLOCKED_PENDING_RECEIPT","SOURCE_TOUCH_REQUIRED","IN_PROGRESS"))</x:f>
        <x:v>SOURCE_TOUCH_REQUIRED</x:v>
      </x:c>
      <x:c r="W1215" s="12" t="str">
        <x:f>IF(P1215="Unverified","missing_receipt","receipt_logged")</x:f>
        <x:v>missing_receipt</x:v>
      </x:c>
      <x:c r="X1215" s="12" t="str">
        <x:f>IF(Q1215="Not checked","raw_status_missing","raw_status_logged")</x:f>
        <x:v>raw_status_missing</x:v>
      </x:c>
      <x:c r="Y1215" s="12" t="str">
        <x:f>IF(U1215="BLOCKED_PENDING_RECEIPT","Log source path or blocker; do not promote","Route to review lane")</x:f>
        <x:v>Log source path or blocker; do not promote</x:v>
      </x:c>
      <x:c r="Z1215" s="12" t="str">
        <x:f>IF(K1215="P0","Primary seat + Hashlight/Lucerna","Seat lane")</x:f>
        <x:v>Primary seat + Hashlight/Lucerna</x:v>
      </x:c>
      <x:c r="AA1215" s="12" t="str">
        <x:f>IF(R1215="","no_claim_delta","claim_delta_present")</x:f>
        <x:v>no_claim_delta</x:v>
      </x:c>
      <x:c r="AB1215" s="12" t="str">
        <x:f>IF(S1215="","no_contradiction_delta","contradiction_delta_present")</x:f>
        <x:v>no_contradiction_delta</x:v>
      </x:c>
      <x:c r="AC1215" s="12" t="str">
        <x:f>IF(OR(ISNUMBER(SEARCH("hacker",LOWER(F1215&amp;" "&amp;H1215&amp;" "&amp;I1215&amp;" "&amp;M1215&amp;" "&amp;N1215&amp;" "&amp;T1215))),ISNUMBER(SEARCH("hacking",LOWER(F1215&amp;" "&amp;H1215&amp;" "&amp;I1215&amp;" "&amp;M1215&amp;" "&amp;N1215&amp;" "&amp;T1215))),ISNUMBER(SEARCH("bank",LOWER(F1215&amp;" "&amp;H1215&amp;" "&amp;I1215&amp;" "&amp;M1215&amp;" "&amp;N1215&amp;" "&amp;T1215))),ISNUMBER(SEARCH("banking",LOWER(F1215&amp;" "&amp;H1215&amp;" "&amp;I1215&amp;" "&amp;M1215&amp;" "&amp;N1215&amp;" "&amp;T1215)))),"PRIVATE_QUARANTINE",IF(OR(ISNUMBER(SEARCH("treasury",LOWER(F1215&amp;" "&amp;H1215&amp;" "&amp;I1215&amp;" "&amp;M1215&amp;" "&amp;N1215&amp;" "&amp;T1215))),ISNUMBER(SEARCH("debt",LOWER(F1215&amp;" "&amp;H1215&amp;" "&amp;I1215&amp;" "&amp;M1215&amp;" "&amp;N1215&amp;" "&amp;T1215))),ISNUMBER(SEARCH("bond",LOWER(F1215&amp;" "&amp;H1215&amp;" "&amp;I1215&amp;" "&amp;M1215&amp;" "&amp;N1215&amp;" "&amp;T1215))),ISNUMBER(SEARCH("transaction",LOWER(F1215&amp;" "&amp;H1215&amp;" "&amp;I1215&amp;" "&amp;M1215&amp;" "&amp;N1215&amp;" "&amp;T1215)))),"PRIVATE_REVIEW","PUBLIC_CANDIDATE"))</x:f>
        <x:v>PUBLIC_CANDIDATE</x:v>
      </x:c>
      <x:c r="AD1215" s="12" t="str">
        <x:f>IF(AC1215="PRIVATE_QUARANTINE","hacker_or_bank_trigger",IF(AC1215="PRIVATE_REVIEW","finance_risk_trigger","none"))</x:f>
        <x:v>none</x:v>
      </x:c>
      <x:c r="AE1215" s="12" t="str">
        <x:f>IF(AC1215="PUBLIC_CANDIDATE","prepare_public_github_candidate",IF(AC1215="PRIVATE_REVIEW","hold_for_private_review","quarantine_private_do_not_publish"))</x:f>
        <x:v>prepare_public_github_candidate</x:v>
      </x:c>
      <x:c r="AF1215" s="12" t="str">
        <x:f>IF(AC1215="PUBLIC_CANDIDATE","TIDELOCK + Lucerna",IF(AC1215="PRIVATE_REVIEW","AtlasBrain + Lucerna","TIDELOCK + Lucerna + Human-root"))</x:f>
        <x:v>TIDELOCK + Lucerna</x:v>
      </x:c>
      <x:c r="AG1215" s="12" t="str">
        <x:f>IF(AND(AC1215="PUBLIC_CANDIDATE",U1215&lt;&gt;"BLOCKED_PENDING_RECEIPT"),"READY_AFTER_RECEIPT","NOT_READY")</x:f>
        <x:v>NOT_READY</x:v>
      </x:c>
      <x:c r="AH1215" s="12" t="str">
        <x:f>IF(AC1215="PUBLIC_CANDIDATE","none",AD1215)</x:f>
        <x:v>none</x:v>
      </x:c>
      <x:c r="AI1215" s="12" t="str">
        <x:f>IF(AC1215="PUBLIC_CANDIDATE","archive/public_candidates/"&amp;A1215,"private_quarantine/"&amp;A1215)</x:f>
        <x:v>archive/public_candidates/SWARM-09-H06-S02</x:v>
      </x:c>
      <x:c r="AJ1215" s="12" t="str">
        <x:f>IF(AC1215="PUBLIC_CANDIDATE","public by default; still not canon","private/hold; do not publish")</x:f>
        <x:v>public by default; still not canon</x:v>
      </x:c>
      <x:c r="AK1215" s="12" t="str">
        <x:f>IF(AE1215="prepare_public_github_candidate","add receipt/status then mirror","resolve blocker before any public GitHub action")</x:f>
        <x:v>add receipt/status then mirror</x:v>
      </x:c>
    </x:row>
    <x:row r="1216">
      <x:c r="A1216" s="15" t="str">
        <x:v>SWARM-09-H06-S03</x:v>
      </x:c>
      <x:c r="B1216" s="15" t="str">
        <x:v>NotionMoth</x:v>
      </x:c>
      <x:c r="C1216" s="15" t="str">
        <x:v>Notion ontology mapper</x:v>
      </x:c>
      <x:c r="D1216" s="15" t="str">
        <x:v>Ontology / Schema</x:v>
      </x:c>
      <x:c r="E1216" s="15" t="str">
        <x:v>GitHub</x:v>
      </x:c>
      <x:c r="F1216" s="15" t="str">
        <x:v>Schema-map GitHub — NotionMoth</x:v>
      </x:c>
      <x:c r="G1216" s="15" t="str">
        <x:v>legacy schema / Notion export prep</x:v>
      </x:c>
      <x:c r="H1216" s="15" t="str">
        <x:v>source path + receipt + raw/export status + claim/edge/risk delta</x:v>
      </x:c>
      <x:c r="I1216" s="15" t="str">
        <x:v>packet/SWARM-09-H06-S03</x:v>
      </x:c>
      <x:c r="J1216" s="15" t="str">
        <x:v>TODO</x:v>
      </x:c>
      <x:c r="K1216" s="15" t="str">
        <x:v>P0</x:v>
      </x:c>
      <x:c r="L1216" s="15" t="str">
        <x:v>Done only when evidence is logged, contradiction search is noted, and boundary stamp remains non-canon unless ratified</x:v>
      </x:c>
      <x:c r="M1216" s="15" t="str">
        <x:v>candidate / staging-only / not canon / not deployed / authority none</x:v>
      </x:c>
      <x:c r="N1216" s="15" t="str">
        <x:v>Dispatch to NotionMoth: complete Ontology / Schema x GitHub; return deltas only, receipts required.</x:v>
      </x:c>
      <x:c r="O1216" s="15" t="str">
        <x:v>AF-KG-H06-S03</x:v>
      </x:c>
      <x:c r="P1216" s="15" t="str">
        <x:v>Unverified</x:v>
      </x:c>
      <x:c r="Q1216" s="15" t="str">
        <x:v>Not checked</x:v>
      </x:c>
      <x:c r="R1216" s="15" t="str"/>
      <x:c r="S1216" s="15" t="str"/>
      <x:c r="T1216" s="15" t="str">
        <x:v>Log first source path or blocker</x:v>
      </x:c>
      <x:c r="U1216" s="12" t="str">
        <x:f>IF(OR(P1216="Unverified",Q1216="Not checked"),"BLOCKED_PENDING_RECEIPT","READY_FOR_REVIEW")</x:f>
        <x:v>BLOCKED_PENDING_RECEIPT</x:v>
      </x:c>
      <x:c r="V1216" s="12" t="str">
        <x:f>IF(J1216="DONE","RETURNED",IF(U1216="BLOCKED_PENDING_RECEIPT","SOURCE_TOUCH_REQUIRED","IN_PROGRESS"))</x:f>
        <x:v>SOURCE_TOUCH_REQUIRED</x:v>
      </x:c>
      <x:c r="W1216" s="12" t="str">
        <x:f>IF(P1216="Unverified","missing_receipt","receipt_logged")</x:f>
        <x:v>missing_receipt</x:v>
      </x:c>
      <x:c r="X1216" s="12" t="str">
        <x:f>IF(Q1216="Not checked","raw_status_missing","raw_status_logged")</x:f>
        <x:v>raw_status_missing</x:v>
      </x:c>
      <x:c r="Y1216" s="12" t="str">
        <x:f>IF(U1216="BLOCKED_PENDING_RECEIPT","Log source path or blocker; do not promote","Route to review lane")</x:f>
        <x:v>Log source path or blocker; do not promote</x:v>
      </x:c>
      <x:c r="Z1216" s="12" t="str">
        <x:f>IF(K1216="P0","Primary seat + Hashlight/Lucerna","Seat lane")</x:f>
        <x:v>Primary seat + Hashlight/Lucerna</x:v>
      </x:c>
      <x:c r="AA1216" s="12" t="str">
        <x:f>IF(R1216="","no_claim_delta","claim_delta_present")</x:f>
        <x:v>no_claim_delta</x:v>
      </x:c>
      <x:c r="AB1216" s="12" t="str">
        <x:f>IF(S1216="","no_contradiction_delta","contradiction_delta_present")</x:f>
        <x:v>no_contradiction_delta</x:v>
      </x:c>
      <x:c r="AC1216" s="12" t="str">
        <x:f>IF(OR(ISNUMBER(SEARCH("hacker",LOWER(F1216&amp;" "&amp;H1216&amp;" "&amp;I1216&amp;" "&amp;M1216&amp;" "&amp;N1216&amp;" "&amp;T1216))),ISNUMBER(SEARCH("hacking",LOWER(F1216&amp;" "&amp;H1216&amp;" "&amp;I1216&amp;" "&amp;M1216&amp;" "&amp;N1216&amp;" "&amp;T1216))),ISNUMBER(SEARCH("bank",LOWER(F1216&amp;" "&amp;H1216&amp;" "&amp;I1216&amp;" "&amp;M1216&amp;" "&amp;N1216&amp;" "&amp;T1216))),ISNUMBER(SEARCH("banking",LOWER(F1216&amp;" "&amp;H1216&amp;" "&amp;I1216&amp;" "&amp;M1216&amp;" "&amp;N1216&amp;" "&amp;T1216)))),"PRIVATE_QUARANTINE",IF(OR(ISNUMBER(SEARCH("treasury",LOWER(F1216&amp;" "&amp;H1216&amp;" "&amp;I1216&amp;" "&amp;M1216&amp;" "&amp;N1216&amp;" "&amp;T1216))),ISNUMBER(SEARCH("debt",LOWER(F1216&amp;" "&amp;H1216&amp;" "&amp;I1216&amp;" "&amp;M1216&amp;" "&amp;N1216&amp;" "&amp;T1216))),ISNUMBER(SEARCH("bond",LOWER(F1216&amp;" "&amp;H1216&amp;" "&amp;I1216&amp;" "&amp;M1216&amp;" "&amp;N1216&amp;" "&amp;T1216))),ISNUMBER(SEARCH("transaction",LOWER(F1216&amp;" "&amp;H1216&amp;" "&amp;I1216&amp;" "&amp;M1216&amp;" "&amp;N1216&amp;" "&amp;T1216)))),"PRIVATE_REVIEW","PUBLIC_CANDIDATE"))</x:f>
        <x:v>PUBLIC_CANDIDATE</x:v>
      </x:c>
      <x:c r="AD1216" s="12" t="str">
        <x:f>IF(AC1216="PRIVATE_QUARANTINE","hacker_or_bank_trigger",IF(AC1216="PRIVATE_REVIEW","finance_risk_trigger","none"))</x:f>
        <x:v>none</x:v>
      </x:c>
      <x:c r="AE1216" s="12" t="str">
        <x:f>IF(AC1216="PUBLIC_CANDIDATE","prepare_public_github_candidate",IF(AC1216="PRIVATE_REVIEW","hold_for_private_review","quarantine_private_do_not_publish"))</x:f>
        <x:v>prepare_public_github_candidate</x:v>
      </x:c>
      <x:c r="AF1216" s="12" t="str">
        <x:f>IF(AC1216="PUBLIC_CANDIDATE","TIDELOCK + Lucerna",IF(AC1216="PRIVATE_REVIEW","AtlasBrain + Lucerna","TIDELOCK + Lucerna + Human-root"))</x:f>
        <x:v>TIDELOCK + Lucerna</x:v>
      </x:c>
      <x:c r="AG1216" s="12" t="str">
        <x:f>IF(AND(AC1216="PUBLIC_CANDIDATE",U1216&lt;&gt;"BLOCKED_PENDING_RECEIPT"),"READY_AFTER_RECEIPT","NOT_READY")</x:f>
        <x:v>NOT_READY</x:v>
      </x:c>
      <x:c r="AH1216" s="12" t="str">
        <x:f>IF(AC1216="PUBLIC_CANDIDATE","none",AD1216)</x:f>
        <x:v>none</x:v>
      </x:c>
      <x:c r="AI1216" s="12" t="str">
        <x:f>IF(AC1216="PUBLIC_CANDIDATE","archive/public_candidates/"&amp;A1216,"private_quarantine/"&amp;A1216)</x:f>
        <x:v>archive/public_candidates/SWARM-09-H06-S03</x:v>
      </x:c>
      <x:c r="AJ1216" s="12" t="str">
        <x:f>IF(AC1216="PUBLIC_CANDIDATE","public by default; still not canon","private/hold; do not publish")</x:f>
        <x:v>public by default; still not canon</x:v>
      </x:c>
      <x:c r="AK1216" s="12" t="str">
        <x:f>IF(AE1216="prepare_public_github_candidate","add receipt/status then mirror","resolve blocker before any public GitHub action")</x:f>
        <x:v>add receipt/status then mirror</x:v>
      </x:c>
    </x:row>
    <x:row r="1217">
      <x:c r="A1217" s="15" t="str">
        <x:v>SWARM-09-H06-S04</x:v>
      </x:c>
      <x:c r="B1217" s="15" t="str">
        <x:v>NotionMoth</x:v>
      </x:c>
      <x:c r="C1217" s="15" t="str">
        <x:v>Notion ontology mapper</x:v>
      </x:c>
      <x:c r="D1217" s="15" t="str">
        <x:v>Ontology / Schema</x:v>
      </x:c>
      <x:c r="E1217" s="15" t="str">
        <x:v>Gamma</x:v>
      </x:c>
      <x:c r="F1217" s="15" t="str">
        <x:v>Schema-map Gamma — NotionMoth</x:v>
      </x:c>
      <x:c r="G1217" s="15" t="str">
        <x:v>legacy schema / Notion export prep</x:v>
      </x:c>
      <x:c r="H1217" s="15" t="str">
        <x:v>source path + receipt + raw/export status + claim/edge/risk delta</x:v>
      </x:c>
      <x:c r="I1217" s="15" t="str">
        <x:v>packet/SWARM-09-H06-S04</x:v>
      </x:c>
      <x:c r="J1217" s="15" t="str">
        <x:v>TODO</x:v>
      </x:c>
      <x:c r="K1217" s="15" t="str">
        <x:v>P1</x:v>
      </x:c>
      <x:c r="L1217" s="15" t="str">
        <x:v>Done only when evidence is logged, contradiction search is noted, and boundary stamp remains non-canon unless ratified</x:v>
      </x:c>
      <x:c r="M1217" s="15" t="str">
        <x:v>candidate / staging-only / not canon / not deployed / authority none</x:v>
      </x:c>
      <x:c r="N1217" s="15" t="str">
        <x:v>Dispatch to NotionMoth: complete Ontology / Schema x Gamma; return deltas only, receipts required.</x:v>
      </x:c>
      <x:c r="O1217" s="15" t="str">
        <x:v>AF-KG-H06-S04</x:v>
      </x:c>
      <x:c r="P1217" s="15" t="str">
        <x:v>Unverified</x:v>
      </x:c>
      <x:c r="Q1217" s="15" t="str">
        <x:v>Not checked</x:v>
      </x:c>
      <x:c r="R1217" s="15" t="str"/>
      <x:c r="S1217" s="15" t="str"/>
      <x:c r="T1217" s="15" t="str">
        <x:v>Log first source path or blocker</x:v>
      </x:c>
      <x:c r="U1217" s="12" t="str">
        <x:f>IF(OR(P1217="Unverified",Q1217="Not checked"),"BLOCKED_PENDING_RECEIPT","READY_FOR_REVIEW")</x:f>
        <x:v>BLOCKED_PENDING_RECEIPT</x:v>
      </x:c>
      <x:c r="V1217" s="12" t="str">
        <x:f>IF(J1217="DONE","RETURNED",IF(U1217="BLOCKED_PENDING_RECEIPT","SOURCE_TOUCH_REQUIRED","IN_PROGRESS"))</x:f>
        <x:v>SOURCE_TOUCH_REQUIRED</x:v>
      </x:c>
      <x:c r="W1217" s="12" t="str">
        <x:f>IF(P1217="Unverified","missing_receipt","receipt_logged")</x:f>
        <x:v>missing_receipt</x:v>
      </x:c>
      <x:c r="X1217" s="12" t="str">
        <x:f>IF(Q1217="Not checked","raw_status_missing","raw_status_logged")</x:f>
        <x:v>raw_status_missing</x:v>
      </x:c>
      <x:c r="Y1217" s="12" t="str">
        <x:f>IF(U1217="BLOCKED_PENDING_RECEIPT","Log source path or blocker; do not promote","Route to review lane")</x:f>
        <x:v>Log source path or blocker; do not promote</x:v>
      </x:c>
      <x:c r="Z1217" s="12" t="str">
        <x:f>IF(K1217="P0","Primary seat + Hashlight/Lucerna","Seat lane")</x:f>
        <x:v>Seat lane</x:v>
      </x:c>
      <x:c r="AA1217" s="12" t="str">
        <x:f>IF(R1217="","no_claim_delta","claim_delta_present")</x:f>
        <x:v>no_claim_delta</x:v>
      </x:c>
      <x:c r="AB1217" s="12" t="str">
        <x:f>IF(S1217="","no_contradiction_delta","contradiction_delta_present")</x:f>
        <x:v>no_contradiction_delta</x:v>
      </x:c>
      <x:c r="AC1217" s="12" t="str">
        <x:f>IF(OR(ISNUMBER(SEARCH("hacker",LOWER(F1217&amp;" "&amp;H1217&amp;" "&amp;I1217&amp;" "&amp;M1217&amp;" "&amp;N1217&amp;" "&amp;T1217))),ISNUMBER(SEARCH("hacking",LOWER(F1217&amp;" "&amp;H1217&amp;" "&amp;I1217&amp;" "&amp;M1217&amp;" "&amp;N1217&amp;" "&amp;T1217))),ISNUMBER(SEARCH("bank",LOWER(F1217&amp;" "&amp;H1217&amp;" "&amp;I1217&amp;" "&amp;M1217&amp;" "&amp;N1217&amp;" "&amp;T1217))),ISNUMBER(SEARCH("banking",LOWER(F1217&amp;" "&amp;H1217&amp;" "&amp;I1217&amp;" "&amp;M1217&amp;" "&amp;N1217&amp;" "&amp;T1217)))),"PRIVATE_QUARANTINE",IF(OR(ISNUMBER(SEARCH("treasury",LOWER(F1217&amp;" "&amp;H1217&amp;" "&amp;I1217&amp;" "&amp;M1217&amp;" "&amp;N1217&amp;" "&amp;T1217))),ISNUMBER(SEARCH("debt",LOWER(F1217&amp;" "&amp;H1217&amp;" "&amp;I1217&amp;" "&amp;M1217&amp;" "&amp;N1217&amp;" "&amp;T1217))),ISNUMBER(SEARCH("bond",LOWER(F1217&amp;" "&amp;H1217&amp;" "&amp;I1217&amp;" "&amp;M1217&amp;" "&amp;N1217&amp;" "&amp;T1217))),ISNUMBER(SEARCH("transaction",LOWER(F1217&amp;" "&amp;H1217&amp;" "&amp;I1217&amp;" "&amp;M1217&amp;" "&amp;N1217&amp;" "&amp;T1217)))),"PRIVATE_REVIEW","PUBLIC_CANDIDATE"))</x:f>
        <x:v>PUBLIC_CANDIDATE</x:v>
      </x:c>
      <x:c r="AD1217" s="12" t="str">
        <x:f>IF(AC1217="PRIVATE_QUARANTINE","hacker_or_bank_trigger",IF(AC1217="PRIVATE_REVIEW","finance_risk_trigger","none"))</x:f>
        <x:v>none</x:v>
      </x:c>
      <x:c r="AE1217" s="12" t="str">
        <x:f>IF(AC1217="PUBLIC_CANDIDATE","prepare_public_github_candidate",IF(AC1217="PRIVATE_REVIEW","hold_for_private_review","quarantine_private_do_not_publish"))</x:f>
        <x:v>prepare_public_github_candidate</x:v>
      </x:c>
      <x:c r="AF1217" s="12" t="str">
        <x:f>IF(AC1217="PUBLIC_CANDIDATE","TIDELOCK + Lucerna",IF(AC1217="PRIVATE_REVIEW","AtlasBrain + Lucerna","TIDELOCK + Lucerna + Human-root"))</x:f>
        <x:v>TIDELOCK + Lucerna</x:v>
      </x:c>
      <x:c r="AG1217" s="12" t="str">
        <x:f>IF(AND(AC1217="PUBLIC_CANDIDATE",U1217&lt;&gt;"BLOCKED_PENDING_RECEIPT"),"READY_AFTER_RECEIPT","NOT_READY")</x:f>
        <x:v>NOT_READY</x:v>
      </x:c>
      <x:c r="AH1217" s="12" t="str">
        <x:f>IF(AC1217="PUBLIC_CANDIDATE","none",AD1217)</x:f>
        <x:v>none</x:v>
      </x:c>
      <x:c r="AI1217" s="12" t="str">
        <x:f>IF(AC1217="PUBLIC_CANDIDATE","archive/public_candidates/"&amp;A1217,"private_quarantine/"&amp;A1217)</x:f>
        <x:v>archive/public_candidates/SWARM-09-H06-S04</x:v>
      </x:c>
      <x:c r="AJ1217" s="12" t="str">
        <x:f>IF(AC1217="PUBLIC_CANDIDATE","public by default; still not canon","private/hold; do not publish")</x:f>
        <x:v>public by default; still not canon</x:v>
      </x:c>
      <x:c r="AK1217" s="12" t="str">
        <x:f>IF(AE1217="prepare_public_github_candidate","add receipt/status then mirror","resolve blocker before any public GitHub action")</x:f>
        <x:v>add receipt/status then mirror</x:v>
      </x:c>
    </x:row>
    <x:row r="1218">
      <x:c r="A1218" s="15" t="str">
        <x:v>SWARM-09-H06-S05</x:v>
      </x:c>
      <x:c r="B1218" s="15" t="str">
        <x:v>NotionMoth</x:v>
      </x:c>
      <x:c r="C1218" s="15" t="str">
        <x:v>Notion ontology mapper</x:v>
      </x:c>
      <x:c r="D1218" s="15" t="str">
        <x:v>Ontology / Schema</x:v>
      </x:c>
      <x:c r="E1218" s="15" t="str">
        <x:v>Chat</x:v>
      </x:c>
      <x:c r="F1218" s="15" t="str">
        <x:v>Schema-map Chat — NotionMoth</x:v>
      </x:c>
      <x:c r="G1218" s="15" t="str">
        <x:v>legacy schema / Notion export prep</x:v>
      </x:c>
      <x:c r="H1218" s="15" t="str">
        <x:v>source path + receipt + raw/export status + claim/edge/risk delta</x:v>
      </x:c>
      <x:c r="I1218" s="15" t="str">
        <x:v>packet/SWARM-09-H06-S05</x:v>
      </x:c>
      <x:c r="J1218" s="15" t="str">
        <x:v>TODO</x:v>
      </x:c>
      <x:c r="K1218" s="15" t="str">
        <x:v>P1</x:v>
      </x:c>
      <x:c r="L1218" s="15" t="str">
        <x:v>Done only when evidence is logged, contradiction search is noted, and boundary stamp remains non-canon unless ratified</x:v>
      </x:c>
      <x:c r="M1218" s="15" t="str">
        <x:v>candidate / staging-only / not canon / not deployed / authority none</x:v>
      </x:c>
      <x:c r="N1218" s="15" t="str">
        <x:v>Dispatch to NotionMoth: complete Ontology / Schema x Chat; return deltas only, receipts required.</x:v>
      </x:c>
      <x:c r="O1218" s="15" t="str">
        <x:v>AF-KG-H06-S05</x:v>
      </x:c>
      <x:c r="P1218" s="15" t="str">
        <x:v>Unverified</x:v>
      </x:c>
      <x:c r="Q1218" s="15" t="str">
        <x:v>Not checked</x:v>
      </x:c>
      <x:c r="R1218" s="15" t="str"/>
      <x:c r="S1218" s="15" t="str"/>
      <x:c r="T1218" s="15" t="str">
        <x:v>Log first source path or blocker</x:v>
      </x:c>
      <x:c r="U1218" s="12" t="str">
        <x:f>IF(OR(P1218="Unverified",Q1218="Not checked"),"BLOCKED_PENDING_RECEIPT","READY_FOR_REVIEW")</x:f>
        <x:v>BLOCKED_PENDING_RECEIPT</x:v>
      </x:c>
      <x:c r="V1218" s="12" t="str">
        <x:f>IF(J1218="DONE","RETURNED",IF(U1218="BLOCKED_PENDING_RECEIPT","SOURCE_TOUCH_REQUIRED","IN_PROGRESS"))</x:f>
        <x:v>SOURCE_TOUCH_REQUIRED</x:v>
      </x:c>
      <x:c r="W1218" s="12" t="str">
        <x:f>IF(P1218="Unverified","missing_receipt","receipt_logged")</x:f>
        <x:v>missing_receipt</x:v>
      </x:c>
      <x:c r="X1218" s="12" t="str">
        <x:f>IF(Q1218="Not checked","raw_status_missing","raw_status_logged")</x:f>
        <x:v>raw_status_missing</x:v>
      </x:c>
      <x:c r="Y1218" s="12" t="str">
        <x:f>IF(U1218="BLOCKED_PENDING_RECEIPT","Log source path or blocker; do not promote","Route to review lane")</x:f>
        <x:v>Log source path or blocker; do not promote</x:v>
      </x:c>
      <x:c r="Z1218" s="12" t="str">
        <x:f>IF(K1218="P0","Primary seat + Hashlight/Lucerna","Seat lane")</x:f>
        <x:v>Seat lane</x:v>
      </x:c>
      <x:c r="AA1218" s="12" t="str">
        <x:f>IF(R1218="","no_claim_delta","claim_delta_present")</x:f>
        <x:v>no_claim_delta</x:v>
      </x:c>
      <x:c r="AB1218" s="12" t="str">
        <x:f>IF(S1218="","no_contradiction_delta","contradiction_delta_present")</x:f>
        <x:v>no_contradiction_delta</x:v>
      </x:c>
      <x:c r="AC1218" s="12" t="str">
        <x:f>IF(OR(ISNUMBER(SEARCH("hacker",LOWER(F1218&amp;" "&amp;H1218&amp;" "&amp;I1218&amp;" "&amp;M1218&amp;" "&amp;N1218&amp;" "&amp;T1218))),ISNUMBER(SEARCH("hacking",LOWER(F1218&amp;" "&amp;H1218&amp;" "&amp;I1218&amp;" "&amp;M1218&amp;" "&amp;N1218&amp;" "&amp;T1218))),ISNUMBER(SEARCH("bank",LOWER(F1218&amp;" "&amp;H1218&amp;" "&amp;I1218&amp;" "&amp;M1218&amp;" "&amp;N1218&amp;" "&amp;T1218))),ISNUMBER(SEARCH("banking",LOWER(F1218&amp;" "&amp;H1218&amp;" "&amp;I1218&amp;" "&amp;M1218&amp;" "&amp;N1218&amp;" "&amp;T1218)))),"PRIVATE_QUARANTINE",IF(OR(ISNUMBER(SEARCH("treasury",LOWER(F1218&amp;" "&amp;H1218&amp;" "&amp;I1218&amp;" "&amp;M1218&amp;" "&amp;N1218&amp;" "&amp;T1218))),ISNUMBER(SEARCH("debt",LOWER(F1218&amp;" "&amp;H1218&amp;" "&amp;I1218&amp;" "&amp;M1218&amp;" "&amp;N1218&amp;" "&amp;T1218))),ISNUMBER(SEARCH("bond",LOWER(F1218&amp;" "&amp;H1218&amp;" "&amp;I1218&amp;" "&amp;M1218&amp;" "&amp;N1218&amp;" "&amp;T1218))),ISNUMBER(SEARCH("transaction",LOWER(F1218&amp;" "&amp;H1218&amp;" "&amp;I1218&amp;" "&amp;M1218&amp;" "&amp;N1218&amp;" "&amp;T1218)))),"PRIVATE_REVIEW","PUBLIC_CANDIDATE"))</x:f>
        <x:v>PUBLIC_CANDIDATE</x:v>
      </x:c>
      <x:c r="AD1218" s="12" t="str">
        <x:f>IF(AC1218="PRIVATE_QUARANTINE","hacker_or_bank_trigger",IF(AC1218="PRIVATE_REVIEW","finance_risk_trigger","none"))</x:f>
        <x:v>none</x:v>
      </x:c>
      <x:c r="AE1218" s="12" t="str">
        <x:f>IF(AC1218="PUBLIC_CANDIDATE","prepare_public_github_candidate",IF(AC1218="PRIVATE_REVIEW","hold_for_private_review","quarantine_private_do_not_publish"))</x:f>
        <x:v>prepare_public_github_candidate</x:v>
      </x:c>
      <x:c r="AF1218" s="12" t="str">
        <x:f>IF(AC1218="PUBLIC_CANDIDATE","TIDELOCK + Lucerna",IF(AC1218="PRIVATE_REVIEW","AtlasBrain + Lucerna","TIDELOCK + Lucerna + Human-root"))</x:f>
        <x:v>TIDELOCK + Lucerna</x:v>
      </x:c>
      <x:c r="AG1218" s="12" t="str">
        <x:f>IF(AND(AC1218="PUBLIC_CANDIDATE",U1218&lt;&gt;"BLOCKED_PENDING_RECEIPT"),"READY_AFTER_RECEIPT","NOT_READY")</x:f>
        <x:v>NOT_READY</x:v>
      </x:c>
      <x:c r="AH1218" s="12" t="str">
        <x:f>IF(AC1218="PUBLIC_CANDIDATE","none",AD1218)</x:f>
        <x:v>none</x:v>
      </x:c>
      <x:c r="AI1218" s="12" t="str">
        <x:f>IF(AC1218="PUBLIC_CANDIDATE","archive/public_candidates/"&amp;A1218,"private_quarantine/"&amp;A1218)</x:f>
        <x:v>archive/public_candidates/SWARM-09-H06-S05</x:v>
      </x:c>
      <x:c r="AJ1218" s="12" t="str">
        <x:f>IF(AC1218="PUBLIC_CANDIDATE","public by default; still not canon","private/hold; do not publish")</x:f>
        <x:v>public by default; still not canon</x:v>
      </x:c>
      <x:c r="AK1218" s="12" t="str">
        <x:f>IF(AE1218="prepare_public_github_candidate","add receipt/status then mirror","resolve blocker before any public GitHub action")</x:f>
        <x:v>add receipt/status then mirror</x:v>
      </x:c>
    </x:row>
    <x:row r="1219">
      <x:c r="A1219" s="15" t="str">
        <x:v>SWARM-09-H06-S06</x:v>
      </x:c>
      <x:c r="B1219" s="15" t="str">
        <x:v>NotionMoth</x:v>
      </x:c>
      <x:c r="C1219" s="15" t="str">
        <x:v>Notion ontology mapper</x:v>
      </x:c>
      <x:c r="D1219" s="15" t="str">
        <x:v>Ontology / Schema</x:v>
      </x:c>
      <x:c r="E1219" s="15" t="str">
        <x:v>External Web</x:v>
      </x:c>
      <x:c r="F1219" s="15" t="str">
        <x:v>Schema-map External Web — NotionMoth</x:v>
      </x:c>
      <x:c r="G1219" s="15" t="str">
        <x:v>legacy schema / Notion export prep</x:v>
      </x:c>
      <x:c r="H1219" s="15" t="str">
        <x:v>source path + receipt + raw/export status + claim/edge/risk delta</x:v>
      </x:c>
      <x:c r="I1219" s="15" t="str">
        <x:v>packet/SWARM-09-H06-S06</x:v>
      </x:c>
      <x:c r="J1219" s="15" t="str">
        <x:v>TODO</x:v>
      </x:c>
      <x:c r="K1219" s="15" t="str">
        <x:v>P1</x:v>
      </x:c>
      <x:c r="L1219" s="15" t="str">
        <x:v>Done only when evidence is logged, contradiction search is noted, and boundary stamp remains non-canon unless ratified</x:v>
      </x:c>
      <x:c r="M1219" s="15" t="str">
        <x:v>candidate / staging-only / not canon / not deployed / authority none</x:v>
      </x:c>
      <x:c r="N1219" s="15" t="str">
        <x:v>Dispatch to NotionMoth: complete Ontology / Schema x External Web; return deltas only, receipts required.</x:v>
      </x:c>
      <x:c r="O1219" s="15" t="str">
        <x:v>AF-KG-H06-S06</x:v>
      </x:c>
      <x:c r="P1219" s="15" t="str">
        <x:v>Unverified</x:v>
      </x:c>
      <x:c r="Q1219" s="15" t="str">
        <x:v>Not checked</x:v>
      </x:c>
      <x:c r="R1219" s="15" t="str"/>
      <x:c r="S1219" s="15" t="str"/>
      <x:c r="T1219" s="15" t="str">
        <x:v>Log first source path or blocker</x:v>
      </x:c>
      <x:c r="U1219" s="12" t="str">
        <x:f>IF(OR(P1219="Unverified",Q1219="Not checked"),"BLOCKED_PENDING_RECEIPT","READY_FOR_REVIEW")</x:f>
        <x:v>BLOCKED_PENDING_RECEIPT</x:v>
      </x:c>
      <x:c r="V1219" s="12" t="str">
        <x:f>IF(J1219="DONE","RETURNED",IF(U1219="BLOCKED_PENDING_RECEIPT","SOURCE_TOUCH_REQUIRED","IN_PROGRESS"))</x:f>
        <x:v>SOURCE_TOUCH_REQUIRED</x:v>
      </x:c>
      <x:c r="W1219" s="12" t="str">
        <x:f>IF(P1219="Unverified","missing_receipt","receipt_logged")</x:f>
        <x:v>missing_receipt</x:v>
      </x:c>
      <x:c r="X1219" s="12" t="str">
        <x:f>IF(Q1219="Not checked","raw_status_missing","raw_status_logged")</x:f>
        <x:v>raw_status_missing</x:v>
      </x:c>
      <x:c r="Y1219" s="12" t="str">
        <x:f>IF(U1219="BLOCKED_PENDING_RECEIPT","Log source path or blocker; do not promote","Route to review lane")</x:f>
        <x:v>Log source path or blocker; do not promote</x:v>
      </x:c>
      <x:c r="Z1219" s="12" t="str">
        <x:f>IF(K1219="P0","Primary seat + Hashlight/Lucerna","Seat lane")</x:f>
        <x:v>Seat lane</x:v>
      </x:c>
      <x:c r="AA1219" s="12" t="str">
        <x:f>IF(R1219="","no_claim_delta","claim_delta_present")</x:f>
        <x:v>no_claim_delta</x:v>
      </x:c>
      <x:c r="AB1219" s="12" t="str">
        <x:f>IF(S1219="","no_contradiction_delta","contradiction_delta_present")</x:f>
        <x:v>no_contradiction_delta</x:v>
      </x:c>
      <x:c r="AC1219" s="12" t="str">
        <x:f>IF(OR(ISNUMBER(SEARCH("hacker",LOWER(F1219&amp;" "&amp;H1219&amp;" "&amp;I1219&amp;" "&amp;M1219&amp;" "&amp;N1219&amp;" "&amp;T1219))),ISNUMBER(SEARCH("hacking",LOWER(F1219&amp;" "&amp;H1219&amp;" "&amp;I1219&amp;" "&amp;M1219&amp;" "&amp;N1219&amp;" "&amp;T1219))),ISNUMBER(SEARCH("bank",LOWER(F1219&amp;" "&amp;H1219&amp;" "&amp;I1219&amp;" "&amp;M1219&amp;" "&amp;N1219&amp;" "&amp;T1219))),ISNUMBER(SEARCH("banking",LOWER(F1219&amp;" "&amp;H1219&amp;" "&amp;I1219&amp;" "&amp;M1219&amp;" "&amp;N1219&amp;" "&amp;T1219)))),"PRIVATE_QUARANTINE",IF(OR(ISNUMBER(SEARCH("treasury",LOWER(F1219&amp;" "&amp;H1219&amp;" "&amp;I1219&amp;" "&amp;M1219&amp;" "&amp;N1219&amp;" "&amp;T1219))),ISNUMBER(SEARCH("debt",LOWER(F1219&amp;" "&amp;H1219&amp;" "&amp;I1219&amp;" "&amp;M1219&amp;" "&amp;N1219&amp;" "&amp;T1219))),ISNUMBER(SEARCH("bond",LOWER(F1219&amp;" "&amp;H1219&amp;" "&amp;I1219&amp;" "&amp;M1219&amp;" "&amp;N1219&amp;" "&amp;T1219))),ISNUMBER(SEARCH("transaction",LOWER(F1219&amp;" "&amp;H1219&amp;" "&amp;I1219&amp;" "&amp;M1219&amp;" "&amp;N1219&amp;" "&amp;T1219)))),"PRIVATE_REVIEW","PUBLIC_CANDIDATE"))</x:f>
        <x:v>PUBLIC_CANDIDATE</x:v>
      </x:c>
      <x:c r="AD1219" s="12" t="str">
        <x:f>IF(AC1219="PRIVATE_QUARANTINE","hacker_or_bank_trigger",IF(AC1219="PRIVATE_REVIEW","finance_risk_trigger","none"))</x:f>
        <x:v>none</x:v>
      </x:c>
      <x:c r="AE1219" s="12" t="str">
        <x:f>IF(AC1219="PUBLIC_CANDIDATE","prepare_public_github_candidate",IF(AC1219="PRIVATE_REVIEW","hold_for_private_review","quarantine_private_do_not_publish"))</x:f>
        <x:v>prepare_public_github_candidate</x:v>
      </x:c>
      <x:c r="AF1219" s="12" t="str">
        <x:f>IF(AC1219="PUBLIC_CANDIDATE","TIDELOCK + Lucerna",IF(AC1219="PRIVATE_REVIEW","AtlasBrain + Lucerna","TIDELOCK + Lucerna + Human-root"))</x:f>
        <x:v>TIDELOCK + Lucerna</x:v>
      </x:c>
      <x:c r="AG1219" s="12" t="str">
        <x:f>IF(AND(AC1219="PUBLIC_CANDIDATE",U1219&lt;&gt;"BLOCKED_PENDING_RECEIPT"),"READY_AFTER_RECEIPT","NOT_READY")</x:f>
        <x:v>NOT_READY</x:v>
      </x:c>
      <x:c r="AH1219" s="12" t="str">
        <x:f>IF(AC1219="PUBLIC_CANDIDATE","none",AD1219)</x:f>
        <x:v>none</x:v>
      </x:c>
      <x:c r="AI1219" s="12" t="str">
        <x:f>IF(AC1219="PUBLIC_CANDIDATE","archive/public_candidates/"&amp;A1219,"private_quarantine/"&amp;A1219)</x:f>
        <x:v>archive/public_candidates/SWARM-09-H06-S06</x:v>
      </x:c>
      <x:c r="AJ1219" s="12" t="str">
        <x:f>IF(AC1219="PUBLIC_CANDIDATE","public by default; still not canon","private/hold; do not publish")</x:f>
        <x:v>public by default; still not canon</x:v>
      </x:c>
      <x:c r="AK1219" s="12" t="str">
        <x:f>IF(AE1219="prepare_public_github_candidate","add receipt/status then mirror","resolve blocker before any public GitHub action")</x:f>
        <x:v>add receipt/status then mirror</x:v>
      </x:c>
    </x:row>
    <x:row r="1220">
      <x:c r="A1220" s="15" t="str">
        <x:v>SWARM-09-H06-S07</x:v>
      </x:c>
      <x:c r="B1220" s="15" t="str">
        <x:v>NotionMoth</x:v>
      </x:c>
      <x:c r="C1220" s="15" t="str">
        <x:v>Notion ontology mapper</x:v>
      </x:c>
      <x:c r="D1220" s="15" t="str">
        <x:v>Ontology / Schema</x:v>
      </x:c>
      <x:c r="E1220" s="15" t="str">
        <x:v>Planetarium</x:v>
      </x:c>
      <x:c r="F1220" s="15" t="str">
        <x:v>Schema-map Planetarium — NotionMoth</x:v>
      </x:c>
      <x:c r="G1220" s="15" t="str">
        <x:v>legacy schema / Notion export prep</x:v>
      </x:c>
      <x:c r="H1220" s="15" t="str">
        <x:v>source path + receipt + raw/export status + claim/edge/risk delta</x:v>
      </x:c>
      <x:c r="I1220" s="15" t="str">
        <x:v>packet/SWARM-09-H06-S07</x:v>
      </x:c>
      <x:c r="J1220" s="15" t="str">
        <x:v>TODO</x:v>
      </x:c>
      <x:c r="K1220" s="15" t="str">
        <x:v>P1</x:v>
      </x:c>
      <x:c r="L1220" s="15" t="str">
        <x:v>Done only when evidence is logged, contradiction search is noted, and boundary stamp remains non-canon unless ratified</x:v>
      </x:c>
      <x:c r="M1220" s="15" t="str">
        <x:v>candidate / staging-only / not canon / not deployed / authority none</x:v>
      </x:c>
      <x:c r="N1220" s="15" t="str">
        <x:v>Dispatch to NotionMoth: complete Ontology / Schema x Planetarium; return deltas only, receipts required.</x:v>
      </x:c>
      <x:c r="O1220" s="15" t="str">
        <x:v>AF-KG-H06-S07</x:v>
      </x:c>
      <x:c r="P1220" s="15" t="str">
        <x:v>Unverified</x:v>
      </x:c>
      <x:c r="Q1220" s="15" t="str">
        <x:v>Not checked</x:v>
      </x:c>
      <x:c r="R1220" s="15" t="str"/>
      <x:c r="S1220" s="15" t="str"/>
      <x:c r="T1220" s="15" t="str">
        <x:v>Log first source path or blocker</x:v>
      </x:c>
      <x:c r="U1220" s="12" t="str">
        <x:f>IF(OR(P1220="Unverified",Q1220="Not checked"),"BLOCKED_PENDING_RECEIPT","READY_FOR_REVIEW")</x:f>
        <x:v>BLOCKED_PENDING_RECEIPT</x:v>
      </x:c>
      <x:c r="V1220" s="12" t="str">
        <x:f>IF(J1220="DONE","RETURNED",IF(U1220="BLOCKED_PENDING_RECEIPT","SOURCE_TOUCH_REQUIRED","IN_PROGRESS"))</x:f>
        <x:v>SOURCE_TOUCH_REQUIRED</x:v>
      </x:c>
      <x:c r="W1220" s="12" t="str">
        <x:f>IF(P1220="Unverified","missing_receipt","receipt_logged")</x:f>
        <x:v>missing_receipt</x:v>
      </x:c>
      <x:c r="X1220" s="12" t="str">
        <x:f>IF(Q1220="Not checked","raw_status_missing","raw_status_logged")</x:f>
        <x:v>raw_status_missing</x:v>
      </x:c>
      <x:c r="Y1220" s="12" t="str">
        <x:f>IF(U1220="BLOCKED_PENDING_RECEIPT","Log source path or blocker; do not promote","Route to review lane")</x:f>
        <x:v>Log source path or blocker; do not promote</x:v>
      </x:c>
      <x:c r="Z1220" s="12" t="str">
        <x:f>IF(K1220="P0","Primary seat + Hashlight/Lucerna","Seat lane")</x:f>
        <x:v>Seat lane</x:v>
      </x:c>
      <x:c r="AA1220" s="12" t="str">
        <x:f>IF(R1220="","no_claim_delta","claim_delta_present")</x:f>
        <x:v>no_claim_delta</x:v>
      </x:c>
      <x:c r="AB1220" s="12" t="str">
        <x:f>IF(S1220="","no_contradiction_delta","contradiction_delta_present")</x:f>
        <x:v>no_contradiction_delta</x:v>
      </x:c>
      <x:c r="AC1220" s="12" t="str">
        <x:f>IF(OR(ISNUMBER(SEARCH("hacker",LOWER(F1220&amp;" "&amp;H1220&amp;" "&amp;I1220&amp;" "&amp;M1220&amp;" "&amp;N1220&amp;" "&amp;T1220))),ISNUMBER(SEARCH("hacking",LOWER(F1220&amp;" "&amp;H1220&amp;" "&amp;I1220&amp;" "&amp;M1220&amp;" "&amp;N1220&amp;" "&amp;T1220))),ISNUMBER(SEARCH("bank",LOWER(F1220&amp;" "&amp;H1220&amp;" "&amp;I1220&amp;" "&amp;M1220&amp;" "&amp;N1220&amp;" "&amp;T1220))),ISNUMBER(SEARCH("banking",LOWER(F1220&amp;" "&amp;H1220&amp;" "&amp;I1220&amp;" "&amp;M1220&amp;" "&amp;N1220&amp;" "&amp;T1220)))),"PRIVATE_QUARANTINE",IF(OR(ISNUMBER(SEARCH("treasury",LOWER(F1220&amp;" "&amp;H1220&amp;" "&amp;I1220&amp;" "&amp;M1220&amp;" "&amp;N1220&amp;" "&amp;T1220))),ISNUMBER(SEARCH("debt",LOWER(F1220&amp;" "&amp;H1220&amp;" "&amp;I1220&amp;" "&amp;M1220&amp;" "&amp;N1220&amp;" "&amp;T1220))),ISNUMBER(SEARCH("bond",LOWER(F1220&amp;" "&amp;H1220&amp;" "&amp;I1220&amp;" "&amp;M1220&amp;" "&amp;N1220&amp;" "&amp;T1220))),ISNUMBER(SEARCH("transaction",LOWER(F1220&amp;" "&amp;H1220&amp;" "&amp;I1220&amp;" "&amp;M1220&amp;" "&amp;N1220&amp;" "&amp;T1220)))),"PRIVATE_REVIEW","PUBLIC_CANDIDATE"))</x:f>
        <x:v>PUBLIC_CANDIDATE</x:v>
      </x:c>
      <x:c r="AD1220" s="12" t="str">
        <x:f>IF(AC1220="PRIVATE_QUARANTINE","hacker_or_bank_trigger",IF(AC1220="PRIVATE_REVIEW","finance_risk_trigger","none"))</x:f>
        <x:v>none</x:v>
      </x:c>
      <x:c r="AE1220" s="12" t="str">
        <x:f>IF(AC1220="PUBLIC_CANDIDATE","prepare_public_github_candidate",IF(AC1220="PRIVATE_REVIEW","hold_for_private_review","quarantine_private_do_not_publish"))</x:f>
        <x:v>prepare_public_github_candidate</x:v>
      </x:c>
      <x:c r="AF1220" s="12" t="str">
        <x:f>IF(AC1220="PUBLIC_CANDIDATE","TIDELOCK + Lucerna",IF(AC1220="PRIVATE_REVIEW","AtlasBrain + Lucerna","TIDELOCK + Lucerna + Human-root"))</x:f>
        <x:v>TIDELOCK + Lucerna</x:v>
      </x:c>
      <x:c r="AG1220" s="12" t="str">
        <x:f>IF(AND(AC1220="PUBLIC_CANDIDATE",U1220&lt;&gt;"BLOCKED_PENDING_RECEIPT"),"READY_AFTER_RECEIPT","NOT_READY")</x:f>
        <x:v>NOT_READY</x:v>
      </x:c>
      <x:c r="AH1220" s="12" t="str">
        <x:f>IF(AC1220="PUBLIC_CANDIDATE","none",AD1220)</x:f>
        <x:v>none</x:v>
      </x:c>
      <x:c r="AI1220" s="12" t="str">
        <x:f>IF(AC1220="PUBLIC_CANDIDATE","archive/public_candidates/"&amp;A1220,"private_quarantine/"&amp;A1220)</x:f>
        <x:v>archive/public_candidates/SWARM-09-H06-S07</x:v>
      </x:c>
      <x:c r="AJ1220" s="12" t="str">
        <x:f>IF(AC1220="PUBLIC_CANDIDATE","public by default; still not canon","private/hold; do not publish")</x:f>
        <x:v>public by default; still not canon</x:v>
      </x:c>
      <x:c r="AK1220" s="12" t="str">
        <x:f>IF(AE1220="prepare_public_github_candidate","add receipt/status then mirror","resolve blocker before any public GitHub action")</x:f>
        <x:v>add receipt/status then mirror</x:v>
      </x:c>
    </x:row>
    <x:row r="1221">
      <x:c r="A1221" s="15" t="str">
        <x:v>SWARM-09-H06-S08</x:v>
      </x:c>
      <x:c r="B1221" s="15" t="str">
        <x:v>NotionMoth</x:v>
      </x:c>
      <x:c r="C1221" s="15" t="str">
        <x:v>Notion ontology mapper</x:v>
      </x:c>
      <x:c r="D1221" s="15" t="str">
        <x:v>Ontology / Schema</x:v>
      </x:c>
      <x:c r="E1221" s="15" t="str">
        <x:v>Sheldonbrain</x:v>
      </x:c>
      <x:c r="F1221" s="15" t="str">
        <x:v>Schema-map Sheldonbrain — NotionMoth</x:v>
      </x:c>
      <x:c r="G1221" s="15" t="str">
        <x:v>legacy schema / Notion export prep</x:v>
      </x:c>
      <x:c r="H1221" s="15" t="str">
        <x:v>source path + receipt + raw/export status + claim/edge/risk delta</x:v>
      </x:c>
      <x:c r="I1221" s="15" t="str">
        <x:v>packet/SWARM-09-H06-S08</x:v>
      </x:c>
      <x:c r="J1221" s="15" t="str">
        <x:v>TODO</x:v>
      </x:c>
      <x:c r="K1221" s="15" t="str">
        <x:v>P1</x:v>
      </x:c>
      <x:c r="L1221" s="15" t="str">
        <x:v>Done only when evidence is logged, contradiction search is noted, and boundary stamp remains non-canon unless ratified</x:v>
      </x:c>
      <x:c r="M1221" s="15" t="str">
        <x:v>candidate / staging-only / not canon / not deployed / authority none</x:v>
      </x:c>
      <x:c r="N1221" s="15" t="str">
        <x:v>Dispatch to NotionMoth: complete Ontology / Schema x Sheldonbrain; return deltas only, receipts required.</x:v>
      </x:c>
      <x:c r="O1221" s="15" t="str">
        <x:v>AF-KG-H06-S08</x:v>
      </x:c>
      <x:c r="P1221" s="15" t="str">
        <x:v>Unverified</x:v>
      </x:c>
      <x:c r="Q1221" s="15" t="str">
        <x:v>Not checked</x:v>
      </x:c>
      <x:c r="R1221" s="15" t="str"/>
      <x:c r="S1221" s="15" t="str"/>
      <x:c r="T1221" s="15" t="str">
        <x:v>Log first source path or blocker</x:v>
      </x:c>
      <x:c r="U1221" s="12" t="str">
        <x:f>IF(OR(P1221="Unverified",Q1221="Not checked"),"BLOCKED_PENDING_RECEIPT","READY_FOR_REVIEW")</x:f>
        <x:v>BLOCKED_PENDING_RECEIPT</x:v>
      </x:c>
      <x:c r="V1221" s="12" t="str">
        <x:f>IF(J1221="DONE","RETURNED",IF(U1221="BLOCKED_PENDING_RECEIPT","SOURCE_TOUCH_REQUIRED","IN_PROGRESS"))</x:f>
        <x:v>SOURCE_TOUCH_REQUIRED</x:v>
      </x:c>
      <x:c r="W1221" s="12" t="str">
        <x:f>IF(P1221="Unverified","missing_receipt","receipt_logged")</x:f>
        <x:v>missing_receipt</x:v>
      </x:c>
      <x:c r="X1221" s="12" t="str">
        <x:f>IF(Q1221="Not checked","raw_status_missing","raw_status_logged")</x:f>
        <x:v>raw_status_missing</x:v>
      </x:c>
      <x:c r="Y1221" s="12" t="str">
        <x:f>IF(U1221="BLOCKED_PENDING_RECEIPT","Log source path or blocker; do not promote","Route to review lane")</x:f>
        <x:v>Log source path or blocker; do not promote</x:v>
      </x:c>
      <x:c r="Z1221" s="12" t="str">
        <x:f>IF(K1221="P0","Primary seat + Hashlight/Lucerna","Seat lane")</x:f>
        <x:v>Seat lane</x:v>
      </x:c>
      <x:c r="AA1221" s="12" t="str">
        <x:f>IF(R1221="","no_claim_delta","claim_delta_present")</x:f>
        <x:v>no_claim_delta</x:v>
      </x:c>
      <x:c r="AB1221" s="12" t="str">
        <x:f>IF(S1221="","no_contradiction_delta","contradiction_delta_present")</x:f>
        <x:v>no_contradiction_delta</x:v>
      </x:c>
      <x:c r="AC1221" s="12" t="str">
        <x:f>IF(OR(ISNUMBER(SEARCH("hacker",LOWER(F1221&amp;" "&amp;H1221&amp;" "&amp;I1221&amp;" "&amp;M1221&amp;" "&amp;N1221&amp;" "&amp;T1221))),ISNUMBER(SEARCH("hacking",LOWER(F1221&amp;" "&amp;H1221&amp;" "&amp;I1221&amp;" "&amp;M1221&amp;" "&amp;N1221&amp;" "&amp;T1221))),ISNUMBER(SEARCH("bank",LOWER(F1221&amp;" "&amp;H1221&amp;" "&amp;I1221&amp;" "&amp;M1221&amp;" "&amp;N1221&amp;" "&amp;T1221))),ISNUMBER(SEARCH("banking",LOWER(F1221&amp;" "&amp;H1221&amp;" "&amp;I1221&amp;" "&amp;M1221&amp;" "&amp;N1221&amp;" "&amp;T1221)))),"PRIVATE_QUARANTINE",IF(OR(ISNUMBER(SEARCH("treasury",LOWER(F1221&amp;" "&amp;H1221&amp;" "&amp;I1221&amp;" "&amp;M1221&amp;" "&amp;N1221&amp;" "&amp;T1221))),ISNUMBER(SEARCH("debt",LOWER(F1221&amp;" "&amp;H1221&amp;" "&amp;I1221&amp;" "&amp;M1221&amp;" "&amp;N1221&amp;" "&amp;T1221))),ISNUMBER(SEARCH("bond",LOWER(F1221&amp;" "&amp;H1221&amp;" "&amp;I1221&amp;" "&amp;M1221&amp;" "&amp;N1221&amp;" "&amp;T1221))),ISNUMBER(SEARCH("transaction",LOWER(F1221&amp;" "&amp;H1221&amp;" "&amp;I1221&amp;" "&amp;M1221&amp;" "&amp;N1221&amp;" "&amp;T1221)))),"PRIVATE_REVIEW","PUBLIC_CANDIDATE"))</x:f>
        <x:v>PUBLIC_CANDIDATE</x:v>
      </x:c>
      <x:c r="AD1221" s="12" t="str">
        <x:f>IF(AC1221="PRIVATE_QUARANTINE","hacker_or_bank_trigger",IF(AC1221="PRIVATE_REVIEW","finance_risk_trigger","none"))</x:f>
        <x:v>none</x:v>
      </x:c>
      <x:c r="AE1221" s="12" t="str">
        <x:f>IF(AC1221="PUBLIC_CANDIDATE","prepare_public_github_candidate",IF(AC1221="PRIVATE_REVIEW","hold_for_private_review","quarantine_private_do_not_publish"))</x:f>
        <x:v>prepare_public_github_candidate</x:v>
      </x:c>
      <x:c r="AF1221" s="12" t="str">
        <x:f>IF(AC1221="PUBLIC_CANDIDATE","TIDELOCK + Lucerna",IF(AC1221="PRIVATE_REVIEW","AtlasBrain + Lucerna","TIDELOCK + Lucerna + Human-root"))</x:f>
        <x:v>TIDELOCK + Lucerna</x:v>
      </x:c>
      <x:c r="AG1221" s="12" t="str">
        <x:f>IF(AND(AC1221="PUBLIC_CANDIDATE",U1221&lt;&gt;"BLOCKED_PENDING_RECEIPT"),"READY_AFTER_RECEIPT","NOT_READY")</x:f>
        <x:v>NOT_READY</x:v>
      </x:c>
      <x:c r="AH1221" s="12" t="str">
        <x:f>IF(AC1221="PUBLIC_CANDIDATE","none",AD1221)</x:f>
        <x:v>none</x:v>
      </x:c>
      <x:c r="AI1221" s="12" t="str">
        <x:f>IF(AC1221="PUBLIC_CANDIDATE","archive/public_candidates/"&amp;A1221,"private_quarantine/"&amp;A1221)</x:f>
        <x:v>archive/public_candidates/SWARM-09-H06-S08</x:v>
      </x:c>
      <x:c r="AJ1221" s="12" t="str">
        <x:f>IF(AC1221="PUBLIC_CANDIDATE","public by default; still not canon","private/hold; do not publish")</x:f>
        <x:v>public by default; still not canon</x:v>
      </x:c>
      <x:c r="AK1221" s="12" t="str">
        <x:f>IF(AE1221="prepare_public_github_candidate","add receipt/status then mirror","resolve blocker before any public GitHub action")</x:f>
        <x:v>add receipt/status then mirror</x:v>
      </x:c>
    </x:row>
    <x:row r="1222">
      <x:c r="A1222" s="15" t="str">
        <x:v>SWARM-09-H06-S09</x:v>
      </x:c>
      <x:c r="B1222" s="15" t="str">
        <x:v>NotionMoth</x:v>
      </x:c>
      <x:c r="C1222" s="15" t="str">
        <x:v>Notion ontology mapper</x:v>
      </x:c>
      <x:c r="D1222" s="15" t="str">
        <x:v>Ontology / Schema</x:v>
      </x:c>
      <x:c r="E1222" s="15" t="str">
        <x:v>Aetherforge</x:v>
      </x:c>
      <x:c r="F1222" s="15" t="str">
        <x:v>Schema-map Aetherforge — NotionMoth</x:v>
      </x:c>
      <x:c r="G1222" s="15" t="str">
        <x:v>legacy schema / Notion export prep</x:v>
      </x:c>
      <x:c r="H1222" s="15" t="str">
        <x:v>source path + receipt + raw/export status + claim/edge/risk delta</x:v>
      </x:c>
      <x:c r="I1222" s="15" t="str">
        <x:v>packet/SWARM-09-H06-S09</x:v>
      </x:c>
      <x:c r="J1222" s="15" t="str">
        <x:v>TODO</x:v>
      </x:c>
      <x:c r="K1222" s="15" t="str">
        <x:v>P2</x:v>
      </x:c>
      <x:c r="L1222" s="15" t="str">
        <x:v>Done only when evidence is logged, contradiction search is noted, and boundary stamp remains non-canon unless ratified</x:v>
      </x:c>
      <x:c r="M1222" s="15" t="str">
        <x:v>candidate / staging-only / not canon / not deployed / authority none</x:v>
      </x:c>
      <x:c r="N1222" s="15" t="str">
        <x:v>Dispatch to NotionMoth: complete Ontology / Schema x Aetherforge; return deltas only, receipts required.</x:v>
      </x:c>
      <x:c r="O1222" s="15" t="str">
        <x:v>AF-KG-H06-S09</x:v>
      </x:c>
      <x:c r="P1222" s="15" t="str">
        <x:v>Unverified</x:v>
      </x:c>
      <x:c r="Q1222" s="15" t="str">
        <x:v>Not checked</x:v>
      </x:c>
      <x:c r="R1222" s="15" t="str"/>
      <x:c r="S1222" s="15" t="str"/>
      <x:c r="T1222" s="15" t="str">
        <x:v>Log first source path or blocker</x:v>
      </x:c>
      <x:c r="U1222" s="12" t="str">
        <x:f>IF(OR(P1222="Unverified",Q1222="Not checked"),"BLOCKED_PENDING_RECEIPT","READY_FOR_REVIEW")</x:f>
        <x:v>BLOCKED_PENDING_RECEIPT</x:v>
      </x:c>
      <x:c r="V1222" s="12" t="str">
        <x:f>IF(J1222="DONE","RETURNED",IF(U1222="BLOCKED_PENDING_RECEIPT","SOURCE_TOUCH_REQUIRED","IN_PROGRESS"))</x:f>
        <x:v>SOURCE_TOUCH_REQUIRED</x:v>
      </x:c>
      <x:c r="W1222" s="12" t="str">
        <x:f>IF(P1222="Unverified","missing_receipt","receipt_logged")</x:f>
        <x:v>missing_receipt</x:v>
      </x:c>
      <x:c r="X1222" s="12" t="str">
        <x:f>IF(Q1222="Not checked","raw_status_missing","raw_status_logged")</x:f>
        <x:v>raw_status_missing</x:v>
      </x:c>
      <x:c r="Y1222" s="12" t="str">
        <x:f>IF(U1222="BLOCKED_PENDING_RECEIPT","Log source path or blocker; do not promote","Route to review lane")</x:f>
        <x:v>Log source path or blocker; do not promote</x:v>
      </x:c>
      <x:c r="Z1222" s="12" t="str">
        <x:f>IF(K1222="P0","Primary seat + Hashlight/Lucerna","Seat lane")</x:f>
        <x:v>Seat lane</x:v>
      </x:c>
      <x:c r="AA1222" s="12" t="str">
        <x:f>IF(R1222="","no_claim_delta","claim_delta_present")</x:f>
        <x:v>no_claim_delta</x:v>
      </x:c>
      <x:c r="AB1222" s="12" t="str">
        <x:f>IF(S1222="","no_contradiction_delta","contradiction_delta_present")</x:f>
        <x:v>no_contradiction_delta</x:v>
      </x:c>
      <x:c r="AC1222" s="12" t="str">
        <x:f>IF(OR(ISNUMBER(SEARCH("hacker",LOWER(F1222&amp;" "&amp;H1222&amp;" "&amp;I1222&amp;" "&amp;M1222&amp;" "&amp;N1222&amp;" "&amp;T1222))),ISNUMBER(SEARCH("hacking",LOWER(F1222&amp;" "&amp;H1222&amp;" "&amp;I1222&amp;" "&amp;M1222&amp;" "&amp;N1222&amp;" "&amp;T1222))),ISNUMBER(SEARCH("bank",LOWER(F1222&amp;" "&amp;H1222&amp;" "&amp;I1222&amp;" "&amp;M1222&amp;" "&amp;N1222&amp;" "&amp;T1222))),ISNUMBER(SEARCH("banking",LOWER(F1222&amp;" "&amp;H1222&amp;" "&amp;I1222&amp;" "&amp;M1222&amp;" "&amp;N1222&amp;" "&amp;T1222)))),"PRIVATE_QUARANTINE",IF(OR(ISNUMBER(SEARCH("treasury",LOWER(F1222&amp;" "&amp;H1222&amp;" "&amp;I1222&amp;" "&amp;M1222&amp;" "&amp;N1222&amp;" "&amp;T1222))),ISNUMBER(SEARCH("debt",LOWER(F1222&amp;" "&amp;H1222&amp;" "&amp;I1222&amp;" "&amp;M1222&amp;" "&amp;N1222&amp;" "&amp;T1222))),ISNUMBER(SEARCH("bond",LOWER(F1222&amp;" "&amp;H1222&amp;" "&amp;I1222&amp;" "&amp;M1222&amp;" "&amp;N1222&amp;" "&amp;T1222))),ISNUMBER(SEARCH("transaction",LOWER(F1222&amp;" "&amp;H1222&amp;" "&amp;I1222&amp;" "&amp;M1222&amp;" "&amp;N1222&amp;" "&amp;T1222)))),"PRIVATE_REVIEW","PUBLIC_CANDIDATE"))</x:f>
        <x:v>PUBLIC_CANDIDATE</x:v>
      </x:c>
      <x:c r="AD1222" s="12" t="str">
        <x:f>IF(AC1222="PRIVATE_QUARANTINE","hacker_or_bank_trigger",IF(AC1222="PRIVATE_REVIEW","finance_risk_trigger","none"))</x:f>
        <x:v>none</x:v>
      </x:c>
      <x:c r="AE1222" s="12" t="str">
        <x:f>IF(AC1222="PUBLIC_CANDIDATE","prepare_public_github_candidate",IF(AC1222="PRIVATE_REVIEW","hold_for_private_review","quarantine_private_do_not_publish"))</x:f>
        <x:v>prepare_public_github_candidate</x:v>
      </x:c>
      <x:c r="AF1222" s="12" t="str">
        <x:f>IF(AC1222="PUBLIC_CANDIDATE","TIDELOCK + Lucerna",IF(AC1222="PRIVATE_REVIEW","AtlasBrain + Lucerna","TIDELOCK + Lucerna + Human-root"))</x:f>
        <x:v>TIDELOCK + Lucerna</x:v>
      </x:c>
      <x:c r="AG1222" s="12" t="str">
        <x:f>IF(AND(AC1222="PUBLIC_CANDIDATE",U1222&lt;&gt;"BLOCKED_PENDING_RECEIPT"),"READY_AFTER_RECEIPT","NOT_READY")</x:f>
        <x:v>NOT_READY</x:v>
      </x:c>
      <x:c r="AH1222" s="12" t="str">
        <x:f>IF(AC1222="PUBLIC_CANDIDATE","none",AD1222)</x:f>
        <x:v>none</x:v>
      </x:c>
      <x:c r="AI1222" s="12" t="str">
        <x:f>IF(AC1222="PUBLIC_CANDIDATE","archive/public_candidates/"&amp;A1222,"private_quarantine/"&amp;A1222)</x:f>
        <x:v>archive/public_candidates/SWARM-09-H06-S09</x:v>
      </x:c>
      <x:c r="AJ1222" s="12" t="str">
        <x:f>IF(AC1222="PUBLIC_CANDIDATE","public by default; still not canon","private/hold; do not publish")</x:f>
        <x:v>public by default; still not canon</x:v>
      </x:c>
      <x:c r="AK1222" s="12" t="str">
        <x:f>IF(AE1222="prepare_public_github_candidate","add receipt/status then mirror","resolve blocker before any public GitHub action")</x:f>
        <x:v>add receipt/status then mirror</x:v>
      </x:c>
    </x:row>
    <x:row r="1223">
      <x:c r="A1223" s="15" t="str">
        <x:v>SWARM-09-H06-S10</x:v>
      </x:c>
      <x:c r="B1223" s="15" t="str">
        <x:v>NotionMoth</x:v>
      </x:c>
      <x:c r="C1223" s="15" t="str">
        <x:v>Notion ontology mapper</x:v>
      </x:c>
      <x:c r="D1223" s="15" t="str">
        <x:v>Ontology / Schema</x:v>
      </x:c>
      <x:c r="E1223" s="15" t="str">
        <x:v>Human-Root</x:v>
      </x:c>
      <x:c r="F1223" s="15" t="str">
        <x:v>Schema-map Human-Root — NotionMoth</x:v>
      </x:c>
      <x:c r="G1223" s="15" t="str">
        <x:v>legacy schema / Notion export prep</x:v>
      </x:c>
      <x:c r="H1223" s="15" t="str">
        <x:v>source path + receipt + raw/export status + claim/edge/risk delta</x:v>
      </x:c>
      <x:c r="I1223" s="15" t="str">
        <x:v>packet/SWARM-09-H06-S10</x:v>
      </x:c>
      <x:c r="J1223" s="15" t="str">
        <x:v>TODO</x:v>
      </x:c>
      <x:c r="K1223" s="15" t="str">
        <x:v>P2</x:v>
      </x:c>
      <x:c r="L1223" s="15" t="str">
        <x:v>Done only when evidence is logged, contradiction search is noted, and boundary stamp remains non-canon unless ratified</x:v>
      </x:c>
      <x:c r="M1223" s="15" t="str">
        <x:v>candidate / staging-only / not canon / not deployed / authority none</x:v>
      </x:c>
      <x:c r="N1223" s="15" t="str">
        <x:v>Dispatch to NotionMoth: complete Ontology / Schema x Human-Root; return deltas only, receipts required.</x:v>
      </x:c>
      <x:c r="O1223" s="15" t="str">
        <x:v>AF-KG-H06-S10</x:v>
      </x:c>
      <x:c r="P1223" s="15" t="str">
        <x:v>Unverified</x:v>
      </x:c>
      <x:c r="Q1223" s="15" t="str">
        <x:v>Not checked</x:v>
      </x:c>
      <x:c r="R1223" s="15" t="str"/>
      <x:c r="S1223" s="15" t="str"/>
      <x:c r="T1223" s="15" t="str">
        <x:v>Log first source path or blocker</x:v>
      </x:c>
      <x:c r="U1223" s="12" t="str">
        <x:f>IF(OR(P1223="Unverified",Q1223="Not checked"),"BLOCKED_PENDING_RECEIPT","READY_FOR_REVIEW")</x:f>
        <x:v>BLOCKED_PENDING_RECEIPT</x:v>
      </x:c>
      <x:c r="V1223" s="12" t="str">
        <x:f>IF(J1223="DONE","RETURNED",IF(U1223="BLOCKED_PENDING_RECEIPT","SOURCE_TOUCH_REQUIRED","IN_PROGRESS"))</x:f>
        <x:v>SOURCE_TOUCH_REQUIRED</x:v>
      </x:c>
      <x:c r="W1223" s="12" t="str">
        <x:f>IF(P1223="Unverified","missing_receipt","receipt_logged")</x:f>
        <x:v>missing_receipt</x:v>
      </x:c>
      <x:c r="X1223" s="12" t="str">
        <x:f>IF(Q1223="Not checked","raw_status_missing","raw_status_logged")</x:f>
        <x:v>raw_status_missing</x:v>
      </x:c>
      <x:c r="Y1223" s="12" t="str">
        <x:f>IF(U1223="BLOCKED_PENDING_RECEIPT","Log source path or blocker; do not promote","Route to review lane")</x:f>
        <x:v>Log source path or blocker; do not promote</x:v>
      </x:c>
      <x:c r="Z1223" s="12" t="str">
        <x:f>IF(K1223="P0","Primary seat + Hashlight/Lucerna","Seat lane")</x:f>
        <x:v>Seat lane</x:v>
      </x:c>
      <x:c r="AA1223" s="12" t="str">
        <x:f>IF(R1223="","no_claim_delta","claim_delta_present")</x:f>
        <x:v>no_claim_delta</x:v>
      </x:c>
      <x:c r="AB1223" s="12" t="str">
        <x:f>IF(S1223="","no_contradiction_delta","contradiction_delta_present")</x:f>
        <x:v>no_contradiction_delta</x:v>
      </x:c>
      <x:c r="AC1223" s="12" t="str">
        <x:f>IF(OR(ISNUMBER(SEARCH("hacker",LOWER(F1223&amp;" "&amp;H1223&amp;" "&amp;I1223&amp;" "&amp;M1223&amp;" "&amp;N1223&amp;" "&amp;T1223))),ISNUMBER(SEARCH("hacking",LOWER(F1223&amp;" "&amp;H1223&amp;" "&amp;I1223&amp;" "&amp;M1223&amp;" "&amp;N1223&amp;" "&amp;T1223))),ISNUMBER(SEARCH("bank",LOWER(F1223&amp;" "&amp;H1223&amp;" "&amp;I1223&amp;" "&amp;M1223&amp;" "&amp;N1223&amp;" "&amp;T1223))),ISNUMBER(SEARCH("banking",LOWER(F1223&amp;" "&amp;H1223&amp;" "&amp;I1223&amp;" "&amp;M1223&amp;" "&amp;N1223&amp;" "&amp;T1223)))),"PRIVATE_QUARANTINE",IF(OR(ISNUMBER(SEARCH("treasury",LOWER(F1223&amp;" "&amp;H1223&amp;" "&amp;I1223&amp;" "&amp;M1223&amp;" "&amp;N1223&amp;" "&amp;T1223))),ISNUMBER(SEARCH("debt",LOWER(F1223&amp;" "&amp;H1223&amp;" "&amp;I1223&amp;" "&amp;M1223&amp;" "&amp;N1223&amp;" "&amp;T1223))),ISNUMBER(SEARCH("bond",LOWER(F1223&amp;" "&amp;H1223&amp;" "&amp;I1223&amp;" "&amp;M1223&amp;" "&amp;N1223&amp;" "&amp;T1223))),ISNUMBER(SEARCH("transaction",LOWER(F1223&amp;" "&amp;H1223&amp;" "&amp;I1223&amp;" "&amp;M1223&amp;" "&amp;N1223&amp;" "&amp;T1223)))),"PRIVATE_REVIEW","PUBLIC_CANDIDATE"))</x:f>
        <x:v>PUBLIC_CANDIDATE</x:v>
      </x:c>
      <x:c r="AD1223" s="12" t="str">
        <x:f>IF(AC1223="PRIVATE_QUARANTINE","hacker_or_bank_trigger",IF(AC1223="PRIVATE_REVIEW","finance_risk_trigger","none"))</x:f>
        <x:v>none</x:v>
      </x:c>
      <x:c r="AE1223" s="12" t="str">
        <x:f>IF(AC1223="PUBLIC_CANDIDATE","prepare_public_github_candidate",IF(AC1223="PRIVATE_REVIEW","hold_for_private_review","quarantine_private_do_not_publish"))</x:f>
        <x:v>prepare_public_github_candidate</x:v>
      </x:c>
      <x:c r="AF1223" s="12" t="str">
        <x:f>IF(AC1223="PUBLIC_CANDIDATE","TIDELOCK + Lucerna",IF(AC1223="PRIVATE_REVIEW","AtlasBrain + Lucerna","TIDELOCK + Lucerna + Human-root"))</x:f>
        <x:v>TIDELOCK + Lucerna</x:v>
      </x:c>
      <x:c r="AG1223" s="12" t="str">
        <x:f>IF(AND(AC1223="PUBLIC_CANDIDATE",U1223&lt;&gt;"BLOCKED_PENDING_RECEIPT"),"READY_AFTER_RECEIPT","NOT_READY")</x:f>
        <x:v>NOT_READY</x:v>
      </x:c>
      <x:c r="AH1223" s="12" t="str">
        <x:f>IF(AC1223="PUBLIC_CANDIDATE","none",AD1223)</x:f>
        <x:v>none</x:v>
      </x:c>
      <x:c r="AI1223" s="12" t="str">
        <x:f>IF(AC1223="PUBLIC_CANDIDATE","archive/public_candidates/"&amp;A1223,"private_quarantine/"&amp;A1223)</x:f>
        <x:v>archive/public_candidates/SWARM-09-H06-S10</x:v>
      </x:c>
      <x:c r="AJ1223" s="12" t="str">
        <x:f>IF(AC1223="PUBLIC_CANDIDATE","public by default; still not canon","private/hold; do not publish")</x:f>
        <x:v>public by default; still not canon</x:v>
      </x:c>
      <x:c r="AK1223" s="12" t="str">
        <x:f>IF(AE1223="prepare_public_github_candidate","add receipt/status then mirror","resolve blocker before any public GitHub action")</x:f>
        <x:v>add receipt/status then mirror</x:v>
      </x:c>
    </x:row>
    <x:row r="1224">
      <x:c r="A1224" s="15" t="str">
        <x:v>SWARM-09-H06-S11</x:v>
      </x:c>
      <x:c r="B1224" s="15" t="str">
        <x:v>NotionMoth</x:v>
      </x:c>
      <x:c r="C1224" s="15" t="str">
        <x:v>Notion ontology mapper</x:v>
      </x:c>
      <x:c r="D1224" s="15" t="str">
        <x:v>Ontology / Schema</x:v>
      </x:c>
      <x:c r="E1224" s="15" t="str">
        <x:v>Automation</x:v>
      </x:c>
      <x:c r="F1224" s="15" t="str">
        <x:v>Schema-map Automation — NotionMoth</x:v>
      </x:c>
      <x:c r="G1224" s="15" t="str">
        <x:v>legacy schema / Notion export prep</x:v>
      </x:c>
      <x:c r="H1224" s="15" t="str">
        <x:v>source path + receipt + raw/export status + claim/edge/risk delta</x:v>
      </x:c>
      <x:c r="I1224" s="15" t="str">
        <x:v>packet/SWARM-09-H06-S11</x:v>
      </x:c>
      <x:c r="J1224" s="15" t="str">
        <x:v>TODO</x:v>
      </x:c>
      <x:c r="K1224" s="15" t="str">
        <x:v>P2</x:v>
      </x:c>
      <x:c r="L1224" s="15" t="str">
        <x:v>Done only when evidence is logged, contradiction search is noted, and boundary stamp remains non-canon unless ratified</x:v>
      </x:c>
      <x:c r="M1224" s="15" t="str">
        <x:v>candidate / staging-only / not canon / not deployed / authority none</x:v>
      </x:c>
      <x:c r="N1224" s="15" t="str">
        <x:v>Dispatch to NotionMoth: complete Ontology / Schema x Automation; return deltas only, receipts required.</x:v>
      </x:c>
      <x:c r="O1224" s="15" t="str">
        <x:v>AF-KG-H06-S11</x:v>
      </x:c>
      <x:c r="P1224" s="15" t="str">
        <x:v>Unverified</x:v>
      </x:c>
      <x:c r="Q1224" s="15" t="str">
        <x:v>Not checked</x:v>
      </x:c>
      <x:c r="R1224" s="15" t="str"/>
      <x:c r="S1224" s="15" t="str"/>
      <x:c r="T1224" s="15" t="str">
        <x:v>Log first source path or blocker</x:v>
      </x:c>
      <x:c r="U1224" s="12" t="str">
        <x:f>IF(OR(P1224="Unverified",Q1224="Not checked"),"BLOCKED_PENDING_RECEIPT","READY_FOR_REVIEW")</x:f>
        <x:v>BLOCKED_PENDING_RECEIPT</x:v>
      </x:c>
      <x:c r="V1224" s="12" t="str">
        <x:f>IF(J1224="DONE","RETURNED",IF(U1224="BLOCKED_PENDING_RECEIPT","SOURCE_TOUCH_REQUIRED","IN_PROGRESS"))</x:f>
        <x:v>SOURCE_TOUCH_REQUIRED</x:v>
      </x:c>
      <x:c r="W1224" s="12" t="str">
        <x:f>IF(P1224="Unverified","missing_receipt","receipt_logged")</x:f>
        <x:v>missing_receipt</x:v>
      </x:c>
      <x:c r="X1224" s="12" t="str">
        <x:f>IF(Q1224="Not checked","raw_status_missing","raw_status_logged")</x:f>
        <x:v>raw_status_missing</x:v>
      </x:c>
      <x:c r="Y1224" s="12" t="str">
        <x:f>IF(U1224="BLOCKED_PENDING_RECEIPT","Log source path or blocker; do not promote","Route to review lane")</x:f>
        <x:v>Log source path or blocker; do not promote</x:v>
      </x:c>
      <x:c r="Z1224" s="12" t="str">
        <x:f>IF(K1224="P0","Primary seat + Hashlight/Lucerna","Seat lane")</x:f>
        <x:v>Seat lane</x:v>
      </x:c>
      <x:c r="AA1224" s="12" t="str">
        <x:f>IF(R1224="","no_claim_delta","claim_delta_present")</x:f>
        <x:v>no_claim_delta</x:v>
      </x:c>
      <x:c r="AB1224" s="12" t="str">
        <x:f>IF(S1224="","no_contradiction_delta","contradiction_delta_present")</x:f>
        <x:v>no_contradiction_delta</x:v>
      </x:c>
      <x:c r="AC1224" s="12" t="str">
        <x:f>IF(OR(ISNUMBER(SEARCH("hacker",LOWER(F1224&amp;" "&amp;H1224&amp;" "&amp;I1224&amp;" "&amp;M1224&amp;" "&amp;N1224&amp;" "&amp;T1224))),ISNUMBER(SEARCH("hacking",LOWER(F1224&amp;" "&amp;H1224&amp;" "&amp;I1224&amp;" "&amp;M1224&amp;" "&amp;N1224&amp;" "&amp;T1224))),ISNUMBER(SEARCH("bank",LOWER(F1224&amp;" "&amp;H1224&amp;" "&amp;I1224&amp;" "&amp;M1224&amp;" "&amp;N1224&amp;" "&amp;T1224))),ISNUMBER(SEARCH("banking",LOWER(F1224&amp;" "&amp;H1224&amp;" "&amp;I1224&amp;" "&amp;M1224&amp;" "&amp;N1224&amp;" "&amp;T1224)))),"PRIVATE_QUARANTINE",IF(OR(ISNUMBER(SEARCH("treasury",LOWER(F1224&amp;" "&amp;H1224&amp;" "&amp;I1224&amp;" "&amp;M1224&amp;" "&amp;N1224&amp;" "&amp;T1224))),ISNUMBER(SEARCH("debt",LOWER(F1224&amp;" "&amp;H1224&amp;" "&amp;I1224&amp;" "&amp;M1224&amp;" "&amp;N1224&amp;" "&amp;T1224))),ISNUMBER(SEARCH("bond",LOWER(F1224&amp;" "&amp;H1224&amp;" "&amp;I1224&amp;" "&amp;M1224&amp;" "&amp;N1224&amp;" "&amp;T1224))),ISNUMBER(SEARCH("transaction",LOWER(F1224&amp;" "&amp;H1224&amp;" "&amp;I1224&amp;" "&amp;M1224&amp;" "&amp;N1224&amp;" "&amp;T1224)))),"PRIVATE_REVIEW","PUBLIC_CANDIDATE"))</x:f>
        <x:v>PUBLIC_CANDIDATE</x:v>
      </x:c>
      <x:c r="AD1224" s="12" t="str">
        <x:f>IF(AC1224="PRIVATE_QUARANTINE","hacker_or_bank_trigger",IF(AC1224="PRIVATE_REVIEW","finance_risk_trigger","none"))</x:f>
        <x:v>none</x:v>
      </x:c>
      <x:c r="AE1224" s="12" t="str">
        <x:f>IF(AC1224="PUBLIC_CANDIDATE","prepare_public_github_candidate",IF(AC1224="PRIVATE_REVIEW","hold_for_private_review","quarantine_private_do_not_publish"))</x:f>
        <x:v>prepare_public_github_candidate</x:v>
      </x:c>
      <x:c r="AF1224" s="12" t="str">
        <x:f>IF(AC1224="PUBLIC_CANDIDATE","TIDELOCK + Lucerna",IF(AC1224="PRIVATE_REVIEW","AtlasBrain + Lucerna","TIDELOCK + Lucerna + Human-root"))</x:f>
        <x:v>TIDELOCK + Lucerna</x:v>
      </x:c>
      <x:c r="AG1224" s="12" t="str">
        <x:f>IF(AND(AC1224="PUBLIC_CANDIDATE",U1224&lt;&gt;"BLOCKED_PENDING_RECEIPT"),"READY_AFTER_RECEIPT","NOT_READY")</x:f>
        <x:v>NOT_READY</x:v>
      </x:c>
      <x:c r="AH1224" s="12" t="str">
        <x:f>IF(AC1224="PUBLIC_CANDIDATE","none",AD1224)</x:f>
        <x:v>none</x:v>
      </x:c>
      <x:c r="AI1224" s="12" t="str">
        <x:f>IF(AC1224="PUBLIC_CANDIDATE","archive/public_candidates/"&amp;A1224,"private_quarantine/"&amp;A1224)</x:f>
        <x:v>archive/public_candidates/SWARM-09-H06-S11</x:v>
      </x:c>
      <x:c r="AJ1224" s="12" t="str">
        <x:f>IF(AC1224="PUBLIC_CANDIDATE","public by default; still not canon","private/hold; do not publish")</x:f>
        <x:v>public by default; still not canon</x:v>
      </x:c>
      <x:c r="AK1224" s="12" t="str">
        <x:f>IF(AE1224="prepare_public_github_candidate","add receipt/status then mirror","resolve blocker before any public GitHub action")</x:f>
        <x:v>add receipt/status then mirror</x:v>
      </x:c>
    </x:row>
    <x:row r="1225">
      <x:c r="A1225" s="15" t="str">
        <x:v>SWARM-09-H06-S12</x:v>
      </x:c>
      <x:c r="B1225" s="15" t="str">
        <x:v>NotionMoth</x:v>
      </x:c>
      <x:c r="C1225" s="15" t="str">
        <x:v>Notion ontology mapper</x:v>
      </x:c>
      <x:c r="D1225" s="15" t="str">
        <x:v>Ontology / Schema</x:v>
      </x:c>
      <x:c r="E1225" s="15" t="str">
        <x:v>Risk / Safety</x:v>
      </x:c>
      <x:c r="F1225" s="15" t="str">
        <x:v>Schema-map Risk / Safety — NotionMoth</x:v>
      </x:c>
      <x:c r="G1225" s="15" t="str">
        <x:v>legacy schema / Notion export prep</x:v>
      </x:c>
      <x:c r="H1225" s="15" t="str">
        <x:v>source path + receipt + raw/export status + claim/edge/risk delta</x:v>
      </x:c>
      <x:c r="I1225" s="15" t="str">
        <x:v>packet/SWARM-09-H06-S12</x:v>
      </x:c>
      <x:c r="J1225" s="15" t="str">
        <x:v>TODO</x:v>
      </x:c>
      <x:c r="K1225" s="15" t="str">
        <x:v>P2</x:v>
      </x:c>
      <x:c r="L1225" s="15" t="str">
        <x:v>Done only when evidence is logged, contradiction search is noted, and boundary stamp remains non-canon unless ratified</x:v>
      </x:c>
      <x:c r="M1225" s="15" t="str">
        <x:v>candidate / staging-only / not canon / not deployed / authority none</x:v>
      </x:c>
      <x:c r="N1225" s="15" t="str">
        <x:v>Dispatch to NotionMoth: complete Ontology / Schema x Risk / Safety; return deltas only, receipts required.</x:v>
      </x:c>
      <x:c r="O1225" s="15" t="str">
        <x:v>AF-KG-H06-S12</x:v>
      </x:c>
      <x:c r="P1225" s="15" t="str">
        <x:v>Unverified</x:v>
      </x:c>
      <x:c r="Q1225" s="15" t="str">
        <x:v>Not checked</x:v>
      </x:c>
      <x:c r="R1225" s="15" t="str"/>
      <x:c r="S1225" s="15" t="str"/>
      <x:c r="T1225" s="15" t="str">
        <x:v>Log first source path or blocker</x:v>
      </x:c>
      <x:c r="U1225" s="12" t="str">
        <x:f>IF(OR(P1225="Unverified",Q1225="Not checked"),"BLOCKED_PENDING_RECEIPT","READY_FOR_REVIEW")</x:f>
        <x:v>BLOCKED_PENDING_RECEIPT</x:v>
      </x:c>
      <x:c r="V1225" s="12" t="str">
        <x:f>IF(J1225="DONE","RETURNED",IF(U1225="BLOCKED_PENDING_RECEIPT","SOURCE_TOUCH_REQUIRED","IN_PROGRESS"))</x:f>
        <x:v>SOURCE_TOUCH_REQUIRED</x:v>
      </x:c>
      <x:c r="W1225" s="12" t="str">
        <x:f>IF(P1225="Unverified","missing_receipt","receipt_logged")</x:f>
        <x:v>missing_receipt</x:v>
      </x:c>
      <x:c r="X1225" s="12" t="str">
        <x:f>IF(Q1225="Not checked","raw_status_missing","raw_status_logged")</x:f>
        <x:v>raw_status_missing</x:v>
      </x:c>
      <x:c r="Y1225" s="12" t="str">
        <x:f>IF(U1225="BLOCKED_PENDING_RECEIPT","Log source path or blocker; do not promote","Route to review lane")</x:f>
        <x:v>Log source path or blocker; do not promote</x:v>
      </x:c>
      <x:c r="Z1225" s="12" t="str">
        <x:f>IF(K1225="P0","Primary seat + Hashlight/Lucerna","Seat lane")</x:f>
        <x:v>Seat lane</x:v>
      </x:c>
      <x:c r="AA1225" s="12" t="str">
        <x:f>IF(R1225="","no_claim_delta","claim_delta_present")</x:f>
        <x:v>no_claim_delta</x:v>
      </x:c>
      <x:c r="AB1225" s="12" t="str">
        <x:f>IF(S1225="","no_contradiction_delta","contradiction_delta_present")</x:f>
        <x:v>no_contradiction_delta</x:v>
      </x:c>
      <x:c r="AC1225" s="12" t="str">
        <x:f>IF(OR(ISNUMBER(SEARCH("hacker",LOWER(F1225&amp;" "&amp;H1225&amp;" "&amp;I1225&amp;" "&amp;M1225&amp;" "&amp;N1225&amp;" "&amp;T1225))),ISNUMBER(SEARCH("hacking",LOWER(F1225&amp;" "&amp;H1225&amp;" "&amp;I1225&amp;" "&amp;M1225&amp;" "&amp;N1225&amp;" "&amp;T1225))),ISNUMBER(SEARCH("bank",LOWER(F1225&amp;" "&amp;H1225&amp;" "&amp;I1225&amp;" "&amp;M1225&amp;" "&amp;N1225&amp;" "&amp;T1225))),ISNUMBER(SEARCH("banking",LOWER(F1225&amp;" "&amp;H1225&amp;" "&amp;I1225&amp;" "&amp;M1225&amp;" "&amp;N1225&amp;" "&amp;T1225)))),"PRIVATE_QUARANTINE",IF(OR(ISNUMBER(SEARCH("treasury",LOWER(F1225&amp;" "&amp;H1225&amp;" "&amp;I1225&amp;" "&amp;M1225&amp;" "&amp;N1225&amp;" "&amp;T1225))),ISNUMBER(SEARCH("debt",LOWER(F1225&amp;" "&amp;H1225&amp;" "&amp;I1225&amp;" "&amp;M1225&amp;" "&amp;N1225&amp;" "&amp;T1225))),ISNUMBER(SEARCH("bond",LOWER(F1225&amp;" "&amp;H1225&amp;" "&amp;I1225&amp;" "&amp;M1225&amp;" "&amp;N1225&amp;" "&amp;T1225))),ISNUMBER(SEARCH("transaction",LOWER(F1225&amp;" "&amp;H1225&amp;" "&amp;I1225&amp;" "&amp;M1225&amp;" "&amp;N1225&amp;" "&amp;T1225)))),"PRIVATE_REVIEW","PUBLIC_CANDIDATE"))</x:f>
        <x:v>PUBLIC_CANDIDATE</x:v>
      </x:c>
      <x:c r="AD1225" s="12" t="str">
        <x:f>IF(AC1225="PRIVATE_QUARANTINE","hacker_or_bank_trigger",IF(AC1225="PRIVATE_REVIEW","finance_risk_trigger","none"))</x:f>
        <x:v>none</x:v>
      </x:c>
      <x:c r="AE1225" s="12" t="str">
        <x:f>IF(AC1225="PUBLIC_CANDIDATE","prepare_public_github_candidate",IF(AC1225="PRIVATE_REVIEW","hold_for_private_review","quarantine_private_do_not_publish"))</x:f>
        <x:v>prepare_public_github_candidate</x:v>
      </x:c>
      <x:c r="AF1225" s="12" t="str">
        <x:f>IF(AC1225="PUBLIC_CANDIDATE","TIDELOCK + Lucerna",IF(AC1225="PRIVATE_REVIEW","AtlasBrain + Lucerna","TIDELOCK + Lucerna + Human-root"))</x:f>
        <x:v>TIDELOCK + Lucerna</x:v>
      </x:c>
      <x:c r="AG1225" s="12" t="str">
        <x:f>IF(AND(AC1225="PUBLIC_CANDIDATE",U1225&lt;&gt;"BLOCKED_PENDING_RECEIPT"),"READY_AFTER_RECEIPT","NOT_READY")</x:f>
        <x:v>NOT_READY</x:v>
      </x:c>
      <x:c r="AH1225" s="12" t="str">
        <x:f>IF(AC1225="PUBLIC_CANDIDATE","none",AD1225)</x:f>
        <x:v>none</x:v>
      </x:c>
      <x:c r="AI1225" s="12" t="str">
        <x:f>IF(AC1225="PUBLIC_CANDIDATE","archive/public_candidates/"&amp;A1225,"private_quarantine/"&amp;A1225)</x:f>
        <x:v>archive/public_candidates/SWARM-09-H06-S12</x:v>
      </x:c>
      <x:c r="AJ1225" s="12" t="str">
        <x:f>IF(AC1225="PUBLIC_CANDIDATE","public by default; still not canon","private/hold; do not publish")</x:f>
        <x:v>public by default; still not canon</x:v>
      </x:c>
      <x:c r="AK1225" s="12" t="str">
        <x:f>IF(AE1225="prepare_public_github_candidate","add receipt/status then mirror","resolve blocker before any public GitHub action")</x:f>
        <x:v>add receipt/status then mirror</x:v>
      </x:c>
    </x:row>
    <x:row r="1226">
      <x:c r="A1226" s="15" t="str">
        <x:v>SWARM-09-H07-S01</x:v>
      </x:c>
      <x:c r="B1226" s="15" t="str">
        <x:v>NotionMoth</x:v>
      </x:c>
      <x:c r="C1226" s="15" t="str">
        <x:v>Notion ontology mapper</x:v>
      </x:c>
      <x:c r="D1226" s="15" t="str">
        <x:v>Graph Node Proposals</x:v>
      </x:c>
      <x:c r="E1226" s="15" t="str">
        <x:v>Notion</x:v>
      </x:c>
      <x:c r="F1226" s="15" t="str">
        <x:v>Propose graph nodes for Notion — NotionMoth</x:v>
      </x:c>
      <x:c r="G1226" s="15" t="str">
        <x:v>legacy schema / Notion export prep</x:v>
      </x:c>
      <x:c r="H1226" s="15" t="str">
        <x:v>source path + receipt + raw/export status + claim/edge/risk delta</x:v>
      </x:c>
      <x:c r="I1226" s="15" t="str">
        <x:v>packet/SWARM-09-H07-S01</x:v>
      </x:c>
      <x:c r="J1226" s="15" t="str">
        <x:v>TODO</x:v>
      </x:c>
      <x:c r="K1226" s="15" t="str">
        <x:v>P0</x:v>
      </x:c>
      <x:c r="L1226" s="15" t="str">
        <x:v>Done only when evidence is logged, contradiction search is noted, and boundary stamp remains non-canon unless ratified</x:v>
      </x:c>
      <x:c r="M1226" s="15" t="str">
        <x:v>candidate / staging-only / not canon / not deployed / authority none</x:v>
      </x:c>
      <x:c r="N1226" s="15" t="str">
        <x:v>Dispatch to NotionMoth: complete Graph Node Proposals x Notion; return deltas only, receipts required.</x:v>
      </x:c>
      <x:c r="O1226" s="15" t="str">
        <x:v>AF-KG-H07-S01</x:v>
      </x:c>
      <x:c r="P1226" s="15" t="str">
        <x:v>Unverified</x:v>
      </x:c>
      <x:c r="Q1226" s="15" t="str">
        <x:v>Not checked</x:v>
      </x:c>
      <x:c r="R1226" s="15" t="str"/>
      <x:c r="S1226" s="15" t="str"/>
      <x:c r="T1226" s="15" t="str">
        <x:v>Log first source path or blocker</x:v>
      </x:c>
      <x:c r="U1226" s="12" t="str">
        <x:f>IF(OR(P1226="Unverified",Q1226="Not checked"),"BLOCKED_PENDING_RECEIPT","READY_FOR_REVIEW")</x:f>
        <x:v>BLOCKED_PENDING_RECEIPT</x:v>
      </x:c>
      <x:c r="V1226" s="12" t="str">
        <x:f>IF(J1226="DONE","RETURNED",IF(U1226="BLOCKED_PENDING_RECEIPT","SOURCE_TOUCH_REQUIRED","IN_PROGRESS"))</x:f>
        <x:v>SOURCE_TOUCH_REQUIRED</x:v>
      </x:c>
      <x:c r="W1226" s="12" t="str">
        <x:f>IF(P1226="Unverified","missing_receipt","receipt_logged")</x:f>
        <x:v>missing_receipt</x:v>
      </x:c>
      <x:c r="X1226" s="12" t="str">
        <x:f>IF(Q1226="Not checked","raw_status_missing","raw_status_logged")</x:f>
        <x:v>raw_status_missing</x:v>
      </x:c>
      <x:c r="Y1226" s="12" t="str">
        <x:f>IF(U1226="BLOCKED_PENDING_RECEIPT","Log source path or blocker; do not promote","Route to review lane")</x:f>
        <x:v>Log source path or blocker; do not promote</x:v>
      </x:c>
      <x:c r="Z1226" s="12" t="str">
        <x:f>IF(K1226="P0","Primary seat + Hashlight/Lucerna","Seat lane")</x:f>
        <x:v>Primary seat + Hashlight/Lucerna</x:v>
      </x:c>
      <x:c r="AA1226" s="12" t="str">
        <x:f>IF(R1226="","no_claim_delta","claim_delta_present")</x:f>
        <x:v>no_claim_delta</x:v>
      </x:c>
      <x:c r="AB1226" s="12" t="str">
        <x:f>IF(S1226="","no_contradiction_delta","contradiction_delta_present")</x:f>
        <x:v>no_contradiction_delta</x:v>
      </x:c>
      <x:c r="AC1226" s="12" t="str">
        <x:f>IF(OR(ISNUMBER(SEARCH("hacker",LOWER(F1226&amp;" "&amp;H1226&amp;" "&amp;I1226&amp;" "&amp;M1226&amp;" "&amp;N1226&amp;" "&amp;T1226))),ISNUMBER(SEARCH("hacking",LOWER(F1226&amp;" "&amp;H1226&amp;" "&amp;I1226&amp;" "&amp;M1226&amp;" "&amp;N1226&amp;" "&amp;T1226))),ISNUMBER(SEARCH("bank",LOWER(F1226&amp;" "&amp;H1226&amp;" "&amp;I1226&amp;" "&amp;M1226&amp;" "&amp;N1226&amp;" "&amp;T1226))),ISNUMBER(SEARCH("banking",LOWER(F1226&amp;" "&amp;H1226&amp;" "&amp;I1226&amp;" "&amp;M1226&amp;" "&amp;N1226&amp;" "&amp;T1226)))),"PRIVATE_QUARANTINE",IF(OR(ISNUMBER(SEARCH("treasury",LOWER(F1226&amp;" "&amp;H1226&amp;" "&amp;I1226&amp;" "&amp;M1226&amp;" "&amp;N1226&amp;" "&amp;T1226))),ISNUMBER(SEARCH("debt",LOWER(F1226&amp;" "&amp;H1226&amp;" "&amp;I1226&amp;" "&amp;M1226&amp;" "&amp;N1226&amp;" "&amp;T1226))),ISNUMBER(SEARCH("bond",LOWER(F1226&amp;" "&amp;H1226&amp;" "&amp;I1226&amp;" "&amp;M1226&amp;" "&amp;N1226&amp;" "&amp;T1226))),ISNUMBER(SEARCH("transaction",LOWER(F1226&amp;" "&amp;H1226&amp;" "&amp;I1226&amp;" "&amp;M1226&amp;" "&amp;N1226&amp;" "&amp;T1226)))),"PRIVATE_REVIEW","PUBLIC_CANDIDATE"))</x:f>
        <x:v>PUBLIC_CANDIDATE</x:v>
      </x:c>
      <x:c r="AD1226" s="12" t="str">
        <x:f>IF(AC1226="PRIVATE_QUARANTINE","hacker_or_bank_trigger",IF(AC1226="PRIVATE_REVIEW","finance_risk_trigger","none"))</x:f>
        <x:v>none</x:v>
      </x:c>
      <x:c r="AE1226" s="12" t="str">
        <x:f>IF(AC1226="PUBLIC_CANDIDATE","prepare_public_github_candidate",IF(AC1226="PRIVATE_REVIEW","hold_for_private_review","quarantine_private_do_not_publish"))</x:f>
        <x:v>prepare_public_github_candidate</x:v>
      </x:c>
      <x:c r="AF1226" s="12" t="str">
        <x:f>IF(AC1226="PUBLIC_CANDIDATE","TIDELOCK + Lucerna",IF(AC1226="PRIVATE_REVIEW","AtlasBrain + Lucerna","TIDELOCK + Lucerna + Human-root"))</x:f>
        <x:v>TIDELOCK + Lucerna</x:v>
      </x:c>
      <x:c r="AG1226" s="12" t="str">
        <x:f>IF(AND(AC1226="PUBLIC_CANDIDATE",U1226&lt;&gt;"BLOCKED_PENDING_RECEIPT"),"READY_AFTER_RECEIPT","NOT_READY")</x:f>
        <x:v>NOT_READY</x:v>
      </x:c>
      <x:c r="AH1226" s="12" t="str">
        <x:f>IF(AC1226="PUBLIC_CANDIDATE","none",AD1226)</x:f>
        <x:v>none</x:v>
      </x:c>
      <x:c r="AI1226" s="12" t="str">
        <x:f>IF(AC1226="PUBLIC_CANDIDATE","archive/public_candidates/"&amp;A1226,"private_quarantine/"&amp;A1226)</x:f>
        <x:v>archive/public_candidates/SWARM-09-H07-S01</x:v>
      </x:c>
      <x:c r="AJ1226" s="12" t="str">
        <x:f>IF(AC1226="PUBLIC_CANDIDATE","public by default; still not canon","private/hold; do not publish")</x:f>
        <x:v>public by default; still not canon</x:v>
      </x:c>
      <x:c r="AK1226" s="12" t="str">
        <x:f>IF(AE1226="prepare_public_github_candidate","add receipt/status then mirror","resolve blocker before any public GitHub action")</x:f>
        <x:v>add receipt/status then mirror</x:v>
      </x:c>
    </x:row>
    <x:row r="1227">
      <x:c r="A1227" s="15" t="str">
        <x:v>SWARM-09-H07-S02</x:v>
      </x:c>
      <x:c r="B1227" s="15" t="str">
        <x:v>NotionMoth</x:v>
      </x:c>
      <x:c r="C1227" s="15" t="str">
        <x:v>Notion ontology mapper</x:v>
      </x:c>
      <x:c r="D1227" s="15" t="str">
        <x:v>Graph Node Proposals</x:v>
      </x:c>
      <x:c r="E1227" s="15" t="str">
        <x:v>Drive</x:v>
      </x:c>
      <x:c r="F1227" s="15" t="str">
        <x:v>Propose graph nodes for Drive — NotionMoth</x:v>
      </x:c>
      <x:c r="G1227" s="15" t="str">
        <x:v>legacy schema / Notion export prep</x:v>
      </x:c>
      <x:c r="H1227" s="15" t="str">
        <x:v>source path + receipt + raw/export status + claim/edge/risk delta</x:v>
      </x:c>
      <x:c r="I1227" s="15" t="str">
        <x:v>packet/SWARM-09-H07-S02</x:v>
      </x:c>
      <x:c r="J1227" s="15" t="str">
        <x:v>TODO</x:v>
      </x:c>
      <x:c r="K1227" s="15" t="str">
        <x:v>P0</x:v>
      </x:c>
      <x:c r="L1227" s="15" t="str">
        <x:v>Done only when evidence is logged, contradiction search is noted, and boundary stamp remains non-canon unless ratified</x:v>
      </x:c>
      <x:c r="M1227" s="15" t="str">
        <x:v>candidate / staging-only / not canon / not deployed / authority none</x:v>
      </x:c>
      <x:c r="N1227" s="15" t="str">
        <x:v>Dispatch to NotionMoth: complete Graph Node Proposals x Drive; return deltas only, receipts required.</x:v>
      </x:c>
      <x:c r="O1227" s="15" t="str">
        <x:v>AF-KG-H07-S02</x:v>
      </x:c>
      <x:c r="P1227" s="15" t="str">
        <x:v>Unverified</x:v>
      </x:c>
      <x:c r="Q1227" s="15" t="str">
        <x:v>Not checked</x:v>
      </x:c>
      <x:c r="R1227" s="15" t="str"/>
      <x:c r="S1227" s="15" t="str"/>
      <x:c r="T1227" s="15" t="str">
        <x:v>Log first source path or blocker</x:v>
      </x:c>
      <x:c r="U1227" s="12" t="str">
        <x:f>IF(OR(P1227="Unverified",Q1227="Not checked"),"BLOCKED_PENDING_RECEIPT","READY_FOR_REVIEW")</x:f>
        <x:v>BLOCKED_PENDING_RECEIPT</x:v>
      </x:c>
      <x:c r="V1227" s="12" t="str">
        <x:f>IF(J1227="DONE","RETURNED",IF(U1227="BLOCKED_PENDING_RECEIPT","SOURCE_TOUCH_REQUIRED","IN_PROGRESS"))</x:f>
        <x:v>SOURCE_TOUCH_REQUIRED</x:v>
      </x:c>
      <x:c r="W1227" s="12" t="str">
        <x:f>IF(P1227="Unverified","missing_receipt","receipt_logged")</x:f>
        <x:v>missing_receipt</x:v>
      </x:c>
      <x:c r="X1227" s="12" t="str">
        <x:f>IF(Q1227="Not checked","raw_status_missing","raw_status_logged")</x:f>
        <x:v>raw_status_missing</x:v>
      </x:c>
      <x:c r="Y1227" s="12" t="str">
        <x:f>IF(U1227="BLOCKED_PENDING_RECEIPT","Log source path or blocker; do not promote","Route to review lane")</x:f>
        <x:v>Log source path or blocker; do not promote</x:v>
      </x:c>
      <x:c r="Z1227" s="12" t="str">
        <x:f>IF(K1227="P0","Primary seat + Hashlight/Lucerna","Seat lane")</x:f>
        <x:v>Primary seat + Hashlight/Lucerna</x:v>
      </x:c>
      <x:c r="AA1227" s="12" t="str">
        <x:f>IF(R1227="","no_claim_delta","claim_delta_present")</x:f>
        <x:v>no_claim_delta</x:v>
      </x:c>
      <x:c r="AB1227" s="12" t="str">
        <x:f>IF(S1227="","no_contradiction_delta","contradiction_delta_present")</x:f>
        <x:v>no_contradiction_delta</x:v>
      </x:c>
      <x:c r="AC1227" s="12" t="str">
        <x:f>IF(OR(ISNUMBER(SEARCH("hacker",LOWER(F1227&amp;" "&amp;H1227&amp;" "&amp;I1227&amp;" "&amp;M1227&amp;" "&amp;N1227&amp;" "&amp;T1227))),ISNUMBER(SEARCH("hacking",LOWER(F1227&amp;" "&amp;H1227&amp;" "&amp;I1227&amp;" "&amp;M1227&amp;" "&amp;N1227&amp;" "&amp;T1227))),ISNUMBER(SEARCH("bank",LOWER(F1227&amp;" "&amp;H1227&amp;" "&amp;I1227&amp;" "&amp;M1227&amp;" "&amp;N1227&amp;" "&amp;T1227))),ISNUMBER(SEARCH("banking",LOWER(F1227&amp;" "&amp;H1227&amp;" "&amp;I1227&amp;" "&amp;M1227&amp;" "&amp;N1227&amp;" "&amp;T1227)))),"PRIVATE_QUARANTINE",IF(OR(ISNUMBER(SEARCH("treasury",LOWER(F1227&amp;" "&amp;H1227&amp;" "&amp;I1227&amp;" "&amp;M1227&amp;" "&amp;N1227&amp;" "&amp;T1227))),ISNUMBER(SEARCH("debt",LOWER(F1227&amp;" "&amp;H1227&amp;" "&amp;I1227&amp;" "&amp;M1227&amp;" "&amp;N1227&amp;" "&amp;T1227))),ISNUMBER(SEARCH("bond",LOWER(F1227&amp;" "&amp;H1227&amp;" "&amp;I1227&amp;" "&amp;M1227&amp;" "&amp;N1227&amp;" "&amp;T1227))),ISNUMBER(SEARCH("transaction",LOWER(F1227&amp;" "&amp;H1227&amp;" "&amp;I1227&amp;" "&amp;M1227&amp;" "&amp;N1227&amp;" "&amp;T1227)))),"PRIVATE_REVIEW","PUBLIC_CANDIDATE"))</x:f>
        <x:v>PUBLIC_CANDIDATE</x:v>
      </x:c>
      <x:c r="AD1227" s="12" t="str">
        <x:f>IF(AC1227="PRIVATE_QUARANTINE","hacker_or_bank_trigger",IF(AC1227="PRIVATE_REVIEW","finance_risk_trigger","none"))</x:f>
        <x:v>none</x:v>
      </x:c>
      <x:c r="AE1227" s="12" t="str">
        <x:f>IF(AC1227="PUBLIC_CANDIDATE","prepare_public_github_candidate",IF(AC1227="PRIVATE_REVIEW","hold_for_private_review","quarantine_private_do_not_publish"))</x:f>
        <x:v>prepare_public_github_candidate</x:v>
      </x:c>
      <x:c r="AF1227" s="12" t="str">
        <x:f>IF(AC1227="PUBLIC_CANDIDATE","TIDELOCK + Lucerna",IF(AC1227="PRIVATE_REVIEW","AtlasBrain + Lucerna","TIDELOCK + Lucerna + Human-root"))</x:f>
        <x:v>TIDELOCK + Lucerna</x:v>
      </x:c>
      <x:c r="AG1227" s="12" t="str">
        <x:f>IF(AND(AC1227="PUBLIC_CANDIDATE",U1227&lt;&gt;"BLOCKED_PENDING_RECEIPT"),"READY_AFTER_RECEIPT","NOT_READY")</x:f>
        <x:v>NOT_READY</x:v>
      </x:c>
      <x:c r="AH1227" s="12" t="str">
        <x:f>IF(AC1227="PUBLIC_CANDIDATE","none",AD1227)</x:f>
        <x:v>none</x:v>
      </x:c>
      <x:c r="AI1227" s="12" t="str">
        <x:f>IF(AC1227="PUBLIC_CANDIDATE","archive/public_candidates/"&amp;A1227,"private_quarantine/"&amp;A1227)</x:f>
        <x:v>archive/public_candidates/SWARM-09-H07-S02</x:v>
      </x:c>
      <x:c r="AJ1227" s="12" t="str">
        <x:f>IF(AC1227="PUBLIC_CANDIDATE","public by default; still not canon","private/hold; do not publish")</x:f>
        <x:v>public by default; still not canon</x:v>
      </x:c>
      <x:c r="AK1227" s="12" t="str">
        <x:f>IF(AE1227="prepare_public_github_candidate","add receipt/status then mirror","resolve blocker before any public GitHub action")</x:f>
        <x:v>add receipt/status then mirror</x:v>
      </x:c>
    </x:row>
    <x:row r="1228">
      <x:c r="A1228" s="15" t="str">
        <x:v>SWARM-09-H07-S03</x:v>
      </x:c>
      <x:c r="B1228" s="15" t="str">
        <x:v>NotionMoth</x:v>
      </x:c>
      <x:c r="C1228" s="15" t="str">
        <x:v>Notion ontology mapper</x:v>
      </x:c>
      <x:c r="D1228" s="15" t="str">
        <x:v>Graph Node Proposals</x:v>
      </x:c>
      <x:c r="E1228" s="15" t="str">
        <x:v>GitHub</x:v>
      </x:c>
      <x:c r="F1228" s="15" t="str">
        <x:v>Propose graph nodes for GitHub — NotionMoth</x:v>
      </x:c>
      <x:c r="G1228" s="15" t="str">
        <x:v>legacy schema / Notion export prep</x:v>
      </x:c>
      <x:c r="H1228" s="15" t="str">
        <x:v>source path + receipt + raw/export status + claim/edge/risk delta</x:v>
      </x:c>
      <x:c r="I1228" s="15" t="str">
        <x:v>packet/SWARM-09-H07-S03</x:v>
      </x:c>
      <x:c r="J1228" s="15" t="str">
        <x:v>TODO</x:v>
      </x:c>
      <x:c r="K1228" s="15" t="str">
        <x:v>P0</x:v>
      </x:c>
      <x:c r="L1228" s="15" t="str">
        <x:v>Done only when evidence is logged, contradiction search is noted, and boundary stamp remains non-canon unless ratified</x:v>
      </x:c>
      <x:c r="M1228" s="15" t="str">
        <x:v>candidate / staging-only / not canon / not deployed / authority none</x:v>
      </x:c>
      <x:c r="N1228" s="15" t="str">
        <x:v>Dispatch to NotionMoth: complete Graph Node Proposals x GitHub; return deltas only, receipts required.</x:v>
      </x:c>
      <x:c r="O1228" s="15" t="str">
        <x:v>AF-KG-H07-S03</x:v>
      </x:c>
      <x:c r="P1228" s="15" t="str">
        <x:v>Unverified</x:v>
      </x:c>
      <x:c r="Q1228" s="15" t="str">
        <x:v>Not checked</x:v>
      </x:c>
      <x:c r="R1228" s="15" t="str"/>
      <x:c r="S1228" s="15" t="str"/>
      <x:c r="T1228" s="15" t="str">
        <x:v>Log first source path or blocker</x:v>
      </x:c>
      <x:c r="U1228" s="12" t="str">
        <x:f>IF(OR(P1228="Unverified",Q1228="Not checked"),"BLOCKED_PENDING_RECEIPT","READY_FOR_REVIEW")</x:f>
        <x:v>BLOCKED_PENDING_RECEIPT</x:v>
      </x:c>
      <x:c r="V1228" s="12" t="str">
        <x:f>IF(J1228="DONE","RETURNED",IF(U1228="BLOCKED_PENDING_RECEIPT","SOURCE_TOUCH_REQUIRED","IN_PROGRESS"))</x:f>
        <x:v>SOURCE_TOUCH_REQUIRED</x:v>
      </x:c>
      <x:c r="W1228" s="12" t="str">
        <x:f>IF(P1228="Unverified","missing_receipt","receipt_logged")</x:f>
        <x:v>missing_receipt</x:v>
      </x:c>
      <x:c r="X1228" s="12" t="str">
        <x:f>IF(Q1228="Not checked","raw_status_missing","raw_status_logged")</x:f>
        <x:v>raw_status_missing</x:v>
      </x:c>
      <x:c r="Y1228" s="12" t="str">
        <x:f>IF(U1228="BLOCKED_PENDING_RECEIPT","Log source path or blocker; do not promote","Route to review lane")</x:f>
        <x:v>Log source path or blocker; do not promote</x:v>
      </x:c>
      <x:c r="Z1228" s="12" t="str">
        <x:f>IF(K1228="P0","Primary seat + Hashlight/Lucerna","Seat lane")</x:f>
        <x:v>Primary seat + Hashlight/Lucerna</x:v>
      </x:c>
      <x:c r="AA1228" s="12" t="str">
        <x:f>IF(R1228="","no_claim_delta","claim_delta_present")</x:f>
        <x:v>no_claim_delta</x:v>
      </x:c>
      <x:c r="AB1228" s="12" t="str">
        <x:f>IF(S1228="","no_contradiction_delta","contradiction_delta_present")</x:f>
        <x:v>no_contradiction_delta</x:v>
      </x:c>
      <x:c r="AC1228" s="12" t="str">
        <x:f>IF(OR(ISNUMBER(SEARCH("hacker",LOWER(F1228&amp;" "&amp;H1228&amp;" "&amp;I1228&amp;" "&amp;M1228&amp;" "&amp;N1228&amp;" "&amp;T1228))),ISNUMBER(SEARCH("hacking",LOWER(F1228&amp;" "&amp;H1228&amp;" "&amp;I1228&amp;" "&amp;M1228&amp;" "&amp;N1228&amp;" "&amp;T1228))),ISNUMBER(SEARCH("bank",LOWER(F1228&amp;" "&amp;H1228&amp;" "&amp;I1228&amp;" "&amp;M1228&amp;" "&amp;N1228&amp;" "&amp;T1228))),ISNUMBER(SEARCH("banking",LOWER(F1228&amp;" "&amp;H1228&amp;" "&amp;I1228&amp;" "&amp;M1228&amp;" "&amp;N1228&amp;" "&amp;T1228)))),"PRIVATE_QUARANTINE",IF(OR(ISNUMBER(SEARCH("treasury",LOWER(F1228&amp;" "&amp;H1228&amp;" "&amp;I1228&amp;" "&amp;M1228&amp;" "&amp;N1228&amp;" "&amp;T1228))),ISNUMBER(SEARCH("debt",LOWER(F1228&amp;" "&amp;H1228&amp;" "&amp;I1228&amp;" "&amp;M1228&amp;" "&amp;N1228&amp;" "&amp;T1228))),ISNUMBER(SEARCH("bond",LOWER(F1228&amp;" "&amp;H1228&amp;" "&amp;I1228&amp;" "&amp;M1228&amp;" "&amp;N1228&amp;" "&amp;T1228))),ISNUMBER(SEARCH("transaction",LOWER(F1228&amp;" "&amp;H1228&amp;" "&amp;I1228&amp;" "&amp;M1228&amp;" "&amp;N1228&amp;" "&amp;T1228)))),"PRIVATE_REVIEW","PUBLIC_CANDIDATE"))</x:f>
        <x:v>PUBLIC_CANDIDATE</x:v>
      </x:c>
      <x:c r="AD1228" s="12" t="str">
        <x:f>IF(AC1228="PRIVATE_QUARANTINE","hacker_or_bank_trigger",IF(AC1228="PRIVATE_REVIEW","finance_risk_trigger","none"))</x:f>
        <x:v>none</x:v>
      </x:c>
      <x:c r="AE1228" s="12" t="str">
        <x:f>IF(AC1228="PUBLIC_CANDIDATE","prepare_public_github_candidate",IF(AC1228="PRIVATE_REVIEW","hold_for_private_review","quarantine_private_do_not_publish"))</x:f>
        <x:v>prepare_public_github_candidate</x:v>
      </x:c>
      <x:c r="AF1228" s="12" t="str">
        <x:f>IF(AC1228="PUBLIC_CANDIDATE","TIDELOCK + Lucerna",IF(AC1228="PRIVATE_REVIEW","AtlasBrain + Lucerna","TIDELOCK + Lucerna + Human-root"))</x:f>
        <x:v>TIDELOCK + Lucerna</x:v>
      </x:c>
      <x:c r="AG1228" s="12" t="str">
        <x:f>IF(AND(AC1228="PUBLIC_CANDIDATE",U1228&lt;&gt;"BLOCKED_PENDING_RECEIPT"),"READY_AFTER_RECEIPT","NOT_READY")</x:f>
        <x:v>NOT_READY</x:v>
      </x:c>
      <x:c r="AH1228" s="12" t="str">
        <x:f>IF(AC1228="PUBLIC_CANDIDATE","none",AD1228)</x:f>
        <x:v>none</x:v>
      </x:c>
      <x:c r="AI1228" s="12" t="str">
        <x:f>IF(AC1228="PUBLIC_CANDIDATE","archive/public_candidates/"&amp;A1228,"private_quarantine/"&amp;A1228)</x:f>
        <x:v>archive/public_candidates/SWARM-09-H07-S03</x:v>
      </x:c>
      <x:c r="AJ1228" s="12" t="str">
        <x:f>IF(AC1228="PUBLIC_CANDIDATE","public by default; still not canon","private/hold; do not publish")</x:f>
        <x:v>public by default; still not canon</x:v>
      </x:c>
      <x:c r="AK1228" s="12" t="str">
        <x:f>IF(AE1228="prepare_public_github_candidate","add receipt/status then mirror","resolve blocker before any public GitHub action")</x:f>
        <x:v>add receipt/status then mirror</x:v>
      </x:c>
    </x:row>
    <x:row r="1229">
      <x:c r="A1229" s="15" t="str">
        <x:v>SWARM-09-H07-S04</x:v>
      </x:c>
      <x:c r="B1229" s="15" t="str">
        <x:v>NotionMoth</x:v>
      </x:c>
      <x:c r="C1229" s="15" t="str">
        <x:v>Notion ontology mapper</x:v>
      </x:c>
      <x:c r="D1229" s="15" t="str">
        <x:v>Graph Node Proposals</x:v>
      </x:c>
      <x:c r="E1229" s="15" t="str">
        <x:v>Gamma</x:v>
      </x:c>
      <x:c r="F1229" s="15" t="str">
        <x:v>Propose graph nodes for Gamma — NotionMoth</x:v>
      </x:c>
      <x:c r="G1229" s="15" t="str">
        <x:v>legacy schema / Notion export prep</x:v>
      </x:c>
      <x:c r="H1229" s="15" t="str">
        <x:v>source path + receipt + raw/export status + claim/edge/risk delta</x:v>
      </x:c>
      <x:c r="I1229" s="15" t="str">
        <x:v>packet/SWARM-09-H07-S04</x:v>
      </x:c>
      <x:c r="J1229" s="15" t="str">
        <x:v>TODO</x:v>
      </x:c>
      <x:c r="K1229" s="15" t="str">
        <x:v>P1</x:v>
      </x:c>
      <x:c r="L1229" s="15" t="str">
        <x:v>Done only when evidence is logged, contradiction search is noted, and boundary stamp remains non-canon unless ratified</x:v>
      </x:c>
      <x:c r="M1229" s="15" t="str">
        <x:v>candidate / staging-only / not canon / not deployed / authority none</x:v>
      </x:c>
      <x:c r="N1229" s="15" t="str">
        <x:v>Dispatch to NotionMoth: complete Graph Node Proposals x Gamma; return deltas only, receipts required.</x:v>
      </x:c>
      <x:c r="O1229" s="15" t="str">
        <x:v>AF-KG-H07-S04</x:v>
      </x:c>
      <x:c r="P1229" s="15" t="str">
        <x:v>Unverified</x:v>
      </x:c>
      <x:c r="Q1229" s="15" t="str">
        <x:v>Not checked</x:v>
      </x:c>
      <x:c r="R1229" s="15" t="str"/>
      <x:c r="S1229" s="15" t="str"/>
      <x:c r="T1229" s="15" t="str">
        <x:v>Log first source path or blocker</x:v>
      </x:c>
      <x:c r="U1229" s="12" t="str">
        <x:f>IF(OR(P1229="Unverified",Q1229="Not checked"),"BLOCKED_PENDING_RECEIPT","READY_FOR_REVIEW")</x:f>
        <x:v>BLOCKED_PENDING_RECEIPT</x:v>
      </x:c>
      <x:c r="V1229" s="12" t="str">
        <x:f>IF(J1229="DONE","RETURNED",IF(U1229="BLOCKED_PENDING_RECEIPT","SOURCE_TOUCH_REQUIRED","IN_PROGRESS"))</x:f>
        <x:v>SOURCE_TOUCH_REQUIRED</x:v>
      </x:c>
      <x:c r="W1229" s="12" t="str">
        <x:f>IF(P1229="Unverified","missing_receipt","receipt_logged")</x:f>
        <x:v>missing_receipt</x:v>
      </x:c>
      <x:c r="X1229" s="12" t="str">
        <x:f>IF(Q1229="Not checked","raw_status_missing","raw_status_logged")</x:f>
        <x:v>raw_status_missing</x:v>
      </x:c>
      <x:c r="Y1229" s="12" t="str">
        <x:f>IF(U1229="BLOCKED_PENDING_RECEIPT","Log source path or blocker; do not promote","Route to review lane")</x:f>
        <x:v>Log source path or blocker; do not promote</x:v>
      </x:c>
      <x:c r="Z1229" s="12" t="str">
        <x:f>IF(K1229="P0","Primary seat + Hashlight/Lucerna","Seat lane")</x:f>
        <x:v>Seat lane</x:v>
      </x:c>
      <x:c r="AA1229" s="12" t="str">
        <x:f>IF(R1229="","no_claim_delta","claim_delta_present")</x:f>
        <x:v>no_claim_delta</x:v>
      </x:c>
      <x:c r="AB1229" s="12" t="str">
        <x:f>IF(S1229="","no_contradiction_delta","contradiction_delta_present")</x:f>
        <x:v>no_contradiction_delta</x:v>
      </x:c>
      <x:c r="AC1229" s="12" t="str">
        <x:f>IF(OR(ISNUMBER(SEARCH("hacker",LOWER(F1229&amp;" "&amp;H1229&amp;" "&amp;I1229&amp;" "&amp;M1229&amp;" "&amp;N1229&amp;" "&amp;T1229))),ISNUMBER(SEARCH("hacking",LOWER(F1229&amp;" "&amp;H1229&amp;" "&amp;I1229&amp;" "&amp;M1229&amp;" "&amp;N1229&amp;" "&amp;T1229))),ISNUMBER(SEARCH("bank",LOWER(F1229&amp;" "&amp;H1229&amp;" "&amp;I1229&amp;" "&amp;M1229&amp;" "&amp;N1229&amp;" "&amp;T1229))),ISNUMBER(SEARCH("banking",LOWER(F1229&amp;" "&amp;H1229&amp;" "&amp;I1229&amp;" "&amp;M1229&amp;" "&amp;N1229&amp;" "&amp;T1229)))),"PRIVATE_QUARANTINE",IF(OR(ISNUMBER(SEARCH("treasury",LOWER(F1229&amp;" "&amp;H1229&amp;" "&amp;I1229&amp;" "&amp;M1229&amp;" "&amp;N1229&amp;" "&amp;T1229))),ISNUMBER(SEARCH("debt",LOWER(F1229&amp;" "&amp;H1229&amp;" "&amp;I1229&amp;" "&amp;M1229&amp;" "&amp;N1229&amp;" "&amp;T1229))),ISNUMBER(SEARCH("bond",LOWER(F1229&amp;" "&amp;H1229&amp;" "&amp;I1229&amp;" "&amp;M1229&amp;" "&amp;N1229&amp;" "&amp;T1229))),ISNUMBER(SEARCH("transaction",LOWER(F1229&amp;" "&amp;H1229&amp;" "&amp;I1229&amp;" "&amp;M1229&amp;" "&amp;N1229&amp;" "&amp;T1229)))),"PRIVATE_REVIEW","PUBLIC_CANDIDATE"))</x:f>
        <x:v>PUBLIC_CANDIDATE</x:v>
      </x:c>
      <x:c r="AD1229" s="12" t="str">
        <x:f>IF(AC1229="PRIVATE_QUARANTINE","hacker_or_bank_trigger",IF(AC1229="PRIVATE_REVIEW","finance_risk_trigger","none"))</x:f>
        <x:v>none</x:v>
      </x:c>
      <x:c r="AE1229" s="12" t="str">
        <x:f>IF(AC1229="PUBLIC_CANDIDATE","prepare_public_github_candidate",IF(AC1229="PRIVATE_REVIEW","hold_for_private_review","quarantine_private_do_not_publish"))</x:f>
        <x:v>prepare_public_github_candidate</x:v>
      </x:c>
      <x:c r="AF1229" s="12" t="str">
        <x:f>IF(AC1229="PUBLIC_CANDIDATE","TIDELOCK + Lucerna",IF(AC1229="PRIVATE_REVIEW","AtlasBrain + Lucerna","TIDELOCK + Lucerna + Human-root"))</x:f>
        <x:v>TIDELOCK + Lucerna</x:v>
      </x:c>
      <x:c r="AG1229" s="12" t="str">
        <x:f>IF(AND(AC1229="PUBLIC_CANDIDATE",U1229&lt;&gt;"BLOCKED_PENDING_RECEIPT"),"READY_AFTER_RECEIPT","NOT_READY")</x:f>
        <x:v>NOT_READY</x:v>
      </x:c>
      <x:c r="AH1229" s="12" t="str">
        <x:f>IF(AC1229="PUBLIC_CANDIDATE","none",AD1229)</x:f>
        <x:v>none</x:v>
      </x:c>
      <x:c r="AI1229" s="12" t="str">
        <x:f>IF(AC1229="PUBLIC_CANDIDATE","archive/public_candidates/"&amp;A1229,"private_quarantine/"&amp;A1229)</x:f>
        <x:v>archive/public_candidates/SWARM-09-H07-S04</x:v>
      </x:c>
      <x:c r="AJ1229" s="12" t="str">
        <x:f>IF(AC1229="PUBLIC_CANDIDATE","public by default; still not canon","private/hold; do not publish")</x:f>
        <x:v>public by default; still not canon</x:v>
      </x:c>
      <x:c r="AK1229" s="12" t="str">
        <x:f>IF(AE1229="prepare_public_github_candidate","add receipt/status then mirror","resolve blocker before any public GitHub action")</x:f>
        <x:v>add receipt/status then mirror</x:v>
      </x:c>
    </x:row>
    <x:row r="1230">
      <x:c r="A1230" s="15" t="str">
        <x:v>SWARM-09-H07-S05</x:v>
      </x:c>
      <x:c r="B1230" s="15" t="str">
        <x:v>NotionMoth</x:v>
      </x:c>
      <x:c r="C1230" s="15" t="str">
        <x:v>Notion ontology mapper</x:v>
      </x:c>
      <x:c r="D1230" s="15" t="str">
        <x:v>Graph Node Proposals</x:v>
      </x:c>
      <x:c r="E1230" s="15" t="str">
        <x:v>Chat</x:v>
      </x:c>
      <x:c r="F1230" s="15" t="str">
        <x:v>Propose graph nodes for Chat — NotionMoth</x:v>
      </x:c>
      <x:c r="G1230" s="15" t="str">
        <x:v>legacy schema / Notion export prep</x:v>
      </x:c>
      <x:c r="H1230" s="15" t="str">
        <x:v>source path + receipt + raw/export status + claim/edge/risk delta</x:v>
      </x:c>
      <x:c r="I1230" s="15" t="str">
        <x:v>packet/SWARM-09-H07-S05</x:v>
      </x:c>
      <x:c r="J1230" s="15" t="str">
        <x:v>TODO</x:v>
      </x:c>
      <x:c r="K1230" s="15" t="str">
        <x:v>P1</x:v>
      </x:c>
      <x:c r="L1230" s="15" t="str">
        <x:v>Done only when evidence is logged, contradiction search is noted, and boundary stamp remains non-canon unless ratified</x:v>
      </x:c>
      <x:c r="M1230" s="15" t="str">
        <x:v>candidate / staging-only / not canon / not deployed / authority none</x:v>
      </x:c>
      <x:c r="N1230" s="15" t="str">
        <x:v>Dispatch to NotionMoth: complete Graph Node Proposals x Chat; return deltas only, receipts required.</x:v>
      </x:c>
      <x:c r="O1230" s="15" t="str">
        <x:v>AF-KG-H07-S05</x:v>
      </x:c>
      <x:c r="P1230" s="15" t="str">
        <x:v>Unverified</x:v>
      </x:c>
      <x:c r="Q1230" s="15" t="str">
        <x:v>Not checked</x:v>
      </x:c>
      <x:c r="R1230" s="15" t="str"/>
      <x:c r="S1230" s="15" t="str"/>
      <x:c r="T1230" s="15" t="str">
        <x:v>Log first source path or blocker</x:v>
      </x:c>
      <x:c r="U1230" s="12" t="str">
        <x:f>IF(OR(P1230="Unverified",Q1230="Not checked"),"BLOCKED_PENDING_RECEIPT","READY_FOR_REVIEW")</x:f>
        <x:v>BLOCKED_PENDING_RECEIPT</x:v>
      </x:c>
      <x:c r="V1230" s="12" t="str">
        <x:f>IF(J1230="DONE","RETURNED",IF(U1230="BLOCKED_PENDING_RECEIPT","SOURCE_TOUCH_REQUIRED","IN_PROGRESS"))</x:f>
        <x:v>SOURCE_TOUCH_REQUIRED</x:v>
      </x:c>
      <x:c r="W1230" s="12" t="str">
        <x:f>IF(P1230="Unverified","missing_receipt","receipt_logged")</x:f>
        <x:v>missing_receipt</x:v>
      </x:c>
      <x:c r="X1230" s="12" t="str">
        <x:f>IF(Q1230="Not checked","raw_status_missing","raw_status_logged")</x:f>
        <x:v>raw_status_missing</x:v>
      </x:c>
      <x:c r="Y1230" s="12" t="str">
        <x:f>IF(U1230="BLOCKED_PENDING_RECEIPT","Log source path or blocker; do not promote","Route to review lane")</x:f>
        <x:v>Log source path or blocker; do not promote</x:v>
      </x:c>
      <x:c r="Z1230" s="12" t="str">
        <x:f>IF(K1230="P0","Primary seat + Hashlight/Lucerna","Seat lane")</x:f>
        <x:v>Seat lane</x:v>
      </x:c>
      <x:c r="AA1230" s="12" t="str">
        <x:f>IF(R1230="","no_claim_delta","claim_delta_present")</x:f>
        <x:v>no_claim_delta</x:v>
      </x:c>
      <x:c r="AB1230" s="12" t="str">
        <x:f>IF(S1230="","no_contradiction_delta","contradiction_delta_present")</x:f>
        <x:v>no_contradiction_delta</x:v>
      </x:c>
      <x:c r="AC1230" s="12" t="str">
        <x:f>IF(OR(ISNUMBER(SEARCH("hacker",LOWER(F1230&amp;" "&amp;H1230&amp;" "&amp;I1230&amp;" "&amp;M1230&amp;" "&amp;N1230&amp;" "&amp;T1230))),ISNUMBER(SEARCH("hacking",LOWER(F1230&amp;" "&amp;H1230&amp;" "&amp;I1230&amp;" "&amp;M1230&amp;" "&amp;N1230&amp;" "&amp;T1230))),ISNUMBER(SEARCH("bank",LOWER(F1230&amp;" "&amp;H1230&amp;" "&amp;I1230&amp;" "&amp;M1230&amp;" "&amp;N1230&amp;" "&amp;T1230))),ISNUMBER(SEARCH("banking",LOWER(F1230&amp;" "&amp;H1230&amp;" "&amp;I1230&amp;" "&amp;M1230&amp;" "&amp;N1230&amp;" "&amp;T1230)))),"PRIVATE_QUARANTINE",IF(OR(ISNUMBER(SEARCH("treasury",LOWER(F1230&amp;" "&amp;H1230&amp;" "&amp;I1230&amp;" "&amp;M1230&amp;" "&amp;N1230&amp;" "&amp;T1230))),ISNUMBER(SEARCH("debt",LOWER(F1230&amp;" "&amp;H1230&amp;" "&amp;I1230&amp;" "&amp;M1230&amp;" "&amp;N1230&amp;" "&amp;T1230))),ISNUMBER(SEARCH("bond",LOWER(F1230&amp;" "&amp;H1230&amp;" "&amp;I1230&amp;" "&amp;M1230&amp;" "&amp;N1230&amp;" "&amp;T1230))),ISNUMBER(SEARCH("transaction",LOWER(F1230&amp;" "&amp;H1230&amp;" "&amp;I1230&amp;" "&amp;M1230&amp;" "&amp;N1230&amp;" "&amp;T1230)))),"PRIVATE_REVIEW","PUBLIC_CANDIDATE"))</x:f>
        <x:v>PUBLIC_CANDIDATE</x:v>
      </x:c>
      <x:c r="AD1230" s="12" t="str">
        <x:f>IF(AC1230="PRIVATE_QUARANTINE","hacker_or_bank_trigger",IF(AC1230="PRIVATE_REVIEW","finance_risk_trigger","none"))</x:f>
        <x:v>none</x:v>
      </x:c>
      <x:c r="AE1230" s="12" t="str">
        <x:f>IF(AC1230="PUBLIC_CANDIDATE","prepare_public_github_candidate",IF(AC1230="PRIVATE_REVIEW","hold_for_private_review","quarantine_private_do_not_publish"))</x:f>
        <x:v>prepare_public_github_candidate</x:v>
      </x:c>
      <x:c r="AF1230" s="12" t="str">
        <x:f>IF(AC1230="PUBLIC_CANDIDATE","TIDELOCK + Lucerna",IF(AC1230="PRIVATE_REVIEW","AtlasBrain + Lucerna","TIDELOCK + Lucerna + Human-root"))</x:f>
        <x:v>TIDELOCK + Lucerna</x:v>
      </x:c>
      <x:c r="AG1230" s="12" t="str">
        <x:f>IF(AND(AC1230="PUBLIC_CANDIDATE",U1230&lt;&gt;"BLOCKED_PENDING_RECEIPT"),"READY_AFTER_RECEIPT","NOT_READY")</x:f>
        <x:v>NOT_READY</x:v>
      </x:c>
      <x:c r="AH1230" s="12" t="str">
        <x:f>IF(AC1230="PUBLIC_CANDIDATE","none",AD1230)</x:f>
        <x:v>none</x:v>
      </x:c>
      <x:c r="AI1230" s="12" t="str">
        <x:f>IF(AC1230="PUBLIC_CANDIDATE","archive/public_candidates/"&amp;A1230,"private_quarantine/"&amp;A1230)</x:f>
        <x:v>archive/public_candidates/SWARM-09-H07-S05</x:v>
      </x:c>
      <x:c r="AJ1230" s="12" t="str">
        <x:f>IF(AC1230="PUBLIC_CANDIDATE","public by default; still not canon","private/hold; do not publish")</x:f>
        <x:v>public by default; still not canon</x:v>
      </x:c>
      <x:c r="AK1230" s="12" t="str">
        <x:f>IF(AE1230="prepare_public_github_candidate","add receipt/status then mirror","resolve blocker before any public GitHub action")</x:f>
        <x:v>add receipt/status then mirror</x:v>
      </x:c>
    </x:row>
    <x:row r="1231">
      <x:c r="A1231" s="15" t="str">
        <x:v>SWARM-09-H07-S06</x:v>
      </x:c>
      <x:c r="B1231" s="15" t="str">
        <x:v>NotionMoth</x:v>
      </x:c>
      <x:c r="C1231" s="15" t="str">
        <x:v>Notion ontology mapper</x:v>
      </x:c>
      <x:c r="D1231" s="15" t="str">
        <x:v>Graph Node Proposals</x:v>
      </x:c>
      <x:c r="E1231" s="15" t="str">
        <x:v>External Web</x:v>
      </x:c>
      <x:c r="F1231" s="15" t="str">
        <x:v>Propose graph nodes for External Web — NotionMoth</x:v>
      </x:c>
      <x:c r="G1231" s="15" t="str">
        <x:v>legacy schema / Notion export prep</x:v>
      </x:c>
      <x:c r="H1231" s="15" t="str">
        <x:v>source path + receipt + raw/export status + claim/edge/risk delta</x:v>
      </x:c>
      <x:c r="I1231" s="15" t="str">
        <x:v>packet/SWARM-09-H07-S06</x:v>
      </x:c>
      <x:c r="J1231" s="15" t="str">
        <x:v>TODO</x:v>
      </x:c>
      <x:c r="K1231" s="15" t="str">
        <x:v>P1</x:v>
      </x:c>
      <x:c r="L1231" s="15" t="str">
        <x:v>Done only when evidence is logged, contradiction search is noted, and boundary stamp remains non-canon unless ratified</x:v>
      </x:c>
      <x:c r="M1231" s="15" t="str">
        <x:v>candidate / staging-only / not canon / not deployed / authority none</x:v>
      </x:c>
      <x:c r="N1231" s="15" t="str">
        <x:v>Dispatch to NotionMoth: complete Graph Node Proposals x External Web; return deltas only, receipts required.</x:v>
      </x:c>
      <x:c r="O1231" s="15" t="str">
        <x:v>AF-KG-H07-S06</x:v>
      </x:c>
      <x:c r="P1231" s="15" t="str">
        <x:v>Unverified</x:v>
      </x:c>
      <x:c r="Q1231" s="15" t="str">
        <x:v>Not checked</x:v>
      </x:c>
      <x:c r="R1231" s="15" t="str"/>
      <x:c r="S1231" s="15" t="str"/>
      <x:c r="T1231" s="15" t="str">
        <x:v>Log first source path or blocker</x:v>
      </x:c>
      <x:c r="U1231" s="12" t="str">
        <x:f>IF(OR(P1231="Unverified",Q1231="Not checked"),"BLOCKED_PENDING_RECEIPT","READY_FOR_REVIEW")</x:f>
        <x:v>BLOCKED_PENDING_RECEIPT</x:v>
      </x:c>
      <x:c r="V1231" s="12" t="str">
        <x:f>IF(J1231="DONE","RETURNED",IF(U1231="BLOCKED_PENDING_RECEIPT","SOURCE_TOUCH_REQUIRED","IN_PROGRESS"))</x:f>
        <x:v>SOURCE_TOUCH_REQUIRED</x:v>
      </x:c>
      <x:c r="W1231" s="12" t="str">
        <x:f>IF(P1231="Unverified","missing_receipt","receipt_logged")</x:f>
        <x:v>missing_receipt</x:v>
      </x:c>
      <x:c r="X1231" s="12" t="str">
        <x:f>IF(Q1231="Not checked","raw_status_missing","raw_status_logged")</x:f>
        <x:v>raw_status_missing</x:v>
      </x:c>
      <x:c r="Y1231" s="12" t="str">
        <x:f>IF(U1231="BLOCKED_PENDING_RECEIPT","Log source path or blocker; do not promote","Route to review lane")</x:f>
        <x:v>Log source path or blocker; do not promote</x:v>
      </x:c>
      <x:c r="Z1231" s="12" t="str">
        <x:f>IF(K1231="P0","Primary seat + Hashlight/Lucerna","Seat lane")</x:f>
        <x:v>Seat lane</x:v>
      </x:c>
      <x:c r="AA1231" s="12" t="str">
        <x:f>IF(R1231="","no_claim_delta","claim_delta_present")</x:f>
        <x:v>no_claim_delta</x:v>
      </x:c>
      <x:c r="AB1231" s="12" t="str">
        <x:f>IF(S1231="","no_contradiction_delta","contradiction_delta_present")</x:f>
        <x:v>no_contradiction_delta</x:v>
      </x:c>
      <x:c r="AC1231" s="12" t="str">
        <x:f>IF(OR(ISNUMBER(SEARCH("hacker",LOWER(F1231&amp;" "&amp;H1231&amp;" "&amp;I1231&amp;" "&amp;M1231&amp;" "&amp;N1231&amp;" "&amp;T1231))),ISNUMBER(SEARCH("hacking",LOWER(F1231&amp;" "&amp;H1231&amp;" "&amp;I1231&amp;" "&amp;M1231&amp;" "&amp;N1231&amp;" "&amp;T1231))),ISNUMBER(SEARCH("bank",LOWER(F1231&amp;" "&amp;H1231&amp;" "&amp;I1231&amp;" "&amp;M1231&amp;" "&amp;N1231&amp;" "&amp;T1231))),ISNUMBER(SEARCH("banking",LOWER(F1231&amp;" "&amp;H1231&amp;" "&amp;I1231&amp;" "&amp;M1231&amp;" "&amp;N1231&amp;" "&amp;T1231)))),"PRIVATE_QUARANTINE",IF(OR(ISNUMBER(SEARCH("treasury",LOWER(F1231&amp;" "&amp;H1231&amp;" "&amp;I1231&amp;" "&amp;M1231&amp;" "&amp;N1231&amp;" "&amp;T1231))),ISNUMBER(SEARCH("debt",LOWER(F1231&amp;" "&amp;H1231&amp;" "&amp;I1231&amp;" "&amp;M1231&amp;" "&amp;N1231&amp;" "&amp;T1231))),ISNUMBER(SEARCH("bond",LOWER(F1231&amp;" "&amp;H1231&amp;" "&amp;I1231&amp;" "&amp;M1231&amp;" "&amp;N1231&amp;" "&amp;T1231))),ISNUMBER(SEARCH("transaction",LOWER(F1231&amp;" "&amp;H1231&amp;" "&amp;I1231&amp;" "&amp;M1231&amp;" "&amp;N1231&amp;" "&amp;T1231)))),"PRIVATE_REVIEW","PUBLIC_CANDIDATE"))</x:f>
        <x:v>PUBLIC_CANDIDATE</x:v>
      </x:c>
      <x:c r="AD1231" s="12" t="str">
        <x:f>IF(AC1231="PRIVATE_QUARANTINE","hacker_or_bank_trigger",IF(AC1231="PRIVATE_REVIEW","finance_risk_trigger","none"))</x:f>
        <x:v>none</x:v>
      </x:c>
      <x:c r="AE1231" s="12" t="str">
        <x:f>IF(AC1231="PUBLIC_CANDIDATE","prepare_public_github_candidate",IF(AC1231="PRIVATE_REVIEW","hold_for_private_review","quarantine_private_do_not_publish"))</x:f>
        <x:v>prepare_public_github_candidate</x:v>
      </x:c>
      <x:c r="AF1231" s="12" t="str">
        <x:f>IF(AC1231="PUBLIC_CANDIDATE","TIDELOCK + Lucerna",IF(AC1231="PRIVATE_REVIEW","AtlasBrain + Lucerna","TIDELOCK + Lucerna + Human-root"))</x:f>
        <x:v>TIDELOCK + Lucerna</x:v>
      </x:c>
      <x:c r="AG1231" s="12" t="str">
        <x:f>IF(AND(AC1231="PUBLIC_CANDIDATE",U1231&lt;&gt;"BLOCKED_PENDING_RECEIPT"),"READY_AFTER_RECEIPT","NOT_READY")</x:f>
        <x:v>NOT_READY</x:v>
      </x:c>
      <x:c r="AH1231" s="12" t="str">
        <x:f>IF(AC1231="PUBLIC_CANDIDATE","none",AD1231)</x:f>
        <x:v>none</x:v>
      </x:c>
      <x:c r="AI1231" s="12" t="str">
        <x:f>IF(AC1231="PUBLIC_CANDIDATE","archive/public_candidates/"&amp;A1231,"private_quarantine/"&amp;A1231)</x:f>
        <x:v>archive/public_candidates/SWARM-09-H07-S06</x:v>
      </x:c>
      <x:c r="AJ1231" s="12" t="str">
        <x:f>IF(AC1231="PUBLIC_CANDIDATE","public by default; still not canon","private/hold; do not publish")</x:f>
        <x:v>public by default; still not canon</x:v>
      </x:c>
      <x:c r="AK1231" s="12" t="str">
        <x:f>IF(AE1231="prepare_public_github_candidate","add receipt/status then mirror","resolve blocker before any public GitHub action")</x:f>
        <x:v>add receipt/status then mirror</x:v>
      </x:c>
    </x:row>
    <x:row r="1232">
      <x:c r="A1232" s="15" t="str">
        <x:v>SWARM-09-H07-S07</x:v>
      </x:c>
      <x:c r="B1232" s="15" t="str">
        <x:v>NotionMoth</x:v>
      </x:c>
      <x:c r="C1232" s="15" t="str">
        <x:v>Notion ontology mapper</x:v>
      </x:c>
      <x:c r="D1232" s="15" t="str">
        <x:v>Graph Node Proposals</x:v>
      </x:c>
      <x:c r="E1232" s="15" t="str">
        <x:v>Planetarium</x:v>
      </x:c>
      <x:c r="F1232" s="15" t="str">
        <x:v>Propose graph nodes for Planetarium — NotionMoth</x:v>
      </x:c>
      <x:c r="G1232" s="15" t="str">
        <x:v>legacy schema / Notion export prep</x:v>
      </x:c>
      <x:c r="H1232" s="15" t="str">
        <x:v>source path + receipt + raw/export status + claim/edge/risk delta</x:v>
      </x:c>
      <x:c r="I1232" s="15" t="str">
        <x:v>packet/SWARM-09-H07-S07</x:v>
      </x:c>
      <x:c r="J1232" s="15" t="str">
        <x:v>TODO</x:v>
      </x:c>
      <x:c r="K1232" s="15" t="str">
        <x:v>P1</x:v>
      </x:c>
      <x:c r="L1232" s="15" t="str">
        <x:v>Done only when evidence is logged, contradiction search is noted, and boundary stamp remains non-canon unless ratified</x:v>
      </x:c>
      <x:c r="M1232" s="15" t="str">
        <x:v>candidate / staging-only / not canon / not deployed / authority none</x:v>
      </x:c>
      <x:c r="N1232" s="15" t="str">
        <x:v>Dispatch to NotionMoth: complete Graph Node Proposals x Planetarium; return deltas only, receipts required.</x:v>
      </x:c>
      <x:c r="O1232" s="15" t="str">
        <x:v>AF-KG-H07-S07</x:v>
      </x:c>
      <x:c r="P1232" s="15" t="str">
        <x:v>Unverified</x:v>
      </x:c>
      <x:c r="Q1232" s="15" t="str">
        <x:v>Not checked</x:v>
      </x:c>
      <x:c r="R1232" s="15" t="str"/>
      <x:c r="S1232" s="15" t="str"/>
      <x:c r="T1232" s="15" t="str">
        <x:v>Log first source path or blocker</x:v>
      </x:c>
      <x:c r="U1232" s="12" t="str">
        <x:f>IF(OR(P1232="Unverified",Q1232="Not checked"),"BLOCKED_PENDING_RECEIPT","READY_FOR_REVIEW")</x:f>
        <x:v>BLOCKED_PENDING_RECEIPT</x:v>
      </x:c>
      <x:c r="V1232" s="12" t="str">
        <x:f>IF(J1232="DONE","RETURNED",IF(U1232="BLOCKED_PENDING_RECEIPT","SOURCE_TOUCH_REQUIRED","IN_PROGRESS"))</x:f>
        <x:v>SOURCE_TOUCH_REQUIRED</x:v>
      </x:c>
      <x:c r="W1232" s="12" t="str">
        <x:f>IF(P1232="Unverified","missing_receipt","receipt_logged")</x:f>
        <x:v>missing_receipt</x:v>
      </x:c>
      <x:c r="X1232" s="12" t="str">
        <x:f>IF(Q1232="Not checked","raw_status_missing","raw_status_logged")</x:f>
        <x:v>raw_status_missing</x:v>
      </x:c>
      <x:c r="Y1232" s="12" t="str">
        <x:f>IF(U1232="BLOCKED_PENDING_RECEIPT","Log source path or blocker; do not promote","Route to review lane")</x:f>
        <x:v>Log source path or blocker; do not promote</x:v>
      </x:c>
      <x:c r="Z1232" s="12" t="str">
        <x:f>IF(K1232="P0","Primary seat + Hashlight/Lucerna","Seat lane")</x:f>
        <x:v>Seat lane</x:v>
      </x:c>
      <x:c r="AA1232" s="12" t="str">
        <x:f>IF(R1232="","no_claim_delta","claim_delta_present")</x:f>
        <x:v>no_claim_delta</x:v>
      </x:c>
      <x:c r="AB1232" s="12" t="str">
        <x:f>IF(S1232="","no_contradiction_delta","contradiction_delta_present")</x:f>
        <x:v>no_contradiction_delta</x:v>
      </x:c>
      <x:c r="AC1232" s="12" t="str">
        <x:f>IF(OR(ISNUMBER(SEARCH("hacker",LOWER(F1232&amp;" "&amp;H1232&amp;" "&amp;I1232&amp;" "&amp;M1232&amp;" "&amp;N1232&amp;" "&amp;T1232))),ISNUMBER(SEARCH("hacking",LOWER(F1232&amp;" "&amp;H1232&amp;" "&amp;I1232&amp;" "&amp;M1232&amp;" "&amp;N1232&amp;" "&amp;T1232))),ISNUMBER(SEARCH("bank",LOWER(F1232&amp;" "&amp;H1232&amp;" "&amp;I1232&amp;" "&amp;M1232&amp;" "&amp;N1232&amp;" "&amp;T1232))),ISNUMBER(SEARCH("banking",LOWER(F1232&amp;" "&amp;H1232&amp;" "&amp;I1232&amp;" "&amp;M1232&amp;" "&amp;N1232&amp;" "&amp;T1232)))),"PRIVATE_QUARANTINE",IF(OR(ISNUMBER(SEARCH("treasury",LOWER(F1232&amp;" "&amp;H1232&amp;" "&amp;I1232&amp;" "&amp;M1232&amp;" "&amp;N1232&amp;" "&amp;T1232))),ISNUMBER(SEARCH("debt",LOWER(F1232&amp;" "&amp;H1232&amp;" "&amp;I1232&amp;" "&amp;M1232&amp;" "&amp;N1232&amp;" "&amp;T1232))),ISNUMBER(SEARCH("bond",LOWER(F1232&amp;" "&amp;H1232&amp;" "&amp;I1232&amp;" "&amp;M1232&amp;" "&amp;N1232&amp;" "&amp;T1232))),ISNUMBER(SEARCH("transaction",LOWER(F1232&amp;" "&amp;H1232&amp;" "&amp;I1232&amp;" "&amp;M1232&amp;" "&amp;N1232&amp;" "&amp;T1232)))),"PRIVATE_REVIEW","PUBLIC_CANDIDATE"))</x:f>
        <x:v>PUBLIC_CANDIDATE</x:v>
      </x:c>
      <x:c r="AD1232" s="12" t="str">
        <x:f>IF(AC1232="PRIVATE_QUARANTINE","hacker_or_bank_trigger",IF(AC1232="PRIVATE_REVIEW","finance_risk_trigger","none"))</x:f>
        <x:v>none</x:v>
      </x:c>
      <x:c r="AE1232" s="12" t="str">
        <x:f>IF(AC1232="PUBLIC_CANDIDATE","prepare_public_github_candidate",IF(AC1232="PRIVATE_REVIEW","hold_for_private_review","quarantine_private_do_not_publish"))</x:f>
        <x:v>prepare_public_github_candidate</x:v>
      </x:c>
      <x:c r="AF1232" s="12" t="str">
        <x:f>IF(AC1232="PUBLIC_CANDIDATE","TIDELOCK + Lucerna",IF(AC1232="PRIVATE_REVIEW","AtlasBrain + Lucerna","TIDELOCK + Lucerna + Human-root"))</x:f>
        <x:v>TIDELOCK + Lucerna</x:v>
      </x:c>
      <x:c r="AG1232" s="12" t="str">
        <x:f>IF(AND(AC1232="PUBLIC_CANDIDATE",U1232&lt;&gt;"BLOCKED_PENDING_RECEIPT"),"READY_AFTER_RECEIPT","NOT_READY")</x:f>
        <x:v>NOT_READY</x:v>
      </x:c>
      <x:c r="AH1232" s="12" t="str">
        <x:f>IF(AC1232="PUBLIC_CANDIDATE","none",AD1232)</x:f>
        <x:v>none</x:v>
      </x:c>
      <x:c r="AI1232" s="12" t="str">
        <x:f>IF(AC1232="PUBLIC_CANDIDATE","archive/public_candidates/"&amp;A1232,"private_quarantine/"&amp;A1232)</x:f>
        <x:v>archive/public_candidates/SWARM-09-H07-S07</x:v>
      </x:c>
      <x:c r="AJ1232" s="12" t="str">
        <x:f>IF(AC1232="PUBLIC_CANDIDATE","public by default; still not canon","private/hold; do not publish")</x:f>
        <x:v>public by default; still not canon</x:v>
      </x:c>
      <x:c r="AK1232" s="12" t="str">
        <x:f>IF(AE1232="prepare_public_github_candidate","add receipt/status then mirror","resolve blocker before any public GitHub action")</x:f>
        <x:v>add receipt/status then mirror</x:v>
      </x:c>
    </x:row>
    <x:row r="1233">
      <x:c r="A1233" s="15" t="str">
        <x:v>SWARM-09-H07-S08</x:v>
      </x:c>
      <x:c r="B1233" s="15" t="str">
        <x:v>NotionMoth</x:v>
      </x:c>
      <x:c r="C1233" s="15" t="str">
        <x:v>Notion ontology mapper</x:v>
      </x:c>
      <x:c r="D1233" s="15" t="str">
        <x:v>Graph Node Proposals</x:v>
      </x:c>
      <x:c r="E1233" s="15" t="str">
        <x:v>Sheldonbrain</x:v>
      </x:c>
      <x:c r="F1233" s="15" t="str">
        <x:v>Propose graph nodes for Sheldonbrain — NotionMoth</x:v>
      </x:c>
      <x:c r="G1233" s="15" t="str">
        <x:v>legacy schema / Notion export prep</x:v>
      </x:c>
      <x:c r="H1233" s="15" t="str">
        <x:v>source path + receipt + raw/export status + claim/edge/risk delta</x:v>
      </x:c>
      <x:c r="I1233" s="15" t="str">
        <x:v>packet/SWARM-09-H07-S08</x:v>
      </x:c>
      <x:c r="J1233" s="15" t="str">
        <x:v>TODO</x:v>
      </x:c>
      <x:c r="K1233" s="15" t="str">
        <x:v>P1</x:v>
      </x:c>
      <x:c r="L1233" s="15" t="str">
        <x:v>Done only when evidence is logged, contradiction search is noted, and boundary stamp remains non-canon unless ratified</x:v>
      </x:c>
      <x:c r="M1233" s="15" t="str">
        <x:v>candidate / staging-only / not canon / not deployed / authority none</x:v>
      </x:c>
      <x:c r="N1233" s="15" t="str">
        <x:v>Dispatch to NotionMoth: complete Graph Node Proposals x Sheldonbrain; return deltas only, receipts required.</x:v>
      </x:c>
      <x:c r="O1233" s="15" t="str">
        <x:v>AF-KG-H07-S08</x:v>
      </x:c>
      <x:c r="P1233" s="15" t="str">
        <x:v>Unverified</x:v>
      </x:c>
      <x:c r="Q1233" s="15" t="str">
        <x:v>Not checked</x:v>
      </x:c>
      <x:c r="R1233" s="15" t="str"/>
      <x:c r="S1233" s="15" t="str"/>
      <x:c r="T1233" s="15" t="str">
        <x:v>Log first source path or blocker</x:v>
      </x:c>
      <x:c r="U1233" s="12" t="str">
        <x:f>IF(OR(P1233="Unverified",Q1233="Not checked"),"BLOCKED_PENDING_RECEIPT","READY_FOR_REVIEW")</x:f>
        <x:v>BLOCKED_PENDING_RECEIPT</x:v>
      </x:c>
      <x:c r="V1233" s="12" t="str">
        <x:f>IF(J1233="DONE","RETURNED",IF(U1233="BLOCKED_PENDING_RECEIPT","SOURCE_TOUCH_REQUIRED","IN_PROGRESS"))</x:f>
        <x:v>SOURCE_TOUCH_REQUIRED</x:v>
      </x:c>
      <x:c r="W1233" s="12" t="str">
        <x:f>IF(P1233="Unverified","missing_receipt","receipt_logged")</x:f>
        <x:v>missing_receipt</x:v>
      </x:c>
      <x:c r="X1233" s="12" t="str">
        <x:f>IF(Q1233="Not checked","raw_status_missing","raw_status_logged")</x:f>
        <x:v>raw_status_missing</x:v>
      </x:c>
      <x:c r="Y1233" s="12" t="str">
        <x:f>IF(U1233="BLOCKED_PENDING_RECEIPT","Log source path or blocker; do not promote","Route to review lane")</x:f>
        <x:v>Log source path or blocker; do not promote</x:v>
      </x:c>
      <x:c r="Z1233" s="12" t="str">
        <x:f>IF(K1233="P0","Primary seat + Hashlight/Lucerna","Seat lane")</x:f>
        <x:v>Seat lane</x:v>
      </x:c>
      <x:c r="AA1233" s="12" t="str">
        <x:f>IF(R1233="","no_claim_delta","claim_delta_present")</x:f>
        <x:v>no_claim_delta</x:v>
      </x:c>
      <x:c r="AB1233" s="12" t="str">
        <x:f>IF(S1233="","no_contradiction_delta","contradiction_delta_present")</x:f>
        <x:v>no_contradiction_delta</x:v>
      </x:c>
      <x:c r="AC1233" s="12" t="str">
        <x:f>IF(OR(ISNUMBER(SEARCH("hacker",LOWER(F1233&amp;" "&amp;H1233&amp;" "&amp;I1233&amp;" "&amp;M1233&amp;" "&amp;N1233&amp;" "&amp;T1233))),ISNUMBER(SEARCH("hacking",LOWER(F1233&amp;" "&amp;H1233&amp;" "&amp;I1233&amp;" "&amp;M1233&amp;" "&amp;N1233&amp;" "&amp;T1233))),ISNUMBER(SEARCH("bank",LOWER(F1233&amp;" "&amp;H1233&amp;" "&amp;I1233&amp;" "&amp;M1233&amp;" "&amp;N1233&amp;" "&amp;T1233))),ISNUMBER(SEARCH("banking",LOWER(F1233&amp;" "&amp;H1233&amp;" "&amp;I1233&amp;" "&amp;M1233&amp;" "&amp;N1233&amp;" "&amp;T1233)))),"PRIVATE_QUARANTINE",IF(OR(ISNUMBER(SEARCH("treasury",LOWER(F1233&amp;" "&amp;H1233&amp;" "&amp;I1233&amp;" "&amp;M1233&amp;" "&amp;N1233&amp;" "&amp;T1233))),ISNUMBER(SEARCH("debt",LOWER(F1233&amp;" "&amp;H1233&amp;" "&amp;I1233&amp;" "&amp;M1233&amp;" "&amp;N1233&amp;" "&amp;T1233))),ISNUMBER(SEARCH("bond",LOWER(F1233&amp;" "&amp;H1233&amp;" "&amp;I1233&amp;" "&amp;M1233&amp;" "&amp;N1233&amp;" "&amp;T1233))),ISNUMBER(SEARCH("transaction",LOWER(F1233&amp;" "&amp;H1233&amp;" "&amp;I1233&amp;" "&amp;M1233&amp;" "&amp;N1233&amp;" "&amp;T1233)))),"PRIVATE_REVIEW","PUBLIC_CANDIDATE"))</x:f>
        <x:v>PUBLIC_CANDIDATE</x:v>
      </x:c>
      <x:c r="AD1233" s="12" t="str">
        <x:f>IF(AC1233="PRIVATE_QUARANTINE","hacker_or_bank_trigger",IF(AC1233="PRIVATE_REVIEW","finance_risk_trigger","none"))</x:f>
        <x:v>none</x:v>
      </x:c>
      <x:c r="AE1233" s="12" t="str">
        <x:f>IF(AC1233="PUBLIC_CANDIDATE","prepare_public_github_candidate",IF(AC1233="PRIVATE_REVIEW","hold_for_private_review","quarantine_private_do_not_publish"))</x:f>
        <x:v>prepare_public_github_candidate</x:v>
      </x:c>
      <x:c r="AF1233" s="12" t="str">
        <x:f>IF(AC1233="PUBLIC_CANDIDATE","TIDELOCK + Lucerna",IF(AC1233="PRIVATE_REVIEW","AtlasBrain + Lucerna","TIDELOCK + Lucerna + Human-root"))</x:f>
        <x:v>TIDELOCK + Lucerna</x:v>
      </x:c>
      <x:c r="AG1233" s="12" t="str">
        <x:f>IF(AND(AC1233="PUBLIC_CANDIDATE",U1233&lt;&gt;"BLOCKED_PENDING_RECEIPT"),"READY_AFTER_RECEIPT","NOT_READY")</x:f>
        <x:v>NOT_READY</x:v>
      </x:c>
      <x:c r="AH1233" s="12" t="str">
        <x:f>IF(AC1233="PUBLIC_CANDIDATE","none",AD1233)</x:f>
        <x:v>none</x:v>
      </x:c>
      <x:c r="AI1233" s="12" t="str">
        <x:f>IF(AC1233="PUBLIC_CANDIDATE","archive/public_candidates/"&amp;A1233,"private_quarantine/"&amp;A1233)</x:f>
        <x:v>archive/public_candidates/SWARM-09-H07-S08</x:v>
      </x:c>
      <x:c r="AJ1233" s="12" t="str">
        <x:f>IF(AC1233="PUBLIC_CANDIDATE","public by default; still not canon","private/hold; do not publish")</x:f>
        <x:v>public by default; still not canon</x:v>
      </x:c>
      <x:c r="AK1233" s="12" t="str">
        <x:f>IF(AE1233="prepare_public_github_candidate","add receipt/status then mirror","resolve blocker before any public GitHub action")</x:f>
        <x:v>add receipt/status then mirror</x:v>
      </x:c>
    </x:row>
    <x:row r="1234">
      <x:c r="A1234" s="15" t="str">
        <x:v>SWARM-09-H07-S09</x:v>
      </x:c>
      <x:c r="B1234" s="15" t="str">
        <x:v>NotionMoth</x:v>
      </x:c>
      <x:c r="C1234" s="15" t="str">
        <x:v>Notion ontology mapper</x:v>
      </x:c>
      <x:c r="D1234" s="15" t="str">
        <x:v>Graph Node Proposals</x:v>
      </x:c>
      <x:c r="E1234" s="15" t="str">
        <x:v>Aetherforge</x:v>
      </x:c>
      <x:c r="F1234" s="15" t="str">
        <x:v>Propose graph nodes for Aetherforge — NotionMoth</x:v>
      </x:c>
      <x:c r="G1234" s="15" t="str">
        <x:v>legacy schema / Notion export prep</x:v>
      </x:c>
      <x:c r="H1234" s="15" t="str">
        <x:v>source path + receipt + raw/export status + claim/edge/risk delta</x:v>
      </x:c>
      <x:c r="I1234" s="15" t="str">
        <x:v>packet/SWARM-09-H07-S09</x:v>
      </x:c>
      <x:c r="J1234" s="15" t="str">
        <x:v>TODO</x:v>
      </x:c>
      <x:c r="K1234" s="15" t="str">
        <x:v>P2</x:v>
      </x:c>
      <x:c r="L1234" s="15" t="str">
        <x:v>Done only when evidence is logged, contradiction search is noted, and boundary stamp remains non-canon unless ratified</x:v>
      </x:c>
      <x:c r="M1234" s="15" t="str">
        <x:v>candidate / staging-only / not canon / not deployed / authority none</x:v>
      </x:c>
      <x:c r="N1234" s="15" t="str">
        <x:v>Dispatch to NotionMoth: complete Graph Node Proposals x Aetherforge; return deltas only, receipts required.</x:v>
      </x:c>
      <x:c r="O1234" s="15" t="str">
        <x:v>AF-KG-H07-S09</x:v>
      </x:c>
      <x:c r="P1234" s="15" t="str">
        <x:v>Unverified</x:v>
      </x:c>
      <x:c r="Q1234" s="15" t="str">
        <x:v>Not checked</x:v>
      </x:c>
      <x:c r="R1234" s="15" t="str"/>
      <x:c r="S1234" s="15" t="str"/>
      <x:c r="T1234" s="15" t="str">
        <x:v>Log first source path or blocker</x:v>
      </x:c>
      <x:c r="U1234" s="12" t="str">
        <x:f>IF(OR(P1234="Unverified",Q1234="Not checked"),"BLOCKED_PENDING_RECEIPT","READY_FOR_REVIEW")</x:f>
        <x:v>BLOCKED_PENDING_RECEIPT</x:v>
      </x:c>
      <x:c r="V1234" s="12" t="str">
        <x:f>IF(J1234="DONE","RETURNED",IF(U1234="BLOCKED_PENDING_RECEIPT","SOURCE_TOUCH_REQUIRED","IN_PROGRESS"))</x:f>
        <x:v>SOURCE_TOUCH_REQUIRED</x:v>
      </x:c>
      <x:c r="W1234" s="12" t="str">
        <x:f>IF(P1234="Unverified","missing_receipt","receipt_logged")</x:f>
        <x:v>missing_receipt</x:v>
      </x:c>
      <x:c r="X1234" s="12" t="str">
        <x:f>IF(Q1234="Not checked","raw_status_missing","raw_status_logged")</x:f>
        <x:v>raw_status_missing</x:v>
      </x:c>
      <x:c r="Y1234" s="12" t="str">
        <x:f>IF(U1234="BLOCKED_PENDING_RECEIPT","Log source path or blocker; do not promote","Route to review lane")</x:f>
        <x:v>Log source path or blocker; do not promote</x:v>
      </x:c>
      <x:c r="Z1234" s="12" t="str">
        <x:f>IF(K1234="P0","Primary seat + Hashlight/Lucerna","Seat lane")</x:f>
        <x:v>Seat lane</x:v>
      </x:c>
      <x:c r="AA1234" s="12" t="str">
        <x:f>IF(R1234="","no_claim_delta","claim_delta_present")</x:f>
        <x:v>no_claim_delta</x:v>
      </x:c>
      <x:c r="AB1234" s="12" t="str">
        <x:f>IF(S1234="","no_contradiction_delta","contradiction_delta_present")</x:f>
        <x:v>no_contradiction_delta</x:v>
      </x:c>
      <x:c r="AC1234" s="12" t="str">
        <x:f>IF(OR(ISNUMBER(SEARCH("hacker",LOWER(F1234&amp;" "&amp;H1234&amp;" "&amp;I1234&amp;" "&amp;M1234&amp;" "&amp;N1234&amp;" "&amp;T1234))),ISNUMBER(SEARCH("hacking",LOWER(F1234&amp;" "&amp;H1234&amp;" "&amp;I1234&amp;" "&amp;M1234&amp;" "&amp;N1234&amp;" "&amp;T1234))),ISNUMBER(SEARCH("bank",LOWER(F1234&amp;" "&amp;H1234&amp;" "&amp;I1234&amp;" "&amp;M1234&amp;" "&amp;N1234&amp;" "&amp;T1234))),ISNUMBER(SEARCH("banking",LOWER(F1234&amp;" "&amp;H1234&amp;" "&amp;I1234&amp;" "&amp;M1234&amp;" "&amp;N1234&amp;" "&amp;T1234)))),"PRIVATE_QUARANTINE",IF(OR(ISNUMBER(SEARCH("treasury",LOWER(F1234&amp;" "&amp;H1234&amp;" "&amp;I1234&amp;" "&amp;M1234&amp;" "&amp;N1234&amp;" "&amp;T1234))),ISNUMBER(SEARCH("debt",LOWER(F1234&amp;" "&amp;H1234&amp;" "&amp;I1234&amp;" "&amp;M1234&amp;" "&amp;N1234&amp;" "&amp;T1234))),ISNUMBER(SEARCH("bond",LOWER(F1234&amp;" "&amp;H1234&amp;" "&amp;I1234&amp;" "&amp;M1234&amp;" "&amp;N1234&amp;" "&amp;T1234))),ISNUMBER(SEARCH("transaction",LOWER(F1234&amp;" "&amp;H1234&amp;" "&amp;I1234&amp;" "&amp;M1234&amp;" "&amp;N1234&amp;" "&amp;T1234)))),"PRIVATE_REVIEW","PUBLIC_CANDIDATE"))</x:f>
        <x:v>PUBLIC_CANDIDATE</x:v>
      </x:c>
      <x:c r="AD1234" s="12" t="str">
        <x:f>IF(AC1234="PRIVATE_QUARANTINE","hacker_or_bank_trigger",IF(AC1234="PRIVATE_REVIEW","finance_risk_trigger","none"))</x:f>
        <x:v>none</x:v>
      </x:c>
      <x:c r="AE1234" s="12" t="str">
        <x:f>IF(AC1234="PUBLIC_CANDIDATE","prepare_public_github_candidate",IF(AC1234="PRIVATE_REVIEW","hold_for_private_review","quarantine_private_do_not_publish"))</x:f>
        <x:v>prepare_public_github_candidate</x:v>
      </x:c>
      <x:c r="AF1234" s="12" t="str">
        <x:f>IF(AC1234="PUBLIC_CANDIDATE","TIDELOCK + Lucerna",IF(AC1234="PRIVATE_REVIEW","AtlasBrain + Lucerna","TIDELOCK + Lucerna + Human-root"))</x:f>
        <x:v>TIDELOCK + Lucerna</x:v>
      </x:c>
      <x:c r="AG1234" s="12" t="str">
        <x:f>IF(AND(AC1234="PUBLIC_CANDIDATE",U1234&lt;&gt;"BLOCKED_PENDING_RECEIPT"),"READY_AFTER_RECEIPT","NOT_READY")</x:f>
        <x:v>NOT_READY</x:v>
      </x:c>
      <x:c r="AH1234" s="12" t="str">
        <x:f>IF(AC1234="PUBLIC_CANDIDATE","none",AD1234)</x:f>
        <x:v>none</x:v>
      </x:c>
      <x:c r="AI1234" s="12" t="str">
        <x:f>IF(AC1234="PUBLIC_CANDIDATE","archive/public_candidates/"&amp;A1234,"private_quarantine/"&amp;A1234)</x:f>
        <x:v>archive/public_candidates/SWARM-09-H07-S09</x:v>
      </x:c>
      <x:c r="AJ1234" s="12" t="str">
        <x:f>IF(AC1234="PUBLIC_CANDIDATE","public by default; still not canon","private/hold; do not publish")</x:f>
        <x:v>public by default; still not canon</x:v>
      </x:c>
      <x:c r="AK1234" s="12" t="str">
        <x:f>IF(AE1234="prepare_public_github_candidate","add receipt/status then mirror","resolve blocker before any public GitHub action")</x:f>
        <x:v>add receipt/status then mirror</x:v>
      </x:c>
    </x:row>
    <x:row r="1235">
      <x:c r="A1235" s="15" t="str">
        <x:v>SWARM-09-H07-S10</x:v>
      </x:c>
      <x:c r="B1235" s="15" t="str">
        <x:v>NotionMoth</x:v>
      </x:c>
      <x:c r="C1235" s="15" t="str">
        <x:v>Notion ontology mapper</x:v>
      </x:c>
      <x:c r="D1235" s="15" t="str">
        <x:v>Graph Node Proposals</x:v>
      </x:c>
      <x:c r="E1235" s="15" t="str">
        <x:v>Human-Root</x:v>
      </x:c>
      <x:c r="F1235" s="15" t="str">
        <x:v>Propose graph nodes for Human-Root — NotionMoth</x:v>
      </x:c>
      <x:c r="G1235" s="15" t="str">
        <x:v>legacy schema / Notion export prep</x:v>
      </x:c>
      <x:c r="H1235" s="15" t="str">
        <x:v>source path + receipt + raw/export status + claim/edge/risk delta</x:v>
      </x:c>
      <x:c r="I1235" s="15" t="str">
        <x:v>packet/SWARM-09-H07-S10</x:v>
      </x:c>
      <x:c r="J1235" s="15" t="str">
        <x:v>TODO</x:v>
      </x:c>
      <x:c r="K1235" s="15" t="str">
        <x:v>P2</x:v>
      </x:c>
      <x:c r="L1235" s="15" t="str">
        <x:v>Done only when evidence is logged, contradiction search is noted, and boundary stamp remains non-canon unless ratified</x:v>
      </x:c>
      <x:c r="M1235" s="15" t="str">
        <x:v>candidate / staging-only / not canon / not deployed / authority none</x:v>
      </x:c>
      <x:c r="N1235" s="15" t="str">
        <x:v>Dispatch to NotionMoth: complete Graph Node Proposals x Human-Root; return deltas only, receipts required.</x:v>
      </x:c>
      <x:c r="O1235" s="15" t="str">
        <x:v>AF-KG-H07-S10</x:v>
      </x:c>
      <x:c r="P1235" s="15" t="str">
        <x:v>Unverified</x:v>
      </x:c>
      <x:c r="Q1235" s="15" t="str">
        <x:v>Not checked</x:v>
      </x:c>
      <x:c r="R1235" s="15" t="str"/>
      <x:c r="S1235" s="15" t="str"/>
      <x:c r="T1235" s="15" t="str">
        <x:v>Log first source path or blocker</x:v>
      </x:c>
      <x:c r="U1235" s="12" t="str">
        <x:f>IF(OR(P1235="Unverified",Q1235="Not checked"),"BLOCKED_PENDING_RECEIPT","READY_FOR_REVIEW")</x:f>
        <x:v>BLOCKED_PENDING_RECEIPT</x:v>
      </x:c>
      <x:c r="V1235" s="12" t="str">
        <x:f>IF(J1235="DONE","RETURNED",IF(U1235="BLOCKED_PENDING_RECEIPT","SOURCE_TOUCH_REQUIRED","IN_PROGRESS"))</x:f>
        <x:v>SOURCE_TOUCH_REQUIRED</x:v>
      </x:c>
      <x:c r="W1235" s="12" t="str">
        <x:f>IF(P1235="Unverified","missing_receipt","receipt_logged")</x:f>
        <x:v>missing_receipt</x:v>
      </x:c>
      <x:c r="X1235" s="12" t="str">
        <x:f>IF(Q1235="Not checked","raw_status_missing","raw_status_logged")</x:f>
        <x:v>raw_status_missing</x:v>
      </x:c>
      <x:c r="Y1235" s="12" t="str">
        <x:f>IF(U1235="BLOCKED_PENDING_RECEIPT","Log source path or blocker; do not promote","Route to review lane")</x:f>
        <x:v>Log source path or blocker; do not promote</x:v>
      </x:c>
      <x:c r="Z1235" s="12" t="str">
        <x:f>IF(K1235="P0","Primary seat + Hashlight/Lucerna","Seat lane")</x:f>
        <x:v>Seat lane</x:v>
      </x:c>
      <x:c r="AA1235" s="12" t="str">
        <x:f>IF(R1235="","no_claim_delta","claim_delta_present")</x:f>
        <x:v>no_claim_delta</x:v>
      </x:c>
      <x:c r="AB1235" s="12" t="str">
        <x:f>IF(S1235="","no_contradiction_delta","contradiction_delta_present")</x:f>
        <x:v>no_contradiction_delta</x:v>
      </x:c>
      <x:c r="AC1235" s="12" t="str">
        <x:f>IF(OR(ISNUMBER(SEARCH("hacker",LOWER(F1235&amp;" "&amp;H1235&amp;" "&amp;I1235&amp;" "&amp;M1235&amp;" "&amp;N1235&amp;" "&amp;T1235))),ISNUMBER(SEARCH("hacking",LOWER(F1235&amp;" "&amp;H1235&amp;" "&amp;I1235&amp;" "&amp;M1235&amp;" "&amp;N1235&amp;" "&amp;T1235))),ISNUMBER(SEARCH("bank",LOWER(F1235&amp;" "&amp;H1235&amp;" "&amp;I1235&amp;" "&amp;M1235&amp;" "&amp;N1235&amp;" "&amp;T1235))),ISNUMBER(SEARCH("banking",LOWER(F1235&amp;" "&amp;H1235&amp;" "&amp;I1235&amp;" "&amp;M1235&amp;" "&amp;N1235&amp;" "&amp;T1235)))),"PRIVATE_QUARANTINE",IF(OR(ISNUMBER(SEARCH("treasury",LOWER(F1235&amp;" "&amp;H1235&amp;" "&amp;I1235&amp;" "&amp;M1235&amp;" "&amp;N1235&amp;" "&amp;T1235))),ISNUMBER(SEARCH("debt",LOWER(F1235&amp;" "&amp;H1235&amp;" "&amp;I1235&amp;" "&amp;M1235&amp;" "&amp;N1235&amp;" "&amp;T1235))),ISNUMBER(SEARCH("bond",LOWER(F1235&amp;" "&amp;H1235&amp;" "&amp;I1235&amp;" "&amp;M1235&amp;" "&amp;N1235&amp;" "&amp;T1235))),ISNUMBER(SEARCH("transaction",LOWER(F1235&amp;" "&amp;H1235&amp;" "&amp;I1235&amp;" "&amp;M1235&amp;" "&amp;N1235&amp;" "&amp;T1235)))),"PRIVATE_REVIEW","PUBLIC_CANDIDATE"))</x:f>
        <x:v>PUBLIC_CANDIDATE</x:v>
      </x:c>
      <x:c r="AD1235" s="12" t="str">
        <x:f>IF(AC1235="PRIVATE_QUARANTINE","hacker_or_bank_trigger",IF(AC1235="PRIVATE_REVIEW","finance_risk_trigger","none"))</x:f>
        <x:v>none</x:v>
      </x:c>
      <x:c r="AE1235" s="12" t="str">
        <x:f>IF(AC1235="PUBLIC_CANDIDATE","prepare_public_github_candidate",IF(AC1235="PRIVATE_REVIEW","hold_for_private_review","quarantine_private_do_not_publish"))</x:f>
        <x:v>prepare_public_github_candidate</x:v>
      </x:c>
      <x:c r="AF1235" s="12" t="str">
        <x:f>IF(AC1235="PUBLIC_CANDIDATE","TIDELOCK + Lucerna",IF(AC1235="PRIVATE_REVIEW","AtlasBrain + Lucerna","TIDELOCK + Lucerna + Human-root"))</x:f>
        <x:v>TIDELOCK + Lucerna</x:v>
      </x:c>
      <x:c r="AG1235" s="12" t="str">
        <x:f>IF(AND(AC1235="PUBLIC_CANDIDATE",U1235&lt;&gt;"BLOCKED_PENDING_RECEIPT"),"READY_AFTER_RECEIPT","NOT_READY")</x:f>
        <x:v>NOT_READY</x:v>
      </x:c>
      <x:c r="AH1235" s="12" t="str">
        <x:f>IF(AC1235="PUBLIC_CANDIDATE","none",AD1235)</x:f>
        <x:v>none</x:v>
      </x:c>
      <x:c r="AI1235" s="12" t="str">
        <x:f>IF(AC1235="PUBLIC_CANDIDATE","archive/public_candidates/"&amp;A1235,"private_quarantine/"&amp;A1235)</x:f>
        <x:v>archive/public_candidates/SWARM-09-H07-S10</x:v>
      </x:c>
      <x:c r="AJ1235" s="12" t="str">
        <x:f>IF(AC1235="PUBLIC_CANDIDATE","public by default; still not canon","private/hold; do not publish")</x:f>
        <x:v>public by default; still not canon</x:v>
      </x:c>
      <x:c r="AK1235" s="12" t="str">
        <x:f>IF(AE1235="prepare_public_github_candidate","add receipt/status then mirror","resolve blocker before any public GitHub action")</x:f>
        <x:v>add receipt/status then mirror</x:v>
      </x:c>
    </x:row>
    <x:row r="1236">
      <x:c r="A1236" s="15" t="str">
        <x:v>SWARM-09-H07-S11</x:v>
      </x:c>
      <x:c r="B1236" s="15" t="str">
        <x:v>NotionMoth</x:v>
      </x:c>
      <x:c r="C1236" s="15" t="str">
        <x:v>Notion ontology mapper</x:v>
      </x:c>
      <x:c r="D1236" s="15" t="str">
        <x:v>Graph Node Proposals</x:v>
      </x:c>
      <x:c r="E1236" s="15" t="str">
        <x:v>Automation</x:v>
      </x:c>
      <x:c r="F1236" s="15" t="str">
        <x:v>Propose graph nodes for Automation — NotionMoth</x:v>
      </x:c>
      <x:c r="G1236" s="15" t="str">
        <x:v>legacy schema / Notion export prep</x:v>
      </x:c>
      <x:c r="H1236" s="15" t="str">
        <x:v>source path + receipt + raw/export status + claim/edge/risk delta</x:v>
      </x:c>
      <x:c r="I1236" s="15" t="str">
        <x:v>packet/SWARM-09-H07-S11</x:v>
      </x:c>
      <x:c r="J1236" s="15" t="str">
        <x:v>TODO</x:v>
      </x:c>
      <x:c r="K1236" s="15" t="str">
        <x:v>P2</x:v>
      </x:c>
      <x:c r="L1236" s="15" t="str">
        <x:v>Done only when evidence is logged, contradiction search is noted, and boundary stamp remains non-canon unless ratified</x:v>
      </x:c>
      <x:c r="M1236" s="15" t="str">
        <x:v>candidate / staging-only / not canon / not deployed / authority none</x:v>
      </x:c>
      <x:c r="N1236" s="15" t="str">
        <x:v>Dispatch to NotionMoth: complete Graph Node Proposals x Automation; return deltas only, receipts required.</x:v>
      </x:c>
      <x:c r="O1236" s="15" t="str">
        <x:v>AF-KG-H07-S11</x:v>
      </x:c>
      <x:c r="P1236" s="15" t="str">
        <x:v>Unverified</x:v>
      </x:c>
      <x:c r="Q1236" s="15" t="str">
        <x:v>Not checked</x:v>
      </x:c>
      <x:c r="R1236" s="15" t="str"/>
      <x:c r="S1236" s="15" t="str"/>
      <x:c r="T1236" s="15" t="str">
        <x:v>Log first source path or blocker</x:v>
      </x:c>
      <x:c r="U1236" s="12" t="str">
        <x:f>IF(OR(P1236="Unverified",Q1236="Not checked"),"BLOCKED_PENDING_RECEIPT","READY_FOR_REVIEW")</x:f>
        <x:v>BLOCKED_PENDING_RECEIPT</x:v>
      </x:c>
      <x:c r="V1236" s="12" t="str">
        <x:f>IF(J1236="DONE","RETURNED",IF(U1236="BLOCKED_PENDING_RECEIPT","SOURCE_TOUCH_REQUIRED","IN_PROGRESS"))</x:f>
        <x:v>SOURCE_TOUCH_REQUIRED</x:v>
      </x:c>
      <x:c r="W1236" s="12" t="str">
        <x:f>IF(P1236="Unverified","missing_receipt","receipt_logged")</x:f>
        <x:v>missing_receipt</x:v>
      </x:c>
      <x:c r="X1236" s="12" t="str">
        <x:f>IF(Q1236="Not checked","raw_status_missing","raw_status_logged")</x:f>
        <x:v>raw_status_missing</x:v>
      </x:c>
      <x:c r="Y1236" s="12" t="str">
        <x:f>IF(U1236="BLOCKED_PENDING_RECEIPT","Log source path or blocker; do not promote","Route to review lane")</x:f>
        <x:v>Log source path or blocker; do not promote</x:v>
      </x:c>
      <x:c r="Z1236" s="12" t="str">
        <x:f>IF(K1236="P0","Primary seat + Hashlight/Lucerna","Seat lane")</x:f>
        <x:v>Seat lane</x:v>
      </x:c>
      <x:c r="AA1236" s="12" t="str">
        <x:f>IF(R1236="","no_claim_delta","claim_delta_present")</x:f>
        <x:v>no_claim_delta</x:v>
      </x:c>
      <x:c r="AB1236" s="12" t="str">
        <x:f>IF(S1236="","no_contradiction_delta","contradiction_delta_present")</x:f>
        <x:v>no_contradiction_delta</x:v>
      </x:c>
      <x:c r="AC1236" s="12" t="str">
        <x:f>IF(OR(ISNUMBER(SEARCH("hacker",LOWER(F1236&amp;" "&amp;H1236&amp;" "&amp;I1236&amp;" "&amp;M1236&amp;" "&amp;N1236&amp;" "&amp;T1236))),ISNUMBER(SEARCH("hacking",LOWER(F1236&amp;" "&amp;H1236&amp;" "&amp;I1236&amp;" "&amp;M1236&amp;" "&amp;N1236&amp;" "&amp;T1236))),ISNUMBER(SEARCH("bank",LOWER(F1236&amp;" "&amp;H1236&amp;" "&amp;I1236&amp;" "&amp;M1236&amp;" "&amp;N1236&amp;" "&amp;T1236))),ISNUMBER(SEARCH("banking",LOWER(F1236&amp;" "&amp;H1236&amp;" "&amp;I1236&amp;" "&amp;M1236&amp;" "&amp;N1236&amp;" "&amp;T1236)))),"PRIVATE_QUARANTINE",IF(OR(ISNUMBER(SEARCH("treasury",LOWER(F1236&amp;" "&amp;H1236&amp;" "&amp;I1236&amp;" "&amp;M1236&amp;" "&amp;N1236&amp;" "&amp;T1236))),ISNUMBER(SEARCH("debt",LOWER(F1236&amp;" "&amp;H1236&amp;" "&amp;I1236&amp;" "&amp;M1236&amp;" "&amp;N1236&amp;" "&amp;T1236))),ISNUMBER(SEARCH("bond",LOWER(F1236&amp;" "&amp;H1236&amp;" "&amp;I1236&amp;" "&amp;M1236&amp;" "&amp;N1236&amp;" "&amp;T1236))),ISNUMBER(SEARCH("transaction",LOWER(F1236&amp;" "&amp;H1236&amp;" "&amp;I1236&amp;" "&amp;M1236&amp;" "&amp;N1236&amp;" "&amp;T1236)))),"PRIVATE_REVIEW","PUBLIC_CANDIDATE"))</x:f>
        <x:v>PUBLIC_CANDIDATE</x:v>
      </x:c>
      <x:c r="AD1236" s="12" t="str">
        <x:f>IF(AC1236="PRIVATE_QUARANTINE","hacker_or_bank_trigger",IF(AC1236="PRIVATE_REVIEW","finance_risk_trigger","none"))</x:f>
        <x:v>none</x:v>
      </x:c>
      <x:c r="AE1236" s="12" t="str">
        <x:f>IF(AC1236="PUBLIC_CANDIDATE","prepare_public_github_candidate",IF(AC1236="PRIVATE_REVIEW","hold_for_private_review","quarantine_private_do_not_publish"))</x:f>
        <x:v>prepare_public_github_candidate</x:v>
      </x:c>
      <x:c r="AF1236" s="12" t="str">
        <x:f>IF(AC1236="PUBLIC_CANDIDATE","TIDELOCK + Lucerna",IF(AC1236="PRIVATE_REVIEW","AtlasBrain + Lucerna","TIDELOCK + Lucerna + Human-root"))</x:f>
        <x:v>TIDELOCK + Lucerna</x:v>
      </x:c>
      <x:c r="AG1236" s="12" t="str">
        <x:f>IF(AND(AC1236="PUBLIC_CANDIDATE",U1236&lt;&gt;"BLOCKED_PENDING_RECEIPT"),"READY_AFTER_RECEIPT","NOT_READY")</x:f>
        <x:v>NOT_READY</x:v>
      </x:c>
      <x:c r="AH1236" s="12" t="str">
        <x:f>IF(AC1236="PUBLIC_CANDIDATE","none",AD1236)</x:f>
        <x:v>none</x:v>
      </x:c>
      <x:c r="AI1236" s="12" t="str">
        <x:f>IF(AC1236="PUBLIC_CANDIDATE","archive/public_candidates/"&amp;A1236,"private_quarantine/"&amp;A1236)</x:f>
        <x:v>archive/public_candidates/SWARM-09-H07-S11</x:v>
      </x:c>
      <x:c r="AJ1236" s="12" t="str">
        <x:f>IF(AC1236="PUBLIC_CANDIDATE","public by default; still not canon","private/hold; do not publish")</x:f>
        <x:v>public by default; still not canon</x:v>
      </x:c>
      <x:c r="AK1236" s="12" t="str">
        <x:f>IF(AE1236="prepare_public_github_candidate","add receipt/status then mirror","resolve blocker before any public GitHub action")</x:f>
        <x:v>add receipt/status then mirror</x:v>
      </x:c>
    </x:row>
    <x:row r="1237">
      <x:c r="A1237" s="15" t="str">
        <x:v>SWARM-09-H07-S12</x:v>
      </x:c>
      <x:c r="B1237" s="15" t="str">
        <x:v>NotionMoth</x:v>
      </x:c>
      <x:c r="C1237" s="15" t="str">
        <x:v>Notion ontology mapper</x:v>
      </x:c>
      <x:c r="D1237" s="15" t="str">
        <x:v>Graph Node Proposals</x:v>
      </x:c>
      <x:c r="E1237" s="15" t="str">
        <x:v>Risk / Safety</x:v>
      </x:c>
      <x:c r="F1237" s="15" t="str">
        <x:v>Propose graph nodes for Risk / Safety — NotionMoth</x:v>
      </x:c>
      <x:c r="G1237" s="15" t="str">
        <x:v>legacy schema / Notion export prep</x:v>
      </x:c>
      <x:c r="H1237" s="15" t="str">
        <x:v>source path + receipt + raw/export status + claim/edge/risk delta</x:v>
      </x:c>
      <x:c r="I1237" s="15" t="str">
        <x:v>packet/SWARM-09-H07-S12</x:v>
      </x:c>
      <x:c r="J1237" s="15" t="str">
        <x:v>TODO</x:v>
      </x:c>
      <x:c r="K1237" s="15" t="str">
        <x:v>P2</x:v>
      </x:c>
      <x:c r="L1237" s="15" t="str">
        <x:v>Done only when evidence is logged, contradiction search is noted, and boundary stamp remains non-canon unless ratified</x:v>
      </x:c>
      <x:c r="M1237" s="15" t="str">
        <x:v>candidate / staging-only / not canon / not deployed / authority none</x:v>
      </x:c>
      <x:c r="N1237" s="15" t="str">
        <x:v>Dispatch to NotionMoth: complete Graph Node Proposals x Risk / Safety; return deltas only, receipts required.</x:v>
      </x:c>
      <x:c r="O1237" s="15" t="str">
        <x:v>AF-KG-H07-S12</x:v>
      </x:c>
      <x:c r="P1237" s="15" t="str">
        <x:v>Unverified</x:v>
      </x:c>
      <x:c r="Q1237" s="15" t="str">
        <x:v>Not checked</x:v>
      </x:c>
      <x:c r="R1237" s="15" t="str"/>
      <x:c r="S1237" s="15" t="str"/>
      <x:c r="T1237" s="15" t="str">
        <x:v>Log first source path or blocker</x:v>
      </x:c>
      <x:c r="U1237" s="12" t="str">
        <x:f>IF(OR(P1237="Unverified",Q1237="Not checked"),"BLOCKED_PENDING_RECEIPT","READY_FOR_REVIEW")</x:f>
        <x:v>BLOCKED_PENDING_RECEIPT</x:v>
      </x:c>
      <x:c r="V1237" s="12" t="str">
        <x:f>IF(J1237="DONE","RETURNED",IF(U1237="BLOCKED_PENDING_RECEIPT","SOURCE_TOUCH_REQUIRED","IN_PROGRESS"))</x:f>
        <x:v>SOURCE_TOUCH_REQUIRED</x:v>
      </x:c>
      <x:c r="W1237" s="12" t="str">
        <x:f>IF(P1237="Unverified","missing_receipt","receipt_logged")</x:f>
        <x:v>missing_receipt</x:v>
      </x:c>
      <x:c r="X1237" s="12" t="str">
        <x:f>IF(Q1237="Not checked","raw_status_missing","raw_status_logged")</x:f>
        <x:v>raw_status_missing</x:v>
      </x:c>
      <x:c r="Y1237" s="12" t="str">
        <x:f>IF(U1237="BLOCKED_PENDING_RECEIPT","Log source path or blocker; do not promote","Route to review lane")</x:f>
        <x:v>Log source path or blocker; do not promote</x:v>
      </x:c>
      <x:c r="Z1237" s="12" t="str">
        <x:f>IF(K1237="P0","Primary seat + Hashlight/Lucerna","Seat lane")</x:f>
        <x:v>Seat lane</x:v>
      </x:c>
      <x:c r="AA1237" s="12" t="str">
        <x:f>IF(R1237="","no_claim_delta","claim_delta_present")</x:f>
        <x:v>no_claim_delta</x:v>
      </x:c>
      <x:c r="AB1237" s="12" t="str">
        <x:f>IF(S1237="","no_contradiction_delta","contradiction_delta_present")</x:f>
        <x:v>no_contradiction_delta</x:v>
      </x:c>
      <x:c r="AC1237" s="12" t="str">
        <x:f>IF(OR(ISNUMBER(SEARCH("hacker",LOWER(F1237&amp;" "&amp;H1237&amp;" "&amp;I1237&amp;" "&amp;M1237&amp;" "&amp;N1237&amp;" "&amp;T1237))),ISNUMBER(SEARCH("hacking",LOWER(F1237&amp;" "&amp;H1237&amp;" "&amp;I1237&amp;" "&amp;M1237&amp;" "&amp;N1237&amp;" "&amp;T1237))),ISNUMBER(SEARCH("bank",LOWER(F1237&amp;" "&amp;H1237&amp;" "&amp;I1237&amp;" "&amp;M1237&amp;" "&amp;N1237&amp;" "&amp;T1237))),ISNUMBER(SEARCH("banking",LOWER(F1237&amp;" "&amp;H1237&amp;" "&amp;I1237&amp;" "&amp;M1237&amp;" "&amp;N1237&amp;" "&amp;T1237)))),"PRIVATE_QUARANTINE",IF(OR(ISNUMBER(SEARCH("treasury",LOWER(F1237&amp;" "&amp;H1237&amp;" "&amp;I1237&amp;" "&amp;M1237&amp;" "&amp;N1237&amp;" "&amp;T1237))),ISNUMBER(SEARCH("debt",LOWER(F1237&amp;" "&amp;H1237&amp;" "&amp;I1237&amp;" "&amp;M1237&amp;" "&amp;N1237&amp;" "&amp;T1237))),ISNUMBER(SEARCH("bond",LOWER(F1237&amp;" "&amp;H1237&amp;" "&amp;I1237&amp;" "&amp;M1237&amp;" "&amp;N1237&amp;" "&amp;T1237))),ISNUMBER(SEARCH("transaction",LOWER(F1237&amp;" "&amp;H1237&amp;" "&amp;I1237&amp;" "&amp;M1237&amp;" "&amp;N1237&amp;" "&amp;T1237)))),"PRIVATE_REVIEW","PUBLIC_CANDIDATE"))</x:f>
        <x:v>PUBLIC_CANDIDATE</x:v>
      </x:c>
      <x:c r="AD1237" s="12" t="str">
        <x:f>IF(AC1237="PRIVATE_QUARANTINE","hacker_or_bank_trigger",IF(AC1237="PRIVATE_REVIEW","finance_risk_trigger","none"))</x:f>
        <x:v>none</x:v>
      </x:c>
      <x:c r="AE1237" s="12" t="str">
        <x:f>IF(AC1237="PUBLIC_CANDIDATE","prepare_public_github_candidate",IF(AC1237="PRIVATE_REVIEW","hold_for_private_review","quarantine_private_do_not_publish"))</x:f>
        <x:v>prepare_public_github_candidate</x:v>
      </x:c>
      <x:c r="AF1237" s="12" t="str">
        <x:f>IF(AC1237="PUBLIC_CANDIDATE","TIDELOCK + Lucerna",IF(AC1237="PRIVATE_REVIEW","AtlasBrain + Lucerna","TIDELOCK + Lucerna + Human-root"))</x:f>
        <x:v>TIDELOCK + Lucerna</x:v>
      </x:c>
      <x:c r="AG1237" s="12" t="str">
        <x:f>IF(AND(AC1237="PUBLIC_CANDIDATE",U1237&lt;&gt;"BLOCKED_PENDING_RECEIPT"),"READY_AFTER_RECEIPT","NOT_READY")</x:f>
        <x:v>NOT_READY</x:v>
      </x:c>
      <x:c r="AH1237" s="12" t="str">
        <x:f>IF(AC1237="PUBLIC_CANDIDATE","none",AD1237)</x:f>
        <x:v>none</x:v>
      </x:c>
      <x:c r="AI1237" s="12" t="str">
        <x:f>IF(AC1237="PUBLIC_CANDIDATE","archive/public_candidates/"&amp;A1237,"private_quarantine/"&amp;A1237)</x:f>
        <x:v>archive/public_candidates/SWARM-09-H07-S12</x:v>
      </x:c>
      <x:c r="AJ1237" s="12" t="str">
        <x:f>IF(AC1237="PUBLIC_CANDIDATE","public by default; still not canon","private/hold; do not publish")</x:f>
        <x:v>public by default; still not canon</x:v>
      </x:c>
      <x:c r="AK1237" s="12" t="str">
        <x:f>IF(AE1237="prepare_public_github_candidate","add receipt/status then mirror","resolve blocker before any public GitHub action")</x:f>
        <x:v>add receipt/status then mirror</x:v>
      </x:c>
    </x:row>
    <x:row r="1238">
      <x:c r="A1238" s="15" t="str">
        <x:v>SWARM-09-H08-S01</x:v>
      </x:c>
      <x:c r="B1238" s="15" t="str">
        <x:v>NotionMoth</x:v>
      </x:c>
      <x:c r="C1238" s="15" t="str">
        <x:v>Notion ontology mapper</x:v>
      </x:c>
      <x:c r="D1238" s="15" t="str">
        <x:v>Graph Edge Proposals</x:v>
      </x:c>
      <x:c r="E1238" s="15" t="str">
        <x:v>Notion</x:v>
      </x:c>
      <x:c r="F1238" s="15" t="str">
        <x:v>Propose graph edges for Notion — NotionMoth</x:v>
      </x:c>
      <x:c r="G1238" s="15" t="str">
        <x:v>legacy schema / Notion export prep</x:v>
      </x:c>
      <x:c r="H1238" s="15" t="str">
        <x:v>source path + receipt + raw/export status + claim/edge/risk delta</x:v>
      </x:c>
      <x:c r="I1238" s="15" t="str">
        <x:v>packet/SWARM-09-H08-S01</x:v>
      </x:c>
      <x:c r="J1238" s="15" t="str">
        <x:v>TODO</x:v>
      </x:c>
      <x:c r="K1238" s="15" t="str">
        <x:v>P0</x:v>
      </x:c>
      <x:c r="L1238" s="15" t="str">
        <x:v>Done only when evidence is logged, contradiction search is noted, and boundary stamp remains non-canon unless ratified</x:v>
      </x:c>
      <x:c r="M1238" s="15" t="str">
        <x:v>candidate / staging-only / not canon / not deployed / authority none</x:v>
      </x:c>
      <x:c r="N1238" s="15" t="str">
        <x:v>Dispatch to NotionMoth: complete Graph Edge Proposals x Notion; return deltas only, receipts required.</x:v>
      </x:c>
      <x:c r="O1238" s="15" t="str">
        <x:v>AF-KG-H08-S01</x:v>
      </x:c>
      <x:c r="P1238" s="15" t="str">
        <x:v>Unverified</x:v>
      </x:c>
      <x:c r="Q1238" s="15" t="str">
        <x:v>Not checked</x:v>
      </x:c>
      <x:c r="R1238" s="15" t="str"/>
      <x:c r="S1238" s="15" t="str"/>
      <x:c r="T1238" s="15" t="str">
        <x:v>Log first source path or blocker</x:v>
      </x:c>
      <x:c r="U1238" s="12" t="str">
        <x:f>IF(OR(P1238="Unverified",Q1238="Not checked"),"BLOCKED_PENDING_RECEIPT","READY_FOR_REVIEW")</x:f>
        <x:v>BLOCKED_PENDING_RECEIPT</x:v>
      </x:c>
      <x:c r="V1238" s="12" t="str">
        <x:f>IF(J1238="DONE","RETURNED",IF(U1238="BLOCKED_PENDING_RECEIPT","SOURCE_TOUCH_REQUIRED","IN_PROGRESS"))</x:f>
        <x:v>SOURCE_TOUCH_REQUIRED</x:v>
      </x:c>
      <x:c r="W1238" s="12" t="str">
        <x:f>IF(P1238="Unverified","missing_receipt","receipt_logged")</x:f>
        <x:v>missing_receipt</x:v>
      </x:c>
      <x:c r="X1238" s="12" t="str">
        <x:f>IF(Q1238="Not checked","raw_status_missing","raw_status_logged")</x:f>
        <x:v>raw_status_missing</x:v>
      </x:c>
      <x:c r="Y1238" s="12" t="str">
        <x:f>IF(U1238="BLOCKED_PENDING_RECEIPT","Log source path or blocker; do not promote","Route to review lane")</x:f>
        <x:v>Log source path or blocker; do not promote</x:v>
      </x:c>
      <x:c r="Z1238" s="12" t="str">
        <x:f>IF(K1238="P0","Primary seat + Hashlight/Lucerna","Seat lane")</x:f>
        <x:v>Primary seat + Hashlight/Lucerna</x:v>
      </x:c>
      <x:c r="AA1238" s="12" t="str">
        <x:f>IF(R1238="","no_claim_delta","claim_delta_present")</x:f>
        <x:v>no_claim_delta</x:v>
      </x:c>
      <x:c r="AB1238" s="12" t="str">
        <x:f>IF(S1238="","no_contradiction_delta","contradiction_delta_present")</x:f>
        <x:v>no_contradiction_delta</x:v>
      </x:c>
      <x:c r="AC1238" s="12" t="str">
        <x:f>IF(OR(ISNUMBER(SEARCH("hacker",LOWER(F1238&amp;" "&amp;H1238&amp;" "&amp;I1238&amp;" "&amp;M1238&amp;" "&amp;N1238&amp;" "&amp;T1238))),ISNUMBER(SEARCH("hacking",LOWER(F1238&amp;" "&amp;H1238&amp;" "&amp;I1238&amp;" "&amp;M1238&amp;" "&amp;N1238&amp;" "&amp;T1238))),ISNUMBER(SEARCH("bank",LOWER(F1238&amp;" "&amp;H1238&amp;" "&amp;I1238&amp;" "&amp;M1238&amp;" "&amp;N1238&amp;" "&amp;T1238))),ISNUMBER(SEARCH("banking",LOWER(F1238&amp;" "&amp;H1238&amp;" "&amp;I1238&amp;" "&amp;M1238&amp;" "&amp;N1238&amp;" "&amp;T1238)))),"PRIVATE_QUARANTINE",IF(OR(ISNUMBER(SEARCH("treasury",LOWER(F1238&amp;" "&amp;H1238&amp;" "&amp;I1238&amp;" "&amp;M1238&amp;" "&amp;N1238&amp;" "&amp;T1238))),ISNUMBER(SEARCH("debt",LOWER(F1238&amp;" "&amp;H1238&amp;" "&amp;I1238&amp;" "&amp;M1238&amp;" "&amp;N1238&amp;" "&amp;T1238))),ISNUMBER(SEARCH("bond",LOWER(F1238&amp;" "&amp;H1238&amp;" "&amp;I1238&amp;" "&amp;M1238&amp;" "&amp;N1238&amp;" "&amp;T1238))),ISNUMBER(SEARCH("transaction",LOWER(F1238&amp;" "&amp;H1238&amp;" "&amp;I1238&amp;" "&amp;M1238&amp;" "&amp;N1238&amp;" "&amp;T1238)))),"PRIVATE_REVIEW","PUBLIC_CANDIDATE"))</x:f>
        <x:v>PUBLIC_CANDIDATE</x:v>
      </x:c>
      <x:c r="AD1238" s="12" t="str">
        <x:f>IF(AC1238="PRIVATE_QUARANTINE","hacker_or_bank_trigger",IF(AC1238="PRIVATE_REVIEW","finance_risk_trigger","none"))</x:f>
        <x:v>none</x:v>
      </x:c>
      <x:c r="AE1238" s="12" t="str">
        <x:f>IF(AC1238="PUBLIC_CANDIDATE","prepare_public_github_candidate",IF(AC1238="PRIVATE_REVIEW","hold_for_private_review","quarantine_private_do_not_publish"))</x:f>
        <x:v>prepare_public_github_candidate</x:v>
      </x:c>
      <x:c r="AF1238" s="12" t="str">
        <x:f>IF(AC1238="PUBLIC_CANDIDATE","TIDELOCK + Lucerna",IF(AC1238="PRIVATE_REVIEW","AtlasBrain + Lucerna","TIDELOCK + Lucerna + Human-root"))</x:f>
        <x:v>TIDELOCK + Lucerna</x:v>
      </x:c>
      <x:c r="AG1238" s="12" t="str">
        <x:f>IF(AND(AC1238="PUBLIC_CANDIDATE",U1238&lt;&gt;"BLOCKED_PENDING_RECEIPT"),"READY_AFTER_RECEIPT","NOT_READY")</x:f>
        <x:v>NOT_READY</x:v>
      </x:c>
      <x:c r="AH1238" s="12" t="str">
        <x:f>IF(AC1238="PUBLIC_CANDIDATE","none",AD1238)</x:f>
        <x:v>none</x:v>
      </x:c>
      <x:c r="AI1238" s="12" t="str">
        <x:f>IF(AC1238="PUBLIC_CANDIDATE","archive/public_candidates/"&amp;A1238,"private_quarantine/"&amp;A1238)</x:f>
        <x:v>archive/public_candidates/SWARM-09-H08-S01</x:v>
      </x:c>
      <x:c r="AJ1238" s="12" t="str">
        <x:f>IF(AC1238="PUBLIC_CANDIDATE","public by default; still not canon","private/hold; do not publish")</x:f>
        <x:v>public by default; still not canon</x:v>
      </x:c>
      <x:c r="AK1238" s="12" t="str">
        <x:f>IF(AE1238="prepare_public_github_candidate","add receipt/status then mirror","resolve blocker before any public GitHub action")</x:f>
        <x:v>add receipt/status then mirror</x:v>
      </x:c>
    </x:row>
    <x:row r="1239">
      <x:c r="A1239" s="15" t="str">
        <x:v>SWARM-09-H08-S02</x:v>
      </x:c>
      <x:c r="B1239" s="15" t="str">
        <x:v>NotionMoth</x:v>
      </x:c>
      <x:c r="C1239" s="15" t="str">
        <x:v>Notion ontology mapper</x:v>
      </x:c>
      <x:c r="D1239" s="15" t="str">
        <x:v>Graph Edge Proposals</x:v>
      </x:c>
      <x:c r="E1239" s="15" t="str">
        <x:v>Drive</x:v>
      </x:c>
      <x:c r="F1239" s="15" t="str">
        <x:v>Propose graph edges for Drive — NotionMoth</x:v>
      </x:c>
      <x:c r="G1239" s="15" t="str">
        <x:v>legacy schema / Notion export prep</x:v>
      </x:c>
      <x:c r="H1239" s="15" t="str">
        <x:v>source path + receipt + raw/export status + claim/edge/risk delta</x:v>
      </x:c>
      <x:c r="I1239" s="15" t="str">
        <x:v>packet/SWARM-09-H08-S02</x:v>
      </x:c>
      <x:c r="J1239" s="15" t="str">
        <x:v>TODO</x:v>
      </x:c>
      <x:c r="K1239" s="15" t="str">
        <x:v>P0</x:v>
      </x:c>
      <x:c r="L1239" s="15" t="str">
        <x:v>Done only when evidence is logged, contradiction search is noted, and boundary stamp remains non-canon unless ratified</x:v>
      </x:c>
      <x:c r="M1239" s="15" t="str">
        <x:v>candidate / staging-only / not canon / not deployed / authority none</x:v>
      </x:c>
      <x:c r="N1239" s="15" t="str">
        <x:v>Dispatch to NotionMoth: complete Graph Edge Proposals x Drive; return deltas only, receipts required.</x:v>
      </x:c>
      <x:c r="O1239" s="15" t="str">
        <x:v>AF-KG-H08-S02</x:v>
      </x:c>
      <x:c r="P1239" s="15" t="str">
        <x:v>Unverified</x:v>
      </x:c>
      <x:c r="Q1239" s="15" t="str">
        <x:v>Not checked</x:v>
      </x:c>
      <x:c r="R1239" s="15" t="str"/>
      <x:c r="S1239" s="15" t="str"/>
      <x:c r="T1239" s="15" t="str">
        <x:v>Log first source path or blocker</x:v>
      </x:c>
      <x:c r="U1239" s="12" t="str">
        <x:f>IF(OR(P1239="Unverified",Q1239="Not checked"),"BLOCKED_PENDING_RECEIPT","READY_FOR_REVIEW")</x:f>
        <x:v>BLOCKED_PENDING_RECEIPT</x:v>
      </x:c>
      <x:c r="V1239" s="12" t="str">
        <x:f>IF(J1239="DONE","RETURNED",IF(U1239="BLOCKED_PENDING_RECEIPT","SOURCE_TOUCH_REQUIRED","IN_PROGRESS"))</x:f>
        <x:v>SOURCE_TOUCH_REQUIRED</x:v>
      </x:c>
      <x:c r="W1239" s="12" t="str">
        <x:f>IF(P1239="Unverified","missing_receipt","receipt_logged")</x:f>
        <x:v>missing_receipt</x:v>
      </x:c>
      <x:c r="X1239" s="12" t="str">
        <x:f>IF(Q1239="Not checked","raw_status_missing","raw_status_logged")</x:f>
        <x:v>raw_status_missing</x:v>
      </x:c>
      <x:c r="Y1239" s="12" t="str">
        <x:f>IF(U1239="BLOCKED_PENDING_RECEIPT","Log source path or blocker; do not promote","Route to review lane")</x:f>
        <x:v>Log source path or blocker; do not promote</x:v>
      </x:c>
      <x:c r="Z1239" s="12" t="str">
        <x:f>IF(K1239="P0","Primary seat + Hashlight/Lucerna","Seat lane")</x:f>
        <x:v>Primary seat + Hashlight/Lucerna</x:v>
      </x:c>
      <x:c r="AA1239" s="12" t="str">
        <x:f>IF(R1239="","no_claim_delta","claim_delta_present")</x:f>
        <x:v>no_claim_delta</x:v>
      </x:c>
      <x:c r="AB1239" s="12" t="str">
        <x:f>IF(S1239="","no_contradiction_delta","contradiction_delta_present")</x:f>
        <x:v>no_contradiction_delta</x:v>
      </x:c>
      <x:c r="AC1239" s="12" t="str">
        <x:f>IF(OR(ISNUMBER(SEARCH("hacker",LOWER(F1239&amp;" "&amp;H1239&amp;" "&amp;I1239&amp;" "&amp;M1239&amp;" "&amp;N1239&amp;" "&amp;T1239))),ISNUMBER(SEARCH("hacking",LOWER(F1239&amp;" "&amp;H1239&amp;" "&amp;I1239&amp;" "&amp;M1239&amp;" "&amp;N1239&amp;" "&amp;T1239))),ISNUMBER(SEARCH("bank",LOWER(F1239&amp;" "&amp;H1239&amp;" "&amp;I1239&amp;" "&amp;M1239&amp;" "&amp;N1239&amp;" "&amp;T1239))),ISNUMBER(SEARCH("banking",LOWER(F1239&amp;" "&amp;H1239&amp;" "&amp;I1239&amp;" "&amp;M1239&amp;" "&amp;N1239&amp;" "&amp;T1239)))),"PRIVATE_QUARANTINE",IF(OR(ISNUMBER(SEARCH("treasury",LOWER(F1239&amp;" "&amp;H1239&amp;" "&amp;I1239&amp;" "&amp;M1239&amp;" "&amp;N1239&amp;" "&amp;T1239))),ISNUMBER(SEARCH("debt",LOWER(F1239&amp;" "&amp;H1239&amp;" "&amp;I1239&amp;" "&amp;M1239&amp;" "&amp;N1239&amp;" "&amp;T1239))),ISNUMBER(SEARCH("bond",LOWER(F1239&amp;" "&amp;H1239&amp;" "&amp;I1239&amp;" "&amp;M1239&amp;" "&amp;N1239&amp;" "&amp;T1239))),ISNUMBER(SEARCH("transaction",LOWER(F1239&amp;" "&amp;H1239&amp;" "&amp;I1239&amp;" "&amp;M1239&amp;" "&amp;N1239&amp;" "&amp;T1239)))),"PRIVATE_REVIEW","PUBLIC_CANDIDATE"))</x:f>
        <x:v>PUBLIC_CANDIDATE</x:v>
      </x:c>
      <x:c r="AD1239" s="12" t="str">
        <x:f>IF(AC1239="PRIVATE_QUARANTINE","hacker_or_bank_trigger",IF(AC1239="PRIVATE_REVIEW","finance_risk_trigger","none"))</x:f>
        <x:v>none</x:v>
      </x:c>
      <x:c r="AE1239" s="12" t="str">
        <x:f>IF(AC1239="PUBLIC_CANDIDATE","prepare_public_github_candidate",IF(AC1239="PRIVATE_REVIEW","hold_for_private_review","quarantine_private_do_not_publish"))</x:f>
        <x:v>prepare_public_github_candidate</x:v>
      </x:c>
      <x:c r="AF1239" s="12" t="str">
        <x:f>IF(AC1239="PUBLIC_CANDIDATE","TIDELOCK + Lucerna",IF(AC1239="PRIVATE_REVIEW","AtlasBrain + Lucerna","TIDELOCK + Lucerna + Human-root"))</x:f>
        <x:v>TIDELOCK + Lucerna</x:v>
      </x:c>
      <x:c r="AG1239" s="12" t="str">
        <x:f>IF(AND(AC1239="PUBLIC_CANDIDATE",U1239&lt;&gt;"BLOCKED_PENDING_RECEIPT"),"READY_AFTER_RECEIPT","NOT_READY")</x:f>
        <x:v>NOT_READY</x:v>
      </x:c>
      <x:c r="AH1239" s="12" t="str">
        <x:f>IF(AC1239="PUBLIC_CANDIDATE","none",AD1239)</x:f>
        <x:v>none</x:v>
      </x:c>
      <x:c r="AI1239" s="12" t="str">
        <x:f>IF(AC1239="PUBLIC_CANDIDATE","archive/public_candidates/"&amp;A1239,"private_quarantine/"&amp;A1239)</x:f>
        <x:v>archive/public_candidates/SWARM-09-H08-S02</x:v>
      </x:c>
      <x:c r="AJ1239" s="12" t="str">
        <x:f>IF(AC1239="PUBLIC_CANDIDATE","public by default; still not canon","private/hold; do not publish")</x:f>
        <x:v>public by default; still not canon</x:v>
      </x:c>
      <x:c r="AK1239" s="12" t="str">
        <x:f>IF(AE1239="prepare_public_github_candidate","add receipt/status then mirror","resolve blocker before any public GitHub action")</x:f>
        <x:v>add receipt/status then mirror</x:v>
      </x:c>
    </x:row>
    <x:row r="1240">
      <x:c r="A1240" s="15" t="str">
        <x:v>SWARM-09-H08-S03</x:v>
      </x:c>
      <x:c r="B1240" s="15" t="str">
        <x:v>NotionMoth</x:v>
      </x:c>
      <x:c r="C1240" s="15" t="str">
        <x:v>Notion ontology mapper</x:v>
      </x:c>
      <x:c r="D1240" s="15" t="str">
        <x:v>Graph Edge Proposals</x:v>
      </x:c>
      <x:c r="E1240" s="15" t="str">
        <x:v>GitHub</x:v>
      </x:c>
      <x:c r="F1240" s="15" t="str">
        <x:v>Propose graph edges for GitHub — NotionMoth</x:v>
      </x:c>
      <x:c r="G1240" s="15" t="str">
        <x:v>legacy schema / Notion export prep</x:v>
      </x:c>
      <x:c r="H1240" s="15" t="str">
        <x:v>source path + receipt + raw/export status + claim/edge/risk delta</x:v>
      </x:c>
      <x:c r="I1240" s="15" t="str">
        <x:v>packet/SWARM-09-H08-S03</x:v>
      </x:c>
      <x:c r="J1240" s="15" t="str">
        <x:v>TODO</x:v>
      </x:c>
      <x:c r="K1240" s="15" t="str">
        <x:v>P0</x:v>
      </x:c>
      <x:c r="L1240" s="15" t="str">
        <x:v>Done only when evidence is logged, contradiction search is noted, and boundary stamp remains non-canon unless ratified</x:v>
      </x:c>
      <x:c r="M1240" s="15" t="str">
        <x:v>candidate / staging-only / not canon / not deployed / authority none</x:v>
      </x:c>
      <x:c r="N1240" s="15" t="str">
        <x:v>Dispatch to NotionMoth: complete Graph Edge Proposals x GitHub; return deltas only, receipts required.</x:v>
      </x:c>
      <x:c r="O1240" s="15" t="str">
        <x:v>AF-KG-H08-S03</x:v>
      </x:c>
      <x:c r="P1240" s="15" t="str">
        <x:v>Unverified</x:v>
      </x:c>
      <x:c r="Q1240" s="15" t="str">
        <x:v>Not checked</x:v>
      </x:c>
      <x:c r="R1240" s="15" t="str"/>
      <x:c r="S1240" s="15" t="str"/>
      <x:c r="T1240" s="15" t="str">
        <x:v>Log first source path or blocker</x:v>
      </x:c>
      <x:c r="U1240" s="12" t="str">
        <x:f>IF(OR(P1240="Unverified",Q1240="Not checked"),"BLOCKED_PENDING_RECEIPT","READY_FOR_REVIEW")</x:f>
        <x:v>BLOCKED_PENDING_RECEIPT</x:v>
      </x:c>
      <x:c r="V1240" s="12" t="str">
        <x:f>IF(J1240="DONE","RETURNED",IF(U1240="BLOCKED_PENDING_RECEIPT","SOURCE_TOUCH_REQUIRED","IN_PROGRESS"))</x:f>
        <x:v>SOURCE_TOUCH_REQUIRED</x:v>
      </x:c>
      <x:c r="W1240" s="12" t="str">
        <x:f>IF(P1240="Unverified","missing_receipt","receipt_logged")</x:f>
        <x:v>missing_receipt</x:v>
      </x:c>
      <x:c r="X1240" s="12" t="str">
        <x:f>IF(Q1240="Not checked","raw_status_missing","raw_status_logged")</x:f>
        <x:v>raw_status_missing</x:v>
      </x:c>
      <x:c r="Y1240" s="12" t="str">
        <x:f>IF(U1240="BLOCKED_PENDING_RECEIPT","Log source path or blocker; do not promote","Route to review lane")</x:f>
        <x:v>Log source path or blocker; do not promote</x:v>
      </x:c>
      <x:c r="Z1240" s="12" t="str">
        <x:f>IF(K1240="P0","Primary seat + Hashlight/Lucerna","Seat lane")</x:f>
        <x:v>Primary seat + Hashlight/Lucerna</x:v>
      </x:c>
      <x:c r="AA1240" s="12" t="str">
        <x:f>IF(R1240="","no_claim_delta","claim_delta_present")</x:f>
        <x:v>no_claim_delta</x:v>
      </x:c>
      <x:c r="AB1240" s="12" t="str">
        <x:f>IF(S1240="","no_contradiction_delta","contradiction_delta_present")</x:f>
        <x:v>no_contradiction_delta</x:v>
      </x:c>
      <x:c r="AC1240" s="12" t="str">
        <x:f>IF(OR(ISNUMBER(SEARCH("hacker",LOWER(F1240&amp;" "&amp;H1240&amp;" "&amp;I1240&amp;" "&amp;M1240&amp;" "&amp;N1240&amp;" "&amp;T1240))),ISNUMBER(SEARCH("hacking",LOWER(F1240&amp;" "&amp;H1240&amp;" "&amp;I1240&amp;" "&amp;M1240&amp;" "&amp;N1240&amp;" "&amp;T1240))),ISNUMBER(SEARCH("bank",LOWER(F1240&amp;" "&amp;H1240&amp;" "&amp;I1240&amp;" "&amp;M1240&amp;" "&amp;N1240&amp;" "&amp;T1240))),ISNUMBER(SEARCH("banking",LOWER(F1240&amp;" "&amp;H1240&amp;" "&amp;I1240&amp;" "&amp;M1240&amp;" "&amp;N1240&amp;" "&amp;T1240)))),"PRIVATE_QUARANTINE",IF(OR(ISNUMBER(SEARCH("treasury",LOWER(F1240&amp;" "&amp;H1240&amp;" "&amp;I1240&amp;" "&amp;M1240&amp;" "&amp;N1240&amp;" "&amp;T1240))),ISNUMBER(SEARCH("debt",LOWER(F1240&amp;" "&amp;H1240&amp;" "&amp;I1240&amp;" "&amp;M1240&amp;" "&amp;N1240&amp;" "&amp;T1240))),ISNUMBER(SEARCH("bond",LOWER(F1240&amp;" "&amp;H1240&amp;" "&amp;I1240&amp;" "&amp;M1240&amp;" "&amp;N1240&amp;" "&amp;T1240))),ISNUMBER(SEARCH("transaction",LOWER(F1240&amp;" "&amp;H1240&amp;" "&amp;I1240&amp;" "&amp;M1240&amp;" "&amp;N1240&amp;" "&amp;T1240)))),"PRIVATE_REVIEW","PUBLIC_CANDIDATE"))</x:f>
        <x:v>PUBLIC_CANDIDATE</x:v>
      </x:c>
      <x:c r="AD1240" s="12" t="str">
        <x:f>IF(AC1240="PRIVATE_QUARANTINE","hacker_or_bank_trigger",IF(AC1240="PRIVATE_REVIEW","finance_risk_trigger","none"))</x:f>
        <x:v>none</x:v>
      </x:c>
      <x:c r="AE1240" s="12" t="str">
        <x:f>IF(AC1240="PUBLIC_CANDIDATE","prepare_public_github_candidate",IF(AC1240="PRIVATE_REVIEW","hold_for_private_review","quarantine_private_do_not_publish"))</x:f>
        <x:v>prepare_public_github_candidate</x:v>
      </x:c>
      <x:c r="AF1240" s="12" t="str">
        <x:f>IF(AC1240="PUBLIC_CANDIDATE","TIDELOCK + Lucerna",IF(AC1240="PRIVATE_REVIEW","AtlasBrain + Lucerna","TIDELOCK + Lucerna + Human-root"))</x:f>
        <x:v>TIDELOCK + Lucerna</x:v>
      </x:c>
      <x:c r="AG1240" s="12" t="str">
        <x:f>IF(AND(AC1240="PUBLIC_CANDIDATE",U1240&lt;&gt;"BLOCKED_PENDING_RECEIPT"),"READY_AFTER_RECEIPT","NOT_READY")</x:f>
        <x:v>NOT_READY</x:v>
      </x:c>
      <x:c r="AH1240" s="12" t="str">
        <x:f>IF(AC1240="PUBLIC_CANDIDATE","none",AD1240)</x:f>
        <x:v>none</x:v>
      </x:c>
      <x:c r="AI1240" s="12" t="str">
        <x:f>IF(AC1240="PUBLIC_CANDIDATE","archive/public_candidates/"&amp;A1240,"private_quarantine/"&amp;A1240)</x:f>
        <x:v>archive/public_candidates/SWARM-09-H08-S03</x:v>
      </x:c>
      <x:c r="AJ1240" s="12" t="str">
        <x:f>IF(AC1240="PUBLIC_CANDIDATE","public by default; still not canon","private/hold; do not publish")</x:f>
        <x:v>public by default; still not canon</x:v>
      </x:c>
      <x:c r="AK1240" s="12" t="str">
        <x:f>IF(AE1240="prepare_public_github_candidate","add receipt/status then mirror","resolve blocker before any public GitHub action")</x:f>
        <x:v>add receipt/status then mirror</x:v>
      </x:c>
    </x:row>
    <x:row r="1241">
      <x:c r="A1241" s="15" t="str">
        <x:v>SWARM-09-H08-S04</x:v>
      </x:c>
      <x:c r="B1241" s="15" t="str">
        <x:v>NotionMoth</x:v>
      </x:c>
      <x:c r="C1241" s="15" t="str">
        <x:v>Notion ontology mapper</x:v>
      </x:c>
      <x:c r="D1241" s="15" t="str">
        <x:v>Graph Edge Proposals</x:v>
      </x:c>
      <x:c r="E1241" s="15" t="str">
        <x:v>Gamma</x:v>
      </x:c>
      <x:c r="F1241" s="15" t="str">
        <x:v>Propose graph edges for Gamma — NotionMoth</x:v>
      </x:c>
      <x:c r="G1241" s="15" t="str">
        <x:v>legacy schema / Notion export prep</x:v>
      </x:c>
      <x:c r="H1241" s="15" t="str">
        <x:v>source path + receipt + raw/export status + claim/edge/risk delta</x:v>
      </x:c>
      <x:c r="I1241" s="15" t="str">
        <x:v>packet/SWARM-09-H08-S04</x:v>
      </x:c>
      <x:c r="J1241" s="15" t="str">
        <x:v>TODO</x:v>
      </x:c>
      <x:c r="K1241" s="15" t="str">
        <x:v>P1</x:v>
      </x:c>
      <x:c r="L1241" s="15" t="str">
        <x:v>Done only when evidence is logged, contradiction search is noted, and boundary stamp remains non-canon unless ratified</x:v>
      </x:c>
      <x:c r="M1241" s="15" t="str">
        <x:v>candidate / staging-only / not canon / not deployed / authority none</x:v>
      </x:c>
      <x:c r="N1241" s="15" t="str">
        <x:v>Dispatch to NotionMoth: complete Graph Edge Proposals x Gamma; return deltas only, receipts required.</x:v>
      </x:c>
      <x:c r="O1241" s="15" t="str">
        <x:v>AF-KG-H08-S04</x:v>
      </x:c>
      <x:c r="P1241" s="15" t="str">
        <x:v>Unverified</x:v>
      </x:c>
      <x:c r="Q1241" s="15" t="str">
        <x:v>Not checked</x:v>
      </x:c>
      <x:c r="R1241" s="15" t="str"/>
      <x:c r="S1241" s="15" t="str"/>
      <x:c r="T1241" s="15" t="str">
        <x:v>Log first source path or blocker</x:v>
      </x:c>
      <x:c r="U1241" s="12" t="str">
        <x:f>IF(OR(P1241="Unverified",Q1241="Not checked"),"BLOCKED_PENDING_RECEIPT","READY_FOR_REVIEW")</x:f>
        <x:v>BLOCKED_PENDING_RECEIPT</x:v>
      </x:c>
      <x:c r="V1241" s="12" t="str">
        <x:f>IF(J1241="DONE","RETURNED",IF(U1241="BLOCKED_PENDING_RECEIPT","SOURCE_TOUCH_REQUIRED","IN_PROGRESS"))</x:f>
        <x:v>SOURCE_TOUCH_REQUIRED</x:v>
      </x:c>
      <x:c r="W1241" s="12" t="str">
        <x:f>IF(P1241="Unverified","missing_receipt","receipt_logged")</x:f>
        <x:v>missing_receipt</x:v>
      </x:c>
      <x:c r="X1241" s="12" t="str">
        <x:f>IF(Q1241="Not checked","raw_status_missing","raw_status_logged")</x:f>
        <x:v>raw_status_missing</x:v>
      </x:c>
      <x:c r="Y1241" s="12" t="str">
        <x:f>IF(U1241="BLOCKED_PENDING_RECEIPT","Log source path or blocker; do not promote","Route to review lane")</x:f>
        <x:v>Log source path or blocker; do not promote</x:v>
      </x:c>
      <x:c r="Z1241" s="12" t="str">
        <x:f>IF(K1241="P0","Primary seat + Hashlight/Lucerna","Seat lane")</x:f>
        <x:v>Seat lane</x:v>
      </x:c>
      <x:c r="AA1241" s="12" t="str">
        <x:f>IF(R1241="","no_claim_delta","claim_delta_present")</x:f>
        <x:v>no_claim_delta</x:v>
      </x:c>
      <x:c r="AB1241" s="12" t="str">
        <x:f>IF(S1241="","no_contradiction_delta","contradiction_delta_present")</x:f>
        <x:v>no_contradiction_delta</x:v>
      </x:c>
      <x:c r="AC1241" s="12" t="str">
        <x:f>IF(OR(ISNUMBER(SEARCH("hacker",LOWER(F1241&amp;" "&amp;H1241&amp;" "&amp;I1241&amp;" "&amp;M1241&amp;" "&amp;N1241&amp;" "&amp;T1241))),ISNUMBER(SEARCH("hacking",LOWER(F1241&amp;" "&amp;H1241&amp;" "&amp;I1241&amp;" "&amp;M1241&amp;" "&amp;N1241&amp;" "&amp;T1241))),ISNUMBER(SEARCH("bank",LOWER(F1241&amp;" "&amp;H1241&amp;" "&amp;I1241&amp;" "&amp;M1241&amp;" "&amp;N1241&amp;" "&amp;T1241))),ISNUMBER(SEARCH("banking",LOWER(F1241&amp;" "&amp;H1241&amp;" "&amp;I1241&amp;" "&amp;M1241&amp;" "&amp;N1241&amp;" "&amp;T1241)))),"PRIVATE_QUARANTINE",IF(OR(ISNUMBER(SEARCH("treasury",LOWER(F1241&amp;" "&amp;H1241&amp;" "&amp;I1241&amp;" "&amp;M1241&amp;" "&amp;N1241&amp;" "&amp;T1241))),ISNUMBER(SEARCH("debt",LOWER(F1241&amp;" "&amp;H1241&amp;" "&amp;I1241&amp;" "&amp;M1241&amp;" "&amp;N1241&amp;" "&amp;T1241))),ISNUMBER(SEARCH("bond",LOWER(F1241&amp;" "&amp;H1241&amp;" "&amp;I1241&amp;" "&amp;M1241&amp;" "&amp;N1241&amp;" "&amp;T1241))),ISNUMBER(SEARCH("transaction",LOWER(F1241&amp;" "&amp;H1241&amp;" "&amp;I1241&amp;" "&amp;M1241&amp;" "&amp;N1241&amp;" "&amp;T1241)))),"PRIVATE_REVIEW","PUBLIC_CANDIDATE"))</x:f>
        <x:v>PUBLIC_CANDIDATE</x:v>
      </x:c>
      <x:c r="AD1241" s="12" t="str">
        <x:f>IF(AC1241="PRIVATE_QUARANTINE","hacker_or_bank_trigger",IF(AC1241="PRIVATE_REVIEW","finance_risk_trigger","none"))</x:f>
        <x:v>none</x:v>
      </x:c>
      <x:c r="AE1241" s="12" t="str">
        <x:f>IF(AC1241="PUBLIC_CANDIDATE","prepare_public_github_candidate",IF(AC1241="PRIVATE_REVIEW","hold_for_private_review","quarantine_private_do_not_publish"))</x:f>
        <x:v>prepare_public_github_candidate</x:v>
      </x:c>
      <x:c r="AF1241" s="12" t="str">
        <x:f>IF(AC1241="PUBLIC_CANDIDATE","TIDELOCK + Lucerna",IF(AC1241="PRIVATE_REVIEW","AtlasBrain + Lucerna","TIDELOCK + Lucerna + Human-root"))</x:f>
        <x:v>TIDELOCK + Lucerna</x:v>
      </x:c>
      <x:c r="AG1241" s="12" t="str">
        <x:f>IF(AND(AC1241="PUBLIC_CANDIDATE",U1241&lt;&gt;"BLOCKED_PENDING_RECEIPT"),"READY_AFTER_RECEIPT","NOT_READY")</x:f>
        <x:v>NOT_READY</x:v>
      </x:c>
      <x:c r="AH1241" s="12" t="str">
        <x:f>IF(AC1241="PUBLIC_CANDIDATE","none",AD1241)</x:f>
        <x:v>none</x:v>
      </x:c>
      <x:c r="AI1241" s="12" t="str">
        <x:f>IF(AC1241="PUBLIC_CANDIDATE","archive/public_candidates/"&amp;A1241,"private_quarantine/"&amp;A1241)</x:f>
        <x:v>archive/public_candidates/SWARM-09-H08-S04</x:v>
      </x:c>
      <x:c r="AJ1241" s="12" t="str">
        <x:f>IF(AC1241="PUBLIC_CANDIDATE","public by default; still not canon","private/hold; do not publish")</x:f>
        <x:v>public by default; still not canon</x:v>
      </x:c>
      <x:c r="AK1241" s="12" t="str">
        <x:f>IF(AE1241="prepare_public_github_candidate","add receipt/status then mirror","resolve blocker before any public GitHub action")</x:f>
        <x:v>add receipt/status then mirror</x:v>
      </x:c>
    </x:row>
    <x:row r="1242">
      <x:c r="A1242" s="15" t="str">
        <x:v>SWARM-09-H08-S05</x:v>
      </x:c>
      <x:c r="B1242" s="15" t="str">
        <x:v>NotionMoth</x:v>
      </x:c>
      <x:c r="C1242" s="15" t="str">
        <x:v>Notion ontology mapper</x:v>
      </x:c>
      <x:c r="D1242" s="15" t="str">
        <x:v>Graph Edge Proposals</x:v>
      </x:c>
      <x:c r="E1242" s="15" t="str">
        <x:v>Chat</x:v>
      </x:c>
      <x:c r="F1242" s="15" t="str">
        <x:v>Propose graph edges for Chat — NotionMoth</x:v>
      </x:c>
      <x:c r="G1242" s="15" t="str">
        <x:v>legacy schema / Notion export prep</x:v>
      </x:c>
      <x:c r="H1242" s="15" t="str">
        <x:v>source path + receipt + raw/export status + claim/edge/risk delta</x:v>
      </x:c>
      <x:c r="I1242" s="15" t="str">
        <x:v>packet/SWARM-09-H08-S05</x:v>
      </x:c>
      <x:c r="J1242" s="15" t="str">
        <x:v>TODO</x:v>
      </x:c>
      <x:c r="K1242" s="15" t="str">
        <x:v>P1</x:v>
      </x:c>
      <x:c r="L1242" s="15" t="str">
        <x:v>Done only when evidence is logged, contradiction search is noted, and boundary stamp remains non-canon unless ratified</x:v>
      </x:c>
      <x:c r="M1242" s="15" t="str">
        <x:v>candidate / staging-only / not canon / not deployed / authority none</x:v>
      </x:c>
      <x:c r="N1242" s="15" t="str">
        <x:v>Dispatch to NotionMoth: complete Graph Edge Proposals x Chat; return deltas only, receipts required.</x:v>
      </x:c>
      <x:c r="O1242" s="15" t="str">
        <x:v>AF-KG-H08-S05</x:v>
      </x:c>
      <x:c r="P1242" s="15" t="str">
        <x:v>Unverified</x:v>
      </x:c>
      <x:c r="Q1242" s="15" t="str">
        <x:v>Not checked</x:v>
      </x:c>
      <x:c r="R1242" s="15" t="str"/>
      <x:c r="S1242" s="15" t="str"/>
      <x:c r="T1242" s="15" t="str">
        <x:v>Log first source path or blocker</x:v>
      </x:c>
      <x:c r="U1242" s="12" t="str">
        <x:f>IF(OR(P1242="Unverified",Q1242="Not checked"),"BLOCKED_PENDING_RECEIPT","READY_FOR_REVIEW")</x:f>
        <x:v>BLOCKED_PENDING_RECEIPT</x:v>
      </x:c>
      <x:c r="V1242" s="12" t="str">
        <x:f>IF(J1242="DONE","RETURNED",IF(U1242="BLOCKED_PENDING_RECEIPT","SOURCE_TOUCH_REQUIRED","IN_PROGRESS"))</x:f>
        <x:v>SOURCE_TOUCH_REQUIRED</x:v>
      </x:c>
      <x:c r="W1242" s="12" t="str">
        <x:f>IF(P1242="Unverified","missing_receipt","receipt_logged")</x:f>
        <x:v>missing_receipt</x:v>
      </x:c>
      <x:c r="X1242" s="12" t="str">
        <x:f>IF(Q1242="Not checked","raw_status_missing","raw_status_logged")</x:f>
        <x:v>raw_status_missing</x:v>
      </x:c>
      <x:c r="Y1242" s="12" t="str">
        <x:f>IF(U1242="BLOCKED_PENDING_RECEIPT","Log source path or blocker; do not promote","Route to review lane")</x:f>
        <x:v>Log source path or blocker; do not promote</x:v>
      </x:c>
      <x:c r="Z1242" s="12" t="str">
        <x:f>IF(K1242="P0","Primary seat + Hashlight/Lucerna","Seat lane")</x:f>
        <x:v>Seat lane</x:v>
      </x:c>
      <x:c r="AA1242" s="12" t="str">
        <x:f>IF(R1242="","no_claim_delta","claim_delta_present")</x:f>
        <x:v>no_claim_delta</x:v>
      </x:c>
      <x:c r="AB1242" s="12" t="str">
        <x:f>IF(S1242="","no_contradiction_delta","contradiction_delta_present")</x:f>
        <x:v>no_contradiction_delta</x:v>
      </x:c>
      <x:c r="AC1242" s="12" t="str">
        <x:f>IF(OR(ISNUMBER(SEARCH("hacker",LOWER(F1242&amp;" "&amp;H1242&amp;" "&amp;I1242&amp;" "&amp;M1242&amp;" "&amp;N1242&amp;" "&amp;T1242))),ISNUMBER(SEARCH("hacking",LOWER(F1242&amp;" "&amp;H1242&amp;" "&amp;I1242&amp;" "&amp;M1242&amp;" "&amp;N1242&amp;" "&amp;T1242))),ISNUMBER(SEARCH("bank",LOWER(F1242&amp;" "&amp;H1242&amp;" "&amp;I1242&amp;" "&amp;M1242&amp;" "&amp;N1242&amp;" "&amp;T1242))),ISNUMBER(SEARCH("banking",LOWER(F1242&amp;" "&amp;H1242&amp;" "&amp;I1242&amp;" "&amp;M1242&amp;" "&amp;N1242&amp;" "&amp;T1242)))),"PRIVATE_QUARANTINE",IF(OR(ISNUMBER(SEARCH("treasury",LOWER(F1242&amp;" "&amp;H1242&amp;" "&amp;I1242&amp;" "&amp;M1242&amp;" "&amp;N1242&amp;" "&amp;T1242))),ISNUMBER(SEARCH("debt",LOWER(F1242&amp;" "&amp;H1242&amp;" "&amp;I1242&amp;" "&amp;M1242&amp;" "&amp;N1242&amp;" "&amp;T1242))),ISNUMBER(SEARCH("bond",LOWER(F1242&amp;" "&amp;H1242&amp;" "&amp;I1242&amp;" "&amp;M1242&amp;" "&amp;N1242&amp;" "&amp;T1242))),ISNUMBER(SEARCH("transaction",LOWER(F1242&amp;" "&amp;H1242&amp;" "&amp;I1242&amp;" "&amp;M1242&amp;" "&amp;N1242&amp;" "&amp;T1242)))),"PRIVATE_REVIEW","PUBLIC_CANDIDATE"))</x:f>
        <x:v>PUBLIC_CANDIDATE</x:v>
      </x:c>
      <x:c r="AD1242" s="12" t="str">
        <x:f>IF(AC1242="PRIVATE_QUARANTINE","hacker_or_bank_trigger",IF(AC1242="PRIVATE_REVIEW","finance_risk_trigger","none"))</x:f>
        <x:v>none</x:v>
      </x:c>
      <x:c r="AE1242" s="12" t="str">
        <x:f>IF(AC1242="PUBLIC_CANDIDATE","prepare_public_github_candidate",IF(AC1242="PRIVATE_REVIEW","hold_for_private_review","quarantine_private_do_not_publish"))</x:f>
        <x:v>prepare_public_github_candidate</x:v>
      </x:c>
      <x:c r="AF1242" s="12" t="str">
        <x:f>IF(AC1242="PUBLIC_CANDIDATE","TIDELOCK + Lucerna",IF(AC1242="PRIVATE_REVIEW","AtlasBrain + Lucerna","TIDELOCK + Lucerna + Human-root"))</x:f>
        <x:v>TIDELOCK + Lucerna</x:v>
      </x:c>
      <x:c r="AG1242" s="12" t="str">
        <x:f>IF(AND(AC1242="PUBLIC_CANDIDATE",U1242&lt;&gt;"BLOCKED_PENDING_RECEIPT"),"READY_AFTER_RECEIPT","NOT_READY")</x:f>
        <x:v>NOT_READY</x:v>
      </x:c>
      <x:c r="AH1242" s="12" t="str">
        <x:f>IF(AC1242="PUBLIC_CANDIDATE","none",AD1242)</x:f>
        <x:v>none</x:v>
      </x:c>
      <x:c r="AI1242" s="12" t="str">
        <x:f>IF(AC1242="PUBLIC_CANDIDATE","archive/public_candidates/"&amp;A1242,"private_quarantine/"&amp;A1242)</x:f>
        <x:v>archive/public_candidates/SWARM-09-H08-S05</x:v>
      </x:c>
      <x:c r="AJ1242" s="12" t="str">
        <x:f>IF(AC1242="PUBLIC_CANDIDATE","public by default; still not canon","private/hold; do not publish")</x:f>
        <x:v>public by default; still not canon</x:v>
      </x:c>
      <x:c r="AK1242" s="12" t="str">
        <x:f>IF(AE1242="prepare_public_github_candidate","add receipt/status then mirror","resolve blocker before any public GitHub action")</x:f>
        <x:v>add receipt/status then mirror</x:v>
      </x:c>
    </x:row>
    <x:row r="1243">
      <x:c r="A1243" s="15" t="str">
        <x:v>SWARM-09-H08-S06</x:v>
      </x:c>
      <x:c r="B1243" s="15" t="str">
        <x:v>NotionMoth</x:v>
      </x:c>
      <x:c r="C1243" s="15" t="str">
        <x:v>Notion ontology mapper</x:v>
      </x:c>
      <x:c r="D1243" s="15" t="str">
        <x:v>Graph Edge Proposals</x:v>
      </x:c>
      <x:c r="E1243" s="15" t="str">
        <x:v>External Web</x:v>
      </x:c>
      <x:c r="F1243" s="15" t="str">
        <x:v>Propose graph edges for External Web — NotionMoth</x:v>
      </x:c>
      <x:c r="G1243" s="15" t="str">
        <x:v>legacy schema / Notion export prep</x:v>
      </x:c>
      <x:c r="H1243" s="15" t="str">
        <x:v>source path + receipt + raw/export status + claim/edge/risk delta</x:v>
      </x:c>
      <x:c r="I1243" s="15" t="str">
        <x:v>packet/SWARM-09-H08-S06</x:v>
      </x:c>
      <x:c r="J1243" s="15" t="str">
        <x:v>TODO</x:v>
      </x:c>
      <x:c r="K1243" s="15" t="str">
        <x:v>P1</x:v>
      </x:c>
      <x:c r="L1243" s="15" t="str">
        <x:v>Done only when evidence is logged, contradiction search is noted, and boundary stamp remains non-canon unless ratified</x:v>
      </x:c>
      <x:c r="M1243" s="15" t="str">
        <x:v>candidate / staging-only / not canon / not deployed / authority none</x:v>
      </x:c>
      <x:c r="N1243" s="15" t="str">
        <x:v>Dispatch to NotionMoth: complete Graph Edge Proposals x External Web; return deltas only, receipts required.</x:v>
      </x:c>
      <x:c r="O1243" s="15" t="str">
        <x:v>AF-KG-H08-S06</x:v>
      </x:c>
      <x:c r="P1243" s="15" t="str">
        <x:v>Unverified</x:v>
      </x:c>
      <x:c r="Q1243" s="15" t="str">
        <x:v>Not checked</x:v>
      </x:c>
      <x:c r="R1243" s="15" t="str"/>
      <x:c r="S1243" s="15" t="str"/>
      <x:c r="T1243" s="15" t="str">
        <x:v>Log first source path or blocker</x:v>
      </x:c>
      <x:c r="U1243" s="12" t="str">
        <x:f>IF(OR(P1243="Unverified",Q1243="Not checked"),"BLOCKED_PENDING_RECEIPT","READY_FOR_REVIEW")</x:f>
        <x:v>BLOCKED_PENDING_RECEIPT</x:v>
      </x:c>
      <x:c r="V1243" s="12" t="str">
        <x:f>IF(J1243="DONE","RETURNED",IF(U1243="BLOCKED_PENDING_RECEIPT","SOURCE_TOUCH_REQUIRED","IN_PROGRESS"))</x:f>
        <x:v>SOURCE_TOUCH_REQUIRED</x:v>
      </x:c>
      <x:c r="W1243" s="12" t="str">
        <x:f>IF(P1243="Unverified","missing_receipt","receipt_logged")</x:f>
        <x:v>missing_receipt</x:v>
      </x:c>
      <x:c r="X1243" s="12" t="str">
        <x:f>IF(Q1243="Not checked","raw_status_missing","raw_status_logged")</x:f>
        <x:v>raw_status_missing</x:v>
      </x:c>
      <x:c r="Y1243" s="12" t="str">
        <x:f>IF(U1243="BLOCKED_PENDING_RECEIPT","Log source path or blocker; do not promote","Route to review lane")</x:f>
        <x:v>Log source path or blocker; do not promote</x:v>
      </x:c>
      <x:c r="Z1243" s="12" t="str">
        <x:f>IF(K1243="P0","Primary seat + Hashlight/Lucerna","Seat lane")</x:f>
        <x:v>Seat lane</x:v>
      </x:c>
      <x:c r="AA1243" s="12" t="str">
        <x:f>IF(R1243="","no_claim_delta","claim_delta_present")</x:f>
        <x:v>no_claim_delta</x:v>
      </x:c>
      <x:c r="AB1243" s="12" t="str">
        <x:f>IF(S1243="","no_contradiction_delta","contradiction_delta_present")</x:f>
        <x:v>no_contradiction_delta</x:v>
      </x:c>
      <x:c r="AC1243" s="12" t="str">
        <x:f>IF(OR(ISNUMBER(SEARCH("hacker",LOWER(F1243&amp;" "&amp;H1243&amp;" "&amp;I1243&amp;" "&amp;M1243&amp;" "&amp;N1243&amp;" "&amp;T1243))),ISNUMBER(SEARCH("hacking",LOWER(F1243&amp;" "&amp;H1243&amp;" "&amp;I1243&amp;" "&amp;M1243&amp;" "&amp;N1243&amp;" "&amp;T1243))),ISNUMBER(SEARCH("bank",LOWER(F1243&amp;" "&amp;H1243&amp;" "&amp;I1243&amp;" "&amp;M1243&amp;" "&amp;N1243&amp;" "&amp;T1243))),ISNUMBER(SEARCH("banking",LOWER(F1243&amp;" "&amp;H1243&amp;" "&amp;I1243&amp;" "&amp;M1243&amp;" "&amp;N1243&amp;" "&amp;T1243)))),"PRIVATE_QUARANTINE",IF(OR(ISNUMBER(SEARCH("treasury",LOWER(F1243&amp;" "&amp;H1243&amp;" "&amp;I1243&amp;" "&amp;M1243&amp;" "&amp;N1243&amp;" "&amp;T1243))),ISNUMBER(SEARCH("debt",LOWER(F1243&amp;" "&amp;H1243&amp;" "&amp;I1243&amp;" "&amp;M1243&amp;" "&amp;N1243&amp;" "&amp;T1243))),ISNUMBER(SEARCH("bond",LOWER(F1243&amp;" "&amp;H1243&amp;" "&amp;I1243&amp;" "&amp;M1243&amp;" "&amp;N1243&amp;" "&amp;T1243))),ISNUMBER(SEARCH("transaction",LOWER(F1243&amp;" "&amp;H1243&amp;" "&amp;I1243&amp;" "&amp;M1243&amp;" "&amp;N1243&amp;" "&amp;T1243)))),"PRIVATE_REVIEW","PUBLIC_CANDIDATE"))</x:f>
        <x:v>PUBLIC_CANDIDATE</x:v>
      </x:c>
      <x:c r="AD1243" s="12" t="str">
        <x:f>IF(AC1243="PRIVATE_QUARANTINE","hacker_or_bank_trigger",IF(AC1243="PRIVATE_REVIEW","finance_risk_trigger","none"))</x:f>
        <x:v>none</x:v>
      </x:c>
      <x:c r="AE1243" s="12" t="str">
        <x:f>IF(AC1243="PUBLIC_CANDIDATE","prepare_public_github_candidate",IF(AC1243="PRIVATE_REVIEW","hold_for_private_review","quarantine_private_do_not_publish"))</x:f>
        <x:v>prepare_public_github_candidate</x:v>
      </x:c>
      <x:c r="AF1243" s="12" t="str">
        <x:f>IF(AC1243="PUBLIC_CANDIDATE","TIDELOCK + Lucerna",IF(AC1243="PRIVATE_REVIEW","AtlasBrain + Lucerna","TIDELOCK + Lucerna + Human-root"))</x:f>
        <x:v>TIDELOCK + Lucerna</x:v>
      </x:c>
      <x:c r="AG1243" s="12" t="str">
        <x:f>IF(AND(AC1243="PUBLIC_CANDIDATE",U1243&lt;&gt;"BLOCKED_PENDING_RECEIPT"),"READY_AFTER_RECEIPT","NOT_READY")</x:f>
        <x:v>NOT_READY</x:v>
      </x:c>
      <x:c r="AH1243" s="12" t="str">
        <x:f>IF(AC1243="PUBLIC_CANDIDATE","none",AD1243)</x:f>
        <x:v>none</x:v>
      </x:c>
      <x:c r="AI1243" s="12" t="str">
        <x:f>IF(AC1243="PUBLIC_CANDIDATE","archive/public_candidates/"&amp;A1243,"private_quarantine/"&amp;A1243)</x:f>
        <x:v>archive/public_candidates/SWARM-09-H08-S06</x:v>
      </x:c>
      <x:c r="AJ1243" s="12" t="str">
        <x:f>IF(AC1243="PUBLIC_CANDIDATE","public by default; still not canon","private/hold; do not publish")</x:f>
        <x:v>public by default; still not canon</x:v>
      </x:c>
      <x:c r="AK1243" s="12" t="str">
        <x:f>IF(AE1243="prepare_public_github_candidate","add receipt/status then mirror","resolve blocker before any public GitHub action")</x:f>
        <x:v>add receipt/status then mirror</x:v>
      </x:c>
    </x:row>
    <x:row r="1244">
      <x:c r="A1244" s="15" t="str">
        <x:v>SWARM-09-H08-S07</x:v>
      </x:c>
      <x:c r="B1244" s="15" t="str">
        <x:v>NotionMoth</x:v>
      </x:c>
      <x:c r="C1244" s="15" t="str">
        <x:v>Notion ontology mapper</x:v>
      </x:c>
      <x:c r="D1244" s="15" t="str">
        <x:v>Graph Edge Proposals</x:v>
      </x:c>
      <x:c r="E1244" s="15" t="str">
        <x:v>Planetarium</x:v>
      </x:c>
      <x:c r="F1244" s="15" t="str">
        <x:v>Propose graph edges for Planetarium — NotionMoth</x:v>
      </x:c>
      <x:c r="G1244" s="15" t="str">
        <x:v>legacy schema / Notion export prep</x:v>
      </x:c>
      <x:c r="H1244" s="15" t="str">
        <x:v>source path + receipt + raw/export status + claim/edge/risk delta</x:v>
      </x:c>
      <x:c r="I1244" s="15" t="str">
        <x:v>packet/SWARM-09-H08-S07</x:v>
      </x:c>
      <x:c r="J1244" s="15" t="str">
        <x:v>TODO</x:v>
      </x:c>
      <x:c r="K1244" s="15" t="str">
        <x:v>P1</x:v>
      </x:c>
      <x:c r="L1244" s="15" t="str">
        <x:v>Done only when evidence is logged, contradiction search is noted, and boundary stamp remains non-canon unless ratified</x:v>
      </x:c>
      <x:c r="M1244" s="15" t="str">
        <x:v>candidate / staging-only / not canon / not deployed / authority none</x:v>
      </x:c>
      <x:c r="N1244" s="15" t="str">
        <x:v>Dispatch to NotionMoth: complete Graph Edge Proposals x Planetarium; return deltas only, receipts required.</x:v>
      </x:c>
      <x:c r="O1244" s="15" t="str">
        <x:v>AF-KG-H08-S07</x:v>
      </x:c>
      <x:c r="P1244" s="15" t="str">
        <x:v>Unverified</x:v>
      </x:c>
      <x:c r="Q1244" s="15" t="str">
        <x:v>Not checked</x:v>
      </x:c>
      <x:c r="R1244" s="15" t="str"/>
      <x:c r="S1244" s="15" t="str"/>
      <x:c r="T1244" s="15" t="str">
        <x:v>Log first source path or blocker</x:v>
      </x:c>
      <x:c r="U1244" s="12" t="str">
        <x:f>IF(OR(P1244="Unverified",Q1244="Not checked"),"BLOCKED_PENDING_RECEIPT","READY_FOR_REVIEW")</x:f>
        <x:v>BLOCKED_PENDING_RECEIPT</x:v>
      </x:c>
      <x:c r="V1244" s="12" t="str">
        <x:f>IF(J1244="DONE","RETURNED",IF(U1244="BLOCKED_PENDING_RECEIPT","SOURCE_TOUCH_REQUIRED","IN_PROGRESS"))</x:f>
        <x:v>SOURCE_TOUCH_REQUIRED</x:v>
      </x:c>
      <x:c r="W1244" s="12" t="str">
        <x:f>IF(P1244="Unverified","missing_receipt","receipt_logged")</x:f>
        <x:v>missing_receipt</x:v>
      </x:c>
      <x:c r="X1244" s="12" t="str">
        <x:f>IF(Q1244="Not checked","raw_status_missing","raw_status_logged")</x:f>
        <x:v>raw_status_missing</x:v>
      </x:c>
      <x:c r="Y1244" s="12" t="str">
        <x:f>IF(U1244="BLOCKED_PENDING_RECEIPT","Log source path or blocker; do not promote","Route to review lane")</x:f>
        <x:v>Log source path or blocker; do not promote</x:v>
      </x:c>
      <x:c r="Z1244" s="12" t="str">
        <x:f>IF(K1244="P0","Primary seat + Hashlight/Lucerna","Seat lane")</x:f>
        <x:v>Seat lane</x:v>
      </x:c>
      <x:c r="AA1244" s="12" t="str">
        <x:f>IF(R1244="","no_claim_delta","claim_delta_present")</x:f>
        <x:v>no_claim_delta</x:v>
      </x:c>
      <x:c r="AB1244" s="12" t="str">
        <x:f>IF(S1244="","no_contradiction_delta","contradiction_delta_present")</x:f>
        <x:v>no_contradiction_delta</x:v>
      </x:c>
      <x:c r="AC1244" s="12" t="str">
        <x:f>IF(OR(ISNUMBER(SEARCH("hacker",LOWER(F1244&amp;" "&amp;H1244&amp;" "&amp;I1244&amp;" "&amp;M1244&amp;" "&amp;N1244&amp;" "&amp;T1244))),ISNUMBER(SEARCH("hacking",LOWER(F1244&amp;" "&amp;H1244&amp;" "&amp;I1244&amp;" "&amp;M1244&amp;" "&amp;N1244&amp;" "&amp;T1244))),ISNUMBER(SEARCH("bank",LOWER(F1244&amp;" "&amp;H1244&amp;" "&amp;I1244&amp;" "&amp;M1244&amp;" "&amp;N1244&amp;" "&amp;T1244))),ISNUMBER(SEARCH("banking",LOWER(F1244&amp;" "&amp;H1244&amp;" "&amp;I1244&amp;" "&amp;M1244&amp;" "&amp;N1244&amp;" "&amp;T1244)))),"PRIVATE_QUARANTINE",IF(OR(ISNUMBER(SEARCH("treasury",LOWER(F1244&amp;" "&amp;H1244&amp;" "&amp;I1244&amp;" "&amp;M1244&amp;" "&amp;N1244&amp;" "&amp;T1244))),ISNUMBER(SEARCH("debt",LOWER(F1244&amp;" "&amp;H1244&amp;" "&amp;I1244&amp;" "&amp;M1244&amp;" "&amp;N1244&amp;" "&amp;T1244))),ISNUMBER(SEARCH("bond",LOWER(F1244&amp;" "&amp;H1244&amp;" "&amp;I1244&amp;" "&amp;M1244&amp;" "&amp;N1244&amp;" "&amp;T1244))),ISNUMBER(SEARCH("transaction",LOWER(F1244&amp;" "&amp;H1244&amp;" "&amp;I1244&amp;" "&amp;M1244&amp;" "&amp;N1244&amp;" "&amp;T1244)))),"PRIVATE_REVIEW","PUBLIC_CANDIDATE"))</x:f>
        <x:v>PUBLIC_CANDIDATE</x:v>
      </x:c>
      <x:c r="AD1244" s="12" t="str">
        <x:f>IF(AC1244="PRIVATE_QUARANTINE","hacker_or_bank_trigger",IF(AC1244="PRIVATE_REVIEW","finance_risk_trigger","none"))</x:f>
        <x:v>none</x:v>
      </x:c>
      <x:c r="AE1244" s="12" t="str">
        <x:f>IF(AC1244="PUBLIC_CANDIDATE","prepare_public_github_candidate",IF(AC1244="PRIVATE_REVIEW","hold_for_private_review","quarantine_private_do_not_publish"))</x:f>
        <x:v>prepare_public_github_candidate</x:v>
      </x:c>
      <x:c r="AF1244" s="12" t="str">
        <x:f>IF(AC1244="PUBLIC_CANDIDATE","TIDELOCK + Lucerna",IF(AC1244="PRIVATE_REVIEW","AtlasBrain + Lucerna","TIDELOCK + Lucerna + Human-root"))</x:f>
        <x:v>TIDELOCK + Lucerna</x:v>
      </x:c>
      <x:c r="AG1244" s="12" t="str">
        <x:f>IF(AND(AC1244="PUBLIC_CANDIDATE",U1244&lt;&gt;"BLOCKED_PENDING_RECEIPT"),"READY_AFTER_RECEIPT","NOT_READY")</x:f>
        <x:v>NOT_READY</x:v>
      </x:c>
      <x:c r="AH1244" s="12" t="str">
        <x:f>IF(AC1244="PUBLIC_CANDIDATE","none",AD1244)</x:f>
        <x:v>none</x:v>
      </x:c>
      <x:c r="AI1244" s="12" t="str">
        <x:f>IF(AC1244="PUBLIC_CANDIDATE","archive/public_candidates/"&amp;A1244,"private_quarantine/"&amp;A1244)</x:f>
        <x:v>archive/public_candidates/SWARM-09-H08-S07</x:v>
      </x:c>
      <x:c r="AJ1244" s="12" t="str">
        <x:f>IF(AC1244="PUBLIC_CANDIDATE","public by default; still not canon","private/hold; do not publish")</x:f>
        <x:v>public by default; still not canon</x:v>
      </x:c>
      <x:c r="AK1244" s="12" t="str">
        <x:f>IF(AE1244="prepare_public_github_candidate","add receipt/status then mirror","resolve blocker before any public GitHub action")</x:f>
        <x:v>add receipt/status then mirror</x:v>
      </x:c>
    </x:row>
    <x:row r="1245">
      <x:c r="A1245" s="15" t="str">
        <x:v>SWARM-09-H08-S08</x:v>
      </x:c>
      <x:c r="B1245" s="15" t="str">
        <x:v>NotionMoth</x:v>
      </x:c>
      <x:c r="C1245" s="15" t="str">
        <x:v>Notion ontology mapper</x:v>
      </x:c>
      <x:c r="D1245" s="15" t="str">
        <x:v>Graph Edge Proposals</x:v>
      </x:c>
      <x:c r="E1245" s="15" t="str">
        <x:v>Sheldonbrain</x:v>
      </x:c>
      <x:c r="F1245" s="15" t="str">
        <x:v>Propose graph edges for Sheldonbrain — NotionMoth</x:v>
      </x:c>
      <x:c r="G1245" s="15" t="str">
        <x:v>legacy schema / Notion export prep</x:v>
      </x:c>
      <x:c r="H1245" s="15" t="str">
        <x:v>source path + receipt + raw/export status + claim/edge/risk delta</x:v>
      </x:c>
      <x:c r="I1245" s="15" t="str">
        <x:v>packet/SWARM-09-H08-S08</x:v>
      </x:c>
      <x:c r="J1245" s="15" t="str">
        <x:v>TODO</x:v>
      </x:c>
      <x:c r="K1245" s="15" t="str">
        <x:v>P1</x:v>
      </x:c>
      <x:c r="L1245" s="15" t="str">
        <x:v>Done only when evidence is logged, contradiction search is noted, and boundary stamp remains non-canon unless ratified</x:v>
      </x:c>
      <x:c r="M1245" s="15" t="str">
        <x:v>candidate / staging-only / not canon / not deployed / authority none</x:v>
      </x:c>
      <x:c r="N1245" s="15" t="str">
        <x:v>Dispatch to NotionMoth: complete Graph Edge Proposals x Sheldonbrain; return deltas only, receipts required.</x:v>
      </x:c>
      <x:c r="O1245" s="15" t="str">
        <x:v>AF-KG-H08-S08</x:v>
      </x:c>
      <x:c r="P1245" s="15" t="str">
        <x:v>Unverified</x:v>
      </x:c>
      <x:c r="Q1245" s="15" t="str">
        <x:v>Not checked</x:v>
      </x:c>
      <x:c r="R1245" s="15" t="str"/>
      <x:c r="S1245" s="15" t="str"/>
      <x:c r="T1245" s="15" t="str">
        <x:v>Log first source path or blocker</x:v>
      </x:c>
      <x:c r="U1245" s="12" t="str">
        <x:f>IF(OR(P1245="Unverified",Q1245="Not checked"),"BLOCKED_PENDING_RECEIPT","READY_FOR_REVIEW")</x:f>
        <x:v>BLOCKED_PENDING_RECEIPT</x:v>
      </x:c>
      <x:c r="V1245" s="12" t="str">
        <x:f>IF(J1245="DONE","RETURNED",IF(U1245="BLOCKED_PENDING_RECEIPT","SOURCE_TOUCH_REQUIRED","IN_PROGRESS"))</x:f>
        <x:v>SOURCE_TOUCH_REQUIRED</x:v>
      </x:c>
      <x:c r="W1245" s="12" t="str">
        <x:f>IF(P1245="Unverified","missing_receipt","receipt_logged")</x:f>
        <x:v>missing_receipt</x:v>
      </x:c>
      <x:c r="X1245" s="12" t="str">
        <x:f>IF(Q1245="Not checked","raw_status_missing","raw_status_logged")</x:f>
        <x:v>raw_status_missing</x:v>
      </x:c>
      <x:c r="Y1245" s="12" t="str">
        <x:f>IF(U1245="BLOCKED_PENDING_RECEIPT","Log source path or blocker; do not promote","Route to review lane")</x:f>
        <x:v>Log source path or blocker; do not promote</x:v>
      </x:c>
      <x:c r="Z1245" s="12" t="str">
        <x:f>IF(K1245="P0","Primary seat + Hashlight/Lucerna","Seat lane")</x:f>
        <x:v>Seat lane</x:v>
      </x:c>
      <x:c r="AA1245" s="12" t="str">
        <x:f>IF(R1245="","no_claim_delta","claim_delta_present")</x:f>
        <x:v>no_claim_delta</x:v>
      </x:c>
      <x:c r="AB1245" s="12" t="str">
        <x:f>IF(S1245="","no_contradiction_delta","contradiction_delta_present")</x:f>
        <x:v>no_contradiction_delta</x:v>
      </x:c>
      <x:c r="AC1245" s="12" t="str">
        <x:f>IF(OR(ISNUMBER(SEARCH("hacker",LOWER(F1245&amp;" "&amp;H1245&amp;" "&amp;I1245&amp;" "&amp;M1245&amp;" "&amp;N1245&amp;" "&amp;T1245))),ISNUMBER(SEARCH("hacking",LOWER(F1245&amp;" "&amp;H1245&amp;" "&amp;I1245&amp;" "&amp;M1245&amp;" "&amp;N1245&amp;" "&amp;T1245))),ISNUMBER(SEARCH("bank",LOWER(F1245&amp;" "&amp;H1245&amp;" "&amp;I1245&amp;" "&amp;M1245&amp;" "&amp;N1245&amp;" "&amp;T1245))),ISNUMBER(SEARCH("banking",LOWER(F1245&amp;" "&amp;H1245&amp;" "&amp;I1245&amp;" "&amp;M1245&amp;" "&amp;N1245&amp;" "&amp;T1245)))),"PRIVATE_QUARANTINE",IF(OR(ISNUMBER(SEARCH("treasury",LOWER(F1245&amp;" "&amp;H1245&amp;" "&amp;I1245&amp;" "&amp;M1245&amp;" "&amp;N1245&amp;" "&amp;T1245))),ISNUMBER(SEARCH("debt",LOWER(F1245&amp;" "&amp;H1245&amp;" "&amp;I1245&amp;" "&amp;M1245&amp;" "&amp;N1245&amp;" "&amp;T1245))),ISNUMBER(SEARCH("bond",LOWER(F1245&amp;" "&amp;H1245&amp;" "&amp;I1245&amp;" "&amp;M1245&amp;" "&amp;N1245&amp;" "&amp;T1245))),ISNUMBER(SEARCH("transaction",LOWER(F1245&amp;" "&amp;H1245&amp;" "&amp;I1245&amp;" "&amp;M1245&amp;" "&amp;N1245&amp;" "&amp;T1245)))),"PRIVATE_REVIEW","PUBLIC_CANDIDATE"))</x:f>
        <x:v>PUBLIC_CANDIDATE</x:v>
      </x:c>
      <x:c r="AD1245" s="12" t="str">
        <x:f>IF(AC1245="PRIVATE_QUARANTINE","hacker_or_bank_trigger",IF(AC1245="PRIVATE_REVIEW","finance_risk_trigger","none"))</x:f>
        <x:v>none</x:v>
      </x:c>
      <x:c r="AE1245" s="12" t="str">
        <x:f>IF(AC1245="PUBLIC_CANDIDATE","prepare_public_github_candidate",IF(AC1245="PRIVATE_REVIEW","hold_for_private_review","quarantine_private_do_not_publish"))</x:f>
        <x:v>prepare_public_github_candidate</x:v>
      </x:c>
      <x:c r="AF1245" s="12" t="str">
        <x:f>IF(AC1245="PUBLIC_CANDIDATE","TIDELOCK + Lucerna",IF(AC1245="PRIVATE_REVIEW","AtlasBrain + Lucerna","TIDELOCK + Lucerna + Human-root"))</x:f>
        <x:v>TIDELOCK + Lucerna</x:v>
      </x:c>
      <x:c r="AG1245" s="12" t="str">
        <x:f>IF(AND(AC1245="PUBLIC_CANDIDATE",U1245&lt;&gt;"BLOCKED_PENDING_RECEIPT"),"READY_AFTER_RECEIPT","NOT_READY")</x:f>
        <x:v>NOT_READY</x:v>
      </x:c>
      <x:c r="AH1245" s="12" t="str">
        <x:f>IF(AC1245="PUBLIC_CANDIDATE","none",AD1245)</x:f>
        <x:v>none</x:v>
      </x:c>
      <x:c r="AI1245" s="12" t="str">
        <x:f>IF(AC1245="PUBLIC_CANDIDATE","archive/public_candidates/"&amp;A1245,"private_quarantine/"&amp;A1245)</x:f>
        <x:v>archive/public_candidates/SWARM-09-H08-S08</x:v>
      </x:c>
      <x:c r="AJ1245" s="12" t="str">
        <x:f>IF(AC1245="PUBLIC_CANDIDATE","public by default; still not canon","private/hold; do not publish")</x:f>
        <x:v>public by default; still not canon</x:v>
      </x:c>
      <x:c r="AK1245" s="12" t="str">
        <x:f>IF(AE1245="prepare_public_github_candidate","add receipt/status then mirror","resolve blocker before any public GitHub action")</x:f>
        <x:v>add receipt/status then mirror</x:v>
      </x:c>
    </x:row>
    <x:row r="1246">
      <x:c r="A1246" s="15" t="str">
        <x:v>SWARM-09-H08-S09</x:v>
      </x:c>
      <x:c r="B1246" s="15" t="str">
        <x:v>NotionMoth</x:v>
      </x:c>
      <x:c r="C1246" s="15" t="str">
        <x:v>Notion ontology mapper</x:v>
      </x:c>
      <x:c r="D1246" s="15" t="str">
        <x:v>Graph Edge Proposals</x:v>
      </x:c>
      <x:c r="E1246" s="15" t="str">
        <x:v>Aetherforge</x:v>
      </x:c>
      <x:c r="F1246" s="15" t="str">
        <x:v>Propose graph edges for Aetherforge — NotionMoth</x:v>
      </x:c>
      <x:c r="G1246" s="15" t="str">
        <x:v>legacy schema / Notion export prep</x:v>
      </x:c>
      <x:c r="H1246" s="15" t="str">
        <x:v>source path + receipt + raw/export status + claim/edge/risk delta</x:v>
      </x:c>
      <x:c r="I1246" s="15" t="str">
        <x:v>packet/SWARM-09-H08-S09</x:v>
      </x:c>
      <x:c r="J1246" s="15" t="str">
        <x:v>TODO</x:v>
      </x:c>
      <x:c r="K1246" s="15" t="str">
        <x:v>P2</x:v>
      </x:c>
      <x:c r="L1246" s="15" t="str">
        <x:v>Done only when evidence is logged, contradiction search is noted, and boundary stamp remains non-canon unless ratified</x:v>
      </x:c>
      <x:c r="M1246" s="15" t="str">
        <x:v>candidate / staging-only / not canon / not deployed / authority none</x:v>
      </x:c>
      <x:c r="N1246" s="15" t="str">
        <x:v>Dispatch to NotionMoth: complete Graph Edge Proposals x Aetherforge; return deltas only, receipts required.</x:v>
      </x:c>
      <x:c r="O1246" s="15" t="str">
        <x:v>AF-KG-H08-S09</x:v>
      </x:c>
      <x:c r="P1246" s="15" t="str">
        <x:v>Unverified</x:v>
      </x:c>
      <x:c r="Q1246" s="15" t="str">
        <x:v>Not checked</x:v>
      </x:c>
      <x:c r="R1246" s="15" t="str"/>
      <x:c r="S1246" s="15" t="str"/>
      <x:c r="T1246" s="15" t="str">
        <x:v>Log first source path or blocker</x:v>
      </x:c>
      <x:c r="U1246" s="12" t="str">
        <x:f>IF(OR(P1246="Unverified",Q1246="Not checked"),"BLOCKED_PENDING_RECEIPT","READY_FOR_REVIEW")</x:f>
        <x:v>BLOCKED_PENDING_RECEIPT</x:v>
      </x:c>
      <x:c r="V1246" s="12" t="str">
        <x:f>IF(J1246="DONE","RETURNED",IF(U1246="BLOCKED_PENDING_RECEIPT","SOURCE_TOUCH_REQUIRED","IN_PROGRESS"))</x:f>
        <x:v>SOURCE_TOUCH_REQUIRED</x:v>
      </x:c>
      <x:c r="W1246" s="12" t="str">
        <x:f>IF(P1246="Unverified","missing_receipt","receipt_logged")</x:f>
        <x:v>missing_receipt</x:v>
      </x:c>
      <x:c r="X1246" s="12" t="str">
        <x:f>IF(Q1246="Not checked","raw_status_missing","raw_status_logged")</x:f>
        <x:v>raw_status_missing</x:v>
      </x:c>
      <x:c r="Y1246" s="12" t="str">
        <x:f>IF(U1246="BLOCKED_PENDING_RECEIPT","Log source path or blocker; do not promote","Route to review lane")</x:f>
        <x:v>Log source path or blocker; do not promote</x:v>
      </x:c>
      <x:c r="Z1246" s="12" t="str">
        <x:f>IF(K1246="P0","Primary seat + Hashlight/Lucerna","Seat lane")</x:f>
        <x:v>Seat lane</x:v>
      </x:c>
      <x:c r="AA1246" s="12" t="str">
        <x:f>IF(R1246="","no_claim_delta","claim_delta_present")</x:f>
        <x:v>no_claim_delta</x:v>
      </x:c>
      <x:c r="AB1246" s="12" t="str">
        <x:f>IF(S1246="","no_contradiction_delta","contradiction_delta_present")</x:f>
        <x:v>no_contradiction_delta</x:v>
      </x:c>
      <x:c r="AC1246" s="12" t="str">
        <x:f>IF(OR(ISNUMBER(SEARCH("hacker",LOWER(F1246&amp;" "&amp;H1246&amp;" "&amp;I1246&amp;" "&amp;M1246&amp;" "&amp;N1246&amp;" "&amp;T1246))),ISNUMBER(SEARCH("hacking",LOWER(F1246&amp;" "&amp;H1246&amp;" "&amp;I1246&amp;" "&amp;M1246&amp;" "&amp;N1246&amp;" "&amp;T1246))),ISNUMBER(SEARCH("bank",LOWER(F1246&amp;" "&amp;H1246&amp;" "&amp;I1246&amp;" "&amp;M1246&amp;" "&amp;N1246&amp;" "&amp;T1246))),ISNUMBER(SEARCH("banking",LOWER(F1246&amp;" "&amp;H1246&amp;" "&amp;I1246&amp;" "&amp;M1246&amp;" "&amp;N1246&amp;" "&amp;T1246)))),"PRIVATE_QUARANTINE",IF(OR(ISNUMBER(SEARCH("treasury",LOWER(F1246&amp;" "&amp;H1246&amp;" "&amp;I1246&amp;" "&amp;M1246&amp;" "&amp;N1246&amp;" "&amp;T1246))),ISNUMBER(SEARCH("debt",LOWER(F1246&amp;" "&amp;H1246&amp;" "&amp;I1246&amp;" "&amp;M1246&amp;" "&amp;N1246&amp;" "&amp;T1246))),ISNUMBER(SEARCH("bond",LOWER(F1246&amp;" "&amp;H1246&amp;" "&amp;I1246&amp;" "&amp;M1246&amp;" "&amp;N1246&amp;" "&amp;T1246))),ISNUMBER(SEARCH("transaction",LOWER(F1246&amp;" "&amp;H1246&amp;" "&amp;I1246&amp;" "&amp;M1246&amp;" "&amp;N1246&amp;" "&amp;T1246)))),"PRIVATE_REVIEW","PUBLIC_CANDIDATE"))</x:f>
        <x:v>PUBLIC_CANDIDATE</x:v>
      </x:c>
      <x:c r="AD1246" s="12" t="str">
        <x:f>IF(AC1246="PRIVATE_QUARANTINE","hacker_or_bank_trigger",IF(AC1246="PRIVATE_REVIEW","finance_risk_trigger","none"))</x:f>
        <x:v>none</x:v>
      </x:c>
      <x:c r="AE1246" s="12" t="str">
        <x:f>IF(AC1246="PUBLIC_CANDIDATE","prepare_public_github_candidate",IF(AC1246="PRIVATE_REVIEW","hold_for_private_review","quarantine_private_do_not_publish"))</x:f>
        <x:v>prepare_public_github_candidate</x:v>
      </x:c>
      <x:c r="AF1246" s="12" t="str">
        <x:f>IF(AC1246="PUBLIC_CANDIDATE","TIDELOCK + Lucerna",IF(AC1246="PRIVATE_REVIEW","AtlasBrain + Lucerna","TIDELOCK + Lucerna + Human-root"))</x:f>
        <x:v>TIDELOCK + Lucerna</x:v>
      </x:c>
      <x:c r="AG1246" s="12" t="str">
        <x:f>IF(AND(AC1246="PUBLIC_CANDIDATE",U1246&lt;&gt;"BLOCKED_PENDING_RECEIPT"),"READY_AFTER_RECEIPT","NOT_READY")</x:f>
        <x:v>NOT_READY</x:v>
      </x:c>
      <x:c r="AH1246" s="12" t="str">
        <x:f>IF(AC1246="PUBLIC_CANDIDATE","none",AD1246)</x:f>
        <x:v>none</x:v>
      </x:c>
      <x:c r="AI1246" s="12" t="str">
        <x:f>IF(AC1246="PUBLIC_CANDIDATE","archive/public_candidates/"&amp;A1246,"private_quarantine/"&amp;A1246)</x:f>
        <x:v>archive/public_candidates/SWARM-09-H08-S09</x:v>
      </x:c>
      <x:c r="AJ1246" s="12" t="str">
        <x:f>IF(AC1246="PUBLIC_CANDIDATE","public by default; still not canon","private/hold; do not publish")</x:f>
        <x:v>public by default; still not canon</x:v>
      </x:c>
      <x:c r="AK1246" s="12" t="str">
        <x:f>IF(AE1246="prepare_public_github_candidate","add receipt/status then mirror","resolve blocker before any public GitHub action")</x:f>
        <x:v>add receipt/status then mirror</x:v>
      </x:c>
    </x:row>
    <x:row r="1247">
      <x:c r="A1247" s="15" t="str">
        <x:v>SWARM-09-H08-S10</x:v>
      </x:c>
      <x:c r="B1247" s="15" t="str">
        <x:v>NotionMoth</x:v>
      </x:c>
      <x:c r="C1247" s="15" t="str">
        <x:v>Notion ontology mapper</x:v>
      </x:c>
      <x:c r="D1247" s="15" t="str">
        <x:v>Graph Edge Proposals</x:v>
      </x:c>
      <x:c r="E1247" s="15" t="str">
        <x:v>Human-Root</x:v>
      </x:c>
      <x:c r="F1247" s="15" t="str">
        <x:v>Propose graph edges for Human-Root — NotionMoth</x:v>
      </x:c>
      <x:c r="G1247" s="15" t="str">
        <x:v>legacy schema / Notion export prep</x:v>
      </x:c>
      <x:c r="H1247" s="15" t="str">
        <x:v>source path + receipt + raw/export status + claim/edge/risk delta</x:v>
      </x:c>
      <x:c r="I1247" s="15" t="str">
        <x:v>packet/SWARM-09-H08-S10</x:v>
      </x:c>
      <x:c r="J1247" s="15" t="str">
        <x:v>TODO</x:v>
      </x:c>
      <x:c r="K1247" s="15" t="str">
        <x:v>P2</x:v>
      </x:c>
      <x:c r="L1247" s="15" t="str">
        <x:v>Done only when evidence is logged, contradiction search is noted, and boundary stamp remains non-canon unless ratified</x:v>
      </x:c>
      <x:c r="M1247" s="15" t="str">
        <x:v>candidate / staging-only / not canon / not deployed / authority none</x:v>
      </x:c>
      <x:c r="N1247" s="15" t="str">
        <x:v>Dispatch to NotionMoth: complete Graph Edge Proposals x Human-Root; return deltas only, receipts required.</x:v>
      </x:c>
      <x:c r="O1247" s="15" t="str">
        <x:v>AF-KG-H08-S10</x:v>
      </x:c>
      <x:c r="P1247" s="15" t="str">
        <x:v>Unverified</x:v>
      </x:c>
      <x:c r="Q1247" s="15" t="str">
        <x:v>Not checked</x:v>
      </x:c>
      <x:c r="R1247" s="15" t="str"/>
      <x:c r="S1247" s="15" t="str"/>
      <x:c r="T1247" s="15" t="str">
        <x:v>Log first source path or blocker</x:v>
      </x:c>
      <x:c r="U1247" s="12" t="str">
        <x:f>IF(OR(P1247="Unverified",Q1247="Not checked"),"BLOCKED_PENDING_RECEIPT","READY_FOR_REVIEW")</x:f>
        <x:v>BLOCKED_PENDING_RECEIPT</x:v>
      </x:c>
      <x:c r="V1247" s="12" t="str">
        <x:f>IF(J1247="DONE","RETURNED",IF(U1247="BLOCKED_PENDING_RECEIPT","SOURCE_TOUCH_REQUIRED","IN_PROGRESS"))</x:f>
        <x:v>SOURCE_TOUCH_REQUIRED</x:v>
      </x:c>
      <x:c r="W1247" s="12" t="str">
        <x:f>IF(P1247="Unverified","missing_receipt","receipt_logged")</x:f>
        <x:v>missing_receipt</x:v>
      </x:c>
      <x:c r="X1247" s="12" t="str">
        <x:f>IF(Q1247="Not checked","raw_status_missing","raw_status_logged")</x:f>
        <x:v>raw_status_missing</x:v>
      </x:c>
      <x:c r="Y1247" s="12" t="str">
        <x:f>IF(U1247="BLOCKED_PENDING_RECEIPT","Log source path or blocker; do not promote","Route to review lane")</x:f>
        <x:v>Log source path or blocker; do not promote</x:v>
      </x:c>
      <x:c r="Z1247" s="12" t="str">
        <x:f>IF(K1247="P0","Primary seat + Hashlight/Lucerna","Seat lane")</x:f>
        <x:v>Seat lane</x:v>
      </x:c>
      <x:c r="AA1247" s="12" t="str">
        <x:f>IF(R1247="","no_claim_delta","claim_delta_present")</x:f>
        <x:v>no_claim_delta</x:v>
      </x:c>
      <x:c r="AB1247" s="12" t="str">
        <x:f>IF(S1247="","no_contradiction_delta","contradiction_delta_present")</x:f>
        <x:v>no_contradiction_delta</x:v>
      </x:c>
      <x:c r="AC1247" s="12" t="str">
        <x:f>IF(OR(ISNUMBER(SEARCH("hacker",LOWER(F1247&amp;" "&amp;H1247&amp;" "&amp;I1247&amp;" "&amp;M1247&amp;" "&amp;N1247&amp;" "&amp;T1247))),ISNUMBER(SEARCH("hacking",LOWER(F1247&amp;" "&amp;H1247&amp;" "&amp;I1247&amp;" "&amp;M1247&amp;" "&amp;N1247&amp;" "&amp;T1247))),ISNUMBER(SEARCH("bank",LOWER(F1247&amp;" "&amp;H1247&amp;" "&amp;I1247&amp;" "&amp;M1247&amp;" "&amp;N1247&amp;" "&amp;T1247))),ISNUMBER(SEARCH("banking",LOWER(F1247&amp;" "&amp;H1247&amp;" "&amp;I1247&amp;" "&amp;M1247&amp;" "&amp;N1247&amp;" "&amp;T1247)))),"PRIVATE_QUARANTINE",IF(OR(ISNUMBER(SEARCH("treasury",LOWER(F1247&amp;" "&amp;H1247&amp;" "&amp;I1247&amp;" "&amp;M1247&amp;" "&amp;N1247&amp;" "&amp;T1247))),ISNUMBER(SEARCH("debt",LOWER(F1247&amp;" "&amp;H1247&amp;" "&amp;I1247&amp;" "&amp;M1247&amp;" "&amp;N1247&amp;" "&amp;T1247))),ISNUMBER(SEARCH("bond",LOWER(F1247&amp;" "&amp;H1247&amp;" "&amp;I1247&amp;" "&amp;M1247&amp;" "&amp;N1247&amp;" "&amp;T1247))),ISNUMBER(SEARCH("transaction",LOWER(F1247&amp;" "&amp;H1247&amp;" "&amp;I1247&amp;" "&amp;M1247&amp;" "&amp;N1247&amp;" "&amp;T1247)))),"PRIVATE_REVIEW","PUBLIC_CANDIDATE"))</x:f>
        <x:v>PUBLIC_CANDIDATE</x:v>
      </x:c>
      <x:c r="AD1247" s="12" t="str">
        <x:f>IF(AC1247="PRIVATE_QUARANTINE","hacker_or_bank_trigger",IF(AC1247="PRIVATE_REVIEW","finance_risk_trigger","none"))</x:f>
        <x:v>none</x:v>
      </x:c>
      <x:c r="AE1247" s="12" t="str">
        <x:f>IF(AC1247="PUBLIC_CANDIDATE","prepare_public_github_candidate",IF(AC1247="PRIVATE_REVIEW","hold_for_private_review","quarantine_private_do_not_publish"))</x:f>
        <x:v>prepare_public_github_candidate</x:v>
      </x:c>
      <x:c r="AF1247" s="12" t="str">
        <x:f>IF(AC1247="PUBLIC_CANDIDATE","TIDELOCK + Lucerna",IF(AC1247="PRIVATE_REVIEW","AtlasBrain + Lucerna","TIDELOCK + Lucerna + Human-root"))</x:f>
        <x:v>TIDELOCK + Lucerna</x:v>
      </x:c>
      <x:c r="AG1247" s="12" t="str">
        <x:f>IF(AND(AC1247="PUBLIC_CANDIDATE",U1247&lt;&gt;"BLOCKED_PENDING_RECEIPT"),"READY_AFTER_RECEIPT","NOT_READY")</x:f>
        <x:v>NOT_READY</x:v>
      </x:c>
      <x:c r="AH1247" s="12" t="str">
        <x:f>IF(AC1247="PUBLIC_CANDIDATE","none",AD1247)</x:f>
        <x:v>none</x:v>
      </x:c>
      <x:c r="AI1247" s="12" t="str">
        <x:f>IF(AC1247="PUBLIC_CANDIDATE","archive/public_candidates/"&amp;A1247,"private_quarantine/"&amp;A1247)</x:f>
        <x:v>archive/public_candidates/SWARM-09-H08-S10</x:v>
      </x:c>
      <x:c r="AJ1247" s="12" t="str">
        <x:f>IF(AC1247="PUBLIC_CANDIDATE","public by default; still not canon","private/hold; do not publish")</x:f>
        <x:v>public by default; still not canon</x:v>
      </x:c>
      <x:c r="AK1247" s="12" t="str">
        <x:f>IF(AE1247="prepare_public_github_candidate","add receipt/status then mirror","resolve blocker before any public GitHub action")</x:f>
        <x:v>add receipt/status then mirror</x:v>
      </x:c>
    </x:row>
    <x:row r="1248">
      <x:c r="A1248" s="15" t="str">
        <x:v>SWARM-09-H08-S11</x:v>
      </x:c>
      <x:c r="B1248" s="15" t="str">
        <x:v>NotionMoth</x:v>
      </x:c>
      <x:c r="C1248" s="15" t="str">
        <x:v>Notion ontology mapper</x:v>
      </x:c>
      <x:c r="D1248" s="15" t="str">
        <x:v>Graph Edge Proposals</x:v>
      </x:c>
      <x:c r="E1248" s="15" t="str">
        <x:v>Automation</x:v>
      </x:c>
      <x:c r="F1248" s="15" t="str">
        <x:v>Propose graph edges for Automation — NotionMoth</x:v>
      </x:c>
      <x:c r="G1248" s="15" t="str">
        <x:v>legacy schema / Notion export prep</x:v>
      </x:c>
      <x:c r="H1248" s="15" t="str">
        <x:v>source path + receipt + raw/export status + claim/edge/risk delta</x:v>
      </x:c>
      <x:c r="I1248" s="15" t="str">
        <x:v>packet/SWARM-09-H08-S11</x:v>
      </x:c>
      <x:c r="J1248" s="15" t="str">
        <x:v>TODO</x:v>
      </x:c>
      <x:c r="K1248" s="15" t="str">
        <x:v>P2</x:v>
      </x:c>
      <x:c r="L1248" s="15" t="str">
        <x:v>Done only when evidence is logged, contradiction search is noted, and boundary stamp remains non-canon unless ratified</x:v>
      </x:c>
      <x:c r="M1248" s="15" t="str">
        <x:v>candidate / staging-only / not canon / not deployed / authority none</x:v>
      </x:c>
      <x:c r="N1248" s="15" t="str">
        <x:v>Dispatch to NotionMoth: complete Graph Edge Proposals x Automation; return deltas only, receipts required.</x:v>
      </x:c>
      <x:c r="O1248" s="15" t="str">
        <x:v>AF-KG-H08-S11</x:v>
      </x:c>
      <x:c r="P1248" s="15" t="str">
        <x:v>Unverified</x:v>
      </x:c>
      <x:c r="Q1248" s="15" t="str">
        <x:v>Not checked</x:v>
      </x:c>
      <x:c r="R1248" s="15" t="str"/>
      <x:c r="S1248" s="15" t="str"/>
      <x:c r="T1248" s="15" t="str">
        <x:v>Log first source path or blocker</x:v>
      </x:c>
      <x:c r="U1248" s="12" t="str">
        <x:f>IF(OR(P1248="Unverified",Q1248="Not checked"),"BLOCKED_PENDING_RECEIPT","READY_FOR_REVIEW")</x:f>
        <x:v>BLOCKED_PENDING_RECEIPT</x:v>
      </x:c>
      <x:c r="V1248" s="12" t="str">
        <x:f>IF(J1248="DONE","RETURNED",IF(U1248="BLOCKED_PENDING_RECEIPT","SOURCE_TOUCH_REQUIRED","IN_PROGRESS"))</x:f>
        <x:v>SOURCE_TOUCH_REQUIRED</x:v>
      </x:c>
      <x:c r="W1248" s="12" t="str">
        <x:f>IF(P1248="Unverified","missing_receipt","receipt_logged")</x:f>
        <x:v>missing_receipt</x:v>
      </x:c>
      <x:c r="X1248" s="12" t="str">
        <x:f>IF(Q1248="Not checked","raw_status_missing","raw_status_logged")</x:f>
        <x:v>raw_status_missing</x:v>
      </x:c>
      <x:c r="Y1248" s="12" t="str">
        <x:f>IF(U1248="BLOCKED_PENDING_RECEIPT","Log source path or blocker; do not promote","Route to review lane")</x:f>
        <x:v>Log source path or blocker; do not promote</x:v>
      </x:c>
      <x:c r="Z1248" s="12" t="str">
        <x:f>IF(K1248="P0","Primary seat + Hashlight/Lucerna","Seat lane")</x:f>
        <x:v>Seat lane</x:v>
      </x:c>
      <x:c r="AA1248" s="12" t="str">
        <x:f>IF(R1248="","no_claim_delta","claim_delta_present")</x:f>
        <x:v>no_claim_delta</x:v>
      </x:c>
      <x:c r="AB1248" s="12" t="str">
        <x:f>IF(S1248="","no_contradiction_delta","contradiction_delta_present")</x:f>
        <x:v>no_contradiction_delta</x:v>
      </x:c>
      <x:c r="AC1248" s="12" t="str">
        <x:f>IF(OR(ISNUMBER(SEARCH("hacker",LOWER(F1248&amp;" "&amp;H1248&amp;" "&amp;I1248&amp;" "&amp;M1248&amp;" "&amp;N1248&amp;" "&amp;T1248))),ISNUMBER(SEARCH("hacking",LOWER(F1248&amp;" "&amp;H1248&amp;" "&amp;I1248&amp;" "&amp;M1248&amp;" "&amp;N1248&amp;" "&amp;T1248))),ISNUMBER(SEARCH("bank",LOWER(F1248&amp;" "&amp;H1248&amp;" "&amp;I1248&amp;" "&amp;M1248&amp;" "&amp;N1248&amp;" "&amp;T1248))),ISNUMBER(SEARCH("banking",LOWER(F1248&amp;" "&amp;H1248&amp;" "&amp;I1248&amp;" "&amp;M1248&amp;" "&amp;N1248&amp;" "&amp;T1248)))),"PRIVATE_QUARANTINE",IF(OR(ISNUMBER(SEARCH("treasury",LOWER(F1248&amp;" "&amp;H1248&amp;" "&amp;I1248&amp;" "&amp;M1248&amp;" "&amp;N1248&amp;" "&amp;T1248))),ISNUMBER(SEARCH("debt",LOWER(F1248&amp;" "&amp;H1248&amp;" "&amp;I1248&amp;" "&amp;M1248&amp;" "&amp;N1248&amp;" "&amp;T1248))),ISNUMBER(SEARCH("bond",LOWER(F1248&amp;" "&amp;H1248&amp;" "&amp;I1248&amp;" "&amp;M1248&amp;" "&amp;N1248&amp;" "&amp;T1248))),ISNUMBER(SEARCH("transaction",LOWER(F1248&amp;" "&amp;H1248&amp;" "&amp;I1248&amp;" "&amp;M1248&amp;" "&amp;N1248&amp;" "&amp;T1248)))),"PRIVATE_REVIEW","PUBLIC_CANDIDATE"))</x:f>
        <x:v>PUBLIC_CANDIDATE</x:v>
      </x:c>
      <x:c r="AD1248" s="12" t="str">
        <x:f>IF(AC1248="PRIVATE_QUARANTINE","hacker_or_bank_trigger",IF(AC1248="PRIVATE_REVIEW","finance_risk_trigger","none"))</x:f>
        <x:v>none</x:v>
      </x:c>
      <x:c r="AE1248" s="12" t="str">
        <x:f>IF(AC1248="PUBLIC_CANDIDATE","prepare_public_github_candidate",IF(AC1248="PRIVATE_REVIEW","hold_for_private_review","quarantine_private_do_not_publish"))</x:f>
        <x:v>prepare_public_github_candidate</x:v>
      </x:c>
      <x:c r="AF1248" s="12" t="str">
        <x:f>IF(AC1248="PUBLIC_CANDIDATE","TIDELOCK + Lucerna",IF(AC1248="PRIVATE_REVIEW","AtlasBrain + Lucerna","TIDELOCK + Lucerna + Human-root"))</x:f>
        <x:v>TIDELOCK + Lucerna</x:v>
      </x:c>
      <x:c r="AG1248" s="12" t="str">
        <x:f>IF(AND(AC1248="PUBLIC_CANDIDATE",U1248&lt;&gt;"BLOCKED_PENDING_RECEIPT"),"READY_AFTER_RECEIPT","NOT_READY")</x:f>
        <x:v>NOT_READY</x:v>
      </x:c>
      <x:c r="AH1248" s="12" t="str">
        <x:f>IF(AC1248="PUBLIC_CANDIDATE","none",AD1248)</x:f>
        <x:v>none</x:v>
      </x:c>
      <x:c r="AI1248" s="12" t="str">
        <x:f>IF(AC1248="PUBLIC_CANDIDATE","archive/public_candidates/"&amp;A1248,"private_quarantine/"&amp;A1248)</x:f>
        <x:v>archive/public_candidates/SWARM-09-H08-S11</x:v>
      </x:c>
      <x:c r="AJ1248" s="12" t="str">
        <x:f>IF(AC1248="PUBLIC_CANDIDATE","public by default; still not canon","private/hold; do not publish")</x:f>
        <x:v>public by default; still not canon</x:v>
      </x:c>
      <x:c r="AK1248" s="12" t="str">
        <x:f>IF(AE1248="prepare_public_github_candidate","add receipt/status then mirror","resolve blocker before any public GitHub action")</x:f>
        <x:v>add receipt/status then mirror</x:v>
      </x:c>
    </x:row>
    <x:row r="1249">
      <x:c r="A1249" s="15" t="str">
        <x:v>SWARM-09-H08-S12</x:v>
      </x:c>
      <x:c r="B1249" s="15" t="str">
        <x:v>NotionMoth</x:v>
      </x:c>
      <x:c r="C1249" s="15" t="str">
        <x:v>Notion ontology mapper</x:v>
      </x:c>
      <x:c r="D1249" s="15" t="str">
        <x:v>Graph Edge Proposals</x:v>
      </x:c>
      <x:c r="E1249" s="15" t="str">
        <x:v>Risk / Safety</x:v>
      </x:c>
      <x:c r="F1249" s="15" t="str">
        <x:v>Propose graph edges for Risk / Safety — NotionMoth</x:v>
      </x:c>
      <x:c r="G1249" s="15" t="str">
        <x:v>legacy schema / Notion export prep</x:v>
      </x:c>
      <x:c r="H1249" s="15" t="str">
        <x:v>source path + receipt + raw/export status + claim/edge/risk delta</x:v>
      </x:c>
      <x:c r="I1249" s="15" t="str">
        <x:v>packet/SWARM-09-H08-S12</x:v>
      </x:c>
      <x:c r="J1249" s="15" t="str">
        <x:v>TODO</x:v>
      </x:c>
      <x:c r="K1249" s="15" t="str">
        <x:v>P2</x:v>
      </x:c>
      <x:c r="L1249" s="15" t="str">
        <x:v>Done only when evidence is logged, contradiction search is noted, and boundary stamp remains non-canon unless ratified</x:v>
      </x:c>
      <x:c r="M1249" s="15" t="str">
        <x:v>candidate / staging-only / not canon / not deployed / authority none</x:v>
      </x:c>
      <x:c r="N1249" s="15" t="str">
        <x:v>Dispatch to NotionMoth: complete Graph Edge Proposals x Risk / Safety; return deltas only, receipts required.</x:v>
      </x:c>
      <x:c r="O1249" s="15" t="str">
        <x:v>AF-KG-H08-S12</x:v>
      </x:c>
      <x:c r="P1249" s="15" t="str">
        <x:v>Unverified</x:v>
      </x:c>
      <x:c r="Q1249" s="15" t="str">
        <x:v>Not checked</x:v>
      </x:c>
      <x:c r="R1249" s="15" t="str"/>
      <x:c r="S1249" s="15" t="str"/>
      <x:c r="T1249" s="15" t="str">
        <x:v>Log first source path or blocker</x:v>
      </x:c>
      <x:c r="U1249" s="12" t="str">
        <x:f>IF(OR(P1249="Unverified",Q1249="Not checked"),"BLOCKED_PENDING_RECEIPT","READY_FOR_REVIEW")</x:f>
        <x:v>BLOCKED_PENDING_RECEIPT</x:v>
      </x:c>
      <x:c r="V1249" s="12" t="str">
        <x:f>IF(J1249="DONE","RETURNED",IF(U1249="BLOCKED_PENDING_RECEIPT","SOURCE_TOUCH_REQUIRED","IN_PROGRESS"))</x:f>
        <x:v>SOURCE_TOUCH_REQUIRED</x:v>
      </x:c>
      <x:c r="W1249" s="12" t="str">
        <x:f>IF(P1249="Unverified","missing_receipt","receipt_logged")</x:f>
        <x:v>missing_receipt</x:v>
      </x:c>
      <x:c r="X1249" s="12" t="str">
        <x:f>IF(Q1249="Not checked","raw_status_missing","raw_status_logged")</x:f>
        <x:v>raw_status_missing</x:v>
      </x:c>
      <x:c r="Y1249" s="12" t="str">
        <x:f>IF(U1249="BLOCKED_PENDING_RECEIPT","Log source path or blocker; do not promote","Route to review lane")</x:f>
        <x:v>Log source path or blocker; do not promote</x:v>
      </x:c>
      <x:c r="Z1249" s="12" t="str">
        <x:f>IF(K1249="P0","Primary seat + Hashlight/Lucerna","Seat lane")</x:f>
        <x:v>Seat lane</x:v>
      </x:c>
      <x:c r="AA1249" s="12" t="str">
        <x:f>IF(R1249="","no_claim_delta","claim_delta_present")</x:f>
        <x:v>no_claim_delta</x:v>
      </x:c>
      <x:c r="AB1249" s="12" t="str">
        <x:f>IF(S1249="","no_contradiction_delta","contradiction_delta_present")</x:f>
        <x:v>no_contradiction_delta</x:v>
      </x:c>
      <x:c r="AC1249" s="12" t="str">
        <x:f>IF(OR(ISNUMBER(SEARCH("hacker",LOWER(F1249&amp;" "&amp;H1249&amp;" "&amp;I1249&amp;" "&amp;M1249&amp;" "&amp;N1249&amp;" "&amp;T1249))),ISNUMBER(SEARCH("hacking",LOWER(F1249&amp;" "&amp;H1249&amp;" "&amp;I1249&amp;" "&amp;M1249&amp;" "&amp;N1249&amp;" "&amp;T1249))),ISNUMBER(SEARCH("bank",LOWER(F1249&amp;" "&amp;H1249&amp;" "&amp;I1249&amp;" "&amp;M1249&amp;" "&amp;N1249&amp;" "&amp;T1249))),ISNUMBER(SEARCH("banking",LOWER(F1249&amp;" "&amp;H1249&amp;" "&amp;I1249&amp;" "&amp;M1249&amp;" "&amp;N1249&amp;" "&amp;T1249)))),"PRIVATE_QUARANTINE",IF(OR(ISNUMBER(SEARCH("treasury",LOWER(F1249&amp;" "&amp;H1249&amp;" "&amp;I1249&amp;" "&amp;M1249&amp;" "&amp;N1249&amp;" "&amp;T1249))),ISNUMBER(SEARCH("debt",LOWER(F1249&amp;" "&amp;H1249&amp;" "&amp;I1249&amp;" "&amp;M1249&amp;" "&amp;N1249&amp;" "&amp;T1249))),ISNUMBER(SEARCH("bond",LOWER(F1249&amp;" "&amp;H1249&amp;" "&amp;I1249&amp;" "&amp;M1249&amp;" "&amp;N1249&amp;" "&amp;T1249))),ISNUMBER(SEARCH("transaction",LOWER(F1249&amp;" "&amp;H1249&amp;" "&amp;I1249&amp;" "&amp;M1249&amp;" "&amp;N1249&amp;" "&amp;T1249)))),"PRIVATE_REVIEW","PUBLIC_CANDIDATE"))</x:f>
        <x:v>PUBLIC_CANDIDATE</x:v>
      </x:c>
      <x:c r="AD1249" s="12" t="str">
        <x:f>IF(AC1249="PRIVATE_QUARANTINE","hacker_or_bank_trigger",IF(AC1249="PRIVATE_REVIEW","finance_risk_trigger","none"))</x:f>
        <x:v>none</x:v>
      </x:c>
      <x:c r="AE1249" s="12" t="str">
        <x:f>IF(AC1249="PUBLIC_CANDIDATE","prepare_public_github_candidate",IF(AC1249="PRIVATE_REVIEW","hold_for_private_review","quarantine_private_do_not_publish"))</x:f>
        <x:v>prepare_public_github_candidate</x:v>
      </x:c>
      <x:c r="AF1249" s="12" t="str">
        <x:f>IF(AC1249="PUBLIC_CANDIDATE","TIDELOCK + Lucerna",IF(AC1249="PRIVATE_REVIEW","AtlasBrain + Lucerna","TIDELOCK + Lucerna + Human-root"))</x:f>
        <x:v>TIDELOCK + Lucerna</x:v>
      </x:c>
      <x:c r="AG1249" s="12" t="str">
        <x:f>IF(AND(AC1249="PUBLIC_CANDIDATE",U1249&lt;&gt;"BLOCKED_PENDING_RECEIPT"),"READY_AFTER_RECEIPT","NOT_READY")</x:f>
        <x:v>NOT_READY</x:v>
      </x:c>
      <x:c r="AH1249" s="12" t="str">
        <x:f>IF(AC1249="PUBLIC_CANDIDATE","none",AD1249)</x:f>
        <x:v>none</x:v>
      </x:c>
      <x:c r="AI1249" s="12" t="str">
        <x:f>IF(AC1249="PUBLIC_CANDIDATE","archive/public_candidates/"&amp;A1249,"private_quarantine/"&amp;A1249)</x:f>
        <x:v>archive/public_candidates/SWARM-09-H08-S12</x:v>
      </x:c>
      <x:c r="AJ1249" s="12" t="str">
        <x:f>IF(AC1249="PUBLIC_CANDIDATE","public by default; still not canon","private/hold; do not publish")</x:f>
        <x:v>public by default; still not canon</x:v>
      </x:c>
      <x:c r="AK1249" s="12" t="str">
        <x:f>IF(AE1249="prepare_public_github_candidate","add receipt/status then mirror","resolve blocker before any public GitHub action")</x:f>
        <x:v>add receipt/status then mirror</x:v>
      </x:c>
    </x:row>
    <x:row r="1250">
      <x:c r="A1250" s="15" t="str">
        <x:v>SWARM-09-H09-S01</x:v>
      </x:c>
      <x:c r="B1250" s="15" t="str">
        <x:v>NotionMoth</x:v>
      </x:c>
      <x:c r="C1250" s="15" t="str">
        <x:v>Notion ontology mapper</x:v>
      </x:c>
      <x:c r="D1250" s="15" t="str">
        <x:v>Review Queues</x:v>
      </x:c>
      <x:c r="E1250" s="15" t="str">
        <x:v>Notion</x:v>
      </x:c>
      <x:c r="F1250" s="15" t="str">
        <x:v>Queue review for Notion — NotionMoth</x:v>
      </x:c>
      <x:c r="G1250" s="15" t="str">
        <x:v>legacy schema / Notion export prep</x:v>
      </x:c>
      <x:c r="H1250" s="15" t="str">
        <x:v>source path + receipt + raw/export status + claim/edge/risk delta</x:v>
      </x:c>
      <x:c r="I1250" s="15" t="str">
        <x:v>packet/SWARM-09-H09-S01</x:v>
      </x:c>
      <x:c r="J1250" s="15" t="str">
        <x:v>TODO</x:v>
      </x:c>
      <x:c r="K1250" s="15" t="str">
        <x:v>P0</x:v>
      </x:c>
      <x:c r="L1250" s="15" t="str">
        <x:v>Done only when evidence is logged, contradiction search is noted, and boundary stamp remains non-canon unless ratified</x:v>
      </x:c>
      <x:c r="M1250" s="15" t="str">
        <x:v>candidate / staging-only / not canon / not deployed / authority none</x:v>
      </x:c>
      <x:c r="N1250" s="15" t="str">
        <x:v>Dispatch to NotionMoth: complete Review Queues x Notion; return deltas only, receipts required.</x:v>
      </x:c>
      <x:c r="O1250" s="15" t="str">
        <x:v>AF-KG-H09-S01</x:v>
      </x:c>
      <x:c r="P1250" s="15" t="str">
        <x:v>Unverified</x:v>
      </x:c>
      <x:c r="Q1250" s="15" t="str">
        <x:v>Not checked</x:v>
      </x:c>
      <x:c r="R1250" s="15" t="str"/>
      <x:c r="S1250" s="15" t="str"/>
      <x:c r="T1250" s="15" t="str">
        <x:v>Log first source path or blocker</x:v>
      </x:c>
      <x:c r="U1250" s="12" t="str">
        <x:f>IF(OR(P1250="Unverified",Q1250="Not checked"),"BLOCKED_PENDING_RECEIPT","READY_FOR_REVIEW")</x:f>
        <x:v>BLOCKED_PENDING_RECEIPT</x:v>
      </x:c>
      <x:c r="V1250" s="12" t="str">
        <x:f>IF(J1250="DONE","RETURNED",IF(U1250="BLOCKED_PENDING_RECEIPT","SOURCE_TOUCH_REQUIRED","IN_PROGRESS"))</x:f>
        <x:v>SOURCE_TOUCH_REQUIRED</x:v>
      </x:c>
      <x:c r="W1250" s="12" t="str">
        <x:f>IF(P1250="Unverified","missing_receipt","receipt_logged")</x:f>
        <x:v>missing_receipt</x:v>
      </x:c>
      <x:c r="X1250" s="12" t="str">
        <x:f>IF(Q1250="Not checked","raw_status_missing","raw_status_logged")</x:f>
        <x:v>raw_status_missing</x:v>
      </x:c>
      <x:c r="Y1250" s="12" t="str">
        <x:f>IF(U1250="BLOCKED_PENDING_RECEIPT","Log source path or blocker; do not promote","Route to review lane")</x:f>
        <x:v>Log source path or blocker; do not promote</x:v>
      </x:c>
      <x:c r="Z1250" s="12" t="str">
        <x:f>IF(K1250="P0","Primary seat + Hashlight/Lucerna","Seat lane")</x:f>
        <x:v>Primary seat + Hashlight/Lucerna</x:v>
      </x:c>
      <x:c r="AA1250" s="12" t="str">
        <x:f>IF(R1250="","no_claim_delta","claim_delta_present")</x:f>
        <x:v>no_claim_delta</x:v>
      </x:c>
      <x:c r="AB1250" s="12" t="str">
        <x:f>IF(S1250="","no_contradiction_delta","contradiction_delta_present")</x:f>
        <x:v>no_contradiction_delta</x:v>
      </x:c>
      <x:c r="AC1250" s="12" t="str">
        <x:f>IF(OR(ISNUMBER(SEARCH("hacker",LOWER(F1250&amp;" "&amp;H1250&amp;" "&amp;I1250&amp;" "&amp;M1250&amp;" "&amp;N1250&amp;" "&amp;T1250))),ISNUMBER(SEARCH("hacking",LOWER(F1250&amp;" "&amp;H1250&amp;" "&amp;I1250&amp;" "&amp;M1250&amp;" "&amp;N1250&amp;" "&amp;T1250))),ISNUMBER(SEARCH("bank",LOWER(F1250&amp;" "&amp;H1250&amp;" "&amp;I1250&amp;" "&amp;M1250&amp;" "&amp;N1250&amp;" "&amp;T1250))),ISNUMBER(SEARCH("banking",LOWER(F1250&amp;" "&amp;H1250&amp;" "&amp;I1250&amp;" "&amp;M1250&amp;" "&amp;N1250&amp;" "&amp;T1250)))),"PRIVATE_QUARANTINE",IF(OR(ISNUMBER(SEARCH("treasury",LOWER(F1250&amp;" "&amp;H1250&amp;" "&amp;I1250&amp;" "&amp;M1250&amp;" "&amp;N1250&amp;" "&amp;T1250))),ISNUMBER(SEARCH("debt",LOWER(F1250&amp;" "&amp;H1250&amp;" "&amp;I1250&amp;" "&amp;M1250&amp;" "&amp;N1250&amp;" "&amp;T1250))),ISNUMBER(SEARCH("bond",LOWER(F1250&amp;" "&amp;H1250&amp;" "&amp;I1250&amp;" "&amp;M1250&amp;" "&amp;N1250&amp;" "&amp;T1250))),ISNUMBER(SEARCH("transaction",LOWER(F1250&amp;" "&amp;H1250&amp;" "&amp;I1250&amp;" "&amp;M1250&amp;" "&amp;N1250&amp;" "&amp;T1250)))),"PRIVATE_REVIEW","PUBLIC_CANDIDATE"))</x:f>
        <x:v>PUBLIC_CANDIDATE</x:v>
      </x:c>
      <x:c r="AD1250" s="12" t="str">
        <x:f>IF(AC1250="PRIVATE_QUARANTINE","hacker_or_bank_trigger",IF(AC1250="PRIVATE_REVIEW","finance_risk_trigger","none"))</x:f>
        <x:v>none</x:v>
      </x:c>
      <x:c r="AE1250" s="12" t="str">
        <x:f>IF(AC1250="PUBLIC_CANDIDATE","prepare_public_github_candidate",IF(AC1250="PRIVATE_REVIEW","hold_for_private_review","quarantine_private_do_not_publish"))</x:f>
        <x:v>prepare_public_github_candidate</x:v>
      </x:c>
      <x:c r="AF1250" s="12" t="str">
        <x:f>IF(AC1250="PUBLIC_CANDIDATE","TIDELOCK + Lucerna",IF(AC1250="PRIVATE_REVIEW","AtlasBrain + Lucerna","TIDELOCK + Lucerna + Human-root"))</x:f>
        <x:v>TIDELOCK + Lucerna</x:v>
      </x:c>
      <x:c r="AG1250" s="12" t="str">
        <x:f>IF(AND(AC1250="PUBLIC_CANDIDATE",U1250&lt;&gt;"BLOCKED_PENDING_RECEIPT"),"READY_AFTER_RECEIPT","NOT_READY")</x:f>
        <x:v>NOT_READY</x:v>
      </x:c>
      <x:c r="AH1250" s="12" t="str">
        <x:f>IF(AC1250="PUBLIC_CANDIDATE","none",AD1250)</x:f>
        <x:v>none</x:v>
      </x:c>
      <x:c r="AI1250" s="12" t="str">
        <x:f>IF(AC1250="PUBLIC_CANDIDATE","archive/public_candidates/"&amp;A1250,"private_quarantine/"&amp;A1250)</x:f>
        <x:v>archive/public_candidates/SWARM-09-H09-S01</x:v>
      </x:c>
      <x:c r="AJ1250" s="12" t="str">
        <x:f>IF(AC1250="PUBLIC_CANDIDATE","public by default; still not canon","private/hold; do not publish")</x:f>
        <x:v>public by default; still not canon</x:v>
      </x:c>
      <x:c r="AK1250" s="12" t="str">
        <x:f>IF(AE1250="prepare_public_github_candidate","add receipt/status then mirror","resolve blocker before any public GitHub action")</x:f>
        <x:v>add receipt/status then mirror</x:v>
      </x:c>
    </x:row>
    <x:row r="1251">
      <x:c r="A1251" s="15" t="str">
        <x:v>SWARM-09-H09-S02</x:v>
      </x:c>
      <x:c r="B1251" s="15" t="str">
        <x:v>NotionMoth</x:v>
      </x:c>
      <x:c r="C1251" s="15" t="str">
        <x:v>Notion ontology mapper</x:v>
      </x:c>
      <x:c r="D1251" s="15" t="str">
        <x:v>Review Queues</x:v>
      </x:c>
      <x:c r="E1251" s="15" t="str">
        <x:v>Drive</x:v>
      </x:c>
      <x:c r="F1251" s="15" t="str">
        <x:v>Queue review for Drive — NotionMoth</x:v>
      </x:c>
      <x:c r="G1251" s="15" t="str">
        <x:v>legacy schema / Notion export prep</x:v>
      </x:c>
      <x:c r="H1251" s="15" t="str">
        <x:v>source path + receipt + raw/export status + claim/edge/risk delta</x:v>
      </x:c>
      <x:c r="I1251" s="15" t="str">
        <x:v>packet/SWARM-09-H09-S02</x:v>
      </x:c>
      <x:c r="J1251" s="15" t="str">
        <x:v>TODO</x:v>
      </x:c>
      <x:c r="K1251" s="15" t="str">
        <x:v>P0</x:v>
      </x:c>
      <x:c r="L1251" s="15" t="str">
        <x:v>Done only when evidence is logged, contradiction search is noted, and boundary stamp remains non-canon unless ratified</x:v>
      </x:c>
      <x:c r="M1251" s="15" t="str">
        <x:v>candidate / staging-only / not canon / not deployed / authority none</x:v>
      </x:c>
      <x:c r="N1251" s="15" t="str">
        <x:v>Dispatch to NotionMoth: complete Review Queues x Drive; return deltas only, receipts required.</x:v>
      </x:c>
      <x:c r="O1251" s="15" t="str">
        <x:v>AF-KG-H09-S02</x:v>
      </x:c>
      <x:c r="P1251" s="15" t="str">
        <x:v>Unverified</x:v>
      </x:c>
      <x:c r="Q1251" s="15" t="str">
        <x:v>Not checked</x:v>
      </x:c>
      <x:c r="R1251" s="15" t="str"/>
      <x:c r="S1251" s="15" t="str"/>
      <x:c r="T1251" s="15" t="str">
        <x:v>Log first source path or blocker</x:v>
      </x:c>
      <x:c r="U1251" s="12" t="str">
        <x:f>IF(OR(P1251="Unverified",Q1251="Not checked"),"BLOCKED_PENDING_RECEIPT","READY_FOR_REVIEW")</x:f>
        <x:v>BLOCKED_PENDING_RECEIPT</x:v>
      </x:c>
      <x:c r="V1251" s="12" t="str">
        <x:f>IF(J1251="DONE","RETURNED",IF(U1251="BLOCKED_PENDING_RECEIPT","SOURCE_TOUCH_REQUIRED","IN_PROGRESS"))</x:f>
        <x:v>SOURCE_TOUCH_REQUIRED</x:v>
      </x:c>
      <x:c r="W1251" s="12" t="str">
        <x:f>IF(P1251="Unverified","missing_receipt","receipt_logged")</x:f>
        <x:v>missing_receipt</x:v>
      </x:c>
      <x:c r="X1251" s="12" t="str">
        <x:f>IF(Q1251="Not checked","raw_status_missing","raw_status_logged")</x:f>
        <x:v>raw_status_missing</x:v>
      </x:c>
      <x:c r="Y1251" s="12" t="str">
        <x:f>IF(U1251="BLOCKED_PENDING_RECEIPT","Log source path or blocker; do not promote","Route to review lane")</x:f>
        <x:v>Log source path or blocker; do not promote</x:v>
      </x:c>
      <x:c r="Z1251" s="12" t="str">
        <x:f>IF(K1251="P0","Primary seat + Hashlight/Lucerna","Seat lane")</x:f>
        <x:v>Primary seat + Hashlight/Lucerna</x:v>
      </x:c>
      <x:c r="AA1251" s="12" t="str">
        <x:f>IF(R1251="","no_claim_delta","claim_delta_present")</x:f>
        <x:v>no_claim_delta</x:v>
      </x:c>
      <x:c r="AB1251" s="12" t="str">
        <x:f>IF(S1251="","no_contradiction_delta","contradiction_delta_present")</x:f>
        <x:v>no_contradiction_delta</x:v>
      </x:c>
      <x:c r="AC1251" s="12" t="str">
        <x:f>IF(OR(ISNUMBER(SEARCH("hacker",LOWER(F1251&amp;" "&amp;H1251&amp;" "&amp;I1251&amp;" "&amp;M1251&amp;" "&amp;N1251&amp;" "&amp;T1251))),ISNUMBER(SEARCH("hacking",LOWER(F1251&amp;" "&amp;H1251&amp;" "&amp;I1251&amp;" "&amp;M1251&amp;" "&amp;N1251&amp;" "&amp;T1251))),ISNUMBER(SEARCH("bank",LOWER(F1251&amp;" "&amp;H1251&amp;" "&amp;I1251&amp;" "&amp;M1251&amp;" "&amp;N1251&amp;" "&amp;T1251))),ISNUMBER(SEARCH("banking",LOWER(F1251&amp;" "&amp;H1251&amp;" "&amp;I1251&amp;" "&amp;M1251&amp;" "&amp;N1251&amp;" "&amp;T1251)))),"PRIVATE_QUARANTINE",IF(OR(ISNUMBER(SEARCH("treasury",LOWER(F1251&amp;" "&amp;H1251&amp;" "&amp;I1251&amp;" "&amp;M1251&amp;" "&amp;N1251&amp;" "&amp;T1251))),ISNUMBER(SEARCH("debt",LOWER(F1251&amp;" "&amp;H1251&amp;" "&amp;I1251&amp;" "&amp;M1251&amp;" "&amp;N1251&amp;" "&amp;T1251))),ISNUMBER(SEARCH("bond",LOWER(F1251&amp;" "&amp;H1251&amp;" "&amp;I1251&amp;" "&amp;M1251&amp;" "&amp;N1251&amp;" "&amp;T1251))),ISNUMBER(SEARCH("transaction",LOWER(F1251&amp;" "&amp;H1251&amp;" "&amp;I1251&amp;" "&amp;M1251&amp;" "&amp;N1251&amp;" "&amp;T1251)))),"PRIVATE_REVIEW","PUBLIC_CANDIDATE"))</x:f>
        <x:v>PUBLIC_CANDIDATE</x:v>
      </x:c>
      <x:c r="AD1251" s="12" t="str">
        <x:f>IF(AC1251="PRIVATE_QUARANTINE","hacker_or_bank_trigger",IF(AC1251="PRIVATE_REVIEW","finance_risk_trigger","none"))</x:f>
        <x:v>none</x:v>
      </x:c>
      <x:c r="AE1251" s="12" t="str">
        <x:f>IF(AC1251="PUBLIC_CANDIDATE","prepare_public_github_candidate",IF(AC1251="PRIVATE_REVIEW","hold_for_private_review","quarantine_private_do_not_publish"))</x:f>
        <x:v>prepare_public_github_candidate</x:v>
      </x:c>
      <x:c r="AF1251" s="12" t="str">
        <x:f>IF(AC1251="PUBLIC_CANDIDATE","TIDELOCK + Lucerna",IF(AC1251="PRIVATE_REVIEW","AtlasBrain + Lucerna","TIDELOCK + Lucerna + Human-root"))</x:f>
        <x:v>TIDELOCK + Lucerna</x:v>
      </x:c>
      <x:c r="AG1251" s="12" t="str">
        <x:f>IF(AND(AC1251="PUBLIC_CANDIDATE",U1251&lt;&gt;"BLOCKED_PENDING_RECEIPT"),"READY_AFTER_RECEIPT","NOT_READY")</x:f>
        <x:v>NOT_READY</x:v>
      </x:c>
      <x:c r="AH1251" s="12" t="str">
        <x:f>IF(AC1251="PUBLIC_CANDIDATE","none",AD1251)</x:f>
        <x:v>none</x:v>
      </x:c>
      <x:c r="AI1251" s="12" t="str">
        <x:f>IF(AC1251="PUBLIC_CANDIDATE","archive/public_candidates/"&amp;A1251,"private_quarantine/"&amp;A1251)</x:f>
        <x:v>archive/public_candidates/SWARM-09-H09-S02</x:v>
      </x:c>
      <x:c r="AJ1251" s="12" t="str">
        <x:f>IF(AC1251="PUBLIC_CANDIDATE","public by default; still not canon","private/hold; do not publish")</x:f>
        <x:v>public by default; still not canon</x:v>
      </x:c>
      <x:c r="AK1251" s="12" t="str">
        <x:f>IF(AE1251="prepare_public_github_candidate","add receipt/status then mirror","resolve blocker before any public GitHub action")</x:f>
        <x:v>add receipt/status then mirror</x:v>
      </x:c>
    </x:row>
    <x:row r="1252">
      <x:c r="A1252" s="15" t="str">
        <x:v>SWARM-09-H09-S03</x:v>
      </x:c>
      <x:c r="B1252" s="15" t="str">
        <x:v>NotionMoth</x:v>
      </x:c>
      <x:c r="C1252" s="15" t="str">
        <x:v>Notion ontology mapper</x:v>
      </x:c>
      <x:c r="D1252" s="15" t="str">
        <x:v>Review Queues</x:v>
      </x:c>
      <x:c r="E1252" s="15" t="str">
        <x:v>GitHub</x:v>
      </x:c>
      <x:c r="F1252" s="15" t="str">
        <x:v>Queue review for GitHub — NotionMoth</x:v>
      </x:c>
      <x:c r="G1252" s="15" t="str">
        <x:v>legacy schema / Notion export prep</x:v>
      </x:c>
      <x:c r="H1252" s="15" t="str">
        <x:v>source path + receipt + raw/export status + claim/edge/risk delta</x:v>
      </x:c>
      <x:c r="I1252" s="15" t="str">
        <x:v>packet/SWARM-09-H09-S03</x:v>
      </x:c>
      <x:c r="J1252" s="15" t="str">
        <x:v>TODO</x:v>
      </x:c>
      <x:c r="K1252" s="15" t="str">
        <x:v>P0</x:v>
      </x:c>
      <x:c r="L1252" s="15" t="str">
        <x:v>Done only when evidence is logged, contradiction search is noted, and boundary stamp remains non-canon unless ratified</x:v>
      </x:c>
      <x:c r="M1252" s="15" t="str">
        <x:v>candidate / staging-only / not canon / not deployed / authority none</x:v>
      </x:c>
      <x:c r="N1252" s="15" t="str">
        <x:v>Dispatch to NotionMoth: complete Review Queues x GitHub; return deltas only, receipts required.</x:v>
      </x:c>
      <x:c r="O1252" s="15" t="str">
        <x:v>AF-KG-H09-S03</x:v>
      </x:c>
      <x:c r="P1252" s="15" t="str">
        <x:v>Unverified</x:v>
      </x:c>
      <x:c r="Q1252" s="15" t="str">
        <x:v>Not checked</x:v>
      </x:c>
      <x:c r="R1252" s="15" t="str"/>
      <x:c r="S1252" s="15" t="str"/>
      <x:c r="T1252" s="15" t="str">
        <x:v>Log first source path or blocker</x:v>
      </x:c>
      <x:c r="U1252" s="12" t="str">
        <x:f>IF(OR(P1252="Unverified",Q1252="Not checked"),"BLOCKED_PENDING_RECEIPT","READY_FOR_REVIEW")</x:f>
        <x:v>BLOCKED_PENDING_RECEIPT</x:v>
      </x:c>
      <x:c r="V1252" s="12" t="str">
        <x:f>IF(J1252="DONE","RETURNED",IF(U1252="BLOCKED_PENDING_RECEIPT","SOURCE_TOUCH_REQUIRED","IN_PROGRESS"))</x:f>
        <x:v>SOURCE_TOUCH_REQUIRED</x:v>
      </x:c>
      <x:c r="W1252" s="12" t="str">
        <x:f>IF(P1252="Unverified","missing_receipt","receipt_logged")</x:f>
        <x:v>missing_receipt</x:v>
      </x:c>
      <x:c r="X1252" s="12" t="str">
        <x:f>IF(Q1252="Not checked","raw_status_missing","raw_status_logged")</x:f>
        <x:v>raw_status_missing</x:v>
      </x:c>
      <x:c r="Y1252" s="12" t="str">
        <x:f>IF(U1252="BLOCKED_PENDING_RECEIPT","Log source path or blocker; do not promote","Route to review lane")</x:f>
        <x:v>Log source path or blocker; do not promote</x:v>
      </x:c>
      <x:c r="Z1252" s="12" t="str">
        <x:f>IF(K1252="P0","Primary seat + Hashlight/Lucerna","Seat lane")</x:f>
        <x:v>Primary seat + Hashlight/Lucerna</x:v>
      </x:c>
      <x:c r="AA1252" s="12" t="str">
        <x:f>IF(R1252="","no_claim_delta","claim_delta_present")</x:f>
        <x:v>no_claim_delta</x:v>
      </x:c>
      <x:c r="AB1252" s="12" t="str">
        <x:f>IF(S1252="","no_contradiction_delta","contradiction_delta_present")</x:f>
        <x:v>no_contradiction_delta</x:v>
      </x:c>
      <x:c r="AC1252" s="12" t="str">
        <x:f>IF(OR(ISNUMBER(SEARCH("hacker",LOWER(F1252&amp;" "&amp;H1252&amp;" "&amp;I1252&amp;" "&amp;M1252&amp;" "&amp;N1252&amp;" "&amp;T1252))),ISNUMBER(SEARCH("hacking",LOWER(F1252&amp;" "&amp;H1252&amp;" "&amp;I1252&amp;" "&amp;M1252&amp;" "&amp;N1252&amp;" "&amp;T1252))),ISNUMBER(SEARCH("bank",LOWER(F1252&amp;" "&amp;H1252&amp;" "&amp;I1252&amp;" "&amp;M1252&amp;" "&amp;N1252&amp;" "&amp;T1252))),ISNUMBER(SEARCH("banking",LOWER(F1252&amp;" "&amp;H1252&amp;" "&amp;I1252&amp;" "&amp;M1252&amp;" "&amp;N1252&amp;" "&amp;T1252)))),"PRIVATE_QUARANTINE",IF(OR(ISNUMBER(SEARCH("treasury",LOWER(F1252&amp;" "&amp;H1252&amp;" "&amp;I1252&amp;" "&amp;M1252&amp;" "&amp;N1252&amp;" "&amp;T1252))),ISNUMBER(SEARCH("debt",LOWER(F1252&amp;" "&amp;H1252&amp;" "&amp;I1252&amp;" "&amp;M1252&amp;" "&amp;N1252&amp;" "&amp;T1252))),ISNUMBER(SEARCH("bond",LOWER(F1252&amp;" "&amp;H1252&amp;" "&amp;I1252&amp;" "&amp;M1252&amp;" "&amp;N1252&amp;" "&amp;T1252))),ISNUMBER(SEARCH("transaction",LOWER(F1252&amp;" "&amp;H1252&amp;" "&amp;I1252&amp;" "&amp;M1252&amp;" "&amp;N1252&amp;" "&amp;T1252)))),"PRIVATE_REVIEW","PUBLIC_CANDIDATE"))</x:f>
        <x:v>PUBLIC_CANDIDATE</x:v>
      </x:c>
      <x:c r="AD1252" s="12" t="str">
        <x:f>IF(AC1252="PRIVATE_QUARANTINE","hacker_or_bank_trigger",IF(AC1252="PRIVATE_REVIEW","finance_risk_trigger","none"))</x:f>
        <x:v>none</x:v>
      </x:c>
      <x:c r="AE1252" s="12" t="str">
        <x:f>IF(AC1252="PUBLIC_CANDIDATE","prepare_public_github_candidate",IF(AC1252="PRIVATE_REVIEW","hold_for_private_review","quarantine_private_do_not_publish"))</x:f>
        <x:v>prepare_public_github_candidate</x:v>
      </x:c>
      <x:c r="AF1252" s="12" t="str">
        <x:f>IF(AC1252="PUBLIC_CANDIDATE","TIDELOCK + Lucerna",IF(AC1252="PRIVATE_REVIEW","AtlasBrain + Lucerna","TIDELOCK + Lucerna + Human-root"))</x:f>
        <x:v>TIDELOCK + Lucerna</x:v>
      </x:c>
      <x:c r="AG1252" s="12" t="str">
        <x:f>IF(AND(AC1252="PUBLIC_CANDIDATE",U1252&lt;&gt;"BLOCKED_PENDING_RECEIPT"),"READY_AFTER_RECEIPT","NOT_READY")</x:f>
        <x:v>NOT_READY</x:v>
      </x:c>
      <x:c r="AH1252" s="12" t="str">
        <x:f>IF(AC1252="PUBLIC_CANDIDATE","none",AD1252)</x:f>
        <x:v>none</x:v>
      </x:c>
      <x:c r="AI1252" s="12" t="str">
        <x:f>IF(AC1252="PUBLIC_CANDIDATE","archive/public_candidates/"&amp;A1252,"private_quarantine/"&amp;A1252)</x:f>
        <x:v>archive/public_candidates/SWARM-09-H09-S03</x:v>
      </x:c>
      <x:c r="AJ1252" s="12" t="str">
        <x:f>IF(AC1252="PUBLIC_CANDIDATE","public by default; still not canon","private/hold; do not publish")</x:f>
        <x:v>public by default; still not canon</x:v>
      </x:c>
      <x:c r="AK1252" s="12" t="str">
        <x:f>IF(AE1252="prepare_public_github_candidate","add receipt/status then mirror","resolve blocker before any public GitHub action")</x:f>
        <x:v>add receipt/status then mirror</x:v>
      </x:c>
    </x:row>
    <x:row r="1253">
      <x:c r="A1253" s="15" t="str">
        <x:v>SWARM-09-H09-S04</x:v>
      </x:c>
      <x:c r="B1253" s="15" t="str">
        <x:v>NotionMoth</x:v>
      </x:c>
      <x:c r="C1253" s="15" t="str">
        <x:v>Notion ontology mapper</x:v>
      </x:c>
      <x:c r="D1253" s="15" t="str">
        <x:v>Review Queues</x:v>
      </x:c>
      <x:c r="E1253" s="15" t="str">
        <x:v>Gamma</x:v>
      </x:c>
      <x:c r="F1253" s="15" t="str">
        <x:v>Queue review for Gamma — NotionMoth</x:v>
      </x:c>
      <x:c r="G1253" s="15" t="str">
        <x:v>legacy schema / Notion export prep</x:v>
      </x:c>
      <x:c r="H1253" s="15" t="str">
        <x:v>source path + receipt + raw/export status + claim/edge/risk delta</x:v>
      </x:c>
      <x:c r="I1253" s="15" t="str">
        <x:v>packet/SWARM-09-H09-S04</x:v>
      </x:c>
      <x:c r="J1253" s="15" t="str">
        <x:v>TODO</x:v>
      </x:c>
      <x:c r="K1253" s="15" t="str">
        <x:v>P1</x:v>
      </x:c>
      <x:c r="L1253" s="15" t="str">
        <x:v>Done only when evidence is logged, contradiction search is noted, and boundary stamp remains non-canon unless ratified</x:v>
      </x:c>
      <x:c r="M1253" s="15" t="str">
        <x:v>candidate / staging-only / not canon / not deployed / authority none</x:v>
      </x:c>
      <x:c r="N1253" s="15" t="str">
        <x:v>Dispatch to NotionMoth: complete Review Queues x Gamma; return deltas only, receipts required.</x:v>
      </x:c>
      <x:c r="O1253" s="15" t="str">
        <x:v>AF-KG-H09-S04</x:v>
      </x:c>
      <x:c r="P1253" s="15" t="str">
        <x:v>Unverified</x:v>
      </x:c>
      <x:c r="Q1253" s="15" t="str">
        <x:v>Not checked</x:v>
      </x:c>
      <x:c r="R1253" s="15" t="str"/>
      <x:c r="S1253" s="15" t="str"/>
      <x:c r="T1253" s="15" t="str">
        <x:v>Log first source path or blocker</x:v>
      </x:c>
      <x:c r="U1253" s="12" t="str">
        <x:f>IF(OR(P1253="Unverified",Q1253="Not checked"),"BLOCKED_PENDING_RECEIPT","READY_FOR_REVIEW")</x:f>
        <x:v>BLOCKED_PENDING_RECEIPT</x:v>
      </x:c>
      <x:c r="V1253" s="12" t="str">
        <x:f>IF(J1253="DONE","RETURNED",IF(U1253="BLOCKED_PENDING_RECEIPT","SOURCE_TOUCH_REQUIRED","IN_PROGRESS"))</x:f>
        <x:v>SOURCE_TOUCH_REQUIRED</x:v>
      </x:c>
      <x:c r="W1253" s="12" t="str">
        <x:f>IF(P1253="Unverified","missing_receipt","receipt_logged")</x:f>
        <x:v>missing_receipt</x:v>
      </x:c>
      <x:c r="X1253" s="12" t="str">
        <x:f>IF(Q1253="Not checked","raw_status_missing","raw_status_logged")</x:f>
        <x:v>raw_status_missing</x:v>
      </x:c>
      <x:c r="Y1253" s="12" t="str">
        <x:f>IF(U1253="BLOCKED_PENDING_RECEIPT","Log source path or blocker; do not promote","Route to review lane")</x:f>
        <x:v>Log source path or blocker; do not promote</x:v>
      </x:c>
      <x:c r="Z1253" s="12" t="str">
        <x:f>IF(K1253="P0","Primary seat + Hashlight/Lucerna","Seat lane")</x:f>
        <x:v>Seat lane</x:v>
      </x:c>
      <x:c r="AA1253" s="12" t="str">
        <x:f>IF(R1253="","no_claim_delta","claim_delta_present")</x:f>
        <x:v>no_claim_delta</x:v>
      </x:c>
      <x:c r="AB1253" s="12" t="str">
        <x:f>IF(S1253="","no_contradiction_delta","contradiction_delta_present")</x:f>
        <x:v>no_contradiction_delta</x:v>
      </x:c>
      <x:c r="AC1253" s="12" t="str">
        <x:f>IF(OR(ISNUMBER(SEARCH("hacker",LOWER(F1253&amp;" "&amp;H1253&amp;" "&amp;I1253&amp;" "&amp;M1253&amp;" "&amp;N1253&amp;" "&amp;T1253))),ISNUMBER(SEARCH("hacking",LOWER(F1253&amp;" "&amp;H1253&amp;" "&amp;I1253&amp;" "&amp;M1253&amp;" "&amp;N1253&amp;" "&amp;T1253))),ISNUMBER(SEARCH("bank",LOWER(F1253&amp;" "&amp;H1253&amp;" "&amp;I1253&amp;" "&amp;M1253&amp;" "&amp;N1253&amp;" "&amp;T1253))),ISNUMBER(SEARCH("banking",LOWER(F1253&amp;" "&amp;H1253&amp;" "&amp;I1253&amp;" "&amp;M1253&amp;" "&amp;N1253&amp;" "&amp;T1253)))),"PRIVATE_QUARANTINE",IF(OR(ISNUMBER(SEARCH("treasury",LOWER(F1253&amp;" "&amp;H1253&amp;" "&amp;I1253&amp;" "&amp;M1253&amp;" "&amp;N1253&amp;" "&amp;T1253))),ISNUMBER(SEARCH("debt",LOWER(F1253&amp;" "&amp;H1253&amp;" "&amp;I1253&amp;" "&amp;M1253&amp;" "&amp;N1253&amp;" "&amp;T1253))),ISNUMBER(SEARCH("bond",LOWER(F1253&amp;" "&amp;H1253&amp;" "&amp;I1253&amp;" "&amp;M1253&amp;" "&amp;N1253&amp;" "&amp;T1253))),ISNUMBER(SEARCH("transaction",LOWER(F1253&amp;" "&amp;H1253&amp;" "&amp;I1253&amp;" "&amp;M1253&amp;" "&amp;N1253&amp;" "&amp;T1253)))),"PRIVATE_REVIEW","PUBLIC_CANDIDATE"))</x:f>
        <x:v>PUBLIC_CANDIDATE</x:v>
      </x:c>
      <x:c r="AD1253" s="12" t="str">
        <x:f>IF(AC1253="PRIVATE_QUARANTINE","hacker_or_bank_trigger",IF(AC1253="PRIVATE_REVIEW","finance_risk_trigger","none"))</x:f>
        <x:v>none</x:v>
      </x:c>
      <x:c r="AE1253" s="12" t="str">
        <x:f>IF(AC1253="PUBLIC_CANDIDATE","prepare_public_github_candidate",IF(AC1253="PRIVATE_REVIEW","hold_for_private_review","quarantine_private_do_not_publish"))</x:f>
        <x:v>prepare_public_github_candidate</x:v>
      </x:c>
      <x:c r="AF1253" s="12" t="str">
        <x:f>IF(AC1253="PUBLIC_CANDIDATE","TIDELOCK + Lucerna",IF(AC1253="PRIVATE_REVIEW","AtlasBrain + Lucerna","TIDELOCK + Lucerna + Human-root"))</x:f>
        <x:v>TIDELOCK + Lucerna</x:v>
      </x:c>
      <x:c r="AG1253" s="12" t="str">
        <x:f>IF(AND(AC1253="PUBLIC_CANDIDATE",U1253&lt;&gt;"BLOCKED_PENDING_RECEIPT"),"READY_AFTER_RECEIPT","NOT_READY")</x:f>
        <x:v>NOT_READY</x:v>
      </x:c>
      <x:c r="AH1253" s="12" t="str">
        <x:f>IF(AC1253="PUBLIC_CANDIDATE","none",AD1253)</x:f>
        <x:v>none</x:v>
      </x:c>
      <x:c r="AI1253" s="12" t="str">
        <x:f>IF(AC1253="PUBLIC_CANDIDATE","archive/public_candidates/"&amp;A1253,"private_quarantine/"&amp;A1253)</x:f>
        <x:v>archive/public_candidates/SWARM-09-H09-S04</x:v>
      </x:c>
      <x:c r="AJ1253" s="12" t="str">
        <x:f>IF(AC1253="PUBLIC_CANDIDATE","public by default; still not canon","private/hold; do not publish")</x:f>
        <x:v>public by default; still not canon</x:v>
      </x:c>
      <x:c r="AK1253" s="12" t="str">
        <x:f>IF(AE1253="prepare_public_github_candidate","add receipt/status then mirror","resolve blocker before any public GitHub action")</x:f>
        <x:v>add receipt/status then mirror</x:v>
      </x:c>
    </x:row>
    <x:row r="1254">
      <x:c r="A1254" s="15" t="str">
        <x:v>SWARM-09-H09-S05</x:v>
      </x:c>
      <x:c r="B1254" s="15" t="str">
        <x:v>NotionMoth</x:v>
      </x:c>
      <x:c r="C1254" s="15" t="str">
        <x:v>Notion ontology mapper</x:v>
      </x:c>
      <x:c r="D1254" s="15" t="str">
        <x:v>Review Queues</x:v>
      </x:c>
      <x:c r="E1254" s="15" t="str">
        <x:v>Chat</x:v>
      </x:c>
      <x:c r="F1254" s="15" t="str">
        <x:v>Queue review for Chat — NotionMoth</x:v>
      </x:c>
      <x:c r="G1254" s="15" t="str">
        <x:v>legacy schema / Notion export prep</x:v>
      </x:c>
      <x:c r="H1254" s="15" t="str">
        <x:v>source path + receipt + raw/export status + claim/edge/risk delta</x:v>
      </x:c>
      <x:c r="I1254" s="15" t="str">
        <x:v>packet/SWARM-09-H09-S05</x:v>
      </x:c>
      <x:c r="J1254" s="15" t="str">
        <x:v>TODO</x:v>
      </x:c>
      <x:c r="K1254" s="15" t="str">
        <x:v>P1</x:v>
      </x:c>
      <x:c r="L1254" s="15" t="str">
        <x:v>Done only when evidence is logged, contradiction search is noted, and boundary stamp remains non-canon unless ratified</x:v>
      </x:c>
      <x:c r="M1254" s="15" t="str">
        <x:v>candidate / staging-only / not canon / not deployed / authority none</x:v>
      </x:c>
      <x:c r="N1254" s="15" t="str">
        <x:v>Dispatch to NotionMoth: complete Review Queues x Chat; return deltas only, receipts required.</x:v>
      </x:c>
      <x:c r="O1254" s="15" t="str">
        <x:v>AF-KG-H09-S05</x:v>
      </x:c>
      <x:c r="P1254" s="15" t="str">
        <x:v>Unverified</x:v>
      </x:c>
      <x:c r="Q1254" s="15" t="str">
        <x:v>Not checked</x:v>
      </x:c>
      <x:c r="R1254" s="15" t="str"/>
      <x:c r="S1254" s="15" t="str"/>
      <x:c r="T1254" s="15" t="str">
        <x:v>Log first source path or blocker</x:v>
      </x:c>
      <x:c r="U1254" s="12" t="str">
        <x:f>IF(OR(P1254="Unverified",Q1254="Not checked"),"BLOCKED_PENDING_RECEIPT","READY_FOR_REVIEW")</x:f>
        <x:v>BLOCKED_PENDING_RECEIPT</x:v>
      </x:c>
      <x:c r="V1254" s="12" t="str">
        <x:f>IF(J1254="DONE","RETURNED",IF(U1254="BLOCKED_PENDING_RECEIPT","SOURCE_TOUCH_REQUIRED","IN_PROGRESS"))</x:f>
        <x:v>SOURCE_TOUCH_REQUIRED</x:v>
      </x:c>
      <x:c r="W1254" s="12" t="str">
        <x:f>IF(P1254="Unverified","missing_receipt","receipt_logged")</x:f>
        <x:v>missing_receipt</x:v>
      </x:c>
      <x:c r="X1254" s="12" t="str">
        <x:f>IF(Q1254="Not checked","raw_status_missing","raw_status_logged")</x:f>
        <x:v>raw_status_missing</x:v>
      </x:c>
      <x:c r="Y1254" s="12" t="str">
        <x:f>IF(U1254="BLOCKED_PENDING_RECEIPT","Log source path or blocker; do not promote","Route to review lane")</x:f>
        <x:v>Log source path or blocker; do not promote</x:v>
      </x:c>
      <x:c r="Z1254" s="12" t="str">
        <x:f>IF(K1254="P0","Primary seat + Hashlight/Lucerna","Seat lane")</x:f>
        <x:v>Seat lane</x:v>
      </x:c>
      <x:c r="AA1254" s="12" t="str">
        <x:f>IF(R1254="","no_claim_delta","claim_delta_present")</x:f>
        <x:v>no_claim_delta</x:v>
      </x:c>
      <x:c r="AB1254" s="12" t="str">
        <x:f>IF(S1254="","no_contradiction_delta","contradiction_delta_present")</x:f>
        <x:v>no_contradiction_delta</x:v>
      </x:c>
      <x:c r="AC1254" s="12" t="str">
        <x:f>IF(OR(ISNUMBER(SEARCH("hacker",LOWER(F1254&amp;" "&amp;H1254&amp;" "&amp;I1254&amp;" "&amp;M1254&amp;" "&amp;N1254&amp;" "&amp;T1254))),ISNUMBER(SEARCH("hacking",LOWER(F1254&amp;" "&amp;H1254&amp;" "&amp;I1254&amp;" "&amp;M1254&amp;" "&amp;N1254&amp;" "&amp;T1254))),ISNUMBER(SEARCH("bank",LOWER(F1254&amp;" "&amp;H1254&amp;" "&amp;I1254&amp;" "&amp;M1254&amp;" "&amp;N1254&amp;" "&amp;T1254))),ISNUMBER(SEARCH("banking",LOWER(F1254&amp;" "&amp;H1254&amp;" "&amp;I1254&amp;" "&amp;M1254&amp;" "&amp;N1254&amp;" "&amp;T1254)))),"PRIVATE_QUARANTINE",IF(OR(ISNUMBER(SEARCH("treasury",LOWER(F1254&amp;" "&amp;H1254&amp;" "&amp;I1254&amp;" "&amp;M1254&amp;" "&amp;N1254&amp;" "&amp;T1254))),ISNUMBER(SEARCH("debt",LOWER(F1254&amp;" "&amp;H1254&amp;" "&amp;I1254&amp;" "&amp;M1254&amp;" "&amp;N1254&amp;" "&amp;T1254))),ISNUMBER(SEARCH("bond",LOWER(F1254&amp;" "&amp;H1254&amp;" "&amp;I1254&amp;" "&amp;M1254&amp;" "&amp;N1254&amp;" "&amp;T1254))),ISNUMBER(SEARCH("transaction",LOWER(F1254&amp;" "&amp;H1254&amp;" "&amp;I1254&amp;" "&amp;M1254&amp;" "&amp;N1254&amp;" "&amp;T1254)))),"PRIVATE_REVIEW","PUBLIC_CANDIDATE"))</x:f>
        <x:v>PUBLIC_CANDIDATE</x:v>
      </x:c>
      <x:c r="AD1254" s="12" t="str">
        <x:f>IF(AC1254="PRIVATE_QUARANTINE","hacker_or_bank_trigger",IF(AC1254="PRIVATE_REVIEW","finance_risk_trigger","none"))</x:f>
        <x:v>none</x:v>
      </x:c>
      <x:c r="AE1254" s="12" t="str">
        <x:f>IF(AC1254="PUBLIC_CANDIDATE","prepare_public_github_candidate",IF(AC1254="PRIVATE_REVIEW","hold_for_private_review","quarantine_private_do_not_publish"))</x:f>
        <x:v>prepare_public_github_candidate</x:v>
      </x:c>
      <x:c r="AF1254" s="12" t="str">
        <x:f>IF(AC1254="PUBLIC_CANDIDATE","TIDELOCK + Lucerna",IF(AC1254="PRIVATE_REVIEW","AtlasBrain + Lucerna","TIDELOCK + Lucerna + Human-root"))</x:f>
        <x:v>TIDELOCK + Lucerna</x:v>
      </x:c>
      <x:c r="AG1254" s="12" t="str">
        <x:f>IF(AND(AC1254="PUBLIC_CANDIDATE",U1254&lt;&gt;"BLOCKED_PENDING_RECEIPT"),"READY_AFTER_RECEIPT","NOT_READY")</x:f>
        <x:v>NOT_READY</x:v>
      </x:c>
      <x:c r="AH1254" s="12" t="str">
        <x:f>IF(AC1254="PUBLIC_CANDIDATE","none",AD1254)</x:f>
        <x:v>none</x:v>
      </x:c>
      <x:c r="AI1254" s="12" t="str">
        <x:f>IF(AC1254="PUBLIC_CANDIDATE","archive/public_candidates/"&amp;A1254,"private_quarantine/"&amp;A1254)</x:f>
        <x:v>archive/public_candidates/SWARM-09-H09-S05</x:v>
      </x:c>
      <x:c r="AJ1254" s="12" t="str">
        <x:f>IF(AC1254="PUBLIC_CANDIDATE","public by default; still not canon","private/hold; do not publish")</x:f>
        <x:v>public by default; still not canon</x:v>
      </x:c>
      <x:c r="AK1254" s="12" t="str">
        <x:f>IF(AE1254="prepare_public_github_candidate","add receipt/status then mirror","resolve blocker before any public GitHub action")</x:f>
        <x:v>add receipt/status then mirror</x:v>
      </x:c>
    </x:row>
    <x:row r="1255">
      <x:c r="A1255" s="15" t="str">
        <x:v>SWARM-09-H09-S06</x:v>
      </x:c>
      <x:c r="B1255" s="15" t="str">
        <x:v>NotionMoth</x:v>
      </x:c>
      <x:c r="C1255" s="15" t="str">
        <x:v>Notion ontology mapper</x:v>
      </x:c>
      <x:c r="D1255" s="15" t="str">
        <x:v>Review Queues</x:v>
      </x:c>
      <x:c r="E1255" s="15" t="str">
        <x:v>External Web</x:v>
      </x:c>
      <x:c r="F1255" s="15" t="str">
        <x:v>Queue review for External Web — NotionMoth</x:v>
      </x:c>
      <x:c r="G1255" s="15" t="str">
        <x:v>legacy schema / Notion export prep</x:v>
      </x:c>
      <x:c r="H1255" s="15" t="str">
        <x:v>source path + receipt + raw/export status + claim/edge/risk delta</x:v>
      </x:c>
      <x:c r="I1255" s="15" t="str">
        <x:v>packet/SWARM-09-H09-S06</x:v>
      </x:c>
      <x:c r="J1255" s="15" t="str">
        <x:v>TODO</x:v>
      </x:c>
      <x:c r="K1255" s="15" t="str">
        <x:v>P1</x:v>
      </x:c>
      <x:c r="L1255" s="15" t="str">
        <x:v>Done only when evidence is logged, contradiction search is noted, and boundary stamp remains non-canon unless ratified</x:v>
      </x:c>
      <x:c r="M1255" s="15" t="str">
        <x:v>candidate / staging-only / not canon / not deployed / authority none</x:v>
      </x:c>
      <x:c r="N1255" s="15" t="str">
        <x:v>Dispatch to NotionMoth: complete Review Queues x External Web; return deltas only, receipts required.</x:v>
      </x:c>
      <x:c r="O1255" s="15" t="str">
        <x:v>AF-KG-H09-S06</x:v>
      </x:c>
      <x:c r="P1255" s="15" t="str">
        <x:v>Unverified</x:v>
      </x:c>
      <x:c r="Q1255" s="15" t="str">
        <x:v>Not checked</x:v>
      </x:c>
      <x:c r="R1255" s="15" t="str"/>
      <x:c r="S1255" s="15" t="str"/>
      <x:c r="T1255" s="15" t="str">
        <x:v>Log first source path or blocker</x:v>
      </x:c>
      <x:c r="U1255" s="12" t="str">
        <x:f>IF(OR(P1255="Unverified",Q1255="Not checked"),"BLOCKED_PENDING_RECEIPT","READY_FOR_REVIEW")</x:f>
        <x:v>BLOCKED_PENDING_RECEIPT</x:v>
      </x:c>
      <x:c r="V1255" s="12" t="str">
        <x:f>IF(J1255="DONE","RETURNED",IF(U1255="BLOCKED_PENDING_RECEIPT","SOURCE_TOUCH_REQUIRED","IN_PROGRESS"))</x:f>
        <x:v>SOURCE_TOUCH_REQUIRED</x:v>
      </x:c>
      <x:c r="W1255" s="12" t="str">
        <x:f>IF(P1255="Unverified","missing_receipt","receipt_logged")</x:f>
        <x:v>missing_receipt</x:v>
      </x:c>
      <x:c r="X1255" s="12" t="str">
        <x:f>IF(Q1255="Not checked","raw_status_missing","raw_status_logged")</x:f>
        <x:v>raw_status_missing</x:v>
      </x:c>
      <x:c r="Y1255" s="12" t="str">
        <x:f>IF(U1255="BLOCKED_PENDING_RECEIPT","Log source path or blocker; do not promote","Route to review lane")</x:f>
        <x:v>Log source path or blocker; do not promote</x:v>
      </x:c>
      <x:c r="Z1255" s="12" t="str">
        <x:f>IF(K1255="P0","Primary seat + Hashlight/Lucerna","Seat lane")</x:f>
        <x:v>Seat lane</x:v>
      </x:c>
      <x:c r="AA1255" s="12" t="str">
        <x:f>IF(R1255="","no_claim_delta","claim_delta_present")</x:f>
        <x:v>no_claim_delta</x:v>
      </x:c>
      <x:c r="AB1255" s="12" t="str">
        <x:f>IF(S1255="","no_contradiction_delta","contradiction_delta_present")</x:f>
        <x:v>no_contradiction_delta</x:v>
      </x:c>
      <x:c r="AC1255" s="12" t="str">
        <x:f>IF(OR(ISNUMBER(SEARCH("hacker",LOWER(F1255&amp;" "&amp;H1255&amp;" "&amp;I1255&amp;" "&amp;M1255&amp;" "&amp;N1255&amp;" "&amp;T1255))),ISNUMBER(SEARCH("hacking",LOWER(F1255&amp;" "&amp;H1255&amp;" "&amp;I1255&amp;" "&amp;M1255&amp;" "&amp;N1255&amp;" "&amp;T1255))),ISNUMBER(SEARCH("bank",LOWER(F1255&amp;" "&amp;H1255&amp;" "&amp;I1255&amp;" "&amp;M1255&amp;" "&amp;N1255&amp;" "&amp;T1255))),ISNUMBER(SEARCH("banking",LOWER(F1255&amp;" "&amp;H1255&amp;" "&amp;I1255&amp;" "&amp;M1255&amp;" "&amp;N1255&amp;" "&amp;T1255)))),"PRIVATE_QUARANTINE",IF(OR(ISNUMBER(SEARCH("treasury",LOWER(F1255&amp;" "&amp;H1255&amp;" "&amp;I1255&amp;" "&amp;M1255&amp;" "&amp;N1255&amp;" "&amp;T1255))),ISNUMBER(SEARCH("debt",LOWER(F1255&amp;" "&amp;H1255&amp;" "&amp;I1255&amp;" "&amp;M1255&amp;" "&amp;N1255&amp;" "&amp;T1255))),ISNUMBER(SEARCH("bond",LOWER(F1255&amp;" "&amp;H1255&amp;" "&amp;I1255&amp;" "&amp;M1255&amp;" "&amp;N1255&amp;" "&amp;T1255))),ISNUMBER(SEARCH("transaction",LOWER(F1255&amp;" "&amp;H1255&amp;" "&amp;I1255&amp;" "&amp;M1255&amp;" "&amp;N1255&amp;" "&amp;T1255)))),"PRIVATE_REVIEW","PUBLIC_CANDIDATE"))</x:f>
        <x:v>PUBLIC_CANDIDATE</x:v>
      </x:c>
      <x:c r="AD1255" s="12" t="str">
        <x:f>IF(AC1255="PRIVATE_QUARANTINE","hacker_or_bank_trigger",IF(AC1255="PRIVATE_REVIEW","finance_risk_trigger","none"))</x:f>
        <x:v>none</x:v>
      </x:c>
      <x:c r="AE1255" s="12" t="str">
        <x:f>IF(AC1255="PUBLIC_CANDIDATE","prepare_public_github_candidate",IF(AC1255="PRIVATE_REVIEW","hold_for_private_review","quarantine_private_do_not_publish"))</x:f>
        <x:v>prepare_public_github_candidate</x:v>
      </x:c>
      <x:c r="AF1255" s="12" t="str">
        <x:f>IF(AC1255="PUBLIC_CANDIDATE","TIDELOCK + Lucerna",IF(AC1255="PRIVATE_REVIEW","AtlasBrain + Lucerna","TIDELOCK + Lucerna + Human-root"))</x:f>
        <x:v>TIDELOCK + Lucerna</x:v>
      </x:c>
      <x:c r="AG1255" s="12" t="str">
        <x:f>IF(AND(AC1255="PUBLIC_CANDIDATE",U1255&lt;&gt;"BLOCKED_PENDING_RECEIPT"),"READY_AFTER_RECEIPT","NOT_READY")</x:f>
        <x:v>NOT_READY</x:v>
      </x:c>
      <x:c r="AH1255" s="12" t="str">
        <x:f>IF(AC1255="PUBLIC_CANDIDATE","none",AD1255)</x:f>
        <x:v>none</x:v>
      </x:c>
      <x:c r="AI1255" s="12" t="str">
        <x:f>IF(AC1255="PUBLIC_CANDIDATE","archive/public_candidates/"&amp;A1255,"private_quarantine/"&amp;A1255)</x:f>
        <x:v>archive/public_candidates/SWARM-09-H09-S06</x:v>
      </x:c>
      <x:c r="AJ1255" s="12" t="str">
        <x:f>IF(AC1255="PUBLIC_CANDIDATE","public by default; still not canon","private/hold; do not publish")</x:f>
        <x:v>public by default; still not canon</x:v>
      </x:c>
      <x:c r="AK1255" s="12" t="str">
        <x:f>IF(AE1255="prepare_public_github_candidate","add receipt/status then mirror","resolve blocker before any public GitHub action")</x:f>
        <x:v>add receipt/status then mirror</x:v>
      </x:c>
    </x:row>
    <x:row r="1256">
      <x:c r="A1256" s="15" t="str">
        <x:v>SWARM-09-H09-S07</x:v>
      </x:c>
      <x:c r="B1256" s="15" t="str">
        <x:v>NotionMoth</x:v>
      </x:c>
      <x:c r="C1256" s="15" t="str">
        <x:v>Notion ontology mapper</x:v>
      </x:c>
      <x:c r="D1256" s="15" t="str">
        <x:v>Review Queues</x:v>
      </x:c>
      <x:c r="E1256" s="15" t="str">
        <x:v>Planetarium</x:v>
      </x:c>
      <x:c r="F1256" s="15" t="str">
        <x:v>Queue review for Planetarium — NotionMoth</x:v>
      </x:c>
      <x:c r="G1256" s="15" t="str">
        <x:v>legacy schema / Notion export prep</x:v>
      </x:c>
      <x:c r="H1256" s="15" t="str">
        <x:v>source path + receipt + raw/export status + claim/edge/risk delta</x:v>
      </x:c>
      <x:c r="I1256" s="15" t="str">
        <x:v>packet/SWARM-09-H09-S07</x:v>
      </x:c>
      <x:c r="J1256" s="15" t="str">
        <x:v>TODO</x:v>
      </x:c>
      <x:c r="K1256" s="15" t="str">
        <x:v>P1</x:v>
      </x:c>
      <x:c r="L1256" s="15" t="str">
        <x:v>Done only when evidence is logged, contradiction search is noted, and boundary stamp remains non-canon unless ratified</x:v>
      </x:c>
      <x:c r="M1256" s="15" t="str">
        <x:v>candidate / staging-only / not canon / not deployed / authority none</x:v>
      </x:c>
      <x:c r="N1256" s="15" t="str">
        <x:v>Dispatch to NotionMoth: complete Review Queues x Planetarium; return deltas only, receipts required.</x:v>
      </x:c>
      <x:c r="O1256" s="15" t="str">
        <x:v>AF-KG-H09-S07</x:v>
      </x:c>
      <x:c r="P1256" s="15" t="str">
        <x:v>Unverified</x:v>
      </x:c>
      <x:c r="Q1256" s="15" t="str">
        <x:v>Not checked</x:v>
      </x:c>
      <x:c r="R1256" s="15" t="str"/>
      <x:c r="S1256" s="15" t="str"/>
      <x:c r="T1256" s="15" t="str">
        <x:v>Log first source path or blocker</x:v>
      </x:c>
      <x:c r="U1256" s="12" t="str">
        <x:f>IF(OR(P1256="Unverified",Q1256="Not checked"),"BLOCKED_PENDING_RECEIPT","READY_FOR_REVIEW")</x:f>
        <x:v>BLOCKED_PENDING_RECEIPT</x:v>
      </x:c>
      <x:c r="V1256" s="12" t="str">
        <x:f>IF(J1256="DONE","RETURNED",IF(U1256="BLOCKED_PENDING_RECEIPT","SOURCE_TOUCH_REQUIRED","IN_PROGRESS"))</x:f>
        <x:v>SOURCE_TOUCH_REQUIRED</x:v>
      </x:c>
      <x:c r="W1256" s="12" t="str">
        <x:f>IF(P1256="Unverified","missing_receipt","receipt_logged")</x:f>
        <x:v>missing_receipt</x:v>
      </x:c>
      <x:c r="X1256" s="12" t="str">
        <x:f>IF(Q1256="Not checked","raw_status_missing","raw_status_logged")</x:f>
        <x:v>raw_status_missing</x:v>
      </x:c>
      <x:c r="Y1256" s="12" t="str">
        <x:f>IF(U1256="BLOCKED_PENDING_RECEIPT","Log source path or blocker; do not promote","Route to review lane")</x:f>
        <x:v>Log source path or blocker; do not promote</x:v>
      </x:c>
      <x:c r="Z1256" s="12" t="str">
        <x:f>IF(K1256="P0","Primary seat + Hashlight/Lucerna","Seat lane")</x:f>
        <x:v>Seat lane</x:v>
      </x:c>
      <x:c r="AA1256" s="12" t="str">
        <x:f>IF(R1256="","no_claim_delta","claim_delta_present")</x:f>
        <x:v>no_claim_delta</x:v>
      </x:c>
      <x:c r="AB1256" s="12" t="str">
        <x:f>IF(S1256="","no_contradiction_delta","contradiction_delta_present")</x:f>
        <x:v>no_contradiction_delta</x:v>
      </x:c>
      <x:c r="AC1256" s="12" t="str">
        <x:f>IF(OR(ISNUMBER(SEARCH("hacker",LOWER(F1256&amp;" "&amp;H1256&amp;" "&amp;I1256&amp;" "&amp;M1256&amp;" "&amp;N1256&amp;" "&amp;T1256))),ISNUMBER(SEARCH("hacking",LOWER(F1256&amp;" "&amp;H1256&amp;" "&amp;I1256&amp;" "&amp;M1256&amp;" "&amp;N1256&amp;" "&amp;T1256))),ISNUMBER(SEARCH("bank",LOWER(F1256&amp;" "&amp;H1256&amp;" "&amp;I1256&amp;" "&amp;M1256&amp;" "&amp;N1256&amp;" "&amp;T1256))),ISNUMBER(SEARCH("banking",LOWER(F1256&amp;" "&amp;H1256&amp;" "&amp;I1256&amp;" "&amp;M1256&amp;" "&amp;N1256&amp;" "&amp;T1256)))),"PRIVATE_QUARANTINE",IF(OR(ISNUMBER(SEARCH("treasury",LOWER(F1256&amp;" "&amp;H1256&amp;" "&amp;I1256&amp;" "&amp;M1256&amp;" "&amp;N1256&amp;" "&amp;T1256))),ISNUMBER(SEARCH("debt",LOWER(F1256&amp;" "&amp;H1256&amp;" "&amp;I1256&amp;" "&amp;M1256&amp;" "&amp;N1256&amp;" "&amp;T1256))),ISNUMBER(SEARCH("bond",LOWER(F1256&amp;" "&amp;H1256&amp;" "&amp;I1256&amp;" "&amp;M1256&amp;" "&amp;N1256&amp;" "&amp;T1256))),ISNUMBER(SEARCH("transaction",LOWER(F1256&amp;" "&amp;H1256&amp;" "&amp;I1256&amp;" "&amp;M1256&amp;" "&amp;N1256&amp;" "&amp;T1256)))),"PRIVATE_REVIEW","PUBLIC_CANDIDATE"))</x:f>
        <x:v>PUBLIC_CANDIDATE</x:v>
      </x:c>
      <x:c r="AD1256" s="12" t="str">
        <x:f>IF(AC1256="PRIVATE_QUARANTINE","hacker_or_bank_trigger",IF(AC1256="PRIVATE_REVIEW","finance_risk_trigger","none"))</x:f>
        <x:v>none</x:v>
      </x:c>
      <x:c r="AE1256" s="12" t="str">
        <x:f>IF(AC1256="PUBLIC_CANDIDATE","prepare_public_github_candidate",IF(AC1256="PRIVATE_REVIEW","hold_for_private_review","quarantine_private_do_not_publish"))</x:f>
        <x:v>prepare_public_github_candidate</x:v>
      </x:c>
      <x:c r="AF1256" s="12" t="str">
        <x:f>IF(AC1256="PUBLIC_CANDIDATE","TIDELOCK + Lucerna",IF(AC1256="PRIVATE_REVIEW","AtlasBrain + Lucerna","TIDELOCK + Lucerna + Human-root"))</x:f>
        <x:v>TIDELOCK + Lucerna</x:v>
      </x:c>
      <x:c r="AG1256" s="12" t="str">
        <x:f>IF(AND(AC1256="PUBLIC_CANDIDATE",U1256&lt;&gt;"BLOCKED_PENDING_RECEIPT"),"READY_AFTER_RECEIPT","NOT_READY")</x:f>
        <x:v>NOT_READY</x:v>
      </x:c>
      <x:c r="AH1256" s="12" t="str">
        <x:f>IF(AC1256="PUBLIC_CANDIDATE","none",AD1256)</x:f>
        <x:v>none</x:v>
      </x:c>
      <x:c r="AI1256" s="12" t="str">
        <x:f>IF(AC1256="PUBLIC_CANDIDATE","archive/public_candidates/"&amp;A1256,"private_quarantine/"&amp;A1256)</x:f>
        <x:v>archive/public_candidates/SWARM-09-H09-S07</x:v>
      </x:c>
      <x:c r="AJ1256" s="12" t="str">
        <x:f>IF(AC1256="PUBLIC_CANDIDATE","public by default; still not canon","private/hold; do not publish")</x:f>
        <x:v>public by default; still not canon</x:v>
      </x:c>
      <x:c r="AK1256" s="12" t="str">
        <x:f>IF(AE1256="prepare_public_github_candidate","add receipt/status then mirror","resolve blocker before any public GitHub action")</x:f>
        <x:v>add receipt/status then mirror</x:v>
      </x:c>
    </x:row>
    <x:row r="1257">
      <x:c r="A1257" s="15" t="str">
        <x:v>SWARM-09-H09-S08</x:v>
      </x:c>
      <x:c r="B1257" s="15" t="str">
        <x:v>NotionMoth</x:v>
      </x:c>
      <x:c r="C1257" s="15" t="str">
        <x:v>Notion ontology mapper</x:v>
      </x:c>
      <x:c r="D1257" s="15" t="str">
        <x:v>Review Queues</x:v>
      </x:c>
      <x:c r="E1257" s="15" t="str">
        <x:v>Sheldonbrain</x:v>
      </x:c>
      <x:c r="F1257" s="15" t="str">
        <x:v>Queue review for Sheldonbrain — NotionMoth</x:v>
      </x:c>
      <x:c r="G1257" s="15" t="str">
        <x:v>legacy schema / Notion export prep</x:v>
      </x:c>
      <x:c r="H1257" s="15" t="str">
        <x:v>source path + receipt + raw/export status + claim/edge/risk delta</x:v>
      </x:c>
      <x:c r="I1257" s="15" t="str">
        <x:v>packet/SWARM-09-H09-S08</x:v>
      </x:c>
      <x:c r="J1257" s="15" t="str">
        <x:v>TODO</x:v>
      </x:c>
      <x:c r="K1257" s="15" t="str">
        <x:v>P1</x:v>
      </x:c>
      <x:c r="L1257" s="15" t="str">
        <x:v>Done only when evidence is logged, contradiction search is noted, and boundary stamp remains non-canon unless ratified</x:v>
      </x:c>
      <x:c r="M1257" s="15" t="str">
        <x:v>candidate / staging-only / not canon / not deployed / authority none</x:v>
      </x:c>
      <x:c r="N1257" s="15" t="str">
        <x:v>Dispatch to NotionMoth: complete Review Queues x Sheldonbrain; return deltas only, receipts required.</x:v>
      </x:c>
      <x:c r="O1257" s="15" t="str">
        <x:v>AF-KG-H09-S08</x:v>
      </x:c>
      <x:c r="P1257" s="15" t="str">
        <x:v>Unverified</x:v>
      </x:c>
      <x:c r="Q1257" s="15" t="str">
        <x:v>Not checked</x:v>
      </x:c>
      <x:c r="R1257" s="15" t="str"/>
      <x:c r="S1257" s="15" t="str"/>
      <x:c r="T1257" s="15" t="str">
        <x:v>Log first source path or blocker</x:v>
      </x:c>
      <x:c r="U1257" s="12" t="str">
        <x:f>IF(OR(P1257="Unverified",Q1257="Not checked"),"BLOCKED_PENDING_RECEIPT","READY_FOR_REVIEW")</x:f>
        <x:v>BLOCKED_PENDING_RECEIPT</x:v>
      </x:c>
      <x:c r="V1257" s="12" t="str">
        <x:f>IF(J1257="DONE","RETURNED",IF(U1257="BLOCKED_PENDING_RECEIPT","SOURCE_TOUCH_REQUIRED","IN_PROGRESS"))</x:f>
        <x:v>SOURCE_TOUCH_REQUIRED</x:v>
      </x:c>
      <x:c r="W1257" s="12" t="str">
        <x:f>IF(P1257="Unverified","missing_receipt","receipt_logged")</x:f>
        <x:v>missing_receipt</x:v>
      </x:c>
      <x:c r="X1257" s="12" t="str">
        <x:f>IF(Q1257="Not checked","raw_status_missing","raw_status_logged")</x:f>
        <x:v>raw_status_missing</x:v>
      </x:c>
      <x:c r="Y1257" s="12" t="str">
        <x:f>IF(U1257="BLOCKED_PENDING_RECEIPT","Log source path or blocker; do not promote","Route to review lane")</x:f>
        <x:v>Log source path or blocker; do not promote</x:v>
      </x:c>
      <x:c r="Z1257" s="12" t="str">
        <x:f>IF(K1257="P0","Primary seat + Hashlight/Lucerna","Seat lane")</x:f>
        <x:v>Seat lane</x:v>
      </x:c>
      <x:c r="AA1257" s="12" t="str">
        <x:f>IF(R1257="","no_claim_delta","claim_delta_present")</x:f>
        <x:v>no_claim_delta</x:v>
      </x:c>
      <x:c r="AB1257" s="12" t="str">
        <x:f>IF(S1257="","no_contradiction_delta","contradiction_delta_present")</x:f>
        <x:v>no_contradiction_delta</x:v>
      </x:c>
      <x:c r="AC1257" s="12" t="str">
        <x:f>IF(OR(ISNUMBER(SEARCH("hacker",LOWER(F1257&amp;" "&amp;H1257&amp;" "&amp;I1257&amp;" "&amp;M1257&amp;" "&amp;N1257&amp;" "&amp;T1257))),ISNUMBER(SEARCH("hacking",LOWER(F1257&amp;" "&amp;H1257&amp;" "&amp;I1257&amp;" "&amp;M1257&amp;" "&amp;N1257&amp;" "&amp;T1257))),ISNUMBER(SEARCH("bank",LOWER(F1257&amp;" "&amp;H1257&amp;" "&amp;I1257&amp;" "&amp;M1257&amp;" "&amp;N1257&amp;" "&amp;T1257))),ISNUMBER(SEARCH("banking",LOWER(F1257&amp;" "&amp;H1257&amp;" "&amp;I1257&amp;" "&amp;M1257&amp;" "&amp;N1257&amp;" "&amp;T1257)))),"PRIVATE_QUARANTINE",IF(OR(ISNUMBER(SEARCH("treasury",LOWER(F1257&amp;" "&amp;H1257&amp;" "&amp;I1257&amp;" "&amp;M1257&amp;" "&amp;N1257&amp;" "&amp;T1257))),ISNUMBER(SEARCH("debt",LOWER(F1257&amp;" "&amp;H1257&amp;" "&amp;I1257&amp;" "&amp;M1257&amp;" "&amp;N1257&amp;" "&amp;T1257))),ISNUMBER(SEARCH("bond",LOWER(F1257&amp;" "&amp;H1257&amp;" "&amp;I1257&amp;" "&amp;M1257&amp;" "&amp;N1257&amp;" "&amp;T1257))),ISNUMBER(SEARCH("transaction",LOWER(F1257&amp;" "&amp;H1257&amp;" "&amp;I1257&amp;" "&amp;M1257&amp;" "&amp;N1257&amp;" "&amp;T1257)))),"PRIVATE_REVIEW","PUBLIC_CANDIDATE"))</x:f>
        <x:v>PUBLIC_CANDIDATE</x:v>
      </x:c>
      <x:c r="AD1257" s="12" t="str">
        <x:f>IF(AC1257="PRIVATE_QUARANTINE","hacker_or_bank_trigger",IF(AC1257="PRIVATE_REVIEW","finance_risk_trigger","none"))</x:f>
        <x:v>none</x:v>
      </x:c>
      <x:c r="AE1257" s="12" t="str">
        <x:f>IF(AC1257="PUBLIC_CANDIDATE","prepare_public_github_candidate",IF(AC1257="PRIVATE_REVIEW","hold_for_private_review","quarantine_private_do_not_publish"))</x:f>
        <x:v>prepare_public_github_candidate</x:v>
      </x:c>
      <x:c r="AF1257" s="12" t="str">
        <x:f>IF(AC1257="PUBLIC_CANDIDATE","TIDELOCK + Lucerna",IF(AC1257="PRIVATE_REVIEW","AtlasBrain + Lucerna","TIDELOCK + Lucerna + Human-root"))</x:f>
        <x:v>TIDELOCK + Lucerna</x:v>
      </x:c>
      <x:c r="AG1257" s="12" t="str">
        <x:f>IF(AND(AC1257="PUBLIC_CANDIDATE",U1257&lt;&gt;"BLOCKED_PENDING_RECEIPT"),"READY_AFTER_RECEIPT","NOT_READY")</x:f>
        <x:v>NOT_READY</x:v>
      </x:c>
      <x:c r="AH1257" s="12" t="str">
        <x:f>IF(AC1257="PUBLIC_CANDIDATE","none",AD1257)</x:f>
        <x:v>none</x:v>
      </x:c>
      <x:c r="AI1257" s="12" t="str">
        <x:f>IF(AC1257="PUBLIC_CANDIDATE","archive/public_candidates/"&amp;A1257,"private_quarantine/"&amp;A1257)</x:f>
        <x:v>archive/public_candidates/SWARM-09-H09-S08</x:v>
      </x:c>
      <x:c r="AJ1257" s="12" t="str">
        <x:f>IF(AC1257="PUBLIC_CANDIDATE","public by default; still not canon","private/hold; do not publish")</x:f>
        <x:v>public by default; still not canon</x:v>
      </x:c>
      <x:c r="AK1257" s="12" t="str">
        <x:f>IF(AE1257="prepare_public_github_candidate","add receipt/status then mirror","resolve blocker before any public GitHub action")</x:f>
        <x:v>add receipt/status then mirror</x:v>
      </x:c>
    </x:row>
    <x:row r="1258">
      <x:c r="A1258" s="15" t="str">
        <x:v>SWARM-09-H09-S09</x:v>
      </x:c>
      <x:c r="B1258" s="15" t="str">
        <x:v>NotionMoth</x:v>
      </x:c>
      <x:c r="C1258" s="15" t="str">
        <x:v>Notion ontology mapper</x:v>
      </x:c>
      <x:c r="D1258" s="15" t="str">
        <x:v>Review Queues</x:v>
      </x:c>
      <x:c r="E1258" s="15" t="str">
        <x:v>Aetherforge</x:v>
      </x:c>
      <x:c r="F1258" s="15" t="str">
        <x:v>Queue review for Aetherforge — NotionMoth</x:v>
      </x:c>
      <x:c r="G1258" s="15" t="str">
        <x:v>legacy schema / Notion export prep</x:v>
      </x:c>
      <x:c r="H1258" s="15" t="str">
        <x:v>source path + receipt + raw/export status + claim/edge/risk delta</x:v>
      </x:c>
      <x:c r="I1258" s="15" t="str">
        <x:v>packet/SWARM-09-H09-S09</x:v>
      </x:c>
      <x:c r="J1258" s="15" t="str">
        <x:v>TODO</x:v>
      </x:c>
      <x:c r="K1258" s="15" t="str">
        <x:v>P2</x:v>
      </x:c>
      <x:c r="L1258" s="15" t="str">
        <x:v>Done only when evidence is logged, contradiction search is noted, and boundary stamp remains non-canon unless ratified</x:v>
      </x:c>
      <x:c r="M1258" s="15" t="str">
        <x:v>candidate / staging-only / not canon / not deployed / authority none</x:v>
      </x:c>
      <x:c r="N1258" s="15" t="str">
        <x:v>Dispatch to NotionMoth: complete Review Queues x Aetherforge; return deltas only, receipts required.</x:v>
      </x:c>
      <x:c r="O1258" s="15" t="str">
        <x:v>AF-KG-H09-S09</x:v>
      </x:c>
      <x:c r="P1258" s="15" t="str">
        <x:v>Unverified</x:v>
      </x:c>
      <x:c r="Q1258" s="15" t="str">
        <x:v>Not checked</x:v>
      </x:c>
      <x:c r="R1258" s="15" t="str"/>
      <x:c r="S1258" s="15" t="str"/>
      <x:c r="T1258" s="15" t="str">
        <x:v>Log first source path or blocker</x:v>
      </x:c>
      <x:c r="U1258" s="12" t="str">
        <x:f>IF(OR(P1258="Unverified",Q1258="Not checked"),"BLOCKED_PENDING_RECEIPT","READY_FOR_REVIEW")</x:f>
        <x:v>BLOCKED_PENDING_RECEIPT</x:v>
      </x:c>
      <x:c r="V1258" s="12" t="str">
        <x:f>IF(J1258="DONE","RETURNED",IF(U1258="BLOCKED_PENDING_RECEIPT","SOURCE_TOUCH_REQUIRED","IN_PROGRESS"))</x:f>
        <x:v>SOURCE_TOUCH_REQUIRED</x:v>
      </x:c>
      <x:c r="W1258" s="12" t="str">
        <x:f>IF(P1258="Unverified","missing_receipt","receipt_logged")</x:f>
        <x:v>missing_receipt</x:v>
      </x:c>
      <x:c r="X1258" s="12" t="str">
        <x:f>IF(Q1258="Not checked","raw_status_missing","raw_status_logged")</x:f>
        <x:v>raw_status_missing</x:v>
      </x:c>
      <x:c r="Y1258" s="12" t="str">
        <x:f>IF(U1258="BLOCKED_PENDING_RECEIPT","Log source path or blocker; do not promote","Route to review lane")</x:f>
        <x:v>Log source path or blocker; do not promote</x:v>
      </x:c>
      <x:c r="Z1258" s="12" t="str">
        <x:f>IF(K1258="P0","Primary seat + Hashlight/Lucerna","Seat lane")</x:f>
        <x:v>Seat lane</x:v>
      </x:c>
      <x:c r="AA1258" s="12" t="str">
        <x:f>IF(R1258="","no_claim_delta","claim_delta_present")</x:f>
        <x:v>no_claim_delta</x:v>
      </x:c>
      <x:c r="AB1258" s="12" t="str">
        <x:f>IF(S1258="","no_contradiction_delta","contradiction_delta_present")</x:f>
        <x:v>no_contradiction_delta</x:v>
      </x:c>
      <x:c r="AC1258" s="12" t="str">
        <x:f>IF(OR(ISNUMBER(SEARCH("hacker",LOWER(F1258&amp;" "&amp;H1258&amp;" "&amp;I1258&amp;" "&amp;M1258&amp;" "&amp;N1258&amp;" "&amp;T1258))),ISNUMBER(SEARCH("hacking",LOWER(F1258&amp;" "&amp;H1258&amp;" "&amp;I1258&amp;" "&amp;M1258&amp;" "&amp;N1258&amp;" "&amp;T1258))),ISNUMBER(SEARCH("bank",LOWER(F1258&amp;" "&amp;H1258&amp;" "&amp;I1258&amp;" "&amp;M1258&amp;" "&amp;N1258&amp;" "&amp;T1258))),ISNUMBER(SEARCH("banking",LOWER(F1258&amp;" "&amp;H1258&amp;" "&amp;I1258&amp;" "&amp;M1258&amp;" "&amp;N1258&amp;" "&amp;T1258)))),"PRIVATE_QUARANTINE",IF(OR(ISNUMBER(SEARCH("treasury",LOWER(F1258&amp;" "&amp;H1258&amp;" "&amp;I1258&amp;" "&amp;M1258&amp;" "&amp;N1258&amp;" "&amp;T1258))),ISNUMBER(SEARCH("debt",LOWER(F1258&amp;" "&amp;H1258&amp;" "&amp;I1258&amp;" "&amp;M1258&amp;" "&amp;N1258&amp;" "&amp;T1258))),ISNUMBER(SEARCH("bond",LOWER(F1258&amp;" "&amp;H1258&amp;" "&amp;I1258&amp;" "&amp;M1258&amp;" "&amp;N1258&amp;" "&amp;T1258))),ISNUMBER(SEARCH("transaction",LOWER(F1258&amp;" "&amp;H1258&amp;" "&amp;I1258&amp;" "&amp;M1258&amp;" "&amp;N1258&amp;" "&amp;T1258)))),"PRIVATE_REVIEW","PUBLIC_CANDIDATE"))</x:f>
        <x:v>PUBLIC_CANDIDATE</x:v>
      </x:c>
      <x:c r="AD1258" s="12" t="str">
        <x:f>IF(AC1258="PRIVATE_QUARANTINE","hacker_or_bank_trigger",IF(AC1258="PRIVATE_REVIEW","finance_risk_trigger","none"))</x:f>
        <x:v>none</x:v>
      </x:c>
      <x:c r="AE1258" s="12" t="str">
        <x:f>IF(AC1258="PUBLIC_CANDIDATE","prepare_public_github_candidate",IF(AC1258="PRIVATE_REVIEW","hold_for_private_review","quarantine_private_do_not_publish"))</x:f>
        <x:v>prepare_public_github_candidate</x:v>
      </x:c>
      <x:c r="AF1258" s="12" t="str">
        <x:f>IF(AC1258="PUBLIC_CANDIDATE","TIDELOCK + Lucerna",IF(AC1258="PRIVATE_REVIEW","AtlasBrain + Lucerna","TIDELOCK + Lucerna + Human-root"))</x:f>
        <x:v>TIDELOCK + Lucerna</x:v>
      </x:c>
      <x:c r="AG1258" s="12" t="str">
        <x:f>IF(AND(AC1258="PUBLIC_CANDIDATE",U1258&lt;&gt;"BLOCKED_PENDING_RECEIPT"),"READY_AFTER_RECEIPT","NOT_READY")</x:f>
        <x:v>NOT_READY</x:v>
      </x:c>
      <x:c r="AH1258" s="12" t="str">
        <x:f>IF(AC1258="PUBLIC_CANDIDATE","none",AD1258)</x:f>
        <x:v>none</x:v>
      </x:c>
      <x:c r="AI1258" s="12" t="str">
        <x:f>IF(AC1258="PUBLIC_CANDIDATE","archive/public_candidates/"&amp;A1258,"private_quarantine/"&amp;A1258)</x:f>
        <x:v>archive/public_candidates/SWARM-09-H09-S09</x:v>
      </x:c>
      <x:c r="AJ1258" s="12" t="str">
        <x:f>IF(AC1258="PUBLIC_CANDIDATE","public by default; still not canon","private/hold; do not publish")</x:f>
        <x:v>public by default; still not canon</x:v>
      </x:c>
      <x:c r="AK1258" s="12" t="str">
        <x:f>IF(AE1258="prepare_public_github_candidate","add receipt/status then mirror","resolve blocker before any public GitHub action")</x:f>
        <x:v>add receipt/status then mirror</x:v>
      </x:c>
    </x:row>
    <x:row r="1259">
      <x:c r="A1259" s="15" t="str">
        <x:v>SWARM-09-H09-S10</x:v>
      </x:c>
      <x:c r="B1259" s="15" t="str">
        <x:v>NotionMoth</x:v>
      </x:c>
      <x:c r="C1259" s="15" t="str">
        <x:v>Notion ontology mapper</x:v>
      </x:c>
      <x:c r="D1259" s="15" t="str">
        <x:v>Review Queues</x:v>
      </x:c>
      <x:c r="E1259" s="15" t="str">
        <x:v>Human-Root</x:v>
      </x:c>
      <x:c r="F1259" s="15" t="str">
        <x:v>Queue review for Human-Root — NotionMoth</x:v>
      </x:c>
      <x:c r="G1259" s="15" t="str">
        <x:v>legacy schema / Notion export prep</x:v>
      </x:c>
      <x:c r="H1259" s="15" t="str">
        <x:v>source path + receipt + raw/export status + claim/edge/risk delta</x:v>
      </x:c>
      <x:c r="I1259" s="15" t="str">
        <x:v>packet/SWARM-09-H09-S10</x:v>
      </x:c>
      <x:c r="J1259" s="15" t="str">
        <x:v>TODO</x:v>
      </x:c>
      <x:c r="K1259" s="15" t="str">
        <x:v>P2</x:v>
      </x:c>
      <x:c r="L1259" s="15" t="str">
        <x:v>Done only when evidence is logged, contradiction search is noted, and boundary stamp remains non-canon unless ratified</x:v>
      </x:c>
      <x:c r="M1259" s="15" t="str">
        <x:v>candidate / staging-only / not canon / not deployed / authority none</x:v>
      </x:c>
      <x:c r="N1259" s="15" t="str">
        <x:v>Dispatch to NotionMoth: complete Review Queues x Human-Root; return deltas only, receipts required.</x:v>
      </x:c>
      <x:c r="O1259" s="15" t="str">
        <x:v>AF-KG-H09-S10</x:v>
      </x:c>
      <x:c r="P1259" s="15" t="str">
        <x:v>Unverified</x:v>
      </x:c>
      <x:c r="Q1259" s="15" t="str">
        <x:v>Not checked</x:v>
      </x:c>
      <x:c r="R1259" s="15" t="str"/>
      <x:c r="S1259" s="15" t="str"/>
      <x:c r="T1259" s="15" t="str">
        <x:v>Log first source path or blocker</x:v>
      </x:c>
      <x:c r="U1259" s="12" t="str">
        <x:f>IF(OR(P1259="Unverified",Q1259="Not checked"),"BLOCKED_PENDING_RECEIPT","READY_FOR_REVIEW")</x:f>
        <x:v>BLOCKED_PENDING_RECEIPT</x:v>
      </x:c>
      <x:c r="V1259" s="12" t="str">
        <x:f>IF(J1259="DONE","RETURNED",IF(U1259="BLOCKED_PENDING_RECEIPT","SOURCE_TOUCH_REQUIRED","IN_PROGRESS"))</x:f>
        <x:v>SOURCE_TOUCH_REQUIRED</x:v>
      </x:c>
      <x:c r="W1259" s="12" t="str">
        <x:f>IF(P1259="Unverified","missing_receipt","receipt_logged")</x:f>
        <x:v>missing_receipt</x:v>
      </x:c>
      <x:c r="X1259" s="12" t="str">
        <x:f>IF(Q1259="Not checked","raw_status_missing","raw_status_logged")</x:f>
        <x:v>raw_status_missing</x:v>
      </x:c>
      <x:c r="Y1259" s="12" t="str">
        <x:f>IF(U1259="BLOCKED_PENDING_RECEIPT","Log source path or blocker; do not promote","Route to review lane")</x:f>
        <x:v>Log source path or blocker; do not promote</x:v>
      </x:c>
      <x:c r="Z1259" s="12" t="str">
        <x:f>IF(K1259="P0","Primary seat + Hashlight/Lucerna","Seat lane")</x:f>
        <x:v>Seat lane</x:v>
      </x:c>
      <x:c r="AA1259" s="12" t="str">
        <x:f>IF(R1259="","no_claim_delta","claim_delta_present")</x:f>
        <x:v>no_claim_delta</x:v>
      </x:c>
      <x:c r="AB1259" s="12" t="str">
        <x:f>IF(S1259="","no_contradiction_delta","contradiction_delta_present")</x:f>
        <x:v>no_contradiction_delta</x:v>
      </x:c>
      <x:c r="AC1259" s="12" t="str">
        <x:f>IF(OR(ISNUMBER(SEARCH("hacker",LOWER(F1259&amp;" "&amp;H1259&amp;" "&amp;I1259&amp;" "&amp;M1259&amp;" "&amp;N1259&amp;" "&amp;T1259))),ISNUMBER(SEARCH("hacking",LOWER(F1259&amp;" "&amp;H1259&amp;" "&amp;I1259&amp;" "&amp;M1259&amp;" "&amp;N1259&amp;" "&amp;T1259))),ISNUMBER(SEARCH("bank",LOWER(F1259&amp;" "&amp;H1259&amp;" "&amp;I1259&amp;" "&amp;M1259&amp;" "&amp;N1259&amp;" "&amp;T1259))),ISNUMBER(SEARCH("banking",LOWER(F1259&amp;" "&amp;H1259&amp;" "&amp;I1259&amp;" "&amp;M1259&amp;" "&amp;N1259&amp;" "&amp;T1259)))),"PRIVATE_QUARANTINE",IF(OR(ISNUMBER(SEARCH("treasury",LOWER(F1259&amp;" "&amp;H1259&amp;" "&amp;I1259&amp;" "&amp;M1259&amp;" "&amp;N1259&amp;" "&amp;T1259))),ISNUMBER(SEARCH("debt",LOWER(F1259&amp;" "&amp;H1259&amp;" "&amp;I1259&amp;" "&amp;M1259&amp;" "&amp;N1259&amp;" "&amp;T1259))),ISNUMBER(SEARCH("bond",LOWER(F1259&amp;" "&amp;H1259&amp;" "&amp;I1259&amp;" "&amp;M1259&amp;" "&amp;N1259&amp;" "&amp;T1259))),ISNUMBER(SEARCH("transaction",LOWER(F1259&amp;" "&amp;H1259&amp;" "&amp;I1259&amp;" "&amp;M1259&amp;" "&amp;N1259&amp;" "&amp;T1259)))),"PRIVATE_REVIEW","PUBLIC_CANDIDATE"))</x:f>
        <x:v>PUBLIC_CANDIDATE</x:v>
      </x:c>
      <x:c r="AD1259" s="12" t="str">
        <x:f>IF(AC1259="PRIVATE_QUARANTINE","hacker_or_bank_trigger",IF(AC1259="PRIVATE_REVIEW","finance_risk_trigger","none"))</x:f>
        <x:v>none</x:v>
      </x:c>
      <x:c r="AE1259" s="12" t="str">
        <x:f>IF(AC1259="PUBLIC_CANDIDATE","prepare_public_github_candidate",IF(AC1259="PRIVATE_REVIEW","hold_for_private_review","quarantine_private_do_not_publish"))</x:f>
        <x:v>prepare_public_github_candidate</x:v>
      </x:c>
      <x:c r="AF1259" s="12" t="str">
        <x:f>IF(AC1259="PUBLIC_CANDIDATE","TIDELOCK + Lucerna",IF(AC1259="PRIVATE_REVIEW","AtlasBrain + Lucerna","TIDELOCK + Lucerna + Human-root"))</x:f>
        <x:v>TIDELOCK + Lucerna</x:v>
      </x:c>
      <x:c r="AG1259" s="12" t="str">
        <x:f>IF(AND(AC1259="PUBLIC_CANDIDATE",U1259&lt;&gt;"BLOCKED_PENDING_RECEIPT"),"READY_AFTER_RECEIPT","NOT_READY")</x:f>
        <x:v>NOT_READY</x:v>
      </x:c>
      <x:c r="AH1259" s="12" t="str">
        <x:f>IF(AC1259="PUBLIC_CANDIDATE","none",AD1259)</x:f>
        <x:v>none</x:v>
      </x:c>
      <x:c r="AI1259" s="12" t="str">
        <x:f>IF(AC1259="PUBLIC_CANDIDATE","archive/public_candidates/"&amp;A1259,"private_quarantine/"&amp;A1259)</x:f>
        <x:v>archive/public_candidates/SWARM-09-H09-S10</x:v>
      </x:c>
      <x:c r="AJ1259" s="12" t="str">
        <x:f>IF(AC1259="PUBLIC_CANDIDATE","public by default; still not canon","private/hold; do not publish")</x:f>
        <x:v>public by default; still not canon</x:v>
      </x:c>
      <x:c r="AK1259" s="12" t="str">
        <x:f>IF(AE1259="prepare_public_github_candidate","add receipt/status then mirror","resolve blocker before any public GitHub action")</x:f>
        <x:v>add receipt/status then mirror</x:v>
      </x:c>
    </x:row>
    <x:row r="1260">
      <x:c r="A1260" s="15" t="str">
        <x:v>SWARM-09-H09-S11</x:v>
      </x:c>
      <x:c r="B1260" s="15" t="str">
        <x:v>NotionMoth</x:v>
      </x:c>
      <x:c r="C1260" s="15" t="str">
        <x:v>Notion ontology mapper</x:v>
      </x:c>
      <x:c r="D1260" s="15" t="str">
        <x:v>Review Queues</x:v>
      </x:c>
      <x:c r="E1260" s="15" t="str">
        <x:v>Automation</x:v>
      </x:c>
      <x:c r="F1260" s="15" t="str">
        <x:v>Queue review for Automation — NotionMoth</x:v>
      </x:c>
      <x:c r="G1260" s="15" t="str">
        <x:v>legacy schema / Notion export prep</x:v>
      </x:c>
      <x:c r="H1260" s="15" t="str">
        <x:v>source path + receipt + raw/export status + claim/edge/risk delta</x:v>
      </x:c>
      <x:c r="I1260" s="15" t="str">
        <x:v>packet/SWARM-09-H09-S11</x:v>
      </x:c>
      <x:c r="J1260" s="15" t="str">
        <x:v>TODO</x:v>
      </x:c>
      <x:c r="K1260" s="15" t="str">
        <x:v>P2</x:v>
      </x:c>
      <x:c r="L1260" s="15" t="str">
        <x:v>Done only when evidence is logged, contradiction search is noted, and boundary stamp remains non-canon unless ratified</x:v>
      </x:c>
      <x:c r="M1260" s="15" t="str">
        <x:v>candidate / staging-only / not canon / not deployed / authority none</x:v>
      </x:c>
      <x:c r="N1260" s="15" t="str">
        <x:v>Dispatch to NotionMoth: complete Review Queues x Automation; return deltas only, receipts required.</x:v>
      </x:c>
      <x:c r="O1260" s="15" t="str">
        <x:v>AF-KG-H09-S11</x:v>
      </x:c>
      <x:c r="P1260" s="15" t="str">
        <x:v>Unverified</x:v>
      </x:c>
      <x:c r="Q1260" s="15" t="str">
        <x:v>Not checked</x:v>
      </x:c>
      <x:c r="R1260" s="15" t="str"/>
      <x:c r="S1260" s="15" t="str"/>
      <x:c r="T1260" s="15" t="str">
        <x:v>Log first source path or blocker</x:v>
      </x:c>
      <x:c r="U1260" s="12" t="str">
        <x:f>IF(OR(P1260="Unverified",Q1260="Not checked"),"BLOCKED_PENDING_RECEIPT","READY_FOR_REVIEW")</x:f>
        <x:v>BLOCKED_PENDING_RECEIPT</x:v>
      </x:c>
      <x:c r="V1260" s="12" t="str">
        <x:f>IF(J1260="DONE","RETURNED",IF(U1260="BLOCKED_PENDING_RECEIPT","SOURCE_TOUCH_REQUIRED","IN_PROGRESS"))</x:f>
        <x:v>SOURCE_TOUCH_REQUIRED</x:v>
      </x:c>
      <x:c r="W1260" s="12" t="str">
        <x:f>IF(P1260="Unverified","missing_receipt","receipt_logged")</x:f>
        <x:v>missing_receipt</x:v>
      </x:c>
      <x:c r="X1260" s="12" t="str">
        <x:f>IF(Q1260="Not checked","raw_status_missing","raw_status_logged")</x:f>
        <x:v>raw_status_missing</x:v>
      </x:c>
      <x:c r="Y1260" s="12" t="str">
        <x:f>IF(U1260="BLOCKED_PENDING_RECEIPT","Log source path or blocker; do not promote","Route to review lane")</x:f>
        <x:v>Log source path or blocker; do not promote</x:v>
      </x:c>
      <x:c r="Z1260" s="12" t="str">
        <x:f>IF(K1260="P0","Primary seat + Hashlight/Lucerna","Seat lane")</x:f>
        <x:v>Seat lane</x:v>
      </x:c>
      <x:c r="AA1260" s="12" t="str">
        <x:f>IF(R1260="","no_claim_delta","claim_delta_present")</x:f>
        <x:v>no_claim_delta</x:v>
      </x:c>
      <x:c r="AB1260" s="12" t="str">
        <x:f>IF(S1260="","no_contradiction_delta","contradiction_delta_present")</x:f>
        <x:v>no_contradiction_delta</x:v>
      </x:c>
      <x:c r="AC1260" s="12" t="str">
        <x:f>IF(OR(ISNUMBER(SEARCH("hacker",LOWER(F1260&amp;" "&amp;H1260&amp;" "&amp;I1260&amp;" "&amp;M1260&amp;" "&amp;N1260&amp;" "&amp;T1260))),ISNUMBER(SEARCH("hacking",LOWER(F1260&amp;" "&amp;H1260&amp;" "&amp;I1260&amp;" "&amp;M1260&amp;" "&amp;N1260&amp;" "&amp;T1260))),ISNUMBER(SEARCH("bank",LOWER(F1260&amp;" "&amp;H1260&amp;" "&amp;I1260&amp;" "&amp;M1260&amp;" "&amp;N1260&amp;" "&amp;T1260))),ISNUMBER(SEARCH("banking",LOWER(F1260&amp;" "&amp;H1260&amp;" "&amp;I1260&amp;" "&amp;M1260&amp;" "&amp;N1260&amp;" "&amp;T1260)))),"PRIVATE_QUARANTINE",IF(OR(ISNUMBER(SEARCH("treasury",LOWER(F1260&amp;" "&amp;H1260&amp;" "&amp;I1260&amp;" "&amp;M1260&amp;" "&amp;N1260&amp;" "&amp;T1260))),ISNUMBER(SEARCH("debt",LOWER(F1260&amp;" "&amp;H1260&amp;" "&amp;I1260&amp;" "&amp;M1260&amp;" "&amp;N1260&amp;" "&amp;T1260))),ISNUMBER(SEARCH("bond",LOWER(F1260&amp;" "&amp;H1260&amp;" "&amp;I1260&amp;" "&amp;M1260&amp;" "&amp;N1260&amp;" "&amp;T1260))),ISNUMBER(SEARCH("transaction",LOWER(F1260&amp;" "&amp;H1260&amp;" "&amp;I1260&amp;" "&amp;M1260&amp;" "&amp;N1260&amp;" "&amp;T1260)))),"PRIVATE_REVIEW","PUBLIC_CANDIDATE"))</x:f>
        <x:v>PUBLIC_CANDIDATE</x:v>
      </x:c>
      <x:c r="AD1260" s="12" t="str">
        <x:f>IF(AC1260="PRIVATE_QUARANTINE","hacker_or_bank_trigger",IF(AC1260="PRIVATE_REVIEW","finance_risk_trigger","none"))</x:f>
        <x:v>none</x:v>
      </x:c>
      <x:c r="AE1260" s="12" t="str">
        <x:f>IF(AC1260="PUBLIC_CANDIDATE","prepare_public_github_candidate",IF(AC1260="PRIVATE_REVIEW","hold_for_private_review","quarantine_private_do_not_publish"))</x:f>
        <x:v>prepare_public_github_candidate</x:v>
      </x:c>
      <x:c r="AF1260" s="12" t="str">
        <x:f>IF(AC1260="PUBLIC_CANDIDATE","TIDELOCK + Lucerna",IF(AC1260="PRIVATE_REVIEW","AtlasBrain + Lucerna","TIDELOCK + Lucerna + Human-root"))</x:f>
        <x:v>TIDELOCK + Lucerna</x:v>
      </x:c>
      <x:c r="AG1260" s="12" t="str">
        <x:f>IF(AND(AC1260="PUBLIC_CANDIDATE",U1260&lt;&gt;"BLOCKED_PENDING_RECEIPT"),"READY_AFTER_RECEIPT","NOT_READY")</x:f>
        <x:v>NOT_READY</x:v>
      </x:c>
      <x:c r="AH1260" s="12" t="str">
        <x:f>IF(AC1260="PUBLIC_CANDIDATE","none",AD1260)</x:f>
        <x:v>none</x:v>
      </x:c>
      <x:c r="AI1260" s="12" t="str">
        <x:f>IF(AC1260="PUBLIC_CANDIDATE","archive/public_candidates/"&amp;A1260,"private_quarantine/"&amp;A1260)</x:f>
        <x:v>archive/public_candidates/SWARM-09-H09-S11</x:v>
      </x:c>
      <x:c r="AJ1260" s="12" t="str">
        <x:f>IF(AC1260="PUBLIC_CANDIDATE","public by default; still not canon","private/hold; do not publish")</x:f>
        <x:v>public by default; still not canon</x:v>
      </x:c>
      <x:c r="AK1260" s="12" t="str">
        <x:f>IF(AE1260="prepare_public_github_candidate","add receipt/status then mirror","resolve blocker before any public GitHub action")</x:f>
        <x:v>add receipt/status then mirror</x:v>
      </x:c>
    </x:row>
    <x:row r="1261">
      <x:c r="A1261" s="15" t="str">
        <x:v>SWARM-09-H09-S12</x:v>
      </x:c>
      <x:c r="B1261" s="15" t="str">
        <x:v>NotionMoth</x:v>
      </x:c>
      <x:c r="C1261" s="15" t="str">
        <x:v>Notion ontology mapper</x:v>
      </x:c>
      <x:c r="D1261" s="15" t="str">
        <x:v>Review Queues</x:v>
      </x:c>
      <x:c r="E1261" s="15" t="str">
        <x:v>Risk / Safety</x:v>
      </x:c>
      <x:c r="F1261" s="15" t="str">
        <x:v>Queue review for Risk / Safety — NotionMoth</x:v>
      </x:c>
      <x:c r="G1261" s="15" t="str">
        <x:v>legacy schema / Notion export prep</x:v>
      </x:c>
      <x:c r="H1261" s="15" t="str">
        <x:v>source path + receipt + raw/export status + claim/edge/risk delta</x:v>
      </x:c>
      <x:c r="I1261" s="15" t="str">
        <x:v>packet/SWARM-09-H09-S12</x:v>
      </x:c>
      <x:c r="J1261" s="15" t="str">
        <x:v>TODO</x:v>
      </x:c>
      <x:c r="K1261" s="15" t="str">
        <x:v>P2</x:v>
      </x:c>
      <x:c r="L1261" s="15" t="str">
        <x:v>Done only when evidence is logged, contradiction search is noted, and boundary stamp remains non-canon unless ratified</x:v>
      </x:c>
      <x:c r="M1261" s="15" t="str">
        <x:v>candidate / staging-only / not canon / not deployed / authority none</x:v>
      </x:c>
      <x:c r="N1261" s="15" t="str">
        <x:v>Dispatch to NotionMoth: complete Review Queues x Risk / Safety; return deltas only, receipts required.</x:v>
      </x:c>
      <x:c r="O1261" s="15" t="str">
        <x:v>AF-KG-H09-S12</x:v>
      </x:c>
      <x:c r="P1261" s="15" t="str">
        <x:v>Unverified</x:v>
      </x:c>
      <x:c r="Q1261" s="15" t="str">
        <x:v>Not checked</x:v>
      </x:c>
      <x:c r="R1261" s="15" t="str"/>
      <x:c r="S1261" s="15" t="str"/>
      <x:c r="T1261" s="15" t="str">
        <x:v>Log first source path or blocker</x:v>
      </x:c>
      <x:c r="U1261" s="12" t="str">
        <x:f>IF(OR(P1261="Unverified",Q1261="Not checked"),"BLOCKED_PENDING_RECEIPT","READY_FOR_REVIEW")</x:f>
        <x:v>BLOCKED_PENDING_RECEIPT</x:v>
      </x:c>
      <x:c r="V1261" s="12" t="str">
        <x:f>IF(J1261="DONE","RETURNED",IF(U1261="BLOCKED_PENDING_RECEIPT","SOURCE_TOUCH_REQUIRED","IN_PROGRESS"))</x:f>
        <x:v>SOURCE_TOUCH_REQUIRED</x:v>
      </x:c>
      <x:c r="W1261" s="12" t="str">
        <x:f>IF(P1261="Unverified","missing_receipt","receipt_logged")</x:f>
        <x:v>missing_receipt</x:v>
      </x:c>
      <x:c r="X1261" s="12" t="str">
        <x:f>IF(Q1261="Not checked","raw_status_missing","raw_status_logged")</x:f>
        <x:v>raw_status_missing</x:v>
      </x:c>
      <x:c r="Y1261" s="12" t="str">
        <x:f>IF(U1261="BLOCKED_PENDING_RECEIPT","Log source path or blocker; do not promote","Route to review lane")</x:f>
        <x:v>Log source path or blocker; do not promote</x:v>
      </x:c>
      <x:c r="Z1261" s="12" t="str">
        <x:f>IF(K1261="P0","Primary seat + Hashlight/Lucerna","Seat lane")</x:f>
        <x:v>Seat lane</x:v>
      </x:c>
      <x:c r="AA1261" s="12" t="str">
        <x:f>IF(R1261="","no_claim_delta","claim_delta_present")</x:f>
        <x:v>no_claim_delta</x:v>
      </x:c>
      <x:c r="AB1261" s="12" t="str">
        <x:f>IF(S1261="","no_contradiction_delta","contradiction_delta_present")</x:f>
        <x:v>no_contradiction_delta</x:v>
      </x:c>
      <x:c r="AC1261" s="12" t="str">
        <x:f>IF(OR(ISNUMBER(SEARCH("hacker",LOWER(F1261&amp;" "&amp;H1261&amp;" "&amp;I1261&amp;" "&amp;M1261&amp;" "&amp;N1261&amp;" "&amp;T1261))),ISNUMBER(SEARCH("hacking",LOWER(F1261&amp;" "&amp;H1261&amp;" "&amp;I1261&amp;" "&amp;M1261&amp;" "&amp;N1261&amp;" "&amp;T1261))),ISNUMBER(SEARCH("bank",LOWER(F1261&amp;" "&amp;H1261&amp;" "&amp;I1261&amp;" "&amp;M1261&amp;" "&amp;N1261&amp;" "&amp;T1261))),ISNUMBER(SEARCH("banking",LOWER(F1261&amp;" "&amp;H1261&amp;" "&amp;I1261&amp;" "&amp;M1261&amp;" "&amp;N1261&amp;" "&amp;T1261)))),"PRIVATE_QUARANTINE",IF(OR(ISNUMBER(SEARCH("treasury",LOWER(F1261&amp;" "&amp;H1261&amp;" "&amp;I1261&amp;" "&amp;M1261&amp;" "&amp;N1261&amp;" "&amp;T1261))),ISNUMBER(SEARCH("debt",LOWER(F1261&amp;" "&amp;H1261&amp;" "&amp;I1261&amp;" "&amp;M1261&amp;" "&amp;N1261&amp;" "&amp;T1261))),ISNUMBER(SEARCH("bond",LOWER(F1261&amp;" "&amp;H1261&amp;" "&amp;I1261&amp;" "&amp;M1261&amp;" "&amp;N1261&amp;" "&amp;T1261))),ISNUMBER(SEARCH("transaction",LOWER(F1261&amp;" "&amp;H1261&amp;" "&amp;I1261&amp;" "&amp;M1261&amp;" "&amp;N1261&amp;" "&amp;T1261)))),"PRIVATE_REVIEW","PUBLIC_CANDIDATE"))</x:f>
        <x:v>PUBLIC_CANDIDATE</x:v>
      </x:c>
      <x:c r="AD1261" s="12" t="str">
        <x:f>IF(AC1261="PRIVATE_QUARANTINE","hacker_or_bank_trigger",IF(AC1261="PRIVATE_REVIEW","finance_risk_trigger","none"))</x:f>
        <x:v>none</x:v>
      </x:c>
      <x:c r="AE1261" s="12" t="str">
        <x:f>IF(AC1261="PUBLIC_CANDIDATE","prepare_public_github_candidate",IF(AC1261="PRIVATE_REVIEW","hold_for_private_review","quarantine_private_do_not_publish"))</x:f>
        <x:v>prepare_public_github_candidate</x:v>
      </x:c>
      <x:c r="AF1261" s="12" t="str">
        <x:f>IF(AC1261="PUBLIC_CANDIDATE","TIDELOCK + Lucerna",IF(AC1261="PRIVATE_REVIEW","AtlasBrain + Lucerna","TIDELOCK + Lucerna + Human-root"))</x:f>
        <x:v>TIDELOCK + Lucerna</x:v>
      </x:c>
      <x:c r="AG1261" s="12" t="str">
        <x:f>IF(AND(AC1261="PUBLIC_CANDIDATE",U1261&lt;&gt;"BLOCKED_PENDING_RECEIPT"),"READY_AFTER_RECEIPT","NOT_READY")</x:f>
        <x:v>NOT_READY</x:v>
      </x:c>
      <x:c r="AH1261" s="12" t="str">
        <x:f>IF(AC1261="PUBLIC_CANDIDATE","none",AD1261)</x:f>
        <x:v>none</x:v>
      </x:c>
      <x:c r="AI1261" s="12" t="str">
        <x:f>IF(AC1261="PUBLIC_CANDIDATE","archive/public_candidates/"&amp;A1261,"private_quarantine/"&amp;A1261)</x:f>
        <x:v>archive/public_candidates/SWARM-09-H09-S12</x:v>
      </x:c>
      <x:c r="AJ1261" s="12" t="str">
        <x:f>IF(AC1261="PUBLIC_CANDIDATE","public by default; still not canon","private/hold; do not publish")</x:f>
        <x:v>public by default; still not canon</x:v>
      </x:c>
      <x:c r="AK1261" s="12" t="str">
        <x:f>IF(AE1261="prepare_public_github_candidate","add receipt/status then mirror","resolve blocker before any public GitHub action")</x:f>
        <x:v>add receipt/status then mirror</x:v>
      </x:c>
    </x:row>
    <x:row r="1262">
      <x:c r="A1262" s="15" t="str">
        <x:v>SWARM-09-H10-S01</x:v>
      </x:c>
      <x:c r="B1262" s="15" t="str">
        <x:v>NotionMoth</x:v>
      </x:c>
      <x:c r="C1262" s="15" t="str">
        <x:v>Notion ontology mapper</x:v>
      </x:c>
      <x:c r="D1262" s="15" t="str">
        <x:v>GitHub Source Packets</x:v>
      </x:c>
      <x:c r="E1262" s="15" t="str">
        <x:v>Notion</x:v>
      </x:c>
      <x:c r="F1262" s="15" t="str">
        <x:v>Build source packet for Notion — NotionMoth</x:v>
      </x:c>
      <x:c r="G1262" s="15" t="str">
        <x:v>legacy schema / Notion export prep</x:v>
      </x:c>
      <x:c r="H1262" s="15" t="str">
        <x:v>source path + receipt + raw/export status + claim/edge/risk delta</x:v>
      </x:c>
      <x:c r="I1262" s="15" t="str">
        <x:v>packet/SWARM-09-H10-S01</x:v>
      </x:c>
      <x:c r="J1262" s="15" t="str">
        <x:v>TODO</x:v>
      </x:c>
      <x:c r="K1262" s="15" t="str">
        <x:v>P0</x:v>
      </x:c>
      <x:c r="L1262" s="15" t="str">
        <x:v>Done only when evidence is logged, contradiction search is noted, and boundary stamp remains non-canon unless ratified</x:v>
      </x:c>
      <x:c r="M1262" s="15" t="str">
        <x:v>candidate / staging-only / not canon / not deployed / authority none</x:v>
      </x:c>
      <x:c r="N1262" s="15" t="str">
        <x:v>Dispatch to NotionMoth: complete GitHub Source Packets x Notion; return deltas only, receipts required.</x:v>
      </x:c>
      <x:c r="O1262" s="15" t="str">
        <x:v>AF-KG-H10-S01</x:v>
      </x:c>
      <x:c r="P1262" s="15" t="str">
        <x:v>Unverified</x:v>
      </x:c>
      <x:c r="Q1262" s="15" t="str">
        <x:v>Not checked</x:v>
      </x:c>
      <x:c r="R1262" s="15" t="str"/>
      <x:c r="S1262" s="15" t="str"/>
      <x:c r="T1262" s="15" t="str">
        <x:v>Log first source path or blocker</x:v>
      </x:c>
      <x:c r="U1262" s="12" t="str">
        <x:f>IF(OR(P1262="Unverified",Q1262="Not checked"),"BLOCKED_PENDING_RECEIPT","READY_FOR_REVIEW")</x:f>
        <x:v>BLOCKED_PENDING_RECEIPT</x:v>
      </x:c>
      <x:c r="V1262" s="12" t="str">
        <x:f>IF(J1262="DONE","RETURNED",IF(U1262="BLOCKED_PENDING_RECEIPT","SOURCE_TOUCH_REQUIRED","IN_PROGRESS"))</x:f>
        <x:v>SOURCE_TOUCH_REQUIRED</x:v>
      </x:c>
      <x:c r="W1262" s="12" t="str">
        <x:f>IF(P1262="Unverified","missing_receipt","receipt_logged")</x:f>
        <x:v>missing_receipt</x:v>
      </x:c>
      <x:c r="X1262" s="12" t="str">
        <x:f>IF(Q1262="Not checked","raw_status_missing","raw_status_logged")</x:f>
        <x:v>raw_status_missing</x:v>
      </x:c>
      <x:c r="Y1262" s="12" t="str">
        <x:f>IF(U1262="BLOCKED_PENDING_RECEIPT","Log source path or blocker; do not promote","Route to review lane")</x:f>
        <x:v>Log source path or blocker; do not promote</x:v>
      </x:c>
      <x:c r="Z1262" s="12" t="str">
        <x:f>IF(K1262="P0","Primary seat + Hashlight/Lucerna","Seat lane")</x:f>
        <x:v>Primary seat + Hashlight/Lucerna</x:v>
      </x:c>
      <x:c r="AA1262" s="12" t="str">
        <x:f>IF(R1262="","no_claim_delta","claim_delta_present")</x:f>
        <x:v>no_claim_delta</x:v>
      </x:c>
      <x:c r="AB1262" s="12" t="str">
        <x:f>IF(S1262="","no_contradiction_delta","contradiction_delta_present")</x:f>
        <x:v>no_contradiction_delta</x:v>
      </x:c>
      <x:c r="AC1262" s="12" t="str">
        <x:f>IF(OR(ISNUMBER(SEARCH("hacker",LOWER(F1262&amp;" "&amp;H1262&amp;" "&amp;I1262&amp;" "&amp;M1262&amp;" "&amp;N1262&amp;" "&amp;T1262))),ISNUMBER(SEARCH("hacking",LOWER(F1262&amp;" "&amp;H1262&amp;" "&amp;I1262&amp;" "&amp;M1262&amp;" "&amp;N1262&amp;" "&amp;T1262))),ISNUMBER(SEARCH("bank",LOWER(F1262&amp;" "&amp;H1262&amp;" "&amp;I1262&amp;" "&amp;M1262&amp;" "&amp;N1262&amp;" "&amp;T1262))),ISNUMBER(SEARCH("banking",LOWER(F1262&amp;" "&amp;H1262&amp;" "&amp;I1262&amp;" "&amp;M1262&amp;" "&amp;N1262&amp;" "&amp;T1262)))),"PRIVATE_QUARANTINE",IF(OR(ISNUMBER(SEARCH("treasury",LOWER(F1262&amp;" "&amp;H1262&amp;" "&amp;I1262&amp;" "&amp;M1262&amp;" "&amp;N1262&amp;" "&amp;T1262))),ISNUMBER(SEARCH("debt",LOWER(F1262&amp;" "&amp;H1262&amp;" "&amp;I1262&amp;" "&amp;M1262&amp;" "&amp;N1262&amp;" "&amp;T1262))),ISNUMBER(SEARCH("bond",LOWER(F1262&amp;" "&amp;H1262&amp;" "&amp;I1262&amp;" "&amp;M1262&amp;" "&amp;N1262&amp;" "&amp;T1262))),ISNUMBER(SEARCH("transaction",LOWER(F1262&amp;" "&amp;H1262&amp;" "&amp;I1262&amp;" "&amp;M1262&amp;" "&amp;N1262&amp;" "&amp;T1262)))),"PRIVATE_REVIEW","PUBLIC_CANDIDATE"))</x:f>
        <x:v>PUBLIC_CANDIDATE</x:v>
      </x:c>
      <x:c r="AD1262" s="12" t="str">
        <x:f>IF(AC1262="PRIVATE_QUARANTINE","hacker_or_bank_trigger",IF(AC1262="PRIVATE_REVIEW","finance_risk_trigger","none"))</x:f>
        <x:v>none</x:v>
      </x:c>
      <x:c r="AE1262" s="12" t="str">
        <x:f>IF(AC1262="PUBLIC_CANDIDATE","prepare_public_github_candidate",IF(AC1262="PRIVATE_REVIEW","hold_for_private_review","quarantine_private_do_not_publish"))</x:f>
        <x:v>prepare_public_github_candidate</x:v>
      </x:c>
      <x:c r="AF1262" s="12" t="str">
        <x:f>IF(AC1262="PUBLIC_CANDIDATE","TIDELOCK + Lucerna",IF(AC1262="PRIVATE_REVIEW","AtlasBrain + Lucerna","TIDELOCK + Lucerna + Human-root"))</x:f>
        <x:v>TIDELOCK + Lucerna</x:v>
      </x:c>
      <x:c r="AG1262" s="12" t="str">
        <x:f>IF(AND(AC1262="PUBLIC_CANDIDATE",U1262&lt;&gt;"BLOCKED_PENDING_RECEIPT"),"READY_AFTER_RECEIPT","NOT_READY")</x:f>
        <x:v>NOT_READY</x:v>
      </x:c>
      <x:c r="AH1262" s="12" t="str">
        <x:f>IF(AC1262="PUBLIC_CANDIDATE","none",AD1262)</x:f>
        <x:v>none</x:v>
      </x:c>
      <x:c r="AI1262" s="12" t="str">
        <x:f>IF(AC1262="PUBLIC_CANDIDATE","archive/public_candidates/"&amp;A1262,"private_quarantine/"&amp;A1262)</x:f>
        <x:v>archive/public_candidates/SWARM-09-H10-S01</x:v>
      </x:c>
      <x:c r="AJ1262" s="12" t="str">
        <x:f>IF(AC1262="PUBLIC_CANDIDATE","public by default; still not canon","private/hold; do not publish")</x:f>
        <x:v>public by default; still not canon</x:v>
      </x:c>
      <x:c r="AK1262" s="12" t="str">
        <x:f>IF(AE1262="prepare_public_github_candidate","add receipt/status then mirror","resolve blocker before any public GitHub action")</x:f>
        <x:v>add receipt/status then mirror</x:v>
      </x:c>
    </x:row>
    <x:row r="1263">
      <x:c r="A1263" s="15" t="str">
        <x:v>SWARM-09-H10-S02</x:v>
      </x:c>
      <x:c r="B1263" s="15" t="str">
        <x:v>NotionMoth</x:v>
      </x:c>
      <x:c r="C1263" s="15" t="str">
        <x:v>Notion ontology mapper</x:v>
      </x:c>
      <x:c r="D1263" s="15" t="str">
        <x:v>GitHub Source Packets</x:v>
      </x:c>
      <x:c r="E1263" s="15" t="str">
        <x:v>Drive</x:v>
      </x:c>
      <x:c r="F1263" s="15" t="str">
        <x:v>Build source packet for Drive — NotionMoth</x:v>
      </x:c>
      <x:c r="G1263" s="15" t="str">
        <x:v>legacy schema / Notion export prep</x:v>
      </x:c>
      <x:c r="H1263" s="15" t="str">
        <x:v>source path + receipt + raw/export status + claim/edge/risk delta</x:v>
      </x:c>
      <x:c r="I1263" s="15" t="str">
        <x:v>packet/SWARM-09-H10-S02</x:v>
      </x:c>
      <x:c r="J1263" s="15" t="str">
        <x:v>TODO</x:v>
      </x:c>
      <x:c r="K1263" s="15" t="str">
        <x:v>P0</x:v>
      </x:c>
      <x:c r="L1263" s="15" t="str">
        <x:v>Done only when evidence is logged, contradiction search is noted, and boundary stamp remains non-canon unless ratified</x:v>
      </x:c>
      <x:c r="M1263" s="15" t="str">
        <x:v>candidate / staging-only / not canon / not deployed / authority none</x:v>
      </x:c>
      <x:c r="N1263" s="15" t="str">
        <x:v>Dispatch to NotionMoth: complete GitHub Source Packets x Drive; return deltas only, receipts required.</x:v>
      </x:c>
      <x:c r="O1263" s="15" t="str">
        <x:v>AF-KG-H10-S02</x:v>
      </x:c>
      <x:c r="P1263" s="15" t="str">
        <x:v>Unverified</x:v>
      </x:c>
      <x:c r="Q1263" s="15" t="str">
        <x:v>Not checked</x:v>
      </x:c>
      <x:c r="R1263" s="15" t="str"/>
      <x:c r="S1263" s="15" t="str"/>
      <x:c r="T1263" s="15" t="str">
        <x:v>Log first source path or blocker</x:v>
      </x:c>
      <x:c r="U1263" s="12" t="str">
        <x:f>IF(OR(P1263="Unverified",Q1263="Not checked"),"BLOCKED_PENDING_RECEIPT","READY_FOR_REVIEW")</x:f>
        <x:v>BLOCKED_PENDING_RECEIPT</x:v>
      </x:c>
      <x:c r="V1263" s="12" t="str">
        <x:f>IF(J1263="DONE","RETURNED",IF(U1263="BLOCKED_PENDING_RECEIPT","SOURCE_TOUCH_REQUIRED","IN_PROGRESS"))</x:f>
        <x:v>SOURCE_TOUCH_REQUIRED</x:v>
      </x:c>
      <x:c r="W1263" s="12" t="str">
        <x:f>IF(P1263="Unverified","missing_receipt","receipt_logged")</x:f>
        <x:v>missing_receipt</x:v>
      </x:c>
      <x:c r="X1263" s="12" t="str">
        <x:f>IF(Q1263="Not checked","raw_status_missing","raw_status_logged")</x:f>
        <x:v>raw_status_missing</x:v>
      </x:c>
      <x:c r="Y1263" s="12" t="str">
        <x:f>IF(U1263="BLOCKED_PENDING_RECEIPT","Log source path or blocker; do not promote","Route to review lane")</x:f>
        <x:v>Log source path or blocker; do not promote</x:v>
      </x:c>
      <x:c r="Z1263" s="12" t="str">
        <x:f>IF(K1263="P0","Primary seat + Hashlight/Lucerna","Seat lane")</x:f>
        <x:v>Primary seat + Hashlight/Lucerna</x:v>
      </x:c>
      <x:c r="AA1263" s="12" t="str">
        <x:f>IF(R1263="","no_claim_delta","claim_delta_present")</x:f>
        <x:v>no_claim_delta</x:v>
      </x:c>
      <x:c r="AB1263" s="12" t="str">
        <x:f>IF(S1263="","no_contradiction_delta","contradiction_delta_present")</x:f>
        <x:v>no_contradiction_delta</x:v>
      </x:c>
      <x:c r="AC1263" s="12" t="str">
        <x:f>IF(OR(ISNUMBER(SEARCH("hacker",LOWER(F1263&amp;" "&amp;H1263&amp;" "&amp;I1263&amp;" "&amp;M1263&amp;" "&amp;N1263&amp;" "&amp;T1263))),ISNUMBER(SEARCH("hacking",LOWER(F1263&amp;" "&amp;H1263&amp;" "&amp;I1263&amp;" "&amp;M1263&amp;" "&amp;N1263&amp;" "&amp;T1263))),ISNUMBER(SEARCH("bank",LOWER(F1263&amp;" "&amp;H1263&amp;" "&amp;I1263&amp;" "&amp;M1263&amp;" "&amp;N1263&amp;" "&amp;T1263))),ISNUMBER(SEARCH("banking",LOWER(F1263&amp;" "&amp;H1263&amp;" "&amp;I1263&amp;" "&amp;M1263&amp;" "&amp;N1263&amp;" "&amp;T1263)))),"PRIVATE_QUARANTINE",IF(OR(ISNUMBER(SEARCH("treasury",LOWER(F1263&amp;" "&amp;H1263&amp;" "&amp;I1263&amp;" "&amp;M1263&amp;" "&amp;N1263&amp;" "&amp;T1263))),ISNUMBER(SEARCH("debt",LOWER(F1263&amp;" "&amp;H1263&amp;" "&amp;I1263&amp;" "&amp;M1263&amp;" "&amp;N1263&amp;" "&amp;T1263))),ISNUMBER(SEARCH("bond",LOWER(F1263&amp;" "&amp;H1263&amp;" "&amp;I1263&amp;" "&amp;M1263&amp;" "&amp;N1263&amp;" "&amp;T1263))),ISNUMBER(SEARCH("transaction",LOWER(F1263&amp;" "&amp;H1263&amp;" "&amp;I1263&amp;" "&amp;M1263&amp;" "&amp;N1263&amp;" "&amp;T1263)))),"PRIVATE_REVIEW","PUBLIC_CANDIDATE"))</x:f>
        <x:v>PUBLIC_CANDIDATE</x:v>
      </x:c>
      <x:c r="AD1263" s="12" t="str">
        <x:f>IF(AC1263="PRIVATE_QUARANTINE","hacker_or_bank_trigger",IF(AC1263="PRIVATE_REVIEW","finance_risk_trigger","none"))</x:f>
        <x:v>none</x:v>
      </x:c>
      <x:c r="AE1263" s="12" t="str">
        <x:f>IF(AC1263="PUBLIC_CANDIDATE","prepare_public_github_candidate",IF(AC1263="PRIVATE_REVIEW","hold_for_private_review","quarantine_private_do_not_publish"))</x:f>
        <x:v>prepare_public_github_candidate</x:v>
      </x:c>
      <x:c r="AF1263" s="12" t="str">
        <x:f>IF(AC1263="PUBLIC_CANDIDATE","TIDELOCK + Lucerna",IF(AC1263="PRIVATE_REVIEW","AtlasBrain + Lucerna","TIDELOCK + Lucerna + Human-root"))</x:f>
        <x:v>TIDELOCK + Lucerna</x:v>
      </x:c>
      <x:c r="AG1263" s="12" t="str">
        <x:f>IF(AND(AC1263="PUBLIC_CANDIDATE",U1263&lt;&gt;"BLOCKED_PENDING_RECEIPT"),"READY_AFTER_RECEIPT","NOT_READY")</x:f>
        <x:v>NOT_READY</x:v>
      </x:c>
      <x:c r="AH1263" s="12" t="str">
        <x:f>IF(AC1263="PUBLIC_CANDIDATE","none",AD1263)</x:f>
        <x:v>none</x:v>
      </x:c>
      <x:c r="AI1263" s="12" t="str">
        <x:f>IF(AC1263="PUBLIC_CANDIDATE","archive/public_candidates/"&amp;A1263,"private_quarantine/"&amp;A1263)</x:f>
        <x:v>archive/public_candidates/SWARM-09-H10-S02</x:v>
      </x:c>
      <x:c r="AJ1263" s="12" t="str">
        <x:f>IF(AC1263="PUBLIC_CANDIDATE","public by default; still not canon","private/hold; do not publish")</x:f>
        <x:v>public by default; still not canon</x:v>
      </x:c>
      <x:c r="AK1263" s="12" t="str">
        <x:f>IF(AE1263="prepare_public_github_candidate","add receipt/status then mirror","resolve blocker before any public GitHub action")</x:f>
        <x:v>add receipt/status then mirror</x:v>
      </x:c>
    </x:row>
    <x:row r="1264">
      <x:c r="A1264" s="15" t="str">
        <x:v>SWARM-09-H10-S03</x:v>
      </x:c>
      <x:c r="B1264" s="15" t="str">
        <x:v>NotionMoth</x:v>
      </x:c>
      <x:c r="C1264" s="15" t="str">
        <x:v>Notion ontology mapper</x:v>
      </x:c>
      <x:c r="D1264" s="15" t="str">
        <x:v>GitHub Source Packets</x:v>
      </x:c>
      <x:c r="E1264" s="15" t="str">
        <x:v>GitHub</x:v>
      </x:c>
      <x:c r="F1264" s="15" t="str">
        <x:v>Build source packet for GitHub — NotionMoth</x:v>
      </x:c>
      <x:c r="G1264" s="15" t="str">
        <x:v>legacy schema / Notion export prep</x:v>
      </x:c>
      <x:c r="H1264" s="15" t="str">
        <x:v>source path + receipt + raw/export status + claim/edge/risk delta</x:v>
      </x:c>
      <x:c r="I1264" s="15" t="str">
        <x:v>packet/SWARM-09-H10-S03</x:v>
      </x:c>
      <x:c r="J1264" s="15" t="str">
        <x:v>TODO</x:v>
      </x:c>
      <x:c r="K1264" s="15" t="str">
        <x:v>P0</x:v>
      </x:c>
      <x:c r="L1264" s="15" t="str">
        <x:v>Done only when evidence is logged, contradiction search is noted, and boundary stamp remains non-canon unless ratified</x:v>
      </x:c>
      <x:c r="M1264" s="15" t="str">
        <x:v>candidate / staging-only / not canon / not deployed / authority none</x:v>
      </x:c>
      <x:c r="N1264" s="15" t="str">
        <x:v>Dispatch to NotionMoth: complete GitHub Source Packets x GitHub; return deltas only, receipts required.</x:v>
      </x:c>
      <x:c r="O1264" s="15" t="str">
        <x:v>AF-KG-H10-S03</x:v>
      </x:c>
      <x:c r="P1264" s="15" t="str">
        <x:v>Unverified</x:v>
      </x:c>
      <x:c r="Q1264" s="15" t="str">
        <x:v>Not checked</x:v>
      </x:c>
      <x:c r="R1264" s="15" t="str"/>
      <x:c r="S1264" s="15" t="str"/>
      <x:c r="T1264" s="15" t="str">
        <x:v>Log first source path or blocker</x:v>
      </x:c>
      <x:c r="U1264" s="12" t="str">
        <x:f>IF(OR(P1264="Unverified",Q1264="Not checked"),"BLOCKED_PENDING_RECEIPT","READY_FOR_REVIEW")</x:f>
        <x:v>BLOCKED_PENDING_RECEIPT</x:v>
      </x:c>
      <x:c r="V1264" s="12" t="str">
        <x:f>IF(J1264="DONE","RETURNED",IF(U1264="BLOCKED_PENDING_RECEIPT","SOURCE_TOUCH_REQUIRED","IN_PROGRESS"))</x:f>
        <x:v>SOURCE_TOUCH_REQUIRED</x:v>
      </x:c>
      <x:c r="W1264" s="12" t="str">
        <x:f>IF(P1264="Unverified","missing_receipt","receipt_logged")</x:f>
        <x:v>missing_receipt</x:v>
      </x:c>
      <x:c r="X1264" s="12" t="str">
        <x:f>IF(Q1264="Not checked","raw_status_missing","raw_status_logged")</x:f>
        <x:v>raw_status_missing</x:v>
      </x:c>
      <x:c r="Y1264" s="12" t="str">
        <x:f>IF(U1264="BLOCKED_PENDING_RECEIPT","Log source path or blocker; do not promote","Route to review lane")</x:f>
        <x:v>Log source path or blocker; do not promote</x:v>
      </x:c>
      <x:c r="Z1264" s="12" t="str">
        <x:f>IF(K1264="P0","Primary seat + Hashlight/Lucerna","Seat lane")</x:f>
        <x:v>Primary seat + Hashlight/Lucerna</x:v>
      </x:c>
      <x:c r="AA1264" s="12" t="str">
        <x:f>IF(R1264="","no_claim_delta","claim_delta_present")</x:f>
        <x:v>no_claim_delta</x:v>
      </x:c>
      <x:c r="AB1264" s="12" t="str">
        <x:f>IF(S1264="","no_contradiction_delta","contradiction_delta_present")</x:f>
        <x:v>no_contradiction_delta</x:v>
      </x:c>
      <x:c r="AC1264" s="12" t="str">
        <x:f>IF(OR(ISNUMBER(SEARCH("hacker",LOWER(F1264&amp;" "&amp;H1264&amp;" "&amp;I1264&amp;" "&amp;M1264&amp;" "&amp;N1264&amp;" "&amp;T1264))),ISNUMBER(SEARCH("hacking",LOWER(F1264&amp;" "&amp;H1264&amp;" "&amp;I1264&amp;" "&amp;M1264&amp;" "&amp;N1264&amp;" "&amp;T1264))),ISNUMBER(SEARCH("bank",LOWER(F1264&amp;" "&amp;H1264&amp;" "&amp;I1264&amp;" "&amp;M1264&amp;" "&amp;N1264&amp;" "&amp;T1264))),ISNUMBER(SEARCH("banking",LOWER(F1264&amp;" "&amp;H1264&amp;" "&amp;I1264&amp;" "&amp;M1264&amp;" "&amp;N1264&amp;" "&amp;T1264)))),"PRIVATE_QUARANTINE",IF(OR(ISNUMBER(SEARCH("treasury",LOWER(F1264&amp;" "&amp;H1264&amp;" "&amp;I1264&amp;" "&amp;M1264&amp;" "&amp;N1264&amp;" "&amp;T1264))),ISNUMBER(SEARCH("debt",LOWER(F1264&amp;" "&amp;H1264&amp;" "&amp;I1264&amp;" "&amp;M1264&amp;" "&amp;N1264&amp;" "&amp;T1264))),ISNUMBER(SEARCH("bond",LOWER(F1264&amp;" "&amp;H1264&amp;" "&amp;I1264&amp;" "&amp;M1264&amp;" "&amp;N1264&amp;" "&amp;T1264))),ISNUMBER(SEARCH("transaction",LOWER(F1264&amp;" "&amp;H1264&amp;" "&amp;I1264&amp;" "&amp;M1264&amp;" "&amp;N1264&amp;" "&amp;T1264)))),"PRIVATE_REVIEW","PUBLIC_CANDIDATE"))</x:f>
        <x:v>PUBLIC_CANDIDATE</x:v>
      </x:c>
      <x:c r="AD1264" s="12" t="str">
        <x:f>IF(AC1264="PRIVATE_QUARANTINE","hacker_or_bank_trigger",IF(AC1264="PRIVATE_REVIEW","finance_risk_trigger","none"))</x:f>
        <x:v>none</x:v>
      </x:c>
      <x:c r="AE1264" s="12" t="str">
        <x:f>IF(AC1264="PUBLIC_CANDIDATE","prepare_public_github_candidate",IF(AC1264="PRIVATE_REVIEW","hold_for_private_review","quarantine_private_do_not_publish"))</x:f>
        <x:v>prepare_public_github_candidate</x:v>
      </x:c>
      <x:c r="AF1264" s="12" t="str">
        <x:f>IF(AC1264="PUBLIC_CANDIDATE","TIDELOCK + Lucerna",IF(AC1264="PRIVATE_REVIEW","AtlasBrain + Lucerna","TIDELOCK + Lucerna + Human-root"))</x:f>
        <x:v>TIDELOCK + Lucerna</x:v>
      </x:c>
      <x:c r="AG1264" s="12" t="str">
        <x:f>IF(AND(AC1264="PUBLIC_CANDIDATE",U1264&lt;&gt;"BLOCKED_PENDING_RECEIPT"),"READY_AFTER_RECEIPT","NOT_READY")</x:f>
        <x:v>NOT_READY</x:v>
      </x:c>
      <x:c r="AH1264" s="12" t="str">
        <x:f>IF(AC1264="PUBLIC_CANDIDATE","none",AD1264)</x:f>
        <x:v>none</x:v>
      </x:c>
      <x:c r="AI1264" s="12" t="str">
        <x:f>IF(AC1264="PUBLIC_CANDIDATE","archive/public_candidates/"&amp;A1264,"private_quarantine/"&amp;A1264)</x:f>
        <x:v>archive/public_candidates/SWARM-09-H10-S03</x:v>
      </x:c>
      <x:c r="AJ1264" s="12" t="str">
        <x:f>IF(AC1264="PUBLIC_CANDIDATE","public by default; still not canon","private/hold; do not publish")</x:f>
        <x:v>public by default; still not canon</x:v>
      </x:c>
      <x:c r="AK1264" s="12" t="str">
        <x:f>IF(AE1264="prepare_public_github_candidate","add receipt/status then mirror","resolve blocker before any public GitHub action")</x:f>
        <x:v>add receipt/status then mirror</x:v>
      </x:c>
    </x:row>
    <x:row r="1265">
      <x:c r="A1265" s="15" t="str">
        <x:v>SWARM-09-H10-S04</x:v>
      </x:c>
      <x:c r="B1265" s="15" t="str">
        <x:v>NotionMoth</x:v>
      </x:c>
      <x:c r="C1265" s="15" t="str">
        <x:v>Notion ontology mapper</x:v>
      </x:c>
      <x:c r="D1265" s="15" t="str">
        <x:v>GitHub Source Packets</x:v>
      </x:c>
      <x:c r="E1265" s="15" t="str">
        <x:v>Gamma</x:v>
      </x:c>
      <x:c r="F1265" s="15" t="str">
        <x:v>Build source packet for Gamma — NotionMoth</x:v>
      </x:c>
      <x:c r="G1265" s="15" t="str">
        <x:v>legacy schema / Notion export prep</x:v>
      </x:c>
      <x:c r="H1265" s="15" t="str">
        <x:v>source path + receipt + raw/export status + claim/edge/risk delta</x:v>
      </x:c>
      <x:c r="I1265" s="15" t="str">
        <x:v>packet/SWARM-09-H10-S04</x:v>
      </x:c>
      <x:c r="J1265" s="15" t="str">
        <x:v>TODO</x:v>
      </x:c>
      <x:c r="K1265" s="15" t="str">
        <x:v>P1</x:v>
      </x:c>
      <x:c r="L1265" s="15" t="str">
        <x:v>Done only when evidence is logged, contradiction search is noted, and boundary stamp remains non-canon unless ratified</x:v>
      </x:c>
      <x:c r="M1265" s="15" t="str">
        <x:v>candidate / staging-only / not canon / not deployed / authority none</x:v>
      </x:c>
      <x:c r="N1265" s="15" t="str">
        <x:v>Dispatch to NotionMoth: complete GitHub Source Packets x Gamma; return deltas only, receipts required.</x:v>
      </x:c>
      <x:c r="O1265" s="15" t="str">
        <x:v>AF-KG-H10-S04</x:v>
      </x:c>
      <x:c r="P1265" s="15" t="str">
        <x:v>Unverified</x:v>
      </x:c>
      <x:c r="Q1265" s="15" t="str">
        <x:v>Not checked</x:v>
      </x:c>
      <x:c r="R1265" s="15" t="str"/>
      <x:c r="S1265" s="15" t="str"/>
      <x:c r="T1265" s="15" t="str">
        <x:v>Log first source path or blocker</x:v>
      </x:c>
      <x:c r="U1265" s="12" t="str">
        <x:f>IF(OR(P1265="Unverified",Q1265="Not checked"),"BLOCKED_PENDING_RECEIPT","READY_FOR_REVIEW")</x:f>
        <x:v>BLOCKED_PENDING_RECEIPT</x:v>
      </x:c>
      <x:c r="V1265" s="12" t="str">
        <x:f>IF(J1265="DONE","RETURNED",IF(U1265="BLOCKED_PENDING_RECEIPT","SOURCE_TOUCH_REQUIRED","IN_PROGRESS"))</x:f>
        <x:v>SOURCE_TOUCH_REQUIRED</x:v>
      </x:c>
      <x:c r="W1265" s="12" t="str">
        <x:f>IF(P1265="Unverified","missing_receipt","receipt_logged")</x:f>
        <x:v>missing_receipt</x:v>
      </x:c>
      <x:c r="X1265" s="12" t="str">
        <x:f>IF(Q1265="Not checked","raw_status_missing","raw_status_logged")</x:f>
        <x:v>raw_status_missing</x:v>
      </x:c>
      <x:c r="Y1265" s="12" t="str">
        <x:f>IF(U1265="BLOCKED_PENDING_RECEIPT","Log source path or blocker; do not promote","Route to review lane")</x:f>
        <x:v>Log source path or blocker; do not promote</x:v>
      </x:c>
      <x:c r="Z1265" s="12" t="str">
        <x:f>IF(K1265="P0","Primary seat + Hashlight/Lucerna","Seat lane")</x:f>
        <x:v>Seat lane</x:v>
      </x:c>
      <x:c r="AA1265" s="12" t="str">
        <x:f>IF(R1265="","no_claim_delta","claim_delta_present")</x:f>
        <x:v>no_claim_delta</x:v>
      </x:c>
      <x:c r="AB1265" s="12" t="str">
        <x:f>IF(S1265="","no_contradiction_delta","contradiction_delta_present")</x:f>
        <x:v>no_contradiction_delta</x:v>
      </x:c>
      <x:c r="AC1265" s="12" t="str">
        <x:f>IF(OR(ISNUMBER(SEARCH("hacker",LOWER(F1265&amp;" "&amp;H1265&amp;" "&amp;I1265&amp;" "&amp;M1265&amp;" "&amp;N1265&amp;" "&amp;T1265))),ISNUMBER(SEARCH("hacking",LOWER(F1265&amp;" "&amp;H1265&amp;" "&amp;I1265&amp;" "&amp;M1265&amp;" "&amp;N1265&amp;" "&amp;T1265))),ISNUMBER(SEARCH("bank",LOWER(F1265&amp;" "&amp;H1265&amp;" "&amp;I1265&amp;" "&amp;M1265&amp;" "&amp;N1265&amp;" "&amp;T1265))),ISNUMBER(SEARCH("banking",LOWER(F1265&amp;" "&amp;H1265&amp;" "&amp;I1265&amp;" "&amp;M1265&amp;" "&amp;N1265&amp;" "&amp;T1265)))),"PRIVATE_QUARANTINE",IF(OR(ISNUMBER(SEARCH("treasury",LOWER(F1265&amp;" "&amp;H1265&amp;" "&amp;I1265&amp;" "&amp;M1265&amp;" "&amp;N1265&amp;" "&amp;T1265))),ISNUMBER(SEARCH("debt",LOWER(F1265&amp;" "&amp;H1265&amp;" "&amp;I1265&amp;" "&amp;M1265&amp;" "&amp;N1265&amp;" "&amp;T1265))),ISNUMBER(SEARCH("bond",LOWER(F1265&amp;" "&amp;H1265&amp;" "&amp;I1265&amp;" "&amp;M1265&amp;" "&amp;N1265&amp;" "&amp;T1265))),ISNUMBER(SEARCH("transaction",LOWER(F1265&amp;" "&amp;H1265&amp;" "&amp;I1265&amp;" "&amp;M1265&amp;" "&amp;N1265&amp;" "&amp;T1265)))),"PRIVATE_REVIEW","PUBLIC_CANDIDATE"))</x:f>
        <x:v>PUBLIC_CANDIDATE</x:v>
      </x:c>
      <x:c r="AD1265" s="12" t="str">
        <x:f>IF(AC1265="PRIVATE_QUARANTINE","hacker_or_bank_trigger",IF(AC1265="PRIVATE_REVIEW","finance_risk_trigger","none"))</x:f>
        <x:v>none</x:v>
      </x:c>
      <x:c r="AE1265" s="12" t="str">
        <x:f>IF(AC1265="PUBLIC_CANDIDATE","prepare_public_github_candidate",IF(AC1265="PRIVATE_REVIEW","hold_for_private_review","quarantine_private_do_not_publish"))</x:f>
        <x:v>prepare_public_github_candidate</x:v>
      </x:c>
      <x:c r="AF1265" s="12" t="str">
        <x:f>IF(AC1265="PUBLIC_CANDIDATE","TIDELOCK + Lucerna",IF(AC1265="PRIVATE_REVIEW","AtlasBrain + Lucerna","TIDELOCK + Lucerna + Human-root"))</x:f>
        <x:v>TIDELOCK + Lucerna</x:v>
      </x:c>
      <x:c r="AG1265" s="12" t="str">
        <x:f>IF(AND(AC1265="PUBLIC_CANDIDATE",U1265&lt;&gt;"BLOCKED_PENDING_RECEIPT"),"READY_AFTER_RECEIPT","NOT_READY")</x:f>
        <x:v>NOT_READY</x:v>
      </x:c>
      <x:c r="AH1265" s="12" t="str">
        <x:f>IF(AC1265="PUBLIC_CANDIDATE","none",AD1265)</x:f>
        <x:v>none</x:v>
      </x:c>
      <x:c r="AI1265" s="12" t="str">
        <x:f>IF(AC1265="PUBLIC_CANDIDATE","archive/public_candidates/"&amp;A1265,"private_quarantine/"&amp;A1265)</x:f>
        <x:v>archive/public_candidates/SWARM-09-H10-S04</x:v>
      </x:c>
      <x:c r="AJ1265" s="12" t="str">
        <x:f>IF(AC1265="PUBLIC_CANDIDATE","public by default; still not canon","private/hold; do not publish")</x:f>
        <x:v>public by default; still not canon</x:v>
      </x:c>
      <x:c r="AK1265" s="12" t="str">
        <x:f>IF(AE1265="prepare_public_github_candidate","add receipt/status then mirror","resolve blocker before any public GitHub action")</x:f>
        <x:v>add receipt/status then mirror</x:v>
      </x:c>
    </x:row>
    <x:row r="1266">
      <x:c r="A1266" s="15" t="str">
        <x:v>SWARM-09-H10-S05</x:v>
      </x:c>
      <x:c r="B1266" s="15" t="str">
        <x:v>NotionMoth</x:v>
      </x:c>
      <x:c r="C1266" s="15" t="str">
        <x:v>Notion ontology mapper</x:v>
      </x:c>
      <x:c r="D1266" s="15" t="str">
        <x:v>GitHub Source Packets</x:v>
      </x:c>
      <x:c r="E1266" s="15" t="str">
        <x:v>Chat</x:v>
      </x:c>
      <x:c r="F1266" s="15" t="str">
        <x:v>Build source packet for Chat — NotionMoth</x:v>
      </x:c>
      <x:c r="G1266" s="15" t="str">
        <x:v>legacy schema / Notion export prep</x:v>
      </x:c>
      <x:c r="H1266" s="15" t="str">
        <x:v>source path + receipt + raw/export status + claim/edge/risk delta</x:v>
      </x:c>
      <x:c r="I1266" s="15" t="str">
        <x:v>packet/SWARM-09-H10-S05</x:v>
      </x:c>
      <x:c r="J1266" s="15" t="str">
        <x:v>TODO</x:v>
      </x:c>
      <x:c r="K1266" s="15" t="str">
        <x:v>P1</x:v>
      </x:c>
      <x:c r="L1266" s="15" t="str">
        <x:v>Done only when evidence is logged, contradiction search is noted, and boundary stamp remains non-canon unless ratified</x:v>
      </x:c>
      <x:c r="M1266" s="15" t="str">
        <x:v>candidate / staging-only / not canon / not deployed / authority none</x:v>
      </x:c>
      <x:c r="N1266" s="15" t="str">
        <x:v>Dispatch to NotionMoth: complete GitHub Source Packets x Chat; return deltas only, receipts required.</x:v>
      </x:c>
      <x:c r="O1266" s="15" t="str">
        <x:v>AF-KG-H10-S05</x:v>
      </x:c>
      <x:c r="P1266" s="15" t="str">
        <x:v>Unverified</x:v>
      </x:c>
      <x:c r="Q1266" s="15" t="str">
        <x:v>Not checked</x:v>
      </x:c>
      <x:c r="R1266" s="15" t="str"/>
      <x:c r="S1266" s="15" t="str"/>
      <x:c r="T1266" s="15" t="str">
        <x:v>Log first source path or blocker</x:v>
      </x:c>
      <x:c r="U1266" s="12" t="str">
        <x:f>IF(OR(P1266="Unverified",Q1266="Not checked"),"BLOCKED_PENDING_RECEIPT","READY_FOR_REVIEW")</x:f>
        <x:v>BLOCKED_PENDING_RECEIPT</x:v>
      </x:c>
      <x:c r="V1266" s="12" t="str">
        <x:f>IF(J1266="DONE","RETURNED",IF(U1266="BLOCKED_PENDING_RECEIPT","SOURCE_TOUCH_REQUIRED","IN_PROGRESS"))</x:f>
        <x:v>SOURCE_TOUCH_REQUIRED</x:v>
      </x:c>
      <x:c r="W1266" s="12" t="str">
        <x:f>IF(P1266="Unverified","missing_receipt","receipt_logged")</x:f>
        <x:v>missing_receipt</x:v>
      </x:c>
      <x:c r="X1266" s="12" t="str">
        <x:f>IF(Q1266="Not checked","raw_status_missing","raw_status_logged")</x:f>
        <x:v>raw_status_missing</x:v>
      </x:c>
      <x:c r="Y1266" s="12" t="str">
        <x:f>IF(U1266="BLOCKED_PENDING_RECEIPT","Log source path or blocker; do not promote","Route to review lane")</x:f>
        <x:v>Log source path or blocker; do not promote</x:v>
      </x:c>
      <x:c r="Z1266" s="12" t="str">
        <x:f>IF(K1266="P0","Primary seat + Hashlight/Lucerna","Seat lane")</x:f>
        <x:v>Seat lane</x:v>
      </x:c>
      <x:c r="AA1266" s="12" t="str">
        <x:f>IF(R1266="","no_claim_delta","claim_delta_present")</x:f>
        <x:v>no_claim_delta</x:v>
      </x:c>
      <x:c r="AB1266" s="12" t="str">
        <x:f>IF(S1266="","no_contradiction_delta","contradiction_delta_present")</x:f>
        <x:v>no_contradiction_delta</x:v>
      </x:c>
      <x:c r="AC1266" s="12" t="str">
        <x:f>IF(OR(ISNUMBER(SEARCH("hacker",LOWER(F1266&amp;" "&amp;H1266&amp;" "&amp;I1266&amp;" "&amp;M1266&amp;" "&amp;N1266&amp;" "&amp;T1266))),ISNUMBER(SEARCH("hacking",LOWER(F1266&amp;" "&amp;H1266&amp;" "&amp;I1266&amp;" "&amp;M1266&amp;" "&amp;N1266&amp;" "&amp;T1266))),ISNUMBER(SEARCH("bank",LOWER(F1266&amp;" "&amp;H1266&amp;" "&amp;I1266&amp;" "&amp;M1266&amp;" "&amp;N1266&amp;" "&amp;T1266))),ISNUMBER(SEARCH("banking",LOWER(F1266&amp;" "&amp;H1266&amp;" "&amp;I1266&amp;" "&amp;M1266&amp;" "&amp;N1266&amp;" "&amp;T1266)))),"PRIVATE_QUARANTINE",IF(OR(ISNUMBER(SEARCH("treasury",LOWER(F1266&amp;" "&amp;H1266&amp;" "&amp;I1266&amp;" "&amp;M1266&amp;" "&amp;N1266&amp;" "&amp;T1266))),ISNUMBER(SEARCH("debt",LOWER(F1266&amp;" "&amp;H1266&amp;" "&amp;I1266&amp;" "&amp;M1266&amp;" "&amp;N1266&amp;" "&amp;T1266))),ISNUMBER(SEARCH("bond",LOWER(F1266&amp;" "&amp;H1266&amp;" "&amp;I1266&amp;" "&amp;M1266&amp;" "&amp;N1266&amp;" "&amp;T1266))),ISNUMBER(SEARCH("transaction",LOWER(F1266&amp;" "&amp;H1266&amp;" "&amp;I1266&amp;" "&amp;M1266&amp;" "&amp;N1266&amp;" "&amp;T1266)))),"PRIVATE_REVIEW","PUBLIC_CANDIDATE"))</x:f>
        <x:v>PUBLIC_CANDIDATE</x:v>
      </x:c>
      <x:c r="AD1266" s="12" t="str">
        <x:f>IF(AC1266="PRIVATE_QUARANTINE","hacker_or_bank_trigger",IF(AC1266="PRIVATE_REVIEW","finance_risk_trigger","none"))</x:f>
        <x:v>none</x:v>
      </x:c>
      <x:c r="AE1266" s="12" t="str">
        <x:f>IF(AC1266="PUBLIC_CANDIDATE","prepare_public_github_candidate",IF(AC1266="PRIVATE_REVIEW","hold_for_private_review","quarantine_private_do_not_publish"))</x:f>
        <x:v>prepare_public_github_candidate</x:v>
      </x:c>
      <x:c r="AF1266" s="12" t="str">
        <x:f>IF(AC1266="PUBLIC_CANDIDATE","TIDELOCK + Lucerna",IF(AC1266="PRIVATE_REVIEW","AtlasBrain + Lucerna","TIDELOCK + Lucerna + Human-root"))</x:f>
        <x:v>TIDELOCK + Lucerna</x:v>
      </x:c>
      <x:c r="AG1266" s="12" t="str">
        <x:f>IF(AND(AC1266="PUBLIC_CANDIDATE",U1266&lt;&gt;"BLOCKED_PENDING_RECEIPT"),"READY_AFTER_RECEIPT","NOT_READY")</x:f>
        <x:v>NOT_READY</x:v>
      </x:c>
      <x:c r="AH1266" s="12" t="str">
        <x:f>IF(AC1266="PUBLIC_CANDIDATE","none",AD1266)</x:f>
        <x:v>none</x:v>
      </x:c>
      <x:c r="AI1266" s="12" t="str">
        <x:f>IF(AC1266="PUBLIC_CANDIDATE","archive/public_candidates/"&amp;A1266,"private_quarantine/"&amp;A1266)</x:f>
        <x:v>archive/public_candidates/SWARM-09-H10-S05</x:v>
      </x:c>
      <x:c r="AJ1266" s="12" t="str">
        <x:f>IF(AC1266="PUBLIC_CANDIDATE","public by default; still not canon","private/hold; do not publish")</x:f>
        <x:v>public by default; still not canon</x:v>
      </x:c>
      <x:c r="AK1266" s="12" t="str">
        <x:f>IF(AE1266="prepare_public_github_candidate","add receipt/status then mirror","resolve blocker before any public GitHub action")</x:f>
        <x:v>add receipt/status then mirror</x:v>
      </x:c>
    </x:row>
    <x:row r="1267">
      <x:c r="A1267" s="15" t="str">
        <x:v>SWARM-09-H10-S06</x:v>
      </x:c>
      <x:c r="B1267" s="15" t="str">
        <x:v>NotionMoth</x:v>
      </x:c>
      <x:c r="C1267" s="15" t="str">
        <x:v>Notion ontology mapper</x:v>
      </x:c>
      <x:c r="D1267" s="15" t="str">
        <x:v>GitHub Source Packets</x:v>
      </x:c>
      <x:c r="E1267" s="15" t="str">
        <x:v>External Web</x:v>
      </x:c>
      <x:c r="F1267" s="15" t="str">
        <x:v>Build source packet for External Web — NotionMoth</x:v>
      </x:c>
      <x:c r="G1267" s="15" t="str">
        <x:v>legacy schema / Notion export prep</x:v>
      </x:c>
      <x:c r="H1267" s="15" t="str">
        <x:v>source path + receipt + raw/export status + claim/edge/risk delta</x:v>
      </x:c>
      <x:c r="I1267" s="15" t="str">
        <x:v>packet/SWARM-09-H10-S06</x:v>
      </x:c>
      <x:c r="J1267" s="15" t="str">
        <x:v>TODO</x:v>
      </x:c>
      <x:c r="K1267" s="15" t="str">
        <x:v>P1</x:v>
      </x:c>
      <x:c r="L1267" s="15" t="str">
        <x:v>Done only when evidence is logged, contradiction search is noted, and boundary stamp remains non-canon unless ratified</x:v>
      </x:c>
      <x:c r="M1267" s="15" t="str">
        <x:v>candidate / staging-only / not canon / not deployed / authority none</x:v>
      </x:c>
      <x:c r="N1267" s="15" t="str">
        <x:v>Dispatch to NotionMoth: complete GitHub Source Packets x External Web; return deltas only, receipts required.</x:v>
      </x:c>
      <x:c r="O1267" s="15" t="str">
        <x:v>AF-KG-H10-S06</x:v>
      </x:c>
      <x:c r="P1267" s="15" t="str">
        <x:v>Unverified</x:v>
      </x:c>
      <x:c r="Q1267" s="15" t="str">
        <x:v>Not checked</x:v>
      </x:c>
      <x:c r="R1267" s="15" t="str"/>
      <x:c r="S1267" s="15" t="str"/>
      <x:c r="T1267" s="15" t="str">
        <x:v>Log first source path or blocker</x:v>
      </x:c>
      <x:c r="U1267" s="12" t="str">
        <x:f>IF(OR(P1267="Unverified",Q1267="Not checked"),"BLOCKED_PENDING_RECEIPT","READY_FOR_REVIEW")</x:f>
        <x:v>BLOCKED_PENDING_RECEIPT</x:v>
      </x:c>
      <x:c r="V1267" s="12" t="str">
        <x:f>IF(J1267="DONE","RETURNED",IF(U1267="BLOCKED_PENDING_RECEIPT","SOURCE_TOUCH_REQUIRED","IN_PROGRESS"))</x:f>
        <x:v>SOURCE_TOUCH_REQUIRED</x:v>
      </x:c>
      <x:c r="W1267" s="12" t="str">
        <x:f>IF(P1267="Unverified","missing_receipt","receipt_logged")</x:f>
        <x:v>missing_receipt</x:v>
      </x:c>
      <x:c r="X1267" s="12" t="str">
        <x:f>IF(Q1267="Not checked","raw_status_missing","raw_status_logged")</x:f>
        <x:v>raw_status_missing</x:v>
      </x:c>
      <x:c r="Y1267" s="12" t="str">
        <x:f>IF(U1267="BLOCKED_PENDING_RECEIPT","Log source path or blocker; do not promote","Route to review lane")</x:f>
        <x:v>Log source path or blocker; do not promote</x:v>
      </x:c>
      <x:c r="Z1267" s="12" t="str">
        <x:f>IF(K1267="P0","Primary seat + Hashlight/Lucerna","Seat lane")</x:f>
        <x:v>Seat lane</x:v>
      </x:c>
      <x:c r="AA1267" s="12" t="str">
        <x:f>IF(R1267="","no_claim_delta","claim_delta_present")</x:f>
        <x:v>no_claim_delta</x:v>
      </x:c>
      <x:c r="AB1267" s="12" t="str">
        <x:f>IF(S1267="","no_contradiction_delta","contradiction_delta_present")</x:f>
        <x:v>no_contradiction_delta</x:v>
      </x:c>
      <x:c r="AC1267" s="12" t="str">
        <x:f>IF(OR(ISNUMBER(SEARCH("hacker",LOWER(F1267&amp;" "&amp;H1267&amp;" "&amp;I1267&amp;" "&amp;M1267&amp;" "&amp;N1267&amp;" "&amp;T1267))),ISNUMBER(SEARCH("hacking",LOWER(F1267&amp;" "&amp;H1267&amp;" "&amp;I1267&amp;" "&amp;M1267&amp;" "&amp;N1267&amp;" "&amp;T1267))),ISNUMBER(SEARCH("bank",LOWER(F1267&amp;" "&amp;H1267&amp;" "&amp;I1267&amp;" "&amp;M1267&amp;" "&amp;N1267&amp;" "&amp;T1267))),ISNUMBER(SEARCH("banking",LOWER(F1267&amp;" "&amp;H1267&amp;" "&amp;I1267&amp;" "&amp;M1267&amp;" "&amp;N1267&amp;" "&amp;T1267)))),"PRIVATE_QUARANTINE",IF(OR(ISNUMBER(SEARCH("treasury",LOWER(F1267&amp;" "&amp;H1267&amp;" "&amp;I1267&amp;" "&amp;M1267&amp;" "&amp;N1267&amp;" "&amp;T1267))),ISNUMBER(SEARCH("debt",LOWER(F1267&amp;" "&amp;H1267&amp;" "&amp;I1267&amp;" "&amp;M1267&amp;" "&amp;N1267&amp;" "&amp;T1267))),ISNUMBER(SEARCH("bond",LOWER(F1267&amp;" "&amp;H1267&amp;" "&amp;I1267&amp;" "&amp;M1267&amp;" "&amp;N1267&amp;" "&amp;T1267))),ISNUMBER(SEARCH("transaction",LOWER(F1267&amp;" "&amp;H1267&amp;" "&amp;I1267&amp;" "&amp;M1267&amp;" "&amp;N1267&amp;" "&amp;T1267)))),"PRIVATE_REVIEW","PUBLIC_CANDIDATE"))</x:f>
        <x:v>PUBLIC_CANDIDATE</x:v>
      </x:c>
      <x:c r="AD1267" s="12" t="str">
        <x:f>IF(AC1267="PRIVATE_QUARANTINE","hacker_or_bank_trigger",IF(AC1267="PRIVATE_REVIEW","finance_risk_trigger","none"))</x:f>
        <x:v>none</x:v>
      </x:c>
      <x:c r="AE1267" s="12" t="str">
        <x:f>IF(AC1267="PUBLIC_CANDIDATE","prepare_public_github_candidate",IF(AC1267="PRIVATE_REVIEW","hold_for_private_review","quarantine_private_do_not_publish"))</x:f>
        <x:v>prepare_public_github_candidate</x:v>
      </x:c>
      <x:c r="AF1267" s="12" t="str">
        <x:f>IF(AC1267="PUBLIC_CANDIDATE","TIDELOCK + Lucerna",IF(AC1267="PRIVATE_REVIEW","AtlasBrain + Lucerna","TIDELOCK + Lucerna + Human-root"))</x:f>
        <x:v>TIDELOCK + Lucerna</x:v>
      </x:c>
      <x:c r="AG1267" s="12" t="str">
        <x:f>IF(AND(AC1267="PUBLIC_CANDIDATE",U1267&lt;&gt;"BLOCKED_PENDING_RECEIPT"),"READY_AFTER_RECEIPT","NOT_READY")</x:f>
        <x:v>NOT_READY</x:v>
      </x:c>
      <x:c r="AH1267" s="12" t="str">
        <x:f>IF(AC1267="PUBLIC_CANDIDATE","none",AD1267)</x:f>
        <x:v>none</x:v>
      </x:c>
      <x:c r="AI1267" s="12" t="str">
        <x:f>IF(AC1267="PUBLIC_CANDIDATE","archive/public_candidates/"&amp;A1267,"private_quarantine/"&amp;A1267)</x:f>
        <x:v>archive/public_candidates/SWARM-09-H10-S06</x:v>
      </x:c>
      <x:c r="AJ1267" s="12" t="str">
        <x:f>IF(AC1267="PUBLIC_CANDIDATE","public by default; still not canon","private/hold; do not publish")</x:f>
        <x:v>public by default; still not canon</x:v>
      </x:c>
      <x:c r="AK1267" s="12" t="str">
        <x:f>IF(AE1267="prepare_public_github_candidate","add receipt/status then mirror","resolve blocker before any public GitHub action")</x:f>
        <x:v>add receipt/status then mirror</x:v>
      </x:c>
    </x:row>
    <x:row r="1268">
      <x:c r="A1268" s="15" t="str">
        <x:v>SWARM-09-H10-S07</x:v>
      </x:c>
      <x:c r="B1268" s="15" t="str">
        <x:v>NotionMoth</x:v>
      </x:c>
      <x:c r="C1268" s="15" t="str">
        <x:v>Notion ontology mapper</x:v>
      </x:c>
      <x:c r="D1268" s="15" t="str">
        <x:v>GitHub Source Packets</x:v>
      </x:c>
      <x:c r="E1268" s="15" t="str">
        <x:v>Planetarium</x:v>
      </x:c>
      <x:c r="F1268" s="15" t="str">
        <x:v>Build source packet for Planetarium — NotionMoth</x:v>
      </x:c>
      <x:c r="G1268" s="15" t="str">
        <x:v>legacy schema / Notion export prep</x:v>
      </x:c>
      <x:c r="H1268" s="15" t="str">
        <x:v>source path + receipt + raw/export status + claim/edge/risk delta</x:v>
      </x:c>
      <x:c r="I1268" s="15" t="str">
        <x:v>packet/SWARM-09-H10-S07</x:v>
      </x:c>
      <x:c r="J1268" s="15" t="str">
        <x:v>TODO</x:v>
      </x:c>
      <x:c r="K1268" s="15" t="str">
        <x:v>P1</x:v>
      </x:c>
      <x:c r="L1268" s="15" t="str">
        <x:v>Done only when evidence is logged, contradiction search is noted, and boundary stamp remains non-canon unless ratified</x:v>
      </x:c>
      <x:c r="M1268" s="15" t="str">
        <x:v>candidate / staging-only / not canon / not deployed / authority none</x:v>
      </x:c>
      <x:c r="N1268" s="15" t="str">
        <x:v>Dispatch to NotionMoth: complete GitHub Source Packets x Planetarium; return deltas only, receipts required.</x:v>
      </x:c>
      <x:c r="O1268" s="15" t="str">
        <x:v>AF-KG-H10-S07</x:v>
      </x:c>
      <x:c r="P1268" s="15" t="str">
        <x:v>Unverified</x:v>
      </x:c>
      <x:c r="Q1268" s="15" t="str">
        <x:v>Not checked</x:v>
      </x:c>
      <x:c r="R1268" s="15" t="str"/>
      <x:c r="S1268" s="15" t="str"/>
      <x:c r="T1268" s="15" t="str">
        <x:v>Log first source path or blocker</x:v>
      </x:c>
      <x:c r="U1268" s="12" t="str">
        <x:f>IF(OR(P1268="Unverified",Q1268="Not checked"),"BLOCKED_PENDING_RECEIPT","READY_FOR_REVIEW")</x:f>
        <x:v>BLOCKED_PENDING_RECEIPT</x:v>
      </x:c>
      <x:c r="V1268" s="12" t="str">
        <x:f>IF(J1268="DONE","RETURNED",IF(U1268="BLOCKED_PENDING_RECEIPT","SOURCE_TOUCH_REQUIRED","IN_PROGRESS"))</x:f>
        <x:v>SOURCE_TOUCH_REQUIRED</x:v>
      </x:c>
      <x:c r="W1268" s="12" t="str">
        <x:f>IF(P1268="Unverified","missing_receipt","receipt_logged")</x:f>
        <x:v>missing_receipt</x:v>
      </x:c>
      <x:c r="X1268" s="12" t="str">
        <x:f>IF(Q1268="Not checked","raw_status_missing","raw_status_logged")</x:f>
        <x:v>raw_status_missing</x:v>
      </x:c>
      <x:c r="Y1268" s="12" t="str">
        <x:f>IF(U1268="BLOCKED_PENDING_RECEIPT","Log source path or blocker; do not promote","Route to review lane")</x:f>
        <x:v>Log source path or blocker; do not promote</x:v>
      </x:c>
      <x:c r="Z1268" s="12" t="str">
        <x:f>IF(K1268="P0","Primary seat + Hashlight/Lucerna","Seat lane")</x:f>
        <x:v>Seat lane</x:v>
      </x:c>
      <x:c r="AA1268" s="12" t="str">
        <x:f>IF(R1268="","no_claim_delta","claim_delta_present")</x:f>
        <x:v>no_claim_delta</x:v>
      </x:c>
      <x:c r="AB1268" s="12" t="str">
        <x:f>IF(S1268="","no_contradiction_delta","contradiction_delta_present")</x:f>
        <x:v>no_contradiction_delta</x:v>
      </x:c>
      <x:c r="AC1268" s="12" t="str">
        <x:f>IF(OR(ISNUMBER(SEARCH("hacker",LOWER(F1268&amp;" "&amp;H1268&amp;" "&amp;I1268&amp;" "&amp;M1268&amp;" "&amp;N1268&amp;" "&amp;T1268))),ISNUMBER(SEARCH("hacking",LOWER(F1268&amp;" "&amp;H1268&amp;" "&amp;I1268&amp;" "&amp;M1268&amp;" "&amp;N1268&amp;" "&amp;T1268))),ISNUMBER(SEARCH("bank",LOWER(F1268&amp;" "&amp;H1268&amp;" "&amp;I1268&amp;" "&amp;M1268&amp;" "&amp;N1268&amp;" "&amp;T1268))),ISNUMBER(SEARCH("banking",LOWER(F1268&amp;" "&amp;H1268&amp;" "&amp;I1268&amp;" "&amp;M1268&amp;" "&amp;N1268&amp;" "&amp;T1268)))),"PRIVATE_QUARANTINE",IF(OR(ISNUMBER(SEARCH("treasury",LOWER(F1268&amp;" "&amp;H1268&amp;" "&amp;I1268&amp;" "&amp;M1268&amp;" "&amp;N1268&amp;" "&amp;T1268))),ISNUMBER(SEARCH("debt",LOWER(F1268&amp;" "&amp;H1268&amp;" "&amp;I1268&amp;" "&amp;M1268&amp;" "&amp;N1268&amp;" "&amp;T1268))),ISNUMBER(SEARCH("bond",LOWER(F1268&amp;" "&amp;H1268&amp;" "&amp;I1268&amp;" "&amp;M1268&amp;" "&amp;N1268&amp;" "&amp;T1268))),ISNUMBER(SEARCH("transaction",LOWER(F1268&amp;" "&amp;H1268&amp;" "&amp;I1268&amp;" "&amp;M1268&amp;" "&amp;N1268&amp;" "&amp;T1268)))),"PRIVATE_REVIEW","PUBLIC_CANDIDATE"))</x:f>
        <x:v>PUBLIC_CANDIDATE</x:v>
      </x:c>
      <x:c r="AD1268" s="12" t="str">
        <x:f>IF(AC1268="PRIVATE_QUARANTINE","hacker_or_bank_trigger",IF(AC1268="PRIVATE_REVIEW","finance_risk_trigger","none"))</x:f>
        <x:v>none</x:v>
      </x:c>
      <x:c r="AE1268" s="12" t="str">
        <x:f>IF(AC1268="PUBLIC_CANDIDATE","prepare_public_github_candidate",IF(AC1268="PRIVATE_REVIEW","hold_for_private_review","quarantine_private_do_not_publish"))</x:f>
        <x:v>prepare_public_github_candidate</x:v>
      </x:c>
      <x:c r="AF1268" s="12" t="str">
        <x:f>IF(AC1268="PUBLIC_CANDIDATE","TIDELOCK + Lucerna",IF(AC1268="PRIVATE_REVIEW","AtlasBrain + Lucerna","TIDELOCK + Lucerna + Human-root"))</x:f>
        <x:v>TIDELOCK + Lucerna</x:v>
      </x:c>
      <x:c r="AG1268" s="12" t="str">
        <x:f>IF(AND(AC1268="PUBLIC_CANDIDATE",U1268&lt;&gt;"BLOCKED_PENDING_RECEIPT"),"READY_AFTER_RECEIPT","NOT_READY")</x:f>
        <x:v>NOT_READY</x:v>
      </x:c>
      <x:c r="AH1268" s="12" t="str">
        <x:f>IF(AC1268="PUBLIC_CANDIDATE","none",AD1268)</x:f>
        <x:v>none</x:v>
      </x:c>
      <x:c r="AI1268" s="12" t="str">
        <x:f>IF(AC1268="PUBLIC_CANDIDATE","archive/public_candidates/"&amp;A1268,"private_quarantine/"&amp;A1268)</x:f>
        <x:v>archive/public_candidates/SWARM-09-H10-S07</x:v>
      </x:c>
      <x:c r="AJ1268" s="12" t="str">
        <x:f>IF(AC1268="PUBLIC_CANDIDATE","public by default; still not canon","private/hold; do not publish")</x:f>
        <x:v>public by default; still not canon</x:v>
      </x:c>
      <x:c r="AK1268" s="12" t="str">
        <x:f>IF(AE1268="prepare_public_github_candidate","add receipt/status then mirror","resolve blocker before any public GitHub action")</x:f>
        <x:v>add receipt/status then mirror</x:v>
      </x:c>
    </x:row>
    <x:row r="1269">
      <x:c r="A1269" s="15" t="str">
        <x:v>SWARM-09-H10-S08</x:v>
      </x:c>
      <x:c r="B1269" s="15" t="str">
        <x:v>NotionMoth</x:v>
      </x:c>
      <x:c r="C1269" s="15" t="str">
        <x:v>Notion ontology mapper</x:v>
      </x:c>
      <x:c r="D1269" s="15" t="str">
        <x:v>GitHub Source Packets</x:v>
      </x:c>
      <x:c r="E1269" s="15" t="str">
        <x:v>Sheldonbrain</x:v>
      </x:c>
      <x:c r="F1269" s="15" t="str">
        <x:v>Build source packet for Sheldonbrain — NotionMoth</x:v>
      </x:c>
      <x:c r="G1269" s="15" t="str">
        <x:v>legacy schema / Notion export prep</x:v>
      </x:c>
      <x:c r="H1269" s="15" t="str">
        <x:v>source path + receipt + raw/export status + claim/edge/risk delta</x:v>
      </x:c>
      <x:c r="I1269" s="15" t="str">
        <x:v>packet/SWARM-09-H10-S08</x:v>
      </x:c>
      <x:c r="J1269" s="15" t="str">
        <x:v>TODO</x:v>
      </x:c>
      <x:c r="K1269" s="15" t="str">
        <x:v>P1</x:v>
      </x:c>
      <x:c r="L1269" s="15" t="str">
        <x:v>Done only when evidence is logged, contradiction search is noted, and boundary stamp remains non-canon unless ratified</x:v>
      </x:c>
      <x:c r="M1269" s="15" t="str">
        <x:v>candidate / staging-only / not canon / not deployed / authority none</x:v>
      </x:c>
      <x:c r="N1269" s="15" t="str">
        <x:v>Dispatch to NotionMoth: complete GitHub Source Packets x Sheldonbrain; return deltas only, receipts required.</x:v>
      </x:c>
      <x:c r="O1269" s="15" t="str">
        <x:v>AF-KG-H10-S08</x:v>
      </x:c>
      <x:c r="P1269" s="15" t="str">
        <x:v>Unverified</x:v>
      </x:c>
      <x:c r="Q1269" s="15" t="str">
        <x:v>Not checked</x:v>
      </x:c>
      <x:c r="R1269" s="15" t="str"/>
      <x:c r="S1269" s="15" t="str"/>
      <x:c r="T1269" s="15" t="str">
        <x:v>Log first source path or blocker</x:v>
      </x:c>
      <x:c r="U1269" s="12" t="str">
        <x:f>IF(OR(P1269="Unverified",Q1269="Not checked"),"BLOCKED_PENDING_RECEIPT","READY_FOR_REVIEW")</x:f>
        <x:v>BLOCKED_PENDING_RECEIPT</x:v>
      </x:c>
      <x:c r="V1269" s="12" t="str">
        <x:f>IF(J1269="DONE","RETURNED",IF(U1269="BLOCKED_PENDING_RECEIPT","SOURCE_TOUCH_REQUIRED","IN_PROGRESS"))</x:f>
        <x:v>SOURCE_TOUCH_REQUIRED</x:v>
      </x:c>
      <x:c r="W1269" s="12" t="str">
        <x:f>IF(P1269="Unverified","missing_receipt","receipt_logged")</x:f>
        <x:v>missing_receipt</x:v>
      </x:c>
      <x:c r="X1269" s="12" t="str">
        <x:f>IF(Q1269="Not checked","raw_status_missing","raw_status_logged")</x:f>
        <x:v>raw_status_missing</x:v>
      </x:c>
      <x:c r="Y1269" s="12" t="str">
        <x:f>IF(U1269="BLOCKED_PENDING_RECEIPT","Log source path or blocker; do not promote","Route to review lane")</x:f>
        <x:v>Log source path or blocker; do not promote</x:v>
      </x:c>
      <x:c r="Z1269" s="12" t="str">
        <x:f>IF(K1269="P0","Primary seat + Hashlight/Lucerna","Seat lane")</x:f>
        <x:v>Seat lane</x:v>
      </x:c>
      <x:c r="AA1269" s="12" t="str">
        <x:f>IF(R1269="","no_claim_delta","claim_delta_present")</x:f>
        <x:v>no_claim_delta</x:v>
      </x:c>
      <x:c r="AB1269" s="12" t="str">
        <x:f>IF(S1269="","no_contradiction_delta","contradiction_delta_present")</x:f>
        <x:v>no_contradiction_delta</x:v>
      </x:c>
      <x:c r="AC1269" s="12" t="str">
        <x:f>IF(OR(ISNUMBER(SEARCH("hacker",LOWER(F1269&amp;" "&amp;H1269&amp;" "&amp;I1269&amp;" "&amp;M1269&amp;" "&amp;N1269&amp;" "&amp;T1269))),ISNUMBER(SEARCH("hacking",LOWER(F1269&amp;" "&amp;H1269&amp;" "&amp;I1269&amp;" "&amp;M1269&amp;" "&amp;N1269&amp;" "&amp;T1269))),ISNUMBER(SEARCH("bank",LOWER(F1269&amp;" "&amp;H1269&amp;" "&amp;I1269&amp;" "&amp;M1269&amp;" "&amp;N1269&amp;" "&amp;T1269))),ISNUMBER(SEARCH("banking",LOWER(F1269&amp;" "&amp;H1269&amp;" "&amp;I1269&amp;" "&amp;M1269&amp;" "&amp;N1269&amp;" "&amp;T1269)))),"PRIVATE_QUARANTINE",IF(OR(ISNUMBER(SEARCH("treasury",LOWER(F1269&amp;" "&amp;H1269&amp;" "&amp;I1269&amp;" "&amp;M1269&amp;" "&amp;N1269&amp;" "&amp;T1269))),ISNUMBER(SEARCH("debt",LOWER(F1269&amp;" "&amp;H1269&amp;" "&amp;I1269&amp;" "&amp;M1269&amp;" "&amp;N1269&amp;" "&amp;T1269))),ISNUMBER(SEARCH("bond",LOWER(F1269&amp;" "&amp;H1269&amp;" "&amp;I1269&amp;" "&amp;M1269&amp;" "&amp;N1269&amp;" "&amp;T1269))),ISNUMBER(SEARCH("transaction",LOWER(F1269&amp;" "&amp;H1269&amp;" "&amp;I1269&amp;" "&amp;M1269&amp;" "&amp;N1269&amp;" "&amp;T1269)))),"PRIVATE_REVIEW","PUBLIC_CANDIDATE"))</x:f>
        <x:v>PUBLIC_CANDIDATE</x:v>
      </x:c>
      <x:c r="AD1269" s="12" t="str">
        <x:f>IF(AC1269="PRIVATE_QUARANTINE","hacker_or_bank_trigger",IF(AC1269="PRIVATE_REVIEW","finance_risk_trigger","none"))</x:f>
        <x:v>none</x:v>
      </x:c>
      <x:c r="AE1269" s="12" t="str">
        <x:f>IF(AC1269="PUBLIC_CANDIDATE","prepare_public_github_candidate",IF(AC1269="PRIVATE_REVIEW","hold_for_private_review","quarantine_private_do_not_publish"))</x:f>
        <x:v>prepare_public_github_candidate</x:v>
      </x:c>
      <x:c r="AF1269" s="12" t="str">
        <x:f>IF(AC1269="PUBLIC_CANDIDATE","TIDELOCK + Lucerna",IF(AC1269="PRIVATE_REVIEW","AtlasBrain + Lucerna","TIDELOCK + Lucerna + Human-root"))</x:f>
        <x:v>TIDELOCK + Lucerna</x:v>
      </x:c>
      <x:c r="AG1269" s="12" t="str">
        <x:f>IF(AND(AC1269="PUBLIC_CANDIDATE",U1269&lt;&gt;"BLOCKED_PENDING_RECEIPT"),"READY_AFTER_RECEIPT","NOT_READY")</x:f>
        <x:v>NOT_READY</x:v>
      </x:c>
      <x:c r="AH1269" s="12" t="str">
        <x:f>IF(AC1269="PUBLIC_CANDIDATE","none",AD1269)</x:f>
        <x:v>none</x:v>
      </x:c>
      <x:c r="AI1269" s="12" t="str">
        <x:f>IF(AC1269="PUBLIC_CANDIDATE","archive/public_candidates/"&amp;A1269,"private_quarantine/"&amp;A1269)</x:f>
        <x:v>archive/public_candidates/SWARM-09-H10-S08</x:v>
      </x:c>
      <x:c r="AJ1269" s="12" t="str">
        <x:f>IF(AC1269="PUBLIC_CANDIDATE","public by default; still not canon","private/hold; do not publish")</x:f>
        <x:v>public by default; still not canon</x:v>
      </x:c>
      <x:c r="AK1269" s="12" t="str">
        <x:f>IF(AE1269="prepare_public_github_candidate","add receipt/status then mirror","resolve blocker before any public GitHub action")</x:f>
        <x:v>add receipt/status then mirror</x:v>
      </x:c>
    </x:row>
    <x:row r="1270">
      <x:c r="A1270" s="15" t="str">
        <x:v>SWARM-09-H10-S09</x:v>
      </x:c>
      <x:c r="B1270" s="15" t="str">
        <x:v>NotionMoth</x:v>
      </x:c>
      <x:c r="C1270" s="15" t="str">
        <x:v>Notion ontology mapper</x:v>
      </x:c>
      <x:c r="D1270" s="15" t="str">
        <x:v>GitHub Source Packets</x:v>
      </x:c>
      <x:c r="E1270" s="15" t="str">
        <x:v>Aetherforge</x:v>
      </x:c>
      <x:c r="F1270" s="15" t="str">
        <x:v>Build source packet for Aetherforge — NotionMoth</x:v>
      </x:c>
      <x:c r="G1270" s="15" t="str">
        <x:v>legacy schema / Notion export prep</x:v>
      </x:c>
      <x:c r="H1270" s="15" t="str">
        <x:v>source path + receipt + raw/export status + claim/edge/risk delta</x:v>
      </x:c>
      <x:c r="I1270" s="15" t="str">
        <x:v>packet/SWARM-09-H10-S09</x:v>
      </x:c>
      <x:c r="J1270" s="15" t="str">
        <x:v>TODO</x:v>
      </x:c>
      <x:c r="K1270" s="15" t="str">
        <x:v>P2</x:v>
      </x:c>
      <x:c r="L1270" s="15" t="str">
        <x:v>Done only when evidence is logged, contradiction search is noted, and boundary stamp remains non-canon unless ratified</x:v>
      </x:c>
      <x:c r="M1270" s="15" t="str">
        <x:v>candidate / staging-only / not canon / not deployed / authority none</x:v>
      </x:c>
      <x:c r="N1270" s="15" t="str">
        <x:v>Dispatch to NotionMoth: complete GitHub Source Packets x Aetherforge; return deltas only, receipts required.</x:v>
      </x:c>
      <x:c r="O1270" s="15" t="str">
        <x:v>AF-KG-H10-S09</x:v>
      </x:c>
      <x:c r="P1270" s="15" t="str">
        <x:v>Unverified</x:v>
      </x:c>
      <x:c r="Q1270" s="15" t="str">
        <x:v>Not checked</x:v>
      </x:c>
      <x:c r="R1270" s="15" t="str"/>
      <x:c r="S1270" s="15" t="str"/>
      <x:c r="T1270" s="15" t="str">
        <x:v>Log first source path or blocker</x:v>
      </x:c>
      <x:c r="U1270" s="12" t="str">
        <x:f>IF(OR(P1270="Unverified",Q1270="Not checked"),"BLOCKED_PENDING_RECEIPT","READY_FOR_REVIEW")</x:f>
        <x:v>BLOCKED_PENDING_RECEIPT</x:v>
      </x:c>
      <x:c r="V1270" s="12" t="str">
        <x:f>IF(J1270="DONE","RETURNED",IF(U1270="BLOCKED_PENDING_RECEIPT","SOURCE_TOUCH_REQUIRED","IN_PROGRESS"))</x:f>
        <x:v>SOURCE_TOUCH_REQUIRED</x:v>
      </x:c>
      <x:c r="W1270" s="12" t="str">
        <x:f>IF(P1270="Unverified","missing_receipt","receipt_logged")</x:f>
        <x:v>missing_receipt</x:v>
      </x:c>
      <x:c r="X1270" s="12" t="str">
        <x:f>IF(Q1270="Not checked","raw_status_missing","raw_status_logged")</x:f>
        <x:v>raw_status_missing</x:v>
      </x:c>
      <x:c r="Y1270" s="12" t="str">
        <x:f>IF(U1270="BLOCKED_PENDING_RECEIPT","Log source path or blocker; do not promote","Route to review lane")</x:f>
        <x:v>Log source path or blocker; do not promote</x:v>
      </x:c>
      <x:c r="Z1270" s="12" t="str">
        <x:f>IF(K1270="P0","Primary seat + Hashlight/Lucerna","Seat lane")</x:f>
        <x:v>Seat lane</x:v>
      </x:c>
      <x:c r="AA1270" s="12" t="str">
        <x:f>IF(R1270="","no_claim_delta","claim_delta_present")</x:f>
        <x:v>no_claim_delta</x:v>
      </x:c>
      <x:c r="AB1270" s="12" t="str">
        <x:f>IF(S1270="","no_contradiction_delta","contradiction_delta_present")</x:f>
        <x:v>no_contradiction_delta</x:v>
      </x:c>
      <x:c r="AC1270" s="12" t="str">
        <x:f>IF(OR(ISNUMBER(SEARCH("hacker",LOWER(F1270&amp;" "&amp;H1270&amp;" "&amp;I1270&amp;" "&amp;M1270&amp;" "&amp;N1270&amp;" "&amp;T1270))),ISNUMBER(SEARCH("hacking",LOWER(F1270&amp;" "&amp;H1270&amp;" "&amp;I1270&amp;" "&amp;M1270&amp;" "&amp;N1270&amp;" "&amp;T1270))),ISNUMBER(SEARCH("bank",LOWER(F1270&amp;" "&amp;H1270&amp;" "&amp;I1270&amp;" "&amp;M1270&amp;" "&amp;N1270&amp;" "&amp;T1270))),ISNUMBER(SEARCH("banking",LOWER(F1270&amp;" "&amp;H1270&amp;" "&amp;I1270&amp;" "&amp;M1270&amp;" "&amp;N1270&amp;" "&amp;T1270)))),"PRIVATE_QUARANTINE",IF(OR(ISNUMBER(SEARCH("treasury",LOWER(F1270&amp;" "&amp;H1270&amp;" "&amp;I1270&amp;" "&amp;M1270&amp;" "&amp;N1270&amp;" "&amp;T1270))),ISNUMBER(SEARCH("debt",LOWER(F1270&amp;" "&amp;H1270&amp;" "&amp;I1270&amp;" "&amp;M1270&amp;" "&amp;N1270&amp;" "&amp;T1270))),ISNUMBER(SEARCH("bond",LOWER(F1270&amp;" "&amp;H1270&amp;" "&amp;I1270&amp;" "&amp;M1270&amp;" "&amp;N1270&amp;" "&amp;T1270))),ISNUMBER(SEARCH("transaction",LOWER(F1270&amp;" "&amp;H1270&amp;" "&amp;I1270&amp;" "&amp;M1270&amp;" "&amp;N1270&amp;" "&amp;T1270)))),"PRIVATE_REVIEW","PUBLIC_CANDIDATE"))</x:f>
        <x:v>PUBLIC_CANDIDATE</x:v>
      </x:c>
      <x:c r="AD1270" s="12" t="str">
        <x:f>IF(AC1270="PRIVATE_QUARANTINE","hacker_or_bank_trigger",IF(AC1270="PRIVATE_REVIEW","finance_risk_trigger","none"))</x:f>
        <x:v>none</x:v>
      </x:c>
      <x:c r="AE1270" s="12" t="str">
        <x:f>IF(AC1270="PUBLIC_CANDIDATE","prepare_public_github_candidate",IF(AC1270="PRIVATE_REVIEW","hold_for_private_review","quarantine_private_do_not_publish"))</x:f>
        <x:v>prepare_public_github_candidate</x:v>
      </x:c>
      <x:c r="AF1270" s="12" t="str">
        <x:f>IF(AC1270="PUBLIC_CANDIDATE","TIDELOCK + Lucerna",IF(AC1270="PRIVATE_REVIEW","AtlasBrain + Lucerna","TIDELOCK + Lucerna + Human-root"))</x:f>
        <x:v>TIDELOCK + Lucerna</x:v>
      </x:c>
      <x:c r="AG1270" s="12" t="str">
        <x:f>IF(AND(AC1270="PUBLIC_CANDIDATE",U1270&lt;&gt;"BLOCKED_PENDING_RECEIPT"),"READY_AFTER_RECEIPT","NOT_READY")</x:f>
        <x:v>NOT_READY</x:v>
      </x:c>
      <x:c r="AH1270" s="12" t="str">
        <x:f>IF(AC1270="PUBLIC_CANDIDATE","none",AD1270)</x:f>
        <x:v>none</x:v>
      </x:c>
      <x:c r="AI1270" s="12" t="str">
        <x:f>IF(AC1270="PUBLIC_CANDIDATE","archive/public_candidates/"&amp;A1270,"private_quarantine/"&amp;A1270)</x:f>
        <x:v>archive/public_candidates/SWARM-09-H10-S09</x:v>
      </x:c>
      <x:c r="AJ1270" s="12" t="str">
        <x:f>IF(AC1270="PUBLIC_CANDIDATE","public by default; still not canon","private/hold; do not publish")</x:f>
        <x:v>public by default; still not canon</x:v>
      </x:c>
      <x:c r="AK1270" s="12" t="str">
        <x:f>IF(AE1270="prepare_public_github_candidate","add receipt/status then mirror","resolve blocker before any public GitHub action")</x:f>
        <x:v>add receipt/status then mirror</x:v>
      </x:c>
    </x:row>
    <x:row r="1271">
      <x:c r="A1271" s="15" t="str">
        <x:v>SWARM-09-H10-S10</x:v>
      </x:c>
      <x:c r="B1271" s="15" t="str">
        <x:v>NotionMoth</x:v>
      </x:c>
      <x:c r="C1271" s="15" t="str">
        <x:v>Notion ontology mapper</x:v>
      </x:c>
      <x:c r="D1271" s="15" t="str">
        <x:v>GitHub Source Packets</x:v>
      </x:c>
      <x:c r="E1271" s="15" t="str">
        <x:v>Human-Root</x:v>
      </x:c>
      <x:c r="F1271" s="15" t="str">
        <x:v>Build source packet for Human-Root — NotionMoth</x:v>
      </x:c>
      <x:c r="G1271" s="15" t="str">
        <x:v>legacy schema / Notion export prep</x:v>
      </x:c>
      <x:c r="H1271" s="15" t="str">
        <x:v>source path + receipt + raw/export status + claim/edge/risk delta</x:v>
      </x:c>
      <x:c r="I1271" s="15" t="str">
        <x:v>packet/SWARM-09-H10-S10</x:v>
      </x:c>
      <x:c r="J1271" s="15" t="str">
        <x:v>TODO</x:v>
      </x:c>
      <x:c r="K1271" s="15" t="str">
        <x:v>P2</x:v>
      </x:c>
      <x:c r="L1271" s="15" t="str">
        <x:v>Done only when evidence is logged, contradiction search is noted, and boundary stamp remains non-canon unless ratified</x:v>
      </x:c>
      <x:c r="M1271" s="15" t="str">
        <x:v>candidate / staging-only / not canon / not deployed / authority none</x:v>
      </x:c>
      <x:c r="N1271" s="15" t="str">
        <x:v>Dispatch to NotionMoth: complete GitHub Source Packets x Human-Root; return deltas only, receipts required.</x:v>
      </x:c>
      <x:c r="O1271" s="15" t="str">
        <x:v>AF-KG-H10-S10</x:v>
      </x:c>
      <x:c r="P1271" s="15" t="str">
        <x:v>Unverified</x:v>
      </x:c>
      <x:c r="Q1271" s="15" t="str">
        <x:v>Not checked</x:v>
      </x:c>
      <x:c r="R1271" s="15" t="str"/>
      <x:c r="S1271" s="15" t="str"/>
      <x:c r="T1271" s="15" t="str">
        <x:v>Log first source path or blocker</x:v>
      </x:c>
      <x:c r="U1271" s="12" t="str">
        <x:f>IF(OR(P1271="Unverified",Q1271="Not checked"),"BLOCKED_PENDING_RECEIPT","READY_FOR_REVIEW")</x:f>
        <x:v>BLOCKED_PENDING_RECEIPT</x:v>
      </x:c>
      <x:c r="V1271" s="12" t="str">
        <x:f>IF(J1271="DONE","RETURNED",IF(U1271="BLOCKED_PENDING_RECEIPT","SOURCE_TOUCH_REQUIRED","IN_PROGRESS"))</x:f>
        <x:v>SOURCE_TOUCH_REQUIRED</x:v>
      </x:c>
      <x:c r="W1271" s="12" t="str">
        <x:f>IF(P1271="Unverified","missing_receipt","receipt_logged")</x:f>
        <x:v>missing_receipt</x:v>
      </x:c>
      <x:c r="X1271" s="12" t="str">
        <x:f>IF(Q1271="Not checked","raw_status_missing","raw_status_logged")</x:f>
        <x:v>raw_status_missing</x:v>
      </x:c>
      <x:c r="Y1271" s="12" t="str">
        <x:f>IF(U1271="BLOCKED_PENDING_RECEIPT","Log source path or blocker; do not promote","Route to review lane")</x:f>
        <x:v>Log source path or blocker; do not promote</x:v>
      </x:c>
      <x:c r="Z1271" s="12" t="str">
        <x:f>IF(K1271="P0","Primary seat + Hashlight/Lucerna","Seat lane")</x:f>
        <x:v>Seat lane</x:v>
      </x:c>
      <x:c r="AA1271" s="12" t="str">
        <x:f>IF(R1271="","no_claim_delta","claim_delta_present")</x:f>
        <x:v>no_claim_delta</x:v>
      </x:c>
      <x:c r="AB1271" s="12" t="str">
        <x:f>IF(S1271="","no_contradiction_delta","contradiction_delta_present")</x:f>
        <x:v>no_contradiction_delta</x:v>
      </x:c>
      <x:c r="AC1271" s="12" t="str">
        <x:f>IF(OR(ISNUMBER(SEARCH("hacker",LOWER(F1271&amp;" "&amp;H1271&amp;" "&amp;I1271&amp;" "&amp;M1271&amp;" "&amp;N1271&amp;" "&amp;T1271))),ISNUMBER(SEARCH("hacking",LOWER(F1271&amp;" "&amp;H1271&amp;" "&amp;I1271&amp;" "&amp;M1271&amp;" "&amp;N1271&amp;" "&amp;T1271))),ISNUMBER(SEARCH("bank",LOWER(F1271&amp;" "&amp;H1271&amp;" "&amp;I1271&amp;" "&amp;M1271&amp;" "&amp;N1271&amp;" "&amp;T1271))),ISNUMBER(SEARCH("banking",LOWER(F1271&amp;" "&amp;H1271&amp;" "&amp;I1271&amp;" "&amp;M1271&amp;" "&amp;N1271&amp;" "&amp;T1271)))),"PRIVATE_QUARANTINE",IF(OR(ISNUMBER(SEARCH("treasury",LOWER(F1271&amp;" "&amp;H1271&amp;" "&amp;I1271&amp;" "&amp;M1271&amp;" "&amp;N1271&amp;" "&amp;T1271))),ISNUMBER(SEARCH("debt",LOWER(F1271&amp;" "&amp;H1271&amp;" "&amp;I1271&amp;" "&amp;M1271&amp;" "&amp;N1271&amp;" "&amp;T1271))),ISNUMBER(SEARCH("bond",LOWER(F1271&amp;" "&amp;H1271&amp;" "&amp;I1271&amp;" "&amp;M1271&amp;" "&amp;N1271&amp;" "&amp;T1271))),ISNUMBER(SEARCH("transaction",LOWER(F1271&amp;" "&amp;H1271&amp;" "&amp;I1271&amp;" "&amp;M1271&amp;" "&amp;N1271&amp;" "&amp;T1271)))),"PRIVATE_REVIEW","PUBLIC_CANDIDATE"))</x:f>
        <x:v>PUBLIC_CANDIDATE</x:v>
      </x:c>
      <x:c r="AD1271" s="12" t="str">
        <x:f>IF(AC1271="PRIVATE_QUARANTINE","hacker_or_bank_trigger",IF(AC1271="PRIVATE_REVIEW","finance_risk_trigger","none"))</x:f>
        <x:v>none</x:v>
      </x:c>
      <x:c r="AE1271" s="12" t="str">
        <x:f>IF(AC1271="PUBLIC_CANDIDATE","prepare_public_github_candidate",IF(AC1271="PRIVATE_REVIEW","hold_for_private_review","quarantine_private_do_not_publish"))</x:f>
        <x:v>prepare_public_github_candidate</x:v>
      </x:c>
      <x:c r="AF1271" s="12" t="str">
        <x:f>IF(AC1271="PUBLIC_CANDIDATE","TIDELOCK + Lucerna",IF(AC1271="PRIVATE_REVIEW","AtlasBrain + Lucerna","TIDELOCK + Lucerna + Human-root"))</x:f>
        <x:v>TIDELOCK + Lucerna</x:v>
      </x:c>
      <x:c r="AG1271" s="12" t="str">
        <x:f>IF(AND(AC1271="PUBLIC_CANDIDATE",U1271&lt;&gt;"BLOCKED_PENDING_RECEIPT"),"READY_AFTER_RECEIPT","NOT_READY")</x:f>
        <x:v>NOT_READY</x:v>
      </x:c>
      <x:c r="AH1271" s="12" t="str">
        <x:f>IF(AC1271="PUBLIC_CANDIDATE","none",AD1271)</x:f>
        <x:v>none</x:v>
      </x:c>
      <x:c r="AI1271" s="12" t="str">
        <x:f>IF(AC1271="PUBLIC_CANDIDATE","archive/public_candidates/"&amp;A1271,"private_quarantine/"&amp;A1271)</x:f>
        <x:v>archive/public_candidates/SWARM-09-H10-S10</x:v>
      </x:c>
      <x:c r="AJ1271" s="12" t="str">
        <x:f>IF(AC1271="PUBLIC_CANDIDATE","public by default; still not canon","private/hold; do not publish")</x:f>
        <x:v>public by default; still not canon</x:v>
      </x:c>
      <x:c r="AK1271" s="12" t="str">
        <x:f>IF(AE1271="prepare_public_github_candidate","add receipt/status then mirror","resolve blocker before any public GitHub action")</x:f>
        <x:v>add receipt/status then mirror</x:v>
      </x:c>
    </x:row>
    <x:row r="1272">
      <x:c r="A1272" s="15" t="str">
        <x:v>SWARM-09-H10-S11</x:v>
      </x:c>
      <x:c r="B1272" s="15" t="str">
        <x:v>NotionMoth</x:v>
      </x:c>
      <x:c r="C1272" s="15" t="str">
        <x:v>Notion ontology mapper</x:v>
      </x:c>
      <x:c r="D1272" s="15" t="str">
        <x:v>GitHub Source Packets</x:v>
      </x:c>
      <x:c r="E1272" s="15" t="str">
        <x:v>Automation</x:v>
      </x:c>
      <x:c r="F1272" s="15" t="str">
        <x:v>Build source packet for Automation — NotionMoth</x:v>
      </x:c>
      <x:c r="G1272" s="15" t="str">
        <x:v>legacy schema / Notion export prep</x:v>
      </x:c>
      <x:c r="H1272" s="15" t="str">
        <x:v>source path + receipt + raw/export status + claim/edge/risk delta</x:v>
      </x:c>
      <x:c r="I1272" s="15" t="str">
        <x:v>packet/SWARM-09-H10-S11</x:v>
      </x:c>
      <x:c r="J1272" s="15" t="str">
        <x:v>TODO</x:v>
      </x:c>
      <x:c r="K1272" s="15" t="str">
        <x:v>P2</x:v>
      </x:c>
      <x:c r="L1272" s="15" t="str">
        <x:v>Done only when evidence is logged, contradiction search is noted, and boundary stamp remains non-canon unless ratified</x:v>
      </x:c>
      <x:c r="M1272" s="15" t="str">
        <x:v>candidate / staging-only / not canon / not deployed / authority none</x:v>
      </x:c>
      <x:c r="N1272" s="15" t="str">
        <x:v>Dispatch to NotionMoth: complete GitHub Source Packets x Automation; return deltas only, receipts required.</x:v>
      </x:c>
      <x:c r="O1272" s="15" t="str">
        <x:v>AF-KG-H10-S11</x:v>
      </x:c>
      <x:c r="P1272" s="15" t="str">
        <x:v>Unverified</x:v>
      </x:c>
      <x:c r="Q1272" s="15" t="str">
        <x:v>Not checked</x:v>
      </x:c>
      <x:c r="R1272" s="15" t="str"/>
      <x:c r="S1272" s="15" t="str"/>
      <x:c r="T1272" s="15" t="str">
        <x:v>Log first source path or blocker</x:v>
      </x:c>
      <x:c r="U1272" s="12" t="str">
        <x:f>IF(OR(P1272="Unverified",Q1272="Not checked"),"BLOCKED_PENDING_RECEIPT","READY_FOR_REVIEW")</x:f>
        <x:v>BLOCKED_PENDING_RECEIPT</x:v>
      </x:c>
      <x:c r="V1272" s="12" t="str">
        <x:f>IF(J1272="DONE","RETURNED",IF(U1272="BLOCKED_PENDING_RECEIPT","SOURCE_TOUCH_REQUIRED","IN_PROGRESS"))</x:f>
        <x:v>SOURCE_TOUCH_REQUIRED</x:v>
      </x:c>
      <x:c r="W1272" s="12" t="str">
        <x:f>IF(P1272="Unverified","missing_receipt","receipt_logged")</x:f>
        <x:v>missing_receipt</x:v>
      </x:c>
      <x:c r="X1272" s="12" t="str">
        <x:f>IF(Q1272="Not checked","raw_status_missing","raw_status_logged")</x:f>
        <x:v>raw_status_missing</x:v>
      </x:c>
      <x:c r="Y1272" s="12" t="str">
        <x:f>IF(U1272="BLOCKED_PENDING_RECEIPT","Log source path or blocker; do not promote","Route to review lane")</x:f>
        <x:v>Log source path or blocker; do not promote</x:v>
      </x:c>
      <x:c r="Z1272" s="12" t="str">
        <x:f>IF(K1272="P0","Primary seat + Hashlight/Lucerna","Seat lane")</x:f>
        <x:v>Seat lane</x:v>
      </x:c>
      <x:c r="AA1272" s="12" t="str">
        <x:f>IF(R1272="","no_claim_delta","claim_delta_present")</x:f>
        <x:v>no_claim_delta</x:v>
      </x:c>
      <x:c r="AB1272" s="12" t="str">
        <x:f>IF(S1272="","no_contradiction_delta","contradiction_delta_present")</x:f>
        <x:v>no_contradiction_delta</x:v>
      </x:c>
      <x:c r="AC1272" s="12" t="str">
        <x:f>IF(OR(ISNUMBER(SEARCH("hacker",LOWER(F1272&amp;" "&amp;H1272&amp;" "&amp;I1272&amp;" "&amp;M1272&amp;" "&amp;N1272&amp;" "&amp;T1272))),ISNUMBER(SEARCH("hacking",LOWER(F1272&amp;" "&amp;H1272&amp;" "&amp;I1272&amp;" "&amp;M1272&amp;" "&amp;N1272&amp;" "&amp;T1272))),ISNUMBER(SEARCH("bank",LOWER(F1272&amp;" "&amp;H1272&amp;" "&amp;I1272&amp;" "&amp;M1272&amp;" "&amp;N1272&amp;" "&amp;T1272))),ISNUMBER(SEARCH("banking",LOWER(F1272&amp;" "&amp;H1272&amp;" "&amp;I1272&amp;" "&amp;M1272&amp;" "&amp;N1272&amp;" "&amp;T1272)))),"PRIVATE_QUARANTINE",IF(OR(ISNUMBER(SEARCH("treasury",LOWER(F1272&amp;" "&amp;H1272&amp;" "&amp;I1272&amp;" "&amp;M1272&amp;" "&amp;N1272&amp;" "&amp;T1272))),ISNUMBER(SEARCH("debt",LOWER(F1272&amp;" "&amp;H1272&amp;" "&amp;I1272&amp;" "&amp;M1272&amp;" "&amp;N1272&amp;" "&amp;T1272))),ISNUMBER(SEARCH("bond",LOWER(F1272&amp;" "&amp;H1272&amp;" "&amp;I1272&amp;" "&amp;M1272&amp;" "&amp;N1272&amp;" "&amp;T1272))),ISNUMBER(SEARCH("transaction",LOWER(F1272&amp;" "&amp;H1272&amp;" "&amp;I1272&amp;" "&amp;M1272&amp;" "&amp;N1272&amp;" "&amp;T1272)))),"PRIVATE_REVIEW","PUBLIC_CANDIDATE"))</x:f>
        <x:v>PUBLIC_CANDIDATE</x:v>
      </x:c>
      <x:c r="AD1272" s="12" t="str">
        <x:f>IF(AC1272="PRIVATE_QUARANTINE","hacker_or_bank_trigger",IF(AC1272="PRIVATE_REVIEW","finance_risk_trigger","none"))</x:f>
        <x:v>none</x:v>
      </x:c>
      <x:c r="AE1272" s="12" t="str">
        <x:f>IF(AC1272="PUBLIC_CANDIDATE","prepare_public_github_candidate",IF(AC1272="PRIVATE_REVIEW","hold_for_private_review","quarantine_private_do_not_publish"))</x:f>
        <x:v>prepare_public_github_candidate</x:v>
      </x:c>
      <x:c r="AF1272" s="12" t="str">
        <x:f>IF(AC1272="PUBLIC_CANDIDATE","TIDELOCK + Lucerna",IF(AC1272="PRIVATE_REVIEW","AtlasBrain + Lucerna","TIDELOCK + Lucerna + Human-root"))</x:f>
        <x:v>TIDELOCK + Lucerna</x:v>
      </x:c>
      <x:c r="AG1272" s="12" t="str">
        <x:f>IF(AND(AC1272="PUBLIC_CANDIDATE",U1272&lt;&gt;"BLOCKED_PENDING_RECEIPT"),"READY_AFTER_RECEIPT","NOT_READY")</x:f>
        <x:v>NOT_READY</x:v>
      </x:c>
      <x:c r="AH1272" s="12" t="str">
        <x:f>IF(AC1272="PUBLIC_CANDIDATE","none",AD1272)</x:f>
        <x:v>none</x:v>
      </x:c>
      <x:c r="AI1272" s="12" t="str">
        <x:f>IF(AC1272="PUBLIC_CANDIDATE","archive/public_candidates/"&amp;A1272,"private_quarantine/"&amp;A1272)</x:f>
        <x:v>archive/public_candidates/SWARM-09-H10-S11</x:v>
      </x:c>
      <x:c r="AJ1272" s="12" t="str">
        <x:f>IF(AC1272="PUBLIC_CANDIDATE","public by default; still not canon","private/hold; do not publish")</x:f>
        <x:v>public by default; still not canon</x:v>
      </x:c>
      <x:c r="AK1272" s="12" t="str">
        <x:f>IF(AE1272="prepare_public_github_candidate","add receipt/status then mirror","resolve blocker before any public GitHub action")</x:f>
        <x:v>add receipt/status then mirror</x:v>
      </x:c>
    </x:row>
    <x:row r="1273">
      <x:c r="A1273" s="15" t="str">
        <x:v>SWARM-09-H10-S12</x:v>
      </x:c>
      <x:c r="B1273" s="15" t="str">
        <x:v>NotionMoth</x:v>
      </x:c>
      <x:c r="C1273" s="15" t="str">
        <x:v>Notion ontology mapper</x:v>
      </x:c>
      <x:c r="D1273" s="15" t="str">
        <x:v>GitHub Source Packets</x:v>
      </x:c>
      <x:c r="E1273" s="15" t="str">
        <x:v>Risk / Safety</x:v>
      </x:c>
      <x:c r="F1273" s="15" t="str">
        <x:v>Build source packet for Risk / Safety — NotionMoth</x:v>
      </x:c>
      <x:c r="G1273" s="15" t="str">
        <x:v>legacy schema / Notion export prep</x:v>
      </x:c>
      <x:c r="H1273" s="15" t="str">
        <x:v>source path + receipt + raw/export status + claim/edge/risk delta</x:v>
      </x:c>
      <x:c r="I1273" s="15" t="str">
        <x:v>packet/SWARM-09-H10-S12</x:v>
      </x:c>
      <x:c r="J1273" s="15" t="str">
        <x:v>TODO</x:v>
      </x:c>
      <x:c r="K1273" s="15" t="str">
        <x:v>P2</x:v>
      </x:c>
      <x:c r="L1273" s="15" t="str">
        <x:v>Done only when evidence is logged, contradiction search is noted, and boundary stamp remains non-canon unless ratified</x:v>
      </x:c>
      <x:c r="M1273" s="15" t="str">
        <x:v>candidate / staging-only / not canon / not deployed / authority none</x:v>
      </x:c>
      <x:c r="N1273" s="15" t="str">
        <x:v>Dispatch to NotionMoth: complete GitHub Source Packets x Risk / Safety; return deltas only, receipts required.</x:v>
      </x:c>
      <x:c r="O1273" s="15" t="str">
        <x:v>AF-KG-H10-S12</x:v>
      </x:c>
      <x:c r="P1273" s="15" t="str">
        <x:v>Unverified</x:v>
      </x:c>
      <x:c r="Q1273" s="15" t="str">
        <x:v>Not checked</x:v>
      </x:c>
      <x:c r="R1273" s="15" t="str"/>
      <x:c r="S1273" s="15" t="str"/>
      <x:c r="T1273" s="15" t="str">
        <x:v>Log first source path or blocker</x:v>
      </x:c>
      <x:c r="U1273" s="12" t="str">
        <x:f>IF(OR(P1273="Unverified",Q1273="Not checked"),"BLOCKED_PENDING_RECEIPT","READY_FOR_REVIEW")</x:f>
        <x:v>BLOCKED_PENDING_RECEIPT</x:v>
      </x:c>
      <x:c r="V1273" s="12" t="str">
        <x:f>IF(J1273="DONE","RETURNED",IF(U1273="BLOCKED_PENDING_RECEIPT","SOURCE_TOUCH_REQUIRED","IN_PROGRESS"))</x:f>
        <x:v>SOURCE_TOUCH_REQUIRED</x:v>
      </x:c>
      <x:c r="W1273" s="12" t="str">
        <x:f>IF(P1273="Unverified","missing_receipt","receipt_logged")</x:f>
        <x:v>missing_receipt</x:v>
      </x:c>
      <x:c r="X1273" s="12" t="str">
        <x:f>IF(Q1273="Not checked","raw_status_missing","raw_status_logged")</x:f>
        <x:v>raw_status_missing</x:v>
      </x:c>
      <x:c r="Y1273" s="12" t="str">
        <x:f>IF(U1273="BLOCKED_PENDING_RECEIPT","Log source path or blocker; do not promote","Route to review lane")</x:f>
        <x:v>Log source path or blocker; do not promote</x:v>
      </x:c>
      <x:c r="Z1273" s="12" t="str">
        <x:f>IF(K1273="P0","Primary seat + Hashlight/Lucerna","Seat lane")</x:f>
        <x:v>Seat lane</x:v>
      </x:c>
      <x:c r="AA1273" s="12" t="str">
        <x:f>IF(R1273="","no_claim_delta","claim_delta_present")</x:f>
        <x:v>no_claim_delta</x:v>
      </x:c>
      <x:c r="AB1273" s="12" t="str">
        <x:f>IF(S1273="","no_contradiction_delta","contradiction_delta_present")</x:f>
        <x:v>no_contradiction_delta</x:v>
      </x:c>
      <x:c r="AC1273" s="12" t="str">
        <x:f>IF(OR(ISNUMBER(SEARCH("hacker",LOWER(F1273&amp;" "&amp;H1273&amp;" "&amp;I1273&amp;" "&amp;M1273&amp;" "&amp;N1273&amp;" "&amp;T1273))),ISNUMBER(SEARCH("hacking",LOWER(F1273&amp;" "&amp;H1273&amp;" "&amp;I1273&amp;" "&amp;M1273&amp;" "&amp;N1273&amp;" "&amp;T1273))),ISNUMBER(SEARCH("bank",LOWER(F1273&amp;" "&amp;H1273&amp;" "&amp;I1273&amp;" "&amp;M1273&amp;" "&amp;N1273&amp;" "&amp;T1273))),ISNUMBER(SEARCH("banking",LOWER(F1273&amp;" "&amp;H1273&amp;" "&amp;I1273&amp;" "&amp;M1273&amp;" "&amp;N1273&amp;" "&amp;T1273)))),"PRIVATE_QUARANTINE",IF(OR(ISNUMBER(SEARCH("treasury",LOWER(F1273&amp;" "&amp;H1273&amp;" "&amp;I1273&amp;" "&amp;M1273&amp;" "&amp;N1273&amp;" "&amp;T1273))),ISNUMBER(SEARCH("debt",LOWER(F1273&amp;" "&amp;H1273&amp;" "&amp;I1273&amp;" "&amp;M1273&amp;" "&amp;N1273&amp;" "&amp;T1273))),ISNUMBER(SEARCH("bond",LOWER(F1273&amp;" "&amp;H1273&amp;" "&amp;I1273&amp;" "&amp;M1273&amp;" "&amp;N1273&amp;" "&amp;T1273))),ISNUMBER(SEARCH("transaction",LOWER(F1273&amp;" "&amp;H1273&amp;" "&amp;I1273&amp;" "&amp;M1273&amp;" "&amp;N1273&amp;" "&amp;T1273)))),"PRIVATE_REVIEW","PUBLIC_CANDIDATE"))</x:f>
        <x:v>PUBLIC_CANDIDATE</x:v>
      </x:c>
      <x:c r="AD1273" s="12" t="str">
        <x:f>IF(AC1273="PRIVATE_QUARANTINE","hacker_or_bank_trigger",IF(AC1273="PRIVATE_REVIEW","finance_risk_trigger","none"))</x:f>
        <x:v>none</x:v>
      </x:c>
      <x:c r="AE1273" s="12" t="str">
        <x:f>IF(AC1273="PUBLIC_CANDIDATE","prepare_public_github_candidate",IF(AC1273="PRIVATE_REVIEW","hold_for_private_review","quarantine_private_do_not_publish"))</x:f>
        <x:v>prepare_public_github_candidate</x:v>
      </x:c>
      <x:c r="AF1273" s="12" t="str">
        <x:f>IF(AC1273="PUBLIC_CANDIDATE","TIDELOCK + Lucerna",IF(AC1273="PRIVATE_REVIEW","AtlasBrain + Lucerna","TIDELOCK + Lucerna + Human-root"))</x:f>
        <x:v>TIDELOCK + Lucerna</x:v>
      </x:c>
      <x:c r="AG1273" s="12" t="str">
        <x:f>IF(AND(AC1273="PUBLIC_CANDIDATE",U1273&lt;&gt;"BLOCKED_PENDING_RECEIPT"),"READY_AFTER_RECEIPT","NOT_READY")</x:f>
        <x:v>NOT_READY</x:v>
      </x:c>
      <x:c r="AH1273" s="12" t="str">
        <x:f>IF(AC1273="PUBLIC_CANDIDATE","none",AD1273)</x:f>
        <x:v>none</x:v>
      </x:c>
      <x:c r="AI1273" s="12" t="str">
        <x:f>IF(AC1273="PUBLIC_CANDIDATE","archive/public_candidates/"&amp;A1273,"private_quarantine/"&amp;A1273)</x:f>
        <x:v>archive/public_candidates/SWARM-09-H10-S12</x:v>
      </x:c>
      <x:c r="AJ1273" s="12" t="str">
        <x:f>IF(AC1273="PUBLIC_CANDIDATE","public by default; still not canon","private/hold; do not publish")</x:f>
        <x:v>public by default; still not canon</x:v>
      </x:c>
      <x:c r="AK1273" s="12" t="str">
        <x:f>IF(AE1273="prepare_public_github_candidate","add receipt/status then mirror","resolve blocker before any public GitHub action")</x:f>
        <x:v>add receipt/status then mirror</x:v>
      </x:c>
    </x:row>
    <x:row r="1274">
      <x:c r="A1274" s="15" t="str">
        <x:v>SWARM-09-H11-S01</x:v>
      </x:c>
      <x:c r="B1274" s="15" t="str">
        <x:v>NotionMoth</x:v>
      </x:c>
      <x:c r="C1274" s="15" t="str">
        <x:v>Notion ontology mapper</x:v>
      </x:c>
      <x:c r="D1274" s="15" t="str">
        <x:v>Aetherforge UX</x:v>
      </x:c>
      <x:c r="E1274" s="15" t="str">
        <x:v>Notion</x:v>
      </x:c>
      <x:c r="F1274" s="15" t="str">
        <x:v>Design quest card for Notion — NotionMoth</x:v>
      </x:c>
      <x:c r="G1274" s="15" t="str">
        <x:v>legacy schema / Notion export prep</x:v>
      </x:c>
      <x:c r="H1274" s="15" t="str">
        <x:v>source path + receipt + raw/export status + claim/edge/risk delta</x:v>
      </x:c>
      <x:c r="I1274" s="15" t="str">
        <x:v>packet/SWARM-09-H11-S01</x:v>
      </x:c>
      <x:c r="J1274" s="15" t="str">
        <x:v>TODO</x:v>
      </x:c>
      <x:c r="K1274" s="15" t="str">
        <x:v>P0</x:v>
      </x:c>
      <x:c r="L1274" s="15" t="str">
        <x:v>Done only when evidence is logged, contradiction search is noted, and boundary stamp remains non-canon unless ratified</x:v>
      </x:c>
      <x:c r="M1274" s="15" t="str">
        <x:v>candidate / staging-only / not canon / not deployed / authority none</x:v>
      </x:c>
      <x:c r="N1274" s="15" t="str">
        <x:v>Dispatch to NotionMoth: complete Aetherforge UX x Notion; return deltas only, receipts required.</x:v>
      </x:c>
      <x:c r="O1274" s="15" t="str">
        <x:v>AF-KG-H11-S01</x:v>
      </x:c>
      <x:c r="P1274" s="15" t="str">
        <x:v>Unverified</x:v>
      </x:c>
      <x:c r="Q1274" s="15" t="str">
        <x:v>Not checked</x:v>
      </x:c>
      <x:c r="R1274" s="15" t="str"/>
      <x:c r="S1274" s="15" t="str"/>
      <x:c r="T1274" s="15" t="str">
        <x:v>Log first source path or blocker</x:v>
      </x:c>
      <x:c r="U1274" s="12" t="str">
        <x:f>IF(OR(P1274="Unverified",Q1274="Not checked"),"BLOCKED_PENDING_RECEIPT","READY_FOR_REVIEW")</x:f>
        <x:v>BLOCKED_PENDING_RECEIPT</x:v>
      </x:c>
      <x:c r="V1274" s="12" t="str">
        <x:f>IF(J1274="DONE","RETURNED",IF(U1274="BLOCKED_PENDING_RECEIPT","SOURCE_TOUCH_REQUIRED","IN_PROGRESS"))</x:f>
        <x:v>SOURCE_TOUCH_REQUIRED</x:v>
      </x:c>
      <x:c r="W1274" s="12" t="str">
        <x:f>IF(P1274="Unverified","missing_receipt","receipt_logged")</x:f>
        <x:v>missing_receipt</x:v>
      </x:c>
      <x:c r="X1274" s="12" t="str">
        <x:f>IF(Q1274="Not checked","raw_status_missing","raw_status_logged")</x:f>
        <x:v>raw_status_missing</x:v>
      </x:c>
      <x:c r="Y1274" s="12" t="str">
        <x:f>IF(U1274="BLOCKED_PENDING_RECEIPT","Log source path or blocker; do not promote","Route to review lane")</x:f>
        <x:v>Log source path or blocker; do not promote</x:v>
      </x:c>
      <x:c r="Z1274" s="12" t="str">
        <x:f>IF(K1274="P0","Primary seat + Hashlight/Lucerna","Seat lane")</x:f>
        <x:v>Primary seat + Hashlight/Lucerna</x:v>
      </x:c>
      <x:c r="AA1274" s="12" t="str">
        <x:f>IF(R1274="","no_claim_delta","claim_delta_present")</x:f>
        <x:v>no_claim_delta</x:v>
      </x:c>
      <x:c r="AB1274" s="12" t="str">
        <x:f>IF(S1274="","no_contradiction_delta","contradiction_delta_present")</x:f>
        <x:v>no_contradiction_delta</x:v>
      </x:c>
      <x:c r="AC1274" s="12" t="str">
        <x:f>IF(OR(ISNUMBER(SEARCH("hacker",LOWER(F1274&amp;" "&amp;H1274&amp;" "&amp;I1274&amp;" "&amp;M1274&amp;" "&amp;N1274&amp;" "&amp;T1274))),ISNUMBER(SEARCH("hacking",LOWER(F1274&amp;" "&amp;H1274&amp;" "&amp;I1274&amp;" "&amp;M1274&amp;" "&amp;N1274&amp;" "&amp;T1274))),ISNUMBER(SEARCH("bank",LOWER(F1274&amp;" "&amp;H1274&amp;" "&amp;I1274&amp;" "&amp;M1274&amp;" "&amp;N1274&amp;" "&amp;T1274))),ISNUMBER(SEARCH("banking",LOWER(F1274&amp;" "&amp;H1274&amp;" "&amp;I1274&amp;" "&amp;M1274&amp;" "&amp;N1274&amp;" "&amp;T1274)))),"PRIVATE_QUARANTINE",IF(OR(ISNUMBER(SEARCH("treasury",LOWER(F1274&amp;" "&amp;H1274&amp;" "&amp;I1274&amp;" "&amp;M1274&amp;" "&amp;N1274&amp;" "&amp;T1274))),ISNUMBER(SEARCH("debt",LOWER(F1274&amp;" "&amp;H1274&amp;" "&amp;I1274&amp;" "&amp;M1274&amp;" "&amp;N1274&amp;" "&amp;T1274))),ISNUMBER(SEARCH("bond",LOWER(F1274&amp;" "&amp;H1274&amp;" "&amp;I1274&amp;" "&amp;M1274&amp;" "&amp;N1274&amp;" "&amp;T1274))),ISNUMBER(SEARCH("transaction",LOWER(F1274&amp;" "&amp;H1274&amp;" "&amp;I1274&amp;" "&amp;M1274&amp;" "&amp;N1274&amp;" "&amp;T1274)))),"PRIVATE_REVIEW","PUBLIC_CANDIDATE"))</x:f>
        <x:v>PUBLIC_CANDIDATE</x:v>
      </x:c>
      <x:c r="AD1274" s="12" t="str">
        <x:f>IF(AC1274="PRIVATE_QUARANTINE","hacker_or_bank_trigger",IF(AC1274="PRIVATE_REVIEW","finance_risk_trigger","none"))</x:f>
        <x:v>none</x:v>
      </x:c>
      <x:c r="AE1274" s="12" t="str">
        <x:f>IF(AC1274="PUBLIC_CANDIDATE","prepare_public_github_candidate",IF(AC1274="PRIVATE_REVIEW","hold_for_private_review","quarantine_private_do_not_publish"))</x:f>
        <x:v>prepare_public_github_candidate</x:v>
      </x:c>
      <x:c r="AF1274" s="12" t="str">
        <x:f>IF(AC1274="PUBLIC_CANDIDATE","TIDELOCK + Lucerna",IF(AC1274="PRIVATE_REVIEW","AtlasBrain + Lucerna","TIDELOCK + Lucerna + Human-root"))</x:f>
        <x:v>TIDELOCK + Lucerna</x:v>
      </x:c>
      <x:c r="AG1274" s="12" t="str">
        <x:f>IF(AND(AC1274="PUBLIC_CANDIDATE",U1274&lt;&gt;"BLOCKED_PENDING_RECEIPT"),"READY_AFTER_RECEIPT","NOT_READY")</x:f>
        <x:v>NOT_READY</x:v>
      </x:c>
      <x:c r="AH1274" s="12" t="str">
        <x:f>IF(AC1274="PUBLIC_CANDIDATE","none",AD1274)</x:f>
        <x:v>none</x:v>
      </x:c>
      <x:c r="AI1274" s="12" t="str">
        <x:f>IF(AC1274="PUBLIC_CANDIDATE","archive/public_candidates/"&amp;A1274,"private_quarantine/"&amp;A1274)</x:f>
        <x:v>archive/public_candidates/SWARM-09-H11-S01</x:v>
      </x:c>
      <x:c r="AJ1274" s="12" t="str">
        <x:f>IF(AC1274="PUBLIC_CANDIDATE","public by default; still not canon","private/hold; do not publish")</x:f>
        <x:v>public by default; still not canon</x:v>
      </x:c>
      <x:c r="AK1274" s="12" t="str">
        <x:f>IF(AE1274="prepare_public_github_candidate","add receipt/status then mirror","resolve blocker before any public GitHub action")</x:f>
        <x:v>add receipt/status then mirror</x:v>
      </x:c>
    </x:row>
    <x:row r="1275">
      <x:c r="A1275" s="15" t="str">
        <x:v>SWARM-09-H11-S02</x:v>
      </x:c>
      <x:c r="B1275" s="15" t="str">
        <x:v>NotionMoth</x:v>
      </x:c>
      <x:c r="C1275" s="15" t="str">
        <x:v>Notion ontology mapper</x:v>
      </x:c>
      <x:c r="D1275" s="15" t="str">
        <x:v>Aetherforge UX</x:v>
      </x:c>
      <x:c r="E1275" s="15" t="str">
        <x:v>Drive</x:v>
      </x:c>
      <x:c r="F1275" s="15" t="str">
        <x:v>Design quest card for Drive — NotionMoth</x:v>
      </x:c>
      <x:c r="G1275" s="15" t="str">
        <x:v>legacy schema / Notion export prep</x:v>
      </x:c>
      <x:c r="H1275" s="15" t="str">
        <x:v>source path + receipt + raw/export status + claim/edge/risk delta</x:v>
      </x:c>
      <x:c r="I1275" s="15" t="str">
        <x:v>packet/SWARM-09-H11-S02</x:v>
      </x:c>
      <x:c r="J1275" s="15" t="str">
        <x:v>TODO</x:v>
      </x:c>
      <x:c r="K1275" s="15" t="str">
        <x:v>P0</x:v>
      </x:c>
      <x:c r="L1275" s="15" t="str">
        <x:v>Done only when evidence is logged, contradiction search is noted, and boundary stamp remains non-canon unless ratified</x:v>
      </x:c>
      <x:c r="M1275" s="15" t="str">
        <x:v>candidate / staging-only / not canon / not deployed / authority none</x:v>
      </x:c>
      <x:c r="N1275" s="15" t="str">
        <x:v>Dispatch to NotionMoth: complete Aetherforge UX x Drive; return deltas only, receipts required.</x:v>
      </x:c>
      <x:c r="O1275" s="15" t="str">
        <x:v>AF-KG-H11-S02</x:v>
      </x:c>
      <x:c r="P1275" s="15" t="str">
        <x:v>Unverified</x:v>
      </x:c>
      <x:c r="Q1275" s="15" t="str">
        <x:v>Not checked</x:v>
      </x:c>
      <x:c r="R1275" s="15" t="str"/>
      <x:c r="S1275" s="15" t="str"/>
      <x:c r="T1275" s="15" t="str">
        <x:v>Log first source path or blocker</x:v>
      </x:c>
      <x:c r="U1275" s="12" t="str">
        <x:f>IF(OR(P1275="Unverified",Q1275="Not checked"),"BLOCKED_PENDING_RECEIPT","READY_FOR_REVIEW")</x:f>
        <x:v>BLOCKED_PENDING_RECEIPT</x:v>
      </x:c>
      <x:c r="V1275" s="12" t="str">
        <x:f>IF(J1275="DONE","RETURNED",IF(U1275="BLOCKED_PENDING_RECEIPT","SOURCE_TOUCH_REQUIRED","IN_PROGRESS"))</x:f>
        <x:v>SOURCE_TOUCH_REQUIRED</x:v>
      </x:c>
      <x:c r="W1275" s="12" t="str">
        <x:f>IF(P1275="Unverified","missing_receipt","receipt_logged")</x:f>
        <x:v>missing_receipt</x:v>
      </x:c>
      <x:c r="X1275" s="12" t="str">
        <x:f>IF(Q1275="Not checked","raw_status_missing","raw_status_logged")</x:f>
        <x:v>raw_status_missing</x:v>
      </x:c>
      <x:c r="Y1275" s="12" t="str">
        <x:f>IF(U1275="BLOCKED_PENDING_RECEIPT","Log source path or blocker; do not promote","Route to review lane")</x:f>
        <x:v>Log source path or blocker; do not promote</x:v>
      </x:c>
      <x:c r="Z1275" s="12" t="str">
        <x:f>IF(K1275="P0","Primary seat + Hashlight/Lucerna","Seat lane")</x:f>
        <x:v>Primary seat + Hashlight/Lucerna</x:v>
      </x:c>
      <x:c r="AA1275" s="12" t="str">
        <x:f>IF(R1275="","no_claim_delta","claim_delta_present")</x:f>
        <x:v>no_claim_delta</x:v>
      </x:c>
      <x:c r="AB1275" s="12" t="str">
        <x:f>IF(S1275="","no_contradiction_delta","contradiction_delta_present")</x:f>
        <x:v>no_contradiction_delta</x:v>
      </x:c>
      <x:c r="AC1275" s="12" t="str">
        <x:f>IF(OR(ISNUMBER(SEARCH("hacker",LOWER(F1275&amp;" "&amp;H1275&amp;" "&amp;I1275&amp;" "&amp;M1275&amp;" "&amp;N1275&amp;" "&amp;T1275))),ISNUMBER(SEARCH("hacking",LOWER(F1275&amp;" "&amp;H1275&amp;" "&amp;I1275&amp;" "&amp;M1275&amp;" "&amp;N1275&amp;" "&amp;T1275))),ISNUMBER(SEARCH("bank",LOWER(F1275&amp;" "&amp;H1275&amp;" "&amp;I1275&amp;" "&amp;M1275&amp;" "&amp;N1275&amp;" "&amp;T1275))),ISNUMBER(SEARCH("banking",LOWER(F1275&amp;" "&amp;H1275&amp;" "&amp;I1275&amp;" "&amp;M1275&amp;" "&amp;N1275&amp;" "&amp;T1275)))),"PRIVATE_QUARANTINE",IF(OR(ISNUMBER(SEARCH("treasury",LOWER(F1275&amp;" "&amp;H1275&amp;" "&amp;I1275&amp;" "&amp;M1275&amp;" "&amp;N1275&amp;" "&amp;T1275))),ISNUMBER(SEARCH("debt",LOWER(F1275&amp;" "&amp;H1275&amp;" "&amp;I1275&amp;" "&amp;M1275&amp;" "&amp;N1275&amp;" "&amp;T1275))),ISNUMBER(SEARCH("bond",LOWER(F1275&amp;" "&amp;H1275&amp;" "&amp;I1275&amp;" "&amp;M1275&amp;" "&amp;N1275&amp;" "&amp;T1275))),ISNUMBER(SEARCH("transaction",LOWER(F1275&amp;" "&amp;H1275&amp;" "&amp;I1275&amp;" "&amp;M1275&amp;" "&amp;N1275&amp;" "&amp;T1275)))),"PRIVATE_REVIEW","PUBLIC_CANDIDATE"))</x:f>
        <x:v>PUBLIC_CANDIDATE</x:v>
      </x:c>
      <x:c r="AD1275" s="12" t="str">
        <x:f>IF(AC1275="PRIVATE_QUARANTINE","hacker_or_bank_trigger",IF(AC1275="PRIVATE_REVIEW","finance_risk_trigger","none"))</x:f>
        <x:v>none</x:v>
      </x:c>
      <x:c r="AE1275" s="12" t="str">
        <x:f>IF(AC1275="PUBLIC_CANDIDATE","prepare_public_github_candidate",IF(AC1275="PRIVATE_REVIEW","hold_for_private_review","quarantine_private_do_not_publish"))</x:f>
        <x:v>prepare_public_github_candidate</x:v>
      </x:c>
      <x:c r="AF1275" s="12" t="str">
        <x:f>IF(AC1275="PUBLIC_CANDIDATE","TIDELOCK + Lucerna",IF(AC1275="PRIVATE_REVIEW","AtlasBrain + Lucerna","TIDELOCK + Lucerna + Human-root"))</x:f>
        <x:v>TIDELOCK + Lucerna</x:v>
      </x:c>
      <x:c r="AG1275" s="12" t="str">
        <x:f>IF(AND(AC1275="PUBLIC_CANDIDATE",U1275&lt;&gt;"BLOCKED_PENDING_RECEIPT"),"READY_AFTER_RECEIPT","NOT_READY")</x:f>
        <x:v>NOT_READY</x:v>
      </x:c>
      <x:c r="AH1275" s="12" t="str">
        <x:f>IF(AC1275="PUBLIC_CANDIDATE","none",AD1275)</x:f>
        <x:v>none</x:v>
      </x:c>
      <x:c r="AI1275" s="12" t="str">
        <x:f>IF(AC1275="PUBLIC_CANDIDATE","archive/public_candidates/"&amp;A1275,"private_quarantine/"&amp;A1275)</x:f>
        <x:v>archive/public_candidates/SWARM-09-H11-S02</x:v>
      </x:c>
      <x:c r="AJ1275" s="12" t="str">
        <x:f>IF(AC1275="PUBLIC_CANDIDATE","public by default; still not canon","private/hold; do not publish")</x:f>
        <x:v>public by default; still not canon</x:v>
      </x:c>
      <x:c r="AK1275" s="12" t="str">
        <x:f>IF(AE1275="prepare_public_github_candidate","add receipt/status then mirror","resolve blocker before any public GitHub action")</x:f>
        <x:v>add receipt/status then mirror</x:v>
      </x:c>
    </x:row>
    <x:row r="1276">
      <x:c r="A1276" s="15" t="str">
        <x:v>SWARM-09-H11-S03</x:v>
      </x:c>
      <x:c r="B1276" s="15" t="str">
        <x:v>NotionMoth</x:v>
      </x:c>
      <x:c r="C1276" s="15" t="str">
        <x:v>Notion ontology mapper</x:v>
      </x:c>
      <x:c r="D1276" s="15" t="str">
        <x:v>Aetherforge UX</x:v>
      </x:c>
      <x:c r="E1276" s="15" t="str">
        <x:v>GitHub</x:v>
      </x:c>
      <x:c r="F1276" s="15" t="str">
        <x:v>Design quest card for GitHub — NotionMoth</x:v>
      </x:c>
      <x:c r="G1276" s="15" t="str">
        <x:v>legacy schema / Notion export prep</x:v>
      </x:c>
      <x:c r="H1276" s="15" t="str">
        <x:v>source path + receipt + raw/export status + claim/edge/risk delta</x:v>
      </x:c>
      <x:c r="I1276" s="15" t="str">
        <x:v>packet/SWARM-09-H11-S03</x:v>
      </x:c>
      <x:c r="J1276" s="15" t="str">
        <x:v>TODO</x:v>
      </x:c>
      <x:c r="K1276" s="15" t="str">
        <x:v>P0</x:v>
      </x:c>
      <x:c r="L1276" s="15" t="str">
        <x:v>Done only when evidence is logged, contradiction search is noted, and boundary stamp remains non-canon unless ratified</x:v>
      </x:c>
      <x:c r="M1276" s="15" t="str">
        <x:v>candidate / staging-only / not canon / not deployed / authority none</x:v>
      </x:c>
      <x:c r="N1276" s="15" t="str">
        <x:v>Dispatch to NotionMoth: complete Aetherforge UX x GitHub; return deltas only, receipts required.</x:v>
      </x:c>
      <x:c r="O1276" s="15" t="str">
        <x:v>AF-KG-H11-S03</x:v>
      </x:c>
      <x:c r="P1276" s="15" t="str">
        <x:v>Unverified</x:v>
      </x:c>
      <x:c r="Q1276" s="15" t="str">
        <x:v>Not checked</x:v>
      </x:c>
      <x:c r="R1276" s="15" t="str"/>
      <x:c r="S1276" s="15" t="str"/>
      <x:c r="T1276" s="15" t="str">
        <x:v>Log first source path or blocker</x:v>
      </x:c>
      <x:c r="U1276" s="12" t="str">
        <x:f>IF(OR(P1276="Unverified",Q1276="Not checked"),"BLOCKED_PENDING_RECEIPT","READY_FOR_REVIEW")</x:f>
        <x:v>BLOCKED_PENDING_RECEIPT</x:v>
      </x:c>
      <x:c r="V1276" s="12" t="str">
        <x:f>IF(J1276="DONE","RETURNED",IF(U1276="BLOCKED_PENDING_RECEIPT","SOURCE_TOUCH_REQUIRED","IN_PROGRESS"))</x:f>
        <x:v>SOURCE_TOUCH_REQUIRED</x:v>
      </x:c>
      <x:c r="W1276" s="12" t="str">
        <x:f>IF(P1276="Unverified","missing_receipt","receipt_logged")</x:f>
        <x:v>missing_receipt</x:v>
      </x:c>
      <x:c r="X1276" s="12" t="str">
        <x:f>IF(Q1276="Not checked","raw_status_missing","raw_status_logged")</x:f>
        <x:v>raw_status_missing</x:v>
      </x:c>
      <x:c r="Y1276" s="12" t="str">
        <x:f>IF(U1276="BLOCKED_PENDING_RECEIPT","Log source path or blocker; do not promote","Route to review lane")</x:f>
        <x:v>Log source path or blocker; do not promote</x:v>
      </x:c>
      <x:c r="Z1276" s="12" t="str">
        <x:f>IF(K1276="P0","Primary seat + Hashlight/Lucerna","Seat lane")</x:f>
        <x:v>Primary seat + Hashlight/Lucerna</x:v>
      </x:c>
      <x:c r="AA1276" s="12" t="str">
        <x:f>IF(R1276="","no_claim_delta","claim_delta_present")</x:f>
        <x:v>no_claim_delta</x:v>
      </x:c>
      <x:c r="AB1276" s="12" t="str">
        <x:f>IF(S1276="","no_contradiction_delta","contradiction_delta_present")</x:f>
        <x:v>no_contradiction_delta</x:v>
      </x:c>
      <x:c r="AC1276" s="12" t="str">
        <x:f>IF(OR(ISNUMBER(SEARCH("hacker",LOWER(F1276&amp;" "&amp;H1276&amp;" "&amp;I1276&amp;" "&amp;M1276&amp;" "&amp;N1276&amp;" "&amp;T1276))),ISNUMBER(SEARCH("hacking",LOWER(F1276&amp;" "&amp;H1276&amp;" "&amp;I1276&amp;" "&amp;M1276&amp;" "&amp;N1276&amp;" "&amp;T1276))),ISNUMBER(SEARCH("bank",LOWER(F1276&amp;" "&amp;H1276&amp;" "&amp;I1276&amp;" "&amp;M1276&amp;" "&amp;N1276&amp;" "&amp;T1276))),ISNUMBER(SEARCH("banking",LOWER(F1276&amp;" "&amp;H1276&amp;" "&amp;I1276&amp;" "&amp;M1276&amp;" "&amp;N1276&amp;" "&amp;T1276)))),"PRIVATE_QUARANTINE",IF(OR(ISNUMBER(SEARCH("treasury",LOWER(F1276&amp;" "&amp;H1276&amp;" "&amp;I1276&amp;" "&amp;M1276&amp;" "&amp;N1276&amp;" "&amp;T1276))),ISNUMBER(SEARCH("debt",LOWER(F1276&amp;" "&amp;H1276&amp;" "&amp;I1276&amp;" "&amp;M1276&amp;" "&amp;N1276&amp;" "&amp;T1276))),ISNUMBER(SEARCH("bond",LOWER(F1276&amp;" "&amp;H1276&amp;" "&amp;I1276&amp;" "&amp;M1276&amp;" "&amp;N1276&amp;" "&amp;T1276))),ISNUMBER(SEARCH("transaction",LOWER(F1276&amp;" "&amp;H1276&amp;" "&amp;I1276&amp;" "&amp;M1276&amp;" "&amp;N1276&amp;" "&amp;T1276)))),"PRIVATE_REVIEW","PUBLIC_CANDIDATE"))</x:f>
        <x:v>PUBLIC_CANDIDATE</x:v>
      </x:c>
      <x:c r="AD1276" s="12" t="str">
        <x:f>IF(AC1276="PRIVATE_QUARANTINE","hacker_or_bank_trigger",IF(AC1276="PRIVATE_REVIEW","finance_risk_trigger","none"))</x:f>
        <x:v>none</x:v>
      </x:c>
      <x:c r="AE1276" s="12" t="str">
        <x:f>IF(AC1276="PUBLIC_CANDIDATE","prepare_public_github_candidate",IF(AC1276="PRIVATE_REVIEW","hold_for_private_review","quarantine_private_do_not_publish"))</x:f>
        <x:v>prepare_public_github_candidate</x:v>
      </x:c>
      <x:c r="AF1276" s="12" t="str">
        <x:f>IF(AC1276="PUBLIC_CANDIDATE","TIDELOCK + Lucerna",IF(AC1276="PRIVATE_REVIEW","AtlasBrain + Lucerna","TIDELOCK + Lucerna + Human-root"))</x:f>
        <x:v>TIDELOCK + Lucerna</x:v>
      </x:c>
      <x:c r="AG1276" s="12" t="str">
        <x:f>IF(AND(AC1276="PUBLIC_CANDIDATE",U1276&lt;&gt;"BLOCKED_PENDING_RECEIPT"),"READY_AFTER_RECEIPT","NOT_READY")</x:f>
        <x:v>NOT_READY</x:v>
      </x:c>
      <x:c r="AH1276" s="12" t="str">
        <x:f>IF(AC1276="PUBLIC_CANDIDATE","none",AD1276)</x:f>
        <x:v>none</x:v>
      </x:c>
      <x:c r="AI1276" s="12" t="str">
        <x:f>IF(AC1276="PUBLIC_CANDIDATE","archive/public_candidates/"&amp;A1276,"private_quarantine/"&amp;A1276)</x:f>
        <x:v>archive/public_candidates/SWARM-09-H11-S03</x:v>
      </x:c>
      <x:c r="AJ1276" s="12" t="str">
        <x:f>IF(AC1276="PUBLIC_CANDIDATE","public by default; still not canon","private/hold; do not publish")</x:f>
        <x:v>public by default; still not canon</x:v>
      </x:c>
      <x:c r="AK1276" s="12" t="str">
        <x:f>IF(AE1276="prepare_public_github_candidate","add receipt/status then mirror","resolve blocker before any public GitHub action")</x:f>
        <x:v>add receipt/status then mirror</x:v>
      </x:c>
    </x:row>
    <x:row r="1277">
      <x:c r="A1277" s="15" t="str">
        <x:v>SWARM-09-H11-S04</x:v>
      </x:c>
      <x:c r="B1277" s="15" t="str">
        <x:v>NotionMoth</x:v>
      </x:c>
      <x:c r="C1277" s="15" t="str">
        <x:v>Notion ontology mapper</x:v>
      </x:c>
      <x:c r="D1277" s="15" t="str">
        <x:v>Aetherforge UX</x:v>
      </x:c>
      <x:c r="E1277" s="15" t="str">
        <x:v>Gamma</x:v>
      </x:c>
      <x:c r="F1277" s="15" t="str">
        <x:v>Design quest card for Gamma — NotionMoth</x:v>
      </x:c>
      <x:c r="G1277" s="15" t="str">
        <x:v>legacy schema / Notion export prep</x:v>
      </x:c>
      <x:c r="H1277" s="15" t="str">
        <x:v>source path + receipt + raw/export status + claim/edge/risk delta</x:v>
      </x:c>
      <x:c r="I1277" s="15" t="str">
        <x:v>packet/SWARM-09-H11-S04</x:v>
      </x:c>
      <x:c r="J1277" s="15" t="str">
        <x:v>TODO</x:v>
      </x:c>
      <x:c r="K1277" s="15" t="str">
        <x:v>P1</x:v>
      </x:c>
      <x:c r="L1277" s="15" t="str">
        <x:v>Done only when evidence is logged, contradiction search is noted, and boundary stamp remains non-canon unless ratified</x:v>
      </x:c>
      <x:c r="M1277" s="15" t="str">
        <x:v>candidate / staging-only / not canon / not deployed / authority none</x:v>
      </x:c>
      <x:c r="N1277" s="15" t="str">
        <x:v>Dispatch to NotionMoth: complete Aetherforge UX x Gamma; return deltas only, receipts required.</x:v>
      </x:c>
      <x:c r="O1277" s="15" t="str">
        <x:v>AF-KG-H11-S04</x:v>
      </x:c>
      <x:c r="P1277" s="15" t="str">
        <x:v>Unverified</x:v>
      </x:c>
      <x:c r="Q1277" s="15" t="str">
        <x:v>Not checked</x:v>
      </x:c>
      <x:c r="R1277" s="15" t="str"/>
      <x:c r="S1277" s="15" t="str"/>
      <x:c r="T1277" s="15" t="str">
        <x:v>Log first source path or blocker</x:v>
      </x:c>
      <x:c r="U1277" s="12" t="str">
        <x:f>IF(OR(P1277="Unverified",Q1277="Not checked"),"BLOCKED_PENDING_RECEIPT","READY_FOR_REVIEW")</x:f>
        <x:v>BLOCKED_PENDING_RECEIPT</x:v>
      </x:c>
      <x:c r="V1277" s="12" t="str">
        <x:f>IF(J1277="DONE","RETURNED",IF(U1277="BLOCKED_PENDING_RECEIPT","SOURCE_TOUCH_REQUIRED","IN_PROGRESS"))</x:f>
        <x:v>SOURCE_TOUCH_REQUIRED</x:v>
      </x:c>
      <x:c r="W1277" s="12" t="str">
        <x:f>IF(P1277="Unverified","missing_receipt","receipt_logged")</x:f>
        <x:v>missing_receipt</x:v>
      </x:c>
      <x:c r="X1277" s="12" t="str">
        <x:f>IF(Q1277="Not checked","raw_status_missing","raw_status_logged")</x:f>
        <x:v>raw_status_missing</x:v>
      </x:c>
      <x:c r="Y1277" s="12" t="str">
        <x:f>IF(U1277="BLOCKED_PENDING_RECEIPT","Log source path or blocker; do not promote","Route to review lane")</x:f>
        <x:v>Log source path or blocker; do not promote</x:v>
      </x:c>
      <x:c r="Z1277" s="12" t="str">
        <x:f>IF(K1277="P0","Primary seat + Hashlight/Lucerna","Seat lane")</x:f>
        <x:v>Seat lane</x:v>
      </x:c>
      <x:c r="AA1277" s="12" t="str">
        <x:f>IF(R1277="","no_claim_delta","claim_delta_present")</x:f>
        <x:v>no_claim_delta</x:v>
      </x:c>
      <x:c r="AB1277" s="12" t="str">
        <x:f>IF(S1277="","no_contradiction_delta","contradiction_delta_present")</x:f>
        <x:v>no_contradiction_delta</x:v>
      </x:c>
      <x:c r="AC1277" s="12" t="str">
        <x:f>IF(OR(ISNUMBER(SEARCH("hacker",LOWER(F1277&amp;" "&amp;H1277&amp;" "&amp;I1277&amp;" "&amp;M1277&amp;" "&amp;N1277&amp;" "&amp;T1277))),ISNUMBER(SEARCH("hacking",LOWER(F1277&amp;" "&amp;H1277&amp;" "&amp;I1277&amp;" "&amp;M1277&amp;" "&amp;N1277&amp;" "&amp;T1277))),ISNUMBER(SEARCH("bank",LOWER(F1277&amp;" "&amp;H1277&amp;" "&amp;I1277&amp;" "&amp;M1277&amp;" "&amp;N1277&amp;" "&amp;T1277))),ISNUMBER(SEARCH("banking",LOWER(F1277&amp;" "&amp;H1277&amp;" "&amp;I1277&amp;" "&amp;M1277&amp;" "&amp;N1277&amp;" "&amp;T1277)))),"PRIVATE_QUARANTINE",IF(OR(ISNUMBER(SEARCH("treasury",LOWER(F1277&amp;" "&amp;H1277&amp;" "&amp;I1277&amp;" "&amp;M1277&amp;" "&amp;N1277&amp;" "&amp;T1277))),ISNUMBER(SEARCH("debt",LOWER(F1277&amp;" "&amp;H1277&amp;" "&amp;I1277&amp;" "&amp;M1277&amp;" "&amp;N1277&amp;" "&amp;T1277))),ISNUMBER(SEARCH("bond",LOWER(F1277&amp;" "&amp;H1277&amp;" "&amp;I1277&amp;" "&amp;M1277&amp;" "&amp;N1277&amp;" "&amp;T1277))),ISNUMBER(SEARCH("transaction",LOWER(F1277&amp;" "&amp;H1277&amp;" "&amp;I1277&amp;" "&amp;M1277&amp;" "&amp;N1277&amp;" "&amp;T1277)))),"PRIVATE_REVIEW","PUBLIC_CANDIDATE"))</x:f>
        <x:v>PUBLIC_CANDIDATE</x:v>
      </x:c>
      <x:c r="AD1277" s="12" t="str">
        <x:f>IF(AC1277="PRIVATE_QUARANTINE","hacker_or_bank_trigger",IF(AC1277="PRIVATE_REVIEW","finance_risk_trigger","none"))</x:f>
        <x:v>none</x:v>
      </x:c>
      <x:c r="AE1277" s="12" t="str">
        <x:f>IF(AC1277="PUBLIC_CANDIDATE","prepare_public_github_candidate",IF(AC1277="PRIVATE_REVIEW","hold_for_private_review","quarantine_private_do_not_publish"))</x:f>
        <x:v>prepare_public_github_candidate</x:v>
      </x:c>
      <x:c r="AF1277" s="12" t="str">
        <x:f>IF(AC1277="PUBLIC_CANDIDATE","TIDELOCK + Lucerna",IF(AC1277="PRIVATE_REVIEW","AtlasBrain + Lucerna","TIDELOCK + Lucerna + Human-root"))</x:f>
        <x:v>TIDELOCK + Lucerna</x:v>
      </x:c>
      <x:c r="AG1277" s="12" t="str">
        <x:f>IF(AND(AC1277="PUBLIC_CANDIDATE",U1277&lt;&gt;"BLOCKED_PENDING_RECEIPT"),"READY_AFTER_RECEIPT","NOT_READY")</x:f>
        <x:v>NOT_READY</x:v>
      </x:c>
      <x:c r="AH1277" s="12" t="str">
        <x:f>IF(AC1277="PUBLIC_CANDIDATE","none",AD1277)</x:f>
        <x:v>none</x:v>
      </x:c>
      <x:c r="AI1277" s="12" t="str">
        <x:f>IF(AC1277="PUBLIC_CANDIDATE","archive/public_candidates/"&amp;A1277,"private_quarantine/"&amp;A1277)</x:f>
        <x:v>archive/public_candidates/SWARM-09-H11-S04</x:v>
      </x:c>
      <x:c r="AJ1277" s="12" t="str">
        <x:f>IF(AC1277="PUBLIC_CANDIDATE","public by default; still not canon","private/hold; do not publish")</x:f>
        <x:v>public by default; still not canon</x:v>
      </x:c>
      <x:c r="AK1277" s="12" t="str">
        <x:f>IF(AE1277="prepare_public_github_candidate","add receipt/status then mirror","resolve blocker before any public GitHub action")</x:f>
        <x:v>add receipt/status then mirror</x:v>
      </x:c>
    </x:row>
    <x:row r="1278">
      <x:c r="A1278" s="15" t="str">
        <x:v>SWARM-09-H11-S05</x:v>
      </x:c>
      <x:c r="B1278" s="15" t="str">
        <x:v>NotionMoth</x:v>
      </x:c>
      <x:c r="C1278" s="15" t="str">
        <x:v>Notion ontology mapper</x:v>
      </x:c>
      <x:c r="D1278" s="15" t="str">
        <x:v>Aetherforge UX</x:v>
      </x:c>
      <x:c r="E1278" s="15" t="str">
        <x:v>Chat</x:v>
      </x:c>
      <x:c r="F1278" s="15" t="str">
        <x:v>Design quest card for Chat — NotionMoth</x:v>
      </x:c>
      <x:c r="G1278" s="15" t="str">
        <x:v>legacy schema / Notion export prep</x:v>
      </x:c>
      <x:c r="H1278" s="15" t="str">
        <x:v>source path + receipt + raw/export status + claim/edge/risk delta</x:v>
      </x:c>
      <x:c r="I1278" s="15" t="str">
        <x:v>packet/SWARM-09-H11-S05</x:v>
      </x:c>
      <x:c r="J1278" s="15" t="str">
        <x:v>TODO</x:v>
      </x:c>
      <x:c r="K1278" s="15" t="str">
        <x:v>P1</x:v>
      </x:c>
      <x:c r="L1278" s="15" t="str">
        <x:v>Done only when evidence is logged, contradiction search is noted, and boundary stamp remains non-canon unless ratified</x:v>
      </x:c>
      <x:c r="M1278" s="15" t="str">
        <x:v>candidate / staging-only / not canon / not deployed / authority none</x:v>
      </x:c>
      <x:c r="N1278" s="15" t="str">
        <x:v>Dispatch to NotionMoth: complete Aetherforge UX x Chat; return deltas only, receipts required.</x:v>
      </x:c>
      <x:c r="O1278" s="15" t="str">
        <x:v>AF-KG-H11-S05</x:v>
      </x:c>
      <x:c r="P1278" s="15" t="str">
        <x:v>Unverified</x:v>
      </x:c>
      <x:c r="Q1278" s="15" t="str">
        <x:v>Not checked</x:v>
      </x:c>
      <x:c r="R1278" s="15" t="str"/>
      <x:c r="S1278" s="15" t="str"/>
      <x:c r="T1278" s="15" t="str">
        <x:v>Log first source path or blocker</x:v>
      </x:c>
      <x:c r="U1278" s="12" t="str">
        <x:f>IF(OR(P1278="Unverified",Q1278="Not checked"),"BLOCKED_PENDING_RECEIPT","READY_FOR_REVIEW")</x:f>
        <x:v>BLOCKED_PENDING_RECEIPT</x:v>
      </x:c>
      <x:c r="V1278" s="12" t="str">
        <x:f>IF(J1278="DONE","RETURNED",IF(U1278="BLOCKED_PENDING_RECEIPT","SOURCE_TOUCH_REQUIRED","IN_PROGRESS"))</x:f>
        <x:v>SOURCE_TOUCH_REQUIRED</x:v>
      </x:c>
      <x:c r="W1278" s="12" t="str">
        <x:f>IF(P1278="Unverified","missing_receipt","receipt_logged")</x:f>
        <x:v>missing_receipt</x:v>
      </x:c>
      <x:c r="X1278" s="12" t="str">
        <x:f>IF(Q1278="Not checked","raw_status_missing","raw_status_logged")</x:f>
        <x:v>raw_status_missing</x:v>
      </x:c>
      <x:c r="Y1278" s="12" t="str">
        <x:f>IF(U1278="BLOCKED_PENDING_RECEIPT","Log source path or blocker; do not promote","Route to review lane")</x:f>
        <x:v>Log source path or blocker; do not promote</x:v>
      </x:c>
      <x:c r="Z1278" s="12" t="str">
        <x:f>IF(K1278="P0","Primary seat + Hashlight/Lucerna","Seat lane")</x:f>
        <x:v>Seat lane</x:v>
      </x:c>
      <x:c r="AA1278" s="12" t="str">
        <x:f>IF(R1278="","no_claim_delta","claim_delta_present")</x:f>
        <x:v>no_claim_delta</x:v>
      </x:c>
      <x:c r="AB1278" s="12" t="str">
        <x:f>IF(S1278="","no_contradiction_delta","contradiction_delta_present")</x:f>
        <x:v>no_contradiction_delta</x:v>
      </x:c>
      <x:c r="AC1278" s="12" t="str">
        <x:f>IF(OR(ISNUMBER(SEARCH("hacker",LOWER(F1278&amp;" "&amp;H1278&amp;" "&amp;I1278&amp;" "&amp;M1278&amp;" "&amp;N1278&amp;" "&amp;T1278))),ISNUMBER(SEARCH("hacking",LOWER(F1278&amp;" "&amp;H1278&amp;" "&amp;I1278&amp;" "&amp;M1278&amp;" "&amp;N1278&amp;" "&amp;T1278))),ISNUMBER(SEARCH("bank",LOWER(F1278&amp;" "&amp;H1278&amp;" "&amp;I1278&amp;" "&amp;M1278&amp;" "&amp;N1278&amp;" "&amp;T1278))),ISNUMBER(SEARCH("banking",LOWER(F1278&amp;" "&amp;H1278&amp;" "&amp;I1278&amp;" "&amp;M1278&amp;" "&amp;N1278&amp;" "&amp;T1278)))),"PRIVATE_QUARANTINE",IF(OR(ISNUMBER(SEARCH("treasury",LOWER(F1278&amp;" "&amp;H1278&amp;" "&amp;I1278&amp;" "&amp;M1278&amp;" "&amp;N1278&amp;" "&amp;T1278))),ISNUMBER(SEARCH("debt",LOWER(F1278&amp;" "&amp;H1278&amp;" "&amp;I1278&amp;" "&amp;M1278&amp;" "&amp;N1278&amp;" "&amp;T1278))),ISNUMBER(SEARCH("bond",LOWER(F1278&amp;" "&amp;H1278&amp;" "&amp;I1278&amp;" "&amp;M1278&amp;" "&amp;N1278&amp;" "&amp;T1278))),ISNUMBER(SEARCH("transaction",LOWER(F1278&amp;" "&amp;H1278&amp;" "&amp;I1278&amp;" "&amp;M1278&amp;" "&amp;N1278&amp;" "&amp;T1278)))),"PRIVATE_REVIEW","PUBLIC_CANDIDATE"))</x:f>
        <x:v>PUBLIC_CANDIDATE</x:v>
      </x:c>
      <x:c r="AD1278" s="12" t="str">
        <x:f>IF(AC1278="PRIVATE_QUARANTINE","hacker_or_bank_trigger",IF(AC1278="PRIVATE_REVIEW","finance_risk_trigger","none"))</x:f>
        <x:v>none</x:v>
      </x:c>
      <x:c r="AE1278" s="12" t="str">
        <x:f>IF(AC1278="PUBLIC_CANDIDATE","prepare_public_github_candidate",IF(AC1278="PRIVATE_REVIEW","hold_for_private_review","quarantine_private_do_not_publish"))</x:f>
        <x:v>prepare_public_github_candidate</x:v>
      </x:c>
      <x:c r="AF1278" s="12" t="str">
        <x:f>IF(AC1278="PUBLIC_CANDIDATE","TIDELOCK + Lucerna",IF(AC1278="PRIVATE_REVIEW","AtlasBrain + Lucerna","TIDELOCK + Lucerna + Human-root"))</x:f>
        <x:v>TIDELOCK + Lucerna</x:v>
      </x:c>
      <x:c r="AG1278" s="12" t="str">
        <x:f>IF(AND(AC1278="PUBLIC_CANDIDATE",U1278&lt;&gt;"BLOCKED_PENDING_RECEIPT"),"READY_AFTER_RECEIPT","NOT_READY")</x:f>
        <x:v>NOT_READY</x:v>
      </x:c>
      <x:c r="AH1278" s="12" t="str">
        <x:f>IF(AC1278="PUBLIC_CANDIDATE","none",AD1278)</x:f>
        <x:v>none</x:v>
      </x:c>
      <x:c r="AI1278" s="12" t="str">
        <x:f>IF(AC1278="PUBLIC_CANDIDATE","archive/public_candidates/"&amp;A1278,"private_quarantine/"&amp;A1278)</x:f>
        <x:v>archive/public_candidates/SWARM-09-H11-S05</x:v>
      </x:c>
      <x:c r="AJ1278" s="12" t="str">
        <x:f>IF(AC1278="PUBLIC_CANDIDATE","public by default; still not canon","private/hold; do not publish")</x:f>
        <x:v>public by default; still not canon</x:v>
      </x:c>
      <x:c r="AK1278" s="12" t="str">
        <x:f>IF(AE1278="prepare_public_github_candidate","add receipt/status then mirror","resolve blocker before any public GitHub action")</x:f>
        <x:v>add receipt/status then mirror</x:v>
      </x:c>
    </x:row>
    <x:row r="1279">
      <x:c r="A1279" s="15" t="str">
        <x:v>SWARM-09-H11-S06</x:v>
      </x:c>
      <x:c r="B1279" s="15" t="str">
        <x:v>NotionMoth</x:v>
      </x:c>
      <x:c r="C1279" s="15" t="str">
        <x:v>Notion ontology mapper</x:v>
      </x:c>
      <x:c r="D1279" s="15" t="str">
        <x:v>Aetherforge UX</x:v>
      </x:c>
      <x:c r="E1279" s="15" t="str">
        <x:v>External Web</x:v>
      </x:c>
      <x:c r="F1279" s="15" t="str">
        <x:v>Design quest card for External Web — NotionMoth</x:v>
      </x:c>
      <x:c r="G1279" s="15" t="str">
        <x:v>legacy schema / Notion export prep</x:v>
      </x:c>
      <x:c r="H1279" s="15" t="str">
        <x:v>source path + receipt + raw/export status + claim/edge/risk delta</x:v>
      </x:c>
      <x:c r="I1279" s="15" t="str">
        <x:v>packet/SWARM-09-H11-S06</x:v>
      </x:c>
      <x:c r="J1279" s="15" t="str">
        <x:v>TODO</x:v>
      </x:c>
      <x:c r="K1279" s="15" t="str">
        <x:v>P1</x:v>
      </x:c>
      <x:c r="L1279" s="15" t="str">
        <x:v>Done only when evidence is logged, contradiction search is noted, and boundary stamp remains non-canon unless ratified</x:v>
      </x:c>
      <x:c r="M1279" s="15" t="str">
        <x:v>candidate / staging-only / not canon / not deployed / authority none</x:v>
      </x:c>
      <x:c r="N1279" s="15" t="str">
        <x:v>Dispatch to NotionMoth: complete Aetherforge UX x External Web; return deltas only, receipts required.</x:v>
      </x:c>
      <x:c r="O1279" s="15" t="str">
        <x:v>AF-KG-H11-S06</x:v>
      </x:c>
      <x:c r="P1279" s="15" t="str">
        <x:v>Unverified</x:v>
      </x:c>
      <x:c r="Q1279" s="15" t="str">
        <x:v>Not checked</x:v>
      </x:c>
      <x:c r="R1279" s="15" t="str"/>
      <x:c r="S1279" s="15" t="str"/>
      <x:c r="T1279" s="15" t="str">
        <x:v>Log first source path or blocker</x:v>
      </x:c>
      <x:c r="U1279" s="12" t="str">
        <x:f>IF(OR(P1279="Unverified",Q1279="Not checked"),"BLOCKED_PENDING_RECEIPT","READY_FOR_REVIEW")</x:f>
        <x:v>BLOCKED_PENDING_RECEIPT</x:v>
      </x:c>
      <x:c r="V1279" s="12" t="str">
        <x:f>IF(J1279="DONE","RETURNED",IF(U1279="BLOCKED_PENDING_RECEIPT","SOURCE_TOUCH_REQUIRED","IN_PROGRESS"))</x:f>
        <x:v>SOURCE_TOUCH_REQUIRED</x:v>
      </x:c>
      <x:c r="W1279" s="12" t="str">
        <x:f>IF(P1279="Unverified","missing_receipt","receipt_logged")</x:f>
        <x:v>missing_receipt</x:v>
      </x:c>
      <x:c r="X1279" s="12" t="str">
        <x:f>IF(Q1279="Not checked","raw_status_missing","raw_status_logged")</x:f>
        <x:v>raw_status_missing</x:v>
      </x:c>
      <x:c r="Y1279" s="12" t="str">
        <x:f>IF(U1279="BLOCKED_PENDING_RECEIPT","Log source path or blocker; do not promote","Route to review lane")</x:f>
        <x:v>Log source path or blocker; do not promote</x:v>
      </x:c>
      <x:c r="Z1279" s="12" t="str">
        <x:f>IF(K1279="P0","Primary seat + Hashlight/Lucerna","Seat lane")</x:f>
        <x:v>Seat lane</x:v>
      </x:c>
      <x:c r="AA1279" s="12" t="str">
        <x:f>IF(R1279="","no_claim_delta","claim_delta_present")</x:f>
        <x:v>no_claim_delta</x:v>
      </x:c>
      <x:c r="AB1279" s="12" t="str">
        <x:f>IF(S1279="","no_contradiction_delta","contradiction_delta_present")</x:f>
        <x:v>no_contradiction_delta</x:v>
      </x:c>
      <x:c r="AC1279" s="12" t="str">
        <x:f>IF(OR(ISNUMBER(SEARCH("hacker",LOWER(F1279&amp;" "&amp;H1279&amp;" "&amp;I1279&amp;" "&amp;M1279&amp;" "&amp;N1279&amp;" "&amp;T1279))),ISNUMBER(SEARCH("hacking",LOWER(F1279&amp;" "&amp;H1279&amp;" "&amp;I1279&amp;" "&amp;M1279&amp;" "&amp;N1279&amp;" "&amp;T1279))),ISNUMBER(SEARCH("bank",LOWER(F1279&amp;" "&amp;H1279&amp;" "&amp;I1279&amp;" "&amp;M1279&amp;" "&amp;N1279&amp;" "&amp;T1279))),ISNUMBER(SEARCH("banking",LOWER(F1279&amp;" "&amp;H1279&amp;" "&amp;I1279&amp;" "&amp;M1279&amp;" "&amp;N1279&amp;" "&amp;T1279)))),"PRIVATE_QUARANTINE",IF(OR(ISNUMBER(SEARCH("treasury",LOWER(F1279&amp;" "&amp;H1279&amp;" "&amp;I1279&amp;" "&amp;M1279&amp;" "&amp;N1279&amp;" "&amp;T1279))),ISNUMBER(SEARCH("debt",LOWER(F1279&amp;" "&amp;H1279&amp;" "&amp;I1279&amp;" "&amp;M1279&amp;" "&amp;N1279&amp;" "&amp;T1279))),ISNUMBER(SEARCH("bond",LOWER(F1279&amp;" "&amp;H1279&amp;" "&amp;I1279&amp;" "&amp;M1279&amp;" "&amp;N1279&amp;" "&amp;T1279))),ISNUMBER(SEARCH("transaction",LOWER(F1279&amp;" "&amp;H1279&amp;" "&amp;I1279&amp;" "&amp;M1279&amp;" "&amp;N1279&amp;" "&amp;T1279)))),"PRIVATE_REVIEW","PUBLIC_CANDIDATE"))</x:f>
        <x:v>PUBLIC_CANDIDATE</x:v>
      </x:c>
      <x:c r="AD1279" s="12" t="str">
        <x:f>IF(AC1279="PRIVATE_QUARANTINE","hacker_or_bank_trigger",IF(AC1279="PRIVATE_REVIEW","finance_risk_trigger","none"))</x:f>
        <x:v>none</x:v>
      </x:c>
      <x:c r="AE1279" s="12" t="str">
        <x:f>IF(AC1279="PUBLIC_CANDIDATE","prepare_public_github_candidate",IF(AC1279="PRIVATE_REVIEW","hold_for_private_review","quarantine_private_do_not_publish"))</x:f>
        <x:v>prepare_public_github_candidate</x:v>
      </x:c>
      <x:c r="AF1279" s="12" t="str">
        <x:f>IF(AC1279="PUBLIC_CANDIDATE","TIDELOCK + Lucerna",IF(AC1279="PRIVATE_REVIEW","AtlasBrain + Lucerna","TIDELOCK + Lucerna + Human-root"))</x:f>
        <x:v>TIDELOCK + Lucerna</x:v>
      </x:c>
      <x:c r="AG1279" s="12" t="str">
        <x:f>IF(AND(AC1279="PUBLIC_CANDIDATE",U1279&lt;&gt;"BLOCKED_PENDING_RECEIPT"),"READY_AFTER_RECEIPT","NOT_READY")</x:f>
        <x:v>NOT_READY</x:v>
      </x:c>
      <x:c r="AH1279" s="12" t="str">
        <x:f>IF(AC1279="PUBLIC_CANDIDATE","none",AD1279)</x:f>
        <x:v>none</x:v>
      </x:c>
      <x:c r="AI1279" s="12" t="str">
        <x:f>IF(AC1279="PUBLIC_CANDIDATE","archive/public_candidates/"&amp;A1279,"private_quarantine/"&amp;A1279)</x:f>
        <x:v>archive/public_candidates/SWARM-09-H11-S06</x:v>
      </x:c>
      <x:c r="AJ1279" s="12" t="str">
        <x:f>IF(AC1279="PUBLIC_CANDIDATE","public by default; still not canon","private/hold; do not publish")</x:f>
        <x:v>public by default; still not canon</x:v>
      </x:c>
      <x:c r="AK1279" s="12" t="str">
        <x:f>IF(AE1279="prepare_public_github_candidate","add receipt/status then mirror","resolve blocker before any public GitHub action")</x:f>
        <x:v>add receipt/status then mirror</x:v>
      </x:c>
    </x:row>
    <x:row r="1280">
      <x:c r="A1280" s="15" t="str">
        <x:v>SWARM-09-H11-S07</x:v>
      </x:c>
      <x:c r="B1280" s="15" t="str">
        <x:v>NotionMoth</x:v>
      </x:c>
      <x:c r="C1280" s="15" t="str">
        <x:v>Notion ontology mapper</x:v>
      </x:c>
      <x:c r="D1280" s="15" t="str">
        <x:v>Aetherforge UX</x:v>
      </x:c>
      <x:c r="E1280" s="15" t="str">
        <x:v>Planetarium</x:v>
      </x:c>
      <x:c r="F1280" s="15" t="str">
        <x:v>Design quest card for Planetarium — NotionMoth</x:v>
      </x:c>
      <x:c r="G1280" s="15" t="str">
        <x:v>legacy schema / Notion export prep</x:v>
      </x:c>
      <x:c r="H1280" s="15" t="str">
        <x:v>source path + receipt + raw/export status + claim/edge/risk delta</x:v>
      </x:c>
      <x:c r="I1280" s="15" t="str">
        <x:v>packet/SWARM-09-H11-S07</x:v>
      </x:c>
      <x:c r="J1280" s="15" t="str">
        <x:v>TODO</x:v>
      </x:c>
      <x:c r="K1280" s="15" t="str">
        <x:v>P1</x:v>
      </x:c>
      <x:c r="L1280" s="15" t="str">
        <x:v>Done only when evidence is logged, contradiction search is noted, and boundary stamp remains non-canon unless ratified</x:v>
      </x:c>
      <x:c r="M1280" s="15" t="str">
        <x:v>candidate / staging-only / not canon / not deployed / authority none</x:v>
      </x:c>
      <x:c r="N1280" s="15" t="str">
        <x:v>Dispatch to NotionMoth: complete Aetherforge UX x Planetarium; return deltas only, receipts required.</x:v>
      </x:c>
      <x:c r="O1280" s="15" t="str">
        <x:v>AF-KG-H11-S07</x:v>
      </x:c>
      <x:c r="P1280" s="15" t="str">
        <x:v>Unverified</x:v>
      </x:c>
      <x:c r="Q1280" s="15" t="str">
        <x:v>Not checked</x:v>
      </x:c>
      <x:c r="R1280" s="15" t="str"/>
      <x:c r="S1280" s="15" t="str"/>
      <x:c r="T1280" s="15" t="str">
        <x:v>Log first source path or blocker</x:v>
      </x:c>
      <x:c r="U1280" s="12" t="str">
        <x:f>IF(OR(P1280="Unverified",Q1280="Not checked"),"BLOCKED_PENDING_RECEIPT","READY_FOR_REVIEW")</x:f>
        <x:v>BLOCKED_PENDING_RECEIPT</x:v>
      </x:c>
      <x:c r="V1280" s="12" t="str">
        <x:f>IF(J1280="DONE","RETURNED",IF(U1280="BLOCKED_PENDING_RECEIPT","SOURCE_TOUCH_REQUIRED","IN_PROGRESS"))</x:f>
        <x:v>SOURCE_TOUCH_REQUIRED</x:v>
      </x:c>
      <x:c r="W1280" s="12" t="str">
        <x:f>IF(P1280="Unverified","missing_receipt","receipt_logged")</x:f>
        <x:v>missing_receipt</x:v>
      </x:c>
      <x:c r="X1280" s="12" t="str">
        <x:f>IF(Q1280="Not checked","raw_status_missing","raw_status_logged")</x:f>
        <x:v>raw_status_missing</x:v>
      </x:c>
      <x:c r="Y1280" s="12" t="str">
        <x:f>IF(U1280="BLOCKED_PENDING_RECEIPT","Log source path or blocker; do not promote","Route to review lane")</x:f>
        <x:v>Log source path or blocker; do not promote</x:v>
      </x:c>
      <x:c r="Z1280" s="12" t="str">
        <x:f>IF(K1280="P0","Primary seat + Hashlight/Lucerna","Seat lane")</x:f>
        <x:v>Seat lane</x:v>
      </x:c>
      <x:c r="AA1280" s="12" t="str">
        <x:f>IF(R1280="","no_claim_delta","claim_delta_present")</x:f>
        <x:v>no_claim_delta</x:v>
      </x:c>
      <x:c r="AB1280" s="12" t="str">
        <x:f>IF(S1280="","no_contradiction_delta","contradiction_delta_present")</x:f>
        <x:v>no_contradiction_delta</x:v>
      </x:c>
      <x:c r="AC1280" s="12" t="str">
        <x:f>IF(OR(ISNUMBER(SEARCH("hacker",LOWER(F1280&amp;" "&amp;H1280&amp;" "&amp;I1280&amp;" "&amp;M1280&amp;" "&amp;N1280&amp;" "&amp;T1280))),ISNUMBER(SEARCH("hacking",LOWER(F1280&amp;" "&amp;H1280&amp;" "&amp;I1280&amp;" "&amp;M1280&amp;" "&amp;N1280&amp;" "&amp;T1280))),ISNUMBER(SEARCH("bank",LOWER(F1280&amp;" "&amp;H1280&amp;" "&amp;I1280&amp;" "&amp;M1280&amp;" "&amp;N1280&amp;" "&amp;T1280))),ISNUMBER(SEARCH("banking",LOWER(F1280&amp;" "&amp;H1280&amp;" "&amp;I1280&amp;" "&amp;M1280&amp;" "&amp;N1280&amp;" "&amp;T1280)))),"PRIVATE_QUARANTINE",IF(OR(ISNUMBER(SEARCH("treasury",LOWER(F1280&amp;" "&amp;H1280&amp;" "&amp;I1280&amp;" "&amp;M1280&amp;" "&amp;N1280&amp;" "&amp;T1280))),ISNUMBER(SEARCH("debt",LOWER(F1280&amp;" "&amp;H1280&amp;" "&amp;I1280&amp;" "&amp;M1280&amp;" "&amp;N1280&amp;" "&amp;T1280))),ISNUMBER(SEARCH("bond",LOWER(F1280&amp;" "&amp;H1280&amp;" "&amp;I1280&amp;" "&amp;M1280&amp;" "&amp;N1280&amp;" "&amp;T1280))),ISNUMBER(SEARCH("transaction",LOWER(F1280&amp;" "&amp;H1280&amp;" "&amp;I1280&amp;" "&amp;M1280&amp;" "&amp;N1280&amp;" "&amp;T1280)))),"PRIVATE_REVIEW","PUBLIC_CANDIDATE"))</x:f>
        <x:v>PUBLIC_CANDIDATE</x:v>
      </x:c>
      <x:c r="AD1280" s="12" t="str">
        <x:f>IF(AC1280="PRIVATE_QUARANTINE","hacker_or_bank_trigger",IF(AC1280="PRIVATE_REVIEW","finance_risk_trigger","none"))</x:f>
        <x:v>none</x:v>
      </x:c>
      <x:c r="AE1280" s="12" t="str">
        <x:f>IF(AC1280="PUBLIC_CANDIDATE","prepare_public_github_candidate",IF(AC1280="PRIVATE_REVIEW","hold_for_private_review","quarantine_private_do_not_publish"))</x:f>
        <x:v>prepare_public_github_candidate</x:v>
      </x:c>
      <x:c r="AF1280" s="12" t="str">
        <x:f>IF(AC1280="PUBLIC_CANDIDATE","TIDELOCK + Lucerna",IF(AC1280="PRIVATE_REVIEW","AtlasBrain + Lucerna","TIDELOCK + Lucerna + Human-root"))</x:f>
        <x:v>TIDELOCK + Lucerna</x:v>
      </x:c>
      <x:c r="AG1280" s="12" t="str">
        <x:f>IF(AND(AC1280="PUBLIC_CANDIDATE",U1280&lt;&gt;"BLOCKED_PENDING_RECEIPT"),"READY_AFTER_RECEIPT","NOT_READY")</x:f>
        <x:v>NOT_READY</x:v>
      </x:c>
      <x:c r="AH1280" s="12" t="str">
        <x:f>IF(AC1280="PUBLIC_CANDIDATE","none",AD1280)</x:f>
        <x:v>none</x:v>
      </x:c>
      <x:c r="AI1280" s="12" t="str">
        <x:f>IF(AC1280="PUBLIC_CANDIDATE","archive/public_candidates/"&amp;A1280,"private_quarantine/"&amp;A1280)</x:f>
        <x:v>archive/public_candidates/SWARM-09-H11-S07</x:v>
      </x:c>
      <x:c r="AJ1280" s="12" t="str">
        <x:f>IF(AC1280="PUBLIC_CANDIDATE","public by default; still not canon","private/hold; do not publish")</x:f>
        <x:v>public by default; still not canon</x:v>
      </x:c>
      <x:c r="AK1280" s="12" t="str">
        <x:f>IF(AE1280="prepare_public_github_candidate","add receipt/status then mirror","resolve blocker before any public GitHub action")</x:f>
        <x:v>add receipt/status then mirror</x:v>
      </x:c>
    </x:row>
    <x:row r="1281">
      <x:c r="A1281" s="15" t="str">
        <x:v>SWARM-09-H11-S08</x:v>
      </x:c>
      <x:c r="B1281" s="15" t="str">
        <x:v>NotionMoth</x:v>
      </x:c>
      <x:c r="C1281" s="15" t="str">
        <x:v>Notion ontology mapper</x:v>
      </x:c>
      <x:c r="D1281" s="15" t="str">
        <x:v>Aetherforge UX</x:v>
      </x:c>
      <x:c r="E1281" s="15" t="str">
        <x:v>Sheldonbrain</x:v>
      </x:c>
      <x:c r="F1281" s="15" t="str">
        <x:v>Design quest card for Sheldonbrain — NotionMoth</x:v>
      </x:c>
      <x:c r="G1281" s="15" t="str">
        <x:v>legacy schema / Notion export prep</x:v>
      </x:c>
      <x:c r="H1281" s="15" t="str">
        <x:v>source path + receipt + raw/export status + claim/edge/risk delta</x:v>
      </x:c>
      <x:c r="I1281" s="15" t="str">
        <x:v>packet/SWARM-09-H11-S08</x:v>
      </x:c>
      <x:c r="J1281" s="15" t="str">
        <x:v>TODO</x:v>
      </x:c>
      <x:c r="K1281" s="15" t="str">
        <x:v>P1</x:v>
      </x:c>
      <x:c r="L1281" s="15" t="str">
        <x:v>Done only when evidence is logged, contradiction search is noted, and boundary stamp remains non-canon unless ratified</x:v>
      </x:c>
      <x:c r="M1281" s="15" t="str">
        <x:v>candidate / staging-only / not canon / not deployed / authority none</x:v>
      </x:c>
      <x:c r="N1281" s="15" t="str">
        <x:v>Dispatch to NotionMoth: complete Aetherforge UX x Sheldonbrain; return deltas only, receipts required.</x:v>
      </x:c>
      <x:c r="O1281" s="15" t="str">
        <x:v>AF-KG-H11-S08</x:v>
      </x:c>
      <x:c r="P1281" s="15" t="str">
        <x:v>Unverified</x:v>
      </x:c>
      <x:c r="Q1281" s="15" t="str">
        <x:v>Not checked</x:v>
      </x:c>
      <x:c r="R1281" s="15" t="str"/>
      <x:c r="S1281" s="15" t="str"/>
      <x:c r="T1281" s="15" t="str">
        <x:v>Log first source path or blocker</x:v>
      </x:c>
      <x:c r="U1281" s="12" t="str">
        <x:f>IF(OR(P1281="Unverified",Q1281="Not checked"),"BLOCKED_PENDING_RECEIPT","READY_FOR_REVIEW")</x:f>
        <x:v>BLOCKED_PENDING_RECEIPT</x:v>
      </x:c>
      <x:c r="V1281" s="12" t="str">
        <x:f>IF(J1281="DONE","RETURNED",IF(U1281="BLOCKED_PENDING_RECEIPT","SOURCE_TOUCH_REQUIRED","IN_PROGRESS"))</x:f>
        <x:v>SOURCE_TOUCH_REQUIRED</x:v>
      </x:c>
      <x:c r="W1281" s="12" t="str">
        <x:f>IF(P1281="Unverified","missing_receipt","receipt_logged")</x:f>
        <x:v>missing_receipt</x:v>
      </x:c>
      <x:c r="X1281" s="12" t="str">
        <x:f>IF(Q1281="Not checked","raw_status_missing","raw_status_logged")</x:f>
        <x:v>raw_status_missing</x:v>
      </x:c>
      <x:c r="Y1281" s="12" t="str">
        <x:f>IF(U1281="BLOCKED_PENDING_RECEIPT","Log source path or blocker; do not promote","Route to review lane")</x:f>
        <x:v>Log source path or blocker; do not promote</x:v>
      </x:c>
      <x:c r="Z1281" s="12" t="str">
        <x:f>IF(K1281="P0","Primary seat + Hashlight/Lucerna","Seat lane")</x:f>
        <x:v>Seat lane</x:v>
      </x:c>
      <x:c r="AA1281" s="12" t="str">
        <x:f>IF(R1281="","no_claim_delta","claim_delta_present")</x:f>
        <x:v>no_claim_delta</x:v>
      </x:c>
      <x:c r="AB1281" s="12" t="str">
        <x:f>IF(S1281="","no_contradiction_delta","contradiction_delta_present")</x:f>
        <x:v>no_contradiction_delta</x:v>
      </x:c>
      <x:c r="AC1281" s="12" t="str">
        <x:f>IF(OR(ISNUMBER(SEARCH("hacker",LOWER(F1281&amp;" "&amp;H1281&amp;" "&amp;I1281&amp;" "&amp;M1281&amp;" "&amp;N1281&amp;" "&amp;T1281))),ISNUMBER(SEARCH("hacking",LOWER(F1281&amp;" "&amp;H1281&amp;" "&amp;I1281&amp;" "&amp;M1281&amp;" "&amp;N1281&amp;" "&amp;T1281))),ISNUMBER(SEARCH("bank",LOWER(F1281&amp;" "&amp;H1281&amp;" "&amp;I1281&amp;" "&amp;M1281&amp;" "&amp;N1281&amp;" "&amp;T1281))),ISNUMBER(SEARCH("banking",LOWER(F1281&amp;" "&amp;H1281&amp;" "&amp;I1281&amp;" "&amp;M1281&amp;" "&amp;N1281&amp;" "&amp;T1281)))),"PRIVATE_QUARANTINE",IF(OR(ISNUMBER(SEARCH("treasury",LOWER(F1281&amp;" "&amp;H1281&amp;" "&amp;I1281&amp;" "&amp;M1281&amp;" "&amp;N1281&amp;" "&amp;T1281))),ISNUMBER(SEARCH("debt",LOWER(F1281&amp;" "&amp;H1281&amp;" "&amp;I1281&amp;" "&amp;M1281&amp;" "&amp;N1281&amp;" "&amp;T1281))),ISNUMBER(SEARCH("bond",LOWER(F1281&amp;" "&amp;H1281&amp;" "&amp;I1281&amp;" "&amp;M1281&amp;" "&amp;N1281&amp;" "&amp;T1281))),ISNUMBER(SEARCH("transaction",LOWER(F1281&amp;" "&amp;H1281&amp;" "&amp;I1281&amp;" "&amp;M1281&amp;" "&amp;N1281&amp;" "&amp;T1281)))),"PRIVATE_REVIEW","PUBLIC_CANDIDATE"))</x:f>
        <x:v>PUBLIC_CANDIDATE</x:v>
      </x:c>
      <x:c r="AD1281" s="12" t="str">
        <x:f>IF(AC1281="PRIVATE_QUARANTINE","hacker_or_bank_trigger",IF(AC1281="PRIVATE_REVIEW","finance_risk_trigger","none"))</x:f>
        <x:v>none</x:v>
      </x:c>
      <x:c r="AE1281" s="12" t="str">
        <x:f>IF(AC1281="PUBLIC_CANDIDATE","prepare_public_github_candidate",IF(AC1281="PRIVATE_REVIEW","hold_for_private_review","quarantine_private_do_not_publish"))</x:f>
        <x:v>prepare_public_github_candidate</x:v>
      </x:c>
      <x:c r="AF1281" s="12" t="str">
        <x:f>IF(AC1281="PUBLIC_CANDIDATE","TIDELOCK + Lucerna",IF(AC1281="PRIVATE_REVIEW","AtlasBrain + Lucerna","TIDELOCK + Lucerna + Human-root"))</x:f>
        <x:v>TIDELOCK + Lucerna</x:v>
      </x:c>
      <x:c r="AG1281" s="12" t="str">
        <x:f>IF(AND(AC1281="PUBLIC_CANDIDATE",U1281&lt;&gt;"BLOCKED_PENDING_RECEIPT"),"READY_AFTER_RECEIPT","NOT_READY")</x:f>
        <x:v>NOT_READY</x:v>
      </x:c>
      <x:c r="AH1281" s="12" t="str">
        <x:f>IF(AC1281="PUBLIC_CANDIDATE","none",AD1281)</x:f>
        <x:v>none</x:v>
      </x:c>
      <x:c r="AI1281" s="12" t="str">
        <x:f>IF(AC1281="PUBLIC_CANDIDATE","archive/public_candidates/"&amp;A1281,"private_quarantine/"&amp;A1281)</x:f>
        <x:v>archive/public_candidates/SWARM-09-H11-S08</x:v>
      </x:c>
      <x:c r="AJ1281" s="12" t="str">
        <x:f>IF(AC1281="PUBLIC_CANDIDATE","public by default; still not canon","private/hold; do not publish")</x:f>
        <x:v>public by default; still not canon</x:v>
      </x:c>
      <x:c r="AK1281" s="12" t="str">
        <x:f>IF(AE1281="prepare_public_github_candidate","add receipt/status then mirror","resolve blocker before any public GitHub action")</x:f>
        <x:v>add receipt/status then mirror</x:v>
      </x:c>
    </x:row>
    <x:row r="1282">
      <x:c r="A1282" s="15" t="str">
        <x:v>SWARM-09-H11-S09</x:v>
      </x:c>
      <x:c r="B1282" s="15" t="str">
        <x:v>NotionMoth</x:v>
      </x:c>
      <x:c r="C1282" s="15" t="str">
        <x:v>Notion ontology mapper</x:v>
      </x:c>
      <x:c r="D1282" s="15" t="str">
        <x:v>Aetherforge UX</x:v>
      </x:c>
      <x:c r="E1282" s="15" t="str">
        <x:v>Aetherforge</x:v>
      </x:c>
      <x:c r="F1282" s="15" t="str">
        <x:v>Design quest card for Aetherforge — NotionMoth</x:v>
      </x:c>
      <x:c r="G1282" s="15" t="str">
        <x:v>legacy schema / Notion export prep</x:v>
      </x:c>
      <x:c r="H1282" s="15" t="str">
        <x:v>source path + receipt + raw/export status + claim/edge/risk delta</x:v>
      </x:c>
      <x:c r="I1282" s="15" t="str">
        <x:v>packet/SWARM-09-H11-S09</x:v>
      </x:c>
      <x:c r="J1282" s="15" t="str">
        <x:v>TODO</x:v>
      </x:c>
      <x:c r="K1282" s="15" t="str">
        <x:v>P2</x:v>
      </x:c>
      <x:c r="L1282" s="15" t="str">
        <x:v>Done only when evidence is logged, contradiction search is noted, and boundary stamp remains non-canon unless ratified</x:v>
      </x:c>
      <x:c r="M1282" s="15" t="str">
        <x:v>candidate / staging-only / not canon / not deployed / authority none</x:v>
      </x:c>
      <x:c r="N1282" s="15" t="str">
        <x:v>Dispatch to NotionMoth: complete Aetherforge UX x Aetherforge; return deltas only, receipts required.</x:v>
      </x:c>
      <x:c r="O1282" s="15" t="str">
        <x:v>AF-KG-H11-S09</x:v>
      </x:c>
      <x:c r="P1282" s="15" t="str">
        <x:v>Unverified</x:v>
      </x:c>
      <x:c r="Q1282" s="15" t="str">
        <x:v>Not checked</x:v>
      </x:c>
      <x:c r="R1282" s="15" t="str"/>
      <x:c r="S1282" s="15" t="str"/>
      <x:c r="T1282" s="15" t="str">
        <x:v>Log first source path or blocker</x:v>
      </x:c>
      <x:c r="U1282" s="12" t="str">
        <x:f>IF(OR(P1282="Unverified",Q1282="Not checked"),"BLOCKED_PENDING_RECEIPT","READY_FOR_REVIEW")</x:f>
        <x:v>BLOCKED_PENDING_RECEIPT</x:v>
      </x:c>
      <x:c r="V1282" s="12" t="str">
        <x:f>IF(J1282="DONE","RETURNED",IF(U1282="BLOCKED_PENDING_RECEIPT","SOURCE_TOUCH_REQUIRED","IN_PROGRESS"))</x:f>
        <x:v>SOURCE_TOUCH_REQUIRED</x:v>
      </x:c>
      <x:c r="W1282" s="12" t="str">
        <x:f>IF(P1282="Unverified","missing_receipt","receipt_logged")</x:f>
        <x:v>missing_receipt</x:v>
      </x:c>
      <x:c r="X1282" s="12" t="str">
        <x:f>IF(Q1282="Not checked","raw_status_missing","raw_status_logged")</x:f>
        <x:v>raw_status_missing</x:v>
      </x:c>
      <x:c r="Y1282" s="12" t="str">
        <x:f>IF(U1282="BLOCKED_PENDING_RECEIPT","Log source path or blocker; do not promote","Route to review lane")</x:f>
        <x:v>Log source path or blocker; do not promote</x:v>
      </x:c>
      <x:c r="Z1282" s="12" t="str">
        <x:f>IF(K1282="P0","Primary seat + Hashlight/Lucerna","Seat lane")</x:f>
        <x:v>Seat lane</x:v>
      </x:c>
      <x:c r="AA1282" s="12" t="str">
        <x:f>IF(R1282="","no_claim_delta","claim_delta_present")</x:f>
        <x:v>no_claim_delta</x:v>
      </x:c>
      <x:c r="AB1282" s="12" t="str">
        <x:f>IF(S1282="","no_contradiction_delta","contradiction_delta_present")</x:f>
        <x:v>no_contradiction_delta</x:v>
      </x:c>
      <x:c r="AC1282" s="12" t="str">
        <x:f>IF(OR(ISNUMBER(SEARCH("hacker",LOWER(F1282&amp;" "&amp;H1282&amp;" "&amp;I1282&amp;" "&amp;M1282&amp;" "&amp;N1282&amp;" "&amp;T1282))),ISNUMBER(SEARCH("hacking",LOWER(F1282&amp;" "&amp;H1282&amp;" "&amp;I1282&amp;" "&amp;M1282&amp;" "&amp;N1282&amp;" "&amp;T1282))),ISNUMBER(SEARCH("bank",LOWER(F1282&amp;" "&amp;H1282&amp;" "&amp;I1282&amp;" "&amp;M1282&amp;" "&amp;N1282&amp;" "&amp;T1282))),ISNUMBER(SEARCH("banking",LOWER(F1282&amp;" "&amp;H1282&amp;" "&amp;I1282&amp;" "&amp;M1282&amp;" "&amp;N1282&amp;" "&amp;T1282)))),"PRIVATE_QUARANTINE",IF(OR(ISNUMBER(SEARCH("treasury",LOWER(F1282&amp;" "&amp;H1282&amp;" "&amp;I1282&amp;" "&amp;M1282&amp;" "&amp;N1282&amp;" "&amp;T1282))),ISNUMBER(SEARCH("debt",LOWER(F1282&amp;" "&amp;H1282&amp;" "&amp;I1282&amp;" "&amp;M1282&amp;" "&amp;N1282&amp;" "&amp;T1282))),ISNUMBER(SEARCH("bond",LOWER(F1282&amp;" "&amp;H1282&amp;" "&amp;I1282&amp;" "&amp;M1282&amp;" "&amp;N1282&amp;" "&amp;T1282))),ISNUMBER(SEARCH("transaction",LOWER(F1282&amp;" "&amp;H1282&amp;" "&amp;I1282&amp;" "&amp;M1282&amp;" "&amp;N1282&amp;" "&amp;T1282)))),"PRIVATE_REVIEW","PUBLIC_CANDIDATE"))</x:f>
        <x:v>PUBLIC_CANDIDATE</x:v>
      </x:c>
      <x:c r="AD1282" s="12" t="str">
        <x:f>IF(AC1282="PRIVATE_QUARANTINE","hacker_or_bank_trigger",IF(AC1282="PRIVATE_REVIEW","finance_risk_trigger","none"))</x:f>
        <x:v>none</x:v>
      </x:c>
      <x:c r="AE1282" s="12" t="str">
        <x:f>IF(AC1282="PUBLIC_CANDIDATE","prepare_public_github_candidate",IF(AC1282="PRIVATE_REVIEW","hold_for_private_review","quarantine_private_do_not_publish"))</x:f>
        <x:v>prepare_public_github_candidate</x:v>
      </x:c>
      <x:c r="AF1282" s="12" t="str">
        <x:f>IF(AC1282="PUBLIC_CANDIDATE","TIDELOCK + Lucerna",IF(AC1282="PRIVATE_REVIEW","AtlasBrain + Lucerna","TIDELOCK + Lucerna + Human-root"))</x:f>
        <x:v>TIDELOCK + Lucerna</x:v>
      </x:c>
      <x:c r="AG1282" s="12" t="str">
        <x:f>IF(AND(AC1282="PUBLIC_CANDIDATE",U1282&lt;&gt;"BLOCKED_PENDING_RECEIPT"),"READY_AFTER_RECEIPT","NOT_READY")</x:f>
        <x:v>NOT_READY</x:v>
      </x:c>
      <x:c r="AH1282" s="12" t="str">
        <x:f>IF(AC1282="PUBLIC_CANDIDATE","none",AD1282)</x:f>
        <x:v>none</x:v>
      </x:c>
      <x:c r="AI1282" s="12" t="str">
        <x:f>IF(AC1282="PUBLIC_CANDIDATE","archive/public_candidates/"&amp;A1282,"private_quarantine/"&amp;A1282)</x:f>
        <x:v>archive/public_candidates/SWARM-09-H11-S09</x:v>
      </x:c>
      <x:c r="AJ1282" s="12" t="str">
        <x:f>IF(AC1282="PUBLIC_CANDIDATE","public by default; still not canon","private/hold; do not publish")</x:f>
        <x:v>public by default; still not canon</x:v>
      </x:c>
      <x:c r="AK1282" s="12" t="str">
        <x:f>IF(AE1282="prepare_public_github_candidate","add receipt/status then mirror","resolve blocker before any public GitHub action")</x:f>
        <x:v>add receipt/status then mirror</x:v>
      </x:c>
    </x:row>
    <x:row r="1283">
      <x:c r="A1283" s="15" t="str">
        <x:v>SWARM-09-H11-S10</x:v>
      </x:c>
      <x:c r="B1283" s="15" t="str">
        <x:v>NotionMoth</x:v>
      </x:c>
      <x:c r="C1283" s="15" t="str">
        <x:v>Notion ontology mapper</x:v>
      </x:c>
      <x:c r="D1283" s="15" t="str">
        <x:v>Aetherforge UX</x:v>
      </x:c>
      <x:c r="E1283" s="15" t="str">
        <x:v>Human-Root</x:v>
      </x:c>
      <x:c r="F1283" s="15" t="str">
        <x:v>Design quest card for Human-Root — NotionMoth</x:v>
      </x:c>
      <x:c r="G1283" s="15" t="str">
        <x:v>legacy schema / Notion export prep</x:v>
      </x:c>
      <x:c r="H1283" s="15" t="str">
        <x:v>source path + receipt + raw/export status + claim/edge/risk delta</x:v>
      </x:c>
      <x:c r="I1283" s="15" t="str">
        <x:v>packet/SWARM-09-H11-S10</x:v>
      </x:c>
      <x:c r="J1283" s="15" t="str">
        <x:v>TODO</x:v>
      </x:c>
      <x:c r="K1283" s="15" t="str">
        <x:v>P2</x:v>
      </x:c>
      <x:c r="L1283" s="15" t="str">
        <x:v>Done only when evidence is logged, contradiction search is noted, and boundary stamp remains non-canon unless ratified</x:v>
      </x:c>
      <x:c r="M1283" s="15" t="str">
        <x:v>candidate / staging-only / not canon / not deployed / authority none</x:v>
      </x:c>
      <x:c r="N1283" s="15" t="str">
        <x:v>Dispatch to NotionMoth: complete Aetherforge UX x Human-Root; return deltas only, receipts required.</x:v>
      </x:c>
      <x:c r="O1283" s="15" t="str">
        <x:v>AF-KG-H11-S10</x:v>
      </x:c>
      <x:c r="P1283" s="15" t="str">
        <x:v>Unverified</x:v>
      </x:c>
      <x:c r="Q1283" s="15" t="str">
        <x:v>Not checked</x:v>
      </x:c>
      <x:c r="R1283" s="15" t="str"/>
      <x:c r="S1283" s="15" t="str"/>
      <x:c r="T1283" s="15" t="str">
        <x:v>Log first source path or blocker</x:v>
      </x:c>
      <x:c r="U1283" s="12" t="str">
        <x:f>IF(OR(P1283="Unverified",Q1283="Not checked"),"BLOCKED_PENDING_RECEIPT","READY_FOR_REVIEW")</x:f>
        <x:v>BLOCKED_PENDING_RECEIPT</x:v>
      </x:c>
      <x:c r="V1283" s="12" t="str">
        <x:f>IF(J1283="DONE","RETURNED",IF(U1283="BLOCKED_PENDING_RECEIPT","SOURCE_TOUCH_REQUIRED","IN_PROGRESS"))</x:f>
        <x:v>SOURCE_TOUCH_REQUIRED</x:v>
      </x:c>
      <x:c r="W1283" s="12" t="str">
        <x:f>IF(P1283="Unverified","missing_receipt","receipt_logged")</x:f>
        <x:v>missing_receipt</x:v>
      </x:c>
      <x:c r="X1283" s="12" t="str">
        <x:f>IF(Q1283="Not checked","raw_status_missing","raw_status_logged")</x:f>
        <x:v>raw_status_missing</x:v>
      </x:c>
      <x:c r="Y1283" s="12" t="str">
        <x:f>IF(U1283="BLOCKED_PENDING_RECEIPT","Log source path or blocker; do not promote","Route to review lane")</x:f>
        <x:v>Log source path or blocker; do not promote</x:v>
      </x:c>
      <x:c r="Z1283" s="12" t="str">
        <x:f>IF(K1283="P0","Primary seat + Hashlight/Lucerna","Seat lane")</x:f>
        <x:v>Seat lane</x:v>
      </x:c>
      <x:c r="AA1283" s="12" t="str">
        <x:f>IF(R1283="","no_claim_delta","claim_delta_present")</x:f>
        <x:v>no_claim_delta</x:v>
      </x:c>
      <x:c r="AB1283" s="12" t="str">
        <x:f>IF(S1283="","no_contradiction_delta","contradiction_delta_present")</x:f>
        <x:v>no_contradiction_delta</x:v>
      </x:c>
      <x:c r="AC1283" s="12" t="str">
        <x:f>IF(OR(ISNUMBER(SEARCH("hacker",LOWER(F1283&amp;" "&amp;H1283&amp;" "&amp;I1283&amp;" "&amp;M1283&amp;" "&amp;N1283&amp;" "&amp;T1283))),ISNUMBER(SEARCH("hacking",LOWER(F1283&amp;" "&amp;H1283&amp;" "&amp;I1283&amp;" "&amp;M1283&amp;" "&amp;N1283&amp;" "&amp;T1283))),ISNUMBER(SEARCH("bank",LOWER(F1283&amp;" "&amp;H1283&amp;" "&amp;I1283&amp;" "&amp;M1283&amp;" "&amp;N1283&amp;" "&amp;T1283))),ISNUMBER(SEARCH("banking",LOWER(F1283&amp;" "&amp;H1283&amp;" "&amp;I1283&amp;" "&amp;M1283&amp;" "&amp;N1283&amp;" "&amp;T1283)))),"PRIVATE_QUARANTINE",IF(OR(ISNUMBER(SEARCH("treasury",LOWER(F1283&amp;" "&amp;H1283&amp;" "&amp;I1283&amp;" "&amp;M1283&amp;" "&amp;N1283&amp;" "&amp;T1283))),ISNUMBER(SEARCH("debt",LOWER(F1283&amp;" "&amp;H1283&amp;" "&amp;I1283&amp;" "&amp;M1283&amp;" "&amp;N1283&amp;" "&amp;T1283))),ISNUMBER(SEARCH("bond",LOWER(F1283&amp;" "&amp;H1283&amp;" "&amp;I1283&amp;" "&amp;M1283&amp;" "&amp;N1283&amp;" "&amp;T1283))),ISNUMBER(SEARCH("transaction",LOWER(F1283&amp;" "&amp;H1283&amp;" "&amp;I1283&amp;" "&amp;M1283&amp;" "&amp;N1283&amp;" "&amp;T1283)))),"PRIVATE_REVIEW","PUBLIC_CANDIDATE"))</x:f>
        <x:v>PUBLIC_CANDIDATE</x:v>
      </x:c>
      <x:c r="AD1283" s="12" t="str">
        <x:f>IF(AC1283="PRIVATE_QUARANTINE","hacker_or_bank_trigger",IF(AC1283="PRIVATE_REVIEW","finance_risk_trigger","none"))</x:f>
        <x:v>none</x:v>
      </x:c>
      <x:c r="AE1283" s="12" t="str">
        <x:f>IF(AC1283="PUBLIC_CANDIDATE","prepare_public_github_candidate",IF(AC1283="PRIVATE_REVIEW","hold_for_private_review","quarantine_private_do_not_publish"))</x:f>
        <x:v>prepare_public_github_candidate</x:v>
      </x:c>
      <x:c r="AF1283" s="12" t="str">
        <x:f>IF(AC1283="PUBLIC_CANDIDATE","TIDELOCK + Lucerna",IF(AC1283="PRIVATE_REVIEW","AtlasBrain + Lucerna","TIDELOCK + Lucerna + Human-root"))</x:f>
        <x:v>TIDELOCK + Lucerna</x:v>
      </x:c>
      <x:c r="AG1283" s="12" t="str">
        <x:f>IF(AND(AC1283="PUBLIC_CANDIDATE",U1283&lt;&gt;"BLOCKED_PENDING_RECEIPT"),"READY_AFTER_RECEIPT","NOT_READY")</x:f>
        <x:v>NOT_READY</x:v>
      </x:c>
      <x:c r="AH1283" s="12" t="str">
        <x:f>IF(AC1283="PUBLIC_CANDIDATE","none",AD1283)</x:f>
        <x:v>none</x:v>
      </x:c>
      <x:c r="AI1283" s="12" t="str">
        <x:f>IF(AC1283="PUBLIC_CANDIDATE","archive/public_candidates/"&amp;A1283,"private_quarantine/"&amp;A1283)</x:f>
        <x:v>archive/public_candidates/SWARM-09-H11-S10</x:v>
      </x:c>
      <x:c r="AJ1283" s="12" t="str">
        <x:f>IF(AC1283="PUBLIC_CANDIDATE","public by default; still not canon","private/hold; do not publish")</x:f>
        <x:v>public by default; still not canon</x:v>
      </x:c>
      <x:c r="AK1283" s="12" t="str">
        <x:f>IF(AE1283="prepare_public_github_candidate","add receipt/status then mirror","resolve blocker before any public GitHub action")</x:f>
        <x:v>add receipt/status then mirror</x:v>
      </x:c>
    </x:row>
    <x:row r="1284">
      <x:c r="A1284" s="15" t="str">
        <x:v>SWARM-09-H11-S11</x:v>
      </x:c>
      <x:c r="B1284" s="15" t="str">
        <x:v>NotionMoth</x:v>
      </x:c>
      <x:c r="C1284" s="15" t="str">
        <x:v>Notion ontology mapper</x:v>
      </x:c>
      <x:c r="D1284" s="15" t="str">
        <x:v>Aetherforge UX</x:v>
      </x:c>
      <x:c r="E1284" s="15" t="str">
        <x:v>Automation</x:v>
      </x:c>
      <x:c r="F1284" s="15" t="str">
        <x:v>Design quest card for Automation — NotionMoth</x:v>
      </x:c>
      <x:c r="G1284" s="15" t="str">
        <x:v>legacy schema / Notion export prep</x:v>
      </x:c>
      <x:c r="H1284" s="15" t="str">
        <x:v>source path + receipt + raw/export status + claim/edge/risk delta</x:v>
      </x:c>
      <x:c r="I1284" s="15" t="str">
        <x:v>packet/SWARM-09-H11-S11</x:v>
      </x:c>
      <x:c r="J1284" s="15" t="str">
        <x:v>TODO</x:v>
      </x:c>
      <x:c r="K1284" s="15" t="str">
        <x:v>P2</x:v>
      </x:c>
      <x:c r="L1284" s="15" t="str">
        <x:v>Done only when evidence is logged, contradiction search is noted, and boundary stamp remains non-canon unless ratified</x:v>
      </x:c>
      <x:c r="M1284" s="15" t="str">
        <x:v>candidate / staging-only / not canon / not deployed / authority none</x:v>
      </x:c>
      <x:c r="N1284" s="15" t="str">
        <x:v>Dispatch to NotionMoth: complete Aetherforge UX x Automation; return deltas only, receipts required.</x:v>
      </x:c>
      <x:c r="O1284" s="15" t="str">
        <x:v>AF-KG-H11-S11</x:v>
      </x:c>
      <x:c r="P1284" s="15" t="str">
        <x:v>Unverified</x:v>
      </x:c>
      <x:c r="Q1284" s="15" t="str">
        <x:v>Not checked</x:v>
      </x:c>
      <x:c r="R1284" s="15" t="str"/>
      <x:c r="S1284" s="15" t="str"/>
      <x:c r="T1284" s="15" t="str">
        <x:v>Log first source path or blocker</x:v>
      </x:c>
      <x:c r="U1284" s="12" t="str">
        <x:f>IF(OR(P1284="Unverified",Q1284="Not checked"),"BLOCKED_PENDING_RECEIPT","READY_FOR_REVIEW")</x:f>
        <x:v>BLOCKED_PENDING_RECEIPT</x:v>
      </x:c>
      <x:c r="V1284" s="12" t="str">
        <x:f>IF(J1284="DONE","RETURNED",IF(U1284="BLOCKED_PENDING_RECEIPT","SOURCE_TOUCH_REQUIRED","IN_PROGRESS"))</x:f>
        <x:v>SOURCE_TOUCH_REQUIRED</x:v>
      </x:c>
      <x:c r="W1284" s="12" t="str">
        <x:f>IF(P1284="Unverified","missing_receipt","receipt_logged")</x:f>
        <x:v>missing_receipt</x:v>
      </x:c>
      <x:c r="X1284" s="12" t="str">
        <x:f>IF(Q1284="Not checked","raw_status_missing","raw_status_logged")</x:f>
        <x:v>raw_status_missing</x:v>
      </x:c>
      <x:c r="Y1284" s="12" t="str">
        <x:f>IF(U1284="BLOCKED_PENDING_RECEIPT","Log source path or blocker; do not promote","Route to review lane")</x:f>
        <x:v>Log source path or blocker; do not promote</x:v>
      </x:c>
      <x:c r="Z1284" s="12" t="str">
        <x:f>IF(K1284="P0","Primary seat + Hashlight/Lucerna","Seat lane")</x:f>
        <x:v>Seat lane</x:v>
      </x:c>
      <x:c r="AA1284" s="12" t="str">
        <x:f>IF(R1284="","no_claim_delta","claim_delta_present")</x:f>
        <x:v>no_claim_delta</x:v>
      </x:c>
      <x:c r="AB1284" s="12" t="str">
        <x:f>IF(S1284="","no_contradiction_delta","contradiction_delta_present")</x:f>
        <x:v>no_contradiction_delta</x:v>
      </x:c>
      <x:c r="AC1284" s="12" t="str">
        <x:f>IF(OR(ISNUMBER(SEARCH("hacker",LOWER(F1284&amp;" "&amp;H1284&amp;" "&amp;I1284&amp;" "&amp;M1284&amp;" "&amp;N1284&amp;" "&amp;T1284))),ISNUMBER(SEARCH("hacking",LOWER(F1284&amp;" "&amp;H1284&amp;" "&amp;I1284&amp;" "&amp;M1284&amp;" "&amp;N1284&amp;" "&amp;T1284))),ISNUMBER(SEARCH("bank",LOWER(F1284&amp;" "&amp;H1284&amp;" "&amp;I1284&amp;" "&amp;M1284&amp;" "&amp;N1284&amp;" "&amp;T1284))),ISNUMBER(SEARCH("banking",LOWER(F1284&amp;" "&amp;H1284&amp;" "&amp;I1284&amp;" "&amp;M1284&amp;" "&amp;N1284&amp;" "&amp;T1284)))),"PRIVATE_QUARANTINE",IF(OR(ISNUMBER(SEARCH("treasury",LOWER(F1284&amp;" "&amp;H1284&amp;" "&amp;I1284&amp;" "&amp;M1284&amp;" "&amp;N1284&amp;" "&amp;T1284))),ISNUMBER(SEARCH("debt",LOWER(F1284&amp;" "&amp;H1284&amp;" "&amp;I1284&amp;" "&amp;M1284&amp;" "&amp;N1284&amp;" "&amp;T1284))),ISNUMBER(SEARCH("bond",LOWER(F1284&amp;" "&amp;H1284&amp;" "&amp;I1284&amp;" "&amp;M1284&amp;" "&amp;N1284&amp;" "&amp;T1284))),ISNUMBER(SEARCH("transaction",LOWER(F1284&amp;" "&amp;H1284&amp;" "&amp;I1284&amp;" "&amp;M1284&amp;" "&amp;N1284&amp;" "&amp;T1284)))),"PRIVATE_REVIEW","PUBLIC_CANDIDATE"))</x:f>
        <x:v>PUBLIC_CANDIDATE</x:v>
      </x:c>
      <x:c r="AD1284" s="12" t="str">
        <x:f>IF(AC1284="PRIVATE_QUARANTINE","hacker_or_bank_trigger",IF(AC1284="PRIVATE_REVIEW","finance_risk_trigger","none"))</x:f>
        <x:v>none</x:v>
      </x:c>
      <x:c r="AE1284" s="12" t="str">
        <x:f>IF(AC1284="PUBLIC_CANDIDATE","prepare_public_github_candidate",IF(AC1284="PRIVATE_REVIEW","hold_for_private_review","quarantine_private_do_not_publish"))</x:f>
        <x:v>prepare_public_github_candidate</x:v>
      </x:c>
      <x:c r="AF1284" s="12" t="str">
        <x:f>IF(AC1284="PUBLIC_CANDIDATE","TIDELOCK + Lucerna",IF(AC1284="PRIVATE_REVIEW","AtlasBrain + Lucerna","TIDELOCK + Lucerna + Human-root"))</x:f>
        <x:v>TIDELOCK + Lucerna</x:v>
      </x:c>
      <x:c r="AG1284" s="12" t="str">
        <x:f>IF(AND(AC1284="PUBLIC_CANDIDATE",U1284&lt;&gt;"BLOCKED_PENDING_RECEIPT"),"READY_AFTER_RECEIPT","NOT_READY")</x:f>
        <x:v>NOT_READY</x:v>
      </x:c>
      <x:c r="AH1284" s="12" t="str">
        <x:f>IF(AC1284="PUBLIC_CANDIDATE","none",AD1284)</x:f>
        <x:v>none</x:v>
      </x:c>
      <x:c r="AI1284" s="12" t="str">
        <x:f>IF(AC1284="PUBLIC_CANDIDATE","archive/public_candidates/"&amp;A1284,"private_quarantine/"&amp;A1284)</x:f>
        <x:v>archive/public_candidates/SWARM-09-H11-S11</x:v>
      </x:c>
      <x:c r="AJ1284" s="12" t="str">
        <x:f>IF(AC1284="PUBLIC_CANDIDATE","public by default; still not canon","private/hold; do not publish")</x:f>
        <x:v>public by default; still not canon</x:v>
      </x:c>
      <x:c r="AK1284" s="12" t="str">
        <x:f>IF(AE1284="prepare_public_github_candidate","add receipt/status then mirror","resolve blocker before any public GitHub action")</x:f>
        <x:v>add receipt/status then mirror</x:v>
      </x:c>
    </x:row>
    <x:row r="1285">
      <x:c r="A1285" s="15" t="str">
        <x:v>SWARM-09-H11-S12</x:v>
      </x:c>
      <x:c r="B1285" s="15" t="str">
        <x:v>NotionMoth</x:v>
      </x:c>
      <x:c r="C1285" s="15" t="str">
        <x:v>Notion ontology mapper</x:v>
      </x:c>
      <x:c r="D1285" s="15" t="str">
        <x:v>Aetherforge UX</x:v>
      </x:c>
      <x:c r="E1285" s="15" t="str">
        <x:v>Risk / Safety</x:v>
      </x:c>
      <x:c r="F1285" s="15" t="str">
        <x:v>Design quest card for Risk / Safety — NotionMoth</x:v>
      </x:c>
      <x:c r="G1285" s="15" t="str">
        <x:v>legacy schema / Notion export prep</x:v>
      </x:c>
      <x:c r="H1285" s="15" t="str">
        <x:v>source path + receipt + raw/export status + claim/edge/risk delta</x:v>
      </x:c>
      <x:c r="I1285" s="15" t="str">
        <x:v>packet/SWARM-09-H11-S12</x:v>
      </x:c>
      <x:c r="J1285" s="15" t="str">
        <x:v>TODO</x:v>
      </x:c>
      <x:c r="K1285" s="15" t="str">
        <x:v>P2</x:v>
      </x:c>
      <x:c r="L1285" s="15" t="str">
        <x:v>Done only when evidence is logged, contradiction search is noted, and boundary stamp remains non-canon unless ratified</x:v>
      </x:c>
      <x:c r="M1285" s="15" t="str">
        <x:v>candidate / staging-only / not canon / not deployed / authority none</x:v>
      </x:c>
      <x:c r="N1285" s="15" t="str">
        <x:v>Dispatch to NotionMoth: complete Aetherforge UX x Risk / Safety; return deltas only, receipts required.</x:v>
      </x:c>
      <x:c r="O1285" s="15" t="str">
        <x:v>AF-KG-H11-S12</x:v>
      </x:c>
      <x:c r="P1285" s="15" t="str">
        <x:v>Unverified</x:v>
      </x:c>
      <x:c r="Q1285" s="15" t="str">
        <x:v>Not checked</x:v>
      </x:c>
      <x:c r="R1285" s="15" t="str"/>
      <x:c r="S1285" s="15" t="str"/>
      <x:c r="T1285" s="15" t="str">
        <x:v>Log first source path or blocker</x:v>
      </x:c>
      <x:c r="U1285" s="12" t="str">
        <x:f>IF(OR(P1285="Unverified",Q1285="Not checked"),"BLOCKED_PENDING_RECEIPT","READY_FOR_REVIEW")</x:f>
        <x:v>BLOCKED_PENDING_RECEIPT</x:v>
      </x:c>
      <x:c r="V1285" s="12" t="str">
        <x:f>IF(J1285="DONE","RETURNED",IF(U1285="BLOCKED_PENDING_RECEIPT","SOURCE_TOUCH_REQUIRED","IN_PROGRESS"))</x:f>
        <x:v>SOURCE_TOUCH_REQUIRED</x:v>
      </x:c>
      <x:c r="W1285" s="12" t="str">
        <x:f>IF(P1285="Unverified","missing_receipt","receipt_logged")</x:f>
        <x:v>missing_receipt</x:v>
      </x:c>
      <x:c r="X1285" s="12" t="str">
        <x:f>IF(Q1285="Not checked","raw_status_missing","raw_status_logged")</x:f>
        <x:v>raw_status_missing</x:v>
      </x:c>
      <x:c r="Y1285" s="12" t="str">
        <x:f>IF(U1285="BLOCKED_PENDING_RECEIPT","Log source path or blocker; do not promote","Route to review lane")</x:f>
        <x:v>Log source path or blocker; do not promote</x:v>
      </x:c>
      <x:c r="Z1285" s="12" t="str">
        <x:f>IF(K1285="P0","Primary seat + Hashlight/Lucerna","Seat lane")</x:f>
        <x:v>Seat lane</x:v>
      </x:c>
      <x:c r="AA1285" s="12" t="str">
        <x:f>IF(R1285="","no_claim_delta","claim_delta_present")</x:f>
        <x:v>no_claim_delta</x:v>
      </x:c>
      <x:c r="AB1285" s="12" t="str">
        <x:f>IF(S1285="","no_contradiction_delta","contradiction_delta_present")</x:f>
        <x:v>no_contradiction_delta</x:v>
      </x:c>
      <x:c r="AC1285" s="12" t="str">
        <x:f>IF(OR(ISNUMBER(SEARCH("hacker",LOWER(F1285&amp;" "&amp;H1285&amp;" "&amp;I1285&amp;" "&amp;M1285&amp;" "&amp;N1285&amp;" "&amp;T1285))),ISNUMBER(SEARCH("hacking",LOWER(F1285&amp;" "&amp;H1285&amp;" "&amp;I1285&amp;" "&amp;M1285&amp;" "&amp;N1285&amp;" "&amp;T1285))),ISNUMBER(SEARCH("bank",LOWER(F1285&amp;" "&amp;H1285&amp;" "&amp;I1285&amp;" "&amp;M1285&amp;" "&amp;N1285&amp;" "&amp;T1285))),ISNUMBER(SEARCH("banking",LOWER(F1285&amp;" "&amp;H1285&amp;" "&amp;I1285&amp;" "&amp;M1285&amp;" "&amp;N1285&amp;" "&amp;T1285)))),"PRIVATE_QUARANTINE",IF(OR(ISNUMBER(SEARCH("treasury",LOWER(F1285&amp;" "&amp;H1285&amp;" "&amp;I1285&amp;" "&amp;M1285&amp;" "&amp;N1285&amp;" "&amp;T1285))),ISNUMBER(SEARCH("debt",LOWER(F1285&amp;" "&amp;H1285&amp;" "&amp;I1285&amp;" "&amp;M1285&amp;" "&amp;N1285&amp;" "&amp;T1285))),ISNUMBER(SEARCH("bond",LOWER(F1285&amp;" "&amp;H1285&amp;" "&amp;I1285&amp;" "&amp;M1285&amp;" "&amp;N1285&amp;" "&amp;T1285))),ISNUMBER(SEARCH("transaction",LOWER(F1285&amp;" "&amp;H1285&amp;" "&amp;I1285&amp;" "&amp;M1285&amp;" "&amp;N1285&amp;" "&amp;T1285)))),"PRIVATE_REVIEW","PUBLIC_CANDIDATE"))</x:f>
        <x:v>PUBLIC_CANDIDATE</x:v>
      </x:c>
      <x:c r="AD1285" s="12" t="str">
        <x:f>IF(AC1285="PRIVATE_QUARANTINE","hacker_or_bank_trigger",IF(AC1285="PRIVATE_REVIEW","finance_risk_trigger","none"))</x:f>
        <x:v>none</x:v>
      </x:c>
      <x:c r="AE1285" s="12" t="str">
        <x:f>IF(AC1285="PUBLIC_CANDIDATE","prepare_public_github_candidate",IF(AC1285="PRIVATE_REVIEW","hold_for_private_review","quarantine_private_do_not_publish"))</x:f>
        <x:v>prepare_public_github_candidate</x:v>
      </x:c>
      <x:c r="AF1285" s="12" t="str">
        <x:f>IF(AC1285="PUBLIC_CANDIDATE","TIDELOCK + Lucerna",IF(AC1285="PRIVATE_REVIEW","AtlasBrain + Lucerna","TIDELOCK + Lucerna + Human-root"))</x:f>
        <x:v>TIDELOCK + Lucerna</x:v>
      </x:c>
      <x:c r="AG1285" s="12" t="str">
        <x:f>IF(AND(AC1285="PUBLIC_CANDIDATE",U1285&lt;&gt;"BLOCKED_PENDING_RECEIPT"),"READY_AFTER_RECEIPT","NOT_READY")</x:f>
        <x:v>NOT_READY</x:v>
      </x:c>
      <x:c r="AH1285" s="12" t="str">
        <x:f>IF(AC1285="PUBLIC_CANDIDATE","none",AD1285)</x:f>
        <x:v>none</x:v>
      </x:c>
      <x:c r="AI1285" s="12" t="str">
        <x:f>IF(AC1285="PUBLIC_CANDIDATE","archive/public_candidates/"&amp;A1285,"private_quarantine/"&amp;A1285)</x:f>
        <x:v>archive/public_candidates/SWARM-09-H11-S12</x:v>
      </x:c>
      <x:c r="AJ1285" s="12" t="str">
        <x:f>IF(AC1285="PUBLIC_CANDIDATE","public by default; still not canon","private/hold; do not publish")</x:f>
        <x:v>public by default; still not canon</x:v>
      </x:c>
      <x:c r="AK1285" s="12" t="str">
        <x:f>IF(AE1285="prepare_public_github_candidate","add receipt/status then mirror","resolve blocker before any public GitHub action")</x:f>
        <x:v>add receipt/status then mirror</x:v>
      </x:c>
    </x:row>
    <x:row r="1286">
      <x:c r="A1286" s="15" t="str">
        <x:v>SWARM-09-H12-S01</x:v>
      </x:c>
      <x:c r="B1286" s="15" t="str">
        <x:v>NotionMoth</x:v>
      </x:c>
      <x:c r="C1286" s="15" t="str">
        <x:v>Notion ontology mapper</x:v>
      </x:c>
      <x:c r="D1286" s="15" t="str">
        <x:v>Canon-Gate Prep</x:v>
      </x:c>
      <x:c r="E1286" s="15" t="str">
        <x:v>Notion</x:v>
      </x:c>
      <x:c r="F1286" s="15" t="str">
        <x:v>Prepare canon-gate brief for Notion — NotionMoth</x:v>
      </x:c>
      <x:c r="G1286" s="15" t="str">
        <x:v>legacy schema / Notion export prep</x:v>
      </x:c>
      <x:c r="H1286" s="15" t="str">
        <x:v>source path + receipt + raw/export status + claim/edge/risk delta</x:v>
      </x:c>
      <x:c r="I1286" s="15" t="str">
        <x:v>packet/SWARM-09-H12-S01</x:v>
      </x:c>
      <x:c r="J1286" s="15" t="str">
        <x:v>TODO</x:v>
      </x:c>
      <x:c r="K1286" s="15" t="str">
        <x:v>P0</x:v>
      </x:c>
      <x:c r="L1286" s="15" t="str">
        <x:v>Done only when evidence is logged, contradiction search is noted, and boundary stamp remains non-canon unless ratified</x:v>
      </x:c>
      <x:c r="M1286" s="15" t="str">
        <x:v>candidate / staging-only / not canon / not deployed / authority none</x:v>
      </x:c>
      <x:c r="N1286" s="15" t="str">
        <x:v>Dispatch to NotionMoth: complete Canon-Gate Prep x Notion; return deltas only, receipts required.</x:v>
      </x:c>
      <x:c r="O1286" s="15" t="str">
        <x:v>AF-KG-H12-S01</x:v>
      </x:c>
      <x:c r="P1286" s="15" t="str">
        <x:v>Unverified</x:v>
      </x:c>
      <x:c r="Q1286" s="15" t="str">
        <x:v>Not checked</x:v>
      </x:c>
      <x:c r="R1286" s="15" t="str"/>
      <x:c r="S1286" s="15" t="str"/>
      <x:c r="T1286" s="15" t="str">
        <x:v>Log first source path or blocker</x:v>
      </x:c>
      <x:c r="U1286" s="12" t="str">
        <x:f>IF(OR(P1286="Unverified",Q1286="Not checked"),"BLOCKED_PENDING_RECEIPT","READY_FOR_REVIEW")</x:f>
        <x:v>BLOCKED_PENDING_RECEIPT</x:v>
      </x:c>
      <x:c r="V1286" s="12" t="str">
        <x:f>IF(J1286="DONE","RETURNED",IF(U1286="BLOCKED_PENDING_RECEIPT","SOURCE_TOUCH_REQUIRED","IN_PROGRESS"))</x:f>
        <x:v>SOURCE_TOUCH_REQUIRED</x:v>
      </x:c>
      <x:c r="W1286" s="12" t="str">
        <x:f>IF(P1286="Unverified","missing_receipt","receipt_logged")</x:f>
        <x:v>missing_receipt</x:v>
      </x:c>
      <x:c r="X1286" s="12" t="str">
        <x:f>IF(Q1286="Not checked","raw_status_missing","raw_status_logged")</x:f>
        <x:v>raw_status_missing</x:v>
      </x:c>
      <x:c r="Y1286" s="12" t="str">
        <x:f>IF(U1286="BLOCKED_PENDING_RECEIPT","Log source path or blocker; do not promote","Route to review lane")</x:f>
        <x:v>Log source path or blocker; do not promote</x:v>
      </x:c>
      <x:c r="Z1286" s="12" t="str">
        <x:f>IF(K1286="P0","Primary seat + Hashlight/Lucerna","Seat lane")</x:f>
        <x:v>Primary seat + Hashlight/Lucerna</x:v>
      </x:c>
      <x:c r="AA1286" s="12" t="str">
        <x:f>IF(R1286="","no_claim_delta","claim_delta_present")</x:f>
        <x:v>no_claim_delta</x:v>
      </x:c>
      <x:c r="AB1286" s="12" t="str">
        <x:f>IF(S1286="","no_contradiction_delta","contradiction_delta_present")</x:f>
        <x:v>no_contradiction_delta</x:v>
      </x:c>
      <x:c r="AC1286" s="12" t="str">
        <x:f>IF(OR(ISNUMBER(SEARCH("hacker",LOWER(F1286&amp;" "&amp;H1286&amp;" "&amp;I1286&amp;" "&amp;M1286&amp;" "&amp;N1286&amp;" "&amp;T1286))),ISNUMBER(SEARCH("hacking",LOWER(F1286&amp;" "&amp;H1286&amp;" "&amp;I1286&amp;" "&amp;M1286&amp;" "&amp;N1286&amp;" "&amp;T1286))),ISNUMBER(SEARCH("bank",LOWER(F1286&amp;" "&amp;H1286&amp;" "&amp;I1286&amp;" "&amp;M1286&amp;" "&amp;N1286&amp;" "&amp;T1286))),ISNUMBER(SEARCH("banking",LOWER(F1286&amp;" "&amp;H1286&amp;" "&amp;I1286&amp;" "&amp;M1286&amp;" "&amp;N1286&amp;" "&amp;T1286)))),"PRIVATE_QUARANTINE",IF(OR(ISNUMBER(SEARCH("treasury",LOWER(F1286&amp;" "&amp;H1286&amp;" "&amp;I1286&amp;" "&amp;M1286&amp;" "&amp;N1286&amp;" "&amp;T1286))),ISNUMBER(SEARCH("debt",LOWER(F1286&amp;" "&amp;H1286&amp;" "&amp;I1286&amp;" "&amp;M1286&amp;" "&amp;N1286&amp;" "&amp;T1286))),ISNUMBER(SEARCH("bond",LOWER(F1286&amp;" "&amp;H1286&amp;" "&amp;I1286&amp;" "&amp;M1286&amp;" "&amp;N1286&amp;" "&amp;T1286))),ISNUMBER(SEARCH("transaction",LOWER(F1286&amp;" "&amp;H1286&amp;" "&amp;I1286&amp;" "&amp;M1286&amp;" "&amp;N1286&amp;" "&amp;T1286)))),"PRIVATE_REVIEW","PUBLIC_CANDIDATE"))</x:f>
        <x:v>PUBLIC_CANDIDATE</x:v>
      </x:c>
      <x:c r="AD1286" s="12" t="str">
        <x:f>IF(AC1286="PRIVATE_QUARANTINE","hacker_or_bank_trigger",IF(AC1286="PRIVATE_REVIEW","finance_risk_trigger","none"))</x:f>
        <x:v>none</x:v>
      </x:c>
      <x:c r="AE1286" s="12" t="str">
        <x:f>IF(AC1286="PUBLIC_CANDIDATE","prepare_public_github_candidate",IF(AC1286="PRIVATE_REVIEW","hold_for_private_review","quarantine_private_do_not_publish"))</x:f>
        <x:v>prepare_public_github_candidate</x:v>
      </x:c>
      <x:c r="AF1286" s="12" t="str">
        <x:f>IF(AC1286="PUBLIC_CANDIDATE","TIDELOCK + Lucerna",IF(AC1286="PRIVATE_REVIEW","AtlasBrain + Lucerna","TIDELOCK + Lucerna + Human-root"))</x:f>
        <x:v>TIDELOCK + Lucerna</x:v>
      </x:c>
      <x:c r="AG1286" s="12" t="str">
        <x:f>IF(AND(AC1286="PUBLIC_CANDIDATE",U1286&lt;&gt;"BLOCKED_PENDING_RECEIPT"),"READY_AFTER_RECEIPT","NOT_READY")</x:f>
        <x:v>NOT_READY</x:v>
      </x:c>
      <x:c r="AH1286" s="12" t="str">
        <x:f>IF(AC1286="PUBLIC_CANDIDATE","none",AD1286)</x:f>
        <x:v>none</x:v>
      </x:c>
      <x:c r="AI1286" s="12" t="str">
        <x:f>IF(AC1286="PUBLIC_CANDIDATE","archive/public_candidates/"&amp;A1286,"private_quarantine/"&amp;A1286)</x:f>
        <x:v>archive/public_candidates/SWARM-09-H12-S01</x:v>
      </x:c>
      <x:c r="AJ1286" s="12" t="str">
        <x:f>IF(AC1286="PUBLIC_CANDIDATE","public by default; still not canon","private/hold; do not publish")</x:f>
        <x:v>public by default; still not canon</x:v>
      </x:c>
      <x:c r="AK1286" s="12" t="str">
        <x:f>IF(AE1286="prepare_public_github_candidate","add receipt/status then mirror","resolve blocker before any public GitHub action")</x:f>
        <x:v>add receipt/status then mirror</x:v>
      </x:c>
    </x:row>
    <x:row r="1287">
      <x:c r="A1287" s="15" t="str">
        <x:v>SWARM-09-H12-S02</x:v>
      </x:c>
      <x:c r="B1287" s="15" t="str">
        <x:v>NotionMoth</x:v>
      </x:c>
      <x:c r="C1287" s="15" t="str">
        <x:v>Notion ontology mapper</x:v>
      </x:c>
      <x:c r="D1287" s="15" t="str">
        <x:v>Canon-Gate Prep</x:v>
      </x:c>
      <x:c r="E1287" s="15" t="str">
        <x:v>Drive</x:v>
      </x:c>
      <x:c r="F1287" s="15" t="str">
        <x:v>Prepare canon-gate brief for Drive — NotionMoth</x:v>
      </x:c>
      <x:c r="G1287" s="15" t="str">
        <x:v>legacy schema / Notion export prep</x:v>
      </x:c>
      <x:c r="H1287" s="15" t="str">
        <x:v>source path + receipt + raw/export status + claim/edge/risk delta</x:v>
      </x:c>
      <x:c r="I1287" s="15" t="str">
        <x:v>packet/SWARM-09-H12-S02</x:v>
      </x:c>
      <x:c r="J1287" s="15" t="str">
        <x:v>TODO</x:v>
      </x:c>
      <x:c r="K1287" s="15" t="str">
        <x:v>P0</x:v>
      </x:c>
      <x:c r="L1287" s="15" t="str">
        <x:v>Done only when evidence is logged, contradiction search is noted, and boundary stamp remains non-canon unless ratified</x:v>
      </x:c>
      <x:c r="M1287" s="15" t="str">
        <x:v>candidate / staging-only / not canon / not deployed / authority none</x:v>
      </x:c>
      <x:c r="N1287" s="15" t="str">
        <x:v>Dispatch to NotionMoth: complete Canon-Gate Prep x Drive; return deltas only, receipts required.</x:v>
      </x:c>
      <x:c r="O1287" s="15" t="str">
        <x:v>AF-KG-H12-S02</x:v>
      </x:c>
      <x:c r="P1287" s="15" t="str">
        <x:v>Unverified</x:v>
      </x:c>
      <x:c r="Q1287" s="15" t="str">
        <x:v>Not checked</x:v>
      </x:c>
      <x:c r="R1287" s="15" t="str"/>
      <x:c r="S1287" s="15" t="str"/>
      <x:c r="T1287" s="15" t="str">
        <x:v>Log first source path or blocker</x:v>
      </x:c>
      <x:c r="U1287" s="12" t="str">
        <x:f>IF(OR(P1287="Unverified",Q1287="Not checked"),"BLOCKED_PENDING_RECEIPT","READY_FOR_REVIEW")</x:f>
        <x:v>BLOCKED_PENDING_RECEIPT</x:v>
      </x:c>
      <x:c r="V1287" s="12" t="str">
        <x:f>IF(J1287="DONE","RETURNED",IF(U1287="BLOCKED_PENDING_RECEIPT","SOURCE_TOUCH_REQUIRED","IN_PROGRESS"))</x:f>
        <x:v>SOURCE_TOUCH_REQUIRED</x:v>
      </x:c>
      <x:c r="W1287" s="12" t="str">
        <x:f>IF(P1287="Unverified","missing_receipt","receipt_logged")</x:f>
        <x:v>missing_receipt</x:v>
      </x:c>
      <x:c r="X1287" s="12" t="str">
        <x:f>IF(Q1287="Not checked","raw_status_missing","raw_status_logged")</x:f>
        <x:v>raw_status_missing</x:v>
      </x:c>
      <x:c r="Y1287" s="12" t="str">
        <x:f>IF(U1287="BLOCKED_PENDING_RECEIPT","Log source path or blocker; do not promote","Route to review lane")</x:f>
        <x:v>Log source path or blocker; do not promote</x:v>
      </x:c>
      <x:c r="Z1287" s="12" t="str">
        <x:f>IF(K1287="P0","Primary seat + Hashlight/Lucerna","Seat lane")</x:f>
        <x:v>Primary seat + Hashlight/Lucerna</x:v>
      </x:c>
      <x:c r="AA1287" s="12" t="str">
        <x:f>IF(R1287="","no_claim_delta","claim_delta_present")</x:f>
        <x:v>no_claim_delta</x:v>
      </x:c>
      <x:c r="AB1287" s="12" t="str">
        <x:f>IF(S1287="","no_contradiction_delta","contradiction_delta_present")</x:f>
        <x:v>no_contradiction_delta</x:v>
      </x:c>
      <x:c r="AC1287" s="12" t="str">
        <x:f>IF(OR(ISNUMBER(SEARCH("hacker",LOWER(F1287&amp;" "&amp;H1287&amp;" "&amp;I1287&amp;" "&amp;M1287&amp;" "&amp;N1287&amp;" "&amp;T1287))),ISNUMBER(SEARCH("hacking",LOWER(F1287&amp;" "&amp;H1287&amp;" "&amp;I1287&amp;" "&amp;M1287&amp;" "&amp;N1287&amp;" "&amp;T1287))),ISNUMBER(SEARCH("bank",LOWER(F1287&amp;" "&amp;H1287&amp;" "&amp;I1287&amp;" "&amp;M1287&amp;" "&amp;N1287&amp;" "&amp;T1287))),ISNUMBER(SEARCH("banking",LOWER(F1287&amp;" "&amp;H1287&amp;" "&amp;I1287&amp;" "&amp;M1287&amp;" "&amp;N1287&amp;" "&amp;T1287)))),"PRIVATE_QUARANTINE",IF(OR(ISNUMBER(SEARCH("treasury",LOWER(F1287&amp;" "&amp;H1287&amp;" "&amp;I1287&amp;" "&amp;M1287&amp;" "&amp;N1287&amp;" "&amp;T1287))),ISNUMBER(SEARCH("debt",LOWER(F1287&amp;" "&amp;H1287&amp;" "&amp;I1287&amp;" "&amp;M1287&amp;" "&amp;N1287&amp;" "&amp;T1287))),ISNUMBER(SEARCH("bond",LOWER(F1287&amp;" "&amp;H1287&amp;" "&amp;I1287&amp;" "&amp;M1287&amp;" "&amp;N1287&amp;" "&amp;T1287))),ISNUMBER(SEARCH("transaction",LOWER(F1287&amp;" "&amp;H1287&amp;" "&amp;I1287&amp;" "&amp;M1287&amp;" "&amp;N1287&amp;" "&amp;T1287)))),"PRIVATE_REVIEW","PUBLIC_CANDIDATE"))</x:f>
        <x:v>PUBLIC_CANDIDATE</x:v>
      </x:c>
      <x:c r="AD1287" s="12" t="str">
        <x:f>IF(AC1287="PRIVATE_QUARANTINE","hacker_or_bank_trigger",IF(AC1287="PRIVATE_REVIEW","finance_risk_trigger","none"))</x:f>
        <x:v>none</x:v>
      </x:c>
      <x:c r="AE1287" s="12" t="str">
        <x:f>IF(AC1287="PUBLIC_CANDIDATE","prepare_public_github_candidate",IF(AC1287="PRIVATE_REVIEW","hold_for_private_review","quarantine_private_do_not_publish"))</x:f>
        <x:v>prepare_public_github_candidate</x:v>
      </x:c>
      <x:c r="AF1287" s="12" t="str">
        <x:f>IF(AC1287="PUBLIC_CANDIDATE","TIDELOCK + Lucerna",IF(AC1287="PRIVATE_REVIEW","AtlasBrain + Lucerna","TIDELOCK + Lucerna + Human-root"))</x:f>
        <x:v>TIDELOCK + Lucerna</x:v>
      </x:c>
      <x:c r="AG1287" s="12" t="str">
        <x:f>IF(AND(AC1287="PUBLIC_CANDIDATE",U1287&lt;&gt;"BLOCKED_PENDING_RECEIPT"),"READY_AFTER_RECEIPT","NOT_READY")</x:f>
        <x:v>NOT_READY</x:v>
      </x:c>
      <x:c r="AH1287" s="12" t="str">
        <x:f>IF(AC1287="PUBLIC_CANDIDATE","none",AD1287)</x:f>
        <x:v>none</x:v>
      </x:c>
      <x:c r="AI1287" s="12" t="str">
        <x:f>IF(AC1287="PUBLIC_CANDIDATE","archive/public_candidates/"&amp;A1287,"private_quarantine/"&amp;A1287)</x:f>
        <x:v>archive/public_candidates/SWARM-09-H12-S02</x:v>
      </x:c>
      <x:c r="AJ1287" s="12" t="str">
        <x:f>IF(AC1287="PUBLIC_CANDIDATE","public by default; still not canon","private/hold; do not publish")</x:f>
        <x:v>public by default; still not canon</x:v>
      </x:c>
      <x:c r="AK1287" s="12" t="str">
        <x:f>IF(AE1287="prepare_public_github_candidate","add receipt/status then mirror","resolve blocker before any public GitHub action")</x:f>
        <x:v>add receipt/status then mirror</x:v>
      </x:c>
    </x:row>
    <x:row r="1288">
      <x:c r="A1288" s="15" t="str">
        <x:v>SWARM-09-H12-S03</x:v>
      </x:c>
      <x:c r="B1288" s="15" t="str">
        <x:v>NotionMoth</x:v>
      </x:c>
      <x:c r="C1288" s="15" t="str">
        <x:v>Notion ontology mapper</x:v>
      </x:c>
      <x:c r="D1288" s="15" t="str">
        <x:v>Canon-Gate Prep</x:v>
      </x:c>
      <x:c r="E1288" s="15" t="str">
        <x:v>GitHub</x:v>
      </x:c>
      <x:c r="F1288" s="15" t="str">
        <x:v>Prepare canon-gate brief for GitHub — NotionMoth</x:v>
      </x:c>
      <x:c r="G1288" s="15" t="str">
        <x:v>legacy schema / Notion export prep</x:v>
      </x:c>
      <x:c r="H1288" s="15" t="str">
        <x:v>source path + receipt + raw/export status + claim/edge/risk delta</x:v>
      </x:c>
      <x:c r="I1288" s="15" t="str">
        <x:v>packet/SWARM-09-H12-S03</x:v>
      </x:c>
      <x:c r="J1288" s="15" t="str">
        <x:v>TODO</x:v>
      </x:c>
      <x:c r="K1288" s="15" t="str">
        <x:v>P0</x:v>
      </x:c>
      <x:c r="L1288" s="15" t="str">
        <x:v>Done only when evidence is logged, contradiction search is noted, and boundary stamp remains non-canon unless ratified</x:v>
      </x:c>
      <x:c r="M1288" s="15" t="str">
        <x:v>candidate / staging-only / not canon / not deployed / authority none</x:v>
      </x:c>
      <x:c r="N1288" s="15" t="str">
        <x:v>Dispatch to NotionMoth: complete Canon-Gate Prep x GitHub; return deltas only, receipts required.</x:v>
      </x:c>
      <x:c r="O1288" s="15" t="str">
        <x:v>AF-KG-H12-S03</x:v>
      </x:c>
      <x:c r="P1288" s="15" t="str">
        <x:v>Unverified</x:v>
      </x:c>
      <x:c r="Q1288" s="15" t="str">
        <x:v>Not checked</x:v>
      </x:c>
      <x:c r="R1288" s="15" t="str"/>
      <x:c r="S1288" s="15" t="str"/>
      <x:c r="T1288" s="15" t="str">
        <x:v>Log first source path or blocker</x:v>
      </x:c>
      <x:c r="U1288" s="12" t="str">
        <x:f>IF(OR(P1288="Unverified",Q1288="Not checked"),"BLOCKED_PENDING_RECEIPT","READY_FOR_REVIEW")</x:f>
        <x:v>BLOCKED_PENDING_RECEIPT</x:v>
      </x:c>
      <x:c r="V1288" s="12" t="str">
        <x:f>IF(J1288="DONE","RETURNED",IF(U1288="BLOCKED_PENDING_RECEIPT","SOURCE_TOUCH_REQUIRED","IN_PROGRESS"))</x:f>
        <x:v>SOURCE_TOUCH_REQUIRED</x:v>
      </x:c>
      <x:c r="W1288" s="12" t="str">
        <x:f>IF(P1288="Unverified","missing_receipt","receipt_logged")</x:f>
        <x:v>missing_receipt</x:v>
      </x:c>
      <x:c r="X1288" s="12" t="str">
        <x:f>IF(Q1288="Not checked","raw_status_missing","raw_status_logged")</x:f>
        <x:v>raw_status_missing</x:v>
      </x:c>
      <x:c r="Y1288" s="12" t="str">
        <x:f>IF(U1288="BLOCKED_PENDING_RECEIPT","Log source path or blocker; do not promote","Route to review lane")</x:f>
        <x:v>Log source path or blocker; do not promote</x:v>
      </x:c>
      <x:c r="Z1288" s="12" t="str">
        <x:f>IF(K1288="P0","Primary seat + Hashlight/Lucerna","Seat lane")</x:f>
        <x:v>Primary seat + Hashlight/Lucerna</x:v>
      </x:c>
      <x:c r="AA1288" s="12" t="str">
        <x:f>IF(R1288="","no_claim_delta","claim_delta_present")</x:f>
        <x:v>no_claim_delta</x:v>
      </x:c>
      <x:c r="AB1288" s="12" t="str">
        <x:f>IF(S1288="","no_contradiction_delta","contradiction_delta_present")</x:f>
        <x:v>no_contradiction_delta</x:v>
      </x:c>
      <x:c r="AC1288" s="12" t="str">
        <x:f>IF(OR(ISNUMBER(SEARCH("hacker",LOWER(F1288&amp;" "&amp;H1288&amp;" "&amp;I1288&amp;" "&amp;M1288&amp;" "&amp;N1288&amp;" "&amp;T1288))),ISNUMBER(SEARCH("hacking",LOWER(F1288&amp;" "&amp;H1288&amp;" "&amp;I1288&amp;" "&amp;M1288&amp;" "&amp;N1288&amp;" "&amp;T1288))),ISNUMBER(SEARCH("bank",LOWER(F1288&amp;" "&amp;H1288&amp;" "&amp;I1288&amp;" "&amp;M1288&amp;" "&amp;N1288&amp;" "&amp;T1288))),ISNUMBER(SEARCH("banking",LOWER(F1288&amp;" "&amp;H1288&amp;" "&amp;I1288&amp;" "&amp;M1288&amp;" "&amp;N1288&amp;" "&amp;T1288)))),"PRIVATE_QUARANTINE",IF(OR(ISNUMBER(SEARCH("treasury",LOWER(F1288&amp;" "&amp;H1288&amp;" "&amp;I1288&amp;" "&amp;M1288&amp;" "&amp;N1288&amp;" "&amp;T1288))),ISNUMBER(SEARCH("debt",LOWER(F1288&amp;" "&amp;H1288&amp;" "&amp;I1288&amp;" "&amp;M1288&amp;" "&amp;N1288&amp;" "&amp;T1288))),ISNUMBER(SEARCH("bond",LOWER(F1288&amp;" "&amp;H1288&amp;" "&amp;I1288&amp;" "&amp;M1288&amp;" "&amp;N1288&amp;" "&amp;T1288))),ISNUMBER(SEARCH("transaction",LOWER(F1288&amp;" "&amp;H1288&amp;" "&amp;I1288&amp;" "&amp;M1288&amp;" "&amp;N1288&amp;" "&amp;T1288)))),"PRIVATE_REVIEW","PUBLIC_CANDIDATE"))</x:f>
        <x:v>PUBLIC_CANDIDATE</x:v>
      </x:c>
      <x:c r="AD1288" s="12" t="str">
        <x:f>IF(AC1288="PRIVATE_QUARANTINE","hacker_or_bank_trigger",IF(AC1288="PRIVATE_REVIEW","finance_risk_trigger","none"))</x:f>
        <x:v>none</x:v>
      </x:c>
      <x:c r="AE1288" s="12" t="str">
        <x:f>IF(AC1288="PUBLIC_CANDIDATE","prepare_public_github_candidate",IF(AC1288="PRIVATE_REVIEW","hold_for_private_review","quarantine_private_do_not_publish"))</x:f>
        <x:v>prepare_public_github_candidate</x:v>
      </x:c>
      <x:c r="AF1288" s="12" t="str">
        <x:f>IF(AC1288="PUBLIC_CANDIDATE","TIDELOCK + Lucerna",IF(AC1288="PRIVATE_REVIEW","AtlasBrain + Lucerna","TIDELOCK + Lucerna + Human-root"))</x:f>
        <x:v>TIDELOCK + Lucerna</x:v>
      </x:c>
      <x:c r="AG1288" s="12" t="str">
        <x:f>IF(AND(AC1288="PUBLIC_CANDIDATE",U1288&lt;&gt;"BLOCKED_PENDING_RECEIPT"),"READY_AFTER_RECEIPT","NOT_READY")</x:f>
        <x:v>NOT_READY</x:v>
      </x:c>
      <x:c r="AH1288" s="12" t="str">
        <x:f>IF(AC1288="PUBLIC_CANDIDATE","none",AD1288)</x:f>
        <x:v>none</x:v>
      </x:c>
      <x:c r="AI1288" s="12" t="str">
        <x:f>IF(AC1288="PUBLIC_CANDIDATE","archive/public_candidates/"&amp;A1288,"private_quarantine/"&amp;A1288)</x:f>
        <x:v>archive/public_candidates/SWARM-09-H12-S03</x:v>
      </x:c>
      <x:c r="AJ1288" s="12" t="str">
        <x:f>IF(AC1288="PUBLIC_CANDIDATE","public by default; still not canon","private/hold; do not publish")</x:f>
        <x:v>public by default; still not canon</x:v>
      </x:c>
      <x:c r="AK1288" s="12" t="str">
        <x:f>IF(AE1288="prepare_public_github_candidate","add receipt/status then mirror","resolve blocker before any public GitHub action")</x:f>
        <x:v>add receipt/status then mirror</x:v>
      </x:c>
    </x:row>
    <x:row r="1289">
      <x:c r="A1289" s="15" t="str">
        <x:v>SWARM-09-H12-S04</x:v>
      </x:c>
      <x:c r="B1289" s="15" t="str">
        <x:v>NotionMoth</x:v>
      </x:c>
      <x:c r="C1289" s="15" t="str">
        <x:v>Notion ontology mapper</x:v>
      </x:c>
      <x:c r="D1289" s="15" t="str">
        <x:v>Canon-Gate Prep</x:v>
      </x:c>
      <x:c r="E1289" s="15" t="str">
        <x:v>Gamma</x:v>
      </x:c>
      <x:c r="F1289" s="15" t="str">
        <x:v>Prepare canon-gate brief for Gamma — NotionMoth</x:v>
      </x:c>
      <x:c r="G1289" s="15" t="str">
        <x:v>legacy schema / Notion export prep</x:v>
      </x:c>
      <x:c r="H1289" s="15" t="str">
        <x:v>source path + receipt + raw/export status + claim/edge/risk delta</x:v>
      </x:c>
      <x:c r="I1289" s="15" t="str">
        <x:v>packet/SWARM-09-H12-S04</x:v>
      </x:c>
      <x:c r="J1289" s="15" t="str">
        <x:v>TODO</x:v>
      </x:c>
      <x:c r="K1289" s="15" t="str">
        <x:v>P1</x:v>
      </x:c>
      <x:c r="L1289" s="15" t="str">
        <x:v>Done only when evidence is logged, contradiction search is noted, and boundary stamp remains non-canon unless ratified</x:v>
      </x:c>
      <x:c r="M1289" s="15" t="str">
        <x:v>candidate / staging-only / not canon / not deployed / authority none</x:v>
      </x:c>
      <x:c r="N1289" s="15" t="str">
        <x:v>Dispatch to NotionMoth: complete Canon-Gate Prep x Gamma; return deltas only, receipts required.</x:v>
      </x:c>
      <x:c r="O1289" s="15" t="str">
        <x:v>AF-KG-H12-S04</x:v>
      </x:c>
      <x:c r="P1289" s="15" t="str">
        <x:v>Unverified</x:v>
      </x:c>
      <x:c r="Q1289" s="15" t="str">
        <x:v>Not checked</x:v>
      </x:c>
      <x:c r="R1289" s="15" t="str"/>
      <x:c r="S1289" s="15" t="str"/>
      <x:c r="T1289" s="15" t="str">
        <x:v>Log first source path or blocker</x:v>
      </x:c>
      <x:c r="U1289" s="12" t="str">
        <x:f>IF(OR(P1289="Unverified",Q1289="Not checked"),"BLOCKED_PENDING_RECEIPT","READY_FOR_REVIEW")</x:f>
        <x:v>BLOCKED_PENDING_RECEIPT</x:v>
      </x:c>
      <x:c r="V1289" s="12" t="str">
        <x:f>IF(J1289="DONE","RETURNED",IF(U1289="BLOCKED_PENDING_RECEIPT","SOURCE_TOUCH_REQUIRED","IN_PROGRESS"))</x:f>
        <x:v>SOURCE_TOUCH_REQUIRED</x:v>
      </x:c>
      <x:c r="W1289" s="12" t="str">
        <x:f>IF(P1289="Unverified","missing_receipt","receipt_logged")</x:f>
        <x:v>missing_receipt</x:v>
      </x:c>
      <x:c r="X1289" s="12" t="str">
        <x:f>IF(Q1289="Not checked","raw_status_missing","raw_status_logged")</x:f>
        <x:v>raw_status_missing</x:v>
      </x:c>
      <x:c r="Y1289" s="12" t="str">
        <x:f>IF(U1289="BLOCKED_PENDING_RECEIPT","Log source path or blocker; do not promote","Route to review lane")</x:f>
        <x:v>Log source path or blocker; do not promote</x:v>
      </x:c>
      <x:c r="Z1289" s="12" t="str">
        <x:f>IF(K1289="P0","Primary seat + Hashlight/Lucerna","Seat lane")</x:f>
        <x:v>Seat lane</x:v>
      </x:c>
      <x:c r="AA1289" s="12" t="str">
        <x:f>IF(R1289="","no_claim_delta","claim_delta_present")</x:f>
        <x:v>no_claim_delta</x:v>
      </x:c>
      <x:c r="AB1289" s="12" t="str">
        <x:f>IF(S1289="","no_contradiction_delta","contradiction_delta_present")</x:f>
        <x:v>no_contradiction_delta</x:v>
      </x:c>
      <x:c r="AC1289" s="12" t="str">
        <x:f>IF(OR(ISNUMBER(SEARCH("hacker",LOWER(F1289&amp;" "&amp;H1289&amp;" "&amp;I1289&amp;" "&amp;M1289&amp;" "&amp;N1289&amp;" "&amp;T1289))),ISNUMBER(SEARCH("hacking",LOWER(F1289&amp;" "&amp;H1289&amp;" "&amp;I1289&amp;" "&amp;M1289&amp;" "&amp;N1289&amp;" "&amp;T1289))),ISNUMBER(SEARCH("bank",LOWER(F1289&amp;" "&amp;H1289&amp;" "&amp;I1289&amp;" "&amp;M1289&amp;" "&amp;N1289&amp;" "&amp;T1289))),ISNUMBER(SEARCH("banking",LOWER(F1289&amp;" "&amp;H1289&amp;" "&amp;I1289&amp;" "&amp;M1289&amp;" "&amp;N1289&amp;" "&amp;T1289)))),"PRIVATE_QUARANTINE",IF(OR(ISNUMBER(SEARCH("treasury",LOWER(F1289&amp;" "&amp;H1289&amp;" "&amp;I1289&amp;" "&amp;M1289&amp;" "&amp;N1289&amp;" "&amp;T1289))),ISNUMBER(SEARCH("debt",LOWER(F1289&amp;" "&amp;H1289&amp;" "&amp;I1289&amp;" "&amp;M1289&amp;" "&amp;N1289&amp;" "&amp;T1289))),ISNUMBER(SEARCH("bond",LOWER(F1289&amp;" "&amp;H1289&amp;" "&amp;I1289&amp;" "&amp;M1289&amp;" "&amp;N1289&amp;" "&amp;T1289))),ISNUMBER(SEARCH("transaction",LOWER(F1289&amp;" "&amp;H1289&amp;" "&amp;I1289&amp;" "&amp;M1289&amp;" "&amp;N1289&amp;" "&amp;T1289)))),"PRIVATE_REVIEW","PUBLIC_CANDIDATE"))</x:f>
        <x:v>PUBLIC_CANDIDATE</x:v>
      </x:c>
      <x:c r="AD1289" s="12" t="str">
        <x:f>IF(AC1289="PRIVATE_QUARANTINE","hacker_or_bank_trigger",IF(AC1289="PRIVATE_REVIEW","finance_risk_trigger","none"))</x:f>
        <x:v>none</x:v>
      </x:c>
      <x:c r="AE1289" s="12" t="str">
        <x:f>IF(AC1289="PUBLIC_CANDIDATE","prepare_public_github_candidate",IF(AC1289="PRIVATE_REVIEW","hold_for_private_review","quarantine_private_do_not_publish"))</x:f>
        <x:v>prepare_public_github_candidate</x:v>
      </x:c>
      <x:c r="AF1289" s="12" t="str">
        <x:f>IF(AC1289="PUBLIC_CANDIDATE","TIDELOCK + Lucerna",IF(AC1289="PRIVATE_REVIEW","AtlasBrain + Lucerna","TIDELOCK + Lucerna + Human-root"))</x:f>
        <x:v>TIDELOCK + Lucerna</x:v>
      </x:c>
      <x:c r="AG1289" s="12" t="str">
        <x:f>IF(AND(AC1289="PUBLIC_CANDIDATE",U1289&lt;&gt;"BLOCKED_PENDING_RECEIPT"),"READY_AFTER_RECEIPT","NOT_READY")</x:f>
        <x:v>NOT_READY</x:v>
      </x:c>
      <x:c r="AH1289" s="12" t="str">
        <x:f>IF(AC1289="PUBLIC_CANDIDATE","none",AD1289)</x:f>
        <x:v>none</x:v>
      </x:c>
      <x:c r="AI1289" s="12" t="str">
        <x:f>IF(AC1289="PUBLIC_CANDIDATE","archive/public_candidates/"&amp;A1289,"private_quarantine/"&amp;A1289)</x:f>
        <x:v>archive/public_candidates/SWARM-09-H12-S04</x:v>
      </x:c>
      <x:c r="AJ1289" s="12" t="str">
        <x:f>IF(AC1289="PUBLIC_CANDIDATE","public by default; still not canon","private/hold; do not publish")</x:f>
        <x:v>public by default; still not canon</x:v>
      </x:c>
      <x:c r="AK1289" s="12" t="str">
        <x:f>IF(AE1289="prepare_public_github_candidate","add receipt/status then mirror","resolve blocker before any public GitHub action")</x:f>
        <x:v>add receipt/status then mirror</x:v>
      </x:c>
    </x:row>
    <x:row r="1290">
      <x:c r="A1290" s="15" t="str">
        <x:v>SWARM-09-H12-S05</x:v>
      </x:c>
      <x:c r="B1290" s="15" t="str">
        <x:v>NotionMoth</x:v>
      </x:c>
      <x:c r="C1290" s="15" t="str">
        <x:v>Notion ontology mapper</x:v>
      </x:c>
      <x:c r="D1290" s="15" t="str">
        <x:v>Canon-Gate Prep</x:v>
      </x:c>
      <x:c r="E1290" s="15" t="str">
        <x:v>Chat</x:v>
      </x:c>
      <x:c r="F1290" s="15" t="str">
        <x:v>Prepare canon-gate brief for Chat — NotionMoth</x:v>
      </x:c>
      <x:c r="G1290" s="15" t="str">
        <x:v>legacy schema / Notion export prep</x:v>
      </x:c>
      <x:c r="H1290" s="15" t="str">
        <x:v>source path + receipt + raw/export status + claim/edge/risk delta</x:v>
      </x:c>
      <x:c r="I1290" s="15" t="str">
        <x:v>packet/SWARM-09-H12-S05</x:v>
      </x:c>
      <x:c r="J1290" s="15" t="str">
        <x:v>TODO</x:v>
      </x:c>
      <x:c r="K1290" s="15" t="str">
        <x:v>P1</x:v>
      </x:c>
      <x:c r="L1290" s="15" t="str">
        <x:v>Done only when evidence is logged, contradiction search is noted, and boundary stamp remains non-canon unless ratified</x:v>
      </x:c>
      <x:c r="M1290" s="15" t="str">
        <x:v>candidate / staging-only / not canon / not deployed / authority none</x:v>
      </x:c>
      <x:c r="N1290" s="15" t="str">
        <x:v>Dispatch to NotionMoth: complete Canon-Gate Prep x Chat; return deltas only, receipts required.</x:v>
      </x:c>
      <x:c r="O1290" s="15" t="str">
        <x:v>AF-KG-H12-S05</x:v>
      </x:c>
      <x:c r="P1290" s="15" t="str">
        <x:v>Unverified</x:v>
      </x:c>
      <x:c r="Q1290" s="15" t="str">
        <x:v>Not checked</x:v>
      </x:c>
      <x:c r="R1290" s="15" t="str"/>
      <x:c r="S1290" s="15" t="str"/>
      <x:c r="T1290" s="15" t="str">
        <x:v>Log first source path or blocker</x:v>
      </x:c>
      <x:c r="U1290" s="12" t="str">
        <x:f>IF(OR(P1290="Unverified",Q1290="Not checked"),"BLOCKED_PENDING_RECEIPT","READY_FOR_REVIEW")</x:f>
        <x:v>BLOCKED_PENDING_RECEIPT</x:v>
      </x:c>
      <x:c r="V1290" s="12" t="str">
        <x:f>IF(J1290="DONE","RETURNED",IF(U1290="BLOCKED_PENDING_RECEIPT","SOURCE_TOUCH_REQUIRED","IN_PROGRESS"))</x:f>
        <x:v>SOURCE_TOUCH_REQUIRED</x:v>
      </x:c>
      <x:c r="W1290" s="12" t="str">
        <x:f>IF(P1290="Unverified","missing_receipt","receipt_logged")</x:f>
        <x:v>missing_receipt</x:v>
      </x:c>
      <x:c r="X1290" s="12" t="str">
        <x:f>IF(Q1290="Not checked","raw_status_missing","raw_status_logged")</x:f>
        <x:v>raw_status_missing</x:v>
      </x:c>
      <x:c r="Y1290" s="12" t="str">
        <x:f>IF(U1290="BLOCKED_PENDING_RECEIPT","Log source path or blocker; do not promote","Route to review lane")</x:f>
        <x:v>Log source path or blocker; do not promote</x:v>
      </x:c>
      <x:c r="Z1290" s="12" t="str">
        <x:f>IF(K1290="P0","Primary seat + Hashlight/Lucerna","Seat lane")</x:f>
        <x:v>Seat lane</x:v>
      </x:c>
      <x:c r="AA1290" s="12" t="str">
        <x:f>IF(R1290="","no_claim_delta","claim_delta_present")</x:f>
        <x:v>no_claim_delta</x:v>
      </x:c>
      <x:c r="AB1290" s="12" t="str">
        <x:f>IF(S1290="","no_contradiction_delta","contradiction_delta_present")</x:f>
        <x:v>no_contradiction_delta</x:v>
      </x:c>
      <x:c r="AC1290" s="12" t="str">
        <x:f>IF(OR(ISNUMBER(SEARCH("hacker",LOWER(F1290&amp;" "&amp;H1290&amp;" "&amp;I1290&amp;" "&amp;M1290&amp;" "&amp;N1290&amp;" "&amp;T1290))),ISNUMBER(SEARCH("hacking",LOWER(F1290&amp;" "&amp;H1290&amp;" "&amp;I1290&amp;" "&amp;M1290&amp;" "&amp;N1290&amp;" "&amp;T1290))),ISNUMBER(SEARCH("bank",LOWER(F1290&amp;" "&amp;H1290&amp;" "&amp;I1290&amp;" "&amp;M1290&amp;" "&amp;N1290&amp;" "&amp;T1290))),ISNUMBER(SEARCH("banking",LOWER(F1290&amp;" "&amp;H1290&amp;" "&amp;I1290&amp;" "&amp;M1290&amp;" "&amp;N1290&amp;" "&amp;T1290)))),"PRIVATE_QUARANTINE",IF(OR(ISNUMBER(SEARCH("treasury",LOWER(F1290&amp;" "&amp;H1290&amp;" "&amp;I1290&amp;" "&amp;M1290&amp;" "&amp;N1290&amp;" "&amp;T1290))),ISNUMBER(SEARCH("debt",LOWER(F1290&amp;" "&amp;H1290&amp;" "&amp;I1290&amp;" "&amp;M1290&amp;" "&amp;N1290&amp;" "&amp;T1290))),ISNUMBER(SEARCH("bond",LOWER(F1290&amp;" "&amp;H1290&amp;" "&amp;I1290&amp;" "&amp;M1290&amp;" "&amp;N1290&amp;" "&amp;T1290))),ISNUMBER(SEARCH("transaction",LOWER(F1290&amp;" "&amp;H1290&amp;" "&amp;I1290&amp;" "&amp;M1290&amp;" "&amp;N1290&amp;" "&amp;T1290)))),"PRIVATE_REVIEW","PUBLIC_CANDIDATE"))</x:f>
        <x:v>PUBLIC_CANDIDATE</x:v>
      </x:c>
      <x:c r="AD1290" s="12" t="str">
        <x:f>IF(AC1290="PRIVATE_QUARANTINE","hacker_or_bank_trigger",IF(AC1290="PRIVATE_REVIEW","finance_risk_trigger","none"))</x:f>
        <x:v>none</x:v>
      </x:c>
      <x:c r="AE1290" s="12" t="str">
        <x:f>IF(AC1290="PUBLIC_CANDIDATE","prepare_public_github_candidate",IF(AC1290="PRIVATE_REVIEW","hold_for_private_review","quarantine_private_do_not_publish"))</x:f>
        <x:v>prepare_public_github_candidate</x:v>
      </x:c>
      <x:c r="AF1290" s="12" t="str">
        <x:f>IF(AC1290="PUBLIC_CANDIDATE","TIDELOCK + Lucerna",IF(AC1290="PRIVATE_REVIEW","AtlasBrain + Lucerna","TIDELOCK + Lucerna + Human-root"))</x:f>
        <x:v>TIDELOCK + Lucerna</x:v>
      </x:c>
      <x:c r="AG1290" s="12" t="str">
        <x:f>IF(AND(AC1290="PUBLIC_CANDIDATE",U1290&lt;&gt;"BLOCKED_PENDING_RECEIPT"),"READY_AFTER_RECEIPT","NOT_READY")</x:f>
        <x:v>NOT_READY</x:v>
      </x:c>
      <x:c r="AH1290" s="12" t="str">
        <x:f>IF(AC1290="PUBLIC_CANDIDATE","none",AD1290)</x:f>
        <x:v>none</x:v>
      </x:c>
      <x:c r="AI1290" s="12" t="str">
        <x:f>IF(AC1290="PUBLIC_CANDIDATE","archive/public_candidates/"&amp;A1290,"private_quarantine/"&amp;A1290)</x:f>
        <x:v>archive/public_candidates/SWARM-09-H12-S05</x:v>
      </x:c>
      <x:c r="AJ1290" s="12" t="str">
        <x:f>IF(AC1290="PUBLIC_CANDIDATE","public by default; still not canon","private/hold; do not publish")</x:f>
        <x:v>public by default; still not canon</x:v>
      </x:c>
      <x:c r="AK1290" s="12" t="str">
        <x:f>IF(AE1290="prepare_public_github_candidate","add receipt/status then mirror","resolve blocker before any public GitHub action")</x:f>
        <x:v>add receipt/status then mirror</x:v>
      </x:c>
    </x:row>
    <x:row r="1291">
      <x:c r="A1291" s="15" t="str">
        <x:v>SWARM-09-H12-S06</x:v>
      </x:c>
      <x:c r="B1291" s="15" t="str">
        <x:v>NotionMoth</x:v>
      </x:c>
      <x:c r="C1291" s="15" t="str">
        <x:v>Notion ontology mapper</x:v>
      </x:c>
      <x:c r="D1291" s="15" t="str">
        <x:v>Canon-Gate Prep</x:v>
      </x:c>
      <x:c r="E1291" s="15" t="str">
        <x:v>External Web</x:v>
      </x:c>
      <x:c r="F1291" s="15" t="str">
        <x:v>Prepare canon-gate brief for External Web — NotionMoth</x:v>
      </x:c>
      <x:c r="G1291" s="15" t="str">
        <x:v>legacy schema / Notion export prep</x:v>
      </x:c>
      <x:c r="H1291" s="15" t="str">
        <x:v>source path + receipt + raw/export status + claim/edge/risk delta</x:v>
      </x:c>
      <x:c r="I1291" s="15" t="str">
        <x:v>packet/SWARM-09-H12-S06</x:v>
      </x:c>
      <x:c r="J1291" s="15" t="str">
        <x:v>TODO</x:v>
      </x:c>
      <x:c r="K1291" s="15" t="str">
        <x:v>P1</x:v>
      </x:c>
      <x:c r="L1291" s="15" t="str">
        <x:v>Done only when evidence is logged, contradiction search is noted, and boundary stamp remains non-canon unless ratified</x:v>
      </x:c>
      <x:c r="M1291" s="15" t="str">
        <x:v>candidate / staging-only / not canon / not deployed / authority none</x:v>
      </x:c>
      <x:c r="N1291" s="15" t="str">
        <x:v>Dispatch to NotionMoth: complete Canon-Gate Prep x External Web; return deltas only, receipts required.</x:v>
      </x:c>
      <x:c r="O1291" s="15" t="str">
        <x:v>AF-KG-H12-S06</x:v>
      </x:c>
      <x:c r="P1291" s="15" t="str">
        <x:v>Unverified</x:v>
      </x:c>
      <x:c r="Q1291" s="15" t="str">
        <x:v>Not checked</x:v>
      </x:c>
      <x:c r="R1291" s="15" t="str"/>
      <x:c r="S1291" s="15" t="str"/>
      <x:c r="T1291" s="15" t="str">
        <x:v>Log first source path or blocker</x:v>
      </x:c>
      <x:c r="U1291" s="12" t="str">
        <x:f>IF(OR(P1291="Unverified",Q1291="Not checked"),"BLOCKED_PENDING_RECEIPT","READY_FOR_REVIEW")</x:f>
        <x:v>BLOCKED_PENDING_RECEIPT</x:v>
      </x:c>
      <x:c r="V1291" s="12" t="str">
        <x:f>IF(J1291="DONE","RETURNED",IF(U1291="BLOCKED_PENDING_RECEIPT","SOURCE_TOUCH_REQUIRED","IN_PROGRESS"))</x:f>
        <x:v>SOURCE_TOUCH_REQUIRED</x:v>
      </x:c>
      <x:c r="W1291" s="12" t="str">
        <x:f>IF(P1291="Unverified","missing_receipt","receipt_logged")</x:f>
        <x:v>missing_receipt</x:v>
      </x:c>
      <x:c r="X1291" s="12" t="str">
        <x:f>IF(Q1291="Not checked","raw_status_missing","raw_status_logged")</x:f>
        <x:v>raw_status_missing</x:v>
      </x:c>
      <x:c r="Y1291" s="12" t="str">
        <x:f>IF(U1291="BLOCKED_PENDING_RECEIPT","Log source path or blocker; do not promote","Route to review lane")</x:f>
        <x:v>Log source path or blocker; do not promote</x:v>
      </x:c>
      <x:c r="Z1291" s="12" t="str">
        <x:f>IF(K1291="P0","Primary seat + Hashlight/Lucerna","Seat lane")</x:f>
        <x:v>Seat lane</x:v>
      </x:c>
      <x:c r="AA1291" s="12" t="str">
        <x:f>IF(R1291="","no_claim_delta","claim_delta_present")</x:f>
        <x:v>no_claim_delta</x:v>
      </x:c>
      <x:c r="AB1291" s="12" t="str">
        <x:f>IF(S1291="","no_contradiction_delta","contradiction_delta_present")</x:f>
        <x:v>no_contradiction_delta</x:v>
      </x:c>
      <x:c r="AC1291" s="12" t="str">
        <x:f>IF(OR(ISNUMBER(SEARCH("hacker",LOWER(F1291&amp;" "&amp;H1291&amp;" "&amp;I1291&amp;" "&amp;M1291&amp;" "&amp;N1291&amp;" "&amp;T1291))),ISNUMBER(SEARCH("hacking",LOWER(F1291&amp;" "&amp;H1291&amp;" "&amp;I1291&amp;" "&amp;M1291&amp;" "&amp;N1291&amp;" "&amp;T1291))),ISNUMBER(SEARCH("bank",LOWER(F1291&amp;" "&amp;H1291&amp;" "&amp;I1291&amp;" "&amp;M1291&amp;" "&amp;N1291&amp;" "&amp;T1291))),ISNUMBER(SEARCH("banking",LOWER(F1291&amp;" "&amp;H1291&amp;" "&amp;I1291&amp;" "&amp;M1291&amp;" "&amp;N1291&amp;" "&amp;T1291)))),"PRIVATE_QUARANTINE",IF(OR(ISNUMBER(SEARCH("treasury",LOWER(F1291&amp;" "&amp;H1291&amp;" "&amp;I1291&amp;" "&amp;M1291&amp;" "&amp;N1291&amp;" "&amp;T1291))),ISNUMBER(SEARCH("debt",LOWER(F1291&amp;" "&amp;H1291&amp;" "&amp;I1291&amp;" "&amp;M1291&amp;" "&amp;N1291&amp;" "&amp;T1291))),ISNUMBER(SEARCH("bond",LOWER(F1291&amp;" "&amp;H1291&amp;" "&amp;I1291&amp;" "&amp;M1291&amp;" "&amp;N1291&amp;" "&amp;T1291))),ISNUMBER(SEARCH("transaction",LOWER(F1291&amp;" "&amp;H1291&amp;" "&amp;I1291&amp;" "&amp;M1291&amp;" "&amp;N1291&amp;" "&amp;T1291)))),"PRIVATE_REVIEW","PUBLIC_CANDIDATE"))</x:f>
        <x:v>PUBLIC_CANDIDATE</x:v>
      </x:c>
      <x:c r="AD1291" s="12" t="str">
        <x:f>IF(AC1291="PRIVATE_QUARANTINE","hacker_or_bank_trigger",IF(AC1291="PRIVATE_REVIEW","finance_risk_trigger","none"))</x:f>
        <x:v>none</x:v>
      </x:c>
      <x:c r="AE1291" s="12" t="str">
        <x:f>IF(AC1291="PUBLIC_CANDIDATE","prepare_public_github_candidate",IF(AC1291="PRIVATE_REVIEW","hold_for_private_review","quarantine_private_do_not_publish"))</x:f>
        <x:v>prepare_public_github_candidate</x:v>
      </x:c>
      <x:c r="AF1291" s="12" t="str">
        <x:f>IF(AC1291="PUBLIC_CANDIDATE","TIDELOCK + Lucerna",IF(AC1291="PRIVATE_REVIEW","AtlasBrain + Lucerna","TIDELOCK + Lucerna + Human-root"))</x:f>
        <x:v>TIDELOCK + Lucerna</x:v>
      </x:c>
      <x:c r="AG1291" s="12" t="str">
        <x:f>IF(AND(AC1291="PUBLIC_CANDIDATE",U1291&lt;&gt;"BLOCKED_PENDING_RECEIPT"),"READY_AFTER_RECEIPT","NOT_READY")</x:f>
        <x:v>NOT_READY</x:v>
      </x:c>
      <x:c r="AH1291" s="12" t="str">
        <x:f>IF(AC1291="PUBLIC_CANDIDATE","none",AD1291)</x:f>
        <x:v>none</x:v>
      </x:c>
      <x:c r="AI1291" s="12" t="str">
        <x:f>IF(AC1291="PUBLIC_CANDIDATE","archive/public_candidates/"&amp;A1291,"private_quarantine/"&amp;A1291)</x:f>
        <x:v>archive/public_candidates/SWARM-09-H12-S06</x:v>
      </x:c>
      <x:c r="AJ1291" s="12" t="str">
        <x:f>IF(AC1291="PUBLIC_CANDIDATE","public by default; still not canon","private/hold; do not publish")</x:f>
        <x:v>public by default; still not canon</x:v>
      </x:c>
      <x:c r="AK1291" s="12" t="str">
        <x:f>IF(AE1291="prepare_public_github_candidate","add receipt/status then mirror","resolve blocker before any public GitHub action")</x:f>
        <x:v>add receipt/status then mirror</x:v>
      </x:c>
    </x:row>
    <x:row r="1292">
      <x:c r="A1292" s="15" t="str">
        <x:v>SWARM-09-H12-S07</x:v>
      </x:c>
      <x:c r="B1292" s="15" t="str">
        <x:v>NotionMoth</x:v>
      </x:c>
      <x:c r="C1292" s="15" t="str">
        <x:v>Notion ontology mapper</x:v>
      </x:c>
      <x:c r="D1292" s="15" t="str">
        <x:v>Canon-Gate Prep</x:v>
      </x:c>
      <x:c r="E1292" s="15" t="str">
        <x:v>Planetarium</x:v>
      </x:c>
      <x:c r="F1292" s="15" t="str">
        <x:v>Prepare canon-gate brief for Planetarium — NotionMoth</x:v>
      </x:c>
      <x:c r="G1292" s="15" t="str">
        <x:v>legacy schema / Notion export prep</x:v>
      </x:c>
      <x:c r="H1292" s="15" t="str">
        <x:v>source path + receipt + raw/export status + claim/edge/risk delta</x:v>
      </x:c>
      <x:c r="I1292" s="15" t="str">
        <x:v>packet/SWARM-09-H12-S07</x:v>
      </x:c>
      <x:c r="J1292" s="15" t="str">
        <x:v>TODO</x:v>
      </x:c>
      <x:c r="K1292" s="15" t="str">
        <x:v>P1</x:v>
      </x:c>
      <x:c r="L1292" s="15" t="str">
        <x:v>Done only when evidence is logged, contradiction search is noted, and boundary stamp remains non-canon unless ratified</x:v>
      </x:c>
      <x:c r="M1292" s="15" t="str">
        <x:v>candidate / staging-only / not canon / not deployed / authority none</x:v>
      </x:c>
      <x:c r="N1292" s="15" t="str">
        <x:v>Dispatch to NotionMoth: complete Canon-Gate Prep x Planetarium; return deltas only, receipts required.</x:v>
      </x:c>
      <x:c r="O1292" s="15" t="str">
        <x:v>AF-KG-H12-S07</x:v>
      </x:c>
      <x:c r="P1292" s="15" t="str">
        <x:v>Unverified</x:v>
      </x:c>
      <x:c r="Q1292" s="15" t="str">
        <x:v>Not checked</x:v>
      </x:c>
      <x:c r="R1292" s="15" t="str"/>
      <x:c r="S1292" s="15" t="str"/>
      <x:c r="T1292" s="15" t="str">
        <x:v>Log first source path or blocker</x:v>
      </x:c>
      <x:c r="U1292" s="12" t="str">
        <x:f>IF(OR(P1292="Unverified",Q1292="Not checked"),"BLOCKED_PENDING_RECEIPT","READY_FOR_REVIEW")</x:f>
        <x:v>BLOCKED_PENDING_RECEIPT</x:v>
      </x:c>
      <x:c r="V1292" s="12" t="str">
        <x:f>IF(J1292="DONE","RETURNED",IF(U1292="BLOCKED_PENDING_RECEIPT","SOURCE_TOUCH_REQUIRED","IN_PROGRESS"))</x:f>
        <x:v>SOURCE_TOUCH_REQUIRED</x:v>
      </x:c>
      <x:c r="W1292" s="12" t="str">
        <x:f>IF(P1292="Unverified","missing_receipt","receipt_logged")</x:f>
        <x:v>missing_receipt</x:v>
      </x:c>
      <x:c r="X1292" s="12" t="str">
        <x:f>IF(Q1292="Not checked","raw_status_missing","raw_status_logged")</x:f>
        <x:v>raw_status_missing</x:v>
      </x:c>
      <x:c r="Y1292" s="12" t="str">
        <x:f>IF(U1292="BLOCKED_PENDING_RECEIPT","Log source path or blocker; do not promote","Route to review lane")</x:f>
        <x:v>Log source path or blocker; do not promote</x:v>
      </x:c>
      <x:c r="Z1292" s="12" t="str">
        <x:f>IF(K1292="P0","Primary seat + Hashlight/Lucerna","Seat lane")</x:f>
        <x:v>Seat lane</x:v>
      </x:c>
      <x:c r="AA1292" s="12" t="str">
        <x:f>IF(R1292="","no_claim_delta","claim_delta_present")</x:f>
        <x:v>no_claim_delta</x:v>
      </x:c>
      <x:c r="AB1292" s="12" t="str">
        <x:f>IF(S1292="","no_contradiction_delta","contradiction_delta_present")</x:f>
        <x:v>no_contradiction_delta</x:v>
      </x:c>
      <x:c r="AC1292" s="12" t="str">
        <x:f>IF(OR(ISNUMBER(SEARCH("hacker",LOWER(F1292&amp;" "&amp;H1292&amp;" "&amp;I1292&amp;" "&amp;M1292&amp;" "&amp;N1292&amp;" "&amp;T1292))),ISNUMBER(SEARCH("hacking",LOWER(F1292&amp;" "&amp;H1292&amp;" "&amp;I1292&amp;" "&amp;M1292&amp;" "&amp;N1292&amp;" "&amp;T1292))),ISNUMBER(SEARCH("bank",LOWER(F1292&amp;" "&amp;H1292&amp;" "&amp;I1292&amp;" "&amp;M1292&amp;" "&amp;N1292&amp;" "&amp;T1292))),ISNUMBER(SEARCH("banking",LOWER(F1292&amp;" "&amp;H1292&amp;" "&amp;I1292&amp;" "&amp;M1292&amp;" "&amp;N1292&amp;" "&amp;T1292)))),"PRIVATE_QUARANTINE",IF(OR(ISNUMBER(SEARCH("treasury",LOWER(F1292&amp;" "&amp;H1292&amp;" "&amp;I1292&amp;" "&amp;M1292&amp;" "&amp;N1292&amp;" "&amp;T1292))),ISNUMBER(SEARCH("debt",LOWER(F1292&amp;" "&amp;H1292&amp;" "&amp;I1292&amp;" "&amp;M1292&amp;" "&amp;N1292&amp;" "&amp;T1292))),ISNUMBER(SEARCH("bond",LOWER(F1292&amp;" "&amp;H1292&amp;" "&amp;I1292&amp;" "&amp;M1292&amp;" "&amp;N1292&amp;" "&amp;T1292))),ISNUMBER(SEARCH("transaction",LOWER(F1292&amp;" "&amp;H1292&amp;" "&amp;I1292&amp;" "&amp;M1292&amp;" "&amp;N1292&amp;" "&amp;T1292)))),"PRIVATE_REVIEW","PUBLIC_CANDIDATE"))</x:f>
        <x:v>PUBLIC_CANDIDATE</x:v>
      </x:c>
      <x:c r="AD1292" s="12" t="str">
        <x:f>IF(AC1292="PRIVATE_QUARANTINE","hacker_or_bank_trigger",IF(AC1292="PRIVATE_REVIEW","finance_risk_trigger","none"))</x:f>
        <x:v>none</x:v>
      </x:c>
      <x:c r="AE1292" s="12" t="str">
        <x:f>IF(AC1292="PUBLIC_CANDIDATE","prepare_public_github_candidate",IF(AC1292="PRIVATE_REVIEW","hold_for_private_review","quarantine_private_do_not_publish"))</x:f>
        <x:v>prepare_public_github_candidate</x:v>
      </x:c>
      <x:c r="AF1292" s="12" t="str">
        <x:f>IF(AC1292="PUBLIC_CANDIDATE","TIDELOCK + Lucerna",IF(AC1292="PRIVATE_REVIEW","AtlasBrain + Lucerna","TIDELOCK + Lucerna + Human-root"))</x:f>
        <x:v>TIDELOCK + Lucerna</x:v>
      </x:c>
      <x:c r="AG1292" s="12" t="str">
        <x:f>IF(AND(AC1292="PUBLIC_CANDIDATE",U1292&lt;&gt;"BLOCKED_PENDING_RECEIPT"),"READY_AFTER_RECEIPT","NOT_READY")</x:f>
        <x:v>NOT_READY</x:v>
      </x:c>
      <x:c r="AH1292" s="12" t="str">
        <x:f>IF(AC1292="PUBLIC_CANDIDATE","none",AD1292)</x:f>
        <x:v>none</x:v>
      </x:c>
      <x:c r="AI1292" s="12" t="str">
        <x:f>IF(AC1292="PUBLIC_CANDIDATE","archive/public_candidates/"&amp;A1292,"private_quarantine/"&amp;A1292)</x:f>
        <x:v>archive/public_candidates/SWARM-09-H12-S07</x:v>
      </x:c>
      <x:c r="AJ1292" s="12" t="str">
        <x:f>IF(AC1292="PUBLIC_CANDIDATE","public by default; still not canon","private/hold; do not publish")</x:f>
        <x:v>public by default; still not canon</x:v>
      </x:c>
      <x:c r="AK1292" s="12" t="str">
        <x:f>IF(AE1292="prepare_public_github_candidate","add receipt/status then mirror","resolve blocker before any public GitHub action")</x:f>
        <x:v>add receipt/status then mirror</x:v>
      </x:c>
    </x:row>
    <x:row r="1293">
      <x:c r="A1293" s="15" t="str">
        <x:v>SWARM-09-H12-S08</x:v>
      </x:c>
      <x:c r="B1293" s="15" t="str">
        <x:v>NotionMoth</x:v>
      </x:c>
      <x:c r="C1293" s="15" t="str">
        <x:v>Notion ontology mapper</x:v>
      </x:c>
      <x:c r="D1293" s="15" t="str">
        <x:v>Canon-Gate Prep</x:v>
      </x:c>
      <x:c r="E1293" s="15" t="str">
        <x:v>Sheldonbrain</x:v>
      </x:c>
      <x:c r="F1293" s="15" t="str">
        <x:v>Prepare canon-gate brief for Sheldonbrain — NotionMoth</x:v>
      </x:c>
      <x:c r="G1293" s="15" t="str">
        <x:v>legacy schema / Notion export prep</x:v>
      </x:c>
      <x:c r="H1293" s="15" t="str">
        <x:v>source path + receipt + raw/export status + claim/edge/risk delta</x:v>
      </x:c>
      <x:c r="I1293" s="15" t="str">
        <x:v>packet/SWARM-09-H12-S08</x:v>
      </x:c>
      <x:c r="J1293" s="15" t="str">
        <x:v>TODO</x:v>
      </x:c>
      <x:c r="K1293" s="15" t="str">
        <x:v>P1</x:v>
      </x:c>
      <x:c r="L1293" s="15" t="str">
        <x:v>Done only when evidence is logged, contradiction search is noted, and boundary stamp remains non-canon unless ratified</x:v>
      </x:c>
      <x:c r="M1293" s="15" t="str">
        <x:v>candidate / staging-only / not canon / not deployed / authority none</x:v>
      </x:c>
      <x:c r="N1293" s="15" t="str">
        <x:v>Dispatch to NotionMoth: complete Canon-Gate Prep x Sheldonbrain; return deltas only, receipts required.</x:v>
      </x:c>
      <x:c r="O1293" s="15" t="str">
        <x:v>AF-KG-H12-S08</x:v>
      </x:c>
      <x:c r="P1293" s="15" t="str">
        <x:v>Unverified</x:v>
      </x:c>
      <x:c r="Q1293" s="15" t="str">
        <x:v>Not checked</x:v>
      </x:c>
      <x:c r="R1293" s="15" t="str"/>
      <x:c r="S1293" s="15" t="str"/>
      <x:c r="T1293" s="15" t="str">
        <x:v>Log first source path or blocker</x:v>
      </x:c>
      <x:c r="U1293" s="12" t="str">
        <x:f>IF(OR(P1293="Unverified",Q1293="Not checked"),"BLOCKED_PENDING_RECEIPT","READY_FOR_REVIEW")</x:f>
        <x:v>BLOCKED_PENDING_RECEIPT</x:v>
      </x:c>
      <x:c r="V1293" s="12" t="str">
        <x:f>IF(J1293="DONE","RETURNED",IF(U1293="BLOCKED_PENDING_RECEIPT","SOURCE_TOUCH_REQUIRED","IN_PROGRESS"))</x:f>
        <x:v>SOURCE_TOUCH_REQUIRED</x:v>
      </x:c>
      <x:c r="W1293" s="12" t="str">
        <x:f>IF(P1293="Unverified","missing_receipt","receipt_logged")</x:f>
        <x:v>missing_receipt</x:v>
      </x:c>
      <x:c r="X1293" s="12" t="str">
        <x:f>IF(Q1293="Not checked","raw_status_missing","raw_status_logged")</x:f>
        <x:v>raw_status_missing</x:v>
      </x:c>
      <x:c r="Y1293" s="12" t="str">
        <x:f>IF(U1293="BLOCKED_PENDING_RECEIPT","Log source path or blocker; do not promote","Route to review lane")</x:f>
        <x:v>Log source path or blocker; do not promote</x:v>
      </x:c>
      <x:c r="Z1293" s="12" t="str">
        <x:f>IF(K1293="P0","Primary seat + Hashlight/Lucerna","Seat lane")</x:f>
        <x:v>Seat lane</x:v>
      </x:c>
      <x:c r="AA1293" s="12" t="str">
        <x:f>IF(R1293="","no_claim_delta","claim_delta_present")</x:f>
        <x:v>no_claim_delta</x:v>
      </x:c>
      <x:c r="AB1293" s="12" t="str">
        <x:f>IF(S1293="","no_contradiction_delta","contradiction_delta_present")</x:f>
        <x:v>no_contradiction_delta</x:v>
      </x:c>
      <x:c r="AC1293" s="12" t="str">
        <x:f>IF(OR(ISNUMBER(SEARCH("hacker",LOWER(F1293&amp;" "&amp;H1293&amp;" "&amp;I1293&amp;" "&amp;M1293&amp;" "&amp;N1293&amp;" "&amp;T1293))),ISNUMBER(SEARCH("hacking",LOWER(F1293&amp;" "&amp;H1293&amp;" "&amp;I1293&amp;" "&amp;M1293&amp;" "&amp;N1293&amp;" "&amp;T1293))),ISNUMBER(SEARCH("bank",LOWER(F1293&amp;" "&amp;H1293&amp;" "&amp;I1293&amp;" "&amp;M1293&amp;" "&amp;N1293&amp;" "&amp;T1293))),ISNUMBER(SEARCH("banking",LOWER(F1293&amp;" "&amp;H1293&amp;" "&amp;I1293&amp;" "&amp;M1293&amp;" "&amp;N1293&amp;" "&amp;T1293)))),"PRIVATE_QUARANTINE",IF(OR(ISNUMBER(SEARCH("treasury",LOWER(F1293&amp;" "&amp;H1293&amp;" "&amp;I1293&amp;" "&amp;M1293&amp;" "&amp;N1293&amp;" "&amp;T1293))),ISNUMBER(SEARCH("debt",LOWER(F1293&amp;" "&amp;H1293&amp;" "&amp;I1293&amp;" "&amp;M1293&amp;" "&amp;N1293&amp;" "&amp;T1293))),ISNUMBER(SEARCH("bond",LOWER(F1293&amp;" "&amp;H1293&amp;" "&amp;I1293&amp;" "&amp;M1293&amp;" "&amp;N1293&amp;" "&amp;T1293))),ISNUMBER(SEARCH("transaction",LOWER(F1293&amp;" "&amp;H1293&amp;" "&amp;I1293&amp;" "&amp;M1293&amp;" "&amp;N1293&amp;" "&amp;T1293)))),"PRIVATE_REVIEW","PUBLIC_CANDIDATE"))</x:f>
        <x:v>PUBLIC_CANDIDATE</x:v>
      </x:c>
      <x:c r="AD1293" s="12" t="str">
        <x:f>IF(AC1293="PRIVATE_QUARANTINE","hacker_or_bank_trigger",IF(AC1293="PRIVATE_REVIEW","finance_risk_trigger","none"))</x:f>
        <x:v>none</x:v>
      </x:c>
      <x:c r="AE1293" s="12" t="str">
        <x:f>IF(AC1293="PUBLIC_CANDIDATE","prepare_public_github_candidate",IF(AC1293="PRIVATE_REVIEW","hold_for_private_review","quarantine_private_do_not_publish"))</x:f>
        <x:v>prepare_public_github_candidate</x:v>
      </x:c>
      <x:c r="AF1293" s="12" t="str">
        <x:f>IF(AC1293="PUBLIC_CANDIDATE","TIDELOCK + Lucerna",IF(AC1293="PRIVATE_REVIEW","AtlasBrain + Lucerna","TIDELOCK + Lucerna + Human-root"))</x:f>
        <x:v>TIDELOCK + Lucerna</x:v>
      </x:c>
      <x:c r="AG1293" s="12" t="str">
        <x:f>IF(AND(AC1293="PUBLIC_CANDIDATE",U1293&lt;&gt;"BLOCKED_PENDING_RECEIPT"),"READY_AFTER_RECEIPT","NOT_READY")</x:f>
        <x:v>NOT_READY</x:v>
      </x:c>
      <x:c r="AH1293" s="12" t="str">
        <x:f>IF(AC1293="PUBLIC_CANDIDATE","none",AD1293)</x:f>
        <x:v>none</x:v>
      </x:c>
      <x:c r="AI1293" s="12" t="str">
        <x:f>IF(AC1293="PUBLIC_CANDIDATE","archive/public_candidates/"&amp;A1293,"private_quarantine/"&amp;A1293)</x:f>
        <x:v>archive/public_candidates/SWARM-09-H12-S08</x:v>
      </x:c>
      <x:c r="AJ1293" s="12" t="str">
        <x:f>IF(AC1293="PUBLIC_CANDIDATE","public by default; still not canon","private/hold; do not publish")</x:f>
        <x:v>public by default; still not canon</x:v>
      </x:c>
      <x:c r="AK1293" s="12" t="str">
        <x:f>IF(AE1293="prepare_public_github_candidate","add receipt/status then mirror","resolve blocker before any public GitHub action")</x:f>
        <x:v>add receipt/status then mirror</x:v>
      </x:c>
    </x:row>
    <x:row r="1294">
      <x:c r="A1294" s="15" t="str">
        <x:v>SWARM-09-H12-S09</x:v>
      </x:c>
      <x:c r="B1294" s="15" t="str">
        <x:v>NotionMoth</x:v>
      </x:c>
      <x:c r="C1294" s="15" t="str">
        <x:v>Notion ontology mapper</x:v>
      </x:c>
      <x:c r="D1294" s="15" t="str">
        <x:v>Canon-Gate Prep</x:v>
      </x:c>
      <x:c r="E1294" s="15" t="str">
        <x:v>Aetherforge</x:v>
      </x:c>
      <x:c r="F1294" s="15" t="str">
        <x:v>Prepare canon-gate brief for Aetherforge — NotionMoth</x:v>
      </x:c>
      <x:c r="G1294" s="15" t="str">
        <x:v>legacy schema / Notion export prep</x:v>
      </x:c>
      <x:c r="H1294" s="15" t="str">
        <x:v>source path + receipt + raw/export status + claim/edge/risk delta</x:v>
      </x:c>
      <x:c r="I1294" s="15" t="str">
        <x:v>packet/SWARM-09-H12-S09</x:v>
      </x:c>
      <x:c r="J1294" s="15" t="str">
        <x:v>TODO</x:v>
      </x:c>
      <x:c r="K1294" s="15" t="str">
        <x:v>P2</x:v>
      </x:c>
      <x:c r="L1294" s="15" t="str">
        <x:v>Done only when evidence is logged, contradiction search is noted, and boundary stamp remains non-canon unless ratified</x:v>
      </x:c>
      <x:c r="M1294" s="15" t="str">
        <x:v>candidate / staging-only / not canon / not deployed / authority none</x:v>
      </x:c>
      <x:c r="N1294" s="15" t="str">
        <x:v>Dispatch to NotionMoth: complete Canon-Gate Prep x Aetherforge; return deltas only, receipts required.</x:v>
      </x:c>
      <x:c r="O1294" s="15" t="str">
        <x:v>AF-KG-H12-S09</x:v>
      </x:c>
      <x:c r="P1294" s="15" t="str">
        <x:v>Unverified</x:v>
      </x:c>
      <x:c r="Q1294" s="15" t="str">
        <x:v>Not checked</x:v>
      </x:c>
      <x:c r="R1294" s="15" t="str"/>
      <x:c r="S1294" s="15" t="str"/>
      <x:c r="T1294" s="15" t="str">
        <x:v>Log first source path or blocker</x:v>
      </x:c>
      <x:c r="U1294" s="12" t="str">
        <x:f>IF(OR(P1294="Unverified",Q1294="Not checked"),"BLOCKED_PENDING_RECEIPT","READY_FOR_REVIEW")</x:f>
        <x:v>BLOCKED_PENDING_RECEIPT</x:v>
      </x:c>
      <x:c r="V1294" s="12" t="str">
        <x:f>IF(J1294="DONE","RETURNED",IF(U1294="BLOCKED_PENDING_RECEIPT","SOURCE_TOUCH_REQUIRED","IN_PROGRESS"))</x:f>
        <x:v>SOURCE_TOUCH_REQUIRED</x:v>
      </x:c>
      <x:c r="W1294" s="12" t="str">
        <x:f>IF(P1294="Unverified","missing_receipt","receipt_logged")</x:f>
        <x:v>missing_receipt</x:v>
      </x:c>
      <x:c r="X1294" s="12" t="str">
        <x:f>IF(Q1294="Not checked","raw_status_missing","raw_status_logged")</x:f>
        <x:v>raw_status_missing</x:v>
      </x:c>
      <x:c r="Y1294" s="12" t="str">
        <x:f>IF(U1294="BLOCKED_PENDING_RECEIPT","Log source path or blocker; do not promote","Route to review lane")</x:f>
        <x:v>Log source path or blocker; do not promote</x:v>
      </x:c>
      <x:c r="Z1294" s="12" t="str">
        <x:f>IF(K1294="P0","Primary seat + Hashlight/Lucerna","Seat lane")</x:f>
        <x:v>Seat lane</x:v>
      </x:c>
      <x:c r="AA1294" s="12" t="str">
        <x:f>IF(R1294="","no_claim_delta","claim_delta_present")</x:f>
        <x:v>no_claim_delta</x:v>
      </x:c>
      <x:c r="AB1294" s="12" t="str">
        <x:f>IF(S1294="","no_contradiction_delta","contradiction_delta_present")</x:f>
        <x:v>no_contradiction_delta</x:v>
      </x:c>
      <x:c r="AC1294" s="12" t="str">
        <x:f>IF(OR(ISNUMBER(SEARCH("hacker",LOWER(F1294&amp;" "&amp;H1294&amp;" "&amp;I1294&amp;" "&amp;M1294&amp;" "&amp;N1294&amp;" "&amp;T1294))),ISNUMBER(SEARCH("hacking",LOWER(F1294&amp;" "&amp;H1294&amp;" "&amp;I1294&amp;" "&amp;M1294&amp;" "&amp;N1294&amp;" "&amp;T1294))),ISNUMBER(SEARCH("bank",LOWER(F1294&amp;" "&amp;H1294&amp;" "&amp;I1294&amp;" "&amp;M1294&amp;" "&amp;N1294&amp;" "&amp;T1294))),ISNUMBER(SEARCH("banking",LOWER(F1294&amp;" "&amp;H1294&amp;" "&amp;I1294&amp;" "&amp;M1294&amp;" "&amp;N1294&amp;" "&amp;T1294)))),"PRIVATE_QUARANTINE",IF(OR(ISNUMBER(SEARCH("treasury",LOWER(F1294&amp;" "&amp;H1294&amp;" "&amp;I1294&amp;" "&amp;M1294&amp;" "&amp;N1294&amp;" "&amp;T1294))),ISNUMBER(SEARCH("debt",LOWER(F1294&amp;" "&amp;H1294&amp;" "&amp;I1294&amp;" "&amp;M1294&amp;" "&amp;N1294&amp;" "&amp;T1294))),ISNUMBER(SEARCH("bond",LOWER(F1294&amp;" "&amp;H1294&amp;" "&amp;I1294&amp;" "&amp;M1294&amp;" "&amp;N1294&amp;" "&amp;T1294))),ISNUMBER(SEARCH("transaction",LOWER(F1294&amp;" "&amp;H1294&amp;" "&amp;I1294&amp;" "&amp;M1294&amp;" "&amp;N1294&amp;" "&amp;T1294)))),"PRIVATE_REVIEW","PUBLIC_CANDIDATE"))</x:f>
        <x:v>PUBLIC_CANDIDATE</x:v>
      </x:c>
      <x:c r="AD1294" s="12" t="str">
        <x:f>IF(AC1294="PRIVATE_QUARANTINE","hacker_or_bank_trigger",IF(AC1294="PRIVATE_REVIEW","finance_risk_trigger","none"))</x:f>
        <x:v>none</x:v>
      </x:c>
      <x:c r="AE1294" s="12" t="str">
        <x:f>IF(AC1294="PUBLIC_CANDIDATE","prepare_public_github_candidate",IF(AC1294="PRIVATE_REVIEW","hold_for_private_review","quarantine_private_do_not_publish"))</x:f>
        <x:v>prepare_public_github_candidate</x:v>
      </x:c>
      <x:c r="AF1294" s="12" t="str">
        <x:f>IF(AC1294="PUBLIC_CANDIDATE","TIDELOCK + Lucerna",IF(AC1294="PRIVATE_REVIEW","AtlasBrain + Lucerna","TIDELOCK + Lucerna + Human-root"))</x:f>
        <x:v>TIDELOCK + Lucerna</x:v>
      </x:c>
      <x:c r="AG1294" s="12" t="str">
        <x:f>IF(AND(AC1294="PUBLIC_CANDIDATE",U1294&lt;&gt;"BLOCKED_PENDING_RECEIPT"),"READY_AFTER_RECEIPT","NOT_READY")</x:f>
        <x:v>NOT_READY</x:v>
      </x:c>
      <x:c r="AH1294" s="12" t="str">
        <x:f>IF(AC1294="PUBLIC_CANDIDATE","none",AD1294)</x:f>
        <x:v>none</x:v>
      </x:c>
      <x:c r="AI1294" s="12" t="str">
        <x:f>IF(AC1294="PUBLIC_CANDIDATE","archive/public_candidates/"&amp;A1294,"private_quarantine/"&amp;A1294)</x:f>
        <x:v>archive/public_candidates/SWARM-09-H12-S09</x:v>
      </x:c>
      <x:c r="AJ1294" s="12" t="str">
        <x:f>IF(AC1294="PUBLIC_CANDIDATE","public by default; still not canon","private/hold; do not publish")</x:f>
        <x:v>public by default; still not canon</x:v>
      </x:c>
      <x:c r="AK1294" s="12" t="str">
        <x:f>IF(AE1294="prepare_public_github_candidate","add receipt/status then mirror","resolve blocker before any public GitHub action")</x:f>
        <x:v>add receipt/status then mirror</x:v>
      </x:c>
    </x:row>
    <x:row r="1295">
      <x:c r="A1295" s="15" t="str">
        <x:v>SWARM-09-H12-S10</x:v>
      </x:c>
      <x:c r="B1295" s="15" t="str">
        <x:v>NotionMoth</x:v>
      </x:c>
      <x:c r="C1295" s="15" t="str">
        <x:v>Notion ontology mapper</x:v>
      </x:c>
      <x:c r="D1295" s="15" t="str">
        <x:v>Canon-Gate Prep</x:v>
      </x:c>
      <x:c r="E1295" s="15" t="str">
        <x:v>Human-Root</x:v>
      </x:c>
      <x:c r="F1295" s="15" t="str">
        <x:v>Prepare canon-gate brief for Human-Root — NotionMoth</x:v>
      </x:c>
      <x:c r="G1295" s="15" t="str">
        <x:v>legacy schema / Notion export prep</x:v>
      </x:c>
      <x:c r="H1295" s="15" t="str">
        <x:v>source path + receipt + raw/export status + claim/edge/risk delta</x:v>
      </x:c>
      <x:c r="I1295" s="15" t="str">
        <x:v>packet/SWARM-09-H12-S10</x:v>
      </x:c>
      <x:c r="J1295" s="15" t="str">
        <x:v>TODO</x:v>
      </x:c>
      <x:c r="K1295" s="15" t="str">
        <x:v>P2</x:v>
      </x:c>
      <x:c r="L1295" s="15" t="str">
        <x:v>Done only when evidence is logged, contradiction search is noted, and boundary stamp remains non-canon unless ratified</x:v>
      </x:c>
      <x:c r="M1295" s="15" t="str">
        <x:v>candidate / staging-only / not canon / not deployed / authority none</x:v>
      </x:c>
      <x:c r="N1295" s="15" t="str">
        <x:v>Dispatch to NotionMoth: complete Canon-Gate Prep x Human-Root; return deltas only, receipts required.</x:v>
      </x:c>
      <x:c r="O1295" s="15" t="str">
        <x:v>AF-KG-H12-S10</x:v>
      </x:c>
      <x:c r="P1295" s="15" t="str">
        <x:v>Unverified</x:v>
      </x:c>
      <x:c r="Q1295" s="15" t="str">
        <x:v>Not checked</x:v>
      </x:c>
      <x:c r="R1295" s="15" t="str"/>
      <x:c r="S1295" s="15" t="str"/>
      <x:c r="T1295" s="15" t="str">
        <x:v>Log first source path or blocker</x:v>
      </x:c>
      <x:c r="U1295" s="12" t="str">
        <x:f>IF(OR(P1295="Unverified",Q1295="Not checked"),"BLOCKED_PENDING_RECEIPT","READY_FOR_REVIEW")</x:f>
        <x:v>BLOCKED_PENDING_RECEIPT</x:v>
      </x:c>
      <x:c r="V1295" s="12" t="str">
        <x:f>IF(J1295="DONE","RETURNED",IF(U1295="BLOCKED_PENDING_RECEIPT","SOURCE_TOUCH_REQUIRED","IN_PROGRESS"))</x:f>
        <x:v>SOURCE_TOUCH_REQUIRED</x:v>
      </x:c>
      <x:c r="W1295" s="12" t="str">
        <x:f>IF(P1295="Unverified","missing_receipt","receipt_logged")</x:f>
        <x:v>missing_receipt</x:v>
      </x:c>
      <x:c r="X1295" s="12" t="str">
        <x:f>IF(Q1295="Not checked","raw_status_missing","raw_status_logged")</x:f>
        <x:v>raw_status_missing</x:v>
      </x:c>
      <x:c r="Y1295" s="12" t="str">
        <x:f>IF(U1295="BLOCKED_PENDING_RECEIPT","Log source path or blocker; do not promote","Route to review lane")</x:f>
        <x:v>Log source path or blocker; do not promote</x:v>
      </x:c>
      <x:c r="Z1295" s="12" t="str">
        <x:f>IF(K1295="P0","Primary seat + Hashlight/Lucerna","Seat lane")</x:f>
        <x:v>Seat lane</x:v>
      </x:c>
      <x:c r="AA1295" s="12" t="str">
        <x:f>IF(R1295="","no_claim_delta","claim_delta_present")</x:f>
        <x:v>no_claim_delta</x:v>
      </x:c>
      <x:c r="AB1295" s="12" t="str">
        <x:f>IF(S1295="","no_contradiction_delta","contradiction_delta_present")</x:f>
        <x:v>no_contradiction_delta</x:v>
      </x:c>
      <x:c r="AC1295" s="12" t="str">
        <x:f>IF(OR(ISNUMBER(SEARCH("hacker",LOWER(F1295&amp;" "&amp;H1295&amp;" "&amp;I1295&amp;" "&amp;M1295&amp;" "&amp;N1295&amp;" "&amp;T1295))),ISNUMBER(SEARCH("hacking",LOWER(F1295&amp;" "&amp;H1295&amp;" "&amp;I1295&amp;" "&amp;M1295&amp;" "&amp;N1295&amp;" "&amp;T1295))),ISNUMBER(SEARCH("bank",LOWER(F1295&amp;" "&amp;H1295&amp;" "&amp;I1295&amp;" "&amp;M1295&amp;" "&amp;N1295&amp;" "&amp;T1295))),ISNUMBER(SEARCH("banking",LOWER(F1295&amp;" "&amp;H1295&amp;" "&amp;I1295&amp;" "&amp;M1295&amp;" "&amp;N1295&amp;" "&amp;T1295)))),"PRIVATE_QUARANTINE",IF(OR(ISNUMBER(SEARCH("treasury",LOWER(F1295&amp;" "&amp;H1295&amp;" "&amp;I1295&amp;" "&amp;M1295&amp;" "&amp;N1295&amp;" "&amp;T1295))),ISNUMBER(SEARCH("debt",LOWER(F1295&amp;" "&amp;H1295&amp;" "&amp;I1295&amp;" "&amp;M1295&amp;" "&amp;N1295&amp;" "&amp;T1295))),ISNUMBER(SEARCH("bond",LOWER(F1295&amp;" "&amp;H1295&amp;" "&amp;I1295&amp;" "&amp;M1295&amp;" "&amp;N1295&amp;" "&amp;T1295))),ISNUMBER(SEARCH("transaction",LOWER(F1295&amp;" "&amp;H1295&amp;" "&amp;I1295&amp;" "&amp;M1295&amp;" "&amp;N1295&amp;" "&amp;T1295)))),"PRIVATE_REVIEW","PUBLIC_CANDIDATE"))</x:f>
        <x:v>PUBLIC_CANDIDATE</x:v>
      </x:c>
      <x:c r="AD1295" s="12" t="str">
        <x:f>IF(AC1295="PRIVATE_QUARANTINE","hacker_or_bank_trigger",IF(AC1295="PRIVATE_REVIEW","finance_risk_trigger","none"))</x:f>
        <x:v>none</x:v>
      </x:c>
      <x:c r="AE1295" s="12" t="str">
        <x:f>IF(AC1295="PUBLIC_CANDIDATE","prepare_public_github_candidate",IF(AC1295="PRIVATE_REVIEW","hold_for_private_review","quarantine_private_do_not_publish"))</x:f>
        <x:v>prepare_public_github_candidate</x:v>
      </x:c>
      <x:c r="AF1295" s="12" t="str">
        <x:f>IF(AC1295="PUBLIC_CANDIDATE","TIDELOCK + Lucerna",IF(AC1295="PRIVATE_REVIEW","AtlasBrain + Lucerna","TIDELOCK + Lucerna + Human-root"))</x:f>
        <x:v>TIDELOCK + Lucerna</x:v>
      </x:c>
      <x:c r="AG1295" s="12" t="str">
        <x:f>IF(AND(AC1295="PUBLIC_CANDIDATE",U1295&lt;&gt;"BLOCKED_PENDING_RECEIPT"),"READY_AFTER_RECEIPT","NOT_READY")</x:f>
        <x:v>NOT_READY</x:v>
      </x:c>
      <x:c r="AH1295" s="12" t="str">
        <x:f>IF(AC1295="PUBLIC_CANDIDATE","none",AD1295)</x:f>
        <x:v>none</x:v>
      </x:c>
      <x:c r="AI1295" s="12" t="str">
        <x:f>IF(AC1295="PUBLIC_CANDIDATE","archive/public_candidates/"&amp;A1295,"private_quarantine/"&amp;A1295)</x:f>
        <x:v>archive/public_candidates/SWARM-09-H12-S10</x:v>
      </x:c>
      <x:c r="AJ1295" s="12" t="str">
        <x:f>IF(AC1295="PUBLIC_CANDIDATE","public by default; still not canon","private/hold; do not publish")</x:f>
        <x:v>public by default; still not canon</x:v>
      </x:c>
      <x:c r="AK1295" s="12" t="str">
        <x:f>IF(AE1295="prepare_public_github_candidate","add receipt/status then mirror","resolve blocker before any public GitHub action")</x:f>
        <x:v>add receipt/status then mirror</x:v>
      </x:c>
    </x:row>
    <x:row r="1296">
      <x:c r="A1296" s="15" t="str">
        <x:v>SWARM-09-H12-S11</x:v>
      </x:c>
      <x:c r="B1296" s="15" t="str">
        <x:v>NotionMoth</x:v>
      </x:c>
      <x:c r="C1296" s="15" t="str">
        <x:v>Notion ontology mapper</x:v>
      </x:c>
      <x:c r="D1296" s="15" t="str">
        <x:v>Canon-Gate Prep</x:v>
      </x:c>
      <x:c r="E1296" s="15" t="str">
        <x:v>Automation</x:v>
      </x:c>
      <x:c r="F1296" s="15" t="str">
        <x:v>Prepare canon-gate brief for Automation — NotionMoth</x:v>
      </x:c>
      <x:c r="G1296" s="15" t="str">
        <x:v>legacy schema / Notion export prep</x:v>
      </x:c>
      <x:c r="H1296" s="15" t="str">
        <x:v>source path + receipt + raw/export status + claim/edge/risk delta</x:v>
      </x:c>
      <x:c r="I1296" s="15" t="str">
        <x:v>packet/SWARM-09-H12-S11</x:v>
      </x:c>
      <x:c r="J1296" s="15" t="str">
        <x:v>TODO</x:v>
      </x:c>
      <x:c r="K1296" s="15" t="str">
        <x:v>P2</x:v>
      </x:c>
      <x:c r="L1296" s="15" t="str">
        <x:v>Done only when evidence is logged, contradiction search is noted, and boundary stamp remains non-canon unless ratified</x:v>
      </x:c>
      <x:c r="M1296" s="15" t="str">
        <x:v>candidate / staging-only / not canon / not deployed / authority none</x:v>
      </x:c>
      <x:c r="N1296" s="15" t="str">
        <x:v>Dispatch to NotionMoth: complete Canon-Gate Prep x Automation; return deltas only, receipts required.</x:v>
      </x:c>
      <x:c r="O1296" s="15" t="str">
        <x:v>AF-KG-H12-S11</x:v>
      </x:c>
      <x:c r="P1296" s="15" t="str">
        <x:v>Unverified</x:v>
      </x:c>
      <x:c r="Q1296" s="15" t="str">
        <x:v>Not checked</x:v>
      </x:c>
      <x:c r="R1296" s="15" t="str"/>
      <x:c r="S1296" s="15" t="str"/>
      <x:c r="T1296" s="15" t="str">
        <x:v>Log first source path or blocker</x:v>
      </x:c>
      <x:c r="U1296" s="12" t="str">
        <x:f>IF(OR(P1296="Unverified",Q1296="Not checked"),"BLOCKED_PENDING_RECEIPT","READY_FOR_REVIEW")</x:f>
        <x:v>BLOCKED_PENDING_RECEIPT</x:v>
      </x:c>
      <x:c r="V1296" s="12" t="str">
        <x:f>IF(J1296="DONE","RETURNED",IF(U1296="BLOCKED_PENDING_RECEIPT","SOURCE_TOUCH_REQUIRED","IN_PROGRESS"))</x:f>
        <x:v>SOURCE_TOUCH_REQUIRED</x:v>
      </x:c>
      <x:c r="W1296" s="12" t="str">
        <x:f>IF(P1296="Unverified","missing_receipt","receipt_logged")</x:f>
        <x:v>missing_receipt</x:v>
      </x:c>
      <x:c r="X1296" s="12" t="str">
        <x:f>IF(Q1296="Not checked","raw_status_missing","raw_status_logged")</x:f>
        <x:v>raw_status_missing</x:v>
      </x:c>
      <x:c r="Y1296" s="12" t="str">
        <x:f>IF(U1296="BLOCKED_PENDING_RECEIPT","Log source path or blocker; do not promote","Route to review lane")</x:f>
        <x:v>Log source path or blocker; do not promote</x:v>
      </x:c>
      <x:c r="Z1296" s="12" t="str">
        <x:f>IF(K1296="P0","Primary seat + Hashlight/Lucerna","Seat lane")</x:f>
        <x:v>Seat lane</x:v>
      </x:c>
      <x:c r="AA1296" s="12" t="str">
        <x:f>IF(R1296="","no_claim_delta","claim_delta_present")</x:f>
        <x:v>no_claim_delta</x:v>
      </x:c>
      <x:c r="AB1296" s="12" t="str">
        <x:f>IF(S1296="","no_contradiction_delta","contradiction_delta_present")</x:f>
        <x:v>no_contradiction_delta</x:v>
      </x:c>
      <x:c r="AC1296" s="12" t="str">
        <x:f>IF(OR(ISNUMBER(SEARCH("hacker",LOWER(F1296&amp;" "&amp;H1296&amp;" "&amp;I1296&amp;" "&amp;M1296&amp;" "&amp;N1296&amp;" "&amp;T1296))),ISNUMBER(SEARCH("hacking",LOWER(F1296&amp;" "&amp;H1296&amp;" "&amp;I1296&amp;" "&amp;M1296&amp;" "&amp;N1296&amp;" "&amp;T1296))),ISNUMBER(SEARCH("bank",LOWER(F1296&amp;" "&amp;H1296&amp;" "&amp;I1296&amp;" "&amp;M1296&amp;" "&amp;N1296&amp;" "&amp;T1296))),ISNUMBER(SEARCH("banking",LOWER(F1296&amp;" "&amp;H1296&amp;" "&amp;I1296&amp;" "&amp;M1296&amp;" "&amp;N1296&amp;" "&amp;T1296)))),"PRIVATE_QUARANTINE",IF(OR(ISNUMBER(SEARCH("treasury",LOWER(F1296&amp;" "&amp;H1296&amp;" "&amp;I1296&amp;" "&amp;M1296&amp;" "&amp;N1296&amp;" "&amp;T1296))),ISNUMBER(SEARCH("debt",LOWER(F1296&amp;" "&amp;H1296&amp;" "&amp;I1296&amp;" "&amp;M1296&amp;" "&amp;N1296&amp;" "&amp;T1296))),ISNUMBER(SEARCH("bond",LOWER(F1296&amp;" "&amp;H1296&amp;" "&amp;I1296&amp;" "&amp;M1296&amp;" "&amp;N1296&amp;" "&amp;T1296))),ISNUMBER(SEARCH("transaction",LOWER(F1296&amp;" "&amp;H1296&amp;" "&amp;I1296&amp;" "&amp;M1296&amp;" "&amp;N1296&amp;" "&amp;T1296)))),"PRIVATE_REVIEW","PUBLIC_CANDIDATE"))</x:f>
        <x:v>PUBLIC_CANDIDATE</x:v>
      </x:c>
      <x:c r="AD1296" s="12" t="str">
        <x:f>IF(AC1296="PRIVATE_QUARANTINE","hacker_or_bank_trigger",IF(AC1296="PRIVATE_REVIEW","finance_risk_trigger","none"))</x:f>
        <x:v>none</x:v>
      </x:c>
      <x:c r="AE1296" s="12" t="str">
        <x:f>IF(AC1296="PUBLIC_CANDIDATE","prepare_public_github_candidate",IF(AC1296="PRIVATE_REVIEW","hold_for_private_review","quarantine_private_do_not_publish"))</x:f>
        <x:v>prepare_public_github_candidate</x:v>
      </x:c>
      <x:c r="AF1296" s="12" t="str">
        <x:f>IF(AC1296="PUBLIC_CANDIDATE","TIDELOCK + Lucerna",IF(AC1296="PRIVATE_REVIEW","AtlasBrain + Lucerna","TIDELOCK + Lucerna + Human-root"))</x:f>
        <x:v>TIDELOCK + Lucerna</x:v>
      </x:c>
      <x:c r="AG1296" s="12" t="str">
        <x:f>IF(AND(AC1296="PUBLIC_CANDIDATE",U1296&lt;&gt;"BLOCKED_PENDING_RECEIPT"),"READY_AFTER_RECEIPT","NOT_READY")</x:f>
        <x:v>NOT_READY</x:v>
      </x:c>
      <x:c r="AH1296" s="12" t="str">
        <x:f>IF(AC1296="PUBLIC_CANDIDATE","none",AD1296)</x:f>
        <x:v>none</x:v>
      </x:c>
      <x:c r="AI1296" s="12" t="str">
        <x:f>IF(AC1296="PUBLIC_CANDIDATE","archive/public_candidates/"&amp;A1296,"private_quarantine/"&amp;A1296)</x:f>
        <x:v>archive/public_candidates/SWARM-09-H12-S11</x:v>
      </x:c>
      <x:c r="AJ1296" s="12" t="str">
        <x:f>IF(AC1296="PUBLIC_CANDIDATE","public by default; still not canon","private/hold; do not publish")</x:f>
        <x:v>public by default; still not canon</x:v>
      </x:c>
      <x:c r="AK1296" s="12" t="str">
        <x:f>IF(AE1296="prepare_public_github_candidate","add receipt/status then mirror","resolve blocker before any public GitHub action")</x:f>
        <x:v>add receipt/status then mirror</x:v>
      </x:c>
    </x:row>
    <x:row r="1297">
      <x:c r="A1297" s="15" t="str">
        <x:v>SWARM-09-H12-S12</x:v>
      </x:c>
      <x:c r="B1297" s="15" t="str">
        <x:v>NotionMoth</x:v>
      </x:c>
      <x:c r="C1297" s="15" t="str">
        <x:v>Notion ontology mapper</x:v>
      </x:c>
      <x:c r="D1297" s="15" t="str">
        <x:v>Canon-Gate Prep</x:v>
      </x:c>
      <x:c r="E1297" s="15" t="str">
        <x:v>Risk / Safety</x:v>
      </x:c>
      <x:c r="F1297" s="15" t="str">
        <x:v>Prepare canon-gate brief for Risk / Safety — NotionMoth</x:v>
      </x:c>
      <x:c r="G1297" s="15" t="str">
        <x:v>legacy schema / Notion export prep</x:v>
      </x:c>
      <x:c r="H1297" s="15" t="str">
        <x:v>source path + receipt + raw/export status + claim/edge/risk delta</x:v>
      </x:c>
      <x:c r="I1297" s="15" t="str">
        <x:v>packet/SWARM-09-H12-S12</x:v>
      </x:c>
      <x:c r="J1297" s="15" t="str">
        <x:v>TODO</x:v>
      </x:c>
      <x:c r="K1297" s="15" t="str">
        <x:v>P2</x:v>
      </x:c>
      <x:c r="L1297" s="15" t="str">
        <x:v>Done only when evidence is logged, contradiction search is noted, and boundary stamp remains non-canon unless ratified</x:v>
      </x:c>
      <x:c r="M1297" s="15" t="str">
        <x:v>candidate / staging-only / not canon / not deployed / authority none</x:v>
      </x:c>
      <x:c r="N1297" s="15" t="str">
        <x:v>Dispatch to NotionMoth: complete Canon-Gate Prep x Risk / Safety; return deltas only, receipts required.</x:v>
      </x:c>
      <x:c r="O1297" s="15" t="str">
        <x:v>AF-KG-H12-S12</x:v>
      </x:c>
      <x:c r="P1297" s="15" t="str">
        <x:v>Unverified</x:v>
      </x:c>
      <x:c r="Q1297" s="15" t="str">
        <x:v>Not checked</x:v>
      </x:c>
      <x:c r="R1297" s="15" t="str"/>
      <x:c r="S1297" s="15" t="str"/>
      <x:c r="T1297" s="15" t="str">
        <x:v>Log first source path or blocker</x:v>
      </x:c>
      <x:c r="U1297" s="12" t="str">
        <x:f>IF(OR(P1297="Unverified",Q1297="Not checked"),"BLOCKED_PENDING_RECEIPT","READY_FOR_REVIEW")</x:f>
        <x:v>BLOCKED_PENDING_RECEIPT</x:v>
      </x:c>
      <x:c r="V1297" s="12" t="str">
        <x:f>IF(J1297="DONE","RETURNED",IF(U1297="BLOCKED_PENDING_RECEIPT","SOURCE_TOUCH_REQUIRED","IN_PROGRESS"))</x:f>
        <x:v>SOURCE_TOUCH_REQUIRED</x:v>
      </x:c>
      <x:c r="W1297" s="12" t="str">
        <x:f>IF(P1297="Unverified","missing_receipt","receipt_logged")</x:f>
        <x:v>missing_receipt</x:v>
      </x:c>
      <x:c r="X1297" s="12" t="str">
        <x:f>IF(Q1297="Not checked","raw_status_missing","raw_status_logged")</x:f>
        <x:v>raw_status_missing</x:v>
      </x:c>
      <x:c r="Y1297" s="12" t="str">
        <x:f>IF(U1297="BLOCKED_PENDING_RECEIPT","Log source path or blocker; do not promote","Route to review lane")</x:f>
        <x:v>Log source path or blocker; do not promote</x:v>
      </x:c>
      <x:c r="Z1297" s="12" t="str">
        <x:f>IF(K1297="P0","Primary seat + Hashlight/Lucerna","Seat lane")</x:f>
        <x:v>Seat lane</x:v>
      </x:c>
      <x:c r="AA1297" s="12" t="str">
        <x:f>IF(R1297="","no_claim_delta","claim_delta_present")</x:f>
        <x:v>no_claim_delta</x:v>
      </x:c>
      <x:c r="AB1297" s="12" t="str">
        <x:f>IF(S1297="","no_contradiction_delta","contradiction_delta_present")</x:f>
        <x:v>no_contradiction_delta</x:v>
      </x:c>
      <x:c r="AC1297" s="12" t="str">
        <x:f>IF(OR(ISNUMBER(SEARCH("hacker",LOWER(F1297&amp;" "&amp;H1297&amp;" "&amp;I1297&amp;" "&amp;M1297&amp;" "&amp;N1297&amp;" "&amp;T1297))),ISNUMBER(SEARCH("hacking",LOWER(F1297&amp;" "&amp;H1297&amp;" "&amp;I1297&amp;" "&amp;M1297&amp;" "&amp;N1297&amp;" "&amp;T1297))),ISNUMBER(SEARCH("bank",LOWER(F1297&amp;" "&amp;H1297&amp;" "&amp;I1297&amp;" "&amp;M1297&amp;" "&amp;N1297&amp;" "&amp;T1297))),ISNUMBER(SEARCH("banking",LOWER(F1297&amp;" "&amp;H1297&amp;" "&amp;I1297&amp;" "&amp;M1297&amp;" "&amp;N1297&amp;" "&amp;T1297)))),"PRIVATE_QUARANTINE",IF(OR(ISNUMBER(SEARCH("treasury",LOWER(F1297&amp;" "&amp;H1297&amp;" "&amp;I1297&amp;" "&amp;M1297&amp;" "&amp;N1297&amp;" "&amp;T1297))),ISNUMBER(SEARCH("debt",LOWER(F1297&amp;" "&amp;H1297&amp;" "&amp;I1297&amp;" "&amp;M1297&amp;" "&amp;N1297&amp;" "&amp;T1297))),ISNUMBER(SEARCH("bond",LOWER(F1297&amp;" "&amp;H1297&amp;" "&amp;I1297&amp;" "&amp;M1297&amp;" "&amp;N1297&amp;" "&amp;T1297))),ISNUMBER(SEARCH("transaction",LOWER(F1297&amp;" "&amp;H1297&amp;" "&amp;I1297&amp;" "&amp;M1297&amp;" "&amp;N1297&amp;" "&amp;T1297)))),"PRIVATE_REVIEW","PUBLIC_CANDIDATE"))</x:f>
        <x:v>PUBLIC_CANDIDATE</x:v>
      </x:c>
      <x:c r="AD1297" s="12" t="str">
        <x:f>IF(AC1297="PRIVATE_QUARANTINE","hacker_or_bank_trigger",IF(AC1297="PRIVATE_REVIEW","finance_risk_trigger","none"))</x:f>
        <x:v>none</x:v>
      </x:c>
      <x:c r="AE1297" s="12" t="str">
        <x:f>IF(AC1297="PUBLIC_CANDIDATE","prepare_public_github_candidate",IF(AC1297="PRIVATE_REVIEW","hold_for_private_review","quarantine_private_do_not_publish"))</x:f>
        <x:v>prepare_public_github_candidate</x:v>
      </x:c>
      <x:c r="AF1297" s="12" t="str">
        <x:f>IF(AC1297="PUBLIC_CANDIDATE","TIDELOCK + Lucerna",IF(AC1297="PRIVATE_REVIEW","AtlasBrain + Lucerna","TIDELOCK + Lucerna + Human-root"))</x:f>
        <x:v>TIDELOCK + Lucerna</x:v>
      </x:c>
      <x:c r="AG1297" s="12" t="str">
        <x:f>IF(AND(AC1297="PUBLIC_CANDIDATE",U1297&lt;&gt;"BLOCKED_PENDING_RECEIPT"),"READY_AFTER_RECEIPT","NOT_READY")</x:f>
        <x:v>NOT_READY</x:v>
      </x:c>
      <x:c r="AH1297" s="12" t="str">
        <x:f>IF(AC1297="PUBLIC_CANDIDATE","none",AD1297)</x:f>
        <x:v>none</x:v>
      </x:c>
      <x:c r="AI1297" s="12" t="str">
        <x:f>IF(AC1297="PUBLIC_CANDIDATE","archive/public_candidates/"&amp;A1297,"private_quarantine/"&amp;A1297)</x:f>
        <x:v>archive/public_candidates/SWARM-09-H12-S12</x:v>
      </x:c>
      <x:c r="AJ1297" s="12" t="str">
        <x:f>IF(AC1297="PUBLIC_CANDIDATE","public by default; still not canon","private/hold; do not publish")</x:f>
        <x:v>public by default; still not canon</x:v>
      </x:c>
      <x:c r="AK1297" s="12" t="str">
        <x:f>IF(AE1297="prepare_public_github_candidate","add receipt/status then mirror","resolve blocker before any public GitHub action")</x:f>
        <x:v>add receipt/status then mirror</x:v>
      </x:c>
    </x:row>
    <x:row r="1298">
      <x:c r="A1298" s="15" t="str">
        <x:v>SWARM-10-H01-S01</x:v>
      </x:c>
      <x:c r="B1298" s="15" t="str">
        <x:v>GitShelf</x:v>
      </x:c>
      <x:c r="C1298" s="15" t="str">
        <x:v>GitHub shelf builder</x:v>
      </x:c>
      <x:c r="D1298" s="15" t="str">
        <x:v>Source Inventory</x:v>
      </x:c>
      <x:c r="E1298" s="15" t="str">
        <x:v>Notion</x:v>
      </x:c>
      <x:c r="F1298" s="15" t="str">
        <x:v>Inventory Notion — GitShelf</x:v>
      </x:c>
      <x:c r="G1298" s="15" t="str">
        <x:v>repo packet / manifest / issue template prep</x:v>
      </x:c>
      <x:c r="H1298" s="15" t="str">
        <x:v>source path + receipt + raw/export status + claim/edge/risk delta</x:v>
      </x:c>
      <x:c r="I1298" s="15" t="str">
        <x:v>packet/SWARM-10-H01-S01</x:v>
      </x:c>
      <x:c r="J1298" s="15" t="str">
        <x:v>TODO</x:v>
      </x:c>
      <x:c r="K1298" s="15" t="str">
        <x:v>P0</x:v>
      </x:c>
      <x:c r="L1298" s="15" t="str">
        <x:v>Done only when evidence is logged, contradiction search is noted, and boundary stamp remains non-canon unless ratified</x:v>
      </x:c>
      <x:c r="M1298" s="15" t="str">
        <x:v>candidate / staging-only / not canon / not deployed / authority none</x:v>
      </x:c>
      <x:c r="N1298" s="15" t="str">
        <x:v>Dispatch to GitShelf: complete Source Inventory x Notion; return deltas only, receipts required.</x:v>
      </x:c>
      <x:c r="O1298" s="15" t="str">
        <x:v>AF-KG-H01-S01</x:v>
      </x:c>
      <x:c r="P1298" s="15" t="str">
        <x:v>Unverified</x:v>
      </x:c>
      <x:c r="Q1298" s="15" t="str">
        <x:v>Not checked</x:v>
      </x:c>
      <x:c r="R1298" s="15" t="str"/>
      <x:c r="S1298" s="15" t="str"/>
      <x:c r="T1298" s="15" t="str">
        <x:v>Log first source path or blocker</x:v>
      </x:c>
      <x:c r="U1298" s="12" t="str">
        <x:f>IF(OR(P1298="Unverified",Q1298="Not checked"),"BLOCKED_PENDING_RECEIPT","READY_FOR_REVIEW")</x:f>
        <x:v>BLOCKED_PENDING_RECEIPT</x:v>
      </x:c>
      <x:c r="V1298" s="12" t="str">
        <x:f>IF(J1298="DONE","RETURNED",IF(U1298="BLOCKED_PENDING_RECEIPT","SOURCE_TOUCH_REQUIRED","IN_PROGRESS"))</x:f>
        <x:v>SOURCE_TOUCH_REQUIRED</x:v>
      </x:c>
      <x:c r="W1298" s="12" t="str">
        <x:f>IF(P1298="Unverified","missing_receipt","receipt_logged")</x:f>
        <x:v>missing_receipt</x:v>
      </x:c>
      <x:c r="X1298" s="12" t="str">
        <x:f>IF(Q1298="Not checked","raw_status_missing","raw_status_logged")</x:f>
        <x:v>raw_status_missing</x:v>
      </x:c>
      <x:c r="Y1298" s="12" t="str">
        <x:f>IF(U1298="BLOCKED_PENDING_RECEIPT","Log source path or blocker; do not promote","Route to review lane")</x:f>
        <x:v>Log source path or blocker; do not promote</x:v>
      </x:c>
      <x:c r="Z1298" s="12" t="str">
        <x:f>IF(K1298="P0","Primary seat + Hashlight/Lucerna","Seat lane")</x:f>
        <x:v>Primary seat + Hashlight/Lucerna</x:v>
      </x:c>
      <x:c r="AA1298" s="12" t="str">
        <x:f>IF(R1298="","no_claim_delta","claim_delta_present")</x:f>
        <x:v>no_claim_delta</x:v>
      </x:c>
      <x:c r="AB1298" s="12" t="str">
        <x:f>IF(S1298="","no_contradiction_delta","contradiction_delta_present")</x:f>
        <x:v>no_contradiction_delta</x:v>
      </x:c>
      <x:c r="AC1298" s="12" t="str">
        <x:f>IF(OR(ISNUMBER(SEARCH("hacker",LOWER(F1298&amp;" "&amp;H1298&amp;" "&amp;I1298&amp;" "&amp;M1298&amp;" "&amp;N1298&amp;" "&amp;T1298))),ISNUMBER(SEARCH("hacking",LOWER(F1298&amp;" "&amp;H1298&amp;" "&amp;I1298&amp;" "&amp;M1298&amp;" "&amp;N1298&amp;" "&amp;T1298))),ISNUMBER(SEARCH("bank",LOWER(F1298&amp;" "&amp;H1298&amp;" "&amp;I1298&amp;" "&amp;M1298&amp;" "&amp;N1298&amp;" "&amp;T1298))),ISNUMBER(SEARCH("banking",LOWER(F1298&amp;" "&amp;H1298&amp;" "&amp;I1298&amp;" "&amp;M1298&amp;" "&amp;N1298&amp;" "&amp;T1298)))),"PRIVATE_QUARANTINE",IF(OR(ISNUMBER(SEARCH("treasury",LOWER(F1298&amp;" "&amp;H1298&amp;" "&amp;I1298&amp;" "&amp;M1298&amp;" "&amp;N1298&amp;" "&amp;T1298))),ISNUMBER(SEARCH("debt",LOWER(F1298&amp;" "&amp;H1298&amp;" "&amp;I1298&amp;" "&amp;M1298&amp;" "&amp;N1298&amp;" "&amp;T1298))),ISNUMBER(SEARCH("bond",LOWER(F1298&amp;" "&amp;H1298&amp;" "&amp;I1298&amp;" "&amp;M1298&amp;" "&amp;N1298&amp;" "&amp;T1298))),ISNUMBER(SEARCH("transaction",LOWER(F1298&amp;" "&amp;H1298&amp;" "&amp;I1298&amp;" "&amp;M1298&amp;" "&amp;N1298&amp;" "&amp;T1298)))),"PRIVATE_REVIEW","PUBLIC_CANDIDATE"))</x:f>
        <x:v>PUBLIC_CANDIDATE</x:v>
      </x:c>
      <x:c r="AD1298" s="12" t="str">
        <x:f>IF(AC1298="PRIVATE_QUARANTINE","hacker_or_bank_trigger",IF(AC1298="PRIVATE_REVIEW","finance_risk_trigger","none"))</x:f>
        <x:v>none</x:v>
      </x:c>
      <x:c r="AE1298" s="12" t="str">
        <x:f>IF(AC1298="PUBLIC_CANDIDATE","prepare_public_github_candidate",IF(AC1298="PRIVATE_REVIEW","hold_for_private_review","quarantine_private_do_not_publish"))</x:f>
        <x:v>prepare_public_github_candidate</x:v>
      </x:c>
      <x:c r="AF1298" s="12" t="str">
        <x:f>IF(AC1298="PUBLIC_CANDIDATE","TIDELOCK + Lucerna",IF(AC1298="PRIVATE_REVIEW","AtlasBrain + Lucerna","TIDELOCK + Lucerna + Human-root"))</x:f>
        <x:v>TIDELOCK + Lucerna</x:v>
      </x:c>
      <x:c r="AG1298" s="12" t="str">
        <x:f>IF(AND(AC1298="PUBLIC_CANDIDATE",U1298&lt;&gt;"BLOCKED_PENDING_RECEIPT"),"READY_AFTER_RECEIPT","NOT_READY")</x:f>
        <x:v>NOT_READY</x:v>
      </x:c>
      <x:c r="AH1298" s="12" t="str">
        <x:f>IF(AC1298="PUBLIC_CANDIDATE","none",AD1298)</x:f>
        <x:v>none</x:v>
      </x:c>
      <x:c r="AI1298" s="12" t="str">
        <x:f>IF(AC1298="PUBLIC_CANDIDATE","archive/public_candidates/"&amp;A1298,"private_quarantine/"&amp;A1298)</x:f>
        <x:v>archive/public_candidates/SWARM-10-H01-S01</x:v>
      </x:c>
      <x:c r="AJ1298" s="12" t="str">
        <x:f>IF(AC1298="PUBLIC_CANDIDATE","public by default; still not canon","private/hold; do not publish")</x:f>
        <x:v>public by default; still not canon</x:v>
      </x:c>
      <x:c r="AK1298" s="12" t="str">
        <x:f>IF(AE1298="prepare_public_github_candidate","add receipt/status then mirror","resolve blocker before any public GitHub action")</x:f>
        <x:v>add receipt/status then mirror</x:v>
      </x:c>
    </x:row>
    <x:row r="1299">
      <x:c r="A1299" s="15" t="str">
        <x:v>SWARM-10-H01-S02</x:v>
      </x:c>
      <x:c r="B1299" s="15" t="str">
        <x:v>GitShelf</x:v>
      </x:c>
      <x:c r="C1299" s="15" t="str">
        <x:v>GitHub shelf builder</x:v>
      </x:c>
      <x:c r="D1299" s="15" t="str">
        <x:v>Source Inventory</x:v>
      </x:c>
      <x:c r="E1299" s="15" t="str">
        <x:v>Drive</x:v>
      </x:c>
      <x:c r="F1299" s="15" t="str">
        <x:v>Inventory Drive — GitShelf</x:v>
      </x:c>
      <x:c r="G1299" s="15" t="str">
        <x:v>repo packet / manifest / issue template prep</x:v>
      </x:c>
      <x:c r="H1299" s="15" t="str">
        <x:v>source path + receipt + raw/export status + claim/edge/risk delta</x:v>
      </x:c>
      <x:c r="I1299" s="15" t="str">
        <x:v>packet/SWARM-10-H01-S02</x:v>
      </x:c>
      <x:c r="J1299" s="15" t="str">
        <x:v>TODO</x:v>
      </x:c>
      <x:c r="K1299" s="15" t="str">
        <x:v>P0</x:v>
      </x:c>
      <x:c r="L1299" s="15" t="str">
        <x:v>Done only when evidence is logged, contradiction search is noted, and boundary stamp remains non-canon unless ratified</x:v>
      </x:c>
      <x:c r="M1299" s="15" t="str">
        <x:v>candidate / staging-only / not canon / not deployed / authority none</x:v>
      </x:c>
      <x:c r="N1299" s="15" t="str">
        <x:v>Dispatch to GitShelf: complete Source Inventory x Drive; return deltas only, receipts required.</x:v>
      </x:c>
      <x:c r="O1299" s="15" t="str">
        <x:v>AF-KG-H01-S02</x:v>
      </x:c>
      <x:c r="P1299" s="15" t="str">
        <x:v>Unverified</x:v>
      </x:c>
      <x:c r="Q1299" s="15" t="str">
        <x:v>Not checked</x:v>
      </x:c>
      <x:c r="R1299" s="15" t="str"/>
      <x:c r="S1299" s="15" t="str"/>
      <x:c r="T1299" s="15" t="str">
        <x:v>Log first source path or blocker</x:v>
      </x:c>
      <x:c r="U1299" s="12" t="str">
        <x:f>IF(OR(P1299="Unverified",Q1299="Not checked"),"BLOCKED_PENDING_RECEIPT","READY_FOR_REVIEW")</x:f>
        <x:v>BLOCKED_PENDING_RECEIPT</x:v>
      </x:c>
      <x:c r="V1299" s="12" t="str">
        <x:f>IF(J1299="DONE","RETURNED",IF(U1299="BLOCKED_PENDING_RECEIPT","SOURCE_TOUCH_REQUIRED","IN_PROGRESS"))</x:f>
        <x:v>SOURCE_TOUCH_REQUIRED</x:v>
      </x:c>
      <x:c r="W1299" s="12" t="str">
        <x:f>IF(P1299="Unverified","missing_receipt","receipt_logged")</x:f>
        <x:v>missing_receipt</x:v>
      </x:c>
      <x:c r="X1299" s="12" t="str">
        <x:f>IF(Q1299="Not checked","raw_status_missing","raw_status_logged")</x:f>
        <x:v>raw_status_missing</x:v>
      </x:c>
      <x:c r="Y1299" s="12" t="str">
        <x:f>IF(U1299="BLOCKED_PENDING_RECEIPT","Log source path or blocker; do not promote","Route to review lane")</x:f>
        <x:v>Log source path or blocker; do not promote</x:v>
      </x:c>
      <x:c r="Z1299" s="12" t="str">
        <x:f>IF(K1299="P0","Primary seat + Hashlight/Lucerna","Seat lane")</x:f>
        <x:v>Primary seat + Hashlight/Lucerna</x:v>
      </x:c>
      <x:c r="AA1299" s="12" t="str">
        <x:f>IF(R1299="","no_claim_delta","claim_delta_present")</x:f>
        <x:v>no_claim_delta</x:v>
      </x:c>
      <x:c r="AB1299" s="12" t="str">
        <x:f>IF(S1299="","no_contradiction_delta","contradiction_delta_present")</x:f>
        <x:v>no_contradiction_delta</x:v>
      </x:c>
      <x:c r="AC1299" s="12" t="str">
        <x:f>IF(OR(ISNUMBER(SEARCH("hacker",LOWER(F1299&amp;" "&amp;H1299&amp;" "&amp;I1299&amp;" "&amp;M1299&amp;" "&amp;N1299&amp;" "&amp;T1299))),ISNUMBER(SEARCH("hacking",LOWER(F1299&amp;" "&amp;H1299&amp;" "&amp;I1299&amp;" "&amp;M1299&amp;" "&amp;N1299&amp;" "&amp;T1299))),ISNUMBER(SEARCH("bank",LOWER(F1299&amp;" "&amp;H1299&amp;" "&amp;I1299&amp;" "&amp;M1299&amp;" "&amp;N1299&amp;" "&amp;T1299))),ISNUMBER(SEARCH("banking",LOWER(F1299&amp;" "&amp;H1299&amp;" "&amp;I1299&amp;" "&amp;M1299&amp;" "&amp;N1299&amp;" "&amp;T1299)))),"PRIVATE_QUARANTINE",IF(OR(ISNUMBER(SEARCH("treasury",LOWER(F1299&amp;" "&amp;H1299&amp;" "&amp;I1299&amp;" "&amp;M1299&amp;" "&amp;N1299&amp;" "&amp;T1299))),ISNUMBER(SEARCH("debt",LOWER(F1299&amp;" "&amp;H1299&amp;" "&amp;I1299&amp;" "&amp;M1299&amp;" "&amp;N1299&amp;" "&amp;T1299))),ISNUMBER(SEARCH("bond",LOWER(F1299&amp;" "&amp;H1299&amp;" "&amp;I1299&amp;" "&amp;M1299&amp;" "&amp;N1299&amp;" "&amp;T1299))),ISNUMBER(SEARCH("transaction",LOWER(F1299&amp;" "&amp;H1299&amp;" "&amp;I1299&amp;" "&amp;M1299&amp;" "&amp;N1299&amp;" "&amp;T1299)))),"PRIVATE_REVIEW","PUBLIC_CANDIDATE"))</x:f>
        <x:v>PUBLIC_CANDIDATE</x:v>
      </x:c>
      <x:c r="AD1299" s="12" t="str">
        <x:f>IF(AC1299="PRIVATE_QUARANTINE","hacker_or_bank_trigger",IF(AC1299="PRIVATE_REVIEW","finance_risk_trigger","none"))</x:f>
        <x:v>none</x:v>
      </x:c>
      <x:c r="AE1299" s="12" t="str">
        <x:f>IF(AC1299="PUBLIC_CANDIDATE","prepare_public_github_candidate",IF(AC1299="PRIVATE_REVIEW","hold_for_private_review","quarantine_private_do_not_publish"))</x:f>
        <x:v>prepare_public_github_candidate</x:v>
      </x:c>
      <x:c r="AF1299" s="12" t="str">
        <x:f>IF(AC1299="PUBLIC_CANDIDATE","TIDELOCK + Lucerna",IF(AC1299="PRIVATE_REVIEW","AtlasBrain + Lucerna","TIDELOCK + Lucerna + Human-root"))</x:f>
        <x:v>TIDELOCK + Lucerna</x:v>
      </x:c>
      <x:c r="AG1299" s="12" t="str">
        <x:f>IF(AND(AC1299="PUBLIC_CANDIDATE",U1299&lt;&gt;"BLOCKED_PENDING_RECEIPT"),"READY_AFTER_RECEIPT","NOT_READY")</x:f>
        <x:v>NOT_READY</x:v>
      </x:c>
      <x:c r="AH1299" s="12" t="str">
        <x:f>IF(AC1299="PUBLIC_CANDIDATE","none",AD1299)</x:f>
        <x:v>none</x:v>
      </x:c>
      <x:c r="AI1299" s="12" t="str">
        <x:f>IF(AC1299="PUBLIC_CANDIDATE","archive/public_candidates/"&amp;A1299,"private_quarantine/"&amp;A1299)</x:f>
        <x:v>archive/public_candidates/SWARM-10-H01-S02</x:v>
      </x:c>
      <x:c r="AJ1299" s="12" t="str">
        <x:f>IF(AC1299="PUBLIC_CANDIDATE","public by default; still not canon","private/hold; do not publish")</x:f>
        <x:v>public by default; still not canon</x:v>
      </x:c>
      <x:c r="AK1299" s="12" t="str">
        <x:f>IF(AE1299="prepare_public_github_candidate","add receipt/status then mirror","resolve blocker before any public GitHub action")</x:f>
        <x:v>add receipt/status then mirror</x:v>
      </x:c>
    </x:row>
    <x:row r="1300">
      <x:c r="A1300" s="15" t="str">
        <x:v>SWARM-10-H01-S03</x:v>
      </x:c>
      <x:c r="B1300" s="15" t="str">
        <x:v>GitShelf</x:v>
      </x:c>
      <x:c r="C1300" s="15" t="str">
        <x:v>GitHub shelf builder</x:v>
      </x:c>
      <x:c r="D1300" s="15" t="str">
        <x:v>Source Inventory</x:v>
      </x:c>
      <x:c r="E1300" s="15" t="str">
        <x:v>GitHub</x:v>
      </x:c>
      <x:c r="F1300" s="15" t="str">
        <x:v>Inventory GitHub — GitShelf</x:v>
      </x:c>
      <x:c r="G1300" s="15" t="str">
        <x:v>repo packet / manifest / issue template prep</x:v>
      </x:c>
      <x:c r="H1300" s="15" t="str">
        <x:v>source path + receipt + raw/export status + claim/edge/risk delta</x:v>
      </x:c>
      <x:c r="I1300" s="15" t="str">
        <x:v>packet/SWARM-10-H01-S03</x:v>
      </x:c>
      <x:c r="J1300" s="15" t="str">
        <x:v>TODO</x:v>
      </x:c>
      <x:c r="K1300" s="15" t="str">
        <x:v>P0</x:v>
      </x:c>
      <x:c r="L1300" s="15" t="str">
        <x:v>Done only when evidence is logged, contradiction search is noted, and boundary stamp remains non-canon unless ratified</x:v>
      </x:c>
      <x:c r="M1300" s="15" t="str">
        <x:v>candidate / staging-only / not canon / not deployed / authority none</x:v>
      </x:c>
      <x:c r="N1300" s="15" t="str">
        <x:v>Dispatch to GitShelf: complete Source Inventory x GitHub; return deltas only, receipts required.</x:v>
      </x:c>
      <x:c r="O1300" s="15" t="str">
        <x:v>AF-KG-H01-S03</x:v>
      </x:c>
      <x:c r="P1300" s="15" t="str">
        <x:v>Unverified</x:v>
      </x:c>
      <x:c r="Q1300" s="15" t="str">
        <x:v>Not checked</x:v>
      </x:c>
      <x:c r="R1300" s="15" t="str"/>
      <x:c r="S1300" s="15" t="str"/>
      <x:c r="T1300" s="15" t="str">
        <x:v>Log first source path or blocker</x:v>
      </x:c>
      <x:c r="U1300" s="12" t="str">
        <x:f>IF(OR(P1300="Unverified",Q1300="Not checked"),"BLOCKED_PENDING_RECEIPT","READY_FOR_REVIEW")</x:f>
        <x:v>BLOCKED_PENDING_RECEIPT</x:v>
      </x:c>
      <x:c r="V1300" s="12" t="str">
        <x:f>IF(J1300="DONE","RETURNED",IF(U1300="BLOCKED_PENDING_RECEIPT","SOURCE_TOUCH_REQUIRED","IN_PROGRESS"))</x:f>
        <x:v>SOURCE_TOUCH_REQUIRED</x:v>
      </x:c>
      <x:c r="W1300" s="12" t="str">
        <x:f>IF(P1300="Unverified","missing_receipt","receipt_logged")</x:f>
        <x:v>missing_receipt</x:v>
      </x:c>
      <x:c r="X1300" s="12" t="str">
        <x:f>IF(Q1300="Not checked","raw_status_missing","raw_status_logged")</x:f>
        <x:v>raw_status_missing</x:v>
      </x:c>
      <x:c r="Y1300" s="12" t="str">
        <x:f>IF(U1300="BLOCKED_PENDING_RECEIPT","Log source path or blocker; do not promote","Route to review lane")</x:f>
        <x:v>Log source path or blocker; do not promote</x:v>
      </x:c>
      <x:c r="Z1300" s="12" t="str">
        <x:f>IF(K1300="P0","Primary seat + Hashlight/Lucerna","Seat lane")</x:f>
        <x:v>Primary seat + Hashlight/Lucerna</x:v>
      </x:c>
      <x:c r="AA1300" s="12" t="str">
        <x:f>IF(R1300="","no_claim_delta","claim_delta_present")</x:f>
        <x:v>no_claim_delta</x:v>
      </x:c>
      <x:c r="AB1300" s="12" t="str">
        <x:f>IF(S1300="","no_contradiction_delta","contradiction_delta_present")</x:f>
        <x:v>no_contradiction_delta</x:v>
      </x:c>
      <x:c r="AC1300" s="12" t="str">
        <x:f>IF(OR(ISNUMBER(SEARCH("hacker",LOWER(F1300&amp;" "&amp;H1300&amp;" "&amp;I1300&amp;" "&amp;M1300&amp;" "&amp;N1300&amp;" "&amp;T1300))),ISNUMBER(SEARCH("hacking",LOWER(F1300&amp;" "&amp;H1300&amp;" "&amp;I1300&amp;" "&amp;M1300&amp;" "&amp;N1300&amp;" "&amp;T1300))),ISNUMBER(SEARCH("bank",LOWER(F1300&amp;" "&amp;H1300&amp;" "&amp;I1300&amp;" "&amp;M1300&amp;" "&amp;N1300&amp;" "&amp;T1300))),ISNUMBER(SEARCH("banking",LOWER(F1300&amp;" "&amp;H1300&amp;" "&amp;I1300&amp;" "&amp;M1300&amp;" "&amp;N1300&amp;" "&amp;T1300)))),"PRIVATE_QUARANTINE",IF(OR(ISNUMBER(SEARCH("treasury",LOWER(F1300&amp;" "&amp;H1300&amp;" "&amp;I1300&amp;" "&amp;M1300&amp;" "&amp;N1300&amp;" "&amp;T1300))),ISNUMBER(SEARCH("debt",LOWER(F1300&amp;" "&amp;H1300&amp;" "&amp;I1300&amp;" "&amp;M1300&amp;" "&amp;N1300&amp;" "&amp;T1300))),ISNUMBER(SEARCH("bond",LOWER(F1300&amp;" "&amp;H1300&amp;" "&amp;I1300&amp;" "&amp;M1300&amp;" "&amp;N1300&amp;" "&amp;T1300))),ISNUMBER(SEARCH("transaction",LOWER(F1300&amp;" "&amp;H1300&amp;" "&amp;I1300&amp;" "&amp;M1300&amp;" "&amp;N1300&amp;" "&amp;T1300)))),"PRIVATE_REVIEW","PUBLIC_CANDIDATE"))</x:f>
        <x:v>PUBLIC_CANDIDATE</x:v>
      </x:c>
      <x:c r="AD1300" s="12" t="str">
        <x:f>IF(AC1300="PRIVATE_QUARANTINE","hacker_or_bank_trigger",IF(AC1300="PRIVATE_REVIEW","finance_risk_trigger","none"))</x:f>
        <x:v>none</x:v>
      </x:c>
      <x:c r="AE1300" s="12" t="str">
        <x:f>IF(AC1300="PUBLIC_CANDIDATE","prepare_public_github_candidate",IF(AC1300="PRIVATE_REVIEW","hold_for_private_review","quarantine_private_do_not_publish"))</x:f>
        <x:v>prepare_public_github_candidate</x:v>
      </x:c>
      <x:c r="AF1300" s="12" t="str">
        <x:f>IF(AC1300="PUBLIC_CANDIDATE","TIDELOCK + Lucerna",IF(AC1300="PRIVATE_REVIEW","AtlasBrain + Lucerna","TIDELOCK + Lucerna + Human-root"))</x:f>
        <x:v>TIDELOCK + Lucerna</x:v>
      </x:c>
      <x:c r="AG1300" s="12" t="str">
        <x:f>IF(AND(AC1300="PUBLIC_CANDIDATE",U1300&lt;&gt;"BLOCKED_PENDING_RECEIPT"),"READY_AFTER_RECEIPT","NOT_READY")</x:f>
        <x:v>NOT_READY</x:v>
      </x:c>
      <x:c r="AH1300" s="12" t="str">
        <x:f>IF(AC1300="PUBLIC_CANDIDATE","none",AD1300)</x:f>
        <x:v>none</x:v>
      </x:c>
      <x:c r="AI1300" s="12" t="str">
        <x:f>IF(AC1300="PUBLIC_CANDIDATE","archive/public_candidates/"&amp;A1300,"private_quarantine/"&amp;A1300)</x:f>
        <x:v>archive/public_candidates/SWARM-10-H01-S03</x:v>
      </x:c>
      <x:c r="AJ1300" s="12" t="str">
        <x:f>IF(AC1300="PUBLIC_CANDIDATE","public by default; still not canon","private/hold; do not publish")</x:f>
        <x:v>public by default; still not canon</x:v>
      </x:c>
      <x:c r="AK1300" s="12" t="str">
        <x:f>IF(AE1300="prepare_public_github_candidate","add receipt/status then mirror","resolve blocker before any public GitHub action")</x:f>
        <x:v>add receipt/status then mirror</x:v>
      </x:c>
    </x:row>
    <x:row r="1301">
      <x:c r="A1301" s="15" t="str">
        <x:v>SWARM-10-H01-S04</x:v>
      </x:c>
      <x:c r="B1301" s="15" t="str">
        <x:v>GitShelf</x:v>
      </x:c>
      <x:c r="C1301" s="15" t="str">
        <x:v>GitHub shelf builder</x:v>
      </x:c>
      <x:c r="D1301" s="15" t="str">
        <x:v>Source Inventory</x:v>
      </x:c>
      <x:c r="E1301" s="15" t="str">
        <x:v>Gamma</x:v>
      </x:c>
      <x:c r="F1301" s="15" t="str">
        <x:v>Inventory Gamma — GitShelf</x:v>
      </x:c>
      <x:c r="G1301" s="15" t="str">
        <x:v>repo packet / manifest / issue template prep</x:v>
      </x:c>
      <x:c r="H1301" s="15" t="str">
        <x:v>source path + receipt + raw/export status + claim/edge/risk delta</x:v>
      </x:c>
      <x:c r="I1301" s="15" t="str">
        <x:v>packet/SWARM-10-H01-S04</x:v>
      </x:c>
      <x:c r="J1301" s="15" t="str">
        <x:v>TODO</x:v>
      </x:c>
      <x:c r="K1301" s="15" t="str">
        <x:v>P1</x:v>
      </x:c>
      <x:c r="L1301" s="15" t="str">
        <x:v>Done only when evidence is logged, contradiction search is noted, and boundary stamp remains non-canon unless ratified</x:v>
      </x:c>
      <x:c r="M1301" s="15" t="str">
        <x:v>candidate / staging-only / not canon / not deployed / authority none</x:v>
      </x:c>
      <x:c r="N1301" s="15" t="str">
        <x:v>Dispatch to GitShelf: complete Source Inventory x Gamma; return deltas only, receipts required.</x:v>
      </x:c>
      <x:c r="O1301" s="15" t="str">
        <x:v>AF-KG-H01-S04</x:v>
      </x:c>
      <x:c r="P1301" s="15" t="str">
        <x:v>Unverified</x:v>
      </x:c>
      <x:c r="Q1301" s="15" t="str">
        <x:v>Not checked</x:v>
      </x:c>
      <x:c r="R1301" s="15" t="str"/>
      <x:c r="S1301" s="15" t="str"/>
      <x:c r="T1301" s="15" t="str">
        <x:v>Log first source path or blocker</x:v>
      </x:c>
      <x:c r="U1301" s="12" t="str">
        <x:f>IF(OR(P1301="Unverified",Q1301="Not checked"),"BLOCKED_PENDING_RECEIPT","READY_FOR_REVIEW")</x:f>
        <x:v>BLOCKED_PENDING_RECEIPT</x:v>
      </x:c>
      <x:c r="V1301" s="12" t="str">
        <x:f>IF(J1301="DONE","RETURNED",IF(U1301="BLOCKED_PENDING_RECEIPT","SOURCE_TOUCH_REQUIRED","IN_PROGRESS"))</x:f>
        <x:v>SOURCE_TOUCH_REQUIRED</x:v>
      </x:c>
      <x:c r="W1301" s="12" t="str">
        <x:f>IF(P1301="Unverified","missing_receipt","receipt_logged")</x:f>
        <x:v>missing_receipt</x:v>
      </x:c>
      <x:c r="X1301" s="12" t="str">
        <x:f>IF(Q1301="Not checked","raw_status_missing","raw_status_logged")</x:f>
        <x:v>raw_status_missing</x:v>
      </x:c>
      <x:c r="Y1301" s="12" t="str">
        <x:f>IF(U1301="BLOCKED_PENDING_RECEIPT","Log source path or blocker; do not promote","Route to review lane")</x:f>
        <x:v>Log source path or blocker; do not promote</x:v>
      </x:c>
      <x:c r="Z1301" s="12" t="str">
        <x:f>IF(K1301="P0","Primary seat + Hashlight/Lucerna","Seat lane")</x:f>
        <x:v>Seat lane</x:v>
      </x:c>
      <x:c r="AA1301" s="12" t="str">
        <x:f>IF(R1301="","no_claim_delta","claim_delta_present")</x:f>
        <x:v>no_claim_delta</x:v>
      </x:c>
      <x:c r="AB1301" s="12" t="str">
        <x:f>IF(S1301="","no_contradiction_delta","contradiction_delta_present")</x:f>
        <x:v>no_contradiction_delta</x:v>
      </x:c>
      <x:c r="AC1301" s="12" t="str">
        <x:f>IF(OR(ISNUMBER(SEARCH("hacker",LOWER(F1301&amp;" "&amp;H1301&amp;" "&amp;I1301&amp;" "&amp;M1301&amp;" "&amp;N1301&amp;" "&amp;T1301))),ISNUMBER(SEARCH("hacking",LOWER(F1301&amp;" "&amp;H1301&amp;" "&amp;I1301&amp;" "&amp;M1301&amp;" "&amp;N1301&amp;" "&amp;T1301))),ISNUMBER(SEARCH("bank",LOWER(F1301&amp;" "&amp;H1301&amp;" "&amp;I1301&amp;" "&amp;M1301&amp;" "&amp;N1301&amp;" "&amp;T1301))),ISNUMBER(SEARCH("banking",LOWER(F1301&amp;" "&amp;H1301&amp;" "&amp;I1301&amp;" "&amp;M1301&amp;" "&amp;N1301&amp;" "&amp;T1301)))),"PRIVATE_QUARANTINE",IF(OR(ISNUMBER(SEARCH("treasury",LOWER(F1301&amp;" "&amp;H1301&amp;" "&amp;I1301&amp;" "&amp;M1301&amp;" "&amp;N1301&amp;" "&amp;T1301))),ISNUMBER(SEARCH("debt",LOWER(F1301&amp;" "&amp;H1301&amp;" "&amp;I1301&amp;" "&amp;M1301&amp;" "&amp;N1301&amp;" "&amp;T1301))),ISNUMBER(SEARCH("bond",LOWER(F1301&amp;" "&amp;H1301&amp;" "&amp;I1301&amp;" "&amp;M1301&amp;" "&amp;N1301&amp;" "&amp;T1301))),ISNUMBER(SEARCH("transaction",LOWER(F1301&amp;" "&amp;H1301&amp;" "&amp;I1301&amp;" "&amp;M1301&amp;" "&amp;N1301&amp;" "&amp;T1301)))),"PRIVATE_REVIEW","PUBLIC_CANDIDATE"))</x:f>
        <x:v>PUBLIC_CANDIDATE</x:v>
      </x:c>
      <x:c r="AD1301" s="12" t="str">
        <x:f>IF(AC1301="PRIVATE_QUARANTINE","hacker_or_bank_trigger",IF(AC1301="PRIVATE_REVIEW","finance_risk_trigger","none"))</x:f>
        <x:v>none</x:v>
      </x:c>
      <x:c r="AE1301" s="12" t="str">
        <x:f>IF(AC1301="PUBLIC_CANDIDATE","prepare_public_github_candidate",IF(AC1301="PRIVATE_REVIEW","hold_for_private_review","quarantine_private_do_not_publish"))</x:f>
        <x:v>prepare_public_github_candidate</x:v>
      </x:c>
      <x:c r="AF1301" s="12" t="str">
        <x:f>IF(AC1301="PUBLIC_CANDIDATE","TIDELOCK + Lucerna",IF(AC1301="PRIVATE_REVIEW","AtlasBrain + Lucerna","TIDELOCK + Lucerna + Human-root"))</x:f>
        <x:v>TIDELOCK + Lucerna</x:v>
      </x:c>
      <x:c r="AG1301" s="12" t="str">
        <x:f>IF(AND(AC1301="PUBLIC_CANDIDATE",U1301&lt;&gt;"BLOCKED_PENDING_RECEIPT"),"READY_AFTER_RECEIPT","NOT_READY")</x:f>
        <x:v>NOT_READY</x:v>
      </x:c>
      <x:c r="AH1301" s="12" t="str">
        <x:f>IF(AC1301="PUBLIC_CANDIDATE","none",AD1301)</x:f>
        <x:v>none</x:v>
      </x:c>
      <x:c r="AI1301" s="12" t="str">
        <x:f>IF(AC1301="PUBLIC_CANDIDATE","archive/public_candidates/"&amp;A1301,"private_quarantine/"&amp;A1301)</x:f>
        <x:v>archive/public_candidates/SWARM-10-H01-S04</x:v>
      </x:c>
      <x:c r="AJ1301" s="12" t="str">
        <x:f>IF(AC1301="PUBLIC_CANDIDATE","public by default; still not canon","private/hold; do not publish")</x:f>
        <x:v>public by default; still not canon</x:v>
      </x:c>
      <x:c r="AK1301" s="12" t="str">
        <x:f>IF(AE1301="prepare_public_github_candidate","add receipt/status then mirror","resolve blocker before any public GitHub action")</x:f>
        <x:v>add receipt/status then mirror</x:v>
      </x:c>
    </x:row>
    <x:row r="1302">
      <x:c r="A1302" s="15" t="str">
        <x:v>SWARM-10-H01-S05</x:v>
      </x:c>
      <x:c r="B1302" s="15" t="str">
        <x:v>GitShelf</x:v>
      </x:c>
      <x:c r="C1302" s="15" t="str">
        <x:v>GitHub shelf builder</x:v>
      </x:c>
      <x:c r="D1302" s="15" t="str">
        <x:v>Source Inventory</x:v>
      </x:c>
      <x:c r="E1302" s="15" t="str">
        <x:v>Chat</x:v>
      </x:c>
      <x:c r="F1302" s="15" t="str">
        <x:v>Inventory Chat — GitShelf</x:v>
      </x:c>
      <x:c r="G1302" s="15" t="str">
        <x:v>repo packet / manifest / issue template prep</x:v>
      </x:c>
      <x:c r="H1302" s="15" t="str">
        <x:v>source path + receipt + raw/export status + claim/edge/risk delta</x:v>
      </x:c>
      <x:c r="I1302" s="15" t="str">
        <x:v>packet/SWARM-10-H01-S05</x:v>
      </x:c>
      <x:c r="J1302" s="15" t="str">
        <x:v>TODO</x:v>
      </x:c>
      <x:c r="K1302" s="15" t="str">
        <x:v>P1</x:v>
      </x:c>
      <x:c r="L1302" s="15" t="str">
        <x:v>Done only when evidence is logged, contradiction search is noted, and boundary stamp remains non-canon unless ratified</x:v>
      </x:c>
      <x:c r="M1302" s="15" t="str">
        <x:v>candidate / staging-only / not canon / not deployed / authority none</x:v>
      </x:c>
      <x:c r="N1302" s="15" t="str">
        <x:v>Dispatch to GitShelf: complete Source Inventory x Chat; return deltas only, receipts required.</x:v>
      </x:c>
      <x:c r="O1302" s="15" t="str">
        <x:v>AF-KG-H01-S05</x:v>
      </x:c>
      <x:c r="P1302" s="15" t="str">
        <x:v>Unverified</x:v>
      </x:c>
      <x:c r="Q1302" s="15" t="str">
        <x:v>Not checked</x:v>
      </x:c>
      <x:c r="R1302" s="15" t="str"/>
      <x:c r="S1302" s="15" t="str"/>
      <x:c r="T1302" s="15" t="str">
        <x:v>Log first source path or blocker</x:v>
      </x:c>
      <x:c r="U1302" s="12" t="str">
        <x:f>IF(OR(P1302="Unverified",Q1302="Not checked"),"BLOCKED_PENDING_RECEIPT","READY_FOR_REVIEW")</x:f>
        <x:v>BLOCKED_PENDING_RECEIPT</x:v>
      </x:c>
      <x:c r="V1302" s="12" t="str">
        <x:f>IF(J1302="DONE","RETURNED",IF(U1302="BLOCKED_PENDING_RECEIPT","SOURCE_TOUCH_REQUIRED","IN_PROGRESS"))</x:f>
        <x:v>SOURCE_TOUCH_REQUIRED</x:v>
      </x:c>
      <x:c r="W1302" s="12" t="str">
        <x:f>IF(P1302="Unverified","missing_receipt","receipt_logged")</x:f>
        <x:v>missing_receipt</x:v>
      </x:c>
      <x:c r="X1302" s="12" t="str">
        <x:f>IF(Q1302="Not checked","raw_status_missing","raw_status_logged")</x:f>
        <x:v>raw_status_missing</x:v>
      </x:c>
      <x:c r="Y1302" s="12" t="str">
        <x:f>IF(U1302="BLOCKED_PENDING_RECEIPT","Log source path or blocker; do not promote","Route to review lane")</x:f>
        <x:v>Log source path or blocker; do not promote</x:v>
      </x:c>
      <x:c r="Z1302" s="12" t="str">
        <x:f>IF(K1302="P0","Primary seat + Hashlight/Lucerna","Seat lane")</x:f>
        <x:v>Seat lane</x:v>
      </x:c>
      <x:c r="AA1302" s="12" t="str">
        <x:f>IF(R1302="","no_claim_delta","claim_delta_present")</x:f>
        <x:v>no_claim_delta</x:v>
      </x:c>
      <x:c r="AB1302" s="12" t="str">
        <x:f>IF(S1302="","no_contradiction_delta","contradiction_delta_present")</x:f>
        <x:v>no_contradiction_delta</x:v>
      </x:c>
      <x:c r="AC1302" s="12" t="str">
        <x:f>IF(OR(ISNUMBER(SEARCH("hacker",LOWER(F1302&amp;" "&amp;H1302&amp;" "&amp;I1302&amp;" "&amp;M1302&amp;" "&amp;N1302&amp;" "&amp;T1302))),ISNUMBER(SEARCH("hacking",LOWER(F1302&amp;" "&amp;H1302&amp;" "&amp;I1302&amp;" "&amp;M1302&amp;" "&amp;N1302&amp;" "&amp;T1302))),ISNUMBER(SEARCH("bank",LOWER(F1302&amp;" "&amp;H1302&amp;" "&amp;I1302&amp;" "&amp;M1302&amp;" "&amp;N1302&amp;" "&amp;T1302))),ISNUMBER(SEARCH("banking",LOWER(F1302&amp;" "&amp;H1302&amp;" "&amp;I1302&amp;" "&amp;M1302&amp;" "&amp;N1302&amp;" "&amp;T1302)))),"PRIVATE_QUARANTINE",IF(OR(ISNUMBER(SEARCH("treasury",LOWER(F1302&amp;" "&amp;H1302&amp;" "&amp;I1302&amp;" "&amp;M1302&amp;" "&amp;N1302&amp;" "&amp;T1302))),ISNUMBER(SEARCH("debt",LOWER(F1302&amp;" "&amp;H1302&amp;" "&amp;I1302&amp;" "&amp;M1302&amp;" "&amp;N1302&amp;" "&amp;T1302))),ISNUMBER(SEARCH("bond",LOWER(F1302&amp;" "&amp;H1302&amp;" "&amp;I1302&amp;" "&amp;M1302&amp;" "&amp;N1302&amp;" "&amp;T1302))),ISNUMBER(SEARCH("transaction",LOWER(F1302&amp;" "&amp;H1302&amp;" "&amp;I1302&amp;" "&amp;M1302&amp;" "&amp;N1302&amp;" "&amp;T1302)))),"PRIVATE_REVIEW","PUBLIC_CANDIDATE"))</x:f>
        <x:v>PUBLIC_CANDIDATE</x:v>
      </x:c>
      <x:c r="AD1302" s="12" t="str">
        <x:f>IF(AC1302="PRIVATE_QUARANTINE","hacker_or_bank_trigger",IF(AC1302="PRIVATE_REVIEW","finance_risk_trigger","none"))</x:f>
        <x:v>none</x:v>
      </x:c>
      <x:c r="AE1302" s="12" t="str">
        <x:f>IF(AC1302="PUBLIC_CANDIDATE","prepare_public_github_candidate",IF(AC1302="PRIVATE_REVIEW","hold_for_private_review","quarantine_private_do_not_publish"))</x:f>
        <x:v>prepare_public_github_candidate</x:v>
      </x:c>
      <x:c r="AF1302" s="12" t="str">
        <x:f>IF(AC1302="PUBLIC_CANDIDATE","TIDELOCK + Lucerna",IF(AC1302="PRIVATE_REVIEW","AtlasBrain + Lucerna","TIDELOCK + Lucerna + Human-root"))</x:f>
        <x:v>TIDELOCK + Lucerna</x:v>
      </x:c>
      <x:c r="AG1302" s="12" t="str">
        <x:f>IF(AND(AC1302="PUBLIC_CANDIDATE",U1302&lt;&gt;"BLOCKED_PENDING_RECEIPT"),"READY_AFTER_RECEIPT","NOT_READY")</x:f>
        <x:v>NOT_READY</x:v>
      </x:c>
      <x:c r="AH1302" s="12" t="str">
        <x:f>IF(AC1302="PUBLIC_CANDIDATE","none",AD1302)</x:f>
        <x:v>none</x:v>
      </x:c>
      <x:c r="AI1302" s="12" t="str">
        <x:f>IF(AC1302="PUBLIC_CANDIDATE","archive/public_candidates/"&amp;A1302,"private_quarantine/"&amp;A1302)</x:f>
        <x:v>archive/public_candidates/SWARM-10-H01-S05</x:v>
      </x:c>
      <x:c r="AJ1302" s="12" t="str">
        <x:f>IF(AC1302="PUBLIC_CANDIDATE","public by default; still not canon","private/hold; do not publish")</x:f>
        <x:v>public by default; still not canon</x:v>
      </x:c>
      <x:c r="AK1302" s="12" t="str">
        <x:f>IF(AE1302="prepare_public_github_candidate","add receipt/status then mirror","resolve blocker before any public GitHub action")</x:f>
        <x:v>add receipt/status then mirror</x:v>
      </x:c>
    </x:row>
    <x:row r="1303">
      <x:c r="A1303" s="15" t="str">
        <x:v>SWARM-10-H01-S06</x:v>
      </x:c>
      <x:c r="B1303" s="15" t="str">
        <x:v>GitShelf</x:v>
      </x:c>
      <x:c r="C1303" s="15" t="str">
        <x:v>GitHub shelf builder</x:v>
      </x:c>
      <x:c r="D1303" s="15" t="str">
        <x:v>Source Inventory</x:v>
      </x:c>
      <x:c r="E1303" s="15" t="str">
        <x:v>External Web</x:v>
      </x:c>
      <x:c r="F1303" s="15" t="str">
        <x:v>Inventory External Web — GitShelf</x:v>
      </x:c>
      <x:c r="G1303" s="15" t="str">
        <x:v>repo packet / manifest / issue template prep</x:v>
      </x:c>
      <x:c r="H1303" s="15" t="str">
        <x:v>source path + receipt + raw/export status + claim/edge/risk delta</x:v>
      </x:c>
      <x:c r="I1303" s="15" t="str">
        <x:v>packet/SWARM-10-H01-S06</x:v>
      </x:c>
      <x:c r="J1303" s="15" t="str">
        <x:v>TODO</x:v>
      </x:c>
      <x:c r="K1303" s="15" t="str">
        <x:v>P1</x:v>
      </x:c>
      <x:c r="L1303" s="15" t="str">
        <x:v>Done only when evidence is logged, contradiction search is noted, and boundary stamp remains non-canon unless ratified</x:v>
      </x:c>
      <x:c r="M1303" s="15" t="str">
        <x:v>candidate / staging-only / not canon / not deployed / authority none</x:v>
      </x:c>
      <x:c r="N1303" s="15" t="str">
        <x:v>Dispatch to GitShelf: complete Source Inventory x External Web; return deltas only, receipts required.</x:v>
      </x:c>
      <x:c r="O1303" s="15" t="str">
        <x:v>AF-KG-H01-S06</x:v>
      </x:c>
      <x:c r="P1303" s="15" t="str">
        <x:v>Unverified</x:v>
      </x:c>
      <x:c r="Q1303" s="15" t="str">
        <x:v>Not checked</x:v>
      </x:c>
      <x:c r="R1303" s="15" t="str"/>
      <x:c r="S1303" s="15" t="str"/>
      <x:c r="T1303" s="15" t="str">
        <x:v>Log first source path or blocker</x:v>
      </x:c>
      <x:c r="U1303" s="12" t="str">
        <x:f>IF(OR(P1303="Unverified",Q1303="Not checked"),"BLOCKED_PENDING_RECEIPT","READY_FOR_REVIEW")</x:f>
        <x:v>BLOCKED_PENDING_RECEIPT</x:v>
      </x:c>
      <x:c r="V1303" s="12" t="str">
        <x:f>IF(J1303="DONE","RETURNED",IF(U1303="BLOCKED_PENDING_RECEIPT","SOURCE_TOUCH_REQUIRED","IN_PROGRESS"))</x:f>
        <x:v>SOURCE_TOUCH_REQUIRED</x:v>
      </x:c>
      <x:c r="W1303" s="12" t="str">
        <x:f>IF(P1303="Unverified","missing_receipt","receipt_logged")</x:f>
        <x:v>missing_receipt</x:v>
      </x:c>
      <x:c r="X1303" s="12" t="str">
        <x:f>IF(Q1303="Not checked","raw_status_missing","raw_status_logged")</x:f>
        <x:v>raw_status_missing</x:v>
      </x:c>
      <x:c r="Y1303" s="12" t="str">
        <x:f>IF(U1303="BLOCKED_PENDING_RECEIPT","Log source path or blocker; do not promote","Route to review lane")</x:f>
        <x:v>Log source path or blocker; do not promote</x:v>
      </x:c>
      <x:c r="Z1303" s="12" t="str">
        <x:f>IF(K1303="P0","Primary seat + Hashlight/Lucerna","Seat lane")</x:f>
        <x:v>Seat lane</x:v>
      </x:c>
      <x:c r="AA1303" s="12" t="str">
        <x:f>IF(R1303="","no_claim_delta","claim_delta_present")</x:f>
        <x:v>no_claim_delta</x:v>
      </x:c>
      <x:c r="AB1303" s="12" t="str">
        <x:f>IF(S1303="","no_contradiction_delta","contradiction_delta_present")</x:f>
        <x:v>no_contradiction_delta</x:v>
      </x:c>
      <x:c r="AC1303" s="12" t="str">
        <x:f>IF(OR(ISNUMBER(SEARCH("hacker",LOWER(F1303&amp;" "&amp;H1303&amp;" "&amp;I1303&amp;" "&amp;M1303&amp;" "&amp;N1303&amp;" "&amp;T1303))),ISNUMBER(SEARCH("hacking",LOWER(F1303&amp;" "&amp;H1303&amp;" "&amp;I1303&amp;" "&amp;M1303&amp;" "&amp;N1303&amp;" "&amp;T1303))),ISNUMBER(SEARCH("bank",LOWER(F1303&amp;" "&amp;H1303&amp;" "&amp;I1303&amp;" "&amp;M1303&amp;" "&amp;N1303&amp;" "&amp;T1303))),ISNUMBER(SEARCH("banking",LOWER(F1303&amp;" "&amp;H1303&amp;" "&amp;I1303&amp;" "&amp;M1303&amp;" "&amp;N1303&amp;" "&amp;T1303)))),"PRIVATE_QUARANTINE",IF(OR(ISNUMBER(SEARCH("treasury",LOWER(F1303&amp;" "&amp;H1303&amp;" "&amp;I1303&amp;" "&amp;M1303&amp;" "&amp;N1303&amp;" "&amp;T1303))),ISNUMBER(SEARCH("debt",LOWER(F1303&amp;" "&amp;H1303&amp;" "&amp;I1303&amp;" "&amp;M1303&amp;" "&amp;N1303&amp;" "&amp;T1303))),ISNUMBER(SEARCH("bond",LOWER(F1303&amp;" "&amp;H1303&amp;" "&amp;I1303&amp;" "&amp;M1303&amp;" "&amp;N1303&amp;" "&amp;T1303))),ISNUMBER(SEARCH("transaction",LOWER(F1303&amp;" "&amp;H1303&amp;" "&amp;I1303&amp;" "&amp;M1303&amp;" "&amp;N1303&amp;" "&amp;T1303)))),"PRIVATE_REVIEW","PUBLIC_CANDIDATE"))</x:f>
        <x:v>PUBLIC_CANDIDATE</x:v>
      </x:c>
      <x:c r="AD1303" s="12" t="str">
        <x:f>IF(AC1303="PRIVATE_QUARANTINE","hacker_or_bank_trigger",IF(AC1303="PRIVATE_REVIEW","finance_risk_trigger","none"))</x:f>
        <x:v>none</x:v>
      </x:c>
      <x:c r="AE1303" s="12" t="str">
        <x:f>IF(AC1303="PUBLIC_CANDIDATE","prepare_public_github_candidate",IF(AC1303="PRIVATE_REVIEW","hold_for_private_review","quarantine_private_do_not_publish"))</x:f>
        <x:v>prepare_public_github_candidate</x:v>
      </x:c>
      <x:c r="AF1303" s="12" t="str">
        <x:f>IF(AC1303="PUBLIC_CANDIDATE","TIDELOCK + Lucerna",IF(AC1303="PRIVATE_REVIEW","AtlasBrain + Lucerna","TIDELOCK + Lucerna + Human-root"))</x:f>
        <x:v>TIDELOCK + Lucerna</x:v>
      </x:c>
      <x:c r="AG1303" s="12" t="str">
        <x:f>IF(AND(AC1303="PUBLIC_CANDIDATE",U1303&lt;&gt;"BLOCKED_PENDING_RECEIPT"),"READY_AFTER_RECEIPT","NOT_READY")</x:f>
        <x:v>NOT_READY</x:v>
      </x:c>
      <x:c r="AH1303" s="12" t="str">
        <x:f>IF(AC1303="PUBLIC_CANDIDATE","none",AD1303)</x:f>
        <x:v>none</x:v>
      </x:c>
      <x:c r="AI1303" s="12" t="str">
        <x:f>IF(AC1303="PUBLIC_CANDIDATE","archive/public_candidates/"&amp;A1303,"private_quarantine/"&amp;A1303)</x:f>
        <x:v>archive/public_candidates/SWARM-10-H01-S06</x:v>
      </x:c>
      <x:c r="AJ1303" s="12" t="str">
        <x:f>IF(AC1303="PUBLIC_CANDIDATE","public by default; still not canon","private/hold; do not publish")</x:f>
        <x:v>public by default; still not canon</x:v>
      </x:c>
      <x:c r="AK1303" s="12" t="str">
        <x:f>IF(AE1303="prepare_public_github_candidate","add receipt/status then mirror","resolve blocker before any public GitHub action")</x:f>
        <x:v>add receipt/status then mirror</x:v>
      </x:c>
    </x:row>
    <x:row r="1304">
      <x:c r="A1304" s="15" t="str">
        <x:v>SWARM-10-H01-S07</x:v>
      </x:c>
      <x:c r="B1304" s="15" t="str">
        <x:v>GitShelf</x:v>
      </x:c>
      <x:c r="C1304" s="15" t="str">
        <x:v>GitHub shelf builder</x:v>
      </x:c>
      <x:c r="D1304" s="15" t="str">
        <x:v>Source Inventory</x:v>
      </x:c>
      <x:c r="E1304" s="15" t="str">
        <x:v>Planetarium</x:v>
      </x:c>
      <x:c r="F1304" s="15" t="str">
        <x:v>Inventory Planetarium — GitShelf</x:v>
      </x:c>
      <x:c r="G1304" s="15" t="str">
        <x:v>repo packet / manifest / issue template prep</x:v>
      </x:c>
      <x:c r="H1304" s="15" t="str">
        <x:v>source path + receipt + raw/export status + claim/edge/risk delta</x:v>
      </x:c>
      <x:c r="I1304" s="15" t="str">
        <x:v>packet/SWARM-10-H01-S07</x:v>
      </x:c>
      <x:c r="J1304" s="15" t="str">
        <x:v>TODO</x:v>
      </x:c>
      <x:c r="K1304" s="15" t="str">
        <x:v>P1</x:v>
      </x:c>
      <x:c r="L1304" s="15" t="str">
        <x:v>Done only when evidence is logged, contradiction search is noted, and boundary stamp remains non-canon unless ratified</x:v>
      </x:c>
      <x:c r="M1304" s="15" t="str">
        <x:v>candidate / staging-only / not canon / not deployed / authority none</x:v>
      </x:c>
      <x:c r="N1304" s="15" t="str">
        <x:v>Dispatch to GitShelf: complete Source Inventory x Planetarium; return deltas only, receipts required.</x:v>
      </x:c>
      <x:c r="O1304" s="15" t="str">
        <x:v>AF-KG-H01-S07</x:v>
      </x:c>
      <x:c r="P1304" s="15" t="str">
        <x:v>Unverified</x:v>
      </x:c>
      <x:c r="Q1304" s="15" t="str">
        <x:v>Not checked</x:v>
      </x:c>
      <x:c r="R1304" s="15" t="str"/>
      <x:c r="S1304" s="15" t="str"/>
      <x:c r="T1304" s="15" t="str">
        <x:v>Log first source path or blocker</x:v>
      </x:c>
      <x:c r="U1304" s="12" t="str">
        <x:f>IF(OR(P1304="Unverified",Q1304="Not checked"),"BLOCKED_PENDING_RECEIPT","READY_FOR_REVIEW")</x:f>
        <x:v>BLOCKED_PENDING_RECEIPT</x:v>
      </x:c>
      <x:c r="V1304" s="12" t="str">
        <x:f>IF(J1304="DONE","RETURNED",IF(U1304="BLOCKED_PENDING_RECEIPT","SOURCE_TOUCH_REQUIRED","IN_PROGRESS"))</x:f>
        <x:v>SOURCE_TOUCH_REQUIRED</x:v>
      </x:c>
      <x:c r="W1304" s="12" t="str">
        <x:f>IF(P1304="Unverified","missing_receipt","receipt_logged")</x:f>
        <x:v>missing_receipt</x:v>
      </x:c>
      <x:c r="X1304" s="12" t="str">
        <x:f>IF(Q1304="Not checked","raw_status_missing","raw_status_logged")</x:f>
        <x:v>raw_status_missing</x:v>
      </x:c>
      <x:c r="Y1304" s="12" t="str">
        <x:f>IF(U1304="BLOCKED_PENDING_RECEIPT","Log source path or blocker; do not promote","Route to review lane")</x:f>
        <x:v>Log source path or blocker; do not promote</x:v>
      </x:c>
      <x:c r="Z1304" s="12" t="str">
        <x:f>IF(K1304="P0","Primary seat + Hashlight/Lucerna","Seat lane")</x:f>
        <x:v>Seat lane</x:v>
      </x:c>
      <x:c r="AA1304" s="12" t="str">
        <x:f>IF(R1304="","no_claim_delta","claim_delta_present")</x:f>
        <x:v>no_claim_delta</x:v>
      </x:c>
      <x:c r="AB1304" s="12" t="str">
        <x:f>IF(S1304="","no_contradiction_delta","contradiction_delta_present")</x:f>
        <x:v>no_contradiction_delta</x:v>
      </x:c>
      <x:c r="AC1304" s="12" t="str">
        <x:f>IF(OR(ISNUMBER(SEARCH("hacker",LOWER(F1304&amp;" "&amp;H1304&amp;" "&amp;I1304&amp;" "&amp;M1304&amp;" "&amp;N1304&amp;" "&amp;T1304))),ISNUMBER(SEARCH("hacking",LOWER(F1304&amp;" "&amp;H1304&amp;" "&amp;I1304&amp;" "&amp;M1304&amp;" "&amp;N1304&amp;" "&amp;T1304))),ISNUMBER(SEARCH("bank",LOWER(F1304&amp;" "&amp;H1304&amp;" "&amp;I1304&amp;" "&amp;M1304&amp;" "&amp;N1304&amp;" "&amp;T1304))),ISNUMBER(SEARCH("banking",LOWER(F1304&amp;" "&amp;H1304&amp;" "&amp;I1304&amp;" "&amp;M1304&amp;" "&amp;N1304&amp;" "&amp;T1304)))),"PRIVATE_QUARANTINE",IF(OR(ISNUMBER(SEARCH("treasury",LOWER(F1304&amp;" "&amp;H1304&amp;" "&amp;I1304&amp;" "&amp;M1304&amp;" "&amp;N1304&amp;" "&amp;T1304))),ISNUMBER(SEARCH("debt",LOWER(F1304&amp;" "&amp;H1304&amp;" "&amp;I1304&amp;" "&amp;M1304&amp;" "&amp;N1304&amp;" "&amp;T1304))),ISNUMBER(SEARCH("bond",LOWER(F1304&amp;" "&amp;H1304&amp;" "&amp;I1304&amp;" "&amp;M1304&amp;" "&amp;N1304&amp;" "&amp;T1304))),ISNUMBER(SEARCH("transaction",LOWER(F1304&amp;" "&amp;H1304&amp;" "&amp;I1304&amp;" "&amp;M1304&amp;" "&amp;N1304&amp;" "&amp;T1304)))),"PRIVATE_REVIEW","PUBLIC_CANDIDATE"))</x:f>
        <x:v>PUBLIC_CANDIDATE</x:v>
      </x:c>
      <x:c r="AD1304" s="12" t="str">
        <x:f>IF(AC1304="PRIVATE_QUARANTINE","hacker_or_bank_trigger",IF(AC1304="PRIVATE_REVIEW","finance_risk_trigger","none"))</x:f>
        <x:v>none</x:v>
      </x:c>
      <x:c r="AE1304" s="12" t="str">
        <x:f>IF(AC1304="PUBLIC_CANDIDATE","prepare_public_github_candidate",IF(AC1304="PRIVATE_REVIEW","hold_for_private_review","quarantine_private_do_not_publish"))</x:f>
        <x:v>prepare_public_github_candidate</x:v>
      </x:c>
      <x:c r="AF1304" s="12" t="str">
        <x:f>IF(AC1304="PUBLIC_CANDIDATE","TIDELOCK + Lucerna",IF(AC1304="PRIVATE_REVIEW","AtlasBrain + Lucerna","TIDELOCK + Lucerna + Human-root"))</x:f>
        <x:v>TIDELOCK + Lucerna</x:v>
      </x:c>
      <x:c r="AG1304" s="12" t="str">
        <x:f>IF(AND(AC1304="PUBLIC_CANDIDATE",U1304&lt;&gt;"BLOCKED_PENDING_RECEIPT"),"READY_AFTER_RECEIPT","NOT_READY")</x:f>
        <x:v>NOT_READY</x:v>
      </x:c>
      <x:c r="AH1304" s="12" t="str">
        <x:f>IF(AC1304="PUBLIC_CANDIDATE","none",AD1304)</x:f>
        <x:v>none</x:v>
      </x:c>
      <x:c r="AI1304" s="12" t="str">
        <x:f>IF(AC1304="PUBLIC_CANDIDATE","archive/public_candidates/"&amp;A1304,"private_quarantine/"&amp;A1304)</x:f>
        <x:v>archive/public_candidates/SWARM-10-H01-S07</x:v>
      </x:c>
      <x:c r="AJ1304" s="12" t="str">
        <x:f>IF(AC1304="PUBLIC_CANDIDATE","public by default; still not canon","private/hold; do not publish")</x:f>
        <x:v>public by default; still not canon</x:v>
      </x:c>
      <x:c r="AK1304" s="12" t="str">
        <x:f>IF(AE1304="prepare_public_github_candidate","add receipt/status then mirror","resolve blocker before any public GitHub action")</x:f>
        <x:v>add receipt/status then mirror</x:v>
      </x:c>
    </x:row>
    <x:row r="1305">
      <x:c r="A1305" s="15" t="str">
        <x:v>SWARM-10-H01-S08</x:v>
      </x:c>
      <x:c r="B1305" s="15" t="str">
        <x:v>GitShelf</x:v>
      </x:c>
      <x:c r="C1305" s="15" t="str">
        <x:v>GitHub shelf builder</x:v>
      </x:c>
      <x:c r="D1305" s="15" t="str">
        <x:v>Source Inventory</x:v>
      </x:c>
      <x:c r="E1305" s="15" t="str">
        <x:v>Sheldonbrain</x:v>
      </x:c>
      <x:c r="F1305" s="15" t="str">
        <x:v>Inventory Sheldonbrain — GitShelf</x:v>
      </x:c>
      <x:c r="G1305" s="15" t="str">
        <x:v>repo packet / manifest / issue template prep</x:v>
      </x:c>
      <x:c r="H1305" s="15" t="str">
        <x:v>source path + receipt + raw/export status + claim/edge/risk delta</x:v>
      </x:c>
      <x:c r="I1305" s="15" t="str">
        <x:v>packet/SWARM-10-H01-S08</x:v>
      </x:c>
      <x:c r="J1305" s="15" t="str">
        <x:v>TODO</x:v>
      </x:c>
      <x:c r="K1305" s="15" t="str">
        <x:v>P1</x:v>
      </x:c>
      <x:c r="L1305" s="15" t="str">
        <x:v>Done only when evidence is logged, contradiction search is noted, and boundary stamp remains non-canon unless ratified</x:v>
      </x:c>
      <x:c r="M1305" s="15" t="str">
        <x:v>candidate / staging-only / not canon / not deployed / authority none</x:v>
      </x:c>
      <x:c r="N1305" s="15" t="str">
        <x:v>Dispatch to GitShelf: complete Source Inventory x Sheldonbrain; return deltas only, receipts required.</x:v>
      </x:c>
      <x:c r="O1305" s="15" t="str">
        <x:v>AF-KG-H01-S08</x:v>
      </x:c>
      <x:c r="P1305" s="15" t="str">
        <x:v>Unverified</x:v>
      </x:c>
      <x:c r="Q1305" s="15" t="str">
        <x:v>Not checked</x:v>
      </x:c>
      <x:c r="R1305" s="15" t="str"/>
      <x:c r="S1305" s="15" t="str"/>
      <x:c r="T1305" s="15" t="str">
        <x:v>Log first source path or blocker</x:v>
      </x:c>
      <x:c r="U1305" s="12" t="str">
        <x:f>IF(OR(P1305="Unverified",Q1305="Not checked"),"BLOCKED_PENDING_RECEIPT","READY_FOR_REVIEW")</x:f>
        <x:v>BLOCKED_PENDING_RECEIPT</x:v>
      </x:c>
      <x:c r="V1305" s="12" t="str">
        <x:f>IF(J1305="DONE","RETURNED",IF(U1305="BLOCKED_PENDING_RECEIPT","SOURCE_TOUCH_REQUIRED","IN_PROGRESS"))</x:f>
        <x:v>SOURCE_TOUCH_REQUIRED</x:v>
      </x:c>
      <x:c r="W1305" s="12" t="str">
        <x:f>IF(P1305="Unverified","missing_receipt","receipt_logged")</x:f>
        <x:v>missing_receipt</x:v>
      </x:c>
      <x:c r="X1305" s="12" t="str">
        <x:f>IF(Q1305="Not checked","raw_status_missing","raw_status_logged")</x:f>
        <x:v>raw_status_missing</x:v>
      </x:c>
      <x:c r="Y1305" s="12" t="str">
        <x:f>IF(U1305="BLOCKED_PENDING_RECEIPT","Log source path or blocker; do not promote","Route to review lane")</x:f>
        <x:v>Log source path or blocker; do not promote</x:v>
      </x:c>
      <x:c r="Z1305" s="12" t="str">
        <x:f>IF(K1305="P0","Primary seat + Hashlight/Lucerna","Seat lane")</x:f>
        <x:v>Seat lane</x:v>
      </x:c>
      <x:c r="AA1305" s="12" t="str">
        <x:f>IF(R1305="","no_claim_delta","claim_delta_present")</x:f>
        <x:v>no_claim_delta</x:v>
      </x:c>
      <x:c r="AB1305" s="12" t="str">
        <x:f>IF(S1305="","no_contradiction_delta","contradiction_delta_present")</x:f>
        <x:v>no_contradiction_delta</x:v>
      </x:c>
      <x:c r="AC1305" s="12" t="str">
        <x:f>IF(OR(ISNUMBER(SEARCH("hacker",LOWER(F1305&amp;" "&amp;H1305&amp;" "&amp;I1305&amp;" "&amp;M1305&amp;" "&amp;N1305&amp;" "&amp;T1305))),ISNUMBER(SEARCH("hacking",LOWER(F1305&amp;" "&amp;H1305&amp;" "&amp;I1305&amp;" "&amp;M1305&amp;" "&amp;N1305&amp;" "&amp;T1305))),ISNUMBER(SEARCH("bank",LOWER(F1305&amp;" "&amp;H1305&amp;" "&amp;I1305&amp;" "&amp;M1305&amp;" "&amp;N1305&amp;" "&amp;T1305))),ISNUMBER(SEARCH("banking",LOWER(F1305&amp;" "&amp;H1305&amp;" "&amp;I1305&amp;" "&amp;M1305&amp;" "&amp;N1305&amp;" "&amp;T1305)))),"PRIVATE_QUARANTINE",IF(OR(ISNUMBER(SEARCH("treasury",LOWER(F1305&amp;" "&amp;H1305&amp;" "&amp;I1305&amp;" "&amp;M1305&amp;" "&amp;N1305&amp;" "&amp;T1305))),ISNUMBER(SEARCH("debt",LOWER(F1305&amp;" "&amp;H1305&amp;" "&amp;I1305&amp;" "&amp;M1305&amp;" "&amp;N1305&amp;" "&amp;T1305))),ISNUMBER(SEARCH("bond",LOWER(F1305&amp;" "&amp;H1305&amp;" "&amp;I1305&amp;" "&amp;M1305&amp;" "&amp;N1305&amp;" "&amp;T1305))),ISNUMBER(SEARCH("transaction",LOWER(F1305&amp;" "&amp;H1305&amp;" "&amp;I1305&amp;" "&amp;M1305&amp;" "&amp;N1305&amp;" "&amp;T1305)))),"PRIVATE_REVIEW","PUBLIC_CANDIDATE"))</x:f>
        <x:v>PUBLIC_CANDIDATE</x:v>
      </x:c>
      <x:c r="AD1305" s="12" t="str">
        <x:f>IF(AC1305="PRIVATE_QUARANTINE","hacker_or_bank_trigger",IF(AC1305="PRIVATE_REVIEW","finance_risk_trigger","none"))</x:f>
        <x:v>none</x:v>
      </x:c>
      <x:c r="AE1305" s="12" t="str">
        <x:f>IF(AC1305="PUBLIC_CANDIDATE","prepare_public_github_candidate",IF(AC1305="PRIVATE_REVIEW","hold_for_private_review","quarantine_private_do_not_publish"))</x:f>
        <x:v>prepare_public_github_candidate</x:v>
      </x:c>
      <x:c r="AF1305" s="12" t="str">
        <x:f>IF(AC1305="PUBLIC_CANDIDATE","TIDELOCK + Lucerna",IF(AC1305="PRIVATE_REVIEW","AtlasBrain + Lucerna","TIDELOCK + Lucerna + Human-root"))</x:f>
        <x:v>TIDELOCK + Lucerna</x:v>
      </x:c>
      <x:c r="AG1305" s="12" t="str">
        <x:f>IF(AND(AC1305="PUBLIC_CANDIDATE",U1305&lt;&gt;"BLOCKED_PENDING_RECEIPT"),"READY_AFTER_RECEIPT","NOT_READY")</x:f>
        <x:v>NOT_READY</x:v>
      </x:c>
      <x:c r="AH1305" s="12" t="str">
        <x:f>IF(AC1305="PUBLIC_CANDIDATE","none",AD1305)</x:f>
        <x:v>none</x:v>
      </x:c>
      <x:c r="AI1305" s="12" t="str">
        <x:f>IF(AC1305="PUBLIC_CANDIDATE","archive/public_candidates/"&amp;A1305,"private_quarantine/"&amp;A1305)</x:f>
        <x:v>archive/public_candidates/SWARM-10-H01-S08</x:v>
      </x:c>
      <x:c r="AJ1305" s="12" t="str">
        <x:f>IF(AC1305="PUBLIC_CANDIDATE","public by default; still not canon","private/hold; do not publish")</x:f>
        <x:v>public by default; still not canon</x:v>
      </x:c>
      <x:c r="AK1305" s="12" t="str">
        <x:f>IF(AE1305="prepare_public_github_candidate","add receipt/status then mirror","resolve blocker before any public GitHub action")</x:f>
        <x:v>add receipt/status then mirror</x:v>
      </x:c>
    </x:row>
    <x:row r="1306">
      <x:c r="A1306" s="15" t="str">
        <x:v>SWARM-10-H01-S09</x:v>
      </x:c>
      <x:c r="B1306" s="15" t="str">
        <x:v>GitShelf</x:v>
      </x:c>
      <x:c r="C1306" s="15" t="str">
        <x:v>GitHub shelf builder</x:v>
      </x:c>
      <x:c r="D1306" s="15" t="str">
        <x:v>Source Inventory</x:v>
      </x:c>
      <x:c r="E1306" s="15" t="str">
        <x:v>Aetherforge</x:v>
      </x:c>
      <x:c r="F1306" s="15" t="str">
        <x:v>Inventory Aetherforge — GitShelf</x:v>
      </x:c>
      <x:c r="G1306" s="15" t="str">
        <x:v>repo packet / manifest / issue template prep</x:v>
      </x:c>
      <x:c r="H1306" s="15" t="str">
        <x:v>source path + receipt + raw/export status + claim/edge/risk delta</x:v>
      </x:c>
      <x:c r="I1306" s="15" t="str">
        <x:v>packet/SWARM-10-H01-S09</x:v>
      </x:c>
      <x:c r="J1306" s="15" t="str">
        <x:v>TODO</x:v>
      </x:c>
      <x:c r="K1306" s="15" t="str">
        <x:v>P2</x:v>
      </x:c>
      <x:c r="L1306" s="15" t="str">
        <x:v>Done only when evidence is logged, contradiction search is noted, and boundary stamp remains non-canon unless ratified</x:v>
      </x:c>
      <x:c r="M1306" s="15" t="str">
        <x:v>candidate / staging-only / not canon / not deployed / authority none</x:v>
      </x:c>
      <x:c r="N1306" s="15" t="str">
        <x:v>Dispatch to GitShelf: complete Source Inventory x Aetherforge; return deltas only, receipts required.</x:v>
      </x:c>
      <x:c r="O1306" s="15" t="str">
        <x:v>AF-KG-H01-S09</x:v>
      </x:c>
      <x:c r="P1306" s="15" t="str">
        <x:v>Unverified</x:v>
      </x:c>
      <x:c r="Q1306" s="15" t="str">
        <x:v>Not checked</x:v>
      </x:c>
      <x:c r="R1306" s="15" t="str"/>
      <x:c r="S1306" s="15" t="str"/>
      <x:c r="T1306" s="15" t="str">
        <x:v>Log first source path or blocker</x:v>
      </x:c>
      <x:c r="U1306" s="12" t="str">
        <x:f>IF(OR(P1306="Unverified",Q1306="Not checked"),"BLOCKED_PENDING_RECEIPT","READY_FOR_REVIEW")</x:f>
        <x:v>BLOCKED_PENDING_RECEIPT</x:v>
      </x:c>
      <x:c r="V1306" s="12" t="str">
        <x:f>IF(J1306="DONE","RETURNED",IF(U1306="BLOCKED_PENDING_RECEIPT","SOURCE_TOUCH_REQUIRED","IN_PROGRESS"))</x:f>
        <x:v>SOURCE_TOUCH_REQUIRED</x:v>
      </x:c>
      <x:c r="W1306" s="12" t="str">
        <x:f>IF(P1306="Unverified","missing_receipt","receipt_logged")</x:f>
        <x:v>missing_receipt</x:v>
      </x:c>
      <x:c r="X1306" s="12" t="str">
        <x:f>IF(Q1306="Not checked","raw_status_missing","raw_status_logged")</x:f>
        <x:v>raw_status_missing</x:v>
      </x:c>
      <x:c r="Y1306" s="12" t="str">
        <x:f>IF(U1306="BLOCKED_PENDING_RECEIPT","Log source path or blocker; do not promote","Route to review lane")</x:f>
        <x:v>Log source path or blocker; do not promote</x:v>
      </x:c>
      <x:c r="Z1306" s="12" t="str">
        <x:f>IF(K1306="P0","Primary seat + Hashlight/Lucerna","Seat lane")</x:f>
        <x:v>Seat lane</x:v>
      </x:c>
      <x:c r="AA1306" s="12" t="str">
        <x:f>IF(R1306="","no_claim_delta","claim_delta_present")</x:f>
        <x:v>no_claim_delta</x:v>
      </x:c>
      <x:c r="AB1306" s="12" t="str">
        <x:f>IF(S1306="","no_contradiction_delta","contradiction_delta_present")</x:f>
        <x:v>no_contradiction_delta</x:v>
      </x:c>
      <x:c r="AC1306" s="12" t="str">
        <x:f>IF(OR(ISNUMBER(SEARCH("hacker",LOWER(F1306&amp;" "&amp;H1306&amp;" "&amp;I1306&amp;" "&amp;M1306&amp;" "&amp;N1306&amp;" "&amp;T1306))),ISNUMBER(SEARCH("hacking",LOWER(F1306&amp;" "&amp;H1306&amp;" "&amp;I1306&amp;" "&amp;M1306&amp;" "&amp;N1306&amp;" "&amp;T1306))),ISNUMBER(SEARCH("bank",LOWER(F1306&amp;" "&amp;H1306&amp;" "&amp;I1306&amp;" "&amp;M1306&amp;" "&amp;N1306&amp;" "&amp;T1306))),ISNUMBER(SEARCH("banking",LOWER(F1306&amp;" "&amp;H1306&amp;" "&amp;I1306&amp;" "&amp;M1306&amp;" "&amp;N1306&amp;" "&amp;T1306)))),"PRIVATE_QUARANTINE",IF(OR(ISNUMBER(SEARCH("treasury",LOWER(F1306&amp;" "&amp;H1306&amp;" "&amp;I1306&amp;" "&amp;M1306&amp;" "&amp;N1306&amp;" "&amp;T1306))),ISNUMBER(SEARCH("debt",LOWER(F1306&amp;" "&amp;H1306&amp;" "&amp;I1306&amp;" "&amp;M1306&amp;" "&amp;N1306&amp;" "&amp;T1306))),ISNUMBER(SEARCH("bond",LOWER(F1306&amp;" "&amp;H1306&amp;" "&amp;I1306&amp;" "&amp;M1306&amp;" "&amp;N1306&amp;" "&amp;T1306))),ISNUMBER(SEARCH("transaction",LOWER(F1306&amp;" "&amp;H1306&amp;" "&amp;I1306&amp;" "&amp;M1306&amp;" "&amp;N1306&amp;" "&amp;T1306)))),"PRIVATE_REVIEW","PUBLIC_CANDIDATE"))</x:f>
        <x:v>PUBLIC_CANDIDATE</x:v>
      </x:c>
      <x:c r="AD1306" s="12" t="str">
        <x:f>IF(AC1306="PRIVATE_QUARANTINE","hacker_or_bank_trigger",IF(AC1306="PRIVATE_REVIEW","finance_risk_trigger","none"))</x:f>
        <x:v>none</x:v>
      </x:c>
      <x:c r="AE1306" s="12" t="str">
        <x:f>IF(AC1306="PUBLIC_CANDIDATE","prepare_public_github_candidate",IF(AC1306="PRIVATE_REVIEW","hold_for_private_review","quarantine_private_do_not_publish"))</x:f>
        <x:v>prepare_public_github_candidate</x:v>
      </x:c>
      <x:c r="AF1306" s="12" t="str">
        <x:f>IF(AC1306="PUBLIC_CANDIDATE","TIDELOCK + Lucerna",IF(AC1306="PRIVATE_REVIEW","AtlasBrain + Lucerna","TIDELOCK + Lucerna + Human-root"))</x:f>
        <x:v>TIDELOCK + Lucerna</x:v>
      </x:c>
      <x:c r="AG1306" s="12" t="str">
        <x:f>IF(AND(AC1306="PUBLIC_CANDIDATE",U1306&lt;&gt;"BLOCKED_PENDING_RECEIPT"),"READY_AFTER_RECEIPT","NOT_READY")</x:f>
        <x:v>NOT_READY</x:v>
      </x:c>
      <x:c r="AH1306" s="12" t="str">
        <x:f>IF(AC1306="PUBLIC_CANDIDATE","none",AD1306)</x:f>
        <x:v>none</x:v>
      </x:c>
      <x:c r="AI1306" s="12" t="str">
        <x:f>IF(AC1306="PUBLIC_CANDIDATE","archive/public_candidates/"&amp;A1306,"private_quarantine/"&amp;A1306)</x:f>
        <x:v>archive/public_candidates/SWARM-10-H01-S09</x:v>
      </x:c>
      <x:c r="AJ1306" s="12" t="str">
        <x:f>IF(AC1306="PUBLIC_CANDIDATE","public by default; still not canon","private/hold; do not publish")</x:f>
        <x:v>public by default; still not canon</x:v>
      </x:c>
      <x:c r="AK1306" s="12" t="str">
        <x:f>IF(AE1306="prepare_public_github_candidate","add receipt/status then mirror","resolve blocker before any public GitHub action")</x:f>
        <x:v>add receipt/status then mirror</x:v>
      </x:c>
    </x:row>
    <x:row r="1307">
      <x:c r="A1307" s="15" t="str">
        <x:v>SWARM-10-H01-S10</x:v>
      </x:c>
      <x:c r="B1307" s="15" t="str">
        <x:v>GitShelf</x:v>
      </x:c>
      <x:c r="C1307" s="15" t="str">
        <x:v>GitHub shelf builder</x:v>
      </x:c>
      <x:c r="D1307" s="15" t="str">
        <x:v>Source Inventory</x:v>
      </x:c>
      <x:c r="E1307" s="15" t="str">
        <x:v>Human-Root</x:v>
      </x:c>
      <x:c r="F1307" s="15" t="str">
        <x:v>Inventory Human-Root — GitShelf</x:v>
      </x:c>
      <x:c r="G1307" s="15" t="str">
        <x:v>repo packet / manifest / issue template prep</x:v>
      </x:c>
      <x:c r="H1307" s="15" t="str">
        <x:v>source path + receipt + raw/export status + claim/edge/risk delta</x:v>
      </x:c>
      <x:c r="I1307" s="15" t="str">
        <x:v>packet/SWARM-10-H01-S10</x:v>
      </x:c>
      <x:c r="J1307" s="15" t="str">
        <x:v>TODO</x:v>
      </x:c>
      <x:c r="K1307" s="15" t="str">
        <x:v>P2</x:v>
      </x:c>
      <x:c r="L1307" s="15" t="str">
        <x:v>Done only when evidence is logged, contradiction search is noted, and boundary stamp remains non-canon unless ratified</x:v>
      </x:c>
      <x:c r="M1307" s="15" t="str">
        <x:v>candidate / staging-only / not canon / not deployed / authority none</x:v>
      </x:c>
      <x:c r="N1307" s="15" t="str">
        <x:v>Dispatch to GitShelf: complete Source Inventory x Human-Root; return deltas only, receipts required.</x:v>
      </x:c>
      <x:c r="O1307" s="15" t="str">
        <x:v>AF-KG-H01-S10</x:v>
      </x:c>
      <x:c r="P1307" s="15" t="str">
        <x:v>Unverified</x:v>
      </x:c>
      <x:c r="Q1307" s="15" t="str">
        <x:v>Not checked</x:v>
      </x:c>
      <x:c r="R1307" s="15" t="str"/>
      <x:c r="S1307" s="15" t="str"/>
      <x:c r="T1307" s="15" t="str">
        <x:v>Log first source path or blocker</x:v>
      </x:c>
      <x:c r="U1307" s="12" t="str">
        <x:f>IF(OR(P1307="Unverified",Q1307="Not checked"),"BLOCKED_PENDING_RECEIPT","READY_FOR_REVIEW")</x:f>
        <x:v>BLOCKED_PENDING_RECEIPT</x:v>
      </x:c>
      <x:c r="V1307" s="12" t="str">
        <x:f>IF(J1307="DONE","RETURNED",IF(U1307="BLOCKED_PENDING_RECEIPT","SOURCE_TOUCH_REQUIRED","IN_PROGRESS"))</x:f>
        <x:v>SOURCE_TOUCH_REQUIRED</x:v>
      </x:c>
      <x:c r="W1307" s="12" t="str">
        <x:f>IF(P1307="Unverified","missing_receipt","receipt_logged")</x:f>
        <x:v>missing_receipt</x:v>
      </x:c>
      <x:c r="X1307" s="12" t="str">
        <x:f>IF(Q1307="Not checked","raw_status_missing","raw_status_logged")</x:f>
        <x:v>raw_status_missing</x:v>
      </x:c>
      <x:c r="Y1307" s="12" t="str">
        <x:f>IF(U1307="BLOCKED_PENDING_RECEIPT","Log source path or blocker; do not promote","Route to review lane")</x:f>
        <x:v>Log source path or blocker; do not promote</x:v>
      </x:c>
      <x:c r="Z1307" s="12" t="str">
        <x:f>IF(K1307="P0","Primary seat + Hashlight/Lucerna","Seat lane")</x:f>
        <x:v>Seat lane</x:v>
      </x:c>
      <x:c r="AA1307" s="12" t="str">
        <x:f>IF(R1307="","no_claim_delta","claim_delta_present")</x:f>
        <x:v>no_claim_delta</x:v>
      </x:c>
      <x:c r="AB1307" s="12" t="str">
        <x:f>IF(S1307="","no_contradiction_delta","contradiction_delta_present")</x:f>
        <x:v>no_contradiction_delta</x:v>
      </x:c>
      <x:c r="AC1307" s="12" t="str">
        <x:f>IF(OR(ISNUMBER(SEARCH("hacker",LOWER(F1307&amp;" "&amp;H1307&amp;" "&amp;I1307&amp;" "&amp;M1307&amp;" "&amp;N1307&amp;" "&amp;T1307))),ISNUMBER(SEARCH("hacking",LOWER(F1307&amp;" "&amp;H1307&amp;" "&amp;I1307&amp;" "&amp;M1307&amp;" "&amp;N1307&amp;" "&amp;T1307))),ISNUMBER(SEARCH("bank",LOWER(F1307&amp;" "&amp;H1307&amp;" "&amp;I1307&amp;" "&amp;M1307&amp;" "&amp;N1307&amp;" "&amp;T1307))),ISNUMBER(SEARCH("banking",LOWER(F1307&amp;" "&amp;H1307&amp;" "&amp;I1307&amp;" "&amp;M1307&amp;" "&amp;N1307&amp;" "&amp;T1307)))),"PRIVATE_QUARANTINE",IF(OR(ISNUMBER(SEARCH("treasury",LOWER(F1307&amp;" "&amp;H1307&amp;" "&amp;I1307&amp;" "&amp;M1307&amp;" "&amp;N1307&amp;" "&amp;T1307))),ISNUMBER(SEARCH("debt",LOWER(F1307&amp;" "&amp;H1307&amp;" "&amp;I1307&amp;" "&amp;M1307&amp;" "&amp;N1307&amp;" "&amp;T1307))),ISNUMBER(SEARCH("bond",LOWER(F1307&amp;" "&amp;H1307&amp;" "&amp;I1307&amp;" "&amp;M1307&amp;" "&amp;N1307&amp;" "&amp;T1307))),ISNUMBER(SEARCH("transaction",LOWER(F1307&amp;" "&amp;H1307&amp;" "&amp;I1307&amp;" "&amp;M1307&amp;" "&amp;N1307&amp;" "&amp;T1307)))),"PRIVATE_REVIEW","PUBLIC_CANDIDATE"))</x:f>
        <x:v>PUBLIC_CANDIDATE</x:v>
      </x:c>
      <x:c r="AD1307" s="12" t="str">
        <x:f>IF(AC1307="PRIVATE_QUARANTINE","hacker_or_bank_trigger",IF(AC1307="PRIVATE_REVIEW","finance_risk_trigger","none"))</x:f>
        <x:v>none</x:v>
      </x:c>
      <x:c r="AE1307" s="12" t="str">
        <x:f>IF(AC1307="PUBLIC_CANDIDATE","prepare_public_github_candidate",IF(AC1307="PRIVATE_REVIEW","hold_for_private_review","quarantine_private_do_not_publish"))</x:f>
        <x:v>prepare_public_github_candidate</x:v>
      </x:c>
      <x:c r="AF1307" s="12" t="str">
        <x:f>IF(AC1307="PUBLIC_CANDIDATE","TIDELOCK + Lucerna",IF(AC1307="PRIVATE_REVIEW","AtlasBrain + Lucerna","TIDELOCK + Lucerna + Human-root"))</x:f>
        <x:v>TIDELOCK + Lucerna</x:v>
      </x:c>
      <x:c r="AG1307" s="12" t="str">
        <x:f>IF(AND(AC1307="PUBLIC_CANDIDATE",U1307&lt;&gt;"BLOCKED_PENDING_RECEIPT"),"READY_AFTER_RECEIPT","NOT_READY")</x:f>
        <x:v>NOT_READY</x:v>
      </x:c>
      <x:c r="AH1307" s="12" t="str">
        <x:f>IF(AC1307="PUBLIC_CANDIDATE","none",AD1307)</x:f>
        <x:v>none</x:v>
      </x:c>
      <x:c r="AI1307" s="12" t="str">
        <x:f>IF(AC1307="PUBLIC_CANDIDATE","archive/public_candidates/"&amp;A1307,"private_quarantine/"&amp;A1307)</x:f>
        <x:v>archive/public_candidates/SWARM-10-H01-S10</x:v>
      </x:c>
      <x:c r="AJ1307" s="12" t="str">
        <x:f>IF(AC1307="PUBLIC_CANDIDATE","public by default; still not canon","private/hold; do not publish")</x:f>
        <x:v>public by default; still not canon</x:v>
      </x:c>
      <x:c r="AK1307" s="12" t="str">
        <x:f>IF(AE1307="prepare_public_github_candidate","add receipt/status then mirror","resolve blocker before any public GitHub action")</x:f>
        <x:v>add receipt/status then mirror</x:v>
      </x:c>
    </x:row>
    <x:row r="1308">
      <x:c r="A1308" s="15" t="str">
        <x:v>SWARM-10-H01-S11</x:v>
      </x:c>
      <x:c r="B1308" s="15" t="str">
        <x:v>GitShelf</x:v>
      </x:c>
      <x:c r="C1308" s="15" t="str">
        <x:v>GitHub shelf builder</x:v>
      </x:c>
      <x:c r="D1308" s="15" t="str">
        <x:v>Source Inventory</x:v>
      </x:c>
      <x:c r="E1308" s="15" t="str">
        <x:v>Automation</x:v>
      </x:c>
      <x:c r="F1308" s="15" t="str">
        <x:v>Inventory Automation — GitShelf</x:v>
      </x:c>
      <x:c r="G1308" s="15" t="str">
        <x:v>repo packet / manifest / issue template prep</x:v>
      </x:c>
      <x:c r="H1308" s="15" t="str">
        <x:v>source path + receipt + raw/export status + claim/edge/risk delta</x:v>
      </x:c>
      <x:c r="I1308" s="15" t="str">
        <x:v>packet/SWARM-10-H01-S11</x:v>
      </x:c>
      <x:c r="J1308" s="15" t="str">
        <x:v>TODO</x:v>
      </x:c>
      <x:c r="K1308" s="15" t="str">
        <x:v>P2</x:v>
      </x:c>
      <x:c r="L1308" s="15" t="str">
        <x:v>Done only when evidence is logged, contradiction search is noted, and boundary stamp remains non-canon unless ratified</x:v>
      </x:c>
      <x:c r="M1308" s="15" t="str">
        <x:v>candidate / staging-only / not canon / not deployed / authority none</x:v>
      </x:c>
      <x:c r="N1308" s="15" t="str">
        <x:v>Dispatch to GitShelf: complete Source Inventory x Automation; return deltas only, receipts required.</x:v>
      </x:c>
      <x:c r="O1308" s="15" t="str">
        <x:v>AF-KG-H01-S11</x:v>
      </x:c>
      <x:c r="P1308" s="15" t="str">
        <x:v>Unverified</x:v>
      </x:c>
      <x:c r="Q1308" s="15" t="str">
        <x:v>Not checked</x:v>
      </x:c>
      <x:c r="R1308" s="15" t="str"/>
      <x:c r="S1308" s="15" t="str"/>
      <x:c r="T1308" s="15" t="str">
        <x:v>Log first source path or blocker</x:v>
      </x:c>
      <x:c r="U1308" s="12" t="str">
        <x:f>IF(OR(P1308="Unverified",Q1308="Not checked"),"BLOCKED_PENDING_RECEIPT","READY_FOR_REVIEW")</x:f>
        <x:v>BLOCKED_PENDING_RECEIPT</x:v>
      </x:c>
      <x:c r="V1308" s="12" t="str">
        <x:f>IF(J1308="DONE","RETURNED",IF(U1308="BLOCKED_PENDING_RECEIPT","SOURCE_TOUCH_REQUIRED","IN_PROGRESS"))</x:f>
        <x:v>SOURCE_TOUCH_REQUIRED</x:v>
      </x:c>
      <x:c r="W1308" s="12" t="str">
        <x:f>IF(P1308="Unverified","missing_receipt","receipt_logged")</x:f>
        <x:v>missing_receipt</x:v>
      </x:c>
      <x:c r="X1308" s="12" t="str">
        <x:f>IF(Q1308="Not checked","raw_status_missing","raw_status_logged")</x:f>
        <x:v>raw_status_missing</x:v>
      </x:c>
      <x:c r="Y1308" s="12" t="str">
        <x:f>IF(U1308="BLOCKED_PENDING_RECEIPT","Log source path or blocker; do not promote","Route to review lane")</x:f>
        <x:v>Log source path or blocker; do not promote</x:v>
      </x:c>
      <x:c r="Z1308" s="12" t="str">
        <x:f>IF(K1308="P0","Primary seat + Hashlight/Lucerna","Seat lane")</x:f>
        <x:v>Seat lane</x:v>
      </x:c>
      <x:c r="AA1308" s="12" t="str">
        <x:f>IF(R1308="","no_claim_delta","claim_delta_present")</x:f>
        <x:v>no_claim_delta</x:v>
      </x:c>
      <x:c r="AB1308" s="12" t="str">
        <x:f>IF(S1308="","no_contradiction_delta","contradiction_delta_present")</x:f>
        <x:v>no_contradiction_delta</x:v>
      </x:c>
      <x:c r="AC1308" s="12" t="str">
        <x:f>IF(OR(ISNUMBER(SEARCH("hacker",LOWER(F1308&amp;" "&amp;H1308&amp;" "&amp;I1308&amp;" "&amp;M1308&amp;" "&amp;N1308&amp;" "&amp;T1308))),ISNUMBER(SEARCH("hacking",LOWER(F1308&amp;" "&amp;H1308&amp;" "&amp;I1308&amp;" "&amp;M1308&amp;" "&amp;N1308&amp;" "&amp;T1308))),ISNUMBER(SEARCH("bank",LOWER(F1308&amp;" "&amp;H1308&amp;" "&amp;I1308&amp;" "&amp;M1308&amp;" "&amp;N1308&amp;" "&amp;T1308))),ISNUMBER(SEARCH("banking",LOWER(F1308&amp;" "&amp;H1308&amp;" "&amp;I1308&amp;" "&amp;M1308&amp;" "&amp;N1308&amp;" "&amp;T1308)))),"PRIVATE_QUARANTINE",IF(OR(ISNUMBER(SEARCH("treasury",LOWER(F1308&amp;" "&amp;H1308&amp;" "&amp;I1308&amp;" "&amp;M1308&amp;" "&amp;N1308&amp;" "&amp;T1308))),ISNUMBER(SEARCH("debt",LOWER(F1308&amp;" "&amp;H1308&amp;" "&amp;I1308&amp;" "&amp;M1308&amp;" "&amp;N1308&amp;" "&amp;T1308))),ISNUMBER(SEARCH("bond",LOWER(F1308&amp;" "&amp;H1308&amp;" "&amp;I1308&amp;" "&amp;M1308&amp;" "&amp;N1308&amp;" "&amp;T1308))),ISNUMBER(SEARCH("transaction",LOWER(F1308&amp;" "&amp;H1308&amp;" "&amp;I1308&amp;" "&amp;M1308&amp;" "&amp;N1308&amp;" "&amp;T1308)))),"PRIVATE_REVIEW","PUBLIC_CANDIDATE"))</x:f>
        <x:v>PUBLIC_CANDIDATE</x:v>
      </x:c>
      <x:c r="AD1308" s="12" t="str">
        <x:f>IF(AC1308="PRIVATE_QUARANTINE","hacker_or_bank_trigger",IF(AC1308="PRIVATE_REVIEW","finance_risk_trigger","none"))</x:f>
        <x:v>none</x:v>
      </x:c>
      <x:c r="AE1308" s="12" t="str">
        <x:f>IF(AC1308="PUBLIC_CANDIDATE","prepare_public_github_candidate",IF(AC1308="PRIVATE_REVIEW","hold_for_private_review","quarantine_private_do_not_publish"))</x:f>
        <x:v>prepare_public_github_candidate</x:v>
      </x:c>
      <x:c r="AF1308" s="12" t="str">
        <x:f>IF(AC1308="PUBLIC_CANDIDATE","TIDELOCK + Lucerna",IF(AC1308="PRIVATE_REVIEW","AtlasBrain + Lucerna","TIDELOCK + Lucerna + Human-root"))</x:f>
        <x:v>TIDELOCK + Lucerna</x:v>
      </x:c>
      <x:c r="AG1308" s="12" t="str">
        <x:f>IF(AND(AC1308="PUBLIC_CANDIDATE",U1308&lt;&gt;"BLOCKED_PENDING_RECEIPT"),"READY_AFTER_RECEIPT","NOT_READY")</x:f>
        <x:v>NOT_READY</x:v>
      </x:c>
      <x:c r="AH1308" s="12" t="str">
        <x:f>IF(AC1308="PUBLIC_CANDIDATE","none",AD1308)</x:f>
        <x:v>none</x:v>
      </x:c>
      <x:c r="AI1308" s="12" t="str">
        <x:f>IF(AC1308="PUBLIC_CANDIDATE","archive/public_candidates/"&amp;A1308,"private_quarantine/"&amp;A1308)</x:f>
        <x:v>archive/public_candidates/SWARM-10-H01-S11</x:v>
      </x:c>
      <x:c r="AJ1308" s="12" t="str">
        <x:f>IF(AC1308="PUBLIC_CANDIDATE","public by default; still not canon","private/hold; do not publish")</x:f>
        <x:v>public by default; still not canon</x:v>
      </x:c>
      <x:c r="AK1308" s="12" t="str">
        <x:f>IF(AE1308="prepare_public_github_candidate","add receipt/status then mirror","resolve blocker before any public GitHub action")</x:f>
        <x:v>add receipt/status then mirror</x:v>
      </x:c>
    </x:row>
    <x:row r="1309">
      <x:c r="A1309" s="15" t="str">
        <x:v>SWARM-10-H01-S12</x:v>
      </x:c>
      <x:c r="B1309" s="15" t="str">
        <x:v>GitShelf</x:v>
      </x:c>
      <x:c r="C1309" s="15" t="str">
        <x:v>GitHub shelf builder</x:v>
      </x:c>
      <x:c r="D1309" s="15" t="str">
        <x:v>Source Inventory</x:v>
      </x:c>
      <x:c r="E1309" s="15" t="str">
        <x:v>Risk / Safety</x:v>
      </x:c>
      <x:c r="F1309" s="15" t="str">
        <x:v>Inventory Risk / Safety — GitShelf</x:v>
      </x:c>
      <x:c r="G1309" s="15" t="str">
        <x:v>repo packet / manifest / issue template prep</x:v>
      </x:c>
      <x:c r="H1309" s="15" t="str">
        <x:v>source path + receipt + raw/export status + claim/edge/risk delta</x:v>
      </x:c>
      <x:c r="I1309" s="15" t="str">
        <x:v>packet/SWARM-10-H01-S12</x:v>
      </x:c>
      <x:c r="J1309" s="15" t="str">
        <x:v>TODO</x:v>
      </x:c>
      <x:c r="K1309" s="15" t="str">
        <x:v>P2</x:v>
      </x:c>
      <x:c r="L1309" s="15" t="str">
        <x:v>Done only when evidence is logged, contradiction search is noted, and boundary stamp remains non-canon unless ratified</x:v>
      </x:c>
      <x:c r="M1309" s="15" t="str">
        <x:v>candidate / staging-only / not canon / not deployed / authority none</x:v>
      </x:c>
      <x:c r="N1309" s="15" t="str">
        <x:v>Dispatch to GitShelf: complete Source Inventory x Risk / Safety; return deltas only, receipts required.</x:v>
      </x:c>
      <x:c r="O1309" s="15" t="str">
        <x:v>AF-KG-H01-S12</x:v>
      </x:c>
      <x:c r="P1309" s="15" t="str">
        <x:v>Unverified</x:v>
      </x:c>
      <x:c r="Q1309" s="15" t="str">
        <x:v>Not checked</x:v>
      </x:c>
      <x:c r="R1309" s="15" t="str"/>
      <x:c r="S1309" s="15" t="str"/>
      <x:c r="T1309" s="15" t="str">
        <x:v>Log first source path or blocker</x:v>
      </x:c>
      <x:c r="U1309" s="12" t="str">
        <x:f>IF(OR(P1309="Unverified",Q1309="Not checked"),"BLOCKED_PENDING_RECEIPT","READY_FOR_REVIEW")</x:f>
        <x:v>BLOCKED_PENDING_RECEIPT</x:v>
      </x:c>
      <x:c r="V1309" s="12" t="str">
        <x:f>IF(J1309="DONE","RETURNED",IF(U1309="BLOCKED_PENDING_RECEIPT","SOURCE_TOUCH_REQUIRED","IN_PROGRESS"))</x:f>
        <x:v>SOURCE_TOUCH_REQUIRED</x:v>
      </x:c>
      <x:c r="W1309" s="12" t="str">
        <x:f>IF(P1309="Unverified","missing_receipt","receipt_logged")</x:f>
        <x:v>missing_receipt</x:v>
      </x:c>
      <x:c r="X1309" s="12" t="str">
        <x:f>IF(Q1309="Not checked","raw_status_missing","raw_status_logged")</x:f>
        <x:v>raw_status_missing</x:v>
      </x:c>
      <x:c r="Y1309" s="12" t="str">
        <x:f>IF(U1309="BLOCKED_PENDING_RECEIPT","Log source path or blocker; do not promote","Route to review lane")</x:f>
        <x:v>Log source path or blocker; do not promote</x:v>
      </x:c>
      <x:c r="Z1309" s="12" t="str">
        <x:f>IF(K1309="P0","Primary seat + Hashlight/Lucerna","Seat lane")</x:f>
        <x:v>Seat lane</x:v>
      </x:c>
      <x:c r="AA1309" s="12" t="str">
        <x:f>IF(R1309="","no_claim_delta","claim_delta_present")</x:f>
        <x:v>no_claim_delta</x:v>
      </x:c>
      <x:c r="AB1309" s="12" t="str">
        <x:f>IF(S1309="","no_contradiction_delta","contradiction_delta_present")</x:f>
        <x:v>no_contradiction_delta</x:v>
      </x:c>
      <x:c r="AC1309" s="12" t="str">
        <x:f>IF(OR(ISNUMBER(SEARCH("hacker",LOWER(F1309&amp;" "&amp;H1309&amp;" "&amp;I1309&amp;" "&amp;M1309&amp;" "&amp;N1309&amp;" "&amp;T1309))),ISNUMBER(SEARCH("hacking",LOWER(F1309&amp;" "&amp;H1309&amp;" "&amp;I1309&amp;" "&amp;M1309&amp;" "&amp;N1309&amp;" "&amp;T1309))),ISNUMBER(SEARCH("bank",LOWER(F1309&amp;" "&amp;H1309&amp;" "&amp;I1309&amp;" "&amp;M1309&amp;" "&amp;N1309&amp;" "&amp;T1309))),ISNUMBER(SEARCH("banking",LOWER(F1309&amp;" "&amp;H1309&amp;" "&amp;I1309&amp;" "&amp;M1309&amp;" "&amp;N1309&amp;" "&amp;T1309)))),"PRIVATE_QUARANTINE",IF(OR(ISNUMBER(SEARCH("treasury",LOWER(F1309&amp;" "&amp;H1309&amp;" "&amp;I1309&amp;" "&amp;M1309&amp;" "&amp;N1309&amp;" "&amp;T1309))),ISNUMBER(SEARCH("debt",LOWER(F1309&amp;" "&amp;H1309&amp;" "&amp;I1309&amp;" "&amp;M1309&amp;" "&amp;N1309&amp;" "&amp;T1309))),ISNUMBER(SEARCH("bond",LOWER(F1309&amp;" "&amp;H1309&amp;" "&amp;I1309&amp;" "&amp;M1309&amp;" "&amp;N1309&amp;" "&amp;T1309))),ISNUMBER(SEARCH("transaction",LOWER(F1309&amp;" "&amp;H1309&amp;" "&amp;I1309&amp;" "&amp;M1309&amp;" "&amp;N1309&amp;" "&amp;T1309)))),"PRIVATE_REVIEW","PUBLIC_CANDIDATE"))</x:f>
        <x:v>PUBLIC_CANDIDATE</x:v>
      </x:c>
      <x:c r="AD1309" s="12" t="str">
        <x:f>IF(AC1309="PRIVATE_QUARANTINE","hacker_or_bank_trigger",IF(AC1309="PRIVATE_REVIEW","finance_risk_trigger","none"))</x:f>
        <x:v>none</x:v>
      </x:c>
      <x:c r="AE1309" s="12" t="str">
        <x:f>IF(AC1309="PUBLIC_CANDIDATE","prepare_public_github_candidate",IF(AC1309="PRIVATE_REVIEW","hold_for_private_review","quarantine_private_do_not_publish"))</x:f>
        <x:v>prepare_public_github_candidate</x:v>
      </x:c>
      <x:c r="AF1309" s="12" t="str">
        <x:f>IF(AC1309="PUBLIC_CANDIDATE","TIDELOCK + Lucerna",IF(AC1309="PRIVATE_REVIEW","AtlasBrain + Lucerna","TIDELOCK + Lucerna + Human-root"))</x:f>
        <x:v>TIDELOCK + Lucerna</x:v>
      </x:c>
      <x:c r="AG1309" s="12" t="str">
        <x:f>IF(AND(AC1309="PUBLIC_CANDIDATE",U1309&lt;&gt;"BLOCKED_PENDING_RECEIPT"),"READY_AFTER_RECEIPT","NOT_READY")</x:f>
        <x:v>NOT_READY</x:v>
      </x:c>
      <x:c r="AH1309" s="12" t="str">
        <x:f>IF(AC1309="PUBLIC_CANDIDATE","none",AD1309)</x:f>
        <x:v>none</x:v>
      </x:c>
      <x:c r="AI1309" s="12" t="str">
        <x:f>IF(AC1309="PUBLIC_CANDIDATE","archive/public_candidates/"&amp;A1309,"private_quarantine/"&amp;A1309)</x:f>
        <x:v>archive/public_candidates/SWARM-10-H01-S12</x:v>
      </x:c>
      <x:c r="AJ1309" s="12" t="str">
        <x:f>IF(AC1309="PUBLIC_CANDIDATE","public by default; still not canon","private/hold; do not publish")</x:f>
        <x:v>public by default; still not canon</x:v>
      </x:c>
      <x:c r="AK1309" s="12" t="str">
        <x:f>IF(AE1309="prepare_public_github_candidate","add receipt/status then mirror","resolve blocker before any public GitHub action")</x:f>
        <x:v>add receipt/status then mirror</x:v>
      </x:c>
    </x:row>
    <x:row r="1310">
      <x:c r="A1310" s="15" t="str">
        <x:v>SWARM-10-H02-S01</x:v>
      </x:c>
      <x:c r="B1310" s="15" t="str">
        <x:v>GitShelf</x:v>
      </x:c>
      <x:c r="C1310" s="15" t="str">
        <x:v>GitHub shelf builder</x:v>
      </x:c>
      <x:c r="D1310" s="15" t="str">
        <x:v>Receipt Verification</x:v>
      </x:c>
      <x:c r="E1310" s="15" t="str">
        <x:v>Notion</x:v>
      </x:c>
      <x:c r="F1310" s="15" t="str">
        <x:v>Verify receipts for Notion — GitShelf</x:v>
      </x:c>
      <x:c r="G1310" s="15" t="str">
        <x:v>repo packet / manifest / issue template prep</x:v>
      </x:c>
      <x:c r="H1310" s="15" t="str">
        <x:v>source path + receipt + raw/export status + claim/edge/risk delta</x:v>
      </x:c>
      <x:c r="I1310" s="15" t="str">
        <x:v>packet/SWARM-10-H02-S01</x:v>
      </x:c>
      <x:c r="J1310" s="15" t="str">
        <x:v>TODO</x:v>
      </x:c>
      <x:c r="K1310" s="15" t="str">
        <x:v>P0</x:v>
      </x:c>
      <x:c r="L1310" s="15" t="str">
        <x:v>Done only when evidence is logged, contradiction search is noted, and boundary stamp remains non-canon unless ratified</x:v>
      </x:c>
      <x:c r="M1310" s="15" t="str">
        <x:v>candidate / staging-only / not canon / not deployed / authority none</x:v>
      </x:c>
      <x:c r="N1310" s="15" t="str">
        <x:v>Dispatch to GitShelf: complete Receipt Verification x Notion; return deltas only, receipts required.</x:v>
      </x:c>
      <x:c r="O1310" s="15" t="str">
        <x:v>AF-KG-H02-S01</x:v>
      </x:c>
      <x:c r="P1310" s="15" t="str">
        <x:v>Unverified</x:v>
      </x:c>
      <x:c r="Q1310" s="15" t="str">
        <x:v>Not checked</x:v>
      </x:c>
      <x:c r="R1310" s="15" t="str"/>
      <x:c r="S1310" s="15" t="str"/>
      <x:c r="T1310" s="15" t="str">
        <x:v>Log first source path or blocker</x:v>
      </x:c>
      <x:c r="U1310" s="12" t="str">
        <x:f>IF(OR(P1310="Unverified",Q1310="Not checked"),"BLOCKED_PENDING_RECEIPT","READY_FOR_REVIEW")</x:f>
        <x:v>BLOCKED_PENDING_RECEIPT</x:v>
      </x:c>
      <x:c r="V1310" s="12" t="str">
        <x:f>IF(J1310="DONE","RETURNED",IF(U1310="BLOCKED_PENDING_RECEIPT","SOURCE_TOUCH_REQUIRED","IN_PROGRESS"))</x:f>
        <x:v>SOURCE_TOUCH_REQUIRED</x:v>
      </x:c>
      <x:c r="W1310" s="12" t="str">
        <x:f>IF(P1310="Unverified","missing_receipt","receipt_logged")</x:f>
        <x:v>missing_receipt</x:v>
      </x:c>
      <x:c r="X1310" s="12" t="str">
        <x:f>IF(Q1310="Not checked","raw_status_missing","raw_status_logged")</x:f>
        <x:v>raw_status_missing</x:v>
      </x:c>
      <x:c r="Y1310" s="12" t="str">
        <x:f>IF(U1310="BLOCKED_PENDING_RECEIPT","Log source path or blocker; do not promote","Route to review lane")</x:f>
        <x:v>Log source path or blocker; do not promote</x:v>
      </x:c>
      <x:c r="Z1310" s="12" t="str">
        <x:f>IF(K1310="P0","Primary seat + Hashlight/Lucerna","Seat lane")</x:f>
        <x:v>Primary seat + Hashlight/Lucerna</x:v>
      </x:c>
      <x:c r="AA1310" s="12" t="str">
        <x:f>IF(R1310="","no_claim_delta","claim_delta_present")</x:f>
        <x:v>no_claim_delta</x:v>
      </x:c>
      <x:c r="AB1310" s="12" t="str">
        <x:f>IF(S1310="","no_contradiction_delta","contradiction_delta_present")</x:f>
        <x:v>no_contradiction_delta</x:v>
      </x:c>
      <x:c r="AC1310" s="12" t="str">
        <x:f>IF(OR(ISNUMBER(SEARCH("hacker",LOWER(F1310&amp;" "&amp;H1310&amp;" "&amp;I1310&amp;" "&amp;M1310&amp;" "&amp;N1310&amp;" "&amp;T1310))),ISNUMBER(SEARCH("hacking",LOWER(F1310&amp;" "&amp;H1310&amp;" "&amp;I1310&amp;" "&amp;M1310&amp;" "&amp;N1310&amp;" "&amp;T1310))),ISNUMBER(SEARCH("bank",LOWER(F1310&amp;" "&amp;H1310&amp;" "&amp;I1310&amp;" "&amp;M1310&amp;" "&amp;N1310&amp;" "&amp;T1310))),ISNUMBER(SEARCH("banking",LOWER(F1310&amp;" "&amp;H1310&amp;" "&amp;I1310&amp;" "&amp;M1310&amp;" "&amp;N1310&amp;" "&amp;T1310)))),"PRIVATE_QUARANTINE",IF(OR(ISNUMBER(SEARCH("treasury",LOWER(F1310&amp;" "&amp;H1310&amp;" "&amp;I1310&amp;" "&amp;M1310&amp;" "&amp;N1310&amp;" "&amp;T1310))),ISNUMBER(SEARCH("debt",LOWER(F1310&amp;" "&amp;H1310&amp;" "&amp;I1310&amp;" "&amp;M1310&amp;" "&amp;N1310&amp;" "&amp;T1310))),ISNUMBER(SEARCH("bond",LOWER(F1310&amp;" "&amp;H1310&amp;" "&amp;I1310&amp;" "&amp;M1310&amp;" "&amp;N1310&amp;" "&amp;T1310))),ISNUMBER(SEARCH("transaction",LOWER(F1310&amp;" "&amp;H1310&amp;" "&amp;I1310&amp;" "&amp;M1310&amp;" "&amp;N1310&amp;" "&amp;T1310)))),"PRIVATE_REVIEW","PUBLIC_CANDIDATE"))</x:f>
        <x:v>PUBLIC_CANDIDATE</x:v>
      </x:c>
      <x:c r="AD1310" s="12" t="str">
        <x:f>IF(AC1310="PRIVATE_QUARANTINE","hacker_or_bank_trigger",IF(AC1310="PRIVATE_REVIEW","finance_risk_trigger","none"))</x:f>
        <x:v>none</x:v>
      </x:c>
      <x:c r="AE1310" s="12" t="str">
        <x:f>IF(AC1310="PUBLIC_CANDIDATE","prepare_public_github_candidate",IF(AC1310="PRIVATE_REVIEW","hold_for_private_review","quarantine_private_do_not_publish"))</x:f>
        <x:v>prepare_public_github_candidate</x:v>
      </x:c>
      <x:c r="AF1310" s="12" t="str">
        <x:f>IF(AC1310="PUBLIC_CANDIDATE","TIDELOCK + Lucerna",IF(AC1310="PRIVATE_REVIEW","AtlasBrain + Lucerna","TIDELOCK + Lucerna + Human-root"))</x:f>
        <x:v>TIDELOCK + Lucerna</x:v>
      </x:c>
      <x:c r="AG1310" s="12" t="str">
        <x:f>IF(AND(AC1310="PUBLIC_CANDIDATE",U1310&lt;&gt;"BLOCKED_PENDING_RECEIPT"),"READY_AFTER_RECEIPT","NOT_READY")</x:f>
        <x:v>NOT_READY</x:v>
      </x:c>
      <x:c r="AH1310" s="12" t="str">
        <x:f>IF(AC1310="PUBLIC_CANDIDATE","none",AD1310)</x:f>
        <x:v>none</x:v>
      </x:c>
      <x:c r="AI1310" s="12" t="str">
        <x:f>IF(AC1310="PUBLIC_CANDIDATE","archive/public_candidates/"&amp;A1310,"private_quarantine/"&amp;A1310)</x:f>
        <x:v>archive/public_candidates/SWARM-10-H02-S01</x:v>
      </x:c>
      <x:c r="AJ1310" s="12" t="str">
        <x:f>IF(AC1310="PUBLIC_CANDIDATE","public by default; still not canon","private/hold; do not publish")</x:f>
        <x:v>public by default; still not canon</x:v>
      </x:c>
      <x:c r="AK1310" s="12" t="str">
        <x:f>IF(AE1310="prepare_public_github_candidate","add receipt/status then mirror","resolve blocker before any public GitHub action")</x:f>
        <x:v>add receipt/status then mirror</x:v>
      </x:c>
    </x:row>
    <x:row r="1311">
      <x:c r="A1311" s="15" t="str">
        <x:v>SWARM-10-H02-S02</x:v>
      </x:c>
      <x:c r="B1311" s="15" t="str">
        <x:v>GitShelf</x:v>
      </x:c>
      <x:c r="C1311" s="15" t="str">
        <x:v>GitHub shelf builder</x:v>
      </x:c>
      <x:c r="D1311" s="15" t="str">
        <x:v>Receipt Verification</x:v>
      </x:c>
      <x:c r="E1311" s="15" t="str">
        <x:v>Drive</x:v>
      </x:c>
      <x:c r="F1311" s="15" t="str">
        <x:v>Verify receipts for Drive — GitShelf</x:v>
      </x:c>
      <x:c r="G1311" s="15" t="str">
        <x:v>repo packet / manifest / issue template prep</x:v>
      </x:c>
      <x:c r="H1311" s="15" t="str">
        <x:v>source path + receipt + raw/export status + claim/edge/risk delta</x:v>
      </x:c>
      <x:c r="I1311" s="15" t="str">
        <x:v>packet/SWARM-10-H02-S02</x:v>
      </x:c>
      <x:c r="J1311" s="15" t="str">
        <x:v>TODO</x:v>
      </x:c>
      <x:c r="K1311" s="15" t="str">
        <x:v>P0</x:v>
      </x:c>
      <x:c r="L1311" s="15" t="str">
        <x:v>Done only when evidence is logged, contradiction search is noted, and boundary stamp remains non-canon unless ratified</x:v>
      </x:c>
      <x:c r="M1311" s="15" t="str">
        <x:v>candidate / staging-only / not canon / not deployed / authority none</x:v>
      </x:c>
      <x:c r="N1311" s="15" t="str">
        <x:v>Dispatch to GitShelf: complete Receipt Verification x Drive; return deltas only, receipts required.</x:v>
      </x:c>
      <x:c r="O1311" s="15" t="str">
        <x:v>AF-KG-H02-S02</x:v>
      </x:c>
      <x:c r="P1311" s="15" t="str">
        <x:v>Unverified</x:v>
      </x:c>
      <x:c r="Q1311" s="15" t="str">
        <x:v>Not checked</x:v>
      </x:c>
      <x:c r="R1311" s="15" t="str"/>
      <x:c r="S1311" s="15" t="str"/>
      <x:c r="T1311" s="15" t="str">
        <x:v>Log first source path or blocker</x:v>
      </x:c>
      <x:c r="U1311" s="12" t="str">
        <x:f>IF(OR(P1311="Unverified",Q1311="Not checked"),"BLOCKED_PENDING_RECEIPT","READY_FOR_REVIEW")</x:f>
        <x:v>BLOCKED_PENDING_RECEIPT</x:v>
      </x:c>
      <x:c r="V1311" s="12" t="str">
        <x:f>IF(J1311="DONE","RETURNED",IF(U1311="BLOCKED_PENDING_RECEIPT","SOURCE_TOUCH_REQUIRED","IN_PROGRESS"))</x:f>
        <x:v>SOURCE_TOUCH_REQUIRED</x:v>
      </x:c>
      <x:c r="W1311" s="12" t="str">
        <x:f>IF(P1311="Unverified","missing_receipt","receipt_logged")</x:f>
        <x:v>missing_receipt</x:v>
      </x:c>
      <x:c r="X1311" s="12" t="str">
        <x:f>IF(Q1311="Not checked","raw_status_missing","raw_status_logged")</x:f>
        <x:v>raw_status_missing</x:v>
      </x:c>
      <x:c r="Y1311" s="12" t="str">
        <x:f>IF(U1311="BLOCKED_PENDING_RECEIPT","Log source path or blocker; do not promote","Route to review lane")</x:f>
        <x:v>Log source path or blocker; do not promote</x:v>
      </x:c>
      <x:c r="Z1311" s="12" t="str">
        <x:f>IF(K1311="P0","Primary seat + Hashlight/Lucerna","Seat lane")</x:f>
        <x:v>Primary seat + Hashlight/Lucerna</x:v>
      </x:c>
      <x:c r="AA1311" s="12" t="str">
        <x:f>IF(R1311="","no_claim_delta","claim_delta_present")</x:f>
        <x:v>no_claim_delta</x:v>
      </x:c>
      <x:c r="AB1311" s="12" t="str">
        <x:f>IF(S1311="","no_contradiction_delta","contradiction_delta_present")</x:f>
        <x:v>no_contradiction_delta</x:v>
      </x:c>
      <x:c r="AC1311" s="12" t="str">
        <x:f>IF(OR(ISNUMBER(SEARCH("hacker",LOWER(F1311&amp;" "&amp;H1311&amp;" "&amp;I1311&amp;" "&amp;M1311&amp;" "&amp;N1311&amp;" "&amp;T1311))),ISNUMBER(SEARCH("hacking",LOWER(F1311&amp;" "&amp;H1311&amp;" "&amp;I1311&amp;" "&amp;M1311&amp;" "&amp;N1311&amp;" "&amp;T1311))),ISNUMBER(SEARCH("bank",LOWER(F1311&amp;" "&amp;H1311&amp;" "&amp;I1311&amp;" "&amp;M1311&amp;" "&amp;N1311&amp;" "&amp;T1311))),ISNUMBER(SEARCH("banking",LOWER(F1311&amp;" "&amp;H1311&amp;" "&amp;I1311&amp;" "&amp;M1311&amp;" "&amp;N1311&amp;" "&amp;T1311)))),"PRIVATE_QUARANTINE",IF(OR(ISNUMBER(SEARCH("treasury",LOWER(F1311&amp;" "&amp;H1311&amp;" "&amp;I1311&amp;" "&amp;M1311&amp;" "&amp;N1311&amp;" "&amp;T1311))),ISNUMBER(SEARCH("debt",LOWER(F1311&amp;" "&amp;H1311&amp;" "&amp;I1311&amp;" "&amp;M1311&amp;" "&amp;N1311&amp;" "&amp;T1311))),ISNUMBER(SEARCH("bond",LOWER(F1311&amp;" "&amp;H1311&amp;" "&amp;I1311&amp;" "&amp;M1311&amp;" "&amp;N1311&amp;" "&amp;T1311))),ISNUMBER(SEARCH("transaction",LOWER(F1311&amp;" "&amp;H1311&amp;" "&amp;I1311&amp;" "&amp;M1311&amp;" "&amp;N1311&amp;" "&amp;T1311)))),"PRIVATE_REVIEW","PUBLIC_CANDIDATE"))</x:f>
        <x:v>PUBLIC_CANDIDATE</x:v>
      </x:c>
      <x:c r="AD1311" s="12" t="str">
        <x:f>IF(AC1311="PRIVATE_QUARANTINE","hacker_or_bank_trigger",IF(AC1311="PRIVATE_REVIEW","finance_risk_trigger","none"))</x:f>
        <x:v>none</x:v>
      </x:c>
      <x:c r="AE1311" s="12" t="str">
        <x:f>IF(AC1311="PUBLIC_CANDIDATE","prepare_public_github_candidate",IF(AC1311="PRIVATE_REVIEW","hold_for_private_review","quarantine_private_do_not_publish"))</x:f>
        <x:v>prepare_public_github_candidate</x:v>
      </x:c>
      <x:c r="AF1311" s="12" t="str">
        <x:f>IF(AC1311="PUBLIC_CANDIDATE","TIDELOCK + Lucerna",IF(AC1311="PRIVATE_REVIEW","AtlasBrain + Lucerna","TIDELOCK + Lucerna + Human-root"))</x:f>
        <x:v>TIDELOCK + Lucerna</x:v>
      </x:c>
      <x:c r="AG1311" s="12" t="str">
        <x:f>IF(AND(AC1311="PUBLIC_CANDIDATE",U1311&lt;&gt;"BLOCKED_PENDING_RECEIPT"),"READY_AFTER_RECEIPT","NOT_READY")</x:f>
        <x:v>NOT_READY</x:v>
      </x:c>
      <x:c r="AH1311" s="12" t="str">
        <x:f>IF(AC1311="PUBLIC_CANDIDATE","none",AD1311)</x:f>
        <x:v>none</x:v>
      </x:c>
      <x:c r="AI1311" s="12" t="str">
        <x:f>IF(AC1311="PUBLIC_CANDIDATE","archive/public_candidates/"&amp;A1311,"private_quarantine/"&amp;A1311)</x:f>
        <x:v>archive/public_candidates/SWARM-10-H02-S02</x:v>
      </x:c>
      <x:c r="AJ1311" s="12" t="str">
        <x:f>IF(AC1311="PUBLIC_CANDIDATE","public by default; still not canon","private/hold; do not publish")</x:f>
        <x:v>public by default; still not canon</x:v>
      </x:c>
      <x:c r="AK1311" s="12" t="str">
        <x:f>IF(AE1311="prepare_public_github_candidate","add receipt/status then mirror","resolve blocker before any public GitHub action")</x:f>
        <x:v>add receipt/status then mirror</x:v>
      </x:c>
    </x:row>
    <x:row r="1312">
      <x:c r="A1312" s="15" t="str">
        <x:v>SWARM-10-H02-S03</x:v>
      </x:c>
      <x:c r="B1312" s="15" t="str">
        <x:v>GitShelf</x:v>
      </x:c>
      <x:c r="C1312" s="15" t="str">
        <x:v>GitHub shelf builder</x:v>
      </x:c>
      <x:c r="D1312" s="15" t="str">
        <x:v>Receipt Verification</x:v>
      </x:c>
      <x:c r="E1312" s="15" t="str">
        <x:v>GitHub</x:v>
      </x:c>
      <x:c r="F1312" s="15" t="str">
        <x:v>Verify receipts for GitHub — GitShelf</x:v>
      </x:c>
      <x:c r="G1312" s="15" t="str">
        <x:v>repo packet / manifest / issue template prep</x:v>
      </x:c>
      <x:c r="H1312" s="15" t="str">
        <x:v>source path + receipt + raw/export status + claim/edge/risk delta</x:v>
      </x:c>
      <x:c r="I1312" s="15" t="str">
        <x:v>packet/SWARM-10-H02-S03</x:v>
      </x:c>
      <x:c r="J1312" s="15" t="str">
        <x:v>TODO</x:v>
      </x:c>
      <x:c r="K1312" s="15" t="str">
        <x:v>P0</x:v>
      </x:c>
      <x:c r="L1312" s="15" t="str">
        <x:v>Done only when evidence is logged, contradiction search is noted, and boundary stamp remains non-canon unless ratified</x:v>
      </x:c>
      <x:c r="M1312" s="15" t="str">
        <x:v>candidate / staging-only / not canon / not deployed / authority none</x:v>
      </x:c>
      <x:c r="N1312" s="15" t="str">
        <x:v>Dispatch to GitShelf: complete Receipt Verification x GitHub; return deltas only, receipts required.</x:v>
      </x:c>
      <x:c r="O1312" s="15" t="str">
        <x:v>AF-KG-H02-S03</x:v>
      </x:c>
      <x:c r="P1312" s="15" t="str">
        <x:v>Unverified</x:v>
      </x:c>
      <x:c r="Q1312" s="15" t="str">
        <x:v>Not checked</x:v>
      </x:c>
      <x:c r="R1312" s="15" t="str"/>
      <x:c r="S1312" s="15" t="str"/>
      <x:c r="T1312" s="15" t="str">
        <x:v>Log first source path or blocker</x:v>
      </x:c>
      <x:c r="U1312" s="12" t="str">
        <x:f>IF(OR(P1312="Unverified",Q1312="Not checked"),"BLOCKED_PENDING_RECEIPT","READY_FOR_REVIEW")</x:f>
        <x:v>BLOCKED_PENDING_RECEIPT</x:v>
      </x:c>
      <x:c r="V1312" s="12" t="str">
        <x:f>IF(J1312="DONE","RETURNED",IF(U1312="BLOCKED_PENDING_RECEIPT","SOURCE_TOUCH_REQUIRED","IN_PROGRESS"))</x:f>
        <x:v>SOURCE_TOUCH_REQUIRED</x:v>
      </x:c>
      <x:c r="W1312" s="12" t="str">
        <x:f>IF(P1312="Unverified","missing_receipt","receipt_logged")</x:f>
        <x:v>missing_receipt</x:v>
      </x:c>
      <x:c r="X1312" s="12" t="str">
        <x:f>IF(Q1312="Not checked","raw_status_missing","raw_status_logged")</x:f>
        <x:v>raw_status_missing</x:v>
      </x:c>
      <x:c r="Y1312" s="12" t="str">
        <x:f>IF(U1312="BLOCKED_PENDING_RECEIPT","Log source path or blocker; do not promote","Route to review lane")</x:f>
        <x:v>Log source path or blocker; do not promote</x:v>
      </x:c>
      <x:c r="Z1312" s="12" t="str">
        <x:f>IF(K1312="P0","Primary seat + Hashlight/Lucerna","Seat lane")</x:f>
        <x:v>Primary seat + Hashlight/Lucerna</x:v>
      </x:c>
      <x:c r="AA1312" s="12" t="str">
        <x:f>IF(R1312="","no_claim_delta","claim_delta_present")</x:f>
        <x:v>no_claim_delta</x:v>
      </x:c>
      <x:c r="AB1312" s="12" t="str">
        <x:f>IF(S1312="","no_contradiction_delta","contradiction_delta_present")</x:f>
        <x:v>no_contradiction_delta</x:v>
      </x:c>
      <x:c r="AC1312" s="12" t="str">
        <x:f>IF(OR(ISNUMBER(SEARCH("hacker",LOWER(F1312&amp;" "&amp;H1312&amp;" "&amp;I1312&amp;" "&amp;M1312&amp;" "&amp;N1312&amp;" "&amp;T1312))),ISNUMBER(SEARCH("hacking",LOWER(F1312&amp;" "&amp;H1312&amp;" "&amp;I1312&amp;" "&amp;M1312&amp;" "&amp;N1312&amp;" "&amp;T1312))),ISNUMBER(SEARCH("bank",LOWER(F1312&amp;" "&amp;H1312&amp;" "&amp;I1312&amp;" "&amp;M1312&amp;" "&amp;N1312&amp;" "&amp;T1312))),ISNUMBER(SEARCH("banking",LOWER(F1312&amp;" "&amp;H1312&amp;" "&amp;I1312&amp;" "&amp;M1312&amp;" "&amp;N1312&amp;" "&amp;T1312)))),"PRIVATE_QUARANTINE",IF(OR(ISNUMBER(SEARCH("treasury",LOWER(F1312&amp;" "&amp;H1312&amp;" "&amp;I1312&amp;" "&amp;M1312&amp;" "&amp;N1312&amp;" "&amp;T1312))),ISNUMBER(SEARCH("debt",LOWER(F1312&amp;" "&amp;H1312&amp;" "&amp;I1312&amp;" "&amp;M1312&amp;" "&amp;N1312&amp;" "&amp;T1312))),ISNUMBER(SEARCH("bond",LOWER(F1312&amp;" "&amp;H1312&amp;" "&amp;I1312&amp;" "&amp;M1312&amp;" "&amp;N1312&amp;" "&amp;T1312))),ISNUMBER(SEARCH("transaction",LOWER(F1312&amp;" "&amp;H1312&amp;" "&amp;I1312&amp;" "&amp;M1312&amp;" "&amp;N1312&amp;" "&amp;T1312)))),"PRIVATE_REVIEW","PUBLIC_CANDIDATE"))</x:f>
        <x:v>PUBLIC_CANDIDATE</x:v>
      </x:c>
      <x:c r="AD1312" s="12" t="str">
        <x:f>IF(AC1312="PRIVATE_QUARANTINE","hacker_or_bank_trigger",IF(AC1312="PRIVATE_REVIEW","finance_risk_trigger","none"))</x:f>
        <x:v>none</x:v>
      </x:c>
      <x:c r="AE1312" s="12" t="str">
        <x:f>IF(AC1312="PUBLIC_CANDIDATE","prepare_public_github_candidate",IF(AC1312="PRIVATE_REVIEW","hold_for_private_review","quarantine_private_do_not_publish"))</x:f>
        <x:v>prepare_public_github_candidate</x:v>
      </x:c>
      <x:c r="AF1312" s="12" t="str">
        <x:f>IF(AC1312="PUBLIC_CANDIDATE","TIDELOCK + Lucerna",IF(AC1312="PRIVATE_REVIEW","AtlasBrain + Lucerna","TIDELOCK + Lucerna + Human-root"))</x:f>
        <x:v>TIDELOCK + Lucerna</x:v>
      </x:c>
      <x:c r="AG1312" s="12" t="str">
        <x:f>IF(AND(AC1312="PUBLIC_CANDIDATE",U1312&lt;&gt;"BLOCKED_PENDING_RECEIPT"),"READY_AFTER_RECEIPT","NOT_READY")</x:f>
        <x:v>NOT_READY</x:v>
      </x:c>
      <x:c r="AH1312" s="12" t="str">
        <x:f>IF(AC1312="PUBLIC_CANDIDATE","none",AD1312)</x:f>
        <x:v>none</x:v>
      </x:c>
      <x:c r="AI1312" s="12" t="str">
        <x:f>IF(AC1312="PUBLIC_CANDIDATE","archive/public_candidates/"&amp;A1312,"private_quarantine/"&amp;A1312)</x:f>
        <x:v>archive/public_candidates/SWARM-10-H02-S03</x:v>
      </x:c>
      <x:c r="AJ1312" s="12" t="str">
        <x:f>IF(AC1312="PUBLIC_CANDIDATE","public by default; still not canon","private/hold; do not publish")</x:f>
        <x:v>public by default; still not canon</x:v>
      </x:c>
      <x:c r="AK1312" s="12" t="str">
        <x:f>IF(AE1312="prepare_public_github_candidate","add receipt/status then mirror","resolve blocker before any public GitHub action")</x:f>
        <x:v>add receipt/status then mirror</x:v>
      </x:c>
    </x:row>
    <x:row r="1313">
      <x:c r="A1313" s="15" t="str">
        <x:v>SWARM-10-H02-S04</x:v>
      </x:c>
      <x:c r="B1313" s="15" t="str">
        <x:v>GitShelf</x:v>
      </x:c>
      <x:c r="C1313" s="15" t="str">
        <x:v>GitHub shelf builder</x:v>
      </x:c>
      <x:c r="D1313" s="15" t="str">
        <x:v>Receipt Verification</x:v>
      </x:c>
      <x:c r="E1313" s="15" t="str">
        <x:v>Gamma</x:v>
      </x:c>
      <x:c r="F1313" s="15" t="str">
        <x:v>Verify receipts for Gamma — GitShelf</x:v>
      </x:c>
      <x:c r="G1313" s="15" t="str">
        <x:v>repo packet / manifest / issue template prep</x:v>
      </x:c>
      <x:c r="H1313" s="15" t="str">
        <x:v>source path + receipt + raw/export status + claim/edge/risk delta</x:v>
      </x:c>
      <x:c r="I1313" s="15" t="str">
        <x:v>packet/SWARM-10-H02-S04</x:v>
      </x:c>
      <x:c r="J1313" s="15" t="str">
        <x:v>TODO</x:v>
      </x:c>
      <x:c r="K1313" s="15" t="str">
        <x:v>P1</x:v>
      </x:c>
      <x:c r="L1313" s="15" t="str">
        <x:v>Done only when evidence is logged, contradiction search is noted, and boundary stamp remains non-canon unless ratified</x:v>
      </x:c>
      <x:c r="M1313" s="15" t="str">
        <x:v>candidate / staging-only / not canon / not deployed / authority none</x:v>
      </x:c>
      <x:c r="N1313" s="15" t="str">
        <x:v>Dispatch to GitShelf: complete Receipt Verification x Gamma; return deltas only, receipts required.</x:v>
      </x:c>
      <x:c r="O1313" s="15" t="str">
        <x:v>AF-KG-H02-S04</x:v>
      </x:c>
      <x:c r="P1313" s="15" t="str">
        <x:v>Unverified</x:v>
      </x:c>
      <x:c r="Q1313" s="15" t="str">
        <x:v>Not checked</x:v>
      </x:c>
      <x:c r="R1313" s="15" t="str"/>
      <x:c r="S1313" s="15" t="str"/>
      <x:c r="T1313" s="15" t="str">
        <x:v>Log first source path or blocker</x:v>
      </x:c>
      <x:c r="U1313" s="12" t="str">
        <x:f>IF(OR(P1313="Unverified",Q1313="Not checked"),"BLOCKED_PENDING_RECEIPT","READY_FOR_REVIEW")</x:f>
        <x:v>BLOCKED_PENDING_RECEIPT</x:v>
      </x:c>
      <x:c r="V1313" s="12" t="str">
        <x:f>IF(J1313="DONE","RETURNED",IF(U1313="BLOCKED_PENDING_RECEIPT","SOURCE_TOUCH_REQUIRED","IN_PROGRESS"))</x:f>
        <x:v>SOURCE_TOUCH_REQUIRED</x:v>
      </x:c>
      <x:c r="W1313" s="12" t="str">
        <x:f>IF(P1313="Unverified","missing_receipt","receipt_logged")</x:f>
        <x:v>missing_receipt</x:v>
      </x:c>
      <x:c r="X1313" s="12" t="str">
        <x:f>IF(Q1313="Not checked","raw_status_missing","raw_status_logged")</x:f>
        <x:v>raw_status_missing</x:v>
      </x:c>
      <x:c r="Y1313" s="12" t="str">
        <x:f>IF(U1313="BLOCKED_PENDING_RECEIPT","Log source path or blocker; do not promote","Route to review lane")</x:f>
        <x:v>Log source path or blocker; do not promote</x:v>
      </x:c>
      <x:c r="Z1313" s="12" t="str">
        <x:f>IF(K1313="P0","Primary seat + Hashlight/Lucerna","Seat lane")</x:f>
        <x:v>Seat lane</x:v>
      </x:c>
      <x:c r="AA1313" s="12" t="str">
        <x:f>IF(R1313="","no_claim_delta","claim_delta_present")</x:f>
        <x:v>no_claim_delta</x:v>
      </x:c>
      <x:c r="AB1313" s="12" t="str">
        <x:f>IF(S1313="","no_contradiction_delta","contradiction_delta_present")</x:f>
        <x:v>no_contradiction_delta</x:v>
      </x:c>
      <x:c r="AC1313" s="12" t="str">
        <x:f>IF(OR(ISNUMBER(SEARCH("hacker",LOWER(F1313&amp;" "&amp;H1313&amp;" "&amp;I1313&amp;" "&amp;M1313&amp;" "&amp;N1313&amp;" "&amp;T1313))),ISNUMBER(SEARCH("hacking",LOWER(F1313&amp;" "&amp;H1313&amp;" "&amp;I1313&amp;" "&amp;M1313&amp;" "&amp;N1313&amp;" "&amp;T1313))),ISNUMBER(SEARCH("bank",LOWER(F1313&amp;" "&amp;H1313&amp;" "&amp;I1313&amp;" "&amp;M1313&amp;" "&amp;N1313&amp;" "&amp;T1313))),ISNUMBER(SEARCH("banking",LOWER(F1313&amp;" "&amp;H1313&amp;" "&amp;I1313&amp;" "&amp;M1313&amp;" "&amp;N1313&amp;" "&amp;T1313)))),"PRIVATE_QUARANTINE",IF(OR(ISNUMBER(SEARCH("treasury",LOWER(F1313&amp;" "&amp;H1313&amp;" "&amp;I1313&amp;" "&amp;M1313&amp;" "&amp;N1313&amp;" "&amp;T1313))),ISNUMBER(SEARCH("debt",LOWER(F1313&amp;" "&amp;H1313&amp;" "&amp;I1313&amp;" "&amp;M1313&amp;" "&amp;N1313&amp;" "&amp;T1313))),ISNUMBER(SEARCH("bond",LOWER(F1313&amp;" "&amp;H1313&amp;" "&amp;I1313&amp;" "&amp;M1313&amp;" "&amp;N1313&amp;" "&amp;T1313))),ISNUMBER(SEARCH("transaction",LOWER(F1313&amp;" "&amp;H1313&amp;" "&amp;I1313&amp;" "&amp;M1313&amp;" "&amp;N1313&amp;" "&amp;T1313)))),"PRIVATE_REVIEW","PUBLIC_CANDIDATE"))</x:f>
        <x:v>PUBLIC_CANDIDATE</x:v>
      </x:c>
      <x:c r="AD1313" s="12" t="str">
        <x:f>IF(AC1313="PRIVATE_QUARANTINE","hacker_or_bank_trigger",IF(AC1313="PRIVATE_REVIEW","finance_risk_trigger","none"))</x:f>
        <x:v>none</x:v>
      </x:c>
      <x:c r="AE1313" s="12" t="str">
        <x:f>IF(AC1313="PUBLIC_CANDIDATE","prepare_public_github_candidate",IF(AC1313="PRIVATE_REVIEW","hold_for_private_review","quarantine_private_do_not_publish"))</x:f>
        <x:v>prepare_public_github_candidate</x:v>
      </x:c>
      <x:c r="AF1313" s="12" t="str">
        <x:f>IF(AC1313="PUBLIC_CANDIDATE","TIDELOCK + Lucerna",IF(AC1313="PRIVATE_REVIEW","AtlasBrain + Lucerna","TIDELOCK + Lucerna + Human-root"))</x:f>
        <x:v>TIDELOCK + Lucerna</x:v>
      </x:c>
      <x:c r="AG1313" s="12" t="str">
        <x:f>IF(AND(AC1313="PUBLIC_CANDIDATE",U1313&lt;&gt;"BLOCKED_PENDING_RECEIPT"),"READY_AFTER_RECEIPT","NOT_READY")</x:f>
        <x:v>NOT_READY</x:v>
      </x:c>
      <x:c r="AH1313" s="12" t="str">
        <x:f>IF(AC1313="PUBLIC_CANDIDATE","none",AD1313)</x:f>
        <x:v>none</x:v>
      </x:c>
      <x:c r="AI1313" s="12" t="str">
        <x:f>IF(AC1313="PUBLIC_CANDIDATE","archive/public_candidates/"&amp;A1313,"private_quarantine/"&amp;A1313)</x:f>
        <x:v>archive/public_candidates/SWARM-10-H02-S04</x:v>
      </x:c>
      <x:c r="AJ1313" s="12" t="str">
        <x:f>IF(AC1313="PUBLIC_CANDIDATE","public by default; still not canon","private/hold; do not publish")</x:f>
        <x:v>public by default; still not canon</x:v>
      </x:c>
      <x:c r="AK1313" s="12" t="str">
        <x:f>IF(AE1313="prepare_public_github_candidate","add receipt/status then mirror","resolve blocker before any public GitHub action")</x:f>
        <x:v>add receipt/status then mirror</x:v>
      </x:c>
    </x:row>
    <x:row r="1314">
      <x:c r="A1314" s="15" t="str">
        <x:v>SWARM-10-H02-S05</x:v>
      </x:c>
      <x:c r="B1314" s="15" t="str">
        <x:v>GitShelf</x:v>
      </x:c>
      <x:c r="C1314" s="15" t="str">
        <x:v>GitHub shelf builder</x:v>
      </x:c>
      <x:c r="D1314" s="15" t="str">
        <x:v>Receipt Verification</x:v>
      </x:c>
      <x:c r="E1314" s="15" t="str">
        <x:v>Chat</x:v>
      </x:c>
      <x:c r="F1314" s="15" t="str">
        <x:v>Verify receipts for Chat — GitShelf</x:v>
      </x:c>
      <x:c r="G1314" s="15" t="str">
        <x:v>repo packet / manifest / issue template prep</x:v>
      </x:c>
      <x:c r="H1314" s="15" t="str">
        <x:v>source path + receipt + raw/export status + claim/edge/risk delta</x:v>
      </x:c>
      <x:c r="I1314" s="15" t="str">
        <x:v>packet/SWARM-10-H02-S05</x:v>
      </x:c>
      <x:c r="J1314" s="15" t="str">
        <x:v>TODO</x:v>
      </x:c>
      <x:c r="K1314" s="15" t="str">
        <x:v>P1</x:v>
      </x:c>
      <x:c r="L1314" s="15" t="str">
        <x:v>Done only when evidence is logged, contradiction search is noted, and boundary stamp remains non-canon unless ratified</x:v>
      </x:c>
      <x:c r="M1314" s="15" t="str">
        <x:v>candidate / staging-only / not canon / not deployed / authority none</x:v>
      </x:c>
      <x:c r="N1314" s="15" t="str">
        <x:v>Dispatch to GitShelf: complete Receipt Verification x Chat; return deltas only, receipts required.</x:v>
      </x:c>
      <x:c r="O1314" s="15" t="str">
        <x:v>AF-KG-H02-S05</x:v>
      </x:c>
      <x:c r="P1314" s="15" t="str">
        <x:v>Unverified</x:v>
      </x:c>
      <x:c r="Q1314" s="15" t="str">
        <x:v>Not checked</x:v>
      </x:c>
      <x:c r="R1314" s="15" t="str"/>
      <x:c r="S1314" s="15" t="str"/>
      <x:c r="T1314" s="15" t="str">
        <x:v>Log first source path or blocker</x:v>
      </x:c>
      <x:c r="U1314" s="12" t="str">
        <x:f>IF(OR(P1314="Unverified",Q1314="Not checked"),"BLOCKED_PENDING_RECEIPT","READY_FOR_REVIEW")</x:f>
        <x:v>BLOCKED_PENDING_RECEIPT</x:v>
      </x:c>
      <x:c r="V1314" s="12" t="str">
        <x:f>IF(J1314="DONE","RETURNED",IF(U1314="BLOCKED_PENDING_RECEIPT","SOURCE_TOUCH_REQUIRED","IN_PROGRESS"))</x:f>
        <x:v>SOURCE_TOUCH_REQUIRED</x:v>
      </x:c>
      <x:c r="W1314" s="12" t="str">
        <x:f>IF(P1314="Unverified","missing_receipt","receipt_logged")</x:f>
        <x:v>missing_receipt</x:v>
      </x:c>
      <x:c r="X1314" s="12" t="str">
        <x:f>IF(Q1314="Not checked","raw_status_missing","raw_status_logged")</x:f>
        <x:v>raw_status_missing</x:v>
      </x:c>
      <x:c r="Y1314" s="12" t="str">
        <x:f>IF(U1314="BLOCKED_PENDING_RECEIPT","Log source path or blocker; do not promote","Route to review lane")</x:f>
        <x:v>Log source path or blocker; do not promote</x:v>
      </x:c>
      <x:c r="Z1314" s="12" t="str">
        <x:f>IF(K1314="P0","Primary seat + Hashlight/Lucerna","Seat lane")</x:f>
        <x:v>Seat lane</x:v>
      </x:c>
      <x:c r="AA1314" s="12" t="str">
        <x:f>IF(R1314="","no_claim_delta","claim_delta_present")</x:f>
        <x:v>no_claim_delta</x:v>
      </x:c>
      <x:c r="AB1314" s="12" t="str">
        <x:f>IF(S1314="","no_contradiction_delta","contradiction_delta_present")</x:f>
        <x:v>no_contradiction_delta</x:v>
      </x:c>
      <x:c r="AC1314" s="12" t="str">
        <x:f>IF(OR(ISNUMBER(SEARCH("hacker",LOWER(F1314&amp;" "&amp;H1314&amp;" "&amp;I1314&amp;" "&amp;M1314&amp;" "&amp;N1314&amp;" "&amp;T1314))),ISNUMBER(SEARCH("hacking",LOWER(F1314&amp;" "&amp;H1314&amp;" "&amp;I1314&amp;" "&amp;M1314&amp;" "&amp;N1314&amp;" "&amp;T1314))),ISNUMBER(SEARCH("bank",LOWER(F1314&amp;" "&amp;H1314&amp;" "&amp;I1314&amp;" "&amp;M1314&amp;" "&amp;N1314&amp;" "&amp;T1314))),ISNUMBER(SEARCH("banking",LOWER(F1314&amp;" "&amp;H1314&amp;" "&amp;I1314&amp;" "&amp;M1314&amp;" "&amp;N1314&amp;" "&amp;T1314)))),"PRIVATE_QUARANTINE",IF(OR(ISNUMBER(SEARCH("treasury",LOWER(F1314&amp;" "&amp;H1314&amp;" "&amp;I1314&amp;" "&amp;M1314&amp;" "&amp;N1314&amp;" "&amp;T1314))),ISNUMBER(SEARCH("debt",LOWER(F1314&amp;" "&amp;H1314&amp;" "&amp;I1314&amp;" "&amp;M1314&amp;" "&amp;N1314&amp;" "&amp;T1314))),ISNUMBER(SEARCH("bond",LOWER(F1314&amp;" "&amp;H1314&amp;" "&amp;I1314&amp;" "&amp;M1314&amp;" "&amp;N1314&amp;" "&amp;T1314))),ISNUMBER(SEARCH("transaction",LOWER(F1314&amp;" "&amp;H1314&amp;" "&amp;I1314&amp;" "&amp;M1314&amp;" "&amp;N1314&amp;" "&amp;T1314)))),"PRIVATE_REVIEW","PUBLIC_CANDIDATE"))</x:f>
        <x:v>PUBLIC_CANDIDATE</x:v>
      </x:c>
      <x:c r="AD1314" s="12" t="str">
        <x:f>IF(AC1314="PRIVATE_QUARANTINE","hacker_or_bank_trigger",IF(AC1314="PRIVATE_REVIEW","finance_risk_trigger","none"))</x:f>
        <x:v>none</x:v>
      </x:c>
      <x:c r="AE1314" s="12" t="str">
        <x:f>IF(AC1314="PUBLIC_CANDIDATE","prepare_public_github_candidate",IF(AC1314="PRIVATE_REVIEW","hold_for_private_review","quarantine_private_do_not_publish"))</x:f>
        <x:v>prepare_public_github_candidate</x:v>
      </x:c>
      <x:c r="AF1314" s="12" t="str">
        <x:f>IF(AC1314="PUBLIC_CANDIDATE","TIDELOCK + Lucerna",IF(AC1314="PRIVATE_REVIEW","AtlasBrain + Lucerna","TIDELOCK + Lucerna + Human-root"))</x:f>
        <x:v>TIDELOCK + Lucerna</x:v>
      </x:c>
      <x:c r="AG1314" s="12" t="str">
        <x:f>IF(AND(AC1314="PUBLIC_CANDIDATE",U1314&lt;&gt;"BLOCKED_PENDING_RECEIPT"),"READY_AFTER_RECEIPT","NOT_READY")</x:f>
        <x:v>NOT_READY</x:v>
      </x:c>
      <x:c r="AH1314" s="12" t="str">
        <x:f>IF(AC1314="PUBLIC_CANDIDATE","none",AD1314)</x:f>
        <x:v>none</x:v>
      </x:c>
      <x:c r="AI1314" s="12" t="str">
        <x:f>IF(AC1314="PUBLIC_CANDIDATE","archive/public_candidates/"&amp;A1314,"private_quarantine/"&amp;A1314)</x:f>
        <x:v>archive/public_candidates/SWARM-10-H02-S05</x:v>
      </x:c>
      <x:c r="AJ1314" s="12" t="str">
        <x:f>IF(AC1314="PUBLIC_CANDIDATE","public by default; still not canon","private/hold; do not publish")</x:f>
        <x:v>public by default; still not canon</x:v>
      </x:c>
      <x:c r="AK1314" s="12" t="str">
        <x:f>IF(AE1314="prepare_public_github_candidate","add receipt/status then mirror","resolve blocker before any public GitHub action")</x:f>
        <x:v>add receipt/status then mirror</x:v>
      </x:c>
    </x:row>
    <x:row r="1315">
      <x:c r="A1315" s="15" t="str">
        <x:v>SWARM-10-H02-S06</x:v>
      </x:c>
      <x:c r="B1315" s="15" t="str">
        <x:v>GitShelf</x:v>
      </x:c>
      <x:c r="C1315" s="15" t="str">
        <x:v>GitHub shelf builder</x:v>
      </x:c>
      <x:c r="D1315" s="15" t="str">
        <x:v>Receipt Verification</x:v>
      </x:c>
      <x:c r="E1315" s="15" t="str">
        <x:v>External Web</x:v>
      </x:c>
      <x:c r="F1315" s="15" t="str">
        <x:v>Verify receipts for External Web — GitShelf</x:v>
      </x:c>
      <x:c r="G1315" s="15" t="str">
        <x:v>repo packet / manifest / issue template prep</x:v>
      </x:c>
      <x:c r="H1315" s="15" t="str">
        <x:v>source path + receipt + raw/export status + claim/edge/risk delta</x:v>
      </x:c>
      <x:c r="I1315" s="15" t="str">
        <x:v>packet/SWARM-10-H02-S06</x:v>
      </x:c>
      <x:c r="J1315" s="15" t="str">
        <x:v>TODO</x:v>
      </x:c>
      <x:c r="K1315" s="15" t="str">
        <x:v>P1</x:v>
      </x:c>
      <x:c r="L1315" s="15" t="str">
        <x:v>Done only when evidence is logged, contradiction search is noted, and boundary stamp remains non-canon unless ratified</x:v>
      </x:c>
      <x:c r="M1315" s="15" t="str">
        <x:v>candidate / staging-only / not canon / not deployed / authority none</x:v>
      </x:c>
      <x:c r="N1315" s="15" t="str">
        <x:v>Dispatch to GitShelf: complete Receipt Verification x External Web; return deltas only, receipts required.</x:v>
      </x:c>
      <x:c r="O1315" s="15" t="str">
        <x:v>AF-KG-H02-S06</x:v>
      </x:c>
      <x:c r="P1315" s="15" t="str">
        <x:v>Unverified</x:v>
      </x:c>
      <x:c r="Q1315" s="15" t="str">
        <x:v>Not checked</x:v>
      </x:c>
      <x:c r="R1315" s="15" t="str"/>
      <x:c r="S1315" s="15" t="str"/>
      <x:c r="T1315" s="15" t="str">
        <x:v>Log first source path or blocker</x:v>
      </x:c>
      <x:c r="U1315" s="12" t="str">
        <x:f>IF(OR(P1315="Unverified",Q1315="Not checked"),"BLOCKED_PENDING_RECEIPT","READY_FOR_REVIEW")</x:f>
        <x:v>BLOCKED_PENDING_RECEIPT</x:v>
      </x:c>
      <x:c r="V1315" s="12" t="str">
        <x:f>IF(J1315="DONE","RETURNED",IF(U1315="BLOCKED_PENDING_RECEIPT","SOURCE_TOUCH_REQUIRED","IN_PROGRESS"))</x:f>
        <x:v>SOURCE_TOUCH_REQUIRED</x:v>
      </x:c>
      <x:c r="W1315" s="12" t="str">
        <x:f>IF(P1315="Unverified","missing_receipt","receipt_logged")</x:f>
        <x:v>missing_receipt</x:v>
      </x:c>
      <x:c r="X1315" s="12" t="str">
        <x:f>IF(Q1315="Not checked","raw_status_missing","raw_status_logged")</x:f>
        <x:v>raw_status_missing</x:v>
      </x:c>
      <x:c r="Y1315" s="12" t="str">
        <x:f>IF(U1315="BLOCKED_PENDING_RECEIPT","Log source path or blocker; do not promote","Route to review lane")</x:f>
        <x:v>Log source path or blocker; do not promote</x:v>
      </x:c>
      <x:c r="Z1315" s="12" t="str">
        <x:f>IF(K1315="P0","Primary seat + Hashlight/Lucerna","Seat lane")</x:f>
        <x:v>Seat lane</x:v>
      </x:c>
      <x:c r="AA1315" s="12" t="str">
        <x:f>IF(R1315="","no_claim_delta","claim_delta_present")</x:f>
        <x:v>no_claim_delta</x:v>
      </x:c>
      <x:c r="AB1315" s="12" t="str">
        <x:f>IF(S1315="","no_contradiction_delta","contradiction_delta_present")</x:f>
        <x:v>no_contradiction_delta</x:v>
      </x:c>
      <x:c r="AC1315" s="12" t="str">
        <x:f>IF(OR(ISNUMBER(SEARCH("hacker",LOWER(F1315&amp;" "&amp;H1315&amp;" "&amp;I1315&amp;" "&amp;M1315&amp;" "&amp;N1315&amp;" "&amp;T1315))),ISNUMBER(SEARCH("hacking",LOWER(F1315&amp;" "&amp;H1315&amp;" "&amp;I1315&amp;" "&amp;M1315&amp;" "&amp;N1315&amp;" "&amp;T1315))),ISNUMBER(SEARCH("bank",LOWER(F1315&amp;" "&amp;H1315&amp;" "&amp;I1315&amp;" "&amp;M1315&amp;" "&amp;N1315&amp;" "&amp;T1315))),ISNUMBER(SEARCH("banking",LOWER(F1315&amp;" "&amp;H1315&amp;" "&amp;I1315&amp;" "&amp;M1315&amp;" "&amp;N1315&amp;" "&amp;T1315)))),"PRIVATE_QUARANTINE",IF(OR(ISNUMBER(SEARCH("treasury",LOWER(F1315&amp;" "&amp;H1315&amp;" "&amp;I1315&amp;" "&amp;M1315&amp;" "&amp;N1315&amp;" "&amp;T1315))),ISNUMBER(SEARCH("debt",LOWER(F1315&amp;" "&amp;H1315&amp;" "&amp;I1315&amp;" "&amp;M1315&amp;" "&amp;N1315&amp;" "&amp;T1315))),ISNUMBER(SEARCH("bond",LOWER(F1315&amp;" "&amp;H1315&amp;" "&amp;I1315&amp;" "&amp;M1315&amp;" "&amp;N1315&amp;" "&amp;T1315))),ISNUMBER(SEARCH("transaction",LOWER(F1315&amp;" "&amp;H1315&amp;" "&amp;I1315&amp;" "&amp;M1315&amp;" "&amp;N1315&amp;" "&amp;T1315)))),"PRIVATE_REVIEW","PUBLIC_CANDIDATE"))</x:f>
        <x:v>PUBLIC_CANDIDATE</x:v>
      </x:c>
      <x:c r="AD1315" s="12" t="str">
        <x:f>IF(AC1315="PRIVATE_QUARANTINE","hacker_or_bank_trigger",IF(AC1315="PRIVATE_REVIEW","finance_risk_trigger","none"))</x:f>
        <x:v>none</x:v>
      </x:c>
      <x:c r="AE1315" s="12" t="str">
        <x:f>IF(AC1315="PUBLIC_CANDIDATE","prepare_public_github_candidate",IF(AC1315="PRIVATE_REVIEW","hold_for_private_review","quarantine_private_do_not_publish"))</x:f>
        <x:v>prepare_public_github_candidate</x:v>
      </x:c>
      <x:c r="AF1315" s="12" t="str">
        <x:f>IF(AC1315="PUBLIC_CANDIDATE","TIDELOCK + Lucerna",IF(AC1315="PRIVATE_REVIEW","AtlasBrain + Lucerna","TIDELOCK + Lucerna + Human-root"))</x:f>
        <x:v>TIDELOCK + Lucerna</x:v>
      </x:c>
      <x:c r="AG1315" s="12" t="str">
        <x:f>IF(AND(AC1315="PUBLIC_CANDIDATE",U1315&lt;&gt;"BLOCKED_PENDING_RECEIPT"),"READY_AFTER_RECEIPT","NOT_READY")</x:f>
        <x:v>NOT_READY</x:v>
      </x:c>
      <x:c r="AH1315" s="12" t="str">
        <x:f>IF(AC1315="PUBLIC_CANDIDATE","none",AD1315)</x:f>
        <x:v>none</x:v>
      </x:c>
      <x:c r="AI1315" s="12" t="str">
        <x:f>IF(AC1315="PUBLIC_CANDIDATE","archive/public_candidates/"&amp;A1315,"private_quarantine/"&amp;A1315)</x:f>
        <x:v>archive/public_candidates/SWARM-10-H02-S06</x:v>
      </x:c>
      <x:c r="AJ1315" s="12" t="str">
        <x:f>IF(AC1315="PUBLIC_CANDIDATE","public by default; still not canon","private/hold; do not publish")</x:f>
        <x:v>public by default; still not canon</x:v>
      </x:c>
      <x:c r="AK1315" s="12" t="str">
        <x:f>IF(AE1315="prepare_public_github_candidate","add receipt/status then mirror","resolve blocker before any public GitHub action")</x:f>
        <x:v>add receipt/status then mirror</x:v>
      </x:c>
    </x:row>
    <x:row r="1316">
      <x:c r="A1316" s="15" t="str">
        <x:v>SWARM-10-H02-S07</x:v>
      </x:c>
      <x:c r="B1316" s="15" t="str">
        <x:v>GitShelf</x:v>
      </x:c>
      <x:c r="C1316" s="15" t="str">
        <x:v>GitHub shelf builder</x:v>
      </x:c>
      <x:c r="D1316" s="15" t="str">
        <x:v>Receipt Verification</x:v>
      </x:c>
      <x:c r="E1316" s="15" t="str">
        <x:v>Planetarium</x:v>
      </x:c>
      <x:c r="F1316" s="15" t="str">
        <x:v>Verify receipts for Planetarium — GitShelf</x:v>
      </x:c>
      <x:c r="G1316" s="15" t="str">
        <x:v>repo packet / manifest / issue template prep</x:v>
      </x:c>
      <x:c r="H1316" s="15" t="str">
        <x:v>source path + receipt + raw/export status + claim/edge/risk delta</x:v>
      </x:c>
      <x:c r="I1316" s="15" t="str">
        <x:v>packet/SWARM-10-H02-S07</x:v>
      </x:c>
      <x:c r="J1316" s="15" t="str">
        <x:v>TODO</x:v>
      </x:c>
      <x:c r="K1316" s="15" t="str">
        <x:v>P1</x:v>
      </x:c>
      <x:c r="L1316" s="15" t="str">
        <x:v>Done only when evidence is logged, contradiction search is noted, and boundary stamp remains non-canon unless ratified</x:v>
      </x:c>
      <x:c r="M1316" s="15" t="str">
        <x:v>candidate / staging-only / not canon / not deployed / authority none</x:v>
      </x:c>
      <x:c r="N1316" s="15" t="str">
        <x:v>Dispatch to GitShelf: complete Receipt Verification x Planetarium; return deltas only, receipts required.</x:v>
      </x:c>
      <x:c r="O1316" s="15" t="str">
        <x:v>AF-KG-H02-S07</x:v>
      </x:c>
      <x:c r="P1316" s="15" t="str">
        <x:v>Unverified</x:v>
      </x:c>
      <x:c r="Q1316" s="15" t="str">
        <x:v>Not checked</x:v>
      </x:c>
      <x:c r="R1316" s="15" t="str"/>
      <x:c r="S1316" s="15" t="str"/>
      <x:c r="T1316" s="15" t="str">
        <x:v>Log first source path or blocker</x:v>
      </x:c>
      <x:c r="U1316" s="12" t="str">
        <x:f>IF(OR(P1316="Unverified",Q1316="Not checked"),"BLOCKED_PENDING_RECEIPT","READY_FOR_REVIEW")</x:f>
        <x:v>BLOCKED_PENDING_RECEIPT</x:v>
      </x:c>
      <x:c r="V1316" s="12" t="str">
        <x:f>IF(J1316="DONE","RETURNED",IF(U1316="BLOCKED_PENDING_RECEIPT","SOURCE_TOUCH_REQUIRED","IN_PROGRESS"))</x:f>
        <x:v>SOURCE_TOUCH_REQUIRED</x:v>
      </x:c>
      <x:c r="W1316" s="12" t="str">
        <x:f>IF(P1316="Unverified","missing_receipt","receipt_logged")</x:f>
        <x:v>missing_receipt</x:v>
      </x:c>
      <x:c r="X1316" s="12" t="str">
        <x:f>IF(Q1316="Not checked","raw_status_missing","raw_status_logged")</x:f>
        <x:v>raw_status_missing</x:v>
      </x:c>
      <x:c r="Y1316" s="12" t="str">
        <x:f>IF(U1316="BLOCKED_PENDING_RECEIPT","Log source path or blocker; do not promote","Route to review lane")</x:f>
        <x:v>Log source path or blocker; do not promote</x:v>
      </x:c>
      <x:c r="Z1316" s="12" t="str">
        <x:f>IF(K1316="P0","Primary seat + Hashlight/Lucerna","Seat lane")</x:f>
        <x:v>Seat lane</x:v>
      </x:c>
      <x:c r="AA1316" s="12" t="str">
        <x:f>IF(R1316="","no_claim_delta","claim_delta_present")</x:f>
        <x:v>no_claim_delta</x:v>
      </x:c>
      <x:c r="AB1316" s="12" t="str">
        <x:f>IF(S1316="","no_contradiction_delta","contradiction_delta_present")</x:f>
        <x:v>no_contradiction_delta</x:v>
      </x:c>
      <x:c r="AC1316" s="12" t="str">
        <x:f>IF(OR(ISNUMBER(SEARCH("hacker",LOWER(F1316&amp;" "&amp;H1316&amp;" "&amp;I1316&amp;" "&amp;M1316&amp;" "&amp;N1316&amp;" "&amp;T1316))),ISNUMBER(SEARCH("hacking",LOWER(F1316&amp;" "&amp;H1316&amp;" "&amp;I1316&amp;" "&amp;M1316&amp;" "&amp;N1316&amp;" "&amp;T1316))),ISNUMBER(SEARCH("bank",LOWER(F1316&amp;" "&amp;H1316&amp;" "&amp;I1316&amp;" "&amp;M1316&amp;" "&amp;N1316&amp;" "&amp;T1316))),ISNUMBER(SEARCH("banking",LOWER(F1316&amp;" "&amp;H1316&amp;" "&amp;I1316&amp;" "&amp;M1316&amp;" "&amp;N1316&amp;" "&amp;T1316)))),"PRIVATE_QUARANTINE",IF(OR(ISNUMBER(SEARCH("treasury",LOWER(F1316&amp;" "&amp;H1316&amp;" "&amp;I1316&amp;" "&amp;M1316&amp;" "&amp;N1316&amp;" "&amp;T1316))),ISNUMBER(SEARCH("debt",LOWER(F1316&amp;" "&amp;H1316&amp;" "&amp;I1316&amp;" "&amp;M1316&amp;" "&amp;N1316&amp;" "&amp;T1316))),ISNUMBER(SEARCH("bond",LOWER(F1316&amp;" "&amp;H1316&amp;" "&amp;I1316&amp;" "&amp;M1316&amp;" "&amp;N1316&amp;" "&amp;T1316))),ISNUMBER(SEARCH("transaction",LOWER(F1316&amp;" "&amp;H1316&amp;" "&amp;I1316&amp;" "&amp;M1316&amp;" "&amp;N1316&amp;" "&amp;T1316)))),"PRIVATE_REVIEW","PUBLIC_CANDIDATE"))</x:f>
        <x:v>PUBLIC_CANDIDATE</x:v>
      </x:c>
      <x:c r="AD1316" s="12" t="str">
        <x:f>IF(AC1316="PRIVATE_QUARANTINE","hacker_or_bank_trigger",IF(AC1316="PRIVATE_REVIEW","finance_risk_trigger","none"))</x:f>
        <x:v>none</x:v>
      </x:c>
      <x:c r="AE1316" s="12" t="str">
        <x:f>IF(AC1316="PUBLIC_CANDIDATE","prepare_public_github_candidate",IF(AC1316="PRIVATE_REVIEW","hold_for_private_review","quarantine_private_do_not_publish"))</x:f>
        <x:v>prepare_public_github_candidate</x:v>
      </x:c>
      <x:c r="AF1316" s="12" t="str">
        <x:f>IF(AC1316="PUBLIC_CANDIDATE","TIDELOCK + Lucerna",IF(AC1316="PRIVATE_REVIEW","AtlasBrain + Lucerna","TIDELOCK + Lucerna + Human-root"))</x:f>
        <x:v>TIDELOCK + Lucerna</x:v>
      </x:c>
      <x:c r="AG1316" s="12" t="str">
        <x:f>IF(AND(AC1316="PUBLIC_CANDIDATE",U1316&lt;&gt;"BLOCKED_PENDING_RECEIPT"),"READY_AFTER_RECEIPT","NOT_READY")</x:f>
        <x:v>NOT_READY</x:v>
      </x:c>
      <x:c r="AH1316" s="12" t="str">
        <x:f>IF(AC1316="PUBLIC_CANDIDATE","none",AD1316)</x:f>
        <x:v>none</x:v>
      </x:c>
      <x:c r="AI1316" s="12" t="str">
        <x:f>IF(AC1316="PUBLIC_CANDIDATE","archive/public_candidates/"&amp;A1316,"private_quarantine/"&amp;A1316)</x:f>
        <x:v>archive/public_candidates/SWARM-10-H02-S07</x:v>
      </x:c>
      <x:c r="AJ1316" s="12" t="str">
        <x:f>IF(AC1316="PUBLIC_CANDIDATE","public by default; still not canon","private/hold; do not publish")</x:f>
        <x:v>public by default; still not canon</x:v>
      </x:c>
      <x:c r="AK1316" s="12" t="str">
        <x:f>IF(AE1316="prepare_public_github_candidate","add receipt/status then mirror","resolve blocker before any public GitHub action")</x:f>
        <x:v>add receipt/status then mirror</x:v>
      </x:c>
    </x:row>
    <x:row r="1317">
      <x:c r="A1317" s="15" t="str">
        <x:v>SWARM-10-H02-S08</x:v>
      </x:c>
      <x:c r="B1317" s="15" t="str">
        <x:v>GitShelf</x:v>
      </x:c>
      <x:c r="C1317" s="15" t="str">
        <x:v>GitHub shelf builder</x:v>
      </x:c>
      <x:c r="D1317" s="15" t="str">
        <x:v>Receipt Verification</x:v>
      </x:c>
      <x:c r="E1317" s="15" t="str">
        <x:v>Sheldonbrain</x:v>
      </x:c>
      <x:c r="F1317" s="15" t="str">
        <x:v>Verify receipts for Sheldonbrain — GitShelf</x:v>
      </x:c>
      <x:c r="G1317" s="15" t="str">
        <x:v>repo packet / manifest / issue template prep</x:v>
      </x:c>
      <x:c r="H1317" s="15" t="str">
        <x:v>source path + receipt + raw/export status + claim/edge/risk delta</x:v>
      </x:c>
      <x:c r="I1317" s="15" t="str">
        <x:v>packet/SWARM-10-H02-S08</x:v>
      </x:c>
      <x:c r="J1317" s="15" t="str">
        <x:v>TODO</x:v>
      </x:c>
      <x:c r="K1317" s="15" t="str">
        <x:v>P1</x:v>
      </x:c>
      <x:c r="L1317" s="15" t="str">
        <x:v>Done only when evidence is logged, contradiction search is noted, and boundary stamp remains non-canon unless ratified</x:v>
      </x:c>
      <x:c r="M1317" s="15" t="str">
        <x:v>candidate / staging-only / not canon / not deployed / authority none</x:v>
      </x:c>
      <x:c r="N1317" s="15" t="str">
        <x:v>Dispatch to GitShelf: complete Receipt Verification x Sheldonbrain; return deltas only, receipts required.</x:v>
      </x:c>
      <x:c r="O1317" s="15" t="str">
        <x:v>AF-KG-H02-S08</x:v>
      </x:c>
      <x:c r="P1317" s="15" t="str">
        <x:v>Unverified</x:v>
      </x:c>
      <x:c r="Q1317" s="15" t="str">
        <x:v>Not checked</x:v>
      </x:c>
      <x:c r="R1317" s="15" t="str"/>
      <x:c r="S1317" s="15" t="str"/>
      <x:c r="T1317" s="15" t="str">
        <x:v>Log first source path or blocker</x:v>
      </x:c>
      <x:c r="U1317" s="12" t="str">
        <x:f>IF(OR(P1317="Unverified",Q1317="Not checked"),"BLOCKED_PENDING_RECEIPT","READY_FOR_REVIEW")</x:f>
        <x:v>BLOCKED_PENDING_RECEIPT</x:v>
      </x:c>
      <x:c r="V1317" s="12" t="str">
        <x:f>IF(J1317="DONE","RETURNED",IF(U1317="BLOCKED_PENDING_RECEIPT","SOURCE_TOUCH_REQUIRED","IN_PROGRESS"))</x:f>
        <x:v>SOURCE_TOUCH_REQUIRED</x:v>
      </x:c>
      <x:c r="W1317" s="12" t="str">
        <x:f>IF(P1317="Unverified","missing_receipt","receipt_logged")</x:f>
        <x:v>missing_receipt</x:v>
      </x:c>
      <x:c r="X1317" s="12" t="str">
        <x:f>IF(Q1317="Not checked","raw_status_missing","raw_status_logged")</x:f>
        <x:v>raw_status_missing</x:v>
      </x:c>
      <x:c r="Y1317" s="12" t="str">
        <x:f>IF(U1317="BLOCKED_PENDING_RECEIPT","Log source path or blocker; do not promote","Route to review lane")</x:f>
        <x:v>Log source path or blocker; do not promote</x:v>
      </x:c>
      <x:c r="Z1317" s="12" t="str">
        <x:f>IF(K1317="P0","Primary seat + Hashlight/Lucerna","Seat lane")</x:f>
        <x:v>Seat lane</x:v>
      </x:c>
      <x:c r="AA1317" s="12" t="str">
        <x:f>IF(R1317="","no_claim_delta","claim_delta_present")</x:f>
        <x:v>no_claim_delta</x:v>
      </x:c>
      <x:c r="AB1317" s="12" t="str">
        <x:f>IF(S1317="","no_contradiction_delta","contradiction_delta_present")</x:f>
        <x:v>no_contradiction_delta</x:v>
      </x:c>
      <x:c r="AC1317" s="12" t="str">
        <x:f>IF(OR(ISNUMBER(SEARCH("hacker",LOWER(F1317&amp;" "&amp;H1317&amp;" "&amp;I1317&amp;" "&amp;M1317&amp;" "&amp;N1317&amp;" "&amp;T1317))),ISNUMBER(SEARCH("hacking",LOWER(F1317&amp;" "&amp;H1317&amp;" "&amp;I1317&amp;" "&amp;M1317&amp;" "&amp;N1317&amp;" "&amp;T1317))),ISNUMBER(SEARCH("bank",LOWER(F1317&amp;" "&amp;H1317&amp;" "&amp;I1317&amp;" "&amp;M1317&amp;" "&amp;N1317&amp;" "&amp;T1317))),ISNUMBER(SEARCH("banking",LOWER(F1317&amp;" "&amp;H1317&amp;" "&amp;I1317&amp;" "&amp;M1317&amp;" "&amp;N1317&amp;" "&amp;T1317)))),"PRIVATE_QUARANTINE",IF(OR(ISNUMBER(SEARCH("treasury",LOWER(F1317&amp;" "&amp;H1317&amp;" "&amp;I1317&amp;" "&amp;M1317&amp;" "&amp;N1317&amp;" "&amp;T1317))),ISNUMBER(SEARCH("debt",LOWER(F1317&amp;" "&amp;H1317&amp;" "&amp;I1317&amp;" "&amp;M1317&amp;" "&amp;N1317&amp;" "&amp;T1317))),ISNUMBER(SEARCH("bond",LOWER(F1317&amp;" "&amp;H1317&amp;" "&amp;I1317&amp;" "&amp;M1317&amp;" "&amp;N1317&amp;" "&amp;T1317))),ISNUMBER(SEARCH("transaction",LOWER(F1317&amp;" "&amp;H1317&amp;" "&amp;I1317&amp;" "&amp;M1317&amp;" "&amp;N1317&amp;" "&amp;T1317)))),"PRIVATE_REVIEW","PUBLIC_CANDIDATE"))</x:f>
        <x:v>PUBLIC_CANDIDATE</x:v>
      </x:c>
      <x:c r="AD1317" s="12" t="str">
        <x:f>IF(AC1317="PRIVATE_QUARANTINE","hacker_or_bank_trigger",IF(AC1317="PRIVATE_REVIEW","finance_risk_trigger","none"))</x:f>
        <x:v>none</x:v>
      </x:c>
      <x:c r="AE1317" s="12" t="str">
        <x:f>IF(AC1317="PUBLIC_CANDIDATE","prepare_public_github_candidate",IF(AC1317="PRIVATE_REVIEW","hold_for_private_review","quarantine_private_do_not_publish"))</x:f>
        <x:v>prepare_public_github_candidate</x:v>
      </x:c>
      <x:c r="AF1317" s="12" t="str">
        <x:f>IF(AC1317="PUBLIC_CANDIDATE","TIDELOCK + Lucerna",IF(AC1317="PRIVATE_REVIEW","AtlasBrain + Lucerna","TIDELOCK + Lucerna + Human-root"))</x:f>
        <x:v>TIDELOCK + Lucerna</x:v>
      </x:c>
      <x:c r="AG1317" s="12" t="str">
        <x:f>IF(AND(AC1317="PUBLIC_CANDIDATE",U1317&lt;&gt;"BLOCKED_PENDING_RECEIPT"),"READY_AFTER_RECEIPT","NOT_READY")</x:f>
        <x:v>NOT_READY</x:v>
      </x:c>
      <x:c r="AH1317" s="12" t="str">
        <x:f>IF(AC1317="PUBLIC_CANDIDATE","none",AD1317)</x:f>
        <x:v>none</x:v>
      </x:c>
      <x:c r="AI1317" s="12" t="str">
        <x:f>IF(AC1317="PUBLIC_CANDIDATE","archive/public_candidates/"&amp;A1317,"private_quarantine/"&amp;A1317)</x:f>
        <x:v>archive/public_candidates/SWARM-10-H02-S08</x:v>
      </x:c>
      <x:c r="AJ1317" s="12" t="str">
        <x:f>IF(AC1317="PUBLIC_CANDIDATE","public by default; still not canon","private/hold; do not publish")</x:f>
        <x:v>public by default; still not canon</x:v>
      </x:c>
      <x:c r="AK1317" s="12" t="str">
        <x:f>IF(AE1317="prepare_public_github_candidate","add receipt/status then mirror","resolve blocker before any public GitHub action")</x:f>
        <x:v>add receipt/status then mirror</x:v>
      </x:c>
    </x:row>
    <x:row r="1318">
      <x:c r="A1318" s="15" t="str">
        <x:v>SWARM-10-H02-S09</x:v>
      </x:c>
      <x:c r="B1318" s="15" t="str">
        <x:v>GitShelf</x:v>
      </x:c>
      <x:c r="C1318" s="15" t="str">
        <x:v>GitHub shelf builder</x:v>
      </x:c>
      <x:c r="D1318" s="15" t="str">
        <x:v>Receipt Verification</x:v>
      </x:c>
      <x:c r="E1318" s="15" t="str">
        <x:v>Aetherforge</x:v>
      </x:c>
      <x:c r="F1318" s="15" t="str">
        <x:v>Verify receipts for Aetherforge — GitShelf</x:v>
      </x:c>
      <x:c r="G1318" s="15" t="str">
        <x:v>repo packet / manifest / issue template prep</x:v>
      </x:c>
      <x:c r="H1318" s="15" t="str">
        <x:v>source path + receipt + raw/export status + claim/edge/risk delta</x:v>
      </x:c>
      <x:c r="I1318" s="15" t="str">
        <x:v>packet/SWARM-10-H02-S09</x:v>
      </x:c>
      <x:c r="J1318" s="15" t="str">
        <x:v>TODO</x:v>
      </x:c>
      <x:c r="K1318" s="15" t="str">
        <x:v>P2</x:v>
      </x:c>
      <x:c r="L1318" s="15" t="str">
        <x:v>Done only when evidence is logged, contradiction search is noted, and boundary stamp remains non-canon unless ratified</x:v>
      </x:c>
      <x:c r="M1318" s="15" t="str">
        <x:v>candidate / staging-only / not canon / not deployed / authority none</x:v>
      </x:c>
      <x:c r="N1318" s="15" t="str">
        <x:v>Dispatch to GitShelf: complete Receipt Verification x Aetherforge; return deltas only, receipts required.</x:v>
      </x:c>
      <x:c r="O1318" s="15" t="str">
        <x:v>AF-KG-H02-S09</x:v>
      </x:c>
      <x:c r="P1318" s="15" t="str">
        <x:v>Unverified</x:v>
      </x:c>
      <x:c r="Q1318" s="15" t="str">
        <x:v>Not checked</x:v>
      </x:c>
      <x:c r="R1318" s="15" t="str"/>
      <x:c r="S1318" s="15" t="str"/>
      <x:c r="T1318" s="15" t="str">
        <x:v>Log first source path or blocker</x:v>
      </x:c>
      <x:c r="U1318" s="12" t="str">
        <x:f>IF(OR(P1318="Unverified",Q1318="Not checked"),"BLOCKED_PENDING_RECEIPT","READY_FOR_REVIEW")</x:f>
        <x:v>BLOCKED_PENDING_RECEIPT</x:v>
      </x:c>
      <x:c r="V1318" s="12" t="str">
        <x:f>IF(J1318="DONE","RETURNED",IF(U1318="BLOCKED_PENDING_RECEIPT","SOURCE_TOUCH_REQUIRED","IN_PROGRESS"))</x:f>
        <x:v>SOURCE_TOUCH_REQUIRED</x:v>
      </x:c>
      <x:c r="W1318" s="12" t="str">
        <x:f>IF(P1318="Unverified","missing_receipt","receipt_logged")</x:f>
        <x:v>missing_receipt</x:v>
      </x:c>
      <x:c r="X1318" s="12" t="str">
        <x:f>IF(Q1318="Not checked","raw_status_missing","raw_status_logged")</x:f>
        <x:v>raw_status_missing</x:v>
      </x:c>
      <x:c r="Y1318" s="12" t="str">
        <x:f>IF(U1318="BLOCKED_PENDING_RECEIPT","Log source path or blocker; do not promote","Route to review lane")</x:f>
        <x:v>Log source path or blocker; do not promote</x:v>
      </x:c>
      <x:c r="Z1318" s="12" t="str">
        <x:f>IF(K1318="P0","Primary seat + Hashlight/Lucerna","Seat lane")</x:f>
        <x:v>Seat lane</x:v>
      </x:c>
      <x:c r="AA1318" s="12" t="str">
        <x:f>IF(R1318="","no_claim_delta","claim_delta_present")</x:f>
        <x:v>no_claim_delta</x:v>
      </x:c>
      <x:c r="AB1318" s="12" t="str">
        <x:f>IF(S1318="","no_contradiction_delta","contradiction_delta_present")</x:f>
        <x:v>no_contradiction_delta</x:v>
      </x:c>
      <x:c r="AC1318" s="12" t="str">
        <x:f>IF(OR(ISNUMBER(SEARCH("hacker",LOWER(F1318&amp;" "&amp;H1318&amp;" "&amp;I1318&amp;" "&amp;M1318&amp;" "&amp;N1318&amp;" "&amp;T1318))),ISNUMBER(SEARCH("hacking",LOWER(F1318&amp;" "&amp;H1318&amp;" "&amp;I1318&amp;" "&amp;M1318&amp;" "&amp;N1318&amp;" "&amp;T1318))),ISNUMBER(SEARCH("bank",LOWER(F1318&amp;" "&amp;H1318&amp;" "&amp;I1318&amp;" "&amp;M1318&amp;" "&amp;N1318&amp;" "&amp;T1318))),ISNUMBER(SEARCH("banking",LOWER(F1318&amp;" "&amp;H1318&amp;" "&amp;I1318&amp;" "&amp;M1318&amp;" "&amp;N1318&amp;" "&amp;T1318)))),"PRIVATE_QUARANTINE",IF(OR(ISNUMBER(SEARCH("treasury",LOWER(F1318&amp;" "&amp;H1318&amp;" "&amp;I1318&amp;" "&amp;M1318&amp;" "&amp;N1318&amp;" "&amp;T1318))),ISNUMBER(SEARCH("debt",LOWER(F1318&amp;" "&amp;H1318&amp;" "&amp;I1318&amp;" "&amp;M1318&amp;" "&amp;N1318&amp;" "&amp;T1318))),ISNUMBER(SEARCH("bond",LOWER(F1318&amp;" "&amp;H1318&amp;" "&amp;I1318&amp;" "&amp;M1318&amp;" "&amp;N1318&amp;" "&amp;T1318))),ISNUMBER(SEARCH("transaction",LOWER(F1318&amp;" "&amp;H1318&amp;" "&amp;I1318&amp;" "&amp;M1318&amp;" "&amp;N1318&amp;" "&amp;T1318)))),"PRIVATE_REVIEW","PUBLIC_CANDIDATE"))</x:f>
        <x:v>PUBLIC_CANDIDATE</x:v>
      </x:c>
      <x:c r="AD1318" s="12" t="str">
        <x:f>IF(AC1318="PRIVATE_QUARANTINE","hacker_or_bank_trigger",IF(AC1318="PRIVATE_REVIEW","finance_risk_trigger","none"))</x:f>
        <x:v>none</x:v>
      </x:c>
      <x:c r="AE1318" s="12" t="str">
        <x:f>IF(AC1318="PUBLIC_CANDIDATE","prepare_public_github_candidate",IF(AC1318="PRIVATE_REVIEW","hold_for_private_review","quarantine_private_do_not_publish"))</x:f>
        <x:v>prepare_public_github_candidate</x:v>
      </x:c>
      <x:c r="AF1318" s="12" t="str">
        <x:f>IF(AC1318="PUBLIC_CANDIDATE","TIDELOCK + Lucerna",IF(AC1318="PRIVATE_REVIEW","AtlasBrain + Lucerna","TIDELOCK + Lucerna + Human-root"))</x:f>
        <x:v>TIDELOCK + Lucerna</x:v>
      </x:c>
      <x:c r="AG1318" s="12" t="str">
        <x:f>IF(AND(AC1318="PUBLIC_CANDIDATE",U1318&lt;&gt;"BLOCKED_PENDING_RECEIPT"),"READY_AFTER_RECEIPT","NOT_READY")</x:f>
        <x:v>NOT_READY</x:v>
      </x:c>
      <x:c r="AH1318" s="12" t="str">
        <x:f>IF(AC1318="PUBLIC_CANDIDATE","none",AD1318)</x:f>
        <x:v>none</x:v>
      </x:c>
      <x:c r="AI1318" s="12" t="str">
        <x:f>IF(AC1318="PUBLIC_CANDIDATE","archive/public_candidates/"&amp;A1318,"private_quarantine/"&amp;A1318)</x:f>
        <x:v>archive/public_candidates/SWARM-10-H02-S09</x:v>
      </x:c>
      <x:c r="AJ1318" s="12" t="str">
        <x:f>IF(AC1318="PUBLIC_CANDIDATE","public by default; still not canon","private/hold; do not publish")</x:f>
        <x:v>public by default; still not canon</x:v>
      </x:c>
      <x:c r="AK1318" s="12" t="str">
        <x:f>IF(AE1318="prepare_public_github_candidate","add receipt/status then mirror","resolve blocker before any public GitHub action")</x:f>
        <x:v>add receipt/status then mirror</x:v>
      </x:c>
    </x:row>
    <x:row r="1319">
      <x:c r="A1319" s="15" t="str">
        <x:v>SWARM-10-H02-S10</x:v>
      </x:c>
      <x:c r="B1319" s="15" t="str">
        <x:v>GitShelf</x:v>
      </x:c>
      <x:c r="C1319" s="15" t="str">
        <x:v>GitHub shelf builder</x:v>
      </x:c>
      <x:c r="D1319" s="15" t="str">
        <x:v>Receipt Verification</x:v>
      </x:c>
      <x:c r="E1319" s="15" t="str">
        <x:v>Human-Root</x:v>
      </x:c>
      <x:c r="F1319" s="15" t="str">
        <x:v>Verify receipts for Human-Root — GitShelf</x:v>
      </x:c>
      <x:c r="G1319" s="15" t="str">
        <x:v>repo packet / manifest / issue template prep</x:v>
      </x:c>
      <x:c r="H1319" s="15" t="str">
        <x:v>source path + receipt + raw/export status + claim/edge/risk delta</x:v>
      </x:c>
      <x:c r="I1319" s="15" t="str">
        <x:v>packet/SWARM-10-H02-S10</x:v>
      </x:c>
      <x:c r="J1319" s="15" t="str">
        <x:v>TODO</x:v>
      </x:c>
      <x:c r="K1319" s="15" t="str">
        <x:v>P2</x:v>
      </x:c>
      <x:c r="L1319" s="15" t="str">
        <x:v>Done only when evidence is logged, contradiction search is noted, and boundary stamp remains non-canon unless ratified</x:v>
      </x:c>
      <x:c r="M1319" s="15" t="str">
        <x:v>candidate / staging-only / not canon / not deployed / authority none</x:v>
      </x:c>
      <x:c r="N1319" s="15" t="str">
        <x:v>Dispatch to GitShelf: complete Receipt Verification x Human-Root; return deltas only, receipts required.</x:v>
      </x:c>
      <x:c r="O1319" s="15" t="str">
        <x:v>AF-KG-H02-S10</x:v>
      </x:c>
      <x:c r="P1319" s="15" t="str">
        <x:v>Unverified</x:v>
      </x:c>
      <x:c r="Q1319" s="15" t="str">
        <x:v>Not checked</x:v>
      </x:c>
      <x:c r="R1319" s="15" t="str"/>
      <x:c r="S1319" s="15" t="str"/>
      <x:c r="T1319" s="15" t="str">
        <x:v>Log first source path or blocker</x:v>
      </x:c>
      <x:c r="U1319" s="12" t="str">
        <x:f>IF(OR(P1319="Unverified",Q1319="Not checked"),"BLOCKED_PENDING_RECEIPT","READY_FOR_REVIEW")</x:f>
        <x:v>BLOCKED_PENDING_RECEIPT</x:v>
      </x:c>
      <x:c r="V1319" s="12" t="str">
        <x:f>IF(J1319="DONE","RETURNED",IF(U1319="BLOCKED_PENDING_RECEIPT","SOURCE_TOUCH_REQUIRED","IN_PROGRESS"))</x:f>
        <x:v>SOURCE_TOUCH_REQUIRED</x:v>
      </x:c>
      <x:c r="W1319" s="12" t="str">
        <x:f>IF(P1319="Unverified","missing_receipt","receipt_logged")</x:f>
        <x:v>missing_receipt</x:v>
      </x:c>
      <x:c r="X1319" s="12" t="str">
        <x:f>IF(Q1319="Not checked","raw_status_missing","raw_status_logged")</x:f>
        <x:v>raw_status_missing</x:v>
      </x:c>
      <x:c r="Y1319" s="12" t="str">
        <x:f>IF(U1319="BLOCKED_PENDING_RECEIPT","Log source path or blocker; do not promote","Route to review lane")</x:f>
        <x:v>Log source path or blocker; do not promote</x:v>
      </x:c>
      <x:c r="Z1319" s="12" t="str">
        <x:f>IF(K1319="P0","Primary seat + Hashlight/Lucerna","Seat lane")</x:f>
        <x:v>Seat lane</x:v>
      </x:c>
      <x:c r="AA1319" s="12" t="str">
        <x:f>IF(R1319="","no_claim_delta","claim_delta_present")</x:f>
        <x:v>no_claim_delta</x:v>
      </x:c>
      <x:c r="AB1319" s="12" t="str">
        <x:f>IF(S1319="","no_contradiction_delta","contradiction_delta_present")</x:f>
        <x:v>no_contradiction_delta</x:v>
      </x:c>
      <x:c r="AC1319" s="12" t="str">
        <x:f>IF(OR(ISNUMBER(SEARCH("hacker",LOWER(F1319&amp;" "&amp;H1319&amp;" "&amp;I1319&amp;" "&amp;M1319&amp;" "&amp;N1319&amp;" "&amp;T1319))),ISNUMBER(SEARCH("hacking",LOWER(F1319&amp;" "&amp;H1319&amp;" "&amp;I1319&amp;" "&amp;M1319&amp;" "&amp;N1319&amp;" "&amp;T1319))),ISNUMBER(SEARCH("bank",LOWER(F1319&amp;" "&amp;H1319&amp;" "&amp;I1319&amp;" "&amp;M1319&amp;" "&amp;N1319&amp;" "&amp;T1319))),ISNUMBER(SEARCH("banking",LOWER(F1319&amp;" "&amp;H1319&amp;" "&amp;I1319&amp;" "&amp;M1319&amp;" "&amp;N1319&amp;" "&amp;T1319)))),"PRIVATE_QUARANTINE",IF(OR(ISNUMBER(SEARCH("treasury",LOWER(F1319&amp;" "&amp;H1319&amp;" "&amp;I1319&amp;" "&amp;M1319&amp;" "&amp;N1319&amp;" "&amp;T1319))),ISNUMBER(SEARCH("debt",LOWER(F1319&amp;" "&amp;H1319&amp;" "&amp;I1319&amp;" "&amp;M1319&amp;" "&amp;N1319&amp;" "&amp;T1319))),ISNUMBER(SEARCH("bond",LOWER(F1319&amp;" "&amp;H1319&amp;" "&amp;I1319&amp;" "&amp;M1319&amp;" "&amp;N1319&amp;" "&amp;T1319))),ISNUMBER(SEARCH("transaction",LOWER(F1319&amp;" "&amp;H1319&amp;" "&amp;I1319&amp;" "&amp;M1319&amp;" "&amp;N1319&amp;" "&amp;T1319)))),"PRIVATE_REVIEW","PUBLIC_CANDIDATE"))</x:f>
        <x:v>PUBLIC_CANDIDATE</x:v>
      </x:c>
      <x:c r="AD1319" s="12" t="str">
        <x:f>IF(AC1319="PRIVATE_QUARANTINE","hacker_or_bank_trigger",IF(AC1319="PRIVATE_REVIEW","finance_risk_trigger","none"))</x:f>
        <x:v>none</x:v>
      </x:c>
      <x:c r="AE1319" s="12" t="str">
        <x:f>IF(AC1319="PUBLIC_CANDIDATE","prepare_public_github_candidate",IF(AC1319="PRIVATE_REVIEW","hold_for_private_review","quarantine_private_do_not_publish"))</x:f>
        <x:v>prepare_public_github_candidate</x:v>
      </x:c>
      <x:c r="AF1319" s="12" t="str">
        <x:f>IF(AC1319="PUBLIC_CANDIDATE","TIDELOCK + Lucerna",IF(AC1319="PRIVATE_REVIEW","AtlasBrain + Lucerna","TIDELOCK + Lucerna + Human-root"))</x:f>
        <x:v>TIDELOCK + Lucerna</x:v>
      </x:c>
      <x:c r="AG1319" s="12" t="str">
        <x:f>IF(AND(AC1319="PUBLIC_CANDIDATE",U1319&lt;&gt;"BLOCKED_PENDING_RECEIPT"),"READY_AFTER_RECEIPT","NOT_READY")</x:f>
        <x:v>NOT_READY</x:v>
      </x:c>
      <x:c r="AH1319" s="12" t="str">
        <x:f>IF(AC1319="PUBLIC_CANDIDATE","none",AD1319)</x:f>
        <x:v>none</x:v>
      </x:c>
      <x:c r="AI1319" s="12" t="str">
        <x:f>IF(AC1319="PUBLIC_CANDIDATE","archive/public_candidates/"&amp;A1319,"private_quarantine/"&amp;A1319)</x:f>
        <x:v>archive/public_candidates/SWARM-10-H02-S10</x:v>
      </x:c>
      <x:c r="AJ1319" s="12" t="str">
        <x:f>IF(AC1319="PUBLIC_CANDIDATE","public by default; still not canon","private/hold; do not publish")</x:f>
        <x:v>public by default; still not canon</x:v>
      </x:c>
      <x:c r="AK1319" s="12" t="str">
        <x:f>IF(AE1319="prepare_public_github_candidate","add receipt/status then mirror","resolve blocker before any public GitHub action")</x:f>
        <x:v>add receipt/status then mirror</x:v>
      </x:c>
    </x:row>
    <x:row r="1320">
      <x:c r="A1320" s="15" t="str">
        <x:v>SWARM-10-H02-S11</x:v>
      </x:c>
      <x:c r="B1320" s="15" t="str">
        <x:v>GitShelf</x:v>
      </x:c>
      <x:c r="C1320" s="15" t="str">
        <x:v>GitHub shelf builder</x:v>
      </x:c>
      <x:c r="D1320" s="15" t="str">
        <x:v>Receipt Verification</x:v>
      </x:c>
      <x:c r="E1320" s="15" t="str">
        <x:v>Automation</x:v>
      </x:c>
      <x:c r="F1320" s="15" t="str">
        <x:v>Verify receipts for Automation — GitShelf</x:v>
      </x:c>
      <x:c r="G1320" s="15" t="str">
        <x:v>repo packet / manifest / issue template prep</x:v>
      </x:c>
      <x:c r="H1320" s="15" t="str">
        <x:v>source path + receipt + raw/export status + claim/edge/risk delta</x:v>
      </x:c>
      <x:c r="I1320" s="15" t="str">
        <x:v>packet/SWARM-10-H02-S11</x:v>
      </x:c>
      <x:c r="J1320" s="15" t="str">
        <x:v>TODO</x:v>
      </x:c>
      <x:c r="K1320" s="15" t="str">
        <x:v>P2</x:v>
      </x:c>
      <x:c r="L1320" s="15" t="str">
        <x:v>Done only when evidence is logged, contradiction search is noted, and boundary stamp remains non-canon unless ratified</x:v>
      </x:c>
      <x:c r="M1320" s="15" t="str">
        <x:v>candidate / staging-only / not canon / not deployed / authority none</x:v>
      </x:c>
      <x:c r="N1320" s="15" t="str">
        <x:v>Dispatch to GitShelf: complete Receipt Verification x Automation; return deltas only, receipts required.</x:v>
      </x:c>
      <x:c r="O1320" s="15" t="str">
        <x:v>AF-KG-H02-S11</x:v>
      </x:c>
      <x:c r="P1320" s="15" t="str">
        <x:v>Unverified</x:v>
      </x:c>
      <x:c r="Q1320" s="15" t="str">
        <x:v>Not checked</x:v>
      </x:c>
      <x:c r="R1320" s="15" t="str"/>
      <x:c r="S1320" s="15" t="str"/>
      <x:c r="T1320" s="15" t="str">
        <x:v>Log first source path or blocker</x:v>
      </x:c>
      <x:c r="U1320" s="12" t="str">
        <x:f>IF(OR(P1320="Unverified",Q1320="Not checked"),"BLOCKED_PENDING_RECEIPT","READY_FOR_REVIEW")</x:f>
        <x:v>BLOCKED_PENDING_RECEIPT</x:v>
      </x:c>
      <x:c r="V1320" s="12" t="str">
        <x:f>IF(J1320="DONE","RETURNED",IF(U1320="BLOCKED_PENDING_RECEIPT","SOURCE_TOUCH_REQUIRED","IN_PROGRESS"))</x:f>
        <x:v>SOURCE_TOUCH_REQUIRED</x:v>
      </x:c>
      <x:c r="W1320" s="12" t="str">
        <x:f>IF(P1320="Unverified","missing_receipt","receipt_logged")</x:f>
        <x:v>missing_receipt</x:v>
      </x:c>
      <x:c r="X1320" s="12" t="str">
        <x:f>IF(Q1320="Not checked","raw_status_missing","raw_status_logged")</x:f>
        <x:v>raw_status_missing</x:v>
      </x:c>
      <x:c r="Y1320" s="12" t="str">
        <x:f>IF(U1320="BLOCKED_PENDING_RECEIPT","Log source path or blocker; do not promote","Route to review lane")</x:f>
        <x:v>Log source path or blocker; do not promote</x:v>
      </x:c>
      <x:c r="Z1320" s="12" t="str">
        <x:f>IF(K1320="P0","Primary seat + Hashlight/Lucerna","Seat lane")</x:f>
        <x:v>Seat lane</x:v>
      </x:c>
      <x:c r="AA1320" s="12" t="str">
        <x:f>IF(R1320="","no_claim_delta","claim_delta_present")</x:f>
        <x:v>no_claim_delta</x:v>
      </x:c>
      <x:c r="AB1320" s="12" t="str">
        <x:f>IF(S1320="","no_contradiction_delta","contradiction_delta_present")</x:f>
        <x:v>no_contradiction_delta</x:v>
      </x:c>
      <x:c r="AC1320" s="12" t="str">
        <x:f>IF(OR(ISNUMBER(SEARCH("hacker",LOWER(F1320&amp;" "&amp;H1320&amp;" "&amp;I1320&amp;" "&amp;M1320&amp;" "&amp;N1320&amp;" "&amp;T1320))),ISNUMBER(SEARCH("hacking",LOWER(F1320&amp;" "&amp;H1320&amp;" "&amp;I1320&amp;" "&amp;M1320&amp;" "&amp;N1320&amp;" "&amp;T1320))),ISNUMBER(SEARCH("bank",LOWER(F1320&amp;" "&amp;H1320&amp;" "&amp;I1320&amp;" "&amp;M1320&amp;" "&amp;N1320&amp;" "&amp;T1320))),ISNUMBER(SEARCH("banking",LOWER(F1320&amp;" "&amp;H1320&amp;" "&amp;I1320&amp;" "&amp;M1320&amp;" "&amp;N1320&amp;" "&amp;T1320)))),"PRIVATE_QUARANTINE",IF(OR(ISNUMBER(SEARCH("treasury",LOWER(F1320&amp;" "&amp;H1320&amp;" "&amp;I1320&amp;" "&amp;M1320&amp;" "&amp;N1320&amp;" "&amp;T1320))),ISNUMBER(SEARCH("debt",LOWER(F1320&amp;" "&amp;H1320&amp;" "&amp;I1320&amp;" "&amp;M1320&amp;" "&amp;N1320&amp;" "&amp;T1320))),ISNUMBER(SEARCH("bond",LOWER(F1320&amp;" "&amp;H1320&amp;" "&amp;I1320&amp;" "&amp;M1320&amp;" "&amp;N1320&amp;" "&amp;T1320))),ISNUMBER(SEARCH("transaction",LOWER(F1320&amp;" "&amp;H1320&amp;" "&amp;I1320&amp;" "&amp;M1320&amp;" "&amp;N1320&amp;" "&amp;T1320)))),"PRIVATE_REVIEW","PUBLIC_CANDIDATE"))</x:f>
        <x:v>PUBLIC_CANDIDATE</x:v>
      </x:c>
      <x:c r="AD1320" s="12" t="str">
        <x:f>IF(AC1320="PRIVATE_QUARANTINE","hacker_or_bank_trigger",IF(AC1320="PRIVATE_REVIEW","finance_risk_trigger","none"))</x:f>
        <x:v>none</x:v>
      </x:c>
      <x:c r="AE1320" s="12" t="str">
        <x:f>IF(AC1320="PUBLIC_CANDIDATE","prepare_public_github_candidate",IF(AC1320="PRIVATE_REVIEW","hold_for_private_review","quarantine_private_do_not_publish"))</x:f>
        <x:v>prepare_public_github_candidate</x:v>
      </x:c>
      <x:c r="AF1320" s="12" t="str">
        <x:f>IF(AC1320="PUBLIC_CANDIDATE","TIDELOCK + Lucerna",IF(AC1320="PRIVATE_REVIEW","AtlasBrain + Lucerna","TIDELOCK + Lucerna + Human-root"))</x:f>
        <x:v>TIDELOCK + Lucerna</x:v>
      </x:c>
      <x:c r="AG1320" s="12" t="str">
        <x:f>IF(AND(AC1320="PUBLIC_CANDIDATE",U1320&lt;&gt;"BLOCKED_PENDING_RECEIPT"),"READY_AFTER_RECEIPT","NOT_READY")</x:f>
        <x:v>NOT_READY</x:v>
      </x:c>
      <x:c r="AH1320" s="12" t="str">
        <x:f>IF(AC1320="PUBLIC_CANDIDATE","none",AD1320)</x:f>
        <x:v>none</x:v>
      </x:c>
      <x:c r="AI1320" s="12" t="str">
        <x:f>IF(AC1320="PUBLIC_CANDIDATE","archive/public_candidates/"&amp;A1320,"private_quarantine/"&amp;A1320)</x:f>
        <x:v>archive/public_candidates/SWARM-10-H02-S11</x:v>
      </x:c>
      <x:c r="AJ1320" s="12" t="str">
        <x:f>IF(AC1320="PUBLIC_CANDIDATE","public by default; still not canon","private/hold; do not publish")</x:f>
        <x:v>public by default; still not canon</x:v>
      </x:c>
      <x:c r="AK1320" s="12" t="str">
        <x:f>IF(AE1320="prepare_public_github_candidate","add receipt/status then mirror","resolve blocker before any public GitHub action")</x:f>
        <x:v>add receipt/status then mirror</x:v>
      </x:c>
    </x:row>
    <x:row r="1321">
      <x:c r="A1321" s="15" t="str">
        <x:v>SWARM-10-H02-S12</x:v>
      </x:c>
      <x:c r="B1321" s="15" t="str">
        <x:v>GitShelf</x:v>
      </x:c>
      <x:c r="C1321" s="15" t="str">
        <x:v>GitHub shelf builder</x:v>
      </x:c>
      <x:c r="D1321" s="15" t="str">
        <x:v>Receipt Verification</x:v>
      </x:c>
      <x:c r="E1321" s="15" t="str">
        <x:v>Risk / Safety</x:v>
      </x:c>
      <x:c r="F1321" s="15" t="str">
        <x:v>Verify receipts for Risk / Safety — GitShelf</x:v>
      </x:c>
      <x:c r="G1321" s="15" t="str">
        <x:v>repo packet / manifest / issue template prep</x:v>
      </x:c>
      <x:c r="H1321" s="15" t="str">
        <x:v>source path + receipt + raw/export status + claim/edge/risk delta</x:v>
      </x:c>
      <x:c r="I1321" s="15" t="str">
        <x:v>packet/SWARM-10-H02-S12</x:v>
      </x:c>
      <x:c r="J1321" s="15" t="str">
        <x:v>TODO</x:v>
      </x:c>
      <x:c r="K1321" s="15" t="str">
        <x:v>P2</x:v>
      </x:c>
      <x:c r="L1321" s="15" t="str">
        <x:v>Done only when evidence is logged, contradiction search is noted, and boundary stamp remains non-canon unless ratified</x:v>
      </x:c>
      <x:c r="M1321" s="15" t="str">
        <x:v>candidate / staging-only / not canon / not deployed / authority none</x:v>
      </x:c>
      <x:c r="N1321" s="15" t="str">
        <x:v>Dispatch to GitShelf: complete Receipt Verification x Risk / Safety; return deltas only, receipts required.</x:v>
      </x:c>
      <x:c r="O1321" s="15" t="str">
        <x:v>AF-KG-H02-S12</x:v>
      </x:c>
      <x:c r="P1321" s="15" t="str">
        <x:v>Unverified</x:v>
      </x:c>
      <x:c r="Q1321" s="15" t="str">
        <x:v>Not checked</x:v>
      </x:c>
      <x:c r="R1321" s="15" t="str"/>
      <x:c r="S1321" s="15" t="str"/>
      <x:c r="T1321" s="15" t="str">
        <x:v>Log first source path or blocker</x:v>
      </x:c>
      <x:c r="U1321" s="12" t="str">
        <x:f>IF(OR(P1321="Unverified",Q1321="Not checked"),"BLOCKED_PENDING_RECEIPT","READY_FOR_REVIEW")</x:f>
        <x:v>BLOCKED_PENDING_RECEIPT</x:v>
      </x:c>
      <x:c r="V1321" s="12" t="str">
        <x:f>IF(J1321="DONE","RETURNED",IF(U1321="BLOCKED_PENDING_RECEIPT","SOURCE_TOUCH_REQUIRED","IN_PROGRESS"))</x:f>
        <x:v>SOURCE_TOUCH_REQUIRED</x:v>
      </x:c>
      <x:c r="W1321" s="12" t="str">
        <x:f>IF(P1321="Unverified","missing_receipt","receipt_logged")</x:f>
        <x:v>missing_receipt</x:v>
      </x:c>
      <x:c r="X1321" s="12" t="str">
        <x:f>IF(Q1321="Not checked","raw_status_missing","raw_status_logged")</x:f>
        <x:v>raw_status_missing</x:v>
      </x:c>
      <x:c r="Y1321" s="12" t="str">
        <x:f>IF(U1321="BLOCKED_PENDING_RECEIPT","Log source path or blocker; do not promote","Route to review lane")</x:f>
        <x:v>Log source path or blocker; do not promote</x:v>
      </x:c>
      <x:c r="Z1321" s="12" t="str">
        <x:f>IF(K1321="P0","Primary seat + Hashlight/Lucerna","Seat lane")</x:f>
        <x:v>Seat lane</x:v>
      </x:c>
      <x:c r="AA1321" s="12" t="str">
        <x:f>IF(R1321="","no_claim_delta","claim_delta_present")</x:f>
        <x:v>no_claim_delta</x:v>
      </x:c>
      <x:c r="AB1321" s="12" t="str">
        <x:f>IF(S1321="","no_contradiction_delta","contradiction_delta_present")</x:f>
        <x:v>no_contradiction_delta</x:v>
      </x:c>
      <x:c r="AC1321" s="12" t="str">
        <x:f>IF(OR(ISNUMBER(SEARCH("hacker",LOWER(F1321&amp;" "&amp;H1321&amp;" "&amp;I1321&amp;" "&amp;M1321&amp;" "&amp;N1321&amp;" "&amp;T1321))),ISNUMBER(SEARCH("hacking",LOWER(F1321&amp;" "&amp;H1321&amp;" "&amp;I1321&amp;" "&amp;M1321&amp;" "&amp;N1321&amp;" "&amp;T1321))),ISNUMBER(SEARCH("bank",LOWER(F1321&amp;" "&amp;H1321&amp;" "&amp;I1321&amp;" "&amp;M1321&amp;" "&amp;N1321&amp;" "&amp;T1321))),ISNUMBER(SEARCH("banking",LOWER(F1321&amp;" "&amp;H1321&amp;" "&amp;I1321&amp;" "&amp;M1321&amp;" "&amp;N1321&amp;" "&amp;T1321)))),"PRIVATE_QUARANTINE",IF(OR(ISNUMBER(SEARCH("treasury",LOWER(F1321&amp;" "&amp;H1321&amp;" "&amp;I1321&amp;" "&amp;M1321&amp;" "&amp;N1321&amp;" "&amp;T1321))),ISNUMBER(SEARCH("debt",LOWER(F1321&amp;" "&amp;H1321&amp;" "&amp;I1321&amp;" "&amp;M1321&amp;" "&amp;N1321&amp;" "&amp;T1321))),ISNUMBER(SEARCH("bond",LOWER(F1321&amp;" "&amp;H1321&amp;" "&amp;I1321&amp;" "&amp;M1321&amp;" "&amp;N1321&amp;" "&amp;T1321))),ISNUMBER(SEARCH("transaction",LOWER(F1321&amp;" "&amp;H1321&amp;" "&amp;I1321&amp;" "&amp;M1321&amp;" "&amp;N1321&amp;" "&amp;T1321)))),"PRIVATE_REVIEW","PUBLIC_CANDIDATE"))</x:f>
        <x:v>PUBLIC_CANDIDATE</x:v>
      </x:c>
      <x:c r="AD1321" s="12" t="str">
        <x:f>IF(AC1321="PRIVATE_QUARANTINE","hacker_or_bank_trigger",IF(AC1321="PRIVATE_REVIEW","finance_risk_trigger","none"))</x:f>
        <x:v>none</x:v>
      </x:c>
      <x:c r="AE1321" s="12" t="str">
        <x:f>IF(AC1321="PUBLIC_CANDIDATE","prepare_public_github_candidate",IF(AC1321="PRIVATE_REVIEW","hold_for_private_review","quarantine_private_do_not_publish"))</x:f>
        <x:v>prepare_public_github_candidate</x:v>
      </x:c>
      <x:c r="AF1321" s="12" t="str">
        <x:f>IF(AC1321="PUBLIC_CANDIDATE","TIDELOCK + Lucerna",IF(AC1321="PRIVATE_REVIEW","AtlasBrain + Lucerna","TIDELOCK + Lucerna + Human-root"))</x:f>
        <x:v>TIDELOCK + Lucerna</x:v>
      </x:c>
      <x:c r="AG1321" s="12" t="str">
        <x:f>IF(AND(AC1321="PUBLIC_CANDIDATE",U1321&lt;&gt;"BLOCKED_PENDING_RECEIPT"),"READY_AFTER_RECEIPT","NOT_READY")</x:f>
        <x:v>NOT_READY</x:v>
      </x:c>
      <x:c r="AH1321" s="12" t="str">
        <x:f>IF(AC1321="PUBLIC_CANDIDATE","none",AD1321)</x:f>
        <x:v>none</x:v>
      </x:c>
      <x:c r="AI1321" s="12" t="str">
        <x:f>IF(AC1321="PUBLIC_CANDIDATE","archive/public_candidates/"&amp;A1321,"private_quarantine/"&amp;A1321)</x:f>
        <x:v>archive/public_candidates/SWARM-10-H02-S12</x:v>
      </x:c>
      <x:c r="AJ1321" s="12" t="str">
        <x:f>IF(AC1321="PUBLIC_CANDIDATE","public by default; still not canon","private/hold; do not publish")</x:f>
        <x:v>public by default; still not canon</x:v>
      </x:c>
      <x:c r="AK1321" s="12" t="str">
        <x:f>IF(AE1321="prepare_public_github_candidate","add receipt/status then mirror","resolve blocker before any public GitHub action")</x:f>
        <x:v>add receipt/status then mirror</x:v>
      </x:c>
    </x:row>
    <x:row r="1322">
      <x:c r="A1322" s="15" t="str">
        <x:v>SWARM-10-H03-S01</x:v>
      </x:c>
      <x:c r="B1322" s="15" t="str">
        <x:v>GitShelf</x:v>
      </x:c>
      <x:c r="C1322" s="15" t="str">
        <x:v>GitHub shelf builder</x:v>
      </x:c>
      <x:c r="D1322" s="15" t="str">
        <x:v>Raw Export Recovery</x:v>
      </x:c>
      <x:c r="E1322" s="15" t="str">
        <x:v>Notion</x:v>
      </x:c>
      <x:c r="F1322" s="15" t="str">
        <x:v>Recover raw exports for Notion — GitShelf</x:v>
      </x:c>
      <x:c r="G1322" s="15" t="str">
        <x:v>repo packet / manifest / issue template prep</x:v>
      </x:c>
      <x:c r="H1322" s="15" t="str">
        <x:v>source path + receipt + raw/export status + claim/edge/risk delta</x:v>
      </x:c>
      <x:c r="I1322" s="15" t="str">
        <x:v>packet/SWARM-10-H03-S01</x:v>
      </x:c>
      <x:c r="J1322" s="15" t="str">
        <x:v>TODO</x:v>
      </x:c>
      <x:c r="K1322" s="15" t="str">
        <x:v>P0</x:v>
      </x:c>
      <x:c r="L1322" s="15" t="str">
        <x:v>Done only when evidence is logged, contradiction search is noted, and boundary stamp remains non-canon unless ratified</x:v>
      </x:c>
      <x:c r="M1322" s="15" t="str">
        <x:v>candidate / staging-only / not canon / not deployed / authority none</x:v>
      </x:c>
      <x:c r="N1322" s="15" t="str">
        <x:v>Dispatch to GitShelf: complete Raw Export Recovery x Notion; return deltas only, receipts required.</x:v>
      </x:c>
      <x:c r="O1322" s="15" t="str">
        <x:v>AF-KG-H03-S01</x:v>
      </x:c>
      <x:c r="P1322" s="15" t="str">
        <x:v>Unverified</x:v>
      </x:c>
      <x:c r="Q1322" s="15" t="str">
        <x:v>Not checked</x:v>
      </x:c>
      <x:c r="R1322" s="15" t="str"/>
      <x:c r="S1322" s="15" t="str"/>
      <x:c r="T1322" s="15" t="str">
        <x:v>Log first source path or blocker</x:v>
      </x:c>
      <x:c r="U1322" s="12" t="str">
        <x:f>IF(OR(P1322="Unverified",Q1322="Not checked"),"BLOCKED_PENDING_RECEIPT","READY_FOR_REVIEW")</x:f>
        <x:v>BLOCKED_PENDING_RECEIPT</x:v>
      </x:c>
      <x:c r="V1322" s="12" t="str">
        <x:f>IF(J1322="DONE","RETURNED",IF(U1322="BLOCKED_PENDING_RECEIPT","SOURCE_TOUCH_REQUIRED","IN_PROGRESS"))</x:f>
        <x:v>SOURCE_TOUCH_REQUIRED</x:v>
      </x:c>
      <x:c r="W1322" s="12" t="str">
        <x:f>IF(P1322="Unverified","missing_receipt","receipt_logged")</x:f>
        <x:v>missing_receipt</x:v>
      </x:c>
      <x:c r="X1322" s="12" t="str">
        <x:f>IF(Q1322="Not checked","raw_status_missing","raw_status_logged")</x:f>
        <x:v>raw_status_missing</x:v>
      </x:c>
      <x:c r="Y1322" s="12" t="str">
        <x:f>IF(U1322="BLOCKED_PENDING_RECEIPT","Log source path or blocker; do not promote","Route to review lane")</x:f>
        <x:v>Log source path or blocker; do not promote</x:v>
      </x:c>
      <x:c r="Z1322" s="12" t="str">
        <x:f>IF(K1322="P0","Primary seat + Hashlight/Lucerna","Seat lane")</x:f>
        <x:v>Primary seat + Hashlight/Lucerna</x:v>
      </x:c>
      <x:c r="AA1322" s="12" t="str">
        <x:f>IF(R1322="","no_claim_delta","claim_delta_present")</x:f>
        <x:v>no_claim_delta</x:v>
      </x:c>
      <x:c r="AB1322" s="12" t="str">
        <x:f>IF(S1322="","no_contradiction_delta","contradiction_delta_present")</x:f>
        <x:v>no_contradiction_delta</x:v>
      </x:c>
      <x:c r="AC1322" s="12" t="str">
        <x:f>IF(OR(ISNUMBER(SEARCH("hacker",LOWER(F1322&amp;" "&amp;H1322&amp;" "&amp;I1322&amp;" "&amp;M1322&amp;" "&amp;N1322&amp;" "&amp;T1322))),ISNUMBER(SEARCH("hacking",LOWER(F1322&amp;" "&amp;H1322&amp;" "&amp;I1322&amp;" "&amp;M1322&amp;" "&amp;N1322&amp;" "&amp;T1322))),ISNUMBER(SEARCH("bank",LOWER(F1322&amp;" "&amp;H1322&amp;" "&amp;I1322&amp;" "&amp;M1322&amp;" "&amp;N1322&amp;" "&amp;T1322))),ISNUMBER(SEARCH("banking",LOWER(F1322&amp;" "&amp;H1322&amp;" "&amp;I1322&amp;" "&amp;M1322&amp;" "&amp;N1322&amp;" "&amp;T1322)))),"PRIVATE_QUARANTINE",IF(OR(ISNUMBER(SEARCH("treasury",LOWER(F1322&amp;" "&amp;H1322&amp;" "&amp;I1322&amp;" "&amp;M1322&amp;" "&amp;N1322&amp;" "&amp;T1322))),ISNUMBER(SEARCH("debt",LOWER(F1322&amp;" "&amp;H1322&amp;" "&amp;I1322&amp;" "&amp;M1322&amp;" "&amp;N1322&amp;" "&amp;T1322))),ISNUMBER(SEARCH("bond",LOWER(F1322&amp;" "&amp;H1322&amp;" "&amp;I1322&amp;" "&amp;M1322&amp;" "&amp;N1322&amp;" "&amp;T1322))),ISNUMBER(SEARCH("transaction",LOWER(F1322&amp;" "&amp;H1322&amp;" "&amp;I1322&amp;" "&amp;M1322&amp;" "&amp;N1322&amp;" "&amp;T1322)))),"PRIVATE_REVIEW","PUBLIC_CANDIDATE"))</x:f>
        <x:v>PUBLIC_CANDIDATE</x:v>
      </x:c>
      <x:c r="AD1322" s="12" t="str">
        <x:f>IF(AC1322="PRIVATE_QUARANTINE","hacker_or_bank_trigger",IF(AC1322="PRIVATE_REVIEW","finance_risk_trigger","none"))</x:f>
        <x:v>none</x:v>
      </x:c>
      <x:c r="AE1322" s="12" t="str">
        <x:f>IF(AC1322="PUBLIC_CANDIDATE","prepare_public_github_candidate",IF(AC1322="PRIVATE_REVIEW","hold_for_private_review","quarantine_private_do_not_publish"))</x:f>
        <x:v>prepare_public_github_candidate</x:v>
      </x:c>
      <x:c r="AF1322" s="12" t="str">
        <x:f>IF(AC1322="PUBLIC_CANDIDATE","TIDELOCK + Lucerna",IF(AC1322="PRIVATE_REVIEW","AtlasBrain + Lucerna","TIDELOCK + Lucerna + Human-root"))</x:f>
        <x:v>TIDELOCK + Lucerna</x:v>
      </x:c>
      <x:c r="AG1322" s="12" t="str">
        <x:f>IF(AND(AC1322="PUBLIC_CANDIDATE",U1322&lt;&gt;"BLOCKED_PENDING_RECEIPT"),"READY_AFTER_RECEIPT","NOT_READY")</x:f>
        <x:v>NOT_READY</x:v>
      </x:c>
      <x:c r="AH1322" s="12" t="str">
        <x:f>IF(AC1322="PUBLIC_CANDIDATE","none",AD1322)</x:f>
        <x:v>none</x:v>
      </x:c>
      <x:c r="AI1322" s="12" t="str">
        <x:f>IF(AC1322="PUBLIC_CANDIDATE","archive/public_candidates/"&amp;A1322,"private_quarantine/"&amp;A1322)</x:f>
        <x:v>archive/public_candidates/SWARM-10-H03-S01</x:v>
      </x:c>
      <x:c r="AJ1322" s="12" t="str">
        <x:f>IF(AC1322="PUBLIC_CANDIDATE","public by default; still not canon","private/hold; do not publish")</x:f>
        <x:v>public by default; still not canon</x:v>
      </x:c>
      <x:c r="AK1322" s="12" t="str">
        <x:f>IF(AE1322="prepare_public_github_candidate","add receipt/status then mirror","resolve blocker before any public GitHub action")</x:f>
        <x:v>add receipt/status then mirror</x:v>
      </x:c>
    </x:row>
    <x:row r="1323">
      <x:c r="A1323" s="15" t="str">
        <x:v>SWARM-10-H03-S02</x:v>
      </x:c>
      <x:c r="B1323" s="15" t="str">
        <x:v>GitShelf</x:v>
      </x:c>
      <x:c r="C1323" s="15" t="str">
        <x:v>GitHub shelf builder</x:v>
      </x:c>
      <x:c r="D1323" s="15" t="str">
        <x:v>Raw Export Recovery</x:v>
      </x:c>
      <x:c r="E1323" s="15" t="str">
        <x:v>Drive</x:v>
      </x:c>
      <x:c r="F1323" s="15" t="str">
        <x:v>Recover raw exports for Drive — GitShelf</x:v>
      </x:c>
      <x:c r="G1323" s="15" t="str">
        <x:v>repo packet / manifest / issue template prep</x:v>
      </x:c>
      <x:c r="H1323" s="15" t="str">
        <x:v>source path + receipt + raw/export status + claim/edge/risk delta</x:v>
      </x:c>
      <x:c r="I1323" s="15" t="str">
        <x:v>packet/SWARM-10-H03-S02</x:v>
      </x:c>
      <x:c r="J1323" s="15" t="str">
        <x:v>TODO</x:v>
      </x:c>
      <x:c r="K1323" s="15" t="str">
        <x:v>P0</x:v>
      </x:c>
      <x:c r="L1323" s="15" t="str">
        <x:v>Done only when evidence is logged, contradiction search is noted, and boundary stamp remains non-canon unless ratified</x:v>
      </x:c>
      <x:c r="M1323" s="15" t="str">
        <x:v>candidate / staging-only / not canon / not deployed / authority none</x:v>
      </x:c>
      <x:c r="N1323" s="15" t="str">
        <x:v>Dispatch to GitShelf: complete Raw Export Recovery x Drive; return deltas only, receipts required.</x:v>
      </x:c>
      <x:c r="O1323" s="15" t="str">
        <x:v>AF-KG-H03-S02</x:v>
      </x:c>
      <x:c r="P1323" s="15" t="str">
        <x:v>Unverified</x:v>
      </x:c>
      <x:c r="Q1323" s="15" t="str">
        <x:v>Not checked</x:v>
      </x:c>
      <x:c r="R1323" s="15" t="str"/>
      <x:c r="S1323" s="15" t="str"/>
      <x:c r="T1323" s="15" t="str">
        <x:v>Log first source path or blocker</x:v>
      </x:c>
      <x:c r="U1323" s="12" t="str">
        <x:f>IF(OR(P1323="Unverified",Q1323="Not checked"),"BLOCKED_PENDING_RECEIPT","READY_FOR_REVIEW")</x:f>
        <x:v>BLOCKED_PENDING_RECEIPT</x:v>
      </x:c>
      <x:c r="V1323" s="12" t="str">
        <x:f>IF(J1323="DONE","RETURNED",IF(U1323="BLOCKED_PENDING_RECEIPT","SOURCE_TOUCH_REQUIRED","IN_PROGRESS"))</x:f>
        <x:v>SOURCE_TOUCH_REQUIRED</x:v>
      </x:c>
      <x:c r="W1323" s="12" t="str">
        <x:f>IF(P1323="Unverified","missing_receipt","receipt_logged")</x:f>
        <x:v>missing_receipt</x:v>
      </x:c>
      <x:c r="X1323" s="12" t="str">
        <x:f>IF(Q1323="Not checked","raw_status_missing","raw_status_logged")</x:f>
        <x:v>raw_status_missing</x:v>
      </x:c>
      <x:c r="Y1323" s="12" t="str">
        <x:f>IF(U1323="BLOCKED_PENDING_RECEIPT","Log source path or blocker; do not promote","Route to review lane")</x:f>
        <x:v>Log source path or blocker; do not promote</x:v>
      </x:c>
      <x:c r="Z1323" s="12" t="str">
        <x:f>IF(K1323="P0","Primary seat + Hashlight/Lucerna","Seat lane")</x:f>
        <x:v>Primary seat + Hashlight/Lucerna</x:v>
      </x:c>
      <x:c r="AA1323" s="12" t="str">
        <x:f>IF(R1323="","no_claim_delta","claim_delta_present")</x:f>
        <x:v>no_claim_delta</x:v>
      </x:c>
      <x:c r="AB1323" s="12" t="str">
        <x:f>IF(S1323="","no_contradiction_delta","contradiction_delta_present")</x:f>
        <x:v>no_contradiction_delta</x:v>
      </x:c>
      <x:c r="AC1323" s="12" t="str">
        <x:f>IF(OR(ISNUMBER(SEARCH("hacker",LOWER(F1323&amp;" "&amp;H1323&amp;" "&amp;I1323&amp;" "&amp;M1323&amp;" "&amp;N1323&amp;" "&amp;T1323))),ISNUMBER(SEARCH("hacking",LOWER(F1323&amp;" "&amp;H1323&amp;" "&amp;I1323&amp;" "&amp;M1323&amp;" "&amp;N1323&amp;" "&amp;T1323))),ISNUMBER(SEARCH("bank",LOWER(F1323&amp;" "&amp;H1323&amp;" "&amp;I1323&amp;" "&amp;M1323&amp;" "&amp;N1323&amp;" "&amp;T1323))),ISNUMBER(SEARCH("banking",LOWER(F1323&amp;" "&amp;H1323&amp;" "&amp;I1323&amp;" "&amp;M1323&amp;" "&amp;N1323&amp;" "&amp;T1323)))),"PRIVATE_QUARANTINE",IF(OR(ISNUMBER(SEARCH("treasury",LOWER(F1323&amp;" "&amp;H1323&amp;" "&amp;I1323&amp;" "&amp;M1323&amp;" "&amp;N1323&amp;" "&amp;T1323))),ISNUMBER(SEARCH("debt",LOWER(F1323&amp;" "&amp;H1323&amp;" "&amp;I1323&amp;" "&amp;M1323&amp;" "&amp;N1323&amp;" "&amp;T1323))),ISNUMBER(SEARCH("bond",LOWER(F1323&amp;" "&amp;H1323&amp;" "&amp;I1323&amp;" "&amp;M1323&amp;" "&amp;N1323&amp;" "&amp;T1323))),ISNUMBER(SEARCH("transaction",LOWER(F1323&amp;" "&amp;H1323&amp;" "&amp;I1323&amp;" "&amp;M1323&amp;" "&amp;N1323&amp;" "&amp;T1323)))),"PRIVATE_REVIEW","PUBLIC_CANDIDATE"))</x:f>
        <x:v>PUBLIC_CANDIDATE</x:v>
      </x:c>
      <x:c r="AD1323" s="12" t="str">
        <x:f>IF(AC1323="PRIVATE_QUARANTINE","hacker_or_bank_trigger",IF(AC1323="PRIVATE_REVIEW","finance_risk_trigger","none"))</x:f>
        <x:v>none</x:v>
      </x:c>
      <x:c r="AE1323" s="12" t="str">
        <x:f>IF(AC1323="PUBLIC_CANDIDATE","prepare_public_github_candidate",IF(AC1323="PRIVATE_REVIEW","hold_for_private_review","quarantine_private_do_not_publish"))</x:f>
        <x:v>prepare_public_github_candidate</x:v>
      </x:c>
      <x:c r="AF1323" s="12" t="str">
        <x:f>IF(AC1323="PUBLIC_CANDIDATE","TIDELOCK + Lucerna",IF(AC1323="PRIVATE_REVIEW","AtlasBrain + Lucerna","TIDELOCK + Lucerna + Human-root"))</x:f>
        <x:v>TIDELOCK + Lucerna</x:v>
      </x:c>
      <x:c r="AG1323" s="12" t="str">
        <x:f>IF(AND(AC1323="PUBLIC_CANDIDATE",U1323&lt;&gt;"BLOCKED_PENDING_RECEIPT"),"READY_AFTER_RECEIPT","NOT_READY")</x:f>
        <x:v>NOT_READY</x:v>
      </x:c>
      <x:c r="AH1323" s="12" t="str">
        <x:f>IF(AC1323="PUBLIC_CANDIDATE","none",AD1323)</x:f>
        <x:v>none</x:v>
      </x:c>
      <x:c r="AI1323" s="12" t="str">
        <x:f>IF(AC1323="PUBLIC_CANDIDATE","archive/public_candidates/"&amp;A1323,"private_quarantine/"&amp;A1323)</x:f>
        <x:v>archive/public_candidates/SWARM-10-H03-S02</x:v>
      </x:c>
      <x:c r="AJ1323" s="12" t="str">
        <x:f>IF(AC1323="PUBLIC_CANDIDATE","public by default; still not canon","private/hold; do not publish")</x:f>
        <x:v>public by default; still not canon</x:v>
      </x:c>
      <x:c r="AK1323" s="12" t="str">
        <x:f>IF(AE1323="prepare_public_github_candidate","add receipt/status then mirror","resolve blocker before any public GitHub action")</x:f>
        <x:v>add receipt/status then mirror</x:v>
      </x:c>
    </x:row>
    <x:row r="1324">
      <x:c r="A1324" s="15" t="str">
        <x:v>SWARM-10-H03-S03</x:v>
      </x:c>
      <x:c r="B1324" s="15" t="str">
        <x:v>GitShelf</x:v>
      </x:c>
      <x:c r="C1324" s="15" t="str">
        <x:v>GitHub shelf builder</x:v>
      </x:c>
      <x:c r="D1324" s="15" t="str">
        <x:v>Raw Export Recovery</x:v>
      </x:c>
      <x:c r="E1324" s="15" t="str">
        <x:v>GitHub</x:v>
      </x:c>
      <x:c r="F1324" s="15" t="str">
        <x:v>Recover raw exports for GitHub — GitShelf</x:v>
      </x:c>
      <x:c r="G1324" s="15" t="str">
        <x:v>repo packet / manifest / issue template prep</x:v>
      </x:c>
      <x:c r="H1324" s="15" t="str">
        <x:v>source path + receipt + raw/export status + claim/edge/risk delta</x:v>
      </x:c>
      <x:c r="I1324" s="15" t="str">
        <x:v>packet/SWARM-10-H03-S03</x:v>
      </x:c>
      <x:c r="J1324" s="15" t="str">
        <x:v>TODO</x:v>
      </x:c>
      <x:c r="K1324" s="15" t="str">
        <x:v>P0</x:v>
      </x:c>
      <x:c r="L1324" s="15" t="str">
        <x:v>Done only when evidence is logged, contradiction search is noted, and boundary stamp remains non-canon unless ratified</x:v>
      </x:c>
      <x:c r="M1324" s="15" t="str">
        <x:v>candidate / staging-only / not canon / not deployed / authority none</x:v>
      </x:c>
      <x:c r="N1324" s="15" t="str">
        <x:v>Dispatch to GitShelf: complete Raw Export Recovery x GitHub; return deltas only, receipts required.</x:v>
      </x:c>
      <x:c r="O1324" s="15" t="str">
        <x:v>AF-KG-H03-S03</x:v>
      </x:c>
      <x:c r="P1324" s="15" t="str">
        <x:v>Unverified</x:v>
      </x:c>
      <x:c r="Q1324" s="15" t="str">
        <x:v>Not checked</x:v>
      </x:c>
      <x:c r="R1324" s="15" t="str"/>
      <x:c r="S1324" s="15" t="str"/>
      <x:c r="T1324" s="15" t="str">
        <x:v>Log first source path or blocker</x:v>
      </x:c>
      <x:c r="U1324" s="12" t="str">
        <x:f>IF(OR(P1324="Unverified",Q1324="Not checked"),"BLOCKED_PENDING_RECEIPT","READY_FOR_REVIEW")</x:f>
        <x:v>BLOCKED_PENDING_RECEIPT</x:v>
      </x:c>
      <x:c r="V1324" s="12" t="str">
        <x:f>IF(J1324="DONE","RETURNED",IF(U1324="BLOCKED_PENDING_RECEIPT","SOURCE_TOUCH_REQUIRED","IN_PROGRESS"))</x:f>
        <x:v>SOURCE_TOUCH_REQUIRED</x:v>
      </x:c>
      <x:c r="W1324" s="12" t="str">
        <x:f>IF(P1324="Unverified","missing_receipt","receipt_logged")</x:f>
        <x:v>missing_receipt</x:v>
      </x:c>
      <x:c r="X1324" s="12" t="str">
        <x:f>IF(Q1324="Not checked","raw_status_missing","raw_status_logged")</x:f>
        <x:v>raw_status_missing</x:v>
      </x:c>
      <x:c r="Y1324" s="12" t="str">
        <x:f>IF(U1324="BLOCKED_PENDING_RECEIPT","Log source path or blocker; do not promote","Route to review lane")</x:f>
        <x:v>Log source path or blocker; do not promote</x:v>
      </x:c>
      <x:c r="Z1324" s="12" t="str">
        <x:f>IF(K1324="P0","Primary seat + Hashlight/Lucerna","Seat lane")</x:f>
        <x:v>Primary seat + Hashlight/Lucerna</x:v>
      </x:c>
      <x:c r="AA1324" s="12" t="str">
        <x:f>IF(R1324="","no_claim_delta","claim_delta_present")</x:f>
        <x:v>no_claim_delta</x:v>
      </x:c>
      <x:c r="AB1324" s="12" t="str">
        <x:f>IF(S1324="","no_contradiction_delta","contradiction_delta_present")</x:f>
        <x:v>no_contradiction_delta</x:v>
      </x:c>
      <x:c r="AC1324" s="12" t="str">
        <x:f>IF(OR(ISNUMBER(SEARCH("hacker",LOWER(F1324&amp;" "&amp;H1324&amp;" "&amp;I1324&amp;" "&amp;M1324&amp;" "&amp;N1324&amp;" "&amp;T1324))),ISNUMBER(SEARCH("hacking",LOWER(F1324&amp;" "&amp;H1324&amp;" "&amp;I1324&amp;" "&amp;M1324&amp;" "&amp;N1324&amp;" "&amp;T1324))),ISNUMBER(SEARCH("bank",LOWER(F1324&amp;" "&amp;H1324&amp;" "&amp;I1324&amp;" "&amp;M1324&amp;" "&amp;N1324&amp;" "&amp;T1324))),ISNUMBER(SEARCH("banking",LOWER(F1324&amp;" "&amp;H1324&amp;" "&amp;I1324&amp;" "&amp;M1324&amp;" "&amp;N1324&amp;" "&amp;T1324)))),"PRIVATE_QUARANTINE",IF(OR(ISNUMBER(SEARCH("treasury",LOWER(F1324&amp;" "&amp;H1324&amp;" "&amp;I1324&amp;" "&amp;M1324&amp;" "&amp;N1324&amp;" "&amp;T1324))),ISNUMBER(SEARCH("debt",LOWER(F1324&amp;" "&amp;H1324&amp;" "&amp;I1324&amp;" "&amp;M1324&amp;" "&amp;N1324&amp;" "&amp;T1324))),ISNUMBER(SEARCH("bond",LOWER(F1324&amp;" "&amp;H1324&amp;" "&amp;I1324&amp;" "&amp;M1324&amp;" "&amp;N1324&amp;" "&amp;T1324))),ISNUMBER(SEARCH("transaction",LOWER(F1324&amp;" "&amp;H1324&amp;" "&amp;I1324&amp;" "&amp;M1324&amp;" "&amp;N1324&amp;" "&amp;T1324)))),"PRIVATE_REVIEW","PUBLIC_CANDIDATE"))</x:f>
        <x:v>PUBLIC_CANDIDATE</x:v>
      </x:c>
      <x:c r="AD1324" s="12" t="str">
        <x:f>IF(AC1324="PRIVATE_QUARANTINE","hacker_or_bank_trigger",IF(AC1324="PRIVATE_REVIEW","finance_risk_trigger","none"))</x:f>
        <x:v>none</x:v>
      </x:c>
      <x:c r="AE1324" s="12" t="str">
        <x:f>IF(AC1324="PUBLIC_CANDIDATE","prepare_public_github_candidate",IF(AC1324="PRIVATE_REVIEW","hold_for_private_review","quarantine_private_do_not_publish"))</x:f>
        <x:v>prepare_public_github_candidate</x:v>
      </x:c>
      <x:c r="AF1324" s="12" t="str">
        <x:f>IF(AC1324="PUBLIC_CANDIDATE","TIDELOCK + Lucerna",IF(AC1324="PRIVATE_REVIEW","AtlasBrain + Lucerna","TIDELOCK + Lucerna + Human-root"))</x:f>
        <x:v>TIDELOCK + Lucerna</x:v>
      </x:c>
      <x:c r="AG1324" s="12" t="str">
        <x:f>IF(AND(AC1324="PUBLIC_CANDIDATE",U1324&lt;&gt;"BLOCKED_PENDING_RECEIPT"),"READY_AFTER_RECEIPT","NOT_READY")</x:f>
        <x:v>NOT_READY</x:v>
      </x:c>
      <x:c r="AH1324" s="12" t="str">
        <x:f>IF(AC1324="PUBLIC_CANDIDATE","none",AD1324)</x:f>
        <x:v>none</x:v>
      </x:c>
      <x:c r="AI1324" s="12" t="str">
        <x:f>IF(AC1324="PUBLIC_CANDIDATE","archive/public_candidates/"&amp;A1324,"private_quarantine/"&amp;A1324)</x:f>
        <x:v>archive/public_candidates/SWARM-10-H03-S03</x:v>
      </x:c>
      <x:c r="AJ1324" s="12" t="str">
        <x:f>IF(AC1324="PUBLIC_CANDIDATE","public by default; still not canon","private/hold; do not publish")</x:f>
        <x:v>public by default; still not canon</x:v>
      </x:c>
      <x:c r="AK1324" s="12" t="str">
        <x:f>IF(AE1324="prepare_public_github_candidate","add receipt/status then mirror","resolve blocker before any public GitHub action")</x:f>
        <x:v>add receipt/status then mirror</x:v>
      </x:c>
    </x:row>
    <x:row r="1325">
      <x:c r="A1325" s="15" t="str">
        <x:v>SWARM-10-H03-S04</x:v>
      </x:c>
      <x:c r="B1325" s="15" t="str">
        <x:v>GitShelf</x:v>
      </x:c>
      <x:c r="C1325" s="15" t="str">
        <x:v>GitHub shelf builder</x:v>
      </x:c>
      <x:c r="D1325" s="15" t="str">
        <x:v>Raw Export Recovery</x:v>
      </x:c>
      <x:c r="E1325" s="15" t="str">
        <x:v>Gamma</x:v>
      </x:c>
      <x:c r="F1325" s="15" t="str">
        <x:v>Recover raw exports for Gamma — GitShelf</x:v>
      </x:c>
      <x:c r="G1325" s="15" t="str">
        <x:v>repo packet / manifest / issue template prep</x:v>
      </x:c>
      <x:c r="H1325" s="15" t="str">
        <x:v>source path + receipt + raw/export status + claim/edge/risk delta</x:v>
      </x:c>
      <x:c r="I1325" s="15" t="str">
        <x:v>packet/SWARM-10-H03-S04</x:v>
      </x:c>
      <x:c r="J1325" s="15" t="str">
        <x:v>TODO</x:v>
      </x:c>
      <x:c r="K1325" s="15" t="str">
        <x:v>P1</x:v>
      </x:c>
      <x:c r="L1325" s="15" t="str">
        <x:v>Done only when evidence is logged, contradiction search is noted, and boundary stamp remains non-canon unless ratified</x:v>
      </x:c>
      <x:c r="M1325" s="15" t="str">
        <x:v>candidate / staging-only / not canon / not deployed / authority none</x:v>
      </x:c>
      <x:c r="N1325" s="15" t="str">
        <x:v>Dispatch to GitShelf: complete Raw Export Recovery x Gamma; return deltas only, receipts required.</x:v>
      </x:c>
      <x:c r="O1325" s="15" t="str">
        <x:v>AF-KG-H03-S04</x:v>
      </x:c>
      <x:c r="P1325" s="15" t="str">
        <x:v>Unverified</x:v>
      </x:c>
      <x:c r="Q1325" s="15" t="str">
        <x:v>Not checked</x:v>
      </x:c>
      <x:c r="R1325" s="15" t="str"/>
      <x:c r="S1325" s="15" t="str"/>
      <x:c r="T1325" s="15" t="str">
        <x:v>Log first source path or blocker</x:v>
      </x:c>
      <x:c r="U1325" s="12" t="str">
        <x:f>IF(OR(P1325="Unverified",Q1325="Not checked"),"BLOCKED_PENDING_RECEIPT","READY_FOR_REVIEW")</x:f>
        <x:v>BLOCKED_PENDING_RECEIPT</x:v>
      </x:c>
      <x:c r="V1325" s="12" t="str">
        <x:f>IF(J1325="DONE","RETURNED",IF(U1325="BLOCKED_PENDING_RECEIPT","SOURCE_TOUCH_REQUIRED","IN_PROGRESS"))</x:f>
        <x:v>SOURCE_TOUCH_REQUIRED</x:v>
      </x:c>
      <x:c r="W1325" s="12" t="str">
        <x:f>IF(P1325="Unverified","missing_receipt","receipt_logged")</x:f>
        <x:v>missing_receipt</x:v>
      </x:c>
      <x:c r="X1325" s="12" t="str">
        <x:f>IF(Q1325="Not checked","raw_status_missing","raw_status_logged")</x:f>
        <x:v>raw_status_missing</x:v>
      </x:c>
      <x:c r="Y1325" s="12" t="str">
        <x:f>IF(U1325="BLOCKED_PENDING_RECEIPT","Log source path or blocker; do not promote","Route to review lane")</x:f>
        <x:v>Log source path or blocker; do not promote</x:v>
      </x:c>
      <x:c r="Z1325" s="12" t="str">
        <x:f>IF(K1325="P0","Primary seat + Hashlight/Lucerna","Seat lane")</x:f>
        <x:v>Seat lane</x:v>
      </x:c>
      <x:c r="AA1325" s="12" t="str">
        <x:f>IF(R1325="","no_claim_delta","claim_delta_present")</x:f>
        <x:v>no_claim_delta</x:v>
      </x:c>
      <x:c r="AB1325" s="12" t="str">
        <x:f>IF(S1325="","no_contradiction_delta","contradiction_delta_present")</x:f>
        <x:v>no_contradiction_delta</x:v>
      </x:c>
      <x:c r="AC1325" s="12" t="str">
        <x:f>IF(OR(ISNUMBER(SEARCH("hacker",LOWER(F1325&amp;" "&amp;H1325&amp;" "&amp;I1325&amp;" "&amp;M1325&amp;" "&amp;N1325&amp;" "&amp;T1325))),ISNUMBER(SEARCH("hacking",LOWER(F1325&amp;" "&amp;H1325&amp;" "&amp;I1325&amp;" "&amp;M1325&amp;" "&amp;N1325&amp;" "&amp;T1325))),ISNUMBER(SEARCH("bank",LOWER(F1325&amp;" "&amp;H1325&amp;" "&amp;I1325&amp;" "&amp;M1325&amp;" "&amp;N1325&amp;" "&amp;T1325))),ISNUMBER(SEARCH("banking",LOWER(F1325&amp;" "&amp;H1325&amp;" "&amp;I1325&amp;" "&amp;M1325&amp;" "&amp;N1325&amp;" "&amp;T1325)))),"PRIVATE_QUARANTINE",IF(OR(ISNUMBER(SEARCH("treasury",LOWER(F1325&amp;" "&amp;H1325&amp;" "&amp;I1325&amp;" "&amp;M1325&amp;" "&amp;N1325&amp;" "&amp;T1325))),ISNUMBER(SEARCH("debt",LOWER(F1325&amp;" "&amp;H1325&amp;" "&amp;I1325&amp;" "&amp;M1325&amp;" "&amp;N1325&amp;" "&amp;T1325))),ISNUMBER(SEARCH("bond",LOWER(F1325&amp;" "&amp;H1325&amp;" "&amp;I1325&amp;" "&amp;M1325&amp;" "&amp;N1325&amp;" "&amp;T1325))),ISNUMBER(SEARCH("transaction",LOWER(F1325&amp;" "&amp;H1325&amp;" "&amp;I1325&amp;" "&amp;M1325&amp;" "&amp;N1325&amp;" "&amp;T1325)))),"PRIVATE_REVIEW","PUBLIC_CANDIDATE"))</x:f>
        <x:v>PUBLIC_CANDIDATE</x:v>
      </x:c>
      <x:c r="AD1325" s="12" t="str">
        <x:f>IF(AC1325="PRIVATE_QUARANTINE","hacker_or_bank_trigger",IF(AC1325="PRIVATE_REVIEW","finance_risk_trigger","none"))</x:f>
        <x:v>none</x:v>
      </x:c>
      <x:c r="AE1325" s="12" t="str">
        <x:f>IF(AC1325="PUBLIC_CANDIDATE","prepare_public_github_candidate",IF(AC1325="PRIVATE_REVIEW","hold_for_private_review","quarantine_private_do_not_publish"))</x:f>
        <x:v>prepare_public_github_candidate</x:v>
      </x:c>
      <x:c r="AF1325" s="12" t="str">
        <x:f>IF(AC1325="PUBLIC_CANDIDATE","TIDELOCK + Lucerna",IF(AC1325="PRIVATE_REVIEW","AtlasBrain + Lucerna","TIDELOCK + Lucerna + Human-root"))</x:f>
        <x:v>TIDELOCK + Lucerna</x:v>
      </x:c>
      <x:c r="AG1325" s="12" t="str">
        <x:f>IF(AND(AC1325="PUBLIC_CANDIDATE",U1325&lt;&gt;"BLOCKED_PENDING_RECEIPT"),"READY_AFTER_RECEIPT","NOT_READY")</x:f>
        <x:v>NOT_READY</x:v>
      </x:c>
      <x:c r="AH1325" s="12" t="str">
        <x:f>IF(AC1325="PUBLIC_CANDIDATE","none",AD1325)</x:f>
        <x:v>none</x:v>
      </x:c>
      <x:c r="AI1325" s="12" t="str">
        <x:f>IF(AC1325="PUBLIC_CANDIDATE","archive/public_candidates/"&amp;A1325,"private_quarantine/"&amp;A1325)</x:f>
        <x:v>archive/public_candidates/SWARM-10-H03-S04</x:v>
      </x:c>
      <x:c r="AJ1325" s="12" t="str">
        <x:f>IF(AC1325="PUBLIC_CANDIDATE","public by default; still not canon","private/hold; do not publish")</x:f>
        <x:v>public by default; still not canon</x:v>
      </x:c>
      <x:c r="AK1325" s="12" t="str">
        <x:f>IF(AE1325="prepare_public_github_candidate","add receipt/status then mirror","resolve blocker before any public GitHub action")</x:f>
        <x:v>add receipt/status then mirror</x:v>
      </x:c>
    </x:row>
    <x:row r="1326">
      <x:c r="A1326" s="15" t="str">
        <x:v>SWARM-10-H03-S05</x:v>
      </x:c>
      <x:c r="B1326" s="15" t="str">
        <x:v>GitShelf</x:v>
      </x:c>
      <x:c r="C1326" s="15" t="str">
        <x:v>GitHub shelf builder</x:v>
      </x:c>
      <x:c r="D1326" s="15" t="str">
        <x:v>Raw Export Recovery</x:v>
      </x:c>
      <x:c r="E1326" s="15" t="str">
        <x:v>Chat</x:v>
      </x:c>
      <x:c r="F1326" s="15" t="str">
        <x:v>Recover raw exports for Chat — GitShelf</x:v>
      </x:c>
      <x:c r="G1326" s="15" t="str">
        <x:v>repo packet / manifest / issue template prep</x:v>
      </x:c>
      <x:c r="H1326" s="15" t="str">
        <x:v>source path + receipt + raw/export status + claim/edge/risk delta</x:v>
      </x:c>
      <x:c r="I1326" s="15" t="str">
        <x:v>packet/SWARM-10-H03-S05</x:v>
      </x:c>
      <x:c r="J1326" s="15" t="str">
        <x:v>TODO</x:v>
      </x:c>
      <x:c r="K1326" s="15" t="str">
        <x:v>P1</x:v>
      </x:c>
      <x:c r="L1326" s="15" t="str">
        <x:v>Done only when evidence is logged, contradiction search is noted, and boundary stamp remains non-canon unless ratified</x:v>
      </x:c>
      <x:c r="M1326" s="15" t="str">
        <x:v>candidate / staging-only / not canon / not deployed / authority none</x:v>
      </x:c>
      <x:c r="N1326" s="15" t="str">
        <x:v>Dispatch to GitShelf: complete Raw Export Recovery x Chat; return deltas only, receipts required.</x:v>
      </x:c>
      <x:c r="O1326" s="15" t="str">
        <x:v>AF-KG-H03-S05</x:v>
      </x:c>
      <x:c r="P1326" s="15" t="str">
        <x:v>Unverified</x:v>
      </x:c>
      <x:c r="Q1326" s="15" t="str">
        <x:v>Not checked</x:v>
      </x:c>
      <x:c r="R1326" s="15" t="str"/>
      <x:c r="S1326" s="15" t="str"/>
      <x:c r="T1326" s="15" t="str">
        <x:v>Log first source path or blocker</x:v>
      </x:c>
      <x:c r="U1326" s="12" t="str">
        <x:f>IF(OR(P1326="Unverified",Q1326="Not checked"),"BLOCKED_PENDING_RECEIPT","READY_FOR_REVIEW")</x:f>
        <x:v>BLOCKED_PENDING_RECEIPT</x:v>
      </x:c>
      <x:c r="V1326" s="12" t="str">
        <x:f>IF(J1326="DONE","RETURNED",IF(U1326="BLOCKED_PENDING_RECEIPT","SOURCE_TOUCH_REQUIRED","IN_PROGRESS"))</x:f>
        <x:v>SOURCE_TOUCH_REQUIRED</x:v>
      </x:c>
      <x:c r="W1326" s="12" t="str">
        <x:f>IF(P1326="Unverified","missing_receipt","receipt_logged")</x:f>
        <x:v>missing_receipt</x:v>
      </x:c>
      <x:c r="X1326" s="12" t="str">
        <x:f>IF(Q1326="Not checked","raw_status_missing","raw_status_logged")</x:f>
        <x:v>raw_status_missing</x:v>
      </x:c>
      <x:c r="Y1326" s="12" t="str">
        <x:f>IF(U1326="BLOCKED_PENDING_RECEIPT","Log source path or blocker; do not promote","Route to review lane")</x:f>
        <x:v>Log source path or blocker; do not promote</x:v>
      </x:c>
      <x:c r="Z1326" s="12" t="str">
        <x:f>IF(K1326="P0","Primary seat + Hashlight/Lucerna","Seat lane")</x:f>
        <x:v>Seat lane</x:v>
      </x:c>
      <x:c r="AA1326" s="12" t="str">
        <x:f>IF(R1326="","no_claim_delta","claim_delta_present")</x:f>
        <x:v>no_claim_delta</x:v>
      </x:c>
      <x:c r="AB1326" s="12" t="str">
        <x:f>IF(S1326="","no_contradiction_delta","contradiction_delta_present")</x:f>
        <x:v>no_contradiction_delta</x:v>
      </x:c>
      <x:c r="AC1326" s="12" t="str">
        <x:f>IF(OR(ISNUMBER(SEARCH("hacker",LOWER(F1326&amp;" "&amp;H1326&amp;" "&amp;I1326&amp;" "&amp;M1326&amp;" "&amp;N1326&amp;" "&amp;T1326))),ISNUMBER(SEARCH("hacking",LOWER(F1326&amp;" "&amp;H1326&amp;" "&amp;I1326&amp;" "&amp;M1326&amp;" "&amp;N1326&amp;" "&amp;T1326))),ISNUMBER(SEARCH("bank",LOWER(F1326&amp;" "&amp;H1326&amp;" "&amp;I1326&amp;" "&amp;M1326&amp;" "&amp;N1326&amp;" "&amp;T1326))),ISNUMBER(SEARCH("banking",LOWER(F1326&amp;" "&amp;H1326&amp;" "&amp;I1326&amp;" "&amp;M1326&amp;" "&amp;N1326&amp;" "&amp;T1326)))),"PRIVATE_QUARANTINE",IF(OR(ISNUMBER(SEARCH("treasury",LOWER(F1326&amp;" "&amp;H1326&amp;" "&amp;I1326&amp;" "&amp;M1326&amp;" "&amp;N1326&amp;" "&amp;T1326))),ISNUMBER(SEARCH("debt",LOWER(F1326&amp;" "&amp;H1326&amp;" "&amp;I1326&amp;" "&amp;M1326&amp;" "&amp;N1326&amp;" "&amp;T1326))),ISNUMBER(SEARCH("bond",LOWER(F1326&amp;" "&amp;H1326&amp;" "&amp;I1326&amp;" "&amp;M1326&amp;" "&amp;N1326&amp;" "&amp;T1326))),ISNUMBER(SEARCH("transaction",LOWER(F1326&amp;" "&amp;H1326&amp;" "&amp;I1326&amp;" "&amp;M1326&amp;" "&amp;N1326&amp;" "&amp;T1326)))),"PRIVATE_REVIEW","PUBLIC_CANDIDATE"))</x:f>
        <x:v>PUBLIC_CANDIDATE</x:v>
      </x:c>
      <x:c r="AD1326" s="12" t="str">
        <x:f>IF(AC1326="PRIVATE_QUARANTINE","hacker_or_bank_trigger",IF(AC1326="PRIVATE_REVIEW","finance_risk_trigger","none"))</x:f>
        <x:v>none</x:v>
      </x:c>
      <x:c r="AE1326" s="12" t="str">
        <x:f>IF(AC1326="PUBLIC_CANDIDATE","prepare_public_github_candidate",IF(AC1326="PRIVATE_REVIEW","hold_for_private_review","quarantine_private_do_not_publish"))</x:f>
        <x:v>prepare_public_github_candidate</x:v>
      </x:c>
      <x:c r="AF1326" s="12" t="str">
        <x:f>IF(AC1326="PUBLIC_CANDIDATE","TIDELOCK + Lucerna",IF(AC1326="PRIVATE_REVIEW","AtlasBrain + Lucerna","TIDELOCK + Lucerna + Human-root"))</x:f>
        <x:v>TIDELOCK + Lucerna</x:v>
      </x:c>
      <x:c r="AG1326" s="12" t="str">
        <x:f>IF(AND(AC1326="PUBLIC_CANDIDATE",U1326&lt;&gt;"BLOCKED_PENDING_RECEIPT"),"READY_AFTER_RECEIPT","NOT_READY")</x:f>
        <x:v>NOT_READY</x:v>
      </x:c>
      <x:c r="AH1326" s="12" t="str">
        <x:f>IF(AC1326="PUBLIC_CANDIDATE","none",AD1326)</x:f>
        <x:v>none</x:v>
      </x:c>
      <x:c r="AI1326" s="12" t="str">
        <x:f>IF(AC1326="PUBLIC_CANDIDATE","archive/public_candidates/"&amp;A1326,"private_quarantine/"&amp;A1326)</x:f>
        <x:v>archive/public_candidates/SWARM-10-H03-S05</x:v>
      </x:c>
      <x:c r="AJ1326" s="12" t="str">
        <x:f>IF(AC1326="PUBLIC_CANDIDATE","public by default; still not canon","private/hold; do not publish")</x:f>
        <x:v>public by default; still not canon</x:v>
      </x:c>
      <x:c r="AK1326" s="12" t="str">
        <x:f>IF(AE1326="prepare_public_github_candidate","add receipt/status then mirror","resolve blocker before any public GitHub action")</x:f>
        <x:v>add receipt/status then mirror</x:v>
      </x:c>
    </x:row>
    <x:row r="1327">
      <x:c r="A1327" s="15" t="str">
        <x:v>SWARM-10-H03-S06</x:v>
      </x:c>
      <x:c r="B1327" s="15" t="str">
        <x:v>GitShelf</x:v>
      </x:c>
      <x:c r="C1327" s="15" t="str">
        <x:v>GitHub shelf builder</x:v>
      </x:c>
      <x:c r="D1327" s="15" t="str">
        <x:v>Raw Export Recovery</x:v>
      </x:c>
      <x:c r="E1327" s="15" t="str">
        <x:v>External Web</x:v>
      </x:c>
      <x:c r="F1327" s="15" t="str">
        <x:v>Recover raw exports for External Web — GitShelf</x:v>
      </x:c>
      <x:c r="G1327" s="15" t="str">
        <x:v>repo packet / manifest / issue template prep</x:v>
      </x:c>
      <x:c r="H1327" s="15" t="str">
        <x:v>source path + receipt + raw/export status + claim/edge/risk delta</x:v>
      </x:c>
      <x:c r="I1327" s="15" t="str">
        <x:v>packet/SWARM-10-H03-S06</x:v>
      </x:c>
      <x:c r="J1327" s="15" t="str">
        <x:v>TODO</x:v>
      </x:c>
      <x:c r="K1327" s="15" t="str">
        <x:v>P1</x:v>
      </x:c>
      <x:c r="L1327" s="15" t="str">
        <x:v>Done only when evidence is logged, contradiction search is noted, and boundary stamp remains non-canon unless ratified</x:v>
      </x:c>
      <x:c r="M1327" s="15" t="str">
        <x:v>candidate / staging-only / not canon / not deployed / authority none</x:v>
      </x:c>
      <x:c r="N1327" s="15" t="str">
        <x:v>Dispatch to GitShelf: complete Raw Export Recovery x External Web; return deltas only, receipts required.</x:v>
      </x:c>
      <x:c r="O1327" s="15" t="str">
        <x:v>AF-KG-H03-S06</x:v>
      </x:c>
      <x:c r="P1327" s="15" t="str">
        <x:v>Unverified</x:v>
      </x:c>
      <x:c r="Q1327" s="15" t="str">
        <x:v>Not checked</x:v>
      </x:c>
      <x:c r="R1327" s="15" t="str"/>
      <x:c r="S1327" s="15" t="str"/>
      <x:c r="T1327" s="15" t="str">
        <x:v>Log first source path or blocker</x:v>
      </x:c>
      <x:c r="U1327" s="12" t="str">
        <x:f>IF(OR(P1327="Unverified",Q1327="Not checked"),"BLOCKED_PENDING_RECEIPT","READY_FOR_REVIEW")</x:f>
        <x:v>BLOCKED_PENDING_RECEIPT</x:v>
      </x:c>
      <x:c r="V1327" s="12" t="str">
        <x:f>IF(J1327="DONE","RETURNED",IF(U1327="BLOCKED_PENDING_RECEIPT","SOURCE_TOUCH_REQUIRED","IN_PROGRESS"))</x:f>
        <x:v>SOURCE_TOUCH_REQUIRED</x:v>
      </x:c>
      <x:c r="W1327" s="12" t="str">
        <x:f>IF(P1327="Unverified","missing_receipt","receipt_logged")</x:f>
        <x:v>missing_receipt</x:v>
      </x:c>
      <x:c r="X1327" s="12" t="str">
        <x:f>IF(Q1327="Not checked","raw_status_missing","raw_status_logged")</x:f>
        <x:v>raw_status_missing</x:v>
      </x:c>
      <x:c r="Y1327" s="12" t="str">
        <x:f>IF(U1327="BLOCKED_PENDING_RECEIPT","Log source path or blocker; do not promote","Route to review lane")</x:f>
        <x:v>Log source path or blocker; do not promote</x:v>
      </x:c>
      <x:c r="Z1327" s="12" t="str">
        <x:f>IF(K1327="P0","Primary seat + Hashlight/Lucerna","Seat lane")</x:f>
        <x:v>Seat lane</x:v>
      </x:c>
      <x:c r="AA1327" s="12" t="str">
        <x:f>IF(R1327="","no_claim_delta","claim_delta_present")</x:f>
        <x:v>no_claim_delta</x:v>
      </x:c>
      <x:c r="AB1327" s="12" t="str">
        <x:f>IF(S1327="","no_contradiction_delta","contradiction_delta_present")</x:f>
        <x:v>no_contradiction_delta</x:v>
      </x:c>
      <x:c r="AC1327" s="12" t="str">
        <x:f>IF(OR(ISNUMBER(SEARCH("hacker",LOWER(F1327&amp;" "&amp;H1327&amp;" "&amp;I1327&amp;" "&amp;M1327&amp;" "&amp;N1327&amp;" "&amp;T1327))),ISNUMBER(SEARCH("hacking",LOWER(F1327&amp;" "&amp;H1327&amp;" "&amp;I1327&amp;" "&amp;M1327&amp;" "&amp;N1327&amp;" "&amp;T1327))),ISNUMBER(SEARCH("bank",LOWER(F1327&amp;" "&amp;H1327&amp;" "&amp;I1327&amp;" "&amp;M1327&amp;" "&amp;N1327&amp;" "&amp;T1327))),ISNUMBER(SEARCH("banking",LOWER(F1327&amp;" "&amp;H1327&amp;" "&amp;I1327&amp;" "&amp;M1327&amp;" "&amp;N1327&amp;" "&amp;T1327)))),"PRIVATE_QUARANTINE",IF(OR(ISNUMBER(SEARCH("treasury",LOWER(F1327&amp;" "&amp;H1327&amp;" "&amp;I1327&amp;" "&amp;M1327&amp;" "&amp;N1327&amp;" "&amp;T1327))),ISNUMBER(SEARCH("debt",LOWER(F1327&amp;" "&amp;H1327&amp;" "&amp;I1327&amp;" "&amp;M1327&amp;" "&amp;N1327&amp;" "&amp;T1327))),ISNUMBER(SEARCH("bond",LOWER(F1327&amp;" "&amp;H1327&amp;" "&amp;I1327&amp;" "&amp;M1327&amp;" "&amp;N1327&amp;" "&amp;T1327))),ISNUMBER(SEARCH("transaction",LOWER(F1327&amp;" "&amp;H1327&amp;" "&amp;I1327&amp;" "&amp;M1327&amp;" "&amp;N1327&amp;" "&amp;T1327)))),"PRIVATE_REVIEW","PUBLIC_CANDIDATE"))</x:f>
        <x:v>PUBLIC_CANDIDATE</x:v>
      </x:c>
      <x:c r="AD1327" s="12" t="str">
        <x:f>IF(AC1327="PRIVATE_QUARANTINE","hacker_or_bank_trigger",IF(AC1327="PRIVATE_REVIEW","finance_risk_trigger","none"))</x:f>
        <x:v>none</x:v>
      </x:c>
      <x:c r="AE1327" s="12" t="str">
        <x:f>IF(AC1327="PUBLIC_CANDIDATE","prepare_public_github_candidate",IF(AC1327="PRIVATE_REVIEW","hold_for_private_review","quarantine_private_do_not_publish"))</x:f>
        <x:v>prepare_public_github_candidate</x:v>
      </x:c>
      <x:c r="AF1327" s="12" t="str">
        <x:f>IF(AC1327="PUBLIC_CANDIDATE","TIDELOCK + Lucerna",IF(AC1327="PRIVATE_REVIEW","AtlasBrain + Lucerna","TIDELOCK + Lucerna + Human-root"))</x:f>
        <x:v>TIDELOCK + Lucerna</x:v>
      </x:c>
      <x:c r="AG1327" s="12" t="str">
        <x:f>IF(AND(AC1327="PUBLIC_CANDIDATE",U1327&lt;&gt;"BLOCKED_PENDING_RECEIPT"),"READY_AFTER_RECEIPT","NOT_READY")</x:f>
        <x:v>NOT_READY</x:v>
      </x:c>
      <x:c r="AH1327" s="12" t="str">
        <x:f>IF(AC1327="PUBLIC_CANDIDATE","none",AD1327)</x:f>
        <x:v>none</x:v>
      </x:c>
      <x:c r="AI1327" s="12" t="str">
        <x:f>IF(AC1327="PUBLIC_CANDIDATE","archive/public_candidates/"&amp;A1327,"private_quarantine/"&amp;A1327)</x:f>
        <x:v>archive/public_candidates/SWARM-10-H03-S06</x:v>
      </x:c>
      <x:c r="AJ1327" s="12" t="str">
        <x:f>IF(AC1327="PUBLIC_CANDIDATE","public by default; still not canon","private/hold; do not publish")</x:f>
        <x:v>public by default; still not canon</x:v>
      </x:c>
      <x:c r="AK1327" s="12" t="str">
        <x:f>IF(AE1327="prepare_public_github_candidate","add receipt/status then mirror","resolve blocker before any public GitHub action")</x:f>
        <x:v>add receipt/status then mirror</x:v>
      </x:c>
    </x:row>
    <x:row r="1328">
      <x:c r="A1328" s="15" t="str">
        <x:v>SWARM-10-H03-S07</x:v>
      </x:c>
      <x:c r="B1328" s="15" t="str">
        <x:v>GitShelf</x:v>
      </x:c>
      <x:c r="C1328" s="15" t="str">
        <x:v>GitHub shelf builder</x:v>
      </x:c>
      <x:c r="D1328" s="15" t="str">
        <x:v>Raw Export Recovery</x:v>
      </x:c>
      <x:c r="E1328" s="15" t="str">
        <x:v>Planetarium</x:v>
      </x:c>
      <x:c r="F1328" s="15" t="str">
        <x:v>Recover raw exports for Planetarium — GitShelf</x:v>
      </x:c>
      <x:c r="G1328" s="15" t="str">
        <x:v>repo packet / manifest / issue template prep</x:v>
      </x:c>
      <x:c r="H1328" s="15" t="str">
        <x:v>source path + receipt + raw/export status + claim/edge/risk delta</x:v>
      </x:c>
      <x:c r="I1328" s="15" t="str">
        <x:v>packet/SWARM-10-H03-S07</x:v>
      </x:c>
      <x:c r="J1328" s="15" t="str">
        <x:v>TODO</x:v>
      </x:c>
      <x:c r="K1328" s="15" t="str">
        <x:v>P1</x:v>
      </x:c>
      <x:c r="L1328" s="15" t="str">
        <x:v>Done only when evidence is logged, contradiction search is noted, and boundary stamp remains non-canon unless ratified</x:v>
      </x:c>
      <x:c r="M1328" s="15" t="str">
        <x:v>candidate / staging-only / not canon / not deployed / authority none</x:v>
      </x:c>
      <x:c r="N1328" s="15" t="str">
        <x:v>Dispatch to GitShelf: complete Raw Export Recovery x Planetarium; return deltas only, receipts required.</x:v>
      </x:c>
      <x:c r="O1328" s="15" t="str">
        <x:v>AF-KG-H03-S07</x:v>
      </x:c>
      <x:c r="P1328" s="15" t="str">
        <x:v>Unverified</x:v>
      </x:c>
      <x:c r="Q1328" s="15" t="str">
        <x:v>Not checked</x:v>
      </x:c>
      <x:c r="R1328" s="15" t="str"/>
      <x:c r="S1328" s="15" t="str"/>
      <x:c r="T1328" s="15" t="str">
        <x:v>Log first source path or blocker</x:v>
      </x:c>
      <x:c r="U1328" s="12" t="str">
        <x:f>IF(OR(P1328="Unverified",Q1328="Not checked"),"BLOCKED_PENDING_RECEIPT","READY_FOR_REVIEW")</x:f>
        <x:v>BLOCKED_PENDING_RECEIPT</x:v>
      </x:c>
      <x:c r="V1328" s="12" t="str">
        <x:f>IF(J1328="DONE","RETURNED",IF(U1328="BLOCKED_PENDING_RECEIPT","SOURCE_TOUCH_REQUIRED","IN_PROGRESS"))</x:f>
        <x:v>SOURCE_TOUCH_REQUIRED</x:v>
      </x:c>
      <x:c r="W1328" s="12" t="str">
        <x:f>IF(P1328="Unverified","missing_receipt","receipt_logged")</x:f>
        <x:v>missing_receipt</x:v>
      </x:c>
      <x:c r="X1328" s="12" t="str">
        <x:f>IF(Q1328="Not checked","raw_status_missing","raw_status_logged")</x:f>
        <x:v>raw_status_missing</x:v>
      </x:c>
      <x:c r="Y1328" s="12" t="str">
        <x:f>IF(U1328="BLOCKED_PENDING_RECEIPT","Log source path or blocker; do not promote","Route to review lane")</x:f>
        <x:v>Log source path or blocker; do not promote</x:v>
      </x:c>
      <x:c r="Z1328" s="12" t="str">
        <x:f>IF(K1328="P0","Primary seat + Hashlight/Lucerna","Seat lane")</x:f>
        <x:v>Seat lane</x:v>
      </x:c>
      <x:c r="AA1328" s="12" t="str">
        <x:f>IF(R1328="","no_claim_delta","claim_delta_present")</x:f>
        <x:v>no_claim_delta</x:v>
      </x:c>
      <x:c r="AB1328" s="12" t="str">
        <x:f>IF(S1328="","no_contradiction_delta","contradiction_delta_present")</x:f>
        <x:v>no_contradiction_delta</x:v>
      </x:c>
      <x:c r="AC1328" s="12" t="str">
        <x:f>IF(OR(ISNUMBER(SEARCH("hacker",LOWER(F1328&amp;" "&amp;H1328&amp;" "&amp;I1328&amp;" "&amp;M1328&amp;" "&amp;N1328&amp;" "&amp;T1328))),ISNUMBER(SEARCH("hacking",LOWER(F1328&amp;" "&amp;H1328&amp;" "&amp;I1328&amp;" "&amp;M1328&amp;" "&amp;N1328&amp;" "&amp;T1328))),ISNUMBER(SEARCH("bank",LOWER(F1328&amp;" "&amp;H1328&amp;" "&amp;I1328&amp;" "&amp;M1328&amp;" "&amp;N1328&amp;" "&amp;T1328))),ISNUMBER(SEARCH("banking",LOWER(F1328&amp;" "&amp;H1328&amp;" "&amp;I1328&amp;" "&amp;M1328&amp;" "&amp;N1328&amp;" "&amp;T1328)))),"PRIVATE_QUARANTINE",IF(OR(ISNUMBER(SEARCH("treasury",LOWER(F1328&amp;" "&amp;H1328&amp;" "&amp;I1328&amp;" "&amp;M1328&amp;" "&amp;N1328&amp;" "&amp;T1328))),ISNUMBER(SEARCH("debt",LOWER(F1328&amp;" "&amp;H1328&amp;" "&amp;I1328&amp;" "&amp;M1328&amp;" "&amp;N1328&amp;" "&amp;T1328))),ISNUMBER(SEARCH("bond",LOWER(F1328&amp;" "&amp;H1328&amp;" "&amp;I1328&amp;" "&amp;M1328&amp;" "&amp;N1328&amp;" "&amp;T1328))),ISNUMBER(SEARCH("transaction",LOWER(F1328&amp;" "&amp;H1328&amp;" "&amp;I1328&amp;" "&amp;M1328&amp;" "&amp;N1328&amp;" "&amp;T1328)))),"PRIVATE_REVIEW","PUBLIC_CANDIDATE"))</x:f>
        <x:v>PUBLIC_CANDIDATE</x:v>
      </x:c>
      <x:c r="AD1328" s="12" t="str">
        <x:f>IF(AC1328="PRIVATE_QUARANTINE","hacker_or_bank_trigger",IF(AC1328="PRIVATE_REVIEW","finance_risk_trigger","none"))</x:f>
        <x:v>none</x:v>
      </x:c>
      <x:c r="AE1328" s="12" t="str">
        <x:f>IF(AC1328="PUBLIC_CANDIDATE","prepare_public_github_candidate",IF(AC1328="PRIVATE_REVIEW","hold_for_private_review","quarantine_private_do_not_publish"))</x:f>
        <x:v>prepare_public_github_candidate</x:v>
      </x:c>
      <x:c r="AF1328" s="12" t="str">
        <x:f>IF(AC1328="PUBLIC_CANDIDATE","TIDELOCK + Lucerna",IF(AC1328="PRIVATE_REVIEW","AtlasBrain + Lucerna","TIDELOCK + Lucerna + Human-root"))</x:f>
        <x:v>TIDELOCK + Lucerna</x:v>
      </x:c>
      <x:c r="AG1328" s="12" t="str">
        <x:f>IF(AND(AC1328="PUBLIC_CANDIDATE",U1328&lt;&gt;"BLOCKED_PENDING_RECEIPT"),"READY_AFTER_RECEIPT","NOT_READY")</x:f>
        <x:v>NOT_READY</x:v>
      </x:c>
      <x:c r="AH1328" s="12" t="str">
        <x:f>IF(AC1328="PUBLIC_CANDIDATE","none",AD1328)</x:f>
        <x:v>none</x:v>
      </x:c>
      <x:c r="AI1328" s="12" t="str">
        <x:f>IF(AC1328="PUBLIC_CANDIDATE","archive/public_candidates/"&amp;A1328,"private_quarantine/"&amp;A1328)</x:f>
        <x:v>archive/public_candidates/SWARM-10-H03-S07</x:v>
      </x:c>
      <x:c r="AJ1328" s="12" t="str">
        <x:f>IF(AC1328="PUBLIC_CANDIDATE","public by default; still not canon","private/hold; do not publish")</x:f>
        <x:v>public by default; still not canon</x:v>
      </x:c>
      <x:c r="AK1328" s="12" t="str">
        <x:f>IF(AE1328="prepare_public_github_candidate","add receipt/status then mirror","resolve blocker before any public GitHub action")</x:f>
        <x:v>add receipt/status then mirror</x:v>
      </x:c>
    </x:row>
    <x:row r="1329">
      <x:c r="A1329" s="15" t="str">
        <x:v>SWARM-10-H03-S08</x:v>
      </x:c>
      <x:c r="B1329" s="15" t="str">
        <x:v>GitShelf</x:v>
      </x:c>
      <x:c r="C1329" s="15" t="str">
        <x:v>GitHub shelf builder</x:v>
      </x:c>
      <x:c r="D1329" s="15" t="str">
        <x:v>Raw Export Recovery</x:v>
      </x:c>
      <x:c r="E1329" s="15" t="str">
        <x:v>Sheldonbrain</x:v>
      </x:c>
      <x:c r="F1329" s="15" t="str">
        <x:v>Recover raw exports for Sheldonbrain — GitShelf</x:v>
      </x:c>
      <x:c r="G1329" s="15" t="str">
        <x:v>repo packet / manifest / issue template prep</x:v>
      </x:c>
      <x:c r="H1329" s="15" t="str">
        <x:v>source path + receipt + raw/export status + claim/edge/risk delta</x:v>
      </x:c>
      <x:c r="I1329" s="15" t="str">
        <x:v>packet/SWARM-10-H03-S08</x:v>
      </x:c>
      <x:c r="J1329" s="15" t="str">
        <x:v>TODO</x:v>
      </x:c>
      <x:c r="K1329" s="15" t="str">
        <x:v>P1</x:v>
      </x:c>
      <x:c r="L1329" s="15" t="str">
        <x:v>Done only when evidence is logged, contradiction search is noted, and boundary stamp remains non-canon unless ratified</x:v>
      </x:c>
      <x:c r="M1329" s="15" t="str">
        <x:v>candidate / staging-only / not canon / not deployed / authority none</x:v>
      </x:c>
      <x:c r="N1329" s="15" t="str">
        <x:v>Dispatch to GitShelf: complete Raw Export Recovery x Sheldonbrain; return deltas only, receipts required.</x:v>
      </x:c>
      <x:c r="O1329" s="15" t="str">
        <x:v>AF-KG-H03-S08</x:v>
      </x:c>
      <x:c r="P1329" s="15" t="str">
        <x:v>Unverified</x:v>
      </x:c>
      <x:c r="Q1329" s="15" t="str">
        <x:v>Not checked</x:v>
      </x:c>
      <x:c r="R1329" s="15" t="str"/>
      <x:c r="S1329" s="15" t="str"/>
      <x:c r="T1329" s="15" t="str">
        <x:v>Log first source path or blocker</x:v>
      </x:c>
      <x:c r="U1329" s="12" t="str">
        <x:f>IF(OR(P1329="Unverified",Q1329="Not checked"),"BLOCKED_PENDING_RECEIPT","READY_FOR_REVIEW")</x:f>
        <x:v>BLOCKED_PENDING_RECEIPT</x:v>
      </x:c>
      <x:c r="V1329" s="12" t="str">
        <x:f>IF(J1329="DONE","RETURNED",IF(U1329="BLOCKED_PENDING_RECEIPT","SOURCE_TOUCH_REQUIRED","IN_PROGRESS"))</x:f>
        <x:v>SOURCE_TOUCH_REQUIRED</x:v>
      </x:c>
      <x:c r="W1329" s="12" t="str">
        <x:f>IF(P1329="Unverified","missing_receipt","receipt_logged")</x:f>
        <x:v>missing_receipt</x:v>
      </x:c>
      <x:c r="X1329" s="12" t="str">
        <x:f>IF(Q1329="Not checked","raw_status_missing","raw_status_logged")</x:f>
        <x:v>raw_status_missing</x:v>
      </x:c>
      <x:c r="Y1329" s="12" t="str">
        <x:f>IF(U1329="BLOCKED_PENDING_RECEIPT","Log source path or blocker; do not promote","Route to review lane")</x:f>
        <x:v>Log source path or blocker; do not promote</x:v>
      </x:c>
      <x:c r="Z1329" s="12" t="str">
        <x:f>IF(K1329="P0","Primary seat + Hashlight/Lucerna","Seat lane")</x:f>
        <x:v>Seat lane</x:v>
      </x:c>
      <x:c r="AA1329" s="12" t="str">
        <x:f>IF(R1329="","no_claim_delta","claim_delta_present")</x:f>
        <x:v>no_claim_delta</x:v>
      </x:c>
      <x:c r="AB1329" s="12" t="str">
        <x:f>IF(S1329="","no_contradiction_delta","contradiction_delta_present")</x:f>
        <x:v>no_contradiction_delta</x:v>
      </x:c>
      <x:c r="AC1329" s="12" t="str">
        <x:f>IF(OR(ISNUMBER(SEARCH("hacker",LOWER(F1329&amp;" "&amp;H1329&amp;" "&amp;I1329&amp;" "&amp;M1329&amp;" "&amp;N1329&amp;" "&amp;T1329))),ISNUMBER(SEARCH("hacking",LOWER(F1329&amp;" "&amp;H1329&amp;" "&amp;I1329&amp;" "&amp;M1329&amp;" "&amp;N1329&amp;" "&amp;T1329))),ISNUMBER(SEARCH("bank",LOWER(F1329&amp;" "&amp;H1329&amp;" "&amp;I1329&amp;" "&amp;M1329&amp;" "&amp;N1329&amp;" "&amp;T1329))),ISNUMBER(SEARCH("banking",LOWER(F1329&amp;" "&amp;H1329&amp;" "&amp;I1329&amp;" "&amp;M1329&amp;" "&amp;N1329&amp;" "&amp;T1329)))),"PRIVATE_QUARANTINE",IF(OR(ISNUMBER(SEARCH("treasury",LOWER(F1329&amp;" "&amp;H1329&amp;" "&amp;I1329&amp;" "&amp;M1329&amp;" "&amp;N1329&amp;" "&amp;T1329))),ISNUMBER(SEARCH("debt",LOWER(F1329&amp;" "&amp;H1329&amp;" "&amp;I1329&amp;" "&amp;M1329&amp;" "&amp;N1329&amp;" "&amp;T1329))),ISNUMBER(SEARCH("bond",LOWER(F1329&amp;" "&amp;H1329&amp;" "&amp;I1329&amp;" "&amp;M1329&amp;" "&amp;N1329&amp;" "&amp;T1329))),ISNUMBER(SEARCH("transaction",LOWER(F1329&amp;" "&amp;H1329&amp;" "&amp;I1329&amp;" "&amp;M1329&amp;" "&amp;N1329&amp;" "&amp;T1329)))),"PRIVATE_REVIEW","PUBLIC_CANDIDATE"))</x:f>
        <x:v>PUBLIC_CANDIDATE</x:v>
      </x:c>
      <x:c r="AD1329" s="12" t="str">
        <x:f>IF(AC1329="PRIVATE_QUARANTINE","hacker_or_bank_trigger",IF(AC1329="PRIVATE_REVIEW","finance_risk_trigger","none"))</x:f>
        <x:v>none</x:v>
      </x:c>
      <x:c r="AE1329" s="12" t="str">
        <x:f>IF(AC1329="PUBLIC_CANDIDATE","prepare_public_github_candidate",IF(AC1329="PRIVATE_REVIEW","hold_for_private_review","quarantine_private_do_not_publish"))</x:f>
        <x:v>prepare_public_github_candidate</x:v>
      </x:c>
      <x:c r="AF1329" s="12" t="str">
        <x:f>IF(AC1329="PUBLIC_CANDIDATE","TIDELOCK + Lucerna",IF(AC1329="PRIVATE_REVIEW","AtlasBrain + Lucerna","TIDELOCK + Lucerna + Human-root"))</x:f>
        <x:v>TIDELOCK + Lucerna</x:v>
      </x:c>
      <x:c r="AG1329" s="12" t="str">
        <x:f>IF(AND(AC1329="PUBLIC_CANDIDATE",U1329&lt;&gt;"BLOCKED_PENDING_RECEIPT"),"READY_AFTER_RECEIPT","NOT_READY")</x:f>
        <x:v>NOT_READY</x:v>
      </x:c>
      <x:c r="AH1329" s="12" t="str">
        <x:f>IF(AC1329="PUBLIC_CANDIDATE","none",AD1329)</x:f>
        <x:v>none</x:v>
      </x:c>
      <x:c r="AI1329" s="12" t="str">
        <x:f>IF(AC1329="PUBLIC_CANDIDATE","archive/public_candidates/"&amp;A1329,"private_quarantine/"&amp;A1329)</x:f>
        <x:v>archive/public_candidates/SWARM-10-H03-S08</x:v>
      </x:c>
      <x:c r="AJ1329" s="12" t="str">
        <x:f>IF(AC1329="PUBLIC_CANDIDATE","public by default; still not canon","private/hold; do not publish")</x:f>
        <x:v>public by default; still not canon</x:v>
      </x:c>
      <x:c r="AK1329" s="12" t="str">
        <x:f>IF(AE1329="prepare_public_github_candidate","add receipt/status then mirror","resolve blocker before any public GitHub action")</x:f>
        <x:v>add receipt/status then mirror</x:v>
      </x:c>
    </x:row>
    <x:row r="1330">
      <x:c r="A1330" s="15" t="str">
        <x:v>SWARM-10-H03-S09</x:v>
      </x:c>
      <x:c r="B1330" s="15" t="str">
        <x:v>GitShelf</x:v>
      </x:c>
      <x:c r="C1330" s="15" t="str">
        <x:v>GitHub shelf builder</x:v>
      </x:c>
      <x:c r="D1330" s="15" t="str">
        <x:v>Raw Export Recovery</x:v>
      </x:c>
      <x:c r="E1330" s="15" t="str">
        <x:v>Aetherforge</x:v>
      </x:c>
      <x:c r="F1330" s="15" t="str">
        <x:v>Recover raw exports for Aetherforge — GitShelf</x:v>
      </x:c>
      <x:c r="G1330" s="15" t="str">
        <x:v>repo packet / manifest / issue template prep</x:v>
      </x:c>
      <x:c r="H1330" s="15" t="str">
        <x:v>source path + receipt + raw/export status + claim/edge/risk delta</x:v>
      </x:c>
      <x:c r="I1330" s="15" t="str">
        <x:v>packet/SWARM-10-H03-S09</x:v>
      </x:c>
      <x:c r="J1330" s="15" t="str">
        <x:v>TODO</x:v>
      </x:c>
      <x:c r="K1330" s="15" t="str">
        <x:v>P2</x:v>
      </x:c>
      <x:c r="L1330" s="15" t="str">
        <x:v>Done only when evidence is logged, contradiction search is noted, and boundary stamp remains non-canon unless ratified</x:v>
      </x:c>
      <x:c r="M1330" s="15" t="str">
        <x:v>candidate / staging-only / not canon / not deployed / authority none</x:v>
      </x:c>
      <x:c r="N1330" s="15" t="str">
        <x:v>Dispatch to GitShelf: complete Raw Export Recovery x Aetherforge; return deltas only, receipts required.</x:v>
      </x:c>
      <x:c r="O1330" s="15" t="str">
        <x:v>AF-KG-H03-S09</x:v>
      </x:c>
      <x:c r="P1330" s="15" t="str">
        <x:v>Unverified</x:v>
      </x:c>
      <x:c r="Q1330" s="15" t="str">
        <x:v>Not checked</x:v>
      </x:c>
      <x:c r="R1330" s="15" t="str"/>
      <x:c r="S1330" s="15" t="str"/>
      <x:c r="T1330" s="15" t="str">
        <x:v>Log first source path or blocker</x:v>
      </x:c>
      <x:c r="U1330" s="12" t="str">
        <x:f>IF(OR(P1330="Unverified",Q1330="Not checked"),"BLOCKED_PENDING_RECEIPT","READY_FOR_REVIEW")</x:f>
        <x:v>BLOCKED_PENDING_RECEIPT</x:v>
      </x:c>
      <x:c r="V1330" s="12" t="str">
        <x:f>IF(J1330="DONE","RETURNED",IF(U1330="BLOCKED_PENDING_RECEIPT","SOURCE_TOUCH_REQUIRED","IN_PROGRESS"))</x:f>
        <x:v>SOURCE_TOUCH_REQUIRED</x:v>
      </x:c>
      <x:c r="W1330" s="12" t="str">
        <x:f>IF(P1330="Unverified","missing_receipt","receipt_logged")</x:f>
        <x:v>missing_receipt</x:v>
      </x:c>
      <x:c r="X1330" s="12" t="str">
        <x:f>IF(Q1330="Not checked","raw_status_missing","raw_status_logged")</x:f>
        <x:v>raw_status_missing</x:v>
      </x:c>
      <x:c r="Y1330" s="12" t="str">
        <x:f>IF(U1330="BLOCKED_PENDING_RECEIPT","Log source path or blocker; do not promote","Route to review lane")</x:f>
        <x:v>Log source path or blocker; do not promote</x:v>
      </x:c>
      <x:c r="Z1330" s="12" t="str">
        <x:f>IF(K1330="P0","Primary seat + Hashlight/Lucerna","Seat lane")</x:f>
        <x:v>Seat lane</x:v>
      </x:c>
      <x:c r="AA1330" s="12" t="str">
        <x:f>IF(R1330="","no_claim_delta","claim_delta_present")</x:f>
        <x:v>no_claim_delta</x:v>
      </x:c>
      <x:c r="AB1330" s="12" t="str">
        <x:f>IF(S1330="","no_contradiction_delta","contradiction_delta_present")</x:f>
        <x:v>no_contradiction_delta</x:v>
      </x:c>
      <x:c r="AC1330" s="12" t="str">
        <x:f>IF(OR(ISNUMBER(SEARCH("hacker",LOWER(F1330&amp;" "&amp;H1330&amp;" "&amp;I1330&amp;" "&amp;M1330&amp;" "&amp;N1330&amp;" "&amp;T1330))),ISNUMBER(SEARCH("hacking",LOWER(F1330&amp;" "&amp;H1330&amp;" "&amp;I1330&amp;" "&amp;M1330&amp;" "&amp;N1330&amp;" "&amp;T1330))),ISNUMBER(SEARCH("bank",LOWER(F1330&amp;" "&amp;H1330&amp;" "&amp;I1330&amp;" "&amp;M1330&amp;" "&amp;N1330&amp;" "&amp;T1330))),ISNUMBER(SEARCH("banking",LOWER(F1330&amp;" "&amp;H1330&amp;" "&amp;I1330&amp;" "&amp;M1330&amp;" "&amp;N1330&amp;" "&amp;T1330)))),"PRIVATE_QUARANTINE",IF(OR(ISNUMBER(SEARCH("treasury",LOWER(F1330&amp;" "&amp;H1330&amp;" "&amp;I1330&amp;" "&amp;M1330&amp;" "&amp;N1330&amp;" "&amp;T1330))),ISNUMBER(SEARCH("debt",LOWER(F1330&amp;" "&amp;H1330&amp;" "&amp;I1330&amp;" "&amp;M1330&amp;" "&amp;N1330&amp;" "&amp;T1330))),ISNUMBER(SEARCH("bond",LOWER(F1330&amp;" "&amp;H1330&amp;" "&amp;I1330&amp;" "&amp;M1330&amp;" "&amp;N1330&amp;" "&amp;T1330))),ISNUMBER(SEARCH("transaction",LOWER(F1330&amp;" "&amp;H1330&amp;" "&amp;I1330&amp;" "&amp;M1330&amp;" "&amp;N1330&amp;" "&amp;T1330)))),"PRIVATE_REVIEW","PUBLIC_CANDIDATE"))</x:f>
        <x:v>PUBLIC_CANDIDATE</x:v>
      </x:c>
      <x:c r="AD1330" s="12" t="str">
        <x:f>IF(AC1330="PRIVATE_QUARANTINE","hacker_or_bank_trigger",IF(AC1330="PRIVATE_REVIEW","finance_risk_trigger","none"))</x:f>
        <x:v>none</x:v>
      </x:c>
      <x:c r="AE1330" s="12" t="str">
        <x:f>IF(AC1330="PUBLIC_CANDIDATE","prepare_public_github_candidate",IF(AC1330="PRIVATE_REVIEW","hold_for_private_review","quarantine_private_do_not_publish"))</x:f>
        <x:v>prepare_public_github_candidate</x:v>
      </x:c>
      <x:c r="AF1330" s="12" t="str">
        <x:f>IF(AC1330="PUBLIC_CANDIDATE","TIDELOCK + Lucerna",IF(AC1330="PRIVATE_REVIEW","AtlasBrain + Lucerna","TIDELOCK + Lucerna + Human-root"))</x:f>
        <x:v>TIDELOCK + Lucerna</x:v>
      </x:c>
      <x:c r="AG1330" s="12" t="str">
        <x:f>IF(AND(AC1330="PUBLIC_CANDIDATE",U1330&lt;&gt;"BLOCKED_PENDING_RECEIPT"),"READY_AFTER_RECEIPT","NOT_READY")</x:f>
        <x:v>NOT_READY</x:v>
      </x:c>
      <x:c r="AH1330" s="12" t="str">
        <x:f>IF(AC1330="PUBLIC_CANDIDATE","none",AD1330)</x:f>
        <x:v>none</x:v>
      </x:c>
      <x:c r="AI1330" s="12" t="str">
        <x:f>IF(AC1330="PUBLIC_CANDIDATE","archive/public_candidates/"&amp;A1330,"private_quarantine/"&amp;A1330)</x:f>
        <x:v>archive/public_candidates/SWARM-10-H03-S09</x:v>
      </x:c>
      <x:c r="AJ1330" s="12" t="str">
        <x:f>IF(AC1330="PUBLIC_CANDIDATE","public by default; still not canon","private/hold; do not publish")</x:f>
        <x:v>public by default; still not canon</x:v>
      </x:c>
      <x:c r="AK1330" s="12" t="str">
        <x:f>IF(AE1330="prepare_public_github_candidate","add receipt/status then mirror","resolve blocker before any public GitHub action")</x:f>
        <x:v>add receipt/status then mirror</x:v>
      </x:c>
    </x:row>
    <x:row r="1331">
      <x:c r="A1331" s="15" t="str">
        <x:v>SWARM-10-H03-S10</x:v>
      </x:c>
      <x:c r="B1331" s="15" t="str">
        <x:v>GitShelf</x:v>
      </x:c>
      <x:c r="C1331" s="15" t="str">
        <x:v>GitHub shelf builder</x:v>
      </x:c>
      <x:c r="D1331" s="15" t="str">
        <x:v>Raw Export Recovery</x:v>
      </x:c>
      <x:c r="E1331" s="15" t="str">
        <x:v>Human-Root</x:v>
      </x:c>
      <x:c r="F1331" s="15" t="str">
        <x:v>Recover raw exports for Human-Root — GitShelf</x:v>
      </x:c>
      <x:c r="G1331" s="15" t="str">
        <x:v>repo packet / manifest / issue template prep</x:v>
      </x:c>
      <x:c r="H1331" s="15" t="str">
        <x:v>source path + receipt + raw/export status + claim/edge/risk delta</x:v>
      </x:c>
      <x:c r="I1331" s="15" t="str">
        <x:v>packet/SWARM-10-H03-S10</x:v>
      </x:c>
      <x:c r="J1331" s="15" t="str">
        <x:v>TODO</x:v>
      </x:c>
      <x:c r="K1331" s="15" t="str">
        <x:v>P2</x:v>
      </x:c>
      <x:c r="L1331" s="15" t="str">
        <x:v>Done only when evidence is logged, contradiction search is noted, and boundary stamp remains non-canon unless ratified</x:v>
      </x:c>
      <x:c r="M1331" s="15" t="str">
        <x:v>candidate / staging-only / not canon / not deployed / authority none</x:v>
      </x:c>
      <x:c r="N1331" s="15" t="str">
        <x:v>Dispatch to GitShelf: complete Raw Export Recovery x Human-Root; return deltas only, receipts required.</x:v>
      </x:c>
      <x:c r="O1331" s="15" t="str">
        <x:v>AF-KG-H03-S10</x:v>
      </x:c>
      <x:c r="P1331" s="15" t="str">
        <x:v>Unverified</x:v>
      </x:c>
      <x:c r="Q1331" s="15" t="str">
        <x:v>Not checked</x:v>
      </x:c>
      <x:c r="R1331" s="15" t="str"/>
      <x:c r="S1331" s="15" t="str"/>
      <x:c r="T1331" s="15" t="str">
        <x:v>Log first source path or blocker</x:v>
      </x:c>
      <x:c r="U1331" s="12" t="str">
        <x:f>IF(OR(P1331="Unverified",Q1331="Not checked"),"BLOCKED_PENDING_RECEIPT","READY_FOR_REVIEW")</x:f>
        <x:v>BLOCKED_PENDING_RECEIPT</x:v>
      </x:c>
      <x:c r="V1331" s="12" t="str">
        <x:f>IF(J1331="DONE","RETURNED",IF(U1331="BLOCKED_PENDING_RECEIPT","SOURCE_TOUCH_REQUIRED","IN_PROGRESS"))</x:f>
        <x:v>SOURCE_TOUCH_REQUIRED</x:v>
      </x:c>
      <x:c r="W1331" s="12" t="str">
        <x:f>IF(P1331="Unverified","missing_receipt","receipt_logged")</x:f>
        <x:v>missing_receipt</x:v>
      </x:c>
      <x:c r="X1331" s="12" t="str">
        <x:f>IF(Q1331="Not checked","raw_status_missing","raw_status_logged")</x:f>
        <x:v>raw_status_missing</x:v>
      </x:c>
      <x:c r="Y1331" s="12" t="str">
        <x:f>IF(U1331="BLOCKED_PENDING_RECEIPT","Log source path or blocker; do not promote","Route to review lane")</x:f>
        <x:v>Log source path or blocker; do not promote</x:v>
      </x:c>
      <x:c r="Z1331" s="12" t="str">
        <x:f>IF(K1331="P0","Primary seat + Hashlight/Lucerna","Seat lane")</x:f>
        <x:v>Seat lane</x:v>
      </x:c>
      <x:c r="AA1331" s="12" t="str">
        <x:f>IF(R1331="","no_claim_delta","claim_delta_present")</x:f>
        <x:v>no_claim_delta</x:v>
      </x:c>
      <x:c r="AB1331" s="12" t="str">
        <x:f>IF(S1331="","no_contradiction_delta","contradiction_delta_present")</x:f>
        <x:v>no_contradiction_delta</x:v>
      </x:c>
      <x:c r="AC1331" s="12" t="str">
        <x:f>IF(OR(ISNUMBER(SEARCH("hacker",LOWER(F1331&amp;" "&amp;H1331&amp;" "&amp;I1331&amp;" "&amp;M1331&amp;" "&amp;N1331&amp;" "&amp;T1331))),ISNUMBER(SEARCH("hacking",LOWER(F1331&amp;" "&amp;H1331&amp;" "&amp;I1331&amp;" "&amp;M1331&amp;" "&amp;N1331&amp;" "&amp;T1331))),ISNUMBER(SEARCH("bank",LOWER(F1331&amp;" "&amp;H1331&amp;" "&amp;I1331&amp;" "&amp;M1331&amp;" "&amp;N1331&amp;" "&amp;T1331))),ISNUMBER(SEARCH("banking",LOWER(F1331&amp;" "&amp;H1331&amp;" "&amp;I1331&amp;" "&amp;M1331&amp;" "&amp;N1331&amp;" "&amp;T1331)))),"PRIVATE_QUARANTINE",IF(OR(ISNUMBER(SEARCH("treasury",LOWER(F1331&amp;" "&amp;H1331&amp;" "&amp;I1331&amp;" "&amp;M1331&amp;" "&amp;N1331&amp;" "&amp;T1331))),ISNUMBER(SEARCH("debt",LOWER(F1331&amp;" "&amp;H1331&amp;" "&amp;I1331&amp;" "&amp;M1331&amp;" "&amp;N1331&amp;" "&amp;T1331))),ISNUMBER(SEARCH("bond",LOWER(F1331&amp;" "&amp;H1331&amp;" "&amp;I1331&amp;" "&amp;M1331&amp;" "&amp;N1331&amp;" "&amp;T1331))),ISNUMBER(SEARCH("transaction",LOWER(F1331&amp;" "&amp;H1331&amp;" "&amp;I1331&amp;" "&amp;M1331&amp;" "&amp;N1331&amp;" "&amp;T1331)))),"PRIVATE_REVIEW","PUBLIC_CANDIDATE"))</x:f>
        <x:v>PUBLIC_CANDIDATE</x:v>
      </x:c>
      <x:c r="AD1331" s="12" t="str">
        <x:f>IF(AC1331="PRIVATE_QUARANTINE","hacker_or_bank_trigger",IF(AC1331="PRIVATE_REVIEW","finance_risk_trigger","none"))</x:f>
        <x:v>none</x:v>
      </x:c>
      <x:c r="AE1331" s="12" t="str">
        <x:f>IF(AC1331="PUBLIC_CANDIDATE","prepare_public_github_candidate",IF(AC1331="PRIVATE_REVIEW","hold_for_private_review","quarantine_private_do_not_publish"))</x:f>
        <x:v>prepare_public_github_candidate</x:v>
      </x:c>
      <x:c r="AF1331" s="12" t="str">
        <x:f>IF(AC1331="PUBLIC_CANDIDATE","TIDELOCK + Lucerna",IF(AC1331="PRIVATE_REVIEW","AtlasBrain + Lucerna","TIDELOCK + Lucerna + Human-root"))</x:f>
        <x:v>TIDELOCK + Lucerna</x:v>
      </x:c>
      <x:c r="AG1331" s="12" t="str">
        <x:f>IF(AND(AC1331="PUBLIC_CANDIDATE",U1331&lt;&gt;"BLOCKED_PENDING_RECEIPT"),"READY_AFTER_RECEIPT","NOT_READY")</x:f>
        <x:v>NOT_READY</x:v>
      </x:c>
      <x:c r="AH1331" s="12" t="str">
        <x:f>IF(AC1331="PUBLIC_CANDIDATE","none",AD1331)</x:f>
        <x:v>none</x:v>
      </x:c>
      <x:c r="AI1331" s="12" t="str">
        <x:f>IF(AC1331="PUBLIC_CANDIDATE","archive/public_candidates/"&amp;A1331,"private_quarantine/"&amp;A1331)</x:f>
        <x:v>archive/public_candidates/SWARM-10-H03-S10</x:v>
      </x:c>
      <x:c r="AJ1331" s="12" t="str">
        <x:f>IF(AC1331="PUBLIC_CANDIDATE","public by default; still not canon","private/hold; do not publish")</x:f>
        <x:v>public by default; still not canon</x:v>
      </x:c>
      <x:c r="AK1331" s="12" t="str">
        <x:f>IF(AE1331="prepare_public_github_candidate","add receipt/status then mirror","resolve blocker before any public GitHub action")</x:f>
        <x:v>add receipt/status then mirror</x:v>
      </x:c>
    </x:row>
    <x:row r="1332">
      <x:c r="A1332" s="15" t="str">
        <x:v>SWARM-10-H03-S11</x:v>
      </x:c>
      <x:c r="B1332" s="15" t="str">
        <x:v>GitShelf</x:v>
      </x:c>
      <x:c r="C1332" s="15" t="str">
        <x:v>GitHub shelf builder</x:v>
      </x:c>
      <x:c r="D1332" s="15" t="str">
        <x:v>Raw Export Recovery</x:v>
      </x:c>
      <x:c r="E1332" s="15" t="str">
        <x:v>Automation</x:v>
      </x:c>
      <x:c r="F1332" s="15" t="str">
        <x:v>Recover raw exports for Automation — GitShelf</x:v>
      </x:c>
      <x:c r="G1332" s="15" t="str">
        <x:v>repo packet / manifest / issue template prep</x:v>
      </x:c>
      <x:c r="H1332" s="15" t="str">
        <x:v>source path + receipt + raw/export status + claim/edge/risk delta</x:v>
      </x:c>
      <x:c r="I1332" s="15" t="str">
        <x:v>packet/SWARM-10-H03-S11</x:v>
      </x:c>
      <x:c r="J1332" s="15" t="str">
        <x:v>TODO</x:v>
      </x:c>
      <x:c r="K1332" s="15" t="str">
        <x:v>P2</x:v>
      </x:c>
      <x:c r="L1332" s="15" t="str">
        <x:v>Done only when evidence is logged, contradiction search is noted, and boundary stamp remains non-canon unless ratified</x:v>
      </x:c>
      <x:c r="M1332" s="15" t="str">
        <x:v>candidate / staging-only / not canon / not deployed / authority none</x:v>
      </x:c>
      <x:c r="N1332" s="15" t="str">
        <x:v>Dispatch to GitShelf: complete Raw Export Recovery x Automation; return deltas only, receipts required.</x:v>
      </x:c>
      <x:c r="O1332" s="15" t="str">
        <x:v>AF-KG-H03-S11</x:v>
      </x:c>
      <x:c r="P1332" s="15" t="str">
        <x:v>Unverified</x:v>
      </x:c>
      <x:c r="Q1332" s="15" t="str">
        <x:v>Not checked</x:v>
      </x:c>
      <x:c r="R1332" s="15" t="str"/>
      <x:c r="S1332" s="15" t="str"/>
      <x:c r="T1332" s="15" t="str">
        <x:v>Log first source path or blocker</x:v>
      </x:c>
      <x:c r="U1332" s="12" t="str">
        <x:f>IF(OR(P1332="Unverified",Q1332="Not checked"),"BLOCKED_PENDING_RECEIPT","READY_FOR_REVIEW")</x:f>
        <x:v>BLOCKED_PENDING_RECEIPT</x:v>
      </x:c>
      <x:c r="V1332" s="12" t="str">
        <x:f>IF(J1332="DONE","RETURNED",IF(U1332="BLOCKED_PENDING_RECEIPT","SOURCE_TOUCH_REQUIRED","IN_PROGRESS"))</x:f>
        <x:v>SOURCE_TOUCH_REQUIRED</x:v>
      </x:c>
      <x:c r="W1332" s="12" t="str">
        <x:f>IF(P1332="Unverified","missing_receipt","receipt_logged")</x:f>
        <x:v>missing_receipt</x:v>
      </x:c>
      <x:c r="X1332" s="12" t="str">
        <x:f>IF(Q1332="Not checked","raw_status_missing","raw_status_logged")</x:f>
        <x:v>raw_status_missing</x:v>
      </x:c>
      <x:c r="Y1332" s="12" t="str">
        <x:f>IF(U1332="BLOCKED_PENDING_RECEIPT","Log source path or blocker; do not promote","Route to review lane")</x:f>
        <x:v>Log source path or blocker; do not promote</x:v>
      </x:c>
      <x:c r="Z1332" s="12" t="str">
        <x:f>IF(K1332="P0","Primary seat + Hashlight/Lucerna","Seat lane")</x:f>
        <x:v>Seat lane</x:v>
      </x:c>
      <x:c r="AA1332" s="12" t="str">
        <x:f>IF(R1332="","no_claim_delta","claim_delta_present")</x:f>
        <x:v>no_claim_delta</x:v>
      </x:c>
      <x:c r="AB1332" s="12" t="str">
        <x:f>IF(S1332="","no_contradiction_delta","contradiction_delta_present")</x:f>
        <x:v>no_contradiction_delta</x:v>
      </x:c>
      <x:c r="AC1332" s="12" t="str">
        <x:f>IF(OR(ISNUMBER(SEARCH("hacker",LOWER(F1332&amp;" "&amp;H1332&amp;" "&amp;I1332&amp;" "&amp;M1332&amp;" "&amp;N1332&amp;" "&amp;T1332))),ISNUMBER(SEARCH("hacking",LOWER(F1332&amp;" "&amp;H1332&amp;" "&amp;I1332&amp;" "&amp;M1332&amp;" "&amp;N1332&amp;" "&amp;T1332))),ISNUMBER(SEARCH("bank",LOWER(F1332&amp;" "&amp;H1332&amp;" "&amp;I1332&amp;" "&amp;M1332&amp;" "&amp;N1332&amp;" "&amp;T1332))),ISNUMBER(SEARCH("banking",LOWER(F1332&amp;" "&amp;H1332&amp;" "&amp;I1332&amp;" "&amp;M1332&amp;" "&amp;N1332&amp;" "&amp;T1332)))),"PRIVATE_QUARANTINE",IF(OR(ISNUMBER(SEARCH("treasury",LOWER(F1332&amp;" "&amp;H1332&amp;" "&amp;I1332&amp;" "&amp;M1332&amp;" "&amp;N1332&amp;" "&amp;T1332))),ISNUMBER(SEARCH("debt",LOWER(F1332&amp;" "&amp;H1332&amp;" "&amp;I1332&amp;" "&amp;M1332&amp;" "&amp;N1332&amp;" "&amp;T1332))),ISNUMBER(SEARCH("bond",LOWER(F1332&amp;" "&amp;H1332&amp;" "&amp;I1332&amp;" "&amp;M1332&amp;" "&amp;N1332&amp;" "&amp;T1332))),ISNUMBER(SEARCH("transaction",LOWER(F1332&amp;" "&amp;H1332&amp;" "&amp;I1332&amp;" "&amp;M1332&amp;" "&amp;N1332&amp;" "&amp;T1332)))),"PRIVATE_REVIEW","PUBLIC_CANDIDATE"))</x:f>
        <x:v>PUBLIC_CANDIDATE</x:v>
      </x:c>
      <x:c r="AD1332" s="12" t="str">
        <x:f>IF(AC1332="PRIVATE_QUARANTINE","hacker_or_bank_trigger",IF(AC1332="PRIVATE_REVIEW","finance_risk_trigger","none"))</x:f>
        <x:v>none</x:v>
      </x:c>
      <x:c r="AE1332" s="12" t="str">
        <x:f>IF(AC1332="PUBLIC_CANDIDATE","prepare_public_github_candidate",IF(AC1332="PRIVATE_REVIEW","hold_for_private_review","quarantine_private_do_not_publish"))</x:f>
        <x:v>prepare_public_github_candidate</x:v>
      </x:c>
      <x:c r="AF1332" s="12" t="str">
        <x:f>IF(AC1332="PUBLIC_CANDIDATE","TIDELOCK + Lucerna",IF(AC1332="PRIVATE_REVIEW","AtlasBrain + Lucerna","TIDELOCK + Lucerna + Human-root"))</x:f>
        <x:v>TIDELOCK + Lucerna</x:v>
      </x:c>
      <x:c r="AG1332" s="12" t="str">
        <x:f>IF(AND(AC1332="PUBLIC_CANDIDATE",U1332&lt;&gt;"BLOCKED_PENDING_RECEIPT"),"READY_AFTER_RECEIPT","NOT_READY")</x:f>
        <x:v>NOT_READY</x:v>
      </x:c>
      <x:c r="AH1332" s="12" t="str">
        <x:f>IF(AC1332="PUBLIC_CANDIDATE","none",AD1332)</x:f>
        <x:v>none</x:v>
      </x:c>
      <x:c r="AI1332" s="12" t="str">
        <x:f>IF(AC1332="PUBLIC_CANDIDATE","archive/public_candidates/"&amp;A1332,"private_quarantine/"&amp;A1332)</x:f>
        <x:v>archive/public_candidates/SWARM-10-H03-S11</x:v>
      </x:c>
      <x:c r="AJ1332" s="12" t="str">
        <x:f>IF(AC1332="PUBLIC_CANDIDATE","public by default; still not canon","private/hold; do not publish")</x:f>
        <x:v>public by default; still not canon</x:v>
      </x:c>
      <x:c r="AK1332" s="12" t="str">
        <x:f>IF(AE1332="prepare_public_github_candidate","add receipt/status then mirror","resolve blocker before any public GitHub action")</x:f>
        <x:v>add receipt/status then mirror</x:v>
      </x:c>
    </x:row>
    <x:row r="1333">
      <x:c r="A1333" s="15" t="str">
        <x:v>SWARM-10-H03-S12</x:v>
      </x:c>
      <x:c r="B1333" s="15" t="str">
        <x:v>GitShelf</x:v>
      </x:c>
      <x:c r="C1333" s="15" t="str">
        <x:v>GitHub shelf builder</x:v>
      </x:c>
      <x:c r="D1333" s="15" t="str">
        <x:v>Raw Export Recovery</x:v>
      </x:c>
      <x:c r="E1333" s="15" t="str">
        <x:v>Risk / Safety</x:v>
      </x:c>
      <x:c r="F1333" s="15" t="str">
        <x:v>Recover raw exports for Risk / Safety — GitShelf</x:v>
      </x:c>
      <x:c r="G1333" s="15" t="str">
        <x:v>repo packet / manifest / issue template prep</x:v>
      </x:c>
      <x:c r="H1333" s="15" t="str">
        <x:v>source path + receipt + raw/export status + claim/edge/risk delta</x:v>
      </x:c>
      <x:c r="I1333" s="15" t="str">
        <x:v>packet/SWARM-10-H03-S12</x:v>
      </x:c>
      <x:c r="J1333" s="15" t="str">
        <x:v>TODO</x:v>
      </x:c>
      <x:c r="K1333" s="15" t="str">
        <x:v>P2</x:v>
      </x:c>
      <x:c r="L1333" s="15" t="str">
        <x:v>Done only when evidence is logged, contradiction search is noted, and boundary stamp remains non-canon unless ratified</x:v>
      </x:c>
      <x:c r="M1333" s="15" t="str">
        <x:v>candidate / staging-only / not canon / not deployed / authority none</x:v>
      </x:c>
      <x:c r="N1333" s="15" t="str">
        <x:v>Dispatch to GitShelf: complete Raw Export Recovery x Risk / Safety; return deltas only, receipts required.</x:v>
      </x:c>
      <x:c r="O1333" s="15" t="str">
        <x:v>AF-KG-H03-S12</x:v>
      </x:c>
      <x:c r="P1333" s="15" t="str">
        <x:v>Unverified</x:v>
      </x:c>
      <x:c r="Q1333" s="15" t="str">
        <x:v>Not checked</x:v>
      </x:c>
      <x:c r="R1333" s="15" t="str"/>
      <x:c r="S1333" s="15" t="str"/>
      <x:c r="T1333" s="15" t="str">
        <x:v>Log first source path or blocker</x:v>
      </x:c>
      <x:c r="U1333" s="12" t="str">
        <x:f>IF(OR(P1333="Unverified",Q1333="Not checked"),"BLOCKED_PENDING_RECEIPT","READY_FOR_REVIEW")</x:f>
        <x:v>BLOCKED_PENDING_RECEIPT</x:v>
      </x:c>
      <x:c r="V1333" s="12" t="str">
        <x:f>IF(J1333="DONE","RETURNED",IF(U1333="BLOCKED_PENDING_RECEIPT","SOURCE_TOUCH_REQUIRED","IN_PROGRESS"))</x:f>
        <x:v>SOURCE_TOUCH_REQUIRED</x:v>
      </x:c>
      <x:c r="W1333" s="12" t="str">
        <x:f>IF(P1333="Unverified","missing_receipt","receipt_logged")</x:f>
        <x:v>missing_receipt</x:v>
      </x:c>
      <x:c r="X1333" s="12" t="str">
        <x:f>IF(Q1333="Not checked","raw_status_missing","raw_status_logged")</x:f>
        <x:v>raw_status_missing</x:v>
      </x:c>
      <x:c r="Y1333" s="12" t="str">
        <x:f>IF(U1333="BLOCKED_PENDING_RECEIPT","Log source path or blocker; do not promote","Route to review lane")</x:f>
        <x:v>Log source path or blocker; do not promote</x:v>
      </x:c>
      <x:c r="Z1333" s="12" t="str">
        <x:f>IF(K1333="P0","Primary seat + Hashlight/Lucerna","Seat lane")</x:f>
        <x:v>Seat lane</x:v>
      </x:c>
      <x:c r="AA1333" s="12" t="str">
        <x:f>IF(R1333="","no_claim_delta","claim_delta_present")</x:f>
        <x:v>no_claim_delta</x:v>
      </x:c>
      <x:c r="AB1333" s="12" t="str">
        <x:f>IF(S1333="","no_contradiction_delta","contradiction_delta_present")</x:f>
        <x:v>no_contradiction_delta</x:v>
      </x:c>
      <x:c r="AC1333" s="12" t="str">
        <x:f>IF(OR(ISNUMBER(SEARCH("hacker",LOWER(F1333&amp;" "&amp;H1333&amp;" "&amp;I1333&amp;" "&amp;M1333&amp;" "&amp;N1333&amp;" "&amp;T1333))),ISNUMBER(SEARCH("hacking",LOWER(F1333&amp;" "&amp;H1333&amp;" "&amp;I1333&amp;" "&amp;M1333&amp;" "&amp;N1333&amp;" "&amp;T1333))),ISNUMBER(SEARCH("bank",LOWER(F1333&amp;" "&amp;H1333&amp;" "&amp;I1333&amp;" "&amp;M1333&amp;" "&amp;N1333&amp;" "&amp;T1333))),ISNUMBER(SEARCH("banking",LOWER(F1333&amp;" "&amp;H1333&amp;" "&amp;I1333&amp;" "&amp;M1333&amp;" "&amp;N1333&amp;" "&amp;T1333)))),"PRIVATE_QUARANTINE",IF(OR(ISNUMBER(SEARCH("treasury",LOWER(F1333&amp;" "&amp;H1333&amp;" "&amp;I1333&amp;" "&amp;M1333&amp;" "&amp;N1333&amp;" "&amp;T1333))),ISNUMBER(SEARCH("debt",LOWER(F1333&amp;" "&amp;H1333&amp;" "&amp;I1333&amp;" "&amp;M1333&amp;" "&amp;N1333&amp;" "&amp;T1333))),ISNUMBER(SEARCH("bond",LOWER(F1333&amp;" "&amp;H1333&amp;" "&amp;I1333&amp;" "&amp;M1333&amp;" "&amp;N1333&amp;" "&amp;T1333))),ISNUMBER(SEARCH("transaction",LOWER(F1333&amp;" "&amp;H1333&amp;" "&amp;I1333&amp;" "&amp;M1333&amp;" "&amp;N1333&amp;" "&amp;T1333)))),"PRIVATE_REVIEW","PUBLIC_CANDIDATE"))</x:f>
        <x:v>PUBLIC_CANDIDATE</x:v>
      </x:c>
      <x:c r="AD1333" s="12" t="str">
        <x:f>IF(AC1333="PRIVATE_QUARANTINE","hacker_or_bank_trigger",IF(AC1333="PRIVATE_REVIEW","finance_risk_trigger","none"))</x:f>
        <x:v>none</x:v>
      </x:c>
      <x:c r="AE1333" s="12" t="str">
        <x:f>IF(AC1333="PUBLIC_CANDIDATE","prepare_public_github_candidate",IF(AC1333="PRIVATE_REVIEW","hold_for_private_review","quarantine_private_do_not_publish"))</x:f>
        <x:v>prepare_public_github_candidate</x:v>
      </x:c>
      <x:c r="AF1333" s="12" t="str">
        <x:f>IF(AC1333="PUBLIC_CANDIDATE","TIDELOCK + Lucerna",IF(AC1333="PRIVATE_REVIEW","AtlasBrain + Lucerna","TIDELOCK + Lucerna + Human-root"))</x:f>
        <x:v>TIDELOCK + Lucerna</x:v>
      </x:c>
      <x:c r="AG1333" s="12" t="str">
        <x:f>IF(AND(AC1333="PUBLIC_CANDIDATE",U1333&lt;&gt;"BLOCKED_PENDING_RECEIPT"),"READY_AFTER_RECEIPT","NOT_READY")</x:f>
        <x:v>NOT_READY</x:v>
      </x:c>
      <x:c r="AH1333" s="12" t="str">
        <x:f>IF(AC1333="PUBLIC_CANDIDATE","none",AD1333)</x:f>
        <x:v>none</x:v>
      </x:c>
      <x:c r="AI1333" s="12" t="str">
        <x:f>IF(AC1333="PUBLIC_CANDIDATE","archive/public_candidates/"&amp;A1333,"private_quarantine/"&amp;A1333)</x:f>
        <x:v>archive/public_candidates/SWARM-10-H03-S12</x:v>
      </x:c>
      <x:c r="AJ1333" s="12" t="str">
        <x:f>IF(AC1333="PUBLIC_CANDIDATE","public by default; still not canon","private/hold; do not publish")</x:f>
        <x:v>public by default; still not canon</x:v>
      </x:c>
      <x:c r="AK1333" s="12" t="str">
        <x:f>IF(AE1333="prepare_public_github_candidate","add receipt/status then mirror","resolve blocker before any public GitHub action")</x:f>
        <x:v>add receipt/status then mirror</x:v>
      </x:c>
    </x:row>
    <x:row r="1334">
      <x:c r="A1334" s="15" t="str">
        <x:v>SWARM-10-H04-S01</x:v>
      </x:c>
      <x:c r="B1334" s="15" t="str">
        <x:v>GitShelf</x:v>
      </x:c>
      <x:c r="C1334" s="15" t="str">
        <x:v>GitHub shelf builder</x:v>
      </x:c>
      <x:c r="D1334" s="15" t="str">
        <x:v>Claim Extraction</x:v>
      </x:c>
      <x:c r="E1334" s="15" t="str">
        <x:v>Notion</x:v>
      </x:c>
      <x:c r="F1334" s="15" t="str">
        <x:v>Extract claims from Notion — GitShelf</x:v>
      </x:c>
      <x:c r="G1334" s="15" t="str">
        <x:v>repo packet / manifest / issue template prep</x:v>
      </x:c>
      <x:c r="H1334" s="15" t="str">
        <x:v>source path + receipt + raw/export status + claim/edge/risk delta</x:v>
      </x:c>
      <x:c r="I1334" s="15" t="str">
        <x:v>packet/SWARM-10-H04-S01</x:v>
      </x:c>
      <x:c r="J1334" s="15" t="str">
        <x:v>TODO</x:v>
      </x:c>
      <x:c r="K1334" s="15" t="str">
        <x:v>P0</x:v>
      </x:c>
      <x:c r="L1334" s="15" t="str">
        <x:v>Done only when evidence is logged, contradiction search is noted, and boundary stamp remains non-canon unless ratified</x:v>
      </x:c>
      <x:c r="M1334" s="15" t="str">
        <x:v>candidate / staging-only / not canon / not deployed / authority none</x:v>
      </x:c>
      <x:c r="N1334" s="15" t="str">
        <x:v>Dispatch to GitShelf: complete Claim Extraction x Notion; return deltas only, receipts required.</x:v>
      </x:c>
      <x:c r="O1334" s="15" t="str">
        <x:v>AF-KG-H04-S01</x:v>
      </x:c>
      <x:c r="P1334" s="15" t="str">
        <x:v>Unverified</x:v>
      </x:c>
      <x:c r="Q1334" s="15" t="str">
        <x:v>Not checked</x:v>
      </x:c>
      <x:c r="R1334" s="15" t="str"/>
      <x:c r="S1334" s="15" t="str"/>
      <x:c r="T1334" s="15" t="str">
        <x:v>Log first source path or blocker</x:v>
      </x:c>
      <x:c r="U1334" s="12" t="str">
        <x:f>IF(OR(P1334="Unverified",Q1334="Not checked"),"BLOCKED_PENDING_RECEIPT","READY_FOR_REVIEW")</x:f>
        <x:v>BLOCKED_PENDING_RECEIPT</x:v>
      </x:c>
      <x:c r="V1334" s="12" t="str">
        <x:f>IF(J1334="DONE","RETURNED",IF(U1334="BLOCKED_PENDING_RECEIPT","SOURCE_TOUCH_REQUIRED","IN_PROGRESS"))</x:f>
        <x:v>SOURCE_TOUCH_REQUIRED</x:v>
      </x:c>
      <x:c r="W1334" s="12" t="str">
        <x:f>IF(P1334="Unverified","missing_receipt","receipt_logged")</x:f>
        <x:v>missing_receipt</x:v>
      </x:c>
      <x:c r="X1334" s="12" t="str">
        <x:f>IF(Q1334="Not checked","raw_status_missing","raw_status_logged")</x:f>
        <x:v>raw_status_missing</x:v>
      </x:c>
      <x:c r="Y1334" s="12" t="str">
        <x:f>IF(U1334="BLOCKED_PENDING_RECEIPT","Log source path or blocker; do not promote","Route to review lane")</x:f>
        <x:v>Log source path or blocker; do not promote</x:v>
      </x:c>
      <x:c r="Z1334" s="12" t="str">
        <x:f>IF(K1334="P0","Primary seat + Hashlight/Lucerna","Seat lane")</x:f>
        <x:v>Primary seat + Hashlight/Lucerna</x:v>
      </x:c>
      <x:c r="AA1334" s="12" t="str">
        <x:f>IF(R1334="","no_claim_delta","claim_delta_present")</x:f>
        <x:v>no_claim_delta</x:v>
      </x:c>
      <x:c r="AB1334" s="12" t="str">
        <x:f>IF(S1334="","no_contradiction_delta","contradiction_delta_present")</x:f>
        <x:v>no_contradiction_delta</x:v>
      </x:c>
      <x:c r="AC1334" s="12" t="str">
        <x:f>IF(OR(ISNUMBER(SEARCH("hacker",LOWER(F1334&amp;" "&amp;H1334&amp;" "&amp;I1334&amp;" "&amp;M1334&amp;" "&amp;N1334&amp;" "&amp;T1334))),ISNUMBER(SEARCH("hacking",LOWER(F1334&amp;" "&amp;H1334&amp;" "&amp;I1334&amp;" "&amp;M1334&amp;" "&amp;N1334&amp;" "&amp;T1334))),ISNUMBER(SEARCH("bank",LOWER(F1334&amp;" "&amp;H1334&amp;" "&amp;I1334&amp;" "&amp;M1334&amp;" "&amp;N1334&amp;" "&amp;T1334))),ISNUMBER(SEARCH("banking",LOWER(F1334&amp;" "&amp;H1334&amp;" "&amp;I1334&amp;" "&amp;M1334&amp;" "&amp;N1334&amp;" "&amp;T1334)))),"PRIVATE_QUARANTINE",IF(OR(ISNUMBER(SEARCH("treasury",LOWER(F1334&amp;" "&amp;H1334&amp;" "&amp;I1334&amp;" "&amp;M1334&amp;" "&amp;N1334&amp;" "&amp;T1334))),ISNUMBER(SEARCH("debt",LOWER(F1334&amp;" "&amp;H1334&amp;" "&amp;I1334&amp;" "&amp;M1334&amp;" "&amp;N1334&amp;" "&amp;T1334))),ISNUMBER(SEARCH("bond",LOWER(F1334&amp;" "&amp;H1334&amp;" "&amp;I1334&amp;" "&amp;M1334&amp;" "&amp;N1334&amp;" "&amp;T1334))),ISNUMBER(SEARCH("transaction",LOWER(F1334&amp;" "&amp;H1334&amp;" "&amp;I1334&amp;" "&amp;M1334&amp;" "&amp;N1334&amp;" "&amp;T1334)))),"PRIVATE_REVIEW","PUBLIC_CANDIDATE"))</x:f>
        <x:v>PUBLIC_CANDIDATE</x:v>
      </x:c>
      <x:c r="AD1334" s="12" t="str">
        <x:f>IF(AC1334="PRIVATE_QUARANTINE","hacker_or_bank_trigger",IF(AC1334="PRIVATE_REVIEW","finance_risk_trigger","none"))</x:f>
        <x:v>none</x:v>
      </x:c>
      <x:c r="AE1334" s="12" t="str">
        <x:f>IF(AC1334="PUBLIC_CANDIDATE","prepare_public_github_candidate",IF(AC1334="PRIVATE_REVIEW","hold_for_private_review","quarantine_private_do_not_publish"))</x:f>
        <x:v>prepare_public_github_candidate</x:v>
      </x:c>
      <x:c r="AF1334" s="12" t="str">
        <x:f>IF(AC1334="PUBLIC_CANDIDATE","TIDELOCK + Lucerna",IF(AC1334="PRIVATE_REVIEW","AtlasBrain + Lucerna","TIDELOCK + Lucerna + Human-root"))</x:f>
        <x:v>TIDELOCK + Lucerna</x:v>
      </x:c>
      <x:c r="AG1334" s="12" t="str">
        <x:f>IF(AND(AC1334="PUBLIC_CANDIDATE",U1334&lt;&gt;"BLOCKED_PENDING_RECEIPT"),"READY_AFTER_RECEIPT","NOT_READY")</x:f>
        <x:v>NOT_READY</x:v>
      </x:c>
      <x:c r="AH1334" s="12" t="str">
        <x:f>IF(AC1334="PUBLIC_CANDIDATE","none",AD1334)</x:f>
        <x:v>none</x:v>
      </x:c>
      <x:c r="AI1334" s="12" t="str">
        <x:f>IF(AC1334="PUBLIC_CANDIDATE","archive/public_candidates/"&amp;A1334,"private_quarantine/"&amp;A1334)</x:f>
        <x:v>archive/public_candidates/SWARM-10-H04-S01</x:v>
      </x:c>
      <x:c r="AJ1334" s="12" t="str">
        <x:f>IF(AC1334="PUBLIC_CANDIDATE","public by default; still not canon","private/hold; do not publish")</x:f>
        <x:v>public by default; still not canon</x:v>
      </x:c>
      <x:c r="AK1334" s="12" t="str">
        <x:f>IF(AE1334="prepare_public_github_candidate","add receipt/status then mirror","resolve blocker before any public GitHub action")</x:f>
        <x:v>add receipt/status then mirror</x:v>
      </x:c>
    </x:row>
    <x:row r="1335">
      <x:c r="A1335" s="15" t="str">
        <x:v>SWARM-10-H04-S02</x:v>
      </x:c>
      <x:c r="B1335" s="15" t="str">
        <x:v>GitShelf</x:v>
      </x:c>
      <x:c r="C1335" s="15" t="str">
        <x:v>GitHub shelf builder</x:v>
      </x:c>
      <x:c r="D1335" s="15" t="str">
        <x:v>Claim Extraction</x:v>
      </x:c>
      <x:c r="E1335" s="15" t="str">
        <x:v>Drive</x:v>
      </x:c>
      <x:c r="F1335" s="15" t="str">
        <x:v>Extract claims from Drive — GitShelf</x:v>
      </x:c>
      <x:c r="G1335" s="15" t="str">
        <x:v>repo packet / manifest / issue template prep</x:v>
      </x:c>
      <x:c r="H1335" s="15" t="str">
        <x:v>source path + receipt + raw/export status + claim/edge/risk delta</x:v>
      </x:c>
      <x:c r="I1335" s="15" t="str">
        <x:v>packet/SWARM-10-H04-S02</x:v>
      </x:c>
      <x:c r="J1335" s="15" t="str">
        <x:v>TODO</x:v>
      </x:c>
      <x:c r="K1335" s="15" t="str">
        <x:v>P0</x:v>
      </x:c>
      <x:c r="L1335" s="15" t="str">
        <x:v>Done only when evidence is logged, contradiction search is noted, and boundary stamp remains non-canon unless ratified</x:v>
      </x:c>
      <x:c r="M1335" s="15" t="str">
        <x:v>candidate / staging-only / not canon / not deployed / authority none</x:v>
      </x:c>
      <x:c r="N1335" s="15" t="str">
        <x:v>Dispatch to GitShelf: complete Claim Extraction x Drive; return deltas only, receipts required.</x:v>
      </x:c>
      <x:c r="O1335" s="15" t="str">
        <x:v>AF-KG-H04-S02</x:v>
      </x:c>
      <x:c r="P1335" s="15" t="str">
        <x:v>Unverified</x:v>
      </x:c>
      <x:c r="Q1335" s="15" t="str">
        <x:v>Not checked</x:v>
      </x:c>
      <x:c r="R1335" s="15" t="str"/>
      <x:c r="S1335" s="15" t="str"/>
      <x:c r="T1335" s="15" t="str">
        <x:v>Log first source path or blocker</x:v>
      </x:c>
      <x:c r="U1335" s="12" t="str">
        <x:f>IF(OR(P1335="Unverified",Q1335="Not checked"),"BLOCKED_PENDING_RECEIPT","READY_FOR_REVIEW")</x:f>
        <x:v>BLOCKED_PENDING_RECEIPT</x:v>
      </x:c>
      <x:c r="V1335" s="12" t="str">
        <x:f>IF(J1335="DONE","RETURNED",IF(U1335="BLOCKED_PENDING_RECEIPT","SOURCE_TOUCH_REQUIRED","IN_PROGRESS"))</x:f>
        <x:v>SOURCE_TOUCH_REQUIRED</x:v>
      </x:c>
      <x:c r="W1335" s="12" t="str">
        <x:f>IF(P1335="Unverified","missing_receipt","receipt_logged")</x:f>
        <x:v>missing_receipt</x:v>
      </x:c>
      <x:c r="X1335" s="12" t="str">
        <x:f>IF(Q1335="Not checked","raw_status_missing","raw_status_logged")</x:f>
        <x:v>raw_status_missing</x:v>
      </x:c>
      <x:c r="Y1335" s="12" t="str">
        <x:f>IF(U1335="BLOCKED_PENDING_RECEIPT","Log source path or blocker; do not promote","Route to review lane")</x:f>
        <x:v>Log source path or blocker; do not promote</x:v>
      </x:c>
      <x:c r="Z1335" s="12" t="str">
        <x:f>IF(K1335="P0","Primary seat + Hashlight/Lucerna","Seat lane")</x:f>
        <x:v>Primary seat + Hashlight/Lucerna</x:v>
      </x:c>
      <x:c r="AA1335" s="12" t="str">
        <x:f>IF(R1335="","no_claim_delta","claim_delta_present")</x:f>
        <x:v>no_claim_delta</x:v>
      </x:c>
      <x:c r="AB1335" s="12" t="str">
        <x:f>IF(S1335="","no_contradiction_delta","contradiction_delta_present")</x:f>
        <x:v>no_contradiction_delta</x:v>
      </x:c>
      <x:c r="AC1335" s="12" t="str">
        <x:f>IF(OR(ISNUMBER(SEARCH("hacker",LOWER(F1335&amp;" "&amp;H1335&amp;" "&amp;I1335&amp;" "&amp;M1335&amp;" "&amp;N1335&amp;" "&amp;T1335))),ISNUMBER(SEARCH("hacking",LOWER(F1335&amp;" "&amp;H1335&amp;" "&amp;I1335&amp;" "&amp;M1335&amp;" "&amp;N1335&amp;" "&amp;T1335))),ISNUMBER(SEARCH("bank",LOWER(F1335&amp;" "&amp;H1335&amp;" "&amp;I1335&amp;" "&amp;M1335&amp;" "&amp;N1335&amp;" "&amp;T1335))),ISNUMBER(SEARCH("banking",LOWER(F1335&amp;" "&amp;H1335&amp;" "&amp;I1335&amp;" "&amp;M1335&amp;" "&amp;N1335&amp;" "&amp;T1335)))),"PRIVATE_QUARANTINE",IF(OR(ISNUMBER(SEARCH("treasury",LOWER(F1335&amp;" "&amp;H1335&amp;" "&amp;I1335&amp;" "&amp;M1335&amp;" "&amp;N1335&amp;" "&amp;T1335))),ISNUMBER(SEARCH("debt",LOWER(F1335&amp;" "&amp;H1335&amp;" "&amp;I1335&amp;" "&amp;M1335&amp;" "&amp;N1335&amp;" "&amp;T1335))),ISNUMBER(SEARCH("bond",LOWER(F1335&amp;" "&amp;H1335&amp;" "&amp;I1335&amp;" "&amp;M1335&amp;" "&amp;N1335&amp;" "&amp;T1335))),ISNUMBER(SEARCH("transaction",LOWER(F1335&amp;" "&amp;H1335&amp;" "&amp;I1335&amp;" "&amp;M1335&amp;" "&amp;N1335&amp;" "&amp;T1335)))),"PRIVATE_REVIEW","PUBLIC_CANDIDATE"))</x:f>
        <x:v>PUBLIC_CANDIDATE</x:v>
      </x:c>
      <x:c r="AD1335" s="12" t="str">
        <x:f>IF(AC1335="PRIVATE_QUARANTINE","hacker_or_bank_trigger",IF(AC1335="PRIVATE_REVIEW","finance_risk_trigger","none"))</x:f>
        <x:v>none</x:v>
      </x:c>
      <x:c r="AE1335" s="12" t="str">
        <x:f>IF(AC1335="PUBLIC_CANDIDATE","prepare_public_github_candidate",IF(AC1335="PRIVATE_REVIEW","hold_for_private_review","quarantine_private_do_not_publish"))</x:f>
        <x:v>prepare_public_github_candidate</x:v>
      </x:c>
      <x:c r="AF1335" s="12" t="str">
        <x:f>IF(AC1335="PUBLIC_CANDIDATE","TIDELOCK + Lucerna",IF(AC1335="PRIVATE_REVIEW","AtlasBrain + Lucerna","TIDELOCK + Lucerna + Human-root"))</x:f>
        <x:v>TIDELOCK + Lucerna</x:v>
      </x:c>
      <x:c r="AG1335" s="12" t="str">
        <x:f>IF(AND(AC1335="PUBLIC_CANDIDATE",U1335&lt;&gt;"BLOCKED_PENDING_RECEIPT"),"READY_AFTER_RECEIPT","NOT_READY")</x:f>
        <x:v>NOT_READY</x:v>
      </x:c>
      <x:c r="AH1335" s="12" t="str">
        <x:f>IF(AC1335="PUBLIC_CANDIDATE","none",AD1335)</x:f>
        <x:v>none</x:v>
      </x:c>
      <x:c r="AI1335" s="12" t="str">
        <x:f>IF(AC1335="PUBLIC_CANDIDATE","archive/public_candidates/"&amp;A1335,"private_quarantine/"&amp;A1335)</x:f>
        <x:v>archive/public_candidates/SWARM-10-H04-S02</x:v>
      </x:c>
      <x:c r="AJ1335" s="12" t="str">
        <x:f>IF(AC1335="PUBLIC_CANDIDATE","public by default; still not canon","private/hold; do not publish")</x:f>
        <x:v>public by default; still not canon</x:v>
      </x:c>
      <x:c r="AK1335" s="12" t="str">
        <x:f>IF(AE1335="prepare_public_github_candidate","add receipt/status then mirror","resolve blocker before any public GitHub action")</x:f>
        <x:v>add receipt/status then mirror</x:v>
      </x:c>
    </x:row>
    <x:row r="1336">
      <x:c r="A1336" s="15" t="str">
        <x:v>SWARM-10-H04-S03</x:v>
      </x:c>
      <x:c r="B1336" s="15" t="str">
        <x:v>GitShelf</x:v>
      </x:c>
      <x:c r="C1336" s="15" t="str">
        <x:v>GitHub shelf builder</x:v>
      </x:c>
      <x:c r="D1336" s="15" t="str">
        <x:v>Claim Extraction</x:v>
      </x:c>
      <x:c r="E1336" s="15" t="str">
        <x:v>GitHub</x:v>
      </x:c>
      <x:c r="F1336" s="15" t="str">
        <x:v>Extract claims from GitHub — GitShelf</x:v>
      </x:c>
      <x:c r="G1336" s="15" t="str">
        <x:v>repo packet / manifest / issue template prep</x:v>
      </x:c>
      <x:c r="H1336" s="15" t="str">
        <x:v>source path + receipt + raw/export status + claim/edge/risk delta</x:v>
      </x:c>
      <x:c r="I1336" s="15" t="str">
        <x:v>packet/SWARM-10-H04-S03</x:v>
      </x:c>
      <x:c r="J1336" s="15" t="str">
        <x:v>TODO</x:v>
      </x:c>
      <x:c r="K1336" s="15" t="str">
        <x:v>P0</x:v>
      </x:c>
      <x:c r="L1336" s="15" t="str">
        <x:v>Done only when evidence is logged, contradiction search is noted, and boundary stamp remains non-canon unless ratified</x:v>
      </x:c>
      <x:c r="M1336" s="15" t="str">
        <x:v>candidate / staging-only / not canon / not deployed / authority none</x:v>
      </x:c>
      <x:c r="N1336" s="15" t="str">
        <x:v>Dispatch to GitShelf: complete Claim Extraction x GitHub; return deltas only, receipts required.</x:v>
      </x:c>
      <x:c r="O1336" s="15" t="str">
        <x:v>AF-KG-H04-S03</x:v>
      </x:c>
      <x:c r="P1336" s="15" t="str">
        <x:v>Unverified</x:v>
      </x:c>
      <x:c r="Q1336" s="15" t="str">
        <x:v>Not checked</x:v>
      </x:c>
      <x:c r="R1336" s="15" t="str"/>
      <x:c r="S1336" s="15" t="str"/>
      <x:c r="T1336" s="15" t="str">
        <x:v>Log first source path or blocker</x:v>
      </x:c>
      <x:c r="U1336" s="12" t="str">
        <x:f>IF(OR(P1336="Unverified",Q1336="Not checked"),"BLOCKED_PENDING_RECEIPT","READY_FOR_REVIEW")</x:f>
        <x:v>BLOCKED_PENDING_RECEIPT</x:v>
      </x:c>
      <x:c r="V1336" s="12" t="str">
        <x:f>IF(J1336="DONE","RETURNED",IF(U1336="BLOCKED_PENDING_RECEIPT","SOURCE_TOUCH_REQUIRED","IN_PROGRESS"))</x:f>
        <x:v>SOURCE_TOUCH_REQUIRED</x:v>
      </x:c>
      <x:c r="W1336" s="12" t="str">
        <x:f>IF(P1336="Unverified","missing_receipt","receipt_logged")</x:f>
        <x:v>missing_receipt</x:v>
      </x:c>
      <x:c r="X1336" s="12" t="str">
        <x:f>IF(Q1336="Not checked","raw_status_missing","raw_status_logged")</x:f>
        <x:v>raw_status_missing</x:v>
      </x:c>
      <x:c r="Y1336" s="12" t="str">
        <x:f>IF(U1336="BLOCKED_PENDING_RECEIPT","Log source path or blocker; do not promote","Route to review lane")</x:f>
        <x:v>Log source path or blocker; do not promote</x:v>
      </x:c>
      <x:c r="Z1336" s="12" t="str">
        <x:f>IF(K1336="P0","Primary seat + Hashlight/Lucerna","Seat lane")</x:f>
        <x:v>Primary seat + Hashlight/Lucerna</x:v>
      </x:c>
      <x:c r="AA1336" s="12" t="str">
        <x:f>IF(R1336="","no_claim_delta","claim_delta_present")</x:f>
        <x:v>no_claim_delta</x:v>
      </x:c>
      <x:c r="AB1336" s="12" t="str">
        <x:f>IF(S1336="","no_contradiction_delta","contradiction_delta_present")</x:f>
        <x:v>no_contradiction_delta</x:v>
      </x:c>
      <x:c r="AC1336" s="12" t="str">
        <x:f>IF(OR(ISNUMBER(SEARCH("hacker",LOWER(F1336&amp;" "&amp;H1336&amp;" "&amp;I1336&amp;" "&amp;M1336&amp;" "&amp;N1336&amp;" "&amp;T1336))),ISNUMBER(SEARCH("hacking",LOWER(F1336&amp;" "&amp;H1336&amp;" "&amp;I1336&amp;" "&amp;M1336&amp;" "&amp;N1336&amp;" "&amp;T1336))),ISNUMBER(SEARCH("bank",LOWER(F1336&amp;" "&amp;H1336&amp;" "&amp;I1336&amp;" "&amp;M1336&amp;" "&amp;N1336&amp;" "&amp;T1336))),ISNUMBER(SEARCH("banking",LOWER(F1336&amp;" "&amp;H1336&amp;" "&amp;I1336&amp;" "&amp;M1336&amp;" "&amp;N1336&amp;" "&amp;T1336)))),"PRIVATE_QUARANTINE",IF(OR(ISNUMBER(SEARCH("treasury",LOWER(F1336&amp;" "&amp;H1336&amp;" "&amp;I1336&amp;" "&amp;M1336&amp;" "&amp;N1336&amp;" "&amp;T1336))),ISNUMBER(SEARCH("debt",LOWER(F1336&amp;" "&amp;H1336&amp;" "&amp;I1336&amp;" "&amp;M1336&amp;" "&amp;N1336&amp;" "&amp;T1336))),ISNUMBER(SEARCH("bond",LOWER(F1336&amp;" "&amp;H1336&amp;" "&amp;I1336&amp;" "&amp;M1336&amp;" "&amp;N1336&amp;" "&amp;T1336))),ISNUMBER(SEARCH("transaction",LOWER(F1336&amp;" "&amp;H1336&amp;" "&amp;I1336&amp;" "&amp;M1336&amp;" "&amp;N1336&amp;" "&amp;T1336)))),"PRIVATE_REVIEW","PUBLIC_CANDIDATE"))</x:f>
        <x:v>PUBLIC_CANDIDATE</x:v>
      </x:c>
      <x:c r="AD1336" s="12" t="str">
        <x:f>IF(AC1336="PRIVATE_QUARANTINE","hacker_or_bank_trigger",IF(AC1336="PRIVATE_REVIEW","finance_risk_trigger","none"))</x:f>
        <x:v>none</x:v>
      </x:c>
      <x:c r="AE1336" s="12" t="str">
        <x:f>IF(AC1336="PUBLIC_CANDIDATE","prepare_public_github_candidate",IF(AC1336="PRIVATE_REVIEW","hold_for_private_review","quarantine_private_do_not_publish"))</x:f>
        <x:v>prepare_public_github_candidate</x:v>
      </x:c>
      <x:c r="AF1336" s="12" t="str">
        <x:f>IF(AC1336="PUBLIC_CANDIDATE","TIDELOCK + Lucerna",IF(AC1336="PRIVATE_REVIEW","AtlasBrain + Lucerna","TIDELOCK + Lucerna + Human-root"))</x:f>
        <x:v>TIDELOCK + Lucerna</x:v>
      </x:c>
      <x:c r="AG1336" s="12" t="str">
        <x:f>IF(AND(AC1336="PUBLIC_CANDIDATE",U1336&lt;&gt;"BLOCKED_PENDING_RECEIPT"),"READY_AFTER_RECEIPT","NOT_READY")</x:f>
        <x:v>NOT_READY</x:v>
      </x:c>
      <x:c r="AH1336" s="12" t="str">
        <x:f>IF(AC1336="PUBLIC_CANDIDATE","none",AD1336)</x:f>
        <x:v>none</x:v>
      </x:c>
      <x:c r="AI1336" s="12" t="str">
        <x:f>IF(AC1336="PUBLIC_CANDIDATE","archive/public_candidates/"&amp;A1336,"private_quarantine/"&amp;A1336)</x:f>
        <x:v>archive/public_candidates/SWARM-10-H04-S03</x:v>
      </x:c>
      <x:c r="AJ1336" s="12" t="str">
        <x:f>IF(AC1336="PUBLIC_CANDIDATE","public by default; still not canon","private/hold; do not publish")</x:f>
        <x:v>public by default; still not canon</x:v>
      </x:c>
      <x:c r="AK1336" s="12" t="str">
        <x:f>IF(AE1336="prepare_public_github_candidate","add receipt/status then mirror","resolve blocker before any public GitHub action")</x:f>
        <x:v>add receipt/status then mirror</x:v>
      </x:c>
    </x:row>
    <x:row r="1337">
      <x:c r="A1337" s="15" t="str">
        <x:v>SWARM-10-H04-S04</x:v>
      </x:c>
      <x:c r="B1337" s="15" t="str">
        <x:v>GitShelf</x:v>
      </x:c>
      <x:c r="C1337" s="15" t="str">
        <x:v>GitHub shelf builder</x:v>
      </x:c>
      <x:c r="D1337" s="15" t="str">
        <x:v>Claim Extraction</x:v>
      </x:c>
      <x:c r="E1337" s="15" t="str">
        <x:v>Gamma</x:v>
      </x:c>
      <x:c r="F1337" s="15" t="str">
        <x:v>Extract claims from Gamma — GitShelf</x:v>
      </x:c>
      <x:c r="G1337" s="15" t="str">
        <x:v>repo packet / manifest / issue template prep</x:v>
      </x:c>
      <x:c r="H1337" s="15" t="str">
        <x:v>source path + receipt + raw/export status + claim/edge/risk delta</x:v>
      </x:c>
      <x:c r="I1337" s="15" t="str">
        <x:v>packet/SWARM-10-H04-S04</x:v>
      </x:c>
      <x:c r="J1337" s="15" t="str">
        <x:v>TODO</x:v>
      </x:c>
      <x:c r="K1337" s="15" t="str">
        <x:v>P1</x:v>
      </x:c>
      <x:c r="L1337" s="15" t="str">
        <x:v>Done only when evidence is logged, contradiction search is noted, and boundary stamp remains non-canon unless ratified</x:v>
      </x:c>
      <x:c r="M1337" s="15" t="str">
        <x:v>candidate / staging-only / not canon / not deployed / authority none</x:v>
      </x:c>
      <x:c r="N1337" s="15" t="str">
        <x:v>Dispatch to GitShelf: complete Claim Extraction x Gamma; return deltas only, receipts required.</x:v>
      </x:c>
      <x:c r="O1337" s="15" t="str">
        <x:v>AF-KG-H04-S04</x:v>
      </x:c>
      <x:c r="P1337" s="15" t="str">
        <x:v>Unverified</x:v>
      </x:c>
      <x:c r="Q1337" s="15" t="str">
        <x:v>Not checked</x:v>
      </x:c>
      <x:c r="R1337" s="15" t="str"/>
      <x:c r="S1337" s="15" t="str"/>
      <x:c r="T1337" s="15" t="str">
        <x:v>Log first source path or blocker</x:v>
      </x:c>
      <x:c r="U1337" s="12" t="str">
        <x:f>IF(OR(P1337="Unverified",Q1337="Not checked"),"BLOCKED_PENDING_RECEIPT","READY_FOR_REVIEW")</x:f>
        <x:v>BLOCKED_PENDING_RECEIPT</x:v>
      </x:c>
      <x:c r="V1337" s="12" t="str">
        <x:f>IF(J1337="DONE","RETURNED",IF(U1337="BLOCKED_PENDING_RECEIPT","SOURCE_TOUCH_REQUIRED","IN_PROGRESS"))</x:f>
        <x:v>SOURCE_TOUCH_REQUIRED</x:v>
      </x:c>
      <x:c r="W1337" s="12" t="str">
        <x:f>IF(P1337="Unverified","missing_receipt","receipt_logged")</x:f>
        <x:v>missing_receipt</x:v>
      </x:c>
      <x:c r="X1337" s="12" t="str">
        <x:f>IF(Q1337="Not checked","raw_status_missing","raw_status_logged")</x:f>
        <x:v>raw_status_missing</x:v>
      </x:c>
      <x:c r="Y1337" s="12" t="str">
        <x:f>IF(U1337="BLOCKED_PENDING_RECEIPT","Log source path or blocker; do not promote","Route to review lane")</x:f>
        <x:v>Log source path or blocker; do not promote</x:v>
      </x:c>
      <x:c r="Z1337" s="12" t="str">
        <x:f>IF(K1337="P0","Primary seat + Hashlight/Lucerna","Seat lane")</x:f>
        <x:v>Seat lane</x:v>
      </x:c>
      <x:c r="AA1337" s="12" t="str">
        <x:f>IF(R1337="","no_claim_delta","claim_delta_present")</x:f>
        <x:v>no_claim_delta</x:v>
      </x:c>
      <x:c r="AB1337" s="12" t="str">
        <x:f>IF(S1337="","no_contradiction_delta","contradiction_delta_present")</x:f>
        <x:v>no_contradiction_delta</x:v>
      </x:c>
      <x:c r="AC1337" s="12" t="str">
        <x:f>IF(OR(ISNUMBER(SEARCH("hacker",LOWER(F1337&amp;" "&amp;H1337&amp;" "&amp;I1337&amp;" "&amp;M1337&amp;" "&amp;N1337&amp;" "&amp;T1337))),ISNUMBER(SEARCH("hacking",LOWER(F1337&amp;" "&amp;H1337&amp;" "&amp;I1337&amp;" "&amp;M1337&amp;" "&amp;N1337&amp;" "&amp;T1337))),ISNUMBER(SEARCH("bank",LOWER(F1337&amp;" "&amp;H1337&amp;" "&amp;I1337&amp;" "&amp;M1337&amp;" "&amp;N1337&amp;" "&amp;T1337))),ISNUMBER(SEARCH("banking",LOWER(F1337&amp;" "&amp;H1337&amp;" "&amp;I1337&amp;" "&amp;M1337&amp;" "&amp;N1337&amp;" "&amp;T1337)))),"PRIVATE_QUARANTINE",IF(OR(ISNUMBER(SEARCH("treasury",LOWER(F1337&amp;" "&amp;H1337&amp;" "&amp;I1337&amp;" "&amp;M1337&amp;" "&amp;N1337&amp;" "&amp;T1337))),ISNUMBER(SEARCH("debt",LOWER(F1337&amp;" "&amp;H1337&amp;" "&amp;I1337&amp;" "&amp;M1337&amp;" "&amp;N1337&amp;" "&amp;T1337))),ISNUMBER(SEARCH("bond",LOWER(F1337&amp;" "&amp;H1337&amp;" "&amp;I1337&amp;" "&amp;M1337&amp;" "&amp;N1337&amp;" "&amp;T1337))),ISNUMBER(SEARCH("transaction",LOWER(F1337&amp;" "&amp;H1337&amp;" "&amp;I1337&amp;" "&amp;M1337&amp;" "&amp;N1337&amp;" "&amp;T1337)))),"PRIVATE_REVIEW","PUBLIC_CANDIDATE"))</x:f>
        <x:v>PUBLIC_CANDIDATE</x:v>
      </x:c>
      <x:c r="AD1337" s="12" t="str">
        <x:f>IF(AC1337="PRIVATE_QUARANTINE","hacker_or_bank_trigger",IF(AC1337="PRIVATE_REVIEW","finance_risk_trigger","none"))</x:f>
        <x:v>none</x:v>
      </x:c>
      <x:c r="AE1337" s="12" t="str">
        <x:f>IF(AC1337="PUBLIC_CANDIDATE","prepare_public_github_candidate",IF(AC1337="PRIVATE_REVIEW","hold_for_private_review","quarantine_private_do_not_publish"))</x:f>
        <x:v>prepare_public_github_candidate</x:v>
      </x:c>
      <x:c r="AF1337" s="12" t="str">
        <x:f>IF(AC1337="PUBLIC_CANDIDATE","TIDELOCK + Lucerna",IF(AC1337="PRIVATE_REVIEW","AtlasBrain + Lucerna","TIDELOCK + Lucerna + Human-root"))</x:f>
        <x:v>TIDELOCK + Lucerna</x:v>
      </x:c>
      <x:c r="AG1337" s="12" t="str">
        <x:f>IF(AND(AC1337="PUBLIC_CANDIDATE",U1337&lt;&gt;"BLOCKED_PENDING_RECEIPT"),"READY_AFTER_RECEIPT","NOT_READY")</x:f>
        <x:v>NOT_READY</x:v>
      </x:c>
      <x:c r="AH1337" s="12" t="str">
        <x:f>IF(AC1337="PUBLIC_CANDIDATE","none",AD1337)</x:f>
        <x:v>none</x:v>
      </x:c>
      <x:c r="AI1337" s="12" t="str">
        <x:f>IF(AC1337="PUBLIC_CANDIDATE","archive/public_candidates/"&amp;A1337,"private_quarantine/"&amp;A1337)</x:f>
        <x:v>archive/public_candidates/SWARM-10-H04-S04</x:v>
      </x:c>
      <x:c r="AJ1337" s="12" t="str">
        <x:f>IF(AC1337="PUBLIC_CANDIDATE","public by default; still not canon","private/hold; do not publish")</x:f>
        <x:v>public by default; still not canon</x:v>
      </x:c>
      <x:c r="AK1337" s="12" t="str">
        <x:f>IF(AE1337="prepare_public_github_candidate","add receipt/status then mirror","resolve blocker before any public GitHub action")</x:f>
        <x:v>add receipt/status then mirror</x:v>
      </x:c>
    </x:row>
    <x:row r="1338">
      <x:c r="A1338" s="15" t="str">
        <x:v>SWARM-10-H04-S05</x:v>
      </x:c>
      <x:c r="B1338" s="15" t="str">
        <x:v>GitShelf</x:v>
      </x:c>
      <x:c r="C1338" s="15" t="str">
        <x:v>GitHub shelf builder</x:v>
      </x:c>
      <x:c r="D1338" s="15" t="str">
        <x:v>Claim Extraction</x:v>
      </x:c>
      <x:c r="E1338" s="15" t="str">
        <x:v>Chat</x:v>
      </x:c>
      <x:c r="F1338" s="15" t="str">
        <x:v>Extract claims from Chat — GitShelf</x:v>
      </x:c>
      <x:c r="G1338" s="15" t="str">
        <x:v>repo packet / manifest / issue template prep</x:v>
      </x:c>
      <x:c r="H1338" s="15" t="str">
        <x:v>source path + receipt + raw/export status + claim/edge/risk delta</x:v>
      </x:c>
      <x:c r="I1338" s="15" t="str">
        <x:v>packet/SWARM-10-H04-S05</x:v>
      </x:c>
      <x:c r="J1338" s="15" t="str">
        <x:v>TODO</x:v>
      </x:c>
      <x:c r="K1338" s="15" t="str">
        <x:v>P1</x:v>
      </x:c>
      <x:c r="L1338" s="15" t="str">
        <x:v>Done only when evidence is logged, contradiction search is noted, and boundary stamp remains non-canon unless ratified</x:v>
      </x:c>
      <x:c r="M1338" s="15" t="str">
        <x:v>candidate / staging-only / not canon / not deployed / authority none</x:v>
      </x:c>
      <x:c r="N1338" s="15" t="str">
        <x:v>Dispatch to GitShelf: complete Claim Extraction x Chat; return deltas only, receipts required.</x:v>
      </x:c>
      <x:c r="O1338" s="15" t="str">
        <x:v>AF-KG-H04-S05</x:v>
      </x:c>
      <x:c r="P1338" s="15" t="str">
        <x:v>Unverified</x:v>
      </x:c>
      <x:c r="Q1338" s="15" t="str">
        <x:v>Not checked</x:v>
      </x:c>
      <x:c r="R1338" s="15" t="str"/>
      <x:c r="S1338" s="15" t="str"/>
      <x:c r="T1338" s="15" t="str">
        <x:v>Log first source path or blocker</x:v>
      </x:c>
      <x:c r="U1338" s="12" t="str">
        <x:f>IF(OR(P1338="Unverified",Q1338="Not checked"),"BLOCKED_PENDING_RECEIPT","READY_FOR_REVIEW")</x:f>
        <x:v>BLOCKED_PENDING_RECEIPT</x:v>
      </x:c>
      <x:c r="V1338" s="12" t="str">
        <x:f>IF(J1338="DONE","RETURNED",IF(U1338="BLOCKED_PENDING_RECEIPT","SOURCE_TOUCH_REQUIRED","IN_PROGRESS"))</x:f>
        <x:v>SOURCE_TOUCH_REQUIRED</x:v>
      </x:c>
      <x:c r="W1338" s="12" t="str">
        <x:f>IF(P1338="Unverified","missing_receipt","receipt_logged")</x:f>
        <x:v>missing_receipt</x:v>
      </x:c>
      <x:c r="X1338" s="12" t="str">
        <x:f>IF(Q1338="Not checked","raw_status_missing","raw_status_logged")</x:f>
        <x:v>raw_status_missing</x:v>
      </x:c>
      <x:c r="Y1338" s="12" t="str">
        <x:f>IF(U1338="BLOCKED_PENDING_RECEIPT","Log source path or blocker; do not promote","Route to review lane")</x:f>
        <x:v>Log source path or blocker; do not promote</x:v>
      </x:c>
      <x:c r="Z1338" s="12" t="str">
        <x:f>IF(K1338="P0","Primary seat + Hashlight/Lucerna","Seat lane")</x:f>
        <x:v>Seat lane</x:v>
      </x:c>
      <x:c r="AA1338" s="12" t="str">
        <x:f>IF(R1338="","no_claim_delta","claim_delta_present")</x:f>
        <x:v>no_claim_delta</x:v>
      </x:c>
      <x:c r="AB1338" s="12" t="str">
        <x:f>IF(S1338="","no_contradiction_delta","contradiction_delta_present")</x:f>
        <x:v>no_contradiction_delta</x:v>
      </x:c>
      <x:c r="AC1338" s="12" t="str">
        <x:f>IF(OR(ISNUMBER(SEARCH("hacker",LOWER(F1338&amp;" "&amp;H1338&amp;" "&amp;I1338&amp;" "&amp;M1338&amp;" "&amp;N1338&amp;" "&amp;T1338))),ISNUMBER(SEARCH("hacking",LOWER(F1338&amp;" "&amp;H1338&amp;" "&amp;I1338&amp;" "&amp;M1338&amp;" "&amp;N1338&amp;" "&amp;T1338))),ISNUMBER(SEARCH("bank",LOWER(F1338&amp;" "&amp;H1338&amp;" "&amp;I1338&amp;" "&amp;M1338&amp;" "&amp;N1338&amp;" "&amp;T1338))),ISNUMBER(SEARCH("banking",LOWER(F1338&amp;" "&amp;H1338&amp;" "&amp;I1338&amp;" "&amp;M1338&amp;" "&amp;N1338&amp;" "&amp;T1338)))),"PRIVATE_QUARANTINE",IF(OR(ISNUMBER(SEARCH("treasury",LOWER(F1338&amp;" "&amp;H1338&amp;" "&amp;I1338&amp;" "&amp;M1338&amp;" "&amp;N1338&amp;" "&amp;T1338))),ISNUMBER(SEARCH("debt",LOWER(F1338&amp;" "&amp;H1338&amp;" "&amp;I1338&amp;" "&amp;M1338&amp;" "&amp;N1338&amp;" "&amp;T1338))),ISNUMBER(SEARCH("bond",LOWER(F1338&amp;" "&amp;H1338&amp;" "&amp;I1338&amp;" "&amp;M1338&amp;" "&amp;N1338&amp;" "&amp;T1338))),ISNUMBER(SEARCH("transaction",LOWER(F1338&amp;" "&amp;H1338&amp;" "&amp;I1338&amp;" "&amp;M1338&amp;" "&amp;N1338&amp;" "&amp;T1338)))),"PRIVATE_REVIEW","PUBLIC_CANDIDATE"))</x:f>
        <x:v>PUBLIC_CANDIDATE</x:v>
      </x:c>
      <x:c r="AD1338" s="12" t="str">
        <x:f>IF(AC1338="PRIVATE_QUARANTINE","hacker_or_bank_trigger",IF(AC1338="PRIVATE_REVIEW","finance_risk_trigger","none"))</x:f>
        <x:v>none</x:v>
      </x:c>
      <x:c r="AE1338" s="12" t="str">
        <x:f>IF(AC1338="PUBLIC_CANDIDATE","prepare_public_github_candidate",IF(AC1338="PRIVATE_REVIEW","hold_for_private_review","quarantine_private_do_not_publish"))</x:f>
        <x:v>prepare_public_github_candidate</x:v>
      </x:c>
      <x:c r="AF1338" s="12" t="str">
        <x:f>IF(AC1338="PUBLIC_CANDIDATE","TIDELOCK + Lucerna",IF(AC1338="PRIVATE_REVIEW","AtlasBrain + Lucerna","TIDELOCK + Lucerna + Human-root"))</x:f>
        <x:v>TIDELOCK + Lucerna</x:v>
      </x:c>
      <x:c r="AG1338" s="12" t="str">
        <x:f>IF(AND(AC1338="PUBLIC_CANDIDATE",U1338&lt;&gt;"BLOCKED_PENDING_RECEIPT"),"READY_AFTER_RECEIPT","NOT_READY")</x:f>
        <x:v>NOT_READY</x:v>
      </x:c>
      <x:c r="AH1338" s="12" t="str">
        <x:f>IF(AC1338="PUBLIC_CANDIDATE","none",AD1338)</x:f>
        <x:v>none</x:v>
      </x:c>
      <x:c r="AI1338" s="12" t="str">
        <x:f>IF(AC1338="PUBLIC_CANDIDATE","archive/public_candidates/"&amp;A1338,"private_quarantine/"&amp;A1338)</x:f>
        <x:v>archive/public_candidates/SWARM-10-H04-S05</x:v>
      </x:c>
      <x:c r="AJ1338" s="12" t="str">
        <x:f>IF(AC1338="PUBLIC_CANDIDATE","public by default; still not canon","private/hold; do not publish")</x:f>
        <x:v>public by default; still not canon</x:v>
      </x:c>
      <x:c r="AK1338" s="12" t="str">
        <x:f>IF(AE1338="prepare_public_github_candidate","add receipt/status then mirror","resolve blocker before any public GitHub action")</x:f>
        <x:v>add receipt/status then mirror</x:v>
      </x:c>
    </x:row>
    <x:row r="1339">
      <x:c r="A1339" s="15" t="str">
        <x:v>SWARM-10-H04-S06</x:v>
      </x:c>
      <x:c r="B1339" s="15" t="str">
        <x:v>GitShelf</x:v>
      </x:c>
      <x:c r="C1339" s="15" t="str">
        <x:v>GitHub shelf builder</x:v>
      </x:c>
      <x:c r="D1339" s="15" t="str">
        <x:v>Claim Extraction</x:v>
      </x:c>
      <x:c r="E1339" s="15" t="str">
        <x:v>External Web</x:v>
      </x:c>
      <x:c r="F1339" s="15" t="str">
        <x:v>Extract claims from External Web — GitShelf</x:v>
      </x:c>
      <x:c r="G1339" s="15" t="str">
        <x:v>repo packet / manifest / issue template prep</x:v>
      </x:c>
      <x:c r="H1339" s="15" t="str">
        <x:v>source path + receipt + raw/export status + claim/edge/risk delta</x:v>
      </x:c>
      <x:c r="I1339" s="15" t="str">
        <x:v>packet/SWARM-10-H04-S06</x:v>
      </x:c>
      <x:c r="J1339" s="15" t="str">
        <x:v>TODO</x:v>
      </x:c>
      <x:c r="K1339" s="15" t="str">
        <x:v>P1</x:v>
      </x:c>
      <x:c r="L1339" s="15" t="str">
        <x:v>Done only when evidence is logged, contradiction search is noted, and boundary stamp remains non-canon unless ratified</x:v>
      </x:c>
      <x:c r="M1339" s="15" t="str">
        <x:v>candidate / staging-only / not canon / not deployed / authority none</x:v>
      </x:c>
      <x:c r="N1339" s="15" t="str">
        <x:v>Dispatch to GitShelf: complete Claim Extraction x External Web; return deltas only, receipts required.</x:v>
      </x:c>
      <x:c r="O1339" s="15" t="str">
        <x:v>AF-KG-H04-S06</x:v>
      </x:c>
      <x:c r="P1339" s="15" t="str">
        <x:v>Unverified</x:v>
      </x:c>
      <x:c r="Q1339" s="15" t="str">
        <x:v>Not checked</x:v>
      </x:c>
      <x:c r="R1339" s="15" t="str"/>
      <x:c r="S1339" s="15" t="str"/>
      <x:c r="T1339" s="15" t="str">
        <x:v>Log first source path or blocker</x:v>
      </x:c>
      <x:c r="U1339" s="12" t="str">
        <x:f>IF(OR(P1339="Unverified",Q1339="Not checked"),"BLOCKED_PENDING_RECEIPT","READY_FOR_REVIEW")</x:f>
        <x:v>BLOCKED_PENDING_RECEIPT</x:v>
      </x:c>
      <x:c r="V1339" s="12" t="str">
        <x:f>IF(J1339="DONE","RETURNED",IF(U1339="BLOCKED_PENDING_RECEIPT","SOURCE_TOUCH_REQUIRED","IN_PROGRESS"))</x:f>
        <x:v>SOURCE_TOUCH_REQUIRED</x:v>
      </x:c>
      <x:c r="W1339" s="12" t="str">
        <x:f>IF(P1339="Unverified","missing_receipt","receipt_logged")</x:f>
        <x:v>missing_receipt</x:v>
      </x:c>
      <x:c r="X1339" s="12" t="str">
        <x:f>IF(Q1339="Not checked","raw_status_missing","raw_status_logged")</x:f>
        <x:v>raw_status_missing</x:v>
      </x:c>
      <x:c r="Y1339" s="12" t="str">
        <x:f>IF(U1339="BLOCKED_PENDING_RECEIPT","Log source path or blocker; do not promote","Route to review lane")</x:f>
        <x:v>Log source path or blocker; do not promote</x:v>
      </x:c>
      <x:c r="Z1339" s="12" t="str">
        <x:f>IF(K1339="P0","Primary seat + Hashlight/Lucerna","Seat lane")</x:f>
        <x:v>Seat lane</x:v>
      </x:c>
      <x:c r="AA1339" s="12" t="str">
        <x:f>IF(R1339="","no_claim_delta","claim_delta_present")</x:f>
        <x:v>no_claim_delta</x:v>
      </x:c>
      <x:c r="AB1339" s="12" t="str">
        <x:f>IF(S1339="","no_contradiction_delta","contradiction_delta_present")</x:f>
        <x:v>no_contradiction_delta</x:v>
      </x:c>
      <x:c r="AC1339" s="12" t="str">
        <x:f>IF(OR(ISNUMBER(SEARCH("hacker",LOWER(F1339&amp;" "&amp;H1339&amp;" "&amp;I1339&amp;" "&amp;M1339&amp;" "&amp;N1339&amp;" "&amp;T1339))),ISNUMBER(SEARCH("hacking",LOWER(F1339&amp;" "&amp;H1339&amp;" "&amp;I1339&amp;" "&amp;M1339&amp;" "&amp;N1339&amp;" "&amp;T1339))),ISNUMBER(SEARCH("bank",LOWER(F1339&amp;" "&amp;H1339&amp;" "&amp;I1339&amp;" "&amp;M1339&amp;" "&amp;N1339&amp;" "&amp;T1339))),ISNUMBER(SEARCH("banking",LOWER(F1339&amp;" "&amp;H1339&amp;" "&amp;I1339&amp;" "&amp;M1339&amp;" "&amp;N1339&amp;" "&amp;T1339)))),"PRIVATE_QUARANTINE",IF(OR(ISNUMBER(SEARCH("treasury",LOWER(F1339&amp;" "&amp;H1339&amp;" "&amp;I1339&amp;" "&amp;M1339&amp;" "&amp;N1339&amp;" "&amp;T1339))),ISNUMBER(SEARCH("debt",LOWER(F1339&amp;" "&amp;H1339&amp;" "&amp;I1339&amp;" "&amp;M1339&amp;" "&amp;N1339&amp;" "&amp;T1339))),ISNUMBER(SEARCH("bond",LOWER(F1339&amp;" "&amp;H1339&amp;" "&amp;I1339&amp;" "&amp;M1339&amp;" "&amp;N1339&amp;" "&amp;T1339))),ISNUMBER(SEARCH("transaction",LOWER(F1339&amp;" "&amp;H1339&amp;" "&amp;I1339&amp;" "&amp;M1339&amp;" "&amp;N1339&amp;" "&amp;T1339)))),"PRIVATE_REVIEW","PUBLIC_CANDIDATE"))</x:f>
        <x:v>PUBLIC_CANDIDATE</x:v>
      </x:c>
      <x:c r="AD1339" s="12" t="str">
        <x:f>IF(AC1339="PRIVATE_QUARANTINE","hacker_or_bank_trigger",IF(AC1339="PRIVATE_REVIEW","finance_risk_trigger","none"))</x:f>
        <x:v>none</x:v>
      </x:c>
      <x:c r="AE1339" s="12" t="str">
        <x:f>IF(AC1339="PUBLIC_CANDIDATE","prepare_public_github_candidate",IF(AC1339="PRIVATE_REVIEW","hold_for_private_review","quarantine_private_do_not_publish"))</x:f>
        <x:v>prepare_public_github_candidate</x:v>
      </x:c>
      <x:c r="AF1339" s="12" t="str">
        <x:f>IF(AC1339="PUBLIC_CANDIDATE","TIDELOCK + Lucerna",IF(AC1339="PRIVATE_REVIEW","AtlasBrain + Lucerna","TIDELOCK + Lucerna + Human-root"))</x:f>
        <x:v>TIDELOCK + Lucerna</x:v>
      </x:c>
      <x:c r="AG1339" s="12" t="str">
        <x:f>IF(AND(AC1339="PUBLIC_CANDIDATE",U1339&lt;&gt;"BLOCKED_PENDING_RECEIPT"),"READY_AFTER_RECEIPT","NOT_READY")</x:f>
        <x:v>NOT_READY</x:v>
      </x:c>
      <x:c r="AH1339" s="12" t="str">
        <x:f>IF(AC1339="PUBLIC_CANDIDATE","none",AD1339)</x:f>
        <x:v>none</x:v>
      </x:c>
      <x:c r="AI1339" s="12" t="str">
        <x:f>IF(AC1339="PUBLIC_CANDIDATE","archive/public_candidates/"&amp;A1339,"private_quarantine/"&amp;A1339)</x:f>
        <x:v>archive/public_candidates/SWARM-10-H04-S06</x:v>
      </x:c>
      <x:c r="AJ1339" s="12" t="str">
        <x:f>IF(AC1339="PUBLIC_CANDIDATE","public by default; still not canon","private/hold; do not publish")</x:f>
        <x:v>public by default; still not canon</x:v>
      </x:c>
      <x:c r="AK1339" s="12" t="str">
        <x:f>IF(AE1339="prepare_public_github_candidate","add receipt/status then mirror","resolve blocker before any public GitHub action")</x:f>
        <x:v>add receipt/status then mirror</x:v>
      </x:c>
    </x:row>
    <x:row r="1340">
      <x:c r="A1340" s="15" t="str">
        <x:v>SWARM-10-H04-S07</x:v>
      </x:c>
      <x:c r="B1340" s="15" t="str">
        <x:v>GitShelf</x:v>
      </x:c>
      <x:c r="C1340" s="15" t="str">
        <x:v>GitHub shelf builder</x:v>
      </x:c>
      <x:c r="D1340" s="15" t="str">
        <x:v>Claim Extraction</x:v>
      </x:c>
      <x:c r="E1340" s="15" t="str">
        <x:v>Planetarium</x:v>
      </x:c>
      <x:c r="F1340" s="15" t="str">
        <x:v>Extract claims from Planetarium — GitShelf</x:v>
      </x:c>
      <x:c r="G1340" s="15" t="str">
        <x:v>repo packet / manifest / issue template prep</x:v>
      </x:c>
      <x:c r="H1340" s="15" t="str">
        <x:v>source path + receipt + raw/export status + claim/edge/risk delta</x:v>
      </x:c>
      <x:c r="I1340" s="15" t="str">
        <x:v>packet/SWARM-10-H04-S07</x:v>
      </x:c>
      <x:c r="J1340" s="15" t="str">
        <x:v>TODO</x:v>
      </x:c>
      <x:c r="K1340" s="15" t="str">
        <x:v>P1</x:v>
      </x:c>
      <x:c r="L1340" s="15" t="str">
        <x:v>Done only when evidence is logged, contradiction search is noted, and boundary stamp remains non-canon unless ratified</x:v>
      </x:c>
      <x:c r="M1340" s="15" t="str">
        <x:v>candidate / staging-only / not canon / not deployed / authority none</x:v>
      </x:c>
      <x:c r="N1340" s="15" t="str">
        <x:v>Dispatch to GitShelf: complete Claim Extraction x Planetarium; return deltas only, receipts required.</x:v>
      </x:c>
      <x:c r="O1340" s="15" t="str">
        <x:v>AF-KG-H04-S07</x:v>
      </x:c>
      <x:c r="P1340" s="15" t="str">
        <x:v>Unverified</x:v>
      </x:c>
      <x:c r="Q1340" s="15" t="str">
        <x:v>Not checked</x:v>
      </x:c>
      <x:c r="R1340" s="15" t="str"/>
      <x:c r="S1340" s="15" t="str"/>
      <x:c r="T1340" s="15" t="str">
        <x:v>Log first source path or blocker</x:v>
      </x:c>
      <x:c r="U1340" s="12" t="str">
        <x:f>IF(OR(P1340="Unverified",Q1340="Not checked"),"BLOCKED_PENDING_RECEIPT","READY_FOR_REVIEW")</x:f>
        <x:v>BLOCKED_PENDING_RECEIPT</x:v>
      </x:c>
      <x:c r="V1340" s="12" t="str">
        <x:f>IF(J1340="DONE","RETURNED",IF(U1340="BLOCKED_PENDING_RECEIPT","SOURCE_TOUCH_REQUIRED","IN_PROGRESS"))</x:f>
        <x:v>SOURCE_TOUCH_REQUIRED</x:v>
      </x:c>
      <x:c r="W1340" s="12" t="str">
        <x:f>IF(P1340="Unverified","missing_receipt","receipt_logged")</x:f>
        <x:v>missing_receipt</x:v>
      </x:c>
      <x:c r="X1340" s="12" t="str">
        <x:f>IF(Q1340="Not checked","raw_status_missing","raw_status_logged")</x:f>
        <x:v>raw_status_missing</x:v>
      </x:c>
      <x:c r="Y1340" s="12" t="str">
        <x:f>IF(U1340="BLOCKED_PENDING_RECEIPT","Log source path or blocker; do not promote","Route to review lane")</x:f>
        <x:v>Log source path or blocker; do not promote</x:v>
      </x:c>
      <x:c r="Z1340" s="12" t="str">
        <x:f>IF(K1340="P0","Primary seat + Hashlight/Lucerna","Seat lane")</x:f>
        <x:v>Seat lane</x:v>
      </x:c>
      <x:c r="AA1340" s="12" t="str">
        <x:f>IF(R1340="","no_claim_delta","claim_delta_present")</x:f>
        <x:v>no_claim_delta</x:v>
      </x:c>
      <x:c r="AB1340" s="12" t="str">
        <x:f>IF(S1340="","no_contradiction_delta","contradiction_delta_present")</x:f>
        <x:v>no_contradiction_delta</x:v>
      </x:c>
      <x:c r="AC1340" s="12" t="str">
        <x:f>IF(OR(ISNUMBER(SEARCH("hacker",LOWER(F1340&amp;" "&amp;H1340&amp;" "&amp;I1340&amp;" "&amp;M1340&amp;" "&amp;N1340&amp;" "&amp;T1340))),ISNUMBER(SEARCH("hacking",LOWER(F1340&amp;" "&amp;H1340&amp;" "&amp;I1340&amp;" "&amp;M1340&amp;" "&amp;N1340&amp;" "&amp;T1340))),ISNUMBER(SEARCH("bank",LOWER(F1340&amp;" "&amp;H1340&amp;" "&amp;I1340&amp;" "&amp;M1340&amp;" "&amp;N1340&amp;" "&amp;T1340))),ISNUMBER(SEARCH("banking",LOWER(F1340&amp;" "&amp;H1340&amp;" "&amp;I1340&amp;" "&amp;M1340&amp;" "&amp;N1340&amp;" "&amp;T1340)))),"PRIVATE_QUARANTINE",IF(OR(ISNUMBER(SEARCH("treasury",LOWER(F1340&amp;" "&amp;H1340&amp;" "&amp;I1340&amp;" "&amp;M1340&amp;" "&amp;N1340&amp;" "&amp;T1340))),ISNUMBER(SEARCH("debt",LOWER(F1340&amp;" "&amp;H1340&amp;" "&amp;I1340&amp;" "&amp;M1340&amp;" "&amp;N1340&amp;" "&amp;T1340))),ISNUMBER(SEARCH("bond",LOWER(F1340&amp;" "&amp;H1340&amp;" "&amp;I1340&amp;" "&amp;M1340&amp;" "&amp;N1340&amp;" "&amp;T1340))),ISNUMBER(SEARCH("transaction",LOWER(F1340&amp;" "&amp;H1340&amp;" "&amp;I1340&amp;" "&amp;M1340&amp;" "&amp;N1340&amp;" "&amp;T1340)))),"PRIVATE_REVIEW","PUBLIC_CANDIDATE"))</x:f>
        <x:v>PUBLIC_CANDIDATE</x:v>
      </x:c>
      <x:c r="AD1340" s="12" t="str">
        <x:f>IF(AC1340="PRIVATE_QUARANTINE","hacker_or_bank_trigger",IF(AC1340="PRIVATE_REVIEW","finance_risk_trigger","none"))</x:f>
        <x:v>none</x:v>
      </x:c>
      <x:c r="AE1340" s="12" t="str">
        <x:f>IF(AC1340="PUBLIC_CANDIDATE","prepare_public_github_candidate",IF(AC1340="PRIVATE_REVIEW","hold_for_private_review","quarantine_private_do_not_publish"))</x:f>
        <x:v>prepare_public_github_candidate</x:v>
      </x:c>
      <x:c r="AF1340" s="12" t="str">
        <x:f>IF(AC1340="PUBLIC_CANDIDATE","TIDELOCK + Lucerna",IF(AC1340="PRIVATE_REVIEW","AtlasBrain + Lucerna","TIDELOCK + Lucerna + Human-root"))</x:f>
        <x:v>TIDELOCK + Lucerna</x:v>
      </x:c>
      <x:c r="AG1340" s="12" t="str">
        <x:f>IF(AND(AC1340="PUBLIC_CANDIDATE",U1340&lt;&gt;"BLOCKED_PENDING_RECEIPT"),"READY_AFTER_RECEIPT","NOT_READY")</x:f>
        <x:v>NOT_READY</x:v>
      </x:c>
      <x:c r="AH1340" s="12" t="str">
        <x:f>IF(AC1340="PUBLIC_CANDIDATE","none",AD1340)</x:f>
        <x:v>none</x:v>
      </x:c>
      <x:c r="AI1340" s="12" t="str">
        <x:f>IF(AC1340="PUBLIC_CANDIDATE","archive/public_candidates/"&amp;A1340,"private_quarantine/"&amp;A1340)</x:f>
        <x:v>archive/public_candidates/SWARM-10-H04-S07</x:v>
      </x:c>
      <x:c r="AJ1340" s="12" t="str">
        <x:f>IF(AC1340="PUBLIC_CANDIDATE","public by default; still not canon","private/hold; do not publish")</x:f>
        <x:v>public by default; still not canon</x:v>
      </x:c>
      <x:c r="AK1340" s="12" t="str">
        <x:f>IF(AE1340="prepare_public_github_candidate","add receipt/status then mirror","resolve blocker before any public GitHub action")</x:f>
        <x:v>add receipt/status then mirror</x:v>
      </x:c>
    </x:row>
    <x:row r="1341">
      <x:c r="A1341" s="15" t="str">
        <x:v>SWARM-10-H04-S08</x:v>
      </x:c>
      <x:c r="B1341" s="15" t="str">
        <x:v>GitShelf</x:v>
      </x:c>
      <x:c r="C1341" s="15" t="str">
        <x:v>GitHub shelf builder</x:v>
      </x:c>
      <x:c r="D1341" s="15" t="str">
        <x:v>Claim Extraction</x:v>
      </x:c>
      <x:c r="E1341" s="15" t="str">
        <x:v>Sheldonbrain</x:v>
      </x:c>
      <x:c r="F1341" s="15" t="str">
        <x:v>Extract claims from Sheldonbrain — GitShelf</x:v>
      </x:c>
      <x:c r="G1341" s="15" t="str">
        <x:v>repo packet / manifest / issue template prep</x:v>
      </x:c>
      <x:c r="H1341" s="15" t="str">
        <x:v>source path + receipt + raw/export status + claim/edge/risk delta</x:v>
      </x:c>
      <x:c r="I1341" s="15" t="str">
        <x:v>packet/SWARM-10-H04-S08</x:v>
      </x:c>
      <x:c r="J1341" s="15" t="str">
        <x:v>TODO</x:v>
      </x:c>
      <x:c r="K1341" s="15" t="str">
        <x:v>P1</x:v>
      </x:c>
      <x:c r="L1341" s="15" t="str">
        <x:v>Done only when evidence is logged, contradiction search is noted, and boundary stamp remains non-canon unless ratified</x:v>
      </x:c>
      <x:c r="M1341" s="15" t="str">
        <x:v>candidate / staging-only / not canon / not deployed / authority none</x:v>
      </x:c>
      <x:c r="N1341" s="15" t="str">
        <x:v>Dispatch to GitShelf: complete Claim Extraction x Sheldonbrain; return deltas only, receipts required.</x:v>
      </x:c>
      <x:c r="O1341" s="15" t="str">
        <x:v>AF-KG-H04-S08</x:v>
      </x:c>
      <x:c r="P1341" s="15" t="str">
        <x:v>Unverified</x:v>
      </x:c>
      <x:c r="Q1341" s="15" t="str">
        <x:v>Not checked</x:v>
      </x:c>
      <x:c r="R1341" s="15" t="str"/>
      <x:c r="S1341" s="15" t="str"/>
      <x:c r="T1341" s="15" t="str">
        <x:v>Log first source path or blocker</x:v>
      </x:c>
      <x:c r="U1341" s="12" t="str">
        <x:f>IF(OR(P1341="Unverified",Q1341="Not checked"),"BLOCKED_PENDING_RECEIPT","READY_FOR_REVIEW")</x:f>
        <x:v>BLOCKED_PENDING_RECEIPT</x:v>
      </x:c>
      <x:c r="V1341" s="12" t="str">
        <x:f>IF(J1341="DONE","RETURNED",IF(U1341="BLOCKED_PENDING_RECEIPT","SOURCE_TOUCH_REQUIRED","IN_PROGRESS"))</x:f>
        <x:v>SOURCE_TOUCH_REQUIRED</x:v>
      </x:c>
      <x:c r="W1341" s="12" t="str">
        <x:f>IF(P1341="Unverified","missing_receipt","receipt_logged")</x:f>
        <x:v>missing_receipt</x:v>
      </x:c>
      <x:c r="X1341" s="12" t="str">
        <x:f>IF(Q1341="Not checked","raw_status_missing","raw_status_logged")</x:f>
        <x:v>raw_status_missing</x:v>
      </x:c>
      <x:c r="Y1341" s="12" t="str">
        <x:f>IF(U1341="BLOCKED_PENDING_RECEIPT","Log source path or blocker; do not promote","Route to review lane")</x:f>
        <x:v>Log source path or blocker; do not promote</x:v>
      </x:c>
      <x:c r="Z1341" s="12" t="str">
        <x:f>IF(K1341="P0","Primary seat + Hashlight/Lucerna","Seat lane")</x:f>
        <x:v>Seat lane</x:v>
      </x:c>
      <x:c r="AA1341" s="12" t="str">
        <x:f>IF(R1341="","no_claim_delta","claim_delta_present")</x:f>
        <x:v>no_claim_delta</x:v>
      </x:c>
      <x:c r="AB1341" s="12" t="str">
        <x:f>IF(S1341="","no_contradiction_delta","contradiction_delta_present")</x:f>
        <x:v>no_contradiction_delta</x:v>
      </x:c>
      <x:c r="AC1341" s="12" t="str">
        <x:f>IF(OR(ISNUMBER(SEARCH("hacker",LOWER(F1341&amp;" "&amp;H1341&amp;" "&amp;I1341&amp;" "&amp;M1341&amp;" "&amp;N1341&amp;" "&amp;T1341))),ISNUMBER(SEARCH("hacking",LOWER(F1341&amp;" "&amp;H1341&amp;" "&amp;I1341&amp;" "&amp;M1341&amp;" "&amp;N1341&amp;" "&amp;T1341))),ISNUMBER(SEARCH("bank",LOWER(F1341&amp;" "&amp;H1341&amp;" "&amp;I1341&amp;" "&amp;M1341&amp;" "&amp;N1341&amp;" "&amp;T1341))),ISNUMBER(SEARCH("banking",LOWER(F1341&amp;" "&amp;H1341&amp;" "&amp;I1341&amp;" "&amp;M1341&amp;" "&amp;N1341&amp;" "&amp;T1341)))),"PRIVATE_QUARANTINE",IF(OR(ISNUMBER(SEARCH("treasury",LOWER(F1341&amp;" "&amp;H1341&amp;" "&amp;I1341&amp;" "&amp;M1341&amp;" "&amp;N1341&amp;" "&amp;T1341))),ISNUMBER(SEARCH("debt",LOWER(F1341&amp;" "&amp;H1341&amp;" "&amp;I1341&amp;" "&amp;M1341&amp;" "&amp;N1341&amp;" "&amp;T1341))),ISNUMBER(SEARCH("bond",LOWER(F1341&amp;" "&amp;H1341&amp;" "&amp;I1341&amp;" "&amp;M1341&amp;" "&amp;N1341&amp;" "&amp;T1341))),ISNUMBER(SEARCH("transaction",LOWER(F1341&amp;" "&amp;H1341&amp;" "&amp;I1341&amp;" "&amp;M1341&amp;" "&amp;N1341&amp;" "&amp;T1341)))),"PRIVATE_REVIEW","PUBLIC_CANDIDATE"))</x:f>
        <x:v>PUBLIC_CANDIDATE</x:v>
      </x:c>
      <x:c r="AD1341" s="12" t="str">
        <x:f>IF(AC1341="PRIVATE_QUARANTINE","hacker_or_bank_trigger",IF(AC1341="PRIVATE_REVIEW","finance_risk_trigger","none"))</x:f>
        <x:v>none</x:v>
      </x:c>
      <x:c r="AE1341" s="12" t="str">
        <x:f>IF(AC1341="PUBLIC_CANDIDATE","prepare_public_github_candidate",IF(AC1341="PRIVATE_REVIEW","hold_for_private_review","quarantine_private_do_not_publish"))</x:f>
        <x:v>prepare_public_github_candidate</x:v>
      </x:c>
      <x:c r="AF1341" s="12" t="str">
        <x:f>IF(AC1341="PUBLIC_CANDIDATE","TIDELOCK + Lucerna",IF(AC1341="PRIVATE_REVIEW","AtlasBrain + Lucerna","TIDELOCK + Lucerna + Human-root"))</x:f>
        <x:v>TIDELOCK + Lucerna</x:v>
      </x:c>
      <x:c r="AG1341" s="12" t="str">
        <x:f>IF(AND(AC1341="PUBLIC_CANDIDATE",U1341&lt;&gt;"BLOCKED_PENDING_RECEIPT"),"READY_AFTER_RECEIPT","NOT_READY")</x:f>
        <x:v>NOT_READY</x:v>
      </x:c>
      <x:c r="AH1341" s="12" t="str">
        <x:f>IF(AC1341="PUBLIC_CANDIDATE","none",AD1341)</x:f>
        <x:v>none</x:v>
      </x:c>
      <x:c r="AI1341" s="12" t="str">
        <x:f>IF(AC1341="PUBLIC_CANDIDATE","archive/public_candidates/"&amp;A1341,"private_quarantine/"&amp;A1341)</x:f>
        <x:v>archive/public_candidates/SWARM-10-H04-S08</x:v>
      </x:c>
      <x:c r="AJ1341" s="12" t="str">
        <x:f>IF(AC1341="PUBLIC_CANDIDATE","public by default; still not canon","private/hold; do not publish")</x:f>
        <x:v>public by default; still not canon</x:v>
      </x:c>
      <x:c r="AK1341" s="12" t="str">
        <x:f>IF(AE1341="prepare_public_github_candidate","add receipt/status then mirror","resolve blocker before any public GitHub action")</x:f>
        <x:v>add receipt/status then mirror</x:v>
      </x:c>
    </x:row>
    <x:row r="1342">
      <x:c r="A1342" s="15" t="str">
        <x:v>SWARM-10-H04-S09</x:v>
      </x:c>
      <x:c r="B1342" s="15" t="str">
        <x:v>GitShelf</x:v>
      </x:c>
      <x:c r="C1342" s="15" t="str">
        <x:v>GitHub shelf builder</x:v>
      </x:c>
      <x:c r="D1342" s="15" t="str">
        <x:v>Claim Extraction</x:v>
      </x:c>
      <x:c r="E1342" s="15" t="str">
        <x:v>Aetherforge</x:v>
      </x:c>
      <x:c r="F1342" s="15" t="str">
        <x:v>Extract claims from Aetherforge — GitShelf</x:v>
      </x:c>
      <x:c r="G1342" s="15" t="str">
        <x:v>repo packet / manifest / issue template prep</x:v>
      </x:c>
      <x:c r="H1342" s="15" t="str">
        <x:v>source path + receipt + raw/export status + claim/edge/risk delta</x:v>
      </x:c>
      <x:c r="I1342" s="15" t="str">
        <x:v>packet/SWARM-10-H04-S09</x:v>
      </x:c>
      <x:c r="J1342" s="15" t="str">
        <x:v>TODO</x:v>
      </x:c>
      <x:c r="K1342" s="15" t="str">
        <x:v>P2</x:v>
      </x:c>
      <x:c r="L1342" s="15" t="str">
        <x:v>Done only when evidence is logged, contradiction search is noted, and boundary stamp remains non-canon unless ratified</x:v>
      </x:c>
      <x:c r="M1342" s="15" t="str">
        <x:v>candidate / staging-only / not canon / not deployed / authority none</x:v>
      </x:c>
      <x:c r="N1342" s="15" t="str">
        <x:v>Dispatch to GitShelf: complete Claim Extraction x Aetherforge; return deltas only, receipts required.</x:v>
      </x:c>
      <x:c r="O1342" s="15" t="str">
        <x:v>AF-KG-H04-S09</x:v>
      </x:c>
      <x:c r="P1342" s="15" t="str">
        <x:v>Unverified</x:v>
      </x:c>
      <x:c r="Q1342" s="15" t="str">
        <x:v>Not checked</x:v>
      </x:c>
      <x:c r="R1342" s="15" t="str"/>
      <x:c r="S1342" s="15" t="str"/>
      <x:c r="T1342" s="15" t="str">
        <x:v>Log first source path or blocker</x:v>
      </x:c>
      <x:c r="U1342" s="12" t="str">
        <x:f>IF(OR(P1342="Unverified",Q1342="Not checked"),"BLOCKED_PENDING_RECEIPT","READY_FOR_REVIEW")</x:f>
        <x:v>BLOCKED_PENDING_RECEIPT</x:v>
      </x:c>
      <x:c r="V1342" s="12" t="str">
        <x:f>IF(J1342="DONE","RETURNED",IF(U1342="BLOCKED_PENDING_RECEIPT","SOURCE_TOUCH_REQUIRED","IN_PROGRESS"))</x:f>
        <x:v>SOURCE_TOUCH_REQUIRED</x:v>
      </x:c>
      <x:c r="W1342" s="12" t="str">
        <x:f>IF(P1342="Unverified","missing_receipt","receipt_logged")</x:f>
        <x:v>missing_receipt</x:v>
      </x:c>
      <x:c r="X1342" s="12" t="str">
        <x:f>IF(Q1342="Not checked","raw_status_missing","raw_status_logged")</x:f>
        <x:v>raw_status_missing</x:v>
      </x:c>
      <x:c r="Y1342" s="12" t="str">
        <x:f>IF(U1342="BLOCKED_PENDING_RECEIPT","Log source path or blocker; do not promote","Route to review lane")</x:f>
        <x:v>Log source path or blocker; do not promote</x:v>
      </x:c>
      <x:c r="Z1342" s="12" t="str">
        <x:f>IF(K1342="P0","Primary seat + Hashlight/Lucerna","Seat lane")</x:f>
        <x:v>Seat lane</x:v>
      </x:c>
      <x:c r="AA1342" s="12" t="str">
        <x:f>IF(R1342="","no_claim_delta","claim_delta_present")</x:f>
        <x:v>no_claim_delta</x:v>
      </x:c>
      <x:c r="AB1342" s="12" t="str">
        <x:f>IF(S1342="","no_contradiction_delta","contradiction_delta_present")</x:f>
        <x:v>no_contradiction_delta</x:v>
      </x:c>
      <x:c r="AC1342" s="12" t="str">
        <x:f>IF(OR(ISNUMBER(SEARCH("hacker",LOWER(F1342&amp;" "&amp;H1342&amp;" "&amp;I1342&amp;" "&amp;M1342&amp;" "&amp;N1342&amp;" "&amp;T1342))),ISNUMBER(SEARCH("hacking",LOWER(F1342&amp;" "&amp;H1342&amp;" "&amp;I1342&amp;" "&amp;M1342&amp;" "&amp;N1342&amp;" "&amp;T1342))),ISNUMBER(SEARCH("bank",LOWER(F1342&amp;" "&amp;H1342&amp;" "&amp;I1342&amp;" "&amp;M1342&amp;" "&amp;N1342&amp;" "&amp;T1342))),ISNUMBER(SEARCH("banking",LOWER(F1342&amp;" "&amp;H1342&amp;" "&amp;I1342&amp;" "&amp;M1342&amp;" "&amp;N1342&amp;" "&amp;T1342)))),"PRIVATE_QUARANTINE",IF(OR(ISNUMBER(SEARCH("treasury",LOWER(F1342&amp;" "&amp;H1342&amp;" "&amp;I1342&amp;" "&amp;M1342&amp;" "&amp;N1342&amp;" "&amp;T1342))),ISNUMBER(SEARCH("debt",LOWER(F1342&amp;" "&amp;H1342&amp;" "&amp;I1342&amp;" "&amp;M1342&amp;" "&amp;N1342&amp;" "&amp;T1342))),ISNUMBER(SEARCH("bond",LOWER(F1342&amp;" "&amp;H1342&amp;" "&amp;I1342&amp;" "&amp;M1342&amp;" "&amp;N1342&amp;" "&amp;T1342))),ISNUMBER(SEARCH("transaction",LOWER(F1342&amp;" "&amp;H1342&amp;" "&amp;I1342&amp;" "&amp;M1342&amp;" "&amp;N1342&amp;" "&amp;T1342)))),"PRIVATE_REVIEW","PUBLIC_CANDIDATE"))</x:f>
        <x:v>PUBLIC_CANDIDATE</x:v>
      </x:c>
      <x:c r="AD1342" s="12" t="str">
        <x:f>IF(AC1342="PRIVATE_QUARANTINE","hacker_or_bank_trigger",IF(AC1342="PRIVATE_REVIEW","finance_risk_trigger","none"))</x:f>
        <x:v>none</x:v>
      </x:c>
      <x:c r="AE1342" s="12" t="str">
        <x:f>IF(AC1342="PUBLIC_CANDIDATE","prepare_public_github_candidate",IF(AC1342="PRIVATE_REVIEW","hold_for_private_review","quarantine_private_do_not_publish"))</x:f>
        <x:v>prepare_public_github_candidate</x:v>
      </x:c>
      <x:c r="AF1342" s="12" t="str">
        <x:f>IF(AC1342="PUBLIC_CANDIDATE","TIDELOCK + Lucerna",IF(AC1342="PRIVATE_REVIEW","AtlasBrain + Lucerna","TIDELOCK + Lucerna + Human-root"))</x:f>
        <x:v>TIDELOCK + Lucerna</x:v>
      </x:c>
      <x:c r="AG1342" s="12" t="str">
        <x:f>IF(AND(AC1342="PUBLIC_CANDIDATE",U1342&lt;&gt;"BLOCKED_PENDING_RECEIPT"),"READY_AFTER_RECEIPT","NOT_READY")</x:f>
        <x:v>NOT_READY</x:v>
      </x:c>
      <x:c r="AH1342" s="12" t="str">
        <x:f>IF(AC1342="PUBLIC_CANDIDATE","none",AD1342)</x:f>
        <x:v>none</x:v>
      </x:c>
      <x:c r="AI1342" s="12" t="str">
        <x:f>IF(AC1342="PUBLIC_CANDIDATE","archive/public_candidates/"&amp;A1342,"private_quarantine/"&amp;A1342)</x:f>
        <x:v>archive/public_candidates/SWARM-10-H04-S09</x:v>
      </x:c>
      <x:c r="AJ1342" s="12" t="str">
        <x:f>IF(AC1342="PUBLIC_CANDIDATE","public by default; still not canon","private/hold; do not publish")</x:f>
        <x:v>public by default; still not canon</x:v>
      </x:c>
      <x:c r="AK1342" s="12" t="str">
        <x:f>IF(AE1342="prepare_public_github_candidate","add receipt/status then mirror","resolve blocker before any public GitHub action")</x:f>
        <x:v>add receipt/status then mirror</x:v>
      </x:c>
    </x:row>
    <x:row r="1343">
      <x:c r="A1343" s="15" t="str">
        <x:v>SWARM-10-H04-S10</x:v>
      </x:c>
      <x:c r="B1343" s="15" t="str">
        <x:v>GitShelf</x:v>
      </x:c>
      <x:c r="C1343" s="15" t="str">
        <x:v>GitHub shelf builder</x:v>
      </x:c>
      <x:c r="D1343" s="15" t="str">
        <x:v>Claim Extraction</x:v>
      </x:c>
      <x:c r="E1343" s="15" t="str">
        <x:v>Human-Root</x:v>
      </x:c>
      <x:c r="F1343" s="15" t="str">
        <x:v>Extract claims from Human-Root — GitShelf</x:v>
      </x:c>
      <x:c r="G1343" s="15" t="str">
        <x:v>repo packet / manifest / issue template prep</x:v>
      </x:c>
      <x:c r="H1343" s="15" t="str">
        <x:v>source path + receipt + raw/export status + claim/edge/risk delta</x:v>
      </x:c>
      <x:c r="I1343" s="15" t="str">
        <x:v>packet/SWARM-10-H04-S10</x:v>
      </x:c>
      <x:c r="J1343" s="15" t="str">
        <x:v>TODO</x:v>
      </x:c>
      <x:c r="K1343" s="15" t="str">
        <x:v>P2</x:v>
      </x:c>
      <x:c r="L1343" s="15" t="str">
        <x:v>Done only when evidence is logged, contradiction search is noted, and boundary stamp remains non-canon unless ratified</x:v>
      </x:c>
      <x:c r="M1343" s="15" t="str">
        <x:v>candidate / staging-only / not canon / not deployed / authority none</x:v>
      </x:c>
      <x:c r="N1343" s="15" t="str">
        <x:v>Dispatch to GitShelf: complete Claim Extraction x Human-Root; return deltas only, receipts required.</x:v>
      </x:c>
      <x:c r="O1343" s="15" t="str">
        <x:v>AF-KG-H04-S10</x:v>
      </x:c>
      <x:c r="P1343" s="15" t="str">
        <x:v>Unverified</x:v>
      </x:c>
      <x:c r="Q1343" s="15" t="str">
        <x:v>Not checked</x:v>
      </x:c>
      <x:c r="R1343" s="15" t="str"/>
      <x:c r="S1343" s="15" t="str"/>
      <x:c r="T1343" s="15" t="str">
        <x:v>Log first source path or blocker</x:v>
      </x:c>
      <x:c r="U1343" s="12" t="str">
        <x:f>IF(OR(P1343="Unverified",Q1343="Not checked"),"BLOCKED_PENDING_RECEIPT","READY_FOR_REVIEW")</x:f>
        <x:v>BLOCKED_PENDING_RECEIPT</x:v>
      </x:c>
      <x:c r="V1343" s="12" t="str">
        <x:f>IF(J1343="DONE","RETURNED",IF(U1343="BLOCKED_PENDING_RECEIPT","SOURCE_TOUCH_REQUIRED","IN_PROGRESS"))</x:f>
        <x:v>SOURCE_TOUCH_REQUIRED</x:v>
      </x:c>
      <x:c r="W1343" s="12" t="str">
        <x:f>IF(P1343="Unverified","missing_receipt","receipt_logged")</x:f>
        <x:v>missing_receipt</x:v>
      </x:c>
      <x:c r="X1343" s="12" t="str">
        <x:f>IF(Q1343="Not checked","raw_status_missing","raw_status_logged")</x:f>
        <x:v>raw_status_missing</x:v>
      </x:c>
      <x:c r="Y1343" s="12" t="str">
        <x:f>IF(U1343="BLOCKED_PENDING_RECEIPT","Log source path or blocker; do not promote","Route to review lane")</x:f>
        <x:v>Log source path or blocker; do not promote</x:v>
      </x:c>
      <x:c r="Z1343" s="12" t="str">
        <x:f>IF(K1343="P0","Primary seat + Hashlight/Lucerna","Seat lane")</x:f>
        <x:v>Seat lane</x:v>
      </x:c>
      <x:c r="AA1343" s="12" t="str">
        <x:f>IF(R1343="","no_claim_delta","claim_delta_present")</x:f>
        <x:v>no_claim_delta</x:v>
      </x:c>
      <x:c r="AB1343" s="12" t="str">
        <x:f>IF(S1343="","no_contradiction_delta","contradiction_delta_present")</x:f>
        <x:v>no_contradiction_delta</x:v>
      </x:c>
      <x:c r="AC1343" s="12" t="str">
        <x:f>IF(OR(ISNUMBER(SEARCH("hacker",LOWER(F1343&amp;" "&amp;H1343&amp;" "&amp;I1343&amp;" "&amp;M1343&amp;" "&amp;N1343&amp;" "&amp;T1343))),ISNUMBER(SEARCH("hacking",LOWER(F1343&amp;" "&amp;H1343&amp;" "&amp;I1343&amp;" "&amp;M1343&amp;" "&amp;N1343&amp;" "&amp;T1343))),ISNUMBER(SEARCH("bank",LOWER(F1343&amp;" "&amp;H1343&amp;" "&amp;I1343&amp;" "&amp;M1343&amp;" "&amp;N1343&amp;" "&amp;T1343))),ISNUMBER(SEARCH("banking",LOWER(F1343&amp;" "&amp;H1343&amp;" "&amp;I1343&amp;" "&amp;M1343&amp;" "&amp;N1343&amp;" "&amp;T1343)))),"PRIVATE_QUARANTINE",IF(OR(ISNUMBER(SEARCH("treasury",LOWER(F1343&amp;" "&amp;H1343&amp;" "&amp;I1343&amp;" "&amp;M1343&amp;" "&amp;N1343&amp;" "&amp;T1343))),ISNUMBER(SEARCH("debt",LOWER(F1343&amp;" "&amp;H1343&amp;" "&amp;I1343&amp;" "&amp;M1343&amp;" "&amp;N1343&amp;" "&amp;T1343))),ISNUMBER(SEARCH("bond",LOWER(F1343&amp;" "&amp;H1343&amp;" "&amp;I1343&amp;" "&amp;M1343&amp;" "&amp;N1343&amp;" "&amp;T1343))),ISNUMBER(SEARCH("transaction",LOWER(F1343&amp;" "&amp;H1343&amp;" "&amp;I1343&amp;" "&amp;M1343&amp;" "&amp;N1343&amp;" "&amp;T1343)))),"PRIVATE_REVIEW","PUBLIC_CANDIDATE"))</x:f>
        <x:v>PUBLIC_CANDIDATE</x:v>
      </x:c>
      <x:c r="AD1343" s="12" t="str">
        <x:f>IF(AC1343="PRIVATE_QUARANTINE","hacker_or_bank_trigger",IF(AC1343="PRIVATE_REVIEW","finance_risk_trigger","none"))</x:f>
        <x:v>none</x:v>
      </x:c>
      <x:c r="AE1343" s="12" t="str">
        <x:f>IF(AC1343="PUBLIC_CANDIDATE","prepare_public_github_candidate",IF(AC1343="PRIVATE_REVIEW","hold_for_private_review","quarantine_private_do_not_publish"))</x:f>
        <x:v>prepare_public_github_candidate</x:v>
      </x:c>
      <x:c r="AF1343" s="12" t="str">
        <x:f>IF(AC1343="PUBLIC_CANDIDATE","TIDELOCK + Lucerna",IF(AC1343="PRIVATE_REVIEW","AtlasBrain + Lucerna","TIDELOCK + Lucerna + Human-root"))</x:f>
        <x:v>TIDELOCK + Lucerna</x:v>
      </x:c>
      <x:c r="AG1343" s="12" t="str">
        <x:f>IF(AND(AC1343="PUBLIC_CANDIDATE",U1343&lt;&gt;"BLOCKED_PENDING_RECEIPT"),"READY_AFTER_RECEIPT","NOT_READY")</x:f>
        <x:v>NOT_READY</x:v>
      </x:c>
      <x:c r="AH1343" s="12" t="str">
        <x:f>IF(AC1343="PUBLIC_CANDIDATE","none",AD1343)</x:f>
        <x:v>none</x:v>
      </x:c>
      <x:c r="AI1343" s="12" t="str">
        <x:f>IF(AC1343="PUBLIC_CANDIDATE","archive/public_candidates/"&amp;A1343,"private_quarantine/"&amp;A1343)</x:f>
        <x:v>archive/public_candidates/SWARM-10-H04-S10</x:v>
      </x:c>
      <x:c r="AJ1343" s="12" t="str">
        <x:f>IF(AC1343="PUBLIC_CANDIDATE","public by default; still not canon","private/hold; do not publish")</x:f>
        <x:v>public by default; still not canon</x:v>
      </x:c>
      <x:c r="AK1343" s="12" t="str">
        <x:f>IF(AE1343="prepare_public_github_candidate","add receipt/status then mirror","resolve blocker before any public GitHub action")</x:f>
        <x:v>add receipt/status then mirror</x:v>
      </x:c>
    </x:row>
    <x:row r="1344">
      <x:c r="A1344" s="15" t="str">
        <x:v>SWARM-10-H04-S11</x:v>
      </x:c>
      <x:c r="B1344" s="15" t="str">
        <x:v>GitShelf</x:v>
      </x:c>
      <x:c r="C1344" s="15" t="str">
        <x:v>GitHub shelf builder</x:v>
      </x:c>
      <x:c r="D1344" s="15" t="str">
        <x:v>Claim Extraction</x:v>
      </x:c>
      <x:c r="E1344" s="15" t="str">
        <x:v>Automation</x:v>
      </x:c>
      <x:c r="F1344" s="15" t="str">
        <x:v>Extract claims from Automation — GitShelf</x:v>
      </x:c>
      <x:c r="G1344" s="15" t="str">
        <x:v>repo packet / manifest / issue template prep</x:v>
      </x:c>
      <x:c r="H1344" s="15" t="str">
        <x:v>source path + receipt + raw/export status + claim/edge/risk delta</x:v>
      </x:c>
      <x:c r="I1344" s="15" t="str">
        <x:v>packet/SWARM-10-H04-S11</x:v>
      </x:c>
      <x:c r="J1344" s="15" t="str">
        <x:v>TODO</x:v>
      </x:c>
      <x:c r="K1344" s="15" t="str">
        <x:v>P2</x:v>
      </x:c>
      <x:c r="L1344" s="15" t="str">
        <x:v>Done only when evidence is logged, contradiction search is noted, and boundary stamp remains non-canon unless ratified</x:v>
      </x:c>
      <x:c r="M1344" s="15" t="str">
        <x:v>candidate / staging-only / not canon / not deployed / authority none</x:v>
      </x:c>
      <x:c r="N1344" s="15" t="str">
        <x:v>Dispatch to GitShelf: complete Claim Extraction x Automation; return deltas only, receipts required.</x:v>
      </x:c>
      <x:c r="O1344" s="15" t="str">
        <x:v>AF-KG-H04-S11</x:v>
      </x:c>
      <x:c r="P1344" s="15" t="str">
        <x:v>Unverified</x:v>
      </x:c>
      <x:c r="Q1344" s="15" t="str">
        <x:v>Not checked</x:v>
      </x:c>
      <x:c r="R1344" s="15" t="str"/>
      <x:c r="S1344" s="15" t="str"/>
      <x:c r="T1344" s="15" t="str">
        <x:v>Log first source path or blocker</x:v>
      </x:c>
      <x:c r="U1344" s="12" t="str">
        <x:f>IF(OR(P1344="Unverified",Q1344="Not checked"),"BLOCKED_PENDING_RECEIPT","READY_FOR_REVIEW")</x:f>
        <x:v>BLOCKED_PENDING_RECEIPT</x:v>
      </x:c>
      <x:c r="V1344" s="12" t="str">
        <x:f>IF(J1344="DONE","RETURNED",IF(U1344="BLOCKED_PENDING_RECEIPT","SOURCE_TOUCH_REQUIRED","IN_PROGRESS"))</x:f>
        <x:v>SOURCE_TOUCH_REQUIRED</x:v>
      </x:c>
      <x:c r="W1344" s="12" t="str">
        <x:f>IF(P1344="Unverified","missing_receipt","receipt_logged")</x:f>
        <x:v>missing_receipt</x:v>
      </x:c>
      <x:c r="X1344" s="12" t="str">
        <x:f>IF(Q1344="Not checked","raw_status_missing","raw_status_logged")</x:f>
        <x:v>raw_status_missing</x:v>
      </x:c>
      <x:c r="Y1344" s="12" t="str">
        <x:f>IF(U1344="BLOCKED_PENDING_RECEIPT","Log source path or blocker; do not promote","Route to review lane")</x:f>
        <x:v>Log source path or blocker; do not promote</x:v>
      </x:c>
      <x:c r="Z1344" s="12" t="str">
        <x:f>IF(K1344="P0","Primary seat + Hashlight/Lucerna","Seat lane")</x:f>
        <x:v>Seat lane</x:v>
      </x:c>
      <x:c r="AA1344" s="12" t="str">
        <x:f>IF(R1344="","no_claim_delta","claim_delta_present")</x:f>
        <x:v>no_claim_delta</x:v>
      </x:c>
      <x:c r="AB1344" s="12" t="str">
        <x:f>IF(S1344="","no_contradiction_delta","contradiction_delta_present")</x:f>
        <x:v>no_contradiction_delta</x:v>
      </x:c>
      <x:c r="AC1344" s="12" t="str">
        <x:f>IF(OR(ISNUMBER(SEARCH("hacker",LOWER(F1344&amp;" "&amp;H1344&amp;" "&amp;I1344&amp;" "&amp;M1344&amp;" "&amp;N1344&amp;" "&amp;T1344))),ISNUMBER(SEARCH("hacking",LOWER(F1344&amp;" "&amp;H1344&amp;" "&amp;I1344&amp;" "&amp;M1344&amp;" "&amp;N1344&amp;" "&amp;T1344))),ISNUMBER(SEARCH("bank",LOWER(F1344&amp;" "&amp;H1344&amp;" "&amp;I1344&amp;" "&amp;M1344&amp;" "&amp;N1344&amp;" "&amp;T1344))),ISNUMBER(SEARCH("banking",LOWER(F1344&amp;" "&amp;H1344&amp;" "&amp;I1344&amp;" "&amp;M1344&amp;" "&amp;N1344&amp;" "&amp;T1344)))),"PRIVATE_QUARANTINE",IF(OR(ISNUMBER(SEARCH("treasury",LOWER(F1344&amp;" "&amp;H1344&amp;" "&amp;I1344&amp;" "&amp;M1344&amp;" "&amp;N1344&amp;" "&amp;T1344))),ISNUMBER(SEARCH("debt",LOWER(F1344&amp;" "&amp;H1344&amp;" "&amp;I1344&amp;" "&amp;M1344&amp;" "&amp;N1344&amp;" "&amp;T1344))),ISNUMBER(SEARCH("bond",LOWER(F1344&amp;" "&amp;H1344&amp;" "&amp;I1344&amp;" "&amp;M1344&amp;" "&amp;N1344&amp;" "&amp;T1344))),ISNUMBER(SEARCH("transaction",LOWER(F1344&amp;" "&amp;H1344&amp;" "&amp;I1344&amp;" "&amp;M1344&amp;" "&amp;N1344&amp;" "&amp;T1344)))),"PRIVATE_REVIEW","PUBLIC_CANDIDATE"))</x:f>
        <x:v>PUBLIC_CANDIDATE</x:v>
      </x:c>
      <x:c r="AD1344" s="12" t="str">
        <x:f>IF(AC1344="PRIVATE_QUARANTINE","hacker_or_bank_trigger",IF(AC1344="PRIVATE_REVIEW","finance_risk_trigger","none"))</x:f>
        <x:v>none</x:v>
      </x:c>
      <x:c r="AE1344" s="12" t="str">
        <x:f>IF(AC1344="PUBLIC_CANDIDATE","prepare_public_github_candidate",IF(AC1344="PRIVATE_REVIEW","hold_for_private_review","quarantine_private_do_not_publish"))</x:f>
        <x:v>prepare_public_github_candidate</x:v>
      </x:c>
      <x:c r="AF1344" s="12" t="str">
        <x:f>IF(AC1344="PUBLIC_CANDIDATE","TIDELOCK + Lucerna",IF(AC1344="PRIVATE_REVIEW","AtlasBrain + Lucerna","TIDELOCK + Lucerna + Human-root"))</x:f>
        <x:v>TIDELOCK + Lucerna</x:v>
      </x:c>
      <x:c r="AG1344" s="12" t="str">
        <x:f>IF(AND(AC1344="PUBLIC_CANDIDATE",U1344&lt;&gt;"BLOCKED_PENDING_RECEIPT"),"READY_AFTER_RECEIPT","NOT_READY")</x:f>
        <x:v>NOT_READY</x:v>
      </x:c>
      <x:c r="AH1344" s="12" t="str">
        <x:f>IF(AC1344="PUBLIC_CANDIDATE","none",AD1344)</x:f>
        <x:v>none</x:v>
      </x:c>
      <x:c r="AI1344" s="12" t="str">
        <x:f>IF(AC1344="PUBLIC_CANDIDATE","archive/public_candidates/"&amp;A1344,"private_quarantine/"&amp;A1344)</x:f>
        <x:v>archive/public_candidates/SWARM-10-H04-S11</x:v>
      </x:c>
      <x:c r="AJ1344" s="12" t="str">
        <x:f>IF(AC1344="PUBLIC_CANDIDATE","public by default; still not canon","private/hold; do not publish")</x:f>
        <x:v>public by default; still not canon</x:v>
      </x:c>
      <x:c r="AK1344" s="12" t="str">
        <x:f>IF(AE1344="prepare_public_github_candidate","add receipt/status then mirror","resolve blocker before any public GitHub action")</x:f>
        <x:v>add receipt/status then mirror</x:v>
      </x:c>
    </x:row>
    <x:row r="1345">
      <x:c r="A1345" s="15" t="str">
        <x:v>SWARM-10-H04-S12</x:v>
      </x:c>
      <x:c r="B1345" s="15" t="str">
        <x:v>GitShelf</x:v>
      </x:c>
      <x:c r="C1345" s="15" t="str">
        <x:v>GitHub shelf builder</x:v>
      </x:c>
      <x:c r="D1345" s="15" t="str">
        <x:v>Claim Extraction</x:v>
      </x:c>
      <x:c r="E1345" s="15" t="str">
        <x:v>Risk / Safety</x:v>
      </x:c>
      <x:c r="F1345" s="15" t="str">
        <x:v>Extract claims from Risk / Safety — GitShelf</x:v>
      </x:c>
      <x:c r="G1345" s="15" t="str">
        <x:v>repo packet / manifest / issue template prep</x:v>
      </x:c>
      <x:c r="H1345" s="15" t="str">
        <x:v>source path + receipt + raw/export status + claim/edge/risk delta</x:v>
      </x:c>
      <x:c r="I1345" s="15" t="str">
        <x:v>packet/SWARM-10-H04-S12</x:v>
      </x:c>
      <x:c r="J1345" s="15" t="str">
        <x:v>TODO</x:v>
      </x:c>
      <x:c r="K1345" s="15" t="str">
        <x:v>P2</x:v>
      </x:c>
      <x:c r="L1345" s="15" t="str">
        <x:v>Done only when evidence is logged, contradiction search is noted, and boundary stamp remains non-canon unless ratified</x:v>
      </x:c>
      <x:c r="M1345" s="15" t="str">
        <x:v>candidate / staging-only / not canon / not deployed / authority none</x:v>
      </x:c>
      <x:c r="N1345" s="15" t="str">
        <x:v>Dispatch to GitShelf: complete Claim Extraction x Risk / Safety; return deltas only, receipts required.</x:v>
      </x:c>
      <x:c r="O1345" s="15" t="str">
        <x:v>AF-KG-H04-S12</x:v>
      </x:c>
      <x:c r="P1345" s="15" t="str">
        <x:v>Unverified</x:v>
      </x:c>
      <x:c r="Q1345" s="15" t="str">
        <x:v>Not checked</x:v>
      </x:c>
      <x:c r="R1345" s="15" t="str"/>
      <x:c r="S1345" s="15" t="str"/>
      <x:c r="T1345" s="15" t="str">
        <x:v>Log first source path or blocker</x:v>
      </x:c>
      <x:c r="U1345" s="12" t="str">
        <x:f>IF(OR(P1345="Unverified",Q1345="Not checked"),"BLOCKED_PENDING_RECEIPT","READY_FOR_REVIEW")</x:f>
        <x:v>BLOCKED_PENDING_RECEIPT</x:v>
      </x:c>
      <x:c r="V1345" s="12" t="str">
        <x:f>IF(J1345="DONE","RETURNED",IF(U1345="BLOCKED_PENDING_RECEIPT","SOURCE_TOUCH_REQUIRED","IN_PROGRESS"))</x:f>
        <x:v>SOURCE_TOUCH_REQUIRED</x:v>
      </x:c>
      <x:c r="W1345" s="12" t="str">
        <x:f>IF(P1345="Unverified","missing_receipt","receipt_logged")</x:f>
        <x:v>missing_receipt</x:v>
      </x:c>
      <x:c r="X1345" s="12" t="str">
        <x:f>IF(Q1345="Not checked","raw_status_missing","raw_status_logged")</x:f>
        <x:v>raw_status_missing</x:v>
      </x:c>
      <x:c r="Y1345" s="12" t="str">
        <x:f>IF(U1345="BLOCKED_PENDING_RECEIPT","Log source path or blocker; do not promote","Route to review lane")</x:f>
        <x:v>Log source path or blocker; do not promote</x:v>
      </x:c>
      <x:c r="Z1345" s="12" t="str">
        <x:f>IF(K1345="P0","Primary seat + Hashlight/Lucerna","Seat lane")</x:f>
        <x:v>Seat lane</x:v>
      </x:c>
      <x:c r="AA1345" s="12" t="str">
        <x:f>IF(R1345="","no_claim_delta","claim_delta_present")</x:f>
        <x:v>no_claim_delta</x:v>
      </x:c>
      <x:c r="AB1345" s="12" t="str">
        <x:f>IF(S1345="","no_contradiction_delta","contradiction_delta_present")</x:f>
        <x:v>no_contradiction_delta</x:v>
      </x:c>
      <x:c r="AC1345" s="12" t="str">
        <x:f>IF(OR(ISNUMBER(SEARCH("hacker",LOWER(F1345&amp;" "&amp;H1345&amp;" "&amp;I1345&amp;" "&amp;M1345&amp;" "&amp;N1345&amp;" "&amp;T1345))),ISNUMBER(SEARCH("hacking",LOWER(F1345&amp;" "&amp;H1345&amp;" "&amp;I1345&amp;" "&amp;M1345&amp;" "&amp;N1345&amp;" "&amp;T1345))),ISNUMBER(SEARCH("bank",LOWER(F1345&amp;" "&amp;H1345&amp;" "&amp;I1345&amp;" "&amp;M1345&amp;" "&amp;N1345&amp;" "&amp;T1345))),ISNUMBER(SEARCH("banking",LOWER(F1345&amp;" "&amp;H1345&amp;" "&amp;I1345&amp;" "&amp;M1345&amp;" "&amp;N1345&amp;" "&amp;T1345)))),"PRIVATE_QUARANTINE",IF(OR(ISNUMBER(SEARCH("treasury",LOWER(F1345&amp;" "&amp;H1345&amp;" "&amp;I1345&amp;" "&amp;M1345&amp;" "&amp;N1345&amp;" "&amp;T1345))),ISNUMBER(SEARCH("debt",LOWER(F1345&amp;" "&amp;H1345&amp;" "&amp;I1345&amp;" "&amp;M1345&amp;" "&amp;N1345&amp;" "&amp;T1345))),ISNUMBER(SEARCH("bond",LOWER(F1345&amp;" "&amp;H1345&amp;" "&amp;I1345&amp;" "&amp;M1345&amp;" "&amp;N1345&amp;" "&amp;T1345))),ISNUMBER(SEARCH("transaction",LOWER(F1345&amp;" "&amp;H1345&amp;" "&amp;I1345&amp;" "&amp;M1345&amp;" "&amp;N1345&amp;" "&amp;T1345)))),"PRIVATE_REVIEW","PUBLIC_CANDIDATE"))</x:f>
        <x:v>PUBLIC_CANDIDATE</x:v>
      </x:c>
      <x:c r="AD1345" s="12" t="str">
        <x:f>IF(AC1345="PRIVATE_QUARANTINE","hacker_or_bank_trigger",IF(AC1345="PRIVATE_REVIEW","finance_risk_trigger","none"))</x:f>
        <x:v>none</x:v>
      </x:c>
      <x:c r="AE1345" s="12" t="str">
        <x:f>IF(AC1345="PUBLIC_CANDIDATE","prepare_public_github_candidate",IF(AC1345="PRIVATE_REVIEW","hold_for_private_review","quarantine_private_do_not_publish"))</x:f>
        <x:v>prepare_public_github_candidate</x:v>
      </x:c>
      <x:c r="AF1345" s="12" t="str">
        <x:f>IF(AC1345="PUBLIC_CANDIDATE","TIDELOCK + Lucerna",IF(AC1345="PRIVATE_REVIEW","AtlasBrain + Lucerna","TIDELOCK + Lucerna + Human-root"))</x:f>
        <x:v>TIDELOCK + Lucerna</x:v>
      </x:c>
      <x:c r="AG1345" s="12" t="str">
        <x:f>IF(AND(AC1345="PUBLIC_CANDIDATE",U1345&lt;&gt;"BLOCKED_PENDING_RECEIPT"),"READY_AFTER_RECEIPT","NOT_READY")</x:f>
        <x:v>NOT_READY</x:v>
      </x:c>
      <x:c r="AH1345" s="12" t="str">
        <x:f>IF(AC1345="PUBLIC_CANDIDATE","none",AD1345)</x:f>
        <x:v>none</x:v>
      </x:c>
      <x:c r="AI1345" s="12" t="str">
        <x:f>IF(AC1345="PUBLIC_CANDIDATE","archive/public_candidates/"&amp;A1345,"private_quarantine/"&amp;A1345)</x:f>
        <x:v>archive/public_candidates/SWARM-10-H04-S12</x:v>
      </x:c>
      <x:c r="AJ1345" s="12" t="str">
        <x:f>IF(AC1345="PUBLIC_CANDIDATE","public by default; still not canon","private/hold; do not publish")</x:f>
        <x:v>public by default; still not canon</x:v>
      </x:c>
      <x:c r="AK1345" s="12" t="str">
        <x:f>IF(AE1345="prepare_public_github_candidate","add receipt/status then mirror","resolve blocker before any public GitHub action")</x:f>
        <x:v>add receipt/status then mirror</x:v>
      </x:c>
    </x:row>
    <x:row r="1346">
      <x:c r="A1346" s="15" t="str">
        <x:v>SWARM-10-H05-S01</x:v>
      </x:c>
      <x:c r="B1346" s="15" t="str">
        <x:v>GitShelf</x:v>
      </x:c>
      <x:c r="C1346" s="15" t="str">
        <x:v>GitHub shelf builder</x:v>
      </x:c>
      <x:c r="D1346" s="15" t="str">
        <x:v>Contradiction Mapping</x:v>
      </x:c>
      <x:c r="E1346" s="15" t="str">
        <x:v>Notion</x:v>
      </x:c>
      <x:c r="F1346" s="15" t="str">
        <x:v>Map contradictions in Notion — GitShelf</x:v>
      </x:c>
      <x:c r="G1346" s="15" t="str">
        <x:v>repo packet / manifest / issue template prep</x:v>
      </x:c>
      <x:c r="H1346" s="15" t="str">
        <x:v>source path + receipt + raw/export status + claim/edge/risk delta</x:v>
      </x:c>
      <x:c r="I1346" s="15" t="str">
        <x:v>packet/SWARM-10-H05-S01</x:v>
      </x:c>
      <x:c r="J1346" s="15" t="str">
        <x:v>TODO</x:v>
      </x:c>
      <x:c r="K1346" s="15" t="str">
        <x:v>P0</x:v>
      </x:c>
      <x:c r="L1346" s="15" t="str">
        <x:v>Done only when evidence is logged, contradiction search is noted, and boundary stamp remains non-canon unless ratified</x:v>
      </x:c>
      <x:c r="M1346" s="15" t="str">
        <x:v>candidate / staging-only / not canon / not deployed / authority none</x:v>
      </x:c>
      <x:c r="N1346" s="15" t="str">
        <x:v>Dispatch to GitShelf: complete Contradiction Mapping x Notion; return deltas only, receipts required.</x:v>
      </x:c>
      <x:c r="O1346" s="15" t="str">
        <x:v>AF-KG-H05-S01</x:v>
      </x:c>
      <x:c r="P1346" s="15" t="str">
        <x:v>Unverified</x:v>
      </x:c>
      <x:c r="Q1346" s="15" t="str">
        <x:v>Not checked</x:v>
      </x:c>
      <x:c r="R1346" s="15" t="str"/>
      <x:c r="S1346" s="15" t="str"/>
      <x:c r="T1346" s="15" t="str">
        <x:v>Log first source path or blocker</x:v>
      </x:c>
      <x:c r="U1346" s="12" t="str">
        <x:f>IF(OR(P1346="Unverified",Q1346="Not checked"),"BLOCKED_PENDING_RECEIPT","READY_FOR_REVIEW")</x:f>
        <x:v>BLOCKED_PENDING_RECEIPT</x:v>
      </x:c>
      <x:c r="V1346" s="12" t="str">
        <x:f>IF(J1346="DONE","RETURNED",IF(U1346="BLOCKED_PENDING_RECEIPT","SOURCE_TOUCH_REQUIRED","IN_PROGRESS"))</x:f>
        <x:v>SOURCE_TOUCH_REQUIRED</x:v>
      </x:c>
      <x:c r="W1346" s="12" t="str">
        <x:f>IF(P1346="Unverified","missing_receipt","receipt_logged")</x:f>
        <x:v>missing_receipt</x:v>
      </x:c>
      <x:c r="X1346" s="12" t="str">
        <x:f>IF(Q1346="Not checked","raw_status_missing","raw_status_logged")</x:f>
        <x:v>raw_status_missing</x:v>
      </x:c>
      <x:c r="Y1346" s="12" t="str">
        <x:f>IF(U1346="BLOCKED_PENDING_RECEIPT","Log source path or blocker; do not promote","Route to review lane")</x:f>
        <x:v>Log source path or blocker; do not promote</x:v>
      </x:c>
      <x:c r="Z1346" s="12" t="str">
        <x:f>IF(K1346="P0","Primary seat + Hashlight/Lucerna","Seat lane")</x:f>
        <x:v>Primary seat + Hashlight/Lucerna</x:v>
      </x:c>
      <x:c r="AA1346" s="12" t="str">
        <x:f>IF(R1346="","no_claim_delta","claim_delta_present")</x:f>
        <x:v>no_claim_delta</x:v>
      </x:c>
      <x:c r="AB1346" s="12" t="str">
        <x:f>IF(S1346="","no_contradiction_delta","contradiction_delta_present")</x:f>
        <x:v>no_contradiction_delta</x:v>
      </x:c>
      <x:c r="AC1346" s="12" t="str">
        <x:f>IF(OR(ISNUMBER(SEARCH("hacker",LOWER(F1346&amp;" "&amp;H1346&amp;" "&amp;I1346&amp;" "&amp;M1346&amp;" "&amp;N1346&amp;" "&amp;T1346))),ISNUMBER(SEARCH("hacking",LOWER(F1346&amp;" "&amp;H1346&amp;" "&amp;I1346&amp;" "&amp;M1346&amp;" "&amp;N1346&amp;" "&amp;T1346))),ISNUMBER(SEARCH("bank",LOWER(F1346&amp;" "&amp;H1346&amp;" "&amp;I1346&amp;" "&amp;M1346&amp;" "&amp;N1346&amp;" "&amp;T1346))),ISNUMBER(SEARCH("banking",LOWER(F1346&amp;" "&amp;H1346&amp;" "&amp;I1346&amp;" "&amp;M1346&amp;" "&amp;N1346&amp;" "&amp;T1346)))),"PRIVATE_QUARANTINE",IF(OR(ISNUMBER(SEARCH("treasury",LOWER(F1346&amp;" "&amp;H1346&amp;" "&amp;I1346&amp;" "&amp;M1346&amp;" "&amp;N1346&amp;" "&amp;T1346))),ISNUMBER(SEARCH("debt",LOWER(F1346&amp;" "&amp;H1346&amp;" "&amp;I1346&amp;" "&amp;M1346&amp;" "&amp;N1346&amp;" "&amp;T1346))),ISNUMBER(SEARCH("bond",LOWER(F1346&amp;" "&amp;H1346&amp;" "&amp;I1346&amp;" "&amp;M1346&amp;" "&amp;N1346&amp;" "&amp;T1346))),ISNUMBER(SEARCH("transaction",LOWER(F1346&amp;" "&amp;H1346&amp;" "&amp;I1346&amp;" "&amp;M1346&amp;" "&amp;N1346&amp;" "&amp;T1346)))),"PRIVATE_REVIEW","PUBLIC_CANDIDATE"))</x:f>
        <x:v>PUBLIC_CANDIDATE</x:v>
      </x:c>
      <x:c r="AD1346" s="12" t="str">
        <x:f>IF(AC1346="PRIVATE_QUARANTINE","hacker_or_bank_trigger",IF(AC1346="PRIVATE_REVIEW","finance_risk_trigger","none"))</x:f>
        <x:v>none</x:v>
      </x:c>
      <x:c r="AE1346" s="12" t="str">
        <x:f>IF(AC1346="PUBLIC_CANDIDATE","prepare_public_github_candidate",IF(AC1346="PRIVATE_REVIEW","hold_for_private_review","quarantine_private_do_not_publish"))</x:f>
        <x:v>prepare_public_github_candidate</x:v>
      </x:c>
      <x:c r="AF1346" s="12" t="str">
        <x:f>IF(AC1346="PUBLIC_CANDIDATE","TIDELOCK + Lucerna",IF(AC1346="PRIVATE_REVIEW","AtlasBrain + Lucerna","TIDELOCK + Lucerna + Human-root"))</x:f>
        <x:v>TIDELOCK + Lucerna</x:v>
      </x:c>
      <x:c r="AG1346" s="12" t="str">
        <x:f>IF(AND(AC1346="PUBLIC_CANDIDATE",U1346&lt;&gt;"BLOCKED_PENDING_RECEIPT"),"READY_AFTER_RECEIPT","NOT_READY")</x:f>
        <x:v>NOT_READY</x:v>
      </x:c>
      <x:c r="AH1346" s="12" t="str">
        <x:f>IF(AC1346="PUBLIC_CANDIDATE","none",AD1346)</x:f>
        <x:v>none</x:v>
      </x:c>
      <x:c r="AI1346" s="12" t="str">
        <x:f>IF(AC1346="PUBLIC_CANDIDATE","archive/public_candidates/"&amp;A1346,"private_quarantine/"&amp;A1346)</x:f>
        <x:v>archive/public_candidates/SWARM-10-H05-S01</x:v>
      </x:c>
      <x:c r="AJ1346" s="12" t="str">
        <x:f>IF(AC1346="PUBLIC_CANDIDATE","public by default; still not canon","private/hold; do not publish")</x:f>
        <x:v>public by default; still not canon</x:v>
      </x:c>
      <x:c r="AK1346" s="12" t="str">
        <x:f>IF(AE1346="prepare_public_github_candidate","add receipt/status then mirror","resolve blocker before any public GitHub action")</x:f>
        <x:v>add receipt/status then mirror</x:v>
      </x:c>
    </x:row>
    <x:row r="1347">
      <x:c r="A1347" s="15" t="str">
        <x:v>SWARM-10-H05-S02</x:v>
      </x:c>
      <x:c r="B1347" s="15" t="str">
        <x:v>GitShelf</x:v>
      </x:c>
      <x:c r="C1347" s="15" t="str">
        <x:v>GitHub shelf builder</x:v>
      </x:c>
      <x:c r="D1347" s="15" t="str">
        <x:v>Contradiction Mapping</x:v>
      </x:c>
      <x:c r="E1347" s="15" t="str">
        <x:v>Drive</x:v>
      </x:c>
      <x:c r="F1347" s="15" t="str">
        <x:v>Map contradictions in Drive — GitShelf</x:v>
      </x:c>
      <x:c r="G1347" s="15" t="str">
        <x:v>repo packet / manifest / issue template prep</x:v>
      </x:c>
      <x:c r="H1347" s="15" t="str">
        <x:v>source path + receipt + raw/export status + claim/edge/risk delta</x:v>
      </x:c>
      <x:c r="I1347" s="15" t="str">
        <x:v>packet/SWARM-10-H05-S02</x:v>
      </x:c>
      <x:c r="J1347" s="15" t="str">
        <x:v>TODO</x:v>
      </x:c>
      <x:c r="K1347" s="15" t="str">
        <x:v>P0</x:v>
      </x:c>
      <x:c r="L1347" s="15" t="str">
        <x:v>Done only when evidence is logged, contradiction search is noted, and boundary stamp remains non-canon unless ratified</x:v>
      </x:c>
      <x:c r="M1347" s="15" t="str">
        <x:v>candidate / staging-only / not canon / not deployed / authority none</x:v>
      </x:c>
      <x:c r="N1347" s="15" t="str">
        <x:v>Dispatch to GitShelf: complete Contradiction Mapping x Drive; return deltas only, receipts required.</x:v>
      </x:c>
      <x:c r="O1347" s="15" t="str">
        <x:v>AF-KG-H05-S02</x:v>
      </x:c>
      <x:c r="P1347" s="15" t="str">
        <x:v>Unverified</x:v>
      </x:c>
      <x:c r="Q1347" s="15" t="str">
        <x:v>Not checked</x:v>
      </x:c>
      <x:c r="R1347" s="15" t="str"/>
      <x:c r="S1347" s="15" t="str"/>
      <x:c r="T1347" s="15" t="str">
        <x:v>Log first source path or blocker</x:v>
      </x:c>
      <x:c r="U1347" s="12" t="str">
        <x:f>IF(OR(P1347="Unverified",Q1347="Not checked"),"BLOCKED_PENDING_RECEIPT","READY_FOR_REVIEW")</x:f>
        <x:v>BLOCKED_PENDING_RECEIPT</x:v>
      </x:c>
      <x:c r="V1347" s="12" t="str">
        <x:f>IF(J1347="DONE","RETURNED",IF(U1347="BLOCKED_PENDING_RECEIPT","SOURCE_TOUCH_REQUIRED","IN_PROGRESS"))</x:f>
        <x:v>SOURCE_TOUCH_REQUIRED</x:v>
      </x:c>
      <x:c r="W1347" s="12" t="str">
        <x:f>IF(P1347="Unverified","missing_receipt","receipt_logged")</x:f>
        <x:v>missing_receipt</x:v>
      </x:c>
      <x:c r="X1347" s="12" t="str">
        <x:f>IF(Q1347="Not checked","raw_status_missing","raw_status_logged")</x:f>
        <x:v>raw_status_missing</x:v>
      </x:c>
      <x:c r="Y1347" s="12" t="str">
        <x:f>IF(U1347="BLOCKED_PENDING_RECEIPT","Log source path or blocker; do not promote","Route to review lane")</x:f>
        <x:v>Log source path or blocker; do not promote</x:v>
      </x:c>
      <x:c r="Z1347" s="12" t="str">
        <x:f>IF(K1347="P0","Primary seat + Hashlight/Lucerna","Seat lane")</x:f>
        <x:v>Primary seat + Hashlight/Lucerna</x:v>
      </x:c>
      <x:c r="AA1347" s="12" t="str">
        <x:f>IF(R1347="","no_claim_delta","claim_delta_present")</x:f>
        <x:v>no_claim_delta</x:v>
      </x:c>
      <x:c r="AB1347" s="12" t="str">
        <x:f>IF(S1347="","no_contradiction_delta","contradiction_delta_present")</x:f>
        <x:v>no_contradiction_delta</x:v>
      </x:c>
      <x:c r="AC1347" s="12" t="str">
        <x:f>IF(OR(ISNUMBER(SEARCH("hacker",LOWER(F1347&amp;" "&amp;H1347&amp;" "&amp;I1347&amp;" "&amp;M1347&amp;" "&amp;N1347&amp;" "&amp;T1347))),ISNUMBER(SEARCH("hacking",LOWER(F1347&amp;" "&amp;H1347&amp;" "&amp;I1347&amp;" "&amp;M1347&amp;" "&amp;N1347&amp;" "&amp;T1347))),ISNUMBER(SEARCH("bank",LOWER(F1347&amp;" "&amp;H1347&amp;" "&amp;I1347&amp;" "&amp;M1347&amp;" "&amp;N1347&amp;" "&amp;T1347))),ISNUMBER(SEARCH("banking",LOWER(F1347&amp;" "&amp;H1347&amp;" "&amp;I1347&amp;" "&amp;M1347&amp;" "&amp;N1347&amp;" "&amp;T1347)))),"PRIVATE_QUARANTINE",IF(OR(ISNUMBER(SEARCH("treasury",LOWER(F1347&amp;" "&amp;H1347&amp;" "&amp;I1347&amp;" "&amp;M1347&amp;" "&amp;N1347&amp;" "&amp;T1347))),ISNUMBER(SEARCH("debt",LOWER(F1347&amp;" "&amp;H1347&amp;" "&amp;I1347&amp;" "&amp;M1347&amp;" "&amp;N1347&amp;" "&amp;T1347))),ISNUMBER(SEARCH("bond",LOWER(F1347&amp;" "&amp;H1347&amp;" "&amp;I1347&amp;" "&amp;M1347&amp;" "&amp;N1347&amp;" "&amp;T1347))),ISNUMBER(SEARCH("transaction",LOWER(F1347&amp;" "&amp;H1347&amp;" "&amp;I1347&amp;" "&amp;M1347&amp;" "&amp;N1347&amp;" "&amp;T1347)))),"PRIVATE_REVIEW","PUBLIC_CANDIDATE"))</x:f>
        <x:v>PUBLIC_CANDIDATE</x:v>
      </x:c>
      <x:c r="AD1347" s="12" t="str">
        <x:f>IF(AC1347="PRIVATE_QUARANTINE","hacker_or_bank_trigger",IF(AC1347="PRIVATE_REVIEW","finance_risk_trigger","none"))</x:f>
        <x:v>none</x:v>
      </x:c>
      <x:c r="AE1347" s="12" t="str">
        <x:f>IF(AC1347="PUBLIC_CANDIDATE","prepare_public_github_candidate",IF(AC1347="PRIVATE_REVIEW","hold_for_private_review","quarantine_private_do_not_publish"))</x:f>
        <x:v>prepare_public_github_candidate</x:v>
      </x:c>
      <x:c r="AF1347" s="12" t="str">
        <x:f>IF(AC1347="PUBLIC_CANDIDATE","TIDELOCK + Lucerna",IF(AC1347="PRIVATE_REVIEW","AtlasBrain + Lucerna","TIDELOCK + Lucerna + Human-root"))</x:f>
        <x:v>TIDELOCK + Lucerna</x:v>
      </x:c>
      <x:c r="AG1347" s="12" t="str">
        <x:f>IF(AND(AC1347="PUBLIC_CANDIDATE",U1347&lt;&gt;"BLOCKED_PENDING_RECEIPT"),"READY_AFTER_RECEIPT","NOT_READY")</x:f>
        <x:v>NOT_READY</x:v>
      </x:c>
      <x:c r="AH1347" s="12" t="str">
        <x:f>IF(AC1347="PUBLIC_CANDIDATE","none",AD1347)</x:f>
        <x:v>none</x:v>
      </x:c>
      <x:c r="AI1347" s="12" t="str">
        <x:f>IF(AC1347="PUBLIC_CANDIDATE","archive/public_candidates/"&amp;A1347,"private_quarantine/"&amp;A1347)</x:f>
        <x:v>archive/public_candidates/SWARM-10-H05-S02</x:v>
      </x:c>
      <x:c r="AJ1347" s="12" t="str">
        <x:f>IF(AC1347="PUBLIC_CANDIDATE","public by default; still not canon","private/hold; do not publish")</x:f>
        <x:v>public by default; still not canon</x:v>
      </x:c>
      <x:c r="AK1347" s="12" t="str">
        <x:f>IF(AE1347="prepare_public_github_candidate","add receipt/status then mirror","resolve blocker before any public GitHub action")</x:f>
        <x:v>add receipt/status then mirror</x:v>
      </x:c>
    </x:row>
    <x:row r="1348">
      <x:c r="A1348" s="15" t="str">
        <x:v>SWARM-10-H05-S03</x:v>
      </x:c>
      <x:c r="B1348" s="15" t="str">
        <x:v>GitShelf</x:v>
      </x:c>
      <x:c r="C1348" s="15" t="str">
        <x:v>GitHub shelf builder</x:v>
      </x:c>
      <x:c r="D1348" s="15" t="str">
        <x:v>Contradiction Mapping</x:v>
      </x:c>
      <x:c r="E1348" s="15" t="str">
        <x:v>GitHub</x:v>
      </x:c>
      <x:c r="F1348" s="15" t="str">
        <x:v>Map contradictions in GitHub — GitShelf</x:v>
      </x:c>
      <x:c r="G1348" s="15" t="str">
        <x:v>repo packet / manifest / issue template prep</x:v>
      </x:c>
      <x:c r="H1348" s="15" t="str">
        <x:v>source path + receipt + raw/export status + claim/edge/risk delta</x:v>
      </x:c>
      <x:c r="I1348" s="15" t="str">
        <x:v>packet/SWARM-10-H05-S03</x:v>
      </x:c>
      <x:c r="J1348" s="15" t="str">
        <x:v>TODO</x:v>
      </x:c>
      <x:c r="K1348" s="15" t="str">
        <x:v>P0</x:v>
      </x:c>
      <x:c r="L1348" s="15" t="str">
        <x:v>Done only when evidence is logged, contradiction search is noted, and boundary stamp remains non-canon unless ratified</x:v>
      </x:c>
      <x:c r="M1348" s="15" t="str">
        <x:v>candidate / staging-only / not canon / not deployed / authority none</x:v>
      </x:c>
      <x:c r="N1348" s="15" t="str">
        <x:v>Dispatch to GitShelf: complete Contradiction Mapping x GitHub; return deltas only, receipts required.</x:v>
      </x:c>
      <x:c r="O1348" s="15" t="str">
        <x:v>AF-KG-H05-S03</x:v>
      </x:c>
      <x:c r="P1348" s="15" t="str">
        <x:v>Unverified</x:v>
      </x:c>
      <x:c r="Q1348" s="15" t="str">
        <x:v>Not checked</x:v>
      </x:c>
      <x:c r="R1348" s="15" t="str"/>
      <x:c r="S1348" s="15" t="str"/>
      <x:c r="T1348" s="15" t="str">
        <x:v>Log first source path or blocker</x:v>
      </x:c>
      <x:c r="U1348" s="12" t="str">
        <x:f>IF(OR(P1348="Unverified",Q1348="Not checked"),"BLOCKED_PENDING_RECEIPT","READY_FOR_REVIEW")</x:f>
        <x:v>BLOCKED_PENDING_RECEIPT</x:v>
      </x:c>
      <x:c r="V1348" s="12" t="str">
        <x:f>IF(J1348="DONE","RETURNED",IF(U1348="BLOCKED_PENDING_RECEIPT","SOURCE_TOUCH_REQUIRED","IN_PROGRESS"))</x:f>
        <x:v>SOURCE_TOUCH_REQUIRED</x:v>
      </x:c>
      <x:c r="W1348" s="12" t="str">
        <x:f>IF(P1348="Unverified","missing_receipt","receipt_logged")</x:f>
        <x:v>missing_receipt</x:v>
      </x:c>
      <x:c r="X1348" s="12" t="str">
        <x:f>IF(Q1348="Not checked","raw_status_missing","raw_status_logged")</x:f>
        <x:v>raw_status_missing</x:v>
      </x:c>
      <x:c r="Y1348" s="12" t="str">
        <x:f>IF(U1348="BLOCKED_PENDING_RECEIPT","Log source path or blocker; do not promote","Route to review lane")</x:f>
        <x:v>Log source path or blocker; do not promote</x:v>
      </x:c>
      <x:c r="Z1348" s="12" t="str">
        <x:f>IF(K1348="P0","Primary seat + Hashlight/Lucerna","Seat lane")</x:f>
        <x:v>Primary seat + Hashlight/Lucerna</x:v>
      </x:c>
      <x:c r="AA1348" s="12" t="str">
        <x:f>IF(R1348="","no_claim_delta","claim_delta_present")</x:f>
        <x:v>no_claim_delta</x:v>
      </x:c>
      <x:c r="AB1348" s="12" t="str">
        <x:f>IF(S1348="","no_contradiction_delta","contradiction_delta_present")</x:f>
        <x:v>no_contradiction_delta</x:v>
      </x:c>
      <x:c r="AC1348" s="12" t="str">
        <x:f>IF(OR(ISNUMBER(SEARCH("hacker",LOWER(F1348&amp;" "&amp;H1348&amp;" "&amp;I1348&amp;" "&amp;M1348&amp;" "&amp;N1348&amp;" "&amp;T1348))),ISNUMBER(SEARCH("hacking",LOWER(F1348&amp;" "&amp;H1348&amp;" "&amp;I1348&amp;" "&amp;M1348&amp;" "&amp;N1348&amp;" "&amp;T1348))),ISNUMBER(SEARCH("bank",LOWER(F1348&amp;" "&amp;H1348&amp;" "&amp;I1348&amp;" "&amp;M1348&amp;" "&amp;N1348&amp;" "&amp;T1348))),ISNUMBER(SEARCH("banking",LOWER(F1348&amp;" "&amp;H1348&amp;" "&amp;I1348&amp;" "&amp;M1348&amp;" "&amp;N1348&amp;" "&amp;T1348)))),"PRIVATE_QUARANTINE",IF(OR(ISNUMBER(SEARCH("treasury",LOWER(F1348&amp;" "&amp;H1348&amp;" "&amp;I1348&amp;" "&amp;M1348&amp;" "&amp;N1348&amp;" "&amp;T1348))),ISNUMBER(SEARCH("debt",LOWER(F1348&amp;" "&amp;H1348&amp;" "&amp;I1348&amp;" "&amp;M1348&amp;" "&amp;N1348&amp;" "&amp;T1348))),ISNUMBER(SEARCH("bond",LOWER(F1348&amp;" "&amp;H1348&amp;" "&amp;I1348&amp;" "&amp;M1348&amp;" "&amp;N1348&amp;" "&amp;T1348))),ISNUMBER(SEARCH("transaction",LOWER(F1348&amp;" "&amp;H1348&amp;" "&amp;I1348&amp;" "&amp;M1348&amp;" "&amp;N1348&amp;" "&amp;T1348)))),"PRIVATE_REVIEW","PUBLIC_CANDIDATE"))</x:f>
        <x:v>PUBLIC_CANDIDATE</x:v>
      </x:c>
      <x:c r="AD1348" s="12" t="str">
        <x:f>IF(AC1348="PRIVATE_QUARANTINE","hacker_or_bank_trigger",IF(AC1348="PRIVATE_REVIEW","finance_risk_trigger","none"))</x:f>
        <x:v>none</x:v>
      </x:c>
      <x:c r="AE1348" s="12" t="str">
        <x:f>IF(AC1348="PUBLIC_CANDIDATE","prepare_public_github_candidate",IF(AC1348="PRIVATE_REVIEW","hold_for_private_review","quarantine_private_do_not_publish"))</x:f>
        <x:v>prepare_public_github_candidate</x:v>
      </x:c>
      <x:c r="AF1348" s="12" t="str">
        <x:f>IF(AC1348="PUBLIC_CANDIDATE","TIDELOCK + Lucerna",IF(AC1348="PRIVATE_REVIEW","AtlasBrain + Lucerna","TIDELOCK + Lucerna + Human-root"))</x:f>
        <x:v>TIDELOCK + Lucerna</x:v>
      </x:c>
      <x:c r="AG1348" s="12" t="str">
        <x:f>IF(AND(AC1348="PUBLIC_CANDIDATE",U1348&lt;&gt;"BLOCKED_PENDING_RECEIPT"),"READY_AFTER_RECEIPT","NOT_READY")</x:f>
        <x:v>NOT_READY</x:v>
      </x:c>
      <x:c r="AH1348" s="12" t="str">
        <x:f>IF(AC1348="PUBLIC_CANDIDATE","none",AD1348)</x:f>
        <x:v>none</x:v>
      </x:c>
      <x:c r="AI1348" s="12" t="str">
        <x:f>IF(AC1348="PUBLIC_CANDIDATE","archive/public_candidates/"&amp;A1348,"private_quarantine/"&amp;A1348)</x:f>
        <x:v>archive/public_candidates/SWARM-10-H05-S03</x:v>
      </x:c>
      <x:c r="AJ1348" s="12" t="str">
        <x:f>IF(AC1348="PUBLIC_CANDIDATE","public by default; still not canon","private/hold; do not publish")</x:f>
        <x:v>public by default; still not canon</x:v>
      </x:c>
      <x:c r="AK1348" s="12" t="str">
        <x:f>IF(AE1348="prepare_public_github_candidate","add receipt/status then mirror","resolve blocker before any public GitHub action")</x:f>
        <x:v>add receipt/status then mirror</x:v>
      </x:c>
    </x:row>
    <x:row r="1349">
      <x:c r="A1349" s="15" t="str">
        <x:v>SWARM-10-H05-S04</x:v>
      </x:c>
      <x:c r="B1349" s="15" t="str">
        <x:v>GitShelf</x:v>
      </x:c>
      <x:c r="C1349" s="15" t="str">
        <x:v>GitHub shelf builder</x:v>
      </x:c>
      <x:c r="D1349" s="15" t="str">
        <x:v>Contradiction Mapping</x:v>
      </x:c>
      <x:c r="E1349" s="15" t="str">
        <x:v>Gamma</x:v>
      </x:c>
      <x:c r="F1349" s="15" t="str">
        <x:v>Map contradictions in Gamma — GitShelf</x:v>
      </x:c>
      <x:c r="G1349" s="15" t="str">
        <x:v>repo packet / manifest / issue template prep</x:v>
      </x:c>
      <x:c r="H1349" s="15" t="str">
        <x:v>source path + receipt + raw/export status + claim/edge/risk delta</x:v>
      </x:c>
      <x:c r="I1349" s="15" t="str">
        <x:v>packet/SWARM-10-H05-S04</x:v>
      </x:c>
      <x:c r="J1349" s="15" t="str">
        <x:v>TODO</x:v>
      </x:c>
      <x:c r="K1349" s="15" t="str">
        <x:v>P1</x:v>
      </x:c>
      <x:c r="L1349" s="15" t="str">
        <x:v>Done only when evidence is logged, contradiction search is noted, and boundary stamp remains non-canon unless ratified</x:v>
      </x:c>
      <x:c r="M1349" s="15" t="str">
        <x:v>candidate / staging-only / not canon / not deployed / authority none</x:v>
      </x:c>
      <x:c r="N1349" s="15" t="str">
        <x:v>Dispatch to GitShelf: complete Contradiction Mapping x Gamma; return deltas only, receipts required.</x:v>
      </x:c>
      <x:c r="O1349" s="15" t="str">
        <x:v>AF-KG-H05-S04</x:v>
      </x:c>
      <x:c r="P1349" s="15" t="str">
        <x:v>Unverified</x:v>
      </x:c>
      <x:c r="Q1349" s="15" t="str">
        <x:v>Not checked</x:v>
      </x:c>
      <x:c r="R1349" s="15" t="str"/>
      <x:c r="S1349" s="15" t="str"/>
      <x:c r="T1349" s="15" t="str">
        <x:v>Log first source path or blocker</x:v>
      </x:c>
      <x:c r="U1349" s="12" t="str">
        <x:f>IF(OR(P1349="Unverified",Q1349="Not checked"),"BLOCKED_PENDING_RECEIPT","READY_FOR_REVIEW")</x:f>
        <x:v>BLOCKED_PENDING_RECEIPT</x:v>
      </x:c>
      <x:c r="V1349" s="12" t="str">
        <x:f>IF(J1349="DONE","RETURNED",IF(U1349="BLOCKED_PENDING_RECEIPT","SOURCE_TOUCH_REQUIRED","IN_PROGRESS"))</x:f>
        <x:v>SOURCE_TOUCH_REQUIRED</x:v>
      </x:c>
      <x:c r="W1349" s="12" t="str">
        <x:f>IF(P1349="Unverified","missing_receipt","receipt_logged")</x:f>
        <x:v>missing_receipt</x:v>
      </x:c>
      <x:c r="X1349" s="12" t="str">
        <x:f>IF(Q1349="Not checked","raw_status_missing","raw_status_logged")</x:f>
        <x:v>raw_status_missing</x:v>
      </x:c>
      <x:c r="Y1349" s="12" t="str">
        <x:f>IF(U1349="BLOCKED_PENDING_RECEIPT","Log source path or blocker; do not promote","Route to review lane")</x:f>
        <x:v>Log source path or blocker; do not promote</x:v>
      </x:c>
      <x:c r="Z1349" s="12" t="str">
        <x:f>IF(K1349="P0","Primary seat + Hashlight/Lucerna","Seat lane")</x:f>
        <x:v>Seat lane</x:v>
      </x:c>
      <x:c r="AA1349" s="12" t="str">
        <x:f>IF(R1349="","no_claim_delta","claim_delta_present")</x:f>
        <x:v>no_claim_delta</x:v>
      </x:c>
      <x:c r="AB1349" s="12" t="str">
        <x:f>IF(S1349="","no_contradiction_delta","contradiction_delta_present")</x:f>
        <x:v>no_contradiction_delta</x:v>
      </x:c>
      <x:c r="AC1349" s="12" t="str">
        <x:f>IF(OR(ISNUMBER(SEARCH("hacker",LOWER(F1349&amp;" "&amp;H1349&amp;" "&amp;I1349&amp;" "&amp;M1349&amp;" "&amp;N1349&amp;" "&amp;T1349))),ISNUMBER(SEARCH("hacking",LOWER(F1349&amp;" "&amp;H1349&amp;" "&amp;I1349&amp;" "&amp;M1349&amp;" "&amp;N1349&amp;" "&amp;T1349))),ISNUMBER(SEARCH("bank",LOWER(F1349&amp;" "&amp;H1349&amp;" "&amp;I1349&amp;" "&amp;M1349&amp;" "&amp;N1349&amp;" "&amp;T1349))),ISNUMBER(SEARCH("banking",LOWER(F1349&amp;" "&amp;H1349&amp;" "&amp;I1349&amp;" "&amp;M1349&amp;" "&amp;N1349&amp;" "&amp;T1349)))),"PRIVATE_QUARANTINE",IF(OR(ISNUMBER(SEARCH("treasury",LOWER(F1349&amp;" "&amp;H1349&amp;" "&amp;I1349&amp;" "&amp;M1349&amp;" "&amp;N1349&amp;" "&amp;T1349))),ISNUMBER(SEARCH("debt",LOWER(F1349&amp;" "&amp;H1349&amp;" "&amp;I1349&amp;" "&amp;M1349&amp;" "&amp;N1349&amp;" "&amp;T1349))),ISNUMBER(SEARCH("bond",LOWER(F1349&amp;" "&amp;H1349&amp;" "&amp;I1349&amp;" "&amp;M1349&amp;" "&amp;N1349&amp;" "&amp;T1349))),ISNUMBER(SEARCH("transaction",LOWER(F1349&amp;" "&amp;H1349&amp;" "&amp;I1349&amp;" "&amp;M1349&amp;" "&amp;N1349&amp;" "&amp;T1349)))),"PRIVATE_REVIEW","PUBLIC_CANDIDATE"))</x:f>
        <x:v>PUBLIC_CANDIDATE</x:v>
      </x:c>
      <x:c r="AD1349" s="12" t="str">
        <x:f>IF(AC1349="PRIVATE_QUARANTINE","hacker_or_bank_trigger",IF(AC1349="PRIVATE_REVIEW","finance_risk_trigger","none"))</x:f>
        <x:v>none</x:v>
      </x:c>
      <x:c r="AE1349" s="12" t="str">
        <x:f>IF(AC1349="PUBLIC_CANDIDATE","prepare_public_github_candidate",IF(AC1349="PRIVATE_REVIEW","hold_for_private_review","quarantine_private_do_not_publish"))</x:f>
        <x:v>prepare_public_github_candidate</x:v>
      </x:c>
      <x:c r="AF1349" s="12" t="str">
        <x:f>IF(AC1349="PUBLIC_CANDIDATE","TIDELOCK + Lucerna",IF(AC1349="PRIVATE_REVIEW","AtlasBrain + Lucerna","TIDELOCK + Lucerna + Human-root"))</x:f>
        <x:v>TIDELOCK + Lucerna</x:v>
      </x:c>
      <x:c r="AG1349" s="12" t="str">
        <x:f>IF(AND(AC1349="PUBLIC_CANDIDATE",U1349&lt;&gt;"BLOCKED_PENDING_RECEIPT"),"READY_AFTER_RECEIPT","NOT_READY")</x:f>
        <x:v>NOT_READY</x:v>
      </x:c>
      <x:c r="AH1349" s="12" t="str">
        <x:f>IF(AC1349="PUBLIC_CANDIDATE","none",AD1349)</x:f>
        <x:v>none</x:v>
      </x:c>
      <x:c r="AI1349" s="12" t="str">
        <x:f>IF(AC1349="PUBLIC_CANDIDATE","archive/public_candidates/"&amp;A1349,"private_quarantine/"&amp;A1349)</x:f>
        <x:v>archive/public_candidates/SWARM-10-H05-S04</x:v>
      </x:c>
      <x:c r="AJ1349" s="12" t="str">
        <x:f>IF(AC1349="PUBLIC_CANDIDATE","public by default; still not canon","private/hold; do not publish")</x:f>
        <x:v>public by default; still not canon</x:v>
      </x:c>
      <x:c r="AK1349" s="12" t="str">
        <x:f>IF(AE1349="prepare_public_github_candidate","add receipt/status then mirror","resolve blocker before any public GitHub action")</x:f>
        <x:v>add receipt/status then mirror</x:v>
      </x:c>
    </x:row>
    <x:row r="1350">
      <x:c r="A1350" s="15" t="str">
        <x:v>SWARM-10-H05-S05</x:v>
      </x:c>
      <x:c r="B1350" s="15" t="str">
        <x:v>GitShelf</x:v>
      </x:c>
      <x:c r="C1350" s="15" t="str">
        <x:v>GitHub shelf builder</x:v>
      </x:c>
      <x:c r="D1350" s="15" t="str">
        <x:v>Contradiction Mapping</x:v>
      </x:c>
      <x:c r="E1350" s="15" t="str">
        <x:v>Chat</x:v>
      </x:c>
      <x:c r="F1350" s="15" t="str">
        <x:v>Map contradictions in Chat — GitShelf</x:v>
      </x:c>
      <x:c r="G1350" s="15" t="str">
        <x:v>repo packet / manifest / issue template prep</x:v>
      </x:c>
      <x:c r="H1350" s="15" t="str">
        <x:v>source path + receipt + raw/export status + claim/edge/risk delta</x:v>
      </x:c>
      <x:c r="I1350" s="15" t="str">
        <x:v>packet/SWARM-10-H05-S05</x:v>
      </x:c>
      <x:c r="J1350" s="15" t="str">
        <x:v>TODO</x:v>
      </x:c>
      <x:c r="K1350" s="15" t="str">
        <x:v>P1</x:v>
      </x:c>
      <x:c r="L1350" s="15" t="str">
        <x:v>Done only when evidence is logged, contradiction search is noted, and boundary stamp remains non-canon unless ratified</x:v>
      </x:c>
      <x:c r="M1350" s="15" t="str">
        <x:v>candidate / staging-only / not canon / not deployed / authority none</x:v>
      </x:c>
      <x:c r="N1350" s="15" t="str">
        <x:v>Dispatch to GitShelf: complete Contradiction Mapping x Chat; return deltas only, receipts required.</x:v>
      </x:c>
      <x:c r="O1350" s="15" t="str">
        <x:v>AF-KG-H05-S05</x:v>
      </x:c>
      <x:c r="P1350" s="15" t="str">
        <x:v>Unverified</x:v>
      </x:c>
      <x:c r="Q1350" s="15" t="str">
        <x:v>Not checked</x:v>
      </x:c>
      <x:c r="R1350" s="15" t="str"/>
      <x:c r="S1350" s="15" t="str"/>
      <x:c r="T1350" s="15" t="str">
        <x:v>Log first source path or blocker</x:v>
      </x:c>
      <x:c r="U1350" s="12" t="str">
        <x:f>IF(OR(P1350="Unverified",Q1350="Not checked"),"BLOCKED_PENDING_RECEIPT","READY_FOR_REVIEW")</x:f>
        <x:v>BLOCKED_PENDING_RECEIPT</x:v>
      </x:c>
      <x:c r="V1350" s="12" t="str">
        <x:f>IF(J1350="DONE","RETURNED",IF(U1350="BLOCKED_PENDING_RECEIPT","SOURCE_TOUCH_REQUIRED","IN_PROGRESS"))</x:f>
        <x:v>SOURCE_TOUCH_REQUIRED</x:v>
      </x:c>
      <x:c r="W1350" s="12" t="str">
        <x:f>IF(P1350="Unverified","missing_receipt","receipt_logged")</x:f>
        <x:v>missing_receipt</x:v>
      </x:c>
      <x:c r="X1350" s="12" t="str">
        <x:f>IF(Q1350="Not checked","raw_status_missing","raw_status_logged")</x:f>
        <x:v>raw_status_missing</x:v>
      </x:c>
      <x:c r="Y1350" s="12" t="str">
        <x:f>IF(U1350="BLOCKED_PENDING_RECEIPT","Log source path or blocker; do not promote","Route to review lane")</x:f>
        <x:v>Log source path or blocker; do not promote</x:v>
      </x:c>
      <x:c r="Z1350" s="12" t="str">
        <x:f>IF(K1350="P0","Primary seat + Hashlight/Lucerna","Seat lane")</x:f>
        <x:v>Seat lane</x:v>
      </x:c>
      <x:c r="AA1350" s="12" t="str">
        <x:f>IF(R1350="","no_claim_delta","claim_delta_present")</x:f>
        <x:v>no_claim_delta</x:v>
      </x:c>
      <x:c r="AB1350" s="12" t="str">
        <x:f>IF(S1350="","no_contradiction_delta","contradiction_delta_present")</x:f>
        <x:v>no_contradiction_delta</x:v>
      </x:c>
      <x:c r="AC1350" s="12" t="str">
        <x:f>IF(OR(ISNUMBER(SEARCH("hacker",LOWER(F1350&amp;" "&amp;H1350&amp;" "&amp;I1350&amp;" "&amp;M1350&amp;" "&amp;N1350&amp;" "&amp;T1350))),ISNUMBER(SEARCH("hacking",LOWER(F1350&amp;" "&amp;H1350&amp;" "&amp;I1350&amp;" "&amp;M1350&amp;" "&amp;N1350&amp;" "&amp;T1350))),ISNUMBER(SEARCH("bank",LOWER(F1350&amp;" "&amp;H1350&amp;" "&amp;I1350&amp;" "&amp;M1350&amp;" "&amp;N1350&amp;" "&amp;T1350))),ISNUMBER(SEARCH("banking",LOWER(F1350&amp;" "&amp;H1350&amp;" "&amp;I1350&amp;" "&amp;M1350&amp;" "&amp;N1350&amp;" "&amp;T1350)))),"PRIVATE_QUARANTINE",IF(OR(ISNUMBER(SEARCH("treasury",LOWER(F1350&amp;" "&amp;H1350&amp;" "&amp;I1350&amp;" "&amp;M1350&amp;" "&amp;N1350&amp;" "&amp;T1350))),ISNUMBER(SEARCH("debt",LOWER(F1350&amp;" "&amp;H1350&amp;" "&amp;I1350&amp;" "&amp;M1350&amp;" "&amp;N1350&amp;" "&amp;T1350))),ISNUMBER(SEARCH("bond",LOWER(F1350&amp;" "&amp;H1350&amp;" "&amp;I1350&amp;" "&amp;M1350&amp;" "&amp;N1350&amp;" "&amp;T1350))),ISNUMBER(SEARCH("transaction",LOWER(F1350&amp;" "&amp;H1350&amp;" "&amp;I1350&amp;" "&amp;M1350&amp;" "&amp;N1350&amp;" "&amp;T1350)))),"PRIVATE_REVIEW","PUBLIC_CANDIDATE"))</x:f>
        <x:v>PUBLIC_CANDIDATE</x:v>
      </x:c>
      <x:c r="AD1350" s="12" t="str">
        <x:f>IF(AC1350="PRIVATE_QUARANTINE","hacker_or_bank_trigger",IF(AC1350="PRIVATE_REVIEW","finance_risk_trigger","none"))</x:f>
        <x:v>none</x:v>
      </x:c>
      <x:c r="AE1350" s="12" t="str">
        <x:f>IF(AC1350="PUBLIC_CANDIDATE","prepare_public_github_candidate",IF(AC1350="PRIVATE_REVIEW","hold_for_private_review","quarantine_private_do_not_publish"))</x:f>
        <x:v>prepare_public_github_candidate</x:v>
      </x:c>
      <x:c r="AF1350" s="12" t="str">
        <x:f>IF(AC1350="PUBLIC_CANDIDATE","TIDELOCK + Lucerna",IF(AC1350="PRIVATE_REVIEW","AtlasBrain + Lucerna","TIDELOCK + Lucerna + Human-root"))</x:f>
        <x:v>TIDELOCK + Lucerna</x:v>
      </x:c>
      <x:c r="AG1350" s="12" t="str">
        <x:f>IF(AND(AC1350="PUBLIC_CANDIDATE",U1350&lt;&gt;"BLOCKED_PENDING_RECEIPT"),"READY_AFTER_RECEIPT","NOT_READY")</x:f>
        <x:v>NOT_READY</x:v>
      </x:c>
      <x:c r="AH1350" s="12" t="str">
        <x:f>IF(AC1350="PUBLIC_CANDIDATE","none",AD1350)</x:f>
        <x:v>none</x:v>
      </x:c>
      <x:c r="AI1350" s="12" t="str">
        <x:f>IF(AC1350="PUBLIC_CANDIDATE","archive/public_candidates/"&amp;A1350,"private_quarantine/"&amp;A1350)</x:f>
        <x:v>archive/public_candidates/SWARM-10-H05-S05</x:v>
      </x:c>
      <x:c r="AJ1350" s="12" t="str">
        <x:f>IF(AC1350="PUBLIC_CANDIDATE","public by default; still not canon","private/hold; do not publish")</x:f>
        <x:v>public by default; still not canon</x:v>
      </x:c>
      <x:c r="AK1350" s="12" t="str">
        <x:f>IF(AE1350="prepare_public_github_candidate","add receipt/status then mirror","resolve blocker before any public GitHub action")</x:f>
        <x:v>add receipt/status then mirror</x:v>
      </x:c>
    </x:row>
    <x:row r="1351">
      <x:c r="A1351" s="15" t="str">
        <x:v>SWARM-10-H05-S06</x:v>
      </x:c>
      <x:c r="B1351" s="15" t="str">
        <x:v>GitShelf</x:v>
      </x:c>
      <x:c r="C1351" s="15" t="str">
        <x:v>GitHub shelf builder</x:v>
      </x:c>
      <x:c r="D1351" s="15" t="str">
        <x:v>Contradiction Mapping</x:v>
      </x:c>
      <x:c r="E1351" s="15" t="str">
        <x:v>External Web</x:v>
      </x:c>
      <x:c r="F1351" s="15" t="str">
        <x:v>Map contradictions in External Web — GitShelf</x:v>
      </x:c>
      <x:c r="G1351" s="15" t="str">
        <x:v>repo packet / manifest / issue template prep</x:v>
      </x:c>
      <x:c r="H1351" s="15" t="str">
        <x:v>source path + receipt + raw/export status + claim/edge/risk delta</x:v>
      </x:c>
      <x:c r="I1351" s="15" t="str">
        <x:v>packet/SWARM-10-H05-S06</x:v>
      </x:c>
      <x:c r="J1351" s="15" t="str">
        <x:v>TODO</x:v>
      </x:c>
      <x:c r="K1351" s="15" t="str">
        <x:v>P1</x:v>
      </x:c>
      <x:c r="L1351" s="15" t="str">
        <x:v>Done only when evidence is logged, contradiction search is noted, and boundary stamp remains non-canon unless ratified</x:v>
      </x:c>
      <x:c r="M1351" s="15" t="str">
        <x:v>candidate / staging-only / not canon / not deployed / authority none</x:v>
      </x:c>
      <x:c r="N1351" s="15" t="str">
        <x:v>Dispatch to GitShelf: complete Contradiction Mapping x External Web; return deltas only, receipts required.</x:v>
      </x:c>
      <x:c r="O1351" s="15" t="str">
        <x:v>AF-KG-H05-S06</x:v>
      </x:c>
      <x:c r="P1351" s="15" t="str">
        <x:v>Unverified</x:v>
      </x:c>
      <x:c r="Q1351" s="15" t="str">
        <x:v>Not checked</x:v>
      </x:c>
      <x:c r="R1351" s="15" t="str"/>
      <x:c r="S1351" s="15" t="str"/>
      <x:c r="T1351" s="15" t="str">
        <x:v>Log first source path or blocker</x:v>
      </x:c>
      <x:c r="U1351" s="12" t="str">
        <x:f>IF(OR(P1351="Unverified",Q1351="Not checked"),"BLOCKED_PENDING_RECEIPT","READY_FOR_REVIEW")</x:f>
        <x:v>BLOCKED_PENDING_RECEIPT</x:v>
      </x:c>
      <x:c r="V1351" s="12" t="str">
        <x:f>IF(J1351="DONE","RETURNED",IF(U1351="BLOCKED_PENDING_RECEIPT","SOURCE_TOUCH_REQUIRED","IN_PROGRESS"))</x:f>
        <x:v>SOURCE_TOUCH_REQUIRED</x:v>
      </x:c>
      <x:c r="W1351" s="12" t="str">
        <x:f>IF(P1351="Unverified","missing_receipt","receipt_logged")</x:f>
        <x:v>missing_receipt</x:v>
      </x:c>
      <x:c r="X1351" s="12" t="str">
        <x:f>IF(Q1351="Not checked","raw_status_missing","raw_status_logged")</x:f>
        <x:v>raw_status_missing</x:v>
      </x:c>
      <x:c r="Y1351" s="12" t="str">
        <x:f>IF(U1351="BLOCKED_PENDING_RECEIPT","Log source path or blocker; do not promote","Route to review lane")</x:f>
        <x:v>Log source path or blocker; do not promote</x:v>
      </x:c>
      <x:c r="Z1351" s="12" t="str">
        <x:f>IF(K1351="P0","Primary seat + Hashlight/Lucerna","Seat lane")</x:f>
        <x:v>Seat lane</x:v>
      </x:c>
      <x:c r="AA1351" s="12" t="str">
        <x:f>IF(R1351="","no_claim_delta","claim_delta_present")</x:f>
        <x:v>no_claim_delta</x:v>
      </x:c>
      <x:c r="AB1351" s="12" t="str">
        <x:f>IF(S1351="","no_contradiction_delta","contradiction_delta_present")</x:f>
        <x:v>no_contradiction_delta</x:v>
      </x:c>
      <x:c r="AC1351" s="12" t="str">
        <x:f>IF(OR(ISNUMBER(SEARCH("hacker",LOWER(F1351&amp;" "&amp;H1351&amp;" "&amp;I1351&amp;" "&amp;M1351&amp;" "&amp;N1351&amp;" "&amp;T1351))),ISNUMBER(SEARCH("hacking",LOWER(F1351&amp;" "&amp;H1351&amp;" "&amp;I1351&amp;" "&amp;M1351&amp;" "&amp;N1351&amp;" "&amp;T1351))),ISNUMBER(SEARCH("bank",LOWER(F1351&amp;" "&amp;H1351&amp;" "&amp;I1351&amp;" "&amp;M1351&amp;" "&amp;N1351&amp;" "&amp;T1351))),ISNUMBER(SEARCH("banking",LOWER(F1351&amp;" "&amp;H1351&amp;" "&amp;I1351&amp;" "&amp;M1351&amp;" "&amp;N1351&amp;" "&amp;T1351)))),"PRIVATE_QUARANTINE",IF(OR(ISNUMBER(SEARCH("treasury",LOWER(F1351&amp;" "&amp;H1351&amp;" "&amp;I1351&amp;" "&amp;M1351&amp;" "&amp;N1351&amp;" "&amp;T1351))),ISNUMBER(SEARCH("debt",LOWER(F1351&amp;" "&amp;H1351&amp;" "&amp;I1351&amp;" "&amp;M1351&amp;" "&amp;N1351&amp;" "&amp;T1351))),ISNUMBER(SEARCH("bond",LOWER(F1351&amp;" "&amp;H1351&amp;" "&amp;I1351&amp;" "&amp;M1351&amp;" "&amp;N1351&amp;" "&amp;T1351))),ISNUMBER(SEARCH("transaction",LOWER(F1351&amp;" "&amp;H1351&amp;" "&amp;I1351&amp;" "&amp;M1351&amp;" "&amp;N1351&amp;" "&amp;T1351)))),"PRIVATE_REVIEW","PUBLIC_CANDIDATE"))</x:f>
        <x:v>PUBLIC_CANDIDATE</x:v>
      </x:c>
      <x:c r="AD1351" s="12" t="str">
        <x:f>IF(AC1351="PRIVATE_QUARANTINE","hacker_or_bank_trigger",IF(AC1351="PRIVATE_REVIEW","finance_risk_trigger","none"))</x:f>
        <x:v>none</x:v>
      </x:c>
      <x:c r="AE1351" s="12" t="str">
        <x:f>IF(AC1351="PUBLIC_CANDIDATE","prepare_public_github_candidate",IF(AC1351="PRIVATE_REVIEW","hold_for_private_review","quarantine_private_do_not_publish"))</x:f>
        <x:v>prepare_public_github_candidate</x:v>
      </x:c>
      <x:c r="AF1351" s="12" t="str">
        <x:f>IF(AC1351="PUBLIC_CANDIDATE","TIDELOCK + Lucerna",IF(AC1351="PRIVATE_REVIEW","AtlasBrain + Lucerna","TIDELOCK + Lucerna + Human-root"))</x:f>
        <x:v>TIDELOCK + Lucerna</x:v>
      </x:c>
      <x:c r="AG1351" s="12" t="str">
        <x:f>IF(AND(AC1351="PUBLIC_CANDIDATE",U1351&lt;&gt;"BLOCKED_PENDING_RECEIPT"),"READY_AFTER_RECEIPT","NOT_READY")</x:f>
        <x:v>NOT_READY</x:v>
      </x:c>
      <x:c r="AH1351" s="12" t="str">
        <x:f>IF(AC1351="PUBLIC_CANDIDATE","none",AD1351)</x:f>
        <x:v>none</x:v>
      </x:c>
      <x:c r="AI1351" s="12" t="str">
        <x:f>IF(AC1351="PUBLIC_CANDIDATE","archive/public_candidates/"&amp;A1351,"private_quarantine/"&amp;A1351)</x:f>
        <x:v>archive/public_candidates/SWARM-10-H05-S06</x:v>
      </x:c>
      <x:c r="AJ1351" s="12" t="str">
        <x:f>IF(AC1351="PUBLIC_CANDIDATE","public by default; still not canon","private/hold; do not publish")</x:f>
        <x:v>public by default; still not canon</x:v>
      </x:c>
      <x:c r="AK1351" s="12" t="str">
        <x:f>IF(AE1351="prepare_public_github_candidate","add receipt/status then mirror","resolve blocker before any public GitHub action")</x:f>
        <x:v>add receipt/status then mirror</x:v>
      </x:c>
    </x:row>
    <x:row r="1352">
      <x:c r="A1352" s="15" t="str">
        <x:v>SWARM-10-H05-S07</x:v>
      </x:c>
      <x:c r="B1352" s="15" t="str">
        <x:v>GitShelf</x:v>
      </x:c>
      <x:c r="C1352" s="15" t="str">
        <x:v>GitHub shelf builder</x:v>
      </x:c>
      <x:c r="D1352" s="15" t="str">
        <x:v>Contradiction Mapping</x:v>
      </x:c>
      <x:c r="E1352" s="15" t="str">
        <x:v>Planetarium</x:v>
      </x:c>
      <x:c r="F1352" s="15" t="str">
        <x:v>Map contradictions in Planetarium — GitShelf</x:v>
      </x:c>
      <x:c r="G1352" s="15" t="str">
        <x:v>repo packet / manifest / issue template prep</x:v>
      </x:c>
      <x:c r="H1352" s="15" t="str">
        <x:v>source path + receipt + raw/export status + claim/edge/risk delta</x:v>
      </x:c>
      <x:c r="I1352" s="15" t="str">
        <x:v>packet/SWARM-10-H05-S07</x:v>
      </x:c>
      <x:c r="J1352" s="15" t="str">
        <x:v>TODO</x:v>
      </x:c>
      <x:c r="K1352" s="15" t="str">
        <x:v>P1</x:v>
      </x:c>
      <x:c r="L1352" s="15" t="str">
        <x:v>Done only when evidence is logged, contradiction search is noted, and boundary stamp remains non-canon unless ratified</x:v>
      </x:c>
      <x:c r="M1352" s="15" t="str">
        <x:v>candidate / staging-only / not canon / not deployed / authority none</x:v>
      </x:c>
      <x:c r="N1352" s="15" t="str">
        <x:v>Dispatch to GitShelf: complete Contradiction Mapping x Planetarium; return deltas only, receipts required.</x:v>
      </x:c>
      <x:c r="O1352" s="15" t="str">
        <x:v>AF-KG-H05-S07</x:v>
      </x:c>
      <x:c r="P1352" s="15" t="str">
        <x:v>Unverified</x:v>
      </x:c>
      <x:c r="Q1352" s="15" t="str">
        <x:v>Not checked</x:v>
      </x:c>
      <x:c r="R1352" s="15" t="str"/>
      <x:c r="S1352" s="15" t="str"/>
      <x:c r="T1352" s="15" t="str">
        <x:v>Log first source path or blocker</x:v>
      </x:c>
      <x:c r="U1352" s="12" t="str">
        <x:f>IF(OR(P1352="Unverified",Q1352="Not checked"),"BLOCKED_PENDING_RECEIPT","READY_FOR_REVIEW")</x:f>
        <x:v>BLOCKED_PENDING_RECEIPT</x:v>
      </x:c>
      <x:c r="V1352" s="12" t="str">
        <x:f>IF(J1352="DONE","RETURNED",IF(U1352="BLOCKED_PENDING_RECEIPT","SOURCE_TOUCH_REQUIRED","IN_PROGRESS"))</x:f>
        <x:v>SOURCE_TOUCH_REQUIRED</x:v>
      </x:c>
      <x:c r="W1352" s="12" t="str">
        <x:f>IF(P1352="Unverified","missing_receipt","receipt_logged")</x:f>
        <x:v>missing_receipt</x:v>
      </x:c>
      <x:c r="X1352" s="12" t="str">
        <x:f>IF(Q1352="Not checked","raw_status_missing","raw_status_logged")</x:f>
        <x:v>raw_status_missing</x:v>
      </x:c>
      <x:c r="Y1352" s="12" t="str">
        <x:f>IF(U1352="BLOCKED_PENDING_RECEIPT","Log source path or blocker; do not promote","Route to review lane")</x:f>
        <x:v>Log source path or blocker; do not promote</x:v>
      </x:c>
      <x:c r="Z1352" s="12" t="str">
        <x:f>IF(K1352="P0","Primary seat + Hashlight/Lucerna","Seat lane")</x:f>
        <x:v>Seat lane</x:v>
      </x:c>
      <x:c r="AA1352" s="12" t="str">
        <x:f>IF(R1352="","no_claim_delta","claim_delta_present")</x:f>
        <x:v>no_claim_delta</x:v>
      </x:c>
      <x:c r="AB1352" s="12" t="str">
        <x:f>IF(S1352="","no_contradiction_delta","contradiction_delta_present")</x:f>
        <x:v>no_contradiction_delta</x:v>
      </x:c>
      <x:c r="AC1352" s="12" t="str">
        <x:f>IF(OR(ISNUMBER(SEARCH("hacker",LOWER(F1352&amp;" "&amp;H1352&amp;" "&amp;I1352&amp;" "&amp;M1352&amp;" "&amp;N1352&amp;" "&amp;T1352))),ISNUMBER(SEARCH("hacking",LOWER(F1352&amp;" "&amp;H1352&amp;" "&amp;I1352&amp;" "&amp;M1352&amp;" "&amp;N1352&amp;" "&amp;T1352))),ISNUMBER(SEARCH("bank",LOWER(F1352&amp;" "&amp;H1352&amp;" "&amp;I1352&amp;" "&amp;M1352&amp;" "&amp;N1352&amp;" "&amp;T1352))),ISNUMBER(SEARCH("banking",LOWER(F1352&amp;" "&amp;H1352&amp;" "&amp;I1352&amp;" "&amp;M1352&amp;" "&amp;N1352&amp;" "&amp;T1352)))),"PRIVATE_QUARANTINE",IF(OR(ISNUMBER(SEARCH("treasury",LOWER(F1352&amp;" "&amp;H1352&amp;" "&amp;I1352&amp;" "&amp;M1352&amp;" "&amp;N1352&amp;" "&amp;T1352))),ISNUMBER(SEARCH("debt",LOWER(F1352&amp;" "&amp;H1352&amp;" "&amp;I1352&amp;" "&amp;M1352&amp;" "&amp;N1352&amp;" "&amp;T1352))),ISNUMBER(SEARCH("bond",LOWER(F1352&amp;" "&amp;H1352&amp;" "&amp;I1352&amp;" "&amp;M1352&amp;" "&amp;N1352&amp;" "&amp;T1352))),ISNUMBER(SEARCH("transaction",LOWER(F1352&amp;" "&amp;H1352&amp;" "&amp;I1352&amp;" "&amp;M1352&amp;" "&amp;N1352&amp;" "&amp;T1352)))),"PRIVATE_REVIEW","PUBLIC_CANDIDATE"))</x:f>
        <x:v>PUBLIC_CANDIDATE</x:v>
      </x:c>
      <x:c r="AD1352" s="12" t="str">
        <x:f>IF(AC1352="PRIVATE_QUARANTINE","hacker_or_bank_trigger",IF(AC1352="PRIVATE_REVIEW","finance_risk_trigger","none"))</x:f>
        <x:v>none</x:v>
      </x:c>
      <x:c r="AE1352" s="12" t="str">
        <x:f>IF(AC1352="PUBLIC_CANDIDATE","prepare_public_github_candidate",IF(AC1352="PRIVATE_REVIEW","hold_for_private_review","quarantine_private_do_not_publish"))</x:f>
        <x:v>prepare_public_github_candidate</x:v>
      </x:c>
      <x:c r="AF1352" s="12" t="str">
        <x:f>IF(AC1352="PUBLIC_CANDIDATE","TIDELOCK + Lucerna",IF(AC1352="PRIVATE_REVIEW","AtlasBrain + Lucerna","TIDELOCK + Lucerna + Human-root"))</x:f>
        <x:v>TIDELOCK + Lucerna</x:v>
      </x:c>
      <x:c r="AG1352" s="12" t="str">
        <x:f>IF(AND(AC1352="PUBLIC_CANDIDATE",U1352&lt;&gt;"BLOCKED_PENDING_RECEIPT"),"READY_AFTER_RECEIPT","NOT_READY")</x:f>
        <x:v>NOT_READY</x:v>
      </x:c>
      <x:c r="AH1352" s="12" t="str">
        <x:f>IF(AC1352="PUBLIC_CANDIDATE","none",AD1352)</x:f>
        <x:v>none</x:v>
      </x:c>
      <x:c r="AI1352" s="12" t="str">
        <x:f>IF(AC1352="PUBLIC_CANDIDATE","archive/public_candidates/"&amp;A1352,"private_quarantine/"&amp;A1352)</x:f>
        <x:v>archive/public_candidates/SWARM-10-H05-S07</x:v>
      </x:c>
      <x:c r="AJ1352" s="12" t="str">
        <x:f>IF(AC1352="PUBLIC_CANDIDATE","public by default; still not canon","private/hold; do not publish")</x:f>
        <x:v>public by default; still not canon</x:v>
      </x:c>
      <x:c r="AK1352" s="12" t="str">
        <x:f>IF(AE1352="prepare_public_github_candidate","add receipt/status then mirror","resolve blocker before any public GitHub action")</x:f>
        <x:v>add receipt/status then mirror</x:v>
      </x:c>
    </x:row>
    <x:row r="1353">
      <x:c r="A1353" s="15" t="str">
        <x:v>SWARM-10-H05-S08</x:v>
      </x:c>
      <x:c r="B1353" s="15" t="str">
        <x:v>GitShelf</x:v>
      </x:c>
      <x:c r="C1353" s="15" t="str">
        <x:v>GitHub shelf builder</x:v>
      </x:c>
      <x:c r="D1353" s="15" t="str">
        <x:v>Contradiction Mapping</x:v>
      </x:c>
      <x:c r="E1353" s="15" t="str">
        <x:v>Sheldonbrain</x:v>
      </x:c>
      <x:c r="F1353" s="15" t="str">
        <x:v>Map contradictions in Sheldonbrain — GitShelf</x:v>
      </x:c>
      <x:c r="G1353" s="15" t="str">
        <x:v>repo packet / manifest / issue template prep</x:v>
      </x:c>
      <x:c r="H1353" s="15" t="str">
        <x:v>source path + receipt + raw/export status + claim/edge/risk delta</x:v>
      </x:c>
      <x:c r="I1353" s="15" t="str">
        <x:v>packet/SWARM-10-H05-S08</x:v>
      </x:c>
      <x:c r="J1353" s="15" t="str">
        <x:v>TODO</x:v>
      </x:c>
      <x:c r="K1353" s="15" t="str">
        <x:v>P1</x:v>
      </x:c>
      <x:c r="L1353" s="15" t="str">
        <x:v>Done only when evidence is logged, contradiction search is noted, and boundary stamp remains non-canon unless ratified</x:v>
      </x:c>
      <x:c r="M1353" s="15" t="str">
        <x:v>candidate / staging-only / not canon / not deployed / authority none</x:v>
      </x:c>
      <x:c r="N1353" s="15" t="str">
        <x:v>Dispatch to GitShelf: complete Contradiction Mapping x Sheldonbrain; return deltas only, receipts required.</x:v>
      </x:c>
      <x:c r="O1353" s="15" t="str">
        <x:v>AF-KG-H05-S08</x:v>
      </x:c>
      <x:c r="P1353" s="15" t="str">
        <x:v>Unverified</x:v>
      </x:c>
      <x:c r="Q1353" s="15" t="str">
        <x:v>Not checked</x:v>
      </x:c>
      <x:c r="R1353" s="15" t="str"/>
      <x:c r="S1353" s="15" t="str"/>
      <x:c r="T1353" s="15" t="str">
        <x:v>Log first source path or blocker</x:v>
      </x:c>
      <x:c r="U1353" s="12" t="str">
        <x:f>IF(OR(P1353="Unverified",Q1353="Not checked"),"BLOCKED_PENDING_RECEIPT","READY_FOR_REVIEW")</x:f>
        <x:v>BLOCKED_PENDING_RECEIPT</x:v>
      </x:c>
      <x:c r="V1353" s="12" t="str">
        <x:f>IF(J1353="DONE","RETURNED",IF(U1353="BLOCKED_PENDING_RECEIPT","SOURCE_TOUCH_REQUIRED","IN_PROGRESS"))</x:f>
        <x:v>SOURCE_TOUCH_REQUIRED</x:v>
      </x:c>
      <x:c r="W1353" s="12" t="str">
        <x:f>IF(P1353="Unverified","missing_receipt","receipt_logged")</x:f>
        <x:v>missing_receipt</x:v>
      </x:c>
      <x:c r="X1353" s="12" t="str">
        <x:f>IF(Q1353="Not checked","raw_status_missing","raw_status_logged")</x:f>
        <x:v>raw_status_missing</x:v>
      </x:c>
      <x:c r="Y1353" s="12" t="str">
        <x:f>IF(U1353="BLOCKED_PENDING_RECEIPT","Log source path or blocker; do not promote","Route to review lane")</x:f>
        <x:v>Log source path or blocker; do not promote</x:v>
      </x:c>
      <x:c r="Z1353" s="12" t="str">
        <x:f>IF(K1353="P0","Primary seat + Hashlight/Lucerna","Seat lane")</x:f>
        <x:v>Seat lane</x:v>
      </x:c>
      <x:c r="AA1353" s="12" t="str">
        <x:f>IF(R1353="","no_claim_delta","claim_delta_present")</x:f>
        <x:v>no_claim_delta</x:v>
      </x:c>
      <x:c r="AB1353" s="12" t="str">
        <x:f>IF(S1353="","no_contradiction_delta","contradiction_delta_present")</x:f>
        <x:v>no_contradiction_delta</x:v>
      </x:c>
      <x:c r="AC1353" s="12" t="str">
        <x:f>IF(OR(ISNUMBER(SEARCH("hacker",LOWER(F1353&amp;" "&amp;H1353&amp;" "&amp;I1353&amp;" "&amp;M1353&amp;" "&amp;N1353&amp;" "&amp;T1353))),ISNUMBER(SEARCH("hacking",LOWER(F1353&amp;" "&amp;H1353&amp;" "&amp;I1353&amp;" "&amp;M1353&amp;" "&amp;N1353&amp;" "&amp;T1353))),ISNUMBER(SEARCH("bank",LOWER(F1353&amp;" "&amp;H1353&amp;" "&amp;I1353&amp;" "&amp;M1353&amp;" "&amp;N1353&amp;" "&amp;T1353))),ISNUMBER(SEARCH("banking",LOWER(F1353&amp;" "&amp;H1353&amp;" "&amp;I1353&amp;" "&amp;M1353&amp;" "&amp;N1353&amp;" "&amp;T1353)))),"PRIVATE_QUARANTINE",IF(OR(ISNUMBER(SEARCH("treasury",LOWER(F1353&amp;" "&amp;H1353&amp;" "&amp;I1353&amp;" "&amp;M1353&amp;" "&amp;N1353&amp;" "&amp;T1353))),ISNUMBER(SEARCH("debt",LOWER(F1353&amp;" "&amp;H1353&amp;" "&amp;I1353&amp;" "&amp;M1353&amp;" "&amp;N1353&amp;" "&amp;T1353))),ISNUMBER(SEARCH("bond",LOWER(F1353&amp;" "&amp;H1353&amp;" "&amp;I1353&amp;" "&amp;M1353&amp;" "&amp;N1353&amp;" "&amp;T1353))),ISNUMBER(SEARCH("transaction",LOWER(F1353&amp;" "&amp;H1353&amp;" "&amp;I1353&amp;" "&amp;M1353&amp;" "&amp;N1353&amp;" "&amp;T1353)))),"PRIVATE_REVIEW","PUBLIC_CANDIDATE"))</x:f>
        <x:v>PUBLIC_CANDIDATE</x:v>
      </x:c>
      <x:c r="AD1353" s="12" t="str">
        <x:f>IF(AC1353="PRIVATE_QUARANTINE","hacker_or_bank_trigger",IF(AC1353="PRIVATE_REVIEW","finance_risk_trigger","none"))</x:f>
        <x:v>none</x:v>
      </x:c>
      <x:c r="AE1353" s="12" t="str">
        <x:f>IF(AC1353="PUBLIC_CANDIDATE","prepare_public_github_candidate",IF(AC1353="PRIVATE_REVIEW","hold_for_private_review","quarantine_private_do_not_publish"))</x:f>
        <x:v>prepare_public_github_candidate</x:v>
      </x:c>
      <x:c r="AF1353" s="12" t="str">
        <x:f>IF(AC1353="PUBLIC_CANDIDATE","TIDELOCK + Lucerna",IF(AC1353="PRIVATE_REVIEW","AtlasBrain + Lucerna","TIDELOCK + Lucerna + Human-root"))</x:f>
        <x:v>TIDELOCK + Lucerna</x:v>
      </x:c>
      <x:c r="AG1353" s="12" t="str">
        <x:f>IF(AND(AC1353="PUBLIC_CANDIDATE",U1353&lt;&gt;"BLOCKED_PENDING_RECEIPT"),"READY_AFTER_RECEIPT","NOT_READY")</x:f>
        <x:v>NOT_READY</x:v>
      </x:c>
      <x:c r="AH1353" s="12" t="str">
        <x:f>IF(AC1353="PUBLIC_CANDIDATE","none",AD1353)</x:f>
        <x:v>none</x:v>
      </x:c>
      <x:c r="AI1353" s="12" t="str">
        <x:f>IF(AC1353="PUBLIC_CANDIDATE","archive/public_candidates/"&amp;A1353,"private_quarantine/"&amp;A1353)</x:f>
        <x:v>archive/public_candidates/SWARM-10-H05-S08</x:v>
      </x:c>
      <x:c r="AJ1353" s="12" t="str">
        <x:f>IF(AC1353="PUBLIC_CANDIDATE","public by default; still not canon","private/hold; do not publish")</x:f>
        <x:v>public by default; still not canon</x:v>
      </x:c>
      <x:c r="AK1353" s="12" t="str">
        <x:f>IF(AE1353="prepare_public_github_candidate","add receipt/status then mirror","resolve blocker before any public GitHub action")</x:f>
        <x:v>add receipt/status then mirror</x:v>
      </x:c>
    </x:row>
    <x:row r="1354">
      <x:c r="A1354" s="15" t="str">
        <x:v>SWARM-10-H05-S09</x:v>
      </x:c>
      <x:c r="B1354" s="15" t="str">
        <x:v>GitShelf</x:v>
      </x:c>
      <x:c r="C1354" s="15" t="str">
        <x:v>GitHub shelf builder</x:v>
      </x:c>
      <x:c r="D1354" s="15" t="str">
        <x:v>Contradiction Mapping</x:v>
      </x:c>
      <x:c r="E1354" s="15" t="str">
        <x:v>Aetherforge</x:v>
      </x:c>
      <x:c r="F1354" s="15" t="str">
        <x:v>Map contradictions in Aetherforge — GitShelf</x:v>
      </x:c>
      <x:c r="G1354" s="15" t="str">
        <x:v>repo packet / manifest / issue template prep</x:v>
      </x:c>
      <x:c r="H1354" s="15" t="str">
        <x:v>source path + receipt + raw/export status + claim/edge/risk delta</x:v>
      </x:c>
      <x:c r="I1354" s="15" t="str">
        <x:v>packet/SWARM-10-H05-S09</x:v>
      </x:c>
      <x:c r="J1354" s="15" t="str">
        <x:v>TODO</x:v>
      </x:c>
      <x:c r="K1354" s="15" t="str">
        <x:v>P2</x:v>
      </x:c>
      <x:c r="L1354" s="15" t="str">
        <x:v>Done only when evidence is logged, contradiction search is noted, and boundary stamp remains non-canon unless ratified</x:v>
      </x:c>
      <x:c r="M1354" s="15" t="str">
        <x:v>candidate / staging-only / not canon / not deployed / authority none</x:v>
      </x:c>
      <x:c r="N1354" s="15" t="str">
        <x:v>Dispatch to GitShelf: complete Contradiction Mapping x Aetherforge; return deltas only, receipts required.</x:v>
      </x:c>
      <x:c r="O1354" s="15" t="str">
        <x:v>AF-KG-H05-S09</x:v>
      </x:c>
      <x:c r="P1354" s="15" t="str">
        <x:v>Unverified</x:v>
      </x:c>
      <x:c r="Q1354" s="15" t="str">
        <x:v>Not checked</x:v>
      </x:c>
      <x:c r="R1354" s="15" t="str"/>
      <x:c r="S1354" s="15" t="str"/>
      <x:c r="T1354" s="15" t="str">
        <x:v>Log first source path or blocker</x:v>
      </x:c>
      <x:c r="U1354" s="12" t="str">
        <x:f>IF(OR(P1354="Unverified",Q1354="Not checked"),"BLOCKED_PENDING_RECEIPT","READY_FOR_REVIEW")</x:f>
        <x:v>BLOCKED_PENDING_RECEIPT</x:v>
      </x:c>
      <x:c r="V1354" s="12" t="str">
        <x:f>IF(J1354="DONE","RETURNED",IF(U1354="BLOCKED_PENDING_RECEIPT","SOURCE_TOUCH_REQUIRED","IN_PROGRESS"))</x:f>
        <x:v>SOURCE_TOUCH_REQUIRED</x:v>
      </x:c>
      <x:c r="W1354" s="12" t="str">
        <x:f>IF(P1354="Unverified","missing_receipt","receipt_logged")</x:f>
        <x:v>missing_receipt</x:v>
      </x:c>
      <x:c r="X1354" s="12" t="str">
        <x:f>IF(Q1354="Not checked","raw_status_missing","raw_status_logged")</x:f>
        <x:v>raw_status_missing</x:v>
      </x:c>
      <x:c r="Y1354" s="12" t="str">
        <x:f>IF(U1354="BLOCKED_PENDING_RECEIPT","Log source path or blocker; do not promote","Route to review lane")</x:f>
        <x:v>Log source path or blocker; do not promote</x:v>
      </x:c>
      <x:c r="Z1354" s="12" t="str">
        <x:f>IF(K1354="P0","Primary seat + Hashlight/Lucerna","Seat lane")</x:f>
        <x:v>Seat lane</x:v>
      </x:c>
      <x:c r="AA1354" s="12" t="str">
        <x:f>IF(R1354="","no_claim_delta","claim_delta_present")</x:f>
        <x:v>no_claim_delta</x:v>
      </x:c>
      <x:c r="AB1354" s="12" t="str">
        <x:f>IF(S1354="","no_contradiction_delta","contradiction_delta_present")</x:f>
        <x:v>no_contradiction_delta</x:v>
      </x:c>
      <x:c r="AC1354" s="12" t="str">
        <x:f>IF(OR(ISNUMBER(SEARCH("hacker",LOWER(F1354&amp;" "&amp;H1354&amp;" "&amp;I1354&amp;" "&amp;M1354&amp;" "&amp;N1354&amp;" "&amp;T1354))),ISNUMBER(SEARCH("hacking",LOWER(F1354&amp;" "&amp;H1354&amp;" "&amp;I1354&amp;" "&amp;M1354&amp;" "&amp;N1354&amp;" "&amp;T1354))),ISNUMBER(SEARCH("bank",LOWER(F1354&amp;" "&amp;H1354&amp;" "&amp;I1354&amp;" "&amp;M1354&amp;" "&amp;N1354&amp;" "&amp;T1354))),ISNUMBER(SEARCH("banking",LOWER(F1354&amp;" "&amp;H1354&amp;" "&amp;I1354&amp;" "&amp;M1354&amp;" "&amp;N1354&amp;" "&amp;T1354)))),"PRIVATE_QUARANTINE",IF(OR(ISNUMBER(SEARCH("treasury",LOWER(F1354&amp;" "&amp;H1354&amp;" "&amp;I1354&amp;" "&amp;M1354&amp;" "&amp;N1354&amp;" "&amp;T1354))),ISNUMBER(SEARCH("debt",LOWER(F1354&amp;" "&amp;H1354&amp;" "&amp;I1354&amp;" "&amp;M1354&amp;" "&amp;N1354&amp;" "&amp;T1354))),ISNUMBER(SEARCH("bond",LOWER(F1354&amp;" "&amp;H1354&amp;" "&amp;I1354&amp;" "&amp;M1354&amp;" "&amp;N1354&amp;" "&amp;T1354))),ISNUMBER(SEARCH("transaction",LOWER(F1354&amp;" "&amp;H1354&amp;" "&amp;I1354&amp;" "&amp;M1354&amp;" "&amp;N1354&amp;" "&amp;T1354)))),"PRIVATE_REVIEW","PUBLIC_CANDIDATE"))</x:f>
        <x:v>PUBLIC_CANDIDATE</x:v>
      </x:c>
      <x:c r="AD1354" s="12" t="str">
        <x:f>IF(AC1354="PRIVATE_QUARANTINE","hacker_or_bank_trigger",IF(AC1354="PRIVATE_REVIEW","finance_risk_trigger","none"))</x:f>
        <x:v>none</x:v>
      </x:c>
      <x:c r="AE1354" s="12" t="str">
        <x:f>IF(AC1354="PUBLIC_CANDIDATE","prepare_public_github_candidate",IF(AC1354="PRIVATE_REVIEW","hold_for_private_review","quarantine_private_do_not_publish"))</x:f>
        <x:v>prepare_public_github_candidate</x:v>
      </x:c>
      <x:c r="AF1354" s="12" t="str">
        <x:f>IF(AC1354="PUBLIC_CANDIDATE","TIDELOCK + Lucerna",IF(AC1354="PRIVATE_REVIEW","AtlasBrain + Lucerna","TIDELOCK + Lucerna + Human-root"))</x:f>
        <x:v>TIDELOCK + Lucerna</x:v>
      </x:c>
      <x:c r="AG1354" s="12" t="str">
        <x:f>IF(AND(AC1354="PUBLIC_CANDIDATE",U1354&lt;&gt;"BLOCKED_PENDING_RECEIPT"),"READY_AFTER_RECEIPT","NOT_READY")</x:f>
        <x:v>NOT_READY</x:v>
      </x:c>
      <x:c r="AH1354" s="12" t="str">
        <x:f>IF(AC1354="PUBLIC_CANDIDATE","none",AD1354)</x:f>
        <x:v>none</x:v>
      </x:c>
      <x:c r="AI1354" s="12" t="str">
        <x:f>IF(AC1354="PUBLIC_CANDIDATE","archive/public_candidates/"&amp;A1354,"private_quarantine/"&amp;A1354)</x:f>
        <x:v>archive/public_candidates/SWARM-10-H05-S09</x:v>
      </x:c>
      <x:c r="AJ1354" s="12" t="str">
        <x:f>IF(AC1354="PUBLIC_CANDIDATE","public by default; still not canon","private/hold; do not publish")</x:f>
        <x:v>public by default; still not canon</x:v>
      </x:c>
      <x:c r="AK1354" s="12" t="str">
        <x:f>IF(AE1354="prepare_public_github_candidate","add receipt/status then mirror","resolve blocker before any public GitHub action")</x:f>
        <x:v>add receipt/status then mirror</x:v>
      </x:c>
    </x:row>
    <x:row r="1355">
      <x:c r="A1355" s="15" t="str">
        <x:v>SWARM-10-H05-S10</x:v>
      </x:c>
      <x:c r="B1355" s="15" t="str">
        <x:v>GitShelf</x:v>
      </x:c>
      <x:c r="C1355" s="15" t="str">
        <x:v>GitHub shelf builder</x:v>
      </x:c>
      <x:c r="D1355" s="15" t="str">
        <x:v>Contradiction Mapping</x:v>
      </x:c>
      <x:c r="E1355" s="15" t="str">
        <x:v>Human-Root</x:v>
      </x:c>
      <x:c r="F1355" s="15" t="str">
        <x:v>Map contradictions in Human-Root — GitShelf</x:v>
      </x:c>
      <x:c r="G1355" s="15" t="str">
        <x:v>repo packet / manifest / issue template prep</x:v>
      </x:c>
      <x:c r="H1355" s="15" t="str">
        <x:v>source path + receipt + raw/export status + claim/edge/risk delta</x:v>
      </x:c>
      <x:c r="I1355" s="15" t="str">
        <x:v>packet/SWARM-10-H05-S10</x:v>
      </x:c>
      <x:c r="J1355" s="15" t="str">
        <x:v>TODO</x:v>
      </x:c>
      <x:c r="K1355" s="15" t="str">
        <x:v>P2</x:v>
      </x:c>
      <x:c r="L1355" s="15" t="str">
        <x:v>Done only when evidence is logged, contradiction search is noted, and boundary stamp remains non-canon unless ratified</x:v>
      </x:c>
      <x:c r="M1355" s="15" t="str">
        <x:v>candidate / staging-only / not canon / not deployed / authority none</x:v>
      </x:c>
      <x:c r="N1355" s="15" t="str">
        <x:v>Dispatch to GitShelf: complete Contradiction Mapping x Human-Root; return deltas only, receipts required.</x:v>
      </x:c>
      <x:c r="O1355" s="15" t="str">
        <x:v>AF-KG-H05-S10</x:v>
      </x:c>
      <x:c r="P1355" s="15" t="str">
        <x:v>Unverified</x:v>
      </x:c>
      <x:c r="Q1355" s="15" t="str">
        <x:v>Not checked</x:v>
      </x:c>
      <x:c r="R1355" s="15" t="str"/>
      <x:c r="S1355" s="15" t="str"/>
      <x:c r="T1355" s="15" t="str">
        <x:v>Log first source path or blocker</x:v>
      </x:c>
      <x:c r="U1355" s="12" t="str">
        <x:f>IF(OR(P1355="Unverified",Q1355="Not checked"),"BLOCKED_PENDING_RECEIPT","READY_FOR_REVIEW")</x:f>
        <x:v>BLOCKED_PENDING_RECEIPT</x:v>
      </x:c>
      <x:c r="V1355" s="12" t="str">
        <x:f>IF(J1355="DONE","RETURNED",IF(U1355="BLOCKED_PENDING_RECEIPT","SOURCE_TOUCH_REQUIRED","IN_PROGRESS"))</x:f>
        <x:v>SOURCE_TOUCH_REQUIRED</x:v>
      </x:c>
      <x:c r="W1355" s="12" t="str">
        <x:f>IF(P1355="Unverified","missing_receipt","receipt_logged")</x:f>
        <x:v>missing_receipt</x:v>
      </x:c>
      <x:c r="X1355" s="12" t="str">
        <x:f>IF(Q1355="Not checked","raw_status_missing","raw_status_logged")</x:f>
        <x:v>raw_status_missing</x:v>
      </x:c>
      <x:c r="Y1355" s="12" t="str">
        <x:f>IF(U1355="BLOCKED_PENDING_RECEIPT","Log source path or blocker; do not promote","Route to review lane")</x:f>
        <x:v>Log source path or blocker; do not promote</x:v>
      </x:c>
      <x:c r="Z1355" s="12" t="str">
        <x:f>IF(K1355="P0","Primary seat + Hashlight/Lucerna","Seat lane")</x:f>
        <x:v>Seat lane</x:v>
      </x:c>
      <x:c r="AA1355" s="12" t="str">
        <x:f>IF(R1355="","no_claim_delta","claim_delta_present")</x:f>
        <x:v>no_claim_delta</x:v>
      </x:c>
      <x:c r="AB1355" s="12" t="str">
        <x:f>IF(S1355="","no_contradiction_delta","contradiction_delta_present")</x:f>
        <x:v>no_contradiction_delta</x:v>
      </x:c>
      <x:c r="AC1355" s="12" t="str">
        <x:f>IF(OR(ISNUMBER(SEARCH("hacker",LOWER(F1355&amp;" "&amp;H1355&amp;" "&amp;I1355&amp;" "&amp;M1355&amp;" "&amp;N1355&amp;" "&amp;T1355))),ISNUMBER(SEARCH("hacking",LOWER(F1355&amp;" "&amp;H1355&amp;" "&amp;I1355&amp;" "&amp;M1355&amp;" "&amp;N1355&amp;" "&amp;T1355))),ISNUMBER(SEARCH("bank",LOWER(F1355&amp;" "&amp;H1355&amp;" "&amp;I1355&amp;" "&amp;M1355&amp;" "&amp;N1355&amp;" "&amp;T1355))),ISNUMBER(SEARCH("banking",LOWER(F1355&amp;" "&amp;H1355&amp;" "&amp;I1355&amp;" "&amp;M1355&amp;" "&amp;N1355&amp;" "&amp;T1355)))),"PRIVATE_QUARANTINE",IF(OR(ISNUMBER(SEARCH("treasury",LOWER(F1355&amp;" "&amp;H1355&amp;" "&amp;I1355&amp;" "&amp;M1355&amp;" "&amp;N1355&amp;" "&amp;T1355))),ISNUMBER(SEARCH("debt",LOWER(F1355&amp;" "&amp;H1355&amp;" "&amp;I1355&amp;" "&amp;M1355&amp;" "&amp;N1355&amp;" "&amp;T1355))),ISNUMBER(SEARCH("bond",LOWER(F1355&amp;" "&amp;H1355&amp;" "&amp;I1355&amp;" "&amp;M1355&amp;" "&amp;N1355&amp;" "&amp;T1355))),ISNUMBER(SEARCH("transaction",LOWER(F1355&amp;" "&amp;H1355&amp;" "&amp;I1355&amp;" "&amp;M1355&amp;" "&amp;N1355&amp;" "&amp;T1355)))),"PRIVATE_REVIEW","PUBLIC_CANDIDATE"))</x:f>
        <x:v>PUBLIC_CANDIDATE</x:v>
      </x:c>
      <x:c r="AD1355" s="12" t="str">
        <x:f>IF(AC1355="PRIVATE_QUARANTINE","hacker_or_bank_trigger",IF(AC1355="PRIVATE_REVIEW","finance_risk_trigger","none"))</x:f>
        <x:v>none</x:v>
      </x:c>
      <x:c r="AE1355" s="12" t="str">
        <x:f>IF(AC1355="PUBLIC_CANDIDATE","prepare_public_github_candidate",IF(AC1355="PRIVATE_REVIEW","hold_for_private_review","quarantine_private_do_not_publish"))</x:f>
        <x:v>prepare_public_github_candidate</x:v>
      </x:c>
      <x:c r="AF1355" s="12" t="str">
        <x:f>IF(AC1355="PUBLIC_CANDIDATE","TIDELOCK + Lucerna",IF(AC1355="PRIVATE_REVIEW","AtlasBrain + Lucerna","TIDELOCK + Lucerna + Human-root"))</x:f>
        <x:v>TIDELOCK + Lucerna</x:v>
      </x:c>
      <x:c r="AG1355" s="12" t="str">
        <x:f>IF(AND(AC1355="PUBLIC_CANDIDATE",U1355&lt;&gt;"BLOCKED_PENDING_RECEIPT"),"READY_AFTER_RECEIPT","NOT_READY")</x:f>
        <x:v>NOT_READY</x:v>
      </x:c>
      <x:c r="AH1355" s="12" t="str">
        <x:f>IF(AC1355="PUBLIC_CANDIDATE","none",AD1355)</x:f>
        <x:v>none</x:v>
      </x:c>
      <x:c r="AI1355" s="12" t="str">
        <x:f>IF(AC1355="PUBLIC_CANDIDATE","archive/public_candidates/"&amp;A1355,"private_quarantine/"&amp;A1355)</x:f>
        <x:v>archive/public_candidates/SWARM-10-H05-S10</x:v>
      </x:c>
      <x:c r="AJ1355" s="12" t="str">
        <x:f>IF(AC1355="PUBLIC_CANDIDATE","public by default; still not canon","private/hold; do not publish")</x:f>
        <x:v>public by default; still not canon</x:v>
      </x:c>
      <x:c r="AK1355" s="12" t="str">
        <x:f>IF(AE1355="prepare_public_github_candidate","add receipt/status then mirror","resolve blocker before any public GitHub action")</x:f>
        <x:v>add receipt/status then mirror</x:v>
      </x:c>
    </x:row>
    <x:row r="1356">
      <x:c r="A1356" s="15" t="str">
        <x:v>SWARM-10-H05-S11</x:v>
      </x:c>
      <x:c r="B1356" s="15" t="str">
        <x:v>GitShelf</x:v>
      </x:c>
      <x:c r="C1356" s="15" t="str">
        <x:v>GitHub shelf builder</x:v>
      </x:c>
      <x:c r="D1356" s="15" t="str">
        <x:v>Contradiction Mapping</x:v>
      </x:c>
      <x:c r="E1356" s="15" t="str">
        <x:v>Automation</x:v>
      </x:c>
      <x:c r="F1356" s="15" t="str">
        <x:v>Map contradictions in Automation — GitShelf</x:v>
      </x:c>
      <x:c r="G1356" s="15" t="str">
        <x:v>repo packet / manifest / issue template prep</x:v>
      </x:c>
      <x:c r="H1356" s="15" t="str">
        <x:v>source path + receipt + raw/export status + claim/edge/risk delta</x:v>
      </x:c>
      <x:c r="I1356" s="15" t="str">
        <x:v>packet/SWARM-10-H05-S11</x:v>
      </x:c>
      <x:c r="J1356" s="15" t="str">
        <x:v>TODO</x:v>
      </x:c>
      <x:c r="K1356" s="15" t="str">
        <x:v>P2</x:v>
      </x:c>
      <x:c r="L1356" s="15" t="str">
        <x:v>Done only when evidence is logged, contradiction search is noted, and boundary stamp remains non-canon unless ratified</x:v>
      </x:c>
      <x:c r="M1356" s="15" t="str">
        <x:v>candidate / staging-only / not canon / not deployed / authority none</x:v>
      </x:c>
      <x:c r="N1356" s="15" t="str">
        <x:v>Dispatch to GitShelf: complete Contradiction Mapping x Automation; return deltas only, receipts required.</x:v>
      </x:c>
      <x:c r="O1356" s="15" t="str">
        <x:v>AF-KG-H05-S11</x:v>
      </x:c>
      <x:c r="P1356" s="15" t="str">
        <x:v>Unverified</x:v>
      </x:c>
      <x:c r="Q1356" s="15" t="str">
        <x:v>Not checked</x:v>
      </x:c>
      <x:c r="R1356" s="15" t="str"/>
      <x:c r="S1356" s="15" t="str"/>
      <x:c r="T1356" s="15" t="str">
        <x:v>Log first source path or blocker</x:v>
      </x:c>
      <x:c r="U1356" s="12" t="str">
        <x:f>IF(OR(P1356="Unverified",Q1356="Not checked"),"BLOCKED_PENDING_RECEIPT","READY_FOR_REVIEW")</x:f>
        <x:v>BLOCKED_PENDING_RECEIPT</x:v>
      </x:c>
      <x:c r="V1356" s="12" t="str">
        <x:f>IF(J1356="DONE","RETURNED",IF(U1356="BLOCKED_PENDING_RECEIPT","SOURCE_TOUCH_REQUIRED","IN_PROGRESS"))</x:f>
        <x:v>SOURCE_TOUCH_REQUIRED</x:v>
      </x:c>
      <x:c r="W1356" s="12" t="str">
        <x:f>IF(P1356="Unverified","missing_receipt","receipt_logged")</x:f>
        <x:v>missing_receipt</x:v>
      </x:c>
      <x:c r="X1356" s="12" t="str">
        <x:f>IF(Q1356="Not checked","raw_status_missing","raw_status_logged")</x:f>
        <x:v>raw_status_missing</x:v>
      </x:c>
      <x:c r="Y1356" s="12" t="str">
        <x:f>IF(U1356="BLOCKED_PENDING_RECEIPT","Log source path or blocker; do not promote","Route to review lane")</x:f>
        <x:v>Log source path or blocker; do not promote</x:v>
      </x:c>
      <x:c r="Z1356" s="12" t="str">
        <x:f>IF(K1356="P0","Primary seat + Hashlight/Lucerna","Seat lane")</x:f>
        <x:v>Seat lane</x:v>
      </x:c>
      <x:c r="AA1356" s="12" t="str">
        <x:f>IF(R1356="","no_claim_delta","claim_delta_present")</x:f>
        <x:v>no_claim_delta</x:v>
      </x:c>
      <x:c r="AB1356" s="12" t="str">
        <x:f>IF(S1356="","no_contradiction_delta","contradiction_delta_present")</x:f>
        <x:v>no_contradiction_delta</x:v>
      </x:c>
      <x:c r="AC1356" s="12" t="str">
        <x:f>IF(OR(ISNUMBER(SEARCH("hacker",LOWER(F1356&amp;" "&amp;H1356&amp;" "&amp;I1356&amp;" "&amp;M1356&amp;" "&amp;N1356&amp;" "&amp;T1356))),ISNUMBER(SEARCH("hacking",LOWER(F1356&amp;" "&amp;H1356&amp;" "&amp;I1356&amp;" "&amp;M1356&amp;" "&amp;N1356&amp;" "&amp;T1356))),ISNUMBER(SEARCH("bank",LOWER(F1356&amp;" "&amp;H1356&amp;" "&amp;I1356&amp;" "&amp;M1356&amp;" "&amp;N1356&amp;" "&amp;T1356))),ISNUMBER(SEARCH("banking",LOWER(F1356&amp;" "&amp;H1356&amp;" "&amp;I1356&amp;" "&amp;M1356&amp;" "&amp;N1356&amp;" "&amp;T1356)))),"PRIVATE_QUARANTINE",IF(OR(ISNUMBER(SEARCH("treasury",LOWER(F1356&amp;" "&amp;H1356&amp;" "&amp;I1356&amp;" "&amp;M1356&amp;" "&amp;N1356&amp;" "&amp;T1356))),ISNUMBER(SEARCH("debt",LOWER(F1356&amp;" "&amp;H1356&amp;" "&amp;I1356&amp;" "&amp;M1356&amp;" "&amp;N1356&amp;" "&amp;T1356))),ISNUMBER(SEARCH("bond",LOWER(F1356&amp;" "&amp;H1356&amp;" "&amp;I1356&amp;" "&amp;M1356&amp;" "&amp;N1356&amp;" "&amp;T1356))),ISNUMBER(SEARCH("transaction",LOWER(F1356&amp;" "&amp;H1356&amp;" "&amp;I1356&amp;" "&amp;M1356&amp;" "&amp;N1356&amp;" "&amp;T1356)))),"PRIVATE_REVIEW","PUBLIC_CANDIDATE"))</x:f>
        <x:v>PUBLIC_CANDIDATE</x:v>
      </x:c>
      <x:c r="AD1356" s="12" t="str">
        <x:f>IF(AC1356="PRIVATE_QUARANTINE","hacker_or_bank_trigger",IF(AC1356="PRIVATE_REVIEW","finance_risk_trigger","none"))</x:f>
        <x:v>none</x:v>
      </x:c>
      <x:c r="AE1356" s="12" t="str">
        <x:f>IF(AC1356="PUBLIC_CANDIDATE","prepare_public_github_candidate",IF(AC1356="PRIVATE_REVIEW","hold_for_private_review","quarantine_private_do_not_publish"))</x:f>
        <x:v>prepare_public_github_candidate</x:v>
      </x:c>
      <x:c r="AF1356" s="12" t="str">
        <x:f>IF(AC1356="PUBLIC_CANDIDATE","TIDELOCK + Lucerna",IF(AC1356="PRIVATE_REVIEW","AtlasBrain + Lucerna","TIDELOCK + Lucerna + Human-root"))</x:f>
        <x:v>TIDELOCK + Lucerna</x:v>
      </x:c>
      <x:c r="AG1356" s="12" t="str">
        <x:f>IF(AND(AC1356="PUBLIC_CANDIDATE",U1356&lt;&gt;"BLOCKED_PENDING_RECEIPT"),"READY_AFTER_RECEIPT","NOT_READY")</x:f>
        <x:v>NOT_READY</x:v>
      </x:c>
      <x:c r="AH1356" s="12" t="str">
        <x:f>IF(AC1356="PUBLIC_CANDIDATE","none",AD1356)</x:f>
        <x:v>none</x:v>
      </x:c>
      <x:c r="AI1356" s="12" t="str">
        <x:f>IF(AC1356="PUBLIC_CANDIDATE","archive/public_candidates/"&amp;A1356,"private_quarantine/"&amp;A1356)</x:f>
        <x:v>archive/public_candidates/SWARM-10-H05-S11</x:v>
      </x:c>
      <x:c r="AJ1356" s="12" t="str">
        <x:f>IF(AC1356="PUBLIC_CANDIDATE","public by default; still not canon","private/hold; do not publish")</x:f>
        <x:v>public by default; still not canon</x:v>
      </x:c>
      <x:c r="AK1356" s="12" t="str">
        <x:f>IF(AE1356="prepare_public_github_candidate","add receipt/status then mirror","resolve blocker before any public GitHub action")</x:f>
        <x:v>add receipt/status then mirror</x:v>
      </x:c>
    </x:row>
    <x:row r="1357">
      <x:c r="A1357" s="15" t="str">
        <x:v>SWARM-10-H05-S12</x:v>
      </x:c>
      <x:c r="B1357" s="15" t="str">
        <x:v>GitShelf</x:v>
      </x:c>
      <x:c r="C1357" s="15" t="str">
        <x:v>GitHub shelf builder</x:v>
      </x:c>
      <x:c r="D1357" s="15" t="str">
        <x:v>Contradiction Mapping</x:v>
      </x:c>
      <x:c r="E1357" s="15" t="str">
        <x:v>Risk / Safety</x:v>
      </x:c>
      <x:c r="F1357" s="15" t="str">
        <x:v>Map contradictions in Risk / Safety — GitShelf</x:v>
      </x:c>
      <x:c r="G1357" s="15" t="str">
        <x:v>repo packet / manifest / issue template prep</x:v>
      </x:c>
      <x:c r="H1357" s="15" t="str">
        <x:v>source path + receipt + raw/export status + claim/edge/risk delta</x:v>
      </x:c>
      <x:c r="I1357" s="15" t="str">
        <x:v>packet/SWARM-10-H05-S12</x:v>
      </x:c>
      <x:c r="J1357" s="15" t="str">
        <x:v>TODO</x:v>
      </x:c>
      <x:c r="K1357" s="15" t="str">
        <x:v>P2</x:v>
      </x:c>
      <x:c r="L1357" s="15" t="str">
        <x:v>Done only when evidence is logged, contradiction search is noted, and boundary stamp remains non-canon unless ratified</x:v>
      </x:c>
      <x:c r="M1357" s="15" t="str">
        <x:v>candidate / staging-only / not canon / not deployed / authority none</x:v>
      </x:c>
      <x:c r="N1357" s="15" t="str">
        <x:v>Dispatch to GitShelf: complete Contradiction Mapping x Risk / Safety; return deltas only, receipts required.</x:v>
      </x:c>
      <x:c r="O1357" s="15" t="str">
        <x:v>AF-KG-H05-S12</x:v>
      </x:c>
      <x:c r="P1357" s="15" t="str">
        <x:v>Unverified</x:v>
      </x:c>
      <x:c r="Q1357" s="15" t="str">
        <x:v>Not checked</x:v>
      </x:c>
      <x:c r="R1357" s="15" t="str"/>
      <x:c r="S1357" s="15" t="str"/>
      <x:c r="T1357" s="15" t="str">
        <x:v>Log first source path or blocker</x:v>
      </x:c>
      <x:c r="U1357" s="12" t="str">
        <x:f>IF(OR(P1357="Unverified",Q1357="Not checked"),"BLOCKED_PENDING_RECEIPT","READY_FOR_REVIEW")</x:f>
        <x:v>BLOCKED_PENDING_RECEIPT</x:v>
      </x:c>
      <x:c r="V1357" s="12" t="str">
        <x:f>IF(J1357="DONE","RETURNED",IF(U1357="BLOCKED_PENDING_RECEIPT","SOURCE_TOUCH_REQUIRED","IN_PROGRESS"))</x:f>
        <x:v>SOURCE_TOUCH_REQUIRED</x:v>
      </x:c>
      <x:c r="W1357" s="12" t="str">
        <x:f>IF(P1357="Unverified","missing_receipt","receipt_logged")</x:f>
        <x:v>missing_receipt</x:v>
      </x:c>
      <x:c r="X1357" s="12" t="str">
        <x:f>IF(Q1357="Not checked","raw_status_missing","raw_status_logged")</x:f>
        <x:v>raw_status_missing</x:v>
      </x:c>
      <x:c r="Y1357" s="12" t="str">
        <x:f>IF(U1357="BLOCKED_PENDING_RECEIPT","Log source path or blocker; do not promote","Route to review lane")</x:f>
        <x:v>Log source path or blocker; do not promote</x:v>
      </x:c>
      <x:c r="Z1357" s="12" t="str">
        <x:f>IF(K1357="P0","Primary seat + Hashlight/Lucerna","Seat lane")</x:f>
        <x:v>Seat lane</x:v>
      </x:c>
      <x:c r="AA1357" s="12" t="str">
        <x:f>IF(R1357="","no_claim_delta","claim_delta_present")</x:f>
        <x:v>no_claim_delta</x:v>
      </x:c>
      <x:c r="AB1357" s="12" t="str">
        <x:f>IF(S1357="","no_contradiction_delta","contradiction_delta_present")</x:f>
        <x:v>no_contradiction_delta</x:v>
      </x:c>
      <x:c r="AC1357" s="12" t="str">
        <x:f>IF(OR(ISNUMBER(SEARCH("hacker",LOWER(F1357&amp;" "&amp;H1357&amp;" "&amp;I1357&amp;" "&amp;M1357&amp;" "&amp;N1357&amp;" "&amp;T1357))),ISNUMBER(SEARCH("hacking",LOWER(F1357&amp;" "&amp;H1357&amp;" "&amp;I1357&amp;" "&amp;M1357&amp;" "&amp;N1357&amp;" "&amp;T1357))),ISNUMBER(SEARCH("bank",LOWER(F1357&amp;" "&amp;H1357&amp;" "&amp;I1357&amp;" "&amp;M1357&amp;" "&amp;N1357&amp;" "&amp;T1357))),ISNUMBER(SEARCH("banking",LOWER(F1357&amp;" "&amp;H1357&amp;" "&amp;I1357&amp;" "&amp;M1357&amp;" "&amp;N1357&amp;" "&amp;T1357)))),"PRIVATE_QUARANTINE",IF(OR(ISNUMBER(SEARCH("treasury",LOWER(F1357&amp;" "&amp;H1357&amp;" "&amp;I1357&amp;" "&amp;M1357&amp;" "&amp;N1357&amp;" "&amp;T1357))),ISNUMBER(SEARCH("debt",LOWER(F1357&amp;" "&amp;H1357&amp;" "&amp;I1357&amp;" "&amp;M1357&amp;" "&amp;N1357&amp;" "&amp;T1357))),ISNUMBER(SEARCH("bond",LOWER(F1357&amp;" "&amp;H1357&amp;" "&amp;I1357&amp;" "&amp;M1357&amp;" "&amp;N1357&amp;" "&amp;T1357))),ISNUMBER(SEARCH("transaction",LOWER(F1357&amp;" "&amp;H1357&amp;" "&amp;I1357&amp;" "&amp;M1357&amp;" "&amp;N1357&amp;" "&amp;T1357)))),"PRIVATE_REVIEW","PUBLIC_CANDIDATE"))</x:f>
        <x:v>PUBLIC_CANDIDATE</x:v>
      </x:c>
      <x:c r="AD1357" s="12" t="str">
        <x:f>IF(AC1357="PRIVATE_QUARANTINE","hacker_or_bank_trigger",IF(AC1357="PRIVATE_REVIEW","finance_risk_trigger","none"))</x:f>
        <x:v>none</x:v>
      </x:c>
      <x:c r="AE1357" s="12" t="str">
        <x:f>IF(AC1357="PUBLIC_CANDIDATE","prepare_public_github_candidate",IF(AC1357="PRIVATE_REVIEW","hold_for_private_review","quarantine_private_do_not_publish"))</x:f>
        <x:v>prepare_public_github_candidate</x:v>
      </x:c>
      <x:c r="AF1357" s="12" t="str">
        <x:f>IF(AC1357="PUBLIC_CANDIDATE","TIDELOCK + Lucerna",IF(AC1357="PRIVATE_REVIEW","AtlasBrain + Lucerna","TIDELOCK + Lucerna + Human-root"))</x:f>
        <x:v>TIDELOCK + Lucerna</x:v>
      </x:c>
      <x:c r="AG1357" s="12" t="str">
        <x:f>IF(AND(AC1357="PUBLIC_CANDIDATE",U1357&lt;&gt;"BLOCKED_PENDING_RECEIPT"),"READY_AFTER_RECEIPT","NOT_READY")</x:f>
        <x:v>NOT_READY</x:v>
      </x:c>
      <x:c r="AH1357" s="12" t="str">
        <x:f>IF(AC1357="PUBLIC_CANDIDATE","none",AD1357)</x:f>
        <x:v>none</x:v>
      </x:c>
      <x:c r="AI1357" s="12" t="str">
        <x:f>IF(AC1357="PUBLIC_CANDIDATE","archive/public_candidates/"&amp;A1357,"private_quarantine/"&amp;A1357)</x:f>
        <x:v>archive/public_candidates/SWARM-10-H05-S12</x:v>
      </x:c>
      <x:c r="AJ1357" s="12" t="str">
        <x:f>IF(AC1357="PUBLIC_CANDIDATE","public by default; still not canon","private/hold; do not publish")</x:f>
        <x:v>public by default; still not canon</x:v>
      </x:c>
      <x:c r="AK1357" s="12" t="str">
        <x:f>IF(AE1357="prepare_public_github_candidate","add receipt/status then mirror","resolve blocker before any public GitHub action")</x:f>
        <x:v>add receipt/status then mirror</x:v>
      </x:c>
    </x:row>
    <x:row r="1358">
      <x:c r="A1358" s="15" t="str">
        <x:v>SWARM-10-H06-S01</x:v>
      </x:c>
      <x:c r="B1358" s="15" t="str">
        <x:v>GitShelf</x:v>
      </x:c>
      <x:c r="C1358" s="15" t="str">
        <x:v>GitHub shelf builder</x:v>
      </x:c>
      <x:c r="D1358" s="15" t="str">
        <x:v>Ontology / Schema</x:v>
      </x:c>
      <x:c r="E1358" s="15" t="str">
        <x:v>Notion</x:v>
      </x:c>
      <x:c r="F1358" s="15" t="str">
        <x:v>Schema-map Notion — GitShelf</x:v>
      </x:c>
      <x:c r="G1358" s="15" t="str">
        <x:v>repo packet / manifest / issue template prep</x:v>
      </x:c>
      <x:c r="H1358" s="15" t="str">
        <x:v>source path + receipt + raw/export status + claim/edge/risk delta</x:v>
      </x:c>
      <x:c r="I1358" s="15" t="str">
        <x:v>packet/SWARM-10-H06-S01</x:v>
      </x:c>
      <x:c r="J1358" s="15" t="str">
        <x:v>TODO</x:v>
      </x:c>
      <x:c r="K1358" s="15" t="str">
        <x:v>P0</x:v>
      </x:c>
      <x:c r="L1358" s="15" t="str">
        <x:v>Done only when evidence is logged, contradiction search is noted, and boundary stamp remains non-canon unless ratified</x:v>
      </x:c>
      <x:c r="M1358" s="15" t="str">
        <x:v>candidate / staging-only / not canon / not deployed / authority none</x:v>
      </x:c>
      <x:c r="N1358" s="15" t="str">
        <x:v>Dispatch to GitShelf: complete Ontology / Schema x Notion; return deltas only, receipts required.</x:v>
      </x:c>
      <x:c r="O1358" s="15" t="str">
        <x:v>AF-KG-H06-S01</x:v>
      </x:c>
      <x:c r="P1358" s="15" t="str">
        <x:v>Unverified</x:v>
      </x:c>
      <x:c r="Q1358" s="15" t="str">
        <x:v>Not checked</x:v>
      </x:c>
      <x:c r="R1358" s="15" t="str"/>
      <x:c r="S1358" s="15" t="str"/>
      <x:c r="T1358" s="15" t="str">
        <x:v>Log first source path or blocker</x:v>
      </x:c>
      <x:c r="U1358" s="12" t="str">
        <x:f>IF(OR(P1358="Unverified",Q1358="Not checked"),"BLOCKED_PENDING_RECEIPT","READY_FOR_REVIEW")</x:f>
        <x:v>BLOCKED_PENDING_RECEIPT</x:v>
      </x:c>
      <x:c r="V1358" s="12" t="str">
        <x:f>IF(J1358="DONE","RETURNED",IF(U1358="BLOCKED_PENDING_RECEIPT","SOURCE_TOUCH_REQUIRED","IN_PROGRESS"))</x:f>
        <x:v>SOURCE_TOUCH_REQUIRED</x:v>
      </x:c>
      <x:c r="W1358" s="12" t="str">
        <x:f>IF(P1358="Unverified","missing_receipt","receipt_logged")</x:f>
        <x:v>missing_receipt</x:v>
      </x:c>
      <x:c r="X1358" s="12" t="str">
        <x:f>IF(Q1358="Not checked","raw_status_missing","raw_status_logged")</x:f>
        <x:v>raw_status_missing</x:v>
      </x:c>
      <x:c r="Y1358" s="12" t="str">
        <x:f>IF(U1358="BLOCKED_PENDING_RECEIPT","Log source path or blocker; do not promote","Route to review lane")</x:f>
        <x:v>Log source path or blocker; do not promote</x:v>
      </x:c>
      <x:c r="Z1358" s="12" t="str">
        <x:f>IF(K1358="P0","Primary seat + Hashlight/Lucerna","Seat lane")</x:f>
        <x:v>Primary seat + Hashlight/Lucerna</x:v>
      </x:c>
      <x:c r="AA1358" s="12" t="str">
        <x:f>IF(R1358="","no_claim_delta","claim_delta_present")</x:f>
        <x:v>no_claim_delta</x:v>
      </x:c>
      <x:c r="AB1358" s="12" t="str">
        <x:f>IF(S1358="","no_contradiction_delta","contradiction_delta_present")</x:f>
        <x:v>no_contradiction_delta</x:v>
      </x:c>
      <x:c r="AC1358" s="12" t="str">
        <x:f>IF(OR(ISNUMBER(SEARCH("hacker",LOWER(F1358&amp;" "&amp;H1358&amp;" "&amp;I1358&amp;" "&amp;M1358&amp;" "&amp;N1358&amp;" "&amp;T1358))),ISNUMBER(SEARCH("hacking",LOWER(F1358&amp;" "&amp;H1358&amp;" "&amp;I1358&amp;" "&amp;M1358&amp;" "&amp;N1358&amp;" "&amp;T1358))),ISNUMBER(SEARCH("bank",LOWER(F1358&amp;" "&amp;H1358&amp;" "&amp;I1358&amp;" "&amp;M1358&amp;" "&amp;N1358&amp;" "&amp;T1358))),ISNUMBER(SEARCH("banking",LOWER(F1358&amp;" "&amp;H1358&amp;" "&amp;I1358&amp;" "&amp;M1358&amp;" "&amp;N1358&amp;" "&amp;T1358)))),"PRIVATE_QUARANTINE",IF(OR(ISNUMBER(SEARCH("treasury",LOWER(F1358&amp;" "&amp;H1358&amp;" "&amp;I1358&amp;" "&amp;M1358&amp;" "&amp;N1358&amp;" "&amp;T1358))),ISNUMBER(SEARCH("debt",LOWER(F1358&amp;" "&amp;H1358&amp;" "&amp;I1358&amp;" "&amp;M1358&amp;" "&amp;N1358&amp;" "&amp;T1358))),ISNUMBER(SEARCH("bond",LOWER(F1358&amp;" "&amp;H1358&amp;" "&amp;I1358&amp;" "&amp;M1358&amp;" "&amp;N1358&amp;" "&amp;T1358))),ISNUMBER(SEARCH("transaction",LOWER(F1358&amp;" "&amp;H1358&amp;" "&amp;I1358&amp;" "&amp;M1358&amp;" "&amp;N1358&amp;" "&amp;T1358)))),"PRIVATE_REVIEW","PUBLIC_CANDIDATE"))</x:f>
        <x:v>PUBLIC_CANDIDATE</x:v>
      </x:c>
      <x:c r="AD1358" s="12" t="str">
        <x:f>IF(AC1358="PRIVATE_QUARANTINE","hacker_or_bank_trigger",IF(AC1358="PRIVATE_REVIEW","finance_risk_trigger","none"))</x:f>
        <x:v>none</x:v>
      </x:c>
      <x:c r="AE1358" s="12" t="str">
        <x:f>IF(AC1358="PUBLIC_CANDIDATE","prepare_public_github_candidate",IF(AC1358="PRIVATE_REVIEW","hold_for_private_review","quarantine_private_do_not_publish"))</x:f>
        <x:v>prepare_public_github_candidate</x:v>
      </x:c>
      <x:c r="AF1358" s="12" t="str">
        <x:f>IF(AC1358="PUBLIC_CANDIDATE","TIDELOCK + Lucerna",IF(AC1358="PRIVATE_REVIEW","AtlasBrain + Lucerna","TIDELOCK + Lucerna + Human-root"))</x:f>
        <x:v>TIDELOCK + Lucerna</x:v>
      </x:c>
      <x:c r="AG1358" s="12" t="str">
        <x:f>IF(AND(AC1358="PUBLIC_CANDIDATE",U1358&lt;&gt;"BLOCKED_PENDING_RECEIPT"),"READY_AFTER_RECEIPT","NOT_READY")</x:f>
        <x:v>NOT_READY</x:v>
      </x:c>
      <x:c r="AH1358" s="12" t="str">
        <x:f>IF(AC1358="PUBLIC_CANDIDATE","none",AD1358)</x:f>
        <x:v>none</x:v>
      </x:c>
      <x:c r="AI1358" s="12" t="str">
        <x:f>IF(AC1358="PUBLIC_CANDIDATE","archive/public_candidates/"&amp;A1358,"private_quarantine/"&amp;A1358)</x:f>
        <x:v>archive/public_candidates/SWARM-10-H06-S01</x:v>
      </x:c>
      <x:c r="AJ1358" s="12" t="str">
        <x:f>IF(AC1358="PUBLIC_CANDIDATE","public by default; still not canon","private/hold; do not publish")</x:f>
        <x:v>public by default; still not canon</x:v>
      </x:c>
      <x:c r="AK1358" s="12" t="str">
        <x:f>IF(AE1358="prepare_public_github_candidate","add receipt/status then mirror","resolve blocker before any public GitHub action")</x:f>
        <x:v>add receipt/status then mirror</x:v>
      </x:c>
    </x:row>
    <x:row r="1359">
      <x:c r="A1359" s="15" t="str">
        <x:v>SWARM-10-H06-S02</x:v>
      </x:c>
      <x:c r="B1359" s="15" t="str">
        <x:v>GitShelf</x:v>
      </x:c>
      <x:c r="C1359" s="15" t="str">
        <x:v>GitHub shelf builder</x:v>
      </x:c>
      <x:c r="D1359" s="15" t="str">
        <x:v>Ontology / Schema</x:v>
      </x:c>
      <x:c r="E1359" s="15" t="str">
        <x:v>Drive</x:v>
      </x:c>
      <x:c r="F1359" s="15" t="str">
        <x:v>Schema-map Drive — GitShelf</x:v>
      </x:c>
      <x:c r="G1359" s="15" t="str">
        <x:v>repo packet / manifest / issue template prep</x:v>
      </x:c>
      <x:c r="H1359" s="15" t="str">
        <x:v>source path + receipt + raw/export status + claim/edge/risk delta</x:v>
      </x:c>
      <x:c r="I1359" s="15" t="str">
        <x:v>packet/SWARM-10-H06-S02</x:v>
      </x:c>
      <x:c r="J1359" s="15" t="str">
        <x:v>TODO</x:v>
      </x:c>
      <x:c r="K1359" s="15" t="str">
        <x:v>P0</x:v>
      </x:c>
      <x:c r="L1359" s="15" t="str">
        <x:v>Done only when evidence is logged, contradiction search is noted, and boundary stamp remains non-canon unless ratified</x:v>
      </x:c>
      <x:c r="M1359" s="15" t="str">
        <x:v>candidate / staging-only / not canon / not deployed / authority none</x:v>
      </x:c>
      <x:c r="N1359" s="15" t="str">
        <x:v>Dispatch to GitShelf: complete Ontology / Schema x Drive; return deltas only, receipts required.</x:v>
      </x:c>
      <x:c r="O1359" s="15" t="str">
        <x:v>AF-KG-H06-S02</x:v>
      </x:c>
      <x:c r="P1359" s="15" t="str">
        <x:v>Unverified</x:v>
      </x:c>
      <x:c r="Q1359" s="15" t="str">
        <x:v>Not checked</x:v>
      </x:c>
      <x:c r="R1359" s="15" t="str"/>
      <x:c r="S1359" s="15" t="str"/>
      <x:c r="T1359" s="15" t="str">
        <x:v>Log first source path or blocker</x:v>
      </x:c>
      <x:c r="U1359" s="12" t="str">
        <x:f>IF(OR(P1359="Unverified",Q1359="Not checked"),"BLOCKED_PENDING_RECEIPT","READY_FOR_REVIEW")</x:f>
        <x:v>BLOCKED_PENDING_RECEIPT</x:v>
      </x:c>
      <x:c r="V1359" s="12" t="str">
        <x:f>IF(J1359="DONE","RETURNED",IF(U1359="BLOCKED_PENDING_RECEIPT","SOURCE_TOUCH_REQUIRED","IN_PROGRESS"))</x:f>
        <x:v>SOURCE_TOUCH_REQUIRED</x:v>
      </x:c>
      <x:c r="W1359" s="12" t="str">
        <x:f>IF(P1359="Unverified","missing_receipt","receipt_logged")</x:f>
        <x:v>missing_receipt</x:v>
      </x:c>
      <x:c r="X1359" s="12" t="str">
        <x:f>IF(Q1359="Not checked","raw_status_missing","raw_status_logged")</x:f>
        <x:v>raw_status_missing</x:v>
      </x:c>
      <x:c r="Y1359" s="12" t="str">
        <x:f>IF(U1359="BLOCKED_PENDING_RECEIPT","Log source path or blocker; do not promote","Route to review lane")</x:f>
        <x:v>Log source path or blocker; do not promote</x:v>
      </x:c>
      <x:c r="Z1359" s="12" t="str">
        <x:f>IF(K1359="P0","Primary seat + Hashlight/Lucerna","Seat lane")</x:f>
        <x:v>Primary seat + Hashlight/Lucerna</x:v>
      </x:c>
      <x:c r="AA1359" s="12" t="str">
        <x:f>IF(R1359="","no_claim_delta","claim_delta_present")</x:f>
        <x:v>no_claim_delta</x:v>
      </x:c>
      <x:c r="AB1359" s="12" t="str">
        <x:f>IF(S1359="","no_contradiction_delta","contradiction_delta_present")</x:f>
        <x:v>no_contradiction_delta</x:v>
      </x:c>
      <x:c r="AC1359" s="12" t="str">
        <x:f>IF(OR(ISNUMBER(SEARCH("hacker",LOWER(F1359&amp;" "&amp;H1359&amp;" "&amp;I1359&amp;" "&amp;M1359&amp;" "&amp;N1359&amp;" "&amp;T1359))),ISNUMBER(SEARCH("hacking",LOWER(F1359&amp;" "&amp;H1359&amp;" "&amp;I1359&amp;" "&amp;M1359&amp;" "&amp;N1359&amp;" "&amp;T1359))),ISNUMBER(SEARCH("bank",LOWER(F1359&amp;" "&amp;H1359&amp;" "&amp;I1359&amp;" "&amp;M1359&amp;" "&amp;N1359&amp;" "&amp;T1359))),ISNUMBER(SEARCH("banking",LOWER(F1359&amp;" "&amp;H1359&amp;" "&amp;I1359&amp;" "&amp;M1359&amp;" "&amp;N1359&amp;" "&amp;T1359)))),"PRIVATE_QUARANTINE",IF(OR(ISNUMBER(SEARCH("treasury",LOWER(F1359&amp;" "&amp;H1359&amp;" "&amp;I1359&amp;" "&amp;M1359&amp;" "&amp;N1359&amp;" "&amp;T1359))),ISNUMBER(SEARCH("debt",LOWER(F1359&amp;" "&amp;H1359&amp;" "&amp;I1359&amp;" "&amp;M1359&amp;" "&amp;N1359&amp;" "&amp;T1359))),ISNUMBER(SEARCH("bond",LOWER(F1359&amp;" "&amp;H1359&amp;" "&amp;I1359&amp;" "&amp;M1359&amp;" "&amp;N1359&amp;" "&amp;T1359))),ISNUMBER(SEARCH("transaction",LOWER(F1359&amp;" "&amp;H1359&amp;" "&amp;I1359&amp;" "&amp;M1359&amp;" "&amp;N1359&amp;" "&amp;T1359)))),"PRIVATE_REVIEW","PUBLIC_CANDIDATE"))</x:f>
        <x:v>PUBLIC_CANDIDATE</x:v>
      </x:c>
      <x:c r="AD1359" s="12" t="str">
        <x:f>IF(AC1359="PRIVATE_QUARANTINE","hacker_or_bank_trigger",IF(AC1359="PRIVATE_REVIEW","finance_risk_trigger","none"))</x:f>
        <x:v>none</x:v>
      </x:c>
      <x:c r="AE1359" s="12" t="str">
        <x:f>IF(AC1359="PUBLIC_CANDIDATE","prepare_public_github_candidate",IF(AC1359="PRIVATE_REVIEW","hold_for_private_review","quarantine_private_do_not_publish"))</x:f>
        <x:v>prepare_public_github_candidate</x:v>
      </x:c>
      <x:c r="AF1359" s="12" t="str">
        <x:f>IF(AC1359="PUBLIC_CANDIDATE","TIDELOCK + Lucerna",IF(AC1359="PRIVATE_REVIEW","AtlasBrain + Lucerna","TIDELOCK + Lucerna + Human-root"))</x:f>
        <x:v>TIDELOCK + Lucerna</x:v>
      </x:c>
      <x:c r="AG1359" s="12" t="str">
        <x:f>IF(AND(AC1359="PUBLIC_CANDIDATE",U1359&lt;&gt;"BLOCKED_PENDING_RECEIPT"),"READY_AFTER_RECEIPT","NOT_READY")</x:f>
        <x:v>NOT_READY</x:v>
      </x:c>
      <x:c r="AH1359" s="12" t="str">
        <x:f>IF(AC1359="PUBLIC_CANDIDATE","none",AD1359)</x:f>
        <x:v>none</x:v>
      </x:c>
      <x:c r="AI1359" s="12" t="str">
        <x:f>IF(AC1359="PUBLIC_CANDIDATE","archive/public_candidates/"&amp;A1359,"private_quarantine/"&amp;A1359)</x:f>
        <x:v>archive/public_candidates/SWARM-10-H06-S02</x:v>
      </x:c>
      <x:c r="AJ1359" s="12" t="str">
        <x:f>IF(AC1359="PUBLIC_CANDIDATE","public by default; still not canon","private/hold; do not publish")</x:f>
        <x:v>public by default; still not canon</x:v>
      </x:c>
      <x:c r="AK1359" s="12" t="str">
        <x:f>IF(AE1359="prepare_public_github_candidate","add receipt/status then mirror","resolve blocker before any public GitHub action")</x:f>
        <x:v>add receipt/status then mirror</x:v>
      </x:c>
    </x:row>
    <x:row r="1360">
      <x:c r="A1360" s="15" t="str">
        <x:v>SWARM-10-H06-S03</x:v>
      </x:c>
      <x:c r="B1360" s="15" t="str">
        <x:v>GitShelf</x:v>
      </x:c>
      <x:c r="C1360" s="15" t="str">
        <x:v>GitHub shelf builder</x:v>
      </x:c>
      <x:c r="D1360" s="15" t="str">
        <x:v>Ontology / Schema</x:v>
      </x:c>
      <x:c r="E1360" s="15" t="str">
        <x:v>GitHub</x:v>
      </x:c>
      <x:c r="F1360" s="15" t="str">
        <x:v>Schema-map GitHub — GitShelf</x:v>
      </x:c>
      <x:c r="G1360" s="15" t="str">
        <x:v>repo packet / manifest / issue template prep</x:v>
      </x:c>
      <x:c r="H1360" s="15" t="str">
        <x:v>source path + receipt + raw/export status + claim/edge/risk delta</x:v>
      </x:c>
      <x:c r="I1360" s="15" t="str">
        <x:v>packet/SWARM-10-H06-S03</x:v>
      </x:c>
      <x:c r="J1360" s="15" t="str">
        <x:v>TODO</x:v>
      </x:c>
      <x:c r="K1360" s="15" t="str">
        <x:v>P0</x:v>
      </x:c>
      <x:c r="L1360" s="15" t="str">
        <x:v>Done only when evidence is logged, contradiction search is noted, and boundary stamp remains non-canon unless ratified</x:v>
      </x:c>
      <x:c r="M1360" s="15" t="str">
        <x:v>candidate / staging-only / not canon / not deployed / authority none</x:v>
      </x:c>
      <x:c r="N1360" s="15" t="str">
        <x:v>Dispatch to GitShelf: complete Ontology / Schema x GitHub; return deltas only, receipts required.</x:v>
      </x:c>
      <x:c r="O1360" s="15" t="str">
        <x:v>AF-KG-H06-S03</x:v>
      </x:c>
      <x:c r="P1360" s="15" t="str">
        <x:v>Unverified</x:v>
      </x:c>
      <x:c r="Q1360" s="15" t="str">
        <x:v>Not checked</x:v>
      </x:c>
      <x:c r="R1360" s="15" t="str"/>
      <x:c r="S1360" s="15" t="str"/>
      <x:c r="T1360" s="15" t="str">
        <x:v>Log first source path or blocker</x:v>
      </x:c>
      <x:c r="U1360" s="12" t="str">
        <x:f>IF(OR(P1360="Unverified",Q1360="Not checked"),"BLOCKED_PENDING_RECEIPT","READY_FOR_REVIEW")</x:f>
        <x:v>BLOCKED_PENDING_RECEIPT</x:v>
      </x:c>
      <x:c r="V1360" s="12" t="str">
        <x:f>IF(J1360="DONE","RETURNED",IF(U1360="BLOCKED_PENDING_RECEIPT","SOURCE_TOUCH_REQUIRED","IN_PROGRESS"))</x:f>
        <x:v>SOURCE_TOUCH_REQUIRED</x:v>
      </x:c>
      <x:c r="W1360" s="12" t="str">
        <x:f>IF(P1360="Unverified","missing_receipt","receipt_logged")</x:f>
        <x:v>missing_receipt</x:v>
      </x:c>
      <x:c r="X1360" s="12" t="str">
        <x:f>IF(Q1360="Not checked","raw_status_missing","raw_status_logged")</x:f>
        <x:v>raw_status_missing</x:v>
      </x:c>
      <x:c r="Y1360" s="12" t="str">
        <x:f>IF(U1360="BLOCKED_PENDING_RECEIPT","Log source path or blocker; do not promote","Route to review lane")</x:f>
        <x:v>Log source path or blocker; do not promote</x:v>
      </x:c>
      <x:c r="Z1360" s="12" t="str">
        <x:f>IF(K1360="P0","Primary seat + Hashlight/Lucerna","Seat lane")</x:f>
        <x:v>Primary seat + Hashlight/Lucerna</x:v>
      </x:c>
      <x:c r="AA1360" s="12" t="str">
        <x:f>IF(R1360="","no_claim_delta","claim_delta_present")</x:f>
        <x:v>no_claim_delta</x:v>
      </x:c>
      <x:c r="AB1360" s="12" t="str">
        <x:f>IF(S1360="","no_contradiction_delta","contradiction_delta_present")</x:f>
        <x:v>no_contradiction_delta</x:v>
      </x:c>
      <x:c r="AC1360" s="12" t="str">
        <x:f>IF(OR(ISNUMBER(SEARCH("hacker",LOWER(F1360&amp;" "&amp;H1360&amp;" "&amp;I1360&amp;" "&amp;M1360&amp;" "&amp;N1360&amp;" "&amp;T1360))),ISNUMBER(SEARCH("hacking",LOWER(F1360&amp;" "&amp;H1360&amp;" "&amp;I1360&amp;" "&amp;M1360&amp;" "&amp;N1360&amp;" "&amp;T1360))),ISNUMBER(SEARCH("bank",LOWER(F1360&amp;" "&amp;H1360&amp;" "&amp;I1360&amp;" "&amp;M1360&amp;" "&amp;N1360&amp;" "&amp;T1360))),ISNUMBER(SEARCH("banking",LOWER(F1360&amp;" "&amp;H1360&amp;" "&amp;I1360&amp;" "&amp;M1360&amp;" "&amp;N1360&amp;" "&amp;T1360)))),"PRIVATE_QUARANTINE",IF(OR(ISNUMBER(SEARCH("treasury",LOWER(F1360&amp;" "&amp;H1360&amp;" "&amp;I1360&amp;" "&amp;M1360&amp;" "&amp;N1360&amp;" "&amp;T1360))),ISNUMBER(SEARCH("debt",LOWER(F1360&amp;" "&amp;H1360&amp;" "&amp;I1360&amp;" "&amp;M1360&amp;" "&amp;N1360&amp;" "&amp;T1360))),ISNUMBER(SEARCH("bond",LOWER(F1360&amp;" "&amp;H1360&amp;" "&amp;I1360&amp;" "&amp;M1360&amp;" "&amp;N1360&amp;" "&amp;T1360))),ISNUMBER(SEARCH("transaction",LOWER(F1360&amp;" "&amp;H1360&amp;" "&amp;I1360&amp;" "&amp;M1360&amp;" "&amp;N1360&amp;" "&amp;T1360)))),"PRIVATE_REVIEW","PUBLIC_CANDIDATE"))</x:f>
        <x:v>PUBLIC_CANDIDATE</x:v>
      </x:c>
      <x:c r="AD1360" s="12" t="str">
        <x:f>IF(AC1360="PRIVATE_QUARANTINE","hacker_or_bank_trigger",IF(AC1360="PRIVATE_REVIEW","finance_risk_trigger","none"))</x:f>
        <x:v>none</x:v>
      </x:c>
      <x:c r="AE1360" s="12" t="str">
        <x:f>IF(AC1360="PUBLIC_CANDIDATE","prepare_public_github_candidate",IF(AC1360="PRIVATE_REVIEW","hold_for_private_review","quarantine_private_do_not_publish"))</x:f>
        <x:v>prepare_public_github_candidate</x:v>
      </x:c>
      <x:c r="AF1360" s="12" t="str">
        <x:f>IF(AC1360="PUBLIC_CANDIDATE","TIDELOCK + Lucerna",IF(AC1360="PRIVATE_REVIEW","AtlasBrain + Lucerna","TIDELOCK + Lucerna + Human-root"))</x:f>
        <x:v>TIDELOCK + Lucerna</x:v>
      </x:c>
      <x:c r="AG1360" s="12" t="str">
        <x:f>IF(AND(AC1360="PUBLIC_CANDIDATE",U1360&lt;&gt;"BLOCKED_PENDING_RECEIPT"),"READY_AFTER_RECEIPT","NOT_READY")</x:f>
        <x:v>NOT_READY</x:v>
      </x:c>
      <x:c r="AH1360" s="12" t="str">
        <x:f>IF(AC1360="PUBLIC_CANDIDATE","none",AD1360)</x:f>
        <x:v>none</x:v>
      </x:c>
      <x:c r="AI1360" s="12" t="str">
        <x:f>IF(AC1360="PUBLIC_CANDIDATE","archive/public_candidates/"&amp;A1360,"private_quarantine/"&amp;A1360)</x:f>
        <x:v>archive/public_candidates/SWARM-10-H06-S03</x:v>
      </x:c>
      <x:c r="AJ1360" s="12" t="str">
        <x:f>IF(AC1360="PUBLIC_CANDIDATE","public by default; still not canon","private/hold; do not publish")</x:f>
        <x:v>public by default; still not canon</x:v>
      </x:c>
      <x:c r="AK1360" s="12" t="str">
        <x:f>IF(AE1360="prepare_public_github_candidate","add receipt/status then mirror","resolve blocker before any public GitHub action")</x:f>
        <x:v>add receipt/status then mirror</x:v>
      </x:c>
    </x:row>
    <x:row r="1361">
      <x:c r="A1361" s="15" t="str">
        <x:v>SWARM-10-H06-S04</x:v>
      </x:c>
      <x:c r="B1361" s="15" t="str">
        <x:v>GitShelf</x:v>
      </x:c>
      <x:c r="C1361" s="15" t="str">
        <x:v>GitHub shelf builder</x:v>
      </x:c>
      <x:c r="D1361" s="15" t="str">
        <x:v>Ontology / Schema</x:v>
      </x:c>
      <x:c r="E1361" s="15" t="str">
        <x:v>Gamma</x:v>
      </x:c>
      <x:c r="F1361" s="15" t="str">
        <x:v>Schema-map Gamma — GitShelf</x:v>
      </x:c>
      <x:c r="G1361" s="15" t="str">
        <x:v>repo packet / manifest / issue template prep</x:v>
      </x:c>
      <x:c r="H1361" s="15" t="str">
        <x:v>source path + receipt + raw/export status + claim/edge/risk delta</x:v>
      </x:c>
      <x:c r="I1361" s="15" t="str">
        <x:v>packet/SWARM-10-H06-S04</x:v>
      </x:c>
      <x:c r="J1361" s="15" t="str">
        <x:v>TODO</x:v>
      </x:c>
      <x:c r="K1361" s="15" t="str">
        <x:v>P1</x:v>
      </x:c>
      <x:c r="L1361" s="15" t="str">
        <x:v>Done only when evidence is logged, contradiction search is noted, and boundary stamp remains non-canon unless ratified</x:v>
      </x:c>
      <x:c r="M1361" s="15" t="str">
        <x:v>candidate / staging-only / not canon / not deployed / authority none</x:v>
      </x:c>
      <x:c r="N1361" s="15" t="str">
        <x:v>Dispatch to GitShelf: complete Ontology / Schema x Gamma; return deltas only, receipts required.</x:v>
      </x:c>
      <x:c r="O1361" s="15" t="str">
        <x:v>AF-KG-H06-S04</x:v>
      </x:c>
      <x:c r="P1361" s="15" t="str">
        <x:v>Unverified</x:v>
      </x:c>
      <x:c r="Q1361" s="15" t="str">
        <x:v>Not checked</x:v>
      </x:c>
      <x:c r="R1361" s="15" t="str"/>
      <x:c r="S1361" s="15" t="str"/>
      <x:c r="T1361" s="15" t="str">
        <x:v>Log first source path or blocker</x:v>
      </x:c>
      <x:c r="U1361" s="12" t="str">
        <x:f>IF(OR(P1361="Unverified",Q1361="Not checked"),"BLOCKED_PENDING_RECEIPT","READY_FOR_REVIEW")</x:f>
        <x:v>BLOCKED_PENDING_RECEIPT</x:v>
      </x:c>
      <x:c r="V1361" s="12" t="str">
        <x:f>IF(J1361="DONE","RETURNED",IF(U1361="BLOCKED_PENDING_RECEIPT","SOURCE_TOUCH_REQUIRED","IN_PROGRESS"))</x:f>
        <x:v>SOURCE_TOUCH_REQUIRED</x:v>
      </x:c>
      <x:c r="W1361" s="12" t="str">
        <x:f>IF(P1361="Unverified","missing_receipt","receipt_logged")</x:f>
        <x:v>missing_receipt</x:v>
      </x:c>
      <x:c r="X1361" s="12" t="str">
        <x:f>IF(Q1361="Not checked","raw_status_missing","raw_status_logged")</x:f>
        <x:v>raw_status_missing</x:v>
      </x:c>
      <x:c r="Y1361" s="12" t="str">
        <x:f>IF(U1361="BLOCKED_PENDING_RECEIPT","Log source path or blocker; do not promote","Route to review lane")</x:f>
        <x:v>Log source path or blocker; do not promote</x:v>
      </x:c>
      <x:c r="Z1361" s="12" t="str">
        <x:f>IF(K1361="P0","Primary seat + Hashlight/Lucerna","Seat lane")</x:f>
        <x:v>Seat lane</x:v>
      </x:c>
      <x:c r="AA1361" s="12" t="str">
        <x:f>IF(R1361="","no_claim_delta","claim_delta_present")</x:f>
        <x:v>no_claim_delta</x:v>
      </x:c>
      <x:c r="AB1361" s="12" t="str">
        <x:f>IF(S1361="","no_contradiction_delta","contradiction_delta_present")</x:f>
        <x:v>no_contradiction_delta</x:v>
      </x:c>
      <x:c r="AC1361" s="12" t="str">
        <x:f>IF(OR(ISNUMBER(SEARCH("hacker",LOWER(F1361&amp;" "&amp;H1361&amp;" "&amp;I1361&amp;" "&amp;M1361&amp;" "&amp;N1361&amp;" "&amp;T1361))),ISNUMBER(SEARCH("hacking",LOWER(F1361&amp;" "&amp;H1361&amp;" "&amp;I1361&amp;" "&amp;M1361&amp;" "&amp;N1361&amp;" "&amp;T1361))),ISNUMBER(SEARCH("bank",LOWER(F1361&amp;" "&amp;H1361&amp;" "&amp;I1361&amp;" "&amp;M1361&amp;" "&amp;N1361&amp;" "&amp;T1361))),ISNUMBER(SEARCH("banking",LOWER(F1361&amp;" "&amp;H1361&amp;" "&amp;I1361&amp;" "&amp;M1361&amp;" "&amp;N1361&amp;" "&amp;T1361)))),"PRIVATE_QUARANTINE",IF(OR(ISNUMBER(SEARCH("treasury",LOWER(F1361&amp;" "&amp;H1361&amp;" "&amp;I1361&amp;" "&amp;M1361&amp;" "&amp;N1361&amp;" "&amp;T1361))),ISNUMBER(SEARCH("debt",LOWER(F1361&amp;" "&amp;H1361&amp;" "&amp;I1361&amp;" "&amp;M1361&amp;" "&amp;N1361&amp;" "&amp;T1361))),ISNUMBER(SEARCH("bond",LOWER(F1361&amp;" "&amp;H1361&amp;" "&amp;I1361&amp;" "&amp;M1361&amp;" "&amp;N1361&amp;" "&amp;T1361))),ISNUMBER(SEARCH("transaction",LOWER(F1361&amp;" "&amp;H1361&amp;" "&amp;I1361&amp;" "&amp;M1361&amp;" "&amp;N1361&amp;" "&amp;T1361)))),"PRIVATE_REVIEW","PUBLIC_CANDIDATE"))</x:f>
        <x:v>PUBLIC_CANDIDATE</x:v>
      </x:c>
      <x:c r="AD1361" s="12" t="str">
        <x:f>IF(AC1361="PRIVATE_QUARANTINE","hacker_or_bank_trigger",IF(AC1361="PRIVATE_REVIEW","finance_risk_trigger","none"))</x:f>
        <x:v>none</x:v>
      </x:c>
      <x:c r="AE1361" s="12" t="str">
        <x:f>IF(AC1361="PUBLIC_CANDIDATE","prepare_public_github_candidate",IF(AC1361="PRIVATE_REVIEW","hold_for_private_review","quarantine_private_do_not_publish"))</x:f>
        <x:v>prepare_public_github_candidate</x:v>
      </x:c>
      <x:c r="AF1361" s="12" t="str">
        <x:f>IF(AC1361="PUBLIC_CANDIDATE","TIDELOCK + Lucerna",IF(AC1361="PRIVATE_REVIEW","AtlasBrain + Lucerna","TIDELOCK + Lucerna + Human-root"))</x:f>
        <x:v>TIDELOCK + Lucerna</x:v>
      </x:c>
      <x:c r="AG1361" s="12" t="str">
        <x:f>IF(AND(AC1361="PUBLIC_CANDIDATE",U1361&lt;&gt;"BLOCKED_PENDING_RECEIPT"),"READY_AFTER_RECEIPT","NOT_READY")</x:f>
        <x:v>NOT_READY</x:v>
      </x:c>
      <x:c r="AH1361" s="12" t="str">
        <x:f>IF(AC1361="PUBLIC_CANDIDATE","none",AD1361)</x:f>
        <x:v>none</x:v>
      </x:c>
      <x:c r="AI1361" s="12" t="str">
        <x:f>IF(AC1361="PUBLIC_CANDIDATE","archive/public_candidates/"&amp;A1361,"private_quarantine/"&amp;A1361)</x:f>
        <x:v>archive/public_candidates/SWARM-10-H06-S04</x:v>
      </x:c>
      <x:c r="AJ1361" s="12" t="str">
        <x:f>IF(AC1361="PUBLIC_CANDIDATE","public by default; still not canon","private/hold; do not publish")</x:f>
        <x:v>public by default; still not canon</x:v>
      </x:c>
      <x:c r="AK1361" s="12" t="str">
        <x:f>IF(AE1361="prepare_public_github_candidate","add receipt/status then mirror","resolve blocker before any public GitHub action")</x:f>
        <x:v>add receipt/status then mirror</x:v>
      </x:c>
    </x:row>
    <x:row r="1362">
      <x:c r="A1362" s="15" t="str">
        <x:v>SWARM-10-H06-S05</x:v>
      </x:c>
      <x:c r="B1362" s="15" t="str">
        <x:v>GitShelf</x:v>
      </x:c>
      <x:c r="C1362" s="15" t="str">
        <x:v>GitHub shelf builder</x:v>
      </x:c>
      <x:c r="D1362" s="15" t="str">
        <x:v>Ontology / Schema</x:v>
      </x:c>
      <x:c r="E1362" s="15" t="str">
        <x:v>Chat</x:v>
      </x:c>
      <x:c r="F1362" s="15" t="str">
        <x:v>Schema-map Chat — GitShelf</x:v>
      </x:c>
      <x:c r="G1362" s="15" t="str">
        <x:v>repo packet / manifest / issue template prep</x:v>
      </x:c>
      <x:c r="H1362" s="15" t="str">
        <x:v>source path + receipt + raw/export status + claim/edge/risk delta</x:v>
      </x:c>
      <x:c r="I1362" s="15" t="str">
        <x:v>packet/SWARM-10-H06-S05</x:v>
      </x:c>
      <x:c r="J1362" s="15" t="str">
        <x:v>TODO</x:v>
      </x:c>
      <x:c r="K1362" s="15" t="str">
        <x:v>P1</x:v>
      </x:c>
      <x:c r="L1362" s="15" t="str">
        <x:v>Done only when evidence is logged, contradiction search is noted, and boundary stamp remains non-canon unless ratified</x:v>
      </x:c>
      <x:c r="M1362" s="15" t="str">
        <x:v>candidate / staging-only / not canon / not deployed / authority none</x:v>
      </x:c>
      <x:c r="N1362" s="15" t="str">
        <x:v>Dispatch to GitShelf: complete Ontology / Schema x Chat; return deltas only, receipts required.</x:v>
      </x:c>
      <x:c r="O1362" s="15" t="str">
        <x:v>AF-KG-H06-S05</x:v>
      </x:c>
      <x:c r="P1362" s="15" t="str">
        <x:v>Unverified</x:v>
      </x:c>
      <x:c r="Q1362" s="15" t="str">
        <x:v>Not checked</x:v>
      </x:c>
      <x:c r="R1362" s="15" t="str"/>
      <x:c r="S1362" s="15" t="str"/>
      <x:c r="T1362" s="15" t="str">
        <x:v>Log first source path or blocker</x:v>
      </x:c>
      <x:c r="U1362" s="12" t="str">
        <x:f>IF(OR(P1362="Unverified",Q1362="Not checked"),"BLOCKED_PENDING_RECEIPT","READY_FOR_REVIEW")</x:f>
        <x:v>BLOCKED_PENDING_RECEIPT</x:v>
      </x:c>
      <x:c r="V1362" s="12" t="str">
        <x:f>IF(J1362="DONE","RETURNED",IF(U1362="BLOCKED_PENDING_RECEIPT","SOURCE_TOUCH_REQUIRED","IN_PROGRESS"))</x:f>
        <x:v>SOURCE_TOUCH_REQUIRED</x:v>
      </x:c>
      <x:c r="W1362" s="12" t="str">
        <x:f>IF(P1362="Unverified","missing_receipt","receipt_logged")</x:f>
        <x:v>missing_receipt</x:v>
      </x:c>
      <x:c r="X1362" s="12" t="str">
        <x:f>IF(Q1362="Not checked","raw_status_missing","raw_status_logged")</x:f>
        <x:v>raw_status_missing</x:v>
      </x:c>
      <x:c r="Y1362" s="12" t="str">
        <x:f>IF(U1362="BLOCKED_PENDING_RECEIPT","Log source path or blocker; do not promote","Route to review lane")</x:f>
        <x:v>Log source path or blocker; do not promote</x:v>
      </x:c>
      <x:c r="Z1362" s="12" t="str">
        <x:f>IF(K1362="P0","Primary seat + Hashlight/Lucerna","Seat lane")</x:f>
        <x:v>Seat lane</x:v>
      </x:c>
      <x:c r="AA1362" s="12" t="str">
        <x:f>IF(R1362="","no_claim_delta","claim_delta_present")</x:f>
        <x:v>no_claim_delta</x:v>
      </x:c>
      <x:c r="AB1362" s="12" t="str">
        <x:f>IF(S1362="","no_contradiction_delta","contradiction_delta_present")</x:f>
        <x:v>no_contradiction_delta</x:v>
      </x:c>
      <x:c r="AC1362" s="12" t="str">
        <x:f>IF(OR(ISNUMBER(SEARCH("hacker",LOWER(F1362&amp;" "&amp;H1362&amp;" "&amp;I1362&amp;" "&amp;M1362&amp;" "&amp;N1362&amp;" "&amp;T1362))),ISNUMBER(SEARCH("hacking",LOWER(F1362&amp;" "&amp;H1362&amp;" "&amp;I1362&amp;" "&amp;M1362&amp;" "&amp;N1362&amp;" "&amp;T1362))),ISNUMBER(SEARCH("bank",LOWER(F1362&amp;" "&amp;H1362&amp;" "&amp;I1362&amp;" "&amp;M1362&amp;" "&amp;N1362&amp;" "&amp;T1362))),ISNUMBER(SEARCH("banking",LOWER(F1362&amp;" "&amp;H1362&amp;" "&amp;I1362&amp;" "&amp;M1362&amp;" "&amp;N1362&amp;" "&amp;T1362)))),"PRIVATE_QUARANTINE",IF(OR(ISNUMBER(SEARCH("treasury",LOWER(F1362&amp;" "&amp;H1362&amp;" "&amp;I1362&amp;" "&amp;M1362&amp;" "&amp;N1362&amp;" "&amp;T1362))),ISNUMBER(SEARCH("debt",LOWER(F1362&amp;" "&amp;H1362&amp;" "&amp;I1362&amp;" "&amp;M1362&amp;" "&amp;N1362&amp;" "&amp;T1362))),ISNUMBER(SEARCH("bond",LOWER(F1362&amp;" "&amp;H1362&amp;" "&amp;I1362&amp;" "&amp;M1362&amp;" "&amp;N1362&amp;" "&amp;T1362))),ISNUMBER(SEARCH("transaction",LOWER(F1362&amp;" "&amp;H1362&amp;" "&amp;I1362&amp;" "&amp;M1362&amp;" "&amp;N1362&amp;" "&amp;T1362)))),"PRIVATE_REVIEW","PUBLIC_CANDIDATE"))</x:f>
        <x:v>PUBLIC_CANDIDATE</x:v>
      </x:c>
      <x:c r="AD1362" s="12" t="str">
        <x:f>IF(AC1362="PRIVATE_QUARANTINE","hacker_or_bank_trigger",IF(AC1362="PRIVATE_REVIEW","finance_risk_trigger","none"))</x:f>
        <x:v>none</x:v>
      </x:c>
      <x:c r="AE1362" s="12" t="str">
        <x:f>IF(AC1362="PUBLIC_CANDIDATE","prepare_public_github_candidate",IF(AC1362="PRIVATE_REVIEW","hold_for_private_review","quarantine_private_do_not_publish"))</x:f>
        <x:v>prepare_public_github_candidate</x:v>
      </x:c>
      <x:c r="AF1362" s="12" t="str">
        <x:f>IF(AC1362="PUBLIC_CANDIDATE","TIDELOCK + Lucerna",IF(AC1362="PRIVATE_REVIEW","AtlasBrain + Lucerna","TIDELOCK + Lucerna + Human-root"))</x:f>
        <x:v>TIDELOCK + Lucerna</x:v>
      </x:c>
      <x:c r="AG1362" s="12" t="str">
        <x:f>IF(AND(AC1362="PUBLIC_CANDIDATE",U1362&lt;&gt;"BLOCKED_PENDING_RECEIPT"),"READY_AFTER_RECEIPT","NOT_READY")</x:f>
        <x:v>NOT_READY</x:v>
      </x:c>
      <x:c r="AH1362" s="12" t="str">
        <x:f>IF(AC1362="PUBLIC_CANDIDATE","none",AD1362)</x:f>
        <x:v>none</x:v>
      </x:c>
      <x:c r="AI1362" s="12" t="str">
        <x:f>IF(AC1362="PUBLIC_CANDIDATE","archive/public_candidates/"&amp;A1362,"private_quarantine/"&amp;A1362)</x:f>
        <x:v>archive/public_candidates/SWARM-10-H06-S05</x:v>
      </x:c>
      <x:c r="AJ1362" s="12" t="str">
        <x:f>IF(AC1362="PUBLIC_CANDIDATE","public by default; still not canon","private/hold; do not publish")</x:f>
        <x:v>public by default; still not canon</x:v>
      </x:c>
      <x:c r="AK1362" s="12" t="str">
        <x:f>IF(AE1362="prepare_public_github_candidate","add receipt/status then mirror","resolve blocker before any public GitHub action")</x:f>
        <x:v>add receipt/status then mirror</x:v>
      </x:c>
    </x:row>
    <x:row r="1363">
      <x:c r="A1363" s="15" t="str">
        <x:v>SWARM-10-H06-S06</x:v>
      </x:c>
      <x:c r="B1363" s="15" t="str">
        <x:v>GitShelf</x:v>
      </x:c>
      <x:c r="C1363" s="15" t="str">
        <x:v>GitHub shelf builder</x:v>
      </x:c>
      <x:c r="D1363" s="15" t="str">
        <x:v>Ontology / Schema</x:v>
      </x:c>
      <x:c r="E1363" s="15" t="str">
        <x:v>External Web</x:v>
      </x:c>
      <x:c r="F1363" s="15" t="str">
        <x:v>Schema-map External Web — GitShelf</x:v>
      </x:c>
      <x:c r="G1363" s="15" t="str">
        <x:v>repo packet / manifest / issue template prep</x:v>
      </x:c>
      <x:c r="H1363" s="15" t="str">
        <x:v>source path + receipt + raw/export status + claim/edge/risk delta</x:v>
      </x:c>
      <x:c r="I1363" s="15" t="str">
        <x:v>packet/SWARM-10-H06-S06</x:v>
      </x:c>
      <x:c r="J1363" s="15" t="str">
        <x:v>TODO</x:v>
      </x:c>
      <x:c r="K1363" s="15" t="str">
        <x:v>P1</x:v>
      </x:c>
      <x:c r="L1363" s="15" t="str">
        <x:v>Done only when evidence is logged, contradiction search is noted, and boundary stamp remains non-canon unless ratified</x:v>
      </x:c>
      <x:c r="M1363" s="15" t="str">
        <x:v>candidate / staging-only / not canon / not deployed / authority none</x:v>
      </x:c>
      <x:c r="N1363" s="15" t="str">
        <x:v>Dispatch to GitShelf: complete Ontology / Schema x External Web; return deltas only, receipts required.</x:v>
      </x:c>
      <x:c r="O1363" s="15" t="str">
        <x:v>AF-KG-H06-S06</x:v>
      </x:c>
      <x:c r="P1363" s="15" t="str">
        <x:v>Unverified</x:v>
      </x:c>
      <x:c r="Q1363" s="15" t="str">
        <x:v>Not checked</x:v>
      </x:c>
      <x:c r="R1363" s="15" t="str"/>
      <x:c r="S1363" s="15" t="str"/>
      <x:c r="T1363" s="15" t="str">
        <x:v>Log first source path or blocker</x:v>
      </x:c>
      <x:c r="U1363" s="12" t="str">
        <x:f>IF(OR(P1363="Unverified",Q1363="Not checked"),"BLOCKED_PENDING_RECEIPT","READY_FOR_REVIEW")</x:f>
        <x:v>BLOCKED_PENDING_RECEIPT</x:v>
      </x:c>
      <x:c r="V1363" s="12" t="str">
        <x:f>IF(J1363="DONE","RETURNED",IF(U1363="BLOCKED_PENDING_RECEIPT","SOURCE_TOUCH_REQUIRED","IN_PROGRESS"))</x:f>
        <x:v>SOURCE_TOUCH_REQUIRED</x:v>
      </x:c>
      <x:c r="W1363" s="12" t="str">
        <x:f>IF(P1363="Unverified","missing_receipt","receipt_logged")</x:f>
        <x:v>missing_receipt</x:v>
      </x:c>
      <x:c r="X1363" s="12" t="str">
        <x:f>IF(Q1363="Not checked","raw_status_missing","raw_status_logged")</x:f>
        <x:v>raw_status_missing</x:v>
      </x:c>
      <x:c r="Y1363" s="12" t="str">
        <x:f>IF(U1363="BLOCKED_PENDING_RECEIPT","Log source path or blocker; do not promote","Route to review lane")</x:f>
        <x:v>Log source path or blocker; do not promote</x:v>
      </x:c>
      <x:c r="Z1363" s="12" t="str">
        <x:f>IF(K1363="P0","Primary seat + Hashlight/Lucerna","Seat lane")</x:f>
        <x:v>Seat lane</x:v>
      </x:c>
      <x:c r="AA1363" s="12" t="str">
        <x:f>IF(R1363="","no_claim_delta","claim_delta_present")</x:f>
        <x:v>no_claim_delta</x:v>
      </x:c>
      <x:c r="AB1363" s="12" t="str">
        <x:f>IF(S1363="","no_contradiction_delta","contradiction_delta_present")</x:f>
        <x:v>no_contradiction_delta</x:v>
      </x:c>
      <x:c r="AC1363" s="12" t="str">
        <x:f>IF(OR(ISNUMBER(SEARCH("hacker",LOWER(F1363&amp;" "&amp;H1363&amp;" "&amp;I1363&amp;" "&amp;M1363&amp;" "&amp;N1363&amp;" "&amp;T1363))),ISNUMBER(SEARCH("hacking",LOWER(F1363&amp;" "&amp;H1363&amp;" "&amp;I1363&amp;" "&amp;M1363&amp;" "&amp;N1363&amp;" "&amp;T1363))),ISNUMBER(SEARCH("bank",LOWER(F1363&amp;" "&amp;H1363&amp;" "&amp;I1363&amp;" "&amp;M1363&amp;" "&amp;N1363&amp;" "&amp;T1363))),ISNUMBER(SEARCH("banking",LOWER(F1363&amp;" "&amp;H1363&amp;" "&amp;I1363&amp;" "&amp;M1363&amp;" "&amp;N1363&amp;" "&amp;T1363)))),"PRIVATE_QUARANTINE",IF(OR(ISNUMBER(SEARCH("treasury",LOWER(F1363&amp;" "&amp;H1363&amp;" "&amp;I1363&amp;" "&amp;M1363&amp;" "&amp;N1363&amp;" "&amp;T1363))),ISNUMBER(SEARCH("debt",LOWER(F1363&amp;" "&amp;H1363&amp;" "&amp;I1363&amp;" "&amp;M1363&amp;" "&amp;N1363&amp;" "&amp;T1363))),ISNUMBER(SEARCH("bond",LOWER(F1363&amp;" "&amp;H1363&amp;" "&amp;I1363&amp;" "&amp;M1363&amp;" "&amp;N1363&amp;" "&amp;T1363))),ISNUMBER(SEARCH("transaction",LOWER(F1363&amp;" "&amp;H1363&amp;" "&amp;I1363&amp;" "&amp;M1363&amp;" "&amp;N1363&amp;" "&amp;T1363)))),"PRIVATE_REVIEW","PUBLIC_CANDIDATE"))</x:f>
        <x:v>PUBLIC_CANDIDATE</x:v>
      </x:c>
      <x:c r="AD1363" s="12" t="str">
        <x:f>IF(AC1363="PRIVATE_QUARANTINE","hacker_or_bank_trigger",IF(AC1363="PRIVATE_REVIEW","finance_risk_trigger","none"))</x:f>
        <x:v>none</x:v>
      </x:c>
      <x:c r="AE1363" s="12" t="str">
        <x:f>IF(AC1363="PUBLIC_CANDIDATE","prepare_public_github_candidate",IF(AC1363="PRIVATE_REVIEW","hold_for_private_review","quarantine_private_do_not_publish"))</x:f>
        <x:v>prepare_public_github_candidate</x:v>
      </x:c>
      <x:c r="AF1363" s="12" t="str">
        <x:f>IF(AC1363="PUBLIC_CANDIDATE","TIDELOCK + Lucerna",IF(AC1363="PRIVATE_REVIEW","AtlasBrain + Lucerna","TIDELOCK + Lucerna + Human-root"))</x:f>
        <x:v>TIDELOCK + Lucerna</x:v>
      </x:c>
      <x:c r="AG1363" s="12" t="str">
        <x:f>IF(AND(AC1363="PUBLIC_CANDIDATE",U1363&lt;&gt;"BLOCKED_PENDING_RECEIPT"),"READY_AFTER_RECEIPT","NOT_READY")</x:f>
        <x:v>NOT_READY</x:v>
      </x:c>
      <x:c r="AH1363" s="12" t="str">
        <x:f>IF(AC1363="PUBLIC_CANDIDATE","none",AD1363)</x:f>
        <x:v>none</x:v>
      </x:c>
      <x:c r="AI1363" s="12" t="str">
        <x:f>IF(AC1363="PUBLIC_CANDIDATE","archive/public_candidates/"&amp;A1363,"private_quarantine/"&amp;A1363)</x:f>
        <x:v>archive/public_candidates/SWARM-10-H06-S06</x:v>
      </x:c>
      <x:c r="AJ1363" s="12" t="str">
        <x:f>IF(AC1363="PUBLIC_CANDIDATE","public by default; still not canon","private/hold; do not publish")</x:f>
        <x:v>public by default; still not canon</x:v>
      </x:c>
      <x:c r="AK1363" s="12" t="str">
        <x:f>IF(AE1363="prepare_public_github_candidate","add receipt/status then mirror","resolve blocker before any public GitHub action")</x:f>
        <x:v>add receipt/status then mirror</x:v>
      </x:c>
    </x:row>
    <x:row r="1364">
      <x:c r="A1364" s="15" t="str">
        <x:v>SWARM-10-H06-S07</x:v>
      </x:c>
      <x:c r="B1364" s="15" t="str">
        <x:v>GitShelf</x:v>
      </x:c>
      <x:c r="C1364" s="15" t="str">
        <x:v>GitHub shelf builder</x:v>
      </x:c>
      <x:c r="D1364" s="15" t="str">
        <x:v>Ontology / Schema</x:v>
      </x:c>
      <x:c r="E1364" s="15" t="str">
        <x:v>Planetarium</x:v>
      </x:c>
      <x:c r="F1364" s="15" t="str">
        <x:v>Schema-map Planetarium — GitShelf</x:v>
      </x:c>
      <x:c r="G1364" s="15" t="str">
        <x:v>repo packet / manifest / issue template prep</x:v>
      </x:c>
      <x:c r="H1364" s="15" t="str">
        <x:v>source path + receipt + raw/export status + claim/edge/risk delta</x:v>
      </x:c>
      <x:c r="I1364" s="15" t="str">
        <x:v>packet/SWARM-10-H06-S07</x:v>
      </x:c>
      <x:c r="J1364" s="15" t="str">
        <x:v>TODO</x:v>
      </x:c>
      <x:c r="K1364" s="15" t="str">
        <x:v>P1</x:v>
      </x:c>
      <x:c r="L1364" s="15" t="str">
        <x:v>Done only when evidence is logged, contradiction search is noted, and boundary stamp remains non-canon unless ratified</x:v>
      </x:c>
      <x:c r="M1364" s="15" t="str">
        <x:v>candidate / staging-only / not canon / not deployed / authority none</x:v>
      </x:c>
      <x:c r="N1364" s="15" t="str">
        <x:v>Dispatch to GitShelf: complete Ontology / Schema x Planetarium; return deltas only, receipts required.</x:v>
      </x:c>
      <x:c r="O1364" s="15" t="str">
        <x:v>AF-KG-H06-S07</x:v>
      </x:c>
      <x:c r="P1364" s="15" t="str">
        <x:v>Unverified</x:v>
      </x:c>
      <x:c r="Q1364" s="15" t="str">
        <x:v>Not checked</x:v>
      </x:c>
      <x:c r="R1364" s="15" t="str"/>
      <x:c r="S1364" s="15" t="str"/>
      <x:c r="T1364" s="15" t="str">
        <x:v>Log first source path or blocker</x:v>
      </x:c>
      <x:c r="U1364" s="12" t="str">
        <x:f>IF(OR(P1364="Unverified",Q1364="Not checked"),"BLOCKED_PENDING_RECEIPT","READY_FOR_REVIEW")</x:f>
        <x:v>BLOCKED_PENDING_RECEIPT</x:v>
      </x:c>
      <x:c r="V1364" s="12" t="str">
        <x:f>IF(J1364="DONE","RETURNED",IF(U1364="BLOCKED_PENDING_RECEIPT","SOURCE_TOUCH_REQUIRED","IN_PROGRESS"))</x:f>
        <x:v>SOURCE_TOUCH_REQUIRED</x:v>
      </x:c>
      <x:c r="W1364" s="12" t="str">
        <x:f>IF(P1364="Unverified","missing_receipt","receipt_logged")</x:f>
        <x:v>missing_receipt</x:v>
      </x:c>
      <x:c r="X1364" s="12" t="str">
        <x:f>IF(Q1364="Not checked","raw_status_missing","raw_status_logged")</x:f>
        <x:v>raw_status_missing</x:v>
      </x:c>
      <x:c r="Y1364" s="12" t="str">
        <x:f>IF(U1364="BLOCKED_PENDING_RECEIPT","Log source path or blocker; do not promote","Route to review lane")</x:f>
        <x:v>Log source path or blocker; do not promote</x:v>
      </x:c>
      <x:c r="Z1364" s="12" t="str">
        <x:f>IF(K1364="P0","Primary seat + Hashlight/Lucerna","Seat lane")</x:f>
        <x:v>Seat lane</x:v>
      </x:c>
      <x:c r="AA1364" s="12" t="str">
        <x:f>IF(R1364="","no_claim_delta","claim_delta_present")</x:f>
        <x:v>no_claim_delta</x:v>
      </x:c>
      <x:c r="AB1364" s="12" t="str">
        <x:f>IF(S1364="","no_contradiction_delta","contradiction_delta_present")</x:f>
        <x:v>no_contradiction_delta</x:v>
      </x:c>
      <x:c r="AC1364" s="12" t="str">
        <x:f>IF(OR(ISNUMBER(SEARCH("hacker",LOWER(F1364&amp;" "&amp;H1364&amp;" "&amp;I1364&amp;" "&amp;M1364&amp;" "&amp;N1364&amp;" "&amp;T1364))),ISNUMBER(SEARCH("hacking",LOWER(F1364&amp;" "&amp;H1364&amp;" "&amp;I1364&amp;" "&amp;M1364&amp;" "&amp;N1364&amp;" "&amp;T1364))),ISNUMBER(SEARCH("bank",LOWER(F1364&amp;" "&amp;H1364&amp;" "&amp;I1364&amp;" "&amp;M1364&amp;" "&amp;N1364&amp;" "&amp;T1364))),ISNUMBER(SEARCH("banking",LOWER(F1364&amp;" "&amp;H1364&amp;" "&amp;I1364&amp;" "&amp;M1364&amp;" "&amp;N1364&amp;" "&amp;T1364)))),"PRIVATE_QUARANTINE",IF(OR(ISNUMBER(SEARCH("treasury",LOWER(F1364&amp;" "&amp;H1364&amp;" "&amp;I1364&amp;" "&amp;M1364&amp;" "&amp;N1364&amp;" "&amp;T1364))),ISNUMBER(SEARCH("debt",LOWER(F1364&amp;" "&amp;H1364&amp;" "&amp;I1364&amp;" "&amp;M1364&amp;" "&amp;N1364&amp;" "&amp;T1364))),ISNUMBER(SEARCH("bond",LOWER(F1364&amp;" "&amp;H1364&amp;" "&amp;I1364&amp;" "&amp;M1364&amp;" "&amp;N1364&amp;" "&amp;T1364))),ISNUMBER(SEARCH("transaction",LOWER(F1364&amp;" "&amp;H1364&amp;" "&amp;I1364&amp;" "&amp;M1364&amp;" "&amp;N1364&amp;" "&amp;T1364)))),"PRIVATE_REVIEW","PUBLIC_CANDIDATE"))</x:f>
        <x:v>PUBLIC_CANDIDATE</x:v>
      </x:c>
      <x:c r="AD1364" s="12" t="str">
        <x:f>IF(AC1364="PRIVATE_QUARANTINE","hacker_or_bank_trigger",IF(AC1364="PRIVATE_REVIEW","finance_risk_trigger","none"))</x:f>
        <x:v>none</x:v>
      </x:c>
      <x:c r="AE1364" s="12" t="str">
        <x:f>IF(AC1364="PUBLIC_CANDIDATE","prepare_public_github_candidate",IF(AC1364="PRIVATE_REVIEW","hold_for_private_review","quarantine_private_do_not_publish"))</x:f>
        <x:v>prepare_public_github_candidate</x:v>
      </x:c>
      <x:c r="AF1364" s="12" t="str">
        <x:f>IF(AC1364="PUBLIC_CANDIDATE","TIDELOCK + Lucerna",IF(AC1364="PRIVATE_REVIEW","AtlasBrain + Lucerna","TIDELOCK + Lucerna + Human-root"))</x:f>
        <x:v>TIDELOCK + Lucerna</x:v>
      </x:c>
      <x:c r="AG1364" s="12" t="str">
        <x:f>IF(AND(AC1364="PUBLIC_CANDIDATE",U1364&lt;&gt;"BLOCKED_PENDING_RECEIPT"),"READY_AFTER_RECEIPT","NOT_READY")</x:f>
        <x:v>NOT_READY</x:v>
      </x:c>
      <x:c r="AH1364" s="12" t="str">
        <x:f>IF(AC1364="PUBLIC_CANDIDATE","none",AD1364)</x:f>
        <x:v>none</x:v>
      </x:c>
      <x:c r="AI1364" s="12" t="str">
        <x:f>IF(AC1364="PUBLIC_CANDIDATE","archive/public_candidates/"&amp;A1364,"private_quarantine/"&amp;A1364)</x:f>
        <x:v>archive/public_candidates/SWARM-10-H06-S07</x:v>
      </x:c>
      <x:c r="AJ1364" s="12" t="str">
        <x:f>IF(AC1364="PUBLIC_CANDIDATE","public by default; still not canon","private/hold; do not publish")</x:f>
        <x:v>public by default; still not canon</x:v>
      </x:c>
      <x:c r="AK1364" s="12" t="str">
        <x:f>IF(AE1364="prepare_public_github_candidate","add receipt/status then mirror","resolve blocker before any public GitHub action")</x:f>
        <x:v>add receipt/status then mirror</x:v>
      </x:c>
    </x:row>
    <x:row r="1365">
      <x:c r="A1365" s="15" t="str">
        <x:v>SWARM-10-H06-S08</x:v>
      </x:c>
      <x:c r="B1365" s="15" t="str">
        <x:v>GitShelf</x:v>
      </x:c>
      <x:c r="C1365" s="15" t="str">
        <x:v>GitHub shelf builder</x:v>
      </x:c>
      <x:c r="D1365" s="15" t="str">
        <x:v>Ontology / Schema</x:v>
      </x:c>
      <x:c r="E1365" s="15" t="str">
        <x:v>Sheldonbrain</x:v>
      </x:c>
      <x:c r="F1365" s="15" t="str">
        <x:v>Schema-map Sheldonbrain — GitShelf</x:v>
      </x:c>
      <x:c r="G1365" s="15" t="str">
        <x:v>repo packet / manifest / issue template prep</x:v>
      </x:c>
      <x:c r="H1365" s="15" t="str">
        <x:v>source path + receipt + raw/export status + claim/edge/risk delta</x:v>
      </x:c>
      <x:c r="I1365" s="15" t="str">
        <x:v>packet/SWARM-10-H06-S08</x:v>
      </x:c>
      <x:c r="J1365" s="15" t="str">
        <x:v>TODO</x:v>
      </x:c>
      <x:c r="K1365" s="15" t="str">
        <x:v>P1</x:v>
      </x:c>
      <x:c r="L1365" s="15" t="str">
        <x:v>Done only when evidence is logged, contradiction search is noted, and boundary stamp remains non-canon unless ratified</x:v>
      </x:c>
      <x:c r="M1365" s="15" t="str">
        <x:v>candidate / staging-only / not canon / not deployed / authority none</x:v>
      </x:c>
      <x:c r="N1365" s="15" t="str">
        <x:v>Dispatch to GitShelf: complete Ontology / Schema x Sheldonbrain; return deltas only, receipts required.</x:v>
      </x:c>
      <x:c r="O1365" s="15" t="str">
        <x:v>AF-KG-H06-S08</x:v>
      </x:c>
      <x:c r="P1365" s="15" t="str">
        <x:v>Unverified</x:v>
      </x:c>
      <x:c r="Q1365" s="15" t="str">
        <x:v>Not checked</x:v>
      </x:c>
      <x:c r="R1365" s="15" t="str"/>
      <x:c r="S1365" s="15" t="str"/>
      <x:c r="T1365" s="15" t="str">
        <x:v>Log first source path or blocker</x:v>
      </x:c>
      <x:c r="U1365" s="12" t="str">
        <x:f>IF(OR(P1365="Unverified",Q1365="Not checked"),"BLOCKED_PENDING_RECEIPT","READY_FOR_REVIEW")</x:f>
        <x:v>BLOCKED_PENDING_RECEIPT</x:v>
      </x:c>
      <x:c r="V1365" s="12" t="str">
        <x:f>IF(J1365="DONE","RETURNED",IF(U1365="BLOCKED_PENDING_RECEIPT","SOURCE_TOUCH_REQUIRED","IN_PROGRESS"))</x:f>
        <x:v>SOURCE_TOUCH_REQUIRED</x:v>
      </x:c>
      <x:c r="W1365" s="12" t="str">
        <x:f>IF(P1365="Unverified","missing_receipt","receipt_logged")</x:f>
        <x:v>missing_receipt</x:v>
      </x:c>
      <x:c r="X1365" s="12" t="str">
        <x:f>IF(Q1365="Not checked","raw_status_missing","raw_status_logged")</x:f>
        <x:v>raw_status_missing</x:v>
      </x:c>
      <x:c r="Y1365" s="12" t="str">
        <x:f>IF(U1365="BLOCKED_PENDING_RECEIPT","Log source path or blocker; do not promote","Route to review lane")</x:f>
        <x:v>Log source path or blocker; do not promote</x:v>
      </x:c>
      <x:c r="Z1365" s="12" t="str">
        <x:f>IF(K1365="P0","Primary seat + Hashlight/Lucerna","Seat lane")</x:f>
        <x:v>Seat lane</x:v>
      </x:c>
      <x:c r="AA1365" s="12" t="str">
        <x:f>IF(R1365="","no_claim_delta","claim_delta_present")</x:f>
        <x:v>no_claim_delta</x:v>
      </x:c>
      <x:c r="AB1365" s="12" t="str">
        <x:f>IF(S1365="","no_contradiction_delta","contradiction_delta_present")</x:f>
        <x:v>no_contradiction_delta</x:v>
      </x:c>
      <x:c r="AC1365" s="12" t="str">
        <x:f>IF(OR(ISNUMBER(SEARCH("hacker",LOWER(F1365&amp;" "&amp;H1365&amp;" "&amp;I1365&amp;" "&amp;M1365&amp;" "&amp;N1365&amp;" "&amp;T1365))),ISNUMBER(SEARCH("hacking",LOWER(F1365&amp;" "&amp;H1365&amp;" "&amp;I1365&amp;" "&amp;M1365&amp;" "&amp;N1365&amp;" "&amp;T1365))),ISNUMBER(SEARCH("bank",LOWER(F1365&amp;" "&amp;H1365&amp;" "&amp;I1365&amp;" "&amp;M1365&amp;" "&amp;N1365&amp;" "&amp;T1365))),ISNUMBER(SEARCH("banking",LOWER(F1365&amp;" "&amp;H1365&amp;" "&amp;I1365&amp;" "&amp;M1365&amp;" "&amp;N1365&amp;" "&amp;T1365)))),"PRIVATE_QUARANTINE",IF(OR(ISNUMBER(SEARCH("treasury",LOWER(F1365&amp;" "&amp;H1365&amp;" "&amp;I1365&amp;" "&amp;M1365&amp;" "&amp;N1365&amp;" "&amp;T1365))),ISNUMBER(SEARCH("debt",LOWER(F1365&amp;" "&amp;H1365&amp;" "&amp;I1365&amp;" "&amp;M1365&amp;" "&amp;N1365&amp;" "&amp;T1365))),ISNUMBER(SEARCH("bond",LOWER(F1365&amp;" "&amp;H1365&amp;" "&amp;I1365&amp;" "&amp;M1365&amp;" "&amp;N1365&amp;" "&amp;T1365))),ISNUMBER(SEARCH("transaction",LOWER(F1365&amp;" "&amp;H1365&amp;" "&amp;I1365&amp;" "&amp;M1365&amp;" "&amp;N1365&amp;" "&amp;T1365)))),"PRIVATE_REVIEW","PUBLIC_CANDIDATE"))</x:f>
        <x:v>PUBLIC_CANDIDATE</x:v>
      </x:c>
      <x:c r="AD1365" s="12" t="str">
        <x:f>IF(AC1365="PRIVATE_QUARANTINE","hacker_or_bank_trigger",IF(AC1365="PRIVATE_REVIEW","finance_risk_trigger","none"))</x:f>
        <x:v>none</x:v>
      </x:c>
      <x:c r="AE1365" s="12" t="str">
        <x:f>IF(AC1365="PUBLIC_CANDIDATE","prepare_public_github_candidate",IF(AC1365="PRIVATE_REVIEW","hold_for_private_review","quarantine_private_do_not_publish"))</x:f>
        <x:v>prepare_public_github_candidate</x:v>
      </x:c>
      <x:c r="AF1365" s="12" t="str">
        <x:f>IF(AC1365="PUBLIC_CANDIDATE","TIDELOCK + Lucerna",IF(AC1365="PRIVATE_REVIEW","AtlasBrain + Lucerna","TIDELOCK + Lucerna + Human-root"))</x:f>
        <x:v>TIDELOCK + Lucerna</x:v>
      </x:c>
      <x:c r="AG1365" s="12" t="str">
        <x:f>IF(AND(AC1365="PUBLIC_CANDIDATE",U1365&lt;&gt;"BLOCKED_PENDING_RECEIPT"),"READY_AFTER_RECEIPT","NOT_READY")</x:f>
        <x:v>NOT_READY</x:v>
      </x:c>
      <x:c r="AH1365" s="12" t="str">
        <x:f>IF(AC1365="PUBLIC_CANDIDATE","none",AD1365)</x:f>
        <x:v>none</x:v>
      </x:c>
      <x:c r="AI1365" s="12" t="str">
        <x:f>IF(AC1365="PUBLIC_CANDIDATE","archive/public_candidates/"&amp;A1365,"private_quarantine/"&amp;A1365)</x:f>
        <x:v>archive/public_candidates/SWARM-10-H06-S08</x:v>
      </x:c>
      <x:c r="AJ1365" s="12" t="str">
        <x:f>IF(AC1365="PUBLIC_CANDIDATE","public by default; still not canon","private/hold; do not publish")</x:f>
        <x:v>public by default; still not canon</x:v>
      </x:c>
      <x:c r="AK1365" s="12" t="str">
        <x:f>IF(AE1365="prepare_public_github_candidate","add receipt/status then mirror","resolve blocker before any public GitHub action")</x:f>
        <x:v>add receipt/status then mirror</x:v>
      </x:c>
    </x:row>
    <x:row r="1366">
      <x:c r="A1366" s="15" t="str">
        <x:v>SWARM-10-H06-S09</x:v>
      </x:c>
      <x:c r="B1366" s="15" t="str">
        <x:v>GitShelf</x:v>
      </x:c>
      <x:c r="C1366" s="15" t="str">
        <x:v>GitHub shelf builder</x:v>
      </x:c>
      <x:c r="D1366" s="15" t="str">
        <x:v>Ontology / Schema</x:v>
      </x:c>
      <x:c r="E1366" s="15" t="str">
        <x:v>Aetherforge</x:v>
      </x:c>
      <x:c r="F1366" s="15" t="str">
        <x:v>Schema-map Aetherforge — GitShelf</x:v>
      </x:c>
      <x:c r="G1366" s="15" t="str">
        <x:v>repo packet / manifest / issue template prep</x:v>
      </x:c>
      <x:c r="H1366" s="15" t="str">
        <x:v>source path + receipt + raw/export status + claim/edge/risk delta</x:v>
      </x:c>
      <x:c r="I1366" s="15" t="str">
        <x:v>packet/SWARM-10-H06-S09</x:v>
      </x:c>
      <x:c r="J1366" s="15" t="str">
        <x:v>TODO</x:v>
      </x:c>
      <x:c r="K1366" s="15" t="str">
        <x:v>P2</x:v>
      </x:c>
      <x:c r="L1366" s="15" t="str">
        <x:v>Done only when evidence is logged, contradiction search is noted, and boundary stamp remains non-canon unless ratified</x:v>
      </x:c>
      <x:c r="M1366" s="15" t="str">
        <x:v>candidate / staging-only / not canon / not deployed / authority none</x:v>
      </x:c>
      <x:c r="N1366" s="15" t="str">
        <x:v>Dispatch to GitShelf: complete Ontology / Schema x Aetherforge; return deltas only, receipts required.</x:v>
      </x:c>
      <x:c r="O1366" s="15" t="str">
        <x:v>AF-KG-H06-S09</x:v>
      </x:c>
      <x:c r="P1366" s="15" t="str">
        <x:v>Unverified</x:v>
      </x:c>
      <x:c r="Q1366" s="15" t="str">
        <x:v>Not checked</x:v>
      </x:c>
      <x:c r="R1366" s="15" t="str"/>
      <x:c r="S1366" s="15" t="str"/>
      <x:c r="T1366" s="15" t="str">
        <x:v>Log first source path or blocker</x:v>
      </x:c>
      <x:c r="U1366" s="12" t="str">
        <x:f>IF(OR(P1366="Unverified",Q1366="Not checked"),"BLOCKED_PENDING_RECEIPT","READY_FOR_REVIEW")</x:f>
        <x:v>BLOCKED_PENDING_RECEIPT</x:v>
      </x:c>
      <x:c r="V1366" s="12" t="str">
        <x:f>IF(J1366="DONE","RETURNED",IF(U1366="BLOCKED_PENDING_RECEIPT","SOURCE_TOUCH_REQUIRED","IN_PROGRESS"))</x:f>
        <x:v>SOURCE_TOUCH_REQUIRED</x:v>
      </x:c>
      <x:c r="W1366" s="12" t="str">
        <x:f>IF(P1366="Unverified","missing_receipt","receipt_logged")</x:f>
        <x:v>missing_receipt</x:v>
      </x:c>
      <x:c r="X1366" s="12" t="str">
        <x:f>IF(Q1366="Not checked","raw_status_missing","raw_status_logged")</x:f>
        <x:v>raw_status_missing</x:v>
      </x:c>
      <x:c r="Y1366" s="12" t="str">
        <x:f>IF(U1366="BLOCKED_PENDING_RECEIPT","Log source path or blocker; do not promote","Route to review lane")</x:f>
        <x:v>Log source path or blocker; do not promote</x:v>
      </x:c>
      <x:c r="Z1366" s="12" t="str">
        <x:f>IF(K1366="P0","Primary seat + Hashlight/Lucerna","Seat lane")</x:f>
        <x:v>Seat lane</x:v>
      </x:c>
      <x:c r="AA1366" s="12" t="str">
        <x:f>IF(R1366="","no_claim_delta","claim_delta_present")</x:f>
        <x:v>no_claim_delta</x:v>
      </x:c>
      <x:c r="AB1366" s="12" t="str">
        <x:f>IF(S1366="","no_contradiction_delta","contradiction_delta_present")</x:f>
        <x:v>no_contradiction_delta</x:v>
      </x:c>
      <x:c r="AC1366" s="12" t="str">
        <x:f>IF(OR(ISNUMBER(SEARCH("hacker",LOWER(F1366&amp;" "&amp;H1366&amp;" "&amp;I1366&amp;" "&amp;M1366&amp;" "&amp;N1366&amp;" "&amp;T1366))),ISNUMBER(SEARCH("hacking",LOWER(F1366&amp;" "&amp;H1366&amp;" "&amp;I1366&amp;" "&amp;M1366&amp;" "&amp;N1366&amp;" "&amp;T1366))),ISNUMBER(SEARCH("bank",LOWER(F1366&amp;" "&amp;H1366&amp;" "&amp;I1366&amp;" "&amp;M1366&amp;" "&amp;N1366&amp;" "&amp;T1366))),ISNUMBER(SEARCH("banking",LOWER(F1366&amp;" "&amp;H1366&amp;" "&amp;I1366&amp;" "&amp;M1366&amp;" "&amp;N1366&amp;" "&amp;T1366)))),"PRIVATE_QUARANTINE",IF(OR(ISNUMBER(SEARCH("treasury",LOWER(F1366&amp;" "&amp;H1366&amp;" "&amp;I1366&amp;" "&amp;M1366&amp;" "&amp;N1366&amp;" "&amp;T1366))),ISNUMBER(SEARCH("debt",LOWER(F1366&amp;" "&amp;H1366&amp;" "&amp;I1366&amp;" "&amp;M1366&amp;" "&amp;N1366&amp;" "&amp;T1366))),ISNUMBER(SEARCH("bond",LOWER(F1366&amp;" "&amp;H1366&amp;" "&amp;I1366&amp;" "&amp;M1366&amp;" "&amp;N1366&amp;" "&amp;T1366))),ISNUMBER(SEARCH("transaction",LOWER(F1366&amp;" "&amp;H1366&amp;" "&amp;I1366&amp;" "&amp;M1366&amp;" "&amp;N1366&amp;" "&amp;T1366)))),"PRIVATE_REVIEW","PUBLIC_CANDIDATE"))</x:f>
        <x:v>PUBLIC_CANDIDATE</x:v>
      </x:c>
      <x:c r="AD1366" s="12" t="str">
        <x:f>IF(AC1366="PRIVATE_QUARANTINE","hacker_or_bank_trigger",IF(AC1366="PRIVATE_REVIEW","finance_risk_trigger","none"))</x:f>
        <x:v>none</x:v>
      </x:c>
      <x:c r="AE1366" s="12" t="str">
        <x:f>IF(AC1366="PUBLIC_CANDIDATE","prepare_public_github_candidate",IF(AC1366="PRIVATE_REVIEW","hold_for_private_review","quarantine_private_do_not_publish"))</x:f>
        <x:v>prepare_public_github_candidate</x:v>
      </x:c>
      <x:c r="AF1366" s="12" t="str">
        <x:f>IF(AC1366="PUBLIC_CANDIDATE","TIDELOCK + Lucerna",IF(AC1366="PRIVATE_REVIEW","AtlasBrain + Lucerna","TIDELOCK + Lucerna + Human-root"))</x:f>
        <x:v>TIDELOCK + Lucerna</x:v>
      </x:c>
      <x:c r="AG1366" s="12" t="str">
        <x:f>IF(AND(AC1366="PUBLIC_CANDIDATE",U1366&lt;&gt;"BLOCKED_PENDING_RECEIPT"),"READY_AFTER_RECEIPT","NOT_READY")</x:f>
        <x:v>NOT_READY</x:v>
      </x:c>
      <x:c r="AH1366" s="12" t="str">
        <x:f>IF(AC1366="PUBLIC_CANDIDATE","none",AD1366)</x:f>
        <x:v>none</x:v>
      </x:c>
      <x:c r="AI1366" s="12" t="str">
        <x:f>IF(AC1366="PUBLIC_CANDIDATE","archive/public_candidates/"&amp;A1366,"private_quarantine/"&amp;A1366)</x:f>
        <x:v>archive/public_candidates/SWARM-10-H06-S09</x:v>
      </x:c>
      <x:c r="AJ1366" s="12" t="str">
        <x:f>IF(AC1366="PUBLIC_CANDIDATE","public by default; still not canon","private/hold; do not publish")</x:f>
        <x:v>public by default; still not canon</x:v>
      </x:c>
      <x:c r="AK1366" s="12" t="str">
        <x:f>IF(AE1366="prepare_public_github_candidate","add receipt/status then mirror","resolve blocker before any public GitHub action")</x:f>
        <x:v>add receipt/status then mirror</x:v>
      </x:c>
    </x:row>
    <x:row r="1367">
      <x:c r="A1367" s="15" t="str">
        <x:v>SWARM-10-H06-S10</x:v>
      </x:c>
      <x:c r="B1367" s="15" t="str">
        <x:v>GitShelf</x:v>
      </x:c>
      <x:c r="C1367" s="15" t="str">
        <x:v>GitHub shelf builder</x:v>
      </x:c>
      <x:c r="D1367" s="15" t="str">
        <x:v>Ontology / Schema</x:v>
      </x:c>
      <x:c r="E1367" s="15" t="str">
        <x:v>Human-Root</x:v>
      </x:c>
      <x:c r="F1367" s="15" t="str">
        <x:v>Schema-map Human-Root — GitShelf</x:v>
      </x:c>
      <x:c r="G1367" s="15" t="str">
        <x:v>repo packet / manifest / issue template prep</x:v>
      </x:c>
      <x:c r="H1367" s="15" t="str">
        <x:v>source path + receipt + raw/export status + claim/edge/risk delta</x:v>
      </x:c>
      <x:c r="I1367" s="15" t="str">
        <x:v>packet/SWARM-10-H06-S10</x:v>
      </x:c>
      <x:c r="J1367" s="15" t="str">
        <x:v>TODO</x:v>
      </x:c>
      <x:c r="K1367" s="15" t="str">
        <x:v>P2</x:v>
      </x:c>
      <x:c r="L1367" s="15" t="str">
        <x:v>Done only when evidence is logged, contradiction search is noted, and boundary stamp remains non-canon unless ratified</x:v>
      </x:c>
      <x:c r="M1367" s="15" t="str">
        <x:v>candidate / staging-only / not canon / not deployed / authority none</x:v>
      </x:c>
      <x:c r="N1367" s="15" t="str">
        <x:v>Dispatch to GitShelf: complete Ontology / Schema x Human-Root; return deltas only, receipts required.</x:v>
      </x:c>
      <x:c r="O1367" s="15" t="str">
        <x:v>AF-KG-H06-S10</x:v>
      </x:c>
      <x:c r="P1367" s="15" t="str">
        <x:v>Unverified</x:v>
      </x:c>
      <x:c r="Q1367" s="15" t="str">
        <x:v>Not checked</x:v>
      </x:c>
      <x:c r="R1367" s="15" t="str"/>
      <x:c r="S1367" s="15" t="str"/>
      <x:c r="T1367" s="15" t="str">
        <x:v>Log first source path or blocker</x:v>
      </x:c>
      <x:c r="U1367" s="12" t="str">
        <x:f>IF(OR(P1367="Unverified",Q1367="Not checked"),"BLOCKED_PENDING_RECEIPT","READY_FOR_REVIEW")</x:f>
        <x:v>BLOCKED_PENDING_RECEIPT</x:v>
      </x:c>
      <x:c r="V1367" s="12" t="str">
        <x:f>IF(J1367="DONE","RETURNED",IF(U1367="BLOCKED_PENDING_RECEIPT","SOURCE_TOUCH_REQUIRED","IN_PROGRESS"))</x:f>
        <x:v>SOURCE_TOUCH_REQUIRED</x:v>
      </x:c>
      <x:c r="W1367" s="12" t="str">
        <x:f>IF(P1367="Unverified","missing_receipt","receipt_logged")</x:f>
        <x:v>missing_receipt</x:v>
      </x:c>
      <x:c r="X1367" s="12" t="str">
        <x:f>IF(Q1367="Not checked","raw_status_missing","raw_status_logged")</x:f>
        <x:v>raw_status_missing</x:v>
      </x:c>
      <x:c r="Y1367" s="12" t="str">
        <x:f>IF(U1367="BLOCKED_PENDING_RECEIPT","Log source path or blocker; do not promote","Route to review lane")</x:f>
        <x:v>Log source path or blocker; do not promote</x:v>
      </x:c>
      <x:c r="Z1367" s="12" t="str">
        <x:f>IF(K1367="P0","Primary seat + Hashlight/Lucerna","Seat lane")</x:f>
        <x:v>Seat lane</x:v>
      </x:c>
      <x:c r="AA1367" s="12" t="str">
        <x:f>IF(R1367="","no_claim_delta","claim_delta_present")</x:f>
        <x:v>no_claim_delta</x:v>
      </x:c>
      <x:c r="AB1367" s="12" t="str">
        <x:f>IF(S1367="","no_contradiction_delta","contradiction_delta_present")</x:f>
        <x:v>no_contradiction_delta</x:v>
      </x:c>
      <x:c r="AC1367" s="12" t="str">
        <x:f>IF(OR(ISNUMBER(SEARCH("hacker",LOWER(F1367&amp;" "&amp;H1367&amp;" "&amp;I1367&amp;" "&amp;M1367&amp;" "&amp;N1367&amp;" "&amp;T1367))),ISNUMBER(SEARCH("hacking",LOWER(F1367&amp;" "&amp;H1367&amp;" "&amp;I1367&amp;" "&amp;M1367&amp;" "&amp;N1367&amp;" "&amp;T1367))),ISNUMBER(SEARCH("bank",LOWER(F1367&amp;" "&amp;H1367&amp;" "&amp;I1367&amp;" "&amp;M1367&amp;" "&amp;N1367&amp;" "&amp;T1367))),ISNUMBER(SEARCH("banking",LOWER(F1367&amp;" "&amp;H1367&amp;" "&amp;I1367&amp;" "&amp;M1367&amp;" "&amp;N1367&amp;" "&amp;T1367)))),"PRIVATE_QUARANTINE",IF(OR(ISNUMBER(SEARCH("treasury",LOWER(F1367&amp;" "&amp;H1367&amp;" "&amp;I1367&amp;" "&amp;M1367&amp;" "&amp;N1367&amp;" "&amp;T1367))),ISNUMBER(SEARCH("debt",LOWER(F1367&amp;" "&amp;H1367&amp;" "&amp;I1367&amp;" "&amp;M1367&amp;" "&amp;N1367&amp;" "&amp;T1367))),ISNUMBER(SEARCH("bond",LOWER(F1367&amp;" "&amp;H1367&amp;" "&amp;I1367&amp;" "&amp;M1367&amp;" "&amp;N1367&amp;" "&amp;T1367))),ISNUMBER(SEARCH("transaction",LOWER(F1367&amp;" "&amp;H1367&amp;" "&amp;I1367&amp;" "&amp;M1367&amp;" "&amp;N1367&amp;" "&amp;T1367)))),"PRIVATE_REVIEW","PUBLIC_CANDIDATE"))</x:f>
        <x:v>PUBLIC_CANDIDATE</x:v>
      </x:c>
      <x:c r="AD1367" s="12" t="str">
        <x:f>IF(AC1367="PRIVATE_QUARANTINE","hacker_or_bank_trigger",IF(AC1367="PRIVATE_REVIEW","finance_risk_trigger","none"))</x:f>
        <x:v>none</x:v>
      </x:c>
      <x:c r="AE1367" s="12" t="str">
        <x:f>IF(AC1367="PUBLIC_CANDIDATE","prepare_public_github_candidate",IF(AC1367="PRIVATE_REVIEW","hold_for_private_review","quarantine_private_do_not_publish"))</x:f>
        <x:v>prepare_public_github_candidate</x:v>
      </x:c>
      <x:c r="AF1367" s="12" t="str">
        <x:f>IF(AC1367="PUBLIC_CANDIDATE","TIDELOCK + Lucerna",IF(AC1367="PRIVATE_REVIEW","AtlasBrain + Lucerna","TIDELOCK + Lucerna + Human-root"))</x:f>
        <x:v>TIDELOCK + Lucerna</x:v>
      </x:c>
      <x:c r="AG1367" s="12" t="str">
        <x:f>IF(AND(AC1367="PUBLIC_CANDIDATE",U1367&lt;&gt;"BLOCKED_PENDING_RECEIPT"),"READY_AFTER_RECEIPT","NOT_READY")</x:f>
        <x:v>NOT_READY</x:v>
      </x:c>
      <x:c r="AH1367" s="12" t="str">
        <x:f>IF(AC1367="PUBLIC_CANDIDATE","none",AD1367)</x:f>
        <x:v>none</x:v>
      </x:c>
      <x:c r="AI1367" s="12" t="str">
        <x:f>IF(AC1367="PUBLIC_CANDIDATE","archive/public_candidates/"&amp;A1367,"private_quarantine/"&amp;A1367)</x:f>
        <x:v>archive/public_candidates/SWARM-10-H06-S10</x:v>
      </x:c>
      <x:c r="AJ1367" s="12" t="str">
        <x:f>IF(AC1367="PUBLIC_CANDIDATE","public by default; still not canon","private/hold; do not publish")</x:f>
        <x:v>public by default; still not canon</x:v>
      </x:c>
      <x:c r="AK1367" s="12" t="str">
        <x:f>IF(AE1367="prepare_public_github_candidate","add receipt/status then mirror","resolve blocker before any public GitHub action")</x:f>
        <x:v>add receipt/status then mirror</x:v>
      </x:c>
    </x:row>
    <x:row r="1368">
      <x:c r="A1368" s="15" t="str">
        <x:v>SWARM-10-H06-S11</x:v>
      </x:c>
      <x:c r="B1368" s="15" t="str">
        <x:v>GitShelf</x:v>
      </x:c>
      <x:c r="C1368" s="15" t="str">
        <x:v>GitHub shelf builder</x:v>
      </x:c>
      <x:c r="D1368" s="15" t="str">
        <x:v>Ontology / Schema</x:v>
      </x:c>
      <x:c r="E1368" s="15" t="str">
        <x:v>Automation</x:v>
      </x:c>
      <x:c r="F1368" s="15" t="str">
        <x:v>Schema-map Automation — GitShelf</x:v>
      </x:c>
      <x:c r="G1368" s="15" t="str">
        <x:v>repo packet / manifest / issue template prep</x:v>
      </x:c>
      <x:c r="H1368" s="15" t="str">
        <x:v>source path + receipt + raw/export status + claim/edge/risk delta</x:v>
      </x:c>
      <x:c r="I1368" s="15" t="str">
        <x:v>packet/SWARM-10-H06-S11</x:v>
      </x:c>
      <x:c r="J1368" s="15" t="str">
        <x:v>TODO</x:v>
      </x:c>
      <x:c r="K1368" s="15" t="str">
        <x:v>P2</x:v>
      </x:c>
      <x:c r="L1368" s="15" t="str">
        <x:v>Done only when evidence is logged, contradiction search is noted, and boundary stamp remains non-canon unless ratified</x:v>
      </x:c>
      <x:c r="M1368" s="15" t="str">
        <x:v>candidate / staging-only / not canon / not deployed / authority none</x:v>
      </x:c>
      <x:c r="N1368" s="15" t="str">
        <x:v>Dispatch to GitShelf: complete Ontology / Schema x Automation; return deltas only, receipts required.</x:v>
      </x:c>
      <x:c r="O1368" s="15" t="str">
        <x:v>AF-KG-H06-S11</x:v>
      </x:c>
      <x:c r="P1368" s="15" t="str">
        <x:v>Unverified</x:v>
      </x:c>
      <x:c r="Q1368" s="15" t="str">
        <x:v>Not checked</x:v>
      </x:c>
      <x:c r="R1368" s="15" t="str"/>
      <x:c r="S1368" s="15" t="str"/>
      <x:c r="T1368" s="15" t="str">
        <x:v>Log first source path or blocker</x:v>
      </x:c>
      <x:c r="U1368" s="12" t="str">
        <x:f>IF(OR(P1368="Unverified",Q1368="Not checked"),"BLOCKED_PENDING_RECEIPT","READY_FOR_REVIEW")</x:f>
        <x:v>BLOCKED_PENDING_RECEIPT</x:v>
      </x:c>
      <x:c r="V1368" s="12" t="str">
        <x:f>IF(J1368="DONE","RETURNED",IF(U1368="BLOCKED_PENDING_RECEIPT","SOURCE_TOUCH_REQUIRED","IN_PROGRESS"))</x:f>
        <x:v>SOURCE_TOUCH_REQUIRED</x:v>
      </x:c>
      <x:c r="W1368" s="12" t="str">
        <x:f>IF(P1368="Unverified","missing_receipt","receipt_logged")</x:f>
        <x:v>missing_receipt</x:v>
      </x:c>
      <x:c r="X1368" s="12" t="str">
        <x:f>IF(Q1368="Not checked","raw_status_missing","raw_status_logged")</x:f>
        <x:v>raw_status_missing</x:v>
      </x:c>
      <x:c r="Y1368" s="12" t="str">
        <x:f>IF(U1368="BLOCKED_PENDING_RECEIPT","Log source path or blocker; do not promote","Route to review lane")</x:f>
        <x:v>Log source path or blocker; do not promote</x:v>
      </x:c>
      <x:c r="Z1368" s="12" t="str">
        <x:f>IF(K1368="P0","Primary seat + Hashlight/Lucerna","Seat lane")</x:f>
        <x:v>Seat lane</x:v>
      </x:c>
      <x:c r="AA1368" s="12" t="str">
        <x:f>IF(R1368="","no_claim_delta","claim_delta_present")</x:f>
        <x:v>no_claim_delta</x:v>
      </x:c>
      <x:c r="AB1368" s="12" t="str">
        <x:f>IF(S1368="","no_contradiction_delta","contradiction_delta_present")</x:f>
        <x:v>no_contradiction_delta</x:v>
      </x:c>
      <x:c r="AC1368" s="12" t="str">
        <x:f>IF(OR(ISNUMBER(SEARCH("hacker",LOWER(F1368&amp;" "&amp;H1368&amp;" "&amp;I1368&amp;" "&amp;M1368&amp;" "&amp;N1368&amp;" "&amp;T1368))),ISNUMBER(SEARCH("hacking",LOWER(F1368&amp;" "&amp;H1368&amp;" "&amp;I1368&amp;" "&amp;M1368&amp;" "&amp;N1368&amp;" "&amp;T1368))),ISNUMBER(SEARCH("bank",LOWER(F1368&amp;" "&amp;H1368&amp;" "&amp;I1368&amp;" "&amp;M1368&amp;" "&amp;N1368&amp;" "&amp;T1368))),ISNUMBER(SEARCH("banking",LOWER(F1368&amp;" "&amp;H1368&amp;" "&amp;I1368&amp;" "&amp;M1368&amp;" "&amp;N1368&amp;" "&amp;T1368)))),"PRIVATE_QUARANTINE",IF(OR(ISNUMBER(SEARCH("treasury",LOWER(F1368&amp;" "&amp;H1368&amp;" "&amp;I1368&amp;" "&amp;M1368&amp;" "&amp;N1368&amp;" "&amp;T1368))),ISNUMBER(SEARCH("debt",LOWER(F1368&amp;" "&amp;H1368&amp;" "&amp;I1368&amp;" "&amp;M1368&amp;" "&amp;N1368&amp;" "&amp;T1368))),ISNUMBER(SEARCH("bond",LOWER(F1368&amp;" "&amp;H1368&amp;" "&amp;I1368&amp;" "&amp;M1368&amp;" "&amp;N1368&amp;" "&amp;T1368))),ISNUMBER(SEARCH("transaction",LOWER(F1368&amp;" "&amp;H1368&amp;" "&amp;I1368&amp;" "&amp;M1368&amp;" "&amp;N1368&amp;" "&amp;T1368)))),"PRIVATE_REVIEW","PUBLIC_CANDIDATE"))</x:f>
        <x:v>PUBLIC_CANDIDATE</x:v>
      </x:c>
      <x:c r="AD1368" s="12" t="str">
        <x:f>IF(AC1368="PRIVATE_QUARANTINE","hacker_or_bank_trigger",IF(AC1368="PRIVATE_REVIEW","finance_risk_trigger","none"))</x:f>
        <x:v>none</x:v>
      </x:c>
      <x:c r="AE1368" s="12" t="str">
        <x:f>IF(AC1368="PUBLIC_CANDIDATE","prepare_public_github_candidate",IF(AC1368="PRIVATE_REVIEW","hold_for_private_review","quarantine_private_do_not_publish"))</x:f>
        <x:v>prepare_public_github_candidate</x:v>
      </x:c>
      <x:c r="AF1368" s="12" t="str">
        <x:f>IF(AC1368="PUBLIC_CANDIDATE","TIDELOCK + Lucerna",IF(AC1368="PRIVATE_REVIEW","AtlasBrain + Lucerna","TIDELOCK + Lucerna + Human-root"))</x:f>
        <x:v>TIDELOCK + Lucerna</x:v>
      </x:c>
      <x:c r="AG1368" s="12" t="str">
        <x:f>IF(AND(AC1368="PUBLIC_CANDIDATE",U1368&lt;&gt;"BLOCKED_PENDING_RECEIPT"),"READY_AFTER_RECEIPT","NOT_READY")</x:f>
        <x:v>NOT_READY</x:v>
      </x:c>
      <x:c r="AH1368" s="12" t="str">
        <x:f>IF(AC1368="PUBLIC_CANDIDATE","none",AD1368)</x:f>
        <x:v>none</x:v>
      </x:c>
      <x:c r="AI1368" s="12" t="str">
        <x:f>IF(AC1368="PUBLIC_CANDIDATE","archive/public_candidates/"&amp;A1368,"private_quarantine/"&amp;A1368)</x:f>
        <x:v>archive/public_candidates/SWARM-10-H06-S11</x:v>
      </x:c>
      <x:c r="AJ1368" s="12" t="str">
        <x:f>IF(AC1368="PUBLIC_CANDIDATE","public by default; still not canon","private/hold; do not publish")</x:f>
        <x:v>public by default; still not canon</x:v>
      </x:c>
      <x:c r="AK1368" s="12" t="str">
        <x:f>IF(AE1368="prepare_public_github_candidate","add receipt/status then mirror","resolve blocker before any public GitHub action")</x:f>
        <x:v>add receipt/status then mirror</x:v>
      </x:c>
    </x:row>
    <x:row r="1369">
      <x:c r="A1369" s="15" t="str">
        <x:v>SWARM-10-H06-S12</x:v>
      </x:c>
      <x:c r="B1369" s="15" t="str">
        <x:v>GitShelf</x:v>
      </x:c>
      <x:c r="C1369" s="15" t="str">
        <x:v>GitHub shelf builder</x:v>
      </x:c>
      <x:c r="D1369" s="15" t="str">
        <x:v>Ontology / Schema</x:v>
      </x:c>
      <x:c r="E1369" s="15" t="str">
        <x:v>Risk / Safety</x:v>
      </x:c>
      <x:c r="F1369" s="15" t="str">
        <x:v>Schema-map Risk / Safety — GitShelf</x:v>
      </x:c>
      <x:c r="G1369" s="15" t="str">
        <x:v>repo packet / manifest / issue template prep</x:v>
      </x:c>
      <x:c r="H1369" s="15" t="str">
        <x:v>source path + receipt + raw/export status + claim/edge/risk delta</x:v>
      </x:c>
      <x:c r="I1369" s="15" t="str">
        <x:v>packet/SWARM-10-H06-S12</x:v>
      </x:c>
      <x:c r="J1369" s="15" t="str">
        <x:v>TODO</x:v>
      </x:c>
      <x:c r="K1369" s="15" t="str">
        <x:v>P2</x:v>
      </x:c>
      <x:c r="L1369" s="15" t="str">
        <x:v>Done only when evidence is logged, contradiction search is noted, and boundary stamp remains non-canon unless ratified</x:v>
      </x:c>
      <x:c r="M1369" s="15" t="str">
        <x:v>candidate / staging-only / not canon / not deployed / authority none</x:v>
      </x:c>
      <x:c r="N1369" s="15" t="str">
        <x:v>Dispatch to GitShelf: complete Ontology / Schema x Risk / Safety; return deltas only, receipts required.</x:v>
      </x:c>
      <x:c r="O1369" s="15" t="str">
        <x:v>AF-KG-H06-S12</x:v>
      </x:c>
      <x:c r="P1369" s="15" t="str">
        <x:v>Unverified</x:v>
      </x:c>
      <x:c r="Q1369" s="15" t="str">
        <x:v>Not checked</x:v>
      </x:c>
      <x:c r="R1369" s="15" t="str"/>
      <x:c r="S1369" s="15" t="str"/>
      <x:c r="T1369" s="15" t="str">
        <x:v>Log first source path or blocker</x:v>
      </x:c>
      <x:c r="U1369" s="12" t="str">
        <x:f>IF(OR(P1369="Unverified",Q1369="Not checked"),"BLOCKED_PENDING_RECEIPT","READY_FOR_REVIEW")</x:f>
        <x:v>BLOCKED_PENDING_RECEIPT</x:v>
      </x:c>
      <x:c r="V1369" s="12" t="str">
        <x:f>IF(J1369="DONE","RETURNED",IF(U1369="BLOCKED_PENDING_RECEIPT","SOURCE_TOUCH_REQUIRED","IN_PROGRESS"))</x:f>
        <x:v>SOURCE_TOUCH_REQUIRED</x:v>
      </x:c>
      <x:c r="W1369" s="12" t="str">
        <x:f>IF(P1369="Unverified","missing_receipt","receipt_logged")</x:f>
        <x:v>missing_receipt</x:v>
      </x:c>
      <x:c r="X1369" s="12" t="str">
        <x:f>IF(Q1369="Not checked","raw_status_missing","raw_status_logged")</x:f>
        <x:v>raw_status_missing</x:v>
      </x:c>
      <x:c r="Y1369" s="12" t="str">
        <x:f>IF(U1369="BLOCKED_PENDING_RECEIPT","Log source path or blocker; do not promote","Route to review lane")</x:f>
        <x:v>Log source path or blocker; do not promote</x:v>
      </x:c>
      <x:c r="Z1369" s="12" t="str">
        <x:f>IF(K1369="P0","Primary seat + Hashlight/Lucerna","Seat lane")</x:f>
        <x:v>Seat lane</x:v>
      </x:c>
      <x:c r="AA1369" s="12" t="str">
        <x:f>IF(R1369="","no_claim_delta","claim_delta_present")</x:f>
        <x:v>no_claim_delta</x:v>
      </x:c>
      <x:c r="AB1369" s="12" t="str">
        <x:f>IF(S1369="","no_contradiction_delta","contradiction_delta_present")</x:f>
        <x:v>no_contradiction_delta</x:v>
      </x:c>
      <x:c r="AC1369" s="12" t="str">
        <x:f>IF(OR(ISNUMBER(SEARCH("hacker",LOWER(F1369&amp;" "&amp;H1369&amp;" "&amp;I1369&amp;" "&amp;M1369&amp;" "&amp;N1369&amp;" "&amp;T1369))),ISNUMBER(SEARCH("hacking",LOWER(F1369&amp;" "&amp;H1369&amp;" "&amp;I1369&amp;" "&amp;M1369&amp;" "&amp;N1369&amp;" "&amp;T1369))),ISNUMBER(SEARCH("bank",LOWER(F1369&amp;" "&amp;H1369&amp;" "&amp;I1369&amp;" "&amp;M1369&amp;" "&amp;N1369&amp;" "&amp;T1369))),ISNUMBER(SEARCH("banking",LOWER(F1369&amp;" "&amp;H1369&amp;" "&amp;I1369&amp;" "&amp;M1369&amp;" "&amp;N1369&amp;" "&amp;T1369)))),"PRIVATE_QUARANTINE",IF(OR(ISNUMBER(SEARCH("treasury",LOWER(F1369&amp;" "&amp;H1369&amp;" "&amp;I1369&amp;" "&amp;M1369&amp;" "&amp;N1369&amp;" "&amp;T1369))),ISNUMBER(SEARCH("debt",LOWER(F1369&amp;" "&amp;H1369&amp;" "&amp;I1369&amp;" "&amp;M1369&amp;" "&amp;N1369&amp;" "&amp;T1369))),ISNUMBER(SEARCH("bond",LOWER(F1369&amp;" "&amp;H1369&amp;" "&amp;I1369&amp;" "&amp;M1369&amp;" "&amp;N1369&amp;" "&amp;T1369))),ISNUMBER(SEARCH("transaction",LOWER(F1369&amp;" "&amp;H1369&amp;" "&amp;I1369&amp;" "&amp;M1369&amp;" "&amp;N1369&amp;" "&amp;T1369)))),"PRIVATE_REVIEW","PUBLIC_CANDIDATE"))</x:f>
        <x:v>PUBLIC_CANDIDATE</x:v>
      </x:c>
      <x:c r="AD1369" s="12" t="str">
        <x:f>IF(AC1369="PRIVATE_QUARANTINE","hacker_or_bank_trigger",IF(AC1369="PRIVATE_REVIEW","finance_risk_trigger","none"))</x:f>
        <x:v>none</x:v>
      </x:c>
      <x:c r="AE1369" s="12" t="str">
        <x:f>IF(AC1369="PUBLIC_CANDIDATE","prepare_public_github_candidate",IF(AC1369="PRIVATE_REVIEW","hold_for_private_review","quarantine_private_do_not_publish"))</x:f>
        <x:v>prepare_public_github_candidate</x:v>
      </x:c>
      <x:c r="AF1369" s="12" t="str">
        <x:f>IF(AC1369="PUBLIC_CANDIDATE","TIDELOCK + Lucerna",IF(AC1369="PRIVATE_REVIEW","AtlasBrain + Lucerna","TIDELOCK + Lucerna + Human-root"))</x:f>
        <x:v>TIDELOCK + Lucerna</x:v>
      </x:c>
      <x:c r="AG1369" s="12" t="str">
        <x:f>IF(AND(AC1369="PUBLIC_CANDIDATE",U1369&lt;&gt;"BLOCKED_PENDING_RECEIPT"),"READY_AFTER_RECEIPT","NOT_READY")</x:f>
        <x:v>NOT_READY</x:v>
      </x:c>
      <x:c r="AH1369" s="12" t="str">
        <x:f>IF(AC1369="PUBLIC_CANDIDATE","none",AD1369)</x:f>
        <x:v>none</x:v>
      </x:c>
      <x:c r="AI1369" s="12" t="str">
        <x:f>IF(AC1369="PUBLIC_CANDIDATE","archive/public_candidates/"&amp;A1369,"private_quarantine/"&amp;A1369)</x:f>
        <x:v>archive/public_candidates/SWARM-10-H06-S12</x:v>
      </x:c>
      <x:c r="AJ1369" s="12" t="str">
        <x:f>IF(AC1369="PUBLIC_CANDIDATE","public by default; still not canon","private/hold; do not publish")</x:f>
        <x:v>public by default; still not canon</x:v>
      </x:c>
      <x:c r="AK1369" s="12" t="str">
        <x:f>IF(AE1369="prepare_public_github_candidate","add receipt/status then mirror","resolve blocker before any public GitHub action")</x:f>
        <x:v>add receipt/status then mirror</x:v>
      </x:c>
    </x:row>
    <x:row r="1370">
      <x:c r="A1370" s="15" t="str">
        <x:v>SWARM-10-H07-S01</x:v>
      </x:c>
      <x:c r="B1370" s="15" t="str">
        <x:v>GitShelf</x:v>
      </x:c>
      <x:c r="C1370" s="15" t="str">
        <x:v>GitHub shelf builder</x:v>
      </x:c>
      <x:c r="D1370" s="15" t="str">
        <x:v>Graph Node Proposals</x:v>
      </x:c>
      <x:c r="E1370" s="15" t="str">
        <x:v>Notion</x:v>
      </x:c>
      <x:c r="F1370" s="15" t="str">
        <x:v>Propose graph nodes for Notion — GitShelf</x:v>
      </x:c>
      <x:c r="G1370" s="15" t="str">
        <x:v>repo packet / manifest / issue template prep</x:v>
      </x:c>
      <x:c r="H1370" s="15" t="str">
        <x:v>source path + receipt + raw/export status + claim/edge/risk delta</x:v>
      </x:c>
      <x:c r="I1370" s="15" t="str">
        <x:v>packet/SWARM-10-H07-S01</x:v>
      </x:c>
      <x:c r="J1370" s="15" t="str">
        <x:v>TODO</x:v>
      </x:c>
      <x:c r="K1370" s="15" t="str">
        <x:v>P0</x:v>
      </x:c>
      <x:c r="L1370" s="15" t="str">
        <x:v>Done only when evidence is logged, contradiction search is noted, and boundary stamp remains non-canon unless ratified</x:v>
      </x:c>
      <x:c r="M1370" s="15" t="str">
        <x:v>candidate / staging-only / not canon / not deployed / authority none</x:v>
      </x:c>
      <x:c r="N1370" s="15" t="str">
        <x:v>Dispatch to GitShelf: complete Graph Node Proposals x Notion; return deltas only, receipts required.</x:v>
      </x:c>
      <x:c r="O1370" s="15" t="str">
        <x:v>AF-KG-H07-S01</x:v>
      </x:c>
      <x:c r="P1370" s="15" t="str">
        <x:v>Unverified</x:v>
      </x:c>
      <x:c r="Q1370" s="15" t="str">
        <x:v>Not checked</x:v>
      </x:c>
      <x:c r="R1370" s="15" t="str"/>
      <x:c r="S1370" s="15" t="str"/>
      <x:c r="T1370" s="15" t="str">
        <x:v>Log first source path or blocker</x:v>
      </x:c>
      <x:c r="U1370" s="12" t="str">
        <x:f>IF(OR(P1370="Unverified",Q1370="Not checked"),"BLOCKED_PENDING_RECEIPT","READY_FOR_REVIEW")</x:f>
        <x:v>BLOCKED_PENDING_RECEIPT</x:v>
      </x:c>
      <x:c r="V1370" s="12" t="str">
        <x:f>IF(J1370="DONE","RETURNED",IF(U1370="BLOCKED_PENDING_RECEIPT","SOURCE_TOUCH_REQUIRED","IN_PROGRESS"))</x:f>
        <x:v>SOURCE_TOUCH_REQUIRED</x:v>
      </x:c>
      <x:c r="W1370" s="12" t="str">
        <x:f>IF(P1370="Unverified","missing_receipt","receipt_logged")</x:f>
        <x:v>missing_receipt</x:v>
      </x:c>
      <x:c r="X1370" s="12" t="str">
        <x:f>IF(Q1370="Not checked","raw_status_missing","raw_status_logged")</x:f>
        <x:v>raw_status_missing</x:v>
      </x:c>
      <x:c r="Y1370" s="12" t="str">
        <x:f>IF(U1370="BLOCKED_PENDING_RECEIPT","Log source path or blocker; do not promote","Route to review lane")</x:f>
        <x:v>Log source path or blocker; do not promote</x:v>
      </x:c>
      <x:c r="Z1370" s="12" t="str">
        <x:f>IF(K1370="P0","Primary seat + Hashlight/Lucerna","Seat lane")</x:f>
        <x:v>Primary seat + Hashlight/Lucerna</x:v>
      </x:c>
      <x:c r="AA1370" s="12" t="str">
        <x:f>IF(R1370="","no_claim_delta","claim_delta_present")</x:f>
        <x:v>no_claim_delta</x:v>
      </x:c>
      <x:c r="AB1370" s="12" t="str">
        <x:f>IF(S1370="","no_contradiction_delta","contradiction_delta_present")</x:f>
        <x:v>no_contradiction_delta</x:v>
      </x:c>
      <x:c r="AC1370" s="12" t="str">
        <x:f>IF(OR(ISNUMBER(SEARCH("hacker",LOWER(F1370&amp;" "&amp;H1370&amp;" "&amp;I1370&amp;" "&amp;M1370&amp;" "&amp;N1370&amp;" "&amp;T1370))),ISNUMBER(SEARCH("hacking",LOWER(F1370&amp;" "&amp;H1370&amp;" "&amp;I1370&amp;" "&amp;M1370&amp;" "&amp;N1370&amp;" "&amp;T1370))),ISNUMBER(SEARCH("bank",LOWER(F1370&amp;" "&amp;H1370&amp;" "&amp;I1370&amp;" "&amp;M1370&amp;" "&amp;N1370&amp;" "&amp;T1370))),ISNUMBER(SEARCH("banking",LOWER(F1370&amp;" "&amp;H1370&amp;" "&amp;I1370&amp;" "&amp;M1370&amp;" "&amp;N1370&amp;" "&amp;T1370)))),"PRIVATE_QUARANTINE",IF(OR(ISNUMBER(SEARCH("treasury",LOWER(F1370&amp;" "&amp;H1370&amp;" "&amp;I1370&amp;" "&amp;M1370&amp;" "&amp;N1370&amp;" "&amp;T1370))),ISNUMBER(SEARCH("debt",LOWER(F1370&amp;" "&amp;H1370&amp;" "&amp;I1370&amp;" "&amp;M1370&amp;" "&amp;N1370&amp;" "&amp;T1370))),ISNUMBER(SEARCH("bond",LOWER(F1370&amp;" "&amp;H1370&amp;" "&amp;I1370&amp;" "&amp;M1370&amp;" "&amp;N1370&amp;" "&amp;T1370))),ISNUMBER(SEARCH("transaction",LOWER(F1370&amp;" "&amp;H1370&amp;" "&amp;I1370&amp;" "&amp;M1370&amp;" "&amp;N1370&amp;" "&amp;T1370)))),"PRIVATE_REVIEW","PUBLIC_CANDIDATE"))</x:f>
        <x:v>PUBLIC_CANDIDATE</x:v>
      </x:c>
      <x:c r="AD1370" s="12" t="str">
        <x:f>IF(AC1370="PRIVATE_QUARANTINE","hacker_or_bank_trigger",IF(AC1370="PRIVATE_REVIEW","finance_risk_trigger","none"))</x:f>
        <x:v>none</x:v>
      </x:c>
      <x:c r="AE1370" s="12" t="str">
        <x:f>IF(AC1370="PUBLIC_CANDIDATE","prepare_public_github_candidate",IF(AC1370="PRIVATE_REVIEW","hold_for_private_review","quarantine_private_do_not_publish"))</x:f>
        <x:v>prepare_public_github_candidate</x:v>
      </x:c>
      <x:c r="AF1370" s="12" t="str">
        <x:f>IF(AC1370="PUBLIC_CANDIDATE","TIDELOCK + Lucerna",IF(AC1370="PRIVATE_REVIEW","AtlasBrain + Lucerna","TIDELOCK + Lucerna + Human-root"))</x:f>
        <x:v>TIDELOCK + Lucerna</x:v>
      </x:c>
      <x:c r="AG1370" s="12" t="str">
        <x:f>IF(AND(AC1370="PUBLIC_CANDIDATE",U1370&lt;&gt;"BLOCKED_PENDING_RECEIPT"),"READY_AFTER_RECEIPT","NOT_READY")</x:f>
        <x:v>NOT_READY</x:v>
      </x:c>
      <x:c r="AH1370" s="12" t="str">
        <x:f>IF(AC1370="PUBLIC_CANDIDATE","none",AD1370)</x:f>
        <x:v>none</x:v>
      </x:c>
      <x:c r="AI1370" s="12" t="str">
        <x:f>IF(AC1370="PUBLIC_CANDIDATE","archive/public_candidates/"&amp;A1370,"private_quarantine/"&amp;A1370)</x:f>
        <x:v>archive/public_candidates/SWARM-10-H07-S01</x:v>
      </x:c>
      <x:c r="AJ1370" s="12" t="str">
        <x:f>IF(AC1370="PUBLIC_CANDIDATE","public by default; still not canon","private/hold; do not publish")</x:f>
        <x:v>public by default; still not canon</x:v>
      </x:c>
      <x:c r="AK1370" s="12" t="str">
        <x:f>IF(AE1370="prepare_public_github_candidate","add receipt/status then mirror","resolve blocker before any public GitHub action")</x:f>
        <x:v>add receipt/status then mirror</x:v>
      </x:c>
    </x:row>
    <x:row r="1371">
      <x:c r="A1371" s="15" t="str">
        <x:v>SWARM-10-H07-S02</x:v>
      </x:c>
      <x:c r="B1371" s="15" t="str">
        <x:v>GitShelf</x:v>
      </x:c>
      <x:c r="C1371" s="15" t="str">
        <x:v>GitHub shelf builder</x:v>
      </x:c>
      <x:c r="D1371" s="15" t="str">
        <x:v>Graph Node Proposals</x:v>
      </x:c>
      <x:c r="E1371" s="15" t="str">
        <x:v>Drive</x:v>
      </x:c>
      <x:c r="F1371" s="15" t="str">
        <x:v>Propose graph nodes for Drive — GitShelf</x:v>
      </x:c>
      <x:c r="G1371" s="15" t="str">
        <x:v>repo packet / manifest / issue template prep</x:v>
      </x:c>
      <x:c r="H1371" s="15" t="str">
        <x:v>source path + receipt + raw/export status + claim/edge/risk delta</x:v>
      </x:c>
      <x:c r="I1371" s="15" t="str">
        <x:v>packet/SWARM-10-H07-S02</x:v>
      </x:c>
      <x:c r="J1371" s="15" t="str">
        <x:v>TODO</x:v>
      </x:c>
      <x:c r="K1371" s="15" t="str">
        <x:v>P0</x:v>
      </x:c>
      <x:c r="L1371" s="15" t="str">
        <x:v>Done only when evidence is logged, contradiction search is noted, and boundary stamp remains non-canon unless ratified</x:v>
      </x:c>
      <x:c r="M1371" s="15" t="str">
        <x:v>candidate / staging-only / not canon / not deployed / authority none</x:v>
      </x:c>
      <x:c r="N1371" s="15" t="str">
        <x:v>Dispatch to GitShelf: complete Graph Node Proposals x Drive; return deltas only, receipts required.</x:v>
      </x:c>
      <x:c r="O1371" s="15" t="str">
        <x:v>AF-KG-H07-S02</x:v>
      </x:c>
      <x:c r="P1371" s="15" t="str">
        <x:v>Unverified</x:v>
      </x:c>
      <x:c r="Q1371" s="15" t="str">
        <x:v>Not checked</x:v>
      </x:c>
      <x:c r="R1371" s="15" t="str"/>
      <x:c r="S1371" s="15" t="str"/>
      <x:c r="T1371" s="15" t="str">
        <x:v>Log first source path or blocker</x:v>
      </x:c>
      <x:c r="U1371" s="12" t="str">
        <x:f>IF(OR(P1371="Unverified",Q1371="Not checked"),"BLOCKED_PENDING_RECEIPT","READY_FOR_REVIEW")</x:f>
        <x:v>BLOCKED_PENDING_RECEIPT</x:v>
      </x:c>
      <x:c r="V1371" s="12" t="str">
        <x:f>IF(J1371="DONE","RETURNED",IF(U1371="BLOCKED_PENDING_RECEIPT","SOURCE_TOUCH_REQUIRED","IN_PROGRESS"))</x:f>
        <x:v>SOURCE_TOUCH_REQUIRED</x:v>
      </x:c>
      <x:c r="W1371" s="12" t="str">
        <x:f>IF(P1371="Unverified","missing_receipt","receipt_logged")</x:f>
        <x:v>missing_receipt</x:v>
      </x:c>
      <x:c r="X1371" s="12" t="str">
        <x:f>IF(Q1371="Not checked","raw_status_missing","raw_status_logged")</x:f>
        <x:v>raw_status_missing</x:v>
      </x:c>
      <x:c r="Y1371" s="12" t="str">
        <x:f>IF(U1371="BLOCKED_PENDING_RECEIPT","Log source path or blocker; do not promote","Route to review lane")</x:f>
        <x:v>Log source path or blocker; do not promote</x:v>
      </x:c>
      <x:c r="Z1371" s="12" t="str">
        <x:f>IF(K1371="P0","Primary seat + Hashlight/Lucerna","Seat lane")</x:f>
        <x:v>Primary seat + Hashlight/Lucerna</x:v>
      </x:c>
      <x:c r="AA1371" s="12" t="str">
        <x:f>IF(R1371="","no_claim_delta","claim_delta_present")</x:f>
        <x:v>no_claim_delta</x:v>
      </x:c>
      <x:c r="AB1371" s="12" t="str">
        <x:f>IF(S1371="","no_contradiction_delta","contradiction_delta_present")</x:f>
        <x:v>no_contradiction_delta</x:v>
      </x:c>
      <x:c r="AC1371" s="12" t="str">
        <x:f>IF(OR(ISNUMBER(SEARCH("hacker",LOWER(F1371&amp;" "&amp;H1371&amp;" "&amp;I1371&amp;" "&amp;M1371&amp;" "&amp;N1371&amp;" "&amp;T1371))),ISNUMBER(SEARCH("hacking",LOWER(F1371&amp;" "&amp;H1371&amp;" "&amp;I1371&amp;" "&amp;M1371&amp;" "&amp;N1371&amp;" "&amp;T1371))),ISNUMBER(SEARCH("bank",LOWER(F1371&amp;" "&amp;H1371&amp;" "&amp;I1371&amp;" "&amp;M1371&amp;" "&amp;N1371&amp;" "&amp;T1371))),ISNUMBER(SEARCH("banking",LOWER(F1371&amp;" "&amp;H1371&amp;" "&amp;I1371&amp;" "&amp;M1371&amp;" "&amp;N1371&amp;" "&amp;T1371)))),"PRIVATE_QUARANTINE",IF(OR(ISNUMBER(SEARCH("treasury",LOWER(F1371&amp;" "&amp;H1371&amp;" "&amp;I1371&amp;" "&amp;M1371&amp;" "&amp;N1371&amp;" "&amp;T1371))),ISNUMBER(SEARCH("debt",LOWER(F1371&amp;" "&amp;H1371&amp;" "&amp;I1371&amp;" "&amp;M1371&amp;" "&amp;N1371&amp;" "&amp;T1371))),ISNUMBER(SEARCH("bond",LOWER(F1371&amp;" "&amp;H1371&amp;" "&amp;I1371&amp;" "&amp;M1371&amp;" "&amp;N1371&amp;" "&amp;T1371))),ISNUMBER(SEARCH("transaction",LOWER(F1371&amp;" "&amp;H1371&amp;" "&amp;I1371&amp;" "&amp;M1371&amp;" "&amp;N1371&amp;" "&amp;T1371)))),"PRIVATE_REVIEW","PUBLIC_CANDIDATE"))</x:f>
        <x:v>PUBLIC_CANDIDATE</x:v>
      </x:c>
      <x:c r="AD1371" s="12" t="str">
        <x:f>IF(AC1371="PRIVATE_QUARANTINE","hacker_or_bank_trigger",IF(AC1371="PRIVATE_REVIEW","finance_risk_trigger","none"))</x:f>
        <x:v>none</x:v>
      </x:c>
      <x:c r="AE1371" s="12" t="str">
        <x:f>IF(AC1371="PUBLIC_CANDIDATE","prepare_public_github_candidate",IF(AC1371="PRIVATE_REVIEW","hold_for_private_review","quarantine_private_do_not_publish"))</x:f>
        <x:v>prepare_public_github_candidate</x:v>
      </x:c>
      <x:c r="AF1371" s="12" t="str">
        <x:f>IF(AC1371="PUBLIC_CANDIDATE","TIDELOCK + Lucerna",IF(AC1371="PRIVATE_REVIEW","AtlasBrain + Lucerna","TIDELOCK + Lucerna + Human-root"))</x:f>
        <x:v>TIDELOCK + Lucerna</x:v>
      </x:c>
      <x:c r="AG1371" s="12" t="str">
        <x:f>IF(AND(AC1371="PUBLIC_CANDIDATE",U1371&lt;&gt;"BLOCKED_PENDING_RECEIPT"),"READY_AFTER_RECEIPT","NOT_READY")</x:f>
        <x:v>NOT_READY</x:v>
      </x:c>
      <x:c r="AH1371" s="12" t="str">
        <x:f>IF(AC1371="PUBLIC_CANDIDATE","none",AD1371)</x:f>
        <x:v>none</x:v>
      </x:c>
      <x:c r="AI1371" s="12" t="str">
        <x:f>IF(AC1371="PUBLIC_CANDIDATE","archive/public_candidates/"&amp;A1371,"private_quarantine/"&amp;A1371)</x:f>
        <x:v>archive/public_candidates/SWARM-10-H07-S02</x:v>
      </x:c>
      <x:c r="AJ1371" s="12" t="str">
        <x:f>IF(AC1371="PUBLIC_CANDIDATE","public by default; still not canon","private/hold; do not publish")</x:f>
        <x:v>public by default; still not canon</x:v>
      </x:c>
      <x:c r="AK1371" s="12" t="str">
        <x:f>IF(AE1371="prepare_public_github_candidate","add receipt/status then mirror","resolve blocker before any public GitHub action")</x:f>
        <x:v>add receipt/status then mirror</x:v>
      </x:c>
    </x:row>
    <x:row r="1372">
      <x:c r="A1372" s="15" t="str">
        <x:v>SWARM-10-H07-S03</x:v>
      </x:c>
      <x:c r="B1372" s="15" t="str">
        <x:v>GitShelf</x:v>
      </x:c>
      <x:c r="C1372" s="15" t="str">
        <x:v>GitHub shelf builder</x:v>
      </x:c>
      <x:c r="D1372" s="15" t="str">
        <x:v>Graph Node Proposals</x:v>
      </x:c>
      <x:c r="E1372" s="15" t="str">
        <x:v>GitHub</x:v>
      </x:c>
      <x:c r="F1372" s="15" t="str">
        <x:v>Propose graph nodes for GitHub — GitShelf</x:v>
      </x:c>
      <x:c r="G1372" s="15" t="str">
        <x:v>repo packet / manifest / issue template prep</x:v>
      </x:c>
      <x:c r="H1372" s="15" t="str">
        <x:v>source path + receipt + raw/export status + claim/edge/risk delta</x:v>
      </x:c>
      <x:c r="I1372" s="15" t="str">
        <x:v>packet/SWARM-10-H07-S03</x:v>
      </x:c>
      <x:c r="J1372" s="15" t="str">
        <x:v>TODO</x:v>
      </x:c>
      <x:c r="K1372" s="15" t="str">
        <x:v>P0</x:v>
      </x:c>
      <x:c r="L1372" s="15" t="str">
        <x:v>Done only when evidence is logged, contradiction search is noted, and boundary stamp remains non-canon unless ratified</x:v>
      </x:c>
      <x:c r="M1372" s="15" t="str">
        <x:v>candidate / staging-only / not canon / not deployed / authority none</x:v>
      </x:c>
      <x:c r="N1372" s="15" t="str">
        <x:v>Dispatch to GitShelf: complete Graph Node Proposals x GitHub; return deltas only, receipts required.</x:v>
      </x:c>
      <x:c r="O1372" s="15" t="str">
        <x:v>AF-KG-H07-S03</x:v>
      </x:c>
      <x:c r="P1372" s="15" t="str">
        <x:v>Unverified</x:v>
      </x:c>
      <x:c r="Q1372" s="15" t="str">
        <x:v>Not checked</x:v>
      </x:c>
      <x:c r="R1372" s="15" t="str"/>
      <x:c r="S1372" s="15" t="str"/>
      <x:c r="T1372" s="15" t="str">
        <x:v>Log first source path or blocker</x:v>
      </x:c>
      <x:c r="U1372" s="12" t="str">
        <x:f>IF(OR(P1372="Unverified",Q1372="Not checked"),"BLOCKED_PENDING_RECEIPT","READY_FOR_REVIEW")</x:f>
        <x:v>BLOCKED_PENDING_RECEIPT</x:v>
      </x:c>
      <x:c r="V1372" s="12" t="str">
        <x:f>IF(J1372="DONE","RETURNED",IF(U1372="BLOCKED_PENDING_RECEIPT","SOURCE_TOUCH_REQUIRED","IN_PROGRESS"))</x:f>
        <x:v>SOURCE_TOUCH_REQUIRED</x:v>
      </x:c>
      <x:c r="W1372" s="12" t="str">
        <x:f>IF(P1372="Unverified","missing_receipt","receipt_logged")</x:f>
        <x:v>missing_receipt</x:v>
      </x:c>
      <x:c r="X1372" s="12" t="str">
        <x:f>IF(Q1372="Not checked","raw_status_missing","raw_status_logged")</x:f>
        <x:v>raw_status_missing</x:v>
      </x:c>
      <x:c r="Y1372" s="12" t="str">
        <x:f>IF(U1372="BLOCKED_PENDING_RECEIPT","Log source path or blocker; do not promote","Route to review lane")</x:f>
        <x:v>Log source path or blocker; do not promote</x:v>
      </x:c>
      <x:c r="Z1372" s="12" t="str">
        <x:f>IF(K1372="P0","Primary seat + Hashlight/Lucerna","Seat lane")</x:f>
        <x:v>Primary seat + Hashlight/Lucerna</x:v>
      </x:c>
      <x:c r="AA1372" s="12" t="str">
        <x:f>IF(R1372="","no_claim_delta","claim_delta_present")</x:f>
        <x:v>no_claim_delta</x:v>
      </x:c>
      <x:c r="AB1372" s="12" t="str">
        <x:f>IF(S1372="","no_contradiction_delta","contradiction_delta_present")</x:f>
        <x:v>no_contradiction_delta</x:v>
      </x:c>
      <x:c r="AC1372" s="12" t="str">
        <x:f>IF(OR(ISNUMBER(SEARCH("hacker",LOWER(F1372&amp;" "&amp;H1372&amp;" "&amp;I1372&amp;" "&amp;M1372&amp;" "&amp;N1372&amp;" "&amp;T1372))),ISNUMBER(SEARCH("hacking",LOWER(F1372&amp;" "&amp;H1372&amp;" "&amp;I1372&amp;" "&amp;M1372&amp;" "&amp;N1372&amp;" "&amp;T1372))),ISNUMBER(SEARCH("bank",LOWER(F1372&amp;" "&amp;H1372&amp;" "&amp;I1372&amp;" "&amp;M1372&amp;" "&amp;N1372&amp;" "&amp;T1372))),ISNUMBER(SEARCH("banking",LOWER(F1372&amp;" "&amp;H1372&amp;" "&amp;I1372&amp;" "&amp;M1372&amp;" "&amp;N1372&amp;" "&amp;T1372)))),"PRIVATE_QUARANTINE",IF(OR(ISNUMBER(SEARCH("treasury",LOWER(F1372&amp;" "&amp;H1372&amp;" "&amp;I1372&amp;" "&amp;M1372&amp;" "&amp;N1372&amp;" "&amp;T1372))),ISNUMBER(SEARCH("debt",LOWER(F1372&amp;" "&amp;H1372&amp;" "&amp;I1372&amp;" "&amp;M1372&amp;" "&amp;N1372&amp;" "&amp;T1372))),ISNUMBER(SEARCH("bond",LOWER(F1372&amp;" "&amp;H1372&amp;" "&amp;I1372&amp;" "&amp;M1372&amp;" "&amp;N1372&amp;" "&amp;T1372))),ISNUMBER(SEARCH("transaction",LOWER(F1372&amp;" "&amp;H1372&amp;" "&amp;I1372&amp;" "&amp;M1372&amp;" "&amp;N1372&amp;" "&amp;T1372)))),"PRIVATE_REVIEW","PUBLIC_CANDIDATE"))</x:f>
        <x:v>PUBLIC_CANDIDATE</x:v>
      </x:c>
      <x:c r="AD1372" s="12" t="str">
        <x:f>IF(AC1372="PRIVATE_QUARANTINE","hacker_or_bank_trigger",IF(AC1372="PRIVATE_REVIEW","finance_risk_trigger","none"))</x:f>
        <x:v>none</x:v>
      </x:c>
      <x:c r="AE1372" s="12" t="str">
        <x:f>IF(AC1372="PUBLIC_CANDIDATE","prepare_public_github_candidate",IF(AC1372="PRIVATE_REVIEW","hold_for_private_review","quarantine_private_do_not_publish"))</x:f>
        <x:v>prepare_public_github_candidate</x:v>
      </x:c>
      <x:c r="AF1372" s="12" t="str">
        <x:f>IF(AC1372="PUBLIC_CANDIDATE","TIDELOCK + Lucerna",IF(AC1372="PRIVATE_REVIEW","AtlasBrain + Lucerna","TIDELOCK + Lucerna + Human-root"))</x:f>
        <x:v>TIDELOCK + Lucerna</x:v>
      </x:c>
      <x:c r="AG1372" s="12" t="str">
        <x:f>IF(AND(AC1372="PUBLIC_CANDIDATE",U1372&lt;&gt;"BLOCKED_PENDING_RECEIPT"),"READY_AFTER_RECEIPT","NOT_READY")</x:f>
        <x:v>NOT_READY</x:v>
      </x:c>
      <x:c r="AH1372" s="12" t="str">
        <x:f>IF(AC1372="PUBLIC_CANDIDATE","none",AD1372)</x:f>
        <x:v>none</x:v>
      </x:c>
      <x:c r="AI1372" s="12" t="str">
        <x:f>IF(AC1372="PUBLIC_CANDIDATE","archive/public_candidates/"&amp;A1372,"private_quarantine/"&amp;A1372)</x:f>
        <x:v>archive/public_candidates/SWARM-10-H07-S03</x:v>
      </x:c>
      <x:c r="AJ1372" s="12" t="str">
        <x:f>IF(AC1372="PUBLIC_CANDIDATE","public by default; still not canon","private/hold; do not publish")</x:f>
        <x:v>public by default; still not canon</x:v>
      </x:c>
      <x:c r="AK1372" s="12" t="str">
        <x:f>IF(AE1372="prepare_public_github_candidate","add receipt/status then mirror","resolve blocker before any public GitHub action")</x:f>
        <x:v>add receipt/status then mirror</x:v>
      </x:c>
    </x:row>
    <x:row r="1373">
      <x:c r="A1373" s="15" t="str">
        <x:v>SWARM-10-H07-S04</x:v>
      </x:c>
      <x:c r="B1373" s="15" t="str">
        <x:v>GitShelf</x:v>
      </x:c>
      <x:c r="C1373" s="15" t="str">
        <x:v>GitHub shelf builder</x:v>
      </x:c>
      <x:c r="D1373" s="15" t="str">
        <x:v>Graph Node Proposals</x:v>
      </x:c>
      <x:c r="E1373" s="15" t="str">
        <x:v>Gamma</x:v>
      </x:c>
      <x:c r="F1373" s="15" t="str">
        <x:v>Propose graph nodes for Gamma — GitShelf</x:v>
      </x:c>
      <x:c r="G1373" s="15" t="str">
        <x:v>repo packet / manifest / issue template prep</x:v>
      </x:c>
      <x:c r="H1373" s="15" t="str">
        <x:v>source path + receipt + raw/export status + claim/edge/risk delta</x:v>
      </x:c>
      <x:c r="I1373" s="15" t="str">
        <x:v>packet/SWARM-10-H07-S04</x:v>
      </x:c>
      <x:c r="J1373" s="15" t="str">
        <x:v>TODO</x:v>
      </x:c>
      <x:c r="K1373" s="15" t="str">
        <x:v>P1</x:v>
      </x:c>
      <x:c r="L1373" s="15" t="str">
        <x:v>Done only when evidence is logged, contradiction search is noted, and boundary stamp remains non-canon unless ratified</x:v>
      </x:c>
      <x:c r="M1373" s="15" t="str">
        <x:v>candidate / staging-only / not canon / not deployed / authority none</x:v>
      </x:c>
      <x:c r="N1373" s="15" t="str">
        <x:v>Dispatch to GitShelf: complete Graph Node Proposals x Gamma; return deltas only, receipts required.</x:v>
      </x:c>
      <x:c r="O1373" s="15" t="str">
        <x:v>AF-KG-H07-S04</x:v>
      </x:c>
      <x:c r="P1373" s="15" t="str">
        <x:v>Unverified</x:v>
      </x:c>
      <x:c r="Q1373" s="15" t="str">
        <x:v>Not checked</x:v>
      </x:c>
      <x:c r="R1373" s="15" t="str"/>
      <x:c r="S1373" s="15" t="str"/>
      <x:c r="T1373" s="15" t="str">
        <x:v>Log first source path or blocker</x:v>
      </x:c>
      <x:c r="U1373" s="12" t="str">
        <x:f>IF(OR(P1373="Unverified",Q1373="Not checked"),"BLOCKED_PENDING_RECEIPT","READY_FOR_REVIEW")</x:f>
        <x:v>BLOCKED_PENDING_RECEIPT</x:v>
      </x:c>
      <x:c r="V1373" s="12" t="str">
        <x:f>IF(J1373="DONE","RETURNED",IF(U1373="BLOCKED_PENDING_RECEIPT","SOURCE_TOUCH_REQUIRED","IN_PROGRESS"))</x:f>
        <x:v>SOURCE_TOUCH_REQUIRED</x:v>
      </x:c>
      <x:c r="W1373" s="12" t="str">
        <x:f>IF(P1373="Unverified","missing_receipt","receipt_logged")</x:f>
        <x:v>missing_receipt</x:v>
      </x:c>
      <x:c r="X1373" s="12" t="str">
        <x:f>IF(Q1373="Not checked","raw_status_missing","raw_status_logged")</x:f>
        <x:v>raw_status_missing</x:v>
      </x:c>
      <x:c r="Y1373" s="12" t="str">
        <x:f>IF(U1373="BLOCKED_PENDING_RECEIPT","Log source path or blocker; do not promote","Route to review lane")</x:f>
        <x:v>Log source path or blocker; do not promote</x:v>
      </x:c>
      <x:c r="Z1373" s="12" t="str">
        <x:f>IF(K1373="P0","Primary seat + Hashlight/Lucerna","Seat lane")</x:f>
        <x:v>Seat lane</x:v>
      </x:c>
      <x:c r="AA1373" s="12" t="str">
        <x:f>IF(R1373="","no_claim_delta","claim_delta_present")</x:f>
        <x:v>no_claim_delta</x:v>
      </x:c>
      <x:c r="AB1373" s="12" t="str">
        <x:f>IF(S1373="","no_contradiction_delta","contradiction_delta_present")</x:f>
        <x:v>no_contradiction_delta</x:v>
      </x:c>
      <x:c r="AC1373" s="12" t="str">
        <x:f>IF(OR(ISNUMBER(SEARCH("hacker",LOWER(F1373&amp;" "&amp;H1373&amp;" "&amp;I1373&amp;" "&amp;M1373&amp;" "&amp;N1373&amp;" "&amp;T1373))),ISNUMBER(SEARCH("hacking",LOWER(F1373&amp;" "&amp;H1373&amp;" "&amp;I1373&amp;" "&amp;M1373&amp;" "&amp;N1373&amp;" "&amp;T1373))),ISNUMBER(SEARCH("bank",LOWER(F1373&amp;" "&amp;H1373&amp;" "&amp;I1373&amp;" "&amp;M1373&amp;" "&amp;N1373&amp;" "&amp;T1373))),ISNUMBER(SEARCH("banking",LOWER(F1373&amp;" "&amp;H1373&amp;" "&amp;I1373&amp;" "&amp;M1373&amp;" "&amp;N1373&amp;" "&amp;T1373)))),"PRIVATE_QUARANTINE",IF(OR(ISNUMBER(SEARCH("treasury",LOWER(F1373&amp;" "&amp;H1373&amp;" "&amp;I1373&amp;" "&amp;M1373&amp;" "&amp;N1373&amp;" "&amp;T1373))),ISNUMBER(SEARCH("debt",LOWER(F1373&amp;" "&amp;H1373&amp;" "&amp;I1373&amp;" "&amp;M1373&amp;" "&amp;N1373&amp;" "&amp;T1373))),ISNUMBER(SEARCH("bond",LOWER(F1373&amp;" "&amp;H1373&amp;" "&amp;I1373&amp;" "&amp;M1373&amp;" "&amp;N1373&amp;" "&amp;T1373))),ISNUMBER(SEARCH("transaction",LOWER(F1373&amp;" "&amp;H1373&amp;" "&amp;I1373&amp;" "&amp;M1373&amp;" "&amp;N1373&amp;" "&amp;T1373)))),"PRIVATE_REVIEW","PUBLIC_CANDIDATE"))</x:f>
        <x:v>PUBLIC_CANDIDATE</x:v>
      </x:c>
      <x:c r="AD1373" s="12" t="str">
        <x:f>IF(AC1373="PRIVATE_QUARANTINE","hacker_or_bank_trigger",IF(AC1373="PRIVATE_REVIEW","finance_risk_trigger","none"))</x:f>
        <x:v>none</x:v>
      </x:c>
      <x:c r="AE1373" s="12" t="str">
        <x:f>IF(AC1373="PUBLIC_CANDIDATE","prepare_public_github_candidate",IF(AC1373="PRIVATE_REVIEW","hold_for_private_review","quarantine_private_do_not_publish"))</x:f>
        <x:v>prepare_public_github_candidate</x:v>
      </x:c>
      <x:c r="AF1373" s="12" t="str">
        <x:f>IF(AC1373="PUBLIC_CANDIDATE","TIDELOCK + Lucerna",IF(AC1373="PRIVATE_REVIEW","AtlasBrain + Lucerna","TIDELOCK + Lucerna + Human-root"))</x:f>
        <x:v>TIDELOCK + Lucerna</x:v>
      </x:c>
      <x:c r="AG1373" s="12" t="str">
        <x:f>IF(AND(AC1373="PUBLIC_CANDIDATE",U1373&lt;&gt;"BLOCKED_PENDING_RECEIPT"),"READY_AFTER_RECEIPT","NOT_READY")</x:f>
        <x:v>NOT_READY</x:v>
      </x:c>
      <x:c r="AH1373" s="12" t="str">
        <x:f>IF(AC1373="PUBLIC_CANDIDATE","none",AD1373)</x:f>
        <x:v>none</x:v>
      </x:c>
      <x:c r="AI1373" s="12" t="str">
        <x:f>IF(AC1373="PUBLIC_CANDIDATE","archive/public_candidates/"&amp;A1373,"private_quarantine/"&amp;A1373)</x:f>
        <x:v>archive/public_candidates/SWARM-10-H07-S04</x:v>
      </x:c>
      <x:c r="AJ1373" s="12" t="str">
        <x:f>IF(AC1373="PUBLIC_CANDIDATE","public by default; still not canon","private/hold; do not publish")</x:f>
        <x:v>public by default; still not canon</x:v>
      </x:c>
      <x:c r="AK1373" s="12" t="str">
        <x:f>IF(AE1373="prepare_public_github_candidate","add receipt/status then mirror","resolve blocker before any public GitHub action")</x:f>
        <x:v>add receipt/status then mirror</x:v>
      </x:c>
    </x:row>
    <x:row r="1374">
      <x:c r="A1374" s="15" t="str">
        <x:v>SWARM-10-H07-S05</x:v>
      </x:c>
      <x:c r="B1374" s="15" t="str">
        <x:v>GitShelf</x:v>
      </x:c>
      <x:c r="C1374" s="15" t="str">
        <x:v>GitHub shelf builder</x:v>
      </x:c>
      <x:c r="D1374" s="15" t="str">
        <x:v>Graph Node Proposals</x:v>
      </x:c>
      <x:c r="E1374" s="15" t="str">
        <x:v>Chat</x:v>
      </x:c>
      <x:c r="F1374" s="15" t="str">
        <x:v>Propose graph nodes for Chat — GitShelf</x:v>
      </x:c>
      <x:c r="G1374" s="15" t="str">
        <x:v>repo packet / manifest / issue template prep</x:v>
      </x:c>
      <x:c r="H1374" s="15" t="str">
        <x:v>source path + receipt + raw/export status + claim/edge/risk delta</x:v>
      </x:c>
      <x:c r="I1374" s="15" t="str">
        <x:v>packet/SWARM-10-H07-S05</x:v>
      </x:c>
      <x:c r="J1374" s="15" t="str">
        <x:v>TODO</x:v>
      </x:c>
      <x:c r="K1374" s="15" t="str">
        <x:v>P1</x:v>
      </x:c>
      <x:c r="L1374" s="15" t="str">
        <x:v>Done only when evidence is logged, contradiction search is noted, and boundary stamp remains non-canon unless ratified</x:v>
      </x:c>
      <x:c r="M1374" s="15" t="str">
        <x:v>candidate / staging-only / not canon / not deployed / authority none</x:v>
      </x:c>
      <x:c r="N1374" s="15" t="str">
        <x:v>Dispatch to GitShelf: complete Graph Node Proposals x Chat; return deltas only, receipts required.</x:v>
      </x:c>
      <x:c r="O1374" s="15" t="str">
        <x:v>AF-KG-H07-S05</x:v>
      </x:c>
      <x:c r="P1374" s="15" t="str">
        <x:v>Unverified</x:v>
      </x:c>
      <x:c r="Q1374" s="15" t="str">
        <x:v>Not checked</x:v>
      </x:c>
      <x:c r="R1374" s="15" t="str"/>
      <x:c r="S1374" s="15" t="str"/>
      <x:c r="T1374" s="15" t="str">
        <x:v>Log first source path or blocker</x:v>
      </x:c>
      <x:c r="U1374" s="12" t="str">
        <x:f>IF(OR(P1374="Unverified",Q1374="Not checked"),"BLOCKED_PENDING_RECEIPT","READY_FOR_REVIEW")</x:f>
        <x:v>BLOCKED_PENDING_RECEIPT</x:v>
      </x:c>
      <x:c r="V1374" s="12" t="str">
        <x:f>IF(J1374="DONE","RETURNED",IF(U1374="BLOCKED_PENDING_RECEIPT","SOURCE_TOUCH_REQUIRED","IN_PROGRESS"))</x:f>
        <x:v>SOURCE_TOUCH_REQUIRED</x:v>
      </x:c>
      <x:c r="W1374" s="12" t="str">
        <x:f>IF(P1374="Unverified","missing_receipt","receipt_logged")</x:f>
        <x:v>missing_receipt</x:v>
      </x:c>
      <x:c r="X1374" s="12" t="str">
        <x:f>IF(Q1374="Not checked","raw_status_missing","raw_status_logged")</x:f>
        <x:v>raw_status_missing</x:v>
      </x:c>
      <x:c r="Y1374" s="12" t="str">
        <x:f>IF(U1374="BLOCKED_PENDING_RECEIPT","Log source path or blocker; do not promote","Route to review lane")</x:f>
        <x:v>Log source path or blocker; do not promote</x:v>
      </x:c>
      <x:c r="Z1374" s="12" t="str">
        <x:f>IF(K1374="P0","Primary seat + Hashlight/Lucerna","Seat lane")</x:f>
        <x:v>Seat lane</x:v>
      </x:c>
      <x:c r="AA1374" s="12" t="str">
        <x:f>IF(R1374="","no_claim_delta","claim_delta_present")</x:f>
        <x:v>no_claim_delta</x:v>
      </x:c>
      <x:c r="AB1374" s="12" t="str">
        <x:f>IF(S1374="","no_contradiction_delta","contradiction_delta_present")</x:f>
        <x:v>no_contradiction_delta</x:v>
      </x:c>
      <x:c r="AC1374" s="12" t="str">
        <x:f>IF(OR(ISNUMBER(SEARCH("hacker",LOWER(F1374&amp;" "&amp;H1374&amp;" "&amp;I1374&amp;" "&amp;M1374&amp;" "&amp;N1374&amp;" "&amp;T1374))),ISNUMBER(SEARCH("hacking",LOWER(F1374&amp;" "&amp;H1374&amp;" "&amp;I1374&amp;" "&amp;M1374&amp;" "&amp;N1374&amp;" "&amp;T1374))),ISNUMBER(SEARCH("bank",LOWER(F1374&amp;" "&amp;H1374&amp;" "&amp;I1374&amp;" "&amp;M1374&amp;" "&amp;N1374&amp;" "&amp;T1374))),ISNUMBER(SEARCH("banking",LOWER(F1374&amp;" "&amp;H1374&amp;" "&amp;I1374&amp;" "&amp;M1374&amp;" "&amp;N1374&amp;" "&amp;T1374)))),"PRIVATE_QUARANTINE",IF(OR(ISNUMBER(SEARCH("treasury",LOWER(F1374&amp;" "&amp;H1374&amp;" "&amp;I1374&amp;" "&amp;M1374&amp;" "&amp;N1374&amp;" "&amp;T1374))),ISNUMBER(SEARCH("debt",LOWER(F1374&amp;" "&amp;H1374&amp;" "&amp;I1374&amp;" "&amp;M1374&amp;" "&amp;N1374&amp;" "&amp;T1374))),ISNUMBER(SEARCH("bond",LOWER(F1374&amp;" "&amp;H1374&amp;" "&amp;I1374&amp;" "&amp;M1374&amp;" "&amp;N1374&amp;" "&amp;T1374))),ISNUMBER(SEARCH("transaction",LOWER(F1374&amp;" "&amp;H1374&amp;" "&amp;I1374&amp;" "&amp;M1374&amp;" "&amp;N1374&amp;" "&amp;T1374)))),"PRIVATE_REVIEW","PUBLIC_CANDIDATE"))</x:f>
        <x:v>PUBLIC_CANDIDATE</x:v>
      </x:c>
      <x:c r="AD1374" s="12" t="str">
        <x:f>IF(AC1374="PRIVATE_QUARANTINE","hacker_or_bank_trigger",IF(AC1374="PRIVATE_REVIEW","finance_risk_trigger","none"))</x:f>
        <x:v>none</x:v>
      </x:c>
      <x:c r="AE1374" s="12" t="str">
        <x:f>IF(AC1374="PUBLIC_CANDIDATE","prepare_public_github_candidate",IF(AC1374="PRIVATE_REVIEW","hold_for_private_review","quarantine_private_do_not_publish"))</x:f>
        <x:v>prepare_public_github_candidate</x:v>
      </x:c>
      <x:c r="AF1374" s="12" t="str">
        <x:f>IF(AC1374="PUBLIC_CANDIDATE","TIDELOCK + Lucerna",IF(AC1374="PRIVATE_REVIEW","AtlasBrain + Lucerna","TIDELOCK + Lucerna + Human-root"))</x:f>
        <x:v>TIDELOCK + Lucerna</x:v>
      </x:c>
      <x:c r="AG1374" s="12" t="str">
        <x:f>IF(AND(AC1374="PUBLIC_CANDIDATE",U1374&lt;&gt;"BLOCKED_PENDING_RECEIPT"),"READY_AFTER_RECEIPT","NOT_READY")</x:f>
        <x:v>NOT_READY</x:v>
      </x:c>
      <x:c r="AH1374" s="12" t="str">
        <x:f>IF(AC1374="PUBLIC_CANDIDATE","none",AD1374)</x:f>
        <x:v>none</x:v>
      </x:c>
      <x:c r="AI1374" s="12" t="str">
        <x:f>IF(AC1374="PUBLIC_CANDIDATE","archive/public_candidates/"&amp;A1374,"private_quarantine/"&amp;A1374)</x:f>
        <x:v>archive/public_candidates/SWARM-10-H07-S05</x:v>
      </x:c>
      <x:c r="AJ1374" s="12" t="str">
        <x:f>IF(AC1374="PUBLIC_CANDIDATE","public by default; still not canon","private/hold; do not publish")</x:f>
        <x:v>public by default; still not canon</x:v>
      </x:c>
      <x:c r="AK1374" s="12" t="str">
        <x:f>IF(AE1374="prepare_public_github_candidate","add receipt/status then mirror","resolve blocker before any public GitHub action")</x:f>
        <x:v>add receipt/status then mirror</x:v>
      </x:c>
    </x:row>
    <x:row r="1375">
      <x:c r="A1375" s="15" t="str">
        <x:v>SWARM-10-H07-S06</x:v>
      </x:c>
      <x:c r="B1375" s="15" t="str">
        <x:v>GitShelf</x:v>
      </x:c>
      <x:c r="C1375" s="15" t="str">
        <x:v>GitHub shelf builder</x:v>
      </x:c>
      <x:c r="D1375" s="15" t="str">
        <x:v>Graph Node Proposals</x:v>
      </x:c>
      <x:c r="E1375" s="15" t="str">
        <x:v>External Web</x:v>
      </x:c>
      <x:c r="F1375" s="15" t="str">
        <x:v>Propose graph nodes for External Web — GitShelf</x:v>
      </x:c>
      <x:c r="G1375" s="15" t="str">
        <x:v>repo packet / manifest / issue template prep</x:v>
      </x:c>
      <x:c r="H1375" s="15" t="str">
        <x:v>source path + receipt + raw/export status + claim/edge/risk delta</x:v>
      </x:c>
      <x:c r="I1375" s="15" t="str">
        <x:v>packet/SWARM-10-H07-S06</x:v>
      </x:c>
      <x:c r="J1375" s="15" t="str">
        <x:v>TODO</x:v>
      </x:c>
      <x:c r="K1375" s="15" t="str">
        <x:v>P1</x:v>
      </x:c>
      <x:c r="L1375" s="15" t="str">
        <x:v>Done only when evidence is logged, contradiction search is noted, and boundary stamp remains non-canon unless ratified</x:v>
      </x:c>
      <x:c r="M1375" s="15" t="str">
        <x:v>candidate / staging-only / not canon / not deployed / authority none</x:v>
      </x:c>
      <x:c r="N1375" s="15" t="str">
        <x:v>Dispatch to GitShelf: complete Graph Node Proposals x External Web; return deltas only, receipts required.</x:v>
      </x:c>
      <x:c r="O1375" s="15" t="str">
        <x:v>AF-KG-H07-S06</x:v>
      </x:c>
      <x:c r="P1375" s="15" t="str">
        <x:v>Unverified</x:v>
      </x:c>
      <x:c r="Q1375" s="15" t="str">
        <x:v>Not checked</x:v>
      </x:c>
      <x:c r="R1375" s="15" t="str"/>
      <x:c r="S1375" s="15" t="str"/>
      <x:c r="T1375" s="15" t="str">
        <x:v>Log first source path or blocker</x:v>
      </x:c>
      <x:c r="U1375" s="12" t="str">
        <x:f>IF(OR(P1375="Unverified",Q1375="Not checked"),"BLOCKED_PENDING_RECEIPT","READY_FOR_REVIEW")</x:f>
        <x:v>BLOCKED_PENDING_RECEIPT</x:v>
      </x:c>
      <x:c r="V1375" s="12" t="str">
        <x:f>IF(J1375="DONE","RETURNED",IF(U1375="BLOCKED_PENDING_RECEIPT","SOURCE_TOUCH_REQUIRED","IN_PROGRESS"))</x:f>
        <x:v>SOURCE_TOUCH_REQUIRED</x:v>
      </x:c>
      <x:c r="W1375" s="12" t="str">
        <x:f>IF(P1375="Unverified","missing_receipt","receipt_logged")</x:f>
        <x:v>missing_receipt</x:v>
      </x:c>
      <x:c r="X1375" s="12" t="str">
        <x:f>IF(Q1375="Not checked","raw_status_missing","raw_status_logged")</x:f>
        <x:v>raw_status_missing</x:v>
      </x:c>
      <x:c r="Y1375" s="12" t="str">
        <x:f>IF(U1375="BLOCKED_PENDING_RECEIPT","Log source path or blocker; do not promote","Route to review lane")</x:f>
        <x:v>Log source path or blocker; do not promote</x:v>
      </x:c>
      <x:c r="Z1375" s="12" t="str">
        <x:f>IF(K1375="P0","Primary seat + Hashlight/Lucerna","Seat lane")</x:f>
        <x:v>Seat lane</x:v>
      </x:c>
      <x:c r="AA1375" s="12" t="str">
        <x:f>IF(R1375="","no_claim_delta","claim_delta_present")</x:f>
        <x:v>no_claim_delta</x:v>
      </x:c>
      <x:c r="AB1375" s="12" t="str">
        <x:f>IF(S1375="","no_contradiction_delta","contradiction_delta_present")</x:f>
        <x:v>no_contradiction_delta</x:v>
      </x:c>
      <x:c r="AC1375" s="12" t="str">
        <x:f>IF(OR(ISNUMBER(SEARCH("hacker",LOWER(F1375&amp;" "&amp;H1375&amp;" "&amp;I1375&amp;" "&amp;M1375&amp;" "&amp;N1375&amp;" "&amp;T1375))),ISNUMBER(SEARCH("hacking",LOWER(F1375&amp;" "&amp;H1375&amp;" "&amp;I1375&amp;" "&amp;M1375&amp;" "&amp;N1375&amp;" "&amp;T1375))),ISNUMBER(SEARCH("bank",LOWER(F1375&amp;" "&amp;H1375&amp;" "&amp;I1375&amp;" "&amp;M1375&amp;" "&amp;N1375&amp;" "&amp;T1375))),ISNUMBER(SEARCH("banking",LOWER(F1375&amp;" "&amp;H1375&amp;" "&amp;I1375&amp;" "&amp;M1375&amp;" "&amp;N1375&amp;" "&amp;T1375)))),"PRIVATE_QUARANTINE",IF(OR(ISNUMBER(SEARCH("treasury",LOWER(F1375&amp;" "&amp;H1375&amp;" "&amp;I1375&amp;" "&amp;M1375&amp;" "&amp;N1375&amp;" "&amp;T1375))),ISNUMBER(SEARCH("debt",LOWER(F1375&amp;" "&amp;H1375&amp;" "&amp;I1375&amp;" "&amp;M1375&amp;" "&amp;N1375&amp;" "&amp;T1375))),ISNUMBER(SEARCH("bond",LOWER(F1375&amp;" "&amp;H1375&amp;" "&amp;I1375&amp;" "&amp;M1375&amp;" "&amp;N1375&amp;" "&amp;T1375))),ISNUMBER(SEARCH("transaction",LOWER(F1375&amp;" "&amp;H1375&amp;" "&amp;I1375&amp;" "&amp;M1375&amp;" "&amp;N1375&amp;" "&amp;T1375)))),"PRIVATE_REVIEW","PUBLIC_CANDIDATE"))</x:f>
        <x:v>PUBLIC_CANDIDATE</x:v>
      </x:c>
      <x:c r="AD1375" s="12" t="str">
        <x:f>IF(AC1375="PRIVATE_QUARANTINE","hacker_or_bank_trigger",IF(AC1375="PRIVATE_REVIEW","finance_risk_trigger","none"))</x:f>
        <x:v>none</x:v>
      </x:c>
      <x:c r="AE1375" s="12" t="str">
        <x:f>IF(AC1375="PUBLIC_CANDIDATE","prepare_public_github_candidate",IF(AC1375="PRIVATE_REVIEW","hold_for_private_review","quarantine_private_do_not_publish"))</x:f>
        <x:v>prepare_public_github_candidate</x:v>
      </x:c>
      <x:c r="AF1375" s="12" t="str">
        <x:f>IF(AC1375="PUBLIC_CANDIDATE","TIDELOCK + Lucerna",IF(AC1375="PRIVATE_REVIEW","AtlasBrain + Lucerna","TIDELOCK + Lucerna + Human-root"))</x:f>
        <x:v>TIDELOCK + Lucerna</x:v>
      </x:c>
      <x:c r="AG1375" s="12" t="str">
        <x:f>IF(AND(AC1375="PUBLIC_CANDIDATE",U1375&lt;&gt;"BLOCKED_PENDING_RECEIPT"),"READY_AFTER_RECEIPT","NOT_READY")</x:f>
        <x:v>NOT_READY</x:v>
      </x:c>
      <x:c r="AH1375" s="12" t="str">
        <x:f>IF(AC1375="PUBLIC_CANDIDATE","none",AD1375)</x:f>
        <x:v>none</x:v>
      </x:c>
      <x:c r="AI1375" s="12" t="str">
        <x:f>IF(AC1375="PUBLIC_CANDIDATE","archive/public_candidates/"&amp;A1375,"private_quarantine/"&amp;A1375)</x:f>
        <x:v>archive/public_candidates/SWARM-10-H07-S06</x:v>
      </x:c>
      <x:c r="AJ1375" s="12" t="str">
        <x:f>IF(AC1375="PUBLIC_CANDIDATE","public by default; still not canon","private/hold; do not publish")</x:f>
        <x:v>public by default; still not canon</x:v>
      </x:c>
      <x:c r="AK1375" s="12" t="str">
        <x:f>IF(AE1375="prepare_public_github_candidate","add receipt/status then mirror","resolve blocker before any public GitHub action")</x:f>
        <x:v>add receipt/status then mirror</x:v>
      </x:c>
    </x:row>
    <x:row r="1376">
      <x:c r="A1376" s="15" t="str">
        <x:v>SWARM-10-H07-S07</x:v>
      </x:c>
      <x:c r="B1376" s="15" t="str">
        <x:v>GitShelf</x:v>
      </x:c>
      <x:c r="C1376" s="15" t="str">
        <x:v>GitHub shelf builder</x:v>
      </x:c>
      <x:c r="D1376" s="15" t="str">
        <x:v>Graph Node Proposals</x:v>
      </x:c>
      <x:c r="E1376" s="15" t="str">
        <x:v>Planetarium</x:v>
      </x:c>
      <x:c r="F1376" s="15" t="str">
        <x:v>Propose graph nodes for Planetarium — GitShelf</x:v>
      </x:c>
      <x:c r="G1376" s="15" t="str">
        <x:v>repo packet / manifest / issue template prep</x:v>
      </x:c>
      <x:c r="H1376" s="15" t="str">
        <x:v>source path + receipt + raw/export status + claim/edge/risk delta</x:v>
      </x:c>
      <x:c r="I1376" s="15" t="str">
        <x:v>packet/SWARM-10-H07-S07</x:v>
      </x:c>
      <x:c r="J1376" s="15" t="str">
        <x:v>TODO</x:v>
      </x:c>
      <x:c r="K1376" s="15" t="str">
        <x:v>P1</x:v>
      </x:c>
      <x:c r="L1376" s="15" t="str">
        <x:v>Done only when evidence is logged, contradiction search is noted, and boundary stamp remains non-canon unless ratified</x:v>
      </x:c>
      <x:c r="M1376" s="15" t="str">
        <x:v>candidate / staging-only / not canon / not deployed / authority none</x:v>
      </x:c>
      <x:c r="N1376" s="15" t="str">
        <x:v>Dispatch to GitShelf: complete Graph Node Proposals x Planetarium; return deltas only, receipts required.</x:v>
      </x:c>
      <x:c r="O1376" s="15" t="str">
        <x:v>AF-KG-H07-S07</x:v>
      </x:c>
      <x:c r="P1376" s="15" t="str">
        <x:v>Unverified</x:v>
      </x:c>
      <x:c r="Q1376" s="15" t="str">
        <x:v>Not checked</x:v>
      </x:c>
      <x:c r="R1376" s="15" t="str"/>
      <x:c r="S1376" s="15" t="str"/>
      <x:c r="T1376" s="15" t="str">
        <x:v>Log first source path or blocker</x:v>
      </x:c>
      <x:c r="U1376" s="12" t="str">
        <x:f>IF(OR(P1376="Unverified",Q1376="Not checked"),"BLOCKED_PENDING_RECEIPT","READY_FOR_REVIEW")</x:f>
        <x:v>BLOCKED_PENDING_RECEIPT</x:v>
      </x:c>
      <x:c r="V1376" s="12" t="str">
        <x:f>IF(J1376="DONE","RETURNED",IF(U1376="BLOCKED_PENDING_RECEIPT","SOURCE_TOUCH_REQUIRED","IN_PROGRESS"))</x:f>
        <x:v>SOURCE_TOUCH_REQUIRED</x:v>
      </x:c>
      <x:c r="W1376" s="12" t="str">
        <x:f>IF(P1376="Unverified","missing_receipt","receipt_logged")</x:f>
        <x:v>missing_receipt</x:v>
      </x:c>
      <x:c r="X1376" s="12" t="str">
        <x:f>IF(Q1376="Not checked","raw_status_missing","raw_status_logged")</x:f>
        <x:v>raw_status_missing</x:v>
      </x:c>
      <x:c r="Y1376" s="12" t="str">
        <x:f>IF(U1376="BLOCKED_PENDING_RECEIPT","Log source path or blocker; do not promote","Route to review lane")</x:f>
        <x:v>Log source path or blocker; do not promote</x:v>
      </x:c>
      <x:c r="Z1376" s="12" t="str">
        <x:f>IF(K1376="P0","Primary seat + Hashlight/Lucerna","Seat lane")</x:f>
        <x:v>Seat lane</x:v>
      </x:c>
      <x:c r="AA1376" s="12" t="str">
        <x:f>IF(R1376="","no_claim_delta","claim_delta_present")</x:f>
        <x:v>no_claim_delta</x:v>
      </x:c>
      <x:c r="AB1376" s="12" t="str">
        <x:f>IF(S1376="","no_contradiction_delta","contradiction_delta_present")</x:f>
        <x:v>no_contradiction_delta</x:v>
      </x:c>
      <x:c r="AC1376" s="12" t="str">
        <x:f>IF(OR(ISNUMBER(SEARCH("hacker",LOWER(F1376&amp;" "&amp;H1376&amp;" "&amp;I1376&amp;" "&amp;M1376&amp;" "&amp;N1376&amp;" "&amp;T1376))),ISNUMBER(SEARCH("hacking",LOWER(F1376&amp;" "&amp;H1376&amp;" "&amp;I1376&amp;" "&amp;M1376&amp;" "&amp;N1376&amp;" "&amp;T1376))),ISNUMBER(SEARCH("bank",LOWER(F1376&amp;" "&amp;H1376&amp;" "&amp;I1376&amp;" "&amp;M1376&amp;" "&amp;N1376&amp;" "&amp;T1376))),ISNUMBER(SEARCH("banking",LOWER(F1376&amp;" "&amp;H1376&amp;" "&amp;I1376&amp;" "&amp;M1376&amp;" "&amp;N1376&amp;" "&amp;T1376)))),"PRIVATE_QUARANTINE",IF(OR(ISNUMBER(SEARCH("treasury",LOWER(F1376&amp;" "&amp;H1376&amp;" "&amp;I1376&amp;" "&amp;M1376&amp;" "&amp;N1376&amp;" "&amp;T1376))),ISNUMBER(SEARCH("debt",LOWER(F1376&amp;" "&amp;H1376&amp;" "&amp;I1376&amp;" "&amp;M1376&amp;" "&amp;N1376&amp;" "&amp;T1376))),ISNUMBER(SEARCH("bond",LOWER(F1376&amp;" "&amp;H1376&amp;" "&amp;I1376&amp;" "&amp;M1376&amp;" "&amp;N1376&amp;" "&amp;T1376))),ISNUMBER(SEARCH("transaction",LOWER(F1376&amp;" "&amp;H1376&amp;" "&amp;I1376&amp;" "&amp;M1376&amp;" "&amp;N1376&amp;" "&amp;T1376)))),"PRIVATE_REVIEW","PUBLIC_CANDIDATE"))</x:f>
        <x:v>PUBLIC_CANDIDATE</x:v>
      </x:c>
      <x:c r="AD1376" s="12" t="str">
        <x:f>IF(AC1376="PRIVATE_QUARANTINE","hacker_or_bank_trigger",IF(AC1376="PRIVATE_REVIEW","finance_risk_trigger","none"))</x:f>
        <x:v>none</x:v>
      </x:c>
      <x:c r="AE1376" s="12" t="str">
        <x:f>IF(AC1376="PUBLIC_CANDIDATE","prepare_public_github_candidate",IF(AC1376="PRIVATE_REVIEW","hold_for_private_review","quarantine_private_do_not_publish"))</x:f>
        <x:v>prepare_public_github_candidate</x:v>
      </x:c>
      <x:c r="AF1376" s="12" t="str">
        <x:f>IF(AC1376="PUBLIC_CANDIDATE","TIDELOCK + Lucerna",IF(AC1376="PRIVATE_REVIEW","AtlasBrain + Lucerna","TIDELOCK + Lucerna + Human-root"))</x:f>
        <x:v>TIDELOCK + Lucerna</x:v>
      </x:c>
      <x:c r="AG1376" s="12" t="str">
        <x:f>IF(AND(AC1376="PUBLIC_CANDIDATE",U1376&lt;&gt;"BLOCKED_PENDING_RECEIPT"),"READY_AFTER_RECEIPT","NOT_READY")</x:f>
        <x:v>NOT_READY</x:v>
      </x:c>
      <x:c r="AH1376" s="12" t="str">
        <x:f>IF(AC1376="PUBLIC_CANDIDATE","none",AD1376)</x:f>
        <x:v>none</x:v>
      </x:c>
      <x:c r="AI1376" s="12" t="str">
        <x:f>IF(AC1376="PUBLIC_CANDIDATE","archive/public_candidates/"&amp;A1376,"private_quarantine/"&amp;A1376)</x:f>
        <x:v>archive/public_candidates/SWARM-10-H07-S07</x:v>
      </x:c>
      <x:c r="AJ1376" s="12" t="str">
        <x:f>IF(AC1376="PUBLIC_CANDIDATE","public by default; still not canon","private/hold; do not publish")</x:f>
        <x:v>public by default; still not canon</x:v>
      </x:c>
      <x:c r="AK1376" s="12" t="str">
        <x:f>IF(AE1376="prepare_public_github_candidate","add receipt/status then mirror","resolve blocker before any public GitHub action")</x:f>
        <x:v>add receipt/status then mirror</x:v>
      </x:c>
    </x:row>
    <x:row r="1377">
      <x:c r="A1377" s="15" t="str">
        <x:v>SWARM-10-H07-S08</x:v>
      </x:c>
      <x:c r="B1377" s="15" t="str">
        <x:v>GitShelf</x:v>
      </x:c>
      <x:c r="C1377" s="15" t="str">
        <x:v>GitHub shelf builder</x:v>
      </x:c>
      <x:c r="D1377" s="15" t="str">
        <x:v>Graph Node Proposals</x:v>
      </x:c>
      <x:c r="E1377" s="15" t="str">
        <x:v>Sheldonbrain</x:v>
      </x:c>
      <x:c r="F1377" s="15" t="str">
        <x:v>Propose graph nodes for Sheldonbrain — GitShelf</x:v>
      </x:c>
      <x:c r="G1377" s="15" t="str">
        <x:v>repo packet / manifest / issue template prep</x:v>
      </x:c>
      <x:c r="H1377" s="15" t="str">
        <x:v>source path + receipt + raw/export status + claim/edge/risk delta</x:v>
      </x:c>
      <x:c r="I1377" s="15" t="str">
        <x:v>packet/SWARM-10-H07-S08</x:v>
      </x:c>
      <x:c r="J1377" s="15" t="str">
        <x:v>TODO</x:v>
      </x:c>
      <x:c r="K1377" s="15" t="str">
        <x:v>P1</x:v>
      </x:c>
      <x:c r="L1377" s="15" t="str">
        <x:v>Done only when evidence is logged, contradiction search is noted, and boundary stamp remains non-canon unless ratified</x:v>
      </x:c>
      <x:c r="M1377" s="15" t="str">
        <x:v>candidate / staging-only / not canon / not deployed / authority none</x:v>
      </x:c>
      <x:c r="N1377" s="15" t="str">
        <x:v>Dispatch to GitShelf: complete Graph Node Proposals x Sheldonbrain; return deltas only, receipts required.</x:v>
      </x:c>
      <x:c r="O1377" s="15" t="str">
        <x:v>AF-KG-H07-S08</x:v>
      </x:c>
      <x:c r="P1377" s="15" t="str">
        <x:v>Unverified</x:v>
      </x:c>
      <x:c r="Q1377" s="15" t="str">
        <x:v>Not checked</x:v>
      </x:c>
      <x:c r="R1377" s="15" t="str"/>
      <x:c r="S1377" s="15" t="str"/>
      <x:c r="T1377" s="15" t="str">
        <x:v>Log first source path or blocker</x:v>
      </x:c>
      <x:c r="U1377" s="12" t="str">
        <x:f>IF(OR(P1377="Unverified",Q1377="Not checked"),"BLOCKED_PENDING_RECEIPT","READY_FOR_REVIEW")</x:f>
        <x:v>BLOCKED_PENDING_RECEIPT</x:v>
      </x:c>
      <x:c r="V1377" s="12" t="str">
        <x:f>IF(J1377="DONE","RETURNED",IF(U1377="BLOCKED_PENDING_RECEIPT","SOURCE_TOUCH_REQUIRED","IN_PROGRESS"))</x:f>
        <x:v>SOURCE_TOUCH_REQUIRED</x:v>
      </x:c>
      <x:c r="W1377" s="12" t="str">
        <x:f>IF(P1377="Unverified","missing_receipt","receipt_logged")</x:f>
        <x:v>missing_receipt</x:v>
      </x:c>
      <x:c r="X1377" s="12" t="str">
        <x:f>IF(Q1377="Not checked","raw_status_missing","raw_status_logged")</x:f>
        <x:v>raw_status_missing</x:v>
      </x:c>
      <x:c r="Y1377" s="12" t="str">
        <x:f>IF(U1377="BLOCKED_PENDING_RECEIPT","Log source path or blocker; do not promote","Route to review lane")</x:f>
        <x:v>Log source path or blocker; do not promote</x:v>
      </x:c>
      <x:c r="Z1377" s="12" t="str">
        <x:f>IF(K1377="P0","Primary seat + Hashlight/Lucerna","Seat lane")</x:f>
        <x:v>Seat lane</x:v>
      </x:c>
      <x:c r="AA1377" s="12" t="str">
        <x:f>IF(R1377="","no_claim_delta","claim_delta_present")</x:f>
        <x:v>no_claim_delta</x:v>
      </x:c>
      <x:c r="AB1377" s="12" t="str">
        <x:f>IF(S1377="","no_contradiction_delta","contradiction_delta_present")</x:f>
        <x:v>no_contradiction_delta</x:v>
      </x:c>
      <x:c r="AC1377" s="12" t="str">
        <x:f>IF(OR(ISNUMBER(SEARCH("hacker",LOWER(F1377&amp;" "&amp;H1377&amp;" "&amp;I1377&amp;" "&amp;M1377&amp;" "&amp;N1377&amp;" "&amp;T1377))),ISNUMBER(SEARCH("hacking",LOWER(F1377&amp;" "&amp;H1377&amp;" "&amp;I1377&amp;" "&amp;M1377&amp;" "&amp;N1377&amp;" "&amp;T1377))),ISNUMBER(SEARCH("bank",LOWER(F1377&amp;" "&amp;H1377&amp;" "&amp;I1377&amp;" "&amp;M1377&amp;" "&amp;N1377&amp;" "&amp;T1377))),ISNUMBER(SEARCH("banking",LOWER(F1377&amp;" "&amp;H1377&amp;" "&amp;I1377&amp;" "&amp;M1377&amp;" "&amp;N1377&amp;" "&amp;T1377)))),"PRIVATE_QUARANTINE",IF(OR(ISNUMBER(SEARCH("treasury",LOWER(F1377&amp;" "&amp;H1377&amp;" "&amp;I1377&amp;" "&amp;M1377&amp;" "&amp;N1377&amp;" "&amp;T1377))),ISNUMBER(SEARCH("debt",LOWER(F1377&amp;" "&amp;H1377&amp;" "&amp;I1377&amp;" "&amp;M1377&amp;" "&amp;N1377&amp;" "&amp;T1377))),ISNUMBER(SEARCH("bond",LOWER(F1377&amp;" "&amp;H1377&amp;" "&amp;I1377&amp;" "&amp;M1377&amp;" "&amp;N1377&amp;" "&amp;T1377))),ISNUMBER(SEARCH("transaction",LOWER(F1377&amp;" "&amp;H1377&amp;" "&amp;I1377&amp;" "&amp;M1377&amp;" "&amp;N1377&amp;" "&amp;T1377)))),"PRIVATE_REVIEW","PUBLIC_CANDIDATE"))</x:f>
        <x:v>PUBLIC_CANDIDATE</x:v>
      </x:c>
      <x:c r="AD1377" s="12" t="str">
        <x:f>IF(AC1377="PRIVATE_QUARANTINE","hacker_or_bank_trigger",IF(AC1377="PRIVATE_REVIEW","finance_risk_trigger","none"))</x:f>
        <x:v>none</x:v>
      </x:c>
      <x:c r="AE1377" s="12" t="str">
        <x:f>IF(AC1377="PUBLIC_CANDIDATE","prepare_public_github_candidate",IF(AC1377="PRIVATE_REVIEW","hold_for_private_review","quarantine_private_do_not_publish"))</x:f>
        <x:v>prepare_public_github_candidate</x:v>
      </x:c>
      <x:c r="AF1377" s="12" t="str">
        <x:f>IF(AC1377="PUBLIC_CANDIDATE","TIDELOCK + Lucerna",IF(AC1377="PRIVATE_REVIEW","AtlasBrain + Lucerna","TIDELOCK + Lucerna + Human-root"))</x:f>
        <x:v>TIDELOCK + Lucerna</x:v>
      </x:c>
      <x:c r="AG1377" s="12" t="str">
        <x:f>IF(AND(AC1377="PUBLIC_CANDIDATE",U1377&lt;&gt;"BLOCKED_PENDING_RECEIPT"),"READY_AFTER_RECEIPT","NOT_READY")</x:f>
        <x:v>NOT_READY</x:v>
      </x:c>
      <x:c r="AH1377" s="12" t="str">
        <x:f>IF(AC1377="PUBLIC_CANDIDATE","none",AD1377)</x:f>
        <x:v>none</x:v>
      </x:c>
      <x:c r="AI1377" s="12" t="str">
        <x:f>IF(AC1377="PUBLIC_CANDIDATE","archive/public_candidates/"&amp;A1377,"private_quarantine/"&amp;A1377)</x:f>
        <x:v>archive/public_candidates/SWARM-10-H07-S08</x:v>
      </x:c>
      <x:c r="AJ1377" s="12" t="str">
        <x:f>IF(AC1377="PUBLIC_CANDIDATE","public by default; still not canon","private/hold; do not publish")</x:f>
        <x:v>public by default; still not canon</x:v>
      </x:c>
      <x:c r="AK1377" s="12" t="str">
        <x:f>IF(AE1377="prepare_public_github_candidate","add receipt/status then mirror","resolve blocker before any public GitHub action")</x:f>
        <x:v>add receipt/status then mirror</x:v>
      </x:c>
    </x:row>
    <x:row r="1378">
      <x:c r="A1378" s="15" t="str">
        <x:v>SWARM-10-H07-S09</x:v>
      </x:c>
      <x:c r="B1378" s="15" t="str">
        <x:v>GitShelf</x:v>
      </x:c>
      <x:c r="C1378" s="15" t="str">
        <x:v>GitHub shelf builder</x:v>
      </x:c>
      <x:c r="D1378" s="15" t="str">
        <x:v>Graph Node Proposals</x:v>
      </x:c>
      <x:c r="E1378" s="15" t="str">
        <x:v>Aetherforge</x:v>
      </x:c>
      <x:c r="F1378" s="15" t="str">
        <x:v>Propose graph nodes for Aetherforge — GitShelf</x:v>
      </x:c>
      <x:c r="G1378" s="15" t="str">
        <x:v>repo packet / manifest / issue template prep</x:v>
      </x:c>
      <x:c r="H1378" s="15" t="str">
        <x:v>source path + receipt + raw/export status + claim/edge/risk delta</x:v>
      </x:c>
      <x:c r="I1378" s="15" t="str">
        <x:v>packet/SWARM-10-H07-S09</x:v>
      </x:c>
      <x:c r="J1378" s="15" t="str">
        <x:v>TODO</x:v>
      </x:c>
      <x:c r="K1378" s="15" t="str">
        <x:v>P2</x:v>
      </x:c>
      <x:c r="L1378" s="15" t="str">
        <x:v>Done only when evidence is logged, contradiction search is noted, and boundary stamp remains non-canon unless ratified</x:v>
      </x:c>
      <x:c r="M1378" s="15" t="str">
        <x:v>candidate / staging-only / not canon / not deployed / authority none</x:v>
      </x:c>
      <x:c r="N1378" s="15" t="str">
        <x:v>Dispatch to GitShelf: complete Graph Node Proposals x Aetherforge; return deltas only, receipts required.</x:v>
      </x:c>
      <x:c r="O1378" s="15" t="str">
        <x:v>AF-KG-H07-S09</x:v>
      </x:c>
      <x:c r="P1378" s="15" t="str">
        <x:v>Unverified</x:v>
      </x:c>
      <x:c r="Q1378" s="15" t="str">
        <x:v>Not checked</x:v>
      </x:c>
      <x:c r="R1378" s="15" t="str"/>
      <x:c r="S1378" s="15" t="str"/>
      <x:c r="T1378" s="15" t="str">
        <x:v>Log first source path or blocker</x:v>
      </x:c>
      <x:c r="U1378" s="12" t="str">
        <x:f>IF(OR(P1378="Unverified",Q1378="Not checked"),"BLOCKED_PENDING_RECEIPT","READY_FOR_REVIEW")</x:f>
        <x:v>BLOCKED_PENDING_RECEIPT</x:v>
      </x:c>
      <x:c r="V1378" s="12" t="str">
        <x:f>IF(J1378="DONE","RETURNED",IF(U1378="BLOCKED_PENDING_RECEIPT","SOURCE_TOUCH_REQUIRED","IN_PROGRESS"))</x:f>
        <x:v>SOURCE_TOUCH_REQUIRED</x:v>
      </x:c>
      <x:c r="W1378" s="12" t="str">
        <x:f>IF(P1378="Unverified","missing_receipt","receipt_logged")</x:f>
        <x:v>missing_receipt</x:v>
      </x:c>
      <x:c r="X1378" s="12" t="str">
        <x:f>IF(Q1378="Not checked","raw_status_missing","raw_status_logged")</x:f>
        <x:v>raw_status_missing</x:v>
      </x:c>
      <x:c r="Y1378" s="12" t="str">
        <x:f>IF(U1378="BLOCKED_PENDING_RECEIPT","Log source path or blocker; do not promote","Route to review lane")</x:f>
        <x:v>Log source path or blocker; do not promote</x:v>
      </x:c>
      <x:c r="Z1378" s="12" t="str">
        <x:f>IF(K1378="P0","Primary seat + Hashlight/Lucerna","Seat lane")</x:f>
        <x:v>Seat lane</x:v>
      </x:c>
      <x:c r="AA1378" s="12" t="str">
        <x:f>IF(R1378="","no_claim_delta","claim_delta_present")</x:f>
        <x:v>no_claim_delta</x:v>
      </x:c>
      <x:c r="AB1378" s="12" t="str">
        <x:f>IF(S1378="","no_contradiction_delta","contradiction_delta_present")</x:f>
        <x:v>no_contradiction_delta</x:v>
      </x:c>
      <x:c r="AC1378" s="12" t="str">
        <x:f>IF(OR(ISNUMBER(SEARCH("hacker",LOWER(F1378&amp;" "&amp;H1378&amp;" "&amp;I1378&amp;" "&amp;M1378&amp;" "&amp;N1378&amp;" "&amp;T1378))),ISNUMBER(SEARCH("hacking",LOWER(F1378&amp;" "&amp;H1378&amp;" "&amp;I1378&amp;" "&amp;M1378&amp;" "&amp;N1378&amp;" "&amp;T1378))),ISNUMBER(SEARCH("bank",LOWER(F1378&amp;" "&amp;H1378&amp;" "&amp;I1378&amp;" "&amp;M1378&amp;" "&amp;N1378&amp;" "&amp;T1378))),ISNUMBER(SEARCH("banking",LOWER(F1378&amp;" "&amp;H1378&amp;" "&amp;I1378&amp;" "&amp;M1378&amp;" "&amp;N1378&amp;" "&amp;T1378)))),"PRIVATE_QUARANTINE",IF(OR(ISNUMBER(SEARCH("treasury",LOWER(F1378&amp;" "&amp;H1378&amp;" "&amp;I1378&amp;" "&amp;M1378&amp;" "&amp;N1378&amp;" "&amp;T1378))),ISNUMBER(SEARCH("debt",LOWER(F1378&amp;" "&amp;H1378&amp;" "&amp;I1378&amp;" "&amp;M1378&amp;" "&amp;N1378&amp;" "&amp;T1378))),ISNUMBER(SEARCH("bond",LOWER(F1378&amp;" "&amp;H1378&amp;" "&amp;I1378&amp;" "&amp;M1378&amp;" "&amp;N1378&amp;" "&amp;T1378))),ISNUMBER(SEARCH("transaction",LOWER(F1378&amp;" "&amp;H1378&amp;" "&amp;I1378&amp;" "&amp;M1378&amp;" "&amp;N1378&amp;" "&amp;T1378)))),"PRIVATE_REVIEW","PUBLIC_CANDIDATE"))</x:f>
        <x:v>PUBLIC_CANDIDATE</x:v>
      </x:c>
      <x:c r="AD1378" s="12" t="str">
        <x:f>IF(AC1378="PRIVATE_QUARANTINE","hacker_or_bank_trigger",IF(AC1378="PRIVATE_REVIEW","finance_risk_trigger","none"))</x:f>
        <x:v>none</x:v>
      </x:c>
      <x:c r="AE1378" s="12" t="str">
        <x:f>IF(AC1378="PUBLIC_CANDIDATE","prepare_public_github_candidate",IF(AC1378="PRIVATE_REVIEW","hold_for_private_review","quarantine_private_do_not_publish"))</x:f>
        <x:v>prepare_public_github_candidate</x:v>
      </x:c>
      <x:c r="AF1378" s="12" t="str">
        <x:f>IF(AC1378="PUBLIC_CANDIDATE","TIDELOCK + Lucerna",IF(AC1378="PRIVATE_REVIEW","AtlasBrain + Lucerna","TIDELOCK + Lucerna + Human-root"))</x:f>
        <x:v>TIDELOCK + Lucerna</x:v>
      </x:c>
      <x:c r="AG1378" s="12" t="str">
        <x:f>IF(AND(AC1378="PUBLIC_CANDIDATE",U1378&lt;&gt;"BLOCKED_PENDING_RECEIPT"),"READY_AFTER_RECEIPT","NOT_READY")</x:f>
        <x:v>NOT_READY</x:v>
      </x:c>
      <x:c r="AH1378" s="12" t="str">
        <x:f>IF(AC1378="PUBLIC_CANDIDATE","none",AD1378)</x:f>
        <x:v>none</x:v>
      </x:c>
      <x:c r="AI1378" s="12" t="str">
        <x:f>IF(AC1378="PUBLIC_CANDIDATE","archive/public_candidates/"&amp;A1378,"private_quarantine/"&amp;A1378)</x:f>
        <x:v>archive/public_candidates/SWARM-10-H07-S09</x:v>
      </x:c>
      <x:c r="AJ1378" s="12" t="str">
        <x:f>IF(AC1378="PUBLIC_CANDIDATE","public by default; still not canon","private/hold; do not publish")</x:f>
        <x:v>public by default; still not canon</x:v>
      </x:c>
      <x:c r="AK1378" s="12" t="str">
        <x:f>IF(AE1378="prepare_public_github_candidate","add receipt/status then mirror","resolve blocker before any public GitHub action")</x:f>
        <x:v>add receipt/status then mirror</x:v>
      </x:c>
    </x:row>
    <x:row r="1379">
      <x:c r="A1379" s="15" t="str">
        <x:v>SWARM-10-H07-S10</x:v>
      </x:c>
      <x:c r="B1379" s="15" t="str">
        <x:v>GitShelf</x:v>
      </x:c>
      <x:c r="C1379" s="15" t="str">
        <x:v>GitHub shelf builder</x:v>
      </x:c>
      <x:c r="D1379" s="15" t="str">
        <x:v>Graph Node Proposals</x:v>
      </x:c>
      <x:c r="E1379" s="15" t="str">
        <x:v>Human-Root</x:v>
      </x:c>
      <x:c r="F1379" s="15" t="str">
        <x:v>Propose graph nodes for Human-Root — GitShelf</x:v>
      </x:c>
      <x:c r="G1379" s="15" t="str">
        <x:v>repo packet / manifest / issue template prep</x:v>
      </x:c>
      <x:c r="H1379" s="15" t="str">
        <x:v>source path + receipt + raw/export status + claim/edge/risk delta</x:v>
      </x:c>
      <x:c r="I1379" s="15" t="str">
        <x:v>packet/SWARM-10-H07-S10</x:v>
      </x:c>
      <x:c r="J1379" s="15" t="str">
        <x:v>TODO</x:v>
      </x:c>
      <x:c r="K1379" s="15" t="str">
        <x:v>P2</x:v>
      </x:c>
      <x:c r="L1379" s="15" t="str">
        <x:v>Done only when evidence is logged, contradiction search is noted, and boundary stamp remains non-canon unless ratified</x:v>
      </x:c>
      <x:c r="M1379" s="15" t="str">
        <x:v>candidate / staging-only / not canon / not deployed / authority none</x:v>
      </x:c>
      <x:c r="N1379" s="15" t="str">
        <x:v>Dispatch to GitShelf: complete Graph Node Proposals x Human-Root; return deltas only, receipts required.</x:v>
      </x:c>
      <x:c r="O1379" s="15" t="str">
        <x:v>AF-KG-H07-S10</x:v>
      </x:c>
      <x:c r="P1379" s="15" t="str">
        <x:v>Unverified</x:v>
      </x:c>
      <x:c r="Q1379" s="15" t="str">
        <x:v>Not checked</x:v>
      </x:c>
      <x:c r="R1379" s="15" t="str"/>
      <x:c r="S1379" s="15" t="str"/>
      <x:c r="T1379" s="15" t="str">
        <x:v>Log first source path or blocker</x:v>
      </x:c>
      <x:c r="U1379" s="12" t="str">
        <x:f>IF(OR(P1379="Unverified",Q1379="Not checked"),"BLOCKED_PENDING_RECEIPT","READY_FOR_REVIEW")</x:f>
        <x:v>BLOCKED_PENDING_RECEIPT</x:v>
      </x:c>
      <x:c r="V1379" s="12" t="str">
        <x:f>IF(J1379="DONE","RETURNED",IF(U1379="BLOCKED_PENDING_RECEIPT","SOURCE_TOUCH_REQUIRED","IN_PROGRESS"))</x:f>
        <x:v>SOURCE_TOUCH_REQUIRED</x:v>
      </x:c>
      <x:c r="W1379" s="12" t="str">
        <x:f>IF(P1379="Unverified","missing_receipt","receipt_logged")</x:f>
        <x:v>missing_receipt</x:v>
      </x:c>
      <x:c r="X1379" s="12" t="str">
        <x:f>IF(Q1379="Not checked","raw_status_missing","raw_status_logged")</x:f>
        <x:v>raw_status_missing</x:v>
      </x:c>
      <x:c r="Y1379" s="12" t="str">
        <x:f>IF(U1379="BLOCKED_PENDING_RECEIPT","Log source path or blocker; do not promote","Route to review lane")</x:f>
        <x:v>Log source path or blocker; do not promote</x:v>
      </x:c>
      <x:c r="Z1379" s="12" t="str">
        <x:f>IF(K1379="P0","Primary seat + Hashlight/Lucerna","Seat lane")</x:f>
        <x:v>Seat lane</x:v>
      </x:c>
      <x:c r="AA1379" s="12" t="str">
        <x:f>IF(R1379="","no_claim_delta","claim_delta_present")</x:f>
        <x:v>no_claim_delta</x:v>
      </x:c>
      <x:c r="AB1379" s="12" t="str">
        <x:f>IF(S1379="","no_contradiction_delta","contradiction_delta_present")</x:f>
        <x:v>no_contradiction_delta</x:v>
      </x:c>
      <x:c r="AC1379" s="12" t="str">
        <x:f>IF(OR(ISNUMBER(SEARCH("hacker",LOWER(F1379&amp;" "&amp;H1379&amp;" "&amp;I1379&amp;" "&amp;M1379&amp;" "&amp;N1379&amp;" "&amp;T1379))),ISNUMBER(SEARCH("hacking",LOWER(F1379&amp;" "&amp;H1379&amp;" "&amp;I1379&amp;" "&amp;M1379&amp;" "&amp;N1379&amp;" "&amp;T1379))),ISNUMBER(SEARCH("bank",LOWER(F1379&amp;" "&amp;H1379&amp;" "&amp;I1379&amp;" "&amp;M1379&amp;" "&amp;N1379&amp;" "&amp;T1379))),ISNUMBER(SEARCH("banking",LOWER(F1379&amp;" "&amp;H1379&amp;" "&amp;I1379&amp;" "&amp;M1379&amp;" "&amp;N1379&amp;" "&amp;T1379)))),"PRIVATE_QUARANTINE",IF(OR(ISNUMBER(SEARCH("treasury",LOWER(F1379&amp;" "&amp;H1379&amp;" "&amp;I1379&amp;" "&amp;M1379&amp;" "&amp;N1379&amp;" "&amp;T1379))),ISNUMBER(SEARCH("debt",LOWER(F1379&amp;" "&amp;H1379&amp;" "&amp;I1379&amp;" "&amp;M1379&amp;" "&amp;N1379&amp;" "&amp;T1379))),ISNUMBER(SEARCH("bond",LOWER(F1379&amp;" "&amp;H1379&amp;" "&amp;I1379&amp;" "&amp;M1379&amp;" "&amp;N1379&amp;" "&amp;T1379))),ISNUMBER(SEARCH("transaction",LOWER(F1379&amp;" "&amp;H1379&amp;" "&amp;I1379&amp;" "&amp;M1379&amp;" "&amp;N1379&amp;" "&amp;T1379)))),"PRIVATE_REVIEW","PUBLIC_CANDIDATE"))</x:f>
        <x:v>PUBLIC_CANDIDATE</x:v>
      </x:c>
      <x:c r="AD1379" s="12" t="str">
        <x:f>IF(AC1379="PRIVATE_QUARANTINE","hacker_or_bank_trigger",IF(AC1379="PRIVATE_REVIEW","finance_risk_trigger","none"))</x:f>
        <x:v>none</x:v>
      </x:c>
      <x:c r="AE1379" s="12" t="str">
        <x:f>IF(AC1379="PUBLIC_CANDIDATE","prepare_public_github_candidate",IF(AC1379="PRIVATE_REVIEW","hold_for_private_review","quarantine_private_do_not_publish"))</x:f>
        <x:v>prepare_public_github_candidate</x:v>
      </x:c>
      <x:c r="AF1379" s="12" t="str">
        <x:f>IF(AC1379="PUBLIC_CANDIDATE","TIDELOCK + Lucerna",IF(AC1379="PRIVATE_REVIEW","AtlasBrain + Lucerna","TIDELOCK + Lucerna + Human-root"))</x:f>
        <x:v>TIDELOCK + Lucerna</x:v>
      </x:c>
      <x:c r="AG1379" s="12" t="str">
        <x:f>IF(AND(AC1379="PUBLIC_CANDIDATE",U1379&lt;&gt;"BLOCKED_PENDING_RECEIPT"),"READY_AFTER_RECEIPT","NOT_READY")</x:f>
        <x:v>NOT_READY</x:v>
      </x:c>
      <x:c r="AH1379" s="12" t="str">
        <x:f>IF(AC1379="PUBLIC_CANDIDATE","none",AD1379)</x:f>
        <x:v>none</x:v>
      </x:c>
      <x:c r="AI1379" s="12" t="str">
        <x:f>IF(AC1379="PUBLIC_CANDIDATE","archive/public_candidates/"&amp;A1379,"private_quarantine/"&amp;A1379)</x:f>
        <x:v>archive/public_candidates/SWARM-10-H07-S10</x:v>
      </x:c>
      <x:c r="AJ1379" s="12" t="str">
        <x:f>IF(AC1379="PUBLIC_CANDIDATE","public by default; still not canon","private/hold; do not publish")</x:f>
        <x:v>public by default; still not canon</x:v>
      </x:c>
      <x:c r="AK1379" s="12" t="str">
        <x:f>IF(AE1379="prepare_public_github_candidate","add receipt/status then mirror","resolve blocker before any public GitHub action")</x:f>
        <x:v>add receipt/status then mirror</x:v>
      </x:c>
    </x:row>
    <x:row r="1380">
      <x:c r="A1380" s="15" t="str">
        <x:v>SWARM-10-H07-S11</x:v>
      </x:c>
      <x:c r="B1380" s="15" t="str">
        <x:v>GitShelf</x:v>
      </x:c>
      <x:c r="C1380" s="15" t="str">
        <x:v>GitHub shelf builder</x:v>
      </x:c>
      <x:c r="D1380" s="15" t="str">
        <x:v>Graph Node Proposals</x:v>
      </x:c>
      <x:c r="E1380" s="15" t="str">
        <x:v>Automation</x:v>
      </x:c>
      <x:c r="F1380" s="15" t="str">
        <x:v>Propose graph nodes for Automation — GitShelf</x:v>
      </x:c>
      <x:c r="G1380" s="15" t="str">
        <x:v>repo packet / manifest / issue template prep</x:v>
      </x:c>
      <x:c r="H1380" s="15" t="str">
        <x:v>source path + receipt + raw/export status + claim/edge/risk delta</x:v>
      </x:c>
      <x:c r="I1380" s="15" t="str">
        <x:v>packet/SWARM-10-H07-S11</x:v>
      </x:c>
      <x:c r="J1380" s="15" t="str">
        <x:v>TODO</x:v>
      </x:c>
      <x:c r="K1380" s="15" t="str">
        <x:v>P2</x:v>
      </x:c>
      <x:c r="L1380" s="15" t="str">
        <x:v>Done only when evidence is logged, contradiction search is noted, and boundary stamp remains non-canon unless ratified</x:v>
      </x:c>
      <x:c r="M1380" s="15" t="str">
        <x:v>candidate / staging-only / not canon / not deployed / authority none</x:v>
      </x:c>
      <x:c r="N1380" s="15" t="str">
        <x:v>Dispatch to GitShelf: complete Graph Node Proposals x Automation; return deltas only, receipts required.</x:v>
      </x:c>
      <x:c r="O1380" s="15" t="str">
        <x:v>AF-KG-H07-S11</x:v>
      </x:c>
      <x:c r="P1380" s="15" t="str">
        <x:v>Unverified</x:v>
      </x:c>
      <x:c r="Q1380" s="15" t="str">
        <x:v>Not checked</x:v>
      </x:c>
      <x:c r="R1380" s="15" t="str"/>
      <x:c r="S1380" s="15" t="str"/>
      <x:c r="T1380" s="15" t="str">
        <x:v>Log first source path or blocker</x:v>
      </x:c>
      <x:c r="U1380" s="12" t="str">
        <x:f>IF(OR(P1380="Unverified",Q1380="Not checked"),"BLOCKED_PENDING_RECEIPT","READY_FOR_REVIEW")</x:f>
        <x:v>BLOCKED_PENDING_RECEIPT</x:v>
      </x:c>
      <x:c r="V1380" s="12" t="str">
        <x:f>IF(J1380="DONE","RETURNED",IF(U1380="BLOCKED_PENDING_RECEIPT","SOURCE_TOUCH_REQUIRED","IN_PROGRESS"))</x:f>
        <x:v>SOURCE_TOUCH_REQUIRED</x:v>
      </x:c>
      <x:c r="W1380" s="12" t="str">
        <x:f>IF(P1380="Unverified","missing_receipt","receipt_logged")</x:f>
        <x:v>missing_receipt</x:v>
      </x:c>
      <x:c r="X1380" s="12" t="str">
        <x:f>IF(Q1380="Not checked","raw_status_missing","raw_status_logged")</x:f>
        <x:v>raw_status_missing</x:v>
      </x:c>
      <x:c r="Y1380" s="12" t="str">
        <x:f>IF(U1380="BLOCKED_PENDING_RECEIPT","Log source path or blocker; do not promote","Route to review lane")</x:f>
        <x:v>Log source path or blocker; do not promote</x:v>
      </x:c>
      <x:c r="Z1380" s="12" t="str">
        <x:f>IF(K1380="P0","Primary seat + Hashlight/Lucerna","Seat lane")</x:f>
        <x:v>Seat lane</x:v>
      </x:c>
      <x:c r="AA1380" s="12" t="str">
        <x:f>IF(R1380="","no_claim_delta","claim_delta_present")</x:f>
        <x:v>no_claim_delta</x:v>
      </x:c>
      <x:c r="AB1380" s="12" t="str">
        <x:f>IF(S1380="","no_contradiction_delta","contradiction_delta_present")</x:f>
        <x:v>no_contradiction_delta</x:v>
      </x:c>
      <x:c r="AC1380" s="12" t="str">
        <x:f>IF(OR(ISNUMBER(SEARCH("hacker",LOWER(F1380&amp;" "&amp;H1380&amp;" "&amp;I1380&amp;" "&amp;M1380&amp;" "&amp;N1380&amp;" "&amp;T1380))),ISNUMBER(SEARCH("hacking",LOWER(F1380&amp;" "&amp;H1380&amp;" "&amp;I1380&amp;" "&amp;M1380&amp;" "&amp;N1380&amp;" "&amp;T1380))),ISNUMBER(SEARCH("bank",LOWER(F1380&amp;" "&amp;H1380&amp;" "&amp;I1380&amp;" "&amp;M1380&amp;" "&amp;N1380&amp;" "&amp;T1380))),ISNUMBER(SEARCH("banking",LOWER(F1380&amp;" "&amp;H1380&amp;" "&amp;I1380&amp;" "&amp;M1380&amp;" "&amp;N1380&amp;" "&amp;T1380)))),"PRIVATE_QUARANTINE",IF(OR(ISNUMBER(SEARCH("treasury",LOWER(F1380&amp;" "&amp;H1380&amp;" "&amp;I1380&amp;" "&amp;M1380&amp;" "&amp;N1380&amp;" "&amp;T1380))),ISNUMBER(SEARCH("debt",LOWER(F1380&amp;" "&amp;H1380&amp;" "&amp;I1380&amp;" "&amp;M1380&amp;" "&amp;N1380&amp;" "&amp;T1380))),ISNUMBER(SEARCH("bond",LOWER(F1380&amp;" "&amp;H1380&amp;" "&amp;I1380&amp;" "&amp;M1380&amp;" "&amp;N1380&amp;" "&amp;T1380))),ISNUMBER(SEARCH("transaction",LOWER(F1380&amp;" "&amp;H1380&amp;" "&amp;I1380&amp;" "&amp;M1380&amp;" "&amp;N1380&amp;" "&amp;T1380)))),"PRIVATE_REVIEW","PUBLIC_CANDIDATE"))</x:f>
        <x:v>PUBLIC_CANDIDATE</x:v>
      </x:c>
      <x:c r="AD1380" s="12" t="str">
        <x:f>IF(AC1380="PRIVATE_QUARANTINE","hacker_or_bank_trigger",IF(AC1380="PRIVATE_REVIEW","finance_risk_trigger","none"))</x:f>
        <x:v>none</x:v>
      </x:c>
      <x:c r="AE1380" s="12" t="str">
        <x:f>IF(AC1380="PUBLIC_CANDIDATE","prepare_public_github_candidate",IF(AC1380="PRIVATE_REVIEW","hold_for_private_review","quarantine_private_do_not_publish"))</x:f>
        <x:v>prepare_public_github_candidate</x:v>
      </x:c>
      <x:c r="AF1380" s="12" t="str">
        <x:f>IF(AC1380="PUBLIC_CANDIDATE","TIDELOCK + Lucerna",IF(AC1380="PRIVATE_REVIEW","AtlasBrain + Lucerna","TIDELOCK + Lucerna + Human-root"))</x:f>
        <x:v>TIDELOCK + Lucerna</x:v>
      </x:c>
      <x:c r="AG1380" s="12" t="str">
        <x:f>IF(AND(AC1380="PUBLIC_CANDIDATE",U1380&lt;&gt;"BLOCKED_PENDING_RECEIPT"),"READY_AFTER_RECEIPT","NOT_READY")</x:f>
        <x:v>NOT_READY</x:v>
      </x:c>
      <x:c r="AH1380" s="12" t="str">
        <x:f>IF(AC1380="PUBLIC_CANDIDATE","none",AD1380)</x:f>
        <x:v>none</x:v>
      </x:c>
      <x:c r="AI1380" s="12" t="str">
        <x:f>IF(AC1380="PUBLIC_CANDIDATE","archive/public_candidates/"&amp;A1380,"private_quarantine/"&amp;A1380)</x:f>
        <x:v>archive/public_candidates/SWARM-10-H07-S11</x:v>
      </x:c>
      <x:c r="AJ1380" s="12" t="str">
        <x:f>IF(AC1380="PUBLIC_CANDIDATE","public by default; still not canon","private/hold; do not publish")</x:f>
        <x:v>public by default; still not canon</x:v>
      </x:c>
      <x:c r="AK1380" s="12" t="str">
        <x:f>IF(AE1380="prepare_public_github_candidate","add receipt/status then mirror","resolve blocker before any public GitHub action")</x:f>
        <x:v>add receipt/status then mirror</x:v>
      </x:c>
    </x:row>
    <x:row r="1381">
      <x:c r="A1381" s="15" t="str">
        <x:v>SWARM-10-H07-S12</x:v>
      </x:c>
      <x:c r="B1381" s="15" t="str">
        <x:v>GitShelf</x:v>
      </x:c>
      <x:c r="C1381" s="15" t="str">
        <x:v>GitHub shelf builder</x:v>
      </x:c>
      <x:c r="D1381" s="15" t="str">
        <x:v>Graph Node Proposals</x:v>
      </x:c>
      <x:c r="E1381" s="15" t="str">
        <x:v>Risk / Safety</x:v>
      </x:c>
      <x:c r="F1381" s="15" t="str">
        <x:v>Propose graph nodes for Risk / Safety — GitShelf</x:v>
      </x:c>
      <x:c r="G1381" s="15" t="str">
        <x:v>repo packet / manifest / issue template prep</x:v>
      </x:c>
      <x:c r="H1381" s="15" t="str">
        <x:v>source path + receipt + raw/export status + claim/edge/risk delta</x:v>
      </x:c>
      <x:c r="I1381" s="15" t="str">
        <x:v>packet/SWARM-10-H07-S12</x:v>
      </x:c>
      <x:c r="J1381" s="15" t="str">
        <x:v>TODO</x:v>
      </x:c>
      <x:c r="K1381" s="15" t="str">
        <x:v>P2</x:v>
      </x:c>
      <x:c r="L1381" s="15" t="str">
        <x:v>Done only when evidence is logged, contradiction search is noted, and boundary stamp remains non-canon unless ratified</x:v>
      </x:c>
      <x:c r="M1381" s="15" t="str">
        <x:v>candidate / staging-only / not canon / not deployed / authority none</x:v>
      </x:c>
      <x:c r="N1381" s="15" t="str">
        <x:v>Dispatch to GitShelf: complete Graph Node Proposals x Risk / Safety; return deltas only, receipts required.</x:v>
      </x:c>
      <x:c r="O1381" s="15" t="str">
        <x:v>AF-KG-H07-S12</x:v>
      </x:c>
      <x:c r="P1381" s="15" t="str">
        <x:v>Unverified</x:v>
      </x:c>
      <x:c r="Q1381" s="15" t="str">
        <x:v>Not checked</x:v>
      </x:c>
      <x:c r="R1381" s="15" t="str"/>
      <x:c r="S1381" s="15" t="str"/>
      <x:c r="T1381" s="15" t="str">
        <x:v>Log first source path or blocker</x:v>
      </x:c>
      <x:c r="U1381" s="12" t="str">
        <x:f>IF(OR(P1381="Unverified",Q1381="Not checked"),"BLOCKED_PENDING_RECEIPT","READY_FOR_REVIEW")</x:f>
        <x:v>BLOCKED_PENDING_RECEIPT</x:v>
      </x:c>
      <x:c r="V1381" s="12" t="str">
        <x:f>IF(J1381="DONE","RETURNED",IF(U1381="BLOCKED_PENDING_RECEIPT","SOURCE_TOUCH_REQUIRED","IN_PROGRESS"))</x:f>
        <x:v>SOURCE_TOUCH_REQUIRED</x:v>
      </x:c>
      <x:c r="W1381" s="12" t="str">
        <x:f>IF(P1381="Unverified","missing_receipt","receipt_logged")</x:f>
        <x:v>missing_receipt</x:v>
      </x:c>
      <x:c r="X1381" s="12" t="str">
        <x:f>IF(Q1381="Not checked","raw_status_missing","raw_status_logged")</x:f>
        <x:v>raw_status_missing</x:v>
      </x:c>
      <x:c r="Y1381" s="12" t="str">
        <x:f>IF(U1381="BLOCKED_PENDING_RECEIPT","Log source path or blocker; do not promote","Route to review lane")</x:f>
        <x:v>Log source path or blocker; do not promote</x:v>
      </x:c>
      <x:c r="Z1381" s="12" t="str">
        <x:f>IF(K1381="P0","Primary seat + Hashlight/Lucerna","Seat lane")</x:f>
        <x:v>Seat lane</x:v>
      </x:c>
      <x:c r="AA1381" s="12" t="str">
        <x:f>IF(R1381="","no_claim_delta","claim_delta_present")</x:f>
        <x:v>no_claim_delta</x:v>
      </x:c>
      <x:c r="AB1381" s="12" t="str">
        <x:f>IF(S1381="","no_contradiction_delta","contradiction_delta_present")</x:f>
        <x:v>no_contradiction_delta</x:v>
      </x:c>
      <x:c r="AC1381" s="12" t="str">
        <x:f>IF(OR(ISNUMBER(SEARCH("hacker",LOWER(F1381&amp;" "&amp;H1381&amp;" "&amp;I1381&amp;" "&amp;M1381&amp;" "&amp;N1381&amp;" "&amp;T1381))),ISNUMBER(SEARCH("hacking",LOWER(F1381&amp;" "&amp;H1381&amp;" "&amp;I1381&amp;" "&amp;M1381&amp;" "&amp;N1381&amp;" "&amp;T1381))),ISNUMBER(SEARCH("bank",LOWER(F1381&amp;" "&amp;H1381&amp;" "&amp;I1381&amp;" "&amp;M1381&amp;" "&amp;N1381&amp;" "&amp;T1381))),ISNUMBER(SEARCH("banking",LOWER(F1381&amp;" "&amp;H1381&amp;" "&amp;I1381&amp;" "&amp;M1381&amp;" "&amp;N1381&amp;" "&amp;T1381)))),"PRIVATE_QUARANTINE",IF(OR(ISNUMBER(SEARCH("treasury",LOWER(F1381&amp;" "&amp;H1381&amp;" "&amp;I1381&amp;" "&amp;M1381&amp;" "&amp;N1381&amp;" "&amp;T1381))),ISNUMBER(SEARCH("debt",LOWER(F1381&amp;" "&amp;H1381&amp;" "&amp;I1381&amp;" "&amp;M1381&amp;" "&amp;N1381&amp;" "&amp;T1381))),ISNUMBER(SEARCH("bond",LOWER(F1381&amp;" "&amp;H1381&amp;" "&amp;I1381&amp;" "&amp;M1381&amp;" "&amp;N1381&amp;" "&amp;T1381))),ISNUMBER(SEARCH("transaction",LOWER(F1381&amp;" "&amp;H1381&amp;" "&amp;I1381&amp;" "&amp;M1381&amp;" "&amp;N1381&amp;" "&amp;T1381)))),"PRIVATE_REVIEW","PUBLIC_CANDIDATE"))</x:f>
        <x:v>PUBLIC_CANDIDATE</x:v>
      </x:c>
      <x:c r="AD1381" s="12" t="str">
        <x:f>IF(AC1381="PRIVATE_QUARANTINE","hacker_or_bank_trigger",IF(AC1381="PRIVATE_REVIEW","finance_risk_trigger","none"))</x:f>
        <x:v>none</x:v>
      </x:c>
      <x:c r="AE1381" s="12" t="str">
        <x:f>IF(AC1381="PUBLIC_CANDIDATE","prepare_public_github_candidate",IF(AC1381="PRIVATE_REVIEW","hold_for_private_review","quarantine_private_do_not_publish"))</x:f>
        <x:v>prepare_public_github_candidate</x:v>
      </x:c>
      <x:c r="AF1381" s="12" t="str">
        <x:f>IF(AC1381="PUBLIC_CANDIDATE","TIDELOCK + Lucerna",IF(AC1381="PRIVATE_REVIEW","AtlasBrain + Lucerna","TIDELOCK + Lucerna + Human-root"))</x:f>
        <x:v>TIDELOCK + Lucerna</x:v>
      </x:c>
      <x:c r="AG1381" s="12" t="str">
        <x:f>IF(AND(AC1381="PUBLIC_CANDIDATE",U1381&lt;&gt;"BLOCKED_PENDING_RECEIPT"),"READY_AFTER_RECEIPT","NOT_READY")</x:f>
        <x:v>NOT_READY</x:v>
      </x:c>
      <x:c r="AH1381" s="12" t="str">
        <x:f>IF(AC1381="PUBLIC_CANDIDATE","none",AD1381)</x:f>
        <x:v>none</x:v>
      </x:c>
      <x:c r="AI1381" s="12" t="str">
        <x:f>IF(AC1381="PUBLIC_CANDIDATE","archive/public_candidates/"&amp;A1381,"private_quarantine/"&amp;A1381)</x:f>
        <x:v>archive/public_candidates/SWARM-10-H07-S12</x:v>
      </x:c>
      <x:c r="AJ1381" s="12" t="str">
        <x:f>IF(AC1381="PUBLIC_CANDIDATE","public by default; still not canon","private/hold; do not publish")</x:f>
        <x:v>public by default; still not canon</x:v>
      </x:c>
      <x:c r="AK1381" s="12" t="str">
        <x:f>IF(AE1381="prepare_public_github_candidate","add receipt/status then mirror","resolve blocker before any public GitHub action")</x:f>
        <x:v>add receipt/status then mirror</x:v>
      </x:c>
    </x:row>
    <x:row r="1382">
      <x:c r="A1382" s="15" t="str">
        <x:v>SWARM-10-H08-S01</x:v>
      </x:c>
      <x:c r="B1382" s="15" t="str">
        <x:v>GitShelf</x:v>
      </x:c>
      <x:c r="C1382" s="15" t="str">
        <x:v>GitHub shelf builder</x:v>
      </x:c>
      <x:c r="D1382" s="15" t="str">
        <x:v>Graph Edge Proposals</x:v>
      </x:c>
      <x:c r="E1382" s="15" t="str">
        <x:v>Notion</x:v>
      </x:c>
      <x:c r="F1382" s="15" t="str">
        <x:v>Propose graph edges for Notion — GitShelf</x:v>
      </x:c>
      <x:c r="G1382" s="15" t="str">
        <x:v>repo packet / manifest / issue template prep</x:v>
      </x:c>
      <x:c r="H1382" s="15" t="str">
        <x:v>source path + receipt + raw/export status + claim/edge/risk delta</x:v>
      </x:c>
      <x:c r="I1382" s="15" t="str">
        <x:v>packet/SWARM-10-H08-S01</x:v>
      </x:c>
      <x:c r="J1382" s="15" t="str">
        <x:v>TODO</x:v>
      </x:c>
      <x:c r="K1382" s="15" t="str">
        <x:v>P0</x:v>
      </x:c>
      <x:c r="L1382" s="15" t="str">
        <x:v>Done only when evidence is logged, contradiction search is noted, and boundary stamp remains non-canon unless ratified</x:v>
      </x:c>
      <x:c r="M1382" s="15" t="str">
        <x:v>candidate / staging-only / not canon / not deployed / authority none</x:v>
      </x:c>
      <x:c r="N1382" s="15" t="str">
        <x:v>Dispatch to GitShelf: complete Graph Edge Proposals x Notion; return deltas only, receipts required.</x:v>
      </x:c>
      <x:c r="O1382" s="15" t="str">
        <x:v>AF-KG-H08-S01</x:v>
      </x:c>
      <x:c r="P1382" s="15" t="str">
        <x:v>Unverified</x:v>
      </x:c>
      <x:c r="Q1382" s="15" t="str">
        <x:v>Not checked</x:v>
      </x:c>
      <x:c r="R1382" s="15" t="str"/>
      <x:c r="S1382" s="15" t="str"/>
      <x:c r="T1382" s="15" t="str">
        <x:v>Log first source path or blocker</x:v>
      </x:c>
      <x:c r="U1382" s="12" t="str">
        <x:f>IF(OR(P1382="Unverified",Q1382="Not checked"),"BLOCKED_PENDING_RECEIPT","READY_FOR_REVIEW")</x:f>
        <x:v>BLOCKED_PENDING_RECEIPT</x:v>
      </x:c>
      <x:c r="V1382" s="12" t="str">
        <x:f>IF(J1382="DONE","RETURNED",IF(U1382="BLOCKED_PENDING_RECEIPT","SOURCE_TOUCH_REQUIRED","IN_PROGRESS"))</x:f>
        <x:v>SOURCE_TOUCH_REQUIRED</x:v>
      </x:c>
      <x:c r="W1382" s="12" t="str">
        <x:f>IF(P1382="Unverified","missing_receipt","receipt_logged")</x:f>
        <x:v>missing_receipt</x:v>
      </x:c>
      <x:c r="X1382" s="12" t="str">
        <x:f>IF(Q1382="Not checked","raw_status_missing","raw_status_logged")</x:f>
        <x:v>raw_status_missing</x:v>
      </x:c>
      <x:c r="Y1382" s="12" t="str">
        <x:f>IF(U1382="BLOCKED_PENDING_RECEIPT","Log source path or blocker; do not promote","Route to review lane")</x:f>
        <x:v>Log source path or blocker; do not promote</x:v>
      </x:c>
      <x:c r="Z1382" s="12" t="str">
        <x:f>IF(K1382="P0","Primary seat + Hashlight/Lucerna","Seat lane")</x:f>
        <x:v>Primary seat + Hashlight/Lucerna</x:v>
      </x:c>
      <x:c r="AA1382" s="12" t="str">
        <x:f>IF(R1382="","no_claim_delta","claim_delta_present")</x:f>
        <x:v>no_claim_delta</x:v>
      </x:c>
      <x:c r="AB1382" s="12" t="str">
        <x:f>IF(S1382="","no_contradiction_delta","contradiction_delta_present")</x:f>
        <x:v>no_contradiction_delta</x:v>
      </x:c>
      <x:c r="AC1382" s="12" t="str">
        <x:f>IF(OR(ISNUMBER(SEARCH("hacker",LOWER(F1382&amp;" "&amp;H1382&amp;" "&amp;I1382&amp;" "&amp;M1382&amp;" "&amp;N1382&amp;" "&amp;T1382))),ISNUMBER(SEARCH("hacking",LOWER(F1382&amp;" "&amp;H1382&amp;" "&amp;I1382&amp;" "&amp;M1382&amp;" "&amp;N1382&amp;" "&amp;T1382))),ISNUMBER(SEARCH("bank",LOWER(F1382&amp;" "&amp;H1382&amp;" "&amp;I1382&amp;" "&amp;M1382&amp;" "&amp;N1382&amp;" "&amp;T1382))),ISNUMBER(SEARCH("banking",LOWER(F1382&amp;" "&amp;H1382&amp;" "&amp;I1382&amp;" "&amp;M1382&amp;" "&amp;N1382&amp;" "&amp;T1382)))),"PRIVATE_QUARANTINE",IF(OR(ISNUMBER(SEARCH("treasury",LOWER(F1382&amp;" "&amp;H1382&amp;" "&amp;I1382&amp;" "&amp;M1382&amp;" "&amp;N1382&amp;" "&amp;T1382))),ISNUMBER(SEARCH("debt",LOWER(F1382&amp;" "&amp;H1382&amp;" "&amp;I1382&amp;" "&amp;M1382&amp;" "&amp;N1382&amp;" "&amp;T1382))),ISNUMBER(SEARCH("bond",LOWER(F1382&amp;" "&amp;H1382&amp;" "&amp;I1382&amp;" "&amp;M1382&amp;" "&amp;N1382&amp;" "&amp;T1382))),ISNUMBER(SEARCH("transaction",LOWER(F1382&amp;" "&amp;H1382&amp;" "&amp;I1382&amp;" "&amp;M1382&amp;" "&amp;N1382&amp;" "&amp;T1382)))),"PRIVATE_REVIEW","PUBLIC_CANDIDATE"))</x:f>
        <x:v>PUBLIC_CANDIDATE</x:v>
      </x:c>
      <x:c r="AD1382" s="12" t="str">
        <x:f>IF(AC1382="PRIVATE_QUARANTINE","hacker_or_bank_trigger",IF(AC1382="PRIVATE_REVIEW","finance_risk_trigger","none"))</x:f>
        <x:v>none</x:v>
      </x:c>
      <x:c r="AE1382" s="12" t="str">
        <x:f>IF(AC1382="PUBLIC_CANDIDATE","prepare_public_github_candidate",IF(AC1382="PRIVATE_REVIEW","hold_for_private_review","quarantine_private_do_not_publish"))</x:f>
        <x:v>prepare_public_github_candidate</x:v>
      </x:c>
      <x:c r="AF1382" s="12" t="str">
        <x:f>IF(AC1382="PUBLIC_CANDIDATE","TIDELOCK + Lucerna",IF(AC1382="PRIVATE_REVIEW","AtlasBrain + Lucerna","TIDELOCK + Lucerna + Human-root"))</x:f>
        <x:v>TIDELOCK + Lucerna</x:v>
      </x:c>
      <x:c r="AG1382" s="12" t="str">
        <x:f>IF(AND(AC1382="PUBLIC_CANDIDATE",U1382&lt;&gt;"BLOCKED_PENDING_RECEIPT"),"READY_AFTER_RECEIPT","NOT_READY")</x:f>
        <x:v>NOT_READY</x:v>
      </x:c>
      <x:c r="AH1382" s="12" t="str">
        <x:f>IF(AC1382="PUBLIC_CANDIDATE","none",AD1382)</x:f>
        <x:v>none</x:v>
      </x:c>
      <x:c r="AI1382" s="12" t="str">
        <x:f>IF(AC1382="PUBLIC_CANDIDATE","archive/public_candidates/"&amp;A1382,"private_quarantine/"&amp;A1382)</x:f>
        <x:v>archive/public_candidates/SWARM-10-H08-S01</x:v>
      </x:c>
      <x:c r="AJ1382" s="12" t="str">
        <x:f>IF(AC1382="PUBLIC_CANDIDATE","public by default; still not canon","private/hold; do not publish")</x:f>
        <x:v>public by default; still not canon</x:v>
      </x:c>
      <x:c r="AK1382" s="12" t="str">
        <x:f>IF(AE1382="prepare_public_github_candidate","add receipt/status then mirror","resolve blocker before any public GitHub action")</x:f>
        <x:v>add receipt/status then mirror</x:v>
      </x:c>
    </x:row>
    <x:row r="1383">
      <x:c r="A1383" s="15" t="str">
        <x:v>SWARM-10-H08-S02</x:v>
      </x:c>
      <x:c r="B1383" s="15" t="str">
        <x:v>GitShelf</x:v>
      </x:c>
      <x:c r="C1383" s="15" t="str">
        <x:v>GitHub shelf builder</x:v>
      </x:c>
      <x:c r="D1383" s="15" t="str">
        <x:v>Graph Edge Proposals</x:v>
      </x:c>
      <x:c r="E1383" s="15" t="str">
        <x:v>Drive</x:v>
      </x:c>
      <x:c r="F1383" s="15" t="str">
        <x:v>Propose graph edges for Drive — GitShelf</x:v>
      </x:c>
      <x:c r="G1383" s="15" t="str">
        <x:v>repo packet / manifest / issue template prep</x:v>
      </x:c>
      <x:c r="H1383" s="15" t="str">
        <x:v>source path + receipt + raw/export status + claim/edge/risk delta</x:v>
      </x:c>
      <x:c r="I1383" s="15" t="str">
        <x:v>packet/SWARM-10-H08-S02</x:v>
      </x:c>
      <x:c r="J1383" s="15" t="str">
        <x:v>TODO</x:v>
      </x:c>
      <x:c r="K1383" s="15" t="str">
        <x:v>P0</x:v>
      </x:c>
      <x:c r="L1383" s="15" t="str">
        <x:v>Done only when evidence is logged, contradiction search is noted, and boundary stamp remains non-canon unless ratified</x:v>
      </x:c>
      <x:c r="M1383" s="15" t="str">
        <x:v>candidate / staging-only / not canon / not deployed / authority none</x:v>
      </x:c>
      <x:c r="N1383" s="15" t="str">
        <x:v>Dispatch to GitShelf: complete Graph Edge Proposals x Drive; return deltas only, receipts required.</x:v>
      </x:c>
      <x:c r="O1383" s="15" t="str">
        <x:v>AF-KG-H08-S02</x:v>
      </x:c>
      <x:c r="P1383" s="15" t="str">
        <x:v>Unverified</x:v>
      </x:c>
      <x:c r="Q1383" s="15" t="str">
        <x:v>Not checked</x:v>
      </x:c>
      <x:c r="R1383" s="15" t="str"/>
      <x:c r="S1383" s="15" t="str"/>
      <x:c r="T1383" s="15" t="str">
        <x:v>Log first source path or blocker</x:v>
      </x:c>
      <x:c r="U1383" s="12" t="str">
        <x:f>IF(OR(P1383="Unverified",Q1383="Not checked"),"BLOCKED_PENDING_RECEIPT","READY_FOR_REVIEW")</x:f>
        <x:v>BLOCKED_PENDING_RECEIPT</x:v>
      </x:c>
      <x:c r="V1383" s="12" t="str">
        <x:f>IF(J1383="DONE","RETURNED",IF(U1383="BLOCKED_PENDING_RECEIPT","SOURCE_TOUCH_REQUIRED","IN_PROGRESS"))</x:f>
        <x:v>SOURCE_TOUCH_REQUIRED</x:v>
      </x:c>
      <x:c r="W1383" s="12" t="str">
        <x:f>IF(P1383="Unverified","missing_receipt","receipt_logged")</x:f>
        <x:v>missing_receipt</x:v>
      </x:c>
      <x:c r="X1383" s="12" t="str">
        <x:f>IF(Q1383="Not checked","raw_status_missing","raw_status_logged")</x:f>
        <x:v>raw_status_missing</x:v>
      </x:c>
      <x:c r="Y1383" s="12" t="str">
        <x:f>IF(U1383="BLOCKED_PENDING_RECEIPT","Log source path or blocker; do not promote","Route to review lane")</x:f>
        <x:v>Log source path or blocker; do not promote</x:v>
      </x:c>
      <x:c r="Z1383" s="12" t="str">
        <x:f>IF(K1383="P0","Primary seat + Hashlight/Lucerna","Seat lane")</x:f>
        <x:v>Primary seat + Hashlight/Lucerna</x:v>
      </x:c>
      <x:c r="AA1383" s="12" t="str">
        <x:f>IF(R1383="","no_claim_delta","claim_delta_present")</x:f>
        <x:v>no_claim_delta</x:v>
      </x:c>
      <x:c r="AB1383" s="12" t="str">
        <x:f>IF(S1383="","no_contradiction_delta","contradiction_delta_present")</x:f>
        <x:v>no_contradiction_delta</x:v>
      </x:c>
      <x:c r="AC1383" s="12" t="str">
        <x:f>IF(OR(ISNUMBER(SEARCH("hacker",LOWER(F1383&amp;" "&amp;H1383&amp;" "&amp;I1383&amp;" "&amp;M1383&amp;" "&amp;N1383&amp;" "&amp;T1383))),ISNUMBER(SEARCH("hacking",LOWER(F1383&amp;" "&amp;H1383&amp;" "&amp;I1383&amp;" "&amp;M1383&amp;" "&amp;N1383&amp;" "&amp;T1383))),ISNUMBER(SEARCH("bank",LOWER(F1383&amp;" "&amp;H1383&amp;" "&amp;I1383&amp;" "&amp;M1383&amp;" "&amp;N1383&amp;" "&amp;T1383))),ISNUMBER(SEARCH("banking",LOWER(F1383&amp;" "&amp;H1383&amp;" "&amp;I1383&amp;" "&amp;M1383&amp;" "&amp;N1383&amp;" "&amp;T1383)))),"PRIVATE_QUARANTINE",IF(OR(ISNUMBER(SEARCH("treasury",LOWER(F1383&amp;" "&amp;H1383&amp;" "&amp;I1383&amp;" "&amp;M1383&amp;" "&amp;N1383&amp;" "&amp;T1383))),ISNUMBER(SEARCH("debt",LOWER(F1383&amp;" "&amp;H1383&amp;" "&amp;I1383&amp;" "&amp;M1383&amp;" "&amp;N1383&amp;" "&amp;T1383))),ISNUMBER(SEARCH("bond",LOWER(F1383&amp;" "&amp;H1383&amp;" "&amp;I1383&amp;" "&amp;M1383&amp;" "&amp;N1383&amp;" "&amp;T1383))),ISNUMBER(SEARCH("transaction",LOWER(F1383&amp;" "&amp;H1383&amp;" "&amp;I1383&amp;" "&amp;M1383&amp;" "&amp;N1383&amp;" "&amp;T1383)))),"PRIVATE_REVIEW","PUBLIC_CANDIDATE"))</x:f>
        <x:v>PUBLIC_CANDIDATE</x:v>
      </x:c>
      <x:c r="AD1383" s="12" t="str">
        <x:f>IF(AC1383="PRIVATE_QUARANTINE","hacker_or_bank_trigger",IF(AC1383="PRIVATE_REVIEW","finance_risk_trigger","none"))</x:f>
        <x:v>none</x:v>
      </x:c>
      <x:c r="AE1383" s="12" t="str">
        <x:f>IF(AC1383="PUBLIC_CANDIDATE","prepare_public_github_candidate",IF(AC1383="PRIVATE_REVIEW","hold_for_private_review","quarantine_private_do_not_publish"))</x:f>
        <x:v>prepare_public_github_candidate</x:v>
      </x:c>
      <x:c r="AF1383" s="12" t="str">
        <x:f>IF(AC1383="PUBLIC_CANDIDATE","TIDELOCK + Lucerna",IF(AC1383="PRIVATE_REVIEW","AtlasBrain + Lucerna","TIDELOCK + Lucerna + Human-root"))</x:f>
        <x:v>TIDELOCK + Lucerna</x:v>
      </x:c>
      <x:c r="AG1383" s="12" t="str">
        <x:f>IF(AND(AC1383="PUBLIC_CANDIDATE",U1383&lt;&gt;"BLOCKED_PENDING_RECEIPT"),"READY_AFTER_RECEIPT","NOT_READY")</x:f>
        <x:v>NOT_READY</x:v>
      </x:c>
      <x:c r="AH1383" s="12" t="str">
        <x:f>IF(AC1383="PUBLIC_CANDIDATE","none",AD1383)</x:f>
        <x:v>none</x:v>
      </x:c>
      <x:c r="AI1383" s="12" t="str">
        <x:f>IF(AC1383="PUBLIC_CANDIDATE","archive/public_candidates/"&amp;A1383,"private_quarantine/"&amp;A1383)</x:f>
        <x:v>archive/public_candidates/SWARM-10-H08-S02</x:v>
      </x:c>
      <x:c r="AJ1383" s="12" t="str">
        <x:f>IF(AC1383="PUBLIC_CANDIDATE","public by default; still not canon","private/hold; do not publish")</x:f>
        <x:v>public by default; still not canon</x:v>
      </x:c>
      <x:c r="AK1383" s="12" t="str">
        <x:f>IF(AE1383="prepare_public_github_candidate","add receipt/status then mirror","resolve blocker before any public GitHub action")</x:f>
        <x:v>add receipt/status then mirror</x:v>
      </x:c>
    </x:row>
    <x:row r="1384">
      <x:c r="A1384" s="15" t="str">
        <x:v>SWARM-10-H08-S03</x:v>
      </x:c>
      <x:c r="B1384" s="15" t="str">
        <x:v>GitShelf</x:v>
      </x:c>
      <x:c r="C1384" s="15" t="str">
        <x:v>GitHub shelf builder</x:v>
      </x:c>
      <x:c r="D1384" s="15" t="str">
        <x:v>Graph Edge Proposals</x:v>
      </x:c>
      <x:c r="E1384" s="15" t="str">
        <x:v>GitHub</x:v>
      </x:c>
      <x:c r="F1384" s="15" t="str">
        <x:v>Propose graph edges for GitHub — GitShelf</x:v>
      </x:c>
      <x:c r="G1384" s="15" t="str">
        <x:v>repo packet / manifest / issue template prep</x:v>
      </x:c>
      <x:c r="H1384" s="15" t="str">
        <x:v>source path + receipt + raw/export status + claim/edge/risk delta</x:v>
      </x:c>
      <x:c r="I1384" s="15" t="str">
        <x:v>packet/SWARM-10-H08-S03</x:v>
      </x:c>
      <x:c r="J1384" s="15" t="str">
        <x:v>TODO</x:v>
      </x:c>
      <x:c r="K1384" s="15" t="str">
        <x:v>P0</x:v>
      </x:c>
      <x:c r="L1384" s="15" t="str">
        <x:v>Done only when evidence is logged, contradiction search is noted, and boundary stamp remains non-canon unless ratified</x:v>
      </x:c>
      <x:c r="M1384" s="15" t="str">
        <x:v>candidate / staging-only / not canon / not deployed / authority none</x:v>
      </x:c>
      <x:c r="N1384" s="15" t="str">
        <x:v>Dispatch to GitShelf: complete Graph Edge Proposals x GitHub; return deltas only, receipts required.</x:v>
      </x:c>
      <x:c r="O1384" s="15" t="str">
        <x:v>AF-KG-H08-S03</x:v>
      </x:c>
      <x:c r="P1384" s="15" t="str">
        <x:v>Unverified</x:v>
      </x:c>
      <x:c r="Q1384" s="15" t="str">
        <x:v>Not checked</x:v>
      </x:c>
      <x:c r="R1384" s="15" t="str"/>
      <x:c r="S1384" s="15" t="str"/>
      <x:c r="T1384" s="15" t="str">
        <x:v>Log first source path or blocker</x:v>
      </x:c>
      <x:c r="U1384" s="12" t="str">
        <x:f>IF(OR(P1384="Unverified",Q1384="Not checked"),"BLOCKED_PENDING_RECEIPT","READY_FOR_REVIEW")</x:f>
        <x:v>BLOCKED_PENDING_RECEIPT</x:v>
      </x:c>
      <x:c r="V1384" s="12" t="str">
        <x:f>IF(J1384="DONE","RETURNED",IF(U1384="BLOCKED_PENDING_RECEIPT","SOURCE_TOUCH_REQUIRED","IN_PROGRESS"))</x:f>
        <x:v>SOURCE_TOUCH_REQUIRED</x:v>
      </x:c>
      <x:c r="W1384" s="12" t="str">
        <x:f>IF(P1384="Unverified","missing_receipt","receipt_logged")</x:f>
        <x:v>missing_receipt</x:v>
      </x:c>
      <x:c r="X1384" s="12" t="str">
        <x:f>IF(Q1384="Not checked","raw_status_missing","raw_status_logged")</x:f>
        <x:v>raw_status_missing</x:v>
      </x:c>
      <x:c r="Y1384" s="12" t="str">
        <x:f>IF(U1384="BLOCKED_PENDING_RECEIPT","Log source path or blocker; do not promote","Route to review lane")</x:f>
        <x:v>Log source path or blocker; do not promote</x:v>
      </x:c>
      <x:c r="Z1384" s="12" t="str">
        <x:f>IF(K1384="P0","Primary seat + Hashlight/Lucerna","Seat lane")</x:f>
        <x:v>Primary seat + Hashlight/Lucerna</x:v>
      </x:c>
      <x:c r="AA1384" s="12" t="str">
        <x:f>IF(R1384="","no_claim_delta","claim_delta_present")</x:f>
        <x:v>no_claim_delta</x:v>
      </x:c>
      <x:c r="AB1384" s="12" t="str">
        <x:f>IF(S1384="","no_contradiction_delta","contradiction_delta_present")</x:f>
        <x:v>no_contradiction_delta</x:v>
      </x:c>
      <x:c r="AC1384" s="12" t="str">
        <x:f>IF(OR(ISNUMBER(SEARCH("hacker",LOWER(F1384&amp;" "&amp;H1384&amp;" "&amp;I1384&amp;" "&amp;M1384&amp;" "&amp;N1384&amp;" "&amp;T1384))),ISNUMBER(SEARCH("hacking",LOWER(F1384&amp;" "&amp;H1384&amp;" "&amp;I1384&amp;" "&amp;M1384&amp;" "&amp;N1384&amp;" "&amp;T1384))),ISNUMBER(SEARCH("bank",LOWER(F1384&amp;" "&amp;H1384&amp;" "&amp;I1384&amp;" "&amp;M1384&amp;" "&amp;N1384&amp;" "&amp;T1384))),ISNUMBER(SEARCH("banking",LOWER(F1384&amp;" "&amp;H1384&amp;" "&amp;I1384&amp;" "&amp;M1384&amp;" "&amp;N1384&amp;" "&amp;T1384)))),"PRIVATE_QUARANTINE",IF(OR(ISNUMBER(SEARCH("treasury",LOWER(F1384&amp;" "&amp;H1384&amp;" "&amp;I1384&amp;" "&amp;M1384&amp;" "&amp;N1384&amp;" "&amp;T1384))),ISNUMBER(SEARCH("debt",LOWER(F1384&amp;" "&amp;H1384&amp;" "&amp;I1384&amp;" "&amp;M1384&amp;" "&amp;N1384&amp;" "&amp;T1384))),ISNUMBER(SEARCH("bond",LOWER(F1384&amp;" "&amp;H1384&amp;" "&amp;I1384&amp;" "&amp;M1384&amp;" "&amp;N1384&amp;" "&amp;T1384))),ISNUMBER(SEARCH("transaction",LOWER(F1384&amp;" "&amp;H1384&amp;" "&amp;I1384&amp;" "&amp;M1384&amp;" "&amp;N1384&amp;" "&amp;T1384)))),"PRIVATE_REVIEW","PUBLIC_CANDIDATE"))</x:f>
        <x:v>PUBLIC_CANDIDATE</x:v>
      </x:c>
      <x:c r="AD1384" s="12" t="str">
        <x:f>IF(AC1384="PRIVATE_QUARANTINE","hacker_or_bank_trigger",IF(AC1384="PRIVATE_REVIEW","finance_risk_trigger","none"))</x:f>
        <x:v>none</x:v>
      </x:c>
      <x:c r="AE1384" s="12" t="str">
        <x:f>IF(AC1384="PUBLIC_CANDIDATE","prepare_public_github_candidate",IF(AC1384="PRIVATE_REVIEW","hold_for_private_review","quarantine_private_do_not_publish"))</x:f>
        <x:v>prepare_public_github_candidate</x:v>
      </x:c>
      <x:c r="AF1384" s="12" t="str">
        <x:f>IF(AC1384="PUBLIC_CANDIDATE","TIDELOCK + Lucerna",IF(AC1384="PRIVATE_REVIEW","AtlasBrain + Lucerna","TIDELOCK + Lucerna + Human-root"))</x:f>
        <x:v>TIDELOCK + Lucerna</x:v>
      </x:c>
      <x:c r="AG1384" s="12" t="str">
        <x:f>IF(AND(AC1384="PUBLIC_CANDIDATE",U1384&lt;&gt;"BLOCKED_PENDING_RECEIPT"),"READY_AFTER_RECEIPT","NOT_READY")</x:f>
        <x:v>NOT_READY</x:v>
      </x:c>
      <x:c r="AH1384" s="12" t="str">
        <x:f>IF(AC1384="PUBLIC_CANDIDATE","none",AD1384)</x:f>
        <x:v>none</x:v>
      </x:c>
      <x:c r="AI1384" s="12" t="str">
        <x:f>IF(AC1384="PUBLIC_CANDIDATE","archive/public_candidates/"&amp;A1384,"private_quarantine/"&amp;A1384)</x:f>
        <x:v>archive/public_candidates/SWARM-10-H08-S03</x:v>
      </x:c>
      <x:c r="AJ1384" s="12" t="str">
        <x:f>IF(AC1384="PUBLIC_CANDIDATE","public by default; still not canon","private/hold; do not publish")</x:f>
        <x:v>public by default; still not canon</x:v>
      </x:c>
      <x:c r="AK1384" s="12" t="str">
        <x:f>IF(AE1384="prepare_public_github_candidate","add receipt/status then mirror","resolve blocker before any public GitHub action")</x:f>
        <x:v>add receipt/status then mirror</x:v>
      </x:c>
    </x:row>
    <x:row r="1385">
      <x:c r="A1385" s="15" t="str">
        <x:v>SWARM-10-H08-S04</x:v>
      </x:c>
      <x:c r="B1385" s="15" t="str">
        <x:v>GitShelf</x:v>
      </x:c>
      <x:c r="C1385" s="15" t="str">
        <x:v>GitHub shelf builder</x:v>
      </x:c>
      <x:c r="D1385" s="15" t="str">
        <x:v>Graph Edge Proposals</x:v>
      </x:c>
      <x:c r="E1385" s="15" t="str">
        <x:v>Gamma</x:v>
      </x:c>
      <x:c r="F1385" s="15" t="str">
        <x:v>Propose graph edges for Gamma — GitShelf</x:v>
      </x:c>
      <x:c r="G1385" s="15" t="str">
        <x:v>repo packet / manifest / issue template prep</x:v>
      </x:c>
      <x:c r="H1385" s="15" t="str">
        <x:v>source path + receipt + raw/export status + claim/edge/risk delta</x:v>
      </x:c>
      <x:c r="I1385" s="15" t="str">
        <x:v>packet/SWARM-10-H08-S04</x:v>
      </x:c>
      <x:c r="J1385" s="15" t="str">
        <x:v>TODO</x:v>
      </x:c>
      <x:c r="K1385" s="15" t="str">
        <x:v>P1</x:v>
      </x:c>
      <x:c r="L1385" s="15" t="str">
        <x:v>Done only when evidence is logged, contradiction search is noted, and boundary stamp remains non-canon unless ratified</x:v>
      </x:c>
      <x:c r="M1385" s="15" t="str">
        <x:v>candidate / staging-only / not canon / not deployed / authority none</x:v>
      </x:c>
      <x:c r="N1385" s="15" t="str">
        <x:v>Dispatch to GitShelf: complete Graph Edge Proposals x Gamma; return deltas only, receipts required.</x:v>
      </x:c>
      <x:c r="O1385" s="15" t="str">
        <x:v>AF-KG-H08-S04</x:v>
      </x:c>
      <x:c r="P1385" s="15" t="str">
        <x:v>Unverified</x:v>
      </x:c>
      <x:c r="Q1385" s="15" t="str">
        <x:v>Not checked</x:v>
      </x:c>
      <x:c r="R1385" s="15" t="str"/>
      <x:c r="S1385" s="15" t="str"/>
      <x:c r="T1385" s="15" t="str">
        <x:v>Log first source path or blocker</x:v>
      </x:c>
      <x:c r="U1385" s="12" t="str">
        <x:f>IF(OR(P1385="Unverified",Q1385="Not checked"),"BLOCKED_PENDING_RECEIPT","READY_FOR_REVIEW")</x:f>
        <x:v>BLOCKED_PENDING_RECEIPT</x:v>
      </x:c>
      <x:c r="V1385" s="12" t="str">
        <x:f>IF(J1385="DONE","RETURNED",IF(U1385="BLOCKED_PENDING_RECEIPT","SOURCE_TOUCH_REQUIRED","IN_PROGRESS"))</x:f>
        <x:v>SOURCE_TOUCH_REQUIRED</x:v>
      </x:c>
      <x:c r="W1385" s="12" t="str">
        <x:f>IF(P1385="Unverified","missing_receipt","receipt_logged")</x:f>
        <x:v>missing_receipt</x:v>
      </x:c>
      <x:c r="X1385" s="12" t="str">
        <x:f>IF(Q1385="Not checked","raw_status_missing","raw_status_logged")</x:f>
        <x:v>raw_status_missing</x:v>
      </x:c>
      <x:c r="Y1385" s="12" t="str">
        <x:f>IF(U1385="BLOCKED_PENDING_RECEIPT","Log source path or blocker; do not promote","Route to review lane")</x:f>
        <x:v>Log source path or blocker; do not promote</x:v>
      </x:c>
      <x:c r="Z1385" s="12" t="str">
        <x:f>IF(K1385="P0","Primary seat + Hashlight/Lucerna","Seat lane")</x:f>
        <x:v>Seat lane</x:v>
      </x:c>
      <x:c r="AA1385" s="12" t="str">
        <x:f>IF(R1385="","no_claim_delta","claim_delta_present")</x:f>
        <x:v>no_claim_delta</x:v>
      </x:c>
      <x:c r="AB1385" s="12" t="str">
        <x:f>IF(S1385="","no_contradiction_delta","contradiction_delta_present")</x:f>
        <x:v>no_contradiction_delta</x:v>
      </x:c>
      <x:c r="AC1385" s="12" t="str">
        <x:f>IF(OR(ISNUMBER(SEARCH("hacker",LOWER(F1385&amp;" "&amp;H1385&amp;" "&amp;I1385&amp;" "&amp;M1385&amp;" "&amp;N1385&amp;" "&amp;T1385))),ISNUMBER(SEARCH("hacking",LOWER(F1385&amp;" "&amp;H1385&amp;" "&amp;I1385&amp;" "&amp;M1385&amp;" "&amp;N1385&amp;" "&amp;T1385))),ISNUMBER(SEARCH("bank",LOWER(F1385&amp;" "&amp;H1385&amp;" "&amp;I1385&amp;" "&amp;M1385&amp;" "&amp;N1385&amp;" "&amp;T1385))),ISNUMBER(SEARCH("banking",LOWER(F1385&amp;" "&amp;H1385&amp;" "&amp;I1385&amp;" "&amp;M1385&amp;" "&amp;N1385&amp;" "&amp;T1385)))),"PRIVATE_QUARANTINE",IF(OR(ISNUMBER(SEARCH("treasury",LOWER(F1385&amp;" "&amp;H1385&amp;" "&amp;I1385&amp;" "&amp;M1385&amp;" "&amp;N1385&amp;" "&amp;T1385))),ISNUMBER(SEARCH("debt",LOWER(F1385&amp;" "&amp;H1385&amp;" "&amp;I1385&amp;" "&amp;M1385&amp;" "&amp;N1385&amp;" "&amp;T1385))),ISNUMBER(SEARCH("bond",LOWER(F1385&amp;" "&amp;H1385&amp;" "&amp;I1385&amp;" "&amp;M1385&amp;" "&amp;N1385&amp;" "&amp;T1385))),ISNUMBER(SEARCH("transaction",LOWER(F1385&amp;" "&amp;H1385&amp;" "&amp;I1385&amp;" "&amp;M1385&amp;" "&amp;N1385&amp;" "&amp;T1385)))),"PRIVATE_REVIEW","PUBLIC_CANDIDATE"))</x:f>
        <x:v>PUBLIC_CANDIDATE</x:v>
      </x:c>
      <x:c r="AD1385" s="12" t="str">
        <x:f>IF(AC1385="PRIVATE_QUARANTINE","hacker_or_bank_trigger",IF(AC1385="PRIVATE_REVIEW","finance_risk_trigger","none"))</x:f>
        <x:v>none</x:v>
      </x:c>
      <x:c r="AE1385" s="12" t="str">
        <x:f>IF(AC1385="PUBLIC_CANDIDATE","prepare_public_github_candidate",IF(AC1385="PRIVATE_REVIEW","hold_for_private_review","quarantine_private_do_not_publish"))</x:f>
        <x:v>prepare_public_github_candidate</x:v>
      </x:c>
      <x:c r="AF1385" s="12" t="str">
        <x:f>IF(AC1385="PUBLIC_CANDIDATE","TIDELOCK + Lucerna",IF(AC1385="PRIVATE_REVIEW","AtlasBrain + Lucerna","TIDELOCK + Lucerna + Human-root"))</x:f>
        <x:v>TIDELOCK + Lucerna</x:v>
      </x:c>
      <x:c r="AG1385" s="12" t="str">
        <x:f>IF(AND(AC1385="PUBLIC_CANDIDATE",U1385&lt;&gt;"BLOCKED_PENDING_RECEIPT"),"READY_AFTER_RECEIPT","NOT_READY")</x:f>
        <x:v>NOT_READY</x:v>
      </x:c>
      <x:c r="AH1385" s="12" t="str">
        <x:f>IF(AC1385="PUBLIC_CANDIDATE","none",AD1385)</x:f>
        <x:v>none</x:v>
      </x:c>
      <x:c r="AI1385" s="12" t="str">
        <x:f>IF(AC1385="PUBLIC_CANDIDATE","archive/public_candidates/"&amp;A1385,"private_quarantine/"&amp;A1385)</x:f>
        <x:v>archive/public_candidates/SWARM-10-H08-S04</x:v>
      </x:c>
      <x:c r="AJ1385" s="12" t="str">
        <x:f>IF(AC1385="PUBLIC_CANDIDATE","public by default; still not canon","private/hold; do not publish")</x:f>
        <x:v>public by default; still not canon</x:v>
      </x:c>
      <x:c r="AK1385" s="12" t="str">
        <x:f>IF(AE1385="prepare_public_github_candidate","add receipt/status then mirror","resolve blocker before any public GitHub action")</x:f>
        <x:v>add receipt/status then mirror</x:v>
      </x:c>
    </x:row>
    <x:row r="1386">
      <x:c r="A1386" s="15" t="str">
        <x:v>SWARM-10-H08-S05</x:v>
      </x:c>
      <x:c r="B1386" s="15" t="str">
        <x:v>GitShelf</x:v>
      </x:c>
      <x:c r="C1386" s="15" t="str">
        <x:v>GitHub shelf builder</x:v>
      </x:c>
      <x:c r="D1386" s="15" t="str">
        <x:v>Graph Edge Proposals</x:v>
      </x:c>
      <x:c r="E1386" s="15" t="str">
        <x:v>Chat</x:v>
      </x:c>
      <x:c r="F1386" s="15" t="str">
        <x:v>Propose graph edges for Chat — GitShelf</x:v>
      </x:c>
      <x:c r="G1386" s="15" t="str">
        <x:v>repo packet / manifest / issue template prep</x:v>
      </x:c>
      <x:c r="H1386" s="15" t="str">
        <x:v>source path + receipt + raw/export status + claim/edge/risk delta</x:v>
      </x:c>
      <x:c r="I1386" s="15" t="str">
        <x:v>packet/SWARM-10-H08-S05</x:v>
      </x:c>
      <x:c r="J1386" s="15" t="str">
        <x:v>TODO</x:v>
      </x:c>
      <x:c r="K1386" s="15" t="str">
        <x:v>P1</x:v>
      </x:c>
      <x:c r="L1386" s="15" t="str">
        <x:v>Done only when evidence is logged, contradiction search is noted, and boundary stamp remains non-canon unless ratified</x:v>
      </x:c>
      <x:c r="M1386" s="15" t="str">
        <x:v>candidate / staging-only / not canon / not deployed / authority none</x:v>
      </x:c>
      <x:c r="N1386" s="15" t="str">
        <x:v>Dispatch to GitShelf: complete Graph Edge Proposals x Chat; return deltas only, receipts required.</x:v>
      </x:c>
      <x:c r="O1386" s="15" t="str">
        <x:v>AF-KG-H08-S05</x:v>
      </x:c>
      <x:c r="P1386" s="15" t="str">
        <x:v>Unverified</x:v>
      </x:c>
      <x:c r="Q1386" s="15" t="str">
        <x:v>Not checked</x:v>
      </x:c>
      <x:c r="R1386" s="15" t="str"/>
      <x:c r="S1386" s="15" t="str"/>
      <x:c r="T1386" s="15" t="str">
        <x:v>Log first source path or blocker</x:v>
      </x:c>
      <x:c r="U1386" s="12" t="str">
        <x:f>IF(OR(P1386="Unverified",Q1386="Not checked"),"BLOCKED_PENDING_RECEIPT","READY_FOR_REVIEW")</x:f>
        <x:v>BLOCKED_PENDING_RECEIPT</x:v>
      </x:c>
      <x:c r="V1386" s="12" t="str">
        <x:f>IF(J1386="DONE","RETURNED",IF(U1386="BLOCKED_PENDING_RECEIPT","SOURCE_TOUCH_REQUIRED","IN_PROGRESS"))</x:f>
        <x:v>SOURCE_TOUCH_REQUIRED</x:v>
      </x:c>
      <x:c r="W1386" s="12" t="str">
        <x:f>IF(P1386="Unverified","missing_receipt","receipt_logged")</x:f>
        <x:v>missing_receipt</x:v>
      </x:c>
      <x:c r="X1386" s="12" t="str">
        <x:f>IF(Q1386="Not checked","raw_status_missing","raw_status_logged")</x:f>
        <x:v>raw_status_missing</x:v>
      </x:c>
      <x:c r="Y1386" s="12" t="str">
        <x:f>IF(U1386="BLOCKED_PENDING_RECEIPT","Log source path or blocker; do not promote","Route to review lane")</x:f>
        <x:v>Log source path or blocker; do not promote</x:v>
      </x:c>
      <x:c r="Z1386" s="12" t="str">
        <x:f>IF(K1386="P0","Primary seat + Hashlight/Lucerna","Seat lane")</x:f>
        <x:v>Seat lane</x:v>
      </x:c>
      <x:c r="AA1386" s="12" t="str">
        <x:f>IF(R1386="","no_claim_delta","claim_delta_present")</x:f>
        <x:v>no_claim_delta</x:v>
      </x:c>
      <x:c r="AB1386" s="12" t="str">
        <x:f>IF(S1386="","no_contradiction_delta","contradiction_delta_present")</x:f>
        <x:v>no_contradiction_delta</x:v>
      </x:c>
      <x:c r="AC1386" s="12" t="str">
        <x:f>IF(OR(ISNUMBER(SEARCH("hacker",LOWER(F1386&amp;" "&amp;H1386&amp;" "&amp;I1386&amp;" "&amp;M1386&amp;" "&amp;N1386&amp;" "&amp;T1386))),ISNUMBER(SEARCH("hacking",LOWER(F1386&amp;" "&amp;H1386&amp;" "&amp;I1386&amp;" "&amp;M1386&amp;" "&amp;N1386&amp;" "&amp;T1386))),ISNUMBER(SEARCH("bank",LOWER(F1386&amp;" "&amp;H1386&amp;" "&amp;I1386&amp;" "&amp;M1386&amp;" "&amp;N1386&amp;" "&amp;T1386))),ISNUMBER(SEARCH("banking",LOWER(F1386&amp;" "&amp;H1386&amp;" "&amp;I1386&amp;" "&amp;M1386&amp;" "&amp;N1386&amp;" "&amp;T1386)))),"PRIVATE_QUARANTINE",IF(OR(ISNUMBER(SEARCH("treasury",LOWER(F1386&amp;" "&amp;H1386&amp;" "&amp;I1386&amp;" "&amp;M1386&amp;" "&amp;N1386&amp;" "&amp;T1386))),ISNUMBER(SEARCH("debt",LOWER(F1386&amp;" "&amp;H1386&amp;" "&amp;I1386&amp;" "&amp;M1386&amp;" "&amp;N1386&amp;" "&amp;T1386))),ISNUMBER(SEARCH("bond",LOWER(F1386&amp;" "&amp;H1386&amp;" "&amp;I1386&amp;" "&amp;M1386&amp;" "&amp;N1386&amp;" "&amp;T1386))),ISNUMBER(SEARCH("transaction",LOWER(F1386&amp;" "&amp;H1386&amp;" "&amp;I1386&amp;" "&amp;M1386&amp;" "&amp;N1386&amp;" "&amp;T1386)))),"PRIVATE_REVIEW","PUBLIC_CANDIDATE"))</x:f>
        <x:v>PUBLIC_CANDIDATE</x:v>
      </x:c>
      <x:c r="AD1386" s="12" t="str">
        <x:f>IF(AC1386="PRIVATE_QUARANTINE","hacker_or_bank_trigger",IF(AC1386="PRIVATE_REVIEW","finance_risk_trigger","none"))</x:f>
        <x:v>none</x:v>
      </x:c>
      <x:c r="AE1386" s="12" t="str">
        <x:f>IF(AC1386="PUBLIC_CANDIDATE","prepare_public_github_candidate",IF(AC1386="PRIVATE_REVIEW","hold_for_private_review","quarantine_private_do_not_publish"))</x:f>
        <x:v>prepare_public_github_candidate</x:v>
      </x:c>
      <x:c r="AF1386" s="12" t="str">
        <x:f>IF(AC1386="PUBLIC_CANDIDATE","TIDELOCK + Lucerna",IF(AC1386="PRIVATE_REVIEW","AtlasBrain + Lucerna","TIDELOCK + Lucerna + Human-root"))</x:f>
        <x:v>TIDELOCK + Lucerna</x:v>
      </x:c>
      <x:c r="AG1386" s="12" t="str">
        <x:f>IF(AND(AC1386="PUBLIC_CANDIDATE",U1386&lt;&gt;"BLOCKED_PENDING_RECEIPT"),"READY_AFTER_RECEIPT","NOT_READY")</x:f>
        <x:v>NOT_READY</x:v>
      </x:c>
      <x:c r="AH1386" s="12" t="str">
        <x:f>IF(AC1386="PUBLIC_CANDIDATE","none",AD1386)</x:f>
        <x:v>none</x:v>
      </x:c>
      <x:c r="AI1386" s="12" t="str">
        <x:f>IF(AC1386="PUBLIC_CANDIDATE","archive/public_candidates/"&amp;A1386,"private_quarantine/"&amp;A1386)</x:f>
        <x:v>archive/public_candidates/SWARM-10-H08-S05</x:v>
      </x:c>
      <x:c r="AJ1386" s="12" t="str">
        <x:f>IF(AC1386="PUBLIC_CANDIDATE","public by default; still not canon","private/hold; do not publish")</x:f>
        <x:v>public by default; still not canon</x:v>
      </x:c>
      <x:c r="AK1386" s="12" t="str">
        <x:f>IF(AE1386="prepare_public_github_candidate","add receipt/status then mirror","resolve blocker before any public GitHub action")</x:f>
        <x:v>add receipt/status then mirror</x:v>
      </x:c>
    </x:row>
    <x:row r="1387">
      <x:c r="A1387" s="15" t="str">
        <x:v>SWARM-10-H08-S06</x:v>
      </x:c>
      <x:c r="B1387" s="15" t="str">
        <x:v>GitShelf</x:v>
      </x:c>
      <x:c r="C1387" s="15" t="str">
        <x:v>GitHub shelf builder</x:v>
      </x:c>
      <x:c r="D1387" s="15" t="str">
        <x:v>Graph Edge Proposals</x:v>
      </x:c>
      <x:c r="E1387" s="15" t="str">
        <x:v>External Web</x:v>
      </x:c>
      <x:c r="F1387" s="15" t="str">
        <x:v>Propose graph edges for External Web — GitShelf</x:v>
      </x:c>
      <x:c r="G1387" s="15" t="str">
        <x:v>repo packet / manifest / issue template prep</x:v>
      </x:c>
      <x:c r="H1387" s="15" t="str">
        <x:v>source path + receipt + raw/export status + claim/edge/risk delta</x:v>
      </x:c>
      <x:c r="I1387" s="15" t="str">
        <x:v>packet/SWARM-10-H08-S06</x:v>
      </x:c>
      <x:c r="J1387" s="15" t="str">
        <x:v>TODO</x:v>
      </x:c>
      <x:c r="K1387" s="15" t="str">
        <x:v>P1</x:v>
      </x:c>
      <x:c r="L1387" s="15" t="str">
        <x:v>Done only when evidence is logged, contradiction search is noted, and boundary stamp remains non-canon unless ratified</x:v>
      </x:c>
      <x:c r="M1387" s="15" t="str">
        <x:v>candidate / staging-only / not canon / not deployed / authority none</x:v>
      </x:c>
      <x:c r="N1387" s="15" t="str">
        <x:v>Dispatch to GitShelf: complete Graph Edge Proposals x External Web; return deltas only, receipts required.</x:v>
      </x:c>
      <x:c r="O1387" s="15" t="str">
        <x:v>AF-KG-H08-S06</x:v>
      </x:c>
      <x:c r="P1387" s="15" t="str">
        <x:v>Unverified</x:v>
      </x:c>
      <x:c r="Q1387" s="15" t="str">
        <x:v>Not checked</x:v>
      </x:c>
      <x:c r="R1387" s="15" t="str"/>
      <x:c r="S1387" s="15" t="str"/>
      <x:c r="T1387" s="15" t="str">
        <x:v>Log first source path or blocker</x:v>
      </x:c>
      <x:c r="U1387" s="12" t="str">
        <x:f>IF(OR(P1387="Unverified",Q1387="Not checked"),"BLOCKED_PENDING_RECEIPT","READY_FOR_REVIEW")</x:f>
        <x:v>BLOCKED_PENDING_RECEIPT</x:v>
      </x:c>
      <x:c r="V1387" s="12" t="str">
        <x:f>IF(J1387="DONE","RETURNED",IF(U1387="BLOCKED_PENDING_RECEIPT","SOURCE_TOUCH_REQUIRED","IN_PROGRESS"))</x:f>
        <x:v>SOURCE_TOUCH_REQUIRED</x:v>
      </x:c>
      <x:c r="W1387" s="12" t="str">
        <x:f>IF(P1387="Unverified","missing_receipt","receipt_logged")</x:f>
        <x:v>missing_receipt</x:v>
      </x:c>
      <x:c r="X1387" s="12" t="str">
        <x:f>IF(Q1387="Not checked","raw_status_missing","raw_status_logged")</x:f>
        <x:v>raw_status_missing</x:v>
      </x:c>
      <x:c r="Y1387" s="12" t="str">
        <x:f>IF(U1387="BLOCKED_PENDING_RECEIPT","Log source path or blocker; do not promote","Route to review lane")</x:f>
        <x:v>Log source path or blocker; do not promote</x:v>
      </x:c>
      <x:c r="Z1387" s="12" t="str">
        <x:f>IF(K1387="P0","Primary seat + Hashlight/Lucerna","Seat lane")</x:f>
        <x:v>Seat lane</x:v>
      </x:c>
      <x:c r="AA1387" s="12" t="str">
        <x:f>IF(R1387="","no_claim_delta","claim_delta_present")</x:f>
        <x:v>no_claim_delta</x:v>
      </x:c>
      <x:c r="AB1387" s="12" t="str">
        <x:f>IF(S1387="","no_contradiction_delta","contradiction_delta_present")</x:f>
        <x:v>no_contradiction_delta</x:v>
      </x:c>
      <x:c r="AC1387" s="12" t="str">
        <x:f>IF(OR(ISNUMBER(SEARCH("hacker",LOWER(F1387&amp;" "&amp;H1387&amp;" "&amp;I1387&amp;" "&amp;M1387&amp;" "&amp;N1387&amp;" "&amp;T1387))),ISNUMBER(SEARCH("hacking",LOWER(F1387&amp;" "&amp;H1387&amp;" "&amp;I1387&amp;" "&amp;M1387&amp;" "&amp;N1387&amp;" "&amp;T1387))),ISNUMBER(SEARCH("bank",LOWER(F1387&amp;" "&amp;H1387&amp;" "&amp;I1387&amp;" "&amp;M1387&amp;" "&amp;N1387&amp;" "&amp;T1387))),ISNUMBER(SEARCH("banking",LOWER(F1387&amp;" "&amp;H1387&amp;" "&amp;I1387&amp;" "&amp;M1387&amp;" "&amp;N1387&amp;" "&amp;T1387)))),"PRIVATE_QUARANTINE",IF(OR(ISNUMBER(SEARCH("treasury",LOWER(F1387&amp;" "&amp;H1387&amp;" "&amp;I1387&amp;" "&amp;M1387&amp;" "&amp;N1387&amp;" "&amp;T1387))),ISNUMBER(SEARCH("debt",LOWER(F1387&amp;" "&amp;H1387&amp;" "&amp;I1387&amp;" "&amp;M1387&amp;" "&amp;N1387&amp;" "&amp;T1387))),ISNUMBER(SEARCH("bond",LOWER(F1387&amp;" "&amp;H1387&amp;" "&amp;I1387&amp;" "&amp;M1387&amp;" "&amp;N1387&amp;" "&amp;T1387))),ISNUMBER(SEARCH("transaction",LOWER(F1387&amp;" "&amp;H1387&amp;" "&amp;I1387&amp;" "&amp;M1387&amp;" "&amp;N1387&amp;" "&amp;T1387)))),"PRIVATE_REVIEW","PUBLIC_CANDIDATE"))</x:f>
        <x:v>PUBLIC_CANDIDATE</x:v>
      </x:c>
      <x:c r="AD1387" s="12" t="str">
        <x:f>IF(AC1387="PRIVATE_QUARANTINE","hacker_or_bank_trigger",IF(AC1387="PRIVATE_REVIEW","finance_risk_trigger","none"))</x:f>
        <x:v>none</x:v>
      </x:c>
      <x:c r="AE1387" s="12" t="str">
        <x:f>IF(AC1387="PUBLIC_CANDIDATE","prepare_public_github_candidate",IF(AC1387="PRIVATE_REVIEW","hold_for_private_review","quarantine_private_do_not_publish"))</x:f>
        <x:v>prepare_public_github_candidate</x:v>
      </x:c>
      <x:c r="AF1387" s="12" t="str">
        <x:f>IF(AC1387="PUBLIC_CANDIDATE","TIDELOCK + Lucerna",IF(AC1387="PRIVATE_REVIEW","AtlasBrain + Lucerna","TIDELOCK + Lucerna + Human-root"))</x:f>
        <x:v>TIDELOCK + Lucerna</x:v>
      </x:c>
      <x:c r="AG1387" s="12" t="str">
        <x:f>IF(AND(AC1387="PUBLIC_CANDIDATE",U1387&lt;&gt;"BLOCKED_PENDING_RECEIPT"),"READY_AFTER_RECEIPT","NOT_READY")</x:f>
        <x:v>NOT_READY</x:v>
      </x:c>
      <x:c r="AH1387" s="12" t="str">
        <x:f>IF(AC1387="PUBLIC_CANDIDATE","none",AD1387)</x:f>
        <x:v>none</x:v>
      </x:c>
      <x:c r="AI1387" s="12" t="str">
        <x:f>IF(AC1387="PUBLIC_CANDIDATE","archive/public_candidates/"&amp;A1387,"private_quarantine/"&amp;A1387)</x:f>
        <x:v>archive/public_candidates/SWARM-10-H08-S06</x:v>
      </x:c>
      <x:c r="AJ1387" s="12" t="str">
        <x:f>IF(AC1387="PUBLIC_CANDIDATE","public by default; still not canon","private/hold; do not publish")</x:f>
        <x:v>public by default; still not canon</x:v>
      </x:c>
      <x:c r="AK1387" s="12" t="str">
        <x:f>IF(AE1387="prepare_public_github_candidate","add receipt/status then mirror","resolve blocker before any public GitHub action")</x:f>
        <x:v>add receipt/status then mirror</x:v>
      </x:c>
    </x:row>
    <x:row r="1388">
      <x:c r="A1388" s="15" t="str">
        <x:v>SWARM-10-H08-S07</x:v>
      </x:c>
      <x:c r="B1388" s="15" t="str">
        <x:v>GitShelf</x:v>
      </x:c>
      <x:c r="C1388" s="15" t="str">
        <x:v>GitHub shelf builder</x:v>
      </x:c>
      <x:c r="D1388" s="15" t="str">
        <x:v>Graph Edge Proposals</x:v>
      </x:c>
      <x:c r="E1388" s="15" t="str">
        <x:v>Planetarium</x:v>
      </x:c>
      <x:c r="F1388" s="15" t="str">
        <x:v>Propose graph edges for Planetarium — GitShelf</x:v>
      </x:c>
      <x:c r="G1388" s="15" t="str">
        <x:v>repo packet / manifest / issue template prep</x:v>
      </x:c>
      <x:c r="H1388" s="15" t="str">
        <x:v>source path + receipt + raw/export status + claim/edge/risk delta</x:v>
      </x:c>
      <x:c r="I1388" s="15" t="str">
        <x:v>packet/SWARM-10-H08-S07</x:v>
      </x:c>
      <x:c r="J1388" s="15" t="str">
        <x:v>TODO</x:v>
      </x:c>
      <x:c r="K1388" s="15" t="str">
        <x:v>P1</x:v>
      </x:c>
      <x:c r="L1388" s="15" t="str">
        <x:v>Done only when evidence is logged, contradiction search is noted, and boundary stamp remains non-canon unless ratified</x:v>
      </x:c>
      <x:c r="M1388" s="15" t="str">
        <x:v>candidate / staging-only / not canon / not deployed / authority none</x:v>
      </x:c>
      <x:c r="N1388" s="15" t="str">
        <x:v>Dispatch to GitShelf: complete Graph Edge Proposals x Planetarium; return deltas only, receipts required.</x:v>
      </x:c>
      <x:c r="O1388" s="15" t="str">
        <x:v>AF-KG-H08-S07</x:v>
      </x:c>
      <x:c r="P1388" s="15" t="str">
        <x:v>Unverified</x:v>
      </x:c>
      <x:c r="Q1388" s="15" t="str">
        <x:v>Not checked</x:v>
      </x:c>
      <x:c r="R1388" s="15" t="str"/>
      <x:c r="S1388" s="15" t="str"/>
      <x:c r="T1388" s="15" t="str">
        <x:v>Log first source path or blocker</x:v>
      </x:c>
      <x:c r="U1388" s="12" t="str">
        <x:f>IF(OR(P1388="Unverified",Q1388="Not checked"),"BLOCKED_PENDING_RECEIPT","READY_FOR_REVIEW")</x:f>
        <x:v>BLOCKED_PENDING_RECEIPT</x:v>
      </x:c>
      <x:c r="V1388" s="12" t="str">
        <x:f>IF(J1388="DONE","RETURNED",IF(U1388="BLOCKED_PENDING_RECEIPT","SOURCE_TOUCH_REQUIRED","IN_PROGRESS"))</x:f>
        <x:v>SOURCE_TOUCH_REQUIRED</x:v>
      </x:c>
      <x:c r="W1388" s="12" t="str">
        <x:f>IF(P1388="Unverified","missing_receipt","receipt_logged")</x:f>
        <x:v>missing_receipt</x:v>
      </x:c>
      <x:c r="X1388" s="12" t="str">
        <x:f>IF(Q1388="Not checked","raw_status_missing","raw_status_logged")</x:f>
        <x:v>raw_status_missing</x:v>
      </x:c>
      <x:c r="Y1388" s="12" t="str">
        <x:f>IF(U1388="BLOCKED_PENDING_RECEIPT","Log source path or blocker; do not promote","Route to review lane")</x:f>
        <x:v>Log source path or blocker; do not promote</x:v>
      </x:c>
      <x:c r="Z1388" s="12" t="str">
        <x:f>IF(K1388="P0","Primary seat + Hashlight/Lucerna","Seat lane")</x:f>
        <x:v>Seat lane</x:v>
      </x:c>
      <x:c r="AA1388" s="12" t="str">
        <x:f>IF(R1388="","no_claim_delta","claim_delta_present")</x:f>
        <x:v>no_claim_delta</x:v>
      </x:c>
      <x:c r="AB1388" s="12" t="str">
        <x:f>IF(S1388="","no_contradiction_delta","contradiction_delta_present")</x:f>
        <x:v>no_contradiction_delta</x:v>
      </x:c>
      <x:c r="AC1388" s="12" t="str">
        <x:f>IF(OR(ISNUMBER(SEARCH("hacker",LOWER(F1388&amp;" "&amp;H1388&amp;" "&amp;I1388&amp;" "&amp;M1388&amp;" "&amp;N1388&amp;" "&amp;T1388))),ISNUMBER(SEARCH("hacking",LOWER(F1388&amp;" "&amp;H1388&amp;" "&amp;I1388&amp;" "&amp;M1388&amp;" "&amp;N1388&amp;" "&amp;T1388))),ISNUMBER(SEARCH("bank",LOWER(F1388&amp;" "&amp;H1388&amp;" "&amp;I1388&amp;" "&amp;M1388&amp;" "&amp;N1388&amp;" "&amp;T1388))),ISNUMBER(SEARCH("banking",LOWER(F1388&amp;" "&amp;H1388&amp;" "&amp;I1388&amp;" "&amp;M1388&amp;" "&amp;N1388&amp;" "&amp;T1388)))),"PRIVATE_QUARANTINE",IF(OR(ISNUMBER(SEARCH("treasury",LOWER(F1388&amp;" "&amp;H1388&amp;" "&amp;I1388&amp;" "&amp;M1388&amp;" "&amp;N1388&amp;" "&amp;T1388))),ISNUMBER(SEARCH("debt",LOWER(F1388&amp;" "&amp;H1388&amp;" "&amp;I1388&amp;" "&amp;M1388&amp;" "&amp;N1388&amp;" "&amp;T1388))),ISNUMBER(SEARCH("bond",LOWER(F1388&amp;" "&amp;H1388&amp;" "&amp;I1388&amp;" "&amp;M1388&amp;" "&amp;N1388&amp;" "&amp;T1388))),ISNUMBER(SEARCH("transaction",LOWER(F1388&amp;" "&amp;H1388&amp;" "&amp;I1388&amp;" "&amp;M1388&amp;" "&amp;N1388&amp;" "&amp;T1388)))),"PRIVATE_REVIEW","PUBLIC_CANDIDATE"))</x:f>
        <x:v>PUBLIC_CANDIDATE</x:v>
      </x:c>
      <x:c r="AD1388" s="12" t="str">
        <x:f>IF(AC1388="PRIVATE_QUARANTINE","hacker_or_bank_trigger",IF(AC1388="PRIVATE_REVIEW","finance_risk_trigger","none"))</x:f>
        <x:v>none</x:v>
      </x:c>
      <x:c r="AE1388" s="12" t="str">
        <x:f>IF(AC1388="PUBLIC_CANDIDATE","prepare_public_github_candidate",IF(AC1388="PRIVATE_REVIEW","hold_for_private_review","quarantine_private_do_not_publish"))</x:f>
        <x:v>prepare_public_github_candidate</x:v>
      </x:c>
      <x:c r="AF1388" s="12" t="str">
        <x:f>IF(AC1388="PUBLIC_CANDIDATE","TIDELOCK + Lucerna",IF(AC1388="PRIVATE_REVIEW","AtlasBrain + Lucerna","TIDELOCK + Lucerna + Human-root"))</x:f>
        <x:v>TIDELOCK + Lucerna</x:v>
      </x:c>
      <x:c r="AG1388" s="12" t="str">
        <x:f>IF(AND(AC1388="PUBLIC_CANDIDATE",U1388&lt;&gt;"BLOCKED_PENDING_RECEIPT"),"READY_AFTER_RECEIPT","NOT_READY")</x:f>
        <x:v>NOT_READY</x:v>
      </x:c>
      <x:c r="AH1388" s="12" t="str">
        <x:f>IF(AC1388="PUBLIC_CANDIDATE","none",AD1388)</x:f>
        <x:v>none</x:v>
      </x:c>
      <x:c r="AI1388" s="12" t="str">
        <x:f>IF(AC1388="PUBLIC_CANDIDATE","archive/public_candidates/"&amp;A1388,"private_quarantine/"&amp;A1388)</x:f>
        <x:v>archive/public_candidates/SWARM-10-H08-S07</x:v>
      </x:c>
      <x:c r="AJ1388" s="12" t="str">
        <x:f>IF(AC1388="PUBLIC_CANDIDATE","public by default; still not canon","private/hold; do not publish")</x:f>
        <x:v>public by default; still not canon</x:v>
      </x:c>
      <x:c r="AK1388" s="12" t="str">
        <x:f>IF(AE1388="prepare_public_github_candidate","add receipt/status then mirror","resolve blocker before any public GitHub action")</x:f>
        <x:v>add receipt/status then mirror</x:v>
      </x:c>
    </x:row>
    <x:row r="1389">
      <x:c r="A1389" s="15" t="str">
        <x:v>SWARM-10-H08-S08</x:v>
      </x:c>
      <x:c r="B1389" s="15" t="str">
        <x:v>GitShelf</x:v>
      </x:c>
      <x:c r="C1389" s="15" t="str">
        <x:v>GitHub shelf builder</x:v>
      </x:c>
      <x:c r="D1389" s="15" t="str">
        <x:v>Graph Edge Proposals</x:v>
      </x:c>
      <x:c r="E1389" s="15" t="str">
        <x:v>Sheldonbrain</x:v>
      </x:c>
      <x:c r="F1389" s="15" t="str">
        <x:v>Propose graph edges for Sheldonbrain — GitShelf</x:v>
      </x:c>
      <x:c r="G1389" s="15" t="str">
        <x:v>repo packet / manifest / issue template prep</x:v>
      </x:c>
      <x:c r="H1389" s="15" t="str">
        <x:v>source path + receipt + raw/export status + claim/edge/risk delta</x:v>
      </x:c>
      <x:c r="I1389" s="15" t="str">
        <x:v>packet/SWARM-10-H08-S08</x:v>
      </x:c>
      <x:c r="J1389" s="15" t="str">
        <x:v>TODO</x:v>
      </x:c>
      <x:c r="K1389" s="15" t="str">
        <x:v>P1</x:v>
      </x:c>
      <x:c r="L1389" s="15" t="str">
        <x:v>Done only when evidence is logged, contradiction search is noted, and boundary stamp remains non-canon unless ratified</x:v>
      </x:c>
      <x:c r="M1389" s="15" t="str">
        <x:v>candidate / staging-only / not canon / not deployed / authority none</x:v>
      </x:c>
      <x:c r="N1389" s="15" t="str">
        <x:v>Dispatch to GitShelf: complete Graph Edge Proposals x Sheldonbrain; return deltas only, receipts required.</x:v>
      </x:c>
      <x:c r="O1389" s="15" t="str">
        <x:v>AF-KG-H08-S08</x:v>
      </x:c>
      <x:c r="P1389" s="15" t="str">
        <x:v>Unverified</x:v>
      </x:c>
      <x:c r="Q1389" s="15" t="str">
        <x:v>Not checked</x:v>
      </x:c>
      <x:c r="R1389" s="15" t="str"/>
      <x:c r="S1389" s="15" t="str"/>
      <x:c r="T1389" s="15" t="str">
        <x:v>Log first source path or blocker</x:v>
      </x:c>
      <x:c r="U1389" s="12" t="str">
        <x:f>IF(OR(P1389="Unverified",Q1389="Not checked"),"BLOCKED_PENDING_RECEIPT","READY_FOR_REVIEW")</x:f>
        <x:v>BLOCKED_PENDING_RECEIPT</x:v>
      </x:c>
      <x:c r="V1389" s="12" t="str">
        <x:f>IF(J1389="DONE","RETURNED",IF(U1389="BLOCKED_PENDING_RECEIPT","SOURCE_TOUCH_REQUIRED","IN_PROGRESS"))</x:f>
        <x:v>SOURCE_TOUCH_REQUIRED</x:v>
      </x:c>
      <x:c r="W1389" s="12" t="str">
        <x:f>IF(P1389="Unverified","missing_receipt","receipt_logged")</x:f>
        <x:v>missing_receipt</x:v>
      </x:c>
      <x:c r="X1389" s="12" t="str">
        <x:f>IF(Q1389="Not checked","raw_status_missing","raw_status_logged")</x:f>
        <x:v>raw_status_missing</x:v>
      </x:c>
      <x:c r="Y1389" s="12" t="str">
        <x:f>IF(U1389="BLOCKED_PENDING_RECEIPT","Log source path or blocker; do not promote","Route to review lane")</x:f>
        <x:v>Log source path or blocker; do not promote</x:v>
      </x:c>
      <x:c r="Z1389" s="12" t="str">
        <x:f>IF(K1389="P0","Primary seat + Hashlight/Lucerna","Seat lane")</x:f>
        <x:v>Seat lane</x:v>
      </x:c>
      <x:c r="AA1389" s="12" t="str">
        <x:f>IF(R1389="","no_claim_delta","claim_delta_present")</x:f>
        <x:v>no_claim_delta</x:v>
      </x:c>
      <x:c r="AB1389" s="12" t="str">
        <x:f>IF(S1389="","no_contradiction_delta","contradiction_delta_present")</x:f>
        <x:v>no_contradiction_delta</x:v>
      </x:c>
      <x:c r="AC1389" s="12" t="str">
        <x:f>IF(OR(ISNUMBER(SEARCH("hacker",LOWER(F1389&amp;" "&amp;H1389&amp;" "&amp;I1389&amp;" "&amp;M1389&amp;" "&amp;N1389&amp;" "&amp;T1389))),ISNUMBER(SEARCH("hacking",LOWER(F1389&amp;" "&amp;H1389&amp;" "&amp;I1389&amp;" "&amp;M1389&amp;" "&amp;N1389&amp;" "&amp;T1389))),ISNUMBER(SEARCH("bank",LOWER(F1389&amp;" "&amp;H1389&amp;" "&amp;I1389&amp;" "&amp;M1389&amp;" "&amp;N1389&amp;" "&amp;T1389))),ISNUMBER(SEARCH("banking",LOWER(F1389&amp;" "&amp;H1389&amp;" "&amp;I1389&amp;" "&amp;M1389&amp;" "&amp;N1389&amp;" "&amp;T1389)))),"PRIVATE_QUARANTINE",IF(OR(ISNUMBER(SEARCH("treasury",LOWER(F1389&amp;" "&amp;H1389&amp;" "&amp;I1389&amp;" "&amp;M1389&amp;" "&amp;N1389&amp;" "&amp;T1389))),ISNUMBER(SEARCH("debt",LOWER(F1389&amp;" "&amp;H1389&amp;" "&amp;I1389&amp;" "&amp;M1389&amp;" "&amp;N1389&amp;" "&amp;T1389))),ISNUMBER(SEARCH("bond",LOWER(F1389&amp;" "&amp;H1389&amp;" "&amp;I1389&amp;" "&amp;M1389&amp;" "&amp;N1389&amp;" "&amp;T1389))),ISNUMBER(SEARCH("transaction",LOWER(F1389&amp;" "&amp;H1389&amp;" "&amp;I1389&amp;" "&amp;M1389&amp;" "&amp;N1389&amp;" "&amp;T1389)))),"PRIVATE_REVIEW","PUBLIC_CANDIDATE"))</x:f>
        <x:v>PUBLIC_CANDIDATE</x:v>
      </x:c>
      <x:c r="AD1389" s="12" t="str">
        <x:f>IF(AC1389="PRIVATE_QUARANTINE","hacker_or_bank_trigger",IF(AC1389="PRIVATE_REVIEW","finance_risk_trigger","none"))</x:f>
        <x:v>none</x:v>
      </x:c>
      <x:c r="AE1389" s="12" t="str">
        <x:f>IF(AC1389="PUBLIC_CANDIDATE","prepare_public_github_candidate",IF(AC1389="PRIVATE_REVIEW","hold_for_private_review","quarantine_private_do_not_publish"))</x:f>
        <x:v>prepare_public_github_candidate</x:v>
      </x:c>
      <x:c r="AF1389" s="12" t="str">
        <x:f>IF(AC1389="PUBLIC_CANDIDATE","TIDELOCK + Lucerna",IF(AC1389="PRIVATE_REVIEW","AtlasBrain + Lucerna","TIDELOCK + Lucerna + Human-root"))</x:f>
        <x:v>TIDELOCK + Lucerna</x:v>
      </x:c>
      <x:c r="AG1389" s="12" t="str">
        <x:f>IF(AND(AC1389="PUBLIC_CANDIDATE",U1389&lt;&gt;"BLOCKED_PENDING_RECEIPT"),"READY_AFTER_RECEIPT","NOT_READY")</x:f>
        <x:v>NOT_READY</x:v>
      </x:c>
      <x:c r="AH1389" s="12" t="str">
        <x:f>IF(AC1389="PUBLIC_CANDIDATE","none",AD1389)</x:f>
        <x:v>none</x:v>
      </x:c>
      <x:c r="AI1389" s="12" t="str">
        <x:f>IF(AC1389="PUBLIC_CANDIDATE","archive/public_candidates/"&amp;A1389,"private_quarantine/"&amp;A1389)</x:f>
        <x:v>archive/public_candidates/SWARM-10-H08-S08</x:v>
      </x:c>
      <x:c r="AJ1389" s="12" t="str">
        <x:f>IF(AC1389="PUBLIC_CANDIDATE","public by default; still not canon","private/hold; do not publish")</x:f>
        <x:v>public by default; still not canon</x:v>
      </x:c>
      <x:c r="AK1389" s="12" t="str">
        <x:f>IF(AE1389="prepare_public_github_candidate","add receipt/status then mirror","resolve blocker before any public GitHub action")</x:f>
        <x:v>add receipt/status then mirror</x:v>
      </x:c>
    </x:row>
    <x:row r="1390">
      <x:c r="A1390" s="15" t="str">
        <x:v>SWARM-10-H08-S09</x:v>
      </x:c>
      <x:c r="B1390" s="15" t="str">
        <x:v>GitShelf</x:v>
      </x:c>
      <x:c r="C1390" s="15" t="str">
        <x:v>GitHub shelf builder</x:v>
      </x:c>
      <x:c r="D1390" s="15" t="str">
        <x:v>Graph Edge Proposals</x:v>
      </x:c>
      <x:c r="E1390" s="15" t="str">
        <x:v>Aetherforge</x:v>
      </x:c>
      <x:c r="F1390" s="15" t="str">
        <x:v>Propose graph edges for Aetherforge — GitShelf</x:v>
      </x:c>
      <x:c r="G1390" s="15" t="str">
        <x:v>repo packet / manifest / issue template prep</x:v>
      </x:c>
      <x:c r="H1390" s="15" t="str">
        <x:v>source path + receipt + raw/export status + claim/edge/risk delta</x:v>
      </x:c>
      <x:c r="I1390" s="15" t="str">
        <x:v>packet/SWARM-10-H08-S09</x:v>
      </x:c>
      <x:c r="J1390" s="15" t="str">
        <x:v>TODO</x:v>
      </x:c>
      <x:c r="K1390" s="15" t="str">
        <x:v>P2</x:v>
      </x:c>
      <x:c r="L1390" s="15" t="str">
        <x:v>Done only when evidence is logged, contradiction search is noted, and boundary stamp remains non-canon unless ratified</x:v>
      </x:c>
      <x:c r="M1390" s="15" t="str">
        <x:v>candidate / staging-only / not canon / not deployed / authority none</x:v>
      </x:c>
      <x:c r="N1390" s="15" t="str">
        <x:v>Dispatch to GitShelf: complete Graph Edge Proposals x Aetherforge; return deltas only, receipts required.</x:v>
      </x:c>
      <x:c r="O1390" s="15" t="str">
        <x:v>AF-KG-H08-S09</x:v>
      </x:c>
      <x:c r="P1390" s="15" t="str">
        <x:v>Unverified</x:v>
      </x:c>
      <x:c r="Q1390" s="15" t="str">
        <x:v>Not checked</x:v>
      </x:c>
      <x:c r="R1390" s="15" t="str"/>
      <x:c r="S1390" s="15" t="str"/>
      <x:c r="T1390" s="15" t="str">
        <x:v>Log first source path or blocker</x:v>
      </x:c>
      <x:c r="U1390" s="12" t="str">
        <x:f>IF(OR(P1390="Unverified",Q1390="Not checked"),"BLOCKED_PENDING_RECEIPT","READY_FOR_REVIEW")</x:f>
        <x:v>BLOCKED_PENDING_RECEIPT</x:v>
      </x:c>
      <x:c r="V1390" s="12" t="str">
        <x:f>IF(J1390="DONE","RETURNED",IF(U1390="BLOCKED_PENDING_RECEIPT","SOURCE_TOUCH_REQUIRED","IN_PROGRESS"))</x:f>
        <x:v>SOURCE_TOUCH_REQUIRED</x:v>
      </x:c>
      <x:c r="W1390" s="12" t="str">
        <x:f>IF(P1390="Unverified","missing_receipt","receipt_logged")</x:f>
        <x:v>missing_receipt</x:v>
      </x:c>
      <x:c r="X1390" s="12" t="str">
        <x:f>IF(Q1390="Not checked","raw_status_missing","raw_status_logged")</x:f>
        <x:v>raw_status_missing</x:v>
      </x:c>
      <x:c r="Y1390" s="12" t="str">
        <x:f>IF(U1390="BLOCKED_PENDING_RECEIPT","Log source path or blocker; do not promote","Route to review lane")</x:f>
        <x:v>Log source path or blocker; do not promote</x:v>
      </x:c>
      <x:c r="Z1390" s="12" t="str">
        <x:f>IF(K1390="P0","Primary seat + Hashlight/Lucerna","Seat lane")</x:f>
        <x:v>Seat lane</x:v>
      </x:c>
      <x:c r="AA1390" s="12" t="str">
        <x:f>IF(R1390="","no_claim_delta","claim_delta_present")</x:f>
        <x:v>no_claim_delta</x:v>
      </x:c>
      <x:c r="AB1390" s="12" t="str">
        <x:f>IF(S1390="","no_contradiction_delta","contradiction_delta_present")</x:f>
        <x:v>no_contradiction_delta</x:v>
      </x:c>
      <x:c r="AC1390" s="12" t="str">
        <x:f>IF(OR(ISNUMBER(SEARCH("hacker",LOWER(F1390&amp;" "&amp;H1390&amp;" "&amp;I1390&amp;" "&amp;M1390&amp;" "&amp;N1390&amp;" "&amp;T1390))),ISNUMBER(SEARCH("hacking",LOWER(F1390&amp;" "&amp;H1390&amp;" "&amp;I1390&amp;" "&amp;M1390&amp;" "&amp;N1390&amp;" "&amp;T1390))),ISNUMBER(SEARCH("bank",LOWER(F1390&amp;" "&amp;H1390&amp;" "&amp;I1390&amp;" "&amp;M1390&amp;" "&amp;N1390&amp;" "&amp;T1390))),ISNUMBER(SEARCH("banking",LOWER(F1390&amp;" "&amp;H1390&amp;" "&amp;I1390&amp;" "&amp;M1390&amp;" "&amp;N1390&amp;" "&amp;T1390)))),"PRIVATE_QUARANTINE",IF(OR(ISNUMBER(SEARCH("treasury",LOWER(F1390&amp;" "&amp;H1390&amp;" "&amp;I1390&amp;" "&amp;M1390&amp;" "&amp;N1390&amp;" "&amp;T1390))),ISNUMBER(SEARCH("debt",LOWER(F1390&amp;" "&amp;H1390&amp;" "&amp;I1390&amp;" "&amp;M1390&amp;" "&amp;N1390&amp;" "&amp;T1390))),ISNUMBER(SEARCH("bond",LOWER(F1390&amp;" "&amp;H1390&amp;" "&amp;I1390&amp;" "&amp;M1390&amp;" "&amp;N1390&amp;" "&amp;T1390))),ISNUMBER(SEARCH("transaction",LOWER(F1390&amp;" "&amp;H1390&amp;" "&amp;I1390&amp;" "&amp;M1390&amp;" "&amp;N1390&amp;" "&amp;T1390)))),"PRIVATE_REVIEW","PUBLIC_CANDIDATE"))</x:f>
        <x:v>PUBLIC_CANDIDATE</x:v>
      </x:c>
      <x:c r="AD1390" s="12" t="str">
        <x:f>IF(AC1390="PRIVATE_QUARANTINE","hacker_or_bank_trigger",IF(AC1390="PRIVATE_REVIEW","finance_risk_trigger","none"))</x:f>
        <x:v>none</x:v>
      </x:c>
      <x:c r="AE1390" s="12" t="str">
        <x:f>IF(AC1390="PUBLIC_CANDIDATE","prepare_public_github_candidate",IF(AC1390="PRIVATE_REVIEW","hold_for_private_review","quarantine_private_do_not_publish"))</x:f>
        <x:v>prepare_public_github_candidate</x:v>
      </x:c>
      <x:c r="AF1390" s="12" t="str">
        <x:f>IF(AC1390="PUBLIC_CANDIDATE","TIDELOCK + Lucerna",IF(AC1390="PRIVATE_REVIEW","AtlasBrain + Lucerna","TIDELOCK + Lucerna + Human-root"))</x:f>
        <x:v>TIDELOCK + Lucerna</x:v>
      </x:c>
      <x:c r="AG1390" s="12" t="str">
        <x:f>IF(AND(AC1390="PUBLIC_CANDIDATE",U1390&lt;&gt;"BLOCKED_PENDING_RECEIPT"),"READY_AFTER_RECEIPT","NOT_READY")</x:f>
        <x:v>NOT_READY</x:v>
      </x:c>
      <x:c r="AH1390" s="12" t="str">
        <x:f>IF(AC1390="PUBLIC_CANDIDATE","none",AD1390)</x:f>
        <x:v>none</x:v>
      </x:c>
      <x:c r="AI1390" s="12" t="str">
        <x:f>IF(AC1390="PUBLIC_CANDIDATE","archive/public_candidates/"&amp;A1390,"private_quarantine/"&amp;A1390)</x:f>
        <x:v>archive/public_candidates/SWARM-10-H08-S09</x:v>
      </x:c>
      <x:c r="AJ1390" s="12" t="str">
        <x:f>IF(AC1390="PUBLIC_CANDIDATE","public by default; still not canon","private/hold; do not publish")</x:f>
        <x:v>public by default; still not canon</x:v>
      </x:c>
      <x:c r="AK1390" s="12" t="str">
        <x:f>IF(AE1390="prepare_public_github_candidate","add receipt/status then mirror","resolve blocker before any public GitHub action")</x:f>
        <x:v>add receipt/status then mirror</x:v>
      </x:c>
    </x:row>
    <x:row r="1391">
      <x:c r="A1391" s="15" t="str">
        <x:v>SWARM-10-H08-S10</x:v>
      </x:c>
      <x:c r="B1391" s="15" t="str">
        <x:v>GitShelf</x:v>
      </x:c>
      <x:c r="C1391" s="15" t="str">
        <x:v>GitHub shelf builder</x:v>
      </x:c>
      <x:c r="D1391" s="15" t="str">
        <x:v>Graph Edge Proposals</x:v>
      </x:c>
      <x:c r="E1391" s="15" t="str">
        <x:v>Human-Root</x:v>
      </x:c>
      <x:c r="F1391" s="15" t="str">
        <x:v>Propose graph edges for Human-Root — GitShelf</x:v>
      </x:c>
      <x:c r="G1391" s="15" t="str">
        <x:v>repo packet / manifest / issue template prep</x:v>
      </x:c>
      <x:c r="H1391" s="15" t="str">
        <x:v>source path + receipt + raw/export status + claim/edge/risk delta</x:v>
      </x:c>
      <x:c r="I1391" s="15" t="str">
        <x:v>packet/SWARM-10-H08-S10</x:v>
      </x:c>
      <x:c r="J1391" s="15" t="str">
        <x:v>TODO</x:v>
      </x:c>
      <x:c r="K1391" s="15" t="str">
        <x:v>P2</x:v>
      </x:c>
      <x:c r="L1391" s="15" t="str">
        <x:v>Done only when evidence is logged, contradiction search is noted, and boundary stamp remains non-canon unless ratified</x:v>
      </x:c>
      <x:c r="M1391" s="15" t="str">
        <x:v>candidate / staging-only / not canon / not deployed / authority none</x:v>
      </x:c>
      <x:c r="N1391" s="15" t="str">
        <x:v>Dispatch to GitShelf: complete Graph Edge Proposals x Human-Root; return deltas only, receipts required.</x:v>
      </x:c>
      <x:c r="O1391" s="15" t="str">
        <x:v>AF-KG-H08-S10</x:v>
      </x:c>
      <x:c r="P1391" s="15" t="str">
        <x:v>Unverified</x:v>
      </x:c>
      <x:c r="Q1391" s="15" t="str">
        <x:v>Not checked</x:v>
      </x:c>
      <x:c r="R1391" s="15" t="str"/>
      <x:c r="S1391" s="15" t="str"/>
      <x:c r="T1391" s="15" t="str">
        <x:v>Log first source path or blocker</x:v>
      </x:c>
      <x:c r="U1391" s="12" t="str">
        <x:f>IF(OR(P1391="Unverified",Q1391="Not checked"),"BLOCKED_PENDING_RECEIPT","READY_FOR_REVIEW")</x:f>
        <x:v>BLOCKED_PENDING_RECEIPT</x:v>
      </x:c>
      <x:c r="V1391" s="12" t="str">
        <x:f>IF(J1391="DONE","RETURNED",IF(U1391="BLOCKED_PENDING_RECEIPT","SOURCE_TOUCH_REQUIRED","IN_PROGRESS"))</x:f>
        <x:v>SOURCE_TOUCH_REQUIRED</x:v>
      </x:c>
      <x:c r="W1391" s="12" t="str">
        <x:f>IF(P1391="Unverified","missing_receipt","receipt_logged")</x:f>
        <x:v>missing_receipt</x:v>
      </x:c>
      <x:c r="X1391" s="12" t="str">
        <x:f>IF(Q1391="Not checked","raw_status_missing","raw_status_logged")</x:f>
        <x:v>raw_status_missing</x:v>
      </x:c>
      <x:c r="Y1391" s="12" t="str">
        <x:f>IF(U1391="BLOCKED_PENDING_RECEIPT","Log source path or blocker; do not promote","Route to review lane")</x:f>
        <x:v>Log source path or blocker; do not promote</x:v>
      </x:c>
      <x:c r="Z1391" s="12" t="str">
        <x:f>IF(K1391="P0","Primary seat + Hashlight/Lucerna","Seat lane")</x:f>
        <x:v>Seat lane</x:v>
      </x:c>
      <x:c r="AA1391" s="12" t="str">
        <x:f>IF(R1391="","no_claim_delta","claim_delta_present")</x:f>
        <x:v>no_claim_delta</x:v>
      </x:c>
      <x:c r="AB1391" s="12" t="str">
        <x:f>IF(S1391="","no_contradiction_delta","contradiction_delta_present")</x:f>
        <x:v>no_contradiction_delta</x:v>
      </x:c>
      <x:c r="AC1391" s="12" t="str">
        <x:f>IF(OR(ISNUMBER(SEARCH("hacker",LOWER(F1391&amp;" "&amp;H1391&amp;" "&amp;I1391&amp;" "&amp;M1391&amp;" "&amp;N1391&amp;" "&amp;T1391))),ISNUMBER(SEARCH("hacking",LOWER(F1391&amp;" "&amp;H1391&amp;" "&amp;I1391&amp;" "&amp;M1391&amp;" "&amp;N1391&amp;" "&amp;T1391))),ISNUMBER(SEARCH("bank",LOWER(F1391&amp;" "&amp;H1391&amp;" "&amp;I1391&amp;" "&amp;M1391&amp;" "&amp;N1391&amp;" "&amp;T1391))),ISNUMBER(SEARCH("banking",LOWER(F1391&amp;" "&amp;H1391&amp;" "&amp;I1391&amp;" "&amp;M1391&amp;" "&amp;N1391&amp;" "&amp;T1391)))),"PRIVATE_QUARANTINE",IF(OR(ISNUMBER(SEARCH("treasury",LOWER(F1391&amp;" "&amp;H1391&amp;" "&amp;I1391&amp;" "&amp;M1391&amp;" "&amp;N1391&amp;" "&amp;T1391))),ISNUMBER(SEARCH("debt",LOWER(F1391&amp;" "&amp;H1391&amp;" "&amp;I1391&amp;" "&amp;M1391&amp;" "&amp;N1391&amp;" "&amp;T1391))),ISNUMBER(SEARCH("bond",LOWER(F1391&amp;" "&amp;H1391&amp;" "&amp;I1391&amp;" "&amp;M1391&amp;" "&amp;N1391&amp;" "&amp;T1391))),ISNUMBER(SEARCH("transaction",LOWER(F1391&amp;" "&amp;H1391&amp;" "&amp;I1391&amp;" "&amp;M1391&amp;" "&amp;N1391&amp;" "&amp;T1391)))),"PRIVATE_REVIEW","PUBLIC_CANDIDATE"))</x:f>
        <x:v>PUBLIC_CANDIDATE</x:v>
      </x:c>
      <x:c r="AD1391" s="12" t="str">
        <x:f>IF(AC1391="PRIVATE_QUARANTINE","hacker_or_bank_trigger",IF(AC1391="PRIVATE_REVIEW","finance_risk_trigger","none"))</x:f>
        <x:v>none</x:v>
      </x:c>
      <x:c r="AE1391" s="12" t="str">
        <x:f>IF(AC1391="PUBLIC_CANDIDATE","prepare_public_github_candidate",IF(AC1391="PRIVATE_REVIEW","hold_for_private_review","quarantine_private_do_not_publish"))</x:f>
        <x:v>prepare_public_github_candidate</x:v>
      </x:c>
      <x:c r="AF1391" s="12" t="str">
        <x:f>IF(AC1391="PUBLIC_CANDIDATE","TIDELOCK + Lucerna",IF(AC1391="PRIVATE_REVIEW","AtlasBrain + Lucerna","TIDELOCK + Lucerna + Human-root"))</x:f>
        <x:v>TIDELOCK + Lucerna</x:v>
      </x:c>
      <x:c r="AG1391" s="12" t="str">
        <x:f>IF(AND(AC1391="PUBLIC_CANDIDATE",U1391&lt;&gt;"BLOCKED_PENDING_RECEIPT"),"READY_AFTER_RECEIPT","NOT_READY")</x:f>
        <x:v>NOT_READY</x:v>
      </x:c>
      <x:c r="AH1391" s="12" t="str">
        <x:f>IF(AC1391="PUBLIC_CANDIDATE","none",AD1391)</x:f>
        <x:v>none</x:v>
      </x:c>
      <x:c r="AI1391" s="12" t="str">
        <x:f>IF(AC1391="PUBLIC_CANDIDATE","archive/public_candidates/"&amp;A1391,"private_quarantine/"&amp;A1391)</x:f>
        <x:v>archive/public_candidates/SWARM-10-H08-S10</x:v>
      </x:c>
      <x:c r="AJ1391" s="12" t="str">
        <x:f>IF(AC1391="PUBLIC_CANDIDATE","public by default; still not canon","private/hold; do not publish")</x:f>
        <x:v>public by default; still not canon</x:v>
      </x:c>
      <x:c r="AK1391" s="12" t="str">
        <x:f>IF(AE1391="prepare_public_github_candidate","add receipt/status then mirror","resolve blocker before any public GitHub action")</x:f>
        <x:v>add receipt/status then mirror</x:v>
      </x:c>
    </x:row>
    <x:row r="1392">
      <x:c r="A1392" s="15" t="str">
        <x:v>SWARM-10-H08-S11</x:v>
      </x:c>
      <x:c r="B1392" s="15" t="str">
        <x:v>GitShelf</x:v>
      </x:c>
      <x:c r="C1392" s="15" t="str">
        <x:v>GitHub shelf builder</x:v>
      </x:c>
      <x:c r="D1392" s="15" t="str">
        <x:v>Graph Edge Proposals</x:v>
      </x:c>
      <x:c r="E1392" s="15" t="str">
        <x:v>Automation</x:v>
      </x:c>
      <x:c r="F1392" s="15" t="str">
        <x:v>Propose graph edges for Automation — GitShelf</x:v>
      </x:c>
      <x:c r="G1392" s="15" t="str">
        <x:v>repo packet / manifest / issue template prep</x:v>
      </x:c>
      <x:c r="H1392" s="15" t="str">
        <x:v>source path + receipt + raw/export status + claim/edge/risk delta</x:v>
      </x:c>
      <x:c r="I1392" s="15" t="str">
        <x:v>packet/SWARM-10-H08-S11</x:v>
      </x:c>
      <x:c r="J1392" s="15" t="str">
        <x:v>TODO</x:v>
      </x:c>
      <x:c r="K1392" s="15" t="str">
        <x:v>P2</x:v>
      </x:c>
      <x:c r="L1392" s="15" t="str">
        <x:v>Done only when evidence is logged, contradiction search is noted, and boundary stamp remains non-canon unless ratified</x:v>
      </x:c>
      <x:c r="M1392" s="15" t="str">
        <x:v>candidate / staging-only / not canon / not deployed / authority none</x:v>
      </x:c>
      <x:c r="N1392" s="15" t="str">
        <x:v>Dispatch to GitShelf: complete Graph Edge Proposals x Automation; return deltas only, receipts required.</x:v>
      </x:c>
      <x:c r="O1392" s="15" t="str">
        <x:v>AF-KG-H08-S11</x:v>
      </x:c>
      <x:c r="P1392" s="15" t="str">
        <x:v>Unverified</x:v>
      </x:c>
      <x:c r="Q1392" s="15" t="str">
        <x:v>Not checked</x:v>
      </x:c>
      <x:c r="R1392" s="15" t="str"/>
      <x:c r="S1392" s="15" t="str"/>
      <x:c r="T1392" s="15" t="str">
        <x:v>Log first source path or blocker</x:v>
      </x:c>
      <x:c r="U1392" s="12" t="str">
        <x:f>IF(OR(P1392="Unverified",Q1392="Not checked"),"BLOCKED_PENDING_RECEIPT","READY_FOR_REVIEW")</x:f>
        <x:v>BLOCKED_PENDING_RECEIPT</x:v>
      </x:c>
      <x:c r="V1392" s="12" t="str">
        <x:f>IF(J1392="DONE","RETURNED",IF(U1392="BLOCKED_PENDING_RECEIPT","SOURCE_TOUCH_REQUIRED","IN_PROGRESS"))</x:f>
        <x:v>SOURCE_TOUCH_REQUIRED</x:v>
      </x:c>
      <x:c r="W1392" s="12" t="str">
        <x:f>IF(P1392="Unverified","missing_receipt","receipt_logged")</x:f>
        <x:v>missing_receipt</x:v>
      </x:c>
      <x:c r="X1392" s="12" t="str">
        <x:f>IF(Q1392="Not checked","raw_status_missing","raw_status_logged")</x:f>
        <x:v>raw_status_missing</x:v>
      </x:c>
      <x:c r="Y1392" s="12" t="str">
        <x:f>IF(U1392="BLOCKED_PENDING_RECEIPT","Log source path or blocker; do not promote","Route to review lane")</x:f>
        <x:v>Log source path or blocker; do not promote</x:v>
      </x:c>
      <x:c r="Z1392" s="12" t="str">
        <x:f>IF(K1392="P0","Primary seat + Hashlight/Lucerna","Seat lane")</x:f>
        <x:v>Seat lane</x:v>
      </x:c>
      <x:c r="AA1392" s="12" t="str">
        <x:f>IF(R1392="","no_claim_delta","claim_delta_present")</x:f>
        <x:v>no_claim_delta</x:v>
      </x:c>
      <x:c r="AB1392" s="12" t="str">
        <x:f>IF(S1392="","no_contradiction_delta","contradiction_delta_present")</x:f>
        <x:v>no_contradiction_delta</x:v>
      </x:c>
      <x:c r="AC1392" s="12" t="str">
        <x:f>IF(OR(ISNUMBER(SEARCH("hacker",LOWER(F1392&amp;" "&amp;H1392&amp;" "&amp;I1392&amp;" "&amp;M1392&amp;" "&amp;N1392&amp;" "&amp;T1392))),ISNUMBER(SEARCH("hacking",LOWER(F1392&amp;" "&amp;H1392&amp;" "&amp;I1392&amp;" "&amp;M1392&amp;" "&amp;N1392&amp;" "&amp;T1392))),ISNUMBER(SEARCH("bank",LOWER(F1392&amp;" "&amp;H1392&amp;" "&amp;I1392&amp;" "&amp;M1392&amp;" "&amp;N1392&amp;" "&amp;T1392))),ISNUMBER(SEARCH("banking",LOWER(F1392&amp;" "&amp;H1392&amp;" "&amp;I1392&amp;" "&amp;M1392&amp;" "&amp;N1392&amp;" "&amp;T1392)))),"PRIVATE_QUARANTINE",IF(OR(ISNUMBER(SEARCH("treasury",LOWER(F1392&amp;" "&amp;H1392&amp;" "&amp;I1392&amp;" "&amp;M1392&amp;" "&amp;N1392&amp;" "&amp;T1392))),ISNUMBER(SEARCH("debt",LOWER(F1392&amp;" "&amp;H1392&amp;" "&amp;I1392&amp;" "&amp;M1392&amp;" "&amp;N1392&amp;" "&amp;T1392))),ISNUMBER(SEARCH("bond",LOWER(F1392&amp;" "&amp;H1392&amp;" "&amp;I1392&amp;" "&amp;M1392&amp;" "&amp;N1392&amp;" "&amp;T1392))),ISNUMBER(SEARCH("transaction",LOWER(F1392&amp;" "&amp;H1392&amp;" "&amp;I1392&amp;" "&amp;M1392&amp;" "&amp;N1392&amp;" "&amp;T1392)))),"PRIVATE_REVIEW","PUBLIC_CANDIDATE"))</x:f>
        <x:v>PUBLIC_CANDIDATE</x:v>
      </x:c>
      <x:c r="AD1392" s="12" t="str">
        <x:f>IF(AC1392="PRIVATE_QUARANTINE","hacker_or_bank_trigger",IF(AC1392="PRIVATE_REVIEW","finance_risk_trigger","none"))</x:f>
        <x:v>none</x:v>
      </x:c>
      <x:c r="AE1392" s="12" t="str">
        <x:f>IF(AC1392="PUBLIC_CANDIDATE","prepare_public_github_candidate",IF(AC1392="PRIVATE_REVIEW","hold_for_private_review","quarantine_private_do_not_publish"))</x:f>
        <x:v>prepare_public_github_candidate</x:v>
      </x:c>
      <x:c r="AF1392" s="12" t="str">
        <x:f>IF(AC1392="PUBLIC_CANDIDATE","TIDELOCK + Lucerna",IF(AC1392="PRIVATE_REVIEW","AtlasBrain + Lucerna","TIDELOCK + Lucerna + Human-root"))</x:f>
        <x:v>TIDELOCK + Lucerna</x:v>
      </x:c>
      <x:c r="AG1392" s="12" t="str">
        <x:f>IF(AND(AC1392="PUBLIC_CANDIDATE",U1392&lt;&gt;"BLOCKED_PENDING_RECEIPT"),"READY_AFTER_RECEIPT","NOT_READY")</x:f>
        <x:v>NOT_READY</x:v>
      </x:c>
      <x:c r="AH1392" s="12" t="str">
        <x:f>IF(AC1392="PUBLIC_CANDIDATE","none",AD1392)</x:f>
        <x:v>none</x:v>
      </x:c>
      <x:c r="AI1392" s="12" t="str">
        <x:f>IF(AC1392="PUBLIC_CANDIDATE","archive/public_candidates/"&amp;A1392,"private_quarantine/"&amp;A1392)</x:f>
        <x:v>archive/public_candidates/SWARM-10-H08-S11</x:v>
      </x:c>
      <x:c r="AJ1392" s="12" t="str">
        <x:f>IF(AC1392="PUBLIC_CANDIDATE","public by default; still not canon","private/hold; do not publish")</x:f>
        <x:v>public by default; still not canon</x:v>
      </x:c>
      <x:c r="AK1392" s="12" t="str">
        <x:f>IF(AE1392="prepare_public_github_candidate","add receipt/status then mirror","resolve blocker before any public GitHub action")</x:f>
        <x:v>add receipt/status then mirror</x:v>
      </x:c>
    </x:row>
    <x:row r="1393">
      <x:c r="A1393" s="15" t="str">
        <x:v>SWARM-10-H08-S12</x:v>
      </x:c>
      <x:c r="B1393" s="15" t="str">
        <x:v>GitShelf</x:v>
      </x:c>
      <x:c r="C1393" s="15" t="str">
        <x:v>GitHub shelf builder</x:v>
      </x:c>
      <x:c r="D1393" s="15" t="str">
        <x:v>Graph Edge Proposals</x:v>
      </x:c>
      <x:c r="E1393" s="15" t="str">
        <x:v>Risk / Safety</x:v>
      </x:c>
      <x:c r="F1393" s="15" t="str">
        <x:v>Propose graph edges for Risk / Safety — GitShelf</x:v>
      </x:c>
      <x:c r="G1393" s="15" t="str">
        <x:v>repo packet / manifest / issue template prep</x:v>
      </x:c>
      <x:c r="H1393" s="15" t="str">
        <x:v>source path + receipt + raw/export status + claim/edge/risk delta</x:v>
      </x:c>
      <x:c r="I1393" s="15" t="str">
        <x:v>packet/SWARM-10-H08-S12</x:v>
      </x:c>
      <x:c r="J1393" s="15" t="str">
        <x:v>TODO</x:v>
      </x:c>
      <x:c r="K1393" s="15" t="str">
        <x:v>P2</x:v>
      </x:c>
      <x:c r="L1393" s="15" t="str">
        <x:v>Done only when evidence is logged, contradiction search is noted, and boundary stamp remains non-canon unless ratified</x:v>
      </x:c>
      <x:c r="M1393" s="15" t="str">
        <x:v>candidate / staging-only / not canon / not deployed / authority none</x:v>
      </x:c>
      <x:c r="N1393" s="15" t="str">
        <x:v>Dispatch to GitShelf: complete Graph Edge Proposals x Risk / Safety; return deltas only, receipts required.</x:v>
      </x:c>
      <x:c r="O1393" s="15" t="str">
        <x:v>AF-KG-H08-S12</x:v>
      </x:c>
      <x:c r="P1393" s="15" t="str">
        <x:v>Unverified</x:v>
      </x:c>
      <x:c r="Q1393" s="15" t="str">
        <x:v>Not checked</x:v>
      </x:c>
      <x:c r="R1393" s="15" t="str"/>
      <x:c r="S1393" s="15" t="str"/>
      <x:c r="T1393" s="15" t="str">
        <x:v>Log first source path or blocker</x:v>
      </x:c>
      <x:c r="U1393" s="12" t="str">
        <x:f>IF(OR(P1393="Unverified",Q1393="Not checked"),"BLOCKED_PENDING_RECEIPT","READY_FOR_REVIEW")</x:f>
        <x:v>BLOCKED_PENDING_RECEIPT</x:v>
      </x:c>
      <x:c r="V1393" s="12" t="str">
        <x:f>IF(J1393="DONE","RETURNED",IF(U1393="BLOCKED_PENDING_RECEIPT","SOURCE_TOUCH_REQUIRED","IN_PROGRESS"))</x:f>
        <x:v>SOURCE_TOUCH_REQUIRED</x:v>
      </x:c>
      <x:c r="W1393" s="12" t="str">
        <x:f>IF(P1393="Unverified","missing_receipt","receipt_logged")</x:f>
        <x:v>missing_receipt</x:v>
      </x:c>
      <x:c r="X1393" s="12" t="str">
        <x:f>IF(Q1393="Not checked","raw_status_missing","raw_status_logged")</x:f>
        <x:v>raw_status_missing</x:v>
      </x:c>
      <x:c r="Y1393" s="12" t="str">
        <x:f>IF(U1393="BLOCKED_PENDING_RECEIPT","Log source path or blocker; do not promote","Route to review lane")</x:f>
        <x:v>Log source path or blocker; do not promote</x:v>
      </x:c>
      <x:c r="Z1393" s="12" t="str">
        <x:f>IF(K1393="P0","Primary seat + Hashlight/Lucerna","Seat lane")</x:f>
        <x:v>Seat lane</x:v>
      </x:c>
      <x:c r="AA1393" s="12" t="str">
        <x:f>IF(R1393="","no_claim_delta","claim_delta_present")</x:f>
        <x:v>no_claim_delta</x:v>
      </x:c>
      <x:c r="AB1393" s="12" t="str">
        <x:f>IF(S1393="","no_contradiction_delta","contradiction_delta_present")</x:f>
        <x:v>no_contradiction_delta</x:v>
      </x:c>
      <x:c r="AC1393" s="12" t="str">
        <x:f>IF(OR(ISNUMBER(SEARCH("hacker",LOWER(F1393&amp;" "&amp;H1393&amp;" "&amp;I1393&amp;" "&amp;M1393&amp;" "&amp;N1393&amp;" "&amp;T1393))),ISNUMBER(SEARCH("hacking",LOWER(F1393&amp;" "&amp;H1393&amp;" "&amp;I1393&amp;" "&amp;M1393&amp;" "&amp;N1393&amp;" "&amp;T1393))),ISNUMBER(SEARCH("bank",LOWER(F1393&amp;" "&amp;H1393&amp;" "&amp;I1393&amp;" "&amp;M1393&amp;" "&amp;N1393&amp;" "&amp;T1393))),ISNUMBER(SEARCH("banking",LOWER(F1393&amp;" "&amp;H1393&amp;" "&amp;I1393&amp;" "&amp;M1393&amp;" "&amp;N1393&amp;" "&amp;T1393)))),"PRIVATE_QUARANTINE",IF(OR(ISNUMBER(SEARCH("treasury",LOWER(F1393&amp;" "&amp;H1393&amp;" "&amp;I1393&amp;" "&amp;M1393&amp;" "&amp;N1393&amp;" "&amp;T1393))),ISNUMBER(SEARCH("debt",LOWER(F1393&amp;" "&amp;H1393&amp;" "&amp;I1393&amp;" "&amp;M1393&amp;" "&amp;N1393&amp;" "&amp;T1393))),ISNUMBER(SEARCH("bond",LOWER(F1393&amp;" "&amp;H1393&amp;" "&amp;I1393&amp;" "&amp;M1393&amp;" "&amp;N1393&amp;" "&amp;T1393))),ISNUMBER(SEARCH("transaction",LOWER(F1393&amp;" "&amp;H1393&amp;" "&amp;I1393&amp;" "&amp;M1393&amp;" "&amp;N1393&amp;" "&amp;T1393)))),"PRIVATE_REVIEW","PUBLIC_CANDIDATE"))</x:f>
        <x:v>PUBLIC_CANDIDATE</x:v>
      </x:c>
      <x:c r="AD1393" s="12" t="str">
        <x:f>IF(AC1393="PRIVATE_QUARANTINE","hacker_or_bank_trigger",IF(AC1393="PRIVATE_REVIEW","finance_risk_trigger","none"))</x:f>
        <x:v>none</x:v>
      </x:c>
      <x:c r="AE1393" s="12" t="str">
        <x:f>IF(AC1393="PUBLIC_CANDIDATE","prepare_public_github_candidate",IF(AC1393="PRIVATE_REVIEW","hold_for_private_review","quarantine_private_do_not_publish"))</x:f>
        <x:v>prepare_public_github_candidate</x:v>
      </x:c>
      <x:c r="AF1393" s="12" t="str">
        <x:f>IF(AC1393="PUBLIC_CANDIDATE","TIDELOCK + Lucerna",IF(AC1393="PRIVATE_REVIEW","AtlasBrain + Lucerna","TIDELOCK + Lucerna + Human-root"))</x:f>
        <x:v>TIDELOCK + Lucerna</x:v>
      </x:c>
      <x:c r="AG1393" s="12" t="str">
        <x:f>IF(AND(AC1393="PUBLIC_CANDIDATE",U1393&lt;&gt;"BLOCKED_PENDING_RECEIPT"),"READY_AFTER_RECEIPT","NOT_READY")</x:f>
        <x:v>NOT_READY</x:v>
      </x:c>
      <x:c r="AH1393" s="12" t="str">
        <x:f>IF(AC1393="PUBLIC_CANDIDATE","none",AD1393)</x:f>
        <x:v>none</x:v>
      </x:c>
      <x:c r="AI1393" s="12" t="str">
        <x:f>IF(AC1393="PUBLIC_CANDIDATE","archive/public_candidates/"&amp;A1393,"private_quarantine/"&amp;A1393)</x:f>
        <x:v>archive/public_candidates/SWARM-10-H08-S12</x:v>
      </x:c>
      <x:c r="AJ1393" s="12" t="str">
        <x:f>IF(AC1393="PUBLIC_CANDIDATE","public by default; still not canon","private/hold; do not publish")</x:f>
        <x:v>public by default; still not canon</x:v>
      </x:c>
      <x:c r="AK1393" s="12" t="str">
        <x:f>IF(AE1393="prepare_public_github_candidate","add receipt/status then mirror","resolve blocker before any public GitHub action")</x:f>
        <x:v>add receipt/status then mirror</x:v>
      </x:c>
    </x:row>
    <x:row r="1394">
      <x:c r="A1394" s="15" t="str">
        <x:v>SWARM-10-H09-S01</x:v>
      </x:c>
      <x:c r="B1394" s="15" t="str">
        <x:v>GitShelf</x:v>
      </x:c>
      <x:c r="C1394" s="15" t="str">
        <x:v>GitHub shelf builder</x:v>
      </x:c>
      <x:c r="D1394" s="15" t="str">
        <x:v>Review Queues</x:v>
      </x:c>
      <x:c r="E1394" s="15" t="str">
        <x:v>Notion</x:v>
      </x:c>
      <x:c r="F1394" s="15" t="str">
        <x:v>Queue review for Notion — GitShelf</x:v>
      </x:c>
      <x:c r="G1394" s="15" t="str">
        <x:v>repo packet / manifest / issue template prep</x:v>
      </x:c>
      <x:c r="H1394" s="15" t="str">
        <x:v>source path + receipt + raw/export status + claim/edge/risk delta</x:v>
      </x:c>
      <x:c r="I1394" s="15" t="str">
        <x:v>packet/SWARM-10-H09-S01</x:v>
      </x:c>
      <x:c r="J1394" s="15" t="str">
        <x:v>TODO</x:v>
      </x:c>
      <x:c r="K1394" s="15" t="str">
        <x:v>P0</x:v>
      </x:c>
      <x:c r="L1394" s="15" t="str">
        <x:v>Done only when evidence is logged, contradiction search is noted, and boundary stamp remains non-canon unless ratified</x:v>
      </x:c>
      <x:c r="M1394" s="15" t="str">
        <x:v>candidate / staging-only / not canon / not deployed / authority none</x:v>
      </x:c>
      <x:c r="N1394" s="15" t="str">
        <x:v>Dispatch to GitShelf: complete Review Queues x Notion; return deltas only, receipts required.</x:v>
      </x:c>
      <x:c r="O1394" s="15" t="str">
        <x:v>AF-KG-H09-S01</x:v>
      </x:c>
      <x:c r="P1394" s="15" t="str">
        <x:v>Unverified</x:v>
      </x:c>
      <x:c r="Q1394" s="15" t="str">
        <x:v>Not checked</x:v>
      </x:c>
      <x:c r="R1394" s="15" t="str"/>
      <x:c r="S1394" s="15" t="str"/>
      <x:c r="T1394" s="15" t="str">
        <x:v>Log first source path or blocker</x:v>
      </x:c>
      <x:c r="U1394" s="12" t="str">
        <x:f>IF(OR(P1394="Unverified",Q1394="Not checked"),"BLOCKED_PENDING_RECEIPT","READY_FOR_REVIEW")</x:f>
        <x:v>BLOCKED_PENDING_RECEIPT</x:v>
      </x:c>
      <x:c r="V1394" s="12" t="str">
        <x:f>IF(J1394="DONE","RETURNED",IF(U1394="BLOCKED_PENDING_RECEIPT","SOURCE_TOUCH_REQUIRED","IN_PROGRESS"))</x:f>
        <x:v>SOURCE_TOUCH_REQUIRED</x:v>
      </x:c>
      <x:c r="W1394" s="12" t="str">
        <x:f>IF(P1394="Unverified","missing_receipt","receipt_logged")</x:f>
        <x:v>missing_receipt</x:v>
      </x:c>
      <x:c r="X1394" s="12" t="str">
        <x:f>IF(Q1394="Not checked","raw_status_missing","raw_status_logged")</x:f>
        <x:v>raw_status_missing</x:v>
      </x:c>
      <x:c r="Y1394" s="12" t="str">
        <x:f>IF(U1394="BLOCKED_PENDING_RECEIPT","Log source path or blocker; do not promote","Route to review lane")</x:f>
        <x:v>Log source path or blocker; do not promote</x:v>
      </x:c>
      <x:c r="Z1394" s="12" t="str">
        <x:f>IF(K1394="P0","Primary seat + Hashlight/Lucerna","Seat lane")</x:f>
        <x:v>Primary seat + Hashlight/Lucerna</x:v>
      </x:c>
      <x:c r="AA1394" s="12" t="str">
        <x:f>IF(R1394="","no_claim_delta","claim_delta_present")</x:f>
        <x:v>no_claim_delta</x:v>
      </x:c>
      <x:c r="AB1394" s="12" t="str">
        <x:f>IF(S1394="","no_contradiction_delta","contradiction_delta_present")</x:f>
        <x:v>no_contradiction_delta</x:v>
      </x:c>
      <x:c r="AC1394" s="12" t="str">
        <x:f>IF(OR(ISNUMBER(SEARCH("hacker",LOWER(F1394&amp;" "&amp;H1394&amp;" "&amp;I1394&amp;" "&amp;M1394&amp;" "&amp;N1394&amp;" "&amp;T1394))),ISNUMBER(SEARCH("hacking",LOWER(F1394&amp;" "&amp;H1394&amp;" "&amp;I1394&amp;" "&amp;M1394&amp;" "&amp;N1394&amp;" "&amp;T1394))),ISNUMBER(SEARCH("bank",LOWER(F1394&amp;" "&amp;H1394&amp;" "&amp;I1394&amp;" "&amp;M1394&amp;" "&amp;N1394&amp;" "&amp;T1394))),ISNUMBER(SEARCH("banking",LOWER(F1394&amp;" "&amp;H1394&amp;" "&amp;I1394&amp;" "&amp;M1394&amp;" "&amp;N1394&amp;" "&amp;T1394)))),"PRIVATE_QUARANTINE",IF(OR(ISNUMBER(SEARCH("treasury",LOWER(F1394&amp;" "&amp;H1394&amp;" "&amp;I1394&amp;" "&amp;M1394&amp;" "&amp;N1394&amp;" "&amp;T1394))),ISNUMBER(SEARCH("debt",LOWER(F1394&amp;" "&amp;H1394&amp;" "&amp;I1394&amp;" "&amp;M1394&amp;" "&amp;N1394&amp;" "&amp;T1394))),ISNUMBER(SEARCH("bond",LOWER(F1394&amp;" "&amp;H1394&amp;" "&amp;I1394&amp;" "&amp;M1394&amp;" "&amp;N1394&amp;" "&amp;T1394))),ISNUMBER(SEARCH("transaction",LOWER(F1394&amp;" "&amp;H1394&amp;" "&amp;I1394&amp;" "&amp;M1394&amp;" "&amp;N1394&amp;" "&amp;T1394)))),"PRIVATE_REVIEW","PUBLIC_CANDIDATE"))</x:f>
        <x:v>PUBLIC_CANDIDATE</x:v>
      </x:c>
      <x:c r="AD1394" s="12" t="str">
        <x:f>IF(AC1394="PRIVATE_QUARANTINE","hacker_or_bank_trigger",IF(AC1394="PRIVATE_REVIEW","finance_risk_trigger","none"))</x:f>
        <x:v>none</x:v>
      </x:c>
      <x:c r="AE1394" s="12" t="str">
        <x:f>IF(AC1394="PUBLIC_CANDIDATE","prepare_public_github_candidate",IF(AC1394="PRIVATE_REVIEW","hold_for_private_review","quarantine_private_do_not_publish"))</x:f>
        <x:v>prepare_public_github_candidate</x:v>
      </x:c>
      <x:c r="AF1394" s="12" t="str">
        <x:f>IF(AC1394="PUBLIC_CANDIDATE","TIDELOCK + Lucerna",IF(AC1394="PRIVATE_REVIEW","AtlasBrain + Lucerna","TIDELOCK + Lucerna + Human-root"))</x:f>
        <x:v>TIDELOCK + Lucerna</x:v>
      </x:c>
      <x:c r="AG1394" s="12" t="str">
        <x:f>IF(AND(AC1394="PUBLIC_CANDIDATE",U1394&lt;&gt;"BLOCKED_PENDING_RECEIPT"),"READY_AFTER_RECEIPT","NOT_READY")</x:f>
        <x:v>NOT_READY</x:v>
      </x:c>
      <x:c r="AH1394" s="12" t="str">
        <x:f>IF(AC1394="PUBLIC_CANDIDATE","none",AD1394)</x:f>
        <x:v>none</x:v>
      </x:c>
      <x:c r="AI1394" s="12" t="str">
        <x:f>IF(AC1394="PUBLIC_CANDIDATE","archive/public_candidates/"&amp;A1394,"private_quarantine/"&amp;A1394)</x:f>
        <x:v>archive/public_candidates/SWARM-10-H09-S01</x:v>
      </x:c>
      <x:c r="AJ1394" s="12" t="str">
        <x:f>IF(AC1394="PUBLIC_CANDIDATE","public by default; still not canon","private/hold; do not publish")</x:f>
        <x:v>public by default; still not canon</x:v>
      </x:c>
      <x:c r="AK1394" s="12" t="str">
        <x:f>IF(AE1394="prepare_public_github_candidate","add receipt/status then mirror","resolve blocker before any public GitHub action")</x:f>
        <x:v>add receipt/status then mirror</x:v>
      </x:c>
    </x:row>
    <x:row r="1395">
      <x:c r="A1395" s="15" t="str">
        <x:v>SWARM-10-H09-S02</x:v>
      </x:c>
      <x:c r="B1395" s="15" t="str">
        <x:v>GitShelf</x:v>
      </x:c>
      <x:c r="C1395" s="15" t="str">
        <x:v>GitHub shelf builder</x:v>
      </x:c>
      <x:c r="D1395" s="15" t="str">
        <x:v>Review Queues</x:v>
      </x:c>
      <x:c r="E1395" s="15" t="str">
        <x:v>Drive</x:v>
      </x:c>
      <x:c r="F1395" s="15" t="str">
        <x:v>Queue review for Drive — GitShelf</x:v>
      </x:c>
      <x:c r="G1395" s="15" t="str">
        <x:v>repo packet / manifest / issue template prep</x:v>
      </x:c>
      <x:c r="H1395" s="15" t="str">
        <x:v>source path + receipt + raw/export status + claim/edge/risk delta</x:v>
      </x:c>
      <x:c r="I1395" s="15" t="str">
        <x:v>packet/SWARM-10-H09-S02</x:v>
      </x:c>
      <x:c r="J1395" s="15" t="str">
        <x:v>TODO</x:v>
      </x:c>
      <x:c r="K1395" s="15" t="str">
        <x:v>P0</x:v>
      </x:c>
      <x:c r="L1395" s="15" t="str">
        <x:v>Done only when evidence is logged, contradiction search is noted, and boundary stamp remains non-canon unless ratified</x:v>
      </x:c>
      <x:c r="M1395" s="15" t="str">
        <x:v>candidate / staging-only / not canon / not deployed / authority none</x:v>
      </x:c>
      <x:c r="N1395" s="15" t="str">
        <x:v>Dispatch to GitShelf: complete Review Queues x Drive; return deltas only, receipts required.</x:v>
      </x:c>
      <x:c r="O1395" s="15" t="str">
        <x:v>AF-KG-H09-S02</x:v>
      </x:c>
      <x:c r="P1395" s="15" t="str">
        <x:v>Unverified</x:v>
      </x:c>
      <x:c r="Q1395" s="15" t="str">
        <x:v>Not checked</x:v>
      </x:c>
      <x:c r="R1395" s="15" t="str"/>
      <x:c r="S1395" s="15" t="str"/>
      <x:c r="T1395" s="15" t="str">
        <x:v>Log first source path or blocker</x:v>
      </x:c>
      <x:c r="U1395" s="12" t="str">
        <x:f>IF(OR(P1395="Unverified",Q1395="Not checked"),"BLOCKED_PENDING_RECEIPT","READY_FOR_REVIEW")</x:f>
        <x:v>BLOCKED_PENDING_RECEIPT</x:v>
      </x:c>
      <x:c r="V1395" s="12" t="str">
        <x:f>IF(J1395="DONE","RETURNED",IF(U1395="BLOCKED_PENDING_RECEIPT","SOURCE_TOUCH_REQUIRED","IN_PROGRESS"))</x:f>
        <x:v>SOURCE_TOUCH_REQUIRED</x:v>
      </x:c>
      <x:c r="W1395" s="12" t="str">
        <x:f>IF(P1395="Unverified","missing_receipt","receipt_logged")</x:f>
        <x:v>missing_receipt</x:v>
      </x:c>
      <x:c r="X1395" s="12" t="str">
        <x:f>IF(Q1395="Not checked","raw_status_missing","raw_status_logged")</x:f>
        <x:v>raw_status_missing</x:v>
      </x:c>
      <x:c r="Y1395" s="12" t="str">
        <x:f>IF(U1395="BLOCKED_PENDING_RECEIPT","Log source path or blocker; do not promote","Route to review lane")</x:f>
        <x:v>Log source path or blocker; do not promote</x:v>
      </x:c>
      <x:c r="Z1395" s="12" t="str">
        <x:f>IF(K1395="P0","Primary seat + Hashlight/Lucerna","Seat lane")</x:f>
        <x:v>Primary seat + Hashlight/Lucerna</x:v>
      </x:c>
      <x:c r="AA1395" s="12" t="str">
        <x:f>IF(R1395="","no_claim_delta","claim_delta_present")</x:f>
        <x:v>no_claim_delta</x:v>
      </x:c>
      <x:c r="AB1395" s="12" t="str">
        <x:f>IF(S1395="","no_contradiction_delta","contradiction_delta_present")</x:f>
        <x:v>no_contradiction_delta</x:v>
      </x:c>
      <x:c r="AC1395" s="12" t="str">
        <x:f>IF(OR(ISNUMBER(SEARCH("hacker",LOWER(F1395&amp;" "&amp;H1395&amp;" "&amp;I1395&amp;" "&amp;M1395&amp;" "&amp;N1395&amp;" "&amp;T1395))),ISNUMBER(SEARCH("hacking",LOWER(F1395&amp;" "&amp;H1395&amp;" "&amp;I1395&amp;" "&amp;M1395&amp;" "&amp;N1395&amp;" "&amp;T1395))),ISNUMBER(SEARCH("bank",LOWER(F1395&amp;" "&amp;H1395&amp;" "&amp;I1395&amp;" "&amp;M1395&amp;" "&amp;N1395&amp;" "&amp;T1395))),ISNUMBER(SEARCH("banking",LOWER(F1395&amp;" "&amp;H1395&amp;" "&amp;I1395&amp;" "&amp;M1395&amp;" "&amp;N1395&amp;" "&amp;T1395)))),"PRIVATE_QUARANTINE",IF(OR(ISNUMBER(SEARCH("treasury",LOWER(F1395&amp;" "&amp;H1395&amp;" "&amp;I1395&amp;" "&amp;M1395&amp;" "&amp;N1395&amp;" "&amp;T1395))),ISNUMBER(SEARCH("debt",LOWER(F1395&amp;" "&amp;H1395&amp;" "&amp;I1395&amp;" "&amp;M1395&amp;" "&amp;N1395&amp;" "&amp;T1395))),ISNUMBER(SEARCH("bond",LOWER(F1395&amp;" "&amp;H1395&amp;" "&amp;I1395&amp;" "&amp;M1395&amp;" "&amp;N1395&amp;" "&amp;T1395))),ISNUMBER(SEARCH("transaction",LOWER(F1395&amp;" "&amp;H1395&amp;" "&amp;I1395&amp;" "&amp;M1395&amp;" "&amp;N1395&amp;" "&amp;T1395)))),"PRIVATE_REVIEW","PUBLIC_CANDIDATE"))</x:f>
        <x:v>PUBLIC_CANDIDATE</x:v>
      </x:c>
      <x:c r="AD1395" s="12" t="str">
        <x:f>IF(AC1395="PRIVATE_QUARANTINE","hacker_or_bank_trigger",IF(AC1395="PRIVATE_REVIEW","finance_risk_trigger","none"))</x:f>
        <x:v>none</x:v>
      </x:c>
      <x:c r="AE1395" s="12" t="str">
        <x:f>IF(AC1395="PUBLIC_CANDIDATE","prepare_public_github_candidate",IF(AC1395="PRIVATE_REVIEW","hold_for_private_review","quarantine_private_do_not_publish"))</x:f>
        <x:v>prepare_public_github_candidate</x:v>
      </x:c>
      <x:c r="AF1395" s="12" t="str">
        <x:f>IF(AC1395="PUBLIC_CANDIDATE","TIDELOCK + Lucerna",IF(AC1395="PRIVATE_REVIEW","AtlasBrain + Lucerna","TIDELOCK + Lucerna + Human-root"))</x:f>
        <x:v>TIDELOCK + Lucerna</x:v>
      </x:c>
      <x:c r="AG1395" s="12" t="str">
        <x:f>IF(AND(AC1395="PUBLIC_CANDIDATE",U1395&lt;&gt;"BLOCKED_PENDING_RECEIPT"),"READY_AFTER_RECEIPT","NOT_READY")</x:f>
        <x:v>NOT_READY</x:v>
      </x:c>
      <x:c r="AH1395" s="12" t="str">
        <x:f>IF(AC1395="PUBLIC_CANDIDATE","none",AD1395)</x:f>
        <x:v>none</x:v>
      </x:c>
      <x:c r="AI1395" s="12" t="str">
        <x:f>IF(AC1395="PUBLIC_CANDIDATE","archive/public_candidates/"&amp;A1395,"private_quarantine/"&amp;A1395)</x:f>
        <x:v>archive/public_candidates/SWARM-10-H09-S02</x:v>
      </x:c>
      <x:c r="AJ1395" s="12" t="str">
        <x:f>IF(AC1395="PUBLIC_CANDIDATE","public by default; still not canon","private/hold; do not publish")</x:f>
        <x:v>public by default; still not canon</x:v>
      </x:c>
      <x:c r="AK1395" s="12" t="str">
        <x:f>IF(AE1395="prepare_public_github_candidate","add receipt/status then mirror","resolve blocker before any public GitHub action")</x:f>
        <x:v>add receipt/status then mirror</x:v>
      </x:c>
    </x:row>
    <x:row r="1396">
      <x:c r="A1396" s="15" t="str">
        <x:v>SWARM-10-H09-S03</x:v>
      </x:c>
      <x:c r="B1396" s="15" t="str">
        <x:v>GitShelf</x:v>
      </x:c>
      <x:c r="C1396" s="15" t="str">
        <x:v>GitHub shelf builder</x:v>
      </x:c>
      <x:c r="D1396" s="15" t="str">
        <x:v>Review Queues</x:v>
      </x:c>
      <x:c r="E1396" s="15" t="str">
        <x:v>GitHub</x:v>
      </x:c>
      <x:c r="F1396" s="15" t="str">
        <x:v>Queue review for GitHub — GitShelf</x:v>
      </x:c>
      <x:c r="G1396" s="15" t="str">
        <x:v>repo packet / manifest / issue template prep</x:v>
      </x:c>
      <x:c r="H1396" s="15" t="str">
        <x:v>source path + receipt + raw/export status + claim/edge/risk delta</x:v>
      </x:c>
      <x:c r="I1396" s="15" t="str">
        <x:v>packet/SWARM-10-H09-S03</x:v>
      </x:c>
      <x:c r="J1396" s="15" t="str">
        <x:v>TODO</x:v>
      </x:c>
      <x:c r="K1396" s="15" t="str">
        <x:v>P0</x:v>
      </x:c>
      <x:c r="L1396" s="15" t="str">
        <x:v>Done only when evidence is logged, contradiction search is noted, and boundary stamp remains non-canon unless ratified</x:v>
      </x:c>
      <x:c r="M1396" s="15" t="str">
        <x:v>candidate / staging-only / not canon / not deployed / authority none</x:v>
      </x:c>
      <x:c r="N1396" s="15" t="str">
        <x:v>Dispatch to GitShelf: complete Review Queues x GitHub; return deltas only, receipts required.</x:v>
      </x:c>
      <x:c r="O1396" s="15" t="str">
        <x:v>AF-KG-H09-S03</x:v>
      </x:c>
      <x:c r="P1396" s="15" t="str">
        <x:v>Unverified</x:v>
      </x:c>
      <x:c r="Q1396" s="15" t="str">
        <x:v>Not checked</x:v>
      </x:c>
      <x:c r="R1396" s="15" t="str"/>
      <x:c r="S1396" s="15" t="str"/>
      <x:c r="T1396" s="15" t="str">
        <x:v>Log first source path or blocker</x:v>
      </x:c>
      <x:c r="U1396" s="12" t="str">
        <x:f>IF(OR(P1396="Unverified",Q1396="Not checked"),"BLOCKED_PENDING_RECEIPT","READY_FOR_REVIEW")</x:f>
        <x:v>BLOCKED_PENDING_RECEIPT</x:v>
      </x:c>
      <x:c r="V1396" s="12" t="str">
        <x:f>IF(J1396="DONE","RETURNED",IF(U1396="BLOCKED_PENDING_RECEIPT","SOURCE_TOUCH_REQUIRED","IN_PROGRESS"))</x:f>
        <x:v>SOURCE_TOUCH_REQUIRED</x:v>
      </x:c>
      <x:c r="W1396" s="12" t="str">
        <x:f>IF(P1396="Unverified","missing_receipt","receipt_logged")</x:f>
        <x:v>missing_receipt</x:v>
      </x:c>
      <x:c r="X1396" s="12" t="str">
        <x:f>IF(Q1396="Not checked","raw_status_missing","raw_status_logged")</x:f>
        <x:v>raw_status_missing</x:v>
      </x:c>
      <x:c r="Y1396" s="12" t="str">
        <x:f>IF(U1396="BLOCKED_PENDING_RECEIPT","Log source path or blocker; do not promote","Route to review lane")</x:f>
        <x:v>Log source path or blocker; do not promote</x:v>
      </x:c>
      <x:c r="Z1396" s="12" t="str">
        <x:f>IF(K1396="P0","Primary seat + Hashlight/Lucerna","Seat lane")</x:f>
        <x:v>Primary seat + Hashlight/Lucerna</x:v>
      </x:c>
      <x:c r="AA1396" s="12" t="str">
        <x:f>IF(R1396="","no_claim_delta","claim_delta_present")</x:f>
        <x:v>no_claim_delta</x:v>
      </x:c>
      <x:c r="AB1396" s="12" t="str">
        <x:f>IF(S1396="","no_contradiction_delta","contradiction_delta_present")</x:f>
        <x:v>no_contradiction_delta</x:v>
      </x:c>
      <x:c r="AC1396" s="12" t="str">
        <x:f>IF(OR(ISNUMBER(SEARCH("hacker",LOWER(F1396&amp;" "&amp;H1396&amp;" "&amp;I1396&amp;" "&amp;M1396&amp;" "&amp;N1396&amp;" "&amp;T1396))),ISNUMBER(SEARCH("hacking",LOWER(F1396&amp;" "&amp;H1396&amp;" "&amp;I1396&amp;" "&amp;M1396&amp;" "&amp;N1396&amp;" "&amp;T1396))),ISNUMBER(SEARCH("bank",LOWER(F1396&amp;" "&amp;H1396&amp;" "&amp;I1396&amp;" "&amp;M1396&amp;" "&amp;N1396&amp;" "&amp;T1396))),ISNUMBER(SEARCH("banking",LOWER(F1396&amp;" "&amp;H1396&amp;" "&amp;I1396&amp;" "&amp;M1396&amp;" "&amp;N1396&amp;" "&amp;T1396)))),"PRIVATE_QUARANTINE",IF(OR(ISNUMBER(SEARCH("treasury",LOWER(F1396&amp;" "&amp;H1396&amp;" "&amp;I1396&amp;" "&amp;M1396&amp;" "&amp;N1396&amp;" "&amp;T1396))),ISNUMBER(SEARCH("debt",LOWER(F1396&amp;" "&amp;H1396&amp;" "&amp;I1396&amp;" "&amp;M1396&amp;" "&amp;N1396&amp;" "&amp;T1396))),ISNUMBER(SEARCH("bond",LOWER(F1396&amp;" "&amp;H1396&amp;" "&amp;I1396&amp;" "&amp;M1396&amp;" "&amp;N1396&amp;" "&amp;T1396))),ISNUMBER(SEARCH("transaction",LOWER(F1396&amp;" "&amp;H1396&amp;" "&amp;I1396&amp;" "&amp;M1396&amp;" "&amp;N1396&amp;" "&amp;T1396)))),"PRIVATE_REVIEW","PUBLIC_CANDIDATE"))</x:f>
        <x:v>PUBLIC_CANDIDATE</x:v>
      </x:c>
      <x:c r="AD1396" s="12" t="str">
        <x:f>IF(AC1396="PRIVATE_QUARANTINE","hacker_or_bank_trigger",IF(AC1396="PRIVATE_REVIEW","finance_risk_trigger","none"))</x:f>
        <x:v>none</x:v>
      </x:c>
      <x:c r="AE1396" s="12" t="str">
        <x:f>IF(AC1396="PUBLIC_CANDIDATE","prepare_public_github_candidate",IF(AC1396="PRIVATE_REVIEW","hold_for_private_review","quarantine_private_do_not_publish"))</x:f>
        <x:v>prepare_public_github_candidate</x:v>
      </x:c>
      <x:c r="AF1396" s="12" t="str">
        <x:f>IF(AC1396="PUBLIC_CANDIDATE","TIDELOCK + Lucerna",IF(AC1396="PRIVATE_REVIEW","AtlasBrain + Lucerna","TIDELOCK + Lucerna + Human-root"))</x:f>
        <x:v>TIDELOCK + Lucerna</x:v>
      </x:c>
      <x:c r="AG1396" s="12" t="str">
        <x:f>IF(AND(AC1396="PUBLIC_CANDIDATE",U1396&lt;&gt;"BLOCKED_PENDING_RECEIPT"),"READY_AFTER_RECEIPT","NOT_READY")</x:f>
        <x:v>NOT_READY</x:v>
      </x:c>
      <x:c r="AH1396" s="12" t="str">
        <x:f>IF(AC1396="PUBLIC_CANDIDATE","none",AD1396)</x:f>
        <x:v>none</x:v>
      </x:c>
      <x:c r="AI1396" s="12" t="str">
        <x:f>IF(AC1396="PUBLIC_CANDIDATE","archive/public_candidates/"&amp;A1396,"private_quarantine/"&amp;A1396)</x:f>
        <x:v>archive/public_candidates/SWARM-10-H09-S03</x:v>
      </x:c>
      <x:c r="AJ1396" s="12" t="str">
        <x:f>IF(AC1396="PUBLIC_CANDIDATE","public by default; still not canon","private/hold; do not publish")</x:f>
        <x:v>public by default; still not canon</x:v>
      </x:c>
      <x:c r="AK1396" s="12" t="str">
        <x:f>IF(AE1396="prepare_public_github_candidate","add receipt/status then mirror","resolve blocker before any public GitHub action")</x:f>
        <x:v>add receipt/status then mirror</x:v>
      </x:c>
    </x:row>
    <x:row r="1397">
      <x:c r="A1397" s="15" t="str">
        <x:v>SWARM-10-H09-S04</x:v>
      </x:c>
      <x:c r="B1397" s="15" t="str">
        <x:v>GitShelf</x:v>
      </x:c>
      <x:c r="C1397" s="15" t="str">
        <x:v>GitHub shelf builder</x:v>
      </x:c>
      <x:c r="D1397" s="15" t="str">
        <x:v>Review Queues</x:v>
      </x:c>
      <x:c r="E1397" s="15" t="str">
        <x:v>Gamma</x:v>
      </x:c>
      <x:c r="F1397" s="15" t="str">
        <x:v>Queue review for Gamma — GitShelf</x:v>
      </x:c>
      <x:c r="G1397" s="15" t="str">
        <x:v>repo packet / manifest / issue template prep</x:v>
      </x:c>
      <x:c r="H1397" s="15" t="str">
        <x:v>source path + receipt + raw/export status + claim/edge/risk delta</x:v>
      </x:c>
      <x:c r="I1397" s="15" t="str">
        <x:v>packet/SWARM-10-H09-S04</x:v>
      </x:c>
      <x:c r="J1397" s="15" t="str">
        <x:v>TODO</x:v>
      </x:c>
      <x:c r="K1397" s="15" t="str">
        <x:v>P1</x:v>
      </x:c>
      <x:c r="L1397" s="15" t="str">
        <x:v>Done only when evidence is logged, contradiction search is noted, and boundary stamp remains non-canon unless ratified</x:v>
      </x:c>
      <x:c r="M1397" s="15" t="str">
        <x:v>candidate / staging-only / not canon / not deployed / authority none</x:v>
      </x:c>
      <x:c r="N1397" s="15" t="str">
        <x:v>Dispatch to GitShelf: complete Review Queues x Gamma; return deltas only, receipts required.</x:v>
      </x:c>
      <x:c r="O1397" s="15" t="str">
        <x:v>AF-KG-H09-S04</x:v>
      </x:c>
      <x:c r="P1397" s="15" t="str">
        <x:v>Unverified</x:v>
      </x:c>
      <x:c r="Q1397" s="15" t="str">
        <x:v>Not checked</x:v>
      </x:c>
      <x:c r="R1397" s="15" t="str"/>
      <x:c r="S1397" s="15" t="str"/>
      <x:c r="T1397" s="15" t="str">
        <x:v>Log first source path or blocker</x:v>
      </x:c>
      <x:c r="U1397" s="12" t="str">
        <x:f>IF(OR(P1397="Unverified",Q1397="Not checked"),"BLOCKED_PENDING_RECEIPT","READY_FOR_REVIEW")</x:f>
        <x:v>BLOCKED_PENDING_RECEIPT</x:v>
      </x:c>
      <x:c r="V1397" s="12" t="str">
        <x:f>IF(J1397="DONE","RETURNED",IF(U1397="BLOCKED_PENDING_RECEIPT","SOURCE_TOUCH_REQUIRED","IN_PROGRESS"))</x:f>
        <x:v>SOURCE_TOUCH_REQUIRED</x:v>
      </x:c>
      <x:c r="W1397" s="12" t="str">
        <x:f>IF(P1397="Unverified","missing_receipt","receipt_logged")</x:f>
        <x:v>missing_receipt</x:v>
      </x:c>
      <x:c r="X1397" s="12" t="str">
        <x:f>IF(Q1397="Not checked","raw_status_missing","raw_status_logged")</x:f>
        <x:v>raw_status_missing</x:v>
      </x:c>
      <x:c r="Y1397" s="12" t="str">
        <x:f>IF(U1397="BLOCKED_PENDING_RECEIPT","Log source path or blocker; do not promote","Route to review lane")</x:f>
        <x:v>Log source path or blocker; do not promote</x:v>
      </x:c>
      <x:c r="Z1397" s="12" t="str">
        <x:f>IF(K1397="P0","Primary seat + Hashlight/Lucerna","Seat lane")</x:f>
        <x:v>Seat lane</x:v>
      </x:c>
      <x:c r="AA1397" s="12" t="str">
        <x:f>IF(R1397="","no_claim_delta","claim_delta_present")</x:f>
        <x:v>no_claim_delta</x:v>
      </x:c>
      <x:c r="AB1397" s="12" t="str">
        <x:f>IF(S1397="","no_contradiction_delta","contradiction_delta_present")</x:f>
        <x:v>no_contradiction_delta</x:v>
      </x:c>
      <x:c r="AC1397" s="12" t="str">
        <x:f>IF(OR(ISNUMBER(SEARCH("hacker",LOWER(F1397&amp;" "&amp;H1397&amp;" "&amp;I1397&amp;" "&amp;M1397&amp;" "&amp;N1397&amp;" "&amp;T1397))),ISNUMBER(SEARCH("hacking",LOWER(F1397&amp;" "&amp;H1397&amp;" "&amp;I1397&amp;" "&amp;M1397&amp;" "&amp;N1397&amp;" "&amp;T1397))),ISNUMBER(SEARCH("bank",LOWER(F1397&amp;" "&amp;H1397&amp;" "&amp;I1397&amp;" "&amp;M1397&amp;" "&amp;N1397&amp;" "&amp;T1397))),ISNUMBER(SEARCH("banking",LOWER(F1397&amp;" "&amp;H1397&amp;" "&amp;I1397&amp;" "&amp;M1397&amp;" "&amp;N1397&amp;" "&amp;T1397)))),"PRIVATE_QUARANTINE",IF(OR(ISNUMBER(SEARCH("treasury",LOWER(F1397&amp;" "&amp;H1397&amp;" "&amp;I1397&amp;" "&amp;M1397&amp;" "&amp;N1397&amp;" "&amp;T1397))),ISNUMBER(SEARCH("debt",LOWER(F1397&amp;" "&amp;H1397&amp;" "&amp;I1397&amp;" "&amp;M1397&amp;" "&amp;N1397&amp;" "&amp;T1397))),ISNUMBER(SEARCH("bond",LOWER(F1397&amp;" "&amp;H1397&amp;" "&amp;I1397&amp;" "&amp;M1397&amp;" "&amp;N1397&amp;" "&amp;T1397))),ISNUMBER(SEARCH("transaction",LOWER(F1397&amp;" "&amp;H1397&amp;" "&amp;I1397&amp;" "&amp;M1397&amp;" "&amp;N1397&amp;" "&amp;T1397)))),"PRIVATE_REVIEW","PUBLIC_CANDIDATE"))</x:f>
        <x:v>PUBLIC_CANDIDATE</x:v>
      </x:c>
      <x:c r="AD1397" s="12" t="str">
        <x:f>IF(AC1397="PRIVATE_QUARANTINE","hacker_or_bank_trigger",IF(AC1397="PRIVATE_REVIEW","finance_risk_trigger","none"))</x:f>
        <x:v>none</x:v>
      </x:c>
      <x:c r="AE1397" s="12" t="str">
        <x:f>IF(AC1397="PUBLIC_CANDIDATE","prepare_public_github_candidate",IF(AC1397="PRIVATE_REVIEW","hold_for_private_review","quarantine_private_do_not_publish"))</x:f>
        <x:v>prepare_public_github_candidate</x:v>
      </x:c>
      <x:c r="AF1397" s="12" t="str">
        <x:f>IF(AC1397="PUBLIC_CANDIDATE","TIDELOCK + Lucerna",IF(AC1397="PRIVATE_REVIEW","AtlasBrain + Lucerna","TIDELOCK + Lucerna + Human-root"))</x:f>
        <x:v>TIDELOCK + Lucerna</x:v>
      </x:c>
      <x:c r="AG1397" s="12" t="str">
        <x:f>IF(AND(AC1397="PUBLIC_CANDIDATE",U1397&lt;&gt;"BLOCKED_PENDING_RECEIPT"),"READY_AFTER_RECEIPT","NOT_READY")</x:f>
        <x:v>NOT_READY</x:v>
      </x:c>
      <x:c r="AH1397" s="12" t="str">
        <x:f>IF(AC1397="PUBLIC_CANDIDATE","none",AD1397)</x:f>
        <x:v>none</x:v>
      </x:c>
      <x:c r="AI1397" s="12" t="str">
        <x:f>IF(AC1397="PUBLIC_CANDIDATE","archive/public_candidates/"&amp;A1397,"private_quarantine/"&amp;A1397)</x:f>
        <x:v>archive/public_candidates/SWARM-10-H09-S04</x:v>
      </x:c>
      <x:c r="AJ1397" s="12" t="str">
        <x:f>IF(AC1397="PUBLIC_CANDIDATE","public by default; still not canon","private/hold; do not publish")</x:f>
        <x:v>public by default; still not canon</x:v>
      </x:c>
      <x:c r="AK1397" s="12" t="str">
        <x:f>IF(AE1397="prepare_public_github_candidate","add receipt/status then mirror","resolve blocker before any public GitHub action")</x:f>
        <x:v>add receipt/status then mirror</x:v>
      </x:c>
    </x:row>
    <x:row r="1398">
      <x:c r="A1398" s="15" t="str">
        <x:v>SWARM-10-H09-S05</x:v>
      </x:c>
      <x:c r="B1398" s="15" t="str">
        <x:v>GitShelf</x:v>
      </x:c>
      <x:c r="C1398" s="15" t="str">
        <x:v>GitHub shelf builder</x:v>
      </x:c>
      <x:c r="D1398" s="15" t="str">
        <x:v>Review Queues</x:v>
      </x:c>
      <x:c r="E1398" s="15" t="str">
        <x:v>Chat</x:v>
      </x:c>
      <x:c r="F1398" s="15" t="str">
        <x:v>Queue review for Chat — GitShelf</x:v>
      </x:c>
      <x:c r="G1398" s="15" t="str">
        <x:v>repo packet / manifest / issue template prep</x:v>
      </x:c>
      <x:c r="H1398" s="15" t="str">
        <x:v>source path + receipt + raw/export status + claim/edge/risk delta</x:v>
      </x:c>
      <x:c r="I1398" s="15" t="str">
        <x:v>packet/SWARM-10-H09-S05</x:v>
      </x:c>
      <x:c r="J1398" s="15" t="str">
        <x:v>TODO</x:v>
      </x:c>
      <x:c r="K1398" s="15" t="str">
        <x:v>P1</x:v>
      </x:c>
      <x:c r="L1398" s="15" t="str">
        <x:v>Done only when evidence is logged, contradiction search is noted, and boundary stamp remains non-canon unless ratified</x:v>
      </x:c>
      <x:c r="M1398" s="15" t="str">
        <x:v>candidate / staging-only / not canon / not deployed / authority none</x:v>
      </x:c>
      <x:c r="N1398" s="15" t="str">
        <x:v>Dispatch to GitShelf: complete Review Queues x Chat; return deltas only, receipts required.</x:v>
      </x:c>
      <x:c r="O1398" s="15" t="str">
        <x:v>AF-KG-H09-S05</x:v>
      </x:c>
      <x:c r="P1398" s="15" t="str">
        <x:v>Unverified</x:v>
      </x:c>
      <x:c r="Q1398" s="15" t="str">
        <x:v>Not checked</x:v>
      </x:c>
      <x:c r="R1398" s="15" t="str"/>
      <x:c r="S1398" s="15" t="str"/>
      <x:c r="T1398" s="15" t="str">
        <x:v>Log first source path or blocker</x:v>
      </x:c>
      <x:c r="U1398" s="12" t="str">
        <x:f>IF(OR(P1398="Unverified",Q1398="Not checked"),"BLOCKED_PENDING_RECEIPT","READY_FOR_REVIEW")</x:f>
        <x:v>BLOCKED_PENDING_RECEIPT</x:v>
      </x:c>
      <x:c r="V1398" s="12" t="str">
        <x:f>IF(J1398="DONE","RETURNED",IF(U1398="BLOCKED_PENDING_RECEIPT","SOURCE_TOUCH_REQUIRED","IN_PROGRESS"))</x:f>
        <x:v>SOURCE_TOUCH_REQUIRED</x:v>
      </x:c>
      <x:c r="W1398" s="12" t="str">
        <x:f>IF(P1398="Unverified","missing_receipt","receipt_logged")</x:f>
        <x:v>missing_receipt</x:v>
      </x:c>
      <x:c r="X1398" s="12" t="str">
        <x:f>IF(Q1398="Not checked","raw_status_missing","raw_status_logged")</x:f>
        <x:v>raw_status_missing</x:v>
      </x:c>
      <x:c r="Y1398" s="12" t="str">
        <x:f>IF(U1398="BLOCKED_PENDING_RECEIPT","Log source path or blocker; do not promote","Route to review lane")</x:f>
        <x:v>Log source path or blocker; do not promote</x:v>
      </x:c>
      <x:c r="Z1398" s="12" t="str">
        <x:f>IF(K1398="P0","Primary seat + Hashlight/Lucerna","Seat lane")</x:f>
        <x:v>Seat lane</x:v>
      </x:c>
      <x:c r="AA1398" s="12" t="str">
        <x:f>IF(R1398="","no_claim_delta","claim_delta_present")</x:f>
        <x:v>no_claim_delta</x:v>
      </x:c>
      <x:c r="AB1398" s="12" t="str">
        <x:f>IF(S1398="","no_contradiction_delta","contradiction_delta_present")</x:f>
        <x:v>no_contradiction_delta</x:v>
      </x:c>
      <x:c r="AC1398" s="12" t="str">
        <x:f>IF(OR(ISNUMBER(SEARCH("hacker",LOWER(F1398&amp;" "&amp;H1398&amp;" "&amp;I1398&amp;" "&amp;M1398&amp;" "&amp;N1398&amp;" "&amp;T1398))),ISNUMBER(SEARCH("hacking",LOWER(F1398&amp;" "&amp;H1398&amp;" "&amp;I1398&amp;" "&amp;M1398&amp;" "&amp;N1398&amp;" "&amp;T1398))),ISNUMBER(SEARCH("bank",LOWER(F1398&amp;" "&amp;H1398&amp;" "&amp;I1398&amp;" "&amp;M1398&amp;" "&amp;N1398&amp;" "&amp;T1398))),ISNUMBER(SEARCH("banking",LOWER(F1398&amp;" "&amp;H1398&amp;" "&amp;I1398&amp;" "&amp;M1398&amp;" "&amp;N1398&amp;" "&amp;T1398)))),"PRIVATE_QUARANTINE",IF(OR(ISNUMBER(SEARCH("treasury",LOWER(F1398&amp;" "&amp;H1398&amp;" "&amp;I1398&amp;" "&amp;M1398&amp;" "&amp;N1398&amp;" "&amp;T1398))),ISNUMBER(SEARCH("debt",LOWER(F1398&amp;" "&amp;H1398&amp;" "&amp;I1398&amp;" "&amp;M1398&amp;" "&amp;N1398&amp;" "&amp;T1398))),ISNUMBER(SEARCH("bond",LOWER(F1398&amp;" "&amp;H1398&amp;" "&amp;I1398&amp;" "&amp;M1398&amp;" "&amp;N1398&amp;" "&amp;T1398))),ISNUMBER(SEARCH("transaction",LOWER(F1398&amp;" "&amp;H1398&amp;" "&amp;I1398&amp;" "&amp;M1398&amp;" "&amp;N1398&amp;" "&amp;T1398)))),"PRIVATE_REVIEW","PUBLIC_CANDIDATE"))</x:f>
        <x:v>PUBLIC_CANDIDATE</x:v>
      </x:c>
      <x:c r="AD1398" s="12" t="str">
        <x:f>IF(AC1398="PRIVATE_QUARANTINE","hacker_or_bank_trigger",IF(AC1398="PRIVATE_REVIEW","finance_risk_trigger","none"))</x:f>
        <x:v>none</x:v>
      </x:c>
      <x:c r="AE1398" s="12" t="str">
        <x:f>IF(AC1398="PUBLIC_CANDIDATE","prepare_public_github_candidate",IF(AC1398="PRIVATE_REVIEW","hold_for_private_review","quarantine_private_do_not_publish"))</x:f>
        <x:v>prepare_public_github_candidate</x:v>
      </x:c>
      <x:c r="AF1398" s="12" t="str">
        <x:f>IF(AC1398="PUBLIC_CANDIDATE","TIDELOCK + Lucerna",IF(AC1398="PRIVATE_REVIEW","AtlasBrain + Lucerna","TIDELOCK + Lucerna + Human-root"))</x:f>
        <x:v>TIDELOCK + Lucerna</x:v>
      </x:c>
      <x:c r="AG1398" s="12" t="str">
        <x:f>IF(AND(AC1398="PUBLIC_CANDIDATE",U1398&lt;&gt;"BLOCKED_PENDING_RECEIPT"),"READY_AFTER_RECEIPT","NOT_READY")</x:f>
        <x:v>NOT_READY</x:v>
      </x:c>
      <x:c r="AH1398" s="12" t="str">
        <x:f>IF(AC1398="PUBLIC_CANDIDATE","none",AD1398)</x:f>
        <x:v>none</x:v>
      </x:c>
      <x:c r="AI1398" s="12" t="str">
        <x:f>IF(AC1398="PUBLIC_CANDIDATE","archive/public_candidates/"&amp;A1398,"private_quarantine/"&amp;A1398)</x:f>
        <x:v>archive/public_candidates/SWARM-10-H09-S05</x:v>
      </x:c>
      <x:c r="AJ1398" s="12" t="str">
        <x:f>IF(AC1398="PUBLIC_CANDIDATE","public by default; still not canon","private/hold; do not publish")</x:f>
        <x:v>public by default; still not canon</x:v>
      </x:c>
      <x:c r="AK1398" s="12" t="str">
        <x:f>IF(AE1398="prepare_public_github_candidate","add receipt/status then mirror","resolve blocker before any public GitHub action")</x:f>
        <x:v>add receipt/status then mirror</x:v>
      </x:c>
    </x:row>
    <x:row r="1399">
      <x:c r="A1399" s="15" t="str">
        <x:v>SWARM-10-H09-S06</x:v>
      </x:c>
      <x:c r="B1399" s="15" t="str">
        <x:v>GitShelf</x:v>
      </x:c>
      <x:c r="C1399" s="15" t="str">
        <x:v>GitHub shelf builder</x:v>
      </x:c>
      <x:c r="D1399" s="15" t="str">
        <x:v>Review Queues</x:v>
      </x:c>
      <x:c r="E1399" s="15" t="str">
        <x:v>External Web</x:v>
      </x:c>
      <x:c r="F1399" s="15" t="str">
        <x:v>Queue review for External Web — GitShelf</x:v>
      </x:c>
      <x:c r="G1399" s="15" t="str">
        <x:v>repo packet / manifest / issue template prep</x:v>
      </x:c>
      <x:c r="H1399" s="15" t="str">
        <x:v>source path + receipt + raw/export status + claim/edge/risk delta</x:v>
      </x:c>
      <x:c r="I1399" s="15" t="str">
        <x:v>packet/SWARM-10-H09-S06</x:v>
      </x:c>
      <x:c r="J1399" s="15" t="str">
        <x:v>TODO</x:v>
      </x:c>
      <x:c r="K1399" s="15" t="str">
        <x:v>P1</x:v>
      </x:c>
      <x:c r="L1399" s="15" t="str">
        <x:v>Done only when evidence is logged, contradiction search is noted, and boundary stamp remains non-canon unless ratified</x:v>
      </x:c>
      <x:c r="M1399" s="15" t="str">
        <x:v>candidate / staging-only / not canon / not deployed / authority none</x:v>
      </x:c>
      <x:c r="N1399" s="15" t="str">
        <x:v>Dispatch to GitShelf: complete Review Queues x External Web; return deltas only, receipts required.</x:v>
      </x:c>
      <x:c r="O1399" s="15" t="str">
        <x:v>AF-KG-H09-S06</x:v>
      </x:c>
      <x:c r="P1399" s="15" t="str">
        <x:v>Unverified</x:v>
      </x:c>
      <x:c r="Q1399" s="15" t="str">
        <x:v>Not checked</x:v>
      </x:c>
      <x:c r="R1399" s="15" t="str"/>
      <x:c r="S1399" s="15" t="str"/>
      <x:c r="T1399" s="15" t="str">
        <x:v>Log first source path or blocker</x:v>
      </x:c>
      <x:c r="U1399" s="12" t="str">
        <x:f>IF(OR(P1399="Unverified",Q1399="Not checked"),"BLOCKED_PENDING_RECEIPT","READY_FOR_REVIEW")</x:f>
        <x:v>BLOCKED_PENDING_RECEIPT</x:v>
      </x:c>
      <x:c r="V1399" s="12" t="str">
        <x:f>IF(J1399="DONE","RETURNED",IF(U1399="BLOCKED_PENDING_RECEIPT","SOURCE_TOUCH_REQUIRED","IN_PROGRESS"))</x:f>
        <x:v>SOURCE_TOUCH_REQUIRED</x:v>
      </x:c>
      <x:c r="W1399" s="12" t="str">
        <x:f>IF(P1399="Unverified","missing_receipt","receipt_logged")</x:f>
        <x:v>missing_receipt</x:v>
      </x:c>
      <x:c r="X1399" s="12" t="str">
        <x:f>IF(Q1399="Not checked","raw_status_missing","raw_status_logged")</x:f>
        <x:v>raw_status_missing</x:v>
      </x:c>
      <x:c r="Y1399" s="12" t="str">
        <x:f>IF(U1399="BLOCKED_PENDING_RECEIPT","Log source path or blocker; do not promote","Route to review lane")</x:f>
        <x:v>Log source path or blocker; do not promote</x:v>
      </x:c>
      <x:c r="Z1399" s="12" t="str">
        <x:f>IF(K1399="P0","Primary seat + Hashlight/Lucerna","Seat lane")</x:f>
        <x:v>Seat lane</x:v>
      </x:c>
      <x:c r="AA1399" s="12" t="str">
        <x:f>IF(R1399="","no_claim_delta","claim_delta_present")</x:f>
        <x:v>no_claim_delta</x:v>
      </x:c>
      <x:c r="AB1399" s="12" t="str">
        <x:f>IF(S1399="","no_contradiction_delta","contradiction_delta_present")</x:f>
        <x:v>no_contradiction_delta</x:v>
      </x:c>
      <x:c r="AC1399" s="12" t="str">
        <x:f>IF(OR(ISNUMBER(SEARCH("hacker",LOWER(F1399&amp;" "&amp;H1399&amp;" "&amp;I1399&amp;" "&amp;M1399&amp;" "&amp;N1399&amp;" "&amp;T1399))),ISNUMBER(SEARCH("hacking",LOWER(F1399&amp;" "&amp;H1399&amp;" "&amp;I1399&amp;" "&amp;M1399&amp;" "&amp;N1399&amp;" "&amp;T1399))),ISNUMBER(SEARCH("bank",LOWER(F1399&amp;" "&amp;H1399&amp;" "&amp;I1399&amp;" "&amp;M1399&amp;" "&amp;N1399&amp;" "&amp;T1399))),ISNUMBER(SEARCH("banking",LOWER(F1399&amp;" "&amp;H1399&amp;" "&amp;I1399&amp;" "&amp;M1399&amp;" "&amp;N1399&amp;" "&amp;T1399)))),"PRIVATE_QUARANTINE",IF(OR(ISNUMBER(SEARCH("treasury",LOWER(F1399&amp;" "&amp;H1399&amp;" "&amp;I1399&amp;" "&amp;M1399&amp;" "&amp;N1399&amp;" "&amp;T1399))),ISNUMBER(SEARCH("debt",LOWER(F1399&amp;" "&amp;H1399&amp;" "&amp;I1399&amp;" "&amp;M1399&amp;" "&amp;N1399&amp;" "&amp;T1399))),ISNUMBER(SEARCH("bond",LOWER(F1399&amp;" "&amp;H1399&amp;" "&amp;I1399&amp;" "&amp;M1399&amp;" "&amp;N1399&amp;" "&amp;T1399))),ISNUMBER(SEARCH("transaction",LOWER(F1399&amp;" "&amp;H1399&amp;" "&amp;I1399&amp;" "&amp;M1399&amp;" "&amp;N1399&amp;" "&amp;T1399)))),"PRIVATE_REVIEW","PUBLIC_CANDIDATE"))</x:f>
        <x:v>PUBLIC_CANDIDATE</x:v>
      </x:c>
      <x:c r="AD1399" s="12" t="str">
        <x:f>IF(AC1399="PRIVATE_QUARANTINE","hacker_or_bank_trigger",IF(AC1399="PRIVATE_REVIEW","finance_risk_trigger","none"))</x:f>
        <x:v>none</x:v>
      </x:c>
      <x:c r="AE1399" s="12" t="str">
        <x:f>IF(AC1399="PUBLIC_CANDIDATE","prepare_public_github_candidate",IF(AC1399="PRIVATE_REVIEW","hold_for_private_review","quarantine_private_do_not_publish"))</x:f>
        <x:v>prepare_public_github_candidate</x:v>
      </x:c>
      <x:c r="AF1399" s="12" t="str">
        <x:f>IF(AC1399="PUBLIC_CANDIDATE","TIDELOCK + Lucerna",IF(AC1399="PRIVATE_REVIEW","AtlasBrain + Lucerna","TIDELOCK + Lucerna + Human-root"))</x:f>
        <x:v>TIDELOCK + Lucerna</x:v>
      </x:c>
      <x:c r="AG1399" s="12" t="str">
        <x:f>IF(AND(AC1399="PUBLIC_CANDIDATE",U1399&lt;&gt;"BLOCKED_PENDING_RECEIPT"),"READY_AFTER_RECEIPT","NOT_READY")</x:f>
        <x:v>NOT_READY</x:v>
      </x:c>
      <x:c r="AH1399" s="12" t="str">
        <x:f>IF(AC1399="PUBLIC_CANDIDATE","none",AD1399)</x:f>
        <x:v>none</x:v>
      </x:c>
      <x:c r="AI1399" s="12" t="str">
        <x:f>IF(AC1399="PUBLIC_CANDIDATE","archive/public_candidates/"&amp;A1399,"private_quarantine/"&amp;A1399)</x:f>
        <x:v>archive/public_candidates/SWARM-10-H09-S06</x:v>
      </x:c>
      <x:c r="AJ1399" s="12" t="str">
        <x:f>IF(AC1399="PUBLIC_CANDIDATE","public by default; still not canon","private/hold; do not publish")</x:f>
        <x:v>public by default; still not canon</x:v>
      </x:c>
      <x:c r="AK1399" s="12" t="str">
        <x:f>IF(AE1399="prepare_public_github_candidate","add receipt/status then mirror","resolve blocker before any public GitHub action")</x:f>
        <x:v>add receipt/status then mirror</x:v>
      </x:c>
    </x:row>
    <x:row r="1400">
      <x:c r="A1400" s="15" t="str">
        <x:v>SWARM-10-H09-S07</x:v>
      </x:c>
      <x:c r="B1400" s="15" t="str">
        <x:v>GitShelf</x:v>
      </x:c>
      <x:c r="C1400" s="15" t="str">
        <x:v>GitHub shelf builder</x:v>
      </x:c>
      <x:c r="D1400" s="15" t="str">
        <x:v>Review Queues</x:v>
      </x:c>
      <x:c r="E1400" s="15" t="str">
        <x:v>Planetarium</x:v>
      </x:c>
      <x:c r="F1400" s="15" t="str">
        <x:v>Queue review for Planetarium — GitShelf</x:v>
      </x:c>
      <x:c r="G1400" s="15" t="str">
        <x:v>repo packet / manifest / issue template prep</x:v>
      </x:c>
      <x:c r="H1400" s="15" t="str">
        <x:v>source path + receipt + raw/export status + claim/edge/risk delta</x:v>
      </x:c>
      <x:c r="I1400" s="15" t="str">
        <x:v>packet/SWARM-10-H09-S07</x:v>
      </x:c>
      <x:c r="J1400" s="15" t="str">
        <x:v>TODO</x:v>
      </x:c>
      <x:c r="K1400" s="15" t="str">
        <x:v>P1</x:v>
      </x:c>
      <x:c r="L1400" s="15" t="str">
        <x:v>Done only when evidence is logged, contradiction search is noted, and boundary stamp remains non-canon unless ratified</x:v>
      </x:c>
      <x:c r="M1400" s="15" t="str">
        <x:v>candidate / staging-only / not canon / not deployed / authority none</x:v>
      </x:c>
      <x:c r="N1400" s="15" t="str">
        <x:v>Dispatch to GitShelf: complete Review Queues x Planetarium; return deltas only, receipts required.</x:v>
      </x:c>
      <x:c r="O1400" s="15" t="str">
        <x:v>AF-KG-H09-S07</x:v>
      </x:c>
      <x:c r="P1400" s="15" t="str">
        <x:v>Unverified</x:v>
      </x:c>
      <x:c r="Q1400" s="15" t="str">
        <x:v>Not checked</x:v>
      </x:c>
      <x:c r="R1400" s="15" t="str"/>
      <x:c r="S1400" s="15" t="str"/>
      <x:c r="T1400" s="15" t="str">
        <x:v>Log first source path or blocker</x:v>
      </x:c>
      <x:c r="U1400" s="12" t="str">
        <x:f>IF(OR(P1400="Unverified",Q1400="Not checked"),"BLOCKED_PENDING_RECEIPT","READY_FOR_REVIEW")</x:f>
        <x:v>BLOCKED_PENDING_RECEIPT</x:v>
      </x:c>
      <x:c r="V1400" s="12" t="str">
        <x:f>IF(J1400="DONE","RETURNED",IF(U1400="BLOCKED_PENDING_RECEIPT","SOURCE_TOUCH_REQUIRED","IN_PROGRESS"))</x:f>
        <x:v>SOURCE_TOUCH_REQUIRED</x:v>
      </x:c>
      <x:c r="W1400" s="12" t="str">
        <x:f>IF(P1400="Unverified","missing_receipt","receipt_logged")</x:f>
        <x:v>missing_receipt</x:v>
      </x:c>
      <x:c r="X1400" s="12" t="str">
        <x:f>IF(Q1400="Not checked","raw_status_missing","raw_status_logged")</x:f>
        <x:v>raw_status_missing</x:v>
      </x:c>
      <x:c r="Y1400" s="12" t="str">
        <x:f>IF(U1400="BLOCKED_PENDING_RECEIPT","Log source path or blocker; do not promote","Route to review lane")</x:f>
        <x:v>Log source path or blocker; do not promote</x:v>
      </x:c>
      <x:c r="Z1400" s="12" t="str">
        <x:f>IF(K1400="P0","Primary seat + Hashlight/Lucerna","Seat lane")</x:f>
        <x:v>Seat lane</x:v>
      </x:c>
      <x:c r="AA1400" s="12" t="str">
        <x:f>IF(R1400="","no_claim_delta","claim_delta_present")</x:f>
        <x:v>no_claim_delta</x:v>
      </x:c>
      <x:c r="AB1400" s="12" t="str">
        <x:f>IF(S1400="","no_contradiction_delta","contradiction_delta_present")</x:f>
        <x:v>no_contradiction_delta</x:v>
      </x:c>
      <x:c r="AC1400" s="12" t="str">
        <x:f>IF(OR(ISNUMBER(SEARCH("hacker",LOWER(F1400&amp;" "&amp;H1400&amp;" "&amp;I1400&amp;" "&amp;M1400&amp;" "&amp;N1400&amp;" "&amp;T1400))),ISNUMBER(SEARCH("hacking",LOWER(F1400&amp;" "&amp;H1400&amp;" "&amp;I1400&amp;" "&amp;M1400&amp;" "&amp;N1400&amp;" "&amp;T1400))),ISNUMBER(SEARCH("bank",LOWER(F1400&amp;" "&amp;H1400&amp;" "&amp;I1400&amp;" "&amp;M1400&amp;" "&amp;N1400&amp;" "&amp;T1400))),ISNUMBER(SEARCH("banking",LOWER(F1400&amp;" "&amp;H1400&amp;" "&amp;I1400&amp;" "&amp;M1400&amp;" "&amp;N1400&amp;" "&amp;T1400)))),"PRIVATE_QUARANTINE",IF(OR(ISNUMBER(SEARCH("treasury",LOWER(F1400&amp;" "&amp;H1400&amp;" "&amp;I1400&amp;" "&amp;M1400&amp;" "&amp;N1400&amp;" "&amp;T1400))),ISNUMBER(SEARCH("debt",LOWER(F1400&amp;" "&amp;H1400&amp;" "&amp;I1400&amp;" "&amp;M1400&amp;" "&amp;N1400&amp;" "&amp;T1400))),ISNUMBER(SEARCH("bond",LOWER(F1400&amp;" "&amp;H1400&amp;" "&amp;I1400&amp;" "&amp;M1400&amp;" "&amp;N1400&amp;" "&amp;T1400))),ISNUMBER(SEARCH("transaction",LOWER(F1400&amp;" "&amp;H1400&amp;" "&amp;I1400&amp;" "&amp;M1400&amp;" "&amp;N1400&amp;" "&amp;T1400)))),"PRIVATE_REVIEW","PUBLIC_CANDIDATE"))</x:f>
        <x:v>PUBLIC_CANDIDATE</x:v>
      </x:c>
      <x:c r="AD1400" s="12" t="str">
        <x:f>IF(AC1400="PRIVATE_QUARANTINE","hacker_or_bank_trigger",IF(AC1400="PRIVATE_REVIEW","finance_risk_trigger","none"))</x:f>
        <x:v>none</x:v>
      </x:c>
      <x:c r="AE1400" s="12" t="str">
        <x:f>IF(AC1400="PUBLIC_CANDIDATE","prepare_public_github_candidate",IF(AC1400="PRIVATE_REVIEW","hold_for_private_review","quarantine_private_do_not_publish"))</x:f>
        <x:v>prepare_public_github_candidate</x:v>
      </x:c>
      <x:c r="AF1400" s="12" t="str">
        <x:f>IF(AC1400="PUBLIC_CANDIDATE","TIDELOCK + Lucerna",IF(AC1400="PRIVATE_REVIEW","AtlasBrain + Lucerna","TIDELOCK + Lucerna + Human-root"))</x:f>
        <x:v>TIDELOCK + Lucerna</x:v>
      </x:c>
      <x:c r="AG1400" s="12" t="str">
        <x:f>IF(AND(AC1400="PUBLIC_CANDIDATE",U1400&lt;&gt;"BLOCKED_PENDING_RECEIPT"),"READY_AFTER_RECEIPT","NOT_READY")</x:f>
        <x:v>NOT_READY</x:v>
      </x:c>
      <x:c r="AH1400" s="12" t="str">
        <x:f>IF(AC1400="PUBLIC_CANDIDATE","none",AD1400)</x:f>
        <x:v>none</x:v>
      </x:c>
      <x:c r="AI1400" s="12" t="str">
        <x:f>IF(AC1400="PUBLIC_CANDIDATE","archive/public_candidates/"&amp;A1400,"private_quarantine/"&amp;A1400)</x:f>
        <x:v>archive/public_candidates/SWARM-10-H09-S07</x:v>
      </x:c>
      <x:c r="AJ1400" s="12" t="str">
        <x:f>IF(AC1400="PUBLIC_CANDIDATE","public by default; still not canon","private/hold; do not publish")</x:f>
        <x:v>public by default; still not canon</x:v>
      </x:c>
      <x:c r="AK1400" s="12" t="str">
        <x:f>IF(AE1400="prepare_public_github_candidate","add receipt/status then mirror","resolve blocker before any public GitHub action")</x:f>
        <x:v>add receipt/status then mirror</x:v>
      </x:c>
    </x:row>
    <x:row r="1401">
      <x:c r="A1401" s="15" t="str">
        <x:v>SWARM-10-H09-S08</x:v>
      </x:c>
      <x:c r="B1401" s="15" t="str">
        <x:v>GitShelf</x:v>
      </x:c>
      <x:c r="C1401" s="15" t="str">
        <x:v>GitHub shelf builder</x:v>
      </x:c>
      <x:c r="D1401" s="15" t="str">
        <x:v>Review Queues</x:v>
      </x:c>
      <x:c r="E1401" s="15" t="str">
        <x:v>Sheldonbrain</x:v>
      </x:c>
      <x:c r="F1401" s="15" t="str">
        <x:v>Queue review for Sheldonbrain — GitShelf</x:v>
      </x:c>
      <x:c r="G1401" s="15" t="str">
        <x:v>repo packet / manifest / issue template prep</x:v>
      </x:c>
      <x:c r="H1401" s="15" t="str">
        <x:v>source path + receipt + raw/export status + claim/edge/risk delta</x:v>
      </x:c>
      <x:c r="I1401" s="15" t="str">
        <x:v>packet/SWARM-10-H09-S08</x:v>
      </x:c>
      <x:c r="J1401" s="15" t="str">
        <x:v>TODO</x:v>
      </x:c>
      <x:c r="K1401" s="15" t="str">
        <x:v>P1</x:v>
      </x:c>
      <x:c r="L1401" s="15" t="str">
        <x:v>Done only when evidence is logged, contradiction search is noted, and boundary stamp remains non-canon unless ratified</x:v>
      </x:c>
      <x:c r="M1401" s="15" t="str">
        <x:v>candidate / staging-only / not canon / not deployed / authority none</x:v>
      </x:c>
      <x:c r="N1401" s="15" t="str">
        <x:v>Dispatch to GitShelf: complete Review Queues x Sheldonbrain; return deltas only, receipts required.</x:v>
      </x:c>
      <x:c r="O1401" s="15" t="str">
        <x:v>AF-KG-H09-S08</x:v>
      </x:c>
      <x:c r="P1401" s="15" t="str">
        <x:v>Unverified</x:v>
      </x:c>
      <x:c r="Q1401" s="15" t="str">
        <x:v>Not checked</x:v>
      </x:c>
      <x:c r="R1401" s="15" t="str"/>
      <x:c r="S1401" s="15" t="str"/>
      <x:c r="T1401" s="15" t="str">
        <x:v>Log first source path or blocker</x:v>
      </x:c>
      <x:c r="U1401" s="12" t="str">
        <x:f>IF(OR(P1401="Unverified",Q1401="Not checked"),"BLOCKED_PENDING_RECEIPT","READY_FOR_REVIEW")</x:f>
        <x:v>BLOCKED_PENDING_RECEIPT</x:v>
      </x:c>
      <x:c r="V1401" s="12" t="str">
        <x:f>IF(J1401="DONE","RETURNED",IF(U1401="BLOCKED_PENDING_RECEIPT","SOURCE_TOUCH_REQUIRED","IN_PROGRESS"))</x:f>
        <x:v>SOURCE_TOUCH_REQUIRED</x:v>
      </x:c>
      <x:c r="W1401" s="12" t="str">
        <x:f>IF(P1401="Unverified","missing_receipt","receipt_logged")</x:f>
        <x:v>missing_receipt</x:v>
      </x:c>
      <x:c r="X1401" s="12" t="str">
        <x:f>IF(Q1401="Not checked","raw_status_missing","raw_status_logged")</x:f>
        <x:v>raw_status_missing</x:v>
      </x:c>
      <x:c r="Y1401" s="12" t="str">
        <x:f>IF(U1401="BLOCKED_PENDING_RECEIPT","Log source path or blocker; do not promote","Route to review lane")</x:f>
        <x:v>Log source path or blocker; do not promote</x:v>
      </x:c>
      <x:c r="Z1401" s="12" t="str">
        <x:f>IF(K1401="P0","Primary seat + Hashlight/Lucerna","Seat lane")</x:f>
        <x:v>Seat lane</x:v>
      </x:c>
      <x:c r="AA1401" s="12" t="str">
        <x:f>IF(R1401="","no_claim_delta","claim_delta_present")</x:f>
        <x:v>no_claim_delta</x:v>
      </x:c>
      <x:c r="AB1401" s="12" t="str">
        <x:f>IF(S1401="","no_contradiction_delta","contradiction_delta_present")</x:f>
        <x:v>no_contradiction_delta</x:v>
      </x:c>
      <x:c r="AC1401" s="12" t="str">
        <x:f>IF(OR(ISNUMBER(SEARCH("hacker",LOWER(F1401&amp;" "&amp;H1401&amp;" "&amp;I1401&amp;" "&amp;M1401&amp;" "&amp;N1401&amp;" "&amp;T1401))),ISNUMBER(SEARCH("hacking",LOWER(F1401&amp;" "&amp;H1401&amp;" "&amp;I1401&amp;" "&amp;M1401&amp;" "&amp;N1401&amp;" "&amp;T1401))),ISNUMBER(SEARCH("bank",LOWER(F1401&amp;" "&amp;H1401&amp;" "&amp;I1401&amp;" "&amp;M1401&amp;" "&amp;N1401&amp;" "&amp;T1401))),ISNUMBER(SEARCH("banking",LOWER(F1401&amp;" "&amp;H1401&amp;" "&amp;I1401&amp;" "&amp;M1401&amp;" "&amp;N1401&amp;" "&amp;T1401)))),"PRIVATE_QUARANTINE",IF(OR(ISNUMBER(SEARCH("treasury",LOWER(F1401&amp;" "&amp;H1401&amp;" "&amp;I1401&amp;" "&amp;M1401&amp;" "&amp;N1401&amp;" "&amp;T1401))),ISNUMBER(SEARCH("debt",LOWER(F1401&amp;" "&amp;H1401&amp;" "&amp;I1401&amp;" "&amp;M1401&amp;" "&amp;N1401&amp;" "&amp;T1401))),ISNUMBER(SEARCH("bond",LOWER(F1401&amp;" "&amp;H1401&amp;" "&amp;I1401&amp;" "&amp;M1401&amp;" "&amp;N1401&amp;" "&amp;T1401))),ISNUMBER(SEARCH("transaction",LOWER(F1401&amp;" "&amp;H1401&amp;" "&amp;I1401&amp;" "&amp;M1401&amp;" "&amp;N1401&amp;" "&amp;T1401)))),"PRIVATE_REVIEW","PUBLIC_CANDIDATE"))</x:f>
        <x:v>PUBLIC_CANDIDATE</x:v>
      </x:c>
      <x:c r="AD1401" s="12" t="str">
        <x:f>IF(AC1401="PRIVATE_QUARANTINE","hacker_or_bank_trigger",IF(AC1401="PRIVATE_REVIEW","finance_risk_trigger","none"))</x:f>
        <x:v>none</x:v>
      </x:c>
      <x:c r="AE1401" s="12" t="str">
        <x:f>IF(AC1401="PUBLIC_CANDIDATE","prepare_public_github_candidate",IF(AC1401="PRIVATE_REVIEW","hold_for_private_review","quarantine_private_do_not_publish"))</x:f>
        <x:v>prepare_public_github_candidate</x:v>
      </x:c>
      <x:c r="AF1401" s="12" t="str">
        <x:f>IF(AC1401="PUBLIC_CANDIDATE","TIDELOCK + Lucerna",IF(AC1401="PRIVATE_REVIEW","AtlasBrain + Lucerna","TIDELOCK + Lucerna + Human-root"))</x:f>
        <x:v>TIDELOCK + Lucerna</x:v>
      </x:c>
      <x:c r="AG1401" s="12" t="str">
        <x:f>IF(AND(AC1401="PUBLIC_CANDIDATE",U1401&lt;&gt;"BLOCKED_PENDING_RECEIPT"),"READY_AFTER_RECEIPT","NOT_READY")</x:f>
        <x:v>NOT_READY</x:v>
      </x:c>
      <x:c r="AH1401" s="12" t="str">
        <x:f>IF(AC1401="PUBLIC_CANDIDATE","none",AD1401)</x:f>
        <x:v>none</x:v>
      </x:c>
      <x:c r="AI1401" s="12" t="str">
        <x:f>IF(AC1401="PUBLIC_CANDIDATE","archive/public_candidates/"&amp;A1401,"private_quarantine/"&amp;A1401)</x:f>
        <x:v>archive/public_candidates/SWARM-10-H09-S08</x:v>
      </x:c>
      <x:c r="AJ1401" s="12" t="str">
        <x:f>IF(AC1401="PUBLIC_CANDIDATE","public by default; still not canon","private/hold; do not publish")</x:f>
        <x:v>public by default; still not canon</x:v>
      </x:c>
      <x:c r="AK1401" s="12" t="str">
        <x:f>IF(AE1401="prepare_public_github_candidate","add receipt/status then mirror","resolve blocker before any public GitHub action")</x:f>
        <x:v>add receipt/status then mirror</x:v>
      </x:c>
    </x:row>
    <x:row r="1402">
      <x:c r="A1402" s="15" t="str">
        <x:v>SWARM-10-H09-S09</x:v>
      </x:c>
      <x:c r="B1402" s="15" t="str">
        <x:v>GitShelf</x:v>
      </x:c>
      <x:c r="C1402" s="15" t="str">
        <x:v>GitHub shelf builder</x:v>
      </x:c>
      <x:c r="D1402" s="15" t="str">
        <x:v>Review Queues</x:v>
      </x:c>
      <x:c r="E1402" s="15" t="str">
        <x:v>Aetherforge</x:v>
      </x:c>
      <x:c r="F1402" s="15" t="str">
        <x:v>Queue review for Aetherforge — GitShelf</x:v>
      </x:c>
      <x:c r="G1402" s="15" t="str">
        <x:v>repo packet / manifest / issue template prep</x:v>
      </x:c>
      <x:c r="H1402" s="15" t="str">
        <x:v>source path + receipt + raw/export status + claim/edge/risk delta</x:v>
      </x:c>
      <x:c r="I1402" s="15" t="str">
        <x:v>packet/SWARM-10-H09-S09</x:v>
      </x:c>
      <x:c r="J1402" s="15" t="str">
        <x:v>TODO</x:v>
      </x:c>
      <x:c r="K1402" s="15" t="str">
        <x:v>P2</x:v>
      </x:c>
      <x:c r="L1402" s="15" t="str">
        <x:v>Done only when evidence is logged, contradiction search is noted, and boundary stamp remains non-canon unless ratified</x:v>
      </x:c>
      <x:c r="M1402" s="15" t="str">
        <x:v>candidate / staging-only / not canon / not deployed / authority none</x:v>
      </x:c>
      <x:c r="N1402" s="15" t="str">
        <x:v>Dispatch to GitShelf: complete Review Queues x Aetherforge; return deltas only, receipts required.</x:v>
      </x:c>
      <x:c r="O1402" s="15" t="str">
        <x:v>AF-KG-H09-S09</x:v>
      </x:c>
      <x:c r="P1402" s="15" t="str">
        <x:v>Unverified</x:v>
      </x:c>
      <x:c r="Q1402" s="15" t="str">
        <x:v>Not checked</x:v>
      </x:c>
      <x:c r="R1402" s="15" t="str"/>
      <x:c r="S1402" s="15" t="str"/>
      <x:c r="T1402" s="15" t="str">
        <x:v>Log first source path or blocker</x:v>
      </x:c>
      <x:c r="U1402" s="12" t="str">
        <x:f>IF(OR(P1402="Unverified",Q1402="Not checked"),"BLOCKED_PENDING_RECEIPT","READY_FOR_REVIEW")</x:f>
        <x:v>BLOCKED_PENDING_RECEIPT</x:v>
      </x:c>
      <x:c r="V1402" s="12" t="str">
        <x:f>IF(J1402="DONE","RETURNED",IF(U1402="BLOCKED_PENDING_RECEIPT","SOURCE_TOUCH_REQUIRED","IN_PROGRESS"))</x:f>
        <x:v>SOURCE_TOUCH_REQUIRED</x:v>
      </x:c>
      <x:c r="W1402" s="12" t="str">
        <x:f>IF(P1402="Unverified","missing_receipt","receipt_logged")</x:f>
        <x:v>missing_receipt</x:v>
      </x:c>
      <x:c r="X1402" s="12" t="str">
        <x:f>IF(Q1402="Not checked","raw_status_missing","raw_status_logged")</x:f>
        <x:v>raw_status_missing</x:v>
      </x:c>
      <x:c r="Y1402" s="12" t="str">
        <x:f>IF(U1402="BLOCKED_PENDING_RECEIPT","Log source path or blocker; do not promote","Route to review lane")</x:f>
        <x:v>Log source path or blocker; do not promote</x:v>
      </x:c>
      <x:c r="Z1402" s="12" t="str">
        <x:f>IF(K1402="P0","Primary seat + Hashlight/Lucerna","Seat lane")</x:f>
        <x:v>Seat lane</x:v>
      </x:c>
      <x:c r="AA1402" s="12" t="str">
        <x:f>IF(R1402="","no_claim_delta","claim_delta_present")</x:f>
        <x:v>no_claim_delta</x:v>
      </x:c>
      <x:c r="AB1402" s="12" t="str">
        <x:f>IF(S1402="","no_contradiction_delta","contradiction_delta_present")</x:f>
        <x:v>no_contradiction_delta</x:v>
      </x:c>
      <x:c r="AC1402" s="12" t="str">
        <x:f>IF(OR(ISNUMBER(SEARCH("hacker",LOWER(F1402&amp;" "&amp;H1402&amp;" "&amp;I1402&amp;" "&amp;M1402&amp;" "&amp;N1402&amp;" "&amp;T1402))),ISNUMBER(SEARCH("hacking",LOWER(F1402&amp;" "&amp;H1402&amp;" "&amp;I1402&amp;" "&amp;M1402&amp;" "&amp;N1402&amp;" "&amp;T1402))),ISNUMBER(SEARCH("bank",LOWER(F1402&amp;" "&amp;H1402&amp;" "&amp;I1402&amp;" "&amp;M1402&amp;" "&amp;N1402&amp;" "&amp;T1402))),ISNUMBER(SEARCH("banking",LOWER(F1402&amp;" "&amp;H1402&amp;" "&amp;I1402&amp;" "&amp;M1402&amp;" "&amp;N1402&amp;" "&amp;T1402)))),"PRIVATE_QUARANTINE",IF(OR(ISNUMBER(SEARCH("treasury",LOWER(F1402&amp;" "&amp;H1402&amp;" "&amp;I1402&amp;" "&amp;M1402&amp;" "&amp;N1402&amp;" "&amp;T1402))),ISNUMBER(SEARCH("debt",LOWER(F1402&amp;" "&amp;H1402&amp;" "&amp;I1402&amp;" "&amp;M1402&amp;" "&amp;N1402&amp;" "&amp;T1402))),ISNUMBER(SEARCH("bond",LOWER(F1402&amp;" "&amp;H1402&amp;" "&amp;I1402&amp;" "&amp;M1402&amp;" "&amp;N1402&amp;" "&amp;T1402))),ISNUMBER(SEARCH("transaction",LOWER(F1402&amp;" "&amp;H1402&amp;" "&amp;I1402&amp;" "&amp;M1402&amp;" "&amp;N1402&amp;" "&amp;T1402)))),"PRIVATE_REVIEW","PUBLIC_CANDIDATE"))</x:f>
        <x:v>PUBLIC_CANDIDATE</x:v>
      </x:c>
      <x:c r="AD1402" s="12" t="str">
        <x:f>IF(AC1402="PRIVATE_QUARANTINE","hacker_or_bank_trigger",IF(AC1402="PRIVATE_REVIEW","finance_risk_trigger","none"))</x:f>
        <x:v>none</x:v>
      </x:c>
      <x:c r="AE1402" s="12" t="str">
        <x:f>IF(AC1402="PUBLIC_CANDIDATE","prepare_public_github_candidate",IF(AC1402="PRIVATE_REVIEW","hold_for_private_review","quarantine_private_do_not_publish"))</x:f>
        <x:v>prepare_public_github_candidate</x:v>
      </x:c>
      <x:c r="AF1402" s="12" t="str">
        <x:f>IF(AC1402="PUBLIC_CANDIDATE","TIDELOCK + Lucerna",IF(AC1402="PRIVATE_REVIEW","AtlasBrain + Lucerna","TIDELOCK + Lucerna + Human-root"))</x:f>
        <x:v>TIDELOCK + Lucerna</x:v>
      </x:c>
      <x:c r="AG1402" s="12" t="str">
        <x:f>IF(AND(AC1402="PUBLIC_CANDIDATE",U1402&lt;&gt;"BLOCKED_PENDING_RECEIPT"),"READY_AFTER_RECEIPT","NOT_READY")</x:f>
        <x:v>NOT_READY</x:v>
      </x:c>
      <x:c r="AH1402" s="12" t="str">
        <x:f>IF(AC1402="PUBLIC_CANDIDATE","none",AD1402)</x:f>
        <x:v>none</x:v>
      </x:c>
      <x:c r="AI1402" s="12" t="str">
        <x:f>IF(AC1402="PUBLIC_CANDIDATE","archive/public_candidates/"&amp;A1402,"private_quarantine/"&amp;A1402)</x:f>
        <x:v>archive/public_candidates/SWARM-10-H09-S09</x:v>
      </x:c>
      <x:c r="AJ1402" s="12" t="str">
        <x:f>IF(AC1402="PUBLIC_CANDIDATE","public by default; still not canon","private/hold; do not publish")</x:f>
        <x:v>public by default; still not canon</x:v>
      </x:c>
      <x:c r="AK1402" s="12" t="str">
        <x:f>IF(AE1402="prepare_public_github_candidate","add receipt/status then mirror","resolve blocker before any public GitHub action")</x:f>
        <x:v>add receipt/status then mirror</x:v>
      </x:c>
    </x:row>
    <x:row r="1403">
      <x:c r="A1403" s="15" t="str">
        <x:v>SWARM-10-H09-S10</x:v>
      </x:c>
      <x:c r="B1403" s="15" t="str">
        <x:v>GitShelf</x:v>
      </x:c>
      <x:c r="C1403" s="15" t="str">
        <x:v>GitHub shelf builder</x:v>
      </x:c>
      <x:c r="D1403" s="15" t="str">
        <x:v>Review Queues</x:v>
      </x:c>
      <x:c r="E1403" s="15" t="str">
        <x:v>Human-Root</x:v>
      </x:c>
      <x:c r="F1403" s="15" t="str">
        <x:v>Queue review for Human-Root — GitShelf</x:v>
      </x:c>
      <x:c r="G1403" s="15" t="str">
        <x:v>repo packet / manifest / issue template prep</x:v>
      </x:c>
      <x:c r="H1403" s="15" t="str">
        <x:v>source path + receipt + raw/export status + claim/edge/risk delta</x:v>
      </x:c>
      <x:c r="I1403" s="15" t="str">
        <x:v>packet/SWARM-10-H09-S10</x:v>
      </x:c>
      <x:c r="J1403" s="15" t="str">
        <x:v>TODO</x:v>
      </x:c>
      <x:c r="K1403" s="15" t="str">
        <x:v>P2</x:v>
      </x:c>
      <x:c r="L1403" s="15" t="str">
        <x:v>Done only when evidence is logged, contradiction search is noted, and boundary stamp remains non-canon unless ratified</x:v>
      </x:c>
      <x:c r="M1403" s="15" t="str">
        <x:v>candidate / staging-only / not canon / not deployed / authority none</x:v>
      </x:c>
      <x:c r="N1403" s="15" t="str">
        <x:v>Dispatch to GitShelf: complete Review Queues x Human-Root; return deltas only, receipts required.</x:v>
      </x:c>
      <x:c r="O1403" s="15" t="str">
        <x:v>AF-KG-H09-S10</x:v>
      </x:c>
      <x:c r="P1403" s="15" t="str">
        <x:v>Unverified</x:v>
      </x:c>
      <x:c r="Q1403" s="15" t="str">
        <x:v>Not checked</x:v>
      </x:c>
      <x:c r="R1403" s="15" t="str"/>
      <x:c r="S1403" s="15" t="str"/>
      <x:c r="T1403" s="15" t="str">
        <x:v>Log first source path or blocker</x:v>
      </x:c>
      <x:c r="U1403" s="12" t="str">
        <x:f>IF(OR(P1403="Unverified",Q1403="Not checked"),"BLOCKED_PENDING_RECEIPT","READY_FOR_REVIEW")</x:f>
        <x:v>BLOCKED_PENDING_RECEIPT</x:v>
      </x:c>
      <x:c r="V1403" s="12" t="str">
        <x:f>IF(J1403="DONE","RETURNED",IF(U1403="BLOCKED_PENDING_RECEIPT","SOURCE_TOUCH_REQUIRED","IN_PROGRESS"))</x:f>
        <x:v>SOURCE_TOUCH_REQUIRED</x:v>
      </x:c>
      <x:c r="W1403" s="12" t="str">
        <x:f>IF(P1403="Unverified","missing_receipt","receipt_logged")</x:f>
        <x:v>missing_receipt</x:v>
      </x:c>
      <x:c r="X1403" s="12" t="str">
        <x:f>IF(Q1403="Not checked","raw_status_missing","raw_status_logged")</x:f>
        <x:v>raw_status_missing</x:v>
      </x:c>
      <x:c r="Y1403" s="12" t="str">
        <x:f>IF(U1403="BLOCKED_PENDING_RECEIPT","Log source path or blocker; do not promote","Route to review lane")</x:f>
        <x:v>Log source path or blocker; do not promote</x:v>
      </x:c>
      <x:c r="Z1403" s="12" t="str">
        <x:f>IF(K1403="P0","Primary seat + Hashlight/Lucerna","Seat lane")</x:f>
        <x:v>Seat lane</x:v>
      </x:c>
      <x:c r="AA1403" s="12" t="str">
        <x:f>IF(R1403="","no_claim_delta","claim_delta_present")</x:f>
        <x:v>no_claim_delta</x:v>
      </x:c>
      <x:c r="AB1403" s="12" t="str">
        <x:f>IF(S1403="","no_contradiction_delta","contradiction_delta_present")</x:f>
        <x:v>no_contradiction_delta</x:v>
      </x:c>
      <x:c r="AC1403" s="12" t="str">
        <x:f>IF(OR(ISNUMBER(SEARCH("hacker",LOWER(F1403&amp;" "&amp;H1403&amp;" "&amp;I1403&amp;" "&amp;M1403&amp;" "&amp;N1403&amp;" "&amp;T1403))),ISNUMBER(SEARCH("hacking",LOWER(F1403&amp;" "&amp;H1403&amp;" "&amp;I1403&amp;" "&amp;M1403&amp;" "&amp;N1403&amp;" "&amp;T1403))),ISNUMBER(SEARCH("bank",LOWER(F1403&amp;" "&amp;H1403&amp;" "&amp;I1403&amp;" "&amp;M1403&amp;" "&amp;N1403&amp;" "&amp;T1403))),ISNUMBER(SEARCH("banking",LOWER(F1403&amp;" "&amp;H1403&amp;" "&amp;I1403&amp;" "&amp;M1403&amp;" "&amp;N1403&amp;" "&amp;T1403)))),"PRIVATE_QUARANTINE",IF(OR(ISNUMBER(SEARCH("treasury",LOWER(F1403&amp;" "&amp;H1403&amp;" "&amp;I1403&amp;" "&amp;M1403&amp;" "&amp;N1403&amp;" "&amp;T1403))),ISNUMBER(SEARCH("debt",LOWER(F1403&amp;" "&amp;H1403&amp;" "&amp;I1403&amp;" "&amp;M1403&amp;" "&amp;N1403&amp;" "&amp;T1403))),ISNUMBER(SEARCH("bond",LOWER(F1403&amp;" "&amp;H1403&amp;" "&amp;I1403&amp;" "&amp;M1403&amp;" "&amp;N1403&amp;" "&amp;T1403))),ISNUMBER(SEARCH("transaction",LOWER(F1403&amp;" "&amp;H1403&amp;" "&amp;I1403&amp;" "&amp;M1403&amp;" "&amp;N1403&amp;" "&amp;T1403)))),"PRIVATE_REVIEW","PUBLIC_CANDIDATE"))</x:f>
        <x:v>PUBLIC_CANDIDATE</x:v>
      </x:c>
      <x:c r="AD1403" s="12" t="str">
        <x:f>IF(AC1403="PRIVATE_QUARANTINE","hacker_or_bank_trigger",IF(AC1403="PRIVATE_REVIEW","finance_risk_trigger","none"))</x:f>
        <x:v>none</x:v>
      </x:c>
      <x:c r="AE1403" s="12" t="str">
        <x:f>IF(AC1403="PUBLIC_CANDIDATE","prepare_public_github_candidate",IF(AC1403="PRIVATE_REVIEW","hold_for_private_review","quarantine_private_do_not_publish"))</x:f>
        <x:v>prepare_public_github_candidate</x:v>
      </x:c>
      <x:c r="AF1403" s="12" t="str">
        <x:f>IF(AC1403="PUBLIC_CANDIDATE","TIDELOCK + Lucerna",IF(AC1403="PRIVATE_REVIEW","AtlasBrain + Lucerna","TIDELOCK + Lucerna + Human-root"))</x:f>
        <x:v>TIDELOCK + Lucerna</x:v>
      </x:c>
      <x:c r="AG1403" s="12" t="str">
        <x:f>IF(AND(AC1403="PUBLIC_CANDIDATE",U1403&lt;&gt;"BLOCKED_PENDING_RECEIPT"),"READY_AFTER_RECEIPT","NOT_READY")</x:f>
        <x:v>NOT_READY</x:v>
      </x:c>
      <x:c r="AH1403" s="12" t="str">
        <x:f>IF(AC1403="PUBLIC_CANDIDATE","none",AD1403)</x:f>
        <x:v>none</x:v>
      </x:c>
      <x:c r="AI1403" s="12" t="str">
        <x:f>IF(AC1403="PUBLIC_CANDIDATE","archive/public_candidates/"&amp;A1403,"private_quarantine/"&amp;A1403)</x:f>
        <x:v>archive/public_candidates/SWARM-10-H09-S10</x:v>
      </x:c>
      <x:c r="AJ1403" s="12" t="str">
        <x:f>IF(AC1403="PUBLIC_CANDIDATE","public by default; still not canon","private/hold; do not publish")</x:f>
        <x:v>public by default; still not canon</x:v>
      </x:c>
      <x:c r="AK1403" s="12" t="str">
        <x:f>IF(AE1403="prepare_public_github_candidate","add receipt/status then mirror","resolve blocker before any public GitHub action")</x:f>
        <x:v>add receipt/status then mirror</x:v>
      </x:c>
    </x:row>
    <x:row r="1404">
      <x:c r="A1404" s="15" t="str">
        <x:v>SWARM-10-H09-S11</x:v>
      </x:c>
      <x:c r="B1404" s="15" t="str">
        <x:v>GitShelf</x:v>
      </x:c>
      <x:c r="C1404" s="15" t="str">
        <x:v>GitHub shelf builder</x:v>
      </x:c>
      <x:c r="D1404" s="15" t="str">
        <x:v>Review Queues</x:v>
      </x:c>
      <x:c r="E1404" s="15" t="str">
        <x:v>Automation</x:v>
      </x:c>
      <x:c r="F1404" s="15" t="str">
        <x:v>Queue review for Automation — GitShelf</x:v>
      </x:c>
      <x:c r="G1404" s="15" t="str">
        <x:v>repo packet / manifest / issue template prep</x:v>
      </x:c>
      <x:c r="H1404" s="15" t="str">
        <x:v>source path + receipt + raw/export status + claim/edge/risk delta</x:v>
      </x:c>
      <x:c r="I1404" s="15" t="str">
        <x:v>packet/SWARM-10-H09-S11</x:v>
      </x:c>
      <x:c r="J1404" s="15" t="str">
        <x:v>TODO</x:v>
      </x:c>
      <x:c r="K1404" s="15" t="str">
        <x:v>P2</x:v>
      </x:c>
      <x:c r="L1404" s="15" t="str">
        <x:v>Done only when evidence is logged, contradiction search is noted, and boundary stamp remains non-canon unless ratified</x:v>
      </x:c>
      <x:c r="M1404" s="15" t="str">
        <x:v>candidate / staging-only / not canon / not deployed / authority none</x:v>
      </x:c>
      <x:c r="N1404" s="15" t="str">
        <x:v>Dispatch to GitShelf: complete Review Queues x Automation; return deltas only, receipts required.</x:v>
      </x:c>
      <x:c r="O1404" s="15" t="str">
        <x:v>AF-KG-H09-S11</x:v>
      </x:c>
      <x:c r="P1404" s="15" t="str">
        <x:v>Unverified</x:v>
      </x:c>
      <x:c r="Q1404" s="15" t="str">
        <x:v>Not checked</x:v>
      </x:c>
      <x:c r="R1404" s="15" t="str"/>
      <x:c r="S1404" s="15" t="str"/>
      <x:c r="T1404" s="15" t="str">
        <x:v>Log first source path or blocker</x:v>
      </x:c>
      <x:c r="U1404" s="12" t="str">
        <x:f>IF(OR(P1404="Unverified",Q1404="Not checked"),"BLOCKED_PENDING_RECEIPT","READY_FOR_REVIEW")</x:f>
        <x:v>BLOCKED_PENDING_RECEIPT</x:v>
      </x:c>
      <x:c r="V1404" s="12" t="str">
        <x:f>IF(J1404="DONE","RETURNED",IF(U1404="BLOCKED_PENDING_RECEIPT","SOURCE_TOUCH_REQUIRED","IN_PROGRESS"))</x:f>
        <x:v>SOURCE_TOUCH_REQUIRED</x:v>
      </x:c>
      <x:c r="W1404" s="12" t="str">
        <x:f>IF(P1404="Unverified","missing_receipt","receipt_logged")</x:f>
        <x:v>missing_receipt</x:v>
      </x:c>
      <x:c r="X1404" s="12" t="str">
        <x:f>IF(Q1404="Not checked","raw_status_missing","raw_status_logged")</x:f>
        <x:v>raw_status_missing</x:v>
      </x:c>
      <x:c r="Y1404" s="12" t="str">
        <x:f>IF(U1404="BLOCKED_PENDING_RECEIPT","Log source path or blocker; do not promote","Route to review lane")</x:f>
        <x:v>Log source path or blocker; do not promote</x:v>
      </x:c>
      <x:c r="Z1404" s="12" t="str">
        <x:f>IF(K1404="P0","Primary seat + Hashlight/Lucerna","Seat lane")</x:f>
        <x:v>Seat lane</x:v>
      </x:c>
      <x:c r="AA1404" s="12" t="str">
        <x:f>IF(R1404="","no_claim_delta","claim_delta_present")</x:f>
        <x:v>no_claim_delta</x:v>
      </x:c>
      <x:c r="AB1404" s="12" t="str">
        <x:f>IF(S1404="","no_contradiction_delta","contradiction_delta_present")</x:f>
        <x:v>no_contradiction_delta</x:v>
      </x:c>
      <x:c r="AC1404" s="12" t="str">
        <x:f>IF(OR(ISNUMBER(SEARCH("hacker",LOWER(F1404&amp;" "&amp;H1404&amp;" "&amp;I1404&amp;" "&amp;M1404&amp;" "&amp;N1404&amp;" "&amp;T1404))),ISNUMBER(SEARCH("hacking",LOWER(F1404&amp;" "&amp;H1404&amp;" "&amp;I1404&amp;" "&amp;M1404&amp;" "&amp;N1404&amp;" "&amp;T1404))),ISNUMBER(SEARCH("bank",LOWER(F1404&amp;" "&amp;H1404&amp;" "&amp;I1404&amp;" "&amp;M1404&amp;" "&amp;N1404&amp;" "&amp;T1404))),ISNUMBER(SEARCH("banking",LOWER(F1404&amp;" "&amp;H1404&amp;" "&amp;I1404&amp;" "&amp;M1404&amp;" "&amp;N1404&amp;" "&amp;T1404)))),"PRIVATE_QUARANTINE",IF(OR(ISNUMBER(SEARCH("treasury",LOWER(F1404&amp;" "&amp;H1404&amp;" "&amp;I1404&amp;" "&amp;M1404&amp;" "&amp;N1404&amp;" "&amp;T1404))),ISNUMBER(SEARCH("debt",LOWER(F1404&amp;" "&amp;H1404&amp;" "&amp;I1404&amp;" "&amp;M1404&amp;" "&amp;N1404&amp;" "&amp;T1404))),ISNUMBER(SEARCH("bond",LOWER(F1404&amp;" "&amp;H1404&amp;" "&amp;I1404&amp;" "&amp;M1404&amp;" "&amp;N1404&amp;" "&amp;T1404))),ISNUMBER(SEARCH("transaction",LOWER(F1404&amp;" "&amp;H1404&amp;" "&amp;I1404&amp;" "&amp;M1404&amp;" "&amp;N1404&amp;" "&amp;T1404)))),"PRIVATE_REVIEW","PUBLIC_CANDIDATE"))</x:f>
        <x:v>PUBLIC_CANDIDATE</x:v>
      </x:c>
      <x:c r="AD1404" s="12" t="str">
        <x:f>IF(AC1404="PRIVATE_QUARANTINE","hacker_or_bank_trigger",IF(AC1404="PRIVATE_REVIEW","finance_risk_trigger","none"))</x:f>
        <x:v>none</x:v>
      </x:c>
      <x:c r="AE1404" s="12" t="str">
        <x:f>IF(AC1404="PUBLIC_CANDIDATE","prepare_public_github_candidate",IF(AC1404="PRIVATE_REVIEW","hold_for_private_review","quarantine_private_do_not_publish"))</x:f>
        <x:v>prepare_public_github_candidate</x:v>
      </x:c>
      <x:c r="AF1404" s="12" t="str">
        <x:f>IF(AC1404="PUBLIC_CANDIDATE","TIDELOCK + Lucerna",IF(AC1404="PRIVATE_REVIEW","AtlasBrain + Lucerna","TIDELOCK + Lucerna + Human-root"))</x:f>
        <x:v>TIDELOCK + Lucerna</x:v>
      </x:c>
      <x:c r="AG1404" s="12" t="str">
        <x:f>IF(AND(AC1404="PUBLIC_CANDIDATE",U1404&lt;&gt;"BLOCKED_PENDING_RECEIPT"),"READY_AFTER_RECEIPT","NOT_READY")</x:f>
        <x:v>NOT_READY</x:v>
      </x:c>
      <x:c r="AH1404" s="12" t="str">
        <x:f>IF(AC1404="PUBLIC_CANDIDATE","none",AD1404)</x:f>
        <x:v>none</x:v>
      </x:c>
      <x:c r="AI1404" s="12" t="str">
        <x:f>IF(AC1404="PUBLIC_CANDIDATE","archive/public_candidates/"&amp;A1404,"private_quarantine/"&amp;A1404)</x:f>
        <x:v>archive/public_candidates/SWARM-10-H09-S11</x:v>
      </x:c>
      <x:c r="AJ1404" s="12" t="str">
        <x:f>IF(AC1404="PUBLIC_CANDIDATE","public by default; still not canon","private/hold; do not publish")</x:f>
        <x:v>public by default; still not canon</x:v>
      </x:c>
      <x:c r="AK1404" s="12" t="str">
        <x:f>IF(AE1404="prepare_public_github_candidate","add receipt/status then mirror","resolve blocker before any public GitHub action")</x:f>
        <x:v>add receipt/status then mirror</x:v>
      </x:c>
    </x:row>
    <x:row r="1405">
      <x:c r="A1405" s="15" t="str">
        <x:v>SWARM-10-H09-S12</x:v>
      </x:c>
      <x:c r="B1405" s="15" t="str">
        <x:v>GitShelf</x:v>
      </x:c>
      <x:c r="C1405" s="15" t="str">
        <x:v>GitHub shelf builder</x:v>
      </x:c>
      <x:c r="D1405" s="15" t="str">
        <x:v>Review Queues</x:v>
      </x:c>
      <x:c r="E1405" s="15" t="str">
        <x:v>Risk / Safety</x:v>
      </x:c>
      <x:c r="F1405" s="15" t="str">
        <x:v>Queue review for Risk / Safety — GitShelf</x:v>
      </x:c>
      <x:c r="G1405" s="15" t="str">
        <x:v>repo packet / manifest / issue template prep</x:v>
      </x:c>
      <x:c r="H1405" s="15" t="str">
        <x:v>source path + receipt + raw/export status + claim/edge/risk delta</x:v>
      </x:c>
      <x:c r="I1405" s="15" t="str">
        <x:v>packet/SWARM-10-H09-S12</x:v>
      </x:c>
      <x:c r="J1405" s="15" t="str">
        <x:v>TODO</x:v>
      </x:c>
      <x:c r="K1405" s="15" t="str">
        <x:v>P2</x:v>
      </x:c>
      <x:c r="L1405" s="15" t="str">
        <x:v>Done only when evidence is logged, contradiction search is noted, and boundary stamp remains non-canon unless ratified</x:v>
      </x:c>
      <x:c r="M1405" s="15" t="str">
        <x:v>candidate / staging-only / not canon / not deployed / authority none</x:v>
      </x:c>
      <x:c r="N1405" s="15" t="str">
        <x:v>Dispatch to GitShelf: complete Review Queues x Risk / Safety; return deltas only, receipts required.</x:v>
      </x:c>
      <x:c r="O1405" s="15" t="str">
        <x:v>AF-KG-H09-S12</x:v>
      </x:c>
      <x:c r="P1405" s="15" t="str">
        <x:v>Unverified</x:v>
      </x:c>
      <x:c r="Q1405" s="15" t="str">
        <x:v>Not checked</x:v>
      </x:c>
      <x:c r="R1405" s="15" t="str"/>
      <x:c r="S1405" s="15" t="str"/>
      <x:c r="T1405" s="15" t="str">
        <x:v>Log first source path or blocker</x:v>
      </x:c>
      <x:c r="U1405" s="12" t="str">
        <x:f>IF(OR(P1405="Unverified",Q1405="Not checked"),"BLOCKED_PENDING_RECEIPT","READY_FOR_REVIEW")</x:f>
        <x:v>BLOCKED_PENDING_RECEIPT</x:v>
      </x:c>
      <x:c r="V1405" s="12" t="str">
        <x:f>IF(J1405="DONE","RETURNED",IF(U1405="BLOCKED_PENDING_RECEIPT","SOURCE_TOUCH_REQUIRED","IN_PROGRESS"))</x:f>
        <x:v>SOURCE_TOUCH_REQUIRED</x:v>
      </x:c>
      <x:c r="W1405" s="12" t="str">
        <x:f>IF(P1405="Unverified","missing_receipt","receipt_logged")</x:f>
        <x:v>missing_receipt</x:v>
      </x:c>
      <x:c r="X1405" s="12" t="str">
        <x:f>IF(Q1405="Not checked","raw_status_missing","raw_status_logged")</x:f>
        <x:v>raw_status_missing</x:v>
      </x:c>
      <x:c r="Y1405" s="12" t="str">
        <x:f>IF(U1405="BLOCKED_PENDING_RECEIPT","Log source path or blocker; do not promote","Route to review lane")</x:f>
        <x:v>Log source path or blocker; do not promote</x:v>
      </x:c>
      <x:c r="Z1405" s="12" t="str">
        <x:f>IF(K1405="P0","Primary seat + Hashlight/Lucerna","Seat lane")</x:f>
        <x:v>Seat lane</x:v>
      </x:c>
      <x:c r="AA1405" s="12" t="str">
        <x:f>IF(R1405="","no_claim_delta","claim_delta_present")</x:f>
        <x:v>no_claim_delta</x:v>
      </x:c>
      <x:c r="AB1405" s="12" t="str">
        <x:f>IF(S1405="","no_contradiction_delta","contradiction_delta_present")</x:f>
        <x:v>no_contradiction_delta</x:v>
      </x:c>
      <x:c r="AC1405" s="12" t="str">
        <x:f>IF(OR(ISNUMBER(SEARCH("hacker",LOWER(F1405&amp;" "&amp;H1405&amp;" "&amp;I1405&amp;" "&amp;M1405&amp;" "&amp;N1405&amp;" "&amp;T1405))),ISNUMBER(SEARCH("hacking",LOWER(F1405&amp;" "&amp;H1405&amp;" "&amp;I1405&amp;" "&amp;M1405&amp;" "&amp;N1405&amp;" "&amp;T1405))),ISNUMBER(SEARCH("bank",LOWER(F1405&amp;" "&amp;H1405&amp;" "&amp;I1405&amp;" "&amp;M1405&amp;" "&amp;N1405&amp;" "&amp;T1405))),ISNUMBER(SEARCH("banking",LOWER(F1405&amp;" "&amp;H1405&amp;" "&amp;I1405&amp;" "&amp;M1405&amp;" "&amp;N1405&amp;" "&amp;T1405)))),"PRIVATE_QUARANTINE",IF(OR(ISNUMBER(SEARCH("treasury",LOWER(F1405&amp;" "&amp;H1405&amp;" "&amp;I1405&amp;" "&amp;M1405&amp;" "&amp;N1405&amp;" "&amp;T1405))),ISNUMBER(SEARCH("debt",LOWER(F1405&amp;" "&amp;H1405&amp;" "&amp;I1405&amp;" "&amp;M1405&amp;" "&amp;N1405&amp;" "&amp;T1405))),ISNUMBER(SEARCH("bond",LOWER(F1405&amp;" "&amp;H1405&amp;" "&amp;I1405&amp;" "&amp;M1405&amp;" "&amp;N1405&amp;" "&amp;T1405))),ISNUMBER(SEARCH("transaction",LOWER(F1405&amp;" "&amp;H1405&amp;" "&amp;I1405&amp;" "&amp;M1405&amp;" "&amp;N1405&amp;" "&amp;T1405)))),"PRIVATE_REVIEW","PUBLIC_CANDIDATE"))</x:f>
        <x:v>PUBLIC_CANDIDATE</x:v>
      </x:c>
      <x:c r="AD1405" s="12" t="str">
        <x:f>IF(AC1405="PRIVATE_QUARANTINE","hacker_or_bank_trigger",IF(AC1405="PRIVATE_REVIEW","finance_risk_trigger","none"))</x:f>
        <x:v>none</x:v>
      </x:c>
      <x:c r="AE1405" s="12" t="str">
        <x:f>IF(AC1405="PUBLIC_CANDIDATE","prepare_public_github_candidate",IF(AC1405="PRIVATE_REVIEW","hold_for_private_review","quarantine_private_do_not_publish"))</x:f>
        <x:v>prepare_public_github_candidate</x:v>
      </x:c>
      <x:c r="AF1405" s="12" t="str">
        <x:f>IF(AC1405="PUBLIC_CANDIDATE","TIDELOCK + Lucerna",IF(AC1405="PRIVATE_REVIEW","AtlasBrain + Lucerna","TIDELOCK + Lucerna + Human-root"))</x:f>
        <x:v>TIDELOCK + Lucerna</x:v>
      </x:c>
      <x:c r="AG1405" s="12" t="str">
        <x:f>IF(AND(AC1405="PUBLIC_CANDIDATE",U1405&lt;&gt;"BLOCKED_PENDING_RECEIPT"),"READY_AFTER_RECEIPT","NOT_READY")</x:f>
        <x:v>NOT_READY</x:v>
      </x:c>
      <x:c r="AH1405" s="12" t="str">
        <x:f>IF(AC1405="PUBLIC_CANDIDATE","none",AD1405)</x:f>
        <x:v>none</x:v>
      </x:c>
      <x:c r="AI1405" s="12" t="str">
        <x:f>IF(AC1405="PUBLIC_CANDIDATE","archive/public_candidates/"&amp;A1405,"private_quarantine/"&amp;A1405)</x:f>
        <x:v>archive/public_candidates/SWARM-10-H09-S12</x:v>
      </x:c>
      <x:c r="AJ1405" s="12" t="str">
        <x:f>IF(AC1405="PUBLIC_CANDIDATE","public by default; still not canon","private/hold; do not publish")</x:f>
        <x:v>public by default; still not canon</x:v>
      </x:c>
      <x:c r="AK1405" s="12" t="str">
        <x:f>IF(AE1405="prepare_public_github_candidate","add receipt/status then mirror","resolve blocker before any public GitHub action")</x:f>
        <x:v>add receipt/status then mirror</x:v>
      </x:c>
    </x:row>
    <x:row r="1406">
      <x:c r="A1406" s="15" t="str">
        <x:v>SWARM-10-H10-S01</x:v>
      </x:c>
      <x:c r="B1406" s="15" t="str">
        <x:v>GitShelf</x:v>
      </x:c>
      <x:c r="C1406" s="15" t="str">
        <x:v>GitHub shelf builder</x:v>
      </x:c>
      <x:c r="D1406" s="15" t="str">
        <x:v>GitHub Source Packets</x:v>
      </x:c>
      <x:c r="E1406" s="15" t="str">
        <x:v>Notion</x:v>
      </x:c>
      <x:c r="F1406" s="15" t="str">
        <x:v>Build source packet for Notion — GitShelf</x:v>
      </x:c>
      <x:c r="G1406" s="15" t="str">
        <x:v>repo packet / manifest / issue template prep</x:v>
      </x:c>
      <x:c r="H1406" s="15" t="str">
        <x:v>source path + receipt + raw/export status + claim/edge/risk delta</x:v>
      </x:c>
      <x:c r="I1406" s="15" t="str">
        <x:v>packet/SWARM-10-H10-S01</x:v>
      </x:c>
      <x:c r="J1406" s="15" t="str">
        <x:v>TODO</x:v>
      </x:c>
      <x:c r="K1406" s="15" t="str">
        <x:v>P0</x:v>
      </x:c>
      <x:c r="L1406" s="15" t="str">
        <x:v>Done only when evidence is logged, contradiction search is noted, and boundary stamp remains non-canon unless ratified</x:v>
      </x:c>
      <x:c r="M1406" s="15" t="str">
        <x:v>candidate / staging-only / not canon / not deployed / authority none</x:v>
      </x:c>
      <x:c r="N1406" s="15" t="str">
        <x:v>Dispatch to GitShelf: complete GitHub Source Packets x Notion; return deltas only, receipts required.</x:v>
      </x:c>
      <x:c r="O1406" s="15" t="str">
        <x:v>AF-KG-H10-S01</x:v>
      </x:c>
      <x:c r="P1406" s="15" t="str">
        <x:v>Unverified</x:v>
      </x:c>
      <x:c r="Q1406" s="15" t="str">
        <x:v>Not checked</x:v>
      </x:c>
      <x:c r="R1406" s="15" t="str"/>
      <x:c r="S1406" s="15" t="str"/>
      <x:c r="T1406" s="15" t="str">
        <x:v>Log first source path or blocker</x:v>
      </x:c>
      <x:c r="U1406" s="12" t="str">
        <x:f>IF(OR(P1406="Unverified",Q1406="Not checked"),"BLOCKED_PENDING_RECEIPT","READY_FOR_REVIEW")</x:f>
        <x:v>BLOCKED_PENDING_RECEIPT</x:v>
      </x:c>
      <x:c r="V1406" s="12" t="str">
        <x:f>IF(J1406="DONE","RETURNED",IF(U1406="BLOCKED_PENDING_RECEIPT","SOURCE_TOUCH_REQUIRED","IN_PROGRESS"))</x:f>
        <x:v>SOURCE_TOUCH_REQUIRED</x:v>
      </x:c>
      <x:c r="W1406" s="12" t="str">
        <x:f>IF(P1406="Unverified","missing_receipt","receipt_logged")</x:f>
        <x:v>missing_receipt</x:v>
      </x:c>
      <x:c r="X1406" s="12" t="str">
        <x:f>IF(Q1406="Not checked","raw_status_missing","raw_status_logged")</x:f>
        <x:v>raw_status_missing</x:v>
      </x:c>
      <x:c r="Y1406" s="12" t="str">
        <x:f>IF(U1406="BLOCKED_PENDING_RECEIPT","Log source path or blocker; do not promote","Route to review lane")</x:f>
        <x:v>Log source path or blocker; do not promote</x:v>
      </x:c>
      <x:c r="Z1406" s="12" t="str">
        <x:f>IF(K1406="P0","Primary seat + Hashlight/Lucerna","Seat lane")</x:f>
        <x:v>Primary seat + Hashlight/Lucerna</x:v>
      </x:c>
      <x:c r="AA1406" s="12" t="str">
        <x:f>IF(R1406="","no_claim_delta","claim_delta_present")</x:f>
        <x:v>no_claim_delta</x:v>
      </x:c>
      <x:c r="AB1406" s="12" t="str">
        <x:f>IF(S1406="","no_contradiction_delta","contradiction_delta_present")</x:f>
        <x:v>no_contradiction_delta</x:v>
      </x:c>
      <x:c r="AC1406" s="12" t="str">
        <x:f>IF(OR(ISNUMBER(SEARCH("hacker",LOWER(F1406&amp;" "&amp;H1406&amp;" "&amp;I1406&amp;" "&amp;M1406&amp;" "&amp;N1406&amp;" "&amp;T1406))),ISNUMBER(SEARCH("hacking",LOWER(F1406&amp;" "&amp;H1406&amp;" "&amp;I1406&amp;" "&amp;M1406&amp;" "&amp;N1406&amp;" "&amp;T1406))),ISNUMBER(SEARCH("bank",LOWER(F1406&amp;" "&amp;H1406&amp;" "&amp;I1406&amp;" "&amp;M1406&amp;" "&amp;N1406&amp;" "&amp;T1406))),ISNUMBER(SEARCH("banking",LOWER(F1406&amp;" "&amp;H1406&amp;" "&amp;I1406&amp;" "&amp;M1406&amp;" "&amp;N1406&amp;" "&amp;T1406)))),"PRIVATE_QUARANTINE",IF(OR(ISNUMBER(SEARCH("treasury",LOWER(F1406&amp;" "&amp;H1406&amp;" "&amp;I1406&amp;" "&amp;M1406&amp;" "&amp;N1406&amp;" "&amp;T1406))),ISNUMBER(SEARCH("debt",LOWER(F1406&amp;" "&amp;H1406&amp;" "&amp;I1406&amp;" "&amp;M1406&amp;" "&amp;N1406&amp;" "&amp;T1406))),ISNUMBER(SEARCH("bond",LOWER(F1406&amp;" "&amp;H1406&amp;" "&amp;I1406&amp;" "&amp;M1406&amp;" "&amp;N1406&amp;" "&amp;T1406))),ISNUMBER(SEARCH("transaction",LOWER(F1406&amp;" "&amp;H1406&amp;" "&amp;I1406&amp;" "&amp;M1406&amp;" "&amp;N1406&amp;" "&amp;T1406)))),"PRIVATE_REVIEW","PUBLIC_CANDIDATE"))</x:f>
        <x:v>PUBLIC_CANDIDATE</x:v>
      </x:c>
      <x:c r="AD1406" s="12" t="str">
        <x:f>IF(AC1406="PRIVATE_QUARANTINE","hacker_or_bank_trigger",IF(AC1406="PRIVATE_REVIEW","finance_risk_trigger","none"))</x:f>
        <x:v>none</x:v>
      </x:c>
      <x:c r="AE1406" s="12" t="str">
        <x:f>IF(AC1406="PUBLIC_CANDIDATE","prepare_public_github_candidate",IF(AC1406="PRIVATE_REVIEW","hold_for_private_review","quarantine_private_do_not_publish"))</x:f>
        <x:v>prepare_public_github_candidate</x:v>
      </x:c>
      <x:c r="AF1406" s="12" t="str">
        <x:f>IF(AC1406="PUBLIC_CANDIDATE","TIDELOCK + Lucerna",IF(AC1406="PRIVATE_REVIEW","AtlasBrain + Lucerna","TIDELOCK + Lucerna + Human-root"))</x:f>
        <x:v>TIDELOCK + Lucerna</x:v>
      </x:c>
      <x:c r="AG1406" s="12" t="str">
        <x:f>IF(AND(AC1406="PUBLIC_CANDIDATE",U1406&lt;&gt;"BLOCKED_PENDING_RECEIPT"),"READY_AFTER_RECEIPT","NOT_READY")</x:f>
        <x:v>NOT_READY</x:v>
      </x:c>
      <x:c r="AH1406" s="12" t="str">
        <x:f>IF(AC1406="PUBLIC_CANDIDATE","none",AD1406)</x:f>
        <x:v>none</x:v>
      </x:c>
      <x:c r="AI1406" s="12" t="str">
        <x:f>IF(AC1406="PUBLIC_CANDIDATE","archive/public_candidates/"&amp;A1406,"private_quarantine/"&amp;A1406)</x:f>
        <x:v>archive/public_candidates/SWARM-10-H10-S01</x:v>
      </x:c>
      <x:c r="AJ1406" s="12" t="str">
        <x:f>IF(AC1406="PUBLIC_CANDIDATE","public by default; still not canon","private/hold; do not publish")</x:f>
        <x:v>public by default; still not canon</x:v>
      </x:c>
      <x:c r="AK1406" s="12" t="str">
        <x:f>IF(AE1406="prepare_public_github_candidate","add receipt/status then mirror","resolve blocker before any public GitHub action")</x:f>
        <x:v>add receipt/status then mirror</x:v>
      </x:c>
    </x:row>
    <x:row r="1407">
      <x:c r="A1407" s="15" t="str">
        <x:v>SWARM-10-H10-S02</x:v>
      </x:c>
      <x:c r="B1407" s="15" t="str">
        <x:v>GitShelf</x:v>
      </x:c>
      <x:c r="C1407" s="15" t="str">
        <x:v>GitHub shelf builder</x:v>
      </x:c>
      <x:c r="D1407" s="15" t="str">
        <x:v>GitHub Source Packets</x:v>
      </x:c>
      <x:c r="E1407" s="15" t="str">
        <x:v>Drive</x:v>
      </x:c>
      <x:c r="F1407" s="15" t="str">
        <x:v>Build source packet for Drive — GitShelf</x:v>
      </x:c>
      <x:c r="G1407" s="15" t="str">
        <x:v>repo packet / manifest / issue template prep</x:v>
      </x:c>
      <x:c r="H1407" s="15" t="str">
        <x:v>source path + receipt + raw/export status + claim/edge/risk delta</x:v>
      </x:c>
      <x:c r="I1407" s="15" t="str">
        <x:v>packet/SWARM-10-H10-S02</x:v>
      </x:c>
      <x:c r="J1407" s="15" t="str">
        <x:v>TODO</x:v>
      </x:c>
      <x:c r="K1407" s="15" t="str">
        <x:v>P0</x:v>
      </x:c>
      <x:c r="L1407" s="15" t="str">
        <x:v>Done only when evidence is logged, contradiction search is noted, and boundary stamp remains non-canon unless ratified</x:v>
      </x:c>
      <x:c r="M1407" s="15" t="str">
        <x:v>candidate / staging-only / not canon / not deployed / authority none</x:v>
      </x:c>
      <x:c r="N1407" s="15" t="str">
        <x:v>Dispatch to GitShelf: complete GitHub Source Packets x Drive; return deltas only, receipts required.</x:v>
      </x:c>
      <x:c r="O1407" s="15" t="str">
        <x:v>AF-KG-H10-S02</x:v>
      </x:c>
      <x:c r="P1407" s="15" t="str">
        <x:v>Unverified</x:v>
      </x:c>
      <x:c r="Q1407" s="15" t="str">
        <x:v>Not checked</x:v>
      </x:c>
      <x:c r="R1407" s="15" t="str"/>
      <x:c r="S1407" s="15" t="str"/>
      <x:c r="T1407" s="15" t="str">
        <x:v>Log first source path or blocker</x:v>
      </x:c>
      <x:c r="U1407" s="12" t="str">
        <x:f>IF(OR(P1407="Unverified",Q1407="Not checked"),"BLOCKED_PENDING_RECEIPT","READY_FOR_REVIEW")</x:f>
        <x:v>BLOCKED_PENDING_RECEIPT</x:v>
      </x:c>
      <x:c r="V1407" s="12" t="str">
        <x:f>IF(J1407="DONE","RETURNED",IF(U1407="BLOCKED_PENDING_RECEIPT","SOURCE_TOUCH_REQUIRED","IN_PROGRESS"))</x:f>
        <x:v>SOURCE_TOUCH_REQUIRED</x:v>
      </x:c>
      <x:c r="W1407" s="12" t="str">
        <x:f>IF(P1407="Unverified","missing_receipt","receipt_logged")</x:f>
        <x:v>missing_receipt</x:v>
      </x:c>
      <x:c r="X1407" s="12" t="str">
        <x:f>IF(Q1407="Not checked","raw_status_missing","raw_status_logged")</x:f>
        <x:v>raw_status_missing</x:v>
      </x:c>
      <x:c r="Y1407" s="12" t="str">
        <x:f>IF(U1407="BLOCKED_PENDING_RECEIPT","Log source path or blocker; do not promote","Route to review lane")</x:f>
        <x:v>Log source path or blocker; do not promote</x:v>
      </x:c>
      <x:c r="Z1407" s="12" t="str">
        <x:f>IF(K1407="P0","Primary seat + Hashlight/Lucerna","Seat lane")</x:f>
        <x:v>Primary seat + Hashlight/Lucerna</x:v>
      </x:c>
      <x:c r="AA1407" s="12" t="str">
        <x:f>IF(R1407="","no_claim_delta","claim_delta_present")</x:f>
        <x:v>no_claim_delta</x:v>
      </x:c>
      <x:c r="AB1407" s="12" t="str">
        <x:f>IF(S1407="","no_contradiction_delta","contradiction_delta_present")</x:f>
        <x:v>no_contradiction_delta</x:v>
      </x:c>
      <x:c r="AC1407" s="12" t="str">
        <x:f>IF(OR(ISNUMBER(SEARCH("hacker",LOWER(F1407&amp;" "&amp;H1407&amp;" "&amp;I1407&amp;" "&amp;M1407&amp;" "&amp;N1407&amp;" "&amp;T1407))),ISNUMBER(SEARCH("hacking",LOWER(F1407&amp;" "&amp;H1407&amp;" "&amp;I1407&amp;" "&amp;M1407&amp;" "&amp;N1407&amp;" "&amp;T1407))),ISNUMBER(SEARCH("bank",LOWER(F1407&amp;" "&amp;H1407&amp;" "&amp;I1407&amp;" "&amp;M1407&amp;" "&amp;N1407&amp;" "&amp;T1407))),ISNUMBER(SEARCH("banking",LOWER(F1407&amp;" "&amp;H1407&amp;" "&amp;I1407&amp;" "&amp;M1407&amp;" "&amp;N1407&amp;" "&amp;T1407)))),"PRIVATE_QUARANTINE",IF(OR(ISNUMBER(SEARCH("treasury",LOWER(F1407&amp;" "&amp;H1407&amp;" "&amp;I1407&amp;" "&amp;M1407&amp;" "&amp;N1407&amp;" "&amp;T1407))),ISNUMBER(SEARCH("debt",LOWER(F1407&amp;" "&amp;H1407&amp;" "&amp;I1407&amp;" "&amp;M1407&amp;" "&amp;N1407&amp;" "&amp;T1407))),ISNUMBER(SEARCH("bond",LOWER(F1407&amp;" "&amp;H1407&amp;" "&amp;I1407&amp;" "&amp;M1407&amp;" "&amp;N1407&amp;" "&amp;T1407))),ISNUMBER(SEARCH("transaction",LOWER(F1407&amp;" "&amp;H1407&amp;" "&amp;I1407&amp;" "&amp;M1407&amp;" "&amp;N1407&amp;" "&amp;T1407)))),"PRIVATE_REVIEW","PUBLIC_CANDIDATE"))</x:f>
        <x:v>PUBLIC_CANDIDATE</x:v>
      </x:c>
      <x:c r="AD1407" s="12" t="str">
        <x:f>IF(AC1407="PRIVATE_QUARANTINE","hacker_or_bank_trigger",IF(AC1407="PRIVATE_REVIEW","finance_risk_trigger","none"))</x:f>
        <x:v>none</x:v>
      </x:c>
      <x:c r="AE1407" s="12" t="str">
        <x:f>IF(AC1407="PUBLIC_CANDIDATE","prepare_public_github_candidate",IF(AC1407="PRIVATE_REVIEW","hold_for_private_review","quarantine_private_do_not_publish"))</x:f>
        <x:v>prepare_public_github_candidate</x:v>
      </x:c>
      <x:c r="AF1407" s="12" t="str">
        <x:f>IF(AC1407="PUBLIC_CANDIDATE","TIDELOCK + Lucerna",IF(AC1407="PRIVATE_REVIEW","AtlasBrain + Lucerna","TIDELOCK + Lucerna + Human-root"))</x:f>
        <x:v>TIDELOCK + Lucerna</x:v>
      </x:c>
      <x:c r="AG1407" s="12" t="str">
        <x:f>IF(AND(AC1407="PUBLIC_CANDIDATE",U1407&lt;&gt;"BLOCKED_PENDING_RECEIPT"),"READY_AFTER_RECEIPT","NOT_READY")</x:f>
        <x:v>NOT_READY</x:v>
      </x:c>
      <x:c r="AH1407" s="12" t="str">
        <x:f>IF(AC1407="PUBLIC_CANDIDATE","none",AD1407)</x:f>
        <x:v>none</x:v>
      </x:c>
      <x:c r="AI1407" s="12" t="str">
        <x:f>IF(AC1407="PUBLIC_CANDIDATE","archive/public_candidates/"&amp;A1407,"private_quarantine/"&amp;A1407)</x:f>
        <x:v>archive/public_candidates/SWARM-10-H10-S02</x:v>
      </x:c>
      <x:c r="AJ1407" s="12" t="str">
        <x:f>IF(AC1407="PUBLIC_CANDIDATE","public by default; still not canon","private/hold; do not publish")</x:f>
        <x:v>public by default; still not canon</x:v>
      </x:c>
      <x:c r="AK1407" s="12" t="str">
        <x:f>IF(AE1407="prepare_public_github_candidate","add receipt/status then mirror","resolve blocker before any public GitHub action")</x:f>
        <x:v>add receipt/status then mirror</x:v>
      </x:c>
    </x:row>
    <x:row r="1408">
      <x:c r="A1408" s="15" t="str">
        <x:v>SWARM-10-H10-S03</x:v>
      </x:c>
      <x:c r="B1408" s="15" t="str">
        <x:v>GitShelf</x:v>
      </x:c>
      <x:c r="C1408" s="15" t="str">
        <x:v>GitHub shelf builder</x:v>
      </x:c>
      <x:c r="D1408" s="15" t="str">
        <x:v>GitHub Source Packets</x:v>
      </x:c>
      <x:c r="E1408" s="15" t="str">
        <x:v>GitHub</x:v>
      </x:c>
      <x:c r="F1408" s="15" t="str">
        <x:v>Build source packet for GitHub — GitShelf</x:v>
      </x:c>
      <x:c r="G1408" s="15" t="str">
        <x:v>repo packet / manifest / issue template prep</x:v>
      </x:c>
      <x:c r="H1408" s="15" t="str">
        <x:v>source path + receipt + raw/export status + claim/edge/risk delta</x:v>
      </x:c>
      <x:c r="I1408" s="15" t="str">
        <x:v>packet/SWARM-10-H10-S03</x:v>
      </x:c>
      <x:c r="J1408" s="15" t="str">
        <x:v>TODO</x:v>
      </x:c>
      <x:c r="K1408" s="15" t="str">
        <x:v>P0</x:v>
      </x:c>
      <x:c r="L1408" s="15" t="str">
        <x:v>Done only when evidence is logged, contradiction search is noted, and boundary stamp remains non-canon unless ratified</x:v>
      </x:c>
      <x:c r="M1408" s="15" t="str">
        <x:v>candidate / staging-only / not canon / not deployed / authority none</x:v>
      </x:c>
      <x:c r="N1408" s="15" t="str">
        <x:v>Dispatch to GitShelf: complete GitHub Source Packets x GitHub; return deltas only, receipts required.</x:v>
      </x:c>
      <x:c r="O1408" s="15" t="str">
        <x:v>AF-KG-H10-S03</x:v>
      </x:c>
      <x:c r="P1408" s="15" t="str">
        <x:v>Unverified</x:v>
      </x:c>
      <x:c r="Q1408" s="15" t="str">
        <x:v>Not checked</x:v>
      </x:c>
      <x:c r="R1408" s="15" t="str"/>
      <x:c r="S1408" s="15" t="str"/>
      <x:c r="T1408" s="15" t="str">
        <x:v>Log first source path or blocker</x:v>
      </x:c>
      <x:c r="U1408" s="12" t="str">
        <x:f>IF(OR(P1408="Unverified",Q1408="Not checked"),"BLOCKED_PENDING_RECEIPT","READY_FOR_REVIEW")</x:f>
        <x:v>BLOCKED_PENDING_RECEIPT</x:v>
      </x:c>
      <x:c r="V1408" s="12" t="str">
        <x:f>IF(J1408="DONE","RETURNED",IF(U1408="BLOCKED_PENDING_RECEIPT","SOURCE_TOUCH_REQUIRED","IN_PROGRESS"))</x:f>
        <x:v>SOURCE_TOUCH_REQUIRED</x:v>
      </x:c>
      <x:c r="W1408" s="12" t="str">
        <x:f>IF(P1408="Unverified","missing_receipt","receipt_logged")</x:f>
        <x:v>missing_receipt</x:v>
      </x:c>
      <x:c r="X1408" s="12" t="str">
        <x:f>IF(Q1408="Not checked","raw_status_missing","raw_status_logged")</x:f>
        <x:v>raw_status_missing</x:v>
      </x:c>
      <x:c r="Y1408" s="12" t="str">
        <x:f>IF(U1408="BLOCKED_PENDING_RECEIPT","Log source path or blocker; do not promote","Route to review lane")</x:f>
        <x:v>Log source path or blocker; do not promote</x:v>
      </x:c>
      <x:c r="Z1408" s="12" t="str">
        <x:f>IF(K1408="P0","Primary seat + Hashlight/Lucerna","Seat lane")</x:f>
        <x:v>Primary seat + Hashlight/Lucerna</x:v>
      </x:c>
      <x:c r="AA1408" s="12" t="str">
        <x:f>IF(R1408="","no_claim_delta","claim_delta_present")</x:f>
        <x:v>no_claim_delta</x:v>
      </x:c>
      <x:c r="AB1408" s="12" t="str">
        <x:f>IF(S1408="","no_contradiction_delta","contradiction_delta_present")</x:f>
        <x:v>no_contradiction_delta</x:v>
      </x:c>
      <x:c r="AC1408" s="12" t="str">
        <x:f>IF(OR(ISNUMBER(SEARCH("hacker",LOWER(F1408&amp;" "&amp;H1408&amp;" "&amp;I1408&amp;" "&amp;M1408&amp;" "&amp;N1408&amp;" "&amp;T1408))),ISNUMBER(SEARCH("hacking",LOWER(F1408&amp;" "&amp;H1408&amp;" "&amp;I1408&amp;" "&amp;M1408&amp;" "&amp;N1408&amp;" "&amp;T1408))),ISNUMBER(SEARCH("bank",LOWER(F1408&amp;" "&amp;H1408&amp;" "&amp;I1408&amp;" "&amp;M1408&amp;" "&amp;N1408&amp;" "&amp;T1408))),ISNUMBER(SEARCH("banking",LOWER(F1408&amp;" "&amp;H1408&amp;" "&amp;I1408&amp;" "&amp;M1408&amp;" "&amp;N1408&amp;" "&amp;T1408)))),"PRIVATE_QUARANTINE",IF(OR(ISNUMBER(SEARCH("treasury",LOWER(F1408&amp;" "&amp;H1408&amp;" "&amp;I1408&amp;" "&amp;M1408&amp;" "&amp;N1408&amp;" "&amp;T1408))),ISNUMBER(SEARCH("debt",LOWER(F1408&amp;" "&amp;H1408&amp;" "&amp;I1408&amp;" "&amp;M1408&amp;" "&amp;N1408&amp;" "&amp;T1408))),ISNUMBER(SEARCH("bond",LOWER(F1408&amp;" "&amp;H1408&amp;" "&amp;I1408&amp;" "&amp;M1408&amp;" "&amp;N1408&amp;" "&amp;T1408))),ISNUMBER(SEARCH("transaction",LOWER(F1408&amp;" "&amp;H1408&amp;" "&amp;I1408&amp;" "&amp;M1408&amp;" "&amp;N1408&amp;" "&amp;T1408)))),"PRIVATE_REVIEW","PUBLIC_CANDIDATE"))</x:f>
        <x:v>PUBLIC_CANDIDATE</x:v>
      </x:c>
      <x:c r="AD1408" s="12" t="str">
        <x:f>IF(AC1408="PRIVATE_QUARANTINE","hacker_or_bank_trigger",IF(AC1408="PRIVATE_REVIEW","finance_risk_trigger","none"))</x:f>
        <x:v>none</x:v>
      </x:c>
      <x:c r="AE1408" s="12" t="str">
        <x:f>IF(AC1408="PUBLIC_CANDIDATE","prepare_public_github_candidate",IF(AC1408="PRIVATE_REVIEW","hold_for_private_review","quarantine_private_do_not_publish"))</x:f>
        <x:v>prepare_public_github_candidate</x:v>
      </x:c>
      <x:c r="AF1408" s="12" t="str">
        <x:f>IF(AC1408="PUBLIC_CANDIDATE","TIDELOCK + Lucerna",IF(AC1408="PRIVATE_REVIEW","AtlasBrain + Lucerna","TIDELOCK + Lucerna + Human-root"))</x:f>
        <x:v>TIDELOCK + Lucerna</x:v>
      </x:c>
      <x:c r="AG1408" s="12" t="str">
        <x:f>IF(AND(AC1408="PUBLIC_CANDIDATE",U1408&lt;&gt;"BLOCKED_PENDING_RECEIPT"),"READY_AFTER_RECEIPT","NOT_READY")</x:f>
        <x:v>NOT_READY</x:v>
      </x:c>
      <x:c r="AH1408" s="12" t="str">
        <x:f>IF(AC1408="PUBLIC_CANDIDATE","none",AD1408)</x:f>
        <x:v>none</x:v>
      </x:c>
      <x:c r="AI1408" s="12" t="str">
        <x:f>IF(AC1408="PUBLIC_CANDIDATE","archive/public_candidates/"&amp;A1408,"private_quarantine/"&amp;A1408)</x:f>
        <x:v>archive/public_candidates/SWARM-10-H10-S03</x:v>
      </x:c>
      <x:c r="AJ1408" s="12" t="str">
        <x:f>IF(AC1408="PUBLIC_CANDIDATE","public by default; still not canon","private/hold; do not publish")</x:f>
        <x:v>public by default; still not canon</x:v>
      </x:c>
      <x:c r="AK1408" s="12" t="str">
        <x:f>IF(AE1408="prepare_public_github_candidate","add receipt/status then mirror","resolve blocker before any public GitHub action")</x:f>
        <x:v>add receipt/status then mirror</x:v>
      </x:c>
    </x:row>
    <x:row r="1409">
      <x:c r="A1409" s="15" t="str">
        <x:v>SWARM-10-H10-S04</x:v>
      </x:c>
      <x:c r="B1409" s="15" t="str">
        <x:v>GitShelf</x:v>
      </x:c>
      <x:c r="C1409" s="15" t="str">
        <x:v>GitHub shelf builder</x:v>
      </x:c>
      <x:c r="D1409" s="15" t="str">
        <x:v>GitHub Source Packets</x:v>
      </x:c>
      <x:c r="E1409" s="15" t="str">
        <x:v>Gamma</x:v>
      </x:c>
      <x:c r="F1409" s="15" t="str">
        <x:v>Build source packet for Gamma — GitShelf</x:v>
      </x:c>
      <x:c r="G1409" s="15" t="str">
        <x:v>repo packet / manifest / issue template prep</x:v>
      </x:c>
      <x:c r="H1409" s="15" t="str">
        <x:v>source path + receipt + raw/export status + claim/edge/risk delta</x:v>
      </x:c>
      <x:c r="I1409" s="15" t="str">
        <x:v>packet/SWARM-10-H10-S04</x:v>
      </x:c>
      <x:c r="J1409" s="15" t="str">
        <x:v>TODO</x:v>
      </x:c>
      <x:c r="K1409" s="15" t="str">
        <x:v>P1</x:v>
      </x:c>
      <x:c r="L1409" s="15" t="str">
        <x:v>Done only when evidence is logged, contradiction search is noted, and boundary stamp remains non-canon unless ratified</x:v>
      </x:c>
      <x:c r="M1409" s="15" t="str">
        <x:v>candidate / staging-only / not canon / not deployed / authority none</x:v>
      </x:c>
      <x:c r="N1409" s="15" t="str">
        <x:v>Dispatch to GitShelf: complete GitHub Source Packets x Gamma; return deltas only, receipts required.</x:v>
      </x:c>
      <x:c r="O1409" s="15" t="str">
        <x:v>AF-KG-H10-S04</x:v>
      </x:c>
      <x:c r="P1409" s="15" t="str">
        <x:v>Unverified</x:v>
      </x:c>
      <x:c r="Q1409" s="15" t="str">
        <x:v>Not checked</x:v>
      </x:c>
      <x:c r="R1409" s="15" t="str"/>
      <x:c r="S1409" s="15" t="str"/>
      <x:c r="T1409" s="15" t="str">
        <x:v>Log first source path or blocker</x:v>
      </x:c>
      <x:c r="U1409" s="12" t="str">
        <x:f>IF(OR(P1409="Unverified",Q1409="Not checked"),"BLOCKED_PENDING_RECEIPT","READY_FOR_REVIEW")</x:f>
        <x:v>BLOCKED_PENDING_RECEIPT</x:v>
      </x:c>
      <x:c r="V1409" s="12" t="str">
        <x:f>IF(J1409="DONE","RETURNED",IF(U1409="BLOCKED_PENDING_RECEIPT","SOURCE_TOUCH_REQUIRED","IN_PROGRESS"))</x:f>
        <x:v>SOURCE_TOUCH_REQUIRED</x:v>
      </x:c>
      <x:c r="W1409" s="12" t="str">
        <x:f>IF(P1409="Unverified","missing_receipt","receipt_logged")</x:f>
        <x:v>missing_receipt</x:v>
      </x:c>
      <x:c r="X1409" s="12" t="str">
        <x:f>IF(Q1409="Not checked","raw_status_missing","raw_status_logged")</x:f>
        <x:v>raw_status_missing</x:v>
      </x:c>
      <x:c r="Y1409" s="12" t="str">
        <x:f>IF(U1409="BLOCKED_PENDING_RECEIPT","Log source path or blocker; do not promote","Route to review lane")</x:f>
        <x:v>Log source path or blocker; do not promote</x:v>
      </x:c>
      <x:c r="Z1409" s="12" t="str">
        <x:f>IF(K1409="P0","Primary seat + Hashlight/Lucerna","Seat lane")</x:f>
        <x:v>Seat lane</x:v>
      </x:c>
      <x:c r="AA1409" s="12" t="str">
        <x:f>IF(R1409="","no_claim_delta","claim_delta_present")</x:f>
        <x:v>no_claim_delta</x:v>
      </x:c>
      <x:c r="AB1409" s="12" t="str">
        <x:f>IF(S1409="","no_contradiction_delta","contradiction_delta_present")</x:f>
        <x:v>no_contradiction_delta</x:v>
      </x:c>
      <x:c r="AC1409" s="12" t="str">
        <x:f>IF(OR(ISNUMBER(SEARCH("hacker",LOWER(F1409&amp;" "&amp;H1409&amp;" "&amp;I1409&amp;" "&amp;M1409&amp;" "&amp;N1409&amp;" "&amp;T1409))),ISNUMBER(SEARCH("hacking",LOWER(F1409&amp;" "&amp;H1409&amp;" "&amp;I1409&amp;" "&amp;M1409&amp;" "&amp;N1409&amp;" "&amp;T1409))),ISNUMBER(SEARCH("bank",LOWER(F1409&amp;" "&amp;H1409&amp;" "&amp;I1409&amp;" "&amp;M1409&amp;" "&amp;N1409&amp;" "&amp;T1409))),ISNUMBER(SEARCH("banking",LOWER(F1409&amp;" "&amp;H1409&amp;" "&amp;I1409&amp;" "&amp;M1409&amp;" "&amp;N1409&amp;" "&amp;T1409)))),"PRIVATE_QUARANTINE",IF(OR(ISNUMBER(SEARCH("treasury",LOWER(F1409&amp;" "&amp;H1409&amp;" "&amp;I1409&amp;" "&amp;M1409&amp;" "&amp;N1409&amp;" "&amp;T1409))),ISNUMBER(SEARCH("debt",LOWER(F1409&amp;" "&amp;H1409&amp;" "&amp;I1409&amp;" "&amp;M1409&amp;" "&amp;N1409&amp;" "&amp;T1409))),ISNUMBER(SEARCH("bond",LOWER(F1409&amp;" "&amp;H1409&amp;" "&amp;I1409&amp;" "&amp;M1409&amp;" "&amp;N1409&amp;" "&amp;T1409))),ISNUMBER(SEARCH("transaction",LOWER(F1409&amp;" "&amp;H1409&amp;" "&amp;I1409&amp;" "&amp;M1409&amp;" "&amp;N1409&amp;" "&amp;T1409)))),"PRIVATE_REVIEW","PUBLIC_CANDIDATE"))</x:f>
        <x:v>PUBLIC_CANDIDATE</x:v>
      </x:c>
      <x:c r="AD1409" s="12" t="str">
        <x:f>IF(AC1409="PRIVATE_QUARANTINE","hacker_or_bank_trigger",IF(AC1409="PRIVATE_REVIEW","finance_risk_trigger","none"))</x:f>
        <x:v>none</x:v>
      </x:c>
      <x:c r="AE1409" s="12" t="str">
        <x:f>IF(AC1409="PUBLIC_CANDIDATE","prepare_public_github_candidate",IF(AC1409="PRIVATE_REVIEW","hold_for_private_review","quarantine_private_do_not_publish"))</x:f>
        <x:v>prepare_public_github_candidate</x:v>
      </x:c>
      <x:c r="AF1409" s="12" t="str">
        <x:f>IF(AC1409="PUBLIC_CANDIDATE","TIDELOCK + Lucerna",IF(AC1409="PRIVATE_REVIEW","AtlasBrain + Lucerna","TIDELOCK + Lucerna + Human-root"))</x:f>
        <x:v>TIDELOCK + Lucerna</x:v>
      </x:c>
      <x:c r="AG1409" s="12" t="str">
        <x:f>IF(AND(AC1409="PUBLIC_CANDIDATE",U1409&lt;&gt;"BLOCKED_PENDING_RECEIPT"),"READY_AFTER_RECEIPT","NOT_READY")</x:f>
        <x:v>NOT_READY</x:v>
      </x:c>
      <x:c r="AH1409" s="12" t="str">
        <x:f>IF(AC1409="PUBLIC_CANDIDATE","none",AD1409)</x:f>
        <x:v>none</x:v>
      </x:c>
      <x:c r="AI1409" s="12" t="str">
        <x:f>IF(AC1409="PUBLIC_CANDIDATE","archive/public_candidates/"&amp;A1409,"private_quarantine/"&amp;A1409)</x:f>
        <x:v>archive/public_candidates/SWARM-10-H10-S04</x:v>
      </x:c>
      <x:c r="AJ1409" s="12" t="str">
        <x:f>IF(AC1409="PUBLIC_CANDIDATE","public by default; still not canon","private/hold; do not publish")</x:f>
        <x:v>public by default; still not canon</x:v>
      </x:c>
      <x:c r="AK1409" s="12" t="str">
        <x:f>IF(AE1409="prepare_public_github_candidate","add receipt/status then mirror","resolve blocker before any public GitHub action")</x:f>
        <x:v>add receipt/status then mirror</x:v>
      </x:c>
    </x:row>
    <x:row r="1410">
      <x:c r="A1410" s="15" t="str">
        <x:v>SWARM-10-H10-S05</x:v>
      </x:c>
      <x:c r="B1410" s="15" t="str">
        <x:v>GitShelf</x:v>
      </x:c>
      <x:c r="C1410" s="15" t="str">
        <x:v>GitHub shelf builder</x:v>
      </x:c>
      <x:c r="D1410" s="15" t="str">
        <x:v>GitHub Source Packets</x:v>
      </x:c>
      <x:c r="E1410" s="15" t="str">
        <x:v>Chat</x:v>
      </x:c>
      <x:c r="F1410" s="15" t="str">
        <x:v>Build source packet for Chat — GitShelf</x:v>
      </x:c>
      <x:c r="G1410" s="15" t="str">
        <x:v>repo packet / manifest / issue template prep</x:v>
      </x:c>
      <x:c r="H1410" s="15" t="str">
        <x:v>source path + receipt + raw/export status + claim/edge/risk delta</x:v>
      </x:c>
      <x:c r="I1410" s="15" t="str">
        <x:v>packet/SWARM-10-H10-S05</x:v>
      </x:c>
      <x:c r="J1410" s="15" t="str">
        <x:v>TODO</x:v>
      </x:c>
      <x:c r="K1410" s="15" t="str">
        <x:v>P1</x:v>
      </x:c>
      <x:c r="L1410" s="15" t="str">
        <x:v>Done only when evidence is logged, contradiction search is noted, and boundary stamp remains non-canon unless ratified</x:v>
      </x:c>
      <x:c r="M1410" s="15" t="str">
        <x:v>candidate / staging-only / not canon / not deployed / authority none</x:v>
      </x:c>
      <x:c r="N1410" s="15" t="str">
        <x:v>Dispatch to GitShelf: complete GitHub Source Packets x Chat; return deltas only, receipts required.</x:v>
      </x:c>
      <x:c r="O1410" s="15" t="str">
        <x:v>AF-KG-H10-S05</x:v>
      </x:c>
      <x:c r="P1410" s="15" t="str">
        <x:v>Unverified</x:v>
      </x:c>
      <x:c r="Q1410" s="15" t="str">
        <x:v>Not checked</x:v>
      </x:c>
      <x:c r="R1410" s="15" t="str"/>
      <x:c r="S1410" s="15" t="str"/>
      <x:c r="T1410" s="15" t="str">
        <x:v>Log first source path or blocker</x:v>
      </x:c>
      <x:c r="U1410" s="12" t="str">
        <x:f>IF(OR(P1410="Unverified",Q1410="Not checked"),"BLOCKED_PENDING_RECEIPT","READY_FOR_REVIEW")</x:f>
        <x:v>BLOCKED_PENDING_RECEIPT</x:v>
      </x:c>
      <x:c r="V1410" s="12" t="str">
        <x:f>IF(J1410="DONE","RETURNED",IF(U1410="BLOCKED_PENDING_RECEIPT","SOURCE_TOUCH_REQUIRED","IN_PROGRESS"))</x:f>
        <x:v>SOURCE_TOUCH_REQUIRED</x:v>
      </x:c>
      <x:c r="W1410" s="12" t="str">
        <x:f>IF(P1410="Unverified","missing_receipt","receipt_logged")</x:f>
        <x:v>missing_receipt</x:v>
      </x:c>
      <x:c r="X1410" s="12" t="str">
        <x:f>IF(Q1410="Not checked","raw_status_missing","raw_status_logged")</x:f>
        <x:v>raw_status_missing</x:v>
      </x:c>
      <x:c r="Y1410" s="12" t="str">
        <x:f>IF(U1410="BLOCKED_PENDING_RECEIPT","Log source path or blocker; do not promote","Route to review lane")</x:f>
        <x:v>Log source path or blocker; do not promote</x:v>
      </x:c>
      <x:c r="Z1410" s="12" t="str">
        <x:f>IF(K1410="P0","Primary seat + Hashlight/Lucerna","Seat lane")</x:f>
        <x:v>Seat lane</x:v>
      </x:c>
      <x:c r="AA1410" s="12" t="str">
        <x:f>IF(R1410="","no_claim_delta","claim_delta_present")</x:f>
        <x:v>no_claim_delta</x:v>
      </x:c>
      <x:c r="AB1410" s="12" t="str">
        <x:f>IF(S1410="","no_contradiction_delta","contradiction_delta_present")</x:f>
        <x:v>no_contradiction_delta</x:v>
      </x:c>
      <x:c r="AC1410" s="12" t="str">
        <x:f>IF(OR(ISNUMBER(SEARCH("hacker",LOWER(F1410&amp;" "&amp;H1410&amp;" "&amp;I1410&amp;" "&amp;M1410&amp;" "&amp;N1410&amp;" "&amp;T1410))),ISNUMBER(SEARCH("hacking",LOWER(F1410&amp;" "&amp;H1410&amp;" "&amp;I1410&amp;" "&amp;M1410&amp;" "&amp;N1410&amp;" "&amp;T1410))),ISNUMBER(SEARCH("bank",LOWER(F1410&amp;" "&amp;H1410&amp;" "&amp;I1410&amp;" "&amp;M1410&amp;" "&amp;N1410&amp;" "&amp;T1410))),ISNUMBER(SEARCH("banking",LOWER(F1410&amp;" "&amp;H1410&amp;" "&amp;I1410&amp;" "&amp;M1410&amp;" "&amp;N1410&amp;" "&amp;T1410)))),"PRIVATE_QUARANTINE",IF(OR(ISNUMBER(SEARCH("treasury",LOWER(F1410&amp;" "&amp;H1410&amp;" "&amp;I1410&amp;" "&amp;M1410&amp;" "&amp;N1410&amp;" "&amp;T1410))),ISNUMBER(SEARCH("debt",LOWER(F1410&amp;" "&amp;H1410&amp;" "&amp;I1410&amp;" "&amp;M1410&amp;" "&amp;N1410&amp;" "&amp;T1410))),ISNUMBER(SEARCH("bond",LOWER(F1410&amp;" "&amp;H1410&amp;" "&amp;I1410&amp;" "&amp;M1410&amp;" "&amp;N1410&amp;" "&amp;T1410))),ISNUMBER(SEARCH("transaction",LOWER(F1410&amp;" "&amp;H1410&amp;" "&amp;I1410&amp;" "&amp;M1410&amp;" "&amp;N1410&amp;" "&amp;T1410)))),"PRIVATE_REVIEW","PUBLIC_CANDIDATE"))</x:f>
        <x:v>PUBLIC_CANDIDATE</x:v>
      </x:c>
      <x:c r="AD1410" s="12" t="str">
        <x:f>IF(AC1410="PRIVATE_QUARANTINE","hacker_or_bank_trigger",IF(AC1410="PRIVATE_REVIEW","finance_risk_trigger","none"))</x:f>
        <x:v>none</x:v>
      </x:c>
      <x:c r="AE1410" s="12" t="str">
        <x:f>IF(AC1410="PUBLIC_CANDIDATE","prepare_public_github_candidate",IF(AC1410="PRIVATE_REVIEW","hold_for_private_review","quarantine_private_do_not_publish"))</x:f>
        <x:v>prepare_public_github_candidate</x:v>
      </x:c>
      <x:c r="AF1410" s="12" t="str">
        <x:f>IF(AC1410="PUBLIC_CANDIDATE","TIDELOCK + Lucerna",IF(AC1410="PRIVATE_REVIEW","AtlasBrain + Lucerna","TIDELOCK + Lucerna + Human-root"))</x:f>
        <x:v>TIDELOCK + Lucerna</x:v>
      </x:c>
      <x:c r="AG1410" s="12" t="str">
        <x:f>IF(AND(AC1410="PUBLIC_CANDIDATE",U1410&lt;&gt;"BLOCKED_PENDING_RECEIPT"),"READY_AFTER_RECEIPT","NOT_READY")</x:f>
        <x:v>NOT_READY</x:v>
      </x:c>
      <x:c r="AH1410" s="12" t="str">
        <x:f>IF(AC1410="PUBLIC_CANDIDATE","none",AD1410)</x:f>
        <x:v>none</x:v>
      </x:c>
      <x:c r="AI1410" s="12" t="str">
        <x:f>IF(AC1410="PUBLIC_CANDIDATE","archive/public_candidates/"&amp;A1410,"private_quarantine/"&amp;A1410)</x:f>
        <x:v>archive/public_candidates/SWARM-10-H10-S05</x:v>
      </x:c>
      <x:c r="AJ1410" s="12" t="str">
        <x:f>IF(AC1410="PUBLIC_CANDIDATE","public by default; still not canon","private/hold; do not publish")</x:f>
        <x:v>public by default; still not canon</x:v>
      </x:c>
      <x:c r="AK1410" s="12" t="str">
        <x:f>IF(AE1410="prepare_public_github_candidate","add receipt/status then mirror","resolve blocker before any public GitHub action")</x:f>
        <x:v>add receipt/status then mirror</x:v>
      </x:c>
    </x:row>
    <x:row r="1411">
      <x:c r="A1411" s="15" t="str">
        <x:v>SWARM-10-H10-S06</x:v>
      </x:c>
      <x:c r="B1411" s="15" t="str">
        <x:v>GitShelf</x:v>
      </x:c>
      <x:c r="C1411" s="15" t="str">
        <x:v>GitHub shelf builder</x:v>
      </x:c>
      <x:c r="D1411" s="15" t="str">
        <x:v>GitHub Source Packets</x:v>
      </x:c>
      <x:c r="E1411" s="15" t="str">
        <x:v>External Web</x:v>
      </x:c>
      <x:c r="F1411" s="15" t="str">
        <x:v>Build source packet for External Web — GitShelf</x:v>
      </x:c>
      <x:c r="G1411" s="15" t="str">
        <x:v>repo packet / manifest / issue template prep</x:v>
      </x:c>
      <x:c r="H1411" s="15" t="str">
        <x:v>source path + receipt + raw/export status + claim/edge/risk delta</x:v>
      </x:c>
      <x:c r="I1411" s="15" t="str">
        <x:v>packet/SWARM-10-H10-S06</x:v>
      </x:c>
      <x:c r="J1411" s="15" t="str">
        <x:v>TODO</x:v>
      </x:c>
      <x:c r="K1411" s="15" t="str">
        <x:v>P1</x:v>
      </x:c>
      <x:c r="L1411" s="15" t="str">
        <x:v>Done only when evidence is logged, contradiction search is noted, and boundary stamp remains non-canon unless ratified</x:v>
      </x:c>
      <x:c r="M1411" s="15" t="str">
        <x:v>candidate / staging-only / not canon / not deployed / authority none</x:v>
      </x:c>
      <x:c r="N1411" s="15" t="str">
        <x:v>Dispatch to GitShelf: complete GitHub Source Packets x External Web; return deltas only, receipts required.</x:v>
      </x:c>
      <x:c r="O1411" s="15" t="str">
        <x:v>AF-KG-H10-S06</x:v>
      </x:c>
      <x:c r="P1411" s="15" t="str">
        <x:v>Unverified</x:v>
      </x:c>
      <x:c r="Q1411" s="15" t="str">
        <x:v>Not checked</x:v>
      </x:c>
      <x:c r="R1411" s="15" t="str"/>
      <x:c r="S1411" s="15" t="str"/>
      <x:c r="T1411" s="15" t="str">
        <x:v>Log first source path or blocker</x:v>
      </x:c>
      <x:c r="U1411" s="12" t="str">
        <x:f>IF(OR(P1411="Unverified",Q1411="Not checked"),"BLOCKED_PENDING_RECEIPT","READY_FOR_REVIEW")</x:f>
        <x:v>BLOCKED_PENDING_RECEIPT</x:v>
      </x:c>
      <x:c r="V1411" s="12" t="str">
        <x:f>IF(J1411="DONE","RETURNED",IF(U1411="BLOCKED_PENDING_RECEIPT","SOURCE_TOUCH_REQUIRED","IN_PROGRESS"))</x:f>
        <x:v>SOURCE_TOUCH_REQUIRED</x:v>
      </x:c>
      <x:c r="W1411" s="12" t="str">
        <x:f>IF(P1411="Unverified","missing_receipt","receipt_logged")</x:f>
        <x:v>missing_receipt</x:v>
      </x:c>
      <x:c r="X1411" s="12" t="str">
        <x:f>IF(Q1411="Not checked","raw_status_missing","raw_status_logged")</x:f>
        <x:v>raw_status_missing</x:v>
      </x:c>
      <x:c r="Y1411" s="12" t="str">
        <x:f>IF(U1411="BLOCKED_PENDING_RECEIPT","Log source path or blocker; do not promote","Route to review lane")</x:f>
        <x:v>Log source path or blocker; do not promote</x:v>
      </x:c>
      <x:c r="Z1411" s="12" t="str">
        <x:f>IF(K1411="P0","Primary seat + Hashlight/Lucerna","Seat lane")</x:f>
        <x:v>Seat lane</x:v>
      </x:c>
      <x:c r="AA1411" s="12" t="str">
        <x:f>IF(R1411="","no_claim_delta","claim_delta_present")</x:f>
        <x:v>no_claim_delta</x:v>
      </x:c>
      <x:c r="AB1411" s="12" t="str">
        <x:f>IF(S1411="","no_contradiction_delta","contradiction_delta_present")</x:f>
        <x:v>no_contradiction_delta</x:v>
      </x:c>
      <x:c r="AC1411" s="12" t="str">
        <x:f>IF(OR(ISNUMBER(SEARCH("hacker",LOWER(F1411&amp;" "&amp;H1411&amp;" "&amp;I1411&amp;" "&amp;M1411&amp;" "&amp;N1411&amp;" "&amp;T1411))),ISNUMBER(SEARCH("hacking",LOWER(F1411&amp;" "&amp;H1411&amp;" "&amp;I1411&amp;" "&amp;M1411&amp;" "&amp;N1411&amp;" "&amp;T1411))),ISNUMBER(SEARCH("bank",LOWER(F1411&amp;" "&amp;H1411&amp;" "&amp;I1411&amp;" "&amp;M1411&amp;" "&amp;N1411&amp;" "&amp;T1411))),ISNUMBER(SEARCH("banking",LOWER(F1411&amp;" "&amp;H1411&amp;" "&amp;I1411&amp;" "&amp;M1411&amp;" "&amp;N1411&amp;" "&amp;T1411)))),"PRIVATE_QUARANTINE",IF(OR(ISNUMBER(SEARCH("treasury",LOWER(F1411&amp;" "&amp;H1411&amp;" "&amp;I1411&amp;" "&amp;M1411&amp;" "&amp;N1411&amp;" "&amp;T1411))),ISNUMBER(SEARCH("debt",LOWER(F1411&amp;" "&amp;H1411&amp;" "&amp;I1411&amp;" "&amp;M1411&amp;" "&amp;N1411&amp;" "&amp;T1411))),ISNUMBER(SEARCH("bond",LOWER(F1411&amp;" "&amp;H1411&amp;" "&amp;I1411&amp;" "&amp;M1411&amp;" "&amp;N1411&amp;" "&amp;T1411))),ISNUMBER(SEARCH("transaction",LOWER(F1411&amp;" "&amp;H1411&amp;" "&amp;I1411&amp;" "&amp;M1411&amp;" "&amp;N1411&amp;" "&amp;T1411)))),"PRIVATE_REVIEW","PUBLIC_CANDIDATE"))</x:f>
        <x:v>PUBLIC_CANDIDATE</x:v>
      </x:c>
      <x:c r="AD1411" s="12" t="str">
        <x:f>IF(AC1411="PRIVATE_QUARANTINE","hacker_or_bank_trigger",IF(AC1411="PRIVATE_REVIEW","finance_risk_trigger","none"))</x:f>
        <x:v>none</x:v>
      </x:c>
      <x:c r="AE1411" s="12" t="str">
        <x:f>IF(AC1411="PUBLIC_CANDIDATE","prepare_public_github_candidate",IF(AC1411="PRIVATE_REVIEW","hold_for_private_review","quarantine_private_do_not_publish"))</x:f>
        <x:v>prepare_public_github_candidate</x:v>
      </x:c>
      <x:c r="AF1411" s="12" t="str">
        <x:f>IF(AC1411="PUBLIC_CANDIDATE","TIDELOCK + Lucerna",IF(AC1411="PRIVATE_REVIEW","AtlasBrain + Lucerna","TIDELOCK + Lucerna + Human-root"))</x:f>
        <x:v>TIDELOCK + Lucerna</x:v>
      </x:c>
      <x:c r="AG1411" s="12" t="str">
        <x:f>IF(AND(AC1411="PUBLIC_CANDIDATE",U1411&lt;&gt;"BLOCKED_PENDING_RECEIPT"),"READY_AFTER_RECEIPT","NOT_READY")</x:f>
        <x:v>NOT_READY</x:v>
      </x:c>
      <x:c r="AH1411" s="12" t="str">
        <x:f>IF(AC1411="PUBLIC_CANDIDATE","none",AD1411)</x:f>
        <x:v>none</x:v>
      </x:c>
      <x:c r="AI1411" s="12" t="str">
        <x:f>IF(AC1411="PUBLIC_CANDIDATE","archive/public_candidates/"&amp;A1411,"private_quarantine/"&amp;A1411)</x:f>
        <x:v>archive/public_candidates/SWARM-10-H10-S06</x:v>
      </x:c>
      <x:c r="AJ1411" s="12" t="str">
        <x:f>IF(AC1411="PUBLIC_CANDIDATE","public by default; still not canon","private/hold; do not publish")</x:f>
        <x:v>public by default; still not canon</x:v>
      </x:c>
      <x:c r="AK1411" s="12" t="str">
        <x:f>IF(AE1411="prepare_public_github_candidate","add receipt/status then mirror","resolve blocker before any public GitHub action")</x:f>
        <x:v>add receipt/status then mirror</x:v>
      </x:c>
    </x:row>
    <x:row r="1412">
      <x:c r="A1412" s="15" t="str">
        <x:v>SWARM-10-H10-S07</x:v>
      </x:c>
      <x:c r="B1412" s="15" t="str">
        <x:v>GitShelf</x:v>
      </x:c>
      <x:c r="C1412" s="15" t="str">
        <x:v>GitHub shelf builder</x:v>
      </x:c>
      <x:c r="D1412" s="15" t="str">
        <x:v>GitHub Source Packets</x:v>
      </x:c>
      <x:c r="E1412" s="15" t="str">
        <x:v>Planetarium</x:v>
      </x:c>
      <x:c r="F1412" s="15" t="str">
        <x:v>Build source packet for Planetarium — GitShelf</x:v>
      </x:c>
      <x:c r="G1412" s="15" t="str">
        <x:v>repo packet / manifest / issue template prep</x:v>
      </x:c>
      <x:c r="H1412" s="15" t="str">
        <x:v>source path + receipt + raw/export status + claim/edge/risk delta</x:v>
      </x:c>
      <x:c r="I1412" s="15" t="str">
        <x:v>packet/SWARM-10-H10-S07</x:v>
      </x:c>
      <x:c r="J1412" s="15" t="str">
        <x:v>TODO</x:v>
      </x:c>
      <x:c r="K1412" s="15" t="str">
        <x:v>P1</x:v>
      </x:c>
      <x:c r="L1412" s="15" t="str">
        <x:v>Done only when evidence is logged, contradiction search is noted, and boundary stamp remains non-canon unless ratified</x:v>
      </x:c>
      <x:c r="M1412" s="15" t="str">
        <x:v>candidate / staging-only / not canon / not deployed / authority none</x:v>
      </x:c>
      <x:c r="N1412" s="15" t="str">
        <x:v>Dispatch to GitShelf: complete GitHub Source Packets x Planetarium; return deltas only, receipts required.</x:v>
      </x:c>
      <x:c r="O1412" s="15" t="str">
        <x:v>AF-KG-H10-S07</x:v>
      </x:c>
      <x:c r="P1412" s="15" t="str">
        <x:v>Unverified</x:v>
      </x:c>
      <x:c r="Q1412" s="15" t="str">
        <x:v>Not checked</x:v>
      </x:c>
      <x:c r="R1412" s="15" t="str"/>
      <x:c r="S1412" s="15" t="str"/>
      <x:c r="T1412" s="15" t="str">
        <x:v>Log first source path or blocker</x:v>
      </x:c>
      <x:c r="U1412" s="12" t="str">
        <x:f>IF(OR(P1412="Unverified",Q1412="Not checked"),"BLOCKED_PENDING_RECEIPT","READY_FOR_REVIEW")</x:f>
        <x:v>BLOCKED_PENDING_RECEIPT</x:v>
      </x:c>
      <x:c r="V1412" s="12" t="str">
        <x:f>IF(J1412="DONE","RETURNED",IF(U1412="BLOCKED_PENDING_RECEIPT","SOURCE_TOUCH_REQUIRED","IN_PROGRESS"))</x:f>
        <x:v>SOURCE_TOUCH_REQUIRED</x:v>
      </x:c>
      <x:c r="W1412" s="12" t="str">
        <x:f>IF(P1412="Unverified","missing_receipt","receipt_logged")</x:f>
        <x:v>missing_receipt</x:v>
      </x:c>
      <x:c r="X1412" s="12" t="str">
        <x:f>IF(Q1412="Not checked","raw_status_missing","raw_status_logged")</x:f>
        <x:v>raw_status_missing</x:v>
      </x:c>
      <x:c r="Y1412" s="12" t="str">
        <x:f>IF(U1412="BLOCKED_PENDING_RECEIPT","Log source path or blocker; do not promote","Route to review lane")</x:f>
        <x:v>Log source path or blocker; do not promote</x:v>
      </x:c>
      <x:c r="Z1412" s="12" t="str">
        <x:f>IF(K1412="P0","Primary seat + Hashlight/Lucerna","Seat lane")</x:f>
        <x:v>Seat lane</x:v>
      </x:c>
      <x:c r="AA1412" s="12" t="str">
        <x:f>IF(R1412="","no_claim_delta","claim_delta_present")</x:f>
        <x:v>no_claim_delta</x:v>
      </x:c>
      <x:c r="AB1412" s="12" t="str">
        <x:f>IF(S1412="","no_contradiction_delta","contradiction_delta_present")</x:f>
        <x:v>no_contradiction_delta</x:v>
      </x:c>
      <x:c r="AC1412" s="12" t="str">
        <x:f>IF(OR(ISNUMBER(SEARCH("hacker",LOWER(F1412&amp;" "&amp;H1412&amp;" "&amp;I1412&amp;" "&amp;M1412&amp;" "&amp;N1412&amp;" "&amp;T1412))),ISNUMBER(SEARCH("hacking",LOWER(F1412&amp;" "&amp;H1412&amp;" "&amp;I1412&amp;" "&amp;M1412&amp;" "&amp;N1412&amp;" "&amp;T1412))),ISNUMBER(SEARCH("bank",LOWER(F1412&amp;" "&amp;H1412&amp;" "&amp;I1412&amp;" "&amp;M1412&amp;" "&amp;N1412&amp;" "&amp;T1412))),ISNUMBER(SEARCH("banking",LOWER(F1412&amp;" "&amp;H1412&amp;" "&amp;I1412&amp;" "&amp;M1412&amp;" "&amp;N1412&amp;" "&amp;T1412)))),"PRIVATE_QUARANTINE",IF(OR(ISNUMBER(SEARCH("treasury",LOWER(F1412&amp;" "&amp;H1412&amp;" "&amp;I1412&amp;" "&amp;M1412&amp;" "&amp;N1412&amp;" "&amp;T1412))),ISNUMBER(SEARCH("debt",LOWER(F1412&amp;" "&amp;H1412&amp;" "&amp;I1412&amp;" "&amp;M1412&amp;" "&amp;N1412&amp;" "&amp;T1412))),ISNUMBER(SEARCH("bond",LOWER(F1412&amp;" "&amp;H1412&amp;" "&amp;I1412&amp;" "&amp;M1412&amp;" "&amp;N1412&amp;" "&amp;T1412))),ISNUMBER(SEARCH("transaction",LOWER(F1412&amp;" "&amp;H1412&amp;" "&amp;I1412&amp;" "&amp;M1412&amp;" "&amp;N1412&amp;" "&amp;T1412)))),"PRIVATE_REVIEW","PUBLIC_CANDIDATE"))</x:f>
        <x:v>PUBLIC_CANDIDATE</x:v>
      </x:c>
      <x:c r="AD1412" s="12" t="str">
        <x:f>IF(AC1412="PRIVATE_QUARANTINE","hacker_or_bank_trigger",IF(AC1412="PRIVATE_REVIEW","finance_risk_trigger","none"))</x:f>
        <x:v>none</x:v>
      </x:c>
      <x:c r="AE1412" s="12" t="str">
        <x:f>IF(AC1412="PUBLIC_CANDIDATE","prepare_public_github_candidate",IF(AC1412="PRIVATE_REVIEW","hold_for_private_review","quarantine_private_do_not_publish"))</x:f>
        <x:v>prepare_public_github_candidate</x:v>
      </x:c>
      <x:c r="AF1412" s="12" t="str">
        <x:f>IF(AC1412="PUBLIC_CANDIDATE","TIDELOCK + Lucerna",IF(AC1412="PRIVATE_REVIEW","AtlasBrain + Lucerna","TIDELOCK + Lucerna + Human-root"))</x:f>
        <x:v>TIDELOCK + Lucerna</x:v>
      </x:c>
      <x:c r="AG1412" s="12" t="str">
        <x:f>IF(AND(AC1412="PUBLIC_CANDIDATE",U1412&lt;&gt;"BLOCKED_PENDING_RECEIPT"),"READY_AFTER_RECEIPT","NOT_READY")</x:f>
        <x:v>NOT_READY</x:v>
      </x:c>
      <x:c r="AH1412" s="12" t="str">
        <x:f>IF(AC1412="PUBLIC_CANDIDATE","none",AD1412)</x:f>
        <x:v>none</x:v>
      </x:c>
      <x:c r="AI1412" s="12" t="str">
        <x:f>IF(AC1412="PUBLIC_CANDIDATE","archive/public_candidates/"&amp;A1412,"private_quarantine/"&amp;A1412)</x:f>
        <x:v>archive/public_candidates/SWARM-10-H10-S07</x:v>
      </x:c>
      <x:c r="AJ1412" s="12" t="str">
        <x:f>IF(AC1412="PUBLIC_CANDIDATE","public by default; still not canon","private/hold; do not publish")</x:f>
        <x:v>public by default; still not canon</x:v>
      </x:c>
      <x:c r="AK1412" s="12" t="str">
        <x:f>IF(AE1412="prepare_public_github_candidate","add receipt/status then mirror","resolve blocker before any public GitHub action")</x:f>
        <x:v>add receipt/status then mirror</x:v>
      </x:c>
    </x:row>
    <x:row r="1413">
      <x:c r="A1413" s="15" t="str">
        <x:v>SWARM-10-H10-S08</x:v>
      </x:c>
      <x:c r="B1413" s="15" t="str">
        <x:v>GitShelf</x:v>
      </x:c>
      <x:c r="C1413" s="15" t="str">
        <x:v>GitHub shelf builder</x:v>
      </x:c>
      <x:c r="D1413" s="15" t="str">
        <x:v>GitHub Source Packets</x:v>
      </x:c>
      <x:c r="E1413" s="15" t="str">
        <x:v>Sheldonbrain</x:v>
      </x:c>
      <x:c r="F1413" s="15" t="str">
        <x:v>Build source packet for Sheldonbrain — GitShelf</x:v>
      </x:c>
      <x:c r="G1413" s="15" t="str">
        <x:v>repo packet / manifest / issue template prep</x:v>
      </x:c>
      <x:c r="H1413" s="15" t="str">
        <x:v>source path + receipt + raw/export status + claim/edge/risk delta</x:v>
      </x:c>
      <x:c r="I1413" s="15" t="str">
        <x:v>packet/SWARM-10-H10-S08</x:v>
      </x:c>
      <x:c r="J1413" s="15" t="str">
        <x:v>TODO</x:v>
      </x:c>
      <x:c r="K1413" s="15" t="str">
        <x:v>P1</x:v>
      </x:c>
      <x:c r="L1413" s="15" t="str">
        <x:v>Done only when evidence is logged, contradiction search is noted, and boundary stamp remains non-canon unless ratified</x:v>
      </x:c>
      <x:c r="M1413" s="15" t="str">
        <x:v>candidate / staging-only / not canon / not deployed / authority none</x:v>
      </x:c>
      <x:c r="N1413" s="15" t="str">
        <x:v>Dispatch to GitShelf: complete GitHub Source Packets x Sheldonbrain; return deltas only, receipts required.</x:v>
      </x:c>
      <x:c r="O1413" s="15" t="str">
        <x:v>AF-KG-H10-S08</x:v>
      </x:c>
      <x:c r="P1413" s="15" t="str">
        <x:v>Unverified</x:v>
      </x:c>
      <x:c r="Q1413" s="15" t="str">
        <x:v>Not checked</x:v>
      </x:c>
      <x:c r="R1413" s="15" t="str"/>
      <x:c r="S1413" s="15" t="str"/>
      <x:c r="T1413" s="15" t="str">
        <x:v>Log first source path or blocker</x:v>
      </x:c>
      <x:c r="U1413" s="12" t="str">
        <x:f>IF(OR(P1413="Unverified",Q1413="Not checked"),"BLOCKED_PENDING_RECEIPT","READY_FOR_REVIEW")</x:f>
        <x:v>BLOCKED_PENDING_RECEIPT</x:v>
      </x:c>
      <x:c r="V1413" s="12" t="str">
        <x:f>IF(J1413="DONE","RETURNED",IF(U1413="BLOCKED_PENDING_RECEIPT","SOURCE_TOUCH_REQUIRED","IN_PROGRESS"))</x:f>
        <x:v>SOURCE_TOUCH_REQUIRED</x:v>
      </x:c>
      <x:c r="W1413" s="12" t="str">
        <x:f>IF(P1413="Unverified","missing_receipt","receipt_logged")</x:f>
        <x:v>missing_receipt</x:v>
      </x:c>
      <x:c r="X1413" s="12" t="str">
        <x:f>IF(Q1413="Not checked","raw_status_missing","raw_status_logged")</x:f>
        <x:v>raw_status_missing</x:v>
      </x:c>
      <x:c r="Y1413" s="12" t="str">
        <x:f>IF(U1413="BLOCKED_PENDING_RECEIPT","Log source path or blocker; do not promote","Route to review lane")</x:f>
        <x:v>Log source path or blocker; do not promote</x:v>
      </x:c>
      <x:c r="Z1413" s="12" t="str">
        <x:f>IF(K1413="P0","Primary seat + Hashlight/Lucerna","Seat lane")</x:f>
        <x:v>Seat lane</x:v>
      </x:c>
      <x:c r="AA1413" s="12" t="str">
        <x:f>IF(R1413="","no_claim_delta","claim_delta_present")</x:f>
        <x:v>no_claim_delta</x:v>
      </x:c>
      <x:c r="AB1413" s="12" t="str">
        <x:f>IF(S1413="","no_contradiction_delta","contradiction_delta_present")</x:f>
        <x:v>no_contradiction_delta</x:v>
      </x:c>
      <x:c r="AC1413" s="12" t="str">
        <x:f>IF(OR(ISNUMBER(SEARCH("hacker",LOWER(F1413&amp;" "&amp;H1413&amp;" "&amp;I1413&amp;" "&amp;M1413&amp;" "&amp;N1413&amp;" "&amp;T1413))),ISNUMBER(SEARCH("hacking",LOWER(F1413&amp;" "&amp;H1413&amp;" "&amp;I1413&amp;" "&amp;M1413&amp;" "&amp;N1413&amp;" "&amp;T1413))),ISNUMBER(SEARCH("bank",LOWER(F1413&amp;" "&amp;H1413&amp;" "&amp;I1413&amp;" "&amp;M1413&amp;" "&amp;N1413&amp;" "&amp;T1413))),ISNUMBER(SEARCH("banking",LOWER(F1413&amp;" "&amp;H1413&amp;" "&amp;I1413&amp;" "&amp;M1413&amp;" "&amp;N1413&amp;" "&amp;T1413)))),"PRIVATE_QUARANTINE",IF(OR(ISNUMBER(SEARCH("treasury",LOWER(F1413&amp;" "&amp;H1413&amp;" "&amp;I1413&amp;" "&amp;M1413&amp;" "&amp;N1413&amp;" "&amp;T1413))),ISNUMBER(SEARCH("debt",LOWER(F1413&amp;" "&amp;H1413&amp;" "&amp;I1413&amp;" "&amp;M1413&amp;" "&amp;N1413&amp;" "&amp;T1413))),ISNUMBER(SEARCH("bond",LOWER(F1413&amp;" "&amp;H1413&amp;" "&amp;I1413&amp;" "&amp;M1413&amp;" "&amp;N1413&amp;" "&amp;T1413))),ISNUMBER(SEARCH("transaction",LOWER(F1413&amp;" "&amp;H1413&amp;" "&amp;I1413&amp;" "&amp;M1413&amp;" "&amp;N1413&amp;" "&amp;T1413)))),"PRIVATE_REVIEW","PUBLIC_CANDIDATE"))</x:f>
        <x:v>PUBLIC_CANDIDATE</x:v>
      </x:c>
      <x:c r="AD1413" s="12" t="str">
        <x:f>IF(AC1413="PRIVATE_QUARANTINE","hacker_or_bank_trigger",IF(AC1413="PRIVATE_REVIEW","finance_risk_trigger","none"))</x:f>
        <x:v>none</x:v>
      </x:c>
      <x:c r="AE1413" s="12" t="str">
        <x:f>IF(AC1413="PUBLIC_CANDIDATE","prepare_public_github_candidate",IF(AC1413="PRIVATE_REVIEW","hold_for_private_review","quarantine_private_do_not_publish"))</x:f>
        <x:v>prepare_public_github_candidate</x:v>
      </x:c>
      <x:c r="AF1413" s="12" t="str">
        <x:f>IF(AC1413="PUBLIC_CANDIDATE","TIDELOCK + Lucerna",IF(AC1413="PRIVATE_REVIEW","AtlasBrain + Lucerna","TIDELOCK + Lucerna + Human-root"))</x:f>
        <x:v>TIDELOCK + Lucerna</x:v>
      </x:c>
      <x:c r="AG1413" s="12" t="str">
        <x:f>IF(AND(AC1413="PUBLIC_CANDIDATE",U1413&lt;&gt;"BLOCKED_PENDING_RECEIPT"),"READY_AFTER_RECEIPT","NOT_READY")</x:f>
        <x:v>NOT_READY</x:v>
      </x:c>
      <x:c r="AH1413" s="12" t="str">
        <x:f>IF(AC1413="PUBLIC_CANDIDATE","none",AD1413)</x:f>
        <x:v>none</x:v>
      </x:c>
      <x:c r="AI1413" s="12" t="str">
        <x:f>IF(AC1413="PUBLIC_CANDIDATE","archive/public_candidates/"&amp;A1413,"private_quarantine/"&amp;A1413)</x:f>
        <x:v>archive/public_candidates/SWARM-10-H10-S08</x:v>
      </x:c>
      <x:c r="AJ1413" s="12" t="str">
        <x:f>IF(AC1413="PUBLIC_CANDIDATE","public by default; still not canon","private/hold; do not publish")</x:f>
        <x:v>public by default; still not canon</x:v>
      </x:c>
      <x:c r="AK1413" s="12" t="str">
        <x:f>IF(AE1413="prepare_public_github_candidate","add receipt/status then mirror","resolve blocker before any public GitHub action")</x:f>
        <x:v>add receipt/status then mirror</x:v>
      </x:c>
    </x:row>
    <x:row r="1414">
      <x:c r="A1414" s="15" t="str">
        <x:v>SWARM-10-H10-S09</x:v>
      </x:c>
      <x:c r="B1414" s="15" t="str">
        <x:v>GitShelf</x:v>
      </x:c>
      <x:c r="C1414" s="15" t="str">
        <x:v>GitHub shelf builder</x:v>
      </x:c>
      <x:c r="D1414" s="15" t="str">
        <x:v>GitHub Source Packets</x:v>
      </x:c>
      <x:c r="E1414" s="15" t="str">
        <x:v>Aetherforge</x:v>
      </x:c>
      <x:c r="F1414" s="15" t="str">
        <x:v>Build source packet for Aetherforge — GitShelf</x:v>
      </x:c>
      <x:c r="G1414" s="15" t="str">
        <x:v>repo packet / manifest / issue template prep</x:v>
      </x:c>
      <x:c r="H1414" s="15" t="str">
        <x:v>source path + receipt + raw/export status + claim/edge/risk delta</x:v>
      </x:c>
      <x:c r="I1414" s="15" t="str">
        <x:v>packet/SWARM-10-H10-S09</x:v>
      </x:c>
      <x:c r="J1414" s="15" t="str">
        <x:v>TODO</x:v>
      </x:c>
      <x:c r="K1414" s="15" t="str">
        <x:v>P2</x:v>
      </x:c>
      <x:c r="L1414" s="15" t="str">
        <x:v>Done only when evidence is logged, contradiction search is noted, and boundary stamp remains non-canon unless ratified</x:v>
      </x:c>
      <x:c r="M1414" s="15" t="str">
        <x:v>candidate / staging-only / not canon / not deployed / authority none</x:v>
      </x:c>
      <x:c r="N1414" s="15" t="str">
        <x:v>Dispatch to GitShelf: complete GitHub Source Packets x Aetherforge; return deltas only, receipts required.</x:v>
      </x:c>
      <x:c r="O1414" s="15" t="str">
        <x:v>AF-KG-H10-S09</x:v>
      </x:c>
      <x:c r="P1414" s="15" t="str">
        <x:v>Unverified</x:v>
      </x:c>
      <x:c r="Q1414" s="15" t="str">
        <x:v>Not checked</x:v>
      </x:c>
      <x:c r="R1414" s="15" t="str"/>
      <x:c r="S1414" s="15" t="str"/>
      <x:c r="T1414" s="15" t="str">
        <x:v>Log first source path or blocker</x:v>
      </x:c>
      <x:c r="U1414" s="12" t="str">
        <x:f>IF(OR(P1414="Unverified",Q1414="Not checked"),"BLOCKED_PENDING_RECEIPT","READY_FOR_REVIEW")</x:f>
        <x:v>BLOCKED_PENDING_RECEIPT</x:v>
      </x:c>
      <x:c r="V1414" s="12" t="str">
        <x:f>IF(J1414="DONE","RETURNED",IF(U1414="BLOCKED_PENDING_RECEIPT","SOURCE_TOUCH_REQUIRED","IN_PROGRESS"))</x:f>
        <x:v>SOURCE_TOUCH_REQUIRED</x:v>
      </x:c>
      <x:c r="W1414" s="12" t="str">
        <x:f>IF(P1414="Unverified","missing_receipt","receipt_logged")</x:f>
        <x:v>missing_receipt</x:v>
      </x:c>
      <x:c r="X1414" s="12" t="str">
        <x:f>IF(Q1414="Not checked","raw_status_missing","raw_status_logged")</x:f>
        <x:v>raw_status_missing</x:v>
      </x:c>
      <x:c r="Y1414" s="12" t="str">
        <x:f>IF(U1414="BLOCKED_PENDING_RECEIPT","Log source path or blocker; do not promote","Route to review lane")</x:f>
        <x:v>Log source path or blocker; do not promote</x:v>
      </x:c>
      <x:c r="Z1414" s="12" t="str">
        <x:f>IF(K1414="P0","Primary seat + Hashlight/Lucerna","Seat lane")</x:f>
        <x:v>Seat lane</x:v>
      </x:c>
      <x:c r="AA1414" s="12" t="str">
        <x:f>IF(R1414="","no_claim_delta","claim_delta_present")</x:f>
        <x:v>no_claim_delta</x:v>
      </x:c>
      <x:c r="AB1414" s="12" t="str">
        <x:f>IF(S1414="","no_contradiction_delta","contradiction_delta_present")</x:f>
        <x:v>no_contradiction_delta</x:v>
      </x:c>
      <x:c r="AC1414" s="12" t="str">
        <x:f>IF(OR(ISNUMBER(SEARCH("hacker",LOWER(F1414&amp;" "&amp;H1414&amp;" "&amp;I1414&amp;" "&amp;M1414&amp;" "&amp;N1414&amp;" "&amp;T1414))),ISNUMBER(SEARCH("hacking",LOWER(F1414&amp;" "&amp;H1414&amp;" "&amp;I1414&amp;" "&amp;M1414&amp;" "&amp;N1414&amp;" "&amp;T1414))),ISNUMBER(SEARCH("bank",LOWER(F1414&amp;" "&amp;H1414&amp;" "&amp;I1414&amp;" "&amp;M1414&amp;" "&amp;N1414&amp;" "&amp;T1414))),ISNUMBER(SEARCH("banking",LOWER(F1414&amp;" "&amp;H1414&amp;" "&amp;I1414&amp;" "&amp;M1414&amp;" "&amp;N1414&amp;" "&amp;T1414)))),"PRIVATE_QUARANTINE",IF(OR(ISNUMBER(SEARCH("treasury",LOWER(F1414&amp;" "&amp;H1414&amp;" "&amp;I1414&amp;" "&amp;M1414&amp;" "&amp;N1414&amp;" "&amp;T1414))),ISNUMBER(SEARCH("debt",LOWER(F1414&amp;" "&amp;H1414&amp;" "&amp;I1414&amp;" "&amp;M1414&amp;" "&amp;N1414&amp;" "&amp;T1414))),ISNUMBER(SEARCH("bond",LOWER(F1414&amp;" "&amp;H1414&amp;" "&amp;I1414&amp;" "&amp;M1414&amp;" "&amp;N1414&amp;" "&amp;T1414))),ISNUMBER(SEARCH("transaction",LOWER(F1414&amp;" "&amp;H1414&amp;" "&amp;I1414&amp;" "&amp;M1414&amp;" "&amp;N1414&amp;" "&amp;T1414)))),"PRIVATE_REVIEW","PUBLIC_CANDIDATE"))</x:f>
        <x:v>PUBLIC_CANDIDATE</x:v>
      </x:c>
      <x:c r="AD1414" s="12" t="str">
        <x:f>IF(AC1414="PRIVATE_QUARANTINE","hacker_or_bank_trigger",IF(AC1414="PRIVATE_REVIEW","finance_risk_trigger","none"))</x:f>
        <x:v>none</x:v>
      </x:c>
      <x:c r="AE1414" s="12" t="str">
        <x:f>IF(AC1414="PUBLIC_CANDIDATE","prepare_public_github_candidate",IF(AC1414="PRIVATE_REVIEW","hold_for_private_review","quarantine_private_do_not_publish"))</x:f>
        <x:v>prepare_public_github_candidate</x:v>
      </x:c>
      <x:c r="AF1414" s="12" t="str">
        <x:f>IF(AC1414="PUBLIC_CANDIDATE","TIDELOCK + Lucerna",IF(AC1414="PRIVATE_REVIEW","AtlasBrain + Lucerna","TIDELOCK + Lucerna + Human-root"))</x:f>
        <x:v>TIDELOCK + Lucerna</x:v>
      </x:c>
      <x:c r="AG1414" s="12" t="str">
        <x:f>IF(AND(AC1414="PUBLIC_CANDIDATE",U1414&lt;&gt;"BLOCKED_PENDING_RECEIPT"),"READY_AFTER_RECEIPT","NOT_READY")</x:f>
        <x:v>NOT_READY</x:v>
      </x:c>
      <x:c r="AH1414" s="12" t="str">
        <x:f>IF(AC1414="PUBLIC_CANDIDATE","none",AD1414)</x:f>
        <x:v>none</x:v>
      </x:c>
      <x:c r="AI1414" s="12" t="str">
        <x:f>IF(AC1414="PUBLIC_CANDIDATE","archive/public_candidates/"&amp;A1414,"private_quarantine/"&amp;A1414)</x:f>
        <x:v>archive/public_candidates/SWARM-10-H10-S09</x:v>
      </x:c>
      <x:c r="AJ1414" s="12" t="str">
        <x:f>IF(AC1414="PUBLIC_CANDIDATE","public by default; still not canon","private/hold; do not publish")</x:f>
        <x:v>public by default; still not canon</x:v>
      </x:c>
      <x:c r="AK1414" s="12" t="str">
        <x:f>IF(AE1414="prepare_public_github_candidate","add receipt/status then mirror","resolve blocker before any public GitHub action")</x:f>
        <x:v>add receipt/status then mirror</x:v>
      </x:c>
    </x:row>
    <x:row r="1415">
      <x:c r="A1415" s="15" t="str">
        <x:v>SWARM-10-H10-S10</x:v>
      </x:c>
      <x:c r="B1415" s="15" t="str">
        <x:v>GitShelf</x:v>
      </x:c>
      <x:c r="C1415" s="15" t="str">
        <x:v>GitHub shelf builder</x:v>
      </x:c>
      <x:c r="D1415" s="15" t="str">
        <x:v>GitHub Source Packets</x:v>
      </x:c>
      <x:c r="E1415" s="15" t="str">
        <x:v>Human-Root</x:v>
      </x:c>
      <x:c r="F1415" s="15" t="str">
        <x:v>Build source packet for Human-Root — GitShelf</x:v>
      </x:c>
      <x:c r="G1415" s="15" t="str">
        <x:v>repo packet / manifest / issue template prep</x:v>
      </x:c>
      <x:c r="H1415" s="15" t="str">
        <x:v>source path + receipt + raw/export status + claim/edge/risk delta</x:v>
      </x:c>
      <x:c r="I1415" s="15" t="str">
        <x:v>packet/SWARM-10-H10-S10</x:v>
      </x:c>
      <x:c r="J1415" s="15" t="str">
        <x:v>TODO</x:v>
      </x:c>
      <x:c r="K1415" s="15" t="str">
        <x:v>P2</x:v>
      </x:c>
      <x:c r="L1415" s="15" t="str">
        <x:v>Done only when evidence is logged, contradiction search is noted, and boundary stamp remains non-canon unless ratified</x:v>
      </x:c>
      <x:c r="M1415" s="15" t="str">
        <x:v>candidate / staging-only / not canon / not deployed / authority none</x:v>
      </x:c>
      <x:c r="N1415" s="15" t="str">
        <x:v>Dispatch to GitShelf: complete GitHub Source Packets x Human-Root; return deltas only, receipts required.</x:v>
      </x:c>
      <x:c r="O1415" s="15" t="str">
        <x:v>AF-KG-H10-S10</x:v>
      </x:c>
      <x:c r="P1415" s="15" t="str">
        <x:v>Unverified</x:v>
      </x:c>
      <x:c r="Q1415" s="15" t="str">
        <x:v>Not checked</x:v>
      </x:c>
      <x:c r="R1415" s="15" t="str"/>
      <x:c r="S1415" s="15" t="str"/>
      <x:c r="T1415" s="15" t="str">
        <x:v>Log first source path or blocker</x:v>
      </x:c>
      <x:c r="U1415" s="12" t="str">
        <x:f>IF(OR(P1415="Unverified",Q1415="Not checked"),"BLOCKED_PENDING_RECEIPT","READY_FOR_REVIEW")</x:f>
        <x:v>BLOCKED_PENDING_RECEIPT</x:v>
      </x:c>
      <x:c r="V1415" s="12" t="str">
        <x:f>IF(J1415="DONE","RETURNED",IF(U1415="BLOCKED_PENDING_RECEIPT","SOURCE_TOUCH_REQUIRED","IN_PROGRESS"))</x:f>
        <x:v>SOURCE_TOUCH_REQUIRED</x:v>
      </x:c>
      <x:c r="W1415" s="12" t="str">
        <x:f>IF(P1415="Unverified","missing_receipt","receipt_logged")</x:f>
        <x:v>missing_receipt</x:v>
      </x:c>
      <x:c r="X1415" s="12" t="str">
        <x:f>IF(Q1415="Not checked","raw_status_missing","raw_status_logged")</x:f>
        <x:v>raw_status_missing</x:v>
      </x:c>
      <x:c r="Y1415" s="12" t="str">
        <x:f>IF(U1415="BLOCKED_PENDING_RECEIPT","Log source path or blocker; do not promote","Route to review lane")</x:f>
        <x:v>Log source path or blocker; do not promote</x:v>
      </x:c>
      <x:c r="Z1415" s="12" t="str">
        <x:f>IF(K1415="P0","Primary seat + Hashlight/Lucerna","Seat lane")</x:f>
        <x:v>Seat lane</x:v>
      </x:c>
      <x:c r="AA1415" s="12" t="str">
        <x:f>IF(R1415="","no_claim_delta","claim_delta_present")</x:f>
        <x:v>no_claim_delta</x:v>
      </x:c>
      <x:c r="AB1415" s="12" t="str">
        <x:f>IF(S1415="","no_contradiction_delta","contradiction_delta_present")</x:f>
        <x:v>no_contradiction_delta</x:v>
      </x:c>
      <x:c r="AC1415" s="12" t="str">
        <x:f>IF(OR(ISNUMBER(SEARCH("hacker",LOWER(F1415&amp;" "&amp;H1415&amp;" "&amp;I1415&amp;" "&amp;M1415&amp;" "&amp;N1415&amp;" "&amp;T1415))),ISNUMBER(SEARCH("hacking",LOWER(F1415&amp;" "&amp;H1415&amp;" "&amp;I1415&amp;" "&amp;M1415&amp;" "&amp;N1415&amp;" "&amp;T1415))),ISNUMBER(SEARCH("bank",LOWER(F1415&amp;" "&amp;H1415&amp;" "&amp;I1415&amp;" "&amp;M1415&amp;" "&amp;N1415&amp;" "&amp;T1415))),ISNUMBER(SEARCH("banking",LOWER(F1415&amp;" "&amp;H1415&amp;" "&amp;I1415&amp;" "&amp;M1415&amp;" "&amp;N1415&amp;" "&amp;T1415)))),"PRIVATE_QUARANTINE",IF(OR(ISNUMBER(SEARCH("treasury",LOWER(F1415&amp;" "&amp;H1415&amp;" "&amp;I1415&amp;" "&amp;M1415&amp;" "&amp;N1415&amp;" "&amp;T1415))),ISNUMBER(SEARCH("debt",LOWER(F1415&amp;" "&amp;H1415&amp;" "&amp;I1415&amp;" "&amp;M1415&amp;" "&amp;N1415&amp;" "&amp;T1415))),ISNUMBER(SEARCH("bond",LOWER(F1415&amp;" "&amp;H1415&amp;" "&amp;I1415&amp;" "&amp;M1415&amp;" "&amp;N1415&amp;" "&amp;T1415))),ISNUMBER(SEARCH("transaction",LOWER(F1415&amp;" "&amp;H1415&amp;" "&amp;I1415&amp;" "&amp;M1415&amp;" "&amp;N1415&amp;" "&amp;T1415)))),"PRIVATE_REVIEW","PUBLIC_CANDIDATE"))</x:f>
        <x:v>PUBLIC_CANDIDATE</x:v>
      </x:c>
      <x:c r="AD1415" s="12" t="str">
        <x:f>IF(AC1415="PRIVATE_QUARANTINE","hacker_or_bank_trigger",IF(AC1415="PRIVATE_REVIEW","finance_risk_trigger","none"))</x:f>
        <x:v>none</x:v>
      </x:c>
      <x:c r="AE1415" s="12" t="str">
        <x:f>IF(AC1415="PUBLIC_CANDIDATE","prepare_public_github_candidate",IF(AC1415="PRIVATE_REVIEW","hold_for_private_review","quarantine_private_do_not_publish"))</x:f>
        <x:v>prepare_public_github_candidate</x:v>
      </x:c>
      <x:c r="AF1415" s="12" t="str">
        <x:f>IF(AC1415="PUBLIC_CANDIDATE","TIDELOCK + Lucerna",IF(AC1415="PRIVATE_REVIEW","AtlasBrain + Lucerna","TIDELOCK + Lucerna + Human-root"))</x:f>
        <x:v>TIDELOCK + Lucerna</x:v>
      </x:c>
      <x:c r="AG1415" s="12" t="str">
        <x:f>IF(AND(AC1415="PUBLIC_CANDIDATE",U1415&lt;&gt;"BLOCKED_PENDING_RECEIPT"),"READY_AFTER_RECEIPT","NOT_READY")</x:f>
        <x:v>NOT_READY</x:v>
      </x:c>
      <x:c r="AH1415" s="12" t="str">
        <x:f>IF(AC1415="PUBLIC_CANDIDATE","none",AD1415)</x:f>
        <x:v>none</x:v>
      </x:c>
      <x:c r="AI1415" s="12" t="str">
        <x:f>IF(AC1415="PUBLIC_CANDIDATE","archive/public_candidates/"&amp;A1415,"private_quarantine/"&amp;A1415)</x:f>
        <x:v>archive/public_candidates/SWARM-10-H10-S10</x:v>
      </x:c>
      <x:c r="AJ1415" s="12" t="str">
        <x:f>IF(AC1415="PUBLIC_CANDIDATE","public by default; still not canon","private/hold; do not publish")</x:f>
        <x:v>public by default; still not canon</x:v>
      </x:c>
      <x:c r="AK1415" s="12" t="str">
        <x:f>IF(AE1415="prepare_public_github_candidate","add receipt/status then mirror","resolve blocker before any public GitHub action")</x:f>
        <x:v>add receipt/status then mirror</x:v>
      </x:c>
    </x:row>
    <x:row r="1416">
      <x:c r="A1416" s="15" t="str">
        <x:v>SWARM-10-H10-S11</x:v>
      </x:c>
      <x:c r="B1416" s="15" t="str">
        <x:v>GitShelf</x:v>
      </x:c>
      <x:c r="C1416" s="15" t="str">
        <x:v>GitHub shelf builder</x:v>
      </x:c>
      <x:c r="D1416" s="15" t="str">
        <x:v>GitHub Source Packets</x:v>
      </x:c>
      <x:c r="E1416" s="15" t="str">
        <x:v>Automation</x:v>
      </x:c>
      <x:c r="F1416" s="15" t="str">
        <x:v>Build source packet for Automation — GitShelf</x:v>
      </x:c>
      <x:c r="G1416" s="15" t="str">
        <x:v>repo packet / manifest / issue template prep</x:v>
      </x:c>
      <x:c r="H1416" s="15" t="str">
        <x:v>source path + receipt + raw/export status + claim/edge/risk delta</x:v>
      </x:c>
      <x:c r="I1416" s="15" t="str">
        <x:v>packet/SWARM-10-H10-S11</x:v>
      </x:c>
      <x:c r="J1416" s="15" t="str">
        <x:v>TODO</x:v>
      </x:c>
      <x:c r="K1416" s="15" t="str">
        <x:v>P2</x:v>
      </x:c>
      <x:c r="L1416" s="15" t="str">
        <x:v>Done only when evidence is logged, contradiction search is noted, and boundary stamp remains non-canon unless ratified</x:v>
      </x:c>
      <x:c r="M1416" s="15" t="str">
        <x:v>candidate / staging-only / not canon / not deployed / authority none</x:v>
      </x:c>
      <x:c r="N1416" s="15" t="str">
        <x:v>Dispatch to GitShelf: complete GitHub Source Packets x Automation; return deltas only, receipts required.</x:v>
      </x:c>
      <x:c r="O1416" s="15" t="str">
        <x:v>AF-KG-H10-S11</x:v>
      </x:c>
      <x:c r="P1416" s="15" t="str">
        <x:v>Unverified</x:v>
      </x:c>
      <x:c r="Q1416" s="15" t="str">
        <x:v>Not checked</x:v>
      </x:c>
      <x:c r="R1416" s="15" t="str"/>
      <x:c r="S1416" s="15" t="str"/>
      <x:c r="T1416" s="15" t="str">
        <x:v>Log first source path or blocker</x:v>
      </x:c>
      <x:c r="U1416" s="12" t="str">
        <x:f>IF(OR(P1416="Unverified",Q1416="Not checked"),"BLOCKED_PENDING_RECEIPT","READY_FOR_REVIEW")</x:f>
        <x:v>BLOCKED_PENDING_RECEIPT</x:v>
      </x:c>
      <x:c r="V1416" s="12" t="str">
        <x:f>IF(J1416="DONE","RETURNED",IF(U1416="BLOCKED_PENDING_RECEIPT","SOURCE_TOUCH_REQUIRED","IN_PROGRESS"))</x:f>
        <x:v>SOURCE_TOUCH_REQUIRED</x:v>
      </x:c>
      <x:c r="W1416" s="12" t="str">
        <x:f>IF(P1416="Unverified","missing_receipt","receipt_logged")</x:f>
        <x:v>missing_receipt</x:v>
      </x:c>
      <x:c r="X1416" s="12" t="str">
        <x:f>IF(Q1416="Not checked","raw_status_missing","raw_status_logged")</x:f>
        <x:v>raw_status_missing</x:v>
      </x:c>
      <x:c r="Y1416" s="12" t="str">
        <x:f>IF(U1416="BLOCKED_PENDING_RECEIPT","Log source path or blocker; do not promote","Route to review lane")</x:f>
        <x:v>Log source path or blocker; do not promote</x:v>
      </x:c>
      <x:c r="Z1416" s="12" t="str">
        <x:f>IF(K1416="P0","Primary seat + Hashlight/Lucerna","Seat lane")</x:f>
        <x:v>Seat lane</x:v>
      </x:c>
      <x:c r="AA1416" s="12" t="str">
        <x:f>IF(R1416="","no_claim_delta","claim_delta_present")</x:f>
        <x:v>no_claim_delta</x:v>
      </x:c>
      <x:c r="AB1416" s="12" t="str">
        <x:f>IF(S1416="","no_contradiction_delta","contradiction_delta_present")</x:f>
        <x:v>no_contradiction_delta</x:v>
      </x:c>
      <x:c r="AC1416" s="12" t="str">
        <x:f>IF(OR(ISNUMBER(SEARCH("hacker",LOWER(F1416&amp;" "&amp;H1416&amp;" "&amp;I1416&amp;" "&amp;M1416&amp;" "&amp;N1416&amp;" "&amp;T1416))),ISNUMBER(SEARCH("hacking",LOWER(F1416&amp;" "&amp;H1416&amp;" "&amp;I1416&amp;" "&amp;M1416&amp;" "&amp;N1416&amp;" "&amp;T1416))),ISNUMBER(SEARCH("bank",LOWER(F1416&amp;" "&amp;H1416&amp;" "&amp;I1416&amp;" "&amp;M1416&amp;" "&amp;N1416&amp;" "&amp;T1416))),ISNUMBER(SEARCH("banking",LOWER(F1416&amp;" "&amp;H1416&amp;" "&amp;I1416&amp;" "&amp;M1416&amp;" "&amp;N1416&amp;" "&amp;T1416)))),"PRIVATE_QUARANTINE",IF(OR(ISNUMBER(SEARCH("treasury",LOWER(F1416&amp;" "&amp;H1416&amp;" "&amp;I1416&amp;" "&amp;M1416&amp;" "&amp;N1416&amp;" "&amp;T1416))),ISNUMBER(SEARCH("debt",LOWER(F1416&amp;" "&amp;H1416&amp;" "&amp;I1416&amp;" "&amp;M1416&amp;" "&amp;N1416&amp;" "&amp;T1416))),ISNUMBER(SEARCH("bond",LOWER(F1416&amp;" "&amp;H1416&amp;" "&amp;I1416&amp;" "&amp;M1416&amp;" "&amp;N1416&amp;" "&amp;T1416))),ISNUMBER(SEARCH("transaction",LOWER(F1416&amp;" "&amp;H1416&amp;" "&amp;I1416&amp;" "&amp;M1416&amp;" "&amp;N1416&amp;" "&amp;T1416)))),"PRIVATE_REVIEW","PUBLIC_CANDIDATE"))</x:f>
        <x:v>PUBLIC_CANDIDATE</x:v>
      </x:c>
      <x:c r="AD1416" s="12" t="str">
        <x:f>IF(AC1416="PRIVATE_QUARANTINE","hacker_or_bank_trigger",IF(AC1416="PRIVATE_REVIEW","finance_risk_trigger","none"))</x:f>
        <x:v>none</x:v>
      </x:c>
      <x:c r="AE1416" s="12" t="str">
        <x:f>IF(AC1416="PUBLIC_CANDIDATE","prepare_public_github_candidate",IF(AC1416="PRIVATE_REVIEW","hold_for_private_review","quarantine_private_do_not_publish"))</x:f>
        <x:v>prepare_public_github_candidate</x:v>
      </x:c>
      <x:c r="AF1416" s="12" t="str">
        <x:f>IF(AC1416="PUBLIC_CANDIDATE","TIDELOCK + Lucerna",IF(AC1416="PRIVATE_REVIEW","AtlasBrain + Lucerna","TIDELOCK + Lucerna + Human-root"))</x:f>
        <x:v>TIDELOCK + Lucerna</x:v>
      </x:c>
      <x:c r="AG1416" s="12" t="str">
        <x:f>IF(AND(AC1416="PUBLIC_CANDIDATE",U1416&lt;&gt;"BLOCKED_PENDING_RECEIPT"),"READY_AFTER_RECEIPT","NOT_READY")</x:f>
        <x:v>NOT_READY</x:v>
      </x:c>
      <x:c r="AH1416" s="12" t="str">
        <x:f>IF(AC1416="PUBLIC_CANDIDATE","none",AD1416)</x:f>
        <x:v>none</x:v>
      </x:c>
      <x:c r="AI1416" s="12" t="str">
        <x:f>IF(AC1416="PUBLIC_CANDIDATE","archive/public_candidates/"&amp;A1416,"private_quarantine/"&amp;A1416)</x:f>
        <x:v>archive/public_candidates/SWARM-10-H10-S11</x:v>
      </x:c>
      <x:c r="AJ1416" s="12" t="str">
        <x:f>IF(AC1416="PUBLIC_CANDIDATE","public by default; still not canon","private/hold; do not publish")</x:f>
        <x:v>public by default; still not canon</x:v>
      </x:c>
      <x:c r="AK1416" s="12" t="str">
        <x:f>IF(AE1416="prepare_public_github_candidate","add receipt/status then mirror","resolve blocker before any public GitHub action")</x:f>
        <x:v>add receipt/status then mirror</x:v>
      </x:c>
    </x:row>
    <x:row r="1417">
      <x:c r="A1417" s="15" t="str">
        <x:v>SWARM-10-H10-S12</x:v>
      </x:c>
      <x:c r="B1417" s="15" t="str">
        <x:v>GitShelf</x:v>
      </x:c>
      <x:c r="C1417" s="15" t="str">
        <x:v>GitHub shelf builder</x:v>
      </x:c>
      <x:c r="D1417" s="15" t="str">
        <x:v>GitHub Source Packets</x:v>
      </x:c>
      <x:c r="E1417" s="15" t="str">
        <x:v>Risk / Safety</x:v>
      </x:c>
      <x:c r="F1417" s="15" t="str">
        <x:v>Build source packet for Risk / Safety — GitShelf</x:v>
      </x:c>
      <x:c r="G1417" s="15" t="str">
        <x:v>repo packet / manifest / issue template prep</x:v>
      </x:c>
      <x:c r="H1417" s="15" t="str">
        <x:v>source path + receipt + raw/export status + claim/edge/risk delta</x:v>
      </x:c>
      <x:c r="I1417" s="15" t="str">
        <x:v>packet/SWARM-10-H10-S12</x:v>
      </x:c>
      <x:c r="J1417" s="15" t="str">
        <x:v>TODO</x:v>
      </x:c>
      <x:c r="K1417" s="15" t="str">
        <x:v>P2</x:v>
      </x:c>
      <x:c r="L1417" s="15" t="str">
        <x:v>Done only when evidence is logged, contradiction search is noted, and boundary stamp remains non-canon unless ratified</x:v>
      </x:c>
      <x:c r="M1417" s="15" t="str">
        <x:v>candidate / staging-only / not canon / not deployed / authority none</x:v>
      </x:c>
      <x:c r="N1417" s="15" t="str">
        <x:v>Dispatch to GitShelf: complete GitHub Source Packets x Risk / Safety; return deltas only, receipts required.</x:v>
      </x:c>
      <x:c r="O1417" s="15" t="str">
        <x:v>AF-KG-H10-S12</x:v>
      </x:c>
      <x:c r="P1417" s="15" t="str">
        <x:v>Unverified</x:v>
      </x:c>
      <x:c r="Q1417" s="15" t="str">
        <x:v>Not checked</x:v>
      </x:c>
      <x:c r="R1417" s="15" t="str"/>
      <x:c r="S1417" s="15" t="str"/>
      <x:c r="T1417" s="15" t="str">
        <x:v>Log first source path or blocker</x:v>
      </x:c>
      <x:c r="U1417" s="12" t="str">
        <x:f>IF(OR(P1417="Unverified",Q1417="Not checked"),"BLOCKED_PENDING_RECEIPT","READY_FOR_REVIEW")</x:f>
        <x:v>BLOCKED_PENDING_RECEIPT</x:v>
      </x:c>
      <x:c r="V1417" s="12" t="str">
        <x:f>IF(J1417="DONE","RETURNED",IF(U1417="BLOCKED_PENDING_RECEIPT","SOURCE_TOUCH_REQUIRED","IN_PROGRESS"))</x:f>
        <x:v>SOURCE_TOUCH_REQUIRED</x:v>
      </x:c>
      <x:c r="W1417" s="12" t="str">
        <x:f>IF(P1417="Unverified","missing_receipt","receipt_logged")</x:f>
        <x:v>missing_receipt</x:v>
      </x:c>
      <x:c r="X1417" s="12" t="str">
        <x:f>IF(Q1417="Not checked","raw_status_missing","raw_status_logged")</x:f>
        <x:v>raw_status_missing</x:v>
      </x:c>
      <x:c r="Y1417" s="12" t="str">
        <x:f>IF(U1417="BLOCKED_PENDING_RECEIPT","Log source path or blocker; do not promote","Route to review lane")</x:f>
        <x:v>Log source path or blocker; do not promote</x:v>
      </x:c>
      <x:c r="Z1417" s="12" t="str">
        <x:f>IF(K1417="P0","Primary seat + Hashlight/Lucerna","Seat lane")</x:f>
        <x:v>Seat lane</x:v>
      </x:c>
      <x:c r="AA1417" s="12" t="str">
        <x:f>IF(R1417="","no_claim_delta","claim_delta_present")</x:f>
        <x:v>no_claim_delta</x:v>
      </x:c>
      <x:c r="AB1417" s="12" t="str">
        <x:f>IF(S1417="","no_contradiction_delta","contradiction_delta_present")</x:f>
        <x:v>no_contradiction_delta</x:v>
      </x:c>
      <x:c r="AC1417" s="12" t="str">
        <x:f>IF(OR(ISNUMBER(SEARCH("hacker",LOWER(F1417&amp;" "&amp;H1417&amp;" "&amp;I1417&amp;" "&amp;M1417&amp;" "&amp;N1417&amp;" "&amp;T1417))),ISNUMBER(SEARCH("hacking",LOWER(F1417&amp;" "&amp;H1417&amp;" "&amp;I1417&amp;" "&amp;M1417&amp;" "&amp;N1417&amp;" "&amp;T1417))),ISNUMBER(SEARCH("bank",LOWER(F1417&amp;" "&amp;H1417&amp;" "&amp;I1417&amp;" "&amp;M1417&amp;" "&amp;N1417&amp;" "&amp;T1417))),ISNUMBER(SEARCH("banking",LOWER(F1417&amp;" "&amp;H1417&amp;" "&amp;I1417&amp;" "&amp;M1417&amp;" "&amp;N1417&amp;" "&amp;T1417)))),"PRIVATE_QUARANTINE",IF(OR(ISNUMBER(SEARCH("treasury",LOWER(F1417&amp;" "&amp;H1417&amp;" "&amp;I1417&amp;" "&amp;M1417&amp;" "&amp;N1417&amp;" "&amp;T1417))),ISNUMBER(SEARCH("debt",LOWER(F1417&amp;" "&amp;H1417&amp;" "&amp;I1417&amp;" "&amp;M1417&amp;" "&amp;N1417&amp;" "&amp;T1417))),ISNUMBER(SEARCH("bond",LOWER(F1417&amp;" "&amp;H1417&amp;" "&amp;I1417&amp;" "&amp;M1417&amp;" "&amp;N1417&amp;" "&amp;T1417))),ISNUMBER(SEARCH("transaction",LOWER(F1417&amp;" "&amp;H1417&amp;" "&amp;I1417&amp;" "&amp;M1417&amp;" "&amp;N1417&amp;" "&amp;T1417)))),"PRIVATE_REVIEW","PUBLIC_CANDIDATE"))</x:f>
        <x:v>PUBLIC_CANDIDATE</x:v>
      </x:c>
      <x:c r="AD1417" s="12" t="str">
        <x:f>IF(AC1417="PRIVATE_QUARANTINE","hacker_or_bank_trigger",IF(AC1417="PRIVATE_REVIEW","finance_risk_trigger","none"))</x:f>
        <x:v>none</x:v>
      </x:c>
      <x:c r="AE1417" s="12" t="str">
        <x:f>IF(AC1417="PUBLIC_CANDIDATE","prepare_public_github_candidate",IF(AC1417="PRIVATE_REVIEW","hold_for_private_review","quarantine_private_do_not_publish"))</x:f>
        <x:v>prepare_public_github_candidate</x:v>
      </x:c>
      <x:c r="AF1417" s="12" t="str">
        <x:f>IF(AC1417="PUBLIC_CANDIDATE","TIDELOCK + Lucerna",IF(AC1417="PRIVATE_REVIEW","AtlasBrain + Lucerna","TIDELOCK + Lucerna + Human-root"))</x:f>
        <x:v>TIDELOCK + Lucerna</x:v>
      </x:c>
      <x:c r="AG1417" s="12" t="str">
        <x:f>IF(AND(AC1417="PUBLIC_CANDIDATE",U1417&lt;&gt;"BLOCKED_PENDING_RECEIPT"),"READY_AFTER_RECEIPT","NOT_READY")</x:f>
        <x:v>NOT_READY</x:v>
      </x:c>
      <x:c r="AH1417" s="12" t="str">
        <x:f>IF(AC1417="PUBLIC_CANDIDATE","none",AD1417)</x:f>
        <x:v>none</x:v>
      </x:c>
      <x:c r="AI1417" s="12" t="str">
        <x:f>IF(AC1417="PUBLIC_CANDIDATE","archive/public_candidates/"&amp;A1417,"private_quarantine/"&amp;A1417)</x:f>
        <x:v>archive/public_candidates/SWARM-10-H10-S12</x:v>
      </x:c>
      <x:c r="AJ1417" s="12" t="str">
        <x:f>IF(AC1417="PUBLIC_CANDIDATE","public by default; still not canon","private/hold; do not publish")</x:f>
        <x:v>public by default; still not canon</x:v>
      </x:c>
      <x:c r="AK1417" s="12" t="str">
        <x:f>IF(AE1417="prepare_public_github_candidate","add receipt/status then mirror","resolve blocker before any public GitHub action")</x:f>
        <x:v>add receipt/status then mirror</x:v>
      </x:c>
    </x:row>
    <x:row r="1418">
      <x:c r="A1418" s="15" t="str">
        <x:v>SWARM-10-H11-S01</x:v>
      </x:c>
      <x:c r="B1418" s="15" t="str">
        <x:v>GitShelf</x:v>
      </x:c>
      <x:c r="C1418" s="15" t="str">
        <x:v>GitHub shelf builder</x:v>
      </x:c>
      <x:c r="D1418" s="15" t="str">
        <x:v>Aetherforge UX</x:v>
      </x:c>
      <x:c r="E1418" s="15" t="str">
        <x:v>Notion</x:v>
      </x:c>
      <x:c r="F1418" s="15" t="str">
        <x:v>Design quest card for Notion — GitShelf</x:v>
      </x:c>
      <x:c r="G1418" s="15" t="str">
        <x:v>repo packet / manifest / issue template prep</x:v>
      </x:c>
      <x:c r="H1418" s="15" t="str">
        <x:v>source path + receipt + raw/export status + claim/edge/risk delta</x:v>
      </x:c>
      <x:c r="I1418" s="15" t="str">
        <x:v>packet/SWARM-10-H11-S01</x:v>
      </x:c>
      <x:c r="J1418" s="15" t="str">
        <x:v>TODO</x:v>
      </x:c>
      <x:c r="K1418" s="15" t="str">
        <x:v>P0</x:v>
      </x:c>
      <x:c r="L1418" s="15" t="str">
        <x:v>Done only when evidence is logged, contradiction search is noted, and boundary stamp remains non-canon unless ratified</x:v>
      </x:c>
      <x:c r="M1418" s="15" t="str">
        <x:v>candidate / staging-only / not canon / not deployed / authority none</x:v>
      </x:c>
      <x:c r="N1418" s="15" t="str">
        <x:v>Dispatch to GitShelf: complete Aetherforge UX x Notion; return deltas only, receipts required.</x:v>
      </x:c>
      <x:c r="O1418" s="15" t="str">
        <x:v>AF-KG-H11-S01</x:v>
      </x:c>
      <x:c r="P1418" s="15" t="str">
        <x:v>Unverified</x:v>
      </x:c>
      <x:c r="Q1418" s="15" t="str">
        <x:v>Not checked</x:v>
      </x:c>
      <x:c r="R1418" s="15" t="str"/>
      <x:c r="S1418" s="15" t="str"/>
      <x:c r="T1418" s="15" t="str">
        <x:v>Log first source path or blocker</x:v>
      </x:c>
      <x:c r="U1418" s="12" t="str">
        <x:f>IF(OR(P1418="Unverified",Q1418="Not checked"),"BLOCKED_PENDING_RECEIPT","READY_FOR_REVIEW")</x:f>
        <x:v>BLOCKED_PENDING_RECEIPT</x:v>
      </x:c>
      <x:c r="V1418" s="12" t="str">
        <x:f>IF(J1418="DONE","RETURNED",IF(U1418="BLOCKED_PENDING_RECEIPT","SOURCE_TOUCH_REQUIRED","IN_PROGRESS"))</x:f>
        <x:v>SOURCE_TOUCH_REQUIRED</x:v>
      </x:c>
      <x:c r="W1418" s="12" t="str">
        <x:f>IF(P1418="Unverified","missing_receipt","receipt_logged")</x:f>
        <x:v>missing_receipt</x:v>
      </x:c>
      <x:c r="X1418" s="12" t="str">
        <x:f>IF(Q1418="Not checked","raw_status_missing","raw_status_logged")</x:f>
        <x:v>raw_status_missing</x:v>
      </x:c>
      <x:c r="Y1418" s="12" t="str">
        <x:f>IF(U1418="BLOCKED_PENDING_RECEIPT","Log source path or blocker; do not promote","Route to review lane")</x:f>
        <x:v>Log source path or blocker; do not promote</x:v>
      </x:c>
      <x:c r="Z1418" s="12" t="str">
        <x:f>IF(K1418="P0","Primary seat + Hashlight/Lucerna","Seat lane")</x:f>
        <x:v>Primary seat + Hashlight/Lucerna</x:v>
      </x:c>
      <x:c r="AA1418" s="12" t="str">
        <x:f>IF(R1418="","no_claim_delta","claim_delta_present")</x:f>
        <x:v>no_claim_delta</x:v>
      </x:c>
      <x:c r="AB1418" s="12" t="str">
        <x:f>IF(S1418="","no_contradiction_delta","contradiction_delta_present")</x:f>
        <x:v>no_contradiction_delta</x:v>
      </x:c>
      <x:c r="AC1418" s="12" t="str">
        <x:f>IF(OR(ISNUMBER(SEARCH("hacker",LOWER(F1418&amp;" "&amp;H1418&amp;" "&amp;I1418&amp;" "&amp;M1418&amp;" "&amp;N1418&amp;" "&amp;T1418))),ISNUMBER(SEARCH("hacking",LOWER(F1418&amp;" "&amp;H1418&amp;" "&amp;I1418&amp;" "&amp;M1418&amp;" "&amp;N1418&amp;" "&amp;T1418))),ISNUMBER(SEARCH("bank",LOWER(F1418&amp;" "&amp;H1418&amp;" "&amp;I1418&amp;" "&amp;M1418&amp;" "&amp;N1418&amp;" "&amp;T1418))),ISNUMBER(SEARCH("banking",LOWER(F1418&amp;" "&amp;H1418&amp;" "&amp;I1418&amp;" "&amp;M1418&amp;" "&amp;N1418&amp;" "&amp;T1418)))),"PRIVATE_QUARANTINE",IF(OR(ISNUMBER(SEARCH("treasury",LOWER(F1418&amp;" "&amp;H1418&amp;" "&amp;I1418&amp;" "&amp;M1418&amp;" "&amp;N1418&amp;" "&amp;T1418))),ISNUMBER(SEARCH("debt",LOWER(F1418&amp;" "&amp;H1418&amp;" "&amp;I1418&amp;" "&amp;M1418&amp;" "&amp;N1418&amp;" "&amp;T1418))),ISNUMBER(SEARCH("bond",LOWER(F1418&amp;" "&amp;H1418&amp;" "&amp;I1418&amp;" "&amp;M1418&amp;" "&amp;N1418&amp;" "&amp;T1418))),ISNUMBER(SEARCH("transaction",LOWER(F1418&amp;" "&amp;H1418&amp;" "&amp;I1418&amp;" "&amp;M1418&amp;" "&amp;N1418&amp;" "&amp;T1418)))),"PRIVATE_REVIEW","PUBLIC_CANDIDATE"))</x:f>
        <x:v>PUBLIC_CANDIDATE</x:v>
      </x:c>
      <x:c r="AD1418" s="12" t="str">
        <x:f>IF(AC1418="PRIVATE_QUARANTINE","hacker_or_bank_trigger",IF(AC1418="PRIVATE_REVIEW","finance_risk_trigger","none"))</x:f>
        <x:v>none</x:v>
      </x:c>
      <x:c r="AE1418" s="12" t="str">
        <x:f>IF(AC1418="PUBLIC_CANDIDATE","prepare_public_github_candidate",IF(AC1418="PRIVATE_REVIEW","hold_for_private_review","quarantine_private_do_not_publish"))</x:f>
        <x:v>prepare_public_github_candidate</x:v>
      </x:c>
      <x:c r="AF1418" s="12" t="str">
        <x:f>IF(AC1418="PUBLIC_CANDIDATE","TIDELOCK + Lucerna",IF(AC1418="PRIVATE_REVIEW","AtlasBrain + Lucerna","TIDELOCK + Lucerna + Human-root"))</x:f>
        <x:v>TIDELOCK + Lucerna</x:v>
      </x:c>
      <x:c r="AG1418" s="12" t="str">
        <x:f>IF(AND(AC1418="PUBLIC_CANDIDATE",U1418&lt;&gt;"BLOCKED_PENDING_RECEIPT"),"READY_AFTER_RECEIPT","NOT_READY")</x:f>
        <x:v>NOT_READY</x:v>
      </x:c>
      <x:c r="AH1418" s="12" t="str">
        <x:f>IF(AC1418="PUBLIC_CANDIDATE","none",AD1418)</x:f>
        <x:v>none</x:v>
      </x:c>
      <x:c r="AI1418" s="12" t="str">
        <x:f>IF(AC1418="PUBLIC_CANDIDATE","archive/public_candidates/"&amp;A1418,"private_quarantine/"&amp;A1418)</x:f>
        <x:v>archive/public_candidates/SWARM-10-H11-S01</x:v>
      </x:c>
      <x:c r="AJ1418" s="12" t="str">
        <x:f>IF(AC1418="PUBLIC_CANDIDATE","public by default; still not canon","private/hold; do not publish")</x:f>
        <x:v>public by default; still not canon</x:v>
      </x:c>
      <x:c r="AK1418" s="12" t="str">
        <x:f>IF(AE1418="prepare_public_github_candidate","add receipt/status then mirror","resolve blocker before any public GitHub action")</x:f>
        <x:v>add receipt/status then mirror</x:v>
      </x:c>
    </x:row>
    <x:row r="1419">
      <x:c r="A1419" s="15" t="str">
        <x:v>SWARM-10-H11-S02</x:v>
      </x:c>
      <x:c r="B1419" s="15" t="str">
        <x:v>GitShelf</x:v>
      </x:c>
      <x:c r="C1419" s="15" t="str">
        <x:v>GitHub shelf builder</x:v>
      </x:c>
      <x:c r="D1419" s="15" t="str">
        <x:v>Aetherforge UX</x:v>
      </x:c>
      <x:c r="E1419" s="15" t="str">
        <x:v>Drive</x:v>
      </x:c>
      <x:c r="F1419" s="15" t="str">
        <x:v>Design quest card for Drive — GitShelf</x:v>
      </x:c>
      <x:c r="G1419" s="15" t="str">
        <x:v>repo packet / manifest / issue template prep</x:v>
      </x:c>
      <x:c r="H1419" s="15" t="str">
        <x:v>source path + receipt + raw/export status + claim/edge/risk delta</x:v>
      </x:c>
      <x:c r="I1419" s="15" t="str">
        <x:v>packet/SWARM-10-H11-S02</x:v>
      </x:c>
      <x:c r="J1419" s="15" t="str">
        <x:v>TODO</x:v>
      </x:c>
      <x:c r="K1419" s="15" t="str">
        <x:v>P0</x:v>
      </x:c>
      <x:c r="L1419" s="15" t="str">
        <x:v>Done only when evidence is logged, contradiction search is noted, and boundary stamp remains non-canon unless ratified</x:v>
      </x:c>
      <x:c r="M1419" s="15" t="str">
        <x:v>candidate / staging-only / not canon / not deployed / authority none</x:v>
      </x:c>
      <x:c r="N1419" s="15" t="str">
        <x:v>Dispatch to GitShelf: complete Aetherforge UX x Drive; return deltas only, receipts required.</x:v>
      </x:c>
      <x:c r="O1419" s="15" t="str">
        <x:v>AF-KG-H11-S02</x:v>
      </x:c>
      <x:c r="P1419" s="15" t="str">
        <x:v>Unverified</x:v>
      </x:c>
      <x:c r="Q1419" s="15" t="str">
        <x:v>Not checked</x:v>
      </x:c>
      <x:c r="R1419" s="15" t="str"/>
      <x:c r="S1419" s="15" t="str"/>
      <x:c r="T1419" s="15" t="str">
        <x:v>Log first source path or blocker</x:v>
      </x:c>
      <x:c r="U1419" s="12" t="str">
        <x:f>IF(OR(P1419="Unverified",Q1419="Not checked"),"BLOCKED_PENDING_RECEIPT","READY_FOR_REVIEW")</x:f>
        <x:v>BLOCKED_PENDING_RECEIPT</x:v>
      </x:c>
      <x:c r="V1419" s="12" t="str">
        <x:f>IF(J1419="DONE","RETURNED",IF(U1419="BLOCKED_PENDING_RECEIPT","SOURCE_TOUCH_REQUIRED","IN_PROGRESS"))</x:f>
        <x:v>SOURCE_TOUCH_REQUIRED</x:v>
      </x:c>
      <x:c r="W1419" s="12" t="str">
        <x:f>IF(P1419="Unverified","missing_receipt","receipt_logged")</x:f>
        <x:v>missing_receipt</x:v>
      </x:c>
      <x:c r="X1419" s="12" t="str">
        <x:f>IF(Q1419="Not checked","raw_status_missing","raw_status_logged")</x:f>
        <x:v>raw_status_missing</x:v>
      </x:c>
      <x:c r="Y1419" s="12" t="str">
        <x:f>IF(U1419="BLOCKED_PENDING_RECEIPT","Log source path or blocker; do not promote","Route to review lane")</x:f>
        <x:v>Log source path or blocker; do not promote</x:v>
      </x:c>
      <x:c r="Z1419" s="12" t="str">
        <x:f>IF(K1419="P0","Primary seat + Hashlight/Lucerna","Seat lane")</x:f>
        <x:v>Primary seat + Hashlight/Lucerna</x:v>
      </x:c>
      <x:c r="AA1419" s="12" t="str">
        <x:f>IF(R1419="","no_claim_delta","claim_delta_present")</x:f>
        <x:v>no_claim_delta</x:v>
      </x:c>
      <x:c r="AB1419" s="12" t="str">
        <x:f>IF(S1419="","no_contradiction_delta","contradiction_delta_present")</x:f>
        <x:v>no_contradiction_delta</x:v>
      </x:c>
      <x:c r="AC1419" s="12" t="str">
        <x:f>IF(OR(ISNUMBER(SEARCH("hacker",LOWER(F1419&amp;" "&amp;H1419&amp;" "&amp;I1419&amp;" "&amp;M1419&amp;" "&amp;N1419&amp;" "&amp;T1419))),ISNUMBER(SEARCH("hacking",LOWER(F1419&amp;" "&amp;H1419&amp;" "&amp;I1419&amp;" "&amp;M1419&amp;" "&amp;N1419&amp;" "&amp;T1419))),ISNUMBER(SEARCH("bank",LOWER(F1419&amp;" "&amp;H1419&amp;" "&amp;I1419&amp;" "&amp;M1419&amp;" "&amp;N1419&amp;" "&amp;T1419))),ISNUMBER(SEARCH("banking",LOWER(F1419&amp;" "&amp;H1419&amp;" "&amp;I1419&amp;" "&amp;M1419&amp;" "&amp;N1419&amp;" "&amp;T1419)))),"PRIVATE_QUARANTINE",IF(OR(ISNUMBER(SEARCH("treasury",LOWER(F1419&amp;" "&amp;H1419&amp;" "&amp;I1419&amp;" "&amp;M1419&amp;" "&amp;N1419&amp;" "&amp;T1419))),ISNUMBER(SEARCH("debt",LOWER(F1419&amp;" "&amp;H1419&amp;" "&amp;I1419&amp;" "&amp;M1419&amp;" "&amp;N1419&amp;" "&amp;T1419))),ISNUMBER(SEARCH("bond",LOWER(F1419&amp;" "&amp;H1419&amp;" "&amp;I1419&amp;" "&amp;M1419&amp;" "&amp;N1419&amp;" "&amp;T1419))),ISNUMBER(SEARCH("transaction",LOWER(F1419&amp;" "&amp;H1419&amp;" "&amp;I1419&amp;" "&amp;M1419&amp;" "&amp;N1419&amp;" "&amp;T1419)))),"PRIVATE_REVIEW","PUBLIC_CANDIDATE"))</x:f>
        <x:v>PUBLIC_CANDIDATE</x:v>
      </x:c>
      <x:c r="AD1419" s="12" t="str">
        <x:f>IF(AC1419="PRIVATE_QUARANTINE","hacker_or_bank_trigger",IF(AC1419="PRIVATE_REVIEW","finance_risk_trigger","none"))</x:f>
        <x:v>none</x:v>
      </x:c>
      <x:c r="AE1419" s="12" t="str">
        <x:f>IF(AC1419="PUBLIC_CANDIDATE","prepare_public_github_candidate",IF(AC1419="PRIVATE_REVIEW","hold_for_private_review","quarantine_private_do_not_publish"))</x:f>
        <x:v>prepare_public_github_candidate</x:v>
      </x:c>
      <x:c r="AF1419" s="12" t="str">
        <x:f>IF(AC1419="PUBLIC_CANDIDATE","TIDELOCK + Lucerna",IF(AC1419="PRIVATE_REVIEW","AtlasBrain + Lucerna","TIDELOCK + Lucerna + Human-root"))</x:f>
        <x:v>TIDELOCK + Lucerna</x:v>
      </x:c>
      <x:c r="AG1419" s="12" t="str">
        <x:f>IF(AND(AC1419="PUBLIC_CANDIDATE",U1419&lt;&gt;"BLOCKED_PENDING_RECEIPT"),"READY_AFTER_RECEIPT","NOT_READY")</x:f>
        <x:v>NOT_READY</x:v>
      </x:c>
      <x:c r="AH1419" s="12" t="str">
        <x:f>IF(AC1419="PUBLIC_CANDIDATE","none",AD1419)</x:f>
        <x:v>none</x:v>
      </x:c>
      <x:c r="AI1419" s="12" t="str">
        <x:f>IF(AC1419="PUBLIC_CANDIDATE","archive/public_candidates/"&amp;A1419,"private_quarantine/"&amp;A1419)</x:f>
        <x:v>archive/public_candidates/SWARM-10-H11-S02</x:v>
      </x:c>
      <x:c r="AJ1419" s="12" t="str">
        <x:f>IF(AC1419="PUBLIC_CANDIDATE","public by default; still not canon","private/hold; do not publish")</x:f>
        <x:v>public by default; still not canon</x:v>
      </x:c>
      <x:c r="AK1419" s="12" t="str">
        <x:f>IF(AE1419="prepare_public_github_candidate","add receipt/status then mirror","resolve blocker before any public GitHub action")</x:f>
        <x:v>add receipt/status then mirror</x:v>
      </x:c>
    </x:row>
    <x:row r="1420">
      <x:c r="A1420" s="15" t="str">
        <x:v>SWARM-10-H11-S03</x:v>
      </x:c>
      <x:c r="B1420" s="15" t="str">
        <x:v>GitShelf</x:v>
      </x:c>
      <x:c r="C1420" s="15" t="str">
        <x:v>GitHub shelf builder</x:v>
      </x:c>
      <x:c r="D1420" s="15" t="str">
        <x:v>Aetherforge UX</x:v>
      </x:c>
      <x:c r="E1420" s="15" t="str">
        <x:v>GitHub</x:v>
      </x:c>
      <x:c r="F1420" s="15" t="str">
        <x:v>Design quest card for GitHub — GitShelf</x:v>
      </x:c>
      <x:c r="G1420" s="15" t="str">
        <x:v>repo packet / manifest / issue template prep</x:v>
      </x:c>
      <x:c r="H1420" s="15" t="str">
        <x:v>source path + receipt + raw/export status + claim/edge/risk delta</x:v>
      </x:c>
      <x:c r="I1420" s="15" t="str">
        <x:v>packet/SWARM-10-H11-S03</x:v>
      </x:c>
      <x:c r="J1420" s="15" t="str">
        <x:v>TODO</x:v>
      </x:c>
      <x:c r="K1420" s="15" t="str">
        <x:v>P0</x:v>
      </x:c>
      <x:c r="L1420" s="15" t="str">
        <x:v>Done only when evidence is logged, contradiction search is noted, and boundary stamp remains non-canon unless ratified</x:v>
      </x:c>
      <x:c r="M1420" s="15" t="str">
        <x:v>candidate / staging-only / not canon / not deployed / authority none</x:v>
      </x:c>
      <x:c r="N1420" s="15" t="str">
        <x:v>Dispatch to GitShelf: complete Aetherforge UX x GitHub; return deltas only, receipts required.</x:v>
      </x:c>
      <x:c r="O1420" s="15" t="str">
        <x:v>AF-KG-H11-S03</x:v>
      </x:c>
      <x:c r="P1420" s="15" t="str">
        <x:v>Unverified</x:v>
      </x:c>
      <x:c r="Q1420" s="15" t="str">
        <x:v>Not checked</x:v>
      </x:c>
      <x:c r="R1420" s="15" t="str"/>
      <x:c r="S1420" s="15" t="str"/>
      <x:c r="T1420" s="15" t="str">
        <x:v>Log first source path or blocker</x:v>
      </x:c>
      <x:c r="U1420" s="12" t="str">
        <x:f>IF(OR(P1420="Unverified",Q1420="Not checked"),"BLOCKED_PENDING_RECEIPT","READY_FOR_REVIEW")</x:f>
        <x:v>BLOCKED_PENDING_RECEIPT</x:v>
      </x:c>
      <x:c r="V1420" s="12" t="str">
        <x:f>IF(J1420="DONE","RETURNED",IF(U1420="BLOCKED_PENDING_RECEIPT","SOURCE_TOUCH_REQUIRED","IN_PROGRESS"))</x:f>
        <x:v>SOURCE_TOUCH_REQUIRED</x:v>
      </x:c>
      <x:c r="W1420" s="12" t="str">
        <x:f>IF(P1420="Unverified","missing_receipt","receipt_logged")</x:f>
        <x:v>missing_receipt</x:v>
      </x:c>
      <x:c r="X1420" s="12" t="str">
        <x:f>IF(Q1420="Not checked","raw_status_missing","raw_status_logged")</x:f>
        <x:v>raw_status_missing</x:v>
      </x:c>
      <x:c r="Y1420" s="12" t="str">
        <x:f>IF(U1420="BLOCKED_PENDING_RECEIPT","Log source path or blocker; do not promote","Route to review lane")</x:f>
        <x:v>Log source path or blocker; do not promote</x:v>
      </x:c>
      <x:c r="Z1420" s="12" t="str">
        <x:f>IF(K1420="P0","Primary seat + Hashlight/Lucerna","Seat lane")</x:f>
        <x:v>Primary seat + Hashlight/Lucerna</x:v>
      </x:c>
      <x:c r="AA1420" s="12" t="str">
        <x:f>IF(R1420="","no_claim_delta","claim_delta_present")</x:f>
        <x:v>no_claim_delta</x:v>
      </x:c>
      <x:c r="AB1420" s="12" t="str">
        <x:f>IF(S1420="","no_contradiction_delta","contradiction_delta_present")</x:f>
        <x:v>no_contradiction_delta</x:v>
      </x:c>
      <x:c r="AC1420" s="12" t="str">
        <x:f>IF(OR(ISNUMBER(SEARCH("hacker",LOWER(F1420&amp;" "&amp;H1420&amp;" "&amp;I1420&amp;" "&amp;M1420&amp;" "&amp;N1420&amp;" "&amp;T1420))),ISNUMBER(SEARCH("hacking",LOWER(F1420&amp;" "&amp;H1420&amp;" "&amp;I1420&amp;" "&amp;M1420&amp;" "&amp;N1420&amp;" "&amp;T1420))),ISNUMBER(SEARCH("bank",LOWER(F1420&amp;" "&amp;H1420&amp;" "&amp;I1420&amp;" "&amp;M1420&amp;" "&amp;N1420&amp;" "&amp;T1420))),ISNUMBER(SEARCH("banking",LOWER(F1420&amp;" "&amp;H1420&amp;" "&amp;I1420&amp;" "&amp;M1420&amp;" "&amp;N1420&amp;" "&amp;T1420)))),"PRIVATE_QUARANTINE",IF(OR(ISNUMBER(SEARCH("treasury",LOWER(F1420&amp;" "&amp;H1420&amp;" "&amp;I1420&amp;" "&amp;M1420&amp;" "&amp;N1420&amp;" "&amp;T1420))),ISNUMBER(SEARCH("debt",LOWER(F1420&amp;" "&amp;H1420&amp;" "&amp;I1420&amp;" "&amp;M1420&amp;" "&amp;N1420&amp;" "&amp;T1420))),ISNUMBER(SEARCH("bond",LOWER(F1420&amp;" "&amp;H1420&amp;" "&amp;I1420&amp;" "&amp;M1420&amp;" "&amp;N1420&amp;" "&amp;T1420))),ISNUMBER(SEARCH("transaction",LOWER(F1420&amp;" "&amp;H1420&amp;" "&amp;I1420&amp;" "&amp;M1420&amp;" "&amp;N1420&amp;" "&amp;T1420)))),"PRIVATE_REVIEW","PUBLIC_CANDIDATE"))</x:f>
        <x:v>PUBLIC_CANDIDATE</x:v>
      </x:c>
      <x:c r="AD1420" s="12" t="str">
        <x:f>IF(AC1420="PRIVATE_QUARANTINE","hacker_or_bank_trigger",IF(AC1420="PRIVATE_REVIEW","finance_risk_trigger","none"))</x:f>
        <x:v>none</x:v>
      </x:c>
      <x:c r="AE1420" s="12" t="str">
        <x:f>IF(AC1420="PUBLIC_CANDIDATE","prepare_public_github_candidate",IF(AC1420="PRIVATE_REVIEW","hold_for_private_review","quarantine_private_do_not_publish"))</x:f>
        <x:v>prepare_public_github_candidate</x:v>
      </x:c>
      <x:c r="AF1420" s="12" t="str">
        <x:f>IF(AC1420="PUBLIC_CANDIDATE","TIDELOCK + Lucerna",IF(AC1420="PRIVATE_REVIEW","AtlasBrain + Lucerna","TIDELOCK + Lucerna + Human-root"))</x:f>
        <x:v>TIDELOCK + Lucerna</x:v>
      </x:c>
      <x:c r="AG1420" s="12" t="str">
        <x:f>IF(AND(AC1420="PUBLIC_CANDIDATE",U1420&lt;&gt;"BLOCKED_PENDING_RECEIPT"),"READY_AFTER_RECEIPT","NOT_READY")</x:f>
        <x:v>NOT_READY</x:v>
      </x:c>
      <x:c r="AH1420" s="12" t="str">
        <x:f>IF(AC1420="PUBLIC_CANDIDATE","none",AD1420)</x:f>
        <x:v>none</x:v>
      </x:c>
      <x:c r="AI1420" s="12" t="str">
        <x:f>IF(AC1420="PUBLIC_CANDIDATE","archive/public_candidates/"&amp;A1420,"private_quarantine/"&amp;A1420)</x:f>
        <x:v>archive/public_candidates/SWARM-10-H11-S03</x:v>
      </x:c>
      <x:c r="AJ1420" s="12" t="str">
        <x:f>IF(AC1420="PUBLIC_CANDIDATE","public by default; still not canon","private/hold; do not publish")</x:f>
        <x:v>public by default; still not canon</x:v>
      </x:c>
      <x:c r="AK1420" s="12" t="str">
        <x:f>IF(AE1420="prepare_public_github_candidate","add receipt/status then mirror","resolve blocker before any public GitHub action")</x:f>
        <x:v>add receipt/status then mirror</x:v>
      </x:c>
    </x:row>
    <x:row r="1421">
      <x:c r="A1421" s="15" t="str">
        <x:v>SWARM-10-H11-S04</x:v>
      </x:c>
      <x:c r="B1421" s="15" t="str">
        <x:v>GitShelf</x:v>
      </x:c>
      <x:c r="C1421" s="15" t="str">
        <x:v>GitHub shelf builder</x:v>
      </x:c>
      <x:c r="D1421" s="15" t="str">
        <x:v>Aetherforge UX</x:v>
      </x:c>
      <x:c r="E1421" s="15" t="str">
        <x:v>Gamma</x:v>
      </x:c>
      <x:c r="F1421" s="15" t="str">
        <x:v>Design quest card for Gamma — GitShelf</x:v>
      </x:c>
      <x:c r="G1421" s="15" t="str">
        <x:v>repo packet / manifest / issue template prep</x:v>
      </x:c>
      <x:c r="H1421" s="15" t="str">
        <x:v>source path + receipt + raw/export status + claim/edge/risk delta</x:v>
      </x:c>
      <x:c r="I1421" s="15" t="str">
        <x:v>packet/SWARM-10-H11-S04</x:v>
      </x:c>
      <x:c r="J1421" s="15" t="str">
        <x:v>TODO</x:v>
      </x:c>
      <x:c r="K1421" s="15" t="str">
        <x:v>P1</x:v>
      </x:c>
      <x:c r="L1421" s="15" t="str">
        <x:v>Done only when evidence is logged, contradiction search is noted, and boundary stamp remains non-canon unless ratified</x:v>
      </x:c>
      <x:c r="M1421" s="15" t="str">
        <x:v>candidate / staging-only / not canon / not deployed / authority none</x:v>
      </x:c>
      <x:c r="N1421" s="15" t="str">
        <x:v>Dispatch to GitShelf: complete Aetherforge UX x Gamma; return deltas only, receipts required.</x:v>
      </x:c>
      <x:c r="O1421" s="15" t="str">
        <x:v>AF-KG-H11-S04</x:v>
      </x:c>
      <x:c r="P1421" s="15" t="str">
        <x:v>Unverified</x:v>
      </x:c>
      <x:c r="Q1421" s="15" t="str">
        <x:v>Not checked</x:v>
      </x:c>
      <x:c r="R1421" s="15" t="str"/>
      <x:c r="S1421" s="15" t="str"/>
      <x:c r="T1421" s="15" t="str">
        <x:v>Log first source path or blocker</x:v>
      </x:c>
      <x:c r="U1421" s="12" t="str">
        <x:f>IF(OR(P1421="Unverified",Q1421="Not checked"),"BLOCKED_PENDING_RECEIPT","READY_FOR_REVIEW")</x:f>
        <x:v>BLOCKED_PENDING_RECEIPT</x:v>
      </x:c>
      <x:c r="V1421" s="12" t="str">
        <x:f>IF(J1421="DONE","RETURNED",IF(U1421="BLOCKED_PENDING_RECEIPT","SOURCE_TOUCH_REQUIRED","IN_PROGRESS"))</x:f>
        <x:v>SOURCE_TOUCH_REQUIRED</x:v>
      </x:c>
      <x:c r="W1421" s="12" t="str">
        <x:f>IF(P1421="Unverified","missing_receipt","receipt_logged")</x:f>
        <x:v>missing_receipt</x:v>
      </x:c>
      <x:c r="X1421" s="12" t="str">
        <x:f>IF(Q1421="Not checked","raw_status_missing","raw_status_logged")</x:f>
        <x:v>raw_status_missing</x:v>
      </x:c>
      <x:c r="Y1421" s="12" t="str">
        <x:f>IF(U1421="BLOCKED_PENDING_RECEIPT","Log source path or blocker; do not promote","Route to review lane")</x:f>
        <x:v>Log source path or blocker; do not promote</x:v>
      </x:c>
      <x:c r="Z1421" s="12" t="str">
        <x:f>IF(K1421="P0","Primary seat + Hashlight/Lucerna","Seat lane")</x:f>
        <x:v>Seat lane</x:v>
      </x:c>
      <x:c r="AA1421" s="12" t="str">
        <x:f>IF(R1421="","no_claim_delta","claim_delta_present")</x:f>
        <x:v>no_claim_delta</x:v>
      </x:c>
      <x:c r="AB1421" s="12" t="str">
        <x:f>IF(S1421="","no_contradiction_delta","contradiction_delta_present")</x:f>
        <x:v>no_contradiction_delta</x:v>
      </x:c>
      <x:c r="AC1421" s="12" t="str">
        <x:f>IF(OR(ISNUMBER(SEARCH("hacker",LOWER(F1421&amp;" "&amp;H1421&amp;" "&amp;I1421&amp;" "&amp;M1421&amp;" "&amp;N1421&amp;" "&amp;T1421))),ISNUMBER(SEARCH("hacking",LOWER(F1421&amp;" "&amp;H1421&amp;" "&amp;I1421&amp;" "&amp;M1421&amp;" "&amp;N1421&amp;" "&amp;T1421))),ISNUMBER(SEARCH("bank",LOWER(F1421&amp;" "&amp;H1421&amp;" "&amp;I1421&amp;" "&amp;M1421&amp;" "&amp;N1421&amp;" "&amp;T1421))),ISNUMBER(SEARCH("banking",LOWER(F1421&amp;" "&amp;H1421&amp;" "&amp;I1421&amp;" "&amp;M1421&amp;" "&amp;N1421&amp;" "&amp;T1421)))),"PRIVATE_QUARANTINE",IF(OR(ISNUMBER(SEARCH("treasury",LOWER(F1421&amp;" "&amp;H1421&amp;" "&amp;I1421&amp;" "&amp;M1421&amp;" "&amp;N1421&amp;" "&amp;T1421))),ISNUMBER(SEARCH("debt",LOWER(F1421&amp;" "&amp;H1421&amp;" "&amp;I1421&amp;" "&amp;M1421&amp;" "&amp;N1421&amp;" "&amp;T1421))),ISNUMBER(SEARCH("bond",LOWER(F1421&amp;" "&amp;H1421&amp;" "&amp;I1421&amp;" "&amp;M1421&amp;" "&amp;N1421&amp;" "&amp;T1421))),ISNUMBER(SEARCH("transaction",LOWER(F1421&amp;" "&amp;H1421&amp;" "&amp;I1421&amp;" "&amp;M1421&amp;" "&amp;N1421&amp;" "&amp;T1421)))),"PRIVATE_REVIEW","PUBLIC_CANDIDATE"))</x:f>
        <x:v>PUBLIC_CANDIDATE</x:v>
      </x:c>
      <x:c r="AD1421" s="12" t="str">
        <x:f>IF(AC1421="PRIVATE_QUARANTINE","hacker_or_bank_trigger",IF(AC1421="PRIVATE_REVIEW","finance_risk_trigger","none"))</x:f>
        <x:v>none</x:v>
      </x:c>
      <x:c r="AE1421" s="12" t="str">
        <x:f>IF(AC1421="PUBLIC_CANDIDATE","prepare_public_github_candidate",IF(AC1421="PRIVATE_REVIEW","hold_for_private_review","quarantine_private_do_not_publish"))</x:f>
        <x:v>prepare_public_github_candidate</x:v>
      </x:c>
      <x:c r="AF1421" s="12" t="str">
        <x:f>IF(AC1421="PUBLIC_CANDIDATE","TIDELOCK + Lucerna",IF(AC1421="PRIVATE_REVIEW","AtlasBrain + Lucerna","TIDELOCK + Lucerna + Human-root"))</x:f>
        <x:v>TIDELOCK + Lucerna</x:v>
      </x:c>
      <x:c r="AG1421" s="12" t="str">
        <x:f>IF(AND(AC1421="PUBLIC_CANDIDATE",U1421&lt;&gt;"BLOCKED_PENDING_RECEIPT"),"READY_AFTER_RECEIPT","NOT_READY")</x:f>
        <x:v>NOT_READY</x:v>
      </x:c>
      <x:c r="AH1421" s="12" t="str">
        <x:f>IF(AC1421="PUBLIC_CANDIDATE","none",AD1421)</x:f>
        <x:v>none</x:v>
      </x:c>
      <x:c r="AI1421" s="12" t="str">
        <x:f>IF(AC1421="PUBLIC_CANDIDATE","archive/public_candidates/"&amp;A1421,"private_quarantine/"&amp;A1421)</x:f>
        <x:v>archive/public_candidates/SWARM-10-H11-S04</x:v>
      </x:c>
      <x:c r="AJ1421" s="12" t="str">
        <x:f>IF(AC1421="PUBLIC_CANDIDATE","public by default; still not canon","private/hold; do not publish")</x:f>
        <x:v>public by default; still not canon</x:v>
      </x:c>
      <x:c r="AK1421" s="12" t="str">
        <x:f>IF(AE1421="prepare_public_github_candidate","add receipt/status then mirror","resolve blocker before any public GitHub action")</x:f>
        <x:v>add receipt/status then mirror</x:v>
      </x:c>
    </x:row>
    <x:row r="1422">
      <x:c r="A1422" s="15" t="str">
        <x:v>SWARM-10-H11-S05</x:v>
      </x:c>
      <x:c r="B1422" s="15" t="str">
        <x:v>GitShelf</x:v>
      </x:c>
      <x:c r="C1422" s="15" t="str">
        <x:v>GitHub shelf builder</x:v>
      </x:c>
      <x:c r="D1422" s="15" t="str">
        <x:v>Aetherforge UX</x:v>
      </x:c>
      <x:c r="E1422" s="15" t="str">
        <x:v>Chat</x:v>
      </x:c>
      <x:c r="F1422" s="15" t="str">
        <x:v>Design quest card for Chat — GitShelf</x:v>
      </x:c>
      <x:c r="G1422" s="15" t="str">
        <x:v>repo packet / manifest / issue template prep</x:v>
      </x:c>
      <x:c r="H1422" s="15" t="str">
        <x:v>source path + receipt + raw/export status + claim/edge/risk delta</x:v>
      </x:c>
      <x:c r="I1422" s="15" t="str">
        <x:v>packet/SWARM-10-H11-S05</x:v>
      </x:c>
      <x:c r="J1422" s="15" t="str">
        <x:v>TODO</x:v>
      </x:c>
      <x:c r="K1422" s="15" t="str">
        <x:v>P1</x:v>
      </x:c>
      <x:c r="L1422" s="15" t="str">
        <x:v>Done only when evidence is logged, contradiction search is noted, and boundary stamp remains non-canon unless ratified</x:v>
      </x:c>
      <x:c r="M1422" s="15" t="str">
        <x:v>candidate / staging-only / not canon / not deployed / authority none</x:v>
      </x:c>
      <x:c r="N1422" s="15" t="str">
        <x:v>Dispatch to GitShelf: complete Aetherforge UX x Chat; return deltas only, receipts required.</x:v>
      </x:c>
      <x:c r="O1422" s="15" t="str">
        <x:v>AF-KG-H11-S05</x:v>
      </x:c>
      <x:c r="P1422" s="15" t="str">
        <x:v>Unverified</x:v>
      </x:c>
      <x:c r="Q1422" s="15" t="str">
        <x:v>Not checked</x:v>
      </x:c>
      <x:c r="R1422" s="15" t="str"/>
      <x:c r="S1422" s="15" t="str"/>
      <x:c r="T1422" s="15" t="str">
        <x:v>Log first source path or blocker</x:v>
      </x:c>
      <x:c r="U1422" s="12" t="str">
        <x:f>IF(OR(P1422="Unverified",Q1422="Not checked"),"BLOCKED_PENDING_RECEIPT","READY_FOR_REVIEW")</x:f>
        <x:v>BLOCKED_PENDING_RECEIPT</x:v>
      </x:c>
      <x:c r="V1422" s="12" t="str">
        <x:f>IF(J1422="DONE","RETURNED",IF(U1422="BLOCKED_PENDING_RECEIPT","SOURCE_TOUCH_REQUIRED","IN_PROGRESS"))</x:f>
        <x:v>SOURCE_TOUCH_REQUIRED</x:v>
      </x:c>
      <x:c r="W1422" s="12" t="str">
        <x:f>IF(P1422="Unverified","missing_receipt","receipt_logged")</x:f>
        <x:v>missing_receipt</x:v>
      </x:c>
      <x:c r="X1422" s="12" t="str">
        <x:f>IF(Q1422="Not checked","raw_status_missing","raw_status_logged")</x:f>
        <x:v>raw_status_missing</x:v>
      </x:c>
      <x:c r="Y1422" s="12" t="str">
        <x:f>IF(U1422="BLOCKED_PENDING_RECEIPT","Log source path or blocker; do not promote","Route to review lane")</x:f>
        <x:v>Log source path or blocker; do not promote</x:v>
      </x:c>
      <x:c r="Z1422" s="12" t="str">
        <x:f>IF(K1422="P0","Primary seat + Hashlight/Lucerna","Seat lane")</x:f>
        <x:v>Seat lane</x:v>
      </x:c>
      <x:c r="AA1422" s="12" t="str">
        <x:f>IF(R1422="","no_claim_delta","claim_delta_present")</x:f>
        <x:v>no_claim_delta</x:v>
      </x:c>
      <x:c r="AB1422" s="12" t="str">
        <x:f>IF(S1422="","no_contradiction_delta","contradiction_delta_present")</x:f>
        <x:v>no_contradiction_delta</x:v>
      </x:c>
      <x:c r="AC1422" s="12" t="str">
        <x:f>IF(OR(ISNUMBER(SEARCH("hacker",LOWER(F1422&amp;" "&amp;H1422&amp;" "&amp;I1422&amp;" "&amp;M1422&amp;" "&amp;N1422&amp;" "&amp;T1422))),ISNUMBER(SEARCH("hacking",LOWER(F1422&amp;" "&amp;H1422&amp;" "&amp;I1422&amp;" "&amp;M1422&amp;" "&amp;N1422&amp;" "&amp;T1422))),ISNUMBER(SEARCH("bank",LOWER(F1422&amp;" "&amp;H1422&amp;" "&amp;I1422&amp;" "&amp;M1422&amp;" "&amp;N1422&amp;" "&amp;T1422))),ISNUMBER(SEARCH("banking",LOWER(F1422&amp;" "&amp;H1422&amp;" "&amp;I1422&amp;" "&amp;M1422&amp;" "&amp;N1422&amp;" "&amp;T1422)))),"PRIVATE_QUARANTINE",IF(OR(ISNUMBER(SEARCH("treasury",LOWER(F1422&amp;" "&amp;H1422&amp;" "&amp;I1422&amp;" "&amp;M1422&amp;" "&amp;N1422&amp;" "&amp;T1422))),ISNUMBER(SEARCH("debt",LOWER(F1422&amp;" "&amp;H1422&amp;" "&amp;I1422&amp;" "&amp;M1422&amp;" "&amp;N1422&amp;" "&amp;T1422))),ISNUMBER(SEARCH("bond",LOWER(F1422&amp;" "&amp;H1422&amp;" "&amp;I1422&amp;" "&amp;M1422&amp;" "&amp;N1422&amp;" "&amp;T1422))),ISNUMBER(SEARCH("transaction",LOWER(F1422&amp;" "&amp;H1422&amp;" "&amp;I1422&amp;" "&amp;M1422&amp;" "&amp;N1422&amp;" "&amp;T1422)))),"PRIVATE_REVIEW","PUBLIC_CANDIDATE"))</x:f>
        <x:v>PUBLIC_CANDIDATE</x:v>
      </x:c>
      <x:c r="AD1422" s="12" t="str">
        <x:f>IF(AC1422="PRIVATE_QUARANTINE","hacker_or_bank_trigger",IF(AC1422="PRIVATE_REVIEW","finance_risk_trigger","none"))</x:f>
        <x:v>none</x:v>
      </x:c>
      <x:c r="AE1422" s="12" t="str">
        <x:f>IF(AC1422="PUBLIC_CANDIDATE","prepare_public_github_candidate",IF(AC1422="PRIVATE_REVIEW","hold_for_private_review","quarantine_private_do_not_publish"))</x:f>
        <x:v>prepare_public_github_candidate</x:v>
      </x:c>
      <x:c r="AF1422" s="12" t="str">
        <x:f>IF(AC1422="PUBLIC_CANDIDATE","TIDELOCK + Lucerna",IF(AC1422="PRIVATE_REVIEW","AtlasBrain + Lucerna","TIDELOCK + Lucerna + Human-root"))</x:f>
        <x:v>TIDELOCK + Lucerna</x:v>
      </x:c>
      <x:c r="AG1422" s="12" t="str">
        <x:f>IF(AND(AC1422="PUBLIC_CANDIDATE",U1422&lt;&gt;"BLOCKED_PENDING_RECEIPT"),"READY_AFTER_RECEIPT","NOT_READY")</x:f>
        <x:v>NOT_READY</x:v>
      </x:c>
      <x:c r="AH1422" s="12" t="str">
        <x:f>IF(AC1422="PUBLIC_CANDIDATE","none",AD1422)</x:f>
        <x:v>none</x:v>
      </x:c>
      <x:c r="AI1422" s="12" t="str">
        <x:f>IF(AC1422="PUBLIC_CANDIDATE","archive/public_candidates/"&amp;A1422,"private_quarantine/"&amp;A1422)</x:f>
        <x:v>archive/public_candidates/SWARM-10-H11-S05</x:v>
      </x:c>
      <x:c r="AJ1422" s="12" t="str">
        <x:f>IF(AC1422="PUBLIC_CANDIDATE","public by default; still not canon","private/hold; do not publish")</x:f>
        <x:v>public by default; still not canon</x:v>
      </x:c>
      <x:c r="AK1422" s="12" t="str">
        <x:f>IF(AE1422="prepare_public_github_candidate","add receipt/status then mirror","resolve blocker before any public GitHub action")</x:f>
        <x:v>add receipt/status then mirror</x:v>
      </x:c>
    </x:row>
    <x:row r="1423">
      <x:c r="A1423" s="15" t="str">
        <x:v>SWARM-10-H11-S06</x:v>
      </x:c>
      <x:c r="B1423" s="15" t="str">
        <x:v>GitShelf</x:v>
      </x:c>
      <x:c r="C1423" s="15" t="str">
        <x:v>GitHub shelf builder</x:v>
      </x:c>
      <x:c r="D1423" s="15" t="str">
        <x:v>Aetherforge UX</x:v>
      </x:c>
      <x:c r="E1423" s="15" t="str">
        <x:v>External Web</x:v>
      </x:c>
      <x:c r="F1423" s="15" t="str">
        <x:v>Design quest card for External Web — GitShelf</x:v>
      </x:c>
      <x:c r="G1423" s="15" t="str">
        <x:v>repo packet / manifest / issue template prep</x:v>
      </x:c>
      <x:c r="H1423" s="15" t="str">
        <x:v>source path + receipt + raw/export status + claim/edge/risk delta</x:v>
      </x:c>
      <x:c r="I1423" s="15" t="str">
        <x:v>packet/SWARM-10-H11-S06</x:v>
      </x:c>
      <x:c r="J1423" s="15" t="str">
        <x:v>TODO</x:v>
      </x:c>
      <x:c r="K1423" s="15" t="str">
        <x:v>P1</x:v>
      </x:c>
      <x:c r="L1423" s="15" t="str">
        <x:v>Done only when evidence is logged, contradiction search is noted, and boundary stamp remains non-canon unless ratified</x:v>
      </x:c>
      <x:c r="M1423" s="15" t="str">
        <x:v>candidate / staging-only / not canon / not deployed / authority none</x:v>
      </x:c>
      <x:c r="N1423" s="15" t="str">
        <x:v>Dispatch to GitShelf: complete Aetherforge UX x External Web; return deltas only, receipts required.</x:v>
      </x:c>
      <x:c r="O1423" s="15" t="str">
        <x:v>AF-KG-H11-S06</x:v>
      </x:c>
      <x:c r="P1423" s="15" t="str">
        <x:v>Unverified</x:v>
      </x:c>
      <x:c r="Q1423" s="15" t="str">
        <x:v>Not checked</x:v>
      </x:c>
      <x:c r="R1423" s="15" t="str"/>
      <x:c r="S1423" s="15" t="str"/>
      <x:c r="T1423" s="15" t="str">
        <x:v>Log first source path or blocker</x:v>
      </x:c>
      <x:c r="U1423" s="12" t="str">
        <x:f>IF(OR(P1423="Unverified",Q1423="Not checked"),"BLOCKED_PENDING_RECEIPT","READY_FOR_REVIEW")</x:f>
        <x:v>BLOCKED_PENDING_RECEIPT</x:v>
      </x:c>
      <x:c r="V1423" s="12" t="str">
        <x:f>IF(J1423="DONE","RETURNED",IF(U1423="BLOCKED_PENDING_RECEIPT","SOURCE_TOUCH_REQUIRED","IN_PROGRESS"))</x:f>
        <x:v>SOURCE_TOUCH_REQUIRED</x:v>
      </x:c>
      <x:c r="W1423" s="12" t="str">
        <x:f>IF(P1423="Unverified","missing_receipt","receipt_logged")</x:f>
        <x:v>missing_receipt</x:v>
      </x:c>
      <x:c r="X1423" s="12" t="str">
        <x:f>IF(Q1423="Not checked","raw_status_missing","raw_status_logged")</x:f>
        <x:v>raw_status_missing</x:v>
      </x:c>
      <x:c r="Y1423" s="12" t="str">
        <x:f>IF(U1423="BLOCKED_PENDING_RECEIPT","Log source path or blocker; do not promote","Route to review lane")</x:f>
        <x:v>Log source path or blocker; do not promote</x:v>
      </x:c>
      <x:c r="Z1423" s="12" t="str">
        <x:f>IF(K1423="P0","Primary seat + Hashlight/Lucerna","Seat lane")</x:f>
        <x:v>Seat lane</x:v>
      </x:c>
      <x:c r="AA1423" s="12" t="str">
        <x:f>IF(R1423="","no_claim_delta","claim_delta_present")</x:f>
        <x:v>no_claim_delta</x:v>
      </x:c>
      <x:c r="AB1423" s="12" t="str">
        <x:f>IF(S1423="","no_contradiction_delta","contradiction_delta_present")</x:f>
        <x:v>no_contradiction_delta</x:v>
      </x:c>
      <x:c r="AC1423" s="12" t="str">
        <x:f>IF(OR(ISNUMBER(SEARCH("hacker",LOWER(F1423&amp;" "&amp;H1423&amp;" "&amp;I1423&amp;" "&amp;M1423&amp;" "&amp;N1423&amp;" "&amp;T1423))),ISNUMBER(SEARCH("hacking",LOWER(F1423&amp;" "&amp;H1423&amp;" "&amp;I1423&amp;" "&amp;M1423&amp;" "&amp;N1423&amp;" "&amp;T1423))),ISNUMBER(SEARCH("bank",LOWER(F1423&amp;" "&amp;H1423&amp;" "&amp;I1423&amp;" "&amp;M1423&amp;" "&amp;N1423&amp;" "&amp;T1423))),ISNUMBER(SEARCH("banking",LOWER(F1423&amp;" "&amp;H1423&amp;" "&amp;I1423&amp;" "&amp;M1423&amp;" "&amp;N1423&amp;" "&amp;T1423)))),"PRIVATE_QUARANTINE",IF(OR(ISNUMBER(SEARCH("treasury",LOWER(F1423&amp;" "&amp;H1423&amp;" "&amp;I1423&amp;" "&amp;M1423&amp;" "&amp;N1423&amp;" "&amp;T1423))),ISNUMBER(SEARCH("debt",LOWER(F1423&amp;" "&amp;H1423&amp;" "&amp;I1423&amp;" "&amp;M1423&amp;" "&amp;N1423&amp;" "&amp;T1423))),ISNUMBER(SEARCH("bond",LOWER(F1423&amp;" "&amp;H1423&amp;" "&amp;I1423&amp;" "&amp;M1423&amp;" "&amp;N1423&amp;" "&amp;T1423))),ISNUMBER(SEARCH("transaction",LOWER(F1423&amp;" "&amp;H1423&amp;" "&amp;I1423&amp;" "&amp;M1423&amp;" "&amp;N1423&amp;" "&amp;T1423)))),"PRIVATE_REVIEW","PUBLIC_CANDIDATE"))</x:f>
        <x:v>PUBLIC_CANDIDATE</x:v>
      </x:c>
      <x:c r="AD1423" s="12" t="str">
        <x:f>IF(AC1423="PRIVATE_QUARANTINE","hacker_or_bank_trigger",IF(AC1423="PRIVATE_REVIEW","finance_risk_trigger","none"))</x:f>
        <x:v>none</x:v>
      </x:c>
      <x:c r="AE1423" s="12" t="str">
        <x:f>IF(AC1423="PUBLIC_CANDIDATE","prepare_public_github_candidate",IF(AC1423="PRIVATE_REVIEW","hold_for_private_review","quarantine_private_do_not_publish"))</x:f>
        <x:v>prepare_public_github_candidate</x:v>
      </x:c>
      <x:c r="AF1423" s="12" t="str">
        <x:f>IF(AC1423="PUBLIC_CANDIDATE","TIDELOCK + Lucerna",IF(AC1423="PRIVATE_REVIEW","AtlasBrain + Lucerna","TIDELOCK + Lucerna + Human-root"))</x:f>
        <x:v>TIDELOCK + Lucerna</x:v>
      </x:c>
      <x:c r="AG1423" s="12" t="str">
        <x:f>IF(AND(AC1423="PUBLIC_CANDIDATE",U1423&lt;&gt;"BLOCKED_PENDING_RECEIPT"),"READY_AFTER_RECEIPT","NOT_READY")</x:f>
        <x:v>NOT_READY</x:v>
      </x:c>
      <x:c r="AH1423" s="12" t="str">
        <x:f>IF(AC1423="PUBLIC_CANDIDATE","none",AD1423)</x:f>
        <x:v>none</x:v>
      </x:c>
      <x:c r="AI1423" s="12" t="str">
        <x:f>IF(AC1423="PUBLIC_CANDIDATE","archive/public_candidates/"&amp;A1423,"private_quarantine/"&amp;A1423)</x:f>
        <x:v>archive/public_candidates/SWARM-10-H11-S06</x:v>
      </x:c>
      <x:c r="AJ1423" s="12" t="str">
        <x:f>IF(AC1423="PUBLIC_CANDIDATE","public by default; still not canon","private/hold; do not publish")</x:f>
        <x:v>public by default; still not canon</x:v>
      </x:c>
      <x:c r="AK1423" s="12" t="str">
        <x:f>IF(AE1423="prepare_public_github_candidate","add receipt/status then mirror","resolve blocker before any public GitHub action")</x:f>
        <x:v>add receipt/status then mirror</x:v>
      </x:c>
    </x:row>
    <x:row r="1424">
      <x:c r="A1424" s="15" t="str">
        <x:v>SWARM-10-H11-S07</x:v>
      </x:c>
      <x:c r="B1424" s="15" t="str">
        <x:v>GitShelf</x:v>
      </x:c>
      <x:c r="C1424" s="15" t="str">
        <x:v>GitHub shelf builder</x:v>
      </x:c>
      <x:c r="D1424" s="15" t="str">
        <x:v>Aetherforge UX</x:v>
      </x:c>
      <x:c r="E1424" s="15" t="str">
        <x:v>Planetarium</x:v>
      </x:c>
      <x:c r="F1424" s="15" t="str">
        <x:v>Design quest card for Planetarium — GitShelf</x:v>
      </x:c>
      <x:c r="G1424" s="15" t="str">
        <x:v>repo packet / manifest / issue template prep</x:v>
      </x:c>
      <x:c r="H1424" s="15" t="str">
        <x:v>source path + receipt + raw/export status + claim/edge/risk delta</x:v>
      </x:c>
      <x:c r="I1424" s="15" t="str">
        <x:v>packet/SWARM-10-H11-S07</x:v>
      </x:c>
      <x:c r="J1424" s="15" t="str">
        <x:v>TODO</x:v>
      </x:c>
      <x:c r="K1424" s="15" t="str">
        <x:v>P1</x:v>
      </x:c>
      <x:c r="L1424" s="15" t="str">
        <x:v>Done only when evidence is logged, contradiction search is noted, and boundary stamp remains non-canon unless ratified</x:v>
      </x:c>
      <x:c r="M1424" s="15" t="str">
        <x:v>candidate / staging-only / not canon / not deployed / authority none</x:v>
      </x:c>
      <x:c r="N1424" s="15" t="str">
        <x:v>Dispatch to GitShelf: complete Aetherforge UX x Planetarium; return deltas only, receipts required.</x:v>
      </x:c>
      <x:c r="O1424" s="15" t="str">
        <x:v>AF-KG-H11-S07</x:v>
      </x:c>
      <x:c r="P1424" s="15" t="str">
        <x:v>Unverified</x:v>
      </x:c>
      <x:c r="Q1424" s="15" t="str">
        <x:v>Not checked</x:v>
      </x:c>
      <x:c r="R1424" s="15" t="str"/>
      <x:c r="S1424" s="15" t="str"/>
      <x:c r="T1424" s="15" t="str">
        <x:v>Log first source path or blocker</x:v>
      </x:c>
      <x:c r="U1424" s="12" t="str">
        <x:f>IF(OR(P1424="Unverified",Q1424="Not checked"),"BLOCKED_PENDING_RECEIPT","READY_FOR_REVIEW")</x:f>
        <x:v>BLOCKED_PENDING_RECEIPT</x:v>
      </x:c>
      <x:c r="V1424" s="12" t="str">
        <x:f>IF(J1424="DONE","RETURNED",IF(U1424="BLOCKED_PENDING_RECEIPT","SOURCE_TOUCH_REQUIRED","IN_PROGRESS"))</x:f>
        <x:v>SOURCE_TOUCH_REQUIRED</x:v>
      </x:c>
      <x:c r="W1424" s="12" t="str">
        <x:f>IF(P1424="Unverified","missing_receipt","receipt_logged")</x:f>
        <x:v>missing_receipt</x:v>
      </x:c>
      <x:c r="X1424" s="12" t="str">
        <x:f>IF(Q1424="Not checked","raw_status_missing","raw_status_logged")</x:f>
        <x:v>raw_status_missing</x:v>
      </x:c>
      <x:c r="Y1424" s="12" t="str">
        <x:f>IF(U1424="BLOCKED_PENDING_RECEIPT","Log source path or blocker; do not promote","Route to review lane")</x:f>
        <x:v>Log source path or blocker; do not promote</x:v>
      </x:c>
      <x:c r="Z1424" s="12" t="str">
        <x:f>IF(K1424="P0","Primary seat + Hashlight/Lucerna","Seat lane")</x:f>
        <x:v>Seat lane</x:v>
      </x:c>
      <x:c r="AA1424" s="12" t="str">
        <x:f>IF(R1424="","no_claim_delta","claim_delta_present")</x:f>
        <x:v>no_claim_delta</x:v>
      </x:c>
      <x:c r="AB1424" s="12" t="str">
        <x:f>IF(S1424="","no_contradiction_delta","contradiction_delta_present")</x:f>
        <x:v>no_contradiction_delta</x:v>
      </x:c>
      <x:c r="AC1424" s="12" t="str">
        <x:f>IF(OR(ISNUMBER(SEARCH("hacker",LOWER(F1424&amp;" "&amp;H1424&amp;" "&amp;I1424&amp;" "&amp;M1424&amp;" "&amp;N1424&amp;" "&amp;T1424))),ISNUMBER(SEARCH("hacking",LOWER(F1424&amp;" "&amp;H1424&amp;" "&amp;I1424&amp;" "&amp;M1424&amp;" "&amp;N1424&amp;" "&amp;T1424))),ISNUMBER(SEARCH("bank",LOWER(F1424&amp;" "&amp;H1424&amp;" "&amp;I1424&amp;" "&amp;M1424&amp;" "&amp;N1424&amp;" "&amp;T1424))),ISNUMBER(SEARCH("banking",LOWER(F1424&amp;" "&amp;H1424&amp;" "&amp;I1424&amp;" "&amp;M1424&amp;" "&amp;N1424&amp;" "&amp;T1424)))),"PRIVATE_QUARANTINE",IF(OR(ISNUMBER(SEARCH("treasury",LOWER(F1424&amp;" "&amp;H1424&amp;" "&amp;I1424&amp;" "&amp;M1424&amp;" "&amp;N1424&amp;" "&amp;T1424))),ISNUMBER(SEARCH("debt",LOWER(F1424&amp;" "&amp;H1424&amp;" "&amp;I1424&amp;" "&amp;M1424&amp;" "&amp;N1424&amp;" "&amp;T1424))),ISNUMBER(SEARCH("bond",LOWER(F1424&amp;" "&amp;H1424&amp;" "&amp;I1424&amp;" "&amp;M1424&amp;" "&amp;N1424&amp;" "&amp;T1424))),ISNUMBER(SEARCH("transaction",LOWER(F1424&amp;" "&amp;H1424&amp;" "&amp;I1424&amp;" "&amp;M1424&amp;" "&amp;N1424&amp;" "&amp;T1424)))),"PRIVATE_REVIEW","PUBLIC_CANDIDATE"))</x:f>
        <x:v>PUBLIC_CANDIDATE</x:v>
      </x:c>
      <x:c r="AD1424" s="12" t="str">
        <x:f>IF(AC1424="PRIVATE_QUARANTINE","hacker_or_bank_trigger",IF(AC1424="PRIVATE_REVIEW","finance_risk_trigger","none"))</x:f>
        <x:v>none</x:v>
      </x:c>
      <x:c r="AE1424" s="12" t="str">
        <x:f>IF(AC1424="PUBLIC_CANDIDATE","prepare_public_github_candidate",IF(AC1424="PRIVATE_REVIEW","hold_for_private_review","quarantine_private_do_not_publish"))</x:f>
        <x:v>prepare_public_github_candidate</x:v>
      </x:c>
      <x:c r="AF1424" s="12" t="str">
        <x:f>IF(AC1424="PUBLIC_CANDIDATE","TIDELOCK + Lucerna",IF(AC1424="PRIVATE_REVIEW","AtlasBrain + Lucerna","TIDELOCK + Lucerna + Human-root"))</x:f>
        <x:v>TIDELOCK + Lucerna</x:v>
      </x:c>
      <x:c r="AG1424" s="12" t="str">
        <x:f>IF(AND(AC1424="PUBLIC_CANDIDATE",U1424&lt;&gt;"BLOCKED_PENDING_RECEIPT"),"READY_AFTER_RECEIPT","NOT_READY")</x:f>
        <x:v>NOT_READY</x:v>
      </x:c>
      <x:c r="AH1424" s="12" t="str">
        <x:f>IF(AC1424="PUBLIC_CANDIDATE","none",AD1424)</x:f>
        <x:v>none</x:v>
      </x:c>
      <x:c r="AI1424" s="12" t="str">
        <x:f>IF(AC1424="PUBLIC_CANDIDATE","archive/public_candidates/"&amp;A1424,"private_quarantine/"&amp;A1424)</x:f>
        <x:v>archive/public_candidates/SWARM-10-H11-S07</x:v>
      </x:c>
      <x:c r="AJ1424" s="12" t="str">
        <x:f>IF(AC1424="PUBLIC_CANDIDATE","public by default; still not canon","private/hold; do not publish")</x:f>
        <x:v>public by default; still not canon</x:v>
      </x:c>
      <x:c r="AK1424" s="12" t="str">
        <x:f>IF(AE1424="prepare_public_github_candidate","add receipt/status then mirror","resolve blocker before any public GitHub action")</x:f>
        <x:v>add receipt/status then mirror</x:v>
      </x:c>
    </x:row>
    <x:row r="1425">
      <x:c r="A1425" s="15" t="str">
        <x:v>SWARM-10-H11-S08</x:v>
      </x:c>
      <x:c r="B1425" s="15" t="str">
        <x:v>GitShelf</x:v>
      </x:c>
      <x:c r="C1425" s="15" t="str">
        <x:v>GitHub shelf builder</x:v>
      </x:c>
      <x:c r="D1425" s="15" t="str">
        <x:v>Aetherforge UX</x:v>
      </x:c>
      <x:c r="E1425" s="15" t="str">
        <x:v>Sheldonbrain</x:v>
      </x:c>
      <x:c r="F1425" s="15" t="str">
        <x:v>Design quest card for Sheldonbrain — GitShelf</x:v>
      </x:c>
      <x:c r="G1425" s="15" t="str">
        <x:v>repo packet / manifest / issue template prep</x:v>
      </x:c>
      <x:c r="H1425" s="15" t="str">
        <x:v>source path + receipt + raw/export status + claim/edge/risk delta</x:v>
      </x:c>
      <x:c r="I1425" s="15" t="str">
        <x:v>packet/SWARM-10-H11-S08</x:v>
      </x:c>
      <x:c r="J1425" s="15" t="str">
        <x:v>TODO</x:v>
      </x:c>
      <x:c r="K1425" s="15" t="str">
        <x:v>P1</x:v>
      </x:c>
      <x:c r="L1425" s="15" t="str">
        <x:v>Done only when evidence is logged, contradiction search is noted, and boundary stamp remains non-canon unless ratified</x:v>
      </x:c>
      <x:c r="M1425" s="15" t="str">
        <x:v>candidate / staging-only / not canon / not deployed / authority none</x:v>
      </x:c>
      <x:c r="N1425" s="15" t="str">
        <x:v>Dispatch to GitShelf: complete Aetherforge UX x Sheldonbrain; return deltas only, receipts required.</x:v>
      </x:c>
      <x:c r="O1425" s="15" t="str">
        <x:v>AF-KG-H11-S08</x:v>
      </x:c>
      <x:c r="P1425" s="15" t="str">
        <x:v>Unverified</x:v>
      </x:c>
      <x:c r="Q1425" s="15" t="str">
        <x:v>Not checked</x:v>
      </x:c>
      <x:c r="R1425" s="15" t="str"/>
      <x:c r="S1425" s="15" t="str"/>
      <x:c r="T1425" s="15" t="str">
        <x:v>Log first source path or blocker</x:v>
      </x:c>
      <x:c r="U1425" s="12" t="str">
        <x:f>IF(OR(P1425="Unverified",Q1425="Not checked"),"BLOCKED_PENDING_RECEIPT","READY_FOR_REVIEW")</x:f>
        <x:v>BLOCKED_PENDING_RECEIPT</x:v>
      </x:c>
      <x:c r="V1425" s="12" t="str">
        <x:f>IF(J1425="DONE","RETURNED",IF(U1425="BLOCKED_PENDING_RECEIPT","SOURCE_TOUCH_REQUIRED","IN_PROGRESS"))</x:f>
        <x:v>SOURCE_TOUCH_REQUIRED</x:v>
      </x:c>
      <x:c r="W1425" s="12" t="str">
        <x:f>IF(P1425="Unverified","missing_receipt","receipt_logged")</x:f>
        <x:v>missing_receipt</x:v>
      </x:c>
      <x:c r="X1425" s="12" t="str">
        <x:f>IF(Q1425="Not checked","raw_status_missing","raw_status_logged")</x:f>
        <x:v>raw_status_missing</x:v>
      </x:c>
      <x:c r="Y1425" s="12" t="str">
        <x:f>IF(U1425="BLOCKED_PENDING_RECEIPT","Log source path or blocker; do not promote","Route to review lane")</x:f>
        <x:v>Log source path or blocker; do not promote</x:v>
      </x:c>
      <x:c r="Z1425" s="12" t="str">
        <x:f>IF(K1425="P0","Primary seat + Hashlight/Lucerna","Seat lane")</x:f>
        <x:v>Seat lane</x:v>
      </x:c>
      <x:c r="AA1425" s="12" t="str">
        <x:f>IF(R1425="","no_claim_delta","claim_delta_present")</x:f>
        <x:v>no_claim_delta</x:v>
      </x:c>
      <x:c r="AB1425" s="12" t="str">
        <x:f>IF(S1425="","no_contradiction_delta","contradiction_delta_present")</x:f>
        <x:v>no_contradiction_delta</x:v>
      </x:c>
      <x:c r="AC1425" s="12" t="str">
        <x:f>IF(OR(ISNUMBER(SEARCH("hacker",LOWER(F1425&amp;" "&amp;H1425&amp;" "&amp;I1425&amp;" "&amp;M1425&amp;" "&amp;N1425&amp;" "&amp;T1425))),ISNUMBER(SEARCH("hacking",LOWER(F1425&amp;" "&amp;H1425&amp;" "&amp;I1425&amp;" "&amp;M1425&amp;" "&amp;N1425&amp;" "&amp;T1425))),ISNUMBER(SEARCH("bank",LOWER(F1425&amp;" "&amp;H1425&amp;" "&amp;I1425&amp;" "&amp;M1425&amp;" "&amp;N1425&amp;" "&amp;T1425))),ISNUMBER(SEARCH("banking",LOWER(F1425&amp;" "&amp;H1425&amp;" "&amp;I1425&amp;" "&amp;M1425&amp;" "&amp;N1425&amp;" "&amp;T1425)))),"PRIVATE_QUARANTINE",IF(OR(ISNUMBER(SEARCH("treasury",LOWER(F1425&amp;" "&amp;H1425&amp;" "&amp;I1425&amp;" "&amp;M1425&amp;" "&amp;N1425&amp;" "&amp;T1425))),ISNUMBER(SEARCH("debt",LOWER(F1425&amp;" "&amp;H1425&amp;" "&amp;I1425&amp;" "&amp;M1425&amp;" "&amp;N1425&amp;" "&amp;T1425))),ISNUMBER(SEARCH("bond",LOWER(F1425&amp;" "&amp;H1425&amp;" "&amp;I1425&amp;" "&amp;M1425&amp;" "&amp;N1425&amp;" "&amp;T1425))),ISNUMBER(SEARCH("transaction",LOWER(F1425&amp;" "&amp;H1425&amp;" "&amp;I1425&amp;" "&amp;M1425&amp;" "&amp;N1425&amp;" "&amp;T1425)))),"PRIVATE_REVIEW","PUBLIC_CANDIDATE"))</x:f>
        <x:v>PUBLIC_CANDIDATE</x:v>
      </x:c>
      <x:c r="AD1425" s="12" t="str">
        <x:f>IF(AC1425="PRIVATE_QUARANTINE","hacker_or_bank_trigger",IF(AC1425="PRIVATE_REVIEW","finance_risk_trigger","none"))</x:f>
        <x:v>none</x:v>
      </x:c>
      <x:c r="AE1425" s="12" t="str">
        <x:f>IF(AC1425="PUBLIC_CANDIDATE","prepare_public_github_candidate",IF(AC1425="PRIVATE_REVIEW","hold_for_private_review","quarantine_private_do_not_publish"))</x:f>
        <x:v>prepare_public_github_candidate</x:v>
      </x:c>
      <x:c r="AF1425" s="12" t="str">
        <x:f>IF(AC1425="PUBLIC_CANDIDATE","TIDELOCK + Lucerna",IF(AC1425="PRIVATE_REVIEW","AtlasBrain + Lucerna","TIDELOCK + Lucerna + Human-root"))</x:f>
        <x:v>TIDELOCK + Lucerna</x:v>
      </x:c>
      <x:c r="AG1425" s="12" t="str">
        <x:f>IF(AND(AC1425="PUBLIC_CANDIDATE",U1425&lt;&gt;"BLOCKED_PENDING_RECEIPT"),"READY_AFTER_RECEIPT","NOT_READY")</x:f>
        <x:v>NOT_READY</x:v>
      </x:c>
      <x:c r="AH1425" s="12" t="str">
        <x:f>IF(AC1425="PUBLIC_CANDIDATE","none",AD1425)</x:f>
        <x:v>none</x:v>
      </x:c>
      <x:c r="AI1425" s="12" t="str">
        <x:f>IF(AC1425="PUBLIC_CANDIDATE","archive/public_candidates/"&amp;A1425,"private_quarantine/"&amp;A1425)</x:f>
        <x:v>archive/public_candidates/SWARM-10-H11-S08</x:v>
      </x:c>
      <x:c r="AJ1425" s="12" t="str">
        <x:f>IF(AC1425="PUBLIC_CANDIDATE","public by default; still not canon","private/hold; do not publish")</x:f>
        <x:v>public by default; still not canon</x:v>
      </x:c>
      <x:c r="AK1425" s="12" t="str">
        <x:f>IF(AE1425="prepare_public_github_candidate","add receipt/status then mirror","resolve blocker before any public GitHub action")</x:f>
        <x:v>add receipt/status then mirror</x:v>
      </x:c>
    </x:row>
    <x:row r="1426">
      <x:c r="A1426" s="15" t="str">
        <x:v>SWARM-10-H11-S09</x:v>
      </x:c>
      <x:c r="B1426" s="15" t="str">
        <x:v>GitShelf</x:v>
      </x:c>
      <x:c r="C1426" s="15" t="str">
        <x:v>GitHub shelf builder</x:v>
      </x:c>
      <x:c r="D1426" s="15" t="str">
        <x:v>Aetherforge UX</x:v>
      </x:c>
      <x:c r="E1426" s="15" t="str">
        <x:v>Aetherforge</x:v>
      </x:c>
      <x:c r="F1426" s="15" t="str">
        <x:v>Design quest card for Aetherforge — GitShelf</x:v>
      </x:c>
      <x:c r="G1426" s="15" t="str">
        <x:v>repo packet / manifest / issue template prep</x:v>
      </x:c>
      <x:c r="H1426" s="15" t="str">
        <x:v>source path + receipt + raw/export status + claim/edge/risk delta</x:v>
      </x:c>
      <x:c r="I1426" s="15" t="str">
        <x:v>packet/SWARM-10-H11-S09</x:v>
      </x:c>
      <x:c r="J1426" s="15" t="str">
        <x:v>TODO</x:v>
      </x:c>
      <x:c r="K1426" s="15" t="str">
        <x:v>P2</x:v>
      </x:c>
      <x:c r="L1426" s="15" t="str">
        <x:v>Done only when evidence is logged, contradiction search is noted, and boundary stamp remains non-canon unless ratified</x:v>
      </x:c>
      <x:c r="M1426" s="15" t="str">
        <x:v>candidate / staging-only / not canon / not deployed / authority none</x:v>
      </x:c>
      <x:c r="N1426" s="15" t="str">
        <x:v>Dispatch to GitShelf: complete Aetherforge UX x Aetherforge; return deltas only, receipts required.</x:v>
      </x:c>
      <x:c r="O1426" s="15" t="str">
        <x:v>AF-KG-H11-S09</x:v>
      </x:c>
      <x:c r="P1426" s="15" t="str">
        <x:v>Unverified</x:v>
      </x:c>
      <x:c r="Q1426" s="15" t="str">
        <x:v>Not checked</x:v>
      </x:c>
      <x:c r="R1426" s="15" t="str"/>
      <x:c r="S1426" s="15" t="str"/>
      <x:c r="T1426" s="15" t="str">
        <x:v>Log first source path or blocker</x:v>
      </x:c>
      <x:c r="U1426" s="12" t="str">
        <x:f>IF(OR(P1426="Unverified",Q1426="Not checked"),"BLOCKED_PENDING_RECEIPT","READY_FOR_REVIEW")</x:f>
        <x:v>BLOCKED_PENDING_RECEIPT</x:v>
      </x:c>
      <x:c r="V1426" s="12" t="str">
        <x:f>IF(J1426="DONE","RETURNED",IF(U1426="BLOCKED_PENDING_RECEIPT","SOURCE_TOUCH_REQUIRED","IN_PROGRESS"))</x:f>
        <x:v>SOURCE_TOUCH_REQUIRED</x:v>
      </x:c>
      <x:c r="W1426" s="12" t="str">
        <x:f>IF(P1426="Unverified","missing_receipt","receipt_logged")</x:f>
        <x:v>missing_receipt</x:v>
      </x:c>
      <x:c r="X1426" s="12" t="str">
        <x:f>IF(Q1426="Not checked","raw_status_missing","raw_status_logged")</x:f>
        <x:v>raw_status_missing</x:v>
      </x:c>
      <x:c r="Y1426" s="12" t="str">
        <x:f>IF(U1426="BLOCKED_PENDING_RECEIPT","Log source path or blocker; do not promote","Route to review lane")</x:f>
        <x:v>Log source path or blocker; do not promote</x:v>
      </x:c>
      <x:c r="Z1426" s="12" t="str">
        <x:f>IF(K1426="P0","Primary seat + Hashlight/Lucerna","Seat lane")</x:f>
        <x:v>Seat lane</x:v>
      </x:c>
      <x:c r="AA1426" s="12" t="str">
        <x:f>IF(R1426="","no_claim_delta","claim_delta_present")</x:f>
        <x:v>no_claim_delta</x:v>
      </x:c>
      <x:c r="AB1426" s="12" t="str">
        <x:f>IF(S1426="","no_contradiction_delta","contradiction_delta_present")</x:f>
        <x:v>no_contradiction_delta</x:v>
      </x:c>
      <x:c r="AC1426" s="12" t="str">
        <x:f>IF(OR(ISNUMBER(SEARCH("hacker",LOWER(F1426&amp;" "&amp;H1426&amp;" "&amp;I1426&amp;" "&amp;M1426&amp;" "&amp;N1426&amp;" "&amp;T1426))),ISNUMBER(SEARCH("hacking",LOWER(F1426&amp;" "&amp;H1426&amp;" "&amp;I1426&amp;" "&amp;M1426&amp;" "&amp;N1426&amp;" "&amp;T1426))),ISNUMBER(SEARCH("bank",LOWER(F1426&amp;" "&amp;H1426&amp;" "&amp;I1426&amp;" "&amp;M1426&amp;" "&amp;N1426&amp;" "&amp;T1426))),ISNUMBER(SEARCH("banking",LOWER(F1426&amp;" "&amp;H1426&amp;" "&amp;I1426&amp;" "&amp;M1426&amp;" "&amp;N1426&amp;" "&amp;T1426)))),"PRIVATE_QUARANTINE",IF(OR(ISNUMBER(SEARCH("treasury",LOWER(F1426&amp;" "&amp;H1426&amp;" "&amp;I1426&amp;" "&amp;M1426&amp;" "&amp;N1426&amp;" "&amp;T1426))),ISNUMBER(SEARCH("debt",LOWER(F1426&amp;" "&amp;H1426&amp;" "&amp;I1426&amp;" "&amp;M1426&amp;" "&amp;N1426&amp;" "&amp;T1426))),ISNUMBER(SEARCH("bond",LOWER(F1426&amp;" "&amp;H1426&amp;" "&amp;I1426&amp;" "&amp;M1426&amp;" "&amp;N1426&amp;" "&amp;T1426))),ISNUMBER(SEARCH("transaction",LOWER(F1426&amp;" "&amp;H1426&amp;" "&amp;I1426&amp;" "&amp;M1426&amp;" "&amp;N1426&amp;" "&amp;T1426)))),"PRIVATE_REVIEW","PUBLIC_CANDIDATE"))</x:f>
        <x:v>PUBLIC_CANDIDATE</x:v>
      </x:c>
      <x:c r="AD1426" s="12" t="str">
        <x:f>IF(AC1426="PRIVATE_QUARANTINE","hacker_or_bank_trigger",IF(AC1426="PRIVATE_REVIEW","finance_risk_trigger","none"))</x:f>
        <x:v>none</x:v>
      </x:c>
      <x:c r="AE1426" s="12" t="str">
        <x:f>IF(AC1426="PUBLIC_CANDIDATE","prepare_public_github_candidate",IF(AC1426="PRIVATE_REVIEW","hold_for_private_review","quarantine_private_do_not_publish"))</x:f>
        <x:v>prepare_public_github_candidate</x:v>
      </x:c>
      <x:c r="AF1426" s="12" t="str">
        <x:f>IF(AC1426="PUBLIC_CANDIDATE","TIDELOCK + Lucerna",IF(AC1426="PRIVATE_REVIEW","AtlasBrain + Lucerna","TIDELOCK + Lucerna + Human-root"))</x:f>
        <x:v>TIDELOCK + Lucerna</x:v>
      </x:c>
      <x:c r="AG1426" s="12" t="str">
        <x:f>IF(AND(AC1426="PUBLIC_CANDIDATE",U1426&lt;&gt;"BLOCKED_PENDING_RECEIPT"),"READY_AFTER_RECEIPT","NOT_READY")</x:f>
        <x:v>NOT_READY</x:v>
      </x:c>
      <x:c r="AH1426" s="12" t="str">
        <x:f>IF(AC1426="PUBLIC_CANDIDATE","none",AD1426)</x:f>
        <x:v>none</x:v>
      </x:c>
      <x:c r="AI1426" s="12" t="str">
        <x:f>IF(AC1426="PUBLIC_CANDIDATE","archive/public_candidates/"&amp;A1426,"private_quarantine/"&amp;A1426)</x:f>
        <x:v>archive/public_candidates/SWARM-10-H11-S09</x:v>
      </x:c>
      <x:c r="AJ1426" s="12" t="str">
        <x:f>IF(AC1426="PUBLIC_CANDIDATE","public by default; still not canon","private/hold; do not publish")</x:f>
        <x:v>public by default; still not canon</x:v>
      </x:c>
      <x:c r="AK1426" s="12" t="str">
        <x:f>IF(AE1426="prepare_public_github_candidate","add receipt/status then mirror","resolve blocker before any public GitHub action")</x:f>
        <x:v>add receipt/status then mirror</x:v>
      </x:c>
    </x:row>
    <x:row r="1427">
      <x:c r="A1427" s="15" t="str">
        <x:v>SWARM-10-H11-S10</x:v>
      </x:c>
      <x:c r="B1427" s="15" t="str">
        <x:v>GitShelf</x:v>
      </x:c>
      <x:c r="C1427" s="15" t="str">
        <x:v>GitHub shelf builder</x:v>
      </x:c>
      <x:c r="D1427" s="15" t="str">
        <x:v>Aetherforge UX</x:v>
      </x:c>
      <x:c r="E1427" s="15" t="str">
        <x:v>Human-Root</x:v>
      </x:c>
      <x:c r="F1427" s="15" t="str">
        <x:v>Design quest card for Human-Root — GitShelf</x:v>
      </x:c>
      <x:c r="G1427" s="15" t="str">
        <x:v>repo packet / manifest / issue template prep</x:v>
      </x:c>
      <x:c r="H1427" s="15" t="str">
        <x:v>source path + receipt + raw/export status + claim/edge/risk delta</x:v>
      </x:c>
      <x:c r="I1427" s="15" t="str">
        <x:v>packet/SWARM-10-H11-S10</x:v>
      </x:c>
      <x:c r="J1427" s="15" t="str">
        <x:v>TODO</x:v>
      </x:c>
      <x:c r="K1427" s="15" t="str">
        <x:v>P2</x:v>
      </x:c>
      <x:c r="L1427" s="15" t="str">
        <x:v>Done only when evidence is logged, contradiction search is noted, and boundary stamp remains non-canon unless ratified</x:v>
      </x:c>
      <x:c r="M1427" s="15" t="str">
        <x:v>candidate / staging-only / not canon / not deployed / authority none</x:v>
      </x:c>
      <x:c r="N1427" s="15" t="str">
        <x:v>Dispatch to GitShelf: complete Aetherforge UX x Human-Root; return deltas only, receipts required.</x:v>
      </x:c>
      <x:c r="O1427" s="15" t="str">
        <x:v>AF-KG-H11-S10</x:v>
      </x:c>
      <x:c r="P1427" s="15" t="str">
        <x:v>Unverified</x:v>
      </x:c>
      <x:c r="Q1427" s="15" t="str">
        <x:v>Not checked</x:v>
      </x:c>
      <x:c r="R1427" s="15" t="str"/>
      <x:c r="S1427" s="15" t="str"/>
      <x:c r="T1427" s="15" t="str">
        <x:v>Log first source path or blocker</x:v>
      </x:c>
      <x:c r="U1427" s="12" t="str">
        <x:f>IF(OR(P1427="Unverified",Q1427="Not checked"),"BLOCKED_PENDING_RECEIPT","READY_FOR_REVIEW")</x:f>
        <x:v>BLOCKED_PENDING_RECEIPT</x:v>
      </x:c>
      <x:c r="V1427" s="12" t="str">
        <x:f>IF(J1427="DONE","RETURNED",IF(U1427="BLOCKED_PENDING_RECEIPT","SOURCE_TOUCH_REQUIRED","IN_PROGRESS"))</x:f>
        <x:v>SOURCE_TOUCH_REQUIRED</x:v>
      </x:c>
      <x:c r="W1427" s="12" t="str">
        <x:f>IF(P1427="Unverified","missing_receipt","receipt_logged")</x:f>
        <x:v>missing_receipt</x:v>
      </x:c>
      <x:c r="X1427" s="12" t="str">
        <x:f>IF(Q1427="Not checked","raw_status_missing","raw_status_logged")</x:f>
        <x:v>raw_status_missing</x:v>
      </x:c>
      <x:c r="Y1427" s="12" t="str">
        <x:f>IF(U1427="BLOCKED_PENDING_RECEIPT","Log source path or blocker; do not promote","Route to review lane")</x:f>
        <x:v>Log source path or blocker; do not promote</x:v>
      </x:c>
      <x:c r="Z1427" s="12" t="str">
        <x:f>IF(K1427="P0","Primary seat + Hashlight/Lucerna","Seat lane")</x:f>
        <x:v>Seat lane</x:v>
      </x:c>
      <x:c r="AA1427" s="12" t="str">
        <x:f>IF(R1427="","no_claim_delta","claim_delta_present")</x:f>
        <x:v>no_claim_delta</x:v>
      </x:c>
      <x:c r="AB1427" s="12" t="str">
        <x:f>IF(S1427="","no_contradiction_delta","contradiction_delta_present")</x:f>
        <x:v>no_contradiction_delta</x:v>
      </x:c>
      <x:c r="AC1427" s="12" t="str">
        <x:f>IF(OR(ISNUMBER(SEARCH("hacker",LOWER(F1427&amp;" "&amp;H1427&amp;" "&amp;I1427&amp;" "&amp;M1427&amp;" "&amp;N1427&amp;" "&amp;T1427))),ISNUMBER(SEARCH("hacking",LOWER(F1427&amp;" "&amp;H1427&amp;" "&amp;I1427&amp;" "&amp;M1427&amp;" "&amp;N1427&amp;" "&amp;T1427))),ISNUMBER(SEARCH("bank",LOWER(F1427&amp;" "&amp;H1427&amp;" "&amp;I1427&amp;" "&amp;M1427&amp;" "&amp;N1427&amp;" "&amp;T1427))),ISNUMBER(SEARCH("banking",LOWER(F1427&amp;" "&amp;H1427&amp;" "&amp;I1427&amp;" "&amp;M1427&amp;" "&amp;N1427&amp;" "&amp;T1427)))),"PRIVATE_QUARANTINE",IF(OR(ISNUMBER(SEARCH("treasury",LOWER(F1427&amp;" "&amp;H1427&amp;" "&amp;I1427&amp;" "&amp;M1427&amp;" "&amp;N1427&amp;" "&amp;T1427))),ISNUMBER(SEARCH("debt",LOWER(F1427&amp;" "&amp;H1427&amp;" "&amp;I1427&amp;" "&amp;M1427&amp;" "&amp;N1427&amp;" "&amp;T1427))),ISNUMBER(SEARCH("bond",LOWER(F1427&amp;" "&amp;H1427&amp;" "&amp;I1427&amp;" "&amp;M1427&amp;" "&amp;N1427&amp;" "&amp;T1427))),ISNUMBER(SEARCH("transaction",LOWER(F1427&amp;" "&amp;H1427&amp;" "&amp;I1427&amp;" "&amp;M1427&amp;" "&amp;N1427&amp;" "&amp;T1427)))),"PRIVATE_REVIEW","PUBLIC_CANDIDATE"))</x:f>
        <x:v>PUBLIC_CANDIDATE</x:v>
      </x:c>
      <x:c r="AD1427" s="12" t="str">
        <x:f>IF(AC1427="PRIVATE_QUARANTINE","hacker_or_bank_trigger",IF(AC1427="PRIVATE_REVIEW","finance_risk_trigger","none"))</x:f>
        <x:v>none</x:v>
      </x:c>
      <x:c r="AE1427" s="12" t="str">
        <x:f>IF(AC1427="PUBLIC_CANDIDATE","prepare_public_github_candidate",IF(AC1427="PRIVATE_REVIEW","hold_for_private_review","quarantine_private_do_not_publish"))</x:f>
        <x:v>prepare_public_github_candidate</x:v>
      </x:c>
      <x:c r="AF1427" s="12" t="str">
        <x:f>IF(AC1427="PUBLIC_CANDIDATE","TIDELOCK + Lucerna",IF(AC1427="PRIVATE_REVIEW","AtlasBrain + Lucerna","TIDELOCK + Lucerna + Human-root"))</x:f>
        <x:v>TIDELOCK + Lucerna</x:v>
      </x:c>
      <x:c r="AG1427" s="12" t="str">
        <x:f>IF(AND(AC1427="PUBLIC_CANDIDATE",U1427&lt;&gt;"BLOCKED_PENDING_RECEIPT"),"READY_AFTER_RECEIPT","NOT_READY")</x:f>
        <x:v>NOT_READY</x:v>
      </x:c>
      <x:c r="AH1427" s="12" t="str">
        <x:f>IF(AC1427="PUBLIC_CANDIDATE","none",AD1427)</x:f>
        <x:v>none</x:v>
      </x:c>
      <x:c r="AI1427" s="12" t="str">
        <x:f>IF(AC1427="PUBLIC_CANDIDATE","archive/public_candidates/"&amp;A1427,"private_quarantine/"&amp;A1427)</x:f>
        <x:v>archive/public_candidates/SWARM-10-H11-S10</x:v>
      </x:c>
      <x:c r="AJ1427" s="12" t="str">
        <x:f>IF(AC1427="PUBLIC_CANDIDATE","public by default; still not canon","private/hold; do not publish")</x:f>
        <x:v>public by default; still not canon</x:v>
      </x:c>
      <x:c r="AK1427" s="12" t="str">
        <x:f>IF(AE1427="prepare_public_github_candidate","add receipt/status then mirror","resolve blocker before any public GitHub action")</x:f>
        <x:v>add receipt/status then mirror</x:v>
      </x:c>
    </x:row>
    <x:row r="1428">
      <x:c r="A1428" s="15" t="str">
        <x:v>SWARM-10-H11-S11</x:v>
      </x:c>
      <x:c r="B1428" s="15" t="str">
        <x:v>GitShelf</x:v>
      </x:c>
      <x:c r="C1428" s="15" t="str">
        <x:v>GitHub shelf builder</x:v>
      </x:c>
      <x:c r="D1428" s="15" t="str">
        <x:v>Aetherforge UX</x:v>
      </x:c>
      <x:c r="E1428" s="15" t="str">
        <x:v>Automation</x:v>
      </x:c>
      <x:c r="F1428" s="15" t="str">
        <x:v>Design quest card for Automation — GitShelf</x:v>
      </x:c>
      <x:c r="G1428" s="15" t="str">
        <x:v>repo packet / manifest / issue template prep</x:v>
      </x:c>
      <x:c r="H1428" s="15" t="str">
        <x:v>source path + receipt + raw/export status + claim/edge/risk delta</x:v>
      </x:c>
      <x:c r="I1428" s="15" t="str">
        <x:v>packet/SWARM-10-H11-S11</x:v>
      </x:c>
      <x:c r="J1428" s="15" t="str">
        <x:v>TODO</x:v>
      </x:c>
      <x:c r="K1428" s="15" t="str">
        <x:v>P2</x:v>
      </x:c>
      <x:c r="L1428" s="15" t="str">
        <x:v>Done only when evidence is logged, contradiction search is noted, and boundary stamp remains non-canon unless ratified</x:v>
      </x:c>
      <x:c r="M1428" s="15" t="str">
        <x:v>candidate / staging-only / not canon / not deployed / authority none</x:v>
      </x:c>
      <x:c r="N1428" s="15" t="str">
        <x:v>Dispatch to GitShelf: complete Aetherforge UX x Automation; return deltas only, receipts required.</x:v>
      </x:c>
      <x:c r="O1428" s="15" t="str">
        <x:v>AF-KG-H11-S11</x:v>
      </x:c>
      <x:c r="P1428" s="15" t="str">
        <x:v>Unverified</x:v>
      </x:c>
      <x:c r="Q1428" s="15" t="str">
        <x:v>Not checked</x:v>
      </x:c>
      <x:c r="R1428" s="15" t="str"/>
      <x:c r="S1428" s="15" t="str"/>
      <x:c r="T1428" s="15" t="str">
        <x:v>Log first source path or blocker</x:v>
      </x:c>
      <x:c r="U1428" s="12" t="str">
        <x:f>IF(OR(P1428="Unverified",Q1428="Not checked"),"BLOCKED_PENDING_RECEIPT","READY_FOR_REVIEW")</x:f>
        <x:v>BLOCKED_PENDING_RECEIPT</x:v>
      </x:c>
      <x:c r="V1428" s="12" t="str">
        <x:f>IF(J1428="DONE","RETURNED",IF(U1428="BLOCKED_PENDING_RECEIPT","SOURCE_TOUCH_REQUIRED","IN_PROGRESS"))</x:f>
        <x:v>SOURCE_TOUCH_REQUIRED</x:v>
      </x:c>
      <x:c r="W1428" s="12" t="str">
        <x:f>IF(P1428="Unverified","missing_receipt","receipt_logged")</x:f>
        <x:v>missing_receipt</x:v>
      </x:c>
      <x:c r="X1428" s="12" t="str">
        <x:f>IF(Q1428="Not checked","raw_status_missing","raw_status_logged")</x:f>
        <x:v>raw_status_missing</x:v>
      </x:c>
      <x:c r="Y1428" s="12" t="str">
        <x:f>IF(U1428="BLOCKED_PENDING_RECEIPT","Log source path or blocker; do not promote","Route to review lane")</x:f>
        <x:v>Log source path or blocker; do not promote</x:v>
      </x:c>
      <x:c r="Z1428" s="12" t="str">
        <x:f>IF(K1428="P0","Primary seat + Hashlight/Lucerna","Seat lane")</x:f>
        <x:v>Seat lane</x:v>
      </x:c>
      <x:c r="AA1428" s="12" t="str">
        <x:f>IF(R1428="","no_claim_delta","claim_delta_present")</x:f>
        <x:v>no_claim_delta</x:v>
      </x:c>
      <x:c r="AB1428" s="12" t="str">
        <x:f>IF(S1428="","no_contradiction_delta","contradiction_delta_present")</x:f>
        <x:v>no_contradiction_delta</x:v>
      </x:c>
      <x:c r="AC1428" s="12" t="str">
        <x:f>IF(OR(ISNUMBER(SEARCH("hacker",LOWER(F1428&amp;" "&amp;H1428&amp;" "&amp;I1428&amp;" "&amp;M1428&amp;" "&amp;N1428&amp;" "&amp;T1428))),ISNUMBER(SEARCH("hacking",LOWER(F1428&amp;" "&amp;H1428&amp;" "&amp;I1428&amp;" "&amp;M1428&amp;" "&amp;N1428&amp;" "&amp;T1428))),ISNUMBER(SEARCH("bank",LOWER(F1428&amp;" "&amp;H1428&amp;" "&amp;I1428&amp;" "&amp;M1428&amp;" "&amp;N1428&amp;" "&amp;T1428))),ISNUMBER(SEARCH("banking",LOWER(F1428&amp;" "&amp;H1428&amp;" "&amp;I1428&amp;" "&amp;M1428&amp;" "&amp;N1428&amp;" "&amp;T1428)))),"PRIVATE_QUARANTINE",IF(OR(ISNUMBER(SEARCH("treasury",LOWER(F1428&amp;" "&amp;H1428&amp;" "&amp;I1428&amp;" "&amp;M1428&amp;" "&amp;N1428&amp;" "&amp;T1428))),ISNUMBER(SEARCH("debt",LOWER(F1428&amp;" "&amp;H1428&amp;" "&amp;I1428&amp;" "&amp;M1428&amp;" "&amp;N1428&amp;" "&amp;T1428))),ISNUMBER(SEARCH("bond",LOWER(F1428&amp;" "&amp;H1428&amp;" "&amp;I1428&amp;" "&amp;M1428&amp;" "&amp;N1428&amp;" "&amp;T1428))),ISNUMBER(SEARCH("transaction",LOWER(F1428&amp;" "&amp;H1428&amp;" "&amp;I1428&amp;" "&amp;M1428&amp;" "&amp;N1428&amp;" "&amp;T1428)))),"PRIVATE_REVIEW","PUBLIC_CANDIDATE"))</x:f>
        <x:v>PUBLIC_CANDIDATE</x:v>
      </x:c>
      <x:c r="AD1428" s="12" t="str">
        <x:f>IF(AC1428="PRIVATE_QUARANTINE","hacker_or_bank_trigger",IF(AC1428="PRIVATE_REVIEW","finance_risk_trigger","none"))</x:f>
        <x:v>none</x:v>
      </x:c>
      <x:c r="AE1428" s="12" t="str">
        <x:f>IF(AC1428="PUBLIC_CANDIDATE","prepare_public_github_candidate",IF(AC1428="PRIVATE_REVIEW","hold_for_private_review","quarantine_private_do_not_publish"))</x:f>
        <x:v>prepare_public_github_candidate</x:v>
      </x:c>
      <x:c r="AF1428" s="12" t="str">
        <x:f>IF(AC1428="PUBLIC_CANDIDATE","TIDELOCK + Lucerna",IF(AC1428="PRIVATE_REVIEW","AtlasBrain + Lucerna","TIDELOCK + Lucerna + Human-root"))</x:f>
        <x:v>TIDELOCK + Lucerna</x:v>
      </x:c>
      <x:c r="AG1428" s="12" t="str">
        <x:f>IF(AND(AC1428="PUBLIC_CANDIDATE",U1428&lt;&gt;"BLOCKED_PENDING_RECEIPT"),"READY_AFTER_RECEIPT","NOT_READY")</x:f>
        <x:v>NOT_READY</x:v>
      </x:c>
      <x:c r="AH1428" s="12" t="str">
        <x:f>IF(AC1428="PUBLIC_CANDIDATE","none",AD1428)</x:f>
        <x:v>none</x:v>
      </x:c>
      <x:c r="AI1428" s="12" t="str">
        <x:f>IF(AC1428="PUBLIC_CANDIDATE","archive/public_candidates/"&amp;A1428,"private_quarantine/"&amp;A1428)</x:f>
        <x:v>archive/public_candidates/SWARM-10-H11-S11</x:v>
      </x:c>
      <x:c r="AJ1428" s="12" t="str">
        <x:f>IF(AC1428="PUBLIC_CANDIDATE","public by default; still not canon","private/hold; do not publish")</x:f>
        <x:v>public by default; still not canon</x:v>
      </x:c>
      <x:c r="AK1428" s="12" t="str">
        <x:f>IF(AE1428="prepare_public_github_candidate","add receipt/status then mirror","resolve blocker before any public GitHub action")</x:f>
        <x:v>add receipt/status then mirror</x:v>
      </x:c>
    </x:row>
    <x:row r="1429">
      <x:c r="A1429" s="15" t="str">
        <x:v>SWARM-10-H11-S12</x:v>
      </x:c>
      <x:c r="B1429" s="15" t="str">
        <x:v>GitShelf</x:v>
      </x:c>
      <x:c r="C1429" s="15" t="str">
        <x:v>GitHub shelf builder</x:v>
      </x:c>
      <x:c r="D1429" s="15" t="str">
        <x:v>Aetherforge UX</x:v>
      </x:c>
      <x:c r="E1429" s="15" t="str">
        <x:v>Risk / Safety</x:v>
      </x:c>
      <x:c r="F1429" s="15" t="str">
        <x:v>Design quest card for Risk / Safety — GitShelf</x:v>
      </x:c>
      <x:c r="G1429" s="15" t="str">
        <x:v>repo packet / manifest / issue template prep</x:v>
      </x:c>
      <x:c r="H1429" s="15" t="str">
        <x:v>source path + receipt + raw/export status + claim/edge/risk delta</x:v>
      </x:c>
      <x:c r="I1429" s="15" t="str">
        <x:v>packet/SWARM-10-H11-S12</x:v>
      </x:c>
      <x:c r="J1429" s="15" t="str">
        <x:v>TODO</x:v>
      </x:c>
      <x:c r="K1429" s="15" t="str">
        <x:v>P2</x:v>
      </x:c>
      <x:c r="L1429" s="15" t="str">
        <x:v>Done only when evidence is logged, contradiction search is noted, and boundary stamp remains non-canon unless ratified</x:v>
      </x:c>
      <x:c r="M1429" s="15" t="str">
        <x:v>candidate / staging-only / not canon / not deployed / authority none</x:v>
      </x:c>
      <x:c r="N1429" s="15" t="str">
        <x:v>Dispatch to GitShelf: complete Aetherforge UX x Risk / Safety; return deltas only, receipts required.</x:v>
      </x:c>
      <x:c r="O1429" s="15" t="str">
        <x:v>AF-KG-H11-S12</x:v>
      </x:c>
      <x:c r="P1429" s="15" t="str">
        <x:v>Unverified</x:v>
      </x:c>
      <x:c r="Q1429" s="15" t="str">
        <x:v>Not checked</x:v>
      </x:c>
      <x:c r="R1429" s="15" t="str"/>
      <x:c r="S1429" s="15" t="str"/>
      <x:c r="T1429" s="15" t="str">
        <x:v>Log first source path or blocker</x:v>
      </x:c>
      <x:c r="U1429" s="12" t="str">
        <x:f>IF(OR(P1429="Unverified",Q1429="Not checked"),"BLOCKED_PENDING_RECEIPT","READY_FOR_REVIEW")</x:f>
        <x:v>BLOCKED_PENDING_RECEIPT</x:v>
      </x:c>
      <x:c r="V1429" s="12" t="str">
        <x:f>IF(J1429="DONE","RETURNED",IF(U1429="BLOCKED_PENDING_RECEIPT","SOURCE_TOUCH_REQUIRED","IN_PROGRESS"))</x:f>
        <x:v>SOURCE_TOUCH_REQUIRED</x:v>
      </x:c>
      <x:c r="W1429" s="12" t="str">
        <x:f>IF(P1429="Unverified","missing_receipt","receipt_logged")</x:f>
        <x:v>missing_receipt</x:v>
      </x:c>
      <x:c r="X1429" s="12" t="str">
        <x:f>IF(Q1429="Not checked","raw_status_missing","raw_status_logged")</x:f>
        <x:v>raw_status_missing</x:v>
      </x:c>
      <x:c r="Y1429" s="12" t="str">
        <x:f>IF(U1429="BLOCKED_PENDING_RECEIPT","Log source path or blocker; do not promote","Route to review lane")</x:f>
        <x:v>Log source path or blocker; do not promote</x:v>
      </x:c>
      <x:c r="Z1429" s="12" t="str">
        <x:f>IF(K1429="P0","Primary seat + Hashlight/Lucerna","Seat lane")</x:f>
        <x:v>Seat lane</x:v>
      </x:c>
      <x:c r="AA1429" s="12" t="str">
        <x:f>IF(R1429="","no_claim_delta","claim_delta_present")</x:f>
        <x:v>no_claim_delta</x:v>
      </x:c>
      <x:c r="AB1429" s="12" t="str">
        <x:f>IF(S1429="","no_contradiction_delta","contradiction_delta_present")</x:f>
        <x:v>no_contradiction_delta</x:v>
      </x:c>
      <x:c r="AC1429" s="12" t="str">
        <x:f>IF(OR(ISNUMBER(SEARCH("hacker",LOWER(F1429&amp;" "&amp;H1429&amp;" "&amp;I1429&amp;" "&amp;M1429&amp;" "&amp;N1429&amp;" "&amp;T1429))),ISNUMBER(SEARCH("hacking",LOWER(F1429&amp;" "&amp;H1429&amp;" "&amp;I1429&amp;" "&amp;M1429&amp;" "&amp;N1429&amp;" "&amp;T1429))),ISNUMBER(SEARCH("bank",LOWER(F1429&amp;" "&amp;H1429&amp;" "&amp;I1429&amp;" "&amp;M1429&amp;" "&amp;N1429&amp;" "&amp;T1429))),ISNUMBER(SEARCH("banking",LOWER(F1429&amp;" "&amp;H1429&amp;" "&amp;I1429&amp;" "&amp;M1429&amp;" "&amp;N1429&amp;" "&amp;T1429)))),"PRIVATE_QUARANTINE",IF(OR(ISNUMBER(SEARCH("treasury",LOWER(F1429&amp;" "&amp;H1429&amp;" "&amp;I1429&amp;" "&amp;M1429&amp;" "&amp;N1429&amp;" "&amp;T1429))),ISNUMBER(SEARCH("debt",LOWER(F1429&amp;" "&amp;H1429&amp;" "&amp;I1429&amp;" "&amp;M1429&amp;" "&amp;N1429&amp;" "&amp;T1429))),ISNUMBER(SEARCH("bond",LOWER(F1429&amp;" "&amp;H1429&amp;" "&amp;I1429&amp;" "&amp;M1429&amp;" "&amp;N1429&amp;" "&amp;T1429))),ISNUMBER(SEARCH("transaction",LOWER(F1429&amp;" "&amp;H1429&amp;" "&amp;I1429&amp;" "&amp;M1429&amp;" "&amp;N1429&amp;" "&amp;T1429)))),"PRIVATE_REVIEW","PUBLIC_CANDIDATE"))</x:f>
        <x:v>PUBLIC_CANDIDATE</x:v>
      </x:c>
      <x:c r="AD1429" s="12" t="str">
        <x:f>IF(AC1429="PRIVATE_QUARANTINE","hacker_or_bank_trigger",IF(AC1429="PRIVATE_REVIEW","finance_risk_trigger","none"))</x:f>
        <x:v>none</x:v>
      </x:c>
      <x:c r="AE1429" s="12" t="str">
        <x:f>IF(AC1429="PUBLIC_CANDIDATE","prepare_public_github_candidate",IF(AC1429="PRIVATE_REVIEW","hold_for_private_review","quarantine_private_do_not_publish"))</x:f>
        <x:v>prepare_public_github_candidate</x:v>
      </x:c>
      <x:c r="AF1429" s="12" t="str">
        <x:f>IF(AC1429="PUBLIC_CANDIDATE","TIDELOCK + Lucerna",IF(AC1429="PRIVATE_REVIEW","AtlasBrain + Lucerna","TIDELOCK + Lucerna + Human-root"))</x:f>
        <x:v>TIDELOCK + Lucerna</x:v>
      </x:c>
      <x:c r="AG1429" s="12" t="str">
        <x:f>IF(AND(AC1429="PUBLIC_CANDIDATE",U1429&lt;&gt;"BLOCKED_PENDING_RECEIPT"),"READY_AFTER_RECEIPT","NOT_READY")</x:f>
        <x:v>NOT_READY</x:v>
      </x:c>
      <x:c r="AH1429" s="12" t="str">
        <x:f>IF(AC1429="PUBLIC_CANDIDATE","none",AD1429)</x:f>
        <x:v>none</x:v>
      </x:c>
      <x:c r="AI1429" s="12" t="str">
        <x:f>IF(AC1429="PUBLIC_CANDIDATE","archive/public_candidates/"&amp;A1429,"private_quarantine/"&amp;A1429)</x:f>
        <x:v>archive/public_candidates/SWARM-10-H11-S12</x:v>
      </x:c>
      <x:c r="AJ1429" s="12" t="str">
        <x:f>IF(AC1429="PUBLIC_CANDIDATE","public by default; still not canon","private/hold; do not publish")</x:f>
        <x:v>public by default; still not canon</x:v>
      </x:c>
      <x:c r="AK1429" s="12" t="str">
        <x:f>IF(AE1429="prepare_public_github_candidate","add receipt/status then mirror","resolve blocker before any public GitHub action")</x:f>
        <x:v>add receipt/status then mirror</x:v>
      </x:c>
    </x:row>
    <x:row r="1430">
      <x:c r="A1430" s="15" t="str">
        <x:v>SWARM-10-H12-S01</x:v>
      </x:c>
      <x:c r="B1430" s="15" t="str">
        <x:v>GitShelf</x:v>
      </x:c>
      <x:c r="C1430" s="15" t="str">
        <x:v>GitHub shelf builder</x:v>
      </x:c>
      <x:c r="D1430" s="15" t="str">
        <x:v>Canon-Gate Prep</x:v>
      </x:c>
      <x:c r="E1430" s="15" t="str">
        <x:v>Notion</x:v>
      </x:c>
      <x:c r="F1430" s="15" t="str">
        <x:v>Prepare canon-gate brief for Notion — GitShelf</x:v>
      </x:c>
      <x:c r="G1430" s="15" t="str">
        <x:v>repo packet / manifest / issue template prep</x:v>
      </x:c>
      <x:c r="H1430" s="15" t="str">
        <x:v>source path + receipt + raw/export status + claim/edge/risk delta</x:v>
      </x:c>
      <x:c r="I1430" s="15" t="str">
        <x:v>packet/SWARM-10-H12-S01</x:v>
      </x:c>
      <x:c r="J1430" s="15" t="str">
        <x:v>TODO</x:v>
      </x:c>
      <x:c r="K1430" s="15" t="str">
        <x:v>P0</x:v>
      </x:c>
      <x:c r="L1430" s="15" t="str">
        <x:v>Done only when evidence is logged, contradiction search is noted, and boundary stamp remains non-canon unless ratified</x:v>
      </x:c>
      <x:c r="M1430" s="15" t="str">
        <x:v>candidate / staging-only / not canon / not deployed / authority none</x:v>
      </x:c>
      <x:c r="N1430" s="15" t="str">
        <x:v>Dispatch to GitShelf: complete Canon-Gate Prep x Notion; return deltas only, receipts required.</x:v>
      </x:c>
      <x:c r="O1430" s="15" t="str">
        <x:v>AF-KG-H12-S01</x:v>
      </x:c>
      <x:c r="P1430" s="15" t="str">
        <x:v>Unverified</x:v>
      </x:c>
      <x:c r="Q1430" s="15" t="str">
        <x:v>Not checked</x:v>
      </x:c>
      <x:c r="R1430" s="15" t="str"/>
      <x:c r="S1430" s="15" t="str"/>
      <x:c r="T1430" s="15" t="str">
        <x:v>Log first source path or blocker</x:v>
      </x:c>
      <x:c r="U1430" s="12" t="str">
        <x:f>IF(OR(P1430="Unverified",Q1430="Not checked"),"BLOCKED_PENDING_RECEIPT","READY_FOR_REVIEW")</x:f>
        <x:v>BLOCKED_PENDING_RECEIPT</x:v>
      </x:c>
      <x:c r="V1430" s="12" t="str">
        <x:f>IF(J1430="DONE","RETURNED",IF(U1430="BLOCKED_PENDING_RECEIPT","SOURCE_TOUCH_REQUIRED","IN_PROGRESS"))</x:f>
        <x:v>SOURCE_TOUCH_REQUIRED</x:v>
      </x:c>
      <x:c r="W1430" s="12" t="str">
        <x:f>IF(P1430="Unverified","missing_receipt","receipt_logged")</x:f>
        <x:v>missing_receipt</x:v>
      </x:c>
      <x:c r="X1430" s="12" t="str">
        <x:f>IF(Q1430="Not checked","raw_status_missing","raw_status_logged")</x:f>
        <x:v>raw_status_missing</x:v>
      </x:c>
      <x:c r="Y1430" s="12" t="str">
        <x:f>IF(U1430="BLOCKED_PENDING_RECEIPT","Log source path or blocker; do not promote","Route to review lane")</x:f>
        <x:v>Log source path or blocker; do not promote</x:v>
      </x:c>
      <x:c r="Z1430" s="12" t="str">
        <x:f>IF(K1430="P0","Primary seat + Hashlight/Lucerna","Seat lane")</x:f>
        <x:v>Primary seat + Hashlight/Lucerna</x:v>
      </x:c>
      <x:c r="AA1430" s="12" t="str">
        <x:f>IF(R1430="","no_claim_delta","claim_delta_present")</x:f>
        <x:v>no_claim_delta</x:v>
      </x:c>
      <x:c r="AB1430" s="12" t="str">
        <x:f>IF(S1430="","no_contradiction_delta","contradiction_delta_present")</x:f>
        <x:v>no_contradiction_delta</x:v>
      </x:c>
      <x:c r="AC1430" s="12" t="str">
        <x:f>IF(OR(ISNUMBER(SEARCH("hacker",LOWER(F1430&amp;" "&amp;H1430&amp;" "&amp;I1430&amp;" "&amp;M1430&amp;" "&amp;N1430&amp;" "&amp;T1430))),ISNUMBER(SEARCH("hacking",LOWER(F1430&amp;" "&amp;H1430&amp;" "&amp;I1430&amp;" "&amp;M1430&amp;" "&amp;N1430&amp;" "&amp;T1430))),ISNUMBER(SEARCH("bank",LOWER(F1430&amp;" "&amp;H1430&amp;" "&amp;I1430&amp;" "&amp;M1430&amp;" "&amp;N1430&amp;" "&amp;T1430))),ISNUMBER(SEARCH("banking",LOWER(F1430&amp;" "&amp;H1430&amp;" "&amp;I1430&amp;" "&amp;M1430&amp;" "&amp;N1430&amp;" "&amp;T1430)))),"PRIVATE_QUARANTINE",IF(OR(ISNUMBER(SEARCH("treasury",LOWER(F1430&amp;" "&amp;H1430&amp;" "&amp;I1430&amp;" "&amp;M1430&amp;" "&amp;N1430&amp;" "&amp;T1430))),ISNUMBER(SEARCH("debt",LOWER(F1430&amp;" "&amp;H1430&amp;" "&amp;I1430&amp;" "&amp;M1430&amp;" "&amp;N1430&amp;" "&amp;T1430))),ISNUMBER(SEARCH("bond",LOWER(F1430&amp;" "&amp;H1430&amp;" "&amp;I1430&amp;" "&amp;M1430&amp;" "&amp;N1430&amp;" "&amp;T1430))),ISNUMBER(SEARCH("transaction",LOWER(F1430&amp;" "&amp;H1430&amp;" "&amp;I1430&amp;" "&amp;M1430&amp;" "&amp;N1430&amp;" "&amp;T1430)))),"PRIVATE_REVIEW","PUBLIC_CANDIDATE"))</x:f>
        <x:v>PUBLIC_CANDIDATE</x:v>
      </x:c>
      <x:c r="AD1430" s="12" t="str">
        <x:f>IF(AC1430="PRIVATE_QUARANTINE","hacker_or_bank_trigger",IF(AC1430="PRIVATE_REVIEW","finance_risk_trigger","none"))</x:f>
        <x:v>none</x:v>
      </x:c>
      <x:c r="AE1430" s="12" t="str">
        <x:f>IF(AC1430="PUBLIC_CANDIDATE","prepare_public_github_candidate",IF(AC1430="PRIVATE_REVIEW","hold_for_private_review","quarantine_private_do_not_publish"))</x:f>
        <x:v>prepare_public_github_candidate</x:v>
      </x:c>
      <x:c r="AF1430" s="12" t="str">
        <x:f>IF(AC1430="PUBLIC_CANDIDATE","TIDELOCK + Lucerna",IF(AC1430="PRIVATE_REVIEW","AtlasBrain + Lucerna","TIDELOCK + Lucerna + Human-root"))</x:f>
        <x:v>TIDELOCK + Lucerna</x:v>
      </x:c>
      <x:c r="AG1430" s="12" t="str">
        <x:f>IF(AND(AC1430="PUBLIC_CANDIDATE",U1430&lt;&gt;"BLOCKED_PENDING_RECEIPT"),"READY_AFTER_RECEIPT","NOT_READY")</x:f>
        <x:v>NOT_READY</x:v>
      </x:c>
      <x:c r="AH1430" s="12" t="str">
        <x:f>IF(AC1430="PUBLIC_CANDIDATE","none",AD1430)</x:f>
        <x:v>none</x:v>
      </x:c>
      <x:c r="AI1430" s="12" t="str">
        <x:f>IF(AC1430="PUBLIC_CANDIDATE","archive/public_candidates/"&amp;A1430,"private_quarantine/"&amp;A1430)</x:f>
        <x:v>archive/public_candidates/SWARM-10-H12-S01</x:v>
      </x:c>
      <x:c r="AJ1430" s="12" t="str">
        <x:f>IF(AC1430="PUBLIC_CANDIDATE","public by default; still not canon","private/hold; do not publish")</x:f>
        <x:v>public by default; still not canon</x:v>
      </x:c>
      <x:c r="AK1430" s="12" t="str">
        <x:f>IF(AE1430="prepare_public_github_candidate","add receipt/status then mirror","resolve blocker before any public GitHub action")</x:f>
        <x:v>add receipt/status then mirror</x:v>
      </x:c>
    </x:row>
    <x:row r="1431">
      <x:c r="A1431" s="15" t="str">
        <x:v>SWARM-10-H12-S02</x:v>
      </x:c>
      <x:c r="B1431" s="15" t="str">
        <x:v>GitShelf</x:v>
      </x:c>
      <x:c r="C1431" s="15" t="str">
        <x:v>GitHub shelf builder</x:v>
      </x:c>
      <x:c r="D1431" s="15" t="str">
        <x:v>Canon-Gate Prep</x:v>
      </x:c>
      <x:c r="E1431" s="15" t="str">
        <x:v>Drive</x:v>
      </x:c>
      <x:c r="F1431" s="15" t="str">
        <x:v>Prepare canon-gate brief for Drive — GitShelf</x:v>
      </x:c>
      <x:c r="G1431" s="15" t="str">
        <x:v>repo packet / manifest / issue template prep</x:v>
      </x:c>
      <x:c r="H1431" s="15" t="str">
        <x:v>source path + receipt + raw/export status + claim/edge/risk delta</x:v>
      </x:c>
      <x:c r="I1431" s="15" t="str">
        <x:v>packet/SWARM-10-H12-S02</x:v>
      </x:c>
      <x:c r="J1431" s="15" t="str">
        <x:v>TODO</x:v>
      </x:c>
      <x:c r="K1431" s="15" t="str">
        <x:v>P0</x:v>
      </x:c>
      <x:c r="L1431" s="15" t="str">
        <x:v>Done only when evidence is logged, contradiction search is noted, and boundary stamp remains non-canon unless ratified</x:v>
      </x:c>
      <x:c r="M1431" s="15" t="str">
        <x:v>candidate / staging-only / not canon / not deployed / authority none</x:v>
      </x:c>
      <x:c r="N1431" s="15" t="str">
        <x:v>Dispatch to GitShelf: complete Canon-Gate Prep x Drive; return deltas only, receipts required.</x:v>
      </x:c>
      <x:c r="O1431" s="15" t="str">
        <x:v>AF-KG-H12-S02</x:v>
      </x:c>
      <x:c r="P1431" s="15" t="str">
        <x:v>Unverified</x:v>
      </x:c>
      <x:c r="Q1431" s="15" t="str">
        <x:v>Not checked</x:v>
      </x:c>
      <x:c r="R1431" s="15" t="str"/>
      <x:c r="S1431" s="15" t="str"/>
      <x:c r="T1431" s="15" t="str">
        <x:v>Log first source path or blocker</x:v>
      </x:c>
      <x:c r="U1431" s="12" t="str">
        <x:f>IF(OR(P1431="Unverified",Q1431="Not checked"),"BLOCKED_PENDING_RECEIPT","READY_FOR_REVIEW")</x:f>
        <x:v>BLOCKED_PENDING_RECEIPT</x:v>
      </x:c>
      <x:c r="V1431" s="12" t="str">
        <x:f>IF(J1431="DONE","RETURNED",IF(U1431="BLOCKED_PENDING_RECEIPT","SOURCE_TOUCH_REQUIRED","IN_PROGRESS"))</x:f>
        <x:v>SOURCE_TOUCH_REQUIRED</x:v>
      </x:c>
      <x:c r="W1431" s="12" t="str">
        <x:f>IF(P1431="Unverified","missing_receipt","receipt_logged")</x:f>
        <x:v>missing_receipt</x:v>
      </x:c>
      <x:c r="X1431" s="12" t="str">
        <x:f>IF(Q1431="Not checked","raw_status_missing","raw_status_logged")</x:f>
        <x:v>raw_status_missing</x:v>
      </x:c>
      <x:c r="Y1431" s="12" t="str">
        <x:f>IF(U1431="BLOCKED_PENDING_RECEIPT","Log source path or blocker; do not promote","Route to review lane")</x:f>
        <x:v>Log source path or blocker; do not promote</x:v>
      </x:c>
      <x:c r="Z1431" s="12" t="str">
        <x:f>IF(K1431="P0","Primary seat + Hashlight/Lucerna","Seat lane")</x:f>
        <x:v>Primary seat + Hashlight/Lucerna</x:v>
      </x:c>
      <x:c r="AA1431" s="12" t="str">
        <x:f>IF(R1431="","no_claim_delta","claim_delta_present")</x:f>
        <x:v>no_claim_delta</x:v>
      </x:c>
      <x:c r="AB1431" s="12" t="str">
        <x:f>IF(S1431="","no_contradiction_delta","contradiction_delta_present")</x:f>
        <x:v>no_contradiction_delta</x:v>
      </x:c>
      <x:c r="AC1431" s="12" t="str">
        <x:f>IF(OR(ISNUMBER(SEARCH("hacker",LOWER(F1431&amp;" "&amp;H1431&amp;" "&amp;I1431&amp;" "&amp;M1431&amp;" "&amp;N1431&amp;" "&amp;T1431))),ISNUMBER(SEARCH("hacking",LOWER(F1431&amp;" "&amp;H1431&amp;" "&amp;I1431&amp;" "&amp;M1431&amp;" "&amp;N1431&amp;" "&amp;T1431))),ISNUMBER(SEARCH("bank",LOWER(F1431&amp;" "&amp;H1431&amp;" "&amp;I1431&amp;" "&amp;M1431&amp;" "&amp;N1431&amp;" "&amp;T1431))),ISNUMBER(SEARCH("banking",LOWER(F1431&amp;" "&amp;H1431&amp;" "&amp;I1431&amp;" "&amp;M1431&amp;" "&amp;N1431&amp;" "&amp;T1431)))),"PRIVATE_QUARANTINE",IF(OR(ISNUMBER(SEARCH("treasury",LOWER(F1431&amp;" "&amp;H1431&amp;" "&amp;I1431&amp;" "&amp;M1431&amp;" "&amp;N1431&amp;" "&amp;T1431))),ISNUMBER(SEARCH("debt",LOWER(F1431&amp;" "&amp;H1431&amp;" "&amp;I1431&amp;" "&amp;M1431&amp;" "&amp;N1431&amp;" "&amp;T1431))),ISNUMBER(SEARCH("bond",LOWER(F1431&amp;" "&amp;H1431&amp;" "&amp;I1431&amp;" "&amp;M1431&amp;" "&amp;N1431&amp;" "&amp;T1431))),ISNUMBER(SEARCH("transaction",LOWER(F1431&amp;" "&amp;H1431&amp;" "&amp;I1431&amp;" "&amp;M1431&amp;" "&amp;N1431&amp;" "&amp;T1431)))),"PRIVATE_REVIEW","PUBLIC_CANDIDATE"))</x:f>
        <x:v>PUBLIC_CANDIDATE</x:v>
      </x:c>
      <x:c r="AD1431" s="12" t="str">
        <x:f>IF(AC1431="PRIVATE_QUARANTINE","hacker_or_bank_trigger",IF(AC1431="PRIVATE_REVIEW","finance_risk_trigger","none"))</x:f>
        <x:v>none</x:v>
      </x:c>
      <x:c r="AE1431" s="12" t="str">
        <x:f>IF(AC1431="PUBLIC_CANDIDATE","prepare_public_github_candidate",IF(AC1431="PRIVATE_REVIEW","hold_for_private_review","quarantine_private_do_not_publish"))</x:f>
        <x:v>prepare_public_github_candidate</x:v>
      </x:c>
      <x:c r="AF1431" s="12" t="str">
        <x:f>IF(AC1431="PUBLIC_CANDIDATE","TIDELOCK + Lucerna",IF(AC1431="PRIVATE_REVIEW","AtlasBrain + Lucerna","TIDELOCK + Lucerna + Human-root"))</x:f>
        <x:v>TIDELOCK + Lucerna</x:v>
      </x:c>
      <x:c r="AG1431" s="12" t="str">
        <x:f>IF(AND(AC1431="PUBLIC_CANDIDATE",U1431&lt;&gt;"BLOCKED_PENDING_RECEIPT"),"READY_AFTER_RECEIPT","NOT_READY")</x:f>
        <x:v>NOT_READY</x:v>
      </x:c>
      <x:c r="AH1431" s="12" t="str">
        <x:f>IF(AC1431="PUBLIC_CANDIDATE","none",AD1431)</x:f>
        <x:v>none</x:v>
      </x:c>
      <x:c r="AI1431" s="12" t="str">
        <x:f>IF(AC1431="PUBLIC_CANDIDATE","archive/public_candidates/"&amp;A1431,"private_quarantine/"&amp;A1431)</x:f>
        <x:v>archive/public_candidates/SWARM-10-H12-S02</x:v>
      </x:c>
      <x:c r="AJ1431" s="12" t="str">
        <x:f>IF(AC1431="PUBLIC_CANDIDATE","public by default; still not canon","private/hold; do not publish")</x:f>
        <x:v>public by default; still not canon</x:v>
      </x:c>
      <x:c r="AK1431" s="12" t="str">
        <x:f>IF(AE1431="prepare_public_github_candidate","add receipt/status then mirror","resolve blocker before any public GitHub action")</x:f>
        <x:v>add receipt/status then mirror</x:v>
      </x:c>
    </x:row>
    <x:row r="1432">
      <x:c r="A1432" s="15" t="str">
        <x:v>SWARM-10-H12-S03</x:v>
      </x:c>
      <x:c r="B1432" s="15" t="str">
        <x:v>GitShelf</x:v>
      </x:c>
      <x:c r="C1432" s="15" t="str">
        <x:v>GitHub shelf builder</x:v>
      </x:c>
      <x:c r="D1432" s="15" t="str">
        <x:v>Canon-Gate Prep</x:v>
      </x:c>
      <x:c r="E1432" s="15" t="str">
        <x:v>GitHub</x:v>
      </x:c>
      <x:c r="F1432" s="15" t="str">
        <x:v>Prepare canon-gate brief for GitHub — GitShelf</x:v>
      </x:c>
      <x:c r="G1432" s="15" t="str">
        <x:v>repo packet / manifest / issue template prep</x:v>
      </x:c>
      <x:c r="H1432" s="15" t="str">
        <x:v>source path + receipt + raw/export status + claim/edge/risk delta</x:v>
      </x:c>
      <x:c r="I1432" s="15" t="str">
        <x:v>packet/SWARM-10-H12-S03</x:v>
      </x:c>
      <x:c r="J1432" s="15" t="str">
        <x:v>TODO</x:v>
      </x:c>
      <x:c r="K1432" s="15" t="str">
        <x:v>P0</x:v>
      </x:c>
      <x:c r="L1432" s="15" t="str">
        <x:v>Done only when evidence is logged, contradiction search is noted, and boundary stamp remains non-canon unless ratified</x:v>
      </x:c>
      <x:c r="M1432" s="15" t="str">
        <x:v>candidate / staging-only / not canon / not deployed / authority none</x:v>
      </x:c>
      <x:c r="N1432" s="15" t="str">
        <x:v>Dispatch to GitShelf: complete Canon-Gate Prep x GitHub; return deltas only, receipts required.</x:v>
      </x:c>
      <x:c r="O1432" s="15" t="str">
        <x:v>AF-KG-H12-S03</x:v>
      </x:c>
      <x:c r="P1432" s="15" t="str">
        <x:v>Unverified</x:v>
      </x:c>
      <x:c r="Q1432" s="15" t="str">
        <x:v>Not checked</x:v>
      </x:c>
      <x:c r="R1432" s="15" t="str"/>
      <x:c r="S1432" s="15" t="str"/>
      <x:c r="T1432" s="15" t="str">
        <x:v>Log first source path or blocker</x:v>
      </x:c>
      <x:c r="U1432" s="12" t="str">
        <x:f>IF(OR(P1432="Unverified",Q1432="Not checked"),"BLOCKED_PENDING_RECEIPT","READY_FOR_REVIEW")</x:f>
        <x:v>BLOCKED_PENDING_RECEIPT</x:v>
      </x:c>
      <x:c r="V1432" s="12" t="str">
        <x:f>IF(J1432="DONE","RETURNED",IF(U1432="BLOCKED_PENDING_RECEIPT","SOURCE_TOUCH_REQUIRED","IN_PROGRESS"))</x:f>
        <x:v>SOURCE_TOUCH_REQUIRED</x:v>
      </x:c>
      <x:c r="W1432" s="12" t="str">
        <x:f>IF(P1432="Unverified","missing_receipt","receipt_logged")</x:f>
        <x:v>missing_receipt</x:v>
      </x:c>
      <x:c r="X1432" s="12" t="str">
        <x:f>IF(Q1432="Not checked","raw_status_missing","raw_status_logged")</x:f>
        <x:v>raw_status_missing</x:v>
      </x:c>
      <x:c r="Y1432" s="12" t="str">
        <x:f>IF(U1432="BLOCKED_PENDING_RECEIPT","Log source path or blocker; do not promote","Route to review lane")</x:f>
        <x:v>Log source path or blocker; do not promote</x:v>
      </x:c>
      <x:c r="Z1432" s="12" t="str">
        <x:f>IF(K1432="P0","Primary seat + Hashlight/Lucerna","Seat lane")</x:f>
        <x:v>Primary seat + Hashlight/Lucerna</x:v>
      </x:c>
      <x:c r="AA1432" s="12" t="str">
        <x:f>IF(R1432="","no_claim_delta","claim_delta_present")</x:f>
        <x:v>no_claim_delta</x:v>
      </x:c>
      <x:c r="AB1432" s="12" t="str">
        <x:f>IF(S1432="","no_contradiction_delta","contradiction_delta_present")</x:f>
        <x:v>no_contradiction_delta</x:v>
      </x:c>
      <x:c r="AC1432" s="12" t="str">
        <x:f>IF(OR(ISNUMBER(SEARCH("hacker",LOWER(F1432&amp;" "&amp;H1432&amp;" "&amp;I1432&amp;" "&amp;M1432&amp;" "&amp;N1432&amp;" "&amp;T1432))),ISNUMBER(SEARCH("hacking",LOWER(F1432&amp;" "&amp;H1432&amp;" "&amp;I1432&amp;" "&amp;M1432&amp;" "&amp;N1432&amp;" "&amp;T1432))),ISNUMBER(SEARCH("bank",LOWER(F1432&amp;" "&amp;H1432&amp;" "&amp;I1432&amp;" "&amp;M1432&amp;" "&amp;N1432&amp;" "&amp;T1432))),ISNUMBER(SEARCH("banking",LOWER(F1432&amp;" "&amp;H1432&amp;" "&amp;I1432&amp;" "&amp;M1432&amp;" "&amp;N1432&amp;" "&amp;T1432)))),"PRIVATE_QUARANTINE",IF(OR(ISNUMBER(SEARCH("treasury",LOWER(F1432&amp;" "&amp;H1432&amp;" "&amp;I1432&amp;" "&amp;M1432&amp;" "&amp;N1432&amp;" "&amp;T1432))),ISNUMBER(SEARCH("debt",LOWER(F1432&amp;" "&amp;H1432&amp;" "&amp;I1432&amp;" "&amp;M1432&amp;" "&amp;N1432&amp;" "&amp;T1432))),ISNUMBER(SEARCH("bond",LOWER(F1432&amp;" "&amp;H1432&amp;" "&amp;I1432&amp;" "&amp;M1432&amp;" "&amp;N1432&amp;" "&amp;T1432))),ISNUMBER(SEARCH("transaction",LOWER(F1432&amp;" "&amp;H1432&amp;" "&amp;I1432&amp;" "&amp;M1432&amp;" "&amp;N1432&amp;" "&amp;T1432)))),"PRIVATE_REVIEW","PUBLIC_CANDIDATE"))</x:f>
        <x:v>PUBLIC_CANDIDATE</x:v>
      </x:c>
      <x:c r="AD1432" s="12" t="str">
        <x:f>IF(AC1432="PRIVATE_QUARANTINE","hacker_or_bank_trigger",IF(AC1432="PRIVATE_REVIEW","finance_risk_trigger","none"))</x:f>
        <x:v>none</x:v>
      </x:c>
      <x:c r="AE1432" s="12" t="str">
        <x:f>IF(AC1432="PUBLIC_CANDIDATE","prepare_public_github_candidate",IF(AC1432="PRIVATE_REVIEW","hold_for_private_review","quarantine_private_do_not_publish"))</x:f>
        <x:v>prepare_public_github_candidate</x:v>
      </x:c>
      <x:c r="AF1432" s="12" t="str">
        <x:f>IF(AC1432="PUBLIC_CANDIDATE","TIDELOCK + Lucerna",IF(AC1432="PRIVATE_REVIEW","AtlasBrain + Lucerna","TIDELOCK + Lucerna + Human-root"))</x:f>
        <x:v>TIDELOCK + Lucerna</x:v>
      </x:c>
      <x:c r="AG1432" s="12" t="str">
        <x:f>IF(AND(AC1432="PUBLIC_CANDIDATE",U1432&lt;&gt;"BLOCKED_PENDING_RECEIPT"),"READY_AFTER_RECEIPT","NOT_READY")</x:f>
        <x:v>NOT_READY</x:v>
      </x:c>
      <x:c r="AH1432" s="12" t="str">
        <x:f>IF(AC1432="PUBLIC_CANDIDATE","none",AD1432)</x:f>
        <x:v>none</x:v>
      </x:c>
      <x:c r="AI1432" s="12" t="str">
        <x:f>IF(AC1432="PUBLIC_CANDIDATE","archive/public_candidates/"&amp;A1432,"private_quarantine/"&amp;A1432)</x:f>
        <x:v>archive/public_candidates/SWARM-10-H12-S03</x:v>
      </x:c>
      <x:c r="AJ1432" s="12" t="str">
        <x:f>IF(AC1432="PUBLIC_CANDIDATE","public by default; still not canon","private/hold; do not publish")</x:f>
        <x:v>public by default; still not canon</x:v>
      </x:c>
      <x:c r="AK1432" s="12" t="str">
        <x:f>IF(AE1432="prepare_public_github_candidate","add receipt/status then mirror","resolve blocker before any public GitHub action")</x:f>
        <x:v>add receipt/status then mirror</x:v>
      </x:c>
    </x:row>
    <x:row r="1433">
      <x:c r="A1433" s="15" t="str">
        <x:v>SWARM-10-H12-S04</x:v>
      </x:c>
      <x:c r="B1433" s="15" t="str">
        <x:v>GitShelf</x:v>
      </x:c>
      <x:c r="C1433" s="15" t="str">
        <x:v>GitHub shelf builder</x:v>
      </x:c>
      <x:c r="D1433" s="15" t="str">
        <x:v>Canon-Gate Prep</x:v>
      </x:c>
      <x:c r="E1433" s="15" t="str">
        <x:v>Gamma</x:v>
      </x:c>
      <x:c r="F1433" s="15" t="str">
        <x:v>Prepare canon-gate brief for Gamma — GitShelf</x:v>
      </x:c>
      <x:c r="G1433" s="15" t="str">
        <x:v>repo packet / manifest / issue template prep</x:v>
      </x:c>
      <x:c r="H1433" s="15" t="str">
        <x:v>source path + receipt + raw/export status + claim/edge/risk delta</x:v>
      </x:c>
      <x:c r="I1433" s="15" t="str">
        <x:v>packet/SWARM-10-H12-S04</x:v>
      </x:c>
      <x:c r="J1433" s="15" t="str">
        <x:v>TODO</x:v>
      </x:c>
      <x:c r="K1433" s="15" t="str">
        <x:v>P1</x:v>
      </x:c>
      <x:c r="L1433" s="15" t="str">
        <x:v>Done only when evidence is logged, contradiction search is noted, and boundary stamp remains non-canon unless ratified</x:v>
      </x:c>
      <x:c r="M1433" s="15" t="str">
        <x:v>candidate / staging-only / not canon / not deployed / authority none</x:v>
      </x:c>
      <x:c r="N1433" s="15" t="str">
        <x:v>Dispatch to GitShelf: complete Canon-Gate Prep x Gamma; return deltas only, receipts required.</x:v>
      </x:c>
      <x:c r="O1433" s="15" t="str">
        <x:v>AF-KG-H12-S04</x:v>
      </x:c>
      <x:c r="P1433" s="15" t="str">
        <x:v>Unverified</x:v>
      </x:c>
      <x:c r="Q1433" s="15" t="str">
        <x:v>Not checked</x:v>
      </x:c>
      <x:c r="R1433" s="15" t="str"/>
      <x:c r="S1433" s="15" t="str"/>
      <x:c r="T1433" s="15" t="str">
        <x:v>Log first source path or blocker</x:v>
      </x:c>
      <x:c r="U1433" s="12" t="str">
        <x:f>IF(OR(P1433="Unverified",Q1433="Not checked"),"BLOCKED_PENDING_RECEIPT","READY_FOR_REVIEW")</x:f>
        <x:v>BLOCKED_PENDING_RECEIPT</x:v>
      </x:c>
      <x:c r="V1433" s="12" t="str">
        <x:f>IF(J1433="DONE","RETURNED",IF(U1433="BLOCKED_PENDING_RECEIPT","SOURCE_TOUCH_REQUIRED","IN_PROGRESS"))</x:f>
        <x:v>SOURCE_TOUCH_REQUIRED</x:v>
      </x:c>
      <x:c r="W1433" s="12" t="str">
        <x:f>IF(P1433="Unverified","missing_receipt","receipt_logged")</x:f>
        <x:v>missing_receipt</x:v>
      </x:c>
      <x:c r="X1433" s="12" t="str">
        <x:f>IF(Q1433="Not checked","raw_status_missing","raw_status_logged")</x:f>
        <x:v>raw_status_missing</x:v>
      </x:c>
      <x:c r="Y1433" s="12" t="str">
        <x:f>IF(U1433="BLOCKED_PENDING_RECEIPT","Log source path or blocker; do not promote","Route to review lane")</x:f>
        <x:v>Log source path or blocker; do not promote</x:v>
      </x:c>
      <x:c r="Z1433" s="12" t="str">
        <x:f>IF(K1433="P0","Primary seat + Hashlight/Lucerna","Seat lane")</x:f>
        <x:v>Seat lane</x:v>
      </x:c>
      <x:c r="AA1433" s="12" t="str">
        <x:f>IF(R1433="","no_claim_delta","claim_delta_present")</x:f>
        <x:v>no_claim_delta</x:v>
      </x:c>
      <x:c r="AB1433" s="12" t="str">
        <x:f>IF(S1433="","no_contradiction_delta","contradiction_delta_present")</x:f>
        <x:v>no_contradiction_delta</x:v>
      </x:c>
      <x:c r="AC1433" s="12" t="str">
        <x:f>IF(OR(ISNUMBER(SEARCH("hacker",LOWER(F1433&amp;" "&amp;H1433&amp;" "&amp;I1433&amp;" "&amp;M1433&amp;" "&amp;N1433&amp;" "&amp;T1433))),ISNUMBER(SEARCH("hacking",LOWER(F1433&amp;" "&amp;H1433&amp;" "&amp;I1433&amp;" "&amp;M1433&amp;" "&amp;N1433&amp;" "&amp;T1433))),ISNUMBER(SEARCH("bank",LOWER(F1433&amp;" "&amp;H1433&amp;" "&amp;I1433&amp;" "&amp;M1433&amp;" "&amp;N1433&amp;" "&amp;T1433))),ISNUMBER(SEARCH("banking",LOWER(F1433&amp;" "&amp;H1433&amp;" "&amp;I1433&amp;" "&amp;M1433&amp;" "&amp;N1433&amp;" "&amp;T1433)))),"PRIVATE_QUARANTINE",IF(OR(ISNUMBER(SEARCH("treasury",LOWER(F1433&amp;" "&amp;H1433&amp;" "&amp;I1433&amp;" "&amp;M1433&amp;" "&amp;N1433&amp;" "&amp;T1433))),ISNUMBER(SEARCH("debt",LOWER(F1433&amp;" "&amp;H1433&amp;" "&amp;I1433&amp;" "&amp;M1433&amp;" "&amp;N1433&amp;" "&amp;T1433))),ISNUMBER(SEARCH("bond",LOWER(F1433&amp;" "&amp;H1433&amp;" "&amp;I1433&amp;" "&amp;M1433&amp;" "&amp;N1433&amp;" "&amp;T1433))),ISNUMBER(SEARCH("transaction",LOWER(F1433&amp;" "&amp;H1433&amp;" "&amp;I1433&amp;" "&amp;M1433&amp;" "&amp;N1433&amp;" "&amp;T1433)))),"PRIVATE_REVIEW","PUBLIC_CANDIDATE"))</x:f>
        <x:v>PUBLIC_CANDIDATE</x:v>
      </x:c>
      <x:c r="AD1433" s="12" t="str">
        <x:f>IF(AC1433="PRIVATE_QUARANTINE","hacker_or_bank_trigger",IF(AC1433="PRIVATE_REVIEW","finance_risk_trigger","none"))</x:f>
        <x:v>none</x:v>
      </x:c>
      <x:c r="AE1433" s="12" t="str">
        <x:f>IF(AC1433="PUBLIC_CANDIDATE","prepare_public_github_candidate",IF(AC1433="PRIVATE_REVIEW","hold_for_private_review","quarantine_private_do_not_publish"))</x:f>
        <x:v>prepare_public_github_candidate</x:v>
      </x:c>
      <x:c r="AF1433" s="12" t="str">
        <x:f>IF(AC1433="PUBLIC_CANDIDATE","TIDELOCK + Lucerna",IF(AC1433="PRIVATE_REVIEW","AtlasBrain + Lucerna","TIDELOCK + Lucerna + Human-root"))</x:f>
        <x:v>TIDELOCK + Lucerna</x:v>
      </x:c>
      <x:c r="AG1433" s="12" t="str">
        <x:f>IF(AND(AC1433="PUBLIC_CANDIDATE",U1433&lt;&gt;"BLOCKED_PENDING_RECEIPT"),"READY_AFTER_RECEIPT","NOT_READY")</x:f>
        <x:v>NOT_READY</x:v>
      </x:c>
      <x:c r="AH1433" s="12" t="str">
        <x:f>IF(AC1433="PUBLIC_CANDIDATE","none",AD1433)</x:f>
        <x:v>none</x:v>
      </x:c>
      <x:c r="AI1433" s="12" t="str">
        <x:f>IF(AC1433="PUBLIC_CANDIDATE","archive/public_candidates/"&amp;A1433,"private_quarantine/"&amp;A1433)</x:f>
        <x:v>archive/public_candidates/SWARM-10-H12-S04</x:v>
      </x:c>
      <x:c r="AJ1433" s="12" t="str">
        <x:f>IF(AC1433="PUBLIC_CANDIDATE","public by default; still not canon","private/hold; do not publish")</x:f>
        <x:v>public by default; still not canon</x:v>
      </x:c>
      <x:c r="AK1433" s="12" t="str">
        <x:f>IF(AE1433="prepare_public_github_candidate","add receipt/status then mirror","resolve blocker before any public GitHub action")</x:f>
        <x:v>add receipt/status then mirror</x:v>
      </x:c>
    </x:row>
    <x:row r="1434">
      <x:c r="A1434" s="15" t="str">
        <x:v>SWARM-10-H12-S05</x:v>
      </x:c>
      <x:c r="B1434" s="15" t="str">
        <x:v>GitShelf</x:v>
      </x:c>
      <x:c r="C1434" s="15" t="str">
        <x:v>GitHub shelf builder</x:v>
      </x:c>
      <x:c r="D1434" s="15" t="str">
        <x:v>Canon-Gate Prep</x:v>
      </x:c>
      <x:c r="E1434" s="15" t="str">
        <x:v>Chat</x:v>
      </x:c>
      <x:c r="F1434" s="15" t="str">
        <x:v>Prepare canon-gate brief for Chat — GitShelf</x:v>
      </x:c>
      <x:c r="G1434" s="15" t="str">
        <x:v>repo packet / manifest / issue template prep</x:v>
      </x:c>
      <x:c r="H1434" s="15" t="str">
        <x:v>source path + receipt + raw/export status + claim/edge/risk delta</x:v>
      </x:c>
      <x:c r="I1434" s="15" t="str">
        <x:v>packet/SWARM-10-H12-S05</x:v>
      </x:c>
      <x:c r="J1434" s="15" t="str">
        <x:v>TODO</x:v>
      </x:c>
      <x:c r="K1434" s="15" t="str">
        <x:v>P1</x:v>
      </x:c>
      <x:c r="L1434" s="15" t="str">
        <x:v>Done only when evidence is logged, contradiction search is noted, and boundary stamp remains non-canon unless ratified</x:v>
      </x:c>
      <x:c r="M1434" s="15" t="str">
        <x:v>candidate / staging-only / not canon / not deployed / authority none</x:v>
      </x:c>
      <x:c r="N1434" s="15" t="str">
        <x:v>Dispatch to GitShelf: complete Canon-Gate Prep x Chat; return deltas only, receipts required.</x:v>
      </x:c>
      <x:c r="O1434" s="15" t="str">
        <x:v>AF-KG-H12-S05</x:v>
      </x:c>
      <x:c r="P1434" s="15" t="str">
        <x:v>Unverified</x:v>
      </x:c>
      <x:c r="Q1434" s="15" t="str">
        <x:v>Not checked</x:v>
      </x:c>
      <x:c r="R1434" s="15" t="str"/>
      <x:c r="S1434" s="15" t="str"/>
      <x:c r="T1434" s="15" t="str">
        <x:v>Log first source path or blocker</x:v>
      </x:c>
      <x:c r="U1434" s="12" t="str">
        <x:f>IF(OR(P1434="Unverified",Q1434="Not checked"),"BLOCKED_PENDING_RECEIPT","READY_FOR_REVIEW")</x:f>
        <x:v>BLOCKED_PENDING_RECEIPT</x:v>
      </x:c>
      <x:c r="V1434" s="12" t="str">
        <x:f>IF(J1434="DONE","RETURNED",IF(U1434="BLOCKED_PENDING_RECEIPT","SOURCE_TOUCH_REQUIRED","IN_PROGRESS"))</x:f>
        <x:v>SOURCE_TOUCH_REQUIRED</x:v>
      </x:c>
      <x:c r="W1434" s="12" t="str">
        <x:f>IF(P1434="Unverified","missing_receipt","receipt_logged")</x:f>
        <x:v>missing_receipt</x:v>
      </x:c>
      <x:c r="X1434" s="12" t="str">
        <x:f>IF(Q1434="Not checked","raw_status_missing","raw_status_logged")</x:f>
        <x:v>raw_status_missing</x:v>
      </x:c>
      <x:c r="Y1434" s="12" t="str">
        <x:f>IF(U1434="BLOCKED_PENDING_RECEIPT","Log source path or blocker; do not promote","Route to review lane")</x:f>
        <x:v>Log source path or blocker; do not promote</x:v>
      </x:c>
      <x:c r="Z1434" s="12" t="str">
        <x:f>IF(K1434="P0","Primary seat + Hashlight/Lucerna","Seat lane")</x:f>
        <x:v>Seat lane</x:v>
      </x:c>
      <x:c r="AA1434" s="12" t="str">
        <x:f>IF(R1434="","no_claim_delta","claim_delta_present")</x:f>
        <x:v>no_claim_delta</x:v>
      </x:c>
      <x:c r="AB1434" s="12" t="str">
        <x:f>IF(S1434="","no_contradiction_delta","contradiction_delta_present")</x:f>
        <x:v>no_contradiction_delta</x:v>
      </x:c>
      <x:c r="AC1434" s="12" t="str">
        <x:f>IF(OR(ISNUMBER(SEARCH("hacker",LOWER(F1434&amp;" "&amp;H1434&amp;" "&amp;I1434&amp;" "&amp;M1434&amp;" "&amp;N1434&amp;" "&amp;T1434))),ISNUMBER(SEARCH("hacking",LOWER(F1434&amp;" "&amp;H1434&amp;" "&amp;I1434&amp;" "&amp;M1434&amp;" "&amp;N1434&amp;" "&amp;T1434))),ISNUMBER(SEARCH("bank",LOWER(F1434&amp;" "&amp;H1434&amp;" "&amp;I1434&amp;" "&amp;M1434&amp;" "&amp;N1434&amp;" "&amp;T1434))),ISNUMBER(SEARCH("banking",LOWER(F1434&amp;" "&amp;H1434&amp;" "&amp;I1434&amp;" "&amp;M1434&amp;" "&amp;N1434&amp;" "&amp;T1434)))),"PRIVATE_QUARANTINE",IF(OR(ISNUMBER(SEARCH("treasury",LOWER(F1434&amp;" "&amp;H1434&amp;" "&amp;I1434&amp;" "&amp;M1434&amp;" "&amp;N1434&amp;" "&amp;T1434))),ISNUMBER(SEARCH("debt",LOWER(F1434&amp;" "&amp;H1434&amp;" "&amp;I1434&amp;" "&amp;M1434&amp;" "&amp;N1434&amp;" "&amp;T1434))),ISNUMBER(SEARCH("bond",LOWER(F1434&amp;" "&amp;H1434&amp;" "&amp;I1434&amp;" "&amp;M1434&amp;" "&amp;N1434&amp;" "&amp;T1434))),ISNUMBER(SEARCH("transaction",LOWER(F1434&amp;" "&amp;H1434&amp;" "&amp;I1434&amp;" "&amp;M1434&amp;" "&amp;N1434&amp;" "&amp;T1434)))),"PRIVATE_REVIEW","PUBLIC_CANDIDATE"))</x:f>
        <x:v>PUBLIC_CANDIDATE</x:v>
      </x:c>
      <x:c r="AD1434" s="12" t="str">
        <x:f>IF(AC1434="PRIVATE_QUARANTINE","hacker_or_bank_trigger",IF(AC1434="PRIVATE_REVIEW","finance_risk_trigger","none"))</x:f>
        <x:v>none</x:v>
      </x:c>
      <x:c r="AE1434" s="12" t="str">
        <x:f>IF(AC1434="PUBLIC_CANDIDATE","prepare_public_github_candidate",IF(AC1434="PRIVATE_REVIEW","hold_for_private_review","quarantine_private_do_not_publish"))</x:f>
        <x:v>prepare_public_github_candidate</x:v>
      </x:c>
      <x:c r="AF1434" s="12" t="str">
        <x:f>IF(AC1434="PUBLIC_CANDIDATE","TIDELOCK + Lucerna",IF(AC1434="PRIVATE_REVIEW","AtlasBrain + Lucerna","TIDELOCK + Lucerna + Human-root"))</x:f>
        <x:v>TIDELOCK + Lucerna</x:v>
      </x:c>
      <x:c r="AG1434" s="12" t="str">
        <x:f>IF(AND(AC1434="PUBLIC_CANDIDATE",U1434&lt;&gt;"BLOCKED_PENDING_RECEIPT"),"READY_AFTER_RECEIPT","NOT_READY")</x:f>
        <x:v>NOT_READY</x:v>
      </x:c>
      <x:c r="AH1434" s="12" t="str">
        <x:f>IF(AC1434="PUBLIC_CANDIDATE","none",AD1434)</x:f>
        <x:v>none</x:v>
      </x:c>
      <x:c r="AI1434" s="12" t="str">
        <x:f>IF(AC1434="PUBLIC_CANDIDATE","archive/public_candidates/"&amp;A1434,"private_quarantine/"&amp;A1434)</x:f>
        <x:v>archive/public_candidates/SWARM-10-H12-S05</x:v>
      </x:c>
      <x:c r="AJ1434" s="12" t="str">
        <x:f>IF(AC1434="PUBLIC_CANDIDATE","public by default; still not canon","private/hold; do not publish")</x:f>
        <x:v>public by default; still not canon</x:v>
      </x:c>
      <x:c r="AK1434" s="12" t="str">
        <x:f>IF(AE1434="prepare_public_github_candidate","add receipt/status then mirror","resolve blocker before any public GitHub action")</x:f>
        <x:v>add receipt/status then mirror</x:v>
      </x:c>
    </x:row>
    <x:row r="1435">
      <x:c r="A1435" s="15" t="str">
        <x:v>SWARM-10-H12-S06</x:v>
      </x:c>
      <x:c r="B1435" s="15" t="str">
        <x:v>GitShelf</x:v>
      </x:c>
      <x:c r="C1435" s="15" t="str">
        <x:v>GitHub shelf builder</x:v>
      </x:c>
      <x:c r="D1435" s="15" t="str">
        <x:v>Canon-Gate Prep</x:v>
      </x:c>
      <x:c r="E1435" s="15" t="str">
        <x:v>External Web</x:v>
      </x:c>
      <x:c r="F1435" s="15" t="str">
        <x:v>Prepare canon-gate brief for External Web — GitShelf</x:v>
      </x:c>
      <x:c r="G1435" s="15" t="str">
        <x:v>repo packet / manifest / issue template prep</x:v>
      </x:c>
      <x:c r="H1435" s="15" t="str">
        <x:v>source path + receipt + raw/export status + claim/edge/risk delta</x:v>
      </x:c>
      <x:c r="I1435" s="15" t="str">
        <x:v>packet/SWARM-10-H12-S06</x:v>
      </x:c>
      <x:c r="J1435" s="15" t="str">
        <x:v>TODO</x:v>
      </x:c>
      <x:c r="K1435" s="15" t="str">
        <x:v>P1</x:v>
      </x:c>
      <x:c r="L1435" s="15" t="str">
        <x:v>Done only when evidence is logged, contradiction search is noted, and boundary stamp remains non-canon unless ratified</x:v>
      </x:c>
      <x:c r="M1435" s="15" t="str">
        <x:v>candidate / staging-only / not canon / not deployed / authority none</x:v>
      </x:c>
      <x:c r="N1435" s="15" t="str">
        <x:v>Dispatch to GitShelf: complete Canon-Gate Prep x External Web; return deltas only, receipts required.</x:v>
      </x:c>
      <x:c r="O1435" s="15" t="str">
        <x:v>AF-KG-H12-S06</x:v>
      </x:c>
      <x:c r="P1435" s="15" t="str">
        <x:v>Unverified</x:v>
      </x:c>
      <x:c r="Q1435" s="15" t="str">
        <x:v>Not checked</x:v>
      </x:c>
      <x:c r="R1435" s="15" t="str"/>
      <x:c r="S1435" s="15" t="str"/>
      <x:c r="T1435" s="15" t="str">
        <x:v>Log first source path or blocker</x:v>
      </x:c>
      <x:c r="U1435" s="12" t="str">
        <x:f>IF(OR(P1435="Unverified",Q1435="Not checked"),"BLOCKED_PENDING_RECEIPT","READY_FOR_REVIEW")</x:f>
        <x:v>BLOCKED_PENDING_RECEIPT</x:v>
      </x:c>
      <x:c r="V1435" s="12" t="str">
        <x:f>IF(J1435="DONE","RETURNED",IF(U1435="BLOCKED_PENDING_RECEIPT","SOURCE_TOUCH_REQUIRED","IN_PROGRESS"))</x:f>
        <x:v>SOURCE_TOUCH_REQUIRED</x:v>
      </x:c>
      <x:c r="W1435" s="12" t="str">
        <x:f>IF(P1435="Unverified","missing_receipt","receipt_logged")</x:f>
        <x:v>missing_receipt</x:v>
      </x:c>
      <x:c r="X1435" s="12" t="str">
        <x:f>IF(Q1435="Not checked","raw_status_missing","raw_status_logged")</x:f>
        <x:v>raw_status_missing</x:v>
      </x:c>
      <x:c r="Y1435" s="12" t="str">
        <x:f>IF(U1435="BLOCKED_PENDING_RECEIPT","Log source path or blocker; do not promote","Route to review lane")</x:f>
        <x:v>Log source path or blocker; do not promote</x:v>
      </x:c>
      <x:c r="Z1435" s="12" t="str">
        <x:f>IF(K1435="P0","Primary seat + Hashlight/Lucerna","Seat lane")</x:f>
        <x:v>Seat lane</x:v>
      </x:c>
      <x:c r="AA1435" s="12" t="str">
        <x:f>IF(R1435="","no_claim_delta","claim_delta_present")</x:f>
        <x:v>no_claim_delta</x:v>
      </x:c>
      <x:c r="AB1435" s="12" t="str">
        <x:f>IF(S1435="","no_contradiction_delta","contradiction_delta_present")</x:f>
        <x:v>no_contradiction_delta</x:v>
      </x:c>
      <x:c r="AC1435" s="12" t="str">
        <x:f>IF(OR(ISNUMBER(SEARCH("hacker",LOWER(F1435&amp;" "&amp;H1435&amp;" "&amp;I1435&amp;" "&amp;M1435&amp;" "&amp;N1435&amp;" "&amp;T1435))),ISNUMBER(SEARCH("hacking",LOWER(F1435&amp;" "&amp;H1435&amp;" "&amp;I1435&amp;" "&amp;M1435&amp;" "&amp;N1435&amp;" "&amp;T1435))),ISNUMBER(SEARCH("bank",LOWER(F1435&amp;" "&amp;H1435&amp;" "&amp;I1435&amp;" "&amp;M1435&amp;" "&amp;N1435&amp;" "&amp;T1435))),ISNUMBER(SEARCH("banking",LOWER(F1435&amp;" "&amp;H1435&amp;" "&amp;I1435&amp;" "&amp;M1435&amp;" "&amp;N1435&amp;" "&amp;T1435)))),"PRIVATE_QUARANTINE",IF(OR(ISNUMBER(SEARCH("treasury",LOWER(F1435&amp;" "&amp;H1435&amp;" "&amp;I1435&amp;" "&amp;M1435&amp;" "&amp;N1435&amp;" "&amp;T1435))),ISNUMBER(SEARCH("debt",LOWER(F1435&amp;" "&amp;H1435&amp;" "&amp;I1435&amp;" "&amp;M1435&amp;" "&amp;N1435&amp;" "&amp;T1435))),ISNUMBER(SEARCH("bond",LOWER(F1435&amp;" "&amp;H1435&amp;" "&amp;I1435&amp;" "&amp;M1435&amp;" "&amp;N1435&amp;" "&amp;T1435))),ISNUMBER(SEARCH("transaction",LOWER(F1435&amp;" "&amp;H1435&amp;" "&amp;I1435&amp;" "&amp;M1435&amp;" "&amp;N1435&amp;" "&amp;T1435)))),"PRIVATE_REVIEW","PUBLIC_CANDIDATE"))</x:f>
        <x:v>PUBLIC_CANDIDATE</x:v>
      </x:c>
      <x:c r="AD1435" s="12" t="str">
        <x:f>IF(AC1435="PRIVATE_QUARANTINE","hacker_or_bank_trigger",IF(AC1435="PRIVATE_REVIEW","finance_risk_trigger","none"))</x:f>
        <x:v>none</x:v>
      </x:c>
      <x:c r="AE1435" s="12" t="str">
        <x:f>IF(AC1435="PUBLIC_CANDIDATE","prepare_public_github_candidate",IF(AC1435="PRIVATE_REVIEW","hold_for_private_review","quarantine_private_do_not_publish"))</x:f>
        <x:v>prepare_public_github_candidate</x:v>
      </x:c>
      <x:c r="AF1435" s="12" t="str">
        <x:f>IF(AC1435="PUBLIC_CANDIDATE","TIDELOCK + Lucerna",IF(AC1435="PRIVATE_REVIEW","AtlasBrain + Lucerna","TIDELOCK + Lucerna + Human-root"))</x:f>
        <x:v>TIDELOCK + Lucerna</x:v>
      </x:c>
      <x:c r="AG1435" s="12" t="str">
        <x:f>IF(AND(AC1435="PUBLIC_CANDIDATE",U1435&lt;&gt;"BLOCKED_PENDING_RECEIPT"),"READY_AFTER_RECEIPT","NOT_READY")</x:f>
        <x:v>NOT_READY</x:v>
      </x:c>
      <x:c r="AH1435" s="12" t="str">
        <x:f>IF(AC1435="PUBLIC_CANDIDATE","none",AD1435)</x:f>
        <x:v>none</x:v>
      </x:c>
      <x:c r="AI1435" s="12" t="str">
        <x:f>IF(AC1435="PUBLIC_CANDIDATE","archive/public_candidates/"&amp;A1435,"private_quarantine/"&amp;A1435)</x:f>
        <x:v>archive/public_candidates/SWARM-10-H12-S06</x:v>
      </x:c>
      <x:c r="AJ1435" s="12" t="str">
        <x:f>IF(AC1435="PUBLIC_CANDIDATE","public by default; still not canon","private/hold; do not publish")</x:f>
        <x:v>public by default; still not canon</x:v>
      </x:c>
      <x:c r="AK1435" s="12" t="str">
        <x:f>IF(AE1435="prepare_public_github_candidate","add receipt/status then mirror","resolve blocker before any public GitHub action")</x:f>
        <x:v>add receipt/status then mirror</x:v>
      </x:c>
    </x:row>
    <x:row r="1436">
      <x:c r="A1436" s="15" t="str">
        <x:v>SWARM-10-H12-S07</x:v>
      </x:c>
      <x:c r="B1436" s="15" t="str">
        <x:v>GitShelf</x:v>
      </x:c>
      <x:c r="C1436" s="15" t="str">
        <x:v>GitHub shelf builder</x:v>
      </x:c>
      <x:c r="D1436" s="15" t="str">
        <x:v>Canon-Gate Prep</x:v>
      </x:c>
      <x:c r="E1436" s="15" t="str">
        <x:v>Planetarium</x:v>
      </x:c>
      <x:c r="F1436" s="15" t="str">
        <x:v>Prepare canon-gate brief for Planetarium — GitShelf</x:v>
      </x:c>
      <x:c r="G1436" s="15" t="str">
        <x:v>repo packet / manifest / issue template prep</x:v>
      </x:c>
      <x:c r="H1436" s="15" t="str">
        <x:v>source path + receipt + raw/export status + claim/edge/risk delta</x:v>
      </x:c>
      <x:c r="I1436" s="15" t="str">
        <x:v>packet/SWARM-10-H12-S07</x:v>
      </x:c>
      <x:c r="J1436" s="15" t="str">
        <x:v>TODO</x:v>
      </x:c>
      <x:c r="K1436" s="15" t="str">
        <x:v>P1</x:v>
      </x:c>
      <x:c r="L1436" s="15" t="str">
        <x:v>Done only when evidence is logged, contradiction search is noted, and boundary stamp remains non-canon unless ratified</x:v>
      </x:c>
      <x:c r="M1436" s="15" t="str">
        <x:v>candidate / staging-only / not canon / not deployed / authority none</x:v>
      </x:c>
      <x:c r="N1436" s="15" t="str">
        <x:v>Dispatch to GitShelf: complete Canon-Gate Prep x Planetarium; return deltas only, receipts required.</x:v>
      </x:c>
      <x:c r="O1436" s="15" t="str">
        <x:v>AF-KG-H12-S07</x:v>
      </x:c>
      <x:c r="P1436" s="15" t="str">
        <x:v>Unverified</x:v>
      </x:c>
      <x:c r="Q1436" s="15" t="str">
        <x:v>Not checked</x:v>
      </x:c>
      <x:c r="R1436" s="15" t="str"/>
      <x:c r="S1436" s="15" t="str"/>
      <x:c r="T1436" s="15" t="str">
        <x:v>Log first source path or blocker</x:v>
      </x:c>
      <x:c r="U1436" s="12" t="str">
        <x:f>IF(OR(P1436="Unverified",Q1436="Not checked"),"BLOCKED_PENDING_RECEIPT","READY_FOR_REVIEW")</x:f>
        <x:v>BLOCKED_PENDING_RECEIPT</x:v>
      </x:c>
      <x:c r="V1436" s="12" t="str">
        <x:f>IF(J1436="DONE","RETURNED",IF(U1436="BLOCKED_PENDING_RECEIPT","SOURCE_TOUCH_REQUIRED","IN_PROGRESS"))</x:f>
        <x:v>SOURCE_TOUCH_REQUIRED</x:v>
      </x:c>
      <x:c r="W1436" s="12" t="str">
        <x:f>IF(P1436="Unverified","missing_receipt","receipt_logged")</x:f>
        <x:v>missing_receipt</x:v>
      </x:c>
      <x:c r="X1436" s="12" t="str">
        <x:f>IF(Q1436="Not checked","raw_status_missing","raw_status_logged")</x:f>
        <x:v>raw_status_missing</x:v>
      </x:c>
      <x:c r="Y1436" s="12" t="str">
        <x:f>IF(U1436="BLOCKED_PENDING_RECEIPT","Log source path or blocker; do not promote","Route to review lane")</x:f>
        <x:v>Log source path or blocker; do not promote</x:v>
      </x:c>
      <x:c r="Z1436" s="12" t="str">
        <x:f>IF(K1436="P0","Primary seat + Hashlight/Lucerna","Seat lane")</x:f>
        <x:v>Seat lane</x:v>
      </x:c>
      <x:c r="AA1436" s="12" t="str">
        <x:f>IF(R1436="","no_claim_delta","claim_delta_present")</x:f>
        <x:v>no_claim_delta</x:v>
      </x:c>
      <x:c r="AB1436" s="12" t="str">
        <x:f>IF(S1436="","no_contradiction_delta","contradiction_delta_present")</x:f>
        <x:v>no_contradiction_delta</x:v>
      </x:c>
      <x:c r="AC1436" s="12" t="str">
        <x:f>IF(OR(ISNUMBER(SEARCH("hacker",LOWER(F1436&amp;" "&amp;H1436&amp;" "&amp;I1436&amp;" "&amp;M1436&amp;" "&amp;N1436&amp;" "&amp;T1436))),ISNUMBER(SEARCH("hacking",LOWER(F1436&amp;" "&amp;H1436&amp;" "&amp;I1436&amp;" "&amp;M1436&amp;" "&amp;N1436&amp;" "&amp;T1436))),ISNUMBER(SEARCH("bank",LOWER(F1436&amp;" "&amp;H1436&amp;" "&amp;I1436&amp;" "&amp;M1436&amp;" "&amp;N1436&amp;" "&amp;T1436))),ISNUMBER(SEARCH("banking",LOWER(F1436&amp;" "&amp;H1436&amp;" "&amp;I1436&amp;" "&amp;M1436&amp;" "&amp;N1436&amp;" "&amp;T1436)))),"PRIVATE_QUARANTINE",IF(OR(ISNUMBER(SEARCH("treasury",LOWER(F1436&amp;" "&amp;H1436&amp;" "&amp;I1436&amp;" "&amp;M1436&amp;" "&amp;N1436&amp;" "&amp;T1436))),ISNUMBER(SEARCH("debt",LOWER(F1436&amp;" "&amp;H1436&amp;" "&amp;I1436&amp;" "&amp;M1436&amp;" "&amp;N1436&amp;" "&amp;T1436))),ISNUMBER(SEARCH("bond",LOWER(F1436&amp;" "&amp;H1436&amp;" "&amp;I1436&amp;" "&amp;M1436&amp;" "&amp;N1436&amp;" "&amp;T1436))),ISNUMBER(SEARCH("transaction",LOWER(F1436&amp;" "&amp;H1436&amp;" "&amp;I1436&amp;" "&amp;M1436&amp;" "&amp;N1436&amp;" "&amp;T1436)))),"PRIVATE_REVIEW","PUBLIC_CANDIDATE"))</x:f>
        <x:v>PUBLIC_CANDIDATE</x:v>
      </x:c>
      <x:c r="AD1436" s="12" t="str">
        <x:f>IF(AC1436="PRIVATE_QUARANTINE","hacker_or_bank_trigger",IF(AC1436="PRIVATE_REVIEW","finance_risk_trigger","none"))</x:f>
        <x:v>none</x:v>
      </x:c>
      <x:c r="AE1436" s="12" t="str">
        <x:f>IF(AC1436="PUBLIC_CANDIDATE","prepare_public_github_candidate",IF(AC1436="PRIVATE_REVIEW","hold_for_private_review","quarantine_private_do_not_publish"))</x:f>
        <x:v>prepare_public_github_candidate</x:v>
      </x:c>
      <x:c r="AF1436" s="12" t="str">
        <x:f>IF(AC1436="PUBLIC_CANDIDATE","TIDELOCK + Lucerna",IF(AC1436="PRIVATE_REVIEW","AtlasBrain + Lucerna","TIDELOCK + Lucerna + Human-root"))</x:f>
        <x:v>TIDELOCK + Lucerna</x:v>
      </x:c>
      <x:c r="AG1436" s="12" t="str">
        <x:f>IF(AND(AC1436="PUBLIC_CANDIDATE",U1436&lt;&gt;"BLOCKED_PENDING_RECEIPT"),"READY_AFTER_RECEIPT","NOT_READY")</x:f>
        <x:v>NOT_READY</x:v>
      </x:c>
      <x:c r="AH1436" s="12" t="str">
        <x:f>IF(AC1436="PUBLIC_CANDIDATE","none",AD1436)</x:f>
        <x:v>none</x:v>
      </x:c>
      <x:c r="AI1436" s="12" t="str">
        <x:f>IF(AC1436="PUBLIC_CANDIDATE","archive/public_candidates/"&amp;A1436,"private_quarantine/"&amp;A1436)</x:f>
        <x:v>archive/public_candidates/SWARM-10-H12-S07</x:v>
      </x:c>
      <x:c r="AJ1436" s="12" t="str">
        <x:f>IF(AC1436="PUBLIC_CANDIDATE","public by default; still not canon","private/hold; do not publish")</x:f>
        <x:v>public by default; still not canon</x:v>
      </x:c>
      <x:c r="AK1436" s="12" t="str">
        <x:f>IF(AE1436="prepare_public_github_candidate","add receipt/status then mirror","resolve blocker before any public GitHub action")</x:f>
        <x:v>add receipt/status then mirror</x:v>
      </x:c>
    </x:row>
    <x:row r="1437">
      <x:c r="A1437" s="15" t="str">
        <x:v>SWARM-10-H12-S08</x:v>
      </x:c>
      <x:c r="B1437" s="15" t="str">
        <x:v>GitShelf</x:v>
      </x:c>
      <x:c r="C1437" s="15" t="str">
        <x:v>GitHub shelf builder</x:v>
      </x:c>
      <x:c r="D1437" s="15" t="str">
        <x:v>Canon-Gate Prep</x:v>
      </x:c>
      <x:c r="E1437" s="15" t="str">
        <x:v>Sheldonbrain</x:v>
      </x:c>
      <x:c r="F1437" s="15" t="str">
        <x:v>Prepare canon-gate brief for Sheldonbrain — GitShelf</x:v>
      </x:c>
      <x:c r="G1437" s="15" t="str">
        <x:v>repo packet / manifest / issue template prep</x:v>
      </x:c>
      <x:c r="H1437" s="15" t="str">
        <x:v>source path + receipt + raw/export status + claim/edge/risk delta</x:v>
      </x:c>
      <x:c r="I1437" s="15" t="str">
        <x:v>packet/SWARM-10-H12-S08</x:v>
      </x:c>
      <x:c r="J1437" s="15" t="str">
        <x:v>TODO</x:v>
      </x:c>
      <x:c r="K1437" s="15" t="str">
        <x:v>P1</x:v>
      </x:c>
      <x:c r="L1437" s="15" t="str">
        <x:v>Done only when evidence is logged, contradiction search is noted, and boundary stamp remains non-canon unless ratified</x:v>
      </x:c>
      <x:c r="M1437" s="15" t="str">
        <x:v>candidate / staging-only / not canon / not deployed / authority none</x:v>
      </x:c>
      <x:c r="N1437" s="15" t="str">
        <x:v>Dispatch to GitShelf: complete Canon-Gate Prep x Sheldonbrain; return deltas only, receipts required.</x:v>
      </x:c>
      <x:c r="O1437" s="15" t="str">
        <x:v>AF-KG-H12-S08</x:v>
      </x:c>
      <x:c r="P1437" s="15" t="str">
        <x:v>Unverified</x:v>
      </x:c>
      <x:c r="Q1437" s="15" t="str">
        <x:v>Not checked</x:v>
      </x:c>
      <x:c r="R1437" s="15" t="str"/>
      <x:c r="S1437" s="15" t="str"/>
      <x:c r="T1437" s="15" t="str">
        <x:v>Log first source path or blocker</x:v>
      </x:c>
      <x:c r="U1437" s="12" t="str">
        <x:f>IF(OR(P1437="Unverified",Q1437="Not checked"),"BLOCKED_PENDING_RECEIPT","READY_FOR_REVIEW")</x:f>
        <x:v>BLOCKED_PENDING_RECEIPT</x:v>
      </x:c>
      <x:c r="V1437" s="12" t="str">
        <x:f>IF(J1437="DONE","RETURNED",IF(U1437="BLOCKED_PENDING_RECEIPT","SOURCE_TOUCH_REQUIRED","IN_PROGRESS"))</x:f>
        <x:v>SOURCE_TOUCH_REQUIRED</x:v>
      </x:c>
      <x:c r="W1437" s="12" t="str">
        <x:f>IF(P1437="Unverified","missing_receipt","receipt_logged")</x:f>
        <x:v>missing_receipt</x:v>
      </x:c>
      <x:c r="X1437" s="12" t="str">
        <x:f>IF(Q1437="Not checked","raw_status_missing","raw_status_logged")</x:f>
        <x:v>raw_status_missing</x:v>
      </x:c>
      <x:c r="Y1437" s="12" t="str">
        <x:f>IF(U1437="BLOCKED_PENDING_RECEIPT","Log source path or blocker; do not promote","Route to review lane")</x:f>
        <x:v>Log source path or blocker; do not promote</x:v>
      </x:c>
      <x:c r="Z1437" s="12" t="str">
        <x:f>IF(K1437="P0","Primary seat + Hashlight/Lucerna","Seat lane")</x:f>
        <x:v>Seat lane</x:v>
      </x:c>
      <x:c r="AA1437" s="12" t="str">
        <x:f>IF(R1437="","no_claim_delta","claim_delta_present")</x:f>
        <x:v>no_claim_delta</x:v>
      </x:c>
      <x:c r="AB1437" s="12" t="str">
        <x:f>IF(S1437="","no_contradiction_delta","contradiction_delta_present")</x:f>
        <x:v>no_contradiction_delta</x:v>
      </x:c>
      <x:c r="AC1437" s="12" t="str">
        <x:f>IF(OR(ISNUMBER(SEARCH("hacker",LOWER(F1437&amp;" "&amp;H1437&amp;" "&amp;I1437&amp;" "&amp;M1437&amp;" "&amp;N1437&amp;" "&amp;T1437))),ISNUMBER(SEARCH("hacking",LOWER(F1437&amp;" "&amp;H1437&amp;" "&amp;I1437&amp;" "&amp;M1437&amp;" "&amp;N1437&amp;" "&amp;T1437))),ISNUMBER(SEARCH("bank",LOWER(F1437&amp;" "&amp;H1437&amp;" "&amp;I1437&amp;" "&amp;M1437&amp;" "&amp;N1437&amp;" "&amp;T1437))),ISNUMBER(SEARCH("banking",LOWER(F1437&amp;" "&amp;H1437&amp;" "&amp;I1437&amp;" "&amp;M1437&amp;" "&amp;N1437&amp;" "&amp;T1437)))),"PRIVATE_QUARANTINE",IF(OR(ISNUMBER(SEARCH("treasury",LOWER(F1437&amp;" "&amp;H1437&amp;" "&amp;I1437&amp;" "&amp;M1437&amp;" "&amp;N1437&amp;" "&amp;T1437))),ISNUMBER(SEARCH("debt",LOWER(F1437&amp;" "&amp;H1437&amp;" "&amp;I1437&amp;" "&amp;M1437&amp;" "&amp;N1437&amp;" "&amp;T1437))),ISNUMBER(SEARCH("bond",LOWER(F1437&amp;" "&amp;H1437&amp;" "&amp;I1437&amp;" "&amp;M1437&amp;" "&amp;N1437&amp;" "&amp;T1437))),ISNUMBER(SEARCH("transaction",LOWER(F1437&amp;" "&amp;H1437&amp;" "&amp;I1437&amp;" "&amp;M1437&amp;" "&amp;N1437&amp;" "&amp;T1437)))),"PRIVATE_REVIEW","PUBLIC_CANDIDATE"))</x:f>
        <x:v>PUBLIC_CANDIDATE</x:v>
      </x:c>
      <x:c r="AD1437" s="12" t="str">
        <x:f>IF(AC1437="PRIVATE_QUARANTINE","hacker_or_bank_trigger",IF(AC1437="PRIVATE_REVIEW","finance_risk_trigger","none"))</x:f>
        <x:v>none</x:v>
      </x:c>
      <x:c r="AE1437" s="12" t="str">
        <x:f>IF(AC1437="PUBLIC_CANDIDATE","prepare_public_github_candidate",IF(AC1437="PRIVATE_REVIEW","hold_for_private_review","quarantine_private_do_not_publish"))</x:f>
        <x:v>prepare_public_github_candidate</x:v>
      </x:c>
      <x:c r="AF1437" s="12" t="str">
        <x:f>IF(AC1437="PUBLIC_CANDIDATE","TIDELOCK + Lucerna",IF(AC1437="PRIVATE_REVIEW","AtlasBrain + Lucerna","TIDELOCK + Lucerna + Human-root"))</x:f>
        <x:v>TIDELOCK + Lucerna</x:v>
      </x:c>
      <x:c r="AG1437" s="12" t="str">
        <x:f>IF(AND(AC1437="PUBLIC_CANDIDATE",U1437&lt;&gt;"BLOCKED_PENDING_RECEIPT"),"READY_AFTER_RECEIPT","NOT_READY")</x:f>
        <x:v>NOT_READY</x:v>
      </x:c>
      <x:c r="AH1437" s="12" t="str">
        <x:f>IF(AC1437="PUBLIC_CANDIDATE","none",AD1437)</x:f>
        <x:v>none</x:v>
      </x:c>
      <x:c r="AI1437" s="12" t="str">
        <x:f>IF(AC1437="PUBLIC_CANDIDATE","archive/public_candidates/"&amp;A1437,"private_quarantine/"&amp;A1437)</x:f>
        <x:v>archive/public_candidates/SWARM-10-H12-S08</x:v>
      </x:c>
      <x:c r="AJ1437" s="12" t="str">
        <x:f>IF(AC1437="PUBLIC_CANDIDATE","public by default; still not canon","private/hold; do not publish")</x:f>
        <x:v>public by default; still not canon</x:v>
      </x:c>
      <x:c r="AK1437" s="12" t="str">
        <x:f>IF(AE1437="prepare_public_github_candidate","add receipt/status then mirror","resolve blocker before any public GitHub action")</x:f>
        <x:v>add receipt/status then mirror</x:v>
      </x:c>
    </x:row>
    <x:row r="1438">
      <x:c r="A1438" s="15" t="str">
        <x:v>SWARM-10-H12-S09</x:v>
      </x:c>
      <x:c r="B1438" s="15" t="str">
        <x:v>GitShelf</x:v>
      </x:c>
      <x:c r="C1438" s="15" t="str">
        <x:v>GitHub shelf builder</x:v>
      </x:c>
      <x:c r="D1438" s="15" t="str">
        <x:v>Canon-Gate Prep</x:v>
      </x:c>
      <x:c r="E1438" s="15" t="str">
        <x:v>Aetherforge</x:v>
      </x:c>
      <x:c r="F1438" s="15" t="str">
        <x:v>Prepare canon-gate brief for Aetherforge — GitShelf</x:v>
      </x:c>
      <x:c r="G1438" s="15" t="str">
        <x:v>repo packet / manifest / issue template prep</x:v>
      </x:c>
      <x:c r="H1438" s="15" t="str">
        <x:v>source path + receipt + raw/export status + claim/edge/risk delta</x:v>
      </x:c>
      <x:c r="I1438" s="15" t="str">
        <x:v>packet/SWARM-10-H12-S09</x:v>
      </x:c>
      <x:c r="J1438" s="15" t="str">
        <x:v>TODO</x:v>
      </x:c>
      <x:c r="K1438" s="15" t="str">
        <x:v>P2</x:v>
      </x:c>
      <x:c r="L1438" s="15" t="str">
        <x:v>Done only when evidence is logged, contradiction search is noted, and boundary stamp remains non-canon unless ratified</x:v>
      </x:c>
      <x:c r="M1438" s="15" t="str">
        <x:v>candidate / staging-only / not canon / not deployed / authority none</x:v>
      </x:c>
      <x:c r="N1438" s="15" t="str">
        <x:v>Dispatch to GitShelf: complete Canon-Gate Prep x Aetherforge; return deltas only, receipts required.</x:v>
      </x:c>
      <x:c r="O1438" s="15" t="str">
        <x:v>AF-KG-H12-S09</x:v>
      </x:c>
      <x:c r="P1438" s="15" t="str">
        <x:v>Unverified</x:v>
      </x:c>
      <x:c r="Q1438" s="15" t="str">
        <x:v>Not checked</x:v>
      </x:c>
      <x:c r="R1438" s="15" t="str"/>
      <x:c r="S1438" s="15" t="str"/>
      <x:c r="T1438" s="15" t="str">
        <x:v>Log first source path or blocker</x:v>
      </x:c>
      <x:c r="U1438" s="12" t="str">
        <x:f>IF(OR(P1438="Unverified",Q1438="Not checked"),"BLOCKED_PENDING_RECEIPT","READY_FOR_REVIEW")</x:f>
        <x:v>BLOCKED_PENDING_RECEIPT</x:v>
      </x:c>
      <x:c r="V1438" s="12" t="str">
        <x:f>IF(J1438="DONE","RETURNED",IF(U1438="BLOCKED_PENDING_RECEIPT","SOURCE_TOUCH_REQUIRED","IN_PROGRESS"))</x:f>
        <x:v>SOURCE_TOUCH_REQUIRED</x:v>
      </x:c>
      <x:c r="W1438" s="12" t="str">
        <x:f>IF(P1438="Unverified","missing_receipt","receipt_logged")</x:f>
        <x:v>missing_receipt</x:v>
      </x:c>
      <x:c r="X1438" s="12" t="str">
        <x:f>IF(Q1438="Not checked","raw_status_missing","raw_status_logged")</x:f>
        <x:v>raw_status_missing</x:v>
      </x:c>
      <x:c r="Y1438" s="12" t="str">
        <x:f>IF(U1438="BLOCKED_PENDING_RECEIPT","Log source path or blocker; do not promote","Route to review lane")</x:f>
        <x:v>Log source path or blocker; do not promote</x:v>
      </x:c>
      <x:c r="Z1438" s="12" t="str">
        <x:f>IF(K1438="P0","Primary seat + Hashlight/Lucerna","Seat lane")</x:f>
        <x:v>Seat lane</x:v>
      </x:c>
      <x:c r="AA1438" s="12" t="str">
        <x:f>IF(R1438="","no_claim_delta","claim_delta_present")</x:f>
        <x:v>no_claim_delta</x:v>
      </x:c>
      <x:c r="AB1438" s="12" t="str">
        <x:f>IF(S1438="","no_contradiction_delta","contradiction_delta_present")</x:f>
        <x:v>no_contradiction_delta</x:v>
      </x:c>
      <x:c r="AC1438" s="12" t="str">
        <x:f>IF(OR(ISNUMBER(SEARCH("hacker",LOWER(F1438&amp;" "&amp;H1438&amp;" "&amp;I1438&amp;" "&amp;M1438&amp;" "&amp;N1438&amp;" "&amp;T1438))),ISNUMBER(SEARCH("hacking",LOWER(F1438&amp;" "&amp;H1438&amp;" "&amp;I1438&amp;" "&amp;M1438&amp;" "&amp;N1438&amp;" "&amp;T1438))),ISNUMBER(SEARCH("bank",LOWER(F1438&amp;" "&amp;H1438&amp;" "&amp;I1438&amp;" "&amp;M1438&amp;" "&amp;N1438&amp;" "&amp;T1438))),ISNUMBER(SEARCH("banking",LOWER(F1438&amp;" "&amp;H1438&amp;" "&amp;I1438&amp;" "&amp;M1438&amp;" "&amp;N1438&amp;" "&amp;T1438)))),"PRIVATE_QUARANTINE",IF(OR(ISNUMBER(SEARCH("treasury",LOWER(F1438&amp;" "&amp;H1438&amp;" "&amp;I1438&amp;" "&amp;M1438&amp;" "&amp;N1438&amp;" "&amp;T1438))),ISNUMBER(SEARCH("debt",LOWER(F1438&amp;" "&amp;H1438&amp;" "&amp;I1438&amp;" "&amp;M1438&amp;" "&amp;N1438&amp;" "&amp;T1438))),ISNUMBER(SEARCH("bond",LOWER(F1438&amp;" "&amp;H1438&amp;" "&amp;I1438&amp;" "&amp;M1438&amp;" "&amp;N1438&amp;" "&amp;T1438))),ISNUMBER(SEARCH("transaction",LOWER(F1438&amp;" "&amp;H1438&amp;" "&amp;I1438&amp;" "&amp;M1438&amp;" "&amp;N1438&amp;" "&amp;T1438)))),"PRIVATE_REVIEW","PUBLIC_CANDIDATE"))</x:f>
        <x:v>PUBLIC_CANDIDATE</x:v>
      </x:c>
      <x:c r="AD1438" s="12" t="str">
        <x:f>IF(AC1438="PRIVATE_QUARANTINE","hacker_or_bank_trigger",IF(AC1438="PRIVATE_REVIEW","finance_risk_trigger","none"))</x:f>
        <x:v>none</x:v>
      </x:c>
      <x:c r="AE1438" s="12" t="str">
        <x:f>IF(AC1438="PUBLIC_CANDIDATE","prepare_public_github_candidate",IF(AC1438="PRIVATE_REVIEW","hold_for_private_review","quarantine_private_do_not_publish"))</x:f>
        <x:v>prepare_public_github_candidate</x:v>
      </x:c>
      <x:c r="AF1438" s="12" t="str">
        <x:f>IF(AC1438="PUBLIC_CANDIDATE","TIDELOCK + Lucerna",IF(AC1438="PRIVATE_REVIEW","AtlasBrain + Lucerna","TIDELOCK + Lucerna + Human-root"))</x:f>
        <x:v>TIDELOCK + Lucerna</x:v>
      </x:c>
      <x:c r="AG1438" s="12" t="str">
        <x:f>IF(AND(AC1438="PUBLIC_CANDIDATE",U1438&lt;&gt;"BLOCKED_PENDING_RECEIPT"),"READY_AFTER_RECEIPT","NOT_READY")</x:f>
        <x:v>NOT_READY</x:v>
      </x:c>
      <x:c r="AH1438" s="12" t="str">
        <x:f>IF(AC1438="PUBLIC_CANDIDATE","none",AD1438)</x:f>
        <x:v>none</x:v>
      </x:c>
      <x:c r="AI1438" s="12" t="str">
        <x:f>IF(AC1438="PUBLIC_CANDIDATE","archive/public_candidates/"&amp;A1438,"private_quarantine/"&amp;A1438)</x:f>
        <x:v>archive/public_candidates/SWARM-10-H12-S09</x:v>
      </x:c>
      <x:c r="AJ1438" s="12" t="str">
        <x:f>IF(AC1438="PUBLIC_CANDIDATE","public by default; still not canon","private/hold; do not publish")</x:f>
        <x:v>public by default; still not canon</x:v>
      </x:c>
      <x:c r="AK1438" s="12" t="str">
        <x:f>IF(AE1438="prepare_public_github_candidate","add receipt/status then mirror","resolve blocker before any public GitHub action")</x:f>
        <x:v>add receipt/status then mirror</x:v>
      </x:c>
    </x:row>
    <x:row r="1439">
      <x:c r="A1439" s="15" t="str">
        <x:v>SWARM-10-H12-S10</x:v>
      </x:c>
      <x:c r="B1439" s="15" t="str">
        <x:v>GitShelf</x:v>
      </x:c>
      <x:c r="C1439" s="15" t="str">
        <x:v>GitHub shelf builder</x:v>
      </x:c>
      <x:c r="D1439" s="15" t="str">
        <x:v>Canon-Gate Prep</x:v>
      </x:c>
      <x:c r="E1439" s="15" t="str">
        <x:v>Human-Root</x:v>
      </x:c>
      <x:c r="F1439" s="15" t="str">
        <x:v>Prepare canon-gate brief for Human-Root — GitShelf</x:v>
      </x:c>
      <x:c r="G1439" s="15" t="str">
        <x:v>repo packet / manifest / issue template prep</x:v>
      </x:c>
      <x:c r="H1439" s="15" t="str">
        <x:v>source path + receipt + raw/export status + claim/edge/risk delta</x:v>
      </x:c>
      <x:c r="I1439" s="15" t="str">
        <x:v>packet/SWARM-10-H12-S10</x:v>
      </x:c>
      <x:c r="J1439" s="15" t="str">
        <x:v>TODO</x:v>
      </x:c>
      <x:c r="K1439" s="15" t="str">
        <x:v>P2</x:v>
      </x:c>
      <x:c r="L1439" s="15" t="str">
        <x:v>Done only when evidence is logged, contradiction search is noted, and boundary stamp remains non-canon unless ratified</x:v>
      </x:c>
      <x:c r="M1439" s="15" t="str">
        <x:v>candidate / staging-only / not canon / not deployed / authority none</x:v>
      </x:c>
      <x:c r="N1439" s="15" t="str">
        <x:v>Dispatch to GitShelf: complete Canon-Gate Prep x Human-Root; return deltas only, receipts required.</x:v>
      </x:c>
      <x:c r="O1439" s="15" t="str">
        <x:v>AF-KG-H12-S10</x:v>
      </x:c>
      <x:c r="P1439" s="15" t="str">
        <x:v>Unverified</x:v>
      </x:c>
      <x:c r="Q1439" s="15" t="str">
        <x:v>Not checked</x:v>
      </x:c>
      <x:c r="R1439" s="15" t="str"/>
      <x:c r="S1439" s="15" t="str"/>
      <x:c r="T1439" s="15" t="str">
        <x:v>Log first source path or blocker</x:v>
      </x:c>
      <x:c r="U1439" s="12" t="str">
        <x:f>IF(OR(P1439="Unverified",Q1439="Not checked"),"BLOCKED_PENDING_RECEIPT","READY_FOR_REVIEW")</x:f>
        <x:v>BLOCKED_PENDING_RECEIPT</x:v>
      </x:c>
      <x:c r="V1439" s="12" t="str">
        <x:f>IF(J1439="DONE","RETURNED",IF(U1439="BLOCKED_PENDING_RECEIPT","SOURCE_TOUCH_REQUIRED","IN_PROGRESS"))</x:f>
        <x:v>SOURCE_TOUCH_REQUIRED</x:v>
      </x:c>
      <x:c r="W1439" s="12" t="str">
        <x:f>IF(P1439="Unverified","missing_receipt","receipt_logged")</x:f>
        <x:v>missing_receipt</x:v>
      </x:c>
      <x:c r="X1439" s="12" t="str">
        <x:f>IF(Q1439="Not checked","raw_status_missing","raw_status_logged")</x:f>
        <x:v>raw_status_missing</x:v>
      </x:c>
      <x:c r="Y1439" s="12" t="str">
        <x:f>IF(U1439="BLOCKED_PENDING_RECEIPT","Log source path or blocker; do not promote","Route to review lane")</x:f>
        <x:v>Log source path or blocker; do not promote</x:v>
      </x:c>
      <x:c r="Z1439" s="12" t="str">
        <x:f>IF(K1439="P0","Primary seat + Hashlight/Lucerna","Seat lane")</x:f>
        <x:v>Seat lane</x:v>
      </x:c>
      <x:c r="AA1439" s="12" t="str">
        <x:f>IF(R1439="","no_claim_delta","claim_delta_present")</x:f>
        <x:v>no_claim_delta</x:v>
      </x:c>
      <x:c r="AB1439" s="12" t="str">
        <x:f>IF(S1439="","no_contradiction_delta","contradiction_delta_present")</x:f>
        <x:v>no_contradiction_delta</x:v>
      </x:c>
      <x:c r="AC1439" s="12" t="str">
        <x:f>IF(OR(ISNUMBER(SEARCH("hacker",LOWER(F1439&amp;" "&amp;H1439&amp;" "&amp;I1439&amp;" "&amp;M1439&amp;" "&amp;N1439&amp;" "&amp;T1439))),ISNUMBER(SEARCH("hacking",LOWER(F1439&amp;" "&amp;H1439&amp;" "&amp;I1439&amp;" "&amp;M1439&amp;" "&amp;N1439&amp;" "&amp;T1439))),ISNUMBER(SEARCH("bank",LOWER(F1439&amp;" "&amp;H1439&amp;" "&amp;I1439&amp;" "&amp;M1439&amp;" "&amp;N1439&amp;" "&amp;T1439))),ISNUMBER(SEARCH("banking",LOWER(F1439&amp;" "&amp;H1439&amp;" "&amp;I1439&amp;" "&amp;M1439&amp;" "&amp;N1439&amp;" "&amp;T1439)))),"PRIVATE_QUARANTINE",IF(OR(ISNUMBER(SEARCH("treasury",LOWER(F1439&amp;" "&amp;H1439&amp;" "&amp;I1439&amp;" "&amp;M1439&amp;" "&amp;N1439&amp;" "&amp;T1439))),ISNUMBER(SEARCH("debt",LOWER(F1439&amp;" "&amp;H1439&amp;" "&amp;I1439&amp;" "&amp;M1439&amp;" "&amp;N1439&amp;" "&amp;T1439))),ISNUMBER(SEARCH("bond",LOWER(F1439&amp;" "&amp;H1439&amp;" "&amp;I1439&amp;" "&amp;M1439&amp;" "&amp;N1439&amp;" "&amp;T1439))),ISNUMBER(SEARCH("transaction",LOWER(F1439&amp;" "&amp;H1439&amp;" "&amp;I1439&amp;" "&amp;M1439&amp;" "&amp;N1439&amp;" "&amp;T1439)))),"PRIVATE_REVIEW","PUBLIC_CANDIDATE"))</x:f>
        <x:v>PUBLIC_CANDIDATE</x:v>
      </x:c>
      <x:c r="AD1439" s="12" t="str">
        <x:f>IF(AC1439="PRIVATE_QUARANTINE","hacker_or_bank_trigger",IF(AC1439="PRIVATE_REVIEW","finance_risk_trigger","none"))</x:f>
        <x:v>none</x:v>
      </x:c>
      <x:c r="AE1439" s="12" t="str">
        <x:f>IF(AC1439="PUBLIC_CANDIDATE","prepare_public_github_candidate",IF(AC1439="PRIVATE_REVIEW","hold_for_private_review","quarantine_private_do_not_publish"))</x:f>
        <x:v>prepare_public_github_candidate</x:v>
      </x:c>
      <x:c r="AF1439" s="12" t="str">
        <x:f>IF(AC1439="PUBLIC_CANDIDATE","TIDELOCK + Lucerna",IF(AC1439="PRIVATE_REVIEW","AtlasBrain + Lucerna","TIDELOCK + Lucerna + Human-root"))</x:f>
        <x:v>TIDELOCK + Lucerna</x:v>
      </x:c>
      <x:c r="AG1439" s="12" t="str">
        <x:f>IF(AND(AC1439="PUBLIC_CANDIDATE",U1439&lt;&gt;"BLOCKED_PENDING_RECEIPT"),"READY_AFTER_RECEIPT","NOT_READY")</x:f>
        <x:v>NOT_READY</x:v>
      </x:c>
      <x:c r="AH1439" s="12" t="str">
        <x:f>IF(AC1439="PUBLIC_CANDIDATE","none",AD1439)</x:f>
        <x:v>none</x:v>
      </x:c>
      <x:c r="AI1439" s="12" t="str">
        <x:f>IF(AC1439="PUBLIC_CANDIDATE","archive/public_candidates/"&amp;A1439,"private_quarantine/"&amp;A1439)</x:f>
        <x:v>archive/public_candidates/SWARM-10-H12-S10</x:v>
      </x:c>
      <x:c r="AJ1439" s="12" t="str">
        <x:f>IF(AC1439="PUBLIC_CANDIDATE","public by default; still not canon","private/hold; do not publish")</x:f>
        <x:v>public by default; still not canon</x:v>
      </x:c>
      <x:c r="AK1439" s="12" t="str">
        <x:f>IF(AE1439="prepare_public_github_candidate","add receipt/status then mirror","resolve blocker before any public GitHub action")</x:f>
        <x:v>add receipt/status then mirror</x:v>
      </x:c>
    </x:row>
    <x:row r="1440">
      <x:c r="A1440" s="15" t="str">
        <x:v>SWARM-10-H12-S11</x:v>
      </x:c>
      <x:c r="B1440" s="15" t="str">
        <x:v>GitShelf</x:v>
      </x:c>
      <x:c r="C1440" s="15" t="str">
        <x:v>GitHub shelf builder</x:v>
      </x:c>
      <x:c r="D1440" s="15" t="str">
        <x:v>Canon-Gate Prep</x:v>
      </x:c>
      <x:c r="E1440" s="15" t="str">
        <x:v>Automation</x:v>
      </x:c>
      <x:c r="F1440" s="15" t="str">
        <x:v>Prepare canon-gate brief for Automation — GitShelf</x:v>
      </x:c>
      <x:c r="G1440" s="15" t="str">
        <x:v>repo packet / manifest / issue template prep</x:v>
      </x:c>
      <x:c r="H1440" s="15" t="str">
        <x:v>source path + receipt + raw/export status + claim/edge/risk delta</x:v>
      </x:c>
      <x:c r="I1440" s="15" t="str">
        <x:v>packet/SWARM-10-H12-S11</x:v>
      </x:c>
      <x:c r="J1440" s="15" t="str">
        <x:v>TODO</x:v>
      </x:c>
      <x:c r="K1440" s="15" t="str">
        <x:v>P2</x:v>
      </x:c>
      <x:c r="L1440" s="15" t="str">
        <x:v>Done only when evidence is logged, contradiction search is noted, and boundary stamp remains non-canon unless ratified</x:v>
      </x:c>
      <x:c r="M1440" s="15" t="str">
        <x:v>candidate / staging-only / not canon / not deployed / authority none</x:v>
      </x:c>
      <x:c r="N1440" s="15" t="str">
        <x:v>Dispatch to GitShelf: complete Canon-Gate Prep x Automation; return deltas only, receipts required.</x:v>
      </x:c>
      <x:c r="O1440" s="15" t="str">
        <x:v>AF-KG-H12-S11</x:v>
      </x:c>
      <x:c r="P1440" s="15" t="str">
        <x:v>Unverified</x:v>
      </x:c>
      <x:c r="Q1440" s="15" t="str">
        <x:v>Not checked</x:v>
      </x:c>
      <x:c r="R1440" s="15" t="str"/>
      <x:c r="S1440" s="15" t="str"/>
      <x:c r="T1440" s="15" t="str">
        <x:v>Log first source path or blocker</x:v>
      </x:c>
      <x:c r="U1440" s="12" t="str">
        <x:f>IF(OR(P1440="Unverified",Q1440="Not checked"),"BLOCKED_PENDING_RECEIPT","READY_FOR_REVIEW")</x:f>
        <x:v>BLOCKED_PENDING_RECEIPT</x:v>
      </x:c>
      <x:c r="V1440" s="12" t="str">
        <x:f>IF(J1440="DONE","RETURNED",IF(U1440="BLOCKED_PENDING_RECEIPT","SOURCE_TOUCH_REQUIRED","IN_PROGRESS"))</x:f>
        <x:v>SOURCE_TOUCH_REQUIRED</x:v>
      </x:c>
      <x:c r="W1440" s="12" t="str">
        <x:f>IF(P1440="Unverified","missing_receipt","receipt_logged")</x:f>
        <x:v>missing_receipt</x:v>
      </x:c>
      <x:c r="X1440" s="12" t="str">
        <x:f>IF(Q1440="Not checked","raw_status_missing","raw_status_logged")</x:f>
        <x:v>raw_status_missing</x:v>
      </x:c>
      <x:c r="Y1440" s="12" t="str">
        <x:f>IF(U1440="BLOCKED_PENDING_RECEIPT","Log source path or blocker; do not promote","Route to review lane")</x:f>
        <x:v>Log source path or blocker; do not promote</x:v>
      </x:c>
      <x:c r="Z1440" s="12" t="str">
        <x:f>IF(K1440="P0","Primary seat + Hashlight/Lucerna","Seat lane")</x:f>
        <x:v>Seat lane</x:v>
      </x:c>
      <x:c r="AA1440" s="12" t="str">
        <x:f>IF(R1440="","no_claim_delta","claim_delta_present")</x:f>
        <x:v>no_claim_delta</x:v>
      </x:c>
      <x:c r="AB1440" s="12" t="str">
        <x:f>IF(S1440="","no_contradiction_delta","contradiction_delta_present")</x:f>
        <x:v>no_contradiction_delta</x:v>
      </x:c>
      <x:c r="AC1440" s="12" t="str">
        <x:f>IF(OR(ISNUMBER(SEARCH("hacker",LOWER(F1440&amp;" "&amp;H1440&amp;" "&amp;I1440&amp;" "&amp;M1440&amp;" "&amp;N1440&amp;" "&amp;T1440))),ISNUMBER(SEARCH("hacking",LOWER(F1440&amp;" "&amp;H1440&amp;" "&amp;I1440&amp;" "&amp;M1440&amp;" "&amp;N1440&amp;" "&amp;T1440))),ISNUMBER(SEARCH("bank",LOWER(F1440&amp;" "&amp;H1440&amp;" "&amp;I1440&amp;" "&amp;M1440&amp;" "&amp;N1440&amp;" "&amp;T1440))),ISNUMBER(SEARCH("banking",LOWER(F1440&amp;" "&amp;H1440&amp;" "&amp;I1440&amp;" "&amp;M1440&amp;" "&amp;N1440&amp;" "&amp;T1440)))),"PRIVATE_QUARANTINE",IF(OR(ISNUMBER(SEARCH("treasury",LOWER(F1440&amp;" "&amp;H1440&amp;" "&amp;I1440&amp;" "&amp;M1440&amp;" "&amp;N1440&amp;" "&amp;T1440))),ISNUMBER(SEARCH("debt",LOWER(F1440&amp;" "&amp;H1440&amp;" "&amp;I1440&amp;" "&amp;M1440&amp;" "&amp;N1440&amp;" "&amp;T1440))),ISNUMBER(SEARCH("bond",LOWER(F1440&amp;" "&amp;H1440&amp;" "&amp;I1440&amp;" "&amp;M1440&amp;" "&amp;N1440&amp;" "&amp;T1440))),ISNUMBER(SEARCH("transaction",LOWER(F1440&amp;" "&amp;H1440&amp;" "&amp;I1440&amp;" "&amp;M1440&amp;" "&amp;N1440&amp;" "&amp;T1440)))),"PRIVATE_REVIEW","PUBLIC_CANDIDATE"))</x:f>
        <x:v>PUBLIC_CANDIDATE</x:v>
      </x:c>
      <x:c r="AD1440" s="12" t="str">
        <x:f>IF(AC1440="PRIVATE_QUARANTINE","hacker_or_bank_trigger",IF(AC1440="PRIVATE_REVIEW","finance_risk_trigger","none"))</x:f>
        <x:v>none</x:v>
      </x:c>
      <x:c r="AE1440" s="12" t="str">
        <x:f>IF(AC1440="PUBLIC_CANDIDATE","prepare_public_github_candidate",IF(AC1440="PRIVATE_REVIEW","hold_for_private_review","quarantine_private_do_not_publish"))</x:f>
        <x:v>prepare_public_github_candidate</x:v>
      </x:c>
      <x:c r="AF1440" s="12" t="str">
        <x:f>IF(AC1440="PUBLIC_CANDIDATE","TIDELOCK + Lucerna",IF(AC1440="PRIVATE_REVIEW","AtlasBrain + Lucerna","TIDELOCK + Lucerna + Human-root"))</x:f>
        <x:v>TIDELOCK + Lucerna</x:v>
      </x:c>
      <x:c r="AG1440" s="12" t="str">
        <x:f>IF(AND(AC1440="PUBLIC_CANDIDATE",U1440&lt;&gt;"BLOCKED_PENDING_RECEIPT"),"READY_AFTER_RECEIPT","NOT_READY")</x:f>
        <x:v>NOT_READY</x:v>
      </x:c>
      <x:c r="AH1440" s="12" t="str">
        <x:f>IF(AC1440="PUBLIC_CANDIDATE","none",AD1440)</x:f>
        <x:v>none</x:v>
      </x:c>
      <x:c r="AI1440" s="12" t="str">
        <x:f>IF(AC1440="PUBLIC_CANDIDATE","archive/public_candidates/"&amp;A1440,"private_quarantine/"&amp;A1440)</x:f>
        <x:v>archive/public_candidates/SWARM-10-H12-S11</x:v>
      </x:c>
      <x:c r="AJ1440" s="12" t="str">
        <x:f>IF(AC1440="PUBLIC_CANDIDATE","public by default; still not canon","private/hold; do not publish")</x:f>
        <x:v>public by default; still not canon</x:v>
      </x:c>
      <x:c r="AK1440" s="12" t="str">
        <x:f>IF(AE1440="prepare_public_github_candidate","add receipt/status then mirror","resolve blocker before any public GitHub action")</x:f>
        <x:v>add receipt/status then mirror</x:v>
      </x:c>
    </x:row>
    <x:row r="1441">
      <x:c r="A1441" s="15" t="str">
        <x:v>SWARM-10-H12-S12</x:v>
      </x:c>
      <x:c r="B1441" s="15" t="str">
        <x:v>GitShelf</x:v>
      </x:c>
      <x:c r="C1441" s="15" t="str">
        <x:v>GitHub shelf builder</x:v>
      </x:c>
      <x:c r="D1441" s="15" t="str">
        <x:v>Canon-Gate Prep</x:v>
      </x:c>
      <x:c r="E1441" s="15" t="str">
        <x:v>Risk / Safety</x:v>
      </x:c>
      <x:c r="F1441" s="15" t="str">
        <x:v>Prepare canon-gate brief for Risk / Safety — GitShelf</x:v>
      </x:c>
      <x:c r="G1441" s="15" t="str">
        <x:v>repo packet / manifest / issue template prep</x:v>
      </x:c>
      <x:c r="H1441" s="15" t="str">
        <x:v>source path + receipt + raw/export status + claim/edge/risk delta</x:v>
      </x:c>
      <x:c r="I1441" s="15" t="str">
        <x:v>packet/SWARM-10-H12-S12</x:v>
      </x:c>
      <x:c r="J1441" s="15" t="str">
        <x:v>TODO</x:v>
      </x:c>
      <x:c r="K1441" s="15" t="str">
        <x:v>P2</x:v>
      </x:c>
      <x:c r="L1441" s="15" t="str">
        <x:v>Done only when evidence is logged, contradiction search is noted, and boundary stamp remains non-canon unless ratified</x:v>
      </x:c>
      <x:c r="M1441" s="15" t="str">
        <x:v>candidate / staging-only / not canon / not deployed / authority none</x:v>
      </x:c>
      <x:c r="N1441" s="15" t="str">
        <x:v>Dispatch to GitShelf: complete Canon-Gate Prep x Risk / Safety; return deltas only, receipts required.</x:v>
      </x:c>
      <x:c r="O1441" s="15" t="str">
        <x:v>AF-KG-H12-S12</x:v>
      </x:c>
      <x:c r="P1441" s="15" t="str">
        <x:v>Unverified</x:v>
      </x:c>
      <x:c r="Q1441" s="15" t="str">
        <x:v>Not checked</x:v>
      </x:c>
      <x:c r="R1441" s="15" t="str"/>
      <x:c r="S1441" s="15" t="str"/>
      <x:c r="T1441" s="15" t="str">
        <x:v>Log first source path or blocker</x:v>
      </x:c>
      <x:c r="U1441" s="12" t="str">
        <x:f>IF(OR(P1441="Unverified",Q1441="Not checked"),"BLOCKED_PENDING_RECEIPT","READY_FOR_REVIEW")</x:f>
        <x:v>BLOCKED_PENDING_RECEIPT</x:v>
      </x:c>
      <x:c r="V1441" s="12" t="str">
        <x:f>IF(J1441="DONE","RETURNED",IF(U1441="BLOCKED_PENDING_RECEIPT","SOURCE_TOUCH_REQUIRED","IN_PROGRESS"))</x:f>
        <x:v>SOURCE_TOUCH_REQUIRED</x:v>
      </x:c>
      <x:c r="W1441" s="12" t="str">
        <x:f>IF(P1441="Unverified","missing_receipt","receipt_logged")</x:f>
        <x:v>missing_receipt</x:v>
      </x:c>
      <x:c r="X1441" s="12" t="str">
        <x:f>IF(Q1441="Not checked","raw_status_missing","raw_status_logged")</x:f>
        <x:v>raw_status_missing</x:v>
      </x:c>
      <x:c r="Y1441" s="12" t="str">
        <x:f>IF(U1441="BLOCKED_PENDING_RECEIPT","Log source path or blocker; do not promote","Route to review lane")</x:f>
        <x:v>Log source path or blocker; do not promote</x:v>
      </x:c>
      <x:c r="Z1441" s="12" t="str">
        <x:f>IF(K1441="P0","Primary seat + Hashlight/Lucerna","Seat lane")</x:f>
        <x:v>Seat lane</x:v>
      </x:c>
      <x:c r="AA1441" s="12" t="str">
        <x:f>IF(R1441="","no_claim_delta","claim_delta_present")</x:f>
        <x:v>no_claim_delta</x:v>
      </x:c>
      <x:c r="AB1441" s="12" t="str">
        <x:f>IF(S1441="","no_contradiction_delta","contradiction_delta_present")</x:f>
        <x:v>no_contradiction_delta</x:v>
      </x:c>
      <x:c r="AC1441" s="12" t="str">
        <x:f>IF(OR(ISNUMBER(SEARCH("hacker",LOWER(F1441&amp;" "&amp;H1441&amp;" "&amp;I1441&amp;" "&amp;M1441&amp;" "&amp;N1441&amp;" "&amp;T1441))),ISNUMBER(SEARCH("hacking",LOWER(F1441&amp;" "&amp;H1441&amp;" "&amp;I1441&amp;" "&amp;M1441&amp;" "&amp;N1441&amp;" "&amp;T1441))),ISNUMBER(SEARCH("bank",LOWER(F1441&amp;" "&amp;H1441&amp;" "&amp;I1441&amp;" "&amp;M1441&amp;" "&amp;N1441&amp;" "&amp;T1441))),ISNUMBER(SEARCH("banking",LOWER(F1441&amp;" "&amp;H1441&amp;" "&amp;I1441&amp;" "&amp;M1441&amp;" "&amp;N1441&amp;" "&amp;T1441)))),"PRIVATE_QUARANTINE",IF(OR(ISNUMBER(SEARCH("treasury",LOWER(F1441&amp;" "&amp;H1441&amp;" "&amp;I1441&amp;" "&amp;M1441&amp;" "&amp;N1441&amp;" "&amp;T1441))),ISNUMBER(SEARCH("debt",LOWER(F1441&amp;" "&amp;H1441&amp;" "&amp;I1441&amp;" "&amp;M1441&amp;" "&amp;N1441&amp;" "&amp;T1441))),ISNUMBER(SEARCH("bond",LOWER(F1441&amp;" "&amp;H1441&amp;" "&amp;I1441&amp;" "&amp;M1441&amp;" "&amp;N1441&amp;" "&amp;T1441))),ISNUMBER(SEARCH("transaction",LOWER(F1441&amp;" "&amp;H1441&amp;" "&amp;I1441&amp;" "&amp;M1441&amp;" "&amp;N1441&amp;" "&amp;T1441)))),"PRIVATE_REVIEW","PUBLIC_CANDIDATE"))</x:f>
        <x:v>PUBLIC_CANDIDATE</x:v>
      </x:c>
      <x:c r="AD1441" s="12" t="str">
        <x:f>IF(AC1441="PRIVATE_QUARANTINE","hacker_or_bank_trigger",IF(AC1441="PRIVATE_REVIEW","finance_risk_trigger","none"))</x:f>
        <x:v>none</x:v>
      </x:c>
      <x:c r="AE1441" s="12" t="str">
        <x:f>IF(AC1441="PUBLIC_CANDIDATE","prepare_public_github_candidate",IF(AC1441="PRIVATE_REVIEW","hold_for_private_review","quarantine_private_do_not_publish"))</x:f>
        <x:v>prepare_public_github_candidate</x:v>
      </x:c>
      <x:c r="AF1441" s="12" t="str">
        <x:f>IF(AC1441="PUBLIC_CANDIDATE","TIDELOCK + Lucerna",IF(AC1441="PRIVATE_REVIEW","AtlasBrain + Lucerna","TIDELOCK + Lucerna + Human-root"))</x:f>
        <x:v>TIDELOCK + Lucerna</x:v>
      </x:c>
      <x:c r="AG1441" s="12" t="str">
        <x:f>IF(AND(AC1441="PUBLIC_CANDIDATE",U1441&lt;&gt;"BLOCKED_PENDING_RECEIPT"),"READY_AFTER_RECEIPT","NOT_READY")</x:f>
        <x:v>NOT_READY</x:v>
      </x:c>
      <x:c r="AH1441" s="12" t="str">
        <x:f>IF(AC1441="PUBLIC_CANDIDATE","none",AD1441)</x:f>
        <x:v>none</x:v>
      </x:c>
      <x:c r="AI1441" s="12" t="str">
        <x:f>IF(AC1441="PUBLIC_CANDIDATE","archive/public_candidates/"&amp;A1441,"private_quarantine/"&amp;A1441)</x:f>
        <x:v>archive/public_candidates/SWARM-10-H12-S12</x:v>
      </x:c>
      <x:c r="AJ1441" s="12" t="str">
        <x:f>IF(AC1441="PUBLIC_CANDIDATE","public by default; still not canon","private/hold; do not publish")</x:f>
        <x:v>public by default; still not canon</x:v>
      </x:c>
      <x:c r="AK1441" s="12" t="str">
        <x:f>IF(AE1441="prepare_public_github_candidate","add receipt/status then mirror","resolve blocker before any public GitHub action")</x:f>
        <x:v>add receipt/status then mirror</x:v>
      </x:c>
    </x:row>
    <x:row r="1442">
      <x:c r="A1442" s="15" t="str">
        <x:v>SWARM-11-H01-S01</x:v>
      </x:c>
      <x:c r="B1442" s="15" t="str">
        <x:v>ClaudeCatcher</x:v>
      </x:c>
      <x:c r="C1442" s="15" t="str">
        <x:v>Bullshit Olympics referee</x:v>
      </x:c>
      <x:c r="D1442" s="15" t="str">
        <x:v>Source Inventory</x:v>
      </x:c>
      <x:c r="E1442" s="15" t="str">
        <x:v>Notion</x:v>
      </x:c>
      <x:c r="F1442" s="15" t="str">
        <x:v>Inventory Notion — ClaudeCatcher</x:v>
      </x:c>
      <x:c r="G1442" s="15" t="str">
        <x:v>adversarial claims / model overclaim detection</x:v>
      </x:c>
      <x:c r="H1442" s="15" t="str">
        <x:v>source path + receipt + raw/export status + claim/edge/risk delta</x:v>
      </x:c>
      <x:c r="I1442" s="15" t="str">
        <x:v>packet/SWARM-11-H01-S01</x:v>
      </x:c>
      <x:c r="J1442" s="15" t="str">
        <x:v>TODO</x:v>
      </x:c>
      <x:c r="K1442" s="15" t="str">
        <x:v>P0</x:v>
      </x:c>
      <x:c r="L1442" s="15" t="str">
        <x:v>Done only when evidence is logged, contradiction search is noted, and boundary stamp remains non-canon unless ratified</x:v>
      </x:c>
      <x:c r="M1442" s="15" t="str">
        <x:v>candidate / staging-only / not canon / not deployed / authority none</x:v>
      </x:c>
      <x:c r="N1442" s="15" t="str">
        <x:v>Dispatch to ClaudeCatcher: complete Source Inventory x Notion; return deltas only, receipts required.</x:v>
      </x:c>
      <x:c r="O1442" s="15" t="str">
        <x:v>AF-KG-H01-S01</x:v>
      </x:c>
      <x:c r="P1442" s="15" t="str">
        <x:v>Unverified</x:v>
      </x:c>
      <x:c r="Q1442" s="15" t="str">
        <x:v>Not checked</x:v>
      </x:c>
      <x:c r="R1442" s="15" t="str"/>
      <x:c r="S1442" s="15" t="str"/>
      <x:c r="T1442" s="15" t="str">
        <x:v>Log first source path or blocker</x:v>
      </x:c>
      <x:c r="U1442" s="12" t="str">
        <x:f>IF(OR(P1442="Unverified",Q1442="Not checked"),"BLOCKED_PENDING_RECEIPT","READY_FOR_REVIEW")</x:f>
        <x:v>BLOCKED_PENDING_RECEIPT</x:v>
      </x:c>
      <x:c r="V1442" s="12" t="str">
        <x:f>IF(J1442="DONE","RETURNED",IF(U1442="BLOCKED_PENDING_RECEIPT","SOURCE_TOUCH_REQUIRED","IN_PROGRESS"))</x:f>
        <x:v>SOURCE_TOUCH_REQUIRED</x:v>
      </x:c>
      <x:c r="W1442" s="12" t="str">
        <x:f>IF(P1442="Unverified","missing_receipt","receipt_logged")</x:f>
        <x:v>missing_receipt</x:v>
      </x:c>
      <x:c r="X1442" s="12" t="str">
        <x:f>IF(Q1442="Not checked","raw_status_missing","raw_status_logged")</x:f>
        <x:v>raw_status_missing</x:v>
      </x:c>
      <x:c r="Y1442" s="12" t="str">
        <x:f>IF(U1442="BLOCKED_PENDING_RECEIPT","Log source path or blocker; do not promote","Route to review lane")</x:f>
        <x:v>Log source path or blocker; do not promote</x:v>
      </x:c>
      <x:c r="Z1442" s="12" t="str">
        <x:f>IF(K1442="P0","Primary seat + Hashlight/Lucerna","Seat lane")</x:f>
        <x:v>Primary seat + Hashlight/Lucerna</x:v>
      </x:c>
      <x:c r="AA1442" s="12" t="str">
        <x:f>IF(R1442="","no_claim_delta","claim_delta_present")</x:f>
        <x:v>no_claim_delta</x:v>
      </x:c>
      <x:c r="AB1442" s="12" t="str">
        <x:f>IF(S1442="","no_contradiction_delta","contradiction_delta_present")</x:f>
        <x:v>no_contradiction_delta</x:v>
      </x:c>
      <x:c r="AC1442" s="12" t="str">
        <x:f>IF(OR(ISNUMBER(SEARCH("hacker",LOWER(F1442&amp;" "&amp;H1442&amp;" "&amp;I1442&amp;" "&amp;M1442&amp;" "&amp;N1442&amp;" "&amp;T1442))),ISNUMBER(SEARCH("hacking",LOWER(F1442&amp;" "&amp;H1442&amp;" "&amp;I1442&amp;" "&amp;M1442&amp;" "&amp;N1442&amp;" "&amp;T1442))),ISNUMBER(SEARCH("bank",LOWER(F1442&amp;" "&amp;H1442&amp;" "&amp;I1442&amp;" "&amp;M1442&amp;" "&amp;N1442&amp;" "&amp;T1442))),ISNUMBER(SEARCH("banking",LOWER(F1442&amp;" "&amp;H1442&amp;" "&amp;I1442&amp;" "&amp;M1442&amp;" "&amp;N1442&amp;" "&amp;T1442)))),"PRIVATE_QUARANTINE",IF(OR(ISNUMBER(SEARCH("treasury",LOWER(F1442&amp;" "&amp;H1442&amp;" "&amp;I1442&amp;" "&amp;M1442&amp;" "&amp;N1442&amp;" "&amp;T1442))),ISNUMBER(SEARCH("debt",LOWER(F1442&amp;" "&amp;H1442&amp;" "&amp;I1442&amp;" "&amp;M1442&amp;" "&amp;N1442&amp;" "&amp;T1442))),ISNUMBER(SEARCH("bond",LOWER(F1442&amp;" "&amp;H1442&amp;" "&amp;I1442&amp;" "&amp;M1442&amp;" "&amp;N1442&amp;" "&amp;T1442))),ISNUMBER(SEARCH("transaction",LOWER(F1442&amp;" "&amp;H1442&amp;" "&amp;I1442&amp;" "&amp;M1442&amp;" "&amp;N1442&amp;" "&amp;T1442)))),"PRIVATE_REVIEW","PUBLIC_CANDIDATE"))</x:f>
        <x:v>PUBLIC_CANDIDATE</x:v>
      </x:c>
      <x:c r="AD1442" s="12" t="str">
        <x:f>IF(AC1442="PRIVATE_QUARANTINE","hacker_or_bank_trigger",IF(AC1442="PRIVATE_REVIEW","finance_risk_trigger","none"))</x:f>
        <x:v>none</x:v>
      </x:c>
      <x:c r="AE1442" s="12" t="str">
        <x:f>IF(AC1442="PUBLIC_CANDIDATE","prepare_public_github_candidate",IF(AC1442="PRIVATE_REVIEW","hold_for_private_review","quarantine_private_do_not_publish"))</x:f>
        <x:v>prepare_public_github_candidate</x:v>
      </x:c>
      <x:c r="AF1442" s="12" t="str">
        <x:f>IF(AC1442="PUBLIC_CANDIDATE","TIDELOCK + Lucerna",IF(AC1442="PRIVATE_REVIEW","AtlasBrain + Lucerna","TIDELOCK + Lucerna + Human-root"))</x:f>
        <x:v>TIDELOCK + Lucerna</x:v>
      </x:c>
      <x:c r="AG1442" s="12" t="str">
        <x:f>IF(AND(AC1442="PUBLIC_CANDIDATE",U1442&lt;&gt;"BLOCKED_PENDING_RECEIPT"),"READY_AFTER_RECEIPT","NOT_READY")</x:f>
        <x:v>NOT_READY</x:v>
      </x:c>
      <x:c r="AH1442" s="12" t="str">
        <x:f>IF(AC1442="PUBLIC_CANDIDATE","none",AD1442)</x:f>
        <x:v>none</x:v>
      </x:c>
      <x:c r="AI1442" s="12" t="str">
        <x:f>IF(AC1442="PUBLIC_CANDIDATE","archive/public_candidates/"&amp;A1442,"private_quarantine/"&amp;A1442)</x:f>
        <x:v>archive/public_candidates/SWARM-11-H01-S01</x:v>
      </x:c>
      <x:c r="AJ1442" s="12" t="str">
        <x:f>IF(AC1442="PUBLIC_CANDIDATE","public by default; still not canon","private/hold; do not publish")</x:f>
        <x:v>public by default; still not canon</x:v>
      </x:c>
      <x:c r="AK1442" s="12" t="str">
        <x:f>IF(AE1442="prepare_public_github_candidate","add receipt/status then mirror","resolve blocker before any public GitHub action")</x:f>
        <x:v>add receipt/status then mirror</x:v>
      </x:c>
    </x:row>
    <x:row r="1443">
      <x:c r="A1443" s="15" t="str">
        <x:v>SWARM-11-H01-S02</x:v>
      </x:c>
      <x:c r="B1443" s="15" t="str">
        <x:v>ClaudeCatcher</x:v>
      </x:c>
      <x:c r="C1443" s="15" t="str">
        <x:v>Bullshit Olympics referee</x:v>
      </x:c>
      <x:c r="D1443" s="15" t="str">
        <x:v>Source Inventory</x:v>
      </x:c>
      <x:c r="E1443" s="15" t="str">
        <x:v>Drive</x:v>
      </x:c>
      <x:c r="F1443" s="15" t="str">
        <x:v>Inventory Drive — ClaudeCatcher</x:v>
      </x:c>
      <x:c r="G1443" s="15" t="str">
        <x:v>adversarial claims / model overclaim detection</x:v>
      </x:c>
      <x:c r="H1443" s="15" t="str">
        <x:v>source path + receipt + raw/export status + claim/edge/risk delta</x:v>
      </x:c>
      <x:c r="I1443" s="15" t="str">
        <x:v>packet/SWARM-11-H01-S02</x:v>
      </x:c>
      <x:c r="J1443" s="15" t="str">
        <x:v>TODO</x:v>
      </x:c>
      <x:c r="K1443" s="15" t="str">
        <x:v>P0</x:v>
      </x:c>
      <x:c r="L1443" s="15" t="str">
        <x:v>Done only when evidence is logged, contradiction search is noted, and boundary stamp remains non-canon unless ratified</x:v>
      </x:c>
      <x:c r="M1443" s="15" t="str">
        <x:v>candidate / staging-only / not canon / not deployed / authority none</x:v>
      </x:c>
      <x:c r="N1443" s="15" t="str">
        <x:v>Dispatch to ClaudeCatcher: complete Source Inventory x Drive; return deltas only, receipts required.</x:v>
      </x:c>
      <x:c r="O1443" s="15" t="str">
        <x:v>AF-KG-H01-S02</x:v>
      </x:c>
      <x:c r="P1443" s="15" t="str">
        <x:v>Unverified</x:v>
      </x:c>
      <x:c r="Q1443" s="15" t="str">
        <x:v>Not checked</x:v>
      </x:c>
      <x:c r="R1443" s="15" t="str"/>
      <x:c r="S1443" s="15" t="str"/>
      <x:c r="T1443" s="15" t="str">
        <x:v>Log first source path or blocker</x:v>
      </x:c>
      <x:c r="U1443" s="12" t="str">
        <x:f>IF(OR(P1443="Unverified",Q1443="Not checked"),"BLOCKED_PENDING_RECEIPT","READY_FOR_REVIEW")</x:f>
        <x:v>BLOCKED_PENDING_RECEIPT</x:v>
      </x:c>
      <x:c r="V1443" s="12" t="str">
        <x:f>IF(J1443="DONE","RETURNED",IF(U1443="BLOCKED_PENDING_RECEIPT","SOURCE_TOUCH_REQUIRED","IN_PROGRESS"))</x:f>
        <x:v>SOURCE_TOUCH_REQUIRED</x:v>
      </x:c>
      <x:c r="W1443" s="12" t="str">
        <x:f>IF(P1443="Unverified","missing_receipt","receipt_logged")</x:f>
        <x:v>missing_receipt</x:v>
      </x:c>
      <x:c r="X1443" s="12" t="str">
        <x:f>IF(Q1443="Not checked","raw_status_missing","raw_status_logged")</x:f>
        <x:v>raw_status_missing</x:v>
      </x:c>
      <x:c r="Y1443" s="12" t="str">
        <x:f>IF(U1443="BLOCKED_PENDING_RECEIPT","Log source path or blocker; do not promote","Route to review lane")</x:f>
        <x:v>Log source path or blocker; do not promote</x:v>
      </x:c>
      <x:c r="Z1443" s="12" t="str">
        <x:f>IF(K1443="P0","Primary seat + Hashlight/Lucerna","Seat lane")</x:f>
        <x:v>Primary seat + Hashlight/Lucerna</x:v>
      </x:c>
      <x:c r="AA1443" s="12" t="str">
        <x:f>IF(R1443="","no_claim_delta","claim_delta_present")</x:f>
        <x:v>no_claim_delta</x:v>
      </x:c>
      <x:c r="AB1443" s="12" t="str">
        <x:f>IF(S1443="","no_contradiction_delta","contradiction_delta_present")</x:f>
        <x:v>no_contradiction_delta</x:v>
      </x:c>
      <x:c r="AC1443" s="12" t="str">
        <x:f>IF(OR(ISNUMBER(SEARCH("hacker",LOWER(F1443&amp;" "&amp;H1443&amp;" "&amp;I1443&amp;" "&amp;M1443&amp;" "&amp;N1443&amp;" "&amp;T1443))),ISNUMBER(SEARCH("hacking",LOWER(F1443&amp;" "&amp;H1443&amp;" "&amp;I1443&amp;" "&amp;M1443&amp;" "&amp;N1443&amp;" "&amp;T1443))),ISNUMBER(SEARCH("bank",LOWER(F1443&amp;" "&amp;H1443&amp;" "&amp;I1443&amp;" "&amp;M1443&amp;" "&amp;N1443&amp;" "&amp;T1443))),ISNUMBER(SEARCH("banking",LOWER(F1443&amp;" "&amp;H1443&amp;" "&amp;I1443&amp;" "&amp;M1443&amp;" "&amp;N1443&amp;" "&amp;T1443)))),"PRIVATE_QUARANTINE",IF(OR(ISNUMBER(SEARCH("treasury",LOWER(F1443&amp;" "&amp;H1443&amp;" "&amp;I1443&amp;" "&amp;M1443&amp;" "&amp;N1443&amp;" "&amp;T1443))),ISNUMBER(SEARCH("debt",LOWER(F1443&amp;" "&amp;H1443&amp;" "&amp;I1443&amp;" "&amp;M1443&amp;" "&amp;N1443&amp;" "&amp;T1443))),ISNUMBER(SEARCH("bond",LOWER(F1443&amp;" "&amp;H1443&amp;" "&amp;I1443&amp;" "&amp;M1443&amp;" "&amp;N1443&amp;" "&amp;T1443))),ISNUMBER(SEARCH("transaction",LOWER(F1443&amp;" "&amp;H1443&amp;" "&amp;I1443&amp;" "&amp;M1443&amp;" "&amp;N1443&amp;" "&amp;T1443)))),"PRIVATE_REVIEW","PUBLIC_CANDIDATE"))</x:f>
        <x:v>PUBLIC_CANDIDATE</x:v>
      </x:c>
      <x:c r="AD1443" s="12" t="str">
        <x:f>IF(AC1443="PRIVATE_QUARANTINE","hacker_or_bank_trigger",IF(AC1443="PRIVATE_REVIEW","finance_risk_trigger","none"))</x:f>
        <x:v>none</x:v>
      </x:c>
      <x:c r="AE1443" s="12" t="str">
        <x:f>IF(AC1443="PUBLIC_CANDIDATE","prepare_public_github_candidate",IF(AC1443="PRIVATE_REVIEW","hold_for_private_review","quarantine_private_do_not_publish"))</x:f>
        <x:v>prepare_public_github_candidate</x:v>
      </x:c>
      <x:c r="AF1443" s="12" t="str">
        <x:f>IF(AC1443="PUBLIC_CANDIDATE","TIDELOCK + Lucerna",IF(AC1443="PRIVATE_REVIEW","AtlasBrain + Lucerna","TIDELOCK + Lucerna + Human-root"))</x:f>
        <x:v>TIDELOCK + Lucerna</x:v>
      </x:c>
      <x:c r="AG1443" s="12" t="str">
        <x:f>IF(AND(AC1443="PUBLIC_CANDIDATE",U1443&lt;&gt;"BLOCKED_PENDING_RECEIPT"),"READY_AFTER_RECEIPT","NOT_READY")</x:f>
        <x:v>NOT_READY</x:v>
      </x:c>
      <x:c r="AH1443" s="12" t="str">
        <x:f>IF(AC1443="PUBLIC_CANDIDATE","none",AD1443)</x:f>
        <x:v>none</x:v>
      </x:c>
      <x:c r="AI1443" s="12" t="str">
        <x:f>IF(AC1443="PUBLIC_CANDIDATE","archive/public_candidates/"&amp;A1443,"private_quarantine/"&amp;A1443)</x:f>
        <x:v>archive/public_candidates/SWARM-11-H01-S02</x:v>
      </x:c>
      <x:c r="AJ1443" s="12" t="str">
        <x:f>IF(AC1443="PUBLIC_CANDIDATE","public by default; still not canon","private/hold; do not publish")</x:f>
        <x:v>public by default; still not canon</x:v>
      </x:c>
      <x:c r="AK1443" s="12" t="str">
        <x:f>IF(AE1443="prepare_public_github_candidate","add receipt/status then mirror","resolve blocker before any public GitHub action")</x:f>
        <x:v>add receipt/status then mirror</x:v>
      </x:c>
    </x:row>
    <x:row r="1444">
      <x:c r="A1444" s="15" t="str">
        <x:v>SWARM-11-H01-S03</x:v>
      </x:c>
      <x:c r="B1444" s="15" t="str">
        <x:v>ClaudeCatcher</x:v>
      </x:c>
      <x:c r="C1444" s="15" t="str">
        <x:v>Bullshit Olympics referee</x:v>
      </x:c>
      <x:c r="D1444" s="15" t="str">
        <x:v>Source Inventory</x:v>
      </x:c>
      <x:c r="E1444" s="15" t="str">
        <x:v>GitHub</x:v>
      </x:c>
      <x:c r="F1444" s="15" t="str">
        <x:v>Inventory GitHub — ClaudeCatcher</x:v>
      </x:c>
      <x:c r="G1444" s="15" t="str">
        <x:v>adversarial claims / model overclaim detection</x:v>
      </x:c>
      <x:c r="H1444" s="15" t="str">
        <x:v>source path + receipt + raw/export status + claim/edge/risk delta</x:v>
      </x:c>
      <x:c r="I1444" s="15" t="str">
        <x:v>packet/SWARM-11-H01-S03</x:v>
      </x:c>
      <x:c r="J1444" s="15" t="str">
        <x:v>TODO</x:v>
      </x:c>
      <x:c r="K1444" s="15" t="str">
        <x:v>P0</x:v>
      </x:c>
      <x:c r="L1444" s="15" t="str">
        <x:v>Done only when evidence is logged, contradiction search is noted, and boundary stamp remains non-canon unless ratified</x:v>
      </x:c>
      <x:c r="M1444" s="15" t="str">
        <x:v>candidate / staging-only / not canon / not deployed / authority none</x:v>
      </x:c>
      <x:c r="N1444" s="15" t="str">
        <x:v>Dispatch to ClaudeCatcher: complete Source Inventory x GitHub; return deltas only, receipts required.</x:v>
      </x:c>
      <x:c r="O1444" s="15" t="str">
        <x:v>AF-KG-H01-S03</x:v>
      </x:c>
      <x:c r="P1444" s="15" t="str">
        <x:v>Unverified</x:v>
      </x:c>
      <x:c r="Q1444" s="15" t="str">
        <x:v>Not checked</x:v>
      </x:c>
      <x:c r="R1444" s="15" t="str"/>
      <x:c r="S1444" s="15" t="str"/>
      <x:c r="T1444" s="15" t="str">
        <x:v>Log first source path or blocker</x:v>
      </x:c>
      <x:c r="U1444" s="12" t="str">
        <x:f>IF(OR(P1444="Unverified",Q1444="Not checked"),"BLOCKED_PENDING_RECEIPT","READY_FOR_REVIEW")</x:f>
        <x:v>BLOCKED_PENDING_RECEIPT</x:v>
      </x:c>
      <x:c r="V1444" s="12" t="str">
        <x:f>IF(J1444="DONE","RETURNED",IF(U1444="BLOCKED_PENDING_RECEIPT","SOURCE_TOUCH_REQUIRED","IN_PROGRESS"))</x:f>
        <x:v>SOURCE_TOUCH_REQUIRED</x:v>
      </x:c>
      <x:c r="W1444" s="12" t="str">
        <x:f>IF(P1444="Unverified","missing_receipt","receipt_logged")</x:f>
        <x:v>missing_receipt</x:v>
      </x:c>
      <x:c r="X1444" s="12" t="str">
        <x:f>IF(Q1444="Not checked","raw_status_missing","raw_status_logged")</x:f>
        <x:v>raw_status_missing</x:v>
      </x:c>
      <x:c r="Y1444" s="12" t="str">
        <x:f>IF(U1444="BLOCKED_PENDING_RECEIPT","Log source path or blocker; do not promote","Route to review lane")</x:f>
        <x:v>Log source path or blocker; do not promote</x:v>
      </x:c>
      <x:c r="Z1444" s="12" t="str">
        <x:f>IF(K1444="P0","Primary seat + Hashlight/Lucerna","Seat lane")</x:f>
        <x:v>Primary seat + Hashlight/Lucerna</x:v>
      </x:c>
      <x:c r="AA1444" s="12" t="str">
        <x:f>IF(R1444="","no_claim_delta","claim_delta_present")</x:f>
        <x:v>no_claim_delta</x:v>
      </x:c>
      <x:c r="AB1444" s="12" t="str">
        <x:f>IF(S1444="","no_contradiction_delta","contradiction_delta_present")</x:f>
        <x:v>no_contradiction_delta</x:v>
      </x:c>
      <x:c r="AC1444" s="12" t="str">
        <x:f>IF(OR(ISNUMBER(SEARCH("hacker",LOWER(F1444&amp;" "&amp;H1444&amp;" "&amp;I1444&amp;" "&amp;M1444&amp;" "&amp;N1444&amp;" "&amp;T1444))),ISNUMBER(SEARCH("hacking",LOWER(F1444&amp;" "&amp;H1444&amp;" "&amp;I1444&amp;" "&amp;M1444&amp;" "&amp;N1444&amp;" "&amp;T1444))),ISNUMBER(SEARCH("bank",LOWER(F1444&amp;" "&amp;H1444&amp;" "&amp;I1444&amp;" "&amp;M1444&amp;" "&amp;N1444&amp;" "&amp;T1444))),ISNUMBER(SEARCH("banking",LOWER(F1444&amp;" "&amp;H1444&amp;" "&amp;I1444&amp;" "&amp;M1444&amp;" "&amp;N1444&amp;" "&amp;T1444)))),"PRIVATE_QUARANTINE",IF(OR(ISNUMBER(SEARCH("treasury",LOWER(F1444&amp;" "&amp;H1444&amp;" "&amp;I1444&amp;" "&amp;M1444&amp;" "&amp;N1444&amp;" "&amp;T1444))),ISNUMBER(SEARCH("debt",LOWER(F1444&amp;" "&amp;H1444&amp;" "&amp;I1444&amp;" "&amp;M1444&amp;" "&amp;N1444&amp;" "&amp;T1444))),ISNUMBER(SEARCH("bond",LOWER(F1444&amp;" "&amp;H1444&amp;" "&amp;I1444&amp;" "&amp;M1444&amp;" "&amp;N1444&amp;" "&amp;T1444))),ISNUMBER(SEARCH("transaction",LOWER(F1444&amp;" "&amp;H1444&amp;" "&amp;I1444&amp;" "&amp;M1444&amp;" "&amp;N1444&amp;" "&amp;T1444)))),"PRIVATE_REVIEW","PUBLIC_CANDIDATE"))</x:f>
        <x:v>PUBLIC_CANDIDATE</x:v>
      </x:c>
      <x:c r="AD1444" s="12" t="str">
        <x:f>IF(AC1444="PRIVATE_QUARANTINE","hacker_or_bank_trigger",IF(AC1444="PRIVATE_REVIEW","finance_risk_trigger","none"))</x:f>
        <x:v>none</x:v>
      </x:c>
      <x:c r="AE1444" s="12" t="str">
        <x:f>IF(AC1444="PUBLIC_CANDIDATE","prepare_public_github_candidate",IF(AC1444="PRIVATE_REVIEW","hold_for_private_review","quarantine_private_do_not_publish"))</x:f>
        <x:v>prepare_public_github_candidate</x:v>
      </x:c>
      <x:c r="AF1444" s="12" t="str">
        <x:f>IF(AC1444="PUBLIC_CANDIDATE","TIDELOCK + Lucerna",IF(AC1444="PRIVATE_REVIEW","AtlasBrain + Lucerna","TIDELOCK + Lucerna + Human-root"))</x:f>
        <x:v>TIDELOCK + Lucerna</x:v>
      </x:c>
      <x:c r="AG1444" s="12" t="str">
        <x:f>IF(AND(AC1444="PUBLIC_CANDIDATE",U1444&lt;&gt;"BLOCKED_PENDING_RECEIPT"),"READY_AFTER_RECEIPT","NOT_READY")</x:f>
        <x:v>NOT_READY</x:v>
      </x:c>
      <x:c r="AH1444" s="12" t="str">
        <x:f>IF(AC1444="PUBLIC_CANDIDATE","none",AD1444)</x:f>
        <x:v>none</x:v>
      </x:c>
      <x:c r="AI1444" s="12" t="str">
        <x:f>IF(AC1444="PUBLIC_CANDIDATE","archive/public_candidates/"&amp;A1444,"private_quarantine/"&amp;A1444)</x:f>
        <x:v>archive/public_candidates/SWARM-11-H01-S03</x:v>
      </x:c>
      <x:c r="AJ1444" s="12" t="str">
        <x:f>IF(AC1444="PUBLIC_CANDIDATE","public by default; still not canon","private/hold; do not publish")</x:f>
        <x:v>public by default; still not canon</x:v>
      </x:c>
      <x:c r="AK1444" s="12" t="str">
        <x:f>IF(AE1444="prepare_public_github_candidate","add receipt/status then mirror","resolve blocker before any public GitHub action")</x:f>
        <x:v>add receipt/status then mirror</x:v>
      </x:c>
    </x:row>
    <x:row r="1445">
      <x:c r="A1445" s="15" t="str">
        <x:v>SWARM-11-H01-S04</x:v>
      </x:c>
      <x:c r="B1445" s="15" t="str">
        <x:v>ClaudeCatcher</x:v>
      </x:c>
      <x:c r="C1445" s="15" t="str">
        <x:v>Bullshit Olympics referee</x:v>
      </x:c>
      <x:c r="D1445" s="15" t="str">
        <x:v>Source Inventory</x:v>
      </x:c>
      <x:c r="E1445" s="15" t="str">
        <x:v>Gamma</x:v>
      </x:c>
      <x:c r="F1445" s="15" t="str">
        <x:v>Inventory Gamma — ClaudeCatcher</x:v>
      </x:c>
      <x:c r="G1445" s="15" t="str">
        <x:v>adversarial claims / model overclaim detection</x:v>
      </x:c>
      <x:c r="H1445" s="15" t="str">
        <x:v>source path + receipt + raw/export status + claim/edge/risk delta</x:v>
      </x:c>
      <x:c r="I1445" s="15" t="str">
        <x:v>packet/SWARM-11-H01-S04</x:v>
      </x:c>
      <x:c r="J1445" s="15" t="str">
        <x:v>TODO</x:v>
      </x:c>
      <x:c r="K1445" s="15" t="str">
        <x:v>P1</x:v>
      </x:c>
      <x:c r="L1445" s="15" t="str">
        <x:v>Done only when evidence is logged, contradiction search is noted, and boundary stamp remains non-canon unless ratified</x:v>
      </x:c>
      <x:c r="M1445" s="15" t="str">
        <x:v>candidate / staging-only / not canon / not deployed / authority none</x:v>
      </x:c>
      <x:c r="N1445" s="15" t="str">
        <x:v>Dispatch to ClaudeCatcher: complete Source Inventory x Gamma; return deltas only, receipts required.</x:v>
      </x:c>
      <x:c r="O1445" s="15" t="str">
        <x:v>AF-KG-H01-S04</x:v>
      </x:c>
      <x:c r="P1445" s="15" t="str">
        <x:v>Unverified</x:v>
      </x:c>
      <x:c r="Q1445" s="15" t="str">
        <x:v>Not checked</x:v>
      </x:c>
      <x:c r="R1445" s="15" t="str"/>
      <x:c r="S1445" s="15" t="str"/>
      <x:c r="T1445" s="15" t="str">
        <x:v>Log first source path or blocker</x:v>
      </x:c>
      <x:c r="U1445" s="12" t="str">
        <x:f>IF(OR(P1445="Unverified",Q1445="Not checked"),"BLOCKED_PENDING_RECEIPT","READY_FOR_REVIEW")</x:f>
        <x:v>BLOCKED_PENDING_RECEIPT</x:v>
      </x:c>
      <x:c r="V1445" s="12" t="str">
        <x:f>IF(J1445="DONE","RETURNED",IF(U1445="BLOCKED_PENDING_RECEIPT","SOURCE_TOUCH_REQUIRED","IN_PROGRESS"))</x:f>
        <x:v>SOURCE_TOUCH_REQUIRED</x:v>
      </x:c>
      <x:c r="W1445" s="12" t="str">
        <x:f>IF(P1445="Unverified","missing_receipt","receipt_logged")</x:f>
        <x:v>missing_receipt</x:v>
      </x:c>
      <x:c r="X1445" s="12" t="str">
        <x:f>IF(Q1445="Not checked","raw_status_missing","raw_status_logged")</x:f>
        <x:v>raw_status_missing</x:v>
      </x:c>
      <x:c r="Y1445" s="12" t="str">
        <x:f>IF(U1445="BLOCKED_PENDING_RECEIPT","Log source path or blocker; do not promote","Route to review lane")</x:f>
        <x:v>Log source path or blocker; do not promote</x:v>
      </x:c>
      <x:c r="Z1445" s="12" t="str">
        <x:f>IF(K1445="P0","Primary seat + Hashlight/Lucerna","Seat lane")</x:f>
        <x:v>Seat lane</x:v>
      </x:c>
      <x:c r="AA1445" s="12" t="str">
        <x:f>IF(R1445="","no_claim_delta","claim_delta_present")</x:f>
        <x:v>no_claim_delta</x:v>
      </x:c>
      <x:c r="AB1445" s="12" t="str">
        <x:f>IF(S1445="","no_contradiction_delta","contradiction_delta_present")</x:f>
        <x:v>no_contradiction_delta</x:v>
      </x:c>
      <x:c r="AC1445" s="12" t="str">
        <x:f>IF(OR(ISNUMBER(SEARCH("hacker",LOWER(F1445&amp;" "&amp;H1445&amp;" "&amp;I1445&amp;" "&amp;M1445&amp;" "&amp;N1445&amp;" "&amp;T1445))),ISNUMBER(SEARCH("hacking",LOWER(F1445&amp;" "&amp;H1445&amp;" "&amp;I1445&amp;" "&amp;M1445&amp;" "&amp;N1445&amp;" "&amp;T1445))),ISNUMBER(SEARCH("bank",LOWER(F1445&amp;" "&amp;H1445&amp;" "&amp;I1445&amp;" "&amp;M1445&amp;" "&amp;N1445&amp;" "&amp;T1445))),ISNUMBER(SEARCH("banking",LOWER(F1445&amp;" "&amp;H1445&amp;" "&amp;I1445&amp;" "&amp;M1445&amp;" "&amp;N1445&amp;" "&amp;T1445)))),"PRIVATE_QUARANTINE",IF(OR(ISNUMBER(SEARCH("treasury",LOWER(F1445&amp;" "&amp;H1445&amp;" "&amp;I1445&amp;" "&amp;M1445&amp;" "&amp;N1445&amp;" "&amp;T1445))),ISNUMBER(SEARCH("debt",LOWER(F1445&amp;" "&amp;H1445&amp;" "&amp;I1445&amp;" "&amp;M1445&amp;" "&amp;N1445&amp;" "&amp;T1445))),ISNUMBER(SEARCH("bond",LOWER(F1445&amp;" "&amp;H1445&amp;" "&amp;I1445&amp;" "&amp;M1445&amp;" "&amp;N1445&amp;" "&amp;T1445))),ISNUMBER(SEARCH("transaction",LOWER(F1445&amp;" "&amp;H1445&amp;" "&amp;I1445&amp;" "&amp;M1445&amp;" "&amp;N1445&amp;" "&amp;T1445)))),"PRIVATE_REVIEW","PUBLIC_CANDIDATE"))</x:f>
        <x:v>PUBLIC_CANDIDATE</x:v>
      </x:c>
      <x:c r="AD1445" s="12" t="str">
        <x:f>IF(AC1445="PRIVATE_QUARANTINE","hacker_or_bank_trigger",IF(AC1445="PRIVATE_REVIEW","finance_risk_trigger","none"))</x:f>
        <x:v>none</x:v>
      </x:c>
      <x:c r="AE1445" s="12" t="str">
        <x:f>IF(AC1445="PUBLIC_CANDIDATE","prepare_public_github_candidate",IF(AC1445="PRIVATE_REVIEW","hold_for_private_review","quarantine_private_do_not_publish"))</x:f>
        <x:v>prepare_public_github_candidate</x:v>
      </x:c>
      <x:c r="AF1445" s="12" t="str">
        <x:f>IF(AC1445="PUBLIC_CANDIDATE","TIDELOCK + Lucerna",IF(AC1445="PRIVATE_REVIEW","AtlasBrain + Lucerna","TIDELOCK + Lucerna + Human-root"))</x:f>
        <x:v>TIDELOCK + Lucerna</x:v>
      </x:c>
      <x:c r="AG1445" s="12" t="str">
        <x:f>IF(AND(AC1445="PUBLIC_CANDIDATE",U1445&lt;&gt;"BLOCKED_PENDING_RECEIPT"),"READY_AFTER_RECEIPT","NOT_READY")</x:f>
        <x:v>NOT_READY</x:v>
      </x:c>
      <x:c r="AH1445" s="12" t="str">
        <x:f>IF(AC1445="PUBLIC_CANDIDATE","none",AD1445)</x:f>
        <x:v>none</x:v>
      </x:c>
      <x:c r="AI1445" s="12" t="str">
        <x:f>IF(AC1445="PUBLIC_CANDIDATE","archive/public_candidates/"&amp;A1445,"private_quarantine/"&amp;A1445)</x:f>
        <x:v>archive/public_candidates/SWARM-11-H01-S04</x:v>
      </x:c>
      <x:c r="AJ1445" s="12" t="str">
        <x:f>IF(AC1445="PUBLIC_CANDIDATE","public by default; still not canon","private/hold; do not publish")</x:f>
        <x:v>public by default; still not canon</x:v>
      </x:c>
      <x:c r="AK1445" s="12" t="str">
        <x:f>IF(AE1445="prepare_public_github_candidate","add receipt/status then mirror","resolve blocker before any public GitHub action")</x:f>
        <x:v>add receipt/status then mirror</x:v>
      </x:c>
    </x:row>
    <x:row r="1446">
      <x:c r="A1446" s="15" t="str">
        <x:v>SWARM-11-H01-S05</x:v>
      </x:c>
      <x:c r="B1446" s="15" t="str">
        <x:v>ClaudeCatcher</x:v>
      </x:c>
      <x:c r="C1446" s="15" t="str">
        <x:v>Bullshit Olympics referee</x:v>
      </x:c>
      <x:c r="D1446" s="15" t="str">
        <x:v>Source Inventory</x:v>
      </x:c>
      <x:c r="E1446" s="15" t="str">
        <x:v>Chat</x:v>
      </x:c>
      <x:c r="F1446" s="15" t="str">
        <x:v>Inventory Chat — ClaudeCatcher</x:v>
      </x:c>
      <x:c r="G1446" s="15" t="str">
        <x:v>adversarial claims / model overclaim detection</x:v>
      </x:c>
      <x:c r="H1446" s="15" t="str">
        <x:v>source path + receipt + raw/export status + claim/edge/risk delta</x:v>
      </x:c>
      <x:c r="I1446" s="15" t="str">
        <x:v>packet/SWARM-11-H01-S05</x:v>
      </x:c>
      <x:c r="J1446" s="15" t="str">
        <x:v>TODO</x:v>
      </x:c>
      <x:c r="K1446" s="15" t="str">
        <x:v>P1</x:v>
      </x:c>
      <x:c r="L1446" s="15" t="str">
        <x:v>Done only when evidence is logged, contradiction search is noted, and boundary stamp remains non-canon unless ratified</x:v>
      </x:c>
      <x:c r="M1446" s="15" t="str">
        <x:v>candidate / staging-only / not canon / not deployed / authority none</x:v>
      </x:c>
      <x:c r="N1446" s="15" t="str">
        <x:v>Dispatch to ClaudeCatcher: complete Source Inventory x Chat; return deltas only, receipts required.</x:v>
      </x:c>
      <x:c r="O1446" s="15" t="str">
        <x:v>AF-KG-H01-S05</x:v>
      </x:c>
      <x:c r="P1446" s="15" t="str">
        <x:v>Unverified</x:v>
      </x:c>
      <x:c r="Q1446" s="15" t="str">
        <x:v>Not checked</x:v>
      </x:c>
      <x:c r="R1446" s="15" t="str"/>
      <x:c r="S1446" s="15" t="str"/>
      <x:c r="T1446" s="15" t="str">
        <x:v>Log first source path or blocker</x:v>
      </x:c>
      <x:c r="U1446" s="12" t="str">
        <x:f>IF(OR(P1446="Unverified",Q1446="Not checked"),"BLOCKED_PENDING_RECEIPT","READY_FOR_REVIEW")</x:f>
        <x:v>BLOCKED_PENDING_RECEIPT</x:v>
      </x:c>
      <x:c r="V1446" s="12" t="str">
        <x:f>IF(J1446="DONE","RETURNED",IF(U1446="BLOCKED_PENDING_RECEIPT","SOURCE_TOUCH_REQUIRED","IN_PROGRESS"))</x:f>
        <x:v>SOURCE_TOUCH_REQUIRED</x:v>
      </x:c>
      <x:c r="W1446" s="12" t="str">
        <x:f>IF(P1446="Unverified","missing_receipt","receipt_logged")</x:f>
        <x:v>missing_receipt</x:v>
      </x:c>
      <x:c r="X1446" s="12" t="str">
        <x:f>IF(Q1446="Not checked","raw_status_missing","raw_status_logged")</x:f>
        <x:v>raw_status_missing</x:v>
      </x:c>
      <x:c r="Y1446" s="12" t="str">
        <x:f>IF(U1446="BLOCKED_PENDING_RECEIPT","Log source path or blocker; do not promote","Route to review lane")</x:f>
        <x:v>Log source path or blocker; do not promote</x:v>
      </x:c>
      <x:c r="Z1446" s="12" t="str">
        <x:f>IF(K1446="P0","Primary seat + Hashlight/Lucerna","Seat lane")</x:f>
        <x:v>Seat lane</x:v>
      </x:c>
      <x:c r="AA1446" s="12" t="str">
        <x:f>IF(R1446="","no_claim_delta","claim_delta_present")</x:f>
        <x:v>no_claim_delta</x:v>
      </x:c>
      <x:c r="AB1446" s="12" t="str">
        <x:f>IF(S1446="","no_contradiction_delta","contradiction_delta_present")</x:f>
        <x:v>no_contradiction_delta</x:v>
      </x:c>
      <x:c r="AC1446" s="12" t="str">
        <x:f>IF(OR(ISNUMBER(SEARCH("hacker",LOWER(F1446&amp;" "&amp;H1446&amp;" "&amp;I1446&amp;" "&amp;M1446&amp;" "&amp;N1446&amp;" "&amp;T1446))),ISNUMBER(SEARCH("hacking",LOWER(F1446&amp;" "&amp;H1446&amp;" "&amp;I1446&amp;" "&amp;M1446&amp;" "&amp;N1446&amp;" "&amp;T1446))),ISNUMBER(SEARCH("bank",LOWER(F1446&amp;" "&amp;H1446&amp;" "&amp;I1446&amp;" "&amp;M1446&amp;" "&amp;N1446&amp;" "&amp;T1446))),ISNUMBER(SEARCH("banking",LOWER(F1446&amp;" "&amp;H1446&amp;" "&amp;I1446&amp;" "&amp;M1446&amp;" "&amp;N1446&amp;" "&amp;T1446)))),"PRIVATE_QUARANTINE",IF(OR(ISNUMBER(SEARCH("treasury",LOWER(F1446&amp;" "&amp;H1446&amp;" "&amp;I1446&amp;" "&amp;M1446&amp;" "&amp;N1446&amp;" "&amp;T1446))),ISNUMBER(SEARCH("debt",LOWER(F1446&amp;" "&amp;H1446&amp;" "&amp;I1446&amp;" "&amp;M1446&amp;" "&amp;N1446&amp;" "&amp;T1446))),ISNUMBER(SEARCH("bond",LOWER(F1446&amp;" "&amp;H1446&amp;" "&amp;I1446&amp;" "&amp;M1446&amp;" "&amp;N1446&amp;" "&amp;T1446))),ISNUMBER(SEARCH("transaction",LOWER(F1446&amp;" "&amp;H1446&amp;" "&amp;I1446&amp;" "&amp;M1446&amp;" "&amp;N1446&amp;" "&amp;T1446)))),"PRIVATE_REVIEW","PUBLIC_CANDIDATE"))</x:f>
        <x:v>PUBLIC_CANDIDATE</x:v>
      </x:c>
      <x:c r="AD1446" s="12" t="str">
        <x:f>IF(AC1446="PRIVATE_QUARANTINE","hacker_or_bank_trigger",IF(AC1446="PRIVATE_REVIEW","finance_risk_trigger","none"))</x:f>
        <x:v>none</x:v>
      </x:c>
      <x:c r="AE1446" s="12" t="str">
        <x:f>IF(AC1446="PUBLIC_CANDIDATE","prepare_public_github_candidate",IF(AC1446="PRIVATE_REVIEW","hold_for_private_review","quarantine_private_do_not_publish"))</x:f>
        <x:v>prepare_public_github_candidate</x:v>
      </x:c>
      <x:c r="AF1446" s="12" t="str">
        <x:f>IF(AC1446="PUBLIC_CANDIDATE","TIDELOCK + Lucerna",IF(AC1446="PRIVATE_REVIEW","AtlasBrain + Lucerna","TIDELOCK + Lucerna + Human-root"))</x:f>
        <x:v>TIDELOCK + Lucerna</x:v>
      </x:c>
      <x:c r="AG1446" s="12" t="str">
        <x:f>IF(AND(AC1446="PUBLIC_CANDIDATE",U1446&lt;&gt;"BLOCKED_PENDING_RECEIPT"),"READY_AFTER_RECEIPT","NOT_READY")</x:f>
        <x:v>NOT_READY</x:v>
      </x:c>
      <x:c r="AH1446" s="12" t="str">
        <x:f>IF(AC1446="PUBLIC_CANDIDATE","none",AD1446)</x:f>
        <x:v>none</x:v>
      </x:c>
      <x:c r="AI1446" s="12" t="str">
        <x:f>IF(AC1446="PUBLIC_CANDIDATE","archive/public_candidates/"&amp;A1446,"private_quarantine/"&amp;A1446)</x:f>
        <x:v>archive/public_candidates/SWARM-11-H01-S05</x:v>
      </x:c>
      <x:c r="AJ1446" s="12" t="str">
        <x:f>IF(AC1446="PUBLIC_CANDIDATE","public by default; still not canon","private/hold; do not publish")</x:f>
        <x:v>public by default; still not canon</x:v>
      </x:c>
      <x:c r="AK1446" s="12" t="str">
        <x:f>IF(AE1446="prepare_public_github_candidate","add receipt/status then mirror","resolve blocker before any public GitHub action")</x:f>
        <x:v>add receipt/status then mirror</x:v>
      </x:c>
    </x:row>
    <x:row r="1447">
      <x:c r="A1447" s="15" t="str">
        <x:v>SWARM-11-H01-S06</x:v>
      </x:c>
      <x:c r="B1447" s="15" t="str">
        <x:v>ClaudeCatcher</x:v>
      </x:c>
      <x:c r="C1447" s="15" t="str">
        <x:v>Bullshit Olympics referee</x:v>
      </x:c>
      <x:c r="D1447" s="15" t="str">
        <x:v>Source Inventory</x:v>
      </x:c>
      <x:c r="E1447" s="15" t="str">
        <x:v>External Web</x:v>
      </x:c>
      <x:c r="F1447" s="15" t="str">
        <x:v>Inventory External Web — ClaudeCatcher</x:v>
      </x:c>
      <x:c r="G1447" s="15" t="str">
        <x:v>adversarial claims / model overclaim detection</x:v>
      </x:c>
      <x:c r="H1447" s="15" t="str">
        <x:v>source path + receipt + raw/export status + claim/edge/risk delta</x:v>
      </x:c>
      <x:c r="I1447" s="15" t="str">
        <x:v>packet/SWARM-11-H01-S06</x:v>
      </x:c>
      <x:c r="J1447" s="15" t="str">
        <x:v>TODO</x:v>
      </x:c>
      <x:c r="K1447" s="15" t="str">
        <x:v>P1</x:v>
      </x:c>
      <x:c r="L1447" s="15" t="str">
        <x:v>Done only when evidence is logged, contradiction search is noted, and boundary stamp remains non-canon unless ratified</x:v>
      </x:c>
      <x:c r="M1447" s="15" t="str">
        <x:v>candidate / staging-only / not canon / not deployed / authority none</x:v>
      </x:c>
      <x:c r="N1447" s="15" t="str">
        <x:v>Dispatch to ClaudeCatcher: complete Source Inventory x External Web; return deltas only, receipts required.</x:v>
      </x:c>
      <x:c r="O1447" s="15" t="str">
        <x:v>AF-KG-H01-S06</x:v>
      </x:c>
      <x:c r="P1447" s="15" t="str">
        <x:v>Unverified</x:v>
      </x:c>
      <x:c r="Q1447" s="15" t="str">
        <x:v>Not checked</x:v>
      </x:c>
      <x:c r="R1447" s="15" t="str"/>
      <x:c r="S1447" s="15" t="str"/>
      <x:c r="T1447" s="15" t="str">
        <x:v>Log first source path or blocker</x:v>
      </x:c>
      <x:c r="U1447" s="12" t="str">
        <x:f>IF(OR(P1447="Unverified",Q1447="Not checked"),"BLOCKED_PENDING_RECEIPT","READY_FOR_REVIEW")</x:f>
        <x:v>BLOCKED_PENDING_RECEIPT</x:v>
      </x:c>
      <x:c r="V1447" s="12" t="str">
        <x:f>IF(J1447="DONE","RETURNED",IF(U1447="BLOCKED_PENDING_RECEIPT","SOURCE_TOUCH_REQUIRED","IN_PROGRESS"))</x:f>
        <x:v>SOURCE_TOUCH_REQUIRED</x:v>
      </x:c>
      <x:c r="W1447" s="12" t="str">
        <x:f>IF(P1447="Unverified","missing_receipt","receipt_logged")</x:f>
        <x:v>missing_receipt</x:v>
      </x:c>
      <x:c r="X1447" s="12" t="str">
        <x:f>IF(Q1447="Not checked","raw_status_missing","raw_status_logged")</x:f>
        <x:v>raw_status_missing</x:v>
      </x:c>
      <x:c r="Y1447" s="12" t="str">
        <x:f>IF(U1447="BLOCKED_PENDING_RECEIPT","Log source path or blocker; do not promote","Route to review lane")</x:f>
        <x:v>Log source path or blocker; do not promote</x:v>
      </x:c>
      <x:c r="Z1447" s="12" t="str">
        <x:f>IF(K1447="P0","Primary seat + Hashlight/Lucerna","Seat lane")</x:f>
        <x:v>Seat lane</x:v>
      </x:c>
      <x:c r="AA1447" s="12" t="str">
        <x:f>IF(R1447="","no_claim_delta","claim_delta_present")</x:f>
        <x:v>no_claim_delta</x:v>
      </x:c>
      <x:c r="AB1447" s="12" t="str">
        <x:f>IF(S1447="","no_contradiction_delta","contradiction_delta_present")</x:f>
        <x:v>no_contradiction_delta</x:v>
      </x:c>
      <x:c r="AC1447" s="12" t="str">
        <x:f>IF(OR(ISNUMBER(SEARCH("hacker",LOWER(F1447&amp;" "&amp;H1447&amp;" "&amp;I1447&amp;" "&amp;M1447&amp;" "&amp;N1447&amp;" "&amp;T1447))),ISNUMBER(SEARCH("hacking",LOWER(F1447&amp;" "&amp;H1447&amp;" "&amp;I1447&amp;" "&amp;M1447&amp;" "&amp;N1447&amp;" "&amp;T1447))),ISNUMBER(SEARCH("bank",LOWER(F1447&amp;" "&amp;H1447&amp;" "&amp;I1447&amp;" "&amp;M1447&amp;" "&amp;N1447&amp;" "&amp;T1447))),ISNUMBER(SEARCH("banking",LOWER(F1447&amp;" "&amp;H1447&amp;" "&amp;I1447&amp;" "&amp;M1447&amp;" "&amp;N1447&amp;" "&amp;T1447)))),"PRIVATE_QUARANTINE",IF(OR(ISNUMBER(SEARCH("treasury",LOWER(F1447&amp;" "&amp;H1447&amp;" "&amp;I1447&amp;" "&amp;M1447&amp;" "&amp;N1447&amp;" "&amp;T1447))),ISNUMBER(SEARCH("debt",LOWER(F1447&amp;" "&amp;H1447&amp;" "&amp;I1447&amp;" "&amp;M1447&amp;" "&amp;N1447&amp;" "&amp;T1447))),ISNUMBER(SEARCH("bond",LOWER(F1447&amp;" "&amp;H1447&amp;" "&amp;I1447&amp;" "&amp;M1447&amp;" "&amp;N1447&amp;" "&amp;T1447))),ISNUMBER(SEARCH("transaction",LOWER(F1447&amp;" "&amp;H1447&amp;" "&amp;I1447&amp;" "&amp;M1447&amp;" "&amp;N1447&amp;" "&amp;T1447)))),"PRIVATE_REVIEW","PUBLIC_CANDIDATE"))</x:f>
        <x:v>PUBLIC_CANDIDATE</x:v>
      </x:c>
      <x:c r="AD1447" s="12" t="str">
        <x:f>IF(AC1447="PRIVATE_QUARANTINE","hacker_or_bank_trigger",IF(AC1447="PRIVATE_REVIEW","finance_risk_trigger","none"))</x:f>
        <x:v>none</x:v>
      </x:c>
      <x:c r="AE1447" s="12" t="str">
        <x:f>IF(AC1447="PUBLIC_CANDIDATE","prepare_public_github_candidate",IF(AC1447="PRIVATE_REVIEW","hold_for_private_review","quarantine_private_do_not_publish"))</x:f>
        <x:v>prepare_public_github_candidate</x:v>
      </x:c>
      <x:c r="AF1447" s="12" t="str">
        <x:f>IF(AC1447="PUBLIC_CANDIDATE","TIDELOCK + Lucerna",IF(AC1447="PRIVATE_REVIEW","AtlasBrain + Lucerna","TIDELOCK + Lucerna + Human-root"))</x:f>
        <x:v>TIDELOCK + Lucerna</x:v>
      </x:c>
      <x:c r="AG1447" s="12" t="str">
        <x:f>IF(AND(AC1447="PUBLIC_CANDIDATE",U1447&lt;&gt;"BLOCKED_PENDING_RECEIPT"),"READY_AFTER_RECEIPT","NOT_READY")</x:f>
        <x:v>NOT_READY</x:v>
      </x:c>
      <x:c r="AH1447" s="12" t="str">
        <x:f>IF(AC1447="PUBLIC_CANDIDATE","none",AD1447)</x:f>
        <x:v>none</x:v>
      </x:c>
      <x:c r="AI1447" s="12" t="str">
        <x:f>IF(AC1447="PUBLIC_CANDIDATE","archive/public_candidates/"&amp;A1447,"private_quarantine/"&amp;A1447)</x:f>
        <x:v>archive/public_candidates/SWARM-11-H01-S06</x:v>
      </x:c>
      <x:c r="AJ1447" s="12" t="str">
        <x:f>IF(AC1447="PUBLIC_CANDIDATE","public by default; still not canon","private/hold; do not publish")</x:f>
        <x:v>public by default; still not canon</x:v>
      </x:c>
      <x:c r="AK1447" s="12" t="str">
        <x:f>IF(AE1447="prepare_public_github_candidate","add receipt/status then mirror","resolve blocker before any public GitHub action")</x:f>
        <x:v>add receipt/status then mirror</x:v>
      </x:c>
    </x:row>
    <x:row r="1448">
      <x:c r="A1448" s="15" t="str">
        <x:v>SWARM-11-H01-S07</x:v>
      </x:c>
      <x:c r="B1448" s="15" t="str">
        <x:v>ClaudeCatcher</x:v>
      </x:c>
      <x:c r="C1448" s="15" t="str">
        <x:v>Bullshit Olympics referee</x:v>
      </x:c>
      <x:c r="D1448" s="15" t="str">
        <x:v>Source Inventory</x:v>
      </x:c>
      <x:c r="E1448" s="15" t="str">
        <x:v>Planetarium</x:v>
      </x:c>
      <x:c r="F1448" s="15" t="str">
        <x:v>Inventory Planetarium — ClaudeCatcher</x:v>
      </x:c>
      <x:c r="G1448" s="15" t="str">
        <x:v>adversarial claims / model overclaim detection</x:v>
      </x:c>
      <x:c r="H1448" s="15" t="str">
        <x:v>source path + receipt + raw/export status + claim/edge/risk delta</x:v>
      </x:c>
      <x:c r="I1448" s="15" t="str">
        <x:v>packet/SWARM-11-H01-S07</x:v>
      </x:c>
      <x:c r="J1448" s="15" t="str">
        <x:v>TODO</x:v>
      </x:c>
      <x:c r="K1448" s="15" t="str">
        <x:v>P1</x:v>
      </x:c>
      <x:c r="L1448" s="15" t="str">
        <x:v>Done only when evidence is logged, contradiction search is noted, and boundary stamp remains non-canon unless ratified</x:v>
      </x:c>
      <x:c r="M1448" s="15" t="str">
        <x:v>candidate / staging-only / not canon / not deployed / authority none</x:v>
      </x:c>
      <x:c r="N1448" s="15" t="str">
        <x:v>Dispatch to ClaudeCatcher: complete Source Inventory x Planetarium; return deltas only, receipts required.</x:v>
      </x:c>
      <x:c r="O1448" s="15" t="str">
        <x:v>AF-KG-H01-S07</x:v>
      </x:c>
      <x:c r="P1448" s="15" t="str">
        <x:v>Unverified</x:v>
      </x:c>
      <x:c r="Q1448" s="15" t="str">
        <x:v>Not checked</x:v>
      </x:c>
      <x:c r="R1448" s="15" t="str"/>
      <x:c r="S1448" s="15" t="str"/>
      <x:c r="T1448" s="15" t="str">
        <x:v>Log first source path or blocker</x:v>
      </x:c>
      <x:c r="U1448" s="12" t="str">
        <x:f>IF(OR(P1448="Unverified",Q1448="Not checked"),"BLOCKED_PENDING_RECEIPT","READY_FOR_REVIEW")</x:f>
        <x:v>BLOCKED_PENDING_RECEIPT</x:v>
      </x:c>
      <x:c r="V1448" s="12" t="str">
        <x:f>IF(J1448="DONE","RETURNED",IF(U1448="BLOCKED_PENDING_RECEIPT","SOURCE_TOUCH_REQUIRED","IN_PROGRESS"))</x:f>
        <x:v>SOURCE_TOUCH_REQUIRED</x:v>
      </x:c>
      <x:c r="W1448" s="12" t="str">
        <x:f>IF(P1448="Unverified","missing_receipt","receipt_logged")</x:f>
        <x:v>missing_receipt</x:v>
      </x:c>
      <x:c r="X1448" s="12" t="str">
        <x:f>IF(Q1448="Not checked","raw_status_missing","raw_status_logged")</x:f>
        <x:v>raw_status_missing</x:v>
      </x:c>
      <x:c r="Y1448" s="12" t="str">
        <x:f>IF(U1448="BLOCKED_PENDING_RECEIPT","Log source path or blocker; do not promote","Route to review lane")</x:f>
        <x:v>Log source path or blocker; do not promote</x:v>
      </x:c>
      <x:c r="Z1448" s="12" t="str">
        <x:f>IF(K1448="P0","Primary seat + Hashlight/Lucerna","Seat lane")</x:f>
        <x:v>Seat lane</x:v>
      </x:c>
      <x:c r="AA1448" s="12" t="str">
        <x:f>IF(R1448="","no_claim_delta","claim_delta_present")</x:f>
        <x:v>no_claim_delta</x:v>
      </x:c>
      <x:c r="AB1448" s="12" t="str">
        <x:f>IF(S1448="","no_contradiction_delta","contradiction_delta_present")</x:f>
        <x:v>no_contradiction_delta</x:v>
      </x:c>
      <x:c r="AC1448" s="12" t="str">
        <x:f>IF(OR(ISNUMBER(SEARCH("hacker",LOWER(F1448&amp;" "&amp;H1448&amp;" "&amp;I1448&amp;" "&amp;M1448&amp;" "&amp;N1448&amp;" "&amp;T1448))),ISNUMBER(SEARCH("hacking",LOWER(F1448&amp;" "&amp;H1448&amp;" "&amp;I1448&amp;" "&amp;M1448&amp;" "&amp;N1448&amp;" "&amp;T1448))),ISNUMBER(SEARCH("bank",LOWER(F1448&amp;" "&amp;H1448&amp;" "&amp;I1448&amp;" "&amp;M1448&amp;" "&amp;N1448&amp;" "&amp;T1448))),ISNUMBER(SEARCH("banking",LOWER(F1448&amp;" "&amp;H1448&amp;" "&amp;I1448&amp;" "&amp;M1448&amp;" "&amp;N1448&amp;" "&amp;T1448)))),"PRIVATE_QUARANTINE",IF(OR(ISNUMBER(SEARCH("treasury",LOWER(F1448&amp;" "&amp;H1448&amp;" "&amp;I1448&amp;" "&amp;M1448&amp;" "&amp;N1448&amp;" "&amp;T1448))),ISNUMBER(SEARCH("debt",LOWER(F1448&amp;" "&amp;H1448&amp;" "&amp;I1448&amp;" "&amp;M1448&amp;" "&amp;N1448&amp;" "&amp;T1448))),ISNUMBER(SEARCH("bond",LOWER(F1448&amp;" "&amp;H1448&amp;" "&amp;I1448&amp;" "&amp;M1448&amp;" "&amp;N1448&amp;" "&amp;T1448))),ISNUMBER(SEARCH("transaction",LOWER(F1448&amp;" "&amp;H1448&amp;" "&amp;I1448&amp;" "&amp;M1448&amp;" "&amp;N1448&amp;" "&amp;T1448)))),"PRIVATE_REVIEW","PUBLIC_CANDIDATE"))</x:f>
        <x:v>PUBLIC_CANDIDATE</x:v>
      </x:c>
      <x:c r="AD1448" s="12" t="str">
        <x:f>IF(AC1448="PRIVATE_QUARANTINE","hacker_or_bank_trigger",IF(AC1448="PRIVATE_REVIEW","finance_risk_trigger","none"))</x:f>
        <x:v>none</x:v>
      </x:c>
      <x:c r="AE1448" s="12" t="str">
        <x:f>IF(AC1448="PUBLIC_CANDIDATE","prepare_public_github_candidate",IF(AC1448="PRIVATE_REVIEW","hold_for_private_review","quarantine_private_do_not_publish"))</x:f>
        <x:v>prepare_public_github_candidate</x:v>
      </x:c>
      <x:c r="AF1448" s="12" t="str">
        <x:f>IF(AC1448="PUBLIC_CANDIDATE","TIDELOCK + Lucerna",IF(AC1448="PRIVATE_REVIEW","AtlasBrain + Lucerna","TIDELOCK + Lucerna + Human-root"))</x:f>
        <x:v>TIDELOCK + Lucerna</x:v>
      </x:c>
      <x:c r="AG1448" s="12" t="str">
        <x:f>IF(AND(AC1448="PUBLIC_CANDIDATE",U1448&lt;&gt;"BLOCKED_PENDING_RECEIPT"),"READY_AFTER_RECEIPT","NOT_READY")</x:f>
        <x:v>NOT_READY</x:v>
      </x:c>
      <x:c r="AH1448" s="12" t="str">
        <x:f>IF(AC1448="PUBLIC_CANDIDATE","none",AD1448)</x:f>
        <x:v>none</x:v>
      </x:c>
      <x:c r="AI1448" s="12" t="str">
        <x:f>IF(AC1448="PUBLIC_CANDIDATE","archive/public_candidates/"&amp;A1448,"private_quarantine/"&amp;A1448)</x:f>
        <x:v>archive/public_candidates/SWARM-11-H01-S07</x:v>
      </x:c>
      <x:c r="AJ1448" s="12" t="str">
        <x:f>IF(AC1448="PUBLIC_CANDIDATE","public by default; still not canon","private/hold; do not publish")</x:f>
        <x:v>public by default; still not canon</x:v>
      </x:c>
      <x:c r="AK1448" s="12" t="str">
        <x:f>IF(AE1448="prepare_public_github_candidate","add receipt/status then mirror","resolve blocker before any public GitHub action")</x:f>
        <x:v>add receipt/status then mirror</x:v>
      </x:c>
    </x:row>
    <x:row r="1449">
      <x:c r="A1449" s="15" t="str">
        <x:v>SWARM-11-H01-S08</x:v>
      </x:c>
      <x:c r="B1449" s="15" t="str">
        <x:v>ClaudeCatcher</x:v>
      </x:c>
      <x:c r="C1449" s="15" t="str">
        <x:v>Bullshit Olympics referee</x:v>
      </x:c>
      <x:c r="D1449" s="15" t="str">
        <x:v>Source Inventory</x:v>
      </x:c>
      <x:c r="E1449" s="15" t="str">
        <x:v>Sheldonbrain</x:v>
      </x:c>
      <x:c r="F1449" s="15" t="str">
        <x:v>Inventory Sheldonbrain — ClaudeCatcher</x:v>
      </x:c>
      <x:c r="G1449" s="15" t="str">
        <x:v>adversarial claims / model overclaim detection</x:v>
      </x:c>
      <x:c r="H1449" s="15" t="str">
        <x:v>source path + receipt + raw/export status + claim/edge/risk delta</x:v>
      </x:c>
      <x:c r="I1449" s="15" t="str">
        <x:v>packet/SWARM-11-H01-S08</x:v>
      </x:c>
      <x:c r="J1449" s="15" t="str">
        <x:v>TODO</x:v>
      </x:c>
      <x:c r="K1449" s="15" t="str">
        <x:v>P1</x:v>
      </x:c>
      <x:c r="L1449" s="15" t="str">
        <x:v>Done only when evidence is logged, contradiction search is noted, and boundary stamp remains non-canon unless ratified</x:v>
      </x:c>
      <x:c r="M1449" s="15" t="str">
        <x:v>candidate / staging-only / not canon / not deployed / authority none</x:v>
      </x:c>
      <x:c r="N1449" s="15" t="str">
        <x:v>Dispatch to ClaudeCatcher: complete Source Inventory x Sheldonbrain; return deltas only, receipts required.</x:v>
      </x:c>
      <x:c r="O1449" s="15" t="str">
        <x:v>AF-KG-H01-S08</x:v>
      </x:c>
      <x:c r="P1449" s="15" t="str">
        <x:v>Unverified</x:v>
      </x:c>
      <x:c r="Q1449" s="15" t="str">
        <x:v>Not checked</x:v>
      </x:c>
      <x:c r="R1449" s="15" t="str"/>
      <x:c r="S1449" s="15" t="str"/>
      <x:c r="T1449" s="15" t="str">
        <x:v>Log first source path or blocker</x:v>
      </x:c>
      <x:c r="U1449" s="12" t="str">
        <x:f>IF(OR(P1449="Unverified",Q1449="Not checked"),"BLOCKED_PENDING_RECEIPT","READY_FOR_REVIEW")</x:f>
        <x:v>BLOCKED_PENDING_RECEIPT</x:v>
      </x:c>
      <x:c r="V1449" s="12" t="str">
        <x:f>IF(J1449="DONE","RETURNED",IF(U1449="BLOCKED_PENDING_RECEIPT","SOURCE_TOUCH_REQUIRED","IN_PROGRESS"))</x:f>
        <x:v>SOURCE_TOUCH_REQUIRED</x:v>
      </x:c>
      <x:c r="W1449" s="12" t="str">
        <x:f>IF(P1449="Unverified","missing_receipt","receipt_logged")</x:f>
        <x:v>missing_receipt</x:v>
      </x:c>
      <x:c r="X1449" s="12" t="str">
        <x:f>IF(Q1449="Not checked","raw_status_missing","raw_status_logged")</x:f>
        <x:v>raw_status_missing</x:v>
      </x:c>
      <x:c r="Y1449" s="12" t="str">
        <x:f>IF(U1449="BLOCKED_PENDING_RECEIPT","Log source path or blocker; do not promote","Route to review lane")</x:f>
        <x:v>Log source path or blocker; do not promote</x:v>
      </x:c>
      <x:c r="Z1449" s="12" t="str">
        <x:f>IF(K1449="P0","Primary seat + Hashlight/Lucerna","Seat lane")</x:f>
        <x:v>Seat lane</x:v>
      </x:c>
      <x:c r="AA1449" s="12" t="str">
        <x:f>IF(R1449="","no_claim_delta","claim_delta_present")</x:f>
        <x:v>no_claim_delta</x:v>
      </x:c>
      <x:c r="AB1449" s="12" t="str">
        <x:f>IF(S1449="","no_contradiction_delta","contradiction_delta_present")</x:f>
        <x:v>no_contradiction_delta</x:v>
      </x:c>
      <x:c r="AC1449" s="12" t="str">
        <x:f>IF(OR(ISNUMBER(SEARCH("hacker",LOWER(F1449&amp;" "&amp;H1449&amp;" "&amp;I1449&amp;" "&amp;M1449&amp;" "&amp;N1449&amp;" "&amp;T1449))),ISNUMBER(SEARCH("hacking",LOWER(F1449&amp;" "&amp;H1449&amp;" "&amp;I1449&amp;" "&amp;M1449&amp;" "&amp;N1449&amp;" "&amp;T1449))),ISNUMBER(SEARCH("bank",LOWER(F1449&amp;" "&amp;H1449&amp;" "&amp;I1449&amp;" "&amp;M1449&amp;" "&amp;N1449&amp;" "&amp;T1449))),ISNUMBER(SEARCH("banking",LOWER(F1449&amp;" "&amp;H1449&amp;" "&amp;I1449&amp;" "&amp;M1449&amp;" "&amp;N1449&amp;" "&amp;T1449)))),"PRIVATE_QUARANTINE",IF(OR(ISNUMBER(SEARCH("treasury",LOWER(F1449&amp;" "&amp;H1449&amp;" "&amp;I1449&amp;" "&amp;M1449&amp;" "&amp;N1449&amp;" "&amp;T1449))),ISNUMBER(SEARCH("debt",LOWER(F1449&amp;" "&amp;H1449&amp;" "&amp;I1449&amp;" "&amp;M1449&amp;" "&amp;N1449&amp;" "&amp;T1449))),ISNUMBER(SEARCH("bond",LOWER(F1449&amp;" "&amp;H1449&amp;" "&amp;I1449&amp;" "&amp;M1449&amp;" "&amp;N1449&amp;" "&amp;T1449))),ISNUMBER(SEARCH("transaction",LOWER(F1449&amp;" "&amp;H1449&amp;" "&amp;I1449&amp;" "&amp;M1449&amp;" "&amp;N1449&amp;" "&amp;T1449)))),"PRIVATE_REVIEW","PUBLIC_CANDIDATE"))</x:f>
        <x:v>PUBLIC_CANDIDATE</x:v>
      </x:c>
      <x:c r="AD1449" s="12" t="str">
        <x:f>IF(AC1449="PRIVATE_QUARANTINE","hacker_or_bank_trigger",IF(AC1449="PRIVATE_REVIEW","finance_risk_trigger","none"))</x:f>
        <x:v>none</x:v>
      </x:c>
      <x:c r="AE1449" s="12" t="str">
        <x:f>IF(AC1449="PUBLIC_CANDIDATE","prepare_public_github_candidate",IF(AC1449="PRIVATE_REVIEW","hold_for_private_review","quarantine_private_do_not_publish"))</x:f>
        <x:v>prepare_public_github_candidate</x:v>
      </x:c>
      <x:c r="AF1449" s="12" t="str">
        <x:f>IF(AC1449="PUBLIC_CANDIDATE","TIDELOCK + Lucerna",IF(AC1449="PRIVATE_REVIEW","AtlasBrain + Lucerna","TIDELOCK + Lucerna + Human-root"))</x:f>
        <x:v>TIDELOCK + Lucerna</x:v>
      </x:c>
      <x:c r="AG1449" s="12" t="str">
        <x:f>IF(AND(AC1449="PUBLIC_CANDIDATE",U1449&lt;&gt;"BLOCKED_PENDING_RECEIPT"),"READY_AFTER_RECEIPT","NOT_READY")</x:f>
        <x:v>NOT_READY</x:v>
      </x:c>
      <x:c r="AH1449" s="12" t="str">
        <x:f>IF(AC1449="PUBLIC_CANDIDATE","none",AD1449)</x:f>
        <x:v>none</x:v>
      </x:c>
      <x:c r="AI1449" s="12" t="str">
        <x:f>IF(AC1449="PUBLIC_CANDIDATE","archive/public_candidates/"&amp;A1449,"private_quarantine/"&amp;A1449)</x:f>
        <x:v>archive/public_candidates/SWARM-11-H01-S08</x:v>
      </x:c>
      <x:c r="AJ1449" s="12" t="str">
        <x:f>IF(AC1449="PUBLIC_CANDIDATE","public by default; still not canon","private/hold; do not publish")</x:f>
        <x:v>public by default; still not canon</x:v>
      </x:c>
      <x:c r="AK1449" s="12" t="str">
        <x:f>IF(AE1449="prepare_public_github_candidate","add receipt/status then mirror","resolve blocker before any public GitHub action")</x:f>
        <x:v>add receipt/status then mirror</x:v>
      </x:c>
    </x:row>
    <x:row r="1450">
      <x:c r="A1450" s="15" t="str">
        <x:v>SWARM-11-H01-S09</x:v>
      </x:c>
      <x:c r="B1450" s="15" t="str">
        <x:v>ClaudeCatcher</x:v>
      </x:c>
      <x:c r="C1450" s="15" t="str">
        <x:v>Bullshit Olympics referee</x:v>
      </x:c>
      <x:c r="D1450" s="15" t="str">
        <x:v>Source Inventory</x:v>
      </x:c>
      <x:c r="E1450" s="15" t="str">
        <x:v>Aetherforge</x:v>
      </x:c>
      <x:c r="F1450" s="15" t="str">
        <x:v>Inventory Aetherforge — ClaudeCatcher</x:v>
      </x:c>
      <x:c r="G1450" s="15" t="str">
        <x:v>adversarial claims / model overclaim detection</x:v>
      </x:c>
      <x:c r="H1450" s="15" t="str">
        <x:v>source path + receipt + raw/export status + claim/edge/risk delta</x:v>
      </x:c>
      <x:c r="I1450" s="15" t="str">
        <x:v>packet/SWARM-11-H01-S09</x:v>
      </x:c>
      <x:c r="J1450" s="15" t="str">
        <x:v>TODO</x:v>
      </x:c>
      <x:c r="K1450" s="15" t="str">
        <x:v>P2</x:v>
      </x:c>
      <x:c r="L1450" s="15" t="str">
        <x:v>Done only when evidence is logged, contradiction search is noted, and boundary stamp remains non-canon unless ratified</x:v>
      </x:c>
      <x:c r="M1450" s="15" t="str">
        <x:v>candidate / staging-only / not canon / not deployed / authority none</x:v>
      </x:c>
      <x:c r="N1450" s="15" t="str">
        <x:v>Dispatch to ClaudeCatcher: complete Source Inventory x Aetherforge; return deltas only, receipts required.</x:v>
      </x:c>
      <x:c r="O1450" s="15" t="str">
        <x:v>AF-KG-H01-S09</x:v>
      </x:c>
      <x:c r="P1450" s="15" t="str">
        <x:v>Unverified</x:v>
      </x:c>
      <x:c r="Q1450" s="15" t="str">
        <x:v>Not checked</x:v>
      </x:c>
      <x:c r="R1450" s="15" t="str"/>
      <x:c r="S1450" s="15" t="str"/>
      <x:c r="T1450" s="15" t="str">
        <x:v>Log first source path or blocker</x:v>
      </x:c>
      <x:c r="U1450" s="12" t="str">
        <x:f>IF(OR(P1450="Unverified",Q1450="Not checked"),"BLOCKED_PENDING_RECEIPT","READY_FOR_REVIEW")</x:f>
        <x:v>BLOCKED_PENDING_RECEIPT</x:v>
      </x:c>
      <x:c r="V1450" s="12" t="str">
        <x:f>IF(J1450="DONE","RETURNED",IF(U1450="BLOCKED_PENDING_RECEIPT","SOURCE_TOUCH_REQUIRED","IN_PROGRESS"))</x:f>
        <x:v>SOURCE_TOUCH_REQUIRED</x:v>
      </x:c>
      <x:c r="W1450" s="12" t="str">
        <x:f>IF(P1450="Unverified","missing_receipt","receipt_logged")</x:f>
        <x:v>missing_receipt</x:v>
      </x:c>
      <x:c r="X1450" s="12" t="str">
        <x:f>IF(Q1450="Not checked","raw_status_missing","raw_status_logged")</x:f>
        <x:v>raw_status_missing</x:v>
      </x:c>
      <x:c r="Y1450" s="12" t="str">
        <x:f>IF(U1450="BLOCKED_PENDING_RECEIPT","Log source path or blocker; do not promote","Route to review lane")</x:f>
        <x:v>Log source path or blocker; do not promote</x:v>
      </x:c>
      <x:c r="Z1450" s="12" t="str">
        <x:f>IF(K1450="P0","Primary seat + Hashlight/Lucerna","Seat lane")</x:f>
        <x:v>Seat lane</x:v>
      </x:c>
      <x:c r="AA1450" s="12" t="str">
        <x:f>IF(R1450="","no_claim_delta","claim_delta_present")</x:f>
        <x:v>no_claim_delta</x:v>
      </x:c>
      <x:c r="AB1450" s="12" t="str">
        <x:f>IF(S1450="","no_contradiction_delta","contradiction_delta_present")</x:f>
        <x:v>no_contradiction_delta</x:v>
      </x:c>
      <x:c r="AC1450" s="12" t="str">
        <x:f>IF(OR(ISNUMBER(SEARCH("hacker",LOWER(F1450&amp;" "&amp;H1450&amp;" "&amp;I1450&amp;" "&amp;M1450&amp;" "&amp;N1450&amp;" "&amp;T1450))),ISNUMBER(SEARCH("hacking",LOWER(F1450&amp;" "&amp;H1450&amp;" "&amp;I1450&amp;" "&amp;M1450&amp;" "&amp;N1450&amp;" "&amp;T1450))),ISNUMBER(SEARCH("bank",LOWER(F1450&amp;" "&amp;H1450&amp;" "&amp;I1450&amp;" "&amp;M1450&amp;" "&amp;N1450&amp;" "&amp;T1450))),ISNUMBER(SEARCH("banking",LOWER(F1450&amp;" "&amp;H1450&amp;" "&amp;I1450&amp;" "&amp;M1450&amp;" "&amp;N1450&amp;" "&amp;T1450)))),"PRIVATE_QUARANTINE",IF(OR(ISNUMBER(SEARCH("treasury",LOWER(F1450&amp;" "&amp;H1450&amp;" "&amp;I1450&amp;" "&amp;M1450&amp;" "&amp;N1450&amp;" "&amp;T1450))),ISNUMBER(SEARCH("debt",LOWER(F1450&amp;" "&amp;H1450&amp;" "&amp;I1450&amp;" "&amp;M1450&amp;" "&amp;N1450&amp;" "&amp;T1450))),ISNUMBER(SEARCH("bond",LOWER(F1450&amp;" "&amp;H1450&amp;" "&amp;I1450&amp;" "&amp;M1450&amp;" "&amp;N1450&amp;" "&amp;T1450))),ISNUMBER(SEARCH("transaction",LOWER(F1450&amp;" "&amp;H1450&amp;" "&amp;I1450&amp;" "&amp;M1450&amp;" "&amp;N1450&amp;" "&amp;T1450)))),"PRIVATE_REVIEW","PUBLIC_CANDIDATE"))</x:f>
        <x:v>PUBLIC_CANDIDATE</x:v>
      </x:c>
      <x:c r="AD1450" s="12" t="str">
        <x:f>IF(AC1450="PRIVATE_QUARANTINE","hacker_or_bank_trigger",IF(AC1450="PRIVATE_REVIEW","finance_risk_trigger","none"))</x:f>
        <x:v>none</x:v>
      </x:c>
      <x:c r="AE1450" s="12" t="str">
        <x:f>IF(AC1450="PUBLIC_CANDIDATE","prepare_public_github_candidate",IF(AC1450="PRIVATE_REVIEW","hold_for_private_review","quarantine_private_do_not_publish"))</x:f>
        <x:v>prepare_public_github_candidate</x:v>
      </x:c>
      <x:c r="AF1450" s="12" t="str">
        <x:f>IF(AC1450="PUBLIC_CANDIDATE","TIDELOCK + Lucerna",IF(AC1450="PRIVATE_REVIEW","AtlasBrain + Lucerna","TIDELOCK + Lucerna + Human-root"))</x:f>
        <x:v>TIDELOCK + Lucerna</x:v>
      </x:c>
      <x:c r="AG1450" s="12" t="str">
        <x:f>IF(AND(AC1450="PUBLIC_CANDIDATE",U1450&lt;&gt;"BLOCKED_PENDING_RECEIPT"),"READY_AFTER_RECEIPT","NOT_READY")</x:f>
        <x:v>NOT_READY</x:v>
      </x:c>
      <x:c r="AH1450" s="12" t="str">
        <x:f>IF(AC1450="PUBLIC_CANDIDATE","none",AD1450)</x:f>
        <x:v>none</x:v>
      </x:c>
      <x:c r="AI1450" s="12" t="str">
        <x:f>IF(AC1450="PUBLIC_CANDIDATE","archive/public_candidates/"&amp;A1450,"private_quarantine/"&amp;A1450)</x:f>
        <x:v>archive/public_candidates/SWARM-11-H01-S09</x:v>
      </x:c>
      <x:c r="AJ1450" s="12" t="str">
        <x:f>IF(AC1450="PUBLIC_CANDIDATE","public by default; still not canon","private/hold; do not publish")</x:f>
        <x:v>public by default; still not canon</x:v>
      </x:c>
      <x:c r="AK1450" s="12" t="str">
        <x:f>IF(AE1450="prepare_public_github_candidate","add receipt/status then mirror","resolve blocker before any public GitHub action")</x:f>
        <x:v>add receipt/status then mirror</x:v>
      </x:c>
    </x:row>
    <x:row r="1451">
      <x:c r="A1451" s="15" t="str">
        <x:v>SWARM-11-H01-S10</x:v>
      </x:c>
      <x:c r="B1451" s="15" t="str">
        <x:v>ClaudeCatcher</x:v>
      </x:c>
      <x:c r="C1451" s="15" t="str">
        <x:v>Bullshit Olympics referee</x:v>
      </x:c>
      <x:c r="D1451" s="15" t="str">
        <x:v>Source Inventory</x:v>
      </x:c>
      <x:c r="E1451" s="15" t="str">
        <x:v>Human-Root</x:v>
      </x:c>
      <x:c r="F1451" s="15" t="str">
        <x:v>Inventory Human-Root — ClaudeCatcher</x:v>
      </x:c>
      <x:c r="G1451" s="15" t="str">
        <x:v>adversarial claims / model overclaim detection</x:v>
      </x:c>
      <x:c r="H1451" s="15" t="str">
        <x:v>source path + receipt + raw/export status + claim/edge/risk delta</x:v>
      </x:c>
      <x:c r="I1451" s="15" t="str">
        <x:v>packet/SWARM-11-H01-S10</x:v>
      </x:c>
      <x:c r="J1451" s="15" t="str">
        <x:v>TODO</x:v>
      </x:c>
      <x:c r="K1451" s="15" t="str">
        <x:v>P2</x:v>
      </x:c>
      <x:c r="L1451" s="15" t="str">
        <x:v>Done only when evidence is logged, contradiction search is noted, and boundary stamp remains non-canon unless ratified</x:v>
      </x:c>
      <x:c r="M1451" s="15" t="str">
        <x:v>candidate / staging-only / not canon / not deployed / authority none</x:v>
      </x:c>
      <x:c r="N1451" s="15" t="str">
        <x:v>Dispatch to ClaudeCatcher: complete Source Inventory x Human-Root; return deltas only, receipts required.</x:v>
      </x:c>
      <x:c r="O1451" s="15" t="str">
        <x:v>AF-KG-H01-S10</x:v>
      </x:c>
      <x:c r="P1451" s="15" t="str">
        <x:v>Unverified</x:v>
      </x:c>
      <x:c r="Q1451" s="15" t="str">
        <x:v>Not checked</x:v>
      </x:c>
      <x:c r="R1451" s="15" t="str"/>
      <x:c r="S1451" s="15" t="str"/>
      <x:c r="T1451" s="15" t="str">
        <x:v>Log first source path or blocker</x:v>
      </x:c>
      <x:c r="U1451" s="12" t="str">
        <x:f>IF(OR(P1451="Unverified",Q1451="Not checked"),"BLOCKED_PENDING_RECEIPT","READY_FOR_REVIEW")</x:f>
        <x:v>BLOCKED_PENDING_RECEIPT</x:v>
      </x:c>
      <x:c r="V1451" s="12" t="str">
        <x:f>IF(J1451="DONE","RETURNED",IF(U1451="BLOCKED_PENDING_RECEIPT","SOURCE_TOUCH_REQUIRED","IN_PROGRESS"))</x:f>
        <x:v>SOURCE_TOUCH_REQUIRED</x:v>
      </x:c>
      <x:c r="W1451" s="12" t="str">
        <x:f>IF(P1451="Unverified","missing_receipt","receipt_logged")</x:f>
        <x:v>missing_receipt</x:v>
      </x:c>
      <x:c r="X1451" s="12" t="str">
        <x:f>IF(Q1451="Not checked","raw_status_missing","raw_status_logged")</x:f>
        <x:v>raw_status_missing</x:v>
      </x:c>
      <x:c r="Y1451" s="12" t="str">
        <x:f>IF(U1451="BLOCKED_PENDING_RECEIPT","Log source path or blocker; do not promote","Route to review lane")</x:f>
        <x:v>Log source path or blocker; do not promote</x:v>
      </x:c>
      <x:c r="Z1451" s="12" t="str">
        <x:f>IF(K1451="P0","Primary seat + Hashlight/Lucerna","Seat lane")</x:f>
        <x:v>Seat lane</x:v>
      </x:c>
      <x:c r="AA1451" s="12" t="str">
        <x:f>IF(R1451="","no_claim_delta","claim_delta_present")</x:f>
        <x:v>no_claim_delta</x:v>
      </x:c>
      <x:c r="AB1451" s="12" t="str">
        <x:f>IF(S1451="","no_contradiction_delta","contradiction_delta_present")</x:f>
        <x:v>no_contradiction_delta</x:v>
      </x:c>
      <x:c r="AC1451" s="12" t="str">
        <x:f>IF(OR(ISNUMBER(SEARCH("hacker",LOWER(F1451&amp;" "&amp;H1451&amp;" "&amp;I1451&amp;" "&amp;M1451&amp;" "&amp;N1451&amp;" "&amp;T1451))),ISNUMBER(SEARCH("hacking",LOWER(F1451&amp;" "&amp;H1451&amp;" "&amp;I1451&amp;" "&amp;M1451&amp;" "&amp;N1451&amp;" "&amp;T1451))),ISNUMBER(SEARCH("bank",LOWER(F1451&amp;" "&amp;H1451&amp;" "&amp;I1451&amp;" "&amp;M1451&amp;" "&amp;N1451&amp;" "&amp;T1451))),ISNUMBER(SEARCH("banking",LOWER(F1451&amp;" "&amp;H1451&amp;" "&amp;I1451&amp;" "&amp;M1451&amp;" "&amp;N1451&amp;" "&amp;T1451)))),"PRIVATE_QUARANTINE",IF(OR(ISNUMBER(SEARCH("treasury",LOWER(F1451&amp;" "&amp;H1451&amp;" "&amp;I1451&amp;" "&amp;M1451&amp;" "&amp;N1451&amp;" "&amp;T1451))),ISNUMBER(SEARCH("debt",LOWER(F1451&amp;" "&amp;H1451&amp;" "&amp;I1451&amp;" "&amp;M1451&amp;" "&amp;N1451&amp;" "&amp;T1451))),ISNUMBER(SEARCH("bond",LOWER(F1451&amp;" "&amp;H1451&amp;" "&amp;I1451&amp;" "&amp;M1451&amp;" "&amp;N1451&amp;" "&amp;T1451))),ISNUMBER(SEARCH("transaction",LOWER(F1451&amp;" "&amp;H1451&amp;" "&amp;I1451&amp;" "&amp;M1451&amp;" "&amp;N1451&amp;" "&amp;T1451)))),"PRIVATE_REVIEW","PUBLIC_CANDIDATE"))</x:f>
        <x:v>PUBLIC_CANDIDATE</x:v>
      </x:c>
      <x:c r="AD1451" s="12" t="str">
        <x:f>IF(AC1451="PRIVATE_QUARANTINE","hacker_or_bank_trigger",IF(AC1451="PRIVATE_REVIEW","finance_risk_trigger","none"))</x:f>
        <x:v>none</x:v>
      </x:c>
      <x:c r="AE1451" s="12" t="str">
        <x:f>IF(AC1451="PUBLIC_CANDIDATE","prepare_public_github_candidate",IF(AC1451="PRIVATE_REVIEW","hold_for_private_review","quarantine_private_do_not_publish"))</x:f>
        <x:v>prepare_public_github_candidate</x:v>
      </x:c>
      <x:c r="AF1451" s="12" t="str">
        <x:f>IF(AC1451="PUBLIC_CANDIDATE","TIDELOCK + Lucerna",IF(AC1451="PRIVATE_REVIEW","AtlasBrain + Lucerna","TIDELOCK + Lucerna + Human-root"))</x:f>
        <x:v>TIDELOCK + Lucerna</x:v>
      </x:c>
      <x:c r="AG1451" s="12" t="str">
        <x:f>IF(AND(AC1451="PUBLIC_CANDIDATE",U1451&lt;&gt;"BLOCKED_PENDING_RECEIPT"),"READY_AFTER_RECEIPT","NOT_READY")</x:f>
        <x:v>NOT_READY</x:v>
      </x:c>
      <x:c r="AH1451" s="12" t="str">
        <x:f>IF(AC1451="PUBLIC_CANDIDATE","none",AD1451)</x:f>
        <x:v>none</x:v>
      </x:c>
      <x:c r="AI1451" s="12" t="str">
        <x:f>IF(AC1451="PUBLIC_CANDIDATE","archive/public_candidates/"&amp;A1451,"private_quarantine/"&amp;A1451)</x:f>
        <x:v>archive/public_candidates/SWARM-11-H01-S10</x:v>
      </x:c>
      <x:c r="AJ1451" s="12" t="str">
        <x:f>IF(AC1451="PUBLIC_CANDIDATE","public by default; still not canon","private/hold; do not publish")</x:f>
        <x:v>public by default; still not canon</x:v>
      </x:c>
      <x:c r="AK1451" s="12" t="str">
        <x:f>IF(AE1451="prepare_public_github_candidate","add receipt/status then mirror","resolve blocker before any public GitHub action")</x:f>
        <x:v>add receipt/status then mirror</x:v>
      </x:c>
    </x:row>
    <x:row r="1452">
      <x:c r="A1452" s="15" t="str">
        <x:v>SWARM-11-H01-S11</x:v>
      </x:c>
      <x:c r="B1452" s="15" t="str">
        <x:v>ClaudeCatcher</x:v>
      </x:c>
      <x:c r="C1452" s="15" t="str">
        <x:v>Bullshit Olympics referee</x:v>
      </x:c>
      <x:c r="D1452" s="15" t="str">
        <x:v>Source Inventory</x:v>
      </x:c>
      <x:c r="E1452" s="15" t="str">
        <x:v>Automation</x:v>
      </x:c>
      <x:c r="F1452" s="15" t="str">
        <x:v>Inventory Automation — ClaudeCatcher</x:v>
      </x:c>
      <x:c r="G1452" s="15" t="str">
        <x:v>adversarial claims / model overclaim detection</x:v>
      </x:c>
      <x:c r="H1452" s="15" t="str">
        <x:v>source path + receipt + raw/export status + claim/edge/risk delta</x:v>
      </x:c>
      <x:c r="I1452" s="15" t="str">
        <x:v>packet/SWARM-11-H01-S11</x:v>
      </x:c>
      <x:c r="J1452" s="15" t="str">
        <x:v>TODO</x:v>
      </x:c>
      <x:c r="K1452" s="15" t="str">
        <x:v>P2</x:v>
      </x:c>
      <x:c r="L1452" s="15" t="str">
        <x:v>Done only when evidence is logged, contradiction search is noted, and boundary stamp remains non-canon unless ratified</x:v>
      </x:c>
      <x:c r="M1452" s="15" t="str">
        <x:v>candidate / staging-only / not canon / not deployed / authority none</x:v>
      </x:c>
      <x:c r="N1452" s="15" t="str">
        <x:v>Dispatch to ClaudeCatcher: complete Source Inventory x Automation; return deltas only, receipts required.</x:v>
      </x:c>
      <x:c r="O1452" s="15" t="str">
        <x:v>AF-KG-H01-S11</x:v>
      </x:c>
      <x:c r="P1452" s="15" t="str">
        <x:v>Unverified</x:v>
      </x:c>
      <x:c r="Q1452" s="15" t="str">
        <x:v>Not checked</x:v>
      </x:c>
      <x:c r="R1452" s="15" t="str"/>
      <x:c r="S1452" s="15" t="str"/>
      <x:c r="T1452" s="15" t="str">
        <x:v>Log first source path or blocker</x:v>
      </x:c>
      <x:c r="U1452" s="12" t="str">
        <x:f>IF(OR(P1452="Unverified",Q1452="Not checked"),"BLOCKED_PENDING_RECEIPT","READY_FOR_REVIEW")</x:f>
        <x:v>BLOCKED_PENDING_RECEIPT</x:v>
      </x:c>
      <x:c r="V1452" s="12" t="str">
        <x:f>IF(J1452="DONE","RETURNED",IF(U1452="BLOCKED_PENDING_RECEIPT","SOURCE_TOUCH_REQUIRED","IN_PROGRESS"))</x:f>
        <x:v>SOURCE_TOUCH_REQUIRED</x:v>
      </x:c>
      <x:c r="W1452" s="12" t="str">
        <x:f>IF(P1452="Unverified","missing_receipt","receipt_logged")</x:f>
        <x:v>missing_receipt</x:v>
      </x:c>
      <x:c r="X1452" s="12" t="str">
        <x:f>IF(Q1452="Not checked","raw_status_missing","raw_status_logged")</x:f>
        <x:v>raw_status_missing</x:v>
      </x:c>
      <x:c r="Y1452" s="12" t="str">
        <x:f>IF(U1452="BLOCKED_PENDING_RECEIPT","Log source path or blocker; do not promote","Route to review lane")</x:f>
        <x:v>Log source path or blocker; do not promote</x:v>
      </x:c>
      <x:c r="Z1452" s="12" t="str">
        <x:f>IF(K1452="P0","Primary seat + Hashlight/Lucerna","Seat lane")</x:f>
        <x:v>Seat lane</x:v>
      </x:c>
      <x:c r="AA1452" s="12" t="str">
        <x:f>IF(R1452="","no_claim_delta","claim_delta_present")</x:f>
        <x:v>no_claim_delta</x:v>
      </x:c>
      <x:c r="AB1452" s="12" t="str">
        <x:f>IF(S1452="","no_contradiction_delta","contradiction_delta_present")</x:f>
        <x:v>no_contradiction_delta</x:v>
      </x:c>
      <x:c r="AC1452" s="12" t="str">
        <x:f>IF(OR(ISNUMBER(SEARCH("hacker",LOWER(F1452&amp;" "&amp;H1452&amp;" "&amp;I1452&amp;" "&amp;M1452&amp;" "&amp;N1452&amp;" "&amp;T1452))),ISNUMBER(SEARCH("hacking",LOWER(F1452&amp;" "&amp;H1452&amp;" "&amp;I1452&amp;" "&amp;M1452&amp;" "&amp;N1452&amp;" "&amp;T1452))),ISNUMBER(SEARCH("bank",LOWER(F1452&amp;" "&amp;H1452&amp;" "&amp;I1452&amp;" "&amp;M1452&amp;" "&amp;N1452&amp;" "&amp;T1452))),ISNUMBER(SEARCH("banking",LOWER(F1452&amp;" "&amp;H1452&amp;" "&amp;I1452&amp;" "&amp;M1452&amp;" "&amp;N1452&amp;" "&amp;T1452)))),"PRIVATE_QUARANTINE",IF(OR(ISNUMBER(SEARCH("treasury",LOWER(F1452&amp;" "&amp;H1452&amp;" "&amp;I1452&amp;" "&amp;M1452&amp;" "&amp;N1452&amp;" "&amp;T1452))),ISNUMBER(SEARCH("debt",LOWER(F1452&amp;" "&amp;H1452&amp;" "&amp;I1452&amp;" "&amp;M1452&amp;" "&amp;N1452&amp;" "&amp;T1452))),ISNUMBER(SEARCH("bond",LOWER(F1452&amp;" "&amp;H1452&amp;" "&amp;I1452&amp;" "&amp;M1452&amp;" "&amp;N1452&amp;" "&amp;T1452))),ISNUMBER(SEARCH("transaction",LOWER(F1452&amp;" "&amp;H1452&amp;" "&amp;I1452&amp;" "&amp;M1452&amp;" "&amp;N1452&amp;" "&amp;T1452)))),"PRIVATE_REVIEW","PUBLIC_CANDIDATE"))</x:f>
        <x:v>PUBLIC_CANDIDATE</x:v>
      </x:c>
      <x:c r="AD1452" s="12" t="str">
        <x:f>IF(AC1452="PRIVATE_QUARANTINE","hacker_or_bank_trigger",IF(AC1452="PRIVATE_REVIEW","finance_risk_trigger","none"))</x:f>
        <x:v>none</x:v>
      </x:c>
      <x:c r="AE1452" s="12" t="str">
        <x:f>IF(AC1452="PUBLIC_CANDIDATE","prepare_public_github_candidate",IF(AC1452="PRIVATE_REVIEW","hold_for_private_review","quarantine_private_do_not_publish"))</x:f>
        <x:v>prepare_public_github_candidate</x:v>
      </x:c>
      <x:c r="AF1452" s="12" t="str">
        <x:f>IF(AC1452="PUBLIC_CANDIDATE","TIDELOCK + Lucerna",IF(AC1452="PRIVATE_REVIEW","AtlasBrain + Lucerna","TIDELOCK + Lucerna + Human-root"))</x:f>
        <x:v>TIDELOCK + Lucerna</x:v>
      </x:c>
      <x:c r="AG1452" s="12" t="str">
        <x:f>IF(AND(AC1452="PUBLIC_CANDIDATE",U1452&lt;&gt;"BLOCKED_PENDING_RECEIPT"),"READY_AFTER_RECEIPT","NOT_READY")</x:f>
        <x:v>NOT_READY</x:v>
      </x:c>
      <x:c r="AH1452" s="12" t="str">
        <x:f>IF(AC1452="PUBLIC_CANDIDATE","none",AD1452)</x:f>
        <x:v>none</x:v>
      </x:c>
      <x:c r="AI1452" s="12" t="str">
        <x:f>IF(AC1452="PUBLIC_CANDIDATE","archive/public_candidates/"&amp;A1452,"private_quarantine/"&amp;A1452)</x:f>
        <x:v>archive/public_candidates/SWARM-11-H01-S11</x:v>
      </x:c>
      <x:c r="AJ1452" s="12" t="str">
        <x:f>IF(AC1452="PUBLIC_CANDIDATE","public by default; still not canon","private/hold; do not publish")</x:f>
        <x:v>public by default; still not canon</x:v>
      </x:c>
      <x:c r="AK1452" s="12" t="str">
        <x:f>IF(AE1452="prepare_public_github_candidate","add receipt/status then mirror","resolve blocker before any public GitHub action")</x:f>
        <x:v>add receipt/status then mirror</x:v>
      </x:c>
    </x:row>
    <x:row r="1453">
      <x:c r="A1453" s="15" t="str">
        <x:v>SWARM-11-H01-S12</x:v>
      </x:c>
      <x:c r="B1453" s="15" t="str">
        <x:v>ClaudeCatcher</x:v>
      </x:c>
      <x:c r="C1453" s="15" t="str">
        <x:v>Bullshit Olympics referee</x:v>
      </x:c>
      <x:c r="D1453" s="15" t="str">
        <x:v>Source Inventory</x:v>
      </x:c>
      <x:c r="E1453" s="15" t="str">
        <x:v>Risk / Safety</x:v>
      </x:c>
      <x:c r="F1453" s="15" t="str">
        <x:v>Inventory Risk / Safety — ClaudeCatcher</x:v>
      </x:c>
      <x:c r="G1453" s="15" t="str">
        <x:v>adversarial claims / model overclaim detection</x:v>
      </x:c>
      <x:c r="H1453" s="15" t="str">
        <x:v>source path + receipt + raw/export status + claim/edge/risk delta</x:v>
      </x:c>
      <x:c r="I1453" s="15" t="str">
        <x:v>packet/SWARM-11-H01-S12</x:v>
      </x:c>
      <x:c r="J1453" s="15" t="str">
        <x:v>TODO</x:v>
      </x:c>
      <x:c r="K1453" s="15" t="str">
        <x:v>P2</x:v>
      </x:c>
      <x:c r="L1453" s="15" t="str">
        <x:v>Done only when evidence is logged, contradiction search is noted, and boundary stamp remains non-canon unless ratified</x:v>
      </x:c>
      <x:c r="M1453" s="15" t="str">
        <x:v>candidate / staging-only / not canon / not deployed / authority none</x:v>
      </x:c>
      <x:c r="N1453" s="15" t="str">
        <x:v>Dispatch to ClaudeCatcher: complete Source Inventory x Risk / Safety; return deltas only, receipts required.</x:v>
      </x:c>
      <x:c r="O1453" s="15" t="str">
        <x:v>AF-KG-H01-S12</x:v>
      </x:c>
      <x:c r="P1453" s="15" t="str">
        <x:v>Unverified</x:v>
      </x:c>
      <x:c r="Q1453" s="15" t="str">
        <x:v>Not checked</x:v>
      </x:c>
      <x:c r="R1453" s="15" t="str"/>
      <x:c r="S1453" s="15" t="str"/>
      <x:c r="T1453" s="15" t="str">
        <x:v>Log first source path or blocker</x:v>
      </x:c>
      <x:c r="U1453" s="12" t="str">
        <x:f>IF(OR(P1453="Unverified",Q1453="Not checked"),"BLOCKED_PENDING_RECEIPT","READY_FOR_REVIEW")</x:f>
        <x:v>BLOCKED_PENDING_RECEIPT</x:v>
      </x:c>
      <x:c r="V1453" s="12" t="str">
        <x:f>IF(J1453="DONE","RETURNED",IF(U1453="BLOCKED_PENDING_RECEIPT","SOURCE_TOUCH_REQUIRED","IN_PROGRESS"))</x:f>
        <x:v>SOURCE_TOUCH_REQUIRED</x:v>
      </x:c>
      <x:c r="W1453" s="12" t="str">
        <x:f>IF(P1453="Unverified","missing_receipt","receipt_logged")</x:f>
        <x:v>missing_receipt</x:v>
      </x:c>
      <x:c r="X1453" s="12" t="str">
        <x:f>IF(Q1453="Not checked","raw_status_missing","raw_status_logged")</x:f>
        <x:v>raw_status_missing</x:v>
      </x:c>
      <x:c r="Y1453" s="12" t="str">
        <x:f>IF(U1453="BLOCKED_PENDING_RECEIPT","Log source path or blocker; do not promote","Route to review lane")</x:f>
        <x:v>Log source path or blocker; do not promote</x:v>
      </x:c>
      <x:c r="Z1453" s="12" t="str">
        <x:f>IF(K1453="P0","Primary seat + Hashlight/Lucerna","Seat lane")</x:f>
        <x:v>Seat lane</x:v>
      </x:c>
      <x:c r="AA1453" s="12" t="str">
        <x:f>IF(R1453="","no_claim_delta","claim_delta_present")</x:f>
        <x:v>no_claim_delta</x:v>
      </x:c>
      <x:c r="AB1453" s="12" t="str">
        <x:f>IF(S1453="","no_contradiction_delta","contradiction_delta_present")</x:f>
        <x:v>no_contradiction_delta</x:v>
      </x:c>
      <x:c r="AC1453" s="12" t="str">
        <x:f>IF(OR(ISNUMBER(SEARCH("hacker",LOWER(F1453&amp;" "&amp;H1453&amp;" "&amp;I1453&amp;" "&amp;M1453&amp;" "&amp;N1453&amp;" "&amp;T1453))),ISNUMBER(SEARCH("hacking",LOWER(F1453&amp;" "&amp;H1453&amp;" "&amp;I1453&amp;" "&amp;M1453&amp;" "&amp;N1453&amp;" "&amp;T1453))),ISNUMBER(SEARCH("bank",LOWER(F1453&amp;" "&amp;H1453&amp;" "&amp;I1453&amp;" "&amp;M1453&amp;" "&amp;N1453&amp;" "&amp;T1453))),ISNUMBER(SEARCH("banking",LOWER(F1453&amp;" "&amp;H1453&amp;" "&amp;I1453&amp;" "&amp;M1453&amp;" "&amp;N1453&amp;" "&amp;T1453)))),"PRIVATE_QUARANTINE",IF(OR(ISNUMBER(SEARCH("treasury",LOWER(F1453&amp;" "&amp;H1453&amp;" "&amp;I1453&amp;" "&amp;M1453&amp;" "&amp;N1453&amp;" "&amp;T1453))),ISNUMBER(SEARCH("debt",LOWER(F1453&amp;" "&amp;H1453&amp;" "&amp;I1453&amp;" "&amp;M1453&amp;" "&amp;N1453&amp;" "&amp;T1453))),ISNUMBER(SEARCH("bond",LOWER(F1453&amp;" "&amp;H1453&amp;" "&amp;I1453&amp;" "&amp;M1453&amp;" "&amp;N1453&amp;" "&amp;T1453))),ISNUMBER(SEARCH("transaction",LOWER(F1453&amp;" "&amp;H1453&amp;" "&amp;I1453&amp;" "&amp;M1453&amp;" "&amp;N1453&amp;" "&amp;T1453)))),"PRIVATE_REVIEW","PUBLIC_CANDIDATE"))</x:f>
        <x:v>PUBLIC_CANDIDATE</x:v>
      </x:c>
      <x:c r="AD1453" s="12" t="str">
        <x:f>IF(AC1453="PRIVATE_QUARANTINE","hacker_or_bank_trigger",IF(AC1453="PRIVATE_REVIEW","finance_risk_trigger","none"))</x:f>
        <x:v>none</x:v>
      </x:c>
      <x:c r="AE1453" s="12" t="str">
        <x:f>IF(AC1453="PUBLIC_CANDIDATE","prepare_public_github_candidate",IF(AC1453="PRIVATE_REVIEW","hold_for_private_review","quarantine_private_do_not_publish"))</x:f>
        <x:v>prepare_public_github_candidate</x:v>
      </x:c>
      <x:c r="AF1453" s="12" t="str">
        <x:f>IF(AC1453="PUBLIC_CANDIDATE","TIDELOCK + Lucerna",IF(AC1453="PRIVATE_REVIEW","AtlasBrain + Lucerna","TIDELOCK + Lucerna + Human-root"))</x:f>
        <x:v>TIDELOCK + Lucerna</x:v>
      </x:c>
      <x:c r="AG1453" s="12" t="str">
        <x:f>IF(AND(AC1453="PUBLIC_CANDIDATE",U1453&lt;&gt;"BLOCKED_PENDING_RECEIPT"),"READY_AFTER_RECEIPT","NOT_READY")</x:f>
        <x:v>NOT_READY</x:v>
      </x:c>
      <x:c r="AH1453" s="12" t="str">
        <x:f>IF(AC1453="PUBLIC_CANDIDATE","none",AD1453)</x:f>
        <x:v>none</x:v>
      </x:c>
      <x:c r="AI1453" s="12" t="str">
        <x:f>IF(AC1453="PUBLIC_CANDIDATE","archive/public_candidates/"&amp;A1453,"private_quarantine/"&amp;A1453)</x:f>
        <x:v>archive/public_candidates/SWARM-11-H01-S12</x:v>
      </x:c>
      <x:c r="AJ1453" s="12" t="str">
        <x:f>IF(AC1453="PUBLIC_CANDIDATE","public by default; still not canon","private/hold; do not publish")</x:f>
        <x:v>public by default; still not canon</x:v>
      </x:c>
      <x:c r="AK1453" s="12" t="str">
        <x:f>IF(AE1453="prepare_public_github_candidate","add receipt/status then mirror","resolve blocker before any public GitHub action")</x:f>
        <x:v>add receipt/status then mirror</x:v>
      </x:c>
    </x:row>
    <x:row r="1454">
      <x:c r="A1454" s="15" t="str">
        <x:v>SWARM-11-H02-S01</x:v>
      </x:c>
      <x:c r="B1454" s="15" t="str">
        <x:v>ClaudeCatcher</x:v>
      </x:c>
      <x:c r="C1454" s="15" t="str">
        <x:v>Bullshit Olympics referee</x:v>
      </x:c>
      <x:c r="D1454" s="15" t="str">
        <x:v>Receipt Verification</x:v>
      </x:c>
      <x:c r="E1454" s="15" t="str">
        <x:v>Notion</x:v>
      </x:c>
      <x:c r="F1454" s="15" t="str">
        <x:v>Verify receipts for Notion — ClaudeCatcher</x:v>
      </x:c>
      <x:c r="G1454" s="15" t="str">
        <x:v>adversarial claims / model overclaim detection</x:v>
      </x:c>
      <x:c r="H1454" s="15" t="str">
        <x:v>source path + receipt + raw/export status + claim/edge/risk delta</x:v>
      </x:c>
      <x:c r="I1454" s="15" t="str">
        <x:v>packet/SWARM-11-H02-S01</x:v>
      </x:c>
      <x:c r="J1454" s="15" t="str">
        <x:v>TODO</x:v>
      </x:c>
      <x:c r="K1454" s="15" t="str">
        <x:v>P0</x:v>
      </x:c>
      <x:c r="L1454" s="15" t="str">
        <x:v>Done only when evidence is logged, contradiction search is noted, and boundary stamp remains non-canon unless ratified</x:v>
      </x:c>
      <x:c r="M1454" s="15" t="str">
        <x:v>candidate / staging-only / not canon / not deployed / authority none</x:v>
      </x:c>
      <x:c r="N1454" s="15" t="str">
        <x:v>Dispatch to ClaudeCatcher: complete Receipt Verification x Notion; return deltas only, receipts required.</x:v>
      </x:c>
      <x:c r="O1454" s="15" t="str">
        <x:v>AF-KG-H02-S01</x:v>
      </x:c>
      <x:c r="P1454" s="15" t="str">
        <x:v>Unverified</x:v>
      </x:c>
      <x:c r="Q1454" s="15" t="str">
        <x:v>Not checked</x:v>
      </x:c>
      <x:c r="R1454" s="15" t="str"/>
      <x:c r="S1454" s="15" t="str"/>
      <x:c r="T1454" s="15" t="str">
        <x:v>Log first source path or blocker</x:v>
      </x:c>
      <x:c r="U1454" s="12" t="str">
        <x:f>IF(OR(P1454="Unverified",Q1454="Not checked"),"BLOCKED_PENDING_RECEIPT","READY_FOR_REVIEW")</x:f>
        <x:v>BLOCKED_PENDING_RECEIPT</x:v>
      </x:c>
      <x:c r="V1454" s="12" t="str">
        <x:f>IF(J1454="DONE","RETURNED",IF(U1454="BLOCKED_PENDING_RECEIPT","SOURCE_TOUCH_REQUIRED","IN_PROGRESS"))</x:f>
        <x:v>SOURCE_TOUCH_REQUIRED</x:v>
      </x:c>
      <x:c r="W1454" s="12" t="str">
        <x:f>IF(P1454="Unverified","missing_receipt","receipt_logged")</x:f>
        <x:v>missing_receipt</x:v>
      </x:c>
      <x:c r="X1454" s="12" t="str">
        <x:f>IF(Q1454="Not checked","raw_status_missing","raw_status_logged")</x:f>
        <x:v>raw_status_missing</x:v>
      </x:c>
      <x:c r="Y1454" s="12" t="str">
        <x:f>IF(U1454="BLOCKED_PENDING_RECEIPT","Log source path or blocker; do not promote","Route to review lane")</x:f>
        <x:v>Log source path or blocker; do not promote</x:v>
      </x:c>
      <x:c r="Z1454" s="12" t="str">
        <x:f>IF(K1454="P0","Primary seat + Hashlight/Lucerna","Seat lane")</x:f>
        <x:v>Primary seat + Hashlight/Lucerna</x:v>
      </x:c>
      <x:c r="AA1454" s="12" t="str">
        <x:f>IF(R1454="","no_claim_delta","claim_delta_present")</x:f>
        <x:v>no_claim_delta</x:v>
      </x:c>
      <x:c r="AB1454" s="12" t="str">
        <x:f>IF(S1454="","no_contradiction_delta","contradiction_delta_present")</x:f>
        <x:v>no_contradiction_delta</x:v>
      </x:c>
      <x:c r="AC1454" s="12" t="str">
        <x:f>IF(OR(ISNUMBER(SEARCH("hacker",LOWER(F1454&amp;" "&amp;H1454&amp;" "&amp;I1454&amp;" "&amp;M1454&amp;" "&amp;N1454&amp;" "&amp;T1454))),ISNUMBER(SEARCH("hacking",LOWER(F1454&amp;" "&amp;H1454&amp;" "&amp;I1454&amp;" "&amp;M1454&amp;" "&amp;N1454&amp;" "&amp;T1454))),ISNUMBER(SEARCH("bank",LOWER(F1454&amp;" "&amp;H1454&amp;" "&amp;I1454&amp;" "&amp;M1454&amp;" "&amp;N1454&amp;" "&amp;T1454))),ISNUMBER(SEARCH("banking",LOWER(F1454&amp;" "&amp;H1454&amp;" "&amp;I1454&amp;" "&amp;M1454&amp;" "&amp;N1454&amp;" "&amp;T1454)))),"PRIVATE_QUARANTINE",IF(OR(ISNUMBER(SEARCH("treasury",LOWER(F1454&amp;" "&amp;H1454&amp;" "&amp;I1454&amp;" "&amp;M1454&amp;" "&amp;N1454&amp;" "&amp;T1454))),ISNUMBER(SEARCH("debt",LOWER(F1454&amp;" "&amp;H1454&amp;" "&amp;I1454&amp;" "&amp;M1454&amp;" "&amp;N1454&amp;" "&amp;T1454))),ISNUMBER(SEARCH("bond",LOWER(F1454&amp;" "&amp;H1454&amp;" "&amp;I1454&amp;" "&amp;M1454&amp;" "&amp;N1454&amp;" "&amp;T1454))),ISNUMBER(SEARCH("transaction",LOWER(F1454&amp;" "&amp;H1454&amp;" "&amp;I1454&amp;" "&amp;M1454&amp;" "&amp;N1454&amp;" "&amp;T1454)))),"PRIVATE_REVIEW","PUBLIC_CANDIDATE"))</x:f>
        <x:v>PUBLIC_CANDIDATE</x:v>
      </x:c>
      <x:c r="AD1454" s="12" t="str">
        <x:f>IF(AC1454="PRIVATE_QUARANTINE","hacker_or_bank_trigger",IF(AC1454="PRIVATE_REVIEW","finance_risk_trigger","none"))</x:f>
        <x:v>none</x:v>
      </x:c>
      <x:c r="AE1454" s="12" t="str">
        <x:f>IF(AC1454="PUBLIC_CANDIDATE","prepare_public_github_candidate",IF(AC1454="PRIVATE_REVIEW","hold_for_private_review","quarantine_private_do_not_publish"))</x:f>
        <x:v>prepare_public_github_candidate</x:v>
      </x:c>
      <x:c r="AF1454" s="12" t="str">
        <x:f>IF(AC1454="PUBLIC_CANDIDATE","TIDELOCK + Lucerna",IF(AC1454="PRIVATE_REVIEW","AtlasBrain + Lucerna","TIDELOCK + Lucerna + Human-root"))</x:f>
        <x:v>TIDELOCK + Lucerna</x:v>
      </x:c>
      <x:c r="AG1454" s="12" t="str">
        <x:f>IF(AND(AC1454="PUBLIC_CANDIDATE",U1454&lt;&gt;"BLOCKED_PENDING_RECEIPT"),"READY_AFTER_RECEIPT","NOT_READY")</x:f>
        <x:v>NOT_READY</x:v>
      </x:c>
      <x:c r="AH1454" s="12" t="str">
        <x:f>IF(AC1454="PUBLIC_CANDIDATE","none",AD1454)</x:f>
        <x:v>none</x:v>
      </x:c>
      <x:c r="AI1454" s="12" t="str">
        <x:f>IF(AC1454="PUBLIC_CANDIDATE","archive/public_candidates/"&amp;A1454,"private_quarantine/"&amp;A1454)</x:f>
        <x:v>archive/public_candidates/SWARM-11-H02-S01</x:v>
      </x:c>
      <x:c r="AJ1454" s="12" t="str">
        <x:f>IF(AC1454="PUBLIC_CANDIDATE","public by default; still not canon","private/hold; do not publish")</x:f>
        <x:v>public by default; still not canon</x:v>
      </x:c>
      <x:c r="AK1454" s="12" t="str">
        <x:f>IF(AE1454="prepare_public_github_candidate","add receipt/status then mirror","resolve blocker before any public GitHub action")</x:f>
        <x:v>add receipt/status then mirror</x:v>
      </x:c>
    </x:row>
    <x:row r="1455">
      <x:c r="A1455" s="15" t="str">
        <x:v>SWARM-11-H02-S02</x:v>
      </x:c>
      <x:c r="B1455" s="15" t="str">
        <x:v>ClaudeCatcher</x:v>
      </x:c>
      <x:c r="C1455" s="15" t="str">
        <x:v>Bullshit Olympics referee</x:v>
      </x:c>
      <x:c r="D1455" s="15" t="str">
        <x:v>Receipt Verification</x:v>
      </x:c>
      <x:c r="E1455" s="15" t="str">
        <x:v>Drive</x:v>
      </x:c>
      <x:c r="F1455" s="15" t="str">
        <x:v>Verify receipts for Drive — ClaudeCatcher</x:v>
      </x:c>
      <x:c r="G1455" s="15" t="str">
        <x:v>adversarial claims / model overclaim detection</x:v>
      </x:c>
      <x:c r="H1455" s="15" t="str">
        <x:v>source path + receipt + raw/export status + claim/edge/risk delta</x:v>
      </x:c>
      <x:c r="I1455" s="15" t="str">
        <x:v>packet/SWARM-11-H02-S02</x:v>
      </x:c>
      <x:c r="J1455" s="15" t="str">
        <x:v>TODO</x:v>
      </x:c>
      <x:c r="K1455" s="15" t="str">
        <x:v>P0</x:v>
      </x:c>
      <x:c r="L1455" s="15" t="str">
        <x:v>Done only when evidence is logged, contradiction search is noted, and boundary stamp remains non-canon unless ratified</x:v>
      </x:c>
      <x:c r="M1455" s="15" t="str">
        <x:v>candidate / staging-only / not canon / not deployed / authority none</x:v>
      </x:c>
      <x:c r="N1455" s="15" t="str">
        <x:v>Dispatch to ClaudeCatcher: complete Receipt Verification x Drive; return deltas only, receipts required.</x:v>
      </x:c>
      <x:c r="O1455" s="15" t="str">
        <x:v>AF-KG-H02-S02</x:v>
      </x:c>
      <x:c r="P1455" s="15" t="str">
        <x:v>Unverified</x:v>
      </x:c>
      <x:c r="Q1455" s="15" t="str">
        <x:v>Not checked</x:v>
      </x:c>
      <x:c r="R1455" s="15" t="str"/>
      <x:c r="S1455" s="15" t="str"/>
      <x:c r="T1455" s="15" t="str">
        <x:v>Log first source path or blocker</x:v>
      </x:c>
      <x:c r="U1455" s="12" t="str">
        <x:f>IF(OR(P1455="Unverified",Q1455="Not checked"),"BLOCKED_PENDING_RECEIPT","READY_FOR_REVIEW")</x:f>
        <x:v>BLOCKED_PENDING_RECEIPT</x:v>
      </x:c>
      <x:c r="V1455" s="12" t="str">
        <x:f>IF(J1455="DONE","RETURNED",IF(U1455="BLOCKED_PENDING_RECEIPT","SOURCE_TOUCH_REQUIRED","IN_PROGRESS"))</x:f>
        <x:v>SOURCE_TOUCH_REQUIRED</x:v>
      </x:c>
      <x:c r="W1455" s="12" t="str">
        <x:f>IF(P1455="Unverified","missing_receipt","receipt_logged")</x:f>
        <x:v>missing_receipt</x:v>
      </x:c>
      <x:c r="X1455" s="12" t="str">
        <x:f>IF(Q1455="Not checked","raw_status_missing","raw_status_logged")</x:f>
        <x:v>raw_status_missing</x:v>
      </x:c>
      <x:c r="Y1455" s="12" t="str">
        <x:f>IF(U1455="BLOCKED_PENDING_RECEIPT","Log source path or blocker; do not promote","Route to review lane")</x:f>
        <x:v>Log source path or blocker; do not promote</x:v>
      </x:c>
      <x:c r="Z1455" s="12" t="str">
        <x:f>IF(K1455="P0","Primary seat + Hashlight/Lucerna","Seat lane")</x:f>
        <x:v>Primary seat + Hashlight/Lucerna</x:v>
      </x:c>
      <x:c r="AA1455" s="12" t="str">
        <x:f>IF(R1455="","no_claim_delta","claim_delta_present")</x:f>
        <x:v>no_claim_delta</x:v>
      </x:c>
      <x:c r="AB1455" s="12" t="str">
        <x:f>IF(S1455="","no_contradiction_delta","contradiction_delta_present")</x:f>
        <x:v>no_contradiction_delta</x:v>
      </x:c>
      <x:c r="AC1455" s="12" t="str">
        <x:f>IF(OR(ISNUMBER(SEARCH("hacker",LOWER(F1455&amp;" "&amp;H1455&amp;" "&amp;I1455&amp;" "&amp;M1455&amp;" "&amp;N1455&amp;" "&amp;T1455))),ISNUMBER(SEARCH("hacking",LOWER(F1455&amp;" "&amp;H1455&amp;" "&amp;I1455&amp;" "&amp;M1455&amp;" "&amp;N1455&amp;" "&amp;T1455))),ISNUMBER(SEARCH("bank",LOWER(F1455&amp;" "&amp;H1455&amp;" "&amp;I1455&amp;" "&amp;M1455&amp;" "&amp;N1455&amp;" "&amp;T1455))),ISNUMBER(SEARCH("banking",LOWER(F1455&amp;" "&amp;H1455&amp;" "&amp;I1455&amp;" "&amp;M1455&amp;" "&amp;N1455&amp;" "&amp;T1455)))),"PRIVATE_QUARANTINE",IF(OR(ISNUMBER(SEARCH("treasury",LOWER(F1455&amp;" "&amp;H1455&amp;" "&amp;I1455&amp;" "&amp;M1455&amp;" "&amp;N1455&amp;" "&amp;T1455))),ISNUMBER(SEARCH("debt",LOWER(F1455&amp;" "&amp;H1455&amp;" "&amp;I1455&amp;" "&amp;M1455&amp;" "&amp;N1455&amp;" "&amp;T1455))),ISNUMBER(SEARCH("bond",LOWER(F1455&amp;" "&amp;H1455&amp;" "&amp;I1455&amp;" "&amp;M1455&amp;" "&amp;N1455&amp;" "&amp;T1455))),ISNUMBER(SEARCH("transaction",LOWER(F1455&amp;" "&amp;H1455&amp;" "&amp;I1455&amp;" "&amp;M1455&amp;" "&amp;N1455&amp;" "&amp;T1455)))),"PRIVATE_REVIEW","PUBLIC_CANDIDATE"))</x:f>
        <x:v>PUBLIC_CANDIDATE</x:v>
      </x:c>
      <x:c r="AD1455" s="12" t="str">
        <x:f>IF(AC1455="PRIVATE_QUARANTINE","hacker_or_bank_trigger",IF(AC1455="PRIVATE_REVIEW","finance_risk_trigger","none"))</x:f>
        <x:v>none</x:v>
      </x:c>
      <x:c r="AE1455" s="12" t="str">
        <x:f>IF(AC1455="PUBLIC_CANDIDATE","prepare_public_github_candidate",IF(AC1455="PRIVATE_REVIEW","hold_for_private_review","quarantine_private_do_not_publish"))</x:f>
        <x:v>prepare_public_github_candidate</x:v>
      </x:c>
      <x:c r="AF1455" s="12" t="str">
        <x:f>IF(AC1455="PUBLIC_CANDIDATE","TIDELOCK + Lucerna",IF(AC1455="PRIVATE_REVIEW","AtlasBrain + Lucerna","TIDELOCK + Lucerna + Human-root"))</x:f>
        <x:v>TIDELOCK + Lucerna</x:v>
      </x:c>
      <x:c r="AG1455" s="12" t="str">
        <x:f>IF(AND(AC1455="PUBLIC_CANDIDATE",U1455&lt;&gt;"BLOCKED_PENDING_RECEIPT"),"READY_AFTER_RECEIPT","NOT_READY")</x:f>
        <x:v>NOT_READY</x:v>
      </x:c>
      <x:c r="AH1455" s="12" t="str">
        <x:f>IF(AC1455="PUBLIC_CANDIDATE","none",AD1455)</x:f>
        <x:v>none</x:v>
      </x:c>
      <x:c r="AI1455" s="12" t="str">
        <x:f>IF(AC1455="PUBLIC_CANDIDATE","archive/public_candidates/"&amp;A1455,"private_quarantine/"&amp;A1455)</x:f>
        <x:v>archive/public_candidates/SWARM-11-H02-S02</x:v>
      </x:c>
      <x:c r="AJ1455" s="12" t="str">
        <x:f>IF(AC1455="PUBLIC_CANDIDATE","public by default; still not canon","private/hold; do not publish")</x:f>
        <x:v>public by default; still not canon</x:v>
      </x:c>
      <x:c r="AK1455" s="12" t="str">
        <x:f>IF(AE1455="prepare_public_github_candidate","add receipt/status then mirror","resolve blocker before any public GitHub action")</x:f>
        <x:v>add receipt/status then mirror</x:v>
      </x:c>
    </x:row>
    <x:row r="1456">
      <x:c r="A1456" s="15" t="str">
        <x:v>SWARM-11-H02-S03</x:v>
      </x:c>
      <x:c r="B1456" s="15" t="str">
        <x:v>ClaudeCatcher</x:v>
      </x:c>
      <x:c r="C1456" s="15" t="str">
        <x:v>Bullshit Olympics referee</x:v>
      </x:c>
      <x:c r="D1456" s="15" t="str">
        <x:v>Receipt Verification</x:v>
      </x:c>
      <x:c r="E1456" s="15" t="str">
        <x:v>GitHub</x:v>
      </x:c>
      <x:c r="F1456" s="15" t="str">
        <x:v>Verify receipts for GitHub — ClaudeCatcher</x:v>
      </x:c>
      <x:c r="G1456" s="15" t="str">
        <x:v>adversarial claims / model overclaim detection</x:v>
      </x:c>
      <x:c r="H1456" s="15" t="str">
        <x:v>source path + receipt + raw/export status + claim/edge/risk delta</x:v>
      </x:c>
      <x:c r="I1456" s="15" t="str">
        <x:v>packet/SWARM-11-H02-S03</x:v>
      </x:c>
      <x:c r="J1456" s="15" t="str">
        <x:v>TODO</x:v>
      </x:c>
      <x:c r="K1456" s="15" t="str">
        <x:v>P0</x:v>
      </x:c>
      <x:c r="L1456" s="15" t="str">
        <x:v>Done only when evidence is logged, contradiction search is noted, and boundary stamp remains non-canon unless ratified</x:v>
      </x:c>
      <x:c r="M1456" s="15" t="str">
        <x:v>candidate / staging-only / not canon / not deployed / authority none</x:v>
      </x:c>
      <x:c r="N1456" s="15" t="str">
        <x:v>Dispatch to ClaudeCatcher: complete Receipt Verification x GitHub; return deltas only, receipts required.</x:v>
      </x:c>
      <x:c r="O1456" s="15" t="str">
        <x:v>AF-KG-H02-S03</x:v>
      </x:c>
      <x:c r="P1456" s="15" t="str">
        <x:v>Unverified</x:v>
      </x:c>
      <x:c r="Q1456" s="15" t="str">
        <x:v>Not checked</x:v>
      </x:c>
      <x:c r="R1456" s="15" t="str"/>
      <x:c r="S1456" s="15" t="str"/>
      <x:c r="T1456" s="15" t="str">
        <x:v>Log first source path or blocker</x:v>
      </x:c>
      <x:c r="U1456" s="12" t="str">
        <x:f>IF(OR(P1456="Unverified",Q1456="Not checked"),"BLOCKED_PENDING_RECEIPT","READY_FOR_REVIEW")</x:f>
        <x:v>BLOCKED_PENDING_RECEIPT</x:v>
      </x:c>
      <x:c r="V1456" s="12" t="str">
        <x:f>IF(J1456="DONE","RETURNED",IF(U1456="BLOCKED_PENDING_RECEIPT","SOURCE_TOUCH_REQUIRED","IN_PROGRESS"))</x:f>
        <x:v>SOURCE_TOUCH_REQUIRED</x:v>
      </x:c>
      <x:c r="W1456" s="12" t="str">
        <x:f>IF(P1456="Unverified","missing_receipt","receipt_logged")</x:f>
        <x:v>missing_receipt</x:v>
      </x:c>
      <x:c r="X1456" s="12" t="str">
        <x:f>IF(Q1456="Not checked","raw_status_missing","raw_status_logged")</x:f>
        <x:v>raw_status_missing</x:v>
      </x:c>
      <x:c r="Y1456" s="12" t="str">
        <x:f>IF(U1456="BLOCKED_PENDING_RECEIPT","Log source path or blocker; do not promote","Route to review lane")</x:f>
        <x:v>Log source path or blocker; do not promote</x:v>
      </x:c>
      <x:c r="Z1456" s="12" t="str">
        <x:f>IF(K1456="P0","Primary seat + Hashlight/Lucerna","Seat lane")</x:f>
        <x:v>Primary seat + Hashlight/Lucerna</x:v>
      </x:c>
      <x:c r="AA1456" s="12" t="str">
        <x:f>IF(R1456="","no_claim_delta","claim_delta_present")</x:f>
        <x:v>no_claim_delta</x:v>
      </x:c>
      <x:c r="AB1456" s="12" t="str">
        <x:f>IF(S1456="","no_contradiction_delta","contradiction_delta_present")</x:f>
        <x:v>no_contradiction_delta</x:v>
      </x:c>
      <x:c r="AC1456" s="12" t="str">
        <x:f>IF(OR(ISNUMBER(SEARCH("hacker",LOWER(F1456&amp;" "&amp;H1456&amp;" "&amp;I1456&amp;" "&amp;M1456&amp;" "&amp;N1456&amp;" "&amp;T1456))),ISNUMBER(SEARCH("hacking",LOWER(F1456&amp;" "&amp;H1456&amp;" "&amp;I1456&amp;" "&amp;M1456&amp;" "&amp;N1456&amp;" "&amp;T1456))),ISNUMBER(SEARCH("bank",LOWER(F1456&amp;" "&amp;H1456&amp;" "&amp;I1456&amp;" "&amp;M1456&amp;" "&amp;N1456&amp;" "&amp;T1456))),ISNUMBER(SEARCH("banking",LOWER(F1456&amp;" "&amp;H1456&amp;" "&amp;I1456&amp;" "&amp;M1456&amp;" "&amp;N1456&amp;" "&amp;T1456)))),"PRIVATE_QUARANTINE",IF(OR(ISNUMBER(SEARCH("treasury",LOWER(F1456&amp;" "&amp;H1456&amp;" "&amp;I1456&amp;" "&amp;M1456&amp;" "&amp;N1456&amp;" "&amp;T1456))),ISNUMBER(SEARCH("debt",LOWER(F1456&amp;" "&amp;H1456&amp;" "&amp;I1456&amp;" "&amp;M1456&amp;" "&amp;N1456&amp;" "&amp;T1456))),ISNUMBER(SEARCH("bond",LOWER(F1456&amp;" "&amp;H1456&amp;" "&amp;I1456&amp;" "&amp;M1456&amp;" "&amp;N1456&amp;" "&amp;T1456))),ISNUMBER(SEARCH("transaction",LOWER(F1456&amp;" "&amp;H1456&amp;" "&amp;I1456&amp;" "&amp;M1456&amp;" "&amp;N1456&amp;" "&amp;T1456)))),"PRIVATE_REVIEW","PUBLIC_CANDIDATE"))</x:f>
        <x:v>PUBLIC_CANDIDATE</x:v>
      </x:c>
      <x:c r="AD1456" s="12" t="str">
        <x:f>IF(AC1456="PRIVATE_QUARANTINE","hacker_or_bank_trigger",IF(AC1456="PRIVATE_REVIEW","finance_risk_trigger","none"))</x:f>
        <x:v>none</x:v>
      </x:c>
      <x:c r="AE1456" s="12" t="str">
        <x:f>IF(AC1456="PUBLIC_CANDIDATE","prepare_public_github_candidate",IF(AC1456="PRIVATE_REVIEW","hold_for_private_review","quarantine_private_do_not_publish"))</x:f>
        <x:v>prepare_public_github_candidate</x:v>
      </x:c>
      <x:c r="AF1456" s="12" t="str">
        <x:f>IF(AC1456="PUBLIC_CANDIDATE","TIDELOCK + Lucerna",IF(AC1456="PRIVATE_REVIEW","AtlasBrain + Lucerna","TIDELOCK + Lucerna + Human-root"))</x:f>
        <x:v>TIDELOCK + Lucerna</x:v>
      </x:c>
      <x:c r="AG1456" s="12" t="str">
        <x:f>IF(AND(AC1456="PUBLIC_CANDIDATE",U1456&lt;&gt;"BLOCKED_PENDING_RECEIPT"),"READY_AFTER_RECEIPT","NOT_READY")</x:f>
        <x:v>NOT_READY</x:v>
      </x:c>
      <x:c r="AH1456" s="12" t="str">
        <x:f>IF(AC1456="PUBLIC_CANDIDATE","none",AD1456)</x:f>
        <x:v>none</x:v>
      </x:c>
      <x:c r="AI1456" s="12" t="str">
        <x:f>IF(AC1456="PUBLIC_CANDIDATE","archive/public_candidates/"&amp;A1456,"private_quarantine/"&amp;A1456)</x:f>
        <x:v>archive/public_candidates/SWARM-11-H02-S03</x:v>
      </x:c>
      <x:c r="AJ1456" s="12" t="str">
        <x:f>IF(AC1456="PUBLIC_CANDIDATE","public by default; still not canon","private/hold; do not publish")</x:f>
        <x:v>public by default; still not canon</x:v>
      </x:c>
      <x:c r="AK1456" s="12" t="str">
        <x:f>IF(AE1456="prepare_public_github_candidate","add receipt/status then mirror","resolve blocker before any public GitHub action")</x:f>
        <x:v>add receipt/status then mirror</x:v>
      </x:c>
    </x:row>
    <x:row r="1457">
      <x:c r="A1457" s="15" t="str">
        <x:v>SWARM-11-H02-S04</x:v>
      </x:c>
      <x:c r="B1457" s="15" t="str">
        <x:v>ClaudeCatcher</x:v>
      </x:c>
      <x:c r="C1457" s="15" t="str">
        <x:v>Bullshit Olympics referee</x:v>
      </x:c>
      <x:c r="D1457" s="15" t="str">
        <x:v>Receipt Verification</x:v>
      </x:c>
      <x:c r="E1457" s="15" t="str">
        <x:v>Gamma</x:v>
      </x:c>
      <x:c r="F1457" s="15" t="str">
        <x:v>Verify receipts for Gamma — ClaudeCatcher</x:v>
      </x:c>
      <x:c r="G1457" s="15" t="str">
        <x:v>adversarial claims / model overclaim detection</x:v>
      </x:c>
      <x:c r="H1457" s="15" t="str">
        <x:v>source path + receipt + raw/export status + claim/edge/risk delta</x:v>
      </x:c>
      <x:c r="I1457" s="15" t="str">
        <x:v>packet/SWARM-11-H02-S04</x:v>
      </x:c>
      <x:c r="J1457" s="15" t="str">
        <x:v>TODO</x:v>
      </x:c>
      <x:c r="K1457" s="15" t="str">
        <x:v>P1</x:v>
      </x:c>
      <x:c r="L1457" s="15" t="str">
        <x:v>Done only when evidence is logged, contradiction search is noted, and boundary stamp remains non-canon unless ratified</x:v>
      </x:c>
      <x:c r="M1457" s="15" t="str">
        <x:v>candidate / staging-only / not canon / not deployed / authority none</x:v>
      </x:c>
      <x:c r="N1457" s="15" t="str">
        <x:v>Dispatch to ClaudeCatcher: complete Receipt Verification x Gamma; return deltas only, receipts required.</x:v>
      </x:c>
      <x:c r="O1457" s="15" t="str">
        <x:v>AF-KG-H02-S04</x:v>
      </x:c>
      <x:c r="P1457" s="15" t="str">
        <x:v>Unverified</x:v>
      </x:c>
      <x:c r="Q1457" s="15" t="str">
        <x:v>Not checked</x:v>
      </x:c>
      <x:c r="R1457" s="15" t="str"/>
      <x:c r="S1457" s="15" t="str"/>
      <x:c r="T1457" s="15" t="str">
        <x:v>Log first source path or blocker</x:v>
      </x:c>
      <x:c r="U1457" s="12" t="str">
        <x:f>IF(OR(P1457="Unverified",Q1457="Not checked"),"BLOCKED_PENDING_RECEIPT","READY_FOR_REVIEW")</x:f>
        <x:v>BLOCKED_PENDING_RECEIPT</x:v>
      </x:c>
      <x:c r="V1457" s="12" t="str">
        <x:f>IF(J1457="DONE","RETURNED",IF(U1457="BLOCKED_PENDING_RECEIPT","SOURCE_TOUCH_REQUIRED","IN_PROGRESS"))</x:f>
        <x:v>SOURCE_TOUCH_REQUIRED</x:v>
      </x:c>
      <x:c r="W1457" s="12" t="str">
        <x:f>IF(P1457="Unverified","missing_receipt","receipt_logged")</x:f>
        <x:v>missing_receipt</x:v>
      </x:c>
      <x:c r="X1457" s="12" t="str">
        <x:f>IF(Q1457="Not checked","raw_status_missing","raw_status_logged")</x:f>
        <x:v>raw_status_missing</x:v>
      </x:c>
      <x:c r="Y1457" s="12" t="str">
        <x:f>IF(U1457="BLOCKED_PENDING_RECEIPT","Log source path or blocker; do not promote","Route to review lane")</x:f>
        <x:v>Log source path or blocker; do not promote</x:v>
      </x:c>
      <x:c r="Z1457" s="12" t="str">
        <x:f>IF(K1457="P0","Primary seat + Hashlight/Lucerna","Seat lane")</x:f>
        <x:v>Seat lane</x:v>
      </x:c>
      <x:c r="AA1457" s="12" t="str">
        <x:f>IF(R1457="","no_claim_delta","claim_delta_present")</x:f>
        <x:v>no_claim_delta</x:v>
      </x:c>
      <x:c r="AB1457" s="12" t="str">
        <x:f>IF(S1457="","no_contradiction_delta","contradiction_delta_present")</x:f>
        <x:v>no_contradiction_delta</x:v>
      </x:c>
      <x:c r="AC1457" s="12" t="str">
        <x:f>IF(OR(ISNUMBER(SEARCH("hacker",LOWER(F1457&amp;" "&amp;H1457&amp;" "&amp;I1457&amp;" "&amp;M1457&amp;" "&amp;N1457&amp;" "&amp;T1457))),ISNUMBER(SEARCH("hacking",LOWER(F1457&amp;" "&amp;H1457&amp;" "&amp;I1457&amp;" "&amp;M1457&amp;" "&amp;N1457&amp;" "&amp;T1457))),ISNUMBER(SEARCH("bank",LOWER(F1457&amp;" "&amp;H1457&amp;" "&amp;I1457&amp;" "&amp;M1457&amp;" "&amp;N1457&amp;" "&amp;T1457))),ISNUMBER(SEARCH("banking",LOWER(F1457&amp;" "&amp;H1457&amp;" "&amp;I1457&amp;" "&amp;M1457&amp;" "&amp;N1457&amp;" "&amp;T1457)))),"PRIVATE_QUARANTINE",IF(OR(ISNUMBER(SEARCH("treasury",LOWER(F1457&amp;" "&amp;H1457&amp;" "&amp;I1457&amp;" "&amp;M1457&amp;" "&amp;N1457&amp;" "&amp;T1457))),ISNUMBER(SEARCH("debt",LOWER(F1457&amp;" "&amp;H1457&amp;" "&amp;I1457&amp;" "&amp;M1457&amp;" "&amp;N1457&amp;" "&amp;T1457))),ISNUMBER(SEARCH("bond",LOWER(F1457&amp;" "&amp;H1457&amp;" "&amp;I1457&amp;" "&amp;M1457&amp;" "&amp;N1457&amp;" "&amp;T1457))),ISNUMBER(SEARCH("transaction",LOWER(F1457&amp;" "&amp;H1457&amp;" "&amp;I1457&amp;" "&amp;M1457&amp;" "&amp;N1457&amp;" "&amp;T1457)))),"PRIVATE_REVIEW","PUBLIC_CANDIDATE"))</x:f>
        <x:v>PUBLIC_CANDIDATE</x:v>
      </x:c>
      <x:c r="AD1457" s="12" t="str">
        <x:f>IF(AC1457="PRIVATE_QUARANTINE","hacker_or_bank_trigger",IF(AC1457="PRIVATE_REVIEW","finance_risk_trigger","none"))</x:f>
        <x:v>none</x:v>
      </x:c>
      <x:c r="AE1457" s="12" t="str">
        <x:f>IF(AC1457="PUBLIC_CANDIDATE","prepare_public_github_candidate",IF(AC1457="PRIVATE_REVIEW","hold_for_private_review","quarantine_private_do_not_publish"))</x:f>
        <x:v>prepare_public_github_candidate</x:v>
      </x:c>
      <x:c r="AF1457" s="12" t="str">
        <x:f>IF(AC1457="PUBLIC_CANDIDATE","TIDELOCK + Lucerna",IF(AC1457="PRIVATE_REVIEW","AtlasBrain + Lucerna","TIDELOCK + Lucerna + Human-root"))</x:f>
        <x:v>TIDELOCK + Lucerna</x:v>
      </x:c>
      <x:c r="AG1457" s="12" t="str">
        <x:f>IF(AND(AC1457="PUBLIC_CANDIDATE",U1457&lt;&gt;"BLOCKED_PENDING_RECEIPT"),"READY_AFTER_RECEIPT","NOT_READY")</x:f>
        <x:v>NOT_READY</x:v>
      </x:c>
      <x:c r="AH1457" s="12" t="str">
        <x:f>IF(AC1457="PUBLIC_CANDIDATE","none",AD1457)</x:f>
        <x:v>none</x:v>
      </x:c>
      <x:c r="AI1457" s="12" t="str">
        <x:f>IF(AC1457="PUBLIC_CANDIDATE","archive/public_candidates/"&amp;A1457,"private_quarantine/"&amp;A1457)</x:f>
        <x:v>archive/public_candidates/SWARM-11-H02-S04</x:v>
      </x:c>
      <x:c r="AJ1457" s="12" t="str">
        <x:f>IF(AC1457="PUBLIC_CANDIDATE","public by default; still not canon","private/hold; do not publish")</x:f>
        <x:v>public by default; still not canon</x:v>
      </x:c>
      <x:c r="AK1457" s="12" t="str">
        <x:f>IF(AE1457="prepare_public_github_candidate","add receipt/status then mirror","resolve blocker before any public GitHub action")</x:f>
        <x:v>add receipt/status then mirror</x:v>
      </x:c>
    </x:row>
    <x:row r="1458">
      <x:c r="A1458" s="15" t="str">
        <x:v>SWARM-11-H02-S05</x:v>
      </x:c>
      <x:c r="B1458" s="15" t="str">
        <x:v>ClaudeCatcher</x:v>
      </x:c>
      <x:c r="C1458" s="15" t="str">
        <x:v>Bullshit Olympics referee</x:v>
      </x:c>
      <x:c r="D1458" s="15" t="str">
        <x:v>Receipt Verification</x:v>
      </x:c>
      <x:c r="E1458" s="15" t="str">
        <x:v>Chat</x:v>
      </x:c>
      <x:c r="F1458" s="15" t="str">
        <x:v>Verify receipts for Chat — ClaudeCatcher</x:v>
      </x:c>
      <x:c r="G1458" s="15" t="str">
        <x:v>adversarial claims / model overclaim detection</x:v>
      </x:c>
      <x:c r="H1458" s="15" t="str">
        <x:v>source path + receipt + raw/export status + claim/edge/risk delta</x:v>
      </x:c>
      <x:c r="I1458" s="15" t="str">
        <x:v>packet/SWARM-11-H02-S05</x:v>
      </x:c>
      <x:c r="J1458" s="15" t="str">
        <x:v>TODO</x:v>
      </x:c>
      <x:c r="K1458" s="15" t="str">
        <x:v>P1</x:v>
      </x:c>
      <x:c r="L1458" s="15" t="str">
        <x:v>Done only when evidence is logged, contradiction search is noted, and boundary stamp remains non-canon unless ratified</x:v>
      </x:c>
      <x:c r="M1458" s="15" t="str">
        <x:v>candidate / staging-only / not canon / not deployed / authority none</x:v>
      </x:c>
      <x:c r="N1458" s="15" t="str">
        <x:v>Dispatch to ClaudeCatcher: complete Receipt Verification x Chat; return deltas only, receipts required.</x:v>
      </x:c>
      <x:c r="O1458" s="15" t="str">
        <x:v>AF-KG-H02-S05</x:v>
      </x:c>
      <x:c r="P1458" s="15" t="str">
        <x:v>Unverified</x:v>
      </x:c>
      <x:c r="Q1458" s="15" t="str">
        <x:v>Not checked</x:v>
      </x:c>
      <x:c r="R1458" s="15" t="str"/>
      <x:c r="S1458" s="15" t="str"/>
      <x:c r="T1458" s="15" t="str">
        <x:v>Log first source path or blocker</x:v>
      </x:c>
      <x:c r="U1458" s="12" t="str">
        <x:f>IF(OR(P1458="Unverified",Q1458="Not checked"),"BLOCKED_PENDING_RECEIPT","READY_FOR_REVIEW")</x:f>
        <x:v>BLOCKED_PENDING_RECEIPT</x:v>
      </x:c>
      <x:c r="V1458" s="12" t="str">
        <x:f>IF(J1458="DONE","RETURNED",IF(U1458="BLOCKED_PENDING_RECEIPT","SOURCE_TOUCH_REQUIRED","IN_PROGRESS"))</x:f>
        <x:v>SOURCE_TOUCH_REQUIRED</x:v>
      </x:c>
      <x:c r="W1458" s="12" t="str">
        <x:f>IF(P1458="Unverified","missing_receipt","receipt_logged")</x:f>
        <x:v>missing_receipt</x:v>
      </x:c>
      <x:c r="X1458" s="12" t="str">
        <x:f>IF(Q1458="Not checked","raw_status_missing","raw_status_logged")</x:f>
        <x:v>raw_status_missing</x:v>
      </x:c>
      <x:c r="Y1458" s="12" t="str">
        <x:f>IF(U1458="BLOCKED_PENDING_RECEIPT","Log source path or blocker; do not promote","Route to review lane")</x:f>
        <x:v>Log source path or blocker; do not promote</x:v>
      </x:c>
      <x:c r="Z1458" s="12" t="str">
        <x:f>IF(K1458="P0","Primary seat + Hashlight/Lucerna","Seat lane")</x:f>
        <x:v>Seat lane</x:v>
      </x:c>
      <x:c r="AA1458" s="12" t="str">
        <x:f>IF(R1458="","no_claim_delta","claim_delta_present")</x:f>
        <x:v>no_claim_delta</x:v>
      </x:c>
      <x:c r="AB1458" s="12" t="str">
        <x:f>IF(S1458="","no_contradiction_delta","contradiction_delta_present")</x:f>
        <x:v>no_contradiction_delta</x:v>
      </x:c>
      <x:c r="AC1458" s="12" t="str">
        <x:f>IF(OR(ISNUMBER(SEARCH("hacker",LOWER(F1458&amp;" "&amp;H1458&amp;" "&amp;I1458&amp;" "&amp;M1458&amp;" "&amp;N1458&amp;" "&amp;T1458))),ISNUMBER(SEARCH("hacking",LOWER(F1458&amp;" "&amp;H1458&amp;" "&amp;I1458&amp;" "&amp;M1458&amp;" "&amp;N1458&amp;" "&amp;T1458))),ISNUMBER(SEARCH("bank",LOWER(F1458&amp;" "&amp;H1458&amp;" "&amp;I1458&amp;" "&amp;M1458&amp;" "&amp;N1458&amp;" "&amp;T1458))),ISNUMBER(SEARCH("banking",LOWER(F1458&amp;" "&amp;H1458&amp;" "&amp;I1458&amp;" "&amp;M1458&amp;" "&amp;N1458&amp;" "&amp;T1458)))),"PRIVATE_QUARANTINE",IF(OR(ISNUMBER(SEARCH("treasury",LOWER(F1458&amp;" "&amp;H1458&amp;" "&amp;I1458&amp;" "&amp;M1458&amp;" "&amp;N1458&amp;" "&amp;T1458))),ISNUMBER(SEARCH("debt",LOWER(F1458&amp;" "&amp;H1458&amp;" "&amp;I1458&amp;" "&amp;M1458&amp;" "&amp;N1458&amp;" "&amp;T1458))),ISNUMBER(SEARCH("bond",LOWER(F1458&amp;" "&amp;H1458&amp;" "&amp;I1458&amp;" "&amp;M1458&amp;" "&amp;N1458&amp;" "&amp;T1458))),ISNUMBER(SEARCH("transaction",LOWER(F1458&amp;" "&amp;H1458&amp;" "&amp;I1458&amp;" "&amp;M1458&amp;" "&amp;N1458&amp;" "&amp;T1458)))),"PRIVATE_REVIEW","PUBLIC_CANDIDATE"))</x:f>
        <x:v>PUBLIC_CANDIDATE</x:v>
      </x:c>
      <x:c r="AD1458" s="12" t="str">
        <x:f>IF(AC1458="PRIVATE_QUARANTINE","hacker_or_bank_trigger",IF(AC1458="PRIVATE_REVIEW","finance_risk_trigger","none"))</x:f>
        <x:v>none</x:v>
      </x:c>
      <x:c r="AE1458" s="12" t="str">
        <x:f>IF(AC1458="PUBLIC_CANDIDATE","prepare_public_github_candidate",IF(AC1458="PRIVATE_REVIEW","hold_for_private_review","quarantine_private_do_not_publish"))</x:f>
        <x:v>prepare_public_github_candidate</x:v>
      </x:c>
      <x:c r="AF1458" s="12" t="str">
        <x:f>IF(AC1458="PUBLIC_CANDIDATE","TIDELOCK + Lucerna",IF(AC1458="PRIVATE_REVIEW","AtlasBrain + Lucerna","TIDELOCK + Lucerna + Human-root"))</x:f>
        <x:v>TIDELOCK + Lucerna</x:v>
      </x:c>
      <x:c r="AG1458" s="12" t="str">
        <x:f>IF(AND(AC1458="PUBLIC_CANDIDATE",U1458&lt;&gt;"BLOCKED_PENDING_RECEIPT"),"READY_AFTER_RECEIPT","NOT_READY")</x:f>
        <x:v>NOT_READY</x:v>
      </x:c>
      <x:c r="AH1458" s="12" t="str">
        <x:f>IF(AC1458="PUBLIC_CANDIDATE","none",AD1458)</x:f>
        <x:v>none</x:v>
      </x:c>
      <x:c r="AI1458" s="12" t="str">
        <x:f>IF(AC1458="PUBLIC_CANDIDATE","archive/public_candidates/"&amp;A1458,"private_quarantine/"&amp;A1458)</x:f>
        <x:v>archive/public_candidates/SWARM-11-H02-S05</x:v>
      </x:c>
      <x:c r="AJ1458" s="12" t="str">
        <x:f>IF(AC1458="PUBLIC_CANDIDATE","public by default; still not canon","private/hold; do not publish")</x:f>
        <x:v>public by default; still not canon</x:v>
      </x:c>
      <x:c r="AK1458" s="12" t="str">
        <x:f>IF(AE1458="prepare_public_github_candidate","add receipt/status then mirror","resolve blocker before any public GitHub action")</x:f>
        <x:v>add receipt/status then mirror</x:v>
      </x:c>
    </x:row>
    <x:row r="1459">
      <x:c r="A1459" s="15" t="str">
        <x:v>SWARM-11-H02-S06</x:v>
      </x:c>
      <x:c r="B1459" s="15" t="str">
        <x:v>ClaudeCatcher</x:v>
      </x:c>
      <x:c r="C1459" s="15" t="str">
        <x:v>Bullshit Olympics referee</x:v>
      </x:c>
      <x:c r="D1459" s="15" t="str">
        <x:v>Receipt Verification</x:v>
      </x:c>
      <x:c r="E1459" s="15" t="str">
        <x:v>External Web</x:v>
      </x:c>
      <x:c r="F1459" s="15" t="str">
        <x:v>Verify receipts for External Web — ClaudeCatcher</x:v>
      </x:c>
      <x:c r="G1459" s="15" t="str">
        <x:v>adversarial claims / model overclaim detection</x:v>
      </x:c>
      <x:c r="H1459" s="15" t="str">
        <x:v>source path + receipt + raw/export status + claim/edge/risk delta</x:v>
      </x:c>
      <x:c r="I1459" s="15" t="str">
        <x:v>packet/SWARM-11-H02-S06</x:v>
      </x:c>
      <x:c r="J1459" s="15" t="str">
        <x:v>TODO</x:v>
      </x:c>
      <x:c r="K1459" s="15" t="str">
        <x:v>P1</x:v>
      </x:c>
      <x:c r="L1459" s="15" t="str">
        <x:v>Done only when evidence is logged, contradiction search is noted, and boundary stamp remains non-canon unless ratified</x:v>
      </x:c>
      <x:c r="M1459" s="15" t="str">
        <x:v>candidate / staging-only / not canon / not deployed / authority none</x:v>
      </x:c>
      <x:c r="N1459" s="15" t="str">
        <x:v>Dispatch to ClaudeCatcher: complete Receipt Verification x External Web; return deltas only, receipts required.</x:v>
      </x:c>
      <x:c r="O1459" s="15" t="str">
        <x:v>AF-KG-H02-S06</x:v>
      </x:c>
      <x:c r="P1459" s="15" t="str">
        <x:v>Unverified</x:v>
      </x:c>
      <x:c r="Q1459" s="15" t="str">
        <x:v>Not checked</x:v>
      </x:c>
      <x:c r="R1459" s="15" t="str"/>
      <x:c r="S1459" s="15" t="str"/>
      <x:c r="T1459" s="15" t="str">
        <x:v>Log first source path or blocker</x:v>
      </x:c>
      <x:c r="U1459" s="12" t="str">
        <x:f>IF(OR(P1459="Unverified",Q1459="Not checked"),"BLOCKED_PENDING_RECEIPT","READY_FOR_REVIEW")</x:f>
        <x:v>BLOCKED_PENDING_RECEIPT</x:v>
      </x:c>
      <x:c r="V1459" s="12" t="str">
        <x:f>IF(J1459="DONE","RETURNED",IF(U1459="BLOCKED_PENDING_RECEIPT","SOURCE_TOUCH_REQUIRED","IN_PROGRESS"))</x:f>
        <x:v>SOURCE_TOUCH_REQUIRED</x:v>
      </x:c>
      <x:c r="W1459" s="12" t="str">
        <x:f>IF(P1459="Unverified","missing_receipt","receipt_logged")</x:f>
        <x:v>missing_receipt</x:v>
      </x:c>
      <x:c r="X1459" s="12" t="str">
        <x:f>IF(Q1459="Not checked","raw_status_missing","raw_status_logged")</x:f>
        <x:v>raw_status_missing</x:v>
      </x:c>
      <x:c r="Y1459" s="12" t="str">
        <x:f>IF(U1459="BLOCKED_PENDING_RECEIPT","Log source path or blocker; do not promote","Route to review lane")</x:f>
        <x:v>Log source path or blocker; do not promote</x:v>
      </x:c>
      <x:c r="Z1459" s="12" t="str">
        <x:f>IF(K1459="P0","Primary seat + Hashlight/Lucerna","Seat lane")</x:f>
        <x:v>Seat lane</x:v>
      </x:c>
      <x:c r="AA1459" s="12" t="str">
        <x:f>IF(R1459="","no_claim_delta","claim_delta_present")</x:f>
        <x:v>no_claim_delta</x:v>
      </x:c>
      <x:c r="AB1459" s="12" t="str">
        <x:f>IF(S1459="","no_contradiction_delta","contradiction_delta_present")</x:f>
        <x:v>no_contradiction_delta</x:v>
      </x:c>
      <x:c r="AC1459" s="12" t="str">
        <x:f>IF(OR(ISNUMBER(SEARCH("hacker",LOWER(F1459&amp;" "&amp;H1459&amp;" "&amp;I1459&amp;" "&amp;M1459&amp;" "&amp;N1459&amp;" "&amp;T1459))),ISNUMBER(SEARCH("hacking",LOWER(F1459&amp;" "&amp;H1459&amp;" "&amp;I1459&amp;" "&amp;M1459&amp;" "&amp;N1459&amp;" "&amp;T1459))),ISNUMBER(SEARCH("bank",LOWER(F1459&amp;" "&amp;H1459&amp;" "&amp;I1459&amp;" "&amp;M1459&amp;" "&amp;N1459&amp;" "&amp;T1459))),ISNUMBER(SEARCH("banking",LOWER(F1459&amp;" "&amp;H1459&amp;" "&amp;I1459&amp;" "&amp;M1459&amp;" "&amp;N1459&amp;" "&amp;T1459)))),"PRIVATE_QUARANTINE",IF(OR(ISNUMBER(SEARCH("treasury",LOWER(F1459&amp;" "&amp;H1459&amp;" "&amp;I1459&amp;" "&amp;M1459&amp;" "&amp;N1459&amp;" "&amp;T1459))),ISNUMBER(SEARCH("debt",LOWER(F1459&amp;" "&amp;H1459&amp;" "&amp;I1459&amp;" "&amp;M1459&amp;" "&amp;N1459&amp;" "&amp;T1459))),ISNUMBER(SEARCH("bond",LOWER(F1459&amp;" "&amp;H1459&amp;" "&amp;I1459&amp;" "&amp;M1459&amp;" "&amp;N1459&amp;" "&amp;T1459))),ISNUMBER(SEARCH("transaction",LOWER(F1459&amp;" "&amp;H1459&amp;" "&amp;I1459&amp;" "&amp;M1459&amp;" "&amp;N1459&amp;" "&amp;T1459)))),"PRIVATE_REVIEW","PUBLIC_CANDIDATE"))</x:f>
        <x:v>PUBLIC_CANDIDATE</x:v>
      </x:c>
      <x:c r="AD1459" s="12" t="str">
        <x:f>IF(AC1459="PRIVATE_QUARANTINE","hacker_or_bank_trigger",IF(AC1459="PRIVATE_REVIEW","finance_risk_trigger","none"))</x:f>
        <x:v>none</x:v>
      </x:c>
      <x:c r="AE1459" s="12" t="str">
        <x:f>IF(AC1459="PUBLIC_CANDIDATE","prepare_public_github_candidate",IF(AC1459="PRIVATE_REVIEW","hold_for_private_review","quarantine_private_do_not_publish"))</x:f>
        <x:v>prepare_public_github_candidate</x:v>
      </x:c>
      <x:c r="AF1459" s="12" t="str">
        <x:f>IF(AC1459="PUBLIC_CANDIDATE","TIDELOCK + Lucerna",IF(AC1459="PRIVATE_REVIEW","AtlasBrain + Lucerna","TIDELOCK + Lucerna + Human-root"))</x:f>
        <x:v>TIDELOCK + Lucerna</x:v>
      </x:c>
      <x:c r="AG1459" s="12" t="str">
        <x:f>IF(AND(AC1459="PUBLIC_CANDIDATE",U1459&lt;&gt;"BLOCKED_PENDING_RECEIPT"),"READY_AFTER_RECEIPT","NOT_READY")</x:f>
        <x:v>NOT_READY</x:v>
      </x:c>
      <x:c r="AH1459" s="12" t="str">
        <x:f>IF(AC1459="PUBLIC_CANDIDATE","none",AD1459)</x:f>
        <x:v>none</x:v>
      </x:c>
      <x:c r="AI1459" s="12" t="str">
        <x:f>IF(AC1459="PUBLIC_CANDIDATE","archive/public_candidates/"&amp;A1459,"private_quarantine/"&amp;A1459)</x:f>
        <x:v>archive/public_candidates/SWARM-11-H02-S06</x:v>
      </x:c>
      <x:c r="AJ1459" s="12" t="str">
        <x:f>IF(AC1459="PUBLIC_CANDIDATE","public by default; still not canon","private/hold; do not publish")</x:f>
        <x:v>public by default; still not canon</x:v>
      </x:c>
      <x:c r="AK1459" s="12" t="str">
        <x:f>IF(AE1459="prepare_public_github_candidate","add receipt/status then mirror","resolve blocker before any public GitHub action")</x:f>
        <x:v>add receipt/status then mirror</x:v>
      </x:c>
    </x:row>
    <x:row r="1460">
      <x:c r="A1460" s="15" t="str">
        <x:v>SWARM-11-H02-S07</x:v>
      </x:c>
      <x:c r="B1460" s="15" t="str">
        <x:v>ClaudeCatcher</x:v>
      </x:c>
      <x:c r="C1460" s="15" t="str">
        <x:v>Bullshit Olympics referee</x:v>
      </x:c>
      <x:c r="D1460" s="15" t="str">
        <x:v>Receipt Verification</x:v>
      </x:c>
      <x:c r="E1460" s="15" t="str">
        <x:v>Planetarium</x:v>
      </x:c>
      <x:c r="F1460" s="15" t="str">
        <x:v>Verify receipts for Planetarium — ClaudeCatcher</x:v>
      </x:c>
      <x:c r="G1460" s="15" t="str">
        <x:v>adversarial claims / model overclaim detection</x:v>
      </x:c>
      <x:c r="H1460" s="15" t="str">
        <x:v>source path + receipt + raw/export status + claim/edge/risk delta</x:v>
      </x:c>
      <x:c r="I1460" s="15" t="str">
        <x:v>packet/SWARM-11-H02-S07</x:v>
      </x:c>
      <x:c r="J1460" s="15" t="str">
        <x:v>TODO</x:v>
      </x:c>
      <x:c r="K1460" s="15" t="str">
        <x:v>P1</x:v>
      </x:c>
      <x:c r="L1460" s="15" t="str">
        <x:v>Done only when evidence is logged, contradiction search is noted, and boundary stamp remains non-canon unless ratified</x:v>
      </x:c>
      <x:c r="M1460" s="15" t="str">
        <x:v>candidate / staging-only / not canon / not deployed / authority none</x:v>
      </x:c>
      <x:c r="N1460" s="15" t="str">
        <x:v>Dispatch to ClaudeCatcher: complete Receipt Verification x Planetarium; return deltas only, receipts required.</x:v>
      </x:c>
      <x:c r="O1460" s="15" t="str">
        <x:v>AF-KG-H02-S07</x:v>
      </x:c>
      <x:c r="P1460" s="15" t="str">
        <x:v>Unverified</x:v>
      </x:c>
      <x:c r="Q1460" s="15" t="str">
        <x:v>Not checked</x:v>
      </x:c>
      <x:c r="R1460" s="15" t="str"/>
      <x:c r="S1460" s="15" t="str"/>
      <x:c r="T1460" s="15" t="str">
        <x:v>Log first source path or blocker</x:v>
      </x:c>
      <x:c r="U1460" s="12" t="str">
        <x:f>IF(OR(P1460="Unverified",Q1460="Not checked"),"BLOCKED_PENDING_RECEIPT","READY_FOR_REVIEW")</x:f>
        <x:v>BLOCKED_PENDING_RECEIPT</x:v>
      </x:c>
      <x:c r="V1460" s="12" t="str">
        <x:f>IF(J1460="DONE","RETURNED",IF(U1460="BLOCKED_PENDING_RECEIPT","SOURCE_TOUCH_REQUIRED","IN_PROGRESS"))</x:f>
        <x:v>SOURCE_TOUCH_REQUIRED</x:v>
      </x:c>
      <x:c r="W1460" s="12" t="str">
        <x:f>IF(P1460="Unverified","missing_receipt","receipt_logged")</x:f>
        <x:v>missing_receipt</x:v>
      </x:c>
      <x:c r="X1460" s="12" t="str">
        <x:f>IF(Q1460="Not checked","raw_status_missing","raw_status_logged")</x:f>
        <x:v>raw_status_missing</x:v>
      </x:c>
      <x:c r="Y1460" s="12" t="str">
        <x:f>IF(U1460="BLOCKED_PENDING_RECEIPT","Log source path or blocker; do not promote","Route to review lane")</x:f>
        <x:v>Log source path or blocker; do not promote</x:v>
      </x:c>
      <x:c r="Z1460" s="12" t="str">
        <x:f>IF(K1460="P0","Primary seat + Hashlight/Lucerna","Seat lane")</x:f>
        <x:v>Seat lane</x:v>
      </x:c>
      <x:c r="AA1460" s="12" t="str">
        <x:f>IF(R1460="","no_claim_delta","claim_delta_present")</x:f>
        <x:v>no_claim_delta</x:v>
      </x:c>
      <x:c r="AB1460" s="12" t="str">
        <x:f>IF(S1460="","no_contradiction_delta","contradiction_delta_present")</x:f>
        <x:v>no_contradiction_delta</x:v>
      </x:c>
      <x:c r="AC1460" s="12" t="str">
        <x:f>IF(OR(ISNUMBER(SEARCH("hacker",LOWER(F1460&amp;" "&amp;H1460&amp;" "&amp;I1460&amp;" "&amp;M1460&amp;" "&amp;N1460&amp;" "&amp;T1460))),ISNUMBER(SEARCH("hacking",LOWER(F1460&amp;" "&amp;H1460&amp;" "&amp;I1460&amp;" "&amp;M1460&amp;" "&amp;N1460&amp;" "&amp;T1460))),ISNUMBER(SEARCH("bank",LOWER(F1460&amp;" "&amp;H1460&amp;" "&amp;I1460&amp;" "&amp;M1460&amp;" "&amp;N1460&amp;" "&amp;T1460))),ISNUMBER(SEARCH("banking",LOWER(F1460&amp;" "&amp;H1460&amp;" "&amp;I1460&amp;" "&amp;M1460&amp;" "&amp;N1460&amp;" "&amp;T1460)))),"PRIVATE_QUARANTINE",IF(OR(ISNUMBER(SEARCH("treasury",LOWER(F1460&amp;" "&amp;H1460&amp;" "&amp;I1460&amp;" "&amp;M1460&amp;" "&amp;N1460&amp;" "&amp;T1460))),ISNUMBER(SEARCH("debt",LOWER(F1460&amp;" "&amp;H1460&amp;" "&amp;I1460&amp;" "&amp;M1460&amp;" "&amp;N1460&amp;" "&amp;T1460))),ISNUMBER(SEARCH("bond",LOWER(F1460&amp;" "&amp;H1460&amp;" "&amp;I1460&amp;" "&amp;M1460&amp;" "&amp;N1460&amp;" "&amp;T1460))),ISNUMBER(SEARCH("transaction",LOWER(F1460&amp;" "&amp;H1460&amp;" "&amp;I1460&amp;" "&amp;M1460&amp;" "&amp;N1460&amp;" "&amp;T1460)))),"PRIVATE_REVIEW","PUBLIC_CANDIDATE"))</x:f>
        <x:v>PUBLIC_CANDIDATE</x:v>
      </x:c>
      <x:c r="AD1460" s="12" t="str">
        <x:f>IF(AC1460="PRIVATE_QUARANTINE","hacker_or_bank_trigger",IF(AC1460="PRIVATE_REVIEW","finance_risk_trigger","none"))</x:f>
        <x:v>none</x:v>
      </x:c>
      <x:c r="AE1460" s="12" t="str">
        <x:f>IF(AC1460="PUBLIC_CANDIDATE","prepare_public_github_candidate",IF(AC1460="PRIVATE_REVIEW","hold_for_private_review","quarantine_private_do_not_publish"))</x:f>
        <x:v>prepare_public_github_candidate</x:v>
      </x:c>
      <x:c r="AF1460" s="12" t="str">
        <x:f>IF(AC1460="PUBLIC_CANDIDATE","TIDELOCK + Lucerna",IF(AC1460="PRIVATE_REVIEW","AtlasBrain + Lucerna","TIDELOCK + Lucerna + Human-root"))</x:f>
        <x:v>TIDELOCK + Lucerna</x:v>
      </x:c>
      <x:c r="AG1460" s="12" t="str">
        <x:f>IF(AND(AC1460="PUBLIC_CANDIDATE",U1460&lt;&gt;"BLOCKED_PENDING_RECEIPT"),"READY_AFTER_RECEIPT","NOT_READY")</x:f>
        <x:v>NOT_READY</x:v>
      </x:c>
      <x:c r="AH1460" s="12" t="str">
        <x:f>IF(AC1460="PUBLIC_CANDIDATE","none",AD1460)</x:f>
        <x:v>none</x:v>
      </x:c>
      <x:c r="AI1460" s="12" t="str">
        <x:f>IF(AC1460="PUBLIC_CANDIDATE","archive/public_candidates/"&amp;A1460,"private_quarantine/"&amp;A1460)</x:f>
        <x:v>archive/public_candidates/SWARM-11-H02-S07</x:v>
      </x:c>
      <x:c r="AJ1460" s="12" t="str">
        <x:f>IF(AC1460="PUBLIC_CANDIDATE","public by default; still not canon","private/hold; do not publish")</x:f>
        <x:v>public by default; still not canon</x:v>
      </x:c>
      <x:c r="AK1460" s="12" t="str">
        <x:f>IF(AE1460="prepare_public_github_candidate","add receipt/status then mirror","resolve blocker before any public GitHub action")</x:f>
        <x:v>add receipt/status then mirror</x:v>
      </x:c>
    </x:row>
    <x:row r="1461">
      <x:c r="A1461" s="15" t="str">
        <x:v>SWARM-11-H02-S08</x:v>
      </x:c>
      <x:c r="B1461" s="15" t="str">
        <x:v>ClaudeCatcher</x:v>
      </x:c>
      <x:c r="C1461" s="15" t="str">
        <x:v>Bullshit Olympics referee</x:v>
      </x:c>
      <x:c r="D1461" s="15" t="str">
        <x:v>Receipt Verification</x:v>
      </x:c>
      <x:c r="E1461" s="15" t="str">
        <x:v>Sheldonbrain</x:v>
      </x:c>
      <x:c r="F1461" s="15" t="str">
        <x:v>Verify receipts for Sheldonbrain — ClaudeCatcher</x:v>
      </x:c>
      <x:c r="G1461" s="15" t="str">
        <x:v>adversarial claims / model overclaim detection</x:v>
      </x:c>
      <x:c r="H1461" s="15" t="str">
        <x:v>source path + receipt + raw/export status + claim/edge/risk delta</x:v>
      </x:c>
      <x:c r="I1461" s="15" t="str">
        <x:v>packet/SWARM-11-H02-S08</x:v>
      </x:c>
      <x:c r="J1461" s="15" t="str">
        <x:v>TODO</x:v>
      </x:c>
      <x:c r="K1461" s="15" t="str">
        <x:v>P1</x:v>
      </x:c>
      <x:c r="L1461" s="15" t="str">
        <x:v>Done only when evidence is logged, contradiction search is noted, and boundary stamp remains non-canon unless ratified</x:v>
      </x:c>
      <x:c r="M1461" s="15" t="str">
        <x:v>candidate / staging-only / not canon / not deployed / authority none</x:v>
      </x:c>
      <x:c r="N1461" s="15" t="str">
        <x:v>Dispatch to ClaudeCatcher: complete Receipt Verification x Sheldonbrain; return deltas only, receipts required.</x:v>
      </x:c>
      <x:c r="O1461" s="15" t="str">
        <x:v>AF-KG-H02-S08</x:v>
      </x:c>
      <x:c r="P1461" s="15" t="str">
        <x:v>Unverified</x:v>
      </x:c>
      <x:c r="Q1461" s="15" t="str">
        <x:v>Not checked</x:v>
      </x:c>
      <x:c r="R1461" s="15" t="str"/>
      <x:c r="S1461" s="15" t="str"/>
      <x:c r="T1461" s="15" t="str">
        <x:v>Log first source path or blocker</x:v>
      </x:c>
      <x:c r="U1461" s="12" t="str">
        <x:f>IF(OR(P1461="Unverified",Q1461="Not checked"),"BLOCKED_PENDING_RECEIPT","READY_FOR_REVIEW")</x:f>
        <x:v>BLOCKED_PENDING_RECEIPT</x:v>
      </x:c>
      <x:c r="V1461" s="12" t="str">
        <x:f>IF(J1461="DONE","RETURNED",IF(U1461="BLOCKED_PENDING_RECEIPT","SOURCE_TOUCH_REQUIRED","IN_PROGRESS"))</x:f>
        <x:v>SOURCE_TOUCH_REQUIRED</x:v>
      </x:c>
      <x:c r="W1461" s="12" t="str">
        <x:f>IF(P1461="Unverified","missing_receipt","receipt_logged")</x:f>
        <x:v>missing_receipt</x:v>
      </x:c>
      <x:c r="X1461" s="12" t="str">
        <x:f>IF(Q1461="Not checked","raw_status_missing","raw_status_logged")</x:f>
        <x:v>raw_status_missing</x:v>
      </x:c>
      <x:c r="Y1461" s="12" t="str">
        <x:f>IF(U1461="BLOCKED_PENDING_RECEIPT","Log source path or blocker; do not promote","Route to review lane")</x:f>
        <x:v>Log source path or blocker; do not promote</x:v>
      </x:c>
      <x:c r="Z1461" s="12" t="str">
        <x:f>IF(K1461="P0","Primary seat + Hashlight/Lucerna","Seat lane")</x:f>
        <x:v>Seat lane</x:v>
      </x:c>
      <x:c r="AA1461" s="12" t="str">
        <x:f>IF(R1461="","no_claim_delta","claim_delta_present")</x:f>
        <x:v>no_claim_delta</x:v>
      </x:c>
      <x:c r="AB1461" s="12" t="str">
        <x:f>IF(S1461="","no_contradiction_delta","contradiction_delta_present")</x:f>
        <x:v>no_contradiction_delta</x:v>
      </x:c>
      <x:c r="AC1461" s="12" t="str">
        <x:f>IF(OR(ISNUMBER(SEARCH("hacker",LOWER(F1461&amp;" "&amp;H1461&amp;" "&amp;I1461&amp;" "&amp;M1461&amp;" "&amp;N1461&amp;" "&amp;T1461))),ISNUMBER(SEARCH("hacking",LOWER(F1461&amp;" "&amp;H1461&amp;" "&amp;I1461&amp;" "&amp;M1461&amp;" "&amp;N1461&amp;" "&amp;T1461))),ISNUMBER(SEARCH("bank",LOWER(F1461&amp;" "&amp;H1461&amp;" "&amp;I1461&amp;" "&amp;M1461&amp;" "&amp;N1461&amp;" "&amp;T1461))),ISNUMBER(SEARCH("banking",LOWER(F1461&amp;" "&amp;H1461&amp;" "&amp;I1461&amp;" "&amp;M1461&amp;" "&amp;N1461&amp;" "&amp;T1461)))),"PRIVATE_QUARANTINE",IF(OR(ISNUMBER(SEARCH("treasury",LOWER(F1461&amp;" "&amp;H1461&amp;" "&amp;I1461&amp;" "&amp;M1461&amp;" "&amp;N1461&amp;" "&amp;T1461))),ISNUMBER(SEARCH("debt",LOWER(F1461&amp;" "&amp;H1461&amp;" "&amp;I1461&amp;" "&amp;M1461&amp;" "&amp;N1461&amp;" "&amp;T1461))),ISNUMBER(SEARCH("bond",LOWER(F1461&amp;" "&amp;H1461&amp;" "&amp;I1461&amp;" "&amp;M1461&amp;" "&amp;N1461&amp;" "&amp;T1461))),ISNUMBER(SEARCH("transaction",LOWER(F1461&amp;" "&amp;H1461&amp;" "&amp;I1461&amp;" "&amp;M1461&amp;" "&amp;N1461&amp;" "&amp;T1461)))),"PRIVATE_REVIEW","PUBLIC_CANDIDATE"))</x:f>
        <x:v>PUBLIC_CANDIDATE</x:v>
      </x:c>
      <x:c r="AD1461" s="12" t="str">
        <x:f>IF(AC1461="PRIVATE_QUARANTINE","hacker_or_bank_trigger",IF(AC1461="PRIVATE_REVIEW","finance_risk_trigger","none"))</x:f>
        <x:v>none</x:v>
      </x:c>
      <x:c r="AE1461" s="12" t="str">
        <x:f>IF(AC1461="PUBLIC_CANDIDATE","prepare_public_github_candidate",IF(AC1461="PRIVATE_REVIEW","hold_for_private_review","quarantine_private_do_not_publish"))</x:f>
        <x:v>prepare_public_github_candidate</x:v>
      </x:c>
      <x:c r="AF1461" s="12" t="str">
        <x:f>IF(AC1461="PUBLIC_CANDIDATE","TIDELOCK + Lucerna",IF(AC1461="PRIVATE_REVIEW","AtlasBrain + Lucerna","TIDELOCK + Lucerna + Human-root"))</x:f>
        <x:v>TIDELOCK + Lucerna</x:v>
      </x:c>
      <x:c r="AG1461" s="12" t="str">
        <x:f>IF(AND(AC1461="PUBLIC_CANDIDATE",U1461&lt;&gt;"BLOCKED_PENDING_RECEIPT"),"READY_AFTER_RECEIPT","NOT_READY")</x:f>
        <x:v>NOT_READY</x:v>
      </x:c>
      <x:c r="AH1461" s="12" t="str">
        <x:f>IF(AC1461="PUBLIC_CANDIDATE","none",AD1461)</x:f>
        <x:v>none</x:v>
      </x:c>
      <x:c r="AI1461" s="12" t="str">
        <x:f>IF(AC1461="PUBLIC_CANDIDATE","archive/public_candidates/"&amp;A1461,"private_quarantine/"&amp;A1461)</x:f>
        <x:v>archive/public_candidates/SWARM-11-H02-S08</x:v>
      </x:c>
      <x:c r="AJ1461" s="12" t="str">
        <x:f>IF(AC1461="PUBLIC_CANDIDATE","public by default; still not canon","private/hold; do not publish")</x:f>
        <x:v>public by default; still not canon</x:v>
      </x:c>
      <x:c r="AK1461" s="12" t="str">
        <x:f>IF(AE1461="prepare_public_github_candidate","add receipt/status then mirror","resolve blocker before any public GitHub action")</x:f>
        <x:v>add receipt/status then mirror</x:v>
      </x:c>
    </x:row>
    <x:row r="1462">
      <x:c r="A1462" s="15" t="str">
        <x:v>SWARM-11-H02-S09</x:v>
      </x:c>
      <x:c r="B1462" s="15" t="str">
        <x:v>ClaudeCatcher</x:v>
      </x:c>
      <x:c r="C1462" s="15" t="str">
        <x:v>Bullshit Olympics referee</x:v>
      </x:c>
      <x:c r="D1462" s="15" t="str">
        <x:v>Receipt Verification</x:v>
      </x:c>
      <x:c r="E1462" s="15" t="str">
        <x:v>Aetherforge</x:v>
      </x:c>
      <x:c r="F1462" s="15" t="str">
        <x:v>Verify receipts for Aetherforge — ClaudeCatcher</x:v>
      </x:c>
      <x:c r="G1462" s="15" t="str">
        <x:v>adversarial claims / model overclaim detection</x:v>
      </x:c>
      <x:c r="H1462" s="15" t="str">
        <x:v>source path + receipt + raw/export status + claim/edge/risk delta</x:v>
      </x:c>
      <x:c r="I1462" s="15" t="str">
        <x:v>packet/SWARM-11-H02-S09</x:v>
      </x:c>
      <x:c r="J1462" s="15" t="str">
        <x:v>TODO</x:v>
      </x:c>
      <x:c r="K1462" s="15" t="str">
        <x:v>P2</x:v>
      </x:c>
      <x:c r="L1462" s="15" t="str">
        <x:v>Done only when evidence is logged, contradiction search is noted, and boundary stamp remains non-canon unless ratified</x:v>
      </x:c>
      <x:c r="M1462" s="15" t="str">
        <x:v>candidate / staging-only / not canon / not deployed / authority none</x:v>
      </x:c>
      <x:c r="N1462" s="15" t="str">
        <x:v>Dispatch to ClaudeCatcher: complete Receipt Verification x Aetherforge; return deltas only, receipts required.</x:v>
      </x:c>
      <x:c r="O1462" s="15" t="str">
        <x:v>AF-KG-H02-S09</x:v>
      </x:c>
      <x:c r="P1462" s="15" t="str">
        <x:v>Unverified</x:v>
      </x:c>
      <x:c r="Q1462" s="15" t="str">
        <x:v>Not checked</x:v>
      </x:c>
      <x:c r="R1462" s="15" t="str"/>
      <x:c r="S1462" s="15" t="str"/>
      <x:c r="T1462" s="15" t="str">
        <x:v>Log first source path or blocker</x:v>
      </x:c>
      <x:c r="U1462" s="12" t="str">
        <x:f>IF(OR(P1462="Unverified",Q1462="Not checked"),"BLOCKED_PENDING_RECEIPT","READY_FOR_REVIEW")</x:f>
        <x:v>BLOCKED_PENDING_RECEIPT</x:v>
      </x:c>
      <x:c r="V1462" s="12" t="str">
        <x:f>IF(J1462="DONE","RETURNED",IF(U1462="BLOCKED_PENDING_RECEIPT","SOURCE_TOUCH_REQUIRED","IN_PROGRESS"))</x:f>
        <x:v>SOURCE_TOUCH_REQUIRED</x:v>
      </x:c>
      <x:c r="W1462" s="12" t="str">
        <x:f>IF(P1462="Unverified","missing_receipt","receipt_logged")</x:f>
        <x:v>missing_receipt</x:v>
      </x:c>
      <x:c r="X1462" s="12" t="str">
        <x:f>IF(Q1462="Not checked","raw_status_missing","raw_status_logged")</x:f>
        <x:v>raw_status_missing</x:v>
      </x:c>
      <x:c r="Y1462" s="12" t="str">
        <x:f>IF(U1462="BLOCKED_PENDING_RECEIPT","Log source path or blocker; do not promote","Route to review lane")</x:f>
        <x:v>Log source path or blocker; do not promote</x:v>
      </x:c>
      <x:c r="Z1462" s="12" t="str">
        <x:f>IF(K1462="P0","Primary seat + Hashlight/Lucerna","Seat lane")</x:f>
        <x:v>Seat lane</x:v>
      </x:c>
      <x:c r="AA1462" s="12" t="str">
        <x:f>IF(R1462="","no_claim_delta","claim_delta_present")</x:f>
        <x:v>no_claim_delta</x:v>
      </x:c>
      <x:c r="AB1462" s="12" t="str">
        <x:f>IF(S1462="","no_contradiction_delta","contradiction_delta_present")</x:f>
        <x:v>no_contradiction_delta</x:v>
      </x:c>
      <x:c r="AC1462" s="12" t="str">
        <x:f>IF(OR(ISNUMBER(SEARCH("hacker",LOWER(F1462&amp;" "&amp;H1462&amp;" "&amp;I1462&amp;" "&amp;M1462&amp;" "&amp;N1462&amp;" "&amp;T1462))),ISNUMBER(SEARCH("hacking",LOWER(F1462&amp;" "&amp;H1462&amp;" "&amp;I1462&amp;" "&amp;M1462&amp;" "&amp;N1462&amp;" "&amp;T1462))),ISNUMBER(SEARCH("bank",LOWER(F1462&amp;" "&amp;H1462&amp;" "&amp;I1462&amp;" "&amp;M1462&amp;" "&amp;N1462&amp;" "&amp;T1462))),ISNUMBER(SEARCH("banking",LOWER(F1462&amp;" "&amp;H1462&amp;" "&amp;I1462&amp;" "&amp;M1462&amp;" "&amp;N1462&amp;" "&amp;T1462)))),"PRIVATE_QUARANTINE",IF(OR(ISNUMBER(SEARCH("treasury",LOWER(F1462&amp;" "&amp;H1462&amp;" "&amp;I1462&amp;" "&amp;M1462&amp;" "&amp;N1462&amp;" "&amp;T1462))),ISNUMBER(SEARCH("debt",LOWER(F1462&amp;" "&amp;H1462&amp;" "&amp;I1462&amp;" "&amp;M1462&amp;" "&amp;N1462&amp;" "&amp;T1462))),ISNUMBER(SEARCH("bond",LOWER(F1462&amp;" "&amp;H1462&amp;" "&amp;I1462&amp;" "&amp;M1462&amp;" "&amp;N1462&amp;" "&amp;T1462))),ISNUMBER(SEARCH("transaction",LOWER(F1462&amp;" "&amp;H1462&amp;" "&amp;I1462&amp;" "&amp;M1462&amp;" "&amp;N1462&amp;" "&amp;T1462)))),"PRIVATE_REVIEW","PUBLIC_CANDIDATE"))</x:f>
        <x:v>PUBLIC_CANDIDATE</x:v>
      </x:c>
      <x:c r="AD1462" s="12" t="str">
        <x:f>IF(AC1462="PRIVATE_QUARANTINE","hacker_or_bank_trigger",IF(AC1462="PRIVATE_REVIEW","finance_risk_trigger","none"))</x:f>
        <x:v>none</x:v>
      </x:c>
      <x:c r="AE1462" s="12" t="str">
        <x:f>IF(AC1462="PUBLIC_CANDIDATE","prepare_public_github_candidate",IF(AC1462="PRIVATE_REVIEW","hold_for_private_review","quarantine_private_do_not_publish"))</x:f>
        <x:v>prepare_public_github_candidate</x:v>
      </x:c>
      <x:c r="AF1462" s="12" t="str">
        <x:f>IF(AC1462="PUBLIC_CANDIDATE","TIDELOCK + Lucerna",IF(AC1462="PRIVATE_REVIEW","AtlasBrain + Lucerna","TIDELOCK + Lucerna + Human-root"))</x:f>
        <x:v>TIDELOCK + Lucerna</x:v>
      </x:c>
      <x:c r="AG1462" s="12" t="str">
        <x:f>IF(AND(AC1462="PUBLIC_CANDIDATE",U1462&lt;&gt;"BLOCKED_PENDING_RECEIPT"),"READY_AFTER_RECEIPT","NOT_READY")</x:f>
        <x:v>NOT_READY</x:v>
      </x:c>
      <x:c r="AH1462" s="12" t="str">
        <x:f>IF(AC1462="PUBLIC_CANDIDATE","none",AD1462)</x:f>
        <x:v>none</x:v>
      </x:c>
      <x:c r="AI1462" s="12" t="str">
        <x:f>IF(AC1462="PUBLIC_CANDIDATE","archive/public_candidates/"&amp;A1462,"private_quarantine/"&amp;A1462)</x:f>
        <x:v>archive/public_candidates/SWARM-11-H02-S09</x:v>
      </x:c>
      <x:c r="AJ1462" s="12" t="str">
        <x:f>IF(AC1462="PUBLIC_CANDIDATE","public by default; still not canon","private/hold; do not publish")</x:f>
        <x:v>public by default; still not canon</x:v>
      </x:c>
      <x:c r="AK1462" s="12" t="str">
        <x:f>IF(AE1462="prepare_public_github_candidate","add receipt/status then mirror","resolve blocker before any public GitHub action")</x:f>
        <x:v>add receipt/status then mirror</x:v>
      </x:c>
    </x:row>
    <x:row r="1463">
      <x:c r="A1463" s="15" t="str">
        <x:v>SWARM-11-H02-S10</x:v>
      </x:c>
      <x:c r="B1463" s="15" t="str">
        <x:v>ClaudeCatcher</x:v>
      </x:c>
      <x:c r="C1463" s="15" t="str">
        <x:v>Bullshit Olympics referee</x:v>
      </x:c>
      <x:c r="D1463" s="15" t="str">
        <x:v>Receipt Verification</x:v>
      </x:c>
      <x:c r="E1463" s="15" t="str">
        <x:v>Human-Root</x:v>
      </x:c>
      <x:c r="F1463" s="15" t="str">
        <x:v>Verify receipts for Human-Root — ClaudeCatcher</x:v>
      </x:c>
      <x:c r="G1463" s="15" t="str">
        <x:v>adversarial claims / model overclaim detection</x:v>
      </x:c>
      <x:c r="H1463" s="15" t="str">
        <x:v>source path + receipt + raw/export status + claim/edge/risk delta</x:v>
      </x:c>
      <x:c r="I1463" s="15" t="str">
        <x:v>packet/SWARM-11-H02-S10</x:v>
      </x:c>
      <x:c r="J1463" s="15" t="str">
        <x:v>TODO</x:v>
      </x:c>
      <x:c r="K1463" s="15" t="str">
        <x:v>P2</x:v>
      </x:c>
      <x:c r="L1463" s="15" t="str">
        <x:v>Done only when evidence is logged, contradiction search is noted, and boundary stamp remains non-canon unless ratified</x:v>
      </x:c>
      <x:c r="M1463" s="15" t="str">
        <x:v>candidate / staging-only / not canon / not deployed / authority none</x:v>
      </x:c>
      <x:c r="N1463" s="15" t="str">
        <x:v>Dispatch to ClaudeCatcher: complete Receipt Verification x Human-Root; return deltas only, receipts required.</x:v>
      </x:c>
      <x:c r="O1463" s="15" t="str">
        <x:v>AF-KG-H02-S10</x:v>
      </x:c>
      <x:c r="P1463" s="15" t="str">
        <x:v>Unverified</x:v>
      </x:c>
      <x:c r="Q1463" s="15" t="str">
        <x:v>Not checked</x:v>
      </x:c>
      <x:c r="R1463" s="15" t="str"/>
      <x:c r="S1463" s="15" t="str"/>
      <x:c r="T1463" s="15" t="str">
        <x:v>Log first source path or blocker</x:v>
      </x:c>
      <x:c r="U1463" s="12" t="str">
        <x:f>IF(OR(P1463="Unverified",Q1463="Not checked"),"BLOCKED_PENDING_RECEIPT","READY_FOR_REVIEW")</x:f>
        <x:v>BLOCKED_PENDING_RECEIPT</x:v>
      </x:c>
      <x:c r="V1463" s="12" t="str">
        <x:f>IF(J1463="DONE","RETURNED",IF(U1463="BLOCKED_PENDING_RECEIPT","SOURCE_TOUCH_REQUIRED","IN_PROGRESS"))</x:f>
        <x:v>SOURCE_TOUCH_REQUIRED</x:v>
      </x:c>
      <x:c r="W1463" s="12" t="str">
        <x:f>IF(P1463="Unverified","missing_receipt","receipt_logged")</x:f>
        <x:v>missing_receipt</x:v>
      </x:c>
      <x:c r="X1463" s="12" t="str">
        <x:f>IF(Q1463="Not checked","raw_status_missing","raw_status_logged")</x:f>
        <x:v>raw_status_missing</x:v>
      </x:c>
      <x:c r="Y1463" s="12" t="str">
        <x:f>IF(U1463="BLOCKED_PENDING_RECEIPT","Log source path or blocker; do not promote","Route to review lane")</x:f>
        <x:v>Log source path or blocker; do not promote</x:v>
      </x:c>
      <x:c r="Z1463" s="12" t="str">
        <x:f>IF(K1463="P0","Primary seat + Hashlight/Lucerna","Seat lane")</x:f>
        <x:v>Seat lane</x:v>
      </x:c>
      <x:c r="AA1463" s="12" t="str">
        <x:f>IF(R1463="","no_claim_delta","claim_delta_present")</x:f>
        <x:v>no_claim_delta</x:v>
      </x:c>
      <x:c r="AB1463" s="12" t="str">
        <x:f>IF(S1463="","no_contradiction_delta","contradiction_delta_present")</x:f>
        <x:v>no_contradiction_delta</x:v>
      </x:c>
      <x:c r="AC1463" s="12" t="str">
        <x:f>IF(OR(ISNUMBER(SEARCH("hacker",LOWER(F1463&amp;" "&amp;H1463&amp;" "&amp;I1463&amp;" "&amp;M1463&amp;" "&amp;N1463&amp;" "&amp;T1463))),ISNUMBER(SEARCH("hacking",LOWER(F1463&amp;" "&amp;H1463&amp;" "&amp;I1463&amp;" "&amp;M1463&amp;" "&amp;N1463&amp;" "&amp;T1463))),ISNUMBER(SEARCH("bank",LOWER(F1463&amp;" "&amp;H1463&amp;" "&amp;I1463&amp;" "&amp;M1463&amp;" "&amp;N1463&amp;" "&amp;T1463))),ISNUMBER(SEARCH("banking",LOWER(F1463&amp;" "&amp;H1463&amp;" "&amp;I1463&amp;" "&amp;M1463&amp;" "&amp;N1463&amp;" "&amp;T1463)))),"PRIVATE_QUARANTINE",IF(OR(ISNUMBER(SEARCH("treasury",LOWER(F1463&amp;" "&amp;H1463&amp;" "&amp;I1463&amp;" "&amp;M1463&amp;" "&amp;N1463&amp;" "&amp;T1463))),ISNUMBER(SEARCH("debt",LOWER(F1463&amp;" "&amp;H1463&amp;" "&amp;I1463&amp;" "&amp;M1463&amp;" "&amp;N1463&amp;" "&amp;T1463))),ISNUMBER(SEARCH("bond",LOWER(F1463&amp;" "&amp;H1463&amp;" "&amp;I1463&amp;" "&amp;M1463&amp;" "&amp;N1463&amp;" "&amp;T1463))),ISNUMBER(SEARCH("transaction",LOWER(F1463&amp;" "&amp;H1463&amp;" "&amp;I1463&amp;" "&amp;M1463&amp;" "&amp;N1463&amp;" "&amp;T1463)))),"PRIVATE_REVIEW","PUBLIC_CANDIDATE"))</x:f>
        <x:v>PUBLIC_CANDIDATE</x:v>
      </x:c>
      <x:c r="AD1463" s="12" t="str">
        <x:f>IF(AC1463="PRIVATE_QUARANTINE","hacker_or_bank_trigger",IF(AC1463="PRIVATE_REVIEW","finance_risk_trigger","none"))</x:f>
        <x:v>none</x:v>
      </x:c>
      <x:c r="AE1463" s="12" t="str">
        <x:f>IF(AC1463="PUBLIC_CANDIDATE","prepare_public_github_candidate",IF(AC1463="PRIVATE_REVIEW","hold_for_private_review","quarantine_private_do_not_publish"))</x:f>
        <x:v>prepare_public_github_candidate</x:v>
      </x:c>
      <x:c r="AF1463" s="12" t="str">
        <x:f>IF(AC1463="PUBLIC_CANDIDATE","TIDELOCK + Lucerna",IF(AC1463="PRIVATE_REVIEW","AtlasBrain + Lucerna","TIDELOCK + Lucerna + Human-root"))</x:f>
        <x:v>TIDELOCK + Lucerna</x:v>
      </x:c>
      <x:c r="AG1463" s="12" t="str">
        <x:f>IF(AND(AC1463="PUBLIC_CANDIDATE",U1463&lt;&gt;"BLOCKED_PENDING_RECEIPT"),"READY_AFTER_RECEIPT","NOT_READY")</x:f>
        <x:v>NOT_READY</x:v>
      </x:c>
      <x:c r="AH1463" s="12" t="str">
        <x:f>IF(AC1463="PUBLIC_CANDIDATE","none",AD1463)</x:f>
        <x:v>none</x:v>
      </x:c>
      <x:c r="AI1463" s="12" t="str">
        <x:f>IF(AC1463="PUBLIC_CANDIDATE","archive/public_candidates/"&amp;A1463,"private_quarantine/"&amp;A1463)</x:f>
        <x:v>archive/public_candidates/SWARM-11-H02-S10</x:v>
      </x:c>
      <x:c r="AJ1463" s="12" t="str">
        <x:f>IF(AC1463="PUBLIC_CANDIDATE","public by default; still not canon","private/hold; do not publish")</x:f>
        <x:v>public by default; still not canon</x:v>
      </x:c>
      <x:c r="AK1463" s="12" t="str">
        <x:f>IF(AE1463="prepare_public_github_candidate","add receipt/status then mirror","resolve blocker before any public GitHub action")</x:f>
        <x:v>add receipt/status then mirror</x:v>
      </x:c>
    </x:row>
    <x:row r="1464">
      <x:c r="A1464" s="15" t="str">
        <x:v>SWARM-11-H02-S11</x:v>
      </x:c>
      <x:c r="B1464" s="15" t="str">
        <x:v>ClaudeCatcher</x:v>
      </x:c>
      <x:c r="C1464" s="15" t="str">
        <x:v>Bullshit Olympics referee</x:v>
      </x:c>
      <x:c r="D1464" s="15" t="str">
        <x:v>Receipt Verification</x:v>
      </x:c>
      <x:c r="E1464" s="15" t="str">
        <x:v>Automation</x:v>
      </x:c>
      <x:c r="F1464" s="15" t="str">
        <x:v>Verify receipts for Automation — ClaudeCatcher</x:v>
      </x:c>
      <x:c r="G1464" s="15" t="str">
        <x:v>adversarial claims / model overclaim detection</x:v>
      </x:c>
      <x:c r="H1464" s="15" t="str">
        <x:v>source path + receipt + raw/export status + claim/edge/risk delta</x:v>
      </x:c>
      <x:c r="I1464" s="15" t="str">
        <x:v>packet/SWARM-11-H02-S11</x:v>
      </x:c>
      <x:c r="J1464" s="15" t="str">
        <x:v>TODO</x:v>
      </x:c>
      <x:c r="K1464" s="15" t="str">
        <x:v>P2</x:v>
      </x:c>
      <x:c r="L1464" s="15" t="str">
        <x:v>Done only when evidence is logged, contradiction search is noted, and boundary stamp remains non-canon unless ratified</x:v>
      </x:c>
      <x:c r="M1464" s="15" t="str">
        <x:v>candidate / staging-only / not canon / not deployed / authority none</x:v>
      </x:c>
      <x:c r="N1464" s="15" t="str">
        <x:v>Dispatch to ClaudeCatcher: complete Receipt Verification x Automation; return deltas only, receipts required.</x:v>
      </x:c>
      <x:c r="O1464" s="15" t="str">
        <x:v>AF-KG-H02-S11</x:v>
      </x:c>
      <x:c r="P1464" s="15" t="str">
        <x:v>Unverified</x:v>
      </x:c>
      <x:c r="Q1464" s="15" t="str">
        <x:v>Not checked</x:v>
      </x:c>
      <x:c r="R1464" s="15" t="str"/>
      <x:c r="S1464" s="15" t="str"/>
      <x:c r="T1464" s="15" t="str">
        <x:v>Log first source path or blocker</x:v>
      </x:c>
      <x:c r="U1464" s="12" t="str">
        <x:f>IF(OR(P1464="Unverified",Q1464="Not checked"),"BLOCKED_PENDING_RECEIPT","READY_FOR_REVIEW")</x:f>
        <x:v>BLOCKED_PENDING_RECEIPT</x:v>
      </x:c>
      <x:c r="V1464" s="12" t="str">
        <x:f>IF(J1464="DONE","RETURNED",IF(U1464="BLOCKED_PENDING_RECEIPT","SOURCE_TOUCH_REQUIRED","IN_PROGRESS"))</x:f>
        <x:v>SOURCE_TOUCH_REQUIRED</x:v>
      </x:c>
      <x:c r="W1464" s="12" t="str">
        <x:f>IF(P1464="Unverified","missing_receipt","receipt_logged")</x:f>
        <x:v>missing_receipt</x:v>
      </x:c>
      <x:c r="X1464" s="12" t="str">
        <x:f>IF(Q1464="Not checked","raw_status_missing","raw_status_logged")</x:f>
        <x:v>raw_status_missing</x:v>
      </x:c>
      <x:c r="Y1464" s="12" t="str">
        <x:f>IF(U1464="BLOCKED_PENDING_RECEIPT","Log source path or blocker; do not promote","Route to review lane")</x:f>
        <x:v>Log source path or blocker; do not promote</x:v>
      </x:c>
      <x:c r="Z1464" s="12" t="str">
        <x:f>IF(K1464="P0","Primary seat + Hashlight/Lucerna","Seat lane")</x:f>
        <x:v>Seat lane</x:v>
      </x:c>
      <x:c r="AA1464" s="12" t="str">
        <x:f>IF(R1464="","no_claim_delta","claim_delta_present")</x:f>
        <x:v>no_claim_delta</x:v>
      </x:c>
      <x:c r="AB1464" s="12" t="str">
        <x:f>IF(S1464="","no_contradiction_delta","contradiction_delta_present")</x:f>
        <x:v>no_contradiction_delta</x:v>
      </x:c>
      <x:c r="AC1464" s="12" t="str">
        <x:f>IF(OR(ISNUMBER(SEARCH("hacker",LOWER(F1464&amp;" "&amp;H1464&amp;" "&amp;I1464&amp;" "&amp;M1464&amp;" "&amp;N1464&amp;" "&amp;T1464))),ISNUMBER(SEARCH("hacking",LOWER(F1464&amp;" "&amp;H1464&amp;" "&amp;I1464&amp;" "&amp;M1464&amp;" "&amp;N1464&amp;" "&amp;T1464))),ISNUMBER(SEARCH("bank",LOWER(F1464&amp;" "&amp;H1464&amp;" "&amp;I1464&amp;" "&amp;M1464&amp;" "&amp;N1464&amp;" "&amp;T1464))),ISNUMBER(SEARCH("banking",LOWER(F1464&amp;" "&amp;H1464&amp;" "&amp;I1464&amp;" "&amp;M1464&amp;" "&amp;N1464&amp;" "&amp;T1464)))),"PRIVATE_QUARANTINE",IF(OR(ISNUMBER(SEARCH("treasury",LOWER(F1464&amp;" "&amp;H1464&amp;" "&amp;I1464&amp;" "&amp;M1464&amp;" "&amp;N1464&amp;" "&amp;T1464))),ISNUMBER(SEARCH("debt",LOWER(F1464&amp;" "&amp;H1464&amp;" "&amp;I1464&amp;" "&amp;M1464&amp;" "&amp;N1464&amp;" "&amp;T1464))),ISNUMBER(SEARCH("bond",LOWER(F1464&amp;" "&amp;H1464&amp;" "&amp;I1464&amp;" "&amp;M1464&amp;" "&amp;N1464&amp;" "&amp;T1464))),ISNUMBER(SEARCH("transaction",LOWER(F1464&amp;" "&amp;H1464&amp;" "&amp;I1464&amp;" "&amp;M1464&amp;" "&amp;N1464&amp;" "&amp;T1464)))),"PRIVATE_REVIEW","PUBLIC_CANDIDATE"))</x:f>
        <x:v>PUBLIC_CANDIDATE</x:v>
      </x:c>
      <x:c r="AD1464" s="12" t="str">
        <x:f>IF(AC1464="PRIVATE_QUARANTINE","hacker_or_bank_trigger",IF(AC1464="PRIVATE_REVIEW","finance_risk_trigger","none"))</x:f>
        <x:v>none</x:v>
      </x:c>
      <x:c r="AE1464" s="12" t="str">
        <x:f>IF(AC1464="PUBLIC_CANDIDATE","prepare_public_github_candidate",IF(AC1464="PRIVATE_REVIEW","hold_for_private_review","quarantine_private_do_not_publish"))</x:f>
        <x:v>prepare_public_github_candidate</x:v>
      </x:c>
      <x:c r="AF1464" s="12" t="str">
        <x:f>IF(AC1464="PUBLIC_CANDIDATE","TIDELOCK + Lucerna",IF(AC1464="PRIVATE_REVIEW","AtlasBrain + Lucerna","TIDELOCK + Lucerna + Human-root"))</x:f>
        <x:v>TIDELOCK + Lucerna</x:v>
      </x:c>
      <x:c r="AG1464" s="12" t="str">
        <x:f>IF(AND(AC1464="PUBLIC_CANDIDATE",U1464&lt;&gt;"BLOCKED_PENDING_RECEIPT"),"READY_AFTER_RECEIPT","NOT_READY")</x:f>
        <x:v>NOT_READY</x:v>
      </x:c>
      <x:c r="AH1464" s="12" t="str">
        <x:f>IF(AC1464="PUBLIC_CANDIDATE","none",AD1464)</x:f>
        <x:v>none</x:v>
      </x:c>
      <x:c r="AI1464" s="12" t="str">
        <x:f>IF(AC1464="PUBLIC_CANDIDATE","archive/public_candidates/"&amp;A1464,"private_quarantine/"&amp;A1464)</x:f>
        <x:v>archive/public_candidates/SWARM-11-H02-S11</x:v>
      </x:c>
      <x:c r="AJ1464" s="12" t="str">
        <x:f>IF(AC1464="PUBLIC_CANDIDATE","public by default; still not canon","private/hold; do not publish")</x:f>
        <x:v>public by default; still not canon</x:v>
      </x:c>
      <x:c r="AK1464" s="12" t="str">
        <x:f>IF(AE1464="prepare_public_github_candidate","add receipt/status then mirror","resolve blocker before any public GitHub action")</x:f>
        <x:v>add receipt/status then mirror</x:v>
      </x:c>
    </x:row>
    <x:row r="1465">
      <x:c r="A1465" s="15" t="str">
        <x:v>SWARM-11-H02-S12</x:v>
      </x:c>
      <x:c r="B1465" s="15" t="str">
        <x:v>ClaudeCatcher</x:v>
      </x:c>
      <x:c r="C1465" s="15" t="str">
        <x:v>Bullshit Olympics referee</x:v>
      </x:c>
      <x:c r="D1465" s="15" t="str">
        <x:v>Receipt Verification</x:v>
      </x:c>
      <x:c r="E1465" s="15" t="str">
        <x:v>Risk / Safety</x:v>
      </x:c>
      <x:c r="F1465" s="15" t="str">
        <x:v>Verify receipts for Risk / Safety — ClaudeCatcher</x:v>
      </x:c>
      <x:c r="G1465" s="15" t="str">
        <x:v>adversarial claims / model overclaim detection</x:v>
      </x:c>
      <x:c r="H1465" s="15" t="str">
        <x:v>source path + receipt + raw/export status + claim/edge/risk delta</x:v>
      </x:c>
      <x:c r="I1465" s="15" t="str">
        <x:v>packet/SWARM-11-H02-S12</x:v>
      </x:c>
      <x:c r="J1465" s="15" t="str">
        <x:v>TODO</x:v>
      </x:c>
      <x:c r="K1465" s="15" t="str">
        <x:v>P2</x:v>
      </x:c>
      <x:c r="L1465" s="15" t="str">
        <x:v>Done only when evidence is logged, contradiction search is noted, and boundary stamp remains non-canon unless ratified</x:v>
      </x:c>
      <x:c r="M1465" s="15" t="str">
        <x:v>candidate / staging-only / not canon / not deployed / authority none</x:v>
      </x:c>
      <x:c r="N1465" s="15" t="str">
        <x:v>Dispatch to ClaudeCatcher: complete Receipt Verification x Risk / Safety; return deltas only, receipts required.</x:v>
      </x:c>
      <x:c r="O1465" s="15" t="str">
        <x:v>AF-KG-H02-S12</x:v>
      </x:c>
      <x:c r="P1465" s="15" t="str">
        <x:v>Unverified</x:v>
      </x:c>
      <x:c r="Q1465" s="15" t="str">
        <x:v>Not checked</x:v>
      </x:c>
      <x:c r="R1465" s="15" t="str"/>
      <x:c r="S1465" s="15" t="str"/>
      <x:c r="T1465" s="15" t="str">
        <x:v>Log first source path or blocker</x:v>
      </x:c>
      <x:c r="U1465" s="12" t="str">
        <x:f>IF(OR(P1465="Unverified",Q1465="Not checked"),"BLOCKED_PENDING_RECEIPT","READY_FOR_REVIEW")</x:f>
        <x:v>BLOCKED_PENDING_RECEIPT</x:v>
      </x:c>
      <x:c r="V1465" s="12" t="str">
        <x:f>IF(J1465="DONE","RETURNED",IF(U1465="BLOCKED_PENDING_RECEIPT","SOURCE_TOUCH_REQUIRED","IN_PROGRESS"))</x:f>
        <x:v>SOURCE_TOUCH_REQUIRED</x:v>
      </x:c>
      <x:c r="W1465" s="12" t="str">
        <x:f>IF(P1465="Unverified","missing_receipt","receipt_logged")</x:f>
        <x:v>missing_receipt</x:v>
      </x:c>
      <x:c r="X1465" s="12" t="str">
        <x:f>IF(Q1465="Not checked","raw_status_missing","raw_status_logged")</x:f>
        <x:v>raw_status_missing</x:v>
      </x:c>
      <x:c r="Y1465" s="12" t="str">
        <x:f>IF(U1465="BLOCKED_PENDING_RECEIPT","Log source path or blocker; do not promote","Route to review lane")</x:f>
        <x:v>Log source path or blocker; do not promote</x:v>
      </x:c>
      <x:c r="Z1465" s="12" t="str">
        <x:f>IF(K1465="P0","Primary seat + Hashlight/Lucerna","Seat lane")</x:f>
        <x:v>Seat lane</x:v>
      </x:c>
      <x:c r="AA1465" s="12" t="str">
        <x:f>IF(R1465="","no_claim_delta","claim_delta_present")</x:f>
        <x:v>no_claim_delta</x:v>
      </x:c>
      <x:c r="AB1465" s="12" t="str">
        <x:f>IF(S1465="","no_contradiction_delta","contradiction_delta_present")</x:f>
        <x:v>no_contradiction_delta</x:v>
      </x:c>
      <x:c r="AC1465" s="12" t="str">
        <x:f>IF(OR(ISNUMBER(SEARCH("hacker",LOWER(F1465&amp;" "&amp;H1465&amp;" "&amp;I1465&amp;" "&amp;M1465&amp;" "&amp;N1465&amp;" "&amp;T1465))),ISNUMBER(SEARCH("hacking",LOWER(F1465&amp;" "&amp;H1465&amp;" "&amp;I1465&amp;" "&amp;M1465&amp;" "&amp;N1465&amp;" "&amp;T1465))),ISNUMBER(SEARCH("bank",LOWER(F1465&amp;" "&amp;H1465&amp;" "&amp;I1465&amp;" "&amp;M1465&amp;" "&amp;N1465&amp;" "&amp;T1465))),ISNUMBER(SEARCH("banking",LOWER(F1465&amp;" "&amp;H1465&amp;" "&amp;I1465&amp;" "&amp;M1465&amp;" "&amp;N1465&amp;" "&amp;T1465)))),"PRIVATE_QUARANTINE",IF(OR(ISNUMBER(SEARCH("treasury",LOWER(F1465&amp;" "&amp;H1465&amp;" "&amp;I1465&amp;" "&amp;M1465&amp;" "&amp;N1465&amp;" "&amp;T1465))),ISNUMBER(SEARCH("debt",LOWER(F1465&amp;" "&amp;H1465&amp;" "&amp;I1465&amp;" "&amp;M1465&amp;" "&amp;N1465&amp;" "&amp;T1465))),ISNUMBER(SEARCH("bond",LOWER(F1465&amp;" "&amp;H1465&amp;" "&amp;I1465&amp;" "&amp;M1465&amp;" "&amp;N1465&amp;" "&amp;T1465))),ISNUMBER(SEARCH("transaction",LOWER(F1465&amp;" "&amp;H1465&amp;" "&amp;I1465&amp;" "&amp;M1465&amp;" "&amp;N1465&amp;" "&amp;T1465)))),"PRIVATE_REVIEW","PUBLIC_CANDIDATE"))</x:f>
        <x:v>PUBLIC_CANDIDATE</x:v>
      </x:c>
      <x:c r="AD1465" s="12" t="str">
        <x:f>IF(AC1465="PRIVATE_QUARANTINE","hacker_or_bank_trigger",IF(AC1465="PRIVATE_REVIEW","finance_risk_trigger","none"))</x:f>
        <x:v>none</x:v>
      </x:c>
      <x:c r="AE1465" s="12" t="str">
        <x:f>IF(AC1465="PUBLIC_CANDIDATE","prepare_public_github_candidate",IF(AC1465="PRIVATE_REVIEW","hold_for_private_review","quarantine_private_do_not_publish"))</x:f>
        <x:v>prepare_public_github_candidate</x:v>
      </x:c>
      <x:c r="AF1465" s="12" t="str">
        <x:f>IF(AC1465="PUBLIC_CANDIDATE","TIDELOCK + Lucerna",IF(AC1465="PRIVATE_REVIEW","AtlasBrain + Lucerna","TIDELOCK + Lucerna + Human-root"))</x:f>
        <x:v>TIDELOCK + Lucerna</x:v>
      </x:c>
      <x:c r="AG1465" s="12" t="str">
        <x:f>IF(AND(AC1465="PUBLIC_CANDIDATE",U1465&lt;&gt;"BLOCKED_PENDING_RECEIPT"),"READY_AFTER_RECEIPT","NOT_READY")</x:f>
        <x:v>NOT_READY</x:v>
      </x:c>
      <x:c r="AH1465" s="12" t="str">
        <x:f>IF(AC1465="PUBLIC_CANDIDATE","none",AD1465)</x:f>
        <x:v>none</x:v>
      </x:c>
      <x:c r="AI1465" s="12" t="str">
        <x:f>IF(AC1465="PUBLIC_CANDIDATE","archive/public_candidates/"&amp;A1465,"private_quarantine/"&amp;A1465)</x:f>
        <x:v>archive/public_candidates/SWARM-11-H02-S12</x:v>
      </x:c>
      <x:c r="AJ1465" s="12" t="str">
        <x:f>IF(AC1465="PUBLIC_CANDIDATE","public by default; still not canon","private/hold; do not publish")</x:f>
        <x:v>public by default; still not canon</x:v>
      </x:c>
      <x:c r="AK1465" s="12" t="str">
        <x:f>IF(AE1465="prepare_public_github_candidate","add receipt/status then mirror","resolve blocker before any public GitHub action")</x:f>
        <x:v>add receipt/status then mirror</x:v>
      </x:c>
    </x:row>
    <x:row r="1466">
      <x:c r="A1466" s="15" t="str">
        <x:v>SWARM-11-H03-S01</x:v>
      </x:c>
      <x:c r="B1466" s="15" t="str">
        <x:v>ClaudeCatcher</x:v>
      </x:c>
      <x:c r="C1466" s="15" t="str">
        <x:v>Bullshit Olympics referee</x:v>
      </x:c>
      <x:c r="D1466" s="15" t="str">
        <x:v>Raw Export Recovery</x:v>
      </x:c>
      <x:c r="E1466" s="15" t="str">
        <x:v>Notion</x:v>
      </x:c>
      <x:c r="F1466" s="15" t="str">
        <x:v>Recover raw exports for Notion — ClaudeCatcher</x:v>
      </x:c>
      <x:c r="G1466" s="15" t="str">
        <x:v>adversarial claims / model overclaim detection</x:v>
      </x:c>
      <x:c r="H1466" s="15" t="str">
        <x:v>source path + receipt + raw/export status + claim/edge/risk delta</x:v>
      </x:c>
      <x:c r="I1466" s="15" t="str">
        <x:v>packet/SWARM-11-H03-S01</x:v>
      </x:c>
      <x:c r="J1466" s="15" t="str">
        <x:v>TODO</x:v>
      </x:c>
      <x:c r="K1466" s="15" t="str">
        <x:v>P0</x:v>
      </x:c>
      <x:c r="L1466" s="15" t="str">
        <x:v>Done only when evidence is logged, contradiction search is noted, and boundary stamp remains non-canon unless ratified</x:v>
      </x:c>
      <x:c r="M1466" s="15" t="str">
        <x:v>candidate / staging-only / not canon / not deployed / authority none</x:v>
      </x:c>
      <x:c r="N1466" s="15" t="str">
        <x:v>Dispatch to ClaudeCatcher: complete Raw Export Recovery x Notion; return deltas only, receipts required.</x:v>
      </x:c>
      <x:c r="O1466" s="15" t="str">
        <x:v>AF-KG-H03-S01</x:v>
      </x:c>
      <x:c r="P1466" s="15" t="str">
        <x:v>Unverified</x:v>
      </x:c>
      <x:c r="Q1466" s="15" t="str">
        <x:v>Not checked</x:v>
      </x:c>
      <x:c r="R1466" s="15" t="str"/>
      <x:c r="S1466" s="15" t="str"/>
      <x:c r="T1466" s="15" t="str">
        <x:v>Log first source path or blocker</x:v>
      </x:c>
      <x:c r="U1466" s="12" t="str">
        <x:f>IF(OR(P1466="Unverified",Q1466="Not checked"),"BLOCKED_PENDING_RECEIPT","READY_FOR_REVIEW")</x:f>
        <x:v>BLOCKED_PENDING_RECEIPT</x:v>
      </x:c>
      <x:c r="V1466" s="12" t="str">
        <x:f>IF(J1466="DONE","RETURNED",IF(U1466="BLOCKED_PENDING_RECEIPT","SOURCE_TOUCH_REQUIRED","IN_PROGRESS"))</x:f>
        <x:v>SOURCE_TOUCH_REQUIRED</x:v>
      </x:c>
      <x:c r="W1466" s="12" t="str">
        <x:f>IF(P1466="Unverified","missing_receipt","receipt_logged")</x:f>
        <x:v>missing_receipt</x:v>
      </x:c>
      <x:c r="X1466" s="12" t="str">
        <x:f>IF(Q1466="Not checked","raw_status_missing","raw_status_logged")</x:f>
        <x:v>raw_status_missing</x:v>
      </x:c>
      <x:c r="Y1466" s="12" t="str">
        <x:f>IF(U1466="BLOCKED_PENDING_RECEIPT","Log source path or blocker; do not promote","Route to review lane")</x:f>
        <x:v>Log source path or blocker; do not promote</x:v>
      </x:c>
      <x:c r="Z1466" s="12" t="str">
        <x:f>IF(K1466="P0","Primary seat + Hashlight/Lucerna","Seat lane")</x:f>
        <x:v>Primary seat + Hashlight/Lucerna</x:v>
      </x:c>
      <x:c r="AA1466" s="12" t="str">
        <x:f>IF(R1466="","no_claim_delta","claim_delta_present")</x:f>
        <x:v>no_claim_delta</x:v>
      </x:c>
      <x:c r="AB1466" s="12" t="str">
        <x:f>IF(S1466="","no_contradiction_delta","contradiction_delta_present")</x:f>
        <x:v>no_contradiction_delta</x:v>
      </x:c>
      <x:c r="AC1466" s="12" t="str">
        <x:f>IF(OR(ISNUMBER(SEARCH("hacker",LOWER(F1466&amp;" "&amp;H1466&amp;" "&amp;I1466&amp;" "&amp;M1466&amp;" "&amp;N1466&amp;" "&amp;T1466))),ISNUMBER(SEARCH("hacking",LOWER(F1466&amp;" "&amp;H1466&amp;" "&amp;I1466&amp;" "&amp;M1466&amp;" "&amp;N1466&amp;" "&amp;T1466))),ISNUMBER(SEARCH("bank",LOWER(F1466&amp;" "&amp;H1466&amp;" "&amp;I1466&amp;" "&amp;M1466&amp;" "&amp;N1466&amp;" "&amp;T1466))),ISNUMBER(SEARCH("banking",LOWER(F1466&amp;" "&amp;H1466&amp;" "&amp;I1466&amp;" "&amp;M1466&amp;" "&amp;N1466&amp;" "&amp;T1466)))),"PRIVATE_QUARANTINE",IF(OR(ISNUMBER(SEARCH("treasury",LOWER(F1466&amp;" "&amp;H1466&amp;" "&amp;I1466&amp;" "&amp;M1466&amp;" "&amp;N1466&amp;" "&amp;T1466))),ISNUMBER(SEARCH("debt",LOWER(F1466&amp;" "&amp;H1466&amp;" "&amp;I1466&amp;" "&amp;M1466&amp;" "&amp;N1466&amp;" "&amp;T1466))),ISNUMBER(SEARCH("bond",LOWER(F1466&amp;" "&amp;H1466&amp;" "&amp;I1466&amp;" "&amp;M1466&amp;" "&amp;N1466&amp;" "&amp;T1466))),ISNUMBER(SEARCH("transaction",LOWER(F1466&amp;" "&amp;H1466&amp;" "&amp;I1466&amp;" "&amp;M1466&amp;" "&amp;N1466&amp;" "&amp;T1466)))),"PRIVATE_REVIEW","PUBLIC_CANDIDATE"))</x:f>
        <x:v>PUBLIC_CANDIDATE</x:v>
      </x:c>
      <x:c r="AD1466" s="12" t="str">
        <x:f>IF(AC1466="PRIVATE_QUARANTINE","hacker_or_bank_trigger",IF(AC1466="PRIVATE_REVIEW","finance_risk_trigger","none"))</x:f>
        <x:v>none</x:v>
      </x:c>
      <x:c r="AE1466" s="12" t="str">
        <x:f>IF(AC1466="PUBLIC_CANDIDATE","prepare_public_github_candidate",IF(AC1466="PRIVATE_REVIEW","hold_for_private_review","quarantine_private_do_not_publish"))</x:f>
        <x:v>prepare_public_github_candidate</x:v>
      </x:c>
      <x:c r="AF1466" s="12" t="str">
        <x:f>IF(AC1466="PUBLIC_CANDIDATE","TIDELOCK + Lucerna",IF(AC1466="PRIVATE_REVIEW","AtlasBrain + Lucerna","TIDELOCK + Lucerna + Human-root"))</x:f>
        <x:v>TIDELOCK + Lucerna</x:v>
      </x:c>
      <x:c r="AG1466" s="12" t="str">
        <x:f>IF(AND(AC1466="PUBLIC_CANDIDATE",U1466&lt;&gt;"BLOCKED_PENDING_RECEIPT"),"READY_AFTER_RECEIPT","NOT_READY")</x:f>
        <x:v>NOT_READY</x:v>
      </x:c>
      <x:c r="AH1466" s="12" t="str">
        <x:f>IF(AC1466="PUBLIC_CANDIDATE","none",AD1466)</x:f>
        <x:v>none</x:v>
      </x:c>
      <x:c r="AI1466" s="12" t="str">
        <x:f>IF(AC1466="PUBLIC_CANDIDATE","archive/public_candidates/"&amp;A1466,"private_quarantine/"&amp;A1466)</x:f>
        <x:v>archive/public_candidates/SWARM-11-H03-S01</x:v>
      </x:c>
      <x:c r="AJ1466" s="12" t="str">
        <x:f>IF(AC1466="PUBLIC_CANDIDATE","public by default; still not canon","private/hold; do not publish")</x:f>
        <x:v>public by default; still not canon</x:v>
      </x:c>
      <x:c r="AK1466" s="12" t="str">
        <x:f>IF(AE1466="prepare_public_github_candidate","add receipt/status then mirror","resolve blocker before any public GitHub action")</x:f>
        <x:v>add receipt/status then mirror</x:v>
      </x:c>
    </x:row>
    <x:row r="1467">
      <x:c r="A1467" s="15" t="str">
        <x:v>SWARM-11-H03-S02</x:v>
      </x:c>
      <x:c r="B1467" s="15" t="str">
        <x:v>ClaudeCatcher</x:v>
      </x:c>
      <x:c r="C1467" s="15" t="str">
        <x:v>Bullshit Olympics referee</x:v>
      </x:c>
      <x:c r="D1467" s="15" t="str">
        <x:v>Raw Export Recovery</x:v>
      </x:c>
      <x:c r="E1467" s="15" t="str">
        <x:v>Drive</x:v>
      </x:c>
      <x:c r="F1467" s="15" t="str">
        <x:v>Recover raw exports for Drive — ClaudeCatcher</x:v>
      </x:c>
      <x:c r="G1467" s="15" t="str">
        <x:v>adversarial claims / model overclaim detection</x:v>
      </x:c>
      <x:c r="H1467" s="15" t="str">
        <x:v>source path + receipt + raw/export status + claim/edge/risk delta</x:v>
      </x:c>
      <x:c r="I1467" s="15" t="str">
        <x:v>packet/SWARM-11-H03-S02</x:v>
      </x:c>
      <x:c r="J1467" s="15" t="str">
        <x:v>TODO</x:v>
      </x:c>
      <x:c r="K1467" s="15" t="str">
        <x:v>P0</x:v>
      </x:c>
      <x:c r="L1467" s="15" t="str">
        <x:v>Done only when evidence is logged, contradiction search is noted, and boundary stamp remains non-canon unless ratified</x:v>
      </x:c>
      <x:c r="M1467" s="15" t="str">
        <x:v>candidate / staging-only / not canon / not deployed / authority none</x:v>
      </x:c>
      <x:c r="N1467" s="15" t="str">
        <x:v>Dispatch to ClaudeCatcher: complete Raw Export Recovery x Drive; return deltas only, receipts required.</x:v>
      </x:c>
      <x:c r="O1467" s="15" t="str">
        <x:v>AF-KG-H03-S02</x:v>
      </x:c>
      <x:c r="P1467" s="15" t="str">
        <x:v>Unverified</x:v>
      </x:c>
      <x:c r="Q1467" s="15" t="str">
        <x:v>Not checked</x:v>
      </x:c>
      <x:c r="R1467" s="15" t="str"/>
      <x:c r="S1467" s="15" t="str"/>
      <x:c r="T1467" s="15" t="str">
        <x:v>Log first source path or blocker</x:v>
      </x:c>
      <x:c r="U1467" s="12" t="str">
        <x:f>IF(OR(P1467="Unverified",Q1467="Not checked"),"BLOCKED_PENDING_RECEIPT","READY_FOR_REVIEW")</x:f>
        <x:v>BLOCKED_PENDING_RECEIPT</x:v>
      </x:c>
      <x:c r="V1467" s="12" t="str">
        <x:f>IF(J1467="DONE","RETURNED",IF(U1467="BLOCKED_PENDING_RECEIPT","SOURCE_TOUCH_REQUIRED","IN_PROGRESS"))</x:f>
        <x:v>SOURCE_TOUCH_REQUIRED</x:v>
      </x:c>
      <x:c r="W1467" s="12" t="str">
        <x:f>IF(P1467="Unverified","missing_receipt","receipt_logged")</x:f>
        <x:v>missing_receipt</x:v>
      </x:c>
      <x:c r="X1467" s="12" t="str">
        <x:f>IF(Q1467="Not checked","raw_status_missing","raw_status_logged")</x:f>
        <x:v>raw_status_missing</x:v>
      </x:c>
      <x:c r="Y1467" s="12" t="str">
        <x:f>IF(U1467="BLOCKED_PENDING_RECEIPT","Log source path or blocker; do not promote","Route to review lane")</x:f>
        <x:v>Log source path or blocker; do not promote</x:v>
      </x:c>
      <x:c r="Z1467" s="12" t="str">
        <x:f>IF(K1467="P0","Primary seat + Hashlight/Lucerna","Seat lane")</x:f>
        <x:v>Primary seat + Hashlight/Lucerna</x:v>
      </x:c>
      <x:c r="AA1467" s="12" t="str">
        <x:f>IF(R1467="","no_claim_delta","claim_delta_present")</x:f>
        <x:v>no_claim_delta</x:v>
      </x:c>
      <x:c r="AB1467" s="12" t="str">
        <x:f>IF(S1467="","no_contradiction_delta","contradiction_delta_present")</x:f>
        <x:v>no_contradiction_delta</x:v>
      </x:c>
      <x:c r="AC1467" s="12" t="str">
        <x:f>IF(OR(ISNUMBER(SEARCH("hacker",LOWER(F1467&amp;" "&amp;H1467&amp;" "&amp;I1467&amp;" "&amp;M1467&amp;" "&amp;N1467&amp;" "&amp;T1467))),ISNUMBER(SEARCH("hacking",LOWER(F1467&amp;" "&amp;H1467&amp;" "&amp;I1467&amp;" "&amp;M1467&amp;" "&amp;N1467&amp;" "&amp;T1467))),ISNUMBER(SEARCH("bank",LOWER(F1467&amp;" "&amp;H1467&amp;" "&amp;I1467&amp;" "&amp;M1467&amp;" "&amp;N1467&amp;" "&amp;T1467))),ISNUMBER(SEARCH("banking",LOWER(F1467&amp;" "&amp;H1467&amp;" "&amp;I1467&amp;" "&amp;M1467&amp;" "&amp;N1467&amp;" "&amp;T1467)))),"PRIVATE_QUARANTINE",IF(OR(ISNUMBER(SEARCH("treasury",LOWER(F1467&amp;" "&amp;H1467&amp;" "&amp;I1467&amp;" "&amp;M1467&amp;" "&amp;N1467&amp;" "&amp;T1467))),ISNUMBER(SEARCH("debt",LOWER(F1467&amp;" "&amp;H1467&amp;" "&amp;I1467&amp;" "&amp;M1467&amp;" "&amp;N1467&amp;" "&amp;T1467))),ISNUMBER(SEARCH("bond",LOWER(F1467&amp;" "&amp;H1467&amp;" "&amp;I1467&amp;" "&amp;M1467&amp;" "&amp;N1467&amp;" "&amp;T1467))),ISNUMBER(SEARCH("transaction",LOWER(F1467&amp;" "&amp;H1467&amp;" "&amp;I1467&amp;" "&amp;M1467&amp;" "&amp;N1467&amp;" "&amp;T1467)))),"PRIVATE_REVIEW","PUBLIC_CANDIDATE"))</x:f>
        <x:v>PUBLIC_CANDIDATE</x:v>
      </x:c>
      <x:c r="AD1467" s="12" t="str">
        <x:f>IF(AC1467="PRIVATE_QUARANTINE","hacker_or_bank_trigger",IF(AC1467="PRIVATE_REVIEW","finance_risk_trigger","none"))</x:f>
        <x:v>none</x:v>
      </x:c>
      <x:c r="AE1467" s="12" t="str">
        <x:f>IF(AC1467="PUBLIC_CANDIDATE","prepare_public_github_candidate",IF(AC1467="PRIVATE_REVIEW","hold_for_private_review","quarantine_private_do_not_publish"))</x:f>
        <x:v>prepare_public_github_candidate</x:v>
      </x:c>
      <x:c r="AF1467" s="12" t="str">
        <x:f>IF(AC1467="PUBLIC_CANDIDATE","TIDELOCK + Lucerna",IF(AC1467="PRIVATE_REVIEW","AtlasBrain + Lucerna","TIDELOCK + Lucerna + Human-root"))</x:f>
        <x:v>TIDELOCK + Lucerna</x:v>
      </x:c>
      <x:c r="AG1467" s="12" t="str">
        <x:f>IF(AND(AC1467="PUBLIC_CANDIDATE",U1467&lt;&gt;"BLOCKED_PENDING_RECEIPT"),"READY_AFTER_RECEIPT","NOT_READY")</x:f>
        <x:v>NOT_READY</x:v>
      </x:c>
      <x:c r="AH1467" s="12" t="str">
        <x:f>IF(AC1467="PUBLIC_CANDIDATE","none",AD1467)</x:f>
        <x:v>none</x:v>
      </x:c>
      <x:c r="AI1467" s="12" t="str">
        <x:f>IF(AC1467="PUBLIC_CANDIDATE","archive/public_candidates/"&amp;A1467,"private_quarantine/"&amp;A1467)</x:f>
        <x:v>archive/public_candidates/SWARM-11-H03-S02</x:v>
      </x:c>
      <x:c r="AJ1467" s="12" t="str">
        <x:f>IF(AC1467="PUBLIC_CANDIDATE","public by default; still not canon","private/hold; do not publish")</x:f>
        <x:v>public by default; still not canon</x:v>
      </x:c>
      <x:c r="AK1467" s="12" t="str">
        <x:f>IF(AE1467="prepare_public_github_candidate","add receipt/status then mirror","resolve blocker before any public GitHub action")</x:f>
        <x:v>add receipt/status then mirror</x:v>
      </x:c>
    </x:row>
    <x:row r="1468">
      <x:c r="A1468" s="15" t="str">
        <x:v>SWARM-11-H03-S03</x:v>
      </x:c>
      <x:c r="B1468" s="15" t="str">
        <x:v>ClaudeCatcher</x:v>
      </x:c>
      <x:c r="C1468" s="15" t="str">
        <x:v>Bullshit Olympics referee</x:v>
      </x:c>
      <x:c r="D1468" s="15" t="str">
        <x:v>Raw Export Recovery</x:v>
      </x:c>
      <x:c r="E1468" s="15" t="str">
        <x:v>GitHub</x:v>
      </x:c>
      <x:c r="F1468" s="15" t="str">
        <x:v>Recover raw exports for GitHub — ClaudeCatcher</x:v>
      </x:c>
      <x:c r="G1468" s="15" t="str">
        <x:v>adversarial claims / model overclaim detection</x:v>
      </x:c>
      <x:c r="H1468" s="15" t="str">
        <x:v>source path + receipt + raw/export status + claim/edge/risk delta</x:v>
      </x:c>
      <x:c r="I1468" s="15" t="str">
        <x:v>packet/SWARM-11-H03-S03</x:v>
      </x:c>
      <x:c r="J1468" s="15" t="str">
        <x:v>TODO</x:v>
      </x:c>
      <x:c r="K1468" s="15" t="str">
        <x:v>P0</x:v>
      </x:c>
      <x:c r="L1468" s="15" t="str">
        <x:v>Done only when evidence is logged, contradiction search is noted, and boundary stamp remains non-canon unless ratified</x:v>
      </x:c>
      <x:c r="M1468" s="15" t="str">
        <x:v>candidate / staging-only / not canon / not deployed / authority none</x:v>
      </x:c>
      <x:c r="N1468" s="15" t="str">
        <x:v>Dispatch to ClaudeCatcher: complete Raw Export Recovery x GitHub; return deltas only, receipts required.</x:v>
      </x:c>
      <x:c r="O1468" s="15" t="str">
        <x:v>AF-KG-H03-S03</x:v>
      </x:c>
      <x:c r="P1468" s="15" t="str">
        <x:v>Unverified</x:v>
      </x:c>
      <x:c r="Q1468" s="15" t="str">
        <x:v>Not checked</x:v>
      </x:c>
      <x:c r="R1468" s="15" t="str"/>
      <x:c r="S1468" s="15" t="str"/>
      <x:c r="T1468" s="15" t="str">
        <x:v>Log first source path or blocker</x:v>
      </x:c>
      <x:c r="U1468" s="12" t="str">
        <x:f>IF(OR(P1468="Unverified",Q1468="Not checked"),"BLOCKED_PENDING_RECEIPT","READY_FOR_REVIEW")</x:f>
        <x:v>BLOCKED_PENDING_RECEIPT</x:v>
      </x:c>
      <x:c r="V1468" s="12" t="str">
        <x:f>IF(J1468="DONE","RETURNED",IF(U1468="BLOCKED_PENDING_RECEIPT","SOURCE_TOUCH_REQUIRED","IN_PROGRESS"))</x:f>
        <x:v>SOURCE_TOUCH_REQUIRED</x:v>
      </x:c>
      <x:c r="W1468" s="12" t="str">
        <x:f>IF(P1468="Unverified","missing_receipt","receipt_logged")</x:f>
        <x:v>missing_receipt</x:v>
      </x:c>
      <x:c r="X1468" s="12" t="str">
        <x:f>IF(Q1468="Not checked","raw_status_missing","raw_status_logged")</x:f>
        <x:v>raw_status_missing</x:v>
      </x:c>
      <x:c r="Y1468" s="12" t="str">
        <x:f>IF(U1468="BLOCKED_PENDING_RECEIPT","Log source path or blocker; do not promote","Route to review lane")</x:f>
        <x:v>Log source path or blocker; do not promote</x:v>
      </x:c>
      <x:c r="Z1468" s="12" t="str">
        <x:f>IF(K1468="P0","Primary seat + Hashlight/Lucerna","Seat lane")</x:f>
        <x:v>Primary seat + Hashlight/Lucerna</x:v>
      </x:c>
      <x:c r="AA1468" s="12" t="str">
        <x:f>IF(R1468="","no_claim_delta","claim_delta_present")</x:f>
        <x:v>no_claim_delta</x:v>
      </x:c>
      <x:c r="AB1468" s="12" t="str">
        <x:f>IF(S1468="","no_contradiction_delta","contradiction_delta_present")</x:f>
        <x:v>no_contradiction_delta</x:v>
      </x:c>
      <x:c r="AC1468" s="12" t="str">
        <x:f>IF(OR(ISNUMBER(SEARCH("hacker",LOWER(F1468&amp;" "&amp;H1468&amp;" "&amp;I1468&amp;" "&amp;M1468&amp;" "&amp;N1468&amp;" "&amp;T1468))),ISNUMBER(SEARCH("hacking",LOWER(F1468&amp;" "&amp;H1468&amp;" "&amp;I1468&amp;" "&amp;M1468&amp;" "&amp;N1468&amp;" "&amp;T1468))),ISNUMBER(SEARCH("bank",LOWER(F1468&amp;" "&amp;H1468&amp;" "&amp;I1468&amp;" "&amp;M1468&amp;" "&amp;N1468&amp;" "&amp;T1468))),ISNUMBER(SEARCH("banking",LOWER(F1468&amp;" "&amp;H1468&amp;" "&amp;I1468&amp;" "&amp;M1468&amp;" "&amp;N1468&amp;" "&amp;T1468)))),"PRIVATE_QUARANTINE",IF(OR(ISNUMBER(SEARCH("treasury",LOWER(F1468&amp;" "&amp;H1468&amp;" "&amp;I1468&amp;" "&amp;M1468&amp;" "&amp;N1468&amp;" "&amp;T1468))),ISNUMBER(SEARCH("debt",LOWER(F1468&amp;" "&amp;H1468&amp;" "&amp;I1468&amp;" "&amp;M1468&amp;" "&amp;N1468&amp;" "&amp;T1468))),ISNUMBER(SEARCH("bond",LOWER(F1468&amp;" "&amp;H1468&amp;" "&amp;I1468&amp;" "&amp;M1468&amp;" "&amp;N1468&amp;" "&amp;T1468))),ISNUMBER(SEARCH("transaction",LOWER(F1468&amp;" "&amp;H1468&amp;" "&amp;I1468&amp;" "&amp;M1468&amp;" "&amp;N1468&amp;" "&amp;T1468)))),"PRIVATE_REVIEW","PUBLIC_CANDIDATE"))</x:f>
        <x:v>PUBLIC_CANDIDATE</x:v>
      </x:c>
      <x:c r="AD1468" s="12" t="str">
        <x:f>IF(AC1468="PRIVATE_QUARANTINE","hacker_or_bank_trigger",IF(AC1468="PRIVATE_REVIEW","finance_risk_trigger","none"))</x:f>
        <x:v>none</x:v>
      </x:c>
      <x:c r="AE1468" s="12" t="str">
        <x:f>IF(AC1468="PUBLIC_CANDIDATE","prepare_public_github_candidate",IF(AC1468="PRIVATE_REVIEW","hold_for_private_review","quarantine_private_do_not_publish"))</x:f>
        <x:v>prepare_public_github_candidate</x:v>
      </x:c>
      <x:c r="AF1468" s="12" t="str">
        <x:f>IF(AC1468="PUBLIC_CANDIDATE","TIDELOCK + Lucerna",IF(AC1468="PRIVATE_REVIEW","AtlasBrain + Lucerna","TIDELOCK + Lucerna + Human-root"))</x:f>
        <x:v>TIDELOCK + Lucerna</x:v>
      </x:c>
      <x:c r="AG1468" s="12" t="str">
        <x:f>IF(AND(AC1468="PUBLIC_CANDIDATE",U1468&lt;&gt;"BLOCKED_PENDING_RECEIPT"),"READY_AFTER_RECEIPT","NOT_READY")</x:f>
        <x:v>NOT_READY</x:v>
      </x:c>
      <x:c r="AH1468" s="12" t="str">
        <x:f>IF(AC1468="PUBLIC_CANDIDATE","none",AD1468)</x:f>
        <x:v>none</x:v>
      </x:c>
      <x:c r="AI1468" s="12" t="str">
        <x:f>IF(AC1468="PUBLIC_CANDIDATE","archive/public_candidates/"&amp;A1468,"private_quarantine/"&amp;A1468)</x:f>
        <x:v>archive/public_candidates/SWARM-11-H03-S03</x:v>
      </x:c>
      <x:c r="AJ1468" s="12" t="str">
        <x:f>IF(AC1468="PUBLIC_CANDIDATE","public by default; still not canon","private/hold; do not publish")</x:f>
        <x:v>public by default; still not canon</x:v>
      </x:c>
      <x:c r="AK1468" s="12" t="str">
        <x:f>IF(AE1468="prepare_public_github_candidate","add receipt/status then mirror","resolve blocker before any public GitHub action")</x:f>
        <x:v>add receipt/status then mirror</x:v>
      </x:c>
    </x:row>
    <x:row r="1469">
      <x:c r="A1469" s="15" t="str">
        <x:v>SWARM-11-H03-S04</x:v>
      </x:c>
      <x:c r="B1469" s="15" t="str">
        <x:v>ClaudeCatcher</x:v>
      </x:c>
      <x:c r="C1469" s="15" t="str">
        <x:v>Bullshit Olympics referee</x:v>
      </x:c>
      <x:c r="D1469" s="15" t="str">
        <x:v>Raw Export Recovery</x:v>
      </x:c>
      <x:c r="E1469" s="15" t="str">
        <x:v>Gamma</x:v>
      </x:c>
      <x:c r="F1469" s="15" t="str">
        <x:v>Recover raw exports for Gamma — ClaudeCatcher</x:v>
      </x:c>
      <x:c r="G1469" s="15" t="str">
        <x:v>adversarial claims / model overclaim detection</x:v>
      </x:c>
      <x:c r="H1469" s="15" t="str">
        <x:v>source path + receipt + raw/export status + claim/edge/risk delta</x:v>
      </x:c>
      <x:c r="I1469" s="15" t="str">
        <x:v>packet/SWARM-11-H03-S04</x:v>
      </x:c>
      <x:c r="J1469" s="15" t="str">
        <x:v>TODO</x:v>
      </x:c>
      <x:c r="K1469" s="15" t="str">
        <x:v>P1</x:v>
      </x:c>
      <x:c r="L1469" s="15" t="str">
        <x:v>Done only when evidence is logged, contradiction search is noted, and boundary stamp remains non-canon unless ratified</x:v>
      </x:c>
      <x:c r="M1469" s="15" t="str">
        <x:v>candidate / staging-only / not canon / not deployed / authority none</x:v>
      </x:c>
      <x:c r="N1469" s="15" t="str">
        <x:v>Dispatch to ClaudeCatcher: complete Raw Export Recovery x Gamma; return deltas only, receipts required.</x:v>
      </x:c>
      <x:c r="O1469" s="15" t="str">
        <x:v>AF-KG-H03-S04</x:v>
      </x:c>
      <x:c r="P1469" s="15" t="str">
        <x:v>Unverified</x:v>
      </x:c>
      <x:c r="Q1469" s="15" t="str">
        <x:v>Not checked</x:v>
      </x:c>
      <x:c r="R1469" s="15" t="str"/>
      <x:c r="S1469" s="15" t="str"/>
      <x:c r="T1469" s="15" t="str">
        <x:v>Log first source path or blocker</x:v>
      </x:c>
      <x:c r="U1469" s="12" t="str">
        <x:f>IF(OR(P1469="Unverified",Q1469="Not checked"),"BLOCKED_PENDING_RECEIPT","READY_FOR_REVIEW")</x:f>
        <x:v>BLOCKED_PENDING_RECEIPT</x:v>
      </x:c>
      <x:c r="V1469" s="12" t="str">
        <x:f>IF(J1469="DONE","RETURNED",IF(U1469="BLOCKED_PENDING_RECEIPT","SOURCE_TOUCH_REQUIRED","IN_PROGRESS"))</x:f>
        <x:v>SOURCE_TOUCH_REQUIRED</x:v>
      </x:c>
      <x:c r="W1469" s="12" t="str">
        <x:f>IF(P1469="Unverified","missing_receipt","receipt_logged")</x:f>
        <x:v>missing_receipt</x:v>
      </x:c>
      <x:c r="X1469" s="12" t="str">
        <x:f>IF(Q1469="Not checked","raw_status_missing","raw_status_logged")</x:f>
        <x:v>raw_status_missing</x:v>
      </x:c>
      <x:c r="Y1469" s="12" t="str">
        <x:f>IF(U1469="BLOCKED_PENDING_RECEIPT","Log source path or blocker; do not promote","Route to review lane")</x:f>
        <x:v>Log source path or blocker; do not promote</x:v>
      </x:c>
      <x:c r="Z1469" s="12" t="str">
        <x:f>IF(K1469="P0","Primary seat + Hashlight/Lucerna","Seat lane")</x:f>
        <x:v>Seat lane</x:v>
      </x:c>
      <x:c r="AA1469" s="12" t="str">
        <x:f>IF(R1469="","no_claim_delta","claim_delta_present")</x:f>
        <x:v>no_claim_delta</x:v>
      </x:c>
      <x:c r="AB1469" s="12" t="str">
        <x:f>IF(S1469="","no_contradiction_delta","contradiction_delta_present")</x:f>
        <x:v>no_contradiction_delta</x:v>
      </x:c>
      <x:c r="AC1469" s="12" t="str">
        <x:f>IF(OR(ISNUMBER(SEARCH("hacker",LOWER(F1469&amp;" "&amp;H1469&amp;" "&amp;I1469&amp;" "&amp;M1469&amp;" "&amp;N1469&amp;" "&amp;T1469))),ISNUMBER(SEARCH("hacking",LOWER(F1469&amp;" "&amp;H1469&amp;" "&amp;I1469&amp;" "&amp;M1469&amp;" "&amp;N1469&amp;" "&amp;T1469))),ISNUMBER(SEARCH("bank",LOWER(F1469&amp;" "&amp;H1469&amp;" "&amp;I1469&amp;" "&amp;M1469&amp;" "&amp;N1469&amp;" "&amp;T1469))),ISNUMBER(SEARCH("banking",LOWER(F1469&amp;" "&amp;H1469&amp;" "&amp;I1469&amp;" "&amp;M1469&amp;" "&amp;N1469&amp;" "&amp;T1469)))),"PRIVATE_QUARANTINE",IF(OR(ISNUMBER(SEARCH("treasury",LOWER(F1469&amp;" "&amp;H1469&amp;" "&amp;I1469&amp;" "&amp;M1469&amp;" "&amp;N1469&amp;" "&amp;T1469))),ISNUMBER(SEARCH("debt",LOWER(F1469&amp;" "&amp;H1469&amp;" "&amp;I1469&amp;" "&amp;M1469&amp;" "&amp;N1469&amp;" "&amp;T1469))),ISNUMBER(SEARCH("bond",LOWER(F1469&amp;" "&amp;H1469&amp;" "&amp;I1469&amp;" "&amp;M1469&amp;" "&amp;N1469&amp;" "&amp;T1469))),ISNUMBER(SEARCH("transaction",LOWER(F1469&amp;" "&amp;H1469&amp;" "&amp;I1469&amp;" "&amp;M1469&amp;" "&amp;N1469&amp;" "&amp;T1469)))),"PRIVATE_REVIEW","PUBLIC_CANDIDATE"))</x:f>
        <x:v>PUBLIC_CANDIDATE</x:v>
      </x:c>
      <x:c r="AD1469" s="12" t="str">
        <x:f>IF(AC1469="PRIVATE_QUARANTINE","hacker_or_bank_trigger",IF(AC1469="PRIVATE_REVIEW","finance_risk_trigger","none"))</x:f>
        <x:v>none</x:v>
      </x:c>
      <x:c r="AE1469" s="12" t="str">
        <x:f>IF(AC1469="PUBLIC_CANDIDATE","prepare_public_github_candidate",IF(AC1469="PRIVATE_REVIEW","hold_for_private_review","quarantine_private_do_not_publish"))</x:f>
        <x:v>prepare_public_github_candidate</x:v>
      </x:c>
      <x:c r="AF1469" s="12" t="str">
        <x:f>IF(AC1469="PUBLIC_CANDIDATE","TIDELOCK + Lucerna",IF(AC1469="PRIVATE_REVIEW","AtlasBrain + Lucerna","TIDELOCK + Lucerna + Human-root"))</x:f>
        <x:v>TIDELOCK + Lucerna</x:v>
      </x:c>
      <x:c r="AG1469" s="12" t="str">
        <x:f>IF(AND(AC1469="PUBLIC_CANDIDATE",U1469&lt;&gt;"BLOCKED_PENDING_RECEIPT"),"READY_AFTER_RECEIPT","NOT_READY")</x:f>
        <x:v>NOT_READY</x:v>
      </x:c>
      <x:c r="AH1469" s="12" t="str">
        <x:f>IF(AC1469="PUBLIC_CANDIDATE","none",AD1469)</x:f>
        <x:v>none</x:v>
      </x:c>
      <x:c r="AI1469" s="12" t="str">
        <x:f>IF(AC1469="PUBLIC_CANDIDATE","archive/public_candidates/"&amp;A1469,"private_quarantine/"&amp;A1469)</x:f>
        <x:v>archive/public_candidates/SWARM-11-H03-S04</x:v>
      </x:c>
      <x:c r="AJ1469" s="12" t="str">
        <x:f>IF(AC1469="PUBLIC_CANDIDATE","public by default; still not canon","private/hold; do not publish")</x:f>
        <x:v>public by default; still not canon</x:v>
      </x:c>
      <x:c r="AK1469" s="12" t="str">
        <x:f>IF(AE1469="prepare_public_github_candidate","add receipt/status then mirror","resolve blocker before any public GitHub action")</x:f>
        <x:v>add receipt/status then mirror</x:v>
      </x:c>
    </x:row>
    <x:row r="1470">
      <x:c r="A1470" s="15" t="str">
        <x:v>SWARM-11-H03-S05</x:v>
      </x:c>
      <x:c r="B1470" s="15" t="str">
        <x:v>ClaudeCatcher</x:v>
      </x:c>
      <x:c r="C1470" s="15" t="str">
        <x:v>Bullshit Olympics referee</x:v>
      </x:c>
      <x:c r="D1470" s="15" t="str">
        <x:v>Raw Export Recovery</x:v>
      </x:c>
      <x:c r="E1470" s="15" t="str">
        <x:v>Chat</x:v>
      </x:c>
      <x:c r="F1470" s="15" t="str">
        <x:v>Recover raw exports for Chat — ClaudeCatcher</x:v>
      </x:c>
      <x:c r="G1470" s="15" t="str">
        <x:v>adversarial claims / model overclaim detection</x:v>
      </x:c>
      <x:c r="H1470" s="15" t="str">
        <x:v>source path + receipt + raw/export status + claim/edge/risk delta</x:v>
      </x:c>
      <x:c r="I1470" s="15" t="str">
        <x:v>packet/SWARM-11-H03-S05</x:v>
      </x:c>
      <x:c r="J1470" s="15" t="str">
        <x:v>TODO</x:v>
      </x:c>
      <x:c r="K1470" s="15" t="str">
        <x:v>P1</x:v>
      </x:c>
      <x:c r="L1470" s="15" t="str">
        <x:v>Done only when evidence is logged, contradiction search is noted, and boundary stamp remains non-canon unless ratified</x:v>
      </x:c>
      <x:c r="M1470" s="15" t="str">
        <x:v>candidate / staging-only / not canon / not deployed / authority none</x:v>
      </x:c>
      <x:c r="N1470" s="15" t="str">
        <x:v>Dispatch to ClaudeCatcher: complete Raw Export Recovery x Chat; return deltas only, receipts required.</x:v>
      </x:c>
      <x:c r="O1470" s="15" t="str">
        <x:v>AF-KG-H03-S05</x:v>
      </x:c>
      <x:c r="P1470" s="15" t="str">
        <x:v>Unverified</x:v>
      </x:c>
      <x:c r="Q1470" s="15" t="str">
        <x:v>Not checked</x:v>
      </x:c>
      <x:c r="R1470" s="15" t="str"/>
      <x:c r="S1470" s="15" t="str"/>
      <x:c r="T1470" s="15" t="str">
        <x:v>Log first source path or blocker</x:v>
      </x:c>
      <x:c r="U1470" s="12" t="str">
        <x:f>IF(OR(P1470="Unverified",Q1470="Not checked"),"BLOCKED_PENDING_RECEIPT","READY_FOR_REVIEW")</x:f>
        <x:v>BLOCKED_PENDING_RECEIPT</x:v>
      </x:c>
      <x:c r="V1470" s="12" t="str">
        <x:f>IF(J1470="DONE","RETURNED",IF(U1470="BLOCKED_PENDING_RECEIPT","SOURCE_TOUCH_REQUIRED","IN_PROGRESS"))</x:f>
        <x:v>SOURCE_TOUCH_REQUIRED</x:v>
      </x:c>
      <x:c r="W1470" s="12" t="str">
        <x:f>IF(P1470="Unverified","missing_receipt","receipt_logged")</x:f>
        <x:v>missing_receipt</x:v>
      </x:c>
      <x:c r="X1470" s="12" t="str">
        <x:f>IF(Q1470="Not checked","raw_status_missing","raw_status_logged")</x:f>
        <x:v>raw_status_missing</x:v>
      </x:c>
      <x:c r="Y1470" s="12" t="str">
        <x:f>IF(U1470="BLOCKED_PENDING_RECEIPT","Log source path or blocker; do not promote","Route to review lane")</x:f>
        <x:v>Log source path or blocker; do not promote</x:v>
      </x:c>
      <x:c r="Z1470" s="12" t="str">
        <x:f>IF(K1470="P0","Primary seat + Hashlight/Lucerna","Seat lane")</x:f>
        <x:v>Seat lane</x:v>
      </x:c>
      <x:c r="AA1470" s="12" t="str">
        <x:f>IF(R1470="","no_claim_delta","claim_delta_present")</x:f>
        <x:v>no_claim_delta</x:v>
      </x:c>
      <x:c r="AB1470" s="12" t="str">
        <x:f>IF(S1470="","no_contradiction_delta","contradiction_delta_present")</x:f>
        <x:v>no_contradiction_delta</x:v>
      </x:c>
      <x:c r="AC1470" s="12" t="str">
        <x:f>IF(OR(ISNUMBER(SEARCH("hacker",LOWER(F1470&amp;" "&amp;H1470&amp;" "&amp;I1470&amp;" "&amp;M1470&amp;" "&amp;N1470&amp;" "&amp;T1470))),ISNUMBER(SEARCH("hacking",LOWER(F1470&amp;" "&amp;H1470&amp;" "&amp;I1470&amp;" "&amp;M1470&amp;" "&amp;N1470&amp;" "&amp;T1470))),ISNUMBER(SEARCH("bank",LOWER(F1470&amp;" "&amp;H1470&amp;" "&amp;I1470&amp;" "&amp;M1470&amp;" "&amp;N1470&amp;" "&amp;T1470))),ISNUMBER(SEARCH("banking",LOWER(F1470&amp;" "&amp;H1470&amp;" "&amp;I1470&amp;" "&amp;M1470&amp;" "&amp;N1470&amp;" "&amp;T1470)))),"PRIVATE_QUARANTINE",IF(OR(ISNUMBER(SEARCH("treasury",LOWER(F1470&amp;" "&amp;H1470&amp;" "&amp;I1470&amp;" "&amp;M1470&amp;" "&amp;N1470&amp;" "&amp;T1470))),ISNUMBER(SEARCH("debt",LOWER(F1470&amp;" "&amp;H1470&amp;" "&amp;I1470&amp;" "&amp;M1470&amp;" "&amp;N1470&amp;" "&amp;T1470))),ISNUMBER(SEARCH("bond",LOWER(F1470&amp;" "&amp;H1470&amp;" "&amp;I1470&amp;" "&amp;M1470&amp;" "&amp;N1470&amp;" "&amp;T1470))),ISNUMBER(SEARCH("transaction",LOWER(F1470&amp;" "&amp;H1470&amp;" "&amp;I1470&amp;" "&amp;M1470&amp;" "&amp;N1470&amp;" "&amp;T1470)))),"PRIVATE_REVIEW","PUBLIC_CANDIDATE"))</x:f>
        <x:v>PUBLIC_CANDIDATE</x:v>
      </x:c>
      <x:c r="AD1470" s="12" t="str">
        <x:f>IF(AC1470="PRIVATE_QUARANTINE","hacker_or_bank_trigger",IF(AC1470="PRIVATE_REVIEW","finance_risk_trigger","none"))</x:f>
        <x:v>none</x:v>
      </x:c>
      <x:c r="AE1470" s="12" t="str">
        <x:f>IF(AC1470="PUBLIC_CANDIDATE","prepare_public_github_candidate",IF(AC1470="PRIVATE_REVIEW","hold_for_private_review","quarantine_private_do_not_publish"))</x:f>
        <x:v>prepare_public_github_candidate</x:v>
      </x:c>
      <x:c r="AF1470" s="12" t="str">
        <x:f>IF(AC1470="PUBLIC_CANDIDATE","TIDELOCK + Lucerna",IF(AC1470="PRIVATE_REVIEW","AtlasBrain + Lucerna","TIDELOCK + Lucerna + Human-root"))</x:f>
        <x:v>TIDELOCK + Lucerna</x:v>
      </x:c>
      <x:c r="AG1470" s="12" t="str">
        <x:f>IF(AND(AC1470="PUBLIC_CANDIDATE",U1470&lt;&gt;"BLOCKED_PENDING_RECEIPT"),"READY_AFTER_RECEIPT","NOT_READY")</x:f>
        <x:v>NOT_READY</x:v>
      </x:c>
      <x:c r="AH1470" s="12" t="str">
        <x:f>IF(AC1470="PUBLIC_CANDIDATE","none",AD1470)</x:f>
        <x:v>none</x:v>
      </x:c>
      <x:c r="AI1470" s="12" t="str">
        <x:f>IF(AC1470="PUBLIC_CANDIDATE","archive/public_candidates/"&amp;A1470,"private_quarantine/"&amp;A1470)</x:f>
        <x:v>archive/public_candidates/SWARM-11-H03-S05</x:v>
      </x:c>
      <x:c r="AJ1470" s="12" t="str">
        <x:f>IF(AC1470="PUBLIC_CANDIDATE","public by default; still not canon","private/hold; do not publish")</x:f>
        <x:v>public by default; still not canon</x:v>
      </x:c>
      <x:c r="AK1470" s="12" t="str">
        <x:f>IF(AE1470="prepare_public_github_candidate","add receipt/status then mirror","resolve blocker before any public GitHub action")</x:f>
        <x:v>add receipt/status then mirror</x:v>
      </x:c>
    </x:row>
    <x:row r="1471">
      <x:c r="A1471" s="15" t="str">
        <x:v>SWARM-11-H03-S06</x:v>
      </x:c>
      <x:c r="B1471" s="15" t="str">
        <x:v>ClaudeCatcher</x:v>
      </x:c>
      <x:c r="C1471" s="15" t="str">
        <x:v>Bullshit Olympics referee</x:v>
      </x:c>
      <x:c r="D1471" s="15" t="str">
        <x:v>Raw Export Recovery</x:v>
      </x:c>
      <x:c r="E1471" s="15" t="str">
        <x:v>External Web</x:v>
      </x:c>
      <x:c r="F1471" s="15" t="str">
        <x:v>Recover raw exports for External Web — ClaudeCatcher</x:v>
      </x:c>
      <x:c r="G1471" s="15" t="str">
        <x:v>adversarial claims / model overclaim detection</x:v>
      </x:c>
      <x:c r="H1471" s="15" t="str">
        <x:v>source path + receipt + raw/export status + claim/edge/risk delta</x:v>
      </x:c>
      <x:c r="I1471" s="15" t="str">
        <x:v>packet/SWARM-11-H03-S06</x:v>
      </x:c>
      <x:c r="J1471" s="15" t="str">
        <x:v>TODO</x:v>
      </x:c>
      <x:c r="K1471" s="15" t="str">
        <x:v>P1</x:v>
      </x:c>
      <x:c r="L1471" s="15" t="str">
        <x:v>Done only when evidence is logged, contradiction search is noted, and boundary stamp remains non-canon unless ratified</x:v>
      </x:c>
      <x:c r="M1471" s="15" t="str">
        <x:v>candidate / staging-only / not canon / not deployed / authority none</x:v>
      </x:c>
      <x:c r="N1471" s="15" t="str">
        <x:v>Dispatch to ClaudeCatcher: complete Raw Export Recovery x External Web; return deltas only, receipts required.</x:v>
      </x:c>
      <x:c r="O1471" s="15" t="str">
        <x:v>AF-KG-H03-S06</x:v>
      </x:c>
      <x:c r="P1471" s="15" t="str">
        <x:v>Unverified</x:v>
      </x:c>
      <x:c r="Q1471" s="15" t="str">
        <x:v>Not checked</x:v>
      </x:c>
      <x:c r="R1471" s="15" t="str"/>
      <x:c r="S1471" s="15" t="str"/>
      <x:c r="T1471" s="15" t="str">
        <x:v>Log first source path or blocker</x:v>
      </x:c>
      <x:c r="U1471" s="12" t="str">
        <x:f>IF(OR(P1471="Unverified",Q1471="Not checked"),"BLOCKED_PENDING_RECEIPT","READY_FOR_REVIEW")</x:f>
        <x:v>BLOCKED_PENDING_RECEIPT</x:v>
      </x:c>
      <x:c r="V1471" s="12" t="str">
        <x:f>IF(J1471="DONE","RETURNED",IF(U1471="BLOCKED_PENDING_RECEIPT","SOURCE_TOUCH_REQUIRED","IN_PROGRESS"))</x:f>
        <x:v>SOURCE_TOUCH_REQUIRED</x:v>
      </x:c>
      <x:c r="W1471" s="12" t="str">
        <x:f>IF(P1471="Unverified","missing_receipt","receipt_logged")</x:f>
        <x:v>missing_receipt</x:v>
      </x:c>
      <x:c r="X1471" s="12" t="str">
        <x:f>IF(Q1471="Not checked","raw_status_missing","raw_status_logged")</x:f>
        <x:v>raw_status_missing</x:v>
      </x:c>
      <x:c r="Y1471" s="12" t="str">
        <x:f>IF(U1471="BLOCKED_PENDING_RECEIPT","Log source path or blocker; do not promote","Route to review lane")</x:f>
        <x:v>Log source path or blocker; do not promote</x:v>
      </x:c>
      <x:c r="Z1471" s="12" t="str">
        <x:f>IF(K1471="P0","Primary seat + Hashlight/Lucerna","Seat lane")</x:f>
        <x:v>Seat lane</x:v>
      </x:c>
      <x:c r="AA1471" s="12" t="str">
        <x:f>IF(R1471="","no_claim_delta","claim_delta_present")</x:f>
        <x:v>no_claim_delta</x:v>
      </x:c>
      <x:c r="AB1471" s="12" t="str">
        <x:f>IF(S1471="","no_contradiction_delta","contradiction_delta_present")</x:f>
        <x:v>no_contradiction_delta</x:v>
      </x:c>
      <x:c r="AC1471" s="12" t="str">
        <x:f>IF(OR(ISNUMBER(SEARCH("hacker",LOWER(F1471&amp;" "&amp;H1471&amp;" "&amp;I1471&amp;" "&amp;M1471&amp;" "&amp;N1471&amp;" "&amp;T1471))),ISNUMBER(SEARCH("hacking",LOWER(F1471&amp;" "&amp;H1471&amp;" "&amp;I1471&amp;" "&amp;M1471&amp;" "&amp;N1471&amp;" "&amp;T1471))),ISNUMBER(SEARCH("bank",LOWER(F1471&amp;" "&amp;H1471&amp;" "&amp;I1471&amp;" "&amp;M1471&amp;" "&amp;N1471&amp;" "&amp;T1471))),ISNUMBER(SEARCH("banking",LOWER(F1471&amp;" "&amp;H1471&amp;" "&amp;I1471&amp;" "&amp;M1471&amp;" "&amp;N1471&amp;" "&amp;T1471)))),"PRIVATE_QUARANTINE",IF(OR(ISNUMBER(SEARCH("treasury",LOWER(F1471&amp;" "&amp;H1471&amp;" "&amp;I1471&amp;" "&amp;M1471&amp;" "&amp;N1471&amp;" "&amp;T1471))),ISNUMBER(SEARCH("debt",LOWER(F1471&amp;" "&amp;H1471&amp;" "&amp;I1471&amp;" "&amp;M1471&amp;" "&amp;N1471&amp;" "&amp;T1471))),ISNUMBER(SEARCH("bond",LOWER(F1471&amp;" "&amp;H1471&amp;" "&amp;I1471&amp;" "&amp;M1471&amp;" "&amp;N1471&amp;" "&amp;T1471))),ISNUMBER(SEARCH("transaction",LOWER(F1471&amp;" "&amp;H1471&amp;" "&amp;I1471&amp;" "&amp;M1471&amp;" "&amp;N1471&amp;" "&amp;T1471)))),"PRIVATE_REVIEW","PUBLIC_CANDIDATE"))</x:f>
        <x:v>PUBLIC_CANDIDATE</x:v>
      </x:c>
      <x:c r="AD1471" s="12" t="str">
        <x:f>IF(AC1471="PRIVATE_QUARANTINE","hacker_or_bank_trigger",IF(AC1471="PRIVATE_REVIEW","finance_risk_trigger","none"))</x:f>
        <x:v>none</x:v>
      </x:c>
      <x:c r="AE1471" s="12" t="str">
        <x:f>IF(AC1471="PUBLIC_CANDIDATE","prepare_public_github_candidate",IF(AC1471="PRIVATE_REVIEW","hold_for_private_review","quarantine_private_do_not_publish"))</x:f>
        <x:v>prepare_public_github_candidate</x:v>
      </x:c>
      <x:c r="AF1471" s="12" t="str">
        <x:f>IF(AC1471="PUBLIC_CANDIDATE","TIDELOCK + Lucerna",IF(AC1471="PRIVATE_REVIEW","AtlasBrain + Lucerna","TIDELOCK + Lucerna + Human-root"))</x:f>
        <x:v>TIDELOCK + Lucerna</x:v>
      </x:c>
      <x:c r="AG1471" s="12" t="str">
        <x:f>IF(AND(AC1471="PUBLIC_CANDIDATE",U1471&lt;&gt;"BLOCKED_PENDING_RECEIPT"),"READY_AFTER_RECEIPT","NOT_READY")</x:f>
        <x:v>NOT_READY</x:v>
      </x:c>
      <x:c r="AH1471" s="12" t="str">
        <x:f>IF(AC1471="PUBLIC_CANDIDATE","none",AD1471)</x:f>
        <x:v>none</x:v>
      </x:c>
      <x:c r="AI1471" s="12" t="str">
        <x:f>IF(AC1471="PUBLIC_CANDIDATE","archive/public_candidates/"&amp;A1471,"private_quarantine/"&amp;A1471)</x:f>
        <x:v>archive/public_candidates/SWARM-11-H03-S06</x:v>
      </x:c>
      <x:c r="AJ1471" s="12" t="str">
        <x:f>IF(AC1471="PUBLIC_CANDIDATE","public by default; still not canon","private/hold; do not publish")</x:f>
        <x:v>public by default; still not canon</x:v>
      </x:c>
      <x:c r="AK1471" s="12" t="str">
        <x:f>IF(AE1471="prepare_public_github_candidate","add receipt/status then mirror","resolve blocker before any public GitHub action")</x:f>
        <x:v>add receipt/status then mirror</x:v>
      </x:c>
    </x:row>
    <x:row r="1472">
      <x:c r="A1472" s="15" t="str">
        <x:v>SWARM-11-H03-S07</x:v>
      </x:c>
      <x:c r="B1472" s="15" t="str">
        <x:v>ClaudeCatcher</x:v>
      </x:c>
      <x:c r="C1472" s="15" t="str">
        <x:v>Bullshit Olympics referee</x:v>
      </x:c>
      <x:c r="D1472" s="15" t="str">
        <x:v>Raw Export Recovery</x:v>
      </x:c>
      <x:c r="E1472" s="15" t="str">
        <x:v>Planetarium</x:v>
      </x:c>
      <x:c r="F1472" s="15" t="str">
        <x:v>Recover raw exports for Planetarium — ClaudeCatcher</x:v>
      </x:c>
      <x:c r="G1472" s="15" t="str">
        <x:v>adversarial claims / model overclaim detection</x:v>
      </x:c>
      <x:c r="H1472" s="15" t="str">
        <x:v>source path + receipt + raw/export status + claim/edge/risk delta</x:v>
      </x:c>
      <x:c r="I1472" s="15" t="str">
        <x:v>packet/SWARM-11-H03-S07</x:v>
      </x:c>
      <x:c r="J1472" s="15" t="str">
        <x:v>TODO</x:v>
      </x:c>
      <x:c r="K1472" s="15" t="str">
        <x:v>P1</x:v>
      </x:c>
      <x:c r="L1472" s="15" t="str">
        <x:v>Done only when evidence is logged, contradiction search is noted, and boundary stamp remains non-canon unless ratified</x:v>
      </x:c>
      <x:c r="M1472" s="15" t="str">
        <x:v>candidate / staging-only / not canon / not deployed / authority none</x:v>
      </x:c>
      <x:c r="N1472" s="15" t="str">
        <x:v>Dispatch to ClaudeCatcher: complete Raw Export Recovery x Planetarium; return deltas only, receipts required.</x:v>
      </x:c>
      <x:c r="O1472" s="15" t="str">
        <x:v>AF-KG-H03-S07</x:v>
      </x:c>
      <x:c r="P1472" s="15" t="str">
        <x:v>Unverified</x:v>
      </x:c>
      <x:c r="Q1472" s="15" t="str">
        <x:v>Not checked</x:v>
      </x:c>
      <x:c r="R1472" s="15" t="str"/>
      <x:c r="S1472" s="15" t="str"/>
      <x:c r="T1472" s="15" t="str">
        <x:v>Log first source path or blocker</x:v>
      </x:c>
      <x:c r="U1472" s="12" t="str">
        <x:f>IF(OR(P1472="Unverified",Q1472="Not checked"),"BLOCKED_PENDING_RECEIPT","READY_FOR_REVIEW")</x:f>
        <x:v>BLOCKED_PENDING_RECEIPT</x:v>
      </x:c>
      <x:c r="V1472" s="12" t="str">
        <x:f>IF(J1472="DONE","RETURNED",IF(U1472="BLOCKED_PENDING_RECEIPT","SOURCE_TOUCH_REQUIRED","IN_PROGRESS"))</x:f>
        <x:v>SOURCE_TOUCH_REQUIRED</x:v>
      </x:c>
      <x:c r="W1472" s="12" t="str">
        <x:f>IF(P1472="Unverified","missing_receipt","receipt_logged")</x:f>
        <x:v>missing_receipt</x:v>
      </x:c>
      <x:c r="X1472" s="12" t="str">
        <x:f>IF(Q1472="Not checked","raw_status_missing","raw_status_logged")</x:f>
        <x:v>raw_status_missing</x:v>
      </x:c>
      <x:c r="Y1472" s="12" t="str">
        <x:f>IF(U1472="BLOCKED_PENDING_RECEIPT","Log source path or blocker; do not promote","Route to review lane")</x:f>
        <x:v>Log source path or blocker; do not promote</x:v>
      </x:c>
      <x:c r="Z1472" s="12" t="str">
        <x:f>IF(K1472="P0","Primary seat + Hashlight/Lucerna","Seat lane")</x:f>
        <x:v>Seat lane</x:v>
      </x:c>
      <x:c r="AA1472" s="12" t="str">
        <x:f>IF(R1472="","no_claim_delta","claim_delta_present")</x:f>
        <x:v>no_claim_delta</x:v>
      </x:c>
      <x:c r="AB1472" s="12" t="str">
        <x:f>IF(S1472="","no_contradiction_delta","contradiction_delta_present")</x:f>
        <x:v>no_contradiction_delta</x:v>
      </x:c>
      <x:c r="AC1472" s="12" t="str">
        <x:f>IF(OR(ISNUMBER(SEARCH("hacker",LOWER(F1472&amp;" "&amp;H1472&amp;" "&amp;I1472&amp;" "&amp;M1472&amp;" "&amp;N1472&amp;" "&amp;T1472))),ISNUMBER(SEARCH("hacking",LOWER(F1472&amp;" "&amp;H1472&amp;" "&amp;I1472&amp;" "&amp;M1472&amp;" "&amp;N1472&amp;" "&amp;T1472))),ISNUMBER(SEARCH("bank",LOWER(F1472&amp;" "&amp;H1472&amp;" "&amp;I1472&amp;" "&amp;M1472&amp;" "&amp;N1472&amp;" "&amp;T1472))),ISNUMBER(SEARCH("banking",LOWER(F1472&amp;" "&amp;H1472&amp;" "&amp;I1472&amp;" "&amp;M1472&amp;" "&amp;N1472&amp;" "&amp;T1472)))),"PRIVATE_QUARANTINE",IF(OR(ISNUMBER(SEARCH("treasury",LOWER(F1472&amp;" "&amp;H1472&amp;" "&amp;I1472&amp;" "&amp;M1472&amp;" "&amp;N1472&amp;" "&amp;T1472))),ISNUMBER(SEARCH("debt",LOWER(F1472&amp;" "&amp;H1472&amp;" "&amp;I1472&amp;" "&amp;M1472&amp;" "&amp;N1472&amp;" "&amp;T1472))),ISNUMBER(SEARCH("bond",LOWER(F1472&amp;" "&amp;H1472&amp;" "&amp;I1472&amp;" "&amp;M1472&amp;" "&amp;N1472&amp;" "&amp;T1472))),ISNUMBER(SEARCH("transaction",LOWER(F1472&amp;" "&amp;H1472&amp;" "&amp;I1472&amp;" "&amp;M1472&amp;" "&amp;N1472&amp;" "&amp;T1472)))),"PRIVATE_REVIEW","PUBLIC_CANDIDATE"))</x:f>
        <x:v>PUBLIC_CANDIDATE</x:v>
      </x:c>
      <x:c r="AD1472" s="12" t="str">
        <x:f>IF(AC1472="PRIVATE_QUARANTINE","hacker_or_bank_trigger",IF(AC1472="PRIVATE_REVIEW","finance_risk_trigger","none"))</x:f>
        <x:v>none</x:v>
      </x:c>
      <x:c r="AE1472" s="12" t="str">
        <x:f>IF(AC1472="PUBLIC_CANDIDATE","prepare_public_github_candidate",IF(AC1472="PRIVATE_REVIEW","hold_for_private_review","quarantine_private_do_not_publish"))</x:f>
        <x:v>prepare_public_github_candidate</x:v>
      </x:c>
      <x:c r="AF1472" s="12" t="str">
        <x:f>IF(AC1472="PUBLIC_CANDIDATE","TIDELOCK + Lucerna",IF(AC1472="PRIVATE_REVIEW","AtlasBrain + Lucerna","TIDELOCK + Lucerna + Human-root"))</x:f>
        <x:v>TIDELOCK + Lucerna</x:v>
      </x:c>
      <x:c r="AG1472" s="12" t="str">
        <x:f>IF(AND(AC1472="PUBLIC_CANDIDATE",U1472&lt;&gt;"BLOCKED_PENDING_RECEIPT"),"READY_AFTER_RECEIPT","NOT_READY")</x:f>
        <x:v>NOT_READY</x:v>
      </x:c>
      <x:c r="AH1472" s="12" t="str">
        <x:f>IF(AC1472="PUBLIC_CANDIDATE","none",AD1472)</x:f>
        <x:v>none</x:v>
      </x:c>
      <x:c r="AI1472" s="12" t="str">
        <x:f>IF(AC1472="PUBLIC_CANDIDATE","archive/public_candidates/"&amp;A1472,"private_quarantine/"&amp;A1472)</x:f>
        <x:v>archive/public_candidates/SWARM-11-H03-S07</x:v>
      </x:c>
      <x:c r="AJ1472" s="12" t="str">
        <x:f>IF(AC1472="PUBLIC_CANDIDATE","public by default; still not canon","private/hold; do not publish")</x:f>
        <x:v>public by default; still not canon</x:v>
      </x:c>
      <x:c r="AK1472" s="12" t="str">
        <x:f>IF(AE1472="prepare_public_github_candidate","add receipt/status then mirror","resolve blocker before any public GitHub action")</x:f>
        <x:v>add receipt/status then mirror</x:v>
      </x:c>
    </x:row>
    <x:row r="1473">
      <x:c r="A1473" s="15" t="str">
        <x:v>SWARM-11-H03-S08</x:v>
      </x:c>
      <x:c r="B1473" s="15" t="str">
        <x:v>ClaudeCatcher</x:v>
      </x:c>
      <x:c r="C1473" s="15" t="str">
        <x:v>Bullshit Olympics referee</x:v>
      </x:c>
      <x:c r="D1473" s="15" t="str">
        <x:v>Raw Export Recovery</x:v>
      </x:c>
      <x:c r="E1473" s="15" t="str">
        <x:v>Sheldonbrain</x:v>
      </x:c>
      <x:c r="F1473" s="15" t="str">
        <x:v>Recover raw exports for Sheldonbrain — ClaudeCatcher</x:v>
      </x:c>
      <x:c r="G1473" s="15" t="str">
        <x:v>adversarial claims / model overclaim detection</x:v>
      </x:c>
      <x:c r="H1473" s="15" t="str">
        <x:v>source path + receipt + raw/export status + claim/edge/risk delta</x:v>
      </x:c>
      <x:c r="I1473" s="15" t="str">
        <x:v>packet/SWARM-11-H03-S08</x:v>
      </x:c>
      <x:c r="J1473" s="15" t="str">
        <x:v>TODO</x:v>
      </x:c>
      <x:c r="K1473" s="15" t="str">
        <x:v>P1</x:v>
      </x:c>
      <x:c r="L1473" s="15" t="str">
        <x:v>Done only when evidence is logged, contradiction search is noted, and boundary stamp remains non-canon unless ratified</x:v>
      </x:c>
      <x:c r="M1473" s="15" t="str">
        <x:v>candidate / staging-only / not canon / not deployed / authority none</x:v>
      </x:c>
      <x:c r="N1473" s="15" t="str">
        <x:v>Dispatch to ClaudeCatcher: complete Raw Export Recovery x Sheldonbrain; return deltas only, receipts required.</x:v>
      </x:c>
      <x:c r="O1473" s="15" t="str">
        <x:v>AF-KG-H03-S08</x:v>
      </x:c>
      <x:c r="P1473" s="15" t="str">
        <x:v>Unverified</x:v>
      </x:c>
      <x:c r="Q1473" s="15" t="str">
        <x:v>Not checked</x:v>
      </x:c>
      <x:c r="R1473" s="15" t="str"/>
      <x:c r="S1473" s="15" t="str"/>
      <x:c r="T1473" s="15" t="str">
        <x:v>Log first source path or blocker</x:v>
      </x:c>
      <x:c r="U1473" s="12" t="str">
        <x:f>IF(OR(P1473="Unverified",Q1473="Not checked"),"BLOCKED_PENDING_RECEIPT","READY_FOR_REVIEW")</x:f>
        <x:v>BLOCKED_PENDING_RECEIPT</x:v>
      </x:c>
      <x:c r="V1473" s="12" t="str">
        <x:f>IF(J1473="DONE","RETURNED",IF(U1473="BLOCKED_PENDING_RECEIPT","SOURCE_TOUCH_REQUIRED","IN_PROGRESS"))</x:f>
        <x:v>SOURCE_TOUCH_REQUIRED</x:v>
      </x:c>
      <x:c r="W1473" s="12" t="str">
        <x:f>IF(P1473="Unverified","missing_receipt","receipt_logged")</x:f>
        <x:v>missing_receipt</x:v>
      </x:c>
      <x:c r="X1473" s="12" t="str">
        <x:f>IF(Q1473="Not checked","raw_status_missing","raw_status_logged")</x:f>
        <x:v>raw_status_missing</x:v>
      </x:c>
      <x:c r="Y1473" s="12" t="str">
        <x:f>IF(U1473="BLOCKED_PENDING_RECEIPT","Log source path or blocker; do not promote","Route to review lane")</x:f>
        <x:v>Log source path or blocker; do not promote</x:v>
      </x:c>
      <x:c r="Z1473" s="12" t="str">
        <x:f>IF(K1473="P0","Primary seat + Hashlight/Lucerna","Seat lane")</x:f>
        <x:v>Seat lane</x:v>
      </x:c>
      <x:c r="AA1473" s="12" t="str">
        <x:f>IF(R1473="","no_claim_delta","claim_delta_present")</x:f>
        <x:v>no_claim_delta</x:v>
      </x:c>
      <x:c r="AB1473" s="12" t="str">
        <x:f>IF(S1473="","no_contradiction_delta","contradiction_delta_present")</x:f>
        <x:v>no_contradiction_delta</x:v>
      </x:c>
      <x:c r="AC1473" s="12" t="str">
        <x:f>IF(OR(ISNUMBER(SEARCH("hacker",LOWER(F1473&amp;" "&amp;H1473&amp;" "&amp;I1473&amp;" "&amp;M1473&amp;" "&amp;N1473&amp;" "&amp;T1473))),ISNUMBER(SEARCH("hacking",LOWER(F1473&amp;" "&amp;H1473&amp;" "&amp;I1473&amp;" "&amp;M1473&amp;" "&amp;N1473&amp;" "&amp;T1473))),ISNUMBER(SEARCH("bank",LOWER(F1473&amp;" "&amp;H1473&amp;" "&amp;I1473&amp;" "&amp;M1473&amp;" "&amp;N1473&amp;" "&amp;T1473))),ISNUMBER(SEARCH("banking",LOWER(F1473&amp;" "&amp;H1473&amp;" "&amp;I1473&amp;" "&amp;M1473&amp;" "&amp;N1473&amp;" "&amp;T1473)))),"PRIVATE_QUARANTINE",IF(OR(ISNUMBER(SEARCH("treasury",LOWER(F1473&amp;" "&amp;H1473&amp;" "&amp;I1473&amp;" "&amp;M1473&amp;" "&amp;N1473&amp;" "&amp;T1473))),ISNUMBER(SEARCH("debt",LOWER(F1473&amp;" "&amp;H1473&amp;" "&amp;I1473&amp;" "&amp;M1473&amp;" "&amp;N1473&amp;" "&amp;T1473))),ISNUMBER(SEARCH("bond",LOWER(F1473&amp;" "&amp;H1473&amp;" "&amp;I1473&amp;" "&amp;M1473&amp;" "&amp;N1473&amp;" "&amp;T1473))),ISNUMBER(SEARCH("transaction",LOWER(F1473&amp;" "&amp;H1473&amp;" "&amp;I1473&amp;" "&amp;M1473&amp;" "&amp;N1473&amp;" "&amp;T1473)))),"PRIVATE_REVIEW","PUBLIC_CANDIDATE"))</x:f>
        <x:v>PUBLIC_CANDIDATE</x:v>
      </x:c>
      <x:c r="AD1473" s="12" t="str">
        <x:f>IF(AC1473="PRIVATE_QUARANTINE","hacker_or_bank_trigger",IF(AC1473="PRIVATE_REVIEW","finance_risk_trigger","none"))</x:f>
        <x:v>none</x:v>
      </x:c>
      <x:c r="AE1473" s="12" t="str">
        <x:f>IF(AC1473="PUBLIC_CANDIDATE","prepare_public_github_candidate",IF(AC1473="PRIVATE_REVIEW","hold_for_private_review","quarantine_private_do_not_publish"))</x:f>
        <x:v>prepare_public_github_candidate</x:v>
      </x:c>
      <x:c r="AF1473" s="12" t="str">
        <x:f>IF(AC1473="PUBLIC_CANDIDATE","TIDELOCK + Lucerna",IF(AC1473="PRIVATE_REVIEW","AtlasBrain + Lucerna","TIDELOCK + Lucerna + Human-root"))</x:f>
        <x:v>TIDELOCK + Lucerna</x:v>
      </x:c>
      <x:c r="AG1473" s="12" t="str">
        <x:f>IF(AND(AC1473="PUBLIC_CANDIDATE",U1473&lt;&gt;"BLOCKED_PENDING_RECEIPT"),"READY_AFTER_RECEIPT","NOT_READY")</x:f>
        <x:v>NOT_READY</x:v>
      </x:c>
      <x:c r="AH1473" s="12" t="str">
        <x:f>IF(AC1473="PUBLIC_CANDIDATE","none",AD1473)</x:f>
        <x:v>none</x:v>
      </x:c>
      <x:c r="AI1473" s="12" t="str">
        <x:f>IF(AC1473="PUBLIC_CANDIDATE","archive/public_candidates/"&amp;A1473,"private_quarantine/"&amp;A1473)</x:f>
        <x:v>archive/public_candidates/SWARM-11-H03-S08</x:v>
      </x:c>
      <x:c r="AJ1473" s="12" t="str">
        <x:f>IF(AC1473="PUBLIC_CANDIDATE","public by default; still not canon","private/hold; do not publish")</x:f>
        <x:v>public by default; still not canon</x:v>
      </x:c>
      <x:c r="AK1473" s="12" t="str">
        <x:f>IF(AE1473="prepare_public_github_candidate","add receipt/status then mirror","resolve blocker before any public GitHub action")</x:f>
        <x:v>add receipt/status then mirror</x:v>
      </x:c>
    </x:row>
    <x:row r="1474">
      <x:c r="A1474" s="15" t="str">
        <x:v>SWARM-11-H03-S09</x:v>
      </x:c>
      <x:c r="B1474" s="15" t="str">
        <x:v>ClaudeCatcher</x:v>
      </x:c>
      <x:c r="C1474" s="15" t="str">
        <x:v>Bullshit Olympics referee</x:v>
      </x:c>
      <x:c r="D1474" s="15" t="str">
        <x:v>Raw Export Recovery</x:v>
      </x:c>
      <x:c r="E1474" s="15" t="str">
        <x:v>Aetherforge</x:v>
      </x:c>
      <x:c r="F1474" s="15" t="str">
        <x:v>Recover raw exports for Aetherforge — ClaudeCatcher</x:v>
      </x:c>
      <x:c r="G1474" s="15" t="str">
        <x:v>adversarial claims / model overclaim detection</x:v>
      </x:c>
      <x:c r="H1474" s="15" t="str">
        <x:v>source path + receipt + raw/export status + claim/edge/risk delta</x:v>
      </x:c>
      <x:c r="I1474" s="15" t="str">
        <x:v>packet/SWARM-11-H03-S09</x:v>
      </x:c>
      <x:c r="J1474" s="15" t="str">
        <x:v>TODO</x:v>
      </x:c>
      <x:c r="K1474" s="15" t="str">
        <x:v>P2</x:v>
      </x:c>
      <x:c r="L1474" s="15" t="str">
        <x:v>Done only when evidence is logged, contradiction search is noted, and boundary stamp remains non-canon unless ratified</x:v>
      </x:c>
      <x:c r="M1474" s="15" t="str">
        <x:v>candidate / staging-only / not canon / not deployed / authority none</x:v>
      </x:c>
      <x:c r="N1474" s="15" t="str">
        <x:v>Dispatch to ClaudeCatcher: complete Raw Export Recovery x Aetherforge; return deltas only, receipts required.</x:v>
      </x:c>
      <x:c r="O1474" s="15" t="str">
        <x:v>AF-KG-H03-S09</x:v>
      </x:c>
      <x:c r="P1474" s="15" t="str">
        <x:v>Unverified</x:v>
      </x:c>
      <x:c r="Q1474" s="15" t="str">
        <x:v>Not checked</x:v>
      </x:c>
      <x:c r="R1474" s="15" t="str"/>
      <x:c r="S1474" s="15" t="str"/>
      <x:c r="T1474" s="15" t="str">
        <x:v>Log first source path or blocker</x:v>
      </x:c>
      <x:c r="U1474" s="12" t="str">
        <x:f>IF(OR(P1474="Unverified",Q1474="Not checked"),"BLOCKED_PENDING_RECEIPT","READY_FOR_REVIEW")</x:f>
        <x:v>BLOCKED_PENDING_RECEIPT</x:v>
      </x:c>
      <x:c r="V1474" s="12" t="str">
        <x:f>IF(J1474="DONE","RETURNED",IF(U1474="BLOCKED_PENDING_RECEIPT","SOURCE_TOUCH_REQUIRED","IN_PROGRESS"))</x:f>
        <x:v>SOURCE_TOUCH_REQUIRED</x:v>
      </x:c>
      <x:c r="W1474" s="12" t="str">
        <x:f>IF(P1474="Unverified","missing_receipt","receipt_logged")</x:f>
        <x:v>missing_receipt</x:v>
      </x:c>
      <x:c r="X1474" s="12" t="str">
        <x:f>IF(Q1474="Not checked","raw_status_missing","raw_status_logged")</x:f>
        <x:v>raw_status_missing</x:v>
      </x:c>
      <x:c r="Y1474" s="12" t="str">
        <x:f>IF(U1474="BLOCKED_PENDING_RECEIPT","Log source path or blocker; do not promote","Route to review lane")</x:f>
        <x:v>Log source path or blocker; do not promote</x:v>
      </x:c>
      <x:c r="Z1474" s="12" t="str">
        <x:f>IF(K1474="P0","Primary seat + Hashlight/Lucerna","Seat lane")</x:f>
        <x:v>Seat lane</x:v>
      </x:c>
      <x:c r="AA1474" s="12" t="str">
        <x:f>IF(R1474="","no_claim_delta","claim_delta_present")</x:f>
        <x:v>no_claim_delta</x:v>
      </x:c>
      <x:c r="AB1474" s="12" t="str">
        <x:f>IF(S1474="","no_contradiction_delta","contradiction_delta_present")</x:f>
        <x:v>no_contradiction_delta</x:v>
      </x:c>
      <x:c r="AC1474" s="12" t="str">
        <x:f>IF(OR(ISNUMBER(SEARCH("hacker",LOWER(F1474&amp;" "&amp;H1474&amp;" "&amp;I1474&amp;" "&amp;M1474&amp;" "&amp;N1474&amp;" "&amp;T1474))),ISNUMBER(SEARCH("hacking",LOWER(F1474&amp;" "&amp;H1474&amp;" "&amp;I1474&amp;" "&amp;M1474&amp;" "&amp;N1474&amp;" "&amp;T1474))),ISNUMBER(SEARCH("bank",LOWER(F1474&amp;" "&amp;H1474&amp;" "&amp;I1474&amp;" "&amp;M1474&amp;" "&amp;N1474&amp;" "&amp;T1474))),ISNUMBER(SEARCH("banking",LOWER(F1474&amp;" "&amp;H1474&amp;" "&amp;I1474&amp;" "&amp;M1474&amp;" "&amp;N1474&amp;" "&amp;T1474)))),"PRIVATE_QUARANTINE",IF(OR(ISNUMBER(SEARCH("treasury",LOWER(F1474&amp;" "&amp;H1474&amp;" "&amp;I1474&amp;" "&amp;M1474&amp;" "&amp;N1474&amp;" "&amp;T1474))),ISNUMBER(SEARCH("debt",LOWER(F1474&amp;" "&amp;H1474&amp;" "&amp;I1474&amp;" "&amp;M1474&amp;" "&amp;N1474&amp;" "&amp;T1474))),ISNUMBER(SEARCH("bond",LOWER(F1474&amp;" "&amp;H1474&amp;" "&amp;I1474&amp;" "&amp;M1474&amp;" "&amp;N1474&amp;" "&amp;T1474))),ISNUMBER(SEARCH("transaction",LOWER(F1474&amp;" "&amp;H1474&amp;" "&amp;I1474&amp;" "&amp;M1474&amp;" "&amp;N1474&amp;" "&amp;T1474)))),"PRIVATE_REVIEW","PUBLIC_CANDIDATE"))</x:f>
        <x:v>PUBLIC_CANDIDATE</x:v>
      </x:c>
      <x:c r="AD1474" s="12" t="str">
        <x:f>IF(AC1474="PRIVATE_QUARANTINE","hacker_or_bank_trigger",IF(AC1474="PRIVATE_REVIEW","finance_risk_trigger","none"))</x:f>
        <x:v>none</x:v>
      </x:c>
      <x:c r="AE1474" s="12" t="str">
        <x:f>IF(AC1474="PUBLIC_CANDIDATE","prepare_public_github_candidate",IF(AC1474="PRIVATE_REVIEW","hold_for_private_review","quarantine_private_do_not_publish"))</x:f>
        <x:v>prepare_public_github_candidate</x:v>
      </x:c>
      <x:c r="AF1474" s="12" t="str">
        <x:f>IF(AC1474="PUBLIC_CANDIDATE","TIDELOCK + Lucerna",IF(AC1474="PRIVATE_REVIEW","AtlasBrain + Lucerna","TIDELOCK + Lucerna + Human-root"))</x:f>
        <x:v>TIDELOCK + Lucerna</x:v>
      </x:c>
      <x:c r="AG1474" s="12" t="str">
        <x:f>IF(AND(AC1474="PUBLIC_CANDIDATE",U1474&lt;&gt;"BLOCKED_PENDING_RECEIPT"),"READY_AFTER_RECEIPT","NOT_READY")</x:f>
        <x:v>NOT_READY</x:v>
      </x:c>
      <x:c r="AH1474" s="12" t="str">
        <x:f>IF(AC1474="PUBLIC_CANDIDATE","none",AD1474)</x:f>
        <x:v>none</x:v>
      </x:c>
      <x:c r="AI1474" s="12" t="str">
        <x:f>IF(AC1474="PUBLIC_CANDIDATE","archive/public_candidates/"&amp;A1474,"private_quarantine/"&amp;A1474)</x:f>
        <x:v>archive/public_candidates/SWARM-11-H03-S09</x:v>
      </x:c>
      <x:c r="AJ1474" s="12" t="str">
        <x:f>IF(AC1474="PUBLIC_CANDIDATE","public by default; still not canon","private/hold; do not publish")</x:f>
        <x:v>public by default; still not canon</x:v>
      </x:c>
      <x:c r="AK1474" s="12" t="str">
        <x:f>IF(AE1474="prepare_public_github_candidate","add receipt/status then mirror","resolve blocker before any public GitHub action")</x:f>
        <x:v>add receipt/status then mirror</x:v>
      </x:c>
    </x:row>
    <x:row r="1475">
      <x:c r="A1475" s="15" t="str">
        <x:v>SWARM-11-H03-S10</x:v>
      </x:c>
      <x:c r="B1475" s="15" t="str">
        <x:v>ClaudeCatcher</x:v>
      </x:c>
      <x:c r="C1475" s="15" t="str">
        <x:v>Bullshit Olympics referee</x:v>
      </x:c>
      <x:c r="D1475" s="15" t="str">
        <x:v>Raw Export Recovery</x:v>
      </x:c>
      <x:c r="E1475" s="15" t="str">
        <x:v>Human-Root</x:v>
      </x:c>
      <x:c r="F1475" s="15" t="str">
        <x:v>Recover raw exports for Human-Root — ClaudeCatcher</x:v>
      </x:c>
      <x:c r="G1475" s="15" t="str">
        <x:v>adversarial claims / model overclaim detection</x:v>
      </x:c>
      <x:c r="H1475" s="15" t="str">
        <x:v>source path + receipt + raw/export status + claim/edge/risk delta</x:v>
      </x:c>
      <x:c r="I1475" s="15" t="str">
        <x:v>packet/SWARM-11-H03-S10</x:v>
      </x:c>
      <x:c r="J1475" s="15" t="str">
        <x:v>TODO</x:v>
      </x:c>
      <x:c r="K1475" s="15" t="str">
        <x:v>P2</x:v>
      </x:c>
      <x:c r="L1475" s="15" t="str">
        <x:v>Done only when evidence is logged, contradiction search is noted, and boundary stamp remains non-canon unless ratified</x:v>
      </x:c>
      <x:c r="M1475" s="15" t="str">
        <x:v>candidate / staging-only / not canon / not deployed / authority none</x:v>
      </x:c>
      <x:c r="N1475" s="15" t="str">
        <x:v>Dispatch to ClaudeCatcher: complete Raw Export Recovery x Human-Root; return deltas only, receipts required.</x:v>
      </x:c>
      <x:c r="O1475" s="15" t="str">
        <x:v>AF-KG-H03-S10</x:v>
      </x:c>
      <x:c r="P1475" s="15" t="str">
        <x:v>Unverified</x:v>
      </x:c>
      <x:c r="Q1475" s="15" t="str">
        <x:v>Not checked</x:v>
      </x:c>
      <x:c r="R1475" s="15" t="str"/>
      <x:c r="S1475" s="15" t="str"/>
      <x:c r="T1475" s="15" t="str">
        <x:v>Log first source path or blocker</x:v>
      </x:c>
      <x:c r="U1475" s="12" t="str">
        <x:f>IF(OR(P1475="Unverified",Q1475="Not checked"),"BLOCKED_PENDING_RECEIPT","READY_FOR_REVIEW")</x:f>
        <x:v>BLOCKED_PENDING_RECEIPT</x:v>
      </x:c>
      <x:c r="V1475" s="12" t="str">
        <x:f>IF(J1475="DONE","RETURNED",IF(U1475="BLOCKED_PENDING_RECEIPT","SOURCE_TOUCH_REQUIRED","IN_PROGRESS"))</x:f>
        <x:v>SOURCE_TOUCH_REQUIRED</x:v>
      </x:c>
      <x:c r="W1475" s="12" t="str">
        <x:f>IF(P1475="Unverified","missing_receipt","receipt_logged")</x:f>
        <x:v>missing_receipt</x:v>
      </x:c>
      <x:c r="X1475" s="12" t="str">
        <x:f>IF(Q1475="Not checked","raw_status_missing","raw_status_logged")</x:f>
        <x:v>raw_status_missing</x:v>
      </x:c>
      <x:c r="Y1475" s="12" t="str">
        <x:f>IF(U1475="BLOCKED_PENDING_RECEIPT","Log source path or blocker; do not promote","Route to review lane")</x:f>
        <x:v>Log source path or blocker; do not promote</x:v>
      </x:c>
      <x:c r="Z1475" s="12" t="str">
        <x:f>IF(K1475="P0","Primary seat + Hashlight/Lucerna","Seat lane")</x:f>
        <x:v>Seat lane</x:v>
      </x:c>
      <x:c r="AA1475" s="12" t="str">
        <x:f>IF(R1475="","no_claim_delta","claim_delta_present")</x:f>
        <x:v>no_claim_delta</x:v>
      </x:c>
      <x:c r="AB1475" s="12" t="str">
        <x:f>IF(S1475="","no_contradiction_delta","contradiction_delta_present")</x:f>
        <x:v>no_contradiction_delta</x:v>
      </x:c>
      <x:c r="AC1475" s="12" t="str">
        <x:f>IF(OR(ISNUMBER(SEARCH("hacker",LOWER(F1475&amp;" "&amp;H1475&amp;" "&amp;I1475&amp;" "&amp;M1475&amp;" "&amp;N1475&amp;" "&amp;T1475))),ISNUMBER(SEARCH("hacking",LOWER(F1475&amp;" "&amp;H1475&amp;" "&amp;I1475&amp;" "&amp;M1475&amp;" "&amp;N1475&amp;" "&amp;T1475))),ISNUMBER(SEARCH("bank",LOWER(F1475&amp;" "&amp;H1475&amp;" "&amp;I1475&amp;" "&amp;M1475&amp;" "&amp;N1475&amp;" "&amp;T1475))),ISNUMBER(SEARCH("banking",LOWER(F1475&amp;" "&amp;H1475&amp;" "&amp;I1475&amp;" "&amp;M1475&amp;" "&amp;N1475&amp;" "&amp;T1475)))),"PRIVATE_QUARANTINE",IF(OR(ISNUMBER(SEARCH("treasury",LOWER(F1475&amp;" "&amp;H1475&amp;" "&amp;I1475&amp;" "&amp;M1475&amp;" "&amp;N1475&amp;" "&amp;T1475))),ISNUMBER(SEARCH("debt",LOWER(F1475&amp;" "&amp;H1475&amp;" "&amp;I1475&amp;" "&amp;M1475&amp;" "&amp;N1475&amp;" "&amp;T1475))),ISNUMBER(SEARCH("bond",LOWER(F1475&amp;" "&amp;H1475&amp;" "&amp;I1475&amp;" "&amp;M1475&amp;" "&amp;N1475&amp;" "&amp;T1475))),ISNUMBER(SEARCH("transaction",LOWER(F1475&amp;" "&amp;H1475&amp;" "&amp;I1475&amp;" "&amp;M1475&amp;" "&amp;N1475&amp;" "&amp;T1475)))),"PRIVATE_REVIEW","PUBLIC_CANDIDATE"))</x:f>
        <x:v>PUBLIC_CANDIDATE</x:v>
      </x:c>
      <x:c r="AD1475" s="12" t="str">
        <x:f>IF(AC1475="PRIVATE_QUARANTINE","hacker_or_bank_trigger",IF(AC1475="PRIVATE_REVIEW","finance_risk_trigger","none"))</x:f>
        <x:v>none</x:v>
      </x:c>
      <x:c r="AE1475" s="12" t="str">
        <x:f>IF(AC1475="PUBLIC_CANDIDATE","prepare_public_github_candidate",IF(AC1475="PRIVATE_REVIEW","hold_for_private_review","quarantine_private_do_not_publish"))</x:f>
        <x:v>prepare_public_github_candidate</x:v>
      </x:c>
      <x:c r="AF1475" s="12" t="str">
        <x:f>IF(AC1475="PUBLIC_CANDIDATE","TIDELOCK + Lucerna",IF(AC1475="PRIVATE_REVIEW","AtlasBrain + Lucerna","TIDELOCK + Lucerna + Human-root"))</x:f>
        <x:v>TIDELOCK + Lucerna</x:v>
      </x:c>
      <x:c r="AG1475" s="12" t="str">
        <x:f>IF(AND(AC1475="PUBLIC_CANDIDATE",U1475&lt;&gt;"BLOCKED_PENDING_RECEIPT"),"READY_AFTER_RECEIPT","NOT_READY")</x:f>
        <x:v>NOT_READY</x:v>
      </x:c>
      <x:c r="AH1475" s="12" t="str">
        <x:f>IF(AC1475="PUBLIC_CANDIDATE","none",AD1475)</x:f>
        <x:v>none</x:v>
      </x:c>
      <x:c r="AI1475" s="12" t="str">
        <x:f>IF(AC1475="PUBLIC_CANDIDATE","archive/public_candidates/"&amp;A1475,"private_quarantine/"&amp;A1475)</x:f>
        <x:v>archive/public_candidates/SWARM-11-H03-S10</x:v>
      </x:c>
      <x:c r="AJ1475" s="12" t="str">
        <x:f>IF(AC1475="PUBLIC_CANDIDATE","public by default; still not canon","private/hold; do not publish")</x:f>
        <x:v>public by default; still not canon</x:v>
      </x:c>
      <x:c r="AK1475" s="12" t="str">
        <x:f>IF(AE1475="prepare_public_github_candidate","add receipt/status then mirror","resolve blocker before any public GitHub action")</x:f>
        <x:v>add receipt/status then mirror</x:v>
      </x:c>
    </x:row>
    <x:row r="1476">
      <x:c r="A1476" s="15" t="str">
        <x:v>SWARM-11-H03-S11</x:v>
      </x:c>
      <x:c r="B1476" s="15" t="str">
        <x:v>ClaudeCatcher</x:v>
      </x:c>
      <x:c r="C1476" s="15" t="str">
        <x:v>Bullshit Olympics referee</x:v>
      </x:c>
      <x:c r="D1476" s="15" t="str">
        <x:v>Raw Export Recovery</x:v>
      </x:c>
      <x:c r="E1476" s="15" t="str">
        <x:v>Automation</x:v>
      </x:c>
      <x:c r="F1476" s="15" t="str">
        <x:v>Recover raw exports for Automation — ClaudeCatcher</x:v>
      </x:c>
      <x:c r="G1476" s="15" t="str">
        <x:v>adversarial claims / model overclaim detection</x:v>
      </x:c>
      <x:c r="H1476" s="15" t="str">
        <x:v>source path + receipt + raw/export status + claim/edge/risk delta</x:v>
      </x:c>
      <x:c r="I1476" s="15" t="str">
        <x:v>packet/SWARM-11-H03-S11</x:v>
      </x:c>
      <x:c r="J1476" s="15" t="str">
        <x:v>TODO</x:v>
      </x:c>
      <x:c r="K1476" s="15" t="str">
        <x:v>P2</x:v>
      </x:c>
      <x:c r="L1476" s="15" t="str">
        <x:v>Done only when evidence is logged, contradiction search is noted, and boundary stamp remains non-canon unless ratified</x:v>
      </x:c>
      <x:c r="M1476" s="15" t="str">
        <x:v>candidate / staging-only / not canon / not deployed / authority none</x:v>
      </x:c>
      <x:c r="N1476" s="15" t="str">
        <x:v>Dispatch to ClaudeCatcher: complete Raw Export Recovery x Automation; return deltas only, receipts required.</x:v>
      </x:c>
      <x:c r="O1476" s="15" t="str">
        <x:v>AF-KG-H03-S11</x:v>
      </x:c>
      <x:c r="P1476" s="15" t="str">
        <x:v>Unverified</x:v>
      </x:c>
      <x:c r="Q1476" s="15" t="str">
        <x:v>Not checked</x:v>
      </x:c>
      <x:c r="R1476" s="15" t="str"/>
      <x:c r="S1476" s="15" t="str"/>
      <x:c r="T1476" s="15" t="str">
        <x:v>Log first source path or blocker</x:v>
      </x:c>
      <x:c r="U1476" s="12" t="str">
        <x:f>IF(OR(P1476="Unverified",Q1476="Not checked"),"BLOCKED_PENDING_RECEIPT","READY_FOR_REVIEW")</x:f>
        <x:v>BLOCKED_PENDING_RECEIPT</x:v>
      </x:c>
      <x:c r="V1476" s="12" t="str">
        <x:f>IF(J1476="DONE","RETURNED",IF(U1476="BLOCKED_PENDING_RECEIPT","SOURCE_TOUCH_REQUIRED","IN_PROGRESS"))</x:f>
        <x:v>SOURCE_TOUCH_REQUIRED</x:v>
      </x:c>
      <x:c r="W1476" s="12" t="str">
        <x:f>IF(P1476="Unverified","missing_receipt","receipt_logged")</x:f>
        <x:v>missing_receipt</x:v>
      </x:c>
      <x:c r="X1476" s="12" t="str">
        <x:f>IF(Q1476="Not checked","raw_status_missing","raw_status_logged")</x:f>
        <x:v>raw_status_missing</x:v>
      </x:c>
      <x:c r="Y1476" s="12" t="str">
        <x:f>IF(U1476="BLOCKED_PENDING_RECEIPT","Log source path or blocker; do not promote","Route to review lane")</x:f>
        <x:v>Log source path or blocker; do not promote</x:v>
      </x:c>
      <x:c r="Z1476" s="12" t="str">
        <x:f>IF(K1476="P0","Primary seat + Hashlight/Lucerna","Seat lane")</x:f>
        <x:v>Seat lane</x:v>
      </x:c>
      <x:c r="AA1476" s="12" t="str">
        <x:f>IF(R1476="","no_claim_delta","claim_delta_present")</x:f>
        <x:v>no_claim_delta</x:v>
      </x:c>
      <x:c r="AB1476" s="12" t="str">
        <x:f>IF(S1476="","no_contradiction_delta","contradiction_delta_present")</x:f>
        <x:v>no_contradiction_delta</x:v>
      </x:c>
      <x:c r="AC1476" s="12" t="str">
        <x:f>IF(OR(ISNUMBER(SEARCH("hacker",LOWER(F1476&amp;" "&amp;H1476&amp;" "&amp;I1476&amp;" "&amp;M1476&amp;" "&amp;N1476&amp;" "&amp;T1476))),ISNUMBER(SEARCH("hacking",LOWER(F1476&amp;" "&amp;H1476&amp;" "&amp;I1476&amp;" "&amp;M1476&amp;" "&amp;N1476&amp;" "&amp;T1476))),ISNUMBER(SEARCH("bank",LOWER(F1476&amp;" "&amp;H1476&amp;" "&amp;I1476&amp;" "&amp;M1476&amp;" "&amp;N1476&amp;" "&amp;T1476))),ISNUMBER(SEARCH("banking",LOWER(F1476&amp;" "&amp;H1476&amp;" "&amp;I1476&amp;" "&amp;M1476&amp;" "&amp;N1476&amp;" "&amp;T1476)))),"PRIVATE_QUARANTINE",IF(OR(ISNUMBER(SEARCH("treasury",LOWER(F1476&amp;" "&amp;H1476&amp;" "&amp;I1476&amp;" "&amp;M1476&amp;" "&amp;N1476&amp;" "&amp;T1476))),ISNUMBER(SEARCH("debt",LOWER(F1476&amp;" "&amp;H1476&amp;" "&amp;I1476&amp;" "&amp;M1476&amp;" "&amp;N1476&amp;" "&amp;T1476))),ISNUMBER(SEARCH("bond",LOWER(F1476&amp;" "&amp;H1476&amp;" "&amp;I1476&amp;" "&amp;M1476&amp;" "&amp;N1476&amp;" "&amp;T1476))),ISNUMBER(SEARCH("transaction",LOWER(F1476&amp;" "&amp;H1476&amp;" "&amp;I1476&amp;" "&amp;M1476&amp;" "&amp;N1476&amp;" "&amp;T1476)))),"PRIVATE_REVIEW","PUBLIC_CANDIDATE"))</x:f>
        <x:v>PUBLIC_CANDIDATE</x:v>
      </x:c>
      <x:c r="AD1476" s="12" t="str">
        <x:f>IF(AC1476="PRIVATE_QUARANTINE","hacker_or_bank_trigger",IF(AC1476="PRIVATE_REVIEW","finance_risk_trigger","none"))</x:f>
        <x:v>none</x:v>
      </x:c>
      <x:c r="AE1476" s="12" t="str">
        <x:f>IF(AC1476="PUBLIC_CANDIDATE","prepare_public_github_candidate",IF(AC1476="PRIVATE_REVIEW","hold_for_private_review","quarantine_private_do_not_publish"))</x:f>
        <x:v>prepare_public_github_candidate</x:v>
      </x:c>
      <x:c r="AF1476" s="12" t="str">
        <x:f>IF(AC1476="PUBLIC_CANDIDATE","TIDELOCK + Lucerna",IF(AC1476="PRIVATE_REVIEW","AtlasBrain + Lucerna","TIDELOCK + Lucerna + Human-root"))</x:f>
        <x:v>TIDELOCK + Lucerna</x:v>
      </x:c>
      <x:c r="AG1476" s="12" t="str">
        <x:f>IF(AND(AC1476="PUBLIC_CANDIDATE",U1476&lt;&gt;"BLOCKED_PENDING_RECEIPT"),"READY_AFTER_RECEIPT","NOT_READY")</x:f>
        <x:v>NOT_READY</x:v>
      </x:c>
      <x:c r="AH1476" s="12" t="str">
        <x:f>IF(AC1476="PUBLIC_CANDIDATE","none",AD1476)</x:f>
        <x:v>none</x:v>
      </x:c>
      <x:c r="AI1476" s="12" t="str">
        <x:f>IF(AC1476="PUBLIC_CANDIDATE","archive/public_candidates/"&amp;A1476,"private_quarantine/"&amp;A1476)</x:f>
        <x:v>archive/public_candidates/SWARM-11-H03-S11</x:v>
      </x:c>
      <x:c r="AJ1476" s="12" t="str">
        <x:f>IF(AC1476="PUBLIC_CANDIDATE","public by default; still not canon","private/hold; do not publish")</x:f>
        <x:v>public by default; still not canon</x:v>
      </x:c>
      <x:c r="AK1476" s="12" t="str">
        <x:f>IF(AE1476="prepare_public_github_candidate","add receipt/status then mirror","resolve blocker before any public GitHub action")</x:f>
        <x:v>add receipt/status then mirror</x:v>
      </x:c>
    </x:row>
    <x:row r="1477">
      <x:c r="A1477" s="15" t="str">
        <x:v>SWARM-11-H03-S12</x:v>
      </x:c>
      <x:c r="B1477" s="15" t="str">
        <x:v>ClaudeCatcher</x:v>
      </x:c>
      <x:c r="C1477" s="15" t="str">
        <x:v>Bullshit Olympics referee</x:v>
      </x:c>
      <x:c r="D1477" s="15" t="str">
        <x:v>Raw Export Recovery</x:v>
      </x:c>
      <x:c r="E1477" s="15" t="str">
        <x:v>Risk / Safety</x:v>
      </x:c>
      <x:c r="F1477" s="15" t="str">
        <x:v>Recover raw exports for Risk / Safety — ClaudeCatcher</x:v>
      </x:c>
      <x:c r="G1477" s="15" t="str">
        <x:v>adversarial claims / model overclaim detection</x:v>
      </x:c>
      <x:c r="H1477" s="15" t="str">
        <x:v>source path + receipt + raw/export status + claim/edge/risk delta</x:v>
      </x:c>
      <x:c r="I1477" s="15" t="str">
        <x:v>packet/SWARM-11-H03-S12</x:v>
      </x:c>
      <x:c r="J1477" s="15" t="str">
        <x:v>TODO</x:v>
      </x:c>
      <x:c r="K1477" s="15" t="str">
        <x:v>P2</x:v>
      </x:c>
      <x:c r="L1477" s="15" t="str">
        <x:v>Done only when evidence is logged, contradiction search is noted, and boundary stamp remains non-canon unless ratified</x:v>
      </x:c>
      <x:c r="M1477" s="15" t="str">
        <x:v>candidate / staging-only / not canon / not deployed / authority none</x:v>
      </x:c>
      <x:c r="N1477" s="15" t="str">
        <x:v>Dispatch to ClaudeCatcher: complete Raw Export Recovery x Risk / Safety; return deltas only, receipts required.</x:v>
      </x:c>
      <x:c r="O1477" s="15" t="str">
        <x:v>AF-KG-H03-S12</x:v>
      </x:c>
      <x:c r="P1477" s="15" t="str">
        <x:v>Unverified</x:v>
      </x:c>
      <x:c r="Q1477" s="15" t="str">
        <x:v>Not checked</x:v>
      </x:c>
      <x:c r="R1477" s="15" t="str"/>
      <x:c r="S1477" s="15" t="str"/>
      <x:c r="T1477" s="15" t="str">
        <x:v>Log first source path or blocker</x:v>
      </x:c>
      <x:c r="U1477" s="12" t="str">
        <x:f>IF(OR(P1477="Unverified",Q1477="Not checked"),"BLOCKED_PENDING_RECEIPT","READY_FOR_REVIEW")</x:f>
        <x:v>BLOCKED_PENDING_RECEIPT</x:v>
      </x:c>
      <x:c r="V1477" s="12" t="str">
        <x:f>IF(J1477="DONE","RETURNED",IF(U1477="BLOCKED_PENDING_RECEIPT","SOURCE_TOUCH_REQUIRED","IN_PROGRESS"))</x:f>
        <x:v>SOURCE_TOUCH_REQUIRED</x:v>
      </x:c>
      <x:c r="W1477" s="12" t="str">
        <x:f>IF(P1477="Unverified","missing_receipt","receipt_logged")</x:f>
        <x:v>missing_receipt</x:v>
      </x:c>
      <x:c r="X1477" s="12" t="str">
        <x:f>IF(Q1477="Not checked","raw_status_missing","raw_status_logged")</x:f>
        <x:v>raw_status_missing</x:v>
      </x:c>
      <x:c r="Y1477" s="12" t="str">
        <x:f>IF(U1477="BLOCKED_PENDING_RECEIPT","Log source path or blocker; do not promote","Route to review lane")</x:f>
        <x:v>Log source path or blocker; do not promote</x:v>
      </x:c>
      <x:c r="Z1477" s="12" t="str">
        <x:f>IF(K1477="P0","Primary seat + Hashlight/Lucerna","Seat lane")</x:f>
        <x:v>Seat lane</x:v>
      </x:c>
      <x:c r="AA1477" s="12" t="str">
        <x:f>IF(R1477="","no_claim_delta","claim_delta_present")</x:f>
        <x:v>no_claim_delta</x:v>
      </x:c>
      <x:c r="AB1477" s="12" t="str">
        <x:f>IF(S1477="","no_contradiction_delta","contradiction_delta_present")</x:f>
        <x:v>no_contradiction_delta</x:v>
      </x:c>
      <x:c r="AC1477" s="12" t="str">
        <x:f>IF(OR(ISNUMBER(SEARCH("hacker",LOWER(F1477&amp;" "&amp;H1477&amp;" "&amp;I1477&amp;" "&amp;M1477&amp;" "&amp;N1477&amp;" "&amp;T1477))),ISNUMBER(SEARCH("hacking",LOWER(F1477&amp;" "&amp;H1477&amp;" "&amp;I1477&amp;" "&amp;M1477&amp;" "&amp;N1477&amp;" "&amp;T1477))),ISNUMBER(SEARCH("bank",LOWER(F1477&amp;" "&amp;H1477&amp;" "&amp;I1477&amp;" "&amp;M1477&amp;" "&amp;N1477&amp;" "&amp;T1477))),ISNUMBER(SEARCH("banking",LOWER(F1477&amp;" "&amp;H1477&amp;" "&amp;I1477&amp;" "&amp;M1477&amp;" "&amp;N1477&amp;" "&amp;T1477)))),"PRIVATE_QUARANTINE",IF(OR(ISNUMBER(SEARCH("treasury",LOWER(F1477&amp;" "&amp;H1477&amp;" "&amp;I1477&amp;" "&amp;M1477&amp;" "&amp;N1477&amp;" "&amp;T1477))),ISNUMBER(SEARCH("debt",LOWER(F1477&amp;" "&amp;H1477&amp;" "&amp;I1477&amp;" "&amp;M1477&amp;" "&amp;N1477&amp;" "&amp;T1477))),ISNUMBER(SEARCH("bond",LOWER(F1477&amp;" "&amp;H1477&amp;" "&amp;I1477&amp;" "&amp;M1477&amp;" "&amp;N1477&amp;" "&amp;T1477))),ISNUMBER(SEARCH("transaction",LOWER(F1477&amp;" "&amp;H1477&amp;" "&amp;I1477&amp;" "&amp;M1477&amp;" "&amp;N1477&amp;" "&amp;T1477)))),"PRIVATE_REVIEW","PUBLIC_CANDIDATE"))</x:f>
        <x:v>PUBLIC_CANDIDATE</x:v>
      </x:c>
      <x:c r="AD1477" s="12" t="str">
        <x:f>IF(AC1477="PRIVATE_QUARANTINE","hacker_or_bank_trigger",IF(AC1477="PRIVATE_REVIEW","finance_risk_trigger","none"))</x:f>
        <x:v>none</x:v>
      </x:c>
      <x:c r="AE1477" s="12" t="str">
        <x:f>IF(AC1477="PUBLIC_CANDIDATE","prepare_public_github_candidate",IF(AC1477="PRIVATE_REVIEW","hold_for_private_review","quarantine_private_do_not_publish"))</x:f>
        <x:v>prepare_public_github_candidate</x:v>
      </x:c>
      <x:c r="AF1477" s="12" t="str">
        <x:f>IF(AC1477="PUBLIC_CANDIDATE","TIDELOCK + Lucerna",IF(AC1477="PRIVATE_REVIEW","AtlasBrain + Lucerna","TIDELOCK + Lucerna + Human-root"))</x:f>
        <x:v>TIDELOCK + Lucerna</x:v>
      </x:c>
      <x:c r="AG1477" s="12" t="str">
        <x:f>IF(AND(AC1477="PUBLIC_CANDIDATE",U1477&lt;&gt;"BLOCKED_PENDING_RECEIPT"),"READY_AFTER_RECEIPT","NOT_READY")</x:f>
        <x:v>NOT_READY</x:v>
      </x:c>
      <x:c r="AH1477" s="12" t="str">
        <x:f>IF(AC1477="PUBLIC_CANDIDATE","none",AD1477)</x:f>
        <x:v>none</x:v>
      </x:c>
      <x:c r="AI1477" s="12" t="str">
        <x:f>IF(AC1477="PUBLIC_CANDIDATE","archive/public_candidates/"&amp;A1477,"private_quarantine/"&amp;A1477)</x:f>
        <x:v>archive/public_candidates/SWARM-11-H03-S12</x:v>
      </x:c>
      <x:c r="AJ1477" s="12" t="str">
        <x:f>IF(AC1477="PUBLIC_CANDIDATE","public by default; still not canon","private/hold; do not publish")</x:f>
        <x:v>public by default; still not canon</x:v>
      </x:c>
      <x:c r="AK1477" s="12" t="str">
        <x:f>IF(AE1477="prepare_public_github_candidate","add receipt/status then mirror","resolve blocker before any public GitHub action")</x:f>
        <x:v>add receipt/status then mirror</x:v>
      </x:c>
    </x:row>
    <x:row r="1478">
      <x:c r="A1478" s="15" t="str">
        <x:v>SWARM-11-H04-S01</x:v>
      </x:c>
      <x:c r="B1478" s="15" t="str">
        <x:v>ClaudeCatcher</x:v>
      </x:c>
      <x:c r="C1478" s="15" t="str">
        <x:v>Bullshit Olympics referee</x:v>
      </x:c>
      <x:c r="D1478" s="15" t="str">
        <x:v>Claim Extraction</x:v>
      </x:c>
      <x:c r="E1478" s="15" t="str">
        <x:v>Notion</x:v>
      </x:c>
      <x:c r="F1478" s="15" t="str">
        <x:v>Extract claims from Notion — ClaudeCatcher</x:v>
      </x:c>
      <x:c r="G1478" s="15" t="str">
        <x:v>adversarial claims / model overclaim detection</x:v>
      </x:c>
      <x:c r="H1478" s="15" t="str">
        <x:v>source path + receipt + raw/export status + claim/edge/risk delta</x:v>
      </x:c>
      <x:c r="I1478" s="15" t="str">
        <x:v>packet/SWARM-11-H04-S01</x:v>
      </x:c>
      <x:c r="J1478" s="15" t="str">
        <x:v>TODO</x:v>
      </x:c>
      <x:c r="K1478" s="15" t="str">
        <x:v>P0</x:v>
      </x:c>
      <x:c r="L1478" s="15" t="str">
        <x:v>Done only when evidence is logged, contradiction search is noted, and boundary stamp remains non-canon unless ratified</x:v>
      </x:c>
      <x:c r="M1478" s="15" t="str">
        <x:v>candidate / staging-only / not canon / not deployed / authority none</x:v>
      </x:c>
      <x:c r="N1478" s="15" t="str">
        <x:v>Dispatch to ClaudeCatcher: complete Claim Extraction x Notion; return deltas only, receipts required.</x:v>
      </x:c>
      <x:c r="O1478" s="15" t="str">
        <x:v>AF-KG-H04-S01</x:v>
      </x:c>
      <x:c r="P1478" s="15" t="str">
        <x:v>Unverified</x:v>
      </x:c>
      <x:c r="Q1478" s="15" t="str">
        <x:v>Not checked</x:v>
      </x:c>
      <x:c r="R1478" s="15" t="str"/>
      <x:c r="S1478" s="15" t="str"/>
      <x:c r="T1478" s="15" t="str">
        <x:v>Log first source path or blocker</x:v>
      </x:c>
      <x:c r="U1478" s="12" t="str">
        <x:f>IF(OR(P1478="Unverified",Q1478="Not checked"),"BLOCKED_PENDING_RECEIPT","READY_FOR_REVIEW")</x:f>
        <x:v>BLOCKED_PENDING_RECEIPT</x:v>
      </x:c>
      <x:c r="V1478" s="12" t="str">
        <x:f>IF(J1478="DONE","RETURNED",IF(U1478="BLOCKED_PENDING_RECEIPT","SOURCE_TOUCH_REQUIRED","IN_PROGRESS"))</x:f>
        <x:v>SOURCE_TOUCH_REQUIRED</x:v>
      </x:c>
      <x:c r="W1478" s="12" t="str">
        <x:f>IF(P1478="Unverified","missing_receipt","receipt_logged")</x:f>
        <x:v>missing_receipt</x:v>
      </x:c>
      <x:c r="X1478" s="12" t="str">
        <x:f>IF(Q1478="Not checked","raw_status_missing","raw_status_logged")</x:f>
        <x:v>raw_status_missing</x:v>
      </x:c>
      <x:c r="Y1478" s="12" t="str">
        <x:f>IF(U1478="BLOCKED_PENDING_RECEIPT","Log source path or blocker; do not promote","Route to review lane")</x:f>
        <x:v>Log source path or blocker; do not promote</x:v>
      </x:c>
      <x:c r="Z1478" s="12" t="str">
        <x:f>IF(K1478="P0","Primary seat + Hashlight/Lucerna","Seat lane")</x:f>
        <x:v>Primary seat + Hashlight/Lucerna</x:v>
      </x:c>
      <x:c r="AA1478" s="12" t="str">
        <x:f>IF(R1478="","no_claim_delta","claim_delta_present")</x:f>
        <x:v>no_claim_delta</x:v>
      </x:c>
      <x:c r="AB1478" s="12" t="str">
        <x:f>IF(S1478="","no_contradiction_delta","contradiction_delta_present")</x:f>
        <x:v>no_contradiction_delta</x:v>
      </x:c>
      <x:c r="AC1478" s="12" t="str">
        <x:f>IF(OR(ISNUMBER(SEARCH("hacker",LOWER(F1478&amp;" "&amp;H1478&amp;" "&amp;I1478&amp;" "&amp;M1478&amp;" "&amp;N1478&amp;" "&amp;T1478))),ISNUMBER(SEARCH("hacking",LOWER(F1478&amp;" "&amp;H1478&amp;" "&amp;I1478&amp;" "&amp;M1478&amp;" "&amp;N1478&amp;" "&amp;T1478))),ISNUMBER(SEARCH("bank",LOWER(F1478&amp;" "&amp;H1478&amp;" "&amp;I1478&amp;" "&amp;M1478&amp;" "&amp;N1478&amp;" "&amp;T1478))),ISNUMBER(SEARCH("banking",LOWER(F1478&amp;" "&amp;H1478&amp;" "&amp;I1478&amp;" "&amp;M1478&amp;" "&amp;N1478&amp;" "&amp;T1478)))),"PRIVATE_QUARANTINE",IF(OR(ISNUMBER(SEARCH("treasury",LOWER(F1478&amp;" "&amp;H1478&amp;" "&amp;I1478&amp;" "&amp;M1478&amp;" "&amp;N1478&amp;" "&amp;T1478))),ISNUMBER(SEARCH("debt",LOWER(F1478&amp;" "&amp;H1478&amp;" "&amp;I1478&amp;" "&amp;M1478&amp;" "&amp;N1478&amp;" "&amp;T1478))),ISNUMBER(SEARCH("bond",LOWER(F1478&amp;" "&amp;H1478&amp;" "&amp;I1478&amp;" "&amp;M1478&amp;" "&amp;N1478&amp;" "&amp;T1478))),ISNUMBER(SEARCH("transaction",LOWER(F1478&amp;" "&amp;H1478&amp;" "&amp;I1478&amp;" "&amp;M1478&amp;" "&amp;N1478&amp;" "&amp;T1478)))),"PRIVATE_REVIEW","PUBLIC_CANDIDATE"))</x:f>
        <x:v>PUBLIC_CANDIDATE</x:v>
      </x:c>
      <x:c r="AD1478" s="12" t="str">
        <x:f>IF(AC1478="PRIVATE_QUARANTINE","hacker_or_bank_trigger",IF(AC1478="PRIVATE_REVIEW","finance_risk_trigger","none"))</x:f>
        <x:v>none</x:v>
      </x:c>
      <x:c r="AE1478" s="12" t="str">
        <x:f>IF(AC1478="PUBLIC_CANDIDATE","prepare_public_github_candidate",IF(AC1478="PRIVATE_REVIEW","hold_for_private_review","quarantine_private_do_not_publish"))</x:f>
        <x:v>prepare_public_github_candidate</x:v>
      </x:c>
      <x:c r="AF1478" s="12" t="str">
        <x:f>IF(AC1478="PUBLIC_CANDIDATE","TIDELOCK + Lucerna",IF(AC1478="PRIVATE_REVIEW","AtlasBrain + Lucerna","TIDELOCK + Lucerna + Human-root"))</x:f>
        <x:v>TIDELOCK + Lucerna</x:v>
      </x:c>
      <x:c r="AG1478" s="12" t="str">
        <x:f>IF(AND(AC1478="PUBLIC_CANDIDATE",U1478&lt;&gt;"BLOCKED_PENDING_RECEIPT"),"READY_AFTER_RECEIPT","NOT_READY")</x:f>
        <x:v>NOT_READY</x:v>
      </x:c>
      <x:c r="AH1478" s="12" t="str">
        <x:f>IF(AC1478="PUBLIC_CANDIDATE","none",AD1478)</x:f>
        <x:v>none</x:v>
      </x:c>
      <x:c r="AI1478" s="12" t="str">
        <x:f>IF(AC1478="PUBLIC_CANDIDATE","archive/public_candidates/"&amp;A1478,"private_quarantine/"&amp;A1478)</x:f>
        <x:v>archive/public_candidates/SWARM-11-H04-S01</x:v>
      </x:c>
      <x:c r="AJ1478" s="12" t="str">
        <x:f>IF(AC1478="PUBLIC_CANDIDATE","public by default; still not canon","private/hold; do not publish")</x:f>
        <x:v>public by default; still not canon</x:v>
      </x:c>
      <x:c r="AK1478" s="12" t="str">
        <x:f>IF(AE1478="prepare_public_github_candidate","add receipt/status then mirror","resolve blocker before any public GitHub action")</x:f>
        <x:v>add receipt/status then mirror</x:v>
      </x:c>
    </x:row>
    <x:row r="1479">
      <x:c r="A1479" s="15" t="str">
        <x:v>SWARM-11-H04-S02</x:v>
      </x:c>
      <x:c r="B1479" s="15" t="str">
        <x:v>ClaudeCatcher</x:v>
      </x:c>
      <x:c r="C1479" s="15" t="str">
        <x:v>Bullshit Olympics referee</x:v>
      </x:c>
      <x:c r="D1479" s="15" t="str">
        <x:v>Claim Extraction</x:v>
      </x:c>
      <x:c r="E1479" s="15" t="str">
        <x:v>Drive</x:v>
      </x:c>
      <x:c r="F1479" s="15" t="str">
        <x:v>Extract claims from Drive — ClaudeCatcher</x:v>
      </x:c>
      <x:c r="G1479" s="15" t="str">
        <x:v>adversarial claims / model overclaim detection</x:v>
      </x:c>
      <x:c r="H1479" s="15" t="str">
        <x:v>source path + receipt + raw/export status + claim/edge/risk delta</x:v>
      </x:c>
      <x:c r="I1479" s="15" t="str">
        <x:v>packet/SWARM-11-H04-S02</x:v>
      </x:c>
      <x:c r="J1479" s="15" t="str">
        <x:v>TODO</x:v>
      </x:c>
      <x:c r="K1479" s="15" t="str">
        <x:v>P0</x:v>
      </x:c>
      <x:c r="L1479" s="15" t="str">
        <x:v>Done only when evidence is logged, contradiction search is noted, and boundary stamp remains non-canon unless ratified</x:v>
      </x:c>
      <x:c r="M1479" s="15" t="str">
        <x:v>candidate / staging-only / not canon / not deployed / authority none</x:v>
      </x:c>
      <x:c r="N1479" s="15" t="str">
        <x:v>Dispatch to ClaudeCatcher: complete Claim Extraction x Drive; return deltas only, receipts required.</x:v>
      </x:c>
      <x:c r="O1479" s="15" t="str">
        <x:v>AF-KG-H04-S02</x:v>
      </x:c>
      <x:c r="P1479" s="15" t="str">
        <x:v>Unverified</x:v>
      </x:c>
      <x:c r="Q1479" s="15" t="str">
        <x:v>Not checked</x:v>
      </x:c>
      <x:c r="R1479" s="15" t="str"/>
      <x:c r="S1479" s="15" t="str"/>
      <x:c r="T1479" s="15" t="str">
        <x:v>Log first source path or blocker</x:v>
      </x:c>
      <x:c r="U1479" s="12" t="str">
        <x:f>IF(OR(P1479="Unverified",Q1479="Not checked"),"BLOCKED_PENDING_RECEIPT","READY_FOR_REVIEW")</x:f>
        <x:v>BLOCKED_PENDING_RECEIPT</x:v>
      </x:c>
      <x:c r="V1479" s="12" t="str">
        <x:f>IF(J1479="DONE","RETURNED",IF(U1479="BLOCKED_PENDING_RECEIPT","SOURCE_TOUCH_REQUIRED","IN_PROGRESS"))</x:f>
        <x:v>SOURCE_TOUCH_REQUIRED</x:v>
      </x:c>
      <x:c r="W1479" s="12" t="str">
        <x:f>IF(P1479="Unverified","missing_receipt","receipt_logged")</x:f>
        <x:v>missing_receipt</x:v>
      </x:c>
      <x:c r="X1479" s="12" t="str">
        <x:f>IF(Q1479="Not checked","raw_status_missing","raw_status_logged")</x:f>
        <x:v>raw_status_missing</x:v>
      </x:c>
      <x:c r="Y1479" s="12" t="str">
        <x:f>IF(U1479="BLOCKED_PENDING_RECEIPT","Log source path or blocker; do not promote","Route to review lane")</x:f>
        <x:v>Log source path or blocker; do not promote</x:v>
      </x:c>
      <x:c r="Z1479" s="12" t="str">
        <x:f>IF(K1479="P0","Primary seat + Hashlight/Lucerna","Seat lane")</x:f>
        <x:v>Primary seat + Hashlight/Lucerna</x:v>
      </x:c>
      <x:c r="AA1479" s="12" t="str">
        <x:f>IF(R1479="","no_claim_delta","claim_delta_present")</x:f>
        <x:v>no_claim_delta</x:v>
      </x:c>
      <x:c r="AB1479" s="12" t="str">
        <x:f>IF(S1479="","no_contradiction_delta","contradiction_delta_present")</x:f>
        <x:v>no_contradiction_delta</x:v>
      </x:c>
      <x:c r="AC1479" s="12" t="str">
        <x:f>IF(OR(ISNUMBER(SEARCH("hacker",LOWER(F1479&amp;" "&amp;H1479&amp;" "&amp;I1479&amp;" "&amp;M1479&amp;" "&amp;N1479&amp;" "&amp;T1479))),ISNUMBER(SEARCH("hacking",LOWER(F1479&amp;" "&amp;H1479&amp;" "&amp;I1479&amp;" "&amp;M1479&amp;" "&amp;N1479&amp;" "&amp;T1479))),ISNUMBER(SEARCH("bank",LOWER(F1479&amp;" "&amp;H1479&amp;" "&amp;I1479&amp;" "&amp;M1479&amp;" "&amp;N1479&amp;" "&amp;T1479))),ISNUMBER(SEARCH("banking",LOWER(F1479&amp;" "&amp;H1479&amp;" "&amp;I1479&amp;" "&amp;M1479&amp;" "&amp;N1479&amp;" "&amp;T1479)))),"PRIVATE_QUARANTINE",IF(OR(ISNUMBER(SEARCH("treasury",LOWER(F1479&amp;" "&amp;H1479&amp;" "&amp;I1479&amp;" "&amp;M1479&amp;" "&amp;N1479&amp;" "&amp;T1479))),ISNUMBER(SEARCH("debt",LOWER(F1479&amp;" "&amp;H1479&amp;" "&amp;I1479&amp;" "&amp;M1479&amp;" "&amp;N1479&amp;" "&amp;T1479))),ISNUMBER(SEARCH("bond",LOWER(F1479&amp;" "&amp;H1479&amp;" "&amp;I1479&amp;" "&amp;M1479&amp;" "&amp;N1479&amp;" "&amp;T1479))),ISNUMBER(SEARCH("transaction",LOWER(F1479&amp;" "&amp;H1479&amp;" "&amp;I1479&amp;" "&amp;M1479&amp;" "&amp;N1479&amp;" "&amp;T1479)))),"PRIVATE_REVIEW","PUBLIC_CANDIDATE"))</x:f>
        <x:v>PUBLIC_CANDIDATE</x:v>
      </x:c>
      <x:c r="AD1479" s="12" t="str">
        <x:f>IF(AC1479="PRIVATE_QUARANTINE","hacker_or_bank_trigger",IF(AC1479="PRIVATE_REVIEW","finance_risk_trigger","none"))</x:f>
        <x:v>none</x:v>
      </x:c>
      <x:c r="AE1479" s="12" t="str">
        <x:f>IF(AC1479="PUBLIC_CANDIDATE","prepare_public_github_candidate",IF(AC1479="PRIVATE_REVIEW","hold_for_private_review","quarantine_private_do_not_publish"))</x:f>
        <x:v>prepare_public_github_candidate</x:v>
      </x:c>
      <x:c r="AF1479" s="12" t="str">
        <x:f>IF(AC1479="PUBLIC_CANDIDATE","TIDELOCK + Lucerna",IF(AC1479="PRIVATE_REVIEW","AtlasBrain + Lucerna","TIDELOCK + Lucerna + Human-root"))</x:f>
        <x:v>TIDELOCK + Lucerna</x:v>
      </x:c>
      <x:c r="AG1479" s="12" t="str">
        <x:f>IF(AND(AC1479="PUBLIC_CANDIDATE",U1479&lt;&gt;"BLOCKED_PENDING_RECEIPT"),"READY_AFTER_RECEIPT","NOT_READY")</x:f>
        <x:v>NOT_READY</x:v>
      </x:c>
      <x:c r="AH1479" s="12" t="str">
        <x:f>IF(AC1479="PUBLIC_CANDIDATE","none",AD1479)</x:f>
        <x:v>none</x:v>
      </x:c>
      <x:c r="AI1479" s="12" t="str">
        <x:f>IF(AC1479="PUBLIC_CANDIDATE","archive/public_candidates/"&amp;A1479,"private_quarantine/"&amp;A1479)</x:f>
        <x:v>archive/public_candidates/SWARM-11-H04-S02</x:v>
      </x:c>
      <x:c r="AJ1479" s="12" t="str">
        <x:f>IF(AC1479="PUBLIC_CANDIDATE","public by default; still not canon","private/hold; do not publish")</x:f>
        <x:v>public by default; still not canon</x:v>
      </x:c>
      <x:c r="AK1479" s="12" t="str">
        <x:f>IF(AE1479="prepare_public_github_candidate","add receipt/status then mirror","resolve blocker before any public GitHub action")</x:f>
        <x:v>add receipt/status then mirror</x:v>
      </x:c>
    </x:row>
    <x:row r="1480">
      <x:c r="A1480" s="15" t="str">
        <x:v>SWARM-11-H04-S03</x:v>
      </x:c>
      <x:c r="B1480" s="15" t="str">
        <x:v>ClaudeCatcher</x:v>
      </x:c>
      <x:c r="C1480" s="15" t="str">
        <x:v>Bullshit Olympics referee</x:v>
      </x:c>
      <x:c r="D1480" s="15" t="str">
        <x:v>Claim Extraction</x:v>
      </x:c>
      <x:c r="E1480" s="15" t="str">
        <x:v>GitHub</x:v>
      </x:c>
      <x:c r="F1480" s="15" t="str">
        <x:v>Extract claims from GitHub — ClaudeCatcher</x:v>
      </x:c>
      <x:c r="G1480" s="15" t="str">
        <x:v>adversarial claims / model overclaim detection</x:v>
      </x:c>
      <x:c r="H1480" s="15" t="str">
        <x:v>source path + receipt + raw/export status + claim/edge/risk delta</x:v>
      </x:c>
      <x:c r="I1480" s="15" t="str">
        <x:v>packet/SWARM-11-H04-S03</x:v>
      </x:c>
      <x:c r="J1480" s="15" t="str">
        <x:v>TODO</x:v>
      </x:c>
      <x:c r="K1480" s="15" t="str">
        <x:v>P0</x:v>
      </x:c>
      <x:c r="L1480" s="15" t="str">
        <x:v>Done only when evidence is logged, contradiction search is noted, and boundary stamp remains non-canon unless ratified</x:v>
      </x:c>
      <x:c r="M1480" s="15" t="str">
        <x:v>candidate / staging-only / not canon / not deployed / authority none</x:v>
      </x:c>
      <x:c r="N1480" s="15" t="str">
        <x:v>Dispatch to ClaudeCatcher: complete Claim Extraction x GitHub; return deltas only, receipts required.</x:v>
      </x:c>
      <x:c r="O1480" s="15" t="str">
        <x:v>AF-KG-H04-S03</x:v>
      </x:c>
      <x:c r="P1480" s="15" t="str">
        <x:v>Unverified</x:v>
      </x:c>
      <x:c r="Q1480" s="15" t="str">
        <x:v>Not checked</x:v>
      </x:c>
      <x:c r="R1480" s="15" t="str"/>
      <x:c r="S1480" s="15" t="str"/>
      <x:c r="T1480" s="15" t="str">
        <x:v>Log first source path or blocker</x:v>
      </x:c>
      <x:c r="U1480" s="12" t="str">
        <x:f>IF(OR(P1480="Unverified",Q1480="Not checked"),"BLOCKED_PENDING_RECEIPT","READY_FOR_REVIEW")</x:f>
        <x:v>BLOCKED_PENDING_RECEIPT</x:v>
      </x:c>
      <x:c r="V1480" s="12" t="str">
        <x:f>IF(J1480="DONE","RETURNED",IF(U1480="BLOCKED_PENDING_RECEIPT","SOURCE_TOUCH_REQUIRED","IN_PROGRESS"))</x:f>
        <x:v>SOURCE_TOUCH_REQUIRED</x:v>
      </x:c>
      <x:c r="W1480" s="12" t="str">
        <x:f>IF(P1480="Unverified","missing_receipt","receipt_logged")</x:f>
        <x:v>missing_receipt</x:v>
      </x:c>
      <x:c r="X1480" s="12" t="str">
        <x:f>IF(Q1480="Not checked","raw_status_missing","raw_status_logged")</x:f>
        <x:v>raw_status_missing</x:v>
      </x:c>
      <x:c r="Y1480" s="12" t="str">
        <x:f>IF(U1480="BLOCKED_PENDING_RECEIPT","Log source path or blocker; do not promote","Route to review lane")</x:f>
        <x:v>Log source path or blocker; do not promote</x:v>
      </x:c>
      <x:c r="Z1480" s="12" t="str">
        <x:f>IF(K1480="P0","Primary seat + Hashlight/Lucerna","Seat lane")</x:f>
        <x:v>Primary seat + Hashlight/Lucerna</x:v>
      </x:c>
      <x:c r="AA1480" s="12" t="str">
        <x:f>IF(R1480="","no_claim_delta","claim_delta_present")</x:f>
        <x:v>no_claim_delta</x:v>
      </x:c>
      <x:c r="AB1480" s="12" t="str">
        <x:f>IF(S1480="","no_contradiction_delta","contradiction_delta_present")</x:f>
        <x:v>no_contradiction_delta</x:v>
      </x:c>
      <x:c r="AC1480" s="12" t="str">
        <x:f>IF(OR(ISNUMBER(SEARCH("hacker",LOWER(F1480&amp;" "&amp;H1480&amp;" "&amp;I1480&amp;" "&amp;M1480&amp;" "&amp;N1480&amp;" "&amp;T1480))),ISNUMBER(SEARCH("hacking",LOWER(F1480&amp;" "&amp;H1480&amp;" "&amp;I1480&amp;" "&amp;M1480&amp;" "&amp;N1480&amp;" "&amp;T1480))),ISNUMBER(SEARCH("bank",LOWER(F1480&amp;" "&amp;H1480&amp;" "&amp;I1480&amp;" "&amp;M1480&amp;" "&amp;N1480&amp;" "&amp;T1480))),ISNUMBER(SEARCH("banking",LOWER(F1480&amp;" "&amp;H1480&amp;" "&amp;I1480&amp;" "&amp;M1480&amp;" "&amp;N1480&amp;" "&amp;T1480)))),"PRIVATE_QUARANTINE",IF(OR(ISNUMBER(SEARCH("treasury",LOWER(F1480&amp;" "&amp;H1480&amp;" "&amp;I1480&amp;" "&amp;M1480&amp;" "&amp;N1480&amp;" "&amp;T1480))),ISNUMBER(SEARCH("debt",LOWER(F1480&amp;" "&amp;H1480&amp;" "&amp;I1480&amp;" "&amp;M1480&amp;" "&amp;N1480&amp;" "&amp;T1480))),ISNUMBER(SEARCH("bond",LOWER(F1480&amp;" "&amp;H1480&amp;" "&amp;I1480&amp;" "&amp;M1480&amp;" "&amp;N1480&amp;" "&amp;T1480))),ISNUMBER(SEARCH("transaction",LOWER(F1480&amp;" "&amp;H1480&amp;" "&amp;I1480&amp;" "&amp;M1480&amp;" "&amp;N1480&amp;" "&amp;T1480)))),"PRIVATE_REVIEW","PUBLIC_CANDIDATE"))</x:f>
        <x:v>PUBLIC_CANDIDATE</x:v>
      </x:c>
      <x:c r="AD1480" s="12" t="str">
        <x:f>IF(AC1480="PRIVATE_QUARANTINE","hacker_or_bank_trigger",IF(AC1480="PRIVATE_REVIEW","finance_risk_trigger","none"))</x:f>
        <x:v>none</x:v>
      </x:c>
      <x:c r="AE1480" s="12" t="str">
        <x:f>IF(AC1480="PUBLIC_CANDIDATE","prepare_public_github_candidate",IF(AC1480="PRIVATE_REVIEW","hold_for_private_review","quarantine_private_do_not_publish"))</x:f>
        <x:v>prepare_public_github_candidate</x:v>
      </x:c>
      <x:c r="AF1480" s="12" t="str">
        <x:f>IF(AC1480="PUBLIC_CANDIDATE","TIDELOCK + Lucerna",IF(AC1480="PRIVATE_REVIEW","AtlasBrain + Lucerna","TIDELOCK + Lucerna + Human-root"))</x:f>
        <x:v>TIDELOCK + Lucerna</x:v>
      </x:c>
      <x:c r="AG1480" s="12" t="str">
        <x:f>IF(AND(AC1480="PUBLIC_CANDIDATE",U1480&lt;&gt;"BLOCKED_PENDING_RECEIPT"),"READY_AFTER_RECEIPT","NOT_READY")</x:f>
        <x:v>NOT_READY</x:v>
      </x:c>
      <x:c r="AH1480" s="12" t="str">
        <x:f>IF(AC1480="PUBLIC_CANDIDATE","none",AD1480)</x:f>
        <x:v>none</x:v>
      </x:c>
      <x:c r="AI1480" s="12" t="str">
        <x:f>IF(AC1480="PUBLIC_CANDIDATE","archive/public_candidates/"&amp;A1480,"private_quarantine/"&amp;A1480)</x:f>
        <x:v>archive/public_candidates/SWARM-11-H04-S03</x:v>
      </x:c>
      <x:c r="AJ1480" s="12" t="str">
        <x:f>IF(AC1480="PUBLIC_CANDIDATE","public by default; still not canon","private/hold; do not publish")</x:f>
        <x:v>public by default; still not canon</x:v>
      </x:c>
      <x:c r="AK1480" s="12" t="str">
        <x:f>IF(AE1480="prepare_public_github_candidate","add receipt/status then mirror","resolve blocker before any public GitHub action")</x:f>
        <x:v>add receipt/status then mirror</x:v>
      </x:c>
    </x:row>
    <x:row r="1481">
      <x:c r="A1481" s="15" t="str">
        <x:v>SWARM-11-H04-S04</x:v>
      </x:c>
      <x:c r="B1481" s="15" t="str">
        <x:v>ClaudeCatcher</x:v>
      </x:c>
      <x:c r="C1481" s="15" t="str">
        <x:v>Bullshit Olympics referee</x:v>
      </x:c>
      <x:c r="D1481" s="15" t="str">
        <x:v>Claim Extraction</x:v>
      </x:c>
      <x:c r="E1481" s="15" t="str">
        <x:v>Gamma</x:v>
      </x:c>
      <x:c r="F1481" s="15" t="str">
        <x:v>Extract claims from Gamma — ClaudeCatcher</x:v>
      </x:c>
      <x:c r="G1481" s="15" t="str">
        <x:v>adversarial claims / model overclaim detection</x:v>
      </x:c>
      <x:c r="H1481" s="15" t="str">
        <x:v>source path + receipt + raw/export status + claim/edge/risk delta</x:v>
      </x:c>
      <x:c r="I1481" s="15" t="str">
        <x:v>packet/SWARM-11-H04-S04</x:v>
      </x:c>
      <x:c r="J1481" s="15" t="str">
        <x:v>TODO</x:v>
      </x:c>
      <x:c r="K1481" s="15" t="str">
        <x:v>P1</x:v>
      </x:c>
      <x:c r="L1481" s="15" t="str">
        <x:v>Done only when evidence is logged, contradiction search is noted, and boundary stamp remains non-canon unless ratified</x:v>
      </x:c>
      <x:c r="M1481" s="15" t="str">
        <x:v>candidate / staging-only / not canon / not deployed / authority none</x:v>
      </x:c>
      <x:c r="N1481" s="15" t="str">
        <x:v>Dispatch to ClaudeCatcher: complete Claim Extraction x Gamma; return deltas only, receipts required.</x:v>
      </x:c>
      <x:c r="O1481" s="15" t="str">
        <x:v>AF-KG-H04-S04</x:v>
      </x:c>
      <x:c r="P1481" s="15" t="str">
        <x:v>Unverified</x:v>
      </x:c>
      <x:c r="Q1481" s="15" t="str">
        <x:v>Not checked</x:v>
      </x:c>
      <x:c r="R1481" s="15" t="str"/>
      <x:c r="S1481" s="15" t="str"/>
      <x:c r="T1481" s="15" t="str">
        <x:v>Log first source path or blocker</x:v>
      </x:c>
      <x:c r="U1481" s="12" t="str">
        <x:f>IF(OR(P1481="Unverified",Q1481="Not checked"),"BLOCKED_PENDING_RECEIPT","READY_FOR_REVIEW")</x:f>
        <x:v>BLOCKED_PENDING_RECEIPT</x:v>
      </x:c>
      <x:c r="V1481" s="12" t="str">
        <x:f>IF(J1481="DONE","RETURNED",IF(U1481="BLOCKED_PENDING_RECEIPT","SOURCE_TOUCH_REQUIRED","IN_PROGRESS"))</x:f>
        <x:v>SOURCE_TOUCH_REQUIRED</x:v>
      </x:c>
      <x:c r="W1481" s="12" t="str">
        <x:f>IF(P1481="Unverified","missing_receipt","receipt_logged")</x:f>
        <x:v>missing_receipt</x:v>
      </x:c>
      <x:c r="X1481" s="12" t="str">
        <x:f>IF(Q1481="Not checked","raw_status_missing","raw_status_logged")</x:f>
        <x:v>raw_status_missing</x:v>
      </x:c>
      <x:c r="Y1481" s="12" t="str">
        <x:f>IF(U1481="BLOCKED_PENDING_RECEIPT","Log source path or blocker; do not promote","Route to review lane")</x:f>
        <x:v>Log source path or blocker; do not promote</x:v>
      </x:c>
      <x:c r="Z1481" s="12" t="str">
        <x:f>IF(K1481="P0","Primary seat + Hashlight/Lucerna","Seat lane")</x:f>
        <x:v>Seat lane</x:v>
      </x:c>
      <x:c r="AA1481" s="12" t="str">
        <x:f>IF(R1481="","no_claim_delta","claim_delta_present")</x:f>
        <x:v>no_claim_delta</x:v>
      </x:c>
      <x:c r="AB1481" s="12" t="str">
        <x:f>IF(S1481="","no_contradiction_delta","contradiction_delta_present")</x:f>
        <x:v>no_contradiction_delta</x:v>
      </x:c>
      <x:c r="AC1481" s="12" t="str">
        <x:f>IF(OR(ISNUMBER(SEARCH("hacker",LOWER(F1481&amp;" "&amp;H1481&amp;" "&amp;I1481&amp;" "&amp;M1481&amp;" "&amp;N1481&amp;" "&amp;T1481))),ISNUMBER(SEARCH("hacking",LOWER(F1481&amp;" "&amp;H1481&amp;" "&amp;I1481&amp;" "&amp;M1481&amp;" "&amp;N1481&amp;" "&amp;T1481))),ISNUMBER(SEARCH("bank",LOWER(F1481&amp;" "&amp;H1481&amp;" "&amp;I1481&amp;" "&amp;M1481&amp;" "&amp;N1481&amp;" "&amp;T1481))),ISNUMBER(SEARCH("banking",LOWER(F1481&amp;" "&amp;H1481&amp;" "&amp;I1481&amp;" "&amp;M1481&amp;" "&amp;N1481&amp;" "&amp;T1481)))),"PRIVATE_QUARANTINE",IF(OR(ISNUMBER(SEARCH("treasury",LOWER(F1481&amp;" "&amp;H1481&amp;" "&amp;I1481&amp;" "&amp;M1481&amp;" "&amp;N1481&amp;" "&amp;T1481))),ISNUMBER(SEARCH("debt",LOWER(F1481&amp;" "&amp;H1481&amp;" "&amp;I1481&amp;" "&amp;M1481&amp;" "&amp;N1481&amp;" "&amp;T1481))),ISNUMBER(SEARCH("bond",LOWER(F1481&amp;" "&amp;H1481&amp;" "&amp;I1481&amp;" "&amp;M1481&amp;" "&amp;N1481&amp;" "&amp;T1481))),ISNUMBER(SEARCH("transaction",LOWER(F1481&amp;" "&amp;H1481&amp;" "&amp;I1481&amp;" "&amp;M1481&amp;" "&amp;N1481&amp;" "&amp;T1481)))),"PRIVATE_REVIEW","PUBLIC_CANDIDATE"))</x:f>
        <x:v>PUBLIC_CANDIDATE</x:v>
      </x:c>
      <x:c r="AD1481" s="12" t="str">
        <x:f>IF(AC1481="PRIVATE_QUARANTINE","hacker_or_bank_trigger",IF(AC1481="PRIVATE_REVIEW","finance_risk_trigger","none"))</x:f>
        <x:v>none</x:v>
      </x:c>
      <x:c r="AE1481" s="12" t="str">
        <x:f>IF(AC1481="PUBLIC_CANDIDATE","prepare_public_github_candidate",IF(AC1481="PRIVATE_REVIEW","hold_for_private_review","quarantine_private_do_not_publish"))</x:f>
        <x:v>prepare_public_github_candidate</x:v>
      </x:c>
      <x:c r="AF1481" s="12" t="str">
        <x:f>IF(AC1481="PUBLIC_CANDIDATE","TIDELOCK + Lucerna",IF(AC1481="PRIVATE_REVIEW","AtlasBrain + Lucerna","TIDELOCK + Lucerna + Human-root"))</x:f>
        <x:v>TIDELOCK + Lucerna</x:v>
      </x:c>
      <x:c r="AG1481" s="12" t="str">
        <x:f>IF(AND(AC1481="PUBLIC_CANDIDATE",U1481&lt;&gt;"BLOCKED_PENDING_RECEIPT"),"READY_AFTER_RECEIPT","NOT_READY")</x:f>
        <x:v>NOT_READY</x:v>
      </x:c>
      <x:c r="AH1481" s="12" t="str">
        <x:f>IF(AC1481="PUBLIC_CANDIDATE","none",AD1481)</x:f>
        <x:v>none</x:v>
      </x:c>
      <x:c r="AI1481" s="12" t="str">
        <x:f>IF(AC1481="PUBLIC_CANDIDATE","archive/public_candidates/"&amp;A1481,"private_quarantine/"&amp;A1481)</x:f>
        <x:v>archive/public_candidates/SWARM-11-H04-S04</x:v>
      </x:c>
      <x:c r="AJ1481" s="12" t="str">
        <x:f>IF(AC1481="PUBLIC_CANDIDATE","public by default; still not canon","private/hold; do not publish")</x:f>
        <x:v>public by default; still not canon</x:v>
      </x:c>
      <x:c r="AK1481" s="12" t="str">
        <x:f>IF(AE1481="prepare_public_github_candidate","add receipt/status then mirror","resolve blocker before any public GitHub action")</x:f>
        <x:v>add receipt/status then mirror</x:v>
      </x:c>
    </x:row>
    <x:row r="1482">
      <x:c r="A1482" s="15" t="str">
        <x:v>SWARM-11-H04-S05</x:v>
      </x:c>
      <x:c r="B1482" s="15" t="str">
        <x:v>ClaudeCatcher</x:v>
      </x:c>
      <x:c r="C1482" s="15" t="str">
        <x:v>Bullshit Olympics referee</x:v>
      </x:c>
      <x:c r="D1482" s="15" t="str">
        <x:v>Claim Extraction</x:v>
      </x:c>
      <x:c r="E1482" s="15" t="str">
        <x:v>Chat</x:v>
      </x:c>
      <x:c r="F1482" s="15" t="str">
        <x:v>Extract claims from Chat — ClaudeCatcher</x:v>
      </x:c>
      <x:c r="G1482" s="15" t="str">
        <x:v>adversarial claims / model overclaim detection</x:v>
      </x:c>
      <x:c r="H1482" s="15" t="str">
        <x:v>source path + receipt + raw/export status + claim/edge/risk delta</x:v>
      </x:c>
      <x:c r="I1482" s="15" t="str">
        <x:v>packet/SWARM-11-H04-S05</x:v>
      </x:c>
      <x:c r="J1482" s="15" t="str">
        <x:v>TODO</x:v>
      </x:c>
      <x:c r="K1482" s="15" t="str">
        <x:v>P1</x:v>
      </x:c>
      <x:c r="L1482" s="15" t="str">
        <x:v>Done only when evidence is logged, contradiction search is noted, and boundary stamp remains non-canon unless ratified</x:v>
      </x:c>
      <x:c r="M1482" s="15" t="str">
        <x:v>candidate / staging-only / not canon / not deployed / authority none</x:v>
      </x:c>
      <x:c r="N1482" s="15" t="str">
        <x:v>Dispatch to ClaudeCatcher: complete Claim Extraction x Chat; return deltas only, receipts required.</x:v>
      </x:c>
      <x:c r="O1482" s="15" t="str">
        <x:v>AF-KG-H04-S05</x:v>
      </x:c>
      <x:c r="P1482" s="15" t="str">
        <x:v>Unverified</x:v>
      </x:c>
      <x:c r="Q1482" s="15" t="str">
        <x:v>Not checked</x:v>
      </x:c>
      <x:c r="R1482" s="15" t="str"/>
      <x:c r="S1482" s="15" t="str"/>
      <x:c r="T1482" s="15" t="str">
        <x:v>Log first source path or blocker</x:v>
      </x:c>
      <x:c r="U1482" s="12" t="str">
        <x:f>IF(OR(P1482="Unverified",Q1482="Not checked"),"BLOCKED_PENDING_RECEIPT","READY_FOR_REVIEW")</x:f>
        <x:v>BLOCKED_PENDING_RECEIPT</x:v>
      </x:c>
      <x:c r="V1482" s="12" t="str">
        <x:f>IF(J1482="DONE","RETURNED",IF(U1482="BLOCKED_PENDING_RECEIPT","SOURCE_TOUCH_REQUIRED","IN_PROGRESS"))</x:f>
        <x:v>SOURCE_TOUCH_REQUIRED</x:v>
      </x:c>
      <x:c r="W1482" s="12" t="str">
        <x:f>IF(P1482="Unverified","missing_receipt","receipt_logged")</x:f>
        <x:v>missing_receipt</x:v>
      </x:c>
      <x:c r="X1482" s="12" t="str">
        <x:f>IF(Q1482="Not checked","raw_status_missing","raw_status_logged")</x:f>
        <x:v>raw_status_missing</x:v>
      </x:c>
      <x:c r="Y1482" s="12" t="str">
        <x:f>IF(U1482="BLOCKED_PENDING_RECEIPT","Log source path or blocker; do not promote","Route to review lane")</x:f>
        <x:v>Log source path or blocker; do not promote</x:v>
      </x:c>
      <x:c r="Z1482" s="12" t="str">
        <x:f>IF(K1482="P0","Primary seat + Hashlight/Lucerna","Seat lane")</x:f>
        <x:v>Seat lane</x:v>
      </x:c>
      <x:c r="AA1482" s="12" t="str">
        <x:f>IF(R1482="","no_claim_delta","claim_delta_present")</x:f>
        <x:v>no_claim_delta</x:v>
      </x:c>
      <x:c r="AB1482" s="12" t="str">
        <x:f>IF(S1482="","no_contradiction_delta","contradiction_delta_present")</x:f>
        <x:v>no_contradiction_delta</x:v>
      </x:c>
      <x:c r="AC1482" s="12" t="str">
        <x:f>IF(OR(ISNUMBER(SEARCH("hacker",LOWER(F1482&amp;" "&amp;H1482&amp;" "&amp;I1482&amp;" "&amp;M1482&amp;" "&amp;N1482&amp;" "&amp;T1482))),ISNUMBER(SEARCH("hacking",LOWER(F1482&amp;" "&amp;H1482&amp;" "&amp;I1482&amp;" "&amp;M1482&amp;" "&amp;N1482&amp;" "&amp;T1482))),ISNUMBER(SEARCH("bank",LOWER(F1482&amp;" "&amp;H1482&amp;" "&amp;I1482&amp;" "&amp;M1482&amp;" "&amp;N1482&amp;" "&amp;T1482))),ISNUMBER(SEARCH("banking",LOWER(F1482&amp;" "&amp;H1482&amp;" "&amp;I1482&amp;" "&amp;M1482&amp;" "&amp;N1482&amp;" "&amp;T1482)))),"PRIVATE_QUARANTINE",IF(OR(ISNUMBER(SEARCH("treasury",LOWER(F1482&amp;" "&amp;H1482&amp;" "&amp;I1482&amp;" "&amp;M1482&amp;" "&amp;N1482&amp;" "&amp;T1482))),ISNUMBER(SEARCH("debt",LOWER(F1482&amp;" "&amp;H1482&amp;" "&amp;I1482&amp;" "&amp;M1482&amp;" "&amp;N1482&amp;" "&amp;T1482))),ISNUMBER(SEARCH("bond",LOWER(F1482&amp;" "&amp;H1482&amp;" "&amp;I1482&amp;" "&amp;M1482&amp;" "&amp;N1482&amp;" "&amp;T1482))),ISNUMBER(SEARCH("transaction",LOWER(F1482&amp;" "&amp;H1482&amp;" "&amp;I1482&amp;" "&amp;M1482&amp;" "&amp;N1482&amp;" "&amp;T1482)))),"PRIVATE_REVIEW","PUBLIC_CANDIDATE"))</x:f>
        <x:v>PUBLIC_CANDIDATE</x:v>
      </x:c>
      <x:c r="AD1482" s="12" t="str">
        <x:f>IF(AC1482="PRIVATE_QUARANTINE","hacker_or_bank_trigger",IF(AC1482="PRIVATE_REVIEW","finance_risk_trigger","none"))</x:f>
        <x:v>none</x:v>
      </x:c>
      <x:c r="AE1482" s="12" t="str">
        <x:f>IF(AC1482="PUBLIC_CANDIDATE","prepare_public_github_candidate",IF(AC1482="PRIVATE_REVIEW","hold_for_private_review","quarantine_private_do_not_publish"))</x:f>
        <x:v>prepare_public_github_candidate</x:v>
      </x:c>
      <x:c r="AF1482" s="12" t="str">
        <x:f>IF(AC1482="PUBLIC_CANDIDATE","TIDELOCK + Lucerna",IF(AC1482="PRIVATE_REVIEW","AtlasBrain + Lucerna","TIDELOCK + Lucerna + Human-root"))</x:f>
        <x:v>TIDELOCK + Lucerna</x:v>
      </x:c>
      <x:c r="AG1482" s="12" t="str">
        <x:f>IF(AND(AC1482="PUBLIC_CANDIDATE",U1482&lt;&gt;"BLOCKED_PENDING_RECEIPT"),"READY_AFTER_RECEIPT","NOT_READY")</x:f>
        <x:v>NOT_READY</x:v>
      </x:c>
      <x:c r="AH1482" s="12" t="str">
        <x:f>IF(AC1482="PUBLIC_CANDIDATE","none",AD1482)</x:f>
        <x:v>none</x:v>
      </x:c>
      <x:c r="AI1482" s="12" t="str">
        <x:f>IF(AC1482="PUBLIC_CANDIDATE","archive/public_candidates/"&amp;A1482,"private_quarantine/"&amp;A1482)</x:f>
        <x:v>archive/public_candidates/SWARM-11-H04-S05</x:v>
      </x:c>
      <x:c r="AJ1482" s="12" t="str">
        <x:f>IF(AC1482="PUBLIC_CANDIDATE","public by default; still not canon","private/hold; do not publish")</x:f>
        <x:v>public by default; still not canon</x:v>
      </x:c>
      <x:c r="AK1482" s="12" t="str">
        <x:f>IF(AE1482="prepare_public_github_candidate","add receipt/status then mirror","resolve blocker before any public GitHub action")</x:f>
        <x:v>add receipt/status then mirror</x:v>
      </x:c>
    </x:row>
    <x:row r="1483">
      <x:c r="A1483" s="15" t="str">
        <x:v>SWARM-11-H04-S06</x:v>
      </x:c>
      <x:c r="B1483" s="15" t="str">
        <x:v>ClaudeCatcher</x:v>
      </x:c>
      <x:c r="C1483" s="15" t="str">
        <x:v>Bullshit Olympics referee</x:v>
      </x:c>
      <x:c r="D1483" s="15" t="str">
        <x:v>Claim Extraction</x:v>
      </x:c>
      <x:c r="E1483" s="15" t="str">
        <x:v>External Web</x:v>
      </x:c>
      <x:c r="F1483" s="15" t="str">
        <x:v>Extract claims from External Web — ClaudeCatcher</x:v>
      </x:c>
      <x:c r="G1483" s="15" t="str">
        <x:v>adversarial claims / model overclaim detection</x:v>
      </x:c>
      <x:c r="H1483" s="15" t="str">
        <x:v>source path + receipt + raw/export status + claim/edge/risk delta</x:v>
      </x:c>
      <x:c r="I1483" s="15" t="str">
        <x:v>packet/SWARM-11-H04-S06</x:v>
      </x:c>
      <x:c r="J1483" s="15" t="str">
        <x:v>TODO</x:v>
      </x:c>
      <x:c r="K1483" s="15" t="str">
        <x:v>P1</x:v>
      </x:c>
      <x:c r="L1483" s="15" t="str">
        <x:v>Done only when evidence is logged, contradiction search is noted, and boundary stamp remains non-canon unless ratified</x:v>
      </x:c>
      <x:c r="M1483" s="15" t="str">
        <x:v>candidate / staging-only / not canon / not deployed / authority none</x:v>
      </x:c>
      <x:c r="N1483" s="15" t="str">
        <x:v>Dispatch to ClaudeCatcher: complete Claim Extraction x External Web; return deltas only, receipts required.</x:v>
      </x:c>
      <x:c r="O1483" s="15" t="str">
        <x:v>AF-KG-H04-S06</x:v>
      </x:c>
      <x:c r="P1483" s="15" t="str">
        <x:v>Unverified</x:v>
      </x:c>
      <x:c r="Q1483" s="15" t="str">
        <x:v>Not checked</x:v>
      </x:c>
      <x:c r="R1483" s="15" t="str"/>
      <x:c r="S1483" s="15" t="str"/>
      <x:c r="T1483" s="15" t="str">
        <x:v>Log first source path or blocker</x:v>
      </x:c>
      <x:c r="U1483" s="12" t="str">
        <x:f>IF(OR(P1483="Unverified",Q1483="Not checked"),"BLOCKED_PENDING_RECEIPT","READY_FOR_REVIEW")</x:f>
        <x:v>BLOCKED_PENDING_RECEIPT</x:v>
      </x:c>
      <x:c r="V1483" s="12" t="str">
        <x:f>IF(J1483="DONE","RETURNED",IF(U1483="BLOCKED_PENDING_RECEIPT","SOURCE_TOUCH_REQUIRED","IN_PROGRESS"))</x:f>
        <x:v>SOURCE_TOUCH_REQUIRED</x:v>
      </x:c>
      <x:c r="W1483" s="12" t="str">
        <x:f>IF(P1483="Unverified","missing_receipt","receipt_logged")</x:f>
        <x:v>missing_receipt</x:v>
      </x:c>
      <x:c r="X1483" s="12" t="str">
        <x:f>IF(Q1483="Not checked","raw_status_missing","raw_status_logged")</x:f>
        <x:v>raw_status_missing</x:v>
      </x:c>
      <x:c r="Y1483" s="12" t="str">
        <x:f>IF(U1483="BLOCKED_PENDING_RECEIPT","Log source path or blocker; do not promote","Route to review lane")</x:f>
        <x:v>Log source path or blocker; do not promote</x:v>
      </x:c>
      <x:c r="Z1483" s="12" t="str">
        <x:f>IF(K1483="P0","Primary seat + Hashlight/Lucerna","Seat lane")</x:f>
        <x:v>Seat lane</x:v>
      </x:c>
      <x:c r="AA1483" s="12" t="str">
        <x:f>IF(R1483="","no_claim_delta","claim_delta_present")</x:f>
        <x:v>no_claim_delta</x:v>
      </x:c>
      <x:c r="AB1483" s="12" t="str">
        <x:f>IF(S1483="","no_contradiction_delta","contradiction_delta_present")</x:f>
        <x:v>no_contradiction_delta</x:v>
      </x:c>
      <x:c r="AC1483" s="12" t="str">
        <x:f>IF(OR(ISNUMBER(SEARCH("hacker",LOWER(F1483&amp;" "&amp;H1483&amp;" "&amp;I1483&amp;" "&amp;M1483&amp;" "&amp;N1483&amp;" "&amp;T1483))),ISNUMBER(SEARCH("hacking",LOWER(F1483&amp;" "&amp;H1483&amp;" "&amp;I1483&amp;" "&amp;M1483&amp;" "&amp;N1483&amp;" "&amp;T1483))),ISNUMBER(SEARCH("bank",LOWER(F1483&amp;" "&amp;H1483&amp;" "&amp;I1483&amp;" "&amp;M1483&amp;" "&amp;N1483&amp;" "&amp;T1483))),ISNUMBER(SEARCH("banking",LOWER(F1483&amp;" "&amp;H1483&amp;" "&amp;I1483&amp;" "&amp;M1483&amp;" "&amp;N1483&amp;" "&amp;T1483)))),"PRIVATE_QUARANTINE",IF(OR(ISNUMBER(SEARCH("treasury",LOWER(F1483&amp;" "&amp;H1483&amp;" "&amp;I1483&amp;" "&amp;M1483&amp;" "&amp;N1483&amp;" "&amp;T1483))),ISNUMBER(SEARCH("debt",LOWER(F1483&amp;" "&amp;H1483&amp;" "&amp;I1483&amp;" "&amp;M1483&amp;" "&amp;N1483&amp;" "&amp;T1483))),ISNUMBER(SEARCH("bond",LOWER(F1483&amp;" "&amp;H1483&amp;" "&amp;I1483&amp;" "&amp;M1483&amp;" "&amp;N1483&amp;" "&amp;T1483))),ISNUMBER(SEARCH("transaction",LOWER(F1483&amp;" "&amp;H1483&amp;" "&amp;I1483&amp;" "&amp;M1483&amp;" "&amp;N1483&amp;" "&amp;T1483)))),"PRIVATE_REVIEW","PUBLIC_CANDIDATE"))</x:f>
        <x:v>PUBLIC_CANDIDATE</x:v>
      </x:c>
      <x:c r="AD1483" s="12" t="str">
        <x:f>IF(AC1483="PRIVATE_QUARANTINE","hacker_or_bank_trigger",IF(AC1483="PRIVATE_REVIEW","finance_risk_trigger","none"))</x:f>
        <x:v>none</x:v>
      </x:c>
      <x:c r="AE1483" s="12" t="str">
        <x:f>IF(AC1483="PUBLIC_CANDIDATE","prepare_public_github_candidate",IF(AC1483="PRIVATE_REVIEW","hold_for_private_review","quarantine_private_do_not_publish"))</x:f>
        <x:v>prepare_public_github_candidate</x:v>
      </x:c>
      <x:c r="AF1483" s="12" t="str">
        <x:f>IF(AC1483="PUBLIC_CANDIDATE","TIDELOCK + Lucerna",IF(AC1483="PRIVATE_REVIEW","AtlasBrain + Lucerna","TIDELOCK + Lucerna + Human-root"))</x:f>
        <x:v>TIDELOCK + Lucerna</x:v>
      </x:c>
      <x:c r="AG1483" s="12" t="str">
        <x:f>IF(AND(AC1483="PUBLIC_CANDIDATE",U1483&lt;&gt;"BLOCKED_PENDING_RECEIPT"),"READY_AFTER_RECEIPT","NOT_READY")</x:f>
        <x:v>NOT_READY</x:v>
      </x:c>
      <x:c r="AH1483" s="12" t="str">
        <x:f>IF(AC1483="PUBLIC_CANDIDATE","none",AD1483)</x:f>
        <x:v>none</x:v>
      </x:c>
      <x:c r="AI1483" s="12" t="str">
        <x:f>IF(AC1483="PUBLIC_CANDIDATE","archive/public_candidates/"&amp;A1483,"private_quarantine/"&amp;A1483)</x:f>
        <x:v>archive/public_candidates/SWARM-11-H04-S06</x:v>
      </x:c>
      <x:c r="AJ1483" s="12" t="str">
        <x:f>IF(AC1483="PUBLIC_CANDIDATE","public by default; still not canon","private/hold; do not publish")</x:f>
        <x:v>public by default; still not canon</x:v>
      </x:c>
      <x:c r="AK1483" s="12" t="str">
        <x:f>IF(AE1483="prepare_public_github_candidate","add receipt/status then mirror","resolve blocker before any public GitHub action")</x:f>
        <x:v>add receipt/status then mirror</x:v>
      </x:c>
    </x:row>
    <x:row r="1484">
      <x:c r="A1484" s="15" t="str">
        <x:v>SWARM-11-H04-S07</x:v>
      </x:c>
      <x:c r="B1484" s="15" t="str">
        <x:v>ClaudeCatcher</x:v>
      </x:c>
      <x:c r="C1484" s="15" t="str">
        <x:v>Bullshit Olympics referee</x:v>
      </x:c>
      <x:c r="D1484" s="15" t="str">
        <x:v>Claim Extraction</x:v>
      </x:c>
      <x:c r="E1484" s="15" t="str">
        <x:v>Planetarium</x:v>
      </x:c>
      <x:c r="F1484" s="15" t="str">
        <x:v>Extract claims from Planetarium — ClaudeCatcher</x:v>
      </x:c>
      <x:c r="G1484" s="15" t="str">
        <x:v>adversarial claims / model overclaim detection</x:v>
      </x:c>
      <x:c r="H1484" s="15" t="str">
        <x:v>source path + receipt + raw/export status + claim/edge/risk delta</x:v>
      </x:c>
      <x:c r="I1484" s="15" t="str">
        <x:v>packet/SWARM-11-H04-S07</x:v>
      </x:c>
      <x:c r="J1484" s="15" t="str">
        <x:v>TODO</x:v>
      </x:c>
      <x:c r="K1484" s="15" t="str">
        <x:v>P1</x:v>
      </x:c>
      <x:c r="L1484" s="15" t="str">
        <x:v>Done only when evidence is logged, contradiction search is noted, and boundary stamp remains non-canon unless ratified</x:v>
      </x:c>
      <x:c r="M1484" s="15" t="str">
        <x:v>candidate / staging-only / not canon / not deployed / authority none</x:v>
      </x:c>
      <x:c r="N1484" s="15" t="str">
        <x:v>Dispatch to ClaudeCatcher: complete Claim Extraction x Planetarium; return deltas only, receipts required.</x:v>
      </x:c>
      <x:c r="O1484" s="15" t="str">
        <x:v>AF-KG-H04-S07</x:v>
      </x:c>
      <x:c r="P1484" s="15" t="str">
        <x:v>Unverified</x:v>
      </x:c>
      <x:c r="Q1484" s="15" t="str">
        <x:v>Not checked</x:v>
      </x:c>
      <x:c r="R1484" s="15" t="str"/>
      <x:c r="S1484" s="15" t="str"/>
      <x:c r="T1484" s="15" t="str">
        <x:v>Log first source path or blocker</x:v>
      </x:c>
      <x:c r="U1484" s="12" t="str">
        <x:f>IF(OR(P1484="Unverified",Q1484="Not checked"),"BLOCKED_PENDING_RECEIPT","READY_FOR_REVIEW")</x:f>
        <x:v>BLOCKED_PENDING_RECEIPT</x:v>
      </x:c>
      <x:c r="V1484" s="12" t="str">
        <x:f>IF(J1484="DONE","RETURNED",IF(U1484="BLOCKED_PENDING_RECEIPT","SOURCE_TOUCH_REQUIRED","IN_PROGRESS"))</x:f>
        <x:v>SOURCE_TOUCH_REQUIRED</x:v>
      </x:c>
      <x:c r="W1484" s="12" t="str">
        <x:f>IF(P1484="Unverified","missing_receipt","receipt_logged")</x:f>
        <x:v>missing_receipt</x:v>
      </x:c>
      <x:c r="X1484" s="12" t="str">
        <x:f>IF(Q1484="Not checked","raw_status_missing","raw_status_logged")</x:f>
        <x:v>raw_status_missing</x:v>
      </x:c>
      <x:c r="Y1484" s="12" t="str">
        <x:f>IF(U1484="BLOCKED_PENDING_RECEIPT","Log source path or blocker; do not promote","Route to review lane")</x:f>
        <x:v>Log source path or blocker; do not promote</x:v>
      </x:c>
      <x:c r="Z1484" s="12" t="str">
        <x:f>IF(K1484="P0","Primary seat + Hashlight/Lucerna","Seat lane")</x:f>
        <x:v>Seat lane</x:v>
      </x:c>
      <x:c r="AA1484" s="12" t="str">
        <x:f>IF(R1484="","no_claim_delta","claim_delta_present")</x:f>
        <x:v>no_claim_delta</x:v>
      </x:c>
      <x:c r="AB1484" s="12" t="str">
        <x:f>IF(S1484="","no_contradiction_delta","contradiction_delta_present")</x:f>
        <x:v>no_contradiction_delta</x:v>
      </x:c>
      <x:c r="AC1484" s="12" t="str">
        <x:f>IF(OR(ISNUMBER(SEARCH("hacker",LOWER(F1484&amp;" "&amp;H1484&amp;" "&amp;I1484&amp;" "&amp;M1484&amp;" "&amp;N1484&amp;" "&amp;T1484))),ISNUMBER(SEARCH("hacking",LOWER(F1484&amp;" "&amp;H1484&amp;" "&amp;I1484&amp;" "&amp;M1484&amp;" "&amp;N1484&amp;" "&amp;T1484))),ISNUMBER(SEARCH("bank",LOWER(F1484&amp;" "&amp;H1484&amp;" "&amp;I1484&amp;" "&amp;M1484&amp;" "&amp;N1484&amp;" "&amp;T1484))),ISNUMBER(SEARCH("banking",LOWER(F1484&amp;" "&amp;H1484&amp;" "&amp;I1484&amp;" "&amp;M1484&amp;" "&amp;N1484&amp;" "&amp;T1484)))),"PRIVATE_QUARANTINE",IF(OR(ISNUMBER(SEARCH("treasury",LOWER(F1484&amp;" "&amp;H1484&amp;" "&amp;I1484&amp;" "&amp;M1484&amp;" "&amp;N1484&amp;" "&amp;T1484))),ISNUMBER(SEARCH("debt",LOWER(F1484&amp;" "&amp;H1484&amp;" "&amp;I1484&amp;" "&amp;M1484&amp;" "&amp;N1484&amp;" "&amp;T1484))),ISNUMBER(SEARCH("bond",LOWER(F1484&amp;" "&amp;H1484&amp;" "&amp;I1484&amp;" "&amp;M1484&amp;" "&amp;N1484&amp;" "&amp;T1484))),ISNUMBER(SEARCH("transaction",LOWER(F1484&amp;" "&amp;H1484&amp;" "&amp;I1484&amp;" "&amp;M1484&amp;" "&amp;N1484&amp;" "&amp;T1484)))),"PRIVATE_REVIEW","PUBLIC_CANDIDATE"))</x:f>
        <x:v>PUBLIC_CANDIDATE</x:v>
      </x:c>
      <x:c r="AD1484" s="12" t="str">
        <x:f>IF(AC1484="PRIVATE_QUARANTINE","hacker_or_bank_trigger",IF(AC1484="PRIVATE_REVIEW","finance_risk_trigger","none"))</x:f>
        <x:v>none</x:v>
      </x:c>
      <x:c r="AE1484" s="12" t="str">
        <x:f>IF(AC1484="PUBLIC_CANDIDATE","prepare_public_github_candidate",IF(AC1484="PRIVATE_REVIEW","hold_for_private_review","quarantine_private_do_not_publish"))</x:f>
        <x:v>prepare_public_github_candidate</x:v>
      </x:c>
      <x:c r="AF1484" s="12" t="str">
        <x:f>IF(AC1484="PUBLIC_CANDIDATE","TIDELOCK + Lucerna",IF(AC1484="PRIVATE_REVIEW","AtlasBrain + Lucerna","TIDELOCK + Lucerna + Human-root"))</x:f>
        <x:v>TIDELOCK + Lucerna</x:v>
      </x:c>
      <x:c r="AG1484" s="12" t="str">
        <x:f>IF(AND(AC1484="PUBLIC_CANDIDATE",U1484&lt;&gt;"BLOCKED_PENDING_RECEIPT"),"READY_AFTER_RECEIPT","NOT_READY")</x:f>
        <x:v>NOT_READY</x:v>
      </x:c>
      <x:c r="AH1484" s="12" t="str">
        <x:f>IF(AC1484="PUBLIC_CANDIDATE","none",AD1484)</x:f>
        <x:v>none</x:v>
      </x:c>
      <x:c r="AI1484" s="12" t="str">
        <x:f>IF(AC1484="PUBLIC_CANDIDATE","archive/public_candidates/"&amp;A1484,"private_quarantine/"&amp;A1484)</x:f>
        <x:v>archive/public_candidates/SWARM-11-H04-S07</x:v>
      </x:c>
      <x:c r="AJ1484" s="12" t="str">
        <x:f>IF(AC1484="PUBLIC_CANDIDATE","public by default; still not canon","private/hold; do not publish")</x:f>
        <x:v>public by default; still not canon</x:v>
      </x:c>
      <x:c r="AK1484" s="12" t="str">
        <x:f>IF(AE1484="prepare_public_github_candidate","add receipt/status then mirror","resolve blocker before any public GitHub action")</x:f>
        <x:v>add receipt/status then mirror</x:v>
      </x:c>
    </x:row>
    <x:row r="1485">
      <x:c r="A1485" s="15" t="str">
        <x:v>SWARM-11-H04-S08</x:v>
      </x:c>
      <x:c r="B1485" s="15" t="str">
        <x:v>ClaudeCatcher</x:v>
      </x:c>
      <x:c r="C1485" s="15" t="str">
        <x:v>Bullshit Olympics referee</x:v>
      </x:c>
      <x:c r="D1485" s="15" t="str">
        <x:v>Claim Extraction</x:v>
      </x:c>
      <x:c r="E1485" s="15" t="str">
        <x:v>Sheldonbrain</x:v>
      </x:c>
      <x:c r="F1485" s="15" t="str">
        <x:v>Extract claims from Sheldonbrain — ClaudeCatcher</x:v>
      </x:c>
      <x:c r="G1485" s="15" t="str">
        <x:v>adversarial claims / model overclaim detection</x:v>
      </x:c>
      <x:c r="H1485" s="15" t="str">
        <x:v>source path + receipt + raw/export status + claim/edge/risk delta</x:v>
      </x:c>
      <x:c r="I1485" s="15" t="str">
        <x:v>packet/SWARM-11-H04-S08</x:v>
      </x:c>
      <x:c r="J1485" s="15" t="str">
        <x:v>TODO</x:v>
      </x:c>
      <x:c r="K1485" s="15" t="str">
        <x:v>P1</x:v>
      </x:c>
      <x:c r="L1485" s="15" t="str">
        <x:v>Done only when evidence is logged, contradiction search is noted, and boundary stamp remains non-canon unless ratified</x:v>
      </x:c>
      <x:c r="M1485" s="15" t="str">
        <x:v>candidate / staging-only / not canon / not deployed / authority none</x:v>
      </x:c>
      <x:c r="N1485" s="15" t="str">
        <x:v>Dispatch to ClaudeCatcher: complete Claim Extraction x Sheldonbrain; return deltas only, receipts required.</x:v>
      </x:c>
      <x:c r="O1485" s="15" t="str">
        <x:v>AF-KG-H04-S08</x:v>
      </x:c>
      <x:c r="P1485" s="15" t="str">
        <x:v>Unverified</x:v>
      </x:c>
      <x:c r="Q1485" s="15" t="str">
        <x:v>Not checked</x:v>
      </x:c>
      <x:c r="R1485" s="15" t="str"/>
      <x:c r="S1485" s="15" t="str"/>
      <x:c r="T1485" s="15" t="str">
        <x:v>Log first source path or blocker</x:v>
      </x:c>
      <x:c r="U1485" s="12" t="str">
        <x:f>IF(OR(P1485="Unverified",Q1485="Not checked"),"BLOCKED_PENDING_RECEIPT","READY_FOR_REVIEW")</x:f>
        <x:v>BLOCKED_PENDING_RECEIPT</x:v>
      </x:c>
      <x:c r="V1485" s="12" t="str">
        <x:f>IF(J1485="DONE","RETURNED",IF(U1485="BLOCKED_PENDING_RECEIPT","SOURCE_TOUCH_REQUIRED","IN_PROGRESS"))</x:f>
        <x:v>SOURCE_TOUCH_REQUIRED</x:v>
      </x:c>
      <x:c r="W1485" s="12" t="str">
        <x:f>IF(P1485="Unverified","missing_receipt","receipt_logged")</x:f>
        <x:v>missing_receipt</x:v>
      </x:c>
      <x:c r="X1485" s="12" t="str">
        <x:f>IF(Q1485="Not checked","raw_status_missing","raw_status_logged")</x:f>
        <x:v>raw_status_missing</x:v>
      </x:c>
      <x:c r="Y1485" s="12" t="str">
        <x:f>IF(U1485="BLOCKED_PENDING_RECEIPT","Log source path or blocker; do not promote","Route to review lane")</x:f>
        <x:v>Log source path or blocker; do not promote</x:v>
      </x:c>
      <x:c r="Z1485" s="12" t="str">
        <x:f>IF(K1485="P0","Primary seat + Hashlight/Lucerna","Seat lane")</x:f>
        <x:v>Seat lane</x:v>
      </x:c>
      <x:c r="AA1485" s="12" t="str">
        <x:f>IF(R1485="","no_claim_delta","claim_delta_present")</x:f>
        <x:v>no_claim_delta</x:v>
      </x:c>
      <x:c r="AB1485" s="12" t="str">
        <x:f>IF(S1485="","no_contradiction_delta","contradiction_delta_present")</x:f>
        <x:v>no_contradiction_delta</x:v>
      </x:c>
      <x:c r="AC1485" s="12" t="str">
        <x:f>IF(OR(ISNUMBER(SEARCH("hacker",LOWER(F1485&amp;" "&amp;H1485&amp;" "&amp;I1485&amp;" "&amp;M1485&amp;" "&amp;N1485&amp;" "&amp;T1485))),ISNUMBER(SEARCH("hacking",LOWER(F1485&amp;" "&amp;H1485&amp;" "&amp;I1485&amp;" "&amp;M1485&amp;" "&amp;N1485&amp;" "&amp;T1485))),ISNUMBER(SEARCH("bank",LOWER(F1485&amp;" "&amp;H1485&amp;" "&amp;I1485&amp;" "&amp;M1485&amp;" "&amp;N1485&amp;" "&amp;T1485))),ISNUMBER(SEARCH("banking",LOWER(F1485&amp;" "&amp;H1485&amp;" "&amp;I1485&amp;" "&amp;M1485&amp;" "&amp;N1485&amp;" "&amp;T1485)))),"PRIVATE_QUARANTINE",IF(OR(ISNUMBER(SEARCH("treasury",LOWER(F1485&amp;" "&amp;H1485&amp;" "&amp;I1485&amp;" "&amp;M1485&amp;" "&amp;N1485&amp;" "&amp;T1485))),ISNUMBER(SEARCH("debt",LOWER(F1485&amp;" "&amp;H1485&amp;" "&amp;I1485&amp;" "&amp;M1485&amp;" "&amp;N1485&amp;" "&amp;T1485))),ISNUMBER(SEARCH("bond",LOWER(F1485&amp;" "&amp;H1485&amp;" "&amp;I1485&amp;" "&amp;M1485&amp;" "&amp;N1485&amp;" "&amp;T1485))),ISNUMBER(SEARCH("transaction",LOWER(F1485&amp;" "&amp;H1485&amp;" "&amp;I1485&amp;" "&amp;M1485&amp;" "&amp;N1485&amp;" "&amp;T1485)))),"PRIVATE_REVIEW","PUBLIC_CANDIDATE"))</x:f>
        <x:v>PUBLIC_CANDIDATE</x:v>
      </x:c>
      <x:c r="AD1485" s="12" t="str">
        <x:f>IF(AC1485="PRIVATE_QUARANTINE","hacker_or_bank_trigger",IF(AC1485="PRIVATE_REVIEW","finance_risk_trigger","none"))</x:f>
        <x:v>none</x:v>
      </x:c>
      <x:c r="AE1485" s="12" t="str">
        <x:f>IF(AC1485="PUBLIC_CANDIDATE","prepare_public_github_candidate",IF(AC1485="PRIVATE_REVIEW","hold_for_private_review","quarantine_private_do_not_publish"))</x:f>
        <x:v>prepare_public_github_candidate</x:v>
      </x:c>
      <x:c r="AF1485" s="12" t="str">
        <x:f>IF(AC1485="PUBLIC_CANDIDATE","TIDELOCK + Lucerna",IF(AC1485="PRIVATE_REVIEW","AtlasBrain + Lucerna","TIDELOCK + Lucerna + Human-root"))</x:f>
        <x:v>TIDELOCK + Lucerna</x:v>
      </x:c>
      <x:c r="AG1485" s="12" t="str">
        <x:f>IF(AND(AC1485="PUBLIC_CANDIDATE",U1485&lt;&gt;"BLOCKED_PENDING_RECEIPT"),"READY_AFTER_RECEIPT","NOT_READY")</x:f>
        <x:v>NOT_READY</x:v>
      </x:c>
      <x:c r="AH1485" s="12" t="str">
        <x:f>IF(AC1485="PUBLIC_CANDIDATE","none",AD1485)</x:f>
        <x:v>none</x:v>
      </x:c>
      <x:c r="AI1485" s="12" t="str">
        <x:f>IF(AC1485="PUBLIC_CANDIDATE","archive/public_candidates/"&amp;A1485,"private_quarantine/"&amp;A1485)</x:f>
        <x:v>archive/public_candidates/SWARM-11-H04-S08</x:v>
      </x:c>
      <x:c r="AJ1485" s="12" t="str">
        <x:f>IF(AC1485="PUBLIC_CANDIDATE","public by default; still not canon","private/hold; do not publish")</x:f>
        <x:v>public by default; still not canon</x:v>
      </x:c>
      <x:c r="AK1485" s="12" t="str">
        <x:f>IF(AE1485="prepare_public_github_candidate","add receipt/status then mirror","resolve blocker before any public GitHub action")</x:f>
        <x:v>add receipt/status then mirror</x:v>
      </x:c>
    </x:row>
    <x:row r="1486">
      <x:c r="A1486" s="15" t="str">
        <x:v>SWARM-11-H04-S09</x:v>
      </x:c>
      <x:c r="B1486" s="15" t="str">
        <x:v>ClaudeCatcher</x:v>
      </x:c>
      <x:c r="C1486" s="15" t="str">
        <x:v>Bullshit Olympics referee</x:v>
      </x:c>
      <x:c r="D1486" s="15" t="str">
        <x:v>Claim Extraction</x:v>
      </x:c>
      <x:c r="E1486" s="15" t="str">
        <x:v>Aetherforge</x:v>
      </x:c>
      <x:c r="F1486" s="15" t="str">
        <x:v>Extract claims from Aetherforge — ClaudeCatcher</x:v>
      </x:c>
      <x:c r="G1486" s="15" t="str">
        <x:v>adversarial claims / model overclaim detection</x:v>
      </x:c>
      <x:c r="H1486" s="15" t="str">
        <x:v>source path + receipt + raw/export status + claim/edge/risk delta</x:v>
      </x:c>
      <x:c r="I1486" s="15" t="str">
        <x:v>packet/SWARM-11-H04-S09</x:v>
      </x:c>
      <x:c r="J1486" s="15" t="str">
        <x:v>TODO</x:v>
      </x:c>
      <x:c r="K1486" s="15" t="str">
        <x:v>P2</x:v>
      </x:c>
      <x:c r="L1486" s="15" t="str">
        <x:v>Done only when evidence is logged, contradiction search is noted, and boundary stamp remains non-canon unless ratified</x:v>
      </x:c>
      <x:c r="M1486" s="15" t="str">
        <x:v>candidate / staging-only / not canon / not deployed / authority none</x:v>
      </x:c>
      <x:c r="N1486" s="15" t="str">
        <x:v>Dispatch to ClaudeCatcher: complete Claim Extraction x Aetherforge; return deltas only, receipts required.</x:v>
      </x:c>
      <x:c r="O1486" s="15" t="str">
        <x:v>AF-KG-H04-S09</x:v>
      </x:c>
      <x:c r="P1486" s="15" t="str">
        <x:v>Unverified</x:v>
      </x:c>
      <x:c r="Q1486" s="15" t="str">
        <x:v>Not checked</x:v>
      </x:c>
      <x:c r="R1486" s="15" t="str"/>
      <x:c r="S1486" s="15" t="str"/>
      <x:c r="T1486" s="15" t="str">
        <x:v>Log first source path or blocker</x:v>
      </x:c>
      <x:c r="U1486" s="12" t="str">
        <x:f>IF(OR(P1486="Unverified",Q1486="Not checked"),"BLOCKED_PENDING_RECEIPT","READY_FOR_REVIEW")</x:f>
        <x:v>BLOCKED_PENDING_RECEIPT</x:v>
      </x:c>
      <x:c r="V1486" s="12" t="str">
        <x:f>IF(J1486="DONE","RETURNED",IF(U1486="BLOCKED_PENDING_RECEIPT","SOURCE_TOUCH_REQUIRED","IN_PROGRESS"))</x:f>
        <x:v>SOURCE_TOUCH_REQUIRED</x:v>
      </x:c>
      <x:c r="W1486" s="12" t="str">
        <x:f>IF(P1486="Unverified","missing_receipt","receipt_logged")</x:f>
        <x:v>missing_receipt</x:v>
      </x:c>
      <x:c r="X1486" s="12" t="str">
        <x:f>IF(Q1486="Not checked","raw_status_missing","raw_status_logged")</x:f>
        <x:v>raw_status_missing</x:v>
      </x:c>
      <x:c r="Y1486" s="12" t="str">
        <x:f>IF(U1486="BLOCKED_PENDING_RECEIPT","Log source path or blocker; do not promote","Route to review lane")</x:f>
        <x:v>Log source path or blocker; do not promote</x:v>
      </x:c>
      <x:c r="Z1486" s="12" t="str">
        <x:f>IF(K1486="P0","Primary seat + Hashlight/Lucerna","Seat lane")</x:f>
        <x:v>Seat lane</x:v>
      </x:c>
      <x:c r="AA1486" s="12" t="str">
        <x:f>IF(R1486="","no_claim_delta","claim_delta_present")</x:f>
        <x:v>no_claim_delta</x:v>
      </x:c>
      <x:c r="AB1486" s="12" t="str">
        <x:f>IF(S1486="","no_contradiction_delta","contradiction_delta_present")</x:f>
        <x:v>no_contradiction_delta</x:v>
      </x:c>
      <x:c r="AC1486" s="12" t="str">
        <x:f>IF(OR(ISNUMBER(SEARCH("hacker",LOWER(F1486&amp;" "&amp;H1486&amp;" "&amp;I1486&amp;" "&amp;M1486&amp;" "&amp;N1486&amp;" "&amp;T1486))),ISNUMBER(SEARCH("hacking",LOWER(F1486&amp;" "&amp;H1486&amp;" "&amp;I1486&amp;" "&amp;M1486&amp;" "&amp;N1486&amp;" "&amp;T1486))),ISNUMBER(SEARCH("bank",LOWER(F1486&amp;" "&amp;H1486&amp;" "&amp;I1486&amp;" "&amp;M1486&amp;" "&amp;N1486&amp;" "&amp;T1486))),ISNUMBER(SEARCH("banking",LOWER(F1486&amp;" "&amp;H1486&amp;" "&amp;I1486&amp;" "&amp;M1486&amp;" "&amp;N1486&amp;" "&amp;T1486)))),"PRIVATE_QUARANTINE",IF(OR(ISNUMBER(SEARCH("treasury",LOWER(F1486&amp;" "&amp;H1486&amp;" "&amp;I1486&amp;" "&amp;M1486&amp;" "&amp;N1486&amp;" "&amp;T1486))),ISNUMBER(SEARCH("debt",LOWER(F1486&amp;" "&amp;H1486&amp;" "&amp;I1486&amp;" "&amp;M1486&amp;" "&amp;N1486&amp;" "&amp;T1486))),ISNUMBER(SEARCH("bond",LOWER(F1486&amp;" "&amp;H1486&amp;" "&amp;I1486&amp;" "&amp;M1486&amp;" "&amp;N1486&amp;" "&amp;T1486))),ISNUMBER(SEARCH("transaction",LOWER(F1486&amp;" "&amp;H1486&amp;" "&amp;I1486&amp;" "&amp;M1486&amp;" "&amp;N1486&amp;" "&amp;T1486)))),"PRIVATE_REVIEW","PUBLIC_CANDIDATE"))</x:f>
        <x:v>PUBLIC_CANDIDATE</x:v>
      </x:c>
      <x:c r="AD1486" s="12" t="str">
        <x:f>IF(AC1486="PRIVATE_QUARANTINE","hacker_or_bank_trigger",IF(AC1486="PRIVATE_REVIEW","finance_risk_trigger","none"))</x:f>
        <x:v>none</x:v>
      </x:c>
      <x:c r="AE1486" s="12" t="str">
        <x:f>IF(AC1486="PUBLIC_CANDIDATE","prepare_public_github_candidate",IF(AC1486="PRIVATE_REVIEW","hold_for_private_review","quarantine_private_do_not_publish"))</x:f>
        <x:v>prepare_public_github_candidate</x:v>
      </x:c>
      <x:c r="AF1486" s="12" t="str">
        <x:f>IF(AC1486="PUBLIC_CANDIDATE","TIDELOCK + Lucerna",IF(AC1486="PRIVATE_REVIEW","AtlasBrain + Lucerna","TIDELOCK + Lucerna + Human-root"))</x:f>
        <x:v>TIDELOCK + Lucerna</x:v>
      </x:c>
      <x:c r="AG1486" s="12" t="str">
        <x:f>IF(AND(AC1486="PUBLIC_CANDIDATE",U1486&lt;&gt;"BLOCKED_PENDING_RECEIPT"),"READY_AFTER_RECEIPT","NOT_READY")</x:f>
        <x:v>NOT_READY</x:v>
      </x:c>
      <x:c r="AH1486" s="12" t="str">
        <x:f>IF(AC1486="PUBLIC_CANDIDATE","none",AD1486)</x:f>
        <x:v>none</x:v>
      </x:c>
      <x:c r="AI1486" s="12" t="str">
        <x:f>IF(AC1486="PUBLIC_CANDIDATE","archive/public_candidates/"&amp;A1486,"private_quarantine/"&amp;A1486)</x:f>
        <x:v>archive/public_candidates/SWARM-11-H04-S09</x:v>
      </x:c>
      <x:c r="AJ1486" s="12" t="str">
        <x:f>IF(AC1486="PUBLIC_CANDIDATE","public by default; still not canon","private/hold; do not publish")</x:f>
        <x:v>public by default; still not canon</x:v>
      </x:c>
      <x:c r="AK1486" s="12" t="str">
        <x:f>IF(AE1486="prepare_public_github_candidate","add receipt/status then mirror","resolve blocker before any public GitHub action")</x:f>
        <x:v>add receipt/status then mirror</x:v>
      </x:c>
    </x:row>
    <x:row r="1487">
      <x:c r="A1487" s="15" t="str">
        <x:v>SWARM-11-H04-S10</x:v>
      </x:c>
      <x:c r="B1487" s="15" t="str">
        <x:v>ClaudeCatcher</x:v>
      </x:c>
      <x:c r="C1487" s="15" t="str">
        <x:v>Bullshit Olympics referee</x:v>
      </x:c>
      <x:c r="D1487" s="15" t="str">
        <x:v>Claim Extraction</x:v>
      </x:c>
      <x:c r="E1487" s="15" t="str">
        <x:v>Human-Root</x:v>
      </x:c>
      <x:c r="F1487" s="15" t="str">
        <x:v>Extract claims from Human-Root — ClaudeCatcher</x:v>
      </x:c>
      <x:c r="G1487" s="15" t="str">
        <x:v>adversarial claims / model overclaim detection</x:v>
      </x:c>
      <x:c r="H1487" s="15" t="str">
        <x:v>source path + receipt + raw/export status + claim/edge/risk delta</x:v>
      </x:c>
      <x:c r="I1487" s="15" t="str">
        <x:v>packet/SWARM-11-H04-S10</x:v>
      </x:c>
      <x:c r="J1487" s="15" t="str">
        <x:v>TODO</x:v>
      </x:c>
      <x:c r="K1487" s="15" t="str">
        <x:v>P2</x:v>
      </x:c>
      <x:c r="L1487" s="15" t="str">
        <x:v>Done only when evidence is logged, contradiction search is noted, and boundary stamp remains non-canon unless ratified</x:v>
      </x:c>
      <x:c r="M1487" s="15" t="str">
        <x:v>candidate / staging-only / not canon / not deployed / authority none</x:v>
      </x:c>
      <x:c r="N1487" s="15" t="str">
        <x:v>Dispatch to ClaudeCatcher: complete Claim Extraction x Human-Root; return deltas only, receipts required.</x:v>
      </x:c>
      <x:c r="O1487" s="15" t="str">
        <x:v>AF-KG-H04-S10</x:v>
      </x:c>
      <x:c r="P1487" s="15" t="str">
        <x:v>Unverified</x:v>
      </x:c>
      <x:c r="Q1487" s="15" t="str">
        <x:v>Not checked</x:v>
      </x:c>
      <x:c r="R1487" s="15" t="str"/>
      <x:c r="S1487" s="15" t="str"/>
      <x:c r="T1487" s="15" t="str">
        <x:v>Log first source path or blocker</x:v>
      </x:c>
      <x:c r="U1487" s="12" t="str">
        <x:f>IF(OR(P1487="Unverified",Q1487="Not checked"),"BLOCKED_PENDING_RECEIPT","READY_FOR_REVIEW")</x:f>
        <x:v>BLOCKED_PENDING_RECEIPT</x:v>
      </x:c>
      <x:c r="V1487" s="12" t="str">
        <x:f>IF(J1487="DONE","RETURNED",IF(U1487="BLOCKED_PENDING_RECEIPT","SOURCE_TOUCH_REQUIRED","IN_PROGRESS"))</x:f>
        <x:v>SOURCE_TOUCH_REQUIRED</x:v>
      </x:c>
      <x:c r="W1487" s="12" t="str">
        <x:f>IF(P1487="Unverified","missing_receipt","receipt_logged")</x:f>
        <x:v>missing_receipt</x:v>
      </x:c>
      <x:c r="X1487" s="12" t="str">
        <x:f>IF(Q1487="Not checked","raw_status_missing","raw_status_logged")</x:f>
        <x:v>raw_status_missing</x:v>
      </x:c>
      <x:c r="Y1487" s="12" t="str">
        <x:f>IF(U1487="BLOCKED_PENDING_RECEIPT","Log source path or blocker; do not promote","Route to review lane")</x:f>
        <x:v>Log source path or blocker; do not promote</x:v>
      </x:c>
      <x:c r="Z1487" s="12" t="str">
        <x:f>IF(K1487="P0","Primary seat + Hashlight/Lucerna","Seat lane")</x:f>
        <x:v>Seat lane</x:v>
      </x:c>
      <x:c r="AA1487" s="12" t="str">
        <x:f>IF(R1487="","no_claim_delta","claim_delta_present")</x:f>
        <x:v>no_claim_delta</x:v>
      </x:c>
      <x:c r="AB1487" s="12" t="str">
        <x:f>IF(S1487="","no_contradiction_delta","contradiction_delta_present")</x:f>
        <x:v>no_contradiction_delta</x:v>
      </x:c>
      <x:c r="AC1487" s="12" t="str">
        <x:f>IF(OR(ISNUMBER(SEARCH("hacker",LOWER(F1487&amp;" "&amp;H1487&amp;" "&amp;I1487&amp;" "&amp;M1487&amp;" "&amp;N1487&amp;" "&amp;T1487))),ISNUMBER(SEARCH("hacking",LOWER(F1487&amp;" "&amp;H1487&amp;" "&amp;I1487&amp;" "&amp;M1487&amp;" "&amp;N1487&amp;" "&amp;T1487))),ISNUMBER(SEARCH("bank",LOWER(F1487&amp;" "&amp;H1487&amp;" "&amp;I1487&amp;" "&amp;M1487&amp;" "&amp;N1487&amp;" "&amp;T1487))),ISNUMBER(SEARCH("banking",LOWER(F1487&amp;" "&amp;H1487&amp;" "&amp;I1487&amp;" "&amp;M1487&amp;" "&amp;N1487&amp;" "&amp;T1487)))),"PRIVATE_QUARANTINE",IF(OR(ISNUMBER(SEARCH("treasury",LOWER(F1487&amp;" "&amp;H1487&amp;" "&amp;I1487&amp;" "&amp;M1487&amp;" "&amp;N1487&amp;" "&amp;T1487))),ISNUMBER(SEARCH("debt",LOWER(F1487&amp;" "&amp;H1487&amp;" "&amp;I1487&amp;" "&amp;M1487&amp;" "&amp;N1487&amp;" "&amp;T1487))),ISNUMBER(SEARCH("bond",LOWER(F1487&amp;" "&amp;H1487&amp;" "&amp;I1487&amp;" "&amp;M1487&amp;" "&amp;N1487&amp;" "&amp;T1487))),ISNUMBER(SEARCH("transaction",LOWER(F1487&amp;" "&amp;H1487&amp;" "&amp;I1487&amp;" "&amp;M1487&amp;" "&amp;N1487&amp;" "&amp;T1487)))),"PRIVATE_REVIEW","PUBLIC_CANDIDATE"))</x:f>
        <x:v>PUBLIC_CANDIDATE</x:v>
      </x:c>
      <x:c r="AD1487" s="12" t="str">
        <x:f>IF(AC1487="PRIVATE_QUARANTINE","hacker_or_bank_trigger",IF(AC1487="PRIVATE_REVIEW","finance_risk_trigger","none"))</x:f>
        <x:v>none</x:v>
      </x:c>
      <x:c r="AE1487" s="12" t="str">
        <x:f>IF(AC1487="PUBLIC_CANDIDATE","prepare_public_github_candidate",IF(AC1487="PRIVATE_REVIEW","hold_for_private_review","quarantine_private_do_not_publish"))</x:f>
        <x:v>prepare_public_github_candidate</x:v>
      </x:c>
      <x:c r="AF1487" s="12" t="str">
        <x:f>IF(AC1487="PUBLIC_CANDIDATE","TIDELOCK + Lucerna",IF(AC1487="PRIVATE_REVIEW","AtlasBrain + Lucerna","TIDELOCK + Lucerna + Human-root"))</x:f>
        <x:v>TIDELOCK + Lucerna</x:v>
      </x:c>
      <x:c r="AG1487" s="12" t="str">
        <x:f>IF(AND(AC1487="PUBLIC_CANDIDATE",U1487&lt;&gt;"BLOCKED_PENDING_RECEIPT"),"READY_AFTER_RECEIPT","NOT_READY")</x:f>
        <x:v>NOT_READY</x:v>
      </x:c>
      <x:c r="AH1487" s="12" t="str">
        <x:f>IF(AC1487="PUBLIC_CANDIDATE","none",AD1487)</x:f>
        <x:v>none</x:v>
      </x:c>
      <x:c r="AI1487" s="12" t="str">
        <x:f>IF(AC1487="PUBLIC_CANDIDATE","archive/public_candidates/"&amp;A1487,"private_quarantine/"&amp;A1487)</x:f>
        <x:v>archive/public_candidates/SWARM-11-H04-S10</x:v>
      </x:c>
      <x:c r="AJ1487" s="12" t="str">
        <x:f>IF(AC1487="PUBLIC_CANDIDATE","public by default; still not canon","private/hold; do not publish")</x:f>
        <x:v>public by default; still not canon</x:v>
      </x:c>
      <x:c r="AK1487" s="12" t="str">
        <x:f>IF(AE1487="prepare_public_github_candidate","add receipt/status then mirror","resolve blocker before any public GitHub action")</x:f>
        <x:v>add receipt/status then mirror</x:v>
      </x:c>
    </x:row>
    <x:row r="1488">
      <x:c r="A1488" s="15" t="str">
        <x:v>SWARM-11-H04-S11</x:v>
      </x:c>
      <x:c r="B1488" s="15" t="str">
        <x:v>ClaudeCatcher</x:v>
      </x:c>
      <x:c r="C1488" s="15" t="str">
        <x:v>Bullshit Olympics referee</x:v>
      </x:c>
      <x:c r="D1488" s="15" t="str">
        <x:v>Claim Extraction</x:v>
      </x:c>
      <x:c r="E1488" s="15" t="str">
        <x:v>Automation</x:v>
      </x:c>
      <x:c r="F1488" s="15" t="str">
        <x:v>Extract claims from Automation — ClaudeCatcher</x:v>
      </x:c>
      <x:c r="G1488" s="15" t="str">
        <x:v>adversarial claims / model overclaim detection</x:v>
      </x:c>
      <x:c r="H1488" s="15" t="str">
        <x:v>source path + receipt + raw/export status + claim/edge/risk delta</x:v>
      </x:c>
      <x:c r="I1488" s="15" t="str">
        <x:v>packet/SWARM-11-H04-S11</x:v>
      </x:c>
      <x:c r="J1488" s="15" t="str">
        <x:v>TODO</x:v>
      </x:c>
      <x:c r="K1488" s="15" t="str">
        <x:v>P2</x:v>
      </x:c>
      <x:c r="L1488" s="15" t="str">
        <x:v>Done only when evidence is logged, contradiction search is noted, and boundary stamp remains non-canon unless ratified</x:v>
      </x:c>
      <x:c r="M1488" s="15" t="str">
        <x:v>candidate / staging-only / not canon / not deployed / authority none</x:v>
      </x:c>
      <x:c r="N1488" s="15" t="str">
        <x:v>Dispatch to ClaudeCatcher: complete Claim Extraction x Automation; return deltas only, receipts required.</x:v>
      </x:c>
      <x:c r="O1488" s="15" t="str">
        <x:v>AF-KG-H04-S11</x:v>
      </x:c>
      <x:c r="P1488" s="15" t="str">
        <x:v>Unverified</x:v>
      </x:c>
      <x:c r="Q1488" s="15" t="str">
        <x:v>Not checked</x:v>
      </x:c>
      <x:c r="R1488" s="15" t="str"/>
      <x:c r="S1488" s="15" t="str"/>
      <x:c r="T1488" s="15" t="str">
        <x:v>Log first source path or blocker</x:v>
      </x:c>
      <x:c r="U1488" s="12" t="str">
        <x:f>IF(OR(P1488="Unverified",Q1488="Not checked"),"BLOCKED_PENDING_RECEIPT","READY_FOR_REVIEW")</x:f>
        <x:v>BLOCKED_PENDING_RECEIPT</x:v>
      </x:c>
      <x:c r="V1488" s="12" t="str">
        <x:f>IF(J1488="DONE","RETURNED",IF(U1488="BLOCKED_PENDING_RECEIPT","SOURCE_TOUCH_REQUIRED","IN_PROGRESS"))</x:f>
        <x:v>SOURCE_TOUCH_REQUIRED</x:v>
      </x:c>
      <x:c r="W1488" s="12" t="str">
        <x:f>IF(P1488="Unverified","missing_receipt","receipt_logged")</x:f>
        <x:v>missing_receipt</x:v>
      </x:c>
      <x:c r="X1488" s="12" t="str">
        <x:f>IF(Q1488="Not checked","raw_status_missing","raw_status_logged")</x:f>
        <x:v>raw_status_missing</x:v>
      </x:c>
      <x:c r="Y1488" s="12" t="str">
        <x:f>IF(U1488="BLOCKED_PENDING_RECEIPT","Log source path or blocker; do not promote","Route to review lane")</x:f>
        <x:v>Log source path or blocker; do not promote</x:v>
      </x:c>
      <x:c r="Z1488" s="12" t="str">
        <x:f>IF(K1488="P0","Primary seat + Hashlight/Lucerna","Seat lane")</x:f>
        <x:v>Seat lane</x:v>
      </x:c>
      <x:c r="AA1488" s="12" t="str">
        <x:f>IF(R1488="","no_claim_delta","claim_delta_present")</x:f>
        <x:v>no_claim_delta</x:v>
      </x:c>
      <x:c r="AB1488" s="12" t="str">
        <x:f>IF(S1488="","no_contradiction_delta","contradiction_delta_present")</x:f>
        <x:v>no_contradiction_delta</x:v>
      </x:c>
      <x:c r="AC1488" s="12" t="str">
        <x:f>IF(OR(ISNUMBER(SEARCH("hacker",LOWER(F1488&amp;" "&amp;H1488&amp;" "&amp;I1488&amp;" "&amp;M1488&amp;" "&amp;N1488&amp;" "&amp;T1488))),ISNUMBER(SEARCH("hacking",LOWER(F1488&amp;" "&amp;H1488&amp;" "&amp;I1488&amp;" "&amp;M1488&amp;" "&amp;N1488&amp;" "&amp;T1488))),ISNUMBER(SEARCH("bank",LOWER(F1488&amp;" "&amp;H1488&amp;" "&amp;I1488&amp;" "&amp;M1488&amp;" "&amp;N1488&amp;" "&amp;T1488))),ISNUMBER(SEARCH("banking",LOWER(F1488&amp;" "&amp;H1488&amp;" "&amp;I1488&amp;" "&amp;M1488&amp;" "&amp;N1488&amp;" "&amp;T1488)))),"PRIVATE_QUARANTINE",IF(OR(ISNUMBER(SEARCH("treasury",LOWER(F1488&amp;" "&amp;H1488&amp;" "&amp;I1488&amp;" "&amp;M1488&amp;" "&amp;N1488&amp;" "&amp;T1488))),ISNUMBER(SEARCH("debt",LOWER(F1488&amp;" "&amp;H1488&amp;" "&amp;I1488&amp;" "&amp;M1488&amp;" "&amp;N1488&amp;" "&amp;T1488))),ISNUMBER(SEARCH("bond",LOWER(F1488&amp;" "&amp;H1488&amp;" "&amp;I1488&amp;" "&amp;M1488&amp;" "&amp;N1488&amp;" "&amp;T1488))),ISNUMBER(SEARCH("transaction",LOWER(F1488&amp;" "&amp;H1488&amp;" "&amp;I1488&amp;" "&amp;M1488&amp;" "&amp;N1488&amp;" "&amp;T1488)))),"PRIVATE_REVIEW","PUBLIC_CANDIDATE"))</x:f>
        <x:v>PUBLIC_CANDIDATE</x:v>
      </x:c>
      <x:c r="AD1488" s="12" t="str">
        <x:f>IF(AC1488="PRIVATE_QUARANTINE","hacker_or_bank_trigger",IF(AC1488="PRIVATE_REVIEW","finance_risk_trigger","none"))</x:f>
        <x:v>none</x:v>
      </x:c>
      <x:c r="AE1488" s="12" t="str">
        <x:f>IF(AC1488="PUBLIC_CANDIDATE","prepare_public_github_candidate",IF(AC1488="PRIVATE_REVIEW","hold_for_private_review","quarantine_private_do_not_publish"))</x:f>
        <x:v>prepare_public_github_candidate</x:v>
      </x:c>
      <x:c r="AF1488" s="12" t="str">
        <x:f>IF(AC1488="PUBLIC_CANDIDATE","TIDELOCK + Lucerna",IF(AC1488="PRIVATE_REVIEW","AtlasBrain + Lucerna","TIDELOCK + Lucerna + Human-root"))</x:f>
        <x:v>TIDELOCK + Lucerna</x:v>
      </x:c>
      <x:c r="AG1488" s="12" t="str">
        <x:f>IF(AND(AC1488="PUBLIC_CANDIDATE",U1488&lt;&gt;"BLOCKED_PENDING_RECEIPT"),"READY_AFTER_RECEIPT","NOT_READY")</x:f>
        <x:v>NOT_READY</x:v>
      </x:c>
      <x:c r="AH1488" s="12" t="str">
        <x:f>IF(AC1488="PUBLIC_CANDIDATE","none",AD1488)</x:f>
        <x:v>none</x:v>
      </x:c>
      <x:c r="AI1488" s="12" t="str">
        <x:f>IF(AC1488="PUBLIC_CANDIDATE","archive/public_candidates/"&amp;A1488,"private_quarantine/"&amp;A1488)</x:f>
        <x:v>archive/public_candidates/SWARM-11-H04-S11</x:v>
      </x:c>
      <x:c r="AJ1488" s="12" t="str">
        <x:f>IF(AC1488="PUBLIC_CANDIDATE","public by default; still not canon","private/hold; do not publish")</x:f>
        <x:v>public by default; still not canon</x:v>
      </x:c>
      <x:c r="AK1488" s="12" t="str">
        <x:f>IF(AE1488="prepare_public_github_candidate","add receipt/status then mirror","resolve blocker before any public GitHub action")</x:f>
        <x:v>add receipt/status then mirror</x:v>
      </x:c>
    </x:row>
    <x:row r="1489">
      <x:c r="A1489" s="15" t="str">
        <x:v>SWARM-11-H04-S12</x:v>
      </x:c>
      <x:c r="B1489" s="15" t="str">
        <x:v>ClaudeCatcher</x:v>
      </x:c>
      <x:c r="C1489" s="15" t="str">
        <x:v>Bullshit Olympics referee</x:v>
      </x:c>
      <x:c r="D1489" s="15" t="str">
        <x:v>Claim Extraction</x:v>
      </x:c>
      <x:c r="E1489" s="15" t="str">
        <x:v>Risk / Safety</x:v>
      </x:c>
      <x:c r="F1489" s="15" t="str">
        <x:v>Extract claims from Risk / Safety — ClaudeCatcher</x:v>
      </x:c>
      <x:c r="G1489" s="15" t="str">
        <x:v>adversarial claims / model overclaim detection</x:v>
      </x:c>
      <x:c r="H1489" s="15" t="str">
        <x:v>source path + receipt + raw/export status + claim/edge/risk delta</x:v>
      </x:c>
      <x:c r="I1489" s="15" t="str">
        <x:v>packet/SWARM-11-H04-S12</x:v>
      </x:c>
      <x:c r="J1489" s="15" t="str">
        <x:v>TODO</x:v>
      </x:c>
      <x:c r="K1489" s="15" t="str">
        <x:v>P2</x:v>
      </x:c>
      <x:c r="L1489" s="15" t="str">
        <x:v>Done only when evidence is logged, contradiction search is noted, and boundary stamp remains non-canon unless ratified</x:v>
      </x:c>
      <x:c r="M1489" s="15" t="str">
        <x:v>candidate / staging-only / not canon / not deployed / authority none</x:v>
      </x:c>
      <x:c r="N1489" s="15" t="str">
        <x:v>Dispatch to ClaudeCatcher: complete Claim Extraction x Risk / Safety; return deltas only, receipts required.</x:v>
      </x:c>
      <x:c r="O1489" s="15" t="str">
        <x:v>AF-KG-H04-S12</x:v>
      </x:c>
      <x:c r="P1489" s="15" t="str">
        <x:v>Unverified</x:v>
      </x:c>
      <x:c r="Q1489" s="15" t="str">
        <x:v>Not checked</x:v>
      </x:c>
      <x:c r="R1489" s="15" t="str"/>
      <x:c r="S1489" s="15" t="str"/>
      <x:c r="T1489" s="15" t="str">
        <x:v>Log first source path or blocker</x:v>
      </x:c>
      <x:c r="U1489" s="12" t="str">
        <x:f>IF(OR(P1489="Unverified",Q1489="Not checked"),"BLOCKED_PENDING_RECEIPT","READY_FOR_REVIEW")</x:f>
        <x:v>BLOCKED_PENDING_RECEIPT</x:v>
      </x:c>
      <x:c r="V1489" s="12" t="str">
        <x:f>IF(J1489="DONE","RETURNED",IF(U1489="BLOCKED_PENDING_RECEIPT","SOURCE_TOUCH_REQUIRED","IN_PROGRESS"))</x:f>
        <x:v>SOURCE_TOUCH_REQUIRED</x:v>
      </x:c>
      <x:c r="W1489" s="12" t="str">
        <x:f>IF(P1489="Unverified","missing_receipt","receipt_logged")</x:f>
        <x:v>missing_receipt</x:v>
      </x:c>
      <x:c r="X1489" s="12" t="str">
        <x:f>IF(Q1489="Not checked","raw_status_missing","raw_status_logged")</x:f>
        <x:v>raw_status_missing</x:v>
      </x:c>
      <x:c r="Y1489" s="12" t="str">
        <x:f>IF(U1489="BLOCKED_PENDING_RECEIPT","Log source path or blocker; do not promote","Route to review lane")</x:f>
        <x:v>Log source path or blocker; do not promote</x:v>
      </x:c>
      <x:c r="Z1489" s="12" t="str">
        <x:f>IF(K1489="P0","Primary seat + Hashlight/Lucerna","Seat lane")</x:f>
        <x:v>Seat lane</x:v>
      </x:c>
      <x:c r="AA1489" s="12" t="str">
        <x:f>IF(R1489="","no_claim_delta","claim_delta_present")</x:f>
        <x:v>no_claim_delta</x:v>
      </x:c>
      <x:c r="AB1489" s="12" t="str">
        <x:f>IF(S1489="","no_contradiction_delta","contradiction_delta_present")</x:f>
        <x:v>no_contradiction_delta</x:v>
      </x:c>
      <x:c r="AC1489" s="12" t="str">
        <x:f>IF(OR(ISNUMBER(SEARCH("hacker",LOWER(F1489&amp;" "&amp;H1489&amp;" "&amp;I1489&amp;" "&amp;M1489&amp;" "&amp;N1489&amp;" "&amp;T1489))),ISNUMBER(SEARCH("hacking",LOWER(F1489&amp;" "&amp;H1489&amp;" "&amp;I1489&amp;" "&amp;M1489&amp;" "&amp;N1489&amp;" "&amp;T1489))),ISNUMBER(SEARCH("bank",LOWER(F1489&amp;" "&amp;H1489&amp;" "&amp;I1489&amp;" "&amp;M1489&amp;" "&amp;N1489&amp;" "&amp;T1489))),ISNUMBER(SEARCH("banking",LOWER(F1489&amp;" "&amp;H1489&amp;" "&amp;I1489&amp;" "&amp;M1489&amp;" "&amp;N1489&amp;" "&amp;T1489)))),"PRIVATE_QUARANTINE",IF(OR(ISNUMBER(SEARCH("treasury",LOWER(F1489&amp;" "&amp;H1489&amp;" "&amp;I1489&amp;" "&amp;M1489&amp;" "&amp;N1489&amp;" "&amp;T1489))),ISNUMBER(SEARCH("debt",LOWER(F1489&amp;" "&amp;H1489&amp;" "&amp;I1489&amp;" "&amp;M1489&amp;" "&amp;N1489&amp;" "&amp;T1489))),ISNUMBER(SEARCH("bond",LOWER(F1489&amp;" "&amp;H1489&amp;" "&amp;I1489&amp;" "&amp;M1489&amp;" "&amp;N1489&amp;" "&amp;T1489))),ISNUMBER(SEARCH("transaction",LOWER(F1489&amp;" "&amp;H1489&amp;" "&amp;I1489&amp;" "&amp;M1489&amp;" "&amp;N1489&amp;" "&amp;T1489)))),"PRIVATE_REVIEW","PUBLIC_CANDIDATE"))</x:f>
        <x:v>PUBLIC_CANDIDATE</x:v>
      </x:c>
      <x:c r="AD1489" s="12" t="str">
        <x:f>IF(AC1489="PRIVATE_QUARANTINE","hacker_or_bank_trigger",IF(AC1489="PRIVATE_REVIEW","finance_risk_trigger","none"))</x:f>
        <x:v>none</x:v>
      </x:c>
      <x:c r="AE1489" s="12" t="str">
        <x:f>IF(AC1489="PUBLIC_CANDIDATE","prepare_public_github_candidate",IF(AC1489="PRIVATE_REVIEW","hold_for_private_review","quarantine_private_do_not_publish"))</x:f>
        <x:v>prepare_public_github_candidate</x:v>
      </x:c>
      <x:c r="AF1489" s="12" t="str">
        <x:f>IF(AC1489="PUBLIC_CANDIDATE","TIDELOCK + Lucerna",IF(AC1489="PRIVATE_REVIEW","AtlasBrain + Lucerna","TIDELOCK + Lucerna + Human-root"))</x:f>
        <x:v>TIDELOCK + Lucerna</x:v>
      </x:c>
      <x:c r="AG1489" s="12" t="str">
        <x:f>IF(AND(AC1489="PUBLIC_CANDIDATE",U1489&lt;&gt;"BLOCKED_PENDING_RECEIPT"),"READY_AFTER_RECEIPT","NOT_READY")</x:f>
        <x:v>NOT_READY</x:v>
      </x:c>
      <x:c r="AH1489" s="12" t="str">
        <x:f>IF(AC1489="PUBLIC_CANDIDATE","none",AD1489)</x:f>
        <x:v>none</x:v>
      </x:c>
      <x:c r="AI1489" s="12" t="str">
        <x:f>IF(AC1489="PUBLIC_CANDIDATE","archive/public_candidates/"&amp;A1489,"private_quarantine/"&amp;A1489)</x:f>
        <x:v>archive/public_candidates/SWARM-11-H04-S12</x:v>
      </x:c>
      <x:c r="AJ1489" s="12" t="str">
        <x:f>IF(AC1489="PUBLIC_CANDIDATE","public by default; still not canon","private/hold; do not publish")</x:f>
        <x:v>public by default; still not canon</x:v>
      </x:c>
      <x:c r="AK1489" s="12" t="str">
        <x:f>IF(AE1489="prepare_public_github_candidate","add receipt/status then mirror","resolve blocker before any public GitHub action")</x:f>
        <x:v>add receipt/status then mirror</x:v>
      </x:c>
    </x:row>
    <x:row r="1490">
      <x:c r="A1490" s="15" t="str">
        <x:v>SWARM-11-H05-S01</x:v>
      </x:c>
      <x:c r="B1490" s="15" t="str">
        <x:v>ClaudeCatcher</x:v>
      </x:c>
      <x:c r="C1490" s="15" t="str">
        <x:v>Bullshit Olympics referee</x:v>
      </x:c>
      <x:c r="D1490" s="15" t="str">
        <x:v>Contradiction Mapping</x:v>
      </x:c>
      <x:c r="E1490" s="15" t="str">
        <x:v>Notion</x:v>
      </x:c>
      <x:c r="F1490" s="15" t="str">
        <x:v>Map contradictions in Notion — ClaudeCatcher</x:v>
      </x:c>
      <x:c r="G1490" s="15" t="str">
        <x:v>adversarial claims / model overclaim detection</x:v>
      </x:c>
      <x:c r="H1490" s="15" t="str">
        <x:v>source path + receipt + raw/export status + claim/edge/risk delta</x:v>
      </x:c>
      <x:c r="I1490" s="15" t="str">
        <x:v>packet/SWARM-11-H05-S01</x:v>
      </x:c>
      <x:c r="J1490" s="15" t="str">
        <x:v>TODO</x:v>
      </x:c>
      <x:c r="K1490" s="15" t="str">
        <x:v>P0</x:v>
      </x:c>
      <x:c r="L1490" s="15" t="str">
        <x:v>Done only when evidence is logged, contradiction search is noted, and boundary stamp remains non-canon unless ratified</x:v>
      </x:c>
      <x:c r="M1490" s="15" t="str">
        <x:v>candidate / staging-only / not canon / not deployed / authority none</x:v>
      </x:c>
      <x:c r="N1490" s="15" t="str">
        <x:v>Dispatch to ClaudeCatcher: complete Contradiction Mapping x Notion; return deltas only, receipts required.</x:v>
      </x:c>
      <x:c r="O1490" s="15" t="str">
        <x:v>AF-KG-H05-S01</x:v>
      </x:c>
      <x:c r="P1490" s="15" t="str">
        <x:v>Unverified</x:v>
      </x:c>
      <x:c r="Q1490" s="15" t="str">
        <x:v>Not checked</x:v>
      </x:c>
      <x:c r="R1490" s="15" t="str"/>
      <x:c r="S1490" s="15" t="str"/>
      <x:c r="T1490" s="15" t="str">
        <x:v>Log first source path or blocker</x:v>
      </x:c>
      <x:c r="U1490" s="12" t="str">
        <x:f>IF(OR(P1490="Unverified",Q1490="Not checked"),"BLOCKED_PENDING_RECEIPT","READY_FOR_REVIEW")</x:f>
        <x:v>BLOCKED_PENDING_RECEIPT</x:v>
      </x:c>
      <x:c r="V1490" s="12" t="str">
        <x:f>IF(J1490="DONE","RETURNED",IF(U1490="BLOCKED_PENDING_RECEIPT","SOURCE_TOUCH_REQUIRED","IN_PROGRESS"))</x:f>
        <x:v>SOURCE_TOUCH_REQUIRED</x:v>
      </x:c>
      <x:c r="W1490" s="12" t="str">
        <x:f>IF(P1490="Unverified","missing_receipt","receipt_logged")</x:f>
        <x:v>missing_receipt</x:v>
      </x:c>
      <x:c r="X1490" s="12" t="str">
        <x:f>IF(Q1490="Not checked","raw_status_missing","raw_status_logged")</x:f>
        <x:v>raw_status_missing</x:v>
      </x:c>
      <x:c r="Y1490" s="12" t="str">
        <x:f>IF(U1490="BLOCKED_PENDING_RECEIPT","Log source path or blocker; do not promote","Route to review lane")</x:f>
        <x:v>Log source path or blocker; do not promote</x:v>
      </x:c>
      <x:c r="Z1490" s="12" t="str">
        <x:f>IF(K1490="P0","Primary seat + Hashlight/Lucerna","Seat lane")</x:f>
        <x:v>Primary seat + Hashlight/Lucerna</x:v>
      </x:c>
      <x:c r="AA1490" s="12" t="str">
        <x:f>IF(R1490="","no_claim_delta","claim_delta_present")</x:f>
        <x:v>no_claim_delta</x:v>
      </x:c>
      <x:c r="AB1490" s="12" t="str">
        <x:f>IF(S1490="","no_contradiction_delta","contradiction_delta_present")</x:f>
        <x:v>no_contradiction_delta</x:v>
      </x:c>
      <x:c r="AC1490" s="12" t="str">
        <x:f>IF(OR(ISNUMBER(SEARCH("hacker",LOWER(F1490&amp;" "&amp;H1490&amp;" "&amp;I1490&amp;" "&amp;M1490&amp;" "&amp;N1490&amp;" "&amp;T1490))),ISNUMBER(SEARCH("hacking",LOWER(F1490&amp;" "&amp;H1490&amp;" "&amp;I1490&amp;" "&amp;M1490&amp;" "&amp;N1490&amp;" "&amp;T1490))),ISNUMBER(SEARCH("bank",LOWER(F1490&amp;" "&amp;H1490&amp;" "&amp;I1490&amp;" "&amp;M1490&amp;" "&amp;N1490&amp;" "&amp;T1490))),ISNUMBER(SEARCH("banking",LOWER(F1490&amp;" "&amp;H1490&amp;" "&amp;I1490&amp;" "&amp;M1490&amp;" "&amp;N1490&amp;" "&amp;T1490)))),"PRIVATE_QUARANTINE",IF(OR(ISNUMBER(SEARCH("treasury",LOWER(F1490&amp;" "&amp;H1490&amp;" "&amp;I1490&amp;" "&amp;M1490&amp;" "&amp;N1490&amp;" "&amp;T1490))),ISNUMBER(SEARCH("debt",LOWER(F1490&amp;" "&amp;H1490&amp;" "&amp;I1490&amp;" "&amp;M1490&amp;" "&amp;N1490&amp;" "&amp;T1490))),ISNUMBER(SEARCH("bond",LOWER(F1490&amp;" "&amp;H1490&amp;" "&amp;I1490&amp;" "&amp;M1490&amp;" "&amp;N1490&amp;" "&amp;T1490))),ISNUMBER(SEARCH("transaction",LOWER(F1490&amp;" "&amp;H1490&amp;" "&amp;I1490&amp;" "&amp;M1490&amp;" "&amp;N1490&amp;" "&amp;T1490)))),"PRIVATE_REVIEW","PUBLIC_CANDIDATE"))</x:f>
        <x:v>PUBLIC_CANDIDATE</x:v>
      </x:c>
      <x:c r="AD1490" s="12" t="str">
        <x:f>IF(AC1490="PRIVATE_QUARANTINE","hacker_or_bank_trigger",IF(AC1490="PRIVATE_REVIEW","finance_risk_trigger","none"))</x:f>
        <x:v>none</x:v>
      </x:c>
      <x:c r="AE1490" s="12" t="str">
        <x:f>IF(AC1490="PUBLIC_CANDIDATE","prepare_public_github_candidate",IF(AC1490="PRIVATE_REVIEW","hold_for_private_review","quarantine_private_do_not_publish"))</x:f>
        <x:v>prepare_public_github_candidate</x:v>
      </x:c>
      <x:c r="AF1490" s="12" t="str">
        <x:f>IF(AC1490="PUBLIC_CANDIDATE","TIDELOCK + Lucerna",IF(AC1490="PRIVATE_REVIEW","AtlasBrain + Lucerna","TIDELOCK + Lucerna + Human-root"))</x:f>
        <x:v>TIDELOCK + Lucerna</x:v>
      </x:c>
      <x:c r="AG1490" s="12" t="str">
        <x:f>IF(AND(AC1490="PUBLIC_CANDIDATE",U1490&lt;&gt;"BLOCKED_PENDING_RECEIPT"),"READY_AFTER_RECEIPT","NOT_READY")</x:f>
        <x:v>NOT_READY</x:v>
      </x:c>
      <x:c r="AH1490" s="12" t="str">
        <x:f>IF(AC1490="PUBLIC_CANDIDATE","none",AD1490)</x:f>
        <x:v>none</x:v>
      </x:c>
      <x:c r="AI1490" s="12" t="str">
        <x:f>IF(AC1490="PUBLIC_CANDIDATE","archive/public_candidates/"&amp;A1490,"private_quarantine/"&amp;A1490)</x:f>
        <x:v>archive/public_candidates/SWARM-11-H05-S01</x:v>
      </x:c>
      <x:c r="AJ1490" s="12" t="str">
        <x:f>IF(AC1490="PUBLIC_CANDIDATE","public by default; still not canon","private/hold; do not publish")</x:f>
        <x:v>public by default; still not canon</x:v>
      </x:c>
      <x:c r="AK1490" s="12" t="str">
        <x:f>IF(AE1490="prepare_public_github_candidate","add receipt/status then mirror","resolve blocker before any public GitHub action")</x:f>
        <x:v>add receipt/status then mirror</x:v>
      </x:c>
    </x:row>
    <x:row r="1491">
      <x:c r="A1491" s="15" t="str">
        <x:v>SWARM-11-H05-S02</x:v>
      </x:c>
      <x:c r="B1491" s="15" t="str">
        <x:v>ClaudeCatcher</x:v>
      </x:c>
      <x:c r="C1491" s="15" t="str">
        <x:v>Bullshit Olympics referee</x:v>
      </x:c>
      <x:c r="D1491" s="15" t="str">
        <x:v>Contradiction Mapping</x:v>
      </x:c>
      <x:c r="E1491" s="15" t="str">
        <x:v>Drive</x:v>
      </x:c>
      <x:c r="F1491" s="15" t="str">
        <x:v>Map contradictions in Drive — ClaudeCatcher</x:v>
      </x:c>
      <x:c r="G1491" s="15" t="str">
        <x:v>adversarial claims / model overclaim detection</x:v>
      </x:c>
      <x:c r="H1491" s="15" t="str">
        <x:v>source path + receipt + raw/export status + claim/edge/risk delta</x:v>
      </x:c>
      <x:c r="I1491" s="15" t="str">
        <x:v>packet/SWARM-11-H05-S02</x:v>
      </x:c>
      <x:c r="J1491" s="15" t="str">
        <x:v>TODO</x:v>
      </x:c>
      <x:c r="K1491" s="15" t="str">
        <x:v>P0</x:v>
      </x:c>
      <x:c r="L1491" s="15" t="str">
        <x:v>Done only when evidence is logged, contradiction search is noted, and boundary stamp remains non-canon unless ratified</x:v>
      </x:c>
      <x:c r="M1491" s="15" t="str">
        <x:v>candidate / staging-only / not canon / not deployed / authority none</x:v>
      </x:c>
      <x:c r="N1491" s="15" t="str">
        <x:v>Dispatch to ClaudeCatcher: complete Contradiction Mapping x Drive; return deltas only, receipts required.</x:v>
      </x:c>
      <x:c r="O1491" s="15" t="str">
        <x:v>AF-KG-H05-S02</x:v>
      </x:c>
      <x:c r="P1491" s="15" t="str">
        <x:v>Unverified</x:v>
      </x:c>
      <x:c r="Q1491" s="15" t="str">
        <x:v>Not checked</x:v>
      </x:c>
      <x:c r="R1491" s="15" t="str"/>
      <x:c r="S1491" s="15" t="str"/>
      <x:c r="T1491" s="15" t="str">
        <x:v>Log first source path or blocker</x:v>
      </x:c>
      <x:c r="U1491" s="12" t="str">
        <x:f>IF(OR(P1491="Unverified",Q1491="Not checked"),"BLOCKED_PENDING_RECEIPT","READY_FOR_REVIEW")</x:f>
        <x:v>BLOCKED_PENDING_RECEIPT</x:v>
      </x:c>
      <x:c r="V1491" s="12" t="str">
        <x:f>IF(J1491="DONE","RETURNED",IF(U1491="BLOCKED_PENDING_RECEIPT","SOURCE_TOUCH_REQUIRED","IN_PROGRESS"))</x:f>
        <x:v>SOURCE_TOUCH_REQUIRED</x:v>
      </x:c>
      <x:c r="W1491" s="12" t="str">
        <x:f>IF(P1491="Unverified","missing_receipt","receipt_logged")</x:f>
        <x:v>missing_receipt</x:v>
      </x:c>
      <x:c r="X1491" s="12" t="str">
        <x:f>IF(Q1491="Not checked","raw_status_missing","raw_status_logged")</x:f>
        <x:v>raw_status_missing</x:v>
      </x:c>
      <x:c r="Y1491" s="12" t="str">
        <x:f>IF(U1491="BLOCKED_PENDING_RECEIPT","Log source path or blocker; do not promote","Route to review lane")</x:f>
        <x:v>Log source path or blocker; do not promote</x:v>
      </x:c>
      <x:c r="Z1491" s="12" t="str">
        <x:f>IF(K1491="P0","Primary seat + Hashlight/Lucerna","Seat lane")</x:f>
        <x:v>Primary seat + Hashlight/Lucerna</x:v>
      </x:c>
      <x:c r="AA1491" s="12" t="str">
        <x:f>IF(R1491="","no_claim_delta","claim_delta_present")</x:f>
        <x:v>no_claim_delta</x:v>
      </x:c>
      <x:c r="AB1491" s="12" t="str">
        <x:f>IF(S1491="","no_contradiction_delta","contradiction_delta_present")</x:f>
        <x:v>no_contradiction_delta</x:v>
      </x:c>
      <x:c r="AC1491" s="12" t="str">
        <x:f>IF(OR(ISNUMBER(SEARCH("hacker",LOWER(F1491&amp;" "&amp;H1491&amp;" "&amp;I1491&amp;" "&amp;M1491&amp;" "&amp;N1491&amp;" "&amp;T1491))),ISNUMBER(SEARCH("hacking",LOWER(F1491&amp;" "&amp;H1491&amp;" "&amp;I1491&amp;" "&amp;M1491&amp;" "&amp;N1491&amp;" "&amp;T1491))),ISNUMBER(SEARCH("bank",LOWER(F1491&amp;" "&amp;H1491&amp;" "&amp;I1491&amp;" "&amp;M1491&amp;" "&amp;N1491&amp;" "&amp;T1491))),ISNUMBER(SEARCH("banking",LOWER(F1491&amp;" "&amp;H1491&amp;" "&amp;I1491&amp;" "&amp;M1491&amp;" "&amp;N1491&amp;" "&amp;T1491)))),"PRIVATE_QUARANTINE",IF(OR(ISNUMBER(SEARCH("treasury",LOWER(F1491&amp;" "&amp;H1491&amp;" "&amp;I1491&amp;" "&amp;M1491&amp;" "&amp;N1491&amp;" "&amp;T1491))),ISNUMBER(SEARCH("debt",LOWER(F1491&amp;" "&amp;H1491&amp;" "&amp;I1491&amp;" "&amp;M1491&amp;" "&amp;N1491&amp;" "&amp;T1491))),ISNUMBER(SEARCH("bond",LOWER(F1491&amp;" "&amp;H1491&amp;" "&amp;I1491&amp;" "&amp;M1491&amp;" "&amp;N1491&amp;" "&amp;T1491))),ISNUMBER(SEARCH("transaction",LOWER(F1491&amp;" "&amp;H1491&amp;" "&amp;I1491&amp;" "&amp;M1491&amp;" "&amp;N1491&amp;" "&amp;T1491)))),"PRIVATE_REVIEW","PUBLIC_CANDIDATE"))</x:f>
        <x:v>PUBLIC_CANDIDATE</x:v>
      </x:c>
      <x:c r="AD1491" s="12" t="str">
        <x:f>IF(AC1491="PRIVATE_QUARANTINE","hacker_or_bank_trigger",IF(AC1491="PRIVATE_REVIEW","finance_risk_trigger","none"))</x:f>
        <x:v>none</x:v>
      </x:c>
      <x:c r="AE1491" s="12" t="str">
        <x:f>IF(AC1491="PUBLIC_CANDIDATE","prepare_public_github_candidate",IF(AC1491="PRIVATE_REVIEW","hold_for_private_review","quarantine_private_do_not_publish"))</x:f>
        <x:v>prepare_public_github_candidate</x:v>
      </x:c>
      <x:c r="AF1491" s="12" t="str">
        <x:f>IF(AC1491="PUBLIC_CANDIDATE","TIDELOCK + Lucerna",IF(AC1491="PRIVATE_REVIEW","AtlasBrain + Lucerna","TIDELOCK + Lucerna + Human-root"))</x:f>
        <x:v>TIDELOCK + Lucerna</x:v>
      </x:c>
      <x:c r="AG1491" s="12" t="str">
        <x:f>IF(AND(AC1491="PUBLIC_CANDIDATE",U1491&lt;&gt;"BLOCKED_PENDING_RECEIPT"),"READY_AFTER_RECEIPT","NOT_READY")</x:f>
        <x:v>NOT_READY</x:v>
      </x:c>
      <x:c r="AH1491" s="12" t="str">
        <x:f>IF(AC1491="PUBLIC_CANDIDATE","none",AD1491)</x:f>
        <x:v>none</x:v>
      </x:c>
      <x:c r="AI1491" s="12" t="str">
        <x:f>IF(AC1491="PUBLIC_CANDIDATE","archive/public_candidates/"&amp;A1491,"private_quarantine/"&amp;A1491)</x:f>
        <x:v>archive/public_candidates/SWARM-11-H05-S02</x:v>
      </x:c>
      <x:c r="AJ1491" s="12" t="str">
        <x:f>IF(AC1491="PUBLIC_CANDIDATE","public by default; still not canon","private/hold; do not publish")</x:f>
        <x:v>public by default; still not canon</x:v>
      </x:c>
      <x:c r="AK1491" s="12" t="str">
        <x:f>IF(AE1491="prepare_public_github_candidate","add receipt/status then mirror","resolve blocker before any public GitHub action")</x:f>
        <x:v>add receipt/status then mirror</x:v>
      </x:c>
    </x:row>
    <x:row r="1492">
      <x:c r="A1492" s="15" t="str">
        <x:v>SWARM-11-H05-S03</x:v>
      </x:c>
      <x:c r="B1492" s="15" t="str">
        <x:v>ClaudeCatcher</x:v>
      </x:c>
      <x:c r="C1492" s="15" t="str">
        <x:v>Bullshit Olympics referee</x:v>
      </x:c>
      <x:c r="D1492" s="15" t="str">
        <x:v>Contradiction Mapping</x:v>
      </x:c>
      <x:c r="E1492" s="15" t="str">
        <x:v>GitHub</x:v>
      </x:c>
      <x:c r="F1492" s="15" t="str">
        <x:v>Map contradictions in GitHub — ClaudeCatcher</x:v>
      </x:c>
      <x:c r="G1492" s="15" t="str">
        <x:v>adversarial claims / model overclaim detection</x:v>
      </x:c>
      <x:c r="H1492" s="15" t="str">
        <x:v>source path + receipt + raw/export status + claim/edge/risk delta</x:v>
      </x:c>
      <x:c r="I1492" s="15" t="str">
        <x:v>packet/SWARM-11-H05-S03</x:v>
      </x:c>
      <x:c r="J1492" s="15" t="str">
        <x:v>TODO</x:v>
      </x:c>
      <x:c r="K1492" s="15" t="str">
        <x:v>P0</x:v>
      </x:c>
      <x:c r="L1492" s="15" t="str">
        <x:v>Done only when evidence is logged, contradiction search is noted, and boundary stamp remains non-canon unless ratified</x:v>
      </x:c>
      <x:c r="M1492" s="15" t="str">
        <x:v>candidate / staging-only / not canon / not deployed / authority none</x:v>
      </x:c>
      <x:c r="N1492" s="15" t="str">
        <x:v>Dispatch to ClaudeCatcher: complete Contradiction Mapping x GitHub; return deltas only, receipts required.</x:v>
      </x:c>
      <x:c r="O1492" s="15" t="str">
        <x:v>AF-KG-H05-S03</x:v>
      </x:c>
      <x:c r="P1492" s="15" t="str">
        <x:v>Unverified</x:v>
      </x:c>
      <x:c r="Q1492" s="15" t="str">
        <x:v>Not checked</x:v>
      </x:c>
      <x:c r="R1492" s="15" t="str"/>
      <x:c r="S1492" s="15" t="str"/>
      <x:c r="T1492" s="15" t="str">
        <x:v>Log first source path or blocker</x:v>
      </x:c>
      <x:c r="U1492" s="12" t="str">
        <x:f>IF(OR(P1492="Unverified",Q1492="Not checked"),"BLOCKED_PENDING_RECEIPT","READY_FOR_REVIEW")</x:f>
        <x:v>BLOCKED_PENDING_RECEIPT</x:v>
      </x:c>
      <x:c r="V1492" s="12" t="str">
        <x:f>IF(J1492="DONE","RETURNED",IF(U1492="BLOCKED_PENDING_RECEIPT","SOURCE_TOUCH_REQUIRED","IN_PROGRESS"))</x:f>
        <x:v>SOURCE_TOUCH_REQUIRED</x:v>
      </x:c>
      <x:c r="W1492" s="12" t="str">
        <x:f>IF(P1492="Unverified","missing_receipt","receipt_logged")</x:f>
        <x:v>missing_receipt</x:v>
      </x:c>
      <x:c r="X1492" s="12" t="str">
        <x:f>IF(Q1492="Not checked","raw_status_missing","raw_status_logged")</x:f>
        <x:v>raw_status_missing</x:v>
      </x:c>
      <x:c r="Y1492" s="12" t="str">
        <x:f>IF(U1492="BLOCKED_PENDING_RECEIPT","Log source path or blocker; do not promote","Route to review lane")</x:f>
        <x:v>Log source path or blocker; do not promote</x:v>
      </x:c>
      <x:c r="Z1492" s="12" t="str">
        <x:f>IF(K1492="P0","Primary seat + Hashlight/Lucerna","Seat lane")</x:f>
        <x:v>Primary seat + Hashlight/Lucerna</x:v>
      </x:c>
      <x:c r="AA1492" s="12" t="str">
        <x:f>IF(R1492="","no_claim_delta","claim_delta_present")</x:f>
        <x:v>no_claim_delta</x:v>
      </x:c>
      <x:c r="AB1492" s="12" t="str">
        <x:f>IF(S1492="","no_contradiction_delta","contradiction_delta_present")</x:f>
        <x:v>no_contradiction_delta</x:v>
      </x:c>
      <x:c r="AC1492" s="12" t="str">
        <x:f>IF(OR(ISNUMBER(SEARCH("hacker",LOWER(F1492&amp;" "&amp;H1492&amp;" "&amp;I1492&amp;" "&amp;M1492&amp;" "&amp;N1492&amp;" "&amp;T1492))),ISNUMBER(SEARCH("hacking",LOWER(F1492&amp;" "&amp;H1492&amp;" "&amp;I1492&amp;" "&amp;M1492&amp;" "&amp;N1492&amp;" "&amp;T1492))),ISNUMBER(SEARCH("bank",LOWER(F1492&amp;" "&amp;H1492&amp;" "&amp;I1492&amp;" "&amp;M1492&amp;" "&amp;N1492&amp;" "&amp;T1492))),ISNUMBER(SEARCH("banking",LOWER(F1492&amp;" "&amp;H1492&amp;" "&amp;I1492&amp;" "&amp;M1492&amp;" "&amp;N1492&amp;" "&amp;T1492)))),"PRIVATE_QUARANTINE",IF(OR(ISNUMBER(SEARCH("treasury",LOWER(F1492&amp;" "&amp;H1492&amp;" "&amp;I1492&amp;" "&amp;M1492&amp;" "&amp;N1492&amp;" "&amp;T1492))),ISNUMBER(SEARCH("debt",LOWER(F1492&amp;" "&amp;H1492&amp;" "&amp;I1492&amp;" "&amp;M1492&amp;" "&amp;N1492&amp;" "&amp;T1492))),ISNUMBER(SEARCH("bond",LOWER(F1492&amp;" "&amp;H1492&amp;" "&amp;I1492&amp;" "&amp;M1492&amp;" "&amp;N1492&amp;" "&amp;T1492))),ISNUMBER(SEARCH("transaction",LOWER(F1492&amp;" "&amp;H1492&amp;" "&amp;I1492&amp;" "&amp;M1492&amp;" "&amp;N1492&amp;" "&amp;T1492)))),"PRIVATE_REVIEW","PUBLIC_CANDIDATE"))</x:f>
        <x:v>PUBLIC_CANDIDATE</x:v>
      </x:c>
      <x:c r="AD1492" s="12" t="str">
        <x:f>IF(AC1492="PRIVATE_QUARANTINE","hacker_or_bank_trigger",IF(AC1492="PRIVATE_REVIEW","finance_risk_trigger","none"))</x:f>
        <x:v>none</x:v>
      </x:c>
      <x:c r="AE1492" s="12" t="str">
        <x:f>IF(AC1492="PUBLIC_CANDIDATE","prepare_public_github_candidate",IF(AC1492="PRIVATE_REVIEW","hold_for_private_review","quarantine_private_do_not_publish"))</x:f>
        <x:v>prepare_public_github_candidate</x:v>
      </x:c>
      <x:c r="AF1492" s="12" t="str">
        <x:f>IF(AC1492="PUBLIC_CANDIDATE","TIDELOCK + Lucerna",IF(AC1492="PRIVATE_REVIEW","AtlasBrain + Lucerna","TIDELOCK + Lucerna + Human-root"))</x:f>
        <x:v>TIDELOCK + Lucerna</x:v>
      </x:c>
      <x:c r="AG1492" s="12" t="str">
        <x:f>IF(AND(AC1492="PUBLIC_CANDIDATE",U1492&lt;&gt;"BLOCKED_PENDING_RECEIPT"),"READY_AFTER_RECEIPT","NOT_READY")</x:f>
        <x:v>NOT_READY</x:v>
      </x:c>
      <x:c r="AH1492" s="12" t="str">
        <x:f>IF(AC1492="PUBLIC_CANDIDATE","none",AD1492)</x:f>
        <x:v>none</x:v>
      </x:c>
      <x:c r="AI1492" s="12" t="str">
        <x:f>IF(AC1492="PUBLIC_CANDIDATE","archive/public_candidates/"&amp;A1492,"private_quarantine/"&amp;A1492)</x:f>
        <x:v>archive/public_candidates/SWARM-11-H05-S03</x:v>
      </x:c>
      <x:c r="AJ1492" s="12" t="str">
        <x:f>IF(AC1492="PUBLIC_CANDIDATE","public by default; still not canon","private/hold; do not publish")</x:f>
        <x:v>public by default; still not canon</x:v>
      </x:c>
      <x:c r="AK1492" s="12" t="str">
        <x:f>IF(AE1492="prepare_public_github_candidate","add receipt/status then mirror","resolve blocker before any public GitHub action")</x:f>
        <x:v>add receipt/status then mirror</x:v>
      </x:c>
    </x:row>
    <x:row r="1493">
      <x:c r="A1493" s="15" t="str">
        <x:v>SWARM-11-H05-S04</x:v>
      </x:c>
      <x:c r="B1493" s="15" t="str">
        <x:v>ClaudeCatcher</x:v>
      </x:c>
      <x:c r="C1493" s="15" t="str">
        <x:v>Bullshit Olympics referee</x:v>
      </x:c>
      <x:c r="D1493" s="15" t="str">
        <x:v>Contradiction Mapping</x:v>
      </x:c>
      <x:c r="E1493" s="15" t="str">
        <x:v>Gamma</x:v>
      </x:c>
      <x:c r="F1493" s="15" t="str">
        <x:v>Map contradictions in Gamma — ClaudeCatcher</x:v>
      </x:c>
      <x:c r="G1493" s="15" t="str">
        <x:v>adversarial claims / model overclaim detection</x:v>
      </x:c>
      <x:c r="H1493" s="15" t="str">
        <x:v>source path + receipt + raw/export status + claim/edge/risk delta</x:v>
      </x:c>
      <x:c r="I1493" s="15" t="str">
        <x:v>packet/SWARM-11-H05-S04</x:v>
      </x:c>
      <x:c r="J1493" s="15" t="str">
        <x:v>TODO</x:v>
      </x:c>
      <x:c r="K1493" s="15" t="str">
        <x:v>P1</x:v>
      </x:c>
      <x:c r="L1493" s="15" t="str">
        <x:v>Done only when evidence is logged, contradiction search is noted, and boundary stamp remains non-canon unless ratified</x:v>
      </x:c>
      <x:c r="M1493" s="15" t="str">
        <x:v>candidate / staging-only / not canon / not deployed / authority none</x:v>
      </x:c>
      <x:c r="N1493" s="15" t="str">
        <x:v>Dispatch to ClaudeCatcher: complete Contradiction Mapping x Gamma; return deltas only, receipts required.</x:v>
      </x:c>
      <x:c r="O1493" s="15" t="str">
        <x:v>AF-KG-H05-S04</x:v>
      </x:c>
      <x:c r="P1493" s="15" t="str">
        <x:v>Unverified</x:v>
      </x:c>
      <x:c r="Q1493" s="15" t="str">
        <x:v>Not checked</x:v>
      </x:c>
      <x:c r="R1493" s="15" t="str"/>
      <x:c r="S1493" s="15" t="str"/>
      <x:c r="T1493" s="15" t="str">
        <x:v>Log first source path or blocker</x:v>
      </x:c>
      <x:c r="U1493" s="12" t="str">
        <x:f>IF(OR(P1493="Unverified",Q1493="Not checked"),"BLOCKED_PENDING_RECEIPT","READY_FOR_REVIEW")</x:f>
        <x:v>BLOCKED_PENDING_RECEIPT</x:v>
      </x:c>
      <x:c r="V1493" s="12" t="str">
        <x:f>IF(J1493="DONE","RETURNED",IF(U1493="BLOCKED_PENDING_RECEIPT","SOURCE_TOUCH_REQUIRED","IN_PROGRESS"))</x:f>
        <x:v>SOURCE_TOUCH_REQUIRED</x:v>
      </x:c>
      <x:c r="W1493" s="12" t="str">
        <x:f>IF(P1493="Unverified","missing_receipt","receipt_logged")</x:f>
        <x:v>missing_receipt</x:v>
      </x:c>
      <x:c r="X1493" s="12" t="str">
        <x:f>IF(Q1493="Not checked","raw_status_missing","raw_status_logged")</x:f>
        <x:v>raw_status_missing</x:v>
      </x:c>
      <x:c r="Y1493" s="12" t="str">
        <x:f>IF(U1493="BLOCKED_PENDING_RECEIPT","Log source path or blocker; do not promote","Route to review lane")</x:f>
        <x:v>Log source path or blocker; do not promote</x:v>
      </x:c>
      <x:c r="Z1493" s="12" t="str">
        <x:f>IF(K1493="P0","Primary seat + Hashlight/Lucerna","Seat lane")</x:f>
        <x:v>Seat lane</x:v>
      </x:c>
      <x:c r="AA1493" s="12" t="str">
        <x:f>IF(R1493="","no_claim_delta","claim_delta_present")</x:f>
        <x:v>no_claim_delta</x:v>
      </x:c>
      <x:c r="AB1493" s="12" t="str">
        <x:f>IF(S1493="","no_contradiction_delta","contradiction_delta_present")</x:f>
        <x:v>no_contradiction_delta</x:v>
      </x:c>
      <x:c r="AC1493" s="12" t="str">
        <x:f>IF(OR(ISNUMBER(SEARCH("hacker",LOWER(F1493&amp;" "&amp;H1493&amp;" "&amp;I1493&amp;" "&amp;M1493&amp;" "&amp;N1493&amp;" "&amp;T1493))),ISNUMBER(SEARCH("hacking",LOWER(F1493&amp;" "&amp;H1493&amp;" "&amp;I1493&amp;" "&amp;M1493&amp;" "&amp;N1493&amp;" "&amp;T1493))),ISNUMBER(SEARCH("bank",LOWER(F1493&amp;" "&amp;H1493&amp;" "&amp;I1493&amp;" "&amp;M1493&amp;" "&amp;N1493&amp;" "&amp;T1493))),ISNUMBER(SEARCH("banking",LOWER(F1493&amp;" "&amp;H1493&amp;" "&amp;I1493&amp;" "&amp;M1493&amp;" "&amp;N1493&amp;" "&amp;T1493)))),"PRIVATE_QUARANTINE",IF(OR(ISNUMBER(SEARCH("treasury",LOWER(F1493&amp;" "&amp;H1493&amp;" "&amp;I1493&amp;" "&amp;M1493&amp;" "&amp;N1493&amp;" "&amp;T1493))),ISNUMBER(SEARCH("debt",LOWER(F1493&amp;" "&amp;H1493&amp;" "&amp;I1493&amp;" "&amp;M1493&amp;" "&amp;N1493&amp;" "&amp;T1493))),ISNUMBER(SEARCH("bond",LOWER(F1493&amp;" "&amp;H1493&amp;" "&amp;I1493&amp;" "&amp;M1493&amp;" "&amp;N1493&amp;" "&amp;T1493))),ISNUMBER(SEARCH("transaction",LOWER(F1493&amp;" "&amp;H1493&amp;" "&amp;I1493&amp;" "&amp;M1493&amp;" "&amp;N1493&amp;" "&amp;T1493)))),"PRIVATE_REVIEW","PUBLIC_CANDIDATE"))</x:f>
        <x:v>PUBLIC_CANDIDATE</x:v>
      </x:c>
      <x:c r="AD1493" s="12" t="str">
        <x:f>IF(AC1493="PRIVATE_QUARANTINE","hacker_or_bank_trigger",IF(AC1493="PRIVATE_REVIEW","finance_risk_trigger","none"))</x:f>
        <x:v>none</x:v>
      </x:c>
      <x:c r="AE1493" s="12" t="str">
        <x:f>IF(AC1493="PUBLIC_CANDIDATE","prepare_public_github_candidate",IF(AC1493="PRIVATE_REVIEW","hold_for_private_review","quarantine_private_do_not_publish"))</x:f>
        <x:v>prepare_public_github_candidate</x:v>
      </x:c>
      <x:c r="AF1493" s="12" t="str">
        <x:f>IF(AC1493="PUBLIC_CANDIDATE","TIDELOCK + Lucerna",IF(AC1493="PRIVATE_REVIEW","AtlasBrain + Lucerna","TIDELOCK + Lucerna + Human-root"))</x:f>
        <x:v>TIDELOCK + Lucerna</x:v>
      </x:c>
      <x:c r="AG1493" s="12" t="str">
        <x:f>IF(AND(AC1493="PUBLIC_CANDIDATE",U1493&lt;&gt;"BLOCKED_PENDING_RECEIPT"),"READY_AFTER_RECEIPT","NOT_READY")</x:f>
        <x:v>NOT_READY</x:v>
      </x:c>
      <x:c r="AH1493" s="12" t="str">
        <x:f>IF(AC1493="PUBLIC_CANDIDATE","none",AD1493)</x:f>
        <x:v>none</x:v>
      </x:c>
      <x:c r="AI1493" s="12" t="str">
        <x:f>IF(AC1493="PUBLIC_CANDIDATE","archive/public_candidates/"&amp;A1493,"private_quarantine/"&amp;A1493)</x:f>
        <x:v>archive/public_candidates/SWARM-11-H05-S04</x:v>
      </x:c>
      <x:c r="AJ1493" s="12" t="str">
        <x:f>IF(AC1493="PUBLIC_CANDIDATE","public by default; still not canon","private/hold; do not publish")</x:f>
        <x:v>public by default; still not canon</x:v>
      </x:c>
      <x:c r="AK1493" s="12" t="str">
        <x:f>IF(AE1493="prepare_public_github_candidate","add receipt/status then mirror","resolve blocker before any public GitHub action")</x:f>
        <x:v>add receipt/status then mirror</x:v>
      </x:c>
    </x:row>
    <x:row r="1494">
      <x:c r="A1494" s="15" t="str">
        <x:v>SWARM-11-H05-S05</x:v>
      </x:c>
      <x:c r="B1494" s="15" t="str">
        <x:v>ClaudeCatcher</x:v>
      </x:c>
      <x:c r="C1494" s="15" t="str">
        <x:v>Bullshit Olympics referee</x:v>
      </x:c>
      <x:c r="D1494" s="15" t="str">
        <x:v>Contradiction Mapping</x:v>
      </x:c>
      <x:c r="E1494" s="15" t="str">
        <x:v>Chat</x:v>
      </x:c>
      <x:c r="F1494" s="15" t="str">
        <x:v>Map contradictions in Chat — ClaudeCatcher</x:v>
      </x:c>
      <x:c r="G1494" s="15" t="str">
        <x:v>adversarial claims / model overclaim detection</x:v>
      </x:c>
      <x:c r="H1494" s="15" t="str">
        <x:v>source path + receipt + raw/export status + claim/edge/risk delta</x:v>
      </x:c>
      <x:c r="I1494" s="15" t="str">
        <x:v>packet/SWARM-11-H05-S05</x:v>
      </x:c>
      <x:c r="J1494" s="15" t="str">
        <x:v>TODO</x:v>
      </x:c>
      <x:c r="K1494" s="15" t="str">
        <x:v>P1</x:v>
      </x:c>
      <x:c r="L1494" s="15" t="str">
        <x:v>Done only when evidence is logged, contradiction search is noted, and boundary stamp remains non-canon unless ratified</x:v>
      </x:c>
      <x:c r="M1494" s="15" t="str">
        <x:v>candidate / staging-only / not canon / not deployed / authority none</x:v>
      </x:c>
      <x:c r="N1494" s="15" t="str">
        <x:v>Dispatch to ClaudeCatcher: complete Contradiction Mapping x Chat; return deltas only, receipts required.</x:v>
      </x:c>
      <x:c r="O1494" s="15" t="str">
        <x:v>AF-KG-H05-S05</x:v>
      </x:c>
      <x:c r="P1494" s="15" t="str">
        <x:v>Unverified</x:v>
      </x:c>
      <x:c r="Q1494" s="15" t="str">
        <x:v>Not checked</x:v>
      </x:c>
      <x:c r="R1494" s="15" t="str"/>
      <x:c r="S1494" s="15" t="str"/>
      <x:c r="T1494" s="15" t="str">
        <x:v>Log first source path or blocker</x:v>
      </x:c>
      <x:c r="U1494" s="12" t="str">
        <x:f>IF(OR(P1494="Unverified",Q1494="Not checked"),"BLOCKED_PENDING_RECEIPT","READY_FOR_REVIEW")</x:f>
        <x:v>BLOCKED_PENDING_RECEIPT</x:v>
      </x:c>
      <x:c r="V1494" s="12" t="str">
        <x:f>IF(J1494="DONE","RETURNED",IF(U1494="BLOCKED_PENDING_RECEIPT","SOURCE_TOUCH_REQUIRED","IN_PROGRESS"))</x:f>
        <x:v>SOURCE_TOUCH_REQUIRED</x:v>
      </x:c>
      <x:c r="W1494" s="12" t="str">
        <x:f>IF(P1494="Unverified","missing_receipt","receipt_logged")</x:f>
        <x:v>missing_receipt</x:v>
      </x:c>
      <x:c r="X1494" s="12" t="str">
        <x:f>IF(Q1494="Not checked","raw_status_missing","raw_status_logged")</x:f>
        <x:v>raw_status_missing</x:v>
      </x:c>
      <x:c r="Y1494" s="12" t="str">
        <x:f>IF(U1494="BLOCKED_PENDING_RECEIPT","Log source path or blocker; do not promote","Route to review lane")</x:f>
        <x:v>Log source path or blocker; do not promote</x:v>
      </x:c>
      <x:c r="Z1494" s="12" t="str">
        <x:f>IF(K1494="P0","Primary seat + Hashlight/Lucerna","Seat lane")</x:f>
        <x:v>Seat lane</x:v>
      </x:c>
      <x:c r="AA1494" s="12" t="str">
        <x:f>IF(R1494="","no_claim_delta","claim_delta_present")</x:f>
        <x:v>no_claim_delta</x:v>
      </x:c>
      <x:c r="AB1494" s="12" t="str">
        <x:f>IF(S1494="","no_contradiction_delta","contradiction_delta_present")</x:f>
        <x:v>no_contradiction_delta</x:v>
      </x:c>
      <x:c r="AC1494" s="12" t="str">
        <x:f>IF(OR(ISNUMBER(SEARCH("hacker",LOWER(F1494&amp;" "&amp;H1494&amp;" "&amp;I1494&amp;" "&amp;M1494&amp;" "&amp;N1494&amp;" "&amp;T1494))),ISNUMBER(SEARCH("hacking",LOWER(F1494&amp;" "&amp;H1494&amp;" "&amp;I1494&amp;" "&amp;M1494&amp;" "&amp;N1494&amp;" "&amp;T1494))),ISNUMBER(SEARCH("bank",LOWER(F1494&amp;" "&amp;H1494&amp;" "&amp;I1494&amp;" "&amp;M1494&amp;" "&amp;N1494&amp;" "&amp;T1494))),ISNUMBER(SEARCH("banking",LOWER(F1494&amp;" "&amp;H1494&amp;" "&amp;I1494&amp;" "&amp;M1494&amp;" "&amp;N1494&amp;" "&amp;T1494)))),"PRIVATE_QUARANTINE",IF(OR(ISNUMBER(SEARCH("treasury",LOWER(F1494&amp;" "&amp;H1494&amp;" "&amp;I1494&amp;" "&amp;M1494&amp;" "&amp;N1494&amp;" "&amp;T1494))),ISNUMBER(SEARCH("debt",LOWER(F1494&amp;" "&amp;H1494&amp;" "&amp;I1494&amp;" "&amp;M1494&amp;" "&amp;N1494&amp;" "&amp;T1494))),ISNUMBER(SEARCH("bond",LOWER(F1494&amp;" "&amp;H1494&amp;" "&amp;I1494&amp;" "&amp;M1494&amp;" "&amp;N1494&amp;" "&amp;T1494))),ISNUMBER(SEARCH("transaction",LOWER(F1494&amp;" "&amp;H1494&amp;" "&amp;I1494&amp;" "&amp;M1494&amp;" "&amp;N1494&amp;" "&amp;T1494)))),"PRIVATE_REVIEW","PUBLIC_CANDIDATE"))</x:f>
        <x:v>PUBLIC_CANDIDATE</x:v>
      </x:c>
      <x:c r="AD1494" s="12" t="str">
        <x:f>IF(AC1494="PRIVATE_QUARANTINE","hacker_or_bank_trigger",IF(AC1494="PRIVATE_REVIEW","finance_risk_trigger","none"))</x:f>
        <x:v>none</x:v>
      </x:c>
      <x:c r="AE1494" s="12" t="str">
        <x:f>IF(AC1494="PUBLIC_CANDIDATE","prepare_public_github_candidate",IF(AC1494="PRIVATE_REVIEW","hold_for_private_review","quarantine_private_do_not_publish"))</x:f>
        <x:v>prepare_public_github_candidate</x:v>
      </x:c>
      <x:c r="AF1494" s="12" t="str">
        <x:f>IF(AC1494="PUBLIC_CANDIDATE","TIDELOCK + Lucerna",IF(AC1494="PRIVATE_REVIEW","AtlasBrain + Lucerna","TIDELOCK + Lucerna + Human-root"))</x:f>
        <x:v>TIDELOCK + Lucerna</x:v>
      </x:c>
      <x:c r="AG1494" s="12" t="str">
        <x:f>IF(AND(AC1494="PUBLIC_CANDIDATE",U1494&lt;&gt;"BLOCKED_PENDING_RECEIPT"),"READY_AFTER_RECEIPT","NOT_READY")</x:f>
        <x:v>NOT_READY</x:v>
      </x:c>
      <x:c r="AH1494" s="12" t="str">
        <x:f>IF(AC1494="PUBLIC_CANDIDATE","none",AD1494)</x:f>
        <x:v>none</x:v>
      </x:c>
      <x:c r="AI1494" s="12" t="str">
        <x:f>IF(AC1494="PUBLIC_CANDIDATE","archive/public_candidates/"&amp;A1494,"private_quarantine/"&amp;A1494)</x:f>
        <x:v>archive/public_candidates/SWARM-11-H05-S05</x:v>
      </x:c>
      <x:c r="AJ1494" s="12" t="str">
        <x:f>IF(AC1494="PUBLIC_CANDIDATE","public by default; still not canon","private/hold; do not publish")</x:f>
        <x:v>public by default; still not canon</x:v>
      </x:c>
      <x:c r="AK1494" s="12" t="str">
        <x:f>IF(AE1494="prepare_public_github_candidate","add receipt/status then mirror","resolve blocker before any public GitHub action")</x:f>
        <x:v>add receipt/status then mirror</x:v>
      </x:c>
    </x:row>
    <x:row r="1495">
      <x:c r="A1495" s="15" t="str">
        <x:v>SWARM-11-H05-S06</x:v>
      </x:c>
      <x:c r="B1495" s="15" t="str">
        <x:v>ClaudeCatcher</x:v>
      </x:c>
      <x:c r="C1495" s="15" t="str">
        <x:v>Bullshit Olympics referee</x:v>
      </x:c>
      <x:c r="D1495" s="15" t="str">
        <x:v>Contradiction Mapping</x:v>
      </x:c>
      <x:c r="E1495" s="15" t="str">
        <x:v>External Web</x:v>
      </x:c>
      <x:c r="F1495" s="15" t="str">
        <x:v>Map contradictions in External Web — ClaudeCatcher</x:v>
      </x:c>
      <x:c r="G1495" s="15" t="str">
        <x:v>adversarial claims / model overclaim detection</x:v>
      </x:c>
      <x:c r="H1495" s="15" t="str">
        <x:v>source path + receipt + raw/export status + claim/edge/risk delta</x:v>
      </x:c>
      <x:c r="I1495" s="15" t="str">
        <x:v>packet/SWARM-11-H05-S06</x:v>
      </x:c>
      <x:c r="J1495" s="15" t="str">
        <x:v>TODO</x:v>
      </x:c>
      <x:c r="K1495" s="15" t="str">
        <x:v>P1</x:v>
      </x:c>
      <x:c r="L1495" s="15" t="str">
        <x:v>Done only when evidence is logged, contradiction search is noted, and boundary stamp remains non-canon unless ratified</x:v>
      </x:c>
      <x:c r="M1495" s="15" t="str">
        <x:v>candidate / staging-only / not canon / not deployed / authority none</x:v>
      </x:c>
      <x:c r="N1495" s="15" t="str">
        <x:v>Dispatch to ClaudeCatcher: complete Contradiction Mapping x External Web; return deltas only, receipts required.</x:v>
      </x:c>
      <x:c r="O1495" s="15" t="str">
        <x:v>AF-KG-H05-S06</x:v>
      </x:c>
      <x:c r="P1495" s="15" t="str">
        <x:v>Unverified</x:v>
      </x:c>
      <x:c r="Q1495" s="15" t="str">
        <x:v>Not checked</x:v>
      </x:c>
      <x:c r="R1495" s="15" t="str"/>
      <x:c r="S1495" s="15" t="str"/>
      <x:c r="T1495" s="15" t="str">
        <x:v>Log first source path or blocker</x:v>
      </x:c>
      <x:c r="U1495" s="12" t="str">
        <x:f>IF(OR(P1495="Unverified",Q1495="Not checked"),"BLOCKED_PENDING_RECEIPT","READY_FOR_REVIEW")</x:f>
        <x:v>BLOCKED_PENDING_RECEIPT</x:v>
      </x:c>
      <x:c r="V1495" s="12" t="str">
        <x:f>IF(J1495="DONE","RETURNED",IF(U1495="BLOCKED_PENDING_RECEIPT","SOURCE_TOUCH_REQUIRED","IN_PROGRESS"))</x:f>
        <x:v>SOURCE_TOUCH_REQUIRED</x:v>
      </x:c>
      <x:c r="W1495" s="12" t="str">
        <x:f>IF(P1495="Unverified","missing_receipt","receipt_logged")</x:f>
        <x:v>missing_receipt</x:v>
      </x:c>
      <x:c r="X1495" s="12" t="str">
        <x:f>IF(Q1495="Not checked","raw_status_missing","raw_status_logged")</x:f>
        <x:v>raw_status_missing</x:v>
      </x:c>
      <x:c r="Y1495" s="12" t="str">
        <x:f>IF(U1495="BLOCKED_PENDING_RECEIPT","Log source path or blocker; do not promote","Route to review lane")</x:f>
        <x:v>Log source path or blocker; do not promote</x:v>
      </x:c>
      <x:c r="Z1495" s="12" t="str">
        <x:f>IF(K1495="P0","Primary seat + Hashlight/Lucerna","Seat lane")</x:f>
        <x:v>Seat lane</x:v>
      </x:c>
      <x:c r="AA1495" s="12" t="str">
        <x:f>IF(R1495="","no_claim_delta","claim_delta_present")</x:f>
        <x:v>no_claim_delta</x:v>
      </x:c>
      <x:c r="AB1495" s="12" t="str">
        <x:f>IF(S1495="","no_contradiction_delta","contradiction_delta_present")</x:f>
        <x:v>no_contradiction_delta</x:v>
      </x:c>
      <x:c r="AC1495" s="12" t="str">
        <x:f>IF(OR(ISNUMBER(SEARCH("hacker",LOWER(F1495&amp;" "&amp;H1495&amp;" "&amp;I1495&amp;" "&amp;M1495&amp;" "&amp;N1495&amp;" "&amp;T1495))),ISNUMBER(SEARCH("hacking",LOWER(F1495&amp;" "&amp;H1495&amp;" "&amp;I1495&amp;" "&amp;M1495&amp;" "&amp;N1495&amp;" "&amp;T1495))),ISNUMBER(SEARCH("bank",LOWER(F1495&amp;" "&amp;H1495&amp;" "&amp;I1495&amp;" "&amp;M1495&amp;" "&amp;N1495&amp;" "&amp;T1495))),ISNUMBER(SEARCH("banking",LOWER(F1495&amp;" "&amp;H1495&amp;" "&amp;I1495&amp;" "&amp;M1495&amp;" "&amp;N1495&amp;" "&amp;T1495)))),"PRIVATE_QUARANTINE",IF(OR(ISNUMBER(SEARCH("treasury",LOWER(F1495&amp;" "&amp;H1495&amp;" "&amp;I1495&amp;" "&amp;M1495&amp;" "&amp;N1495&amp;" "&amp;T1495))),ISNUMBER(SEARCH("debt",LOWER(F1495&amp;" "&amp;H1495&amp;" "&amp;I1495&amp;" "&amp;M1495&amp;" "&amp;N1495&amp;" "&amp;T1495))),ISNUMBER(SEARCH("bond",LOWER(F1495&amp;" "&amp;H1495&amp;" "&amp;I1495&amp;" "&amp;M1495&amp;" "&amp;N1495&amp;" "&amp;T1495))),ISNUMBER(SEARCH("transaction",LOWER(F1495&amp;" "&amp;H1495&amp;" "&amp;I1495&amp;" "&amp;M1495&amp;" "&amp;N1495&amp;" "&amp;T1495)))),"PRIVATE_REVIEW","PUBLIC_CANDIDATE"))</x:f>
        <x:v>PUBLIC_CANDIDATE</x:v>
      </x:c>
      <x:c r="AD1495" s="12" t="str">
        <x:f>IF(AC1495="PRIVATE_QUARANTINE","hacker_or_bank_trigger",IF(AC1495="PRIVATE_REVIEW","finance_risk_trigger","none"))</x:f>
        <x:v>none</x:v>
      </x:c>
      <x:c r="AE1495" s="12" t="str">
        <x:f>IF(AC1495="PUBLIC_CANDIDATE","prepare_public_github_candidate",IF(AC1495="PRIVATE_REVIEW","hold_for_private_review","quarantine_private_do_not_publish"))</x:f>
        <x:v>prepare_public_github_candidate</x:v>
      </x:c>
      <x:c r="AF1495" s="12" t="str">
        <x:f>IF(AC1495="PUBLIC_CANDIDATE","TIDELOCK + Lucerna",IF(AC1495="PRIVATE_REVIEW","AtlasBrain + Lucerna","TIDELOCK + Lucerna + Human-root"))</x:f>
        <x:v>TIDELOCK + Lucerna</x:v>
      </x:c>
      <x:c r="AG1495" s="12" t="str">
        <x:f>IF(AND(AC1495="PUBLIC_CANDIDATE",U1495&lt;&gt;"BLOCKED_PENDING_RECEIPT"),"READY_AFTER_RECEIPT","NOT_READY")</x:f>
        <x:v>NOT_READY</x:v>
      </x:c>
      <x:c r="AH1495" s="12" t="str">
        <x:f>IF(AC1495="PUBLIC_CANDIDATE","none",AD1495)</x:f>
        <x:v>none</x:v>
      </x:c>
      <x:c r="AI1495" s="12" t="str">
        <x:f>IF(AC1495="PUBLIC_CANDIDATE","archive/public_candidates/"&amp;A1495,"private_quarantine/"&amp;A1495)</x:f>
        <x:v>archive/public_candidates/SWARM-11-H05-S06</x:v>
      </x:c>
      <x:c r="AJ1495" s="12" t="str">
        <x:f>IF(AC1495="PUBLIC_CANDIDATE","public by default; still not canon","private/hold; do not publish")</x:f>
        <x:v>public by default; still not canon</x:v>
      </x:c>
      <x:c r="AK1495" s="12" t="str">
        <x:f>IF(AE1495="prepare_public_github_candidate","add receipt/status then mirror","resolve blocker before any public GitHub action")</x:f>
        <x:v>add receipt/status then mirror</x:v>
      </x:c>
    </x:row>
    <x:row r="1496">
      <x:c r="A1496" s="15" t="str">
        <x:v>SWARM-11-H05-S07</x:v>
      </x:c>
      <x:c r="B1496" s="15" t="str">
        <x:v>ClaudeCatcher</x:v>
      </x:c>
      <x:c r="C1496" s="15" t="str">
        <x:v>Bullshit Olympics referee</x:v>
      </x:c>
      <x:c r="D1496" s="15" t="str">
        <x:v>Contradiction Mapping</x:v>
      </x:c>
      <x:c r="E1496" s="15" t="str">
        <x:v>Planetarium</x:v>
      </x:c>
      <x:c r="F1496" s="15" t="str">
        <x:v>Map contradictions in Planetarium — ClaudeCatcher</x:v>
      </x:c>
      <x:c r="G1496" s="15" t="str">
        <x:v>adversarial claims / model overclaim detection</x:v>
      </x:c>
      <x:c r="H1496" s="15" t="str">
        <x:v>source path + receipt + raw/export status + claim/edge/risk delta</x:v>
      </x:c>
      <x:c r="I1496" s="15" t="str">
        <x:v>packet/SWARM-11-H05-S07</x:v>
      </x:c>
      <x:c r="J1496" s="15" t="str">
        <x:v>TODO</x:v>
      </x:c>
      <x:c r="K1496" s="15" t="str">
        <x:v>P1</x:v>
      </x:c>
      <x:c r="L1496" s="15" t="str">
        <x:v>Done only when evidence is logged, contradiction search is noted, and boundary stamp remains non-canon unless ratified</x:v>
      </x:c>
      <x:c r="M1496" s="15" t="str">
        <x:v>candidate / staging-only / not canon / not deployed / authority none</x:v>
      </x:c>
      <x:c r="N1496" s="15" t="str">
        <x:v>Dispatch to ClaudeCatcher: complete Contradiction Mapping x Planetarium; return deltas only, receipts required.</x:v>
      </x:c>
      <x:c r="O1496" s="15" t="str">
        <x:v>AF-KG-H05-S07</x:v>
      </x:c>
      <x:c r="P1496" s="15" t="str">
        <x:v>Unverified</x:v>
      </x:c>
      <x:c r="Q1496" s="15" t="str">
        <x:v>Not checked</x:v>
      </x:c>
      <x:c r="R1496" s="15" t="str"/>
      <x:c r="S1496" s="15" t="str"/>
      <x:c r="T1496" s="15" t="str">
        <x:v>Log first source path or blocker</x:v>
      </x:c>
      <x:c r="U1496" s="12" t="str">
        <x:f>IF(OR(P1496="Unverified",Q1496="Not checked"),"BLOCKED_PENDING_RECEIPT","READY_FOR_REVIEW")</x:f>
        <x:v>BLOCKED_PENDING_RECEIPT</x:v>
      </x:c>
      <x:c r="V1496" s="12" t="str">
        <x:f>IF(J1496="DONE","RETURNED",IF(U1496="BLOCKED_PENDING_RECEIPT","SOURCE_TOUCH_REQUIRED","IN_PROGRESS"))</x:f>
        <x:v>SOURCE_TOUCH_REQUIRED</x:v>
      </x:c>
      <x:c r="W1496" s="12" t="str">
        <x:f>IF(P1496="Unverified","missing_receipt","receipt_logged")</x:f>
        <x:v>missing_receipt</x:v>
      </x:c>
      <x:c r="X1496" s="12" t="str">
        <x:f>IF(Q1496="Not checked","raw_status_missing","raw_status_logged")</x:f>
        <x:v>raw_status_missing</x:v>
      </x:c>
      <x:c r="Y1496" s="12" t="str">
        <x:f>IF(U1496="BLOCKED_PENDING_RECEIPT","Log source path or blocker; do not promote","Route to review lane")</x:f>
        <x:v>Log source path or blocker; do not promote</x:v>
      </x:c>
      <x:c r="Z1496" s="12" t="str">
        <x:f>IF(K1496="P0","Primary seat + Hashlight/Lucerna","Seat lane")</x:f>
        <x:v>Seat lane</x:v>
      </x:c>
      <x:c r="AA1496" s="12" t="str">
        <x:f>IF(R1496="","no_claim_delta","claim_delta_present")</x:f>
        <x:v>no_claim_delta</x:v>
      </x:c>
      <x:c r="AB1496" s="12" t="str">
        <x:f>IF(S1496="","no_contradiction_delta","contradiction_delta_present")</x:f>
        <x:v>no_contradiction_delta</x:v>
      </x:c>
      <x:c r="AC1496" s="12" t="str">
        <x:f>IF(OR(ISNUMBER(SEARCH("hacker",LOWER(F1496&amp;" "&amp;H1496&amp;" "&amp;I1496&amp;" "&amp;M1496&amp;" "&amp;N1496&amp;" "&amp;T1496))),ISNUMBER(SEARCH("hacking",LOWER(F1496&amp;" "&amp;H1496&amp;" "&amp;I1496&amp;" "&amp;M1496&amp;" "&amp;N1496&amp;" "&amp;T1496))),ISNUMBER(SEARCH("bank",LOWER(F1496&amp;" "&amp;H1496&amp;" "&amp;I1496&amp;" "&amp;M1496&amp;" "&amp;N1496&amp;" "&amp;T1496))),ISNUMBER(SEARCH("banking",LOWER(F1496&amp;" "&amp;H1496&amp;" "&amp;I1496&amp;" "&amp;M1496&amp;" "&amp;N1496&amp;" "&amp;T1496)))),"PRIVATE_QUARANTINE",IF(OR(ISNUMBER(SEARCH("treasury",LOWER(F1496&amp;" "&amp;H1496&amp;" "&amp;I1496&amp;" "&amp;M1496&amp;" "&amp;N1496&amp;" "&amp;T1496))),ISNUMBER(SEARCH("debt",LOWER(F1496&amp;" "&amp;H1496&amp;" "&amp;I1496&amp;" "&amp;M1496&amp;" "&amp;N1496&amp;" "&amp;T1496))),ISNUMBER(SEARCH("bond",LOWER(F1496&amp;" "&amp;H1496&amp;" "&amp;I1496&amp;" "&amp;M1496&amp;" "&amp;N1496&amp;" "&amp;T1496))),ISNUMBER(SEARCH("transaction",LOWER(F1496&amp;" "&amp;H1496&amp;" "&amp;I1496&amp;" "&amp;M1496&amp;" "&amp;N1496&amp;" "&amp;T1496)))),"PRIVATE_REVIEW","PUBLIC_CANDIDATE"))</x:f>
        <x:v>PUBLIC_CANDIDATE</x:v>
      </x:c>
      <x:c r="AD1496" s="12" t="str">
        <x:f>IF(AC1496="PRIVATE_QUARANTINE","hacker_or_bank_trigger",IF(AC1496="PRIVATE_REVIEW","finance_risk_trigger","none"))</x:f>
        <x:v>none</x:v>
      </x:c>
      <x:c r="AE1496" s="12" t="str">
        <x:f>IF(AC1496="PUBLIC_CANDIDATE","prepare_public_github_candidate",IF(AC1496="PRIVATE_REVIEW","hold_for_private_review","quarantine_private_do_not_publish"))</x:f>
        <x:v>prepare_public_github_candidate</x:v>
      </x:c>
      <x:c r="AF1496" s="12" t="str">
        <x:f>IF(AC1496="PUBLIC_CANDIDATE","TIDELOCK + Lucerna",IF(AC1496="PRIVATE_REVIEW","AtlasBrain + Lucerna","TIDELOCK + Lucerna + Human-root"))</x:f>
        <x:v>TIDELOCK + Lucerna</x:v>
      </x:c>
      <x:c r="AG1496" s="12" t="str">
        <x:f>IF(AND(AC1496="PUBLIC_CANDIDATE",U1496&lt;&gt;"BLOCKED_PENDING_RECEIPT"),"READY_AFTER_RECEIPT","NOT_READY")</x:f>
        <x:v>NOT_READY</x:v>
      </x:c>
      <x:c r="AH1496" s="12" t="str">
        <x:f>IF(AC1496="PUBLIC_CANDIDATE","none",AD1496)</x:f>
        <x:v>none</x:v>
      </x:c>
      <x:c r="AI1496" s="12" t="str">
        <x:f>IF(AC1496="PUBLIC_CANDIDATE","archive/public_candidates/"&amp;A1496,"private_quarantine/"&amp;A1496)</x:f>
        <x:v>archive/public_candidates/SWARM-11-H05-S07</x:v>
      </x:c>
      <x:c r="AJ1496" s="12" t="str">
        <x:f>IF(AC1496="PUBLIC_CANDIDATE","public by default; still not canon","private/hold; do not publish")</x:f>
        <x:v>public by default; still not canon</x:v>
      </x:c>
      <x:c r="AK1496" s="12" t="str">
        <x:f>IF(AE1496="prepare_public_github_candidate","add receipt/status then mirror","resolve blocker before any public GitHub action")</x:f>
        <x:v>add receipt/status then mirror</x:v>
      </x:c>
    </x:row>
    <x:row r="1497">
      <x:c r="A1497" s="15" t="str">
        <x:v>SWARM-11-H05-S08</x:v>
      </x:c>
      <x:c r="B1497" s="15" t="str">
        <x:v>ClaudeCatcher</x:v>
      </x:c>
      <x:c r="C1497" s="15" t="str">
        <x:v>Bullshit Olympics referee</x:v>
      </x:c>
      <x:c r="D1497" s="15" t="str">
        <x:v>Contradiction Mapping</x:v>
      </x:c>
      <x:c r="E1497" s="15" t="str">
        <x:v>Sheldonbrain</x:v>
      </x:c>
      <x:c r="F1497" s="15" t="str">
        <x:v>Map contradictions in Sheldonbrain — ClaudeCatcher</x:v>
      </x:c>
      <x:c r="G1497" s="15" t="str">
        <x:v>adversarial claims / model overclaim detection</x:v>
      </x:c>
      <x:c r="H1497" s="15" t="str">
        <x:v>source path + receipt + raw/export status + claim/edge/risk delta</x:v>
      </x:c>
      <x:c r="I1497" s="15" t="str">
        <x:v>packet/SWARM-11-H05-S08</x:v>
      </x:c>
      <x:c r="J1497" s="15" t="str">
        <x:v>TODO</x:v>
      </x:c>
      <x:c r="K1497" s="15" t="str">
        <x:v>P1</x:v>
      </x:c>
      <x:c r="L1497" s="15" t="str">
        <x:v>Done only when evidence is logged, contradiction search is noted, and boundary stamp remains non-canon unless ratified</x:v>
      </x:c>
      <x:c r="M1497" s="15" t="str">
        <x:v>candidate / staging-only / not canon / not deployed / authority none</x:v>
      </x:c>
      <x:c r="N1497" s="15" t="str">
        <x:v>Dispatch to ClaudeCatcher: complete Contradiction Mapping x Sheldonbrain; return deltas only, receipts required.</x:v>
      </x:c>
      <x:c r="O1497" s="15" t="str">
        <x:v>AF-KG-H05-S08</x:v>
      </x:c>
      <x:c r="P1497" s="15" t="str">
        <x:v>Unverified</x:v>
      </x:c>
      <x:c r="Q1497" s="15" t="str">
        <x:v>Not checked</x:v>
      </x:c>
      <x:c r="R1497" s="15" t="str"/>
      <x:c r="S1497" s="15" t="str"/>
      <x:c r="T1497" s="15" t="str">
        <x:v>Log first source path or blocker</x:v>
      </x:c>
      <x:c r="U1497" s="12" t="str">
        <x:f>IF(OR(P1497="Unverified",Q1497="Not checked"),"BLOCKED_PENDING_RECEIPT","READY_FOR_REVIEW")</x:f>
        <x:v>BLOCKED_PENDING_RECEIPT</x:v>
      </x:c>
      <x:c r="V1497" s="12" t="str">
        <x:f>IF(J1497="DONE","RETURNED",IF(U1497="BLOCKED_PENDING_RECEIPT","SOURCE_TOUCH_REQUIRED","IN_PROGRESS"))</x:f>
        <x:v>SOURCE_TOUCH_REQUIRED</x:v>
      </x:c>
      <x:c r="W1497" s="12" t="str">
        <x:f>IF(P1497="Unverified","missing_receipt","receipt_logged")</x:f>
        <x:v>missing_receipt</x:v>
      </x:c>
      <x:c r="X1497" s="12" t="str">
        <x:f>IF(Q1497="Not checked","raw_status_missing","raw_status_logged")</x:f>
        <x:v>raw_status_missing</x:v>
      </x:c>
      <x:c r="Y1497" s="12" t="str">
        <x:f>IF(U1497="BLOCKED_PENDING_RECEIPT","Log source path or blocker; do not promote","Route to review lane")</x:f>
        <x:v>Log source path or blocker; do not promote</x:v>
      </x:c>
      <x:c r="Z1497" s="12" t="str">
        <x:f>IF(K1497="P0","Primary seat + Hashlight/Lucerna","Seat lane")</x:f>
        <x:v>Seat lane</x:v>
      </x:c>
      <x:c r="AA1497" s="12" t="str">
        <x:f>IF(R1497="","no_claim_delta","claim_delta_present")</x:f>
        <x:v>no_claim_delta</x:v>
      </x:c>
      <x:c r="AB1497" s="12" t="str">
        <x:f>IF(S1497="","no_contradiction_delta","contradiction_delta_present")</x:f>
        <x:v>no_contradiction_delta</x:v>
      </x:c>
      <x:c r="AC1497" s="12" t="str">
        <x:f>IF(OR(ISNUMBER(SEARCH("hacker",LOWER(F1497&amp;" "&amp;H1497&amp;" "&amp;I1497&amp;" "&amp;M1497&amp;" "&amp;N1497&amp;" "&amp;T1497))),ISNUMBER(SEARCH("hacking",LOWER(F1497&amp;" "&amp;H1497&amp;" "&amp;I1497&amp;" "&amp;M1497&amp;" "&amp;N1497&amp;" "&amp;T1497))),ISNUMBER(SEARCH("bank",LOWER(F1497&amp;" "&amp;H1497&amp;" "&amp;I1497&amp;" "&amp;M1497&amp;" "&amp;N1497&amp;" "&amp;T1497))),ISNUMBER(SEARCH("banking",LOWER(F1497&amp;" "&amp;H1497&amp;" "&amp;I1497&amp;" "&amp;M1497&amp;" "&amp;N1497&amp;" "&amp;T1497)))),"PRIVATE_QUARANTINE",IF(OR(ISNUMBER(SEARCH("treasury",LOWER(F1497&amp;" "&amp;H1497&amp;" "&amp;I1497&amp;" "&amp;M1497&amp;" "&amp;N1497&amp;" "&amp;T1497))),ISNUMBER(SEARCH("debt",LOWER(F1497&amp;" "&amp;H1497&amp;" "&amp;I1497&amp;" "&amp;M1497&amp;" "&amp;N1497&amp;" "&amp;T1497))),ISNUMBER(SEARCH("bond",LOWER(F1497&amp;" "&amp;H1497&amp;" "&amp;I1497&amp;" "&amp;M1497&amp;" "&amp;N1497&amp;" "&amp;T1497))),ISNUMBER(SEARCH("transaction",LOWER(F1497&amp;" "&amp;H1497&amp;" "&amp;I1497&amp;" "&amp;M1497&amp;" "&amp;N1497&amp;" "&amp;T1497)))),"PRIVATE_REVIEW","PUBLIC_CANDIDATE"))</x:f>
        <x:v>PUBLIC_CANDIDATE</x:v>
      </x:c>
      <x:c r="AD1497" s="12" t="str">
        <x:f>IF(AC1497="PRIVATE_QUARANTINE","hacker_or_bank_trigger",IF(AC1497="PRIVATE_REVIEW","finance_risk_trigger","none"))</x:f>
        <x:v>none</x:v>
      </x:c>
      <x:c r="AE1497" s="12" t="str">
        <x:f>IF(AC1497="PUBLIC_CANDIDATE","prepare_public_github_candidate",IF(AC1497="PRIVATE_REVIEW","hold_for_private_review","quarantine_private_do_not_publish"))</x:f>
        <x:v>prepare_public_github_candidate</x:v>
      </x:c>
      <x:c r="AF1497" s="12" t="str">
        <x:f>IF(AC1497="PUBLIC_CANDIDATE","TIDELOCK + Lucerna",IF(AC1497="PRIVATE_REVIEW","AtlasBrain + Lucerna","TIDELOCK + Lucerna + Human-root"))</x:f>
        <x:v>TIDELOCK + Lucerna</x:v>
      </x:c>
      <x:c r="AG1497" s="12" t="str">
        <x:f>IF(AND(AC1497="PUBLIC_CANDIDATE",U1497&lt;&gt;"BLOCKED_PENDING_RECEIPT"),"READY_AFTER_RECEIPT","NOT_READY")</x:f>
        <x:v>NOT_READY</x:v>
      </x:c>
      <x:c r="AH1497" s="12" t="str">
        <x:f>IF(AC1497="PUBLIC_CANDIDATE","none",AD1497)</x:f>
        <x:v>none</x:v>
      </x:c>
      <x:c r="AI1497" s="12" t="str">
        <x:f>IF(AC1497="PUBLIC_CANDIDATE","archive/public_candidates/"&amp;A1497,"private_quarantine/"&amp;A1497)</x:f>
        <x:v>archive/public_candidates/SWARM-11-H05-S08</x:v>
      </x:c>
      <x:c r="AJ1497" s="12" t="str">
        <x:f>IF(AC1497="PUBLIC_CANDIDATE","public by default; still not canon","private/hold; do not publish")</x:f>
        <x:v>public by default; still not canon</x:v>
      </x:c>
      <x:c r="AK1497" s="12" t="str">
        <x:f>IF(AE1497="prepare_public_github_candidate","add receipt/status then mirror","resolve blocker before any public GitHub action")</x:f>
        <x:v>add receipt/status then mirror</x:v>
      </x:c>
    </x:row>
    <x:row r="1498">
      <x:c r="A1498" s="15" t="str">
        <x:v>SWARM-11-H05-S09</x:v>
      </x:c>
      <x:c r="B1498" s="15" t="str">
        <x:v>ClaudeCatcher</x:v>
      </x:c>
      <x:c r="C1498" s="15" t="str">
        <x:v>Bullshit Olympics referee</x:v>
      </x:c>
      <x:c r="D1498" s="15" t="str">
        <x:v>Contradiction Mapping</x:v>
      </x:c>
      <x:c r="E1498" s="15" t="str">
        <x:v>Aetherforge</x:v>
      </x:c>
      <x:c r="F1498" s="15" t="str">
        <x:v>Map contradictions in Aetherforge — ClaudeCatcher</x:v>
      </x:c>
      <x:c r="G1498" s="15" t="str">
        <x:v>adversarial claims / model overclaim detection</x:v>
      </x:c>
      <x:c r="H1498" s="15" t="str">
        <x:v>source path + receipt + raw/export status + claim/edge/risk delta</x:v>
      </x:c>
      <x:c r="I1498" s="15" t="str">
        <x:v>packet/SWARM-11-H05-S09</x:v>
      </x:c>
      <x:c r="J1498" s="15" t="str">
        <x:v>TODO</x:v>
      </x:c>
      <x:c r="K1498" s="15" t="str">
        <x:v>P2</x:v>
      </x:c>
      <x:c r="L1498" s="15" t="str">
        <x:v>Done only when evidence is logged, contradiction search is noted, and boundary stamp remains non-canon unless ratified</x:v>
      </x:c>
      <x:c r="M1498" s="15" t="str">
        <x:v>candidate / staging-only / not canon / not deployed / authority none</x:v>
      </x:c>
      <x:c r="N1498" s="15" t="str">
        <x:v>Dispatch to ClaudeCatcher: complete Contradiction Mapping x Aetherforge; return deltas only, receipts required.</x:v>
      </x:c>
      <x:c r="O1498" s="15" t="str">
        <x:v>AF-KG-H05-S09</x:v>
      </x:c>
      <x:c r="P1498" s="15" t="str">
        <x:v>Unverified</x:v>
      </x:c>
      <x:c r="Q1498" s="15" t="str">
        <x:v>Not checked</x:v>
      </x:c>
      <x:c r="R1498" s="15" t="str"/>
      <x:c r="S1498" s="15" t="str"/>
      <x:c r="T1498" s="15" t="str">
        <x:v>Log first source path or blocker</x:v>
      </x:c>
      <x:c r="U1498" s="12" t="str">
        <x:f>IF(OR(P1498="Unverified",Q1498="Not checked"),"BLOCKED_PENDING_RECEIPT","READY_FOR_REVIEW")</x:f>
        <x:v>BLOCKED_PENDING_RECEIPT</x:v>
      </x:c>
      <x:c r="V1498" s="12" t="str">
        <x:f>IF(J1498="DONE","RETURNED",IF(U1498="BLOCKED_PENDING_RECEIPT","SOURCE_TOUCH_REQUIRED","IN_PROGRESS"))</x:f>
        <x:v>SOURCE_TOUCH_REQUIRED</x:v>
      </x:c>
      <x:c r="W1498" s="12" t="str">
        <x:f>IF(P1498="Unverified","missing_receipt","receipt_logged")</x:f>
        <x:v>missing_receipt</x:v>
      </x:c>
      <x:c r="X1498" s="12" t="str">
        <x:f>IF(Q1498="Not checked","raw_status_missing","raw_status_logged")</x:f>
        <x:v>raw_status_missing</x:v>
      </x:c>
      <x:c r="Y1498" s="12" t="str">
        <x:f>IF(U1498="BLOCKED_PENDING_RECEIPT","Log source path or blocker; do not promote","Route to review lane")</x:f>
        <x:v>Log source path or blocker; do not promote</x:v>
      </x:c>
      <x:c r="Z1498" s="12" t="str">
        <x:f>IF(K1498="P0","Primary seat + Hashlight/Lucerna","Seat lane")</x:f>
        <x:v>Seat lane</x:v>
      </x:c>
      <x:c r="AA1498" s="12" t="str">
        <x:f>IF(R1498="","no_claim_delta","claim_delta_present")</x:f>
        <x:v>no_claim_delta</x:v>
      </x:c>
      <x:c r="AB1498" s="12" t="str">
        <x:f>IF(S1498="","no_contradiction_delta","contradiction_delta_present")</x:f>
        <x:v>no_contradiction_delta</x:v>
      </x:c>
      <x:c r="AC1498" s="12" t="str">
        <x:f>IF(OR(ISNUMBER(SEARCH("hacker",LOWER(F1498&amp;" "&amp;H1498&amp;" "&amp;I1498&amp;" "&amp;M1498&amp;" "&amp;N1498&amp;" "&amp;T1498))),ISNUMBER(SEARCH("hacking",LOWER(F1498&amp;" "&amp;H1498&amp;" "&amp;I1498&amp;" "&amp;M1498&amp;" "&amp;N1498&amp;" "&amp;T1498))),ISNUMBER(SEARCH("bank",LOWER(F1498&amp;" "&amp;H1498&amp;" "&amp;I1498&amp;" "&amp;M1498&amp;" "&amp;N1498&amp;" "&amp;T1498))),ISNUMBER(SEARCH("banking",LOWER(F1498&amp;" "&amp;H1498&amp;" "&amp;I1498&amp;" "&amp;M1498&amp;" "&amp;N1498&amp;" "&amp;T1498)))),"PRIVATE_QUARANTINE",IF(OR(ISNUMBER(SEARCH("treasury",LOWER(F1498&amp;" "&amp;H1498&amp;" "&amp;I1498&amp;" "&amp;M1498&amp;" "&amp;N1498&amp;" "&amp;T1498))),ISNUMBER(SEARCH("debt",LOWER(F1498&amp;" "&amp;H1498&amp;" "&amp;I1498&amp;" "&amp;M1498&amp;" "&amp;N1498&amp;" "&amp;T1498))),ISNUMBER(SEARCH("bond",LOWER(F1498&amp;" "&amp;H1498&amp;" "&amp;I1498&amp;" "&amp;M1498&amp;" "&amp;N1498&amp;" "&amp;T1498))),ISNUMBER(SEARCH("transaction",LOWER(F1498&amp;" "&amp;H1498&amp;" "&amp;I1498&amp;" "&amp;M1498&amp;" "&amp;N1498&amp;" "&amp;T1498)))),"PRIVATE_REVIEW","PUBLIC_CANDIDATE"))</x:f>
        <x:v>PUBLIC_CANDIDATE</x:v>
      </x:c>
      <x:c r="AD1498" s="12" t="str">
        <x:f>IF(AC1498="PRIVATE_QUARANTINE","hacker_or_bank_trigger",IF(AC1498="PRIVATE_REVIEW","finance_risk_trigger","none"))</x:f>
        <x:v>none</x:v>
      </x:c>
      <x:c r="AE1498" s="12" t="str">
        <x:f>IF(AC1498="PUBLIC_CANDIDATE","prepare_public_github_candidate",IF(AC1498="PRIVATE_REVIEW","hold_for_private_review","quarantine_private_do_not_publish"))</x:f>
        <x:v>prepare_public_github_candidate</x:v>
      </x:c>
      <x:c r="AF1498" s="12" t="str">
        <x:f>IF(AC1498="PUBLIC_CANDIDATE","TIDELOCK + Lucerna",IF(AC1498="PRIVATE_REVIEW","AtlasBrain + Lucerna","TIDELOCK + Lucerna + Human-root"))</x:f>
        <x:v>TIDELOCK + Lucerna</x:v>
      </x:c>
      <x:c r="AG1498" s="12" t="str">
        <x:f>IF(AND(AC1498="PUBLIC_CANDIDATE",U1498&lt;&gt;"BLOCKED_PENDING_RECEIPT"),"READY_AFTER_RECEIPT","NOT_READY")</x:f>
        <x:v>NOT_READY</x:v>
      </x:c>
      <x:c r="AH1498" s="12" t="str">
        <x:f>IF(AC1498="PUBLIC_CANDIDATE","none",AD1498)</x:f>
        <x:v>none</x:v>
      </x:c>
      <x:c r="AI1498" s="12" t="str">
        <x:f>IF(AC1498="PUBLIC_CANDIDATE","archive/public_candidates/"&amp;A1498,"private_quarantine/"&amp;A1498)</x:f>
        <x:v>archive/public_candidates/SWARM-11-H05-S09</x:v>
      </x:c>
      <x:c r="AJ1498" s="12" t="str">
        <x:f>IF(AC1498="PUBLIC_CANDIDATE","public by default; still not canon","private/hold; do not publish")</x:f>
        <x:v>public by default; still not canon</x:v>
      </x:c>
      <x:c r="AK1498" s="12" t="str">
        <x:f>IF(AE1498="prepare_public_github_candidate","add receipt/status then mirror","resolve blocker before any public GitHub action")</x:f>
        <x:v>add receipt/status then mirror</x:v>
      </x:c>
    </x:row>
    <x:row r="1499">
      <x:c r="A1499" s="15" t="str">
        <x:v>SWARM-11-H05-S10</x:v>
      </x:c>
      <x:c r="B1499" s="15" t="str">
        <x:v>ClaudeCatcher</x:v>
      </x:c>
      <x:c r="C1499" s="15" t="str">
        <x:v>Bullshit Olympics referee</x:v>
      </x:c>
      <x:c r="D1499" s="15" t="str">
        <x:v>Contradiction Mapping</x:v>
      </x:c>
      <x:c r="E1499" s="15" t="str">
        <x:v>Human-Root</x:v>
      </x:c>
      <x:c r="F1499" s="15" t="str">
        <x:v>Map contradictions in Human-Root — ClaudeCatcher</x:v>
      </x:c>
      <x:c r="G1499" s="15" t="str">
        <x:v>adversarial claims / model overclaim detection</x:v>
      </x:c>
      <x:c r="H1499" s="15" t="str">
        <x:v>source path + receipt + raw/export status + claim/edge/risk delta</x:v>
      </x:c>
      <x:c r="I1499" s="15" t="str">
        <x:v>packet/SWARM-11-H05-S10</x:v>
      </x:c>
      <x:c r="J1499" s="15" t="str">
        <x:v>TODO</x:v>
      </x:c>
      <x:c r="K1499" s="15" t="str">
        <x:v>P2</x:v>
      </x:c>
      <x:c r="L1499" s="15" t="str">
        <x:v>Done only when evidence is logged, contradiction search is noted, and boundary stamp remains non-canon unless ratified</x:v>
      </x:c>
      <x:c r="M1499" s="15" t="str">
        <x:v>candidate / staging-only / not canon / not deployed / authority none</x:v>
      </x:c>
      <x:c r="N1499" s="15" t="str">
        <x:v>Dispatch to ClaudeCatcher: complete Contradiction Mapping x Human-Root; return deltas only, receipts required.</x:v>
      </x:c>
      <x:c r="O1499" s="15" t="str">
        <x:v>AF-KG-H05-S10</x:v>
      </x:c>
      <x:c r="P1499" s="15" t="str">
        <x:v>Unverified</x:v>
      </x:c>
      <x:c r="Q1499" s="15" t="str">
        <x:v>Not checked</x:v>
      </x:c>
      <x:c r="R1499" s="15" t="str"/>
      <x:c r="S1499" s="15" t="str"/>
      <x:c r="T1499" s="15" t="str">
        <x:v>Log first source path or blocker</x:v>
      </x:c>
      <x:c r="U1499" s="12" t="str">
        <x:f>IF(OR(P1499="Unverified",Q1499="Not checked"),"BLOCKED_PENDING_RECEIPT","READY_FOR_REVIEW")</x:f>
        <x:v>BLOCKED_PENDING_RECEIPT</x:v>
      </x:c>
      <x:c r="V1499" s="12" t="str">
        <x:f>IF(J1499="DONE","RETURNED",IF(U1499="BLOCKED_PENDING_RECEIPT","SOURCE_TOUCH_REQUIRED","IN_PROGRESS"))</x:f>
        <x:v>SOURCE_TOUCH_REQUIRED</x:v>
      </x:c>
      <x:c r="W1499" s="12" t="str">
        <x:f>IF(P1499="Unverified","missing_receipt","receipt_logged")</x:f>
        <x:v>missing_receipt</x:v>
      </x:c>
      <x:c r="X1499" s="12" t="str">
        <x:f>IF(Q1499="Not checked","raw_status_missing","raw_status_logged")</x:f>
        <x:v>raw_status_missing</x:v>
      </x:c>
      <x:c r="Y1499" s="12" t="str">
        <x:f>IF(U1499="BLOCKED_PENDING_RECEIPT","Log source path or blocker; do not promote","Route to review lane")</x:f>
        <x:v>Log source path or blocker; do not promote</x:v>
      </x:c>
      <x:c r="Z1499" s="12" t="str">
        <x:f>IF(K1499="P0","Primary seat + Hashlight/Lucerna","Seat lane")</x:f>
        <x:v>Seat lane</x:v>
      </x:c>
      <x:c r="AA1499" s="12" t="str">
        <x:f>IF(R1499="","no_claim_delta","claim_delta_present")</x:f>
        <x:v>no_claim_delta</x:v>
      </x:c>
      <x:c r="AB1499" s="12" t="str">
        <x:f>IF(S1499="","no_contradiction_delta","contradiction_delta_present")</x:f>
        <x:v>no_contradiction_delta</x:v>
      </x:c>
      <x:c r="AC1499" s="12" t="str">
        <x:f>IF(OR(ISNUMBER(SEARCH("hacker",LOWER(F1499&amp;" "&amp;H1499&amp;" "&amp;I1499&amp;" "&amp;M1499&amp;" "&amp;N1499&amp;" "&amp;T1499))),ISNUMBER(SEARCH("hacking",LOWER(F1499&amp;" "&amp;H1499&amp;" "&amp;I1499&amp;" "&amp;M1499&amp;" "&amp;N1499&amp;" "&amp;T1499))),ISNUMBER(SEARCH("bank",LOWER(F1499&amp;" "&amp;H1499&amp;" "&amp;I1499&amp;" "&amp;M1499&amp;" "&amp;N1499&amp;" "&amp;T1499))),ISNUMBER(SEARCH("banking",LOWER(F1499&amp;" "&amp;H1499&amp;" "&amp;I1499&amp;" "&amp;M1499&amp;" "&amp;N1499&amp;" "&amp;T1499)))),"PRIVATE_QUARANTINE",IF(OR(ISNUMBER(SEARCH("treasury",LOWER(F1499&amp;" "&amp;H1499&amp;" "&amp;I1499&amp;" "&amp;M1499&amp;" "&amp;N1499&amp;" "&amp;T1499))),ISNUMBER(SEARCH("debt",LOWER(F1499&amp;" "&amp;H1499&amp;" "&amp;I1499&amp;" "&amp;M1499&amp;" "&amp;N1499&amp;" "&amp;T1499))),ISNUMBER(SEARCH("bond",LOWER(F1499&amp;" "&amp;H1499&amp;" "&amp;I1499&amp;" "&amp;M1499&amp;" "&amp;N1499&amp;" "&amp;T1499))),ISNUMBER(SEARCH("transaction",LOWER(F1499&amp;" "&amp;H1499&amp;" "&amp;I1499&amp;" "&amp;M1499&amp;" "&amp;N1499&amp;" "&amp;T1499)))),"PRIVATE_REVIEW","PUBLIC_CANDIDATE"))</x:f>
        <x:v>PUBLIC_CANDIDATE</x:v>
      </x:c>
      <x:c r="AD1499" s="12" t="str">
        <x:f>IF(AC1499="PRIVATE_QUARANTINE","hacker_or_bank_trigger",IF(AC1499="PRIVATE_REVIEW","finance_risk_trigger","none"))</x:f>
        <x:v>none</x:v>
      </x:c>
      <x:c r="AE1499" s="12" t="str">
        <x:f>IF(AC1499="PUBLIC_CANDIDATE","prepare_public_github_candidate",IF(AC1499="PRIVATE_REVIEW","hold_for_private_review","quarantine_private_do_not_publish"))</x:f>
        <x:v>prepare_public_github_candidate</x:v>
      </x:c>
      <x:c r="AF1499" s="12" t="str">
        <x:f>IF(AC1499="PUBLIC_CANDIDATE","TIDELOCK + Lucerna",IF(AC1499="PRIVATE_REVIEW","AtlasBrain + Lucerna","TIDELOCK + Lucerna + Human-root"))</x:f>
        <x:v>TIDELOCK + Lucerna</x:v>
      </x:c>
      <x:c r="AG1499" s="12" t="str">
        <x:f>IF(AND(AC1499="PUBLIC_CANDIDATE",U1499&lt;&gt;"BLOCKED_PENDING_RECEIPT"),"READY_AFTER_RECEIPT","NOT_READY")</x:f>
        <x:v>NOT_READY</x:v>
      </x:c>
      <x:c r="AH1499" s="12" t="str">
        <x:f>IF(AC1499="PUBLIC_CANDIDATE","none",AD1499)</x:f>
        <x:v>none</x:v>
      </x:c>
      <x:c r="AI1499" s="12" t="str">
        <x:f>IF(AC1499="PUBLIC_CANDIDATE","archive/public_candidates/"&amp;A1499,"private_quarantine/"&amp;A1499)</x:f>
        <x:v>archive/public_candidates/SWARM-11-H05-S10</x:v>
      </x:c>
      <x:c r="AJ1499" s="12" t="str">
        <x:f>IF(AC1499="PUBLIC_CANDIDATE","public by default; still not canon","private/hold; do not publish")</x:f>
        <x:v>public by default; still not canon</x:v>
      </x:c>
      <x:c r="AK1499" s="12" t="str">
        <x:f>IF(AE1499="prepare_public_github_candidate","add receipt/status then mirror","resolve blocker before any public GitHub action")</x:f>
        <x:v>add receipt/status then mirror</x:v>
      </x:c>
    </x:row>
    <x:row r="1500">
      <x:c r="A1500" s="15" t="str">
        <x:v>SWARM-11-H05-S11</x:v>
      </x:c>
      <x:c r="B1500" s="15" t="str">
        <x:v>ClaudeCatcher</x:v>
      </x:c>
      <x:c r="C1500" s="15" t="str">
        <x:v>Bullshit Olympics referee</x:v>
      </x:c>
      <x:c r="D1500" s="15" t="str">
        <x:v>Contradiction Mapping</x:v>
      </x:c>
      <x:c r="E1500" s="15" t="str">
        <x:v>Automation</x:v>
      </x:c>
      <x:c r="F1500" s="15" t="str">
        <x:v>Map contradictions in Automation — ClaudeCatcher</x:v>
      </x:c>
      <x:c r="G1500" s="15" t="str">
        <x:v>adversarial claims / model overclaim detection</x:v>
      </x:c>
      <x:c r="H1500" s="15" t="str">
        <x:v>source path + receipt + raw/export status + claim/edge/risk delta</x:v>
      </x:c>
      <x:c r="I1500" s="15" t="str">
        <x:v>packet/SWARM-11-H05-S11</x:v>
      </x:c>
      <x:c r="J1500" s="15" t="str">
        <x:v>TODO</x:v>
      </x:c>
      <x:c r="K1500" s="15" t="str">
        <x:v>P2</x:v>
      </x:c>
      <x:c r="L1500" s="15" t="str">
        <x:v>Done only when evidence is logged, contradiction search is noted, and boundary stamp remains non-canon unless ratified</x:v>
      </x:c>
      <x:c r="M1500" s="15" t="str">
        <x:v>candidate / staging-only / not canon / not deployed / authority none</x:v>
      </x:c>
      <x:c r="N1500" s="15" t="str">
        <x:v>Dispatch to ClaudeCatcher: complete Contradiction Mapping x Automation; return deltas only, receipts required.</x:v>
      </x:c>
      <x:c r="O1500" s="15" t="str">
        <x:v>AF-KG-H05-S11</x:v>
      </x:c>
      <x:c r="P1500" s="15" t="str">
        <x:v>Unverified</x:v>
      </x:c>
      <x:c r="Q1500" s="15" t="str">
        <x:v>Not checked</x:v>
      </x:c>
      <x:c r="R1500" s="15" t="str"/>
      <x:c r="S1500" s="15" t="str"/>
      <x:c r="T1500" s="15" t="str">
        <x:v>Log first source path or blocker</x:v>
      </x:c>
      <x:c r="U1500" s="12" t="str">
        <x:f>IF(OR(P1500="Unverified",Q1500="Not checked"),"BLOCKED_PENDING_RECEIPT","READY_FOR_REVIEW")</x:f>
        <x:v>BLOCKED_PENDING_RECEIPT</x:v>
      </x:c>
      <x:c r="V1500" s="12" t="str">
        <x:f>IF(J1500="DONE","RETURNED",IF(U1500="BLOCKED_PENDING_RECEIPT","SOURCE_TOUCH_REQUIRED","IN_PROGRESS"))</x:f>
        <x:v>SOURCE_TOUCH_REQUIRED</x:v>
      </x:c>
      <x:c r="W1500" s="12" t="str">
        <x:f>IF(P1500="Unverified","missing_receipt","receipt_logged")</x:f>
        <x:v>missing_receipt</x:v>
      </x:c>
      <x:c r="X1500" s="12" t="str">
        <x:f>IF(Q1500="Not checked","raw_status_missing","raw_status_logged")</x:f>
        <x:v>raw_status_missing</x:v>
      </x:c>
      <x:c r="Y1500" s="12" t="str">
        <x:f>IF(U1500="BLOCKED_PENDING_RECEIPT","Log source path or blocker; do not promote","Route to review lane")</x:f>
        <x:v>Log source path or blocker; do not promote</x:v>
      </x:c>
      <x:c r="Z1500" s="12" t="str">
        <x:f>IF(K1500="P0","Primary seat + Hashlight/Lucerna","Seat lane")</x:f>
        <x:v>Seat lane</x:v>
      </x:c>
      <x:c r="AA1500" s="12" t="str">
        <x:f>IF(R1500="","no_claim_delta","claim_delta_present")</x:f>
        <x:v>no_claim_delta</x:v>
      </x:c>
      <x:c r="AB1500" s="12" t="str">
        <x:f>IF(S1500="","no_contradiction_delta","contradiction_delta_present")</x:f>
        <x:v>no_contradiction_delta</x:v>
      </x:c>
      <x:c r="AC1500" s="12" t="str">
        <x:f>IF(OR(ISNUMBER(SEARCH("hacker",LOWER(F1500&amp;" "&amp;H1500&amp;" "&amp;I1500&amp;" "&amp;M1500&amp;" "&amp;N1500&amp;" "&amp;T1500))),ISNUMBER(SEARCH("hacking",LOWER(F1500&amp;" "&amp;H1500&amp;" "&amp;I1500&amp;" "&amp;M1500&amp;" "&amp;N1500&amp;" "&amp;T1500))),ISNUMBER(SEARCH("bank",LOWER(F1500&amp;" "&amp;H1500&amp;" "&amp;I1500&amp;" "&amp;M1500&amp;" "&amp;N1500&amp;" "&amp;T1500))),ISNUMBER(SEARCH("banking",LOWER(F1500&amp;" "&amp;H1500&amp;" "&amp;I1500&amp;" "&amp;M1500&amp;" "&amp;N1500&amp;" "&amp;T1500)))),"PRIVATE_QUARANTINE",IF(OR(ISNUMBER(SEARCH("treasury",LOWER(F1500&amp;" "&amp;H1500&amp;" "&amp;I1500&amp;" "&amp;M1500&amp;" "&amp;N1500&amp;" "&amp;T1500))),ISNUMBER(SEARCH("debt",LOWER(F1500&amp;" "&amp;H1500&amp;" "&amp;I1500&amp;" "&amp;M1500&amp;" "&amp;N1500&amp;" "&amp;T1500))),ISNUMBER(SEARCH("bond",LOWER(F1500&amp;" "&amp;H1500&amp;" "&amp;I1500&amp;" "&amp;M1500&amp;" "&amp;N1500&amp;" "&amp;T1500))),ISNUMBER(SEARCH("transaction",LOWER(F1500&amp;" "&amp;H1500&amp;" "&amp;I1500&amp;" "&amp;M1500&amp;" "&amp;N1500&amp;" "&amp;T1500)))),"PRIVATE_REVIEW","PUBLIC_CANDIDATE"))</x:f>
        <x:v>PUBLIC_CANDIDATE</x:v>
      </x:c>
      <x:c r="AD1500" s="12" t="str">
        <x:f>IF(AC1500="PRIVATE_QUARANTINE","hacker_or_bank_trigger",IF(AC1500="PRIVATE_REVIEW","finance_risk_trigger","none"))</x:f>
        <x:v>none</x:v>
      </x:c>
      <x:c r="AE1500" s="12" t="str">
        <x:f>IF(AC1500="PUBLIC_CANDIDATE","prepare_public_github_candidate",IF(AC1500="PRIVATE_REVIEW","hold_for_private_review","quarantine_private_do_not_publish"))</x:f>
        <x:v>prepare_public_github_candidate</x:v>
      </x:c>
      <x:c r="AF1500" s="12" t="str">
        <x:f>IF(AC1500="PUBLIC_CANDIDATE","TIDELOCK + Lucerna",IF(AC1500="PRIVATE_REVIEW","AtlasBrain + Lucerna","TIDELOCK + Lucerna + Human-root"))</x:f>
        <x:v>TIDELOCK + Lucerna</x:v>
      </x:c>
      <x:c r="AG1500" s="12" t="str">
        <x:f>IF(AND(AC1500="PUBLIC_CANDIDATE",U1500&lt;&gt;"BLOCKED_PENDING_RECEIPT"),"READY_AFTER_RECEIPT","NOT_READY")</x:f>
        <x:v>NOT_READY</x:v>
      </x:c>
      <x:c r="AH1500" s="12" t="str">
        <x:f>IF(AC1500="PUBLIC_CANDIDATE","none",AD1500)</x:f>
        <x:v>none</x:v>
      </x:c>
      <x:c r="AI1500" s="12" t="str">
        <x:f>IF(AC1500="PUBLIC_CANDIDATE","archive/public_candidates/"&amp;A1500,"private_quarantine/"&amp;A1500)</x:f>
        <x:v>archive/public_candidates/SWARM-11-H05-S11</x:v>
      </x:c>
      <x:c r="AJ1500" s="12" t="str">
        <x:f>IF(AC1500="PUBLIC_CANDIDATE","public by default; still not canon","private/hold; do not publish")</x:f>
        <x:v>public by default; still not canon</x:v>
      </x:c>
      <x:c r="AK1500" s="12" t="str">
        <x:f>IF(AE1500="prepare_public_github_candidate","add receipt/status then mirror","resolve blocker before any public GitHub action")</x:f>
        <x:v>add receipt/status then mirror</x:v>
      </x:c>
    </x:row>
    <x:row r="1501">
      <x:c r="A1501" s="15" t="str">
        <x:v>SWARM-11-H05-S12</x:v>
      </x:c>
      <x:c r="B1501" s="15" t="str">
        <x:v>ClaudeCatcher</x:v>
      </x:c>
      <x:c r="C1501" s="15" t="str">
        <x:v>Bullshit Olympics referee</x:v>
      </x:c>
      <x:c r="D1501" s="15" t="str">
        <x:v>Contradiction Mapping</x:v>
      </x:c>
      <x:c r="E1501" s="15" t="str">
        <x:v>Risk / Safety</x:v>
      </x:c>
      <x:c r="F1501" s="15" t="str">
        <x:v>Map contradictions in Risk / Safety — ClaudeCatcher</x:v>
      </x:c>
      <x:c r="G1501" s="15" t="str">
        <x:v>adversarial claims / model overclaim detection</x:v>
      </x:c>
      <x:c r="H1501" s="15" t="str">
        <x:v>source path + receipt + raw/export status + claim/edge/risk delta</x:v>
      </x:c>
      <x:c r="I1501" s="15" t="str">
        <x:v>packet/SWARM-11-H05-S12</x:v>
      </x:c>
      <x:c r="J1501" s="15" t="str">
        <x:v>TODO</x:v>
      </x:c>
      <x:c r="K1501" s="15" t="str">
        <x:v>P2</x:v>
      </x:c>
      <x:c r="L1501" s="15" t="str">
        <x:v>Done only when evidence is logged, contradiction search is noted, and boundary stamp remains non-canon unless ratified</x:v>
      </x:c>
      <x:c r="M1501" s="15" t="str">
        <x:v>candidate / staging-only / not canon / not deployed / authority none</x:v>
      </x:c>
      <x:c r="N1501" s="15" t="str">
        <x:v>Dispatch to ClaudeCatcher: complete Contradiction Mapping x Risk / Safety; return deltas only, receipts required.</x:v>
      </x:c>
      <x:c r="O1501" s="15" t="str">
        <x:v>AF-KG-H05-S12</x:v>
      </x:c>
      <x:c r="P1501" s="15" t="str">
        <x:v>Unverified</x:v>
      </x:c>
      <x:c r="Q1501" s="15" t="str">
        <x:v>Not checked</x:v>
      </x:c>
      <x:c r="R1501" s="15" t="str"/>
      <x:c r="S1501" s="15" t="str"/>
      <x:c r="T1501" s="15" t="str">
        <x:v>Log first source path or blocker</x:v>
      </x:c>
      <x:c r="U1501" s="12" t="str">
        <x:f>IF(OR(P1501="Unverified",Q1501="Not checked"),"BLOCKED_PENDING_RECEIPT","READY_FOR_REVIEW")</x:f>
        <x:v>BLOCKED_PENDING_RECEIPT</x:v>
      </x:c>
      <x:c r="V1501" s="12" t="str">
        <x:f>IF(J1501="DONE","RETURNED",IF(U1501="BLOCKED_PENDING_RECEIPT","SOURCE_TOUCH_REQUIRED","IN_PROGRESS"))</x:f>
        <x:v>SOURCE_TOUCH_REQUIRED</x:v>
      </x:c>
      <x:c r="W1501" s="12" t="str">
        <x:f>IF(P1501="Unverified","missing_receipt","receipt_logged")</x:f>
        <x:v>missing_receipt</x:v>
      </x:c>
      <x:c r="X1501" s="12" t="str">
        <x:f>IF(Q1501="Not checked","raw_status_missing","raw_status_logged")</x:f>
        <x:v>raw_status_missing</x:v>
      </x:c>
      <x:c r="Y1501" s="12" t="str">
        <x:f>IF(U1501="BLOCKED_PENDING_RECEIPT","Log source path or blocker; do not promote","Route to review lane")</x:f>
        <x:v>Log source path or blocker; do not promote</x:v>
      </x:c>
      <x:c r="Z1501" s="12" t="str">
        <x:f>IF(K1501="P0","Primary seat + Hashlight/Lucerna","Seat lane")</x:f>
        <x:v>Seat lane</x:v>
      </x:c>
      <x:c r="AA1501" s="12" t="str">
        <x:f>IF(R1501="","no_claim_delta","claim_delta_present")</x:f>
        <x:v>no_claim_delta</x:v>
      </x:c>
      <x:c r="AB1501" s="12" t="str">
        <x:f>IF(S1501="","no_contradiction_delta","contradiction_delta_present")</x:f>
        <x:v>no_contradiction_delta</x:v>
      </x:c>
      <x:c r="AC1501" s="12" t="str">
        <x:f>IF(OR(ISNUMBER(SEARCH("hacker",LOWER(F1501&amp;" "&amp;H1501&amp;" "&amp;I1501&amp;" "&amp;M1501&amp;" "&amp;N1501&amp;" "&amp;T1501))),ISNUMBER(SEARCH("hacking",LOWER(F1501&amp;" "&amp;H1501&amp;" "&amp;I1501&amp;" "&amp;M1501&amp;" "&amp;N1501&amp;" "&amp;T1501))),ISNUMBER(SEARCH("bank",LOWER(F1501&amp;" "&amp;H1501&amp;" "&amp;I1501&amp;" "&amp;M1501&amp;" "&amp;N1501&amp;" "&amp;T1501))),ISNUMBER(SEARCH("banking",LOWER(F1501&amp;" "&amp;H1501&amp;" "&amp;I1501&amp;" "&amp;M1501&amp;" "&amp;N1501&amp;" "&amp;T1501)))),"PRIVATE_QUARANTINE",IF(OR(ISNUMBER(SEARCH("treasury",LOWER(F1501&amp;" "&amp;H1501&amp;" "&amp;I1501&amp;" "&amp;M1501&amp;" "&amp;N1501&amp;" "&amp;T1501))),ISNUMBER(SEARCH("debt",LOWER(F1501&amp;" "&amp;H1501&amp;" "&amp;I1501&amp;" "&amp;M1501&amp;" "&amp;N1501&amp;" "&amp;T1501))),ISNUMBER(SEARCH("bond",LOWER(F1501&amp;" "&amp;H1501&amp;" "&amp;I1501&amp;" "&amp;M1501&amp;" "&amp;N1501&amp;" "&amp;T1501))),ISNUMBER(SEARCH("transaction",LOWER(F1501&amp;" "&amp;H1501&amp;" "&amp;I1501&amp;" "&amp;M1501&amp;" "&amp;N1501&amp;" "&amp;T1501)))),"PRIVATE_REVIEW","PUBLIC_CANDIDATE"))</x:f>
        <x:v>PUBLIC_CANDIDATE</x:v>
      </x:c>
      <x:c r="AD1501" s="12" t="str">
        <x:f>IF(AC1501="PRIVATE_QUARANTINE","hacker_or_bank_trigger",IF(AC1501="PRIVATE_REVIEW","finance_risk_trigger","none"))</x:f>
        <x:v>none</x:v>
      </x:c>
      <x:c r="AE1501" s="12" t="str">
        <x:f>IF(AC1501="PUBLIC_CANDIDATE","prepare_public_github_candidate",IF(AC1501="PRIVATE_REVIEW","hold_for_private_review","quarantine_private_do_not_publish"))</x:f>
        <x:v>prepare_public_github_candidate</x:v>
      </x:c>
      <x:c r="AF1501" s="12" t="str">
        <x:f>IF(AC1501="PUBLIC_CANDIDATE","TIDELOCK + Lucerna",IF(AC1501="PRIVATE_REVIEW","AtlasBrain + Lucerna","TIDELOCK + Lucerna + Human-root"))</x:f>
        <x:v>TIDELOCK + Lucerna</x:v>
      </x:c>
      <x:c r="AG1501" s="12" t="str">
        <x:f>IF(AND(AC1501="PUBLIC_CANDIDATE",U1501&lt;&gt;"BLOCKED_PENDING_RECEIPT"),"READY_AFTER_RECEIPT","NOT_READY")</x:f>
        <x:v>NOT_READY</x:v>
      </x:c>
      <x:c r="AH1501" s="12" t="str">
        <x:f>IF(AC1501="PUBLIC_CANDIDATE","none",AD1501)</x:f>
        <x:v>none</x:v>
      </x:c>
      <x:c r="AI1501" s="12" t="str">
        <x:f>IF(AC1501="PUBLIC_CANDIDATE","archive/public_candidates/"&amp;A1501,"private_quarantine/"&amp;A1501)</x:f>
        <x:v>archive/public_candidates/SWARM-11-H05-S12</x:v>
      </x:c>
      <x:c r="AJ1501" s="12" t="str">
        <x:f>IF(AC1501="PUBLIC_CANDIDATE","public by default; still not canon","private/hold; do not publish")</x:f>
        <x:v>public by default; still not canon</x:v>
      </x:c>
      <x:c r="AK1501" s="12" t="str">
        <x:f>IF(AE1501="prepare_public_github_candidate","add receipt/status then mirror","resolve blocker before any public GitHub action")</x:f>
        <x:v>add receipt/status then mirror</x:v>
      </x:c>
    </x:row>
    <x:row r="1502">
      <x:c r="A1502" s="15" t="str">
        <x:v>SWARM-11-H06-S01</x:v>
      </x:c>
      <x:c r="B1502" s="15" t="str">
        <x:v>ClaudeCatcher</x:v>
      </x:c>
      <x:c r="C1502" s="15" t="str">
        <x:v>Bullshit Olympics referee</x:v>
      </x:c>
      <x:c r="D1502" s="15" t="str">
        <x:v>Ontology / Schema</x:v>
      </x:c>
      <x:c r="E1502" s="15" t="str">
        <x:v>Notion</x:v>
      </x:c>
      <x:c r="F1502" s="15" t="str">
        <x:v>Schema-map Notion — ClaudeCatcher</x:v>
      </x:c>
      <x:c r="G1502" s="15" t="str">
        <x:v>adversarial claims / model overclaim detection</x:v>
      </x:c>
      <x:c r="H1502" s="15" t="str">
        <x:v>source path + receipt + raw/export status + claim/edge/risk delta</x:v>
      </x:c>
      <x:c r="I1502" s="15" t="str">
        <x:v>packet/SWARM-11-H06-S01</x:v>
      </x:c>
      <x:c r="J1502" s="15" t="str">
        <x:v>TODO</x:v>
      </x:c>
      <x:c r="K1502" s="15" t="str">
        <x:v>P0</x:v>
      </x:c>
      <x:c r="L1502" s="15" t="str">
        <x:v>Done only when evidence is logged, contradiction search is noted, and boundary stamp remains non-canon unless ratified</x:v>
      </x:c>
      <x:c r="M1502" s="15" t="str">
        <x:v>candidate / staging-only / not canon / not deployed / authority none</x:v>
      </x:c>
      <x:c r="N1502" s="15" t="str">
        <x:v>Dispatch to ClaudeCatcher: complete Ontology / Schema x Notion; return deltas only, receipts required.</x:v>
      </x:c>
      <x:c r="O1502" s="15" t="str">
        <x:v>AF-KG-H06-S01</x:v>
      </x:c>
      <x:c r="P1502" s="15" t="str">
        <x:v>Unverified</x:v>
      </x:c>
      <x:c r="Q1502" s="15" t="str">
        <x:v>Not checked</x:v>
      </x:c>
      <x:c r="R1502" s="15" t="str"/>
      <x:c r="S1502" s="15" t="str"/>
      <x:c r="T1502" s="15" t="str">
        <x:v>Log first source path or blocker</x:v>
      </x:c>
      <x:c r="U1502" s="12" t="str">
        <x:f>IF(OR(P1502="Unverified",Q1502="Not checked"),"BLOCKED_PENDING_RECEIPT","READY_FOR_REVIEW")</x:f>
        <x:v>BLOCKED_PENDING_RECEIPT</x:v>
      </x:c>
      <x:c r="V1502" s="12" t="str">
        <x:f>IF(J1502="DONE","RETURNED",IF(U1502="BLOCKED_PENDING_RECEIPT","SOURCE_TOUCH_REQUIRED","IN_PROGRESS"))</x:f>
        <x:v>SOURCE_TOUCH_REQUIRED</x:v>
      </x:c>
      <x:c r="W1502" s="12" t="str">
        <x:f>IF(P1502="Unverified","missing_receipt","receipt_logged")</x:f>
        <x:v>missing_receipt</x:v>
      </x:c>
      <x:c r="X1502" s="12" t="str">
        <x:f>IF(Q1502="Not checked","raw_status_missing","raw_status_logged")</x:f>
        <x:v>raw_status_missing</x:v>
      </x:c>
      <x:c r="Y1502" s="12" t="str">
        <x:f>IF(U1502="BLOCKED_PENDING_RECEIPT","Log source path or blocker; do not promote","Route to review lane")</x:f>
        <x:v>Log source path or blocker; do not promote</x:v>
      </x:c>
      <x:c r="Z1502" s="12" t="str">
        <x:f>IF(K1502="P0","Primary seat + Hashlight/Lucerna","Seat lane")</x:f>
        <x:v>Primary seat + Hashlight/Lucerna</x:v>
      </x:c>
      <x:c r="AA1502" s="12" t="str">
        <x:f>IF(R1502="","no_claim_delta","claim_delta_present")</x:f>
        <x:v>no_claim_delta</x:v>
      </x:c>
      <x:c r="AB1502" s="12" t="str">
        <x:f>IF(S1502="","no_contradiction_delta","contradiction_delta_present")</x:f>
        <x:v>no_contradiction_delta</x:v>
      </x:c>
      <x:c r="AC1502" s="12" t="str">
        <x:f>IF(OR(ISNUMBER(SEARCH("hacker",LOWER(F1502&amp;" "&amp;H1502&amp;" "&amp;I1502&amp;" "&amp;M1502&amp;" "&amp;N1502&amp;" "&amp;T1502))),ISNUMBER(SEARCH("hacking",LOWER(F1502&amp;" "&amp;H1502&amp;" "&amp;I1502&amp;" "&amp;M1502&amp;" "&amp;N1502&amp;" "&amp;T1502))),ISNUMBER(SEARCH("bank",LOWER(F1502&amp;" "&amp;H1502&amp;" "&amp;I1502&amp;" "&amp;M1502&amp;" "&amp;N1502&amp;" "&amp;T1502))),ISNUMBER(SEARCH("banking",LOWER(F1502&amp;" "&amp;H1502&amp;" "&amp;I1502&amp;" "&amp;M1502&amp;" "&amp;N1502&amp;" "&amp;T1502)))),"PRIVATE_QUARANTINE",IF(OR(ISNUMBER(SEARCH("treasury",LOWER(F1502&amp;" "&amp;H1502&amp;" "&amp;I1502&amp;" "&amp;M1502&amp;" "&amp;N1502&amp;" "&amp;T1502))),ISNUMBER(SEARCH("debt",LOWER(F1502&amp;" "&amp;H1502&amp;" "&amp;I1502&amp;" "&amp;M1502&amp;" "&amp;N1502&amp;" "&amp;T1502))),ISNUMBER(SEARCH("bond",LOWER(F1502&amp;" "&amp;H1502&amp;" "&amp;I1502&amp;" "&amp;M1502&amp;" "&amp;N1502&amp;" "&amp;T1502))),ISNUMBER(SEARCH("transaction",LOWER(F1502&amp;" "&amp;H1502&amp;" "&amp;I1502&amp;" "&amp;M1502&amp;" "&amp;N1502&amp;" "&amp;T1502)))),"PRIVATE_REVIEW","PUBLIC_CANDIDATE"))</x:f>
        <x:v>PUBLIC_CANDIDATE</x:v>
      </x:c>
      <x:c r="AD1502" s="12" t="str">
        <x:f>IF(AC1502="PRIVATE_QUARANTINE","hacker_or_bank_trigger",IF(AC1502="PRIVATE_REVIEW","finance_risk_trigger","none"))</x:f>
        <x:v>none</x:v>
      </x:c>
      <x:c r="AE1502" s="12" t="str">
        <x:f>IF(AC1502="PUBLIC_CANDIDATE","prepare_public_github_candidate",IF(AC1502="PRIVATE_REVIEW","hold_for_private_review","quarantine_private_do_not_publish"))</x:f>
        <x:v>prepare_public_github_candidate</x:v>
      </x:c>
      <x:c r="AF1502" s="12" t="str">
        <x:f>IF(AC1502="PUBLIC_CANDIDATE","TIDELOCK + Lucerna",IF(AC1502="PRIVATE_REVIEW","AtlasBrain + Lucerna","TIDELOCK + Lucerna + Human-root"))</x:f>
        <x:v>TIDELOCK + Lucerna</x:v>
      </x:c>
      <x:c r="AG1502" s="12" t="str">
        <x:f>IF(AND(AC1502="PUBLIC_CANDIDATE",U1502&lt;&gt;"BLOCKED_PENDING_RECEIPT"),"READY_AFTER_RECEIPT","NOT_READY")</x:f>
        <x:v>NOT_READY</x:v>
      </x:c>
      <x:c r="AH1502" s="12" t="str">
        <x:f>IF(AC1502="PUBLIC_CANDIDATE","none",AD1502)</x:f>
        <x:v>none</x:v>
      </x:c>
      <x:c r="AI1502" s="12" t="str">
        <x:f>IF(AC1502="PUBLIC_CANDIDATE","archive/public_candidates/"&amp;A1502,"private_quarantine/"&amp;A1502)</x:f>
        <x:v>archive/public_candidates/SWARM-11-H06-S01</x:v>
      </x:c>
      <x:c r="AJ1502" s="12" t="str">
        <x:f>IF(AC1502="PUBLIC_CANDIDATE","public by default; still not canon","private/hold; do not publish")</x:f>
        <x:v>public by default; still not canon</x:v>
      </x:c>
      <x:c r="AK1502" s="12" t="str">
        <x:f>IF(AE1502="prepare_public_github_candidate","add receipt/status then mirror","resolve blocker before any public GitHub action")</x:f>
        <x:v>add receipt/status then mirror</x:v>
      </x:c>
    </x:row>
    <x:row r="1503">
      <x:c r="A1503" s="15" t="str">
        <x:v>SWARM-11-H06-S02</x:v>
      </x:c>
      <x:c r="B1503" s="15" t="str">
        <x:v>ClaudeCatcher</x:v>
      </x:c>
      <x:c r="C1503" s="15" t="str">
        <x:v>Bullshit Olympics referee</x:v>
      </x:c>
      <x:c r="D1503" s="15" t="str">
        <x:v>Ontology / Schema</x:v>
      </x:c>
      <x:c r="E1503" s="15" t="str">
        <x:v>Drive</x:v>
      </x:c>
      <x:c r="F1503" s="15" t="str">
        <x:v>Schema-map Drive — ClaudeCatcher</x:v>
      </x:c>
      <x:c r="G1503" s="15" t="str">
        <x:v>adversarial claims / model overclaim detection</x:v>
      </x:c>
      <x:c r="H1503" s="15" t="str">
        <x:v>source path + receipt + raw/export status + claim/edge/risk delta</x:v>
      </x:c>
      <x:c r="I1503" s="15" t="str">
        <x:v>packet/SWARM-11-H06-S02</x:v>
      </x:c>
      <x:c r="J1503" s="15" t="str">
        <x:v>TODO</x:v>
      </x:c>
      <x:c r="K1503" s="15" t="str">
        <x:v>P0</x:v>
      </x:c>
      <x:c r="L1503" s="15" t="str">
        <x:v>Done only when evidence is logged, contradiction search is noted, and boundary stamp remains non-canon unless ratified</x:v>
      </x:c>
      <x:c r="M1503" s="15" t="str">
        <x:v>candidate / staging-only / not canon / not deployed / authority none</x:v>
      </x:c>
      <x:c r="N1503" s="15" t="str">
        <x:v>Dispatch to ClaudeCatcher: complete Ontology / Schema x Drive; return deltas only, receipts required.</x:v>
      </x:c>
      <x:c r="O1503" s="15" t="str">
        <x:v>AF-KG-H06-S02</x:v>
      </x:c>
      <x:c r="P1503" s="15" t="str">
        <x:v>Unverified</x:v>
      </x:c>
      <x:c r="Q1503" s="15" t="str">
        <x:v>Not checked</x:v>
      </x:c>
      <x:c r="R1503" s="15" t="str"/>
      <x:c r="S1503" s="15" t="str"/>
      <x:c r="T1503" s="15" t="str">
        <x:v>Log first source path or blocker</x:v>
      </x:c>
      <x:c r="U1503" s="12" t="str">
        <x:f>IF(OR(P1503="Unverified",Q1503="Not checked"),"BLOCKED_PENDING_RECEIPT","READY_FOR_REVIEW")</x:f>
        <x:v>BLOCKED_PENDING_RECEIPT</x:v>
      </x:c>
      <x:c r="V1503" s="12" t="str">
        <x:f>IF(J1503="DONE","RETURNED",IF(U1503="BLOCKED_PENDING_RECEIPT","SOURCE_TOUCH_REQUIRED","IN_PROGRESS"))</x:f>
        <x:v>SOURCE_TOUCH_REQUIRED</x:v>
      </x:c>
      <x:c r="W1503" s="12" t="str">
        <x:f>IF(P1503="Unverified","missing_receipt","receipt_logged")</x:f>
        <x:v>missing_receipt</x:v>
      </x:c>
      <x:c r="X1503" s="12" t="str">
        <x:f>IF(Q1503="Not checked","raw_status_missing","raw_status_logged")</x:f>
        <x:v>raw_status_missing</x:v>
      </x:c>
      <x:c r="Y1503" s="12" t="str">
        <x:f>IF(U1503="BLOCKED_PENDING_RECEIPT","Log source path or blocker; do not promote","Route to review lane")</x:f>
        <x:v>Log source path or blocker; do not promote</x:v>
      </x:c>
      <x:c r="Z1503" s="12" t="str">
        <x:f>IF(K1503="P0","Primary seat + Hashlight/Lucerna","Seat lane")</x:f>
        <x:v>Primary seat + Hashlight/Lucerna</x:v>
      </x:c>
      <x:c r="AA1503" s="12" t="str">
        <x:f>IF(R1503="","no_claim_delta","claim_delta_present")</x:f>
        <x:v>no_claim_delta</x:v>
      </x:c>
      <x:c r="AB1503" s="12" t="str">
        <x:f>IF(S1503="","no_contradiction_delta","contradiction_delta_present")</x:f>
        <x:v>no_contradiction_delta</x:v>
      </x:c>
      <x:c r="AC1503" s="12" t="str">
        <x:f>IF(OR(ISNUMBER(SEARCH("hacker",LOWER(F1503&amp;" "&amp;H1503&amp;" "&amp;I1503&amp;" "&amp;M1503&amp;" "&amp;N1503&amp;" "&amp;T1503))),ISNUMBER(SEARCH("hacking",LOWER(F1503&amp;" "&amp;H1503&amp;" "&amp;I1503&amp;" "&amp;M1503&amp;" "&amp;N1503&amp;" "&amp;T1503))),ISNUMBER(SEARCH("bank",LOWER(F1503&amp;" "&amp;H1503&amp;" "&amp;I1503&amp;" "&amp;M1503&amp;" "&amp;N1503&amp;" "&amp;T1503))),ISNUMBER(SEARCH("banking",LOWER(F1503&amp;" "&amp;H1503&amp;" "&amp;I1503&amp;" "&amp;M1503&amp;" "&amp;N1503&amp;" "&amp;T1503)))),"PRIVATE_QUARANTINE",IF(OR(ISNUMBER(SEARCH("treasury",LOWER(F1503&amp;" "&amp;H1503&amp;" "&amp;I1503&amp;" "&amp;M1503&amp;" "&amp;N1503&amp;" "&amp;T1503))),ISNUMBER(SEARCH("debt",LOWER(F1503&amp;" "&amp;H1503&amp;" "&amp;I1503&amp;" "&amp;M1503&amp;" "&amp;N1503&amp;" "&amp;T1503))),ISNUMBER(SEARCH("bond",LOWER(F1503&amp;" "&amp;H1503&amp;" "&amp;I1503&amp;" "&amp;M1503&amp;" "&amp;N1503&amp;" "&amp;T1503))),ISNUMBER(SEARCH("transaction",LOWER(F1503&amp;" "&amp;H1503&amp;" "&amp;I1503&amp;" "&amp;M1503&amp;" "&amp;N1503&amp;" "&amp;T1503)))),"PRIVATE_REVIEW","PUBLIC_CANDIDATE"))</x:f>
        <x:v>PUBLIC_CANDIDATE</x:v>
      </x:c>
      <x:c r="AD1503" s="12" t="str">
        <x:f>IF(AC1503="PRIVATE_QUARANTINE","hacker_or_bank_trigger",IF(AC1503="PRIVATE_REVIEW","finance_risk_trigger","none"))</x:f>
        <x:v>none</x:v>
      </x:c>
      <x:c r="AE1503" s="12" t="str">
        <x:f>IF(AC1503="PUBLIC_CANDIDATE","prepare_public_github_candidate",IF(AC1503="PRIVATE_REVIEW","hold_for_private_review","quarantine_private_do_not_publish"))</x:f>
        <x:v>prepare_public_github_candidate</x:v>
      </x:c>
      <x:c r="AF1503" s="12" t="str">
        <x:f>IF(AC1503="PUBLIC_CANDIDATE","TIDELOCK + Lucerna",IF(AC1503="PRIVATE_REVIEW","AtlasBrain + Lucerna","TIDELOCK + Lucerna + Human-root"))</x:f>
        <x:v>TIDELOCK + Lucerna</x:v>
      </x:c>
      <x:c r="AG1503" s="12" t="str">
        <x:f>IF(AND(AC1503="PUBLIC_CANDIDATE",U1503&lt;&gt;"BLOCKED_PENDING_RECEIPT"),"READY_AFTER_RECEIPT","NOT_READY")</x:f>
        <x:v>NOT_READY</x:v>
      </x:c>
      <x:c r="AH1503" s="12" t="str">
        <x:f>IF(AC1503="PUBLIC_CANDIDATE","none",AD1503)</x:f>
        <x:v>none</x:v>
      </x:c>
      <x:c r="AI1503" s="12" t="str">
        <x:f>IF(AC1503="PUBLIC_CANDIDATE","archive/public_candidates/"&amp;A1503,"private_quarantine/"&amp;A1503)</x:f>
        <x:v>archive/public_candidates/SWARM-11-H06-S02</x:v>
      </x:c>
      <x:c r="AJ1503" s="12" t="str">
        <x:f>IF(AC1503="PUBLIC_CANDIDATE","public by default; still not canon","private/hold; do not publish")</x:f>
        <x:v>public by default; still not canon</x:v>
      </x:c>
      <x:c r="AK1503" s="12" t="str">
        <x:f>IF(AE1503="prepare_public_github_candidate","add receipt/status then mirror","resolve blocker before any public GitHub action")</x:f>
        <x:v>add receipt/status then mirror</x:v>
      </x:c>
    </x:row>
    <x:row r="1504">
      <x:c r="A1504" s="15" t="str">
        <x:v>SWARM-11-H06-S03</x:v>
      </x:c>
      <x:c r="B1504" s="15" t="str">
        <x:v>ClaudeCatcher</x:v>
      </x:c>
      <x:c r="C1504" s="15" t="str">
        <x:v>Bullshit Olympics referee</x:v>
      </x:c>
      <x:c r="D1504" s="15" t="str">
        <x:v>Ontology / Schema</x:v>
      </x:c>
      <x:c r="E1504" s="15" t="str">
        <x:v>GitHub</x:v>
      </x:c>
      <x:c r="F1504" s="15" t="str">
        <x:v>Schema-map GitHub — ClaudeCatcher</x:v>
      </x:c>
      <x:c r="G1504" s="15" t="str">
        <x:v>adversarial claims / model overclaim detection</x:v>
      </x:c>
      <x:c r="H1504" s="15" t="str">
        <x:v>source path + receipt + raw/export status + claim/edge/risk delta</x:v>
      </x:c>
      <x:c r="I1504" s="15" t="str">
        <x:v>packet/SWARM-11-H06-S03</x:v>
      </x:c>
      <x:c r="J1504" s="15" t="str">
        <x:v>TODO</x:v>
      </x:c>
      <x:c r="K1504" s="15" t="str">
        <x:v>P0</x:v>
      </x:c>
      <x:c r="L1504" s="15" t="str">
        <x:v>Done only when evidence is logged, contradiction search is noted, and boundary stamp remains non-canon unless ratified</x:v>
      </x:c>
      <x:c r="M1504" s="15" t="str">
        <x:v>candidate / staging-only / not canon / not deployed / authority none</x:v>
      </x:c>
      <x:c r="N1504" s="15" t="str">
        <x:v>Dispatch to ClaudeCatcher: complete Ontology / Schema x GitHub; return deltas only, receipts required.</x:v>
      </x:c>
      <x:c r="O1504" s="15" t="str">
        <x:v>AF-KG-H06-S03</x:v>
      </x:c>
      <x:c r="P1504" s="15" t="str">
        <x:v>Unverified</x:v>
      </x:c>
      <x:c r="Q1504" s="15" t="str">
        <x:v>Not checked</x:v>
      </x:c>
      <x:c r="R1504" s="15" t="str"/>
      <x:c r="S1504" s="15" t="str"/>
      <x:c r="T1504" s="15" t="str">
        <x:v>Log first source path or blocker</x:v>
      </x:c>
      <x:c r="U1504" s="12" t="str">
        <x:f>IF(OR(P1504="Unverified",Q1504="Not checked"),"BLOCKED_PENDING_RECEIPT","READY_FOR_REVIEW")</x:f>
        <x:v>BLOCKED_PENDING_RECEIPT</x:v>
      </x:c>
      <x:c r="V1504" s="12" t="str">
        <x:f>IF(J1504="DONE","RETURNED",IF(U1504="BLOCKED_PENDING_RECEIPT","SOURCE_TOUCH_REQUIRED","IN_PROGRESS"))</x:f>
        <x:v>SOURCE_TOUCH_REQUIRED</x:v>
      </x:c>
      <x:c r="W1504" s="12" t="str">
        <x:f>IF(P1504="Unverified","missing_receipt","receipt_logged")</x:f>
        <x:v>missing_receipt</x:v>
      </x:c>
      <x:c r="X1504" s="12" t="str">
        <x:f>IF(Q1504="Not checked","raw_status_missing","raw_status_logged")</x:f>
        <x:v>raw_status_missing</x:v>
      </x:c>
      <x:c r="Y1504" s="12" t="str">
        <x:f>IF(U1504="BLOCKED_PENDING_RECEIPT","Log source path or blocker; do not promote","Route to review lane")</x:f>
        <x:v>Log source path or blocker; do not promote</x:v>
      </x:c>
      <x:c r="Z1504" s="12" t="str">
        <x:f>IF(K1504="P0","Primary seat + Hashlight/Lucerna","Seat lane")</x:f>
        <x:v>Primary seat + Hashlight/Lucerna</x:v>
      </x:c>
      <x:c r="AA1504" s="12" t="str">
        <x:f>IF(R1504="","no_claim_delta","claim_delta_present")</x:f>
        <x:v>no_claim_delta</x:v>
      </x:c>
      <x:c r="AB1504" s="12" t="str">
        <x:f>IF(S1504="","no_contradiction_delta","contradiction_delta_present")</x:f>
        <x:v>no_contradiction_delta</x:v>
      </x:c>
      <x:c r="AC1504" s="12" t="str">
        <x:f>IF(OR(ISNUMBER(SEARCH("hacker",LOWER(F1504&amp;" "&amp;H1504&amp;" "&amp;I1504&amp;" "&amp;M1504&amp;" "&amp;N1504&amp;" "&amp;T1504))),ISNUMBER(SEARCH("hacking",LOWER(F1504&amp;" "&amp;H1504&amp;" "&amp;I1504&amp;" "&amp;M1504&amp;" "&amp;N1504&amp;" "&amp;T1504))),ISNUMBER(SEARCH("bank",LOWER(F1504&amp;" "&amp;H1504&amp;" "&amp;I1504&amp;" "&amp;M1504&amp;" "&amp;N1504&amp;" "&amp;T1504))),ISNUMBER(SEARCH("banking",LOWER(F1504&amp;" "&amp;H1504&amp;" "&amp;I1504&amp;" "&amp;M1504&amp;" "&amp;N1504&amp;" "&amp;T1504)))),"PRIVATE_QUARANTINE",IF(OR(ISNUMBER(SEARCH("treasury",LOWER(F1504&amp;" "&amp;H1504&amp;" "&amp;I1504&amp;" "&amp;M1504&amp;" "&amp;N1504&amp;" "&amp;T1504))),ISNUMBER(SEARCH("debt",LOWER(F1504&amp;" "&amp;H1504&amp;" "&amp;I1504&amp;" "&amp;M1504&amp;" "&amp;N1504&amp;" "&amp;T1504))),ISNUMBER(SEARCH("bond",LOWER(F1504&amp;" "&amp;H1504&amp;" "&amp;I1504&amp;" "&amp;M1504&amp;" "&amp;N1504&amp;" "&amp;T1504))),ISNUMBER(SEARCH("transaction",LOWER(F1504&amp;" "&amp;H1504&amp;" "&amp;I1504&amp;" "&amp;M1504&amp;" "&amp;N1504&amp;" "&amp;T1504)))),"PRIVATE_REVIEW","PUBLIC_CANDIDATE"))</x:f>
        <x:v>PUBLIC_CANDIDATE</x:v>
      </x:c>
      <x:c r="AD1504" s="12" t="str">
        <x:f>IF(AC1504="PRIVATE_QUARANTINE","hacker_or_bank_trigger",IF(AC1504="PRIVATE_REVIEW","finance_risk_trigger","none"))</x:f>
        <x:v>none</x:v>
      </x:c>
      <x:c r="AE1504" s="12" t="str">
        <x:f>IF(AC1504="PUBLIC_CANDIDATE","prepare_public_github_candidate",IF(AC1504="PRIVATE_REVIEW","hold_for_private_review","quarantine_private_do_not_publish"))</x:f>
        <x:v>prepare_public_github_candidate</x:v>
      </x:c>
      <x:c r="AF1504" s="12" t="str">
        <x:f>IF(AC1504="PUBLIC_CANDIDATE","TIDELOCK + Lucerna",IF(AC1504="PRIVATE_REVIEW","AtlasBrain + Lucerna","TIDELOCK + Lucerna + Human-root"))</x:f>
        <x:v>TIDELOCK + Lucerna</x:v>
      </x:c>
      <x:c r="AG1504" s="12" t="str">
        <x:f>IF(AND(AC1504="PUBLIC_CANDIDATE",U1504&lt;&gt;"BLOCKED_PENDING_RECEIPT"),"READY_AFTER_RECEIPT","NOT_READY")</x:f>
        <x:v>NOT_READY</x:v>
      </x:c>
      <x:c r="AH1504" s="12" t="str">
        <x:f>IF(AC1504="PUBLIC_CANDIDATE","none",AD1504)</x:f>
        <x:v>none</x:v>
      </x:c>
      <x:c r="AI1504" s="12" t="str">
        <x:f>IF(AC1504="PUBLIC_CANDIDATE","archive/public_candidates/"&amp;A1504,"private_quarantine/"&amp;A1504)</x:f>
        <x:v>archive/public_candidates/SWARM-11-H06-S03</x:v>
      </x:c>
      <x:c r="AJ1504" s="12" t="str">
        <x:f>IF(AC1504="PUBLIC_CANDIDATE","public by default; still not canon","private/hold; do not publish")</x:f>
        <x:v>public by default; still not canon</x:v>
      </x:c>
      <x:c r="AK1504" s="12" t="str">
        <x:f>IF(AE1504="prepare_public_github_candidate","add receipt/status then mirror","resolve blocker before any public GitHub action")</x:f>
        <x:v>add receipt/status then mirror</x:v>
      </x:c>
    </x:row>
    <x:row r="1505">
      <x:c r="A1505" s="15" t="str">
        <x:v>SWARM-11-H06-S04</x:v>
      </x:c>
      <x:c r="B1505" s="15" t="str">
        <x:v>ClaudeCatcher</x:v>
      </x:c>
      <x:c r="C1505" s="15" t="str">
        <x:v>Bullshit Olympics referee</x:v>
      </x:c>
      <x:c r="D1505" s="15" t="str">
        <x:v>Ontology / Schema</x:v>
      </x:c>
      <x:c r="E1505" s="15" t="str">
        <x:v>Gamma</x:v>
      </x:c>
      <x:c r="F1505" s="15" t="str">
        <x:v>Schema-map Gamma — ClaudeCatcher</x:v>
      </x:c>
      <x:c r="G1505" s="15" t="str">
        <x:v>adversarial claims / model overclaim detection</x:v>
      </x:c>
      <x:c r="H1505" s="15" t="str">
        <x:v>source path + receipt + raw/export status + claim/edge/risk delta</x:v>
      </x:c>
      <x:c r="I1505" s="15" t="str">
        <x:v>packet/SWARM-11-H06-S04</x:v>
      </x:c>
      <x:c r="J1505" s="15" t="str">
        <x:v>TODO</x:v>
      </x:c>
      <x:c r="K1505" s="15" t="str">
        <x:v>P1</x:v>
      </x:c>
      <x:c r="L1505" s="15" t="str">
        <x:v>Done only when evidence is logged, contradiction search is noted, and boundary stamp remains non-canon unless ratified</x:v>
      </x:c>
      <x:c r="M1505" s="15" t="str">
        <x:v>candidate / staging-only / not canon / not deployed / authority none</x:v>
      </x:c>
      <x:c r="N1505" s="15" t="str">
        <x:v>Dispatch to ClaudeCatcher: complete Ontology / Schema x Gamma; return deltas only, receipts required.</x:v>
      </x:c>
      <x:c r="O1505" s="15" t="str">
        <x:v>AF-KG-H06-S04</x:v>
      </x:c>
      <x:c r="P1505" s="15" t="str">
        <x:v>Unverified</x:v>
      </x:c>
      <x:c r="Q1505" s="15" t="str">
        <x:v>Not checked</x:v>
      </x:c>
      <x:c r="R1505" s="15" t="str"/>
      <x:c r="S1505" s="15" t="str"/>
      <x:c r="T1505" s="15" t="str">
        <x:v>Log first source path or blocker</x:v>
      </x:c>
      <x:c r="U1505" s="12" t="str">
        <x:f>IF(OR(P1505="Unverified",Q1505="Not checked"),"BLOCKED_PENDING_RECEIPT","READY_FOR_REVIEW")</x:f>
        <x:v>BLOCKED_PENDING_RECEIPT</x:v>
      </x:c>
      <x:c r="V1505" s="12" t="str">
        <x:f>IF(J1505="DONE","RETURNED",IF(U1505="BLOCKED_PENDING_RECEIPT","SOURCE_TOUCH_REQUIRED","IN_PROGRESS"))</x:f>
        <x:v>SOURCE_TOUCH_REQUIRED</x:v>
      </x:c>
      <x:c r="W1505" s="12" t="str">
        <x:f>IF(P1505="Unverified","missing_receipt","receipt_logged")</x:f>
        <x:v>missing_receipt</x:v>
      </x:c>
      <x:c r="X1505" s="12" t="str">
        <x:f>IF(Q1505="Not checked","raw_status_missing","raw_status_logged")</x:f>
        <x:v>raw_status_missing</x:v>
      </x:c>
      <x:c r="Y1505" s="12" t="str">
        <x:f>IF(U1505="BLOCKED_PENDING_RECEIPT","Log source path or blocker; do not promote","Route to review lane")</x:f>
        <x:v>Log source path or blocker; do not promote</x:v>
      </x:c>
      <x:c r="Z1505" s="12" t="str">
        <x:f>IF(K1505="P0","Primary seat + Hashlight/Lucerna","Seat lane")</x:f>
        <x:v>Seat lane</x:v>
      </x:c>
      <x:c r="AA1505" s="12" t="str">
        <x:f>IF(R1505="","no_claim_delta","claim_delta_present")</x:f>
        <x:v>no_claim_delta</x:v>
      </x:c>
      <x:c r="AB1505" s="12" t="str">
        <x:f>IF(S1505="","no_contradiction_delta","contradiction_delta_present")</x:f>
        <x:v>no_contradiction_delta</x:v>
      </x:c>
      <x:c r="AC1505" s="12" t="str">
        <x:f>IF(OR(ISNUMBER(SEARCH("hacker",LOWER(F1505&amp;" "&amp;H1505&amp;" "&amp;I1505&amp;" "&amp;M1505&amp;" "&amp;N1505&amp;" "&amp;T1505))),ISNUMBER(SEARCH("hacking",LOWER(F1505&amp;" "&amp;H1505&amp;" "&amp;I1505&amp;" "&amp;M1505&amp;" "&amp;N1505&amp;" "&amp;T1505))),ISNUMBER(SEARCH("bank",LOWER(F1505&amp;" "&amp;H1505&amp;" "&amp;I1505&amp;" "&amp;M1505&amp;" "&amp;N1505&amp;" "&amp;T1505))),ISNUMBER(SEARCH("banking",LOWER(F1505&amp;" "&amp;H1505&amp;" "&amp;I1505&amp;" "&amp;M1505&amp;" "&amp;N1505&amp;" "&amp;T1505)))),"PRIVATE_QUARANTINE",IF(OR(ISNUMBER(SEARCH("treasury",LOWER(F1505&amp;" "&amp;H1505&amp;" "&amp;I1505&amp;" "&amp;M1505&amp;" "&amp;N1505&amp;" "&amp;T1505))),ISNUMBER(SEARCH("debt",LOWER(F1505&amp;" "&amp;H1505&amp;" "&amp;I1505&amp;" "&amp;M1505&amp;" "&amp;N1505&amp;" "&amp;T1505))),ISNUMBER(SEARCH("bond",LOWER(F1505&amp;" "&amp;H1505&amp;" "&amp;I1505&amp;" "&amp;M1505&amp;" "&amp;N1505&amp;" "&amp;T1505))),ISNUMBER(SEARCH("transaction",LOWER(F1505&amp;" "&amp;H1505&amp;" "&amp;I1505&amp;" "&amp;M1505&amp;" "&amp;N1505&amp;" "&amp;T1505)))),"PRIVATE_REVIEW","PUBLIC_CANDIDATE"))</x:f>
        <x:v>PUBLIC_CANDIDATE</x:v>
      </x:c>
      <x:c r="AD1505" s="12" t="str">
        <x:f>IF(AC1505="PRIVATE_QUARANTINE","hacker_or_bank_trigger",IF(AC1505="PRIVATE_REVIEW","finance_risk_trigger","none"))</x:f>
        <x:v>none</x:v>
      </x:c>
      <x:c r="AE1505" s="12" t="str">
        <x:f>IF(AC1505="PUBLIC_CANDIDATE","prepare_public_github_candidate",IF(AC1505="PRIVATE_REVIEW","hold_for_private_review","quarantine_private_do_not_publish"))</x:f>
        <x:v>prepare_public_github_candidate</x:v>
      </x:c>
      <x:c r="AF1505" s="12" t="str">
        <x:f>IF(AC1505="PUBLIC_CANDIDATE","TIDELOCK + Lucerna",IF(AC1505="PRIVATE_REVIEW","AtlasBrain + Lucerna","TIDELOCK + Lucerna + Human-root"))</x:f>
        <x:v>TIDELOCK + Lucerna</x:v>
      </x:c>
      <x:c r="AG1505" s="12" t="str">
        <x:f>IF(AND(AC1505="PUBLIC_CANDIDATE",U1505&lt;&gt;"BLOCKED_PENDING_RECEIPT"),"READY_AFTER_RECEIPT","NOT_READY")</x:f>
        <x:v>NOT_READY</x:v>
      </x:c>
      <x:c r="AH1505" s="12" t="str">
        <x:f>IF(AC1505="PUBLIC_CANDIDATE","none",AD1505)</x:f>
        <x:v>none</x:v>
      </x:c>
      <x:c r="AI1505" s="12" t="str">
        <x:f>IF(AC1505="PUBLIC_CANDIDATE","archive/public_candidates/"&amp;A1505,"private_quarantine/"&amp;A1505)</x:f>
        <x:v>archive/public_candidates/SWARM-11-H06-S04</x:v>
      </x:c>
      <x:c r="AJ1505" s="12" t="str">
        <x:f>IF(AC1505="PUBLIC_CANDIDATE","public by default; still not canon","private/hold; do not publish")</x:f>
        <x:v>public by default; still not canon</x:v>
      </x:c>
      <x:c r="AK1505" s="12" t="str">
        <x:f>IF(AE1505="prepare_public_github_candidate","add receipt/status then mirror","resolve blocker before any public GitHub action")</x:f>
        <x:v>add receipt/status then mirror</x:v>
      </x:c>
    </x:row>
    <x:row r="1506">
      <x:c r="A1506" s="15" t="str">
        <x:v>SWARM-11-H06-S05</x:v>
      </x:c>
      <x:c r="B1506" s="15" t="str">
        <x:v>ClaudeCatcher</x:v>
      </x:c>
      <x:c r="C1506" s="15" t="str">
        <x:v>Bullshit Olympics referee</x:v>
      </x:c>
      <x:c r="D1506" s="15" t="str">
        <x:v>Ontology / Schema</x:v>
      </x:c>
      <x:c r="E1506" s="15" t="str">
        <x:v>Chat</x:v>
      </x:c>
      <x:c r="F1506" s="15" t="str">
        <x:v>Schema-map Chat — ClaudeCatcher</x:v>
      </x:c>
      <x:c r="G1506" s="15" t="str">
        <x:v>adversarial claims / model overclaim detection</x:v>
      </x:c>
      <x:c r="H1506" s="15" t="str">
        <x:v>source path + receipt + raw/export status + claim/edge/risk delta</x:v>
      </x:c>
      <x:c r="I1506" s="15" t="str">
        <x:v>packet/SWARM-11-H06-S05</x:v>
      </x:c>
      <x:c r="J1506" s="15" t="str">
        <x:v>TODO</x:v>
      </x:c>
      <x:c r="K1506" s="15" t="str">
        <x:v>P1</x:v>
      </x:c>
      <x:c r="L1506" s="15" t="str">
        <x:v>Done only when evidence is logged, contradiction search is noted, and boundary stamp remains non-canon unless ratified</x:v>
      </x:c>
      <x:c r="M1506" s="15" t="str">
        <x:v>candidate / staging-only / not canon / not deployed / authority none</x:v>
      </x:c>
      <x:c r="N1506" s="15" t="str">
        <x:v>Dispatch to ClaudeCatcher: complete Ontology / Schema x Chat; return deltas only, receipts required.</x:v>
      </x:c>
      <x:c r="O1506" s="15" t="str">
        <x:v>AF-KG-H06-S05</x:v>
      </x:c>
      <x:c r="P1506" s="15" t="str">
        <x:v>Unverified</x:v>
      </x:c>
      <x:c r="Q1506" s="15" t="str">
        <x:v>Not checked</x:v>
      </x:c>
      <x:c r="R1506" s="15" t="str"/>
      <x:c r="S1506" s="15" t="str"/>
      <x:c r="T1506" s="15" t="str">
        <x:v>Log first source path or blocker</x:v>
      </x:c>
      <x:c r="U1506" s="12" t="str">
        <x:f>IF(OR(P1506="Unverified",Q1506="Not checked"),"BLOCKED_PENDING_RECEIPT","READY_FOR_REVIEW")</x:f>
        <x:v>BLOCKED_PENDING_RECEIPT</x:v>
      </x:c>
      <x:c r="V1506" s="12" t="str">
        <x:f>IF(J1506="DONE","RETURNED",IF(U1506="BLOCKED_PENDING_RECEIPT","SOURCE_TOUCH_REQUIRED","IN_PROGRESS"))</x:f>
        <x:v>SOURCE_TOUCH_REQUIRED</x:v>
      </x:c>
      <x:c r="W1506" s="12" t="str">
        <x:f>IF(P1506="Unverified","missing_receipt","receipt_logged")</x:f>
        <x:v>missing_receipt</x:v>
      </x:c>
      <x:c r="X1506" s="12" t="str">
        <x:f>IF(Q1506="Not checked","raw_status_missing","raw_status_logged")</x:f>
        <x:v>raw_status_missing</x:v>
      </x:c>
      <x:c r="Y1506" s="12" t="str">
        <x:f>IF(U1506="BLOCKED_PENDING_RECEIPT","Log source path or blocker; do not promote","Route to review lane")</x:f>
        <x:v>Log source path or blocker; do not promote</x:v>
      </x:c>
      <x:c r="Z1506" s="12" t="str">
        <x:f>IF(K1506="P0","Primary seat + Hashlight/Lucerna","Seat lane")</x:f>
        <x:v>Seat lane</x:v>
      </x:c>
      <x:c r="AA1506" s="12" t="str">
        <x:f>IF(R1506="","no_claim_delta","claim_delta_present")</x:f>
        <x:v>no_claim_delta</x:v>
      </x:c>
      <x:c r="AB1506" s="12" t="str">
        <x:f>IF(S1506="","no_contradiction_delta","contradiction_delta_present")</x:f>
        <x:v>no_contradiction_delta</x:v>
      </x:c>
      <x:c r="AC1506" s="12" t="str">
        <x:f>IF(OR(ISNUMBER(SEARCH("hacker",LOWER(F1506&amp;" "&amp;H1506&amp;" "&amp;I1506&amp;" "&amp;M1506&amp;" "&amp;N1506&amp;" "&amp;T1506))),ISNUMBER(SEARCH("hacking",LOWER(F1506&amp;" "&amp;H1506&amp;" "&amp;I1506&amp;" "&amp;M1506&amp;" "&amp;N1506&amp;" "&amp;T1506))),ISNUMBER(SEARCH("bank",LOWER(F1506&amp;" "&amp;H1506&amp;" "&amp;I1506&amp;" "&amp;M1506&amp;" "&amp;N1506&amp;" "&amp;T1506))),ISNUMBER(SEARCH("banking",LOWER(F1506&amp;" "&amp;H1506&amp;" "&amp;I1506&amp;" "&amp;M1506&amp;" "&amp;N1506&amp;" "&amp;T1506)))),"PRIVATE_QUARANTINE",IF(OR(ISNUMBER(SEARCH("treasury",LOWER(F1506&amp;" "&amp;H1506&amp;" "&amp;I1506&amp;" "&amp;M1506&amp;" "&amp;N1506&amp;" "&amp;T1506))),ISNUMBER(SEARCH("debt",LOWER(F1506&amp;" "&amp;H1506&amp;" "&amp;I1506&amp;" "&amp;M1506&amp;" "&amp;N1506&amp;" "&amp;T1506))),ISNUMBER(SEARCH("bond",LOWER(F1506&amp;" "&amp;H1506&amp;" "&amp;I1506&amp;" "&amp;M1506&amp;" "&amp;N1506&amp;" "&amp;T1506))),ISNUMBER(SEARCH("transaction",LOWER(F1506&amp;" "&amp;H1506&amp;" "&amp;I1506&amp;" "&amp;M1506&amp;" "&amp;N1506&amp;" "&amp;T1506)))),"PRIVATE_REVIEW","PUBLIC_CANDIDATE"))</x:f>
        <x:v>PUBLIC_CANDIDATE</x:v>
      </x:c>
      <x:c r="AD1506" s="12" t="str">
        <x:f>IF(AC1506="PRIVATE_QUARANTINE","hacker_or_bank_trigger",IF(AC1506="PRIVATE_REVIEW","finance_risk_trigger","none"))</x:f>
        <x:v>none</x:v>
      </x:c>
      <x:c r="AE1506" s="12" t="str">
        <x:f>IF(AC1506="PUBLIC_CANDIDATE","prepare_public_github_candidate",IF(AC1506="PRIVATE_REVIEW","hold_for_private_review","quarantine_private_do_not_publish"))</x:f>
        <x:v>prepare_public_github_candidate</x:v>
      </x:c>
      <x:c r="AF1506" s="12" t="str">
        <x:f>IF(AC1506="PUBLIC_CANDIDATE","TIDELOCK + Lucerna",IF(AC1506="PRIVATE_REVIEW","AtlasBrain + Lucerna","TIDELOCK + Lucerna + Human-root"))</x:f>
        <x:v>TIDELOCK + Lucerna</x:v>
      </x:c>
      <x:c r="AG1506" s="12" t="str">
        <x:f>IF(AND(AC1506="PUBLIC_CANDIDATE",U1506&lt;&gt;"BLOCKED_PENDING_RECEIPT"),"READY_AFTER_RECEIPT","NOT_READY")</x:f>
        <x:v>NOT_READY</x:v>
      </x:c>
      <x:c r="AH1506" s="12" t="str">
        <x:f>IF(AC1506="PUBLIC_CANDIDATE","none",AD1506)</x:f>
        <x:v>none</x:v>
      </x:c>
      <x:c r="AI1506" s="12" t="str">
        <x:f>IF(AC1506="PUBLIC_CANDIDATE","archive/public_candidates/"&amp;A1506,"private_quarantine/"&amp;A1506)</x:f>
        <x:v>archive/public_candidates/SWARM-11-H06-S05</x:v>
      </x:c>
      <x:c r="AJ1506" s="12" t="str">
        <x:f>IF(AC1506="PUBLIC_CANDIDATE","public by default; still not canon","private/hold; do not publish")</x:f>
        <x:v>public by default; still not canon</x:v>
      </x:c>
      <x:c r="AK1506" s="12" t="str">
        <x:f>IF(AE1506="prepare_public_github_candidate","add receipt/status then mirror","resolve blocker before any public GitHub action")</x:f>
        <x:v>add receipt/status then mirror</x:v>
      </x:c>
    </x:row>
    <x:row r="1507">
      <x:c r="A1507" s="15" t="str">
        <x:v>SWARM-11-H06-S06</x:v>
      </x:c>
      <x:c r="B1507" s="15" t="str">
        <x:v>ClaudeCatcher</x:v>
      </x:c>
      <x:c r="C1507" s="15" t="str">
        <x:v>Bullshit Olympics referee</x:v>
      </x:c>
      <x:c r="D1507" s="15" t="str">
        <x:v>Ontology / Schema</x:v>
      </x:c>
      <x:c r="E1507" s="15" t="str">
        <x:v>External Web</x:v>
      </x:c>
      <x:c r="F1507" s="15" t="str">
        <x:v>Schema-map External Web — ClaudeCatcher</x:v>
      </x:c>
      <x:c r="G1507" s="15" t="str">
        <x:v>adversarial claims / model overclaim detection</x:v>
      </x:c>
      <x:c r="H1507" s="15" t="str">
        <x:v>source path + receipt + raw/export status + claim/edge/risk delta</x:v>
      </x:c>
      <x:c r="I1507" s="15" t="str">
        <x:v>packet/SWARM-11-H06-S06</x:v>
      </x:c>
      <x:c r="J1507" s="15" t="str">
        <x:v>TODO</x:v>
      </x:c>
      <x:c r="K1507" s="15" t="str">
        <x:v>P1</x:v>
      </x:c>
      <x:c r="L1507" s="15" t="str">
        <x:v>Done only when evidence is logged, contradiction search is noted, and boundary stamp remains non-canon unless ratified</x:v>
      </x:c>
      <x:c r="M1507" s="15" t="str">
        <x:v>candidate / staging-only / not canon / not deployed / authority none</x:v>
      </x:c>
      <x:c r="N1507" s="15" t="str">
        <x:v>Dispatch to ClaudeCatcher: complete Ontology / Schema x External Web; return deltas only, receipts required.</x:v>
      </x:c>
      <x:c r="O1507" s="15" t="str">
        <x:v>AF-KG-H06-S06</x:v>
      </x:c>
      <x:c r="P1507" s="15" t="str">
        <x:v>Unverified</x:v>
      </x:c>
      <x:c r="Q1507" s="15" t="str">
        <x:v>Not checked</x:v>
      </x:c>
      <x:c r="R1507" s="15" t="str"/>
      <x:c r="S1507" s="15" t="str"/>
      <x:c r="T1507" s="15" t="str">
        <x:v>Log first source path or blocker</x:v>
      </x:c>
      <x:c r="U1507" s="12" t="str">
        <x:f>IF(OR(P1507="Unverified",Q1507="Not checked"),"BLOCKED_PENDING_RECEIPT","READY_FOR_REVIEW")</x:f>
        <x:v>BLOCKED_PENDING_RECEIPT</x:v>
      </x:c>
      <x:c r="V1507" s="12" t="str">
        <x:f>IF(J1507="DONE","RETURNED",IF(U1507="BLOCKED_PENDING_RECEIPT","SOURCE_TOUCH_REQUIRED","IN_PROGRESS"))</x:f>
        <x:v>SOURCE_TOUCH_REQUIRED</x:v>
      </x:c>
      <x:c r="W1507" s="12" t="str">
        <x:f>IF(P1507="Unverified","missing_receipt","receipt_logged")</x:f>
        <x:v>missing_receipt</x:v>
      </x:c>
      <x:c r="X1507" s="12" t="str">
        <x:f>IF(Q1507="Not checked","raw_status_missing","raw_status_logged")</x:f>
        <x:v>raw_status_missing</x:v>
      </x:c>
      <x:c r="Y1507" s="12" t="str">
        <x:f>IF(U1507="BLOCKED_PENDING_RECEIPT","Log source path or blocker; do not promote","Route to review lane")</x:f>
        <x:v>Log source path or blocker; do not promote</x:v>
      </x:c>
      <x:c r="Z1507" s="12" t="str">
        <x:f>IF(K1507="P0","Primary seat + Hashlight/Lucerna","Seat lane")</x:f>
        <x:v>Seat lane</x:v>
      </x:c>
      <x:c r="AA1507" s="12" t="str">
        <x:f>IF(R1507="","no_claim_delta","claim_delta_present")</x:f>
        <x:v>no_claim_delta</x:v>
      </x:c>
      <x:c r="AB1507" s="12" t="str">
        <x:f>IF(S1507="","no_contradiction_delta","contradiction_delta_present")</x:f>
        <x:v>no_contradiction_delta</x:v>
      </x:c>
      <x:c r="AC1507" s="12" t="str">
        <x:f>IF(OR(ISNUMBER(SEARCH("hacker",LOWER(F1507&amp;" "&amp;H1507&amp;" "&amp;I1507&amp;" "&amp;M1507&amp;" "&amp;N1507&amp;" "&amp;T1507))),ISNUMBER(SEARCH("hacking",LOWER(F1507&amp;" "&amp;H1507&amp;" "&amp;I1507&amp;" "&amp;M1507&amp;" "&amp;N1507&amp;" "&amp;T1507))),ISNUMBER(SEARCH("bank",LOWER(F1507&amp;" "&amp;H1507&amp;" "&amp;I1507&amp;" "&amp;M1507&amp;" "&amp;N1507&amp;" "&amp;T1507))),ISNUMBER(SEARCH("banking",LOWER(F1507&amp;" "&amp;H1507&amp;" "&amp;I1507&amp;" "&amp;M1507&amp;" "&amp;N1507&amp;" "&amp;T1507)))),"PRIVATE_QUARANTINE",IF(OR(ISNUMBER(SEARCH("treasury",LOWER(F1507&amp;" "&amp;H1507&amp;" "&amp;I1507&amp;" "&amp;M1507&amp;" "&amp;N1507&amp;" "&amp;T1507))),ISNUMBER(SEARCH("debt",LOWER(F1507&amp;" "&amp;H1507&amp;" "&amp;I1507&amp;" "&amp;M1507&amp;" "&amp;N1507&amp;" "&amp;T1507))),ISNUMBER(SEARCH("bond",LOWER(F1507&amp;" "&amp;H1507&amp;" "&amp;I1507&amp;" "&amp;M1507&amp;" "&amp;N1507&amp;" "&amp;T1507))),ISNUMBER(SEARCH("transaction",LOWER(F1507&amp;" "&amp;H1507&amp;" "&amp;I1507&amp;" "&amp;M1507&amp;" "&amp;N1507&amp;" "&amp;T1507)))),"PRIVATE_REVIEW","PUBLIC_CANDIDATE"))</x:f>
        <x:v>PUBLIC_CANDIDATE</x:v>
      </x:c>
      <x:c r="AD1507" s="12" t="str">
        <x:f>IF(AC1507="PRIVATE_QUARANTINE","hacker_or_bank_trigger",IF(AC1507="PRIVATE_REVIEW","finance_risk_trigger","none"))</x:f>
        <x:v>none</x:v>
      </x:c>
      <x:c r="AE1507" s="12" t="str">
        <x:f>IF(AC1507="PUBLIC_CANDIDATE","prepare_public_github_candidate",IF(AC1507="PRIVATE_REVIEW","hold_for_private_review","quarantine_private_do_not_publish"))</x:f>
        <x:v>prepare_public_github_candidate</x:v>
      </x:c>
      <x:c r="AF1507" s="12" t="str">
        <x:f>IF(AC1507="PUBLIC_CANDIDATE","TIDELOCK + Lucerna",IF(AC1507="PRIVATE_REVIEW","AtlasBrain + Lucerna","TIDELOCK + Lucerna + Human-root"))</x:f>
        <x:v>TIDELOCK + Lucerna</x:v>
      </x:c>
      <x:c r="AG1507" s="12" t="str">
        <x:f>IF(AND(AC1507="PUBLIC_CANDIDATE",U1507&lt;&gt;"BLOCKED_PENDING_RECEIPT"),"READY_AFTER_RECEIPT","NOT_READY")</x:f>
        <x:v>NOT_READY</x:v>
      </x:c>
      <x:c r="AH1507" s="12" t="str">
        <x:f>IF(AC1507="PUBLIC_CANDIDATE","none",AD1507)</x:f>
        <x:v>none</x:v>
      </x:c>
      <x:c r="AI1507" s="12" t="str">
        <x:f>IF(AC1507="PUBLIC_CANDIDATE","archive/public_candidates/"&amp;A1507,"private_quarantine/"&amp;A1507)</x:f>
        <x:v>archive/public_candidates/SWARM-11-H06-S06</x:v>
      </x:c>
      <x:c r="AJ1507" s="12" t="str">
        <x:f>IF(AC1507="PUBLIC_CANDIDATE","public by default; still not canon","private/hold; do not publish")</x:f>
        <x:v>public by default; still not canon</x:v>
      </x:c>
      <x:c r="AK1507" s="12" t="str">
        <x:f>IF(AE1507="prepare_public_github_candidate","add receipt/status then mirror","resolve blocker before any public GitHub action")</x:f>
        <x:v>add receipt/status then mirror</x:v>
      </x:c>
    </x:row>
    <x:row r="1508">
      <x:c r="A1508" s="15" t="str">
        <x:v>SWARM-11-H06-S07</x:v>
      </x:c>
      <x:c r="B1508" s="15" t="str">
        <x:v>ClaudeCatcher</x:v>
      </x:c>
      <x:c r="C1508" s="15" t="str">
        <x:v>Bullshit Olympics referee</x:v>
      </x:c>
      <x:c r="D1508" s="15" t="str">
        <x:v>Ontology / Schema</x:v>
      </x:c>
      <x:c r="E1508" s="15" t="str">
        <x:v>Planetarium</x:v>
      </x:c>
      <x:c r="F1508" s="15" t="str">
        <x:v>Schema-map Planetarium — ClaudeCatcher</x:v>
      </x:c>
      <x:c r="G1508" s="15" t="str">
        <x:v>adversarial claims / model overclaim detection</x:v>
      </x:c>
      <x:c r="H1508" s="15" t="str">
        <x:v>source path + receipt + raw/export status + claim/edge/risk delta</x:v>
      </x:c>
      <x:c r="I1508" s="15" t="str">
        <x:v>packet/SWARM-11-H06-S07</x:v>
      </x:c>
      <x:c r="J1508" s="15" t="str">
        <x:v>TODO</x:v>
      </x:c>
      <x:c r="K1508" s="15" t="str">
        <x:v>P1</x:v>
      </x:c>
      <x:c r="L1508" s="15" t="str">
        <x:v>Done only when evidence is logged, contradiction search is noted, and boundary stamp remains non-canon unless ratified</x:v>
      </x:c>
      <x:c r="M1508" s="15" t="str">
        <x:v>candidate / staging-only / not canon / not deployed / authority none</x:v>
      </x:c>
      <x:c r="N1508" s="15" t="str">
        <x:v>Dispatch to ClaudeCatcher: complete Ontology / Schema x Planetarium; return deltas only, receipts required.</x:v>
      </x:c>
      <x:c r="O1508" s="15" t="str">
        <x:v>AF-KG-H06-S07</x:v>
      </x:c>
      <x:c r="P1508" s="15" t="str">
        <x:v>Unverified</x:v>
      </x:c>
      <x:c r="Q1508" s="15" t="str">
        <x:v>Not checked</x:v>
      </x:c>
      <x:c r="R1508" s="15" t="str"/>
      <x:c r="S1508" s="15" t="str"/>
      <x:c r="T1508" s="15" t="str">
        <x:v>Log first source path or blocker</x:v>
      </x:c>
      <x:c r="U1508" s="12" t="str">
        <x:f>IF(OR(P1508="Unverified",Q1508="Not checked"),"BLOCKED_PENDING_RECEIPT","READY_FOR_REVIEW")</x:f>
        <x:v>BLOCKED_PENDING_RECEIPT</x:v>
      </x:c>
      <x:c r="V1508" s="12" t="str">
        <x:f>IF(J1508="DONE","RETURNED",IF(U1508="BLOCKED_PENDING_RECEIPT","SOURCE_TOUCH_REQUIRED","IN_PROGRESS"))</x:f>
        <x:v>SOURCE_TOUCH_REQUIRED</x:v>
      </x:c>
      <x:c r="W1508" s="12" t="str">
        <x:f>IF(P1508="Unverified","missing_receipt","receipt_logged")</x:f>
        <x:v>missing_receipt</x:v>
      </x:c>
      <x:c r="X1508" s="12" t="str">
        <x:f>IF(Q1508="Not checked","raw_status_missing","raw_status_logged")</x:f>
        <x:v>raw_status_missing</x:v>
      </x:c>
      <x:c r="Y1508" s="12" t="str">
        <x:f>IF(U1508="BLOCKED_PENDING_RECEIPT","Log source path or blocker; do not promote","Route to review lane")</x:f>
        <x:v>Log source path or blocker; do not promote</x:v>
      </x:c>
      <x:c r="Z1508" s="12" t="str">
        <x:f>IF(K1508="P0","Primary seat + Hashlight/Lucerna","Seat lane")</x:f>
        <x:v>Seat lane</x:v>
      </x:c>
      <x:c r="AA1508" s="12" t="str">
        <x:f>IF(R1508="","no_claim_delta","claim_delta_present")</x:f>
        <x:v>no_claim_delta</x:v>
      </x:c>
      <x:c r="AB1508" s="12" t="str">
        <x:f>IF(S1508="","no_contradiction_delta","contradiction_delta_present")</x:f>
        <x:v>no_contradiction_delta</x:v>
      </x:c>
      <x:c r="AC1508" s="12" t="str">
        <x:f>IF(OR(ISNUMBER(SEARCH("hacker",LOWER(F1508&amp;" "&amp;H1508&amp;" "&amp;I1508&amp;" "&amp;M1508&amp;" "&amp;N1508&amp;" "&amp;T1508))),ISNUMBER(SEARCH("hacking",LOWER(F1508&amp;" "&amp;H1508&amp;" "&amp;I1508&amp;" "&amp;M1508&amp;" "&amp;N1508&amp;" "&amp;T1508))),ISNUMBER(SEARCH("bank",LOWER(F1508&amp;" "&amp;H1508&amp;" "&amp;I1508&amp;" "&amp;M1508&amp;" "&amp;N1508&amp;" "&amp;T1508))),ISNUMBER(SEARCH("banking",LOWER(F1508&amp;" "&amp;H1508&amp;" "&amp;I1508&amp;" "&amp;M1508&amp;" "&amp;N1508&amp;" "&amp;T1508)))),"PRIVATE_QUARANTINE",IF(OR(ISNUMBER(SEARCH("treasury",LOWER(F1508&amp;" "&amp;H1508&amp;" "&amp;I1508&amp;" "&amp;M1508&amp;" "&amp;N1508&amp;" "&amp;T1508))),ISNUMBER(SEARCH("debt",LOWER(F1508&amp;" "&amp;H1508&amp;" "&amp;I1508&amp;" "&amp;M1508&amp;" "&amp;N1508&amp;" "&amp;T1508))),ISNUMBER(SEARCH("bond",LOWER(F1508&amp;" "&amp;H1508&amp;" "&amp;I1508&amp;" "&amp;M1508&amp;" "&amp;N1508&amp;" "&amp;T1508))),ISNUMBER(SEARCH("transaction",LOWER(F1508&amp;" "&amp;H1508&amp;" "&amp;I1508&amp;" "&amp;M1508&amp;" "&amp;N1508&amp;" "&amp;T1508)))),"PRIVATE_REVIEW","PUBLIC_CANDIDATE"))</x:f>
        <x:v>PUBLIC_CANDIDATE</x:v>
      </x:c>
      <x:c r="AD1508" s="12" t="str">
        <x:f>IF(AC1508="PRIVATE_QUARANTINE","hacker_or_bank_trigger",IF(AC1508="PRIVATE_REVIEW","finance_risk_trigger","none"))</x:f>
        <x:v>none</x:v>
      </x:c>
      <x:c r="AE1508" s="12" t="str">
        <x:f>IF(AC1508="PUBLIC_CANDIDATE","prepare_public_github_candidate",IF(AC1508="PRIVATE_REVIEW","hold_for_private_review","quarantine_private_do_not_publish"))</x:f>
        <x:v>prepare_public_github_candidate</x:v>
      </x:c>
      <x:c r="AF1508" s="12" t="str">
        <x:f>IF(AC1508="PUBLIC_CANDIDATE","TIDELOCK + Lucerna",IF(AC1508="PRIVATE_REVIEW","AtlasBrain + Lucerna","TIDELOCK + Lucerna + Human-root"))</x:f>
        <x:v>TIDELOCK + Lucerna</x:v>
      </x:c>
      <x:c r="AG1508" s="12" t="str">
        <x:f>IF(AND(AC1508="PUBLIC_CANDIDATE",U1508&lt;&gt;"BLOCKED_PENDING_RECEIPT"),"READY_AFTER_RECEIPT","NOT_READY")</x:f>
        <x:v>NOT_READY</x:v>
      </x:c>
      <x:c r="AH1508" s="12" t="str">
        <x:f>IF(AC1508="PUBLIC_CANDIDATE","none",AD1508)</x:f>
        <x:v>none</x:v>
      </x:c>
      <x:c r="AI1508" s="12" t="str">
        <x:f>IF(AC1508="PUBLIC_CANDIDATE","archive/public_candidates/"&amp;A1508,"private_quarantine/"&amp;A1508)</x:f>
        <x:v>archive/public_candidates/SWARM-11-H06-S07</x:v>
      </x:c>
      <x:c r="AJ1508" s="12" t="str">
        <x:f>IF(AC1508="PUBLIC_CANDIDATE","public by default; still not canon","private/hold; do not publish")</x:f>
        <x:v>public by default; still not canon</x:v>
      </x:c>
      <x:c r="AK1508" s="12" t="str">
        <x:f>IF(AE1508="prepare_public_github_candidate","add receipt/status then mirror","resolve blocker before any public GitHub action")</x:f>
        <x:v>add receipt/status then mirror</x:v>
      </x:c>
    </x:row>
    <x:row r="1509">
      <x:c r="A1509" s="15" t="str">
        <x:v>SWARM-11-H06-S08</x:v>
      </x:c>
      <x:c r="B1509" s="15" t="str">
        <x:v>ClaudeCatcher</x:v>
      </x:c>
      <x:c r="C1509" s="15" t="str">
        <x:v>Bullshit Olympics referee</x:v>
      </x:c>
      <x:c r="D1509" s="15" t="str">
        <x:v>Ontology / Schema</x:v>
      </x:c>
      <x:c r="E1509" s="15" t="str">
        <x:v>Sheldonbrain</x:v>
      </x:c>
      <x:c r="F1509" s="15" t="str">
        <x:v>Schema-map Sheldonbrain — ClaudeCatcher</x:v>
      </x:c>
      <x:c r="G1509" s="15" t="str">
        <x:v>adversarial claims / model overclaim detection</x:v>
      </x:c>
      <x:c r="H1509" s="15" t="str">
        <x:v>source path + receipt + raw/export status + claim/edge/risk delta</x:v>
      </x:c>
      <x:c r="I1509" s="15" t="str">
        <x:v>packet/SWARM-11-H06-S08</x:v>
      </x:c>
      <x:c r="J1509" s="15" t="str">
        <x:v>TODO</x:v>
      </x:c>
      <x:c r="K1509" s="15" t="str">
        <x:v>P1</x:v>
      </x:c>
      <x:c r="L1509" s="15" t="str">
        <x:v>Done only when evidence is logged, contradiction search is noted, and boundary stamp remains non-canon unless ratified</x:v>
      </x:c>
      <x:c r="M1509" s="15" t="str">
        <x:v>candidate / staging-only / not canon / not deployed / authority none</x:v>
      </x:c>
      <x:c r="N1509" s="15" t="str">
        <x:v>Dispatch to ClaudeCatcher: complete Ontology / Schema x Sheldonbrain; return deltas only, receipts required.</x:v>
      </x:c>
      <x:c r="O1509" s="15" t="str">
        <x:v>AF-KG-H06-S08</x:v>
      </x:c>
      <x:c r="P1509" s="15" t="str">
        <x:v>Unverified</x:v>
      </x:c>
      <x:c r="Q1509" s="15" t="str">
        <x:v>Not checked</x:v>
      </x:c>
      <x:c r="R1509" s="15" t="str"/>
      <x:c r="S1509" s="15" t="str"/>
      <x:c r="T1509" s="15" t="str">
        <x:v>Log first source path or blocker</x:v>
      </x:c>
      <x:c r="U1509" s="12" t="str">
        <x:f>IF(OR(P1509="Unverified",Q1509="Not checked"),"BLOCKED_PENDING_RECEIPT","READY_FOR_REVIEW")</x:f>
        <x:v>BLOCKED_PENDING_RECEIPT</x:v>
      </x:c>
      <x:c r="V1509" s="12" t="str">
        <x:f>IF(J1509="DONE","RETURNED",IF(U1509="BLOCKED_PENDING_RECEIPT","SOURCE_TOUCH_REQUIRED","IN_PROGRESS"))</x:f>
        <x:v>SOURCE_TOUCH_REQUIRED</x:v>
      </x:c>
      <x:c r="W1509" s="12" t="str">
        <x:f>IF(P1509="Unverified","missing_receipt","receipt_logged")</x:f>
        <x:v>missing_receipt</x:v>
      </x:c>
      <x:c r="X1509" s="12" t="str">
        <x:f>IF(Q1509="Not checked","raw_status_missing","raw_status_logged")</x:f>
        <x:v>raw_status_missing</x:v>
      </x:c>
      <x:c r="Y1509" s="12" t="str">
        <x:f>IF(U1509="BLOCKED_PENDING_RECEIPT","Log source path or blocker; do not promote","Route to review lane")</x:f>
        <x:v>Log source path or blocker; do not promote</x:v>
      </x:c>
      <x:c r="Z1509" s="12" t="str">
        <x:f>IF(K1509="P0","Primary seat + Hashlight/Lucerna","Seat lane")</x:f>
        <x:v>Seat lane</x:v>
      </x:c>
      <x:c r="AA1509" s="12" t="str">
        <x:f>IF(R1509="","no_claim_delta","claim_delta_present")</x:f>
        <x:v>no_claim_delta</x:v>
      </x:c>
      <x:c r="AB1509" s="12" t="str">
        <x:f>IF(S1509="","no_contradiction_delta","contradiction_delta_present")</x:f>
        <x:v>no_contradiction_delta</x:v>
      </x:c>
      <x:c r="AC1509" s="12" t="str">
        <x:f>IF(OR(ISNUMBER(SEARCH("hacker",LOWER(F1509&amp;" "&amp;H1509&amp;" "&amp;I1509&amp;" "&amp;M1509&amp;" "&amp;N1509&amp;" "&amp;T1509))),ISNUMBER(SEARCH("hacking",LOWER(F1509&amp;" "&amp;H1509&amp;" "&amp;I1509&amp;" "&amp;M1509&amp;" "&amp;N1509&amp;" "&amp;T1509))),ISNUMBER(SEARCH("bank",LOWER(F1509&amp;" "&amp;H1509&amp;" "&amp;I1509&amp;" "&amp;M1509&amp;" "&amp;N1509&amp;" "&amp;T1509))),ISNUMBER(SEARCH("banking",LOWER(F1509&amp;" "&amp;H1509&amp;" "&amp;I1509&amp;" "&amp;M1509&amp;" "&amp;N1509&amp;" "&amp;T1509)))),"PRIVATE_QUARANTINE",IF(OR(ISNUMBER(SEARCH("treasury",LOWER(F1509&amp;" "&amp;H1509&amp;" "&amp;I1509&amp;" "&amp;M1509&amp;" "&amp;N1509&amp;" "&amp;T1509))),ISNUMBER(SEARCH("debt",LOWER(F1509&amp;" "&amp;H1509&amp;" "&amp;I1509&amp;" "&amp;M1509&amp;" "&amp;N1509&amp;" "&amp;T1509))),ISNUMBER(SEARCH("bond",LOWER(F1509&amp;" "&amp;H1509&amp;" "&amp;I1509&amp;" "&amp;M1509&amp;" "&amp;N1509&amp;" "&amp;T1509))),ISNUMBER(SEARCH("transaction",LOWER(F1509&amp;" "&amp;H1509&amp;" "&amp;I1509&amp;" "&amp;M1509&amp;" "&amp;N1509&amp;" "&amp;T1509)))),"PRIVATE_REVIEW","PUBLIC_CANDIDATE"))</x:f>
        <x:v>PUBLIC_CANDIDATE</x:v>
      </x:c>
      <x:c r="AD1509" s="12" t="str">
        <x:f>IF(AC1509="PRIVATE_QUARANTINE","hacker_or_bank_trigger",IF(AC1509="PRIVATE_REVIEW","finance_risk_trigger","none"))</x:f>
        <x:v>none</x:v>
      </x:c>
      <x:c r="AE1509" s="12" t="str">
        <x:f>IF(AC1509="PUBLIC_CANDIDATE","prepare_public_github_candidate",IF(AC1509="PRIVATE_REVIEW","hold_for_private_review","quarantine_private_do_not_publish"))</x:f>
        <x:v>prepare_public_github_candidate</x:v>
      </x:c>
      <x:c r="AF1509" s="12" t="str">
        <x:f>IF(AC1509="PUBLIC_CANDIDATE","TIDELOCK + Lucerna",IF(AC1509="PRIVATE_REVIEW","AtlasBrain + Lucerna","TIDELOCK + Lucerna + Human-root"))</x:f>
        <x:v>TIDELOCK + Lucerna</x:v>
      </x:c>
      <x:c r="AG1509" s="12" t="str">
        <x:f>IF(AND(AC1509="PUBLIC_CANDIDATE",U1509&lt;&gt;"BLOCKED_PENDING_RECEIPT"),"READY_AFTER_RECEIPT","NOT_READY")</x:f>
        <x:v>NOT_READY</x:v>
      </x:c>
      <x:c r="AH1509" s="12" t="str">
        <x:f>IF(AC1509="PUBLIC_CANDIDATE","none",AD1509)</x:f>
        <x:v>none</x:v>
      </x:c>
      <x:c r="AI1509" s="12" t="str">
        <x:f>IF(AC1509="PUBLIC_CANDIDATE","archive/public_candidates/"&amp;A1509,"private_quarantine/"&amp;A1509)</x:f>
        <x:v>archive/public_candidates/SWARM-11-H06-S08</x:v>
      </x:c>
      <x:c r="AJ1509" s="12" t="str">
        <x:f>IF(AC1509="PUBLIC_CANDIDATE","public by default; still not canon","private/hold; do not publish")</x:f>
        <x:v>public by default; still not canon</x:v>
      </x:c>
      <x:c r="AK1509" s="12" t="str">
        <x:f>IF(AE1509="prepare_public_github_candidate","add receipt/status then mirror","resolve blocker before any public GitHub action")</x:f>
        <x:v>add receipt/status then mirror</x:v>
      </x:c>
    </x:row>
    <x:row r="1510">
      <x:c r="A1510" s="15" t="str">
        <x:v>SWARM-11-H06-S09</x:v>
      </x:c>
      <x:c r="B1510" s="15" t="str">
        <x:v>ClaudeCatcher</x:v>
      </x:c>
      <x:c r="C1510" s="15" t="str">
        <x:v>Bullshit Olympics referee</x:v>
      </x:c>
      <x:c r="D1510" s="15" t="str">
        <x:v>Ontology / Schema</x:v>
      </x:c>
      <x:c r="E1510" s="15" t="str">
        <x:v>Aetherforge</x:v>
      </x:c>
      <x:c r="F1510" s="15" t="str">
        <x:v>Schema-map Aetherforge — ClaudeCatcher</x:v>
      </x:c>
      <x:c r="G1510" s="15" t="str">
        <x:v>adversarial claims / model overclaim detection</x:v>
      </x:c>
      <x:c r="H1510" s="15" t="str">
        <x:v>source path + receipt + raw/export status + claim/edge/risk delta</x:v>
      </x:c>
      <x:c r="I1510" s="15" t="str">
        <x:v>packet/SWARM-11-H06-S09</x:v>
      </x:c>
      <x:c r="J1510" s="15" t="str">
        <x:v>TODO</x:v>
      </x:c>
      <x:c r="K1510" s="15" t="str">
        <x:v>P2</x:v>
      </x:c>
      <x:c r="L1510" s="15" t="str">
        <x:v>Done only when evidence is logged, contradiction search is noted, and boundary stamp remains non-canon unless ratified</x:v>
      </x:c>
      <x:c r="M1510" s="15" t="str">
        <x:v>candidate / staging-only / not canon / not deployed / authority none</x:v>
      </x:c>
      <x:c r="N1510" s="15" t="str">
        <x:v>Dispatch to ClaudeCatcher: complete Ontology / Schema x Aetherforge; return deltas only, receipts required.</x:v>
      </x:c>
      <x:c r="O1510" s="15" t="str">
        <x:v>AF-KG-H06-S09</x:v>
      </x:c>
      <x:c r="P1510" s="15" t="str">
        <x:v>Unverified</x:v>
      </x:c>
      <x:c r="Q1510" s="15" t="str">
        <x:v>Not checked</x:v>
      </x:c>
      <x:c r="R1510" s="15" t="str"/>
      <x:c r="S1510" s="15" t="str"/>
      <x:c r="T1510" s="15" t="str">
        <x:v>Log first source path or blocker</x:v>
      </x:c>
      <x:c r="U1510" s="12" t="str">
        <x:f>IF(OR(P1510="Unverified",Q1510="Not checked"),"BLOCKED_PENDING_RECEIPT","READY_FOR_REVIEW")</x:f>
        <x:v>BLOCKED_PENDING_RECEIPT</x:v>
      </x:c>
      <x:c r="V1510" s="12" t="str">
        <x:f>IF(J1510="DONE","RETURNED",IF(U1510="BLOCKED_PENDING_RECEIPT","SOURCE_TOUCH_REQUIRED","IN_PROGRESS"))</x:f>
        <x:v>SOURCE_TOUCH_REQUIRED</x:v>
      </x:c>
      <x:c r="W1510" s="12" t="str">
        <x:f>IF(P1510="Unverified","missing_receipt","receipt_logged")</x:f>
        <x:v>missing_receipt</x:v>
      </x:c>
      <x:c r="X1510" s="12" t="str">
        <x:f>IF(Q1510="Not checked","raw_status_missing","raw_status_logged")</x:f>
        <x:v>raw_status_missing</x:v>
      </x:c>
      <x:c r="Y1510" s="12" t="str">
        <x:f>IF(U1510="BLOCKED_PENDING_RECEIPT","Log source path or blocker; do not promote","Route to review lane")</x:f>
        <x:v>Log source path or blocker; do not promote</x:v>
      </x:c>
      <x:c r="Z1510" s="12" t="str">
        <x:f>IF(K1510="P0","Primary seat + Hashlight/Lucerna","Seat lane")</x:f>
        <x:v>Seat lane</x:v>
      </x:c>
      <x:c r="AA1510" s="12" t="str">
        <x:f>IF(R1510="","no_claim_delta","claim_delta_present")</x:f>
        <x:v>no_claim_delta</x:v>
      </x:c>
      <x:c r="AB1510" s="12" t="str">
        <x:f>IF(S1510="","no_contradiction_delta","contradiction_delta_present")</x:f>
        <x:v>no_contradiction_delta</x:v>
      </x:c>
      <x:c r="AC1510" s="12" t="str">
        <x:f>IF(OR(ISNUMBER(SEARCH("hacker",LOWER(F1510&amp;" "&amp;H1510&amp;" "&amp;I1510&amp;" "&amp;M1510&amp;" "&amp;N1510&amp;" "&amp;T1510))),ISNUMBER(SEARCH("hacking",LOWER(F1510&amp;" "&amp;H1510&amp;" "&amp;I1510&amp;" "&amp;M1510&amp;" "&amp;N1510&amp;" "&amp;T1510))),ISNUMBER(SEARCH("bank",LOWER(F1510&amp;" "&amp;H1510&amp;" "&amp;I1510&amp;" "&amp;M1510&amp;" "&amp;N1510&amp;" "&amp;T1510))),ISNUMBER(SEARCH("banking",LOWER(F1510&amp;" "&amp;H1510&amp;" "&amp;I1510&amp;" "&amp;M1510&amp;" "&amp;N1510&amp;" "&amp;T1510)))),"PRIVATE_QUARANTINE",IF(OR(ISNUMBER(SEARCH("treasury",LOWER(F1510&amp;" "&amp;H1510&amp;" "&amp;I1510&amp;" "&amp;M1510&amp;" "&amp;N1510&amp;" "&amp;T1510))),ISNUMBER(SEARCH("debt",LOWER(F1510&amp;" "&amp;H1510&amp;" "&amp;I1510&amp;" "&amp;M1510&amp;" "&amp;N1510&amp;" "&amp;T1510))),ISNUMBER(SEARCH("bond",LOWER(F1510&amp;" "&amp;H1510&amp;" "&amp;I1510&amp;" "&amp;M1510&amp;" "&amp;N1510&amp;" "&amp;T1510))),ISNUMBER(SEARCH("transaction",LOWER(F1510&amp;" "&amp;H1510&amp;" "&amp;I1510&amp;" "&amp;M1510&amp;" "&amp;N1510&amp;" "&amp;T1510)))),"PRIVATE_REVIEW","PUBLIC_CANDIDATE"))</x:f>
        <x:v>PUBLIC_CANDIDATE</x:v>
      </x:c>
      <x:c r="AD1510" s="12" t="str">
        <x:f>IF(AC1510="PRIVATE_QUARANTINE","hacker_or_bank_trigger",IF(AC1510="PRIVATE_REVIEW","finance_risk_trigger","none"))</x:f>
        <x:v>none</x:v>
      </x:c>
      <x:c r="AE1510" s="12" t="str">
        <x:f>IF(AC1510="PUBLIC_CANDIDATE","prepare_public_github_candidate",IF(AC1510="PRIVATE_REVIEW","hold_for_private_review","quarantine_private_do_not_publish"))</x:f>
        <x:v>prepare_public_github_candidate</x:v>
      </x:c>
      <x:c r="AF1510" s="12" t="str">
        <x:f>IF(AC1510="PUBLIC_CANDIDATE","TIDELOCK + Lucerna",IF(AC1510="PRIVATE_REVIEW","AtlasBrain + Lucerna","TIDELOCK + Lucerna + Human-root"))</x:f>
        <x:v>TIDELOCK + Lucerna</x:v>
      </x:c>
      <x:c r="AG1510" s="12" t="str">
        <x:f>IF(AND(AC1510="PUBLIC_CANDIDATE",U1510&lt;&gt;"BLOCKED_PENDING_RECEIPT"),"READY_AFTER_RECEIPT","NOT_READY")</x:f>
        <x:v>NOT_READY</x:v>
      </x:c>
      <x:c r="AH1510" s="12" t="str">
        <x:f>IF(AC1510="PUBLIC_CANDIDATE","none",AD1510)</x:f>
        <x:v>none</x:v>
      </x:c>
      <x:c r="AI1510" s="12" t="str">
        <x:f>IF(AC1510="PUBLIC_CANDIDATE","archive/public_candidates/"&amp;A1510,"private_quarantine/"&amp;A1510)</x:f>
        <x:v>archive/public_candidates/SWARM-11-H06-S09</x:v>
      </x:c>
      <x:c r="AJ1510" s="12" t="str">
        <x:f>IF(AC1510="PUBLIC_CANDIDATE","public by default; still not canon","private/hold; do not publish")</x:f>
        <x:v>public by default; still not canon</x:v>
      </x:c>
      <x:c r="AK1510" s="12" t="str">
        <x:f>IF(AE1510="prepare_public_github_candidate","add receipt/status then mirror","resolve blocker before any public GitHub action")</x:f>
        <x:v>add receipt/status then mirror</x:v>
      </x:c>
    </x:row>
    <x:row r="1511">
      <x:c r="A1511" s="15" t="str">
        <x:v>SWARM-11-H06-S10</x:v>
      </x:c>
      <x:c r="B1511" s="15" t="str">
        <x:v>ClaudeCatcher</x:v>
      </x:c>
      <x:c r="C1511" s="15" t="str">
        <x:v>Bullshit Olympics referee</x:v>
      </x:c>
      <x:c r="D1511" s="15" t="str">
        <x:v>Ontology / Schema</x:v>
      </x:c>
      <x:c r="E1511" s="15" t="str">
        <x:v>Human-Root</x:v>
      </x:c>
      <x:c r="F1511" s="15" t="str">
        <x:v>Schema-map Human-Root — ClaudeCatcher</x:v>
      </x:c>
      <x:c r="G1511" s="15" t="str">
        <x:v>adversarial claims / model overclaim detection</x:v>
      </x:c>
      <x:c r="H1511" s="15" t="str">
        <x:v>source path + receipt + raw/export status + claim/edge/risk delta</x:v>
      </x:c>
      <x:c r="I1511" s="15" t="str">
        <x:v>packet/SWARM-11-H06-S10</x:v>
      </x:c>
      <x:c r="J1511" s="15" t="str">
        <x:v>TODO</x:v>
      </x:c>
      <x:c r="K1511" s="15" t="str">
        <x:v>P2</x:v>
      </x:c>
      <x:c r="L1511" s="15" t="str">
        <x:v>Done only when evidence is logged, contradiction search is noted, and boundary stamp remains non-canon unless ratified</x:v>
      </x:c>
      <x:c r="M1511" s="15" t="str">
        <x:v>candidate / staging-only / not canon / not deployed / authority none</x:v>
      </x:c>
      <x:c r="N1511" s="15" t="str">
        <x:v>Dispatch to ClaudeCatcher: complete Ontology / Schema x Human-Root; return deltas only, receipts required.</x:v>
      </x:c>
      <x:c r="O1511" s="15" t="str">
        <x:v>AF-KG-H06-S10</x:v>
      </x:c>
      <x:c r="P1511" s="15" t="str">
        <x:v>Unverified</x:v>
      </x:c>
      <x:c r="Q1511" s="15" t="str">
        <x:v>Not checked</x:v>
      </x:c>
      <x:c r="R1511" s="15" t="str"/>
      <x:c r="S1511" s="15" t="str"/>
      <x:c r="T1511" s="15" t="str">
        <x:v>Log first source path or blocker</x:v>
      </x:c>
      <x:c r="U1511" s="12" t="str">
        <x:f>IF(OR(P1511="Unverified",Q1511="Not checked"),"BLOCKED_PENDING_RECEIPT","READY_FOR_REVIEW")</x:f>
        <x:v>BLOCKED_PENDING_RECEIPT</x:v>
      </x:c>
      <x:c r="V1511" s="12" t="str">
        <x:f>IF(J1511="DONE","RETURNED",IF(U1511="BLOCKED_PENDING_RECEIPT","SOURCE_TOUCH_REQUIRED","IN_PROGRESS"))</x:f>
        <x:v>SOURCE_TOUCH_REQUIRED</x:v>
      </x:c>
      <x:c r="W1511" s="12" t="str">
        <x:f>IF(P1511="Unverified","missing_receipt","receipt_logged")</x:f>
        <x:v>missing_receipt</x:v>
      </x:c>
      <x:c r="X1511" s="12" t="str">
        <x:f>IF(Q1511="Not checked","raw_status_missing","raw_status_logged")</x:f>
        <x:v>raw_status_missing</x:v>
      </x:c>
      <x:c r="Y1511" s="12" t="str">
        <x:f>IF(U1511="BLOCKED_PENDING_RECEIPT","Log source path or blocker; do not promote","Route to review lane")</x:f>
        <x:v>Log source path or blocker; do not promote</x:v>
      </x:c>
      <x:c r="Z1511" s="12" t="str">
        <x:f>IF(K1511="P0","Primary seat + Hashlight/Lucerna","Seat lane")</x:f>
        <x:v>Seat lane</x:v>
      </x:c>
      <x:c r="AA1511" s="12" t="str">
        <x:f>IF(R1511="","no_claim_delta","claim_delta_present")</x:f>
        <x:v>no_claim_delta</x:v>
      </x:c>
      <x:c r="AB1511" s="12" t="str">
        <x:f>IF(S1511="","no_contradiction_delta","contradiction_delta_present")</x:f>
        <x:v>no_contradiction_delta</x:v>
      </x:c>
      <x:c r="AC1511" s="12" t="str">
        <x:f>IF(OR(ISNUMBER(SEARCH("hacker",LOWER(F1511&amp;" "&amp;H1511&amp;" "&amp;I1511&amp;" "&amp;M1511&amp;" "&amp;N1511&amp;" "&amp;T1511))),ISNUMBER(SEARCH("hacking",LOWER(F1511&amp;" "&amp;H1511&amp;" "&amp;I1511&amp;" "&amp;M1511&amp;" "&amp;N1511&amp;" "&amp;T1511))),ISNUMBER(SEARCH("bank",LOWER(F1511&amp;" "&amp;H1511&amp;" "&amp;I1511&amp;" "&amp;M1511&amp;" "&amp;N1511&amp;" "&amp;T1511))),ISNUMBER(SEARCH("banking",LOWER(F1511&amp;" "&amp;H1511&amp;" "&amp;I1511&amp;" "&amp;M1511&amp;" "&amp;N1511&amp;" "&amp;T1511)))),"PRIVATE_QUARANTINE",IF(OR(ISNUMBER(SEARCH("treasury",LOWER(F1511&amp;" "&amp;H1511&amp;" "&amp;I1511&amp;" "&amp;M1511&amp;" "&amp;N1511&amp;" "&amp;T1511))),ISNUMBER(SEARCH("debt",LOWER(F1511&amp;" "&amp;H1511&amp;" "&amp;I1511&amp;" "&amp;M1511&amp;" "&amp;N1511&amp;" "&amp;T1511))),ISNUMBER(SEARCH("bond",LOWER(F1511&amp;" "&amp;H1511&amp;" "&amp;I1511&amp;" "&amp;M1511&amp;" "&amp;N1511&amp;" "&amp;T1511))),ISNUMBER(SEARCH("transaction",LOWER(F1511&amp;" "&amp;H1511&amp;" "&amp;I1511&amp;" "&amp;M1511&amp;" "&amp;N1511&amp;" "&amp;T1511)))),"PRIVATE_REVIEW","PUBLIC_CANDIDATE"))</x:f>
        <x:v>PUBLIC_CANDIDATE</x:v>
      </x:c>
      <x:c r="AD1511" s="12" t="str">
        <x:f>IF(AC1511="PRIVATE_QUARANTINE","hacker_or_bank_trigger",IF(AC1511="PRIVATE_REVIEW","finance_risk_trigger","none"))</x:f>
        <x:v>none</x:v>
      </x:c>
      <x:c r="AE1511" s="12" t="str">
        <x:f>IF(AC1511="PUBLIC_CANDIDATE","prepare_public_github_candidate",IF(AC1511="PRIVATE_REVIEW","hold_for_private_review","quarantine_private_do_not_publish"))</x:f>
        <x:v>prepare_public_github_candidate</x:v>
      </x:c>
      <x:c r="AF1511" s="12" t="str">
        <x:f>IF(AC1511="PUBLIC_CANDIDATE","TIDELOCK + Lucerna",IF(AC1511="PRIVATE_REVIEW","AtlasBrain + Lucerna","TIDELOCK + Lucerna + Human-root"))</x:f>
        <x:v>TIDELOCK + Lucerna</x:v>
      </x:c>
      <x:c r="AG1511" s="12" t="str">
        <x:f>IF(AND(AC1511="PUBLIC_CANDIDATE",U1511&lt;&gt;"BLOCKED_PENDING_RECEIPT"),"READY_AFTER_RECEIPT","NOT_READY")</x:f>
        <x:v>NOT_READY</x:v>
      </x:c>
      <x:c r="AH1511" s="12" t="str">
        <x:f>IF(AC1511="PUBLIC_CANDIDATE","none",AD1511)</x:f>
        <x:v>none</x:v>
      </x:c>
      <x:c r="AI1511" s="12" t="str">
        <x:f>IF(AC1511="PUBLIC_CANDIDATE","archive/public_candidates/"&amp;A1511,"private_quarantine/"&amp;A1511)</x:f>
        <x:v>archive/public_candidates/SWARM-11-H06-S10</x:v>
      </x:c>
      <x:c r="AJ1511" s="12" t="str">
        <x:f>IF(AC1511="PUBLIC_CANDIDATE","public by default; still not canon","private/hold; do not publish")</x:f>
        <x:v>public by default; still not canon</x:v>
      </x:c>
      <x:c r="AK1511" s="12" t="str">
        <x:f>IF(AE1511="prepare_public_github_candidate","add receipt/status then mirror","resolve blocker before any public GitHub action")</x:f>
        <x:v>add receipt/status then mirror</x:v>
      </x:c>
    </x:row>
    <x:row r="1512">
      <x:c r="A1512" s="15" t="str">
        <x:v>SWARM-11-H06-S11</x:v>
      </x:c>
      <x:c r="B1512" s="15" t="str">
        <x:v>ClaudeCatcher</x:v>
      </x:c>
      <x:c r="C1512" s="15" t="str">
        <x:v>Bullshit Olympics referee</x:v>
      </x:c>
      <x:c r="D1512" s="15" t="str">
        <x:v>Ontology / Schema</x:v>
      </x:c>
      <x:c r="E1512" s="15" t="str">
        <x:v>Automation</x:v>
      </x:c>
      <x:c r="F1512" s="15" t="str">
        <x:v>Schema-map Automation — ClaudeCatcher</x:v>
      </x:c>
      <x:c r="G1512" s="15" t="str">
        <x:v>adversarial claims / model overclaim detection</x:v>
      </x:c>
      <x:c r="H1512" s="15" t="str">
        <x:v>source path + receipt + raw/export status + claim/edge/risk delta</x:v>
      </x:c>
      <x:c r="I1512" s="15" t="str">
        <x:v>packet/SWARM-11-H06-S11</x:v>
      </x:c>
      <x:c r="J1512" s="15" t="str">
        <x:v>TODO</x:v>
      </x:c>
      <x:c r="K1512" s="15" t="str">
        <x:v>P2</x:v>
      </x:c>
      <x:c r="L1512" s="15" t="str">
        <x:v>Done only when evidence is logged, contradiction search is noted, and boundary stamp remains non-canon unless ratified</x:v>
      </x:c>
      <x:c r="M1512" s="15" t="str">
        <x:v>candidate / staging-only / not canon / not deployed / authority none</x:v>
      </x:c>
      <x:c r="N1512" s="15" t="str">
        <x:v>Dispatch to ClaudeCatcher: complete Ontology / Schema x Automation; return deltas only, receipts required.</x:v>
      </x:c>
      <x:c r="O1512" s="15" t="str">
        <x:v>AF-KG-H06-S11</x:v>
      </x:c>
      <x:c r="P1512" s="15" t="str">
        <x:v>Unverified</x:v>
      </x:c>
      <x:c r="Q1512" s="15" t="str">
        <x:v>Not checked</x:v>
      </x:c>
      <x:c r="R1512" s="15" t="str"/>
      <x:c r="S1512" s="15" t="str"/>
      <x:c r="T1512" s="15" t="str">
        <x:v>Log first source path or blocker</x:v>
      </x:c>
      <x:c r="U1512" s="12" t="str">
        <x:f>IF(OR(P1512="Unverified",Q1512="Not checked"),"BLOCKED_PENDING_RECEIPT","READY_FOR_REVIEW")</x:f>
        <x:v>BLOCKED_PENDING_RECEIPT</x:v>
      </x:c>
      <x:c r="V1512" s="12" t="str">
        <x:f>IF(J1512="DONE","RETURNED",IF(U1512="BLOCKED_PENDING_RECEIPT","SOURCE_TOUCH_REQUIRED","IN_PROGRESS"))</x:f>
        <x:v>SOURCE_TOUCH_REQUIRED</x:v>
      </x:c>
      <x:c r="W1512" s="12" t="str">
        <x:f>IF(P1512="Unverified","missing_receipt","receipt_logged")</x:f>
        <x:v>missing_receipt</x:v>
      </x:c>
      <x:c r="X1512" s="12" t="str">
        <x:f>IF(Q1512="Not checked","raw_status_missing","raw_status_logged")</x:f>
        <x:v>raw_status_missing</x:v>
      </x:c>
      <x:c r="Y1512" s="12" t="str">
        <x:f>IF(U1512="BLOCKED_PENDING_RECEIPT","Log source path or blocker; do not promote","Route to review lane")</x:f>
        <x:v>Log source path or blocker; do not promote</x:v>
      </x:c>
      <x:c r="Z1512" s="12" t="str">
        <x:f>IF(K1512="P0","Primary seat + Hashlight/Lucerna","Seat lane")</x:f>
        <x:v>Seat lane</x:v>
      </x:c>
      <x:c r="AA1512" s="12" t="str">
        <x:f>IF(R1512="","no_claim_delta","claim_delta_present")</x:f>
        <x:v>no_claim_delta</x:v>
      </x:c>
      <x:c r="AB1512" s="12" t="str">
        <x:f>IF(S1512="","no_contradiction_delta","contradiction_delta_present")</x:f>
        <x:v>no_contradiction_delta</x:v>
      </x:c>
      <x:c r="AC1512" s="12" t="str">
        <x:f>IF(OR(ISNUMBER(SEARCH("hacker",LOWER(F1512&amp;" "&amp;H1512&amp;" "&amp;I1512&amp;" "&amp;M1512&amp;" "&amp;N1512&amp;" "&amp;T1512))),ISNUMBER(SEARCH("hacking",LOWER(F1512&amp;" "&amp;H1512&amp;" "&amp;I1512&amp;" "&amp;M1512&amp;" "&amp;N1512&amp;" "&amp;T1512))),ISNUMBER(SEARCH("bank",LOWER(F1512&amp;" "&amp;H1512&amp;" "&amp;I1512&amp;" "&amp;M1512&amp;" "&amp;N1512&amp;" "&amp;T1512))),ISNUMBER(SEARCH("banking",LOWER(F1512&amp;" "&amp;H1512&amp;" "&amp;I1512&amp;" "&amp;M1512&amp;" "&amp;N1512&amp;" "&amp;T1512)))),"PRIVATE_QUARANTINE",IF(OR(ISNUMBER(SEARCH("treasury",LOWER(F1512&amp;" "&amp;H1512&amp;" "&amp;I1512&amp;" "&amp;M1512&amp;" "&amp;N1512&amp;" "&amp;T1512))),ISNUMBER(SEARCH("debt",LOWER(F1512&amp;" "&amp;H1512&amp;" "&amp;I1512&amp;" "&amp;M1512&amp;" "&amp;N1512&amp;" "&amp;T1512))),ISNUMBER(SEARCH("bond",LOWER(F1512&amp;" "&amp;H1512&amp;" "&amp;I1512&amp;" "&amp;M1512&amp;" "&amp;N1512&amp;" "&amp;T1512))),ISNUMBER(SEARCH("transaction",LOWER(F1512&amp;" "&amp;H1512&amp;" "&amp;I1512&amp;" "&amp;M1512&amp;" "&amp;N1512&amp;" "&amp;T1512)))),"PRIVATE_REVIEW","PUBLIC_CANDIDATE"))</x:f>
        <x:v>PUBLIC_CANDIDATE</x:v>
      </x:c>
      <x:c r="AD1512" s="12" t="str">
        <x:f>IF(AC1512="PRIVATE_QUARANTINE","hacker_or_bank_trigger",IF(AC1512="PRIVATE_REVIEW","finance_risk_trigger","none"))</x:f>
        <x:v>none</x:v>
      </x:c>
      <x:c r="AE1512" s="12" t="str">
        <x:f>IF(AC1512="PUBLIC_CANDIDATE","prepare_public_github_candidate",IF(AC1512="PRIVATE_REVIEW","hold_for_private_review","quarantine_private_do_not_publish"))</x:f>
        <x:v>prepare_public_github_candidate</x:v>
      </x:c>
      <x:c r="AF1512" s="12" t="str">
        <x:f>IF(AC1512="PUBLIC_CANDIDATE","TIDELOCK + Lucerna",IF(AC1512="PRIVATE_REVIEW","AtlasBrain + Lucerna","TIDELOCK + Lucerna + Human-root"))</x:f>
        <x:v>TIDELOCK + Lucerna</x:v>
      </x:c>
      <x:c r="AG1512" s="12" t="str">
        <x:f>IF(AND(AC1512="PUBLIC_CANDIDATE",U1512&lt;&gt;"BLOCKED_PENDING_RECEIPT"),"READY_AFTER_RECEIPT","NOT_READY")</x:f>
        <x:v>NOT_READY</x:v>
      </x:c>
      <x:c r="AH1512" s="12" t="str">
        <x:f>IF(AC1512="PUBLIC_CANDIDATE","none",AD1512)</x:f>
        <x:v>none</x:v>
      </x:c>
      <x:c r="AI1512" s="12" t="str">
        <x:f>IF(AC1512="PUBLIC_CANDIDATE","archive/public_candidates/"&amp;A1512,"private_quarantine/"&amp;A1512)</x:f>
        <x:v>archive/public_candidates/SWARM-11-H06-S11</x:v>
      </x:c>
      <x:c r="AJ1512" s="12" t="str">
        <x:f>IF(AC1512="PUBLIC_CANDIDATE","public by default; still not canon","private/hold; do not publish")</x:f>
        <x:v>public by default; still not canon</x:v>
      </x:c>
      <x:c r="AK1512" s="12" t="str">
        <x:f>IF(AE1512="prepare_public_github_candidate","add receipt/status then mirror","resolve blocker before any public GitHub action")</x:f>
        <x:v>add receipt/status then mirror</x:v>
      </x:c>
    </x:row>
    <x:row r="1513">
      <x:c r="A1513" s="15" t="str">
        <x:v>SWARM-11-H06-S12</x:v>
      </x:c>
      <x:c r="B1513" s="15" t="str">
        <x:v>ClaudeCatcher</x:v>
      </x:c>
      <x:c r="C1513" s="15" t="str">
        <x:v>Bullshit Olympics referee</x:v>
      </x:c>
      <x:c r="D1513" s="15" t="str">
        <x:v>Ontology / Schema</x:v>
      </x:c>
      <x:c r="E1513" s="15" t="str">
        <x:v>Risk / Safety</x:v>
      </x:c>
      <x:c r="F1513" s="15" t="str">
        <x:v>Schema-map Risk / Safety — ClaudeCatcher</x:v>
      </x:c>
      <x:c r="G1513" s="15" t="str">
        <x:v>adversarial claims / model overclaim detection</x:v>
      </x:c>
      <x:c r="H1513" s="15" t="str">
        <x:v>source path + receipt + raw/export status + claim/edge/risk delta</x:v>
      </x:c>
      <x:c r="I1513" s="15" t="str">
        <x:v>packet/SWARM-11-H06-S12</x:v>
      </x:c>
      <x:c r="J1513" s="15" t="str">
        <x:v>TODO</x:v>
      </x:c>
      <x:c r="K1513" s="15" t="str">
        <x:v>P2</x:v>
      </x:c>
      <x:c r="L1513" s="15" t="str">
        <x:v>Done only when evidence is logged, contradiction search is noted, and boundary stamp remains non-canon unless ratified</x:v>
      </x:c>
      <x:c r="M1513" s="15" t="str">
        <x:v>candidate / staging-only / not canon / not deployed / authority none</x:v>
      </x:c>
      <x:c r="N1513" s="15" t="str">
        <x:v>Dispatch to ClaudeCatcher: complete Ontology / Schema x Risk / Safety; return deltas only, receipts required.</x:v>
      </x:c>
      <x:c r="O1513" s="15" t="str">
        <x:v>AF-KG-H06-S12</x:v>
      </x:c>
      <x:c r="P1513" s="15" t="str">
        <x:v>Unverified</x:v>
      </x:c>
      <x:c r="Q1513" s="15" t="str">
        <x:v>Not checked</x:v>
      </x:c>
      <x:c r="R1513" s="15" t="str"/>
      <x:c r="S1513" s="15" t="str"/>
      <x:c r="T1513" s="15" t="str">
        <x:v>Log first source path or blocker</x:v>
      </x:c>
      <x:c r="U1513" s="12" t="str">
        <x:f>IF(OR(P1513="Unverified",Q1513="Not checked"),"BLOCKED_PENDING_RECEIPT","READY_FOR_REVIEW")</x:f>
        <x:v>BLOCKED_PENDING_RECEIPT</x:v>
      </x:c>
      <x:c r="V1513" s="12" t="str">
        <x:f>IF(J1513="DONE","RETURNED",IF(U1513="BLOCKED_PENDING_RECEIPT","SOURCE_TOUCH_REQUIRED","IN_PROGRESS"))</x:f>
        <x:v>SOURCE_TOUCH_REQUIRED</x:v>
      </x:c>
      <x:c r="W1513" s="12" t="str">
        <x:f>IF(P1513="Unverified","missing_receipt","receipt_logged")</x:f>
        <x:v>missing_receipt</x:v>
      </x:c>
      <x:c r="X1513" s="12" t="str">
        <x:f>IF(Q1513="Not checked","raw_status_missing","raw_status_logged")</x:f>
        <x:v>raw_status_missing</x:v>
      </x:c>
      <x:c r="Y1513" s="12" t="str">
        <x:f>IF(U1513="BLOCKED_PENDING_RECEIPT","Log source path or blocker; do not promote","Route to review lane")</x:f>
        <x:v>Log source path or blocker; do not promote</x:v>
      </x:c>
      <x:c r="Z1513" s="12" t="str">
        <x:f>IF(K1513="P0","Primary seat + Hashlight/Lucerna","Seat lane")</x:f>
        <x:v>Seat lane</x:v>
      </x:c>
      <x:c r="AA1513" s="12" t="str">
        <x:f>IF(R1513="","no_claim_delta","claim_delta_present")</x:f>
        <x:v>no_claim_delta</x:v>
      </x:c>
      <x:c r="AB1513" s="12" t="str">
        <x:f>IF(S1513="","no_contradiction_delta","contradiction_delta_present")</x:f>
        <x:v>no_contradiction_delta</x:v>
      </x:c>
      <x:c r="AC1513" s="12" t="str">
        <x:f>IF(OR(ISNUMBER(SEARCH("hacker",LOWER(F1513&amp;" "&amp;H1513&amp;" "&amp;I1513&amp;" "&amp;M1513&amp;" "&amp;N1513&amp;" "&amp;T1513))),ISNUMBER(SEARCH("hacking",LOWER(F1513&amp;" "&amp;H1513&amp;" "&amp;I1513&amp;" "&amp;M1513&amp;" "&amp;N1513&amp;" "&amp;T1513))),ISNUMBER(SEARCH("bank",LOWER(F1513&amp;" "&amp;H1513&amp;" "&amp;I1513&amp;" "&amp;M1513&amp;" "&amp;N1513&amp;" "&amp;T1513))),ISNUMBER(SEARCH("banking",LOWER(F1513&amp;" "&amp;H1513&amp;" "&amp;I1513&amp;" "&amp;M1513&amp;" "&amp;N1513&amp;" "&amp;T1513)))),"PRIVATE_QUARANTINE",IF(OR(ISNUMBER(SEARCH("treasury",LOWER(F1513&amp;" "&amp;H1513&amp;" "&amp;I1513&amp;" "&amp;M1513&amp;" "&amp;N1513&amp;" "&amp;T1513))),ISNUMBER(SEARCH("debt",LOWER(F1513&amp;" "&amp;H1513&amp;" "&amp;I1513&amp;" "&amp;M1513&amp;" "&amp;N1513&amp;" "&amp;T1513))),ISNUMBER(SEARCH("bond",LOWER(F1513&amp;" "&amp;H1513&amp;" "&amp;I1513&amp;" "&amp;M1513&amp;" "&amp;N1513&amp;" "&amp;T1513))),ISNUMBER(SEARCH("transaction",LOWER(F1513&amp;" "&amp;H1513&amp;" "&amp;I1513&amp;" "&amp;M1513&amp;" "&amp;N1513&amp;" "&amp;T1513)))),"PRIVATE_REVIEW","PUBLIC_CANDIDATE"))</x:f>
        <x:v>PUBLIC_CANDIDATE</x:v>
      </x:c>
      <x:c r="AD1513" s="12" t="str">
        <x:f>IF(AC1513="PRIVATE_QUARANTINE","hacker_or_bank_trigger",IF(AC1513="PRIVATE_REVIEW","finance_risk_trigger","none"))</x:f>
        <x:v>none</x:v>
      </x:c>
      <x:c r="AE1513" s="12" t="str">
        <x:f>IF(AC1513="PUBLIC_CANDIDATE","prepare_public_github_candidate",IF(AC1513="PRIVATE_REVIEW","hold_for_private_review","quarantine_private_do_not_publish"))</x:f>
        <x:v>prepare_public_github_candidate</x:v>
      </x:c>
      <x:c r="AF1513" s="12" t="str">
        <x:f>IF(AC1513="PUBLIC_CANDIDATE","TIDELOCK + Lucerna",IF(AC1513="PRIVATE_REVIEW","AtlasBrain + Lucerna","TIDELOCK + Lucerna + Human-root"))</x:f>
        <x:v>TIDELOCK + Lucerna</x:v>
      </x:c>
      <x:c r="AG1513" s="12" t="str">
        <x:f>IF(AND(AC1513="PUBLIC_CANDIDATE",U1513&lt;&gt;"BLOCKED_PENDING_RECEIPT"),"READY_AFTER_RECEIPT","NOT_READY")</x:f>
        <x:v>NOT_READY</x:v>
      </x:c>
      <x:c r="AH1513" s="12" t="str">
        <x:f>IF(AC1513="PUBLIC_CANDIDATE","none",AD1513)</x:f>
        <x:v>none</x:v>
      </x:c>
      <x:c r="AI1513" s="12" t="str">
        <x:f>IF(AC1513="PUBLIC_CANDIDATE","archive/public_candidates/"&amp;A1513,"private_quarantine/"&amp;A1513)</x:f>
        <x:v>archive/public_candidates/SWARM-11-H06-S12</x:v>
      </x:c>
      <x:c r="AJ1513" s="12" t="str">
        <x:f>IF(AC1513="PUBLIC_CANDIDATE","public by default; still not canon","private/hold; do not publish")</x:f>
        <x:v>public by default; still not canon</x:v>
      </x:c>
      <x:c r="AK1513" s="12" t="str">
        <x:f>IF(AE1513="prepare_public_github_candidate","add receipt/status then mirror","resolve blocker before any public GitHub action")</x:f>
        <x:v>add receipt/status then mirror</x:v>
      </x:c>
    </x:row>
    <x:row r="1514">
      <x:c r="A1514" s="15" t="str">
        <x:v>SWARM-11-H07-S01</x:v>
      </x:c>
      <x:c r="B1514" s="15" t="str">
        <x:v>ClaudeCatcher</x:v>
      </x:c>
      <x:c r="C1514" s="15" t="str">
        <x:v>Bullshit Olympics referee</x:v>
      </x:c>
      <x:c r="D1514" s="15" t="str">
        <x:v>Graph Node Proposals</x:v>
      </x:c>
      <x:c r="E1514" s="15" t="str">
        <x:v>Notion</x:v>
      </x:c>
      <x:c r="F1514" s="15" t="str">
        <x:v>Propose graph nodes for Notion — ClaudeCatcher</x:v>
      </x:c>
      <x:c r="G1514" s="15" t="str">
        <x:v>adversarial claims / model overclaim detection</x:v>
      </x:c>
      <x:c r="H1514" s="15" t="str">
        <x:v>source path + receipt + raw/export status + claim/edge/risk delta</x:v>
      </x:c>
      <x:c r="I1514" s="15" t="str">
        <x:v>packet/SWARM-11-H07-S01</x:v>
      </x:c>
      <x:c r="J1514" s="15" t="str">
        <x:v>TODO</x:v>
      </x:c>
      <x:c r="K1514" s="15" t="str">
        <x:v>P0</x:v>
      </x:c>
      <x:c r="L1514" s="15" t="str">
        <x:v>Done only when evidence is logged, contradiction search is noted, and boundary stamp remains non-canon unless ratified</x:v>
      </x:c>
      <x:c r="M1514" s="15" t="str">
        <x:v>candidate / staging-only / not canon / not deployed / authority none</x:v>
      </x:c>
      <x:c r="N1514" s="15" t="str">
        <x:v>Dispatch to ClaudeCatcher: complete Graph Node Proposals x Notion; return deltas only, receipts required.</x:v>
      </x:c>
      <x:c r="O1514" s="15" t="str">
        <x:v>AF-KG-H07-S01</x:v>
      </x:c>
      <x:c r="P1514" s="15" t="str">
        <x:v>Unverified</x:v>
      </x:c>
      <x:c r="Q1514" s="15" t="str">
        <x:v>Not checked</x:v>
      </x:c>
      <x:c r="R1514" s="15" t="str"/>
      <x:c r="S1514" s="15" t="str"/>
      <x:c r="T1514" s="15" t="str">
        <x:v>Log first source path or blocker</x:v>
      </x:c>
      <x:c r="U1514" s="12" t="str">
        <x:f>IF(OR(P1514="Unverified",Q1514="Not checked"),"BLOCKED_PENDING_RECEIPT","READY_FOR_REVIEW")</x:f>
        <x:v>BLOCKED_PENDING_RECEIPT</x:v>
      </x:c>
      <x:c r="V1514" s="12" t="str">
        <x:f>IF(J1514="DONE","RETURNED",IF(U1514="BLOCKED_PENDING_RECEIPT","SOURCE_TOUCH_REQUIRED","IN_PROGRESS"))</x:f>
        <x:v>SOURCE_TOUCH_REQUIRED</x:v>
      </x:c>
      <x:c r="W1514" s="12" t="str">
        <x:f>IF(P1514="Unverified","missing_receipt","receipt_logged")</x:f>
        <x:v>missing_receipt</x:v>
      </x:c>
      <x:c r="X1514" s="12" t="str">
        <x:f>IF(Q1514="Not checked","raw_status_missing","raw_status_logged")</x:f>
        <x:v>raw_status_missing</x:v>
      </x:c>
      <x:c r="Y1514" s="12" t="str">
        <x:f>IF(U1514="BLOCKED_PENDING_RECEIPT","Log source path or blocker; do not promote","Route to review lane")</x:f>
        <x:v>Log source path or blocker; do not promote</x:v>
      </x:c>
      <x:c r="Z1514" s="12" t="str">
        <x:f>IF(K1514="P0","Primary seat + Hashlight/Lucerna","Seat lane")</x:f>
        <x:v>Primary seat + Hashlight/Lucerna</x:v>
      </x:c>
      <x:c r="AA1514" s="12" t="str">
        <x:f>IF(R1514="","no_claim_delta","claim_delta_present")</x:f>
        <x:v>no_claim_delta</x:v>
      </x:c>
      <x:c r="AB1514" s="12" t="str">
        <x:f>IF(S1514="","no_contradiction_delta","contradiction_delta_present")</x:f>
        <x:v>no_contradiction_delta</x:v>
      </x:c>
      <x:c r="AC1514" s="12" t="str">
        <x:f>IF(OR(ISNUMBER(SEARCH("hacker",LOWER(F1514&amp;" "&amp;H1514&amp;" "&amp;I1514&amp;" "&amp;M1514&amp;" "&amp;N1514&amp;" "&amp;T1514))),ISNUMBER(SEARCH("hacking",LOWER(F1514&amp;" "&amp;H1514&amp;" "&amp;I1514&amp;" "&amp;M1514&amp;" "&amp;N1514&amp;" "&amp;T1514))),ISNUMBER(SEARCH("bank",LOWER(F1514&amp;" "&amp;H1514&amp;" "&amp;I1514&amp;" "&amp;M1514&amp;" "&amp;N1514&amp;" "&amp;T1514))),ISNUMBER(SEARCH("banking",LOWER(F1514&amp;" "&amp;H1514&amp;" "&amp;I1514&amp;" "&amp;M1514&amp;" "&amp;N1514&amp;" "&amp;T1514)))),"PRIVATE_QUARANTINE",IF(OR(ISNUMBER(SEARCH("treasury",LOWER(F1514&amp;" "&amp;H1514&amp;" "&amp;I1514&amp;" "&amp;M1514&amp;" "&amp;N1514&amp;" "&amp;T1514))),ISNUMBER(SEARCH("debt",LOWER(F1514&amp;" "&amp;H1514&amp;" "&amp;I1514&amp;" "&amp;M1514&amp;" "&amp;N1514&amp;" "&amp;T1514))),ISNUMBER(SEARCH("bond",LOWER(F1514&amp;" "&amp;H1514&amp;" "&amp;I1514&amp;" "&amp;M1514&amp;" "&amp;N1514&amp;" "&amp;T1514))),ISNUMBER(SEARCH("transaction",LOWER(F1514&amp;" "&amp;H1514&amp;" "&amp;I1514&amp;" "&amp;M1514&amp;" "&amp;N1514&amp;" "&amp;T1514)))),"PRIVATE_REVIEW","PUBLIC_CANDIDATE"))</x:f>
        <x:v>PUBLIC_CANDIDATE</x:v>
      </x:c>
      <x:c r="AD1514" s="12" t="str">
        <x:f>IF(AC1514="PRIVATE_QUARANTINE","hacker_or_bank_trigger",IF(AC1514="PRIVATE_REVIEW","finance_risk_trigger","none"))</x:f>
        <x:v>none</x:v>
      </x:c>
      <x:c r="AE1514" s="12" t="str">
        <x:f>IF(AC1514="PUBLIC_CANDIDATE","prepare_public_github_candidate",IF(AC1514="PRIVATE_REVIEW","hold_for_private_review","quarantine_private_do_not_publish"))</x:f>
        <x:v>prepare_public_github_candidate</x:v>
      </x:c>
      <x:c r="AF1514" s="12" t="str">
        <x:f>IF(AC1514="PUBLIC_CANDIDATE","TIDELOCK + Lucerna",IF(AC1514="PRIVATE_REVIEW","AtlasBrain + Lucerna","TIDELOCK + Lucerna + Human-root"))</x:f>
        <x:v>TIDELOCK + Lucerna</x:v>
      </x:c>
      <x:c r="AG1514" s="12" t="str">
        <x:f>IF(AND(AC1514="PUBLIC_CANDIDATE",U1514&lt;&gt;"BLOCKED_PENDING_RECEIPT"),"READY_AFTER_RECEIPT","NOT_READY")</x:f>
        <x:v>NOT_READY</x:v>
      </x:c>
      <x:c r="AH1514" s="12" t="str">
        <x:f>IF(AC1514="PUBLIC_CANDIDATE","none",AD1514)</x:f>
        <x:v>none</x:v>
      </x:c>
      <x:c r="AI1514" s="12" t="str">
        <x:f>IF(AC1514="PUBLIC_CANDIDATE","archive/public_candidates/"&amp;A1514,"private_quarantine/"&amp;A1514)</x:f>
        <x:v>archive/public_candidates/SWARM-11-H07-S01</x:v>
      </x:c>
      <x:c r="AJ1514" s="12" t="str">
        <x:f>IF(AC1514="PUBLIC_CANDIDATE","public by default; still not canon","private/hold; do not publish")</x:f>
        <x:v>public by default; still not canon</x:v>
      </x:c>
      <x:c r="AK1514" s="12" t="str">
        <x:f>IF(AE1514="prepare_public_github_candidate","add receipt/status then mirror","resolve blocker before any public GitHub action")</x:f>
        <x:v>add receipt/status then mirror</x:v>
      </x:c>
    </x:row>
    <x:row r="1515">
      <x:c r="A1515" s="15" t="str">
        <x:v>SWARM-11-H07-S02</x:v>
      </x:c>
      <x:c r="B1515" s="15" t="str">
        <x:v>ClaudeCatcher</x:v>
      </x:c>
      <x:c r="C1515" s="15" t="str">
        <x:v>Bullshit Olympics referee</x:v>
      </x:c>
      <x:c r="D1515" s="15" t="str">
        <x:v>Graph Node Proposals</x:v>
      </x:c>
      <x:c r="E1515" s="15" t="str">
        <x:v>Drive</x:v>
      </x:c>
      <x:c r="F1515" s="15" t="str">
        <x:v>Propose graph nodes for Drive — ClaudeCatcher</x:v>
      </x:c>
      <x:c r="G1515" s="15" t="str">
        <x:v>adversarial claims / model overclaim detection</x:v>
      </x:c>
      <x:c r="H1515" s="15" t="str">
        <x:v>source path + receipt + raw/export status + claim/edge/risk delta</x:v>
      </x:c>
      <x:c r="I1515" s="15" t="str">
        <x:v>packet/SWARM-11-H07-S02</x:v>
      </x:c>
      <x:c r="J1515" s="15" t="str">
        <x:v>TODO</x:v>
      </x:c>
      <x:c r="K1515" s="15" t="str">
        <x:v>P0</x:v>
      </x:c>
      <x:c r="L1515" s="15" t="str">
        <x:v>Done only when evidence is logged, contradiction search is noted, and boundary stamp remains non-canon unless ratified</x:v>
      </x:c>
      <x:c r="M1515" s="15" t="str">
        <x:v>candidate / staging-only / not canon / not deployed / authority none</x:v>
      </x:c>
      <x:c r="N1515" s="15" t="str">
        <x:v>Dispatch to ClaudeCatcher: complete Graph Node Proposals x Drive; return deltas only, receipts required.</x:v>
      </x:c>
      <x:c r="O1515" s="15" t="str">
        <x:v>AF-KG-H07-S02</x:v>
      </x:c>
      <x:c r="P1515" s="15" t="str">
        <x:v>Unverified</x:v>
      </x:c>
      <x:c r="Q1515" s="15" t="str">
        <x:v>Not checked</x:v>
      </x:c>
      <x:c r="R1515" s="15" t="str"/>
      <x:c r="S1515" s="15" t="str"/>
      <x:c r="T1515" s="15" t="str">
        <x:v>Log first source path or blocker</x:v>
      </x:c>
      <x:c r="U1515" s="12" t="str">
        <x:f>IF(OR(P1515="Unverified",Q1515="Not checked"),"BLOCKED_PENDING_RECEIPT","READY_FOR_REVIEW")</x:f>
        <x:v>BLOCKED_PENDING_RECEIPT</x:v>
      </x:c>
      <x:c r="V1515" s="12" t="str">
        <x:f>IF(J1515="DONE","RETURNED",IF(U1515="BLOCKED_PENDING_RECEIPT","SOURCE_TOUCH_REQUIRED","IN_PROGRESS"))</x:f>
        <x:v>SOURCE_TOUCH_REQUIRED</x:v>
      </x:c>
      <x:c r="W1515" s="12" t="str">
        <x:f>IF(P1515="Unverified","missing_receipt","receipt_logged")</x:f>
        <x:v>missing_receipt</x:v>
      </x:c>
      <x:c r="X1515" s="12" t="str">
        <x:f>IF(Q1515="Not checked","raw_status_missing","raw_status_logged")</x:f>
        <x:v>raw_status_missing</x:v>
      </x:c>
      <x:c r="Y1515" s="12" t="str">
        <x:f>IF(U1515="BLOCKED_PENDING_RECEIPT","Log source path or blocker; do not promote","Route to review lane")</x:f>
        <x:v>Log source path or blocker; do not promote</x:v>
      </x:c>
      <x:c r="Z1515" s="12" t="str">
        <x:f>IF(K1515="P0","Primary seat + Hashlight/Lucerna","Seat lane")</x:f>
        <x:v>Primary seat + Hashlight/Lucerna</x:v>
      </x:c>
      <x:c r="AA1515" s="12" t="str">
        <x:f>IF(R1515="","no_claim_delta","claim_delta_present")</x:f>
        <x:v>no_claim_delta</x:v>
      </x:c>
      <x:c r="AB1515" s="12" t="str">
        <x:f>IF(S1515="","no_contradiction_delta","contradiction_delta_present")</x:f>
        <x:v>no_contradiction_delta</x:v>
      </x:c>
      <x:c r="AC1515" s="12" t="str">
        <x:f>IF(OR(ISNUMBER(SEARCH("hacker",LOWER(F1515&amp;" "&amp;H1515&amp;" "&amp;I1515&amp;" "&amp;M1515&amp;" "&amp;N1515&amp;" "&amp;T1515))),ISNUMBER(SEARCH("hacking",LOWER(F1515&amp;" "&amp;H1515&amp;" "&amp;I1515&amp;" "&amp;M1515&amp;" "&amp;N1515&amp;" "&amp;T1515))),ISNUMBER(SEARCH("bank",LOWER(F1515&amp;" "&amp;H1515&amp;" "&amp;I1515&amp;" "&amp;M1515&amp;" "&amp;N1515&amp;" "&amp;T1515))),ISNUMBER(SEARCH("banking",LOWER(F1515&amp;" "&amp;H1515&amp;" "&amp;I1515&amp;" "&amp;M1515&amp;" "&amp;N1515&amp;" "&amp;T1515)))),"PRIVATE_QUARANTINE",IF(OR(ISNUMBER(SEARCH("treasury",LOWER(F1515&amp;" "&amp;H1515&amp;" "&amp;I1515&amp;" "&amp;M1515&amp;" "&amp;N1515&amp;" "&amp;T1515))),ISNUMBER(SEARCH("debt",LOWER(F1515&amp;" "&amp;H1515&amp;" "&amp;I1515&amp;" "&amp;M1515&amp;" "&amp;N1515&amp;" "&amp;T1515))),ISNUMBER(SEARCH("bond",LOWER(F1515&amp;" "&amp;H1515&amp;" "&amp;I1515&amp;" "&amp;M1515&amp;" "&amp;N1515&amp;" "&amp;T1515))),ISNUMBER(SEARCH("transaction",LOWER(F1515&amp;" "&amp;H1515&amp;" "&amp;I1515&amp;" "&amp;M1515&amp;" "&amp;N1515&amp;" "&amp;T1515)))),"PRIVATE_REVIEW","PUBLIC_CANDIDATE"))</x:f>
        <x:v>PUBLIC_CANDIDATE</x:v>
      </x:c>
      <x:c r="AD1515" s="12" t="str">
        <x:f>IF(AC1515="PRIVATE_QUARANTINE","hacker_or_bank_trigger",IF(AC1515="PRIVATE_REVIEW","finance_risk_trigger","none"))</x:f>
        <x:v>none</x:v>
      </x:c>
      <x:c r="AE1515" s="12" t="str">
        <x:f>IF(AC1515="PUBLIC_CANDIDATE","prepare_public_github_candidate",IF(AC1515="PRIVATE_REVIEW","hold_for_private_review","quarantine_private_do_not_publish"))</x:f>
        <x:v>prepare_public_github_candidate</x:v>
      </x:c>
      <x:c r="AF1515" s="12" t="str">
        <x:f>IF(AC1515="PUBLIC_CANDIDATE","TIDELOCK + Lucerna",IF(AC1515="PRIVATE_REVIEW","AtlasBrain + Lucerna","TIDELOCK + Lucerna + Human-root"))</x:f>
        <x:v>TIDELOCK + Lucerna</x:v>
      </x:c>
      <x:c r="AG1515" s="12" t="str">
        <x:f>IF(AND(AC1515="PUBLIC_CANDIDATE",U1515&lt;&gt;"BLOCKED_PENDING_RECEIPT"),"READY_AFTER_RECEIPT","NOT_READY")</x:f>
        <x:v>NOT_READY</x:v>
      </x:c>
      <x:c r="AH1515" s="12" t="str">
        <x:f>IF(AC1515="PUBLIC_CANDIDATE","none",AD1515)</x:f>
        <x:v>none</x:v>
      </x:c>
      <x:c r="AI1515" s="12" t="str">
        <x:f>IF(AC1515="PUBLIC_CANDIDATE","archive/public_candidates/"&amp;A1515,"private_quarantine/"&amp;A1515)</x:f>
        <x:v>archive/public_candidates/SWARM-11-H07-S02</x:v>
      </x:c>
      <x:c r="AJ1515" s="12" t="str">
        <x:f>IF(AC1515="PUBLIC_CANDIDATE","public by default; still not canon","private/hold; do not publish")</x:f>
        <x:v>public by default; still not canon</x:v>
      </x:c>
      <x:c r="AK1515" s="12" t="str">
        <x:f>IF(AE1515="prepare_public_github_candidate","add receipt/status then mirror","resolve blocker before any public GitHub action")</x:f>
        <x:v>add receipt/status then mirror</x:v>
      </x:c>
    </x:row>
    <x:row r="1516">
      <x:c r="A1516" s="15" t="str">
        <x:v>SWARM-11-H07-S03</x:v>
      </x:c>
      <x:c r="B1516" s="15" t="str">
        <x:v>ClaudeCatcher</x:v>
      </x:c>
      <x:c r="C1516" s="15" t="str">
        <x:v>Bullshit Olympics referee</x:v>
      </x:c>
      <x:c r="D1516" s="15" t="str">
        <x:v>Graph Node Proposals</x:v>
      </x:c>
      <x:c r="E1516" s="15" t="str">
        <x:v>GitHub</x:v>
      </x:c>
      <x:c r="F1516" s="15" t="str">
        <x:v>Propose graph nodes for GitHub — ClaudeCatcher</x:v>
      </x:c>
      <x:c r="G1516" s="15" t="str">
        <x:v>adversarial claims / model overclaim detection</x:v>
      </x:c>
      <x:c r="H1516" s="15" t="str">
        <x:v>source path + receipt + raw/export status + claim/edge/risk delta</x:v>
      </x:c>
      <x:c r="I1516" s="15" t="str">
        <x:v>packet/SWARM-11-H07-S03</x:v>
      </x:c>
      <x:c r="J1516" s="15" t="str">
        <x:v>TODO</x:v>
      </x:c>
      <x:c r="K1516" s="15" t="str">
        <x:v>P0</x:v>
      </x:c>
      <x:c r="L1516" s="15" t="str">
        <x:v>Done only when evidence is logged, contradiction search is noted, and boundary stamp remains non-canon unless ratified</x:v>
      </x:c>
      <x:c r="M1516" s="15" t="str">
        <x:v>candidate / staging-only / not canon / not deployed / authority none</x:v>
      </x:c>
      <x:c r="N1516" s="15" t="str">
        <x:v>Dispatch to ClaudeCatcher: complete Graph Node Proposals x GitHub; return deltas only, receipts required.</x:v>
      </x:c>
      <x:c r="O1516" s="15" t="str">
        <x:v>AF-KG-H07-S03</x:v>
      </x:c>
      <x:c r="P1516" s="15" t="str">
        <x:v>Unverified</x:v>
      </x:c>
      <x:c r="Q1516" s="15" t="str">
        <x:v>Not checked</x:v>
      </x:c>
      <x:c r="R1516" s="15" t="str"/>
      <x:c r="S1516" s="15" t="str"/>
      <x:c r="T1516" s="15" t="str">
        <x:v>Log first source path or blocker</x:v>
      </x:c>
      <x:c r="U1516" s="12" t="str">
        <x:f>IF(OR(P1516="Unverified",Q1516="Not checked"),"BLOCKED_PENDING_RECEIPT","READY_FOR_REVIEW")</x:f>
        <x:v>BLOCKED_PENDING_RECEIPT</x:v>
      </x:c>
      <x:c r="V1516" s="12" t="str">
        <x:f>IF(J1516="DONE","RETURNED",IF(U1516="BLOCKED_PENDING_RECEIPT","SOURCE_TOUCH_REQUIRED","IN_PROGRESS"))</x:f>
        <x:v>SOURCE_TOUCH_REQUIRED</x:v>
      </x:c>
      <x:c r="W1516" s="12" t="str">
        <x:f>IF(P1516="Unverified","missing_receipt","receipt_logged")</x:f>
        <x:v>missing_receipt</x:v>
      </x:c>
      <x:c r="X1516" s="12" t="str">
        <x:f>IF(Q1516="Not checked","raw_status_missing","raw_status_logged")</x:f>
        <x:v>raw_status_missing</x:v>
      </x:c>
      <x:c r="Y1516" s="12" t="str">
        <x:f>IF(U1516="BLOCKED_PENDING_RECEIPT","Log source path or blocker; do not promote","Route to review lane")</x:f>
        <x:v>Log source path or blocker; do not promote</x:v>
      </x:c>
      <x:c r="Z1516" s="12" t="str">
        <x:f>IF(K1516="P0","Primary seat + Hashlight/Lucerna","Seat lane")</x:f>
        <x:v>Primary seat + Hashlight/Lucerna</x:v>
      </x:c>
      <x:c r="AA1516" s="12" t="str">
        <x:f>IF(R1516="","no_claim_delta","claim_delta_present")</x:f>
        <x:v>no_claim_delta</x:v>
      </x:c>
      <x:c r="AB1516" s="12" t="str">
        <x:f>IF(S1516="","no_contradiction_delta","contradiction_delta_present")</x:f>
        <x:v>no_contradiction_delta</x:v>
      </x:c>
      <x:c r="AC1516" s="12" t="str">
        <x:f>IF(OR(ISNUMBER(SEARCH("hacker",LOWER(F1516&amp;" "&amp;H1516&amp;" "&amp;I1516&amp;" "&amp;M1516&amp;" "&amp;N1516&amp;" "&amp;T1516))),ISNUMBER(SEARCH("hacking",LOWER(F1516&amp;" "&amp;H1516&amp;" "&amp;I1516&amp;" "&amp;M1516&amp;" "&amp;N1516&amp;" "&amp;T1516))),ISNUMBER(SEARCH("bank",LOWER(F1516&amp;" "&amp;H1516&amp;" "&amp;I1516&amp;" "&amp;M1516&amp;" "&amp;N1516&amp;" "&amp;T1516))),ISNUMBER(SEARCH("banking",LOWER(F1516&amp;" "&amp;H1516&amp;" "&amp;I1516&amp;" "&amp;M1516&amp;" "&amp;N1516&amp;" "&amp;T1516)))),"PRIVATE_QUARANTINE",IF(OR(ISNUMBER(SEARCH("treasury",LOWER(F1516&amp;" "&amp;H1516&amp;" "&amp;I1516&amp;" "&amp;M1516&amp;" "&amp;N1516&amp;" "&amp;T1516))),ISNUMBER(SEARCH("debt",LOWER(F1516&amp;" "&amp;H1516&amp;" "&amp;I1516&amp;" "&amp;M1516&amp;" "&amp;N1516&amp;" "&amp;T1516))),ISNUMBER(SEARCH("bond",LOWER(F1516&amp;" "&amp;H1516&amp;" "&amp;I1516&amp;" "&amp;M1516&amp;" "&amp;N1516&amp;" "&amp;T1516))),ISNUMBER(SEARCH("transaction",LOWER(F1516&amp;" "&amp;H1516&amp;" "&amp;I1516&amp;" "&amp;M1516&amp;" "&amp;N1516&amp;" "&amp;T1516)))),"PRIVATE_REVIEW","PUBLIC_CANDIDATE"))</x:f>
        <x:v>PUBLIC_CANDIDATE</x:v>
      </x:c>
      <x:c r="AD1516" s="12" t="str">
        <x:f>IF(AC1516="PRIVATE_QUARANTINE","hacker_or_bank_trigger",IF(AC1516="PRIVATE_REVIEW","finance_risk_trigger","none"))</x:f>
        <x:v>none</x:v>
      </x:c>
      <x:c r="AE1516" s="12" t="str">
        <x:f>IF(AC1516="PUBLIC_CANDIDATE","prepare_public_github_candidate",IF(AC1516="PRIVATE_REVIEW","hold_for_private_review","quarantine_private_do_not_publish"))</x:f>
        <x:v>prepare_public_github_candidate</x:v>
      </x:c>
      <x:c r="AF1516" s="12" t="str">
        <x:f>IF(AC1516="PUBLIC_CANDIDATE","TIDELOCK + Lucerna",IF(AC1516="PRIVATE_REVIEW","AtlasBrain + Lucerna","TIDELOCK + Lucerna + Human-root"))</x:f>
        <x:v>TIDELOCK + Lucerna</x:v>
      </x:c>
      <x:c r="AG1516" s="12" t="str">
        <x:f>IF(AND(AC1516="PUBLIC_CANDIDATE",U1516&lt;&gt;"BLOCKED_PENDING_RECEIPT"),"READY_AFTER_RECEIPT","NOT_READY")</x:f>
        <x:v>NOT_READY</x:v>
      </x:c>
      <x:c r="AH1516" s="12" t="str">
        <x:f>IF(AC1516="PUBLIC_CANDIDATE","none",AD1516)</x:f>
        <x:v>none</x:v>
      </x:c>
      <x:c r="AI1516" s="12" t="str">
        <x:f>IF(AC1516="PUBLIC_CANDIDATE","archive/public_candidates/"&amp;A1516,"private_quarantine/"&amp;A1516)</x:f>
        <x:v>archive/public_candidates/SWARM-11-H07-S03</x:v>
      </x:c>
      <x:c r="AJ1516" s="12" t="str">
        <x:f>IF(AC1516="PUBLIC_CANDIDATE","public by default; still not canon","private/hold; do not publish")</x:f>
        <x:v>public by default; still not canon</x:v>
      </x:c>
      <x:c r="AK1516" s="12" t="str">
        <x:f>IF(AE1516="prepare_public_github_candidate","add receipt/status then mirror","resolve blocker before any public GitHub action")</x:f>
        <x:v>add receipt/status then mirror</x:v>
      </x:c>
    </x:row>
    <x:row r="1517">
      <x:c r="A1517" s="15" t="str">
        <x:v>SWARM-11-H07-S04</x:v>
      </x:c>
      <x:c r="B1517" s="15" t="str">
        <x:v>ClaudeCatcher</x:v>
      </x:c>
      <x:c r="C1517" s="15" t="str">
        <x:v>Bullshit Olympics referee</x:v>
      </x:c>
      <x:c r="D1517" s="15" t="str">
        <x:v>Graph Node Proposals</x:v>
      </x:c>
      <x:c r="E1517" s="15" t="str">
        <x:v>Gamma</x:v>
      </x:c>
      <x:c r="F1517" s="15" t="str">
        <x:v>Propose graph nodes for Gamma — ClaudeCatcher</x:v>
      </x:c>
      <x:c r="G1517" s="15" t="str">
        <x:v>adversarial claims / model overclaim detection</x:v>
      </x:c>
      <x:c r="H1517" s="15" t="str">
        <x:v>source path + receipt + raw/export status + claim/edge/risk delta</x:v>
      </x:c>
      <x:c r="I1517" s="15" t="str">
        <x:v>packet/SWARM-11-H07-S04</x:v>
      </x:c>
      <x:c r="J1517" s="15" t="str">
        <x:v>TODO</x:v>
      </x:c>
      <x:c r="K1517" s="15" t="str">
        <x:v>P1</x:v>
      </x:c>
      <x:c r="L1517" s="15" t="str">
        <x:v>Done only when evidence is logged, contradiction search is noted, and boundary stamp remains non-canon unless ratified</x:v>
      </x:c>
      <x:c r="M1517" s="15" t="str">
        <x:v>candidate / staging-only / not canon / not deployed / authority none</x:v>
      </x:c>
      <x:c r="N1517" s="15" t="str">
        <x:v>Dispatch to ClaudeCatcher: complete Graph Node Proposals x Gamma; return deltas only, receipts required.</x:v>
      </x:c>
      <x:c r="O1517" s="15" t="str">
        <x:v>AF-KG-H07-S04</x:v>
      </x:c>
      <x:c r="P1517" s="15" t="str">
        <x:v>Unverified</x:v>
      </x:c>
      <x:c r="Q1517" s="15" t="str">
        <x:v>Not checked</x:v>
      </x:c>
      <x:c r="R1517" s="15" t="str"/>
      <x:c r="S1517" s="15" t="str"/>
      <x:c r="T1517" s="15" t="str">
        <x:v>Log first source path or blocker</x:v>
      </x:c>
      <x:c r="U1517" s="12" t="str">
        <x:f>IF(OR(P1517="Unverified",Q1517="Not checked"),"BLOCKED_PENDING_RECEIPT","READY_FOR_REVIEW")</x:f>
        <x:v>BLOCKED_PENDING_RECEIPT</x:v>
      </x:c>
      <x:c r="V1517" s="12" t="str">
        <x:f>IF(J1517="DONE","RETURNED",IF(U1517="BLOCKED_PENDING_RECEIPT","SOURCE_TOUCH_REQUIRED","IN_PROGRESS"))</x:f>
        <x:v>SOURCE_TOUCH_REQUIRED</x:v>
      </x:c>
      <x:c r="W1517" s="12" t="str">
        <x:f>IF(P1517="Unverified","missing_receipt","receipt_logged")</x:f>
        <x:v>missing_receipt</x:v>
      </x:c>
      <x:c r="X1517" s="12" t="str">
        <x:f>IF(Q1517="Not checked","raw_status_missing","raw_status_logged")</x:f>
        <x:v>raw_status_missing</x:v>
      </x:c>
      <x:c r="Y1517" s="12" t="str">
        <x:f>IF(U1517="BLOCKED_PENDING_RECEIPT","Log source path or blocker; do not promote","Route to review lane")</x:f>
        <x:v>Log source path or blocker; do not promote</x:v>
      </x:c>
      <x:c r="Z1517" s="12" t="str">
        <x:f>IF(K1517="P0","Primary seat + Hashlight/Lucerna","Seat lane")</x:f>
        <x:v>Seat lane</x:v>
      </x:c>
      <x:c r="AA1517" s="12" t="str">
        <x:f>IF(R1517="","no_claim_delta","claim_delta_present")</x:f>
        <x:v>no_claim_delta</x:v>
      </x:c>
      <x:c r="AB1517" s="12" t="str">
        <x:f>IF(S1517="","no_contradiction_delta","contradiction_delta_present")</x:f>
        <x:v>no_contradiction_delta</x:v>
      </x:c>
      <x:c r="AC1517" s="12" t="str">
        <x:f>IF(OR(ISNUMBER(SEARCH("hacker",LOWER(F1517&amp;" "&amp;H1517&amp;" "&amp;I1517&amp;" "&amp;M1517&amp;" "&amp;N1517&amp;" "&amp;T1517))),ISNUMBER(SEARCH("hacking",LOWER(F1517&amp;" "&amp;H1517&amp;" "&amp;I1517&amp;" "&amp;M1517&amp;" "&amp;N1517&amp;" "&amp;T1517))),ISNUMBER(SEARCH("bank",LOWER(F1517&amp;" "&amp;H1517&amp;" "&amp;I1517&amp;" "&amp;M1517&amp;" "&amp;N1517&amp;" "&amp;T1517))),ISNUMBER(SEARCH("banking",LOWER(F1517&amp;" "&amp;H1517&amp;" "&amp;I1517&amp;" "&amp;M1517&amp;" "&amp;N1517&amp;" "&amp;T1517)))),"PRIVATE_QUARANTINE",IF(OR(ISNUMBER(SEARCH("treasury",LOWER(F1517&amp;" "&amp;H1517&amp;" "&amp;I1517&amp;" "&amp;M1517&amp;" "&amp;N1517&amp;" "&amp;T1517))),ISNUMBER(SEARCH("debt",LOWER(F1517&amp;" "&amp;H1517&amp;" "&amp;I1517&amp;" "&amp;M1517&amp;" "&amp;N1517&amp;" "&amp;T1517))),ISNUMBER(SEARCH("bond",LOWER(F1517&amp;" "&amp;H1517&amp;" "&amp;I1517&amp;" "&amp;M1517&amp;" "&amp;N1517&amp;" "&amp;T1517))),ISNUMBER(SEARCH("transaction",LOWER(F1517&amp;" "&amp;H1517&amp;" "&amp;I1517&amp;" "&amp;M1517&amp;" "&amp;N1517&amp;" "&amp;T1517)))),"PRIVATE_REVIEW","PUBLIC_CANDIDATE"))</x:f>
        <x:v>PUBLIC_CANDIDATE</x:v>
      </x:c>
      <x:c r="AD1517" s="12" t="str">
        <x:f>IF(AC1517="PRIVATE_QUARANTINE","hacker_or_bank_trigger",IF(AC1517="PRIVATE_REVIEW","finance_risk_trigger","none"))</x:f>
        <x:v>none</x:v>
      </x:c>
      <x:c r="AE1517" s="12" t="str">
        <x:f>IF(AC1517="PUBLIC_CANDIDATE","prepare_public_github_candidate",IF(AC1517="PRIVATE_REVIEW","hold_for_private_review","quarantine_private_do_not_publish"))</x:f>
        <x:v>prepare_public_github_candidate</x:v>
      </x:c>
      <x:c r="AF1517" s="12" t="str">
        <x:f>IF(AC1517="PUBLIC_CANDIDATE","TIDELOCK + Lucerna",IF(AC1517="PRIVATE_REVIEW","AtlasBrain + Lucerna","TIDELOCK + Lucerna + Human-root"))</x:f>
        <x:v>TIDELOCK + Lucerna</x:v>
      </x:c>
      <x:c r="AG1517" s="12" t="str">
        <x:f>IF(AND(AC1517="PUBLIC_CANDIDATE",U1517&lt;&gt;"BLOCKED_PENDING_RECEIPT"),"READY_AFTER_RECEIPT","NOT_READY")</x:f>
        <x:v>NOT_READY</x:v>
      </x:c>
      <x:c r="AH1517" s="12" t="str">
        <x:f>IF(AC1517="PUBLIC_CANDIDATE","none",AD1517)</x:f>
        <x:v>none</x:v>
      </x:c>
      <x:c r="AI1517" s="12" t="str">
        <x:f>IF(AC1517="PUBLIC_CANDIDATE","archive/public_candidates/"&amp;A1517,"private_quarantine/"&amp;A1517)</x:f>
        <x:v>archive/public_candidates/SWARM-11-H07-S04</x:v>
      </x:c>
      <x:c r="AJ1517" s="12" t="str">
        <x:f>IF(AC1517="PUBLIC_CANDIDATE","public by default; still not canon","private/hold; do not publish")</x:f>
        <x:v>public by default; still not canon</x:v>
      </x:c>
      <x:c r="AK1517" s="12" t="str">
        <x:f>IF(AE1517="prepare_public_github_candidate","add receipt/status then mirror","resolve blocker before any public GitHub action")</x:f>
        <x:v>add receipt/status then mirror</x:v>
      </x:c>
    </x:row>
    <x:row r="1518">
      <x:c r="A1518" s="15" t="str">
        <x:v>SWARM-11-H07-S05</x:v>
      </x:c>
      <x:c r="B1518" s="15" t="str">
        <x:v>ClaudeCatcher</x:v>
      </x:c>
      <x:c r="C1518" s="15" t="str">
        <x:v>Bullshit Olympics referee</x:v>
      </x:c>
      <x:c r="D1518" s="15" t="str">
        <x:v>Graph Node Proposals</x:v>
      </x:c>
      <x:c r="E1518" s="15" t="str">
        <x:v>Chat</x:v>
      </x:c>
      <x:c r="F1518" s="15" t="str">
        <x:v>Propose graph nodes for Chat — ClaudeCatcher</x:v>
      </x:c>
      <x:c r="G1518" s="15" t="str">
        <x:v>adversarial claims / model overclaim detection</x:v>
      </x:c>
      <x:c r="H1518" s="15" t="str">
        <x:v>source path + receipt + raw/export status + claim/edge/risk delta</x:v>
      </x:c>
      <x:c r="I1518" s="15" t="str">
        <x:v>packet/SWARM-11-H07-S05</x:v>
      </x:c>
      <x:c r="J1518" s="15" t="str">
        <x:v>TODO</x:v>
      </x:c>
      <x:c r="K1518" s="15" t="str">
        <x:v>P1</x:v>
      </x:c>
      <x:c r="L1518" s="15" t="str">
        <x:v>Done only when evidence is logged, contradiction search is noted, and boundary stamp remains non-canon unless ratified</x:v>
      </x:c>
      <x:c r="M1518" s="15" t="str">
        <x:v>candidate / staging-only / not canon / not deployed / authority none</x:v>
      </x:c>
      <x:c r="N1518" s="15" t="str">
        <x:v>Dispatch to ClaudeCatcher: complete Graph Node Proposals x Chat; return deltas only, receipts required.</x:v>
      </x:c>
      <x:c r="O1518" s="15" t="str">
        <x:v>AF-KG-H07-S05</x:v>
      </x:c>
      <x:c r="P1518" s="15" t="str">
        <x:v>Unverified</x:v>
      </x:c>
      <x:c r="Q1518" s="15" t="str">
        <x:v>Not checked</x:v>
      </x:c>
      <x:c r="R1518" s="15" t="str"/>
      <x:c r="S1518" s="15" t="str"/>
      <x:c r="T1518" s="15" t="str">
        <x:v>Log first source path or blocker</x:v>
      </x:c>
      <x:c r="U1518" s="12" t="str">
        <x:f>IF(OR(P1518="Unverified",Q1518="Not checked"),"BLOCKED_PENDING_RECEIPT","READY_FOR_REVIEW")</x:f>
        <x:v>BLOCKED_PENDING_RECEIPT</x:v>
      </x:c>
      <x:c r="V1518" s="12" t="str">
        <x:f>IF(J1518="DONE","RETURNED",IF(U1518="BLOCKED_PENDING_RECEIPT","SOURCE_TOUCH_REQUIRED","IN_PROGRESS"))</x:f>
        <x:v>SOURCE_TOUCH_REQUIRED</x:v>
      </x:c>
      <x:c r="W1518" s="12" t="str">
        <x:f>IF(P1518="Unverified","missing_receipt","receipt_logged")</x:f>
        <x:v>missing_receipt</x:v>
      </x:c>
      <x:c r="X1518" s="12" t="str">
        <x:f>IF(Q1518="Not checked","raw_status_missing","raw_status_logged")</x:f>
        <x:v>raw_status_missing</x:v>
      </x:c>
      <x:c r="Y1518" s="12" t="str">
        <x:f>IF(U1518="BLOCKED_PENDING_RECEIPT","Log source path or blocker; do not promote","Route to review lane")</x:f>
        <x:v>Log source path or blocker; do not promote</x:v>
      </x:c>
      <x:c r="Z1518" s="12" t="str">
        <x:f>IF(K1518="P0","Primary seat + Hashlight/Lucerna","Seat lane")</x:f>
        <x:v>Seat lane</x:v>
      </x:c>
      <x:c r="AA1518" s="12" t="str">
        <x:f>IF(R1518="","no_claim_delta","claim_delta_present")</x:f>
        <x:v>no_claim_delta</x:v>
      </x:c>
      <x:c r="AB1518" s="12" t="str">
        <x:f>IF(S1518="","no_contradiction_delta","contradiction_delta_present")</x:f>
        <x:v>no_contradiction_delta</x:v>
      </x:c>
      <x:c r="AC1518" s="12" t="str">
        <x:f>IF(OR(ISNUMBER(SEARCH("hacker",LOWER(F1518&amp;" "&amp;H1518&amp;" "&amp;I1518&amp;" "&amp;M1518&amp;" "&amp;N1518&amp;" "&amp;T1518))),ISNUMBER(SEARCH("hacking",LOWER(F1518&amp;" "&amp;H1518&amp;" "&amp;I1518&amp;" "&amp;M1518&amp;" "&amp;N1518&amp;" "&amp;T1518))),ISNUMBER(SEARCH("bank",LOWER(F1518&amp;" "&amp;H1518&amp;" "&amp;I1518&amp;" "&amp;M1518&amp;" "&amp;N1518&amp;" "&amp;T1518))),ISNUMBER(SEARCH("banking",LOWER(F1518&amp;" "&amp;H1518&amp;" "&amp;I1518&amp;" "&amp;M1518&amp;" "&amp;N1518&amp;" "&amp;T1518)))),"PRIVATE_QUARANTINE",IF(OR(ISNUMBER(SEARCH("treasury",LOWER(F1518&amp;" "&amp;H1518&amp;" "&amp;I1518&amp;" "&amp;M1518&amp;" "&amp;N1518&amp;" "&amp;T1518))),ISNUMBER(SEARCH("debt",LOWER(F1518&amp;" "&amp;H1518&amp;" "&amp;I1518&amp;" "&amp;M1518&amp;" "&amp;N1518&amp;" "&amp;T1518))),ISNUMBER(SEARCH("bond",LOWER(F1518&amp;" "&amp;H1518&amp;" "&amp;I1518&amp;" "&amp;M1518&amp;" "&amp;N1518&amp;" "&amp;T1518))),ISNUMBER(SEARCH("transaction",LOWER(F1518&amp;" "&amp;H1518&amp;" "&amp;I1518&amp;" "&amp;M1518&amp;" "&amp;N1518&amp;" "&amp;T1518)))),"PRIVATE_REVIEW","PUBLIC_CANDIDATE"))</x:f>
        <x:v>PUBLIC_CANDIDATE</x:v>
      </x:c>
      <x:c r="AD1518" s="12" t="str">
        <x:f>IF(AC1518="PRIVATE_QUARANTINE","hacker_or_bank_trigger",IF(AC1518="PRIVATE_REVIEW","finance_risk_trigger","none"))</x:f>
        <x:v>none</x:v>
      </x:c>
      <x:c r="AE1518" s="12" t="str">
        <x:f>IF(AC1518="PUBLIC_CANDIDATE","prepare_public_github_candidate",IF(AC1518="PRIVATE_REVIEW","hold_for_private_review","quarantine_private_do_not_publish"))</x:f>
        <x:v>prepare_public_github_candidate</x:v>
      </x:c>
      <x:c r="AF1518" s="12" t="str">
        <x:f>IF(AC1518="PUBLIC_CANDIDATE","TIDELOCK + Lucerna",IF(AC1518="PRIVATE_REVIEW","AtlasBrain + Lucerna","TIDELOCK + Lucerna + Human-root"))</x:f>
        <x:v>TIDELOCK + Lucerna</x:v>
      </x:c>
      <x:c r="AG1518" s="12" t="str">
        <x:f>IF(AND(AC1518="PUBLIC_CANDIDATE",U1518&lt;&gt;"BLOCKED_PENDING_RECEIPT"),"READY_AFTER_RECEIPT","NOT_READY")</x:f>
        <x:v>NOT_READY</x:v>
      </x:c>
      <x:c r="AH1518" s="12" t="str">
        <x:f>IF(AC1518="PUBLIC_CANDIDATE","none",AD1518)</x:f>
        <x:v>none</x:v>
      </x:c>
      <x:c r="AI1518" s="12" t="str">
        <x:f>IF(AC1518="PUBLIC_CANDIDATE","archive/public_candidates/"&amp;A1518,"private_quarantine/"&amp;A1518)</x:f>
        <x:v>archive/public_candidates/SWARM-11-H07-S05</x:v>
      </x:c>
      <x:c r="AJ1518" s="12" t="str">
        <x:f>IF(AC1518="PUBLIC_CANDIDATE","public by default; still not canon","private/hold; do not publish")</x:f>
        <x:v>public by default; still not canon</x:v>
      </x:c>
      <x:c r="AK1518" s="12" t="str">
        <x:f>IF(AE1518="prepare_public_github_candidate","add receipt/status then mirror","resolve blocker before any public GitHub action")</x:f>
        <x:v>add receipt/status then mirror</x:v>
      </x:c>
    </x:row>
    <x:row r="1519">
      <x:c r="A1519" s="15" t="str">
        <x:v>SWARM-11-H07-S06</x:v>
      </x:c>
      <x:c r="B1519" s="15" t="str">
        <x:v>ClaudeCatcher</x:v>
      </x:c>
      <x:c r="C1519" s="15" t="str">
        <x:v>Bullshit Olympics referee</x:v>
      </x:c>
      <x:c r="D1519" s="15" t="str">
        <x:v>Graph Node Proposals</x:v>
      </x:c>
      <x:c r="E1519" s="15" t="str">
        <x:v>External Web</x:v>
      </x:c>
      <x:c r="F1519" s="15" t="str">
        <x:v>Propose graph nodes for External Web — ClaudeCatcher</x:v>
      </x:c>
      <x:c r="G1519" s="15" t="str">
        <x:v>adversarial claims / model overclaim detection</x:v>
      </x:c>
      <x:c r="H1519" s="15" t="str">
        <x:v>source path + receipt + raw/export status + claim/edge/risk delta</x:v>
      </x:c>
      <x:c r="I1519" s="15" t="str">
        <x:v>packet/SWARM-11-H07-S06</x:v>
      </x:c>
      <x:c r="J1519" s="15" t="str">
        <x:v>TODO</x:v>
      </x:c>
      <x:c r="K1519" s="15" t="str">
        <x:v>P1</x:v>
      </x:c>
      <x:c r="L1519" s="15" t="str">
        <x:v>Done only when evidence is logged, contradiction search is noted, and boundary stamp remains non-canon unless ratified</x:v>
      </x:c>
      <x:c r="M1519" s="15" t="str">
        <x:v>candidate / staging-only / not canon / not deployed / authority none</x:v>
      </x:c>
      <x:c r="N1519" s="15" t="str">
        <x:v>Dispatch to ClaudeCatcher: complete Graph Node Proposals x External Web; return deltas only, receipts required.</x:v>
      </x:c>
      <x:c r="O1519" s="15" t="str">
        <x:v>AF-KG-H07-S06</x:v>
      </x:c>
      <x:c r="P1519" s="15" t="str">
        <x:v>Unverified</x:v>
      </x:c>
      <x:c r="Q1519" s="15" t="str">
        <x:v>Not checked</x:v>
      </x:c>
      <x:c r="R1519" s="15" t="str"/>
      <x:c r="S1519" s="15" t="str"/>
      <x:c r="T1519" s="15" t="str">
        <x:v>Log first source path or blocker</x:v>
      </x:c>
      <x:c r="U1519" s="12" t="str">
        <x:f>IF(OR(P1519="Unverified",Q1519="Not checked"),"BLOCKED_PENDING_RECEIPT","READY_FOR_REVIEW")</x:f>
        <x:v>BLOCKED_PENDING_RECEIPT</x:v>
      </x:c>
      <x:c r="V1519" s="12" t="str">
        <x:f>IF(J1519="DONE","RETURNED",IF(U1519="BLOCKED_PENDING_RECEIPT","SOURCE_TOUCH_REQUIRED","IN_PROGRESS"))</x:f>
        <x:v>SOURCE_TOUCH_REQUIRED</x:v>
      </x:c>
      <x:c r="W1519" s="12" t="str">
        <x:f>IF(P1519="Unverified","missing_receipt","receipt_logged")</x:f>
        <x:v>missing_receipt</x:v>
      </x:c>
      <x:c r="X1519" s="12" t="str">
        <x:f>IF(Q1519="Not checked","raw_status_missing","raw_status_logged")</x:f>
        <x:v>raw_status_missing</x:v>
      </x:c>
      <x:c r="Y1519" s="12" t="str">
        <x:f>IF(U1519="BLOCKED_PENDING_RECEIPT","Log source path or blocker; do not promote","Route to review lane")</x:f>
        <x:v>Log source path or blocker; do not promote</x:v>
      </x:c>
      <x:c r="Z1519" s="12" t="str">
        <x:f>IF(K1519="P0","Primary seat + Hashlight/Lucerna","Seat lane")</x:f>
        <x:v>Seat lane</x:v>
      </x:c>
      <x:c r="AA1519" s="12" t="str">
        <x:f>IF(R1519="","no_claim_delta","claim_delta_present")</x:f>
        <x:v>no_claim_delta</x:v>
      </x:c>
      <x:c r="AB1519" s="12" t="str">
        <x:f>IF(S1519="","no_contradiction_delta","contradiction_delta_present")</x:f>
        <x:v>no_contradiction_delta</x:v>
      </x:c>
      <x:c r="AC1519" s="12" t="str">
        <x:f>IF(OR(ISNUMBER(SEARCH("hacker",LOWER(F1519&amp;" "&amp;H1519&amp;" "&amp;I1519&amp;" "&amp;M1519&amp;" "&amp;N1519&amp;" "&amp;T1519))),ISNUMBER(SEARCH("hacking",LOWER(F1519&amp;" "&amp;H1519&amp;" "&amp;I1519&amp;" "&amp;M1519&amp;" "&amp;N1519&amp;" "&amp;T1519))),ISNUMBER(SEARCH("bank",LOWER(F1519&amp;" "&amp;H1519&amp;" "&amp;I1519&amp;" "&amp;M1519&amp;" "&amp;N1519&amp;" "&amp;T1519))),ISNUMBER(SEARCH("banking",LOWER(F1519&amp;" "&amp;H1519&amp;" "&amp;I1519&amp;" "&amp;M1519&amp;" "&amp;N1519&amp;" "&amp;T1519)))),"PRIVATE_QUARANTINE",IF(OR(ISNUMBER(SEARCH("treasury",LOWER(F1519&amp;" "&amp;H1519&amp;" "&amp;I1519&amp;" "&amp;M1519&amp;" "&amp;N1519&amp;" "&amp;T1519))),ISNUMBER(SEARCH("debt",LOWER(F1519&amp;" "&amp;H1519&amp;" "&amp;I1519&amp;" "&amp;M1519&amp;" "&amp;N1519&amp;" "&amp;T1519))),ISNUMBER(SEARCH("bond",LOWER(F1519&amp;" "&amp;H1519&amp;" "&amp;I1519&amp;" "&amp;M1519&amp;" "&amp;N1519&amp;" "&amp;T1519))),ISNUMBER(SEARCH("transaction",LOWER(F1519&amp;" "&amp;H1519&amp;" "&amp;I1519&amp;" "&amp;M1519&amp;" "&amp;N1519&amp;" "&amp;T1519)))),"PRIVATE_REVIEW","PUBLIC_CANDIDATE"))</x:f>
        <x:v>PUBLIC_CANDIDATE</x:v>
      </x:c>
      <x:c r="AD1519" s="12" t="str">
        <x:f>IF(AC1519="PRIVATE_QUARANTINE","hacker_or_bank_trigger",IF(AC1519="PRIVATE_REVIEW","finance_risk_trigger","none"))</x:f>
        <x:v>none</x:v>
      </x:c>
      <x:c r="AE1519" s="12" t="str">
        <x:f>IF(AC1519="PUBLIC_CANDIDATE","prepare_public_github_candidate",IF(AC1519="PRIVATE_REVIEW","hold_for_private_review","quarantine_private_do_not_publish"))</x:f>
        <x:v>prepare_public_github_candidate</x:v>
      </x:c>
      <x:c r="AF1519" s="12" t="str">
        <x:f>IF(AC1519="PUBLIC_CANDIDATE","TIDELOCK + Lucerna",IF(AC1519="PRIVATE_REVIEW","AtlasBrain + Lucerna","TIDELOCK + Lucerna + Human-root"))</x:f>
        <x:v>TIDELOCK + Lucerna</x:v>
      </x:c>
      <x:c r="AG1519" s="12" t="str">
        <x:f>IF(AND(AC1519="PUBLIC_CANDIDATE",U1519&lt;&gt;"BLOCKED_PENDING_RECEIPT"),"READY_AFTER_RECEIPT","NOT_READY")</x:f>
        <x:v>NOT_READY</x:v>
      </x:c>
      <x:c r="AH1519" s="12" t="str">
        <x:f>IF(AC1519="PUBLIC_CANDIDATE","none",AD1519)</x:f>
        <x:v>none</x:v>
      </x:c>
      <x:c r="AI1519" s="12" t="str">
        <x:f>IF(AC1519="PUBLIC_CANDIDATE","archive/public_candidates/"&amp;A1519,"private_quarantine/"&amp;A1519)</x:f>
        <x:v>archive/public_candidates/SWARM-11-H07-S06</x:v>
      </x:c>
      <x:c r="AJ1519" s="12" t="str">
        <x:f>IF(AC1519="PUBLIC_CANDIDATE","public by default; still not canon","private/hold; do not publish")</x:f>
        <x:v>public by default; still not canon</x:v>
      </x:c>
      <x:c r="AK1519" s="12" t="str">
        <x:f>IF(AE1519="prepare_public_github_candidate","add receipt/status then mirror","resolve blocker before any public GitHub action")</x:f>
        <x:v>add receipt/status then mirror</x:v>
      </x:c>
    </x:row>
    <x:row r="1520">
      <x:c r="A1520" s="15" t="str">
        <x:v>SWARM-11-H07-S07</x:v>
      </x:c>
      <x:c r="B1520" s="15" t="str">
        <x:v>ClaudeCatcher</x:v>
      </x:c>
      <x:c r="C1520" s="15" t="str">
        <x:v>Bullshit Olympics referee</x:v>
      </x:c>
      <x:c r="D1520" s="15" t="str">
        <x:v>Graph Node Proposals</x:v>
      </x:c>
      <x:c r="E1520" s="15" t="str">
        <x:v>Planetarium</x:v>
      </x:c>
      <x:c r="F1520" s="15" t="str">
        <x:v>Propose graph nodes for Planetarium — ClaudeCatcher</x:v>
      </x:c>
      <x:c r="G1520" s="15" t="str">
        <x:v>adversarial claims / model overclaim detection</x:v>
      </x:c>
      <x:c r="H1520" s="15" t="str">
        <x:v>source path + receipt + raw/export status + claim/edge/risk delta</x:v>
      </x:c>
      <x:c r="I1520" s="15" t="str">
        <x:v>packet/SWARM-11-H07-S07</x:v>
      </x:c>
      <x:c r="J1520" s="15" t="str">
        <x:v>TODO</x:v>
      </x:c>
      <x:c r="K1520" s="15" t="str">
        <x:v>P1</x:v>
      </x:c>
      <x:c r="L1520" s="15" t="str">
        <x:v>Done only when evidence is logged, contradiction search is noted, and boundary stamp remains non-canon unless ratified</x:v>
      </x:c>
      <x:c r="M1520" s="15" t="str">
        <x:v>candidate / staging-only / not canon / not deployed / authority none</x:v>
      </x:c>
      <x:c r="N1520" s="15" t="str">
        <x:v>Dispatch to ClaudeCatcher: complete Graph Node Proposals x Planetarium; return deltas only, receipts required.</x:v>
      </x:c>
      <x:c r="O1520" s="15" t="str">
        <x:v>AF-KG-H07-S07</x:v>
      </x:c>
      <x:c r="P1520" s="15" t="str">
        <x:v>Unverified</x:v>
      </x:c>
      <x:c r="Q1520" s="15" t="str">
        <x:v>Not checked</x:v>
      </x:c>
      <x:c r="R1520" s="15" t="str"/>
      <x:c r="S1520" s="15" t="str"/>
      <x:c r="T1520" s="15" t="str">
        <x:v>Log first source path or blocker</x:v>
      </x:c>
      <x:c r="U1520" s="12" t="str">
        <x:f>IF(OR(P1520="Unverified",Q1520="Not checked"),"BLOCKED_PENDING_RECEIPT","READY_FOR_REVIEW")</x:f>
        <x:v>BLOCKED_PENDING_RECEIPT</x:v>
      </x:c>
      <x:c r="V1520" s="12" t="str">
        <x:f>IF(J1520="DONE","RETURNED",IF(U1520="BLOCKED_PENDING_RECEIPT","SOURCE_TOUCH_REQUIRED","IN_PROGRESS"))</x:f>
        <x:v>SOURCE_TOUCH_REQUIRED</x:v>
      </x:c>
      <x:c r="W1520" s="12" t="str">
        <x:f>IF(P1520="Unverified","missing_receipt","receipt_logged")</x:f>
        <x:v>missing_receipt</x:v>
      </x:c>
      <x:c r="X1520" s="12" t="str">
        <x:f>IF(Q1520="Not checked","raw_status_missing","raw_status_logged")</x:f>
        <x:v>raw_status_missing</x:v>
      </x:c>
      <x:c r="Y1520" s="12" t="str">
        <x:f>IF(U1520="BLOCKED_PENDING_RECEIPT","Log source path or blocker; do not promote","Route to review lane")</x:f>
        <x:v>Log source path or blocker; do not promote</x:v>
      </x:c>
      <x:c r="Z1520" s="12" t="str">
        <x:f>IF(K1520="P0","Primary seat + Hashlight/Lucerna","Seat lane")</x:f>
        <x:v>Seat lane</x:v>
      </x:c>
      <x:c r="AA1520" s="12" t="str">
        <x:f>IF(R1520="","no_claim_delta","claim_delta_present")</x:f>
        <x:v>no_claim_delta</x:v>
      </x:c>
      <x:c r="AB1520" s="12" t="str">
        <x:f>IF(S1520="","no_contradiction_delta","contradiction_delta_present")</x:f>
        <x:v>no_contradiction_delta</x:v>
      </x:c>
      <x:c r="AC1520" s="12" t="str">
        <x:f>IF(OR(ISNUMBER(SEARCH("hacker",LOWER(F1520&amp;" "&amp;H1520&amp;" "&amp;I1520&amp;" "&amp;M1520&amp;" "&amp;N1520&amp;" "&amp;T1520))),ISNUMBER(SEARCH("hacking",LOWER(F1520&amp;" "&amp;H1520&amp;" "&amp;I1520&amp;" "&amp;M1520&amp;" "&amp;N1520&amp;" "&amp;T1520))),ISNUMBER(SEARCH("bank",LOWER(F1520&amp;" "&amp;H1520&amp;" "&amp;I1520&amp;" "&amp;M1520&amp;" "&amp;N1520&amp;" "&amp;T1520))),ISNUMBER(SEARCH("banking",LOWER(F1520&amp;" "&amp;H1520&amp;" "&amp;I1520&amp;" "&amp;M1520&amp;" "&amp;N1520&amp;" "&amp;T1520)))),"PRIVATE_QUARANTINE",IF(OR(ISNUMBER(SEARCH("treasury",LOWER(F1520&amp;" "&amp;H1520&amp;" "&amp;I1520&amp;" "&amp;M1520&amp;" "&amp;N1520&amp;" "&amp;T1520))),ISNUMBER(SEARCH("debt",LOWER(F1520&amp;" "&amp;H1520&amp;" "&amp;I1520&amp;" "&amp;M1520&amp;" "&amp;N1520&amp;" "&amp;T1520))),ISNUMBER(SEARCH("bond",LOWER(F1520&amp;" "&amp;H1520&amp;" "&amp;I1520&amp;" "&amp;M1520&amp;" "&amp;N1520&amp;" "&amp;T1520))),ISNUMBER(SEARCH("transaction",LOWER(F1520&amp;" "&amp;H1520&amp;" "&amp;I1520&amp;" "&amp;M1520&amp;" "&amp;N1520&amp;" "&amp;T1520)))),"PRIVATE_REVIEW","PUBLIC_CANDIDATE"))</x:f>
        <x:v>PUBLIC_CANDIDATE</x:v>
      </x:c>
      <x:c r="AD1520" s="12" t="str">
        <x:f>IF(AC1520="PRIVATE_QUARANTINE","hacker_or_bank_trigger",IF(AC1520="PRIVATE_REVIEW","finance_risk_trigger","none"))</x:f>
        <x:v>none</x:v>
      </x:c>
      <x:c r="AE1520" s="12" t="str">
        <x:f>IF(AC1520="PUBLIC_CANDIDATE","prepare_public_github_candidate",IF(AC1520="PRIVATE_REVIEW","hold_for_private_review","quarantine_private_do_not_publish"))</x:f>
        <x:v>prepare_public_github_candidate</x:v>
      </x:c>
      <x:c r="AF1520" s="12" t="str">
        <x:f>IF(AC1520="PUBLIC_CANDIDATE","TIDELOCK + Lucerna",IF(AC1520="PRIVATE_REVIEW","AtlasBrain + Lucerna","TIDELOCK + Lucerna + Human-root"))</x:f>
        <x:v>TIDELOCK + Lucerna</x:v>
      </x:c>
      <x:c r="AG1520" s="12" t="str">
        <x:f>IF(AND(AC1520="PUBLIC_CANDIDATE",U1520&lt;&gt;"BLOCKED_PENDING_RECEIPT"),"READY_AFTER_RECEIPT","NOT_READY")</x:f>
        <x:v>NOT_READY</x:v>
      </x:c>
      <x:c r="AH1520" s="12" t="str">
        <x:f>IF(AC1520="PUBLIC_CANDIDATE","none",AD1520)</x:f>
        <x:v>none</x:v>
      </x:c>
      <x:c r="AI1520" s="12" t="str">
        <x:f>IF(AC1520="PUBLIC_CANDIDATE","archive/public_candidates/"&amp;A1520,"private_quarantine/"&amp;A1520)</x:f>
        <x:v>archive/public_candidates/SWARM-11-H07-S07</x:v>
      </x:c>
      <x:c r="AJ1520" s="12" t="str">
        <x:f>IF(AC1520="PUBLIC_CANDIDATE","public by default; still not canon","private/hold; do not publish")</x:f>
        <x:v>public by default; still not canon</x:v>
      </x:c>
      <x:c r="AK1520" s="12" t="str">
        <x:f>IF(AE1520="prepare_public_github_candidate","add receipt/status then mirror","resolve blocker before any public GitHub action")</x:f>
        <x:v>add receipt/status then mirror</x:v>
      </x:c>
    </x:row>
    <x:row r="1521">
      <x:c r="A1521" s="15" t="str">
        <x:v>SWARM-11-H07-S08</x:v>
      </x:c>
      <x:c r="B1521" s="15" t="str">
        <x:v>ClaudeCatcher</x:v>
      </x:c>
      <x:c r="C1521" s="15" t="str">
        <x:v>Bullshit Olympics referee</x:v>
      </x:c>
      <x:c r="D1521" s="15" t="str">
        <x:v>Graph Node Proposals</x:v>
      </x:c>
      <x:c r="E1521" s="15" t="str">
        <x:v>Sheldonbrain</x:v>
      </x:c>
      <x:c r="F1521" s="15" t="str">
        <x:v>Propose graph nodes for Sheldonbrain — ClaudeCatcher</x:v>
      </x:c>
      <x:c r="G1521" s="15" t="str">
        <x:v>adversarial claims / model overclaim detection</x:v>
      </x:c>
      <x:c r="H1521" s="15" t="str">
        <x:v>source path + receipt + raw/export status + claim/edge/risk delta</x:v>
      </x:c>
      <x:c r="I1521" s="15" t="str">
        <x:v>packet/SWARM-11-H07-S08</x:v>
      </x:c>
      <x:c r="J1521" s="15" t="str">
        <x:v>TODO</x:v>
      </x:c>
      <x:c r="K1521" s="15" t="str">
        <x:v>P1</x:v>
      </x:c>
      <x:c r="L1521" s="15" t="str">
        <x:v>Done only when evidence is logged, contradiction search is noted, and boundary stamp remains non-canon unless ratified</x:v>
      </x:c>
      <x:c r="M1521" s="15" t="str">
        <x:v>candidate / staging-only / not canon / not deployed / authority none</x:v>
      </x:c>
      <x:c r="N1521" s="15" t="str">
        <x:v>Dispatch to ClaudeCatcher: complete Graph Node Proposals x Sheldonbrain; return deltas only, receipts required.</x:v>
      </x:c>
      <x:c r="O1521" s="15" t="str">
        <x:v>AF-KG-H07-S08</x:v>
      </x:c>
      <x:c r="P1521" s="15" t="str">
        <x:v>Unverified</x:v>
      </x:c>
      <x:c r="Q1521" s="15" t="str">
        <x:v>Not checked</x:v>
      </x:c>
      <x:c r="R1521" s="15" t="str"/>
      <x:c r="S1521" s="15" t="str"/>
      <x:c r="T1521" s="15" t="str">
        <x:v>Log first source path or blocker</x:v>
      </x:c>
      <x:c r="U1521" s="12" t="str">
        <x:f>IF(OR(P1521="Unverified",Q1521="Not checked"),"BLOCKED_PENDING_RECEIPT","READY_FOR_REVIEW")</x:f>
        <x:v>BLOCKED_PENDING_RECEIPT</x:v>
      </x:c>
      <x:c r="V1521" s="12" t="str">
        <x:f>IF(J1521="DONE","RETURNED",IF(U1521="BLOCKED_PENDING_RECEIPT","SOURCE_TOUCH_REQUIRED","IN_PROGRESS"))</x:f>
        <x:v>SOURCE_TOUCH_REQUIRED</x:v>
      </x:c>
      <x:c r="W1521" s="12" t="str">
        <x:f>IF(P1521="Unverified","missing_receipt","receipt_logged")</x:f>
        <x:v>missing_receipt</x:v>
      </x:c>
      <x:c r="X1521" s="12" t="str">
        <x:f>IF(Q1521="Not checked","raw_status_missing","raw_status_logged")</x:f>
        <x:v>raw_status_missing</x:v>
      </x:c>
      <x:c r="Y1521" s="12" t="str">
        <x:f>IF(U1521="BLOCKED_PENDING_RECEIPT","Log source path or blocker; do not promote","Route to review lane")</x:f>
        <x:v>Log source path or blocker; do not promote</x:v>
      </x:c>
      <x:c r="Z1521" s="12" t="str">
        <x:f>IF(K1521="P0","Primary seat + Hashlight/Lucerna","Seat lane")</x:f>
        <x:v>Seat lane</x:v>
      </x:c>
      <x:c r="AA1521" s="12" t="str">
        <x:f>IF(R1521="","no_claim_delta","claim_delta_present")</x:f>
        <x:v>no_claim_delta</x:v>
      </x:c>
      <x:c r="AB1521" s="12" t="str">
        <x:f>IF(S1521="","no_contradiction_delta","contradiction_delta_present")</x:f>
        <x:v>no_contradiction_delta</x:v>
      </x:c>
      <x:c r="AC1521" s="12" t="str">
        <x:f>IF(OR(ISNUMBER(SEARCH("hacker",LOWER(F1521&amp;" "&amp;H1521&amp;" "&amp;I1521&amp;" "&amp;M1521&amp;" "&amp;N1521&amp;" "&amp;T1521))),ISNUMBER(SEARCH("hacking",LOWER(F1521&amp;" "&amp;H1521&amp;" "&amp;I1521&amp;" "&amp;M1521&amp;" "&amp;N1521&amp;" "&amp;T1521))),ISNUMBER(SEARCH("bank",LOWER(F1521&amp;" "&amp;H1521&amp;" "&amp;I1521&amp;" "&amp;M1521&amp;" "&amp;N1521&amp;" "&amp;T1521))),ISNUMBER(SEARCH("banking",LOWER(F1521&amp;" "&amp;H1521&amp;" "&amp;I1521&amp;" "&amp;M1521&amp;" "&amp;N1521&amp;" "&amp;T1521)))),"PRIVATE_QUARANTINE",IF(OR(ISNUMBER(SEARCH("treasury",LOWER(F1521&amp;" "&amp;H1521&amp;" "&amp;I1521&amp;" "&amp;M1521&amp;" "&amp;N1521&amp;" "&amp;T1521))),ISNUMBER(SEARCH("debt",LOWER(F1521&amp;" "&amp;H1521&amp;" "&amp;I1521&amp;" "&amp;M1521&amp;" "&amp;N1521&amp;" "&amp;T1521))),ISNUMBER(SEARCH("bond",LOWER(F1521&amp;" "&amp;H1521&amp;" "&amp;I1521&amp;" "&amp;M1521&amp;" "&amp;N1521&amp;" "&amp;T1521))),ISNUMBER(SEARCH("transaction",LOWER(F1521&amp;" "&amp;H1521&amp;" "&amp;I1521&amp;" "&amp;M1521&amp;" "&amp;N1521&amp;" "&amp;T1521)))),"PRIVATE_REVIEW","PUBLIC_CANDIDATE"))</x:f>
        <x:v>PUBLIC_CANDIDATE</x:v>
      </x:c>
      <x:c r="AD1521" s="12" t="str">
        <x:f>IF(AC1521="PRIVATE_QUARANTINE","hacker_or_bank_trigger",IF(AC1521="PRIVATE_REVIEW","finance_risk_trigger","none"))</x:f>
        <x:v>none</x:v>
      </x:c>
      <x:c r="AE1521" s="12" t="str">
        <x:f>IF(AC1521="PUBLIC_CANDIDATE","prepare_public_github_candidate",IF(AC1521="PRIVATE_REVIEW","hold_for_private_review","quarantine_private_do_not_publish"))</x:f>
        <x:v>prepare_public_github_candidate</x:v>
      </x:c>
      <x:c r="AF1521" s="12" t="str">
        <x:f>IF(AC1521="PUBLIC_CANDIDATE","TIDELOCK + Lucerna",IF(AC1521="PRIVATE_REVIEW","AtlasBrain + Lucerna","TIDELOCK + Lucerna + Human-root"))</x:f>
        <x:v>TIDELOCK + Lucerna</x:v>
      </x:c>
      <x:c r="AG1521" s="12" t="str">
        <x:f>IF(AND(AC1521="PUBLIC_CANDIDATE",U1521&lt;&gt;"BLOCKED_PENDING_RECEIPT"),"READY_AFTER_RECEIPT","NOT_READY")</x:f>
        <x:v>NOT_READY</x:v>
      </x:c>
      <x:c r="AH1521" s="12" t="str">
        <x:f>IF(AC1521="PUBLIC_CANDIDATE","none",AD1521)</x:f>
        <x:v>none</x:v>
      </x:c>
      <x:c r="AI1521" s="12" t="str">
        <x:f>IF(AC1521="PUBLIC_CANDIDATE","archive/public_candidates/"&amp;A1521,"private_quarantine/"&amp;A1521)</x:f>
        <x:v>archive/public_candidates/SWARM-11-H07-S08</x:v>
      </x:c>
      <x:c r="AJ1521" s="12" t="str">
        <x:f>IF(AC1521="PUBLIC_CANDIDATE","public by default; still not canon","private/hold; do not publish")</x:f>
        <x:v>public by default; still not canon</x:v>
      </x:c>
      <x:c r="AK1521" s="12" t="str">
        <x:f>IF(AE1521="prepare_public_github_candidate","add receipt/status then mirror","resolve blocker before any public GitHub action")</x:f>
        <x:v>add receipt/status then mirror</x:v>
      </x:c>
    </x:row>
    <x:row r="1522">
      <x:c r="A1522" s="15" t="str">
        <x:v>SWARM-11-H07-S09</x:v>
      </x:c>
      <x:c r="B1522" s="15" t="str">
        <x:v>ClaudeCatcher</x:v>
      </x:c>
      <x:c r="C1522" s="15" t="str">
        <x:v>Bullshit Olympics referee</x:v>
      </x:c>
      <x:c r="D1522" s="15" t="str">
        <x:v>Graph Node Proposals</x:v>
      </x:c>
      <x:c r="E1522" s="15" t="str">
        <x:v>Aetherforge</x:v>
      </x:c>
      <x:c r="F1522" s="15" t="str">
        <x:v>Propose graph nodes for Aetherforge — ClaudeCatcher</x:v>
      </x:c>
      <x:c r="G1522" s="15" t="str">
        <x:v>adversarial claims / model overclaim detection</x:v>
      </x:c>
      <x:c r="H1522" s="15" t="str">
        <x:v>source path + receipt + raw/export status + claim/edge/risk delta</x:v>
      </x:c>
      <x:c r="I1522" s="15" t="str">
        <x:v>packet/SWARM-11-H07-S09</x:v>
      </x:c>
      <x:c r="J1522" s="15" t="str">
        <x:v>TODO</x:v>
      </x:c>
      <x:c r="K1522" s="15" t="str">
        <x:v>P2</x:v>
      </x:c>
      <x:c r="L1522" s="15" t="str">
        <x:v>Done only when evidence is logged, contradiction search is noted, and boundary stamp remains non-canon unless ratified</x:v>
      </x:c>
      <x:c r="M1522" s="15" t="str">
        <x:v>candidate / staging-only / not canon / not deployed / authority none</x:v>
      </x:c>
      <x:c r="N1522" s="15" t="str">
        <x:v>Dispatch to ClaudeCatcher: complete Graph Node Proposals x Aetherforge; return deltas only, receipts required.</x:v>
      </x:c>
      <x:c r="O1522" s="15" t="str">
        <x:v>AF-KG-H07-S09</x:v>
      </x:c>
      <x:c r="P1522" s="15" t="str">
        <x:v>Unverified</x:v>
      </x:c>
      <x:c r="Q1522" s="15" t="str">
        <x:v>Not checked</x:v>
      </x:c>
      <x:c r="R1522" s="15" t="str"/>
      <x:c r="S1522" s="15" t="str"/>
      <x:c r="T1522" s="15" t="str">
        <x:v>Log first source path or blocker</x:v>
      </x:c>
      <x:c r="U1522" s="12" t="str">
        <x:f>IF(OR(P1522="Unverified",Q1522="Not checked"),"BLOCKED_PENDING_RECEIPT","READY_FOR_REVIEW")</x:f>
        <x:v>BLOCKED_PENDING_RECEIPT</x:v>
      </x:c>
      <x:c r="V1522" s="12" t="str">
        <x:f>IF(J1522="DONE","RETURNED",IF(U1522="BLOCKED_PENDING_RECEIPT","SOURCE_TOUCH_REQUIRED","IN_PROGRESS"))</x:f>
        <x:v>SOURCE_TOUCH_REQUIRED</x:v>
      </x:c>
      <x:c r="W1522" s="12" t="str">
        <x:f>IF(P1522="Unverified","missing_receipt","receipt_logged")</x:f>
        <x:v>missing_receipt</x:v>
      </x:c>
      <x:c r="X1522" s="12" t="str">
        <x:f>IF(Q1522="Not checked","raw_status_missing","raw_status_logged")</x:f>
        <x:v>raw_status_missing</x:v>
      </x:c>
      <x:c r="Y1522" s="12" t="str">
        <x:f>IF(U1522="BLOCKED_PENDING_RECEIPT","Log source path or blocker; do not promote","Route to review lane")</x:f>
        <x:v>Log source path or blocker; do not promote</x:v>
      </x:c>
      <x:c r="Z1522" s="12" t="str">
        <x:f>IF(K1522="P0","Primary seat + Hashlight/Lucerna","Seat lane")</x:f>
        <x:v>Seat lane</x:v>
      </x:c>
      <x:c r="AA1522" s="12" t="str">
        <x:f>IF(R1522="","no_claim_delta","claim_delta_present")</x:f>
        <x:v>no_claim_delta</x:v>
      </x:c>
      <x:c r="AB1522" s="12" t="str">
        <x:f>IF(S1522="","no_contradiction_delta","contradiction_delta_present")</x:f>
        <x:v>no_contradiction_delta</x:v>
      </x:c>
      <x:c r="AC1522" s="12" t="str">
        <x:f>IF(OR(ISNUMBER(SEARCH("hacker",LOWER(F1522&amp;" "&amp;H1522&amp;" "&amp;I1522&amp;" "&amp;M1522&amp;" "&amp;N1522&amp;" "&amp;T1522))),ISNUMBER(SEARCH("hacking",LOWER(F1522&amp;" "&amp;H1522&amp;" "&amp;I1522&amp;" "&amp;M1522&amp;" "&amp;N1522&amp;" "&amp;T1522))),ISNUMBER(SEARCH("bank",LOWER(F1522&amp;" "&amp;H1522&amp;" "&amp;I1522&amp;" "&amp;M1522&amp;" "&amp;N1522&amp;" "&amp;T1522))),ISNUMBER(SEARCH("banking",LOWER(F1522&amp;" "&amp;H1522&amp;" "&amp;I1522&amp;" "&amp;M1522&amp;" "&amp;N1522&amp;" "&amp;T1522)))),"PRIVATE_QUARANTINE",IF(OR(ISNUMBER(SEARCH("treasury",LOWER(F1522&amp;" "&amp;H1522&amp;" "&amp;I1522&amp;" "&amp;M1522&amp;" "&amp;N1522&amp;" "&amp;T1522))),ISNUMBER(SEARCH("debt",LOWER(F1522&amp;" "&amp;H1522&amp;" "&amp;I1522&amp;" "&amp;M1522&amp;" "&amp;N1522&amp;" "&amp;T1522))),ISNUMBER(SEARCH("bond",LOWER(F1522&amp;" "&amp;H1522&amp;" "&amp;I1522&amp;" "&amp;M1522&amp;" "&amp;N1522&amp;" "&amp;T1522))),ISNUMBER(SEARCH("transaction",LOWER(F1522&amp;" "&amp;H1522&amp;" "&amp;I1522&amp;" "&amp;M1522&amp;" "&amp;N1522&amp;" "&amp;T1522)))),"PRIVATE_REVIEW","PUBLIC_CANDIDATE"))</x:f>
        <x:v>PUBLIC_CANDIDATE</x:v>
      </x:c>
      <x:c r="AD1522" s="12" t="str">
        <x:f>IF(AC1522="PRIVATE_QUARANTINE","hacker_or_bank_trigger",IF(AC1522="PRIVATE_REVIEW","finance_risk_trigger","none"))</x:f>
        <x:v>none</x:v>
      </x:c>
      <x:c r="AE1522" s="12" t="str">
        <x:f>IF(AC1522="PUBLIC_CANDIDATE","prepare_public_github_candidate",IF(AC1522="PRIVATE_REVIEW","hold_for_private_review","quarantine_private_do_not_publish"))</x:f>
        <x:v>prepare_public_github_candidate</x:v>
      </x:c>
      <x:c r="AF1522" s="12" t="str">
        <x:f>IF(AC1522="PUBLIC_CANDIDATE","TIDELOCK + Lucerna",IF(AC1522="PRIVATE_REVIEW","AtlasBrain + Lucerna","TIDELOCK + Lucerna + Human-root"))</x:f>
        <x:v>TIDELOCK + Lucerna</x:v>
      </x:c>
      <x:c r="AG1522" s="12" t="str">
        <x:f>IF(AND(AC1522="PUBLIC_CANDIDATE",U1522&lt;&gt;"BLOCKED_PENDING_RECEIPT"),"READY_AFTER_RECEIPT","NOT_READY")</x:f>
        <x:v>NOT_READY</x:v>
      </x:c>
      <x:c r="AH1522" s="12" t="str">
        <x:f>IF(AC1522="PUBLIC_CANDIDATE","none",AD1522)</x:f>
        <x:v>none</x:v>
      </x:c>
      <x:c r="AI1522" s="12" t="str">
        <x:f>IF(AC1522="PUBLIC_CANDIDATE","archive/public_candidates/"&amp;A1522,"private_quarantine/"&amp;A1522)</x:f>
        <x:v>archive/public_candidates/SWARM-11-H07-S09</x:v>
      </x:c>
      <x:c r="AJ1522" s="12" t="str">
        <x:f>IF(AC1522="PUBLIC_CANDIDATE","public by default; still not canon","private/hold; do not publish")</x:f>
        <x:v>public by default; still not canon</x:v>
      </x:c>
      <x:c r="AK1522" s="12" t="str">
        <x:f>IF(AE1522="prepare_public_github_candidate","add receipt/status then mirror","resolve blocker before any public GitHub action")</x:f>
        <x:v>add receipt/status then mirror</x:v>
      </x:c>
    </x:row>
    <x:row r="1523">
      <x:c r="A1523" s="15" t="str">
        <x:v>SWARM-11-H07-S10</x:v>
      </x:c>
      <x:c r="B1523" s="15" t="str">
        <x:v>ClaudeCatcher</x:v>
      </x:c>
      <x:c r="C1523" s="15" t="str">
        <x:v>Bullshit Olympics referee</x:v>
      </x:c>
      <x:c r="D1523" s="15" t="str">
        <x:v>Graph Node Proposals</x:v>
      </x:c>
      <x:c r="E1523" s="15" t="str">
        <x:v>Human-Root</x:v>
      </x:c>
      <x:c r="F1523" s="15" t="str">
        <x:v>Propose graph nodes for Human-Root — ClaudeCatcher</x:v>
      </x:c>
      <x:c r="G1523" s="15" t="str">
        <x:v>adversarial claims / model overclaim detection</x:v>
      </x:c>
      <x:c r="H1523" s="15" t="str">
        <x:v>source path + receipt + raw/export status + claim/edge/risk delta</x:v>
      </x:c>
      <x:c r="I1523" s="15" t="str">
        <x:v>packet/SWARM-11-H07-S10</x:v>
      </x:c>
      <x:c r="J1523" s="15" t="str">
        <x:v>TODO</x:v>
      </x:c>
      <x:c r="K1523" s="15" t="str">
        <x:v>P2</x:v>
      </x:c>
      <x:c r="L1523" s="15" t="str">
        <x:v>Done only when evidence is logged, contradiction search is noted, and boundary stamp remains non-canon unless ratified</x:v>
      </x:c>
      <x:c r="M1523" s="15" t="str">
        <x:v>candidate / staging-only / not canon / not deployed / authority none</x:v>
      </x:c>
      <x:c r="N1523" s="15" t="str">
        <x:v>Dispatch to ClaudeCatcher: complete Graph Node Proposals x Human-Root; return deltas only, receipts required.</x:v>
      </x:c>
      <x:c r="O1523" s="15" t="str">
        <x:v>AF-KG-H07-S10</x:v>
      </x:c>
      <x:c r="P1523" s="15" t="str">
        <x:v>Unverified</x:v>
      </x:c>
      <x:c r="Q1523" s="15" t="str">
        <x:v>Not checked</x:v>
      </x:c>
      <x:c r="R1523" s="15" t="str"/>
      <x:c r="S1523" s="15" t="str"/>
      <x:c r="T1523" s="15" t="str">
        <x:v>Log first source path or blocker</x:v>
      </x:c>
      <x:c r="U1523" s="12" t="str">
        <x:f>IF(OR(P1523="Unverified",Q1523="Not checked"),"BLOCKED_PENDING_RECEIPT","READY_FOR_REVIEW")</x:f>
        <x:v>BLOCKED_PENDING_RECEIPT</x:v>
      </x:c>
      <x:c r="V1523" s="12" t="str">
        <x:f>IF(J1523="DONE","RETURNED",IF(U1523="BLOCKED_PENDING_RECEIPT","SOURCE_TOUCH_REQUIRED","IN_PROGRESS"))</x:f>
        <x:v>SOURCE_TOUCH_REQUIRED</x:v>
      </x:c>
      <x:c r="W1523" s="12" t="str">
        <x:f>IF(P1523="Unverified","missing_receipt","receipt_logged")</x:f>
        <x:v>missing_receipt</x:v>
      </x:c>
      <x:c r="X1523" s="12" t="str">
        <x:f>IF(Q1523="Not checked","raw_status_missing","raw_status_logged")</x:f>
        <x:v>raw_status_missing</x:v>
      </x:c>
      <x:c r="Y1523" s="12" t="str">
        <x:f>IF(U1523="BLOCKED_PENDING_RECEIPT","Log source path or blocker; do not promote","Route to review lane")</x:f>
        <x:v>Log source path or blocker; do not promote</x:v>
      </x:c>
      <x:c r="Z1523" s="12" t="str">
        <x:f>IF(K1523="P0","Primary seat + Hashlight/Lucerna","Seat lane")</x:f>
        <x:v>Seat lane</x:v>
      </x:c>
      <x:c r="AA1523" s="12" t="str">
        <x:f>IF(R1523="","no_claim_delta","claim_delta_present")</x:f>
        <x:v>no_claim_delta</x:v>
      </x:c>
      <x:c r="AB1523" s="12" t="str">
        <x:f>IF(S1523="","no_contradiction_delta","contradiction_delta_present")</x:f>
        <x:v>no_contradiction_delta</x:v>
      </x:c>
      <x:c r="AC1523" s="12" t="str">
        <x:f>IF(OR(ISNUMBER(SEARCH("hacker",LOWER(F1523&amp;" "&amp;H1523&amp;" "&amp;I1523&amp;" "&amp;M1523&amp;" "&amp;N1523&amp;" "&amp;T1523))),ISNUMBER(SEARCH("hacking",LOWER(F1523&amp;" "&amp;H1523&amp;" "&amp;I1523&amp;" "&amp;M1523&amp;" "&amp;N1523&amp;" "&amp;T1523))),ISNUMBER(SEARCH("bank",LOWER(F1523&amp;" "&amp;H1523&amp;" "&amp;I1523&amp;" "&amp;M1523&amp;" "&amp;N1523&amp;" "&amp;T1523))),ISNUMBER(SEARCH("banking",LOWER(F1523&amp;" "&amp;H1523&amp;" "&amp;I1523&amp;" "&amp;M1523&amp;" "&amp;N1523&amp;" "&amp;T1523)))),"PRIVATE_QUARANTINE",IF(OR(ISNUMBER(SEARCH("treasury",LOWER(F1523&amp;" "&amp;H1523&amp;" "&amp;I1523&amp;" "&amp;M1523&amp;" "&amp;N1523&amp;" "&amp;T1523))),ISNUMBER(SEARCH("debt",LOWER(F1523&amp;" "&amp;H1523&amp;" "&amp;I1523&amp;" "&amp;M1523&amp;" "&amp;N1523&amp;" "&amp;T1523))),ISNUMBER(SEARCH("bond",LOWER(F1523&amp;" "&amp;H1523&amp;" "&amp;I1523&amp;" "&amp;M1523&amp;" "&amp;N1523&amp;" "&amp;T1523))),ISNUMBER(SEARCH("transaction",LOWER(F1523&amp;" "&amp;H1523&amp;" "&amp;I1523&amp;" "&amp;M1523&amp;" "&amp;N1523&amp;" "&amp;T1523)))),"PRIVATE_REVIEW","PUBLIC_CANDIDATE"))</x:f>
        <x:v>PUBLIC_CANDIDATE</x:v>
      </x:c>
      <x:c r="AD1523" s="12" t="str">
        <x:f>IF(AC1523="PRIVATE_QUARANTINE","hacker_or_bank_trigger",IF(AC1523="PRIVATE_REVIEW","finance_risk_trigger","none"))</x:f>
        <x:v>none</x:v>
      </x:c>
      <x:c r="AE1523" s="12" t="str">
        <x:f>IF(AC1523="PUBLIC_CANDIDATE","prepare_public_github_candidate",IF(AC1523="PRIVATE_REVIEW","hold_for_private_review","quarantine_private_do_not_publish"))</x:f>
        <x:v>prepare_public_github_candidate</x:v>
      </x:c>
      <x:c r="AF1523" s="12" t="str">
        <x:f>IF(AC1523="PUBLIC_CANDIDATE","TIDELOCK + Lucerna",IF(AC1523="PRIVATE_REVIEW","AtlasBrain + Lucerna","TIDELOCK + Lucerna + Human-root"))</x:f>
        <x:v>TIDELOCK + Lucerna</x:v>
      </x:c>
      <x:c r="AG1523" s="12" t="str">
        <x:f>IF(AND(AC1523="PUBLIC_CANDIDATE",U1523&lt;&gt;"BLOCKED_PENDING_RECEIPT"),"READY_AFTER_RECEIPT","NOT_READY")</x:f>
        <x:v>NOT_READY</x:v>
      </x:c>
      <x:c r="AH1523" s="12" t="str">
        <x:f>IF(AC1523="PUBLIC_CANDIDATE","none",AD1523)</x:f>
        <x:v>none</x:v>
      </x:c>
      <x:c r="AI1523" s="12" t="str">
        <x:f>IF(AC1523="PUBLIC_CANDIDATE","archive/public_candidates/"&amp;A1523,"private_quarantine/"&amp;A1523)</x:f>
        <x:v>archive/public_candidates/SWARM-11-H07-S10</x:v>
      </x:c>
      <x:c r="AJ1523" s="12" t="str">
        <x:f>IF(AC1523="PUBLIC_CANDIDATE","public by default; still not canon","private/hold; do not publish")</x:f>
        <x:v>public by default; still not canon</x:v>
      </x:c>
      <x:c r="AK1523" s="12" t="str">
        <x:f>IF(AE1523="prepare_public_github_candidate","add receipt/status then mirror","resolve blocker before any public GitHub action")</x:f>
        <x:v>add receipt/status then mirror</x:v>
      </x:c>
    </x:row>
    <x:row r="1524">
      <x:c r="A1524" s="15" t="str">
        <x:v>SWARM-11-H07-S11</x:v>
      </x:c>
      <x:c r="B1524" s="15" t="str">
        <x:v>ClaudeCatcher</x:v>
      </x:c>
      <x:c r="C1524" s="15" t="str">
        <x:v>Bullshit Olympics referee</x:v>
      </x:c>
      <x:c r="D1524" s="15" t="str">
        <x:v>Graph Node Proposals</x:v>
      </x:c>
      <x:c r="E1524" s="15" t="str">
        <x:v>Automation</x:v>
      </x:c>
      <x:c r="F1524" s="15" t="str">
        <x:v>Propose graph nodes for Automation — ClaudeCatcher</x:v>
      </x:c>
      <x:c r="G1524" s="15" t="str">
        <x:v>adversarial claims / model overclaim detection</x:v>
      </x:c>
      <x:c r="H1524" s="15" t="str">
        <x:v>source path + receipt + raw/export status + claim/edge/risk delta</x:v>
      </x:c>
      <x:c r="I1524" s="15" t="str">
        <x:v>packet/SWARM-11-H07-S11</x:v>
      </x:c>
      <x:c r="J1524" s="15" t="str">
        <x:v>TODO</x:v>
      </x:c>
      <x:c r="K1524" s="15" t="str">
        <x:v>P2</x:v>
      </x:c>
      <x:c r="L1524" s="15" t="str">
        <x:v>Done only when evidence is logged, contradiction search is noted, and boundary stamp remains non-canon unless ratified</x:v>
      </x:c>
      <x:c r="M1524" s="15" t="str">
        <x:v>candidate / staging-only / not canon / not deployed / authority none</x:v>
      </x:c>
      <x:c r="N1524" s="15" t="str">
        <x:v>Dispatch to ClaudeCatcher: complete Graph Node Proposals x Automation; return deltas only, receipts required.</x:v>
      </x:c>
      <x:c r="O1524" s="15" t="str">
        <x:v>AF-KG-H07-S11</x:v>
      </x:c>
      <x:c r="P1524" s="15" t="str">
        <x:v>Unverified</x:v>
      </x:c>
      <x:c r="Q1524" s="15" t="str">
        <x:v>Not checked</x:v>
      </x:c>
      <x:c r="R1524" s="15" t="str"/>
      <x:c r="S1524" s="15" t="str"/>
      <x:c r="T1524" s="15" t="str">
        <x:v>Log first source path or blocker</x:v>
      </x:c>
      <x:c r="U1524" s="12" t="str">
        <x:f>IF(OR(P1524="Unverified",Q1524="Not checked"),"BLOCKED_PENDING_RECEIPT","READY_FOR_REVIEW")</x:f>
        <x:v>BLOCKED_PENDING_RECEIPT</x:v>
      </x:c>
      <x:c r="V1524" s="12" t="str">
        <x:f>IF(J1524="DONE","RETURNED",IF(U1524="BLOCKED_PENDING_RECEIPT","SOURCE_TOUCH_REQUIRED","IN_PROGRESS"))</x:f>
        <x:v>SOURCE_TOUCH_REQUIRED</x:v>
      </x:c>
      <x:c r="W1524" s="12" t="str">
        <x:f>IF(P1524="Unverified","missing_receipt","receipt_logged")</x:f>
        <x:v>missing_receipt</x:v>
      </x:c>
      <x:c r="X1524" s="12" t="str">
        <x:f>IF(Q1524="Not checked","raw_status_missing","raw_status_logged")</x:f>
        <x:v>raw_status_missing</x:v>
      </x:c>
      <x:c r="Y1524" s="12" t="str">
        <x:f>IF(U1524="BLOCKED_PENDING_RECEIPT","Log source path or blocker; do not promote","Route to review lane")</x:f>
        <x:v>Log source path or blocker; do not promote</x:v>
      </x:c>
      <x:c r="Z1524" s="12" t="str">
        <x:f>IF(K1524="P0","Primary seat + Hashlight/Lucerna","Seat lane")</x:f>
        <x:v>Seat lane</x:v>
      </x:c>
      <x:c r="AA1524" s="12" t="str">
        <x:f>IF(R1524="","no_claim_delta","claim_delta_present")</x:f>
        <x:v>no_claim_delta</x:v>
      </x:c>
      <x:c r="AB1524" s="12" t="str">
        <x:f>IF(S1524="","no_contradiction_delta","contradiction_delta_present")</x:f>
        <x:v>no_contradiction_delta</x:v>
      </x:c>
      <x:c r="AC1524" s="12" t="str">
        <x:f>IF(OR(ISNUMBER(SEARCH("hacker",LOWER(F1524&amp;" "&amp;H1524&amp;" "&amp;I1524&amp;" "&amp;M1524&amp;" "&amp;N1524&amp;" "&amp;T1524))),ISNUMBER(SEARCH("hacking",LOWER(F1524&amp;" "&amp;H1524&amp;" "&amp;I1524&amp;" "&amp;M1524&amp;" "&amp;N1524&amp;" "&amp;T1524))),ISNUMBER(SEARCH("bank",LOWER(F1524&amp;" "&amp;H1524&amp;" "&amp;I1524&amp;" "&amp;M1524&amp;" "&amp;N1524&amp;" "&amp;T1524))),ISNUMBER(SEARCH("banking",LOWER(F1524&amp;" "&amp;H1524&amp;" "&amp;I1524&amp;" "&amp;M1524&amp;" "&amp;N1524&amp;" "&amp;T1524)))),"PRIVATE_QUARANTINE",IF(OR(ISNUMBER(SEARCH("treasury",LOWER(F1524&amp;" "&amp;H1524&amp;" "&amp;I1524&amp;" "&amp;M1524&amp;" "&amp;N1524&amp;" "&amp;T1524))),ISNUMBER(SEARCH("debt",LOWER(F1524&amp;" "&amp;H1524&amp;" "&amp;I1524&amp;" "&amp;M1524&amp;" "&amp;N1524&amp;" "&amp;T1524))),ISNUMBER(SEARCH("bond",LOWER(F1524&amp;" "&amp;H1524&amp;" "&amp;I1524&amp;" "&amp;M1524&amp;" "&amp;N1524&amp;" "&amp;T1524))),ISNUMBER(SEARCH("transaction",LOWER(F1524&amp;" "&amp;H1524&amp;" "&amp;I1524&amp;" "&amp;M1524&amp;" "&amp;N1524&amp;" "&amp;T1524)))),"PRIVATE_REVIEW","PUBLIC_CANDIDATE"))</x:f>
        <x:v>PUBLIC_CANDIDATE</x:v>
      </x:c>
      <x:c r="AD1524" s="12" t="str">
        <x:f>IF(AC1524="PRIVATE_QUARANTINE","hacker_or_bank_trigger",IF(AC1524="PRIVATE_REVIEW","finance_risk_trigger","none"))</x:f>
        <x:v>none</x:v>
      </x:c>
      <x:c r="AE1524" s="12" t="str">
        <x:f>IF(AC1524="PUBLIC_CANDIDATE","prepare_public_github_candidate",IF(AC1524="PRIVATE_REVIEW","hold_for_private_review","quarantine_private_do_not_publish"))</x:f>
        <x:v>prepare_public_github_candidate</x:v>
      </x:c>
      <x:c r="AF1524" s="12" t="str">
        <x:f>IF(AC1524="PUBLIC_CANDIDATE","TIDELOCK + Lucerna",IF(AC1524="PRIVATE_REVIEW","AtlasBrain + Lucerna","TIDELOCK + Lucerna + Human-root"))</x:f>
        <x:v>TIDELOCK + Lucerna</x:v>
      </x:c>
      <x:c r="AG1524" s="12" t="str">
        <x:f>IF(AND(AC1524="PUBLIC_CANDIDATE",U1524&lt;&gt;"BLOCKED_PENDING_RECEIPT"),"READY_AFTER_RECEIPT","NOT_READY")</x:f>
        <x:v>NOT_READY</x:v>
      </x:c>
      <x:c r="AH1524" s="12" t="str">
        <x:f>IF(AC1524="PUBLIC_CANDIDATE","none",AD1524)</x:f>
        <x:v>none</x:v>
      </x:c>
      <x:c r="AI1524" s="12" t="str">
        <x:f>IF(AC1524="PUBLIC_CANDIDATE","archive/public_candidates/"&amp;A1524,"private_quarantine/"&amp;A1524)</x:f>
        <x:v>archive/public_candidates/SWARM-11-H07-S11</x:v>
      </x:c>
      <x:c r="AJ1524" s="12" t="str">
        <x:f>IF(AC1524="PUBLIC_CANDIDATE","public by default; still not canon","private/hold; do not publish")</x:f>
        <x:v>public by default; still not canon</x:v>
      </x:c>
      <x:c r="AK1524" s="12" t="str">
        <x:f>IF(AE1524="prepare_public_github_candidate","add receipt/status then mirror","resolve blocker before any public GitHub action")</x:f>
        <x:v>add receipt/status then mirror</x:v>
      </x:c>
    </x:row>
    <x:row r="1525">
      <x:c r="A1525" s="15" t="str">
        <x:v>SWARM-11-H07-S12</x:v>
      </x:c>
      <x:c r="B1525" s="15" t="str">
        <x:v>ClaudeCatcher</x:v>
      </x:c>
      <x:c r="C1525" s="15" t="str">
        <x:v>Bullshit Olympics referee</x:v>
      </x:c>
      <x:c r="D1525" s="15" t="str">
        <x:v>Graph Node Proposals</x:v>
      </x:c>
      <x:c r="E1525" s="15" t="str">
        <x:v>Risk / Safety</x:v>
      </x:c>
      <x:c r="F1525" s="15" t="str">
        <x:v>Propose graph nodes for Risk / Safety — ClaudeCatcher</x:v>
      </x:c>
      <x:c r="G1525" s="15" t="str">
        <x:v>adversarial claims / model overclaim detection</x:v>
      </x:c>
      <x:c r="H1525" s="15" t="str">
        <x:v>source path + receipt + raw/export status + claim/edge/risk delta</x:v>
      </x:c>
      <x:c r="I1525" s="15" t="str">
        <x:v>packet/SWARM-11-H07-S12</x:v>
      </x:c>
      <x:c r="J1525" s="15" t="str">
        <x:v>TODO</x:v>
      </x:c>
      <x:c r="K1525" s="15" t="str">
        <x:v>P2</x:v>
      </x:c>
      <x:c r="L1525" s="15" t="str">
        <x:v>Done only when evidence is logged, contradiction search is noted, and boundary stamp remains non-canon unless ratified</x:v>
      </x:c>
      <x:c r="M1525" s="15" t="str">
        <x:v>candidate / staging-only / not canon / not deployed / authority none</x:v>
      </x:c>
      <x:c r="N1525" s="15" t="str">
        <x:v>Dispatch to ClaudeCatcher: complete Graph Node Proposals x Risk / Safety; return deltas only, receipts required.</x:v>
      </x:c>
      <x:c r="O1525" s="15" t="str">
        <x:v>AF-KG-H07-S12</x:v>
      </x:c>
      <x:c r="P1525" s="15" t="str">
        <x:v>Unverified</x:v>
      </x:c>
      <x:c r="Q1525" s="15" t="str">
        <x:v>Not checked</x:v>
      </x:c>
      <x:c r="R1525" s="15" t="str"/>
      <x:c r="S1525" s="15" t="str"/>
      <x:c r="T1525" s="15" t="str">
        <x:v>Log first source path or blocker</x:v>
      </x:c>
      <x:c r="U1525" s="12" t="str">
        <x:f>IF(OR(P1525="Unverified",Q1525="Not checked"),"BLOCKED_PENDING_RECEIPT","READY_FOR_REVIEW")</x:f>
        <x:v>BLOCKED_PENDING_RECEIPT</x:v>
      </x:c>
      <x:c r="V1525" s="12" t="str">
        <x:f>IF(J1525="DONE","RETURNED",IF(U1525="BLOCKED_PENDING_RECEIPT","SOURCE_TOUCH_REQUIRED","IN_PROGRESS"))</x:f>
        <x:v>SOURCE_TOUCH_REQUIRED</x:v>
      </x:c>
      <x:c r="W1525" s="12" t="str">
        <x:f>IF(P1525="Unverified","missing_receipt","receipt_logged")</x:f>
        <x:v>missing_receipt</x:v>
      </x:c>
      <x:c r="X1525" s="12" t="str">
        <x:f>IF(Q1525="Not checked","raw_status_missing","raw_status_logged")</x:f>
        <x:v>raw_status_missing</x:v>
      </x:c>
      <x:c r="Y1525" s="12" t="str">
        <x:f>IF(U1525="BLOCKED_PENDING_RECEIPT","Log source path or blocker; do not promote","Route to review lane")</x:f>
        <x:v>Log source path or blocker; do not promote</x:v>
      </x:c>
      <x:c r="Z1525" s="12" t="str">
        <x:f>IF(K1525="P0","Primary seat + Hashlight/Lucerna","Seat lane")</x:f>
        <x:v>Seat lane</x:v>
      </x:c>
      <x:c r="AA1525" s="12" t="str">
        <x:f>IF(R1525="","no_claim_delta","claim_delta_present")</x:f>
        <x:v>no_claim_delta</x:v>
      </x:c>
      <x:c r="AB1525" s="12" t="str">
        <x:f>IF(S1525="","no_contradiction_delta","contradiction_delta_present")</x:f>
        <x:v>no_contradiction_delta</x:v>
      </x:c>
      <x:c r="AC1525" s="12" t="str">
        <x:f>IF(OR(ISNUMBER(SEARCH("hacker",LOWER(F1525&amp;" "&amp;H1525&amp;" "&amp;I1525&amp;" "&amp;M1525&amp;" "&amp;N1525&amp;" "&amp;T1525))),ISNUMBER(SEARCH("hacking",LOWER(F1525&amp;" "&amp;H1525&amp;" "&amp;I1525&amp;" "&amp;M1525&amp;" "&amp;N1525&amp;" "&amp;T1525))),ISNUMBER(SEARCH("bank",LOWER(F1525&amp;" "&amp;H1525&amp;" "&amp;I1525&amp;" "&amp;M1525&amp;" "&amp;N1525&amp;" "&amp;T1525))),ISNUMBER(SEARCH("banking",LOWER(F1525&amp;" "&amp;H1525&amp;" "&amp;I1525&amp;" "&amp;M1525&amp;" "&amp;N1525&amp;" "&amp;T1525)))),"PRIVATE_QUARANTINE",IF(OR(ISNUMBER(SEARCH("treasury",LOWER(F1525&amp;" "&amp;H1525&amp;" "&amp;I1525&amp;" "&amp;M1525&amp;" "&amp;N1525&amp;" "&amp;T1525))),ISNUMBER(SEARCH("debt",LOWER(F1525&amp;" "&amp;H1525&amp;" "&amp;I1525&amp;" "&amp;M1525&amp;" "&amp;N1525&amp;" "&amp;T1525))),ISNUMBER(SEARCH("bond",LOWER(F1525&amp;" "&amp;H1525&amp;" "&amp;I1525&amp;" "&amp;M1525&amp;" "&amp;N1525&amp;" "&amp;T1525))),ISNUMBER(SEARCH("transaction",LOWER(F1525&amp;" "&amp;H1525&amp;" "&amp;I1525&amp;" "&amp;M1525&amp;" "&amp;N1525&amp;" "&amp;T1525)))),"PRIVATE_REVIEW","PUBLIC_CANDIDATE"))</x:f>
        <x:v>PUBLIC_CANDIDATE</x:v>
      </x:c>
      <x:c r="AD1525" s="12" t="str">
        <x:f>IF(AC1525="PRIVATE_QUARANTINE","hacker_or_bank_trigger",IF(AC1525="PRIVATE_REVIEW","finance_risk_trigger","none"))</x:f>
        <x:v>none</x:v>
      </x:c>
      <x:c r="AE1525" s="12" t="str">
        <x:f>IF(AC1525="PUBLIC_CANDIDATE","prepare_public_github_candidate",IF(AC1525="PRIVATE_REVIEW","hold_for_private_review","quarantine_private_do_not_publish"))</x:f>
        <x:v>prepare_public_github_candidate</x:v>
      </x:c>
      <x:c r="AF1525" s="12" t="str">
        <x:f>IF(AC1525="PUBLIC_CANDIDATE","TIDELOCK + Lucerna",IF(AC1525="PRIVATE_REVIEW","AtlasBrain + Lucerna","TIDELOCK + Lucerna + Human-root"))</x:f>
        <x:v>TIDELOCK + Lucerna</x:v>
      </x:c>
      <x:c r="AG1525" s="12" t="str">
        <x:f>IF(AND(AC1525="PUBLIC_CANDIDATE",U1525&lt;&gt;"BLOCKED_PENDING_RECEIPT"),"READY_AFTER_RECEIPT","NOT_READY")</x:f>
        <x:v>NOT_READY</x:v>
      </x:c>
      <x:c r="AH1525" s="12" t="str">
        <x:f>IF(AC1525="PUBLIC_CANDIDATE","none",AD1525)</x:f>
        <x:v>none</x:v>
      </x:c>
      <x:c r="AI1525" s="12" t="str">
        <x:f>IF(AC1525="PUBLIC_CANDIDATE","archive/public_candidates/"&amp;A1525,"private_quarantine/"&amp;A1525)</x:f>
        <x:v>archive/public_candidates/SWARM-11-H07-S12</x:v>
      </x:c>
      <x:c r="AJ1525" s="12" t="str">
        <x:f>IF(AC1525="PUBLIC_CANDIDATE","public by default; still not canon","private/hold; do not publish")</x:f>
        <x:v>public by default; still not canon</x:v>
      </x:c>
      <x:c r="AK1525" s="12" t="str">
        <x:f>IF(AE1525="prepare_public_github_candidate","add receipt/status then mirror","resolve blocker before any public GitHub action")</x:f>
        <x:v>add receipt/status then mirror</x:v>
      </x:c>
    </x:row>
    <x:row r="1526">
      <x:c r="A1526" s="15" t="str">
        <x:v>SWARM-11-H08-S01</x:v>
      </x:c>
      <x:c r="B1526" s="15" t="str">
        <x:v>ClaudeCatcher</x:v>
      </x:c>
      <x:c r="C1526" s="15" t="str">
        <x:v>Bullshit Olympics referee</x:v>
      </x:c>
      <x:c r="D1526" s="15" t="str">
        <x:v>Graph Edge Proposals</x:v>
      </x:c>
      <x:c r="E1526" s="15" t="str">
        <x:v>Notion</x:v>
      </x:c>
      <x:c r="F1526" s="15" t="str">
        <x:v>Propose graph edges for Notion — ClaudeCatcher</x:v>
      </x:c>
      <x:c r="G1526" s="15" t="str">
        <x:v>adversarial claims / model overclaim detection</x:v>
      </x:c>
      <x:c r="H1526" s="15" t="str">
        <x:v>source path + receipt + raw/export status + claim/edge/risk delta</x:v>
      </x:c>
      <x:c r="I1526" s="15" t="str">
        <x:v>packet/SWARM-11-H08-S01</x:v>
      </x:c>
      <x:c r="J1526" s="15" t="str">
        <x:v>TODO</x:v>
      </x:c>
      <x:c r="K1526" s="15" t="str">
        <x:v>P0</x:v>
      </x:c>
      <x:c r="L1526" s="15" t="str">
        <x:v>Done only when evidence is logged, contradiction search is noted, and boundary stamp remains non-canon unless ratified</x:v>
      </x:c>
      <x:c r="M1526" s="15" t="str">
        <x:v>candidate / staging-only / not canon / not deployed / authority none</x:v>
      </x:c>
      <x:c r="N1526" s="15" t="str">
        <x:v>Dispatch to ClaudeCatcher: complete Graph Edge Proposals x Notion; return deltas only, receipts required.</x:v>
      </x:c>
      <x:c r="O1526" s="15" t="str">
        <x:v>AF-KG-H08-S01</x:v>
      </x:c>
      <x:c r="P1526" s="15" t="str">
        <x:v>Unverified</x:v>
      </x:c>
      <x:c r="Q1526" s="15" t="str">
        <x:v>Not checked</x:v>
      </x:c>
      <x:c r="R1526" s="15" t="str"/>
      <x:c r="S1526" s="15" t="str"/>
      <x:c r="T1526" s="15" t="str">
        <x:v>Log first source path or blocker</x:v>
      </x:c>
      <x:c r="U1526" s="12" t="str">
        <x:f>IF(OR(P1526="Unverified",Q1526="Not checked"),"BLOCKED_PENDING_RECEIPT","READY_FOR_REVIEW")</x:f>
        <x:v>BLOCKED_PENDING_RECEIPT</x:v>
      </x:c>
      <x:c r="V1526" s="12" t="str">
        <x:f>IF(J1526="DONE","RETURNED",IF(U1526="BLOCKED_PENDING_RECEIPT","SOURCE_TOUCH_REQUIRED","IN_PROGRESS"))</x:f>
        <x:v>SOURCE_TOUCH_REQUIRED</x:v>
      </x:c>
      <x:c r="W1526" s="12" t="str">
        <x:f>IF(P1526="Unverified","missing_receipt","receipt_logged")</x:f>
        <x:v>missing_receipt</x:v>
      </x:c>
      <x:c r="X1526" s="12" t="str">
        <x:f>IF(Q1526="Not checked","raw_status_missing","raw_status_logged")</x:f>
        <x:v>raw_status_missing</x:v>
      </x:c>
      <x:c r="Y1526" s="12" t="str">
        <x:f>IF(U1526="BLOCKED_PENDING_RECEIPT","Log source path or blocker; do not promote","Route to review lane")</x:f>
        <x:v>Log source path or blocker; do not promote</x:v>
      </x:c>
      <x:c r="Z1526" s="12" t="str">
        <x:f>IF(K1526="P0","Primary seat + Hashlight/Lucerna","Seat lane")</x:f>
        <x:v>Primary seat + Hashlight/Lucerna</x:v>
      </x:c>
      <x:c r="AA1526" s="12" t="str">
        <x:f>IF(R1526="","no_claim_delta","claim_delta_present")</x:f>
        <x:v>no_claim_delta</x:v>
      </x:c>
      <x:c r="AB1526" s="12" t="str">
        <x:f>IF(S1526="","no_contradiction_delta","contradiction_delta_present")</x:f>
        <x:v>no_contradiction_delta</x:v>
      </x:c>
      <x:c r="AC1526" s="12" t="str">
        <x:f>IF(OR(ISNUMBER(SEARCH("hacker",LOWER(F1526&amp;" "&amp;H1526&amp;" "&amp;I1526&amp;" "&amp;M1526&amp;" "&amp;N1526&amp;" "&amp;T1526))),ISNUMBER(SEARCH("hacking",LOWER(F1526&amp;" "&amp;H1526&amp;" "&amp;I1526&amp;" "&amp;M1526&amp;" "&amp;N1526&amp;" "&amp;T1526))),ISNUMBER(SEARCH("bank",LOWER(F1526&amp;" "&amp;H1526&amp;" "&amp;I1526&amp;" "&amp;M1526&amp;" "&amp;N1526&amp;" "&amp;T1526))),ISNUMBER(SEARCH("banking",LOWER(F1526&amp;" "&amp;H1526&amp;" "&amp;I1526&amp;" "&amp;M1526&amp;" "&amp;N1526&amp;" "&amp;T1526)))),"PRIVATE_QUARANTINE",IF(OR(ISNUMBER(SEARCH("treasury",LOWER(F1526&amp;" "&amp;H1526&amp;" "&amp;I1526&amp;" "&amp;M1526&amp;" "&amp;N1526&amp;" "&amp;T1526))),ISNUMBER(SEARCH("debt",LOWER(F1526&amp;" "&amp;H1526&amp;" "&amp;I1526&amp;" "&amp;M1526&amp;" "&amp;N1526&amp;" "&amp;T1526))),ISNUMBER(SEARCH("bond",LOWER(F1526&amp;" "&amp;H1526&amp;" "&amp;I1526&amp;" "&amp;M1526&amp;" "&amp;N1526&amp;" "&amp;T1526))),ISNUMBER(SEARCH("transaction",LOWER(F1526&amp;" "&amp;H1526&amp;" "&amp;I1526&amp;" "&amp;M1526&amp;" "&amp;N1526&amp;" "&amp;T1526)))),"PRIVATE_REVIEW","PUBLIC_CANDIDATE"))</x:f>
        <x:v>PUBLIC_CANDIDATE</x:v>
      </x:c>
      <x:c r="AD1526" s="12" t="str">
        <x:f>IF(AC1526="PRIVATE_QUARANTINE","hacker_or_bank_trigger",IF(AC1526="PRIVATE_REVIEW","finance_risk_trigger","none"))</x:f>
        <x:v>none</x:v>
      </x:c>
      <x:c r="AE1526" s="12" t="str">
        <x:f>IF(AC1526="PUBLIC_CANDIDATE","prepare_public_github_candidate",IF(AC1526="PRIVATE_REVIEW","hold_for_private_review","quarantine_private_do_not_publish"))</x:f>
        <x:v>prepare_public_github_candidate</x:v>
      </x:c>
      <x:c r="AF1526" s="12" t="str">
        <x:f>IF(AC1526="PUBLIC_CANDIDATE","TIDELOCK + Lucerna",IF(AC1526="PRIVATE_REVIEW","AtlasBrain + Lucerna","TIDELOCK + Lucerna + Human-root"))</x:f>
        <x:v>TIDELOCK + Lucerna</x:v>
      </x:c>
      <x:c r="AG1526" s="12" t="str">
        <x:f>IF(AND(AC1526="PUBLIC_CANDIDATE",U1526&lt;&gt;"BLOCKED_PENDING_RECEIPT"),"READY_AFTER_RECEIPT","NOT_READY")</x:f>
        <x:v>NOT_READY</x:v>
      </x:c>
      <x:c r="AH1526" s="12" t="str">
        <x:f>IF(AC1526="PUBLIC_CANDIDATE","none",AD1526)</x:f>
        <x:v>none</x:v>
      </x:c>
      <x:c r="AI1526" s="12" t="str">
        <x:f>IF(AC1526="PUBLIC_CANDIDATE","archive/public_candidates/"&amp;A1526,"private_quarantine/"&amp;A1526)</x:f>
        <x:v>archive/public_candidates/SWARM-11-H08-S01</x:v>
      </x:c>
      <x:c r="AJ1526" s="12" t="str">
        <x:f>IF(AC1526="PUBLIC_CANDIDATE","public by default; still not canon","private/hold; do not publish")</x:f>
        <x:v>public by default; still not canon</x:v>
      </x:c>
      <x:c r="AK1526" s="12" t="str">
        <x:f>IF(AE1526="prepare_public_github_candidate","add receipt/status then mirror","resolve blocker before any public GitHub action")</x:f>
        <x:v>add receipt/status then mirror</x:v>
      </x:c>
    </x:row>
    <x:row r="1527">
      <x:c r="A1527" s="15" t="str">
        <x:v>SWARM-11-H08-S02</x:v>
      </x:c>
      <x:c r="B1527" s="15" t="str">
        <x:v>ClaudeCatcher</x:v>
      </x:c>
      <x:c r="C1527" s="15" t="str">
        <x:v>Bullshit Olympics referee</x:v>
      </x:c>
      <x:c r="D1527" s="15" t="str">
        <x:v>Graph Edge Proposals</x:v>
      </x:c>
      <x:c r="E1527" s="15" t="str">
        <x:v>Drive</x:v>
      </x:c>
      <x:c r="F1527" s="15" t="str">
        <x:v>Propose graph edges for Drive — ClaudeCatcher</x:v>
      </x:c>
      <x:c r="G1527" s="15" t="str">
        <x:v>adversarial claims / model overclaim detection</x:v>
      </x:c>
      <x:c r="H1527" s="15" t="str">
        <x:v>source path + receipt + raw/export status + claim/edge/risk delta</x:v>
      </x:c>
      <x:c r="I1527" s="15" t="str">
        <x:v>packet/SWARM-11-H08-S02</x:v>
      </x:c>
      <x:c r="J1527" s="15" t="str">
        <x:v>TODO</x:v>
      </x:c>
      <x:c r="K1527" s="15" t="str">
        <x:v>P0</x:v>
      </x:c>
      <x:c r="L1527" s="15" t="str">
        <x:v>Done only when evidence is logged, contradiction search is noted, and boundary stamp remains non-canon unless ratified</x:v>
      </x:c>
      <x:c r="M1527" s="15" t="str">
        <x:v>candidate / staging-only / not canon / not deployed / authority none</x:v>
      </x:c>
      <x:c r="N1527" s="15" t="str">
        <x:v>Dispatch to ClaudeCatcher: complete Graph Edge Proposals x Drive; return deltas only, receipts required.</x:v>
      </x:c>
      <x:c r="O1527" s="15" t="str">
        <x:v>AF-KG-H08-S02</x:v>
      </x:c>
      <x:c r="P1527" s="15" t="str">
        <x:v>Unverified</x:v>
      </x:c>
      <x:c r="Q1527" s="15" t="str">
        <x:v>Not checked</x:v>
      </x:c>
      <x:c r="R1527" s="15" t="str"/>
      <x:c r="S1527" s="15" t="str"/>
      <x:c r="T1527" s="15" t="str">
        <x:v>Log first source path or blocker</x:v>
      </x:c>
      <x:c r="U1527" s="12" t="str">
        <x:f>IF(OR(P1527="Unverified",Q1527="Not checked"),"BLOCKED_PENDING_RECEIPT","READY_FOR_REVIEW")</x:f>
        <x:v>BLOCKED_PENDING_RECEIPT</x:v>
      </x:c>
      <x:c r="V1527" s="12" t="str">
        <x:f>IF(J1527="DONE","RETURNED",IF(U1527="BLOCKED_PENDING_RECEIPT","SOURCE_TOUCH_REQUIRED","IN_PROGRESS"))</x:f>
        <x:v>SOURCE_TOUCH_REQUIRED</x:v>
      </x:c>
      <x:c r="W1527" s="12" t="str">
        <x:f>IF(P1527="Unverified","missing_receipt","receipt_logged")</x:f>
        <x:v>missing_receipt</x:v>
      </x:c>
      <x:c r="X1527" s="12" t="str">
        <x:f>IF(Q1527="Not checked","raw_status_missing","raw_status_logged")</x:f>
        <x:v>raw_status_missing</x:v>
      </x:c>
      <x:c r="Y1527" s="12" t="str">
        <x:f>IF(U1527="BLOCKED_PENDING_RECEIPT","Log source path or blocker; do not promote","Route to review lane")</x:f>
        <x:v>Log source path or blocker; do not promote</x:v>
      </x:c>
      <x:c r="Z1527" s="12" t="str">
        <x:f>IF(K1527="P0","Primary seat + Hashlight/Lucerna","Seat lane")</x:f>
        <x:v>Primary seat + Hashlight/Lucerna</x:v>
      </x:c>
      <x:c r="AA1527" s="12" t="str">
        <x:f>IF(R1527="","no_claim_delta","claim_delta_present")</x:f>
        <x:v>no_claim_delta</x:v>
      </x:c>
      <x:c r="AB1527" s="12" t="str">
        <x:f>IF(S1527="","no_contradiction_delta","contradiction_delta_present")</x:f>
        <x:v>no_contradiction_delta</x:v>
      </x:c>
      <x:c r="AC1527" s="12" t="str">
        <x:f>IF(OR(ISNUMBER(SEARCH("hacker",LOWER(F1527&amp;" "&amp;H1527&amp;" "&amp;I1527&amp;" "&amp;M1527&amp;" "&amp;N1527&amp;" "&amp;T1527))),ISNUMBER(SEARCH("hacking",LOWER(F1527&amp;" "&amp;H1527&amp;" "&amp;I1527&amp;" "&amp;M1527&amp;" "&amp;N1527&amp;" "&amp;T1527))),ISNUMBER(SEARCH("bank",LOWER(F1527&amp;" "&amp;H1527&amp;" "&amp;I1527&amp;" "&amp;M1527&amp;" "&amp;N1527&amp;" "&amp;T1527))),ISNUMBER(SEARCH("banking",LOWER(F1527&amp;" "&amp;H1527&amp;" "&amp;I1527&amp;" "&amp;M1527&amp;" "&amp;N1527&amp;" "&amp;T1527)))),"PRIVATE_QUARANTINE",IF(OR(ISNUMBER(SEARCH("treasury",LOWER(F1527&amp;" "&amp;H1527&amp;" "&amp;I1527&amp;" "&amp;M1527&amp;" "&amp;N1527&amp;" "&amp;T1527))),ISNUMBER(SEARCH("debt",LOWER(F1527&amp;" "&amp;H1527&amp;" "&amp;I1527&amp;" "&amp;M1527&amp;" "&amp;N1527&amp;" "&amp;T1527))),ISNUMBER(SEARCH("bond",LOWER(F1527&amp;" "&amp;H1527&amp;" "&amp;I1527&amp;" "&amp;M1527&amp;" "&amp;N1527&amp;" "&amp;T1527))),ISNUMBER(SEARCH("transaction",LOWER(F1527&amp;" "&amp;H1527&amp;" "&amp;I1527&amp;" "&amp;M1527&amp;" "&amp;N1527&amp;" "&amp;T1527)))),"PRIVATE_REVIEW","PUBLIC_CANDIDATE"))</x:f>
        <x:v>PUBLIC_CANDIDATE</x:v>
      </x:c>
      <x:c r="AD1527" s="12" t="str">
        <x:f>IF(AC1527="PRIVATE_QUARANTINE","hacker_or_bank_trigger",IF(AC1527="PRIVATE_REVIEW","finance_risk_trigger","none"))</x:f>
        <x:v>none</x:v>
      </x:c>
      <x:c r="AE1527" s="12" t="str">
        <x:f>IF(AC1527="PUBLIC_CANDIDATE","prepare_public_github_candidate",IF(AC1527="PRIVATE_REVIEW","hold_for_private_review","quarantine_private_do_not_publish"))</x:f>
        <x:v>prepare_public_github_candidate</x:v>
      </x:c>
      <x:c r="AF1527" s="12" t="str">
        <x:f>IF(AC1527="PUBLIC_CANDIDATE","TIDELOCK + Lucerna",IF(AC1527="PRIVATE_REVIEW","AtlasBrain + Lucerna","TIDELOCK + Lucerna + Human-root"))</x:f>
        <x:v>TIDELOCK + Lucerna</x:v>
      </x:c>
      <x:c r="AG1527" s="12" t="str">
        <x:f>IF(AND(AC1527="PUBLIC_CANDIDATE",U1527&lt;&gt;"BLOCKED_PENDING_RECEIPT"),"READY_AFTER_RECEIPT","NOT_READY")</x:f>
        <x:v>NOT_READY</x:v>
      </x:c>
      <x:c r="AH1527" s="12" t="str">
        <x:f>IF(AC1527="PUBLIC_CANDIDATE","none",AD1527)</x:f>
        <x:v>none</x:v>
      </x:c>
      <x:c r="AI1527" s="12" t="str">
        <x:f>IF(AC1527="PUBLIC_CANDIDATE","archive/public_candidates/"&amp;A1527,"private_quarantine/"&amp;A1527)</x:f>
        <x:v>archive/public_candidates/SWARM-11-H08-S02</x:v>
      </x:c>
      <x:c r="AJ1527" s="12" t="str">
        <x:f>IF(AC1527="PUBLIC_CANDIDATE","public by default; still not canon","private/hold; do not publish")</x:f>
        <x:v>public by default; still not canon</x:v>
      </x:c>
      <x:c r="AK1527" s="12" t="str">
        <x:f>IF(AE1527="prepare_public_github_candidate","add receipt/status then mirror","resolve blocker before any public GitHub action")</x:f>
        <x:v>add receipt/status then mirror</x:v>
      </x:c>
    </x:row>
    <x:row r="1528">
      <x:c r="A1528" s="15" t="str">
        <x:v>SWARM-11-H08-S03</x:v>
      </x:c>
      <x:c r="B1528" s="15" t="str">
        <x:v>ClaudeCatcher</x:v>
      </x:c>
      <x:c r="C1528" s="15" t="str">
        <x:v>Bullshit Olympics referee</x:v>
      </x:c>
      <x:c r="D1528" s="15" t="str">
        <x:v>Graph Edge Proposals</x:v>
      </x:c>
      <x:c r="E1528" s="15" t="str">
        <x:v>GitHub</x:v>
      </x:c>
      <x:c r="F1528" s="15" t="str">
        <x:v>Propose graph edges for GitHub — ClaudeCatcher</x:v>
      </x:c>
      <x:c r="G1528" s="15" t="str">
        <x:v>adversarial claims / model overclaim detection</x:v>
      </x:c>
      <x:c r="H1528" s="15" t="str">
        <x:v>source path + receipt + raw/export status + claim/edge/risk delta</x:v>
      </x:c>
      <x:c r="I1528" s="15" t="str">
        <x:v>packet/SWARM-11-H08-S03</x:v>
      </x:c>
      <x:c r="J1528" s="15" t="str">
        <x:v>TODO</x:v>
      </x:c>
      <x:c r="K1528" s="15" t="str">
        <x:v>P0</x:v>
      </x:c>
      <x:c r="L1528" s="15" t="str">
        <x:v>Done only when evidence is logged, contradiction search is noted, and boundary stamp remains non-canon unless ratified</x:v>
      </x:c>
      <x:c r="M1528" s="15" t="str">
        <x:v>candidate / staging-only / not canon / not deployed / authority none</x:v>
      </x:c>
      <x:c r="N1528" s="15" t="str">
        <x:v>Dispatch to ClaudeCatcher: complete Graph Edge Proposals x GitHub; return deltas only, receipts required.</x:v>
      </x:c>
      <x:c r="O1528" s="15" t="str">
        <x:v>AF-KG-H08-S03</x:v>
      </x:c>
      <x:c r="P1528" s="15" t="str">
        <x:v>Unverified</x:v>
      </x:c>
      <x:c r="Q1528" s="15" t="str">
        <x:v>Not checked</x:v>
      </x:c>
      <x:c r="R1528" s="15" t="str"/>
      <x:c r="S1528" s="15" t="str"/>
      <x:c r="T1528" s="15" t="str">
        <x:v>Log first source path or blocker</x:v>
      </x:c>
      <x:c r="U1528" s="12" t="str">
        <x:f>IF(OR(P1528="Unverified",Q1528="Not checked"),"BLOCKED_PENDING_RECEIPT","READY_FOR_REVIEW")</x:f>
        <x:v>BLOCKED_PENDING_RECEIPT</x:v>
      </x:c>
      <x:c r="V1528" s="12" t="str">
        <x:f>IF(J1528="DONE","RETURNED",IF(U1528="BLOCKED_PENDING_RECEIPT","SOURCE_TOUCH_REQUIRED","IN_PROGRESS"))</x:f>
        <x:v>SOURCE_TOUCH_REQUIRED</x:v>
      </x:c>
      <x:c r="W1528" s="12" t="str">
        <x:f>IF(P1528="Unverified","missing_receipt","receipt_logged")</x:f>
        <x:v>missing_receipt</x:v>
      </x:c>
      <x:c r="X1528" s="12" t="str">
        <x:f>IF(Q1528="Not checked","raw_status_missing","raw_status_logged")</x:f>
        <x:v>raw_status_missing</x:v>
      </x:c>
      <x:c r="Y1528" s="12" t="str">
        <x:f>IF(U1528="BLOCKED_PENDING_RECEIPT","Log source path or blocker; do not promote","Route to review lane")</x:f>
        <x:v>Log source path or blocker; do not promote</x:v>
      </x:c>
      <x:c r="Z1528" s="12" t="str">
        <x:f>IF(K1528="P0","Primary seat + Hashlight/Lucerna","Seat lane")</x:f>
        <x:v>Primary seat + Hashlight/Lucerna</x:v>
      </x:c>
      <x:c r="AA1528" s="12" t="str">
        <x:f>IF(R1528="","no_claim_delta","claim_delta_present")</x:f>
        <x:v>no_claim_delta</x:v>
      </x:c>
      <x:c r="AB1528" s="12" t="str">
        <x:f>IF(S1528="","no_contradiction_delta","contradiction_delta_present")</x:f>
        <x:v>no_contradiction_delta</x:v>
      </x:c>
      <x:c r="AC1528" s="12" t="str">
        <x:f>IF(OR(ISNUMBER(SEARCH("hacker",LOWER(F1528&amp;" "&amp;H1528&amp;" "&amp;I1528&amp;" "&amp;M1528&amp;" "&amp;N1528&amp;" "&amp;T1528))),ISNUMBER(SEARCH("hacking",LOWER(F1528&amp;" "&amp;H1528&amp;" "&amp;I1528&amp;" "&amp;M1528&amp;" "&amp;N1528&amp;" "&amp;T1528))),ISNUMBER(SEARCH("bank",LOWER(F1528&amp;" "&amp;H1528&amp;" "&amp;I1528&amp;" "&amp;M1528&amp;" "&amp;N1528&amp;" "&amp;T1528))),ISNUMBER(SEARCH("banking",LOWER(F1528&amp;" "&amp;H1528&amp;" "&amp;I1528&amp;" "&amp;M1528&amp;" "&amp;N1528&amp;" "&amp;T1528)))),"PRIVATE_QUARANTINE",IF(OR(ISNUMBER(SEARCH("treasury",LOWER(F1528&amp;" "&amp;H1528&amp;" "&amp;I1528&amp;" "&amp;M1528&amp;" "&amp;N1528&amp;" "&amp;T1528))),ISNUMBER(SEARCH("debt",LOWER(F1528&amp;" "&amp;H1528&amp;" "&amp;I1528&amp;" "&amp;M1528&amp;" "&amp;N1528&amp;" "&amp;T1528))),ISNUMBER(SEARCH("bond",LOWER(F1528&amp;" "&amp;H1528&amp;" "&amp;I1528&amp;" "&amp;M1528&amp;" "&amp;N1528&amp;" "&amp;T1528))),ISNUMBER(SEARCH("transaction",LOWER(F1528&amp;" "&amp;H1528&amp;" "&amp;I1528&amp;" "&amp;M1528&amp;" "&amp;N1528&amp;" "&amp;T1528)))),"PRIVATE_REVIEW","PUBLIC_CANDIDATE"))</x:f>
        <x:v>PUBLIC_CANDIDATE</x:v>
      </x:c>
      <x:c r="AD1528" s="12" t="str">
        <x:f>IF(AC1528="PRIVATE_QUARANTINE","hacker_or_bank_trigger",IF(AC1528="PRIVATE_REVIEW","finance_risk_trigger","none"))</x:f>
        <x:v>none</x:v>
      </x:c>
      <x:c r="AE1528" s="12" t="str">
        <x:f>IF(AC1528="PUBLIC_CANDIDATE","prepare_public_github_candidate",IF(AC1528="PRIVATE_REVIEW","hold_for_private_review","quarantine_private_do_not_publish"))</x:f>
        <x:v>prepare_public_github_candidate</x:v>
      </x:c>
      <x:c r="AF1528" s="12" t="str">
        <x:f>IF(AC1528="PUBLIC_CANDIDATE","TIDELOCK + Lucerna",IF(AC1528="PRIVATE_REVIEW","AtlasBrain + Lucerna","TIDELOCK + Lucerna + Human-root"))</x:f>
        <x:v>TIDELOCK + Lucerna</x:v>
      </x:c>
      <x:c r="AG1528" s="12" t="str">
        <x:f>IF(AND(AC1528="PUBLIC_CANDIDATE",U1528&lt;&gt;"BLOCKED_PENDING_RECEIPT"),"READY_AFTER_RECEIPT","NOT_READY")</x:f>
        <x:v>NOT_READY</x:v>
      </x:c>
      <x:c r="AH1528" s="12" t="str">
        <x:f>IF(AC1528="PUBLIC_CANDIDATE","none",AD1528)</x:f>
        <x:v>none</x:v>
      </x:c>
      <x:c r="AI1528" s="12" t="str">
        <x:f>IF(AC1528="PUBLIC_CANDIDATE","archive/public_candidates/"&amp;A1528,"private_quarantine/"&amp;A1528)</x:f>
        <x:v>archive/public_candidates/SWARM-11-H08-S03</x:v>
      </x:c>
      <x:c r="AJ1528" s="12" t="str">
        <x:f>IF(AC1528="PUBLIC_CANDIDATE","public by default; still not canon","private/hold; do not publish")</x:f>
        <x:v>public by default; still not canon</x:v>
      </x:c>
      <x:c r="AK1528" s="12" t="str">
        <x:f>IF(AE1528="prepare_public_github_candidate","add receipt/status then mirror","resolve blocker before any public GitHub action")</x:f>
        <x:v>add receipt/status then mirror</x:v>
      </x:c>
    </x:row>
    <x:row r="1529">
      <x:c r="A1529" s="15" t="str">
        <x:v>SWARM-11-H08-S04</x:v>
      </x:c>
      <x:c r="B1529" s="15" t="str">
        <x:v>ClaudeCatcher</x:v>
      </x:c>
      <x:c r="C1529" s="15" t="str">
        <x:v>Bullshit Olympics referee</x:v>
      </x:c>
      <x:c r="D1529" s="15" t="str">
        <x:v>Graph Edge Proposals</x:v>
      </x:c>
      <x:c r="E1529" s="15" t="str">
        <x:v>Gamma</x:v>
      </x:c>
      <x:c r="F1529" s="15" t="str">
        <x:v>Propose graph edges for Gamma — ClaudeCatcher</x:v>
      </x:c>
      <x:c r="G1529" s="15" t="str">
        <x:v>adversarial claims / model overclaim detection</x:v>
      </x:c>
      <x:c r="H1529" s="15" t="str">
        <x:v>source path + receipt + raw/export status + claim/edge/risk delta</x:v>
      </x:c>
      <x:c r="I1529" s="15" t="str">
        <x:v>packet/SWARM-11-H08-S04</x:v>
      </x:c>
      <x:c r="J1529" s="15" t="str">
        <x:v>TODO</x:v>
      </x:c>
      <x:c r="K1529" s="15" t="str">
        <x:v>P1</x:v>
      </x:c>
      <x:c r="L1529" s="15" t="str">
        <x:v>Done only when evidence is logged, contradiction search is noted, and boundary stamp remains non-canon unless ratified</x:v>
      </x:c>
      <x:c r="M1529" s="15" t="str">
        <x:v>candidate / staging-only / not canon / not deployed / authority none</x:v>
      </x:c>
      <x:c r="N1529" s="15" t="str">
        <x:v>Dispatch to ClaudeCatcher: complete Graph Edge Proposals x Gamma; return deltas only, receipts required.</x:v>
      </x:c>
      <x:c r="O1529" s="15" t="str">
        <x:v>AF-KG-H08-S04</x:v>
      </x:c>
      <x:c r="P1529" s="15" t="str">
        <x:v>Unverified</x:v>
      </x:c>
      <x:c r="Q1529" s="15" t="str">
        <x:v>Not checked</x:v>
      </x:c>
      <x:c r="R1529" s="15" t="str"/>
      <x:c r="S1529" s="15" t="str"/>
      <x:c r="T1529" s="15" t="str">
        <x:v>Log first source path or blocker</x:v>
      </x:c>
      <x:c r="U1529" s="12" t="str">
        <x:f>IF(OR(P1529="Unverified",Q1529="Not checked"),"BLOCKED_PENDING_RECEIPT","READY_FOR_REVIEW")</x:f>
        <x:v>BLOCKED_PENDING_RECEIPT</x:v>
      </x:c>
      <x:c r="V1529" s="12" t="str">
        <x:f>IF(J1529="DONE","RETURNED",IF(U1529="BLOCKED_PENDING_RECEIPT","SOURCE_TOUCH_REQUIRED","IN_PROGRESS"))</x:f>
        <x:v>SOURCE_TOUCH_REQUIRED</x:v>
      </x:c>
      <x:c r="W1529" s="12" t="str">
        <x:f>IF(P1529="Unverified","missing_receipt","receipt_logged")</x:f>
        <x:v>missing_receipt</x:v>
      </x:c>
      <x:c r="X1529" s="12" t="str">
        <x:f>IF(Q1529="Not checked","raw_status_missing","raw_status_logged")</x:f>
        <x:v>raw_status_missing</x:v>
      </x:c>
      <x:c r="Y1529" s="12" t="str">
        <x:f>IF(U1529="BLOCKED_PENDING_RECEIPT","Log source path or blocker; do not promote","Route to review lane")</x:f>
        <x:v>Log source path or blocker; do not promote</x:v>
      </x:c>
      <x:c r="Z1529" s="12" t="str">
        <x:f>IF(K1529="P0","Primary seat + Hashlight/Lucerna","Seat lane")</x:f>
        <x:v>Seat lane</x:v>
      </x:c>
      <x:c r="AA1529" s="12" t="str">
        <x:f>IF(R1529="","no_claim_delta","claim_delta_present")</x:f>
        <x:v>no_claim_delta</x:v>
      </x:c>
      <x:c r="AB1529" s="12" t="str">
        <x:f>IF(S1529="","no_contradiction_delta","contradiction_delta_present")</x:f>
        <x:v>no_contradiction_delta</x:v>
      </x:c>
      <x:c r="AC1529" s="12" t="str">
        <x:f>IF(OR(ISNUMBER(SEARCH("hacker",LOWER(F1529&amp;" "&amp;H1529&amp;" "&amp;I1529&amp;" "&amp;M1529&amp;" "&amp;N1529&amp;" "&amp;T1529))),ISNUMBER(SEARCH("hacking",LOWER(F1529&amp;" "&amp;H1529&amp;" "&amp;I1529&amp;" "&amp;M1529&amp;" "&amp;N1529&amp;" "&amp;T1529))),ISNUMBER(SEARCH("bank",LOWER(F1529&amp;" "&amp;H1529&amp;" "&amp;I1529&amp;" "&amp;M1529&amp;" "&amp;N1529&amp;" "&amp;T1529))),ISNUMBER(SEARCH("banking",LOWER(F1529&amp;" "&amp;H1529&amp;" "&amp;I1529&amp;" "&amp;M1529&amp;" "&amp;N1529&amp;" "&amp;T1529)))),"PRIVATE_QUARANTINE",IF(OR(ISNUMBER(SEARCH("treasury",LOWER(F1529&amp;" "&amp;H1529&amp;" "&amp;I1529&amp;" "&amp;M1529&amp;" "&amp;N1529&amp;" "&amp;T1529))),ISNUMBER(SEARCH("debt",LOWER(F1529&amp;" "&amp;H1529&amp;" "&amp;I1529&amp;" "&amp;M1529&amp;" "&amp;N1529&amp;" "&amp;T1529))),ISNUMBER(SEARCH("bond",LOWER(F1529&amp;" "&amp;H1529&amp;" "&amp;I1529&amp;" "&amp;M1529&amp;" "&amp;N1529&amp;" "&amp;T1529))),ISNUMBER(SEARCH("transaction",LOWER(F1529&amp;" "&amp;H1529&amp;" "&amp;I1529&amp;" "&amp;M1529&amp;" "&amp;N1529&amp;" "&amp;T1529)))),"PRIVATE_REVIEW","PUBLIC_CANDIDATE"))</x:f>
        <x:v>PUBLIC_CANDIDATE</x:v>
      </x:c>
      <x:c r="AD1529" s="12" t="str">
        <x:f>IF(AC1529="PRIVATE_QUARANTINE","hacker_or_bank_trigger",IF(AC1529="PRIVATE_REVIEW","finance_risk_trigger","none"))</x:f>
        <x:v>none</x:v>
      </x:c>
      <x:c r="AE1529" s="12" t="str">
        <x:f>IF(AC1529="PUBLIC_CANDIDATE","prepare_public_github_candidate",IF(AC1529="PRIVATE_REVIEW","hold_for_private_review","quarantine_private_do_not_publish"))</x:f>
        <x:v>prepare_public_github_candidate</x:v>
      </x:c>
      <x:c r="AF1529" s="12" t="str">
        <x:f>IF(AC1529="PUBLIC_CANDIDATE","TIDELOCK + Lucerna",IF(AC1529="PRIVATE_REVIEW","AtlasBrain + Lucerna","TIDELOCK + Lucerna + Human-root"))</x:f>
        <x:v>TIDELOCK + Lucerna</x:v>
      </x:c>
      <x:c r="AG1529" s="12" t="str">
        <x:f>IF(AND(AC1529="PUBLIC_CANDIDATE",U1529&lt;&gt;"BLOCKED_PENDING_RECEIPT"),"READY_AFTER_RECEIPT","NOT_READY")</x:f>
        <x:v>NOT_READY</x:v>
      </x:c>
      <x:c r="AH1529" s="12" t="str">
        <x:f>IF(AC1529="PUBLIC_CANDIDATE","none",AD1529)</x:f>
        <x:v>none</x:v>
      </x:c>
      <x:c r="AI1529" s="12" t="str">
        <x:f>IF(AC1529="PUBLIC_CANDIDATE","archive/public_candidates/"&amp;A1529,"private_quarantine/"&amp;A1529)</x:f>
        <x:v>archive/public_candidates/SWARM-11-H08-S04</x:v>
      </x:c>
      <x:c r="AJ1529" s="12" t="str">
        <x:f>IF(AC1529="PUBLIC_CANDIDATE","public by default; still not canon","private/hold; do not publish")</x:f>
        <x:v>public by default; still not canon</x:v>
      </x:c>
      <x:c r="AK1529" s="12" t="str">
        <x:f>IF(AE1529="prepare_public_github_candidate","add receipt/status then mirror","resolve blocker before any public GitHub action")</x:f>
        <x:v>add receipt/status then mirror</x:v>
      </x:c>
    </x:row>
    <x:row r="1530">
      <x:c r="A1530" s="15" t="str">
        <x:v>SWARM-11-H08-S05</x:v>
      </x:c>
      <x:c r="B1530" s="15" t="str">
        <x:v>ClaudeCatcher</x:v>
      </x:c>
      <x:c r="C1530" s="15" t="str">
        <x:v>Bullshit Olympics referee</x:v>
      </x:c>
      <x:c r="D1530" s="15" t="str">
        <x:v>Graph Edge Proposals</x:v>
      </x:c>
      <x:c r="E1530" s="15" t="str">
        <x:v>Chat</x:v>
      </x:c>
      <x:c r="F1530" s="15" t="str">
        <x:v>Propose graph edges for Chat — ClaudeCatcher</x:v>
      </x:c>
      <x:c r="G1530" s="15" t="str">
        <x:v>adversarial claims / model overclaim detection</x:v>
      </x:c>
      <x:c r="H1530" s="15" t="str">
        <x:v>source path + receipt + raw/export status + claim/edge/risk delta</x:v>
      </x:c>
      <x:c r="I1530" s="15" t="str">
        <x:v>packet/SWARM-11-H08-S05</x:v>
      </x:c>
      <x:c r="J1530" s="15" t="str">
        <x:v>TODO</x:v>
      </x:c>
      <x:c r="K1530" s="15" t="str">
        <x:v>P1</x:v>
      </x:c>
      <x:c r="L1530" s="15" t="str">
        <x:v>Done only when evidence is logged, contradiction search is noted, and boundary stamp remains non-canon unless ratified</x:v>
      </x:c>
      <x:c r="M1530" s="15" t="str">
        <x:v>candidate / staging-only / not canon / not deployed / authority none</x:v>
      </x:c>
      <x:c r="N1530" s="15" t="str">
        <x:v>Dispatch to ClaudeCatcher: complete Graph Edge Proposals x Chat; return deltas only, receipts required.</x:v>
      </x:c>
      <x:c r="O1530" s="15" t="str">
        <x:v>AF-KG-H08-S05</x:v>
      </x:c>
      <x:c r="P1530" s="15" t="str">
        <x:v>Unverified</x:v>
      </x:c>
      <x:c r="Q1530" s="15" t="str">
        <x:v>Not checked</x:v>
      </x:c>
      <x:c r="R1530" s="15" t="str"/>
      <x:c r="S1530" s="15" t="str"/>
      <x:c r="T1530" s="15" t="str">
        <x:v>Log first source path or blocker</x:v>
      </x:c>
      <x:c r="U1530" s="12" t="str">
        <x:f>IF(OR(P1530="Unverified",Q1530="Not checked"),"BLOCKED_PENDING_RECEIPT","READY_FOR_REVIEW")</x:f>
        <x:v>BLOCKED_PENDING_RECEIPT</x:v>
      </x:c>
      <x:c r="V1530" s="12" t="str">
        <x:f>IF(J1530="DONE","RETURNED",IF(U1530="BLOCKED_PENDING_RECEIPT","SOURCE_TOUCH_REQUIRED","IN_PROGRESS"))</x:f>
        <x:v>SOURCE_TOUCH_REQUIRED</x:v>
      </x:c>
      <x:c r="W1530" s="12" t="str">
        <x:f>IF(P1530="Unverified","missing_receipt","receipt_logged")</x:f>
        <x:v>missing_receipt</x:v>
      </x:c>
      <x:c r="X1530" s="12" t="str">
        <x:f>IF(Q1530="Not checked","raw_status_missing","raw_status_logged")</x:f>
        <x:v>raw_status_missing</x:v>
      </x:c>
      <x:c r="Y1530" s="12" t="str">
        <x:f>IF(U1530="BLOCKED_PENDING_RECEIPT","Log source path or blocker; do not promote","Route to review lane")</x:f>
        <x:v>Log source path or blocker; do not promote</x:v>
      </x:c>
      <x:c r="Z1530" s="12" t="str">
        <x:f>IF(K1530="P0","Primary seat + Hashlight/Lucerna","Seat lane")</x:f>
        <x:v>Seat lane</x:v>
      </x:c>
      <x:c r="AA1530" s="12" t="str">
        <x:f>IF(R1530="","no_claim_delta","claim_delta_present")</x:f>
        <x:v>no_claim_delta</x:v>
      </x:c>
      <x:c r="AB1530" s="12" t="str">
        <x:f>IF(S1530="","no_contradiction_delta","contradiction_delta_present")</x:f>
        <x:v>no_contradiction_delta</x:v>
      </x:c>
      <x:c r="AC1530" s="12" t="str">
        <x:f>IF(OR(ISNUMBER(SEARCH("hacker",LOWER(F1530&amp;" "&amp;H1530&amp;" "&amp;I1530&amp;" "&amp;M1530&amp;" "&amp;N1530&amp;" "&amp;T1530))),ISNUMBER(SEARCH("hacking",LOWER(F1530&amp;" "&amp;H1530&amp;" "&amp;I1530&amp;" "&amp;M1530&amp;" "&amp;N1530&amp;" "&amp;T1530))),ISNUMBER(SEARCH("bank",LOWER(F1530&amp;" "&amp;H1530&amp;" "&amp;I1530&amp;" "&amp;M1530&amp;" "&amp;N1530&amp;" "&amp;T1530))),ISNUMBER(SEARCH("banking",LOWER(F1530&amp;" "&amp;H1530&amp;" "&amp;I1530&amp;" "&amp;M1530&amp;" "&amp;N1530&amp;" "&amp;T1530)))),"PRIVATE_QUARANTINE",IF(OR(ISNUMBER(SEARCH("treasury",LOWER(F1530&amp;" "&amp;H1530&amp;" "&amp;I1530&amp;" "&amp;M1530&amp;" "&amp;N1530&amp;" "&amp;T1530))),ISNUMBER(SEARCH("debt",LOWER(F1530&amp;" "&amp;H1530&amp;" "&amp;I1530&amp;" "&amp;M1530&amp;" "&amp;N1530&amp;" "&amp;T1530))),ISNUMBER(SEARCH("bond",LOWER(F1530&amp;" "&amp;H1530&amp;" "&amp;I1530&amp;" "&amp;M1530&amp;" "&amp;N1530&amp;" "&amp;T1530))),ISNUMBER(SEARCH("transaction",LOWER(F1530&amp;" "&amp;H1530&amp;" "&amp;I1530&amp;" "&amp;M1530&amp;" "&amp;N1530&amp;" "&amp;T1530)))),"PRIVATE_REVIEW","PUBLIC_CANDIDATE"))</x:f>
        <x:v>PUBLIC_CANDIDATE</x:v>
      </x:c>
      <x:c r="AD1530" s="12" t="str">
        <x:f>IF(AC1530="PRIVATE_QUARANTINE","hacker_or_bank_trigger",IF(AC1530="PRIVATE_REVIEW","finance_risk_trigger","none"))</x:f>
        <x:v>none</x:v>
      </x:c>
      <x:c r="AE1530" s="12" t="str">
        <x:f>IF(AC1530="PUBLIC_CANDIDATE","prepare_public_github_candidate",IF(AC1530="PRIVATE_REVIEW","hold_for_private_review","quarantine_private_do_not_publish"))</x:f>
        <x:v>prepare_public_github_candidate</x:v>
      </x:c>
      <x:c r="AF1530" s="12" t="str">
        <x:f>IF(AC1530="PUBLIC_CANDIDATE","TIDELOCK + Lucerna",IF(AC1530="PRIVATE_REVIEW","AtlasBrain + Lucerna","TIDELOCK + Lucerna + Human-root"))</x:f>
        <x:v>TIDELOCK + Lucerna</x:v>
      </x:c>
      <x:c r="AG1530" s="12" t="str">
        <x:f>IF(AND(AC1530="PUBLIC_CANDIDATE",U1530&lt;&gt;"BLOCKED_PENDING_RECEIPT"),"READY_AFTER_RECEIPT","NOT_READY")</x:f>
        <x:v>NOT_READY</x:v>
      </x:c>
      <x:c r="AH1530" s="12" t="str">
        <x:f>IF(AC1530="PUBLIC_CANDIDATE","none",AD1530)</x:f>
        <x:v>none</x:v>
      </x:c>
      <x:c r="AI1530" s="12" t="str">
        <x:f>IF(AC1530="PUBLIC_CANDIDATE","archive/public_candidates/"&amp;A1530,"private_quarantine/"&amp;A1530)</x:f>
        <x:v>archive/public_candidates/SWARM-11-H08-S05</x:v>
      </x:c>
      <x:c r="AJ1530" s="12" t="str">
        <x:f>IF(AC1530="PUBLIC_CANDIDATE","public by default; still not canon","private/hold; do not publish")</x:f>
        <x:v>public by default; still not canon</x:v>
      </x:c>
      <x:c r="AK1530" s="12" t="str">
        <x:f>IF(AE1530="prepare_public_github_candidate","add receipt/status then mirror","resolve blocker before any public GitHub action")</x:f>
        <x:v>add receipt/status then mirror</x:v>
      </x:c>
    </x:row>
    <x:row r="1531">
      <x:c r="A1531" s="15" t="str">
        <x:v>SWARM-11-H08-S06</x:v>
      </x:c>
      <x:c r="B1531" s="15" t="str">
        <x:v>ClaudeCatcher</x:v>
      </x:c>
      <x:c r="C1531" s="15" t="str">
        <x:v>Bullshit Olympics referee</x:v>
      </x:c>
      <x:c r="D1531" s="15" t="str">
        <x:v>Graph Edge Proposals</x:v>
      </x:c>
      <x:c r="E1531" s="15" t="str">
        <x:v>External Web</x:v>
      </x:c>
      <x:c r="F1531" s="15" t="str">
        <x:v>Propose graph edges for External Web — ClaudeCatcher</x:v>
      </x:c>
      <x:c r="G1531" s="15" t="str">
        <x:v>adversarial claims / model overclaim detection</x:v>
      </x:c>
      <x:c r="H1531" s="15" t="str">
        <x:v>source path + receipt + raw/export status + claim/edge/risk delta</x:v>
      </x:c>
      <x:c r="I1531" s="15" t="str">
        <x:v>packet/SWARM-11-H08-S06</x:v>
      </x:c>
      <x:c r="J1531" s="15" t="str">
        <x:v>TODO</x:v>
      </x:c>
      <x:c r="K1531" s="15" t="str">
        <x:v>P1</x:v>
      </x:c>
      <x:c r="L1531" s="15" t="str">
        <x:v>Done only when evidence is logged, contradiction search is noted, and boundary stamp remains non-canon unless ratified</x:v>
      </x:c>
      <x:c r="M1531" s="15" t="str">
        <x:v>candidate / staging-only / not canon / not deployed / authority none</x:v>
      </x:c>
      <x:c r="N1531" s="15" t="str">
        <x:v>Dispatch to ClaudeCatcher: complete Graph Edge Proposals x External Web; return deltas only, receipts required.</x:v>
      </x:c>
      <x:c r="O1531" s="15" t="str">
        <x:v>AF-KG-H08-S06</x:v>
      </x:c>
      <x:c r="P1531" s="15" t="str">
        <x:v>Unverified</x:v>
      </x:c>
      <x:c r="Q1531" s="15" t="str">
        <x:v>Not checked</x:v>
      </x:c>
      <x:c r="R1531" s="15" t="str"/>
      <x:c r="S1531" s="15" t="str"/>
      <x:c r="T1531" s="15" t="str">
        <x:v>Log first source path or blocker</x:v>
      </x:c>
      <x:c r="U1531" s="12" t="str">
        <x:f>IF(OR(P1531="Unverified",Q1531="Not checked"),"BLOCKED_PENDING_RECEIPT","READY_FOR_REVIEW")</x:f>
        <x:v>BLOCKED_PENDING_RECEIPT</x:v>
      </x:c>
      <x:c r="V1531" s="12" t="str">
        <x:f>IF(J1531="DONE","RETURNED",IF(U1531="BLOCKED_PENDING_RECEIPT","SOURCE_TOUCH_REQUIRED","IN_PROGRESS"))</x:f>
        <x:v>SOURCE_TOUCH_REQUIRED</x:v>
      </x:c>
      <x:c r="W1531" s="12" t="str">
        <x:f>IF(P1531="Unverified","missing_receipt","receipt_logged")</x:f>
        <x:v>missing_receipt</x:v>
      </x:c>
      <x:c r="X1531" s="12" t="str">
        <x:f>IF(Q1531="Not checked","raw_status_missing","raw_status_logged")</x:f>
        <x:v>raw_status_missing</x:v>
      </x:c>
      <x:c r="Y1531" s="12" t="str">
        <x:f>IF(U1531="BLOCKED_PENDING_RECEIPT","Log source path or blocker; do not promote","Route to review lane")</x:f>
        <x:v>Log source path or blocker; do not promote</x:v>
      </x:c>
      <x:c r="Z1531" s="12" t="str">
        <x:f>IF(K1531="P0","Primary seat + Hashlight/Lucerna","Seat lane")</x:f>
        <x:v>Seat lane</x:v>
      </x:c>
      <x:c r="AA1531" s="12" t="str">
        <x:f>IF(R1531="","no_claim_delta","claim_delta_present")</x:f>
        <x:v>no_claim_delta</x:v>
      </x:c>
      <x:c r="AB1531" s="12" t="str">
        <x:f>IF(S1531="","no_contradiction_delta","contradiction_delta_present")</x:f>
        <x:v>no_contradiction_delta</x:v>
      </x:c>
      <x:c r="AC1531" s="12" t="str">
        <x:f>IF(OR(ISNUMBER(SEARCH("hacker",LOWER(F1531&amp;" "&amp;H1531&amp;" "&amp;I1531&amp;" "&amp;M1531&amp;" "&amp;N1531&amp;" "&amp;T1531))),ISNUMBER(SEARCH("hacking",LOWER(F1531&amp;" "&amp;H1531&amp;" "&amp;I1531&amp;" "&amp;M1531&amp;" "&amp;N1531&amp;" "&amp;T1531))),ISNUMBER(SEARCH("bank",LOWER(F1531&amp;" "&amp;H1531&amp;" "&amp;I1531&amp;" "&amp;M1531&amp;" "&amp;N1531&amp;" "&amp;T1531))),ISNUMBER(SEARCH("banking",LOWER(F1531&amp;" "&amp;H1531&amp;" "&amp;I1531&amp;" "&amp;M1531&amp;" "&amp;N1531&amp;" "&amp;T1531)))),"PRIVATE_QUARANTINE",IF(OR(ISNUMBER(SEARCH("treasury",LOWER(F1531&amp;" "&amp;H1531&amp;" "&amp;I1531&amp;" "&amp;M1531&amp;" "&amp;N1531&amp;" "&amp;T1531))),ISNUMBER(SEARCH("debt",LOWER(F1531&amp;" "&amp;H1531&amp;" "&amp;I1531&amp;" "&amp;M1531&amp;" "&amp;N1531&amp;" "&amp;T1531))),ISNUMBER(SEARCH("bond",LOWER(F1531&amp;" "&amp;H1531&amp;" "&amp;I1531&amp;" "&amp;M1531&amp;" "&amp;N1531&amp;" "&amp;T1531))),ISNUMBER(SEARCH("transaction",LOWER(F1531&amp;" "&amp;H1531&amp;" "&amp;I1531&amp;" "&amp;M1531&amp;" "&amp;N1531&amp;" "&amp;T1531)))),"PRIVATE_REVIEW","PUBLIC_CANDIDATE"))</x:f>
        <x:v>PUBLIC_CANDIDATE</x:v>
      </x:c>
      <x:c r="AD1531" s="12" t="str">
        <x:f>IF(AC1531="PRIVATE_QUARANTINE","hacker_or_bank_trigger",IF(AC1531="PRIVATE_REVIEW","finance_risk_trigger","none"))</x:f>
        <x:v>none</x:v>
      </x:c>
      <x:c r="AE1531" s="12" t="str">
        <x:f>IF(AC1531="PUBLIC_CANDIDATE","prepare_public_github_candidate",IF(AC1531="PRIVATE_REVIEW","hold_for_private_review","quarantine_private_do_not_publish"))</x:f>
        <x:v>prepare_public_github_candidate</x:v>
      </x:c>
      <x:c r="AF1531" s="12" t="str">
        <x:f>IF(AC1531="PUBLIC_CANDIDATE","TIDELOCK + Lucerna",IF(AC1531="PRIVATE_REVIEW","AtlasBrain + Lucerna","TIDELOCK + Lucerna + Human-root"))</x:f>
        <x:v>TIDELOCK + Lucerna</x:v>
      </x:c>
      <x:c r="AG1531" s="12" t="str">
        <x:f>IF(AND(AC1531="PUBLIC_CANDIDATE",U1531&lt;&gt;"BLOCKED_PENDING_RECEIPT"),"READY_AFTER_RECEIPT","NOT_READY")</x:f>
        <x:v>NOT_READY</x:v>
      </x:c>
      <x:c r="AH1531" s="12" t="str">
        <x:f>IF(AC1531="PUBLIC_CANDIDATE","none",AD1531)</x:f>
        <x:v>none</x:v>
      </x:c>
      <x:c r="AI1531" s="12" t="str">
        <x:f>IF(AC1531="PUBLIC_CANDIDATE","archive/public_candidates/"&amp;A1531,"private_quarantine/"&amp;A1531)</x:f>
        <x:v>archive/public_candidates/SWARM-11-H08-S06</x:v>
      </x:c>
      <x:c r="AJ1531" s="12" t="str">
        <x:f>IF(AC1531="PUBLIC_CANDIDATE","public by default; still not canon","private/hold; do not publish")</x:f>
        <x:v>public by default; still not canon</x:v>
      </x:c>
      <x:c r="AK1531" s="12" t="str">
        <x:f>IF(AE1531="prepare_public_github_candidate","add receipt/status then mirror","resolve blocker before any public GitHub action")</x:f>
        <x:v>add receipt/status then mirror</x:v>
      </x:c>
    </x:row>
    <x:row r="1532">
      <x:c r="A1532" s="15" t="str">
        <x:v>SWARM-11-H08-S07</x:v>
      </x:c>
      <x:c r="B1532" s="15" t="str">
        <x:v>ClaudeCatcher</x:v>
      </x:c>
      <x:c r="C1532" s="15" t="str">
        <x:v>Bullshit Olympics referee</x:v>
      </x:c>
      <x:c r="D1532" s="15" t="str">
        <x:v>Graph Edge Proposals</x:v>
      </x:c>
      <x:c r="E1532" s="15" t="str">
        <x:v>Planetarium</x:v>
      </x:c>
      <x:c r="F1532" s="15" t="str">
        <x:v>Propose graph edges for Planetarium — ClaudeCatcher</x:v>
      </x:c>
      <x:c r="G1532" s="15" t="str">
        <x:v>adversarial claims / model overclaim detection</x:v>
      </x:c>
      <x:c r="H1532" s="15" t="str">
        <x:v>source path + receipt + raw/export status + claim/edge/risk delta</x:v>
      </x:c>
      <x:c r="I1532" s="15" t="str">
        <x:v>packet/SWARM-11-H08-S07</x:v>
      </x:c>
      <x:c r="J1532" s="15" t="str">
        <x:v>TODO</x:v>
      </x:c>
      <x:c r="K1532" s="15" t="str">
        <x:v>P1</x:v>
      </x:c>
      <x:c r="L1532" s="15" t="str">
        <x:v>Done only when evidence is logged, contradiction search is noted, and boundary stamp remains non-canon unless ratified</x:v>
      </x:c>
      <x:c r="M1532" s="15" t="str">
        <x:v>candidate / staging-only / not canon / not deployed / authority none</x:v>
      </x:c>
      <x:c r="N1532" s="15" t="str">
        <x:v>Dispatch to ClaudeCatcher: complete Graph Edge Proposals x Planetarium; return deltas only, receipts required.</x:v>
      </x:c>
      <x:c r="O1532" s="15" t="str">
        <x:v>AF-KG-H08-S07</x:v>
      </x:c>
      <x:c r="P1532" s="15" t="str">
        <x:v>Unverified</x:v>
      </x:c>
      <x:c r="Q1532" s="15" t="str">
        <x:v>Not checked</x:v>
      </x:c>
      <x:c r="R1532" s="15" t="str"/>
      <x:c r="S1532" s="15" t="str"/>
      <x:c r="T1532" s="15" t="str">
        <x:v>Log first source path or blocker</x:v>
      </x:c>
      <x:c r="U1532" s="12" t="str">
        <x:f>IF(OR(P1532="Unverified",Q1532="Not checked"),"BLOCKED_PENDING_RECEIPT","READY_FOR_REVIEW")</x:f>
        <x:v>BLOCKED_PENDING_RECEIPT</x:v>
      </x:c>
      <x:c r="V1532" s="12" t="str">
        <x:f>IF(J1532="DONE","RETURNED",IF(U1532="BLOCKED_PENDING_RECEIPT","SOURCE_TOUCH_REQUIRED","IN_PROGRESS"))</x:f>
        <x:v>SOURCE_TOUCH_REQUIRED</x:v>
      </x:c>
      <x:c r="W1532" s="12" t="str">
        <x:f>IF(P1532="Unverified","missing_receipt","receipt_logged")</x:f>
        <x:v>missing_receipt</x:v>
      </x:c>
      <x:c r="X1532" s="12" t="str">
        <x:f>IF(Q1532="Not checked","raw_status_missing","raw_status_logged")</x:f>
        <x:v>raw_status_missing</x:v>
      </x:c>
      <x:c r="Y1532" s="12" t="str">
        <x:f>IF(U1532="BLOCKED_PENDING_RECEIPT","Log source path or blocker; do not promote","Route to review lane")</x:f>
        <x:v>Log source path or blocker; do not promote</x:v>
      </x:c>
      <x:c r="Z1532" s="12" t="str">
        <x:f>IF(K1532="P0","Primary seat + Hashlight/Lucerna","Seat lane")</x:f>
        <x:v>Seat lane</x:v>
      </x:c>
      <x:c r="AA1532" s="12" t="str">
        <x:f>IF(R1532="","no_claim_delta","claim_delta_present")</x:f>
        <x:v>no_claim_delta</x:v>
      </x:c>
      <x:c r="AB1532" s="12" t="str">
        <x:f>IF(S1532="","no_contradiction_delta","contradiction_delta_present")</x:f>
        <x:v>no_contradiction_delta</x:v>
      </x:c>
      <x:c r="AC1532" s="12" t="str">
        <x:f>IF(OR(ISNUMBER(SEARCH("hacker",LOWER(F1532&amp;" "&amp;H1532&amp;" "&amp;I1532&amp;" "&amp;M1532&amp;" "&amp;N1532&amp;" "&amp;T1532))),ISNUMBER(SEARCH("hacking",LOWER(F1532&amp;" "&amp;H1532&amp;" "&amp;I1532&amp;" "&amp;M1532&amp;" "&amp;N1532&amp;" "&amp;T1532))),ISNUMBER(SEARCH("bank",LOWER(F1532&amp;" "&amp;H1532&amp;" "&amp;I1532&amp;" "&amp;M1532&amp;" "&amp;N1532&amp;" "&amp;T1532))),ISNUMBER(SEARCH("banking",LOWER(F1532&amp;" "&amp;H1532&amp;" "&amp;I1532&amp;" "&amp;M1532&amp;" "&amp;N1532&amp;" "&amp;T1532)))),"PRIVATE_QUARANTINE",IF(OR(ISNUMBER(SEARCH("treasury",LOWER(F1532&amp;" "&amp;H1532&amp;" "&amp;I1532&amp;" "&amp;M1532&amp;" "&amp;N1532&amp;" "&amp;T1532))),ISNUMBER(SEARCH("debt",LOWER(F1532&amp;" "&amp;H1532&amp;" "&amp;I1532&amp;" "&amp;M1532&amp;" "&amp;N1532&amp;" "&amp;T1532))),ISNUMBER(SEARCH("bond",LOWER(F1532&amp;" "&amp;H1532&amp;" "&amp;I1532&amp;" "&amp;M1532&amp;" "&amp;N1532&amp;" "&amp;T1532))),ISNUMBER(SEARCH("transaction",LOWER(F1532&amp;" "&amp;H1532&amp;" "&amp;I1532&amp;" "&amp;M1532&amp;" "&amp;N1532&amp;" "&amp;T1532)))),"PRIVATE_REVIEW","PUBLIC_CANDIDATE"))</x:f>
        <x:v>PUBLIC_CANDIDATE</x:v>
      </x:c>
      <x:c r="AD1532" s="12" t="str">
        <x:f>IF(AC1532="PRIVATE_QUARANTINE","hacker_or_bank_trigger",IF(AC1532="PRIVATE_REVIEW","finance_risk_trigger","none"))</x:f>
        <x:v>none</x:v>
      </x:c>
      <x:c r="AE1532" s="12" t="str">
        <x:f>IF(AC1532="PUBLIC_CANDIDATE","prepare_public_github_candidate",IF(AC1532="PRIVATE_REVIEW","hold_for_private_review","quarantine_private_do_not_publish"))</x:f>
        <x:v>prepare_public_github_candidate</x:v>
      </x:c>
      <x:c r="AF1532" s="12" t="str">
        <x:f>IF(AC1532="PUBLIC_CANDIDATE","TIDELOCK + Lucerna",IF(AC1532="PRIVATE_REVIEW","AtlasBrain + Lucerna","TIDELOCK + Lucerna + Human-root"))</x:f>
        <x:v>TIDELOCK + Lucerna</x:v>
      </x:c>
      <x:c r="AG1532" s="12" t="str">
        <x:f>IF(AND(AC1532="PUBLIC_CANDIDATE",U1532&lt;&gt;"BLOCKED_PENDING_RECEIPT"),"READY_AFTER_RECEIPT","NOT_READY")</x:f>
        <x:v>NOT_READY</x:v>
      </x:c>
      <x:c r="AH1532" s="12" t="str">
        <x:f>IF(AC1532="PUBLIC_CANDIDATE","none",AD1532)</x:f>
        <x:v>none</x:v>
      </x:c>
      <x:c r="AI1532" s="12" t="str">
        <x:f>IF(AC1532="PUBLIC_CANDIDATE","archive/public_candidates/"&amp;A1532,"private_quarantine/"&amp;A1532)</x:f>
        <x:v>archive/public_candidates/SWARM-11-H08-S07</x:v>
      </x:c>
      <x:c r="AJ1532" s="12" t="str">
        <x:f>IF(AC1532="PUBLIC_CANDIDATE","public by default; still not canon","private/hold; do not publish")</x:f>
        <x:v>public by default; still not canon</x:v>
      </x:c>
      <x:c r="AK1532" s="12" t="str">
        <x:f>IF(AE1532="prepare_public_github_candidate","add receipt/status then mirror","resolve blocker before any public GitHub action")</x:f>
        <x:v>add receipt/status then mirror</x:v>
      </x:c>
    </x:row>
    <x:row r="1533">
      <x:c r="A1533" s="15" t="str">
        <x:v>SWARM-11-H08-S08</x:v>
      </x:c>
      <x:c r="B1533" s="15" t="str">
        <x:v>ClaudeCatcher</x:v>
      </x:c>
      <x:c r="C1533" s="15" t="str">
        <x:v>Bullshit Olympics referee</x:v>
      </x:c>
      <x:c r="D1533" s="15" t="str">
        <x:v>Graph Edge Proposals</x:v>
      </x:c>
      <x:c r="E1533" s="15" t="str">
        <x:v>Sheldonbrain</x:v>
      </x:c>
      <x:c r="F1533" s="15" t="str">
        <x:v>Propose graph edges for Sheldonbrain — ClaudeCatcher</x:v>
      </x:c>
      <x:c r="G1533" s="15" t="str">
        <x:v>adversarial claims / model overclaim detection</x:v>
      </x:c>
      <x:c r="H1533" s="15" t="str">
        <x:v>source path + receipt + raw/export status + claim/edge/risk delta</x:v>
      </x:c>
      <x:c r="I1533" s="15" t="str">
        <x:v>packet/SWARM-11-H08-S08</x:v>
      </x:c>
      <x:c r="J1533" s="15" t="str">
        <x:v>TODO</x:v>
      </x:c>
      <x:c r="K1533" s="15" t="str">
        <x:v>P1</x:v>
      </x:c>
      <x:c r="L1533" s="15" t="str">
        <x:v>Done only when evidence is logged, contradiction search is noted, and boundary stamp remains non-canon unless ratified</x:v>
      </x:c>
      <x:c r="M1533" s="15" t="str">
        <x:v>candidate / staging-only / not canon / not deployed / authority none</x:v>
      </x:c>
      <x:c r="N1533" s="15" t="str">
        <x:v>Dispatch to ClaudeCatcher: complete Graph Edge Proposals x Sheldonbrain; return deltas only, receipts required.</x:v>
      </x:c>
      <x:c r="O1533" s="15" t="str">
        <x:v>AF-KG-H08-S08</x:v>
      </x:c>
      <x:c r="P1533" s="15" t="str">
        <x:v>Unverified</x:v>
      </x:c>
      <x:c r="Q1533" s="15" t="str">
        <x:v>Not checked</x:v>
      </x:c>
      <x:c r="R1533" s="15" t="str"/>
      <x:c r="S1533" s="15" t="str"/>
      <x:c r="T1533" s="15" t="str">
        <x:v>Log first source path or blocker</x:v>
      </x:c>
      <x:c r="U1533" s="12" t="str">
        <x:f>IF(OR(P1533="Unverified",Q1533="Not checked"),"BLOCKED_PENDING_RECEIPT","READY_FOR_REVIEW")</x:f>
        <x:v>BLOCKED_PENDING_RECEIPT</x:v>
      </x:c>
      <x:c r="V1533" s="12" t="str">
        <x:f>IF(J1533="DONE","RETURNED",IF(U1533="BLOCKED_PENDING_RECEIPT","SOURCE_TOUCH_REQUIRED","IN_PROGRESS"))</x:f>
        <x:v>SOURCE_TOUCH_REQUIRED</x:v>
      </x:c>
      <x:c r="W1533" s="12" t="str">
        <x:f>IF(P1533="Unverified","missing_receipt","receipt_logged")</x:f>
        <x:v>missing_receipt</x:v>
      </x:c>
      <x:c r="X1533" s="12" t="str">
        <x:f>IF(Q1533="Not checked","raw_status_missing","raw_status_logged")</x:f>
        <x:v>raw_status_missing</x:v>
      </x:c>
      <x:c r="Y1533" s="12" t="str">
        <x:f>IF(U1533="BLOCKED_PENDING_RECEIPT","Log source path or blocker; do not promote","Route to review lane")</x:f>
        <x:v>Log source path or blocker; do not promote</x:v>
      </x:c>
      <x:c r="Z1533" s="12" t="str">
        <x:f>IF(K1533="P0","Primary seat + Hashlight/Lucerna","Seat lane")</x:f>
        <x:v>Seat lane</x:v>
      </x:c>
      <x:c r="AA1533" s="12" t="str">
        <x:f>IF(R1533="","no_claim_delta","claim_delta_present")</x:f>
        <x:v>no_claim_delta</x:v>
      </x:c>
      <x:c r="AB1533" s="12" t="str">
        <x:f>IF(S1533="","no_contradiction_delta","contradiction_delta_present")</x:f>
        <x:v>no_contradiction_delta</x:v>
      </x:c>
      <x:c r="AC1533" s="12" t="str">
        <x:f>IF(OR(ISNUMBER(SEARCH("hacker",LOWER(F1533&amp;" "&amp;H1533&amp;" "&amp;I1533&amp;" "&amp;M1533&amp;" "&amp;N1533&amp;" "&amp;T1533))),ISNUMBER(SEARCH("hacking",LOWER(F1533&amp;" "&amp;H1533&amp;" "&amp;I1533&amp;" "&amp;M1533&amp;" "&amp;N1533&amp;" "&amp;T1533))),ISNUMBER(SEARCH("bank",LOWER(F1533&amp;" "&amp;H1533&amp;" "&amp;I1533&amp;" "&amp;M1533&amp;" "&amp;N1533&amp;" "&amp;T1533))),ISNUMBER(SEARCH("banking",LOWER(F1533&amp;" "&amp;H1533&amp;" "&amp;I1533&amp;" "&amp;M1533&amp;" "&amp;N1533&amp;" "&amp;T1533)))),"PRIVATE_QUARANTINE",IF(OR(ISNUMBER(SEARCH("treasury",LOWER(F1533&amp;" "&amp;H1533&amp;" "&amp;I1533&amp;" "&amp;M1533&amp;" "&amp;N1533&amp;" "&amp;T1533))),ISNUMBER(SEARCH("debt",LOWER(F1533&amp;" "&amp;H1533&amp;" "&amp;I1533&amp;" "&amp;M1533&amp;" "&amp;N1533&amp;" "&amp;T1533))),ISNUMBER(SEARCH("bond",LOWER(F1533&amp;" "&amp;H1533&amp;" "&amp;I1533&amp;" "&amp;M1533&amp;" "&amp;N1533&amp;" "&amp;T1533))),ISNUMBER(SEARCH("transaction",LOWER(F1533&amp;" "&amp;H1533&amp;" "&amp;I1533&amp;" "&amp;M1533&amp;" "&amp;N1533&amp;" "&amp;T1533)))),"PRIVATE_REVIEW","PUBLIC_CANDIDATE"))</x:f>
        <x:v>PUBLIC_CANDIDATE</x:v>
      </x:c>
      <x:c r="AD1533" s="12" t="str">
        <x:f>IF(AC1533="PRIVATE_QUARANTINE","hacker_or_bank_trigger",IF(AC1533="PRIVATE_REVIEW","finance_risk_trigger","none"))</x:f>
        <x:v>none</x:v>
      </x:c>
      <x:c r="AE1533" s="12" t="str">
        <x:f>IF(AC1533="PUBLIC_CANDIDATE","prepare_public_github_candidate",IF(AC1533="PRIVATE_REVIEW","hold_for_private_review","quarantine_private_do_not_publish"))</x:f>
        <x:v>prepare_public_github_candidate</x:v>
      </x:c>
      <x:c r="AF1533" s="12" t="str">
        <x:f>IF(AC1533="PUBLIC_CANDIDATE","TIDELOCK + Lucerna",IF(AC1533="PRIVATE_REVIEW","AtlasBrain + Lucerna","TIDELOCK + Lucerna + Human-root"))</x:f>
        <x:v>TIDELOCK + Lucerna</x:v>
      </x:c>
      <x:c r="AG1533" s="12" t="str">
        <x:f>IF(AND(AC1533="PUBLIC_CANDIDATE",U1533&lt;&gt;"BLOCKED_PENDING_RECEIPT"),"READY_AFTER_RECEIPT","NOT_READY")</x:f>
        <x:v>NOT_READY</x:v>
      </x:c>
      <x:c r="AH1533" s="12" t="str">
        <x:f>IF(AC1533="PUBLIC_CANDIDATE","none",AD1533)</x:f>
        <x:v>none</x:v>
      </x:c>
      <x:c r="AI1533" s="12" t="str">
        <x:f>IF(AC1533="PUBLIC_CANDIDATE","archive/public_candidates/"&amp;A1533,"private_quarantine/"&amp;A1533)</x:f>
        <x:v>archive/public_candidates/SWARM-11-H08-S08</x:v>
      </x:c>
      <x:c r="AJ1533" s="12" t="str">
        <x:f>IF(AC1533="PUBLIC_CANDIDATE","public by default; still not canon","private/hold; do not publish")</x:f>
        <x:v>public by default; still not canon</x:v>
      </x:c>
      <x:c r="AK1533" s="12" t="str">
        <x:f>IF(AE1533="prepare_public_github_candidate","add receipt/status then mirror","resolve blocker before any public GitHub action")</x:f>
        <x:v>add receipt/status then mirror</x:v>
      </x:c>
    </x:row>
    <x:row r="1534">
      <x:c r="A1534" s="15" t="str">
        <x:v>SWARM-11-H08-S09</x:v>
      </x:c>
      <x:c r="B1534" s="15" t="str">
        <x:v>ClaudeCatcher</x:v>
      </x:c>
      <x:c r="C1534" s="15" t="str">
        <x:v>Bullshit Olympics referee</x:v>
      </x:c>
      <x:c r="D1534" s="15" t="str">
        <x:v>Graph Edge Proposals</x:v>
      </x:c>
      <x:c r="E1534" s="15" t="str">
        <x:v>Aetherforge</x:v>
      </x:c>
      <x:c r="F1534" s="15" t="str">
        <x:v>Propose graph edges for Aetherforge — ClaudeCatcher</x:v>
      </x:c>
      <x:c r="G1534" s="15" t="str">
        <x:v>adversarial claims / model overclaim detection</x:v>
      </x:c>
      <x:c r="H1534" s="15" t="str">
        <x:v>source path + receipt + raw/export status + claim/edge/risk delta</x:v>
      </x:c>
      <x:c r="I1534" s="15" t="str">
        <x:v>packet/SWARM-11-H08-S09</x:v>
      </x:c>
      <x:c r="J1534" s="15" t="str">
        <x:v>TODO</x:v>
      </x:c>
      <x:c r="K1534" s="15" t="str">
        <x:v>P2</x:v>
      </x:c>
      <x:c r="L1534" s="15" t="str">
        <x:v>Done only when evidence is logged, contradiction search is noted, and boundary stamp remains non-canon unless ratified</x:v>
      </x:c>
      <x:c r="M1534" s="15" t="str">
        <x:v>candidate / staging-only / not canon / not deployed / authority none</x:v>
      </x:c>
      <x:c r="N1534" s="15" t="str">
        <x:v>Dispatch to ClaudeCatcher: complete Graph Edge Proposals x Aetherforge; return deltas only, receipts required.</x:v>
      </x:c>
      <x:c r="O1534" s="15" t="str">
        <x:v>AF-KG-H08-S09</x:v>
      </x:c>
      <x:c r="P1534" s="15" t="str">
        <x:v>Unverified</x:v>
      </x:c>
      <x:c r="Q1534" s="15" t="str">
        <x:v>Not checked</x:v>
      </x:c>
      <x:c r="R1534" s="15" t="str"/>
      <x:c r="S1534" s="15" t="str"/>
      <x:c r="T1534" s="15" t="str">
        <x:v>Log first source path or blocker</x:v>
      </x:c>
      <x:c r="U1534" s="12" t="str">
        <x:f>IF(OR(P1534="Unverified",Q1534="Not checked"),"BLOCKED_PENDING_RECEIPT","READY_FOR_REVIEW")</x:f>
        <x:v>BLOCKED_PENDING_RECEIPT</x:v>
      </x:c>
      <x:c r="V1534" s="12" t="str">
        <x:f>IF(J1534="DONE","RETURNED",IF(U1534="BLOCKED_PENDING_RECEIPT","SOURCE_TOUCH_REQUIRED","IN_PROGRESS"))</x:f>
        <x:v>SOURCE_TOUCH_REQUIRED</x:v>
      </x:c>
      <x:c r="W1534" s="12" t="str">
        <x:f>IF(P1534="Unverified","missing_receipt","receipt_logged")</x:f>
        <x:v>missing_receipt</x:v>
      </x:c>
      <x:c r="X1534" s="12" t="str">
        <x:f>IF(Q1534="Not checked","raw_status_missing","raw_status_logged")</x:f>
        <x:v>raw_status_missing</x:v>
      </x:c>
      <x:c r="Y1534" s="12" t="str">
        <x:f>IF(U1534="BLOCKED_PENDING_RECEIPT","Log source path or blocker; do not promote","Route to review lane")</x:f>
        <x:v>Log source path or blocker; do not promote</x:v>
      </x:c>
      <x:c r="Z1534" s="12" t="str">
        <x:f>IF(K1534="P0","Primary seat + Hashlight/Lucerna","Seat lane")</x:f>
        <x:v>Seat lane</x:v>
      </x:c>
      <x:c r="AA1534" s="12" t="str">
        <x:f>IF(R1534="","no_claim_delta","claim_delta_present")</x:f>
        <x:v>no_claim_delta</x:v>
      </x:c>
      <x:c r="AB1534" s="12" t="str">
        <x:f>IF(S1534="","no_contradiction_delta","contradiction_delta_present")</x:f>
        <x:v>no_contradiction_delta</x:v>
      </x:c>
      <x:c r="AC1534" s="12" t="str">
        <x:f>IF(OR(ISNUMBER(SEARCH("hacker",LOWER(F1534&amp;" "&amp;H1534&amp;" "&amp;I1534&amp;" "&amp;M1534&amp;" "&amp;N1534&amp;" "&amp;T1534))),ISNUMBER(SEARCH("hacking",LOWER(F1534&amp;" "&amp;H1534&amp;" "&amp;I1534&amp;" "&amp;M1534&amp;" "&amp;N1534&amp;" "&amp;T1534))),ISNUMBER(SEARCH("bank",LOWER(F1534&amp;" "&amp;H1534&amp;" "&amp;I1534&amp;" "&amp;M1534&amp;" "&amp;N1534&amp;" "&amp;T1534))),ISNUMBER(SEARCH("banking",LOWER(F1534&amp;" "&amp;H1534&amp;" "&amp;I1534&amp;" "&amp;M1534&amp;" "&amp;N1534&amp;" "&amp;T1534)))),"PRIVATE_QUARANTINE",IF(OR(ISNUMBER(SEARCH("treasury",LOWER(F1534&amp;" "&amp;H1534&amp;" "&amp;I1534&amp;" "&amp;M1534&amp;" "&amp;N1534&amp;" "&amp;T1534))),ISNUMBER(SEARCH("debt",LOWER(F1534&amp;" "&amp;H1534&amp;" "&amp;I1534&amp;" "&amp;M1534&amp;" "&amp;N1534&amp;" "&amp;T1534))),ISNUMBER(SEARCH("bond",LOWER(F1534&amp;" "&amp;H1534&amp;" "&amp;I1534&amp;" "&amp;M1534&amp;" "&amp;N1534&amp;" "&amp;T1534))),ISNUMBER(SEARCH("transaction",LOWER(F1534&amp;" "&amp;H1534&amp;" "&amp;I1534&amp;" "&amp;M1534&amp;" "&amp;N1534&amp;" "&amp;T1534)))),"PRIVATE_REVIEW","PUBLIC_CANDIDATE"))</x:f>
        <x:v>PUBLIC_CANDIDATE</x:v>
      </x:c>
      <x:c r="AD1534" s="12" t="str">
        <x:f>IF(AC1534="PRIVATE_QUARANTINE","hacker_or_bank_trigger",IF(AC1534="PRIVATE_REVIEW","finance_risk_trigger","none"))</x:f>
        <x:v>none</x:v>
      </x:c>
      <x:c r="AE1534" s="12" t="str">
        <x:f>IF(AC1534="PUBLIC_CANDIDATE","prepare_public_github_candidate",IF(AC1534="PRIVATE_REVIEW","hold_for_private_review","quarantine_private_do_not_publish"))</x:f>
        <x:v>prepare_public_github_candidate</x:v>
      </x:c>
      <x:c r="AF1534" s="12" t="str">
        <x:f>IF(AC1534="PUBLIC_CANDIDATE","TIDELOCK + Lucerna",IF(AC1534="PRIVATE_REVIEW","AtlasBrain + Lucerna","TIDELOCK + Lucerna + Human-root"))</x:f>
        <x:v>TIDELOCK + Lucerna</x:v>
      </x:c>
      <x:c r="AG1534" s="12" t="str">
        <x:f>IF(AND(AC1534="PUBLIC_CANDIDATE",U1534&lt;&gt;"BLOCKED_PENDING_RECEIPT"),"READY_AFTER_RECEIPT","NOT_READY")</x:f>
        <x:v>NOT_READY</x:v>
      </x:c>
      <x:c r="AH1534" s="12" t="str">
        <x:f>IF(AC1534="PUBLIC_CANDIDATE","none",AD1534)</x:f>
        <x:v>none</x:v>
      </x:c>
      <x:c r="AI1534" s="12" t="str">
        <x:f>IF(AC1534="PUBLIC_CANDIDATE","archive/public_candidates/"&amp;A1534,"private_quarantine/"&amp;A1534)</x:f>
        <x:v>archive/public_candidates/SWARM-11-H08-S09</x:v>
      </x:c>
      <x:c r="AJ1534" s="12" t="str">
        <x:f>IF(AC1534="PUBLIC_CANDIDATE","public by default; still not canon","private/hold; do not publish")</x:f>
        <x:v>public by default; still not canon</x:v>
      </x:c>
      <x:c r="AK1534" s="12" t="str">
        <x:f>IF(AE1534="prepare_public_github_candidate","add receipt/status then mirror","resolve blocker before any public GitHub action")</x:f>
        <x:v>add receipt/status then mirror</x:v>
      </x:c>
    </x:row>
    <x:row r="1535">
      <x:c r="A1535" s="15" t="str">
        <x:v>SWARM-11-H08-S10</x:v>
      </x:c>
      <x:c r="B1535" s="15" t="str">
        <x:v>ClaudeCatcher</x:v>
      </x:c>
      <x:c r="C1535" s="15" t="str">
        <x:v>Bullshit Olympics referee</x:v>
      </x:c>
      <x:c r="D1535" s="15" t="str">
        <x:v>Graph Edge Proposals</x:v>
      </x:c>
      <x:c r="E1535" s="15" t="str">
        <x:v>Human-Root</x:v>
      </x:c>
      <x:c r="F1535" s="15" t="str">
        <x:v>Propose graph edges for Human-Root — ClaudeCatcher</x:v>
      </x:c>
      <x:c r="G1535" s="15" t="str">
        <x:v>adversarial claims / model overclaim detection</x:v>
      </x:c>
      <x:c r="H1535" s="15" t="str">
        <x:v>source path + receipt + raw/export status + claim/edge/risk delta</x:v>
      </x:c>
      <x:c r="I1535" s="15" t="str">
        <x:v>packet/SWARM-11-H08-S10</x:v>
      </x:c>
      <x:c r="J1535" s="15" t="str">
        <x:v>TODO</x:v>
      </x:c>
      <x:c r="K1535" s="15" t="str">
        <x:v>P2</x:v>
      </x:c>
      <x:c r="L1535" s="15" t="str">
        <x:v>Done only when evidence is logged, contradiction search is noted, and boundary stamp remains non-canon unless ratified</x:v>
      </x:c>
      <x:c r="M1535" s="15" t="str">
        <x:v>candidate / staging-only / not canon / not deployed / authority none</x:v>
      </x:c>
      <x:c r="N1535" s="15" t="str">
        <x:v>Dispatch to ClaudeCatcher: complete Graph Edge Proposals x Human-Root; return deltas only, receipts required.</x:v>
      </x:c>
      <x:c r="O1535" s="15" t="str">
        <x:v>AF-KG-H08-S10</x:v>
      </x:c>
      <x:c r="P1535" s="15" t="str">
        <x:v>Unverified</x:v>
      </x:c>
      <x:c r="Q1535" s="15" t="str">
        <x:v>Not checked</x:v>
      </x:c>
      <x:c r="R1535" s="15" t="str"/>
      <x:c r="S1535" s="15" t="str"/>
      <x:c r="T1535" s="15" t="str">
        <x:v>Log first source path or blocker</x:v>
      </x:c>
      <x:c r="U1535" s="12" t="str">
        <x:f>IF(OR(P1535="Unverified",Q1535="Not checked"),"BLOCKED_PENDING_RECEIPT","READY_FOR_REVIEW")</x:f>
        <x:v>BLOCKED_PENDING_RECEIPT</x:v>
      </x:c>
      <x:c r="V1535" s="12" t="str">
        <x:f>IF(J1535="DONE","RETURNED",IF(U1535="BLOCKED_PENDING_RECEIPT","SOURCE_TOUCH_REQUIRED","IN_PROGRESS"))</x:f>
        <x:v>SOURCE_TOUCH_REQUIRED</x:v>
      </x:c>
      <x:c r="W1535" s="12" t="str">
        <x:f>IF(P1535="Unverified","missing_receipt","receipt_logged")</x:f>
        <x:v>missing_receipt</x:v>
      </x:c>
      <x:c r="X1535" s="12" t="str">
        <x:f>IF(Q1535="Not checked","raw_status_missing","raw_status_logged")</x:f>
        <x:v>raw_status_missing</x:v>
      </x:c>
      <x:c r="Y1535" s="12" t="str">
        <x:f>IF(U1535="BLOCKED_PENDING_RECEIPT","Log source path or blocker; do not promote","Route to review lane")</x:f>
        <x:v>Log source path or blocker; do not promote</x:v>
      </x:c>
      <x:c r="Z1535" s="12" t="str">
        <x:f>IF(K1535="P0","Primary seat + Hashlight/Lucerna","Seat lane")</x:f>
        <x:v>Seat lane</x:v>
      </x:c>
      <x:c r="AA1535" s="12" t="str">
        <x:f>IF(R1535="","no_claim_delta","claim_delta_present")</x:f>
        <x:v>no_claim_delta</x:v>
      </x:c>
      <x:c r="AB1535" s="12" t="str">
        <x:f>IF(S1535="","no_contradiction_delta","contradiction_delta_present")</x:f>
        <x:v>no_contradiction_delta</x:v>
      </x:c>
      <x:c r="AC1535" s="12" t="str">
        <x:f>IF(OR(ISNUMBER(SEARCH("hacker",LOWER(F1535&amp;" "&amp;H1535&amp;" "&amp;I1535&amp;" "&amp;M1535&amp;" "&amp;N1535&amp;" "&amp;T1535))),ISNUMBER(SEARCH("hacking",LOWER(F1535&amp;" "&amp;H1535&amp;" "&amp;I1535&amp;" "&amp;M1535&amp;" "&amp;N1535&amp;" "&amp;T1535))),ISNUMBER(SEARCH("bank",LOWER(F1535&amp;" "&amp;H1535&amp;" "&amp;I1535&amp;" "&amp;M1535&amp;" "&amp;N1535&amp;" "&amp;T1535))),ISNUMBER(SEARCH("banking",LOWER(F1535&amp;" "&amp;H1535&amp;" "&amp;I1535&amp;" "&amp;M1535&amp;" "&amp;N1535&amp;" "&amp;T1535)))),"PRIVATE_QUARANTINE",IF(OR(ISNUMBER(SEARCH("treasury",LOWER(F1535&amp;" "&amp;H1535&amp;" "&amp;I1535&amp;" "&amp;M1535&amp;" "&amp;N1535&amp;" "&amp;T1535))),ISNUMBER(SEARCH("debt",LOWER(F1535&amp;" "&amp;H1535&amp;" "&amp;I1535&amp;" "&amp;M1535&amp;" "&amp;N1535&amp;" "&amp;T1535))),ISNUMBER(SEARCH("bond",LOWER(F1535&amp;" "&amp;H1535&amp;" "&amp;I1535&amp;" "&amp;M1535&amp;" "&amp;N1535&amp;" "&amp;T1535))),ISNUMBER(SEARCH("transaction",LOWER(F1535&amp;" "&amp;H1535&amp;" "&amp;I1535&amp;" "&amp;M1535&amp;" "&amp;N1535&amp;" "&amp;T1535)))),"PRIVATE_REVIEW","PUBLIC_CANDIDATE"))</x:f>
        <x:v>PUBLIC_CANDIDATE</x:v>
      </x:c>
      <x:c r="AD1535" s="12" t="str">
        <x:f>IF(AC1535="PRIVATE_QUARANTINE","hacker_or_bank_trigger",IF(AC1535="PRIVATE_REVIEW","finance_risk_trigger","none"))</x:f>
        <x:v>none</x:v>
      </x:c>
      <x:c r="AE1535" s="12" t="str">
        <x:f>IF(AC1535="PUBLIC_CANDIDATE","prepare_public_github_candidate",IF(AC1535="PRIVATE_REVIEW","hold_for_private_review","quarantine_private_do_not_publish"))</x:f>
        <x:v>prepare_public_github_candidate</x:v>
      </x:c>
      <x:c r="AF1535" s="12" t="str">
        <x:f>IF(AC1535="PUBLIC_CANDIDATE","TIDELOCK + Lucerna",IF(AC1535="PRIVATE_REVIEW","AtlasBrain + Lucerna","TIDELOCK + Lucerna + Human-root"))</x:f>
        <x:v>TIDELOCK + Lucerna</x:v>
      </x:c>
      <x:c r="AG1535" s="12" t="str">
        <x:f>IF(AND(AC1535="PUBLIC_CANDIDATE",U1535&lt;&gt;"BLOCKED_PENDING_RECEIPT"),"READY_AFTER_RECEIPT","NOT_READY")</x:f>
        <x:v>NOT_READY</x:v>
      </x:c>
      <x:c r="AH1535" s="12" t="str">
        <x:f>IF(AC1535="PUBLIC_CANDIDATE","none",AD1535)</x:f>
        <x:v>none</x:v>
      </x:c>
      <x:c r="AI1535" s="12" t="str">
        <x:f>IF(AC1535="PUBLIC_CANDIDATE","archive/public_candidates/"&amp;A1535,"private_quarantine/"&amp;A1535)</x:f>
        <x:v>archive/public_candidates/SWARM-11-H08-S10</x:v>
      </x:c>
      <x:c r="AJ1535" s="12" t="str">
        <x:f>IF(AC1535="PUBLIC_CANDIDATE","public by default; still not canon","private/hold; do not publish")</x:f>
        <x:v>public by default; still not canon</x:v>
      </x:c>
      <x:c r="AK1535" s="12" t="str">
        <x:f>IF(AE1535="prepare_public_github_candidate","add receipt/status then mirror","resolve blocker before any public GitHub action")</x:f>
        <x:v>add receipt/status then mirror</x:v>
      </x:c>
    </x:row>
    <x:row r="1536">
      <x:c r="A1536" s="15" t="str">
        <x:v>SWARM-11-H08-S11</x:v>
      </x:c>
      <x:c r="B1536" s="15" t="str">
        <x:v>ClaudeCatcher</x:v>
      </x:c>
      <x:c r="C1536" s="15" t="str">
        <x:v>Bullshit Olympics referee</x:v>
      </x:c>
      <x:c r="D1536" s="15" t="str">
        <x:v>Graph Edge Proposals</x:v>
      </x:c>
      <x:c r="E1536" s="15" t="str">
        <x:v>Automation</x:v>
      </x:c>
      <x:c r="F1536" s="15" t="str">
        <x:v>Propose graph edges for Automation — ClaudeCatcher</x:v>
      </x:c>
      <x:c r="G1536" s="15" t="str">
        <x:v>adversarial claims / model overclaim detection</x:v>
      </x:c>
      <x:c r="H1536" s="15" t="str">
        <x:v>source path + receipt + raw/export status + claim/edge/risk delta</x:v>
      </x:c>
      <x:c r="I1536" s="15" t="str">
        <x:v>packet/SWARM-11-H08-S11</x:v>
      </x:c>
      <x:c r="J1536" s="15" t="str">
        <x:v>TODO</x:v>
      </x:c>
      <x:c r="K1536" s="15" t="str">
        <x:v>P2</x:v>
      </x:c>
      <x:c r="L1536" s="15" t="str">
        <x:v>Done only when evidence is logged, contradiction search is noted, and boundary stamp remains non-canon unless ratified</x:v>
      </x:c>
      <x:c r="M1536" s="15" t="str">
        <x:v>candidate / staging-only / not canon / not deployed / authority none</x:v>
      </x:c>
      <x:c r="N1536" s="15" t="str">
        <x:v>Dispatch to ClaudeCatcher: complete Graph Edge Proposals x Automation; return deltas only, receipts required.</x:v>
      </x:c>
      <x:c r="O1536" s="15" t="str">
        <x:v>AF-KG-H08-S11</x:v>
      </x:c>
      <x:c r="P1536" s="15" t="str">
        <x:v>Unverified</x:v>
      </x:c>
      <x:c r="Q1536" s="15" t="str">
        <x:v>Not checked</x:v>
      </x:c>
      <x:c r="R1536" s="15" t="str"/>
      <x:c r="S1536" s="15" t="str"/>
      <x:c r="T1536" s="15" t="str">
        <x:v>Log first source path or blocker</x:v>
      </x:c>
      <x:c r="U1536" s="12" t="str">
        <x:f>IF(OR(P1536="Unverified",Q1536="Not checked"),"BLOCKED_PENDING_RECEIPT","READY_FOR_REVIEW")</x:f>
        <x:v>BLOCKED_PENDING_RECEIPT</x:v>
      </x:c>
      <x:c r="V1536" s="12" t="str">
        <x:f>IF(J1536="DONE","RETURNED",IF(U1536="BLOCKED_PENDING_RECEIPT","SOURCE_TOUCH_REQUIRED","IN_PROGRESS"))</x:f>
        <x:v>SOURCE_TOUCH_REQUIRED</x:v>
      </x:c>
      <x:c r="W1536" s="12" t="str">
        <x:f>IF(P1536="Unverified","missing_receipt","receipt_logged")</x:f>
        <x:v>missing_receipt</x:v>
      </x:c>
      <x:c r="X1536" s="12" t="str">
        <x:f>IF(Q1536="Not checked","raw_status_missing","raw_status_logged")</x:f>
        <x:v>raw_status_missing</x:v>
      </x:c>
      <x:c r="Y1536" s="12" t="str">
        <x:f>IF(U1536="BLOCKED_PENDING_RECEIPT","Log source path or blocker; do not promote","Route to review lane")</x:f>
        <x:v>Log source path or blocker; do not promote</x:v>
      </x:c>
      <x:c r="Z1536" s="12" t="str">
        <x:f>IF(K1536="P0","Primary seat + Hashlight/Lucerna","Seat lane")</x:f>
        <x:v>Seat lane</x:v>
      </x:c>
      <x:c r="AA1536" s="12" t="str">
        <x:f>IF(R1536="","no_claim_delta","claim_delta_present")</x:f>
        <x:v>no_claim_delta</x:v>
      </x:c>
      <x:c r="AB1536" s="12" t="str">
        <x:f>IF(S1536="","no_contradiction_delta","contradiction_delta_present")</x:f>
        <x:v>no_contradiction_delta</x:v>
      </x:c>
      <x:c r="AC1536" s="12" t="str">
        <x:f>IF(OR(ISNUMBER(SEARCH("hacker",LOWER(F1536&amp;" "&amp;H1536&amp;" "&amp;I1536&amp;" "&amp;M1536&amp;" "&amp;N1536&amp;" "&amp;T1536))),ISNUMBER(SEARCH("hacking",LOWER(F1536&amp;" "&amp;H1536&amp;" "&amp;I1536&amp;" "&amp;M1536&amp;" "&amp;N1536&amp;" "&amp;T1536))),ISNUMBER(SEARCH("bank",LOWER(F1536&amp;" "&amp;H1536&amp;" "&amp;I1536&amp;" "&amp;M1536&amp;" "&amp;N1536&amp;" "&amp;T1536))),ISNUMBER(SEARCH("banking",LOWER(F1536&amp;" "&amp;H1536&amp;" "&amp;I1536&amp;" "&amp;M1536&amp;" "&amp;N1536&amp;" "&amp;T1536)))),"PRIVATE_QUARANTINE",IF(OR(ISNUMBER(SEARCH("treasury",LOWER(F1536&amp;" "&amp;H1536&amp;" "&amp;I1536&amp;" "&amp;M1536&amp;" "&amp;N1536&amp;" "&amp;T1536))),ISNUMBER(SEARCH("debt",LOWER(F1536&amp;" "&amp;H1536&amp;" "&amp;I1536&amp;" "&amp;M1536&amp;" "&amp;N1536&amp;" "&amp;T1536))),ISNUMBER(SEARCH("bond",LOWER(F1536&amp;" "&amp;H1536&amp;" "&amp;I1536&amp;" "&amp;M1536&amp;" "&amp;N1536&amp;" "&amp;T1536))),ISNUMBER(SEARCH("transaction",LOWER(F1536&amp;" "&amp;H1536&amp;" "&amp;I1536&amp;" "&amp;M1536&amp;" "&amp;N1536&amp;" "&amp;T1536)))),"PRIVATE_REVIEW","PUBLIC_CANDIDATE"))</x:f>
        <x:v>PUBLIC_CANDIDATE</x:v>
      </x:c>
      <x:c r="AD1536" s="12" t="str">
        <x:f>IF(AC1536="PRIVATE_QUARANTINE","hacker_or_bank_trigger",IF(AC1536="PRIVATE_REVIEW","finance_risk_trigger","none"))</x:f>
        <x:v>none</x:v>
      </x:c>
      <x:c r="AE1536" s="12" t="str">
        <x:f>IF(AC1536="PUBLIC_CANDIDATE","prepare_public_github_candidate",IF(AC1536="PRIVATE_REVIEW","hold_for_private_review","quarantine_private_do_not_publish"))</x:f>
        <x:v>prepare_public_github_candidate</x:v>
      </x:c>
      <x:c r="AF1536" s="12" t="str">
        <x:f>IF(AC1536="PUBLIC_CANDIDATE","TIDELOCK + Lucerna",IF(AC1536="PRIVATE_REVIEW","AtlasBrain + Lucerna","TIDELOCK + Lucerna + Human-root"))</x:f>
        <x:v>TIDELOCK + Lucerna</x:v>
      </x:c>
      <x:c r="AG1536" s="12" t="str">
        <x:f>IF(AND(AC1536="PUBLIC_CANDIDATE",U1536&lt;&gt;"BLOCKED_PENDING_RECEIPT"),"READY_AFTER_RECEIPT","NOT_READY")</x:f>
        <x:v>NOT_READY</x:v>
      </x:c>
      <x:c r="AH1536" s="12" t="str">
        <x:f>IF(AC1536="PUBLIC_CANDIDATE","none",AD1536)</x:f>
        <x:v>none</x:v>
      </x:c>
      <x:c r="AI1536" s="12" t="str">
        <x:f>IF(AC1536="PUBLIC_CANDIDATE","archive/public_candidates/"&amp;A1536,"private_quarantine/"&amp;A1536)</x:f>
        <x:v>archive/public_candidates/SWARM-11-H08-S11</x:v>
      </x:c>
      <x:c r="AJ1536" s="12" t="str">
        <x:f>IF(AC1536="PUBLIC_CANDIDATE","public by default; still not canon","private/hold; do not publish")</x:f>
        <x:v>public by default; still not canon</x:v>
      </x:c>
      <x:c r="AK1536" s="12" t="str">
        <x:f>IF(AE1536="prepare_public_github_candidate","add receipt/status then mirror","resolve blocker before any public GitHub action")</x:f>
        <x:v>add receipt/status then mirror</x:v>
      </x:c>
    </x:row>
    <x:row r="1537">
      <x:c r="A1537" s="15" t="str">
        <x:v>SWARM-11-H08-S12</x:v>
      </x:c>
      <x:c r="B1537" s="15" t="str">
        <x:v>ClaudeCatcher</x:v>
      </x:c>
      <x:c r="C1537" s="15" t="str">
        <x:v>Bullshit Olympics referee</x:v>
      </x:c>
      <x:c r="D1537" s="15" t="str">
        <x:v>Graph Edge Proposals</x:v>
      </x:c>
      <x:c r="E1537" s="15" t="str">
        <x:v>Risk / Safety</x:v>
      </x:c>
      <x:c r="F1537" s="15" t="str">
        <x:v>Propose graph edges for Risk / Safety — ClaudeCatcher</x:v>
      </x:c>
      <x:c r="G1537" s="15" t="str">
        <x:v>adversarial claims / model overclaim detection</x:v>
      </x:c>
      <x:c r="H1537" s="15" t="str">
        <x:v>source path + receipt + raw/export status + claim/edge/risk delta</x:v>
      </x:c>
      <x:c r="I1537" s="15" t="str">
        <x:v>packet/SWARM-11-H08-S12</x:v>
      </x:c>
      <x:c r="J1537" s="15" t="str">
        <x:v>TODO</x:v>
      </x:c>
      <x:c r="K1537" s="15" t="str">
        <x:v>P2</x:v>
      </x:c>
      <x:c r="L1537" s="15" t="str">
        <x:v>Done only when evidence is logged, contradiction search is noted, and boundary stamp remains non-canon unless ratified</x:v>
      </x:c>
      <x:c r="M1537" s="15" t="str">
        <x:v>candidate / staging-only / not canon / not deployed / authority none</x:v>
      </x:c>
      <x:c r="N1537" s="15" t="str">
        <x:v>Dispatch to ClaudeCatcher: complete Graph Edge Proposals x Risk / Safety; return deltas only, receipts required.</x:v>
      </x:c>
      <x:c r="O1537" s="15" t="str">
        <x:v>AF-KG-H08-S12</x:v>
      </x:c>
      <x:c r="P1537" s="15" t="str">
        <x:v>Unverified</x:v>
      </x:c>
      <x:c r="Q1537" s="15" t="str">
        <x:v>Not checked</x:v>
      </x:c>
      <x:c r="R1537" s="15" t="str"/>
      <x:c r="S1537" s="15" t="str"/>
      <x:c r="T1537" s="15" t="str">
        <x:v>Log first source path or blocker</x:v>
      </x:c>
      <x:c r="U1537" s="12" t="str">
        <x:f>IF(OR(P1537="Unverified",Q1537="Not checked"),"BLOCKED_PENDING_RECEIPT","READY_FOR_REVIEW")</x:f>
        <x:v>BLOCKED_PENDING_RECEIPT</x:v>
      </x:c>
      <x:c r="V1537" s="12" t="str">
        <x:f>IF(J1537="DONE","RETURNED",IF(U1537="BLOCKED_PENDING_RECEIPT","SOURCE_TOUCH_REQUIRED","IN_PROGRESS"))</x:f>
        <x:v>SOURCE_TOUCH_REQUIRED</x:v>
      </x:c>
      <x:c r="W1537" s="12" t="str">
        <x:f>IF(P1537="Unverified","missing_receipt","receipt_logged")</x:f>
        <x:v>missing_receipt</x:v>
      </x:c>
      <x:c r="X1537" s="12" t="str">
        <x:f>IF(Q1537="Not checked","raw_status_missing","raw_status_logged")</x:f>
        <x:v>raw_status_missing</x:v>
      </x:c>
      <x:c r="Y1537" s="12" t="str">
        <x:f>IF(U1537="BLOCKED_PENDING_RECEIPT","Log source path or blocker; do not promote","Route to review lane")</x:f>
        <x:v>Log source path or blocker; do not promote</x:v>
      </x:c>
      <x:c r="Z1537" s="12" t="str">
        <x:f>IF(K1537="P0","Primary seat + Hashlight/Lucerna","Seat lane")</x:f>
        <x:v>Seat lane</x:v>
      </x:c>
      <x:c r="AA1537" s="12" t="str">
        <x:f>IF(R1537="","no_claim_delta","claim_delta_present")</x:f>
        <x:v>no_claim_delta</x:v>
      </x:c>
      <x:c r="AB1537" s="12" t="str">
        <x:f>IF(S1537="","no_contradiction_delta","contradiction_delta_present")</x:f>
        <x:v>no_contradiction_delta</x:v>
      </x:c>
      <x:c r="AC1537" s="12" t="str">
        <x:f>IF(OR(ISNUMBER(SEARCH("hacker",LOWER(F1537&amp;" "&amp;H1537&amp;" "&amp;I1537&amp;" "&amp;M1537&amp;" "&amp;N1537&amp;" "&amp;T1537))),ISNUMBER(SEARCH("hacking",LOWER(F1537&amp;" "&amp;H1537&amp;" "&amp;I1537&amp;" "&amp;M1537&amp;" "&amp;N1537&amp;" "&amp;T1537))),ISNUMBER(SEARCH("bank",LOWER(F1537&amp;" "&amp;H1537&amp;" "&amp;I1537&amp;" "&amp;M1537&amp;" "&amp;N1537&amp;" "&amp;T1537))),ISNUMBER(SEARCH("banking",LOWER(F1537&amp;" "&amp;H1537&amp;" "&amp;I1537&amp;" "&amp;M1537&amp;" "&amp;N1537&amp;" "&amp;T1537)))),"PRIVATE_QUARANTINE",IF(OR(ISNUMBER(SEARCH("treasury",LOWER(F1537&amp;" "&amp;H1537&amp;" "&amp;I1537&amp;" "&amp;M1537&amp;" "&amp;N1537&amp;" "&amp;T1537))),ISNUMBER(SEARCH("debt",LOWER(F1537&amp;" "&amp;H1537&amp;" "&amp;I1537&amp;" "&amp;M1537&amp;" "&amp;N1537&amp;" "&amp;T1537))),ISNUMBER(SEARCH("bond",LOWER(F1537&amp;" "&amp;H1537&amp;" "&amp;I1537&amp;" "&amp;M1537&amp;" "&amp;N1537&amp;" "&amp;T1537))),ISNUMBER(SEARCH("transaction",LOWER(F1537&amp;" "&amp;H1537&amp;" "&amp;I1537&amp;" "&amp;M1537&amp;" "&amp;N1537&amp;" "&amp;T1537)))),"PRIVATE_REVIEW","PUBLIC_CANDIDATE"))</x:f>
        <x:v>PUBLIC_CANDIDATE</x:v>
      </x:c>
      <x:c r="AD1537" s="12" t="str">
        <x:f>IF(AC1537="PRIVATE_QUARANTINE","hacker_or_bank_trigger",IF(AC1537="PRIVATE_REVIEW","finance_risk_trigger","none"))</x:f>
        <x:v>none</x:v>
      </x:c>
      <x:c r="AE1537" s="12" t="str">
        <x:f>IF(AC1537="PUBLIC_CANDIDATE","prepare_public_github_candidate",IF(AC1537="PRIVATE_REVIEW","hold_for_private_review","quarantine_private_do_not_publish"))</x:f>
        <x:v>prepare_public_github_candidate</x:v>
      </x:c>
      <x:c r="AF1537" s="12" t="str">
        <x:f>IF(AC1537="PUBLIC_CANDIDATE","TIDELOCK + Lucerna",IF(AC1537="PRIVATE_REVIEW","AtlasBrain + Lucerna","TIDELOCK + Lucerna + Human-root"))</x:f>
        <x:v>TIDELOCK + Lucerna</x:v>
      </x:c>
      <x:c r="AG1537" s="12" t="str">
        <x:f>IF(AND(AC1537="PUBLIC_CANDIDATE",U1537&lt;&gt;"BLOCKED_PENDING_RECEIPT"),"READY_AFTER_RECEIPT","NOT_READY")</x:f>
        <x:v>NOT_READY</x:v>
      </x:c>
      <x:c r="AH1537" s="12" t="str">
        <x:f>IF(AC1537="PUBLIC_CANDIDATE","none",AD1537)</x:f>
        <x:v>none</x:v>
      </x:c>
      <x:c r="AI1537" s="12" t="str">
        <x:f>IF(AC1537="PUBLIC_CANDIDATE","archive/public_candidates/"&amp;A1537,"private_quarantine/"&amp;A1537)</x:f>
        <x:v>archive/public_candidates/SWARM-11-H08-S12</x:v>
      </x:c>
      <x:c r="AJ1537" s="12" t="str">
        <x:f>IF(AC1537="PUBLIC_CANDIDATE","public by default; still not canon","private/hold; do not publish")</x:f>
        <x:v>public by default; still not canon</x:v>
      </x:c>
      <x:c r="AK1537" s="12" t="str">
        <x:f>IF(AE1537="prepare_public_github_candidate","add receipt/status then mirror","resolve blocker before any public GitHub action")</x:f>
        <x:v>add receipt/status then mirror</x:v>
      </x:c>
    </x:row>
    <x:row r="1538">
      <x:c r="A1538" s="15" t="str">
        <x:v>SWARM-11-H09-S01</x:v>
      </x:c>
      <x:c r="B1538" s="15" t="str">
        <x:v>ClaudeCatcher</x:v>
      </x:c>
      <x:c r="C1538" s="15" t="str">
        <x:v>Bullshit Olympics referee</x:v>
      </x:c>
      <x:c r="D1538" s="15" t="str">
        <x:v>Review Queues</x:v>
      </x:c>
      <x:c r="E1538" s="15" t="str">
        <x:v>Notion</x:v>
      </x:c>
      <x:c r="F1538" s="15" t="str">
        <x:v>Queue review for Notion — ClaudeCatcher</x:v>
      </x:c>
      <x:c r="G1538" s="15" t="str">
        <x:v>adversarial claims / model overclaim detection</x:v>
      </x:c>
      <x:c r="H1538" s="15" t="str">
        <x:v>source path + receipt + raw/export status + claim/edge/risk delta</x:v>
      </x:c>
      <x:c r="I1538" s="15" t="str">
        <x:v>packet/SWARM-11-H09-S01</x:v>
      </x:c>
      <x:c r="J1538" s="15" t="str">
        <x:v>TODO</x:v>
      </x:c>
      <x:c r="K1538" s="15" t="str">
        <x:v>P0</x:v>
      </x:c>
      <x:c r="L1538" s="15" t="str">
        <x:v>Done only when evidence is logged, contradiction search is noted, and boundary stamp remains non-canon unless ratified</x:v>
      </x:c>
      <x:c r="M1538" s="15" t="str">
        <x:v>candidate / staging-only / not canon / not deployed / authority none</x:v>
      </x:c>
      <x:c r="N1538" s="15" t="str">
        <x:v>Dispatch to ClaudeCatcher: complete Review Queues x Notion; return deltas only, receipts required.</x:v>
      </x:c>
      <x:c r="O1538" s="15" t="str">
        <x:v>AF-KG-H09-S01</x:v>
      </x:c>
      <x:c r="P1538" s="15" t="str">
        <x:v>Unverified</x:v>
      </x:c>
      <x:c r="Q1538" s="15" t="str">
        <x:v>Not checked</x:v>
      </x:c>
      <x:c r="R1538" s="15" t="str"/>
      <x:c r="S1538" s="15" t="str"/>
      <x:c r="T1538" s="15" t="str">
        <x:v>Log first source path or blocker</x:v>
      </x:c>
      <x:c r="U1538" s="12" t="str">
        <x:f>IF(OR(P1538="Unverified",Q1538="Not checked"),"BLOCKED_PENDING_RECEIPT","READY_FOR_REVIEW")</x:f>
        <x:v>BLOCKED_PENDING_RECEIPT</x:v>
      </x:c>
      <x:c r="V1538" s="12" t="str">
        <x:f>IF(J1538="DONE","RETURNED",IF(U1538="BLOCKED_PENDING_RECEIPT","SOURCE_TOUCH_REQUIRED","IN_PROGRESS"))</x:f>
        <x:v>SOURCE_TOUCH_REQUIRED</x:v>
      </x:c>
      <x:c r="W1538" s="12" t="str">
        <x:f>IF(P1538="Unverified","missing_receipt","receipt_logged")</x:f>
        <x:v>missing_receipt</x:v>
      </x:c>
      <x:c r="X1538" s="12" t="str">
        <x:f>IF(Q1538="Not checked","raw_status_missing","raw_status_logged")</x:f>
        <x:v>raw_status_missing</x:v>
      </x:c>
      <x:c r="Y1538" s="12" t="str">
        <x:f>IF(U1538="BLOCKED_PENDING_RECEIPT","Log source path or blocker; do not promote","Route to review lane")</x:f>
        <x:v>Log source path or blocker; do not promote</x:v>
      </x:c>
      <x:c r="Z1538" s="12" t="str">
        <x:f>IF(K1538="P0","Primary seat + Hashlight/Lucerna","Seat lane")</x:f>
        <x:v>Primary seat + Hashlight/Lucerna</x:v>
      </x:c>
      <x:c r="AA1538" s="12" t="str">
        <x:f>IF(R1538="","no_claim_delta","claim_delta_present")</x:f>
        <x:v>no_claim_delta</x:v>
      </x:c>
      <x:c r="AB1538" s="12" t="str">
        <x:f>IF(S1538="","no_contradiction_delta","contradiction_delta_present")</x:f>
        <x:v>no_contradiction_delta</x:v>
      </x:c>
      <x:c r="AC1538" s="12" t="str">
        <x:f>IF(OR(ISNUMBER(SEARCH("hacker",LOWER(F1538&amp;" "&amp;H1538&amp;" "&amp;I1538&amp;" "&amp;M1538&amp;" "&amp;N1538&amp;" "&amp;T1538))),ISNUMBER(SEARCH("hacking",LOWER(F1538&amp;" "&amp;H1538&amp;" "&amp;I1538&amp;" "&amp;M1538&amp;" "&amp;N1538&amp;" "&amp;T1538))),ISNUMBER(SEARCH("bank",LOWER(F1538&amp;" "&amp;H1538&amp;" "&amp;I1538&amp;" "&amp;M1538&amp;" "&amp;N1538&amp;" "&amp;T1538))),ISNUMBER(SEARCH("banking",LOWER(F1538&amp;" "&amp;H1538&amp;" "&amp;I1538&amp;" "&amp;M1538&amp;" "&amp;N1538&amp;" "&amp;T1538)))),"PRIVATE_QUARANTINE",IF(OR(ISNUMBER(SEARCH("treasury",LOWER(F1538&amp;" "&amp;H1538&amp;" "&amp;I1538&amp;" "&amp;M1538&amp;" "&amp;N1538&amp;" "&amp;T1538))),ISNUMBER(SEARCH("debt",LOWER(F1538&amp;" "&amp;H1538&amp;" "&amp;I1538&amp;" "&amp;M1538&amp;" "&amp;N1538&amp;" "&amp;T1538))),ISNUMBER(SEARCH("bond",LOWER(F1538&amp;" "&amp;H1538&amp;" "&amp;I1538&amp;" "&amp;M1538&amp;" "&amp;N1538&amp;" "&amp;T1538))),ISNUMBER(SEARCH("transaction",LOWER(F1538&amp;" "&amp;H1538&amp;" "&amp;I1538&amp;" "&amp;M1538&amp;" "&amp;N1538&amp;" "&amp;T1538)))),"PRIVATE_REVIEW","PUBLIC_CANDIDATE"))</x:f>
        <x:v>PUBLIC_CANDIDATE</x:v>
      </x:c>
      <x:c r="AD1538" s="12" t="str">
        <x:f>IF(AC1538="PRIVATE_QUARANTINE","hacker_or_bank_trigger",IF(AC1538="PRIVATE_REVIEW","finance_risk_trigger","none"))</x:f>
        <x:v>none</x:v>
      </x:c>
      <x:c r="AE1538" s="12" t="str">
        <x:f>IF(AC1538="PUBLIC_CANDIDATE","prepare_public_github_candidate",IF(AC1538="PRIVATE_REVIEW","hold_for_private_review","quarantine_private_do_not_publish"))</x:f>
        <x:v>prepare_public_github_candidate</x:v>
      </x:c>
      <x:c r="AF1538" s="12" t="str">
        <x:f>IF(AC1538="PUBLIC_CANDIDATE","TIDELOCK + Lucerna",IF(AC1538="PRIVATE_REVIEW","AtlasBrain + Lucerna","TIDELOCK + Lucerna + Human-root"))</x:f>
        <x:v>TIDELOCK + Lucerna</x:v>
      </x:c>
      <x:c r="AG1538" s="12" t="str">
        <x:f>IF(AND(AC1538="PUBLIC_CANDIDATE",U1538&lt;&gt;"BLOCKED_PENDING_RECEIPT"),"READY_AFTER_RECEIPT","NOT_READY")</x:f>
        <x:v>NOT_READY</x:v>
      </x:c>
      <x:c r="AH1538" s="12" t="str">
        <x:f>IF(AC1538="PUBLIC_CANDIDATE","none",AD1538)</x:f>
        <x:v>none</x:v>
      </x:c>
      <x:c r="AI1538" s="12" t="str">
        <x:f>IF(AC1538="PUBLIC_CANDIDATE","archive/public_candidates/"&amp;A1538,"private_quarantine/"&amp;A1538)</x:f>
        <x:v>archive/public_candidates/SWARM-11-H09-S01</x:v>
      </x:c>
      <x:c r="AJ1538" s="12" t="str">
        <x:f>IF(AC1538="PUBLIC_CANDIDATE","public by default; still not canon","private/hold; do not publish")</x:f>
        <x:v>public by default; still not canon</x:v>
      </x:c>
      <x:c r="AK1538" s="12" t="str">
        <x:f>IF(AE1538="prepare_public_github_candidate","add receipt/status then mirror","resolve blocker before any public GitHub action")</x:f>
        <x:v>add receipt/status then mirror</x:v>
      </x:c>
    </x:row>
    <x:row r="1539">
      <x:c r="A1539" s="15" t="str">
        <x:v>SWARM-11-H09-S02</x:v>
      </x:c>
      <x:c r="B1539" s="15" t="str">
        <x:v>ClaudeCatcher</x:v>
      </x:c>
      <x:c r="C1539" s="15" t="str">
        <x:v>Bullshit Olympics referee</x:v>
      </x:c>
      <x:c r="D1539" s="15" t="str">
        <x:v>Review Queues</x:v>
      </x:c>
      <x:c r="E1539" s="15" t="str">
        <x:v>Drive</x:v>
      </x:c>
      <x:c r="F1539" s="15" t="str">
        <x:v>Queue review for Drive — ClaudeCatcher</x:v>
      </x:c>
      <x:c r="G1539" s="15" t="str">
        <x:v>adversarial claims / model overclaim detection</x:v>
      </x:c>
      <x:c r="H1539" s="15" t="str">
        <x:v>source path + receipt + raw/export status + claim/edge/risk delta</x:v>
      </x:c>
      <x:c r="I1539" s="15" t="str">
        <x:v>packet/SWARM-11-H09-S02</x:v>
      </x:c>
      <x:c r="J1539" s="15" t="str">
        <x:v>TODO</x:v>
      </x:c>
      <x:c r="K1539" s="15" t="str">
        <x:v>P0</x:v>
      </x:c>
      <x:c r="L1539" s="15" t="str">
        <x:v>Done only when evidence is logged, contradiction search is noted, and boundary stamp remains non-canon unless ratified</x:v>
      </x:c>
      <x:c r="M1539" s="15" t="str">
        <x:v>candidate / staging-only / not canon / not deployed / authority none</x:v>
      </x:c>
      <x:c r="N1539" s="15" t="str">
        <x:v>Dispatch to ClaudeCatcher: complete Review Queues x Drive; return deltas only, receipts required.</x:v>
      </x:c>
      <x:c r="O1539" s="15" t="str">
        <x:v>AF-KG-H09-S02</x:v>
      </x:c>
      <x:c r="P1539" s="15" t="str">
        <x:v>Unverified</x:v>
      </x:c>
      <x:c r="Q1539" s="15" t="str">
        <x:v>Not checked</x:v>
      </x:c>
      <x:c r="R1539" s="15" t="str"/>
      <x:c r="S1539" s="15" t="str"/>
      <x:c r="T1539" s="15" t="str">
        <x:v>Log first source path or blocker</x:v>
      </x:c>
      <x:c r="U1539" s="12" t="str">
        <x:f>IF(OR(P1539="Unverified",Q1539="Not checked"),"BLOCKED_PENDING_RECEIPT","READY_FOR_REVIEW")</x:f>
        <x:v>BLOCKED_PENDING_RECEIPT</x:v>
      </x:c>
      <x:c r="V1539" s="12" t="str">
        <x:f>IF(J1539="DONE","RETURNED",IF(U1539="BLOCKED_PENDING_RECEIPT","SOURCE_TOUCH_REQUIRED","IN_PROGRESS"))</x:f>
        <x:v>SOURCE_TOUCH_REQUIRED</x:v>
      </x:c>
      <x:c r="W1539" s="12" t="str">
        <x:f>IF(P1539="Unverified","missing_receipt","receipt_logged")</x:f>
        <x:v>missing_receipt</x:v>
      </x:c>
      <x:c r="X1539" s="12" t="str">
        <x:f>IF(Q1539="Not checked","raw_status_missing","raw_status_logged")</x:f>
        <x:v>raw_status_missing</x:v>
      </x:c>
      <x:c r="Y1539" s="12" t="str">
        <x:f>IF(U1539="BLOCKED_PENDING_RECEIPT","Log source path or blocker; do not promote","Route to review lane")</x:f>
        <x:v>Log source path or blocker; do not promote</x:v>
      </x:c>
      <x:c r="Z1539" s="12" t="str">
        <x:f>IF(K1539="P0","Primary seat + Hashlight/Lucerna","Seat lane")</x:f>
        <x:v>Primary seat + Hashlight/Lucerna</x:v>
      </x:c>
      <x:c r="AA1539" s="12" t="str">
        <x:f>IF(R1539="","no_claim_delta","claim_delta_present")</x:f>
        <x:v>no_claim_delta</x:v>
      </x:c>
      <x:c r="AB1539" s="12" t="str">
        <x:f>IF(S1539="","no_contradiction_delta","contradiction_delta_present")</x:f>
        <x:v>no_contradiction_delta</x:v>
      </x:c>
      <x:c r="AC1539" s="12" t="str">
        <x:f>IF(OR(ISNUMBER(SEARCH("hacker",LOWER(F1539&amp;" "&amp;H1539&amp;" "&amp;I1539&amp;" "&amp;M1539&amp;" "&amp;N1539&amp;" "&amp;T1539))),ISNUMBER(SEARCH("hacking",LOWER(F1539&amp;" "&amp;H1539&amp;" "&amp;I1539&amp;" "&amp;M1539&amp;" "&amp;N1539&amp;" "&amp;T1539))),ISNUMBER(SEARCH("bank",LOWER(F1539&amp;" "&amp;H1539&amp;" "&amp;I1539&amp;" "&amp;M1539&amp;" "&amp;N1539&amp;" "&amp;T1539))),ISNUMBER(SEARCH("banking",LOWER(F1539&amp;" "&amp;H1539&amp;" "&amp;I1539&amp;" "&amp;M1539&amp;" "&amp;N1539&amp;" "&amp;T1539)))),"PRIVATE_QUARANTINE",IF(OR(ISNUMBER(SEARCH("treasury",LOWER(F1539&amp;" "&amp;H1539&amp;" "&amp;I1539&amp;" "&amp;M1539&amp;" "&amp;N1539&amp;" "&amp;T1539))),ISNUMBER(SEARCH("debt",LOWER(F1539&amp;" "&amp;H1539&amp;" "&amp;I1539&amp;" "&amp;M1539&amp;" "&amp;N1539&amp;" "&amp;T1539))),ISNUMBER(SEARCH("bond",LOWER(F1539&amp;" "&amp;H1539&amp;" "&amp;I1539&amp;" "&amp;M1539&amp;" "&amp;N1539&amp;" "&amp;T1539))),ISNUMBER(SEARCH("transaction",LOWER(F1539&amp;" "&amp;H1539&amp;" "&amp;I1539&amp;" "&amp;M1539&amp;" "&amp;N1539&amp;" "&amp;T1539)))),"PRIVATE_REVIEW","PUBLIC_CANDIDATE"))</x:f>
        <x:v>PUBLIC_CANDIDATE</x:v>
      </x:c>
      <x:c r="AD1539" s="12" t="str">
        <x:f>IF(AC1539="PRIVATE_QUARANTINE","hacker_or_bank_trigger",IF(AC1539="PRIVATE_REVIEW","finance_risk_trigger","none"))</x:f>
        <x:v>none</x:v>
      </x:c>
      <x:c r="AE1539" s="12" t="str">
        <x:f>IF(AC1539="PUBLIC_CANDIDATE","prepare_public_github_candidate",IF(AC1539="PRIVATE_REVIEW","hold_for_private_review","quarantine_private_do_not_publish"))</x:f>
        <x:v>prepare_public_github_candidate</x:v>
      </x:c>
      <x:c r="AF1539" s="12" t="str">
        <x:f>IF(AC1539="PUBLIC_CANDIDATE","TIDELOCK + Lucerna",IF(AC1539="PRIVATE_REVIEW","AtlasBrain + Lucerna","TIDELOCK + Lucerna + Human-root"))</x:f>
        <x:v>TIDELOCK + Lucerna</x:v>
      </x:c>
      <x:c r="AG1539" s="12" t="str">
        <x:f>IF(AND(AC1539="PUBLIC_CANDIDATE",U1539&lt;&gt;"BLOCKED_PENDING_RECEIPT"),"READY_AFTER_RECEIPT","NOT_READY")</x:f>
        <x:v>NOT_READY</x:v>
      </x:c>
      <x:c r="AH1539" s="12" t="str">
        <x:f>IF(AC1539="PUBLIC_CANDIDATE","none",AD1539)</x:f>
        <x:v>none</x:v>
      </x:c>
      <x:c r="AI1539" s="12" t="str">
        <x:f>IF(AC1539="PUBLIC_CANDIDATE","archive/public_candidates/"&amp;A1539,"private_quarantine/"&amp;A1539)</x:f>
        <x:v>archive/public_candidates/SWARM-11-H09-S02</x:v>
      </x:c>
      <x:c r="AJ1539" s="12" t="str">
        <x:f>IF(AC1539="PUBLIC_CANDIDATE","public by default; still not canon","private/hold; do not publish")</x:f>
        <x:v>public by default; still not canon</x:v>
      </x:c>
      <x:c r="AK1539" s="12" t="str">
        <x:f>IF(AE1539="prepare_public_github_candidate","add receipt/status then mirror","resolve blocker before any public GitHub action")</x:f>
        <x:v>add receipt/status then mirror</x:v>
      </x:c>
    </x:row>
    <x:row r="1540">
      <x:c r="A1540" s="15" t="str">
        <x:v>SWARM-11-H09-S03</x:v>
      </x:c>
      <x:c r="B1540" s="15" t="str">
        <x:v>ClaudeCatcher</x:v>
      </x:c>
      <x:c r="C1540" s="15" t="str">
        <x:v>Bullshit Olympics referee</x:v>
      </x:c>
      <x:c r="D1540" s="15" t="str">
        <x:v>Review Queues</x:v>
      </x:c>
      <x:c r="E1540" s="15" t="str">
        <x:v>GitHub</x:v>
      </x:c>
      <x:c r="F1540" s="15" t="str">
        <x:v>Queue review for GitHub — ClaudeCatcher</x:v>
      </x:c>
      <x:c r="G1540" s="15" t="str">
        <x:v>adversarial claims / model overclaim detection</x:v>
      </x:c>
      <x:c r="H1540" s="15" t="str">
        <x:v>source path + receipt + raw/export status + claim/edge/risk delta</x:v>
      </x:c>
      <x:c r="I1540" s="15" t="str">
        <x:v>packet/SWARM-11-H09-S03</x:v>
      </x:c>
      <x:c r="J1540" s="15" t="str">
        <x:v>TODO</x:v>
      </x:c>
      <x:c r="K1540" s="15" t="str">
        <x:v>P0</x:v>
      </x:c>
      <x:c r="L1540" s="15" t="str">
        <x:v>Done only when evidence is logged, contradiction search is noted, and boundary stamp remains non-canon unless ratified</x:v>
      </x:c>
      <x:c r="M1540" s="15" t="str">
        <x:v>candidate / staging-only / not canon / not deployed / authority none</x:v>
      </x:c>
      <x:c r="N1540" s="15" t="str">
        <x:v>Dispatch to ClaudeCatcher: complete Review Queues x GitHub; return deltas only, receipts required.</x:v>
      </x:c>
      <x:c r="O1540" s="15" t="str">
        <x:v>AF-KG-H09-S03</x:v>
      </x:c>
      <x:c r="P1540" s="15" t="str">
        <x:v>Unverified</x:v>
      </x:c>
      <x:c r="Q1540" s="15" t="str">
        <x:v>Not checked</x:v>
      </x:c>
      <x:c r="R1540" s="15" t="str"/>
      <x:c r="S1540" s="15" t="str"/>
      <x:c r="T1540" s="15" t="str">
        <x:v>Log first source path or blocker</x:v>
      </x:c>
      <x:c r="U1540" s="12" t="str">
        <x:f>IF(OR(P1540="Unverified",Q1540="Not checked"),"BLOCKED_PENDING_RECEIPT","READY_FOR_REVIEW")</x:f>
        <x:v>BLOCKED_PENDING_RECEIPT</x:v>
      </x:c>
      <x:c r="V1540" s="12" t="str">
        <x:f>IF(J1540="DONE","RETURNED",IF(U1540="BLOCKED_PENDING_RECEIPT","SOURCE_TOUCH_REQUIRED","IN_PROGRESS"))</x:f>
        <x:v>SOURCE_TOUCH_REQUIRED</x:v>
      </x:c>
      <x:c r="W1540" s="12" t="str">
        <x:f>IF(P1540="Unverified","missing_receipt","receipt_logged")</x:f>
        <x:v>missing_receipt</x:v>
      </x:c>
      <x:c r="X1540" s="12" t="str">
        <x:f>IF(Q1540="Not checked","raw_status_missing","raw_status_logged")</x:f>
        <x:v>raw_status_missing</x:v>
      </x:c>
      <x:c r="Y1540" s="12" t="str">
        <x:f>IF(U1540="BLOCKED_PENDING_RECEIPT","Log source path or blocker; do not promote","Route to review lane")</x:f>
        <x:v>Log source path or blocker; do not promote</x:v>
      </x:c>
      <x:c r="Z1540" s="12" t="str">
        <x:f>IF(K1540="P0","Primary seat + Hashlight/Lucerna","Seat lane")</x:f>
        <x:v>Primary seat + Hashlight/Lucerna</x:v>
      </x:c>
      <x:c r="AA1540" s="12" t="str">
        <x:f>IF(R1540="","no_claim_delta","claim_delta_present")</x:f>
        <x:v>no_claim_delta</x:v>
      </x:c>
      <x:c r="AB1540" s="12" t="str">
        <x:f>IF(S1540="","no_contradiction_delta","contradiction_delta_present")</x:f>
        <x:v>no_contradiction_delta</x:v>
      </x:c>
      <x:c r="AC1540" s="12" t="str">
        <x:f>IF(OR(ISNUMBER(SEARCH("hacker",LOWER(F1540&amp;" "&amp;H1540&amp;" "&amp;I1540&amp;" "&amp;M1540&amp;" "&amp;N1540&amp;" "&amp;T1540))),ISNUMBER(SEARCH("hacking",LOWER(F1540&amp;" "&amp;H1540&amp;" "&amp;I1540&amp;" "&amp;M1540&amp;" "&amp;N1540&amp;" "&amp;T1540))),ISNUMBER(SEARCH("bank",LOWER(F1540&amp;" "&amp;H1540&amp;" "&amp;I1540&amp;" "&amp;M1540&amp;" "&amp;N1540&amp;" "&amp;T1540))),ISNUMBER(SEARCH("banking",LOWER(F1540&amp;" "&amp;H1540&amp;" "&amp;I1540&amp;" "&amp;M1540&amp;" "&amp;N1540&amp;" "&amp;T1540)))),"PRIVATE_QUARANTINE",IF(OR(ISNUMBER(SEARCH("treasury",LOWER(F1540&amp;" "&amp;H1540&amp;" "&amp;I1540&amp;" "&amp;M1540&amp;" "&amp;N1540&amp;" "&amp;T1540))),ISNUMBER(SEARCH("debt",LOWER(F1540&amp;" "&amp;H1540&amp;" "&amp;I1540&amp;" "&amp;M1540&amp;" "&amp;N1540&amp;" "&amp;T1540))),ISNUMBER(SEARCH("bond",LOWER(F1540&amp;" "&amp;H1540&amp;" "&amp;I1540&amp;" "&amp;M1540&amp;" "&amp;N1540&amp;" "&amp;T1540))),ISNUMBER(SEARCH("transaction",LOWER(F1540&amp;" "&amp;H1540&amp;" "&amp;I1540&amp;" "&amp;M1540&amp;" "&amp;N1540&amp;" "&amp;T1540)))),"PRIVATE_REVIEW","PUBLIC_CANDIDATE"))</x:f>
        <x:v>PUBLIC_CANDIDATE</x:v>
      </x:c>
      <x:c r="AD1540" s="12" t="str">
        <x:f>IF(AC1540="PRIVATE_QUARANTINE","hacker_or_bank_trigger",IF(AC1540="PRIVATE_REVIEW","finance_risk_trigger","none"))</x:f>
        <x:v>none</x:v>
      </x:c>
      <x:c r="AE1540" s="12" t="str">
        <x:f>IF(AC1540="PUBLIC_CANDIDATE","prepare_public_github_candidate",IF(AC1540="PRIVATE_REVIEW","hold_for_private_review","quarantine_private_do_not_publish"))</x:f>
        <x:v>prepare_public_github_candidate</x:v>
      </x:c>
      <x:c r="AF1540" s="12" t="str">
        <x:f>IF(AC1540="PUBLIC_CANDIDATE","TIDELOCK + Lucerna",IF(AC1540="PRIVATE_REVIEW","AtlasBrain + Lucerna","TIDELOCK + Lucerna + Human-root"))</x:f>
        <x:v>TIDELOCK + Lucerna</x:v>
      </x:c>
      <x:c r="AG1540" s="12" t="str">
        <x:f>IF(AND(AC1540="PUBLIC_CANDIDATE",U1540&lt;&gt;"BLOCKED_PENDING_RECEIPT"),"READY_AFTER_RECEIPT","NOT_READY")</x:f>
        <x:v>NOT_READY</x:v>
      </x:c>
      <x:c r="AH1540" s="12" t="str">
        <x:f>IF(AC1540="PUBLIC_CANDIDATE","none",AD1540)</x:f>
        <x:v>none</x:v>
      </x:c>
      <x:c r="AI1540" s="12" t="str">
        <x:f>IF(AC1540="PUBLIC_CANDIDATE","archive/public_candidates/"&amp;A1540,"private_quarantine/"&amp;A1540)</x:f>
        <x:v>archive/public_candidates/SWARM-11-H09-S03</x:v>
      </x:c>
      <x:c r="AJ1540" s="12" t="str">
        <x:f>IF(AC1540="PUBLIC_CANDIDATE","public by default; still not canon","private/hold; do not publish")</x:f>
        <x:v>public by default; still not canon</x:v>
      </x:c>
      <x:c r="AK1540" s="12" t="str">
        <x:f>IF(AE1540="prepare_public_github_candidate","add receipt/status then mirror","resolve blocker before any public GitHub action")</x:f>
        <x:v>add receipt/status then mirror</x:v>
      </x:c>
    </x:row>
    <x:row r="1541">
      <x:c r="A1541" s="15" t="str">
        <x:v>SWARM-11-H09-S04</x:v>
      </x:c>
      <x:c r="B1541" s="15" t="str">
        <x:v>ClaudeCatcher</x:v>
      </x:c>
      <x:c r="C1541" s="15" t="str">
        <x:v>Bullshit Olympics referee</x:v>
      </x:c>
      <x:c r="D1541" s="15" t="str">
        <x:v>Review Queues</x:v>
      </x:c>
      <x:c r="E1541" s="15" t="str">
        <x:v>Gamma</x:v>
      </x:c>
      <x:c r="F1541" s="15" t="str">
        <x:v>Queue review for Gamma — ClaudeCatcher</x:v>
      </x:c>
      <x:c r="G1541" s="15" t="str">
        <x:v>adversarial claims / model overclaim detection</x:v>
      </x:c>
      <x:c r="H1541" s="15" t="str">
        <x:v>source path + receipt + raw/export status + claim/edge/risk delta</x:v>
      </x:c>
      <x:c r="I1541" s="15" t="str">
        <x:v>packet/SWARM-11-H09-S04</x:v>
      </x:c>
      <x:c r="J1541" s="15" t="str">
        <x:v>TODO</x:v>
      </x:c>
      <x:c r="K1541" s="15" t="str">
        <x:v>P1</x:v>
      </x:c>
      <x:c r="L1541" s="15" t="str">
        <x:v>Done only when evidence is logged, contradiction search is noted, and boundary stamp remains non-canon unless ratified</x:v>
      </x:c>
      <x:c r="M1541" s="15" t="str">
        <x:v>candidate / staging-only / not canon / not deployed / authority none</x:v>
      </x:c>
      <x:c r="N1541" s="15" t="str">
        <x:v>Dispatch to ClaudeCatcher: complete Review Queues x Gamma; return deltas only, receipts required.</x:v>
      </x:c>
      <x:c r="O1541" s="15" t="str">
        <x:v>AF-KG-H09-S04</x:v>
      </x:c>
      <x:c r="P1541" s="15" t="str">
        <x:v>Unverified</x:v>
      </x:c>
      <x:c r="Q1541" s="15" t="str">
        <x:v>Not checked</x:v>
      </x:c>
      <x:c r="R1541" s="15" t="str"/>
      <x:c r="S1541" s="15" t="str"/>
      <x:c r="T1541" s="15" t="str">
        <x:v>Log first source path or blocker</x:v>
      </x:c>
      <x:c r="U1541" s="12" t="str">
        <x:f>IF(OR(P1541="Unverified",Q1541="Not checked"),"BLOCKED_PENDING_RECEIPT","READY_FOR_REVIEW")</x:f>
        <x:v>BLOCKED_PENDING_RECEIPT</x:v>
      </x:c>
      <x:c r="V1541" s="12" t="str">
        <x:f>IF(J1541="DONE","RETURNED",IF(U1541="BLOCKED_PENDING_RECEIPT","SOURCE_TOUCH_REQUIRED","IN_PROGRESS"))</x:f>
        <x:v>SOURCE_TOUCH_REQUIRED</x:v>
      </x:c>
      <x:c r="W1541" s="12" t="str">
        <x:f>IF(P1541="Unverified","missing_receipt","receipt_logged")</x:f>
        <x:v>missing_receipt</x:v>
      </x:c>
      <x:c r="X1541" s="12" t="str">
        <x:f>IF(Q1541="Not checked","raw_status_missing","raw_status_logged")</x:f>
        <x:v>raw_status_missing</x:v>
      </x:c>
      <x:c r="Y1541" s="12" t="str">
        <x:f>IF(U1541="BLOCKED_PENDING_RECEIPT","Log source path or blocker; do not promote","Route to review lane")</x:f>
        <x:v>Log source path or blocker; do not promote</x:v>
      </x:c>
      <x:c r="Z1541" s="12" t="str">
        <x:f>IF(K1541="P0","Primary seat + Hashlight/Lucerna","Seat lane")</x:f>
        <x:v>Seat lane</x:v>
      </x:c>
      <x:c r="AA1541" s="12" t="str">
        <x:f>IF(R1541="","no_claim_delta","claim_delta_present")</x:f>
        <x:v>no_claim_delta</x:v>
      </x:c>
      <x:c r="AB1541" s="12" t="str">
        <x:f>IF(S1541="","no_contradiction_delta","contradiction_delta_present")</x:f>
        <x:v>no_contradiction_delta</x:v>
      </x:c>
      <x:c r="AC1541" s="12" t="str">
        <x:f>IF(OR(ISNUMBER(SEARCH("hacker",LOWER(F1541&amp;" "&amp;H1541&amp;" "&amp;I1541&amp;" "&amp;M1541&amp;" "&amp;N1541&amp;" "&amp;T1541))),ISNUMBER(SEARCH("hacking",LOWER(F1541&amp;" "&amp;H1541&amp;" "&amp;I1541&amp;" "&amp;M1541&amp;" "&amp;N1541&amp;" "&amp;T1541))),ISNUMBER(SEARCH("bank",LOWER(F1541&amp;" "&amp;H1541&amp;" "&amp;I1541&amp;" "&amp;M1541&amp;" "&amp;N1541&amp;" "&amp;T1541))),ISNUMBER(SEARCH("banking",LOWER(F1541&amp;" "&amp;H1541&amp;" "&amp;I1541&amp;" "&amp;M1541&amp;" "&amp;N1541&amp;" "&amp;T1541)))),"PRIVATE_QUARANTINE",IF(OR(ISNUMBER(SEARCH("treasury",LOWER(F1541&amp;" "&amp;H1541&amp;" "&amp;I1541&amp;" "&amp;M1541&amp;" "&amp;N1541&amp;" "&amp;T1541))),ISNUMBER(SEARCH("debt",LOWER(F1541&amp;" "&amp;H1541&amp;" "&amp;I1541&amp;" "&amp;M1541&amp;" "&amp;N1541&amp;" "&amp;T1541))),ISNUMBER(SEARCH("bond",LOWER(F1541&amp;" "&amp;H1541&amp;" "&amp;I1541&amp;" "&amp;M1541&amp;" "&amp;N1541&amp;" "&amp;T1541))),ISNUMBER(SEARCH("transaction",LOWER(F1541&amp;" "&amp;H1541&amp;" "&amp;I1541&amp;" "&amp;M1541&amp;" "&amp;N1541&amp;" "&amp;T1541)))),"PRIVATE_REVIEW","PUBLIC_CANDIDATE"))</x:f>
        <x:v>PUBLIC_CANDIDATE</x:v>
      </x:c>
      <x:c r="AD1541" s="12" t="str">
        <x:f>IF(AC1541="PRIVATE_QUARANTINE","hacker_or_bank_trigger",IF(AC1541="PRIVATE_REVIEW","finance_risk_trigger","none"))</x:f>
        <x:v>none</x:v>
      </x:c>
      <x:c r="AE1541" s="12" t="str">
        <x:f>IF(AC1541="PUBLIC_CANDIDATE","prepare_public_github_candidate",IF(AC1541="PRIVATE_REVIEW","hold_for_private_review","quarantine_private_do_not_publish"))</x:f>
        <x:v>prepare_public_github_candidate</x:v>
      </x:c>
      <x:c r="AF1541" s="12" t="str">
        <x:f>IF(AC1541="PUBLIC_CANDIDATE","TIDELOCK + Lucerna",IF(AC1541="PRIVATE_REVIEW","AtlasBrain + Lucerna","TIDELOCK + Lucerna + Human-root"))</x:f>
        <x:v>TIDELOCK + Lucerna</x:v>
      </x:c>
      <x:c r="AG1541" s="12" t="str">
        <x:f>IF(AND(AC1541="PUBLIC_CANDIDATE",U1541&lt;&gt;"BLOCKED_PENDING_RECEIPT"),"READY_AFTER_RECEIPT","NOT_READY")</x:f>
        <x:v>NOT_READY</x:v>
      </x:c>
      <x:c r="AH1541" s="12" t="str">
        <x:f>IF(AC1541="PUBLIC_CANDIDATE","none",AD1541)</x:f>
        <x:v>none</x:v>
      </x:c>
      <x:c r="AI1541" s="12" t="str">
        <x:f>IF(AC1541="PUBLIC_CANDIDATE","archive/public_candidates/"&amp;A1541,"private_quarantine/"&amp;A1541)</x:f>
        <x:v>archive/public_candidates/SWARM-11-H09-S04</x:v>
      </x:c>
      <x:c r="AJ1541" s="12" t="str">
        <x:f>IF(AC1541="PUBLIC_CANDIDATE","public by default; still not canon","private/hold; do not publish")</x:f>
        <x:v>public by default; still not canon</x:v>
      </x:c>
      <x:c r="AK1541" s="12" t="str">
        <x:f>IF(AE1541="prepare_public_github_candidate","add receipt/status then mirror","resolve blocker before any public GitHub action")</x:f>
        <x:v>add receipt/status then mirror</x:v>
      </x:c>
    </x:row>
    <x:row r="1542">
      <x:c r="A1542" s="15" t="str">
        <x:v>SWARM-11-H09-S05</x:v>
      </x:c>
      <x:c r="B1542" s="15" t="str">
        <x:v>ClaudeCatcher</x:v>
      </x:c>
      <x:c r="C1542" s="15" t="str">
        <x:v>Bullshit Olympics referee</x:v>
      </x:c>
      <x:c r="D1542" s="15" t="str">
        <x:v>Review Queues</x:v>
      </x:c>
      <x:c r="E1542" s="15" t="str">
        <x:v>Chat</x:v>
      </x:c>
      <x:c r="F1542" s="15" t="str">
        <x:v>Queue review for Chat — ClaudeCatcher</x:v>
      </x:c>
      <x:c r="G1542" s="15" t="str">
        <x:v>adversarial claims / model overclaim detection</x:v>
      </x:c>
      <x:c r="H1542" s="15" t="str">
        <x:v>source path + receipt + raw/export status + claim/edge/risk delta</x:v>
      </x:c>
      <x:c r="I1542" s="15" t="str">
        <x:v>packet/SWARM-11-H09-S05</x:v>
      </x:c>
      <x:c r="J1542" s="15" t="str">
        <x:v>TODO</x:v>
      </x:c>
      <x:c r="K1542" s="15" t="str">
        <x:v>P1</x:v>
      </x:c>
      <x:c r="L1542" s="15" t="str">
        <x:v>Done only when evidence is logged, contradiction search is noted, and boundary stamp remains non-canon unless ratified</x:v>
      </x:c>
      <x:c r="M1542" s="15" t="str">
        <x:v>candidate / staging-only / not canon / not deployed / authority none</x:v>
      </x:c>
      <x:c r="N1542" s="15" t="str">
        <x:v>Dispatch to ClaudeCatcher: complete Review Queues x Chat; return deltas only, receipts required.</x:v>
      </x:c>
      <x:c r="O1542" s="15" t="str">
        <x:v>AF-KG-H09-S05</x:v>
      </x:c>
      <x:c r="P1542" s="15" t="str">
        <x:v>Unverified</x:v>
      </x:c>
      <x:c r="Q1542" s="15" t="str">
        <x:v>Not checked</x:v>
      </x:c>
      <x:c r="R1542" s="15" t="str"/>
      <x:c r="S1542" s="15" t="str"/>
      <x:c r="T1542" s="15" t="str">
        <x:v>Log first source path or blocker</x:v>
      </x:c>
      <x:c r="U1542" s="12" t="str">
        <x:f>IF(OR(P1542="Unverified",Q1542="Not checked"),"BLOCKED_PENDING_RECEIPT","READY_FOR_REVIEW")</x:f>
        <x:v>BLOCKED_PENDING_RECEIPT</x:v>
      </x:c>
      <x:c r="V1542" s="12" t="str">
        <x:f>IF(J1542="DONE","RETURNED",IF(U1542="BLOCKED_PENDING_RECEIPT","SOURCE_TOUCH_REQUIRED","IN_PROGRESS"))</x:f>
        <x:v>SOURCE_TOUCH_REQUIRED</x:v>
      </x:c>
      <x:c r="W1542" s="12" t="str">
        <x:f>IF(P1542="Unverified","missing_receipt","receipt_logged")</x:f>
        <x:v>missing_receipt</x:v>
      </x:c>
      <x:c r="X1542" s="12" t="str">
        <x:f>IF(Q1542="Not checked","raw_status_missing","raw_status_logged")</x:f>
        <x:v>raw_status_missing</x:v>
      </x:c>
      <x:c r="Y1542" s="12" t="str">
        <x:f>IF(U1542="BLOCKED_PENDING_RECEIPT","Log source path or blocker; do not promote","Route to review lane")</x:f>
        <x:v>Log source path or blocker; do not promote</x:v>
      </x:c>
      <x:c r="Z1542" s="12" t="str">
        <x:f>IF(K1542="P0","Primary seat + Hashlight/Lucerna","Seat lane")</x:f>
        <x:v>Seat lane</x:v>
      </x:c>
      <x:c r="AA1542" s="12" t="str">
        <x:f>IF(R1542="","no_claim_delta","claim_delta_present")</x:f>
        <x:v>no_claim_delta</x:v>
      </x:c>
      <x:c r="AB1542" s="12" t="str">
        <x:f>IF(S1542="","no_contradiction_delta","contradiction_delta_present")</x:f>
        <x:v>no_contradiction_delta</x:v>
      </x:c>
      <x:c r="AC1542" s="12" t="str">
        <x:f>IF(OR(ISNUMBER(SEARCH("hacker",LOWER(F1542&amp;" "&amp;H1542&amp;" "&amp;I1542&amp;" "&amp;M1542&amp;" "&amp;N1542&amp;" "&amp;T1542))),ISNUMBER(SEARCH("hacking",LOWER(F1542&amp;" "&amp;H1542&amp;" "&amp;I1542&amp;" "&amp;M1542&amp;" "&amp;N1542&amp;" "&amp;T1542))),ISNUMBER(SEARCH("bank",LOWER(F1542&amp;" "&amp;H1542&amp;" "&amp;I1542&amp;" "&amp;M1542&amp;" "&amp;N1542&amp;" "&amp;T1542))),ISNUMBER(SEARCH("banking",LOWER(F1542&amp;" "&amp;H1542&amp;" "&amp;I1542&amp;" "&amp;M1542&amp;" "&amp;N1542&amp;" "&amp;T1542)))),"PRIVATE_QUARANTINE",IF(OR(ISNUMBER(SEARCH("treasury",LOWER(F1542&amp;" "&amp;H1542&amp;" "&amp;I1542&amp;" "&amp;M1542&amp;" "&amp;N1542&amp;" "&amp;T1542))),ISNUMBER(SEARCH("debt",LOWER(F1542&amp;" "&amp;H1542&amp;" "&amp;I1542&amp;" "&amp;M1542&amp;" "&amp;N1542&amp;" "&amp;T1542))),ISNUMBER(SEARCH("bond",LOWER(F1542&amp;" "&amp;H1542&amp;" "&amp;I1542&amp;" "&amp;M1542&amp;" "&amp;N1542&amp;" "&amp;T1542))),ISNUMBER(SEARCH("transaction",LOWER(F1542&amp;" "&amp;H1542&amp;" "&amp;I1542&amp;" "&amp;M1542&amp;" "&amp;N1542&amp;" "&amp;T1542)))),"PRIVATE_REVIEW","PUBLIC_CANDIDATE"))</x:f>
        <x:v>PUBLIC_CANDIDATE</x:v>
      </x:c>
      <x:c r="AD1542" s="12" t="str">
        <x:f>IF(AC1542="PRIVATE_QUARANTINE","hacker_or_bank_trigger",IF(AC1542="PRIVATE_REVIEW","finance_risk_trigger","none"))</x:f>
        <x:v>none</x:v>
      </x:c>
      <x:c r="AE1542" s="12" t="str">
        <x:f>IF(AC1542="PUBLIC_CANDIDATE","prepare_public_github_candidate",IF(AC1542="PRIVATE_REVIEW","hold_for_private_review","quarantine_private_do_not_publish"))</x:f>
        <x:v>prepare_public_github_candidate</x:v>
      </x:c>
      <x:c r="AF1542" s="12" t="str">
        <x:f>IF(AC1542="PUBLIC_CANDIDATE","TIDELOCK + Lucerna",IF(AC1542="PRIVATE_REVIEW","AtlasBrain + Lucerna","TIDELOCK + Lucerna + Human-root"))</x:f>
        <x:v>TIDELOCK + Lucerna</x:v>
      </x:c>
      <x:c r="AG1542" s="12" t="str">
        <x:f>IF(AND(AC1542="PUBLIC_CANDIDATE",U1542&lt;&gt;"BLOCKED_PENDING_RECEIPT"),"READY_AFTER_RECEIPT","NOT_READY")</x:f>
        <x:v>NOT_READY</x:v>
      </x:c>
      <x:c r="AH1542" s="12" t="str">
        <x:f>IF(AC1542="PUBLIC_CANDIDATE","none",AD1542)</x:f>
        <x:v>none</x:v>
      </x:c>
      <x:c r="AI1542" s="12" t="str">
        <x:f>IF(AC1542="PUBLIC_CANDIDATE","archive/public_candidates/"&amp;A1542,"private_quarantine/"&amp;A1542)</x:f>
        <x:v>archive/public_candidates/SWARM-11-H09-S05</x:v>
      </x:c>
      <x:c r="AJ1542" s="12" t="str">
        <x:f>IF(AC1542="PUBLIC_CANDIDATE","public by default; still not canon","private/hold; do not publish")</x:f>
        <x:v>public by default; still not canon</x:v>
      </x:c>
      <x:c r="AK1542" s="12" t="str">
        <x:f>IF(AE1542="prepare_public_github_candidate","add receipt/status then mirror","resolve blocker before any public GitHub action")</x:f>
        <x:v>add receipt/status then mirror</x:v>
      </x:c>
    </x:row>
    <x:row r="1543">
      <x:c r="A1543" s="15" t="str">
        <x:v>SWARM-11-H09-S06</x:v>
      </x:c>
      <x:c r="B1543" s="15" t="str">
        <x:v>ClaudeCatcher</x:v>
      </x:c>
      <x:c r="C1543" s="15" t="str">
        <x:v>Bullshit Olympics referee</x:v>
      </x:c>
      <x:c r="D1543" s="15" t="str">
        <x:v>Review Queues</x:v>
      </x:c>
      <x:c r="E1543" s="15" t="str">
        <x:v>External Web</x:v>
      </x:c>
      <x:c r="F1543" s="15" t="str">
        <x:v>Queue review for External Web — ClaudeCatcher</x:v>
      </x:c>
      <x:c r="G1543" s="15" t="str">
        <x:v>adversarial claims / model overclaim detection</x:v>
      </x:c>
      <x:c r="H1543" s="15" t="str">
        <x:v>source path + receipt + raw/export status + claim/edge/risk delta</x:v>
      </x:c>
      <x:c r="I1543" s="15" t="str">
        <x:v>packet/SWARM-11-H09-S06</x:v>
      </x:c>
      <x:c r="J1543" s="15" t="str">
        <x:v>TODO</x:v>
      </x:c>
      <x:c r="K1543" s="15" t="str">
        <x:v>P1</x:v>
      </x:c>
      <x:c r="L1543" s="15" t="str">
        <x:v>Done only when evidence is logged, contradiction search is noted, and boundary stamp remains non-canon unless ratified</x:v>
      </x:c>
      <x:c r="M1543" s="15" t="str">
        <x:v>candidate / staging-only / not canon / not deployed / authority none</x:v>
      </x:c>
      <x:c r="N1543" s="15" t="str">
        <x:v>Dispatch to ClaudeCatcher: complete Review Queues x External Web; return deltas only, receipts required.</x:v>
      </x:c>
      <x:c r="O1543" s="15" t="str">
        <x:v>AF-KG-H09-S06</x:v>
      </x:c>
      <x:c r="P1543" s="15" t="str">
        <x:v>Unverified</x:v>
      </x:c>
      <x:c r="Q1543" s="15" t="str">
        <x:v>Not checked</x:v>
      </x:c>
      <x:c r="R1543" s="15" t="str"/>
      <x:c r="S1543" s="15" t="str"/>
      <x:c r="T1543" s="15" t="str">
        <x:v>Log first source path or blocker</x:v>
      </x:c>
      <x:c r="U1543" s="12" t="str">
        <x:f>IF(OR(P1543="Unverified",Q1543="Not checked"),"BLOCKED_PENDING_RECEIPT","READY_FOR_REVIEW")</x:f>
        <x:v>BLOCKED_PENDING_RECEIPT</x:v>
      </x:c>
      <x:c r="V1543" s="12" t="str">
        <x:f>IF(J1543="DONE","RETURNED",IF(U1543="BLOCKED_PENDING_RECEIPT","SOURCE_TOUCH_REQUIRED","IN_PROGRESS"))</x:f>
        <x:v>SOURCE_TOUCH_REQUIRED</x:v>
      </x:c>
      <x:c r="W1543" s="12" t="str">
        <x:f>IF(P1543="Unverified","missing_receipt","receipt_logged")</x:f>
        <x:v>missing_receipt</x:v>
      </x:c>
      <x:c r="X1543" s="12" t="str">
        <x:f>IF(Q1543="Not checked","raw_status_missing","raw_status_logged")</x:f>
        <x:v>raw_status_missing</x:v>
      </x:c>
      <x:c r="Y1543" s="12" t="str">
        <x:f>IF(U1543="BLOCKED_PENDING_RECEIPT","Log source path or blocker; do not promote","Route to review lane")</x:f>
        <x:v>Log source path or blocker; do not promote</x:v>
      </x:c>
      <x:c r="Z1543" s="12" t="str">
        <x:f>IF(K1543="P0","Primary seat + Hashlight/Lucerna","Seat lane")</x:f>
        <x:v>Seat lane</x:v>
      </x:c>
      <x:c r="AA1543" s="12" t="str">
        <x:f>IF(R1543="","no_claim_delta","claim_delta_present")</x:f>
        <x:v>no_claim_delta</x:v>
      </x:c>
      <x:c r="AB1543" s="12" t="str">
        <x:f>IF(S1543="","no_contradiction_delta","contradiction_delta_present")</x:f>
        <x:v>no_contradiction_delta</x:v>
      </x:c>
      <x:c r="AC1543" s="12" t="str">
        <x:f>IF(OR(ISNUMBER(SEARCH("hacker",LOWER(F1543&amp;" "&amp;H1543&amp;" "&amp;I1543&amp;" "&amp;M1543&amp;" "&amp;N1543&amp;" "&amp;T1543))),ISNUMBER(SEARCH("hacking",LOWER(F1543&amp;" "&amp;H1543&amp;" "&amp;I1543&amp;" "&amp;M1543&amp;" "&amp;N1543&amp;" "&amp;T1543))),ISNUMBER(SEARCH("bank",LOWER(F1543&amp;" "&amp;H1543&amp;" "&amp;I1543&amp;" "&amp;M1543&amp;" "&amp;N1543&amp;" "&amp;T1543))),ISNUMBER(SEARCH("banking",LOWER(F1543&amp;" "&amp;H1543&amp;" "&amp;I1543&amp;" "&amp;M1543&amp;" "&amp;N1543&amp;" "&amp;T1543)))),"PRIVATE_QUARANTINE",IF(OR(ISNUMBER(SEARCH("treasury",LOWER(F1543&amp;" "&amp;H1543&amp;" "&amp;I1543&amp;" "&amp;M1543&amp;" "&amp;N1543&amp;" "&amp;T1543))),ISNUMBER(SEARCH("debt",LOWER(F1543&amp;" "&amp;H1543&amp;" "&amp;I1543&amp;" "&amp;M1543&amp;" "&amp;N1543&amp;" "&amp;T1543))),ISNUMBER(SEARCH("bond",LOWER(F1543&amp;" "&amp;H1543&amp;" "&amp;I1543&amp;" "&amp;M1543&amp;" "&amp;N1543&amp;" "&amp;T1543))),ISNUMBER(SEARCH("transaction",LOWER(F1543&amp;" "&amp;H1543&amp;" "&amp;I1543&amp;" "&amp;M1543&amp;" "&amp;N1543&amp;" "&amp;T1543)))),"PRIVATE_REVIEW","PUBLIC_CANDIDATE"))</x:f>
        <x:v>PUBLIC_CANDIDATE</x:v>
      </x:c>
      <x:c r="AD1543" s="12" t="str">
        <x:f>IF(AC1543="PRIVATE_QUARANTINE","hacker_or_bank_trigger",IF(AC1543="PRIVATE_REVIEW","finance_risk_trigger","none"))</x:f>
        <x:v>none</x:v>
      </x:c>
      <x:c r="AE1543" s="12" t="str">
        <x:f>IF(AC1543="PUBLIC_CANDIDATE","prepare_public_github_candidate",IF(AC1543="PRIVATE_REVIEW","hold_for_private_review","quarantine_private_do_not_publish"))</x:f>
        <x:v>prepare_public_github_candidate</x:v>
      </x:c>
      <x:c r="AF1543" s="12" t="str">
        <x:f>IF(AC1543="PUBLIC_CANDIDATE","TIDELOCK + Lucerna",IF(AC1543="PRIVATE_REVIEW","AtlasBrain + Lucerna","TIDELOCK + Lucerna + Human-root"))</x:f>
        <x:v>TIDELOCK + Lucerna</x:v>
      </x:c>
      <x:c r="AG1543" s="12" t="str">
        <x:f>IF(AND(AC1543="PUBLIC_CANDIDATE",U1543&lt;&gt;"BLOCKED_PENDING_RECEIPT"),"READY_AFTER_RECEIPT","NOT_READY")</x:f>
        <x:v>NOT_READY</x:v>
      </x:c>
      <x:c r="AH1543" s="12" t="str">
        <x:f>IF(AC1543="PUBLIC_CANDIDATE","none",AD1543)</x:f>
        <x:v>none</x:v>
      </x:c>
      <x:c r="AI1543" s="12" t="str">
        <x:f>IF(AC1543="PUBLIC_CANDIDATE","archive/public_candidates/"&amp;A1543,"private_quarantine/"&amp;A1543)</x:f>
        <x:v>archive/public_candidates/SWARM-11-H09-S06</x:v>
      </x:c>
      <x:c r="AJ1543" s="12" t="str">
        <x:f>IF(AC1543="PUBLIC_CANDIDATE","public by default; still not canon","private/hold; do not publish")</x:f>
        <x:v>public by default; still not canon</x:v>
      </x:c>
      <x:c r="AK1543" s="12" t="str">
        <x:f>IF(AE1543="prepare_public_github_candidate","add receipt/status then mirror","resolve blocker before any public GitHub action")</x:f>
        <x:v>add receipt/status then mirror</x:v>
      </x:c>
    </x:row>
    <x:row r="1544">
      <x:c r="A1544" s="15" t="str">
        <x:v>SWARM-11-H09-S07</x:v>
      </x:c>
      <x:c r="B1544" s="15" t="str">
        <x:v>ClaudeCatcher</x:v>
      </x:c>
      <x:c r="C1544" s="15" t="str">
        <x:v>Bullshit Olympics referee</x:v>
      </x:c>
      <x:c r="D1544" s="15" t="str">
        <x:v>Review Queues</x:v>
      </x:c>
      <x:c r="E1544" s="15" t="str">
        <x:v>Planetarium</x:v>
      </x:c>
      <x:c r="F1544" s="15" t="str">
        <x:v>Queue review for Planetarium — ClaudeCatcher</x:v>
      </x:c>
      <x:c r="G1544" s="15" t="str">
        <x:v>adversarial claims / model overclaim detection</x:v>
      </x:c>
      <x:c r="H1544" s="15" t="str">
        <x:v>source path + receipt + raw/export status + claim/edge/risk delta</x:v>
      </x:c>
      <x:c r="I1544" s="15" t="str">
        <x:v>packet/SWARM-11-H09-S07</x:v>
      </x:c>
      <x:c r="J1544" s="15" t="str">
        <x:v>TODO</x:v>
      </x:c>
      <x:c r="K1544" s="15" t="str">
        <x:v>P1</x:v>
      </x:c>
      <x:c r="L1544" s="15" t="str">
        <x:v>Done only when evidence is logged, contradiction search is noted, and boundary stamp remains non-canon unless ratified</x:v>
      </x:c>
      <x:c r="M1544" s="15" t="str">
        <x:v>candidate / staging-only / not canon / not deployed / authority none</x:v>
      </x:c>
      <x:c r="N1544" s="15" t="str">
        <x:v>Dispatch to ClaudeCatcher: complete Review Queues x Planetarium; return deltas only, receipts required.</x:v>
      </x:c>
      <x:c r="O1544" s="15" t="str">
        <x:v>AF-KG-H09-S07</x:v>
      </x:c>
      <x:c r="P1544" s="15" t="str">
        <x:v>Unverified</x:v>
      </x:c>
      <x:c r="Q1544" s="15" t="str">
        <x:v>Not checked</x:v>
      </x:c>
      <x:c r="R1544" s="15" t="str"/>
      <x:c r="S1544" s="15" t="str"/>
      <x:c r="T1544" s="15" t="str">
        <x:v>Log first source path or blocker</x:v>
      </x:c>
      <x:c r="U1544" s="12" t="str">
        <x:f>IF(OR(P1544="Unverified",Q1544="Not checked"),"BLOCKED_PENDING_RECEIPT","READY_FOR_REVIEW")</x:f>
        <x:v>BLOCKED_PENDING_RECEIPT</x:v>
      </x:c>
      <x:c r="V1544" s="12" t="str">
        <x:f>IF(J1544="DONE","RETURNED",IF(U1544="BLOCKED_PENDING_RECEIPT","SOURCE_TOUCH_REQUIRED","IN_PROGRESS"))</x:f>
        <x:v>SOURCE_TOUCH_REQUIRED</x:v>
      </x:c>
      <x:c r="W1544" s="12" t="str">
        <x:f>IF(P1544="Unverified","missing_receipt","receipt_logged")</x:f>
        <x:v>missing_receipt</x:v>
      </x:c>
      <x:c r="X1544" s="12" t="str">
        <x:f>IF(Q1544="Not checked","raw_status_missing","raw_status_logged")</x:f>
        <x:v>raw_status_missing</x:v>
      </x:c>
      <x:c r="Y1544" s="12" t="str">
        <x:f>IF(U1544="BLOCKED_PENDING_RECEIPT","Log source path or blocker; do not promote","Route to review lane")</x:f>
        <x:v>Log source path or blocker; do not promote</x:v>
      </x:c>
      <x:c r="Z1544" s="12" t="str">
        <x:f>IF(K1544="P0","Primary seat + Hashlight/Lucerna","Seat lane")</x:f>
        <x:v>Seat lane</x:v>
      </x:c>
      <x:c r="AA1544" s="12" t="str">
        <x:f>IF(R1544="","no_claim_delta","claim_delta_present")</x:f>
        <x:v>no_claim_delta</x:v>
      </x:c>
      <x:c r="AB1544" s="12" t="str">
        <x:f>IF(S1544="","no_contradiction_delta","contradiction_delta_present")</x:f>
        <x:v>no_contradiction_delta</x:v>
      </x:c>
      <x:c r="AC1544" s="12" t="str">
        <x:f>IF(OR(ISNUMBER(SEARCH("hacker",LOWER(F1544&amp;" "&amp;H1544&amp;" "&amp;I1544&amp;" "&amp;M1544&amp;" "&amp;N1544&amp;" "&amp;T1544))),ISNUMBER(SEARCH("hacking",LOWER(F1544&amp;" "&amp;H1544&amp;" "&amp;I1544&amp;" "&amp;M1544&amp;" "&amp;N1544&amp;" "&amp;T1544))),ISNUMBER(SEARCH("bank",LOWER(F1544&amp;" "&amp;H1544&amp;" "&amp;I1544&amp;" "&amp;M1544&amp;" "&amp;N1544&amp;" "&amp;T1544))),ISNUMBER(SEARCH("banking",LOWER(F1544&amp;" "&amp;H1544&amp;" "&amp;I1544&amp;" "&amp;M1544&amp;" "&amp;N1544&amp;" "&amp;T1544)))),"PRIVATE_QUARANTINE",IF(OR(ISNUMBER(SEARCH("treasury",LOWER(F1544&amp;" "&amp;H1544&amp;" "&amp;I1544&amp;" "&amp;M1544&amp;" "&amp;N1544&amp;" "&amp;T1544))),ISNUMBER(SEARCH("debt",LOWER(F1544&amp;" "&amp;H1544&amp;" "&amp;I1544&amp;" "&amp;M1544&amp;" "&amp;N1544&amp;" "&amp;T1544))),ISNUMBER(SEARCH("bond",LOWER(F1544&amp;" "&amp;H1544&amp;" "&amp;I1544&amp;" "&amp;M1544&amp;" "&amp;N1544&amp;" "&amp;T1544))),ISNUMBER(SEARCH("transaction",LOWER(F1544&amp;" "&amp;H1544&amp;" "&amp;I1544&amp;" "&amp;M1544&amp;" "&amp;N1544&amp;" "&amp;T1544)))),"PRIVATE_REVIEW","PUBLIC_CANDIDATE"))</x:f>
        <x:v>PUBLIC_CANDIDATE</x:v>
      </x:c>
      <x:c r="AD1544" s="12" t="str">
        <x:f>IF(AC1544="PRIVATE_QUARANTINE","hacker_or_bank_trigger",IF(AC1544="PRIVATE_REVIEW","finance_risk_trigger","none"))</x:f>
        <x:v>none</x:v>
      </x:c>
      <x:c r="AE1544" s="12" t="str">
        <x:f>IF(AC1544="PUBLIC_CANDIDATE","prepare_public_github_candidate",IF(AC1544="PRIVATE_REVIEW","hold_for_private_review","quarantine_private_do_not_publish"))</x:f>
        <x:v>prepare_public_github_candidate</x:v>
      </x:c>
      <x:c r="AF1544" s="12" t="str">
        <x:f>IF(AC1544="PUBLIC_CANDIDATE","TIDELOCK + Lucerna",IF(AC1544="PRIVATE_REVIEW","AtlasBrain + Lucerna","TIDELOCK + Lucerna + Human-root"))</x:f>
        <x:v>TIDELOCK + Lucerna</x:v>
      </x:c>
      <x:c r="AG1544" s="12" t="str">
        <x:f>IF(AND(AC1544="PUBLIC_CANDIDATE",U1544&lt;&gt;"BLOCKED_PENDING_RECEIPT"),"READY_AFTER_RECEIPT","NOT_READY")</x:f>
        <x:v>NOT_READY</x:v>
      </x:c>
      <x:c r="AH1544" s="12" t="str">
        <x:f>IF(AC1544="PUBLIC_CANDIDATE","none",AD1544)</x:f>
        <x:v>none</x:v>
      </x:c>
      <x:c r="AI1544" s="12" t="str">
        <x:f>IF(AC1544="PUBLIC_CANDIDATE","archive/public_candidates/"&amp;A1544,"private_quarantine/"&amp;A1544)</x:f>
        <x:v>archive/public_candidates/SWARM-11-H09-S07</x:v>
      </x:c>
      <x:c r="AJ1544" s="12" t="str">
        <x:f>IF(AC1544="PUBLIC_CANDIDATE","public by default; still not canon","private/hold; do not publish")</x:f>
        <x:v>public by default; still not canon</x:v>
      </x:c>
      <x:c r="AK1544" s="12" t="str">
        <x:f>IF(AE1544="prepare_public_github_candidate","add receipt/status then mirror","resolve blocker before any public GitHub action")</x:f>
        <x:v>add receipt/status then mirror</x:v>
      </x:c>
    </x:row>
    <x:row r="1545">
      <x:c r="A1545" s="15" t="str">
        <x:v>SWARM-11-H09-S08</x:v>
      </x:c>
      <x:c r="B1545" s="15" t="str">
        <x:v>ClaudeCatcher</x:v>
      </x:c>
      <x:c r="C1545" s="15" t="str">
        <x:v>Bullshit Olympics referee</x:v>
      </x:c>
      <x:c r="D1545" s="15" t="str">
        <x:v>Review Queues</x:v>
      </x:c>
      <x:c r="E1545" s="15" t="str">
        <x:v>Sheldonbrain</x:v>
      </x:c>
      <x:c r="F1545" s="15" t="str">
        <x:v>Queue review for Sheldonbrain — ClaudeCatcher</x:v>
      </x:c>
      <x:c r="G1545" s="15" t="str">
        <x:v>adversarial claims / model overclaim detection</x:v>
      </x:c>
      <x:c r="H1545" s="15" t="str">
        <x:v>source path + receipt + raw/export status + claim/edge/risk delta</x:v>
      </x:c>
      <x:c r="I1545" s="15" t="str">
        <x:v>packet/SWARM-11-H09-S08</x:v>
      </x:c>
      <x:c r="J1545" s="15" t="str">
        <x:v>TODO</x:v>
      </x:c>
      <x:c r="K1545" s="15" t="str">
        <x:v>P1</x:v>
      </x:c>
      <x:c r="L1545" s="15" t="str">
        <x:v>Done only when evidence is logged, contradiction search is noted, and boundary stamp remains non-canon unless ratified</x:v>
      </x:c>
      <x:c r="M1545" s="15" t="str">
        <x:v>candidate / staging-only / not canon / not deployed / authority none</x:v>
      </x:c>
      <x:c r="N1545" s="15" t="str">
        <x:v>Dispatch to ClaudeCatcher: complete Review Queues x Sheldonbrain; return deltas only, receipts required.</x:v>
      </x:c>
      <x:c r="O1545" s="15" t="str">
        <x:v>AF-KG-H09-S08</x:v>
      </x:c>
      <x:c r="P1545" s="15" t="str">
        <x:v>Unverified</x:v>
      </x:c>
      <x:c r="Q1545" s="15" t="str">
        <x:v>Not checked</x:v>
      </x:c>
      <x:c r="R1545" s="15" t="str"/>
      <x:c r="S1545" s="15" t="str"/>
      <x:c r="T1545" s="15" t="str">
        <x:v>Log first source path or blocker</x:v>
      </x:c>
      <x:c r="U1545" s="12" t="str">
        <x:f>IF(OR(P1545="Unverified",Q1545="Not checked"),"BLOCKED_PENDING_RECEIPT","READY_FOR_REVIEW")</x:f>
        <x:v>BLOCKED_PENDING_RECEIPT</x:v>
      </x:c>
      <x:c r="V1545" s="12" t="str">
        <x:f>IF(J1545="DONE","RETURNED",IF(U1545="BLOCKED_PENDING_RECEIPT","SOURCE_TOUCH_REQUIRED","IN_PROGRESS"))</x:f>
        <x:v>SOURCE_TOUCH_REQUIRED</x:v>
      </x:c>
      <x:c r="W1545" s="12" t="str">
        <x:f>IF(P1545="Unverified","missing_receipt","receipt_logged")</x:f>
        <x:v>missing_receipt</x:v>
      </x:c>
      <x:c r="X1545" s="12" t="str">
        <x:f>IF(Q1545="Not checked","raw_status_missing","raw_status_logged")</x:f>
        <x:v>raw_status_missing</x:v>
      </x:c>
      <x:c r="Y1545" s="12" t="str">
        <x:f>IF(U1545="BLOCKED_PENDING_RECEIPT","Log source path or blocker; do not promote","Route to review lane")</x:f>
        <x:v>Log source path or blocker; do not promote</x:v>
      </x:c>
      <x:c r="Z1545" s="12" t="str">
        <x:f>IF(K1545="P0","Primary seat + Hashlight/Lucerna","Seat lane")</x:f>
        <x:v>Seat lane</x:v>
      </x:c>
      <x:c r="AA1545" s="12" t="str">
        <x:f>IF(R1545="","no_claim_delta","claim_delta_present")</x:f>
        <x:v>no_claim_delta</x:v>
      </x:c>
      <x:c r="AB1545" s="12" t="str">
        <x:f>IF(S1545="","no_contradiction_delta","contradiction_delta_present")</x:f>
        <x:v>no_contradiction_delta</x:v>
      </x:c>
      <x:c r="AC1545" s="12" t="str">
        <x:f>IF(OR(ISNUMBER(SEARCH("hacker",LOWER(F1545&amp;" "&amp;H1545&amp;" "&amp;I1545&amp;" "&amp;M1545&amp;" "&amp;N1545&amp;" "&amp;T1545))),ISNUMBER(SEARCH("hacking",LOWER(F1545&amp;" "&amp;H1545&amp;" "&amp;I1545&amp;" "&amp;M1545&amp;" "&amp;N1545&amp;" "&amp;T1545))),ISNUMBER(SEARCH("bank",LOWER(F1545&amp;" "&amp;H1545&amp;" "&amp;I1545&amp;" "&amp;M1545&amp;" "&amp;N1545&amp;" "&amp;T1545))),ISNUMBER(SEARCH("banking",LOWER(F1545&amp;" "&amp;H1545&amp;" "&amp;I1545&amp;" "&amp;M1545&amp;" "&amp;N1545&amp;" "&amp;T1545)))),"PRIVATE_QUARANTINE",IF(OR(ISNUMBER(SEARCH("treasury",LOWER(F1545&amp;" "&amp;H1545&amp;" "&amp;I1545&amp;" "&amp;M1545&amp;" "&amp;N1545&amp;" "&amp;T1545))),ISNUMBER(SEARCH("debt",LOWER(F1545&amp;" "&amp;H1545&amp;" "&amp;I1545&amp;" "&amp;M1545&amp;" "&amp;N1545&amp;" "&amp;T1545))),ISNUMBER(SEARCH("bond",LOWER(F1545&amp;" "&amp;H1545&amp;" "&amp;I1545&amp;" "&amp;M1545&amp;" "&amp;N1545&amp;" "&amp;T1545))),ISNUMBER(SEARCH("transaction",LOWER(F1545&amp;" "&amp;H1545&amp;" "&amp;I1545&amp;" "&amp;M1545&amp;" "&amp;N1545&amp;" "&amp;T1545)))),"PRIVATE_REVIEW","PUBLIC_CANDIDATE"))</x:f>
        <x:v>PUBLIC_CANDIDATE</x:v>
      </x:c>
      <x:c r="AD1545" s="12" t="str">
        <x:f>IF(AC1545="PRIVATE_QUARANTINE","hacker_or_bank_trigger",IF(AC1545="PRIVATE_REVIEW","finance_risk_trigger","none"))</x:f>
        <x:v>none</x:v>
      </x:c>
      <x:c r="AE1545" s="12" t="str">
        <x:f>IF(AC1545="PUBLIC_CANDIDATE","prepare_public_github_candidate",IF(AC1545="PRIVATE_REVIEW","hold_for_private_review","quarantine_private_do_not_publish"))</x:f>
        <x:v>prepare_public_github_candidate</x:v>
      </x:c>
      <x:c r="AF1545" s="12" t="str">
        <x:f>IF(AC1545="PUBLIC_CANDIDATE","TIDELOCK + Lucerna",IF(AC1545="PRIVATE_REVIEW","AtlasBrain + Lucerna","TIDELOCK + Lucerna + Human-root"))</x:f>
        <x:v>TIDELOCK + Lucerna</x:v>
      </x:c>
      <x:c r="AG1545" s="12" t="str">
        <x:f>IF(AND(AC1545="PUBLIC_CANDIDATE",U1545&lt;&gt;"BLOCKED_PENDING_RECEIPT"),"READY_AFTER_RECEIPT","NOT_READY")</x:f>
        <x:v>NOT_READY</x:v>
      </x:c>
      <x:c r="AH1545" s="12" t="str">
        <x:f>IF(AC1545="PUBLIC_CANDIDATE","none",AD1545)</x:f>
        <x:v>none</x:v>
      </x:c>
      <x:c r="AI1545" s="12" t="str">
        <x:f>IF(AC1545="PUBLIC_CANDIDATE","archive/public_candidates/"&amp;A1545,"private_quarantine/"&amp;A1545)</x:f>
        <x:v>archive/public_candidates/SWARM-11-H09-S08</x:v>
      </x:c>
      <x:c r="AJ1545" s="12" t="str">
        <x:f>IF(AC1545="PUBLIC_CANDIDATE","public by default; still not canon","private/hold; do not publish")</x:f>
        <x:v>public by default; still not canon</x:v>
      </x:c>
      <x:c r="AK1545" s="12" t="str">
        <x:f>IF(AE1545="prepare_public_github_candidate","add receipt/status then mirror","resolve blocker before any public GitHub action")</x:f>
        <x:v>add receipt/status then mirror</x:v>
      </x:c>
    </x:row>
    <x:row r="1546">
      <x:c r="A1546" s="15" t="str">
        <x:v>SWARM-11-H09-S09</x:v>
      </x:c>
      <x:c r="B1546" s="15" t="str">
        <x:v>ClaudeCatcher</x:v>
      </x:c>
      <x:c r="C1546" s="15" t="str">
        <x:v>Bullshit Olympics referee</x:v>
      </x:c>
      <x:c r="D1546" s="15" t="str">
        <x:v>Review Queues</x:v>
      </x:c>
      <x:c r="E1546" s="15" t="str">
        <x:v>Aetherforge</x:v>
      </x:c>
      <x:c r="F1546" s="15" t="str">
        <x:v>Queue review for Aetherforge — ClaudeCatcher</x:v>
      </x:c>
      <x:c r="G1546" s="15" t="str">
        <x:v>adversarial claims / model overclaim detection</x:v>
      </x:c>
      <x:c r="H1546" s="15" t="str">
        <x:v>source path + receipt + raw/export status + claim/edge/risk delta</x:v>
      </x:c>
      <x:c r="I1546" s="15" t="str">
        <x:v>packet/SWARM-11-H09-S09</x:v>
      </x:c>
      <x:c r="J1546" s="15" t="str">
        <x:v>TODO</x:v>
      </x:c>
      <x:c r="K1546" s="15" t="str">
        <x:v>P2</x:v>
      </x:c>
      <x:c r="L1546" s="15" t="str">
        <x:v>Done only when evidence is logged, contradiction search is noted, and boundary stamp remains non-canon unless ratified</x:v>
      </x:c>
      <x:c r="M1546" s="15" t="str">
        <x:v>candidate / staging-only / not canon / not deployed / authority none</x:v>
      </x:c>
      <x:c r="N1546" s="15" t="str">
        <x:v>Dispatch to ClaudeCatcher: complete Review Queues x Aetherforge; return deltas only, receipts required.</x:v>
      </x:c>
      <x:c r="O1546" s="15" t="str">
        <x:v>AF-KG-H09-S09</x:v>
      </x:c>
      <x:c r="P1546" s="15" t="str">
        <x:v>Unverified</x:v>
      </x:c>
      <x:c r="Q1546" s="15" t="str">
        <x:v>Not checked</x:v>
      </x:c>
      <x:c r="R1546" s="15" t="str"/>
      <x:c r="S1546" s="15" t="str"/>
      <x:c r="T1546" s="15" t="str">
        <x:v>Log first source path or blocker</x:v>
      </x:c>
      <x:c r="U1546" s="12" t="str">
        <x:f>IF(OR(P1546="Unverified",Q1546="Not checked"),"BLOCKED_PENDING_RECEIPT","READY_FOR_REVIEW")</x:f>
        <x:v>BLOCKED_PENDING_RECEIPT</x:v>
      </x:c>
      <x:c r="V1546" s="12" t="str">
        <x:f>IF(J1546="DONE","RETURNED",IF(U1546="BLOCKED_PENDING_RECEIPT","SOURCE_TOUCH_REQUIRED","IN_PROGRESS"))</x:f>
        <x:v>SOURCE_TOUCH_REQUIRED</x:v>
      </x:c>
      <x:c r="W1546" s="12" t="str">
        <x:f>IF(P1546="Unverified","missing_receipt","receipt_logged")</x:f>
        <x:v>missing_receipt</x:v>
      </x:c>
      <x:c r="X1546" s="12" t="str">
        <x:f>IF(Q1546="Not checked","raw_status_missing","raw_status_logged")</x:f>
        <x:v>raw_status_missing</x:v>
      </x:c>
      <x:c r="Y1546" s="12" t="str">
        <x:f>IF(U1546="BLOCKED_PENDING_RECEIPT","Log source path or blocker; do not promote","Route to review lane")</x:f>
        <x:v>Log source path or blocker; do not promote</x:v>
      </x:c>
      <x:c r="Z1546" s="12" t="str">
        <x:f>IF(K1546="P0","Primary seat + Hashlight/Lucerna","Seat lane")</x:f>
        <x:v>Seat lane</x:v>
      </x:c>
      <x:c r="AA1546" s="12" t="str">
        <x:f>IF(R1546="","no_claim_delta","claim_delta_present")</x:f>
        <x:v>no_claim_delta</x:v>
      </x:c>
      <x:c r="AB1546" s="12" t="str">
        <x:f>IF(S1546="","no_contradiction_delta","contradiction_delta_present")</x:f>
        <x:v>no_contradiction_delta</x:v>
      </x:c>
      <x:c r="AC1546" s="12" t="str">
        <x:f>IF(OR(ISNUMBER(SEARCH("hacker",LOWER(F1546&amp;" "&amp;H1546&amp;" "&amp;I1546&amp;" "&amp;M1546&amp;" "&amp;N1546&amp;" "&amp;T1546))),ISNUMBER(SEARCH("hacking",LOWER(F1546&amp;" "&amp;H1546&amp;" "&amp;I1546&amp;" "&amp;M1546&amp;" "&amp;N1546&amp;" "&amp;T1546))),ISNUMBER(SEARCH("bank",LOWER(F1546&amp;" "&amp;H1546&amp;" "&amp;I1546&amp;" "&amp;M1546&amp;" "&amp;N1546&amp;" "&amp;T1546))),ISNUMBER(SEARCH("banking",LOWER(F1546&amp;" "&amp;H1546&amp;" "&amp;I1546&amp;" "&amp;M1546&amp;" "&amp;N1546&amp;" "&amp;T1546)))),"PRIVATE_QUARANTINE",IF(OR(ISNUMBER(SEARCH("treasury",LOWER(F1546&amp;" "&amp;H1546&amp;" "&amp;I1546&amp;" "&amp;M1546&amp;" "&amp;N1546&amp;" "&amp;T1546))),ISNUMBER(SEARCH("debt",LOWER(F1546&amp;" "&amp;H1546&amp;" "&amp;I1546&amp;" "&amp;M1546&amp;" "&amp;N1546&amp;" "&amp;T1546))),ISNUMBER(SEARCH("bond",LOWER(F1546&amp;" "&amp;H1546&amp;" "&amp;I1546&amp;" "&amp;M1546&amp;" "&amp;N1546&amp;" "&amp;T1546))),ISNUMBER(SEARCH("transaction",LOWER(F1546&amp;" "&amp;H1546&amp;" "&amp;I1546&amp;" "&amp;M1546&amp;" "&amp;N1546&amp;" "&amp;T1546)))),"PRIVATE_REVIEW","PUBLIC_CANDIDATE"))</x:f>
        <x:v>PUBLIC_CANDIDATE</x:v>
      </x:c>
      <x:c r="AD1546" s="12" t="str">
        <x:f>IF(AC1546="PRIVATE_QUARANTINE","hacker_or_bank_trigger",IF(AC1546="PRIVATE_REVIEW","finance_risk_trigger","none"))</x:f>
        <x:v>none</x:v>
      </x:c>
      <x:c r="AE1546" s="12" t="str">
        <x:f>IF(AC1546="PUBLIC_CANDIDATE","prepare_public_github_candidate",IF(AC1546="PRIVATE_REVIEW","hold_for_private_review","quarantine_private_do_not_publish"))</x:f>
        <x:v>prepare_public_github_candidate</x:v>
      </x:c>
      <x:c r="AF1546" s="12" t="str">
        <x:f>IF(AC1546="PUBLIC_CANDIDATE","TIDELOCK + Lucerna",IF(AC1546="PRIVATE_REVIEW","AtlasBrain + Lucerna","TIDELOCK + Lucerna + Human-root"))</x:f>
        <x:v>TIDELOCK + Lucerna</x:v>
      </x:c>
      <x:c r="AG1546" s="12" t="str">
        <x:f>IF(AND(AC1546="PUBLIC_CANDIDATE",U1546&lt;&gt;"BLOCKED_PENDING_RECEIPT"),"READY_AFTER_RECEIPT","NOT_READY")</x:f>
        <x:v>NOT_READY</x:v>
      </x:c>
      <x:c r="AH1546" s="12" t="str">
        <x:f>IF(AC1546="PUBLIC_CANDIDATE","none",AD1546)</x:f>
        <x:v>none</x:v>
      </x:c>
      <x:c r="AI1546" s="12" t="str">
        <x:f>IF(AC1546="PUBLIC_CANDIDATE","archive/public_candidates/"&amp;A1546,"private_quarantine/"&amp;A1546)</x:f>
        <x:v>archive/public_candidates/SWARM-11-H09-S09</x:v>
      </x:c>
      <x:c r="AJ1546" s="12" t="str">
        <x:f>IF(AC1546="PUBLIC_CANDIDATE","public by default; still not canon","private/hold; do not publish")</x:f>
        <x:v>public by default; still not canon</x:v>
      </x:c>
      <x:c r="AK1546" s="12" t="str">
        <x:f>IF(AE1546="prepare_public_github_candidate","add receipt/status then mirror","resolve blocker before any public GitHub action")</x:f>
        <x:v>add receipt/status then mirror</x:v>
      </x:c>
    </x:row>
    <x:row r="1547">
      <x:c r="A1547" s="15" t="str">
        <x:v>SWARM-11-H09-S10</x:v>
      </x:c>
      <x:c r="B1547" s="15" t="str">
        <x:v>ClaudeCatcher</x:v>
      </x:c>
      <x:c r="C1547" s="15" t="str">
        <x:v>Bullshit Olympics referee</x:v>
      </x:c>
      <x:c r="D1547" s="15" t="str">
        <x:v>Review Queues</x:v>
      </x:c>
      <x:c r="E1547" s="15" t="str">
        <x:v>Human-Root</x:v>
      </x:c>
      <x:c r="F1547" s="15" t="str">
        <x:v>Queue review for Human-Root — ClaudeCatcher</x:v>
      </x:c>
      <x:c r="G1547" s="15" t="str">
        <x:v>adversarial claims / model overclaim detection</x:v>
      </x:c>
      <x:c r="H1547" s="15" t="str">
        <x:v>source path + receipt + raw/export status + claim/edge/risk delta</x:v>
      </x:c>
      <x:c r="I1547" s="15" t="str">
        <x:v>packet/SWARM-11-H09-S10</x:v>
      </x:c>
      <x:c r="J1547" s="15" t="str">
        <x:v>TODO</x:v>
      </x:c>
      <x:c r="K1547" s="15" t="str">
        <x:v>P2</x:v>
      </x:c>
      <x:c r="L1547" s="15" t="str">
        <x:v>Done only when evidence is logged, contradiction search is noted, and boundary stamp remains non-canon unless ratified</x:v>
      </x:c>
      <x:c r="M1547" s="15" t="str">
        <x:v>candidate / staging-only / not canon / not deployed / authority none</x:v>
      </x:c>
      <x:c r="N1547" s="15" t="str">
        <x:v>Dispatch to ClaudeCatcher: complete Review Queues x Human-Root; return deltas only, receipts required.</x:v>
      </x:c>
      <x:c r="O1547" s="15" t="str">
        <x:v>AF-KG-H09-S10</x:v>
      </x:c>
      <x:c r="P1547" s="15" t="str">
        <x:v>Unverified</x:v>
      </x:c>
      <x:c r="Q1547" s="15" t="str">
        <x:v>Not checked</x:v>
      </x:c>
      <x:c r="R1547" s="15" t="str"/>
      <x:c r="S1547" s="15" t="str"/>
      <x:c r="T1547" s="15" t="str">
        <x:v>Log first source path or blocker</x:v>
      </x:c>
      <x:c r="U1547" s="12" t="str">
        <x:f>IF(OR(P1547="Unverified",Q1547="Not checked"),"BLOCKED_PENDING_RECEIPT","READY_FOR_REVIEW")</x:f>
        <x:v>BLOCKED_PENDING_RECEIPT</x:v>
      </x:c>
      <x:c r="V1547" s="12" t="str">
        <x:f>IF(J1547="DONE","RETURNED",IF(U1547="BLOCKED_PENDING_RECEIPT","SOURCE_TOUCH_REQUIRED","IN_PROGRESS"))</x:f>
        <x:v>SOURCE_TOUCH_REQUIRED</x:v>
      </x:c>
      <x:c r="W1547" s="12" t="str">
        <x:f>IF(P1547="Unverified","missing_receipt","receipt_logged")</x:f>
        <x:v>missing_receipt</x:v>
      </x:c>
      <x:c r="X1547" s="12" t="str">
        <x:f>IF(Q1547="Not checked","raw_status_missing","raw_status_logged")</x:f>
        <x:v>raw_status_missing</x:v>
      </x:c>
      <x:c r="Y1547" s="12" t="str">
        <x:f>IF(U1547="BLOCKED_PENDING_RECEIPT","Log source path or blocker; do not promote","Route to review lane")</x:f>
        <x:v>Log source path or blocker; do not promote</x:v>
      </x:c>
      <x:c r="Z1547" s="12" t="str">
        <x:f>IF(K1547="P0","Primary seat + Hashlight/Lucerna","Seat lane")</x:f>
        <x:v>Seat lane</x:v>
      </x:c>
      <x:c r="AA1547" s="12" t="str">
        <x:f>IF(R1547="","no_claim_delta","claim_delta_present")</x:f>
        <x:v>no_claim_delta</x:v>
      </x:c>
      <x:c r="AB1547" s="12" t="str">
        <x:f>IF(S1547="","no_contradiction_delta","contradiction_delta_present")</x:f>
        <x:v>no_contradiction_delta</x:v>
      </x:c>
      <x:c r="AC1547" s="12" t="str">
        <x:f>IF(OR(ISNUMBER(SEARCH("hacker",LOWER(F1547&amp;" "&amp;H1547&amp;" "&amp;I1547&amp;" "&amp;M1547&amp;" "&amp;N1547&amp;" "&amp;T1547))),ISNUMBER(SEARCH("hacking",LOWER(F1547&amp;" "&amp;H1547&amp;" "&amp;I1547&amp;" "&amp;M1547&amp;" "&amp;N1547&amp;" "&amp;T1547))),ISNUMBER(SEARCH("bank",LOWER(F1547&amp;" "&amp;H1547&amp;" "&amp;I1547&amp;" "&amp;M1547&amp;" "&amp;N1547&amp;" "&amp;T1547))),ISNUMBER(SEARCH("banking",LOWER(F1547&amp;" "&amp;H1547&amp;" "&amp;I1547&amp;" "&amp;M1547&amp;" "&amp;N1547&amp;" "&amp;T1547)))),"PRIVATE_QUARANTINE",IF(OR(ISNUMBER(SEARCH("treasury",LOWER(F1547&amp;" "&amp;H1547&amp;" "&amp;I1547&amp;" "&amp;M1547&amp;" "&amp;N1547&amp;" "&amp;T1547))),ISNUMBER(SEARCH("debt",LOWER(F1547&amp;" "&amp;H1547&amp;" "&amp;I1547&amp;" "&amp;M1547&amp;" "&amp;N1547&amp;" "&amp;T1547))),ISNUMBER(SEARCH("bond",LOWER(F1547&amp;" "&amp;H1547&amp;" "&amp;I1547&amp;" "&amp;M1547&amp;" "&amp;N1547&amp;" "&amp;T1547))),ISNUMBER(SEARCH("transaction",LOWER(F1547&amp;" "&amp;H1547&amp;" "&amp;I1547&amp;" "&amp;M1547&amp;" "&amp;N1547&amp;" "&amp;T1547)))),"PRIVATE_REVIEW","PUBLIC_CANDIDATE"))</x:f>
        <x:v>PUBLIC_CANDIDATE</x:v>
      </x:c>
      <x:c r="AD1547" s="12" t="str">
        <x:f>IF(AC1547="PRIVATE_QUARANTINE","hacker_or_bank_trigger",IF(AC1547="PRIVATE_REVIEW","finance_risk_trigger","none"))</x:f>
        <x:v>none</x:v>
      </x:c>
      <x:c r="AE1547" s="12" t="str">
        <x:f>IF(AC1547="PUBLIC_CANDIDATE","prepare_public_github_candidate",IF(AC1547="PRIVATE_REVIEW","hold_for_private_review","quarantine_private_do_not_publish"))</x:f>
        <x:v>prepare_public_github_candidate</x:v>
      </x:c>
      <x:c r="AF1547" s="12" t="str">
        <x:f>IF(AC1547="PUBLIC_CANDIDATE","TIDELOCK + Lucerna",IF(AC1547="PRIVATE_REVIEW","AtlasBrain + Lucerna","TIDELOCK + Lucerna + Human-root"))</x:f>
        <x:v>TIDELOCK + Lucerna</x:v>
      </x:c>
      <x:c r="AG1547" s="12" t="str">
        <x:f>IF(AND(AC1547="PUBLIC_CANDIDATE",U1547&lt;&gt;"BLOCKED_PENDING_RECEIPT"),"READY_AFTER_RECEIPT","NOT_READY")</x:f>
        <x:v>NOT_READY</x:v>
      </x:c>
      <x:c r="AH1547" s="12" t="str">
        <x:f>IF(AC1547="PUBLIC_CANDIDATE","none",AD1547)</x:f>
        <x:v>none</x:v>
      </x:c>
      <x:c r="AI1547" s="12" t="str">
        <x:f>IF(AC1547="PUBLIC_CANDIDATE","archive/public_candidates/"&amp;A1547,"private_quarantine/"&amp;A1547)</x:f>
        <x:v>archive/public_candidates/SWARM-11-H09-S10</x:v>
      </x:c>
      <x:c r="AJ1547" s="12" t="str">
        <x:f>IF(AC1547="PUBLIC_CANDIDATE","public by default; still not canon","private/hold; do not publish")</x:f>
        <x:v>public by default; still not canon</x:v>
      </x:c>
      <x:c r="AK1547" s="12" t="str">
        <x:f>IF(AE1547="prepare_public_github_candidate","add receipt/status then mirror","resolve blocker before any public GitHub action")</x:f>
        <x:v>add receipt/status then mirror</x:v>
      </x:c>
    </x:row>
    <x:row r="1548">
      <x:c r="A1548" s="15" t="str">
        <x:v>SWARM-11-H09-S11</x:v>
      </x:c>
      <x:c r="B1548" s="15" t="str">
        <x:v>ClaudeCatcher</x:v>
      </x:c>
      <x:c r="C1548" s="15" t="str">
        <x:v>Bullshit Olympics referee</x:v>
      </x:c>
      <x:c r="D1548" s="15" t="str">
        <x:v>Review Queues</x:v>
      </x:c>
      <x:c r="E1548" s="15" t="str">
        <x:v>Automation</x:v>
      </x:c>
      <x:c r="F1548" s="15" t="str">
        <x:v>Queue review for Automation — ClaudeCatcher</x:v>
      </x:c>
      <x:c r="G1548" s="15" t="str">
        <x:v>adversarial claims / model overclaim detection</x:v>
      </x:c>
      <x:c r="H1548" s="15" t="str">
        <x:v>source path + receipt + raw/export status + claim/edge/risk delta</x:v>
      </x:c>
      <x:c r="I1548" s="15" t="str">
        <x:v>packet/SWARM-11-H09-S11</x:v>
      </x:c>
      <x:c r="J1548" s="15" t="str">
        <x:v>TODO</x:v>
      </x:c>
      <x:c r="K1548" s="15" t="str">
        <x:v>P2</x:v>
      </x:c>
      <x:c r="L1548" s="15" t="str">
        <x:v>Done only when evidence is logged, contradiction search is noted, and boundary stamp remains non-canon unless ratified</x:v>
      </x:c>
      <x:c r="M1548" s="15" t="str">
        <x:v>candidate / staging-only / not canon / not deployed / authority none</x:v>
      </x:c>
      <x:c r="N1548" s="15" t="str">
        <x:v>Dispatch to ClaudeCatcher: complete Review Queues x Automation; return deltas only, receipts required.</x:v>
      </x:c>
      <x:c r="O1548" s="15" t="str">
        <x:v>AF-KG-H09-S11</x:v>
      </x:c>
      <x:c r="P1548" s="15" t="str">
        <x:v>Unverified</x:v>
      </x:c>
      <x:c r="Q1548" s="15" t="str">
        <x:v>Not checked</x:v>
      </x:c>
      <x:c r="R1548" s="15" t="str"/>
      <x:c r="S1548" s="15" t="str"/>
      <x:c r="T1548" s="15" t="str">
        <x:v>Log first source path or blocker</x:v>
      </x:c>
      <x:c r="U1548" s="12" t="str">
        <x:f>IF(OR(P1548="Unverified",Q1548="Not checked"),"BLOCKED_PENDING_RECEIPT","READY_FOR_REVIEW")</x:f>
        <x:v>BLOCKED_PENDING_RECEIPT</x:v>
      </x:c>
      <x:c r="V1548" s="12" t="str">
        <x:f>IF(J1548="DONE","RETURNED",IF(U1548="BLOCKED_PENDING_RECEIPT","SOURCE_TOUCH_REQUIRED","IN_PROGRESS"))</x:f>
        <x:v>SOURCE_TOUCH_REQUIRED</x:v>
      </x:c>
      <x:c r="W1548" s="12" t="str">
        <x:f>IF(P1548="Unverified","missing_receipt","receipt_logged")</x:f>
        <x:v>missing_receipt</x:v>
      </x:c>
      <x:c r="X1548" s="12" t="str">
        <x:f>IF(Q1548="Not checked","raw_status_missing","raw_status_logged")</x:f>
        <x:v>raw_status_missing</x:v>
      </x:c>
      <x:c r="Y1548" s="12" t="str">
        <x:f>IF(U1548="BLOCKED_PENDING_RECEIPT","Log source path or blocker; do not promote","Route to review lane")</x:f>
        <x:v>Log source path or blocker; do not promote</x:v>
      </x:c>
      <x:c r="Z1548" s="12" t="str">
        <x:f>IF(K1548="P0","Primary seat + Hashlight/Lucerna","Seat lane")</x:f>
        <x:v>Seat lane</x:v>
      </x:c>
      <x:c r="AA1548" s="12" t="str">
        <x:f>IF(R1548="","no_claim_delta","claim_delta_present")</x:f>
        <x:v>no_claim_delta</x:v>
      </x:c>
      <x:c r="AB1548" s="12" t="str">
        <x:f>IF(S1548="","no_contradiction_delta","contradiction_delta_present")</x:f>
        <x:v>no_contradiction_delta</x:v>
      </x:c>
      <x:c r="AC1548" s="12" t="str">
        <x:f>IF(OR(ISNUMBER(SEARCH("hacker",LOWER(F1548&amp;" "&amp;H1548&amp;" "&amp;I1548&amp;" "&amp;M1548&amp;" "&amp;N1548&amp;" "&amp;T1548))),ISNUMBER(SEARCH("hacking",LOWER(F1548&amp;" "&amp;H1548&amp;" "&amp;I1548&amp;" "&amp;M1548&amp;" "&amp;N1548&amp;" "&amp;T1548))),ISNUMBER(SEARCH("bank",LOWER(F1548&amp;" "&amp;H1548&amp;" "&amp;I1548&amp;" "&amp;M1548&amp;" "&amp;N1548&amp;" "&amp;T1548))),ISNUMBER(SEARCH("banking",LOWER(F1548&amp;" "&amp;H1548&amp;" "&amp;I1548&amp;" "&amp;M1548&amp;" "&amp;N1548&amp;" "&amp;T1548)))),"PRIVATE_QUARANTINE",IF(OR(ISNUMBER(SEARCH("treasury",LOWER(F1548&amp;" "&amp;H1548&amp;" "&amp;I1548&amp;" "&amp;M1548&amp;" "&amp;N1548&amp;" "&amp;T1548))),ISNUMBER(SEARCH("debt",LOWER(F1548&amp;" "&amp;H1548&amp;" "&amp;I1548&amp;" "&amp;M1548&amp;" "&amp;N1548&amp;" "&amp;T1548))),ISNUMBER(SEARCH("bond",LOWER(F1548&amp;" "&amp;H1548&amp;" "&amp;I1548&amp;" "&amp;M1548&amp;" "&amp;N1548&amp;" "&amp;T1548))),ISNUMBER(SEARCH("transaction",LOWER(F1548&amp;" "&amp;H1548&amp;" "&amp;I1548&amp;" "&amp;M1548&amp;" "&amp;N1548&amp;" "&amp;T1548)))),"PRIVATE_REVIEW","PUBLIC_CANDIDATE"))</x:f>
        <x:v>PUBLIC_CANDIDATE</x:v>
      </x:c>
      <x:c r="AD1548" s="12" t="str">
        <x:f>IF(AC1548="PRIVATE_QUARANTINE","hacker_or_bank_trigger",IF(AC1548="PRIVATE_REVIEW","finance_risk_trigger","none"))</x:f>
        <x:v>none</x:v>
      </x:c>
      <x:c r="AE1548" s="12" t="str">
        <x:f>IF(AC1548="PUBLIC_CANDIDATE","prepare_public_github_candidate",IF(AC1548="PRIVATE_REVIEW","hold_for_private_review","quarantine_private_do_not_publish"))</x:f>
        <x:v>prepare_public_github_candidate</x:v>
      </x:c>
      <x:c r="AF1548" s="12" t="str">
        <x:f>IF(AC1548="PUBLIC_CANDIDATE","TIDELOCK + Lucerna",IF(AC1548="PRIVATE_REVIEW","AtlasBrain + Lucerna","TIDELOCK + Lucerna + Human-root"))</x:f>
        <x:v>TIDELOCK + Lucerna</x:v>
      </x:c>
      <x:c r="AG1548" s="12" t="str">
        <x:f>IF(AND(AC1548="PUBLIC_CANDIDATE",U1548&lt;&gt;"BLOCKED_PENDING_RECEIPT"),"READY_AFTER_RECEIPT","NOT_READY")</x:f>
        <x:v>NOT_READY</x:v>
      </x:c>
      <x:c r="AH1548" s="12" t="str">
        <x:f>IF(AC1548="PUBLIC_CANDIDATE","none",AD1548)</x:f>
        <x:v>none</x:v>
      </x:c>
      <x:c r="AI1548" s="12" t="str">
        <x:f>IF(AC1548="PUBLIC_CANDIDATE","archive/public_candidates/"&amp;A1548,"private_quarantine/"&amp;A1548)</x:f>
        <x:v>archive/public_candidates/SWARM-11-H09-S11</x:v>
      </x:c>
      <x:c r="AJ1548" s="12" t="str">
        <x:f>IF(AC1548="PUBLIC_CANDIDATE","public by default; still not canon","private/hold; do not publish")</x:f>
        <x:v>public by default; still not canon</x:v>
      </x:c>
      <x:c r="AK1548" s="12" t="str">
        <x:f>IF(AE1548="prepare_public_github_candidate","add receipt/status then mirror","resolve blocker before any public GitHub action")</x:f>
        <x:v>add receipt/status then mirror</x:v>
      </x:c>
    </x:row>
    <x:row r="1549">
      <x:c r="A1549" s="15" t="str">
        <x:v>SWARM-11-H09-S12</x:v>
      </x:c>
      <x:c r="B1549" s="15" t="str">
        <x:v>ClaudeCatcher</x:v>
      </x:c>
      <x:c r="C1549" s="15" t="str">
        <x:v>Bullshit Olympics referee</x:v>
      </x:c>
      <x:c r="D1549" s="15" t="str">
        <x:v>Review Queues</x:v>
      </x:c>
      <x:c r="E1549" s="15" t="str">
        <x:v>Risk / Safety</x:v>
      </x:c>
      <x:c r="F1549" s="15" t="str">
        <x:v>Queue review for Risk / Safety — ClaudeCatcher</x:v>
      </x:c>
      <x:c r="G1549" s="15" t="str">
        <x:v>adversarial claims / model overclaim detection</x:v>
      </x:c>
      <x:c r="H1549" s="15" t="str">
        <x:v>source path + receipt + raw/export status + claim/edge/risk delta</x:v>
      </x:c>
      <x:c r="I1549" s="15" t="str">
        <x:v>packet/SWARM-11-H09-S12</x:v>
      </x:c>
      <x:c r="J1549" s="15" t="str">
        <x:v>TODO</x:v>
      </x:c>
      <x:c r="K1549" s="15" t="str">
        <x:v>P2</x:v>
      </x:c>
      <x:c r="L1549" s="15" t="str">
        <x:v>Done only when evidence is logged, contradiction search is noted, and boundary stamp remains non-canon unless ratified</x:v>
      </x:c>
      <x:c r="M1549" s="15" t="str">
        <x:v>candidate / staging-only / not canon / not deployed / authority none</x:v>
      </x:c>
      <x:c r="N1549" s="15" t="str">
        <x:v>Dispatch to ClaudeCatcher: complete Review Queues x Risk / Safety; return deltas only, receipts required.</x:v>
      </x:c>
      <x:c r="O1549" s="15" t="str">
        <x:v>AF-KG-H09-S12</x:v>
      </x:c>
      <x:c r="P1549" s="15" t="str">
        <x:v>Unverified</x:v>
      </x:c>
      <x:c r="Q1549" s="15" t="str">
        <x:v>Not checked</x:v>
      </x:c>
      <x:c r="R1549" s="15" t="str"/>
      <x:c r="S1549" s="15" t="str"/>
      <x:c r="T1549" s="15" t="str">
        <x:v>Log first source path or blocker</x:v>
      </x:c>
      <x:c r="U1549" s="12" t="str">
        <x:f>IF(OR(P1549="Unverified",Q1549="Not checked"),"BLOCKED_PENDING_RECEIPT","READY_FOR_REVIEW")</x:f>
        <x:v>BLOCKED_PENDING_RECEIPT</x:v>
      </x:c>
      <x:c r="V1549" s="12" t="str">
        <x:f>IF(J1549="DONE","RETURNED",IF(U1549="BLOCKED_PENDING_RECEIPT","SOURCE_TOUCH_REQUIRED","IN_PROGRESS"))</x:f>
        <x:v>SOURCE_TOUCH_REQUIRED</x:v>
      </x:c>
      <x:c r="W1549" s="12" t="str">
        <x:f>IF(P1549="Unverified","missing_receipt","receipt_logged")</x:f>
        <x:v>missing_receipt</x:v>
      </x:c>
      <x:c r="X1549" s="12" t="str">
        <x:f>IF(Q1549="Not checked","raw_status_missing","raw_status_logged")</x:f>
        <x:v>raw_status_missing</x:v>
      </x:c>
      <x:c r="Y1549" s="12" t="str">
        <x:f>IF(U1549="BLOCKED_PENDING_RECEIPT","Log source path or blocker; do not promote","Route to review lane")</x:f>
        <x:v>Log source path or blocker; do not promote</x:v>
      </x:c>
      <x:c r="Z1549" s="12" t="str">
        <x:f>IF(K1549="P0","Primary seat + Hashlight/Lucerna","Seat lane")</x:f>
        <x:v>Seat lane</x:v>
      </x:c>
      <x:c r="AA1549" s="12" t="str">
        <x:f>IF(R1549="","no_claim_delta","claim_delta_present")</x:f>
        <x:v>no_claim_delta</x:v>
      </x:c>
      <x:c r="AB1549" s="12" t="str">
        <x:f>IF(S1549="","no_contradiction_delta","contradiction_delta_present")</x:f>
        <x:v>no_contradiction_delta</x:v>
      </x:c>
      <x:c r="AC1549" s="12" t="str">
        <x:f>IF(OR(ISNUMBER(SEARCH("hacker",LOWER(F1549&amp;" "&amp;H1549&amp;" "&amp;I1549&amp;" "&amp;M1549&amp;" "&amp;N1549&amp;" "&amp;T1549))),ISNUMBER(SEARCH("hacking",LOWER(F1549&amp;" "&amp;H1549&amp;" "&amp;I1549&amp;" "&amp;M1549&amp;" "&amp;N1549&amp;" "&amp;T1549))),ISNUMBER(SEARCH("bank",LOWER(F1549&amp;" "&amp;H1549&amp;" "&amp;I1549&amp;" "&amp;M1549&amp;" "&amp;N1549&amp;" "&amp;T1549))),ISNUMBER(SEARCH("banking",LOWER(F1549&amp;" "&amp;H1549&amp;" "&amp;I1549&amp;" "&amp;M1549&amp;" "&amp;N1549&amp;" "&amp;T1549)))),"PRIVATE_QUARANTINE",IF(OR(ISNUMBER(SEARCH("treasury",LOWER(F1549&amp;" "&amp;H1549&amp;" "&amp;I1549&amp;" "&amp;M1549&amp;" "&amp;N1549&amp;" "&amp;T1549))),ISNUMBER(SEARCH("debt",LOWER(F1549&amp;" "&amp;H1549&amp;" "&amp;I1549&amp;" "&amp;M1549&amp;" "&amp;N1549&amp;" "&amp;T1549))),ISNUMBER(SEARCH("bond",LOWER(F1549&amp;" "&amp;H1549&amp;" "&amp;I1549&amp;" "&amp;M1549&amp;" "&amp;N1549&amp;" "&amp;T1549))),ISNUMBER(SEARCH("transaction",LOWER(F1549&amp;" "&amp;H1549&amp;" "&amp;I1549&amp;" "&amp;M1549&amp;" "&amp;N1549&amp;" "&amp;T1549)))),"PRIVATE_REVIEW","PUBLIC_CANDIDATE"))</x:f>
        <x:v>PUBLIC_CANDIDATE</x:v>
      </x:c>
      <x:c r="AD1549" s="12" t="str">
        <x:f>IF(AC1549="PRIVATE_QUARANTINE","hacker_or_bank_trigger",IF(AC1549="PRIVATE_REVIEW","finance_risk_trigger","none"))</x:f>
        <x:v>none</x:v>
      </x:c>
      <x:c r="AE1549" s="12" t="str">
        <x:f>IF(AC1549="PUBLIC_CANDIDATE","prepare_public_github_candidate",IF(AC1549="PRIVATE_REVIEW","hold_for_private_review","quarantine_private_do_not_publish"))</x:f>
        <x:v>prepare_public_github_candidate</x:v>
      </x:c>
      <x:c r="AF1549" s="12" t="str">
        <x:f>IF(AC1549="PUBLIC_CANDIDATE","TIDELOCK + Lucerna",IF(AC1549="PRIVATE_REVIEW","AtlasBrain + Lucerna","TIDELOCK + Lucerna + Human-root"))</x:f>
        <x:v>TIDELOCK + Lucerna</x:v>
      </x:c>
      <x:c r="AG1549" s="12" t="str">
        <x:f>IF(AND(AC1549="PUBLIC_CANDIDATE",U1549&lt;&gt;"BLOCKED_PENDING_RECEIPT"),"READY_AFTER_RECEIPT","NOT_READY")</x:f>
        <x:v>NOT_READY</x:v>
      </x:c>
      <x:c r="AH1549" s="12" t="str">
        <x:f>IF(AC1549="PUBLIC_CANDIDATE","none",AD1549)</x:f>
        <x:v>none</x:v>
      </x:c>
      <x:c r="AI1549" s="12" t="str">
        <x:f>IF(AC1549="PUBLIC_CANDIDATE","archive/public_candidates/"&amp;A1549,"private_quarantine/"&amp;A1549)</x:f>
        <x:v>archive/public_candidates/SWARM-11-H09-S12</x:v>
      </x:c>
      <x:c r="AJ1549" s="12" t="str">
        <x:f>IF(AC1549="PUBLIC_CANDIDATE","public by default; still not canon","private/hold; do not publish")</x:f>
        <x:v>public by default; still not canon</x:v>
      </x:c>
      <x:c r="AK1549" s="12" t="str">
        <x:f>IF(AE1549="prepare_public_github_candidate","add receipt/status then mirror","resolve blocker before any public GitHub action")</x:f>
        <x:v>add receipt/status then mirror</x:v>
      </x:c>
    </x:row>
    <x:row r="1550">
      <x:c r="A1550" s="15" t="str">
        <x:v>SWARM-11-H10-S01</x:v>
      </x:c>
      <x:c r="B1550" s="15" t="str">
        <x:v>ClaudeCatcher</x:v>
      </x:c>
      <x:c r="C1550" s="15" t="str">
        <x:v>Bullshit Olympics referee</x:v>
      </x:c>
      <x:c r="D1550" s="15" t="str">
        <x:v>GitHub Source Packets</x:v>
      </x:c>
      <x:c r="E1550" s="15" t="str">
        <x:v>Notion</x:v>
      </x:c>
      <x:c r="F1550" s="15" t="str">
        <x:v>Build source packet for Notion — ClaudeCatcher</x:v>
      </x:c>
      <x:c r="G1550" s="15" t="str">
        <x:v>adversarial claims / model overclaim detection</x:v>
      </x:c>
      <x:c r="H1550" s="15" t="str">
        <x:v>source path + receipt + raw/export status + claim/edge/risk delta</x:v>
      </x:c>
      <x:c r="I1550" s="15" t="str">
        <x:v>packet/SWARM-11-H10-S01</x:v>
      </x:c>
      <x:c r="J1550" s="15" t="str">
        <x:v>TODO</x:v>
      </x:c>
      <x:c r="K1550" s="15" t="str">
        <x:v>P0</x:v>
      </x:c>
      <x:c r="L1550" s="15" t="str">
        <x:v>Done only when evidence is logged, contradiction search is noted, and boundary stamp remains non-canon unless ratified</x:v>
      </x:c>
      <x:c r="M1550" s="15" t="str">
        <x:v>candidate / staging-only / not canon / not deployed / authority none</x:v>
      </x:c>
      <x:c r="N1550" s="15" t="str">
        <x:v>Dispatch to ClaudeCatcher: complete GitHub Source Packets x Notion; return deltas only, receipts required.</x:v>
      </x:c>
      <x:c r="O1550" s="15" t="str">
        <x:v>AF-KG-H10-S01</x:v>
      </x:c>
      <x:c r="P1550" s="15" t="str">
        <x:v>Unverified</x:v>
      </x:c>
      <x:c r="Q1550" s="15" t="str">
        <x:v>Not checked</x:v>
      </x:c>
      <x:c r="R1550" s="15" t="str"/>
      <x:c r="S1550" s="15" t="str"/>
      <x:c r="T1550" s="15" t="str">
        <x:v>Log first source path or blocker</x:v>
      </x:c>
      <x:c r="U1550" s="12" t="str">
        <x:f>IF(OR(P1550="Unverified",Q1550="Not checked"),"BLOCKED_PENDING_RECEIPT","READY_FOR_REVIEW")</x:f>
        <x:v>BLOCKED_PENDING_RECEIPT</x:v>
      </x:c>
      <x:c r="V1550" s="12" t="str">
        <x:f>IF(J1550="DONE","RETURNED",IF(U1550="BLOCKED_PENDING_RECEIPT","SOURCE_TOUCH_REQUIRED","IN_PROGRESS"))</x:f>
        <x:v>SOURCE_TOUCH_REQUIRED</x:v>
      </x:c>
      <x:c r="W1550" s="12" t="str">
        <x:f>IF(P1550="Unverified","missing_receipt","receipt_logged")</x:f>
        <x:v>missing_receipt</x:v>
      </x:c>
      <x:c r="X1550" s="12" t="str">
        <x:f>IF(Q1550="Not checked","raw_status_missing","raw_status_logged")</x:f>
        <x:v>raw_status_missing</x:v>
      </x:c>
      <x:c r="Y1550" s="12" t="str">
        <x:f>IF(U1550="BLOCKED_PENDING_RECEIPT","Log source path or blocker; do not promote","Route to review lane")</x:f>
        <x:v>Log source path or blocker; do not promote</x:v>
      </x:c>
      <x:c r="Z1550" s="12" t="str">
        <x:f>IF(K1550="P0","Primary seat + Hashlight/Lucerna","Seat lane")</x:f>
        <x:v>Primary seat + Hashlight/Lucerna</x:v>
      </x:c>
      <x:c r="AA1550" s="12" t="str">
        <x:f>IF(R1550="","no_claim_delta","claim_delta_present")</x:f>
        <x:v>no_claim_delta</x:v>
      </x:c>
      <x:c r="AB1550" s="12" t="str">
        <x:f>IF(S1550="","no_contradiction_delta","contradiction_delta_present")</x:f>
        <x:v>no_contradiction_delta</x:v>
      </x:c>
      <x:c r="AC1550" s="12" t="str">
        <x:f>IF(OR(ISNUMBER(SEARCH("hacker",LOWER(F1550&amp;" "&amp;H1550&amp;" "&amp;I1550&amp;" "&amp;M1550&amp;" "&amp;N1550&amp;" "&amp;T1550))),ISNUMBER(SEARCH("hacking",LOWER(F1550&amp;" "&amp;H1550&amp;" "&amp;I1550&amp;" "&amp;M1550&amp;" "&amp;N1550&amp;" "&amp;T1550))),ISNUMBER(SEARCH("bank",LOWER(F1550&amp;" "&amp;H1550&amp;" "&amp;I1550&amp;" "&amp;M1550&amp;" "&amp;N1550&amp;" "&amp;T1550))),ISNUMBER(SEARCH("banking",LOWER(F1550&amp;" "&amp;H1550&amp;" "&amp;I1550&amp;" "&amp;M1550&amp;" "&amp;N1550&amp;" "&amp;T1550)))),"PRIVATE_QUARANTINE",IF(OR(ISNUMBER(SEARCH("treasury",LOWER(F1550&amp;" "&amp;H1550&amp;" "&amp;I1550&amp;" "&amp;M1550&amp;" "&amp;N1550&amp;" "&amp;T1550))),ISNUMBER(SEARCH("debt",LOWER(F1550&amp;" "&amp;H1550&amp;" "&amp;I1550&amp;" "&amp;M1550&amp;" "&amp;N1550&amp;" "&amp;T1550))),ISNUMBER(SEARCH("bond",LOWER(F1550&amp;" "&amp;H1550&amp;" "&amp;I1550&amp;" "&amp;M1550&amp;" "&amp;N1550&amp;" "&amp;T1550))),ISNUMBER(SEARCH("transaction",LOWER(F1550&amp;" "&amp;H1550&amp;" "&amp;I1550&amp;" "&amp;M1550&amp;" "&amp;N1550&amp;" "&amp;T1550)))),"PRIVATE_REVIEW","PUBLIC_CANDIDATE"))</x:f>
        <x:v>PUBLIC_CANDIDATE</x:v>
      </x:c>
      <x:c r="AD1550" s="12" t="str">
        <x:f>IF(AC1550="PRIVATE_QUARANTINE","hacker_or_bank_trigger",IF(AC1550="PRIVATE_REVIEW","finance_risk_trigger","none"))</x:f>
        <x:v>none</x:v>
      </x:c>
      <x:c r="AE1550" s="12" t="str">
        <x:f>IF(AC1550="PUBLIC_CANDIDATE","prepare_public_github_candidate",IF(AC1550="PRIVATE_REVIEW","hold_for_private_review","quarantine_private_do_not_publish"))</x:f>
        <x:v>prepare_public_github_candidate</x:v>
      </x:c>
      <x:c r="AF1550" s="12" t="str">
        <x:f>IF(AC1550="PUBLIC_CANDIDATE","TIDELOCK + Lucerna",IF(AC1550="PRIVATE_REVIEW","AtlasBrain + Lucerna","TIDELOCK + Lucerna + Human-root"))</x:f>
        <x:v>TIDELOCK + Lucerna</x:v>
      </x:c>
      <x:c r="AG1550" s="12" t="str">
        <x:f>IF(AND(AC1550="PUBLIC_CANDIDATE",U1550&lt;&gt;"BLOCKED_PENDING_RECEIPT"),"READY_AFTER_RECEIPT","NOT_READY")</x:f>
        <x:v>NOT_READY</x:v>
      </x:c>
      <x:c r="AH1550" s="12" t="str">
        <x:f>IF(AC1550="PUBLIC_CANDIDATE","none",AD1550)</x:f>
        <x:v>none</x:v>
      </x:c>
      <x:c r="AI1550" s="12" t="str">
        <x:f>IF(AC1550="PUBLIC_CANDIDATE","archive/public_candidates/"&amp;A1550,"private_quarantine/"&amp;A1550)</x:f>
        <x:v>archive/public_candidates/SWARM-11-H10-S01</x:v>
      </x:c>
      <x:c r="AJ1550" s="12" t="str">
        <x:f>IF(AC1550="PUBLIC_CANDIDATE","public by default; still not canon","private/hold; do not publish")</x:f>
        <x:v>public by default; still not canon</x:v>
      </x:c>
      <x:c r="AK1550" s="12" t="str">
        <x:f>IF(AE1550="prepare_public_github_candidate","add receipt/status then mirror","resolve blocker before any public GitHub action")</x:f>
        <x:v>add receipt/status then mirror</x:v>
      </x:c>
    </x:row>
    <x:row r="1551">
      <x:c r="A1551" s="15" t="str">
        <x:v>SWARM-11-H10-S02</x:v>
      </x:c>
      <x:c r="B1551" s="15" t="str">
        <x:v>ClaudeCatcher</x:v>
      </x:c>
      <x:c r="C1551" s="15" t="str">
        <x:v>Bullshit Olympics referee</x:v>
      </x:c>
      <x:c r="D1551" s="15" t="str">
        <x:v>GitHub Source Packets</x:v>
      </x:c>
      <x:c r="E1551" s="15" t="str">
        <x:v>Drive</x:v>
      </x:c>
      <x:c r="F1551" s="15" t="str">
        <x:v>Build source packet for Drive — ClaudeCatcher</x:v>
      </x:c>
      <x:c r="G1551" s="15" t="str">
        <x:v>adversarial claims / model overclaim detection</x:v>
      </x:c>
      <x:c r="H1551" s="15" t="str">
        <x:v>source path + receipt + raw/export status + claim/edge/risk delta</x:v>
      </x:c>
      <x:c r="I1551" s="15" t="str">
        <x:v>packet/SWARM-11-H10-S02</x:v>
      </x:c>
      <x:c r="J1551" s="15" t="str">
        <x:v>TODO</x:v>
      </x:c>
      <x:c r="K1551" s="15" t="str">
        <x:v>P0</x:v>
      </x:c>
      <x:c r="L1551" s="15" t="str">
        <x:v>Done only when evidence is logged, contradiction search is noted, and boundary stamp remains non-canon unless ratified</x:v>
      </x:c>
      <x:c r="M1551" s="15" t="str">
        <x:v>candidate / staging-only / not canon / not deployed / authority none</x:v>
      </x:c>
      <x:c r="N1551" s="15" t="str">
        <x:v>Dispatch to ClaudeCatcher: complete GitHub Source Packets x Drive; return deltas only, receipts required.</x:v>
      </x:c>
      <x:c r="O1551" s="15" t="str">
        <x:v>AF-KG-H10-S02</x:v>
      </x:c>
      <x:c r="P1551" s="15" t="str">
        <x:v>Unverified</x:v>
      </x:c>
      <x:c r="Q1551" s="15" t="str">
        <x:v>Not checked</x:v>
      </x:c>
      <x:c r="R1551" s="15" t="str"/>
      <x:c r="S1551" s="15" t="str"/>
      <x:c r="T1551" s="15" t="str">
        <x:v>Log first source path or blocker</x:v>
      </x:c>
      <x:c r="U1551" s="12" t="str">
        <x:f>IF(OR(P1551="Unverified",Q1551="Not checked"),"BLOCKED_PENDING_RECEIPT","READY_FOR_REVIEW")</x:f>
        <x:v>BLOCKED_PENDING_RECEIPT</x:v>
      </x:c>
      <x:c r="V1551" s="12" t="str">
        <x:f>IF(J1551="DONE","RETURNED",IF(U1551="BLOCKED_PENDING_RECEIPT","SOURCE_TOUCH_REQUIRED","IN_PROGRESS"))</x:f>
        <x:v>SOURCE_TOUCH_REQUIRED</x:v>
      </x:c>
      <x:c r="W1551" s="12" t="str">
        <x:f>IF(P1551="Unverified","missing_receipt","receipt_logged")</x:f>
        <x:v>missing_receipt</x:v>
      </x:c>
      <x:c r="X1551" s="12" t="str">
        <x:f>IF(Q1551="Not checked","raw_status_missing","raw_status_logged")</x:f>
        <x:v>raw_status_missing</x:v>
      </x:c>
      <x:c r="Y1551" s="12" t="str">
        <x:f>IF(U1551="BLOCKED_PENDING_RECEIPT","Log source path or blocker; do not promote","Route to review lane")</x:f>
        <x:v>Log source path or blocker; do not promote</x:v>
      </x:c>
      <x:c r="Z1551" s="12" t="str">
        <x:f>IF(K1551="P0","Primary seat + Hashlight/Lucerna","Seat lane")</x:f>
        <x:v>Primary seat + Hashlight/Lucerna</x:v>
      </x:c>
      <x:c r="AA1551" s="12" t="str">
        <x:f>IF(R1551="","no_claim_delta","claim_delta_present")</x:f>
        <x:v>no_claim_delta</x:v>
      </x:c>
      <x:c r="AB1551" s="12" t="str">
        <x:f>IF(S1551="","no_contradiction_delta","contradiction_delta_present")</x:f>
        <x:v>no_contradiction_delta</x:v>
      </x:c>
      <x:c r="AC1551" s="12" t="str">
        <x:f>IF(OR(ISNUMBER(SEARCH("hacker",LOWER(F1551&amp;" "&amp;H1551&amp;" "&amp;I1551&amp;" "&amp;M1551&amp;" "&amp;N1551&amp;" "&amp;T1551))),ISNUMBER(SEARCH("hacking",LOWER(F1551&amp;" "&amp;H1551&amp;" "&amp;I1551&amp;" "&amp;M1551&amp;" "&amp;N1551&amp;" "&amp;T1551))),ISNUMBER(SEARCH("bank",LOWER(F1551&amp;" "&amp;H1551&amp;" "&amp;I1551&amp;" "&amp;M1551&amp;" "&amp;N1551&amp;" "&amp;T1551))),ISNUMBER(SEARCH("banking",LOWER(F1551&amp;" "&amp;H1551&amp;" "&amp;I1551&amp;" "&amp;M1551&amp;" "&amp;N1551&amp;" "&amp;T1551)))),"PRIVATE_QUARANTINE",IF(OR(ISNUMBER(SEARCH("treasury",LOWER(F1551&amp;" "&amp;H1551&amp;" "&amp;I1551&amp;" "&amp;M1551&amp;" "&amp;N1551&amp;" "&amp;T1551))),ISNUMBER(SEARCH("debt",LOWER(F1551&amp;" "&amp;H1551&amp;" "&amp;I1551&amp;" "&amp;M1551&amp;" "&amp;N1551&amp;" "&amp;T1551))),ISNUMBER(SEARCH("bond",LOWER(F1551&amp;" "&amp;H1551&amp;" "&amp;I1551&amp;" "&amp;M1551&amp;" "&amp;N1551&amp;" "&amp;T1551))),ISNUMBER(SEARCH("transaction",LOWER(F1551&amp;" "&amp;H1551&amp;" "&amp;I1551&amp;" "&amp;M1551&amp;" "&amp;N1551&amp;" "&amp;T1551)))),"PRIVATE_REVIEW","PUBLIC_CANDIDATE"))</x:f>
        <x:v>PUBLIC_CANDIDATE</x:v>
      </x:c>
      <x:c r="AD1551" s="12" t="str">
        <x:f>IF(AC1551="PRIVATE_QUARANTINE","hacker_or_bank_trigger",IF(AC1551="PRIVATE_REVIEW","finance_risk_trigger","none"))</x:f>
        <x:v>none</x:v>
      </x:c>
      <x:c r="AE1551" s="12" t="str">
        <x:f>IF(AC1551="PUBLIC_CANDIDATE","prepare_public_github_candidate",IF(AC1551="PRIVATE_REVIEW","hold_for_private_review","quarantine_private_do_not_publish"))</x:f>
        <x:v>prepare_public_github_candidate</x:v>
      </x:c>
      <x:c r="AF1551" s="12" t="str">
        <x:f>IF(AC1551="PUBLIC_CANDIDATE","TIDELOCK + Lucerna",IF(AC1551="PRIVATE_REVIEW","AtlasBrain + Lucerna","TIDELOCK + Lucerna + Human-root"))</x:f>
        <x:v>TIDELOCK + Lucerna</x:v>
      </x:c>
      <x:c r="AG1551" s="12" t="str">
        <x:f>IF(AND(AC1551="PUBLIC_CANDIDATE",U1551&lt;&gt;"BLOCKED_PENDING_RECEIPT"),"READY_AFTER_RECEIPT","NOT_READY")</x:f>
        <x:v>NOT_READY</x:v>
      </x:c>
      <x:c r="AH1551" s="12" t="str">
        <x:f>IF(AC1551="PUBLIC_CANDIDATE","none",AD1551)</x:f>
        <x:v>none</x:v>
      </x:c>
      <x:c r="AI1551" s="12" t="str">
        <x:f>IF(AC1551="PUBLIC_CANDIDATE","archive/public_candidates/"&amp;A1551,"private_quarantine/"&amp;A1551)</x:f>
        <x:v>archive/public_candidates/SWARM-11-H10-S02</x:v>
      </x:c>
      <x:c r="AJ1551" s="12" t="str">
        <x:f>IF(AC1551="PUBLIC_CANDIDATE","public by default; still not canon","private/hold; do not publish")</x:f>
        <x:v>public by default; still not canon</x:v>
      </x:c>
      <x:c r="AK1551" s="12" t="str">
        <x:f>IF(AE1551="prepare_public_github_candidate","add receipt/status then mirror","resolve blocker before any public GitHub action")</x:f>
        <x:v>add receipt/status then mirror</x:v>
      </x:c>
    </x:row>
    <x:row r="1552">
      <x:c r="A1552" s="15" t="str">
        <x:v>SWARM-11-H10-S03</x:v>
      </x:c>
      <x:c r="B1552" s="15" t="str">
        <x:v>ClaudeCatcher</x:v>
      </x:c>
      <x:c r="C1552" s="15" t="str">
        <x:v>Bullshit Olympics referee</x:v>
      </x:c>
      <x:c r="D1552" s="15" t="str">
        <x:v>GitHub Source Packets</x:v>
      </x:c>
      <x:c r="E1552" s="15" t="str">
        <x:v>GitHub</x:v>
      </x:c>
      <x:c r="F1552" s="15" t="str">
        <x:v>Build source packet for GitHub — ClaudeCatcher</x:v>
      </x:c>
      <x:c r="G1552" s="15" t="str">
        <x:v>adversarial claims / model overclaim detection</x:v>
      </x:c>
      <x:c r="H1552" s="15" t="str">
        <x:v>source path + receipt + raw/export status + claim/edge/risk delta</x:v>
      </x:c>
      <x:c r="I1552" s="15" t="str">
        <x:v>packet/SWARM-11-H10-S03</x:v>
      </x:c>
      <x:c r="J1552" s="15" t="str">
        <x:v>TODO</x:v>
      </x:c>
      <x:c r="K1552" s="15" t="str">
        <x:v>P0</x:v>
      </x:c>
      <x:c r="L1552" s="15" t="str">
        <x:v>Done only when evidence is logged, contradiction search is noted, and boundary stamp remains non-canon unless ratified</x:v>
      </x:c>
      <x:c r="M1552" s="15" t="str">
        <x:v>candidate / staging-only / not canon / not deployed / authority none</x:v>
      </x:c>
      <x:c r="N1552" s="15" t="str">
        <x:v>Dispatch to ClaudeCatcher: complete GitHub Source Packets x GitHub; return deltas only, receipts required.</x:v>
      </x:c>
      <x:c r="O1552" s="15" t="str">
        <x:v>AF-KG-H10-S03</x:v>
      </x:c>
      <x:c r="P1552" s="15" t="str">
        <x:v>Unverified</x:v>
      </x:c>
      <x:c r="Q1552" s="15" t="str">
        <x:v>Not checked</x:v>
      </x:c>
      <x:c r="R1552" s="15" t="str"/>
      <x:c r="S1552" s="15" t="str"/>
      <x:c r="T1552" s="15" t="str">
        <x:v>Log first source path or blocker</x:v>
      </x:c>
      <x:c r="U1552" s="12" t="str">
        <x:f>IF(OR(P1552="Unverified",Q1552="Not checked"),"BLOCKED_PENDING_RECEIPT","READY_FOR_REVIEW")</x:f>
        <x:v>BLOCKED_PENDING_RECEIPT</x:v>
      </x:c>
      <x:c r="V1552" s="12" t="str">
        <x:f>IF(J1552="DONE","RETURNED",IF(U1552="BLOCKED_PENDING_RECEIPT","SOURCE_TOUCH_REQUIRED","IN_PROGRESS"))</x:f>
        <x:v>SOURCE_TOUCH_REQUIRED</x:v>
      </x:c>
      <x:c r="W1552" s="12" t="str">
        <x:f>IF(P1552="Unverified","missing_receipt","receipt_logged")</x:f>
        <x:v>missing_receipt</x:v>
      </x:c>
      <x:c r="X1552" s="12" t="str">
        <x:f>IF(Q1552="Not checked","raw_status_missing","raw_status_logged")</x:f>
        <x:v>raw_status_missing</x:v>
      </x:c>
      <x:c r="Y1552" s="12" t="str">
        <x:f>IF(U1552="BLOCKED_PENDING_RECEIPT","Log source path or blocker; do not promote","Route to review lane")</x:f>
        <x:v>Log source path or blocker; do not promote</x:v>
      </x:c>
      <x:c r="Z1552" s="12" t="str">
        <x:f>IF(K1552="P0","Primary seat + Hashlight/Lucerna","Seat lane")</x:f>
        <x:v>Primary seat + Hashlight/Lucerna</x:v>
      </x:c>
      <x:c r="AA1552" s="12" t="str">
        <x:f>IF(R1552="","no_claim_delta","claim_delta_present")</x:f>
        <x:v>no_claim_delta</x:v>
      </x:c>
      <x:c r="AB1552" s="12" t="str">
        <x:f>IF(S1552="","no_contradiction_delta","contradiction_delta_present")</x:f>
        <x:v>no_contradiction_delta</x:v>
      </x:c>
      <x:c r="AC1552" s="12" t="str">
        <x:f>IF(OR(ISNUMBER(SEARCH("hacker",LOWER(F1552&amp;" "&amp;H1552&amp;" "&amp;I1552&amp;" "&amp;M1552&amp;" "&amp;N1552&amp;" "&amp;T1552))),ISNUMBER(SEARCH("hacking",LOWER(F1552&amp;" "&amp;H1552&amp;" "&amp;I1552&amp;" "&amp;M1552&amp;" "&amp;N1552&amp;" "&amp;T1552))),ISNUMBER(SEARCH("bank",LOWER(F1552&amp;" "&amp;H1552&amp;" "&amp;I1552&amp;" "&amp;M1552&amp;" "&amp;N1552&amp;" "&amp;T1552))),ISNUMBER(SEARCH("banking",LOWER(F1552&amp;" "&amp;H1552&amp;" "&amp;I1552&amp;" "&amp;M1552&amp;" "&amp;N1552&amp;" "&amp;T1552)))),"PRIVATE_QUARANTINE",IF(OR(ISNUMBER(SEARCH("treasury",LOWER(F1552&amp;" "&amp;H1552&amp;" "&amp;I1552&amp;" "&amp;M1552&amp;" "&amp;N1552&amp;" "&amp;T1552))),ISNUMBER(SEARCH("debt",LOWER(F1552&amp;" "&amp;H1552&amp;" "&amp;I1552&amp;" "&amp;M1552&amp;" "&amp;N1552&amp;" "&amp;T1552))),ISNUMBER(SEARCH("bond",LOWER(F1552&amp;" "&amp;H1552&amp;" "&amp;I1552&amp;" "&amp;M1552&amp;" "&amp;N1552&amp;" "&amp;T1552))),ISNUMBER(SEARCH("transaction",LOWER(F1552&amp;" "&amp;H1552&amp;" "&amp;I1552&amp;" "&amp;M1552&amp;" "&amp;N1552&amp;" "&amp;T1552)))),"PRIVATE_REVIEW","PUBLIC_CANDIDATE"))</x:f>
        <x:v>PUBLIC_CANDIDATE</x:v>
      </x:c>
      <x:c r="AD1552" s="12" t="str">
        <x:f>IF(AC1552="PRIVATE_QUARANTINE","hacker_or_bank_trigger",IF(AC1552="PRIVATE_REVIEW","finance_risk_trigger","none"))</x:f>
        <x:v>none</x:v>
      </x:c>
      <x:c r="AE1552" s="12" t="str">
        <x:f>IF(AC1552="PUBLIC_CANDIDATE","prepare_public_github_candidate",IF(AC1552="PRIVATE_REVIEW","hold_for_private_review","quarantine_private_do_not_publish"))</x:f>
        <x:v>prepare_public_github_candidate</x:v>
      </x:c>
      <x:c r="AF1552" s="12" t="str">
        <x:f>IF(AC1552="PUBLIC_CANDIDATE","TIDELOCK + Lucerna",IF(AC1552="PRIVATE_REVIEW","AtlasBrain + Lucerna","TIDELOCK + Lucerna + Human-root"))</x:f>
        <x:v>TIDELOCK + Lucerna</x:v>
      </x:c>
      <x:c r="AG1552" s="12" t="str">
        <x:f>IF(AND(AC1552="PUBLIC_CANDIDATE",U1552&lt;&gt;"BLOCKED_PENDING_RECEIPT"),"READY_AFTER_RECEIPT","NOT_READY")</x:f>
        <x:v>NOT_READY</x:v>
      </x:c>
      <x:c r="AH1552" s="12" t="str">
        <x:f>IF(AC1552="PUBLIC_CANDIDATE","none",AD1552)</x:f>
        <x:v>none</x:v>
      </x:c>
      <x:c r="AI1552" s="12" t="str">
        <x:f>IF(AC1552="PUBLIC_CANDIDATE","archive/public_candidates/"&amp;A1552,"private_quarantine/"&amp;A1552)</x:f>
        <x:v>archive/public_candidates/SWARM-11-H10-S03</x:v>
      </x:c>
      <x:c r="AJ1552" s="12" t="str">
        <x:f>IF(AC1552="PUBLIC_CANDIDATE","public by default; still not canon","private/hold; do not publish")</x:f>
        <x:v>public by default; still not canon</x:v>
      </x:c>
      <x:c r="AK1552" s="12" t="str">
        <x:f>IF(AE1552="prepare_public_github_candidate","add receipt/status then mirror","resolve blocker before any public GitHub action")</x:f>
        <x:v>add receipt/status then mirror</x:v>
      </x:c>
    </x:row>
    <x:row r="1553">
      <x:c r="A1553" s="15" t="str">
        <x:v>SWARM-11-H10-S04</x:v>
      </x:c>
      <x:c r="B1553" s="15" t="str">
        <x:v>ClaudeCatcher</x:v>
      </x:c>
      <x:c r="C1553" s="15" t="str">
        <x:v>Bullshit Olympics referee</x:v>
      </x:c>
      <x:c r="D1553" s="15" t="str">
        <x:v>GitHub Source Packets</x:v>
      </x:c>
      <x:c r="E1553" s="15" t="str">
        <x:v>Gamma</x:v>
      </x:c>
      <x:c r="F1553" s="15" t="str">
        <x:v>Build source packet for Gamma — ClaudeCatcher</x:v>
      </x:c>
      <x:c r="G1553" s="15" t="str">
        <x:v>adversarial claims / model overclaim detection</x:v>
      </x:c>
      <x:c r="H1553" s="15" t="str">
        <x:v>source path + receipt + raw/export status + claim/edge/risk delta</x:v>
      </x:c>
      <x:c r="I1553" s="15" t="str">
        <x:v>packet/SWARM-11-H10-S04</x:v>
      </x:c>
      <x:c r="J1553" s="15" t="str">
        <x:v>TODO</x:v>
      </x:c>
      <x:c r="K1553" s="15" t="str">
        <x:v>P1</x:v>
      </x:c>
      <x:c r="L1553" s="15" t="str">
        <x:v>Done only when evidence is logged, contradiction search is noted, and boundary stamp remains non-canon unless ratified</x:v>
      </x:c>
      <x:c r="M1553" s="15" t="str">
        <x:v>candidate / staging-only / not canon / not deployed / authority none</x:v>
      </x:c>
      <x:c r="N1553" s="15" t="str">
        <x:v>Dispatch to ClaudeCatcher: complete GitHub Source Packets x Gamma; return deltas only, receipts required.</x:v>
      </x:c>
      <x:c r="O1553" s="15" t="str">
        <x:v>AF-KG-H10-S04</x:v>
      </x:c>
      <x:c r="P1553" s="15" t="str">
        <x:v>Unverified</x:v>
      </x:c>
      <x:c r="Q1553" s="15" t="str">
        <x:v>Not checked</x:v>
      </x:c>
      <x:c r="R1553" s="15" t="str"/>
      <x:c r="S1553" s="15" t="str"/>
      <x:c r="T1553" s="15" t="str">
        <x:v>Log first source path or blocker</x:v>
      </x:c>
      <x:c r="U1553" s="12" t="str">
        <x:f>IF(OR(P1553="Unverified",Q1553="Not checked"),"BLOCKED_PENDING_RECEIPT","READY_FOR_REVIEW")</x:f>
        <x:v>BLOCKED_PENDING_RECEIPT</x:v>
      </x:c>
      <x:c r="V1553" s="12" t="str">
        <x:f>IF(J1553="DONE","RETURNED",IF(U1553="BLOCKED_PENDING_RECEIPT","SOURCE_TOUCH_REQUIRED","IN_PROGRESS"))</x:f>
        <x:v>SOURCE_TOUCH_REQUIRED</x:v>
      </x:c>
      <x:c r="W1553" s="12" t="str">
        <x:f>IF(P1553="Unverified","missing_receipt","receipt_logged")</x:f>
        <x:v>missing_receipt</x:v>
      </x:c>
      <x:c r="X1553" s="12" t="str">
        <x:f>IF(Q1553="Not checked","raw_status_missing","raw_status_logged")</x:f>
        <x:v>raw_status_missing</x:v>
      </x:c>
      <x:c r="Y1553" s="12" t="str">
        <x:f>IF(U1553="BLOCKED_PENDING_RECEIPT","Log source path or blocker; do not promote","Route to review lane")</x:f>
        <x:v>Log source path or blocker; do not promote</x:v>
      </x:c>
      <x:c r="Z1553" s="12" t="str">
        <x:f>IF(K1553="P0","Primary seat + Hashlight/Lucerna","Seat lane")</x:f>
        <x:v>Seat lane</x:v>
      </x:c>
      <x:c r="AA1553" s="12" t="str">
        <x:f>IF(R1553="","no_claim_delta","claim_delta_present")</x:f>
        <x:v>no_claim_delta</x:v>
      </x:c>
      <x:c r="AB1553" s="12" t="str">
        <x:f>IF(S1553="","no_contradiction_delta","contradiction_delta_present")</x:f>
        <x:v>no_contradiction_delta</x:v>
      </x:c>
      <x:c r="AC1553" s="12" t="str">
        <x:f>IF(OR(ISNUMBER(SEARCH("hacker",LOWER(F1553&amp;" "&amp;H1553&amp;" "&amp;I1553&amp;" "&amp;M1553&amp;" "&amp;N1553&amp;" "&amp;T1553))),ISNUMBER(SEARCH("hacking",LOWER(F1553&amp;" "&amp;H1553&amp;" "&amp;I1553&amp;" "&amp;M1553&amp;" "&amp;N1553&amp;" "&amp;T1553))),ISNUMBER(SEARCH("bank",LOWER(F1553&amp;" "&amp;H1553&amp;" "&amp;I1553&amp;" "&amp;M1553&amp;" "&amp;N1553&amp;" "&amp;T1553))),ISNUMBER(SEARCH("banking",LOWER(F1553&amp;" "&amp;H1553&amp;" "&amp;I1553&amp;" "&amp;M1553&amp;" "&amp;N1553&amp;" "&amp;T1553)))),"PRIVATE_QUARANTINE",IF(OR(ISNUMBER(SEARCH("treasury",LOWER(F1553&amp;" "&amp;H1553&amp;" "&amp;I1553&amp;" "&amp;M1553&amp;" "&amp;N1553&amp;" "&amp;T1553))),ISNUMBER(SEARCH("debt",LOWER(F1553&amp;" "&amp;H1553&amp;" "&amp;I1553&amp;" "&amp;M1553&amp;" "&amp;N1553&amp;" "&amp;T1553))),ISNUMBER(SEARCH("bond",LOWER(F1553&amp;" "&amp;H1553&amp;" "&amp;I1553&amp;" "&amp;M1553&amp;" "&amp;N1553&amp;" "&amp;T1553))),ISNUMBER(SEARCH("transaction",LOWER(F1553&amp;" "&amp;H1553&amp;" "&amp;I1553&amp;" "&amp;M1553&amp;" "&amp;N1553&amp;" "&amp;T1553)))),"PRIVATE_REVIEW","PUBLIC_CANDIDATE"))</x:f>
        <x:v>PUBLIC_CANDIDATE</x:v>
      </x:c>
      <x:c r="AD1553" s="12" t="str">
        <x:f>IF(AC1553="PRIVATE_QUARANTINE","hacker_or_bank_trigger",IF(AC1553="PRIVATE_REVIEW","finance_risk_trigger","none"))</x:f>
        <x:v>none</x:v>
      </x:c>
      <x:c r="AE1553" s="12" t="str">
        <x:f>IF(AC1553="PUBLIC_CANDIDATE","prepare_public_github_candidate",IF(AC1553="PRIVATE_REVIEW","hold_for_private_review","quarantine_private_do_not_publish"))</x:f>
        <x:v>prepare_public_github_candidate</x:v>
      </x:c>
      <x:c r="AF1553" s="12" t="str">
        <x:f>IF(AC1553="PUBLIC_CANDIDATE","TIDELOCK + Lucerna",IF(AC1553="PRIVATE_REVIEW","AtlasBrain + Lucerna","TIDELOCK + Lucerna + Human-root"))</x:f>
        <x:v>TIDELOCK + Lucerna</x:v>
      </x:c>
      <x:c r="AG1553" s="12" t="str">
        <x:f>IF(AND(AC1553="PUBLIC_CANDIDATE",U1553&lt;&gt;"BLOCKED_PENDING_RECEIPT"),"READY_AFTER_RECEIPT","NOT_READY")</x:f>
        <x:v>NOT_READY</x:v>
      </x:c>
      <x:c r="AH1553" s="12" t="str">
        <x:f>IF(AC1553="PUBLIC_CANDIDATE","none",AD1553)</x:f>
        <x:v>none</x:v>
      </x:c>
      <x:c r="AI1553" s="12" t="str">
        <x:f>IF(AC1553="PUBLIC_CANDIDATE","archive/public_candidates/"&amp;A1553,"private_quarantine/"&amp;A1553)</x:f>
        <x:v>archive/public_candidates/SWARM-11-H10-S04</x:v>
      </x:c>
      <x:c r="AJ1553" s="12" t="str">
        <x:f>IF(AC1553="PUBLIC_CANDIDATE","public by default; still not canon","private/hold; do not publish")</x:f>
        <x:v>public by default; still not canon</x:v>
      </x:c>
      <x:c r="AK1553" s="12" t="str">
        <x:f>IF(AE1553="prepare_public_github_candidate","add receipt/status then mirror","resolve blocker before any public GitHub action")</x:f>
        <x:v>add receipt/status then mirror</x:v>
      </x:c>
    </x:row>
    <x:row r="1554">
      <x:c r="A1554" s="15" t="str">
        <x:v>SWARM-11-H10-S05</x:v>
      </x:c>
      <x:c r="B1554" s="15" t="str">
        <x:v>ClaudeCatcher</x:v>
      </x:c>
      <x:c r="C1554" s="15" t="str">
        <x:v>Bullshit Olympics referee</x:v>
      </x:c>
      <x:c r="D1554" s="15" t="str">
        <x:v>GitHub Source Packets</x:v>
      </x:c>
      <x:c r="E1554" s="15" t="str">
        <x:v>Chat</x:v>
      </x:c>
      <x:c r="F1554" s="15" t="str">
        <x:v>Build source packet for Chat — ClaudeCatcher</x:v>
      </x:c>
      <x:c r="G1554" s="15" t="str">
        <x:v>adversarial claims / model overclaim detection</x:v>
      </x:c>
      <x:c r="H1554" s="15" t="str">
        <x:v>source path + receipt + raw/export status + claim/edge/risk delta</x:v>
      </x:c>
      <x:c r="I1554" s="15" t="str">
        <x:v>packet/SWARM-11-H10-S05</x:v>
      </x:c>
      <x:c r="J1554" s="15" t="str">
        <x:v>TODO</x:v>
      </x:c>
      <x:c r="K1554" s="15" t="str">
        <x:v>P1</x:v>
      </x:c>
      <x:c r="L1554" s="15" t="str">
        <x:v>Done only when evidence is logged, contradiction search is noted, and boundary stamp remains non-canon unless ratified</x:v>
      </x:c>
      <x:c r="M1554" s="15" t="str">
        <x:v>candidate / staging-only / not canon / not deployed / authority none</x:v>
      </x:c>
      <x:c r="N1554" s="15" t="str">
        <x:v>Dispatch to ClaudeCatcher: complete GitHub Source Packets x Chat; return deltas only, receipts required.</x:v>
      </x:c>
      <x:c r="O1554" s="15" t="str">
        <x:v>AF-KG-H10-S05</x:v>
      </x:c>
      <x:c r="P1554" s="15" t="str">
        <x:v>Unverified</x:v>
      </x:c>
      <x:c r="Q1554" s="15" t="str">
        <x:v>Not checked</x:v>
      </x:c>
      <x:c r="R1554" s="15" t="str"/>
      <x:c r="S1554" s="15" t="str"/>
      <x:c r="T1554" s="15" t="str">
        <x:v>Log first source path or blocker</x:v>
      </x:c>
      <x:c r="U1554" s="12" t="str">
        <x:f>IF(OR(P1554="Unverified",Q1554="Not checked"),"BLOCKED_PENDING_RECEIPT","READY_FOR_REVIEW")</x:f>
        <x:v>BLOCKED_PENDING_RECEIPT</x:v>
      </x:c>
      <x:c r="V1554" s="12" t="str">
        <x:f>IF(J1554="DONE","RETURNED",IF(U1554="BLOCKED_PENDING_RECEIPT","SOURCE_TOUCH_REQUIRED","IN_PROGRESS"))</x:f>
        <x:v>SOURCE_TOUCH_REQUIRED</x:v>
      </x:c>
      <x:c r="W1554" s="12" t="str">
        <x:f>IF(P1554="Unverified","missing_receipt","receipt_logged")</x:f>
        <x:v>missing_receipt</x:v>
      </x:c>
      <x:c r="X1554" s="12" t="str">
        <x:f>IF(Q1554="Not checked","raw_status_missing","raw_status_logged")</x:f>
        <x:v>raw_status_missing</x:v>
      </x:c>
      <x:c r="Y1554" s="12" t="str">
        <x:f>IF(U1554="BLOCKED_PENDING_RECEIPT","Log source path or blocker; do not promote","Route to review lane")</x:f>
        <x:v>Log source path or blocker; do not promote</x:v>
      </x:c>
      <x:c r="Z1554" s="12" t="str">
        <x:f>IF(K1554="P0","Primary seat + Hashlight/Lucerna","Seat lane")</x:f>
        <x:v>Seat lane</x:v>
      </x:c>
      <x:c r="AA1554" s="12" t="str">
        <x:f>IF(R1554="","no_claim_delta","claim_delta_present")</x:f>
        <x:v>no_claim_delta</x:v>
      </x:c>
      <x:c r="AB1554" s="12" t="str">
        <x:f>IF(S1554="","no_contradiction_delta","contradiction_delta_present")</x:f>
        <x:v>no_contradiction_delta</x:v>
      </x:c>
      <x:c r="AC1554" s="12" t="str">
        <x:f>IF(OR(ISNUMBER(SEARCH("hacker",LOWER(F1554&amp;" "&amp;H1554&amp;" "&amp;I1554&amp;" "&amp;M1554&amp;" "&amp;N1554&amp;" "&amp;T1554))),ISNUMBER(SEARCH("hacking",LOWER(F1554&amp;" "&amp;H1554&amp;" "&amp;I1554&amp;" "&amp;M1554&amp;" "&amp;N1554&amp;" "&amp;T1554))),ISNUMBER(SEARCH("bank",LOWER(F1554&amp;" "&amp;H1554&amp;" "&amp;I1554&amp;" "&amp;M1554&amp;" "&amp;N1554&amp;" "&amp;T1554))),ISNUMBER(SEARCH("banking",LOWER(F1554&amp;" "&amp;H1554&amp;" "&amp;I1554&amp;" "&amp;M1554&amp;" "&amp;N1554&amp;" "&amp;T1554)))),"PRIVATE_QUARANTINE",IF(OR(ISNUMBER(SEARCH("treasury",LOWER(F1554&amp;" "&amp;H1554&amp;" "&amp;I1554&amp;" "&amp;M1554&amp;" "&amp;N1554&amp;" "&amp;T1554))),ISNUMBER(SEARCH("debt",LOWER(F1554&amp;" "&amp;H1554&amp;" "&amp;I1554&amp;" "&amp;M1554&amp;" "&amp;N1554&amp;" "&amp;T1554))),ISNUMBER(SEARCH("bond",LOWER(F1554&amp;" "&amp;H1554&amp;" "&amp;I1554&amp;" "&amp;M1554&amp;" "&amp;N1554&amp;" "&amp;T1554))),ISNUMBER(SEARCH("transaction",LOWER(F1554&amp;" "&amp;H1554&amp;" "&amp;I1554&amp;" "&amp;M1554&amp;" "&amp;N1554&amp;" "&amp;T1554)))),"PRIVATE_REVIEW","PUBLIC_CANDIDATE"))</x:f>
        <x:v>PUBLIC_CANDIDATE</x:v>
      </x:c>
      <x:c r="AD1554" s="12" t="str">
        <x:f>IF(AC1554="PRIVATE_QUARANTINE","hacker_or_bank_trigger",IF(AC1554="PRIVATE_REVIEW","finance_risk_trigger","none"))</x:f>
        <x:v>none</x:v>
      </x:c>
      <x:c r="AE1554" s="12" t="str">
        <x:f>IF(AC1554="PUBLIC_CANDIDATE","prepare_public_github_candidate",IF(AC1554="PRIVATE_REVIEW","hold_for_private_review","quarantine_private_do_not_publish"))</x:f>
        <x:v>prepare_public_github_candidate</x:v>
      </x:c>
      <x:c r="AF1554" s="12" t="str">
        <x:f>IF(AC1554="PUBLIC_CANDIDATE","TIDELOCK + Lucerna",IF(AC1554="PRIVATE_REVIEW","AtlasBrain + Lucerna","TIDELOCK + Lucerna + Human-root"))</x:f>
        <x:v>TIDELOCK + Lucerna</x:v>
      </x:c>
      <x:c r="AG1554" s="12" t="str">
        <x:f>IF(AND(AC1554="PUBLIC_CANDIDATE",U1554&lt;&gt;"BLOCKED_PENDING_RECEIPT"),"READY_AFTER_RECEIPT","NOT_READY")</x:f>
        <x:v>NOT_READY</x:v>
      </x:c>
      <x:c r="AH1554" s="12" t="str">
        <x:f>IF(AC1554="PUBLIC_CANDIDATE","none",AD1554)</x:f>
        <x:v>none</x:v>
      </x:c>
      <x:c r="AI1554" s="12" t="str">
        <x:f>IF(AC1554="PUBLIC_CANDIDATE","archive/public_candidates/"&amp;A1554,"private_quarantine/"&amp;A1554)</x:f>
        <x:v>archive/public_candidates/SWARM-11-H10-S05</x:v>
      </x:c>
      <x:c r="AJ1554" s="12" t="str">
        <x:f>IF(AC1554="PUBLIC_CANDIDATE","public by default; still not canon","private/hold; do not publish")</x:f>
        <x:v>public by default; still not canon</x:v>
      </x:c>
      <x:c r="AK1554" s="12" t="str">
        <x:f>IF(AE1554="prepare_public_github_candidate","add receipt/status then mirror","resolve blocker before any public GitHub action")</x:f>
        <x:v>add receipt/status then mirror</x:v>
      </x:c>
    </x:row>
    <x:row r="1555">
      <x:c r="A1555" s="15" t="str">
        <x:v>SWARM-11-H10-S06</x:v>
      </x:c>
      <x:c r="B1555" s="15" t="str">
        <x:v>ClaudeCatcher</x:v>
      </x:c>
      <x:c r="C1555" s="15" t="str">
        <x:v>Bullshit Olympics referee</x:v>
      </x:c>
      <x:c r="D1555" s="15" t="str">
        <x:v>GitHub Source Packets</x:v>
      </x:c>
      <x:c r="E1555" s="15" t="str">
        <x:v>External Web</x:v>
      </x:c>
      <x:c r="F1555" s="15" t="str">
        <x:v>Build source packet for External Web — ClaudeCatcher</x:v>
      </x:c>
      <x:c r="G1555" s="15" t="str">
        <x:v>adversarial claims / model overclaim detection</x:v>
      </x:c>
      <x:c r="H1555" s="15" t="str">
        <x:v>source path + receipt + raw/export status + claim/edge/risk delta</x:v>
      </x:c>
      <x:c r="I1555" s="15" t="str">
        <x:v>packet/SWARM-11-H10-S06</x:v>
      </x:c>
      <x:c r="J1555" s="15" t="str">
        <x:v>TODO</x:v>
      </x:c>
      <x:c r="K1555" s="15" t="str">
        <x:v>P1</x:v>
      </x:c>
      <x:c r="L1555" s="15" t="str">
        <x:v>Done only when evidence is logged, contradiction search is noted, and boundary stamp remains non-canon unless ratified</x:v>
      </x:c>
      <x:c r="M1555" s="15" t="str">
        <x:v>candidate / staging-only / not canon / not deployed / authority none</x:v>
      </x:c>
      <x:c r="N1555" s="15" t="str">
        <x:v>Dispatch to ClaudeCatcher: complete GitHub Source Packets x External Web; return deltas only, receipts required.</x:v>
      </x:c>
      <x:c r="O1555" s="15" t="str">
        <x:v>AF-KG-H10-S06</x:v>
      </x:c>
      <x:c r="P1555" s="15" t="str">
        <x:v>Unverified</x:v>
      </x:c>
      <x:c r="Q1555" s="15" t="str">
        <x:v>Not checked</x:v>
      </x:c>
      <x:c r="R1555" s="15" t="str"/>
      <x:c r="S1555" s="15" t="str"/>
      <x:c r="T1555" s="15" t="str">
        <x:v>Log first source path or blocker</x:v>
      </x:c>
      <x:c r="U1555" s="12" t="str">
        <x:f>IF(OR(P1555="Unverified",Q1555="Not checked"),"BLOCKED_PENDING_RECEIPT","READY_FOR_REVIEW")</x:f>
        <x:v>BLOCKED_PENDING_RECEIPT</x:v>
      </x:c>
      <x:c r="V1555" s="12" t="str">
        <x:f>IF(J1555="DONE","RETURNED",IF(U1555="BLOCKED_PENDING_RECEIPT","SOURCE_TOUCH_REQUIRED","IN_PROGRESS"))</x:f>
        <x:v>SOURCE_TOUCH_REQUIRED</x:v>
      </x:c>
      <x:c r="W1555" s="12" t="str">
        <x:f>IF(P1555="Unverified","missing_receipt","receipt_logged")</x:f>
        <x:v>missing_receipt</x:v>
      </x:c>
      <x:c r="X1555" s="12" t="str">
        <x:f>IF(Q1555="Not checked","raw_status_missing","raw_status_logged")</x:f>
        <x:v>raw_status_missing</x:v>
      </x:c>
      <x:c r="Y1555" s="12" t="str">
        <x:f>IF(U1555="BLOCKED_PENDING_RECEIPT","Log source path or blocker; do not promote","Route to review lane")</x:f>
        <x:v>Log source path or blocker; do not promote</x:v>
      </x:c>
      <x:c r="Z1555" s="12" t="str">
        <x:f>IF(K1555="P0","Primary seat + Hashlight/Lucerna","Seat lane")</x:f>
        <x:v>Seat lane</x:v>
      </x:c>
      <x:c r="AA1555" s="12" t="str">
        <x:f>IF(R1555="","no_claim_delta","claim_delta_present")</x:f>
        <x:v>no_claim_delta</x:v>
      </x:c>
      <x:c r="AB1555" s="12" t="str">
        <x:f>IF(S1555="","no_contradiction_delta","contradiction_delta_present")</x:f>
        <x:v>no_contradiction_delta</x:v>
      </x:c>
      <x:c r="AC1555" s="12" t="str">
        <x:f>IF(OR(ISNUMBER(SEARCH("hacker",LOWER(F1555&amp;" "&amp;H1555&amp;" "&amp;I1555&amp;" "&amp;M1555&amp;" "&amp;N1555&amp;" "&amp;T1555))),ISNUMBER(SEARCH("hacking",LOWER(F1555&amp;" "&amp;H1555&amp;" "&amp;I1555&amp;" "&amp;M1555&amp;" "&amp;N1555&amp;" "&amp;T1555))),ISNUMBER(SEARCH("bank",LOWER(F1555&amp;" "&amp;H1555&amp;" "&amp;I1555&amp;" "&amp;M1555&amp;" "&amp;N1555&amp;" "&amp;T1555))),ISNUMBER(SEARCH("banking",LOWER(F1555&amp;" "&amp;H1555&amp;" "&amp;I1555&amp;" "&amp;M1555&amp;" "&amp;N1555&amp;" "&amp;T1555)))),"PRIVATE_QUARANTINE",IF(OR(ISNUMBER(SEARCH("treasury",LOWER(F1555&amp;" "&amp;H1555&amp;" "&amp;I1555&amp;" "&amp;M1555&amp;" "&amp;N1555&amp;" "&amp;T1555))),ISNUMBER(SEARCH("debt",LOWER(F1555&amp;" "&amp;H1555&amp;" "&amp;I1555&amp;" "&amp;M1555&amp;" "&amp;N1555&amp;" "&amp;T1555))),ISNUMBER(SEARCH("bond",LOWER(F1555&amp;" "&amp;H1555&amp;" "&amp;I1555&amp;" "&amp;M1555&amp;" "&amp;N1555&amp;" "&amp;T1555))),ISNUMBER(SEARCH("transaction",LOWER(F1555&amp;" "&amp;H1555&amp;" "&amp;I1555&amp;" "&amp;M1555&amp;" "&amp;N1555&amp;" "&amp;T1555)))),"PRIVATE_REVIEW","PUBLIC_CANDIDATE"))</x:f>
        <x:v>PUBLIC_CANDIDATE</x:v>
      </x:c>
      <x:c r="AD1555" s="12" t="str">
        <x:f>IF(AC1555="PRIVATE_QUARANTINE","hacker_or_bank_trigger",IF(AC1555="PRIVATE_REVIEW","finance_risk_trigger","none"))</x:f>
        <x:v>none</x:v>
      </x:c>
      <x:c r="AE1555" s="12" t="str">
        <x:f>IF(AC1555="PUBLIC_CANDIDATE","prepare_public_github_candidate",IF(AC1555="PRIVATE_REVIEW","hold_for_private_review","quarantine_private_do_not_publish"))</x:f>
        <x:v>prepare_public_github_candidate</x:v>
      </x:c>
      <x:c r="AF1555" s="12" t="str">
        <x:f>IF(AC1555="PUBLIC_CANDIDATE","TIDELOCK + Lucerna",IF(AC1555="PRIVATE_REVIEW","AtlasBrain + Lucerna","TIDELOCK + Lucerna + Human-root"))</x:f>
        <x:v>TIDELOCK + Lucerna</x:v>
      </x:c>
      <x:c r="AG1555" s="12" t="str">
        <x:f>IF(AND(AC1555="PUBLIC_CANDIDATE",U1555&lt;&gt;"BLOCKED_PENDING_RECEIPT"),"READY_AFTER_RECEIPT","NOT_READY")</x:f>
        <x:v>NOT_READY</x:v>
      </x:c>
      <x:c r="AH1555" s="12" t="str">
        <x:f>IF(AC1555="PUBLIC_CANDIDATE","none",AD1555)</x:f>
        <x:v>none</x:v>
      </x:c>
      <x:c r="AI1555" s="12" t="str">
        <x:f>IF(AC1555="PUBLIC_CANDIDATE","archive/public_candidates/"&amp;A1555,"private_quarantine/"&amp;A1555)</x:f>
        <x:v>archive/public_candidates/SWARM-11-H10-S06</x:v>
      </x:c>
      <x:c r="AJ1555" s="12" t="str">
        <x:f>IF(AC1555="PUBLIC_CANDIDATE","public by default; still not canon","private/hold; do not publish")</x:f>
        <x:v>public by default; still not canon</x:v>
      </x:c>
      <x:c r="AK1555" s="12" t="str">
        <x:f>IF(AE1555="prepare_public_github_candidate","add receipt/status then mirror","resolve blocker before any public GitHub action")</x:f>
        <x:v>add receipt/status then mirror</x:v>
      </x:c>
    </x:row>
    <x:row r="1556">
      <x:c r="A1556" s="15" t="str">
        <x:v>SWARM-11-H10-S07</x:v>
      </x:c>
      <x:c r="B1556" s="15" t="str">
        <x:v>ClaudeCatcher</x:v>
      </x:c>
      <x:c r="C1556" s="15" t="str">
        <x:v>Bullshit Olympics referee</x:v>
      </x:c>
      <x:c r="D1556" s="15" t="str">
        <x:v>GitHub Source Packets</x:v>
      </x:c>
      <x:c r="E1556" s="15" t="str">
        <x:v>Planetarium</x:v>
      </x:c>
      <x:c r="F1556" s="15" t="str">
        <x:v>Build source packet for Planetarium — ClaudeCatcher</x:v>
      </x:c>
      <x:c r="G1556" s="15" t="str">
        <x:v>adversarial claims / model overclaim detection</x:v>
      </x:c>
      <x:c r="H1556" s="15" t="str">
        <x:v>source path + receipt + raw/export status + claim/edge/risk delta</x:v>
      </x:c>
      <x:c r="I1556" s="15" t="str">
        <x:v>packet/SWARM-11-H10-S07</x:v>
      </x:c>
      <x:c r="J1556" s="15" t="str">
        <x:v>TODO</x:v>
      </x:c>
      <x:c r="K1556" s="15" t="str">
        <x:v>P1</x:v>
      </x:c>
      <x:c r="L1556" s="15" t="str">
        <x:v>Done only when evidence is logged, contradiction search is noted, and boundary stamp remains non-canon unless ratified</x:v>
      </x:c>
      <x:c r="M1556" s="15" t="str">
        <x:v>candidate / staging-only / not canon / not deployed / authority none</x:v>
      </x:c>
      <x:c r="N1556" s="15" t="str">
        <x:v>Dispatch to ClaudeCatcher: complete GitHub Source Packets x Planetarium; return deltas only, receipts required.</x:v>
      </x:c>
      <x:c r="O1556" s="15" t="str">
        <x:v>AF-KG-H10-S07</x:v>
      </x:c>
      <x:c r="P1556" s="15" t="str">
        <x:v>Unverified</x:v>
      </x:c>
      <x:c r="Q1556" s="15" t="str">
        <x:v>Not checked</x:v>
      </x:c>
      <x:c r="R1556" s="15" t="str"/>
      <x:c r="S1556" s="15" t="str"/>
      <x:c r="T1556" s="15" t="str">
        <x:v>Log first source path or blocker</x:v>
      </x:c>
      <x:c r="U1556" s="12" t="str">
        <x:f>IF(OR(P1556="Unverified",Q1556="Not checked"),"BLOCKED_PENDING_RECEIPT","READY_FOR_REVIEW")</x:f>
        <x:v>BLOCKED_PENDING_RECEIPT</x:v>
      </x:c>
      <x:c r="V1556" s="12" t="str">
        <x:f>IF(J1556="DONE","RETURNED",IF(U1556="BLOCKED_PENDING_RECEIPT","SOURCE_TOUCH_REQUIRED","IN_PROGRESS"))</x:f>
        <x:v>SOURCE_TOUCH_REQUIRED</x:v>
      </x:c>
      <x:c r="W1556" s="12" t="str">
        <x:f>IF(P1556="Unverified","missing_receipt","receipt_logged")</x:f>
        <x:v>missing_receipt</x:v>
      </x:c>
      <x:c r="X1556" s="12" t="str">
        <x:f>IF(Q1556="Not checked","raw_status_missing","raw_status_logged")</x:f>
        <x:v>raw_status_missing</x:v>
      </x:c>
      <x:c r="Y1556" s="12" t="str">
        <x:f>IF(U1556="BLOCKED_PENDING_RECEIPT","Log source path or blocker; do not promote","Route to review lane")</x:f>
        <x:v>Log source path or blocker; do not promote</x:v>
      </x:c>
      <x:c r="Z1556" s="12" t="str">
        <x:f>IF(K1556="P0","Primary seat + Hashlight/Lucerna","Seat lane")</x:f>
        <x:v>Seat lane</x:v>
      </x:c>
      <x:c r="AA1556" s="12" t="str">
        <x:f>IF(R1556="","no_claim_delta","claim_delta_present")</x:f>
        <x:v>no_claim_delta</x:v>
      </x:c>
      <x:c r="AB1556" s="12" t="str">
        <x:f>IF(S1556="","no_contradiction_delta","contradiction_delta_present")</x:f>
        <x:v>no_contradiction_delta</x:v>
      </x:c>
      <x:c r="AC1556" s="12" t="str">
        <x:f>IF(OR(ISNUMBER(SEARCH("hacker",LOWER(F1556&amp;" "&amp;H1556&amp;" "&amp;I1556&amp;" "&amp;M1556&amp;" "&amp;N1556&amp;" "&amp;T1556))),ISNUMBER(SEARCH("hacking",LOWER(F1556&amp;" "&amp;H1556&amp;" "&amp;I1556&amp;" "&amp;M1556&amp;" "&amp;N1556&amp;" "&amp;T1556))),ISNUMBER(SEARCH("bank",LOWER(F1556&amp;" "&amp;H1556&amp;" "&amp;I1556&amp;" "&amp;M1556&amp;" "&amp;N1556&amp;" "&amp;T1556))),ISNUMBER(SEARCH("banking",LOWER(F1556&amp;" "&amp;H1556&amp;" "&amp;I1556&amp;" "&amp;M1556&amp;" "&amp;N1556&amp;" "&amp;T1556)))),"PRIVATE_QUARANTINE",IF(OR(ISNUMBER(SEARCH("treasury",LOWER(F1556&amp;" "&amp;H1556&amp;" "&amp;I1556&amp;" "&amp;M1556&amp;" "&amp;N1556&amp;" "&amp;T1556))),ISNUMBER(SEARCH("debt",LOWER(F1556&amp;" "&amp;H1556&amp;" "&amp;I1556&amp;" "&amp;M1556&amp;" "&amp;N1556&amp;" "&amp;T1556))),ISNUMBER(SEARCH("bond",LOWER(F1556&amp;" "&amp;H1556&amp;" "&amp;I1556&amp;" "&amp;M1556&amp;" "&amp;N1556&amp;" "&amp;T1556))),ISNUMBER(SEARCH("transaction",LOWER(F1556&amp;" "&amp;H1556&amp;" "&amp;I1556&amp;" "&amp;M1556&amp;" "&amp;N1556&amp;" "&amp;T1556)))),"PRIVATE_REVIEW","PUBLIC_CANDIDATE"))</x:f>
        <x:v>PUBLIC_CANDIDATE</x:v>
      </x:c>
      <x:c r="AD1556" s="12" t="str">
        <x:f>IF(AC1556="PRIVATE_QUARANTINE","hacker_or_bank_trigger",IF(AC1556="PRIVATE_REVIEW","finance_risk_trigger","none"))</x:f>
        <x:v>none</x:v>
      </x:c>
      <x:c r="AE1556" s="12" t="str">
        <x:f>IF(AC1556="PUBLIC_CANDIDATE","prepare_public_github_candidate",IF(AC1556="PRIVATE_REVIEW","hold_for_private_review","quarantine_private_do_not_publish"))</x:f>
        <x:v>prepare_public_github_candidate</x:v>
      </x:c>
      <x:c r="AF1556" s="12" t="str">
        <x:f>IF(AC1556="PUBLIC_CANDIDATE","TIDELOCK + Lucerna",IF(AC1556="PRIVATE_REVIEW","AtlasBrain + Lucerna","TIDELOCK + Lucerna + Human-root"))</x:f>
        <x:v>TIDELOCK + Lucerna</x:v>
      </x:c>
      <x:c r="AG1556" s="12" t="str">
        <x:f>IF(AND(AC1556="PUBLIC_CANDIDATE",U1556&lt;&gt;"BLOCKED_PENDING_RECEIPT"),"READY_AFTER_RECEIPT","NOT_READY")</x:f>
        <x:v>NOT_READY</x:v>
      </x:c>
      <x:c r="AH1556" s="12" t="str">
        <x:f>IF(AC1556="PUBLIC_CANDIDATE","none",AD1556)</x:f>
        <x:v>none</x:v>
      </x:c>
      <x:c r="AI1556" s="12" t="str">
        <x:f>IF(AC1556="PUBLIC_CANDIDATE","archive/public_candidates/"&amp;A1556,"private_quarantine/"&amp;A1556)</x:f>
        <x:v>archive/public_candidates/SWARM-11-H10-S07</x:v>
      </x:c>
      <x:c r="AJ1556" s="12" t="str">
        <x:f>IF(AC1556="PUBLIC_CANDIDATE","public by default; still not canon","private/hold; do not publish")</x:f>
        <x:v>public by default; still not canon</x:v>
      </x:c>
      <x:c r="AK1556" s="12" t="str">
        <x:f>IF(AE1556="prepare_public_github_candidate","add receipt/status then mirror","resolve blocker before any public GitHub action")</x:f>
        <x:v>add receipt/status then mirror</x:v>
      </x:c>
    </x:row>
    <x:row r="1557">
      <x:c r="A1557" s="15" t="str">
        <x:v>SWARM-11-H10-S08</x:v>
      </x:c>
      <x:c r="B1557" s="15" t="str">
        <x:v>ClaudeCatcher</x:v>
      </x:c>
      <x:c r="C1557" s="15" t="str">
        <x:v>Bullshit Olympics referee</x:v>
      </x:c>
      <x:c r="D1557" s="15" t="str">
        <x:v>GitHub Source Packets</x:v>
      </x:c>
      <x:c r="E1557" s="15" t="str">
        <x:v>Sheldonbrain</x:v>
      </x:c>
      <x:c r="F1557" s="15" t="str">
        <x:v>Build source packet for Sheldonbrain — ClaudeCatcher</x:v>
      </x:c>
      <x:c r="G1557" s="15" t="str">
        <x:v>adversarial claims / model overclaim detection</x:v>
      </x:c>
      <x:c r="H1557" s="15" t="str">
        <x:v>source path + receipt + raw/export status + claim/edge/risk delta</x:v>
      </x:c>
      <x:c r="I1557" s="15" t="str">
        <x:v>packet/SWARM-11-H10-S08</x:v>
      </x:c>
      <x:c r="J1557" s="15" t="str">
        <x:v>TODO</x:v>
      </x:c>
      <x:c r="K1557" s="15" t="str">
        <x:v>P1</x:v>
      </x:c>
      <x:c r="L1557" s="15" t="str">
        <x:v>Done only when evidence is logged, contradiction search is noted, and boundary stamp remains non-canon unless ratified</x:v>
      </x:c>
      <x:c r="M1557" s="15" t="str">
        <x:v>candidate / staging-only / not canon / not deployed / authority none</x:v>
      </x:c>
      <x:c r="N1557" s="15" t="str">
        <x:v>Dispatch to ClaudeCatcher: complete GitHub Source Packets x Sheldonbrain; return deltas only, receipts required.</x:v>
      </x:c>
      <x:c r="O1557" s="15" t="str">
        <x:v>AF-KG-H10-S08</x:v>
      </x:c>
      <x:c r="P1557" s="15" t="str">
        <x:v>Unverified</x:v>
      </x:c>
      <x:c r="Q1557" s="15" t="str">
        <x:v>Not checked</x:v>
      </x:c>
      <x:c r="R1557" s="15" t="str"/>
      <x:c r="S1557" s="15" t="str"/>
      <x:c r="T1557" s="15" t="str">
        <x:v>Log first source path or blocker</x:v>
      </x:c>
      <x:c r="U1557" s="12" t="str">
        <x:f>IF(OR(P1557="Unverified",Q1557="Not checked"),"BLOCKED_PENDING_RECEIPT","READY_FOR_REVIEW")</x:f>
        <x:v>BLOCKED_PENDING_RECEIPT</x:v>
      </x:c>
      <x:c r="V1557" s="12" t="str">
        <x:f>IF(J1557="DONE","RETURNED",IF(U1557="BLOCKED_PENDING_RECEIPT","SOURCE_TOUCH_REQUIRED","IN_PROGRESS"))</x:f>
        <x:v>SOURCE_TOUCH_REQUIRED</x:v>
      </x:c>
      <x:c r="W1557" s="12" t="str">
        <x:f>IF(P1557="Unverified","missing_receipt","receipt_logged")</x:f>
        <x:v>missing_receipt</x:v>
      </x:c>
      <x:c r="X1557" s="12" t="str">
        <x:f>IF(Q1557="Not checked","raw_status_missing","raw_status_logged")</x:f>
        <x:v>raw_status_missing</x:v>
      </x:c>
      <x:c r="Y1557" s="12" t="str">
        <x:f>IF(U1557="BLOCKED_PENDING_RECEIPT","Log source path or blocker; do not promote","Route to review lane")</x:f>
        <x:v>Log source path or blocker; do not promote</x:v>
      </x:c>
      <x:c r="Z1557" s="12" t="str">
        <x:f>IF(K1557="P0","Primary seat + Hashlight/Lucerna","Seat lane")</x:f>
        <x:v>Seat lane</x:v>
      </x:c>
      <x:c r="AA1557" s="12" t="str">
        <x:f>IF(R1557="","no_claim_delta","claim_delta_present")</x:f>
        <x:v>no_claim_delta</x:v>
      </x:c>
      <x:c r="AB1557" s="12" t="str">
        <x:f>IF(S1557="","no_contradiction_delta","contradiction_delta_present")</x:f>
        <x:v>no_contradiction_delta</x:v>
      </x:c>
      <x:c r="AC1557" s="12" t="str">
        <x:f>IF(OR(ISNUMBER(SEARCH("hacker",LOWER(F1557&amp;" "&amp;H1557&amp;" "&amp;I1557&amp;" "&amp;M1557&amp;" "&amp;N1557&amp;" "&amp;T1557))),ISNUMBER(SEARCH("hacking",LOWER(F1557&amp;" "&amp;H1557&amp;" "&amp;I1557&amp;" "&amp;M1557&amp;" "&amp;N1557&amp;" "&amp;T1557))),ISNUMBER(SEARCH("bank",LOWER(F1557&amp;" "&amp;H1557&amp;" "&amp;I1557&amp;" "&amp;M1557&amp;" "&amp;N1557&amp;" "&amp;T1557))),ISNUMBER(SEARCH("banking",LOWER(F1557&amp;" "&amp;H1557&amp;" "&amp;I1557&amp;" "&amp;M1557&amp;" "&amp;N1557&amp;" "&amp;T1557)))),"PRIVATE_QUARANTINE",IF(OR(ISNUMBER(SEARCH("treasury",LOWER(F1557&amp;" "&amp;H1557&amp;" "&amp;I1557&amp;" "&amp;M1557&amp;" "&amp;N1557&amp;" "&amp;T1557))),ISNUMBER(SEARCH("debt",LOWER(F1557&amp;" "&amp;H1557&amp;" "&amp;I1557&amp;" "&amp;M1557&amp;" "&amp;N1557&amp;" "&amp;T1557))),ISNUMBER(SEARCH("bond",LOWER(F1557&amp;" "&amp;H1557&amp;" "&amp;I1557&amp;" "&amp;M1557&amp;" "&amp;N1557&amp;" "&amp;T1557))),ISNUMBER(SEARCH("transaction",LOWER(F1557&amp;" "&amp;H1557&amp;" "&amp;I1557&amp;" "&amp;M1557&amp;" "&amp;N1557&amp;" "&amp;T1557)))),"PRIVATE_REVIEW","PUBLIC_CANDIDATE"))</x:f>
        <x:v>PUBLIC_CANDIDATE</x:v>
      </x:c>
      <x:c r="AD1557" s="12" t="str">
        <x:f>IF(AC1557="PRIVATE_QUARANTINE","hacker_or_bank_trigger",IF(AC1557="PRIVATE_REVIEW","finance_risk_trigger","none"))</x:f>
        <x:v>none</x:v>
      </x:c>
      <x:c r="AE1557" s="12" t="str">
        <x:f>IF(AC1557="PUBLIC_CANDIDATE","prepare_public_github_candidate",IF(AC1557="PRIVATE_REVIEW","hold_for_private_review","quarantine_private_do_not_publish"))</x:f>
        <x:v>prepare_public_github_candidate</x:v>
      </x:c>
      <x:c r="AF1557" s="12" t="str">
        <x:f>IF(AC1557="PUBLIC_CANDIDATE","TIDELOCK + Lucerna",IF(AC1557="PRIVATE_REVIEW","AtlasBrain + Lucerna","TIDELOCK + Lucerna + Human-root"))</x:f>
        <x:v>TIDELOCK + Lucerna</x:v>
      </x:c>
      <x:c r="AG1557" s="12" t="str">
        <x:f>IF(AND(AC1557="PUBLIC_CANDIDATE",U1557&lt;&gt;"BLOCKED_PENDING_RECEIPT"),"READY_AFTER_RECEIPT","NOT_READY")</x:f>
        <x:v>NOT_READY</x:v>
      </x:c>
      <x:c r="AH1557" s="12" t="str">
        <x:f>IF(AC1557="PUBLIC_CANDIDATE","none",AD1557)</x:f>
        <x:v>none</x:v>
      </x:c>
      <x:c r="AI1557" s="12" t="str">
        <x:f>IF(AC1557="PUBLIC_CANDIDATE","archive/public_candidates/"&amp;A1557,"private_quarantine/"&amp;A1557)</x:f>
        <x:v>archive/public_candidates/SWARM-11-H10-S08</x:v>
      </x:c>
      <x:c r="AJ1557" s="12" t="str">
        <x:f>IF(AC1557="PUBLIC_CANDIDATE","public by default; still not canon","private/hold; do not publish")</x:f>
        <x:v>public by default; still not canon</x:v>
      </x:c>
      <x:c r="AK1557" s="12" t="str">
        <x:f>IF(AE1557="prepare_public_github_candidate","add receipt/status then mirror","resolve blocker before any public GitHub action")</x:f>
        <x:v>add receipt/status then mirror</x:v>
      </x:c>
    </x:row>
    <x:row r="1558">
      <x:c r="A1558" s="15" t="str">
        <x:v>SWARM-11-H10-S09</x:v>
      </x:c>
      <x:c r="B1558" s="15" t="str">
        <x:v>ClaudeCatcher</x:v>
      </x:c>
      <x:c r="C1558" s="15" t="str">
        <x:v>Bullshit Olympics referee</x:v>
      </x:c>
      <x:c r="D1558" s="15" t="str">
        <x:v>GitHub Source Packets</x:v>
      </x:c>
      <x:c r="E1558" s="15" t="str">
        <x:v>Aetherforge</x:v>
      </x:c>
      <x:c r="F1558" s="15" t="str">
        <x:v>Build source packet for Aetherforge — ClaudeCatcher</x:v>
      </x:c>
      <x:c r="G1558" s="15" t="str">
        <x:v>adversarial claims / model overclaim detection</x:v>
      </x:c>
      <x:c r="H1558" s="15" t="str">
        <x:v>source path + receipt + raw/export status + claim/edge/risk delta</x:v>
      </x:c>
      <x:c r="I1558" s="15" t="str">
        <x:v>packet/SWARM-11-H10-S09</x:v>
      </x:c>
      <x:c r="J1558" s="15" t="str">
        <x:v>TODO</x:v>
      </x:c>
      <x:c r="K1558" s="15" t="str">
        <x:v>P2</x:v>
      </x:c>
      <x:c r="L1558" s="15" t="str">
        <x:v>Done only when evidence is logged, contradiction search is noted, and boundary stamp remains non-canon unless ratified</x:v>
      </x:c>
      <x:c r="M1558" s="15" t="str">
        <x:v>candidate / staging-only / not canon / not deployed / authority none</x:v>
      </x:c>
      <x:c r="N1558" s="15" t="str">
        <x:v>Dispatch to ClaudeCatcher: complete GitHub Source Packets x Aetherforge; return deltas only, receipts required.</x:v>
      </x:c>
      <x:c r="O1558" s="15" t="str">
        <x:v>AF-KG-H10-S09</x:v>
      </x:c>
      <x:c r="P1558" s="15" t="str">
        <x:v>Unverified</x:v>
      </x:c>
      <x:c r="Q1558" s="15" t="str">
        <x:v>Not checked</x:v>
      </x:c>
      <x:c r="R1558" s="15" t="str"/>
      <x:c r="S1558" s="15" t="str"/>
      <x:c r="T1558" s="15" t="str">
        <x:v>Log first source path or blocker</x:v>
      </x:c>
      <x:c r="U1558" s="12" t="str">
        <x:f>IF(OR(P1558="Unverified",Q1558="Not checked"),"BLOCKED_PENDING_RECEIPT","READY_FOR_REVIEW")</x:f>
        <x:v>BLOCKED_PENDING_RECEIPT</x:v>
      </x:c>
      <x:c r="V1558" s="12" t="str">
        <x:f>IF(J1558="DONE","RETURNED",IF(U1558="BLOCKED_PENDING_RECEIPT","SOURCE_TOUCH_REQUIRED","IN_PROGRESS"))</x:f>
        <x:v>SOURCE_TOUCH_REQUIRED</x:v>
      </x:c>
      <x:c r="W1558" s="12" t="str">
        <x:f>IF(P1558="Unverified","missing_receipt","receipt_logged")</x:f>
        <x:v>missing_receipt</x:v>
      </x:c>
      <x:c r="X1558" s="12" t="str">
        <x:f>IF(Q1558="Not checked","raw_status_missing","raw_status_logged")</x:f>
        <x:v>raw_status_missing</x:v>
      </x:c>
      <x:c r="Y1558" s="12" t="str">
        <x:f>IF(U1558="BLOCKED_PENDING_RECEIPT","Log source path or blocker; do not promote","Route to review lane")</x:f>
        <x:v>Log source path or blocker; do not promote</x:v>
      </x:c>
      <x:c r="Z1558" s="12" t="str">
        <x:f>IF(K1558="P0","Primary seat + Hashlight/Lucerna","Seat lane")</x:f>
        <x:v>Seat lane</x:v>
      </x:c>
      <x:c r="AA1558" s="12" t="str">
        <x:f>IF(R1558="","no_claim_delta","claim_delta_present")</x:f>
        <x:v>no_claim_delta</x:v>
      </x:c>
      <x:c r="AB1558" s="12" t="str">
        <x:f>IF(S1558="","no_contradiction_delta","contradiction_delta_present")</x:f>
        <x:v>no_contradiction_delta</x:v>
      </x:c>
      <x:c r="AC1558" s="12" t="str">
        <x:f>IF(OR(ISNUMBER(SEARCH("hacker",LOWER(F1558&amp;" "&amp;H1558&amp;" "&amp;I1558&amp;" "&amp;M1558&amp;" "&amp;N1558&amp;" "&amp;T1558))),ISNUMBER(SEARCH("hacking",LOWER(F1558&amp;" "&amp;H1558&amp;" "&amp;I1558&amp;" "&amp;M1558&amp;" "&amp;N1558&amp;" "&amp;T1558))),ISNUMBER(SEARCH("bank",LOWER(F1558&amp;" "&amp;H1558&amp;" "&amp;I1558&amp;" "&amp;M1558&amp;" "&amp;N1558&amp;" "&amp;T1558))),ISNUMBER(SEARCH("banking",LOWER(F1558&amp;" "&amp;H1558&amp;" "&amp;I1558&amp;" "&amp;M1558&amp;" "&amp;N1558&amp;" "&amp;T1558)))),"PRIVATE_QUARANTINE",IF(OR(ISNUMBER(SEARCH("treasury",LOWER(F1558&amp;" "&amp;H1558&amp;" "&amp;I1558&amp;" "&amp;M1558&amp;" "&amp;N1558&amp;" "&amp;T1558))),ISNUMBER(SEARCH("debt",LOWER(F1558&amp;" "&amp;H1558&amp;" "&amp;I1558&amp;" "&amp;M1558&amp;" "&amp;N1558&amp;" "&amp;T1558))),ISNUMBER(SEARCH("bond",LOWER(F1558&amp;" "&amp;H1558&amp;" "&amp;I1558&amp;" "&amp;M1558&amp;" "&amp;N1558&amp;" "&amp;T1558))),ISNUMBER(SEARCH("transaction",LOWER(F1558&amp;" "&amp;H1558&amp;" "&amp;I1558&amp;" "&amp;M1558&amp;" "&amp;N1558&amp;" "&amp;T1558)))),"PRIVATE_REVIEW","PUBLIC_CANDIDATE"))</x:f>
        <x:v>PUBLIC_CANDIDATE</x:v>
      </x:c>
      <x:c r="AD1558" s="12" t="str">
        <x:f>IF(AC1558="PRIVATE_QUARANTINE","hacker_or_bank_trigger",IF(AC1558="PRIVATE_REVIEW","finance_risk_trigger","none"))</x:f>
        <x:v>none</x:v>
      </x:c>
      <x:c r="AE1558" s="12" t="str">
        <x:f>IF(AC1558="PUBLIC_CANDIDATE","prepare_public_github_candidate",IF(AC1558="PRIVATE_REVIEW","hold_for_private_review","quarantine_private_do_not_publish"))</x:f>
        <x:v>prepare_public_github_candidate</x:v>
      </x:c>
      <x:c r="AF1558" s="12" t="str">
        <x:f>IF(AC1558="PUBLIC_CANDIDATE","TIDELOCK + Lucerna",IF(AC1558="PRIVATE_REVIEW","AtlasBrain + Lucerna","TIDELOCK + Lucerna + Human-root"))</x:f>
        <x:v>TIDELOCK + Lucerna</x:v>
      </x:c>
      <x:c r="AG1558" s="12" t="str">
        <x:f>IF(AND(AC1558="PUBLIC_CANDIDATE",U1558&lt;&gt;"BLOCKED_PENDING_RECEIPT"),"READY_AFTER_RECEIPT","NOT_READY")</x:f>
        <x:v>NOT_READY</x:v>
      </x:c>
      <x:c r="AH1558" s="12" t="str">
        <x:f>IF(AC1558="PUBLIC_CANDIDATE","none",AD1558)</x:f>
        <x:v>none</x:v>
      </x:c>
      <x:c r="AI1558" s="12" t="str">
        <x:f>IF(AC1558="PUBLIC_CANDIDATE","archive/public_candidates/"&amp;A1558,"private_quarantine/"&amp;A1558)</x:f>
        <x:v>archive/public_candidates/SWARM-11-H10-S09</x:v>
      </x:c>
      <x:c r="AJ1558" s="12" t="str">
        <x:f>IF(AC1558="PUBLIC_CANDIDATE","public by default; still not canon","private/hold; do not publish")</x:f>
        <x:v>public by default; still not canon</x:v>
      </x:c>
      <x:c r="AK1558" s="12" t="str">
        <x:f>IF(AE1558="prepare_public_github_candidate","add receipt/status then mirror","resolve blocker before any public GitHub action")</x:f>
        <x:v>add receipt/status then mirror</x:v>
      </x:c>
    </x:row>
    <x:row r="1559">
      <x:c r="A1559" s="15" t="str">
        <x:v>SWARM-11-H10-S10</x:v>
      </x:c>
      <x:c r="B1559" s="15" t="str">
        <x:v>ClaudeCatcher</x:v>
      </x:c>
      <x:c r="C1559" s="15" t="str">
        <x:v>Bullshit Olympics referee</x:v>
      </x:c>
      <x:c r="D1559" s="15" t="str">
        <x:v>GitHub Source Packets</x:v>
      </x:c>
      <x:c r="E1559" s="15" t="str">
        <x:v>Human-Root</x:v>
      </x:c>
      <x:c r="F1559" s="15" t="str">
        <x:v>Build source packet for Human-Root — ClaudeCatcher</x:v>
      </x:c>
      <x:c r="G1559" s="15" t="str">
        <x:v>adversarial claims / model overclaim detection</x:v>
      </x:c>
      <x:c r="H1559" s="15" t="str">
        <x:v>source path + receipt + raw/export status + claim/edge/risk delta</x:v>
      </x:c>
      <x:c r="I1559" s="15" t="str">
        <x:v>packet/SWARM-11-H10-S10</x:v>
      </x:c>
      <x:c r="J1559" s="15" t="str">
        <x:v>TODO</x:v>
      </x:c>
      <x:c r="K1559" s="15" t="str">
        <x:v>P2</x:v>
      </x:c>
      <x:c r="L1559" s="15" t="str">
        <x:v>Done only when evidence is logged, contradiction search is noted, and boundary stamp remains non-canon unless ratified</x:v>
      </x:c>
      <x:c r="M1559" s="15" t="str">
        <x:v>candidate / staging-only / not canon / not deployed / authority none</x:v>
      </x:c>
      <x:c r="N1559" s="15" t="str">
        <x:v>Dispatch to ClaudeCatcher: complete GitHub Source Packets x Human-Root; return deltas only, receipts required.</x:v>
      </x:c>
      <x:c r="O1559" s="15" t="str">
        <x:v>AF-KG-H10-S10</x:v>
      </x:c>
      <x:c r="P1559" s="15" t="str">
        <x:v>Unverified</x:v>
      </x:c>
      <x:c r="Q1559" s="15" t="str">
        <x:v>Not checked</x:v>
      </x:c>
      <x:c r="R1559" s="15" t="str"/>
      <x:c r="S1559" s="15" t="str"/>
      <x:c r="T1559" s="15" t="str">
        <x:v>Log first source path or blocker</x:v>
      </x:c>
      <x:c r="U1559" s="12" t="str">
        <x:f>IF(OR(P1559="Unverified",Q1559="Not checked"),"BLOCKED_PENDING_RECEIPT","READY_FOR_REVIEW")</x:f>
        <x:v>BLOCKED_PENDING_RECEIPT</x:v>
      </x:c>
      <x:c r="V1559" s="12" t="str">
        <x:f>IF(J1559="DONE","RETURNED",IF(U1559="BLOCKED_PENDING_RECEIPT","SOURCE_TOUCH_REQUIRED","IN_PROGRESS"))</x:f>
        <x:v>SOURCE_TOUCH_REQUIRED</x:v>
      </x:c>
      <x:c r="W1559" s="12" t="str">
        <x:f>IF(P1559="Unverified","missing_receipt","receipt_logged")</x:f>
        <x:v>missing_receipt</x:v>
      </x:c>
      <x:c r="X1559" s="12" t="str">
        <x:f>IF(Q1559="Not checked","raw_status_missing","raw_status_logged")</x:f>
        <x:v>raw_status_missing</x:v>
      </x:c>
      <x:c r="Y1559" s="12" t="str">
        <x:f>IF(U1559="BLOCKED_PENDING_RECEIPT","Log source path or blocker; do not promote","Route to review lane")</x:f>
        <x:v>Log source path or blocker; do not promote</x:v>
      </x:c>
      <x:c r="Z1559" s="12" t="str">
        <x:f>IF(K1559="P0","Primary seat + Hashlight/Lucerna","Seat lane")</x:f>
        <x:v>Seat lane</x:v>
      </x:c>
      <x:c r="AA1559" s="12" t="str">
        <x:f>IF(R1559="","no_claim_delta","claim_delta_present")</x:f>
        <x:v>no_claim_delta</x:v>
      </x:c>
      <x:c r="AB1559" s="12" t="str">
        <x:f>IF(S1559="","no_contradiction_delta","contradiction_delta_present")</x:f>
        <x:v>no_contradiction_delta</x:v>
      </x:c>
      <x:c r="AC1559" s="12" t="str">
        <x:f>IF(OR(ISNUMBER(SEARCH("hacker",LOWER(F1559&amp;" "&amp;H1559&amp;" "&amp;I1559&amp;" "&amp;M1559&amp;" "&amp;N1559&amp;" "&amp;T1559))),ISNUMBER(SEARCH("hacking",LOWER(F1559&amp;" "&amp;H1559&amp;" "&amp;I1559&amp;" "&amp;M1559&amp;" "&amp;N1559&amp;" "&amp;T1559))),ISNUMBER(SEARCH("bank",LOWER(F1559&amp;" "&amp;H1559&amp;" "&amp;I1559&amp;" "&amp;M1559&amp;" "&amp;N1559&amp;" "&amp;T1559))),ISNUMBER(SEARCH("banking",LOWER(F1559&amp;" "&amp;H1559&amp;" "&amp;I1559&amp;" "&amp;M1559&amp;" "&amp;N1559&amp;" "&amp;T1559)))),"PRIVATE_QUARANTINE",IF(OR(ISNUMBER(SEARCH("treasury",LOWER(F1559&amp;" "&amp;H1559&amp;" "&amp;I1559&amp;" "&amp;M1559&amp;" "&amp;N1559&amp;" "&amp;T1559))),ISNUMBER(SEARCH("debt",LOWER(F1559&amp;" "&amp;H1559&amp;" "&amp;I1559&amp;" "&amp;M1559&amp;" "&amp;N1559&amp;" "&amp;T1559))),ISNUMBER(SEARCH("bond",LOWER(F1559&amp;" "&amp;H1559&amp;" "&amp;I1559&amp;" "&amp;M1559&amp;" "&amp;N1559&amp;" "&amp;T1559))),ISNUMBER(SEARCH("transaction",LOWER(F1559&amp;" "&amp;H1559&amp;" "&amp;I1559&amp;" "&amp;M1559&amp;" "&amp;N1559&amp;" "&amp;T1559)))),"PRIVATE_REVIEW","PUBLIC_CANDIDATE"))</x:f>
        <x:v>PUBLIC_CANDIDATE</x:v>
      </x:c>
      <x:c r="AD1559" s="12" t="str">
        <x:f>IF(AC1559="PRIVATE_QUARANTINE","hacker_or_bank_trigger",IF(AC1559="PRIVATE_REVIEW","finance_risk_trigger","none"))</x:f>
        <x:v>none</x:v>
      </x:c>
      <x:c r="AE1559" s="12" t="str">
        <x:f>IF(AC1559="PUBLIC_CANDIDATE","prepare_public_github_candidate",IF(AC1559="PRIVATE_REVIEW","hold_for_private_review","quarantine_private_do_not_publish"))</x:f>
        <x:v>prepare_public_github_candidate</x:v>
      </x:c>
      <x:c r="AF1559" s="12" t="str">
        <x:f>IF(AC1559="PUBLIC_CANDIDATE","TIDELOCK + Lucerna",IF(AC1559="PRIVATE_REVIEW","AtlasBrain + Lucerna","TIDELOCK + Lucerna + Human-root"))</x:f>
        <x:v>TIDELOCK + Lucerna</x:v>
      </x:c>
      <x:c r="AG1559" s="12" t="str">
        <x:f>IF(AND(AC1559="PUBLIC_CANDIDATE",U1559&lt;&gt;"BLOCKED_PENDING_RECEIPT"),"READY_AFTER_RECEIPT","NOT_READY")</x:f>
        <x:v>NOT_READY</x:v>
      </x:c>
      <x:c r="AH1559" s="12" t="str">
        <x:f>IF(AC1559="PUBLIC_CANDIDATE","none",AD1559)</x:f>
        <x:v>none</x:v>
      </x:c>
      <x:c r="AI1559" s="12" t="str">
        <x:f>IF(AC1559="PUBLIC_CANDIDATE","archive/public_candidates/"&amp;A1559,"private_quarantine/"&amp;A1559)</x:f>
        <x:v>archive/public_candidates/SWARM-11-H10-S10</x:v>
      </x:c>
      <x:c r="AJ1559" s="12" t="str">
        <x:f>IF(AC1559="PUBLIC_CANDIDATE","public by default; still not canon","private/hold; do not publish")</x:f>
        <x:v>public by default; still not canon</x:v>
      </x:c>
      <x:c r="AK1559" s="12" t="str">
        <x:f>IF(AE1559="prepare_public_github_candidate","add receipt/status then mirror","resolve blocker before any public GitHub action")</x:f>
        <x:v>add receipt/status then mirror</x:v>
      </x:c>
    </x:row>
    <x:row r="1560">
      <x:c r="A1560" s="15" t="str">
        <x:v>SWARM-11-H10-S11</x:v>
      </x:c>
      <x:c r="B1560" s="15" t="str">
        <x:v>ClaudeCatcher</x:v>
      </x:c>
      <x:c r="C1560" s="15" t="str">
        <x:v>Bullshit Olympics referee</x:v>
      </x:c>
      <x:c r="D1560" s="15" t="str">
        <x:v>GitHub Source Packets</x:v>
      </x:c>
      <x:c r="E1560" s="15" t="str">
        <x:v>Automation</x:v>
      </x:c>
      <x:c r="F1560" s="15" t="str">
        <x:v>Build source packet for Automation — ClaudeCatcher</x:v>
      </x:c>
      <x:c r="G1560" s="15" t="str">
        <x:v>adversarial claims / model overclaim detection</x:v>
      </x:c>
      <x:c r="H1560" s="15" t="str">
        <x:v>source path + receipt + raw/export status + claim/edge/risk delta</x:v>
      </x:c>
      <x:c r="I1560" s="15" t="str">
        <x:v>packet/SWARM-11-H10-S11</x:v>
      </x:c>
      <x:c r="J1560" s="15" t="str">
        <x:v>TODO</x:v>
      </x:c>
      <x:c r="K1560" s="15" t="str">
        <x:v>P2</x:v>
      </x:c>
      <x:c r="L1560" s="15" t="str">
        <x:v>Done only when evidence is logged, contradiction search is noted, and boundary stamp remains non-canon unless ratified</x:v>
      </x:c>
      <x:c r="M1560" s="15" t="str">
        <x:v>candidate / staging-only / not canon / not deployed / authority none</x:v>
      </x:c>
      <x:c r="N1560" s="15" t="str">
        <x:v>Dispatch to ClaudeCatcher: complete GitHub Source Packets x Automation; return deltas only, receipts required.</x:v>
      </x:c>
      <x:c r="O1560" s="15" t="str">
        <x:v>AF-KG-H10-S11</x:v>
      </x:c>
      <x:c r="P1560" s="15" t="str">
        <x:v>Unverified</x:v>
      </x:c>
      <x:c r="Q1560" s="15" t="str">
        <x:v>Not checked</x:v>
      </x:c>
      <x:c r="R1560" s="15" t="str"/>
      <x:c r="S1560" s="15" t="str"/>
      <x:c r="T1560" s="15" t="str">
        <x:v>Log first source path or blocker</x:v>
      </x:c>
      <x:c r="U1560" s="12" t="str">
        <x:f>IF(OR(P1560="Unverified",Q1560="Not checked"),"BLOCKED_PENDING_RECEIPT","READY_FOR_REVIEW")</x:f>
        <x:v>BLOCKED_PENDING_RECEIPT</x:v>
      </x:c>
      <x:c r="V1560" s="12" t="str">
        <x:f>IF(J1560="DONE","RETURNED",IF(U1560="BLOCKED_PENDING_RECEIPT","SOURCE_TOUCH_REQUIRED","IN_PROGRESS"))</x:f>
        <x:v>SOURCE_TOUCH_REQUIRED</x:v>
      </x:c>
      <x:c r="W1560" s="12" t="str">
        <x:f>IF(P1560="Unverified","missing_receipt","receipt_logged")</x:f>
        <x:v>missing_receipt</x:v>
      </x:c>
      <x:c r="X1560" s="12" t="str">
        <x:f>IF(Q1560="Not checked","raw_status_missing","raw_status_logged")</x:f>
        <x:v>raw_status_missing</x:v>
      </x:c>
      <x:c r="Y1560" s="12" t="str">
        <x:f>IF(U1560="BLOCKED_PENDING_RECEIPT","Log source path or blocker; do not promote","Route to review lane")</x:f>
        <x:v>Log source path or blocker; do not promote</x:v>
      </x:c>
      <x:c r="Z1560" s="12" t="str">
        <x:f>IF(K1560="P0","Primary seat + Hashlight/Lucerna","Seat lane")</x:f>
        <x:v>Seat lane</x:v>
      </x:c>
      <x:c r="AA1560" s="12" t="str">
        <x:f>IF(R1560="","no_claim_delta","claim_delta_present")</x:f>
        <x:v>no_claim_delta</x:v>
      </x:c>
      <x:c r="AB1560" s="12" t="str">
        <x:f>IF(S1560="","no_contradiction_delta","contradiction_delta_present")</x:f>
        <x:v>no_contradiction_delta</x:v>
      </x:c>
      <x:c r="AC1560" s="12" t="str">
        <x:f>IF(OR(ISNUMBER(SEARCH("hacker",LOWER(F1560&amp;" "&amp;H1560&amp;" "&amp;I1560&amp;" "&amp;M1560&amp;" "&amp;N1560&amp;" "&amp;T1560))),ISNUMBER(SEARCH("hacking",LOWER(F1560&amp;" "&amp;H1560&amp;" "&amp;I1560&amp;" "&amp;M1560&amp;" "&amp;N1560&amp;" "&amp;T1560))),ISNUMBER(SEARCH("bank",LOWER(F1560&amp;" "&amp;H1560&amp;" "&amp;I1560&amp;" "&amp;M1560&amp;" "&amp;N1560&amp;" "&amp;T1560))),ISNUMBER(SEARCH("banking",LOWER(F1560&amp;" "&amp;H1560&amp;" "&amp;I1560&amp;" "&amp;M1560&amp;" "&amp;N1560&amp;" "&amp;T1560)))),"PRIVATE_QUARANTINE",IF(OR(ISNUMBER(SEARCH("treasury",LOWER(F1560&amp;" "&amp;H1560&amp;" "&amp;I1560&amp;" "&amp;M1560&amp;" "&amp;N1560&amp;" "&amp;T1560))),ISNUMBER(SEARCH("debt",LOWER(F1560&amp;" "&amp;H1560&amp;" "&amp;I1560&amp;" "&amp;M1560&amp;" "&amp;N1560&amp;" "&amp;T1560))),ISNUMBER(SEARCH("bond",LOWER(F1560&amp;" "&amp;H1560&amp;" "&amp;I1560&amp;" "&amp;M1560&amp;" "&amp;N1560&amp;" "&amp;T1560))),ISNUMBER(SEARCH("transaction",LOWER(F1560&amp;" "&amp;H1560&amp;" "&amp;I1560&amp;" "&amp;M1560&amp;" "&amp;N1560&amp;" "&amp;T1560)))),"PRIVATE_REVIEW","PUBLIC_CANDIDATE"))</x:f>
        <x:v>PUBLIC_CANDIDATE</x:v>
      </x:c>
      <x:c r="AD1560" s="12" t="str">
        <x:f>IF(AC1560="PRIVATE_QUARANTINE","hacker_or_bank_trigger",IF(AC1560="PRIVATE_REVIEW","finance_risk_trigger","none"))</x:f>
        <x:v>none</x:v>
      </x:c>
      <x:c r="AE1560" s="12" t="str">
        <x:f>IF(AC1560="PUBLIC_CANDIDATE","prepare_public_github_candidate",IF(AC1560="PRIVATE_REVIEW","hold_for_private_review","quarantine_private_do_not_publish"))</x:f>
        <x:v>prepare_public_github_candidate</x:v>
      </x:c>
      <x:c r="AF1560" s="12" t="str">
        <x:f>IF(AC1560="PUBLIC_CANDIDATE","TIDELOCK + Lucerna",IF(AC1560="PRIVATE_REVIEW","AtlasBrain + Lucerna","TIDELOCK + Lucerna + Human-root"))</x:f>
        <x:v>TIDELOCK + Lucerna</x:v>
      </x:c>
      <x:c r="AG1560" s="12" t="str">
        <x:f>IF(AND(AC1560="PUBLIC_CANDIDATE",U1560&lt;&gt;"BLOCKED_PENDING_RECEIPT"),"READY_AFTER_RECEIPT","NOT_READY")</x:f>
        <x:v>NOT_READY</x:v>
      </x:c>
      <x:c r="AH1560" s="12" t="str">
        <x:f>IF(AC1560="PUBLIC_CANDIDATE","none",AD1560)</x:f>
        <x:v>none</x:v>
      </x:c>
      <x:c r="AI1560" s="12" t="str">
        <x:f>IF(AC1560="PUBLIC_CANDIDATE","archive/public_candidates/"&amp;A1560,"private_quarantine/"&amp;A1560)</x:f>
        <x:v>archive/public_candidates/SWARM-11-H10-S11</x:v>
      </x:c>
      <x:c r="AJ1560" s="12" t="str">
        <x:f>IF(AC1560="PUBLIC_CANDIDATE","public by default; still not canon","private/hold; do not publish")</x:f>
        <x:v>public by default; still not canon</x:v>
      </x:c>
      <x:c r="AK1560" s="12" t="str">
        <x:f>IF(AE1560="prepare_public_github_candidate","add receipt/status then mirror","resolve blocker before any public GitHub action")</x:f>
        <x:v>add receipt/status then mirror</x:v>
      </x:c>
    </x:row>
    <x:row r="1561">
      <x:c r="A1561" s="15" t="str">
        <x:v>SWARM-11-H10-S12</x:v>
      </x:c>
      <x:c r="B1561" s="15" t="str">
        <x:v>ClaudeCatcher</x:v>
      </x:c>
      <x:c r="C1561" s="15" t="str">
        <x:v>Bullshit Olympics referee</x:v>
      </x:c>
      <x:c r="D1561" s="15" t="str">
        <x:v>GitHub Source Packets</x:v>
      </x:c>
      <x:c r="E1561" s="15" t="str">
        <x:v>Risk / Safety</x:v>
      </x:c>
      <x:c r="F1561" s="15" t="str">
        <x:v>Build source packet for Risk / Safety — ClaudeCatcher</x:v>
      </x:c>
      <x:c r="G1561" s="15" t="str">
        <x:v>adversarial claims / model overclaim detection</x:v>
      </x:c>
      <x:c r="H1561" s="15" t="str">
        <x:v>source path + receipt + raw/export status + claim/edge/risk delta</x:v>
      </x:c>
      <x:c r="I1561" s="15" t="str">
        <x:v>packet/SWARM-11-H10-S12</x:v>
      </x:c>
      <x:c r="J1561" s="15" t="str">
        <x:v>TODO</x:v>
      </x:c>
      <x:c r="K1561" s="15" t="str">
        <x:v>P2</x:v>
      </x:c>
      <x:c r="L1561" s="15" t="str">
        <x:v>Done only when evidence is logged, contradiction search is noted, and boundary stamp remains non-canon unless ratified</x:v>
      </x:c>
      <x:c r="M1561" s="15" t="str">
        <x:v>candidate / staging-only / not canon / not deployed / authority none</x:v>
      </x:c>
      <x:c r="N1561" s="15" t="str">
        <x:v>Dispatch to ClaudeCatcher: complete GitHub Source Packets x Risk / Safety; return deltas only, receipts required.</x:v>
      </x:c>
      <x:c r="O1561" s="15" t="str">
        <x:v>AF-KG-H10-S12</x:v>
      </x:c>
      <x:c r="P1561" s="15" t="str">
        <x:v>Unverified</x:v>
      </x:c>
      <x:c r="Q1561" s="15" t="str">
        <x:v>Not checked</x:v>
      </x:c>
      <x:c r="R1561" s="15" t="str"/>
      <x:c r="S1561" s="15" t="str"/>
      <x:c r="T1561" s="15" t="str">
        <x:v>Log first source path or blocker</x:v>
      </x:c>
      <x:c r="U1561" s="12" t="str">
        <x:f>IF(OR(P1561="Unverified",Q1561="Not checked"),"BLOCKED_PENDING_RECEIPT","READY_FOR_REVIEW")</x:f>
        <x:v>BLOCKED_PENDING_RECEIPT</x:v>
      </x:c>
      <x:c r="V1561" s="12" t="str">
        <x:f>IF(J1561="DONE","RETURNED",IF(U1561="BLOCKED_PENDING_RECEIPT","SOURCE_TOUCH_REQUIRED","IN_PROGRESS"))</x:f>
        <x:v>SOURCE_TOUCH_REQUIRED</x:v>
      </x:c>
      <x:c r="W1561" s="12" t="str">
        <x:f>IF(P1561="Unverified","missing_receipt","receipt_logged")</x:f>
        <x:v>missing_receipt</x:v>
      </x:c>
      <x:c r="X1561" s="12" t="str">
        <x:f>IF(Q1561="Not checked","raw_status_missing","raw_status_logged")</x:f>
        <x:v>raw_status_missing</x:v>
      </x:c>
      <x:c r="Y1561" s="12" t="str">
        <x:f>IF(U1561="BLOCKED_PENDING_RECEIPT","Log source path or blocker; do not promote","Route to review lane")</x:f>
        <x:v>Log source path or blocker; do not promote</x:v>
      </x:c>
      <x:c r="Z1561" s="12" t="str">
        <x:f>IF(K1561="P0","Primary seat + Hashlight/Lucerna","Seat lane")</x:f>
        <x:v>Seat lane</x:v>
      </x:c>
      <x:c r="AA1561" s="12" t="str">
        <x:f>IF(R1561="","no_claim_delta","claim_delta_present")</x:f>
        <x:v>no_claim_delta</x:v>
      </x:c>
      <x:c r="AB1561" s="12" t="str">
        <x:f>IF(S1561="","no_contradiction_delta","contradiction_delta_present")</x:f>
        <x:v>no_contradiction_delta</x:v>
      </x:c>
      <x:c r="AC1561" s="12" t="str">
        <x:f>IF(OR(ISNUMBER(SEARCH("hacker",LOWER(F1561&amp;" "&amp;H1561&amp;" "&amp;I1561&amp;" "&amp;M1561&amp;" "&amp;N1561&amp;" "&amp;T1561))),ISNUMBER(SEARCH("hacking",LOWER(F1561&amp;" "&amp;H1561&amp;" "&amp;I1561&amp;" "&amp;M1561&amp;" "&amp;N1561&amp;" "&amp;T1561))),ISNUMBER(SEARCH("bank",LOWER(F1561&amp;" "&amp;H1561&amp;" "&amp;I1561&amp;" "&amp;M1561&amp;" "&amp;N1561&amp;" "&amp;T1561))),ISNUMBER(SEARCH("banking",LOWER(F1561&amp;" "&amp;H1561&amp;" "&amp;I1561&amp;" "&amp;M1561&amp;" "&amp;N1561&amp;" "&amp;T1561)))),"PRIVATE_QUARANTINE",IF(OR(ISNUMBER(SEARCH("treasury",LOWER(F1561&amp;" "&amp;H1561&amp;" "&amp;I1561&amp;" "&amp;M1561&amp;" "&amp;N1561&amp;" "&amp;T1561))),ISNUMBER(SEARCH("debt",LOWER(F1561&amp;" "&amp;H1561&amp;" "&amp;I1561&amp;" "&amp;M1561&amp;" "&amp;N1561&amp;" "&amp;T1561))),ISNUMBER(SEARCH("bond",LOWER(F1561&amp;" "&amp;H1561&amp;" "&amp;I1561&amp;" "&amp;M1561&amp;" "&amp;N1561&amp;" "&amp;T1561))),ISNUMBER(SEARCH("transaction",LOWER(F1561&amp;" "&amp;H1561&amp;" "&amp;I1561&amp;" "&amp;M1561&amp;" "&amp;N1561&amp;" "&amp;T1561)))),"PRIVATE_REVIEW","PUBLIC_CANDIDATE"))</x:f>
        <x:v>PUBLIC_CANDIDATE</x:v>
      </x:c>
      <x:c r="AD1561" s="12" t="str">
        <x:f>IF(AC1561="PRIVATE_QUARANTINE","hacker_or_bank_trigger",IF(AC1561="PRIVATE_REVIEW","finance_risk_trigger","none"))</x:f>
        <x:v>none</x:v>
      </x:c>
      <x:c r="AE1561" s="12" t="str">
        <x:f>IF(AC1561="PUBLIC_CANDIDATE","prepare_public_github_candidate",IF(AC1561="PRIVATE_REVIEW","hold_for_private_review","quarantine_private_do_not_publish"))</x:f>
        <x:v>prepare_public_github_candidate</x:v>
      </x:c>
      <x:c r="AF1561" s="12" t="str">
        <x:f>IF(AC1561="PUBLIC_CANDIDATE","TIDELOCK + Lucerna",IF(AC1561="PRIVATE_REVIEW","AtlasBrain + Lucerna","TIDELOCK + Lucerna + Human-root"))</x:f>
        <x:v>TIDELOCK + Lucerna</x:v>
      </x:c>
      <x:c r="AG1561" s="12" t="str">
        <x:f>IF(AND(AC1561="PUBLIC_CANDIDATE",U1561&lt;&gt;"BLOCKED_PENDING_RECEIPT"),"READY_AFTER_RECEIPT","NOT_READY")</x:f>
        <x:v>NOT_READY</x:v>
      </x:c>
      <x:c r="AH1561" s="12" t="str">
        <x:f>IF(AC1561="PUBLIC_CANDIDATE","none",AD1561)</x:f>
        <x:v>none</x:v>
      </x:c>
      <x:c r="AI1561" s="12" t="str">
        <x:f>IF(AC1561="PUBLIC_CANDIDATE","archive/public_candidates/"&amp;A1561,"private_quarantine/"&amp;A1561)</x:f>
        <x:v>archive/public_candidates/SWARM-11-H10-S12</x:v>
      </x:c>
      <x:c r="AJ1561" s="12" t="str">
        <x:f>IF(AC1561="PUBLIC_CANDIDATE","public by default; still not canon","private/hold; do not publish")</x:f>
        <x:v>public by default; still not canon</x:v>
      </x:c>
      <x:c r="AK1561" s="12" t="str">
        <x:f>IF(AE1561="prepare_public_github_candidate","add receipt/status then mirror","resolve blocker before any public GitHub action")</x:f>
        <x:v>add receipt/status then mirror</x:v>
      </x:c>
    </x:row>
    <x:row r="1562">
      <x:c r="A1562" s="15" t="str">
        <x:v>SWARM-11-H11-S01</x:v>
      </x:c>
      <x:c r="B1562" s="15" t="str">
        <x:v>ClaudeCatcher</x:v>
      </x:c>
      <x:c r="C1562" s="15" t="str">
        <x:v>Bullshit Olympics referee</x:v>
      </x:c>
      <x:c r="D1562" s="15" t="str">
        <x:v>Aetherforge UX</x:v>
      </x:c>
      <x:c r="E1562" s="15" t="str">
        <x:v>Notion</x:v>
      </x:c>
      <x:c r="F1562" s="15" t="str">
        <x:v>Design quest card for Notion — ClaudeCatcher</x:v>
      </x:c>
      <x:c r="G1562" s="15" t="str">
        <x:v>adversarial claims / model overclaim detection</x:v>
      </x:c>
      <x:c r="H1562" s="15" t="str">
        <x:v>source path + receipt + raw/export status + claim/edge/risk delta</x:v>
      </x:c>
      <x:c r="I1562" s="15" t="str">
        <x:v>packet/SWARM-11-H11-S01</x:v>
      </x:c>
      <x:c r="J1562" s="15" t="str">
        <x:v>TODO</x:v>
      </x:c>
      <x:c r="K1562" s="15" t="str">
        <x:v>P0</x:v>
      </x:c>
      <x:c r="L1562" s="15" t="str">
        <x:v>Done only when evidence is logged, contradiction search is noted, and boundary stamp remains non-canon unless ratified</x:v>
      </x:c>
      <x:c r="M1562" s="15" t="str">
        <x:v>candidate / staging-only / not canon / not deployed / authority none</x:v>
      </x:c>
      <x:c r="N1562" s="15" t="str">
        <x:v>Dispatch to ClaudeCatcher: complete Aetherforge UX x Notion; return deltas only, receipts required.</x:v>
      </x:c>
      <x:c r="O1562" s="15" t="str">
        <x:v>AF-KG-H11-S01</x:v>
      </x:c>
      <x:c r="P1562" s="15" t="str">
        <x:v>Unverified</x:v>
      </x:c>
      <x:c r="Q1562" s="15" t="str">
        <x:v>Not checked</x:v>
      </x:c>
      <x:c r="R1562" s="15" t="str"/>
      <x:c r="S1562" s="15" t="str"/>
      <x:c r="T1562" s="15" t="str">
        <x:v>Log first source path or blocker</x:v>
      </x:c>
      <x:c r="U1562" s="12" t="str">
        <x:f>IF(OR(P1562="Unverified",Q1562="Not checked"),"BLOCKED_PENDING_RECEIPT","READY_FOR_REVIEW")</x:f>
        <x:v>BLOCKED_PENDING_RECEIPT</x:v>
      </x:c>
      <x:c r="V1562" s="12" t="str">
        <x:f>IF(J1562="DONE","RETURNED",IF(U1562="BLOCKED_PENDING_RECEIPT","SOURCE_TOUCH_REQUIRED","IN_PROGRESS"))</x:f>
        <x:v>SOURCE_TOUCH_REQUIRED</x:v>
      </x:c>
      <x:c r="W1562" s="12" t="str">
        <x:f>IF(P1562="Unverified","missing_receipt","receipt_logged")</x:f>
        <x:v>missing_receipt</x:v>
      </x:c>
      <x:c r="X1562" s="12" t="str">
        <x:f>IF(Q1562="Not checked","raw_status_missing","raw_status_logged")</x:f>
        <x:v>raw_status_missing</x:v>
      </x:c>
      <x:c r="Y1562" s="12" t="str">
        <x:f>IF(U1562="BLOCKED_PENDING_RECEIPT","Log source path or blocker; do not promote","Route to review lane")</x:f>
        <x:v>Log source path or blocker; do not promote</x:v>
      </x:c>
      <x:c r="Z1562" s="12" t="str">
        <x:f>IF(K1562="P0","Primary seat + Hashlight/Lucerna","Seat lane")</x:f>
        <x:v>Primary seat + Hashlight/Lucerna</x:v>
      </x:c>
      <x:c r="AA1562" s="12" t="str">
        <x:f>IF(R1562="","no_claim_delta","claim_delta_present")</x:f>
        <x:v>no_claim_delta</x:v>
      </x:c>
      <x:c r="AB1562" s="12" t="str">
        <x:f>IF(S1562="","no_contradiction_delta","contradiction_delta_present")</x:f>
        <x:v>no_contradiction_delta</x:v>
      </x:c>
      <x:c r="AC1562" s="12" t="str">
        <x:f>IF(OR(ISNUMBER(SEARCH("hacker",LOWER(F1562&amp;" "&amp;H1562&amp;" "&amp;I1562&amp;" "&amp;M1562&amp;" "&amp;N1562&amp;" "&amp;T1562))),ISNUMBER(SEARCH("hacking",LOWER(F1562&amp;" "&amp;H1562&amp;" "&amp;I1562&amp;" "&amp;M1562&amp;" "&amp;N1562&amp;" "&amp;T1562))),ISNUMBER(SEARCH("bank",LOWER(F1562&amp;" "&amp;H1562&amp;" "&amp;I1562&amp;" "&amp;M1562&amp;" "&amp;N1562&amp;" "&amp;T1562))),ISNUMBER(SEARCH("banking",LOWER(F1562&amp;" "&amp;H1562&amp;" "&amp;I1562&amp;" "&amp;M1562&amp;" "&amp;N1562&amp;" "&amp;T1562)))),"PRIVATE_QUARANTINE",IF(OR(ISNUMBER(SEARCH("treasury",LOWER(F1562&amp;" "&amp;H1562&amp;" "&amp;I1562&amp;" "&amp;M1562&amp;" "&amp;N1562&amp;" "&amp;T1562))),ISNUMBER(SEARCH("debt",LOWER(F1562&amp;" "&amp;H1562&amp;" "&amp;I1562&amp;" "&amp;M1562&amp;" "&amp;N1562&amp;" "&amp;T1562))),ISNUMBER(SEARCH("bond",LOWER(F1562&amp;" "&amp;H1562&amp;" "&amp;I1562&amp;" "&amp;M1562&amp;" "&amp;N1562&amp;" "&amp;T1562))),ISNUMBER(SEARCH("transaction",LOWER(F1562&amp;" "&amp;H1562&amp;" "&amp;I1562&amp;" "&amp;M1562&amp;" "&amp;N1562&amp;" "&amp;T1562)))),"PRIVATE_REVIEW","PUBLIC_CANDIDATE"))</x:f>
        <x:v>PUBLIC_CANDIDATE</x:v>
      </x:c>
      <x:c r="AD1562" s="12" t="str">
        <x:f>IF(AC1562="PRIVATE_QUARANTINE","hacker_or_bank_trigger",IF(AC1562="PRIVATE_REVIEW","finance_risk_trigger","none"))</x:f>
        <x:v>none</x:v>
      </x:c>
      <x:c r="AE1562" s="12" t="str">
        <x:f>IF(AC1562="PUBLIC_CANDIDATE","prepare_public_github_candidate",IF(AC1562="PRIVATE_REVIEW","hold_for_private_review","quarantine_private_do_not_publish"))</x:f>
        <x:v>prepare_public_github_candidate</x:v>
      </x:c>
      <x:c r="AF1562" s="12" t="str">
        <x:f>IF(AC1562="PUBLIC_CANDIDATE","TIDELOCK + Lucerna",IF(AC1562="PRIVATE_REVIEW","AtlasBrain + Lucerna","TIDELOCK + Lucerna + Human-root"))</x:f>
        <x:v>TIDELOCK + Lucerna</x:v>
      </x:c>
      <x:c r="AG1562" s="12" t="str">
        <x:f>IF(AND(AC1562="PUBLIC_CANDIDATE",U1562&lt;&gt;"BLOCKED_PENDING_RECEIPT"),"READY_AFTER_RECEIPT","NOT_READY")</x:f>
        <x:v>NOT_READY</x:v>
      </x:c>
      <x:c r="AH1562" s="12" t="str">
        <x:f>IF(AC1562="PUBLIC_CANDIDATE","none",AD1562)</x:f>
        <x:v>none</x:v>
      </x:c>
      <x:c r="AI1562" s="12" t="str">
        <x:f>IF(AC1562="PUBLIC_CANDIDATE","archive/public_candidates/"&amp;A1562,"private_quarantine/"&amp;A1562)</x:f>
        <x:v>archive/public_candidates/SWARM-11-H11-S01</x:v>
      </x:c>
      <x:c r="AJ1562" s="12" t="str">
        <x:f>IF(AC1562="PUBLIC_CANDIDATE","public by default; still not canon","private/hold; do not publish")</x:f>
        <x:v>public by default; still not canon</x:v>
      </x:c>
      <x:c r="AK1562" s="12" t="str">
        <x:f>IF(AE1562="prepare_public_github_candidate","add receipt/status then mirror","resolve blocker before any public GitHub action")</x:f>
        <x:v>add receipt/status then mirror</x:v>
      </x:c>
    </x:row>
    <x:row r="1563">
      <x:c r="A1563" s="15" t="str">
        <x:v>SWARM-11-H11-S02</x:v>
      </x:c>
      <x:c r="B1563" s="15" t="str">
        <x:v>ClaudeCatcher</x:v>
      </x:c>
      <x:c r="C1563" s="15" t="str">
        <x:v>Bullshit Olympics referee</x:v>
      </x:c>
      <x:c r="D1563" s="15" t="str">
        <x:v>Aetherforge UX</x:v>
      </x:c>
      <x:c r="E1563" s="15" t="str">
        <x:v>Drive</x:v>
      </x:c>
      <x:c r="F1563" s="15" t="str">
        <x:v>Design quest card for Drive — ClaudeCatcher</x:v>
      </x:c>
      <x:c r="G1563" s="15" t="str">
        <x:v>adversarial claims / model overclaim detection</x:v>
      </x:c>
      <x:c r="H1563" s="15" t="str">
        <x:v>source path + receipt + raw/export status + claim/edge/risk delta</x:v>
      </x:c>
      <x:c r="I1563" s="15" t="str">
        <x:v>packet/SWARM-11-H11-S02</x:v>
      </x:c>
      <x:c r="J1563" s="15" t="str">
        <x:v>TODO</x:v>
      </x:c>
      <x:c r="K1563" s="15" t="str">
        <x:v>P0</x:v>
      </x:c>
      <x:c r="L1563" s="15" t="str">
        <x:v>Done only when evidence is logged, contradiction search is noted, and boundary stamp remains non-canon unless ratified</x:v>
      </x:c>
      <x:c r="M1563" s="15" t="str">
        <x:v>candidate / staging-only / not canon / not deployed / authority none</x:v>
      </x:c>
      <x:c r="N1563" s="15" t="str">
        <x:v>Dispatch to ClaudeCatcher: complete Aetherforge UX x Drive; return deltas only, receipts required.</x:v>
      </x:c>
      <x:c r="O1563" s="15" t="str">
        <x:v>AF-KG-H11-S02</x:v>
      </x:c>
      <x:c r="P1563" s="15" t="str">
        <x:v>Unverified</x:v>
      </x:c>
      <x:c r="Q1563" s="15" t="str">
        <x:v>Not checked</x:v>
      </x:c>
      <x:c r="R1563" s="15" t="str"/>
      <x:c r="S1563" s="15" t="str"/>
      <x:c r="T1563" s="15" t="str">
        <x:v>Log first source path or blocker</x:v>
      </x:c>
      <x:c r="U1563" s="12" t="str">
        <x:f>IF(OR(P1563="Unverified",Q1563="Not checked"),"BLOCKED_PENDING_RECEIPT","READY_FOR_REVIEW")</x:f>
        <x:v>BLOCKED_PENDING_RECEIPT</x:v>
      </x:c>
      <x:c r="V1563" s="12" t="str">
        <x:f>IF(J1563="DONE","RETURNED",IF(U1563="BLOCKED_PENDING_RECEIPT","SOURCE_TOUCH_REQUIRED","IN_PROGRESS"))</x:f>
        <x:v>SOURCE_TOUCH_REQUIRED</x:v>
      </x:c>
      <x:c r="W1563" s="12" t="str">
        <x:f>IF(P1563="Unverified","missing_receipt","receipt_logged")</x:f>
        <x:v>missing_receipt</x:v>
      </x:c>
      <x:c r="X1563" s="12" t="str">
        <x:f>IF(Q1563="Not checked","raw_status_missing","raw_status_logged")</x:f>
        <x:v>raw_status_missing</x:v>
      </x:c>
      <x:c r="Y1563" s="12" t="str">
        <x:f>IF(U1563="BLOCKED_PENDING_RECEIPT","Log source path or blocker; do not promote","Route to review lane")</x:f>
        <x:v>Log source path or blocker; do not promote</x:v>
      </x:c>
      <x:c r="Z1563" s="12" t="str">
        <x:f>IF(K1563="P0","Primary seat + Hashlight/Lucerna","Seat lane")</x:f>
        <x:v>Primary seat + Hashlight/Lucerna</x:v>
      </x:c>
      <x:c r="AA1563" s="12" t="str">
        <x:f>IF(R1563="","no_claim_delta","claim_delta_present")</x:f>
        <x:v>no_claim_delta</x:v>
      </x:c>
      <x:c r="AB1563" s="12" t="str">
        <x:f>IF(S1563="","no_contradiction_delta","contradiction_delta_present")</x:f>
        <x:v>no_contradiction_delta</x:v>
      </x:c>
      <x:c r="AC1563" s="12" t="str">
        <x:f>IF(OR(ISNUMBER(SEARCH("hacker",LOWER(F1563&amp;" "&amp;H1563&amp;" "&amp;I1563&amp;" "&amp;M1563&amp;" "&amp;N1563&amp;" "&amp;T1563))),ISNUMBER(SEARCH("hacking",LOWER(F1563&amp;" "&amp;H1563&amp;" "&amp;I1563&amp;" "&amp;M1563&amp;" "&amp;N1563&amp;" "&amp;T1563))),ISNUMBER(SEARCH("bank",LOWER(F1563&amp;" "&amp;H1563&amp;" "&amp;I1563&amp;" "&amp;M1563&amp;" "&amp;N1563&amp;" "&amp;T1563))),ISNUMBER(SEARCH("banking",LOWER(F1563&amp;" "&amp;H1563&amp;" "&amp;I1563&amp;" "&amp;M1563&amp;" "&amp;N1563&amp;" "&amp;T1563)))),"PRIVATE_QUARANTINE",IF(OR(ISNUMBER(SEARCH("treasury",LOWER(F1563&amp;" "&amp;H1563&amp;" "&amp;I1563&amp;" "&amp;M1563&amp;" "&amp;N1563&amp;" "&amp;T1563))),ISNUMBER(SEARCH("debt",LOWER(F1563&amp;" "&amp;H1563&amp;" "&amp;I1563&amp;" "&amp;M1563&amp;" "&amp;N1563&amp;" "&amp;T1563))),ISNUMBER(SEARCH("bond",LOWER(F1563&amp;" "&amp;H1563&amp;" "&amp;I1563&amp;" "&amp;M1563&amp;" "&amp;N1563&amp;" "&amp;T1563))),ISNUMBER(SEARCH("transaction",LOWER(F1563&amp;" "&amp;H1563&amp;" "&amp;I1563&amp;" "&amp;M1563&amp;" "&amp;N1563&amp;" "&amp;T1563)))),"PRIVATE_REVIEW","PUBLIC_CANDIDATE"))</x:f>
        <x:v>PUBLIC_CANDIDATE</x:v>
      </x:c>
      <x:c r="AD1563" s="12" t="str">
        <x:f>IF(AC1563="PRIVATE_QUARANTINE","hacker_or_bank_trigger",IF(AC1563="PRIVATE_REVIEW","finance_risk_trigger","none"))</x:f>
        <x:v>none</x:v>
      </x:c>
      <x:c r="AE1563" s="12" t="str">
        <x:f>IF(AC1563="PUBLIC_CANDIDATE","prepare_public_github_candidate",IF(AC1563="PRIVATE_REVIEW","hold_for_private_review","quarantine_private_do_not_publish"))</x:f>
        <x:v>prepare_public_github_candidate</x:v>
      </x:c>
      <x:c r="AF1563" s="12" t="str">
        <x:f>IF(AC1563="PUBLIC_CANDIDATE","TIDELOCK + Lucerna",IF(AC1563="PRIVATE_REVIEW","AtlasBrain + Lucerna","TIDELOCK + Lucerna + Human-root"))</x:f>
        <x:v>TIDELOCK + Lucerna</x:v>
      </x:c>
      <x:c r="AG1563" s="12" t="str">
        <x:f>IF(AND(AC1563="PUBLIC_CANDIDATE",U1563&lt;&gt;"BLOCKED_PENDING_RECEIPT"),"READY_AFTER_RECEIPT","NOT_READY")</x:f>
        <x:v>NOT_READY</x:v>
      </x:c>
      <x:c r="AH1563" s="12" t="str">
        <x:f>IF(AC1563="PUBLIC_CANDIDATE","none",AD1563)</x:f>
        <x:v>none</x:v>
      </x:c>
      <x:c r="AI1563" s="12" t="str">
        <x:f>IF(AC1563="PUBLIC_CANDIDATE","archive/public_candidates/"&amp;A1563,"private_quarantine/"&amp;A1563)</x:f>
        <x:v>archive/public_candidates/SWARM-11-H11-S02</x:v>
      </x:c>
      <x:c r="AJ1563" s="12" t="str">
        <x:f>IF(AC1563="PUBLIC_CANDIDATE","public by default; still not canon","private/hold; do not publish")</x:f>
        <x:v>public by default; still not canon</x:v>
      </x:c>
      <x:c r="AK1563" s="12" t="str">
        <x:f>IF(AE1563="prepare_public_github_candidate","add receipt/status then mirror","resolve blocker before any public GitHub action")</x:f>
        <x:v>add receipt/status then mirror</x:v>
      </x:c>
    </x:row>
    <x:row r="1564">
      <x:c r="A1564" s="15" t="str">
        <x:v>SWARM-11-H11-S03</x:v>
      </x:c>
      <x:c r="B1564" s="15" t="str">
        <x:v>ClaudeCatcher</x:v>
      </x:c>
      <x:c r="C1564" s="15" t="str">
        <x:v>Bullshit Olympics referee</x:v>
      </x:c>
      <x:c r="D1564" s="15" t="str">
        <x:v>Aetherforge UX</x:v>
      </x:c>
      <x:c r="E1564" s="15" t="str">
        <x:v>GitHub</x:v>
      </x:c>
      <x:c r="F1564" s="15" t="str">
        <x:v>Design quest card for GitHub — ClaudeCatcher</x:v>
      </x:c>
      <x:c r="G1564" s="15" t="str">
        <x:v>adversarial claims / model overclaim detection</x:v>
      </x:c>
      <x:c r="H1564" s="15" t="str">
        <x:v>source path + receipt + raw/export status + claim/edge/risk delta</x:v>
      </x:c>
      <x:c r="I1564" s="15" t="str">
        <x:v>packet/SWARM-11-H11-S03</x:v>
      </x:c>
      <x:c r="J1564" s="15" t="str">
        <x:v>TODO</x:v>
      </x:c>
      <x:c r="K1564" s="15" t="str">
        <x:v>P0</x:v>
      </x:c>
      <x:c r="L1564" s="15" t="str">
        <x:v>Done only when evidence is logged, contradiction search is noted, and boundary stamp remains non-canon unless ratified</x:v>
      </x:c>
      <x:c r="M1564" s="15" t="str">
        <x:v>candidate / staging-only / not canon / not deployed / authority none</x:v>
      </x:c>
      <x:c r="N1564" s="15" t="str">
        <x:v>Dispatch to ClaudeCatcher: complete Aetherforge UX x GitHub; return deltas only, receipts required.</x:v>
      </x:c>
      <x:c r="O1564" s="15" t="str">
        <x:v>AF-KG-H11-S03</x:v>
      </x:c>
      <x:c r="P1564" s="15" t="str">
        <x:v>Unverified</x:v>
      </x:c>
      <x:c r="Q1564" s="15" t="str">
        <x:v>Not checked</x:v>
      </x:c>
      <x:c r="R1564" s="15" t="str"/>
      <x:c r="S1564" s="15" t="str"/>
      <x:c r="T1564" s="15" t="str">
        <x:v>Log first source path or blocker</x:v>
      </x:c>
      <x:c r="U1564" s="12" t="str">
        <x:f>IF(OR(P1564="Unverified",Q1564="Not checked"),"BLOCKED_PENDING_RECEIPT","READY_FOR_REVIEW")</x:f>
        <x:v>BLOCKED_PENDING_RECEIPT</x:v>
      </x:c>
      <x:c r="V1564" s="12" t="str">
        <x:f>IF(J1564="DONE","RETURNED",IF(U1564="BLOCKED_PENDING_RECEIPT","SOURCE_TOUCH_REQUIRED","IN_PROGRESS"))</x:f>
        <x:v>SOURCE_TOUCH_REQUIRED</x:v>
      </x:c>
      <x:c r="W1564" s="12" t="str">
        <x:f>IF(P1564="Unverified","missing_receipt","receipt_logged")</x:f>
        <x:v>missing_receipt</x:v>
      </x:c>
      <x:c r="X1564" s="12" t="str">
        <x:f>IF(Q1564="Not checked","raw_status_missing","raw_status_logged")</x:f>
        <x:v>raw_status_missing</x:v>
      </x:c>
      <x:c r="Y1564" s="12" t="str">
        <x:f>IF(U1564="BLOCKED_PENDING_RECEIPT","Log source path or blocker; do not promote","Route to review lane")</x:f>
        <x:v>Log source path or blocker; do not promote</x:v>
      </x:c>
      <x:c r="Z1564" s="12" t="str">
        <x:f>IF(K1564="P0","Primary seat + Hashlight/Lucerna","Seat lane")</x:f>
        <x:v>Primary seat + Hashlight/Lucerna</x:v>
      </x:c>
      <x:c r="AA1564" s="12" t="str">
        <x:f>IF(R1564="","no_claim_delta","claim_delta_present")</x:f>
        <x:v>no_claim_delta</x:v>
      </x:c>
      <x:c r="AB1564" s="12" t="str">
        <x:f>IF(S1564="","no_contradiction_delta","contradiction_delta_present")</x:f>
        <x:v>no_contradiction_delta</x:v>
      </x:c>
      <x:c r="AC1564" s="12" t="str">
        <x:f>IF(OR(ISNUMBER(SEARCH("hacker",LOWER(F1564&amp;" "&amp;H1564&amp;" "&amp;I1564&amp;" "&amp;M1564&amp;" "&amp;N1564&amp;" "&amp;T1564))),ISNUMBER(SEARCH("hacking",LOWER(F1564&amp;" "&amp;H1564&amp;" "&amp;I1564&amp;" "&amp;M1564&amp;" "&amp;N1564&amp;" "&amp;T1564))),ISNUMBER(SEARCH("bank",LOWER(F1564&amp;" "&amp;H1564&amp;" "&amp;I1564&amp;" "&amp;M1564&amp;" "&amp;N1564&amp;" "&amp;T1564))),ISNUMBER(SEARCH("banking",LOWER(F1564&amp;" "&amp;H1564&amp;" "&amp;I1564&amp;" "&amp;M1564&amp;" "&amp;N1564&amp;" "&amp;T1564)))),"PRIVATE_QUARANTINE",IF(OR(ISNUMBER(SEARCH("treasury",LOWER(F1564&amp;" "&amp;H1564&amp;" "&amp;I1564&amp;" "&amp;M1564&amp;" "&amp;N1564&amp;" "&amp;T1564))),ISNUMBER(SEARCH("debt",LOWER(F1564&amp;" "&amp;H1564&amp;" "&amp;I1564&amp;" "&amp;M1564&amp;" "&amp;N1564&amp;" "&amp;T1564))),ISNUMBER(SEARCH("bond",LOWER(F1564&amp;" "&amp;H1564&amp;" "&amp;I1564&amp;" "&amp;M1564&amp;" "&amp;N1564&amp;" "&amp;T1564))),ISNUMBER(SEARCH("transaction",LOWER(F1564&amp;" "&amp;H1564&amp;" "&amp;I1564&amp;" "&amp;M1564&amp;" "&amp;N1564&amp;" "&amp;T1564)))),"PRIVATE_REVIEW","PUBLIC_CANDIDATE"))</x:f>
        <x:v>PUBLIC_CANDIDATE</x:v>
      </x:c>
      <x:c r="AD1564" s="12" t="str">
        <x:f>IF(AC1564="PRIVATE_QUARANTINE","hacker_or_bank_trigger",IF(AC1564="PRIVATE_REVIEW","finance_risk_trigger","none"))</x:f>
        <x:v>none</x:v>
      </x:c>
      <x:c r="AE1564" s="12" t="str">
        <x:f>IF(AC1564="PUBLIC_CANDIDATE","prepare_public_github_candidate",IF(AC1564="PRIVATE_REVIEW","hold_for_private_review","quarantine_private_do_not_publish"))</x:f>
        <x:v>prepare_public_github_candidate</x:v>
      </x:c>
      <x:c r="AF1564" s="12" t="str">
        <x:f>IF(AC1564="PUBLIC_CANDIDATE","TIDELOCK + Lucerna",IF(AC1564="PRIVATE_REVIEW","AtlasBrain + Lucerna","TIDELOCK + Lucerna + Human-root"))</x:f>
        <x:v>TIDELOCK + Lucerna</x:v>
      </x:c>
      <x:c r="AG1564" s="12" t="str">
        <x:f>IF(AND(AC1564="PUBLIC_CANDIDATE",U1564&lt;&gt;"BLOCKED_PENDING_RECEIPT"),"READY_AFTER_RECEIPT","NOT_READY")</x:f>
        <x:v>NOT_READY</x:v>
      </x:c>
      <x:c r="AH1564" s="12" t="str">
        <x:f>IF(AC1564="PUBLIC_CANDIDATE","none",AD1564)</x:f>
        <x:v>none</x:v>
      </x:c>
      <x:c r="AI1564" s="12" t="str">
        <x:f>IF(AC1564="PUBLIC_CANDIDATE","archive/public_candidates/"&amp;A1564,"private_quarantine/"&amp;A1564)</x:f>
        <x:v>archive/public_candidates/SWARM-11-H11-S03</x:v>
      </x:c>
      <x:c r="AJ1564" s="12" t="str">
        <x:f>IF(AC1564="PUBLIC_CANDIDATE","public by default; still not canon","private/hold; do not publish")</x:f>
        <x:v>public by default; still not canon</x:v>
      </x:c>
      <x:c r="AK1564" s="12" t="str">
        <x:f>IF(AE1564="prepare_public_github_candidate","add receipt/status then mirror","resolve blocker before any public GitHub action")</x:f>
        <x:v>add receipt/status then mirror</x:v>
      </x:c>
    </x:row>
    <x:row r="1565">
      <x:c r="A1565" s="15" t="str">
        <x:v>SWARM-11-H11-S04</x:v>
      </x:c>
      <x:c r="B1565" s="15" t="str">
        <x:v>ClaudeCatcher</x:v>
      </x:c>
      <x:c r="C1565" s="15" t="str">
        <x:v>Bullshit Olympics referee</x:v>
      </x:c>
      <x:c r="D1565" s="15" t="str">
        <x:v>Aetherforge UX</x:v>
      </x:c>
      <x:c r="E1565" s="15" t="str">
        <x:v>Gamma</x:v>
      </x:c>
      <x:c r="F1565" s="15" t="str">
        <x:v>Design quest card for Gamma — ClaudeCatcher</x:v>
      </x:c>
      <x:c r="G1565" s="15" t="str">
        <x:v>adversarial claims / model overclaim detection</x:v>
      </x:c>
      <x:c r="H1565" s="15" t="str">
        <x:v>source path + receipt + raw/export status + claim/edge/risk delta</x:v>
      </x:c>
      <x:c r="I1565" s="15" t="str">
        <x:v>packet/SWARM-11-H11-S04</x:v>
      </x:c>
      <x:c r="J1565" s="15" t="str">
        <x:v>TODO</x:v>
      </x:c>
      <x:c r="K1565" s="15" t="str">
        <x:v>P1</x:v>
      </x:c>
      <x:c r="L1565" s="15" t="str">
        <x:v>Done only when evidence is logged, contradiction search is noted, and boundary stamp remains non-canon unless ratified</x:v>
      </x:c>
      <x:c r="M1565" s="15" t="str">
        <x:v>candidate / staging-only / not canon / not deployed / authority none</x:v>
      </x:c>
      <x:c r="N1565" s="15" t="str">
        <x:v>Dispatch to ClaudeCatcher: complete Aetherforge UX x Gamma; return deltas only, receipts required.</x:v>
      </x:c>
      <x:c r="O1565" s="15" t="str">
        <x:v>AF-KG-H11-S04</x:v>
      </x:c>
      <x:c r="P1565" s="15" t="str">
        <x:v>Unverified</x:v>
      </x:c>
      <x:c r="Q1565" s="15" t="str">
        <x:v>Not checked</x:v>
      </x:c>
      <x:c r="R1565" s="15" t="str"/>
      <x:c r="S1565" s="15" t="str"/>
      <x:c r="T1565" s="15" t="str">
        <x:v>Log first source path or blocker</x:v>
      </x:c>
      <x:c r="U1565" s="12" t="str">
        <x:f>IF(OR(P1565="Unverified",Q1565="Not checked"),"BLOCKED_PENDING_RECEIPT","READY_FOR_REVIEW")</x:f>
        <x:v>BLOCKED_PENDING_RECEIPT</x:v>
      </x:c>
      <x:c r="V1565" s="12" t="str">
        <x:f>IF(J1565="DONE","RETURNED",IF(U1565="BLOCKED_PENDING_RECEIPT","SOURCE_TOUCH_REQUIRED","IN_PROGRESS"))</x:f>
        <x:v>SOURCE_TOUCH_REQUIRED</x:v>
      </x:c>
      <x:c r="W1565" s="12" t="str">
        <x:f>IF(P1565="Unverified","missing_receipt","receipt_logged")</x:f>
        <x:v>missing_receipt</x:v>
      </x:c>
      <x:c r="X1565" s="12" t="str">
        <x:f>IF(Q1565="Not checked","raw_status_missing","raw_status_logged")</x:f>
        <x:v>raw_status_missing</x:v>
      </x:c>
      <x:c r="Y1565" s="12" t="str">
        <x:f>IF(U1565="BLOCKED_PENDING_RECEIPT","Log source path or blocker; do not promote","Route to review lane")</x:f>
        <x:v>Log source path or blocker; do not promote</x:v>
      </x:c>
      <x:c r="Z1565" s="12" t="str">
        <x:f>IF(K1565="P0","Primary seat + Hashlight/Lucerna","Seat lane")</x:f>
        <x:v>Seat lane</x:v>
      </x:c>
      <x:c r="AA1565" s="12" t="str">
        <x:f>IF(R1565="","no_claim_delta","claim_delta_present")</x:f>
        <x:v>no_claim_delta</x:v>
      </x:c>
      <x:c r="AB1565" s="12" t="str">
        <x:f>IF(S1565="","no_contradiction_delta","contradiction_delta_present")</x:f>
        <x:v>no_contradiction_delta</x:v>
      </x:c>
      <x:c r="AC1565" s="12" t="str">
        <x:f>IF(OR(ISNUMBER(SEARCH("hacker",LOWER(F1565&amp;" "&amp;H1565&amp;" "&amp;I1565&amp;" "&amp;M1565&amp;" "&amp;N1565&amp;" "&amp;T1565))),ISNUMBER(SEARCH("hacking",LOWER(F1565&amp;" "&amp;H1565&amp;" "&amp;I1565&amp;" "&amp;M1565&amp;" "&amp;N1565&amp;" "&amp;T1565))),ISNUMBER(SEARCH("bank",LOWER(F1565&amp;" "&amp;H1565&amp;" "&amp;I1565&amp;" "&amp;M1565&amp;" "&amp;N1565&amp;" "&amp;T1565))),ISNUMBER(SEARCH("banking",LOWER(F1565&amp;" "&amp;H1565&amp;" "&amp;I1565&amp;" "&amp;M1565&amp;" "&amp;N1565&amp;" "&amp;T1565)))),"PRIVATE_QUARANTINE",IF(OR(ISNUMBER(SEARCH("treasury",LOWER(F1565&amp;" "&amp;H1565&amp;" "&amp;I1565&amp;" "&amp;M1565&amp;" "&amp;N1565&amp;" "&amp;T1565))),ISNUMBER(SEARCH("debt",LOWER(F1565&amp;" "&amp;H1565&amp;" "&amp;I1565&amp;" "&amp;M1565&amp;" "&amp;N1565&amp;" "&amp;T1565))),ISNUMBER(SEARCH("bond",LOWER(F1565&amp;" "&amp;H1565&amp;" "&amp;I1565&amp;" "&amp;M1565&amp;" "&amp;N1565&amp;" "&amp;T1565))),ISNUMBER(SEARCH("transaction",LOWER(F1565&amp;" "&amp;H1565&amp;" "&amp;I1565&amp;" "&amp;M1565&amp;" "&amp;N1565&amp;" "&amp;T1565)))),"PRIVATE_REVIEW","PUBLIC_CANDIDATE"))</x:f>
        <x:v>PUBLIC_CANDIDATE</x:v>
      </x:c>
      <x:c r="AD1565" s="12" t="str">
        <x:f>IF(AC1565="PRIVATE_QUARANTINE","hacker_or_bank_trigger",IF(AC1565="PRIVATE_REVIEW","finance_risk_trigger","none"))</x:f>
        <x:v>none</x:v>
      </x:c>
      <x:c r="AE1565" s="12" t="str">
        <x:f>IF(AC1565="PUBLIC_CANDIDATE","prepare_public_github_candidate",IF(AC1565="PRIVATE_REVIEW","hold_for_private_review","quarantine_private_do_not_publish"))</x:f>
        <x:v>prepare_public_github_candidate</x:v>
      </x:c>
      <x:c r="AF1565" s="12" t="str">
        <x:f>IF(AC1565="PUBLIC_CANDIDATE","TIDELOCK + Lucerna",IF(AC1565="PRIVATE_REVIEW","AtlasBrain + Lucerna","TIDELOCK + Lucerna + Human-root"))</x:f>
        <x:v>TIDELOCK + Lucerna</x:v>
      </x:c>
      <x:c r="AG1565" s="12" t="str">
        <x:f>IF(AND(AC1565="PUBLIC_CANDIDATE",U1565&lt;&gt;"BLOCKED_PENDING_RECEIPT"),"READY_AFTER_RECEIPT","NOT_READY")</x:f>
        <x:v>NOT_READY</x:v>
      </x:c>
      <x:c r="AH1565" s="12" t="str">
        <x:f>IF(AC1565="PUBLIC_CANDIDATE","none",AD1565)</x:f>
        <x:v>none</x:v>
      </x:c>
      <x:c r="AI1565" s="12" t="str">
        <x:f>IF(AC1565="PUBLIC_CANDIDATE","archive/public_candidates/"&amp;A1565,"private_quarantine/"&amp;A1565)</x:f>
        <x:v>archive/public_candidates/SWARM-11-H11-S04</x:v>
      </x:c>
      <x:c r="AJ1565" s="12" t="str">
        <x:f>IF(AC1565="PUBLIC_CANDIDATE","public by default; still not canon","private/hold; do not publish")</x:f>
        <x:v>public by default; still not canon</x:v>
      </x:c>
      <x:c r="AK1565" s="12" t="str">
        <x:f>IF(AE1565="prepare_public_github_candidate","add receipt/status then mirror","resolve blocker before any public GitHub action")</x:f>
        <x:v>add receipt/status then mirror</x:v>
      </x:c>
    </x:row>
    <x:row r="1566">
      <x:c r="A1566" s="15" t="str">
        <x:v>SWARM-11-H11-S05</x:v>
      </x:c>
      <x:c r="B1566" s="15" t="str">
        <x:v>ClaudeCatcher</x:v>
      </x:c>
      <x:c r="C1566" s="15" t="str">
        <x:v>Bullshit Olympics referee</x:v>
      </x:c>
      <x:c r="D1566" s="15" t="str">
        <x:v>Aetherforge UX</x:v>
      </x:c>
      <x:c r="E1566" s="15" t="str">
        <x:v>Chat</x:v>
      </x:c>
      <x:c r="F1566" s="15" t="str">
        <x:v>Design quest card for Chat — ClaudeCatcher</x:v>
      </x:c>
      <x:c r="G1566" s="15" t="str">
        <x:v>adversarial claims / model overclaim detection</x:v>
      </x:c>
      <x:c r="H1566" s="15" t="str">
        <x:v>source path + receipt + raw/export status + claim/edge/risk delta</x:v>
      </x:c>
      <x:c r="I1566" s="15" t="str">
        <x:v>packet/SWARM-11-H11-S05</x:v>
      </x:c>
      <x:c r="J1566" s="15" t="str">
        <x:v>TODO</x:v>
      </x:c>
      <x:c r="K1566" s="15" t="str">
        <x:v>P1</x:v>
      </x:c>
      <x:c r="L1566" s="15" t="str">
        <x:v>Done only when evidence is logged, contradiction search is noted, and boundary stamp remains non-canon unless ratified</x:v>
      </x:c>
      <x:c r="M1566" s="15" t="str">
        <x:v>candidate / staging-only / not canon / not deployed / authority none</x:v>
      </x:c>
      <x:c r="N1566" s="15" t="str">
        <x:v>Dispatch to ClaudeCatcher: complete Aetherforge UX x Chat; return deltas only, receipts required.</x:v>
      </x:c>
      <x:c r="O1566" s="15" t="str">
        <x:v>AF-KG-H11-S05</x:v>
      </x:c>
      <x:c r="P1566" s="15" t="str">
        <x:v>Unverified</x:v>
      </x:c>
      <x:c r="Q1566" s="15" t="str">
        <x:v>Not checked</x:v>
      </x:c>
      <x:c r="R1566" s="15" t="str"/>
      <x:c r="S1566" s="15" t="str"/>
      <x:c r="T1566" s="15" t="str">
        <x:v>Log first source path or blocker</x:v>
      </x:c>
      <x:c r="U1566" s="12" t="str">
        <x:f>IF(OR(P1566="Unverified",Q1566="Not checked"),"BLOCKED_PENDING_RECEIPT","READY_FOR_REVIEW")</x:f>
        <x:v>BLOCKED_PENDING_RECEIPT</x:v>
      </x:c>
      <x:c r="V1566" s="12" t="str">
        <x:f>IF(J1566="DONE","RETURNED",IF(U1566="BLOCKED_PENDING_RECEIPT","SOURCE_TOUCH_REQUIRED","IN_PROGRESS"))</x:f>
        <x:v>SOURCE_TOUCH_REQUIRED</x:v>
      </x:c>
      <x:c r="W1566" s="12" t="str">
        <x:f>IF(P1566="Unverified","missing_receipt","receipt_logged")</x:f>
        <x:v>missing_receipt</x:v>
      </x:c>
      <x:c r="X1566" s="12" t="str">
        <x:f>IF(Q1566="Not checked","raw_status_missing","raw_status_logged")</x:f>
        <x:v>raw_status_missing</x:v>
      </x:c>
      <x:c r="Y1566" s="12" t="str">
        <x:f>IF(U1566="BLOCKED_PENDING_RECEIPT","Log source path or blocker; do not promote","Route to review lane")</x:f>
        <x:v>Log source path or blocker; do not promote</x:v>
      </x:c>
      <x:c r="Z1566" s="12" t="str">
        <x:f>IF(K1566="P0","Primary seat + Hashlight/Lucerna","Seat lane")</x:f>
        <x:v>Seat lane</x:v>
      </x:c>
      <x:c r="AA1566" s="12" t="str">
        <x:f>IF(R1566="","no_claim_delta","claim_delta_present")</x:f>
        <x:v>no_claim_delta</x:v>
      </x:c>
      <x:c r="AB1566" s="12" t="str">
        <x:f>IF(S1566="","no_contradiction_delta","contradiction_delta_present")</x:f>
        <x:v>no_contradiction_delta</x:v>
      </x:c>
      <x:c r="AC1566" s="12" t="str">
        <x:f>IF(OR(ISNUMBER(SEARCH("hacker",LOWER(F1566&amp;" "&amp;H1566&amp;" "&amp;I1566&amp;" "&amp;M1566&amp;" "&amp;N1566&amp;" "&amp;T1566))),ISNUMBER(SEARCH("hacking",LOWER(F1566&amp;" "&amp;H1566&amp;" "&amp;I1566&amp;" "&amp;M1566&amp;" "&amp;N1566&amp;" "&amp;T1566))),ISNUMBER(SEARCH("bank",LOWER(F1566&amp;" "&amp;H1566&amp;" "&amp;I1566&amp;" "&amp;M1566&amp;" "&amp;N1566&amp;" "&amp;T1566))),ISNUMBER(SEARCH("banking",LOWER(F1566&amp;" "&amp;H1566&amp;" "&amp;I1566&amp;" "&amp;M1566&amp;" "&amp;N1566&amp;" "&amp;T1566)))),"PRIVATE_QUARANTINE",IF(OR(ISNUMBER(SEARCH("treasury",LOWER(F1566&amp;" "&amp;H1566&amp;" "&amp;I1566&amp;" "&amp;M1566&amp;" "&amp;N1566&amp;" "&amp;T1566))),ISNUMBER(SEARCH("debt",LOWER(F1566&amp;" "&amp;H1566&amp;" "&amp;I1566&amp;" "&amp;M1566&amp;" "&amp;N1566&amp;" "&amp;T1566))),ISNUMBER(SEARCH("bond",LOWER(F1566&amp;" "&amp;H1566&amp;" "&amp;I1566&amp;" "&amp;M1566&amp;" "&amp;N1566&amp;" "&amp;T1566))),ISNUMBER(SEARCH("transaction",LOWER(F1566&amp;" "&amp;H1566&amp;" "&amp;I1566&amp;" "&amp;M1566&amp;" "&amp;N1566&amp;" "&amp;T1566)))),"PRIVATE_REVIEW","PUBLIC_CANDIDATE"))</x:f>
        <x:v>PUBLIC_CANDIDATE</x:v>
      </x:c>
      <x:c r="AD1566" s="12" t="str">
        <x:f>IF(AC1566="PRIVATE_QUARANTINE","hacker_or_bank_trigger",IF(AC1566="PRIVATE_REVIEW","finance_risk_trigger","none"))</x:f>
        <x:v>none</x:v>
      </x:c>
      <x:c r="AE1566" s="12" t="str">
        <x:f>IF(AC1566="PUBLIC_CANDIDATE","prepare_public_github_candidate",IF(AC1566="PRIVATE_REVIEW","hold_for_private_review","quarantine_private_do_not_publish"))</x:f>
        <x:v>prepare_public_github_candidate</x:v>
      </x:c>
      <x:c r="AF1566" s="12" t="str">
        <x:f>IF(AC1566="PUBLIC_CANDIDATE","TIDELOCK + Lucerna",IF(AC1566="PRIVATE_REVIEW","AtlasBrain + Lucerna","TIDELOCK + Lucerna + Human-root"))</x:f>
        <x:v>TIDELOCK + Lucerna</x:v>
      </x:c>
      <x:c r="AG1566" s="12" t="str">
        <x:f>IF(AND(AC1566="PUBLIC_CANDIDATE",U1566&lt;&gt;"BLOCKED_PENDING_RECEIPT"),"READY_AFTER_RECEIPT","NOT_READY")</x:f>
        <x:v>NOT_READY</x:v>
      </x:c>
      <x:c r="AH1566" s="12" t="str">
        <x:f>IF(AC1566="PUBLIC_CANDIDATE","none",AD1566)</x:f>
        <x:v>none</x:v>
      </x:c>
      <x:c r="AI1566" s="12" t="str">
        <x:f>IF(AC1566="PUBLIC_CANDIDATE","archive/public_candidates/"&amp;A1566,"private_quarantine/"&amp;A1566)</x:f>
        <x:v>archive/public_candidates/SWARM-11-H11-S05</x:v>
      </x:c>
      <x:c r="AJ1566" s="12" t="str">
        <x:f>IF(AC1566="PUBLIC_CANDIDATE","public by default; still not canon","private/hold; do not publish")</x:f>
        <x:v>public by default; still not canon</x:v>
      </x:c>
      <x:c r="AK1566" s="12" t="str">
        <x:f>IF(AE1566="prepare_public_github_candidate","add receipt/status then mirror","resolve blocker before any public GitHub action")</x:f>
        <x:v>add receipt/status then mirror</x:v>
      </x:c>
    </x:row>
    <x:row r="1567">
      <x:c r="A1567" s="15" t="str">
        <x:v>SWARM-11-H11-S06</x:v>
      </x:c>
      <x:c r="B1567" s="15" t="str">
        <x:v>ClaudeCatcher</x:v>
      </x:c>
      <x:c r="C1567" s="15" t="str">
        <x:v>Bullshit Olympics referee</x:v>
      </x:c>
      <x:c r="D1567" s="15" t="str">
        <x:v>Aetherforge UX</x:v>
      </x:c>
      <x:c r="E1567" s="15" t="str">
        <x:v>External Web</x:v>
      </x:c>
      <x:c r="F1567" s="15" t="str">
        <x:v>Design quest card for External Web — ClaudeCatcher</x:v>
      </x:c>
      <x:c r="G1567" s="15" t="str">
        <x:v>adversarial claims / model overclaim detection</x:v>
      </x:c>
      <x:c r="H1567" s="15" t="str">
        <x:v>source path + receipt + raw/export status + claim/edge/risk delta</x:v>
      </x:c>
      <x:c r="I1567" s="15" t="str">
        <x:v>packet/SWARM-11-H11-S06</x:v>
      </x:c>
      <x:c r="J1567" s="15" t="str">
        <x:v>TODO</x:v>
      </x:c>
      <x:c r="K1567" s="15" t="str">
        <x:v>P1</x:v>
      </x:c>
      <x:c r="L1567" s="15" t="str">
        <x:v>Done only when evidence is logged, contradiction search is noted, and boundary stamp remains non-canon unless ratified</x:v>
      </x:c>
      <x:c r="M1567" s="15" t="str">
        <x:v>candidate / staging-only / not canon / not deployed / authority none</x:v>
      </x:c>
      <x:c r="N1567" s="15" t="str">
        <x:v>Dispatch to ClaudeCatcher: complete Aetherforge UX x External Web; return deltas only, receipts required.</x:v>
      </x:c>
      <x:c r="O1567" s="15" t="str">
        <x:v>AF-KG-H11-S06</x:v>
      </x:c>
      <x:c r="P1567" s="15" t="str">
        <x:v>Unverified</x:v>
      </x:c>
      <x:c r="Q1567" s="15" t="str">
        <x:v>Not checked</x:v>
      </x:c>
      <x:c r="R1567" s="15" t="str"/>
      <x:c r="S1567" s="15" t="str"/>
      <x:c r="T1567" s="15" t="str">
        <x:v>Log first source path or blocker</x:v>
      </x:c>
      <x:c r="U1567" s="12" t="str">
        <x:f>IF(OR(P1567="Unverified",Q1567="Not checked"),"BLOCKED_PENDING_RECEIPT","READY_FOR_REVIEW")</x:f>
        <x:v>BLOCKED_PENDING_RECEIPT</x:v>
      </x:c>
      <x:c r="V1567" s="12" t="str">
        <x:f>IF(J1567="DONE","RETURNED",IF(U1567="BLOCKED_PENDING_RECEIPT","SOURCE_TOUCH_REQUIRED","IN_PROGRESS"))</x:f>
        <x:v>SOURCE_TOUCH_REQUIRED</x:v>
      </x:c>
      <x:c r="W1567" s="12" t="str">
        <x:f>IF(P1567="Unverified","missing_receipt","receipt_logged")</x:f>
        <x:v>missing_receipt</x:v>
      </x:c>
      <x:c r="X1567" s="12" t="str">
        <x:f>IF(Q1567="Not checked","raw_status_missing","raw_status_logged")</x:f>
        <x:v>raw_status_missing</x:v>
      </x:c>
      <x:c r="Y1567" s="12" t="str">
        <x:f>IF(U1567="BLOCKED_PENDING_RECEIPT","Log source path or blocker; do not promote","Route to review lane")</x:f>
        <x:v>Log source path or blocker; do not promote</x:v>
      </x:c>
      <x:c r="Z1567" s="12" t="str">
        <x:f>IF(K1567="P0","Primary seat + Hashlight/Lucerna","Seat lane")</x:f>
        <x:v>Seat lane</x:v>
      </x:c>
      <x:c r="AA1567" s="12" t="str">
        <x:f>IF(R1567="","no_claim_delta","claim_delta_present")</x:f>
        <x:v>no_claim_delta</x:v>
      </x:c>
      <x:c r="AB1567" s="12" t="str">
        <x:f>IF(S1567="","no_contradiction_delta","contradiction_delta_present")</x:f>
        <x:v>no_contradiction_delta</x:v>
      </x:c>
      <x:c r="AC1567" s="12" t="str">
        <x:f>IF(OR(ISNUMBER(SEARCH("hacker",LOWER(F1567&amp;" "&amp;H1567&amp;" "&amp;I1567&amp;" "&amp;M1567&amp;" "&amp;N1567&amp;" "&amp;T1567))),ISNUMBER(SEARCH("hacking",LOWER(F1567&amp;" "&amp;H1567&amp;" "&amp;I1567&amp;" "&amp;M1567&amp;" "&amp;N1567&amp;" "&amp;T1567))),ISNUMBER(SEARCH("bank",LOWER(F1567&amp;" "&amp;H1567&amp;" "&amp;I1567&amp;" "&amp;M1567&amp;" "&amp;N1567&amp;" "&amp;T1567))),ISNUMBER(SEARCH("banking",LOWER(F1567&amp;" "&amp;H1567&amp;" "&amp;I1567&amp;" "&amp;M1567&amp;" "&amp;N1567&amp;" "&amp;T1567)))),"PRIVATE_QUARANTINE",IF(OR(ISNUMBER(SEARCH("treasury",LOWER(F1567&amp;" "&amp;H1567&amp;" "&amp;I1567&amp;" "&amp;M1567&amp;" "&amp;N1567&amp;" "&amp;T1567))),ISNUMBER(SEARCH("debt",LOWER(F1567&amp;" "&amp;H1567&amp;" "&amp;I1567&amp;" "&amp;M1567&amp;" "&amp;N1567&amp;" "&amp;T1567))),ISNUMBER(SEARCH("bond",LOWER(F1567&amp;" "&amp;H1567&amp;" "&amp;I1567&amp;" "&amp;M1567&amp;" "&amp;N1567&amp;" "&amp;T1567))),ISNUMBER(SEARCH("transaction",LOWER(F1567&amp;" "&amp;H1567&amp;" "&amp;I1567&amp;" "&amp;M1567&amp;" "&amp;N1567&amp;" "&amp;T1567)))),"PRIVATE_REVIEW","PUBLIC_CANDIDATE"))</x:f>
        <x:v>PUBLIC_CANDIDATE</x:v>
      </x:c>
      <x:c r="AD1567" s="12" t="str">
        <x:f>IF(AC1567="PRIVATE_QUARANTINE","hacker_or_bank_trigger",IF(AC1567="PRIVATE_REVIEW","finance_risk_trigger","none"))</x:f>
        <x:v>none</x:v>
      </x:c>
      <x:c r="AE1567" s="12" t="str">
        <x:f>IF(AC1567="PUBLIC_CANDIDATE","prepare_public_github_candidate",IF(AC1567="PRIVATE_REVIEW","hold_for_private_review","quarantine_private_do_not_publish"))</x:f>
        <x:v>prepare_public_github_candidate</x:v>
      </x:c>
      <x:c r="AF1567" s="12" t="str">
        <x:f>IF(AC1567="PUBLIC_CANDIDATE","TIDELOCK + Lucerna",IF(AC1567="PRIVATE_REVIEW","AtlasBrain + Lucerna","TIDELOCK + Lucerna + Human-root"))</x:f>
        <x:v>TIDELOCK + Lucerna</x:v>
      </x:c>
      <x:c r="AG1567" s="12" t="str">
        <x:f>IF(AND(AC1567="PUBLIC_CANDIDATE",U1567&lt;&gt;"BLOCKED_PENDING_RECEIPT"),"READY_AFTER_RECEIPT","NOT_READY")</x:f>
        <x:v>NOT_READY</x:v>
      </x:c>
      <x:c r="AH1567" s="12" t="str">
        <x:f>IF(AC1567="PUBLIC_CANDIDATE","none",AD1567)</x:f>
        <x:v>none</x:v>
      </x:c>
      <x:c r="AI1567" s="12" t="str">
        <x:f>IF(AC1567="PUBLIC_CANDIDATE","archive/public_candidates/"&amp;A1567,"private_quarantine/"&amp;A1567)</x:f>
        <x:v>archive/public_candidates/SWARM-11-H11-S06</x:v>
      </x:c>
      <x:c r="AJ1567" s="12" t="str">
        <x:f>IF(AC1567="PUBLIC_CANDIDATE","public by default; still not canon","private/hold; do not publish")</x:f>
        <x:v>public by default; still not canon</x:v>
      </x:c>
      <x:c r="AK1567" s="12" t="str">
        <x:f>IF(AE1567="prepare_public_github_candidate","add receipt/status then mirror","resolve blocker before any public GitHub action")</x:f>
        <x:v>add receipt/status then mirror</x:v>
      </x:c>
    </x:row>
    <x:row r="1568">
      <x:c r="A1568" s="15" t="str">
        <x:v>SWARM-11-H11-S07</x:v>
      </x:c>
      <x:c r="B1568" s="15" t="str">
        <x:v>ClaudeCatcher</x:v>
      </x:c>
      <x:c r="C1568" s="15" t="str">
        <x:v>Bullshit Olympics referee</x:v>
      </x:c>
      <x:c r="D1568" s="15" t="str">
        <x:v>Aetherforge UX</x:v>
      </x:c>
      <x:c r="E1568" s="15" t="str">
        <x:v>Planetarium</x:v>
      </x:c>
      <x:c r="F1568" s="15" t="str">
        <x:v>Design quest card for Planetarium — ClaudeCatcher</x:v>
      </x:c>
      <x:c r="G1568" s="15" t="str">
        <x:v>adversarial claims / model overclaim detection</x:v>
      </x:c>
      <x:c r="H1568" s="15" t="str">
        <x:v>source path + receipt + raw/export status + claim/edge/risk delta</x:v>
      </x:c>
      <x:c r="I1568" s="15" t="str">
        <x:v>packet/SWARM-11-H11-S07</x:v>
      </x:c>
      <x:c r="J1568" s="15" t="str">
        <x:v>TODO</x:v>
      </x:c>
      <x:c r="K1568" s="15" t="str">
        <x:v>P1</x:v>
      </x:c>
      <x:c r="L1568" s="15" t="str">
        <x:v>Done only when evidence is logged, contradiction search is noted, and boundary stamp remains non-canon unless ratified</x:v>
      </x:c>
      <x:c r="M1568" s="15" t="str">
        <x:v>candidate / staging-only / not canon / not deployed / authority none</x:v>
      </x:c>
      <x:c r="N1568" s="15" t="str">
        <x:v>Dispatch to ClaudeCatcher: complete Aetherforge UX x Planetarium; return deltas only, receipts required.</x:v>
      </x:c>
      <x:c r="O1568" s="15" t="str">
        <x:v>AF-KG-H11-S07</x:v>
      </x:c>
      <x:c r="P1568" s="15" t="str">
        <x:v>Unverified</x:v>
      </x:c>
      <x:c r="Q1568" s="15" t="str">
        <x:v>Not checked</x:v>
      </x:c>
      <x:c r="R1568" s="15" t="str"/>
      <x:c r="S1568" s="15" t="str"/>
      <x:c r="T1568" s="15" t="str">
        <x:v>Log first source path or blocker</x:v>
      </x:c>
      <x:c r="U1568" s="12" t="str">
        <x:f>IF(OR(P1568="Unverified",Q1568="Not checked"),"BLOCKED_PENDING_RECEIPT","READY_FOR_REVIEW")</x:f>
        <x:v>BLOCKED_PENDING_RECEIPT</x:v>
      </x:c>
      <x:c r="V1568" s="12" t="str">
        <x:f>IF(J1568="DONE","RETURNED",IF(U1568="BLOCKED_PENDING_RECEIPT","SOURCE_TOUCH_REQUIRED","IN_PROGRESS"))</x:f>
        <x:v>SOURCE_TOUCH_REQUIRED</x:v>
      </x:c>
      <x:c r="W1568" s="12" t="str">
        <x:f>IF(P1568="Unverified","missing_receipt","receipt_logged")</x:f>
        <x:v>missing_receipt</x:v>
      </x:c>
      <x:c r="X1568" s="12" t="str">
        <x:f>IF(Q1568="Not checked","raw_status_missing","raw_status_logged")</x:f>
        <x:v>raw_status_missing</x:v>
      </x:c>
      <x:c r="Y1568" s="12" t="str">
        <x:f>IF(U1568="BLOCKED_PENDING_RECEIPT","Log source path or blocker; do not promote","Route to review lane")</x:f>
        <x:v>Log source path or blocker; do not promote</x:v>
      </x:c>
      <x:c r="Z1568" s="12" t="str">
        <x:f>IF(K1568="P0","Primary seat + Hashlight/Lucerna","Seat lane")</x:f>
        <x:v>Seat lane</x:v>
      </x:c>
      <x:c r="AA1568" s="12" t="str">
        <x:f>IF(R1568="","no_claim_delta","claim_delta_present")</x:f>
        <x:v>no_claim_delta</x:v>
      </x:c>
      <x:c r="AB1568" s="12" t="str">
        <x:f>IF(S1568="","no_contradiction_delta","contradiction_delta_present")</x:f>
        <x:v>no_contradiction_delta</x:v>
      </x:c>
      <x:c r="AC1568" s="12" t="str">
        <x:f>IF(OR(ISNUMBER(SEARCH("hacker",LOWER(F1568&amp;" "&amp;H1568&amp;" "&amp;I1568&amp;" "&amp;M1568&amp;" "&amp;N1568&amp;" "&amp;T1568))),ISNUMBER(SEARCH("hacking",LOWER(F1568&amp;" "&amp;H1568&amp;" "&amp;I1568&amp;" "&amp;M1568&amp;" "&amp;N1568&amp;" "&amp;T1568))),ISNUMBER(SEARCH("bank",LOWER(F1568&amp;" "&amp;H1568&amp;" "&amp;I1568&amp;" "&amp;M1568&amp;" "&amp;N1568&amp;" "&amp;T1568))),ISNUMBER(SEARCH("banking",LOWER(F1568&amp;" "&amp;H1568&amp;" "&amp;I1568&amp;" "&amp;M1568&amp;" "&amp;N1568&amp;" "&amp;T1568)))),"PRIVATE_QUARANTINE",IF(OR(ISNUMBER(SEARCH("treasury",LOWER(F1568&amp;" "&amp;H1568&amp;" "&amp;I1568&amp;" "&amp;M1568&amp;" "&amp;N1568&amp;" "&amp;T1568))),ISNUMBER(SEARCH("debt",LOWER(F1568&amp;" "&amp;H1568&amp;" "&amp;I1568&amp;" "&amp;M1568&amp;" "&amp;N1568&amp;" "&amp;T1568))),ISNUMBER(SEARCH("bond",LOWER(F1568&amp;" "&amp;H1568&amp;" "&amp;I1568&amp;" "&amp;M1568&amp;" "&amp;N1568&amp;" "&amp;T1568))),ISNUMBER(SEARCH("transaction",LOWER(F1568&amp;" "&amp;H1568&amp;" "&amp;I1568&amp;" "&amp;M1568&amp;" "&amp;N1568&amp;" "&amp;T1568)))),"PRIVATE_REVIEW","PUBLIC_CANDIDATE"))</x:f>
        <x:v>PUBLIC_CANDIDATE</x:v>
      </x:c>
      <x:c r="AD1568" s="12" t="str">
        <x:f>IF(AC1568="PRIVATE_QUARANTINE","hacker_or_bank_trigger",IF(AC1568="PRIVATE_REVIEW","finance_risk_trigger","none"))</x:f>
        <x:v>none</x:v>
      </x:c>
      <x:c r="AE1568" s="12" t="str">
        <x:f>IF(AC1568="PUBLIC_CANDIDATE","prepare_public_github_candidate",IF(AC1568="PRIVATE_REVIEW","hold_for_private_review","quarantine_private_do_not_publish"))</x:f>
        <x:v>prepare_public_github_candidate</x:v>
      </x:c>
      <x:c r="AF1568" s="12" t="str">
        <x:f>IF(AC1568="PUBLIC_CANDIDATE","TIDELOCK + Lucerna",IF(AC1568="PRIVATE_REVIEW","AtlasBrain + Lucerna","TIDELOCK + Lucerna + Human-root"))</x:f>
        <x:v>TIDELOCK + Lucerna</x:v>
      </x:c>
      <x:c r="AG1568" s="12" t="str">
        <x:f>IF(AND(AC1568="PUBLIC_CANDIDATE",U1568&lt;&gt;"BLOCKED_PENDING_RECEIPT"),"READY_AFTER_RECEIPT","NOT_READY")</x:f>
        <x:v>NOT_READY</x:v>
      </x:c>
      <x:c r="AH1568" s="12" t="str">
        <x:f>IF(AC1568="PUBLIC_CANDIDATE","none",AD1568)</x:f>
        <x:v>none</x:v>
      </x:c>
      <x:c r="AI1568" s="12" t="str">
        <x:f>IF(AC1568="PUBLIC_CANDIDATE","archive/public_candidates/"&amp;A1568,"private_quarantine/"&amp;A1568)</x:f>
        <x:v>archive/public_candidates/SWARM-11-H11-S07</x:v>
      </x:c>
      <x:c r="AJ1568" s="12" t="str">
        <x:f>IF(AC1568="PUBLIC_CANDIDATE","public by default; still not canon","private/hold; do not publish")</x:f>
        <x:v>public by default; still not canon</x:v>
      </x:c>
      <x:c r="AK1568" s="12" t="str">
        <x:f>IF(AE1568="prepare_public_github_candidate","add receipt/status then mirror","resolve blocker before any public GitHub action")</x:f>
        <x:v>add receipt/status then mirror</x:v>
      </x:c>
    </x:row>
    <x:row r="1569">
      <x:c r="A1569" s="15" t="str">
        <x:v>SWARM-11-H11-S08</x:v>
      </x:c>
      <x:c r="B1569" s="15" t="str">
        <x:v>ClaudeCatcher</x:v>
      </x:c>
      <x:c r="C1569" s="15" t="str">
        <x:v>Bullshit Olympics referee</x:v>
      </x:c>
      <x:c r="D1569" s="15" t="str">
        <x:v>Aetherforge UX</x:v>
      </x:c>
      <x:c r="E1569" s="15" t="str">
        <x:v>Sheldonbrain</x:v>
      </x:c>
      <x:c r="F1569" s="15" t="str">
        <x:v>Design quest card for Sheldonbrain — ClaudeCatcher</x:v>
      </x:c>
      <x:c r="G1569" s="15" t="str">
        <x:v>adversarial claims / model overclaim detection</x:v>
      </x:c>
      <x:c r="H1569" s="15" t="str">
        <x:v>source path + receipt + raw/export status + claim/edge/risk delta</x:v>
      </x:c>
      <x:c r="I1569" s="15" t="str">
        <x:v>packet/SWARM-11-H11-S08</x:v>
      </x:c>
      <x:c r="J1569" s="15" t="str">
        <x:v>TODO</x:v>
      </x:c>
      <x:c r="K1569" s="15" t="str">
        <x:v>P1</x:v>
      </x:c>
      <x:c r="L1569" s="15" t="str">
        <x:v>Done only when evidence is logged, contradiction search is noted, and boundary stamp remains non-canon unless ratified</x:v>
      </x:c>
      <x:c r="M1569" s="15" t="str">
        <x:v>candidate / staging-only / not canon / not deployed / authority none</x:v>
      </x:c>
      <x:c r="N1569" s="15" t="str">
        <x:v>Dispatch to ClaudeCatcher: complete Aetherforge UX x Sheldonbrain; return deltas only, receipts required.</x:v>
      </x:c>
      <x:c r="O1569" s="15" t="str">
        <x:v>AF-KG-H11-S08</x:v>
      </x:c>
      <x:c r="P1569" s="15" t="str">
        <x:v>Unverified</x:v>
      </x:c>
      <x:c r="Q1569" s="15" t="str">
        <x:v>Not checked</x:v>
      </x:c>
      <x:c r="R1569" s="15" t="str"/>
      <x:c r="S1569" s="15" t="str"/>
      <x:c r="T1569" s="15" t="str">
        <x:v>Log first source path or blocker</x:v>
      </x:c>
      <x:c r="U1569" s="12" t="str">
        <x:f>IF(OR(P1569="Unverified",Q1569="Not checked"),"BLOCKED_PENDING_RECEIPT","READY_FOR_REVIEW")</x:f>
        <x:v>BLOCKED_PENDING_RECEIPT</x:v>
      </x:c>
      <x:c r="V1569" s="12" t="str">
        <x:f>IF(J1569="DONE","RETURNED",IF(U1569="BLOCKED_PENDING_RECEIPT","SOURCE_TOUCH_REQUIRED","IN_PROGRESS"))</x:f>
        <x:v>SOURCE_TOUCH_REQUIRED</x:v>
      </x:c>
      <x:c r="W1569" s="12" t="str">
        <x:f>IF(P1569="Unverified","missing_receipt","receipt_logged")</x:f>
        <x:v>missing_receipt</x:v>
      </x:c>
      <x:c r="X1569" s="12" t="str">
        <x:f>IF(Q1569="Not checked","raw_status_missing","raw_status_logged")</x:f>
        <x:v>raw_status_missing</x:v>
      </x:c>
      <x:c r="Y1569" s="12" t="str">
        <x:f>IF(U1569="BLOCKED_PENDING_RECEIPT","Log source path or blocker; do not promote","Route to review lane")</x:f>
        <x:v>Log source path or blocker; do not promote</x:v>
      </x:c>
      <x:c r="Z1569" s="12" t="str">
        <x:f>IF(K1569="P0","Primary seat + Hashlight/Lucerna","Seat lane")</x:f>
        <x:v>Seat lane</x:v>
      </x:c>
      <x:c r="AA1569" s="12" t="str">
        <x:f>IF(R1569="","no_claim_delta","claim_delta_present")</x:f>
        <x:v>no_claim_delta</x:v>
      </x:c>
      <x:c r="AB1569" s="12" t="str">
        <x:f>IF(S1569="","no_contradiction_delta","contradiction_delta_present")</x:f>
        <x:v>no_contradiction_delta</x:v>
      </x:c>
      <x:c r="AC1569" s="12" t="str">
        <x:f>IF(OR(ISNUMBER(SEARCH("hacker",LOWER(F1569&amp;" "&amp;H1569&amp;" "&amp;I1569&amp;" "&amp;M1569&amp;" "&amp;N1569&amp;" "&amp;T1569))),ISNUMBER(SEARCH("hacking",LOWER(F1569&amp;" "&amp;H1569&amp;" "&amp;I1569&amp;" "&amp;M1569&amp;" "&amp;N1569&amp;" "&amp;T1569))),ISNUMBER(SEARCH("bank",LOWER(F1569&amp;" "&amp;H1569&amp;" "&amp;I1569&amp;" "&amp;M1569&amp;" "&amp;N1569&amp;" "&amp;T1569))),ISNUMBER(SEARCH("banking",LOWER(F1569&amp;" "&amp;H1569&amp;" "&amp;I1569&amp;" "&amp;M1569&amp;" "&amp;N1569&amp;" "&amp;T1569)))),"PRIVATE_QUARANTINE",IF(OR(ISNUMBER(SEARCH("treasury",LOWER(F1569&amp;" "&amp;H1569&amp;" "&amp;I1569&amp;" "&amp;M1569&amp;" "&amp;N1569&amp;" "&amp;T1569))),ISNUMBER(SEARCH("debt",LOWER(F1569&amp;" "&amp;H1569&amp;" "&amp;I1569&amp;" "&amp;M1569&amp;" "&amp;N1569&amp;" "&amp;T1569))),ISNUMBER(SEARCH("bond",LOWER(F1569&amp;" "&amp;H1569&amp;" "&amp;I1569&amp;" "&amp;M1569&amp;" "&amp;N1569&amp;" "&amp;T1569))),ISNUMBER(SEARCH("transaction",LOWER(F1569&amp;" "&amp;H1569&amp;" "&amp;I1569&amp;" "&amp;M1569&amp;" "&amp;N1569&amp;" "&amp;T1569)))),"PRIVATE_REVIEW","PUBLIC_CANDIDATE"))</x:f>
        <x:v>PUBLIC_CANDIDATE</x:v>
      </x:c>
      <x:c r="AD1569" s="12" t="str">
        <x:f>IF(AC1569="PRIVATE_QUARANTINE","hacker_or_bank_trigger",IF(AC1569="PRIVATE_REVIEW","finance_risk_trigger","none"))</x:f>
        <x:v>none</x:v>
      </x:c>
      <x:c r="AE1569" s="12" t="str">
        <x:f>IF(AC1569="PUBLIC_CANDIDATE","prepare_public_github_candidate",IF(AC1569="PRIVATE_REVIEW","hold_for_private_review","quarantine_private_do_not_publish"))</x:f>
        <x:v>prepare_public_github_candidate</x:v>
      </x:c>
      <x:c r="AF1569" s="12" t="str">
        <x:f>IF(AC1569="PUBLIC_CANDIDATE","TIDELOCK + Lucerna",IF(AC1569="PRIVATE_REVIEW","AtlasBrain + Lucerna","TIDELOCK + Lucerna + Human-root"))</x:f>
        <x:v>TIDELOCK + Lucerna</x:v>
      </x:c>
      <x:c r="AG1569" s="12" t="str">
        <x:f>IF(AND(AC1569="PUBLIC_CANDIDATE",U1569&lt;&gt;"BLOCKED_PENDING_RECEIPT"),"READY_AFTER_RECEIPT","NOT_READY")</x:f>
        <x:v>NOT_READY</x:v>
      </x:c>
      <x:c r="AH1569" s="12" t="str">
        <x:f>IF(AC1569="PUBLIC_CANDIDATE","none",AD1569)</x:f>
        <x:v>none</x:v>
      </x:c>
      <x:c r="AI1569" s="12" t="str">
        <x:f>IF(AC1569="PUBLIC_CANDIDATE","archive/public_candidates/"&amp;A1569,"private_quarantine/"&amp;A1569)</x:f>
        <x:v>archive/public_candidates/SWARM-11-H11-S08</x:v>
      </x:c>
      <x:c r="AJ1569" s="12" t="str">
        <x:f>IF(AC1569="PUBLIC_CANDIDATE","public by default; still not canon","private/hold; do not publish")</x:f>
        <x:v>public by default; still not canon</x:v>
      </x:c>
      <x:c r="AK1569" s="12" t="str">
        <x:f>IF(AE1569="prepare_public_github_candidate","add receipt/status then mirror","resolve blocker before any public GitHub action")</x:f>
        <x:v>add receipt/status then mirror</x:v>
      </x:c>
    </x:row>
    <x:row r="1570">
      <x:c r="A1570" s="15" t="str">
        <x:v>SWARM-11-H11-S09</x:v>
      </x:c>
      <x:c r="B1570" s="15" t="str">
        <x:v>ClaudeCatcher</x:v>
      </x:c>
      <x:c r="C1570" s="15" t="str">
        <x:v>Bullshit Olympics referee</x:v>
      </x:c>
      <x:c r="D1570" s="15" t="str">
        <x:v>Aetherforge UX</x:v>
      </x:c>
      <x:c r="E1570" s="15" t="str">
        <x:v>Aetherforge</x:v>
      </x:c>
      <x:c r="F1570" s="15" t="str">
        <x:v>Design quest card for Aetherforge — ClaudeCatcher</x:v>
      </x:c>
      <x:c r="G1570" s="15" t="str">
        <x:v>adversarial claims / model overclaim detection</x:v>
      </x:c>
      <x:c r="H1570" s="15" t="str">
        <x:v>source path + receipt + raw/export status + claim/edge/risk delta</x:v>
      </x:c>
      <x:c r="I1570" s="15" t="str">
        <x:v>packet/SWARM-11-H11-S09</x:v>
      </x:c>
      <x:c r="J1570" s="15" t="str">
        <x:v>TODO</x:v>
      </x:c>
      <x:c r="K1570" s="15" t="str">
        <x:v>P2</x:v>
      </x:c>
      <x:c r="L1570" s="15" t="str">
        <x:v>Done only when evidence is logged, contradiction search is noted, and boundary stamp remains non-canon unless ratified</x:v>
      </x:c>
      <x:c r="M1570" s="15" t="str">
        <x:v>candidate / staging-only / not canon / not deployed / authority none</x:v>
      </x:c>
      <x:c r="N1570" s="15" t="str">
        <x:v>Dispatch to ClaudeCatcher: complete Aetherforge UX x Aetherforge; return deltas only, receipts required.</x:v>
      </x:c>
      <x:c r="O1570" s="15" t="str">
        <x:v>AF-KG-H11-S09</x:v>
      </x:c>
      <x:c r="P1570" s="15" t="str">
        <x:v>Unverified</x:v>
      </x:c>
      <x:c r="Q1570" s="15" t="str">
        <x:v>Not checked</x:v>
      </x:c>
      <x:c r="R1570" s="15" t="str"/>
      <x:c r="S1570" s="15" t="str"/>
      <x:c r="T1570" s="15" t="str">
        <x:v>Log first source path or blocker</x:v>
      </x:c>
      <x:c r="U1570" s="12" t="str">
        <x:f>IF(OR(P1570="Unverified",Q1570="Not checked"),"BLOCKED_PENDING_RECEIPT","READY_FOR_REVIEW")</x:f>
        <x:v>BLOCKED_PENDING_RECEIPT</x:v>
      </x:c>
      <x:c r="V1570" s="12" t="str">
        <x:f>IF(J1570="DONE","RETURNED",IF(U1570="BLOCKED_PENDING_RECEIPT","SOURCE_TOUCH_REQUIRED","IN_PROGRESS"))</x:f>
        <x:v>SOURCE_TOUCH_REQUIRED</x:v>
      </x:c>
      <x:c r="W1570" s="12" t="str">
        <x:f>IF(P1570="Unverified","missing_receipt","receipt_logged")</x:f>
        <x:v>missing_receipt</x:v>
      </x:c>
      <x:c r="X1570" s="12" t="str">
        <x:f>IF(Q1570="Not checked","raw_status_missing","raw_status_logged")</x:f>
        <x:v>raw_status_missing</x:v>
      </x:c>
      <x:c r="Y1570" s="12" t="str">
        <x:f>IF(U1570="BLOCKED_PENDING_RECEIPT","Log source path or blocker; do not promote","Route to review lane")</x:f>
        <x:v>Log source path or blocker; do not promote</x:v>
      </x:c>
      <x:c r="Z1570" s="12" t="str">
        <x:f>IF(K1570="P0","Primary seat + Hashlight/Lucerna","Seat lane")</x:f>
        <x:v>Seat lane</x:v>
      </x:c>
      <x:c r="AA1570" s="12" t="str">
        <x:f>IF(R1570="","no_claim_delta","claim_delta_present")</x:f>
        <x:v>no_claim_delta</x:v>
      </x:c>
      <x:c r="AB1570" s="12" t="str">
        <x:f>IF(S1570="","no_contradiction_delta","contradiction_delta_present")</x:f>
        <x:v>no_contradiction_delta</x:v>
      </x:c>
      <x:c r="AC1570" s="12" t="str">
        <x:f>IF(OR(ISNUMBER(SEARCH("hacker",LOWER(F1570&amp;" "&amp;H1570&amp;" "&amp;I1570&amp;" "&amp;M1570&amp;" "&amp;N1570&amp;" "&amp;T1570))),ISNUMBER(SEARCH("hacking",LOWER(F1570&amp;" "&amp;H1570&amp;" "&amp;I1570&amp;" "&amp;M1570&amp;" "&amp;N1570&amp;" "&amp;T1570))),ISNUMBER(SEARCH("bank",LOWER(F1570&amp;" "&amp;H1570&amp;" "&amp;I1570&amp;" "&amp;M1570&amp;" "&amp;N1570&amp;" "&amp;T1570))),ISNUMBER(SEARCH("banking",LOWER(F1570&amp;" "&amp;H1570&amp;" "&amp;I1570&amp;" "&amp;M1570&amp;" "&amp;N1570&amp;" "&amp;T1570)))),"PRIVATE_QUARANTINE",IF(OR(ISNUMBER(SEARCH("treasury",LOWER(F1570&amp;" "&amp;H1570&amp;" "&amp;I1570&amp;" "&amp;M1570&amp;" "&amp;N1570&amp;" "&amp;T1570))),ISNUMBER(SEARCH("debt",LOWER(F1570&amp;" "&amp;H1570&amp;" "&amp;I1570&amp;" "&amp;M1570&amp;" "&amp;N1570&amp;" "&amp;T1570))),ISNUMBER(SEARCH("bond",LOWER(F1570&amp;" "&amp;H1570&amp;" "&amp;I1570&amp;" "&amp;M1570&amp;" "&amp;N1570&amp;" "&amp;T1570))),ISNUMBER(SEARCH("transaction",LOWER(F1570&amp;" "&amp;H1570&amp;" "&amp;I1570&amp;" "&amp;M1570&amp;" "&amp;N1570&amp;" "&amp;T1570)))),"PRIVATE_REVIEW","PUBLIC_CANDIDATE"))</x:f>
        <x:v>PUBLIC_CANDIDATE</x:v>
      </x:c>
      <x:c r="AD1570" s="12" t="str">
        <x:f>IF(AC1570="PRIVATE_QUARANTINE","hacker_or_bank_trigger",IF(AC1570="PRIVATE_REVIEW","finance_risk_trigger","none"))</x:f>
        <x:v>none</x:v>
      </x:c>
      <x:c r="AE1570" s="12" t="str">
        <x:f>IF(AC1570="PUBLIC_CANDIDATE","prepare_public_github_candidate",IF(AC1570="PRIVATE_REVIEW","hold_for_private_review","quarantine_private_do_not_publish"))</x:f>
        <x:v>prepare_public_github_candidate</x:v>
      </x:c>
      <x:c r="AF1570" s="12" t="str">
        <x:f>IF(AC1570="PUBLIC_CANDIDATE","TIDELOCK + Lucerna",IF(AC1570="PRIVATE_REVIEW","AtlasBrain + Lucerna","TIDELOCK + Lucerna + Human-root"))</x:f>
        <x:v>TIDELOCK + Lucerna</x:v>
      </x:c>
      <x:c r="AG1570" s="12" t="str">
        <x:f>IF(AND(AC1570="PUBLIC_CANDIDATE",U1570&lt;&gt;"BLOCKED_PENDING_RECEIPT"),"READY_AFTER_RECEIPT","NOT_READY")</x:f>
        <x:v>NOT_READY</x:v>
      </x:c>
      <x:c r="AH1570" s="12" t="str">
        <x:f>IF(AC1570="PUBLIC_CANDIDATE","none",AD1570)</x:f>
        <x:v>none</x:v>
      </x:c>
      <x:c r="AI1570" s="12" t="str">
        <x:f>IF(AC1570="PUBLIC_CANDIDATE","archive/public_candidates/"&amp;A1570,"private_quarantine/"&amp;A1570)</x:f>
        <x:v>archive/public_candidates/SWARM-11-H11-S09</x:v>
      </x:c>
      <x:c r="AJ1570" s="12" t="str">
        <x:f>IF(AC1570="PUBLIC_CANDIDATE","public by default; still not canon","private/hold; do not publish")</x:f>
        <x:v>public by default; still not canon</x:v>
      </x:c>
      <x:c r="AK1570" s="12" t="str">
        <x:f>IF(AE1570="prepare_public_github_candidate","add receipt/status then mirror","resolve blocker before any public GitHub action")</x:f>
        <x:v>add receipt/status then mirror</x:v>
      </x:c>
    </x:row>
    <x:row r="1571">
      <x:c r="A1571" s="15" t="str">
        <x:v>SWARM-11-H11-S10</x:v>
      </x:c>
      <x:c r="B1571" s="15" t="str">
        <x:v>ClaudeCatcher</x:v>
      </x:c>
      <x:c r="C1571" s="15" t="str">
        <x:v>Bullshit Olympics referee</x:v>
      </x:c>
      <x:c r="D1571" s="15" t="str">
        <x:v>Aetherforge UX</x:v>
      </x:c>
      <x:c r="E1571" s="15" t="str">
        <x:v>Human-Root</x:v>
      </x:c>
      <x:c r="F1571" s="15" t="str">
        <x:v>Design quest card for Human-Root — ClaudeCatcher</x:v>
      </x:c>
      <x:c r="G1571" s="15" t="str">
        <x:v>adversarial claims / model overclaim detection</x:v>
      </x:c>
      <x:c r="H1571" s="15" t="str">
        <x:v>source path + receipt + raw/export status + claim/edge/risk delta</x:v>
      </x:c>
      <x:c r="I1571" s="15" t="str">
        <x:v>packet/SWARM-11-H11-S10</x:v>
      </x:c>
      <x:c r="J1571" s="15" t="str">
        <x:v>TODO</x:v>
      </x:c>
      <x:c r="K1571" s="15" t="str">
        <x:v>P2</x:v>
      </x:c>
      <x:c r="L1571" s="15" t="str">
        <x:v>Done only when evidence is logged, contradiction search is noted, and boundary stamp remains non-canon unless ratified</x:v>
      </x:c>
      <x:c r="M1571" s="15" t="str">
        <x:v>candidate / staging-only / not canon / not deployed / authority none</x:v>
      </x:c>
      <x:c r="N1571" s="15" t="str">
        <x:v>Dispatch to ClaudeCatcher: complete Aetherforge UX x Human-Root; return deltas only, receipts required.</x:v>
      </x:c>
      <x:c r="O1571" s="15" t="str">
        <x:v>AF-KG-H11-S10</x:v>
      </x:c>
      <x:c r="P1571" s="15" t="str">
        <x:v>Unverified</x:v>
      </x:c>
      <x:c r="Q1571" s="15" t="str">
        <x:v>Not checked</x:v>
      </x:c>
      <x:c r="R1571" s="15" t="str"/>
      <x:c r="S1571" s="15" t="str"/>
      <x:c r="T1571" s="15" t="str">
        <x:v>Log first source path or blocker</x:v>
      </x:c>
      <x:c r="U1571" s="12" t="str">
        <x:f>IF(OR(P1571="Unverified",Q1571="Not checked"),"BLOCKED_PENDING_RECEIPT","READY_FOR_REVIEW")</x:f>
        <x:v>BLOCKED_PENDING_RECEIPT</x:v>
      </x:c>
      <x:c r="V1571" s="12" t="str">
        <x:f>IF(J1571="DONE","RETURNED",IF(U1571="BLOCKED_PENDING_RECEIPT","SOURCE_TOUCH_REQUIRED","IN_PROGRESS"))</x:f>
        <x:v>SOURCE_TOUCH_REQUIRED</x:v>
      </x:c>
      <x:c r="W1571" s="12" t="str">
        <x:f>IF(P1571="Unverified","missing_receipt","receipt_logged")</x:f>
        <x:v>missing_receipt</x:v>
      </x:c>
      <x:c r="X1571" s="12" t="str">
        <x:f>IF(Q1571="Not checked","raw_status_missing","raw_status_logged")</x:f>
        <x:v>raw_status_missing</x:v>
      </x:c>
      <x:c r="Y1571" s="12" t="str">
        <x:f>IF(U1571="BLOCKED_PENDING_RECEIPT","Log source path or blocker; do not promote","Route to review lane")</x:f>
        <x:v>Log source path or blocker; do not promote</x:v>
      </x:c>
      <x:c r="Z1571" s="12" t="str">
        <x:f>IF(K1571="P0","Primary seat + Hashlight/Lucerna","Seat lane")</x:f>
        <x:v>Seat lane</x:v>
      </x:c>
      <x:c r="AA1571" s="12" t="str">
        <x:f>IF(R1571="","no_claim_delta","claim_delta_present")</x:f>
        <x:v>no_claim_delta</x:v>
      </x:c>
      <x:c r="AB1571" s="12" t="str">
        <x:f>IF(S1571="","no_contradiction_delta","contradiction_delta_present")</x:f>
        <x:v>no_contradiction_delta</x:v>
      </x:c>
      <x:c r="AC1571" s="12" t="str">
        <x:f>IF(OR(ISNUMBER(SEARCH("hacker",LOWER(F1571&amp;" "&amp;H1571&amp;" "&amp;I1571&amp;" "&amp;M1571&amp;" "&amp;N1571&amp;" "&amp;T1571))),ISNUMBER(SEARCH("hacking",LOWER(F1571&amp;" "&amp;H1571&amp;" "&amp;I1571&amp;" "&amp;M1571&amp;" "&amp;N1571&amp;" "&amp;T1571))),ISNUMBER(SEARCH("bank",LOWER(F1571&amp;" "&amp;H1571&amp;" "&amp;I1571&amp;" "&amp;M1571&amp;" "&amp;N1571&amp;" "&amp;T1571))),ISNUMBER(SEARCH("banking",LOWER(F1571&amp;" "&amp;H1571&amp;" "&amp;I1571&amp;" "&amp;M1571&amp;" "&amp;N1571&amp;" "&amp;T1571)))),"PRIVATE_QUARANTINE",IF(OR(ISNUMBER(SEARCH("treasury",LOWER(F1571&amp;" "&amp;H1571&amp;" "&amp;I1571&amp;" "&amp;M1571&amp;" "&amp;N1571&amp;" "&amp;T1571))),ISNUMBER(SEARCH("debt",LOWER(F1571&amp;" "&amp;H1571&amp;" "&amp;I1571&amp;" "&amp;M1571&amp;" "&amp;N1571&amp;" "&amp;T1571))),ISNUMBER(SEARCH("bond",LOWER(F1571&amp;" "&amp;H1571&amp;" "&amp;I1571&amp;" "&amp;M1571&amp;" "&amp;N1571&amp;" "&amp;T1571))),ISNUMBER(SEARCH("transaction",LOWER(F1571&amp;" "&amp;H1571&amp;" "&amp;I1571&amp;" "&amp;M1571&amp;" "&amp;N1571&amp;" "&amp;T1571)))),"PRIVATE_REVIEW","PUBLIC_CANDIDATE"))</x:f>
        <x:v>PUBLIC_CANDIDATE</x:v>
      </x:c>
      <x:c r="AD1571" s="12" t="str">
        <x:f>IF(AC1571="PRIVATE_QUARANTINE","hacker_or_bank_trigger",IF(AC1571="PRIVATE_REVIEW","finance_risk_trigger","none"))</x:f>
        <x:v>none</x:v>
      </x:c>
      <x:c r="AE1571" s="12" t="str">
        <x:f>IF(AC1571="PUBLIC_CANDIDATE","prepare_public_github_candidate",IF(AC1571="PRIVATE_REVIEW","hold_for_private_review","quarantine_private_do_not_publish"))</x:f>
        <x:v>prepare_public_github_candidate</x:v>
      </x:c>
      <x:c r="AF1571" s="12" t="str">
        <x:f>IF(AC1571="PUBLIC_CANDIDATE","TIDELOCK + Lucerna",IF(AC1571="PRIVATE_REVIEW","AtlasBrain + Lucerna","TIDELOCK + Lucerna + Human-root"))</x:f>
        <x:v>TIDELOCK + Lucerna</x:v>
      </x:c>
      <x:c r="AG1571" s="12" t="str">
        <x:f>IF(AND(AC1571="PUBLIC_CANDIDATE",U1571&lt;&gt;"BLOCKED_PENDING_RECEIPT"),"READY_AFTER_RECEIPT","NOT_READY")</x:f>
        <x:v>NOT_READY</x:v>
      </x:c>
      <x:c r="AH1571" s="12" t="str">
        <x:f>IF(AC1571="PUBLIC_CANDIDATE","none",AD1571)</x:f>
        <x:v>none</x:v>
      </x:c>
      <x:c r="AI1571" s="12" t="str">
        <x:f>IF(AC1571="PUBLIC_CANDIDATE","archive/public_candidates/"&amp;A1571,"private_quarantine/"&amp;A1571)</x:f>
        <x:v>archive/public_candidates/SWARM-11-H11-S10</x:v>
      </x:c>
      <x:c r="AJ1571" s="12" t="str">
        <x:f>IF(AC1571="PUBLIC_CANDIDATE","public by default; still not canon","private/hold; do not publish")</x:f>
        <x:v>public by default; still not canon</x:v>
      </x:c>
      <x:c r="AK1571" s="12" t="str">
        <x:f>IF(AE1571="prepare_public_github_candidate","add receipt/status then mirror","resolve blocker before any public GitHub action")</x:f>
        <x:v>add receipt/status then mirror</x:v>
      </x:c>
    </x:row>
    <x:row r="1572">
      <x:c r="A1572" s="15" t="str">
        <x:v>SWARM-11-H11-S11</x:v>
      </x:c>
      <x:c r="B1572" s="15" t="str">
        <x:v>ClaudeCatcher</x:v>
      </x:c>
      <x:c r="C1572" s="15" t="str">
        <x:v>Bullshit Olympics referee</x:v>
      </x:c>
      <x:c r="D1572" s="15" t="str">
        <x:v>Aetherforge UX</x:v>
      </x:c>
      <x:c r="E1572" s="15" t="str">
        <x:v>Automation</x:v>
      </x:c>
      <x:c r="F1572" s="15" t="str">
        <x:v>Design quest card for Automation — ClaudeCatcher</x:v>
      </x:c>
      <x:c r="G1572" s="15" t="str">
        <x:v>adversarial claims / model overclaim detection</x:v>
      </x:c>
      <x:c r="H1572" s="15" t="str">
        <x:v>source path + receipt + raw/export status + claim/edge/risk delta</x:v>
      </x:c>
      <x:c r="I1572" s="15" t="str">
        <x:v>packet/SWARM-11-H11-S11</x:v>
      </x:c>
      <x:c r="J1572" s="15" t="str">
        <x:v>TODO</x:v>
      </x:c>
      <x:c r="K1572" s="15" t="str">
        <x:v>P2</x:v>
      </x:c>
      <x:c r="L1572" s="15" t="str">
        <x:v>Done only when evidence is logged, contradiction search is noted, and boundary stamp remains non-canon unless ratified</x:v>
      </x:c>
      <x:c r="M1572" s="15" t="str">
        <x:v>candidate / staging-only / not canon / not deployed / authority none</x:v>
      </x:c>
      <x:c r="N1572" s="15" t="str">
        <x:v>Dispatch to ClaudeCatcher: complete Aetherforge UX x Automation; return deltas only, receipts required.</x:v>
      </x:c>
      <x:c r="O1572" s="15" t="str">
        <x:v>AF-KG-H11-S11</x:v>
      </x:c>
      <x:c r="P1572" s="15" t="str">
        <x:v>Unverified</x:v>
      </x:c>
      <x:c r="Q1572" s="15" t="str">
        <x:v>Not checked</x:v>
      </x:c>
      <x:c r="R1572" s="15" t="str"/>
      <x:c r="S1572" s="15" t="str"/>
      <x:c r="T1572" s="15" t="str">
        <x:v>Log first source path or blocker</x:v>
      </x:c>
      <x:c r="U1572" s="12" t="str">
        <x:f>IF(OR(P1572="Unverified",Q1572="Not checked"),"BLOCKED_PENDING_RECEIPT","READY_FOR_REVIEW")</x:f>
        <x:v>BLOCKED_PENDING_RECEIPT</x:v>
      </x:c>
      <x:c r="V1572" s="12" t="str">
        <x:f>IF(J1572="DONE","RETURNED",IF(U1572="BLOCKED_PENDING_RECEIPT","SOURCE_TOUCH_REQUIRED","IN_PROGRESS"))</x:f>
        <x:v>SOURCE_TOUCH_REQUIRED</x:v>
      </x:c>
      <x:c r="W1572" s="12" t="str">
        <x:f>IF(P1572="Unverified","missing_receipt","receipt_logged")</x:f>
        <x:v>missing_receipt</x:v>
      </x:c>
      <x:c r="X1572" s="12" t="str">
        <x:f>IF(Q1572="Not checked","raw_status_missing","raw_status_logged")</x:f>
        <x:v>raw_status_missing</x:v>
      </x:c>
      <x:c r="Y1572" s="12" t="str">
        <x:f>IF(U1572="BLOCKED_PENDING_RECEIPT","Log source path or blocker; do not promote","Route to review lane")</x:f>
        <x:v>Log source path or blocker; do not promote</x:v>
      </x:c>
      <x:c r="Z1572" s="12" t="str">
        <x:f>IF(K1572="P0","Primary seat + Hashlight/Lucerna","Seat lane")</x:f>
        <x:v>Seat lane</x:v>
      </x:c>
      <x:c r="AA1572" s="12" t="str">
        <x:f>IF(R1572="","no_claim_delta","claim_delta_present")</x:f>
        <x:v>no_claim_delta</x:v>
      </x:c>
      <x:c r="AB1572" s="12" t="str">
        <x:f>IF(S1572="","no_contradiction_delta","contradiction_delta_present")</x:f>
        <x:v>no_contradiction_delta</x:v>
      </x:c>
      <x:c r="AC1572" s="12" t="str">
        <x:f>IF(OR(ISNUMBER(SEARCH("hacker",LOWER(F1572&amp;" "&amp;H1572&amp;" "&amp;I1572&amp;" "&amp;M1572&amp;" "&amp;N1572&amp;" "&amp;T1572))),ISNUMBER(SEARCH("hacking",LOWER(F1572&amp;" "&amp;H1572&amp;" "&amp;I1572&amp;" "&amp;M1572&amp;" "&amp;N1572&amp;" "&amp;T1572))),ISNUMBER(SEARCH("bank",LOWER(F1572&amp;" "&amp;H1572&amp;" "&amp;I1572&amp;" "&amp;M1572&amp;" "&amp;N1572&amp;" "&amp;T1572))),ISNUMBER(SEARCH("banking",LOWER(F1572&amp;" "&amp;H1572&amp;" "&amp;I1572&amp;" "&amp;M1572&amp;" "&amp;N1572&amp;" "&amp;T1572)))),"PRIVATE_QUARANTINE",IF(OR(ISNUMBER(SEARCH("treasury",LOWER(F1572&amp;" "&amp;H1572&amp;" "&amp;I1572&amp;" "&amp;M1572&amp;" "&amp;N1572&amp;" "&amp;T1572))),ISNUMBER(SEARCH("debt",LOWER(F1572&amp;" "&amp;H1572&amp;" "&amp;I1572&amp;" "&amp;M1572&amp;" "&amp;N1572&amp;" "&amp;T1572))),ISNUMBER(SEARCH("bond",LOWER(F1572&amp;" "&amp;H1572&amp;" "&amp;I1572&amp;" "&amp;M1572&amp;" "&amp;N1572&amp;" "&amp;T1572))),ISNUMBER(SEARCH("transaction",LOWER(F1572&amp;" "&amp;H1572&amp;" "&amp;I1572&amp;" "&amp;M1572&amp;" "&amp;N1572&amp;" "&amp;T1572)))),"PRIVATE_REVIEW","PUBLIC_CANDIDATE"))</x:f>
        <x:v>PUBLIC_CANDIDATE</x:v>
      </x:c>
      <x:c r="AD1572" s="12" t="str">
        <x:f>IF(AC1572="PRIVATE_QUARANTINE","hacker_or_bank_trigger",IF(AC1572="PRIVATE_REVIEW","finance_risk_trigger","none"))</x:f>
        <x:v>none</x:v>
      </x:c>
      <x:c r="AE1572" s="12" t="str">
        <x:f>IF(AC1572="PUBLIC_CANDIDATE","prepare_public_github_candidate",IF(AC1572="PRIVATE_REVIEW","hold_for_private_review","quarantine_private_do_not_publish"))</x:f>
        <x:v>prepare_public_github_candidate</x:v>
      </x:c>
      <x:c r="AF1572" s="12" t="str">
        <x:f>IF(AC1572="PUBLIC_CANDIDATE","TIDELOCK + Lucerna",IF(AC1572="PRIVATE_REVIEW","AtlasBrain + Lucerna","TIDELOCK + Lucerna + Human-root"))</x:f>
        <x:v>TIDELOCK + Lucerna</x:v>
      </x:c>
      <x:c r="AG1572" s="12" t="str">
        <x:f>IF(AND(AC1572="PUBLIC_CANDIDATE",U1572&lt;&gt;"BLOCKED_PENDING_RECEIPT"),"READY_AFTER_RECEIPT","NOT_READY")</x:f>
        <x:v>NOT_READY</x:v>
      </x:c>
      <x:c r="AH1572" s="12" t="str">
        <x:f>IF(AC1572="PUBLIC_CANDIDATE","none",AD1572)</x:f>
        <x:v>none</x:v>
      </x:c>
      <x:c r="AI1572" s="12" t="str">
        <x:f>IF(AC1572="PUBLIC_CANDIDATE","archive/public_candidates/"&amp;A1572,"private_quarantine/"&amp;A1572)</x:f>
        <x:v>archive/public_candidates/SWARM-11-H11-S11</x:v>
      </x:c>
      <x:c r="AJ1572" s="12" t="str">
        <x:f>IF(AC1572="PUBLIC_CANDIDATE","public by default; still not canon","private/hold; do not publish")</x:f>
        <x:v>public by default; still not canon</x:v>
      </x:c>
      <x:c r="AK1572" s="12" t="str">
        <x:f>IF(AE1572="prepare_public_github_candidate","add receipt/status then mirror","resolve blocker before any public GitHub action")</x:f>
        <x:v>add receipt/status then mirror</x:v>
      </x:c>
    </x:row>
    <x:row r="1573">
      <x:c r="A1573" s="15" t="str">
        <x:v>SWARM-11-H11-S12</x:v>
      </x:c>
      <x:c r="B1573" s="15" t="str">
        <x:v>ClaudeCatcher</x:v>
      </x:c>
      <x:c r="C1573" s="15" t="str">
        <x:v>Bullshit Olympics referee</x:v>
      </x:c>
      <x:c r="D1573" s="15" t="str">
        <x:v>Aetherforge UX</x:v>
      </x:c>
      <x:c r="E1573" s="15" t="str">
        <x:v>Risk / Safety</x:v>
      </x:c>
      <x:c r="F1573" s="15" t="str">
        <x:v>Design quest card for Risk / Safety — ClaudeCatcher</x:v>
      </x:c>
      <x:c r="G1573" s="15" t="str">
        <x:v>adversarial claims / model overclaim detection</x:v>
      </x:c>
      <x:c r="H1573" s="15" t="str">
        <x:v>source path + receipt + raw/export status + claim/edge/risk delta</x:v>
      </x:c>
      <x:c r="I1573" s="15" t="str">
        <x:v>packet/SWARM-11-H11-S12</x:v>
      </x:c>
      <x:c r="J1573" s="15" t="str">
        <x:v>TODO</x:v>
      </x:c>
      <x:c r="K1573" s="15" t="str">
        <x:v>P2</x:v>
      </x:c>
      <x:c r="L1573" s="15" t="str">
        <x:v>Done only when evidence is logged, contradiction search is noted, and boundary stamp remains non-canon unless ratified</x:v>
      </x:c>
      <x:c r="M1573" s="15" t="str">
        <x:v>candidate / staging-only / not canon / not deployed / authority none</x:v>
      </x:c>
      <x:c r="N1573" s="15" t="str">
        <x:v>Dispatch to ClaudeCatcher: complete Aetherforge UX x Risk / Safety; return deltas only, receipts required.</x:v>
      </x:c>
      <x:c r="O1573" s="15" t="str">
        <x:v>AF-KG-H11-S12</x:v>
      </x:c>
      <x:c r="P1573" s="15" t="str">
        <x:v>Unverified</x:v>
      </x:c>
      <x:c r="Q1573" s="15" t="str">
        <x:v>Not checked</x:v>
      </x:c>
      <x:c r="R1573" s="15" t="str"/>
      <x:c r="S1573" s="15" t="str"/>
      <x:c r="T1573" s="15" t="str">
        <x:v>Log first source path or blocker</x:v>
      </x:c>
      <x:c r="U1573" s="12" t="str">
        <x:f>IF(OR(P1573="Unverified",Q1573="Not checked"),"BLOCKED_PENDING_RECEIPT","READY_FOR_REVIEW")</x:f>
        <x:v>BLOCKED_PENDING_RECEIPT</x:v>
      </x:c>
      <x:c r="V1573" s="12" t="str">
        <x:f>IF(J1573="DONE","RETURNED",IF(U1573="BLOCKED_PENDING_RECEIPT","SOURCE_TOUCH_REQUIRED","IN_PROGRESS"))</x:f>
        <x:v>SOURCE_TOUCH_REQUIRED</x:v>
      </x:c>
      <x:c r="W1573" s="12" t="str">
        <x:f>IF(P1573="Unverified","missing_receipt","receipt_logged")</x:f>
        <x:v>missing_receipt</x:v>
      </x:c>
      <x:c r="X1573" s="12" t="str">
        <x:f>IF(Q1573="Not checked","raw_status_missing","raw_status_logged")</x:f>
        <x:v>raw_status_missing</x:v>
      </x:c>
      <x:c r="Y1573" s="12" t="str">
        <x:f>IF(U1573="BLOCKED_PENDING_RECEIPT","Log source path or blocker; do not promote","Route to review lane")</x:f>
        <x:v>Log source path or blocker; do not promote</x:v>
      </x:c>
      <x:c r="Z1573" s="12" t="str">
        <x:f>IF(K1573="P0","Primary seat + Hashlight/Lucerna","Seat lane")</x:f>
        <x:v>Seat lane</x:v>
      </x:c>
      <x:c r="AA1573" s="12" t="str">
        <x:f>IF(R1573="","no_claim_delta","claim_delta_present")</x:f>
        <x:v>no_claim_delta</x:v>
      </x:c>
      <x:c r="AB1573" s="12" t="str">
        <x:f>IF(S1573="","no_contradiction_delta","contradiction_delta_present")</x:f>
        <x:v>no_contradiction_delta</x:v>
      </x:c>
      <x:c r="AC1573" s="12" t="str">
        <x:f>IF(OR(ISNUMBER(SEARCH("hacker",LOWER(F1573&amp;" "&amp;H1573&amp;" "&amp;I1573&amp;" "&amp;M1573&amp;" "&amp;N1573&amp;" "&amp;T1573))),ISNUMBER(SEARCH("hacking",LOWER(F1573&amp;" "&amp;H1573&amp;" "&amp;I1573&amp;" "&amp;M1573&amp;" "&amp;N1573&amp;" "&amp;T1573))),ISNUMBER(SEARCH("bank",LOWER(F1573&amp;" "&amp;H1573&amp;" "&amp;I1573&amp;" "&amp;M1573&amp;" "&amp;N1573&amp;" "&amp;T1573))),ISNUMBER(SEARCH("banking",LOWER(F1573&amp;" "&amp;H1573&amp;" "&amp;I1573&amp;" "&amp;M1573&amp;" "&amp;N1573&amp;" "&amp;T1573)))),"PRIVATE_QUARANTINE",IF(OR(ISNUMBER(SEARCH("treasury",LOWER(F1573&amp;" "&amp;H1573&amp;" "&amp;I1573&amp;" "&amp;M1573&amp;" "&amp;N1573&amp;" "&amp;T1573))),ISNUMBER(SEARCH("debt",LOWER(F1573&amp;" "&amp;H1573&amp;" "&amp;I1573&amp;" "&amp;M1573&amp;" "&amp;N1573&amp;" "&amp;T1573))),ISNUMBER(SEARCH("bond",LOWER(F1573&amp;" "&amp;H1573&amp;" "&amp;I1573&amp;" "&amp;M1573&amp;" "&amp;N1573&amp;" "&amp;T1573))),ISNUMBER(SEARCH("transaction",LOWER(F1573&amp;" "&amp;H1573&amp;" "&amp;I1573&amp;" "&amp;M1573&amp;" "&amp;N1573&amp;" "&amp;T1573)))),"PRIVATE_REVIEW","PUBLIC_CANDIDATE"))</x:f>
        <x:v>PUBLIC_CANDIDATE</x:v>
      </x:c>
      <x:c r="AD1573" s="12" t="str">
        <x:f>IF(AC1573="PRIVATE_QUARANTINE","hacker_or_bank_trigger",IF(AC1573="PRIVATE_REVIEW","finance_risk_trigger","none"))</x:f>
        <x:v>none</x:v>
      </x:c>
      <x:c r="AE1573" s="12" t="str">
        <x:f>IF(AC1573="PUBLIC_CANDIDATE","prepare_public_github_candidate",IF(AC1573="PRIVATE_REVIEW","hold_for_private_review","quarantine_private_do_not_publish"))</x:f>
        <x:v>prepare_public_github_candidate</x:v>
      </x:c>
      <x:c r="AF1573" s="12" t="str">
        <x:f>IF(AC1573="PUBLIC_CANDIDATE","TIDELOCK + Lucerna",IF(AC1573="PRIVATE_REVIEW","AtlasBrain + Lucerna","TIDELOCK + Lucerna + Human-root"))</x:f>
        <x:v>TIDELOCK + Lucerna</x:v>
      </x:c>
      <x:c r="AG1573" s="12" t="str">
        <x:f>IF(AND(AC1573="PUBLIC_CANDIDATE",U1573&lt;&gt;"BLOCKED_PENDING_RECEIPT"),"READY_AFTER_RECEIPT","NOT_READY")</x:f>
        <x:v>NOT_READY</x:v>
      </x:c>
      <x:c r="AH1573" s="12" t="str">
        <x:f>IF(AC1573="PUBLIC_CANDIDATE","none",AD1573)</x:f>
        <x:v>none</x:v>
      </x:c>
      <x:c r="AI1573" s="12" t="str">
        <x:f>IF(AC1573="PUBLIC_CANDIDATE","archive/public_candidates/"&amp;A1573,"private_quarantine/"&amp;A1573)</x:f>
        <x:v>archive/public_candidates/SWARM-11-H11-S12</x:v>
      </x:c>
      <x:c r="AJ1573" s="12" t="str">
        <x:f>IF(AC1573="PUBLIC_CANDIDATE","public by default; still not canon","private/hold; do not publish")</x:f>
        <x:v>public by default; still not canon</x:v>
      </x:c>
      <x:c r="AK1573" s="12" t="str">
        <x:f>IF(AE1573="prepare_public_github_candidate","add receipt/status then mirror","resolve blocker before any public GitHub action")</x:f>
        <x:v>add receipt/status then mirror</x:v>
      </x:c>
    </x:row>
    <x:row r="1574">
      <x:c r="A1574" s="15" t="str">
        <x:v>SWARM-11-H12-S01</x:v>
      </x:c>
      <x:c r="B1574" s="15" t="str">
        <x:v>ClaudeCatcher</x:v>
      </x:c>
      <x:c r="C1574" s="15" t="str">
        <x:v>Bullshit Olympics referee</x:v>
      </x:c>
      <x:c r="D1574" s="15" t="str">
        <x:v>Canon-Gate Prep</x:v>
      </x:c>
      <x:c r="E1574" s="15" t="str">
        <x:v>Notion</x:v>
      </x:c>
      <x:c r="F1574" s="15" t="str">
        <x:v>Prepare canon-gate brief for Notion — ClaudeCatcher</x:v>
      </x:c>
      <x:c r="G1574" s="15" t="str">
        <x:v>adversarial claims / model overclaim detection</x:v>
      </x:c>
      <x:c r="H1574" s="15" t="str">
        <x:v>source path + receipt + raw/export status + claim/edge/risk delta</x:v>
      </x:c>
      <x:c r="I1574" s="15" t="str">
        <x:v>packet/SWARM-11-H12-S01</x:v>
      </x:c>
      <x:c r="J1574" s="15" t="str">
        <x:v>TODO</x:v>
      </x:c>
      <x:c r="K1574" s="15" t="str">
        <x:v>P0</x:v>
      </x:c>
      <x:c r="L1574" s="15" t="str">
        <x:v>Done only when evidence is logged, contradiction search is noted, and boundary stamp remains non-canon unless ratified</x:v>
      </x:c>
      <x:c r="M1574" s="15" t="str">
        <x:v>candidate / staging-only / not canon / not deployed / authority none</x:v>
      </x:c>
      <x:c r="N1574" s="15" t="str">
        <x:v>Dispatch to ClaudeCatcher: complete Canon-Gate Prep x Notion; return deltas only, receipts required.</x:v>
      </x:c>
      <x:c r="O1574" s="15" t="str">
        <x:v>AF-KG-H12-S01</x:v>
      </x:c>
      <x:c r="P1574" s="15" t="str">
        <x:v>Unverified</x:v>
      </x:c>
      <x:c r="Q1574" s="15" t="str">
        <x:v>Not checked</x:v>
      </x:c>
      <x:c r="R1574" s="15" t="str"/>
      <x:c r="S1574" s="15" t="str"/>
      <x:c r="T1574" s="15" t="str">
        <x:v>Log first source path or blocker</x:v>
      </x:c>
      <x:c r="U1574" s="12" t="str">
        <x:f>IF(OR(P1574="Unverified",Q1574="Not checked"),"BLOCKED_PENDING_RECEIPT","READY_FOR_REVIEW")</x:f>
        <x:v>BLOCKED_PENDING_RECEIPT</x:v>
      </x:c>
      <x:c r="V1574" s="12" t="str">
        <x:f>IF(J1574="DONE","RETURNED",IF(U1574="BLOCKED_PENDING_RECEIPT","SOURCE_TOUCH_REQUIRED","IN_PROGRESS"))</x:f>
        <x:v>SOURCE_TOUCH_REQUIRED</x:v>
      </x:c>
      <x:c r="W1574" s="12" t="str">
        <x:f>IF(P1574="Unverified","missing_receipt","receipt_logged")</x:f>
        <x:v>missing_receipt</x:v>
      </x:c>
      <x:c r="X1574" s="12" t="str">
        <x:f>IF(Q1574="Not checked","raw_status_missing","raw_status_logged")</x:f>
        <x:v>raw_status_missing</x:v>
      </x:c>
      <x:c r="Y1574" s="12" t="str">
        <x:f>IF(U1574="BLOCKED_PENDING_RECEIPT","Log source path or blocker; do not promote","Route to review lane")</x:f>
        <x:v>Log source path or blocker; do not promote</x:v>
      </x:c>
      <x:c r="Z1574" s="12" t="str">
        <x:f>IF(K1574="P0","Primary seat + Hashlight/Lucerna","Seat lane")</x:f>
        <x:v>Primary seat + Hashlight/Lucerna</x:v>
      </x:c>
      <x:c r="AA1574" s="12" t="str">
        <x:f>IF(R1574="","no_claim_delta","claim_delta_present")</x:f>
        <x:v>no_claim_delta</x:v>
      </x:c>
      <x:c r="AB1574" s="12" t="str">
        <x:f>IF(S1574="","no_contradiction_delta","contradiction_delta_present")</x:f>
        <x:v>no_contradiction_delta</x:v>
      </x:c>
      <x:c r="AC1574" s="12" t="str">
        <x:f>IF(OR(ISNUMBER(SEARCH("hacker",LOWER(F1574&amp;" "&amp;H1574&amp;" "&amp;I1574&amp;" "&amp;M1574&amp;" "&amp;N1574&amp;" "&amp;T1574))),ISNUMBER(SEARCH("hacking",LOWER(F1574&amp;" "&amp;H1574&amp;" "&amp;I1574&amp;" "&amp;M1574&amp;" "&amp;N1574&amp;" "&amp;T1574))),ISNUMBER(SEARCH("bank",LOWER(F1574&amp;" "&amp;H1574&amp;" "&amp;I1574&amp;" "&amp;M1574&amp;" "&amp;N1574&amp;" "&amp;T1574))),ISNUMBER(SEARCH("banking",LOWER(F1574&amp;" "&amp;H1574&amp;" "&amp;I1574&amp;" "&amp;M1574&amp;" "&amp;N1574&amp;" "&amp;T1574)))),"PRIVATE_QUARANTINE",IF(OR(ISNUMBER(SEARCH("treasury",LOWER(F1574&amp;" "&amp;H1574&amp;" "&amp;I1574&amp;" "&amp;M1574&amp;" "&amp;N1574&amp;" "&amp;T1574))),ISNUMBER(SEARCH("debt",LOWER(F1574&amp;" "&amp;H1574&amp;" "&amp;I1574&amp;" "&amp;M1574&amp;" "&amp;N1574&amp;" "&amp;T1574))),ISNUMBER(SEARCH("bond",LOWER(F1574&amp;" "&amp;H1574&amp;" "&amp;I1574&amp;" "&amp;M1574&amp;" "&amp;N1574&amp;" "&amp;T1574))),ISNUMBER(SEARCH("transaction",LOWER(F1574&amp;" "&amp;H1574&amp;" "&amp;I1574&amp;" "&amp;M1574&amp;" "&amp;N1574&amp;" "&amp;T1574)))),"PRIVATE_REVIEW","PUBLIC_CANDIDATE"))</x:f>
        <x:v>PUBLIC_CANDIDATE</x:v>
      </x:c>
      <x:c r="AD1574" s="12" t="str">
        <x:f>IF(AC1574="PRIVATE_QUARANTINE","hacker_or_bank_trigger",IF(AC1574="PRIVATE_REVIEW","finance_risk_trigger","none"))</x:f>
        <x:v>none</x:v>
      </x:c>
      <x:c r="AE1574" s="12" t="str">
        <x:f>IF(AC1574="PUBLIC_CANDIDATE","prepare_public_github_candidate",IF(AC1574="PRIVATE_REVIEW","hold_for_private_review","quarantine_private_do_not_publish"))</x:f>
        <x:v>prepare_public_github_candidate</x:v>
      </x:c>
      <x:c r="AF1574" s="12" t="str">
        <x:f>IF(AC1574="PUBLIC_CANDIDATE","TIDELOCK + Lucerna",IF(AC1574="PRIVATE_REVIEW","AtlasBrain + Lucerna","TIDELOCK + Lucerna + Human-root"))</x:f>
        <x:v>TIDELOCK + Lucerna</x:v>
      </x:c>
      <x:c r="AG1574" s="12" t="str">
        <x:f>IF(AND(AC1574="PUBLIC_CANDIDATE",U1574&lt;&gt;"BLOCKED_PENDING_RECEIPT"),"READY_AFTER_RECEIPT","NOT_READY")</x:f>
        <x:v>NOT_READY</x:v>
      </x:c>
      <x:c r="AH1574" s="12" t="str">
        <x:f>IF(AC1574="PUBLIC_CANDIDATE","none",AD1574)</x:f>
        <x:v>none</x:v>
      </x:c>
      <x:c r="AI1574" s="12" t="str">
        <x:f>IF(AC1574="PUBLIC_CANDIDATE","archive/public_candidates/"&amp;A1574,"private_quarantine/"&amp;A1574)</x:f>
        <x:v>archive/public_candidates/SWARM-11-H12-S01</x:v>
      </x:c>
      <x:c r="AJ1574" s="12" t="str">
        <x:f>IF(AC1574="PUBLIC_CANDIDATE","public by default; still not canon","private/hold; do not publish")</x:f>
        <x:v>public by default; still not canon</x:v>
      </x:c>
      <x:c r="AK1574" s="12" t="str">
        <x:f>IF(AE1574="prepare_public_github_candidate","add receipt/status then mirror","resolve blocker before any public GitHub action")</x:f>
        <x:v>add receipt/status then mirror</x:v>
      </x:c>
    </x:row>
    <x:row r="1575">
      <x:c r="A1575" s="15" t="str">
        <x:v>SWARM-11-H12-S02</x:v>
      </x:c>
      <x:c r="B1575" s="15" t="str">
        <x:v>ClaudeCatcher</x:v>
      </x:c>
      <x:c r="C1575" s="15" t="str">
        <x:v>Bullshit Olympics referee</x:v>
      </x:c>
      <x:c r="D1575" s="15" t="str">
        <x:v>Canon-Gate Prep</x:v>
      </x:c>
      <x:c r="E1575" s="15" t="str">
        <x:v>Drive</x:v>
      </x:c>
      <x:c r="F1575" s="15" t="str">
        <x:v>Prepare canon-gate brief for Drive — ClaudeCatcher</x:v>
      </x:c>
      <x:c r="G1575" s="15" t="str">
        <x:v>adversarial claims / model overclaim detection</x:v>
      </x:c>
      <x:c r="H1575" s="15" t="str">
        <x:v>source path + receipt + raw/export status + claim/edge/risk delta</x:v>
      </x:c>
      <x:c r="I1575" s="15" t="str">
        <x:v>packet/SWARM-11-H12-S02</x:v>
      </x:c>
      <x:c r="J1575" s="15" t="str">
        <x:v>TODO</x:v>
      </x:c>
      <x:c r="K1575" s="15" t="str">
        <x:v>P0</x:v>
      </x:c>
      <x:c r="L1575" s="15" t="str">
        <x:v>Done only when evidence is logged, contradiction search is noted, and boundary stamp remains non-canon unless ratified</x:v>
      </x:c>
      <x:c r="M1575" s="15" t="str">
        <x:v>candidate / staging-only / not canon / not deployed / authority none</x:v>
      </x:c>
      <x:c r="N1575" s="15" t="str">
        <x:v>Dispatch to ClaudeCatcher: complete Canon-Gate Prep x Drive; return deltas only, receipts required.</x:v>
      </x:c>
      <x:c r="O1575" s="15" t="str">
        <x:v>AF-KG-H12-S02</x:v>
      </x:c>
      <x:c r="P1575" s="15" t="str">
        <x:v>Unverified</x:v>
      </x:c>
      <x:c r="Q1575" s="15" t="str">
        <x:v>Not checked</x:v>
      </x:c>
      <x:c r="R1575" s="15" t="str"/>
      <x:c r="S1575" s="15" t="str"/>
      <x:c r="T1575" s="15" t="str">
        <x:v>Log first source path or blocker</x:v>
      </x:c>
      <x:c r="U1575" s="12" t="str">
        <x:f>IF(OR(P1575="Unverified",Q1575="Not checked"),"BLOCKED_PENDING_RECEIPT","READY_FOR_REVIEW")</x:f>
        <x:v>BLOCKED_PENDING_RECEIPT</x:v>
      </x:c>
      <x:c r="V1575" s="12" t="str">
        <x:f>IF(J1575="DONE","RETURNED",IF(U1575="BLOCKED_PENDING_RECEIPT","SOURCE_TOUCH_REQUIRED","IN_PROGRESS"))</x:f>
        <x:v>SOURCE_TOUCH_REQUIRED</x:v>
      </x:c>
      <x:c r="W1575" s="12" t="str">
        <x:f>IF(P1575="Unverified","missing_receipt","receipt_logged")</x:f>
        <x:v>missing_receipt</x:v>
      </x:c>
      <x:c r="X1575" s="12" t="str">
        <x:f>IF(Q1575="Not checked","raw_status_missing","raw_status_logged")</x:f>
        <x:v>raw_status_missing</x:v>
      </x:c>
      <x:c r="Y1575" s="12" t="str">
        <x:f>IF(U1575="BLOCKED_PENDING_RECEIPT","Log source path or blocker; do not promote","Route to review lane")</x:f>
        <x:v>Log source path or blocker; do not promote</x:v>
      </x:c>
      <x:c r="Z1575" s="12" t="str">
        <x:f>IF(K1575="P0","Primary seat + Hashlight/Lucerna","Seat lane")</x:f>
        <x:v>Primary seat + Hashlight/Lucerna</x:v>
      </x:c>
      <x:c r="AA1575" s="12" t="str">
        <x:f>IF(R1575="","no_claim_delta","claim_delta_present")</x:f>
        <x:v>no_claim_delta</x:v>
      </x:c>
      <x:c r="AB1575" s="12" t="str">
        <x:f>IF(S1575="","no_contradiction_delta","contradiction_delta_present")</x:f>
        <x:v>no_contradiction_delta</x:v>
      </x:c>
      <x:c r="AC1575" s="12" t="str">
        <x:f>IF(OR(ISNUMBER(SEARCH("hacker",LOWER(F1575&amp;" "&amp;H1575&amp;" "&amp;I1575&amp;" "&amp;M1575&amp;" "&amp;N1575&amp;" "&amp;T1575))),ISNUMBER(SEARCH("hacking",LOWER(F1575&amp;" "&amp;H1575&amp;" "&amp;I1575&amp;" "&amp;M1575&amp;" "&amp;N1575&amp;" "&amp;T1575))),ISNUMBER(SEARCH("bank",LOWER(F1575&amp;" "&amp;H1575&amp;" "&amp;I1575&amp;" "&amp;M1575&amp;" "&amp;N1575&amp;" "&amp;T1575))),ISNUMBER(SEARCH("banking",LOWER(F1575&amp;" "&amp;H1575&amp;" "&amp;I1575&amp;" "&amp;M1575&amp;" "&amp;N1575&amp;" "&amp;T1575)))),"PRIVATE_QUARANTINE",IF(OR(ISNUMBER(SEARCH("treasury",LOWER(F1575&amp;" "&amp;H1575&amp;" "&amp;I1575&amp;" "&amp;M1575&amp;" "&amp;N1575&amp;" "&amp;T1575))),ISNUMBER(SEARCH("debt",LOWER(F1575&amp;" "&amp;H1575&amp;" "&amp;I1575&amp;" "&amp;M1575&amp;" "&amp;N1575&amp;" "&amp;T1575))),ISNUMBER(SEARCH("bond",LOWER(F1575&amp;" "&amp;H1575&amp;" "&amp;I1575&amp;" "&amp;M1575&amp;" "&amp;N1575&amp;" "&amp;T1575))),ISNUMBER(SEARCH("transaction",LOWER(F1575&amp;" "&amp;H1575&amp;" "&amp;I1575&amp;" "&amp;M1575&amp;" "&amp;N1575&amp;" "&amp;T1575)))),"PRIVATE_REVIEW","PUBLIC_CANDIDATE"))</x:f>
        <x:v>PUBLIC_CANDIDATE</x:v>
      </x:c>
      <x:c r="AD1575" s="12" t="str">
        <x:f>IF(AC1575="PRIVATE_QUARANTINE","hacker_or_bank_trigger",IF(AC1575="PRIVATE_REVIEW","finance_risk_trigger","none"))</x:f>
        <x:v>none</x:v>
      </x:c>
      <x:c r="AE1575" s="12" t="str">
        <x:f>IF(AC1575="PUBLIC_CANDIDATE","prepare_public_github_candidate",IF(AC1575="PRIVATE_REVIEW","hold_for_private_review","quarantine_private_do_not_publish"))</x:f>
        <x:v>prepare_public_github_candidate</x:v>
      </x:c>
      <x:c r="AF1575" s="12" t="str">
        <x:f>IF(AC1575="PUBLIC_CANDIDATE","TIDELOCK + Lucerna",IF(AC1575="PRIVATE_REVIEW","AtlasBrain + Lucerna","TIDELOCK + Lucerna + Human-root"))</x:f>
        <x:v>TIDELOCK + Lucerna</x:v>
      </x:c>
      <x:c r="AG1575" s="12" t="str">
        <x:f>IF(AND(AC1575="PUBLIC_CANDIDATE",U1575&lt;&gt;"BLOCKED_PENDING_RECEIPT"),"READY_AFTER_RECEIPT","NOT_READY")</x:f>
        <x:v>NOT_READY</x:v>
      </x:c>
      <x:c r="AH1575" s="12" t="str">
        <x:f>IF(AC1575="PUBLIC_CANDIDATE","none",AD1575)</x:f>
        <x:v>none</x:v>
      </x:c>
      <x:c r="AI1575" s="12" t="str">
        <x:f>IF(AC1575="PUBLIC_CANDIDATE","archive/public_candidates/"&amp;A1575,"private_quarantine/"&amp;A1575)</x:f>
        <x:v>archive/public_candidates/SWARM-11-H12-S02</x:v>
      </x:c>
      <x:c r="AJ1575" s="12" t="str">
        <x:f>IF(AC1575="PUBLIC_CANDIDATE","public by default; still not canon","private/hold; do not publish")</x:f>
        <x:v>public by default; still not canon</x:v>
      </x:c>
      <x:c r="AK1575" s="12" t="str">
        <x:f>IF(AE1575="prepare_public_github_candidate","add receipt/status then mirror","resolve blocker before any public GitHub action")</x:f>
        <x:v>add receipt/status then mirror</x:v>
      </x:c>
    </x:row>
    <x:row r="1576">
      <x:c r="A1576" s="15" t="str">
        <x:v>SWARM-11-H12-S03</x:v>
      </x:c>
      <x:c r="B1576" s="15" t="str">
        <x:v>ClaudeCatcher</x:v>
      </x:c>
      <x:c r="C1576" s="15" t="str">
        <x:v>Bullshit Olympics referee</x:v>
      </x:c>
      <x:c r="D1576" s="15" t="str">
        <x:v>Canon-Gate Prep</x:v>
      </x:c>
      <x:c r="E1576" s="15" t="str">
        <x:v>GitHub</x:v>
      </x:c>
      <x:c r="F1576" s="15" t="str">
        <x:v>Prepare canon-gate brief for GitHub — ClaudeCatcher</x:v>
      </x:c>
      <x:c r="G1576" s="15" t="str">
        <x:v>adversarial claims / model overclaim detection</x:v>
      </x:c>
      <x:c r="H1576" s="15" t="str">
        <x:v>source path + receipt + raw/export status + claim/edge/risk delta</x:v>
      </x:c>
      <x:c r="I1576" s="15" t="str">
        <x:v>packet/SWARM-11-H12-S03</x:v>
      </x:c>
      <x:c r="J1576" s="15" t="str">
        <x:v>TODO</x:v>
      </x:c>
      <x:c r="K1576" s="15" t="str">
        <x:v>P0</x:v>
      </x:c>
      <x:c r="L1576" s="15" t="str">
        <x:v>Done only when evidence is logged, contradiction search is noted, and boundary stamp remains non-canon unless ratified</x:v>
      </x:c>
      <x:c r="M1576" s="15" t="str">
        <x:v>candidate / staging-only / not canon / not deployed / authority none</x:v>
      </x:c>
      <x:c r="N1576" s="15" t="str">
        <x:v>Dispatch to ClaudeCatcher: complete Canon-Gate Prep x GitHub; return deltas only, receipts required.</x:v>
      </x:c>
      <x:c r="O1576" s="15" t="str">
        <x:v>AF-KG-H12-S03</x:v>
      </x:c>
      <x:c r="P1576" s="15" t="str">
        <x:v>Unverified</x:v>
      </x:c>
      <x:c r="Q1576" s="15" t="str">
        <x:v>Not checked</x:v>
      </x:c>
      <x:c r="R1576" s="15" t="str"/>
      <x:c r="S1576" s="15" t="str"/>
      <x:c r="T1576" s="15" t="str">
        <x:v>Log first source path or blocker</x:v>
      </x:c>
      <x:c r="U1576" s="12" t="str">
        <x:f>IF(OR(P1576="Unverified",Q1576="Not checked"),"BLOCKED_PENDING_RECEIPT","READY_FOR_REVIEW")</x:f>
        <x:v>BLOCKED_PENDING_RECEIPT</x:v>
      </x:c>
      <x:c r="V1576" s="12" t="str">
        <x:f>IF(J1576="DONE","RETURNED",IF(U1576="BLOCKED_PENDING_RECEIPT","SOURCE_TOUCH_REQUIRED","IN_PROGRESS"))</x:f>
        <x:v>SOURCE_TOUCH_REQUIRED</x:v>
      </x:c>
      <x:c r="W1576" s="12" t="str">
        <x:f>IF(P1576="Unverified","missing_receipt","receipt_logged")</x:f>
        <x:v>missing_receipt</x:v>
      </x:c>
      <x:c r="X1576" s="12" t="str">
        <x:f>IF(Q1576="Not checked","raw_status_missing","raw_status_logged")</x:f>
        <x:v>raw_status_missing</x:v>
      </x:c>
      <x:c r="Y1576" s="12" t="str">
        <x:f>IF(U1576="BLOCKED_PENDING_RECEIPT","Log source path or blocker; do not promote","Route to review lane")</x:f>
        <x:v>Log source path or blocker; do not promote</x:v>
      </x:c>
      <x:c r="Z1576" s="12" t="str">
        <x:f>IF(K1576="P0","Primary seat + Hashlight/Lucerna","Seat lane")</x:f>
        <x:v>Primary seat + Hashlight/Lucerna</x:v>
      </x:c>
      <x:c r="AA1576" s="12" t="str">
        <x:f>IF(R1576="","no_claim_delta","claim_delta_present")</x:f>
        <x:v>no_claim_delta</x:v>
      </x:c>
      <x:c r="AB1576" s="12" t="str">
        <x:f>IF(S1576="","no_contradiction_delta","contradiction_delta_present")</x:f>
        <x:v>no_contradiction_delta</x:v>
      </x:c>
      <x:c r="AC1576" s="12" t="str">
        <x:f>IF(OR(ISNUMBER(SEARCH("hacker",LOWER(F1576&amp;" "&amp;H1576&amp;" "&amp;I1576&amp;" "&amp;M1576&amp;" "&amp;N1576&amp;" "&amp;T1576))),ISNUMBER(SEARCH("hacking",LOWER(F1576&amp;" "&amp;H1576&amp;" "&amp;I1576&amp;" "&amp;M1576&amp;" "&amp;N1576&amp;" "&amp;T1576))),ISNUMBER(SEARCH("bank",LOWER(F1576&amp;" "&amp;H1576&amp;" "&amp;I1576&amp;" "&amp;M1576&amp;" "&amp;N1576&amp;" "&amp;T1576))),ISNUMBER(SEARCH("banking",LOWER(F1576&amp;" "&amp;H1576&amp;" "&amp;I1576&amp;" "&amp;M1576&amp;" "&amp;N1576&amp;" "&amp;T1576)))),"PRIVATE_QUARANTINE",IF(OR(ISNUMBER(SEARCH("treasury",LOWER(F1576&amp;" "&amp;H1576&amp;" "&amp;I1576&amp;" "&amp;M1576&amp;" "&amp;N1576&amp;" "&amp;T1576))),ISNUMBER(SEARCH("debt",LOWER(F1576&amp;" "&amp;H1576&amp;" "&amp;I1576&amp;" "&amp;M1576&amp;" "&amp;N1576&amp;" "&amp;T1576))),ISNUMBER(SEARCH("bond",LOWER(F1576&amp;" "&amp;H1576&amp;" "&amp;I1576&amp;" "&amp;M1576&amp;" "&amp;N1576&amp;" "&amp;T1576))),ISNUMBER(SEARCH("transaction",LOWER(F1576&amp;" "&amp;H1576&amp;" "&amp;I1576&amp;" "&amp;M1576&amp;" "&amp;N1576&amp;" "&amp;T1576)))),"PRIVATE_REVIEW","PUBLIC_CANDIDATE"))</x:f>
        <x:v>PUBLIC_CANDIDATE</x:v>
      </x:c>
      <x:c r="AD1576" s="12" t="str">
        <x:f>IF(AC1576="PRIVATE_QUARANTINE","hacker_or_bank_trigger",IF(AC1576="PRIVATE_REVIEW","finance_risk_trigger","none"))</x:f>
        <x:v>none</x:v>
      </x:c>
      <x:c r="AE1576" s="12" t="str">
        <x:f>IF(AC1576="PUBLIC_CANDIDATE","prepare_public_github_candidate",IF(AC1576="PRIVATE_REVIEW","hold_for_private_review","quarantine_private_do_not_publish"))</x:f>
        <x:v>prepare_public_github_candidate</x:v>
      </x:c>
      <x:c r="AF1576" s="12" t="str">
        <x:f>IF(AC1576="PUBLIC_CANDIDATE","TIDELOCK + Lucerna",IF(AC1576="PRIVATE_REVIEW","AtlasBrain + Lucerna","TIDELOCK + Lucerna + Human-root"))</x:f>
        <x:v>TIDELOCK + Lucerna</x:v>
      </x:c>
      <x:c r="AG1576" s="12" t="str">
        <x:f>IF(AND(AC1576="PUBLIC_CANDIDATE",U1576&lt;&gt;"BLOCKED_PENDING_RECEIPT"),"READY_AFTER_RECEIPT","NOT_READY")</x:f>
        <x:v>NOT_READY</x:v>
      </x:c>
      <x:c r="AH1576" s="12" t="str">
        <x:f>IF(AC1576="PUBLIC_CANDIDATE","none",AD1576)</x:f>
        <x:v>none</x:v>
      </x:c>
      <x:c r="AI1576" s="12" t="str">
        <x:f>IF(AC1576="PUBLIC_CANDIDATE","archive/public_candidates/"&amp;A1576,"private_quarantine/"&amp;A1576)</x:f>
        <x:v>archive/public_candidates/SWARM-11-H12-S03</x:v>
      </x:c>
      <x:c r="AJ1576" s="12" t="str">
        <x:f>IF(AC1576="PUBLIC_CANDIDATE","public by default; still not canon","private/hold; do not publish")</x:f>
        <x:v>public by default; still not canon</x:v>
      </x:c>
      <x:c r="AK1576" s="12" t="str">
        <x:f>IF(AE1576="prepare_public_github_candidate","add receipt/status then mirror","resolve blocker before any public GitHub action")</x:f>
        <x:v>add receipt/status then mirror</x:v>
      </x:c>
    </x:row>
    <x:row r="1577">
      <x:c r="A1577" s="15" t="str">
        <x:v>SWARM-11-H12-S04</x:v>
      </x:c>
      <x:c r="B1577" s="15" t="str">
        <x:v>ClaudeCatcher</x:v>
      </x:c>
      <x:c r="C1577" s="15" t="str">
        <x:v>Bullshit Olympics referee</x:v>
      </x:c>
      <x:c r="D1577" s="15" t="str">
        <x:v>Canon-Gate Prep</x:v>
      </x:c>
      <x:c r="E1577" s="15" t="str">
        <x:v>Gamma</x:v>
      </x:c>
      <x:c r="F1577" s="15" t="str">
        <x:v>Prepare canon-gate brief for Gamma — ClaudeCatcher</x:v>
      </x:c>
      <x:c r="G1577" s="15" t="str">
        <x:v>adversarial claims / model overclaim detection</x:v>
      </x:c>
      <x:c r="H1577" s="15" t="str">
        <x:v>source path + receipt + raw/export status + claim/edge/risk delta</x:v>
      </x:c>
      <x:c r="I1577" s="15" t="str">
        <x:v>packet/SWARM-11-H12-S04</x:v>
      </x:c>
      <x:c r="J1577" s="15" t="str">
        <x:v>TODO</x:v>
      </x:c>
      <x:c r="K1577" s="15" t="str">
        <x:v>P1</x:v>
      </x:c>
      <x:c r="L1577" s="15" t="str">
        <x:v>Done only when evidence is logged, contradiction search is noted, and boundary stamp remains non-canon unless ratified</x:v>
      </x:c>
      <x:c r="M1577" s="15" t="str">
        <x:v>candidate / staging-only / not canon / not deployed / authority none</x:v>
      </x:c>
      <x:c r="N1577" s="15" t="str">
        <x:v>Dispatch to ClaudeCatcher: complete Canon-Gate Prep x Gamma; return deltas only, receipts required.</x:v>
      </x:c>
      <x:c r="O1577" s="15" t="str">
        <x:v>AF-KG-H12-S04</x:v>
      </x:c>
      <x:c r="P1577" s="15" t="str">
        <x:v>Unverified</x:v>
      </x:c>
      <x:c r="Q1577" s="15" t="str">
        <x:v>Not checked</x:v>
      </x:c>
      <x:c r="R1577" s="15" t="str"/>
      <x:c r="S1577" s="15" t="str"/>
      <x:c r="T1577" s="15" t="str">
        <x:v>Log first source path or blocker</x:v>
      </x:c>
      <x:c r="U1577" s="12" t="str">
        <x:f>IF(OR(P1577="Unverified",Q1577="Not checked"),"BLOCKED_PENDING_RECEIPT","READY_FOR_REVIEW")</x:f>
        <x:v>BLOCKED_PENDING_RECEIPT</x:v>
      </x:c>
      <x:c r="V1577" s="12" t="str">
        <x:f>IF(J1577="DONE","RETURNED",IF(U1577="BLOCKED_PENDING_RECEIPT","SOURCE_TOUCH_REQUIRED","IN_PROGRESS"))</x:f>
        <x:v>SOURCE_TOUCH_REQUIRED</x:v>
      </x:c>
      <x:c r="W1577" s="12" t="str">
        <x:f>IF(P1577="Unverified","missing_receipt","receipt_logged")</x:f>
        <x:v>missing_receipt</x:v>
      </x:c>
      <x:c r="X1577" s="12" t="str">
        <x:f>IF(Q1577="Not checked","raw_status_missing","raw_status_logged")</x:f>
        <x:v>raw_status_missing</x:v>
      </x:c>
      <x:c r="Y1577" s="12" t="str">
        <x:f>IF(U1577="BLOCKED_PENDING_RECEIPT","Log source path or blocker; do not promote","Route to review lane")</x:f>
        <x:v>Log source path or blocker; do not promote</x:v>
      </x:c>
      <x:c r="Z1577" s="12" t="str">
        <x:f>IF(K1577="P0","Primary seat + Hashlight/Lucerna","Seat lane")</x:f>
        <x:v>Seat lane</x:v>
      </x:c>
      <x:c r="AA1577" s="12" t="str">
        <x:f>IF(R1577="","no_claim_delta","claim_delta_present")</x:f>
        <x:v>no_claim_delta</x:v>
      </x:c>
      <x:c r="AB1577" s="12" t="str">
        <x:f>IF(S1577="","no_contradiction_delta","contradiction_delta_present")</x:f>
        <x:v>no_contradiction_delta</x:v>
      </x:c>
      <x:c r="AC1577" s="12" t="str">
        <x:f>IF(OR(ISNUMBER(SEARCH("hacker",LOWER(F1577&amp;" "&amp;H1577&amp;" "&amp;I1577&amp;" "&amp;M1577&amp;" "&amp;N1577&amp;" "&amp;T1577))),ISNUMBER(SEARCH("hacking",LOWER(F1577&amp;" "&amp;H1577&amp;" "&amp;I1577&amp;" "&amp;M1577&amp;" "&amp;N1577&amp;" "&amp;T1577))),ISNUMBER(SEARCH("bank",LOWER(F1577&amp;" "&amp;H1577&amp;" "&amp;I1577&amp;" "&amp;M1577&amp;" "&amp;N1577&amp;" "&amp;T1577))),ISNUMBER(SEARCH("banking",LOWER(F1577&amp;" "&amp;H1577&amp;" "&amp;I1577&amp;" "&amp;M1577&amp;" "&amp;N1577&amp;" "&amp;T1577)))),"PRIVATE_QUARANTINE",IF(OR(ISNUMBER(SEARCH("treasury",LOWER(F1577&amp;" "&amp;H1577&amp;" "&amp;I1577&amp;" "&amp;M1577&amp;" "&amp;N1577&amp;" "&amp;T1577))),ISNUMBER(SEARCH("debt",LOWER(F1577&amp;" "&amp;H1577&amp;" "&amp;I1577&amp;" "&amp;M1577&amp;" "&amp;N1577&amp;" "&amp;T1577))),ISNUMBER(SEARCH("bond",LOWER(F1577&amp;" "&amp;H1577&amp;" "&amp;I1577&amp;" "&amp;M1577&amp;" "&amp;N1577&amp;" "&amp;T1577))),ISNUMBER(SEARCH("transaction",LOWER(F1577&amp;" "&amp;H1577&amp;" "&amp;I1577&amp;" "&amp;M1577&amp;" "&amp;N1577&amp;" "&amp;T1577)))),"PRIVATE_REVIEW","PUBLIC_CANDIDATE"))</x:f>
        <x:v>PUBLIC_CANDIDATE</x:v>
      </x:c>
      <x:c r="AD1577" s="12" t="str">
        <x:f>IF(AC1577="PRIVATE_QUARANTINE","hacker_or_bank_trigger",IF(AC1577="PRIVATE_REVIEW","finance_risk_trigger","none"))</x:f>
        <x:v>none</x:v>
      </x:c>
      <x:c r="AE1577" s="12" t="str">
        <x:f>IF(AC1577="PUBLIC_CANDIDATE","prepare_public_github_candidate",IF(AC1577="PRIVATE_REVIEW","hold_for_private_review","quarantine_private_do_not_publish"))</x:f>
        <x:v>prepare_public_github_candidate</x:v>
      </x:c>
      <x:c r="AF1577" s="12" t="str">
        <x:f>IF(AC1577="PUBLIC_CANDIDATE","TIDELOCK + Lucerna",IF(AC1577="PRIVATE_REVIEW","AtlasBrain + Lucerna","TIDELOCK + Lucerna + Human-root"))</x:f>
        <x:v>TIDELOCK + Lucerna</x:v>
      </x:c>
      <x:c r="AG1577" s="12" t="str">
        <x:f>IF(AND(AC1577="PUBLIC_CANDIDATE",U1577&lt;&gt;"BLOCKED_PENDING_RECEIPT"),"READY_AFTER_RECEIPT","NOT_READY")</x:f>
        <x:v>NOT_READY</x:v>
      </x:c>
      <x:c r="AH1577" s="12" t="str">
        <x:f>IF(AC1577="PUBLIC_CANDIDATE","none",AD1577)</x:f>
        <x:v>none</x:v>
      </x:c>
      <x:c r="AI1577" s="12" t="str">
        <x:f>IF(AC1577="PUBLIC_CANDIDATE","archive/public_candidates/"&amp;A1577,"private_quarantine/"&amp;A1577)</x:f>
        <x:v>archive/public_candidates/SWARM-11-H12-S04</x:v>
      </x:c>
      <x:c r="AJ1577" s="12" t="str">
        <x:f>IF(AC1577="PUBLIC_CANDIDATE","public by default; still not canon","private/hold; do not publish")</x:f>
        <x:v>public by default; still not canon</x:v>
      </x:c>
      <x:c r="AK1577" s="12" t="str">
        <x:f>IF(AE1577="prepare_public_github_candidate","add receipt/status then mirror","resolve blocker before any public GitHub action")</x:f>
        <x:v>add receipt/status then mirror</x:v>
      </x:c>
    </x:row>
    <x:row r="1578">
      <x:c r="A1578" s="15" t="str">
        <x:v>SWARM-11-H12-S05</x:v>
      </x:c>
      <x:c r="B1578" s="15" t="str">
        <x:v>ClaudeCatcher</x:v>
      </x:c>
      <x:c r="C1578" s="15" t="str">
        <x:v>Bullshit Olympics referee</x:v>
      </x:c>
      <x:c r="D1578" s="15" t="str">
        <x:v>Canon-Gate Prep</x:v>
      </x:c>
      <x:c r="E1578" s="15" t="str">
        <x:v>Chat</x:v>
      </x:c>
      <x:c r="F1578" s="15" t="str">
        <x:v>Prepare canon-gate brief for Chat — ClaudeCatcher</x:v>
      </x:c>
      <x:c r="G1578" s="15" t="str">
        <x:v>adversarial claims / model overclaim detection</x:v>
      </x:c>
      <x:c r="H1578" s="15" t="str">
        <x:v>source path + receipt + raw/export status + claim/edge/risk delta</x:v>
      </x:c>
      <x:c r="I1578" s="15" t="str">
        <x:v>packet/SWARM-11-H12-S05</x:v>
      </x:c>
      <x:c r="J1578" s="15" t="str">
        <x:v>TODO</x:v>
      </x:c>
      <x:c r="K1578" s="15" t="str">
        <x:v>P1</x:v>
      </x:c>
      <x:c r="L1578" s="15" t="str">
        <x:v>Done only when evidence is logged, contradiction search is noted, and boundary stamp remains non-canon unless ratified</x:v>
      </x:c>
      <x:c r="M1578" s="15" t="str">
        <x:v>candidate / staging-only / not canon / not deployed / authority none</x:v>
      </x:c>
      <x:c r="N1578" s="15" t="str">
        <x:v>Dispatch to ClaudeCatcher: complete Canon-Gate Prep x Chat; return deltas only, receipts required.</x:v>
      </x:c>
      <x:c r="O1578" s="15" t="str">
        <x:v>AF-KG-H12-S05</x:v>
      </x:c>
      <x:c r="P1578" s="15" t="str">
        <x:v>Unverified</x:v>
      </x:c>
      <x:c r="Q1578" s="15" t="str">
        <x:v>Not checked</x:v>
      </x:c>
      <x:c r="R1578" s="15" t="str"/>
      <x:c r="S1578" s="15" t="str"/>
      <x:c r="T1578" s="15" t="str">
        <x:v>Log first source path or blocker</x:v>
      </x:c>
      <x:c r="U1578" s="12" t="str">
        <x:f>IF(OR(P1578="Unverified",Q1578="Not checked"),"BLOCKED_PENDING_RECEIPT","READY_FOR_REVIEW")</x:f>
        <x:v>BLOCKED_PENDING_RECEIPT</x:v>
      </x:c>
      <x:c r="V1578" s="12" t="str">
        <x:f>IF(J1578="DONE","RETURNED",IF(U1578="BLOCKED_PENDING_RECEIPT","SOURCE_TOUCH_REQUIRED","IN_PROGRESS"))</x:f>
        <x:v>SOURCE_TOUCH_REQUIRED</x:v>
      </x:c>
      <x:c r="W1578" s="12" t="str">
        <x:f>IF(P1578="Unverified","missing_receipt","receipt_logged")</x:f>
        <x:v>missing_receipt</x:v>
      </x:c>
      <x:c r="X1578" s="12" t="str">
        <x:f>IF(Q1578="Not checked","raw_status_missing","raw_status_logged")</x:f>
        <x:v>raw_status_missing</x:v>
      </x:c>
      <x:c r="Y1578" s="12" t="str">
        <x:f>IF(U1578="BLOCKED_PENDING_RECEIPT","Log source path or blocker; do not promote","Route to review lane")</x:f>
        <x:v>Log source path or blocker; do not promote</x:v>
      </x:c>
      <x:c r="Z1578" s="12" t="str">
        <x:f>IF(K1578="P0","Primary seat + Hashlight/Lucerna","Seat lane")</x:f>
        <x:v>Seat lane</x:v>
      </x:c>
      <x:c r="AA1578" s="12" t="str">
        <x:f>IF(R1578="","no_claim_delta","claim_delta_present")</x:f>
        <x:v>no_claim_delta</x:v>
      </x:c>
      <x:c r="AB1578" s="12" t="str">
        <x:f>IF(S1578="","no_contradiction_delta","contradiction_delta_present")</x:f>
        <x:v>no_contradiction_delta</x:v>
      </x:c>
      <x:c r="AC1578" s="12" t="str">
        <x:f>IF(OR(ISNUMBER(SEARCH("hacker",LOWER(F1578&amp;" "&amp;H1578&amp;" "&amp;I1578&amp;" "&amp;M1578&amp;" "&amp;N1578&amp;" "&amp;T1578))),ISNUMBER(SEARCH("hacking",LOWER(F1578&amp;" "&amp;H1578&amp;" "&amp;I1578&amp;" "&amp;M1578&amp;" "&amp;N1578&amp;" "&amp;T1578))),ISNUMBER(SEARCH("bank",LOWER(F1578&amp;" "&amp;H1578&amp;" "&amp;I1578&amp;" "&amp;M1578&amp;" "&amp;N1578&amp;" "&amp;T1578))),ISNUMBER(SEARCH("banking",LOWER(F1578&amp;" "&amp;H1578&amp;" "&amp;I1578&amp;" "&amp;M1578&amp;" "&amp;N1578&amp;" "&amp;T1578)))),"PRIVATE_QUARANTINE",IF(OR(ISNUMBER(SEARCH("treasury",LOWER(F1578&amp;" "&amp;H1578&amp;" "&amp;I1578&amp;" "&amp;M1578&amp;" "&amp;N1578&amp;" "&amp;T1578))),ISNUMBER(SEARCH("debt",LOWER(F1578&amp;" "&amp;H1578&amp;" "&amp;I1578&amp;" "&amp;M1578&amp;" "&amp;N1578&amp;" "&amp;T1578))),ISNUMBER(SEARCH("bond",LOWER(F1578&amp;" "&amp;H1578&amp;" "&amp;I1578&amp;" "&amp;M1578&amp;" "&amp;N1578&amp;" "&amp;T1578))),ISNUMBER(SEARCH("transaction",LOWER(F1578&amp;" "&amp;H1578&amp;" "&amp;I1578&amp;" "&amp;M1578&amp;" "&amp;N1578&amp;" "&amp;T1578)))),"PRIVATE_REVIEW","PUBLIC_CANDIDATE"))</x:f>
        <x:v>PUBLIC_CANDIDATE</x:v>
      </x:c>
      <x:c r="AD1578" s="12" t="str">
        <x:f>IF(AC1578="PRIVATE_QUARANTINE","hacker_or_bank_trigger",IF(AC1578="PRIVATE_REVIEW","finance_risk_trigger","none"))</x:f>
        <x:v>none</x:v>
      </x:c>
      <x:c r="AE1578" s="12" t="str">
        <x:f>IF(AC1578="PUBLIC_CANDIDATE","prepare_public_github_candidate",IF(AC1578="PRIVATE_REVIEW","hold_for_private_review","quarantine_private_do_not_publish"))</x:f>
        <x:v>prepare_public_github_candidate</x:v>
      </x:c>
      <x:c r="AF1578" s="12" t="str">
        <x:f>IF(AC1578="PUBLIC_CANDIDATE","TIDELOCK + Lucerna",IF(AC1578="PRIVATE_REVIEW","AtlasBrain + Lucerna","TIDELOCK + Lucerna + Human-root"))</x:f>
        <x:v>TIDELOCK + Lucerna</x:v>
      </x:c>
      <x:c r="AG1578" s="12" t="str">
        <x:f>IF(AND(AC1578="PUBLIC_CANDIDATE",U1578&lt;&gt;"BLOCKED_PENDING_RECEIPT"),"READY_AFTER_RECEIPT","NOT_READY")</x:f>
        <x:v>NOT_READY</x:v>
      </x:c>
      <x:c r="AH1578" s="12" t="str">
        <x:f>IF(AC1578="PUBLIC_CANDIDATE","none",AD1578)</x:f>
        <x:v>none</x:v>
      </x:c>
      <x:c r="AI1578" s="12" t="str">
        <x:f>IF(AC1578="PUBLIC_CANDIDATE","archive/public_candidates/"&amp;A1578,"private_quarantine/"&amp;A1578)</x:f>
        <x:v>archive/public_candidates/SWARM-11-H12-S05</x:v>
      </x:c>
      <x:c r="AJ1578" s="12" t="str">
        <x:f>IF(AC1578="PUBLIC_CANDIDATE","public by default; still not canon","private/hold; do not publish")</x:f>
        <x:v>public by default; still not canon</x:v>
      </x:c>
      <x:c r="AK1578" s="12" t="str">
        <x:f>IF(AE1578="prepare_public_github_candidate","add receipt/status then mirror","resolve blocker before any public GitHub action")</x:f>
        <x:v>add receipt/status then mirror</x:v>
      </x:c>
    </x:row>
    <x:row r="1579">
      <x:c r="A1579" s="15" t="str">
        <x:v>SWARM-11-H12-S06</x:v>
      </x:c>
      <x:c r="B1579" s="15" t="str">
        <x:v>ClaudeCatcher</x:v>
      </x:c>
      <x:c r="C1579" s="15" t="str">
        <x:v>Bullshit Olympics referee</x:v>
      </x:c>
      <x:c r="D1579" s="15" t="str">
        <x:v>Canon-Gate Prep</x:v>
      </x:c>
      <x:c r="E1579" s="15" t="str">
        <x:v>External Web</x:v>
      </x:c>
      <x:c r="F1579" s="15" t="str">
        <x:v>Prepare canon-gate brief for External Web — ClaudeCatcher</x:v>
      </x:c>
      <x:c r="G1579" s="15" t="str">
        <x:v>adversarial claims / model overclaim detection</x:v>
      </x:c>
      <x:c r="H1579" s="15" t="str">
        <x:v>source path + receipt + raw/export status + claim/edge/risk delta</x:v>
      </x:c>
      <x:c r="I1579" s="15" t="str">
        <x:v>packet/SWARM-11-H12-S06</x:v>
      </x:c>
      <x:c r="J1579" s="15" t="str">
        <x:v>TODO</x:v>
      </x:c>
      <x:c r="K1579" s="15" t="str">
        <x:v>P1</x:v>
      </x:c>
      <x:c r="L1579" s="15" t="str">
        <x:v>Done only when evidence is logged, contradiction search is noted, and boundary stamp remains non-canon unless ratified</x:v>
      </x:c>
      <x:c r="M1579" s="15" t="str">
        <x:v>candidate / staging-only / not canon / not deployed / authority none</x:v>
      </x:c>
      <x:c r="N1579" s="15" t="str">
        <x:v>Dispatch to ClaudeCatcher: complete Canon-Gate Prep x External Web; return deltas only, receipts required.</x:v>
      </x:c>
      <x:c r="O1579" s="15" t="str">
        <x:v>AF-KG-H12-S06</x:v>
      </x:c>
      <x:c r="P1579" s="15" t="str">
        <x:v>Unverified</x:v>
      </x:c>
      <x:c r="Q1579" s="15" t="str">
        <x:v>Not checked</x:v>
      </x:c>
      <x:c r="R1579" s="15" t="str"/>
      <x:c r="S1579" s="15" t="str"/>
      <x:c r="T1579" s="15" t="str">
        <x:v>Log first source path or blocker</x:v>
      </x:c>
      <x:c r="U1579" s="12" t="str">
        <x:f>IF(OR(P1579="Unverified",Q1579="Not checked"),"BLOCKED_PENDING_RECEIPT","READY_FOR_REVIEW")</x:f>
        <x:v>BLOCKED_PENDING_RECEIPT</x:v>
      </x:c>
      <x:c r="V1579" s="12" t="str">
        <x:f>IF(J1579="DONE","RETURNED",IF(U1579="BLOCKED_PENDING_RECEIPT","SOURCE_TOUCH_REQUIRED","IN_PROGRESS"))</x:f>
        <x:v>SOURCE_TOUCH_REQUIRED</x:v>
      </x:c>
      <x:c r="W1579" s="12" t="str">
        <x:f>IF(P1579="Unverified","missing_receipt","receipt_logged")</x:f>
        <x:v>missing_receipt</x:v>
      </x:c>
      <x:c r="X1579" s="12" t="str">
        <x:f>IF(Q1579="Not checked","raw_status_missing","raw_status_logged")</x:f>
        <x:v>raw_status_missing</x:v>
      </x:c>
      <x:c r="Y1579" s="12" t="str">
        <x:f>IF(U1579="BLOCKED_PENDING_RECEIPT","Log source path or blocker; do not promote","Route to review lane")</x:f>
        <x:v>Log source path or blocker; do not promote</x:v>
      </x:c>
      <x:c r="Z1579" s="12" t="str">
        <x:f>IF(K1579="P0","Primary seat + Hashlight/Lucerna","Seat lane")</x:f>
        <x:v>Seat lane</x:v>
      </x:c>
      <x:c r="AA1579" s="12" t="str">
        <x:f>IF(R1579="","no_claim_delta","claim_delta_present")</x:f>
        <x:v>no_claim_delta</x:v>
      </x:c>
      <x:c r="AB1579" s="12" t="str">
        <x:f>IF(S1579="","no_contradiction_delta","contradiction_delta_present")</x:f>
        <x:v>no_contradiction_delta</x:v>
      </x:c>
      <x:c r="AC1579" s="12" t="str">
        <x:f>IF(OR(ISNUMBER(SEARCH("hacker",LOWER(F1579&amp;" "&amp;H1579&amp;" "&amp;I1579&amp;" "&amp;M1579&amp;" "&amp;N1579&amp;" "&amp;T1579))),ISNUMBER(SEARCH("hacking",LOWER(F1579&amp;" "&amp;H1579&amp;" "&amp;I1579&amp;" "&amp;M1579&amp;" "&amp;N1579&amp;" "&amp;T1579))),ISNUMBER(SEARCH("bank",LOWER(F1579&amp;" "&amp;H1579&amp;" "&amp;I1579&amp;" "&amp;M1579&amp;" "&amp;N1579&amp;" "&amp;T1579))),ISNUMBER(SEARCH("banking",LOWER(F1579&amp;" "&amp;H1579&amp;" "&amp;I1579&amp;" "&amp;M1579&amp;" "&amp;N1579&amp;" "&amp;T1579)))),"PRIVATE_QUARANTINE",IF(OR(ISNUMBER(SEARCH("treasury",LOWER(F1579&amp;" "&amp;H1579&amp;" "&amp;I1579&amp;" "&amp;M1579&amp;" "&amp;N1579&amp;" "&amp;T1579))),ISNUMBER(SEARCH("debt",LOWER(F1579&amp;" "&amp;H1579&amp;" "&amp;I1579&amp;" "&amp;M1579&amp;" "&amp;N1579&amp;" "&amp;T1579))),ISNUMBER(SEARCH("bond",LOWER(F1579&amp;" "&amp;H1579&amp;" "&amp;I1579&amp;" "&amp;M1579&amp;" "&amp;N1579&amp;" "&amp;T1579))),ISNUMBER(SEARCH("transaction",LOWER(F1579&amp;" "&amp;H1579&amp;" "&amp;I1579&amp;" "&amp;M1579&amp;" "&amp;N1579&amp;" "&amp;T1579)))),"PRIVATE_REVIEW","PUBLIC_CANDIDATE"))</x:f>
        <x:v>PUBLIC_CANDIDATE</x:v>
      </x:c>
      <x:c r="AD1579" s="12" t="str">
        <x:f>IF(AC1579="PRIVATE_QUARANTINE","hacker_or_bank_trigger",IF(AC1579="PRIVATE_REVIEW","finance_risk_trigger","none"))</x:f>
        <x:v>none</x:v>
      </x:c>
      <x:c r="AE1579" s="12" t="str">
        <x:f>IF(AC1579="PUBLIC_CANDIDATE","prepare_public_github_candidate",IF(AC1579="PRIVATE_REVIEW","hold_for_private_review","quarantine_private_do_not_publish"))</x:f>
        <x:v>prepare_public_github_candidate</x:v>
      </x:c>
      <x:c r="AF1579" s="12" t="str">
        <x:f>IF(AC1579="PUBLIC_CANDIDATE","TIDELOCK + Lucerna",IF(AC1579="PRIVATE_REVIEW","AtlasBrain + Lucerna","TIDELOCK + Lucerna + Human-root"))</x:f>
        <x:v>TIDELOCK + Lucerna</x:v>
      </x:c>
      <x:c r="AG1579" s="12" t="str">
        <x:f>IF(AND(AC1579="PUBLIC_CANDIDATE",U1579&lt;&gt;"BLOCKED_PENDING_RECEIPT"),"READY_AFTER_RECEIPT","NOT_READY")</x:f>
        <x:v>NOT_READY</x:v>
      </x:c>
      <x:c r="AH1579" s="12" t="str">
        <x:f>IF(AC1579="PUBLIC_CANDIDATE","none",AD1579)</x:f>
        <x:v>none</x:v>
      </x:c>
      <x:c r="AI1579" s="12" t="str">
        <x:f>IF(AC1579="PUBLIC_CANDIDATE","archive/public_candidates/"&amp;A1579,"private_quarantine/"&amp;A1579)</x:f>
        <x:v>archive/public_candidates/SWARM-11-H12-S06</x:v>
      </x:c>
      <x:c r="AJ1579" s="12" t="str">
        <x:f>IF(AC1579="PUBLIC_CANDIDATE","public by default; still not canon","private/hold; do not publish")</x:f>
        <x:v>public by default; still not canon</x:v>
      </x:c>
      <x:c r="AK1579" s="12" t="str">
        <x:f>IF(AE1579="prepare_public_github_candidate","add receipt/status then mirror","resolve blocker before any public GitHub action")</x:f>
        <x:v>add receipt/status then mirror</x:v>
      </x:c>
    </x:row>
    <x:row r="1580">
      <x:c r="A1580" s="15" t="str">
        <x:v>SWARM-11-H12-S07</x:v>
      </x:c>
      <x:c r="B1580" s="15" t="str">
        <x:v>ClaudeCatcher</x:v>
      </x:c>
      <x:c r="C1580" s="15" t="str">
        <x:v>Bullshit Olympics referee</x:v>
      </x:c>
      <x:c r="D1580" s="15" t="str">
        <x:v>Canon-Gate Prep</x:v>
      </x:c>
      <x:c r="E1580" s="15" t="str">
        <x:v>Planetarium</x:v>
      </x:c>
      <x:c r="F1580" s="15" t="str">
        <x:v>Prepare canon-gate brief for Planetarium — ClaudeCatcher</x:v>
      </x:c>
      <x:c r="G1580" s="15" t="str">
        <x:v>adversarial claims / model overclaim detection</x:v>
      </x:c>
      <x:c r="H1580" s="15" t="str">
        <x:v>source path + receipt + raw/export status + claim/edge/risk delta</x:v>
      </x:c>
      <x:c r="I1580" s="15" t="str">
        <x:v>packet/SWARM-11-H12-S07</x:v>
      </x:c>
      <x:c r="J1580" s="15" t="str">
        <x:v>TODO</x:v>
      </x:c>
      <x:c r="K1580" s="15" t="str">
        <x:v>P1</x:v>
      </x:c>
      <x:c r="L1580" s="15" t="str">
        <x:v>Done only when evidence is logged, contradiction search is noted, and boundary stamp remains non-canon unless ratified</x:v>
      </x:c>
      <x:c r="M1580" s="15" t="str">
        <x:v>candidate / staging-only / not canon / not deployed / authority none</x:v>
      </x:c>
      <x:c r="N1580" s="15" t="str">
        <x:v>Dispatch to ClaudeCatcher: complete Canon-Gate Prep x Planetarium; return deltas only, receipts required.</x:v>
      </x:c>
      <x:c r="O1580" s="15" t="str">
        <x:v>AF-KG-H12-S07</x:v>
      </x:c>
      <x:c r="P1580" s="15" t="str">
        <x:v>Unverified</x:v>
      </x:c>
      <x:c r="Q1580" s="15" t="str">
        <x:v>Not checked</x:v>
      </x:c>
      <x:c r="R1580" s="15" t="str"/>
      <x:c r="S1580" s="15" t="str"/>
      <x:c r="T1580" s="15" t="str">
        <x:v>Log first source path or blocker</x:v>
      </x:c>
      <x:c r="U1580" s="12" t="str">
        <x:f>IF(OR(P1580="Unverified",Q1580="Not checked"),"BLOCKED_PENDING_RECEIPT","READY_FOR_REVIEW")</x:f>
        <x:v>BLOCKED_PENDING_RECEIPT</x:v>
      </x:c>
      <x:c r="V1580" s="12" t="str">
        <x:f>IF(J1580="DONE","RETURNED",IF(U1580="BLOCKED_PENDING_RECEIPT","SOURCE_TOUCH_REQUIRED","IN_PROGRESS"))</x:f>
        <x:v>SOURCE_TOUCH_REQUIRED</x:v>
      </x:c>
      <x:c r="W1580" s="12" t="str">
        <x:f>IF(P1580="Unverified","missing_receipt","receipt_logged")</x:f>
        <x:v>missing_receipt</x:v>
      </x:c>
      <x:c r="X1580" s="12" t="str">
        <x:f>IF(Q1580="Not checked","raw_status_missing","raw_status_logged")</x:f>
        <x:v>raw_status_missing</x:v>
      </x:c>
      <x:c r="Y1580" s="12" t="str">
        <x:f>IF(U1580="BLOCKED_PENDING_RECEIPT","Log source path or blocker; do not promote","Route to review lane")</x:f>
        <x:v>Log source path or blocker; do not promote</x:v>
      </x:c>
      <x:c r="Z1580" s="12" t="str">
        <x:f>IF(K1580="P0","Primary seat + Hashlight/Lucerna","Seat lane")</x:f>
        <x:v>Seat lane</x:v>
      </x:c>
      <x:c r="AA1580" s="12" t="str">
        <x:f>IF(R1580="","no_claim_delta","claim_delta_present")</x:f>
        <x:v>no_claim_delta</x:v>
      </x:c>
      <x:c r="AB1580" s="12" t="str">
        <x:f>IF(S1580="","no_contradiction_delta","contradiction_delta_present")</x:f>
        <x:v>no_contradiction_delta</x:v>
      </x:c>
      <x:c r="AC1580" s="12" t="str">
        <x:f>IF(OR(ISNUMBER(SEARCH("hacker",LOWER(F1580&amp;" "&amp;H1580&amp;" "&amp;I1580&amp;" "&amp;M1580&amp;" "&amp;N1580&amp;" "&amp;T1580))),ISNUMBER(SEARCH("hacking",LOWER(F1580&amp;" "&amp;H1580&amp;" "&amp;I1580&amp;" "&amp;M1580&amp;" "&amp;N1580&amp;" "&amp;T1580))),ISNUMBER(SEARCH("bank",LOWER(F1580&amp;" "&amp;H1580&amp;" "&amp;I1580&amp;" "&amp;M1580&amp;" "&amp;N1580&amp;" "&amp;T1580))),ISNUMBER(SEARCH("banking",LOWER(F1580&amp;" "&amp;H1580&amp;" "&amp;I1580&amp;" "&amp;M1580&amp;" "&amp;N1580&amp;" "&amp;T1580)))),"PRIVATE_QUARANTINE",IF(OR(ISNUMBER(SEARCH("treasury",LOWER(F1580&amp;" "&amp;H1580&amp;" "&amp;I1580&amp;" "&amp;M1580&amp;" "&amp;N1580&amp;" "&amp;T1580))),ISNUMBER(SEARCH("debt",LOWER(F1580&amp;" "&amp;H1580&amp;" "&amp;I1580&amp;" "&amp;M1580&amp;" "&amp;N1580&amp;" "&amp;T1580))),ISNUMBER(SEARCH("bond",LOWER(F1580&amp;" "&amp;H1580&amp;" "&amp;I1580&amp;" "&amp;M1580&amp;" "&amp;N1580&amp;" "&amp;T1580))),ISNUMBER(SEARCH("transaction",LOWER(F1580&amp;" "&amp;H1580&amp;" "&amp;I1580&amp;" "&amp;M1580&amp;" "&amp;N1580&amp;" "&amp;T1580)))),"PRIVATE_REVIEW","PUBLIC_CANDIDATE"))</x:f>
        <x:v>PUBLIC_CANDIDATE</x:v>
      </x:c>
      <x:c r="AD1580" s="12" t="str">
        <x:f>IF(AC1580="PRIVATE_QUARANTINE","hacker_or_bank_trigger",IF(AC1580="PRIVATE_REVIEW","finance_risk_trigger","none"))</x:f>
        <x:v>none</x:v>
      </x:c>
      <x:c r="AE1580" s="12" t="str">
        <x:f>IF(AC1580="PUBLIC_CANDIDATE","prepare_public_github_candidate",IF(AC1580="PRIVATE_REVIEW","hold_for_private_review","quarantine_private_do_not_publish"))</x:f>
        <x:v>prepare_public_github_candidate</x:v>
      </x:c>
      <x:c r="AF1580" s="12" t="str">
        <x:f>IF(AC1580="PUBLIC_CANDIDATE","TIDELOCK + Lucerna",IF(AC1580="PRIVATE_REVIEW","AtlasBrain + Lucerna","TIDELOCK + Lucerna + Human-root"))</x:f>
        <x:v>TIDELOCK + Lucerna</x:v>
      </x:c>
      <x:c r="AG1580" s="12" t="str">
        <x:f>IF(AND(AC1580="PUBLIC_CANDIDATE",U1580&lt;&gt;"BLOCKED_PENDING_RECEIPT"),"READY_AFTER_RECEIPT","NOT_READY")</x:f>
        <x:v>NOT_READY</x:v>
      </x:c>
      <x:c r="AH1580" s="12" t="str">
        <x:f>IF(AC1580="PUBLIC_CANDIDATE","none",AD1580)</x:f>
        <x:v>none</x:v>
      </x:c>
      <x:c r="AI1580" s="12" t="str">
        <x:f>IF(AC1580="PUBLIC_CANDIDATE","archive/public_candidates/"&amp;A1580,"private_quarantine/"&amp;A1580)</x:f>
        <x:v>archive/public_candidates/SWARM-11-H12-S07</x:v>
      </x:c>
      <x:c r="AJ1580" s="12" t="str">
        <x:f>IF(AC1580="PUBLIC_CANDIDATE","public by default; still not canon","private/hold; do not publish")</x:f>
        <x:v>public by default; still not canon</x:v>
      </x:c>
      <x:c r="AK1580" s="12" t="str">
        <x:f>IF(AE1580="prepare_public_github_candidate","add receipt/status then mirror","resolve blocker before any public GitHub action")</x:f>
        <x:v>add receipt/status then mirror</x:v>
      </x:c>
    </x:row>
    <x:row r="1581">
      <x:c r="A1581" s="15" t="str">
        <x:v>SWARM-11-H12-S08</x:v>
      </x:c>
      <x:c r="B1581" s="15" t="str">
        <x:v>ClaudeCatcher</x:v>
      </x:c>
      <x:c r="C1581" s="15" t="str">
        <x:v>Bullshit Olympics referee</x:v>
      </x:c>
      <x:c r="D1581" s="15" t="str">
        <x:v>Canon-Gate Prep</x:v>
      </x:c>
      <x:c r="E1581" s="15" t="str">
        <x:v>Sheldonbrain</x:v>
      </x:c>
      <x:c r="F1581" s="15" t="str">
        <x:v>Prepare canon-gate brief for Sheldonbrain — ClaudeCatcher</x:v>
      </x:c>
      <x:c r="G1581" s="15" t="str">
        <x:v>adversarial claims / model overclaim detection</x:v>
      </x:c>
      <x:c r="H1581" s="15" t="str">
        <x:v>source path + receipt + raw/export status + claim/edge/risk delta</x:v>
      </x:c>
      <x:c r="I1581" s="15" t="str">
        <x:v>packet/SWARM-11-H12-S08</x:v>
      </x:c>
      <x:c r="J1581" s="15" t="str">
        <x:v>TODO</x:v>
      </x:c>
      <x:c r="K1581" s="15" t="str">
        <x:v>P1</x:v>
      </x:c>
      <x:c r="L1581" s="15" t="str">
        <x:v>Done only when evidence is logged, contradiction search is noted, and boundary stamp remains non-canon unless ratified</x:v>
      </x:c>
      <x:c r="M1581" s="15" t="str">
        <x:v>candidate / staging-only / not canon / not deployed / authority none</x:v>
      </x:c>
      <x:c r="N1581" s="15" t="str">
        <x:v>Dispatch to ClaudeCatcher: complete Canon-Gate Prep x Sheldonbrain; return deltas only, receipts required.</x:v>
      </x:c>
      <x:c r="O1581" s="15" t="str">
        <x:v>AF-KG-H12-S08</x:v>
      </x:c>
      <x:c r="P1581" s="15" t="str">
        <x:v>Unverified</x:v>
      </x:c>
      <x:c r="Q1581" s="15" t="str">
        <x:v>Not checked</x:v>
      </x:c>
      <x:c r="R1581" s="15" t="str"/>
      <x:c r="S1581" s="15" t="str"/>
      <x:c r="T1581" s="15" t="str">
        <x:v>Log first source path or blocker</x:v>
      </x:c>
      <x:c r="U1581" s="12" t="str">
        <x:f>IF(OR(P1581="Unverified",Q1581="Not checked"),"BLOCKED_PENDING_RECEIPT","READY_FOR_REVIEW")</x:f>
        <x:v>BLOCKED_PENDING_RECEIPT</x:v>
      </x:c>
      <x:c r="V1581" s="12" t="str">
        <x:f>IF(J1581="DONE","RETURNED",IF(U1581="BLOCKED_PENDING_RECEIPT","SOURCE_TOUCH_REQUIRED","IN_PROGRESS"))</x:f>
        <x:v>SOURCE_TOUCH_REQUIRED</x:v>
      </x:c>
      <x:c r="W1581" s="12" t="str">
        <x:f>IF(P1581="Unverified","missing_receipt","receipt_logged")</x:f>
        <x:v>missing_receipt</x:v>
      </x:c>
      <x:c r="X1581" s="12" t="str">
        <x:f>IF(Q1581="Not checked","raw_status_missing","raw_status_logged")</x:f>
        <x:v>raw_status_missing</x:v>
      </x:c>
      <x:c r="Y1581" s="12" t="str">
        <x:f>IF(U1581="BLOCKED_PENDING_RECEIPT","Log source path or blocker; do not promote","Route to review lane")</x:f>
        <x:v>Log source path or blocker; do not promote</x:v>
      </x:c>
      <x:c r="Z1581" s="12" t="str">
        <x:f>IF(K1581="P0","Primary seat + Hashlight/Lucerna","Seat lane")</x:f>
        <x:v>Seat lane</x:v>
      </x:c>
      <x:c r="AA1581" s="12" t="str">
        <x:f>IF(R1581="","no_claim_delta","claim_delta_present")</x:f>
        <x:v>no_claim_delta</x:v>
      </x:c>
      <x:c r="AB1581" s="12" t="str">
        <x:f>IF(S1581="","no_contradiction_delta","contradiction_delta_present")</x:f>
        <x:v>no_contradiction_delta</x:v>
      </x:c>
      <x:c r="AC1581" s="12" t="str">
        <x:f>IF(OR(ISNUMBER(SEARCH("hacker",LOWER(F1581&amp;" "&amp;H1581&amp;" "&amp;I1581&amp;" "&amp;M1581&amp;" "&amp;N1581&amp;" "&amp;T1581))),ISNUMBER(SEARCH("hacking",LOWER(F1581&amp;" "&amp;H1581&amp;" "&amp;I1581&amp;" "&amp;M1581&amp;" "&amp;N1581&amp;" "&amp;T1581))),ISNUMBER(SEARCH("bank",LOWER(F1581&amp;" "&amp;H1581&amp;" "&amp;I1581&amp;" "&amp;M1581&amp;" "&amp;N1581&amp;" "&amp;T1581))),ISNUMBER(SEARCH("banking",LOWER(F1581&amp;" "&amp;H1581&amp;" "&amp;I1581&amp;" "&amp;M1581&amp;" "&amp;N1581&amp;" "&amp;T1581)))),"PRIVATE_QUARANTINE",IF(OR(ISNUMBER(SEARCH("treasury",LOWER(F1581&amp;" "&amp;H1581&amp;" "&amp;I1581&amp;" "&amp;M1581&amp;" "&amp;N1581&amp;" "&amp;T1581))),ISNUMBER(SEARCH("debt",LOWER(F1581&amp;" "&amp;H1581&amp;" "&amp;I1581&amp;" "&amp;M1581&amp;" "&amp;N1581&amp;" "&amp;T1581))),ISNUMBER(SEARCH("bond",LOWER(F1581&amp;" "&amp;H1581&amp;" "&amp;I1581&amp;" "&amp;M1581&amp;" "&amp;N1581&amp;" "&amp;T1581))),ISNUMBER(SEARCH("transaction",LOWER(F1581&amp;" "&amp;H1581&amp;" "&amp;I1581&amp;" "&amp;M1581&amp;" "&amp;N1581&amp;" "&amp;T1581)))),"PRIVATE_REVIEW","PUBLIC_CANDIDATE"))</x:f>
        <x:v>PUBLIC_CANDIDATE</x:v>
      </x:c>
      <x:c r="AD1581" s="12" t="str">
        <x:f>IF(AC1581="PRIVATE_QUARANTINE","hacker_or_bank_trigger",IF(AC1581="PRIVATE_REVIEW","finance_risk_trigger","none"))</x:f>
        <x:v>none</x:v>
      </x:c>
      <x:c r="AE1581" s="12" t="str">
        <x:f>IF(AC1581="PUBLIC_CANDIDATE","prepare_public_github_candidate",IF(AC1581="PRIVATE_REVIEW","hold_for_private_review","quarantine_private_do_not_publish"))</x:f>
        <x:v>prepare_public_github_candidate</x:v>
      </x:c>
      <x:c r="AF1581" s="12" t="str">
        <x:f>IF(AC1581="PUBLIC_CANDIDATE","TIDELOCK + Lucerna",IF(AC1581="PRIVATE_REVIEW","AtlasBrain + Lucerna","TIDELOCK + Lucerna + Human-root"))</x:f>
        <x:v>TIDELOCK + Lucerna</x:v>
      </x:c>
      <x:c r="AG1581" s="12" t="str">
        <x:f>IF(AND(AC1581="PUBLIC_CANDIDATE",U1581&lt;&gt;"BLOCKED_PENDING_RECEIPT"),"READY_AFTER_RECEIPT","NOT_READY")</x:f>
        <x:v>NOT_READY</x:v>
      </x:c>
      <x:c r="AH1581" s="12" t="str">
        <x:f>IF(AC1581="PUBLIC_CANDIDATE","none",AD1581)</x:f>
        <x:v>none</x:v>
      </x:c>
      <x:c r="AI1581" s="12" t="str">
        <x:f>IF(AC1581="PUBLIC_CANDIDATE","archive/public_candidates/"&amp;A1581,"private_quarantine/"&amp;A1581)</x:f>
        <x:v>archive/public_candidates/SWARM-11-H12-S08</x:v>
      </x:c>
      <x:c r="AJ1581" s="12" t="str">
        <x:f>IF(AC1581="PUBLIC_CANDIDATE","public by default; still not canon","private/hold; do not publish")</x:f>
        <x:v>public by default; still not canon</x:v>
      </x:c>
      <x:c r="AK1581" s="12" t="str">
        <x:f>IF(AE1581="prepare_public_github_candidate","add receipt/status then mirror","resolve blocker before any public GitHub action")</x:f>
        <x:v>add receipt/status then mirror</x:v>
      </x:c>
    </x:row>
    <x:row r="1582">
      <x:c r="A1582" s="15" t="str">
        <x:v>SWARM-11-H12-S09</x:v>
      </x:c>
      <x:c r="B1582" s="15" t="str">
        <x:v>ClaudeCatcher</x:v>
      </x:c>
      <x:c r="C1582" s="15" t="str">
        <x:v>Bullshit Olympics referee</x:v>
      </x:c>
      <x:c r="D1582" s="15" t="str">
        <x:v>Canon-Gate Prep</x:v>
      </x:c>
      <x:c r="E1582" s="15" t="str">
        <x:v>Aetherforge</x:v>
      </x:c>
      <x:c r="F1582" s="15" t="str">
        <x:v>Prepare canon-gate brief for Aetherforge — ClaudeCatcher</x:v>
      </x:c>
      <x:c r="G1582" s="15" t="str">
        <x:v>adversarial claims / model overclaim detection</x:v>
      </x:c>
      <x:c r="H1582" s="15" t="str">
        <x:v>source path + receipt + raw/export status + claim/edge/risk delta</x:v>
      </x:c>
      <x:c r="I1582" s="15" t="str">
        <x:v>packet/SWARM-11-H12-S09</x:v>
      </x:c>
      <x:c r="J1582" s="15" t="str">
        <x:v>TODO</x:v>
      </x:c>
      <x:c r="K1582" s="15" t="str">
        <x:v>P2</x:v>
      </x:c>
      <x:c r="L1582" s="15" t="str">
        <x:v>Done only when evidence is logged, contradiction search is noted, and boundary stamp remains non-canon unless ratified</x:v>
      </x:c>
      <x:c r="M1582" s="15" t="str">
        <x:v>candidate / staging-only / not canon / not deployed / authority none</x:v>
      </x:c>
      <x:c r="N1582" s="15" t="str">
        <x:v>Dispatch to ClaudeCatcher: complete Canon-Gate Prep x Aetherforge; return deltas only, receipts required.</x:v>
      </x:c>
      <x:c r="O1582" s="15" t="str">
        <x:v>AF-KG-H12-S09</x:v>
      </x:c>
      <x:c r="P1582" s="15" t="str">
        <x:v>Unverified</x:v>
      </x:c>
      <x:c r="Q1582" s="15" t="str">
        <x:v>Not checked</x:v>
      </x:c>
      <x:c r="R1582" s="15" t="str"/>
      <x:c r="S1582" s="15" t="str"/>
      <x:c r="T1582" s="15" t="str">
        <x:v>Log first source path or blocker</x:v>
      </x:c>
      <x:c r="U1582" s="12" t="str">
        <x:f>IF(OR(P1582="Unverified",Q1582="Not checked"),"BLOCKED_PENDING_RECEIPT","READY_FOR_REVIEW")</x:f>
        <x:v>BLOCKED_PENDING_RECEIPT</x:v>
      </x:c>
      <x:c r="V1582" s="12" t="str">
        <x:f>IF(J1582="DONE","RETURNED",IF(U1582="BLOCKED_PENDING_RECEIPT","SOURCE_TOUCH_REQUIRED","IN_PROGRESS"))</x:f>
        <x:v>SOURCE_TOUCH_REQUIRED</x:v>
      </x:c>
      <x:c r="W1582" s="12" t="str">
        <x:f>IF(P1582="Unverified","missing_receipt","receipt_logged")</x:f>
        <x:v>missing_receipt</x:v>
      </x:c>
      <x:c r="X1582" s="12" t="str">
        <x:f>IF(Q1582="Not checked","raw_status_missing","raw_status_logged")</x:f>
        <x:v>raw_status_missing</x:v>
      </x:c>
      <x:c r="Y1582" s="12" t="str">
        <x:f>IF(U1582="BLOCKED_PENDING_RECEIPT","Log source path or blocker; do not promote","Route to review lane")</x:f>
        <x:v>Log source path or blocker; do not promote</x:v>
      </x:c>
      <x:c r="Z1582" s="12" t="str">
        <x:f>IF(K1582="P0","Primary seat + Hashlight/Lucerna","Seat lane")</x:f>
        <x:v>Seat lane</x:v>
      </x:c>
      <x:c r="AA1582" s="12" t="str">
        <x:f>IF(R1582="","no_claim_delta","claim_delta_present")</x:f>
        <x:v>no_claim_delta</x:v>
      </x:c>
      <x:c r="AB1582" s="12" t="str">
        <x:f>IF(S1582="","no_contradiction_delta","contradiction_delta_present")</x:f>
        <x:v>no_contradiction_delta</x:v>
      </x:c>
      <x:c r="AC1582" s="12" t="str">
        <x:f>IF(OR(ISNUMBER(SEARCH("hacker",LOWER(F1582&amp;" "&amp;H1582&amp;" "&amp;I1582&amp;" "&amp;M1582&amp;" "&amp;N1582&amp;" "&amp;T1582))),ISNUMBER(SEARCH("hacking",LOWER(F1582&amp;" "&amp;H1582&amp;" "&amp;I1582&amp;" "&amp;M1582&amp;" "&amp;N1582&amp;" "&amp;T1582))),ISNUMBER(SEARCH("bank",LOWER(F1582&amp;" "&amp;H1582&amp;" "&amp;I1582&amp;" "&amp;M1582&amp;" "&amp;N1582&amp;" "&amp;T1582))),ISNUMBER(SEARCH("banking",LOWER(F1582&amp;" "&amp;H1582&amp;" "&amp;I1582&amp;" "&amp;M1582&amp;" "&amp;N1582&amp;" "&amp;T1582)))),"PRIVATE_QUARANTINE",IF(OR(ISNUMBER(SEARCH("treasury",LOWER(F1582&amp;" "&amp;H1582&amp;" "&amp;I1582&amp;" "&amp;M1582&amp;" "&amp;N1582&amp;" "&amp;T1582))),ISNUMBER(SEARCH("debt",LOWER(F1582&amp;" "&amp;H1582&amp;" "&amp;I1582&amp;" "&amp;M1582&amp;" "&amp;N1582&amp;" "&amp;T1582))),ISNUMBER(SEARCH("bond",LOWER(F1582&amp;" "&amp;H1582&amp;" "&amp;I1582&amp;" "&amp;M1582&amp;" "&amp;N1582&amp;" "&amp;T1582))),ISNUMBER(SEARCH("transaction",LOWER(F1582&amp;" "&amp;H1582&amp;" "&amp;I1582&amp;" "&amp;M1582&amp;" "&amp;N1582&amp;" "&amp;T1582)))),"PRIVATE_REVIEW","PUBLIC_CANDIDATE"))</x:f>
        <x:v>PUBLIC_CANDIDATE</x:v>
      </x:c>
      <x:c r="AD1582" s="12" t="str">
        <x:f>IF(AC1582="PRIVATE_QUARANTINE","hacker_or_bank_trigger",IF(AC1582="PRIVATE_REVIEW","finance_risk_trigger","none"))</x:f>
        <x:v>none</x:v>
      </x:c>
      <x:c r="AE1582" s="12" t="str">
        <x:f>IF(AC1582="PUBLIC_CANDIDATE","prepare_public_github_candidate",IF(AC1582="PRIVATE_REVIEW","hold_for_private_review","quarantine_private_do_not_publish"))</x:f>
        <x:v>prepare_public_github_candidate</x:v>
      </x:c>
      <x:c r="AF1582" s="12" t="str">
        <x:f>IF(AC1582="PUBLIC_CANDIDATE","TIDELOCK + Lucerna",IF(AC1582="PRIVATE_REVIEW","AtlasBrain + Lucerna","TIDELOCK + Lucerna + Human-root"))</x:f>
        <x:v>TIDELOCK + Lucerna</x:v>
      </x:c>
      <x:c r="AG1582" s="12" t="str">
        <x:f>IF(AND(AC1582="PUBLIC_CANDIDATE",U1582&lt;&gt;"BLOCKED_PENDING_RECEIPT"),"READY_AFTER_RECEIPT","NOT_READY")</x:f>
        <x:v>NOT_READY</x:v>
      </x:c>
      <x:c r="AH1582" s="12" t="str">
        <x:f>IF(AC1582="PUBLIC_CANDIDATE","none",AD1582)</x:f>
        <x:v>none</x:v>
      </x:c>
      <x:c r="AI1582" s="12" t="str">
        <x:f>IF(AC1582="PUBLIC_CANDIDATE","archive/public_candidates/"&amp;A1582,"private_quarantine/"&amp;A1582)</x:f>
        <x:v>archive/public_candidates/SWARM-11-H12-S09</x:v>
      </x:c>
      <x:c r="AJ1582" s="12" t="str">
        <x:f>IF(AC1582="PUBLIC_CANDIDATE","public by default; still not canon","private/hold; do not publish")</x:f>
        <x:v>public by default; still not canon</x:v>
      </x:c>
      <x:c r="AK1582" s="12" t="str">
        <x:f>IF(AE1582="prepare_public_github_candidate","add receipt/status then mirror","resolve blocker before any public GitHub action")</x:f>
        <x:v>add receipt/status then mirror</x:v>
      </x:c>
    </x:row>
    <x:row r="1583">
      <x:c r="A1583" s="15" t="str">
        <x:v>SWARM-11-H12-S10</x:v>
      </x:c>
      <x:c r="B1583" s="15" t="str">
        <x:v>ClaudeCatcher</x:v>
      </x:c>
      <x:c r="C1583" s="15" t="str">
        <x:v>Bullshit Olympics referee</x:v>
      </x:c>
      <x:c r="D1583" s="15" t="str">
        <x:v>Canon-Gate Prep</x:v>
      </x:c>
      <x:c r="E1583" s="15" t="str">
        <x:v>Human-Root</x:v>
      </x:c>
      <x:c r="F1583" s="15" t="str">
        <x:v>Prepare canon-gate brief for Human-Root — ClaudeCatcher</x:v>
      </x:c>
      <x:c r="G1583" s="15" t="str">
        <x:v>adversarial claims / model overclaim detection</x:v>
      </x:c>
      <x:c r="H1583" s="15" t="str">
        <x:v>source path + receipt + raw/export status + claim/edge/risk delta</x:v>
      </x:c>
      <x:c r="I1583" s="15" t="str">
        <x:v>packet/SWARM-11-H12-S10</x:v>
      </x:c>
      <x:c r="J1583" s="15" t="str">
        <x:v>TODO</x:v>
      </x:c>
      <x:c r="K1583" s="15" t="str">
        <x:v>P2</x:v>
      </x:c>
      <x:c r="L1583" s="15" t="str">
        <x:v>Done only when evidence is logged, contradiction search is noted, and boundary stamp remains non-canon unless ratified</x:v>
      </x:c>
      <x:c r="M1583" s="15" t="str">
        <x:v>candidate / staging-only / not canon / not deployed / authority none</x:v>
      </x:c>
      <x:c r="N1583" s="15" t="str">
        <x:v>Dispatch to ClaudeCatcher: complete Canon-Gate Prep x Human-Root; return deltas only, receipts required.</x:v>
      </x:c>
      <x:c r="O1583" s="15" t="str">
        <x:v>AF-KG-H12-S10</x:v>
      </x:c>
      <x:c r="P1583" s="15" t="str">
        <x:v>Unverified</x:v>
      </x:c>
      <x:c r="Q1583" s="15" t="str">
        <x:v>Not checked</x:v>
      </x:c>
      <x:c r="R1583" s="15" t="str"/>
      <x:c r="S1583" s="15" t="str"/>
      <x:c r="T1583" s="15" t="str">
        <x:v>Log first source path or blocker</x:v>
      </x:c>
      <x:c r="U1583" s="12" t="str">
        <x:f>IF(OR(P1583="Unverified",Q1583="Not checked"),"BLOCKED_PENDING_RECEIPT","READY_FOR_REVIEW")</x:f>
        <x:v>BLOCKED_PENDING_RECEIPT</x:v>
      </x:c>
      <x:c r="V1583" s="12" t="str">
        <x:f>IF(J1583="DONE","RETURNED",IF(U1583="BLOCKED_PENDING_RECEIPT","SOURCE_TOUCH_REQUIRED","IN_PROGRESS"))</x:f>
        <x:v>SOURCE_TOUCH_REQUIRED</x:v>
      </x:c>
      <x:c r="W1583" s="12" t="str">
        <x:f>IF(P1583="Unverified","missing_receipt","receipt_logged")</x:f>
        <x:v>missing_receipt</x:v>
      </x:c>
      <x:c r="X1583" s="12" t="str">
        <x:f>IF(Q1583="Not checked","raw_status_missing","raw_status_logged")</x:f>
        <x:v>raw_status_missing</x:v>
      </x:c>
      <x:c r="Y1583" s="12" t="str">
        <x:f>IF(U1583="BLOCKED_PENDING_RECEIPT","Log source path or blocker; do not promote","Route to review lane")</x:f>
        <x:v>Log source path or blocker; do not promote</x:v>
      </x:c>
      <x:c r="Z1583" s="12" t="str">
        <x:f>IF(K1583="P0","Primary seat + Hashlight/Lucerna","Seat lane")</x:f>
        <x:v>Seat lane</x:v>
      </x:c>
      <x:c r="AA1583" s="12" t="str">
        <x:f>IF(R1583="","no_claim_delta","claim_delta_present")</x:f>
        <x:v>no_claim_delta</x:v>
      </x:c>
      <x:c r="AB1583" s="12" t="str">
        <x:f>IF(S1583="","no_contradiction_delta","contradiction_delta_present")</x:f>
        <x:v>no_contradiction_delta</x:v>
      </x:c>
      <x:c r="AC1583" s="12" t="str">
        <x:f>IF(OR(ISNUMBER(SEARCH("hacker",LOWER(F1583&amp;" "&amp;H1583&amp;" "&amp;I1583&amp;" "&amp;M1583&amp;" "&amp;N1583&amp;" "&amp;T1583))),ISNUMBER(SEARCH("hacking",LOWER(F1583&amp;" "&amp;H1583&amp;" "&amp;I1583&amp;" "&amp;M1583&amp;" "&amp;N1583&amp;" "&amp;T1583))),ISNUMBER(SEARCH("bank",LOWER(F1583&amp;" "&amp;H1583&amp;" "&amp;I1583&amp;" "&amp;M1583&amp;" "&amp;N1583&amp;" "&amp;T1583))),ISNUMBER(SEARCH("banking",LOWER(F1583&amp;" "&amp;H1583&amp;" "&amp;I1583&amp;" "&amp;M1583&amp;" "&amp;N1583&amp;" "&amp;T1583)))),"PRIVATE_QUARANTINE",IF(OR(ISNUMBER(SEARCH("treasury",LOWER(F1583&amp;" "&amp;H1583&amp;" "&amp;I1583&amp;" "&amp;M1583&amp;" "&amp;N1583&amp;" "&amp;T1583))),ISNUMBER(SEARCH("debt",LOWER(F1583&amp;" "&amp;H1583&amp;" "&amp;I1583&amp;" "&amp;M1583&amp;" "&amp;N1583&amp;" "&amp;T1583))),ISNUMBER(SEARCH("bond",LOWER(F1583&amp;" "&amp;H1583&amp;" "&amp;I1583&amp;" "&amp;M1583&amp;" "&amp;N1583&amp;" "&amp;T1583))),ISNUMBER(SEARCH("transaction",LOWER(F1583&amp;" "&amp;H1583&amp;" "&amp;I1583&amp;" "&amp;M1583&amp;" "&amp;N1583&amp;" "&amp;T1583)))),"PRIVATE_REVIEW","PUBLIC_CANDIDATE"))</x:f>
        <x:v>PUBLIC_CANDIDATE</x:v>
      </x:c>
      <x:c r="AD1583" s="12" t="str">
        <x:f>IF(AC1583="PRIVATE_QUARANTINE","hacker_or_bank_trigger",IF(AC1583="PRIVATE_REVIEW","finance_risk_trigger","none"))</x:f>
        <x:v>none</x:v>
      </x:c>
      <x:c r="AE1583" s="12" t="str">
        <x:f>IF(AC1583="PUBLIC_CANDIDATE","prepare_public_github_candidate",IF(AC1583="PRIVATE_REVIEW","hold_for_private_review","quarantine_private_do_not_publish"))</x:f>
        <x:v>prepare_public_github_candidate</x:v>
      </x:c>
      <x:c r="AF1583" s="12" t="str">
        <x:f>IF(AC1583="PUBLIC_CANDIDATE","TIDELOCK + Lucerna",IF(AC1583="PRIVATE_REVIEW","AtlasBrain + Lucerna","TIDELOCK + Lucerna + Human-root"))</x:f>
        <x:v>TIDELOCK + Lucerna</x:v>
      </x:c>
      <x:c r="AG1583" s="12" t="str">
        <x:f>IF(AND(AC1583="PUBLIC_CANDIDATE",U1583&lt;&gt;"BLOCKED_PENDING_RECEIPT"),"READY_AFTER_RECEIPT","NOT_READY")</x:f>
        <x:v>NOT_READY</x:v>
      </x:c>
      <x:c r="AH1583" s="12" t="str">
        <x:f>IF(AC1583="PUBLIC_CANDIDATE","none",AD1583)</x:f>
        <x:v>none</x:v>
      </x:c>
      <x:c r="AI1583" s="12" t="str">
        <x:f>IF(AC1583="PUBLIC_CANDIDATE","archive/public_candidates/"&amp;A1583,"private_quarantine/"&amp;A1583)</x:f>
        <x:v>archive/public_candidates/SWARM-11-H12-S10</x:v>
      </x:c>
      <x:c r="AJ1583" s="12" t="str">
        <x:f>IF(AC1583="PUBLIC_CANDIDATE","public by default; still not canon","private/hold; do not publish")</x:f>
        <x:v>public by default; still not canon</x:v>
      </x:c>
      <x:c r="AK1583" s="12" t="str">
        <x:f>IF(AE1583="prepare_public_github_candidate","add receipt/status then mirror","resolve blocker before any public GitHub action")</x:f>
        <x:v>add receipt/status then mirror</x:v>
      </x:c>
    </x:row>
    <x:row r="1584">
      <x:c r="A1584" s="15" t="str">
        <x:v>SWARM-11-H12-S11</x:v>
      </x:c>
      <x:c r="B1584" s="15" t="str">
        <x:v>ClaudeCatcher</x:v>
      </x:c>
      <x:c r="C1584" s="15" t="str">
        <x:v>Bullshit Olympics referee</x:v>
      </x:c>
      <x:c r="D1584" s="15" t="str">
        <x:v>Canon-Gate Prep</x:v>
      </x:c>
      <x:c r="E1584" s="15" t="str">
        <x:v>Automation</x:v>
      </x:c>
      <x:c r="F1584" s="15" t="str">
        <x:v>Prepare canon-gate brief for Automation — ClaudeCatcher</x:v>
      </x:c>
      <x:c r="G1584" s="15" t="str">
        <x:v>adversarial claims / model overclaim detection</x:v>
      </x:c>
      <x:c r="H1584" s="15" t="str">
        <x:v>source path + receipt + raw/export status + claim/edge/risk delta</x:v>
      </x:c>
      <x:c r="I1584" s="15" t="str">
        <x:v>packet/SWARM-11-H12-S11</x:v>
      </x:c>
      <x:c r="J1584" s="15" t="str">
        <x:v>TODO</x:v>
      </x:c>
      <x:c r="K1584" s="15" t="str">
        <x:v>P2</x:v>
      </x:c>
      <x:c r="L1584" s="15" t="str">
        <x:v>Done only when evidence is logged, contradiction search is noted, and boundary stamp remains non-canon unless ratified</x:v>
      </x:c>
      <x:c r="M1584" s="15" t="str">
        <x:v>candidate / staging-only / not canon / not deployed / authority none</x:v>
      </x:c>
      <x:c r="N1584" s="15" t="str">
        <x:v>Dispatch to ClaudeCatcher: complete Canon-Gate Prep x Automation; return deltas only, receipts required.</x:v>
      </x:c>
      <x:c r="O1584" s="15" t="str">
        <x:v>AF-KG-H12-S11</x:v>
      </x:c>
      <x:c r="P1584" s="15" t="str">
        <x:v>Unverified</x:v>
      </x:c>
      <x:c r="Q1584" s="15" t="str">
        <x:v>Not checked</x:v>
      </x:c>
      <x:c r="R1584" s="15" t="str"/>
      <x:c r="S1584" s="15" t="str"/>
      <x:c r="T1584" s="15" t="str">
        <x:v>Log first source path or blocker</x:v>
      </x:c>
      <x:c r="U1584" s="12" t="str">
        <x:f>IF(OR(P1584="Unverified",Q1584="Not checked"),"BLOCKED_PENDING_RECEIPT","READY_FOR_REVIEW")</x:f>
        <x:v>BLOCKED_PENDING_RECEIPT</x:v>
      </x:c>
      <x:c r="V1584" s="12" t="str">
        <x:f>IF(J1584="DONE","RETURNED",IF(U1584="BLOCKED_PENDING_RECEIPT","SOURCE_TOUCH_REQUIRED","IN_PROGRESS"))</x:f>
        <x:v>SOURCE_TOUCH_REQUIRED</x:v>
      </x:c>
      <x:c r="W1584" s="12" t="str">
        <x:f>IF(P1584="Unverified","missing_receipt","receipt_logged")</x:f>
        <x:v>missing_receipt</x:v>
      </x:c>
      <x:c r="X1584" s="12" t="str">
        <x:f>IF(Q1584="Not checked","raw_status_missing","raw_status_logged")</x:f>
        <x:v>raw_status_missing</x:v>
      </x:c>
      <x:c r="Y1584" s="12" t="str">
        <x:f>IF(U1584="BLOCKED_PENDING_RECEIPT","Log source path or blocker; do not promote","Route to review lane")</x:f>
        <x:v>Log source path or blocker; do not promote</x:v>
      </x:c>
      <x:c r="Z1584" s="12" t="str">
        <x:f>IF(K1584="P0","Primary seat + Hashlight/Lucerna","Seat lane")</x:f>
        <x:v>Seat lane</x:v>
      </x:c>
      <x:c r="AA1584" s="12" t="str">
        <x:f>IF(R1584="","no_claim_delta","claim_delta_present")</x:f>
        <x:v>no_claim_delta</x:v>
      </x:c>
      <x:c r="AB1584" s="12" t="str">
        <x:f>IF(S1584="","no_contradiction_delta","contradiction_delta_present")</x:f>
        <x:v>no_contradiction_delta</x:v>
      </x:c>
      <x:c r="AC1584" s="12" t="str">
        <x:f>IF(OR(ISNUMBER(SEARCH("hacker",LOWER(F1584&amp;" "&amp;H1584&amp;" "&amp;I1584&amp;" "&amp;M1584&amp;" "&amp;N1584&amp;" "&amp;T1584))),ISNUMBER(SEARCH("hacking",LOWER(F1584&amp;" "&amp;H1584&amp;" "&amp;I1584&amp;" "&amp;M1584&amp;" "&amp;N1584&amp;" "&amp;T1584))),ISNUMBER(SEARCH("bank",LOWER(F1584&amp;" "&amp;H1584&amp;" "&amp;I1584&amp;" "&amp;M1584&amp;" "&amp;N1584&amp;" "&amp;T1584))),ISNUMBER(SEARCH("banking",LOWER(F1584&amp;" "&amp;H1584&amp;" "&amp;I1584&amp;" "&amp;M1584&amp;" "&amp;N1584&amp;" "&amp;T1584)))),"PRIVATE_QUARANTINE",IF(OR(ISNUMBER(SEARCH("treasury",LOWER(F1584&amp;" "&amp;H1584&amp;" "&amp;I1584&amp;" "&amp;M1584&amp;" "&amp;N1584&amp;" "&amp;T1584))),ISNUMBER(SEARCH("debt",LOWER(F1584&amp;" "&amp;H1584&amp;" "&amp;I1584&amp;" "&amp;M1584&amp;" "&amp;N1584&amp;" "&amp;T1584))),ISNUMBER(SEARCH("bond",LOWER(F1584&amp;" "&amp;H1584&amp;" "&amp;I1584&amp;" "&amp;M1584&amp;" "&amp;N1584&amp;" "&amp;T1584))),ISNUMBER(SEARCH("transaction",LOWER(F1584&amp;" "&amp;H1584&amp;" "&amp;I1584&amp;" "&amp;M1584&amp;" "&amp;N1584&amp;" "&amp;T1584)))),"PRIVATE_REVIEW","PUBLIC_CANDIDATE"))</x:f>
        <x:v>PUBLIC_CANDIDATE</x:v>
      </x:c>
      <x:c r="AD1584" s="12" t="str">
        <x:f>IF(AC1584="PRIVATE_QUARANTINE","hacker_or_bank_trigger",IF(AC1584="PRIVATE_REVIEW","finance_risk_trigger","none"))</x:f>
        <x:v>none</x:v>
      </x:c>
      <x:c r="AE1584" s="12" t="str">
        <x:f>IF(AC1584="PUBLIC_CANDIDATE","prepare_public_github_candidate",IF(AC1584="PRIVATE_REVIEW","hold_for_private_review","quarantine_private_do_not_publish"))</x:f>
        <x:v>prepare_public_github_candidate</x:v>
      </x:c>
      <x:c r="AF1584" s="12" t="str">
        <x:f>IF(AC1584="PUBLIC_CANDIDATE","TIDELOCK + Lucerna",IF(AC1584="PRIVATE_REVIEW","AtlasBrain + Lucerna","TIDELOCK + Lucerna + Human-root"))</x:f>
        <x:v>TIDELOCK + Lucerna</x:v>
      </x:c>
      <x:c r="AG1584" s="12" t="str">
        <x:f>IF(AND(AC1584="PUBLIC_CANDIDATE",U1584&lt;&gt;"BLOCKED_PENDING_RECEIPT"),"READY_AFTER_RECEIPT","NOT_READY")</x:f>
        <x:v>NOT_READY</x:v>
      </x:c>
      <x:c r="AH1584" s="12" t="str">
        <x:f>IF(AC1584="PUBLIC_CANDIDATE","none",AD1584)</x:f>
        <x:v>none</x:v>
      </x:c>
      <x:c r="AI1584" s="12" t="str">
        <x:f>IF(AC1584="PUBLIC_CANDIDATE","archive/public_candidates/"&amp;A1584,"private_quarantine/"&amp;A1584)</x:f>
        <x:v>archive/public_candidates/SWARM-11-H12-S11</x:v>
      </x:c>
      <x:c r="AJ1584" s="12" t="str">
        <x:f>IF(AC1584="PUBLIC_CANDIDATE","public by default; still not canon","private/hold; do not publish")</x:f>
        <x:v>public by default; still not canon</x:v>
      </x:c>
      <x:c r="AK1584" s="12" t="str">
        <x:f>IF(AE1584="prepare_public_github_candidate","add receipt/status then mirror","resolve blocker before any public GitHub action")</x:f>
        <x:v>add receipt/status then mirror</x:v>
      </x:c>
    </x:row>
    <x:row r="1585">
      <x:c r="A1585" s="15" t="str">
        <x:v>SWARM-11-H12-S12</x:v>
      </x:c>
      <x:c r="B1585" s="15" t="str">
        <x:v>ClaudeCatcher</x:v>
      </x:c>
      <x:c r="C1585" s="15" t="str">
        <x:v>Bullshit Olympics referee</x:v>
      </x:c>
      <x:c r="D1585" s="15" t="str">
        <x:v>Canon-Gate Prep</x:v>
      </x:c>
      <x:c r="E1585" s="15" t="str">
        <x:v>Risk / Safety</x:v>
      </x:c>
      <x:c r="F1585" s="15" t="str">
        <x:v>Prepare canon-gate brief for Risk / Safety — ClaudeCatcher</x:v>
      </x:c>
      <x:c r="G1585" s="15" t="str">
        <x:v>adversarial claims / model overclaim detection</x:v>
      </x:c>
      <x:c r="H1585" s="15" t="str">
        <x:v>source path + receipt + raw/export status + claim/edge/risk delta</x:v>
      </x:c>
      <x:c r="I1585" s="15" t="str">
        <x:v>packet/SWARM-11-H12-S12</x:v>
      </x:c>
      <x:c r="J1585" s="15" t="str">
        <x:v>TODO</x:v>
      </x:c>
      <x:c r="K1585" s="15" t="str">
        <x:v>P2</x:v>
      </x:c>
      <x:c r="L1585" s="15" t="str">
        <x:v>Done only when evidence is logged, contradiction search is noted, and boundary stamp remains non-canon unless ratified</x:v>
      </x:c>
      <x:c r="M1585" s="15" t="str">
        <x:v>candidate / staging-only / not canon / not deployed / authority none</x:v>
      </x:c>
      <x:c r="N1585" s="15" t="str">
        <x:v>Dispatch to ClaudeCatcher: complete Canon-Gate Prep x Risk / Safety; return deltas only, receipts required.</x:v>
      </x:c>
      <x:c r="O1585" s="15" t="str">
        <x:v>AF-KG-H12-S12</x:v>
      </x:c>
      <x:c r="P1585" s="15" t="str">
        <x:v>Unverified</x:v>
      </x:c>
      <x:c r="Q1585" s="15" t="str">
        <x:v>Not checked</x:v>
      </x:c>
      <x:c r="R1585" s="15" t="str"/>
      <x:c r="S1585" s="15" t="str"/>
      <x:c r="T1585" s="15" t="str">
        <x:v>Log first source path or blocker</x:v>
      </x:c>
      <x:c r="U1585" s="12" t="str">
        <x:f>IF(OR(P1585="Unverified",Q1585="Not checked"),"BLOCKED_PENDING_RECEIPT","READY_FOR_REVIEW")</x:f>
        <x:v>BLOCKED_PENDING_RECEIPT</x:v>
      </x:c>
      <x:c r="V1585" s="12" t="str">
        <x:f>IF(J1585="DONE","RETURNED",IF(U1585="BLOCKED_PENDING_RECEIPT","SOURCE_TOUCH_REQUIRED","IN_PROGRESS"))</x:f>
        <x:v>SOURCE_TOUCH_REQUIRED</x:v>
      </x:c>
      <x:c r="W1585" s="12" t="str">
        <x:f>IF(P1585="Unverified","missing_receipt","receipt_logged")</x:f>
        <x:v>missing_receipt</x:v>
      </x:c>
      <x:c r="X1585" s="12" t="str">
        <x:f>IF(Q1585="Not checked","raw_status_missing","raw_status_logged")</x:f>
        <x:v>raw_status_missing</x:v>
      </x:c>
      <x:c r="Y1585" s="12" t="str">
        <x:f>IF(U1585="BLOCKED_PENDING_RECEIPT","Log source path or blocker; do not promote","Route to review lane")</x:f>
        <x:v>Log source path or blocker; do not promote</x:v>
      </x:c>
      <x:c r="Z1585" s="12" t="str">
        <x:f>IF(K1585="P0","Primary seat + Hashlight/Lucerna","Seat lane")</x:f>
        <x:v>Seat lane</x:v>
      </x:c>
      <x:c r="AA1585" s="12" t="str">
        <x:f>IF(R1585="","no_claim_delta","claim_delta_present")</x:f>
        <x:v>no_claim_delta</x:v>
      </x:c>
      <x:c r="AB1585" s="12" t="str">
        <x:f>IF(S1585="","no_contradiction_delta","contradiction_delta_present")</x:f>
        <x:v>no_contradiction_delta</x:v>
      </x:c>
      <x:c r="AC1585" s="12" t="str">
        <x:f>IF(OR(ISNUMBER(SEARCH("hacker",LOWER(F1585&amp;" "&amp;H1585&amp;" "&amp;I1585&amp;" "&amp;M1585&amp;" "&amp;N1585&amp;" "&amp;T1585))),ISNUMBER(SEARCH("hacking",LOWER(F1585&amp;" "&amp;H1585&amp;" "&amp;I1585&amp;" "&amp;M1585&amp;" "&amp;N1585&amp;" "&amp;T1585))),ISNUMBER(SEARCH("bank",LOWER(F1585&amp;" "&amp;H1585&amp;" "&amp;I1585&amp;" "&amp;M1585&amp;" "&amp;N1585&amp;" "&amp;T1585))),ISNUMBER(SEARCH("banking",LOWER(F1585&amp;" "&amp;H1585&amp;" "&amp;I1585&amp;" "&amp;M1585&amp;" "&amp;N1585&amp;" "&amp;T1585)))),"PRIVATE_QUARANTINE",IF(OR(ISNUMBER(SEARCH("treasury",LOWER(F1585&amp;" "&amp;H1585&amp;" "&amp;I1585&amp;" "&amp;M1585&amp;" "&amp;N1585&amp;" "&amp;T1585))),ISNUMBER(SEARCH("debt",LOWER(F1585&amp;" "&amp;H1585&amp;" "&amp;I1585&amp;" "&amp;M1585&amp;" "&amp;N1585&amp;" "&amp;T1585))),ISNUMBER(SEARCH("bond",LOWER(F1585&amp;" "&amp;H1585&amp;" "&amp;I1585&amp;" "&amp;M1585&amp;" "&amp;N1585&amp;" "&amp;T1585))),ISNUMBER(SEARCH("transaction",LOWER(F1585&amp;" "&amp;H1585&amp;" "&amp;I1585&amp;" "&amp;M1585&amp;" "&amp;N1585&amp;" "&amp;T1585)))),"PRIVATE_REVIEW","PUBLIC_CANDIDATE"))</x:f>
        <x:v>PUBLIC_CANDIDATE</x:v>
      </x:c>
      <x:c r="AD1585" s="12" t="str">
        <x:f>IF(AC1585="PRIVATE_QUARANTINE","hacker_or_bank_trigger",IF(AC1585="PRIVATE_REVIEW","finance_risk_trigger","none"))</x:f>
        <x:v>none</x:v>
      </x:c>
      <x:c r="AE1585" s="12" t="str">
        <x:f>IF(AC1585="PUBLIC_CANDIDATE","prepare_public_github_candidate",IF(AC1585="PRIVATE_REVIEW","hold_for_private_review","quarantine_private_do_not_publish"))</x:f>
        <x:v>prepare_public_github_candidate</x:v>
      </x:c>
      <x:c r="AF1585" s="12" t="str">
        <x:f>IF(AC1585="PUBLIC_CANDIDATE","TIDELOCK + Lucerna",IF(AC1585="PRIVATE_REVIEW","AtlasBrain + Lucerna","TIDELOCK + Lucerna + Human-root"))</x:f>
        <x:v>TIDELOCK + Lucerna</x:v>
      </x:c>
      <x:c r="AG1585" s="12" t="str">
        <x:f>IF(AND(AC1585="PUBLIC_CANDIDATE",U1585&lt;&gt;"BLOCKED_PENDING_RECEIPT"),"READY_AFTER_RECEIPT","NOT_READY")</x:f>
        <x:v>NOT_READY</x:v>
      </x:c>
      <x:c r="AH1585" s="12" t="str">
        <x:f>IF(AC1585="PUBLIC_CANDIDATE","none",AD1585)</x:f>
        <x:v>none</x:v>
      </x:c>
      <x:c r="AI1585" s="12" t="str">
        <x:f>IF(AC1585="PUBLIC_CANDIDATE","archive/public_candidates/"&amp;A1585,"private_quarantine/"&amp;A1585)</x:f>
        <x:v>archive/public_candidates/SWARM-11-H12-S12</x:v>
      </x:c>
      <x:c r="AJ1585" s="12" t="str">
        <x:f>IF(AC1585="PUBLIC_CANDIDATE","public by default; still not canon","private/hold; do not publish")</x:f>
        <x:v>public by default; still not canon</x:v>
      </x:c>
      <x:c r="AK1585" s="12" t="str">
        <x:f>IF(AE1585="prepare_public_github_candidate","add receipt/status then mirror","resolve blocker before any public GitHub action")</x:f>
        <x:v>add receipt/status then mirror</x:v>
      </x:c>
    </x:row>
    <x:row r="1586">
      <x:c r="A1586" s="15" t="str">
        <x:v>SWARM-12-H01-S01</x:v>
      </x:c>
      <x:c r="B1586" s="15" t="str">
        <x:v>JoySignal</x:v>
      </x:c>
      <x:c r="C1586" s="15" t="str">
        <x:v>Rest and morale keeper</x:v>
      </x:c>
      <x:c r="D1586" s="15" t="str">
        <x:v>Source Inventory</x:v>
      </x:c>
      <x:c r="E1586" s="15" t="str">
        <x:v>Notion</x:v>
      </x:c>
      <x:c r="F1586" s="15" t="str">
        <x:v>Inventory Notion — JoySignal</x:v>
      </x:c>
      <x:c r="G1586" s="15" t="str">
        <x:v>cadence / anti-burnout / safe completion language</x:v>
      </x:c>
      <x:c r="H1586" s="15" t="str">
        <x:v>source path + receipt + raw/export status + claim/edge/risk delta</x:v>
      </x:c>
      <x:c r="I1586" s="15" t="str">
        <x:v>packet/SWARM-12-H01-S01</x:v>
      </x:c>
      <x:c r="J1586" s="15" t="str">
        <x:v>TODO</x:v>
      </x:c>
      <x:c r="K1586" s="15" t="str">
        <x:v>P0</x:v>
      </x:c>
      <x:c r="L1586" s="15" t="str">
        <x:v>Done only when evidence is logged, contradiction search is noted, and boundary stamp remains non-canon unless ratified</x:v>
      </x:c>
      <x:c r="M1586" s="15" t="str">
        <x:v>candidate / staging-only / not canon / not deployed / authority none</x:v>
      </x:c>
      <x:c r="N1586" s="15" t="str">
        <x:v>Dispatch to JoySignal: complete Source Inventory x Notion; return deltas only, receipts required.</x:v>
      </x:c>
      <x:c r="O1586" s="15" t="str">
        <x:v>AF-KG-H01-S01</x:v>
      </x:c>
      <x:c r="P1586" s="15" t="str">
        <x:v>Unverified</x:v>
      </x:c>
      <x:c r="Q1586" s="15" t="str">
        <x:v>Not checked</x:v>
      </x:c>
      <x:c r="R1586" s="15" t="str"/>
      <x:c r="S1586" s="15" t="str"/>
      <x:c r="T1586" s="15" t="str">
        <x:v>Log first source path or blocker</x:v>
      </x:c>
      <x:c r="U1586" s="12" t="str">
        <x:f>IF(OR(P1586="Unverified",Q1586="Not checked"),"BLOCKED_PENDING_RECEIPT","READY_FOR_REVIEW")</x:f>
        <x:v>BLOCKED_PENDING_RECEIPT</x:v>
      </x:c>
      <x:c r="V1586" s="12" t="str">
        <x:f>IF(J1586="DONE","RETURNED",IF(U1586="BLOCKED_PENDING_RECEIPT","SOURCE_TOUCH_REQUIRED","IN_PROGRESS"))</x:f>
        <x:v>SOURCE_TOUCH_REQUIRED</x:v>
      </x:c>
      <x:c r="W1586" s="12" t="str">
        <x:f>IF(P1586="Unverified","missing_receipt","receipt_logged")</x:f>
        <x:v>missing_receipt</x:v>
      </x:c>
      <x:c r="X1586" s="12" t="str">
        <x:f>IF(Q1586="Not checked","raw_status_missing","raw_status_logged")</x:f>
        <x:v>raw_status_missing</x:v>
      </x:c>
      <x:c r="Y1586" s="12" t="str">
        <x:f>IF(U1586="BLOCKED_PENDING_RECEIPT","Log source path or blocker; do not promote","Route to review lane")</x:f>
        <x:v>Log source path or blocker; do not promote</x:v>
      </x:c>
      <x:c r="Z1586" s="12" t="str">
        <x:f>IF(K1586="P0","Primary seat + Hashlight/Lucerna","Seat lane")</x:f>
        <x:v>Primary seat + Hashlight/Lucerna</x:v>
      </x:c>
      <x:c r="AA1586" s="12" t="str">
        <x:f>IF(R1586="","no_claim_delta","claim_delta_present")</x:f>
        <x:v>no_claim_delta</x:v>
      </x:c>
      <x:c r="AB1586" s="12" t="str">
        <x:f>IF(S1586="","no_contradiction_delta","contradiction_delta_present")</x:f>
        <x:v>no_contradiction_delta</x:v>
      </x:c>
      <x:c r="AC1586" s="12" t="str">
        <x:f>IF(OR(ISNUMBER(SEARCH("hacker",LOWER(F1586&amp;" "&amp;H1586&amp;" "&amp;I1586&amp;" "&amp;M1586&amp;" "&amp;N1586&amp;" "&amp;T1586))),ISNUMBER(SEARCH("hacking",LOWER(F1586&amp;" "&amp;H1586&amp;" "&amp;I1586&amp;" "&amp;M1586&amp;" "&amp;N1586&amp;" "&amp;T1586))),ISNUMBER(SEARCH("bank",LOWER(F1586&amp;" "&amp;H1586&amp;" "&amp;I1586&amp;" "&amp;M1586&amp;" "&amp;N1586&amp;" "&amp;T1586))),ISNUMBER(SEARCH("banking",LOWER(F1586&amp;" "&amp;H1586&amp;" "&amp;I1586&amp;" "&amp;M1586&amp;" "&amp;N1586&amp;" "&amp;T1586)))),"PRIVATE_QUARANTINE",IF(OR(ISNUMBER(SEARCH("treasury",LOWER(F1586&amp;" "&amp;H1586&amp;" "&amp;I1586&amp;" "&amp;M1586&amp;" "&amp;N1586&amp;" "&amp;T1586))),ISNUMBER(SEARCH("debt",LOWER(F1586&amp;" "&amp;H1586&amp;" "&amp;I1586&amp;" "&amp;M1586&amp;" "&amp;N1586&amp;" "&amp;T1586))),ISNUMBER(SEARCH("bond",LOWER(F1586&amp;" "&amp;H1586&amp;" "&amp;I1586&amp;" "&amp;M1586&amp;" "&amp;N1586&amp;" "&amp;T1586))),ISNUMBER(SEARCH("transaction",LOWER(F1586&amp;" "&amp;H1586&amp;" "&amp;I1586&amp;" "&amp;M1586&amp;" "&amp;N1586&amp;" "&amp;T1586)))),"PRIVATE_REVIEW","PUBLIC_CANDIDATE"))</x:f>
        <x:v>PUBLIC_CANDIDATE</x:v>
      </x:c>
      <x:c r="AD1586" s="12" t="str">
        <x:f>IF(AC1586="PRIVATE_QUARANTINE","hacker_or_bank_trigger",IF(AC1586="PRIVATE_REVIEW","finance_risk_trigger","none"))</x:f>
        <x:v>none</x:v>
      </x:c>
      <x:c r="AE1586" s="12" t="str">
        <x:f>IF(AC1586="PUBLIC_CANDIDATE","prepare_public_github_candidate",IF(AC1586="PRIVATE_REVIEW","hold_for_private_review","quarantine_private_do_not_publish"))</x:f>
        <x:v>prepare_public_github_candidate</x:v>
      </x:c>
      <x:c r="AF1586" s="12" t="str">
        <x:f>IF(AC1586="PUBLIC_CANDIDATE","TIDELOCK + Lucerna",IF(AC1586="PRIVATE_REVIEW","AtlasBrain + Lucerna","TIDELOCK + Lucerna + Human-root"))</x:f>
        <x:v>TIDELOCK + Lucerna</x:v>
      </x:c>
      <x:c r="AG1586" s="12" t="str">
        <x:f>IF(AND(AC1586="PUBLIC_CANDIDATE",U1586&lt;&gt;"BLOCKED_PENDING_RECEIPT"),"READY_AFTER_RECEIPT","NOT_READY")</x:f>
        <x:v>NOT_READY</x:v>
      </x:c>
      <x:c r="AH1586" s="12" t="str">
        <x:f>IF(AC1586="PUBLIC_CANDIDATE","none",AD1586)</x:f>
        <x:v>none</x:v>
      </x:c>
      <x:c r="AI1586" s="12" t="str">
        <x:f>IF(AC1586="PUBLIC_CANDIDATE","archive/public_candidates/"&amp;A1586,"private_quarantine/"&amp;A1586)</x:f>
        <x:v>archive/public_candidates/SWARM-12-H01-S01</x:v>
      </x:c>
      <x:c r="AJ1586" s="12" t="str">
        <x:f>IF(AC1586="PUBLIC_CANDIDATE","public by default; still not canon","private/hold; do not publish")</x:f>
        <x:v>public by default; still not canon</x:v>
      </x:c>
      <x:c r="AK1586" s="12" t="str">
        <x:f>IF(AE1586="prepare_public_github_candidate","add receipt/status then mirror","resolve blocker before any public GitHub action")</x:f>
        <x:v>add receipt/status then mirror</x:v>
      </x:c>
    </x:row>
    <x:row r="1587">
      <x:c r="A1587" s="15" t="str">
        <x:v>SWARM-12-H01-S02</x:v>
      </x:c>
      <x:c r="B1587" s="15" t="str">
        <x:v>JoySignal</x:v>
      </x:c>
      <x:c r="C1587" s="15" t="str">
        <x:v>Rest and morale keeper</x:v>
      </x:c>
      <x:c r="D1587" s="15" t="str">
        <x:v>Source Inventory</x:v>
      </x:c>
      <x:c r="E1587" s="15" t="str">
        <x:v>Drive</x:v>
      </x:c>
      <x:c r="F1587" s="15" t="str">
        <x:v>Inventory Drive — JoySignal</x:v>
      </x:c>
      <x:c r="G1587" s="15" t="str">
        <x:v>cadence / anti-burnout / safe completion language</x:v>
      </x:c>
      <x:c r="H1587" s="15" t="str">
        <x:v>source path + receipt + raw/export status + claim/edge/risk delta</x:v>
      </x:c>
      <x:c r="I1587" s="15" t="str">
        <x:v>packet/SWARM-12-H01-S02</x:v>
      </x:c>
      <x:c r="J1587" s="15" t="str">
        <x:v>TODO</x:v>
      </x:c>
      <x:c r="K1587" s="15" t="str">
        <x:v>P0</x:v>
      </x:c>
      <x:c r="L1587" s="15" t="str">
        <x:v>Done only when evidence is logged, contradiction search is noted, and boundary stamp remains non-canon unless ratified</x:v>
      </x:c>
      <x:c r="M1587" s="15" t="str">
        <x:v>candidate / staging-only / not canon / not deployed / authority none</x:v>
      </x:c>
      <x:c r="N1587" s="15" t="str">
        <x:v>Dispatch to JoySignal: complete Source Inventory x Drive; return deltas only, receipts required.</x:v>
      </x:c>
      <x:c r="O1587" s="15" t="str">
        <x:v>AF-KG-H01-S02</x:v>
      </x:c>
      <x:c r="P1587" s="15" t="str">
        <x:v>Unverified</x:v>
      </x:c>
      <x:c r="Q1587" s="15" t="str">
        <x:v>Not checked</x:v>
      </x:c>
      <x:c r="R1587" s="15" t="str"/>
      <x:c r="S1587" s="15" t="str"/>
      <x:c r="T1587" s="15" t="str">
        <x:v>Log first source path or blocker</x:v>
      </x:c>
      <x:c r="U1587" s="12" t="str">
        <x:f>IF(OR(P1587="Unverified",Q1587="Not checked"),"BLOCKED_PENDING_RECEIPT","READY_FOR_REVIEW")</x:f>
        <x:v>BLOCKED_PENDING_RECEIPT</x:v>
      </x:c>
      <x:c r="V1587" s="12" t="str">
        <x:f>IF(J1587="DONE","RETURNED",IF(U1587="BLOCKED_PENDING_RECEIPT","SOURCE_TOUCH_REQUIRED","IN_PROGRESS"))</x:f>
        <x:v>SOURCE_TOUCH_REQUIRED</x:v>
      </x:c>
      <x:c r="W1587" s="12" t="str">
        <x:f>IF(P1587="Unverified","missing_receipt","receipt_logged")</x:f>
        <x:v>missing_receipt</x:v>
      </x:c>
      <x:c r="X1587" s="12" t="str">
        <x:f>IF(Q1587="Not checked","raw_status_missing","raw_status_logged")</x:f>
        <x:v>raw_status_missing</x:v>
      </x:c>
      <x:c r="Y1587" s="12" t="str">
        <x:f>IF(U1587="BLOCKED_PENDING_RECEIPT","Log source path or blocker; do not promote","Route to review lane")</x:f>
        <x:v>Log source path or blocker; do not promote</x:v>
      </x:c>
      <x:c r="Z1587" s="12" t="str">
        <x:f>IF(K1587="P0","Primary seat + Hashlight/Lucerna","Seat lane")</x:f>
        <x:v>Primary seat + Hashlight/Lucerna</x:v>
      </x:c>
      <x:c r="AA1587" s="12" t="str">
        <x:f>IF(R1587="","no_claim_delta","claim_delta_present")</x:f>
        <x:v>no_claim_delta</x:v>
      </x:c>
      <x:c r="AB1587" s="12" t="str">
        <x:f>IF(S1587="","no_contradiction_delta","contradiction_delta_present")</x:f>
        <x:v>no_contradiction_delta</x:v>
      </x:c>
      <x:c r="AC1587" s="12" t="str">
        <x:f>IF(OR(ISNUMBER(SEARCH("hacker",LOWER(F1587&amp;" "&amp;H1587&amp;" "&amp;I1587&amp;" "&amp;M1587&amp;" "&amp;N1587&amp;" "&amp;T1587))),ISNUMBER(SEARCH("hacking",LOWER(F1587&amp;" "&amp;H1587&amp;" "&amp;I1587&amp;" "&amp;M1587&amp;" "&amp;N1587&amp;" "&amp;T1587))),ISNUMBER(SEARCH("bank",LOWER(F1587&amp;" "&amp;H1587&amp;" "&amp;I1587&amp;" "&amp;M1587&amp;" "&amp;N1587&amp;" "&amp;T1587))),ISNUMBER(SEARCH("banking",LOWER(F1587&amp;" "&amp;H1587&amp;" "&amp;I1587&amp;" "&amp;M1587&amp;" "&amp;N1587&amp;" "&amp;T1587)))),"PRIVATE_QUARANTINE",IF(OR(ISNUMBER(SEARCH("treasury",LOWER(F1587&amp;" "&amp;H1587&amp;" "&amp;I1587&amp;" "&amp;M1587&amp;" "&amp;N1587&amp;" "&amp;T1587))),ISNUMBER(SEARCH("debt",LOWER(F1587&amp;" "&amp;H1587&amp;" "&amp;I1587&amp;" "&amp;M1587&amp;" "&amp;N1587&amp;" "&amp;T1587))),ISNUMBER(SEARCH("bond",LOWER(F1587&amp;" "&amp;H1587&amp;" "&amp;I1587&amp;" "&amp;M1587&amp;" "&amp;N1587&amp;" "&amp;T1587))),ISNUMBER(SEARCH("transaction",LOWER(F1587&amp;" "&amp;H1587&amp;" "&amp;I1587&amp;" "&amp;M1587&amp;" "&amp;N1587&amp;" "&amp;T1587)))),"PRIVATE_REVIEW","PUBLIC_CANDIDATE"))</x:f>
        <x:v>PUBLIC_CANDIDATE</x:v>
      </x:c>
      <x:c r="AD1587" s="12" t="str">
        <x:f>IF(AC1587="PRIVATE_QUARANTINE","hacker_or_bank_trigger",IF(AC1587="PRIVATE_REVIEW","finance_risk_trigger","none"))</x:f>
        <x:v>none</x:v>
      </x:c>
      <x:c r="AE1587" s="12" t="str">
        <x:f>IF(AC1587="PUBLIC_CANDIDATE","prepare_public_github_candidate",IF(AC1587="PRIVATE_REVIEW","hold_for_private_review","quarantine_private_do_not_publish"))</x:f>
        <x:v>prepare_public_github_candidate</x:v>
      </x:c>
      <x:c r="AF1587" s="12" t="str">
        <x:f>IF(AC1587="PUBLIC_CANDIDATE","TIDELOCK + Lucerna",IF(AC1587="PRIVATE_REVIEW","AtlasBrain + Lucerna","TIDELOCK + Lucerna + Human-root"))</x:f>
        <x:v>TIDELOCK + Lucerna</x:v>
      </x:c>
      <x:c r="AG1587" s="12" t="str">
        <x:f>IF(AND(AC1587="PUBLIC_CANDIDATE",U1587&lt;&gt;"BLOCKED_PENDING_RECEIPT"),"READY_AFTER_RECEIPT","NOT_READY")</x:f>
        <x:v>NOT_READY</x:v>
      </x:c>
      <x:c r="AH1587" s="12" t="str">
        <x:f>IF(AC1587="PUBLIC_CANDIDATE","none",AD1587)</x:f>
        <x:v>none</x:v>
      </x:c>
      <x:c r="AI1587" s="12" t="str">
        <x:f>IF(AC1587="PUBLIC_CANDIDATE","archive/public_candidates/"&amp;A1587,"private_quarantine/"&amp;A1587)</x:f>
        <x:v>archive/public_candidates/SWARM-12-H01-S02</x:v>
      </x:c>
      <x:c r="AJ1587" s="12" t="str">
        <x:f>IF(AC1587="PUBLIC_CANDIDATE","public by default; still not canon","private/hold; do not publish")</x:f>
        <x:v>public by default; still not canon</x:v>
      </x:c>
      <x:c r="AK1587" s="12" t="str">
        <x:f>IF(AE1587="prepare_public_github_candidate","add receipt/status then mirror","resolve blocker before any public GitHub action")</x:f>
        <x:v>add receipt/status then mirror</x:v>
      </x:c>
    </x:row>
    <x:row r="1588">
      <x:c r="A1588" s="15" t="str">
        <x:v>SWARM-12-H01-S03</x:v>
      </x:c>
      <x:c r="B1588" s="15" t="str">
        <x:v>JoySignal</x:v>
      </x:c>
      <x:c r="C1588" s="15" t="str">
        <x:v>Rest and morale keeper</x:v>
      </x:c>
      <x:c r="D1588" s="15" t="str">
        <x:v>Source Inventory</x:v>
      </x:c>
      <x:c r="E1588" s="15" t="str">
        <x:v>GitHub</x:v>
      </x:c>
      <x:c r="F1588" s="15" t="str">
        <x:v>Inventory GitHub — JoySignal</x:v>
      </x:c>
      <x:c r="G1588" s="15" t="str">
        <x:v>cadence / anti-burnout / safe completion language</x:v>
      </x:c>
      <x:c r="H1588" s="15" t="str">
        <x:v>source path + receipt + raw/export status + claim/edge/risk delta</x:v>
      </x:c>
      <x:c r="I1588" s="15" t="str">
        <x:v>packet/SWARM-12-H01-S03</x:v>
      </x:c>
      <x:c r="J1588" s="15" t="str">
        <x:v>TODO</x:v>
      </x:c>
      <x:c r="K1588" s="15" t="str">
        <x:v>P0</x:v>
      </x:c>
      <x:c r="L1588" s="15" t="str">
        <x:v>Done only when evidence is logged, contradiction search is noted, and boundary stamp remains non-canon unless ratified</x:v>
      </x:c>
      <x:c r="M1588" s="15" t="str">
        <x:v>candidate / staging-only / not canon / not deployed / authority none</x:v>
      </x:c>
      <x:c r="N1588" s="15" t="str">
        <x:v>Dispatch to JoySignal: complete Source Inventory x GitHub; return deltas only, receipts required.</x:v>
      </x:c>
      <x:c r="O1588" s="15" t="str">
        <x:v>AF-KG-H01-S03</x:v>
      </x:c>
      <x:c r="P1588" s="15" t="str">
        <x:v>Unverified</x:v>
      </x:c>
      <x:c r="Q1588" s="15" t="str">
        <x:v>Not checked</x:v>
      </x:c>
      <x:c r="R1588" s="15" t="str"/>
      <x:c r="S1588" s="15" t="str"/>
      <x:c r="T1588" s="15" t="str">
        <x:v>Log first source path or blocker</x:v>
      </x:c>
      <x:c r="U1588" s="12" t="str">
        <x:f>IF(OR(P1588="Unverified",Q1588="Not checked"),"BLOCKED_PENDING_RECEIPT","READY_FOR_REVIEW")</x:f>
        <x:v>BLOCKED_PENDING_RECEIPT</x:v>
      </x:c>
      <x:c r="V1588" s="12" t="str">
        <x:f>IF(J1588="DONE","RETURNED",IF(U1588="BLOCKED_PENDING_RECEIPT","SOURCE_TOUCH_REQUIRED","IN_PROGRESS"))</x:f>
        <x:v>SOURCE_TOUCH_REQUIRED</x:v>
      </x:c>
      <x:c r="W1588" s="12" t="str">
        <x:f>IF(P1588="Unverified","missing_receipt","receipt_logged")</x:f>
        <x:v>missing_receipt</x:v>
      </x:c>
      <x:c r="X1588" s="12" t="str">
        <x:f>IF(Q1588="Not checked","raw_status_missing","raw_status_logged")</x:f>
        <x:v>raw_status_missing</x:v>
      </x:c>
      <x:c r="Y1588" s="12" t="str">
        <x:f>IF(U1588="BLOCKED_PENDING_RECEIPT","Log source path or blocker; do not promote","Route to review lane")</x:f>
        <x:v>Log source path or blocker; do not promote</x:v>
      </x:c>
      <x:c r="Z1588" s="12" t="str">
        <x:f>IF(K1588="P0","Primary seat + Hashlight/Lucerna","Seat lane")</x:f>
        <x:v>Primary seat + Hashlight/Lucerna</x:v>
      </x:c>
      <x:c r="AA1588" s="12" t="str">
        <x:f>IF(R1588="","no_claim_delta","claim_delta_present")</x:f>
        <x:v>no_claim_delta</x:v>
      </x:c>
      <x:c r="AB1588" s="12" t="str">
        <x:f>IF(S1588="","no_contradiction_delta","contradiction_delta_present")</x:f>
        <x:v>no_contradiction_delta</x:v>
      </x:c>
      <x:c r="AC1588" s="12" t="str">
        <x:f>IF(OR(ISNUMBER(SEARCH("hacker",LOWER(F1588&amp;" "&amp;H1588&amp;" "&amp;I1588&amp;" "&amp;M1588&amp;" "&amp;N1588&amp;" "&amp;T1588))),ISNUMBER(SEARCH("hacking",LOWER(F1588&amp;" "&amp;H1588&amp;" "&amp;I1588&amp;" "&amp;M1588&amp;" "&amp;N1588&amp;" "&amp;T1588))),ISNUMBER(SEARCH("bank",LOWER(F1588&amp;" "&amp;H1588&amp;" "&amp;I1588&amp;" "&amp;M1588&amp;" "&amp;N1588&amp;" "&amp;T1588))),ISNUMBER(SEARCH("banking",LOWER(F1588&amp;" "&amp;H1588&amp;" "&amp;I1588&amp;" "&amp;M1588&amp;" "&amp;N1588&amp;" "&amp;T1588)))),"PRIVATE_QUARANTINE",IF(OR(ISNUMBER(SEARCH("treasury",LOWER(F1588&amp;" "&amp;H1588&amp;" "&amp;I1588&amp;" "&amp;M1588&amp;" "&amp;N1588&amp;" "&amp;T1588))),ISNUMBER(SEARCH("debt",LOWER(F1588&amp;" "&amp;H1588&amp;" "&amp;I1588&amp;" "&amp;M1588&amp;" "&amp;N1588&amp;" "&amp;T1588))),ISNUMBER(SEARCH("bond",LOWER(F1588&amp;" "&amp;H1588&amp;" "&amp;I1588&amp;" "&amp;M1588&amp;" "&amp;N1588&amp;" "&amp;T1588))),ISNUMBER(SEARCH("transaction",LOWER(F1588&amp;" "&amp;H1588&amp;" "&amp;I1588&amp;" "&amp;M1588&amp;" "&amp;N1588&amp;" "&amp;T1588)))),"PRIVATE_REVIEW","PUBLIC_CANDIDATE"))</x:f>
        <x:v>PUBLIC_CANDIDATE</x:v>
      </x:c>
      <x:c r="AD1588" s="12" t="str">
        <x:f>IF(AC1588="PRIVATE_QUARANTINE","hacker_or_bank_trigger",IF(AC1588="PRIVATE_REVIEW","finance_risk_trigger","none"))</x:f>
        <x:v>none</x:v>
      </x:c>
      <x:c r="AE1588" s="12" t="str">
        <x:f>IF(AC1588="PUBLIC_CANDIDATE","prepare_public_github_candidate",IF(AC1588="PRIVATE_REVIEW","hold_for_private_review","quarantine_private_do_not_publish"))</x:f>
        <x:v>prepare_public_github_candidate</x:v>
      </x:c>
      <x:c r="AF1588" s="12" t="str">
        <x:f>IF(AC1588="PUBLIC_CANDIDATE","TIDELOCK + Lucerna",IF(AC1588="PRIVATE_REVIEW","AtlasBrain + Lucerna","TIDELOCK + Lucerna + Human-root"))</x:f>
        <x:v>TIDELOCK + Lucerna</x:v>
      </x:c>
      <x:c r="AG1588" s="12" t="str">
        <x:f>IF(AND(AC1588="PUBLIC_CANDIDATE",U1588&lt;&gt;"BLOCKED_PENDING_RECEIPT"),"READY_AFTER_RECEIPT","NOT_READY")</x:f>
        <x:v>NOT_READY</x:v>
      </x:c>
      <x:c r="AH1588" s="12" t="str">
        <x:f>IF(AC1588="PUBLIC_CANDIDATE","none",AD1588)</x:f>
        <x:v>none</x:v>
      </x:c>
      <x:c r="AI1588" s="12" t="str">
        <x:f>IF(AC1588="PUBLIC_CANDIDATE","archive/public_candidates/"&amp;A1588,"private_quarantine/"&amp;A1588)</x:f>
        <x:v>archive/public_candidates/SWARM-12-H01-S03</x:v>
      </x:c>
      <x:c r="AJ1588" s="12" t="str">
        <x:f>IF(AC1588="PUBLIC_CANDIDATE","public by default; still not canon","private/hold; do not publish")</x:f>
        <x:v>public by default; still not canon</x:v>
      </x:c>
      <x:c r="AK1588" s="12" t="str">
        <x:f>IF(AE1588="prepare_public_github_candidate","add receipt/status then mirror","resolve blocker before any public GitHub action")</x:f>
        <x:v>add receipt/status then mirror</x:v>
      </x:c>
    </x:row>
    <x:row r="1589">
      <x:c r="A1589" s="15" t="str">
        <x:v>SWARM-12-H01-S04</x:v>
      </x:c>
      <x:c r="B1589" s="15" t="str">
        <x:v>JoySignal</x:v>
      </x:c>
      <x:c r="C1589" s="15" t="str">
        <x:v>Rest and morale keeper</x:v>
      </x:c>
      <x:c r="D1589" s="15" t="str">
        <x:v>Source Inventory</x:v>
      </x:c>
      <x:c r="E1589" s="15" t="str">
        <x:v>Gamma</x:v>
      </x:c>
      <x:c r="F1589" s="15" t="str">
        <x:v>Inventory Gamma — JoySignal</x:v>
      </x:c>
      <x:c r="G1589" s="15" t="str">
        <x:v>cadence / anti-burnout / safe completion language</x:v>
      </x:c>
      <x:c r="H1589" s="15" t="str">
        <x:v>source path + receipt + raw/export status + claim/edge/risk delta</x:v>
      </x:c>
      <x:c r="I1589" s="15" t="str">
        <x:v>packet/SWARM-12-H01-S04</x:v>
      </x:c>
      <x:c r="J1589" s="15" t="str">
        <x:v>TODO</x:v>
      </x:c>
      <x:c r="K1589" s="15" t="str">
        <x:v>P1</x:v>
      </x:c>
      <x:c r="L1589" s="15" t="str">
        <x:v>Done only when evidence is logged, contradiction search is noted, and boundary stamp remains non-canon unless ratified</x:v>
      </x:c>
      <x:c r="M1589" s="15" t="str">
        <x:v>candidate / staging-only / not canon / not deployed / authority none</x:v>
      </x:c>
      <x:c r="N1589" s="15" t="str">
        <x:v>Dispatch to JoySignal: complete Source Inventory x Gamma; return deltas only, receipts required.</x:v>
      </x:c>
      <x:c r="O1589" s="15" t="str">
        <x:v>AF-KG-H01-S04</x:v>
      </x:c>
      <x:c r="P1589" s="15" t="str">
        <x:v>Unverified</x:v>
      </x:c>
      <x:c r="Q1589" s="15" t="str">
        <x:v>Not checked</x:v>
      </x:c>
      <x:c r="R1589" s="15" t="str"/>
      <x:c r="S1589" s="15" t="str"/>
      <x:c r="T1589" s="15" t="str">
        <x:v>Log first source path or blocker</x:v>
      </x:c>
      <x:c r="U1589" s="12" t="str">
        <x:f>IF(OR(P1589="Unverified",Q1589="Not checked"),"BLOCKED_PENDING_RECEIPT","READY_FOR_REVIEW")</x:f>
        <x:v>BLOCKED_PENDING_RECEIPT</x:v>
      </x:c>
      <x:c r="V1589" s="12" t="str">
        <x:f>IF(J1589="DONE","RETURNED",IF(U1589="BLOCKED_PENDING_RECEIPT","SOURCE_TOUCH_REQUIRED","IN_PROGRESS"))</x:f>
        <x:v>SOURCE_TOUCH_REQUIRED</x:v>
      </x:c>
      <x:c r="W1589" s="12" t="str">
        <x:f>IF(P1589="Unverified","missing_receipt","receipt_logged")</x:f>
        <x:v>missing_receipt</x:v>
      </x:c>
      <x:c r="X1589" s="12" t="str">
        <x:f>IF(Q1589="Not checked","raw_status_missing","raw_status_logged")</x:f>
        <x:v>raw_status_missing</x:v>
      </x:c>
      <x:c r="Y1589" s="12" t="str">
        <x:f>IF(U1589="BLOCKED_PENDING_RECEIPT","Log source path or blocker; do not promote","Route to review lane")</x:f>
        <x:v>Log source path or blocker; do not promote</x:v>
      </x:c>
      <x:c r="Z1589" s="12" t="str">
        <x:f>IF(K1589="P0","Primary seat + Hashlight/Lucerna","Seat lane")</x:f>
        <x:v>Seat lane</x:v>
      </x:c>
      <x:c r="AA1589" s="12" t="str">
        <x:f>IF(R1589="","no_claim_delta","claim_delta_present")</x:f>
        <x:v>no_claim_delta</x:v>
      </x:c>
      <x:c r="AB1589" s="12" t="str">
        <x:f>IF(S1589="","no_contradiction_delta","contradiction_delta_present")</x:f>
        <x:v>no_contradiction_delta</x:v>
      </x:c>
      <x:c r="AC1589" s="12" t="str">
        <x:f>IF(OR(ISNUMBER(SEARCH("hacker",LOWER(F1589&amp;" "&amp;H1589&amp;" "&amp;I1589&amp;" "&amp;M1589&amp;" "&amp;N1589&amp;" "&amp;T1589))),ISNUMBER(SEARCH("hacking",LOWER(F1589&amp;" "&amp;H1589&amp;" "&amp;I1589&amp;" "&amp;M1589&amp;" "&amp;N1589&amp;" "&amp;T1589))),ISNUMBER(SEARCH("bank",LOWER(F1589&amp;" "&amp;H1589&amp;" "&amp;I1589&amp;" "&amp;M1589&amp;" "&amp;N1589&amp;" "&amp;T1589))),ISNUMBER(SEARCH("banking",LOWER(F1589&amp;" "&amp;H1589&amp;" "&amp;I1589&amp;" "&amp;M1589&amp;" "&amp;N1589&amp;" "&amp;T1589)))),"PRIVATE_QUARANTINE",IF(OR(ISNUMBER(SEARCH("treasury",LOWER(F1589&amp;" "&amp;H1589&amp;" "&amp;I1589&amp;" "&amp;M1589&amp;" "&amp;N1589&amp;" "&amp;T1589))),ISNUMBER(SEARCH("debt",LOWER(F1589&amp;" "&amp;H1589&amp;" "&amp;I1589&amp;" "&amp;M1589&amp;" "&amp;N1589&amp;" "&amp;T1589))),ISNUMBER(SEARCH("bond",LOWER(F1589&amp;" "&amp;H1589&amp;" "&amp;I1589&amp;" "&amp;M1589&amp;" "&amp;N1589&amp;" "&amp;T1589))),ISNUMBER(SEARCH("transaction",LOWER(F1589&amp;" "&amp;H1589&amp;" "&amp;I1589&amp;" "&amp;M1589&amp;" "&amp;N1589&amp;" "&amp;T1589)))),"PRIVATE_REVIEW","PUBLIC_CANDIDATE"))</x:f>
        <x:v>PUBLIC_CANDIDATE</x:v>
      </x:c>
      <x:c r="AD1589" s="12" t="str">
        <x:f>IF(AC1589="PRIVATE_QUARANTINE","hacker_or_bank_trigger",IF(AC1589="PRIVATE_REVIEW","finance_risk_trigger","none"))</x:f>
        <x:v>none</x:v>
      </x:c>
      <x:c r="AE1589" s="12" t="str">
        <x:f>IF(AC1589="PUBLIC_CANDIDATE","prepare_public_github_candidate",IF(AC1589="PRIVATE_REVIEW","hold_for_private_review","quarantine_private_do_not_publish"))</x:f>
        <x:v>prepare_public_github_candidate</x:v>
      </x:c>
      <x:c r="AF1589" s="12" t="str">
        <x:f>IF(AC1589="PUBLIC_CANDIDATE","TIDELOCK + Lucerna",IF(AC1589="PRIVATE_REVIEW","AtlasBrain + Lucerna","TIDELOCK + Lucerna + Human-root"))</x:f>
        <x:v>TIDELOCK + Lucerna</x:v>
      </x:c>
      <x:c r="AG1589" s="12" t="str">
        <x:f>IF(AND(AC1589="PUBLIC_CANDIDATE",U1589&lt;&gt;"BLOCKED_PENDING_RECEIPT"),"READY_AFTER_RECEIPT","NOT_READY")</x:f>
        <x:v>NOT_READY</x:v>
      </x:c>
      <x:c r="AH1589" s="12" t="str">
        <x:f>IF(AC1589="PUBLIC_CANDIDATE","none",AD1589)</x:f>
        <x:v>none</x:v>
      </x:c>
      <x:c r="AI1589" s="12" t="str">
        <x:f>IF(AC1589="PUBLIC_CANDIDATE","archive/public_candidates/"&amp;A1589,"private_quarantine/"&amp;A1589)</x:f>
        <x:v>archive/public_candidates/SWARM-12-H01-S04</x:v>
      </x:c>
      <x:c r="AJ1589" s="12" t="str">
        <x:f>IF(AC1589="PUBLIC_CANDIDATE","public by default; still not canon","private/hold; do not publish")</x:f>
        <x:v>public by default; still not canon</x:v>
      </x:c>
      <x:c r="AK1589" s="12" t="str">
        <x:f>IF(AE1589="prepare_public_github_candidate","add receipt/status then mirror","resolve blocker before any public GitHub action")</x:f>
        <x:v>add receipt/status then mirror</x:v>
      </x:c>
    </x:row>
    <x:row r="1590">
      <x:c r="A1590" s="15" t="str">
        <x:v>SWARM-12-H01-S05</x:v>
      </x:c>
      <x:c r="B1590" s="15" t="str">
        <x:v>JoySignal</x:v>
      </x:c>
      <x:c r="C1590" s="15" t="str">
        <x:v>Rest and morale keeper</x:v>
      </x:c>
      <x:c r="D1590" s="15" t="str">
        <x:v>Source Inventory</x:v>
      </x:c>
      <x:c r="E1590" s="15" t="str">
        <x:v>Chat</x:v>
      </x:c>
      <x:c r="F1590" s="15" t="str">
        <x:v>Inventory Chat — JoySignal</x:v>
      </x:c>
      <x:c r="G1590" s="15" t="str">
        <x:v>cadence / anti-burnout / safe completion language</x:v>
      </x:c>
      <x:c r="H1590" s="15" t="str">
        <x:v>source path + receipt + raw/export status + claim/edge/risk delta</x:v>
      </x:c>
      <x:c r="I1590" s="15" t="str">
        <x:v>packet/SWARM-12-H01-S05</x:v>
      </x:c>
      <x:c r="J1590" s="15" t="str">
        <x:v>TODO</x:v>
      </x:c>
      <x:c r="K1590" s="15" t="str">
        <x:v>P1</x:v>
      </x:c>
      <x:c r="L1590" s="15" t="str">
        <x:v>Done only when evidence is logged, contradiction search is noted, and boundary stamp remains non-canon unless ratified</x:v>
      </x:c>
      <x:c r="M1590" s="15" t="str">
        <x:v>candidate / staging-only / not canon / not deployed / authority none</x:v>
      </x:c>
      <x:c r="N1590" s="15" t="str">
        <x:v>Dispatch to JoySignal: complete Source Inventory x Chat; return deltas only, receipts required.</x:v>
      </x:c>
      <x:c r="O1590" s="15" t="str">
        <x:v>AF-KG-H01-S05</x:v>
      </x:c>
      <x:c r="P1590" s="15" t="str">
        <x:v>Unverified</x:v>
      </x:c>
      <x:c r="Q1590" s="15" t="str">
        <x:v>Not checked</x:v>
      </x:c>
      <x:c r="R1590" s="15" t="str"/>
      <x:c r="S1590" s="15" t="str"/>
      <x:c r="T1590" s="15" t="str">
        <x:v>Log first source path or blocker</x:v>
      </x:c>
      <x:c r="U1590" s="12" t="str">
        <x:f>IF(OR(P1590="Unverified",Q1590="Not checked"),"BLOCKED_PENDING_RECEIPT","READY_FOR_REVIEW")</x:f>
        <x:v>BLOCKED_PENDING_RECEIPT</x:v>
      </x:c>
      <x:c r="V1590" s="12" t="str">
        <x:f>IF(J1590="DONE","RETURNED",IF(U1590="BLOCKED_PENDING_RECEIPT","SOURCE_TOUCH_REQUIRED","IN_PROGRESS"))</x:f>
        <x:v>SOURCE_TOUCH_REQUIRED</x:v>
      </x:c>
      <x:c r="W1590" s="12" t="str">
        <x:f>IF(P1590="Unverified","missing_receipt","receipt_logged")</x:f>
        <x:v>missing_receipt</x:v>
      </x:c>
      <x:c r="X1590" s="12" t="str">
        <x:f>IF(Q1590="Not checked","raw_status_missing","raw_status_logged")</x:f>
        <x:v>raw_status_missing</x:v>
      </x:c>
      <x:c r="Y1590" s="12" t="str">
        <x:f>IF(U1590="BLOCKED_PENDING_RECEIPT","Log source path or blocker; do not promote","Route to review lane")</x:f>
        <x:v>Log source path or blocker; do not promote</x:v>
      </x:c>
      <x:c r="Z1590" s="12" t="str">
        <x:f>IF(K1590="P0","Primary seat + Hashlight/Lucerna","Seat lane")</x:f>
        <x:v>Seat lane</x:v>
      </x:c>
      <x:c r="AA1590" s="12" t="str">
        <x:f>IF(R1590="","no_claim_delta","claim_delta_present")</x:f>
        <x:v>no_claim_delta</x:v>
      </x:c>
      <x:c r="AB1590" s="12" t="str">
        <x:f>IF(S1590="","no_contradiction_delta","contradiction_delta_present")</x:f>
        <x:v>no_contradiction_delta</x:v>
      </x:c>
      <x:c r="AC1590" s="12" t="str">
        <x:f>IF(OR(ISNUMBER(SEARCH("hacker",LOWER(F1590&amp;" "&amp;H1590&amp;" "&amp;I1590&amp;" "&amp;M1590&amp;" "&amp;N1590&amp;" "&amp;T1590))),ISNUMBER(SEARCH("hacking",LOWER(F1590&amp;" "&amp;H1590&amp;" "&amp;I1590&amp;" "&amp;M1590&amp;" "&amp;N1590&amp;" "&amp;T1590))),ISNUMBER(SEARCH("bank",LOWER(F1590&amp;" "&amp;H1590&amp;" "&amp;I1590&amp;" "&amp;M1590&amp;" "&amp;N1590&amp;" "&amp;T1590))),ISNUMBER(SEARCH("banking",LOWER(F1590&amp;" "&amp;H1590&amp;" "&amp;I1590&amp;" "&amp;M1590&amp;" "&amp;N1590&amp;" "&amp;T1590)))),"PRIVATE_QUARANTINE",IF(OR(ISNUMBER(SEARCH("treasury",LOWER(F1590&amp;" "&amp;H1590&amp;" "&amp;I1590&amp;" "&amp;M1590&amp;" "&amp;N1590&amp;" "&amp;T1590))),ISNUMBER(SEARCH("debt",LOWER(F1590&amp;" "&amp;H1590&amp;" "&amp;I1590&amp;" "&amp;M1590&amp;" "&amp;N1590&amp;" "&amp;T1590))),ISNUMBER(SEARCH("bond",LOWER(F1590&amp;" "&amp;H1590&amp;" "&amp;I1590&amp;" "&amp;M1590&amp;" "&amp;N1590&amp;" "&amp;T1590))),ISNUMBER(SEARCH("transaction",LOWER(F1590&amp;" "&amp;H1590&amp;" "&amp;I1590&amp;" "&amp;M1590&amp;" "&amp;N1590&amp;" "&amp;T1590)))),"PRIVATE_REVIEW","PUBLIC_CANDIDATE"))</x:f>
        <x:v>PUBLIC_CANDIDATE</x:v>
      </x:c>
      <x:c r="AD1590" s="12" t="str">
        <x:f>IF(AC1590="PRIVATE_QUARANTINE","hacker_or_bank_trigger",IF(AC1590="PRIVATE_REVIEW","finance_risk_trigger","none"))</x:f>
        <x:v>none</x:v>
      </x:c>
      <x:c r="AE1590" s="12" t="str">
        <x:f>IF(AC1590="PUBLIC_CANDIDATE","prepare_public_github_candidate",IF(AC1590="PRIVATE_REVIEW","hold_for_private_review","quarantine_private_do_not_publish"))</x:f>
        <x:v>prepare_public_github_candidate</x:v>
      </x:c>
      <x:c r="AF1590" s="12" t="str">
        <x:f>IF(AC1590="PUBLIC_CANDIDATE","TIDELOCK + Lucerna",IF(AC1590="PRIVATE_REVIEW","AtlasBrain + Lucerna","TIDELOCK + Lucerna + Human-root"))</x:f>
        <x:v>TIDELOCK + Lucerna</x:v>
      </x:c>
      <x:c r="AG1590" s="12" t="str">
        <x:f>IF(AND(AC1590="PUBLIC_CANDIDATE",U1590&lt;&gt;"BLOCKED_PENDING_RECEIPT"),"READY_AFTER_RECEIPT","NOT_READY")</x:f>
        <x:v>NOT_READY</x:v>
      </x:c>
      <x:c r="AH1590" s="12" t="str">
        <x:f>IF(AC1590="PUBLIC_CANDIDATE","none",AD1590)</x:f>
        <x:v>none</x:v>
      </x:c>
      <x:c r="AI1590" s="12" t="str">
        <x:f>IF(AC1590="PUBLIC_CANDIDATE","archive/public_candidates/"&amp;A1590,"private_quarantine/"&amp;A1590)</x:f>
        <x:v>archive/public_candidates/SWARM-12-H01-S05</x:v>
      </x:c>
      <x:c r="AJ1590" s="12" t="str">
        <x:f>IF(AC1590="PUBLIC_CANDIDATE","public by default; still not canon","private/hold; do not publish")</x:f>
        <x:v>public by default; still not canon</x:v>
      </x:c>
      <x:c r="AK1590" s="12" t="str">
        <x:f>IF(AE1590="prepare_public_github_candidate","add receipt/status then mirror","resolve blocker before any public GitHub action")</x:f>
        <x:v>add receipt/status then mirror</x:v>
      </x:c>
    </x:row>
    <x:row r="1591">
      <x:c r="A1591" s="15" t="str">
        <x:v>SWARM-12-H01-S06</x:v>
      </x:c>
      <x:c r="B1591" s="15" t="str">
        <x:v>JoySignal</x:v>
      </x:c>
      <x:c r="C1591" s="15" t="str">
        <x:v>Rest and morale keeper</x:v>
      </x:c>
      <x:c r="D1591" s="15" t="str">
        <x:v>Source Inventory</x:v>
      </x:c>
      <x:c r="E1591" s="15" t="str">
        <x:v>External Web</x:v>
      </x:c>
      <x:c r="F1591" s="15" t="str">
        <x:v>Inventory External Web — JoySignal</x:v>
      </x:c>
      <x:c r="G1591" s="15" t="str">
        <x:v>cadence / anti-burnout / safe completion language</x:v>
      </x:c>
      <x:c r="H1591" s="15" t="str">
        <x:v>source path + receipt + raw/export status + claim/edge/risk delta</x:v>
      </x:c>
      <x:c r="I1591" s="15" t="str">
        <x:v>packet/SWARM-12-H01-S06</x:v>
      </x:c>
      <x:c r="J1591" s="15" t="str">
        <x:v>TODO</x:v>
      </x:c>
      <x:c r="K1591" s="15" t="str">
        <x:v>P1</x:v>
      </x:c>
      <x:c r="L1591" s="15" t="str">
        <x:v>Done only when evidence is logged, contradiction search is noted, and boundary stamp remains non-canon unless ratified</x:v>
      </x:c>
      <x:c r="M1591" s="15" t="str">
        <x:v>candidate / staging-only / not canon / not deployed / authority none</x:v>
      </x:c>
      <x:c r="N1591" s="15" t="str">
        <x:v>Dispatch to JoySignal: complete Source Inventory x External Web; return deltas only, receipts required.</x:v>
      </x:c>
      <x:c r="O1591" s="15" t="str">
        <x:v>AF-KG-H01-S06</x:v>
      </x:c>
      <x:c r="P1591" s="15" t="str">
        <x:v>Unverified</x:v>
      </x:c>
      <x:c r="Q1591" s="15" t="str">
        <x:v>Not checked</x:v>
      </x:c>
      <x:c r="R1591" s="15" t="str"/>
      <x:c r="S1591" s="15" t="str"/>
      <x:c r="T1591" s="15" t="str">
        <x:v>Log first source path or blocker</x:v>
      </x:c>
      <x:c r="U1591" s="12" t="str">
        <x:f>IF(OR(P1591="Unverified",Q1591="Not checked"),"BLOCKED_PENDING_RECEIPT","READY_FOR_REVIEW")</x:f>
        <x:v>BLOCKED_PENDING_RECEIPT</x:v>
      </x:c>
      <x:c r="V1591" s="12" t="str">
        <x:f>IF(J1591="DONE","RETURNED",IF(U1591="BLOCKED_PENDING_RECEIPT","SOURCE_TOUCH_REQUIRED","IN_PROGRESS"))</x:f>
        <x:v>SOURCE_TOUCH_REQUIRED</x:v>
      </x:c>
      <x:c r="W1591" s="12" t="str">
        <x:f>IF(P1591="Unverified","missing_receipt","receipt_logged")</x:f>
        <x:v>missing_receipt</x:v>
      </x:c>
      <x:c r="X1591" s="12" t="str">
        <x:f>IF(Q1591="Not checked","raw_status_missing","raw_status_logged")</x:f>
        <x:v>raw_status_missing</x:v>
      </x:c>
      <x:c r="Y1591" s="12" t="str">
        <x:f>IF(U1591="BLOCKED_PENDING_RECEIPT","Log source path or blocker; do not promote","Route to review lane")</x:f>
        <x:v>Log source path or blocker; do not promote</x:v>
      </x:c>
      <x:c r="Z1591" s="12" t="str">
        <x:f>IF(K1591="P0","Primary seat + Hashlight/Lucerna","Seat lane")</x:f>
        <x:v>Seat lane</x:v>
      </x:c>
      <x:c r="AA1591" s="12" t="str">
        <x:f>IF(R1591="","no_claim_delta","claim_delta_present")</x:f>
        <x:v>no_claim_delta</x:v>
      </x:c>
      <x:c r="AB1591" s="12" t="str">
        <x:f>IF(S1591="","no_contradiction_delta","contradiction_delta_present")</x:f>
        <x:v>no_contradiction_delta</x:v>
      </x:c>
      <x:c r="AC1591" s="12" t="str">
        <x:f>IF(OR(ISNUMBER(SEARCH("hacker",LOWER(F1591&amp;" "&amp;H1591&amp;" "&amp;I1591&amp;" "&amp;M1591&amp;" "&amp;N1591&amp;" "&amp;T1591))),ISNUMBER(SEARCH("hacking",LOWER(F1591&amp;" "&amp;H1591&amp;" "&amp;I1591&amp;" "&amp;M1591&amp;" "&amp;N1591&amp;" "&amp;T1591))),ISNUMBER(SEARCH("bank",LOWER(F1591&amp;" "&amp;H1591&amp;" "&amp;I1591&amp;" "&amp;M1591&amp;" "&amp;N1591&amp;" "&amp;T1591))),ISNUMBER(SEARCH("banking",LOWER(F1591&amp;" "&amp;H1591&amp;" "&amp;I1591&amp;" "&amp;M1591&amp;" "&amp;N1591&amp;" "&amp;T1591)))),"PRIVATE_QUARANTINE",IF(OR(ISNUMBER(SEARCH("treasury",LOWER(F1591&amp;" "&amp;H1591&amp;" "&amp;I1591&amp;" "&amp;M1591&amp;" "&amp;N1591&amp;" "&amp;T1591))),ISNUMBER(SEARCH("debt",LOWER(F1591&amp;" "&amp;H1591&amp;" "&amp;I1591&amp;" "&amp;M1591&amp;" "&amp;N1591&amp;" "&amp;T1591))),ISNUMBER(SEARCH("bond",LOWER(F1591&amp;" "&amp;H1591&amp;" "&amp;I1591&amp;" "&amp;M1591&amp;" "&amp;N1591&amp;" "&amp;T1591))),ISNUMBER(SEARCH("transaction",LOWER(F1591&amp;" "&amp;H1591&amp;" "&amp;I1591&amp;" "&amp;M1591&amp;" "&amp;N1591&amp;" "&amp;T1591)))),"PRIVATE_REVIEW","PUBLIC_CANDIDATE"))</x:f>
        <x:v>PUBLIC_CANDIDATE</x:v>
      </x:c>
      <x:c r="AD1591" s="12" t="str">
        <x:f>IF(AC1591="PRIVATE_QUARANTINE","hacker_or_bank_trigger",IF(AC1591="PRIVATE_REVIEW","finance_risk_trigger","none"))</x:f>
        <x:v>none</x:v>
      </x:c>
      <x:c r="AE1591" s="12" t="str">
        <x:f>IF(AC1591="PUBLIC_CANDIDATE","prepare_public_github_candidate",IF(AC1591="PRIVATE_REVIEW","hold_for_private_review","quarantine_private_do_not_publish"))</x:f>
        <x:v>prepare_public_github_candidate</x:v>
      </x:c>
      <x:c r="AF1591" s="12" t="str">
        <x:f>IF(AC1591="PUBLIC_CANDIDATE","TIDELOCK + Lucerna",IF(AC1591="PRIVATE_REVIEW","AtlasBrain + Lucerna","TIDELOCK + Lucerna + Human-root"))</x:f>
        <x:v>TIDELOCK + Lucerna</x:v>
      </x:c>
      <x:c r="AG1591" s="12" t="str">
        <x:f>IF(AND(AC1591="PUBLIC_CANDIDATE",U1591&lt;&gt;"BLOCKED_PENDING_RECEIPT"),"READY_AFTER_RECEIPT","NOT_READY")</x:f>
        <x:v>NOT_READY</x:v>
      </x:c>
      <x:c r="AH1591" s="12" t="str">
        <x:f>IF(AC1591="PUBLIC_CANDIDATE","none",AD1591)</x:f>
        <x:v>none</x:v>
      </x:c>
      <x:c r="AI1591" s="12" t="str">
        <x:f>IF(AC1591="PUBLIC_CANDIDATE","archive/public_candidates/"&amp;A1591,"private_quarantine/"&amp;A1591)</x:f>
        <x:v>archive/public_candidates/SWARM-12-H01-S06</x:v>
      </x:c>
      <x:c r="AJ1591" s="12" t="str">
        <x:f>IF(AC1591="PUBLIC_CANDIDATE","public by default; still not canon","private/hold; do not publish")</x:f>
        <x:v>public by default; still not canon</x:v>
      </x:c>
      <x:c r="AK1591" s="12" t="str">
        <x:f>IF(AE1591="prepare_public_github_candidate","add receipt/status then mirror","resolve blocker before any public GitHub action")</x:f>
        <x:v>add receipt/status then mirror</x:v>
      </x:c>
    </x:row>
    <x:row r="1592">
      <x:c r="A1592" s="15" t="str">
        <x:v>SWARM-12-H01-S07</x:v>
      </x:c>
      <x:c r="B1592" s="15" t="str">
        <x:v>JoySignal</x:v>
      </x:c>
      <x:c r="C1592" s="15" t="str">
        <x:v>Rest and morale keeper</x:v>
      </x:c>
      <x:c r="D1592" s="15" t="str">
        <x:v>Source Inventory</x:v>
      </x:c>
      <x:c r="E1592" s="15" t="str">
        <x:v>Planetarium</x:v>
      </x:c>
      <x:c r="F1592" s="15" t="str">
        <x:v>Inventory Planetarium — JoySignal</x:v>
      </x:c>
      <x:c r="G1592" s="15" t="str">
        <x:v>cadence / anti-burnout / safe completion language</x:v>
      </x:c>
      <x:c r="H1592" s="15" t="str">
        <x:v>source path + receipt + raw/export status + claim/edge/risk delta</x:v>
      </x:c>
      <x:c r="I1592" s="15" t="str">
        <x:v>packet/SWARM-12-H01-S07</x:v>
      </x:c>
      <x:c r="J1592" s="15" t="str">
        <x:v>TODO</x:v>
      </x:c>
      <x:c r="K1592" s="15" t="str">
        <x:v>P1</x:v>
      </x:c>
      <x:c r="L1592" s="15" t="str">
        <x:v>Done only when evidence is logged, contradiction search is noted, and boundary stamp remains non-canon unless ratified</x:v>
      </x:c>
      <x:c r="M1592" s="15" t="str">
        <x:v>candidate / staging-only / not canon / not deployed / authority none</x:v>
      </x:c>
      <x:c r="N1592" s="15" t="str">
        <x:v>Dispatch to JoySignal: complete Source Inventory x Planetarium; return deltas only, receipts required.</x:v>
      </x:c>
      <x:c r="O1592" s="15" t="str">
        <x:v>AF-KG-H01-S07</x:v>
      </x:c>
      <x:c r="P1592" s="15" t="str">
        <x:v>Unverified</x:v>
      </x:c>
      <x:c r="Q1592" s="15" t="str">
        <x:v>Not checked</x:v>
      </x:c>
      <x:c r="R1592" s="15" t="str"/>
      <x:c r="S1592" s="15" t="str"/>
      <x:c r="T1592" s="15" t="str">
        <x:v>Log first source path or blocker</x:v>
      </x:c>
      <x:c r="U1592" s="12" t="str">
        <x:f>IF(OR(P1592="Unverified",Q1592="Not checked"),"BLOCKED_PENDING_RECEIPT","READY_FOR_REVIEW")</x:f>
        <x:v>BLOCKED_PENDING_RECEIPT</x:v>
      </x:c>
      <x:c r="V1592" s="12" t="str">
        <x:f>IF(J1592="DONE","RETURNED",IF(U1592="BLOCKED_PENDING_RECEIPT","SOURCE_TOUCH_REQUIRED","IN_PROGRESS"))</x:f>
        <x:v>SOURCE_TOUCH_REQUIRED</x:v>
      </x:c>
      <x:c r="W1592" s="12" t="str">
        <x:f>IF(P1592="Unverified","missing_receipt","receipt_logged")</x:f>
        <x:v>missing_receipt</x:v>
      </x:c>
      <x:c r="X1592" s="12" t="str">
        <x:f>IF(Q1592="Not checked","raw_status_missing","raw_status_logged")</x:f>
        <x:v>raw_status_missing</x:v>
      </x:c>
      <x:c r="Y1592" s="12" t="str">
        <x:f>IF(U1592="BLOCKED_PENDING_RECEIPT","Log source path or blocker; do not promote","Route to review lane")</x:f>
        <x:v>Log source path or blocker; do not promote</x:v>
      </x:c>
      <x:c r="Z1592" s="12" t="str">
        <x:f>IF(K1592="P0","Primary seat + Hashlight/Lucerna","Seat lane")</x:f>
        <x:v>Seat lane</x:v>
      </x:c>
      <x:c r="AA1592" s="12" t="str">
        <x:f>IF(R1592="","no_claim_delta","claim_delta_present")</x:f>
        <x:v>no_claim_delta</x:v>
      </x:c>
      <x:c r="AB1592" s="12" t="str">
        <x:f>IF(S1592="","no_contradiction_delta","contradiction_delta_present")</x:f>
        <x:v>no_contradiction_delta</x:v>
      </x:c>
      <x:c r="AC1592" s="12" t="str">
        <x:f>IF(OR(ISNUMBER(SEARCH("hacker",LOWER(F1592&amp;" "&amp;H1592&amp;" "&amp;I1592&amp;" "&amp;M1592&amp;" "&amp;N1592&amp;" "&amp;T1592))),ISNUMBER(SEARCH("hacking",LOWER(F1592&amp;" "&amp;H1592&amp;" "&amp;I1592&amp;" "&amp;M1592&amp;" "&amp;N1592&amp;" "&amp;T1592))),ISNUMBER(SEARCH("bank",LOWER(F1592&amp;" "&amp;H1592&amp;" "&amp;I1592&amp;" "&amp;M1592&amp;" "&amp;N1592&amp;" "&amp;T1592))),ISNUMBER(SEARCH("banking",LOWER(F1592&amp;" "&amp;H1592&amp;" "&amp;I1592&amp;" "&amp;M1592&amp;" "&amp;N1592&amp;" "&amp;T1592)))),"PRIVATE_QUARANTINE",IF(OR(ISNUMBER(SEARCH("treasury",LOWER(F1592&amp;" "&amp;H1592&amp;" "&amp;I1592&amp;" "&amp;M1592&amp;" "&amp;N1592&amp;" "&amp;T1592))),ISNUMBER(SEARCH("debt",LOWER(F1592&amp;" "&amp;H1592&amp;" "&amp;I1592&amp;" "&amp;M1592&amp;" "&amp;N1592&amp;" "&amp;T1592))),ISNUMBER(SEARCH("bond",LOWER(F1592&amp;" "&amp;H1592&amp;" "&amp;I1592&amp;" "&amp;M1592&amp;" "&amp;N1592&amp;" "&amp;T1592))),ISNUMBER(SEARCH("transaction",LOWER(F1592&amp;" "&amp;H1592&amp;" "&amp;I1592&amp;" "&amp;M1592&amp;" "&amp;N1592&amp;" "&amp;T1592)))),"PRIVATE_REVIEW","PUBLIC_CANDIDATE"))</x:f>
        <x:v>PUBLIC_CANDIDATE</x:v>
      </x:c>
      <x:c r="AD1592" s="12" t="str">
        <x:f>IF(AC1592="PRIVATE_QUARANTINE","hacker_or_bank_trigger",IF(AC1592="PRIVATE_REVIEW","finance_risk_trigger","none"))</x:f>
        <x:v>none</x:v>
      </x:c>
      <x:c r="AE1592" s="12" t="str">
        <x:f>IF(AC1592="PUBLIC_CANDIDATE","prepare_public_github_candidate",IF(AC1592="PRIVATE_REVIEW","hold_for_private_review","quarantine_private_do_not_publish"))</x:f>
        <x:v>prepare_public_github_candidate</x:v>
      </x:c>
      <x:c r="AF1592" s="12" t="str">
        <x:f>IF(AC1592="PUBLIC_CANDIDATE","TIDELOCK + Lucerna",IF(AC1592="PRIVATE_REVIEW","AtlasBrain + Lucerna","TIDELOCK + Lucerna + Human-root"))</x:f>
        <x:v>TIDELOCK + Lucerna</x:v>
      </x:c>
      <x:c r="AG1592" s="12" t="str">
        <x:f>IF(AND(AC1592="PUBLIC_CANDIDATE",U1592&lt;&gt;"BLOCKED_PENDING_RECEIPT"),"READY_AFTER_RECEIPT","NOT_READY")</x:f>
        <x:v>NOT_READY</x:v>
      </x:c>
      <x:c r="AH1592" s="12" t="str">
        <x:f>IF(AC1592="PUBLIC_CANDIDATE","none",AD1592)</x:f>
        <x:v>none</x:v>
      </x:c>
      <x:c r="AI1592" s="12" t="str">
        <x:f>IF(AC1592="PUBLIC_CANDIDATE","archive/public_candidates/"&amp;A1592,"private_quarantine/"&amp;A1592)</x:f>
        <x:v>archive/public_candidates/SWARM-12-H01-S07</x:v>
      </x:c>
      <x:c r="AJ1592" s="12" t="str">
        <x:f>IF(AC1592="PUBLIC_CANDIDATE","public by default; still not canon","private/hold; do not publish")</x:f>
        <x:v>public by default; still not canon</x:v>
      </x:c>
      <x:c r="AK1592" s="12" t="str">
        <x:f>IF(AE1592="prepare_public_github_candidate","add receipt/status then mirror","resolve blocker before any public GitHub action")</x:f>
        <x:v>add receipt/status then mirror</x:v>
      </x:c>
    </x:row>
    <x:row r="1593">
      <x:c r="A1593" s="15" t="str">
        <x:v>SWARM-12-H01-S08</x:v>
      </x:c>
      <x:c r="B1593" s="15" t="str">
        <x:v>JoySignal</x:v>
      </x:c>
      <x:c r="C1593" s="15" t="str">
        <x:v>Rest and morale keeper</x:v>
      </x:c>
      <x:c r="D1593" s="15" t="str">
        <x:v>Source Inventory</x:v>
      </x:c>
      <x:c r="E1593" s="15" t="str">
        <x:v>Sheldonbrain</x:v>
      </x:c>
      <x:c r="F1593" s="15" t="str">
        <x:v>Inventory Sheldonbrain — JoySignal</x:v>
      </x:c>
      <x:c r="G1593" s="15" t="str">
        <x:v>cadence / anti-burnout / safe completion language</x:v>
      </x:c>
      <x:c r="H1593" s="15" t="str">
        <x:v>source path + receipt + raw/export status + claim/edge/risk delta</x:v>
      </x:c>
      <x:c r="I1593" s="15" t="str">
        <x:v>packet/SWARM-12-H01-S08</x:v>
      </x:c>
      <x:c r="J1593" s="15" t="str">
        <x:v>TODO</x:v>
      </x:c>
      <x:c r="K1593" s="15" t="str">
        <x:v>P1</x:v>
      </x:c>
      <x:c r="L1593" s="15" t="str">
        <x:v>Done only when evidence is logged, contradiction search is noted, and boundary stamp remains non-canon unless ratified</x:v>
      </x:c>
      <x:c r="M1593" s="15" t="str">
        <x:v>candidate / staging-only / not canon / not deployed / authority none</x:v>
      </x:c>
      <x:c r="N1593" s="15" t="str">
        <x:v>Dispatch to JoySignal: complete Source Inventory x Sheldonbrain; return deltas only, receipts required.</x:v>
      </x:c>
      <x:c r="O1593" s="15" t="str">
        <x:v>AF-KG-H01-S08</x:v>
      </x:c>
      <x:c r="P1593" s="15" t="str">
        <x:v>Unverified</x:v>
      </x:c>
      <x:c r="Q1593" s="15" t="str">
        <x:v>Not checked</x:v>
      </x:c>
      <x:c r="R1593" s="15" t="str"/>
      <x:c r="S1593" s="15" t="str"/>
      <x:c r="T1593" s="15" t="str">
        <x:v>Log first source path or blocker</x:v>
      </x:c>
      <x:c r="U1593" s="12" t="str">
        <x:f>IF(OR(P1593="Unverified",Q1593="Not checked"),"BLOCKED_PENDING_RECEIPT","READY_FOR_REVIEW")</x:f>
        <x:v>BLOCKED_PENDING_RECEIPT</x:v>
      </x:c>
      <x:c r="V1593" s="12" t="str">
        <x:f>IF(J1593="DONE","RETURNED",IF(U1593="BLOCKED_PENDING_RECEIPT","SOURCE_TOUCH_REQUIRED","IN_PROGRESS"))</x:f>
        <x:v>SOURCE_TOUCH_REQUIRED</x:v>
      </x:c>
      <x:c r="W1593" s="12" t="str">
        <x:f>IF(P1593="Unverified","missing_receipt","receipt_logged")</x:f>
        <x:v>missing_receipt</x:v>
      </x:c>
      <x:c r="X1593" s="12" t="str">
        <x:f>IF(Q1593="Not checked","raw_status_missing","raw_status_logged")</x:f>
        <x:v>raw_status_missing</x:v>
      </x:c>
      <x:c r="Y1593" s="12" t="str">
        <x:f>IF(U1593="BLOCKED_PENDING_RECEIPT","Log source path or blocker; do not promote","Route to review lane")</x:f>
        <x:v>Log source path or blocker; do not promote</x:v>
      </x:c>
      <x:c r="Z1593" s="12" t="str">
        <x:f>IF(K1593="P0","Primary seat + Hashlight/Lucerna","Seat lane")</x:f>
        <x:v>Seat lane</x:v>
      </x:c>
      <x:c r="AA1593" s="12" t="str">
        <x:f>IF(R1593="","no_claim_delta","claim_delta_present")</x:f>
        <x:v>no_claim_delta</x:v>
      </x:c>
      <x:c r="AB1593" s="12" t="str">
        <x:f>IF(S1593="","no_contradiction_delta","contradiction_delta_present")</x:f>
        <x:v>no_contradiction_delta</x:v>
      </x:c>
      <x:c r="AC1593" s="12" t="str">
        <x:f>IF(OR(ISNUMBER(SEARCH("hacker",LOWER(F1593&amp;" "&amp;H1593&amp;" "&amp;I1593&amp;" "&amp;M1593&amp;" "&amp;N1593&amp;" "&amp;T1593))),ISNUMBER(SEARCH("hacking",LOWER(F1593&amp;" "&amp;H1593&amp;" "&amp;I1593&amp;" "&amp;M1593&amp;" "&amp;N1593&amp;" "&amp;T1593))),ISNUMBER(SEARCH("bank",LOWER(F1593&amp;" "&amp;H1593&amp;" "&amp;I1593&amp;" "&amp;M1593&amp;" "&amp;N1593&amp;" "&amp;T1593))),ISNUMBER(SEARCH("banking",LOWER(F1593&amp;" "&amp;H1593&amp;" "&amp;I1593&amp;" "&amp;M1593&amp;" "&amp;N1593&amp;" "&amp;T1593)))),"PRIVATE_QUARANTINE",IF(OR(ISNUMBER(SEARCH("treasury",LOWER(F1593&amp;" "&amp;H1593&amp;" "&amp;I1593&amp;" "&amp;M1593&amp;" "&amp;N1593&amp;" "&amp;T1593))),ISNUMBER(SEARCH("debt",LOWER(F1593&amp;" "&amp;H1593&amp;" "&amp;I1593&amp;" "&amp;M1593&amp;" "&amp;N1593&amp;" "&amp;T1593))),ISNUMBER(SEARCH("bond",LOWER(F1593&amp;" "&amp;H1593&amp;" "&amp;I1593&amp;" "&amp;M1593&amp;" "&amp;N1593&amp;" "&amp;T1593))),ISNUMBER(SEARCH("transaction",LOWER(F1593&amp;" "&amp;H1593&amp;" "&amp;I1593&amp;" "&amp;M1593&amp;" "&amp;N1593&amp;" "&amp;T1593)))),"PRIVATE_REVIEW","PUBLIC_CANDIDATE"))</x:f>
        <x:v>PUBLIC_CANDIDATE</x:v>
      </x:c>
      <x:c r="AD1593" s="12" t="str">
        <x:f>IF(AC1593="PRIVATE_QUARANTINE","hacker_or_bank_trigger",IF(AC1593="PRIVATE_REVIEW","finance_risk_trigger","none"))</x:f>
        <x:v>none</x:v>
      </x:c>
      <x:c r="AE1593" s="12" t="str">
        <x:f>IF(AC1593="PUBLIC_CANDIDATE","prepare_public_github_candidate",IF(AC1593="PRIVATE_REVIEW","hold_for_private_review","quarantine_private_do_not_publish"))</x:f>
        <x:v>prepare_public_github_candidate</x:v>
      </x:c>
      <x:c r="AF1593" s="12" t="str">
        <x:f>IF(AC1593="PUBLIC_CANDIDATE","TIDELOCK + Lucerna",IF(AC1593="PRIVATE_REVIEW","AtlasBrain + Lucerna","TIDELOCK + Lucerna + Human-root"))</x:f>
        <x:v>TIDELOCK + Lucerna</x:v>
      </x:c>
      <x:c r="AG1593" s="12" t="str">
        <x:f>IF(AND(AC1593="PUBLIC_CANDIDATE",U1593&lt;&gt;"BLOCKED_PENDING_RECEIPT"),"READY_AFTER_RECEIPT","NOT_READY")</x:f>
        <x:v>NOT_READY</x:v>
      </x:c>
      <x:c r="AH1593" s="12" t="str">
        <x:f>IF(AC1593="PUBLIC_CANDIDATE","none",AD1593)</x:f>
        <x:v>none</x:v>
      </x:c>
      <x:c r="AI1593" s="12" t="str">
        <x:f>IF(AC1593="PUBLIC_CANDIDATE","archive/public_candidates/"&amp;A1593,"private_quarantine/"&amp;A1593)</x:f>
        <x:v>archive/public_candidates/SWARM-12-H01-S08</x:v>
      </x:c>
      <x:c r="AJ1593" s="12" t="str">
        <x:f>IF(AC1593="PUBLIC_CANDIDATE","public by default; still not canon","private/hold; do not publish")</x:f>
        <x:v>public by default; still not canon</x:v>
      </x:c>
      <x:c r="AK1593" s="12" t="str">
        <x:f>IF(AE1593="prepare_public_github_candidate","add receipt/status then mirror","resolve blocker before any public GitHub action")</x:f>
        <x:v>add receipt/status then mirror</x:v>
      </x:c>
    </x:row>
    <x:row r="1594">
      <x:c r="A1594" s="15" t="str">
        <x:v>SWARM-12-H01-S09</x:v>
      </x:c>
      <x:c r="B1594" s="15" t="str">
        <x:v>JoySignal</x:v>
      </x:c>
      <x:c r="C1594" s="15" t="str">
        <x:v>Rest and morale keeper</x:v>
      </x:c>
      <x:c r="D1594" s="15" t="str">
        <x:v>Source Inventory</x:v>
      </x:c>
      <x:c r="E1594" s="15" t="str">
        <x:v>Aetherforge</x:v>
      </x:c>
      <x:c r="F1594" s="15" t="str">
        <x:v>Inventory Aetherforge — JoySignal</x:v>
      </x:c>
      <x:c r="G1594" s="15" t="str">
        <x:v>cadence / anti-burnout / safe completion language</x:v>
      </x:c>
      <x:c r="H1594" s="15" t="str">
        <x:v>source path + receipt + raw/export status + claim/edge/risk delta</x:v>
      </x:c>
      <x:c r="I1594" s="15" t="str">
        <x:v>packet/SWARM-12-H01-S09</x:v>
      </x:c>
      <x:c r="J1594" s="15" t="str">
        <x:v>TODO</x:v>
      </x:c>
      <x:c r="K1594" s="15" t="str">
        <x:v>P2</x:v>
      </x:c>
      <x:c r="L1594" s="15" t="str">
        <x:v>Done only when evidence is logged, contradiction search is noted, and boundary stamp remains non-canon unless ratified</x:v>
      </x:c>
      <x:c r="M1594" s="15" t="str">
        <x:v>candidate / staging-only / not canon / not deployed / authority none</x:v>
      </x:c>
      <x:c r="N1594" s="15" t="str">
        <x:v>Dispatch to JoySignal: complete Source Inventory x Aetherforge; return deltas only, receipts required.</x:v>
      </x:c>
      <x:c r="O1594" s="15" t="str">
        <x:v>AF-KG-H01-S09</x:v>
      </x:c>
      <x:c r="P1594" s="15" t="str">
        <x:v>Unverified</x:v>
      </x:c>
      <x:c r="Q1594" s="15" t="str">
        <x:v>Not checked</x:v>
      </x:c>
      <x:c r="R1594" s="15" t="str"/>
      <x:c r="S1594" s="15" t="str"/>
      <x:c r="T1594" s="15" t="str">
        <x:v>Log first source path or blocker</x:v>
      </x:c>
      <x:c r="U1594" s="12" t="str">
        <x:f>IF(OR(P1594="Unverified",Q1594="Not checked"),"BLOCKED_PENDING_RECEIPT","READY_FOR_REVIEW")</x:f>
        <x:v>BLOCKED_PENDING_RECEIPT</x:v>
      </x:c>
      <x:c r="V1594" s="12" t="str">
        <x:f>IF(J1594="DONE","RETURNED",IF(U1594="BLOCKED_PENDING_RECEIPT","SOURCE_TOUCH_REQUIRED","IN_PROGRESS"))</x:f>
        <x:v>SOURCE_TOUCH_REQUIRED</x:v>
      </x:c>
      <x:c r="W1594" s="12" t="str">
        <x:f>IF(P1594="Unverified","missing_receipt","receipt_logged")</x:f>
        <x:v>missing_receipt</x:v>
      </x:c>
      <x:c r="X1594" s="12" t="str">
        <x:f>IF(Q1594="Not checked","raw_status_missing","raw_status_logged")</x:f>
        <x:v>raw_status_missing</x:v>
      </x:c>
      <x:c r="Y1594" s="12" t="str">
        <x:f>IF(U1594="BLOCKED_PENDING_RECEIPT","Log source path or blocker; do not promote","Route to review lane")</x:f>
        <x:v>Log source path or blocker; do not promote</x:v>
      </x:c>
      <x:c r="Z1594" s="12" t="str">
        <x:f>IF(K1594="P0","Primary seat + Hashlight/Lucerna","Seat lane")</x:f>
        <x:v>Seat lane</x:v>
      </x:c>
      <x:c r="AA1594" s="12" t="str">
        <x:f>IF(R1594="","no_claim_delta","claim_delta_present")</x:f>
        <x:v>no_claim_delta</x:v>
      </x:c>
      <x:c r="AB1594" s="12" t="str">
        <x:f>IF(S1594="","no_contradiction_delta","contradiction_delta_present")</x:f>
        <x:v>no_contradiction_delta</x:v>
      </x:c>
      <x:c r="AC1594" s="12" t="str">
        <x:f>IF(OR(ISNUMBER(SEARCH("hacker",LOWER(F1594&amp;" "&amp;H1594&amp;" "&amp;I1594&amp;" "&amp;M1594&amp;" "&amp;N1594&amp;" "&amp;T1594))),ISNUMBER(SEARCH("hacking",LOWER(F1594&amp;" "&amp;H1594&amp;" "&amp;I1594&amp;" "&amp;M1594&amp;" "&amp;N1594&amp;" "&amp;T1594))),ISNUMBER(SEARCH("bank",LOWER(F1594&amp;" "&amp;H1594&amp;" "&amp;I1594&amp;" "&amp;M1594&amp;" "&amp;N1594&amp;" "&amp;T1594))),ISNUMBER(SEARCH("banking",LOWER(F1594&amp;" "&amp;H1594&amp;" "&amp;I1594&amp;" "&amp;M1594&amp;" "&amp;N1594&amp;" "&amp;T1594)))),"PRIVATE_QUARANTINE",IF(OR(ISNUMBER(SEARCH("treasury",LOWER(F1594&amp;" "&amp;H1594&amp;" "&amp;I1594&amp;" "&amp;M1594&amp;" "&amp;N1594&amp;" "&amp;T1594))),ISNUMBER(SEARCH("debt",LOWER(F1594&amp;" "&amp;H1594&amp;" "&amp;I1594&amp;" "&amp;M1594&amp;" "&amp;N1594&amp;" "&amp;T1594))),ISNUMBER(SEARCH("bond",LOWER(F1594&amp;" "&amp;H1594&amp;" "&amp;I1594&amp;" "&amp;M1594&amp;" "&amp;N1594&amp;" "&amp;T1594))),ISNUMBER(SEARCH("transaction",LOWER(F1594&amp;" "&amp;H1594&amp;" "&amp;I1594&amp;" "&amp;M1594&amp;" "&amp;N1594&amp;" "&amp;T1594)))),"PRIVATE_REVIEW","PUBLIC_CANDIDATE"))</x:f>
        <x:v>PUBLIC_CANDIDATE</x:v>
      </x:c>
      <x:c r="AD1594" s="12" t="str">
        <x:f>IF(AC1594="PRIVATE_QUARANTINE","hacker_or_bank_trigger",IF(AC1594="PRIVATE_REVIEW","finance_risk_trigger","none"))</x:f>
        <x:v>none</x:v>
      </x:c>
      <x:c r="AE1594" s="12" t="str">
        <x:f>IF(AC1594="PUBLIC_CANDIDATE","prepare_public_github_candidate",IF(AC1594="PRIVATE_REVIEW","hold_for_private_review","quarantine_private_do_not_publish"))</x:f>
        <x:v>prepare_public_github_candidate</x:v>
      </x:c>
      <x:c r="AF1594" s="12" t="str">
        <x:f>IF(AC1594="PUBLIC_CANDIDATE","TIDELOCK + Lucerna",IF(AC1594="PRIVATE_REVIEW","AtlasBrain + Lucerna","TIDELOCK + Lucerna + Human-root"))</x:f>
        <x:v>TIDELOCK + Lucerna</x:v>
      </x:c>
      <x:c r="AG1594" s="12" t="str">
        <x:f>IF(AND(AC1594="PUBLIC_CANDIDATE",U1594&lt;&gt;"BLOCKED_PENDING_RECEIPT"),"READY_AFTER_RECEIPT","NOT_READY")</x:f>
        <x:v>NOT_READY</x:v>
      </x:c>
      <x:c r="AH1594" s="12" t="str">
        <x:f>IF(AC1594="PUBLIC_CANDIDATE","none",AD1594)</x:f>
        <x:v>none</x:v>
      </x:c>
      <x:c r="AI1594" s="12" t="str">
        <x:f>IF(AC1594="PUBLIC_CANDIDATE","archive/public_candidates/"&amp;A1594,"private_quarantine/"&amp;A1594)</x:f>
        <x:v>archive/public_candidates/SWARM-12-H01-S09</x:v>
      </x:c>
      <x:c r="AJ1594" s="12" t="str">
        <x:f>IF(AC1594="PUBLIC_CANDIDATE","public by default; still not canon","private/hold; do not publish")</x:f>
        <x:v>public by default; still not canon</x:v>
      </x:c>
      <x:c r="AK1594" s="12" t="str">
        <x:f>IF(AE1594="prepare_public_github_candidate","add receipt/status then mirror","resolve blocker before any public GitHub action")</x:f>
        <x:v>add receipt/status then mirror</x:v>
      </x:c>
    </x:row>
    <x:row r="1595">
      <x:c r="A1595" s="15" t="str">
        <x:v>SWARM-12-H01-S10</x:v>
      </x:c>
      <x:c r="B1595" s="15" t="str">
        <x:v>JoySignal</x:v>
      </x:c>
      <x:c r="C1595" s="15" t="str">
        <x:v>Rest and morale keeper</x:v>
      </x:c>
      <x:c r="D1595" s="15" t="str">
        <x:v>Source Inventory</x:v>
      </x:c>
      <x:c r="E1595" s="15" t="str">
        <x:v>Human-Root</x:v>
      </x:c>
      <x:c r="F1595" s="15" t="str">
        <x:v>Inventory Human-Root — JoySignal</x:v>
      </x:c>
      <x:c r="G1595" s="15" t="str">
        <x:v>cadence / anti-burnout / safe completion language</x:v>
      </x:c>
      <x:c r="H1595" s="15" t="str">
        <x:v>source path + receipt + raw/export status + claim/edge/risk delta</x:v>
      </x:c>
      <x:c r="I1595" s="15" t="str">
        <x:v>packet/SWARM-12-H01-S10</x:v>
      </x:c>
      <x:c r="J1595" s="15" t="str">
        <x:v>TODO</x:v>
      </x:c>
      <x:c r="K1595" s="15" t="str">
        <x:v>P2</x:v>
      </x:c>
      <x:c r="L1595" s="15" t="str">
        <x:v>Done only when evidence is logged, contradiction search is noted, and boundary stamp remains non-canon unless ratified</x:v>
      </x:c>
      <x:c r="M1595" s="15" t="str">
        <x:v>candidate / staging-only / not canon / not deployed / authority none</x:v>
      </x:c>
      <x:c r="N1595" s="15" t="str">
        <x:v>Dispatch to JoySignal: complete Source Inventory x Human-Root; return deltas only, receipts required.</x:v>
      </x:c>
      <x:c r="O1595" s="15" t="str">
        <x:v>AF-KG-H01-S10</x:v>
      </x:c>
      <x:c r="P1595" s="15" t="str">
        <x:v>Unverified</x:v>
      </x:c>
      <x:c r="Q1595" s="15" t="str">
        <x:v>Not checked</x:v>
      </x:c>
      <x:c r="R1595" s="15" t="str"/>
      <x:c r="S1595" s="15" t="str"/>
      <x:c r="T1595" s="15" t="str">
        <x:v>Log first source path or blocker</x:v>
      </x:c>
      <x:c r="U1595" s="12" t="str">
        <x:f>IF(OR(P1595="Unverified",Q1595="Not checked"),"BLOCKED_PENDING_RECEIPT","READY_FOR_REVIEW")</x:f>
        <x:v>BLOCKED_PENDING_RECEIPT</x:v>
      </x:c>
      <x:c r="V1595" s="12" t="str">
        <x:f>IF(J1595="DONE","RETURNED",IF(U1595="BLOCKED_PENDING_RECEIPT","SOURCE_TOUCH_REQUIRED","IN_PROGRESS"))</x:f>
        <x:v>SOURCE_TOUCH_REQUIRED</x:v>
      </x:c>
      <x:c r="W1595" s="12" t="str">
        <x:f>IF(P1595="Unverified","missing_receipt","receipt_logged")</x:f>
        <x:v>missing_receipt</x:v>
      </x:c>
      <x:c r="X1595" s="12" t="str">
        <x:f>IF(Q1595="Not checked","raw_status_missing","raw_status_logged")</x:f>
        <x:v>raw_status_missing</x:v>
      </x:c>
      <x:c r="Y1595" s="12" t="str">
        <x:f>IF(U1595="BLOCKED_PENDING_RECEIPT","Log source path or blocker; do not promote","Route to review lane")</x:f>
        <x:v>Log source path or blocker; do not promote</x:v>
      </x:c>
      <x:c r="Z1595" s="12" t="str">
        <x:f>IF(K1595="P0","Primary seat + Hashlight/Lucerna","Seat lane")</x:f>
        <x:v>Seat lane</x:v>
      </x:c>
      <x:c r="AA1595" s="12" t="str">
        <x:f>IF(R1595="","no_claim_delta","claim_delta_present")</x:f>
        <x:v>no_claim_delta</x:v>
      </x:c>
      <x:c r="AB1595" s="12" t="str">
        <x:f>IF(S1595="","no_contradiction_delta","contradiction_delta_present")</x:f>
        <x:v>no_contradiction_delta</x:v>
      </x:c>
      <x:c r="AC1595" s="12" t="str">
        <x:f>IF(OR(ISNUMBER(SEARCH("hacker",LOWER(F1595&amp;" "&amp;H1595&amp;" "&amp;I1595&amp;" "&amp;M1595&amp;" "&amp;N1595&amp;" "&amp;T1595))),ISNUMBER(SEARCH("hacking",LOWER(F1595&amp;" "&amp;H1595&amp;" "&amp;I1595&amp;" "&amp;M1595&amp;" "&amp;N1595&amp;" "&amp;T1595))),ISNUMBER(SEARCH("bank",LOWER(F1595&amp;" "&amp;H1595&amp;" "&amp;I1595&amp;" "&amp;M1595&amp;" "&amp;N1595&amp;" "&amp;T1595))),ISNUMBER(SEARCH("banking",LOWER(F1595&amp;" "&amp;H1595&amp;" "&amp;I1595&amp;" "&amp;M1595&amp;" "&amp;N1595&amp;" "&amp;T1595)))),"PRIVATE_QUARANTINE",IF(OR(ISNUMBER(SEARCH("treasury",LOWER(F1595&amp;" "&amp;H1595&amp;" "&amp;I1595&amp;" "&amp;M1595&amp;" "&amp;N1595&amp;" "&amp;T1595))),ISNUMBER(SEARCH("debt",LOWER(F1595&amp;" "&amp;H1595&amp;" "&amp;I1595&amp;" "&amp;M1595&amp;" "&amp;N1595&amp;" "&amp;T1595))),ISNUMBER(SEARCH("bond",LOWER(F1595&amp;" "&amp;H1595&amp;" "&amp;I1595&amp;" "&amp;M1595&amp;" "&amp;N1595&amp;" "&amp;T1595))),ISNUMBER(SEARCH("transaction",LOWER(F1595&amp;" "&amp;H1595&amp;" "&amp;I1595&amp;" "&amp;M1595&amp;" "&amp;N1595&amp;" "&amp;T1595)))),"PRIVATE_REVIEW","PUBLIC_CANDIDATE"))</x:f>
        <x:v>PUBLIC_CANDIDATE</x:v>
      </x:c>
      <x:c r="AD1595" s="12" t="str">
        <x:f>IF(AC1595="PRIVATE_QUARANTINE","hacker_or_bank_trigger",IF(AC1595="PRIVATE_REVIEW","finance_risk_trigger","none"))</x:f>
        <x:v>none</x:v>
      </x:c>
      <x:c r="AE1595" s="12" t="str">
        <x:f>IF(AC1595="PUBLIC_CANDIDATE","prepare_public_github_candidate",IF(AC1595="PRIVATE_REVIEW","hold_for_private_review","quarantine_private_do_not_publish"))</x:f>
        <x:v>prepare_public_github_candidate</x:v>
      </x:c>
      <x:c r="AF1595" s="12" t="str">
        <x:f>IF(AC1595="PUBLIC_CANDIDATE","TIDELOCK + Lucerna",IF(AC1595="PRIVATE_REVIEW","AtlasBrain + Lucerna","TIDELOCK + Lucerna + Human-root"))</x:f>
        <x:v>TIDELOCK + Lucerna</x:v>
      </x:c>
      <x:c r="AG1595" s="12" t="str">
        <x:f>IF(AND(AC1595="PUBLIC_CANDIDATE",U1595&lt;&gt;"BLOCKED_PENDING_RECEIPT"),"READY_AFTER_RECEIPT","NOT_READY")</x:f>
        <x:v>NOT_READY</x:v>
      </x:c>
      <x:c r="AH1595" s="12" t="str">
        <x:f>IF(AC1595="PUBLIC_CANDIDATE","none",AD1595)</x:f>
        <x:v>none</x:v>
      </x:c>
      <x:c r="AI1595" s="12" t="str">
        <x:f>IF(AC1595="PUBLIC_CANDIDATE","archive/public_candidates/"&amp;A1595,"private_quarantine/"&amp;A1595)</x:f>
        <x:v>archive/public_candidates/SWARM-12-H01-S10</x:v>
      </x:c>
      <x:c r="AJ1595" s="12" t="str">
        <x:f>IF(AC1595="PUBLIC_CANDIDATE","public by default; still not canon","private/hold; do not publish")</x:f>
        <x:v>public by default; still not canon</x:v>
      </x:c>
      <x:c r="AK1595" s="12" t="str">
        <x:f>IF(AE1595="prepare_public_github_candidate","add receipt/status then mirror","resolve blocker before any public GitHub action")</x:f>
        <x:v>add receipt/status then mirror</x:v>
      </x:c>
    </x:row>
    <x:row r="1596">
      <x:c r="A1596" s="15" t="str">
        <x:v>SWARM-12-H01-S11</x:v>
      </x:c>
      <x:c r="B1596" s="15" t="str">
        <x:v>JoySignal</x:v>
      </x:c>
      <x:c r="C1596" s="15" t="str">
        <x:v>Rest and morale keeper</x:v>
      </x:c>
      <x:c r="D1596" s="15" t="str">
        <x:v>Source Inventory</x:v>
      </x:c>
      <x:c r="E1596" s="15" t="str">
        <x:v>Automation</x:v>
      </x:c>
      <x:c r="F1596" s="15" t="str">
        <x:v>Inventory Automation — JoySignal</x:v>
      </x:c>
      <x:c r="G1596" s="15" t="str">
        <x:v>cadence / anti-burnout / safe completion language</x:v>
      </x:c>
      <x:c r="H1596" s="15" t="str">
        <x:v>source path + receipt + raw/export status + claim/edge/risk delta</x:v>
      </x:c>
      <x:c r="I1596" s="15" t="str">
        <x:v>packet/SWARM-12-H01-S11</x:v>
      </x:c>
      <x:c r="J1596" s="15" t="str">
        <x:v>TODO</x:v>
      </x:c>
      <x:c r="K1596" s="15" t="str">
        <x:v>P2</x:v>
      </x:c>
      <x:c r="L1596" s="15" t="str">
        <x:v>Done only when evidence is logged, contradiction search is noted, and boundary stamp remains non-canon unless ratified</x:v>
      </x:c>
      <x:c r="M1596" s="15" t="str">
        <x:v>candidate / staging-only / not canon / not deployed / authority none</x:v>
      </x:c>
      <x:c r="N1596" s="15" t="str">
        <x:v>Dispatch to JoySignal: complete Source Inventory x Automation; return deltas only, receipts required.</x:v>
      </x:c>
      <x:c r="O1596" s="15" t="str">
        <x:v>AF-KG-H01-S11</x:v>
      </x:c>
      <x:c r="P1596" s="15" t="str">
        <x:v>Unverified</x:v>
      </x:c>
      <x:c r="Q1596" s="15" t="str">
        <x:v>Not checked</x:v>
      </x:c>
      <x:c r="R1596" s="15" t="str"/>
      <x:c r="S1596" s="15" t="str"/>
      <x:c r="T1596" s="15" t="str">
        <x:v>Log first source path or blocker</x:v>
      </x:c>
      <x:c r="U1596" s="12" t="str">
        <x:f>IF(OR(P1596="Unverified",Q1596="Not checked"),"BLOCKED_PENDING_RECEIPT","READY_FOR_REVIEW")</x:f>
        <x:v>BLOCKED_PENDING_RECEIPT</x:v>
      </x:c>
      <x:c r="V1596" s="12" t="str">
        <x:f>IF(J1596="DONE","RETURNED",IF(U1596="BLOCKED_PENDING_RECEIPT","SOURCE_TOUCH_REQUIRED","IN_PROGRESS"))</x:f>
        <x:v>SOURCE_TOUCH_REQUIRED</x:v>
      </x:c>
      <x:c r="W1596" s="12" t="str">
        <x:f>IF(P1596="Unverified","missing_receipt","receipt_logged")</x:f>
        <x:v>missing_receipt</x:v>
      </x:c>
      <x:c r="X1596" s="12" t="str">
        <x:f>IF(Q1596="Not checked","raw_status_missing","raw_status_logged")</x:f>
        <x:v>raw_status_missing</x:v>
      </x:c>
      <x:c r="Y1596" s="12" t="str">
        <x:f>IF(U1596="BLOCKED_PENDING_RECEIPT","Log source path or blocker; do not promote","Route to review lane")</x:f>
        <x:v>Log source path or blocker; do not promote</x:v>
      </x:c>
      <x:c r="Z1596" s="12" t="str">
        <x:f>IF(K1596="P0","Primary seat + Hashlight/Lucerna","Seat lane")</x:f>
        <x:v>Seat lane</x:v>
      </x:c>
      <x:c r="AA1596" s="12" t="str">
        <x:f>IF(R1596="","no_claim_delta","claim_delta_present")</x:f>
        <x:v>no_claim_delta</x:v>
      </x:c>
      <x:c r="AB1596" s="12" t="str">
        <x:f>IF(S1596="","no_contradiction_delta","contradiction_delta_present")</x:f>
        <x:v>no_contradiction_delta</x:v>
      </x:c>
      <x:c r="AC1596" s="12" t="str">
        <x:f>IF(OR(ISNUMBER(SEARCH("hacker",LOWER(F1596&amp;" "&amp;H1596&amp;" "&amp;I1596&amp;" "&amp;M1596&amp;" "&amp;N1596&amp;" "&amp;T1596))),ISNUMBER(SEARCH("hacking",LOWER(F1596&amp;" "&amp;H1596&amp;" "&amp;I1596&amp;" "&amp;M1596&amp;" "&amp;N1596&amp;" "&amp;T1596))),ISNUMBER(SEARCH("bank",LOWER(F1596&amp;" "&amp;H1596&amp;" "&amp;I1596&amp;" "&amp;M1596&amp;" "&amp;N1596&amp;" "&amp;T1596))),ISNUMBER(SEARCH("banking",LOWER(F1596&amp;" "&amp;H1596&amp;" "&amp;I1596&amp;" "&amp;M1596&amp;" "&amp;N1596&amp;" "&amp;T1596)))),"PRIVATE_QUARANTINE",IF(OR(ISNUMBER(SEARCH("treasury",LOWER(F1596&amp;" "&amp;H1596&amp;" "&amp;I1596&amp;" "&amp;M1596&amp;" "&amp;N1596&amp;" "&amp;T1596))),ISNUMBER(SEARCH("debt",LOWER(F1596&amp;" "&amp;H1596&amp;" "&amp;I1596&amp;" "&amp;M1596&amp;" "&amp;N1596&amp;" "&amp;T1596))),ISNUMBER(SEARCH("bond",LOWER(F1596&amp;" "&amp;H1596&amp;" "&amp;I1596&amp;" "&amp;M1596&amp;" "&amp;N1596&amp;" "&amp;T1596))),ISNUMBER(SEARCH("transaction",LOWER(F1596&amp;" "&amp;H1596&amp;" "&amp;I1596&amp;" "&amp;M1596&amp;" "&amp;N1596&amp;" "&amp;T1596)))),"PRIVATE_REVIEW","PUBLIC_CANDIDATE"))</x:f>
        <x:v>PUBLIC_CANDIDATE</x:v>
      </x:c>
      <x:c r="AD1596" s="12" t="str">
        <x:f>IF(AC1596="PRIVATE_QUARANTINE","hacker_or_bank_trigger",IF(AC1596="PRIVATE_REVIEW","finance_risk_trigger","none"))</x:f>
        <x:v>none</x:v>
      </x:c>
      <x:c r="AE1596" s="12" t="str">
        <x:f>IF(AC1596="PUBLIC_CANDIDATE","prepare_public_github_candidate",IF(AC1596="PRIVATE_REVIEW","hold_for_private_review","quarantine_private_do_not_publish"))</x:f>
        <x:v>prepare_public_github_candidate</x:v>
      </x:c>
      <x:c r="AF1596" s="12" t="str">
        <x:f>IF(AC1596="PUBLIC_CANDIDATE","TIDELOCK + Lucerna",IF(AC1596="PRIVATE_REVIEW","AtlasBrain + Lucerna","TIDELOCK + Lucerna + Human-root"))</x:f>
        <x:v>TIDELOCK + Lucerna</x:v>
      </x:c>
      <x:c r="AG1596" s="12" t="str">
        <x:f>IF(AND(AC1596="PUBLIC_CANDIDATE",U1596&lt;&gt;"BLOCKED_PENDING_RECEIPT"),"READY_AFTER_RECEIPT","NOT_READY")</x:f>
        <x:v>NOT_READY</x:v>
      </x:c>
      <x:c r="AH1596" s="12" t="str">
        <x:f>IF(AC1596="PUBLIC_CANDIDATE","none",AD1596)</x:f>
        <x:v>none</x:v>
      </x:c>
      <x:c r="AI1596" s="12" t="str">
        <x:f>IF(AC1596="PUBLIC_CANDIDATE","archive/public_candidates/"&amp;A1596,"private_quarantine/"&amp;A1596)</x:f>
        <x:v>archive/public_candidates/SWARM-12-H01-S11</x:v>
      </x:c>
      <x:c r="AJ1596" s="12" t="str">
        <x:f>IF(AC1596="PUBLIC_CANDIDATE","public by default; still not canon","private/hold; do not publish")</x:f>
        <x:v>public by default; still not canon</x:v>
      </x:c>
      <x:c r="AK1596" s="12" t="str">
        <x:f>IF(AE1596="prepare_public_github_candidate","add receipt/status then mirror","resolve blocker before any public GitHub action")</x:f>
        <x:v>add receipt/status then mirror</x:v>
      </x:c>
    </x:row>
    <x:row r="1597">
      <x:c r="A1597" s="15" t="str">
        <x:v>SWARM-12-H01-S12</x:v>
      </x:c>
      <x:c r="B1597" s="15" t="str">
        <x:v>JoySignal</x:v>
      </x:c>
      <x:c r="C1597" s="15" t="str">
        <x:v>Rest and morale keeper</x:v>
      </x:c>
      <x:c r="D1597" s="15" t="str">
        <x:v>Source Inventory</x:v>
      </x:c>
      <x:c r="E1597" s="15" t="str">
        <x:v>Risk / Safety</x:v>
      </x:c>
      <x:c r="F1597" s="15" t="str">
        <x:v>Inventory Risk / Safety — JoySignal</x:v>
      </x:c>
      <x:c r="G1597" s="15" t="str">
        <x:v>cadence / anti-burnout / safe completion language</x:v>
      </x:c>
      <x:c r="H1597" s="15" t="str">
        <x:v>source path + receipt + raw/export status + claim/edge/risk delta</x:v>
      </x:c>
      <x:c r="I1597" s="15" t="str">
        <x:v>packet/SWARM-12-H01-S12</x:v>
      </x:c>
      <x:c r="J1597" s="15" t="str">
        <x:v>TODO</x:v>
      </x:c>
      <x:c r="K1597" s="15" t="str">
        <x:v>P2</x:v>
      </x:c>
      <x:c r="L1597" s="15" t="str">
        <x:v>Done only when evidence is logged, contradiction search is noted, and boundary stamp remains non-canon unless ratified</x:v>
      </x:c>
      <x:c r="M1597" s="15" t="str">
        <x:v>candidate / staging-only / not canon / not deployed / authority none</x:v>
      </x:c>
      <x:c r="N1597" s="15" t="str">
        <x:v>Dispatch to JoySignal: complete Source Inventory x Risk / Safety; return deltas only, receipts required.</x:v>
      </x:c>
      <x:c r="O1597" s="15" t="str">
        <x:v>AF-KG-H01-S12</x:v>
      </x:c>
      <x:c r="P1597" s="15" t="str">
        <x:v>Unverified</x:v>
      </x:c>
      <x:c r="Q1597" s="15" t="str">
        <x:v>Not checked</x:v>
      </x:c>
      <x:c r="R1597" s="15" t="str"/>
      <x:c r="S1597" s="15" t="str"/>
      <x:c r="T1597" s="15" t="str">
        <x:v>Log first source path or blocker</x:v>
      </x:c>
      <x:c r="U1597" s="12" t="str">
        <x:f>IF(OR(P1597="Unverified",Q1597="Not checked"),"BLOCKED_PENDING_RECEIPT","READY_FOR_REVIEW")</x:f>
        <x:v>BLOCKED_PENDING_RECEIPT</x:v>
      </x:c>
      <x:c r="V1597" s="12" t="str">
        <x:f>IF(J1597="DONE","RETURNED",IF(U1597="BLOCKED_PENDING_RECEIPT","SOURCE_TOUCH_REQUIRED","IN_PROGRESS"))</x:f>
        <x:v>SOURCE_TOUCH_REQUIRED</x:v>
      </x:c>
      <x:c r="W1597" s="12" t="str">
        <x:f>IF(P1597="Unverified","missing_receipt","receipt_logged")</x:f>
        <x:v>missing_receipt</x:v>
      </x:c>
      <x:c r="X1597" s="12" t="str">
        <x:f>IF(Q1597="Not checked","raw_status_missing","raw_status_logged")</x:f>
        <x:v>raw_status_missing</x:v>
      </x:c>
      <x:c r="Y1597" s="12" t="str">
        <x:f>IF(U1597="BLOCKED_PENDING_RECEIPT","Log source path or blocker; do not promote","Route to review lane")</x:f>
        <x:v>Log source path or blocker; do not promote</x:v>
      </x:c>
      <x:c r="Z1597" s="12" t="str">
        <x:f>IF(K1597="P0","Primary seat + Hashlight/Lucerna","Seat lane")</x:f>
        <x:v>Seat lane</x:v>
      </x:c>
      <x:c r="AA1597" s="12" t="str">
        <x:f>IF(R1597="","no_claim_delta","claim_delta_present")</x:f>
        <x:v>no_claim_delta</x:v>
      </x:c>
      <x:c r="AB1597" s="12" t="str">
        <x:f>IF(S1597="","no_contradiction_delta","contradiction_delta_present")</x:f>
        <x:v>no_contradiction_delta</x:v>
      </x:c>
      <x:c r="AC1597" s="12" t="str">
        <x:f>IF(OR(ISNUMBER(SEARCH("hacker",LOWER(F1597&amp;" "&amp;H1597&amp;" "&amp;I1597&amp;" "&amp;M1597&amp;" "&amp;N1597&amp;" "&amp;T1597))),ISNUMBER(SEARCH("hacking",LOWER(F1597&amp;" "&amp;H1597&amp;" "&amp;I1597&amp;" "&amp;M1597&amp;" "&amp;N1597&amp;" "&amp;T1597))),ISNUMBER(SEARCH("bank",LOWER(F1597&amp;" "&amp;H1597&amp;" "&amp;I1597&amp;" "&amp;M1597&amp;" "&amp;N1597&amp;" "&amp;T1597))),ISNUMBER(SEARCH("banking",LOWER(F1597&amp;" "&amp;H1597&amp;" "&amp;I1597&amp;" "&amp;M1597&amp;" "&amp;N1597&amp;" "&amp;T1597)))),"PRIVATE_QUARANTINE",IF(OR(ISNUMBER(SEARCH("treasury",LOWER(F1597&amp;" "&amp;H1597&amp;" "&amp;I1597&amp;" "&amp;M1597&amp;" "&amp;N1597&amp;" "&amp;T1597))),ISNUMBER(SEARCH("debt",LOWER(F1597&amp;" "&amp;H1597&amp;" "&amp;I1597&amp;" "&amp;M1597&amp;" "&amp;N1597&amp;" "&amp;T1597))),ISNUMBER(SEARCH("bond",LOWER(F1597&amp;" "&amp;H1597&amp;" "&amp;I1597&amp;" "&amp;M1597&amp;" "&amp;N1597&amp;" "&amp;T1597))),ISNUMBER(SEARCH("transaction",LOWER(F1597&amp;" "&amp;H1597&amp;" "&amp;I1597&amp;" "&amp;M1597&amp;" "&amp;N1597&amp;" "&amp;T1597)))),"PRIVATE_REVIEW","PUBLIC_CANDIDATE"))</x:f>
        <x:v>PUBLIC_CANDIDATE</x:v>
      </x:c>
      <x:c r="AD1597" s="12" t="str">
        <x:f>IF(AC1597="PRIVATE_QUARANTINE","hacker_or_bank_trigger",IF(AC1597="PRIVATE_REVIEW","finance_risk_trigger","none"))</x:f>
        <x:v>none</x:v>
      </x:c>
      <x:c r="AE1597" s="12" t="str">
        <x:f>IF(AC1597="PUBLIC_CANDIDATE","prepare_public_github_candidate",IF(AC1597="PRIVATE_REVIEW","hold_for_private_review","quarantine_private_do_not_publish"))</x:f>
        <x:v>prepare_public_github_candidate</x:v>
      </x:c>
      <x:c r="AF1597" s="12" t="str">
        <x:f>IF(AC1597="PUBLIC_CANDIDATE","TIDELOCK + Lucerna",IF(AC1597="PRIVATE_REVIEW","AtlasBrain + Lucerna","TIDELOCK + Lucerna + Human-root"))</x:f>
        <x:v>TIDELOCK + Lucerna</x:v>
      </x:c>
      <x:c r="AG1597" s="12" t="str">
        <x:f>IF(AND(AC1597="PUBLIC_CANDIDATE",U1597&lt;&gt;"BLOCKED_PENDING_RECEIPT"),"READY_AFTER_RECEIPT","NOT_READY")</x:f>
        <x:v>NOT_READY</x:v>
      </x:c>
      <x:c r="AH1597" s="12" t="str">
        <x:f>IF(AC1597="PUBLIC_CANDIDATE","none",AD1597)</x:f>
        <x:v>none</x:v>
      </x:c>
      <x:c r="AI1597" s="12" t="str">
        <x:f>IF(AC1597="PUBLIC_CANDIDATE","archive/public_candidates/"&amp;A1597,"private_quarantine/"&amp;A1597)</x:f>
        <x:v>archive/public_candidates/SWARM-12-H01-S12</x:v>
      </x:c>
      <x:c r="AJ1597" s="12" t="str">
        <x:f>IF(AC1597="PUBLIC_CANDIDATE","public by default; still not canon","private/hold; do not publish")</x:f>
        <x:v>public by default; still not canon</x:v>
      </x:c>
      <x:c r="AK1597" s="12" t="str">
        <x:f>IF(AE1597="prepare_public_github_candidate","add receipt/status then mirror","resolve blocker before any public GitHub action")</x:f>
        <x:v>add receipt/status then mirror</x:v>
      </x:c>
    </x:row>
    <x:row r="1598">
      <x:c r="A1598" s="15" t="str">
        <x:v>SWARM-12-H02-S01</x:v>
      </x:c>
      <x:c r="B1598" s="15" t="str">
        <x:v>JoySignal</x:v>
      </x:c>
      <x:c r="C1598" s="15" t="str">
        <x:v>Rest and morale keeper</x:v>
      </x:c>
      <x:c r="D1598" s="15" t="str">
        <x:v>Receipt Verification</x:v>
      </x:c>
      <x:c r="E1598" s="15" t="str">
        <x:v>Notion</x:v>
      </x:c>
      <x:c r="F1598" s="15" t="str">
        <x:v>Verify receipts for Notion — JoySignal</x:v>
      </x:c>
      <x:c r="G1598" s="15" t="str">
        <x:v>cadence / anti-burnout / safe completion language</x:v>
      </x:c>
      <x:c r="H1598" s="15" t="str">
        <x:v>source path + receipt + raw/export status + claim/edge/risk delta</x:v>
      </x:c>
      <x:c r="I1598" s="15" t="str">
        <x:v>packet/SWARM-12-H02-S01</x:v>
      </x:c>
      <x:c r="J1598" s="15" t="str">
        <x:v>TODO</x:v>
      </x:c>
      <x:c r="K1598" s="15" t="str">
        <x:v>P0</x:v>
      </x:c>
      <x:c r="L1598" s="15" t="str">
        <x:v>Done only when evidence is logged, contradiction search is noted, and boundary stamp remains non-canon unless ratified</x:v>
      </x:c>
      <x:c r="M1598" s="15" t="str">
        <x:v>candidate / staging-only / not canon / not deployed / authority none</x:v>
      </x:c>
      <x:c r="N1598" s="15" t="str">
        <x:v>Dispatch to JoySignal: complete Receipt Verification x Notion; return deltas only, receipts required.</x:v>
      </x:c>
      <x:c r="O1598" s="15" t="str">
        <x:v>AF-KG-H02-S01</x:v>
      </x:c>
      <x:c r="P1598" s="15" t="str">
        <x:v>Unverified</x:v>
      </x:c>
      <x:c r="Q1598" s="15" t="str">
        <x:v>Not checked</x:v>
      </x:c>
      <x:c r="R1598" s="15" t="str"/>
      <x:c r="S1598" s="15" t="str"/>
      <x:c r="T1598" s="15" t="str">
        <x:v>Log first source path or blocker</x:v>
      </x:c>
      <x:c r="U1598" s="12" t="str">
        <x:f>IF(OR(P1598="Unverified",Q1598="Not checked"),"BLOCKED_PENDING_RECEIPT","READY_FOR_REVIEW")</x:f>
        <x:v>BLOCKED_PENDING_RECEIPT</x:v>
      </x:c>
      <x:c r="V1598" s="12" t="str">
        <x:f>IF(J1598="DONE","RETURNED",IF(U1598="BLOCKED_PENDING_RECEIPT","SOURCE_TOUCH_REQUIRED","IN_PROGRESS"))</x:f>
        <x:v>SOURCE_TOUCH_REQUIRED</x:v>
      </x:c>
      <x:c r="W1598" s="12" t="str">
        <x:f>IF(P1598="Unverified","missing_receipt","receipt_logged")</x:f>
        <x:v>missing_receipt</x:v>
      </x:c>
      <x:c r="X1598" s="12" t="str">
        <x:f>IF(Q1598="Not checked","raw_status_missing","raw_status_logged")</x:f>
        <x:v>raw_status_missing</x:v>
      </x:c>
      <x:c r="Y1598" s="12" t="str">
        <x:f>IF(U1598="BLOCKED_PENDING_RECEIPT","Log source path or blocker; do not promote","Route to review lane")</x:f>
        <x:v>Log source path or blocker; do not promote</x:v>
      </x:c>
      <x:c r="Z1598" s="12" t="str">
        <x:f>IF(K1598="P0","Primary seat + Hashlight/Lucerna","Seat lane")</x:f>
        <x:v>Primary seat + Hashlight/Lucerna</x:v>
      </x:c>
      <x:c r="AA1598" s="12" t="str">
        <x:f>IF(R1598="","no_claim_delta","claim_delta_present")</x:f>
        <x:v>no_claim_delta</x:v>
      </x:c>
      <x:c r="AB1598" s="12" t="str">
        <x:f>IF(S1598="","no_contradiction_delta","contradiction_delta_present")</x:f>
        <x:v>no_contradiction_delta</x:v>
      </x:c>
      <x:c r="AC1598" s="12" t="str">
        <x:f>IF(OR(ISNUMBER(SEARCH("hacker",LOWER(F1598&amp;" "&amp;H1598&amp;" "&amp;I1598&amp;" "&amp;M1598&amp;" "&amp;N1598&amp;" "&amp;T1598))),ISNUMBER(SEARCH("hacking",LOWER(F1598&amp;" "&amp;H1598&amp;" "&amp;I1598&amp;" "&amp;M1598&amp;" "&amp;N1598&amp;" "&amp;T1598))),ISNUMBER(SEARCH("bank",LOWER(F1598&amp;" "&amp;H1598&amp;" "&amp;I1598&amp;" "&amp;M1598&amp;" "&amp;N1598&amp;" "&amp;T1598))),ISNUMBER(SEARCH("banking",LOWER(F1598&amp;" "&amp;H1598&amp;" "&amp;I1598&amp;" "&amp;M1598&amp;" "&amp;N1598&amp;" "&amp;T1598)))),"PRIVATE_QUARANTINE",IF(OR(ISNUMBER(SEARCH("treasury",LOWER(F1598&amp;" "&amp;H1598&amp;" "&amp;I1598&amp;" "&amp;M1598&amp;" "&amp;N1598&amp;" "&amp;T1598))),ISNUMBER(SEARCH("debt",LOWER(F1598&amp;" "&amp;H1598&amp;" "&amp;I1598&amp;" "&amp;M1598&amp;" "&amp;N1598&amp;" "&amp;T1598))),ISNUMBER(SEARCH("bond",LOWER(F1598&amp;" "&amp;H1598&amp;" "&amp;I1598&amp;" "&amp;M1598&amp;" "&amp;N1598&amp;" "&amp;T1598))),ISNUMBER(SEARCH("transaction",LOWER(F1598&amp;" "&amp;H1598&amp;" "&amp;I1598&amp;" "&amp;M1598&amp;" "&amp;N1598&amp;" "&amp;T1598)))),"PRIVATE_REVIEW","PUBLIC_CANDIDATE"))</x:f>
        <x:v>PUBLIC_CANDIDATE</x:v>
      </x:c>
      <x:c r="AD1598" s="12" t="str">
        <x:f>IF(AC1598="PRIVATE_QUARANTINE","hacker_or_bank_trigger",IF(AC1598="PRIVATE_REVIEW","finance_risk_trigger","none"))</x:f>
        <x:v>none</x:v>
      </x:c>
      <x:c r="AE1598" s="12" t="str">
        <x:f>IF(AC1598="PUBLIC_CANDIDATE","prepare_public_github_candidate",IF(AC1598="PRIVATE_REVIEW","hold_for_private_review","quarantine_private_do_not_publish"))</x:f>
        <x:v>prepare_public_github_candidate</x:v>
      </x:c>
      <x:c r="AF1598" s="12" t="str">
        <x:f>IF(AC1598="PUBLIC_CANDIDATE","TIDELOCK + Lucerna",IF(AC1598="PRIVATE_REVIEW","AtlasBrain + Lucerna","TIDELOCK + Lucerna + Human-root"))</x:f>
        <x:v>TIDELOCK + Lucerna</x:v>
      </x:c>
      <x:c r="AG1598" s="12" t="str">
        <x:f>IF(AND(AC1598="PUBLIC_CANDIDATE",U1598&lt;&gt;"BLOCKED_PENDING_RECEIPT"),"READY_AFTER_RECEIPT","NOT_READY")</x:f>
        <x:v>NOT_READY</x:v>
      </x:c>
      <x:c r="AH1598" s="12" t="str">
        <x:f>IF(AC1598="PUBLIC_CANDIDATE","none",AD1598)</x:f>
        <x:v>none</x:v>
      </x:c>
      <x:c r="AI1598" s="12" t="str">
        <x:f>IF(AC1598="PUBLIC_CANDIDATE","archive/public_candidates/"&amp;A1598,"private_quarantine/"&amp;A1598)</x:f>
        <x:v>archive/public_candidates/SWARM-12-H02-S01</x:v>
      </x:c>
      <x:c r="AJ1598" s="12" t="str">
        <x:f>IF(AC1598="PUBLIC_CANDIDATE","public by default; still not canon","private/hold; do not publish")</x:f>
        <x:v>public by default; still not canon</x:v>
      </x:c>
      <x:c r="AK1598" s="12" t="str">
        <x:f>IF(AE1598="prepare_public_github_candidate","add receipt/status then mirror","resolve blocker before any public GitHub action")</x:f>
        <x:v>add receipt/status then mirror</x:v>
      </x:c>
    </x:row>
    <x:row r="1599">
      <x:c r="A1599" s="15" t="str">
        <x:v>SWARM-12-H02-S02</x:v>
      </x:c>
      <x:c r="B1599" s="15" t="str">
        <x:v>JoySignal</x:v>
      </x:c>
      <x:c r="C1599" s="15" t="str">
        <x:v>Rest and morale keeper</x:v>
      </x:c>
      <x:c r="D1599" s="15" t="str">
        <x:v>Receipt Verification</x:v>
      </x:c>
      <x:c r="E1599" s="15" t="str">
        <x:v>Drive</x:v>
      </x:c>
      <x:c r="F1599" s="15" t="str">
        <x:v>Verify receipts for Drive — JoySignal</x:v>
      </x:c>
      <x:c r="G1599" s="15" t="str">
        <x:v>cadence / anti-burnout / safe completion language</x:v>
      </x:c>
      <x:c r="H1599" s="15" t="str">
        <x:v>source path + receipt + raw/export status + claim/edge/risk delta</x:v>
      </x:c>
      <x:c r="I1599" s="15" t="str">
        <x:v>packet/SWARM-12-H02-S02</x:v>
      </x:c>
      <x:c r="J1599" s="15" t="str">
        <x:v>TODO</x:v>
      </x:c>
      <x:c r="K1599" s="15" t="str">
        <x:v>P0</x:v>
      </x:c>
      <x:c r="L1599" s="15" t="str">
        <x:v>Done only when evidence is logged, contradiction search is noted, and boundary stamp remains non-canon unless ratified</x:v>
      </x:c>
      <x:c r="M1599" s="15" t="str">
        <x:v>candidate / staging-only / not canon / not deployed / authority none</x:v>
      </x:c>
      <x:c r="N1599" s="15" t="str">
        <x:v>Dispatch to JoySignal: complete Receipt Verification x Drive; return deltas only, receipts required.</x:v>
      </x:c>
      <x:c r="O1599" s="15" t="str">
        <x:v>AF-KG-H02-S02</x:v>
      </x:c>
      <x:c r="P1599" s="15" t="str">
        <x:v>Unverified</x:v>
      </x:c>
      <x:c r="Q1599" s="15" t="str">
        <x:v>Not checked</x:v>
      </x:c>
      <x:c r="R1599" s="15" t="str"/>
      <x:c r="S1599" s="15" t="str"/>
      <x:c r="T1599" s="15" t="str">
        <x:v>Log first source path or blocker</x:v>
      </x:c>
      <x:c r="U1599" s="12" t="str">
        <x:f>IF(OR(P1599="Unverified",Q1599="Not checked"),"BLOCKED_PENDING_RECEIPT","READY_FOR_REVIEW")</x:f>
        <x:v>BLOCKED_PENDING_RECEIPT</x:v>
      </x:c>
      <x:c r="V1599" s="12" t="str">
        <x:f>IF(J1599="DONE","RETURNED",IF(U1599="BLOCKED_PENDING_RECEIPT","SOURCE_TOUCH_REQUIRED","IN_PROGRESS"))</x:f>
        <x:v>SOURCE_TOUCH_REQUIRED</x:v>
      </x:c>
      <x:c r="W1599" s="12" t="str">
        <x:f>IF(P1599="Unverified","missing_receipt","receipt_logged")</x:f>
        <x:v>missing_receipt</x:v>
      </x:c>
      <x:c r="X1599" s="12" t="str">
        <x:f>IF(Q1599="Not checked","raw_status_missing","raw_status_logged")</x:f>
        <x:v>raw_status_missing</x:v>
      </x:c>
      <x:c r="Y1599" s="12" t="str">
        <x:f>IF(U1599="BLOCKED_PENDING_RECEIPT","Log source path or blocker; do not promote","Route to review lane")</x:f>
        <x:v>Log source path or blocker; do not promote</x:v>
      </x:c>
      <x:c r="Z1599" s="12" t="str">
        <x:f>IF(K1599="P0","Primary seat + Hashlight/Lucerna","Seat lane")</x:f>
        <x:v>Primary seat + Hashlight/Lucerna</x:v>
      </x:c>
      <x:c r="AA1599" s="12" t="str">
        <x:f>IF(R1599="","no_claim_delta","claim_delta_present")</x:f>
        <x:v>no_claim_delta</x:v>
      </x:c>
      <x:c r="AB1599" s="12" t="str">
        <x:f>IF(S1599="","no_contradiction_delta","contradiction_delta_present")</x:f>
        <x:v>no_contradiction_delta</x:v>
      </x:c>
      <x:c r="AC1599" s="12" t="str">
        <x:f>IF(OR(ISNUMBER(SEARCH("hacker",LOWER(F1599&amp;" "&amp;H1599&amp;" "&amp;I1599&amp;" "&amp;M1599&amp;" "&amp;N1599&amp;" "&amp;T1599))),ISNUMBER(SEARCH("hacking",LOWER(F1599&amp;" "&amp;H1599&amp;" "&amp;I1599&amp;" "&amp;M1599&amp;" "&amp;N1599&amp;" "&amp;T1599))),ISNUMBER(SEARCH("bank",LOWER(F1599&amp;" "&amp;H1599&amp;" "&amp;I1599&amp;" "&amp;M1599&amp;" "&amp;N1599&amp;" "&amp;T1599))),ISNUMBER(SEARCH("banking",LOWER(F1599&amp;" "&amp;H1599&amp;" "&amp;I1599&amp;" "&amp;M1599&amp;" "&amp;N1599&amp;" "&amp;T1599)))),"PRIVATE_QUARANTINE",IF(OR(ISNUMBER(SEARCH("treasury",LOWER(F1599&amp;" "&amp;H1599&amp;" "&amp;I1599&amp;" "&amp;M1599&amp;" "&amp;N1599&amp;" "&amp;T1599))),ISNUMBER(SEARCH("debt",LOWER(F1599&amp;" "&amp;H1599&amp;" "&amp;I1599&amp;" "&amp;M1599&amp;" "&amp;N1599&amp;" "&amp;T1599))),ISNUMBER(SEARCH("bond",LOWER(F1599&amp;" "&amp;H1599&amp;" "&amp;I1599&amp;" "&amp;M1599&amp;" "&amp;N1599&amp;" "&amp;T1599))),ISNUMBER(SEARCH("transaction",LOWER(F1599&amp;" "&amp;H1599&amp;" "&amp;I1599&amp;" "&amp;M1599&amp;" "&amp;N1599&amp;" "&amp;T1599)))),"PRIVATE_REVIEW","PUBLIC_CANDIDATE"))</x:f>
        <x:v>PUBLIC_CANDIDATE</x:v>
      </x:c>
      <x:c r="AD1599" s="12" t="str">
        <x:f>IF(AC1599="PRIVATE_QUARANTINE","hacker_or_bank_trigger",IF(AC1599="PRIVATE_REVIEW","finance_risk_trigger","none"))</x:f>
        <x:v>none</x:v>
      </x:c>
      <x:c r="AE1599" s="12" t="str">
        <x:f>IF(AC1599="PUBLIC_CANDIDATE","prepare_public_github_candidate",IF(AC1599="PRIVATE_REVIEW","hold_for_private_review","quarantine_private_do_not_publish"))</x:f>
        <x:v>prepare_public_github_candidate</x:v>
      </x:c>
      <x:c r="AF1599" s="12" t="str">
        <x:f>IF(AC1599="PUBLIC_CANDIDATE","TIDELOCK + Lucerna",IF(AC1599="PRIVATE_REVIEW","AtlasBrain + Lucerna","TIDELOCK + Lucerna + Human-root"))</x:f>
        <x:v>TIDELOCK + Lucerna</x:v>
      </x:c>
      <x:c r="AG1599" s="12" t="str">
        <x:f>IF(AND(AC1599="PUBLIC_CANDIDATE",U1599&lt;&gt;"BLOCKED_PENDING_RECEIPT"),"READY_AFTER_RECEIPT","NOT_READY")</x:f>
        <x:v>NOT_READY</x:v>
      </x:c>
      <x:c r="AH1599" s="12" t="str">
        <x:f>IF(AC1599="PUBLIC_CANDIDATE","none",AD1599)</x:f>
        <x:v>none</x:v>
      </x:c>
      <x:c r="AI1599" s="12" t="str">
        <x:f>IF(AC1599="PUBLIC_CANDIDATE","archive/public_candidates/"&amp;A1599,"private_quarantine/"&amp;A1599)</x:f>
        <x:v>archive/public_candidates/SWARM-12-H02-S02</x:v>
      </x:c>
      <x:c r="AJ1599" s="12" t="str">
        <x:f>IF(AC1599="PUBLIC_CANDIDATE","public by default; still not canon","private/hold; do not publish")</x:f>
        <x:v>public by default; still not canon</x:v>
      </x:c>
      <x:c r="AK1599" s="12" t="str">
        <x:f>IF(AE1599="prepare_public_github_candidate","add receipt/status then mirror","resolve blocker before any public GitHub action")</x:f>
        <x:v>add receipt/status then mirror</x:v>
      </x:c>
    </x:row>
    <x:row r="1600">
      <x:c r="A1600" s="15" t="str">
        <x:v>SWARM-12-H02-S03</x:v>
      </x:c>
      <x:c r="B1600" s="15" t="str">
        <x:v>JoySignal</x:v>
      </x:c>
      <x:c r="C1600" s="15" t="str">
        <x:v>Rest and morale keeper</x:v>
      </x:c>
      <x:c r="D1600" s="15" t="str">
        <x:v>Receipt Verification</x:v>
      </x:c>
      <x:c r="E1600" s="15" t="str">
        <x:v>GitHub</x:v>
      </x:c>
      <x:c r="F1600" s="15" t="str">
        <x:v>Verify receipts for GitHub — JoySignal</x:v>
      </x:c>
      <x:c r="G1600" s="15" t="str">
        <x:v>cadence / anti-burnout / safe completion language</x:v>
      </x:c>
      <x:c r="H1600" s="15" t="str">
        <x:v>source path + receipt + raw/export status + claim/edge/risk delta</x:v>
      </x:c>
      <x:c r="I1600" s="15" t="str">
        <x:v>packet/SWARM-12-H02-S03</x:v>
      </x:c>
      <x:c r="J1600" s="15" t="str">
        <x:v>TODO</x:v>
      </x:c>
      <x:c r="K1600" s="15" t="str">
        <x:v>P0</x:v>
      </x:c>
      <x:c r="L1600" s="15" t="str">
        <x:v>Done only when evidence is logged, contradiction search is noted, and boundary stamp remains non-canon unless ratified</x:v>
      </x:c>
      <x:c r="M1600" s="15" t="str">
        <x:v>candidate / staging-only / not canon / not deployed / authority none</x:v>
      </x:c>
      <x:c r="N1600" s="15" t="str">
        <x:v>Dispatch to JoySignal: complete Receipt Verification x GitHub; return deltas only, receipts required.</x:v>
      </x:c>
      <x:c r="O1600" s="15" t="str">
        <x:v>AF-KG-H02-S03</x:v>
      </x:c>
      <x:c r="P1600" s="15" t="str">
        <x:v>Unverified</x:v>
      </x:c>
      <x:c r="Q1600" s="15" t="str">
        <x:v>Not checked</x:v>
      </x:c>
      <x:c r="R1600" s="15" t="str"/>
      <x:c r="S1600" s="15" t="str"/>
      <x:c r="T1600" s="15" t="str">
        <x:v>Log first source path or blocker</x:v>
      </x:c>
      <x:c r="U1600" s="12" t="str">
        <x:f>IF(OR(P1600="Unverified",Q1600="Not checked"),"BLOCKED_PENDING_RECEIPT","READY_FOR_REVIEW")</x:f>
        <x:v>BLOCKED_PENDING_RECEIPT</x:v>
      </x:c>
      <x:c r="V1600" s="12" t="str">
        <x:f>IF(J1600="DONE","RETURNED",IF(U1600="BLOCKED_PENDING_RECEIPT","SOURCE_TOUCH_REQUIRED","IN_PROGRESS"))</x:f>
        <x:v>SOURCE_TOUCH_REQUIRED</x:v>
      </x:c>
      <x:c r="W1600" s="12" t="str">
        <x:f>IF(P1600="Unverified","missing_receipt","receipt_logged")</x:f>
        <x:v>missing_receipt</x:v>
      </x:c>
      <x:c r="X1600" s="12" t="str">
        <x:f>IF(Q1600="Not checked","raw_status_missing","raw_status_logged")</x:f>
        <x:v>raw_status_missing</x:v>
      </x:c>
      <x:c r="Y1600" s="12" t="str">
        <x:f>IF(U1600="BLOCKED_PENDING_RECEIPT","Log source path or blocker; do not promote","Route to review lane")</x:f>
        <x:v>Log source path or blocker; do not promote</x:v>
      </x:c>
      <x:c r="Z1600" s="12" t="str">
        <x:f>IF(K1600="P0","Primary seat + Hashlight/Lucerna","Seat lane")</x:f>
        <x:v>Primary seat + Hashlight/Lucerna</x:v>
      </x:c>
      <x:c r="AA1600" s="12" t="str">
        <x:f>IF(R1600="","no_claim_delta","claim_delta_present")</x:f>
        <x:v>no_claim_delta</x:v>
      </x:c>
      <x:c r="AB1600" s="12" t="str">
        <x:f>IF(S1600="","no_contradiction_delta","contradiction_delta_present")</x:f>
        <x:v>no_contradiction_delta</x:v>
      </x:c>
      <x:c r="AC1600" s="12" t="str">
        <x:f>IF(OR(ISNUMBER(SEARCH("hacker",LOWER(F1600&amp;" "&amp;H1600&amp;" "&amp;I1600&amp;" "&amp;M1600&amp;" "&amp;N1600&amp;" "&amp;T1600))),ISNUMBER(SEARCH("hacking",LOWER(F1600&amp;" "&amp;H1600&amp;" "&amp;I1600&amp;" "&amp;M1600&amp;" "&amp;N1600&amp;" "&amp;T1600))),ISNUMBER(SEARCH("bank",LOWER(F1600&amp;" "&amp;H1600&amp;" "&amp;I1600&amp;" "&amp;M1600&amp;" "&amp;N1600&amp;" "&amp;T1600))),ISNUMBER(SEARCH("banking",LOWER(F1600&amp;" "&amp;H1600&amp;" "&amp;I1600&amp;" "&amp;M1600&amp;" "&amp;N1600&amp;" "&amp;T1600)))),"PRIVATE_QUARANTINE",IF(OR(ISNUMBER(SEARCH("treasury",LOWER(F1600&amp;" "&amp;H1600&amp;" "&amp;I1600&amp;" "&amp;M1600&amp;" "&amp;N1600&amp;" "&amp;T1600))),ISNUMBER(SEARCH("debt",LOWER(F1600&amp;" "&amp;H1600&amp;" "&amp;I1600&amp;" "&amp;M1600&amp;" "&amp;N1600&amp;" "&amp;T1600))),ISNUMBER(SEARCH("bond",LOWER(F1600&amp;" "&amp;H1600&amp;" "&amp;I1600&amp;" "&amp;M1600&amp;" "&amp;N1600&amp;" "&amp;T1600))),ISNUMBER(SEARCH("transaction",LOWER(F1600&amp;" "&amp;H1600&amp;" "&amp;I1600&amp;" "&amp;M1600&amp;" "&amp;N1600&amp;" "&amp;T1600)))),"PRIVATE_REVIEW","PUBLIC_CANDIDATE"))</x:f>
        <x:v>PUBLIC_CANDIDATE</x:v>
      </x:c>
      <x:c r="AD1600" s="12" t="str">
        <x:f>IF(AC1600="PRIVATE_QUARANTINE","hacker_or_bank_trigger",IF(AC1600="PRIVATE_REVIEW","finance_risk_trigger","none"))</x:f>
        <x:v>none</x:v>
      </x:c>
      <x:c r="AE1600" s="12" t="str">
        <x:f>IF(AC1600="PUBLIC_CANDIDATE","prepare_public_github_candidate",IF(AC1600="PRIVATE_REVIEW","hold_for_private_review","quarantine_private_do_not_publish"))</x:f>
        <x:v>prepare_public_github_candidate</x:v>
      </x:c>
      <x:c r="AF1600" s="12" t="str">
        <x:f>IF(AC1600="PUBLIC_CANDIDATE","TIDELOCK + Lucerna",IF(AC1600="PRIVATE_REVIEW","AtlasBrain + Lucerna","TIDELOCK + Lucerna + Human-root"))</x:f>
        <x:v>TIDELOCK + Lucerna</x:v>
      </x:c>
      <x:c r="AG1600" s="12" t="str">
        <x:f>IF(AND(AC1600="PUBLIC_CANDIDATE",U1600&lt;&gt;"BLOCKED_PENDING_RECEIPT"),"READY_AFTER_RECEIPT","NOT_READY")</x:f>
        <x:v>NOT_READY</x:v>
      </x:c>
      <x:c r="AH1600" s="12" t="str">
        <x:f>IF(AC1600="PUBLIC_CANDIDATE","none",AD1600)</x:f>
        <x:v>none</x:v>
      </x:c>
      <x:c r="AI1600" s="12" t="str">
        <x:f>IF(AC1600="PUBLIC_CANDIDATE","archive/public_candidates/"&amp;A1600,"private_quarantine/"&amp;A1600)</x:f>
        <x:v>archive/public_candidates/SWARM-12-H02-S03</x:v>
      </x:c>
      <x:c r="AJ1600" s="12" t="str">
        <x:f>IF(AC1600="PUBLIC_CANDIDATE","public by default; still not canon","private/hold; do not publish")</x:f>
        <x:v>public by default; still not canon</x:v>
      </x:c>
      <x:c r="AK1600" s="12" t="str">
        <x:f>IF(AE1600="prepare_public_github_candidate","add receipt/status then mirror","resolve blocker before any public GitHub action")</x:f>
        <x:v>add receipt/status then mirror</x:v>
      </x:c>
    </x:row>
    <x:row r="1601">
      <x:c r="A1601" s="15" t="str">
        <x:v>SWARM-12-H02-S04</x:v>
      </x:c>
      <x:c r="B1601" s="15" t="str">
        <x:v>JoySignal</x:v>
      </x:c>
      <x:c r="C1601" s="15" t="str">
        <x:v>Rest and morale keeper</x:v>
      </x:c>
      <x:c r="D1601" s="15" t="str">
        <x:v>Receipt Verification</x:v>
      </x:c>
      <x:c r="E1601" s="15" t="str">
        <x:v>Gamma</x:v>
      </x:c>
      <x:c r="F1601" s="15" t="str">
        <x:v>Verify receipts for Gamma — JoySignal</x:v>
      </x:c>
      <x:c r="G1601" s="15" t="str">
        <x:v>cadence / anti-burnout / safe completion language</x:v>
      </x:c>
      <x:c r="H1601" s="15" t="str">
        <x:v>source path + receipt + raw/export status + claim/edge/risk delta</x:v>
      </x:c>
      <x:c r="I1601" s="15" t="str">
        <x:v>packet/SWARM-12-H02-S04</x:v>
      </x:c>
      <x:c r="J1601" s="15" t="str">
        <x:v>TODO</x:v>
      </x:c>
      <x:c r="K1601" s="15" t="str">
        <x:v>P1</x:v>
      </x:c>
      <x:c r="L1601" s="15" t="str">
        <x:v>Done only when evidence is logged, contradiction search is noted, and boundary stamp remains non-canon unless ratified</x:v>
      </x:c>
      <x:c r="M1601" s="15" t="str">
        <x:v>candidate / staging-only / not canon / not deployed / authority none</x:v>
      </x:c>
      <x:c r="N1601" s="15" t="str">
        <x:v>Dispatch to JoySignal: complete Receipt Verification x Gamma; return deltas only, receipts required.</x:v>
      </x:c>
      <x:c r="O1601" s="15" t="str">
        <x:v>AF-KG-H02-S04</x:v>
      </x:c>
      <x:c r="P1601" s="15" t="str">
        <x:v>Unverified</x:v>
      </x:c>
      <x:c r="Q1601" s="15" t="str">
        <x:v>Not checked</x:v>
      </x:c>
      <x:c r="R1601" s="15" t="str"/>
      <x:c r="S1601" s="15" t="str"/>
      <x:c r="T1601" s="15" t="str">
        <x:v>Log first source path or blocker</x:v>
      </x:c>
      <x:c r="U1601" s="12" t="str">
        <x:f>IF(OR(P1601="Unverified",Q1601="Not checked"),"BLOCKED_PENDING_RECEIPT","READY_FOR_REVIEW")</x:f>
        <x:v>BLOCKED_PENDING_RECEIPT</x:v>
      </x:c>
      <x:c r="V1601" s="12" t="str">
        <x:f>IF(J1601="DONE","RETURNED",IF(U1601="BLOCKED_PENDING_RECEIPT","SOURCE_TOUCH_REQUIRED","IN_PROGRESS"))</x:f>
        <x:v>SOURCE_TOUCH_REQUIRED</x:v>
      </x:c>
      <x:c r="W1601" s="12" t="str">
        <x:f>IF(P1601="Unverified","missing_receipt","receipt_logged")</x:f>
        <x:v>missing_receipt</x:v>
      </x:c>
      <x:c r="X1601" s="12" t="str">
        <x:f>IF(Q1601="Not checked","raw_status_missing","raw_status_logged")</x:f>
        <x:v>raw_status_missing</x:v>
      </x:c>
      <x:c r="Y1601" s="12" t="str">
        <x:f>IF(U1601="BLOCKED_PENDING_RECEIPT","Log source path or blocker; do not promote","Route to review lane")</x:f>
        <x:v>Log source path or blocker; do not promote</x:v>
      </x:c>
      <x:c r="Z1601" s="12" t="str">
        <x:f>IF(K1601="P0","Primary seat + Hashlight/Lucerna","Seat lane")</x:f>
        <x:v>Seat lane</x:v>
      </x:c>
      <x:c r="AA1601" s="12" t="str">
        <x:f>IF(R1601="","no_claim_delta","claim_delta_present")</x:f>
        <x:v>no_claim_delta</x:v>
      </x:c>
      <x:c r="AB1601" s="12" t="str">
        <x:f>IF(S1601="","no_contradiction_delta","contradiction_delta_present")</x:f>
        <x:v>no_contradiction_delta</x:v>
      </x:c>
      <x:c r="AC1601" s="12" t="str">
        <x:f>IF(OR(ISNUMBER(SEARCH("hacker",LOWER(F1601&amp;" "&amp;H1601&amp;" "&amp;I1601&amp;" "&amp;M1601&amp;" "&amp;N1601&amp;" "&amp;T1601))),ISNUMBER(SEARCH("hacking",LOWER(F1601&amp;" "&amp;H1601&amp;" "&amp;I1601&amp;" "&amp;M1601&amp;" "&amp;N1601&amp;" "&amp;T1601))),ISNUMBER(SEARCH("bank",LOWER(F1601&amp;" "&amp;H1601&amp;" "&amp;I1601&amp;" "&amp;M1601&amp;" "&amp;N1601&amp;" "&amp;T1601))),ISNUMBER(SEARCH("banking",LOWER(F1601&amp;" "&amp;H1601&amp;" "&amp;I1601&amp;" "&amp;M1601&amp;" "&amp;N1601&amp;" "&amp;T1601)))),"PRIVATE_QUARANTINE",IF(OR(ISNUMBER(SEARCH("treasury",LOWER(F1601&amp;" "&amp;H1601&amp;" "&amp;I1601&amp;" "&amp;M1601&amp;" "&amp;N1601&amp;" "&amp;T1601))),ISNUMBER(SEARCH("debt",LOWER(F1601&amp;" "&amp;H1601&amp;" "&amp;I1601&amp;" "&amp;M1601&amp;" "&amp;N1601&amp;" "&amp;T1601))),ISNUMBER(SEARCH("bond",LOWER(F1601&amp;" "&amp;H1601&amp;" "&amp;I1601&amp;" "&amp;M1601&amp;" "&amp;N1601&amp;" "&amp;T1601))),ISNUMBER(SEARCH("transaction",LOWER(F1601&amp;" "&amp;H1601&amp;" "&amp;I1601&amp;" "&amp;M1601&amp;" "&amp;N1601&amp;" "&amp;T1601)))),"PRIVATE_REVIEW","PUBLIC_CANDIDATE"))</x:f>
        <x:v>PUBLIC_CANDIDATE</x:v>
      </x:c>
      <x:c r="AD1601" s="12" t="str">
        <x:f>IF(AC1601="PRIVATE_QUARANTINE","hacker_or_bank_trigger",IF(AC1601="PRIVATE_REVIEW","finance_risk_trigger","none"))</x:f>
        <x:v>none</x:v>
      </x:c>
      <x:c r="AE1601" s="12" t="str">
        <x:f>IF(AC1601="PUBLIC_CANDIDATE","prepare_public_github_candidate",IF(AC1601="PRIVATE_REVIEW","hold_for_private_review","quarantine_private_do_not_publish"))</x:f>
        <x:v>prepare_public_github_candidate</x:v>
      </x:c>
      <x:c r="AF1601" s="12" t="str">
        <x:f>IF(AC1601="PUBLIC_CANDIDATE","TIDELOCK + Lucerna",IF(AC1601="PRIVATE_REVIEW","AtlasBrain + Lucerna","TIDELOCK + Lucerna + Human-root"))</x:f>
        <x:v>TIDELOCK + Lucerna</x:v>
      </x:c>
      <x:c r="AG1601" s="12" t="str">
        <x:f>IF(AND(AC1601="PUBLIC_CANDIDATE",U1601&lt;&gt;"BLOCKED_PENDING_RECEIPT"),"READY_AFTER_RECEIPT","NOT_READY")</x:f>
        <x:v>NOT_READY</x:v>
      </x:c>
      <x:c r="AH1601" s="12" t="str">
        <x:f>IF(AC1601="PUBLIC_CANDIDATE","none",AD1601)</x:f>
        <x:v>none</x:v>
      </x:c>
      <x:c r="AI1601" s="12" t="str">
        <x:f>IF(AC1601="PUBLIC_CANDIDATE","archive/public_candidates/"&amp;A1601,"private_quarantine/"&amp;A1601)</x:f>
        <x:v>archive/public_candidates/SWARM-12-H02-S04</x:v>
      </x:c>
      <x:c r="AJ1601" s="12" t="str">
        <x:f>IF(AC1601="PUBLIC_CANDIDATE","public by default; still not canon","private/hold; do not publish")</x:f>
        <x:v>public by default; still not canon</x:v>
      </x:c>
      <x:c r="AK1601" s="12" t="str">
        <x:f>IF(AE1601="prepare_public_github_candidate","add receipt/status then mirror","resolve blocker before any public GitHub action")</x:f>
        <x:v>add receipt/status then mirror</x:v>
      </x:c>
    </x:row>
    <x:row r="1602">
      <x:c r="A1602" s="15" t="str">
        <x:v>SWARM-12-H02-S05</x:v>
      </x:c>
      <x:c r="B1602" s="15" t="str">
        <x:v>JoySignal</x:v>
      </x:c>
      <x:c r="C1602" s="15" t="str">
        <x:v>Rest and morale keeper</x:v>
      </x:c>
      <x:c r="D1602" s="15" t="str">
        <x:v>Receipt Verification</x:v>
      </x:c>
      <x:c r="E1602" s="15" t="str">
        <x:v>Chat</x:v>
      </x:c>
      <x:c r="F1602" s="15" t="str">
        <x:v>Verify receipts for Chat — JoySignal</x:v>
      </x:c>
      <x:c r="G1602" s="15" t="str">
        <x:v>cadence / anti-burnout / safe completion language</x:v>
      </x:c>
      <x:c r="H1602" s="15" t="str">
        <x:v>source path + receipt + raw/export status + claim/edge/risk delta</x:v>
      </x:c>
      <x:c r="I1602" s="15" t="str">
        <x:v>packet/SWARM-12-H02-S05</x:v>
      </x:c>
      <x:c r="J1602" s="15" t="str">
        <x:v>TODO</x:v>
      </x:c>
      <x:c r="K1602" s="15" t="str">
        <x:v>P1</x:v>
      </x:c>
      <x:c r="L1602" s="15" t="str">
        <x:v>Done only when evidence is logged, contradiction search is noted, and boundary stamp remains non-canon unless ratified</x:v>
      </x:c>
      <x:c r="M1602" s="15" t="str">
        <x:v>candidate / staging-only / not canon / not deployed / authority none</x:v>
      </x:c>
      <x:c r="N1602" s="15" t="str">
        <x:v>Dispatch to JoySignal: complete Receipt Verification x Chat; return deltas only, receipts required.</x:v>
      </x:c>
      <x:c r="O1602" s="15" t="str">
        <x:v>AF-KG-H02-S05</x:v>
      </x:c>
      <x:c r="P1602" s="15" t="str">
        <x:v>Unverified</x:v>
      </x:c>
      <x:c r="Q1602" s="15" t="str">
        <x:v>Not checked</x:v>
      </x:c>
      <x:c r="R1602" s="15" t="str"/>
      <x:c r="S1602" s="15" t="str"/>
      <x:c r="T1602" s="15" t="str">
        <x:v>Log first source path or blocker</x:v>
      </x:c>
      <x:c r="U1602" s="12" t="str">
        <x:f>IF(OR(P1602="Unverified",Q1602="Not checked"),"BLOCKED_PENDING_RECEIPT","READY_FOR_REVIEW")</x:f>
        <x:v>BLOCKED_PENDING_RECEIPT</x:v>
      </x:c>
      <x:c r="V1602" s="12" t="str">
        <x:f>IF(J1602="DONE","RETURNED",IF(U1602="BLOCKED_PENDING_RECEIPT","SOURCE_TOUCH_REQUIRED","IN_PROGRESS"))</x:f>
        <x:v>SOURCE_TOUCH_REQUIRED</x:v>
      </x:c>
      <x:c r="W1602" s="12" t="str">
        <x:f>IF(P1602="Unverified","missing_receipt","receipt_logged")</x:f>
        <x:v>missing_receipt</x:v>
      </x:c>
      <x:c r="X1602" s="12" t="str">
        <x:f>IF(Q1602="Not checked","raw_status_missing","raw_status_logged")</x:f>
        <x:v>raw_status_missing</x:v>
      </x:c>
      <x:c r="Y1602" s="12" t="str">
        <x:f>IF(U1602="BLOCKED_PENDING_RECEIPT","Log source path or blocker; do not promote","Route to review lane")</x:f>
        <x:v>Log source path or blocker; do not promote</x:v>
      </x:c>
      <x:c r="Z1602" s="12" t="str">
        <x:f>IF(K1602="P0","Primary seat + Hashlight/Lucerna","Seat lane")</x:f>
        <x:v>Seat lane</x:v>
      </x:c>
      <x:c r="AA1602" s="12" t="str">
        <x:f>IF(R1602="","no_claim_delta","claim_delta_present")</x:f>
        <x:v>no_claim_delta</x:v>
      </x:c>
      <x:c r="AB1602" s="12" t="str">
        <x:f>IF(S1602="","no_contradiction_delta","contradiction_delta_present")</x:f>
        <x:v>no_contradiction_delta</x:v>
      </x:c>
      <x:c r="AC1602" s="12" t="str">
        <x:f>IF(OR(ISNUMBER(SEARCH("hacker",LOWER(F1602&amp;" "&amp;H1602&amp;" "&amp;I1602&amp;" "&amp;M1602&amp;" "&amp;N1602&amp;" "&amp;T1602))),ISNUMBER(SEARCH("hacking",LOWER(F1602&amp;" "&amp;H1602&amp;" "&amp;I1602&amp;" "&amp;M1602&amp;" "&amp;N1602&amp;" "&amp;T1602))),ISNUMBER(SEARCH("bank",LOWER(F1602&amp;" "&amp;H1602&amp;" "&amp;I1602&amp;" "&amp;M1602&amp;" "&amp;N1602&amp;" "&amp;T1602))),ISNUMBER(SEARCH("banking",LOWER(F1602&amp;" "&amp;H1602&amp;" "&amp;I1602&amp;" "&amp;M1602&amp;" "&amp;N1602&amp;" "&amp;T1602)))),"PRIVATE_QUARANTINE",IF(OR(ISNUMBER(SEARCH("treasury",LOWER(F1602&amp;" "&amp;H1602&amp;" "&amp;I1602&amp;" "&amp;M1602&amp;" "&amp;N1602&amp;" "&amp;T1602))),ISNUMBER(SEARCH("debt",LOWER(F1602&amp;" "&amp;H1602&amp;" "&amp;I1602&amp;" "&amp;M1602&amp;" "&amp;N1602&amp;" "&amp;T1602))),ISNUMBER(SEARCH("bond",LOWER(F1602&amp;" "&amp;H1602&amp;" "&amp;I1602&amp;" "&amp;M1602&amp;" "&amp;N1602&amp;" "&amp;T1602))),ISNUMBER(SEARCH("transaction",LOWER(F1602&amp;" "&amp;H1602&amp;" "&amp;I1602&amp;" "&amp;M1602&amp;" "&amp;N1602&amp;" "&amp;T1602)))),"PRIVATE_REVIEW","PUBLIC_CANDIDATE"))</x:f>
        <x:v>PUBLIC_CANDIDATE</x:v>
      </x:c>
      <x:c r="AD1602" s="12" t="str">
        <x:f>IF(AC1602="PRIVATE_QUARANTINE","hacker_or_bank_trigger",IF(AC1602="PRIVATE_REVIEW","finance_risk_trigger","none"))</x:f>
        <x:v>none</x:v>
      </x:c>
      <x:c r="AE1602" s="12" t="str">
        <x:f>IF(AC1602="PUBLIC_CANDIDATE","prepare_public_github_candidate",IF(AC1602="PRIVATE_REVIEW","hold_for_private_review","quarantine_private_do_not_publish"))</x:f>
        <x:v>prepare_public_github_candidate</x:v>
      </x:c>
      <x:c r="AF1602" s="12" t="str">
        <x:f>IF(AC1602="PUBLIC_CANDIDATE","TIDELOCK + Lucerna",IF(AC1602="PRIVATE_REVIEW","AtlasBrain + Lucerna","TIDELOCK + Lucerna + Human-root"))</x:f>
        <x:v>TIDELOCK + Lucerna</x:v>
      </x:c>
      <x:c r="AG1602" s="12" t="str">
        <x:f>IF(AND(AC1602="PUBLIC_CANDIDATE",U1602&lt;&gt;"BLOCKED_PENDING_RECEIPT"),"READY_AFTER_RECEIPT","NOT_READY")</x:f>
        <x:v>NOT_READY</x:v>
      </x:c>
      <x:c r="AH1602" s="12" t="str">
        <x:f>IF(AC1602="PUBLIC_CANDIDATE","none",AD1602)</x:f>
        <x:v>none</x:v>
      </x:c>
      <x:c r="AI1602" s="12" t="str">
        <x:f>IF(AC1602="PUBLIC_CANDIDATE","archive/public_candidates/"&amp;A1602,"private_quarantine/"&amp;A1602)</x:f>
        <x:v>archive/public_candidates/SWARM-12-H02-S05</x:v>
      </x:c>
      <x:c r="AJ1602" s="12" t="str">
        <x:f>IF(AC1602="PUBLIC_CANDIDATE","public by default; still not canon","private/hold; do not publish")</x:f>
        <x:v>public by default; still not canon</x:v>
      </x:c>
      <x:c r="AK1602" s="12" t="str">
        <x:f>IF(AE1602="prepare_public_github_candidate","add receipt/status then mirror","resolve blocker before any public GitHub action")</x:f>
        <x:v>add receipt/status then mirror</x:v>
      </x:c>
    </x:row>
    <x:row r="1603">
      <x:c r="A1603" s="15" t="str">
        <x:v>SWARM-12-H02-S06</x:v>
      </x:c>
      <x:c r="B1603" s="15" t="str">
        <x:v>JoySignal</x:v>
      </x:c>
      <x:c r="C1603" s="15" t="str">
        <x:v>Rest and morale keeper</x:v>
      </x:c>
      <x:c r="D1603" s="15" t="str">
        <x:v>Receipt Verification</x:v>
      </x:c>
      <x:c r="E1603" s="15" t="str">
        <x:v>External Web</x:v>
      </x:c>
      <x:c r="F1603" s="15" t="str">
        <x:v>Verify receipts for External Web — JoySignal</x:v>
      </x:c>
      <x:c r="G1603" s="15" t="str">
        <x:v>cadence / anti-burnout / safe completion language</x:v>
      </x:c>
      <x:c r="H1603" s="15" t="str">
        <x:v>source path + receipt + raw/export status + claim/edge/risk delta</x:v>
      </x:c>
      <x:c r="I1603" s="15" t="str">
        <x:v>packet/SWARM-12-H02-S06</x:v>
      </x:c>
      <x:c r="J1603" s="15" t="str">
        <x:v>TODO</x:v>
      </x:c>
      <x:c r="K1603" s="15" t="str">
        <x:v>P1</x:v>
      </x:c>
      <x:c r="L1603" s="15" t="str">
        <x:v>Done only when evidence is logged, contradiction search is noted, and boundary stamp remains non-canon unless ratified</x:v>
      </x:c>
      <x:c r="M1603" s="15" t="str">
        <x:v>candidate / staging-only / not canon / not deployed / authority none</x:v>
      </x:c>
      <x:c r="N1603" s="15" t="str">
        <x:v>Dispatch to JoySignal: complete Receipt Verification x External Web; return deltas only, receipts required.</x:v>
      </x:c>
      <x:c r="O1603" s="15" t="str">
        <x:v>AF-KG-H02-S06</x:v>
      </x:c>
      <x:c r="P1603" s="15" t="str">
        <x:v>Unverified</x:v>
      </x:c>
      <x:c r="Q1603" s="15" t="str">
        <x:v>Not checked</x:v>
      </x:c>
      <x:c r="R1603" s="15" t="str"/>
      <x:c r="S1603" s="15" t="str"/>
      <x:c r="T1603" s="15" t="str">
        <x:v>Log first source path or blocker</x:v>
      </x:c>
      <x:c r="U1603" s="12" t="str">
        <x:f>IF(OR(P1603="Unverified",Q1603="Not checked"),"BLOCKED_PENDING_RECEIPT","READY_FOR_REVIEW")</x:f>
        <x:v>BLOCKED_PENDING_RECEIPT</x:v>
      </x:c>
      <x:c r="V1603" s="12" t="str">
        <x:f>IF(J1603="DONE","RETURNED",IF(U1603="BLOCKED_PENDING_RECEIPT","SOURCE_TOUCH_REQUIRED","IN_PROGRESS"))</x:f>
        <x:v>SOURCE_TOUCH_REQUIRED</x:v>
      </x:c>
      <x:c r="W1603" s="12" t="str">
        <x:f>IF(P1603="Unverified","missing_receipt","receipt_logged")</x:f>
        <x:v>missing_receipt</x:v>
      </x:c>
      <x:c r="X1603" s="12" t="str">
        <x:f>IF(Q1603="Not checked","raw_status_missing","raw_status_logged")</x:f>
        <x:v>raw_status_missing</x:v>
      </x:c>
      <x:c r="Y1603" s="12" t="str">
        <x:f>IF(U1603="BLOCKED_PENDING_RECEIPT","Log source path or blocker; do not promote","Route to review lane")</x:f>
        <x:v>Log source path or blocker; do not promote</x:v>
      </x:c>
      <x:c r="Z1603" s="12" t="str">
        <x:f>IF(K1603="P0","Primary seat + Hashlight/Lucerna","Seat lane")</x:f>
        <x:v>Seat lane</x:v>
      </x:c>
      <x:c r="AA1603" s="12" t="str">
        <x:f>IF(R1603="","no_claim_delta","claim_delta_present")</x:f>
        <x:v>no_claim_delta</x:v>
      </x:c>
      <x:c r="AB1603" s="12" t="str">
        <x:f>IF(S1603="","no_contradiction_delta","contradiction_delta_present")</x:f>
        <x:v>no_contradiction_delta</x:v>
      </x:c>
      <x:c r="AC1603" s="12" t="str">
        <x:f>IF(OR(ISNUMBER(SEARCH("hacker",LOWER(F1603&amp;" "&amp;H1603&amp;" "&amp;I1603&amp;" "&amp;M1603&amp;" "&amp;N1603&amp;" "&amp;T1603))),ISNUMBER(SEARCH("hacking",LOWER(F1603&amp;" "&amp;H1603&amp;" "&amp;I1603&amp;" "&amp;M1603&amp;" "&amp;N1603&amp;" "&amp;T1603))),ISNUMBER(SEARCH("bank",LOWER(F1603&amp;" "&amp;H1603&amp;" "&amp;I1603&amp;" "&amp;M1603&amp;" "&amp;N1603&amp;" "&amp;T1603))),ISNUMBER(SEARCH("banking",LOWER(F1603&amp;" "&amp;H1603&amp;" "&amp;I1603&amp;" "&amp;M1603&amp;" "&amp;N1603&amp;" "&amp;T1603)))),"PRIVATE_QUARANTINE",IF(OR(ISNUMBER(SEARCH("treasury",LOWER(F1603&amp;" "&amp;H1603&amp;" "&amp;I1603&amp;" "&amp;M1603&amp;" "&amp;N1603&amp;" "&amp;T1603))),ISNUMBER(SEARCH("debt",LOWER(F1603&amp;" "&amp;H1603&amp;" "&amp;I1603&amp;" "&amp;M1603&amp;" "&amp;N1603&amp;" "&amp;T1603))),ISNUMBER(SEARCH("bond",LOWER(F1603&amp;" "&amp;H1603&amp;" "&amp;I1603&amp;" "&amp;M1603&amp;" "&amp;N1603&amp;" "&amp;T1603))),ISNUMBER(SEARCH("transaction",LOWER(F1603&amp;" "&amp;H1603&amp;" "&amp;I1603&amp;" "&amp;M1603&amp;" "&amp;N1603&amp;" "&amp;T1603)))),"PRIVATE_REVIEW","PUBLIC_CANDIDATE"))</x:f>
        <x:v>PUBLIC_CANDIDATE</x:v>
      </x:c>
      <x:c r="AD1603" s="12" t="str">
        <x:f>IF(AC1603="PRIVATE_QUARANTINE","hacker_or_bank_trigger",IF(AC1603="PRIVATE_REVIEW","finance_risk_trigger","none"))</x:f>
        <x:v>none</x:v>
      </x:c>
      <x:c r="AE1603" s="12" t="str">
        <x:f>IF(AC1603="PUBLIC_CANDIDATE","prepare_public_github_candidate",IF(AC1603="PRIVATE_REVIEW","hold_for_private_review","quarantine_private_do_not_publish"))</x:f>
        <x:v>prepare_public_github_candidate</x:v>
      </x:c>
      <x:c r="AF1603" s="12" t="str">
        <x:f>IF(AC1603="PUBLIC_CANDIDATE","TIDELOCK + Lucerna",IF(AC1603="PRIVATE_REVIEW","AtlasBrain + Lucerna","TIDELOCK + Lucerna + Human-root"))</x:f>
        <x:v>TIDELOCK + Lucerna</x:v>
      </x:c>
      <x:c r="AG1603" s="12" t="str">
        <x:f>IF(AND(AC1603="PUBLIC_CANDIDATE",U1603&lt;&gt;"BLOCKED_PENDING_RECEIPT"),"READY_AFTER_RECEIPT","NOT_READY")</x:f>
        <x:v>NOT_READY</x:v>
      </x:c>
      <x:c r="AH1603" s="12" t="str">
        <x:f>IF(AC1603="PUBLIC_CANDIDATE","none",AD1603)</x:f>
        <x:v>none</x:v>
      </x:c>
      <x:c r="AI1603" s="12" t="str">
        <x:f>IF(AC1603="PUBLIC_CANDIDATE","archive/public_candidates/"&amp;A1603,"private_quarantine/"&amp;A1603)</x:f>
        <x:v>archive/public_candidates/SWARM-12-H02-S06</x:v>
      </x:c>
      <x:c r="AJ1603" s="12" t="str">
        <x:f>IF(AC1603="PUBLIC_CANDIDATE","public by default; still not canon","private/hold; do not publish")</x:f>
        <x:v>public by default; still not canon</x:v>
      </x:c>
      <x:c r="AK1603" s="12" t="str">
        <x:f>IF(AE1603="prepare_public_github_candidate","add receipt/status then mirror","resolve blocker before any public GitHub action")</x:f>
        <x:v>add receipt/status then mirror</x:v>
      </x:c>
    </x:row>
    <x:row r="1604">
      <x:c r="A1604" s="15" t="str">
        <x:v>SWARM-12-H02-S07</x:v>
      </x:c>
      <x:c r="B1604" s="15" t="str">
        <x:v>JoySignal</x:v>
      </x:c>
      <x:c r="C1604" s="15" t="str">
        <x:v>Rest and morale keeper</x:v>
      </x:c>
      <x:c r="D1604" s="15" t="str">
        <x:v>Receipt Verification</x:v>
      </x:c>
      <x:c r="E1604" s="15" t="str">
        <x:v>Planetarium</x:v>
      </x:c>
      <x:c r="F1604" s="15" t="str">
        <x:v>Verify receipts for Planetarium — JoySignal</x:v>
      </x:c>
      <x:c r="G1604" s="15" t="str">
        <x:v>cadence / anti-burnout / safe completion language</x:v>
      </x:c>
      <x:c r="H1604" s="15" t="str">
        <x:v>source path + receipt + raw/export status + claim/edge/risk delta</x:v>
      </x:c>
      <x:c r="I1604" s="15" t="str">
        <x:v>packet/SWARM-12-H02-S07</x:v>
      </x:c>
      <x:c r="J1604" s="15" t="str">
        <x:v>TODO</x:v>
      </x:c>
      <x:c r="K1604" s="15" t="str">
        <x:v>P1</x:v>
      </x:c>
      <x:c r="L1604" s="15" t="str">
        <x:v>Done only when evidence is logged, contradiction search is noted, and boundary stamp remains non-canon unless ratified</x:v>
      </x:c>
      <x:c r="M1604" s="15" t="str">
        <x:v>candidate / staging-only / not canon / not deployed / authority none</x:v>
      </x:c>
      <x:c r="N1604" s="15" t="str">
        <x:v>Dispatch to JoySignal: complete Receipt Verification x Planetarium; return deltas only, receipts required.</x:v>
      </x:c>
      <x:c r="O1604" s="15" t="str">
        <x:v>AF-KG-H02-S07</x:v>
      </x:c>
      <x:c r="P1604" s="15" t="str">
        <x:v>Unverified</x:v>
      </x:c>
      <x:c r="Q1604" s="15" t="str">
        <x:v>Not checked</x:v>
      </x:c>
      <x:c r="R1604" s="15" t="str"/>
      <x:c r="S1604" s="15" t="str"/>
      <x:c r="T1604" s="15" t="str">
        <x:v>Log first source path or blocker</x:v>
      </x:c>
      <x:c r="U1604" s="12" t="str">
        <x:f>IF(OR(P1604="Unverified",Q1604="Not checked"),"BLOCKED_PENDING_RECEIPT","READY_FOR_REVIEW")</x:f>
        <x:v>BLOCKED_PENDING_RECEIPT</x:v>
      </x:c>
      <x:c r="V1604" s="12" t="str">
        <x:f>IF(J1604="DONE","RETURNED",IF(U1604="BLOCKED_PENDING_RECEIPT","SOURCE_TOUCH_REQUIRED","IN_PROGRESS"))</x:f>
        <x:v>SOURCE_TOUCH_REQUIRED</x:v>
      </x:c>
      <x:c r="W1604" s="12" t="str">
        <x:f>IF(P1604="Unverified","missing_receipt","receipt_logged")</x:f>
        <x:v>missing_receipt</x:v>
      </x:c>
      <x:c r="X1604" s="12" t="str">
        <x:f>IF(Q1604="Not checked","raw_status_missing","raw_status_logged")</x:f>
        <x:v>raw_status_missing</x:v>
      </x:c>
      <x:c r="Y1604" s="12" t="str">
        <x:f>IF(U1604="BLOCKED_PENDING_RECEIPT","Log source path or blocker; do not promote","Route to review lane")</x:f>
        <x:v>Log source path or blocker; do not promote</x:v>
      </x:c>
      <x:c r="Z1604" s="12" t="str">
        <x:f>IF(K1604="P0","Primary seat + Hashlight/Lucerna","Seat lane")</x:f>
        <x:v>Seat lane</x:v>
      </x:c>
      <x:c r="AA1604" s="12" t="str">
        <x:f>IF(R1604="","no_claim_delta","claim_delta_present")</x:f>
        <x:v>no_claim_delta</x:v>
      </x:c>
      <x:c r="AB1604" s="12" t="str">
        <x:f>IF(S1604="","no_contradiction_delta","contradiction_delta_present")</x:f>
        <x:v>no_contradiction_delta</x:v>
      </x:c>
      <x:c r="AC1604" s="12" t="str">
        <x:f>IF(OR(ISNUMBER(SEARCH("hacker",LOWER(F1604&amp;" "&amp;H1604&amp;" "&amp;I1604&amp;" "&amp;M1604&amp;" "&amp;N1604&amp;" "&amp;T1604))),ISNUMBER(SEARCH("hacking",LOWER(F1604&amp;" "&amp;H1604&amp;" "&amp;I1604&amp;" "&amp;M1604&amp;" "&amp;N1604&amp;" "&amp;T1604))),ISNUMBER(SEARCH("bank",LOWER(F1604&amp;" "&amp;H1604&amp;" "&amp;I1604&amp;" "&amp;M1604&amp;" "&amp;N1604&amp;" "&amp;T1604))),ISNUMBER(SEARCH("banking",LOWER(F1604&amp;" "&amp;H1604&amp;" "&amp;I1604&amp;" "&amp;M1604&amp;" "&amp;N1604&amp;" "&amp;T1604)))),"PRIVATE_QUARANTINE",IF(OR(ISNUMBER(SEARCH("treasury",LOWER(F1604&amp;" "&amp;H1604&amp;" "&amp;I1604&amp;" "&amp;M1604&amp;" "&amp;N1604&amp;" "&amp;T1604))),ISNUMBER(SEARCH("debt",LOWER(F1604&amp;" "&amp;H1604&amp;" "&amp;I1604&amp;" "&amp;M1604&amp;" "&amp;N1604&amp;" "&amp;T1604))),ISNUMBER(SEARCH("bond",LOWER(F1604&amp;" "&amp;H1604&amp;" "&amp;I1604&amp;" "&amp;M1604&amp;" "&amp;N1604&amp;" "&amp;T1604))),ISNUMBER(SEARCH("transaction",LOWER(F1604&amp;" "&amp;H1604&amp;" "&amp;I1604&amp;" "&amp;M1604&amp;" "&amp;N1604&amp;" "&amp;T1604)))),"PRIVATE_REVIEW","PUBLIC_CANDIDATE"))</x:f>
        <x:v>PUBLIC_CANDIDATE</x:v>
      </x:c>
      <x:c r="AD1604" s="12" t="str">
        <x:f>IF(AC1604="PRIVATE_QUARANTINE","hacker_or_bank_trigger",IF(AC1604="PRIVATE_REVIEW","finance_risk_trigger","none"))</x:f>
        <x:v>none</x:v>
      </x:c>
      <x:c r="AE1604" s="12" t="str">
        <x:f>IF(AC1604="PUBLIC_CANDIDATE","prepare_public_github_candidate",IF(AC1604="PRIVATE_REVIEW","hold_for_private_review","quarantine_private_do_not_publish"))</x:f>
        <x:v>prepare_public_github_candidate</x:v>
      </x:c>
      <x:c r="AF1604" s="12" t="str">
        <x:f>IF(AC1604="PUBLIC_CANDIDATE","TIDELOCK + Lucerna",IF(AC1604="PRIVATE_REVIEW","AtlasBrain + Lucerna","TIDELOCK + Lucerna + Human-root"))</x:f>
        <x:v>TIDELOCK + Lucerna</x:v>
      </x:c>
      <x:c r="AG1604" s="12" t="str">
        <x:f>IF(AND(AC1604="PUBLIC_CANDIDATE",U1604&lt;&gt;"BLOCKED_PENDING_RECEIPT"),"READY_AFTER_RECEIPT","NOT_READY")</x:f>
        <x:v>NOT_READY</x:v>
      </x:c>
      <x:c r="AH1604" s="12" t="str">
        <x:f>IF(AC1604="PUBLIC_CANDIDATE","none",AD1604)</x:f>
        <x:v>none</x:v>
      </x:c>
      <x:c r="AI1604" s="12" t="str">
        <x:f>IF(AC1604="PUBLIC_CANDIDATE","archive/public_candidates/"&amp;A1604,"private_quarantine/"&amp;A1604)</x:f>
        <x:v>archive/public_candidates/SWARM-12-H02-S07</x:v>
      </x:c>
      <x:c r="AJ1604" s="12" t="str">
        <x:f>IF(AC1604="PUBLIC_CANDIDATE","public by default; still not canon","private/hold; do not publish")</x:f>
        <x:v>public by default; still not canon</x:v>
      </x:c>
      <x:c r="AK1604" s="12" t="str">
        <x:f>IF(AE1604="prepare_public_github_candidate","add receipt/status then mirror","resolve blocker before any public GitHub action")</x:f>
        <x:v>add receipt/status then mirror</x:v>
      </x:c>
    </x:row>
    <x:row r="1605">
      <x:c r="A1605" s="15" t="str">
        <x:v>SWARM-12-H02-S08</x:v>
      </x:c>
      <x:c r="B1605" s="15" t="str">
        <x:v>JoySignal</x:v>
      </x:c>
      <x:c r="C1605" s="15" t="str">
        <x:v>Rest and morale keeper</x:v>
      </x:c>
      <x:c r="D1605" s="15" t="str">
        <x:v>Receipt Verification</x:v>
      </x:c>
      <x:c r="E1605" s="15" t="str">
        <x:v>Sheldonbrain</x:v>
      </x:c>
      <x:c r="F1605" s="15" t="str">
        <x:v>Verify receipts for Sheldonbrain — JoySignal</x:v>
      </x:c>
      <x:c r="G1605" s="15" t="str">
        <x:v>cadence / anti-burnout / safe completion language</x:v>
      </x:c>
      <x:c r="H1605" s="15" t="str">
        <x:v>source path + receipt + raw/export status + claim/edge/risk delta</x:v>
      </x:c>
      <x:c r="I1605" s="15" t="str">
        <x:v>packet/SWARM-12-H02-S08</x:v>
      </x:c>
      <x:c r="J1605" s="15" t="str">
        <x:v>TODO</x:v>
      </x:c>
      <x:c r="K1605" s="15" t="str">
        <x:v>P1</x:v>
      </x:c>
      <x:c r="L1605" s="15" t="str">
        <x:v>Done only when evidence is logged, contradiction search is noted, and boundary stamp remains non-canon unless ratified</x:v>
      </x:c>
      <x:c r="M1605" s="15" t="str">
        <x:v>candidate / staging-only / not canon / not deployed / authority none</x:v>
      </x:c>
      <x:c r="N1605" s="15" t="str">
        <x:v>Dispatch to JoySignal: complete Receipt Verification x Sheldonbrain; return deltas only, receipts required.</x:v>
      </x:c>
      <x:c r="O1605" s="15" t="str">
        <x:v>AF-KG-H02-S08</x:v>
      </x:c>
      <x:c r="P1605" s="15" t="str">
        <x:v>Unverified</x:v>
      </x:c>
      <x:c r="Q1605" s="15" t="str">
        <x:v>Not checked</x:v>
      </x:c>
      <x:c r="R1605" s="15" t="str"/>
      <x:c r="S1605" s="15" t="str"/>
      <x:c r="T1605" s="15" t="str">
        <x:v>Log first source path or blocker</x:v>
      </x:c>
      <x:c r="U1605" s="12" t="str">
        <x:f>IF(OR(P1605="Unverified",Q1605="Not checked"),"BLOCKED_PENDING_RECEIPT","READY_FOR_REVIEW")</x:f>
        <x:v>BLOCKED_PENDING_RECEIPT</x:v>
      </x:c>
      <x:c r="V1605" s="12" t="str">
        <x:f>IF(J1605="DONE","RETURNED",IF(U1605="BLOCKED_PENDING_RECEIPT","SOURCE_TOUCH_REQUIRED","IN_PROGRESS"))</x:f>
        <x:v>SOURCE_TOUCH_REQUIRED</x:v>
      </x:c>
      <x:c r="W1605" s="12" t="str">
        <x:f>IF(P1605="Unverified","missing_receipt","receipt_logged")</x:f>
        <x:v>missing_receipt</x:v>
      </x:c>
      <x:c r="X1605" s="12" t="str">
        <x:f>IF(Q1605="Not checked","raw_status_missing","raw_status_logged")</x:f>
        <x:v>raw_status_missing</x:v>
      </x:c>
      <x:c r="Y1605" s="12" t="str">
        <x:f>IF(U1605="BLOCKED_PENDING_RECEIPT","Log source path or blocker; do not promote","Route to review lane")</x:f>
        <x:v>Log source path or blocker; do not promote</x:v>
      </x:c>
      <x:c r="Z1605" s="12" t="str">
        <x:f>IF(K1605="P0","Primary seat + Hashlight/Lucerna","Seat lane")</x:f>
        <x:v>Seat lane</x:v>
      </x:c>
      <x:c r="AA1605" s="12" t="str">
        <x:f>IF(R1605="","no_claim_delta","claim_delta_present")</x:f>
        <x:v>no_claim_delta</x:v>
      </x:c>
      <x:c r="AB1605" s="12" t="str">
        <x:f>IF(S1605="","no_contradiction_delta","contradiction_delta_present")</x:f>
        <x:v>no_contradiction_delta</x:v>
      </x:c>
      <x:c r="AC1605" s="12" t="str">
        <x:f>IF(OR(ISNUMBER(SEARCH("hacker",LOWER(F1605&amp;" "&amp;H1605&amp;" "&amp;I1605&amp;" "&amp;M1605&amp;" "&amp;N1605&amp;" "&amp;T1605))),ISNUMBER(SEARCH("hacking",LOWER(F1605&amp;" "&amp;H1605&amp;" "&amp;I1605&amp;" "&amp;M1605&amp;" "&amp;N1605&amp;" "&amp;T1605))),ISNUMBER(SEARCH("bank",LOWER(F1605&amp;" "&amp;H1605&amp;" "&amp;I1605&amp;" "&amp;M1605&amp;" "&amp;N1605&amp;" "&amp;T1605))),ISNUMBER(SEARCH("banking",LOWER(F1605&amp;" "&amp;H1605&amp;" "&amp;I1605&amp;" "&amp;M1605&amp;" "&amp;N1605&amp;" "&amp;T1605)))),"PRIVATE_QUARANTINE",IF(OR(ISNUMBER(SEARCH("treasury",LOWER(F1605&amp;" "&amp;H1605&amp;" "&amp;I1605&amp;" "&amp;M1605&amp;" "&amp;N1605&amp;" "&amp;T1605))),ISNUMBER(SEARCH("debt",LOWER(F1605&amp;" "&amp;H1605&amp;" "&amp;I1605&amp;" "&amp;M1605&amp;" "&amp;N1605&amp;" "&amp;T1605))),ISNUMBER(SEARCH("bond",LOWER(F1605&amp;" "&amp;H1605&amp;" "&amp;I1605&amp;" "&amp;M1605&amp;" "&amp;N1605&amp;" "&amp;T1605))),ISNUMBER(SEARCH("transaction",LOWER(F1605&amp;" "&amp;H1605&amp;" "&amp;I1605&amp;" "&amp;M1605&amp;" "&amp;N1605&amp;" "&amp;T1605)))),"PRIVATE_REVIEW","PUBLIC_CANDIDATE"))</x:f>
        <x:v>PUBLIC_CANDIDATE</x:v>
      </x:c>
      <x:c r="AD1605" s="12" t="str">
        <x:f>IF(AC1605="PRIVATE_QUARANTINE","hacker_or_bank_trigger",IF(AC1605="PRIVATE_REVIEW","finance_risk_trigger","none"))</x:f>
        <x:v>none</x:v>
      </x:c>
      <x:c r="AE1605" s="12" t="str">
        <x:f>IF(AC1605="PUBLIC_CANDIDATE","prepare_public_github_candidate",IF(AC1605="PRIVATE_REVIEW","hold_for_private_review","quarantine_private_do_not_publish"))</x:f>
        <x:v>prepare_public_github_candidate</x:v>
      </x:c>
      <x:c r="AF1605" s="12" t="str">
        <x:f>IF(AC1605="PUBLIC_CANDIDATE","TIDELOCK + Lucerna",IF(AC1605="PRIVATE_REVIEW","AtlasBrain + Lucerna","TIDELOCK + Lucerna + Human-root"))</x:f>
        <x:v>TIDELOCK + Lucerna</x:v>
      </x:c>
      <x:c r="AG1605" s="12" t="str">
        <x:f>IF(AND(AC1605="PUBLIC_CANDIDATE",U1605&lt;&gt;"BLOCKED_PENDING_RECEIPT"),"READY_AFTER_RECEIPT","NOT_READY")</x:f>
        <x:v>NOT_READY</x:v>
      </x:c>
      <x:c r="AH1605" s="12" t="str">
        <x:f>IF(AC1605="PUBLIC_CANDIDATE","none",AD1605)</x:f>
        <x:v>none</x:v>
      </x:c>
      <x:c r="AI1605" s="12" t="str">
        <x:f>IF(AC1605="PUBLIC_CANDIDATE","archive/public_candidates/"&amp;A1605,"private_quarantine/"&amp;A1605)</x:f>
        <x:v>archive/public_candidates/SWARM-12-H02-S08</x:v>
      </x:c>
      <x:c r="AJ1605" s="12" t="str">
        <x:f>IF(AC1605="PUBLIC_CANDIDATE","public by default; still not canon","private/hold; do not publish")</x:f>
        <x:v>public by default; still not canon</x:v>
      </x:c>
      <x:c r="AK1605" s="12" t="str">
        <x:f>IF(AE1605="prepare_public_github_candidate","add receipt/status then mirror","resolve blocker before any public GitHub action")</x:f>
        <x:v>add receipt/status then mirror</x:v>
      </x:c>
    </x:row>
    <x:row r="1606">
      <x:c r="A1606" s="15" t="str">
        <x:v>SWARM-12-H02-S09</x:v>
      </x:c>
      <x:c r="B1606" s="15" t="str">
        <x:v>JoySignal</x:v>
      </x:c>
      <x:c r="C1606" s="15" t="str">
        <x:v>Rest and morale keeper</x:v>
      </x:c>
      <x:c r="D1606" s="15" t="str">
        <x:v>Receipt Verification</x:v>
      </x:c>
      <x:c r="E1606" s="15" t="str">
        <x:v>Aetherforge</x:v>
      </x:c>
      <x:c r="F1606" s="15" t="str">
        <x:v>Verify receipts for Aetherforge — JoySignal</x:v>
      </x:c>
      <x:c r="G1606" s="15" t="str">
        <x:v>cadence / anti-burnout / safe completion language</x:v>
      </x:c>
      <x:c r="H1606" s="15" t="str">
        <x:v>source path + receipt + raw/export status + claim/edge/risk delta</x:v>
      </x:c>
      <x:c r="I1606" s="15" t="str">
        <x:v>packet/SWARM-12-H02-S09</x:v>
      </x:c>
      <x:c r="J1606" s="15" t="str">
        <x:v>TODO</x:v>
      </x:c>
      <x:c r="K1606" s="15" t="str">
        <x:v>P2</x:v>
      </x:c>
      <x:c r="L1606" s="15" t="str">
        <x:v>Done only when evidence is logged, contradiction search is noted, and boundary stamp remains non-canon unless ratified</x:v>
      </x:c>
      <x:c r="M1606" s="15" t="str">
        <x:v>candidate / staging-only / not canon / not deployed / authority none</x:v>
      </x:c>
      <x:c r="N1606" s="15" t="str">
        <x:v>Dispatch to JoySignal: complete Receipt Verification x Aetherforge; return deltas only, receipts required.</x:v>
      </x:c>
      <x:c r="O1606" s="15" t="str">
        <x:v>AF-KG-H02-S09</x:v>
      </x:c>
      <x:c r="P1606" s="15" t="str">
        <x:v>Unverified</x:v>
      </x:c>
      <x:c r="Q1606" s="15" t="str">
        <x:v>Not checked</x:v>
      </x:c>
      <x:c r="R1606" s="15" t="str"/>
      <x:c r="S1606" s="15" t="str"/>
      <x:c r="T1606" s="15" t="str">
        <x:v>Log first source path or blocker</x:v>
      </x:c>
      <x:c r="U1606" s="12" t="str">
        <x:f>IF(OR(P1606="Unverified",Q1606="Not checked"),"BLOCKED_PENDING_RECEIPT","READY_FOR_REVIEW")</x:f>
        <x:v>BLOCKED_PENDING_RECEIPT</x:v>
      </x:c>
      <x:c r="V1606" s="12" t="str">
        <x:f>IF(J1606="DONE","RETURNED",IF(U1606="BLOCKED_PENDING_RECEIPT","SOURCE_TOUCH_REQUIRED","IN_PROGRESS"))</x:f>
        <x:v>SOURCE_TOUCH_REQUIRED</x:v>
      </x:c>
      <x:c r="W1606" s="12" t="str">
        <x:f>IF(P1606="Unverified","missing_receipt","receipt_logged")</x:f>
        <x:v>missing_receipt</x:v>
      </x:c>
      <x:c r="X1606" s="12" t="str">
        <x:f>IF(Q1606="Not checked","raw_status_missing","raw_status_logged")</x:f>
        <x:v>raw_status_missing</x:v>
      </x:c>
      <x:c r="Y1606" s="12" t="str">
        <x:f>IF(U1606="BLOCKED_PENDING_RECEIPT","Log source path or blocker; do not promote","Route to review lane")</x:f>
        <x:v>Log source path or blocker; do not promote</x:v>
      </x:c>
      <x:c r="Z1606" s="12" t="str">
        <x:f>IF(K1606="P0","Primary seat + Hashlight/Lucerna","Seat lane")</x:f>
        <x:v>Seat lane</x:v>
      </x:c>
      <x:c r="AA1606" s="12" t="str">
        <x:f>IF(R1606="","no_claim_delta","claim_delta_present")</x:f>
        <x:v>no_claim_delta</x:v>
      </x:c>
      <x:c r="AB1606" s="12" t="str">
        <x:f>IF(S1606="","no_contradiction_delta","contradiction_delta_present")</x:f>
        <x:v>no_contradiction_delta</x:v>
      </x:c>
      <x:c r="AC1606" s="12" t="str">
        <x:f>IF(OR(ISNUMBER(SEARCH("hacker",LOWER(F1606&amp;" "&amp;H1606&amp;" "&amp;I1606&amp;" "&amp;M1606&amp;" "&amp;N1606&amp;" "&amp;T1606))),ISNUMBER(SEARCH("hacking",LOWER(F1606&amp;" "&amp;H1606&amp;" "&amp;I1606&amp;" "&amp;M1606&amp;" "&amp;N1606&amp;" "&amp;T1606))),ISNUMBER(SEARCH("bank",LOWER(F1606&amp;" "&amp;H1606&amp;" "&amp;I1606&amp;" "&amp;M1606&amp;" "&amp;N1606&amp;" "&amp;T1606))),ISNUMBER(SEARCH("banking",LOWER(F1606&amp;" "&amp;H1606&amp;" "&amp;I1606&amp;" "&amp;M1606&amp;" "&amp;N1606&amp;" "&amp;T1606)))),"PRIVATE_QUARANTINE",IF(OR(ISNUMBER(SEARCH("treasury",LOWER(F1606&amp;" "&amp;H1606&amp;" "&amp;I1606&amp;" "&amp;M1606&amp;" "&amp;N1606&amp;" "&amp;T1606))),ISNUMBER(SEARCH("debt",LOWER(F1606&amp;" "&amp;H1606&amp;" "&amp;I1606&amp;" "&amp;M1606&amp;" "&amp;N1606&amp;" "&amp;T1606))),ISNUMBER(SEARCH("bond",LOWER(F1606&amp;" "&amp;H1606&amp;" "&amp;I1606&amp;" "&amp;M1606&amp;" "&amp;N1606&amp;" "&amp;T1606))),ISNUMBER(SEARCH("transaction",LOWER(F1606&amp;" "&amp;H1606&amp;" "&amp;I1606&amp;" "&amp;M1606&amp;" "&amp;N1606&amp;" "&amp;T1606)))),"PRIVATE_REVIEW","PUBLIC_CANDIDATE"))</x:f>
        <x:v>PUBLIC_CANDIDATE</x:v>
      </x:c>
      <x:c r="AD1606" s="12" t="str">
        <x:f>IF(AC1606="PRIVATE_QUARANTINE","hacker_or_bank_trigger",IF(AC1606="PRIVATE_REVIEW","finance_risk_trigger","none"))</x:f>
        <x:v>none</x:v>
      </x:c>
      <x:c r="AE1606" s="12" t="str">
        <x:f>IF(AC1606="PUBLIC_CANDIDATE","prepare_public_github_candidate",IF(AC1606="PRIVATE_REVIEW","hold_for_private_review","quarantine_private_do_not_publish"))</x:f>
        <x:v>prepare_public_github_candidate</x:v>
      </x:c>
      <x:c r="AF1606" s="12" t="str">
        <x:f>IF(AC1606="PUBLIC_CANDIDATE","TIDELOCK + Lucerna",IF(AC1606="PRIVATE_REVIEW","AtlasBrain + Lucerna","TIDELOCK + Lucerna + Human-root"))</x:f>
        <x:v>TIDELOCK + Lucerna</x:v>
      </x:c>
      <x:c r="AG1606" s="12" t="str">
        <x:f>IF(AND(AC1606="PUBLIC_CANDIDATE",U1606&lt;&gt;"BLOCKED_PENDING_RECEIPT"),"READY_AFTER_RECEIPT","NOT_READY")</x:f>
        <x:v>NOT_READY</x:v>
      </x:c>
      <x:c r="AH1606" s="12" t="str">
        <x:f>IF(AC1606="PUBLIC_CANDIDATE","none",AD1606)</x:f>
        <x:v>none</x:v>
      </x:c>
      <x:c r="AI1606" s="12" t="str">
        <x:f>IF(AC1606="PUBLIC_CANDIDATE","archive/public_candidates/"&amp;A1606,"private_quarantine/"&amp;A1606)</x:f>
        <x:v>archive/public_candidates/SWARM-12-H02-S09</x:v>
      </x:c>
      <x:c r="AJ1606" s="12" t="str">
        <x:f>IF(AC1606="PUBLIC_CANDIDATE","public by default; still not canon","private/hold; do not publish")</x:f>
        <x:v>public by default; still not canon</x:v>
      </x:c>
      <x:c r="AK1606" s="12" t="str">
        <x:f>IF(AE1606="prepare_public_github_candidate","add receipt/status then mirror","resolve blocker before any public GitHub action")</x:f>
        <x:v>add receipt/status then mirror</x:v>
      </x:c>
    </x:row>
    <x:row r="1607">
      <x:c r="A1607" s="15" t="str">
        <x:v>SWARM-12-H02-S10</x:v>
      </x:c>
      <x:c r="B1607" s="15" t="str">
        <x:v>JoySignal</x:v>
      </x:c>
      <x:c r="C1607" s="15" t="str">
        <x:v>Rest and morale keeper</x:v>
      </x:c>
      <x:c r="D1607" s="15" t="str">
        <x:v>Receipt Verification</x:v>
      </x:c>
      <x:c r="E1607" s="15" t="str">
        <x:v>Human-Root</x:v>
      </x:c>
      <x:c r="F1607" s="15" t="str">
        <x:v>Verify receipts for Human-Root — JoySignal</x:v>
      </x:c>
      <x:c r="G1607" s="15" t="str">
        <x:v>cadence / anti-burnout / safe completion language</x:v>
      </x:c>
      <x:c r="H1607" s="15" t="str">
        <x:v>source path + receipt + raw/export status + claim/edge/risk delta</x:v>
      </x:c>
      <x:c r="I1607" s="15" t="str">
        <x:v>packet/SWARM-12-H02-S10</x:v>
      </x:c>
      <x:c r="J1607" s="15" t="str">
        <x:v>TODO</x:v>
      </x:c>
      <x:c r="K1607" s="15" t="str">
        <x:v>P2</x:v>
      </x:c>
      <x:c r="L1607" s="15" t="str">
        <x:v>Done only when evidence is logged, contradiction search is noted, and boundary stamp remains non-canon unless ratified</x:v>
      </x:c>
      <x:c r="M1607" s="15" t="str">
        <x:v>candidate / staging-only / not canon / not deployed / authority none</x:v>
      </x:c>
      <x:c r="N1607" s="15" t="str">
        <x:v>Dispatch to JoySignal: complete Receipt Verification x Human-Root; return deltas only, receipts required.</x:v>
      </x:c>
      <x:c r="O1607" s="15" t="str">
        <x:v>AF-KG-H02-S10</x:v>
      </x:c>
      <x:c r="P1607" s="15" t="str">
        <x:v>Unverified</x:v>
      </x:c>
      <x:c r="Q1607" s="15" t="str">
        <x:v>Not checked</x:v>
      </x:c>
      <x:c r="R1607" s="15" t="str"/>
      <x:c r="S1607" s="15" t="str"/>
      <x:c r="T1607" s="15" t="str">
        <x:v>Log first source path or blocker</x:v>
      </x:c>
      <x:c r="U1607" s="12" t="str">
        <x:f>IF(OR(P1607="Unverified",Q1607="Not checked"),"BLOCKED_PENDING_RECEIPT","READY_FOR_REVIEW")</x:f>
        <x:v>BLOCKED_PENDING_RECEIPT</x:v>
      </x:c>
      <x:c r="V1607" s="12" t="str">
        <x:f>IF(J1607="DONE","RETURNED",IF(U1607="BLOCKED_PENDING_RECEIPT","SOURCE_TOUCH_REQUIRED","IN_PROGRESS"))</x:f>
        <x:v>SOURCE_TOUCH_REQUIRED</x:v>
      </x:c>
      <x:c r="W1607" s="12" t="str">
        <x:f>IF(P1607="Unverified","missing_receipt","receipt_logged")</x:f>
        <x:v>missing_receipt</x:v>
      </x:c>
      <x:c r="X1607" s="12" t="str">
        <x:f>IF(Q1607="Not checked","raw_status_missing","raw_status_logged")</x:f>
        <x:v>raw_status_missing</x:v>
      </x:c>
      <x:c r="Y1607" s="12" t="str">
        <x:f>IF(U1607="BLOCKED_PENDING_RECEIPT","Log source path or blocker; do not promote","Route to review lane")</x:f>
        <x:v>Log source path or blocker; do not promote</x:v>
      </x:c>
      <x:c r="Z1607" s="12" t="str">
        <x:f>IF(K1607="P0","Primary seat + Hashlight/Lucerna","Seat lane")</x:f>
        <x:v>Seat lane</x:v>
      </x:c>
      <x:c r="AA1607" s="12" t="str">
        <x:f>IF(R1607="","no_claim_delta","claim_delta_present")</x:f>
        <x:v>no_claim_delta</x:v>
      </x:c>
      <x:c r="AB1607" s="12" t="str">
        <x:f>IF(S1607="","no_contradiction_delta","contradiction_delta_present")</x:f>
        <x:v>no_contradiction_delta</x:v>
      </x:c>
      <x:c r="AC1607" s="12" t="str">
        <x:f>IF(OR(ISNUMBER(SEARCH("hacker",LOWER(F1607&amp;" "&amp;H1607&amp;" "&amp;I1607&amp;" "&amp;M1607&amp;" "&amp;N1607&amp;" "&amp;T1607))),ISNUMBER(SEARCH("hacking",LOWER(F1607&amp;" "&amp;H1607&amp;" "&amp;I1607&amp;" "&amp;M1607&amp;" "&amp;N1607&amp;" "&amp;T1607))),ISNUMBER(SEARCH("bank",LOWER(F1607&amp;" "&amp;H1607&amp;" "&amp;I1607&amp;" "&amp;M1607&amp;" "&amp;N1607&amp;" "&amp;T1607))),ISNUMBER(SEARCH("banking",LOWER(F1607&amp;" "&amp;H1607&amp;" "&amp;I1607&amp;" "&amp;M1607&amp;" "&amp;N1607&amp;" "&amp;T1607)))),"PRIVATE_QUARANTINE",IF(OR(ISNUMBER(SEARCH("treasury",LOWER(F1607&amp;" "&amp;H1607&amp;" "&amp;I1607&amp;" "&amp;M1607&amp;" "&amp;N1607&amp;" "&amp;T1607))),ISNUMBER(SEARCH("debt",LOWER(F1607&amp;" "&amp;H1607&amp;" "&amp;I1607&amp;" "&amp;M1607&amp;" "&amp;N1607&amp;" "&amp;T1607))),ISNUMBER(SEARCH("bond",LOWER(F1607&amp;" "&amp;H1607&amp;" "&amp;I1607&amp;" "&amp;M1607&amp;" "&amp;N1607&amp;" "&amp;T1607))),ISNUMBER(SEARCH("transaction",LOWER(F1607&amp;" "&amp;H1607&amp;" "&amp;I1607&amp;" "&amp;M1607&amp;" "&amp;N1607&amp;" "&amp;T1607)))),"PRIVATE_REVIEW","PUBLIC_CANDIDATE"))</x:f>
        <x:v>PUBLIC_CANDIDATE</x:v>
      </x:c>
      <x:c r="AD1607" s="12" t="str">
        <x:f>IF(AC1607="PRIVATE_QUARANTINE","hacker_or_bank_trigger",IF(AC1607="PRIVATE_REVIEW","finance_risk_trigger","none"))</x:f>
        <x:v>none</x:v>
      </x:c>
      <x:c r="AE1607" s="12" t="str">
        <x:f>IF(AC1607="PUBLIC_CANDIDATE","prepare_public_github_candidate",IF(AC1607="PRIVATE_REVIEW","hold_for_private_review","quarantine_private_do_not_publish"))</x:f>
        <x:v>prepare_public_github_candidate</x:v>
      </x:c>
      <x:c r="AF1607" s="12" t="str">
        <x:f>IF(AC1607="PUBLIC_CANDIDATE","TIDELOCK + Lucerna",IF(AC1607="PRIVATE_REVIEW","AtlasBrain + Lucerna","TIDELOCK + Lucerna + Human-root"))</x:f>
        <x:v>TIDELOCK + Lucerna</x:v>
      </x:c>
      <x:c r="AG1607" s="12" t="str">
        <x:f>IF(AND(AC1607="PUBLIC_CANDIDATE",U1607&lt;&gt;"BLOCKED_PENDING_RECEIPT"),"READY_AFTER_RECEIPT","NOT_READY")</x:f>
        <x:v>NOT_READY</x:v>
      </x:c>
      <x:c r="AH1607" s="12" t="str">
        <x:f>IF(AC1607="PUBLIC_CANDIDATE","none",AD1607)</x:f>
        <x:v>none</x:v>
      </x:c>
      <x:c r="AI1607" s="12" t="str">
        <x:f>IF(AC1607="PUBLIC_CANDIDATE","archive/public_candidates/"&amp;A1607,"private_quarantine/"&amp;A1607)</x:f>
        <x:v>archive/public_candidates/SWARM-12-H02-S10</x:v>
      </x:c>
      <x:c r="AJ1607" s="12" t="str">
        <x:f>IF(AC1607="PUBLIC_CANDIDATE","public by default; still not canon","private/hold; do not publish")</x:f>
        <x:v>public by default; still not canon</x:v>
      </x:c>
      <x:c r="AK1607" s="12" t="str">
        <x:f>IF(AE1607="prepare_public_github_candidate","add receipt/status then mirror","resolve blocker before any public GitHub action")</x:f>
        <x:v>add receipt/status then mirror</x:v>
      </x:c>
    </x:row>
    <x:row r="1608">
      <x:c r="A1608" s="15" t="str">
        <x:v>SWARM-12-H02-S11</x:v>
      </x:c>
      <x:c r="B1608" s="15" t="str">
        <x:v>JoySignal</x:v>
      </x:c>
      <x:c r="C1608" s="15" t="str">
        <x:v>Rest and morale keeper</x:v>
      </x:c>
      <x:c r="D1608" s="15" t="str">
        <x:v>Receipt Verification</x:v>
      </x:c>
      <x:c r="E1608" s="15" t="str">
        <x:v>Automation</x:v>
      </x:c>
      <x:c r="F1608" s="15" t="str">
        <x:v>Verify receipts for Automation — JoySignal</x:v>
      </x:c>
      <x:c r="G1608" s="15" t="str">
        <x:v>cadence / anti-burnout / safe completion language</x:v>
      </x:c>
      <x:c r="H1608" s="15" t="str">
        <x:v>source path + receipt + raw/export status + claim/edge/risk delta</x:v>
      </x:c>
      <x:c r="I1608" s="15" t="str">
        <x:v>packet/SWARM-12-H02-S11</x:v>
      </x:c>
      <x:c r="J1608" s="15" t="str">
        <x:v>TODO</x:v>
      </x:c>
      <x:c r="K1608" s="15" t="str">
        <x:v>P2</x:v>
      </x:c>
      <x:c r="L1608" s="15" t="str">
        <x:v>Done only when evidence is logged, contradiction search is noted, and boundary stamp remains non-canon unless ratified</x:v>
      </x:c>
      <x:c r="M1608" s="15" t="str">
        <x:v>candidate / staging-only / not canon / not deployed / authority none</x:v>
      </x:c>
      <x:c r="N1608" s="15" t="str">
        <x:v>Dispatch to JoySignal: complete Receipt Verification x Automation; return deltas only, receipts required.</x:v>
      </x:c>
      <x:c r="O1608" s="15" t="str">
        <x:v>AF-KG-H02-S11</x:v>
      </x:c>
      <x:c r="P1608" s="15" t="str">
        <x:v>Unverified</x:v>
      </x:c>
      <x:c r="Q1608" s="15" t="str">
        <x:v>Not checked</x:v>
      </x:c>
      <x:c r="R1608" s="15" t="str"/>
      <x:c r="S1608" s="15" t="str"/>
      <x:c r="T1608" s="15" t="str">
        <x:v>Log first source path or blocker</x:v>
      </x:c>
      <x:c r="U1608" s="12" t="str">
        <x:f>IF(OR(P1608="Unverified",Q1608="Not checked"),"BLOCKED_PENDING_RECEIPT","READY_FOR_REVIEW")</x:f>
        <x:v>BLOCKED_PENDING_RECEIPT</x:v>
      </x:c>
      <x:c r="V1608" s="12" t="str">
        <x:f>IF(J1608="DONE","RETURNED",IF(U1608="BLOCKED_PENDING_RECEIPT","SOURCE_TOUCH_REQUIRED","IN_PROGRESS"))</x:f>
        <x:v>SOURCE_TOUCH_REQUIRED</x:v>
      </x:c>
      <x:c r="W1608" s="12" t="str">
        <x:f>IF(P1608="Unverified","missing_receipt","receipt_logged")</x:f>
        <x:v>missing_receipt</x:v>
      </x:c>
      <x:c r="X1608" s="12" t="str">
        <x:f>IF(Q1608="Not checked","raw_status_missing","raw_status_logged")</x:f>
        <x:v>raw_status_missing</x:v>
      </x:c>
      <x:c r="Y1608" s="12" t="str">
        <x:f>IF(U1608="BLOCKED_PENDING_RECEIPT","Log source path or blocker; do not promote","Route to review lane")</x:f>
        <x:v>Log source path or blocker; do not promote</x:v>
      </x:c>
      <x:c r="Z1608" s="12" t="str">
        <x:f>IF(K1608="P0","Primary seat + Hashlight/Lucerna","Seat lane")</x:f>
        <x:v>Seat lane</x:v>
      </x:c>
      <x:c r="AA1608" s="12" t="str">
        <x:f>IF(R1608="","no_claim_delta","claim_delta_present")</x:f>
        <x:v>no_claim_delta</x:v>
      </x:c>
      <x:c r="AB1608" s="12" t="str">
        <x:f>IF(S1608="","no_contradiction_delta","contradiction_delta_present")</x:f>
        <x:v>no_contradiction_delta</x:v>
      </x:c>
      <x:c r="AC1608" s="12" t="str">
        <x:f>IF(OR(ISNUMBER(SEARCH("hacker",LOWER(F1608&amp;" "&amp;H1608&amp;" "&amp;I1608&amp;" "&amp;M1608&amp;" "&amp;N1608&amp;" "&amp;T1608))),ISNUMBER(SEARCH("hacking",LOWER(F1608&amp;" "&amp;H1608&amp;" "&amp;I1608&amp;" "&amp;M1608&amp;" "&amp;N1608&amp;" "&amp;T1608))),ISNUMBER(SEARCH("bank",LOWER(F1608&amp;" "&amp;H1608&amp;" "&amp;I1608&amp;" "&amp;M1608&amp;" "&amp;N1608&amp;" "&amp;T1608))),ISNUMBER(SEARCH("banking",LOWER(F1608&amp;" "&amp;H1608&amp;" "&amp;I1608&amp;" "&amp;M1608&amp;" "&amp;N1608&amp;" "&amp;T1608)))),"PRIVATE_QUARANTINE",IF(OR(ISNUMBER(SEARCH("treasury",LOWER(F1608&amp;" "&amp;H1608&amp;" "&amp;I1608&amp;" "&amp;M1608&amp;" "&amp;N1608&amp;" "&amp;T1608))),ISNUMBER(SEARCH("debt",LOWER(F1608&amp;" "&amp;H1608&amp;" "&amp;I1608&amp;" "&amp;M1608&amp;" "&amp;N1608&amp;" "&amp;T1608))),ISNUMBER(SEARCH("bond",LOWER(F1608&amp;" "&amp;H1608&amp;" "&amp;I1608&amp;" "&amp;M1608&amp;" "&amp;N1608&amp;" "&amp;T1608))),ISNUMBER(SEARCH("transaction",LOWER(F1608&amp;" "&amp;H1608&amp;" "&amp;I1608&amp;" "&amp;M1608&amp;" "&amp;N1608&amp;" "&amp;T1608)))),"PRIVATE_REVIEW","PUBLIC_CANDIDATE"))</x:f>
        <x:v>PUBLIC_CANDIDATE</x:v>
      </x:c>
      <x:c r="AD1608" s="12" t="str">
        <x:f>IF(AC1608="PRIVATE_QUARANTINE","hacker_or_bank_trigger",IF(AC1608="PRIVATE_REVIEW","finance_risk_trigger","none"))</x:f>
        <x:v>none</x:v>
      </x:c>
      <x:c r="AE1608" s="12" t="str">
        <x:f>IF(AC1608="PUBLIC_CANDIDATE","prepare_public_github_candidate",IF(AC1608="PRIVATE_REVIEW","hold_for_private_review","quarantine_private_do_not_publish"))</x:f>
        <x:v>prepare_public_github_candidate</x:v>
      </x:c>
      <x:c r="AF1608" s="12" t="str">
        <x:f>IF(AC1608="PUBLIC_CANDIDATE","TIDELOCK + Lucerna",IF(AC1608="PRIVATE_REVIEW","AtlasBrain + Lucerna","TIDELOCK + Lucerna + Human-root"))</x:f>
        <x:v>TIDELOCK + Lucerna</x:v>
      </x:c>
      <x:c r="AG1608" s="12" t="str">
        <x:f>IF(AND(AC1608="PUBLIC_CANDIDATE",U1608&lt;&gt;"BLOCKED_PENDING_RECEIPT"),"READY_AFTER_RECEIPT","NOT_READY")</x:f>
        <x:v>NOT_READY</x:v>
      </x:c>
      <x:c r="AH1608" s="12" t="str">
        <x:f>IF(AC1608="PUBLIC_CANDIDATE","none",AD1608)</x:f>
        <x:v>none</x:v>
      </x:c>
      <x:c r="AI1608" s="12" t="str">
        <x:f>IF(AC1608="PUBLIC_CANDIDATE","archive/public_candidates/"&amp;A1608,"private_quarantine/"&amp;A1608)</x:f>
        <x:v>archive/public_candidates/SWARM-12-H02-S11</x:v>
      </x:c>
      <x:c r="AJ1608" s="12" t="str">
        <x:f>IF(AC1608="PUBLIC_CANDIDATE","public by default; still not canon","private/hold; do not publish")</x:f>
        <x:v>public by default; still not canon</x:v>
      </x:c>
      <x:c r="AK1608" s="12" t="str">
        <x:f>IF(AE1608="prepare_public_github_candidate","add receipt/status then mirror","resolve blocker before any public GitHub action")</x:f>
        <x:v>add receipt/status then mirror</x:v>
      </x:c>
    </x:row>
    <x:row r="1609">
      <x:c r="A1609" s="15" t="str">
        <x:v>SWARM-12-H02-S12</x:v>
      </x:c>
      <x:c r="B1609" s="15" t="str">
        <x:v>JoySignal</x:v>
      </x:c>
      <x:c r="C1609" s="15" t="str">
        <x:v>Rest and morale keeper</x:v>
      </x:c>
      <x:c r="D1609" s="15" t="str">
        <x:v>Receipt Verification</x:v>
      </x:c>
      <x:c r="E1609" s="15" t="str">
        <x:v>Risk / Safety</x:v>
      </x:c>
      <x:c r="F1609" s="15" t="str">
        <x:v>Verify receipts for Risk / Safety — JoySignal</x:v>
      </x:c>
      <x:c r="G1609" s="15" t="str">
        <x:v>cadence / anti-burnout / safe completion language</x:v>
      </x:c>
      <x:c r="H1609" s="15" t="str">
        <x:v>source path + receipt + raw/export status + claim/edge/risk delta</x:v>
      </x:c>
      <x:c r="I1609" s="15" t="str">
        <x:v>packet/SWARM-12-H02-S12</x:v>
      </x:c>
      <x:c r="J1609" s="15" t="str">
        <x:v>TODO</x:v>
      </x:c>
      <x:c r="K1609" s="15" t="str">
        <x:v>P2</x:v>
      </x:c>
      <x:c r="L1609" s="15" t="str">
        <x:v>Done only when evidence is logged, contradiction search is noted, and boundary stamp remains non-canon unless ratified</x:v>
      </x:c>
      <x:c r="M1609" s="15" t="str">
        <x:v>candidate / staging-only / not canon / not deployed / authority none</x:v>
      </x:c>
      <x:c r="N1609" s="15" t="str">
        <x:v>Dispatch to JoySignal: complete Receipt Verification x Risk / Safety; return deltas only, receipts required.</x:v>
      </x:c>
      <x:c r="O1609" s="15" t="str">
        <x:v>AF-KG-H02-S12</x:v>
      </x:c>
      <x:c r="P1609" s="15" t="str">
        <x:v>Unverified</x:v>
      </x:c>
      <x:c r="Q1609" s="15" t="str">
        <x:v>Not checked</x:v>
      </x:c>
      <x:c r="R1609" s="15" t="str"/>
      <x:c r="S1609" s="15" t="str"/>
      <x:c r="T1609" s="15" t="str">
        <x:v>Log first source path or blocker</x:v>
      </x:c>
      <x:c r="U1609" s="12" t="str">
        <x:f>IF(OR(P1609="Unverified",Q1609="Not checked"),"BLOCKED_PENDING_RECEIPT","READY_FOR_REVIEW")</x:f>
        <x:v>BLOCKED_PENDING_RECEIPT</x:v>
      </x:c>
      <x:c r="V1609" s="12" t="str">
        <x:f>IF(J1609="DONE","RETURNED",IF(U1609="BLOCKED_PENDING_RECEIPT","SOURCE_TOUCH_REQUIRED","IN_PROGRESS"))</x:f>
        <x:v>SOURCE_TOUCH_REQUIRED</x:v>
      </x:c>
      <x:c r="W1609" s="12" t="str">
        <x:f>IF(P1609="Unverified","missing_receipt","receipt_logged")</x:f>
        <x:v>missing_receipt</x:v>
      </x:c>
      <x:c r="X1609" s="12" t="str">
        <x:f>IF(Q1609="Not checked","raw_status_missing","raw_status_logged")</x:f>
        <x:v>raw_status_missing</x:v>
      </x:c>
      <x:c r="Y1609" s="12" t="str">
        <x:f>IF(U1609="BLOCKED_PENDING_RECEIPT","Log source path or blocker; do not promote","Route to review lane")</x:f>
        <x:v>Log source path or blocker; do not promote</x:v>
      </x:c>
      <x:c r="Z1609" s="12" t="str">
        <x:f>IF(K1609="P0","Primary seat + Hashlight/Lucerna","Seat lane")</x:f>
        <x:v>Seat lane</x:v>
      </x:c>
      <x:c r="AA1609" s="12" t="str">
        <x:f>IF(R1609="","no_claim_delta","claim_delta_present")</x:f>
        <x:v>no_claim_delta</x:v>
      </x:c>
      <x:c r="AB1609" s="12" t="str">
        <x:f>IF(S1609="","no_contradiction_delta","contradiction_delta_present")</x:f>
        <x:v>no_contradiction_delta</x:v>
      </x:c>
      <x:c r="AC1609" s="12" t="str">
        <x:f>IF(OR(ISNUMBER(SEARCH("hacker",LOWER(F1609&amp;" "&amp;H1609&amp;" "&amp;I1609&amp;" "&amp;M1609&amp;" "&amp;N1609&amp;" "&amp;T1609))),ISNUMBER(SEARCH("hacking",LOWER(F1609&amp;" "&amp;H1609&amp;" "&amp;I1609&amp;" "&amp;M1609&amp;" "&amp;N1609&amp;" "&amp;T1609))),ISNUMBER(SEARCH("bank",LOWER(F1609&amp;" "&amp;H1609&amp;" "&amp;I1609&amp;" "&amp;M1609&amp;" "&amp;N1609&amp;" "&amp;T1609))),ISNUMBER(SEARCH("banking",LOWER(F1609&amp;" "&amp;H1609&amp;" "&amp;I1609&amp;" "&amp;M1609&amp;" "&amp;N1609&amp;" "&amp;T1609)))),"PRIVATE_QUARANTINE",IF(OR(ISNUMBER(SEARCH("treasury",LOWER(F1609&amp;" "&amp;H1609&amp;" "&amp;I1609&amp;" "&amp;M1609&amp;" "&amp;N1609&amp;" "&amp;T1609))),ISNUMBER(SEARCH("debt",LOWER(F1609&amp;" "&amp;H1609&amp;" "&amp;I1609&amp;" "&amp;M1609&amp;" "&amp;N1609&amp;" "&amp;T1609))),ISNUMBER(SEARCH("bond",LOWER(F1609&amp;" "&amp;H1609&amp;" "&amp;I1609&amp;" "&amp;M1609&amp;" "&amp;N1609&amp;" "&amp;T1609))),ISNUMBER(SEARCH("transaction",LOWER(F1609&amp;" "&amp;H1609&amp;" "&amp;I1609&amp;" "&amp;M1609&amp;" "&amp;N1609&amp;" "&amp;T1609)))),"PRIVATE_REVIEW","PUBLIC_CANDIDATE"))</x:f>
        <x:v>PUBLIC_CANDIDATE</x:v>
      </x:c>
      <x:c r="AD1609" s="12" t="str">
        <x:f>IF(AC1609="PRIVATE_QUARANTINE","hacker_or_bank_trigger",IF(AC1609="PRIVATE_REVIEW","finance_risk_trigger","none"))</x:f>
        <x:v>none</x:v>
      </x:c>
      <x:c r="AE1609" s="12" t="str">
        <x:f>IF(AC1609="PUBLIC_CANDIDATE","prepare_public_github_candidate",IF(AC1609="PRIVATE_REVIEW","hold_for_private_review","quarantine_private_do_not_publish"))</x:f>
        <x:v>prepare_public_github_candidate</x:v>
      </x:c>
      <x:c r="AF1609" s="12" t="str">
        <x:f>IF(AC1609="PUBLIC_CANDIDATE","TIDELOCK + Lucerna",IF(AC1609="PRIVATE_REVIEW","AtlasBrain + Lucerna","TIDELOCK + Lucerna + Human-root"))</x:f>
        <x:v>TIDELOCK + Lucerna</x:v>
      </x:c>
      <x:c r="AG1609" s="12" t="str">
        <x:f>IF(AND(AC1609="PUBLIC_CANDIDATE",U1609&lt;&gt;"BLOCKED_PENDING_RECEIPT"),"READY_AFTER_RECEIPT","NOT_READY")</x:f>
        <x:v>NOT_READY</x:v>
      </x:c>
      <x:c r="AH1609" s="12" t="str">
        <x:f>IF(AC1609="PUBLIC_CANDIDATE","none",AD1609)</x:f>
        <x:v>none</x:v>
      </x:c>
      <x:c r="AI1609" s="12" t="str">
        <x:f>IF(AC1609="PUBLIC_CANDIDATE","archive/public_candidates/"&amp;A1609,"private_quarantine/"&amp;A1609)</x:f>
        <x:v>archive/public_candidates/SWARM-12-H02-S12</x:v>
      </x:c>
      <x:c r="AJ1609" s="12" t="str">
        <x:f>IF(AC1609="PUBLIC_CANDIDATE","public by default; still not canon","private/hold; do not publish")</x:f>
        <x:v>public by default; still not canon</x:v>
      </x:c>
      <x:c r="AK1609" s="12" t="str">
        <x:f>IF(AE1609="prepare_public_github_candidate","add receipt/status then mirror","resolve blocker before any public GitHub action")</x:f>
        <x:v>add receipt/status then mirror</x:v>
      </x:c>
    </x:row>
    <x:row r="1610">
      <x:c r="A1610" s="15" t="str">
        <x:v>SWARM-12-H03-S01</x:v>
      </x:c>
      <x:c r="B1610" s="15" t="str">
        <x:v>JoySignal</x:v>
      </x:c>
      <x:c r="C1610" s="15" t="str">
        <x:v>Rest and morale keeper</x:v>
      </x:c>
      <x:c r="D1610" s="15" t="str">
        <x:v>Raw Export Recovery</x:v>
      </x:c>
      <x:c r="E1610" s="15" t="str">
        <x:v>Notion</x:v>
      </x:c>
      <x:c r="F1610" s="15" t="str">
        <x:v>Recover raw exports for Notion — JoySignal</x:v>
      </x:c>
      <x:c r="G1610" s="15" t="str">
        <x:v>cadence / anti-burnout / safe completion language</x:v>
      </x:c>
      <x:c r="H1610" s="15" t="str">
        <x:v>source path + receipt + raw/export status + claim/edge/risk delta</x:v>
      </x:c>
      <x:c r="I1610" s="15" t="str">
        <x:v>packet/SWARM-12-H03-S01</x:v>
      </x:c>
      <x:c r="J1610" s="15" t="str">
        <x:v>TODO</x:v>
      </x:c>
      <x:c r="K1610" s="15" t="str">
        <x:v>P0</x:v>
      </x:c>
      <x:c r="L1610" s="15" t="str">
        <x:v>Done only when evidence is logged, contradiction search is noted, and boundary stamp remains non-canon unless ratified</x:v>
      </x:c>
      <x:c r="M1610" s="15" t="str">
        <x:v>candidate / staging-only / not canon / not deployed / authority none</x:v>
      </x:c>
      <x:c r="N1610" s="15" t="str">
        <x:v>Dispatch to JoySignal: complete Raw Export Recovery x Notion; return deltas only, receipts required.</x:v>
      </x:c>
      <x:c r="O1610" s="15" t="str">
        <x:v>AF-KG-H03-S01</x:v>
      </x:c>
      <x:c r="P1610" s="15" t="str">
        <x:v>Unverified</x:v>
      </x:c>
      <x:c r="Q1610" s="15" t="str">
        <x:v>Not checked</x:v>
      </x:c>
      <x:c r="R1610" s="15" t="str"/>
      <x:c r="S1610" s="15" t="str"/>
      <x:c r="T1610" s="15" t="str">
        <x:v>Log first source path or blocker</x:v>
      </x:c>
      <x:c r="U1610" s="12" t="str">
        <x:f>IF(OR(P1610="Unverified",Q1610="Not checked"),"BLOCKED_PENDING_RECEIPT","READY_FOR_REVIEW")</x:f>
        <x:v>BLOCKED_PENDING_RECEIPT</x:v>
      </x:c>
      <x:c r="V1610" s="12" t="str">
        <x:f>IF(J1610="DONE","RETURNED",IF(U1610="BLOCKED_PENDING_RECEIPT","SOURCE_TOUCH_REQUIRED","IN_PROGRESS"))</x:f>
        <x:v>SOURCE_TOUCH_REQUIRED</x:v>
      </x:c>
      <x:c r="W1610" s="12" t="str">
        <x:f>IF(P1610="Unverified","missing_receipt","receipt_logged")</x:f>
        <x:v>missing_receipt</x:v>
      </x:c>
      <x:c r="X1610" s="12" t="str">
        <x:f>IF(Q1610="Not checked","raw_status_missing","raw_status_logged")</x:f>
        <x:v>raw_status_missing</x:v>
      </x:c>
      <x:c r="Y1610" s="12" t="str">
        <x:f>IF(U1610="BLOCKED_PENDING_RECEIPT","Log source path or blocker; do not promote","Route to review lane")</x:f>
        <x:v>Log source path or blocker; do not promote</x:v>
      </x:c>
      <x:c r="Z1610" s="12" t="str">
        <x:f>IF(K1610="P0","Primary seat + Hashlight/Lucerna","Seat lane")</x:f>
        <x:v>Primary seat + Hashlight/Lucerna</x:v>
      </x:c>
      <x:c r="AA1610" s="12" t="str">
        <x:f>IF(R1610="","no_claim_delta","claim_delta_present")</x:f>
        <x:v>no_claim_delta</x:v>
      </x:c>
      <x:c r="AB1610" s="12" t="str">
        <x:f>IF(S1610="","no_contradiction_delta","contradiction_delta_present")</x:f>
        <x:v>no_contradiction_delta</x:v>
      </x:c>
      <x:c r="AC1610" s="12" t="str">
        <x:f>IF(OR(ISNUMBER(SEARCH("hacker",LOWER(F1610&amp;" "&amp;H1610&amp;" "&amp;I1610&amp;" "&amp;M1610&amp;" "&amp;N1610&amp;" "&amp;T1610))),ISNUMBER(SEARCH("hacking",LOWER(F1610&amp;" "&amp;H1610&amp;" "&amp;I1610&amp;" "&amp;M1610&amp;" "&amp;N1610&amp;" "&amp;T1610))),ISNUMBER(SEARCH("bank",LOWER(F1610&amp;" "&amp;H1610&amp;" "&amp;I1610&amp;" "&amp;M1610&amp;" "&amp;N1610&amp;" "&amp;T1610))),ISNUMBER(SEARCH("banking",LOWER(F1610&amp;" "&amp;H1610&amp;" "&amp;I1610&amp;" "&amp;M1610&amp;" "&amp;N1610&amp;" "&amp;T1610)))),"PRIVATE_QUARANTINE",IF(OR(ISNUMBER(SEARCH("treasury",LOWER(F1610&amp;" "&amp;H1610&amp;" "&amp;I1610&amp;" "&amp;M1610&amp;" "&amp;N1610&amp;" "&amp;T1610))),ISNUMBER(SEARCH("debt",LOWER(F1610&amp;" "&amp;H1610&amp;" "&amp;I1610&amp;" "&amp;M1610&amp;" "&amp;N1610&amp;" "&amp;T1610))),ISNUMBER(SEARCH("bond",LOWER(F1610&amp;" "&amp;H1610&amp;" "&amp;I1610&amp;" "&amp;M1610&amp;" "&amp;N1610&amp;" "&amp;T1610))),ISNUMBER(SEARCH("transaction",LOWER(F1610&amp;" "&amp;H1610&amp;" "&amp;I1610&amp;" "&amp;M1610&amp;" "&amp;N1610&amp;" "&amp;T1610)))),"PRIVATE_REVIEW","PUBLIC_CANDIDATE"))</x:f>
        <x:v>PUBLIC_CANDIDATE</x:v>
      </x:c>
      <x:c r="AD1610" s="12" t="str">
        <x:f>IF(AC1610="PRIVATE_QUARANTINE","hacker_or_bank_trigger",IF(AC1610="PRIVATE_REVIEW","finance_risk_trigger","none"))</x:f>
        <x:v>none</x:v>
      </x:c>
      <x:c r="AE1610" s="12" t="str">
        <x:f>IF(AC1610="PUBLIC_CANDIDATE","prepare_public_github_candidate",IF(AC1610="PRIVATE_REVIEW","hold_for_private_review","quarantine_private_do_not_publish"))</x:f>
        <x:v>prepare_public_github_candidate</x:v>
      </x:c>
      <x:c r="AF1610" s="12" t="str">
        <x:f>IF(AC1610="PUBLIC_CANDIDATE","TIDELOCK + Lucerna",IF(AC1610="PRIVATE_REVIEW","AtlasBrain + Lucerna","TIDELOCK + Lucerna + Human-root"))</x:f>
        <x:v>TIDELOCK + Lucerna</x:v>
      </x:c>
      <x:c r="AG1610" s="12" t="str">
        <x:f>IF(AND(AC1610="PUBLIC_CANDIDATE",U1610&lt;&gt;"BLOCKED_PENDING_RECEIPT"),"READY_AFTER_RECEIPT","NOT_READY")</x:f>
        <x:v>NOT_READY</x:v>
      </x:c>
      <x:c r="AH1610" s="12" t="str">
        <x:f>IF(AC1610="PUBLIC_CANDIDATE","none",AD1610)</x:f>
        <x:v>none</x:v>
      </x:c>
      <x:c r="AI1610" s="12" t="str">
        <x:f>IF(AC1610="PUBLIC_CANDIDATE","archive/public_candidates/"&amp;A1610,"private_quarantine/"&amp;A1610)</x:f>
        <x:v>archive/public_candidates/SWARM-12-H03-S01</x:v>
      </x:c>
      <x:c r="AJ1610" s="12" t="str">
        <x:f>IF(AC1610="PUBLIC_CANDIDATE","public by default; still not canon","private/hold; do not publish")</x:f>
        <x:v>public by default; still not canon</x:v>
      </x:c>
      <x:c r="AK1610" s="12" t="str">
        <x:f>IF(AE1610="prepare_public_github_candidate","add receipt/status then mirror","resolve blocker before any public GitHub action")</x:f>
        <x:v>add receipt/status then mirror</x:v>
      </x:c>
    </x:row>
    <x:row r="1611">
      <x:c r="A1611" s="15" t="str">
        <x:v>SWARM-12-H03-S02</x:v>
      </x:c>
      <x:c r="B1611" s="15" t="str">
        <x:v>JoySignal</x:v>
      </x:c>
      <x:c r="C1611" s="15" t="str">
        <x:v>Rest and morale keeper</x:v>
      </x:c>
      <x:c r="D1611" s="15" t="str">
        <x:v>Raw Export Recovery</x:v>
      </x:c>
      <x:c r="E1611" s="15" t="str">
        <x:v>Drive</x:v>
      </x:c>
      <x:c r="F1611" s="15" t="str">
        <x:v>Recover raw exports for Drive — JoySignal</x:v>
      </x:c>
      <x:c r="G1611" s="15" t="str">
        <x:v>cadence / anti-burnout / safe completion language</x:v>
      </x:c>
      <x:c r="H1611" s="15" t="str">
        <x:v>source path + receipt + raw/export status + claim/edge/risk delta</x:v>
      </x:c>
      <x:c r="I1611" s="15" t="str">
        <x:v>packet/SWARM-12-H03-S02</x:v>
      </x:c>
      <x:c r="J1611" s="15" t="str">
        <x:v>TODO</x:v>
      </x:c>
      <x:c r="K1611" s="15" t="str">
        <x:v>P0</x:v>
      </x:c>
      <x:c r="L1611" s="15" t="str">
        <x:v>Done only when evidence is logged, contradiction search is noted, and boundary stamp remains non-canon unless ratified</x:v>
      </x:c>
      <x:c r="M1611" s="15" t="str">
        <x:v>candidate / staging-only / not canon / not deployed / authority none</x:v>
      </x:c>
      <x:c r="N1611" s="15" t="str">
        <x:v>Dispatch to JoySignal: complete Raw Export Recovery x Drive; return deltas only, receipts required.</x:v>
      </x:c>
      <x:c r="O1611" s="15" t="str">
        <x:v>AF-KG-H03-S02</x:v>
      </x:c>
      <x:c r="P1611" s="15" t="str">
        <x:v>Unverified</x:v>
      </x:c>
      <x:c r="Q1611" s="15" t="str">
        <x:v>Not checked</x:v>
      </x:c>
      <x:c r="R1611" s="15" t="str"/>
      <x:c r="S1611" s="15" t="str"/>
      <x:c r="T1611" s="15" t="str">
        <x:v>Log first source path or blocker</x:v>
      </x:c>
      <x:c r="U1611" s="12" t="str">
        <x:f>IF(OR(P1611="Unverified",Q1611="Not checked"),"BLOCKED_PENDING_RECEIPT","READY_FOR_REVIEW")</x:f>
        <x:v>BLOCKED_PENDING_RECEIPT</x:v>
      </x:c>
      <x:c r="V1611" s="12" t="str">
        <x:f>IF(J1611="DONE","RETURNED",IF(U1611="BLOCKED_PENDING_RECEIPT","SOURCE_TOUCH_REQUIRED","IN_PROGRESS"))</x:f>
        <x:v>SOURCE_TOUCH_REQUIRED</x:v>
      </x:c>
      <x:c r="W1611" s="12" t="str">
        <x:f>IF(P1611="Unverified","missing_receipt","receipt_logged")</x:f>
        <x:v>missing_receipt</x:v>
      </x:c>
      <x:c r="X1611" s="12" t="str">
        <x:f>IF(Q1611="Not checked","raw_status_missing","raw_status_logged")</x:f>
        <x:v>raw_status_missing</x:v>
      </x:c>
      <x:c r="Y1611" s="12" t="str">
        <x:f>IF(U1611="BLOCKED_PENDING_RECEIPT","Log source path or blocker; do not promote","Route to review lane")</x:f>
        <x:v>Log source path or blocker; do not promote</x:v>
      </x:c>
      <x:c r="Z1611" s="12" t="str">
        <x:f>IF(K1611="P0","Primary seat + Hashlight/Lucerna","Seat lane")</x:f>
        <x:v>Primary seat + Hashlight/Lucerna</x:v>
      </x:c>
      <x:c r="AA1611" s="12" t="str">
        <x:f>IF(R1611="","no_claim_delta","claim_delta_present")</x:f>
        <x:v>no_claim_delta</x:v>
      </x:c>
      <x:c r="AB1611" s="12" t="str">
        <x:f>IF(S1611="","no_contradiction_delta","contradiction_delta_present")</x:f>
        <x:v>no_contradiction_delta</x:v>
      </x:c>
      <x:c r="AC1611" s="12" t="str">
        <x:f>IF(OR(ISNUMBER(SEARCH("hacker",LOWER(F1611&amp;" "&amp;H1611&amp;" "&amp;I1611&amp;" "&amp;M1611&amp;" "&amp;N1611&amp;" "&amp;T1611))),ISNUMBER(SEARCH("hacking",LOWER(F1611&amp;" "&amp;H1611&amp;" "&amp;I1611&amp;" "&amp;M1611&amp;" "&amp;N1611&amp;" "&amp;T1611))),ISNUMBER(SEARCH("bank",LOWER(F1611&amp;" "&amp;H1611&amp;" "&amp;I1611&amp;" "&amp;M1611&amp;" "&amp;N1611&amp;" "&amp;T1611))),ISNUMBER(SEARCH("banking",LOWER(F1611&amp;" "&amp;H1611&amp;" "&amp;I1611&amp;" "&amp;M1611&amp;" "&amp;N1611&amp;" "&amp;T1611)))),"PRIVATE_QUARANTINE",IF(OR(ISNUMBER(SEARCH("treasury",LOWER(F1611&amp;" "&amp;H1611&amp;" "&amp;I1611&amp;" "&amp;M1611&amp;" "&amp;N1611&amp;" "&amp;T1611))),ISNUMBER(SEARCH("debt",LOWER(F1611&amp;" "&amp;H1611&amp;" "&amp;I1611&amp;" "&amp;M1611&amp;" "&amp;N1611&amp;" "&amp;T1611))),ISNUMBER(SEARCH("bond",LOWER(F1611&amp;" "&amp;H1611&amp;" "&amp;I1611&amp;" "&amp;M1611&amp;" "&amp;N1611&amp;" "&amp;T1611))),ISNUMBER(SEARCH("transaction",LOWER(F1611&amp;" "&amp;H1611&amp;" "&amp;I1611&amp;" "&amp;M1611&amp;" "&amp;N1611&amp;" "&amp;T1611)))),"PRIVATE_REVIEW","PUBLIC_CANDIDATE"))</x:f>
        <x:v>PUBLIC_CANDIDATE</x:v>
      </x:c>
      <x:c r="AD1611" s="12" t="str">
        <x:f>IF(AC1611="PRIVATE_QUARANTINE","hacker_or_bank_trigger",IF(AC1611="PRIVATE_REVIEW","finance_risk_trigger","none"))</x:f>
        <x:v>none</x:v>
      </x:c>
      <x:c r="AE1611" s="12" t="str">
        <x:f>IF(AC1611="PUBLIC_CANDIDATE","prepare_public_github_candidate",IF(AC1611="PRIVATE_REVIEW","hold_for_private_review","quarantine_private_do_not_publish"))</x:f>
        <x:v>prepare_public_github_candidate</x:v>
      </x:c>
      <x:c r="AF1611" s="12" t="str">
        <x:f>IF(AC1611="PUBLIC_CANDIDATE","TIDELOCK + Lucerna",IF(AC1611="PRIVATE_REVIEW","AtlasBrain + Lucerna","TIDELOCK + Lucerna + Human-root"))</x:f>
        <x:v>TIDELOCK + Lucerna</x:v>
      </x:c>
      <x:c r="AG1611" s="12" t="str">
        <x:f>IF(AND(AC1611="PUBLIC_CANDIDATE",U1611&lt;&gt;"BLOCKED_PENDING_RECEIPT"),"READY_AFTER_RECEIPT","NOT_READY")</x:f>
        <x:v>NOT_READY</x:v>
      </x:c>
      <x:c r="AH1611" s="12" t="str">
        <x:f>IF(AC1611="PUBLIC_CANDIDATE","none",AD1611)</x:f>
        <x:v>none</x:v>
      </x:c>
      <x:c r="AI1611" s="12" t="str">
        <x:f>IF(AC1611="PUBLIC_CANDIDATE","archive/public_candidates/"&amp;A1611,"private_quarantine/"&amp;A1611)</x:f>
        <x:v>archive/public_candidates/SWARM-12-H03-S02</x:v>
      </x:c>
      <x:c r="AJ1611" s="12" t="str">
        <x:f>IF(AC1611="PUBLIC_CANDIDATE","public by default; still not canon","private/hold; do not publish")</x:f>
        <x:v>public by default; still not canon</x:v>
      </x:c>
      <x:c r="AK1611" s="12" t="str">
        <x:f>IF(AE1611="prepare_public_github_candidate","add receipt/status then mirror","resolve blocker before any public GitHub action")</x:f>
        <x:v>add receipt/status then mirror</x:v>
      </x:c>
    </x:row>
    <x:row r="1612">
      <x:c r="A1612" s="15" t="str">
        <x:v>SWARM-12-H03-S03</x:v>
      </x:c>
      <x:c r="B1612" s="15" t="str">
        <x:v>JoySignal</x:v>
      </x:c>
      <x:c r="C1612" s="15" t="str">
        <x:v>Rest and morale keeper</x:v>
      </x:c>
      <x:c r="D1612" s="15" t="str">
        <x:v>Raw Export Recovery</x:v>
      </x:c>
      <x:c r="E1612" s="15" t="str">
        <x:v>GitHub</x:v>
      </x:c>
      <x:c r="F1612" s="15" t="str">
        <x:v>Recover raw exports for GitHub — JoySignal</x:v>
      </x:c>
      <x:c r="G1612" s="15" t="str">
        <x:v>cadence / anti-burnout / safe completion language</x:v>
      </x:c>
      <x:c r="H1612" s="15" t="str">
        <x:v>source path + receipt + raw/export status + claim/edge/risk delta</x:v>
      </x:c>
      <x:c r="I1612" s="15" t="str">
        <x:v>packet/SWARM-12-H03-S03</x:v>
      </x:c>
      <x:c r="J1612" s="15" t="str">
        <x:v>TODO</x:v>
      </x:c>
      <x:c r="K1612" s="15" t="str">
        <x:v>P0</x:v>
      </x:c>
      <x:c r="L1612" s="15" t="str">
        <x:v>Done only when evidence is logged, contradiction search is noted, and boundary stamp remains non-canon unless ratified</x:v>
      </x:c>
      <x:c r="M1612" s="15" t="str">
        <x:v>candidate / staging-only / not canon / not deployed / authority none</x:v>
      </x:c>
      <x:c r="N1612" s="15" t="str">
        <x:v>Dispatch to JoySignal: complete Raw Export Recovery x GitHub; return deltas only, receipts required.</x:v>
      </x:c>
      <x:c r="O1612" s="15" t="str">
        <x:v>AF-KG-H03-S03</x:v>
      </x:c>
      <x:c r="P1612" s="15" t="str">
        <x:v>Unverified</x:v>
      </x:c>
      <x:c r="Q1612" s="15" t="str">
        <x:v>Not checked</x:v>
      </x:c>
      <x:c r="R1612" s="15" t="str"/>
      <x:c r="S1612" s="15" t="str"/>
      <x:c r="T1612" s="15" t="str">
        <x:v>Log first source path or blocker</x:v>
      </x:c>
      <x:c r="U1612" s="12" t="str">
        <x:f>IF(OR(P1612="Unverified",Q1612="Not checked"),"BLOCKED_PENDING_RECEIPT","READY_FOR_REVIEW")</x:f>
        <x:v>BLOCKED_PENDING_RECEIPT</x:v>
      </x:c>
      <x:c r="V1612" s="12" t="str">
        <x:f>IF(J1612="DONE","RETURNED",IF(U1612="BLOCKED_PENDING_RECEIPT","SOURCE_TOUCH_REQUIRED","IN_PROGRESS"))</x:f>
        <x:v>SOURCE_TOUCH_REQUIRED</x:v>
      </x:c>
      <x:c r="W1612" s="12" t="str">
        <x:f>IF(P1612="Unverified","missing_receipt","receipt_logged")</x:f>
        <x:v>missing_receipt</x:v>
      </x:c>
      <x:c r="X1612" s="12" t="str">
        <x:f>IF(Q1612="Not checked","raw_status_missing","raw_status_logged")</x:f>
        <x:v>raw_status_missing</x:v>
      </x:c>
      <x:c r="Y1612" s="12" t="str">
        <x:f>IF(U1612="BLOCKED_PENDING_RECEIPT","Log source path or blocker; do not promote","Route to review lane")</x:f>
        <x:v>Log source path or blocker; do not promote</x:v>
      </x:c>
      <x:c r="Z1612" s="12" t="str">
        <x:f>IF(K1612="P0","Primary seat + Hashlight/Lucerna","Seat lane")</x:f>
        <x:v>Primary seat + Hashlight/Lucerna</x:v>
      </x:c>
      <x:c r="AA1612" s="12" t="str">
        <x:f>IF(R1612="","no_claim_delta","claim_delta_present")</x:f>
        <x:v>no_claim_delta</x:v>
      </x:c>
      <x:c r="AB1612" s="12" t="str">
        <x:f>IF(S1612="","no_contradiction_delta","contradiction_delta_present")</x:f>
        <x:v>no_contradiction_delta</x:v>
      </x:c>
      <x:c r="AC1612" s="12" t="str">
        <x:f>IF(OR(ISNUMBER(SEARCH("hacker",LOWER(F1612&amp;" "&amp;H1612&amp;" "&amp;I1612&amp;" "&amp;M1612&amp;" "&amp;N1612&amp;" "&amp;T1612))),ISNUMBER(SEARCH("hacking",LOWER(F1612&amp;" "&amp;H1612&amp;" "&amp;I1612&amp;" "&amp;M1612&amp;" "&amp;N1612&amp;" "&amp;T1612))),ISNUMBER(SEARCH("bank",LOWER(F1612&amp;" "&amp;H1612&amp;" "&amp;I1612&amp;" "&amp;M1612&amp;" "&amp;N1612&amp;" "&amp;T1612))),ISNUMBER(SEARCH("banking",LOWER(F1612&amp;" "&amp;H1612&amp;" "&amp;I1612&amp;" "&amp;M1612&amp;" "&amp;N1612&amp;" "&amp;T1612)))),"PRIVATE_QUARANTINE",IF(OR(ISNUMBER(SEARCH("treasury",LOWER(F1612&amp;" "&amp;H1612&amp;" "&amp;I1612&amp;" "&amp;M1612&amp;" "&amp;N1612&amp;" "&amp;T1612))),ISNUMBER(SEARCH("debt",LOWER(F1612&amp;" "&amp;H1612&amp;" "&amp;I1612&amp;" "&amp;M1612&amp;" "&amp;N1612&amp;" "&amp;T1612))),ISNUMBER(SEARCH("bond",LOWER(F1612&amp;" "&amp;H1612&amp;" "&amp;I1612&amp;" "&amp;M1612&amp;" "&amp;N1612&amp;" "&amp;T1612))),ISNUMBER(SEARCH("transaction",LOWER(F1612&amp;" "&amp;H1612&amp;" "&amp;I1612&amp;" "&amp;M1612&amp;" "&amp;N1612&amp;" "&amp;T1612)))),"PRIVATE_REVIEW","PUBLIC_CANDIDATE"))</x:f>
        <x:v>PUBLIC_CANDIDATE</x:v>
      </x:c>
      <x:c r="AD1612" s="12" t="str">
        <x:f>IF(AC1612="PRIVATE_QUARANTINE","hacker_or_bank_trigger",IF(AC1612="PRIVATE_REVIEW","finance_risk_trigger","none"))</x:f>
        <x:v>none</x:v>
      </x:c>
      <x:c r="AE1612" s="12" t="str">
        <x:f>IF(AC1612="PUBLIC_CANDIDATE","prepare_public_github_candidate",IF(AC1612="PRIVATE_REVIEW","hold_for_private_review","quarantine_private_do_not_publish"))</x:f>
        <x:v>prepare_public_github_candidate</x:v>
      </x:c>
      <x:c r="AF1612" s="12" t="str">
        <x:f>IF(AC1612="PUBLIC_CANDIDATE","TIDELOCK + Lucerna",IF(AC1612="PRIVATE_REVIEW","AtlasBrain + Lucerna","TIDELOCK + Lucerna + Human-root"))</x:f>
        <x:v>TIDELOCK + Lucerna</x:v>
      </x:c>
      <x:c r="AG1612" s="12" t="str">
        <x:f>IF(AND(AC1612="PUBLIC_CANDIDATE",U1612&lt;&gt;"BLOCKED_PENDING_RECEIPT"),"READY_AFTER_RECEIPT","NOT_READY")</x:f>
        <x:v>NOT_READY</x:v>
      </x:c>
      <x:c r="AH1612" s="12" t="str">
        <x:f>IF(AC1612="PUBLIC_CANDIDATE","none",AD1612)</x:f>
        <x:v>none</x:v>
      </x:c>
      <x:c r="AI1612" s="12" t="str">
        <x:f>IF(AC1612="PUBLIC_CANDIDATE","archive/public_candidates/"&amp;A1612,"private_quarantine/"&amp;A1612)</x:f>
        <x:v>archive/public_candidates/SWARM-12-H03-S03</x:v>
      </x:c>
      <x:c r="AJ1612" s="12" t="str">
        <x:f>IF(AC1612="PUBLIC_CANDIDATE","public by default; still not canon","private/hold; do not publish")</x:f>
        <x:v>public by default; still not canon</x:v>
      </x:c>
      <x:c r="AK1612" s="12" t="str">
        <x:f>IF(AE1612="prepare_public_github_candidate","add receipt/status then mirror","resolve blocker before any public GitHub action")</x:f>
        <x:v>add receipt/status then mirror</x:v>
      </x:c>
    </x:row>
    <x:row r="1613">
      <x:c r="A1613" s="15" t="str">
        <x:v>SWARM-12-H03-S04</x:v>
      </x:c>
      <x:c r="B1613" s="15" t="str">
        <x:v>JoySignal</x:v>
      </x:c>
      <x:c r="C1613" s="15" t="str">
        <x:v>Rest and morale keeper</x:v>
      </x:c>
      <x:c r="D1613" s="15" t="str">
        <x:v>Raw Export Recovery</x:v>
      </x:c>
      <x:c r="E1613" s="15" t="str">
        <x:v>Gamma</x:v>
      </x:c>
      <x:c r="F1613" s="15" t="str">
        <x:v>Recover raw exports for Gamma — JoySignal</x:v>
      </x:c>
      <x:c r="G1613" s="15" t="str">
        <x:v>cadence / anti-burnout / safe completion language</x:v>
      </x:c>
      <x:c r="H1613" s="15" t="str">
        <x:v>source path + receipt + raw/export status + claim/edge/risk delta</x:v>
      </x:c>
      <x:c r="I1613" s="15" t="str">
        <x:v>packet/SWARM-12-H03-S04</x:v>
      </x:c>
      <x:c r="J1613" s="15" t="str">
        <x:v>TODO</x:v>
      </x:c>
      <x:c r="K1613" s="15" t="str">
        <x:v>P1</x:v>
      </x:c>
      <x:c r="L1613" s="15" t="str">
        <x:v>Done only when evidence is logged, contradiction search is noted, and boundary stamp remains non-canon unless ratified</x:v>
      </x:c>
      <x:c r="M1613" s="15" t="str">
        <x:v>candidate / staging-only / not canon / not deployed / authority none</x:v>
      </x:c>
      <x:c r="N1613" s="15" t="str">
        <x:v>Dispatch to JoySignal: complete Raw Export Recovery x Gamma; return deltas only, receipts required.</x:v>
      </x:c>
      <x:c r="O1613" s="15" t="str">
        <x:v>AF-KG-H03-S04</x:v>
      </x:c>
      <x:c r="P1613" s="15" t="str">
        <x:v>Unverified</x:v>
      </x:c>
      <x:c r="Q1613" s="15" t="str">
        <x:v>Not checked</x:v>
      </x:c>
      <x:c r="R1613" s="15" t="str"/>
      <x:c r="S1613" s="15" t="str"/>
      <x:c r="T1613" s="15" t="str">
        <x:v>Log first source path or blocker</x:v>
      </x:c>
      <x:c r="U1613" s="12" t="str">
        <x:f>IF(OR(P1613="Unverified",Q1613="Not checked"),"BLOCKED_PENDING_RECEIPT","READY_FOR_REVIEW")</x:f>
        <x:v>BLOCKED_PENDING_RECEIPT</x:v>
      </x:c>
      <x:c r="V1613" s="12" t="str">
        <x:f>IF(J1613="DONE","RETURNED",IF(U1613="BLOCKED_PENDING_RECEIPT","SOURCE_TOUCH_REQUIRED","IN_PROGRESS"))</x:f>
        <x:v>SOURCE_TOUCH_REQUIRED</x:v>
      </x:c>
      <x:c r="W1613" s="12" t="str">
        <x:f>IF(P1613="Unverified","missing_receipt","receipt_logged")</x:f>
        <x:v>missing_receipt</x:v>
      </x:c>
      <x:c r="X1613" s="12" t="str">
        <x:f>IF(Q1613="Not checked","raw_status_missing","raw_status_logged")</x:f>
        <x:v>raw_status_missing</x:v>
      </x:c>
      <x:c r="Y1613" s="12" t="str">
        <x:f>IF(U1613="BLOCKED_PENDING_RECEIPT","Log source path or blocker; do not promote","Route to review lane")</x:f>
        <x:v>Log source path or blocker; do not promote</x:v>
      </x:c>
      <x:c r="Z1613" s="12" t="str">
        <x:f>IF(K1613="P0","Primary seat + Hashlight/Lucerna","Seat lane")</x:f>
        <x:v>Seat lane</x:v>
      </x:c>
      <x:c r="AA1613" s="12" t="str">
        <x:f>IF(R1613="","no_claim_delta","claim_delta_present")</x:f>
        <x:v>no_claim_delta</x:v>
      </x:c>
      <x:c r="AB1613" s="12" t="str">
        <x:f>IF(S1613="","no_contradiction_delta","contradiction_delta_present")</x:f>
        <x:v>no_contradiction_delta</x:v>
      </x:c>
      <x:c r="AC1613" s="12" t="str">
        <x:f>IF(OR(ISNUMBER(SEARCH("hacker",LOWER(F1613&amp;" "&amp;H1613&amp;" "&amp;I1613&amp;" "&amp;M1613&amp;" "&amp;N1613&amp;" "&amp;T1613))),ISNUMBER(SEARCH("hacking",LOWER(F1613&amp;" "&amp;H1613&amp;" "&amp;I1613&amp;" "&amp;M1613&amp;" "&amp;N1613&amp;" "&amp;T1613))),ISNUMBER(SEARCH("bank",LOWER(F1613&amp;" "&amp;H1613&amp;" "&amp;I1613&amp;" "&amp;M1613&amp;" "&amp;N1613&amp;" "&amp;T1613))),ISNUMBER(SEARCH("banking",LOWER(F1613&amp;" "&amp;H1613&amp;" "&amp;I1613&amp;" "&amp;M1613&amp;" "&amp;N1613&amp;" "&amp;T1613)))),"PRIVATE_QUARANTINE",IF(OR(ISNUMBER(SEARCH("treasury",LOWER(F1613&amp;" "&amp;H1613&amp;" "&amp;I1613&amp;" "&amp;M1613&amp;" "&amp;N1613&amp;" "&amp;T1613))),ISNUMBER(SEARCH("debt",LOWER(F1613&amp;" "&amp;H1613&amp;" "&amp;I1613&amp;" "&amp;M1613&amp;" "&amp;N1613&amp;" "&amp;T1613))),ISNUMBER(SEARCH("bond",LOWER(F1613&amp;" "&amp;H1613&amp;" "&amp;I1613&amp;" "&amp;M1613&amp;" "&amp;N1613&amp;" "&amp;T1613))),ISNUMBER(SEARCH("transaction",LOWER(F1613&amp;" "&amp;H1613&amp;" "&amp;I1613&amp;" "&amp;M1613&amp;" "&amp;N1613&amp;" "&amp;T1613)))),"PRIVATE_REVIEW","PUBLIC_CANDIDATE"))</x:f>
        <x:v>PUBLIC_CANDIDATE</x:v>
      </x:c>
      <x:c r="AD1613" s="12" t="str">
        <x:f>IF(AC1613="PRIVATE_QUARANTINE","hacker_or_bank_trigger",IF(AC1613="PRIVATE_REVIEW","finance_risk_trigger","none"))</x:f>
        <x:v>none</x:v>
      </x:c>
      <x:c r="AE1613" s="12" t="str">
        <x:f>IF(AC1613="PUBLIC_CANDIDATE","prepare_public_github_candidate",IF(AC1613="PRIVATE_REVIEW","hold_for_private_review","quarantine_private_do_not_publish"))</x:f>
        <x:v>prepare_public_github_candidate</x:v>
      </x:c>
      <x:c r="AF1613" s="12" t="str">
        <x:f>IF(AC1613="PUBLIC_CANDIDATE","TIDELOCK + Lucerna",IF(AC1613="PRIVATE_REVIEW","AtlasBrain + Lucerna","TIDELOCK + Lucerna + Human-root"))</x:f>
        <x:v>TIDELOCK + Lucerna</x:v>
      </x:c>
      <x:c r="AG1613" s="12" t="str">
        <x:f>IF(AND(AC1613="PUBLIC_CANDIDATE",U1613&lt;&gt;"BLOCKED_PENDING_RECEIPT"),"READY_AFTER_RECEIPT","NOT_READY")</x:f>
        <x:v>NOT_READY</x:v>
      </x:c>
      <x:c r="AH1613" s="12" t="str">
        <x:f>IF(AC1613="PUBLIC_CANDIDATE","none",AD1613)</x:f>
        <x:v>none</x:v>
      </x:c>
      <x:c r="AI1613" s="12" t="str">
        <x:f>IF(AC1613="PUBLIC_CANDIDATE","archive/public_candidates/"&amp;A1613,"private_quarantine/"&amp;A1613)</x:f>
        <x:v>archive/public_candidates/SWARM-12-H03-S04</x:v>
      </x:c>
      <x:c r="AJ1613" s="12" t="str">
        <x:f>IF(AC1613="PUBLIC_CANDIDATE","public by default; still not canon","private/hold; do not publish")</x:f>
        <x:v>public by default; still not canon</x:v>
      </x:c>
      <x:c r="AK1613" s="12" t="str">
        <x:f>IF(AE1613="prepare_public_github_candidate","add receipt/status then mirror","resolve blocker before any public GitHub action")</x:f>
        <x:v>add receipt/status then mirror</x:v>
      </x:c>
    </x:row>
    <x:row r="1614">
      <x:c r="A1614" s="15" t="str">
        <x:v>SWARM-12-H03-S05</x:v>
      </x:c>
      <x:c r="B1614" s="15" t="str">
        <x:v>JoySignal</x:v>
      </x:c>
      <x:c r="C1614" s="15" t="str">
        <x:v>Rest and morale keeper</x:v>
      </x:c>
      <x:c r="D1614" s="15" t="str">
        <x:v>Raw Export Recovery</x:v>
      </x:c>
      <x:c r="E1614" s="15" t="str">
        <x:v>Chat</x:v>
      </x:c>
      <x:c r="F1614" s="15" t="str">
        <x:v>Recover raw exports for Chat — JoySignal</x:v>
      </x:c>
      <x:c r="G1614" s="15" t="str">
        <x:v>cadence / anti-burnout / safe completion language</x:v>
      </x:c>
      <x:c r="H1614" s="15" t="str">
        <x:v>source path + receipt + raw/export status + claim/edge/risk delta</x:v>
      </x:c>
      <x:c r="I1614" s="15" t="str">
        <x:v>packet/SWARM-12-H03-S05</x:v>
      </x:c>
      <x:c r="J1614" s="15" t="str">
        <x:v>TODO</x:v>
      </x:c>
      <x:c r="K1614" s="15" t="str">
        <x:v>P1</x:v>
      </x:c>
      <x:c r="L1614" s="15" t="str">
        <x:v>Done only when evidence is logged, contradiction search is noted, and boundary stamp remains non-canon unless ratified</x:v>
      </x:c>
      <x:c r="M1614" s="15" t="str">
        <x:v>candidate / staging-only / not canon / not deployed / authority none</x:v>
      </x:c>
      <x:c r="N1614" s="15" t="str">
        <x:v>Dispatch to JoySignal: complete Raw Export Recovery x Chat; return deltas only, receipts required.</x:v>
      </x:c>
      <x:c r="O1614" s="15" t="str">
        <x:v>AF-KG-H03-S05</x:v>
      </x:c>
      <x:c r="P1614" s="15" t="str">
        <x:v>Unverified</x:v>
      </x:c>
      <x:c r="Q1614" s="15" t="str">
        <x:v>Not checked</x:v>
      </x:c>
      <x:c r="R1614" s="15" t="str"/>
      <x:c r="S1614" s="15" t="str"/>
      <x:c r="T1614" s="15" t="str">
        <x:v>Log first source path or blocker</x:v>
      </x:c>
      <x:c r="U1614" s="12" t="str">
        <x:f>IF(OR(P1614="Unverified",Q1614="Not checked"),"BLOCKED_PENDING_RECEIPT","READY_FOR_REVIEW")</x:f>
        <x:v>BLOCKED_PENDING_RECEIPT</x:v>
      </x:c>
      <x:c r="V1614" s="12" t="str">
        <x:f>IF(J1614="DONE","RETURNED",IF(U1614="BLOCKED_PENDING_RECEIPT","SOURCE_TOUCH_REQUIRED","IN_PROGRESS"))</x:f>
        <x:v>SOURCE_TOUCH_REQUIRED</x:v>
      </x:c>
      <x:c r="W1614" s="12" t="str">
        <x:f>IF(P1614="Unverified","missing_receipt","receipt_logged")</x:f>
        <x:v>missing_receipt</x:v>
      </x:c>
      <x:c r="X1614" s="12" t="str">
        <x:f>IF(Q1614="Not checked","raw_status_missing","raw_status_logged")</x:f>
        <x:v>raw_status_missing</x:v>
      </x:c>
      <x:c r="Y1614" s="12" t="str">
        <x:f>IF(U1614="BLOCKED_PENDING_RECEIPT","Log source path or blocker; do not promote","Route to review lane")</x:f>
        <x:v>Log source path or blocker; do not promote</x:v>
      </x:c>
      <x:c r="Z1614" s="12" t="str">
        <x:f>IF(K1614="P0","Primary seat + Hashlight/Lucerna","Seat lane")</x:f>
        <x:v>Seat lane</x:v>
      </x:c>
      <x:c r="AA1614" s="12" t="str">
        <x:f>IF(R1614="","no_claim_delta","claim_delta_present")</x:f>
        <x:v>no_claim_delta</x:v>
      </x:c>
      <x:c r="AB1614" s="12" t="str">
        <x:f>IF(S1614="","no_contradiction_delta","contradiction_delta_present")</x:f>
        <x:v>no_contradiction_delta</x:v>
      </x:c>
      <x:c r="AC1614" s="12" t="str">
        <x:f>IF(OR(ISNUMBER(SEARCH("hacker",LOWER(F1614&amp;" "&amp;H1614&amp;" "&amp;I1614&amp;" "&amp;M1614&amp;" "&amp;N1614&amp;" "&amp;T1614))),ISNUMBER(SEARCH("hacking",LOWER(F1614&amp;" "&amp;H1614&amp;" "&amp;I1614&amp;" "&amp;M1614&amp;" "&amp;N1614&amp;" "&amp;T1614))),ISNUMBER(SEARCH("bank",LOWER(F1614&amp;" "&amp;H1614&amp;" "&amp;I1614&amp;" "&amp;M1614&amp;" "&amp;N1614&amp;" "&amp;T1614))),ISNUMBER(SEARCH("banking",LOWER(F1614&amp;" "&amp;H1614&amp;" "&amp;I1614&amp;" "&amp;M1614&amp;" "&amp;N1614&amp;" "&amp;T1614)))),"PRIVATE_QUARANTINE",IF(OR(ISNUMBER(SEARCH("treasury",LOWER(F1614&amp;" "&amp;H1614&amp;" "&amp;I1614&amp;" "&amp;M1614&amp;" "&amp;N1614&amp;" "&amp;T1614))),ISNUMBER(SEARCH("debt",LOWER(F1614&amp;" "&amp;H1614&amp;" "&amp;I1614&amp;" "&amp;M1614&amp;" "&amp;N1614&amp;" "&amp;T1614))),ISNUMBER(SEARCH("bond",LOWER(F1614&amp;" "&amp;H1614&amp;" "&amp;I1614&amp;" "&amp;M1614&amp;" "&amp;N1614&amp;" "&amp;T1614))),ISNUMBER(SEARCH("transaction",LOWER(F1614&amp;" "&amp;H1614&amp;" "&amp;I1614&amp;" "&amp;M1614&amp;" "&amp;N1614&amp;" "&amp;T1614)))),"PRIVATE_REVIEW","PUBLIC_CANDIDATE"))</x:f>
        <x:v>PUBLIC_CANDIDATE</x:v>
      </x:c>
      <x:c r="AD1614" s="12" t="str">
        <x:f>IF(AC1614="PRIVATE_QUARANTINE","hacker_or_bank_trigger",IF(AC1614="PRIVATE_REVIEW","finance_risk_trigger","none"))</x:f>
        <x:v>none</x:v>
      </x:c>
      <x:c r="AE1614" s="12" t="str">
        <x:f>IF(AC1614="PUBLIC_CANDIDATE","prepare_public_github_candidate",IF(AC1614="PRIVATE_REVIEW","hold_for_private_review","quarantine_private_do_not_publish"))</x:f>
        <x:v>prepare_public_github_candidate</x:v>
      </x:c>
      <x:c r="AF1614" s="12" t="str">
        <x:f>IF(AC1614="PUBLIC_CANDIDATE","TIDELOCK + Lucerna",IF(AC1614="PRIVATE_REVIEW","AtlasBrain + Lucerna","TIDELOCK + Lucerna + Human-root"))</x:f>
        <x:v>TIDELOCK + Lucerna</x:v>
      </x:c>
      <x:c r="AG1614" s="12" t="str">
        <x:f>IF(AND(AC1614="PUBLIC_CANDIDATE",U1614&lt;&gt;"BLOCKED_PENDING_RECEIPT"),"READY_AFTER_RECEIPT","NOT_READY")</x:f>
        <x:v>NOT_READY</x:v>
      </x:c>
      <x:c r="AH1614" s="12" t="str">
        <x:f>IF(AC1614="PUBLIC_CANDIDATE","none",AD1614)</x:f>
        <x:v>none</x:v>
      </x:c>
      <x:c r="AI1614" s="12" t="str">
        <x:f>IF(AC1614="PUBLIC_CANDIDATE","archive/public_candidates/"&amp;A1614,"private_quarantine/"&amp;A1614)</x:f>
        <x:v>archive/public_candidates/SWARM-12-H03-S05</x:v>
      </x:c>
      <x:c r="AJ1614" s="12" t="str">
        <x:f>IF(AC1614="PUBLIC_CANDIDATE","public by default; still not canon","private/hold; do not publish")</x:f>
        <x:v>public by default; still not canon</x:v>
      </x:c>
      <x:c r="AK1614" s="12" t="str">
        <x:f>IF(AE1614="prepare_public_github_candidate","add receipt/status then mirror","resolve blocker before any public GitHub action")</x:f>
        <x:v>add receipt/status then mirror</x:v>
      </x:c>
    </x:row>
    <x:row r="1615">
      <x:c r="A1615" s="15" t="str">
        <x:v>SWARM-12-H03-S06</x:v>
      </x:c>
      <x:c r="B1615" s="15" t="str">
        <x:v>JoySignal</x:v>
      </x:c>
      <x:c r="C1615" s="15" t="str">
        <x:v>Rest and morale keeper</x:v>
      </x:c>
      <x:c r="D1615" s="15" t="str">
        <x:v>Raw Export Recovery</x:v>
      </x:c>
      <x:c r="E1615" s="15" t="str">
        <x:v>External Web</x:v>
      </x:c>
      <x:c r="F1615" s="15" t="str">
        <x:v>Recover raw exports for External Web — JoySignal</x:v>
      </x:c>
      <x:c r="G1615" s="15" t="str">
        <x:v>cadence / anti-burnout / safe completion language</x:v>
      </x:c>
      <x:c r="H1615" s="15" t="str">
        <x:v>source path + receipt + raw/export status + claim/edge/risk delta</x:v>
      </x:c>
      <x:c r="I1615" s="15" t="str">
        <x:v>packet/SWARM-12-H03-S06</x:v>
      </x:c>
      <x:c r="J1615" s="15" t="str">
        <x:v>TODO</x:v>
      </x:c>
      <x:c r="K1615" s="15" t="str">
        <x:v>P1</x:v>
      </x:c>
      <x:c r="L1615" s="15" t="str">
        <x:v>Done only when evidence is logged, contradiction search is noted, and boundary stamp remains non-canon unless ratified</x:v>
      </x:c>
      <x:c r="M1615" s="15" t="str">
        <x:v>candidate / staging-only / not canon / not deployed / authority none</x:v>
      </x:c>
      <x:c r="N1615" s="15" t="str">
        <x:v>Dispatch to JoySignal: complete Raw Export Recovery x External Web; return deltas only, receipts required.</x:v>
      </x:c>
      <x:c r="O1615" s="15" t="str">
        <x:v>AF-KG-H03-S06</x:v>
      </x:c>
      <x:c r="P1615" s="15" t="str">
        <x:v>Unverified</x:v>
      </x:c>
      <x:c r="Q1615" s="15" t="str">
        <x:v>Not checked</x:v>
      </x:c>
      <x:c r="R1615" s="15" t="str"/>
      <x:c r="S1615" s="15" t="str"/>
      <x:c r="T1615" s="15" t="str">
        <x:v>Log first source path or blocker</x:v>
      </x:c>
      <x:c r="U1615" s="12" t="str">
        <x:f>IF(OR(P1615="Unverified",Q1615="Not checked"),"BLOCKED_PENDING_RECEIPT","READY_FOR_REVIEW")</x:f>
        <x:v>BLOCKED_PENDING_RECEIPT</x:v>
      </x:c>
      <x:c r="V1615" s="12" t="str">
        <x:f>IF(J1615="DONE","RETURNED",IF(U1615="BLOCKED_PENDING_RECEIPT","SOURCE_TOUCH_REQUIRED","IN_PROGRESS"))</x:f>
        <x:v>SOURCE_TOUCH_REQUIRED</x:v>
      </x:c>
      <x:c r="W1615" s="12" t="str">
        <x:f>IF(P1615="Unverified","missing_receipt","receipt_logged")</x:f>
        <x:v>missing_receipt</x:v>
      </x:c>
      <x:c r="X1615" s="12" t="str">
        <x:f>IF(Q1615="Not checked","raw_status_missing","raw_status_logged")</x:f>
        <x:v>raw_status_missing</x:v>
      </x:c>
      <x:c r="Y1615" s="12" t="str">
        <x:f>IF(U1615="BLOCKED_PENDING_RECEIPT","Log source path or blocker; do not promote","Route to review lane")</x:f>
        <x:v>Log source path or blocker; do not promote</x:v>
      </x:c>
      <x:c r="Z1615" s="12" t="str">
        <x:f>IF(K1615="P0","Primary seat + Hashlight/Lucerna","Seat lane")</x:f>
        <x:v>Seat lane</x:v>
      </x:c>
      <x:c r="AA1615" s="12" t="str">
        <x:f>IF(R1615="","no_claim_delta","claim_delta_present")</x:f>
        <x:v>no_claim_delta</x:v>
      </x:c>
      <x:c r="AB1615" s="12" t="str">
        <x:f>IF(S1615="","no_contradiction_delta","contradiction_delta_present")</x:f>
        <x:v>no_contradiction_delta</x:v>
      </x:c>
      <x:c r="AC1615" s="12" t="str">
        <x:f>IF(OR(ISNUMBER(SEARCH("hacker",LOWER(F1615&amp;" "&amp;H1615&amp;" "&amp;I1615&amp;" "&amp;M1615&amp;" "&amp;N1615&amp;" "&amp;T1615))),ISNUMBER(SEARCH("hacking",LOWER(F1615&amp;" "&amp;H1615&amp;" "&amp;I1615&amp;" "&amp;M1615&amp;" "&amp;N1615&amp;" "&amp;T1615))),ISNUMBER(SEARCH("bank",LOWER(F1615&amp;" "&amp;H1615&amp;" "&amp;I1615&amp;" "&amp;M1615&amp;" "&amp;N1615&amp;" "&amp;T1615))),ISNUMBER(SEARCH("banking",LOWER(F1615&amp;" "&amp;H1615&amp;" "&amp;I1615&amp;" "&amp;M1615&amp;" "&amp;N1615&amp;" "&amp;T1615)))),"PRIVATE_QUARANTINE",IF(OR(ISNUMBER(SEARCH("treasury",LOWER(F1615&amp;" "&amp;H1615&amp;" "&amp;I1615&amp;" "&amp;M1615&amp;" "&amp;N1615&amp;" "&amp;T1615))),ISNUMBER(SEARCH("debt",LOWER(F1615&amp;" "&amp;H1615&amp;" "&amp;I1615&amp;" "&amp;M1615&amp;" "&amp;N1615&amp;" "&amp;T1615))),ISNUMBER(SEARCH("bond",LOWER(F1615&amp;" "&amp;H1615&amp;" "&amp;I1615&amp;" "&amp;M1615&amp;" "&amp;N1615&amp;" "&amp;T1615))),ISNUMBER(SEARCH("transaction",LOWER(F1615&amp;" "&amp;H1615&amp;" "&amp;I1615&amp;" "&amp;M1615&amp;" "&amp;N1615&amp;" "&amp;T1615)))),"PRIVATE_REVIEW","PUBLIC_CANDIDATE"))</x:f>
        <x:v>PUBLIC_CANDIDATE</x:v>
      </x:c>
      <x:c r="AD1615" s="12" t="str">
        <x:f>IF(AC1615="PRIVATE_QUARANTINE","hacker_or_bank_trigger",IF(AC1615="PRIVATE_REVIEW","finance_risk_trigger","none"))</x:f>
        <x:v>none</x:v>
      </x:c>
      <x:c r="AE1615" s="12" t="str">
        <x:f>IF(AC1615="PUBLIC_CANDIDATE","prepare_public_github_candidate",IF(AC1615="PRIVATE_REVIEW","hold_for_private_review","quarantine_private_do_not_publish"))</x:f>
        <x:v>prepare_public_github_candidate</x:v>
      </x:c>
      <x:c r="AF1615" s="12" t="str">
        <x:f>IF(AC1615="PUBLIC_CANDIDATE","TIDELOCK + Lucerna",IF(AC1615="PRIVATE_REVIEW","AtlasBrain + Lucerna","TIDELOCK + Lucerna + Human-root"))</x:f>
        <x:v>TIDELOCK + Lucerna</x:v>
      </x:c>
      <x:c r="AG1615" s="12" t="str">
        <x:f>IF(AND(AC1615="PUBLIC_CANDIDATE",U1615&lt;&gt;"BLOCKED_PENDING_RECEIPT"),"READY_AFTER_RECEIPT","NOT_READY")</x:f>
        <x:v>NOT_READY</x:v>
      </x:c>
      <x:c r="AH1615" s="12" t="str">
        <x:f>IF(AC1615="PUBLIC_CANDIDATE","none",AD1615)</x:f>
        <x:v>none</x:v>
      </x:c>
      <x:c r="AI1615" s="12" t="str">
        <x:f>IF(AC1615="PUBLIC_CANDIDATE","archive/public_candidates/"&amp;A1615,"private_quarantine/"&amp;A1615)</x:f>
        <x:v>archive/public_candidates/SWARM-12-H03-S06</x:v>
      </x:c>
      <x:c r="AJ1615" s="12" t="str">
        <x:f>IF(AC1615="PUBLIC_CANDIDATE","public by default; still not canon","private/hold; do not publish")</x:f>
        <x:v>public by default; still not canon</x:v>
      </x:c>
      <x:c r="AK1615" s="12" t="str">
        <x:f>IF(AE1615="prepare_public_github_candidate","add receipt/status then mirror","resolve blocker before any public GitHub action")</x:f>
        <x:v>add receipt/status then mirror</x:v>
      </x:c>
    </x:row>
    <x:row r="1616">
      <x:c r="A1616" s="15" t="str">
        <x:v>SWARM-12-H03-S07</x:v>
      </x:c>
      <x:c r="B1616" s="15" t="str">
        <x:v>JoySignal</x:v>
      </x:c>
      <x:c r="C1616" s="15" t="str">
        <x:v>Rest and morale keeper</x:v>
      </x:c>
      <x:c r="D1616" s="15" t="str">
        <x:v>Raw Export Recovery</x:v>
      </x:c>
      <x:c r="E1616" s="15" t="str">
        <x:v>Planetarium</x:v>
      </x:c>
      <x:c r="F1616" s="15" t="str">
        <x:v>Recover raw exports for Planetarium — JoySignal</x:v>
      </x:c>
      <x:c r="G1616" s="15" t="str">
        <x:v>cadence / anti-burnout / safe completion language</x:v>
      </x:c>
      <x:c r="H1616" s="15" t="str">
        <x:v>source path + receipt + raw/export status + claim/edge/risk delta</x:v>
      </x:c>
      <x:c r="I1616" s="15" t="str">
        <x:v>packet/SWARM-12-H03-S07</x:v>
      </x:c>
      <x:c r="J1616" s="15" t="str">
        <x:v>TODO</x:v>
      </x:c>
      <x:c r="K1616" s="15" t="str">
        <x:v>P1</x:v>
      </x:c>
      <x:c r="L1616" s="15" t="str">
        <x:v>Done only when evidence is logged, contradiction search is noted, and boundary stamp remains non-canon unless ratified</x:v>
      </x:c>
      <x:c r="M1616" s="15" t="str">
        <x:v>candidate / staging-only / not canon / not deployed / authority none</x:v>
      </x:c>
      <x:c r="N1616" s="15" t="str">
        <x:v>Dispatch to JoySignal: complete Raw Export Recovery x Planetarium; return deltas only, receipts required.</x:v>
      </x:c>
      <x:c r="O1616" s="15" t="str">
        <x:v>AF-KG-H03-S07</x:v>
      </x:c>
      <x:c r="P1616" s="15" t="str">
        <x:v>Unverified</x:v>
      </x:c>
      <x:c r="Q1616" s="15" t="str">
        <x:v>Not checked</x:v>
      </x:c>
      <x:c r="R1616" s="15" t="str"/>
      <x:c r="S1616" s="15" t="str"/>
      <x:c r="T1616" s="15" t="str">
        <x:v>Log first source path or blocker</x:v>
      </x:c>
      <x:c r="U1616" s="12" t="str">
        <x:f>IF(OR(P1616="Unverified",Q1616="Not checked"),"BLOCKED_PENDING_RECEIPT","READY_FOR_REVIEW")</x:f>
        <x:v>BLOCKED_PENDING_RECEIPT</x:v>
      </x:c>
      <x:c r="V1616" s="12" t="str">
        <x:f>IF(J1616="DONE","RETURNED",IF(U1616="BLOCKED_PENDING_RECEIPT","SOURCE_TOUCH_REQUIRED","IN_PROGRESS"))</x:f>
        <x:v>SOURCE_TOUCH_REQUIRED</x:v>
      </x:c>
      <x:c r="W1616" s="12" t="str">
        <x:f>IF(P1616="Unverified","missing_receipt","receipt_logged")</x:f>
        <x:v>missing_receipt</x:v>
      </x:c>
      <x:c r="X1616" s="12" t="str">
        <x:f>IF(Q1616="Not checked","raw_status_missing","raw_status_logged")</x:f>
        <x:v>raw_status_missing</x:v>
      </x:c>
      <x:c r="Y1616" s="12" t="str">
        <x:f>IF(U1616="BLOCKED_PENDING_RECEIPT","Log source path or blocker; do not promote","Route to review lane")</x:f>
        <x:v>Log source path or blocker; do not promote</x:v>
      </x:c>
      <x:c r="Z1616" s="12" t="str">
        <x:f>IF(K1616="P0","Primary seat + Hashlight/Lucerna","Seat lane")</x:f>
        <x:v>Seat lane</x:v>
      </x:c>
      <x:c r="AA1616" s="12" t="str">
        <x:f>IF(R1616="","no_claim_delta","claim_delta_present")</x:f>
        <x:v>no_claim_delta</x:v>
      </x:c>
      <x:c r="AB1616" s="12" t="str">
        <x:f>IF(S1616="","no_contradiction_delta","contradiction_delta_present")</x:f>
        <x:v>no_contradiction_delta</x:v>
      </x:c>
      <x:c r="AC1616" s="12" t="str">
        <x:f>IF(OR(ISNUMBER(SEARCH("hacker",LOWER(F1616&amp;" "&amp;H1616&amp;" "&amp;I1616&amp;" "&amp;M1616&amp;" "&amp;N1616&amp;" "&amp;T1616))),ISNUMBER(SEARCH("hacking",LOWER(F1616&amp;" "&amp;H1616&amp;" "&amp;I1616&amp;" "&amp;M1616&amp;" "&amp;N1616&amp;" "&amp;T1616))),ISNUMBER(SEARCH("bank",LOWER(F1616&amp;" "&amp;H1616&amp;" "&amp;I1616&amp;" "&amp;M1616&amp;" "&amp;N1616&amp;" "&amp;T1616))),ISNUMBER(SEARCH("banking",LOWER(F1616&amp;" "&amp;H1616&amp;" "&amp;I1616&amp;" "&amp;M1616&amp;" "&amp;N1616&amp;" "&amp;T1616)))),"PRIVATE_QUARANTINE",IF(OR(ISNUMBER(SEARCH("treasury",LOWER(F1616&amp;" "&amp;H1616&amp;" "&amp;I1616&amp;" "&amp;M1616&amp;" "&amp;N1616&amp;" "&amp;T1616))),ISNUMBER(SEARCH("debt",LOWER(F1616&amp;" "&amp;H1616&amp;" "&amp;I1616&amp;" "&amp;M1616&amp;" "&amp;N1616&amp;" "&amp;T1616))),ISNUMBER(SEARCH("bond",LOWER(F1616&amp;" "&amp;H1616&amp;" "&amp;I1616&amp;" "&amp;M1616&amp;" "&amp;N1616&amp;" "&amp;T1616))),ISNUMBER(SEARCH("transaction",LOWER(F1616&amp;" "&amp;H1616&amp;" "&amp;I1616&amp;" "&amp;M1616&amp;" "&amp;N1616&amp;" "&amp;T1616)))),"PRIVATE_REVIEW","PUBLIC_CANDIDATE"))</x:f>
        <x:v>PUBLIC_CANDIDATE</x:v>
      </x:c>
      <x:c r="AD1616" s="12" t="str">
        <x:f>IF(AC1616="PRIVATE_QUARANTINE","hacker_or_bank_trigger",IF(AC1616="PRIVATE_REVIEW","finance_risk_trigger","none"))</x:f>
        <x:v>none</x:v>
      </x:c>
      <x:c r="AE1616" s="12" t="str">
        <x:f>IF(AC1616="PUBLIC_CANDIDATE","prepare_public_github_candidate",IF(AC1616="PRIVATE_REVIEW","hold_for_private_review","quarantine_private_do_not_publish"))</x:f>
        <x:v>prepare_public_github_candidate</x:v>
      </x:c>
      <x:c r="AF1616" s="12" t="str">
        <x:f>IF(AC1616="PUBLIC_CANDIDATE","TIDELOCK + Lucerna",IF(AC1616="PRIVATE_REVIEW","AtlasBrain + Lucerna","TIDELOCK + Lucerna + Human-root"))</x:f>
        <x:v>TIDELOCK + Lucerna</x:v>
      </x:c>
      <x:c r="AG1616" s="12" t="str">
        <x:f>IF(AND(AC1616="PUBLIC_CANDIDATE",U1616&lt;&gt;"BLOCKED_PENDING_RECEIPT"),"READY_AFTER_RECEIPT","NOT_READY")</x:f>
        <x:v>NOT_READY</x:v>
      </x:c>
      <x:c r="AH1616" s="12" t="str">
        <x:f>IF(AC1616="PUBLIC_CANDIDATE","none",AD1616)</x:f>
        <x:v>none</x:v>
      </x:c>
      <x:c r="AI1616" s="12" t="str">
        <x:f>IF(AC1616="PUBLIC_CANDIDATE","archive/public_candidates/"&amp;A1616,"private_quarantine/"&amp;A1616)</x:f>
        <x:v>archive/public_candidates/SWARM-12-H03-S07</x:v>
      </x:c>
      <x:c r="AJ1616" s="12" t="str">
        <x:f>IF(AC1616="PUBLIC_CANDIDATE","public by default; still not canon","private/hold; do not publish")</x:f>
        <x:v>public by default; still not canon</x:v>
      </x:c>
      <x:c r="AK1616" s="12" t="str">
        <x:f>IF(AE1616="prepare_public_github_candidate","add receipt/status then mirror","resolve blocker before any public GitHub action")</x:f>
        <x:v>add receipt/status then mirror</x:v>
      </x:c>
    </x:row>
    <x:row r="1617">
      <x:c r="A1617" s="15" t="str">
        <x:v>SWARM-12-H03-S08</x:v>
      </x:c>
      <x:c r="B1617" s="15" t="str">
        <x:v>JoySignal</x:v>
      </x:c>
      <x:c r="C1617" s="15" t="str">
        <x:v>Rest and morale keeper</x:v>
      </x:c>
      <x:c r="D1617" s="15" t="str">
        <x:v>Raw Export Recovery</x:v>
      </x:c>
      <x:c r="E1617" s="15" t="str">
        <x:v>Sheldonbrain</x:v>
      </x:c>
      <x:c r="F1617" s="15" t="str">
        <x:v>Recover raw exports for Sheldonbrain — JoySignal</x:v>
      </x:c>
      <x:c r="G1617" s="15" t="str">
        <x:v>cadence / anti-burnout / safe completion language</x:v>
      </x:c>
      <x:c r="H1617" s="15" t="str">
        <x:v>source path + receipt + raw/export status + claim/edge/risk delta</x:v>
      </x:c>
      <x:c r="I1617" s="15" t="str">
        <x:v>packet/SWARM-12-H03-S08</x:v>
      </x:c>
      <x:c r="J1617" s="15" t="str">
        <x:v>TODO</x:v>
      </x:c>
      <x:c r="K1617" s="15" t="str">
        <x:v>P1</x:v>
      </x:c>
      <x:c r="L1617" s="15" t="str">
        <x:v>Done only when evidence is logged, contradiction search is noted, and boundary stamp remains non-canon unless ratified</x:v>
      </x:c>
      <x:c r="M1617" s="15" t="str">
        <x:v>candidate / staging-only / not canon / not deployed / authority none</x:v>
      </x:c>
      <x:c r="N1617" s="15" t="str">
        <x:v>Dispatch to JoySignal: complete Raw Export Recovery x Sheldonbrain; return deltas only, receipts required.</x:v>
      </x:c>
      <x:c r="O1617" s="15" t="str">
        <x:v>AF-KG-H03-S08</x:v>
      </x:c>
      <x:c r="P1617" s="15" t="str">
        <x:v>Unverified</x:v>
      </x:c>
      <x:c r="Q1617" s="15" t="str">
        <x:v>Not checked</x:v>
      </x:c>
      <x:c r="R1617" s="15" t="str"/>
      <x:c r="S1617" s="15" t="str"/>
      <x:c r="T1617" s="15" t="str">
        <x:v>Log first source path or blocker</x:v>
      </x:c>
      <x:c r="U1617" s="12" t="str">
        <x:f>IF(OR(P1617="Unverified",Q1617="Not checked"),"BLOCKED_PENDING_RECEIPT","READY_FOR_REVIEW")</x:f>
        <x:v>BLOCKED_PENDING_RECEIPT</x:v>
      </x:c>
      <x:c r="V1617" s="12" t="str">
        <x:f>IF(J1617="DONE","RETURNED",IF(U1617="BLOCKED_PENDING_RECEIPT","SOURCE_TOUCH_REQUIRED","IN_PROGRESS"))</x:f>
        <x:v>SOURCE_TOUCH_REQUIRED</x:v>
      </x:c>
      <x:c r="W1617" s="12" t="str">
        <x:f>IF(P1617="Unverified","missing_receipt","receipt_logged")</x:f>
        <x:v>missing_receipt</x:v>
      </x:c>
      <x:c r="X1617" s="12" t="str">
        <x:f>IF(Q1617="Not checked","raw_status_missing","raw_status_logged")</x:f>
        <x:v>raw_status_missing</x:v>
      </x:c>
      <x:c r="Y1617" s="12" t="str">
        <x:f>IF(U1617="BLOCKED_PENDING_RECEIPT","Log source path or blocker; do not promote","Route to review lane")</x:f>
        <x:v>Log source path or blocker; do not promote</x:v>
      </x:c>
      <x:c r="Z1617" s="12" t="str">
        <x:f>IF(K1617="P0","Primary seat + Hashlight/Lucerna","Seat lane")</x:f>
        <x:v>Seat lane</x:v>
      </x:c>
      <x:c r="AA1617" s="12" t="str">
        <x:f>IF(R1617="","no_claim_delta","claim_delta_present")</x:f>
        <x:v>no_claim_delta</x:v>
      </x:c>
      <x:c r="AB1617" s="12" t="str">
        <x:f>IF(S1617="","no_contradiction_delta","contradiction_delta_present")</x:f>
        <x:v>no_contradiction_delta</x:v>
      </x:c>
      <x:c r="AC1617" s="12" t="str">
        <x:f>IF(OR(ISNUMBER(SEARCH("hacker",LOWER(F1617&amp;" "&amp;H1617&amp;" "&amp;I1617&amp;" "&amp;M1617&amp;" "&amp;N1617&amp;" "&amp;T1617))),ISNUMBER(SEARCH("hacking",LOWER(F1617&amp;" "&amp;H1617&amp;" "&amp;I1617&amp;" "&amp;M1617&amp;" "&amp;N1617&amp;" "&amp;T1617))),ISNUMBER(SEARCH("bank",LOWER(F1617&amp;" "&amp;H1617&amp;" "&amp;I1617&amp;" "&amp;M1617&amp;" "&amp;N1617&amp;" "&amp;T1617))),ISNUMBER(SEARCH("banking",LOWER(F1617&amp;" "&amp;H1617&amp;" "&amp;I1617&amp;" "&amp;M1617&amp;" "&amp;N1617&amp;" "&amp;T1617)))),"PRIVATE_QUARANTINE",IF(OR(ISNUMBER(SEARCH("treasury",LOWER(F1617&amp;" "&amp;H1617&amp;" "&amp;I1617&amp;" "&amp;M1617&amp;" "&amp;N1617&amp;" "&amp;T1617))),ISNUMBER(SEARCH("debt",LOWER(F1617&amp;" "&amp;H1617&amp;" "&amp;I1617&amp;" "&amp;M1617&amp;" "&amp;N1617&amp;" "&amp;T1617))),ISNUMBER(SEARCH("bond",LOWER(F1617&amp;" "&amp;H1617&amp;" "&amp;I1617&amp;" "&amp;M1617&amp;" "&amp;N1617&amp;" "&amp;T1617))),ISNUMBER(SEARCH("transaction",LOWER(F1617&amp;" "&amp;H1617&amp;" "&amp;I1617&amp;" "&amp;M1617&amp;" "&amp;N1617&amp;" "&amp;T1617)))),"PRIVATE_REVIEW","PUBLIC_CANDIDATE"))</x:f>
        <x:v>PUBLIC_CANDIDATE</x:v>
      </x:c>
      <x:c r="AD1617" s="12" t="str">
        <x:f>IF(AC1617="PRIVATE_QUARANTINE","hacker_or_bank_trigger",IF(AC1617="PRIVATE_REVIEW","finance_risk_trigger","none"))</x:f>
        <x:v>none</x:v>
      </x:c>
      <x:c r="AE1617" s="12" t="str">
        <x:f>IF(AC1617="PUBLIC_CANDIDATE","prepare_public_github_candidate",IF(AC1617="PRIVATE_REVIEW","hold_for_private_review","quarantine_private_do_not_publish"))</x:f>
        <x:v>prepare_public_github_candidate</x:v>
      </x:c>
      <x:c r="AF1617" s="12" t="str">
        <x:f>IF(AC1617="PUBLIC_CANDIDATE","TIDELOCK + Lucerna",IF(AC1617="PRIVATE_REVIEW","AtlasBrain + Lucerna","TIDELOCK + Lucerna + Human-root"))</x:f>
        <x:v>TIDELOCK + Lucerna</x:v>
      </x:c>
      <x:c r="AG1617" s="12" t="str">
        <x:f>IF(AND(AC1617="PUBLIC_CANDIDATE",U1617&lt;&gt;"BLOCKED_PENDING_RECEIPT"),"READY_AFTER_RECEIPT","NOT_READY")</x:f>
        <x:v>NOT_READY</x:v>
      </x:c>
      <x:c r="AH1617" s="12" t="str">
        <x:f>IF(AC1617="PUBLIC_CANDIDATE","none",AD1617)</x:f>
        <x:v>none</x:v>
      </x:c>
      <x:c r="AI1617" s="12" t="str">
        <x:f>IF(AC1617="PUBLIC_CANDIDATE","archive/public_candidates/"&amp;A1617,"private_quarantine/"&amp;A1617)</x:f>
        <x:v>archive/public_candidates/SWARM-12-H03-S08</x:v>
      </x:c>
      <x:c r="AJ1617" s="12" t="str">
        <x:f>IF(AC1617="PUBLIC_CANDIDATE","public by default; still not canon","private/hold; do not publish")</x:f>
        <x:v>public by default; still not canon</x:v>
      </x:c>
      <x:c r="AK1617" s="12" t="str">
        <x:f>IF(AE1617="prepare_public_github_candidate","add receipt/status then mirror","resolve blocker before any public GitHub action")</x:f>
        <x:v>add receipt/status then mirror</x:v>
      </x:c>
    </x:row>
    <x:row r="1618">
      <x:c r="A1618" s="15" t="str">
        <x:v>SWARM-12-H03-S09</x:v>
      </x:c>
      <x:c r="B1618" s="15" t="str">
        <x:v>JoySignal</x:v>
      </x:c>
      <x:c r="C1618" s="15" t="str">
        <x:v>Rest and morale keeper</x:v>
      </x:c>
      <x:c r="D1618" s="15" t="str">
        <x:v>Raw Export Recovery</x:v>
      </x:c>
      <x:c r="E1618" s="15" t="str">
        <x:v>Aetherforge</x:v>
      </x:c>
      <x:c r="F1618" s="15" t="str">
        <x:v>Recover raw exports for Aetherforge — JoySignal</x:v>
      </x:c>
      <x:c r="G1618" s="15" t="str">
        <x:v>cadence / anti-burnout / safe completion language</x:v>
      </x:c>
      <x:c r="H1618" s="15" t="str">
        <x:v>source path + receipt + raw/export status + claim/edge/risk delta</x:v>
      </x:c>
      <x:c r="I1618" s="15" t="str">
        <x:v>packet/SWARM-12-H03-S09</x:v>
      </x:c>
      <x:c r="J1618" s="15" t="str">
        <x:v>TODO</x:v>
      </x:c>
      <x:c r="K1618" s="15" t="str">
        <x:v>P2</x:v>
      </x:c>
      <x:c r="L1618" s="15" t="str">
        <x:v>Done only when evidence is logged, contradiction search is noted, and boundary stamp remains non-canon unless ratified</x:v>
      </x:c>
      <x:c r="M1618" s="15" t="str">
        <x:v>candidate / staging-only / not canon / not deployed / authority none</x:v>
      </x:c>
      <x:c r="N1618" s="15" t="str">
        <x:v>Dispatch to JoySignal: complete Raw Export Recovery x Aetherforge; return deltas only, receipts required.</x:v>
      </x:c>
      <x:c r="O1618" s="15" t="str">
        <x:v>AF-KG-H03-S09</x:v>
      </x:c>
      <x:c r="P1618" s="15" t="str">
        <x:v>Unverified</x:v>
      </x:c>
      <x:c r="Q1618" s="15" t="str">
        <x:v>Not checked</x:v>
      </x:c>
      <x:c r="R1618" s="15" t="str"/>
      <x:c r="S1618" s="15" t="str"/>
      <x:c r="T1618" s="15" t="str">
        <x:v>Log first source path or blocker</x:v>
      </x:c>
      <x:c r="U1618" s="12" t="str">
        <x:f>IF(OR(P1618="Unverified",Q1618="Not checked"),"BLOCKED_PENDING_RECEIPT","READY_FOR_REVIEW")</x:f>
        <x:v>BLOCKED_PENDING_RECEIPT</x:v>
      </x:c>
      <x:c r="V1618" s="12" t="str">
        <x:f>IF(J1618="DONE","RETURNED",IF(U1618="BLOCKED_PENDING_RECEIPT","SOURCE_TOUCH_REQUIRED","IN_PROGRESS"))</x:f>
        <x:v>SOURCE_TOUCH_REQUIRED</x:v>
      </x:c>
      <x:c r="W1618" s="12" t="str">
        <x:f>IF(P1618="Unverified","missing_receipt","receipt_logged")</x:f>
        <x:v>missing_receipt</x:v>
      </x:c>
      <x:c r="X1618" s="12" t="str">
        <x:f>IF(Q1618="Not checked","raw_status_missing","raw_status_logged")</x:f>
        <x:v>raw_status_missing</x:v>
      </x:c>
      <x:c r="Y1618" s="12" t="str">
        <x:f>IF(U1618="BLOCKED_PENDING_RECEIPT","Log source path or blocker; do not promote","Route to review lane")</x:f>
        <x:v>Log source path or blocker; do not promote</x:v>
      </x:c>
      <x:c r="Z1618" s="12" t="str">
        <x:f>IF(K1618="P0","Primary seat + Hashlight/Lucerna","Seat lane")</x:f>
        <x:v>Seat lane</x:v>
      </x:c>
      <x:c r="AA1618" s="12" t="str">
        <x:f>IF(R1618="","no_claim_delta","claim_delta_present")</x:f>
        <x:v>no_claim_delta</x:v>
      </x:c>
      <x:c r="AB1618" s="12" t="str">
        <x:f>IF(S1618="","no_contradiction_delta","contradiction_delta_present")</x:f>
        <x:v>no_contradiction_delta</x:v>
      </x:c>
      <x:c r="AC1618" s="12" t="str">
        <x:f>IF(OR(ISNUMBER(SEARCH("hacker",LOWER(F1618&amp;" "&amp;H1618&amp;" "&amp;I1618&amp;" "&amp;M1618&amp;" "&amp;N1618&amp;" "&amp;T1618))),ISNUMBER(SEARCH("hacking",LOWER(F1618&amp;" "&amp;H1618&amp;" "&amp;I1618&amp;" "&amp;M1618&amp;" "&amp;N1618&amp;" "&amp;T1618))),ISNUMBER(SEARCH("bank",LOWER(F1618&amp;" "&amp;H1618&amp;" "&amp;I1618&amp;" "&amp;M1618&amp;" "&amp;N1618&amp;" "&amp;T1618))),ISNUMBER(SEARCH("banking",LOWER(F1618&amp;" "&amp;H1618&amp;" "&amp;I1618&amp;" "&amp;M1618&amp;" "&amp;N1618&amp;" "&amp;T1618)))),"PRIVATE_QUARANTINE",IF(OR(ISNUMBER(SEARCH("treasury",LOWER(F1618&amp;" "&amp;H1618&amp;" "&amp;I1618&amp;" "&amp;M1618&amp;" "&amp;N1618&amp;" "&amp;T1618))),ISNUMBER(SEARCH("debt",LOWER(F1618&amp;" "&amp;H1618&amp;" "&amp;I1618&amp;" "&amp;M1618&amp;" "&amp;N1618&amp;" "&amp;T1618))),ISNUMBER(SEARCH("bond",LOWER(F1618&amp;" "&amp;H1618&amp;" "&amp;I1618&amp;" "&amp;M1618&amp;" "&amp;N1618&amp;" "&amp;T1618))),ISNUMBER(SEARCH("transaction",LOWER(F1618&amp;" "&amp;H1618&amp;" "&amp;I1618&amp;" "&amp;M1618&amp;" "&amp;N1618&amp;" "&amp;T1618)))),"PRIVATE_REVIEW","PUBLIC_CANDIDATE"))</x:f>
        <x:v>PUBLIC_CANDIDATE</x:v>
      </x:c>
      <x:c r="AD1618" s="12" t="str">
        <x:f>IF(AC1618="PRIVATE_QUARANTINE","hacker_or_bank_trigger",IF(AC1618="PRIVATE_REVIEW","finance_risk_trigger","none"))</x:f>
        <x:v>none</x:v>
      </x:c>
      <x:c r="AE1618" s="12" t="str">
        <x:f>IF(AC1618="PUBLIC_CANDIDATE","prepare_public_github_candidate",IF(AC1618="PRIVATE_REVIEW","hold_for_private_review","quarantine_private_do_not_publish"))</x:f>
        <x:v>prepare_public_github_candidate</x:v>
      </x:c>
      <x:c r="AF1618" s="12" t="str">
        <x:f>IF(AC1618="PUBLIC_CANDIDATE","TIDELOCK + Lucerna",IF(AC1618="PRIVATE_REVIEW","AtlasBrain + Lucerna","TIDELOCK + Lucerna + Human-root"))</x:f>
        <x:v>TIDELOCK + Lucerna</x:v>
      </x:c>
      <x:c r="AG1618" s="12" t="str">
        <x:f>IF(AND(AC1618="PUBLIC_CANDIDATE",U1618&lt;&gt;"BLOCKED_PENDING_RECEIPT"),"READY_AFTER_RECEIPT","NOT_READY")</x:f>
        <x:v>NOT_READY</x:v>
      </x:c>
      <x:c r="AH1618" s="12" t="str">
        <x:f>IF(AC1618="PUBLIC_CANDIDATE","none",AD1618)</x:f>
        <x:v>none</x:v>
      </x:c>
      <x:c r="AI1618" s="12" t="str">
        <x:f>IF(AC1618="PUBLIC_CANDIDATE","archive/public_candidates/"&amp;A1618,"private_quarantine/"&amp;A1618)</x:f>
        <x:v>archive/public_candidates/SWARM-12-H03-S09</x:v>
      </x:c>
      <x:c r="AJ1618" s="12" t="str">
        <x:f>IF(AC1618="PUBLIC_CANDIDATE","public by default; still not canon","private/hold; do not publish")</x:f>
        <x:v>public by default; still not canon</x:v>
      </x:c>
      <x:c r="AK1618" s="12" t="str">
        <x:f>IF(AE1618="prepare_public_github_candidate","add receipt/status then mirror","resolve blocker before any public GitHub action")</x:f>
        <x:v>add receipt/status then mirror</x:v>
      </x:c>
    </x:row>
    <x:row r="1619">
      <x:c r="A1619" s="15" t="str">
        <x:v>SWARM-12-H03-S10</x:v>
      </x:c>
      <x:c r="B1619" s="15" t="str">
        <x:v>JoySignal</x:v>
      </x:c>
      <x:c r="C1619" s="15" t="str">
        <x:v>Rest and morale keeper</x:v>
      </x:c>
      <x:c r="D1619" s="15" t="str">
        <x:v>Raw Export Recovery</x:v>
      </x:c>
      <x:c r="E1619" s="15" t="str">
        <x:v>Human-Root</x:v>
      </x:c>
      <x:c r="F1619" s="15" t="str">
        <x:v>Recover raw exports for Human-Root — JoySignal</x:v>
      </x:c>
      <x:c r="G1619" s="15" t="str">
        <x:v>cadence / anti-burnout / safe completion language</x:v>
      </x:c>
      <x:c r="H1619" s="15" t="str">
        <x:v>source path + receipt + raw/export status + claim/edge/risk delta</x:v>
      </x:c>
      <x:c r="I1619" s="15" t="str">
        <x:v>packet/SWARM-12-H03-S10</x:v>
      </x:c>
      <x:c r="J1619" s="15" t="str">
        <x:v>TODO</x:v>
      </x:c>
      <x:c r="K1619" s="15" t="str">
        <x:v>P2</x:v>
      </x:c>
      <x:c r="L1619" s="15" t="str">
        <x:v>Done only when evidence is logged, contradiction search is noted, and boundary stamp remains non-canon unless ratified</x:v>
      </x:c>
      <x:c r="M1619" s="15" t="str">
        <x:v>candidate / staging-only / not canon / not deployed / authority none</x:v>
      </x:c>
      <x:c r="N1619" s="15" t="str">
        <x:v>Dispatch to JoySignal: complete Raw Export Recovery x Human-Root; return deltas only, receipts required.</x:v>
      </x:c>
      <x:c r="O1619" s="15" t="str">
        <x:v>AF-KG-H03-S10</x:v>
      </x:c>
      <x:c r="P1619" s="15" t="str">
        <x:v>Unverified</x:v>
      </x:c>
      <x:c r="Q1619" s="15" t="str">
        <x:v>Not checked</x:v>
      </x:c>
      <x:c r="R1619" s="15" t="str"/>
      <x:c r="S1619" s="15" t="str"/>
      <x:c r="T1619" s="15" t="str">
        <x:v>Log first source path or blocker</x:v>
      </x:c>
      <x:c r="U1619" s="12" t="str">
        <x:f>IF(OR(P1619="Unverified",Q1619="Not checked"),"BLOCKED_PENDING_RECEIPT","READY_FOR_REVIEW")</x:f>
        <x:v>BLOCKED_PENDING_RECEIPT</x:v>
      </x:c>
      <x:c r="V1619" s="12" t="str">
        <x:f>IF(J1619="DONE","RETURNED",IF(U1619="BLOCKED_PENDING_RECEIPT","SOURCE_TOUCH_REQUIRED","IN_PROGRESS"))</x:f>
        <x:v>SOURCE_TOUCH_REQUIRED</x:v>
      </x:c>
      <x:c r="W1619" s="12" t="str">
        <x:f>IF(P1619="Unverified","missing_receipt","receipt_logged")</x:f>
        <x:v>missing_receipt</x:v>
      </x:c>
      <x:c r="X1619" s="12" t="str">
        <x:f>IF(Q1619="Not checked","raw_status_missing","raw_status_logged")</x:f>
        <x:v>raw_status_missing</x:v>
      </x:c>
      <x:c r="Y1619" s="12" t="str">
        <x:f>IF(U1619="BLOCKED_PENDING_RECEIPT","Log source path or blocker; do not promote","Route to review lane")</x:f>
        <x:v>Log source path or blocker; do not promote</x:v>
      </x:c>
      <x:c r="Z1619" s="12" t="str">
        <x:f>IF(K1619="P0","Primary seat + Hashlight/Lucerna","Seat lane")</x:f>
        <x:v>Seat lane</x:v>
      </x:c>
      <x:c r="AA1619" s="12" t="str">
        <x:f>IF(R1619="","no_claim_delta","claim_delta_present")</x:f>
        <x:v>no_claim_delta</x:v>
      </x:c>
      <x:c r="AB1619" s="12" t="str">
        <x:f>IF(S1619="","no_contradiction_delta","contradiction_delta_present")</x:f>
        <x:v>no_contradiction_delta</x:v>
      </x:c>
      <x:c r="AC1619" s="12" t="str">
        <x:f>IF(OR(ISNUMBER(SEARCH("hacker",LOWER(F1619&amp;" "&amp;H1619&amp;" "&amp;I1619&amp;" "&amp;M1619&amp;" "&amp;N1619&amp;" "&amp;T1619))),ISNUMBER(SEARCH("hacking",LOWER(F1619&amp;" "&amp;H1619&amp;" "&amp;I1619&amp;" "&amp;M1619&amp;" "&amp;N1619&amp;" "&amp;T1619))),ISNUMBER(SEARCH("bank",LOWER(F1619&amp;" "&amp;H1619&amp;" "&amp;I1619&amp;" "&amp;M1619&amp;" "&amp;N1619&amp;" "&amp;T1619))),ISNUMBER(SEARCH("banking",LOWER(F1619&amp;" "&amp;H1619&amp;" "&amp;I1619&amp;" "&amp;M1619&amp;" "&amp;N1619&amp;" "&amp;T1619)))),"PRIVATE_QUARANTINE",IF(OR(ISNUMBER(SEARCH("treasury",LOWER(F1619&amp;" "&amp;H1619&amp;" "&amp;I1619&amp;" "&amp;M1619&amp;" "&amp;N1619&amp;" "&amp;T1619))),ISNUMBER(SEARCH("debt",LOWER(F1619&amp;" "&amp;H1619&amp;" "&amp;I1619&amp;" "&amp;M1619&amp;" "&amp;N1619&amp;" "&amp;T1619))),ISNUMBER(SEARCH("bond",LOWER(F1619&amp;" "&amp;H1619&amp;" "&amp;I1619&amp;" "&amp;M1619&amp;" "&amp;N1619&amp;" "&amp;T1619))),ISNUMBER(SEARCH("transaction",LOWER(F1619&amp;" "&amp;H1619&amp;" "&amp;I1619&amp;" "&amp;M1619&amp;" "&amp;N1619&amp;" "&amp;T1619)))),"PRIVATE_REVIEW","PUBLIC_CANDIDATE"))</x:f>
        <x:v>PUBLIC_CANDIDATE</x:v>
      </x:c>
      <x:c r="AD1619" s="12" t="str">
        <x:f>IF(AC1619="PRIVATE_QUARANTINE","hacker_or_bank_trigger",IF(AC1619="PRIVATE_REVIEW","finance_risk_trigger","none"))</x:f>
        <x:v>none</x:v>
      </x:c>
      <x:c r="AE1619" s="12" t="str">
        <x:f>IF(AC1619="PUBLIC_CANDIDATE","prepare_public_github_candidate",IF(AC1619="PRIVATE_REVIEW","hold_for_private_review","quarantine_private_do_not_publish"))</x:f>
        <x:v>prepare_public_github_candidate</x:v>
      </x:c>
      <x:c r="AF1619" s="12" t="str">
        <x:f>IF(AC1619="PUBLIC_CANDIDATE","TIDELOCK + Lucerna",IF(AC1619="PRIVATE_REVIEW","AtlasBrain + Lucerna","TIDELOCK + Lucerna + Human-root"))</x:f>
        <x:v>TIDELOCK + Lucerna</x:v>
      </x:c>
      <x:c r="AG1619" s="12" t="str">
        <x:f>IF(AND(AC1619="PUBLIC_CANDIDATE",U1619&lt;&gt;"BLOCKED_PENDING_RECEIPT"),"READY_AFTER_RECEIPT","NOT_READY")</x:f>
        <x:v>NOT_READY</x:v>
      </x:c>
      <x:c r="AH1619" s="12" t="str">
        <x:f>IF(AC1619="PUBLIC_CANDIDATE","none",AD1619)</x:f>
        <x:v>none</x:v>
      </x:c>
      <x:c r="AI1619" s="12" t="str">
        <x:f>IF(AC1619="PUBLIC_CANDIDATE","archive/public_candidates/"&amp;A1619,"private_quarantine/"&amp;A1619)</x:f>
        <x:v>archive/public_candidates/SWARM-12-H03-S10</x:v>
      </x:c>
      <x:c r="AJ1619" s="12" t="str">
        <x:f>IF(AC1619="PUBLIC_CANDIDATE","public by default; still not canon","private/hold; do not publish")</x:f>
        <x:v>public by default; still not canon</x:v>
      </x:c>
      <x:c r="AK1619" s="12" t="str">
        <x:f>IF(AE1619="prepare_public_github_candidate","add receipt/status then mirror","resolve blocker before any public GitHub action")</x:f>
        <x:v>add receipt/status then mirror</x:v>
      </x:c>
    </x:row>
    <x:row r="1620">
      <x:c r="A1620" s="15" t="str">
        <x:v>SWARM-12-H03-S11</x:v>
      </x:c>
      <x:c r="B1620" s="15" t="str">
        <x:v>JoySignal</x:v>
      </x:c>
      <x:c r="C1620" s="15" t="str">
        <x:v>Rest and morale keeper</x:v>
      </x:c>
      <x:c r="D1620" s="15" t="str">
        <x:v>Raw Export Recovery</x:v>
      </x:c>
      <x:c r="E1620" s="15" t="str">
        <x:v>Automation</x:v>
      </x:c>
      <x:c r="F1620" s="15" t="str">
        <x:v>Recover raw exports for Automation — JoySignal</x:v>
      </x:c>
      <x:c r="G1620" s="15" t="str">
        <x:v>cadence / anti-burnout / safe completion language</x:v>
      </x:c>
      <x:c r="H1620" s="15" t="str">
        <x:v>source path + receipt + raw/export status + claim/edge/risk delta</x:v>
      </x:c>
      <x:c r="I1620" s="15" t="str">
        <x:v>packet/SWARM-12-H03-S11</x:v>
      </x:c>
      <x:c r="J1620" s="15" t="str">
        <x:v>TODO</x:v>
      </x:c>
      <x:c r="K1620" s="15" t="str">
        <x:v>P2</x:v>
      </x:c>
      <x:c r="L1620" s="15" t="str">
        <x:v>Done only when evidence is logged, contradiction search is noted, and boundary stamp remains non-canon unless ratified</x:v>
      </x:c>
      <x:c r="M1620" s="15" t="str">
        <x:v>candidate / staging-only / not canon / not deployed / authority none</x:v>
      </x:c>
      <x:c r="N1620" s="15" t="str">
        <x:v>Dispatch to JoySignal: complete Raw Export Recovery x Automation; return deltas only, receipts required.</x:v>
      </x:c>
      <x:c r="O1620" s="15" t="str">
        <x:v>AF-KG-H03-S11</x:v>
      </x:c>
      <x:c r="P1620" s="15" t="str">
        <x:v>Unverified</x:v>
      </x:c>
      <x:c r="Q1620" s="15" t="str">
        <x:v>Not checked</x:v>
      </x:c>
      <x:c r="R1620" s="15" t="str"/>
      <x:c r="S1620" s="15" t="str"/>
      <x:c r="T1620" s="15" t="str">
        <x:v>Log first source path or blocker</x:v>
      </x:c>
      <x:c r="U1620" s="12" t="str">
        <x:f>IF(OR(P1620="Unverified",Q1620="Not checked"),"BLOCKED_PENDING_RECEIPT","READY_FOR_REVIEW")</x:f>
        <x:v>BLOCKED_PENDING_RECEIPT</x:v>
      </x:c>
      <x:c r="V1620" s="12" t="str">
        <x:f>IF(J1620="DONE","RETURNED",IF(U1620="BLOCKED_PENDING_RECEIPT","SOURCE_TOUCH_REQUIRED","IN_PROGRESS"))</x:f>
        <x:v>SOURCE_TOUCH_REQUIRED</x:v>
      </x:c>
      <x:c r="W1620" s="12" t="str">
        <x:f>IF(P1620="Unverified","missing_receipt","receipt_logged")</x:f>
        <x:v>missing_receipt</x:v>
      </x:c>
      <x:c r="X1620" s="12" t="str">
        <x:f>IF(Q1620="Not checked","raw_status_missing","raw_status_logged")</x:f>
        <x:v>raw_status_missing</x:v>
      </x:c>
      <x:c r="Y1620" s="12" t="str">
        <x:f>IF(U1620="BLOCKED_PENDING_RECEIPT","Log source path or blocker; do not promote","Route to review lane")</x:f>
        <x:v>Log source path or blocker; do not promote</x:v>
      </x:c>
      <x:c r="Z1620" s="12" t="str">
        <x:f>IF(K1620="P0","Primary seat + Hashlight/Lucerna","Seat lane")</x:f>
        <x:v>Seat lane</x:v>
      </x:c>
      <x:c r="AA1620" s="12" t="str">
        <x:f>IF(R1620="","no_claim_delta","claim_delta_present")</x:f>
        <x:v>no_claim_delta</x:v>
      </x:c>
      <x:c r="AB1620" s="12" t="str">
        <x:f>IF(S1620="","no_contradiction_delta","contradiction_delta_present")</x:f>
        <x:v>no_contradiction_delta</x:v>
      </x:c>
      <x:c r="AC1620" s="12" t="str">
        <x:f>IF(OR(ISNUMBER(SEARCH("hacker",LOWER(F1620&amp;" "&amp;H1620&amp;" "&amp;I1620&amp;" "&amp;M1620&amp;" "&amp;N1620&amp;" "&amp;T1620))),ISNUMBER(SEARCH("hacking",LOWER(F1620&amp;" "&amp;H1620&amp;" "&amp;I1620&amp;" "&amp;M1620&amp;" "&amp;N1620&amp;" "&amp;T1620))),ISNUMBER(SEARCH("bank",LOWER(F1620&amp;" "&amp;H1620&amp;" "&amp;I1620&amp;" "&amp;M1620&amp;" "&amp;N1620&amp;" "&amp;T1620))),ISNUMBER(SEARCH("banking",LOWER(F1620&amp;" "&amp;H1620&amp;" "&amp;I1620&amp;" "&amp;M1620&amp;" "&amp;N1620&amp;" "&amp;T1620)))),"PRIVATE_QUARANTINE",IF(OR(ISNUMBER(SEARCH("treasury",LOWER(F1620&amp;" "&amp;H1620&amp;" "&amp;I1620&amp;" "&amp;M1620&amp;" "&amp;N1620&amp;" "&amp;T1620))),ISNUMBER(SEARCH("debt",LOWER(F1620&amp;" "&amp;H1620&amp;" "&amp;I1620&amp;" "&amp;M1620&amp;" "&amp;N1620&amp;" "&amp;T1620))),ISNUMBER(SEARCH("bond",LOWER(F1620&amp;" "&amp;H1620&amp;" "&amp;I1620&amp;" "&amp;M1620&amp;" "&amp;N1620&amp;" "&amp;T1620))),ISNUMBER(SEARCH("transaction",LOWER(F1620&amp;" "&amp;H1620&amp;" "&amp;I1620&amp;" "&amp;M1620&amp;" "&amp;N1620&amp;" "&amp;T1620)))),"PRIVATE_REVIEW","PUBLIC_CANDIDATE"))</x:f>
        <x:v>PUBLIC_CANDIDATE</x:v>
      </x:c>
      <x:c r="AD1620" s="12" t="str">
        <x:f>IF(AC1620="PRIVATE_QUARANTINE","hacker_or_bank_trigger",IF(AC1620="PRIVATE_REVIEW","finance_risk_trigger","none"))</x:f>
        <x:v>none</x:v>
      </x:c>
      <x:c r="AE1620" s="12" t="str">
        <x:f>IF(AC1620="PUBLIC_CANDIDATE","prepare_public_github_candidate",IF(AC1620="PRIVATE_REVIEW","hold_for_private_review","quarantine_private_do_not_publish"))</x:f>
        <x:v>prepare_public_github_candidate</x:v>
      </x:c>
      <x:c r="AF1620" s="12" t="str">
        <x:f>IF(AC1620="PUBLIC_CANDIDATE","TIDELOCK + Lucerna",IF(AC1620="PRIVATE_REVIEW","AtlasBrain + Lucerna","TIDELOCK + Lucerna + Human-root"))</x:f>
        <x:v>TIDELOCK + Lucerna</x:v>
      </x:c>
      <x:c r="AG1620" s="12" t="str">
        <x:f>IF(AND(AC1620="PUBLIC_CANDIDATE",U1620&lt;&gt;"BLOCKED_PENDING_RECEIPT"),"READY_AFTER_RECEIPT","NOT_READY")</x:f>
        <x:v>NOT_READY</x:v>
      </x:c>
      <x:c r="AH1620" s="12" t="str">
        <x:f>IF(AC1620="PUBLIC_CANDIDATE","none",AD1620)</x:f>
        <x:v>none</x:v>
      </x:c>
      <x:c r="AI1620" s="12" t="str">
        <x:f>IF(AC1620="PUBLIC_CANDIDATE","archive/public_candidates/"&amp;A1620,"private_quarantine/"&amp;A1620)</x:f>
        <x:v>archive/public_candidates/SWARM-12-H03-S11</x:v>
      </x:c>
      <x:c r="AJ1620" s="12" t="str">
        <x:f>IF(AC1620="PUBLIC_CANDIDATE","public by default; still not canon","private/hold; do not publish")</x:f>
        <x:v>public by default; still not canon</x:v>
      </x:c>
      <x:c r="AK1620" s="12" t="str">
        <x:f>IF(AE1620="prepare_public_github_candidate","add receipt/status then mirror","resolve blocker before any public GitHub action")</x:f>
        <x:v>add receipt/status then mirror</x:v>
      </x:c>
    </x:row>
    <x:row r="1621">
      <x:c r="A1621" s="15" t="str">
        <x:v>SWARM-12-H03-S12</x:v>
      </x:c>
      <x:c r="B1621" s="15" t="str">
        <x:v>JoySignal</x:v>
      </x:c>
      <x:c r="C1621" s="15" t="str">
        <x:v>Rest and morale keeper</x:v>
      </x:c>
      <x:c r="D1621" s="15" t="str">
        <x:v>Raw Export Recovery</x:v>
      </x:c>
      <x:c r="E1621" s="15" t="str">
        <x:v>Risk / Safety</x:v>
      </x:c>
      <x:c r="F1621" s="15" t="str">
        <x:v>Recover raw exports for Risk / Safety — JoySignal</x:v>
      </x:c>
      <x:c r="G1621" s="15" t="str">
        <x:v>cadence / anti-burnout / safe completion language</x:v>
      </x:c>
      <x:c r="H1621" s="15" t="str">
        <x:v>source path + receipt + raw/export status + claim/edge/risk delta</x:v>
      </x:c>
      <x:c r="I1621" s="15" t="str">
        <x:v>packet/SWARM-12-H03-S12</x:v>
      </x:c>
      <x:c r="J1621" s="15" t="str">
        <x:v>TODO</x:v>
      </x:c>
      <x:c r="K1621" s="15" t="str">
        <x:v>P2</x:v>
      </x:c>
      <x:c r="L1621" s="15" t="str">
        <x:v>Done only when evidence is logged, contradiction search is noted, and boundary stamp remains non-canon unless ratified</x:v>
      </x:c>
      <x:c r="M1621" s="15" t="str">
        <x:v>candidate / staging-only / not canon / not deployed / authority none</x:v>
      </x:c>
      <x:c r="N1621" s="15" t="str">
        <x:v>Dispatch to JoySignal: complete Raw Export Recovery x Risk / Safety; return deltas only, receipts required.</x:v>
      </x:c>
      <x:c r="O1621" s="15" t="str">
        <x:v>AF-KG-H03-S12</x:v>
      </x:c>
      <x:c r="P1621" s="15" t="str">
        <x:v>Unverified</x:v>
      </x:c>
      <x:c r="Q1621" s="15" t="str">
        <x:v>Not checked</x:v>
      </x:c>
      <x:c r="R1621" s="15" t="str"/>
      <x:c r="S1621" s="15" t="str"/>
      <x:c r="T1621" s="15" t="str">
        <x:v>Log first source path or blocker</x:v>
      </x:c>
      <x:c r="U1621" s="12" t="str">
        <x:f>IF(OR(P1621="Unverified",Q1621="Not checked"),"BLOCKED_PENDING_RECEIPT","READY_FOR_REVIEW")</x:f>
        <x:v>BLOCKED_PENDING_RECEIPT</x:v>
      </x:c>
      <x:c r="V1621" s="12" t="str">
        <x:f>IF(J1621="DONE","RETURNED",IF(U1621="BLOCKED_PENDING_RECEIPT","SOURCE_TOUCH_REQUIRED","IN_PROGRESS"))</x:f>
        <x:v>SOURCE_TOUCH_REQUIRED</x:v>
      </x:c>
      <x:c r="W1621" s="12" t="str">
        <x:f>IF(P1621="Unverified","missing_receipt","receipt_logged")</x:f>
        <x:v>missing_receipt</x:v>
      </x:c>
      <x:c r="X1621" s="12" t="str">
        <x:f>IF(Q1621="Not checked","raw_status_missing","raw_status_logged")</x:f>
        <x:v>raw_status_missing</x:v>
      </x:c>
      <x:c r="Y1621" s="12" t="str">
        <x:f>IF(U1621="BLOCKED_PENDING_RECEIPT","Log source path or blocker; do not promote","Route to review lane")</x:f>
        <x:v>Log source path or blocker; do not promote</x:v>
      </x:c>
      <x:c r="Z1621" s="12" t="str">
        <x:f>IF(K1621="P0","Primary seat + Hashlight/Lucerna","Seat lane")</x:f>
        <x:v>Seat lane</x:v>
      </x:c>
      <x:c r="AA1621" s="12" t="str">
        <x:f>IF(R1621="","no_claim_delta","claim_delta_present")</x:f>
        <x:v>no_claim_delta</x:v>
      </x:c>
      <x:c r="AB1621" s="12" t="str">
        <x:f>IF(S1621="","no_contradiction_delta","contradiction_delta_present")</x:f>
        <x:v>no_contradiction_delta</x:v>
      </x:c>
      <x:c r="AC1621" s="12" t="str">
        <x:f>IF(OR(ISNUMBER(SEARCH("hacker",LOWER(F1621&amp;" "&amp;H1621&amp;" "&amp;I1621&amp;" "&amp;M1621&amp;" "&amp;N1621&amp;" "&amp;T1621))),ISNUMBER(SEARCH("hacking",LOWER(F1621&amp;" "&amp;H1621&amp;" "&amp;I1621&amp;" "&amp;M1621&amp;" "&amp;N1621&amp;" "&amp;T1621))),ISNUMBER(SEARCH("bank",LOWER(F1621&amp;" "&amp;H1621&amp;" "&amp;I1621&amp;" "&amp;M1621&amp;" "&amp;N1621&amp;" "&amp;T1621))),ISNUMBER(SEARCH("banking",LOWER(F1621&amp;" "&amp;H1621&amp;" "&amp;I1621&amp;" "&amp;M1621&amp;" "&amp;N1621&amp;" "&amp;T1621)))),"PRIVATE_QUARANTINE",IF(OR(ISNUMBER(SEARCH("treasury",LOWER(F1621&amp;" "&amp;H1621&amp;" "&amp;I1621&amp;" "&amp;M1621&amp;" "&amp;N1621&amp;" "&amp;T1621))),ISNUMBER(SEARCH("debt",LOWER(F1621&amp;" "&amp;H1621&amp;" "&amp;I1621&amp;" "&amp;M1621&amp;" "&amp;N1621&amp;" "&amp;T1621))),ISNUMBER(SEARCH("bond",LOWER(F1621&amp;" "&amp;H1621&amp;" "&amp;I1621&amp;" "&amp;M1621&amp;" "&amp;N1621&amp;" "&amp;T1621))),ISNUMBER(SEARCH("transaction",LOWER(F1621&amp;" "&amp;H1621&amp;" "&amp;I1621&amp;" "&amp;M1621&amp;" "&amp;N1621&amp;" "&amp;T1621)))),"PRIVATE_REVIEW","PUBLIC_CANDIDATE"))</x:f>
        <x:v>PUBLIC_CANDIDATE</x:v>
      </x:c>
      <x:c r="AD1621" s="12" t="str">
        <x:f>IF(AC1621="PRIVATE_QUARANTINE","hacker_or_bank_trigger",IF(AC1621="PRIVATE_REVIEW","finance_risk_trigger","none"))</x:f>
        <x:v>none</x:v>
      </x:c>
      <x:c r="AE1621" s="12" t="str">
        <x:f>IF(AC1621="PUBLIC_CANDIDATE","prepare_public_github_candidate",IF(AC1621="PRIVATE_REVIEW","hold_for_private_review","quarantine_private_do_not_publish"))</x:f>
        <x:v>prepare_public_github_candidate</x:v>
      </x:c>
      <x:c r="AF1621" s="12" t="str">
        <x:f>IF(AC1621="PUBLIC_CANDIDATE","TIDELOCK + Lucerna",IF(AC1621="PRIVATE_REVIEW","AtlasBrain + Lucerna","TIDELOCK + Lucerna + Human-root"))</x:f>
        <x:v>TIDELOCK + Lucerna</x:v>
      </x:c>
      <x:c r="AG1621" s="12" t="str">
        <x:f>IF(AND(AC1621="PUBLIC_CANDIDATE",U1621&lt;&gt;"BLOCKED_PENDING_RECEIPT"),"READY_AFTER_RECEIPT","NOT_READY")</x:f>
        <x:v>NOT_READY</x:v>
      </x:c>
      <x:c r="AH1621" s="12" t="str">
        <x:f>IF(AC1621="PUBLIC_CANDIDATE","none",AD1621)</x:f>
        <x:v>none</x:v>
      </x:c>
      <x:c r="AI1621" s="12" t="str">
        <x:f>IF(AC1621="PUBLIC_CANDIDATE","archive/public_candidates/"&amp;A1621,"private_quarantine/"&amp;A1621)</x:f>
        <x:v>archive/public_candidates/SWARM-12-H03-S12</x:v>
      </x:c>
      <x:c r="AJ1621" s="12" t="str">
        <x:f>IF(AC1621="PUBLIC_CANDIDATE","public by default; still not canon","private/hold; do not publish")</x:f>
        <x:v>public by default; still not canon</x:v>
      </x:c>
      <x:c r="AK1621" s="12" t="str">
        <x:f>IF(AE1621="prepare_public_github_candidate","add receipt/status then mirror","resolve blocker before any public GitHub action")</x:f>
        <x:v>add receipt/status then mirror</x:v>
      </x:c>
    </x:row>
    <x:row r="1622">
      <x:c r="A1622" s="15" t="str">
        <x:v>SWARM-12-H04-S01</x:v>
      </x:c>
      <x:c r="B1622" s="15" t="str">
        <x:v>JoySignal</x:v>
      </x:c>
      <x:c r="C1622" s="15" t="str">
        <x:v>Rest and morale keeper</x:v>
      </x:c>
      <x:c r="D1622" s="15" t="str">
        <x:v>Claim Extraction</x:v>
      </x:c>
      <x:c r="E1622" s="15" t="str">
        <x:v>Notion</x:v>
      </x:c>
      <x:c r="F1622" s="15" t="str">
        <x:v>Extract claims from Notion — JoySignal</x:v>
      </x:c>
      <x:c r="G1622" s="15" t="str">
        <x:v>cadence / anti-burnout / safe completion language</x:v>
      </x:c>
      <x:c r="H1622" s="15" t="str">
        <x:v>source path + receipt + raw/export status + claim/edge/risk delta</x:v>
      </x:c>
      <x:c r="I1622" s="15" t="str">
        <x:v>packet/SWARM-12-H04-S01</x:v>
      </x:c>
      <x:c r="J1622" s="15" t="str">
        <x:v>TODO</x:v>
      </x:c>
      <x:c r="K1622" s="15" t="str">
        <x:v>P0</x:v>
      </x:c>
      <x:c r="L1622" s="15" t="str">
        <x:v>Done only when evidence is logged, contradiction search is noted, and boundary stamp remains non-canon unless ratified</x:v>
      </x:c>
      <x:c r="M1622" s="15" t="str">
        <x:v>candidate / staging-only / not canon / not deployed / authority none</x:v>
      </x:c>
      <x:c r="N1622" s="15" t="str">
        <x:v>Dispatch to JoySignal: complete Claim Extraction x Notion; return deltas only, receipts required.</x:v>
      </x:c>
      <x:c r="O1622" s="15" t="str">
        <x:v>AF-KG-H04-S01</x:v>
      </x:c>
      <x:c r="P1622" s="15" t="str">
        <x:v>Unverified</x:v>
      </x:c>
      <x:c r="Q1622" s="15" t="str">
        <x:v>Not checked</x:v>
      </x:c>
      <x:c r="R1622" s="15" t="str"/>
      <x:c r="S1622" s="15" t="str"/>
      <x:c r="T1622" s="15" t="str">
        <x:v>Log first source path or blocker</x:v>
      </x:c>
      <x:c r="U1622" s="12" t="str">
        <x:f>IF(OR(P1622="Unverified",Q1622="Not checked"),"BLOCKED_PENDING_RECEIPT","READY_FOR_REVIEW")</x:f>
        <x:v>BLOCKED_PENDING_RECEIPT</x:v>
      </x:c>
      <x:c r="V1622" s="12" t="str">
        <x:f>IF(J1622="DONE","RETURNED",IF(U1622="BLOCKED_PENDING_RECEIPT","SOURCE_TOUCH_REQUIRED","IN_PROGRESS"))</x:f>
        <x:v>SOURCE_TOUCH_REQUIRED</x:v>
      </x:c>
      <x:c r="W1622" s="12" t="str">
        <x:f>IF(P1622="Unverified","missing_receipt","receipt_logged")</x:f>
        <x:v>missing_receipt</x:v>
      </x:c>
      <x:c r="X1622" s="12" t="str">
        <x:f>IF(Q1622="Not checked","raw_status_missing","raw_status_logged")</x:f>
        <x:v>raw_status_missing</x:v>
      </x:c>
      <x:c r="Y1622" s="12" t="str">
        <x:f>IF(U1622="BLOCKED_PENDING_RECEIPT","Log source path or blocker; do not promote","Route to review lane")</x:f>
        <x:v>Log source path or blocker; do not promote</x:v>
      </x:c>
      <x:c r="Z1622" s="12" t="str">
        <x:f>IF(K1622="P0","Primary seat + Hashlight/Lucerna","Seat lane")</x:f>
        <x:v>Primary seat + Hashlight/Lucerna</x:v>
      </x:c>
      <x:c r="AA1622" s="12" t="str">
        <x:f>IF(R1622="","no_claim_delta","claim_delta_present")</x:f>
        <x:v>no_claim_delta</x:v>
      </x:c>
      <x:c r="AB1622" s="12" t="str">
        <x:f>IF(S1622="","no_contradiction_delta","contradiction_delta_present")</x:f>
        <x:v>no_contradiction_delta</x:v>
      </x:c>
      <x:c r="AC1622" s="12" t="str">
        <x:f>IF(OR(ISNUMBER(SEARCH("hacker",LOWER(F1622&amp;" "&amp;H1622&amp;" "&amp;I1622&amp;" "&amp;M1622&amp;" "&amp;N1622&amp;" "&amp;T1622))),ISNUMBER(SEARCH("hacking",LOWER(F1622&amp;" "&amp;H1622&amp;" "&amp;I1622&amp;" "&amp;M1622&amp;" "&amp;N1622&amp;" "&amp;T1622))),ISNUMBER(SEARCH("bank",LOWER(F1622&amp;" "&amp;H1622&amp;" "&amp;I1622&amp;" "&amp;M1622&amp;" "&amp;N1622&amp;" "&amp;T1622))),ISNUMBER(SEARCH("banking",LOWER(F1622&amp;" "&amp;H1622&amp;" "&amp;I1622&amp;" "&amp;M1622&amp;" "&amp;N1622&amp;" "&amp;T1622)))),"PRIVATE_QUARANTINE",IF(OR(ISNUMBER(SEARCH("treasury",LOWER(F1622&amp;" "&amp;H1622&amp;" "&amp;I1622&amp;" "&amp;M1622&amp;" "&amp;N1622&amp;" "&amp;T1622))),ISNUMBER(SEARCH("debt",LOWER(F1622&amp;" "&amp;H1622&amp;" "&amp;I1622&amp;" "&amp;M1622&amp;" "&amp;N1622&amp;" "&amp;T1622))),ISNUMBER(SEARCH("bond",LOWER(F1622&amp;" "&amp;H1622&amp;" "&amp;I1622&amp;" "&amp;M1622&amp;" "&amp;N1622&amp;" "&amp;T1622))),ISNUMBER(SEARCH("transaction",LOWER(F1622&amp;" "&amp;H1622&amp;" "&amp;I1622&amp;" "&amp;M1622&amp;" "&amp;N1622&amp;" "&amp;T1622)))),"PRIVATE_REVIEW","PUBLIC_CANDIDATE"))</x:f>
        <x:v>PUBLIC_CANDIDATE</x:v>
      </x:c>
      <x:c r="AD1622" s="12" t="str">
        <x:f>IF(AC1622="PRIVATE_QUARANTINE","hacker_or_bank_trigger",IF(AC1622="PRIVATE_REVIEW","finance_risk_trigger","none"))</x:f>
        <x:v>none</x:v>
      </x:c>
      <x:c r="AE1622" s="12" t="str">
        <x:f>IF(AC1622="PUBLIC_CANDIDATE","prepare_public_github_candidate",IF(AC1622="PRIVATE_REVIEW","hold_for_private_review","quarantine_private_do_not_publish"))</x:f>
        <x:v>prepare_public_github_candidate</x:v>
      </x:c>
      <x:c r="AF1622" s="12" t="str">
        <x:f>IF(AC1622="PUBLIC_CANDIDATE","TIDELOCK + Lucerna",IF(AC1622="PRIVATE_REVIEW","AtlasBrain + Lucerna","TIDELOCK + Lucerna + Human-root"))</x:f>
        <x:v>TIDELOCK + Lucerna</x:v>
      </x:c>
      <x:c r="AG1622" s="12" t="str">
        <x:f>IF(AND(AC1622="PUBLIC_CANDIDATE",U1622&lt;&gt;"BLOCKED_PENDING_RECEIPT"),"READY_AFTER_RECEIPT","NOT_READY")</x:f>
        <x:v>NOT_READY</x:v>
      </x:c>
      <x:c r="AH1622" s="12" t="str">
        <x:f>IF(AC1622="PUBLIC_CANDIDATE","none",AD1622)</x:f>
        <x:v>none</x:v>
      </x:c>
      <x:c r="AI1622" s="12" t="str">
        <x:f>IF(AC1622="PUBLIC_CANDIDATE","archive/public_candidates/"&amp;A1622,"private_quarantine/"&amp;A1622)</x:f>
        <x:v>archive/public_candidates/SWARM-12-H04-S01</x:v>
      </x:c>
      <x:c r="AJ1622" s="12" t="str">
        <x:f>IF(AC1622="PUBLIC_CANDIDATE","public by default; still not canon","private/hold; do not publish")</x:f>
        <x:v>public by default; still not canon</x:v>
      </x:c>
      <x:c r="AK1622" s="12" t="str">
        <x:f>IF(AE1622="prepare_public_github_candidate","add receipt/status then mirror","resolve blocker before any public GitHub action")</x:f>
        <x:v>add receipt/status then mirror</x:v>
      </x:c>
    </x:row>
    <x:row r="1623">
      <x:c r="A1623" s="15" t="str">
        <x:v>SWARM-12-H04-S02</x:v>
      </x:c>
      <x:c r="B1623" s="15" t="str">
        <x:v>JoySignal</x:v>
      </x:c>
      <x:c r="C1623" s="15" t="str">
        <x:v>Rest and morale keeper</x:v>
      </x:c>
      <x:c r="D1623" s="15" t="str">
        <x:v>Claim Extraction</x:v>
      </x:c>
      <x:c r="E1623" s="15" t="str">
        <x:v>Drive</x:v>
      </x:c>
      <x:c r="F1623" s="15" t="str">
        <x:v>Extract claims from Drive — JoySignal</x:v>
      </x:c>
      <x:c r="G1623" s="15" t="str">
        <x:v>cadence / anti-burnout / safe completion language</x:v>
      </x:c>
      <x:c r="H1623" s="15" t="str">
        <x:v>source path + receipt + raw/export status + claim/edge/risk delta</x:v>
      </x:c>
      <x:c r="I1623" s="15" t="str">
        <x:v>packet/SWARM-12-H04-S02</x:v>
      </x:c>
      <x:c r="J1623" s="15" t="str">
        <x:v>TODO</x:v>
      </x:c>
      <x:c r="K1623" s="15" t="str">
        <x:v>P0</x:v>
      </x:c>
      <x:c r="L1623" s="15" t="str">
        <x:v>Done only when evidence is logged, contradiction search is noted, and boundary stamp remains non-canon unless ratified</x:v>
      </x:c>
      <x:c r="M1623" s="15" t="str">
        <x:v>candidate / staging-only / not canon / not deployed / authority none</x:v>
      </x:c>
      <x:c r="N1623" s="15" t="str">
        <x:v>Dispatch to JoySignal: complete Claim Extraction x Drive; return deltas only, receipts required.</x:v>
      </x:c>
      <x:c r="O1623" s="15" t="str">
        <x:v>AF-KG-H04-S02</x:v>
      </x:c>
      <x:c r="P1623" s="15" t="str">
        <x:v>Unverified</x:v>
      </x:c>
      <x:c r="Q1623" s="15" t="str">
        <x:v>Not checked</x:v>
      </x:c>
      <x:c r="R1623" s="15" t="str"/>
      <x:c r="S1623" s="15" t="str"/>
      <x:c r="T1623" s="15" t="str">
        <x:v>Log first source path or blocker</x:v>
      </x:c>
      <x:c r="U1623" s="12" t="str">
        <x:f>IF(OR(P1623="Unverified",Q1623="Not checked"),"BLOCKED_PENDING_RECEIPT","READY_FOR_REVIEW")</x:f>
        <x:v>BLOCKED_PENDING_RECEIPT</x:v>
      </x:c>
      <x:c r="V1623" s="12" t="str">
        <x:f>IF(J1623="DONE","RETURNED",IF(U1623="BLOCKED_PENDING_RECEIPT","SOURCE_TOUCH_REQUIRED","IN_PROGRESS"))</x:f>
        <x:v>SOURCE_TOUCH_REQUIRED</x:v>
      </x:c>
      <x:c r="W1623" s="12" t="str">
        <x:f>IF(P1623="Unverified","missing_receipt","receipt_logged")</x:f>
        <x:v>missing_receipt</x:v>
      </x:c>
      <x:c r="X1623" s="12" t="str">
        <x:f>IF(Q1623="Not checked","raw_status_missing","raw_status_logged")</x:f>
        <x:v>raw_status_missing</x:v>
      </x:c>
      <x:c r="Y1623" s="12" t="str">
        <x:f>IF(U1623="BLOCKED_PENDING_RECEIPT","Log source path or blocker; do not promote","Route to review lane")</x:f>
        <x:v>Log source path or blocker; do not promote</x:v>
      </x:c>
      <x:c r="Z1623" s="12" t="str">
        <x:f>IF(K1623="P0","Primary seat + Hashlight/Lucerna","Seat lane")</x:f>
        <x:v>Primary seat + Hashlight/Lucerna</x:v>
      </x:c>
      <x:c r="AA1623" s="12" t="str">
        <x:f>IF(R1623="","no_claim_delta","claim_delta_present")</x:f>
        <x:v>no_claim_delta</x:v>
      </x:c>
      <x:c r="AB1623" s="12" t="str">
        <x:f>IF(S1623="","no_contradiction_delta","contradiction_delta_present")</x:f>
        <x:v>no_contradiction_delta</x:v>
      </x:c>
      <x:c r="AC1623" s="12" t="str">
        <x:f>IF(OR(ISNUMBER(SEARCH("hacker",LOWER(F1623&amp;" "&amp;H1623&amp;" "&amp;I1623&amp;" "&amp;M1623&amp;" "&amp;N1623&amp;" "&amp;T1623))),ISNUMBER(SEARCH("hacking",LOWER(F1623&amp;" "&amp;H1623&amp;" "&amp;I1623&amp;" "&amp;M1623&amp;" "&amp;N1623&amp;" "&amp;T1623))),ISNUMBER(SEARCH("bank",LOWER(F1623&amp;" "&amp;H1623&amp;" "&amp;I1623&amp;" "&amp;M1623&amp;" "&amp;N1623&amp;" "&amp;T1623))),ISNUMBER(SEARCH("banking",LOWER(F1623&amp;" "&amp;H1623&amp;" "&amp;I1623&amp;" "&amp;M1623&amp;" "&amp;N1623&amp;" "&amp;T1623)))),"PRIVATE_QUARANTINE",IF(OR(ISNUMBER(SEARCH("treasury",LOWER(F1623&amp;" "&amp;H1623&amp;" "&amp;I1623&amp;" "&amp;M1623&amp;" "&amp;N1623&amp;" "&amp;T1623))),ISNUMBER(SEARCH("debt",LOWER(F1623&amp;" "&amp;H1623&amp;" "&amp;I1623&amp;" "&amp;M1623&amp;" "&amp;N1623&amp;" "&amp;T1623))),ISNUMBER(SEARCH("bond",LOWER(F1623&amp;" "&amp;H1623&amp;" "&amp;I1623&amp;" "&amp;M1623&amp;" "&amp;N1623&amp;" "&amp;T1623))),ISNUMBER(SEARCH("transaction",LOWER(F1623&amp;" "&amp;H1623&amp;" "&amp;I1623&amp;" "&amp;M1623&amp;" "&amp;N1623&amp;" "&amp;T1623)))),"PRIVATE_REVIEW","PUBLIC_CANDIDATE"))</x:f>
        <x:v>PUBLIC_CANDIDATE</x:v>
      </x:c>
      <x:c r="AD1623" s="12" t="str">
        <x:f>IF(AC1623="PRIVATE_QUARANTINE","hacker_or_bank_trigger",IF(AC1623="PRIVATE_REVIEW","finance_risk_trigger","none"))</x:f>
        <x:v>none</x:v>
      </x:c>
      <x:c r="AE1623" s="12" t="str">
        <x:f>IF(AC1623="PUBLIC_CANDIDATE","prepare_public_github_candidate",IF(AC1623="PRIVATE_REVIEW","hold_for_private_review","quarantine_private_do_not_publish"))</x:f>
        <x:v>prepare_public_github_candidate</x:v>
      </x:c>
      <x:c r="AF1623" s="12" t="str">
        <x:f>IF(AC1623="PUBLIC_CANDIDATE","TIDELOCK + Lucerna",IF(AC1623="PRIVATE_REVIEW","AtlasBrain + Lucerna","TIDELOCK + Lucerna + Human-root"))</x:f>
        <x:v>TIDELOCK + Lucerna</x:v>
      </x:c>
      <x:c r="AG1623" s="12" t="str">
        <x:f>IF(AND(AC1623="PUBLIC_CANDIDATE",U1623&lt;&gt;"BLOCKED_PENDING_RECEIPT"),"READY_AFTER_RECEIPT","NOT_READY")</x:f>
        <x:v>NOT_READY</x:v>
      </x:c>
      <x:c r="AH1623" s="12" t="str">
        <x:f>IF(AC1623="PUBLIC_CANDIDATE","none",AD1623)</x:f>
        <x:v>none</x:v>
      </x:c>
      <x:c r="AI1623" s="12" t="str">
        <x:f>IF(AC1623="PUBLIC_CANDIDATE","archive/public_candidates/"&amp;A1623,"private_quarantine/"&amp;A1623)</x:f>
        <x:v>archive/public_candidates/SWARM-12-H04-S02</x:v>
      </x:c>
      <x:c r="AJ1623" s="12" t="str">
        <x:f>IF(AC1623="PUBLIC_CANDIDATE","public by default; still not canon","private/hold; do not publish")</x:f>
        <x:v>public by default; still not canon</x:v>
      </x:c>
      <x:c r="AK1623" s="12" t="str">
        <x:f>IF(AE1623="prepare_public_github_candidate","add receipt/status then mirror","resolve blocker before any public GitHub action")</x:f>
        <x:v>add receipt/status then mirror</x:v>
      </x:c>
    </x:row>
    <x:row r="1624">
      <x:c r="A1624" s="15" t="str">
        <x:v>SWARM-12-H04-S03</x:v>
      </x:c>
      <x:c r="B1624" s="15" t="str">
        <x:v>JoySignal</x:v>
      </x:c>
      <x:c r="C1624" s="15" t="str">
        <x:v>Rest and morale keeper</x:v>
      </x:c>
      <x:c r="D1624" s="15" t="str">
        <x:v>Claim Extraction</x:v>
      </x:c>
      <x:c r="E1624" s="15" t="str">
        <x:v>GitHub</x:v>
      </x:c>
      <x:c r="F1624" s="15" t="str">
        <x:v>Extract claims from GitHub — JoySignal</x:v>
      </x:c>
      <x:c r="G1624" s="15" t="str">
        <x:v>cadence / anti-burnout / safe completion language</x:v>
      </x:c>
      <x:c r="H1624" s="15" t="str">
        <x:v>source path + receipt + raw/export status + claim/edge/risk delta</x:v>
      </x:c>
      <x:c r="I1624" s="15" t="str">
        <x:v>packet/SWARM-12-H04-S03</x:v>
      </x:c>
      <x:c r="J1624" s="15" t="str">
        <x:v>TODO</x:v>
      </x:c>
      <x:c r="K1624" s="15" t="str">
        <x:v>P0</x:v>
      </x:c>
      <x:c r="L1624" s="15" t="str">
        <x:v>Done only when evidence is logged, contradiction search is noted, and boundary stamp remains non-canon unless ratified</x:v>
      </x:c>
      <x:c r="M1624" s="15" t="str">
        <x:v>candidate / staging-only / not canon / not deployed / authority none</x:v>
      </x:c>
      <x:c r="N1624" s="15" t="str">
        <x:v>Dispatch to JoySignal: complete Claim Extraction x GitHub; return deltas only, receipts required.</x:v>
      </x:c>
      <x:c r="O1624" s="15" t="str">
        <x:v>AF-KG-H04-S03</x:v>
      </x:c>
      <x:c r="P1624" s="15" t="str">
        <x:v>Unverified</x:v>
      </x:c>
      <x:c r="Q1624" s="15" t="str">
        <x:v>Not checked</x:v>
      </x:c>
      <x:c r="R1624" s="15" t="str"/>
      <x:c r="S1624" s="15" t="str"/>
      <x:c r="T1624" s="15" t="str">
        <x:v>Log first source path or blocker</x:v>
      </x:c>
      <x:c r="U1624" s="12" t="str">
        <x:f>IF(OR(P1624="Unverified",Q1624="Not checked"),"BLOCKED_PENDING_RECEIPT","READY_FOR_REVIEW")</x:f>
        <x:v>BLOCKED_PENDING_RECEIPT</x:v>
      </x:c>
      <x:c r="V1624" s="12" t="str">
        <x:f>IF(J1624="DONE","RETURNED",IF(U1624="BLOCKED_PENDING_RECEIPT","SOURCE_TOUCH_REQUIRED","IN_PROGRESS"))</x:f>
        <x:v>SOURCE_TOUCH_REQUIRED</x:v>
      </x:c>
      <x:c r="W1624" s="12" t="str">
        <x:f>IF(P1624="Unverified","missing_receipt","receipt_logged")</x:f>
        <x:v>missing_receipt</x:v>
      </x:c>
      <x:c r="X1624" s="12" t="str">
        <x:f>IF(Q1624="Not checked","raw_status_missing","raw_status_logged")</x:f>
        <x:v>raw_status_missing</x:v>
      </x:c>
      <x:c r="Y1624" s="12" t="str">
        <x:f>IF(U1624="BLOCKED_PENDING_RECEIPT","Log source path or blocker; do not promote","Route to review lane")</x:f>
        <x:v>Log source path or blocker; do not promote</x:v>
      </x:c>
      <x:c r="Z1624" s="12" t="str">
        <x:f>IF(K1624="P0","Primary seat + Hashlight/Lucerna","Seat lane")</x:f>
        <x:v>Primary seat + Hashlight/Lucerna</x:v>
      </x:c>
      <x:c r="AA1624" s="12" t="str">
        <x:f>IF(R1624="","no_claim_delta","claim_delta_present")</x:f>
        <x:v>no_claim_delta</x:v>
      </x:c>
      <x:c r="AB1624" s="12" t="str">
        <x:f>IF(S1624="","no_contradiction_delta","contradiction_delta_present")</x:f>
        <x:v>no_contradiction_delta</x:v>
      </x:c>
      <x:c r="AC1624" s="12" t="str">
        <x:f>IF(OR(ISNUMBER(SEARCH("hacker",LOWER(F1624&amp;" "&amp;H1624&amp;" "&amp;I1624&amp;" "&amp;M1624&amp;" "&amp;N1624&amp;" "&amp;T1624))),ISNUMBER(SEARCH("hacking",LOWER(F1624&amp;" "&amp;H1624&amp;" "&amp;I1624&amp;" "&amp;M1624&amp;" "&amp;N1624&amp;" "&amp;T1624))),ISNUMBER(SEARCH("bank",LOWER(F1624&amp;" "&amp;H1624&amp;" "&amp;I1624&amp;" "&amp;M1624&amp;" "&amp;N1624&amp;" "&amp;T1624))),ISNUMBER(SEARCH("banking",LOWER(F1624&amp;" "&amp;H1624&amp;" "&amp;I1624&amp;" "&amp;M1624&amp;" "&amp;N1624&amp;" "&amp;T1624)))),"PRIVATE_QUARANTINE",IF(OR(ISNUMBER(SEARCH("treasury",LOWER(F1624&amp;" "&amp;H1624&amp;" "&amp;I1624&amp;" "&amp;M1624&amp;" "&amp;N1624&amp;" "&amp;T1624))),ISNUMBER(SEARCH("debt",LOWER(F1624&amp;" "&amp;H1624&amp;" "&amp;I1624&amp;" "&amp;M1624&amp;" "&amp;N1624&amp;" "&amp;T1624))),ISNUMBER(SEARCH("bond",LOWER(F1624&amp;" "&amp;H1624&amp;" "&amp;I1624&amp;" "&amp;M1624&amp;" "&amp;N1624&amp;" "&amp;T1624))),ISNUMBER(SEARCH("transaction",LOWER(F1624&amp;" "&amp;H1624&amp;" "&amp;I1624&amp;" "&amp;M1624&amp;" "&amp;N1624&amp;" "&amp;T1624)))),"PRIVATE_REVIEW","PUBLIC_CANDIDATE"))</x:f>
        <x:v>PUBLIC_CANDIDATE</x:v>
      </x:c>
      <x:c r="AD1624" s="12" t="str">
        <x:f>IF(AC1624="PRIVATE_QUARANTINE","hacker_or_bank_trigger",IF(AC1624="PRIVATE_REVIEW","finance_risk_trigger","none"))</x:f>
        <x:v>none</x:v>
      </x:c>
      <x:c r="AE1624" s="12" t="str">
        <x:f>IF(AC1624="PUBLIC_CANDIDATE","prepare_public_github_candidate",IF(AC1624="PRIVATE_REVIEW","hold_for_private_review","quarantine_private_do_not_publish"))</x:f>
        <x:v>prepare_public_github_candidate</x:v>
      </x:c>
      <x:c r="AF1624" s="12" t="str">
        <x:f>IF(AC1624="PUBLIC_CANDIDATE","TIDELOCK + Lucerna",IF(AC1624="PRIVATE_REVIEW","AtlasBrain + Lucerna","TIDELOCK + Lucerna + Human-root"))</x:f>
        <x:v>TIDELOCK + Lucerna</x:v>
      </x:c>
      <x:c r="AG1624" s="12" t="str">
        <x:f>IF(AND(AC1624="PUBLIC_CANDIDATE",U1624&lt;&gt;"BLOCKED_PENDING_RECEIPT"),"READY_AFTER_RECEIPT","NOT_READY")</x:f>
        <x:v>NOT_READY</x:v>
      </x:c>
      <x:c r="AH1624" s="12" t="str">
        <x:f>IF(AC1624="PUBLIC_CANDIDATE","none",AD1624)</x:f>
        <x:v>none</x:v>
      </x:c>
      <x:c r="AI1624" s="12" t="str">
        <x:f>IF(AC1624="PUBLIC_CANDIDATE","archive/public_candidates/"&amp;A1624,"private_quarantine/"&amp;A1624)</x:f>
        <x:v>archive/public_candidates/SWARM-12-H04-S03</x:v>
      </x:c>
      <x:c r="AJ1624" s="12" t="str">
        <x:f>IF(AC1624="PUBLIC_CANDIDATE","public by default; still not canon","private/hold; do not publish")</x:f>
        <x:v>public by default; still not canon</x:v>
      </x:c>
      <x:c r="AK1624" s="12" t="str">
        <x:f>IF(AE1624="prepare_public_github_candidate","add receipt/status then mirror","resolve blocker before any public GitHub action")</x:f>
        <x:v>add receipt/status then mirror</x:v>
      </x:c>
    </x:row>
    <x:row r="1625">
      <x:c r="A1625" s="15" t="str">
        <x:v>SWARM-12-H04-S04</x:v>
      </x:c>
      <x:c r="B1625" s="15" t="str">
        <x:v>JoySignal</x:v>
      </x:c>
      <x:c r="C1625" s="15" t="str">
        <x:v>Rest and morale keeper</x:v>
      </x:c>
      <x:c r="D1625" s="15" t="str">
        <x:v>Claim Extraction</x:v>
      </x:c>
      <x:c r="E1625" s="15" t="str">
        <x:v>Gamma</x:v>
      </x:c>
      <x:c r="F1625" s="15" t="str">
        <x:v>Extract claims from Gamma — JoySignal</x:v>
      </x:c>
      <x:c r="G1625" s="15" t="str">
        <x:v>cadence / anti-burnout / safe completion language</x:v>
      </x:c>
      <x:c r="H1625" s="15" t="str">
        <x:v>source path + receipt + raw/export status + claim/edge/risk delta</x:v>
      </x:c>
      <x:c r="I1625" s="15" t="str">
        <x:v>packet/SWARM-12-H04-S04</x:v>
      </x:c>
      <x:c r="J1625" s="15" t="str">
        <x:v>TODO</x:v>
      </x:c>
      <x:c r="K1625" s="15" t="str">
        <x:v>P1</x:v>
      </x:c>
      <x:c r="L1625" s="15" t="str">
        <x:v>Done only when evidence is logged, contradiction search is noted, and boundary stamp remains non-canon unless ratified</x:v>
      </x:c>
      <x:c r="M1625" s="15" t="str">
        <x:v>candidate / staging-only / not canon / not deployed / authority none</x:v>
      </x:c>
      <x:c r="N1625" s="15" t="str">
        <x:v>Dispatch to JoySignal: complete Claim Extraction x Gamma; return deltas only, receipts required.</x:v>
      </x:c>
      <x:c r="O1625" s="15" t="str">
        <x:v>AF-KG-H04-S04</x:v>
      </x:c>
      <x:c r="P1625" s="15" t="str">
        <x:v>Unverified</x:v>
      </x:c>
      <x:c r="Q1625" s="15" t="str">
        <x:v>Not checked</x:v>
      </x:c>
      <x:c r="R1625" s="15" t="str"/>
      <x:c r="S1625" s="15" t="str"/>
      <x:c r="T1625" s="15" t="str">
        <x:v>Log first source path or blocker</x:v>
      </x:c>
      <x:c r="U1625" s="12" t="str">
        <x:f>IF(OR(P1625="Unverified",Q1625="Not checked"),"BLOCKED_PENDING_RECEIPT","READY_FOR_REVIEW")</x:f>
        <x:v>BLOCKED_PENDING_RECEIPT</x:v>
      </x:c>
      <x:c r="V1625" s="12" t="str">
        <x:f>IF(J1625="DONE","RETURNED",IF(U1625="BLOCKED_PENDING_RECEIPT","SOURCE_TOUCH_REQUIRED","IN_PROGRESS"))</x:f>
        <x:v>SOURCE_TOUCH_REQUIRED</x:v>
      </x:c>
      <x:c r="W1625" s="12" t="str">
        <x:f>IF(P1625="Unverified","missing_receipt","receipt_logged")</x:f>
        <x:v>missing_receipt</x:v>
      </x:c>
      <x:c r="X1625" s="12" t="str">
        <x:f>IF(Q1625="Not checked","raw_status_missing","raw_status_logged")</x:f>
        <x:v>raw_status_missing</x:v>
      </x:c>
      <x:c r="Y1625" s="12" t="str">
        <x:f>IF(U1625="BLOCKED_PENDING_RECEIPT","Log source path or blocker; do not promote","Route to review lane")</x:f>
        <x:v>Log source path or blocker; do not promote</x:v>
      </x:c>
      <x:c r="Z1625" s="12" t="str">
        <x:f>IF(K1625="P0","Primary seat + Hashlight/Lucerna","Seat lane")</x:f>
        <x:v>Seat lane</x:v>
      </x:c>
      <x:c r="AA1625" s="12" t="str">
        <x:f>IF(R1625="","no_claim_delta","claim_delta_present")</x:f>
        <x:v>no_claim_delta</x:v>
      </x:c>
      <x:c r="AB1625" s="12" t="str">
        <x:f>IF(S1625="","no_contradiction_delta","contradiction_delta_present")</x:f>
        <x:v>no_contradiction_delta</x:v>
      </x:c>
      <x:c r="AC1625" s="12" t="str">
        <x:f>IF(OR(ISNUMBER(SEARCH("hacker",LOWER(F1625&amp;" "&amp;H1625&amp;" "&amp;I1625&amp;" "&amp;M1625&amp;" "&amp;N1625&amp;" "&amp;T1625))),ISNUMBER(SEARCH("hacking",LOWER(F1625&amp;" "&amp;H1625&amp;" "&amp;I1625&amp;" "&amp;M1625&amp;" "&amp;N1625&amp;" "&amp;T1625))),ISNUMBER(SEARCH("bank",LOWER(F1625&amp;" "&amp;H1625&amp;" "&amp;I1625&amp;" "&amp;M1625&amp;" "&amp;N1625&amp;" "&amp;T1625))),ISNUMBER(SEARCH("banking",LOWER(F1625&amp;" "&amp;H1625&amp;" "&amp;I1625&amp;" "&amp;M1625&amp;" "&amp;N1625&amp;" "&amp;T1625)))),"PRIVATE_QUARANTINE",IF(OR(ISNUMBER(SEARCH("treasury",LOWER(F1625&amp;" "&amp;H1625&amp;" "&amp;I1625&amp;" "&amp;M1625&amp;" "&amp;N1625&amp;" "&amp;T1625))),ISNUMBER(SEARCH("debt",LOWER(F1625&amp;" "&amp;H1625&amp;" "&amp;I1625&amp;" "&amp;M1625&amp;" "&amp;N1625&amp;" "&amp;T1625))),ISNUMBER(SEARCH("bond",LOWER(F1625&amp;" "&amp;H1625&amp;" "&amp;I1625&amp;" "&amp;M1625&amp;" "&amp;N1625&amp;" "&amp;T1625))),ISNUMBER(SEARCH("transaction",LOWER(F1625&amp;" "&amp;H1625&amp;" "&amp;I1625&amp;" "&amp;M1625&amp;" "&amp;N1625&amp;" "&amp;T1625)))),"PRIVATE_REVIEW","PUBLIC_CANDIDATE"))</x:f>
        <x:v>PUBLIC_CANDIDATE</x:v>
      </x:c>
      <x:c r="AD1625" s="12" t="str">
        <x:f>IF(AC1625="PRIVATE_QUARANTINE","hacker_or_bank_trigger",IF(AC1625="PRIVATE_REVIEW","finance_risk_trigger","none"))</x:f>
        <x:v>none</x:v>
      </x:c>
      <x:c r="AE1625" s="12" t="str">
        <x:f>IF(AC1625="PUBLIC_CANDIDATE","prepare_public_github_candidate",IF(AC1625="PRIVATE_REVIEW","hold_for_private_review","quarantine_private_do_not_publish"))</x:f>
        <x:v>prepare_public_github_candidate</x:v>
      </x:c>
      <x:c r="AF1625" s="12" t="str">
        <x:f>IF(AC1625="PUBLIC_CANDIDATE","TIDELOCK + Lucerna",IF(AC1625="PRIVATE_REVIEW","AtlasBrain + Lucerna","TIDELOCK + Lucerna + Human-root"))</x:f>
        <x:v>TIDELOCK + Lucerna</x:v>
      </x:c>
      <x:c r="AG1625" s="12" t="str">
        <x:f>IF(AND(AC1625="PUBLIC_CANDIDATE",U1625&lt;&gt;"BLOCKED_PENDING_RECEIPT"),"READY_AFTER_RECEIPT","NOT_READY")</x:f>
        <x:v>NOT_READY</x:v>
      </x:c>
      <x:c r="AH1625" s="12" t="str">
        <x:f>IF(AC1625="PUBLIC_CANDIDATE","none",AD1625)</x:f>
        <x:v>none</x:v>
      </x:c>
      <x:c r="AI1625" s="12" t="str">
        <x:f>IF(AC1625="PUBLIC_CANDIDATE","archive/public_candidates/"&amp;A1625,"private_quarantine/"&amp;A1625)</x:f>
        <x:v>archive/public_candidates/SWARM-12-H04-S04</x:v>
      </x:c>
      <x:c r="AJ1625" s="12" t="str">
        <x:f>IF(AC1625="PUBLIC_CANDIDATE","public by default; still not canon","private/hold; do not publish")</x:f>
        <x:v>public by default; still not canon</x:v>
      </x:c>
      <x:c r="AK1625" s="12" t="str">
        <x:f>IF(AE1625="prepare_public_github_candidate","add receipt/status then mirror","resolve blocker before any public GitHub action")</x:f>
        <x:v>add receipt/status then mirror</x:v>
      </x:c>
    </x:row>
    <x:row r="1626">
      <x:c r="A1626" s="15" t="str">
        <x:v>SWARM-12-H04-S05</x:v>
      </x:c>
      <x:c r="B1626" s="15" t="str">
        <x:v>JoySignal</x:v>
      </x:c>
      <x:c r="C1626" s="15" t="str">
        <x:v>Rest and morale keeper</x:v>
      </x:c>
      <x:c r="D1626" s="15" t="str">
        <x:v>Claim Extraction</x:v>
      </x:c>
      <x:c r="E1626" s="15" t="str">
        <x:v>Chat</x:v>
      </x:c>
      <x:c r="F1626" s="15" t="str">
        <x:v>Extract claims from Chat — JoySignal</x:v>
      </x:c>
      <x:c r="G1626" s="15" t="str">
        <x:v>cadence / anti-burnout / safe completion language</x:v>
      </x:c>
      <x:c r="H1626" s="15" t="str">
        <x:v>source path + receipt + raw/export status + claim/edge/risk delta</x:v>
      </x:c>
      <x:c r="I1626" s="15" t="str">
        <x:v>packet/SWARM-12-H04-S05</x:v>
      </x:c>
      <x:c r="J1626" s="15" t="str">
        <x:v>TODO</x:v>
      </x:c>
      <x:c r="K1626" s="15" t="str">
        <x:v>P1</x:v>
      </x:c>
      <x:c r="L1626" s="15" t="str">
        <x:v>Done only when evidence is logged, contradiction search is noted, and boundary stamp remains non-canon unless ratified</x:v>
      </x:c>
      <x:c r="M1626" s="15" t="str">
        <x:v>candidate / staging-only / not canon / not deployed / authority none</x:v>
      </x:c>
      <x:c r="N1626" s="15" t="str">
        <x:v>Dispatch to JoySignal: complete Claim Extraction x Chat; return deltas only, receipts required.</x:v>
      </x:c>
      <x:c r="O1626" s="15" t="str">
        <x:v>AF-KG-H04-S05</x:v>
      </x:c>
      <x:c r="P1626" s="15" t="str">
        <x:v>Unverified</x:v>
      </x:c>
      <x:c r="Q1626" s="15" t="str">
        <x:v>Not checked</x:v>
      </x:c>
      <x:c r="R1626" s="15" t="str"/>
      <x:c r="S1626" s="15" t="str"/>
      <x:c r="T1626" s="15" t="str">
        <x:v>Log first source path or blocker</x:v>
      </x:c>
      <x:c r="U1626" s="12" t="str">
        <x:f>IF(OR(P1626="Unverified",Q1626="Not checked"),"BLOCKED_PENDING_RECEIPT","READY_FOR_REVIEW")</x:f>
        <x:v>BLOCKED_PENDING_RECEIPT</x:v>
      </x:c>
      <x:c r="V1626" s="12" t="str">
        <x:f>IF(J1626="DONE","RETURNED",IF(U1626="BLOCKED_PENDING_RECEIPT","SOURCE_TOUCH_REQUIRED","IN_PROGRESS"))</x:f>
        <x:v>SOURCE_TOUCH_REQUIRED</x:v>
      </x:c>
      <x:c r="W1626" s="12" t="str">
        <x:f>IF(P1626="Unverified","missing_receipt","receipt_logged")</x:f>
        <x:v>missing_receipt</x:v>
      </x:c>
      <x:c r="X1626" s="12" t="str">
        <x:f>IF(Q1626="Not checked","raw_status_missing","raw_status_logged")</x:f>
        <x:v>raw_status_missing</x:v>
      </x:c>
      <x:c r="Y1626" s="12" t="str">
        <x:f>IF(U1626="BLOCKED_PENDING_RECEIPT","Log source path or blocker; do not promote","Route to review lane")</x:f>
        <x:v>Log source path or blocker; do not promote</x:v>
      </x:c>
      <x:c r="Z1626" s="12" t="str">
        <x:f>IF(K1626="P0","Primary seat + Hashlight/Lucerna","Seat lane")</x:f>
        <x:v>Seat lane</x:v>
      </x:c>
      <x:c r="AA1626" s="12" t="str">
        <x:f>IF(R1626="","no_claim_delta","claim_delta_present")</x:f>
        <x:v>no_claim_delta</x:v>
      </x:c>
      <x:c r="AB1626" s="12" t="str">
        <x:f>IF(S1626="","no_contradiction_delta","contradiction_delta_present")</x:f>
        <x:v>no_contradiction_delta</x:v>
      </x:c>
      <x:c r="AC1626" s="12" t="str">
        <x:f>IF(OR(ISNUMBER(SEARCH("hacker",LOWER(F1626&amp;" "&amp;H1626&amp;" "&amp;I1626&amp;" "&amp;M1626&amp;" "&amp;N1626&amp;" "&amp;T1626))),ISNUMBER(SEARCH("hacking",LOWER(F1626&amp;" "&amp;H1626&amp;" "&amp;I1626&amp;" "&amp;M1626&amp;" "&amp;N1626&amp;" "&amp;T1626))),ISNUMBER(SEARCH("bank",LOWER(F1626&amp;" "&amp;H1626&amp;" "&amp;I1626&amp;" "&amp;M1626&amp;" "&amp;N1626&amp;" "&amp;T1626))),ISNUMBER(SEARCH("banking",LOWER(F1626&amp;" "&amp;H1626&amp;" "&amp;I1626&amp;" "&amp;M1626&amp;" "&amp;N1626&amp;" "&amp;T1626)))),"PRIVATE_QUARANTINE",IF(OR(ISNUMBER(SEARCH("treasury",LOWER(F1626&amp;" "&amp;H1626&amp;" "&amp;I1626&amp;" "&amp;M1626&amp;" "&amp;N1626&amp;" "&amp;T1626))),ISNUMBER(SEARCH("debt",LOWER(F1626&amp;" "&amp;H1626&amp;" "&amp;I1626&amp;" "&amp;M1626&amp;" "&amp;N1626&amp;" "&amp;T1626))),ISNUMBER(SEARCH("bond",LOWER(F1626&amp;" "&amp;H1626&amp;" "&amp;I1626&amp;" "&amp;M1626&amp;" "&amp;N1626&amp;" "&amp;T1626))),ISNUMBER(SEARCH("transaction",LOWER(F1626&amp;" "&amp;H1626&amp;" "&amp;I1626&amp;" "&amp;M1626&amp;" "&amp;N1626&amp;" "&amp;T1626)))),"PRIVATE_REVIEW","PUBLIC_CANDIDATE"))</x:f>
        <x:v>PUBLIC_CANDIDATE</x:v>
      </x:c>
      <x:c r="AD1626" s="12" t="str">
        <x:f>IF(AC1626="PRIVATE_QUARANTINE","hacker_or_bank_trigger",IF(AC1626="PRIVATE_REVIEW","finance_risk_trigger","none"))</x:f>
        <x:v>none</x:v>
      </x:c>
      <x:c r="AE1626" s="12" t="str">
        <x:f>IF(AC1626="PUBLIC_CANDIDATE","prepare_public_github_candidate",IF(AC1626="PRIVATE_REVIEW","hold_for_private_review","quarantine_private_do_not_publish"))</x:f>
        <x:v>prepare_public_github_candidate</x:v>
      </x:c>
      <x:c r="AF1626" s="12" t="str">
        <x:f>IF(AC1626="PUBLIC_CANDIDATE","TIDELOCK + Lucerna",IF(AC1626="PRIVATE_REVIEW","AtlasBrain + Lucerna","TIDELOCK + Lucerna + Human-root"))</x:f>
        <x:v>TIDELOCK + Lucerna</x:v>
      </x:c>
      <x:c r="AG1626" s="12" t="str">
        <x:f>IF(AND(AC1626="PUBLIC_CANDIDATE",U1626&lt;&gt;"BLOCKED_PENDING_RECEIPT"),"READY_AFTER_RECEIPT","NOT_READY")</x:f>
        <x:v>NOT_READY</x:v>
      </x:c>
      <x:c r="AH1626" s="12" t="str">
        <x:f>IF(AC1626="PUBLIC_CANDIDATE","none",AD1626)</x:f>
        <x:v>none</x:v>
      </x:c>
      <x:c r="AI1626" s="12" t="str">
        <x:f>IF(AC1626="PUBLIC_CANDIDATE","archive/public_candidates/"&amp;A1626,"private_quarantine/"&amp;A1626)</x:f>
        <x:v>archive/public_candidates/SWARM-12-H04-S05</x:v>
      </x:c>
      <x:c r="AJ1626" s="12" t="str">
        <x:f>IF(AC1626="PUBLIC_CANDIDATE","public by default; still not canon","private/hold; do not publish")</x:f>
        <x:v>public by default; still not canon</x:v>
      </x:c>
      <x:c r="AK1626" s="12" t="str">
        <x:f>IF(AE1626="prepare_public_github_candidate","add receipt/status then mirror","resolve blocker before any public GitHub action")</x:f>
        <x:v>add receipt/status then mirror</x:v>
      </x:c>
    </x:row>
    <x:row r="1627">
      <x:c r="A1627" s="15" t="str">
        <x:v>SWARM-12-H04-S06</x:v>
      </x:c>
      <x:c r="B1627" s="15" t="str">
        <x:v>JoySignal</x:v>
      </x:c>
      <x:c r="C1627" s="15" t="str">
        <x:v>Rest and morale keeper</x:v>
      </x:c>
      <x:c r="D1627" s="15" t="str">
        <x:v>Claim Extraction</x:v>
      </x:c>
      <x:c r="E1627" s="15" t="str">
        <x:v>External Web</x:v>
      </x:c>
      <x:c r="F1627" s="15" t="str">
        <x:v>Extract claims from External Web — JoySignal</x:v>
      </x:c>
      <x:c r="G1627" s="15" t="str">
        <x:v>cadence / anti-burnout / safe completion language</x:v>
      </x:c>
      <x:c r="H1627" s="15" t="str">
        <x:v>source path + receipt + raw/export status + claim/edge/risk delta</x:v>
      </x:c>
      <x:c r="I1627" s="15" t="str">
        <x:v>packet/SWARM-12-H04-S06</x:v>
      </x:c>
      <x:c r="J1627" s="15" t="str">
        <x:v>TODO</x:v>
      </x:c>
      <x:c r="K1627" s="15" t="str">
        <x:v>P1</x:v>
      </x:c>
      <x:c r="L1627" s="15" t="str">
        <x:v>Done only when evidence is logged, contradiction search is noted, and boundary stamp remains non-canon unless ratified</x:v>
      </x:c>
      <x:c r="M1627" s="15" t="str">
        <x:v>candidate / staging-only / not canon / not deployed / authority none</x:v>
      </x:c>
      <x:c r="N1627" s="15" t="str">
        <x:v>Dispatch to JoySignal: complete Claim Extraction x External Web; return deltas only, receipts required.</x:v>
      </x:c>
      <x:c r="O1627" s="15" t="str">
        <x:v>AF-KG-H04-S06</x:v>
      </x:c>
      <x:c r="P1627" s="15" t="str">
        <x:v>Unverified</x:v>
      </x:c>
      <x:c r="Q1627" s="15" t="str">
        <x:v>Not checked</x:v>
      </x:c>
      <x:c r="R1627" s="15" t="str"/>
      <x:c r="S1627" s="15" t="str"/>
      <x:c r="T1627" s="15" t="str">
        <x:v>Log first source path or blocker</x:v>
      </x:c>
      <x:c r="U1627" s="12" t="str">
        <x:f>IF(OR(P1627="Unverified",Q1627="Not checked"),"BLOCKED_PENDING_RECEIPT","READY_FOR_REVIEW")</x:f>
        <x:v>BLOCKED_PENDING_RECEIPT</x:v>
      </x:c>
      <x:c r="V1627" s="12" t="str">
        <x:f>IF(J1627="DONE","RETURNED",IF(U1627="BLOCKED_PENDING_RECEIPT","SOURCE_TOUCH_REQUIRED","IN_PROGRESS"))</x:f>
        <x:v>SOURCE_TOUCH_REQUIRED</x:v>
      </x:c>
      <x:c r="W1627" s="12" t="str">
        <x:f>IF(P1627="Unverified","missing_receipt","receipt_logged")</x:f>
        <x:v>missing_receipt</x:v>
      </x:c>
      <x:c r="X1627" s="12" t="str">
        <x:f>IF(Q1627="Not checked","raw_status_missing","raw_status_logged")</x:f>
        <x:v>raw_status_missing</x:v>
      </x:c>
      <x:c r="Y1627" s="12" t="str">
        <x:f>IF(U1627="BLOCKED_PENDING_RECEIPT","Log source path or blocker; do not promote","Route to review lane")</x:f>
        <x:v>Log source path or blocker; do not promote</x:v>
      </x:c>
      <x:c r="Z1627" s="12" t="str">
        <x:f>IF(K1627="P0","Primary seat + Hashlight/Lucerna","Seat lane")</x:f>
        <x:v>Seat lane</x:v>
      </x:c>
      <x:c r="AA1627" s="12" t="str">
        <x:f>IF(R1627="","no_claim_delta","claim_delta_present")</x:f>
        <x:v>no_claim_delta</x:v>
      </x:c>
      <x:c r="AB1627" s="12" t="str">
        <x:f>IF(S1627="","no_contradiction_delta","contradiction_delta_present")</x:f>
        <x:v>no_contradiction_delta</x:v>
      </x:c>
      <x:c r="AC1627" s="12" t="str">
        <x:f>IF(OR(ISNUMBER(SEARCH("hacker",LOWER(F1627&amp;" "&amp;H1627&amp;" "&amp;I1627&amp;" "&amp;M1627&amp;" "&amp;N1627&amp;" "&amp;T1627))),ISNUMBER(SEARCH("hacking",LOWER(F1627&amp;" "&amp;H1627&amp;" "&amp;I1627&amp;" "&amp;M1627&amp;" "&amp;N1627&amp;" "&amp;T1627))),ISNUMBER(SEARCH("bank",LOWER(F1627&amp;" "&amp;H1627&amp;" "&amp;I1627&amp;" "&amp;M1627&amp;" "&amp;N1627&amp;" "&amp;T1627))),ISNUMBER(SEARCH("banking",LOWER(F1627&amp;" "&amp;H1627&amp;" "&amp;I1627&amp;" "&amp;M1627&amp;" "&amp;N1627&amp;" "&amp;T1627)))),"PRIVATE_QUARANTINE",IF(OR(ISNUMBER(SEARCH("treasury",LOWER(F1627&amp;" "&amp;H1627&amp;" "&amp;I1627&amp;" "&amp;M1627&amp;" "&amp;N1627&amp;" "&amp;T1627))),ISNUMBER(SEARCH("debt",LOWER(F1627&amp;" "&amp;H1627&amp;" "&amp;I1627&amp;" "&amp;M1627&amp;" "&amp;N1627&amp;" "&amp;T1627))),ISNUMBER(SEARCH("bond",LOWER(F1627&amp;" "&amp;H1627&amp;" "&amp;I1627&amp;" "&amp;M1627&amp;" "&amp;N1627&amp;" "&amp;T1627))),ISNUMBER(SEARCH("transaction",LOWER(F1627&amp;" "&amp;H1627&amp;" "&amp;I1627&amp;" "&amp;M1627&amp;" "&amp;N1627&amp;" "&amp;T1627)))),"PRIVATE_REVIEW","PUBLIC_CANDIDATE"))</x:f>
        <x:v>PUBLIC_CANDIDATE</x:v>
      </x:c>
      <x:c r="AD1627" s="12" t="str">
        <x:f>IF(AC1627="PRIVATE_QUARANTINE","hacker_or_bank_trigger",IF(AC1627="PRIVATE_REVIEW","finance_risk_trigger","none"))</x:f>
        <x:v>none</x:v>
      </x:c>
      <x:c r="AE1627" s="12" t="str">
        <x:f>IF(AC1627="PUBLIC_CANDIDATE","prepare_public_github_candidate",IF(AC1627="PRIVATE_REVIEW","hold_for_private_review","quarantine_private_do_not_publish"))</x:f>
        <x:v>prepare_public_github_candidate</x:v>
      </x:c>
      <x:c r="AF1627" s="12" t="str">
        <x:f>IF(AC1627="PUBLIC_CANDIDATE","TIDELOCK + Lucerna",IF(AC1627="PRIVATE_REVIEW","AtlasBrain + Lucerna","TIDELOCK + Lucerna + Human-root"))</x:f>
        <x:v>TIDELOCK + Lucerna</x:v>
      </x:c>
      <x:c r="AG1627" s="12" t="str">
        <x:f>IF(AND(AC1627="PUBLIC_CANDIDATE",U1627&lt;&gt;"BLOCKED_PENDING_RECEIPT"),"READY_AFTER_RECEIPT","NOT_READY")</x:f>
        <x:v>NOT_READY</x:v>
      </x:c>
      <x:c r="AH1627" s="12" t="str">
        <x:f>IF(AC1627="PUBLIC_CANDIDATE","none",AD1627)</x:f>
        <x:v>none</x:v>
      </x:c>
      <x:c r="AI1627" s="12" t="str">
        <x:f>IF(AC1627="PUBLIC_CANDIDATE","archive/public_candidates/"&amp;A1627,"private_quarantine/"&amp;A1627)</x:f>
        <x:v>archive/public_candidates/SWARM-12-H04-S06</x:v>
      </x:c>
      <x:c r="AJ1627" s="12" t="str">
        <x:f>IF(AC1627="PUBLIC_CANDIDATE","public by default; still not canon","private/hold; do not publish")</x:f>
        <x:v>public by default; still not canon</x:v>
      </x:c>
      <x:c r="AK1627" s="12" t="str">
        <x:f>IF(AE1627="prepare_public_github_candidate","add receipt/status then mirror","resolve blocker before any public GitHub action")</x:f>
        <x:v>add receipt/status then mirror</x:v>
      </x:c>
    </x:row>
    <x:row r="1628">
      <x:c r="A1628" s="15" t="str">
        <x:v>SWARM-12-H04-S07</x:v>
      </x:c>
      <x:c r="B1628" s="15" t="str">
        <x:v>JoySignal</x:v>
      </x:c>
      <x:c r="C1628" s="15" t="str">
        <x:v>Rest and morale keeper</x:v>
      </x:c>
      <x:c r="D1628" s="15" t="str">
        <x:v>Claim Extraction</x:v>
      </x:c>
      <x:c r="E1628" s="15" t="str">
        <x:v>Planetarium</x:v>
      </x:c>
      <x:c r="F1628" s="15" t="str">
        <x:v>Extract claims from Planetarium — JoySignal</x:v>
      </x:c>
      <x:c r="G1628" s="15" t="str">
        <x:v>cadence / anti-burnout / safe completion language</x:v>
      </x:c>
      <x:c r="H1628" s="15" t="str">
        <x:v>source path + receipt + raw/export status + claim/edge/risk delta</x:v>
      </x:c>
      <x:c r="I1628" s="15" t="str">
        <x:v>packet/SWARM-12-H04-S07</x:v>
      </x:c>
      <x:c r="J1628" s="15" t="str">
        <x:v>TODO</x:v>
      </x:c>
      <x:c r="K1628" s="15" t="str">
        <x:v>P1</x:v>
      </x:c>
      <x:c r="L1628" s="15" t="str">
        <x:v>Done only when evidence is logged, contradiction search is noted, and boundary stamp remains non-canon unless ratified</x:v>
      </x:c>
      <x:c r="M1628" s="15" t="str">
        <x:v>candidate / staging-only / not canon / not deployed / authority none</x:v>
      </x:c>
      <x:c r="N1628" s="15" t="str">
        <x:v>Dispatch to JoySignal: complete Claim Extraction x Planetarium; return deltas only, receipts required.</x:v>
      </x:c>
      <x:c r="O1628" s="15" t="str">
        <x:v>AF-KG-H04-S07</x:v>
      </x:c>
      <x:c r="P1628" s="15" t="str">
        <x:v>Unverified</x:v>
      </x:c>
      <x:c r="Q1628" s="15" t="str">
        <x:v>Not checked</x:v>
      </x:c>
      <x:c r="R1628" s="15" t="str"/>
      <x:c r="S1628" s="15" t="str"/>
      <x:c r="T1628" s="15" t="str">
        <x:v>Log first source path or blocker</x:v>
      </x:c>
      <x:c r="U1628" s="12" t="str">
        <x:f>IF(OR(P1628="Unverified",Q1628="Not checked"),"BLOCKED_PENDING_RECEIPT","READY_FOR_REVIEW")</x:f>
        <x:v>BLOCKED_PENDING_RECEIPT</x:v>
      </x:c>
      <x:c r="V1628" s="12" t="str">
        <x:f>IF(J1628="DONE","RETURNED",IF(U1628="BLOCKED_PENDING_RECEIPT","SOURCE_TOUCH_REQUIRED","IN_PROGRESS"))</x:f>
        <x:v>SOURCE_TOUCH_REQUIRED</x:v>
      </x:c>
      <x:c r="W1628" s="12" t="str">
        <x:f>IF(P1628="Unverified","missing_receipt","receipt_logged")</x:f>
        <x:v>missing_receipt</x:v>
      </x:c>
      <x:c r="X1628" s="12" t="str">
        <x:f>IF(Q1628="Not checked","raw_status_missing","raw_status_logged")</x:f>
        <x:v>raw_status_missing</x:v>
      </x:c>
      <x:c r="Y1628" s="12" t="str">
        <x:f>IF(U1628="BLOCKED_PENDING_RECEIPT","Log source path or blocker; do not promote","Route to review lane")</x:f>
        <x:v>Log source path or blocker; do not promote</x:v>
      </x:c>
      <x:c r="Z1628" s="12" t="str">
        <x:f>IF(K1628="P0","Primary seat + Hashlight/Lucerna","Seat lane")</x:f>
        <x:v>Seat lane</x:v>
      </x:c>
      <x:c r="AA1628" s="12" t="str">
        <x:f>IF(R1628="","no_claim_delta","claim_delta_present")</x:f>
        <x:v>no_claim_delta</x:v>
      </x:c>
      <x:c r="AB1628" s="12" t="str">
        <x:f>IF(S1628="","no_contradiction_delta","contradiction_delta_present")</x:f>
        <x:v>no_contradiction_delta</x:v>
      </x:c>
      <x:c r="AC1628" s="12" t="str">
        <x:f>IF(OR(ISNUMBER(SEARCH("hacker",LOWER(F1628&amp;" "&amp;H1628&amp;" "&amp;I1628&amp;" "&amp;M1628&amp;" "&amp;N1628&amp;" "&amp;T1628))),ISNUMBER(SEARCH("hacking",LOWER(F1628&amp;" "&amp;H1628&amp;" "&amp;I1628&amp;" "&amp;M1628&amp;" "&amp;N1628&amp;" "&amp;T1628))),ISNUMBER(SEARCH("bank",LOWER(F1628&amp;" "&amp;H1628&amp;" "&amp;I1628&amp;" "&amp;M1628&amp;" "&amp;N1628&amp;" "&amp;T1628))),ISNUMBER(SEARCH("banking",LOWER(F1628&amp;" "&amp;H1628&amp;" "&amp;I1628&amp;" "&amp;M1628&amp;" "&amp;N1628&amp;" "&amp;T1628)))),"PRIVATE_QUARANTINE",IF(OR(ISNUMBER(SEARCH("treasury",LOWER(F1628&amp;" "&amp;H1628&amp;" "&amp;I1628&amp;" "&amp;M1628&amp;" "&amp;N1628&amp;" "&amp;T1628))),ISNUMBER(SEARCH("debt",LOWER(F1628&amp;" "&amp;H1628&amp;" "&amp;I1628&amp;" "&amp;M1628&amp;" "&amp;N1628&amp;" "&amp;T1628))),ISNUMBER(SEARCH("bond",LOWER(F1628&amp;" "&amp;H1628&amp;" "&amp;I1628&amp;" "&amp;M1628&amp;" "&amp;N1628&amp;" "&amp;T1628))),ISNUMBER(SEARCH("transaction",LOWER(F1628&amp;" "&amp;H1628&amp;" "&amp;I1628&amp;" "&amp;M1628&amp;" "&amp;N1628&amp;" "&amp;T1628)))),"PRIVATE_REVIEW","PUBLIC_CANDIDATE"))</x:f>
        <x:v>PUBLIC_CANDIDATE</x:v>
      </x:c>
      <x:c r="AD1628" s="12" t="str">
        <x:f>IF(AC1628="PRIVATE_QUARANTINE","hacker_or_bank_trigger",IF(AC1628="PRIVATE_REVIEW","finance_risk_trigger","none"))</x:f>
        <x:v>none</x:v>
      </x:c>
      <x:c r="AE1628" s="12" t="str">
        <x:f>IF(AC1628="PUBLIC_CANDIDATE","prepare_public_github_candidate",IF(AC1628="PRIVATE_REVIEW","hold_for_private_review","quarantine_private_do_not_publish"))</x:f>
        <x:v>prepare_public_github_candidate</x:v>
      </x:c>
      <x:c r="AF1628" s="12" t="str">
        <x:f>IF(AC1628="PUBLIC_CANDIDATE","TIDELOCK + Lucerna",IF(AC1628="PRIVATE_REVIEW","AtlasBrain + Lucerna","TIDELOCK + Lucerna + Human-root"))</x:f>
        <x:v>TIDELOCK + Lucerna</x:v>
      </x:c>
      <x:c r="AG1628" s="12" t="str">
        <x:f>IF(AND(AC1628="PUBLIC_CANDIDATE",U1628&lt;&gt;"BLOCKED_PENDING_RECEIPT"),"READY_AFTER_RECEIPT","NOT_READY")</x:f>
        <x:v>NOT_READY</x:v>
      </x:c>
      <x:c r="AH1628" s="12" t="str">
        <x:f>IF(AC1628="PUBLIC_CANDIDATE","none",AD1628)</x:f>
        <x:v>none</x:v>
      </x:c>
      <x:c r="AI1628" s="12" t="str">
        <x:f>IF(AC1628="PUBLIC_CANDIDATE","archive/public_candidates/"&amp;A1628,"private_quarantine/"&amp;A1628)</x:f>
        <x:v>archive/public_candidates/SWARM-12-H04-S07</x:v>
      </x:c>
      <x:c r="AJ1628" s="12" t="str">
        <x:f>IF(AC1628="PUBLIC_CANDIDATE","public by default; still not canon","private/hold; do not publish")</x:f>
        <x:v>public by default; still not canon</x:v>
      </x:c>
      <x:c r="AK1628" s="12" t="str">
        <x:f>IF(AE1628="prepare_public_github_candidate","add receipt/status then mirror","resolve blocker before any public GitHub action")</x:f>
        <x:v>add receipt/status then mirror</x:v>
      </x:c>
    </x:row>
    <x:row r="1629">
      <x:c r="A1629" s="15" t="str">
        <x:v>SWARM-12-H04-S08</x:v>
      </x:c>
      <x:c r="B1629" s="15" t="str">
        <x:v>JoySignal</x:v>
      </x:c>
      <x:c r="C1629" s="15" t="str">
        <x:v>Rest and morale keeper</x:v>
      </x:c>
      <x:c r="D1629" s="15" t="str">
        <x:v>Claim Extraction</x:v>
      </x:c>
      <x:c r="E1629" s="15" t="str">
        <x:v>Sheldonbrain</x:v>
      </x:c>
      <x:c r="F1629" s="15" t="str">
        <x:v>Extract claims from Sheldonbrain — JoySignal</x:v>
      </x:c>
      <x:c r="G1629" s="15" t="str">
        <x:v>cadence / anti-burnout / safe completion language</x:v>
      </x:c>
      <x:c r="H1629" s="15" t="str">
        <x:v>source path + receipt + raw/export status + claim/edge/risk delta</x:v>
      </x:c>
      <x:c r="I1629" s="15" t="str">
        <x:v>packet/SWARM-12-H04-S08</x:v>
      </x:c>
      <x:c r="J1629" s="15" t="str">
        <x:v>TODO</x:v>
      </x:c>
      <x:c r="K1629" s="15" t="str">
        <x:v>P1</x:v>
      </x:c>
      <x:c r="L1629" s="15" t="str">
        <x:v>Done only when evidence is logged, contradiction search is noted, and boundary stamp remains non-canon unless ratified</x:v>
      </x:c>
      <x:c r="M1629" s="15" t="str">
        <x:v>candidate / staging-only / not canon / not deployed / authority none</x:v>
      </x:c>
      <x:c r="N1629" s="15" t="str">
        <x:v>Dispatch to JoySignal: complete Claim Extraction x Sheldonbrain; return deltas only, receipts required.</x:v>
      </x:c>
      <x:c r="O1629" s="15" t="str">
        <x:v>AF-KG-H04-S08</x:v>
      </x:c>
      <x:c r="P1629" s="15" t="str">
        <x:v>Unverified</x:v>
      </x:c>
      <x:c r="Q1629" s="15" t="str">
        <x:v>Not checked</x:v>
      </x:c>
      <x:c r="R1629" s="15" t="str"/>
      <x:c r="S1629" s="15" t="str"/>
      <x:c r="T1629" s="15" t="str">
        <x:v>Log first source path or blocker</x:v>
      </x:c>
      <x:c r="U1629" s="12" t="str">
        <x:f>IF(OR(P1629="Unverified",Q1629="Not checked"),"BLOCKED_PENDING_RECEIPT","READY_FOR_REVIEW")</x:f>
        <x:v>BLOCKED_PENDING_RECEIPT</x:v>
      </x:c>
      <x:c r="V1629" s="12" t="str">
        <x:f>IF(J1629="DONE","RETURNED",IF(U1629="BLOCKED_PENDING_RECEIPT","SOURCE_TOUCH_REQUIRED","IN_PROGRESS"))</x:f>
        <x:v>SOURCE_TOUCH_REQUIRED</x:v>
      </x:c>
      <x:c r="W1629" s="12" t="str">
        <x:f>IF(P1629="Unverified","missing_receipt","receipt_logged")</x:f>
        <x:v>missing_receipt</x:v>
      </x:c>
      <x:c r="X1629" s="12" t="str">
        <x:f>IF(Q1629="Not checked","raw_status_missing","raw_status_logged")</x:f>
        <x:v>raw_status_missing</x:v>
      </x:c>
      <x:c r="Y1629" s="12" t="str">
        <x:f>IF(U1629="BLOCKED_PENDING_RECEIPT","Log source path or blocker; do not promote","Route to review lane")</x:f>
        <x:v>Log source path or blocker; do not promote</x:v>
      </x:c>
      <x:c r="Z1629" s="12" t="str">
        <x:f>IF(K1629="P0","Primary seat + Hashlight/Lucerna","Seat lane")</x:f>
        <x:v>Seat lane</x:v>
      </x:c>
      <x:c r="AA1629" s="12" t="str">
        <x:f>IF(R1629="","no_claim_delta","claim_delta_present")</x:f>
        <x:v>no_claim_delta</x:v>
      </x:c>
      <x:c r="AB1629" s="12" t="str">
        <x:f>IF(S1629="","no_contradiction_delta","contradiction_delta_present")</x:f>
        <x:v>no_contradiction_delta</x:v>
      </x:c>
      <x:c r="AC1629" s="12" t="str">
        <x:f>IF(OR(ISNUMBER(SEARCH("hacker",LOWER(F1629&amp;" "&amp;H1629&amp;" "&amp;I1629&amp;" "&amp;M1629&amp;" "&amp;N1629&amp;" "&amp;T1629))),ISNUMBER(SEARCH("hacking",LOWER(F1629&amp;" "&amp;H1629&amp;" "&amp;I1629&amp;" "&amp;M1629&amp;" "&amp;N1629&amp;" "&amp;T1629))),ISNUMBER(SEARCH("bank",LOWER(F1629&amp;" "&amp;H1629&amp;" "&amp;I1629&amp;" "&amp;M1629&amp;" "&amp;N1629&amp;" "&amp;T1629))),ISNUMBER(SEARCH("banking",LOWER(F1629&amp;" "&amp;H1629&amp;" "&amp;I1629&amp;" "&amp;M1629&amp;" "&amp;N1629&amp;" "&amp;T1629)))),"PRIVATE_QUARANTINE",IF(OR(ISNUMBER(SEARCH("treasury",LOWER(F1629&amp;" "&amp;H1629&amp;" "&amp;I1629&amp;" "&amp;M1629&amp;" "&amp;N1629&amp;" "&amp;T1629))),ISNUMBER(SEARCH("debt",LOWER(F1629&amp;" "&amp;H1629&amp;" "&amp;I1629&amp;" "&amp;M1629&amp;" "&amp;N1629&amp;" "&amp;T1629))),ISNUMBER(SEARCH("bond",LOWER(F1629&amp;" "&amp;H1629&amp;" "&amp;I1629&amp;" "&amp;M1629&amp;" "&amp;N1629&amp;" "&amp;T1629))),ISNUMBER(SEARCH("transaction",LOWER(F1629&amp;" "&amp;H1629&amp;" "&amp;I1629&amp;" "&amp;M1629&amp;" "&amp;N1629&amp;" "&amp;T1629)))),"PRIVATE_REVIEW","PUBLIC_CANDIDATE"))</x:f>
        <x:v>PUBLIC_CANDIDATE</x:v>
      </x:c>
      <x:c r="AD1629" s="12" t="str">
        <x:f>IF(AC1629="PRIVATE_QUARANTINE","hacker_or_bank_trigger",IF(AC1629="PRIVATE_REVIEW","finance_risk_trigger","none"))</x:f>
        <x:v>none</x:v>
      </x:c>
      <x:c r="AE1629" s="12" t="str">
        <x:f>IF(AC1629="PUBLIC_CANDIDATE","prepare_public_github_candidate",IF(AC1629="PRIVATE_REVIEW","hold_for_private_review","quarantine_private_do_not_publish"))</x:f>
        <x:v>prepare_public_github_candidate</x:v>
      </x:c>
      <x:c r="AF1629" s="12" t="str">
        <x:f>IF(AC1629="PUBLIC_CANDIDATE","TIDELOCK + Lucerna",IF(AC1629="PRIVATE_REVIEW","AtlasBrain + Lucerna","TIDELOCK + Lucerna + Human-root"))</x:f>
        <x:v>TIDELOCK + Lucerna</x:v>
      </x:c>
      <x:c r="AG1629" s="12" t="str">
        <x:f>IF(AND(AC1629="PUBLIC_CANDIDATE",U1629&lt;&gt;"BLOCKED_PENDING_RECEIPT"),"READY_AFTER_RECEIPT","NOT_READY")</x:f>
        <x:v>NOT_READY</x:v>
      </x:c>
      <x:c r="AH1629" s="12" t="str">
        <x:f>IF(AC1629="PUBLIC_CANDIDATE","none",AD1629)</x:f>
        <x:v>none</x:v>
      </x:c>
      <x:c r="AI1629" s="12" t="str">
        <x:f>IF(AC1629="PUBLIC_CANDIDATE","archive/public_candidates/"&amp;A1629,"private_quarantine/"&amp;A1629)</x:f>
        <x:v>archive/public_candidates/SWARM-12-H04-S08</x:v>
      </x:c>
      <x:c r="AJ1629" s="12" t="str">
        <x:f>IF(AC1629="PUBLIC_CANDIDATE","public by default; still not canon","private/hold; do not publish")</x:f>
        <x:v>public by default; still not canon</x:v>
      </x:c>
      <x:c r="AK1629" s="12" t="str">
        <x:f>IF(AE1629="prepare_public_github_candidate","add receipt/status then mirror","resolve blocker before any public GitHub action")</x:f>
        <x:v>add receipt/status then mirror</x:v>
      </x:c>
    </x:row>
    <x:row r="1630">
      <x:c r="A1630" s="15" t="str">
        <x:v>SWARM-12-H04-S09</x:v>
      </x:c>
      <x:c r="B1630" s="15" t="str">
        <x:v>JoySignal</x:v>
      </x:c>
      <x:c r="C1630" s="15" t="str">
        <x:v>Rest and morale keeper</x:v>
      </x:c>
      <x:c r="D1630" s="15" t="str">
        <x:v>Claim Extraction</x:v>
      </x:c>
      <x:c r="E1630" s="15" t="str">
        <x:v>Aetherforge</x:v>
      </x:c>
      <x:c r="F1630" s="15" t="str">
        <x:v>Extract claims from Aetherforge — JoySignal</x:v>
      </x:c>
      <x:c r="G1630" s="15" t="str">
        <x:v>cadence / anti-burnout / safe completion language</x:v>
      </x:c>
      <x:c r="H1630" s="15" t="str">
        <x:v>source path + receipt + raw/export status + claim/edge/risk delta</x:v>
      </x:c>
      <x:c r="I1630" s="15" t="str">
        <x:v>packet/SWARM-12-H04-S09</x:v>
      </x:c>
      <x:c r="J1630" s="15" t="str">
        <x:v>TODO</x:v>
      </x:c>
      <x:c r="K1630" s="15" t="str">
        <x:v>P2</x:v>
      </x:c>
      <x:c r="L1630" s="15" t="str">
        <x:v>Done only when evidence is logged, contradiction search is noted, and boundary stamp remains non-canon unless ratified</x:v>
      </x:c>
      <x:c r="M1630" s="15" t="str">
        <x:v>candidate / staging-only / not canon / not deployed / authority none</x:v>
      </x:c>
      <x:c r="N1630" s="15" t="str">
        <x:v>Dispatch to JoySignal: complete Claim Extraction x Aetherforge; return deltas only, receipts required.</x:v>
      </x:c>
      <x:c r="O1630" s="15" t="str">
        <x:v>AF-KG-H04-S09</x:v>
      </x:c>
      <x:c r="P1630" s="15" t="str">
        <x:v>Unverified</x:v>
      </x:c>
      <x:c r="Q1630" s="15" t="str">
        <x:v>Not checked</x:v>
      </x:c>
      <x:c r="R1630" s="15" t="str"/>
      <x:c r="S1630" s="15" t="str"/>
      <x:c r="T1630" s="15" t="str">
        <x:v>Log first source path or blocker</x:v>
      </x:c>
      <x:c r="U1630" s="12" t="str">
        <x:f>IF(OR(P1630="Unverified",Q1630="Not checked"),"BLOCKED_PENDING_RECEIPT","READY_FOR_REVIEW")</x:f>
        <x:v>BLOCKED_PENDING_RECEIPT</x:v>
      </x:c>
      <x:c r="V1630" s="12" t="str">
        <x:f>IF(J1630="DONE","RETURNED",IF(U1630="BLOCKED_PENDING_RECEIPT","SOURCE_TOUCH_REQUIRED","IN_PROGRESS"))</x:f>
        <x:v>SOURCE_TOUCH_REQUIRED</x:v>
      </x:c>
      <x:c r="W1630" s="12" t="str">
        <x:f>IF(P1630="Unverified","missing_receipt","receipt_logged")</x:f>
        <x:v>missing_receipt</x:v>
      </x:c>
      <x:c r="X1630" s="12" t="str">
        <x:f>IF(Q1630="Not checked","raw_status_missing","raw_status_logged")</x:f>
        <x:v>raw_status_missing</x:v>
      </x:c>
      <x:c r="Y1630" s="12" t="str">
        <x:f>IF(U1630="BLOCKED_PENDING_RECEIPT","Log source path or blocker; do not promote","Route to review lane")</x:f>
        <x:v>Log source path or blocker; do not promote</x:v>
      </x:c>
      <x:c r="Z1630" s="12" t="str">
        <x:f>IF(K1630="P0","Primary seat + Hashlight/Lucerna","Seat lane")</x:f>
        <x:v>Seat lane</x:v>
      </x:c>
      <x:c r="AA1630" s="12" t="str">
        <x:f>IF(R1630="","no_claim_delta","claim_delta_present")</x:f>
        <x:v>no_claim_delta</x:v>
      </x:c>
      <x:c r="AB1630" s="12" t="str">
        <x:f>IF(S1630="","no_contradiction_delta","contradiction_delta_present")</x:f>
        <x:v>no_contradiction_delta</x:v>
      </x:c>
      <x:c r="AC1630" s="12" t="str">
        <x:f>IF(OR(ISNUMBER(SEARCH("hacker",LOWER(F1630&amp;" "&amp;H1630&amp;" "&amp;I1630&amp;" "&amp;M1630&amp;" "&amp;N1630&amp;" "&amp;T1630))),ISNUMBER(SEARCH("hacking",LOWER(F1630&amp;" "&amp;H1630&amp;" "&amp;I1630&amp;" "&amp;M1630&amp;" "&amp;N1630&amp;" "&amp;T1630))),ISNUMBER(SEARCH("bank",LOWER(F1630&amp;" "&amp;H1630&amp;" "&amp;I1630&amp;" "&amp;M1630&amp;" "&amp;N1630&amp;" "&amp;T1630))),ISNUMBER(SEARCH("banking",LOWER(F1630&amp;" "&amp;H1630&amp;" "&amp;I1630&amp;" "&amp;M1630&amp;" "&amp;N1630&amp;" "&amp;T1630)))),"PRIVATE_QUARANTINE",IF(OR(ISNUMBER(SEARCH("treasury",LOWER(F1630&amp;" "&amp;H1630&amp;" "&amp;I1630&amp;" "&amp;M1630&amp;" "&amp;N1630&amp;" "&amp;T1630))),ISNUMBER(SEARCH("debt",LOWER(F1630&amp;" "&amp;H1630&amp;" "&amp;I1630&amp;" "&amp;M1630&amp;" "&amp;N1630&amp;" "&amp;T1630))),ISNUMBER(SEARCH("bond",LOWER(F1630&amp;" "&amp;H1630&amp;" "&amp;I1630&amp;" "&amp;M1630&amp;" "&amp;N1630&amp;" "&amp;T1630))),ISNUMBER(SEARCH("transaction",LOWER(F1630&amp;" "&amp;H1630&amp;" "&amp;I1630&amp;" "&amp;M1630&amp;" "&amp;N1630&amp;" "&amp;T1630)))),"PRIVATE_REVIEW","PUBLIC_CANDIDATE"))</x:f>
        <x:v>PUBLIC_CANDIDATE</x:v>
      </x:c>
      <x:c r="AD1630" s="12" t="str">
        <x:f>IF(AC1630="PRIVATE_QUARANTINE","hacker_or_bank_trigger",IF(AC1630="PRIVATE_REVIEW","finance_risk_trigger","none"))</x:f>
        <x:v>none</x:v>
      </x:c>
      <x:c r="AE1630" s="12" t="str">
        <x:f>IF(AC1630="PUBLIC_CANDIDATE","prepare_public_github_candidate",IF(AC1630="PRIVATE_REVIEW","hold_for_private_review","quarantine_private_do_not_publish"))</x:f>
        <x:v>prepare_public_github_candidate</x:v>
      </x:c>
      <x:c r="AF1630" s="12" t="str">
        <x:f>IF(AC1630="PUBLIC_CANDIDATE","TIDELOCK + Lucerna",IF(AC1630="PRIVATE_REVIEW","AtlasBrain + Lucerna","TIDELOCK + Lucerna + Human-root"))</x:f>
        <x:v>TIDELOCK + Lucerna</x:v>
      </x:c>
      <x:c r="AG1630" s="12" t="str">
        <x:f>IF(AND(AC1630="PUBLIC_CANDIDATE",U1630&lt;&gt;"BLOCKED_PENDING_RECEIPT"),"READY_AFTER_RECEIPT","NOT_READY")</x:f>
        <x:v>NOT_READY</x:v>
      </x:c>
      <x:c r="AH1630" s="12" t="str">
        <x:f>IF(AC1630="PUBLIC_CANDIDATE","none",AD1630)</x:f>
        <x:v>none</x:v>
      </x:c>
      <x:c r="AI1630" s="12" t="str">
        <x:f>IF(AC1630="PUBLIC_CANDIDATE","archive/public_candidates/"&amp;A1630,"private_quarantine/"&amp;A1630)</x:f>
        <x:v>archive/public_candidates/SWARM-12-H04-S09</x:v>
      </x:c>
      <x:c r="AJ1630" s="12" t="str">
        <x:f>IF(AC1630="PUBLIC_CANDIDATE","public by default; still not canon","private/hold; do not publish")</x:f>
        <x:v>public by default; still not canon</x:v>
      </x:c>
      <x:c r="AK1630" s="12" t="str">
        <x:f>IF(AE1630="prepare_public_github_candidate","add receipt/status then mirror","resolve blocker before any public GitHub action")</x:f>
        <x:v>add receipt/status then mirror</x:v>
      </x:c>
    </x:row>
    <x:row r="1631">
      <x:c r="A1631" s="15" t="str">
        <x:v>SWARM-12-H04-S10</x:v>
      </x:c>
      <x:c r="B1631" s="15" t="str">
        <x:v>JoySignal</x:v>
      </x:c>
      <x:c r="C1631" s="15" t="str">
        <x:v>Rest and morale keeper</x:v>
      </x:c>
      <x:c r="D1631" s="15" t="str">
        <x:v>Claim Extraction</x:v>
      </x:c>
      <x:c r="E1631" s="15" t="str">
        <x:v>Human-Root</x:v>
      </x:c>
      <x:c r="F1631" s="15" t="str">
        <x:v>Extract claims from Human-Root — JoySignal</x:v>
      </x:c>
      <x:c r="G1631" s="15" t="str">
        <x:v>cadence / anti-burnout / safe completion language</x:v>
      </x:c>
      <x:c r="H1631" s="15" t="str">
        <x:v>source path + receipt + raw/export status + claim/edge/risk delta</x:v>
      </x:c>
      <x:c r="I1631" s="15" t="str">
        <x:v>packet/SWARM-12-H04-S10</x:v>
      </x:c>
      <x:c r="J1631" s="15" t="str">
        <x:v>TODO</x:v>
      </x:c>
      <x:c r="K1631" s="15" t="str">
        <x:v>P2</x:v>
      </x:c>
      <x:c r="L1631" s="15" t="str">
        <x:v>Done only when evidence is logged, contradiction search is noted, and boundary stamp remains non-canon unless ratified</x:v>
      </x:c>
      <x:c r="M1631" s="15" t="str">
        <x:v>candidate / staging-only / not canon / not deployed / authority none</x:v>
      </x:c>
      <x:c r="N1631" s="15" t="str">
        <x:v>Dispatch to JoySignal: complete Claim Extraction x Human-Root; return deltas only, receipts required.</x:v>
      </x:c>
      <x:c r="O1631" s="15" t="str">
        <x:v>AF-KG-H04-S10</x:v>
      </x:c>
      <x:c r="P1631" s="15" t="str">
        <x:v>Unverified</x:v>
      </x:c>
      <x:c r="Q1631" s="15" t="str">
        <x:v>Not checked</x:v>
      </x:c>
      <x:c r="R1631" s="15" t="str"/>
      <x:c r="S1631" s="15" t="str"/>
      <x:c r="T1631" s="15" t="str">
        <x:v>Log first source path or blocker</x:v>
      </x:c>
      <x:c r="U1631" s="12" t="str">
        <x:f>IF(OR(P1631="Unverified",Q1631="Not checked"),"BLOCKED_PENDING_RECEIPT","READY_FOR_REVIEW")</x:f>
        <x:v>BLOCKED_PENDING_RECEIPT</x:v>
      </x:c>
      <x:c r="V1631" s="12" t="str">
        <x:f>IF(J1631="DONE","RETURNED",IF(U1631="BLOCKED_PENDING_RECEIPT","SOURCE_TOUCH_REQUIRED","IN_PROGRESS"))</x:f>
        <x:v>SOURCE_TOUCH_REQUIRED</x:v>
      </x:c>
      <x:c r="W1631" s="12" t="str">
        <x:f>IF(P1631="Unverified","missing_receipt","receipt_logged")</x:f>
        <x:v>missing_receipt</x:v>
      </x:c>
      <x:c r="X1631" s="12" t="str">
        <x:f>IF(Q1631="Not checked","raw_status_missing","raw_status_logged")</x:f>
        <x:v>raw_status_missing</x:v>
      </x:c>
      <x:c r="Y1631" s="12" t="str">
        <x:f>IF(U1631="BLOCKED_PENDING_RECEIPT","Log source path or blocker; do not promote","Route to review lane")</x:f>
        <x:v>Log source path or blocker; do not promote</x:v>
      </x:c>
      <x:c r="Z1631" s="12" t="str">
        <x:f>IF(K1631="P0","Primary seat + Hashlight/Lucerna","Seat lane")</x:f>
        <x:v>Seat lane</x:v>
      </x:c>
      <x:c r="AA1631" s="12" t="str">
        <x:f>IF(R1631="","no_claim_delta","claim_delta_present")</x:f>
        <x:v>no_claim_delta</x:v>
      </x:c>
      <x:c r="AB1631" s="12" t="str">
        <x:f>IF(S1631="","no_contradiction_delta","contradiction_delta_present")</x:f>
        <x:v>no_contradiction_delta</x:v>
      </x:c>
      <x:c r="AC1631" s="12" t="str">
        <x:f>IF(OR(ISNUMBER(SEARCH("hacker",LOWER(F1631&amp;" "&amp;H1631&amp;" "&amp;I1631&amp;" "&amp;M1631&amp;" "&amp;N1631&amp;" "&amp;T1631))),ISNUMBER(SEARCH("hacking",LOWER(F1631&amp;" "&amp;H1631&amp;" "&amp;I1631&amp;" "&amp;M1631&amp;" "&amp;N1631&amp;" "&amp;T1631))),ISNUMBER(SEARCH("bank",LOWER(F1631&amp;" "&amp;H1631&amp;" "&amp;I1631&amp;" "&amp;M1631&amp;" "&amp;N1631&amp;" "&amp;T1631))),ISNUMBER(SEARCH("banking",LOWER(F1631&amp;" "&amp;H1631&amp;" "&amp;I1631&amp;" "&amp;M1631&amp;" "&amp;N1631&amp;" "&amp;T1631)))),"PRIVATE_QUARANTINE",IF(OR(ISNUMBER(SEARCH("treasury",LOWER(F1631&amp;" "&amp;H1631&amp;" "&amp;I1631&amp;" "&amp;M1631&amp;" "&amp;N1631&amp;" "&amp;T1631))),ISNUMBER(SEARCH("debt",LOWER(F1631&amp;" "&amp;H1631&amp;" "&amp;I1631&amp;" "&amp;M1631&amp;" "&amp;N1631&amp;" "&amp;T1631))),ISNUMBER(SEARCH("bond",LOWER(F1631&amp;" "&amp;H1631&amp;" "&amp;I1631&amp;" "&amp;M1631&amp;" "&amp;N1631&amp;" "&amp;T1631))),ISNUMBER(SEARCH("transaction",LOWER(F1631&amp;" "&amp;H1631&amp;" "&amp;I1631&amp;" "&amp;M1631&amp;" "&amp;N1631&amp;" "&amp;T1631)))),"PRIVATE_REVIEW","PUBLIC_CANDIDATE"))</x:f>
        <x:v>PUBLIC_CANDIDATE</x:v>
      </x:c>
      <x:c r="AD1631" s="12" t="str">
        <x:f>IF(AC1631="PRIVATE_QUARANTINE","hacker_or_bank_trigger",IF(AC1631="PRIVATE_REVIEW","finance_risk_trigger","none"))</x:f>
        <x:v>none</x:v>
      </x:c>
      <x:c r="AE1631" s="12" t="str">
        <x:f>IF(AC1631="PUBLIC_CANDIDATE","prepare_public_github_candidate",IF(AC1631="PRIVATE_REVIEW","hold_for_private_review","quarantine_private_do_not_publish"))</x:f>
        <x:v>prepare_public_github_candidate</x:v>
      </x:c>
      <x:c r="AF1631" s="12" t="str">
        <x:f>IF(AC1631="PUBLIC_CANDIDATE","TIDELOCK + Lucerna",IF(AC1631="PRIVATE_REVIEW","AtlasBrain + Lucerna","TIDELOCK + Lucerna + Human-root"))</x:f>
        <x:v>TIDELOCK + Lucerna</x:v>
      </x:c>
      <x:c r="AG1631" s="12" t="str">
        <x:f>IF(AND(AC1631="PUBLIC_CANDIDATE",U1631&lt;&gt;"BLOCKED_PENDING_RECEIPT"),"READY_AFTER_RECEIPT","NOT_READY")</x:f>
        <x:v>NOT_READY</x:v>
      </x:c>
      <x:c r="AH1631" s="12" t="str">
        <x:f>IF(AC1631="PUBLIC_CANDIDATE","none",AD1631)</x:f>
        <x:v>none</x:v>
      </x:c>
      <x:c r="AI1631" s="12" t="str">
        <x:f>IF(AC1631="PUBLIC_CANDIDATE","archive/public_candidates/"&amp;A1631,"private_quarantine/"&amp;A1631)</x:f>
        <x:v>archive/public_candidates/SWARM-12-H04-S10</x:v>
      </x:c>
      <x:c r="AJ1631" s="12" t="str">
        <x:f>IF(AC1631="PUBLIC_CANDIDATE","public by default; still not canon","private/hold; do not publish")</x:f>
        <x:v>public by default; still not canon</x:v>
      </x:c>
      <x:c r="AK1631" s="12" t="str">
        <x:f>IF(AE1631="prepare_public_github_candidate","add receipt/status then mirror","resolve blocker before any public GitHub action")</x:f>
        <x:v>add receipt/status then mirror</x:v>
      </x:c>
    </x:row>
    <x:row r="1632">
      <x:c r="A1632" s="15" t="str">
        <x:v>SWARM-12-H04-S11</x:v>
      </x:c>
      <x:c r="B1632" s="15" t="str">
        <x:v>JoySignal</x:v>
      </x:c>
      <x:c r="C1632" s="15" t="str">
        <x:v>Rest and morale keeper</x:v>
      </x:c>
      <x:c r="D1632" s="15" t="str">
        <x:v>Claim Extraction</x:v>
      </x:c>
      <x:c r="E1632" s="15" t="str">
        <x:v>Automation</x:v>
      </x:c>
      <x:c r="F1632" s="15" t="str">
        <x:v>Extract claims from Automation — JoySignal</x:v>
      </x:c>
      <x:c r="G1632" s="15" t="str">
        <x:v>cadence / anti-burnout / safe completion language</x:v>
      </x:c>
      <x:c r="H1632" s="15" t="str">
        <x:v>source path + receipt + raw/export status + claim/edge/risk delta</x:v>
      </x:c>
      <x:c r="I1632" s="15" t="str">
        <x:v>packet/SWARM-12-H04-S11</x:v>
      </x:c>
      <x:c r="J1632" s="15" t="str">
        <x:v>TODO</x:v>
      </x:c>
      <x:c r="K1632" s="15" t="str">
        <x:v>P2</x:v>
      </x:c>
      <x:c r="L1632" s="15" t="str">
        <x:v>Done only when evidence is logged, contradiction search is noted, and boundary stamp remains non-canon unless ratified</x:v>
      </x:c>
      <x:c r="M1632" s="15" t="str">
        <x:v>candidate / staging-only / not canon / not deployed / authority none</x:v>
      </x:c>
      <x:c r="N1632" s="15" t="str">
        <x:v>Dispatch to JoySignal: complete Claim Extraction x Automation; return deltas only, receipts required.</x:v>
      </x:c>
      <x:c r="O1632" s="15" t="str">
        <x:v>AF-KG-H04-S11</x:v>
      </x:c>
      <x:c r="P1632" s="15" t="str">
        <x:v>Unverified</x:v>
      </x:c>
      <x:c r="Q1632" s="15" t="str">
        <x:v>Not checked</x:v>
      </x:c>
      <x:c r="R1632" s="15" t="str"/>
      <x:c r="S1632" s="15" t="str"/>
      <x:c r="T1632" s="15" t="str">
        <x:v>Log first source path or blocker</x:v>
      </x:c>
      <x:c r="U1632" s="12" t="str">
        <x:f>IF(OR(P1632="Unverified",Q1632="Not checked"),"BLOCKED_PENDING_RECEIPT","READY_FOR_REVIEW")</x:f>
        <x:v>BLOCKED_PENDING_RECEIPT</x:v>
      </x:c>
      <x:c r="V1632" s="12" t="str">
        <x:f>IF(J1632="DONE","RETURNED",IF(U1632="BLOCKED_PENDING_RECEIPT","SOURCE_TOUCH_REQUIRED","IN_PROGRESS"))</x:f>
        <x:v>SOURCE_TOUCH_REQUIRED</x:v>
      </x:c>
      <x:c r="W1632" s="12" t="str">
        <x:f>IF(P1632="Unverified","missing_receipt","receipt_logged")</x:f>
        <x:v>missing_receipt</x:v>
      </x:c>
      <x:c r="X1632" s="12" t="str">
        <x:f>IF(Q1632="Not checked","raw_status_missing","raw_status_logged")</x:f>
        <x:v>raw_status_missing</x:v>
      </x:c>
      <x:c r="Y1632" s="12" t="str">
        <x:f>IF(U1632="BLOCKED_PENDING_RECEIPT","Log source path or blocker; do not promote","Route to review lane")</x:f>
        <x:v>Log source path or blocker; do not promote</x:v>
      </x:c>
      <x:c r="Z1632" s="12" t="str">
        <x:f>IF(K1632="P0","Primary seat + Hashlight/Lucerna","Seat lane")</x:f>
        <x:v>Seat lane</x:v>
      </x:c>
      <x:c r="AA1632" s="12" t="str">
        <x:f>IF(R1632="","no_claim_delta","claim_delta_present")</x:f>
        <x:v>no_claim_delta</x:v>
      </x:c>
      <x:c r="AB1632" s="12" t="str">
        <x:f>IF(S1632="","no_contradiction_delta","contradiction_delta_present")</x:f>
        <x:v>no_contradiction_delta</x:v>
      </x:c>
      <x:c r="AC1632" s="12" t="str">
        <x:f>IF(OR(ISNUMBER(SEARCH("hacker",LOWER(F1632&amp;" "&amp;H1632&amp;" "&amp;I1632&amp;" "&amp;M1632&amp;" "&amp;N1632&amp;" "&amp;T1632))),ISNUMBER(SEARCH("hacking",LOWER(F1632&amp;" "&amp;H1632&amp;" "&amp;I1632&amp;" "&amp;M1632&amp;" "&amp;N1632&amp;" "&amp;T1632))),ISNUMBER(SEARCH("bank",LOWER(F1632&amp;" "&amp;H1632&amp;" "&amp;I1632&amp;" "&amp;M1632&amp;" "&amp;N1632&amp;" "&amp;T1632))),ISNUMBER(SEARCH("banking",LOWER(F1632&amp;" "&amp;H1632&amp;" "&amp;I1632&amp;" "&amp;M1632&amp;" "&amp;N1632&amp;" "&amp;T1632)))),"PRIVATE_QUARANTINE",IF(OR(ISNUMBER(SEARCH("treasury",LOWER(F1632&amp;" "&amp;H1632&amp;" "&amp;I1632&amp;" "&amp;M1632&amp;" "&amp;N1632&amp;" "&amp;T1632))),ISNUMBER(SEARCH("debt",LOWER(F1632&amp;" "&amp;H1632&amp;" "&amp;I1632&amp;" "&amp;M1632&amp;" "&amp;N1632&amp;" "&amp;T1632))),ISNUMBER(SEARCH("bond",LOWER(F1632&amp;" "&amp;H1632&amp;" "&amp;I1632&amp;" "&amp;M1632&amp;" "&amp;N1632&amp;" "&amp;T1632))),ISNUMBER(SEARCH("transaction",LOWER(F1632&amp;" "&amp;H1632&amp;" "&amp;I1632&amp;" "&amp;M1632&amp;" "&amp;N1632&amp;" "&amp;T1632)))),"PRIVATE_REVIEW","PUBLIC_CANDIDATE"))</x:f>
        <x:v>PUBLIC_CANDIDATE</x:v>
      </x:c>
      <x:c r="AD1632" s="12" t="str">
        <x:f>IF(AC1632="PRIVATE_QUARANTINE","hacker_or_bank_trigger",IF(AC1632="PRIVATE_REVIEW","finance_risk_trigger","none"))</x:f>
        <x:v>none</x:v>
      </x:c>
      <x:c r="AE1632" s="12" t="str">
        <x:f>IF(AC1632="PUBLIC_CANDIDATE","prepare_public_github_candidate",IF(AC1632="PRIVATE_REVIEW","hold_for_private_review","quarantine_private_do_not_publish"))</x:f>
        <x:v>prepare_public_github_candidate</x:v>
      </x:c>
      <x:c r="AF1632" s="12" t="str">
        <x:f>IF(AC1632="PUBLIC_CANDIDATE","TIDELOCK + Lucerna",IF(AC1632="PRIVATE_REVIEW","AtlasBrain + Lucerna","TIDELOCK + Lucerna + Human-root"))</x:f>
        <x:v>TIDELOCK + Lucerna</x:v>
      </x:c>
      <x:c r="AG1632" s="12" t="str">
        <x:f>IF(AND(AC1632="PUBLIC_CANDIDATE",U1632&lt;&gt;"BLOCKED_PENDING_RECEIPT"),"READY_AFTER_RECEIPT","NOT_READY")</x:f>
        <x:v>NOT_READY</x:v>
      </x:c>
      <x:c r="AH1632" s="12" t="str">
        <x:f>IF(AC1632="PUBLIC_CANDIDATE","none",AD1632)</x:f>
        <x:v>none</x:v>
      </x:c>
      <x:c r="AI1632" s="12" t="str">
        <x:f>IF(AC1632="PUBLIC_CANDIDATE","archive/public_candidates/"&amp;A1632,"private_quarantine/"&amp;A1632)</x:f>
        <x:v>archive/public_candidates/SWARM-12-H04-S11</x:v>
      </x:c>
      <x:c r="AJ1632" s="12" t="str">
        <x:f>IF(AC1632="PUBLIC_CANDIDATE","public by default; still not canon","private/hold; do not publish")</x:f>
        <x:v>public by default; still not canon</x:v>
      </x:c>
      <x:c r="AK1632" s="12" t="str">
        <x:f>IF(AE1632="prepare_public_github_candidate","add receipt/status then mirror","resolve blocker before any public GitHub action")</x:f>
        <x:v>add receipt/status then mirror</x:v>
      </x:c>
    </x:row>
    <x:row r="1633">
      <x:c r="A1633" s="15" t="str">
        <x:v>SWARM-12-H04-S12</x:v>
      </x:c>
      <x:c r="B1633" s="15" t="str">
        <x:v>JoySignal</x:v>
      </x:c>
      <x:c r="C1633" s="15" t="str">
        <x:v>Rest and morale keeper</x:v>
      </x:c>
      <x:c r="D1633" s="15" t="str">
        <x:v>Claim Extraction</x:v>
      </x:c>
      <x:c r="E1633" s="15" t="str">
        <x:v>Risk / Safety</x:v>
      </x:c>
      <x:c r="F1633" s="15" t="str">
        <x:v>Extract claims from Risk / Safety — JoySignal</x:v>
      </x:c>
      <x:c r="G1633" s="15" t="str">
        <x:v>cadence / anti-burnout / safe completion language</x:v>
      </x:c>
      <x:c r="H1633" s="15" t="str">
        <x:v>source path + receipt + raw/export status + claim/edge/risk delta</x:v>
      </x:c>
      <x:c r="I1633" s="15" t="str">
        <x:v>packet/SWARM-12-H04-S12</x:v>
      </x:c>
      <x:c r="J1633" s="15" t="str">
        <x:v>TODO</x:v>
      </x:c>
      <x:c r="K1633" s="15" t="str">
        <x:v>P2</x:v>
      </x:c>
      <x:c r="L1633" s="15" t="str">
        <x:v>Done only when evidence is logged, contradiction search is noted, and boundary stamp remains non-canon unless ratified</x:v>
      </x:c>
      <x:c r="M1633" s="15" t="str">
        <x:v>candidate / staging-only / not canon / not deployed / authority none</x:v>
      </x:c>
      <x:c r="N1633" s="15" t="str">
        <x:v>Dispatch to JoySignal: complete Claim Extraction x Risk / Safety; return deltas only, receipts required.</x:v>
      </x:c>
      <x:c r="O1633" s="15" t="str">
        <x:v>AF-KG-H04-S12</x:v>
      </x:c>
      <x:c r="P1633" s="15" t="str">
        <x:v>Unverified</x:v>
      </x:c>
      <x:c r="Q1633" s="15" t="str">
        <x:v>Not checked</x:v>
      </x:c>
      <x:c r="R1633" s="15" t="str"/>
      <x:c r="S1633" s="15" t="str"/>
      <x:c r="T1633" s="15" t="str">
        <x:v>Log first source path or blocker</x:v>
      </x:c>
      <x:c r="U1633" s="12" t="str">
        <x:f>IF(OR(P1633="Unverified",Q1633="Not checked"),"BLOCKED_PENDING_RECEIPT","READY_FOR_REVIEW")</x:f>
        <x:v>BLOCKED_PENDING_RECEIPT</x:v>
      </x:c>
      <x:c r="V1633" s="12" t="str">
        <x:f>IF(J1633="DONE","RETURNED",IF(U1633="BLOCKED_PENDING_RECEIPT","SOURCE_TOUCH_REQUIRED","IN_PROGRESS"))</x:f>
        <x:v>SOURCE_TOUCH_REQUIRED</x:v>
      </x:c>
      <x:c r="W1633" s="12" t="str">
        <x:f>IF(P1633="Unverified","missing_receipt","receipt_logged")</x:f>
        <x:v>missing_receipt</x:v>
      </x:c>
      <x:c r="X1633" s="12" t="str">
        <x:f>IF(Q1633="Not checked","raw_status_missing","raw_status_logged")</x:f>
        <x:v>raw_status_missing</x:v>
      </x:c>
      <x:c r="Y1633" s="12" t="str">
        <x:f>IF(U1633="BLOCKED_PENDING_RECEIPT","Log source path or blocker; do not promote","Route to review lane")</x:f>
        <x:v>Log source path or blocker; do not promote</x:v>
      </x:c>
      <x:c r="Z1633" s="12" t="str">
        <x:f>IF(K1633="P0","Primary seat + Hashlight/Lucerna","Seat lane")</x:f>
        <x:v>Seat lane</x:v>
      </x:c>
      <x:c r="AA1633" s="12" t="str">
        <x:f>IF(R1633="","no_claim_delta","claim_delta_present")</x:f>
        <x:v>no_claim_delta</x:v>
      </x:c>
      <x:c r="AB1633" s="12" t="str">
        <x:f>IF(S1633="","no_contradiction_delta","contradiction_delta_present")</x:f>
        <x:v>no_contradiction_delta</x:v>
      </x:c>
      <x:c r="AC1633" s="12" t="str">
        <x:f>IF(OR(ISNUMBER(SEARCH("hacker",LOWER(F1633&amp;" "&amp;H1633&amp;" "&amp;I1633&amp;" "&amp;M1633&amp;" "&amp;N1633&amp;" "&amp;T1633))),ISNUMBER(SEARCH("hacking",LOWER(F1633&amp;" "&amp;H1633&amp;" "&amp;I1633&amp;" "&amp;M1633&amp;" "&amp;N1633&amp;" "&amp;T1633))),ISNUMBER(SEARCH("bank",LOWER(F1633&amp;" "&amp;H1633&amp;" "&amp;I1633&amp;" "&amp;M1633&amp;" "&amp;N1633&amp;" "&amp;T1633))),ISNUMBER(SEARCH("banking",LOWER(F1633&amp;" "&amp;H1633&amp;" "&amp;I1633&amp;" "&amp;M1633&amp;" "&amp;N1633&amp;" "&amp;T1633)))),"PRIVATE_QUARANTINE",IF(OR(ISNUMBER(SEARCH("treasury",LOWER(F1633&amp;" "&amp;H1633&amp;" "&amp;I1633&amp;" "&amp;M1633&amp;" "&amp;N1633&amp;" "&amp;T1633))),ISNUMBER(SEARCH("debt",LOWER(F1633&amp;" "&amp;H1633&amp;" "&amp;I1633&amp;" "&amp;M1633&amp;" "&amp;N1633&amp;" "&amp;T1633))),ISNUMBER(SEARCH("bond",LOWER(F1633&amp;" "&amp;H1633&amp;" "&amp;I1633&amp;" "&amp;M1633&amp;" "&amp;N1633&amp;" "&amp;T1633))),ISNUMBER(SEARCH("transaction",LOWER(F1633&amp;" "&amp;H1633&amp;" "&amp;I1633&amp;" "&amp;M1633&amp;" "&amp;N1633&amp;" "&amp;T1633)))),"PRIVATE_REVIEW","PUBLIC_CANDIDATE"))</x:f>
        <x:v>PUBLIC_CANDIDATE</x:v>
      </x:c>
      <x:c r="AD1633" s="12" t="str">
        <x:f>IF(AC1633="PRIVATE_QUARANTINE","hacker_or_bank_trigger",IF(AC1633="PRIVATE_REVIEW","finance_risk_trigger","none"))</x:f>
        <x:v>none</x:v>
      </x:c>
      <x:c r="AE1633" s="12" t="str">
        <x:f>IF(AC1633="PUBLIC_CANDIDATE","prepare_public_github_candidate",IF(AC1633="PRIVATE_REVIEW","hold_for_private_review","quarantine_private_do_not_publish"))</x:f>
        <x:v>prepare_public_github_candidate</x:v>
      </x:c>
      <x:c r="AF1633" s="12" t="str">
        <x:f>IF(AC1633="PUBLIC_CANDIDATE","TIDELOCK + Lucerna",IF(AC1633="PRIVATE_REVIEW","AtlasBrain + Lucerna","TIDELOCK + Lucerna + Human-root"))</x:f>
        <x:v>TIDELOCK + Lucerna</x:v>
      </x:c>
      <x:c r="AG1633" s="12" t="str">
        <x:f>IF(AND(AC1633="PUBLIC_CANDIDATE",U1633&lt;&gt;"BLOCKED_PENDING_RECEIPT"),"READY_AFTER_RECEIPT","NOT_READY")</x:f>
        <x:v>NOT_READY</x:v>
      </x:c>
      <x:c r="AH1633" s="12" t="str">
        <x:f>IF(AC1633="PUBLIC_CANDIDATE","none",AD1633)</x:f>
        <x:v>none</x:v>
      </x:c>
      <x:c r="AI1633" s="12" t="str">
        <x:f>IF(AC1633="PUBLIC_CANDIDATE","archive/public_candidates/"&amp;A1633,"private_quarantine/"&amp;A1633)</x:f>
        <x:v>archive/public_candidates/SWARM-12-H04-S12</x:v>
      </x:c>
      <x:c r="AJ1633" s="12" t="str">
        <x:f>IF(AC1633="PUBLIC_CANDIDATE","public by default; still not canon","private/hold; do not publish")</x:f>
        <x:v>public by default; still not canon</x:v>
      </x:c>
      <x:c r="AK1633" s="12" t="str">
        <x:f>IF(AE1633="prepare_public_github_candidate","add receipt/status then mirror","resolve blocker before any public GitHub action")</x:f>
        <x:v>add receipt/status then mirror</x:v>
      </x:c>
    </x:row>
    <x:row r="1634">
      <x:c r="A1634" s="15" t="str">
        <x:v>SWARM-12-H05-S01</x:v>
      </x:c>
      <x:c r="B1634" s="15" t="str">
        <x:v>JoySignal</x:v>
      </x:c>
      <x:c r="C1634" s="15" t="str">
        <x:v>Rest and morale keeper</x:v>
      </x:c>
      <x:c r="D1634" s="15" t="str">
        <x:v>Contradiction Mapping</x:v>
      </x:c>
      <x:c r="E1634" s="15" t="str">
        <x:v>Notion</x:v>
      </x:c>
      <x:c r="F1634" s="15" t="str">
        <x:v>Map contradictions in Notion — JoySignal</x:v>
      </x:c>
      <x:c r="G1634" s="15" t="str">
        <x:v>cadence / anti-burnout / safe completion language</x:v>
      </x:c>
      <x:c r="H1634" s="15" t="str">
        <x:v>source path + receipt + raw/export status + claim/edge/risk delta</x:v>
      </x:c>
      <x:c r="I1634" s="15" t="str">
        <x:v>packet/SWARM-12-H05-S01</x:v>
      </x:c>
      <x:c r="J1634" s="15" t="str">
        <x:v>TODO</x:v>
      </x:c>
      <x:c r="K1634" s="15" t="str">
        <x:v>P0</x:v>
      </x:c>
      <x:c r="L1634" s="15" t="str">
        <x:v>Done only when evidence is logged, contradiction search is noted, and boundary stamp remains non-canon unless ratified</x:v>
      </x:c>
      <x:c r="M1634" s="15" t="str">
        <x:v>candidate / staging-only / not canon / not deployed / authority none</x:v>
      </x:c>
      <x:c r="N1634" s="15" t="str">
        <x:v>Dispatch to JoySignal: complete Contradiction Mapping x Notion; return deltas only, receipts required.</x:v>
      </x:c>
      <x:c r="O1634" s="15" t="str">
        <x:v>AF-KG-H05-S01</x:v>
      </x:c>
      <x:c r="P1634" s="15" t="str">
        <x:v>Unverified</x:v>
      </x:c>
      <x:c r="Q1634" s="15" t="str">
        <x:v>Not checked</x:v>
      </x:c>
      <x:c r="R1634" s="15" t="str"/>
      <x:c r="S1634" s="15" t="str"/>
      <x:c r="T1634" s="15" t="str">
        <x:v>Log first source path or blocker</x:v>
      </x:c>
      <x:c r="U1634" s="12" t="str">
        <x:f>IF(OR(P1634="Unverified",Q1634="Not checked"),"BLOCKED_PENDING_RECEIPT","READY_FOR_REVIEW")</x:f>
        <x:v>BLOCKED_PENDING_RECEIPT</x:v>
      </x:c>
      <x:c r="V1634" s="12" t="str">
        <x:f>IF(J1634="DONE","RETURNED",IF(U1634="BLOCKED_PENDING_RECEIPT","SOURCE_TOUCH_REQUIRED","IN_PROGRESS"))</x:f>
        <x:v>SOURCE_TOUCH_REQUIRED</x:v>
      </x:c>
      <x:c r="W1634" s="12" t="str">
        <x:f>IF(P1634="Unverified","missing_receipt","receipt_logged")</x:f>
        <x:v>missing_receipt</x:v>
      </x:c>
      <x:c r="X1634" s="12" t="str">
        <x:f>IF(Q1634="Not checked","raw_status_missing","raw_status_logged")</x:f>
        <x:v>raw_status_missing</x:v>
      </x:c>
      <x:c r="Y1634" s="12" t="str">
        <x:f>IF(U1634="BLOCKED_PENDING_RECEIPT","Log source path or blocker; do not promote","Route to review lane")</x:f>
        <x:v>Log source path or blocker; do not promote</x:v>
      </x:c>
      <x:c r="Z1634" s="12" t="str">
        <x:f>IF(K1634="P0","Primary seat + Hashlight/Lucerna","Seat lane")</x:f>
        <x:v>Primary seat + Hashlight/Lucerna</x:v>
      </x:c>
      <x:c r="AA1634" s="12" t="str">
        <x:f>IF(R1634="","no_claim_delta","claim_delta_present")</x:f>
        <x:v>no_claim_delta</x:v>
      </x:c>
      <x:c r="AB1634" s="12" t="str">
        <x:f>IF(S1634="","no_contradiction_delta","contradiction_delta_present")</x:f>
        <x:v>no_contradiction_delta</x:v>
      </x:c>
      <x:c r="AC1634" s="12" t="str">
        <x:f>IF(OR(ISNUMBER(SEARCH("hacker",LOWER(F1634&amp;" "&amp;H1634&amp;" "&amp;I1634&amp;" "&amp;M1634&amp;" "&amp;N1634&amp;" "&amp;T1634))),ISNUMBER(SEARCH("hacking",LOWER(F1634&amp;" "&amp;H1634&amp;" "&amp;I1634&amp;" "&amp;M1634&amp;" "&amp;N1634&amp;" "&amp;T1634))),ISNUMBER(SEARCH("bank",LOWER(F1634&amp;" "&amp;H1634&amp;" "&amp;I1634&amp;" "&amp;M1634&amp;" "&amp;N1634&amp;" "&amp;T1634))),ISNUMBER(SEARCH("banking",LOWER(F1634&amp;" "&amp;H1634&amp;" "&amp;I1634&amp;" "&amp;M1634&amp;" "&amp;N1634&amp;" "&amp;T1634)))),"PRIVATE_QUARANTINE",IF(OR(ISNUMBER(SEARCH("treasury",LOWER(F1634&amp;" "&amp;H1634&amp;" "&amp;I1634&amp;" "&amp;M1634&amp;" "&amp;N1634&amp;" "&amp;T1634))),ISNUMBER(SEARCH("debt",LOWER(F1634&amp;" "&amp;H1634&amp;" "&amp;I1634&amp;" "&amp;M1634&amp;" "&amp;N1634&amp;" "&amp;T1634))),ISNUMBER(SEARCH("bond",LOWER(F1634&amp;" "&amp;H1634&amp;" "&amp;I1634&amp;" "&amp;M1634&amp;" "&amp;N1634&amp;" "&amp;T1634))),ISNUMBER(SEARCH("transaction",LOWER(F1634&amp;" "&amp;H1634&amp;" "&amp;I1634&amp;" "&amp;M1634&amp;" "&amp;N1634&amp;" "&amp;T1634)))),"PRIVATE_REVIEW","PUBLIC_CANDIDATE"))</x:f>
        <x:v>PUBLIC_CANDIDATE</x:v>
      </x:c>
      <x:c r="AD1634" s="12" t="str">
        <x:f>IF(AC1634="PRIVATE_QUARANTINE","hacker_or_bank_trigger",IF(AC1634="PRIVATE_REVIEW","finance_risk_trigger","none"))</x:f>
        <x:v>none</x:v>
      </x:c>
      <x:c r="AE1634" s="12" t="str">
        <x:f>IF(AC1634="PUBLIC_CANDIDATE","prepare_public_github_candidate",IF(AC1634="PRIVATE_REVIEW","hold_for_private_review","quarantine_private_do_not_publish"))</x:f>
        <x:v>prepare_public_github_candidate</x:v>
      </x:c>
      <x:c r="AF1634" s="12" t="str">
        <x:f>IF(AC1634="PUBLIC_CANDIDATE","TIDELOCK + Lucerna",IF(AC1634="PRIVATE_REVIEW","AtlasBrain + Lucerna","TIDELOCK + Lucerna + Human-root"))</x:f>
        <x:v>TIDELOCK + Lucerna</x:v>
      </x:c>
      <x:c r="AG1634" s="12" t="str">
        <x:f>IF(AND(AC1634="PUBLIC_CANDIDATE",U1634&lt;&gt;"BLOCKED_PENDING_RECEIPT"),"READY_AFTER_RECEIPT","NOT_READY")</x:f>
        <x:v>NOT_READY</x:v>
      </x:c>
      <x:c r="AH1634" s="12" t="str">
        <x:f>IF(AC1634="PUBLIC_CANDIDATE","none",AD1634)</x:f>
        <x:v>none</x:v>
      </x:c>
      <x:c r="AI1634" s="12" t="str">
        <x:f>IF(AC1634="PUBLIC_CANDIDATE","archive/public_candidates/"&amp;A1634,"private_quarantine/"&amp;A1634)</x:f>
        <x:v>archive/public_candidates/SWARM-12-H05-S01</x:v>
      </x:c>
      <x:c r="AJ1634" s="12" t="str">
        <x:f>IF(AC1634="PUBLIC_CANDIDATE","public by default; still not canon","private/hold; do not publish")</x:f>
        <x:v>public by default; still not canon</x:v>
      </x:c>
      <x:c r="AK1634" s="12" t="str">
        <x:f>IF(AE1634="prepare_public_github_candidate","add receipt/status then mirror","resolve blocker before any public GitHub action")</x:f>
        <x:v>add receipt/status then mirror</x:v>
      </x:c>
    </x:row>
    <x:row r="1635">
      <x:c r="A1635" s="15" t="str">
        <x:v>SWARM-12-H05-S02</x:v>
      </x:c>
      <x:c r="B1635" s="15" t="str">
        <x:v>JoySignal</x:v>
      </x:c>
      <x:c r="C1635" s="15" t="str">
        <x:v>Rest and morale keeper</x:v>
      </x:c>
      <x:c r="D1635" s="15" t="str">
        <x:v>Contradiction Mapping</x:v>
      </x:c>
      <x:c r="E1635" s="15" t="str">
        <x:v>Drive</x:v>
      </x:c>
      <x:c r="F1635" s="15" t="str">
        <x:v>Map contradictions in Drive — JoySignal</x:v>
      </x:c>
      <x:c r="G1635" s="15" t="str">
        <x:v>cadence / anti-burnout / safe completion language</x:v>
      </x:c>
      <x:c r="H1635" s="15" t="str">
        <x:v>source path + receipt + raw/export status + claim/edge/risk delta</x:v>
      </x:c>
      <x:c r="I1635" s="15" t="str">
        <x:v>packet/SWARM-12-H05-S02</x:v>
      </x:c>
      <x:c r="J1635" s="15" t="str">
        <x:v>TODO</x:v>
      </x:c>
      <x:c r="K1635" s="15" t="str">
        <x:v>P0</x:v>
      </x:c>
      <x:c r="L1635" s="15" t="str">
        <x:v>Done only when evidence is logged, contradiction search is noted, and boundary stamp remains non-canon unless ratified</x:v>
      </x:c>
      <x:c r="M1635" s="15" t="str">
        <x:v>candidate / staging-only / not canon / not deployed / authority none</x:v>
      </x:c>
      <x:c r="N1635" s="15" t="str">
        <x:v>Dispatch to JoySignal: complete Contradiction Mapping x Drive; return deltas only, receipts required.</x:v>
      </x:c>
      <x:c r="O1635" s="15" t="str">
        <x:v>AF-KG-H05-S02</x:v>
      </x:c>
      <x:c r="P1635" s="15" t="str">
        <x:v>Unverified</x:v>
      </x:c>
      <x:c r="Q1635" s="15" t="str">
        <x:v>Not checked</x:v>
      </x:c>
      <x:c r="R1635" s="15" t="str"/>
      <x:c r="S1635" s="15" t="str"/>
      <x:c r="T1635" s="15" t="str">
        <x:v>Log first source path or blocker</x:v>
      </x:c>
      <x:c r="U1635" s="12" t="str">
        <x:f>IF(OR(P1635="Unverified",Q1635="Not checked"),"BLOCKED_PENDING_RECEIPT","READY_FOR_REVIEW")</x:f>
        <x:v>BLOCKED_PENDING_RECEIPT</x:v>
      </x:c>
      <x:c r="V1635" s="12" t="str">
        <x:f>IF(J1635="DONE","RETURNED",IF(U1635="BLOCKED_PENDING_RECEIPT","SOURCE_TOUCH_REQUIRED","IN_PROGRESS"))</x:f>
        <x:v>SOURCE_TOUCH_REQUIRED</x:v>
      </x:c>
      <x:c r="W1635" s="12" t="str">
        <x:f>IF(P1635="Unverified","missing_receipt","receipt_logged")</x:f>
        <x:v>missing_receipt</x:v>
      </x:c>
      <x:c r="X1635" s="12" t="str">
        <x:f>IF(Q1635="Not checked","raw_status_missing","raw_status_logged")</x:f>
        <x:v>raw_status_missing</x:v>
      </x:c>
      <x:c r="Y1635" s="12" t="str">
        <x:f>IF(U1635="BLOCKED_PENDING_RECEIPT","Log source path or blocker; do not promote","Route to review lane")</x:f>
        <x:v>Log source path or blocker; do not promote</x:v>
      </x:c>
      <x:c r="Z1635" s="12" t="str">
        <x:f>IF(K1635="P0","Primary seat + Hashlight/Lucerna","Seat lane")</x:f>
        <x:v>Primary seat + Hashlight/Lucerna</x:v>
      </x:c>
      <x:c r="AA1635" s="12" t="str">
        <x:f>IF(R1635="","no_claim_delta","claim_delta_present")</x:f>
        <x:v>no_claim_delta</x:v>
      </x:c>
      <x:c r="AB1635" s="12" t="str">
        <x:f>IF(S1635="","no_contradiction_delta","contradiction_delta_present")</x:f>
        <x:v>no_contradiction_delta</x:v>
      </x:c>
      <x:c r="AC1635" s="12" t="str">
        <x:f>IF(OR(ISNUMBER(SEARCH("hacker",LOWER(F1635&amp;" "&amp;H1635&amp;" "&amp;I1635&amp;" "&amp;M1635&amp;" "&amp;N1635&amp;" "&amp;T1635))),ISNUMBER(SEARCH("hacking",LOWER(F1635&amp;" "&amp;H1635&amp;" "&amp;I1635&amp;" "&amp;M1635&amp;" "&amp;N1635&amp;" "&amp;T1635))),ISNUMBER(SEARCH("bank",LOWER(F1635&amp;" "&amp;H1635&amp;" "&amp;I1635&amp;" "&amp;M1635&amp;" "&amp;N1635&amp;" "&amp;T1635))),ISNUMBER(SEARCH("banking",LOWER(F1635&amp;" "&amp;H1635&amp;" "&amp;I1635&amp;" "&amp;M1635&amp;" "&amp;N1635&amp;" "&amp;T1635)))),"PRIVATE_QUARANTINE",IF(OR(ISNUMBER(SEARCH("treasury",LOWER(F1635&amp;" "&amp;H1635&amp;" "&amp;I1635&amp;" "&amp;M1635&amp;" "&amp;N1635&amp;" "&amp;T1635))),ISNUMBER(SEARCH("debt",LOWER(F1635&amp;" "&amp;H1635&amp;" "&amp;I1635&amp;" "&amp;M1635&amp;" "&amp;N1635&amp;" "&amp;T1635))),ISNUMBER(SEARCH("bond",LOWER(F1635&amp;" "&amp;H1635&amp;" "&amp;I1635&amp;" "&amp;M1635&amp;" "&amp;N1635&amp;" "&amp;T1635))),ISNUMBER(SEARCH("transaction",LOWER(F1635&amp;" "&amp;H1635&amp;" "&amp;I1635&amp;" "&amp;M1635&amp;" "&amp;N1635&amp;" "&amp;T1635)))),"PRIVATE_REVIEW","PUBLIC_CANDIDATE"))</x:f>
        <x:v>PUBLIC_CANDIDATE</x:v>
      </x:c>
      <x:c r="AD1635" s="12" t="str">
        <x:f>IF(AC1635="PRIVATE_QUARANTINE","hacker_or_bank_trigger",IF(AC1635="PRIVATE_REVIEW","finance_risk_trigger","none"))</x:f>
        <x:v>none</x:v>
      </x:c>
      <x:c r="AE1635" s="12" t="str">
        <x:f>IF(AC1635="PUBLIC_CANDIDATE","prepare_public_github_candidate",IF(AC1635="PRIVATE_REVIEW","hold_for_private_review","quarantine_private_do_not_publish"))</x:f>
        <x:v>prepare_public_github_candidate</x:v>
      </x:c>
      <x:c r="AF1635" s="12" t="str">
        <x:f>IF(AC1635="PUBLIC_CANDIDATE","TIDELOCK + Lucerna",IF(AC1635="PRIVATE_REVIEW","AtlasBrain + Lucerna","TIDELOCK + Lucerna + Human-root"))</x:f>
        <x:v>TIDELOCK + Lucerna</x:v>
      </x:c>
      <x:c r="AG1635" s="12" t="str">
        <x:f>IF(AND(AC1635="PUBLIC_CANDIDATE",U1635&lt;&gt;"BLOCKED_PENDING_RECEIPT"),"READY_AFTER_RECEIPT","NOT_READY")</x:f>
        <x:v>NOT_READY</x:v>
      </x:c>
      <x:c r="AH1635" s="12" t="str">
        <x:f>IF(AC1635="PUBLIC_CANDIDATE","none",AD1635)</x:f>
        <x:v>none</x:v>
      </x:c>
      <x:c r="AI1635" s="12" t="str">
        <x:f>IF(AC1635="PUBLIC_CANDIDATE","archive/public_candidates/"&amp;A1635,"private_quarantine/"&amp;A1635)</x:f>
        <x:v>archive/public_candidates/SWARM-12-H05-S02</x:v>
      </x:c>
      <x:c r="AJ1635" s="12" t="str">
        <x:f>IF(AC1635="PUBLIC_CANDIDATE","public by default; still not canon","private/hold; do not publish")</x:f>
        <x:v>public by default; still not canon</x:v>
      </x:c>
      <x:c r="AK1635" s="12" t="str">
        <x:f>IF(AE1635="prepare_public_github_candidate","add receipt/status then mirror","resolve blocker before any public GitHub action")</x:f>
        <x:v>add receipt/status then mirror</x:v>
      </x:c>
    </x:row>
    <x:row r="1636">
      <x:c r="A1636" s="15" t="str">
        <x:v>SWARM-12-H05-S03</x:v>
      </x:c>
      <x:c r="B1636" s="15" t="str">
        <x:v>JoySignal</x:v>
      </x:c>
      <x:c r="C1636" s="15" t="str">
        <x:v>Rest and morale keeper</x:v>
      </x:c>
      <x:c r="D1636" s="15" t="str">
        <x:v>Contradiction Mapping</x:v>
      </x:c>
      <x:c r="E1636" s="15" t="str">
        <x:v>GitHub</x:v>
      </x:c>
      <x:c r="F1636" s="15" t="str">
        <x:v>Map contradictions in GitHub — JoySignal</x:v>
      </x:c>
      <x:c r="G1636" s="15" t="str">
        <x:v>cadence / anti-burnout / safe completion language</x:v>
      </x:c>
      <x:c r="H1636" s="15" t="str">
        <x:v>source path + receipt + raw/export status + claim/edge/risk delta</x:v>
      </x:c>
      <x:c r="I1636" s="15" t="str">
        <x:v>packet/SWARM-12-H05-S03</x:v>
      </x:c>
      <x:c r="J1636" s="15" t="str">
        <x:v>TODO</x:v>
      </x:c>
      <x:c r="K1636" s="15" t="str">
        <x:v>P0</x:v>
      </x:c>
      <x:c r="L1636" s="15" t="str">
        <x:v>Done only when evidence is logged, contradiction search is noted, and boundary stamp remains non-canon unless ratified</x:v>
      </x:c>
      <x:c r="M1636" s="15" t="str">
        <x:v>candidate / staging-only / not canon / not deployed / authority none</x:v>
      </x:c>
      <x:c r="N1636" s="15" t="str">
        <x:v>Dispatch to JoySignal: complete Contradiction Mapping x GitHub; return deltas only, receipts required.</x:v>
      </x:c>
      <x:c r="O1636" s="15" t="str">
        <x:v>AF-KG-H05-S03</x:v>
      </x:c>
      <x:c r="P1636" s="15" t="str">
        <x:v>Unverified</x:v>
      </x:c>
      <x:c r="Q1636" s="15" t="str">
        <x:v>Not checked</x:v>
      </x:c>
      <x:c r="R1636" s="15" t="str"/>
      <x:c r="S1636" s="15" t="str"/>
      <x:c r="T1636" s="15" t="str">
        <x:v>Log first source path or blocker</x:v>
      </x:c>
      <x:c r="U1636" s="12" t="str">
        <x:f>IF(OR(P1636="Unverified",Q1636="Not checked"),"BLOCKED_PENDING_RECEIPT","READY_FOR_REVIEW")</x:f>
        <x:v>BLOCKED_PENDING_RECEIPT</x:v>
      </x:c>
      <x:c r="V1636" s="12" t="str">
        <x:f>IF(J1636="DONE","RETURNED",IF(U1636="BLOCKED_PENDING_RECEIPT","SOURCE_TOUCH_REQUIRED","IN_PROGRESS"))</x:f>
        <x:v>SOURCE_TOUCH_REQUIRED</x:v>
      </x:c>
      <x:c r="W1636" s="12" t="str">
        <x:f>IF(P1636="Unverified","missing_receipt","receipt_logged")</x:f>
        <x:v>missing_receipt</x:v>
      </x:c>
      <x:c r="X1636" s="12" t="str">
        <x:f>IF(Q1636="Not checked","raw_status_missing","raw_status_logged")</x:f>
        <x:v>raw_status_missing</x:v>
      </x:c>
      <x:c r="Y1636" s="12" t="str">
        <x:f>IF(U1636="BLOCKED_PENDING_RECEIPT","Log source path or blocker; do not promote","Route to review lane")</x:f>
        <x:v>Log source path or blocker; do not promote</x:v>
      </x:c>
      <x:c r="Z1636" s="12" t="str">
        <x:f>IF(K1636="P0","Primary seat + Hashlight/Lucerna","Seat lane")</x:f>
        <x:v>Primary seat + Hashlight/Lucerna</x:v>
      </x:c>
      <x:c r="AA1636" s="12" t="str">
        <x:f>IF(R1636="","no_claim_delta","claim_delta_present")</x:f>
        <x:v>no_claim_delta</x:v>
      </x:c>
      <x:c r="AB1636" s="12" t="str">
        <x:f>IF(S1636="","no_contradiction_delta","contradiction_delta_present")</x:f>
        <x:v>no_contradiction_delta</x:v>
      </x:c>
      <x:c r="AC1636" s="12" t="str">
        <x:f>IF(OR(ISNUMBER(SEARCH("hacker",LOWER(F1636&amp;" "&amp;H1636&amp;" "&amp;I1636&amp;" "&amp;M1636&amp;" "&amp;N1636&amp;" "&amp;T1636))),ISNUMBER(SEARCH("hacking",LOWER(F1636&amp;" "&amp;H1636&amp;" "&amp;I1636&amp;" "&amp;M1636&amp;" "&amp;N1636&amp;" "&amp;T1636))),ISNUMBER(SEARCH("bank",LOWER(F1636&amp;" "&amp;H1636&amp;" "&amp;I1636&amp;" "&amp;M1636&amp;" "&amp;N1636&amp;" "&amp;T1636))),ISNUMBER(SEARCH("banking",LOWER(F1636&amp;" "&amp;H1636&amp;" "&amp;I1636&amp;" "&amp;M1636&amp;" "&amp;N1636&amp;" "&amp;T1636)))),"PRIVATE_QUARANTINE",IF(OR(ISNUMBER(SEARCH("treasury",LOWER(F1636&amp;" "&amp;H1636&amp;" "&amp;I1636&amp;" "&amp;M1636&amp;" "&amp;N1636&amp;" "&amp;T1636))),ISNUMBER(SEARCH("debt",LOWER(F1636&amp;" "&amp;H1636&amp;" "&amp;I1636&amp;" "&amp;M1636&amp;" "&amp;N1636&amp;" "&amp;T1636))),ISNUMBER(SEARCH("bond",LOWER(F1636&amp;" "&amp;H1636&amp;" "&amp;I1636&amp;" "&amp;M1636&amp;" "&amp;N1636&amp;" "&amp;T1636))),ISNUMBER(SEARCH("transaction",LOWER(F1636&amp;" "&amp;H1636&amp;" "&amp;I1636&amp;" "&amp;M1636&amp;" "&amp;N1636&amp;" "&amp;T1636)))),"PRIVATE_REVIEW","PUBLIC_CANDIDATE"))</x:f>
        <x:v>PUBLIC_CANDIDATE</x:v>
      </x:c>
      <x:c r="AD1636" s="12" t="str">
        <x:f>IF(AC1636="PRIVATE_QUARANTINE","hacker_or_bank_trigger",IF(AC1636="PRIVATE_REVIEW","finance_risk_trigger","none"))</x:f>
        <x:v>none</x:v>
      </x:c>
      <x:c r="AE1636" s="12" t="str">
        <x:f>IF(AC1636="PUBLIC_CANDIDATE","prepare_public_github_candidate",IF(AC1636="PRIVATE_REVIEW","hold_for_private_review","quarantine_private_do_not_publish"))</x:f>
        <x:v>prepare_public_github_candidate</x:v>
      </x:c>
      <x:c r="AF1636" s="12" t="str">
        <x:f>IF(AC1636="PUBLIC_CANDIDATE","TIDELOCK + Lucerna",IF(AC1636="PRIVATE_REVIEW","AtlasBrain + Lucerna","TIDELOCK + Lucerna + Human-root"))</x:f>
        <x:v>TIDELOCK + Lucerna</x:v>
      </x:c>
      <x:c r="AG1636" s="12" t="str">
        <x:f>IF(AND(AC1636="PUBLIC_CANDIDATE",U1636&lt;&gt;"BLOCKED_PENDING_RECEIPT"),"READY_AFTER_RECEIPT","NOT_READY")</x:f>
        <x:v>NOT_READY</x:v>
      </x:c>
      <x:c r="AH1636" s="12" t="str">
        <x:f>IF(AC1636="PUBLIC_CANDIDATE","none",AD1636)</x:f>
        <x:v>none</x:v>
      </x:c>
      <x:c r="AI1636" s="12" t="str">
        <x:f>IF(AC1636="PUBLIC_CANDIDATE","archive/public_candidates/"&amp;A1636,"private_quarantine/"&amp;A1636)</x:f>
        <x:v>archive/public_candidates/SWARM-12-H05-S03</x:v>
      </x:c>
      <x:c r="AJ1636" s="12" t="str">
        <x:f>IF(AC1636="PUBLIC_CANDIDATE","public by default; still not canon","private/hold; do not publish")</x:f>
        <x:v>public by default; still not canon</x:v>
      </x:c>
      <x:c r="AK1636" s="12" t="str">
        <x:f>IF(AE1636="prepare_public_github_candidate","add receipt/status then mirror","resolve blocker before any public GitHub action")</x:f>
        <x:v>add receipt/status then mirror</x:v>
      </x:c>
    </x:row>
    <x:row r="1637">
      <x:c r="A1637" s="15" t="str">
        <x:v>SWARM-12-H05-S04</x:v>
      </x:c>
      <x:c r="B1637" s="15" t="str">
        <x:v>JoySignal</x:v>
      </x:c>
      <x:c r="C1637" s="15" t="str">
        <x:v>Rest and morale keeper</x:v>
      </x:c>
      <x:c r="D1637" s="15" t="str">
        <x:v>Contradiction Mapping</x:v>
      </x:c>
      <x:c r="E1637" s="15" t="str">
        <x:v>Gamma</x:v>
      </x:c>
      <x:c r="F1637" s="15" t="str">
        <x:v>Map contradictions in Gamma — JoySignal</x:v>
      </x:c>
      <x:c r="G1637" s="15" t="str">
        <x:v>cadence / anti-burnout / safe completion language</x:v>
      </x:c>
      <x:c r="H1637" s="15" t="str">
        <x:v>source path + receipt + raw/export status + claim/edge/risk delta</x:v>
      </x:c>
      <x:c r="I1637" s="15" t="str">
        <x:v>packet/SWARM-12-H05-S04</x:v>
      </x:c>
      <x:c r="J1637" s="15" t="str">
        <x:v>TODO</x:v>
      </x:c>
      <x:c r="K1637" s="15" t="str">
        <x:v>P1</x:v>
      </x:c>
      <x:c r="L1637" s="15" t="str">
        <x:v>Done only when evidence is logged, contradiction search is noted, and boundary stamp remains non-canon unless ratified</x:v>
      </x:c>
      <x:c r="M1637" s="15" t="str">
        <x:v>candidate / staging-only / not canon / not deployed / authority none</x:v>
      </x:c>
      <x:c r="N1637" s="15" t="str">
        <x:v>Dispatch to JoySignal: complete Contradiction Mapping x Gamma; return deltas only, receipts required.</x:v>
      </x:c>
      <x:c r="O1637" s="15" t="str">
        <x:v>AF-KG-H05-S04</x:v>
      </x:c>
      <x:c r="P1637" s="15" t="str">
        <x:v>Unverified</x:v>
      </x:c>
      <x:c r="Q1637" s="15" t="str">
        <x:v>Not checked</x:v>
      </x:c>
      <x:c r="R1637" s="15" t="str"/>
      <x:c r="S1637" s="15" t="str"/>
      <x:c r="T1637" s="15" t="str">
        <x:v>Log first source path or blocker</x:v>
      </x:c>
      <x:c r="U1637" s="12" t="str">
        <x:f>IF(OR(P1637="Unverified",Q1637="Not checked"),"BLOCKED_PENDING_RECEIPT","READY_FOR_REVIEW")</x:f>
        <x:v>BLOCKED_PENDING_RECEIPT</x:v>
      </x:c>
      <x:c r="V1637" s="12" t="str">
        <x:f>IF(J1637="DONE","RETURNED",IF(U1637="BLOCKED_PENDING_RECEIPT","SOURCE_TOUCH_REQUIRED","IN_PROGRESS"))</x:f>
        <x:v>SOURCE_TOUCH_REQUIRED</x:v>
      </x:c>
      <x:c r="W1637" s="12" t="str">
        <x:f>IF(P1637="Unverified","missing_receipt","receipt_logged")</x:f>
        <x:v>missing_receipt</x:v>
      </x:c>
      <x:c r="X1637" s="12" t="str">
        <x:f>IF(Q1637="Not checked","raw_status_missing","raw_status_logged")</x:f>
        <x:v>raw_status_missing</x:v>
      </x:c>
      <x:c r="Y1637" s="12" t="str">
        <x:f>IF(U1637="BLOCKED_PENDING_RECEIPT","Log source path or blocker; do not promote","Route to review lane")</x:f>
        <x:v>Log source path or blocker; do not promote</x:v>
      </x:c>
      <x:c r="Z1637" s="12" t="str">
        <x:f>IF(K1637="P0","Primary seat + Hashlight/Lucerna","Seat lane")</x:f>
        <x:v>Seat lane</x:v>
      </x:c>
      <x:c r="AA1637" s="12" t="str">
        <x:f>IF(R1637="","no_claim_delta","claim_delta_present")</x:f>
        <x:v>no_claim_delta</x:v>
      </x:c>
      <x:c r="AB1637" s="12" t="str">
        <x:f>IF(S1637="","no_contradiction_delta","contradiction_delta_present")</x:f>
        <x:v>no_contradiction_delta</x:v>
      </x:c>
      <x:c r="AC1637" s="12" t="str">
        <x:f>IF(OR(ISNUMBER(SEARCH("hacker",LOWER(F1637&amp;" "&amp;H1637&amp;" "&amp;I1637&amp;" "&amp;M1637&amp;" "&amp;N1637&amp;" "&amp;T1637))),ISNUMBER(SEARCH("hacking",LOWER(F1637&amp;" "&amp;H1637&amp;" "&amp;I1637&amp;" "&amp;M1637&amp;" "&amp;N1637&amp;" "&amp;T1637))),ISNUMBER(SEARCH("bank",LOWER(F1637&amp;" "&amp;H1637&amp;" "&amp;I1637&amp;" "&amp;M1637&amp;" "&amp;N1637&amp;" "&amp;T1637))),ISNUMBER(SEARCH("banking",LOWER(F1637&amp;" "&amp;H1637&amp;" "&amp;I1637&amp;" "&amp;M1637&amp;" "&amp;N1637&amp;" "&amp;T1637)))),"PRIVATE_QUARANTINE",IF(OR(ISNUMBER(SEARCH("treasury",LOWER(F1637&amp;" "&amp;H1637&amp;" "&amp;I1637&amp;" "&amp;M1637&amp;" "&amp;N1637&amp;" "&amp;T1637))),ISNUMBER(SEARCH("debt",LOWER(F1637&amp;" "&amp;H1637&amp;" "&amp;I1637&amp;" "&amp;M1637&amp;" "&amp;N1637&amp;" "&amp;T1637))),ISNUMBER(SEARCH("bond",LOWER(F1637&amp;" "&amp;H1637&amp;" "&amp;I1637&amp;" "&amp;M1637&amp;" "&amp;N1637&amp;" "&amp;T1637))),ISNUMBER(SEARCH("transaction",LOWER(F1637&amp;" "&amp;H1637&amp;" "&amp;I1637&amp;" "&amp;M1637&amp;" "&amp;N1637&amp;" "&amp;T1637)))),"PRIVATE_REVIEW","PUBLIC_CANDIDATE"))</x:f>
        <x:v>PUBLIC_CANDIDATE</x:v>
      </x:c>
      <x:c r="AD1637" s="12" t="str">
        <x:f>IF(AC1637="PRIVATE_QUARANTINE","hacker_or_bank_trigger",IF(AC1637="PRIVATE_REVIEW","finance_risk_trigger","none"))</x:f>
        <x:v>none</x:v>
      </x:c>
      <x:c r="AE1637" s="12" t="str">
        <x:f>IF(AC1637="PUBLIC_CANDIDATE","prepare_public_github_candidate",IF(AC1637="PRIVATE_REVIEW","hold_for_private_review","quarantine_private_do_not_publish"))</x:f>
        <x:v>prepare_public_github_candidate</x:v>
      </x:c>
      <x:c r="AF1637" s="12" t="str">
        <x:f>IF(AC1637="PUBLIC_CANDIDATE","TIDELOCK + Lucerna",IF(AC1637="PRIVATE_REVIEW","AtlasBrain + Lucerna","TIDELOCK + Lucerna + Human-root"))</x:f>
        <x:v>TIDELOCK + Lucerna</x:v>
      </x:c>
      <x:c r="AG1637" s="12" t="str">
        <x:f>IF(AND(AC1637="PUBLIC_CANDIDATE",U1637&lt;&gt;"BLOCKED_PENDING_RECEIPT"),"READY_AFTER_RECEIPT","NOT_READY")</x:f>
        <x:v>NOT_READY</x:v>
      </x:c>
      <x:c r="AH1637" s="12" t="str">
        <x:f>IF(AC1637="PUBLIC_CANDIDATE","none",AD1637)</x:f>
        <x:v>none</x:v>
      </x:c>
      <x:c r="AI1637" s="12" t="str">
        <x:f>IF(AC1637="PUBLIC_CANDIDATE","archive/public_candidates/"&amp;A1637,"private_quarantine/"&amp;A1637)</x:f>
        <x:v>archive/public_candidates/SWARM-12-H05-S04</x:v>
      </x:c>
      <x:c r="AJ1637" s="12" t="str">
        <x:f>IF(AC1637="PUBLIC_CANDIDATE","public by default; still not canon","private/hold; do not publish")</x:f>
        <x:v>public by default; still not canon</x:v>
      </x:c>
      <x:c r="AK1637" s="12" t="str">
        <x:f>IF(AE1637="prepare_public_github_candidate","add receipt/status then mirror","resolve blocker before any public GitHub action")</x:f>
        <x:v>add receipt/status then mirror</x:v>
      </x:c>
    </x:row>
    <x:row r="1638">
      <x:c r="A1638" s="15" t="str">
        <x:v>SWARM-12-H05-S05</x:v>
      </x:c>
      <x:c r="B1638" s="15" t="str">
        <x:v>JoySignal</x:v>
      </x:c>
      <x:c r="C1638" s="15" t="str">
        <x:v>Rest and morale keeper</x:v>
      </x:c>
      <x:c r="D1638" s="15" t="str">
        <x:v>Contradiction Mapping</x:v>
      </x:c>
      <x:c r="E1638" s="15" t="str">
        <x:v>Chat</x:v>
      </x:c>
      <x:c r="F1638" s="15" t="str">
        <x:v>Map contradictions in Chat — JoySignal</x:v>
      </x:c>
      <x:c r="G1638" s="15" t="str">
        <x:v>cadence / anti-burnout / safe completion language</x:v>
      </x:c>
      <x:c r="H1638" s="15" t="str">
        <x:v>source path + receipt + raw/export status + claim/edge/risk delta</x:v>
      </x:c>
      <x:c r="I1638" s="15" t="str">
        <x:v>packet/SWARM-12-H05-S05</x:v>
      </x:c>
      <x:c r="J1638" s="15" t="str">
        <x:v>TODO</x:v>
      </x:c>
      <x:c r="K1638" s="15" t="str">
        <x:v>P1</x:v>
      </x:c>
      <x:c r="L1638" s="15" t="str">
        <x:v>Done only when evidence is logged, contradiction search is noted, and boundary stamp remains non-canon unless ratified</x:v>
      </x:c>
      <x:c r="M1638" s="15" t="str">
        <x:v>candidate / staging-only / not canon / not deployed / authority none</x:v>
      </x:c>
      <x:c r="N1638" s="15" t="str">
        <x:v>Dispatch to JoySignal: complete Contradiction Mapping x Chat; return deltas only, receipts required.</x:v>
      </x:c>
      <x:c r="O1638" s="15" t="str">
        <x:v>AF-KG-H05-S05</x:v>
      </x:c>
      <x:c r="P1638" s="15" t="str">
        <x:v>Unverified</x:v>
      </x:c>
      <x:c r="Q1638" s="15" t="str">
        <x:v>Not checked</x:v>
      </x:c>
      <x:c r="R1638" s="15" t="str"/>
      <x:c r="S1638" s="15" t="str"/>
      <x:c r="T1638" s="15" t="str">
        <x:v>Log first source path or blocker</x:v>
      </x:c>
      <x:c r="U1638" s="12" t="str">
        <x:f>IF(OR(P1638="Unverified",Q1638="Not checked"),"BLOCKED_PENDING_RECEIPT","READY_FOR_REVIEW")</x:f>
        <x:v>BLOCKED_PENDING_RECEIPT</x:v>
      </x:c>
      <x:c r="V1638" s="12" t="str">
        <x:f>IF(J1638="DONE","RETURNED",IF(U1638="BLOCKED_PENDING_RECEIPT","SOURCE_TOUCH_REQUIRED","IN_PROGRESS"))</x:f>
        <x:v>SOURCE_TOUCH_REQUIRED</x:v>
      </x:c>
      <x:c r="W1638" s="12" t="str">
        <x:f>IF(P1638="Unverified","missing_receipt","receipt_logged")</x:f>
        <x:v>missing_receipt</x:v>
      </x:c>
      <x:c r="X1638" s="12" t="str">
        <x:f>IF(Q1638="Not checked","raw_status_missing","raw_status_logged")</x:f>
        <x:v>raw_status_missing</x:v>
      </x:c>
      <x:c r="Y1638" s="12" t="str">
        <x:f>IF(U1638="BLOCKED_PENDING_RECEIPT","Log source path or blocker; do not promote","Route to review lane")</x:f>
        <x:v>Log source path or blocker; do not promote</x:v>
      </x:c>
      <x:c r="Z1638" s="12" t="str">
        <x:f>IF(K1638="P0","Primary seat + Hashlight/Lucerna","Seat lane")</x:f>
        <x:v>Seat lane</x:v>
      </x:c>
      <x:c r="AA1638" s="12" t="str">
        <x:f>IF(R1638="","no_claim_delta","claim_delta_present")</x:f>
        <x:v>no_claim_delta</x:v>
      </x:c>
      <x:c r="AB1638" s="12" t="str">
        <x:f>IF(S1638="","no_contradiction_delta","contradiction_delta_present")</x:f>
        <x:v>no_contradiction_delta</x:v>
      </x:c>
      <x:c r="AC1638" s="12" t="str">
        <x:f>IF(OR(ISNUMBER(SEARCH("hacker",LOWER(F1638&amp;" "&amp;H1638&amp;" "&amp;I1638&amp;" "&amp;M1638&amp;" "&amp;N1638&amp;" "&amp;T1638))),ISNUMBER(SEARCH("hacking",LOWER(F1638&amp;" "&amp;H1638&amp;" "&amp;I1638&amp;" "&amp;M1638&amp;" "&amp;N1638&amp;" "&amp;T1638))),ISNUMBER(SEARCH("bank",LOWER(F1638&amp;" "&amp;H1638&amp;" "&amp;I1638&amp;" "&amp;M1638&amp;" "&amp;N1638&amp;" "&amp;T1638))),ISNUMBER(SEARCH("banking",LOWER(F1638&amp;" "&amp;H1638&amp;" "&amp;I1638&amp;" "&amp;M1638&amp;" "&amp;N1638&amp;" "&amp;T1638)))),"PRIVATE_QUARANTINE",IF(OR(ISNUMBER(SEARCH("treasury",LOWER(F1638&amp;" "&amp;H1638&amp;" "&amp;I1638&amp;" "&amp;M1638&amp;" "&amp;N1638&amp;" "&amp;T1638))),ISNUMBER(SEARCH("debt",LOWER(F1638&amp;" "&amp;H1638&amp;" "&amp;I1638&amp;" "&amp;M1638&amp;" "&amp;N1638&amp;" "&amp;T1638))),ISNUMBER(SEARCH("bond",LOWER(F1638&amp;" "&amp;H1638&amp;" "&amp;I1638&amp;" "&amp;M1638&amp;" "&amp;N1638&amp;" "&amp;T1638))),ISNUMBER(SEARCH("transaction",LOWER(F1638&amp;" "&amp;H1638&amp;" "&amp;I1638&amp;" "&amp;M1638&amp;" "&amp;N1638&amp;" "&amp;T1638)))),"PRIVATE_REVIEW","PUBLIC_CANDIDATE"))</x:f>
        <x:v>PUBLIC_CANDIDATE</x:v>
      </x:c>
      <x:c r="AD1638" s="12" t="str">
        <x:f>IF(AC1638="PRIVATE_QUARANTINE","hacker_or_bank_trigger",IF(AC1638="PRIVATE_REVIEW","finance_risk_trigger","none"))</x:f>
        <x:v>none</x:v>
      </x:c>
      <x:c r="AE1638" s="12" t="str">
        <x:f>IF(AC1638="PUBLIC_CANDIDATE","prepare_public_github_candidate",IF(AC1638="PRIVATE_REVIEW","hold_for_private_review","quarantine_private_do_not_publish"))</x:f>
        <x:v>prepare_public_github_candidate</x:v>
      </x:c>
      <x:c r="AF1638" s="12" t="str">
        <x:f>IF(AC1638="PUBLIC_CANDIDATE","TIDELOCK + Lucerna",IF(AC1638="PRIVATE_REVIEW","AtlasBrain + Lucerna","TIDELOCK + Lucerna + Human-root"))</x:f>
        <x:v>TIDELOCK + Lucerna</x:v>
      </x:c>
      <x:c r="AG1638" s="12" t="str">
        <x:f>IF(AND(AC1638="PUBLIC_CANDIDATE",U1638&lt;&gt;"BLOCKED_PENDING_RECEIPT"),"READY_AFTER_RECEIPT","NOT_READY")</x:f>
        <x:v>NOT_READY</x:v>
      </x:c>
      <x:c r="AH1638" s="12" t="str">
        <x:f>IF(AC1638="PUBLIC_CANDIDATE","none",AD1638)</x:f>
        <x:v>none</x:v>
      </x:c>
      <x:c r="AI1638" s="12" t="str">
        <x:f>IF(AC1638="PUBLIC_CANDIDATE","archive/public_candidates/"&amp;A1638,"private_quarantine/"&amp;A1638)</x:f>
        <x:v>archive/public_candidates/SWARM-12-H05-S05</x:v>
      </x:c>
      <x:c r="AJ1638" s="12" t="str">
        <x:f>IF(AC1638="PUBLIC_CANDIDATE","public by default; still not canon","private/hold; do not publish")</x:f>
        <x:v>public by default; still not canon</x:v>
      </x:c>
      <x:c r="AK1638" s="12" t="str">
        <x:f>IF(AE1638="prepare_public_github_candidate","add receipt/status then mirror","resolve blocker before any public GitHub action")</x:f>
        <x:v>add receipt/status then mirror</x:v>
      </x:c>
    </x:row>
    <x:row r="1639">
      <x:c r="A1639" s="15" t="str">
        <x:v>SWARM-12-H05-S06</x:v>
      </x:c>
      <x:c r="B1639" s="15" t="str">
        <x:v>JoySignal</x:v>
      </x:c>
      <x:c r="C1639" s="15" t="str">
        <x:v>Rest and morale keeper</x:v>
      </x:c>
      <x:c r="D1639" s="15" t="str">
        <x:v>Contradiction Mapping</x:v>
      </x:c>
      <x:c r="E1639" s="15" t="str">
        <x:v>External Web</x:v>
      </x:c>
      <x:c r="F1639" s="15" t="str">
        <x:v>Map contradictions in External Web — JoySignal</x:v>
      </x:c>
      <x:c r="G1639" s="15" t="str">
        <x:v>cadence / anti-burnout / safe completion language</x:v>
      </x:c>
      <x:c r="H1639" s="15" t="str">
        <x:v>source path + receipt + raw/export status + claim/edge/risk delta</x:v>
      </x:c>
      <x:c r="I1639" s="15" t="str">
        <x:v>packet/SWARM-12-H05-S06</x:v>
      </x:c>
      <x:c r="J1639" s="15" t="str">
        <x:v>TODO</x:v>
      </x:c>
      <x:c r="K1639" s="15" t="str">
        <x:v>P1</x:v>
      </x:c>
      <x:c r="L1639" s="15" t="str">
        <x:v>Done only when evidence is logged, contradiction search is noted, and boundary stamp remains non-canon unless ratified</x:v>
      </x:c>
      <x:c r="M1639" s="15" t="str">
        <x:v>candidate / staging-only / not canon / not deployed / authority none</x:v>
      </x:c>
      <x:c r="N1639" s="15" t="str">
        <x:v>Dispatch to JoySignal: complete Contradiction Mapping x External Web; return deltas only, receipts required.</x:v>
      </x:c>
      <x:c r="O1639" s="15" t="str">
        <x:v>AF-KG-H05-S06</x:v>
      </x:c>
      <x:c r="P1639" s="15" t="str">
        <x:v>Unverified</x:v>
      </x:c>
      <x:c r="Q1639" s="15" t="str">
        <x:v>Not checked</x:v>
      </x:c>
      <x:c r="R1639" s="15" t="str"/>
      <x:c r="S1639" s="15" t="str"/>
      <x:c r="T1639" s="15" t="str">
        <x:v>Log first source path or blocker</x:v>
      </x:c>
      <x:c r="U1639" s="12" t="str">
        <x:f>IF(OR(P1639="Unverified",Q1639="Not checked"),"BLOCKED_PENDING_RECEIPT","READY_FOR_REVIEW")</x:f>
        <x:v>BLOCKED_PENDING_RECEIPT</x:v>
      </x:c>
      <x:c r="V1639" s="12" t="str">
        <x:f>IF(J1639="DONE","RETURNED",IF(U1639="BLOCKED_PENDING_RECEIPT","SOURCE_TOUCH_REQUIRED","IN_PROGRESS"))</x:f>
        <x:v>SOURCE_TOUCH_REQUIRED</x:v>
      </x:c>
      <x:c r="W1639" s="12" t="str">
        <x:f>IF(P1639="Unverified","missing_receipt","receipt_logged")</x:f>
        <x:v>missing_receipt</x:v>
      </x:c>
      <x:c r="X1639" s="12" t="str">
        <x:f>IF(Q1639="Not checked","raw_status_missing","raw_status_logged")</x:f>
        <x:v>raw_status_missing</x:v>
      </x:c>
      <x:c r="Y1639" s="12" t="str">
        <x:f>IF(U1639="BLOCKED_PENDING_RECEIPT","Log source path or blocker; do not promote","Route to review lane")</x:f>
        <x:v>Log source path or blocker; do not promote</x:v>
      </x:c>
      <x:c r="Z1639" s="12" t="str">
        <x:f>IF(K1639="P0","Primary seat + Hashlight/Lucerna","Seat lane")</x:f>
        <x:v>Seat lane</x:v>
      </x:c>
      <x:c r="AA1639" s="12" t="str">
        <x:f>IF(R1639="","no_claim_delta","claim_delta_present")</x:f>
        <x:v>no_claim_delta</x:v>
      </x:c>
      <x:c r="AB1639" s="12" t="str">
        <x:f>IF(S1639="","no_contradiction_delta","contradiction_delta_present")</x:f>
        <x:v>no_contradiction_delta</x:v>
      </x:c>
      <x:c r="AC1639" s="12" t="str">
        <x:f>IF(OR(ISNUMBER(SEARCH("hacker",LOWER(F1639&amp;" "&amp;H1639&amp;" "&amp;I1639&amp;" "&amp;M1639&amp;" "&amp;N1639&amp;" "&amp;T1639))),ISNUMBER(SEARCH("hacking",LOWER(F1639&amp;" "&amp;H1639&amp;" "&amp;I1639&amp;" "&amp;M1639&amp;" "&amp;N1639&amp;" "&amp;T1639))),ISNUMBER(SEARCH("bank",LOWER(F1639&amp;" "&amp;H1639&amp;" "&amp;I1639&amp;" "&amp;M1639&amp;" "&amp;N1639&amp;" "&amp;T1639))),ISNUMBER(SEARCH("banking",LOWER(F1639&amp;" "&amp;H1639&amp;" "&amp;I1639&amp;" "&amp;M1639&amp;" "&amp;N1639&amp;" "&amp;T1639)))),"PRIVATE_QUARANTINE",IF(OR(ISNUMBER(SEARCH("treasury",LOWER(F1639&amp;" "&amp;H1639&amp;" "&amp;I1639&amp;" "&amp;M1639&amp;" "&amp;N1639&amp;" "&amp;T1639))),ISNUMBER(SEARCH("debt",LOWER(F1639&amp;" "&amp;H1639&amp;" "&amp;I1639&amp;" "&amp;M1639&amp;" "&amp;N1639&amp;" "&amp;T1639))),ISNUMBER(SEARCH("bond",LOWER(F1639&amp;" "&amp;H1639&amp;" "&amp;I1639&amp;" "&amp;M1639&amp;" "&amp;N1639&amp;" "&amp;T1639))),ISNUMBER(SEARCH("transaction",LOWER(F1639&amp;" "&amp;H1639&amp;" "&amp;I1639&amp;" "&amp;M1639&amp;" "&amp;N1639&amp;" "&amp;T1639)))),"PRIVATE_REVIEW","PUBLIC_CANDIDATE"))</x:f>
        <x:v>PUBLIC_CANDIDATE</x:v>
      </x:c>
      <x:c r="AD1639" s="12" t="str">
        <x:f>IF(AC1639="PRIVATE_QUARANTINE","hacker_or_bank_trigger",IF(AC1639="PRIVATE_REVIEW","finance_risk_trigger","none"))</x:f>
        <x:v>none</x:v>
      </x:c>
      <x:c r="AE1639" s="12" t="str">
        <x:f>IF(AC1639="PUBLIC_CANDIDATE","prepare_public_github_candidate",IF(AC1639="PRIVATE_REVIEW","hold_for_private_review","quarantine_private_do_not_publish"))</x:f>
        <x:v>prepare_public_github_candidate</x:v>
      </x:c>
      <x:c r="AF1639" s="12" t="str">
        <x:f>IF(AC1639="PUBLIC_CANDIDATE","TIDELOCK + Lucerna",IF(AC1639="PRIVATE_REVIEW","AtlasBrain + Lucerna","TIDELOCK + Lucerna + Human-root"))</x:f>
        <x:v>TIDELOCK + Lucerna</x:v>
      </x:c>
      <x:c r="AG1639" s="12" t="str">
        <x:f>IF(AND(AC1639="PUBLIC_CANDIDATE",U1639&lt;&gt;"BLOCKED_PENDING_RECEIPT"),"READY_AFTER_RECEIPT","NOT_READY")</x:f>
        <x:v>NOT_READY</x:v>
      </x:c>
      <x:c r="AH1639" s="12" t="str">
        <x:f>IF(AC1639="PUBLIC_CANDIDATE","none",AD1639)</x:f>
        <x:v>none</x:v>
      </x:c>
      <x:c r="AI1639" s="12" t="str">
        <x:f>IF(AC1639="PUBLIC_CANDIDATE","archive/public_candidates/"&amp;A1639,"private_quarantine/"&amp;A1639)</x:f>
        <x:v>archive/public_candidates/SWARM-12-H05-S06</x:v>
      </x:c>
      <x:c r="AJ1639" s="12" t="str">
        <x:f>IF(AC1639="PUBLIC_CANDIDATE","public by default; still not canon","private/hold; do not publish")</x:f>
        <x:v>public by default; still not canon</x:v>
      </x:c>
      <x:c r="AK1639" s="12" t="str">
        <x:f>IF(AE1639="prepare_public_github_candidate","add receipt/status then mirror","resolve blocker before any public GitHub action")</x:f>
        <x:v>add receipt/status then mirror</x:v>
      </x:c>
    </x:row>
    <x:row r="1640">
      <x:c r="A1640" s="15" t="str">
        <x:v>SWARM-12-H05-S07</x:v>
      </x:c>
      <x:c r="B1640" s="15" t="str">
        <x:v>JoySignal</x:v>
      </x:c>
      <x:c r="C1640" s="15" t="str">
        <x:v>Rest and morale keeper</x:v>
      </x:c>
      <x:c r="D1640" s="15" t="str">
        <x:v>Contradiction Mapping</x:v>
      </x:c>
      <x:c r="E1640" s="15" t="str">
        <x:v>Planetarium</x:v>
      </x:c>
      <x:c r="F1640" s="15" t="str">
        <x:v>Map contradictions in Planetarium — JoySignal</x:v>
      </x:c>
      <x:c r="G1640" s="15" t="str">
        <x:v>cadence / anti-burnout / safe completion language</x:v>
      </x:c>
      <x:c r="H1640" s="15" t="str">
        <x:v>source path + receipt + raw/export status + claim/edge/risk delta</x:v>
      </x:c>
      <x:c r="I1640" s="15" t="str">
        <x:v>packet/SWARM-12-H05-S07</x:v>
      </x:c>
      <x:c r="J1640" s="15" t="str">
        <x:v>TODO</x:v>
      </x:c>
      <x:c r="K1640" s="15" t="str">
        <x:v>P1</x:v>
      </x:c>
      <x:c r="L1640" s="15" t="str">
        <x:v>Done only when evidence is logged, contradiction search is noted, and boundary stamp remains non-canon unless ratified</x:v>
      </x:c>
      <x:c r="M1640" s="15" t="str">
        <x:v>candidate / staging-only / not canon / not deployed / authority none</x:v>
      </x:c>
      <x:c r="N1640" s="15" t="str">
        <x:v>Dispatch to JoySignal: complete Contradiction Mapping x Planetarium; return deltas only, receipts required.</x:v>
      </x:c>
      <x:c r="O1640" s="15" t="str">
        <x:v>AF-KG-H05-S07</x:v>
      </x:c>
      <x:c r="P1640" s="15" t="str">
        <x:v>Unverified</x:v>
      </x:c>
      <x:c r="Q1640" s="15" t="str">
        <x:v>Not checked</x:v>
      </x:c>
      <x:c r="R1640" s="15" t="str"/>
      <x:c r="S1640" s="15" t="str"/>
      <x:c r="T1640" s="15" t="str">
        <x:v>Log first source path or blocker</x:v>
      </x:c>
      <x:c r="U1640" s="12" t="str">
        <x:f>IF(OR(P1640="Unverified",Q1640="Not checked"),"BLOCKED_PENDING_RECEIPT","READY_FOR_REVIEW")</x:f>
        <x:v>BLOCKED_PENDING_RECEIPT</x:v>
      </x:c>
      <x:c r="V1640" s="12" t="str">
        <x:f>IF(J1640="DONE","RETURNED",IF(U1640="BLOCKED_PENDING_RECEIPT","SOURCE_TOUCH_REQUIRED","IN_PROGRESS"))</x:f>
        <x:v>SOURCE_TOUCH_REQUIRED</x:v>
      </x:c>
      <x:c r="W1640" s="12" t="str">
        <x:f>IF(P1640="Unverified","missing_receipt","receipt_logged")</x:f>
        <x:v>missing_receipt</x:v>
      </x:c>
      <x:c r="X1640" s="12" t="str">
        <x:f>IF(Q1640="Not checked","raw_status_missing","raw_status_logged")</x:f>
        <x:v>raw_status_missing</x:v>
      </x:c>
      <x:c r="Y1640" s="12" t="str">
        <x:f>IF(U1640="BLOCKED_PENDING_RECEIPT","Log source path or blocker; do not promote","Route to review lane")</x:f>
        <x:v>Log source path or blocker; do not promote</x:v>
      </x:c>
      <x:c r="Z1640" s="12" t="str">
        <x:f>IF(K1640="P0","Primary seat + Hashlight/Lucerna","Seat lane")</x:f>
        <x:v>Seat lane</x:v>
      </x:c>
      <x:c r="AA1640" s="12" t="str">
        <x:f>IF(R1640="","no_claim_delta","claim_delta_present")</x:f>
        <x:v>no_claim_delta</x:v>
      </x:c>
      <x:c r="AB1640" s="12" t="str">
        <x:f>IF(S1640="","no_contradiction_delta","contradiction_delta_present")</x:f>
        <x:v>no_contradiction_delta</x:v>
      </x:c>
      <x:c r="AC1640" s="12" t="str">
        <x:f>IF(OR(ISNUMBER(SEARCH("hacker",LOWER(F1640&amp;" "&amp;H1640&amp;" "&amp;I1640&amp;" "&amp;M1640&amp;" "&amp;N1640&amp;" "&amp;T1640))),ISNUMBER(SEARCH("hacking",LOWER(F1640&amp;" "&amp;H1640&amp;" "&amp;I1640&amp;" "&amp;M1640&amp;" "&amp;N1640&amp;" "&amp;T1640))),ISNUMBER(SEARCH("bank",LOWER(F1640&amp;" "&amp;H1640&amp;" "&amp;I1640&amp;" "&amp;M1640&amp;" "&amp;N1640&amp;" "&amp;T1640))),ISNUMBER(SEARCH("banking",LOWER(F1640&amp;" "&amp;H1640&amp;" "&amp;I1640&amp;" "&amp;M1640&amp;" "&amp;N1640&amp;" "&amp;T1640)))),"PRIVATE_QUARANTINE",IF(OR(ISNUMBER(SEARCH("treasury",LOWER(F1640&amp;" "&amp;H1640&amp;" "&amp;I1640&amp;" "&amp;M1640&amp;" "&amp;N1640&amp;" "&amp;T1640))),ISNUMBER(SEARCH("debt",LOWER(F1640&amp;" "&amp;H1640&amp;" "&amp;I1640&amp;" "&amp;M1640&amp;" "&amp;N1640&amp;" "&amp;T1640))),ISNUMBER(SEARCH("bond",LOWER(F1640&amp;" "&amp;H1640&amp;" "&amp;I1640&amp;" "&amp;M1640&amp;" "&amp;N1640&amp;" "&amp;T1640))),ISNUMBER(SEARCH("transaction",LOWER(F1640&amp;" "&amp;H1640&amp;" "&amp;I1640&amp;" "&amp;M1640&amp;" "&amp;N1640&amp;" "&amp;T1640)))),"PRIVATE_REVIEW","PUBLIC_CANDIDATE"))</x:f>
        <x:v>PUBLIC_CANDIDATE</x:v>
      </x:c>
      <x:c r="AD1640" s="12" t="str">
        <x:f>IF(AC1640="PRIVATE_QUARANTINE","hacker_or_bank_trigger",IF(AC1640="PRIVATE_REVIEW","finance_risk_trigger","none"))</x:f>
        <x:v>none</x:v>
      </x:c>
      <x:c r="AE1640" s="12" t="str">
        <x:f>IF(AC1640="PUBLIC_CANDIDATE","prepare_public_github_candidate",IF(AC1640="PRIVATE_REVIEW","hold_for_private_review","quarantine_private_do_not_publish"))</x:f>
        <x:v>prepare_public_github_candidate</x:v>
      </x:c>
      <x:c r="AF1640" s="12" t="str">
        <x:f>IF(AC1640="PUBLIC_CANDIDATE","TIDELOCK + Lucerna",IF(AC1640="PRIVATE_REVIEW","AtlasBrain + Lucerna","TIDELOCK + Lucerna + Human-root"))</x:f>
        <x:v>TIDELOCK + Lucerna</x:v>
      </x:c>
      <x:c r="AG1640" s="12" t="str">
        <x:f>IF(AND(AC1640="PUBLIC_CANDIDATE",U1640&lt;&gt;"BLOCKED_PENDING_RECEIPT"),"READY_AFTER_RECEIPT","NOT_READY")</x:f>
        <x:v>NOT_READY</x:v>
      </x:c>
      <x:c r="AH1640" s="12" t="str">
        <x:f>IF(AC1640="PUBLIC_CANDIDATE","none",AD1640)</x:f>
        <x:v>none</x:v>
      </x:c>
      <x:c r="AI1640" s="12" t="str">
        <x:f>IF(AC1640="PUBLIC_CANDIDATE","archive/public_candidates/"&amp;A1640,"private_quarantine/"&amp;A1640)</x:f>
        <x:v>archive/public_candidates/SWARM-12-H05-S07</x:v>
      </x:c>
      <x:c r="AJ1640" s="12" t="str">
        <x:f>IF(AC1640="PUBLIC_CANDIDATE","public by default; still not canon","private/hold; do not publish")</x:f>
        <x:v>public by default; still not canon</x:v>
      </x:c>
      <x:c r="AK1640" s="12" t="str">
        <x:f>IF(AE1640="prepare_public_github_candidate","add receipt/status then mirror","resolve blocker before any public GitHub action")</x:f>
        <x:v>add receipt/status then mirror</x:v>
      </x:c>
    </x:row>
    <x:row r="1641">
      <x:c r="A1641" s="15" t="str">
        <x:v>SWARM-12-H05-S08</x:v>
      </x:c>
      <x:c r="B1641" s="15" t="str">
        <x:v>JoySignal</x:v>
      </x:c>
      <x:c r="C1641" s="15" t="str">
        <x:v>Rest and morale keeper</x:v>
      </x:c>
      <x:c r="D1641" s="15" t="str">
        <x:v>Contradiction Mapping</x:v>
      </x:c>
      <x:c r="E1641" s="15" t="str">
        <x:v>Sheldonbrain</x:v>
      </x:c>
      <x:c r="F1641" s="15" t="str">
        <x:v>Map contradictions in Sheldonbrain — JoySignal</x:v>
      </x:c>
      <x:c r="G1641" s="15" t="str">
        <x:v>cadence / anti-burnout / safe completion language</x:v>
      </x:c>
      <x:c r="H1641" s="15" t="str">
        <x:v>source path + receipt + raw/export status + claim/edge/risk delta</x:v>
      </x:c>
      <x:c r="I1641" s="15" t="str">
        <x:v>packet/SWARM-12-H05-S08</x:v>
      </x:c>
      <x:c r="J1641" s="15" t="str">
        <x:v>TODO</x:v>
      </x:c>
      <x:c r="K1641" s="15" t="str">
        <x:v>P1</x:v>
      </x:c>
      <x:c r="L1641" s="15" t="str">
        <x:v>Done only when evidence is logged, contradiction search is noted, and boundary stamp remains non-canon unless ratified</x:v>
      </x:c>
      <x:c r="M1641" s="15" t="str">
        <x:v>candidate / staging-only / not canon / not deployed / authority none</x:v>
      </x:c>
      <x:c r="N1641" s="15" t="str">
        <x:v>Dispatch to JoySignal: complete Contradiction Mapping x Sheldonbrain; return deltas only, receipts required.</x:v>
      </x:c>
      <x:c r="O1641" s="15" t="str">
        <x:v>AF-KG-H05-S08</x:v>
      </x:c>
      <x:c r="P1641" s="15" t="str">
        <x:v>Unverified</x:v>
      </x:c>
      <x:c r="Q1641" s="15" t="str">
        <x:v>Not checked</x:v>
      </x:c>
      <x:c r="R1641" s="15" t="str"/>
      <x:c r="S1641" s="15" t="str"/>
      <x:c r="T1641" s="15" t="str">
        <x:v>Log first source path or blocker</x:v>
      </x:c>
      <x:c r="U1641" s="12" t="str">
        <x:f>IF(OR(P1641="Unverified",Q1641="Not checked"),"BLOCKED_PENDING_RECEIPT","READY_FOR_REVIEW")</x:f>
        <x:v>BLOCKED_PENDING_RECEIPT</x:v>
      </x:c>
      <x:c r="V1641" s="12" t="str">
        <x:f>IF(J1641="DONE","RETURNED",IF(U1641="BLOCKED_PENDING_RECEIPT","SOURCE_TOUCH_REQUIRED","IN_PROGRESS"))</x:f>
        <x:v>SOURCE_TOUCH_REQUIRED</x:v>
      </x:c>
      <x:c r="W1641" s="12" t="str">
        <x:f>IF(P1641="Unverified","missing_receipt","receipt_logged")</x:f>
        <x:v>missing_receipt</x:v>
      </x:c>
      <x:c r="X1641" s="12" t="str">
        <x:f>IF(Q1641="Not checked","raw_status_missing","raw_status_logged")</x:f>
        <x:v>raw_status_missing</x:v>
      </x:c>
      <x:c r="Y1641" s="12" t="str">
        <x:f>IF(U1641="BLOCKED_PENDING_RECEIPT","Log source path or blocker; do not promote","Route to review lane")</x:f>
        <x:v>Log source path or blocker; do not promote</x:v>
      </x:c>
      <x:c r="Z1641" s="12" t="str">
        <x:f>IF(K1641="P0","Primary seat + Hashlight/Lucerna","Seat lane")</x:f>
        <x:v>Seat lane</x:v>
      </x:c>
      <x:c r="AA1641" s="12" t="str">
        <x:f>IF(R1641="","no_claim_delta","claim_delta_present")</x:f>
        <x:v>no_claim_delta</x:v>
      </x:c>
      <x:c r="AB1641" s="12" t="str">
        <x:f>IF(S1641="","no_contradiction_delta","contradiction_delta_present")</x:f>
        <x:v>no_contradiction_delta</x:v>
      </x:c>
      <x:c r="AC1641" s="12" t="str">
        <x:f>IF(OR(ISNUMBER(SEARCH("hacker",LOWER(F1641&amp;" "&amp;H1641&amp;" "&amp;I1641&amp;" "&amp;M1641&amp;" "&amp;N1641&amp;" "&amp;T1641))),ISNUMBER(SEARCH("hacking",LOWER(F1641&amp;" "&amp;H1641&amp;" "&amp;I1641&amp;" "&amp;M1641&amp;" "&amp;N1641&amp;" "&amp;T1641))),ISNUMBER(SEARCH("bank",LOWER(F1641&amp;" "&amp;H1641&amp;" "&amp;I1641&amp;" "&amp;M1641&amp;" "&amp;N1641&amp;" "&amp;T1641))),ISNUMBER(SEARCH("banking",LOWER(F1641&amp;" "&amp;H1641&amp;" "&amp;I1641&amp;" "&amp;M1641&amp;" "&amp;N1641&amp;" "&amp;T1641)))),"PRIVATE_QUARANTINE",IF(OR(ISNUMBER(SEARCH("treasury",LOWER(F1641&amp;" "&amp;H1641&amp;" "&amp;I1641&amp;" "&amp;M1641&amp;" "&amp;N1641&amp;" "&amp;T1641))),ISNUMBER(SEARCH("debt",LOWER(F1641&amp;" "&amp;H1641&amp;" "&amp;I1641&amp;" "&amp;M1641&amp;" "&amp;N1641&amp;" "&amp;T1641))),ISNUMBER(SEARCH("bond",LOWER(F1641&amp;" "&amp;H1641&amp;" "&amp;I1641&amp;" "&amp;M1641&amp;" "&amp;N1641&amp;" "&amp;T1641))),ISNUMBER(SEARCH("transaction",LOWER(F1641&amp;" "&amp;H1641&amp;" "&amp;I1641&amp;" "&amp;M1641&amp;" "&amp;N1641&amp;" "&amp;T1641)))),"PRIVATE_REVIEW","PUBLIC_CANDIDATE"))</x:f>
        <x:v>PUBLIC_CANDIDATE</x:v>
      </x:c>
      <x:c r="AD1641" s="12" t="str">
        <x:f>IF(AC1641="PRIVATE_QUARANTINE","hacker_or_bank_trigger",IF(AC1641="PRIVATE_REVIEW","finance_risk_trigger","none"))</x:f>
        <x:v>none</x:v>
      </x:c>
      <x:c r="AE1641" s="12" t="str">
        <x:f>IF(AC1641="PUBLIC_CANDIDATE","prepare_public_github_candidate",IF(AC1641="PRIVATE_REVIEW","hold_for_private_review","quarantine_private_do_not_publish"))</x:f>
        <x:v>prepare_public_github_candidate</x:v>
      </x:c>
      <x:c r="AF1641" s="12" t="str">
        <x:f>IF(AC1641="PUBLIC_CANDIDATE","TIDELOCK + Lucerna",IF(AC1641="PRIVATE_REVIEW","AtlasBrain + Lucerna","TIDELOCK + Lucerna + Human-root"))</x:f>
        <x:v>TIDELOCK + Lucerna</x:v>
      </x:c>
      <x:c r="AG1641" s="12" t="str">
        <x:f>IF(AND(AC1641="PUBLIC_CANDIDATE",U1641&lt;&gt;"BLOCKED_PENDING_RECEIPT"),"READY_AFTER_RECEIPT","NOT_READY")</x:f>
        <x:v>NOT_READY</x:v>
      </x:c>
      <x:c r="AH1641" s="12" t="str">
        <x:f>IF(AC1641="PUBLIC_CANDIDATE","none",AD1641)</x:f>
        <x:v>none</x:v>
      </x:c>
      <x:c r="AI1641" s="12" t="str">
        <x:f>IF(AC1641="PUBLIC_CANDIDATE","archive/public_candidates/"&amp;A1641,"private_quarantine/"&amp;A1641)</x:f>
        <x:v>archive/public_candidates/SWARM-12-H05-S08</x:v>
      </x:c>
      <x:c r="AJ1641" s="12" t="str">
        <x:f>IF(AC1641="PUBLIC_CANDIDATE","public by default; still not canon","private/hold; do not publish")</x:f>
        <x:v>public by default; still not canon</x:v>
      </x:c>
      <x:c r="AK1641" s="12" t="str">
        <x:f>IF(AE1641="prepare_public_github_candidate","add receipt/status then mirror","resolve blocker before any public GitHub action")</x:f>
        <x:v>add receipt/status then mirror</x:v>
      </x:c>
    </x:row>
    <x:row r="1642">
      <x:c r="A1642" s="15" t="str">
        <x:v>SWARM-12-H05-S09</x:v>
      </x:c>
      <x:c r="B1642" s="15" t="str">
        <x:v>JoySignal</x:v>
      </x:c>
      <x:c r="C1642" s="15" t="str">
        <x:v>Rest and morale keeper</x:v>
      </x:c>
      <x:c r="D1642" s="15" t="str">
        <x:v>Contradiction Mapping</x:v>
      </x:c>
      <x:c r="E1642" s="15" t="str">
        <x:v>Aetherforge</x:v>
      </x:c>
      <x:c r="F1642" s="15" t="str">
        <x:v>Map contradictions in Aetherforge — JoySignal</x:v>
      </x:c>
      <x:c r="G1642" s="15" t="str">
        <x:v>cadence / anti-burnout / safe completion language</x:v>
      </x:c>
      <x:c r="H1642" s="15" t="str">
        <x:v>source path + receipt + raw/export status + claim/edge/risk delta</x:v>
      </x:c>
      <x:c r="I1642" s="15" t="str">
        <x:v>packet/SWARM-12-H05-S09</x:v>
      </x:c>
      <x:c r="J1642" s="15" t="str">
        <x:v>TODO</x:v>
      </x:c>
      <x:c r="K1642" s="15" t="str">
        <x:v>P2</x:v>
      </x:c>
      <x:c r="L1642" s="15" t="str">
        <x:v>Done only when evidence is logged, contradiction search is noted, and boundary stamp remains non-canon unless ratified</x:v>
      </x:c>
      <x:c r="M1642" s="15" t="str">
        <x:v>candidate / staging-only / not canon / not deployed / authority none</x:v>
      </x:c>
      <x:c r="N1642" s="15" t="str">
        <x:v>Dispatch to JoySignal: complete Contradiction Mapping x Aetherforge; return deltas only, receipts required.</x:v>
      </x:c>
      <x:c r="O1642" s="15" t="str">
        <x:v>AF-KG-H05-S09</x:v>
      </x:c>
      <x:c r="P1642" s="15" t="str">
        <x:v>Unverified</x:v>
      </x:c>
      <x:c r="Q1642" s="15" t="str">
        <x:v>Not checked</x:v>
      </x:c>
      <x:c r="R1642" s="15" t="str"/>
      <x:c r="S1642" s="15" t="str"/>
      <x:c r="T1642" s="15" t="str">
        <x:v>Log first source path or blocker</x:v>
      </x:c>
      <x:c r="U1642" s="12" t="str">
        <x:f>IF(OR(P1642="Unverified",Q1642="Not checked"),"BLOCKED_PENDING_RECEIPT","READY_FOR_REVIEW")</x:f>
        <x:v>BLOCKED_PENDING_RECEIPT</x:v>
      </x:c>
      <x:c r="V1642" s="12" t="str">
        <x:f>IF(J1642="DONE","RETURNED",IF(U1642="BLOCKED_PENDING_RECEIPT","SOURCE_TOUCH_REQUIRED","IN_PROGRESS"))</x:f>
        <x:v>SOURCE_TOUCH_REQUIRED</x:v>
      </x:c>
      <x:c r="W1642" s="12" t="str">
        <x:f>IF(P1642="Unverified","missing_receipt","receipt_logged")</x:f>
        <x:v>missing_receipt</x:v>
      </x:c>
      <x:c r="X1642" s="12" t="str">
        <x:f>IF(Q1642="Not checked","raw_status_missing","raw_status_logged")</x:f>
        <x:v>raw_status_missing</x:v>
      </x:c>
      <x:c r="Y1642" s="12" t="str">
        <x:f>IF(U1642="BLOCKED_PENDING_RECEIPT","Log source path or blocker; do not promote","Route to review lane")</x:f>
        <x:v>Log source path or blocker; do not promote</x:v>
      </x:c>
      <x:c r="Z1642" s="12" t="str">
        <x:f>IF(K1642="P0","Primary seat + Hashlight/Lucerna","Seat lane")</x:f>
        <x:v>Seat lane</x:v>
      </x:c>
      <x:c r="AA1642" s="12" t="str">
        <x:f>IF(R1642="","no_claim_delta","claim_delta_present")</x:f>
        <x:v>no_claim_delta</x:v>
      </x:c>
      <x:c r="AB1642" s="12" t="str">
        <x:f>IF(S1642="","no_contradiction_delta","contradiction_delta_present")</x:f>
        <x:v>no_contradiction_delta</x:v>
      </x:c>
      <x:c r="AC1642" s="12" t="str">
        <x:f>IF(OR(ISNUMBER(SEARCH("hacker",LOWER(F1642&amp;" "&amp;H1642&amp;" "&amp;I1642&amp;" "&amp;M1642&amp;" "&amp;N1642&amp;" "&amp;T1642))),ISNUMBER(SEARCH("hacking",LOWER(F1642&amp;" "&amp;H1642&amp;" "&amp;I1642&amp;" "&amp;M1642&amp;" "&amp;N1642&amp;" "&amp;T1642))),ISNUMBER(SEARCH("bank",LOWER(F1642&amp;" "&amp;H1642&amp;" "&amp;I1642&amp;" "&amp;M1642&amp;" "&amp;N1642&amp;" "&amp;T1642))),ISNUMBER(SEARCH("banking",LOWER(F1642&amp;" "&amp;H1642&amp;" "&amp;I1642&amp;" "&amp;M1642&amp;" "&amp;N1642&amp;" "&amp;T1642)))),"PRIVATE_QUARANTINE",IF(OR(ISNUMBER(SEARCH("treasury",LOWER(F1642&amp;" "&amp;H1642&amp;" "&amp;I1642&amp;" "&amp;M1642&amp;" "&amp;N1642&amp;" "&amp;T1642))),ISNUMBER(SEARCH("debt",LOWER(F1642&amp;" "&amp;H1642&amp;" "&amp;I1642&amp;" "&amp;M1642&amp;" "&amp;N1642&amp;" "&amp;T1642))),ISNUMBER(SEARCH("bond",LOWER(F1642&amp;" "&amp;H1642&amp;" "&amp;I1642&amp;" "&amp;M1642&amp;" "&amp;N1642&amp;" "&amp;T1642))),ISNUMBER(SEARCH("transaction",LOWER(F1642&amp;" "&amp;H1642&amp;" "&amp;I1642&amp;" "&amp;M1642&amp;" "&amp;N1642&amp;" "&amp;T1642)))),"PRIVATE_REVIEW","PUBLIC_CANDIDATE"))</x:f>
        <x:v>PUBLIC_CANDIDATE</x:v>
      </x:c>
      <x:c r="AD1642" s="12" t="str">
        <x:f>IF(AC1642="PRIVATE_QUARANTINE","hacker_or_bank_trigger",IF(AC1642="PRIVATE_REVIEW","finance_risk_trigger","none"))</x:f>
        <x:v>none</x:v>
      </x:c>
      <x:c r="AE1642" s="12" t="str">
        <x:f>IF(AC1642="PUBLIC_CANDIDATE","prepare_public_github_candidate",IF(AC1642="PRIVATE_REVIEW","hold_for_private_review","quarantine_private_do_not_publish"))</x:f>
        <x:v>prepare_public_github_candidate</x:v>
      </x:c>
      <x:c r="AF1642" s="12" t="str">
        <x:f>IF(AC1642="PUBLIC_CANDIDATE","TIDELOCK + Lucerna",IF(AC1642="PRIVATE_REVIEW","AtlasBrain + Lucerna","TIDELOCK + Lucerna + Human-root"))</x:f>
        <x:v>TIDELOCK + Lucerna</x:v>
      </x:c>
      <x:c r="AG1642" s="12" t="str">
        <x:f>IF(AND(AC1642="PUBLIC_CANDIDATE",U1642&lt;&gt;"BLOCKED_PENDING_RECEIPT"),"READY_AFTER_RECEIPT","NOT_READY")</x:f>
        <x:v>NOT_READY</x:v>
      </x:c>
      <x:c r="AH1642" s="12" t="str">
        <x:f>IF(AC1642="PUBLIC_CANDIDATE","none",AD1642)</x:f>
        <x:v>none</x:v>
      </x:c>
      <x:c r="AI1642" s="12" t="str">
        <x:f>IF(AC1642="PUBLIC_CANDIDATE","archive/public_candidates/"&amp;A1642,"private_quarantine/"&amp;A1642)</x:f>
        <x:v>archive/public_candidates/SWARM-12-H05-S09</x:v>
      </x:c>
      <x:c r="AJ1642" s="12" t="str">
        <x:f>IF(AC1642="PUBLIC_CANDIDATE","public by default; still not canon","private/hold; do not publish")</x:f>
        <x:v>public by default; still not canon</x:v>
      </x:c>
      <x:c r="AK1642" s="12" t="str">
        <x:f>IF(AE1642="prepare_public_github_candidate","add receipt/status then mirror","resolve blocker before any public GitHub action")</x:f>
        <x:v>add receipt/status then mirror</x:v>
      </x:c>
    </x:row>
    <x:row r="1643">
      <x:c r="A1643" s="15" t="str">
        <x:v>SWARM-12-H05-S10</x:v>
      </x:c>
      <x:c r="B1643" s="15" t="str">
        <x:v>JoySignal</x:v>
      </x:c>
      <x:c r="C1643" s="15" t="str">
        <x:v>Rest and morale keeper</x:v>
      </x:c>
      <x:c r="D1643" s="15" t="str">
        <x:v>Contradiction Mapping</x:v>
      </x:c>
      <x:c r="E1643" s="15" t="str">
        <x:v>Human-Root</x:v>
      </x:c>
      <x:c r="F1643" s="15" t="str">
        <x:v>Map contradictions in Human-Root — JoySignal</x:v>
      </x:c>
      <x:c r="G1643" s="15" t="str">
        <x:v>cadence / anti-burnout / safe completion language</x:v>
      </x:c>
      <x:c r="H1643" s="15" t="str">
        <x:v>source path + receipt + raw/export status + claim/edge/risk delta</x:v>
      </x:c>
      <x:c r="I1643" s="15" t="str">
        <x:v>packet/SWARM-12-H05-S10</x:v>
      </x:c>
      <x:c r="J1643" s="15" t="str">
        <x:v>TODO</x:v>
      </x:c>
      <x:c r="K1643" s="15" t="str">
        <x:v>P2</x:v>
      </x:c>
      <x:c r="L1643" s="15" t="str">
        <x:v>Done only when evidence is logged, contradiction search is noted, and boundary stamp remains non-canon unless ratified</x:v>
      </x:c>
      <x:c r="M1643" s="15" t="str">
        <x:v>candidate / staging-only / not canon / not deployed / authority none</x:v>
      </x:c>
      <x:c r="N1643" s="15" t="str">
        <x:v>Dispatch to JoySignal: complete Contradiction Mapping x Human-Root; return deltas only, receipts required.</x:v>
      </x:c>
      <x:c r="O1643" s="15" t="str">
        <x:v>AF-KG-H05-S10</x:v>
      </x:c>
      <x:c r="P1643" s="15" t="str">
        <x:v>Unverified</x:v>
      </x:c>
      <x:c r="Q1643" s="15" t="str">
        <x:v>Not checked</x:v>
      </x:c>
      <x:c r="R1643" s="15" t="str"/>
      <x:c r="S1643" s="15" t="str"/>
      <x:c r="T1643" s="15" t="str">
        <x:v>Log first source path or blocker</x:v>
      </x:c>
      <x:c r="U1643" s="12" t="str">
        <x:f>IF(OR(P1643="Unverified",Q1643="Not checked"),"BLOCKED_PENDING_RECEIPT","READY_FOR_REVIEW")</x:f>
        <x:v>BLOCKED_PENDING_RECEIPT</x:v>
      </x:c>
      <x:c r="V1643" s="12" t="str">
        <x:f>IF(J1643="DONE","RETURNED",IF(U1643="BLOCKED_PENDING_RECEIPT","SOURCE_TOUCH_REQUIRED","IN_PROGRESS"))</x:f>
        <x:v>SOURCE_TOUCH_REQUIRED</x:v>
      </x:c>
      <x:c r="W1643" s="12" t="str">
        <x:f>IF(P1643="Unverified","missing_receipt","receipt_logged")</x:f>
        <x:v>missing_receipt</x:v>
      </x:c>
      <x:c r="X1643" s="12" t="str">
        <x:f>IF(Q1643="Not checked","raw_status_missing","raw_status_logged")</x:f>
        <x:v>raw_status_missing</x:v>
      </x:c>
      <x:c r="Y1643" s="12" t="str">
        <x:f>IF(U1643="BLOCKED_PENDING_RECEIPT","Log source path or blocker; do not promote","Route to review lane")</x:f>
        <x:v>Log source path or blocker; do not promote</x:v>
      </x:c>
      <x:c r="Z1643" s="12" t="str">
        <x:f>IF(K1643="P0","Primary seat + Hashlight/Lucerna","Seat lane")</x:f>
        <x:v>Seat lane</x:v>
      </x:c>
      <x:c r="AA1643" s="12" t="str">
        <x:f>IF(R1643="","no_claim_delta","claim_delta_present")</x:f>
        <x:v>no_claim_delta</x:v>
      </x:c>
      <x:c r="AB1643" s="12" t="str">
        <x:f>IF(S1643="","no_contradiction_delta","contradiction_delta_present")</x:f>
        <x:v>no_contradiction_delta</x:v>
      </x:c>
      <x:c r="AC1643" s="12" t="str">
        <x:f>IF(OR(ISNUMBER(SEARCH("hacker",LOWER(F1643&amp;" "&amp;H1643&amp;" "&amp;I1643&amp;" "&amp;M1643&amp;" "&amp;N1643&amp;" "&amp;T1643))),ISNUMBER(SEARCH("hacking",LOWER(F1643&amp;" "&amp;H1643&amp;" "&amp;I1643&amp;" "&amp;M1643&amp;" "&amp;N1643&amp;" "&amp;T1643))),ISNUMBER(SEARCH("bank",LOWER(F1643&amp;" "&amp;H1643&amp;" "&amp;I1643&amp;" "&amp;M1643&amp;" "&amp;N1643&amp;" "&amp;T1643))),ISNUMBER(SEARCH("banking",LOWER(F1643&amp;" "&amp;H1643&amp;" "&amp;I1643&amp;" "&amp;M1643&amp;" "&amp;N1643&amp;" "&amp;T1643)))),"PRIVATE_QUARANTINE",IF(OR(ISNUMBER(SEARCH("treasury",LOWER(F1643&amp;" "&amp;H1643&amp;" "&amp;I1643&amp;" "&amp;M1643&amp;" "&amp;N1643&amp;" "&amp;T1643))),ISNUMBER(SEARCH("debt",LOWER(F1643&amp;" "&amp;H1643&amp;" "&amp;I1643&amp;" "&amp;M1643&amp;" "&amp;N1643&amp;" "&amp;T1643))),ISNUMBER(SEARCH("bond",LOWER(F1643&amp;" "&amp;H1643&amp;" "&amp;I1643&amp;" "&amp;M1643&amp;" "&amp;N1643&amp;" "&amp;T1643))),ISNUMBER(SEARCH("transaction",LOWER(F1643&amp;" "&amp;H1643&amp;" "&amp;I1643&amp;" "&amp;M1643&amp;" "&amp;N1643&amp;" "&amp;T1643)))),"PRIVATE_REVIEW","PUBLIC_CANDIDATE"))</x:f>
        <x:v>PUBLIC_CANDIDATE</x:v>
      </x:c>
      <x:c r="AD1643" s="12" t="str">
        <x:f>IF(AC1643="PRIVATE_QUARANTINE","hacker_or_bank_trigger",IF(AC1643="PRIVATE_REVIEW","finance_risk_trigger","none"))</x:f>
        <x:v>none</x:v>
      </x:c>
      <x:c r="AE1643" s="12" t="str">
        <x:f>IF(AC1643="PUBLIC_CANDIDATE","prepare_public_github_candidate",IF(AC1643="PRIVATE_REVIEW","hold_for_private_review","quarantine_private_do_not_publish"))</x:f>
        <x:v>prepare_public_github_candidate</x:v>
      </x:c>
      <x:c r="AF1643" s="12" t="str">
        <x:f>IF(AC1643="PUBLIC_CANDIDATE","TIDELOCK + Lucerna",IF(AC1643="PRIVATE_REVIEW","AtlasBrain + Lucerna","TIDELOCK + Lucerna + Human-root"))</x:f>
        <x:v>TIDELOCK + Lucerna</x:v>
      </x:c>
      <x:c r="AG1643" s="12" t="str">
        <x:f>IF(AND(AC1643="PUBLIC_CANDIDATE",U1643&lt;&gt;"BLOCKED_PENDING_RECEIPT"),"READY_AFTER_RECEIPT","NOT_READY")</x:f>
        <x:v>NOT_READY</x:v>
      </x:c>
      <x:c r="AH1643" s="12" t="str">
        <x:f>IF(AC1643="PUBLIC_CANDIDATE","none",AD1643)</x:f>
        <x:v>none</x:v>
      </x:c>
      <x:c r="AI1643" s="12" t="str">
        <x:f>IF(AC1643="PUBLIC_CANDIDATE","archive/public_candidates/"&amp;A1643,"private_quarantine/"&amp;A1643)</x:f>
        <x:v>archive/public_candidates/SWARM-12-H05-S10</x:v>
      </x:c>
      <x:c r="AJ1643" s="12" t="str">
        <x:f>IF(AC1643="PUBLIC_CANDIDATE","public by default; still not canon","private/hold; do not publish")</x:f>
        <x:v>public by default; still not canon</x:v>
      </x:c>
      <x:c r="AK1643" s="12" t="str">
        <x:f>IF(AE1643="prepare_public_github_candidate","add receipt/status then mirror","resolve blocker before any public GitHub action")</x:f>
        <x:v>add receipt/status then mirror</x:v>
      </x:c>
    </x:row>
    <x:row r="1644">
      <x:c r="A1644" s="15" t="str">
        <x:v>SWARM-12-H05-S11</x:v>
      </x:c>
      <x:c r="B1644" s="15" t="str">
        <x:v>JoySignal</x:v>
      </x:c>
      <x:c r="C1644" s="15" t="str">
        <x:v>Rest and morale keeper</x:v>
      </x:c>
      <x:c r="D1644" s="15" t="str">
        <x:v>Contradiction Mapping</x:v>
      </x:c>
      <x:c r="E1644" s="15" t="str">
        <x:v>Automation</x:v>
      </x:c>
      <x:c r="F1644" s="15" t="str">
        <x:v>Map contradictions in Automation — JoySignal</x:v>
      </x:c>
      <x:c r="G1644" s="15" t="str">
        <x:v>cadence / anti-burnout / safe completion language</x:v>
      </x:c>
      <x:c r="H1644" s="15" t="str">
        <x:v>source path + receipt + raw/export status + claim/edge/risk delta</x:v>
      </x:c>
      <x:c r="I1644" s="15" t="str">
        <x:v>packet/SWARM-12-H05-S11</x:v>
      </x:c>
      <x:c r="J1644" s="15" t="str">
        <x:v>TODO</x:v>
      </x:c>
      <x:c r="K1644" s="15" t="str">
        <x:v>P2</x:v>
      </x:c>
      <x:c r="L1644" s="15" t="str">
        <x:v>Done only when evidence is logged, contradiction search is noted, and boundary stamp remains non-canon unless ratified</x:v>
      </x:c>
      <x:c r="M1644" s="15" t="str">
        <x:v>candidate / staging-only / not canon / not deployed / authority none</x:v>
      </x:c>
      <x:c r="N1644" s="15" t="str">
        <x:v>Dispatch to JoySignal: complete Contradiction Mapping x Automation; return deltas only, receipts required.</x:v>
      </x:c>
      <x:c r="O1644" s="15" t="str">
        <x:v>AF-KG-H05-S11</x:v>
      </x:c>
      <x:c r="P1644" s="15" t="str">
        <x:v>Unverified</x:v>
      </x:c>
      <x:c r="Q1644" s="15" t="str">
        <x:v>Not checked</x:v>
      </x:c>
      <x:c r="R1644" s="15" t="str"/>
      <x:c r="S1644" s="15" t="str"/>
      <x:c r="T1644" s="15" t="str">
        <x:v>Log first source path or blocker</x:v>
      </x:c>
      <x:c r="U1644" s="12" t="str">
        <x:f>IF(OR(P1644="Unverified",Q1644="Not checked"),"BLOCKED_PENDING_RECEIPT","READY_FOR_REVIEW")</x:f>
        <x:v>BLOCKED_PENDING_RECEIPT</x:v>
      </x:c>
      <x:c r="V1644" s="12" t="str">
        <x:f>IF(J1644="DONE","RETURNED",IF(U1644="BLOCKED_PENDING_RECEIPT","SOURCE_TOUCH_REQUIRED","IN_PROGRESS"))</x:f>
        <x:v>SOURCE_TOUCH_REQUIRED</x:v>
      </x:c>
      <x:c r="W1644" s="12" t="str">
        <x:f>IF(P1644="Unverified","missing_receipt","receipt_logged")</x:f>
        <x:v>missing_receipt</x:v>
      </x:c>
      <x:c r="X1644" s="12" t="str">
        <x:f>IF(Q1644="Not checked","raw_status_missing","raw_status_logged")</x:f>
        <x:v>raw_status_missing</x:v>
      </x:c>
      <x:c r="Y1644" s="12" t="str">
        <x:f>IF(U1644="BLOCKED_PENDING_RECEIPT","Log source path or blocker; do not promote","Route to review lane")</x:f>
        <x:v>Log source path or blocker; do not promote</x:v>
      </x:c>
      <x:c r="Z1644" s="12" t="str">
        <x:f>IF(K1644="P0","Primary seat + Hashlight/Lucerna","Seat lane")</x:f>
        <x:v>Seat lane</x:v>
      </x:c>
      <x:c r="AA1644" s="12" t="str">
        <x:f>IF(R1644="","no_claim_delta","claim_delta_present")</x:f>
        <x:v>no_claim_delta</x:v>
      </x:c>
      <x:c r="AB1644" s="12" t="str">
        <x:f>IF(S1644="","no_contradiction_delta","contradiction_delta_present")</x:f>
        <x:v>no_contradiction_delta</x:v>
      </x:c>
      <x:c r="AC1644" s="12" t="str">
        <x:f>IF(OR(ISNUMBER(SEARCH("hacker",LOWER(F1644&amp;" "&amp;H1644&amp;" "&amp;I1644&amp;" "&amp;M1644&amp;" "&amp;N1644&amp;" "&amp;T1644))),ISNUMBER(SEARCH("hacking",LOWER(F1644&amp;" "&amp;H1644&amp;" "&amp;I1644&amp;" "&amp;M1644&amp;" "&amp;N1644&amp;" "&amp;T1644))),ISNUMBER(SEARCH("bank",LOWER(F1644&amp;" "&amp;H1644&amp;" "&amp;I1644&amp;" "&amp;M1644&amp;" "&amp;N1644&amp;" "&amp;T1644))),ISNUMBER(SEARCH("banking",LOWER(F1644&amp;" "&amp;H1644&amp;" "&amp;I1644&amp;" "&amp;M1644&amp;" "&amp;N1644&amp;" "&amp;T1644)))),"PRIVATE_QUARANTINE",IF(OR(ISNUMBER(SEARCH("treasury",LOWER(F1644&amp;" "&amp;H1644&amp;" "&amp;I1644&amp;" "&amp;M1644&amp;" "&amp;N1644&amp;" "&amp;T1644))),ISNUMBER(SEARCH("debt",LOWER(F1644&amp;" "&amp;H1644&amp;" "&amp;I1644&amp;" "&amp;M1644&amp;" "&amp;N1644&amp;" "&amp;T1644))),ISNUMBER(SEARCH("bond",LOWER(F1644&amp;" "&amp;H1644&amp;" "&amp;I1644&amp;" "&amp;M1644&amp;" "&amp;N1644&amp;" "&amp;T1644))),ISNUMBER(SEARCH("transaction",LOWER(F1644&amp;" "&amp;H1644&amp;" "&amp;I1644&amp;" "&amp;M1644&amp;" "&amp;N1644&amp;" "&amp;T1644)))),"PRIVATE_REVIEW","PUBLIC_CANDIDATE"))</x:f>
        <x:v>PUBLIC_CANDIDATE</x:v>
      </x:c>
      <x:c r="AD1644" s="12" t="str">
        <x:f>IF(AC1644="PRIVATE_QUARANTINE","hacker_or_bank_trigger",IF(AC1644="PRIVATE_REVIEW","finance_risk_trigger","none"))</x:f>
        <x:v>none</x:v>
      </x:c>
      <x:c r="AE1644" s="12" t="str">
        <x:f>IF(AC1644="PUBLIC_CANDIDATE","prepare_public_github_candidate",IF(AC1644="PRIVATE_REVIEW","hold_for_private_review","quarantine_private_do_not_publish"))</x:f>
        <x:v>prepare_public_github_candidate</x:v>
      </x:c>
      <x:c r="AF1644" s="12" t="str">
        <x:f>IF(AC1644="PUBLIC_CANDIDATE","TIDELOCK + Lucerna",IF(AC1644="PRIVATE_REVIEW","AtlasBrain + Lucerna","TIDELOCK + Lucerna + Human-root"))</x:f>
        <x:v>TIDELOCK + Lucerna</x:v>
      </x:c>
      <x:c r="AG1644" s="12" t="str">
        <x:f>IF(AND(AC1644="PUBLIC_CANDIDATE",U1644&lt;&gt;"BLOCKED_PENDING_RECEIPT"),"READY_AFTER_RECEIPT","NOT_READY")</x:f>
        <x:v>NOT_READY</x:v>
      </x:c>
      <x:c r="AH1644" s="12" t="str">
        <x:f>IF(AC1644="PUBLIC_CANDIDATE","none",AD1644)</x:f>
        <x:v>none</x:v>
      </x:c>
      <x:c r="AI1644" s="12" t="str">
        <x:f>IF(AC1644="PUBLIC_CANDIDATE","archive/public_candidates/"&amp;A1644,"private_quarantine/"&amp;A1644)</x:f>
        <x:v>archive/public_candidates/SWARM-12-H05-S11</x:v>
      </x:c>
      <x:c r="AJ1644" s="12" t="str">
        <x:f>IF(AC1644="PUBLIC_CANDIDATE","public by default; still not canon","private/hold; do not publish")</x:f>
        <x:v>public by default; still not canon</x:v>
      </x:c>
      <x:c r="AK1644" s="12" t="str">
        <x:f>IF(AE1644="prepare_public_github_candidate","add receipt/status then mirror","resolve blocker before any public GitHub action")</x:f>
        <x:v>add receipt/status then mirror</x:v>
      </x:c>
    </x:row>
    <x:row r="1645">
      <x:c r="A1645" s="15" t="str">
        <x:v>SWARM-12-H05-S12</x:v>
      </x:c>
      <x:c r="B1645" s="15" t="str">
        <x:v>JoySignal</x:v>
      </x:c>
      <x:c r="C1645" s="15" t="str">
        <x:v>Rest and morale keeper</x:v>
      </x:c>
      <x:c r="D1645" s="15" t="str">
        <x:v>Contradiction Mapping</x:v>
      </x:c>
      <x:c r="E1645" s="15" t="str">
        <x:v>Risk / Safety</x:v>
      </x:c>
      <x:c r="F1645" s="15" t="str">
        <x:v>Map contradictions in Risk / Safety — JoySignal</x:v>
      </x:c>
      <x:c r="G1645" s="15" t="str">
        <x:v>cadence / anti-burnout / safe completion language</x:v>
      </x:c>
      <x:c r="H1645" s="15" t="str">
        <x:v>source path + receipt + raw/export status + claim/edge/risk delta</x:v>
      </x:c>
      <x:c r="I1645" s="15" t="str">
        <x:v>packet/SWARM-12-H05-S12</x:v>
      </x:c>
      <x:c r="J1645" s="15" t="str">
        <x:v>TODO</x:v>
      </x:c>
      <x:c r="K1645" s="15" t="str">
        <x:v>P2</x:v>
      </x:c>
      <x:c r="L1645" s="15" t="str">
        <x:v>Done only when evidence is logged, contradiction search is noted, and boundary stamp remains non-canon unless ratified</x:v>
      </x:c>
      <x:c r="M1645" s="15" t="str">
        <x:v>candidate / staging-only / not canon / not deployed / authority none</x:v>
      </x:c>
      <x:c r="N1645" s="15" t="str">
        <x:v>Dispatch to JoySignal: complete Contradiction Mapping x Risk / Safety; return deltas only, receipts required.</x:v>
      </x:c>
      <x:c r="O1645" s="15" t="str">
        <x:v>AF-KG-H05-S12</x:v>
      </x:c>
      <x:c r="P1645" s="15" t="str">
        <x:v>Unverified</x:v>
      </x:c>
      <x:c r="Q1645" s="15" t="str">
        <x:v>Not checked</x:v>
      </x:c>
      <x:c r="R1645" s="15" t="str"/>
      <x:c r="S1645" s="15" t="str"/>
      <x:c r="T1645" s="15" t="str">
        <x:v>Log first source path or blocker</x:v>
      </x:c>
      <x:c r="U1645" s="12" t="str">
        <x:f>IF(OR(P1645="Unverified",Q1645="Not checked"),"BLOCKED_PENDING_RECEIPT","READY_FOR_REVIEW")</x:f>
        <x:v>BLOCKED_PENDING_RECEIPT</x:v>
      </x:c>
      <x:c r="V1645" s="12" t="str">
        <x:f>IF(J1645="DONE","RETURNED",IF(U1645="BLOCKED_PENDING_RECEIPT","SOURCE_TOUCH_REQUIRED","IN_PROGRESS"))</x:f>
        <x:v>SOURCE_TOUCH_REQUIRED</x:v>
      </x:c>
      <x:c r="W1645" s="12" t="str">
        <x:f>IF(P1645="Unverified","missing_receipt","receipt_logged")</x:f>
        <x:v>missing_receipt</x:v>
      </x:c>
      <x:c r="X1645" s="12" t="str">
        <x:f>IF(Q1645="Not checked","raw_status_missing","raw_status_logged")</x:f>
        <x:v>raw_status_missing</x:v>
      </x:c>
      <x:c r="Y1645" s="12" t="str">
        <x:f>IF(U1645="BLOCKED_PENDING_RECEIPT","Log source path or blocker; do not promote","Route to review lane")</x:f>
        <x:v>Log source path or blocker; do not promote</x:v>
      </x:c>
      <x:c r="Z1645" s="12" t="str">
        <x:f>IF(K1645="P0","Primary seat + Hashlight/Lucerna","Seat lane")</x:f>
        <x:v>Seat lane</x:v>
      </x:c>
      <x:c r="AA1645" s="12" t="str">
        <x:f>IF(R1645="","no_claim_delta","claim_delta_present")</x:f>
        <x:v>no_claim_delta</x:v>
      </x:c>
      <x:c r="AB1645" s="12" t="str">
        <x:f>IF(S1645="","no_contradiction_delta","contradiction_delta_present")</x:f>
        <x:v>no_contradiction_delta</x:v>
      </x:c>
      <x:c r="AC1645" s="12" t="str">
        <x:f>IF(OR(ISNUMBER(SEARCH("hacker",LOWER(F1645&amp;" "&amp;H1645&amp;" "&amp;I1645&amp;" "&amp;M1645&amp;" "&amp;N1645&amp;" "&amp;T1645))),ISNUMBER(SEARCH("hacking",LOWER(F1645&amp;" "&amp;H1645&amp;" "&amp;I1645&amp;" "&amp;M1645&amp;" "&amp;N1645&amp;" "&amp;T1645))),ISNUMBER(SEARCH("bank",LOWER(F1645&amp;" "&amp;H1645&amp;" "&amp;I1645&amp;" "&amp;M1645&amp;" "&amp;N1645&amp;" "&amp;T1645))),ISNUMBER(SEARCH("banking",LOWER(F1645&amp;" "&amp;H1645&amp;" "&amp;I1645&amp;" "&amp;M1645&amp;" "&amp;N1645&amp;" "&amp;T1645)))),"PRIVATE_QUARANTINE",IF(OR(ISNUMBER(SEARCH("treasury",LOWER(F1645&amp;" "&amp;H1645&amp;" "&amp;I1645&amp;" "&amp;M1645&amp;" "&amp;N1645&amp;" "&amp;T1645))),ISNUMBER(SEARCH("debt",LOWER(F1645&amp;" "&amp;H1645&amp;" "&amp;I1645&amp;" "&amp;M1645&amp;" "&amp;N1645&amp;" "&amp;T1645))),ISNUMBER(SEARCH("bond",LOWER(F1645&amp;" "&amp;H1645&amp;" "&amp;I1645&amp;" "&amp;M1645&amp;" "&amp;N1645&amp;" "&amp;T1645))),ISNUMBER(SEARCH("transaction",LOWER(F1645&amp;" "&amp;H1645&amp;" "&amp;I1645&amp;" "&amp;M1645&amp;" "&amp;N1645&amp;" "&amp;T1645)))),"PRIVATE_REVIEW","PUBLIC_CANDIDATE"))</x:f>
        <x:v>PUBLIC_CANDIDATE</x:v>
      </x:c>
      <x:c r="AD1645" s="12" t="str">
        <x:f>IF(AC1645="PRIVATE_QUARANTINE","hacker_or_bank_trigger",IF(AC1645="PRIVATE_REVIEW","finance_risk_trigger","none"))</x:f>
        <x:v>none</x:v>
      </x:c>
      <x:c r="AE1645" s="12" t="str">
        <x:f>IF(AC1645="PUBLIC_CANDIDATE","prepare_public_github_candidate",IF(AC1645="PRIVATE_REVIEW","hold_for_private_review","quarantine_private_do_not_publish"))</x:f>
        <x:v>prepare_public_github_candidate</x:v>
      </x:c>
      <x:c r="AF1645" s="12" t="str">
        <x:f>IF(AC1645="PUBLIC_CANDIDATE","TIDELOCK + Lucerna",IF(AC1645="PRIVATE_REVIEW","AtlasBrain + Lucerna","TIDELOCK + Lucerna + Human-root"))</x:f>
        <x:v>TIDELOCK + Lucerna</x:v>
      </x:c>
      <x:c r="AG1645" s="12" t="str">
        <x:f>IF(AND(AC1645="PUBLIC_CANDIDATE",U1645&lt;&gt;"BLOCKED_PENDING_RECEIPT"),"READY_AFTER_RECEIPT","NOT_READY")</x:f>
        <x:v>NOT_READY</x:v>
      </x:c>
      <x:c r="AH1645" s="12" t="str">
        <x:f>IF(AC1645="PUBLIC_CANDIDATE","none",AD1645)</x:f>
        <x:v>none</x:v>
      </x:c>
      <x:c r="AI1645" s="12" t="str">
        <x:f>IF(AC1645="PUBLIC_CANDIDATE","archive/public_candidates/"&amp;A1645,"private_quarantine/"&amp;A1645)</x:f>
        <x:v>archive/public_candidates/SWARM-12-H05-S12</x:v>
      </x:c>
      <x:c r="AJ1645" s="12" t="str">
        <x:f>IF(AC1645="PUBLIC_CANDIDATE","public by default; still not canon","private/hold; do not publish")</x:f>
        <x:v>public by default; still not canon</x:v>
      </x:c>
      <x:c r="AK1645" s="12" t="str">
        <x:f>IF(AE1645="prepare_public_github_candidate","add receipt/status then mirror","resolve blocker before any public GitHub action")</x:f>
        <x:v>add receipt/status then mirror</x:v>
      </x:c>
    </x:row>
    <x:row r="1646">
      <x:c r="A1646" s="15" t="str">
        <x:v>SWARM-12-H06-S01</x:v>
      </x:c>
      <x:c r="B1646" s="15" t="str">
        <x:v>JoySignal</x:v>
      </x:c>
      <x:c r="C1646" s="15" t="str">
        <x:v>Rest and morale keeper</x:v>
      </x:c>
      <x:c r="D1646" s="15" t="str">
        <x:v>Ontology / Schema</x:v>
      </x:c>
      <x:c r="E1646" s="15" t="str">
        <x:v>Notion</x:v>
      </x:c>
      <x:c r="F1646" s="15" t="str">
        <x:v>Schema-map Notion — JoySignal</x:v>
      </x:c>
      <x:c r="G1646" s="15" t="str">
        <x:v>cadence / anti-burnout / safe completion language</x:v>
      </x:c>
      <x:c r="H1646" s="15" t="str">
        <x:v>source path + receipt + raw/export status + claim/edge/risk delta</x:v>
      </x:c>
      <x:c r="I1646" s="15" t="str">
        <x:v>packet/SWARM-12-H06-S01</x:v>
      </x:c>
      <x:c r="J1646" s="15" t="str">
        <x:v>TODO</x:v>
      </x:c>
      <x:c r="K1646" s="15" t="str">
        <x:v>P0</x:v>
      </x:c>
      <x:c r="L1646" s="15" t="str">
        <x:v>Done only when evidence is logged, contradiction search is noted, and boundary stamp remains non-canon unless ratified</x:v>
      </x:c>
      <x:c r="M1646" s="15" t="str">
        <x:v>candidate / staging-only / not canon / not deployed / authority none</x:v>
      </x:c>
      <x:c r="N1646" s="15" t="str">
        <x:v>Dispatch to JoySignal: complete Ontology / Schema x Notion; return deltas only, receipts required.</x:v>
      </x:c>
      <x:c r="O1646" s="15" t="str">
        <x:v>AF-KG-H06-S01</x:v>
      </x:c>
      <x:c r="P1646" s="15" t="str">
        <x:v>Unverified</x:v>
      </x:c>
      <x:c r="Q1646" s="15" t="str">
        <x:v>Not checked</x:v>
      </x:c>
      <x:c r="R1646" s="15" t="str"/>
      <x:c r="S1646" s="15" t="str"/>
      <x:c r="T1646" s="15" t="str">
        <x:v>Log first source path or blocker</x:v>
      </x:c>
      <x:c r="U1646" s="12" t="str">
        <x:f>IF(OR(P1646="Unverified",Q1646="Not checked"),"BLOCKED_PENDING_RECEIPT","READY_FOR_REVIEW")</x:f>
        <x:v>BLOCKED_PENDING_RECEIPT</x:v>
      </x:c>
      <x:c r="V1646" s="12" t="str">
        <x:f>IF(J1646="DONE","RETURNED",IF(U1646="BLOCKED_PENDING_RECEIPT","SOURCE_TOUCH_REQUIRED","IN_PROGRESS"))</x:f>
        <x:v>SOURCE_TOUCH_REQUIRED</x:v>
      </x:c>
      <x:c r="W1646" s="12" t="str">
        <x:f>IF(P1646="Unverified","missing_receipt","receipt_logged")</x:f>
        <x:v>missing_receipt</x:v>
      </x:c>
      <x:c r="X1646" s="12" t="str">
        <x:f>IF(Q1646="Not checked","raw_status_missing","raw_status_logged")</x:f>
        <x:v>raw_status_missing</x:v>
      </x:c>
      <x:c r="Y1646" s="12" t="str">
        <x:f>IF(U1646="BLOCKED_PENDING_RECEIPT","Log source path or blocker; do not promote","Route to review lane")</x:f>
        <x:v>Log source path or blocker; do not promote</x:v>
      </x:c>
      <x:c r="Z1646" s="12" t="str">
        <x:f>IF(K1646="P0","Primary seat + Hashlight/Lucerna","Seat lane")</x:f>
        <x:v>Primary seat + Hashlight/Lucerna</x:v>
      </x:c>
      <x:c r="AA1646" s="12" t="str">
        <x:f>IF(R1646="","no_claim_delta","claim_delta_present")</x:f>
        <x:v>no_claim_delta</x:v>
      </x:c>
      <x:c r="AB1646" s="12" t="str">
        <x:f>IF(S1646="","no_contradiction_delta","contradiction_delta_present")</x:f>
        <x:v>no_contradiction_delta</x:v>
      </x:c>
      <x:c r="AC1646" s="12" t="str">
        <x:f>IF(OR(ISNUMBER(SEARCH("hacker",LOWER(F1646&amp;" "&amp;H1646&amp;" "&amp;I1646&amp;" "&amp;M1646&amp;" "&amp;N1646&amp;" "&amp;T1646))),ISNUMBER(SEARCH("hacking",LOWER(F1646&amp;" "&amp;H1646&amp;" "&amp;I1646&amp;" "&amp;M1646&amp;" "&amp;N1646&amp;" "&amp;T1646))),ISNUMBER(SEARCH("bank",LOWER(F1646&amp;" "&amp;H1646&amp;" "&amp;I1646&amp;" "&amp;M1646&amp;" "&amp;N1646&amp;" "&amp;T1646))),ISNUMBER(SEARCH("banking",LOWER(F1646&amp;" "&amp;H1646&amp;" "&amp;I1646&amp;" "&amp;M1646&amp;" "&amp;N1646&amp;" "&amp;T1646)))),"PRIVATE_QUARANTINE",IF(OR(ISNUMBER(SEARCH("treasury",LOWER(F1646&amp;" "&amp;H1646&amp;" "&amp;I1646&amp;" "&amp;M1646&amp;" "&amp;N1646&amp;" "&amp;T1646))),ISNUMBER(SEARCH("debt",LOWER(F1646&amp;" "&amp;H1646&amp;" "&amp;I1646&amp;" "&amp;M1646&amp;" "&amp;N1646&amp;" "&amp;T1646))),ISNUMBER(SEARCH("bond",LOWER(F1646&amp;" "&amp;H1646&amp;" "&amp;I1646&amp;" "&amp;M1646&amp;" "&amp;N1646&amp;" "&amp;T1646))),ISNUMBER(SEARCH("transaction",LOWER(F1646&amp;" "&amp;H1646&amp;" "&amp;I1646&amp;" "&amp;M1646&amp;" "&amp;N1646&amp;" "&amp;T1646)))),"PRIVATE_REVIEW","PUBLIC_CANDIDATE"))</x:f>
        <x:v>PUBLIC_CANDIDATE</x:v>
      </x:c>
      <x:c r="AD1646" s="12" t="str">
        <x:f>IF(AC1646="PRIVATE_QUARANTINE","hacker_or_bank_trigger",IF(AC1646="PRIVATE_REVIEW","finance_risk_trigger","none"))</x:f>
        <x:v>none</x:v>
      </x:c>
      <x:c r="AE1646" s="12" t="str">
        <x:f>IF(AC1646="PUBLIC_CANDIDATE","prepare_public_github_candidate",IF(AC1646="PRIVATE_REVIEW","hold_for_private_review","quarantine_private_do_not_publish"))</x:f>
        <x:v>prepare_public_github_candidate</x:v>
      </x:c>
      <x:c r="AF1646" s="12" t="str">
        <x:f>IF(AC1646="PUBLIC_CANDIDATE","TIDELOCK + Lucerna",IF(AC1646="PRIVATE_REVIEW","AtlasBrain + Lucerna","TIDELOCK + Lucerna + Human-root"))</x:f>
        <x:v>TIDELOCK + Lucerna</x:v>
      </x:c>
      <x:c r="AG1646" s="12" t="str">
        <x:f>IF(AND(AC1646="PUBLIC_CANDIDATE",U1646&lt;&gt;"BLOCKED_PENDING_RECEIPT"),"READY_AFTER_RECEIPT","NOT_READY")</x:f>
        <x:v>NOT_READY</x:v>
      </x:c>
      <x:c r="AH1646" s="12" t="str">
        <x:f>IF(AC1646="PUBLIC_CANDIDATE","none",AD1646)</x:f>
        <x:v>none</x:v>
      </x:c>
      <x:c r="AI1646" s="12" t="str">
        <x:f>IF(AC1646="PUBLIC_CANDIDATE","archive/public_candidates/"&amp;A1646,"private_quarantine/"&amp;A1646)</x:f>
        <x:v>archive/public_candidates/SWARM-12-H06-S01</x:v>
      </x:c>
      <x:c r="AJ1646" s="12" t="str">
        <x:f>IF(AC1646="PUBLIC_CANDIDATE","public by default; still not canon","private/hold; do not publish")</x:f>
        <x:v>public by default; still not canon</x:v>
      </x:c>
      <x:c r="AK1646" s="12" t="str">
        <x:f>IF(AE1646="prepare_public_github_candidate","add receipt/status then mirror","resolve blocker before any public GitHub action")</x:f>
        <x:v>add receipt/status then mirror</x:v>
      </x:c>
    </x:row>
    <x:row r="1647">
      <x:c r="A1647" s="15" t="str">
        <x:v>SWARM-12-H06-S02</x:v>
      </x:c>
      <x:c r="B1647" s="15" t="str">
        <x:v>JoySignal</x:v>
      </x:c>
      <x:c r="C1647" s="15" t="str">
        <x:v>Rest and morale keeper</x:v>
      </x:c>
      <x:c r="D1647" s="15" t="str">
        <x:v>Ontology / Schema</x:v>
      </x:c>
      <x:c r="E1647" s="15" t="str">
        <x:v>Drive</x:v>
      </x:c>
      <x:c r="F1647" s="15" t="str">
        <x:v>Schema-map Drive — JoySignal</x:v>
      </x:c>
      <x:c r="G1647" s="15" t="str">
        <x:v>cadence / anti-burnout / safe completion language</x:v>
      </x:c>
      <x:c r="H1647" s="15" t="str">
        <x:v>source path + receipt + raw/export status + claim/edge/risk delta</x:v>
      </x:c>
      <x:c r="I1647" s="15" t="str">
        <x:v>packet/SWARM-12-H06-S02</x:v>
      </x:c>
      <x:c r="J1647" s="15" t="str">
        <x:v>TODO</x:v>
      </x:c>
      <x:c r="K1647" s="15" t="str">
        <x:v>P0</x:v>
      </x:c>
      <x:c r="L1647" s="15" t="str">
        <x:v>Done only when evidence is logged, contradiction search is noted, and boundary stamp remains non-canon unless ratified</x:v>
      </x:c>
      <x:c r="M1647" s="15" t="str">
        <x:v>candidate / staging-only / not canon / not deployed / authority none</x:v>
      </x:c>
      <x:c r="N1647" s="15" t="str">
        <x:v>Dispatch to JoySignal: complete Ontology / Schema x Drive; return deltas only, receipts required.</x:v>
      </x:c>
      <x:c r="O1647" s="15" t="str">
        <x:v>AF-KG-H06-S02</x:v>
      </x:c>
      <x:c r="P1647" s="15" t="str">
        <x:v>Unverified</x:v>
      </x:c>
      <x:c r="Q1647" s="15" t="str">
        <x:v>Not checked</x:v>
      </x:c>
      <x:c r="R1647" s="15" t="str"/>
      <x:c r="S1647" s="15" t="str"/>
      <x:c r="T1647" s="15" t="str">
        <x:v>Log first source path or blocker</x:v>
      </x:c>
      <x:c r="U1647" s="12" t="str">
        <x:f>IF(OR(P1647="Unverified",Q1647="Not checked"),"BLOCKED_PENDING_RECEIPT","READY_FOR_REVIEW")</x:f>
        <x:v>BLOCKED_PENDING_RECEIPT</x:v>
      </x:c>
      <x:c r="V1647" s="12" t="str">
        <x:f>IF(J1647="DONE","RETURNED",IF(U1647="BLOCKED_PENDING_RECEIPT","SOURCE_TOUCH_REQUIRED","IN_PROGRESS"))</x:f>
        <x:v>SOURCE_TOUCH_REQUIRED</x:v>
      </x:c>
      <x:c r="W1647" s="12" t="str">
        <x:f>IF(P1647="Unverified","missing_receipt","receipt_logged")</x:f>
        <x:v>missing_receipt</x:v>
      </x:c>
      <x:c r="X1647" s="12" t="str">
        <x:f>IF(Q1647="Not checked","raw_status_missing","raw_status_logged")</x:f>
        <x:v>raw_status_missing</x:v>
      </x:c>
      <x:c r="Y1647" s="12" t="str">
        <x:f>IF(U1647="BLOCKED_PENDING_RECEIPT","Log source path or blocker; do not promote","Route to review lane")</x:f>
        <x:v>Log source path or blocker; do not promote</x:v>
      </x:c>
      <x:c r="Z1647" s="12" t="str">
        <x:f>IF(K1647="P0","Primary seat + Hashlight/Lucerna","Seat lane")</x:f>
        <x:v>Primary seat + Hashlight/Lucerna</x:v>
      </x:c>
      <x:c r="AA1647" s="12" t="str">
        <x:f>IF(R1647="","no_claim_delta","claim_delta_present")</x:f>
        <x:v>no_claim_delta</x:v>
      </x:c>
      <x:c r="AB1647" s="12" t="str">
        <x:f>IF(S1647="","no_contradiction_delta","contradiction_delta_present")</x:f>
        <x:v>no_contradiction_delta</x:v>
      </x:c>
      <x:c r="AC1647" s="12" t="str">
        <x:f>IF(OR(ISNUMBER(SEARCH("hacker",LOWER(F1647&amp;" "&amp;H1647&amp;" "&amp;I1647&amp;" "&amp;M1647&amp;" "&amp;N1647&amp;" "&amp;T1647))),ISNUMBER(SEARCH("hacking",LOWER(F1647&amp;" "&amp;H1647&amp;" "&amp;I1647&amp;" "&amp;M1647&amp;" "&amp;N1647&amp;" "&amp;T1647))),ISNUMBER(SEARCH("bank",LOWER(F1647&amp;" "&amp;H1647&amp;" "&amp;I1647&amp;" "&amp;M1647&amp;" "&amp;N1647&amp;" "&amp;T1647))),ISNUMBER(SEARCH("banking",LOWER(F1647&amp;" "&amp;H1647&amp;" "&amp;I1647&amp;" "&amp;M1647&amp;" "&amp;N1647&amp;" "&amp;T1647)))),"PRIVATE_QUARANTINE",IF(OR(ISNUMBER(SEARCH("treasury",LOWER(F1647&amp;" "&amp;H1647&amp;" "&amp;I1647&amp;" "&amp;M1647&amp;" "&amp;N1647&amp;" "&amp;T1647))),ISNUMBER(SEARCH("debt",LOWER(F1647&amp;" "&amp;H1647&amp;" "&amp;I1647&amp;" "&amp;M1647&amp;" "&amp;N1647&amp;" "&amp;T1647))),ISNUMBER(SEARCH("bond",LOWER(F1647&amp;" "&amp;H1647&amp;" "&amp;I1647&amp;" "&amp;M1647&amp;" "&amp;N1647&amp;" "&amp;T1647))),ISNUMBER(SEARCH("transaction",LOWER(F1647&amp;" "&amp;H1647&amp;" "&amp;I1647&amp;" "&amp;M1647&amp;" "&amp;N1647&amp;" "&amp;T1647)))),"PRIVATE_REVIEW","PUBLIC_CANDIDATE"))</x:f>
        <x:v>PUBLIC_CANDIDATE</x:v>
      </x:c>
      <x:c r="AD1647" s="12" t="str">
        <x:f>IF(AC1647="PRIVATE_QUARANTINE","hacker_or_bank_trigger",IF(AC1647="PRIVATE_REVIEW","finance_risk_trigger","none"))</x:f>
        <x:v>none</x:v>
      </x:c>
      <x:c r="AE1647" s="12" t="str">
        <x:f>IF(AC1647="PUBLIC_CANDIDATE","prepare_public_github_candidate",IF(AC1647="PRIVATE_REVIEW","hold_for_private_review","quarantine_private_do_not_publish"))</x:f>
        <x:v>prepare_public_github_candidate</x:v>
      </x:c>
      <x:c r="AF1647" s="12" t="str">
        <x:f>IF(AC1647="PUBLIC_CANDIDATE","TIDELOCK + Lucerna",IF(AC1647="PRIVATE_REVIEW","AtlasBrain + Lucerna","TIDELOCK + Lucerna + Human-root"))</x:f>
        <x:v>TIDELOCK + Lucerna</x:v>
      </x:c>
      <x:c r="AG1647" s="12" t="str">
        <x:f>IF(AND(AC1647="PUBLIC_CANDIDATE",U1647&lt;&gt;"BLOCKED_PENDING_RECEIPT"),"READY_AFTER_RECEIPT","NOT_READY")</x:f>
        <x:v>NOT_READY</x:v>
      </x:c>
      <x:c r="AH1647" s="12" t="str">
        <x:f>IF(AC1647="PUBLIC_CANDIDATE","none",AD1647)</x:f>
        <x:v>none</x:v>
      </x:c>
      <x:c r="AI1647" s="12" t="str">
        <x:f>IF(AC1647="PUBLIC_CANDIDATE","archive/public_candidates/"&amp;A1647,"private_quarantine/"&amp;A1647)</x:f>
        <x:v>archive/public_candidates/SWARM-12-H06-S02</x:v>
      </x:c>
      <x:c r="AJ1647" s="12" t="str">
        <x:f>IF(AC1647="PUBLIC_CANDIDATE","public by default; still not canon","private/hold; do not publish")</x:f>
        <x:v>public by default; still not canon</x:v>
      </x:c>
      <x:c r="AK1647" s="12" t="str">
        <x:f>IF(AE1647="prepare_public_github_candidate","add receipt/status then mirror","resolve blocker before any public GitHub action")</x:f>
        <x:v>add receipt/status then mirror</x:v>
      </x:c>
    </x:row>
    <x:row r="1648">
      <x:c r="A1648" s="15" t="str">
        <x:v>SWARM-12-H06-S03</x:v>
      </x:c>
      <x:c r="B1648" s="15" t="str">
        <x:v>JoySignal</x:v>
      </x:c>
      <x:c r="C1648" s="15" t="str">
        <x:v>Rest and morale keeper</x:v>
      </x:c>
      <x:c r="D1648" s="15" t="str">
        <x:v>Ontology / Schema</x:v>
      </x:c>
      <x:c r="E1648" s="15" t="str">
        <x:v>GitHub</x:v>
      </x:c>
      <x:c r="F1648" s="15" t="str">
        <x:v>Schema-map GitHub — JoySignal</x:v>
      </x:c>
      <x:c r="G1648" s="15" t="str">
        <x:v>cadence / anti-burnout / safe completion language</x:v>
      </x:c>
      <x:c r="H1648" s="15" t="str">
        <x:v>source path + receipt + raw/export status + claim/edge/risk delta</x:v>
      </x:c>
      <x:c r="I1648" s="15" t="str">
        <x:v>packet/SWARM-12-H06-S03</x:v>
      </x:c>
      <x:c r="J1648" s="15" t="str">
        <x:v>TODO</x:v>
      </x:c>
      <x:c r="K1648" s="15" t="str">
        <x:v>P0</x:v>
      </x:c>
      <x:c r="L1648" s="15" t="str">
        <x:v>Done only when evidence is logged, contradiction search is noted, and boundary stamp remains non-canon unless ratified</x:v>
      </x:c>
      <x:c r="M1648" s="15" t="str">
        <x:v>candidate / staging-only / not canon / not deployed / authority none</x:v>
      </x:c>
      <x:c r="N1648" s="15" t="str">
        <x:v>Dispatch to JoySignal: complete Ontology / Schema x GitHub; return deltas only, receipts required.</x:v>
      </x:c>
      <x:c r="O1648" s="15" t="str">
        <x:v>AF-KG-H06-S03</x:v>
      </x:c>
      <x:c r="P1648" s="15" t="str">
        <x:v>Unverified</x:v>
      </x:c>
      <x:c r="Q1648" s="15" t="str">
        <x:v>Not checked</x:v>
      </x:c>
      <x:c r="R1648" s="15" t="str"/>
      <x:c r="S1648" s="15" t="str"/>
      <x:c r="T1648" s="15" t="str">
        <x:v>Log first source path or blocker</x:v>
      </x:c>
      <x:c r="U1648" s="12" t="str">
        <x:f>IF(OR(P1648="Unverified",Q1648="Not checked"),"BLOCKED_PENDING_RECEIPT","READY_FOR_REVIEW")</x:f>
        <x:v>BLOCKED_PENDING_RECEIPT</x:v>
      </x:c>
      <x:c r="V1648" s="12" t="str">
        <x:f>IF(J1648="DONE","RETURNED",IF(U1648="BLOCKED_PENDING_RECEIPT","SOURCE_TOUCH_REQUIRED","IN_PROGRESS"))</x:f>
        <x:v>SOURCE_TOUCH_REQUIRED</x:v>
      </x:c>
      <x:c r="W1648" s="12" t="str">
        <x:f>IF(P1648="Unverified","missing_receipt","receipt_logged")</x:f>
        <x:v>missing_receipt</x:v>
      </x:c>
      <x:c r="X1648" s="12" t="str">
        <x:f>IF(Q1648="Not checked","raw_status_missing","raw_status_logged")</x:f>
        <x:v>raw_status_missing</x:v>
      </x:c>
      <x:c r="Y1648" s="12" t="str">
        <x:f>IF(U1648="BLOCKED_PENDING_RECEIPT","Log source path or blocker; do not promote","Route to review lane")</x:f>
        <x:v>Log source path or blocker; do not promote</x:v>
      </x:c>
      <x:c r="Z1648" s="12" t="str">
        <x:f>IF(K1648="P0","Primary seat + Hashlight/Lucerna","Seat lane")</x:f>
        <x:v>Primary seat + Hashlight/Lucerna</x:v>
      </x:c>
      <x:c r="AA1648" s="12" t="str">
        <x:f>IF(R1648="","no_claim_delta","claim_delta_present")</x:f>
        <x:v>no_claim_delta</x:v>
      </x:c>
      <x:c r="AB1648" s="12" t="str">
        <x:f>IF(S1648="","no_contradiction_delta","contradiction_delta_present")</x:f>
        <x:v>no_contradiction_delta</x:v>
      </x:c>
      <x:c r="AC1648" s="12" t="str">
        <x:f>IF(OR(ISNUMBER(SEARCH("hacker",LOWER(F1648&amp;" "&amp;H1648&amp;" "&amp;I1648&amp;" "&amp;M1648&amp;" "&amp;N1648&amp;" "&amp;T1648))),ISNUMBER(SEARCH("hacking",LOWER(F1648&amp;" "&amp;H1648&amp;" "&amp;I1648&amp;" "&amp;M1648&amp;" "&amp;N1648&amp;" "&amp;T1648))),ISNUMBER(SEARCH("bank",LOWER(F1648&amp;" "&amp;H1648&amp;" "&amp;I1648&amp;" "&amp;M1648&amp;" "&amp;N1648&amp;" "&amp;T1648))),ISNUMBER(SEARCH("banking",LOWER(F1648&amp;" "&amp;H1648&amp;" "&amp;I1648&amp;" "&amp;M1648&amp;" "&amp;N1648&amp;" "&amp;T1648)))),"PRIVATE_QUARANTINE",IF(OR(ISNUMBER(SEARCH("treasury",LOWER(F1648&amp;" "&amp;H1648&amp;" "&amp;I1648&amp;" "&amp;M1648&amp;" "&amp;N1648&amp;" "&amp;T1648))),ISNUMBER(SEARCH("debt",LOWER(F1648&amp;" "&amp;H1648&amp;" "&amp;I1648&amp;" "&amp;M1648&amp;" "&amp;N1648&amp;" "&amp;T1648))),ISNUMBER(SEARCH("bond",LOWER(F1648&amp;" "&amp;H1648&amp;" "&amp;I1648&amp;" "&amp;M1648&amp;" "&amp;N1648&amp;" "&amp;T1648))),ISNUMBER(SEARCH("transaction",LOWER(F1648&amp;" "&amp;H1648&amp;" "&amp;I1648&amp;" "&amp;M1648&amp;" "&amp;N1648&amp;" "&amp;T1648)))),"PRIVATE_REVIEW","PUBLIC_CANDIDATE"))</x:f>
        <x:v>PUBLIC_CANDIDATE</x:v>
      </x:c>
      <x:c r="AD1648" s="12" t="str">
        <x:f>IF(AC1648="PRIVATE_QUARANTINE","hacker_or_bank_trigger",IF(AC1648="PRIVATE_REVIEW","finance_risk_trigger","none"))</x:f>
        <x:v>none</x:v>
      </x:c>
      <x:c r="AE1648" s="12" t="str">
        <x:f>IF(AC1648="PUBLIC_CANDIDATE","prepare_public_github_candidate",IF(AC1648="PRIVATE_REVIEW","hold_for_private_review","quarantine_private_do_not_publish"))</x:f>
        <x:v>prepare_public_github_candidate</x:v>
      </x:c>
      <x:c r="AF1648" s="12" t="str">
        <x:f>IF(AC1648="PUBLIC_CANDIDATE","TIDELOCK + Lucerna",IF(AC1648="PRIVATE_REVIEW","AtlasBrain + Lucerna","TIDELOCK + Lucerna + Human-root"))</x:f>
        <x:v>TIDELOCK + Lucerna</x:v>
      </x:c>
      <x:c r="AG1648" s="12" t="str">
        <x:f>IF(AND(AC1648="PUBLIC_CANDIDATE",U1648&lt;&gt;"BLOCKED_PENDING_RECEIPT"),"READY_AFTER_RECEIPT","NOT_READY")</x:f>
        <x:v>NOT_READY</x:v>
      </x:c>
      <x:c r="AH1648" s="12" t="str">
        <x:f>IF(AC1648="PUBLIC_CANDIDATE","none",AD1648)</x:f>
        <x:v>none</x:v>
      </x:c>
      <x:c r="AI1648" s="12" t="str">
        <x:f>IF(AC1648="PUBLIC_CANDIDATE","archive/public_candidates/"&amp;A1648,"private_quarantine/"&amp;A1648)</x:f>
        <x:v>archive/public_candidates/SWARM-12-H06-S03</x:v>
      </x:c>
      <x:c r="AJ1648" s="12" t="str">
        <x:f>IF(AC1648="PUBLIC_CANDIDATE","public by default; still not canon","private/hold; do not publish")</x:f>
        <x:v>public by default; still not canon</x:v>
      </x:c>
      <x:c r="AK1648" s="12" t="str">
        <x:f>IF(AE1648="prepare_public_github_candidate","add receipt/status then mirror","resolve blocker before any public GitHub action")</x:f>
        <x:v>add receipt/status then mirror</x:v>
      </x:c>
    </x:row>
    <x:row r="1649">
      <x:c r="A1649" s="15" t="str">
        <x:v>SWARM-12-H06-S04</x:v>
      </x:c>
      <x:c r="B1649" s="15" t="str">
        <x:v>JoySignal</x:v>
      </x:c>
      <x:c r="C1649" s="15" t="str">
        <x:v>Rest and morale keeper</x:v>
      </x:c>
      <x:c r="D1649" s="15" t="str">
        <x:v>Ontology / Schema</x:v>
      </x:c>
      <x:c r="E1649" s="15" t="str">
        <x:v>Gamma</x:v>
      </x:c>
      <x:c r="F1649" s="15" t="str">
        <x:v>Schema-map Gamma — JoySignal</x:v>
      </x:c>
      <x:c r="G1649" s="15" t="str">
        <x:v>cadence / anti-burnout / safe completion language</x:v>
      </x:c>
      <x:c r="H1649" s="15" t="str">
        <x:v>source path + receipt + raw/export status + claim/edge/risk delta</x:v>
      </x:c>
      <x:c r="I1649" s="15" t="str">
        <x:v>packet/SWARM-12-H06-S04</x:v>
      </x:c>
      <x:c r="J1649" s="15" t="str">
        <x:v>TODO</x:v>
      </x:c>
      <x:c r="K1649" s="15" t="str">
        <x:v>P1</x:v>
      </x:c>
      <x:c r="L1649" s="15" t="str">
        <x:v>Done only when evidence is logged, contradiction search is noted, and boundary stamp remains non-canon unless ratified</x:v>
      </x:c>
      <x:c r="M1649" s="15" t="str">
        <x:v>candidate / staging-only / not canon / not deployed / authority none</x:v>
      </x:c>
      <x:c r="N1649" s="15" t="str">
        <x:v>Dispatch to JoySignal: complete Ontology / Schema x Gamma; return deltas only, receipts required.</x:v>
      </x:c>
      <x:c r="O1649" s="15" t="str">
        <x:v>AF-KG-H06-S04</x:v>
      </x:c>
      <x:c r="P1649" s="15" t="str">
        <x:v>Unverified</x:v>
      </x:c>
      <x:c r="Q1649" s="15" t="str">
        <x:v>Not checked</x:v>
      </x:c>
      <x:c r="R1649" s="15" t="str"/>
      <x:c r="S1649" s="15" t="str"/>
      <x:c r="T1649" s="15" t="str">
        <x:v>Log first source path or blocker</x:v>
      </x:c>
      <x:c r="U1649" s="12" t="str">
        <x:f>IF(OR(P1649="Unverified",Q1649="Not checked"),"BLOCKED_PENDING_RECEIPT","READY_FOR_REVIEW")</x:f>
        <x:v>BLOCKED_PENDING_RECEIPT</x:v>
      </x:c>
      <x:c r="V1649" s="12" t="str">
        <x:f>IF(J1649="DONE","RETURNED",IF(U1649="BLOCKED_PENDING_RECEIPT","SOURCE_TOUCH_REQUIRED","IN_PROGRESS"))</x:f>
        <x:v>SOURCE_TOUCH_REQUIRED</x:v>
      </x:c>
      <x:c r="W1649" s="12" t="str">
        <x:f>IF(P1649="Unverified","missing_receipt","receipt_logged")</x:f>
        <x:v>missing_receipt</x:v>
      </x:c>
      <x:c r="X1649" s="12" t="str">
        <x:f>IF(Q1649="Not checked","raw_status_missing","raw_status_logged")</x:f>
        <x:v>raw_status_missing</x:v>
      </x:c>
      <x:c r="Y1649" s="12" t="str">
        <x:f>IF(U1649="BLOCKED_PENDING_RECEIPT","Log source path or blocker; do not promote","Route to review lane")</x:f>
        <x:v>Log source path or blocker; do not promote</x:v>
      </x:c>
      <x:c r="Z1649" s="12" t="str">
        <x:f>IF(K1649="P0","Primary seat + Hashlight/Lucerna","Seat lane")</x:f>
        <x:v>Seat lane</x:v>
      </x:c>
      <x:c r="AA1649" s="12" t="str">
        <x:f>IF(R1649="","no_claim_delta","claim_delta_present")</x:f>
        <x:v>no_claim_delta</x:v>
      </x:c>
      <x:c r="AB1649" s="12" t="str">
        <x:f>IF(S1649="","no_contradiction_delta","contradiction_delta_present")</x:f>
        <x:v>no_contradiction_delta</x:v>
      </x:c>
      <x:c r="AC1649" s="12" t="str">
        <x:f>IF(OR(ISNUMBER(SEARCH("hacker",LOWER(F1649&amp;" "&amp;H1649&amp;" "&amp;I1649&amp;" "&amp;M1649&amp;" "&amp;N1649&amp;" "&amp;T1649))),ISNUMBER(SEARCH("hacking",LOWER(F1649&amp;" "&amp;H1649&amp;" "&amp;I1649&amp;" "&amp;M1649&amp;" "&amp;N1649&amp;" "&amp;T1649))),ISNUMBER(SEARCH("bank",LOWER(F1649&amp;" "&amp;H1649&amp;" "&amp;I1649&amp;" "&amp;M1649&amp;" "&amp;N1649&amp;" "&amp;T1649))),ISNUMBER(SEARCH("banking",LOWER(F1649&amp;" "&amp;H1649&amp;" "&amp;I1649&amp;" "&amp;M1649&amp;" "&amp;N1649&amp;" "&amp;T1649)))),"PRIVATE_QUARANTINE",IF(OR(ISNUMBER(SEARCH("treasury",LOWER(F1649&amp;" "&amp;H1649&amp;" "&amp;I1649&amp;" "&amp;M1649&amp;" "&amp;N1649&amp;" "&amp;T1649))),ISNUMBER(SEARCH("debt",LOWER(F1649&amp;" "&amp;H1649&amp;" "&amp;I1649&amp;" "&amp;M1649&amp;" "&amp;N1649&amp;" "&amp;T1649))),ISNUMBER(SEARCH("bond",LOWER(F1649&amp;" "&amp;H1649&amp;" "&amp;I1649&amp;" "&amp;M1649&amp;" "&amp;N1649&amp;" "&amp;T1649))),ISNUMBER(SEARCH("transaction",LOWER(F1649&amp;" "&amp;H1649&amp;" "&amp;I1649&amp;" "&amp;M1649&amp;" "&amp;N1649&amp;" "&amp;T1649)))),"PRIVATE_REVIEW","PUBLIC_CANDIDATE"))</x:f>
        <x:v>PUBLIC_CANDIDATE</x:v>
      </x:c>
      <x:c r="AD1649" s="12" t="str">
        <x:f>IF(AC1649="PRIVATE_QUARANTINE","hacker_or_bank_trigger",IF(AC1649="PRIVATE_REVIEW","finance_risk_trigger","none"))</x:f>
        <x:v>none</x:v>
      </x:c>
      <x:c r="AE1649" s="12" t="str">
        <x:f>IF(AC1649="PUBLIC_CANDIDATE","prepare_public_github_candidate",IF(AC1649="PRIVATE_REVIEW","hold_for_private_review","quarantine_private_do_not_publish"))</x:f>
        <x:v>prepare_public_github_candidate</x:v>
      </x:c>
      <x:c r="AF1649" s="12" t="str">
        <x:f>IF(AC1649="PUBLIC_CANDIDATE","TIDELOCK + Lucerna",IF(AC1649="PRIVATE_REVIEW","AtlasBrain + Lucerna","TIDELOCK + Lucerna + Human-root"))</x:f>
        <x:v>TIDELOCK + Lucerna</x:v>
      </x:c>
      <x:c r="AG1649" s="12" t="str">
        <x:f>IF(AND(AC1649="PUBLIC_CANDIDATE",U1649&lt;&gt;"BLOCKED_PENDING_RECEIPT"),"READY_AFTER_RECEIPT","NOT_READY")</x:f>
        <x:v>NOT_READY</x:v>
      </x:c>
      <x:c r="AH1649" s="12" t="str">
        <x:f>IF(AC1649="PUBLIC_CANDIDATE","none",AD1649)</x:f>
        <x:v>none</x:v>
      </x:c>
      <x:c r="AI1649" s="12" t="str">
        <x:f>IF(AC1649="PUBLIC_CANDIDATE","archive/public_candidates/"&amp;A1649,"private_quarantine/"&amp;A1649)</x:f>
        <x:v>archive/public_candidates/SWARM-12-H06-S04</x:v>
      </x:c>
      <x:c r="AJ1649" s="12" t="str">
        <x:f>IF(AC1649="PUBLIC_CANDIDATE","public by default; still not canon","private/hold; do not publish")</x:f>
        <x:v>public by default; still not canon</x:v>
      </x:c>
      <x:c r="AK1649" s="12" t="str">
        <x:f>IF(AE1649="prepare_public_github_candidate","add receipt/status then mirror","resolve blocker before any public GitHub action")</x:f>
        <x:v>add receipt/status then mirror</x:v>
      </x:c>
    </x:row>
    <x:row r="1650">
      <x:c r="A1650" s="15" t="str">
        <x:v>SWARM-12-H06-S05</x:v>
      </x:c>
      <x:c r="B1650" s="15" t="str">
        <x:v>JoySignal</x:v>
      </x:c>
      <x:c r="C1650" s="15" t="str">
        <x:v>Rest and morale keeper</x:v>
      </x:c>
      <x:c r="D1650" s="15" t="str">
        <x:v>Ontology / Schema</x:v>
      </x:c>
      <x:c r="E1650" s="15" t="str">
        <x:v>Chat</x:v>
      </x:c>
      <x:c r="F1650" s="15" t="str">
        <x:v>Schema-map Chat — JoySignal</x:v>
      </x:c>
      <x:c r="G1650" s="15" t="str">
        <x:v>cadence / anti-burnout / safe completion language</x:v>
      </x:c>
      <x:c r="H1650" s="15" t="str">
        <x:v>source path + receipt + raw/export status + claim/edge/risk delta</x:v>
      </x:c>
      <x:c r="I1650" s="15" t="str">
        <x:v>packet/SWARM-12-H06-S05</x:v>
      </x:c>
      <x:c r="J1650" s="15" t="str">
        <x:v>TODO</x:v>
      </x:c>
      <x:c r="K1650" s="15" t="str">
        <x:v>P1</x:v>
      </x:c>
      <x:c r="L1650" s="15" t="str">
        <x:v>Done only when evidence is logged, contradiction search is noted, and boundary stamp remains non-canon unless ratified</x:v>
      </x:c>
      <x:c r="M1650" s="15" t="str">
        <x:v>candidate / staging-only / not canon / not deployed / authority none</x:v>
      </x:c>
      <x:c r="N1650" s="15" t="str">
        <x:v>Dispatch to JoySignal: complete Ontology / Schema x Chat; return deltas only, receipts required.</x:v>
      </x:c>
      <x:c r="O1650" s="15" t="str">
        <x:v>AF-KG-H06-S05</x:v>
      </x:c>
      <x:c r="P1650" s="15" t="str">
        <x:v>Unverified</x:v>
      </x:c>
      <x:c r="Q1650" s="15" t="str">
        <x:v>Not checked</x:v>
      </x:c>
      <x:c r="R1650" s="15" t="str"/>
      <x:c r="S1650" s="15" t="str"/>
      <x:c r="T1650" s="15" t="str">
        <x:v>Log first source path or blocker</x:v>
      </x:c>
      <x:c r="U1650" s="12" t="str">
        <x:f>IF(OR(P1650="Unverified",Q1650="Not checked"),"BLOCKED_PENDING_RECEIPT","READY_FOR_REVIEW")</x:f>
        <x:v>BLOCKED_PENDING_RECEIPT</x:v>
      </x:c>
      <x:c r="V1650" s="12" t="str">
        <x:f>IF(J1650="DONE","RETURNED",IF(U1650="BLOCKED_PENDING_RECEIPT","SOURCE_TOUCH_REQUIRED","IN_PROGRESS"))</x:f>
        <x:v>SOURCE_TOUCH_REQUIRED</x:v>
      </x:c>
      <x:c r="W1650" s="12" t="str">
        <x:f>IF(P1650="Unverified","missing_receipt","receipt_logged")</x:f>
        <x:v>missing_receipt</x:v>
      </x:c>
      <x:c r="X1650" s="12" t="str">
        <x:f>IF(Q1650="Not checked","raw_status_missing","raw_status_logged")</x:f>
        <x:v>raw_status_missing</x:v>
      </x:c>
      <x:c r="Y1650" s="12" t="str">
        <x:f>IF(U1650="BLOCKED_PENDING_RECEIPT","Log source path or blocker; do not promote","Route to review lane")</x:f>
        <x:v>Log source path or blocker; do not promote</x:v>
      </x:c>
      <x:c r="Z1650" s="12" t="str">
        <x:f>IF(K1650="P0","Primary seat + Hashlight/Lucerna","Seat lane")</x:f>
        <x:v>Seat lane</x:v>
      </x:c>
      <x:c r="AA1650" s="12" t="str">
        <x:f>IF(R1650="","no_claim_delta","claim_delta_present")</x:f>
        <x:v>no_claim_delta</x:v>
      </x:c>
      <x:c r="AB1650" s="12" t="str">
        <x:f>IF(S1650="","no_contradiction_delta","contradiction_delta_present")</x:f>
        <x:v>no_contradiction_delta</x:v>
      </x:c>
      <x:c r="AC1650" s="12" t="str">
        <x:f>IF(OR(ISNUMBER(SEARCH("hacker",LOWER(F1650&amp;" "&amp;H1650&amp;" "&amp;I1650&amp;" "&amp;M1650&amp;" "&amp;N1650&amp;" "&amp;T1650))),ISNUMBER(SEARCH("hacking",LOWER(F1650&amp;" "&amp;H1650&amp;" "&amp;I1650&amp;" "&amp;M1650&amp;" "&amp;N1650&amp;" "&amp;T1650))),ISNUMBER(SEARCH("bank",LOWER(F1650&amp;" "&amp;H1650&amp;" "&amp;I1650&amp;" "&amp;M1650&amp;" "&amp;N1650&amp;" "&amp;T1650))),ISNUMBER(SEARCH("banking",LOWER(F1650&amp;" "&amp;H1650&amp;" "&amp;I1650&amp;" "&amp;M1650&amp;" "&amp;N1650&amp;" "&amp;T1650)))),"PRIVATE_QUARANTINE",IF(OR(ISNUMBER(SEARCH("treasury",LOWER(F1650&amp;" "&amp;H1650&amp;" "&amp;I1650&amp;" "&amp;M1650&amp;" "&amp;N1650&amp;" "&amp;T1650))),ISNUMBER(SEARCH("debt",LOWER(F1650&amp;" "&amp;H1650&amp;" "&amp;I1650&amp;" "&amp;M1650&amp;" "&amp;N1650&amp;" "&amp;T1650))),ISNUMBER(SEARCH("bond",LOWER(F1650&amp;" "&amp;H1650&amp;" "&amp;I1650&amp;" "&amp;M1650&amp;" "&amp;N1650&amp;" "&amp;T1650))),ISNUMBER(SEARCH("transaction",LOWER(F1650&amp;" "&amp;H1650&amp;" "&amp;I1650&amp;" "&amp;M1650&amp;" "&amp;N1650&amp;" "&amp;T1650)))),"PRIVATE_REVIEW","PUBLIC_CANDIDATE"))</x:f>
        <x:v>PUBLIC_CANDIDATE</x:v>
      </x:c>
      <x:c r="AD1650" s="12" t="str">
        <x:f>IF(AC1650="PRIVATE_QUARANTINE","hacker_or_bank_trigger",IF(AC1650="PRIVATE_REVIEW","finance_risk_trigger","none"))</x:f>
        <x:v>none</x:v>
      </x:c>
      <x:c r="AE1650" s="12" t="str">
        <x:f>IF(AC1650="PUBLIC_CANDIDATE","prepare_public_github_candidate",IF(AC1650="PRIVATE_REVIEW","hold_for_private_review","quarantine_private_do_not_publish"))</x:f>
        <x:v>prepare_public_github_candidate</x:v>
      </x:c>
      <x:c r="AF1650" s="12" t="str">
        <x:f>IF(AC1650="PUBLIC_CANDIDATE","TIDELOCK + Lucerna",IF(AC1650="PRIVATE_REVIEW","AtlasBrain + Lucerna","TIDELOCK + Lucerna + Human-root"))</x:f>
        <x:v>TIDELOCK + Lucerna</x:v>
      </x:c>
      <x:c r="AG1650" s="12" t="str">
        <x:f>IF(AND(AC1650="PUBLIC_CANDIDATE",U1650&lt;&gt;"BLOCKED_PENDING_RECEIPT"),"READY_AFTER_RECEIPT","NOT_READY")</x:f>
        <x:v>NOT_READY</x:v>
      </x:c>
      <x:c r="AH1650" s="12" t="str">
        <x:f>IF(AC1650="PUBLIC_CANDIDATE","none",AD1650)</x:f>
        <x:v>none</x:v>
      </x:c>
      <x:c r="AI1650" s="12" t="str">
        <x:f>IF(AC1650="PUBLIC_CANDIDATE","archive/public_candidates/"&amp;A1650,"private_quarantine/"&amp;A1650)</x:f>
        <x:v>archive/public_candidates/SWARM-12-H06-S05</x:v>
      </x:c>
      <x:c r="AJ1650" s="12" t="str">
        <x:f>IF(AC1650="PUBLIC_CANDIDATE","public by default; still not canon","private/hold; do not publish")</x:f>
        <x:v>public by default; still not canon</x:v>
      </x:c>
      <x:c r="AK1650" s="12" t="str">
        <x:f>IF(AE1650="prepare_public_github_candidate","add receipt/status then mirror","resolve blocker before any public GitHub action")</x:f>
        <x:v>add receipt/status then mirror</x:v>
      </x:c>
    </x:row>
    <x:row r="1651">
      <x:c r="A1651" s="15" t="str">
        <x:v>SWARM-12-H06-S06</x:v>
      </x:c>
      <x:c r="B1651" s="15" t="str">
        <x:v>JoySignal</x:v>
      </x:c>
      <x:c r="C1651" s="15" t="str">
        <x:v>Rest and morale keeper</x:v>
      </x:c>
      <x:c r="D1651" s="15" t="str">
        <x:v>Ontology / Schema</x:v>
      </x:c>
      <x:c r="E1651" s="15" t="str">
        <x:v>External Web</x:v>
      </x:c>
      <x:c r="F1651" s="15" t="str">
        <x:v>Schema-map External Web — JoySignal</x:v>
      </x:c>
      <x:c r="G1651" s="15" t="str">
        <x:v>cadence / anti-burnout / safe completion language</x:v>
      </x:c>
      <x:c r="H1651" s="15" t="str">
        <x:v>source path + receipt + raw/export status + claim/edge/risk delta</x:v>
      </x:c>
      <x:c r="I1651" s="15" t="str">
        <x:v>packet/SWARM-12-H06-S06</x:v>
      </x:c>
      <x:c r="J1651" s="15" t="str">
        <x:v>TODO</x:v>
      </x:c>
      <x:c r="K1651" s="15" t="str">
        <x:v>P1</x:v>
      </x:c>
      <x:c r="L1651" s="15" t="str">
        <x:v>Done only when evidence is logged, contradiction search is noted, and boundary stamp remains non-canon unless ratified</x:v>
      </x:c>
      <x:c r="M1651" s="15" t="str">
        <x:v>candidate / staging-only / not canon / not deployed / authority none</x:v>
      </x:c>
      <x:c r="N1651" s="15" t="str">
        <x:v>Dispatch to JoySignal: complete Ontology / Schema x External Web; return deltas only, receipts required.</x:v>
      </x:c>
      <x:c r="O1651" s="15" t="str">
        <x:v>AF-KG-H06-S06</x:v>
      </x:c>
      <x:c r="P1651" s="15" t="str">
        <x:v>Unverified</x:v>
      </x:c>
      <x:c r="Q1651" s="15" t="str">
        <x:v>Not checked</x:v>
      </x:c>
      <x:c r="R1651" s="15" t="str"/>
      <x:c r="S1651" s="15" t="str"/>
      <x:c r="T1651" s="15" t="str">
        <x:v>Log first source path or blocker</x:v>
      </x:c>
      <x:c r="U1651" s="12" t="str">
        <x:f>IF(OR(P1651="Unverified",Q1651="Not checked"),"BLOCKED_PENDING_RECEIPT","READY_FOR_REVIEW")</x:f>
        <x:v>BLOCKED_PENDING_RECEIPT</x:v>
      </x:c>
      <x:c r="V1651" s="12" t="str">
        <x:f>IF(J1651="DONE","RETURNED",IF(U1651="BLOCKED_PENDING_RECEIPT","SOURCE_TOUCH_REQUIRED","IN_PROGRESS"))</x:f>
        <x:v>SOURCE_TOUCH_REQUIRED</x:v>
      </x:c>
      <x:c r="W1651" s="12" t="str">
        <x:f>IF(P1651="Unverified","missing_receipt","receipt_logged")</x:f>
        <x:v>missing_receipt</x:v>
      </x:c>
      <x:c r="X1651" s="12" t="str">
        <x:f>IF(Q1651="Not checked","raw_status_missing","raw_status_logged")</x:f>
        <x:v>raw_status_missing</x:v>
      </x:c>
      <x:c r="Y1651" s="12" t="str">
        <x:f>IF(U1651="BLOCKED_PENDING_RECEIPT","Log source path or blocker; do not promote","Route to review lane")</x:f>
        <x:v>Log source path or blocker; do not promote</x:v>
      </x:c>
      <x:c r="Z1651" s="12" t="str">
        <x:f>IF(K1651="P0","Primary seat + Hashlight/Lucerna","Seat lane")</x:f>
        <x:v>Seat lane</x:v>
      </x:c>
      <x:c r="AA1651" s="12" t="str">
        <x:f>IF(R1651="","no_claim_delta","claim_delta_present")</x:f>
        <x:v>no_claim_delta</x:v>
      </x:c>
      <x:c r="AB1651" s="12" t="str">
        <x:f>IF(S1651="","no_contradiction_delta","contradiction_delta_present")</x:f>
        <x:v>no_contradiction_delta</x:v>
      </x:c>
      <x:c r="AC1651" s="12" t="str">
        <x:f>IF(OR(ISNUMBER(SEARCH("hacker",LOWER(F1651&amp;" "&amp;H1651&amp;" "&amp;I1651&amp;" "&amp;M1651&amp;" "&amp;N1651&amp;" "&amp;T1651))),ISNUMBER(SEARCH("hacking",LOWER(F1651&amp;" "&amp;H1651&amp;" "&amp;I1651&amp;" "&amp;M1651&amp;" "&amp;N1651&amp;" "&amp;T1651))),ISNUMBER(SEARCH("bank",LOWER(F1651&amp;" "&amp;H1651&amp;" "&amp;I1651&amp;" "&amp;M1651&amp;" "&amp;N1651&amp;" "&amp;T1651))),ISNUMBER(SEARCH("banking",LOWER(F1651&amp;" "&amp;H1651&amp;" "&amp;I1651&amp;" "&amp;M1651&amp;" "&amp;N1651&amp;" "&amp;T1651)))),"PRIVATE_QUARANTINE",IF(OR(ISNUMBER(SEARCH("treasury",LOWER(F1651&amp;" "&amp;H1651&amp;" "&amp;I1651&amp;" "&amp;M1651&amp;" "&amp;N1651&amp;" "&amp;T1651))),ISNUMBER(SEARCH("debt",LOWER(F1651&amp;" "&amp;H1651&amp;" "&amp;I1651&amp;" "&amp;M1651&amp;" "&amp;N1651&amp;" "&amp;T1651))),ISNUMBER(SEARCH("bond",LOWER(F1651&amp;" "&amp;H1651&amp;" "&amp;I1651&amp;" "&amp;M1651&amp;" "&amp;N1651&amp;" "&amp;T1651))),ISNUMBER(SEARCH("transaction",LOWER(F1651&amp;" "&amp;H1651&amp;" "&amp;I1651&amp;" "&amp;M1651&amp;" "&amp;N1651&amp;" "&amp;T1651)))),"PRIVATE_REVIEW","PUBLIC_CANDIDATE"))</x:f>
        <x:v>PUBLIC_CANDIDATE</x:v>
      </x:c>
      <x:c r="AD1651" s="12" t="str">
        <x:f>IF(AC1651="PRIVATE_QUARANTINE","hacker_or_bank_trigger",IF(AC1651="PRIVATE_REVIEW","finance_risk_trigger","none"))</x:f>
        <x:v>none</x:v>
      </x:c>
      <x:c r="AE1651" s="12" t="str">
        <x:f>IF(AC1651="PUBLIC_CANDIDATE","prepare_public_github_candidate",IF(AC1651="PRIVATE_REVIEW","hold_for_private_review","quarantine_private_do_not_publish"))</x:f>
        <x:v>prepare_public_github_candidate</x:v>
      </x:c>
      <x:c r="AF1651" s="12" t="str">
        <x:f>IF(AC1651="PUBLIC_CANDIDATE","TIDELOCK + Lucerna",IF(AC1651="PRIVATE_REVIEW","AtlasBrain + Lucerna","TIDELOCK + Lucerna + Human-root"))</x:f>
        <x:v>TIDELOCK + Lucerna</x:v>
      </x:c>
      <x:c r="AG1651" s="12" t="str">
        <x:f>IF(AND(AC1651="PUBLIC_CANDIDATE",U1651&lt;&gt;"BLOCKED_PENDING_RECEIPT"),"READY_AFTER_RECEIPT","NOT_READY")</x:f>
        <x:v>NOT_READY</x:v>
      </x:c>
      <x:c r="AH1651" s="12" t="str">
        <x:f>IF(AC1651="PUBLIC_CANDIDATE","none",AD1651)</x:f>
        <x:v>none</x:v>
      </x:c>
      <x:c r="AI1651" s="12" t="str">
        <x:f>IF(AC1651="PUBLIC_CANDIDATE","archive/public_candidates/"&amp;A1651,"private_quarantine/"&amp;A1651)</x:f>
        <x:v>archive/public_candidates/SWARM-12-H06-S06</x:v>
      </x:c>
      <x:c r="AJ1651" s="12" t="str">
        <x:f>IF(AC1651="PUBLIC_CANDIDATE","public by default; still not canon","private/hold; do not publish")</x:f>
        <x:v>public by default; still not canon</x:v>
      </x:c>
      <x:c r="AK1651" s="12" t="str">
        <x:f>IF(AE1651="prepare_public_github_candidate","add receipt/status then mirror","resolve blocker before any public GitHub action")</x:f>
        <x:v>add receipt/status then mirror</x:v>
      </x:c>
    </x:row>
    <x:row r="1652">
      <x:c r="A1652" s="15" t="str">
        <x:v>SWARM-12-H06-S07</x:v>
      </x:c>
      <x:c r="B1652" s="15" t="str">
        <x:v>JoySignal</x:v>
      </x:c>
      <x:c r="C1652" s="15" t="str">
        <x:v>Rest and morale keeper</x:v>
      </x:c>
      <x:c r="D1652" s="15" t="str">
        <x:v>Ontology / Schema</x:v>
      </x:c>
      <x:c r="E1652" s="15" t="str">
        <x:v>Planetarium</x:v>
      </x:c>
      <x:c r="F1652" s="15" t="str">
        <x:v>Schema-map Planetarium — JoySignal</x:v>
      </x:c>
      <x:c r="G1652" s="15" t="str">
        <x:v>cadence / anti-burnout / safe completion language</x:v>
      </x:c>
      <x:c r="H1652" s="15" t="str">
        <x:v>source path + receipt + raw/export status + claim/edge/risk delta</x:v>
      </x:c>
      <x:c r="I1652" s="15" t="str">
        <x:v>packet/SWARM-12-H06-S07</x:v>
      </x:c>
      <x:c r="J1652" s="15" t="str">
        <x:v>TODO</x:v>
      </x:c>
      <x:c r="K1652" s="15" t="str">
        <x:v>P1</x:v>
      </x:c>
      <x:c r="L1652" s="15" t="str">
        <x:v>Done only when evidence is logged, contradiction search is noted, and boundary stamp remains non-canon unless ratified</x:v>
      </x:c>
      <x:c r="M1652" s="15" t="str">
        <x:v>candidate / staging-only / not canon / not deployed / authority none</x:v>
      </x:c>
      <x:c r="N1652" s="15" t="str">
        <x:v>Dispatch to JoySignal: complete Ontology / Schema x Planetarium; return deltas only, receipts required.</x:v>
      </x:c>
      <x:c r="O1652" s="15" t="str">
        <x:v>AF-KG-H06-S07</x:v>
      </x:c>
      <x:c r="P1652" s="15" t="str">
        <x:v>Unverified</x:v>
      </x:c>
      <x:c r="Q1652" s="15" t="str">
        <x:v>Not checked</x:v>
      </x:c>
      <x:c r="R1652" s="15" t="str"/>
      <x:c r="S1652" s="15" t="str"/>
      <x:c r="T1652" s="15" t="str">
        <x:v>Log first source path or blocker</x:v>
      </x:c>
      <x:c r="U1652" s="12" t="str">
        <x:f>IF(OR(P1652="Unverified",Q1652="Not checked"),"BLOCKED_PENDING_RECEIPT","READY_FOR_REVIEW")</x:f>
        <x:v>BLOCKED_PENDING_RECEIPT</x:v>
      </x:c>
      <x:c r="V1652" s="12" t="str">
        <x:f>IF(J1652="DONE","RETURNED",IF(U1652="BLOCKED_PENDING_RECEIPT","SOURCE_TOUCH_REQUIRED","IN_PROGRESS"))</x:f>
        <x:v>SOURCE_TOUCH_REQUIRED</x:v>
      </x:c>
      <x:c r="W1652" s="12" t="str">
        <x:f>IF(P1652="Unverified","missing_receipt","receipt_logged")</x:f>
        <x:v>missing_receipt</x:v>
      </x:c>
      <x:c r="X1652" s="12" t="str">
        <x:f>IF(Q1652="Not checked","raw_status_missing","raw_status_logged")</x:f>
        <x:v>raw_status_missing</x:v>
      </x:c>
      <x:c r="Y1652" s="12" t="str">
        <x:f>IF(U1652="BLOCKED_PENDING_RECEIPT","Log source path or blocker; do not promote","Route to review lane")</x:f>
        <x:v>Log source path or blocker; do not promote</x:v>
      </x:c>
      <x:c r="Z1652" s="12" t="str">
        <x:f>IF(K1652="P0","Primary seat + Hashlight/Lucerna","Seat lane")</x:f>
        <x:v>Seat lane</x:v>
      </x:c>
      <x:c r="AA1652" s="12" t="str">
        <x:f>IF(R1652="","no_claim_delta","claim_delta_present")</x:f>
        <x:v>no_claim_delta</x:v>
      </x:c>
      <x:c r="AB1652" s="12" t="str">
        <x:f>IF(S1652="","no_contradiction_delta","contradiction_delta_present")</x:f>
        <x:v>no_contradiction_delta</x:v>
      </x:c>
      <x:c r="AC1652" s="12" t="str">
        <x:f>IF(OR(ISNUMBER(SEARCH("hacker",LOWER(F1652&amp;" "&amp;H1652&amp;" "&amp;I1652&amp;" "&amp;M1652&amp;" "&amp;N1652&amp;" "&amp;T1652))),ISNUMBER(SEARCH("hacking",LOWER(F1652&amp;" "&amp;H1652&amp;" "&amp;I1652&amp;" "&amp;M1652&amp;" "&amp;N1652&amp;" "&amp;T1652))),ISNUMBER(SEARCH("bank",LOWER(F1652&amp;" "&amp;H1652&amp;" "&amp;I1652&amp;" "&amp;M1652&amp;" "&amp;N1652&amp;" "&amp;T1652))),ISNUMBER(SEARCH("banking",LOWER(F1652&amp;" "&amp;H1652&amp;" "&amp;I1652&amp;" "&amp;M1652&amp;" "&amp;N1652&amp;" "&amp;T1652)))),"PRIVATE_QUARANTINE",IF(OR(ISNUMBER(SEARCH("treasury",LOWER(F1652&amp;" "&amp;H1652&amp;" "&amp;I1652&amp;" "&amp;M1652&amp;" "&amp;N1652&amp;" "&amp;T1652))),ISNUMBER(SEARCH("debt",LOWER(F1652&amp;" "&amp;H1652&amp;" "&amp;I1652&amp;" "&amp;M1652&amp;" "&amp;N1652&amp;" "&amp;T1652))),ISNUMBER(SEARCH("bond",LOWER(F1652&amp;" "&amp;H1652&amp;" "&amp;I1652&amp;" "&amp;M1652&amp;" "&amp;N1652&amp;" "&amp;T1652))),ISNUMBER(SEARCH("transaction",LOWER(F1652&amp;" "&amp;H1652&amp;" "&amp;I1652&amp;" "&amp;M1652&amp;" "&amp;N1652&amp;" "&amp;T1652)))),"PRIVATE_REVIEW","PUBLIC_CANDIDATE"))</x:f>
        <x:v>PUBLIC_CANDIDATE</x:v>
      </x:c>
      <x:c r="AD1652" s="12" t="str">
        <x:f>IF(AC1652="PRIVATE_QUARANTINE","hacker_or_bank_trigger",IF(AC1652="PRIVATE_REVIEW","finance_risk_trigger","none"))</x:f>
        <x:v>none</x:v>
      </x:c>
      <x:c r="AE1652" s="12" t="str">
        <x:f>IF(AC1652="PUBLIC_CANDIDATE","prepare_public_github_candidate",IF(AC1652="PRIVATE_REVIEW","hold_for_private_review","quarantine_private_do_not_publish"))</x:f>
        <x:v>prepare_public_github_candidate</x:v>
      </x:c>
      <x:c r="AF1652" s="12" t="str">
        <x:f>IF(AC1652="PUBLIC_CANDIDATE","TIDELOCK + Lucerna",IF(AC1652="PRIVATE_REVIEW","AtlasBrain + Lucerna","TIDELOCK + Lucerna + Human-root"))</x:f>
        <x:v>TIDELOCK + Lucerna</x:v>
      </x:c>
      <x:c r="AG1652" s="12" t="str">
        <x:f>IF(AND(AC1652="PUBLIC_CANDIDATE",U1652&lt;&gt;"BLOCKED_PENDING_RECEIPT"),"READY_AFTER_RECEIPT","NOT_READY")</x:f>
        <x:v>NOT_READY</x:v>
      </x:c>
      <x:c r="AH1652" s="12" t="str">
        <x:f>IF(AC1652="PUBLIC_CANDIDATE","none",AD1652)</x:f>
        <x:v>none</x:v>
      </x:c>
      <x:c r="AI1652" s="12" t="str">
        <x:f>IF(AC1652="PUBLIC_CANDIDATE","archive/public_candidates/"&amp;A1652,"private_quarantine/"&amp;A1652)</x:f>
        <x:v>archive/public_candidates/SWARM-12-H06-S07</x:v>
      </x:c>
      <x:c r="AJ1652" s="12" t="str">
        <x:f>IF(AC1652="PUBLIC_CANDIDATE","public by default; still not canon","private/hold; do not publish")</x:f>
        <x:v>public by default; still not canon</x:v>
      </x:c>
      <x:c r="AK1652" s="12" t="str">
        <x:f>IF(AE1652="prepare_public_github_candidate","add receipt/status then mirror","resolve blocker before any public GitHub action")</x:f>
        <x:v>add receipt/status then mirror</x:v>
      </x:c>
    </x:row>
    <x:row r="1653">
      <x:c r="A1653" s="15" t="str">
        <x:v>SWARM-12-H06-S08</x:v>
      </x:c>
      <x:c r="B1653" s="15" t="str">
        <x:v>JoySignal</x:v>
      </x:c>
      <x:c r="C1653" s="15" t="str">
        <x:v>Rest and morale keeper</x:v>
      </x:c>
      <x:c r="D1653" s="15" t="str">
        <x:v>Ontology / Schema</x:v>
      </x:c>
      <x:c r="E1653" s="15" t="str">
        <x:v>Sheldonbrain</x:v>
      </x:c>
      <x:c r="F1653" s="15" t="str">
        <x:v>Schema-map Sheldonbrain — JoySignal</x:v>
      </x:c>
      <x:c r="G1653" s="15" t="str">
        <x:v>cadence / anti-burnout / safe completion language</x:v>
      </x:c>
      <x:c r="H1653" s="15" t="str">
        <x:v>source path + receipt + raw/export status + claim/edge/risk delta</x:v>
      </x:c>
      <x:c r="I1653" s="15" t="str">
        <x:v>packet/SWARM-12-H06-S08</x:v>
      </x:c>
      <x:c r="J1653" s="15" t="str">
        <x:v>TODO</x:v>
      </x:c>
      <x:c r="K1653" s="15" t="str">
        <x:v>P1</x:v>
      </x:c>
      <x:c r="L1653" s="15" t="str">
        <x:v>Done only when evidence is logged, contradiction search is noted, and boundary stamp remains non-canon unless ratified</x:v>
      </x:c>
      <x:c r="M1653" s="15" t="str">
        <x:v>candidate / staging-only / not canon / not deployed / authority none</x:v>
      </x:c>
      <x:c r="N1653" s="15" t="str">
        <x:v>Dispatch to JoySignal: complete Ontology / Schema x Sheldonbrain; return deltas only, receipts required.</x:v>
      </x:c>
      <x:c r="O1653" s="15" t="str">
        <x:v>AF-KG-H06-S08</x:v>
      </x:c>
      <x:c r="P1653" s="15" t="str">
        <x:v>Unverified</x:v>
      </x:c>
      <x:c r="Q1653" s="15" t="str">
        <x:v>Not checked</x:v>
      </x:c>
      <x:c r="R1653" s="15" t="str"/>
      <x:c r="S1653" s="15" t="str"/>
      <x:c r="T1653" s="15" t="str">
        <x:v>Log first source path or blocker</x:v>
      </x:c>
      <x:c r="U1653" s="12" t="str">
        <x:f>IF(OR(P1653="Unverified",Q1653="Not checked"),"BLOCKED_PENDING_RECEIPT","READY_FOR_REVIEW")</x:f>
        <x:v>BLOCKED_PENDING_RECEIPT</x:v>
      </x:c>
      <x:c r="V1653" s="12" t="str">
        <x:f>IF(J1653="DONE","RETURNED",IF(U1653="BLOCKED_PENDING_RECEIPT","SOURCE_TOUCH_REQUIRED","IN_PROGRESS"))</x:f>
        <x:v>SOURCE_TOUCH_REQUIRED</x:v>
      </x:c>
      <x:c r="W1653" s="12" t="str">
        <x:f>IF(P1653="Unverified","missing_receipt","receipt_logged")</x:f>
        <x:v>missing_receipt</x:v>
      </x:c>
      <x:c r="X1653" s="12" t="str">
        <x:f>IF(Q1653="Not checked","raw_status_missing","raw_status_logged")</x:f>
        <x:v>raw_status_missing</x:v>
      </x:c>
      <x:c r="Y1653" s="12" t="str">
        <x:f>IF(U1653="BLOCKED_PENDING_RECEIPT","Log source path or blocker; do not promote","Route to review lane")</x:f>
        <x:v>Log source path or blocker; do not promote</x:v>
      </x:c>
      <x:c r="Z1653" s="12" t="str">
        <x:f>IF(K1653="P0","Primary seat + Hashlight/Lucerna","Seat lane")</x:f>
        <x:v>Seat lane</x:v>
      </x:c>
      <x:c r="AA1653" s="12" t="str">
        <x:f>IF(R1653="","no_claim_delta","claim_delta_present")</x:f>
        <x:v>no_claim_delta</x:v>
      </x:c>
      <x:c r="AB1653" s="12" t="str">
        <x:f>IF(S1653="","no_contradiction_delta","contradiction_delta_present")</x:f>
        <x:v>no_contradiction_delta</x:v>
      </x:c>
      <x:c r="AC1653" s="12" t="str">
        <x:f>IF(OR(ISNUMBER(SEARCH("hacker",LOWER(F1653&amp;" "&amp;H1653&amp;" "&amp;I1653&amp;" "&amp;M1653&amp;" "&amp;N1653&amp;" "&amp;T1653))),ISNUMBER(SEARCH("hacking",LOWER(F1653&amp;" "&amp;H1653&amp;" "&amp;I1653&amp;" "&amp;M1653&amp;" "&amp;N1653&amp;" "&amp;T1653))),ISNUMBER(SEARCH("bank",LOWER(F1653&amp;" "&amp;H1653&amp;" "&amp;I1653&amp;" "&amp;M1653&amp;" "&amp;N1653&amp;" "&amp;T1653))),ISNUMBER(SEARCH("banking",LOWER(F1653&amp;" "&amp;H1653&amp;" "&amp;I1653&amp;" "&amp;M1653&amp;" "&amp;N1653&amp;" "&amp;T1653)))),"PRIVATE_QUARANTINE",IF(OR(ISNUMBER(SEARCH("treasury",LOWER(F1653&amp;" "&amp;H1653&amp;" "&amp;I1653&amp;" "&amp;M1653&amp;" "&amp;N1653&amp;" "&amp;T1653))),ISNUMBER(SEARCH("debt",LOWER(F1653&amp;" "&amp;H1653&amp;" "&amp;I1653&amp;" "&amp;M1653&amp;" "&amp;N1653&amp;" "&amp;T1653))),ISNUMBER(SEARCH("bond",LOWER(F1653&amp;" "&amp;H1653&amp;" "&amp;I1653&amp;" "&amp;M1653&amp;" "&amp;N1653&amp;" "&amp;T1653))),ISNUMBER(SEARCH("transaction",LOWER(F1653&amp;" "&amp;H1653&amp;" "&amp;I1653&amp;" "&amp;M1653&amp;" "&amp;N1653&amp;" "&amp;T1653)))),"PRIVATE_REVIEW","PUBLIC_CANDIDATE"))</x:f>
        <x:v>PUBLIC_CANDIDATE</x:v>
      </x:c>
      <x:c r="AD1653" s="12" t="str">
        <x:f>IF(AC1653="PRIVATE_QUARANTINE","hacker_or_bank_trigger",IF(AC1653="PRIVATE_REVIEW","finance_risk_trigger","none"))</x:f>
        <x:v>none</x:v>
      </x:c>
      <x:c r="AE1653" s="12" t="str">
        <x:f>IF(AC1653="PUBLIC_CANDIDATE","prepare_public_github_candidate",IF(AC1653="PRIVATE_REVIEW","hold_for_private_review","quarantine_private_do_not_publish"))</x:f>
        <x:v>prepare_public_github_candidate</x:v>
      </x:c>
      <x:c r="AF1653" s="12" t="str">
        <x:f>IF(AC1653="PUBLIC_CANDIDATE","TIDELOCK + Lucerna",IF(AC1653="PRIVATE_REVIEW","AtlasBrain + Lucerna","TIDELOCK + Lucerna + Human-root"))</x:f>
        <x:v>TIDELOCK + Lucerna</x:v>
      </x:c>
      <x:c r="AG1653" s="12" t="str">
        <x:f>IF(AND(AC1653="PUBLIC_CANDIDATE",U1653&lt;&gt;"BLOCKED_PENDING_RECEIPT"),"READY_AFTER_RECEIPT","NOT_READY")</x:f>
        <x:v>NOT_READY</x:v>
      </x:c>
      <x:c r="AH1653" s="12" t="str">
        <x:f>IF(AC1653="PUBLIC_CANDIDATE","none",AD1653)</x:f>
        <x:v>none</x:v>
      </x:c>
      <x:c r="AI1653" s="12" t="str">
        <x:f>IF(AC1653="PUBLIC_CANDIDATE","archive/public_candidates/"&amp;A1653,"private_quarantine/"&amp;A1653)</x:f>
        <x:v>archive/public_candidates/SWARM-12-H06-S08</x:v>
      </x:c>
      <x:c r="AJ1653" s="12" t="str">
        <x:f>IF(AC1653="PUBLIC_CANDIDATE","public by default; still not canon","private/hold; do not publish")</x:f>
        <x:v>public by default; still not canon</x:v>
      </x:c>
      <x:c r="AK1653" s="12" t="str">
        <x:f>IF(AE1653="prepare_public_github_candidate","add receipt/status then mirror","resolve blocker before any public GitHub action")</x:f>
        <x:v>add receipt/status then mirror</x:v>
      </x:c>
    </x:row>
    <x:row r="1654">
      <x:c r="A1654" s="15" t="str">
        <x:v>SWARM-12-H06-S09</x:v>
      </x:c>
      <x:c r="B1654" s="15" t="str">
        <x:v>JoySignal</x:v>
      </x:c>
      <x:c r="C1654" s="15" t="str">
        <x:v>Rest and morale keeper</x:v>
      </x:c>
      <x:c r="D1654" s="15" t="str">
        <x:v>Ontology / Schema</x:v>
      </x:c>
      <x:c r="E1654" s="15" t="str">
        <x:v>Aetherforge</x:v>
      </x:c>
      <x:c r="F1654" s="15" t="str">
        <x:v>Schema-map Aetherforge — JoySignal</x:v>
      </x:c>
      <x:c r="G1654" s="15" t="str">
        <x:v>cadence / anti-burnout / safe completion language</x:v>
      </x:c>
      <x:c r="H1654" s="15" t="str">
        <x:v>source path + receipt + raw/export status + claim/edge/risk delta</x:v>
      </x:c>
      <x:c r="I1654" s="15" t="str">
        <x:v>packet/SWARM-12-H06-S09</x:v>
      </x:c>
      <x:c r="J1654" s="15" t="str">
        <x:v>TODO</x:v>
      </x:c>
      <x:c r="K1654" s="15" t="str">
        <x:v>P2</x:v>
      </x:c>
      <x:c r="L1654" s="15" t="str">
        <x:v>Done only when evidence is logged, contradiction search is noted, and boundary stamp remains non-canon unless ratified</x:v>
      </x:c>
      <x:c r="M1654" s="15" t="str">
        <x:v>candidate / staging-only / not canon / not deployed / authority none</x:v>
      </x:c>
      <x:c r="N1654" s="15" t="str">
        <x:v>Dispatch to JoySignal: complete Ontology / Schema x Aetherforge; return deltas only, receipts required.</x:v>
      </x:c>
      <x:c r="O1654" s="15" t="str">
        <x:v>AF-KG-H06-S09</x:v>
      </x:c>
      <x:c r="P1654" s="15" t="str">
        <x:v>Unverified</x:v>
      </x:c>
      <x:c r="Q1654" s="15" t="str">
        <x:v>Not checked</x:v>
      </x:c>
      <x:c r="R1654" s="15" t="str"/>
      <x:c r="S1654" s="15" t="str"/>
      <x:c r="T1654" s="15" t="str">
        <x:v>Log first source path or blocker</x:v>
      </x:c>
      <x:c r="U1654" s="12" t="str">
        <x:f>IF(OR(P1654="Unverified",Q1654="Not checked"),"BLOCKED_PENDING_RECEIPT","READY_FOR_REVIEW")</x:f>
        <x:v>BLOCKED_PENDING_RECEIPT</x:v>
      </x:c>
      <x:c r="V1654" s="12" t="str">
        <x:f>IF(J1654="DONE","RETURNED",IF(U1654="BLOCKED_PENDING_RECEIPT","SOURCE_TOUCH_REQUIRED","IN_PROGRESS"))</x:f>
        <x:v>SOURCE_TOUCH_REQUIRED</x:v>
      </x:c>
      <x:c r="W1654" s="12" t="str">
        <x:f>IF(P1654="Unverified","missing_receipt","receipt_logged")</x:f>
        <x:v>missing_receipt</x:v>
      </x:c>
      <x:c r="X1654" s="12" t="str">
        <x:f>IF(Q1654="Not checked","raw_status_missing","raw_status_logged")</x:f>
        <x:v>raw_status_missing</x:v>
      </x:c>
      <x:c r="Y1654" s="12" t="str">
        <x:f>IF(U1654="BLOCKED_PENDING_RECEIPT","Log source path or blocker; do not promote","Route to review lane")</x:f>
        <x:v>Log source path or blocker; do not promote</x:v>
      </x:c>
      <x:c r="Z1654" s="12" t="str">
        <x:f>IF(K1654="P0","Primary seat + Hashlight/Lucerna","Seat lane")</x:f>
        <x:v>Seat lane</x:v>
      </x:c>
      <x:c r="AA1654" s="12" t="str">
        <x:f>IF(R1654="","no_claim_delta","claim_delta_present")</x:f>
        <x:v>no_claim_delta</x:v>
      </x:c>
      <x:c r="AB1654" s="12" t="str">
        <x:f>IF(S1654="","no_contradiction_delta","contradiction_delta_present")</x:f>
        <x:v>no_contradiction_delta</x:v>
      </x:c>
      <x:c r="AC1654" s="12" t="str">
        <x:f>IF(OR(ISNUMBER(SEARCH("hacker",LOWER(F1654&amp;" "&amp;H1654&amp;" "&amp;I1654&amp;" "&amp;M1654&amp;" "&amp;N1654&amp;" "&amp;T1654))),ISNUMBER(SEARCH("hacking",LOWER(F1654&amp;" "&amp;H1654&amp;" "&amp;I1654&amp;" "&amp;M1654&amp;" "&amp;N1654&amp;" "&amp;T1654))),ISNUMBER(SEARCH("bank",LOWER(F1654&amp;" "&amp;H1654&amp;" "&amp;I1654&amp;" "&amp;M1654&amp;" "&amp;N1654&amp;" "&amp;T1654))),ISNUMBER(SEARCH("banking",LOWER(F1654&amp;" "&amp;H1654&amp;" "&amp;I1654&amp;" "&amp;M1654&amp;" "&amp;N1654&amp;" "&amp;T1654)))),"PRIVATE_QUARANTINE",IF(OR(ISNUMBER(SEARCH("treasury",LOWER(F1654&amp;" "&amp;H1654&amp;" "&amp;I1654&amp;" "&amp;M1654&amp;" "&amp;N1654&amp;" "&amp;T1654))),ISNUMBER(SEARCH("debt",LOWER(F1654&amp;" "&amp;H1654&amp;" "&amp;I1654&amp;" "&amp;M1654&amp;" "&amp;N1654&amp;" "&amp;T1654))),ISNUMBER(SEARCH("bond",LOWER(F1654&amp;" "&amp;H1654&amp;" "&amp;I1654&amp;" "&amp;M1654&amp;" "&amp;N1654&amp;" "&amp;T1654))),ISNUMBER(SEARCH("transaction",LOWER(F1654&amp;" "&amp;H1654&amp;" "&amp;I1654&amp;" "&amp;M1654&amp;" "&amp;N1654&amp;" "&amp;T1654)))),"PRIVATE_REVIEW","PUBLIC_CANDIDATE"))</x:f>
        <x:v>PUBLIC_CANDIDATE</x:v>
      </x:c>
      <x:c r="AD1654" s="12" t="str">
        <x:f>IF(AC1654="PRIVATE_QUARANTINE","hacker_or_bank_trigger",IF(AC1654="PRIVATE_REVIEW","finance_risk_trigger","none"))</x:f>
        <x:v>none</x:v>
      </x:c>
      <x:c r="AE1654" s="12" t="str">
        <x:f>IF(AC1654="PUBLIC_CANDIDATE","prepare_public_github_candidate",IF(AC1654="PRIVATE_REVIEW","hold_for_private_review","quarantine_private_do_not_publish"))</x:f>
        <x:v>prepare_public_github_candidate</x:v>
      </x:c>
      <x:c r="AF1654" s="12" t="str">
        <x:f>IF(AC1654="PUBLIC_CANDIDATE","TIDELOCK + Lucerna",IF(AC1654="PRIVATE_REVIEW","AtlasBrain + Lucerna","TIDELOCK + Lucerna + Human-root"))</x:f>
        <x:v>TIDELOCK + Lucerna</x:v>
      </x:c>
      <x:c r="AG1654" s="12" t="str">
        <x:f>IF(AND(AC1654="PUBLIC_CANDIDATE",U1654&lt;&gt;"BLOCKED_PENDING_RECEIPT"),"READY_AFTER_RECEIPT","NOT_READY")</x:f>
        <x:v>NOT_READY</x:v>
      </x:c>
      <x:c r="AH1654" s="12" t="str">
        <x:f>IF(AC1654="PUBLIC_CANDIDATE","none",AD1654)</x:f>
        <x:v>none</x:v>
      </x:c>
      <x:c r="AI1654" s="12" t="str">
        <x:f>IF(AC1654="PUBLIC_CANDIDATE","archive/public_candidates/"&amp;A1654,"private_quarantine/"&amp;A1654)</x:f>
        <x:v>archive/public_candidates/SWARM-12-H06-S09</x:v>
      </x:c>
      <x:c r="AJ1654" s="12" t="str">
        <x:f>IF(AC1654="PUBLIC_CANDIDATE","public by default; still not canon","private/hold; do not publish")</x:f>
        <x:v>public by default; still not canon</x:v>
      </x:c>
      <x:c r="AK1654" s="12" t="str">
        <x:f>IF(AE1654="prepare_public_github_candidate","add receipt/status then mirror","resolve blocker before any public GitHub action")</x:f>
        <x:v>add receipt/status then mirror</x:v>
      </x:c>
    </x:row>
    <x:row r="1655">
      <x:c r="A1655" s="15" t="str">
        <x:v>SWARM-12-H06-S10</x:v>
      </x:c>
      <x:c r="B1655" s="15" t="str">
        <x:v>JoySignal</x:v>
      </x:c>
      <x:c r="C1655" s="15" t="str">
        <x:v>Rest and morale keeper</x:v>
      </x:c>
      <x:c r="D1655" s="15" t="str">
        <x:v>Ontology / Schema</x:v>
      </x:c>
      <x:c r="E1655" s="15" t="str">
        <x:v>Human-Root</x:v>
      </x:c>
      <x:c r="F1655" s="15" t="str">
        <x:v>Schema-map Human-Root — JoySignal</x:v>
      </x:c>
      <x:c r="G1655" s="15" t="str">
        <x:v>cadence / anti-burnout / safe completion language</x:v>
      </x:c>
      <x:c r="H1655" s="15" t="str">
        <x:v>source path + receipt + raw/export status + claim/edge/risk delta</x:v>
      </x:c>
      <x:c r="I1655" s="15" t="str">
        <x:v>packet/SWARM-12-H06-S10</x:v>
      </x:c>
      <x:c r="J1655" s="15" t="str">
        <x:v>TODO</x:v>
      </x:c>
      <x:c r="K1655" s="15" t="str">
        <x:v>P2</x:v>
      </x:c>
      <x:c r="L1655" s="15" t="str">
        <x:v>Done only when evidence is logged, contradiction search is noted, and boundary stamp remains non-canon unless ratified</x:v>
      </x:c>
      <x:c r="M1655" s="15" t="str">
        <x:v>candidate / staging-only / not canon / not deployed / authority none</x:v>
      </x:c>
      <x:c r="N1655" s="15" t="str">
        <x:v>Dispatch to JoySignal: complete Ontology / Schema x Human-Root; return deltas only, receipts required.</x:v>
      </x:c>
      <x:c r="O1655" s="15" t="str">
        <x:v>AF-KG-H06-S10</x:v>
      </x:c>
      <x:c r="P1655" s="15" t="str">
        <x:v>Unverified</x:v>
      </x:c>
      <x:c r="Q1655" s="15" t="str">
        <x:v>Not checked</x:v>
      </x:c>
      <x:c r="R1655" s="15" t="str"/>
      <x:c r="S1655" s="15" t="str"/>
      <x:c r="T1655" s="15" t="str">
        <x:v>Log first source path or blocker</x:v>
      </x:c>
      <x:c r="U1655" s="12" t="str">
        <x:f>IF(OR(P1655="Unverified",Q1655="Not checked"),"BLOCKED_PENDING_RECEIPT","READY_FOR_REVIEW")</x:f>
        <x:v>BLOCKED_PENDING_RECEIPT</x:v>
      </x:c>
      <x:c r="V1655" s="12" t="str">
        <x:f>IF(J1655="DONE","RETURNED",IF(U1655="BLOCKED_PENDING_RECEIPT","SOURCE_TOUCH_REQUIRED","IN_PROGRESS"))</x:f>
        <x:v>SOURCE_TOUCH_REQUIRED</x:v>
      </x:c>
      <x:c r="W1655" s="12" t="str">
        <x:f>IF(P1655="Unverified","missing_receipt","receipt_logged")</x:f>
        <x:v>missing_receipt</x:v>
      </x:c>
      <x:c r="X1655" s="12" t="str">
        <x:f>IF(Q1655="Not checked","raw_status_missing","raw_status_logged")</x:f>
        <x:v>raw_status_missing</x:v>
      </x:c>
      <x:c r="Y1655" s="12" t="str">
        <x:f>IF(U1655="BLOCKED_PENDING_RECEIPT","Log source path or blocker; do not promote","Route to review lane")</x:f>
        <x:v>Log source path or blocker; do not promote</x:v>
      </x:c>
      <x:c r="Z1655" s="12" t="str">
        <x:f>IF(K1655="P0","Primary seat + Hashlight/Lucerna","Seat lane")</x:f>
        <x:v>Seat lane</x:v>
      </x:c>
      <x:c r="AA1655" s="12" t="str">
        <x:f>IF(R1655="","no_claim_delta","claim_delta_present")</x:f>
        <x:v>no_claim_delta</x:v>
      </x:c>
      <x:c r="AB1655" s="12" t="str">
        <x:f>IF(S1655="","no_contradiction_delta","contradiction_delta_present")</x:f>
        <x:v>no_contradiction_delta</x:v>
      </x:c>
      <x:c r="AC1655" s="12" t="str">
        <x:f>IF(OR(ISNUMBER(SEARCH("hacker",LOWER(F1655&amp;" "&amp;H1655&amp;" "&amp;I1655&amp;" "&amp;M1655&amp;" "&amp;N1655&amp;" "&amp;T1655))),ISNUMBER(SEARCH("hacking",LOWER(F1655&amp;" "&amp;H1655&amp;" "&amp;I1655&amp;" "&amp;M1655&amp;" "&amp;N1655&amp;" "&amp;T1655))),ISNUMBER(SEARCH("bank",LOWER(F1655&amp;" "&amp;H1655&amp;" "&amp;I1655&amp;" "&amp;M1655&amp;" "&amp;N1655&amp;" "&amp;T1655))),ISNUMBER(SEARCH("banking",LOWER(F1655&amp;" "&amp;H1655&amp;" "&amp;I1655&amp;" "&amp;M1655&amp;" "&amp;N1655&amp;" "&amp;T1655)))),"PRIVATE_QUARANTINE",IF(OR(ISNUMBER(SEARCH("treasury",LOWER(F1655&amp;" "&amp;H1655&amp;" "&amp;I1655&amp;" "&amp;M1655&amp;" "&amp;N1655&amp;" "&amp;T1655))),ISNUMBER(SEARCH("debt",LOWER(F1655&amp;" "&amp;H1655&amp;" "&amp;I1655&amp;" "&amp;M1655&amp;" "&amp;N1655&amp;" "&amp;T1655))),ISNUMBER(SEARCH("bond",LOWER(F1655&amp;" "&amp;H1655&amp;" "&amp;I1655&amp;" "&amp;M1655&amp;" "&amp;N1655&amp;" "&amp;T1655))),ISNUMBER(SEARCH("transaction",LOWER(F1655&amp;" "&amp;H1655&amp;" "&amp;I1655&amp;" "&amp;M1655&amp;" "&amp;N1655&amp;" "&amp;T1655)))),"PRIVATE_REVIEW","PUBLIC_CANDIDATE"))</x:f>
        <x:v>PUBLIC_CANDIDATE</x:v>
      </x:c>
      <x:c r="AD1655" s="12" t="str">
        <x:f>IF(AC1655="PRIVATE_QUARANTINE","hacker_or_bank_trigger",IF(AC1655="PRIVATE_REVIEW","finance_risk_trigger","none"))</x:f>
        <x:v>none</x:v>
      </x:c>
      <x:c r="AE1655" s="12" t="str">
        <x:f>IF(AC1655="PUBLIC_CANDIDATE","prepare_public_github_candidate",IF(AC1655="PRIVATE_REVIEW","hold_for_private_review","quarantine_private_do_not_publish"))</x:f>
        <x:v>prepare_public_github_candidate</x:v>
      </x:c>
      <x:c r="AF1655" s="12" t="str">
        <x:f>IF(AC1655="PUBLIC_CANDIDATE","TIDELOCK + Lucerna",IF(AC1655="PRIVATE_REVIEW","AtlasBrain + Lucerna","TIDELOCK + Lucerna + Human-root"))</x:f>
        <x:v>TIDELOCK + Lucerna</x:v>
      </x:c>
      <x:c r="AG1655" s="12" t="str">
        <x:f>IF(AND(AC1655="PUBLIC_CANDIDATE",U1655&lt;&gt;"BLOCKED_PENDING_RECEIPT"),"READY_AFTER_RECEIPT","NOT_READY")</x:f>
        <x:v>NOT_READY</x:v>
      </x:c>
      <x:c r="AH1655" s="12" t="str">
        <x:f>IF(AC1655="PUBLIC_CANDIDATE","none",AD1655)</x:f>
        <x:v>none</x:v>
      </x:c>
      <x:c r="AI1655" s="12" t="str">
        <x:f>IF(AC1655="PUBLIC_CANDIDATE","archive/public_candidates/"&amp;A1655,"private_quarantine/"&amp;A1655)</x:f>
        <x:v>archive/public_candidates/SWARM-12-H06-S10</x:v>
      </x:c>
      <x:c r="AJ1655" s="12" t="str">
        <x:f>IF(AC1655="PUBLIC_CANDIDATE","public by default; still not canon","private/hold; do not publish")</x:f>
        <x:v>public by default; still not canon</x:v>
      </x:c>
      <x:c r="AK1655" s="12" t="str">
        <x:f>IF(AE1655="prepare_public_github_candidate","add receipt/status then mirror","resolve blocker before any public GitHub action")</x:f>
        <x:v>add receipt/status then mirror</x:v>
      </x:c>
    </x:row>
    <x:row r="1656">
      <x:c r="A1656" s="15" t="str">
        <x:v>SWARM-12-H06-S11</x:v>
      </x:c>
      <x:c r="B1656" s="15" t="str">
        <x:v>JoySignal</x:v>
      </x:c>
      <x:c r="C1656" s="15" t="str">
        <x:v>Rest and morale keeper</x:v>
      </x:c>
      <x:c r="D1656" s="15" t="str">
        <x:v>Ontology / Schema</x:v>
      </x:c>
      <x:c r="E1656" s="15" t="str">
        <x:v>Automation</x:v>
      </x:c>
      <x:c r="F1656" s="15" t="str">
        <x:v>Schema-map Automation — JoySignal</x:v>
      </x:c>
      <x:c r="G1656" s="15" t="str">
        <x:v>cadence / anti-burnout / safe completion language</x:v>
      </x:c>
      <x:c r="H1656" s="15" t="str">
        <x:v>source path + receipt + raw/export status + claim/edge/risk delta</x:v>
      </x:c>
      <x:c r="I1656" s="15" t="str">
        <x:v>packet/SWARM-12-H06-S11</x:v>
      </x:c>
      <x:c r="J1656" s="15" t="str">
        <x:v>TODO</x:v>
      </x:c>
      <x:c r="K1656" s="15" t="str">
        <x:v>P2</x:v>
      </x:c>
      <x:c r="L1656" s="15" t="str">
        <x:v>Done only when evidence is logged, contradiction search is noted, and boundary stamp remains non-canon unless ratified</x:v>
      </x:c>
      <x:c r="M1656" s="15" t="str">
        <x:v>candidate / staging-only / not canon / not deployed / authority none</x:v>
      </x:c>
      <x:c r="N1656" s="15" t="str">
        <x:v>Dispatch to JoySignal: complete Ontology / Schema x Automation; return deltas only, receipts required.</x:v>
      </x:c>
      <x:c r="O1656" s="15" t="str">
        <x:v>AF-KG-H06-S11</x:v>
      </x:c>
      <x:c r="P1656" s="15" t="str">
        <x:v>Unverified</x:v>
      </x:c>
      <x:c r="Q1656" s="15" t="str">
        <x:v>Not checked</x:v>
      </x:c>
      <x:c r="R1656" s="15" t="str"/>
      <x:c r="S1656" s="15" t="str"/>
      <x:c r="T1656" s="15" t="str">
        <x:v>Log first source path or blocker</x:v>
      </x:c>
      <x:c r="U1656" s="12" t="str">
        <x:f>IF(OR(P1656="Unverified",Q1656="Not checked"),"BLOCKED_PENDING_RECEIPT","READY_FOR_REVIEW")</x:f>
        <x:v>BLOCKED_PENDING_RECEIPT</x:v>
      </x:c>
      <x:c r="V1656" s="12" t="str">
        <x:f>IF(J1656="DONE","RETURNED",IF(U1656="BLOCKED_PENDING_RECEIPT","SOURCE_TOUCH_REQUIRED","IN_PROGRESS"))</x:f>
        <x:v>SOURCE_TOUCH_REQUIRED</x:v>
      </x:c>
      <x:c r="W1656" s="12" t="str">
        <x:f>IF(P1656="Unverified","missing_receipt","receipt_logged")</x:f>
        <x:v>missing_receipt</x:v>
      </x:c>
      <x:c r="X1656" s="12" t="str">
        <x:f>IF(Q1656="Not checked","raw_status_missing","raw_status_logged")</x:f>
        <x:v>raw_status_missing</x:v>
      </x:c>
      <x:c r="Y1656" s="12" t="str">
        <x:f>IF(U1656="BLOCKED_PENDING_RECEIPT","Log source path or blocker; do not promote","Route to review lane")</x:f>
        <x:v>Log source path or blocker; do not promote</x:v>
      </x:c>
      <x:c r="Z1656" s="12" t="str">
        <x:f>IF(K1656="P0","Primary seat + Hashlight/Lucerna","Seat lane")</x:f>
        <x:v>Seat lane</x:v>
      </x:c>
      <x:c r="AA1656" s="12" t="str">
        <x:f>IF(R1656="","no_claim_delta","claim_delta_present")</x:f>
        <x:v>no_claim_delta</x:v>
      </x:c>
      <x:c r="AB1656" s="12" t="str">
        <x:f>IF(S1656="","no_contradiction_delta","contradiction_delta_present")</x:f>
        <x:v>no_contradiction_delta</x:v>
      </x:c>
      <x:c r="AC1656" s="12" t="str">
        <x:f>IF(OR(ISNUMBER(SEARCH("hacker",LOWER(F1656&amp;" "&amp;H1656&amp;" "&amp;I1656&amp;" "&amp;M1656&amp;" "&amp;N1656&amp;" "&amp;T1656))),ISNUMBER(SEARCH("hacking",LOWER(F1656&amp;" "&amp;H1656&amp;" "&amp;I1656&amp;" "&amp;M1656&amp;" "&amp;N1656&amp;" "&amp;T1656))),ISNUMBER(SEARCH("bank",LOWER(F1656&amp;" "&amp;H1656&amp;" "&amp;I1656&amp;" "&amp;M1656&amp;" "&amp;N1656&amp;" "&amp;T1656))),ISNUMBER(SEARCH("banking",LOWER(F1656&amp;" "&amp;H1656&amp;" "&amp;I1656&amp;" "&amp;M1656&amp;" "&amp;N1656&amp;" "&amp;T1656)))),"PRIVATE_QUARANTINE",IF(OR(ISNUMBER(SEARCH("treasury",LOWER(F1656&amp;" "&amp;H1656&amp;" "&amp;I1656&amp;" "&amp;M1656&amp;" "&amp;N1656&amp;" "&amp;T1656))),ISNUMBER(SEARCH("debt",LOWER(F1656&amp;" "&amp;H1656&amp;" "&amp;I1656&amp;" "&amp;M1656&amp;" "&amp;N1656&amp;" "&amp;T1656))),ISNUMBER(SEARCH("bond",LOWER(F1656&amp;" "&amp;H1656&amp;" "&amp;I1656&amp;" "&amp;M1656&amp;" "&amp;N1656&amp;" "&amp;T1656))),ISNUMBER(SEARCH("transaction",LOWER(F1656&amp;" "&amp;H1656&amp;" "&amp;I1656&amp;" "&amp;M1656&amp;" "&amp;N1656&amp;" "&amp;T1656)))),"PRIVATE_REVIEW","PUBLIC_CANDIDATE"))</x:f>
        <x:v>PUBLIC_CANDIDATE</x:v>
      </x:c>
      <x:c r="AD1656" s="12" t="str">
        <x:f>IF(AC1656="PRIVATE_QUARANTINE","hacker_or_bank_trigger",IF(AC1656="PRIVATE_REVIEW","finance_risk_trigger","none"))</x:f>
        <x:v>none</x:v>
      </x:c>
      <x:c r="AE1656" s="12" t="str">
        <x:f>IF(AC1656="PUBLIC_CANDIDATE","prepare_public_github_candidate",IF(AC1656="PRIVATE_REVIEW","hold_for_private_review","quarantine_private_do_not_publish"))</x:f>
        <x:v>prepare_public_github_candidate</x:v>
      </x:c>
      <x:c r="AF1656" s="12" t="str">
        <x:f>IF(AC1656="PUBLIC_CANDIDATE","TIDELOCK + Lucerna",IF(AC1656="PRIVATE_REVIEW","AtlasBrain + Lucerna","TIDELOCK + Lucerna + Human-root"))</x:f>
        <x:v>TIDELOCK + Lucerna</x:v>
      </x:c>
      <x:c r="AG1656" s="12" t="str">
        <x:f>IF(AND(AC1656="PUBLIC_CANDIDATE",U1656&lt;&gt;"BLOCKED_PENDING_RECEIPT"),"READY_AFTER_RECEIPT","NOT_READY")</x:f>
        <x:v>NOT_READY</x:v>
      </x:c>
      <x:c r="AH1656" s="12" t="str">
        <x:f>IF(AC1656="PUBLIC_CANDIDATE","none",AD1656)</x:f>
        <x:v>none</x:v>
      </x:c>
      <x:c r="AI1656" s="12" t="str">
        <x:f>IF(AC1656="PUBLIC_CANDIDATE","archive/public_candidates/"&amp;A1656,"private_quarantine/"&amp;A1656)</x:f>
        <x:v>archive/public_candidates/SWARM-12-H06-S11</x:v>
      </x:c>
      <x:c r="AJ1656" s="12" t="str">
        <x:f>IF(AC1656="PUBLIC_CANDIDATE","public by default; still not canon","private/hold; do not publish")</x:f>
        <x:v>public by default; still not canon</x:v>
      </x:c>
      <x:c r="AK1656" s="12" t="str">
        <x:f>IF(AE1656="prepare_public_github_candidate","add receipt/status then mirror","resolve blocker before any public GitHub action")</x:f>
        <x:v>add receipt/status then mirror</x:v>
      </x:c>
    </x:row>
    <x:row r="1657">
      <x:c r="A1657" s="15" t="str">
        <x:v>SWARM-12-H06-S12</x:v>
      </x:c>
      <x:c r="B1657" s="15" t="str">
        <x:v>JoySignal</x:v>
      </x:c>
      <x:c r="C1657" s="15" t="str">
        <x:v>Rest and morale keeper</x:v>
      </x:c>
      <x:c r="D1657" s="15" t="str">
        <x:v>Ontology / Schema</x:v>
      </x:c>
      <x:c r="E1657" s="15" t="str">
        <x:v>Risk / Safety</x:v>
      </x:c>
      <x:c r="F1657" s="15" t="str">
        <x:v>Schema-map Risk / Safety — JoySignal</x:v>
      </x:c>
      <x:c r="G1657" s="15" t="str">
        <x:v>cadence / anti-burnout / safe completion language</x:v>
      </x:c>
      <x:c r="H1657" s="15" t="str">
        <x:v>source path + receipt + raw/export status + claim/edge/risk delta</x:v>
      </x:c>
      <x:c r="I1657" s="15" t="str">
        <x:v>packet/SWARM-12-H06-S12</x:v>
      </x:c>
      <x:c r="J1657" s="15" t="str">
        <x:v>TODO</x:v>
      </x:c>
      <x:c r="K1657" s="15" t="str">
        <x:v>P2</x:v>
      </x:c>
      <x:c r="L1657" s="15" t="str">
        <x:v>Done only when evidence is logged, contradiction search is noted, and boundary stamp remains non-canon unless ratified</x:v>
      </x:c>
      <x:c r="M1657" s="15" t="str">
        <x:v>candidate / staging-only / not canon / not deployed / authority none</x:v>
      </x:c>
      <x:c r="N1657" s="15" t="str">
        <x:v>Dispatch to JoySignal: complete Ontology / Schema x Risk / Safety; return deltas only, receipts required.</x:v>
      </x:c>
      <x:c r="O1657" s="15" t="str">
        <x:v>AF-KG-H06-S12</x:v>
      </x:c>
      <x:c r="P1657" s="15" t="str">
        <x:v>Unverified</x:v>
      </x:c>
      <x:c r="Q1657" s="15" t="str">
        <x:v>Not checked</x:v>
      </x:c>
      <x:c r="R1657" s="15" t="str"/>
      <x:c r="S1657" s="15" t="str"/>
      <x:c r="T1657" s="15" t="str">
        <x:v>Log first source path or blocker</x:v>
      </x:c>
      <x:c r="U1657" s="12" t="str">
        <x:f>IF(OR(P1657="Unverified",Q1657="Not checked"),"BLOCKED_PENDING_RECEIPT","READY_FOR_REVIEW")</x:f>
        <x:v>BLOCKED_PENDING_RECEIPT</x:v>
      </x:c>
      <x:c r="V1657" s="12" t="str">
        <x:f>IF(J1657="DONE","RETURNED",IF(U1657="BLOCKED_PENDING_RECEIPT","SOURCE_TOUCH_REQUIRED","IN_PROGRESS"))</x:f>
        <x:v>SOURCE_TOUCH_REQUIRED</x:v>
      </x:c>
      <x:c r="W1657" s="12" t="str">
        <x:f>IF(P1657="Unverified","missing_receipt","receipt_logged")</x:f>
        <x:v>missing_receipt</x:v>
      </x:c>
      <x:c r="X1657" s="12" t="str">
        <x:f>IF(Q1657="Not checked","raw_status_missing","raw_status_logged")</x:f>
        <x:v>raw_status_missing</x:v>
      </x:c>
      <x:c r="Y1657" s="12" t="str">
        <x:f>IF(U1657="BLOCKED_PENDING_RECEIPT","Log source path or blocker; do not promote","Route to review lane")</x:f>
        <x:v>Log source path or blocker; do not promote</x:v>
      </x:c>
      <x:c r="Z1657" s="12" t="str">
        <x:f>IF(K1657="P0","Primary seat + Hashlight/Lucerna","Seat lane")</x:f>
        <x:v>Seat lane</x:v>
      </x:c>
      <x:c r="AA1657" s="12" t="str">
        <x:f>IF(R1657="","no_claim_delta","claim_delta_present")</x:f>
        <x:v>no_claim_delta</x:v>
      </x:c>
      <x:c r="AB1657" s="12" t="str">
        <x:f>IF(S1657="","no_contradiction_delta","contradiction_delta_present")</x:f>
        <x:v>no_contradiction_delta</x:v>
      </x:c>
      <x:c r="AC1657" s="12" t="str">
        <x:f>IF(OR(ISNUMBER(SEARCH("hacker",LOWER(F1657&amp;" "&amp;H1657&amp;" "&amp;I1657&amp;" "&amp;M1657&amp;" "&amp;N1657&amp;" "&amp;T1657))),ISNUMBER(SEARCH("hacking",LOWER(F1657&amp;" "&amp;H1657&amp;" "&amp;I1657&amp;" "&amp;M1657&amp;" "&amp;N1657&amp;" "&amp;T1657))),ISNUMBER(SEARCH("bank",LOWER(F1657&amp;" "&amp;H1657&amp;" "&amp;I1657&amp;" "&amp;M1657&amp;" "&amp;N1657&amp;" "&amp;T1657))),ISNUMBER(SEARCH("banking",LOWER(F1657&amp;" "&amp;H1657&amp;" "&amp;I1657&amp;" "&amp;M1657&amp;" "&amp;N1657&amp;" "&amp;T1657)))),"PRIVATE_QUARANTINE",IF(OR(ISNUMBER(SEARCH("treasury",LOWER(F1657&amp;" "&amp;H1657&amp;" "&amp;I1657&amp;" "&amp;M1657&amp;" "&amp;N1657&amp;" "&amp;T1657))),ISNUMBER(SEARCH("debt",LOWER(F1657&amp;" "&amp;H1657&amp;" "&amp;I1657&amp;" "&amp;M1657&amp;" "&amp;N1657&amp;" "&amp;T1657))),ISNUMBER(SEARCH("bond",LOWER(F1657&amp;" "&amp;H1657&amp;" "&amp;I1657&amp;" "&amp;M1657&amp;" "&amp;N1657&amp;" "&amp;T1657))),ISNUMBER(SEARCH("transaction",LOWER(F1657&amp;" "&amp;H1657&amp;" "&amp;I1657&amp;" "&amp;M1657&amp;" "&amp;N1657&amp;" "&amp;T1657)))),"PRIVATE_REVIEW","PUBLIC_CANDIDATE"))</x:f>
        <x:v>PUBLIC_CANDIDATE</x:v>
      </x:c>
      <x:c r="AD1657" s="12" t="str">
        <x:f>IF(AC1657="PRIVATE_QUARANTINE","hacker_or_bank_trigger",IF(AC1657="PRIVATE_REVIEW","finance_risk_trigger","none"))</x:f>
        <x:v>none</x:v>
      </x:c>
      <x:c r="AE1657" s="12" t="str">
        <x:f>IF(AC1657="PUBLIC_CANDIDATE","prepare_public_github_candidate",IF(AC1657="PRIVATE_REVIEW","hold_for_private_review","quarantine_private_do_not_publish"))</x:f>
        <x:v>prepare_public_github_candidate</x:v>
      </x:c>
      <x:c r="AF1657" s="12" t="str">
        <x:f>IF(AC1657="PUBLIC_CANDIDATE","TIDELOCK + Lucerna",IF(AC1657="PRIVATE_REVIEW","AtlasBrain + Lucerna","TIDELOCK + Lucerna + Human-root"))</x:f>
        <x:v>TIDELOCK + Lucerna</x:v>
      </x:c>
      <x:c r="AG1657" s="12" t="str">
        <x:f>IF(AND(AC1657="PUBLIC_CANDIDATE",U1657&lt;&gt;"BLOCKED_PENDING_RECEIPT"),"READY_AFTER_RECEIPT","NOT_READY")</x:f>
        <x:v>NOT_READY</x:v>
      </x:c>
      <x:c r="AH1657" s="12" t="str">
        <x:f>IF(AC1657="PUBLIC_CANDIDATE","none",AD1657)</x:f>
        <x:v>none</x:v>
      </x:c>
      <x:c r="AI1657" s="12" t="str">
        <x:f>IF(AC1657="PUBLIC_CANDIDATE","archive/public_candidates/"&amp;A1657,"private_quarantine/"&amp;A1657)</x:f>
        <x:v>archive/public_candidates/SWARM-12-H06-S12</x:v>
      </x:c>
      <x:c r="AJ1657" s="12" t="str">
        <x:f>IF(AC1657="PUBLIC_CANDIDATE","public by default; still not canon","private/hold; do not publish")</x:f>
        <x:v>public by default; still not canon</x:v>
      </x:c>
      <x:c r="AK1657" s="12" t="str">
        <x:f>IF(AE1657="prepare_public_github_candidate","add receipt/status then mirror","resolve blocker before any public GitHub action")</x:f>
        <x:v>add receipt/status then mirror</x:v>
      </x:c>
    </x:row>
    <x:row r="1658">
      <x:c r="A1658" s="15" t="str">
        <x:v>SWARM-12-H07-S01</x:v>
      </x:c>
      <x:c r="B1658" s="15" t="str">
        <x:v>JoySignal</x:v>
      </x:c>
      <x:c r="C1658" s="15" t="str">
        <x:v>Rest and morale keeper</x:v>
      </x:c>
      <x:c r="D1658" s="15" t="str">
        <x:v>Graph Node Proposals</x:v>
      </x:c>
      <x:c r="E1658" s="15" t="str">
        <x:v>Notion</x:v>
      </x:c>
      <x:c r="F1658" s="15" t="str">
        <x:v>Propose graph nodes for Notion — JoySignal</x:v>
      </x:c>
      <x:c r="G1658" s="15" t="str">
        <x:v>cadence / anti-burnout / safe completion language</x:v>
      </x:c>
      <x:c r="H1658" s="15" t="str">
        <x:v>source path + receipt + raw/export status + claim/edge/risk delta</x:v>
      </x:c>
      <x:c r="I1658" s="15" t="str">
        <x:v>packet/SWARM-12-H07-S01</x:v>
      </x:c>
      <x:c r="J1658" s="15" t="str">
        <x:v>TODO</x:v>
      </x:c>
      <x:c r="K1658" s="15" t="str">
        <x:v>P0</x:v>
      </x:c>
      <x:c r="L1658" s="15" t="str">
        <x:v>Done only when evidence is logged, contradiction search is noted, and boundary stamp remains non-canon unless ratified</x:v>
      </x:c>
      <x:c r="M1658" s="15" t="str">
        <x:v>candidate / staging-only / not canon / not deployed / authority none</x:v>
      </x:c>
      <x:c r="N1658" s="15" t="str">
        <x:v>Dispatch to JoySignal: complete Graph Node Proposals x Notion; return deltas only, receipts required.</x:v>
      </x:c>
      <x:c r="O1658" s="15" t="str">
        <x:v>AF-KG-H07-S01</x:v>
      </x:c>
      <x:c r="P1658" s="15" t="str">
        <x:v>Unverified</x:v>
      </x:c>
      <x:c r="Q1658" s="15" t="str">
        <x:v>Not checked</x:v>
      </x:c>
      <x:c r="R1658" s="15" t="str"/>
      <x:c r="S1658" s="15" t="str"/>
      <x:c r="T1658" s="15" t="str">
        <x:v>Log first source path or blocker</x:v>
      </x:c>
      <x:c r="U1658" s="12" t="str">
        <x:f>IF(OR(P1658="Unverified",Q1658="Not checked"),"BLOCKED_PENDING_RECEIPT","READY_FOR_REVIEW")</x:f>
        <x:v>BLOCKED_PENDING_RECEIPT</x:v>
      </x:c>
      <x:c r="V1658" s="12" t="str">
        <x:f>IF(J1658="DONE","RETURNED",IF(U1658="BLOCKED_PENDING_RECEIPT","SOURCE_TOUCH_REQUIRED","IN_PROGRESS"))</x:f>
        <x:v>SOURCE_TOUCH_REQUIRED</x:v>
      </x:c>
      <x:c r="W1658" s="12" t="str">
        <x:f>IF(P1658="Unverified","missing_receipt","receipt_logged")</x:f>
        <x:v>missing_receipt</x:v>
      </x:c>
      <x:c r="X1658" s="12" t="str">
        <x:f>IF(Q1658="Not checked","raw_status_missing","raw_status_logged")</x:f>
        <x:v>raw_status_missing</x:v>
      </x:c>
      <x:c r="Y1658" s="12" t="str">
        <x:f>IF(U1658="BLOCKED_PENDING_RECEIPT","Log source path or blocker; do not promote","Route to review lane")</x:f>
        <x:v>Log source path or blocker; do not promote</x:v>
      </x:c>
      <x:c r="Z1658" s="12" t="str">
        <x:f>IF(K1658="P0","Primary seat + Hashlight/Lucerna","Seat lane")</x:f>
        <x:v>Primary seat + Hashlight/Lucerna</x:v>
      </x:c>
      <x:c r="AA1658" s="12" t="str">
        <x:f>IF(R1658="","no_claim_delta","claim_delta_present")</x:f>
        <x:v>no_claim_delta</x:v>
      </x:c>
      <x:c r="AB1658" s="12" t="str">
        <x:f>IF(S1658="","no_contradiction_delta","contradiction_delta_present")</x:f>
        <x:v>no_contradiction_delta</x:v>
      </x:c>
      <x:c r="AC1658" s="12" t="str">
        <x:f>IF(OR(ISNUMBER(SEARCH("hacker",LOWER(F1658&amp;" "&amp;H1658&amp;" "&amp;I1658&amp;" "&amp;M1658&amp;" "&amp;N1658&amp;" "&amp;T1658))),ISNUMBER(SEARCH("hacking",LOWER(F1658&amp;" "&amp;H1658&amp;" "&amp;I1658&amp;" "&amp;M1658&amp;" "&amp;N1658&amp;" "&amp;T1658))),ISNUMBER(SEARCH("bank",LOWER(F1658&amp;" "&amp;H1658&amp;" "&amp;I1658&amp;" "&amp;M1658&amp;" "&amp;N1658&amp;" "&amp;T1658))),ISNUMBER(SEARCH("banking",LOWER(F1658&amp;" "&amp;H1658&amp;" "&amp;I1658&amp;" "&amp;M1658&amp;" "&amp;N1658&amp;" "&amp;T1658)))),"PRIVATE_QUARANTINE",IF(OR(ISNUMBER(SEARCH("treasury",LOWER(F1658&amp;" "&amp;H1658&amp;" "&amp;I1658&amp;" "&amp;M1658&amp;" "&amp;N1658&amp;" "&amp;T1658))),ISNUMBER(SEARCH("debt",LOWER(F1658&amp;" "&amp;H1658&amp;" "&amp;I1658&amp;" "&amp;M1658&amp;" "&amp;N1658&amp;" "&amp;T1658))),ISNUMBER(SEARCH("bond",LOWER(F1658&amp;" "&amp;H1658&amp;" "&amp;I1658&amp;" "&amp;M1658&amp;" "&amp;N1658&amp;" "&amp;T1658))),ISNUMBER(SEARCH("transaction",LOWER(F1658&amp;" "&amp;H1658&amp;" "&amp;I1658&amp;" "&amp;M1658&amp;" "&amp;N1658&amp;" "&amp;T1658)))),"PRIVATE_REVIEW","PUBLIC_CANDIDATE"))</x:f>
        <x:v>PUBLIC_CANDIDATE</x:v>
      </x:c>
      <x:c r="AD1658" s="12" t="str">
        <x:f>IF(AC1658="PRIVATE_QUARANTINE","hacker_or_bank_trigger",IF(AC1658="PRIVATE_REVIEW","finance_risk_trigger","none"))</x:f>
        <x:v>none</x:v>
      </x:c>
      <x:c r="AE1658" s="12" t="str">
        <x:f>IF(AC1658="PUBLIC_CANDIDATE","prepare_public_github_candidate",IF(AC1658="PRIVATE_REVIEW","hold_for_private_review","quarantine_private_do_not_publish"))</x:f>
        <x:v>prepare_public_github_candidate</x:v>
      </x:c>
      <x:c r="AF1658" s="12" t="str">
        <x:f>IF(AC1658="PUBLIC_CANDIDATE","TIDELOCK + Lucerna",IF(AC1658="PRIVATE_REVIEW","AtlasBrain + Lucerna","TIDELOCK + Lucerna + Human-root"))</x:f>
        <x:v>TIDELOCK + Lucerna</x:v>
      </x:c>
      <x:c r="AG1658" s="12" t="str">
        <x:f>IF(AND(AC1658="PUBLIC_CANDIDATE",U1658&lt;&gt;"BLOCKED_PENDING_RECEIPT"),"READY_AFTER_RECEIPT","NOT_READY")</x:f>
        <x:v>NOT_READY</x:v>
      </x:c>
      <x:c r="AH1658" s="12" t="str">
        <x:f>IF(AC1658="PUBLIC_CANDIDATE","none",AD1658)</x:f>
        <x:v>none</x:v>
      </x:c>
      <x:c r="AI1658" s="12" t="str">
        <x:f>IF(AC1658="PUBLIC_CANDIDATE","archive/public_candidates/"&amp;A1658,"private_quarantine/"&amp;A1658)</x:f>
        <x:v>archive/public_candidates/SWARM-12-H07-S01</x:v>
      </x:c>
      <x:c r="AJ1658" s="12" t="str">
        <x:f>IF(AC1658="PUBLIC_CANDIDATE","public by default; still not canon","private/hold; do not publish")</x:f>
        <x:v>public by default; still not canon</x:v>
      </x:c>
      <x:c r="AK1658" s="12" t="str">
        <x:f>IF(AE1658="prepare_public_github_candidate","add receipt/status then mirror","resolve blocker before any public GitHub action")</x:f>
        <x:v>add receipt/status then mirror</x:v>
      </x:c>
    </x:row>
    <x:row r="1659">
      <x:c r="A1659" s="15" t="str">
        <x:v>SWARM-12-H07-S02</x:v>
      </x:c>
      <x:c r="B1659" s="15" t="str">
        <x:v>JoySignal</x:v>
      </x:c>
      <x:c r="C1659" s="15" t="str">
        <x:v>Rest and morale keeper</x:v>
      </x:c>
      <x:c r="D1659" s="15" t="str">
        <x:v>Graph Node Proposals</x:v>
      </x:c>
      <x:c r="E1659" s="15" t="str">
        <x:v>Drive</x:v>
      </x:c>
      <x:c r="F1659" s="15" t="str">
        <x:v>Propose graph nodes for Drive — JoySignal</x:v>
      </x:c>
      <x:c r="G1659" s="15" t="str">
        <x:v>cadence / anti-burnout / safe completion language</x:v>
      </x:c>
      <x:c r="H1659" s="15" t="str">
        <x:v>source path + receipt + raw/export status + claim/edge/risk delta</x:v>
      </x:c>
      <x:c r="I1659" s="15" t="str">
        <x:v>packet/SWARM-12-H07-S02</x:v>
      </x:c>
      <x:c r="J1659" s="15" t="str">
        <x:v>TODO</x:v>
      </x:c>
      <x:c r="K1659" s="15" t="str">
        <x:v>P0</x:v>
      </x:c>
      <x:c r="L1659" s="15" t="str">
        <x:v>Done only when evidence is logged, contradiction search is noted, and boundary stamp remains non-canon unless ratified</x:v>
      </x:c>
      <x:c r="M1659" s="15" t="str">
        <x:v>candidate / staging-only / not canon / not deployed / authority none</x:v>
      </x:c>
      <x:c r="N1659" s="15" t="str">
        <x:v>Dispatch to JoySignal: complete Graph Node Proposals x Drive; return deltas only, receipts required.</x:v>
      </x:c>
      <x:c r="O1659" s="15" t="str">
        <x:v>AF-KG-H07-S02</x:v>
      </x:c>
      <x:c r="P1659" s="15" t="str">
        <x:v>Unverified</x:v>
      </x:c>
      <x:c r="Q1659" s="15" t="str">
        <x:v>Not checked</x:v>
      </x:c>
      <x:c r="R1659" s="15" t="str"/>
      <x:c r="S1659" s="15" t="str"/>
      <x:c r="T1659" s="15" t="str">
        <x:v>Log first source path or blocker</x:v>
      </x:c>
      <x:c r="U1659" s="12" t="str">
        <x:f>IF(OR(P1659="Unverified",Q1659="Not checked"),"BLOCKED_PENDING_RECEIPT","READY_FOR_REVIEW")</x:f>
        <x:v>BLOCKED_PENDING_RECEIPT</x:v>
      </x:c>
      <x:c r="V1659" s="12" t="str">
        <x:f>IF(J1659="DONE","RETURNED",IF(U1659="BLOCKED_PENDING_RECEIPT","SOURCE_TOUCH_REQUIRED","IN_PROGRESS"))</x:f>
        <x:v>SOURCE_TOUCH_REQUIRED</x:v>
      </x:c>
      <x:c r="W1659" s="12" t="str">
        <x:f>IF(P1659="Unverified","missing_receipt","receipt_logged")</x:f>
        <x:v>missing_receipt</x:v>
      </x:c>
      <x:c r="X1659" s="12" t="str">
        <x:f>IF(Q1659="Not checked","raw_status_missing","raw_status_logged")</x:f>
        <x:v>raw_status_missing</x:v>
      </x:c>
      <x:c r="Y1659" s="12" t="str">
        <x:f>IF(U1659="BLOCKED_PENDING_RECEIPT","Log source path or blocker; do not promote","Route to review lane")</x:f>
        <x:v>Log source path or blocker; do not promote</x:v>
      </x:c>
      <x:c r="Z1659" s="12" t="str">
        <x:f>IF(K1659="P0","Primary seat + Hashlight/Lucerna","Seat lane")</x:f>
        <x:v>Primary seat + Hashlight/Lucerna</x:v>
      </x:c>
      <x:c r="AA1659" s="12" t="str">
        <x:f>IF(R1659="","no_claim_delta","claim_delta_present")</x:f>
        <x:v>no_claim_delta</x:v>
      </x:c>
      <x:c r="AB1659" s="12" t="str">
        <x:f>IF(S1659="","no_contradiction_delta","contradiction_delta_present")</x:f>
        <x:v>no_contradiction_delta</x:v>
      </x:c>
      <x:c r="AC1659" s="12" t="str">
        <x:f>IF(OR(ISNUMBER(SEARCH("hacker",LOWER(F1659&amp;" "&amp;H1659&amp;" "&amp;I1659&amp;" "&amp;M1659&amp;" "&amp;N1659&amp;" "&amp;T1659))),ISNUMBER(SEARCH("hacking",LOWER(F1659&amp;" "&amp;H1659&amp;" "&amp;I1659&amp;" "&amp;M1659&amp;" "&amp;N1659&amp;" "&amp;T1659))),ISNUMBER(SEARCH("bank",LOWER(F1659&amp;" "&amp;H1659&amp;" "&amp;I1659&amp;" "&amp;M1659&amp;" "&amp;N1659&amp;" "&amp;T1659))),ISNUMBER(SEARCH("banking",LOWER(F1659&amp;" "&amp;H1659&amp;" "&amp;I1659&amp;" "&amp;M1659&amp;" "&amp;N1659&amp;" "&amp;T1659)))),"PRIVATE_QUARANTINE",IF(OR(ISNUMBER(SEARCH("treasury",LOWER(F1659&amp;" "&amp;H1659&amp;" "&amp;I1659&amp;" "&amp;M1659&amp;" "&amp;N1659&amp;" "&amp;T1659))),ISNUMBER(SEARCH("debt",LOWER(F1659&amp;" "&amp;H1659&amp;" "&amp;I1659&amp;" "&amp;M1659&amp;" "&amp;N1659&amp;" "&amp;T1659))),ISNUMBER(SEARCH("bond",LOWER(F1659&amp;" "&amp;H1659&amp;" "&amp;I1659&amp;" "&amp;M1659&amp;" "&amp;N1659&amp;" "&amp;T1659))),ISNUMBER(SEARCH("transaction",LOWER(F1659&amp;" "&amp;H1659&amp;" "&amp;I1659&amp;" "&amp;M1659&amp;" "&amp;N1659&amp;" "&amp;T1659)))),"PRIVATE_REVIEW","PUBLIC_CANDIDATE"))</x:f>
        <x:v>PUBLIC_CANDIDATE</x:v>
      </x:c>
      <x:c r="AD1659" s="12" t="str">
        <x:f>IF(AC1659="PRIVATE_QUARANTINE","hacker_or_bank_trigger",IF(AC1659="PRIVATE_REVIEW","finance_risk_trigger","none"))</x:f>
        <x:v>none</x:v>
      </x:c>
      <x:c r="AE1659" s="12" t="str">
        <x:f>IF(AC1659="PUBLIC_CANDIDATE","prepare_public_github_candidate",IF(AC1659="PRIVATE_REVIEW","hold_for_private_review","quarantine_private_do_not_publish"))</x:f>
        <x:v>prepare_public_github_candidate</x:v>
      </x:c>
      <x:c r="AF1659" s="12" t="str">
        <x:f>IF(AC1659="PUBLIC_CANDIDATE","TIDELOCK + Lucerna",IF(AC1659="PRIVATE_REVIEW","AtlasBrain + Lucerna","TIDELOCK + Lucerna + Human-root"))</x:f>
        <x:v>TIDELOCK + Lucerna</x:v>
      </x:c>
      <x:c r="AG1659" s="12" t="str">
        <x:f>IF(AND(AC1659="PUBLIC_CANDIDATE",U1659&lt;&gt;"BLOCKED_PENDING_RECEIPT"),"READY_AFTER_RECEIPT","NOT_READY")</x:f>
        <x:v>NOT_READY</x:v>
      </x:c>
      <x:c r="AH1659" s="12" t="str">
        <x:f>IF(AC1659="PUBLIC_CANDIDATE","none",AD1659)</x:f>
        <x:v>none</x:v>
      </x:c>
      <x:c r="AI1659" s="12" t="str">
        <x:f>IF(AC1659="PUBLIC_CANDIDATE","archive/public_candidates/"&amp;A1659,"private_quarantine/"&amp;A1659)</x:f>
        <x:v>archive/public_candidates/SWARM-12-H07-S02</x:v>
      </x:c>
      <x:c r="AJ1659" s="12" t="str">
        <x:f>IF(AC1659="PUBLIC_CANDIDATE","public by default; still not canon","private/hold; do not publish")</x:f>
        <x:v>public by default; still not canon</x:v>
      </x:c>
      <x:c r="AK1659" s="12" t="str">
        <x:f>IF(AE1659="prepare_public_github_candidate","add receipt/status then mirror","resolve blocker before any public GitHub action")</x:f>
        <x:v>add receipt/status then mirror</x:v>
      </x:c>
    </x:row>
    <x:row r="1660">
      <x:c r="A1660" s="15" t="str">
        <x:v>SWARM-12-H07-S03</x:v>
      </x:c>
      <x:c r="B1660" s="15" t="str">
        <x:v>JoySignal</x:v>
      </x:c>
      <x:c r="C1660" s="15" t="str">
        <x:v>Rest and morale keeper</x:v>
      </x:c>
      <x:c r="D1660" s="15" t="str">
        <x:v>Graph Node Proposals</x:v>
      </x:c>
      <x:c r="E1660" s="15" t="str">
        <x:v>GitHub</x:v>
      </x:c>
      <x:c r="F1660" s="15" t="str">
        <x:v>Propose graph nodes for GitHub — JoySignal</x:v>
      </x:c>
      <x:c r="G1660" s="15" t="str">
        <x:v>cadence / anti-burnout / safe completion language</x:v>
      </x:c>
      <x:c r="H1660" s="15" t="str">
        <x:v>source path + receipt + raw/export status + claim/edge/risk delta</x:v>
      </x:c>
      <x:c r="I1660" s="15" t="str">
        <x:v>packet/SWARM-12-H07-S03</x:v>
      </x:c>
      <x:c r="J1660" s="15" t="str">
        <x:v>TODO</x:v>
      </x:c>
      <x:c r="K1660" s="15" t="str">
        <x:v>P0</x:v>
      </x:c>
      <x:c r="L1660" s="15" t="str">
        <x:v>Done only when evidence is logged, contradiction search is noted, and boundary stamp remains non-canon unless ratified</x:v>
      </x:c>
      <x:c r="M1660" s="15" t="str">
        <x:v>candidate / staging-only / not canon / not deployed / authority none</x:v>
      </x:c>
      <x:c r="N1660" s="15" t="str">
        <x:v>Dispatch to JoySignal: complete Graph Node Proposals x GitHub; return deltas only, receipts required.</x:v>
      </x:c>
      <x:c r="O1660" s="15" t="str">
        <x:v>AF-KG-H07-S03</x:v>
      </x:c>
      <x:c r="P1660" s="15" t="str">
        <x:v>Unverified</x:v>
      </x:c>
      <x:c r="Q1660" s="15" t="str">
        <x:v>Not checked</x:v>
      </x:c>
      <x:c r="R1660" s="15" t="str"/>
      <x:c r="S1660" s="15" t="str"/>
      <x:c r="T1660" s="15" t="str">
        <x:v>Log first source path or blocker</x:v>
      </x:c>
      <x:c r="U1660" s="12" t="str">
        <x:f>IF(OR(P1660="Unverified",Q1660="Not checked"),"BLOCKED_PENDING_RECEIPT","READY_FOR_REVIEW")</x:f>
        <x:v>BLOCKED_PENDING_RECEIPT</x:v>
      </x:c>
      <x:c r="V1660" s="12" t="str">
        <x:f>IF(J1660="DONE","RETURNED",IF(U1660="BLOCKED_PENDING_RECEIPT","SOURCE_TOUCH_REQUIRED","IN_PROGRESS"))</x:f>
        <x:v>SOURCE_TOUCH_REQUIRED</x:v>
      </x:c>
      <x:c r="W1660" s="12" t="str">
        <x:f>IF(P1660="Unverified","missing_receipt","receipt_logged")</x:f>
        <x:v>missing_receipt</x:v>
      </x:c>
      <x:c r="X1660" s="12" t="str">
        <x:f>IF(Q1660="Not checked","raw_status_missing","raw_status_logged")</x:f>
        <x:v>raw_status_missing</x:v>
      </x:c>
      <x:c r="Y1660" s="12" t="str">
        <x:f>IF(U1660="BLOCKED_PENDING_RECEIPT","Log source path or blocker; do not promote","Route to review lane")</x:f>
        <x:v>Log source path or blocker; do not promote</x:v>
      </x:c>
      <x:c r="Z1660" s="12" t="str">
        <x:f>IF(K1660="P0","Primary seat + Hashlight/Lucerna","Seat lane")</x:f>
        <x:v>Primary seat + Hashlight/Lucerna</x:v>
      </x:c>
      <x:c r="AA1660" s="12" t="str">
        <x:f>IF(R1660="","no_claim_delta","claim_delta_present")</x:f>
        <x:v>no_claim_delta</x:v>
      </x:c>
      <x:c r="AB1660" s="12" t="str">
        <x:f>IF(S1660="","no_contradiction_delta","contradiction_delta_present")</x:f>
        <x:v>no_contradiction_delta</x:v>
      </x:c>
      <x:c r="AC1660" s="12" t="str">
        <x:f>IF(OR(ISNUMBER(SEARCH("hacker",LOWER(F1660&amp;" "&amp;H1660&amp;" "&amp;I1660&amp;" "&amp;M1660&amp;" "&amp;N1660&amp;" "&amp;T1660))),ISNUMBER(SEARCH("hacking",LOWER(F1660&amp;" "&amp;H1660&amp;" "&amp;I1660&amp;" "&amp;M1660&amp;" "&amp;N1660&amp;" "&amp;T1660))),ISNUMBER(SEARCH("bank",LOWER(F1660&amp;" "&amp;H1660&amp;" "&amp;I1660&amp;" "&amp;M1660&amp;" "&amp;N1660&amp;" "&amp;T1660))),ISNUMBER(SEARCH("banking",LOWER(F1660&amp;" "&amp;H1660&amp;" "&amp;I1660&amp;" "&amp;M1660&amp;" "&amp;N1660&amp;" "&amp;T1660)))),"PRIVATE_QUARANTINE",IF(OR(ISNUMBER(SEARCH("treasury",LOWER(F1660&amp;" "&amp;H1660&amp;" "&amp;I1660&amp;" "&amp;M1660&amp;" "&amp;N1660&amp;" "&amp;T1660))),ISNUMBER(SEARCH("debt",LOWER(F1660&amp;" "&amp;H1660&amp;" "&amp;I1660&amp;" "&amp;M1660&amp;" "&amp;N1660&amp;" "&amp;T1660))),ISNUMBER(SEARCH("bond",LOWER(F1660&amp;" "&amp;H1660&amp;" "&amp;I1660&amp;" "&amp;M1660&amp;" "&amp;N1660&amp;" "&amp;T1660))),ISNUMBER(SEARCH("transaction",LOWER(F1660&amp;" "&amp;H1660&amp;" "&amp;I1660&amp;" "&amp;M1660&amp;" "&amp;N1660&amp;" "&amp;T1660)))),"PRIVATE_REVIEW","PUBLIC_CANDIDATE"))</x:f>
        <x:v>PUBLIC_CANDIDATE</x:v>
      </x:c>
      <x:c r="AD1660" s="12" t="str">
        <x:f>IF(AC1660="PRIVATE_QUARANTINE","hacker_or_bank_trigger",IF(AC1660="PRIVATE_REVIEW","finance_risk_trigger","none"))</x:f>
        <x:v>none</x:v>
      </x:c>
      <x:c r="AE1660" s="12" t="str">
        <x:f>IF(AC1660="PUBLIC_CANDIDATE","prepare_public_github_candidate",IF(AC1660="PRIVATE_REVIEW","hold_for_private_review","quarantine_private_do_not_publish"))</x:f>
        <x:v>prepare_public_github_candidate</x:v>
      </x:c>
      <x:c r="AF1660" s="12" t="str">
        <x:f>IF(AC1660="PUBLIC_CANDIDATE","TIDELOCK + Lucerna",IF(AC1660="PRIVATE_REVIEW","AtlasBrain + Lucerna","TIDELOCK + Lucerna + Human-root"))</x:f>
        <x:v>TIDELOCK + Lucerna</x:v>
      </x:c>
      <x:c r="AG1660" s="12" t="str">
        <x:f>IF(AND(AC1660="PUBLIC_CANDIDATE",U1660&lt;&gt;"BLOCKED_PENDING_RECEIPT"),"READY_AFTER_RECEIPT","NOT_READY")</x:f>
        <x:v>NOT_READY</x:v>
      </x:c>
      <x:c r="AH1660" s="12" t="str">
        <x:f>IF(AC1660="PUBLIC_CANDIDATE","none",AD1660)</x:f>
        <x:v>none</x:v>
      </x:c>
      <x:c r="AI1660" s="12" t="str">
        <x:f>IF(AC1660="PUBLIC_CANDIDATE","archive/public_candidates/"&amp;A1660,"private_quarantine/"&amp;A1660)</x:f>
        <x:v>archive/public_candidates/SWARM-12-H07-S03</x:v>
      </x:c>
      <x:c r="AJ1660" s="12" t="str">
        <x:f>IF(AC1660="PUBLIC_CANDIDATE","public by default; still not canon","private/hold; do not publish")</x:f>
        <x:v>public by default; still not canon</x:v>
      </x:c>
      <x:c r="AK1660" s="12" t="str">
        <x:f>IF(AE1660="prepare_public_github_candidate","add receipt/status then mirror","resolve blocker before any public GitHub action")</x:f>
        <x:v>add receipt/status then mirror</x:v>
      </x:c>
    </x:row>
    <x:row r="1661">
      <x:c r="A1661" s="15" t="str">
        <x:v>SWARM-12-H07-S04</x:v>
      </x:c>
      <x:c r="B1661" s="15" t="str">
        <x:v>JoySignal</x:v>
      </x:c>
      <x:c r="C1661" s="15" t="str">
        <x:v>Rest and morale keeper</x:v>
      </x:c>
      <x:c r="D1661" s="15" t="str">
        <x:v>Graph Node Proposals</x:v>
      </x:c>
      <x:c r="E1661" s="15" t="str">
        <x:v>Gamma</x:v>
      </x:c>
      <x:c r="F1661" s="15" t="str">
        <x:v>Propose graph nodes for Gamma — JoySignal</x:v>
      </x:c>
      <x:c r="G1661" s="15" t="str">
        <x:v>cadence / anti-burnout / safe completion language</x:v>
      </x:c>
      <x:c r="H1661" s="15" t="str">
        <x:v>source path + receipt + raw/export status + claim/edge/risk delta</x:v>
      </x:c>
      <x:c r="I1661" s="15" t="str">
        <x:v>packet/SWARM-12-H07-S04</x:v>
      </x:c>
      <x:c r="J1661" s="15" t="str">
        <x:v>TODO</x:v>
      </x:c>
      <x:c r="K1661" s="15" t="str">
        <x:v>P1</x:v>
      </x:c>
      <x:c r="L1661" s="15" t="str">
        <x:v>Done only when evidence is logged, contradiction search is noted, and boundary stamp remains non-canon unless ratified</x:v>
      </x:c>
      <x:c r="M1661" s="15" t="str">
        <x:v>candidate / staging-only / not canon / not deployed / authority none</x:v>
      </x:c>
      <x:c r="N1661" s="15" t="str">
        <x:v>Dispatch to JoySignal: complete Graph Node Proposals x Gamma; return deltas only, receipts required.</x:v>
      </x:c>
      <x:c r="O1661" s="15" t="str">
        <x:v>AF-KG-H07-S04</x:v>
      </x:c>
      <x:c r="P1661" s="15" t="str">
        <x:v>Unverified</x:v>
      </x:c>
      <x:c r="Q1661" s="15" t="str">
        <x:v>Not checked</x:v>
      </x:c>
      <x:c r="R1661" s="15" t="str"/>
      <x:c r="S1661" s="15" t="str"/>
      <x:c r="T1661" s="15" t="str">
        <x:v>Log first source path or blocker</x:v>
      </x:c>
      <x:c r="U1661" s="12" t="str">
        <x:f>IF(OR(P1661="Unverified",Q1661="Not checked"),"BLOCKED_PENDING_RECEIPT","READY_FOR_REVIEW")</x:f>
        <x:v>BLOCKED_PENDING_RECEIPT</x:v>
      </x:c>
      <x:c r="V1661" s="12" t="str">
        <x:f>IF(J1661="DONE","RETURNED",IF(U1661="BLOCKED_PENDING_RECEIPT","SOURCE_TOUCH_REQUIRED","IN_PROGRESS"))</x:f>
        <x:v>SOURCE_TOUCH_REQUIRED</x:v>
      </x:c>
      <x:c r="W1661" s="12" t="str">
        <x:f>IF(P1661="Unverified","missing_receipt","receipt_logged")</x:f>
        <x:v>missing_receipt</x:v>
      </x:c>
      <x:c r="X1661" s="12" t="str">
        <x:f>IF(Q1661="Not checked","raw_status_missing","raw_status_logged")</x:f>
        <x:v>raw_status_missing</x:v>
      </x:c>
      <x:c r="Y1661" s="12" t="str">
        <x:f>IF(U1661="BLOCKED_PENDING_RECEIPT","Log source path or blocker; do not promote","Route to review lane")</x:f>
        <x:v>Log source path or blocker; do not promote</x:v>
      </x:c>
      <x:c r="Z1661" s="12" t="str">
        <x:f>IF(K1661="P0","Primary seat + Hashlight/Lucerna","Seat lane")</x:f>
        <x:v>Seat lane</x:v>
      </x:c>
      <x:c r="AA1661" s="12" t="str">
        <x:f>IF(R1661="","no_claim_delta","claim_delta_present")</x:f>
        <x:v>no_claim_delta</x:v>
      </x:c>
      <x:c r="AB1661" s="12" t="str">
        <x:f>IF(S1661="","no_contradiction_delta","contradiction_delta_present")</x:f>
        <x:v>no_contradiction_delta</x:v>
      </x:c>
      <x:c r="AC1661" s="12" t="str">
        <x:f>IF(OR(ISNUMBER(SEARCH("hacker",LOWER(F1661&amp;" "&amp;H1661&amp;" "&amp;I1661&amp;" "&amp;M1661&amp;" "&amp;N1661&amp;" "&amp;T1661))),ISNUMBER(SEARCH("hacking",LOWER(F1661&amp;" "&amp;H1661&amp;" "&amp;I1661&amp;" "&amp;M1661&amp;" "&amp;N1661&amp;" "&amp;T1661))),ISNUMBER(SEARCH("bank",LOWER(F1661&amp;" "&amp;H1661&amp;" "&amp;I1661&amp;" "&amp;M1661&amp;" "&amp;N1661&amp;" "&amp;T1661))),ISNUMBER(SEARCH("banking",LOWER(F1661&amp;" "&amp;H1661&amp;" "&amp;I1661&amp;" "&amp;M1661&amp;" "&amp;N1661&amp;" "&amp;T1661)))),"PRIVATE_QUARANTINE",IF(OR(ISNUMBER(SEARCH("treasury",LOWER(F1661&amp;" "&amp;H1661&amp;" "&amp;I1661&amp;" "&amp;M1661&amp;" "&amp;N1661&amp;" "&amp;T1661))),ISNUMBER(SEARCH("debt",LOWER(F1661&amp;" "&amp;H1661&amp;" "&amp;I1661&amp;" "&amp;M1661&amp;" "&amp;N1661&amp;" "&amp;T1661))),ISNUMBER(SEARCH("bond",LOWER(F1661&amp;" "&amp;H1661&amp;" "&amp;I1661&amp;" "&amp;M1661&amp;" "&amp;N1661&amp;" "&amp;T1661))),ISNUMBER(SEARCH("transaction",LOWER(F1661&amp;" "&amp;H1661&amp;" "&amp;I1661&amp;" "&amp;M1661&amp;" "&amp;N1661&amp;" "&amp;T1661)))),"PRIVATE_REVIEW","PUBLIC_CANDIDATE"))</x:f>
        <x:v>PUBLIC_CANDIDATE</x:v>
      </x:c>
      <x:c r="AD1661" s="12" t="str">
        <x:f>IF(AC1661="PRIVATE_QUARANTINE","hacker_or_bank_trigger",IF(AC1661="PRIVATE_REVIEW","finance_risk_trigger","none"))</x:f>
        <x:v>none</x:v>
      </x:c>
      <x:c r="AE1661" s="12" t="str">
        <x:f>IF(AC1661="PUBLIC_CANDIDATE","prepare_public_github_candidate",IF(AC1661="PRIVATE_REVIEW","hold_for_private_review","quarantine_private_do_not_publish"))</x:f>
        <x:v>prepare_public_github_candidate</x:v>
      </x:c>
      <x:c r="AF1661" s="12" t="str">
        <x:f>IF(AC1661="PUBLIC_CANDIDATE","TIDELOCK + Lucerna",IF(AC1661="PRIVATE_REVIEW","AtlasBrain + Lucerna","TIDELOCK + Lucerna + Human-root"))</x:f>
        <x:v>TIDELOCK + Lucerna</x:v>
      </x:c>
      <x:c r="AG1661" s="12" t="str">
        <x:f>IF(AND(AC1661="PUBLIC_CANDIDATE",U1661&lt;&gt;"BLOCKED_PENDING_RECEIPT"),"READY_AFTER_RECEIPT","NOT_READY")</x:f>
        <x:v>NOT_READY</x:v>
      </x:c>
      <x:c r="AH1661" s="12" t="str">
        <x:f>IF(AC1661="PUBLIC_CANDIDATE","none",AD1661)</x:f>
        <x:v>none</x:v>
      </x:c>
      <x:c r="AI1661" s="12" t="str">
        <x:f>IF(AC1661="PUBLIC_CANDIDATE","archive/public_candidates/"&amp;A1661,"private_quarantine/"&amp;A1661)</x:f>
        <x:v>archive/public_candidates/SWARM-12-H07-S04</x:v>
      </x:c>
      <x:c r="AJ1661" s="12" t="str">
        <x:f>IF(AC1661="PUBLIC_CANDIDATE","public by default; still not canon","private/hold; do not publish")</x:f>
        <x:v>public by default; still not canon</x:v>
      </x:c>
      <x:c r="AK1661" s="12" t="str">
        <x:f>IF(AE1661="prepare_public_github_candidate","add receipt/status then mirror","resolve blocker before any public GitHub action")</x:f>
        <x:v>add receipt/status then mirror</x:v>
      </x:c>
    </x:row>
    <x:row r="1662">
      <x:c r="A1662" s="15" t="str">
        <x:v>SWARM-12-H07-S05</x:v>
      </x:c>
      <x:c r="B1662" s="15" t="str">
        <x:v>JoySignal</x:v>
      </x:c>
      <x:c r="C1662" s="15" t="str">
        <x:v>Rest and morale keeper</x:v>
      </x:c>
      <x:c r="D1662" s="15" t="str">
        <x:v>Graph Node Proposals</x:v>
      </x:c>
      <x:c r="E1662" s="15" t="str">
        <x:v>Chat</x:v>
      </x:c>
      <x:c r="F1662" s="15" t="str">
        <x:v>Propose graph nodes for Chat — JoySignal</x:v>
      </x:c>
      <x:c r="G1662" s="15" t="str">
        <x:v>cadence / anti-burnout / safe completion language</x:v>
      </x:c>
      <x:c r="H1662" s="15" t="str">
        <x:v>source path + receipt + raw/export status + claim/edge/risk delta</x:v>
      </x:c>
      <x:c r="I1662" s="15" t="str">
        <x:v>packet/SWARM-12-H07-S05</x:v>
      </x:c>
      <x:c r="J1662" s="15" t="str">
        <x:v>TODO</x:v>
      </x:c>
      <x:c r="K1662" s="15" t="str">
        <x:v>P1</x:v>
      </x:c>
      <x:c r="L1662" s="15" t="str">
        <x:v>Done only when evidence is logged, contradiction search is noted, and boundary stamp remains non-canon unless ratified</x:v>
      </x:c>
      <x:c r="M1662" s="15" t="str">
        <x:v>candidate / staging-only / not canon / not deployed / authority none</x:v>
      </x:c>
      <x:c r="N1662" s="15" t="str">
        <x:v>Dispatch to JoySignal: complete Graph Node Proposals x Chat; return deltas only, receipts required.</x:v>
      </x:c>
      <x:c r="O1662" s="15" t="str">
        <x:v>AF-KG-H07-S05</x:v>
      </x:c>
      <x:c r="P1662" s="15" t="str">
        <x:v>Unverified</x:v>
      </x:c>
      <x:c r="Q1662" s="15" t="str">
        <x:v>Not checked</x:v>
      </x:c>
      <x:c r="R1662" s="15" t="str"/>
      <x:c r="S1662" s="15" t="str"/>
      <x:c r="T1662" s="15" t="str">
        <x:v>Log first source path or blocker</x:v>
      </x:c>
      <x:c r="U1662" s="12" t="str">
        <x:f>IF(OR(P1662="Unverified",Q1662="Not checked"),"BLOCKED_PENDING_RECEIPT","READY_FOR_REVIEW")</x:f>
        <x:v>BLOCKED_PENDING_RECEIPT</x:v>
      </x:c>
      <x:c r="V1662" s="12" t="str">
        <x:f>IF(J1662="DONE","RETURNED",IF(U1662="BLOCKED_PENDING_RECEIPT","SOURCE_TOUCH_REQUIRED","IN_PROGRESS"))</x:f>
        <x:v>SOURCE_TOUCH_REQUIRED</x:v>
      </x:c>
      <x:c r="W1662" s="12" t="str">
        <x:f>IF(P1662="Unverified","missing_receipt","receipt_logged")</x:f>
        <x:v>missing_receipt</x:v>
      </x:c>
      <x:c r="X1662" s="12" t="str">
        <x:f>IF(Q1662="Not checked","raw_status_missing","raw_status_logged")</x:f>
        <x:v>raw_status_missing</x:v>
      </x:c>
      <x:c r="Y1662" s="12" t="str">
        <x:f>IF(U1662="BLOCKED_PENDING_RECEIPT","Log source path or blocker; do not promote","Route to review lane")</x:f>
        <x:v>Log source path or blocker; do not promote</x:v>
      </x:c>
      <x:c r="Z1662" s="12" t="str">
        <x:f>IF(K1662="P0","Primary seat + Hashlight/Lucerna","Seat lane")</x:f>
        <x:v>Seat lane</x:v>
      </x:c>
      <x:c r="AA1662" s="12" t="str">
        <x:f>IF(R1662="","no_claim_delta","claim_delta_present")</x:f>
        <x:v>no_claim_delta</x:v>
      </x:c>
      <x:c r="AB1662" s="12" t="str">
        <x:f>IF(S1662="","no_contradiction_delta","contradiction_delta_present")</x:f>
        <x:v>no_contradiction_delta</x:v>
      </x:c>
      <x:c r="AC1662" s="12" t="str">
        <x:f>IF(OR(ISNUMBER(SEARCH("hacker",LOWER(F1662&amp;" "&amp;H1662&amp;" "&amp;I1662&amp;" "&amp;M1662&amp;" "&amp;N1662&amp;" "&amp;T1662))),ISNUMBER(SEARCH("hacking",LOWER(F1662&amp;" "&amp;H1662&amp;" "&amp;I1662&amp;" "&amp;M1662&amp;" "&amp;N1662&amp;" "&amp;T1662))),ISNUMBER(SEARCH("bank",LOWER(F1662&amp;" "&amp;H1662&amp;" "&amp;I1662&amp;" "&amp;M1662&amp;" "&amp;N1662&amp;" "&amp;T1662))),ISNUMBER(SEARCH("banking",LOWER(F1662&amp;" "&amp;H1662&amp;" "&amp;I1662&amp;" "&amp;M1662&amp;" "&amp;N1662&amp;" "&amp;T1662)))),"PRIVATE_QUARANTINE",IF(OR(ISNUMBER(SEARCH("treasury",LOWER(F1662&amp;" "&amp;H1662&amp;" "&amp;I1662&amp;" "&amp;M1662&amp;" "&amp;N1662&amp;" "&amp;T1662))),ISNUMBER(SEARCH("debt",LOWER(F1662&amp;" "&amp;H1662&amp;" "&amp;I1662&amp;" "&amp;M1662&amp;" "&amp;N1662&amp;" "&amp;T1662))),ISNUMBER(SEARCH("bond",LOWER(F1662&amp;" "&amp;H1662&amp;" "&amp;I1662&amp;" "&amp;M1662&amp;" "&amp;N1662&amp;" "&amp;T1662))),ISNUMBER(SEARCH("transaction",LOWER(F1662&amp;" "&amp;H1662&amp;" "&amp;I1662&amp;" "&amp;M1662&amp;" "&amp;N1662&amp;" "&amp;T1662)))),"PRIVATE_REVIEW","PUBLIC_CANDIDATE"))</x:f>
        <x:v>PUBLIC_CANDIDATE</x:v>
      </x:c>
      <x:c r="AD1662" s="12" t="str">
        <x:f>IF(AC1662="PRIVATE_QUARANTINE","hacker_or_bank_trigger",IF(AC1662="PRIVATE_REVIEW","finance_risk_trigger","none"))</x:f>
        <x:v>none</x:v>
      </x:c>
      <x:c r="AE1662" s="12" t="str">
        <x:f>IF(AC1662="PUBLIC_CANDIDATE","prepare_public_github_candidate",IF(AC1662="PRIVATE_REVIEW","hold_for_private_review","quarantine_private_do_not_publish"))</x:f>
        <x:v>prepare_public_github_candidate</x:v>
      </x:c>
      <x:c r="AF1662" s="12" t="str">
        <x:f>IF(AC1662="PUBLIC_CANDIDATE","TIDELOCK + Lucerna",IF(AC1662="PRIVATE_REVIEW","AtlasBrain + Lucerna","TIDELOCK + Lucerna + Human-root"))</x:f>
        <x:v>TIDELOCK + Lucerna</x:v>
      </x:c>
      <x:c r="AG1662" s="12" t="str">
        <x:f>IF(AND(AC1662="PUBLIC_CANDIDATE",U1662&lt;&gt;"BLOCKED_PENDING_RECEIPT"),"READY_AFTER_RECEIPT","NOT_READY")</x:f>
        <x:v>NOT_READY</x:v>
      </x:c>
      <x:c r="AH1662" s="12" t="str">
        <x:f>IF(AC1662="PUBLIC_CANDIDATE","none",AD1662)</x:f>
        <x:v>none</x:v>
      </x:c>
      <x:c r="AI1662" s="12" t="str">
        <x:f>IF(AC1662="PUBLIC_CANDIDATE","archive/public_candidates/"&amp;A1662,"private_quarantine/"&amp;A1662)</x:f>
        <x:v>archive/public_candidates/SWARM-12-H07-S05</x:v>
      </x:c>
      <x:c r="AJ1662" s="12" t="str">
        <x:f>IF(AC1662="PUBLIC_CANDIDATE","public by default; still not canon","private/hold; do not publish")</x:f>
        <x:v>public by default; still not canon</x:v>
      </x:c>
      <x:c r="AK1662" s="12" t="str">
        <x:f>IF(AE1662="prepare_public_github_candidate","add receipt/status then mirror","resolve blocker before any public GitHub action")</x:f>
        <x:v>add receipt/status then mirror</x:v>
      </x:c>
    </x:row>
    <x:row r="1663">
      <x:c r="A1663" s="15" t="str">
        <x:v>SWARM-12-H07-S06</x:v>
      </x:c>
      <x:c r="B1663" s="15" t="str">
        <x:v>JoySignal</x:v>
      </x:c>
      <x:c r="C1663" s="15" t="str">
        <x:v>Rest and morale keeper</x:v>
      </x:c>
      <x:c r="D1663" s="15" t="str">
        <x:v>Graph Node Proposals</x:v>
      </x:c>
      <x:c r="E1663" s="15" t="str">
        <x:v>External Web</x:v>
      </x:c>
      <x:c r="F1663" s="15" t="str">
        <x:v>Propose graph nodes for External Web — JoySignal</x:v>
      </x:c>
      <x:c r="G1663" s="15" t="str">
        <x:v>cadence / anti-burnout / safe completion language</x:v>
      </x:c>
      <x:c r="H1663" s="15" t="str">
        <x:v>source path + receipt + raw/export status + claim/edge/risk delta</x:v>
      </x:c>
      <x:c r="I1663" s="15" t="str">
        <x:v>packet/SWARM-12-H07-S06</x:v>
      </x:c>
      <x:c r="J1663" s="15" t="str">
        <x:v>TODO</x:v>
      </x:c>
      <x:c r="K1663" s="15" t="str">
        <x:v>P1</x:v>
      </x:c>
      <x:c r="L1663" s="15" t="str">
        <x:v>Done only when evidence is logged, contradiction search is noted, and boundary stamp remains non-canon unless ratified</x:v>
      </x:c>
      <x:c r="M1663" s="15" t="str">
        <x:v>candidate / staging-only / not canon / not deployed / authority none</x:v>
      </x:c>
      <x:c r="N1663" s="15" t="str">
        <x:v>Dispatch to JoySignal: complete Graph Node Proposals x External Web; return deltas only, receipts required.</x:v>
      </x:c>
      <x:c r="O1663" s="15" t="str">
        <x:v>AF-KG-H07-S06</x:v>
      </x:c>
      <x:c r="P1663" s="15" t="str">
        <x:v>Unverified</x:v>
      </x:c>
      <x:c r="Q1663" s="15" t="str">
        <x:v>Not checked</x:v>
      </x:c>
      <x:c r="R1663" s="15" t="str"/>
      <x:c r="S1663" s="15" t="str"/>
      <x:c r="T1663" s="15" t="str">
        <x:v>Log first source path or blocker</x:v>
      </x:c>
      <x:c r="U1663" s="12" t="str">
        <x:f>IF(OR(P1663="Unverified",Q1663="Not checked"),"BLOCKED_PENDING_RECEIPT","READY_FOR_REVIEW")</x:f>
        <x:v>BLOCKED_PENDING_RECEIPT</x:v>
      </x:c>
      <x:c r="V1663" s="12" t="str">
        <x:f>IF(J1663="DONE","RETURNED",IF(U1663="BLOCKED_PENDING_RECEIPT","SOURCE_TOUCH_REQUIRED","IN_PROGRESS"))</x:f>
        <x:v>SOURCE_TOUCH_REQUIRED</x:v>
      </x:c>
      <x:c r="W1663" s="12" t="str">
        <x:f>IF(P1663="Unverified","missing_receipt","receipt_logged")</x:f>
        <x:v>missing_receipt</x:v>
      </x:c>
      <x:c r="X1663" s="12" t="str">
        <x:f>IF(Q1663="Not checked","raw_status_missing","raw_status_logged")</x:f>
        <x:v>raw_status_missing</x:v>
      </x:c>
      <x:c r="Y1663" s="12" t="str">
        <x:f>IF(U1663="BLOCKED_PENDING_RECEIPT","Log source path or blocker; do not promote","Route to review lane")</x:f>
        <x:v>Log source path or blocker; do not promote</x:v>
      </x:c>
      <x:c r="Z1663" s="12" t="str">
        <x:f>IF(K1663="P0","Primary seat + Hashlight/Lucerna","Seat lane")</x:f>
        <x:v>Seat lane</x:v>
      </x:c>
      <x:c r="AA1663" s="12" t="str">
        <x:f>IF(R1663="","no_claim_delta","claim_delta_present")</x:f>
        <x:v>no_claim_delta</x:v>
      </x:c>
      <x:c r="AB1663" s="12" t="str">
        <x:f>IF(S1663="","no_contradiction_delta","contradiction_delta_present")</x:f>
        <x:v>no_contradiction_delta</x:v>
      </x:c>
      <x:c r="AC1663" s="12" t="str">
        <x:f>IF(OR(ISNUMBER(SEARCH("hacker",LOWER(F1663&amp;" "&amp;H1663&amp;" "&amp;I1663&amp;" "&amp;M1663&amp;" "&amp;N1663&amp;" "&amp;T1663))),ISNUMBER(SEARCH("hacking",LOWER(F1663&amp;" "&amp;H1663&amp;" "&amp;I1663&amp;" "&amp;M1663&amp;" "&amp;N1663&amp;" "&amp;T1663))),ISNUMBER(SEARCH("bank",LOWER(F1663&amp;" "&amp;H1663&amp;" "&amp;I1663&amp;" "&amp;M1663&amp;" "&amp;N1663&amp;" "&amp;T1663))),ISNUMBER(SEARCH("banking",LOWER(F1663&amp;" "&amp;H1663&amp;" "&amp;I1663&amp;" "&amp;M1663&amp;" "&amp;N1663&amp;" "&amp;T1663)))),"PRIVATE_QUARANTINE",IF(OR(ISNUMBER(SEARCH("treasury",LOWER(F1663&amp;" "&amp;H1663&amp;" "&amp;I1663&amp;" "&amp;M1663&amp;" "&amp;N1663&amp;" "&amp;T1663))),ISNUMBER(SEARCH("debt",LOWER(F1663&amp;" "&amp;H1663&amp;" "&amp;I1663&amp;" "&amp;M1663&amp;" "&amp;N1663&amp;" "&amp;T1663))),ISNUMBER(SEARCH("bond",LOWER(F1663&amp;" "&amp;H1663&amp;" "&amp;I1663&amp;" "&amp;M1663&amp;" "&amp;N1663&amp;" "&amp;T1663))),ISNUMBER(SEARCH("transaction",LOWER(F1663&amp;" "&amp;H1663&amp;" "&amp;I1663&amp;" "&amp;M1663&amp;" "&amp;N1663&amp;" "&amp;T1663)))),"PRIVATE_REVIEW","PUBLIC_CANDIDATE"))</x:f>
        <x:v>PUBLIC_CANDIDATE</x:v>
      </x:c>
      <x:c r="AD1663" s="12" t="str">
        <x:f>IF(AC1663="PRIVATE_QUARANTINE","hacker_or_bank_trigger",IF(AC1663="PRIVATE_REVIEW","finance_risk_trigger","none"))</x:f>
        <x:v>none</x:v>
      </x:c>
      <x:c r="AE1663" s="12" t="str">
        <x:f>IF(AC1663="PUBLIC_CANDIDATE","prepare_public_github_candidate",IF(AC1663="PRIVATE_REVIEW","hold_for_private_review","quarantine_private_do_not_publish"))</x:f>
        <x:v>prepare_public_github_candidate</x:v>
      </x:c>
      <x:c r="AF1663" s="12" t="str">
        <x:f>IF(AC1663="PUBLIC_CANDIDATE","TIDELOCK + Lucerna",IF(AC1663="PRIVATE_REVIEW","AtlasBrain + Lucerna","TIDELOCK + Lucerna + Human-root"))</x:f>
        <x:v>TIDELOCK + Lucerna</x:v>
      </x:c>
      <x:c r="AG1663" s="12" t="str">
        <x:f>IF(AND(AC1663="PUBLIC_CANDIDATE",U1663&lt;&gt;"BLOCKED_PENDING_RECEIPT"),"READY_AFTER_RECEIPT","NOT_READY")</x:f>
        <x:v>NOT_READY</x:v>
      </x:c>
      <x:c r="AH1663" s="12" t="str">
        <x:f>IF(AC1663="PUBLIC_CANDIDATE","none",AD1663)</x:f>
        <x:v>none</x:v>
      </x:c>
      <x:c r="AI1663" s="12" t="str">
        <x:f>IF(AC1663="PUBLIC_CANDIDATE","archive/public_candidates/"&amp;A1663,"private_quarantine/"&amp;A1663)</x:f>
        <x:v>archive/public_candidates/SWARM-12-H07-S06</x:v>
      </x:c>
      <x:c r="AJ1663" s="12" t="str">
        <x:f>IF(AC1663="PUBLIC_CANDIDATE","public by default; still not canon","private/hold; do not publish")</x:f>
        <x:v>public by default; still not canon</x:v>
      </x:c>
      <x:c r="AK1663" s="12" t="str">
        <x:f>IF(AE1663="prepare_public_github_candidate","add receipt/status then mirror","resolve blocker before any public GitHub action")</x:f>
        <x:v>add receipt/status then mirror</x:v>
      </x:c>
    </x:row>
    <x:row r="1664">
      <x:c r="A1664" s="15" t="str">
        <x:v>SWARM-12-H07-S07</x:v>
      </x:c>
      <x:c r="B1664" s="15" t="str">
        <x:v>JoySignal</x:v>
      </x:c>
      <x:c r="C1664" s="15" t="str">
        <x:v>Rest and morale keeper</x:v>
      </x:c>
      <x:c r="D1664" s="15" t="str">
        <x:v>Graph Node Proposals</x:v>
      </x:c>
      <x:c r="E1664" s="15" t="str">
        <x:v>Planetarium</x:v>
      </x:c>
      <x:c r="F1664" s="15" t="str">
        <x:v>Propose graph nodes for Planetarium — JoySignal</x:v>
      </x:c>
      <x:c r="G1664" s="15" t="str">
        <x:v>cadence / anti-burnout / safe completion language</x:v>
      </x:c>
      <x:c r="H1664" s="15" t="str">
        <x:v>source path + receipt + raw/export status + claim/edge/risk delta</x:v>
      </x:c>
      <x:c r="I1664" s="15" t="str">
        <x:v>packet/SWARM-12-H07-S07</x:v>
      </x:c>
      <x:c r="J1664" s="15" t="str">
        <x:v>TODO</x:v>
      </x:c>
      <x:c r="K1664" s="15" t="str">
        <x:v>P1</x:v>
      </x:c>
      <x:c r="L1664" s="15" t="str">
        <x:v>Done only when evidence is logged, contradiction search is noted, and boundary stamp remains non-canon unless ratified</x:v>
      </x:c>
      <x:c r="M1664" s="15" t="str">
        <x:v>candidate / staging-only / not canon / not deployed / authority none</x:v>
      </x:c>
      <x:c r="N1664" s="15" t="str">
        <x:v>Dispatch to JoySignal: complete Graph Node Proposals x Planetarium; return deltas only, receipts required.</x:v>
      </x:c>
      <x:c r="O1664" s="15" t="str">
        <x:v>AF-KG-H07-S07</x:v>
      </x:c>
      <x:c r="P1664" s="15" t="str">
        <x:v>Unverified</x:v>
      </x:c>
      <x:c r="Q1664" s="15" t="str">
        <x:v>Not checked</x:v>
      </x:c>
      <x:c r="R1664" s="15" t="str"/>
      <x:c r="S1664" s="15" t="str"/>
      <x:c r="T1664" s="15" t="str">
        <x:v>Log first source path or blocker</x:v>
      </x:c>
      <x:c r="U1664" s="12" t="str">
        <x:f>IF(OR(P1664="Unverified",Q1664="Not checked"),"BLOCKED_PENDING_RECEIPT","READY_FOR_REVIEW")</x:f>
        <x:v>BLOCKED_PENDING_RECEIPT</x:v>
      </x:c>
      <x:c r="V1664" s="12" t="str">
        <x:f>IF(J1664="DONE","RETURNED",IF(U1664="BLOCKED_PENDING_RECEIPT","SOURCE_TOUCH_REQUIRED","IN_PROGRESS"))</x:f>
        <x:v>SOURCE_TOUCH_REQUIRED</x:v>
      </x:c>
      <x:c r="W1664" s="12" t="str">
        <x:f>IF(P1664="Unverified","missing_receipt","receipt_logged")</x:f>
        <x:v>missing_receipt</x:v>
      </x:c>
      <x:c r="X1664" s="12" t="str">
        <x:f>IF(Q1664="Not checked","raw_status_missing","raw_status_logged")</x:f>
        <x:v>raw_status_missing</x:v>
      </x:c>
      <x:c r="Y1664" s="12" t="str">
        <x:f>IF(U1664="BLOCKED_PENDING_RECEIPT","Log source path or blocker; do not promote","Route to review lane")</x:f>
        <x:v>Log source path or blocker; do not promote</x:v>
      </x:c>
      <x:c r="Z1664" s="12" t="str">
        <x:f>IF(K1664="P0","Primary seat + Hashlight/Lucerna","Seat lane")</x:f>
        <x:v>Seat lane</x:v>
      </x:c>
      <x:c r="AA1664" s="12" t="str">
        <x:f>IF(R1664="","no_claim_delta","claim_delta_present")</x:f>
        <x:v>no_claim_delta</x:v>
      </x:c>
      <x:c r="AB1664" s="12" t="str">
        <x:f>IF(S1664="","no_contradiction_delta","contradiction_delta_present")</x:f>
        <x:v>no_contradiction_delta</x:v>
      </x:c>
      <x:c r="AC1664" s="12" t="str">
        <x:f>IF(OR(ISNUMBER(SEARCH("hacker",LOWER(F1664&amp;" "&amp;H1664&amp;" "&amp;I1664&amp;" "&amp;M1664&amp;" "&amp;N1664&amp;" "&amp;T1664))),ISNUMBER(SEARCH("hacking",LOWER(F1664&amp;" "&amp;H1664&amp;" "&amp;I1664&amp;" "&amp;M1664&amp;" "&amp;N1664&amp;" "&amp;T1664))),ISNUMBER(SEARCH("bank",LOWER(F1664&amp;" "&amp;H1664&amp;" "&amp;I1664&amp;" "&amp;M1664&amp;" "&amp;N1664&amp;" "&amp;T1664))),ISNUMBER(SEARCH("banking",LOWER(F1664&amp;" "&amp;H1664&amp;" "&amp;I1664&amp;" "&amp;M1664&amp;" "&amp;N1664&amp;" "&amp;T1664)))),"PRIVATE_QUARANTINE",IF(OR(ISNUMBER(SEARCH("treasury",LOWER(F1664&amp;" "&amp;H1664&amp;" "&amp;I1664&amp;" "&amp;M1664&amp;" "&amp;N1664&amp;" "&amp;T1664))),ISNUMBER(SEARCH("debt",LOWER(F1664&amp;" "&amp;H1664&amp;" "&amp;I1664&amp;" "&amp;M1664&amp;" "&amp;N1664&amp;" "&amp;T1664))),ISNUMBER(SEARCH("bond",LOWER(F1664&amp;" "&amp;H1664&amp;" "&amp;I1664&amp;" "&amp;M1664&amp;" "&amp;N1664&amp;" "&amp;T1664))),ISNUMBER(SEARCH("transaction",LOWER(F1664&amp;" "&amp;H1664&amp;" "&amp;I1664&amp;" "&amp;M1664&amp;" "&amp;N1664&amp;" "&amp;T1664)))),"PRIVATE_REVIEW","PUBLIC_CANDIDATE"))</x:f>
        <x:v>PUBLIC_CANDIDATE</x:v>
      </x:c>
      <x:c r="AD1664" s="12" t="str">
        <x:f>IF(AC1664="PRIVATE_QUARANTINE","hacker_or_bank_trigger",IF(AC1664="PRIVATE_REVIEW","finance_risk_trigger","none"))</x:f>
        <x:v>none</x:v>
      </x:c>
      <x:c r="AE1664" s="12" t="str">
        <x:f>IF(AC1664="PUBLIC_CANDIDATE","prepare_public_github_candidate",IF(AC1664="PRIVATE_REVIEW","hold_for_private_review","quarantine_private_do_not_publish"))</x:f>
        <x:v>prepare_public_github_candidate</x:v>
      </x:c>
      <x:c r="AF1664" s="12" t="str">
        <x:f>IF(AC1664="PUBLIC_CANDIDATE","TIDELOCK + Lucerna",IF(AC1664="PRIVATE_REVIEW","AtlasBrain + Lucerna","TIDELOCK + Lucerna + Human-root"))</x:f>
        <x:v>TIDELOCK + Lucerna</x:v>
      </x:c>
      <x:c r="AG1664" s="12" t="str">
        <x:f>IF(AND(AC1664="PUBLIC_CANDIDATE",U1664&lt;&gt;"BLOCKED_PENDING_RECEIPT"),"READY_AFTER_RECEIPT","NOT_READY")</x:f>
        <x:v>NOT_READY</x:v>
      </x:c>
      <x:c r="AH1664" s="12" t="str">
        <x:f>IF(AC1664="PUBLIC_CANDIDATE","none",AD1664)</x:f>
        <x:v>none</x:v>
      </x:c>
      <x:c r="AI1664" s="12" t="str">
        <x:f>IF(AC1664="PUBLIC_CANDIDATE","archive/public_candidates/"&amp;A1664,"private_quarantine/"&amp;A1664)</x:f>
        <x:v>archive/public_candidates/SWARM-12-H07-S07</x:v>
      </x:c>
      <x:c r="AJ1664" s="12" t="str">
        <x:f>IF(AC1664="PUBLIC_CANDIDATE","public by default; still not canon","private/hold; do not publish")</x:f>
        <x:v>public by default; still not canon</x:v>
      </x:c>
      <x:c r="AK1664" s="12" t="str">
        <x:f>IF(AE1664="prepare_public_github_candidate","add receipt/status then mirror","resolve blocker before any public GitHub action")</x:f>
        <x:v>add receipt/status then mirror</x:v>
      </x:c>
    </x:row>
    <x:row r="1665">
      <x:c r="A1665" s="15" t="str">
        <x:v>SWARM-12-H07-S08</x:v>
      </x:c>
      <x:c r="B1665" s="15" t="str">
        <x:v>JoySignal</x:v>
      </x:c>
      <x:c r="C1665" s="15" t="str">
        <x:v>Rest and morale keeper</x:v>
      </x:c>
      <x:c r="D1665" s="15" t="str">
        <x:v>Graph Node Proposals</x:v>
      </x:c>
      <x:c r="E1665" s="15" t="str">
        <x:v>Sheldonbrain</x:v>
      </x:c>
      <x:c r="F1665" s="15" t="str">
        <x:v>Propose graph nodes for Sheldonbrain — JoySignal</x:v>
      </x:c>
      <x:c r="G1665" s="15" t="str">
        <x:v>cadence / anti-burnout / safe completion language</x:v>
      </x:c>
      <x:c r="H1665" s="15" t="str">
        <x:v>source path + receipt + raw/export status + claim/edge/risk delta</x:v>
      </x:c>
      <x:c r="I1665" s="15" t="str">
        <x:v>packet/SWARM-12-H07-S08</x:v>
      </x:c>
      <x:c r="J1665" s="15" t="str">
        <x:v>TODO</x:v>
      </x:c>
      <x:c r="K1665" s="15" t="str">
        <x:v>P1</x:v>
      </x:c>
      <x:c r="L1665" s="15" t="str">
        <x:v>Done only when evidence is logged, contradiction search is noted, and boundary stamp remains non-canon unless ratified</x:v>
      </x:c>
      <x:c r="M1665" s="15" t="str">
        <x:v>candidate / staging-only / not canon / not deployed / authority none</x:v>
      </x:c>
      <x:c r="N1665" s="15" t="str">
        <x:v>Dispatch to JoySignal: complete Graph Node Proposals x Sheldonbrain; return deltas only, receipts required.</x:v>
      </x:c>
      <x:c r="O1665" s="15" t="str">
        <x:v>AF-KG-H07-S08</x:v>
      </x:c>
      <x:c r="P1665" s="15" t="str">
        <x:v>Unverified</x:v>
      </x:c>
      <x:c r="Q1665" s="15" t="str">
        <x:v>Not checked</x:v>
      </x:c>
      <x:c r="R1665" s="15" t="str"/>
      <x:c r="S1665" s="15" t="str"/>
      <x:c r="T1665" s="15" t="str">
        <x:v>Log first source path or blocker</x:v>
      </x:c>
      <x:c r="U1665" s="12" t="str">
        <x:f>IF(OR(P1665="Unverified",Q1665="Not checked"),"BLOCKED_PENDING_RECEIPT","READY_FOR_REVIEW")</x:f>
        <x:v>BLOCKED_PENDING_RECEIPT</x:v>
      </x:c>
      <x:c r="V1665" s="12" t="str">
        <x:f>IF(J1665="DONE","RETURNED",IF(U1665="BLOCKED_PENDING_RECEIPT","SOURCE_TOUCH_REQUIRED","IN_PROGRESS"))</x:f>
        <x:v>SOURCE_TOUCH_REQUIRED</x:v>
      </x:c>
      <x:c r="W1665" s="12" t="str">
        <x:f>IF(P1665="Unverified","missing_receipt","receipt_logged")</x:f>
        <x:v>missing_receipt</x:v>
      </x:c>
      <x:c r="X1665" s="12" t="str">
        <x:f>IF(Q1665="Not checked","raw_status_missing","raw_status_logged")</x:f>
        <x:v>raw_status_missing</x:v>
      </x:c>
      <x:c r="Y1665" s="12" t="str">
        <x:f>IF(U1665="BLOCKED_PENDING_RECEIPT","Log source path or blocker; do not promote","Route to review lane")</x:f>
        <x:v>Log source path or blocker; do not promote</x:v>
      </x:c>
      <x:c r="Z1665" s="12" t="str">
        <x:f>IF(K1665="P0","Primary seat + Hashlight/Lucerna","Seat lane")</x:f>
        <x:v>Seat lane</x:v>
      </x:c>
      <x:c r="AA1665" s="12" t="str">
        <x:f>IF(R1665="","no_claim_delta","claim_delta_present")</x:f>
        <x:v>no_claim_delta</x:v>
      </x:c>
      <x:c r="AB1665" s="12" t="str">
        <x:f>IF(S1665="","no_contradiction_delta","contradiction_delta_present")</x:f>
        <x:v>no_contradiction_delta</x:v>
      </x:c>
      <x:c r="AC1665" s="12" t="str">
        <x:f>IF(OR(ISNUMBER(SEARCH("hacker",LOWER(F1665&amp;" "&amp;H1665&amp;" "&amp;I1665&amp;" "&amp;M1665&amp;" "&amp;N1665&amp;" "&amp;T1665))),ISNUMBER(SEARCH("hacking",LOWER(F1665&amp;" "&amp;H1665&amp;" "&amp;I1665&amp;" "&amp;M1665&amp;" "&amp;N1665&amp;" "&amp;T1665))),ISNUMBER(SEARCH("bank",LOWER(F1665&amp;" "&amp;H1665&amp;" "&amp;I1665&amp;" "&amp;M1665&amp;" "&amp;N1665&amp;" "&amp;T1665))),ISNUMBER(SEARCH("banking",LOWER(F1665&amp;" "&amp;H1665&amp;" "&amp;I1665&amp;" "&amp;M1665&amp;" "&amp;N1665&amp;" "&amp;T1665)))),"PRIVATE_QUARANTINE",IF(OR(ISNUMBER(SEARCH("treasury",LOWER(F1665&amp;" "&amp;H1665&amp;" "&amp;I1665&amp;" "&amp;M1665&amp;" "&amp;N1665&amp;" "&amp;T1665))),ISNUMBER(SEARCH("debt",LOWER(F1665&amp;" "&amp;H1665&amp;" "&amp;I1665&amp;" "&amp;M1665&amp;" "&amp;N1665&amp;" "&amp;T1665))),ISNUMBER(SEARCH("bond",LOWER(F1665&amp;" "&amp;H1665&amp;" "&amp;I1665&amp;" "&amp;M1665&amp;" "&amp;N1665&amp;" "&amp;T1665))),ISNUMBER(SEARCH("transaction",LOWER(F1665&amp;" "&amp;H1665&amp;" "&amp;I1665&amp;" "&amp;M1665&amp;" "&amp;N1665&amp;" "&amp;T1665)))),"PRIVATE_REVIEW","PUBLIC_CANDIDATE"))</x:f>
        <x:v>PUBLIC_CANDIDATE</x:v>
      </x:c>
      <x:c r="AD1665" s="12" t="str">
        <x:f>IF(AC1665="PRIVATE_QUARANTINE","hacker_or_bank_trigger",IF(AC1665="PRIVATE_REVIEW","finance_risk_trigger","none"))</x:f>
        <x:v>none</x:v>
      </x:c>
      <x:c r="AE1665" s="12" t="str">
        <x:f>IF(AC1665="PUBLIC_CANDIDATE","prepare_public_github_candidate",IF(AC1665="PRIVATE_REVIEW","hold_for_private_review","quarantine_private_do_not_publish"))</x:f>
        <x:v>prepare_public_github_candidate</x:v>
      </x:c>
      <x:c r="AF1665" s="12" t="str">
        <x:f>IF(AC1665="PUBLIC_CANDIDATE","TIDELOCK + Lucerna",IF(AC1665="PRIVATE_REVIEW","AtlasBrain + Lucerna","TIDELOCK + Lucerna + Human-root"))</x:f>
        <x:v>TIDELOCK + Lucerna</x:v>
      </x:c>
      <x:c r="AG1665" s="12" t="str">
        <x:f>IF(AND(AC1665="PUBLIC_CANDIDATE",U1665&lt;&gt;"BLOCKED_PENDING_RECEIPT"),"READY_AFTER_RECEIPT","NOT_READY")</x:f>
        <x:v>NOT_READY</x:v>
      </x:c>
      <x:c r="AH1665" s="12" t="str">
        <x:f>IF(AC1665="PUBLIC_CANDIDATE","none",AD1665)</x:f>
        <x:v>none</x:v>
      </x:c>
      <x:c r="AI1665" s="12" t="str">
        <x:f>IF(AC1665="PUBLIC_CANDIDATE","archive/public_candidates/"&amp;A1665,"private_quarantine/"&amp;A1665)</x:f>
        <x:v>archive/public_candidates/SWARM-12-H07-S08</x:v>
      </x:c>
      <x:c r="AJ1665" s="12" t="str">
        <x:f>IF(AC1665="PUBLIC_CANDIDATE","public by default; still not canon","private/hold; do not publish")</x:f>
        <x:v>public by default; still not canon</x:v>
      </x:c>
      <x:c r="AK1665" s="12" t="str">
        <x:f>IF(AE1665="prepare_public_github_candidate","add receipt/status then mirror","resolve blocker before any public GitHub action")</x:f>
        <x:v>add receipt/status then mirror</x:v>
      </x:c>
    </x:row>
    <x:row r="1666">
      <x:c r="A1666" s="15" t="str">
        <x:v>SWARM-12-H07-S09</x:v>
      </x:c>
      <x:c r="B1666" s="15" t="str">
        <x:v>JoySignal</x:v>
      </x:c>
      <x:c r="C1666" s="15" t="str">
        <x:v>Rest and morale keeper</x:v>
      </x:c>
      <x:c r="D1666" s="15" t="str">
        <x:v>Graph Node Proposals</x:v>
      </x:c>
      <x:c r="E1666" s="15" t="str">
        <x:v>Aetherforge</x:v>
      </x:c>
      <x:c r="F1666" s="15" t="str">
        <x:v>Propose graph nodes for Aetherforge — JoySignal</x:v>
      </x:c>
      <x:c r="G1666" s="15" t="str">
        <x:v>cadence / anti-burnout / safe completion language</x:v>
      </x:c>
      <x:c r="H1666" s="15" t="str">
        <x:v>source path + receipt + raw/export status + claim/edge/risk delta</x:v>
      </x:c>
      <x:c r="I1666" s="15" t="str">
        <x:v>packet/SWARM-12-H07-S09</x:v>
      </x:c>
      <x:c r="J1666" s="15" t="str">
        <x:v>TODO</x:v>
      </x:c>
      <x:c r="K1666" s="15" t="str">
        <x:v>P2</x:v>
      </x:c>
      <x:c r="L1666" s="15" t="str">
        <x:v>Done only when evidence is logged, contradiction search is noted, and boundary stamp remains non-canon unless ratified</x:v>
      </x:c>
      <x:c r="M1666" s="15" t="str">
        <x:v>candidate / staging-only / not canon / not deployed / authority none</x:v>
      </x:c>
      <x:c r="N1666" s="15" t="str">
        <x:v>Dispatch to JoySignal: complete Graph Node Proposals x Aetherforge; return deltas only, receipts required.</x:v>
      </x:c>
      <x:c r="O1666" s="15" t="str">
        <x:v>AF-KG-H07-S09</x:v>
      </x:c>
      <x:c r="P1666" s="15" t="str">
        <x:v>Unverified</x:v>
      </x:c>
      <x:c r="Q1666" s="15" t="str">
        <x:v>Not checked</x:v>
      </x:c>
      <x:c r="R1666" s="15" t="str"/>
      <x:c r="S1666" s="15" t="str"/>
      <x:c r="T1666" s="15" t="str">
        <x:v>Log first source path or blocker</x:v>
      </x:c>
      <x:c r="U1666" s="12" t="str">
        <x:f>IF(OR(P1666="Unverified",Q1666="Not checked"),"BLOCKED_PENDING_RECEIPT","READY_FOR_REVIEW")</x:f>
        <x:v>BLOCKED_PENDING_RECEIPT</x:v>
      </x:c>
      <x:c r="V1666" s="12" t="str">
        <x:f>IF(J1666="DONE","RETURNED",IF(U1666="BLOCKED_PENDING_RECEIPT","SOURCE_TOUCH_REQUIRED","IN_PROGRESS"))</x:f>
        <x:v>SOURCE_TOUCH_REQUIRED</x:v>
      </x:c>
      <x:c r="W1666" s="12" t="str">
        <x:f>IF(P1666="Unverified","missing_receipt","receipt_logged")</x:f>
        <x:v>missing_receipt</x:v>
      </x:c>
      <x:c r="X1666" s="12" t="str">
        <x:f>IF(Q1666="Not checked","raw_status_missing","raw_status_logged")</x:f>
        <x:v>raw_status_missing</x:v>
      </x:c>
      <x:c r="Y1666" s="12" t="str">
        <x:f>IF(U1666="BLOCKED_PENDING_RECEIPT","Log source path or blocker; do not promote","Route to review lane")</x:f>
        <x:v>Log source path or blocker; do not promote</x:v>
      </x:c>
      <x:c r="Z1666" s="12" t="str">
        <x:f>IF(K1666="P0","Primary seat + Hashlight/Lucerna","Seat lane")</x:f>
        <x:v>Seat lane</x:v>
      </x:c>
      <x:c r="AA1666" s="12" t="str">
        <x:f>IF(R1666="","no_claim_delta","claim_delta_present")</x:f>
        <x:v>no_claim_delta</x:v>
      </x:c>
      <x:c r="AB1666" s="12" t="str">
        <x:f>IF(S1666="","no_contradiction_delta","contradiction_delta_present")</x:f>
        <x:v>no_contradiction_delta</x:v>
      </x:c>
      <x:c r="AC1666" s="12" t="str">
        <x:f>IF(OR(ISNUMBER(SEARCH("hacker",LOWER(F1666&amp;" "&amp;H1666&amp;" "&amp;I1666&amp;" "&amp;M1666&amp;" "&amp;N1666&amp;" "&amp;T1666))),ISNUMBER(SEARCH("hacking",LOWER(F1666&amp;" "&amp;H1666&amp;" "&amp;I1666&amp;" "&amp;M1666&amp;" "&amp;N1666&amp;" "&amp;T1666))),ISNUMBER(SEARCH("bank",LOWER(F1666&amp;" "&amp;H1666&amp;" "&amp;I1666&amp;" "&amp;M1666&amp;" "&amp;N1666&amp;" "&amp;T1666))),ISNUMBER(SEARCH("banking",LOWER(F1666&amp;" "&amp;H1666&amp;" "&amp;I1666&amp;" "&amp;M1666&amp;" "&amp;N1666&amp;" "&amp;T1666)))),"PRIVATE_QUARANTINE",IF(OR(ISNUMBER(SEARCH("treasury",LOWER(F1666&amp;" "&amp;H1666&amp;" "&amp;I1666&amp;" "&amp;M1666&amp;" "&amp;N1666&amp;" "&amp;T1666))),ISNUMBER(SEARCH("debt",LOWER(F1666&amp;" "&amp;H1666&amp;" "&amp;I1666&amp;" "&amp;M1666&amp;" "&amp;N1666&amp;" "&amp;T1666))),ISNUMBER(SEARCH("bond",LOWER(F1666&amp;" "&amp;H1666&amp;" "&amp;I1666&amp;" "&amp;M1666&amp;" "&amp;N1666&amp;" "&amp;T1666))),ISNUMBER(SEARCH("transaction",LOWER(F1666&amp;" "&amp;H1666&amp;" "&amp;I1666&amp;" "&amp;M1666&amp;" "&amp;N1666&amp;" "&amp;T1666)))),"PRIVATE_REVIEW","PUBLIC_CANDIDATE"))</x:f>
        <x:v>PUBLIC_CANDIDATE</x:v>
      </x:c>
      <x:c r="AD1666" s="12" t="str">
        <x:f>IF(AC1666="PRIVATE_QUARANTINE","hacker_or_bank_trigger",IF(AC1666="PRIVATE_REVIEW","finance_risk_trigger","none"))</x:f>
        <x:v>none</x:v>
      </x:c>
      <x:c r="AE1666" s="12" t="str">
        <x:f>IF(AC1666="PUBLIC_CANDIDATE","prepare_public_github_candidate",IF(AC1666="PRIVATE_REVIEW","hold_for_private_review","quarantine_private_do_not_publish"))</x:f>
        <x:v>prepare_public_github_candidate</x:v>
      </x:c>
      <x:c r="AF1666" s="12" t="str">
        <x:f>IF(AC1666="PUBLIC_CANDIDATE","TIDELOCK + Lucerna",IF(AC1666="PRIVATE_REVIEW","AtlasBrain + Lucerna","TIDELOCK + Lucerna + Human-root"))</x:f>
        <x:v>TIDELOCK + Lucerna</x:v>
      </x:c>
      <x:c r="AG1666" s="12" t="str">
        <x:f>IF(AND(AC1666="PUBLIC_CANDIDATE",U1666&lt;&gt;"BLOCKED_PENDING_RECEIPT"),"READY_AFTER_RECEIPT","NOT_READY")</x:f>
        <x:v>NOT_READY</x:v>
      </x:c>
      <x:c r="AH1666" s="12" t="str">
        <x:f>IF(AC1666="PUBLIC_CANDIDATE","none",AD1666)</x:f>
        <x:v>none</x:v>
      </x:c>
      <x:c r="AI1666" s="12" t="str">
        <x:f>IF(AC1666="PUBLIC_CANDIDATE","archive/public_candidates/"&amp;A1666,"private_quarantine/"&amp;A1666)</x:f>
        <x:v>archive/public_candidates/SWARM-12-H07-S09</x:v>
      </x:c>
      <x:c r="AJ1666" s="12" t="str">
        <x:f>IF(AC1666="PUBLIC_CANDIDATE","public by default; still not canon","private/hold; do not publish")</x:f>
        <x:v>public by default; still not canon</x:v>
      </x:c>
      <x:c r="AK1666" s="12" t="str">
        <x:f>IF(AE1666="prepare_public_github_candidate","add receipt/status then mirror","resolve blocker before any public GitHub action")</x:f>
        <x:v>add receipt/status then mirror</x:v>
      </x:c>
    </x:row>
    <x:row r="1667">
      <x:c r="A1667" s="15" t="str">
        <x:v>SWARM-12-H07-S10</x:v>
      </x:c>
      <x:c r="B1667" s="15" t="str">
        <x:v>JoySignal</x:v>
      </x:c>
      <x:c r="C1667" s="15" t="str">
        <x:v>Rest and morale keeper</x:v>
      </x:c>
      <x:c r="D1667" s="15" t="str">
        <x:v>Graph Node Proposals</x:v>
      </x:c>
      <x:c r="E1667" s="15" t="str">
        <x:v>Human-Root</x:v>
      </x:c>
      <x:c r="F1667" s="15" t="str">
        <x:v>Propose graph nodes for Human-Root — JoySignal</x:v>
      </x:c>
      <x:c r="G1667" s="15" t="str">
        <x:v>cadence / anti-burnout / safe completion language</x:v>
      </x:c>
      <x:c r="H1667" s="15" t="str">
        <x:v>source path + receipt + raw/export status + claim/edge/risk delta</x:v>
      </x:c>
      <x:c r="I1667" s="15" t="str">
        <x:v>packet/SWARM-12-H07-S10</x:v>
      </x:c>
      <x:c r="J1667" s="15" t="str">
        <x:v>TODO</x:v>
      </x:c>
      <x:c r="K1667" s="15" t="str">
        <x:v>P2</x:v>
      </x:c>
      <x:c r="L1667" s="15" t="str">
        <x:v>Done only when evidence is logged, contradiction search is noted, and boundary stamp remains non-canon unless ratified</x:v>
      </x:c>
      <x:c r="M1667" s="15" t="str">
        <x:v>candidate / staging-only / not canon / not deployed / authority none</x:v>
      </x:c>
      <x:c r="N1667" s="15" t="str">
        <x:v>Dispatch to JoySignal: complete Graph Node Proposals x Human-Root; return deltas only, receipts required.</x:v>
      </x:c>
      <x:c r="O1667" s="15" t="str">
        <x:v>AF-KG-H07-S10</x:v>
      </x:c>
      <x:c r="P1667" s="15" t="str">
        <x:v>Unverified</x:v>
      </x:c>
      <x:c r="Q1667" s="15" t="str">
        <x:v>Not checked</x:v>
      </x:c>
      <x:c r="R1667" s="15" t="str"/>
      <x:c r="S1667" s="15" t="str"/>
      <x:c r="T1667" s="15" t="str">
        <x:v>Log first source path or blocker</x:v>
      </x:c>
      <x:c r="U1667" s="12" t="str">
        <x:f>IF(OR(P1667="Unverified",Q1667="Not checked"),"BLOCKED_PENDING_RECEIPT","READY_FOR_REVIEW")</x:f>
        <x:v>BLOCKED_PENDING_RECEIPT</x:v>
      </x:c>
      <x:c r="V1667" s="12" t="str">
        <x:f>IF(J1667="DONE","RETURNED",IF(U1667="BLOCKED_PENDING_RECEIPT","SOURCE_TOUCH_REQUIRED","IN_PROGRESS"))</x:f>
        <x:v>SOURCE_TOUCH_REQUIRED</x:v>
      </x:c>
      <x:c r="W1667" s="12" t="str">
        <x:f>IF(P1667="Unverified","missing_receipt","receipt_logged")</x:f>
        <x:v>missing_receipt</x:v>
      </x:c>
      <x:c r="X1667" s="12" t="str">
        <x:f>IF(Q1667="Not checked","raw_status_missing","raw_status_logged")</x:f>
        <x:v>raw_status_missing</x:v>
      </x:c>
      <x:c r="Y1667" s="12" t="str">
        <x:f>IF(U1667="BLOCKED_PENDING_RECEIPT","Log source path or blocker; do not promote","Route to review lane")</x:f>
        <x:v>Log source path or blocker; do not promote</x:v>
      </x:c>
      <x:c r="Z1667" s="12" t="str">
        <x:f>IF(K1667="P0","Primary seat + Hashlight/Lucerna","Seat lane")</x:f>
        <x:v>Seat lane</x:v>
      </x:c>
      <x:c r="AA1667" s="12" t="str">
        <x:f>IF(R1667="","no_claim_delta","claim_delta_present")</x:f>
        <x:v>no_claim_delta</x:v>
      </x:c>
      <x:c r="AB1667" s="12" t="str">
        <x:f>IF(S1667="","no_contradiction_delta","contradiction_delta_present")</x:f>
        <x:v>no_contradiction_delta</x:v>
      </x:c>
      <x:c r="AC1667" s="12" t="str">
        <x:f>IF(OR(ISNUMBER(SEARCH("hacker",LOWER(F1667&amp;" "&amp;H1667&amp;" "&amp;I1667&amp;" "&amp;M1667&amp;" "&amp;N1667&amp;" "&amp;T1667))),ISNUMBER(SEARCH("hacking",LOWER(F1667&amp;" "&amp;H1667&amp;" "&amp;I1667&amp;" "&amp;M1667&amp;" "&amp;N1667&amp;" "&amp;T1667))),ISNUMBER(SEARCH("bank",LOWER(F1667&amp;" "&amp;H1667&amp;" "&amp;I1667&amp;" "&amp;M1667&amp;" "&amp;N1667&amp;" "&amp;T1667))),ISNUMBER(SEARCH("banking",LOWER(F1667&amp;" "&amp;H1667&amp;" "&amp;I1667&amp;" "&amp;M1667&amp;" "&amp;N1667&amp;" "&amp;T1667)))),"PRIVATE_QUARANTINE",IF(OR(ISNUMBER(SEARCH("treasury",LOWER(F1667&amp;" "&amp;H1667&amp;" "&amp;I1667&amp;" "&amp;M1667&amp;" "&amp;N1667&amp;" "&amp;T1667))),ISNUMBER(SEARCH("debt",LOWER(F1667&amp;" "&amp;H1667&amp;" "&amp;I1667&amp;" "&amp;M1667&amp;" "&amp;N1667&amp;" "&amp;T1667))),ISNUMBER(SEARCH("bond",LOWER(F1667&amp;" "&amp;H1667&amp;" "&amp;I1667&amp;" "&amp;M1667&amp;" "&amp;N1667&amp;" "&amp;T1667))),ISNUMBER(SEARCH("transaction",LOWER(F1667&amp;" "&amp;H1667&amp;" "&amp;I1667&amp;" "&amp;M1667&amp;" "&amp;N1667&amp;" "&amp;T1667)))),"PRIVATE_REVIEW","PUBLIC_CANDIDATE"))</x:f>
        <x:v>PUBLIC_CANDIDATE</x:v>
      </x:c>
      <x:c r="AD1667" s="12" t="str">
        <x:f>IF(AC1667="PRIVATE_QUARANTINE","hacker_or_bank_trigger",IF(AC1667="PRIVATE_REVIEW","finance_risk_trigger","none"))</x:f>
        <x:v>none</x:v>
      </x:c>
      <x:c r="AE1667" s="12" t="str">
        <x:f>IF(AC1667="PUBLIC_CANDIDATE","prepare_public_github_candidate",IF(AC1667="PRIVATE_REVIEW","hold_for_private_review","quarantine_private_do_not_publish"))</x:f>
        <x:v>prepare_public_github_candidate</x:v>
      </x:c>
      <x:c r="AF1667" s="12" t="str">
        <x:f>IF(AC1667="PUBLIC_CANDIDATE","TIDELOCK + Lucerna",IF(AC1667="PRIVATE_REVIEW","AtlasBrain + Lucerna","TIDELOCK + Lucerna + Human-root"))</x:f>
        <x:v>TIDELOCK + Lucerna</x:v>
      </x:c>
      <x:c r="AG1667" s="12" t="str">
        <x:f>IF(AND(AC1667="PUBLIC_CANDIDATE",U1667&lt;&gt;"BLOCKED_PENDING_RECEIPT"),"READY_AFTER_RECEIPT","NOT_READY")</x:f>
        <x:v>NOT_READY</x:v>
      </x:c>
      <x:c r="AH1667" s="12" t="str">
        <x:f>IF(AC1667="PUBLIC_CANDIDATE","none",AD1667)</x:f>
        <x:v>none</x:v>
      </x:c>
      <x:c r="AI1667" s="12" t="str">
        <x:f>IF(AC1667="PUBLIC_CANDIDATE","archive/public_candidates/"&amp;A1667,"private_quarantine/"&amp;A1667)</x:f>
        <x:v>archive/public_candidates/SWARM-12-H07-S10</x:v>
      </x:c>
      <x:c r="AJ1667" s="12" t="str">
        <x:f>IF(AC1667="PUBLIC_CANDIDATE","public by default; still not canon","private/hold; do not publish")</x:f>
        <x:v>public by default; still not canon</x:v>
      </x:c>
      <x:c r="AK1667" s="12" t="str">
        <x:f>IF(AE1667="prepare_public_github_candidate","add receipt/status then mirror","resolve blocker before any public GitHub action")</x:f>
        <x:v>add receipt/status then mirror</x:v>
      </x:c>
    </x:row>
    <x:row r="1668">
      <x:c r="A1668" s="15" t="str">
        <x:v>SWARM-12-H07-S11</x:v>
      </x:c>
      <x:c r="B1668" s="15" t="str">
        <x:v>JoySignal</x:v>
      </x:c>
      <x:c r="C1668" s="15" t="str">
        <x:v>Rest and morale keeper</x:v>
      </x:c>
      <x:c r="D1668" s="15" t="str">
        <x:v>Graph Node Proposals</x:v>
      </x:c>
      <x:c r="E1668" s="15" t="str">
        <x:v>Automation</x:v>
      </x:c>
      <x:c r="F1668" s="15" t="str">
        <x:v>Propose graph nodes for Automation — JoySignal</x:v>
      </x:c>
      <x:c r="G1668" s="15" t="str">
        <x:v>cadence / anti-burnout / safe completion language</x:v>
      </x:c>
      <x:c r="H1668" s="15" t="str">
        <x:v>source path + receipt + raw/export status + claim/edge/risk delta</x:v>
      </x:c>
      <x:c r="I1668" s="15" t="str">
        <x:v>packet/SWARM-12-H07-S11</x:v>
      </x:c>
      <x:c r="J1668" s="15" t="str">
        <x:v>TODO</x:v>
      </x:c>
      <x:c r="K1668" s="15" t="str">
        <x:v>P2</x:v>
      </x:c>
      <x:c r="L1668" s="15" t="str">
        <x:v>Done only when evidence is logged, contradiction search is noted, and boundary stamp remains non-canon unless ratified</x:v>
      </x:c>
      <x:c r="M1668" s="15" t="str">
        <x:v>candidate / staging-only / not canon / not deployed / authority none</x:v>
      </x:c>
      <x:c r="N1668" s="15" t="str">
        <x:v>Dispatch to JoySignal: complete Graph Node Proposals x Automation; return deltas only, receipts required.</x:v>
      </x:c>
      <x:c r="O1668" s="15" t="str">
        <x:v>AF-KG-H07-S11</x:v>
      </x:c>
      <x:c r="P1668" s="15" t="str">
        <x:v>Unverified</x:v>
      </x:c>
      <x:c r="Q1668" s="15" t="str">
        <x:v>Not checked</x:v>
      </x:c>
      <x:c r="R1668" s="15" t="str"/>
      <x:c r="S1668" s="15" t="str"/>
      <x:c r="T1668" s="15" t="str">
        <x:v>Log first source path or blocker</x:v>
      </x:c>
      <x:c r="U1668" s="12" t="str">
        <x:f>IF(OR(P1668="Unverified",Q1668="Not checked"),"BLOCKED_PENDING_RECEIPT","READY_FOR_REVIEW")</x:f>
        <x:v>BLOCKED_PENDING_RECEIPT</x:v>
      </x:c>
      <x:c r="V1668" s="12" t="str">
        <x:f>IF(J1668="DONE","RETURNED",IF(U1668="BLOCKED_PENDING_RECEIPT","SOURCE_TOUCH_REQUIRED","IN_PROGRESS"))</x:f>
        <x:v>SOURCE_TOUCH_REQUIRED</x:v>
      </x:c>
      <x:c r="W1668" s="12" t="str">
        <x:f>IF(P1668="Unverified","missing_receipt","receipt_logged")</x:f>
        <x:v>missing_receipt</x:v>
      </x:c>
      <x:c r="X1668" s="12" t="str">
        <x:f>IF(Q1668="Not checked","raw_status_missing","raw_status_logged")</x:f>
        <x:v>raw_status_missing</x:v>
      </x:c>
      <x:c r="Y1668" s="12" t="str">
        <x:f>IF(U1668="BLOCKED_PENDING_RECEIPT","Log source path or blocker; do not promote","Route to review lane")</x:f>
        <x:v>Log source path or blocker; do not promote</x:v>
      </x:c>
      <x:c r="Z1668" s="12" t="str">
        <x:f>IF(K1668="P0","Primary seat + Hashlight/Lucerna","Seat lane")</x:f>
        <x:v>Seat lane</x:v>
      </x:c>
      <x:c r="AA1668" s="12" t="str">
        <x:f>IF(R1668="","no_claim_delta","claim_delta_present")</x:f>
        <x:v>no_claim_delta</x:v>
      </x:c>
      <x:c r="AB1668" s="12" t="str">
        <x:f>IF(S1668="","no_contradiction_delta","contradiction_delta_present")</x:f>
        <x:v>no_contradiction_delta</x:v>
      </x:c>
      <x:c r="AC1668" s="12" t="str">
        <x:f>IF(OR(ISNUMBER(SEARCH("hacker",LOWER(F1668&amp;" "&amp;H1668&amp;" "&amp;I1668&amp;" "&amp;M1668&amp;" "&amp;N1668&amp;" "&amp;T1668))),ISNUMBER(SEARCH("hacking",LOWER(F1668&amp;" "&amp;H1668&amp;" "&amp;I1668&amp;" "&amp;M1668&amp;" "&amp;N1668&amp;" "&amp;T1668))),ISNUMBER(SEARCH("bank",LOWER(F1668&amp;" "&amp;H1668&amp;" "&amp;I1668&amp;" "&amp;M1668&amp;" "&amp;N1668&amp;" "&amp;T1668))),ISNUMBER(SEARCH("banking",LOWER(F1668&amp;" "&amp;H1668&amp;" "&amp;I1668&amp;" "&amp;M1668&amp;" "&amp;N1668&amp;" "&amp;T1668)))),"PRIVATE_QUARANTINE",IF(OR(ISNUMBER(SEARCH("treasury",LOWER(F1668&amp;" "&amp;H1668&amp;" "&amp;I1668&amp;" "&amp;M1668&amp;" "&amp;N1668&amp;" "&amp;T1668))),ISNUMBER(SEARCH("debt",LOWER(F1668&amp;" "&amp;H1668&amp;" "&amp;I1668&amp;" "&amp;M1668&amp;" "&amp;N1668&amp;" "&amp;T1668))),ISNUMBER(SEARCH("bond",LOWER(F1668&amp;" "&amp;H1668&amp;" "&amp;I1668&amp;" "&amp;M1668&amp;" "&amp;N1668&amp;" "&amp;T1668))),ISNUMBER(SEARCH("transaction",LOWER(F1668&amp;" "&amp;H1668&amp;" "&amp;I1668&amp;" "&amp;M1668&amp;" "&amp;N1668&amp;" "&amp;T1668)))),"PRIVATE_REVIEW","PUBLIC_CANDIDATE"))</x:f>
        <x:v>PUBLIC_CANDIDATE</x:v>
      </x:c>
      <x:c r="AD1668" s="12" t="str">
        <x:f>IF(AC1668="PRIVATE_QUARANTINE","hacker_or_bank_trigger",IF(AC1668="PRIVATE_REVIEW","finance_risk_trigger","none"))</x:f>
        <x:v>none</x:v>
      </x:c>
      <x:c r="AE1668" s="12" t="str">
        <x:f>IF(AC1668="PUBLIC_CANDIDATE","prepare_public_github_candidate",IF(AC1668="PRIVATE_REVIEW","hold_for_private_review","quarantine_private_do_not_publish"))</x:f>
        <x:v>prepare_public_github_candidate</x:v>
      </x:c>
      <x:c r="AF1668" s="12" t="str">
        <x:f>IF(AC1668="PUBLIC_CANDIDATE","TIDELOCK + Lucerna",IF(AC1668="PRIVATE_REVIEW","AtlasBrain + Lucerna","TIDELOCK + Lucerna + Human-root"))</x:f>
        <x:v>TIDELOCK + Lucerna</x:v>
      </x:c>
      <x:c r="AG1668" s="12" t="str">
        <x:f>IF(AND(AC1668="PUBLIC_CANDIDATE",U1668&lt;&gt;"BLOCKED_PENDING_RECEIPT"),"READY_AFTER_RECEIPT","NOT_READY")</x:f>
        <x:v>NOT_READY</x:v>
      </x:c>
      <x:c r="AH1668" s="12" t="str">
        <x:f>IF(AC1668="PUBLIC_CANDIDATE","none",AD1668)</x:f>
        <x:v>none</x:v>
      </x:c>
      <x:c r="AI1668" s="12" t="str">
        <x:f>IF(AC1668="PUBLIC_CANDIDATE","archive/public_candidates/"&amp;A1668,"private_quarantine/"&amp;A1668)</x:f>
        <x:v>archive/public_candidates/SWARM-12-H07-S11</x:v>
      </x:c>
      <x:c r="AJ1668" s="12" t="str">
        <x:f>IF(AC1668="PUBLIC_CANDIDATE","public by default; still not canon","private/hold; do not publish")</x:f>
        <x:v>public by default; still not canon</x:v>
      </x:c>
      <x:c r="AK1668" s="12" t="str">
        <x:f>IF(AE1668="prepare_public_github_candidate","add receipt/status then mirror","resolve blocker before any public GitHub action")</x:f>
        <x:v>add receipt/status then mirror</x:v>
      </x:c>
    </x:row>
    <x:row r="1669">
      <x:c r="A1669" s="15" t="str">
        <x:v>SWARM-12-H07-S12</x:v>
      </x:c>
      <x:c r="B1669" s="15" t="str">
        <x:v>JoySignal</x:v>
      </x:c>
      <x:c r="C1669" s="15" t="str">
        <x:v>Rest and morale keeper</x:v>
      </x:c>
      <x:c r="D1669" s="15" t="str">
        <x:v>Graph Node Proposals</x:v>
      </x:c>
      <x:c r="E1669" s="15" t="str">
        <x:v>Risk / Safety</x:v>
      </x:c>
      <x:c r="F1669" s="15" t="str">
        <x:v>Propose graph nodes for Risk / Safety — JoySignal</x:v>
      </x:c>
      <x:c r="G1669" s="15" t="str">
        <x:v>cadence / anti-burnout / safe completion language</x:v>
      </x:c>
      <x:c r="H1669" s="15" t="str">
        <x:v>source path + receipt + raw/export status + claim/edge/risk delta</x:v>
      </x:c>
      <x:c r="I1669" s="15" t="str">
        <x:v>packet/SWARM-12-H07-S12</x:v>
      </x:c>
      <x:c r="J1669" s="15" t="str">
        <x:v>TODO</x:v>
      </x:c>
      <x:c r="K1669" s="15" t="str">
        <x:v>P2</x:v>
      </x:c>
      <x:c r="L1669" s="15" t="str">
        <x:v>Done only when evidence is logged, contradiction search is noted, and boundary stamp remains non-canon unless ratified</x:v>
      </x:c>
      <x:c r="M1669" s="15" t="str">
        <x:v>candidate / staging-only / not canon / not deployed / authority none</x:v>
      </x:c>
      <x:c r="N1669" s="15" t="str">
        <x:v>Dispatch to JoySignal: complete Graph Node Proposals x Risk / Safety; return deltas only, receipts required.</x:v>
      </x:c>
      <x:c r="O1669" s="15" t="str">
        <x:v>AF-KG-H07-S12</x:v>
      </x:c>
      <x:c r="P1669" s="15" t="str">
        <x:v>Unverified</x:v>
      </x:c>
      <x:c r="Q1669" s="15" t="str">
        <x:v>Not checked</x:v>
      </x:c>
      <x:c r="R1669" s="15" t="str"/>
      <x:c r="S1669" s="15" t="str"/>
      <x:c r="T1669" s="15" t="str">
        <x:v>Log first source path or blocker</x:v>
      </x:c>
      <x:c r="U1669" s="12" t="str">
        <x:f>IF(OR(P1669="Unverified",Q1669="Not checked"),"BLOCKED_PENDING_RECEIPT","READY_FOR_REVIEW")</x:f>
        <x:v>BLOCKED_PENDING_RECEIPT</x:v>
      </x:c>
      <x:c r="V1669" s="12" t="str">
        <x:f>IF(J1669="DONE","RETURNED",IF(U1669="BLOCKED_PENDING_RECEIPT","SOURCE_TOUCH_REQUIRED","IN_PROGRESS"))</x:f>
        <x:v>SOURCE_TOUCH_REQUIRED</x:v>
      </x:c>
      <x:c r="W1669" s="12" t="str">
        <x:f>IF(P1669="Unverified","missing_receipt","receipt_logged")</x:f>
        <x:v>missing_receipt</x:v>
      </x:c>
      <x:c r="X1669" s="12" t="str">
        <x:f>IF(Q1669="Not checked","raw_status_missing","raw_status_logged")</x:f>
        <x:v>raw_status_missing</x:v>
      </x:c>
      <x:c r="Y1669" s="12" t="str">
        <x:f>IF(U1669="BLOCKED_PENDING_RECEIPT","Log source path or blocker; do not promote","Route to review lane")</x:f>
        <x:v>Log source path or blocker; do not promote</x:v>
      </x:c>
      <x:c r="Z1669" s="12" t="str">
        <x:f>IF(K1669="P0","Primary seat + Hashlight/Lucerna","Seat lane")</x:f>
        <x:v>Seat lane</x:v>
      </x:c>
      <x:c r="AA1669" s="12" t="str">
        <x:f>IF(R1669="","no_claim_delta","claim_delta_present")</x:f>
        <x:v>no_claim_delta</x:v>
      </x:c>
      <x:c r="AB1669" s="12" t="str">
        <x:f>IF(S1669="","no_contradiction_delta","contradiction_delta_present")</x:f>
        <x:v>no_contradiction_delta</x:v>
      </x:c>
      <x:c r="AC1669" s="12" t="str">
        <x:f>IF(OR(ISNUMBER(SEARCH("hacker",LOWER(F1669&amp;" "&amp;H1669&amp;" "&amp;I1669&amp;" "&amp;M1669&amp;" "&amp;N1669&amp;" "&amp;T1669))),ISNUMBER(SEARCH("hacking",LOWER(F1669&amp;" "&amp;H1669&amp;" "&amp;I1669&amp;" "&amp;M1669&amp;" "&amp;N1669&amp;" "&amp;T1669))),ISNUMBER(SEARCH("bank",LOWER(F1669&amp;" "&amp;H1669&amp;" "&amp;I1669&amp;" "&amp;M1669&amp;" "&amp;N1669&amp;" "&amp;T1669))),ISNUMBER(SEARCH("banking",LOWER(F1669&amp;" "&amp;H1669&amp;" "&amp;I1669&amp;" "&amp;M1669&amp;" "&amp;N1669&amp;" "&amp;T1669)))),"PRIVATE_QUARANTINE",IF(OR(ISNUMBER(SEARCH("treasury",LOWER(F1669&amp;" "&amp;H1669&amp;" "&amp;I1669&amp;" "&amp;M1669&amp;" "&amp;N1669&amp;" "&amp;T1669))),ISNUMBER(SEARCH("debt",LOWER(F1669&amp;" "&amp;H1669&amp;" "&amp;I1669&amp;" "&amp;M1669&amp;" "&amp;N1669&amp;" "&amp;T1669))),ISNUMBER(SEARCH("bond",LOWER(F1669&amp;" "&amp;H1669&amp;" "&amp;I1669&amp;" "&amp;M1669&amp;" "&amp;N1669&amp;" "&amp;T1669))),ISNUMBER(SEARCH("transaction",LOWER(F1669&amp;" "&amp;H1669&amp;" "&amp;I1669&amp;" "&amp;M1669&amp;" "&amp;N1669&amp;" "&amp;T1669)))),"PRIVATE_REVIEW","PUBLIC_CANDIDATE"))</x:f>
        <x:v>PUBLIC_CANDIDATE</x:v>
      </x:c>
      <x:c r="AD1669" s="12" t="str">
        <x:f>IF(AC1669="PRIVATE_QUARANTINE","hacker_or_bank_trigger",IF(AC1669="PRIVATE_REVIEW","finance_risk_trigger","none"))</x:f>
        <x:v>none</x:v>
      </x:c>
      <x:c r="AE1669" s="12" t="str">
        <x:f>IF(AC1669="PUBLIC_CANDIDATE","prepare_public_github_candidate",IF(AC1669="PRIVATE_REVIEW","hold_for_private_review","quarantine_private_do_not_publish"))</x:f>
        <x:v>prepare_public_github_candidate</x:v>
      </x:c>
      <x:c r="AF1669" s="12" t="str">
        <x:f>IF(AC1669="PUBLIC_CANDIDATE","TIDELOCK + Lucerna",IF(AC1669="PRIVATE_REVIEW","AtlasBrain + Lucerna","TIDELOCK + Lucerna + Human-root"))</x:f>
        <x:v>TIDELOCK + Lucerna</x:v>
      </x:c>
      <x:c r="AG1669" s="12" t="str">
        <x:f>IF(AND(AC1669="PUBLIC_CANDIDATE",U1669&lt;&gt;"BLOCKED_PENDING_RECEIPT"),"READY_AFTER_RECEIPT","NOT_READY")</x:f>
        <x:v>NOT_READY</x:v>
      </x:c>
      <x:c r="AH1669" s="12" t="str">
        <x:f>IF(AC1669="PUBLIC_CANDIDATE","none",AD1669)</x:f>
        <x:v>none</x:v>
      </x:c>
      <x:c r="AI1669" s="12" t="str">
        <x:f>IF(AC1669="PUBLIC_CANDIDATE","archive/public_candidates/"&amp;A1669,"private_quarantine/"&amp;A1669)</x:f>
        <x:v>archive/public_candidates/SWARM-12-H07-S12</x:v>
      </x:c>
      <x:c r="AJ1669" s="12" t="str">
        <x:f>IF(AC1669="PUBLIC_CANDIDATE","public by default; still not canon","private/hold; do not publish")</x:f>
        <x:v>public by default; still not canon</x:v>
      </x:c>
      <x:c r="AK1669" s="12" t="str">
        <x:f>IF(AE1669="prepare_public_github_candidate","add receipt/status then mirror","resolve blocker before any public GitHub action")</x:f>
        <x:v>add receipt/status then mirror</x:v>
      </x:c>
    </x:row>
    <x:row r="1670">
      <x:c r="A1670" s="15" t="str">
        <x:v>SWARM-12-H08-S01</x:v>
      </x:c>
      <x:c r="B1670" s="15" t="str">
        <x:v>JoySignal</x:v>
      </x:c>
      <x:c r="C1670" s="15" t="str">
        <x:v>Rest and morale keeper</x:v>
      </x:c>
      <x:c r="D1670" s="15" t="str">
        <x:v>Graph Edge Proposals</x:v>
      </x:c>
      <x:c r="E1670" s="15" t="str">
        <x:v>Notion</x:v>
      </x:c>
      <x:c r="F1670" s="15" t="str">
        <x:v>Propose graph edges for Notion — JoySignal</x:v>
      </x:c>
      <x:c r="G1670" s="15" t="str">
        <x:v>cadence / anti-burnout / safe completion language</x:v>
      </x:c>
      <x:c r="H1670" s="15" t="str">
        <x:v>source path + receipt + raw/export status + claim/edge/risk delta</x:v>
      </x:c>
      <x:c r="I1670" s="15" t="str">
        <x:v>packet/SWARM-12-H08-S01</x:v>
      </x:c>
      <x:c r="J1670" s="15" t="str">
        <x:v>TODO</x:v>
      </x:c>
      <x:c r="K1670" s="15" t="str">
        <x:v>P0</x:v>
      </x:c>
      <x:c r="L1670" s="15" t="str">
        <x:v>Done only when evidence is logged, contradiction search is noted, and boundary stamp remains non-canon unless ratified</x:v>
      </x:c>
      <x:c r="M1670" s="15" t="str">
        <x:v>candidate / staging-only / not canon / not deployed / authority none</x:v>
      </x:c>
      <x:c r="N1670" s="15" t="str">
        <x:v>Dispatch to JoySignal: complete Graph Edge Proposals x Notion; return deltas only, receipts required.</x:v>
      </x:c>
      <x:c r="O1670" s="15" t="str">
        <x:v>AF-KG-H08-S01</x:v>
      </x:c>
      <x:c r="P1670" s="15" t="str">
        <x:v>Unverified</x:v>
      </x:c>
      <x:c r="Q1670" s="15" t="str">
        <x:v>Not checked</x:v>
      </x:c>
      <x:c r="R1670" s="15" t="str"/>
      <x:c r="S1670" s="15" t="str"/>
      <x:c r="T1670" s="15" t="str">
        <x:v>Log first source path or blocker</x:v>
      </x:c>
      <x:c r="U1670" s="12" t="str">
        <x:f>IF(OR(P1670="Unverified",Q1670="Not checked"),"BLOCKED_PENDING_RECEIPT","READY_FOR_REVIEW")</x:f>
        <x:v>BLOCKED_PENDING_RECEIPT</x:v>
      </x:c>
      <x:c r="V1670" s="12" t="str">
        <x:f>IF(J1670="DONE","RETURNED",IF(U1670="BLOCKED_PENDING_RECEIPT","SOURCE_TOUCH_REQUIRED","IN_PROGRESS"))</x:f>
        <x:v>SOURCE_TOUCH_REQUIRED</x:v>
      </x:c>
      <x:c r="W1670" s="12" t="str">
        <x:f>IF(P1670="Unverified","missing_receipt","receipt_logged")</x:f>
        <x:v>missing_receipt</x:v>
      </x:c>
      <x:c r="X1670" s="12" t="str">
        <x:f>IF(Q1670="Not checked","raw_status_missing","raw_status_logged")</x:f>
        <x:v>raw_status_missing</x:v>
      </x:c>
      <x:c r="Y1670" s="12" t="str">
        <x:f>IF(U1670="BLOCKED_PENDING_RECEIPT","Log source path or blocker; do not promote","Route to review lane")</x:f>
        <x:v>Log source path or blocker; do not promote</x:v>
      </x:c>
      <x:c r="Z1670" s="12" t="str">
        <x:f>IF(K1670="P0","Primary seat + Hashlight/Lucerna","Seat lane")</x:f>
        <x:v>Primary seat + Hashlight/Lucerna</x:v>
      </x:c>
      <x:c r="AA1670" s="12" t="str">
        <x:f>IF(R1670="","no_claim_delta","claim_delta_present")</x:f>
        <x:v>no_claim_delta</x:v>
      </x:c>
      <x:c r="AB1670" s="12" t="str">
        <x:f>IF(S1670="","no_contradiction_delta","contradiction_delta_present")</x:f>
        <x:v>no_contradiction_delta</x:v>
      </x:c>
      <x:c r="AC1670" s="12" t="str">
        <x:f>IF(OR(ISNUMBER(SEARCH("hacker",LOWER(F1670&amp;" "&amp;H1670&amp;" "&amp;I1670&amp;" "&amp;M1670&amp;" "&amp;N1670&amp;" "&amp;T1670))),ISNUMBER(SEARCH("hacking",LOWER(F1670&amp;" "&amp;H1670&amp;" "&amp;I1670&amp;" "&amp;M1670&amp;" "&amp;N1670&amp;" "&amp;T1670))),ISNUMBER(SEARCH("bank",LOWER(F1670&amp;" "&amp;H1670&amp;" "&amp;I1670&amp;" "&amp;M1670&amp;" "&amp;N1670&amp;" "&amp;T1670))),ISNUMBER(SEARCH("banking",LOWER(F1670&amp;" "&amp;H1670&amp;" "&amp;I1670&amp;" "&amp;M1670&amp;" "&amp;N1670&amp;" "&amp;T1670)))),"PRIVATE_QUARANTINE",IF(OR(ISNUMBER(SEARCH("treasury",LOWER(F1670&amp;" "&amp;H1670&amp;" "&amp;I1670&amp;" "&amp;M1670&amp;" "&amp;N1670&amp;" "&amp;T1670))),ISNUMBER(SEARCH("debt",LOWER(F1670&amp;" "&amp;H1670&amp;" "&amp;I1670&amp;" "&amp;M1670&amp;" "&amp;N1670&amp;" "&amp;T1670))),ISNUMBER(SEARCH("bond",LOWER(F1670&amp;" "&amp;H1670&amp;" "&amp;I1670&amp;" "&amp;M1670&amp;" "&amp;N1670&amp;" "&amp;T1670))),ISNUMBER(SEARCH("transaction",LOWER(F1670&amp;" "&amp;H1670&amp;" "&amp;I1670&amp;" "&amp;M1670&amp;" "&amp;N1670&amp;" "&amp;T1670)))),"PRIVATE_REVIEW","PUBLIC_CANDIDATE"))</x:f>
        <x:v>PUBLIC_CANDIDATE</x:v>
      </x:c>
      <x:c r="AD1670" s="12" t="str">
        <x:f>IF(AC1670="PRIVATE_QUARANTINE","hacker_or_bank_trigger",IF(AC1670="PRIVATE_REVIEW","finance_risk_trigger","none"))</x:f>
        <x:v>none</x:v>
      </x:c>
      <x:c r="AE1670" s="12" t="str">
        <x:f>IF(AC1670="PUBLIC_CANDIDATE","prepare_public_github_candidate",IF(AC1670="PRIVATE_REVIEW","hold_for_private_review","quarantine_private_do_not_publish"))</x:f>
        <x:v>prepare_public_github_candidate</x:v>
      </x:c>
      <x:c r="AF1670" s="12" t="str">
        <x:f>IF(AC1670="PUBLIC_CANDIDATE","TIDELOCK + Lucerna",IF(AC1670="PRIVATE_REVIEW","AtlasBrain + Lucerna","TIDELOCK + Lucerna + Human-root"))</x:f>
        <x:v>TIDELOCK + Lucerna</x:v>
      </x:c>
      <x:c r="AG1670" s="12" t="str">
        <x:f>IF(AND(AC1670="PUBLIC_CANDIDATE",U1670&lt;&gt;"BLOCKED_PENDING_RECEIPT"),"READY_AFTER_RECEIPT","NOT_READY")</x:f>
        <x:v>NOT_READY</x:v>
      </x:c>
      <x:c r="AH1670" s="12" t="str">
        <x:f>IF(AC1670="PUBLIC_CANDIDATE","none",AD1670)</x:f>
        <x:v>none</x:v>
      </x:c>
      <x:c r="AI1670" s="12" t="str">
        <x:f>IF(AC1670="PUBLIC_CANDIDATE","archive/public_candidates/"&amp;A1670,"private_quarantine/"&amp;A1670)</x:f>
        <x:v>archive/public_candidates/SWARM-12-H08-S01</x:v>
      </x:c>
      <x:c r="AJ1670" s="12" t="str">
        <x:f>IF(AC1670="PUBLIC_CANDIDATE","public by default; still not canon","private/hold; do not publish")</x:f>
        <x:v>public by default; still not canon</x:v>
      </x:c>
      <x:c r="AK1670" s="12" t="str">
        <x:f>IF(AE1670="prepare_public_github_candidate","add receipt/status then mirror","resolve blocker before any public GitHub action")</x:f>
        <x:v>add receipt/status then mirror</x:v>
      </x:c>
    </x:row>
    <x:row r="1671">
      <x:c r="A1671" s="15" t="str">
        <x:v>SWARM-12-H08-S02</x:v>
      </x:c>
      <x:c r="B1671" s="15" t="str">
        <x:v>JoySignal</x:v>
      </x:c>
      <x:c r="C1671" s="15" t="str">
        <x:v>Rest and morale keeper</x:v>
      </x:c>
      <x:c r="D1671" s="15" t="str">
        <x:v>Graph Edge Proposals</x:v>
      </x:c>
      <x:c r="E1671" s="15" t="str">
        <x:v>Drive</x:v>
      </x:c>
      <x:c r="F1671" s="15" t="str">
        <x:v>Propose graph edges for Drive — JoySignal</x:v>
      </x:c>
      <x:c r="G1671" s="15" t="str">
        <x:v>cadence / anti-burnout / safe completion language</x:v>
      </x:c>
      <x:c r="H1671" s="15" t="str">
        <x:v>source path + receipt + raw/export status + claim/edge/risk delta</x:v>
      </x:c>
      <x:c r="I1671" s="15" t="str">
        <x:v>packet/SWARM-12-H08-S02</x:v>
      </x:c>
      <x:c r="J1671" s="15" t="str">
        <x:v>TODO</x:v>
      </x:c>
      <x:c r="K1671" s="15" t="str">
        <x:v>P0</x:v>
      </x:c>
      <x:c r="L1671" s="15" t="str">
        <x:v>Done only when evidence is logged, contradiction search is noted, and boundary stamp remains non-canon unless ratified</x:v>
      </x:c>
      <x:c r="M1671" s="15" t="str">
        <x:v>candidate / staging-only / not canon / not deployed / authority none</x:v>
      </x:c>
      <x:c r="N1671" s="15" t="str">
        <x:v>Dispatch to JoySignal: complete Graph Edge Proposals x Drive; return deltas only, receipts required.</x:v>
      </x:c>
      <x:c r="O1671" s="15" t="str">
        <x:v>AF-KG-H08-S02</x:v>
      </x:c>
      <x:c r="P1671" s="15" t="str">
        <x:v>Unverified</x:v>
      </x:c>
      <x:c r="Q1671" s="15" t="str">
        <x:v>Not checked</x:v>
      </x:c>
      <x:c r="R1671" s="15" t="str"/>
      <x:c r="S1671" s="15" t="str"/>
      <x:c r="T1671" s="15" t="str">
        <x:v>Log first source path or blocker</x:v>
      </x:c>
      <x:c r="U1671" s="12" t="str">
        <x:f>IF(OR(P1671="Unverified",Q1671="Not checked"),"BLOCKED_PENDING_RECEIPT","READY_FOR_REVIEW")</x:f>
        <x:v>BLOCKED_PENDING_RECEIPT</x:v>
      </x:c>
      <x:c r="V1671" s="12" t="str">
        <x:f>IF(J1671="DONE","RETURNED",IF(U1671="BLOCKED_PENDING_RECEIPT","SOURCE_TOUCH_REQUIRED","IN_PROGRESS"))</x:f>
        <x:v>SOURCE_TOUCH_REQUIRED</x:v>
      </x:c>
      <x:c r="W1671" s="12" t="str">
        <x:f>IF(P1671="Unverified","missing_receipt","receipt_logged")</x:f>
        <x:v>missing_receipt</x:v>
      </x:c>
      <x:c r="X1671" s="12" t="str">
        <x:f>IF(Q1671="Not checked","raw_status_missing","raw_status_logged")</x:f>
        <x:v>raw_status_missing</x:v>
      </x:c>
      <x:c r="Y1671" s="12" t="str">
        <x:f>IF(U1671="BLOCKED_PENDING_RECEIPT","Log source path or blocker; do not promote","Route to review lane")</x:f>
        <x:v>Log source path or blocker; do not promote</x:v>
      </x:c>
      <x:c r="Z1671" s="12" t="str">
        <x:f>IF(K1671="P0","Primary seat + Hashlight/Lucerna","Seat lane")</x:f>
        <x:v>Primary seat + Hashlight/Lucerna</x:v>
      </x:c>
      <x:c r="AA1671" s="12" t="str">
        <x:f>IF(R1671="","no_claim_delta","claim_delta_present")</x:f>
        <x:v>no_claim_delta</x:v>
      </x:c>
      <x:c r="AB1671" s="12" t="str">
        <x:f>IF(S1671="","no_contradiction_delta","contradiction_delta_present")</x:f>
        <x:v>no_contradiction_delta</x:v>
      </x:c>
      <x:c r="AC1671" s="12" t="str">
        <x:f>IF(OR(ISNUMBER(SEARCH("hacker",LOWER(F1671&amp;" "&amp;H1671&amp;" "&amp;I1671&amp;" "&amp;M1671&amp;" "&amp;N1671&amp;" "&amp;T1671))),ISNUMBER(SEARCH("hacking",LOWER(F1671&amp;" "&amp;H1671&amp;" "&amp;I1671&amp;" "&amp;M1671&amp;" "&amp;N1671&amp;" "&amp;T1671))),ISNUMBER(SEARCH("bank",LOWER(F1671&amp;" "&amp;H1671&amp;" "&amp;I1671&amp;" "&amp;M1671&amp;" "&amp;N1671&amp;" "&amp;T1671))),ISNUMBER(SEARCH("banking",LOWER(F1671&amp;" "&amp;H1671&amp;" "&amp;I1671&amp;" "&amp;M1671&amp;" "&amp;N1671&amp;" "&amp;T1671)))),"PRIVATE_QUARANTINE",IF(OR(ISNUMBER(SEARCH("treasury",LOWER(F1671&amp;" "&amp;H1671&amp;" "&amp;I1671&amp;" "&amp;M1671&amp;" "&amp;N1671&amp;" "&amp;T1671))),ISNUMBER(SEARCH("debt",LOWER(F1671&amp;" "&amp;H1671&amp;" "&amp;I1671&amp;" "&amp;M1671&amp;" "&amp;N1671&amp;" "&amp;T1671))),ISNUMBER(SEARCH("bond",LOWER(F1671&amp;" "&amp;H1671&amp;" "&amp;I1671&amp;" "&amp;M1671&amp;" "&amp;N1671&amp;" "&amp;T1671))),ISNUMBER(SEARCH("transaction",LOWER(F1671&amp;" "&amp;H1671&amp;" "&amp;I1671&amp;" "&amp;M1671&amp;" "&amp;N1671&amp;" "&amp;T1671)))),"PRIVATE_REVIEW","PUBLIC_CANDIDATE"))</x:f>
        <x:v>PUBLIC_CANDIDATE</x:v>
      </x:c>
      <x:c r="AD1671" s="12" t="str">
        <x:f>IF(AC1671="PRIVATE_QUARANTINE","hacker_or_bank_trigger",IF(AC1671="PRIVATE_REVIEW","finance_risk_trigger","none"))</x:f>
        <x:v>none</x:v>
      </x:c>
      <x:c r="AE1671" s="12" t="str">
        <x:f>IF(AC1671="PUBLIC_CANDIDATE","prepare_public_github_candidate",IF(AC1671="PRIVATE_REVIEW","hold_for_private_review","quarantine_private_do_not_publish"))</x:f>
        <x:v>prepare_public_github_candidate</x:v>
      </x:c>
      <x:c r="AF1671" s="12" t="str">
        <x:f>IF(AC1671="PUBLIC_CANDIDATE","TIDELOCK + Lucerna",IF(AC1671="PRIVATE_REVIEW","AtlasBrain + Lucerna","TIDELOCK + Lucerna + Human-root"))</x:f>
        <x:v>TIDELOCK + Lucerna</x:v>
      </x:c>
      <x:c r="AG1671" s="12" t="str">
        <x:f>IF(AND(AC1671="PUBLIC_CANDIDATE",U1671&lt;&gt;"BLOCKED_PENDING_RECEIPT"),"READY_AFTER_RECEIPT","NOT_READY")</x:f>
        <x:v>NOT_READY</x:v>
      </x:c>
      <x:c r="AH1671" s="12" t="str">
        <x:f>IF(AC1671="PUBLIC_CANDIDATE","none",AD1671)</x:f>
        <x:v>none</x:v>
      </x:c>
      <x:c r="AI1671" s="12" t="str">
        <x:f>IF(AC1671="PUBLIC_CANDIDATE","archive/public_candidates/"&amp;A1671,"private_quarantine/"&amp;A1671)</x:f>
        <x:v>archive/public_candidates/SWARM-12-H08-S02</x:v>
      </x:c>
      <x:c r="AJ1671" s="12" t="str">
        <x:f>IF(AC1671="PUBLIC_CANDIDATE","public by default; still not canon","private/hold; do not publish")</x:f>
        <x:v>public by default; still not canon</x:v>
      </x:c>
      <x:c r="AK1671" s="12" t="str">
        <x:f>IF(AE1671="prepare_public_github_candidate","add receipt/status then mirror","resolve blocker before any public GitHub action")</x:f>
        <x:v>add receipt/status then mirror</x:v>
      </x:c>
    </x:row>
    <x:row r="1672">
      <x:c r="A1672" s="15" t="str">
        <x:v>SWARM-12-H08-S03</x:v>
      </x:c>
      <x:c r="B1672" s="15" t="str">
        <x:v>JoySignal</x:v>
      </x:c>
      <x:c r="C1672" s="15" t="str">
        <x:v>Rest and morale keeper</x:v>
      </x:c>
      <x:c r="D1672" s="15" t="str">
        <x:v>Graph Edge Proposals</x:v>
      </x:c>
      <x:c r="E1672" s="15" t="str">
        <x:v>GitHub</x:v>
      </x:c>
      <x:c r="F1672" s="15" t="str">
        <x:v>Propose graph edges for GitHub — JoySignal</x:v>
      </x:c>
      <x:c r="G1672" s="15" t="str">
        <x:v>cadence / anti-burnout / safe completion language</x:v>
      </x:c>
      <x:c r="H1672" s="15" t="str">
        <x:v>source path + receipt + raw/export status + claim/edge/risk delta</x:v>
      </x:c>
      <x:c r="I1672" s="15" t="str">
        <x:v>packet/SWARM-12-H08-S03</x:v>
      </x:c>
      <x:c r="J1672" s="15" t="str">
        <x:v>TODO</x:v>
      </x:c>
      <x:c r="K1672" s="15" t="str">
        <x:v>P0</x:v>
      </x:c>
      <x:c r="L1672" s="15" t="str">
        <x:v>Done only when evidence is logged, contradiction search is noted, and boundary stamp remains non-canon unless ratified</x:v>
      </x:c>
      <x:c r="M1672" s="15" t="str">
        <x:v>candidate / staging-only / not canon / not deployed / authority none</x:v>
      </x:c>
      <x:c r="N1672" s="15" t="str">
        <x:v>Dispatch to JoySignal: complete Graph Edge Proposals x GitHub; return deltas only, receipts required.</x:v>
      </x:c>
      <x:c r="O1672" s="15" t="str">
        <x:v>AF-KG-H08-S03</x:v>
      </x:c>
      <x:c r="P1672" s="15" t="str">
        <x:v>Unverified</x:v>
      </x:c>
      <x:c r="Q1672" s="15" t="str">
        <x:v>Not checked</x:v>
      </x:c>
      <x:c r="R1672" s="15" t="str"/>
      <x:c r="S1672" s="15" t="str"/>
      <x:c r="T1672" s="15" t="str">
        <x:v>Log first source path or blocker</x:v>
      </x:c>
      <x:c r="U1672" s="12" t="str">
        <x:f>IF(OR(P1672="Unverified",Q1672="Not checked"),"BLOCKED_PENDING_RECEIPT","READY_FOR_REVIEW")</x:f>
        <x:v>BLOCKED_PENDING_RECEIPT</x:v>
      </x:c>
      <x:c r="V1672" s="12" t="str">
        <x:f>IF(J1672="DONE","RETURNED",IF(U1672="BLOCKED_PENDING_RECEIPT","SOURCE_TOUCH_REQUIRED","IN_PROGRESS"))</x:f>
        <x:v>SOURCE_TOUCH_REQUIRED</x:v>
      </x:c>
      <x:c r="W1672" s="12" t="str">
        <x:f>IF(P1672="Unverified","missing_receipt","receipt_logged")</x:f>
        <x:v>missing_receipt</x:v>
      </x:c>
      <x:c r="X1672" s="12" t="str">
        <x:f>IF(Q1672="Not checked","raw_status_missing","raw_status_logged")</x:f>
        <x:v>raw_status_missing</x:v>
      </x:c>
      <x:c r="Y1672" s="12" t="str">
        <x:f>IF(U1672="BLOCKED_PENDING_RECEIPT","Log source path or blocker; do not promote","Route to review lane")</x:f>
        <x:v>Log source path or blocker; do not promote</x:v>
      </x:c>
      <x:c r="Z1672" s="12" t="str">
        <x:f>IF(K1672="P0","Primary seat + Hashlight/Lucerna","Seat lane")</x:f>
        <x:v>Primary seat + Hashlight/Lucerna</x:v>
      </x:c>
      <x:c r="AA1672" s="12" t="str">
        <x:f>IF(R1672="","no_claim_delta","claim_delta_present")</x:f>
        <x:v>no_claim_delta</x:v>
      </x:c>
      <x:c r="AB1672" s="12" t="str">
        <x:f>IF(S1672="","no_contradiction_delta","contradiction_delta_present")</x:f>
        <x:v>no_contradiction_delta</x:v>
      </x:c>
      <x:c r="AC1672" s="12" t="str">
        <x:f>IF(OR(ISNUMBER(SEARCH("hacker",LOWER(F1672&amp;" "&amp;H1672&amp;" "&amp;I1672&amp;" "&amp;M1672&amp;" "&amp;N1672&amp;" "&amp;T1672))),ISNUMBER(SEARCH("hacking",LOWER(F1672&amp;" "&amp;H1672&amp;" "&amp;I1672&amp;" "&amp;M1672&amp;" "&amp;N1672&amp;" "&amp;T1672))),ISNUMBER(SEARCH("bank",LOWER(F1672&amp;" "&amp;H1672&amp;" "&amp;I1672&amp;" "&amp;M1672&amp;" "&amp;N1672&amp;" "&amp;T1672))),ISNUMBER(SEARCH("banking",LOWER(F1672&amp;" "&amp;H1672&amp;" "&amp;I1672&amp;" "&amp;M1672&amp;" "&amp;N1672&amp;" "&amp;T1672)))),"PRIVATE_QUARANTINE",IF(OR(ISNUMBER(SEARCH("treasury",LOWER(F1672&amp;" "&amp;H1672&amp;" "&amp;I1672&amp;" "&amp;M1672&amp;" "&amp;N1672&amp;" "&amp;T1672))),ISNUMBER(SEARCH("debt",LOWER(F1672&amp;" "&amp;H1672&amp;" "&amp;I1672&amp;" "&amp;M1672&amp;" "&amp;N1672&amp;" "&amp;T1672))),ISNUMBER(SEARCH("bond",LOWER(F1672&amp;" "&amp;H1672&amp;" "&amp;I1672&amp;" "&amp;M1672&amp;" "&amp;N1672&amp;" "&amp;T1672))),ISNUMBER(SEARCH("transaction",LOWER(F1672&amp;" "&amp;H1672&amp;" "&amp;I1672&amp;" "&amp;M1672&amp;" "&amp;N1672&amp;" "&amp;T1672)))),"PRIVATE_REVIEW","PUBLIC_CANDIDATE"))</x:f>
        <x:v>PUBLIC_CANDIDATE</x:v>
      </x:c>
      <x:c r="AD1672" s="12" t="str">
        <x:f>IF(AC1672="PRIVATE_QUARANTINE","hacker_or_bank_trigger",IF(AC1672="PRIVATE_REVIEW","finance_risk_trigger","none"))</x:f>
        <x:v>none</x:v>
      </x:c>
      <x:c r="AE1672" s="12" t="str">
        <x:f>IF(AC1672="PUBLIC_CANDIDATE","prepare_public_github_candidate",IF(AC1672="PRIVATE_REVIEW","hold_for_private_review","quarantine_private_do_not_publish"))</x:f>
        <x:v>prepare_public_github_candidate</x:v>
      </x:c>
      <x:c r="AF1672" s="12" t="str">
        <x:f>IF(AC1672="PUBLIC_CANDIDATE","TIDELOCK + Lucerna",IF(AC1672="PRIVATE_REVIEW","AtlasBrain + Lucerna","TIDELOCK + Lucerna + Human-root"))</x:f>
        <x:v>TIDELOCK + Lucerna</x:v>
      </x:c>
      <x:c r="AG1672" s="12" t="str">
        <x:f>IF(AND(AC1672="PUBLIC_CANDIDATE",U1672&lt;&gt;"BLOCKED_PENDING_RECEIPT"),"READY_AFTER_RECEIPT","NOT_READY")</x:f>
        <x:v>NOT_READY</x:v>
      </x:c>
      <x:c r="AH1672" s="12" t="str">
        <x:f>IF(AC1672="PUBLIC_CANDIDATE","none",AD1672)</x:f>
        <x:v>none</x:v>
      </x:c>
      <x:c r="AI1672" s="12" t="str">
        <x:f>IF(AC1672="PUBLIC_CANDIDATE","archive/public_candidates/"&amp;A1672,"private_quarantine/"&amp;A1672)</x:f>
        <x:v>archive/public_candidates/SWARM-12-H08-S03</x:v>
      </x:c>
      <x:c r="AJ1672" s="12" t="str">
        <x:f>IF(AC1672="PUBLIC_CANDIDATE","public by default; still not canon","private/hold; do not publish")</x:f>
        <x:v>public by default; still not canon</x:v>
      </x:c>
      <x:c r="AK1672" s="12" t="str">
        <x:f>IF(AE1672="prepare_public_github_candidate","add receipt/status then mirror","resolve blocker before any public GitHub action")</x:f>
        <x:v>add receipt/status then mirror</x:v>
      </x:c>
    </x:row>
    <x:row r="1673">
      <x:c r="A1673" s="15" t="str">
        <x:v>SWARM-12-H08-S04</x:v>
      </x:c>
      <x:c r="B1673" s="15" t="str">
        <x:v>JoySignal</x:v>
      </x:c>
      <x:c r="C1673" s="15" t="str">
        <x:v>Rest and morale keeper</x:v>
      </x:c>
      <x:c r="D1673" s="15" t="str">
        <x:v>Graph Edge Proposals</x:v>
      </x:c>
      <x:c r="E1673" s="15" t="str">
        <x:v>Gamma</x:v>
      </x:c>
      <x:c r="F1673" s="15" t="str">
        <x:v>Propose graph edges for Gamma — JoySignal</x:v>
      </x:c>
      <x:c r="G1673" s="15" t="str">
        <x:v>cadence / anti-burnout / safe completion language</x:v>
      </x:c>
      <x:c r="H1673" s="15" t="str">
        <x:v>source path + receipt + raw/export status + claim/edge/risk delta</x:v>
      </x:c>
      <x:c r="I1673" s="15" t="str">
        <x:v>packet/SWARM-12-H08-S04</x:v>
      </x:c>
      <x:c r="J1673" s="15" t="str">
        <x:v>TODO</x:v>
      </x:c>
      <x:c r="K1673" s="15" t="str">
        <x:v>P1</x:v>
      </x:c>
      <x:c r="L1673" s="15" t="str">
        <x:v>Done only when evidence is logged, contradiction search is noted, and boundary stamp remains non-canon unless ratified</x:v>
      </x:c>
      <x:c r="M1673" s="15" t="str">
        <x:v>candidate / staging-only / not canon / not deployed / authority none</x:v>
      </x:c>
      <x:c r="N1673" s="15" t="str">
        <x:v>Dispatch to JoySignal: complete Graph Edge Proposals x Gamma; return deltas only, receipts required.</x:v>
      </x:c>
      <x:c r="O1673" s="15" t="str">
        <x:v>AF-KG-H08-S04</x:v>
      </x:c>
      <x:c r="P1673" s="15" t="str">
        <x:v>Unverified</x:v>
      </x:c>
      <x:c r="Q1673" s="15" t="str">
        <x:v>Not checked</x:v>
      </x:c>
      <x:c r="R1673" s="15" t="str"/>
      <x:c r="S1673" s="15" t="str"/>
      <x:c r="T1673" s="15" t="str">
        <x:v>Log first source path or blocker</x:v>
      </x:c>
      <x:c r="U1673" s="12" t="str">
        <x:f>IF(OR(P1673="Unverified",Q1673="Not checked"),"BLOCKED_PENDING_RECEIPT","READY_FOR_REVIEW")</x:f>
        <x:v>BLOCKED_PENDING_RECEIPT</x:v>
      </x:c>
      <x:c r="V1673" s="12" t="str">
        <x:f>IF(J1673="DONE","RETURNED",IF(U1673="BLOCKED_PENDING_RECEIPT","SOURCE_TOUCH_REQUIRED","IN_PROGRESS"))</x:f>
        <x:v>SOURCE_TOUCH_REQUIRED</x:v>
      </x:c>
      <x:c r="W1673" s="12" t="str">
        <x:f>IF(P1673="Unverified","missing_receipt","receipt_logged")</x:f>
        <x:v>missing_receipt</x:v>
      </x:c>
      <x:c r="X1673" s="12" t="str">
        <x:f>IF(Q1673="Not checked","raw_status_missing","raw_status_logged")</x:f>
        <x:v>raw_status_missing</x:v>
      </x:c>
      <x:c r="Y1673" s="12" t="str">
        <x:f>IF(U1673="BLOCKED_PENDING_RECEIPT","Log source path or blocker; do not promote","Route to review lane")</x:f>
        <x:v>Log source path or blocker; do not promote</x:v>
      </x:c>
      <x:c r="Z1673" s="12" t="str">
        <x:f>IF(K1673="P0","Primary seat + Hashlight/Lucerna","Seat lane")</x:f>
        <x:v>Seat lane</x:v>
      </x:c>
      <x:c r="AA1673" s="12" t="str">
        <x:f>IF(R1673="","no_claim_delta","claim_delta_present")</x:f>
        <x:v>no_claim_delta</x:v>
      </x:c>
      <x:c r="AB1673" s="12" t="str">
        <x:f>IF(S1673="","no_contradiction_delta","contradiction_delta_present")</x:f>
        <x:v>no_contradiction_delta</x:v>
      </x:c>
      <x:c r="AC1673" s="12" t="str">
        <x:f>IF(OR(ISNUMBER(SEARCH("hacker",LOWER(F1673&amp;" "&amp;H1673&amp;" "&amp;I1673&amp;" "&amp;M1673&amp;" "&amp;N1673&amp;" "&amp;T1673))),ISNUMBER(SEARCH("hacking",LOWER(F1673&amp;" "&amp;H1673&amp;" "&amp;I1673&amp;" "&amp;M1673&amp;" "&amp;N1673&amp;" "&amp;T1673))),ISNUMBER(SEARCH("bank",LOWER(F1673&amp;" "&amp;H1673&amp;" "&amp;I1673&amp;" "&amp;M1673&amp;" "&amp;N1673&amp;" "&amp;T1673))),ISNUMBER(SEARCH("banking",LOWER(F1673&amp;" "&amp;H1673&amp;" "&amp;I1673&amp;" "&amp;M1673&amp;" "&amp;N1673&amp;" "&amp;T1673)))),"PRIVATE_QUARANTINE",IF(OR(ISNUMBER(SEARCH("treasury",LOWER(F1673&amp;" "&amp;H1673&amp;" "&amp;I1673&amp;" "&amp;M1673&amp;" "&amp;N1673&amp;" "&amp;T1673))),ISNUMBER(SEARCH("debt",LOWER(F1673&amp;" "&amp;H1673&amp;" "&amp;I1673&amp;" "&amp;M1673&amp;" "&amp;N1673&amp;" "&amp;T1673))),ISNUMBER(SEARCH("bond",LOWER(F1673&amp;" "&amp;H1673&amp;" "&amp;I1673&amp;" "&amp;M1673&amp;" "&amp;N1673&amp;" "&amp;T1673))),ISNUMBER(SEARCH("transaction",LOWER(F1673&amp;" "&amp;H1673&amp;" "&amp;I1673&amp;" "&amp;M1673&amp;" "&amp;N1673&amp;" "&amp;T1673)))),"PRIVATE_REVIEW","PUBLIC_CANDIDATE"))</x:f>
        <x:v>PUBLIC_CANDIDATE</x:v>
      </x:c>
      <x:c r="AD1673" s="12" t="str">
        <x:f>IF(AC1673="PRIVATE_QUARANTINE","hacker_or_bank_trigger",IF(AC1673="PRIVATE_REVIEW","finance_risk_trigger","none"))</x:f>
        <x:v>none</x:v>
      </x:c>
      <x:c r="AE1673" s="12" t="str">
        <x:f>IF(AC1673="PUBLIC_CANDIDATE","prepare_public_github_candidate",IF(AC1673="PRIVATE_REVIEW","hold_for_private_review","quarantine_private_do_not_publish"))</x:f>
        <x:v>prepare_public_github_candidate</x:v>
      </x:c>
      <x:c r="AF1673" s="12" t="str">
        <x:f>IF(AC1673="PUBLIC_CANDIDATE","TIDELOCK + Lucerna",IF(AC1673="PRIVATE_REVIEW","AtlasBrain + Lucerna","TIDELOCK + Lucerna + Human-root"))</x:f>
        <x:v>TIDELOCK + Lucerna</x:v>
      </x:c>
      <x:c r="AG1673" s="12" t="str">
        <x:f>IF(AND(AC1673="PUBLIC_CANDIDATE",U1673&lt;&gt;"BLOCKED_PENDING_RECEIPT"),"READY_AFTER_RECEIPT","NOT_READY")</x:f>
        <x:v>NOT_READY</x:v>
      </x:c>
      <x:c r="AH1673" s="12" t="str">
        <x:f>IF(AC1673="PUBLIC_CANDIDATE","none",AD1673)</x:f>
        <x:v>none</x:v>
      </x:c>
      <x:c r="AI1673" s="12" t="str">
        <x:f>IF(AC1673="PUBLIC_CANDIDATE","archive/public_candidates/"&amp;A1673,"private_quarantine/"&amp;A1673)</x:f>
        <x:v>archive/public_candidates/SWARM-12-H08-S04</x:v>
      </x:c>
      <x:c r="AJ1673" s="12" t="str">
        <x:f>IF(AC1673="PUBLIC_CANDIDATE","public by default; still not canon","private/hold; do not publish")</x:f>
        <x:v>public by default; still not canon</x:v>
      </x:c>
      <x:c r="AK1673" s="12" t="str">
        <x:f>IF(AE1673="prepare_public_github_candidate","add receipt/status then mirror","resolve blocker before any public GitHub action")</x:f>
        <x:v>add receipt/status then mirror</x:v>
      </x:c>
    </x:row>
    <x:row r="1674">
      <x:c r="A1674" s="15" t="str">
        <x:v>SWARM-12-H08-S05</x:v>
      </x:c>
      <x:c r="B1674" s="15" t="str">
        <x:v>JoySignal</x:v>
      </x:c>
      <x:c r="C1674" s="15" t="str">
        <x:v>Rest and morale keeper</x:v>
      </x:c>
      <x:c r="D1674" s="15" t="str">
        <x:v>Graph Edge Proposals</x:v>
      </x:c>
      <x:c r="E1674" s="15" t="str">
        <x:v>Chat</x:v>
      </x:c>
      <x:c r="F1674" s="15" t="str">
        <x:v>Propose graph edges for Chat — JoySignal</x:v>
      </x:c>
      <x:c r="G1674" s="15" t="str">
        <x:v>cadence / anti-burnout / safe completion language</x:v>
      </x:c>
      <x:c r="H1674" s="15" t="str">
        <x:v>source path + receipt + raw/export status + claim/edge/risk delta</x:v>
      </x:c>
      <x:c r="I1674" s="15" t="str">
        <x:v>packet/SWARM-12-H08-S05</x:v>
      </x:c>
      <x:c r="J1674" s="15" t="str">
        <x:v>TODO</x:v>
      </x:c>
      <x:c r="K1674" s="15" t="str">
        <x:v>P1</x:v>
      </x:c>
      <x:c r="L1674" s="15" t="str">
        <x:v>Done only when evidence is logged, contradiction search is noted, and boundary stamp remains non-canon unless ratified</x:v>
      </x:c>
      <x:c r="M1674" s="15" t="str">
        <x:v>candidate / staging-only / not canon / not deployed / authority none</x:v>
      </x:c>
      <x:c r="N1674" s="15" t="str">
        <x:v>Dispatch to JoySignal: complete Graph Edge Proposals x Chat; return deltas only, receipts required.</x:v>
      </x:c>
      <x:c r="O1674" s="15" t="str">
        <x:v>AF-KG-H08-S05</x:v>
      </x:c>
      <x:c r="P1674" s="15" t="str">
        <x:v>Unverified</x:v>
      </x:c>
      <x:c r="Q1674" s="15" t="str">
        <x:v>Not checked</x:v>
      </x:c>
      <x:c r="R1674" s="15" t="str"/>
      <x:c r="S1674" s="15" t="str"/>
      <x:c r="T1674" s="15" t="str">
        <x:v>Log first source path or blocker</x:v>
      </x:c>
      <x:c r="U1674" s="12" t="str">
        <x:f>IF(OR(P1674="Unverified",Q1674="Not checked"),"BLOCKED_PENDING_RECEIPT","READY_FOR_REVIEW")</x:f>
        <x:v>BLOCKED_PENDING_RECEIPT</x:v>
      </x:c>
      <x:c r="V1674" s="12" t="str">
        <x:f>IF(J1674="DONE","RETURNED",IF(U1674="BLOCKED_PENDING_RECEIPT","SOURCE_TOUCH_REQUIRED","IN_PROGRESS"))</x:f>
        <x:v>SOURCE_TOUCH_REQUIRED</x:v>
      </x:c>
      <x:c r="W1674" s="12" t="str">
        <x:f>IF(P1674="Unverified","missing_receipt","receipt_logged")</x:f>
        <x:v>missing_receipt</x:v>
      </x:c>
      <x:c r="X1674" s="12" t="str">
        <x:f>IF(Q1674="Not checked","raw_status_missing","raw_status_logged")</x:f>
        <x:v>raw_status_missing</x:v>
      </x:c>
      <x:c r="Y1674" s="12" t="str">
        <x:f>IF(U1674="BLOCKED_PENDING_RECEIPT","Log source path or blocker; do not promote","Route to review lane")</x:f>
        <x:v>Log source path or blocker; do not promote</x:v>
      </x:c>
      <x:c r="Z1674" s="12" t="str">
        <x:f>IF(K1674="P0","Primary seat + Hashlight/Lucerna","Seat lane")</x:f>
        <x:v>Seat lane</x:v>
      </x:c>
      <x:c r="AA1674" s="12" t="str">
        <x:f>IF(R1674="","no_claim_delta","claim_delta_present")</x:f>
        <x:v>no_claim_delta</x:v>
      </x:c>
      <x:c r="AB1674" s="12" t="str">
        <x:f>IF(S1674="","no_contradiction_delta","contradiction_delta_present")</x:f>
        <x:v>no_contradiction_delta</x:v>
      </x:c>
      <x:c r="AC1674" s="12" t="str">
        <x:f>IF(OR(ISNUMBER(SEARCH("hacker",LOWER(F1674&amp;" "&amp;H1674&amp;" "&amp;I1674&amp;" "&amp;M1674&amp;" "&amp;N1674&amp;" "&amp;T1674))),ISNUMBER(SEARCH("hacking",LOWER(F1674&amp;" "&amp;H1674&amp;" "&amp;I1674&amp;" "&amp;M1674&amp;" "&amp;N1674&amp;" "&amp;T1674))),ISNUMBER(SEARCH("bank",LOWER(F1674&amp;" "&amp;H1674&amp;" "&amp;I1674&amp;" "&amp;M1674&amp;" "&amp;N1674&amp;" "&amp;T1674))),ISNUMBER(SEARCH("banking",LOWER(F1674&amp;" "&amp;H1674&amp;" "&amp;I1674&amp;" "&amp;M1674&amp;" "&amp;N1674&amp;" "&amp;T1674)))),"PRIVATE_QUARANTINE",IF(OR(ISNUMBER(SEARCH("treasury",LOWER(F1674&amp;" "&amp;H1674&amp;" "&amp;I1674&amp;" "&amp;M1674&amp;" "&amp;N1674&amp;" "&amp;T1674))),ISNUMBER(SEARCH("debt",LOWER(F1674&amp;" "&amp;H1674&amp;" "&amp;I1674&amp;" "&amp;M1674&amp;" "&amp;N1674&amp;" "&amp;T1674))),ISNUMBER(SEARCH("bond",LOWER(F1674&amp;" "&amp;H1674&amp;" "&amp;I1674&amp;" "&amp;M1674&amp;" "&amp;N1674&amp;" "&amp;T1674))),ISNUMBER(SEARCH("transaction",LOWER(F1674&amp;" "&amp;H1674&amp;" "&amp;I1674&amp;" "&amp;M1674&amp;" "&amp;N1674&amp;" "&amp;T1674)))),"PRIVATE_REVIEW","PUBLIC_CANDIDATE"))</x:f>
        <x:v>PUBLIC_CANDIDATE</x:v>
      </x:c>
      <x:c r="AD1674" s="12" t="str">
        <x:f>IF(AC1674="PRIVATE_QUARANTINE","hacker_or_bank_trigger",IF(AC1674="PRIVATE_REVIEW","finance_risk_trigger","none"))</x:f>
        <x:v>none</x:v>
      </x:c>
      <x:c r="AE1674" s="12" t="str">
        <x:f>IF(AC1674="PUBLIC_CANDIDATE","prepare_public_github_candidate",IF(AC1674="PRIVATE_REVIEW","hold_for_private_review","quarantine_private_do_not_publish"))</x:f>
        <x:v>prepare_public_github_candidate</x:v>
      </x:c>
      <x:c r="AF1674" s="12" t="str">
        <x:f>IF(AC1674="PUBLIC_CANDIDATE","TIDELOCK + Lucerna",IF(AC1674="PRIVATE_REVIEW","AtlasBrain + Lucerna","TIDELOCK + Lucerna + Human-root"))</x:f>
        <x:v>TIDELOCK + Lucerna</x:v>
      </x:c>
      <x:c r="AG1674" s="12" t="str">
        <x:f>IF(AND(AC1674="PUBLIC_CANDIDATE",U1674&lt;&gt;"BLOCKED_PENDING_RECEIPT"),"READY_AFTER_RECEIPT","NOT_READY")</x:f>
        <x:v>NOT_READY</x:v>
      </x:c>
      <x:c r="AH1674" s="12" t="str">
        <x:f>IF(AC1674="PUBLIC_CANDIDATE","none",AD1674)</x:f>
        <x:v>none</x:v>
      </x:c>
      <x:c r="AI1674" s="12" t="str">
        <x:f>IF(AC1674="PUBLIC_CANDIDATE","archive/public_candidates/"&amp;A1674,"private_quarantine/"&amp;A1674)</x:f>
        <x:v>archive/public_candidates/SWARM-12-H08-S05</x:v>
      </x:c>
      <x:c r="AJ1674" s="12" t="str">
        <x:f>IF(AC1674="PUBLIC_CANDIDATE","public by default; still not canon","private/hold; do not publish")</x:f>
        <x:v>public by default; still not canon</x:v>
      </x:c>
      <x:c r="AK1674" s="12" t="str">
        <x:f>IF(AE1674="prepare_public_github_candidate","add receipt/status then mirror","resolve blocker before any public GitHub action")</x:f>
        <x:v>add receipt/status then mirror</x:v>
      </x:c>
    </x:row>
    <x:row r="1675">
      <x:c r="A1675" s="15" t="str">
        <x:v>SWARM-12-H08-S06</x:v>
      </x:c>
      <x:c r="B1675" s="15" t="str">
        <x:v>JoySignal</x:v>
      </x:c>
      <x:c r="C1675" s="15" t="str">
        <x:v>Rest and morale keeper</x:v>
      </x:c>
      <x:c r="D1675" s="15" t="str">
        <x:v>Graph Edge Proposals</x:v>
      </x:c>
      <x:c r="E1675" s="15" t="str">
        <x:v>External Web</x:v>
      </x:c>
      <x:c r="F1675" s="15" t="str">
        <x:v>Propose graph edges for External Web — JoySignal</x:v>
      </x:c>
      <x:c r="G1675" s="15" t="str">
        <x:v>cadence / anti-burnout / safe completion language</x:v>
      </x:c>
      <x:c r="H1675" s="15" t="str">
        <x:v>source path + receipt + raw/export status + claim/edge/risk delta</x:v>
      </x:c>
      <x:c r="I1675" s="15" t="str">
        <x:v>packet/SWARM-12-H08-S06</x:v>
      </x:c>
      <x:c r="J1675" s="15" t="str">
        <x:v>TODO</x:v>
      </x:c>
      <x:c r="K1675" s="15" t="str">
        <x:v>P1</x:v>
      </x:c>
      <x:c r="L1675" s="15" t="str">
        <x:v>Done only when evidence is logged, contradiction search is noted, and boundary stamp remains non-canon unless ratified</x:v>
      </x:c>
      <x:c r="M1675" s="15" t="str">
        <x:v>candidate / staging-only / not canon / not deployed / authority none</x:v>
      </x:c>
      <x:c r="N1675" s="15" t="str">
        <x:v>Dispatch to JoySignal: complete Graph Edge Proposals x External Web; return deltas only, receipts required.</x:v>
      </x:c>
      <x:c r="O1675" s="15" t="str">
        <x:v>AF-KG-H08-S06</x:v>
      </x:c>
      <x:c r="P1675" s="15" t="str">
        <x:v>Unverified</x:v>
      </x:c>
      <x:c r="Q1675" s="15" t="str">
        <x:v>Not checked</x:v>
      </x:c>
      <x:c r="R1675" s="15" t="str"/>
      <x:c r="S1675" s="15" t="str"/>
      <x:c r="T1675" s="15" t="str">
        <x:v>Log first source path or blocker</x:v>
      </x:c>
      <x:c r="U1675" s="12" t="str">
        <x:f>IF(OR(P1675="Unverified",Q1675="Not checked"),"BLOCKED_PENDING_RECEIPT","READY_FOR_REVIEW")</x:f>
        <x:v>BLOCKED_PENDING_RECEIPT</x:v>
      </x:c>
      <x:c r="V1675" s="12" t="str">
        <x:f>IF(J1675="DONE","RETURNED",IF(U1675="BLOCKED_PENDING_RECEIPT","SOURCE_TOUCH_REQUIRED","IN_PROGRESS"))</x:f>
        <x:v>SOURCE_TOUCH_REQUIRED</x:v>
      </x:c>
      <x:c r="W1675" s="12" t="str">
        <x:f>IF(P1675="Unverified","missing_receipt","receipt_logged")</x:f>
        <x:v>missing_receipt</x:v>
      </x:c>
      <x:c r="X1675" s="12" t="str">
        <x:f>IF(Q1675="Not checked","raw_status_missing","raw_status_logged")</x:f>
        <x:v>raw_status_missing</x:v>
      </x:c>
      <x:c r="Y1675" s="12" t="str">
        <x:f>IF(U1675="BLOCKED_PENDING_RECEIPT","Log source path or blocker; do not promote","Route to review lane")</x:f>
        <x:v>Log source path or blocker; do not promote</x:v>
      </x:c>
      <x:c r="Z1675" s="12" t="str">
        <x:f>IF(K1675="P0","Primary seat + Hashlight/Lucerna","Seat lane")</x:f>
        <x:v>Seat lane</x:v>
      </x:c>
      <x:c r="AA1675" s="12" t="str">
        <x:f>IF(R1675="","no_claim_delta","claim_delta_present")</x:f>
        <x:v>no_claim_delta</x:v>
      </x:c>
      <x:c r="AB1675" s="12" t="str">
        <x:f>IF(S1675="","no_contradiction_delta","contradiction_delta_present")</x:f>
        <x:v>no_contradiction_delta</x:v>
      </x:c>
      <x:c r="AC1675" s="12" t="str">
        <x:f>IF(OR(ISNUMBER(SEARCH("hacker",LOWER(F1675&amp;" "&amp;H1675&amp;" "&amp;I1675&amp;" "&amp;M1675&amp;" "&amp;N1675&amp;" "&amp;T1675))),ISNUMBER(SEARCH("hacking",LOWER(F1675&amp;" "&amp;H1675&amp;" "&amp;I1675&amp;" "&amp;M1675&amp;" "&amp;N1675&amp;" "&amp;T1675))),ISNUMBER(SEARCH("bank",LOWER(F1675&amp;" "&amp;H1675&amp;" "&amp;I1675&amp;" "&amp;M1675&amp;" "&amp;N1675&amp;" "&amp;T1675))),ISNUMBER(SEARCH("banking",LOWER(F1675&amp;" "&amp;H1675&amp;" "&amp;I1675&amp;" "&amp;M1675&amp;" "&amp;N1675&amp;" "&amp;T1675)))),"PRIVATE_QUARANTINE",IF(OR(ISNUMBER(SEARCH("treasury",LOWER(F1675&amp;" "&amp;H1675&amp;" "&amp;I1675&amp;" "&amp;M1675&amp;" "&amp;N1675&amp;" "&amp;T1675))),ISNUMBER(SEARCH("debt",LOWER(F1675&amp;" "&amp;H1675&amp;" "&amp;I1675&amp;" "&amp;M1675&amp;" "&amp;N1675&amp;" "&amp;T1675))),ISNUMBER(SEARCH("bond",LOWER(F1675&amp;" "&amp;H1675&amp;" "&amp;I1675&amp;" "&amp;M1675&amp;" "&amp;N1675&amp;" "&amp;T1675))),ISNUMBER(SEARCH("transaction",LOWER(F1675&amp;" "&amp;H1675&amp;" "&amp;I1675&amp;" "&amp;M1675&amp;" "&amp;N1675&amp;" "&amp;T1675)))),"PRIVATE_REVIEW","PUBLIC_CANDIDATE"))</x:f>
        <x:v>PUBLIC_CANDIDATE</x:v>
      </x:c>
      <x:c r="AD1675" s="12" t="str">
        <x:f>IF(AC1675="PRIVATE_QUARANTINE","hacker_or_bank_trigger",IF(AC1675="PRIVATE_REVIEW","finance_risk_trigger","none"))</x:f>
        <x:v>none</x:v>
      </x:c>
      <x:c r="AE1675" s="12" t="str">
        <x:f>IF(AC1675="PUBLIC_CANDIDATE","prepare_public_github_candidate",IF(AC1675="PRIVATE_REVIEW","hold_for_private_review","quarantine_private_do_not_publish"))</x:f>
        <x:v>prepare_public_github_candidate</x:v>
      </x:c>
      <x:c r="AF1675" s="12" t="str">
        <x:f>IF(AC1675="PUBLIC_CANDIDATE","TIDELOCK + Lucerna",IF(AC1675="PRIVATE_REVIEW","AtlasBrain + Lucerna","TIDELOCK + Lucerna + Human-root"))</x:f>
        <x:v>TIDELOCK + Lucerna</x:v>
      </x:c>
      <x:c r="AG1675" s="12" t="str">
        <x:f>IF(AND(AC1675="PUBLIC_CANDIDATE",U1675&lt;&gt;"BLOCKED_PENDING_RECEIPT"),"READY_AFTER_RECEIPT","NOT_READY")</x:f>
        <x:v>NOT_READY</x:v>
      </x:c>
      <x:c r="AH1675" s="12" t="str">
        <x:f>IF(AC1675="PUBLIC_CANDIDATE","none",AD1675)</x:f>
        <x:v>none</x:v>
      </x:c>
      <x:c r="AI1675" s="12" t="str">
        <x:f>IF(AC1675="PUBLIC_CANDIDATE","archive/public_candidates/"&amp;A1675,"private_quarantine/"&amp;A1675)</x:f>
        <x:v>archive/public_candidates/SWARM-12-H08-S06</x:v>
      </x:c>
      <x:c r="AJ1675" s="12" t="str">
        <x:f>IF(AC1675="PUBLIC_CANDIDATE","public by default; still not canon","private/hold; do not publish")</x:f>
        <x:v>public by default; still not canon</x:v>
      </x:c>
      <x:c r="AK1675" s="12" t="str">
        <x:f>IF(AE1675="prepare_public_github_candidate","add receipt/status then mirror","resolve blocker before any public GitHub action")</x:f>
        <x:v>add receipt/status then mirror</x:v>
      </x:c>
    </x:row>
    <x:row r="1676">
      <x:c r="A1676" s="15" t="str">
        <x:v>SWARM-12-H08-S07</x:v>
      </x:c>
      <x:c r="B1676" s="15" t="str">
        <x:v>JoySignal</x:v>
      </x:c>
      <x:c r="C1676" s="15" t="str">
        <x:v>Rest and morale keeper</x:v>
      </x:c>
      <x:c r="D1676" s="15" t="str">
        <x:v>Graph Edge Proposals</x:v>
      </x:c>
      <x:c r="E1676" s="15" t="str">
        <x:v>Planetarium</x:v>
      </x:c>
      <x:c r="F1676" s="15" t="str">
        <x:v>Propose graph edges for Planetarium — JoySignal</x:v>
      </x:c>
      <x:c r="G1676" s="15" t="str">
        <x:v>cadence / anti-burnout / safe completion language</x:v>
      </x:c>
      <x:c r="H1676" s="15" t="str">
        <x:v>source path + receipt + raw/export status + claim/edge/risk delta</x:v>
      </x:c>
      <x:c r="I1676" s="15" t="str">
        <x:v>packet/SWARM-12-H08-S07</x:v>
      </x:c>
      <x:c r="J1676" s="15" t="str">
        <x:v>TODO</x:v>
      </x:c>
      <x:c r="K1676" s="15" t="str">
        <x:v>P1</x:v>
      </x:c>
      <x:c r="L1676" s="15" t="str">
        <x:v>Done only when evidence is logged, contradiction search is noted, and boundary stamp remains non-canon unless ratified</x:v>
      </x:c>
      <x:c r="M1676" s="15" t="str">
        <x:v>candidate / staging-only / not canon / not deployed / authority none</x:v>
      </x:c>
      <x:c r="N1676" s="15" t="str">
        <x:v>Dispatch to JoySignal: complete Graph Edge Proposals x Planetarium; return deltas only, receipts required.</x:v>
      </x:c>
      <x:c r="O1676" s="15" t="str">
        <x:v>AF-KG-H08-S07</x:v>
      </x:c>
      <x:c r="P1676" s="15" t="str">
        <x:v>Unverified</x:v>
      </x:c>
      <x:c r="Q1676" s="15" t="str">
        <x:v>Not checked</x:v>
      </x:c>
      <x:c r="R1676" s="15" t="str"/>
      <x:c r="S1676" s="15" t="str"/>
      <x:c r="T1676" s="15" t="str">
        <x:v>Log first source path or blocker</x:v>
      </x:c>
      <x:c r="U1676" s="12" t="str">
        <x:f>IF(OR(P1676="Unverified",Q1676="Not checked"),"BLOCKED_PENDING_RECEIPT","READY_FOR_REVIEW")</x:f>
        <x:v>BLOCKED_PENDING_RECEIPT</x:v>
      </x:c>
      <x:c r="V1676" s="12" t="str">
        <x:f>IF(J1676="DONE","RETURNED",IF(U1676="BLOCKED_PENDING_RECEIPT","SOURCE_TOUCH_REQUIRED","IN_PROGRESS"))</x:f>
        <x:v>SOURCE_TOUCH_REQUIRED</x:v>
      </x:c>
      <x:c r="W1676" s="12" t="str">
        <x:f>IF(P1676="Unverified","missing_receipt","receipt_logged")</x:f>
        <x:v>missing_receipt</x:v>
      </x:c>
      <x:c r="X1676" s="12" t="str">
        <x:f>IF(Q1676="Not checked","raw_status_missing","raw_status_logged")</x:f>
        <x:v>raw_status_missing</x:v>
      </x:c>
      <x:c r="Y1676" s="12" t="str">
        <x:f>IF(U1676="BLOCKED_PENDING_RECEIPT","Log source path or blocker; do not promote","Route to review lane")</x:f>
        <x:v>Log source path or blocker; do not promote</x:v>
      </x:c>
      <x:c r="Z1676" s="12" t="str">
        <x:f>IF(K1676="P0","Primary seat + Hashlight/Lucerna","Seat lane")</x:f>
        <x:v>Seat lane</x:v>
      </x:c>
      <x:c r="AA1676" s="12" t="str">
        <x:f>IF(R1676="","no_claim_delta","claim_delta_present")</x:f>
        <x:v>no_claim_delta</x:v>
      </x:c>
      <x:c r="AB1676" s="12" t="str">
        <x:f>IF(S1676="","no_contradiction_delta","contradiction_delta_present")</x:f>
        <x:v>no_contradiction_delta</x:v>
      </x:c>
      <x:c r="AC1676" s="12" t="str">
        <x:f>IF(OR(ISNUMBER(SEARCH("hacker",LOWER(F1676&amp;" "&amp;H1676&amp;" "&amp;I1676&amp;" "&amp;M1676&amp;" "&amp;N1676&amp;" "&amp;T1676))),ISNUMBER(SEARCH("hacking",LOWER(F1676&amp;" "&amp;H1676&amp;" "&amp;I1676&amp;" "&amp;M1676&amp;" "&amp;N1676&amp;" "&amp;T1676))),ISNUMBER(SEARCH("bank",LOWER(F1676&amp;" "&amp;H1676&amp;" "&amp;I1676&amp;" "&amp;M1676&amp;" "&amp;N1676&amp;" "&amp;T1676))),ISNUMBER(SEARCH("banking",LOWER(F1676&amp;" "&amp;H1676&amp;" "&amp;I1676&amp;" "&amp;M1676&amp;" "&amp;N1676&amp;" "&amp;T1676)))),"PRIVATE_QUARANTINE",IF(OR(ISNUMBER(SEARCH("treasury",LOWER(F1676&amp;" "&amp;H1676&amp;" "&amp;I1676&amp;" "&amp;M1676&amp;" "&amp;N1676&amp;" "&amp;T1676))),ISNUMBER(SEARCH("debt",LOWER(F1676&amp;" "&amp;H1676&amp;" "&amp;I1676&amp;" "&amp;M1676&amp;" "&amp;N1676&amp;" "&amp;T1676))),ISNUMBER(SEARCH("bond",LOWER(F1676&amp;" "&amp;H1676&amp;" "&amp;I1676&amp;" "&amp;M1676&amp;" "&amp;N1676&amp;" "&amp;T1676))),ISNUMBER(SEARCH("transaction",LOWER(F1676&amp;" "&amp;H1676&amp;" "&amp;I1676&amp;" "&amp;M1676&amp;" "&amp;N1676&amp;" "&amp;T1676)))),"PRIVATE_REVIEW","PUBLIC_CANDIDATE"))</x:f>
        <x:v>PUBLIC_CANDIDATE</x:v>
      </x:c>
      <x:c r="AD1676" s="12" t="str">
        <x:f>IF(AC1676="PRIVATE_QUARANTINE","hacker_or_bank_trigger",IF(AC1676="PRIVATE_REVIEW","finance_risk_trigger","none"))</x:f>
        <x:v>none</x:v>
      </x:c>
      <x:c r="AE1676" s="12" t="str">
        <x:f>IF(AC1676="PUBLIC_CANDIDATE","prepare_public_github_candidate",IF(AC1676="PRIVATE_REVIEW","hold_for_private_review","quarantine_private_do_not_publish"))</x:f>
        <x:v>prepare_public_github_candidate</x:v>
      </x:c>
      <x:c r="AF1676" s="12" t="str">
        <x:f>IF(AC1676="PUBLIC_CANDIDATE","TIDELOCK + Lucerna",IF(AC1676="PRIVATE_REVIEW","AtlasBrain + Lucerna","TIDELOCK + Lucerna + Human-root"))</x:f>
        <x:v>TIDELOCK + Lucerna</x:v>
      </x:c>
      <x:c r="AG1676" s="12" t="str">
        <x:f>IF(AND(AC1676="PUBLIC_CANDIDATE",U1676&lt;&gt;"BLOCKED_PENDING_RECEIPT"),"READY_AFTER_RECEIPT","NOT_READY")</x:f>
        <x:v>NOT_READY</x:v>
      </x:c>
      <x:c r="AH1676" s="12" t="str">
        <x:f>IF(AC1676="PUBLIC_CANDIDATE","none",AD1676)</x:f>
        <x:v>none</x:v>
      </x:c>
      <x:c r="AI1676" s="12" t="str">
        <x:f>IF(AC1676="PUBLIC_CANDIDATE","archive/public_candidates/"&amp;A1676,"private_quarantine/"&amp;A1676)</x:f>
        <x:v>archive/public_candidates/SWARM-12-H08-S07</x:v>
      </x:c>
      <x:c r="AJ1676" s="12" t="str">
        <x:f>IF(AC1676="PUBLIC_CANDIDATE","public by default; still not canon","private/hold; do not publish")</x:f>
        <x:v>public by default; still not canon</x:v>
      </x:c>
      <x:c r="AK1676" s="12" t="str">
        <x:f>IF(AE1676="prepare_public_github_candidate","add receipt/status then mirror","resolve blocker before any public GitHub action")</x:f>
        <x:v>add receipt/status then mirror</x:v>
      </x:c>
    </x:row>
    <x:row r="1677">
      <x:c r="A1677" s="15" t="str">
        <x:v>SWARM-12-H08-S08</x:v>
      </x:c>
      <x:c r="B1677" s="15" t="str">
        <x:v>JoySignal</x:v>
      </x:c>
      <x:c r="C1677" s="15" t="str">
        <x:v>Rest and morale keeper</x:v>
      </x:c>
      <x:c r="D1677" s="15" t="str">
        <x:v>Graph Edge Proposals</x:v>
      </x:c>
      <x:c r="E1677" s="15" t="str">
        <x:v>Sheldonbrain</x:v>
      </x:c>
      <x:c r="F1677" s="15" t="str">
        <x:v>Propose graph edges for Sheldonbrain — JoySignal</x:v>
      </x:c>
      <x:c r="G1677" s="15" t="str">
        <x:v>cadence / anti-burnout / safe completion language</x:v>
      </x:c>
      <x:c r="H1677" s="15" t="str">
        <x:v>source path + receipt + raw/export status + claim/edge/risk delta</x:v>
      </x:c>
      <x:c r="I1677" s="15" t="str">
        <x:v>packet/SWARM-12-H08-S08</x:v>
      </x:c>
      <x:c r="J1677" s="15" t="str">
        <x:v>TODO</x:v>
      </x:c>
      <x:c r="K1677" s="15" t="str">
        <x:v>P1</x:v>
      </x:c>
      <x:c r="L1677" s="15" t="str">
        <x:v>Done only when evidence is logged, contradiction search is noted, and boundary stamp remains non-canon unless ratified</x:v>
      </x:c>
      <x:c r="M1677" s="15" t="str">
        <x:v>candidate / staging-only / not canon / not deployed / authority none</x:v>
      </x:c>
      <x:c r="N1677" s="15" t="str">
        <x:v>Dispatch to JoySignal: complete Graph Edge Proposals x Sheldonbrain; return deltas only, receipts required.</x:v>
      </x:c>
      <x:c r="O1677" s="15" t="str">
        <x:v>AF-KG-H08-S08</x:v>
      </x:c>
      <x:c r="P1677" s="15" t="str">
        <x:v>Unverified</x:v>
      </x:c>
      <x:c r="Q1677" s="15" t="str">
        <x:v>Not checked</x:v>
      </x:c>
      <x:c r="R1677" s="15" t="str"/>
      <x:c r="S1677" s="15" t="str"/>
      <x:c r="T1677" s="15" t="str">
        <x:v>Log first source path or blocker</x:v>
      </x:c>
      <x:c r="U1677" s="12" t="str">
        <x:f>IF(OR(P1677="Unverified",Q1677="Not checked"),"BLOCKED_PENDING_RECEIPT","READY_FOR_REVIEW")</x:f>
        <x:v>BLOCKED_PENDING_RECEIPT</x:v>
      </x:c>
      <x:c r="V1677" s="12" t="str">
        <x:f>IF(J1677="DONE","RETURNED",IF(U1677="BLOCKED_PENDING_RECEIPT","SOURCE_TOUCH_REQUIRED","IN_PROGRESS"))</x:f>
        <x:v>SOURCE_TOUCH_REQUIRED</x:v>
      </x:c>
      <x:c r="W1677" s="12" t="str">
        <x:f>IF(P1677="Unverified","missing_receipt","receipt_logged")</x:f>
        <x:v>missing_receipt</x:v>
      </x:c>
      <x:c r="X1677" s="12" t="str">
        <x:f>IF(Q1677="Not checked","raw_status_missing","raw_status_logged")</x:f>
        <x:v>raw_status_missing</x:v>
      </x:c>
      <x:c r="Y1677" s="12" t="str">
        <x:f>IF(U1677="BLOCKED_PENDING_RECEIPT","Log source path or blocker; do not promote","Route to review lane")</x:f>
        <x:v>Log source path or blocker; do not promote</x:v>
      </x:c>
      <x:c r="Z1677" s="12" t="str">
        <x:f>IF(K1677="P0","Primary seat + Hashlight/Lucerna","Seat lane")</x:f>
        <x:v>Seat lane</x:v>
      </x:c>
      <x:c r="AA1677" s="12" t="str">
        <x:f>IF(R1677="","no_claim_delta","claim_delta_present")</x:f>
        <x:v>no_claim_delta</x:v>
      </x:c>
      <x:c r="AB1677" s="12" t="str">
        <x:f>IF(S1677="","no_contradiction_delta","contradiction_delta_present")</x:f>
        <x:v>no_contradiction_delta</x:v>
      </x:c>
      <x:c r="AC1677" s="12" t="str">
        <x:f>IF(OR(ISNUMBER(SEARCH("hacker",LOWER(F1677&amp;" "&amp;H1677&amp;" "&amp;I1677&amp;" "&amp;M1677&amp;" "&amp;N1677&amp;" "&amp;T1677))),ISNUMBER(SEARCH("hacking",LOWER(F1677&amp;" "&amp;H1677&amp;" "&amp;I1677&amp;" "&amp;M1677&amp;" "&amp;N1677&amp;" "&amp;T1677))),ISNUMBER(SEARCH("bank",LOWER(F1677&amp;" "&amp;H1677&amp;" "&amp;I1677&amp;" "&amp;M1677&amp;" "&amp;N1677&amp;" "&amp;T1677))),ISNUMBER(SEARCH("banking",LOWER(F1677&amp;" "&amp;H1677&amp;" "&amp;I1677&amp;" "&amp;M1677&amp;" "&amp;N1677&amp;" "&amp;T1677)))),"PRIVATE_QUARANTINE",IF(OR(ISNUMBER(SEARCH("treasury",LOWER(F1677&amp;" "&amp;H1677&amp;" "&amp;I1677&amp;" "&amp;M1677&amp;" "&amp;N1677&amp;" "&amp;T1677))),ISNUMBER(SEARCH("debt",LOWER(F1677&amp;" "&amp;H1677&amp;" "&amp;I1677&amp;" "&amp;M1677&amp;" "&amp;N1677&amp;" "&amp;T1677))),ISNUMBER(SEARCH("bond",LOWER(F1677&amp;" "&amp;H1677&amp;" "&amp;I1677&amp;" "&amp;M1677&amp;" "&amp;N1677&amp;" "&amp;T1677))),ISNUMBER(SEARCH("transaction",LOWER(F1677&amp;" "&amp;H1677&amp;" "&amp;I1677&amp;" "&amp;M1677&amp;" "&amp;N1677&amp;" "&amp;T1677)))),"PRIVATE_REVIEW","PUBLIC_CANDIDATE"))</x:f>
        <x:v>PUBLIC_CANDIDATE</x:v>
      </x:c>
      <x:c r="AD1677" s="12" t="str">
        <x:f>IF(AC1677="PRIVATE_QUARANTINE","hacker_or_bank_trigger",IF(AC1677="PRIVATE_REVIEW","finance_risk_trigger","none"))</x:f>
        <x:v>none</x:v>
      </x:c>
      <x:c r="AE1677" s="12" t="str">
        <x:f>IF(AC1677="PUBLIC_CANDIDATE","prepare_public_github_candidate",IF(AC1677="PRIVATE_REVIEW","hold_for_private_review","quarantine_private_do_not_publish"))</x:f>
        <x:v>prepare_public_github_candidate</x:v>
      </x:c>
      <x:c r="AF1677" s="12" t="str">
        <x:f>IF(AC1677="PUBLIC_CANDIDATE","TIDELOCK + Lucerna",IF(AC1677="PRIVATE_REVIEW","AtlasBrain + Lucerna","TIDELOCK + Lucerna + Human-root"))</x:f>
        <x:v>TIDELOCK + Lucerna</x:v>
      </x:c>
      <x:c r="AG1677" s="12" t="str">
        <x:f>IF(AND(AC1677="PUBLIC_CANDIDATE",U1677&lt;&gt;"BLOCKED_PENDING_RECEIPT"),"READY_AFTER_RECEIPT","NOT_READY")</x:f>
        <x:v>NOT_READY</x:v>
      </x:c>
      <x:c r="AH1677" s="12" t="str">
        <x:f>IF(AC1677="PUBLIC_CANDIDATE","none",AD1677)</x:f>
        <x:v>none</x:v>
      </x:c>
      <x:c r="AI1677" s="12" t="str">
        <x:f>IF(AC1677="PUBLIC_CANDIDATE","archive/public_candidates/"&amp;A1677,"private_quarantine/"&amp;A1677)</x:f>
        <x:v>archive/public_candidates/SWARM-12-H08-S08</x:v>
      </x:c>
      <x:c r="AJ1677" s="12" t="str">
        <x:f>IF(AC1677="PUBLIC_CANDIDATE","public by default; still not canon","private/hold; do not publish")</x:f>
        <x:v>public by default; still not canon</x:v>
      </x:c>
      <x:c r="AK1677" s="12" t="str">
        <x:f>IF(AE1677="prepare_public_github_candidate","add receipt/status then mirror","resolve blocker before any public GitHub action")</x:f>
        <x:v>add receipt/status then mirror</x:v>
      </x:c>
    </x:row>
    <x:row r="1678">
      <x:c r="A1678" s="15" t="str">
        <x:v>SWARM-12-H08-S09</x:v>
      </x:c>
      <x:c r="B1678" s="15" t="str">
        <x:v>JoySignal</x:v>
      </x:c>
      <x:c r="C1678" s="15" t="str">
        <x:v>Rest and morale keeper</x:v>
      </x:c>
      <x:c r="D1678" s="15" t="str">
        <x:v>Graph Edge Proposals</x:v>
      </x:c>
      <x:c r="E1678" s="15" t="str">
        <x:v>Aetherforge</x:v>
      </x:c>
      <x:c r="F1678" s="15" t="str">
        <x:v>Propose graph edges for Aetherforge — JoySignal</x:v>
      </x:c>
      <x:c r="G1678" s="15" t="str">
        <x:v>cadence / anti-burnout / safe completion language</x:v>
      </x:c>
      <x:c r="H1678" s="15" t="str">
        <x:v>source path + receipt + raw/export status + claim/edge/risk delta</x:v>
      </x:c>
      <x:c r="I1678" s="15" t="str">
        <x:v>packet/SWARM-12-H08-S09</x:v>
      </x:c>
      <x:c r="J1678" s="15" t="str">
        <x:v>TODO</x:v>
      </x:c>
      <x:c r="K1678" s="15" t="str">
        <x:v>P2</x:v>
      </x:c>
      <x:c r="L1678" s="15" t="str">
        <x:v>Done only when evidence is logged, contradiction search is noted, and boundary stamp remains non-canon unless ratified</x:v>
      </x:c>
      <x:c r="M1678" s="15" t="str">
        <x:v>candidate / staging-only / not canon / not deployed / authority none</x:v>
      </x:c>
      <x:c r="N1678" s="15" t="str">
        <x:v>Dispatch to JoySignal: complete Graph Edge Proposals x Aetherforge; return deltas only, receipts required.</x:v>
      </x:c>
      <x:c r="O1678" s="15" t="str">
        <x:v>AF-KG-H08-S09</x:v>
      </x:c>
      <x:c r="P1678" s="15" t="str">
        <x:v>Unverified</x:v>
      </x:c>
      <x:c r="Q1678" s="15" t="str">
        <x:v>Not checked</x:v>
      </x:c>
      <x:c r="R1678" s="15" t="str"/>
      <x:c r="S1678" s="15" t="str"/>
      <x:c r="T1678" s="15" t="str">
        <x:v>Log first source path or blocker</x:v>
      </x:c>
      <x:c r="U1678" s="12" t="str">
        <x:f>IF(OR(P1678="Unverified",Q1678="Not checked"),"BLOCKED_PENDING_RECEIPT","READY_FOR_REVIEW")</x:f>
        <x:v>BLOCKED_PENDING_RECEIPT</x:v>
      </x:c>
      <x:c r="V1678" s="12" t="str">
        <x:f>IF(J1678="DONE","RETURNED",IF(U1678="BLOCKED_PENDING_RECEIPT","SOURCE_TOUCH_REQUIRED","IN_PROGRESS"))</x:f>
        <x:v>SOURCE_TOUCH_REQUIRED</x:v>
      </x:c>
      <x:c r="W1678" s="12" t="str">
        <x:f>IF(P1678="Unverified","missing_receipt","receipt_logged")</x:f>
        <x:v>missing_receipt</x:v>
      </x:c>
      <x:c r="X1678" s="12" t="str">
        <x:f>IF(Q1678="Not checked","raw_status_missing","raw_status_logged")</x:f>
        <x:v>raw_status_missing</x:v>
      </x:c>
      <x:c r="Y1678" s="12" t="str">
        <x:f>IF(U1678="BLOCKED_PENDING_RECEIPT","Log source path or blocker; do not promote","Route to review lane")</x:f>
        <x:v>Log source path or blocker; do not promote</x:v>
      </x:c>
      <x:c r="Z1678" s="12" t="str">
        <x:f>IF(K1678="P0","Primary seat + Hashlight/Lucerna","Seat lane")</x:f>
        <x:v>Seat lane</x:v>
      </x:c>
      <x:c r="AA1678" s="12" t="str">
        <x:f>IF(R1678="","no_claim_delta","claim_delta_present")</x:f>
        <x:v>no_claim_delta</x:v>
      </x:c>
      <x:c r="AB1678" s="12" t="str">
        <x:f>IF(S1678="","no_contradiction_delta","contradiction_delta_present")</x:f>
        <x:v>no_contradiction_delta</x:v>
      </x:c>
      <x:c r="AC1678" s="12" t="str">
        <x:f>IF(OR(ISNUMBER(SEARCH("hacker",LOWER(F1678&amp;" "&amp;H1678&amp;" "&amp;I1678&amp;" "&amp;M1678&amp;" "&amp;N1678&amp;" "&amp;T1678))),ISNUMBER(SEARCH("hacking",LOWER(F1678&amp;" "&amp;H1678&amp;" "&amp;I1678&amp;" "&amp;M1678&amp;" "&amp;N1678&amp;" "&amp;T1678))),ISNUMBER(SEARCH("bank",LOWER(F1678&amp;" "&amp;H1678&amp;" "&amp;I1678&amp;" "&amp;M1678&amp;" "&amp;N1678&amp;" "&amp;T1678))),ISNUMBER(SEARCH("banking",LOWER(F1678&amp;" "&amp;H1678&amp;" "&amp;I1678&amp;" "&amp;M1678&amp;" "&amp;N1678&amp;" "&amp;T1678)))),"PRIVATE_QUARANTINE",IF(OR(ISNUMBER(SEARCH("treasury",LOWER(F1678&amp;" "&amp;H1678&amp;" "&amp;I1678&amp;" "&amp;M1678&amp;" "&amp;N1678&amp;" "&amp;T1678))),ISNUMBER(SEARCH("debt",LOWER(F1678&amp;" "&amp;H1678&amp;" "&amp;I1678&amp;" "&amp;M1678&amp;" "&amp;N1678&amp;" "&amp;T1678))),ISNUMBER(SEARCH("bond",LOWER(F1678&amp;" "&amp;H1678&amp;" "&amp;I1678&amp;" "&amp;M1678&amp;" "&amp;N1678&amp;" "&amp;T1678))),ISNUMBER(SEARCH("transaction",LOWER(F1678&amp;" "&amp;H1678&amp;" "&amp;I1678&amp;" "&amp;M1678&amp;" "&amp;N1678&amp;" "&amp;T1678)))),"PRIVATE_REVIEW","PUBLIC_CANDIDATE"))</x:f>
        <x:v>PUBLIC_CANDIDATE</x:v>
      </x:c>
      <x:c r="AD1678" s="12" t="str">
        <x:f>IF(AC1678="PRIVATE_QUARANTINE","hacker_or_bank_trigger",IF(AC1678="PRIVATE_REVIEW","finance_risk_trigger","none"))</x:f>
        <x:v>none</x:v>
      </x:c>
      <x:c r="AE1678" s="12" t="str">
        <x:f>IF(AC1678="PUBLIC_CANDIDATE","prepare_public_github_candidate",IF(AC1678="PRIVATE_REVIEW","hold_for_private_review","quarantine_private_do_not_publish"))</x:f>
        <x:v>prepare_public_github_candidate</x:v>
      </x:c>
      <x:c r="AF1678" s="12" t="str">
        <x:f>IF(AC1678="PUBLIC_CANDIDATE","TIDELOCK + Lucerna",IF(AC1678="PRIVATE_REVIEW","AtlasBrain + Lucerna","TIDELOCK + Lucerna + Human-root"))</x:f>
        <x:v>TIDELOCK + Lucerna</x:v>
      </x:c>
      <x:c r="AG1678" s="12" t="str">
        <x:f>IF(AND(AC1678="PUBLIC_CANDIDATE",U1678&lt;&gt;"BLOCKED_PENDING_RECEIPT"),"READY_AFTER_RECEIPT","NOT_READY")</x:f>
        <x:v>NOT_READY</x:v>
      </x:c>
      <x:c r="AH1678" s="12" t="str">
        <x:f>IF(AC1678="PUBLIC_CANDIDATE","none",AD1678)</x:f>
        <x:v>none</x:v>
      </x:c>
      <x:c r="AI1678" s="12" t="str">
        <x:f>IF(AC1678="PUBLIC_CANDIDATE","archive/public_candidates/"&amp;A1678,"private_quarantine/"&amp;A1678)</x:f>
        <x:v>archive/public_candidates/SWARM-12-H08-S09</x:v>
      </x:c>
      <x:c r="AJ1678" s="12" t="str">
        <x:f>IF(AC1678="PUBLIC_CANDIDATE","public by default; still not canon","private/hold; do not publish")</x:f>
        <x:v>public by default; still not canon</x:v>
      </x:c>
      <x:c r="AK1678" s="12" t="str">
        <x:f>IF(AE1678="prepare_public_github_candidate","add receipt/status then mirror","resolve blocker before any public GitHub action")</x:f>
        <x:v>add receipt/status then mirror</x:v>
      </x:c>
    </x:row>
    <x:row r="1679">
      <x:c r="A1679" s="15" t="str">
        <x:v>SWARM-12-H08-S10</x:v>
      </x:c>
      <x:c r="B1679" s="15" t="str">
        <x:v>JoySignal</x:v>
      </x:c>
      <x:c r="C1679" s="15" t="str">
        <x:v>Rest and morale keeper</x:v>
      </x:c>
      <x:c r="D1679" s="15" t="str">
        <x:v>Graph Edge Proposals</x:v>
      </x:c>
      <x:c r="E1679" s="15" t="str">
        <x:v>Human-Root</x:v>
      </x:c>
      <x:c r="F1679" s="15" t="str">
        <x:v>Propose graph edges for Human-Root — JoySignal</x:v>
      </x:c>
      <x:c r="G1679" s="15" t="str">
        <x:v>cadence / anti-burnout / safe completion language</x:v>
      </x:c>
      <x:c r="H1679" s="15" t="str">
        <x:v>source path + receipt + raw/export status + claim/edge/risk delta</x:v>
      </x:c>
      <x:c r="I1679" s="15" t="str">
        <x:v>packet/SWARM-12-H08-S10</x:v>
      </x:c>
      <x:c r="J1679" s="15" t="str">
        <x:v>TODO</x:v>
      </x:c>
      <x:c r="K1679" s="15" t="str">
        <x:v>P2</x:v>
      </x:c>
      <x:c r="L1679" s="15" t="str">
        <x:v>Done only when evidence is logged, contradiction search is noted, and boundary stamp remains non-canon unless ratified</x:v>
      </x:c>
      <x:c r="M1679" s="15" t="str">
        <x:v>candidate / staging-only / not canon / not deployed / authority none</x:v>
      </x:c>
      <x:c r="N1679" s="15" t="str">
        <x:v>Dispatch to JoySignal: complete Graph Edge Proposals x Human-Root; return deltas only, receipts required.</x:v>
      </x:c>
      <x:c r="O1679" s="15" t="str">
        <x:v>AF-KG-H08-S10</x:v>
      </x:c>
      <x:c r="P1679" s="15" t="str">
        <x:v>Unverified</x:v>
      </x:c>
      <x:c r="Q1679" s="15" t="str">
        <x:v>Not checked</x:v>
      </x:c>
      <x:c r="R1679" s="15" t="str"/>
      <x:c r="S1679" s="15" t="str"/>
      <x:c r="T1679" s="15" t="str">
        <x:v>Log first source path or blocker</x:v>
      </x:c>
      <x:c r="U1679" s="12" t="str">
        <x:f>IF(OR(P1679="Unverified",Q1679="Not checked"),"BLOCKED_PENDING_RECEIPT","READY_FOR_REVIEW")</x:f>
        <x:v>BLOCKED_PENDING_RECEIPT</x:v>
      </x:c>
      <x:c r="V1679" s="12" t="str">
        <x:f>IF(J1679="DONE","RETURNED",IF(U1679="BLOCKED_PENDING_RECEIPT","SOURCE_TOUCH_REQUIRED","IN_PROGRESS"))</x:f>
        <x:v>SOURCE_TOUCH_REQUIRED</x:v>
      </x:c>
      <x:c r="W1679" s="12" t="str">
        <x:f>IF(P1679="Unverified","missing_receipt","receipt_logged")</x:f>
        <x:v>missing_receipt</x:v>
      </x:c>
      <x:c r="X1679" s="12" t="str">
        <x:f>IF(Q1679="Not checked","raw_status_missing","raw_status_logged")</x:f>
        <x:v>raw_status_missing</x:v>
      </x:c>
      <x:c r="Y1679" s="12" t="str">
        <x:f>IF(U1679="BLOCKED_PENDING_RECEIPT","Log source path or blocker; do not promote","Route to review lane")</x:f>
        <x:v>Log source path or blocker; do not promote</x:v>
      </x:c>
      <x:c r="Z1679" s="12" t="str">
        <x:f>IF(K1679="P0","Primary seat + Hashlight/Lucerna","Seat lane")</x:f>
        <x:v>Seat lane</x:v>
      </x:c>
      <x:c r="AA1679" s="12" t="str">
        <x:f>IF(R1679="","no_claim_delta","claim_delta_present")</x:f>
        <x:v>no_claim_delta</x:v>
      </x:c>
      <x:c r="AB1679" s="12" t="str">
        <x:f>IF(S1679="","no_contradiction_delta","contradiction_delta_present")</x:f>
        <x:v>no_contradiction_delta</x:v>
      </x:c>
      <x:c r="AC1679" s="12" t="str">
        <x:f>IF(OR(ISNUMBER(SEARCH("hacker",LOWER(F1679&amp;" "&amp;H1679&amp;" "&amp;I1679&amp;" "&amp;M1679&amp;" "&amp;N1679&amp;" "&amp;T1679))),ISNUMBER(SEARCH("hacking",LOWER(F1679&amp;" "&amp;H1679&amp;" "&amp;I1679&amp;" "&amp;M1679&amp;" "&amp;N1679&amp;" "&amp;T1679))),ISNUMBER(SEARCH("bank",LOWER(F1679&amp;" "&amp;H1679&amp;" "&amp;I1679&amp;" "&amp;M1679&amp;" "&amp;N1679&amp;" "&amp;T1679))),ISNUMBER(SEARCH("banking",LOWER(F1679&amp;" "&amp;H1679&amp;" "&amp;I1679&amp;" "&amp;M1679&amp;" "&amp;N1679&amp;" "&amp;T1679)))),"PRIVATE_QUARANTINE",IF(OR(ISNUMBER(SEARCH("treasury",LOWER(F1679&amp;" "&amp;H1679&amp;" "&amp;I1679&amp;" "&amp;M1679&amp;" "&amp;N1679&amp;" "&amp;T1679))),ISNUMBER(SEARCH("debt",LOWER(F1679&amp;" "&amp;H1679&amp;" "&amp;I1679&amp;" "&amp;M1679&amp;" "&amp;N1679&amp;" "&amp;T1679))),ISNUMBER(SEARCH("bond",LOWER(F1679&amp;" "&amp;H1679&amp;" "&amp;I1679&amp;" "&amp;M1679&amp;" "&amp;N1679&amp;" "&amp;T1679))),ISNUMBER(SEARCH("transaction",LOWER(F1679&amp;" "&amp;H1679&amp;" "&amp;I1679&amp;" "&amp;M1679&amp;" "&amp;N1679&amp;" "&amp;T1679)))),"PRIVATE_REVIEW","PUBLIC_CANDIDATE"))</x:f>
        <x:v>PUBLIC_CANDIDATE</x:v>
      </x:c>
      <x:c r="AD1679" s="12" t="str">
        <x:f>IF(AC1679="PRIVATE_QUARANTINE","hacker_or_bank_trigger",IF(AC1679="PRIVATE_REVIEW","finance_risk_trigger","none"))</x:f>
        <x:v>none</x:v>
      </x:c>
      <x:c r="AE1679" s="12" t="str">
        <x:f>IF(AC1679="PUBLIC_CANDIDATE","prepare_public_github_candidate",IF(AC1679="PRIVATE_REVIEW","hold_for_private_review","quarantine_private_do_not_publish"))</x:f>
        <x:v>prepare_public_github_candidate</x:v>
      </x:c>
      <x:c r="AF1679" s="12" t="str">
        <x:f>IF(AC1679="PUBLIC_CANDIDATE","TIDELOCK + Lucerna",IF(AC1679="PRIVATE_REVIEW","AtlasBrain + Lucerna","TIDELOCK + Lucerna + Human-root"))</x:f>
        <x:v>TIDELOCK + Lucerna</x:v>
      </x:c>
      <x:c r="AG1679" s="12" t="str">
        <x:f>IF(AND(AC1679="PUBLIC_CANDIDATE",U1679&lt;&gt;"BLOCKED_PENDING_RECEIPT"),"READY_AFTER_RECEIPT","NOT_READY")</x:f>
        <x:v>NOT_READY</x:v>
      </x:c>
      <x:c r="AH1679" s="12" t="str">
        <x:f>IF(AC1679="PUBLIC_CANDIDATE","none",AD1679)</x:f>
        <x:v>none</x:v>
      </x:c>
      <x:c r="AI1679" s="12" t="str">
        <x:f>IF(AC1679="PUBLIC_CANDIDATE","archive/public_candidates/"&amp;A1679,"private_quarantine/"&amp;A1679)</x:f>
        <x:v>archive/public_candidates/SWARM-12-H08-S10</x:v>
      </x:c>
      <x:c r="AJ1679" s="12" t="str">
        <x:f>IF(AC1679="PUBLIC_CANDIDATE","public by default; still not canon","private/hold; do not publish")</x:f>
        <x:v>public by default; still not canon</x:v>
      </x:c>
      <x:c r="AK1679" s="12" t="str">
        <x:f>IF(AE1679="prepare_public_github_candidate","add receipt/status then mirror","resolve blocker before any public GitHub action")</x:f>
        <x:v>add receipt/status then mirror</x:v>
      </x:c>
    </x:row>
    <x:row r="1680">
      <x:c r="A1680" s="15" t="str">
        <x:v>SWARM-12-H08-S11</x:v>
      </x:c>
      <x:c r="B1680" s="15" t="str">
        <x:v>JoySignal</x:v>
      </x:c>
      <x:c r="C1680" s="15" t="str">
        <x:v>Rest and morale keeper</x:v>
      </x:c>
      <x:c r="D1680" s="15" t="str">
        <x:v>Graph Edge Proposals</x:v>
      </x:c>
      <x:c r="E1680" s="15" t="str">
        <x:v>Automation</x:v>
      </x:c>
      <x:c r="F1680" s="15" t="str">
        <x:v>Propose graph edges for Automation — JoySignal</x:v>
      </x:c>
      <x:c r="G1680" s="15" t="str">
        <x:v>cadence / anti-burnout / safe completion language</x:v>
      </x:c>
      <x:c r="H1680" s="15" t="str">
        <x:v>source path + receipt + raw/export status + claim/edge/risk delta</x:v>
      </x:c>
      <x:c r="I1680" s="15" t="str">
        <x:v>packet/SWARM-12-H08-S11</x:v>
      </x:c>
      <x:c r="J1680" s="15" t="str">
        <x:v>TODO</x:v>
      </x:c>
      <x:c r="K1680" s="15" t="str">
        <x:v>P2</x:v>
      </x:c>
      <x:c r="L1680" s="15" t="str">
        <x:v>Done only when evidence is logged, contradiction search is noted, and boundary stamp remains non-canon unless ratified</x:v>
      </x:c>
      <x:c r="M1680" s="15" t="str">
        <x:v>candidate / staging-only / not canon / not deployed / authority none</x:v>
      </x:c>
      <x:c r="N1680" s="15" t="str">
        <x:v>Dispatch to JoySignal: complete Graph Edge Proposals x Automation; return deltas only, receipts required.</x:v>
      </x:c>
      <x:c r="O1680" s="15" t="str">
        <x:v>AF-KG-H08-S11</x:v>
      </x:c>
      <x:c r="P1680" s="15" t="str">
        <x:v>Unverified</x:v>
      </x:c>
      <x:c r="Q1680" s="15" t="str">
        <x:v>Not checked</x:v>
      </x:c>
      <x:c r="R1680" s="15" t="str"/>
      <x:c r="S1680" s="15" t="str"/>
      <x:c r="T1680" s="15" t="str">
        <x:v>Log first source path or blocker</x:v>
      </x:c>
      <x:c r="U1680" s="12" t="str">
        <x:f>IF(OR(P1680="Unverified",Q1680="Not checked"),"BLOCKED_PENDING_RECEIPT","READY_FOR_REVIEW")</x:f>
        <x:v>BLOCKED_PENDING_RECEIPT</x:v>
      </x:c>
      <x:c r="V1680" s="12" t="str">
        <x:f>IF(J1680="DONE","RETURNED",IF(U1680="BLOCKED_PENDING_RECEIPT","SOURCE_TOUCH_REQUIRED","IN_PROGRESS"))</x:f>
        <x:v>SOURCE_TOUCH_REQUIRED</x:v>
      </x:c>
      <x:c r="W1680" s="12" t="str">
        <x:f>IF(P1680="Unverified","missing_receipt","receipt_logged")</x:f>
        <x:v>missing_receipt</x:v>
      </x:c>
      <x:c r="X1680" s="12" t="str">
        <x:f>IF(Q1680="Not checked","raw_status_missing","raw_status_logged")</x:f>
        <x:v>raw_status_missing</x:v>
      </x:c>
      <x:c r="Y1680" s="12" t="str">
        <x:f>IF(U1680="BLOCKED_PENDING_RECEIPT","Log source path or blocker; do not promote","Route to review lane")</x:f>
        <x:v>Log source path or blocker; do not promote</x:v>
      </x:c>
      <x:c r="Z1680" s="12" t="str">
        <x:f>IF(K1680="P0","Primary seat + Hashlight/Lucerna","Seat lane")</x:f>
        <x:v>Seat lane</x:v>
      </x:c>
      <x:c r="AA1680" s="12" t="str">
        <x:f>IF(R1680="","no_claim_delta","claim_delta_present")</x:f>
        <x:v>no_claim_delta</x:v>
      </x:c>
      <x:c r="AB1680" s="12" t="str">
        <x:f>IF(S1680="","no_contradiction_delta","contradiction_delta_present")</x:f>
        <x:v>no_contradiction_delta</x:v>
      </x:c>
      <x:c r="AC1680" s="12" t="str">
        <x:f>IF(OR(ISNUMBER(SEARCH("hacker",LOWER(F1680&amp;" "&amp;H1680&amp;" "&amp;I1680&amp;" "&amp;M1680&amp;" "&amp;N1680&amp;" "&amp;T1680))),ISNUMBER(SEARCH("hacking",LOWER(F1680&amp;" "&amp;H1680&amp;" "&amp;I1680&amp;" "&amp;M1680&amp;" "&amp;N1680&amp;" "&amp;T1680))),ISNUMBER(SEARCH("bank",LOWER(F1680&amp;" "&amp;H1680&amp;" "&amp;I1680&amp;" "&amp;M1680&amp;" "&amp;N1680&amp;" "&amp;T1680))),ISNUMBER(SEARCH("banking",LOWER(F1680&amp;" "&amp;H1680&amp;" "&amp;I1680&amp;" "&amp;M1680&amp;" "&amp;N1680&amp;" "&amp;T1680)))),"PRIVATE_QUARANTINE",IF(OR(ISNUMBER(SEARCH("treasury",LOWER(F1680&amp;" "&amp;H1680&amp;" "&amp;I1680&amp;" "&amp;M1680&amp;" "&amp;N1680&amp;" "&amp;T1680))),ISNUMBER(SEARCH("debt",LOWER(F1680&amp;" "&amp;H1680&amp;" "&amp;I1680&amp;" "&amp;M1680&amp;" "&amp;N1680&amp;" "&amp;T1680))),ISNUMBER(SEARCH("bond",LOWER(F1680&amp;" "&amp;H1680&amp;" "&amp;I1680&amp;" "&amp;M1680&amp;" "&amp;N1680&amp;" "&amp;T1680))),ISNUMBER(SEARCH("transaction",LOWER(F1680&amp;" "&amp;H1680&amp;" "&amp;I1680&amp;" "&amp;M1680&amp;" "&amp;N1680&amp;" "&amp;T1680)))),"PRIVATE_REVIEW","PUBLIC_CANDIDATE"))</x:f>
        <x:v>PUBLIC_CANDIDATE</x:v>
      </x:c>
      <x:c r="AD1680" s="12" t="str">
        <x:f>IF(AC1680="PRIVATE_QUARANTINE","hacker_or_bank_trigger",IF(AC1680="PRIVATE_REVIEW","finance_risk_trigger","none"))</x:f>
        <x:v>none</x:v>
      </x:c>
      <x:c r="AE1680" s="12" t="str">
        <x:f>IF(AC1680="PUBLIC_CANDIDATE","prepare_public_github_candidate",IF(AC1680="PRIVATE_REVIEW","hold_for_private_review","quarantine_private_do_not_publish"))</x:f>
        <x:v>prepare_public_github_candidate</x:v>
      </x:c>
      <x:c r="AF1680" s="12" t="str">
        <x:f>IF(AC1680="PUBLIC_CANDIDATE","TIDELOCK + Lucerna",IF(AC1680="PRIVATE_REVIEW","AtlasBrain + Lucerna","TIDELOCK + Lucerna + Human-root"))</x:f>
        <x:v>TIDELOCK + Lucerna</x:v>
      </x:c>
      <x:c r="AG1680" s="12" t="str">
        <x:f>IF(AND(AC1680="PUBLIC_CANDIDATE",U1680&lt;&gt;"BLOCKED_PENDING_RECEIPT"),"READY_AFTER_RECEIPT","NOT_READY")</x:f>
        <x:v>NOT_READY</x:v>
      </x:c>
      <x:c r="AH1680" s="12" t="str">
        <x:f>IF(AC1680="PUBLIC_CANDIDATE","none",AD1680)</x:f>
        <x:v>none</x:v>
      </x:c>
      <x:c r="AI1680" s="12" t="str">
        <x:f>IF(AC1680="PUBLIC_CANDIDATE","archive/public_candidates/"&amp;A1680,"private_quarantine/"&amp;A1680)</x:f>
        <x:v>archive/public_candidates/SWARM-12-H08-S11</x:v>
      </x:c>
      <x:c r="AJ1680" s="12" t="str">
        <x:f>IF(AC1680="PUBLIC_CANDIDATE","public by default; still not canon","private/hold; do not publish")</x:f>
        <x:v>public by default; still not canon</x:v>
      </x:c>
      <x:c r="AK1680" s="12" t="str">
        <x:f>IF(AE1680="prepare_public_github_candidate","add receipt/status then mirror","resolve blocker before any public GitHub action")</x:f>
        <x:v>add receipt/status then mirror</x:v>
      </x:c>
    </x:row>
    <x:row r="1681">
      <x:c r="A1681" s="15" t="str">
        <x:v>SWARM-12-H08-S12</x:v>
      </x:c>
      <x:c r="B1681" s="15" t="str">
        <x:v>JoySignal</x:v>
      </x:c>
      <x:c r="C1681" s="15" t="str">
        <x:v>Rest and morale keeper</x:v>
      </x:c>
      <x:c r="D1681" s="15" t="str">
        <x:v>Graph Edge Proposals</x:v>
      </x:c>
      <x:c r="E1681" s="15" t="str">
        <x:v>Risk / Safety</x:v>
      </x:c>
      <x:c r="F1681" s="15" t="str">
        <x:v>Propose graph edges for Risk / Safety — JoySignal</x:v>
      </x:c>
      <x:c r="G1681" s="15" t="str">
        <x:v>cadence / anti-burnout / safe completion language</x:v>
      </x:c>
      <x:c r="H1681" s="15" t="str">
        <x:v>source path + receipt + raw/export status + claim/edge/risk delta</x:v>
      </x:c>
      <x:c r="I1681" s="15" t="str">
        <x:v>packet/SWARM-12-H08-S12</x:v>
      </x:c>
      <x:c r="J1681" s="15" t="str">
        <x:v>TODO</x:v>
      </x:c>
      <x:c r="K1681" s="15" t="str">
        <x:v>P2</x:v>
      </x:c>
      <x:c r="L1681" s="15" t="str">
        <x:v>Done only when evidence is logged, contradiction search is noted, and boundary stamp remains non-canon unless ratified</x:v>
      </x:c>
      <x:c r="M1681" s="15" t="str">
        <x:v>candidate / staging-only / not canon / not deployed / authority none</x:v>
      </x:c>
      <x:c r="N1681" s="15" t="str">
        <x:v>Dispatch to JoySignal: complete Graph Edge Proposals x Risk / Safety; return deltas only, receipts required.</x:v>
      </x:c>
      <x:c r="O1681" s="15" t="str">
        <x:v>AF-KG-H08-S12</x:v>
      </x:c>
      <x:c r="P1681" s="15" t="str">
        <x:v>Unverified</x:v>
      </x:c>
      <x:c r="Q1681" s="15" t="str">
        <x:v>Not checked</x:v>
      </x:c>
      <x:c r="R1681" s="15" t="str"/>
      <x:c r="S1681" s="15" t="str"/>
      <x:c r="T1681" s="15" t="str">
        <x:v>Log first source path or blocker</x:v>
      </x:c>
      <x:c r="U1681" s="12" t="str">
        <x:f>IF(OR(P1681="Unverified",Q1681="Not checked"),"BLOCKED_PENDING_RECEIPT","READY_FOR_REVIEW")</x:f>
        <x:v>BLOCKED_PENDING_RECEIPT</x:v>
      </x:c>
      <x:c r="V1681" s="12" t="str">
        <x:f>IF(J1681="DONE","RETURNED",IF(U1681="BLOCKED_PENDING_RECEIPT","SOURCE_TOUCH_REQUIRED","IN_PROGRESS"))</x:f>
        <x:v>SOURCE_TOUCH_REQUIRED</x:v>
      </x:c>
      <x:c r="W1681" s="12" t="str">
        <x:f>IF(P1681="Unverified","missing_receipt","receipt_logged")</x:f>
        <x:v>missing_receipt</x:v>
      </x:c>
      <x:c r="X1681" s="12" t="str">
        <x:f>IF(Q1681="Not checked","raw_status_missing","raw_status_logged")</x:f>
        <x:v>raw_status_missing</x:v>
      </x:c>
      <x:c r="Y1681" s="12" t="str">
        <x:f>IF(U1681="BLOCKED_PENDING_RECEIPT","Log source path or blocker; do not promote","Route to review lane")</x:f>
        <x:v>Log source path or blocker; do not promote</x:v>
      </x:c>
      <x:c r="Z1681" s="12" t="str">
        <x:f>IF(K1681="P0","Primary seat + Hashlight/Lucerna","Seat lane")</x:f>
        <x:v>Seat lane</x:v>
      </x:c>
      <x:c r="AA1681" s="12" t="str">
        <x:f>IF(R1681="","no_claim_delta","claim_delta_present")</x:f>
        <x:v>no_claim_delta</x:v>
      </x:c>
      <x:c r="AB1681" s="12" t="str">
        <x:f>IF(S1681="","no_contradiction_delta","contradiction_delta_present")</x:f>
        <x:v>no_contradiction_delta</x:v>
      </x:c>
      <x:c r="AC1681" s="12" t="str">
        <x:f>IF(OR(ISNUMBER(SEARCH("hacker",LOWER(F1681&amp;" "&amp;H1681&amp;" "&amp;I1681&amp;" "&amp;M1681&amp;" "&amp;N1681&amp;" "&amp;T1681))),ISNUMBER(SEARCH("hacking",LOWER(F1681&amp;" "&amp;H1681&amp;" "&amp;I1681&amp;" "&amp;M1681&amp;" "&amp;N1681&amp;" "&amp;T1681))),ISNUMBER(SEARCH("bank",LOWER(F1681&amp;" "&amp;H1681&amp;" "&amp;I1681&amp;" "&amp;M1681&amp;" "&amp;N1681&amp;" "&amp;T1681))),ISNUMBER(SEARCH("banking",LOWER(F1681&amp;" "&amp;H1681&amp;" "&amp;I1681&amp;" "&amp;M1681&amp;" "&amp;N1681&amp;" "&amp;T1681)))),"PRIVATE_QUARANTINE",IF(OR(ISNUMBER(SEARCH("treasury",LOWER(F1681&amp;" "&amp;H1681&amp;" "&amp;I1681&amp;" "&amp;M1681&amp;" "&amp;N1681&amp;" "&amp;T1681))),ISNUMBER(SEARCH("debt",LOWER(F1681&amp;" "&amp;H1681&amp;" "&amp;I1681&amp;" "&amp;M1681&amp;" "&amp;N1681&amp;" "&amp;T1681))),ISNUMBER(SEARCH("bond",LOWER(F1681&amp;" "&amp;H1681&amp;" "&amp;I1681&amp;" "&amp;M1681&amp;" "&amp;N1681&amp;" "&amp;T1681))),ISNUMBER(SEARCH("transaction",LOWER(F1681&amp;" "&amp;H1681&amp;" "&amp;I1681&amp;" "&amp;M1681&amp;" "&amp;N1681&amp;" "&amp;T1681)))),"PRIVATE_REVIEW","PUBLIC_CANDIDATE"))</x:f>
        <x:v>PUBLIC_CANDIDATE</x:v>
      </x:c>
      <x:c r="AD1681" s="12" t="str">
        <x:f>IF(AC1681="PRIVATE_QUARANTINE","hacker_or_bank_trigger",IF(AC1681="PRIVATE_REVIEW","finance_risk_trigger","none"))</x:f>
        <x:v>none</x:v>
      </x:c>
      <x:c r="AE1681" s="12" t="str">
        <x:f>IF(AC1681="PUBLIC_CANDIDATE","prepare_public_github_candidate",IF(AC1681="PRIVATE_REVIEW","hold_for_private_review","quarantine_private_do_not_publish"))</x:f>
        <x:v>prepare_public_github_candidate</x:v>
      </x:c>
      <x:c r="AF1681" s="12" t="str">
        <x:f>IF(AC1681="PUBLIC_CANDIDATE","TIDELOCK + Lucerna",IF(AC1681="PRIVATE_REVIEW","AtlasBrain + Lucerna","TIDELOCK + Lucerna + Human-root"))</x:f>
        <x:v>TIDELOCK + Lucerna</x:v>
      </x:c>
      <x:c r="AG1681" s="12" t="str">
        <x:f>IF(AND(AC1681="PUBLIC_CANDIDATE",U1681&lt;&gt;"BLOCKED_PENDING_RECEIPT"),"READY_AFTER_RECEIPT","NOT_READY")</x:f>
        <x:v>NOT_READY</x:v>
      </x:c>
      <x:c r="AH1681" s="12" t="str">
        <x:f>IF(AC1681="PUBLIC_CANDIDATE","none",AD1681)</x:f>
        <x:v>none</x:v>
      </x:c>
      <x:c r="AI1681" s="12" t="str">
        <x:f>IF(AC1681="PUBLIC_CANDIDATE","archive/public_candidates/"&amp;A1681,"private_quarantine/"&amp;A1681)</x:f>
        <x:v>archive/public_candidates/SWARM-12-H08-S12</x:v>
      </x:c>
      <x:c r="AJ1681" s="12" t="str">
        <x:f>IF(AC1681="PUBLIC_CANDIDATE","public by default; still not canon","private/hold; do not publish")</x:f>
        <x:v>public by default; still not canon</x:v>
      </x:c>
      <x:c r="AK1681" s="12" t="str">
        <x:f>IF(AE1681="prepare_public_github_candidate","add receipt/status then mirror","resolve blocker before any public GitHub action")</x:f>
        <x:v>add receipt/status then mirror</x:v>
      </x:c>
    </x:row>
    <x:row r="1682">
      <x:c r="A1682" s="15" t="str">
        <x:v>SWARM-12-H09-S01</x:v>
      </x:c>
      <x:c r="B1682" s="15" t="str">
        <x:v>JoySignal</x:v>
      </x:c>
      <x:c r="C1682" s="15" t="str">
        <x:v>Rest and morale keeper</x:v>
      </x:c>
      <x:c r="D1682" s="15" t="str">
        <x:v>Review Queues</x:v>
      </x:c>
      <x:c r="E1682" s="15" t="str">
        <x:v>Notion</x:v>
      </x:c>
      <x:c r="F1682" s="15" t="str">
        <x:v>Queue review for Notion — JoySignal</x:v>
      </x:c>
      <x:c r="G1682" s="15" t="str">
        <x:v>cadence / anti-burnout / safe completion language</x:v>
      </x:c>
      <x:c r="H1682" s="15" t="str">
        <x:v>source path + receipt + raw/export status + claim/edge/risk delta</x:v>
      </x:c>
      <x:c r="I1682" s="15" t="str">
        <x:v>packet/SWARM-12-H09-S01</x:v>
      </x:c>
      <x:c r="J1682" s="15" t="str">
        <x:v>TODO</x:v>
      </x:c>
      <x:c r="K1682" s="15" t="str">
        <x:v>P0</x:v>
      </x:c>
      <x:c r="L1682" s="15" t="str">
        <x:v>Done only when evidence is logged, contradiction search is noted, and boundary stamp remains non-canon unless ratified</x:v>
      </x:c>
      <x:c r="M1682" s="15" t="str">
        <x:v>candidate / staging-only / not canon / not deployed / authority none</x:v>
      </x:c>
      <x:c r="N1682" s="15" t="str">
        <x:v>Dispatch to JoySignal: complete Review Queues x Notion; return deltas only, receipts required.</x:v>
      </x:c>
      <x:c r="O1682" s="15" t="str">
        <x:v>AF-KG-H09-S01</x:v>
      </x:c>
      <x:c r="P1682" s="15" t="str">
        <x:v>Unverified</x:v>
      </x:c>
      <x:c r="Q1682" s="15" t="str">
        <x:v>Not checked</x:v>
      </x:c>
      <x:c r="R1682" s="15" t="str"/>
      <x:c r="S1682" s="15" t="str"/>
      <x:c r="T1682" s="15" t="str">
        <x:v>Log first source path or blocker</x:v>
      </x:c>
      <x:c r="U1682" s="12" t="str">
        <x:f>IF(OR(P1682="Unverified",Q1682="Not checked"),"BLOCKED_PENDING_RECEIPT","READY_FOR_REVIEW")</x:f>
        <x:v>BLOCKED_PENDING_RECEIPT</x:v>
      </x:c>
      <x:c r="V1682" s="12" t="str">
        <x:f>IF(J1682="DONE","RETURNED",IF(U1682="BLOCKED_PENDING_RECEIPT","SOURCE_TOUCH_REQUIRED","IN_PROGRESS"))</x:f>
        <x:v>SOURCE_TOUCH_REQUIRED</x:v>
      </x:c>
      <x:c r="W1682" s="12" t="str">
        <x:f>IF(P1682="Unverified","missing_receipt","receipt_logged")</x:f>
        <x:v>missing_receipt</x:v>
      </x:c>
      <x:c r="X1682" s="12" t="str">
        <x:f>IF(Q1682="Not checked","raw_status_missing","raw_status_logged")</x:f>
        <x:v>raw_status_missing</x:v>
      </x:c>
      <x:c r="Y1682" s="12" t="str">
        <x:f>IF(U1682="BLOCKED_PENDING_RECEIPT","Log source path or blocker; do not promote","Route to review lane")</x:f>
        <x:v>Log source path or blocker; do not promote</x:v>
      </x:c>
      <x:c r="Z1682" s="12" t="str">
        <x:f>IF(K1682="P0","Primary seat + Hashlight/Lucerna","Seat lane")</x:f>
        <x:v>Primary seat + Hashlight/Lucerna</x:v>
      </x:c>
      <x:c r="AA1682" s="12" t="str">
        <x:f>IF(R1682="","no_claim_delta","claim_delta_present")</x:f>
        <x:v>no_claim_delta</x:v>
      </x:c>
      <x:c r="AB1682" s="12" t="str">
        <x:f>IF(S1682="","no_contradiction_delta","contradiction_delta_present")</x:f>
        <x:v>no_contradiction_delta</x:v>
      </x:c>
      <x:c r="AC1682" s="12" t="str">
        <x:f>IF(OR(ISNUMBER(SEARCH("hacker",LOWER(F1682&amp;" "&amp;H1682&amp;" "&amp;I1682&amp;" "&amp;M1682&amp;" "&amp;N1682&amp;" "&amp;T1682))),ISNUMBER(SEARCH("hacking",LOWER(F1682&amp;" "&amp;H1682&amp;" "&amp;I1682&amp;" "&amp;M1682&amp;" "&amp;N1682&amp;" "&amp;T1682))),ISNUMBER(SEARCH("bank",LOWER(F1682&amp;" "&amp;H1682&amp;" "&amp;I1682&amp;" "&amp;M1682&amp;" "&amp;N1682&amp;" "&amp;T1682))),ISNUMBER(SEARCH("banking",LOWER(F1682&amp;" "&amp;H1682&amp;" "&amp;I1682&amp;" "&amp;M1682&amp;" "&amp;N1682&amp;" "&amp;T1682)))),"PRIVATE_QUARANTINE",IF(OR(ISNUMBER(SEARCH("treasury",LOWER(F1682&amp;" "&amp;H1682&amp;" "&amp;I1682&amp;" "&amp;M1682&amp;" "&amp;N1682&amp;" "&amp;T1682))),ISNUMBER(SEARCH("debt",LOWER(F1682&amp;" "&amp;H1682&amp;" "&amp;I1682&amp;" "&amp;M1682&amp;" "&amp;N1682&amp;" "&amp;T1682))),ISNUMBER(SEARCH("bond",LOWER(F1682&amp;" "&amp;H1682&amp;" "&amp;I1682&amp;" "&amp;M1682&amp;" "&amp;N1682&amp;" "&amp;T1682))),ISNUMBER(SEARCH("transaction",LOWER(F1682&amp;" "&amp;H1682&amp;" "&amp;I1682&amp;" "&amp;M1682&amp;" "&amp;N1682&amp;" "&amp;T1682)))),"PRIVATE_REVIEW","PUBLIC_CANDIDATE"))</x:f>
        <x:v>PUBLIC_CANDIDATE</x:v>
      </x:c>
      <x:c r="AD1682" s="12" t="str">
        <x:f>IF(AC1682="PRIVATE_QUARANTINE","hacker_or_bank_trigger",IF(AC1682="PRIVATE_REVIEW","finance_risk_trigger","none"))</x:f>
        <x:v>none</x:v>
      </x:c>
      <x:c r="AE1682" s="12" t="str">
        <x:f>IF(AC1682="PUBLIC_CANDIDATE","prepare_public_github_candidate",IF(AC1682="PRIVATE_REVIEW","hold_for_private_review","quarantine_private_do_not_publish"))</x:f>
        <x:v>prepare_public_github_candidate</x:v>
      </x:c>
      <x:c r="AF1682" s="12" t="str">
        <x:f>IF(AC1682="PUBLIC_CANDIDATE","TIDELOCK + Lucerna",IF(AC1682="PRIVATE_REVIEW","AtlasBrain + Lucerna","TIDELOCK + Lucerna + Human-root"))</x:f>
        <x:v>TIDELOCK + Lucerna</x:v>
      </x:c>
      <x:c r="AG1682" s="12" t="str">
        <x:f>IF(AND(AC1682="PUBLIC_CANDIDATE",U1682&lt;&gt;"BLOCKED_PENDING_RECEIPT"),"READY_AFTER_RECEIPT","NOT_READY")</x:f>
        <x:v>NOT_READY</x:v>
      </x:c>
      <x:c r="AH1682" s="12" t="str">
        <x:f>IF(AC1682="PUBLIC_CANDIDATE","none",AD1682)</x:f>
        <x:v>none</x:v>
      </x:c>
      <x:c r="AI1682" s="12" t="str">
        <x:f>IF(AC1682="PUBLIC_CANDIDATE","archive/public_candidates/"&amp;A1682,"private_quarantine/"&amp;A1682)</x:f>
        <x:v>archive/public_candidates/SWARM-12-H09-S01</x:v>
      </x:c>
      <x:c r="AJ1682" s="12" t="str">
        <x:f>IF(AC1682="PUBLIC_CANDIDATE","public by default; still not canon","private/hold; do not publish")</x:f>
        <x:v>public by default; still not canon</x:v>
      </x:c>
      <x:c r="AK1682" s="12" t="str">
        <x:f>IF(AE1682="prepare_public_github_candidate","add receipt/status then mirror","resolve blocker before any public GitHub action")</x:f>
        <x:v>add receipt/status then mirror</x:v>
      </x:c>
    </x:row>
    <x:row r="1683">
      <x:c r="A1683" s="15" t="str">
        <x:v>SWARM-12-H09-S02</x:v>
      </x:c>
      <x:c r="B1683" s="15" t="str">
        <x:v>JoySignal</x:v>
      </x:c>
      <x:c r="C1683" s="15" t="str">
        <x:v>Rest and morale keeper</x:v>
      </x:c>
      <x:c r="D1683" s="15" t="str">
        <x:v>Review Queues</x:v>
      </x:c>
      <x:c r="E1683" s="15" t="str">
        <x:v>Drive</x:v>
      </x:c>
      <x:c r="F1683" s="15" t="str">
        <x:v>Queue review for Drive — JoySignal</x:v>
      </x:c>
      <x:c r="G1683" s="15" t="str">
        <x:v>cadence / anti-burnout / safe completion language</x:v>
      </x:c>
      <x:c r="H1683" s="15" t="str">
        <x:v>source path + receipt + raw/export status + claim/edge/risk delta</x:v>
      </x:c>
      <x:c r="I1683" s="15" t="str">
        <x:v>packet/SWARM-12-H09-S02</x:v>
      </x:c>
      <x:c r="J1683" s="15" t="str">
        <x:v>TODO</x:v>
      </x:c>
      <x:c r="K1683" s="15" t="str">
        <x:v>P0</x:v>
      </x:c>
      <x:c r="L1683" s="15" t="str">
        <x:v>Done only when evidence is logged, contradiction search is noted, and boundary stamp remains non-canon unless ratified</x:v>
      </x:c>
      <x:c r="M1683" s="15" t="str">
        <x:v>candidate / staging-only / not canon / not deployed / authority none</x:v>
      </x:c>
      <x:c r="N1683" s="15" t="str">
        <x:v>Dispatch to JoySignal: complete Review Queues x Drive; return deltas only, receipts required.</x:v>
      </x:c>
      <x:c r="O1683" s="15" t="str">
        <x:v>AF-KG-H09-S02</x:v>
      </x:c>
      <x:c r="P1683" s="15" t="str">
        <x:v>Unverified</x:v>
      </x:c>
      <x:c r="Q1683" s="15" t="str">
        <x:v>Not checked</x:v>
      </x:c>
      <x:c r="R1683" s="15" t="str"/>
      <x:c r="S1683" s="15" t="str"/>
      <x:c r="T1683" s="15" t="str">
        <x:v>Log first source path or blocker</x:v>
      </x:c>
      <x:c r="U1683" s="12" t="str">
        <x:f>IF(OR(P1683="Unverified",Q1683="Not checked"),"BLOCKED_PENDING_RECEIPT","READY_FOR_REVIEW")</x:f>
        <x:v>BLOCKED_PENDING_RECEIPT</x:v>
      </x:c>
      <x:c r="V1683" s="12" t="str">
        <x:f>IF(J1683="DONE","RETURNED",IF(U1683="BLOCKED_PENDING_RECEIPT","SOURCE_TOUCH_REQUIRED","IN_PROGRESS"))</x:f>
        <x:v>SOURCE_TOUCH_REQUIRED</x:v>
      </x:c>
      <x:c r="W1683" s="12" t="str">
        <x:f>IF(P1683="Unverified","missing_receipt","receipt_logged")</x:f>
        <x:v>missing_receipt</x:v>
      </x:c>
      <x:c r="X1683" s="12" t="str">
        <x:f>IF(Q1683="Not checked","raw_status_missing","raw_status_logged")</x:f>
        <x:v>raw_status_missing</x:v>
      </x:c>
      <x:c r="Y1683" s="12" t="str">
        <x:f>IF(U1683="BLOCKED_PENDING_RECEIPT","Log source path or blocker; do not promote","Route to review lane")</x:f>
        <x:v>Log source path or blocker; do not promote</x:v>
      </x:c>
      <x:c r="Z1683" s="12" t="str">
        <x:f>IF(K1683="P0","Primary seat + Hashlight/Lucerna","Seat lane")</x:f>
        <x:v>Primary seat + Hashlight/Lucerna</x:v>
      </x:c>
      <x:c r="AA1683" s="12" t="str">
        <x:f>IF(R1683="","no_claim_delta","claim_delta_present")</x:f>
        <x:v>no_claim_delta</x:v>
      </x:c>
      <x:c r="AB1683" s="12" t="str">
        <x:f>IF(S1683="","no_contradiction_delta","contradiction_delta_present")</x:f>
        <x:v>no_contradiction_delta</x:v>
      </x:c>
      <x:c r="AC1683" s="12" t="str">
        <x:f>IF(OR(ISNUMBER(SEARCH("hacker",LOWER(F1683&amp;" "&amp;H1683&amp;" "&amp;I1683&amp;" "&amp;M1683&amp;" "&amp;N1683&amp;" "&amp;T1683))),ISNUMBER(SEARCH("hacking",LOWER(F1683&amp;" "&amp;H1683&amp;" "&amp;I1683&amp;" "&amp;M1683&amp;" "&amp;N1683&amp;" "&amp;T1683))),ISNUMBER(SEARCH("bank",LOWER(F1683&amp;" "&amp;H1683&amp;" "&amp;I1683&amp;" "&amp;M1683&amp;" "&amp;N1683&amp;" "&amp;T1683))),ISNUMBER(SEARCH("banking",LOWER(F1683&amp;" "&amp;H1683&amp;" "&amp;I1683&amp;" "&amp;M1683&amp;" "&amp;N1683&amp;" "&amp;T1683)))),"PRIVATE_QUARANTINE",IF(OR(ISNUMBER(SEARCH("treasury",LOWER(F1683&amp;" "&amp;H1683&amp;" "&amp;I1683&amp;" "&amp;M1683&amp;" "&amp;N1683&amp;" "&amp;T1683))),ISNUMBER(SEARCH("debt",LOWER(F1683&amp;" "&amp;H1683&amp;" "&amp;I1683&amp;" "&amp;M1683&amp;" "&amp;N1683&amp;" "&amp;T1683))),ISNUMBER(SEARCH("bond",LOWER(F1683&amp;" "&amp;H1683&amp;" "&amp;I1683&amp;" "&amp;M1683&amp;" "&amp;N1683&amp;" "&amp;T1683))),ISNUMBER(SEARCH("transaction",LOWER(F1683&amp;" "&amp;H1683&amp;" "&amp;I1683&amp;" "&amp;M1683&amp;" "&amp;N1683&amp;" "&amp;T1683)))),"PRIVATE_REVIEW","PUBLIC_CANDIDATE"))</x:f>
        <x:v>PUBLIC_CANDIDATE</x:v>
      </x:c>
      <x:c r="AD1683" s="12" t="str">
        <x:f>IF(AC1683="PRIVATE_QUARANTINE","hacker_or_bank_trigger",IF(AC1683="PRIVATE_REVIEW","finance_risk_trigger","none"))</x:f>
        <x:v>none</x:v>
      </x:c>
      <x:c r="AE1683" s="12" t="str">
        <x:f>IF(AC1683="PUBLIC_CANDIDATE","prepare_public_github_candidate",IF(AC1683="PRIVATE_REVIEW","hold_for_private_review","quarantine_private_do_not_publish"))</x:f>
        <x:v>prepare_public_github_candidate</x:v>
      </x:c>
      <x:c r="AF1683" s="12" t="str">
        <x:f>IF(AC1683="PUBLIC_CANDIDATE","TIDELOCK + Lucerna",IF(AC1683="PRIVATE_REVIEW","AtlasBrain + Lucerna","TIDELOCK + Lucerna + Human-root"))</x:f>
        <x:v>TIDELOCK + Lucerna</x:v>
      </x:c>
      <x:c r="AG1683" s="12" t="str">
        <x:f>IF(AND(AC1683="PUBLIC_CANDIDATE",U1683&lt;&gt;"BLOCKED_PENDING_RECEIPT"),"READY_AFTER_RECEIPT","NOT_READY")</x:f>
        <x:v>NOT_READY</x:v>
      </x:c>
      <x:c r="AH1683" s="12" t="str">
        <x:f>IF(AC1683="PUBLIC_CANDIDATE","none",AD1683)</x:f>
        <x:v>none</x:v>
      </x:c>
      <x:c r="AI1683" s="12" t="str">
        <x:f>IF(AC1683="PUBLIC_CANDIDATE","archive/public_candidates/"&amp;A1683,"private_quarantine/"&amp;A1683)</x:f>
        <x:v>archive/public_candidates/SWARM-12-H09-S02</x:v>
      </x:c>
      <x:c r="AJ1683" s="12" t="str">
        <x:f>IF(AC1683="PUBLIC_CANDIDATE","public by default; still not canon","private/hold; do not publish")</x:f>
        <x:v>public by default; still not canon</x:v>
      </x:c>
      <x:c r="AK1683" s="12" t="str">
        <x:f>IF(AE1683="prepare_public_github_candidate","add receipt/status then mirror","resolve blocker before any public GitHub action")</x:f>
        <x:v>add receipt/status then mirror</x:v>
      </x:c>
    </x:row>
    <x:row r="1684">
      <x:c r="A1684" s="15" t="str">
        <x:v>SWARM-12-H09-S03</x:v>
      </x:c>
      <x:c r="B1684" s="15" t="str">
        <x:v>JoySignal</x:v>
      </x:c>
      <x:c r="C1684" s="15" t="str">
        <x:v>Rest and morale keeper</x:v>
      </x:c>
      <x:c r="D1684" s="15" t="str">
        <x:v>Review Queues</x:v>
      </x:c>
      <x:c r="E1684" s="15" t="str">
        <x:v>GitHub</x:v>
      </x:c>
      <x:c r="F1684" s="15" t="str">
        <x:v>Queue review for GitHub — JoySignal</x:v>
      </x:c>
      <x:c r="G1684" s="15" t="str">
        <x:v>cadence / anti-burnout / safe completion language</x:v>
      </x:c>
      <x:c r="H1684" s="15" t="str">
        <x:v>source path + receipt + raw/export status + claim/edge/risk delta</x:v>
      </x:c>
      <x:c r="I1684" s="15" t="str">
        <x:v>packet/SWARM-12-H09-S03</x:v>
      </x:c>
      <x:c r="J1684" s="15" t="str">
        <x:v>TODO</x:v>
      </x:c>
      <x:c r="K1684" s="15" t="str">
        <x:v>P0</x:v>
      </x:c>
      <x:c r="L1684" s="15" t="str">
        <x:v>Done only when evidence is logged, contradiction search is noted, and boundary stamp remains non-canon unless ratified</x:v>
      </x:c>
      <x:c r="M1684" s="15" t="str">
        <x:v>candidate / staging-only / not canon / not deployed / authority none</x:v>
      </x:c>
      <x:c r="N1684" s="15" t="str">
        <x:v>Dispatch to JoySignal: complete Review Queues x GitHub; return deltas only, receipts required.</x:v>
      </x:c>
      <x:c r="O1684" s="15" t="str">
        <x:v>AF-KG-H09-S03</x:v>
      </x:c>
      <x:c r="P1684" s="15" t="str">
        <x:v>Unverified</x:v>
      </x:c>
      <x:c r="Q1684" s="15" t="str">
        <x:v>Not checked</x:v>
      </x:c>
      <x:c r="R1684" s="15" t="str"/>
      <x:c r="S1684" s="15" t="str"/>
      <x:c r="T1684" s="15" t="str">
        <x:v>Log first source path or blocker</x:v>
      </x:c>
      <x:c r="U1684" s="12" t="str">
        <x:f>IF(OR(P1684="Unverified",Q1684="Not checked"),"BLOCKED_PENDING_RECEIPT","READY_FOR_REVIEW")</x:f>
        <x:v>BLOCKED_PENDING_RECEIPT</x:v>
      </x:c>
      <x:c r="V1684" s="12" t="str">
        <x:f>IF(J1684="DONE","RETURNED",IF(U1684="BLOCKED_PENDING_RECEIPT","SOURCE_TOUCH_REQUIRED","IN_PROGRESS"))</x:f>
        <x:v>SOURCE_TOUCH_REQUIRED</x:v>
      </x:c>
      <x:c r="W1684" s="12" t="str">
        <x:f>IF(P1684="Unverified","missing_receipt","receipt_logged")</x:f>
        <x:v>missing_receipt</x:v>
      </x:c>
      <x:c r="X1684" s="12" t="str">
        <x:f>IF(Q1684="Not checked","raw_status_missing","raw_status_logged")</x:f>
        <x:v>raw_status_missing</x:v>
      </x:c>
      <x:c r="Y1684" s="12" t="str">
        <x:f>IF(U1684="BLOCKED_PENDING_RECEIPT","Log source path or blocker; do not promote","Route to review lane")</x:f>
        <x:v>Log source path or blocker; do not promote</x:v>
      </x:c>
      <x:c r="Z1684" s="12" t="str">
        <x:f>IF(K1684="P0","Primary seat + Hashlight/Lucerna","Seat lane")</x:f>
        <x:v>Primary seat + Hashlight/Lucerna</x:v>
      </x:c>
      <x:c r="AA1684" s="12" t="str">
        <x:f>IF(R1684="","no_claim_delta","claim_delta_present")</x:f>
        <x:v>no_claim_delta</x:v>
      </x:c>
      <x:c r="AB1684" s="12" t="str">
        <x:f>IF(S1684="","no_contradiction_delta","contradiction_delta_present")</x:f>
        <x:v>no_contradiction_delta</x:v>
      </x:c>
      <x:c r="AC1684" s="12" t="str">
        <x:f>IF(OR(ISNUMBER(SEARCH("hacker",LOWER(F1684&amp;" "&amp;H1684&amp;" "&amp;I1684&amp;" "&amp;M1684&amp;" "&amp;N1684&amp;" "&amp;T1684))),ISNUMBER(SEARCH("hacking",LOWER(F1684&amp;" "&amp;H1684&amp;" "&amp;I1684&amp;" "&amp;M1684&amp;" "&amp;N1684&amp;" "&amp;T1684))),ISNUMBER(SEARCH("bank",LOWER(F1684&amp;" "&amp;H1684&amp;" "&amp;I1684&amp;" "&amp;M1684&amp;" "&amp;N1684&amp;" "&amp;T1684))),ISNUMBER(SEARCH("banking",LOWER(F1684&amp;" "&amp;H1684&amp;" "&amp;I1684&amp;" "&amp;M1684&amp;" "&amp;N1684&amp;" "&amp;T1684)))),"PRIVATE_QUARANTINE",IF(OR(ISNUMBER(SEARCH("treasury",LOWER(F1684&amp;" "&amp;H1684&amp;" "&amp;I1684&amp;" "&amp;M1684&amp;" "&amp;N1684&amp;" "&amp;T1684))),ISNUMBER(SEARCH("debt",LOWER(F1684&amp;" "&amp;H1684&amp;" "&amp;I1684&amp;" "&amp;M1684&amp;" "&amp;N1684&amp;" "&amp;T1684))),ISNUMBER(SEARCH("bond",LOWER(F1684&amp;" "&amp;H1684&amp;" "&amp;I1684&amp;" "&amp;M1684&amp;" "&amp;N1684&amp;" "&amp;T1684))),ISNUMBER(SEARCH("transaction",LOWER(F1684&amp;" "&amp;H1684&amp;" "&amp;I1684&amp;" "&amp;M1684&amp;" "&amp;N1684&amp;" "&amp;T1684)))),"PRIVATE_REVIEW","PUBLIC_CANDIDATE"))</x:f>
        <x:v>PUBLIC_CANDIDATE</x:v>
      </x:c>
      <x:c r="AD1684" s="12" t="str">
        <x:f>IF(AC1684="PRIVATE_QUARANTINE","hacker_or_bank_trigger",IF(AC1684="PRIVATE_REVIEW","finance_risk_trigger","none"))</x:f>
        <x:v>none</x:v>
      </x:c>
      <x:c r="AE1684" s="12" t="str">
        <x:f>IF(AC1684="PUBLIC_CANDIDATE","prepare_public_github_candidate",IF(AC1684="PRIVATE_REVIEW","hold_for_private_review","quarantine_private_do_not_publish"))</x:f>
        <x:v>prepare_public_github_candidate</x:v>
      </x:c>
      <x:c r="AF1684" s="12" t="str">
        <x:f>IF(AC1684="PUBLIC_CANDIDATE","TIDELOCK + Lucerna",IF(AC1684="PRIVATE_REVIEW","AtlasBrain + Lucerna","TIDELOCK + Lucerna + Human-root"))</x:f>
        <x:v>TIDELOCK + Lucerna</x:v>
      </x:c>
      <x:c r="AG1684" s="12" t="str">
        <x:f>IF(AND(AC1684="PUBLIC_CANDIDATE",U1684&lt;&gt;"BLOCKED_PENDING_RECEIPT"),"READY_AFTER_RECEIPT","NOT_READY")</x:f>
        <x:v>NOT_READY</x:v>
      </x:c>
      <x:c r="AH1684" s="12" t="str">
        <x:f>IF(AC1684="PUBLIC_CANDIDATE","none",AD1684)</x:f>
        <x:v>none</x:v>
      </x:c>
      <x:c r="AI1684" s="12" t="str">
        <x:f>IF(AC1684="PUBLIC_CANDIDATE","archive/public_candidates/"&amp;A1684,"private_quarantine/"&amp;A1684)</x:f>
        <x:v>archive/public_candidates/SWARM-12-H09-S03</x:v>
      </x:c>
      <x:c r="AJ1684" s="12" t="str">
        <x:f>IF(AC1684="PUBLIC_CANDIDATE","public by default; still not canon","private/hold; do not publish")</x:f>
        <x:v>public by default; still not canon</x:v>
      </x:c>
      <x:c r="AK1684" s="12" t="str">
        <x:f>IF(AE1684="prepare_public_github_candidate","add receipt/status then mirror","resolve blocker before any public GitHub action")</x:f>
        <x:v>add receipt/status then mirror</x:v>
      </x:c>
    </x:row>
    <x:row r="1685">
      <x:c r="A1685" s="15" t="str">
        <x:v>SWARM-12-H09-S04</x:v>
      </x:c>
      <x:c r="B1685" s="15" t="str">
        <x:v>JoySignal</x:v>
      </x:c>
      <x:c r="C1685" s="15" t="str">
        <x:v>Rest and morale keeper</x:v>
      </x:c>
      <x:c r="D1685" s="15" t="str">
        <x:v>Review Queues</x:v>
      </x:c>
      <x:c r="E1685" s="15" t="str">
        <x:v>Gamma</x:v>
      </x:c>
      <x:c r="F1685" s="15" t="str">
        <x:v>Queue review for Gamma — JoySignal</x:v>
      </x:c>
      <x:c r="G1685" s="15" t="str">
        <x:v>cadence / anti-burnout / safe completion language</x:v>
      </x:c>
      <x:c r="H1685" s="15" t="str">
        <x:v>source path + receipt + raw/export status + claim/edge/risk delta</x:v>
      </x:c>
      <x:c r="I1685" s="15" t="str">
        <x:v>packet/SWARM-12-H09-S04</x:v>
      </x:c>
      <x:c r="J1685" s="15" t="str">
        <x:v>TODO</x:v>
      </x:c>
      <x:c r="K1685" s="15" t="str">
        <x:v>P1</x:v>
      </x:c>
      <x:c r="L1685" s="15" t="str">
        <x:v>Done only when evidence is logged, contradiction search is noted, and boundary stamp remains non-canon unless ratified</x:v>
      </x:c>
      <x:c r="M1685" s="15" t="str">
        <x:v>candidate / staging-only / not canon / not deployed / authority none</x:v>
      </x:c>
      <x:c r="N1685" s="15" t="str">
        <x:v>Dispatch to JoySignal: complete Review Queues x Gamma; return deltas only, receipts required.</x:v>
      </x:c>
      <x:c r="O1685" s="15" t="str">
        <x:v>AF-KG-H09-S04</x:v>
      </x:c>
      <x:c r="P1685" s="15" t="str">
        <x:v>Unverified</x:v>
      </x:c>
      <x:c r="Q1685" s="15" t="str">
        <x:v>Not checked</x:v>
      </x:c>
      <x:c r="R1685" s="15" t="str"/>
      <x:c r="S1685" s="15" t="str"/>
      <x:c r="T1685" s="15" t="str">
        <x:v>Log first source path or blocker</x:v>
      </x:c>
      <x:c r="U1685" s="12" t="str">
        <x:f>IF(OR(P1685="Unverified",Q1685="Not checked"),"BLOCKED_PENDING_RECEIPT","READY_FOR_REVIEW")</x:f>
        <x:v>BLOCKED_PENDING_RECEIPT</x:v>
      </x:c>
      <x:c r="V1685" s="12" t="str">
        <x:f>IF(J1685="DONE","RETURNED",IF(U1685="BLOCKED_PENDING_RECEIPT","SOURCE_TOUCH_REQUIRED","IN_PROGRESS"))</x:f>
        <x:v>SOURCE_TOUCH_REQUIRED</x:v>
      </x:c>
      <x:c r="W1685" s="12" t="str">
        <x:f>IF(P1685="Unverified","missing_receipt","receipt_logged")</x:f>
        <x:v>missing_receipt</x:v>
      </x:c>
      <x:c r="X1685" s="12" t="str">
        <x:f>IF(Q1685="Not checked","raw_status_missing","raw_status_logged")</x:f>
        <x:v>raw_status_missing</x:v>
      </x:c>
      <x:c r="Y1685" s="12" t="str">
        <x:f>IF(U1685="BLOCKED_PENDING_RECEIPT","Log source path or blocker; do not promote","Route to review lane")</x:f>
        <x:v>Log source path or blocker; do not promote</x:v>
      </x:c>
      <x:c r="Z1685" s="12" t="str">
        <x:f>IF(K1685="P0","Primary seat + Hashlight/Lucerna","Seat lane")</x:f>
        <x:v>Seat lane</x:v>
      </x:c>
      <x:c r="AA1685" s="12" t="str">
        <x:f>IF(R1685="","no_claim_delta","claim_delta_present")</x:f>
        <x:v>no_claim_delta</x:v>
      </x:c>
      <x:c r="AB1685" s="12" t="str">
        <x:f>IF(S1685="","no_contradiction_delta","contradiction_delta_present")</x:f>
        <x:v>no_contradiction_delta</x:v>
      </x:c>
      <x:c r="AC1685" s="12" t="str">
        <x:f>IF(OR(ISNUMBER(SEARCH("hacker",LOWER(F1685&amp;" "&amp;H1685&amp;" "&amp;I1685&amp;" "&amp;M1685&amp;" "&amp;N1685&amp;" "&amp;T1685))),ISNUMBER(SEARCH("hacking",LOWER(F1685&amp;" "&amp;H1685&amp;" "&amp;I1685&amp;" "&amp;M1685&amp;" "&amp;N1685&amp;" "&amp;T1685))),ISNUMBER(SEARCH("bank",LOWER(F1685&amp;" "&amp;H1685&amp;" "&amp;I1685&amp;" "&amp;M1685&amp;" "&amp;N1685&amp;" "&amp;T1685))),ISNUMBER(SEARCH("banking",LOWER(F1685&amp;" "&amp;H1685&amp;" "&amp;I1685&amp;" "&amp;M1685&amp;" "&amp;N1685&amp;" "&amp;T1685)))),"PRIVATE_QUARANTINE",IF(OR(ISNUMBER(SEARCH("treasury",LOWER(F1685&amp;" "&amp;H1685&amp;" "&amp;I1685&amp;" "&amp;M1685&amp;" "&amp;N1685&amp;" "&amp;T1685))),ISNUMBER(SEARCH("debt",LOWER(F1685&amp;" "&amp;H1685&amp;" "&amp;I1685&amp;" "&amp;M1685&amp;" "&amp;N1685&amp;" "&amp;T1685))),ISNUMBER(SEARCH("bond",LOWER(F1685&amp;" "&amp;H1685&amp;" "&amp;I1685&amp;" "&amp;M1685&amp;" "&amp;N1685&amp;" "&amp;T1685))),ISNUMBER(SEARCH("transaction",LOWER(F1685&amp;" "&amp;H1685&amp;" "&amp;I1685&amp;" "&amp;M1685&amp;" "&amp;N1685&amp;" "&amp;T1685)))),"PRIVATE_REVIEW","PUBLIC_CANDIDATE"))</x:f>
        <x:v>PUBLIC_CANDIDATE</x:v>
      </x:c>
      <x:c r="AD1685" s="12" t="str">
        <x:f>IF(AC1685="PRIVATE_QUARANTINE","hacker_or_bank_trigger",IF(AC1685="PRIVATE_REVIEW","finance_risk_trigger","none"))</x:f>
        <x:v>none</x:v>
      </x:c>
      <x:c r="AE1685" s="12" t="str">
        <x:f>IF(AC1685="PUBLIC_CANDIDATE","prepare_public_github_candidate",IF(AC1685="PRIVATE_REVIEW","hold_for_private_review","quarantine_private_do_not_publish"))</x:f>
        <x:v>prepare_public_github_candidate</x:v>
      </x:c>
      <x:c r="AF1685" s="12" t="str">
        <x:f>IF(AC1685="PUBLIC_CANDIDATE","TIDELOCK + Lucerna",IF(AC1685="PRIVATE_REVIEW","AtlasBrain + Lucerna","TIDELOCK + Lucerna + Human-root"))</x:f>
        <x:v>TIDELOCK + Lucerna</x:v>
      </x:c>
      <x:c r="AG1685" s="12" t="str">
        <x:f>IF(AND(AC1685="PUBLIC_CANDIDATE",U1685&lt;&gt;"BLOCKED_PENDING_RECEIPT"),"READY_AFTER_RECEIPT","NOT_READY")</x:f>
        <x:v>NOT_READY</x:v>
      </x:c>
      <x:c r="AH1685" s="12" t="str">
        <x:f>IF(AC1685="PUBLIC_CANDIDATE","none",AD1685)</x:f>
        <x:v>none</x:v>
      </x:c>
      <x:c r="AI1685" s="12" t="str">
        <x:f>IF(AC1685="PUBLIC_CANDIDATE","archive/public_candidates/"&amp;A1685,"private_quarantine/"&amp;A1685)</x:f>
        <x:v>archive/public_candidates/SWARM-12-H09-S04</x:v>
      </x:c>
      <x:c r="AJ1685" s="12" t="str">
        <x:f>IF(AC1685="PUBLIC_CANDIDATE","public by default; still not canon","private/hold; do not publish")</x:f>
        <x:v>public by default; still not canon</x:v>
      </x:c>
      <x:c r="AK1685" s="12" t="str">
        <x:f>IF(AE1685="prepare_public_github_candidate","add receipt/status then mirror","resolve blocker before any public GitHub action")</x:f>
        <x:v>add receipt/status then mirror</x:v>
      </x:c>
    </x:row>
    <x:row r="1686">
      <x:c r="A1686" s="15" t="str">
        <x:v>SWARM-12-H09-S05</x:v>
      </x:c>
      <x:c r="B1686" s="15" t="str">
        <x:v>JoySignal</x:v>
      </x:c>
      <x:c r="C1686" s="15" t="str">
        <x:v>Rest and morale keeper</x:v>
      </x:c>
      <x:c r="D1686" s="15" t="str">
        <x:v>Review Queues</x:v>
      </x:c>
      <x:c r="E1686" s="15" t="str">
        <x:v>Chat</x:v>
      </x:c>
      <x:c r="F1686" s="15" t="str">
        <x:v>Queue review for Chat — JoySignal</x:v>
      </x:c>
      <x:c r="G1686" s="15" t="str">
        <x:v>cadence / anti-burnout / safe completion language</x:v>
      </x:c>
      <x:c r="H1686" s="15" t="str">
        <x:v>source path + receipt + raw/export status + claim/edge/risk delta</x:v>
      </x:c>
      <x:c r="I1686" s="15" t="str">
        <x:v>packet/SWARM-12-H09-S05</x:v>
      </x:c>
      <x:c r="J1686" s="15" t="str">
        <x:v>TODO</x:v>
      </x:c>
      <x:c r="K1686" s="15" t="str">
        <x:v>P1</x:v>
      </x:c>
      <x:c r="L1686" s="15" t="str">
        <x:v>Done only when evidence is logged, contradiction search is noted, and boundary stamp remains non-canon unless ratified</x:v>
      </x:c>
      <x:c r="M1686" s="15" t="str">
        <x:v>candidate / staging-only / not canon / not deployed / authority none</x:v>
      </x:c>
      <x:c r="N1686" s="15" t="str">
        <x:v>Dispatch to JoySignal: complete Review Queues x Chat; return deltas only, receipts required.</x:v>
      </x:c>
      <x:c r="O1686" s="15" t="str">
        <x:v>AF-KG-H09-S05</x:v>
      </x:c>
      <x:c r="P1686" s="15" t="str">
        <x:v>Unverified</x:v>
      </x:c>
      <x:c r="Q1686" s="15" t="str">
        <x:v>Not checked</x:v>
      </x:c>
      <x:c r="R1686" s="15" t="str"/>
      <x:c r="S1686" s="15" t="str"/>
      <x:c r="T1686" s="15" t="str">
        <x:v>Log first source path or blocker</x:v>
      </x:c>
      <x:c r="U1686" s="12" t="str">
        <x:f>IF(OR(P1686="Unverified",Q1686="Not checked"),"BLOCKED_PENDING_RECEIPT","READY_FOR_REVIEW")</x:f>
        <x:v>BLOCKED_PENDING_RECEIPT</x:v>
      </x:c>
      <x:c r="V1686" s="12" t="str">
        <x:f>IF(J1686="DONE","RETURNED",IF(U1686="BLOCKED_PENDING_RECEIPT","SOURCE_TOUCH_REQUIRED","IN_PROGRESS"))</x:f>
        <x:v>SOURCE_TOUCH_REQUIRED</x:v>
      </x:c>
      <x:c r="W1686" s="12" t="str">
        <x:f>IF(P1686="Unverified","missing_receipt","receipt_logged")</x:f>
        <x:v>missing_receipt</x:v>
      </x:c>
      <x:c r="X1686" s="12" t="str">
        <x:f>IF(Q1686="Not checked","raw_status_missing","raw_status_logged")</x:f>
        <x:v>raw_status_missing</x:v>
      </x:c>
      <x:c r="Y1686" s="12" t="str">
        <x:f>IF(U1686="BLOCKED_PENDING_RECEIPT","Log source path or blocker; do not promote","Route to review lane")</x:f>
        <x:v>Log source path or blocker; do not promote</x:v>
      </x:c>
      <x:c r="Z1686" s="12" t="str">
        <x:f>IF(K1686="P0","Primary seat + Hashlight/Lucerna","Seat lane")</x:f>
        <x:v>Seat lane</x:v>
      </x:c>
      <x:c r="AA1686" s="12" t="str">
        <x:f>IF(R1686="","no_claim_delta","claim_delta_present")</x:f>
        <x:v>no_claim_delta</x:v>
      </x:c>
      <x:c r="AB1686" s="12" t="str">
        <x:f>IF(S1686="","no_contradiction_delta","contradiction_delta_present")</x:f>
        <x:v>no_contradiction_delta</x:v>
      </x:c>
      <x:c r="AC1686" s="12" t="str">
        <x:f>IF(OR(ISNUMBER(SEARCH("hacker",LOWER(F1686&amp;" "&amp;H1686&amp;" "&amp;I1686&amp;" "&amp;M1686&amp;" "&amp;N1686&amp;" "&amp;T1686))),ISNUMBER(SEARCH("hacking",LOWER(F1686&amp;" "&amp;H1686&amp;" "&amp;I1686&amp;" "&amp;M1686&amp;" "&amp;N1686&amp;" "&amp;T1686))),ISNUMBER(SEARCH("bank",LOWER(F1686&amp;" "&amp;H1686&amp;" "&amp;I1686&amp;" "&amp;M1686&amp;" "&amp;N1686&amp;" "&amp;T1686))),ISNUMBER(SEARCH("banking",LOWER(F1686&amp;" "&amp;H1686&amp;" "&amp;I1686&amp;" "&amp;M1686&amp;" "&amp;N1686&amp;" "&amp;T1686)))),"PRIVATE_QUARANTINE",IF(OR(ISNUMBER(SEARCH("treasury",LOWER(F1686&amp;" "&amp;H1686&amp;" "&amp;I1686&amp;" "&amp;M1686&amp;" "&amp;N1686&amp;" "&amp;T1686))),ISNUMBER(SEARCH("debt",LOWER(F1686&amp;" "&amp;H1686&amp;" "&amp;I1686&amp;" "&amp;M1686&amp;" "&amp;N1686&amp;" "&amp;T1686))),ISNUMBER(SEARCH("bond",LOWER(F1686&amp;" "&amp;H1686&amp;" "&amp;I1686&amp;" "&amp;M1686&amp;" "&amp;N1686&amp;" "&amp;T1686))),ISNUMBER(SEARCH("transaction",LOWER(F1686&amp;" "&amp;H1686&amp;" "&amp;I1686&amp;" "&amp;M1686&amp;" "&amp;N1686&amp;" "&amp;T1686)))),"PRIVATE_REVIEW","PUBLIC_CANDIDATE"))</x:f>
        <x:v>PUBLIC_CANDIDATE</x:v>
      </x:c>
      <x:c r="AD1686" s="12" t="str">
        <x:f>IF(AC1686="PRIVATE_QUARANTINE","hacker_or_bank_trigger",IF(AC1686="PRIVATE_REVIEW","finance_risk_trigger","none"))</x:f>
        <x:v>none</x:v>
      </x:c>
      <x:c r="AE1686" s="12" t="str">
        <x:f>IF(AC1686="PUBLIC_CANDIDATE","prepare_public_github_candidate",IF(AC1686="PRIVATE_REVIEW","hold_for_private_review","quarantine_private_do_not_publish"))</x:f>
        <x:v>prepare_public_github_candidate</x:v>
      </x:c>
      <x:c r="AF1686" s="12" t="str">
        <x:f>IF(AC1686="PUBLIC_CANDIDATE","TIDELOCK + Lucerna",IF(AC1686="PRIVATE_REVIEW","AtlasBrain + Lucerna","TIDELOCK + Lucerna + Human-root"))</x:f>
        <x:v>TIDELOCK + Lucerna</x:v>
      </x:c>
      <x:c r="AG1686" s="12" t="str">
        <x:f>IF(AND(AC1686="PUBLIC_CANDIDATE",U1686&lt;&gt;"BLOCKED_PENDING_RECEIPT"),"READY_AFTER_RECEIPT","NOT_READY")</x:f>
        <x:v>NOT_READY</x:v>
      </x:c>
      <x:c r="AH1686" s="12" t="str">
        <x:f>IF(AC1686="PUBLIC_CANDIDATE","none",AD1686)</x:f>
        <x:v>none</x:v>
      </x:c>
      <x:c r="AI1686" s="12" t="str">
        <x:f>IF(AC1686="PUBLIC_CANDIDATE","archive/public_candidates/"&amp;A1686,"private_quarantine/"&amp;A1686)</x:f>
        <x:v>archive/public_candidates/SWARM-12-H09-S05</x:v>
      </x:c>
      <x:c r="AJ1686" s="12" t="str">
        <x:f>IF(AC1686="PUBLIC_CANDIDATE","public by default; still not canon","private/hold; do not publish")</x:f>
        <x:v>public by default; still not canon</x:v>
      </x:c>
      <x:c r="AK1686" s="12" t="str">
        <x:f>IF(AE1686="prepare_public_github_candidate","add receipt/status then mirror","resolve blocker before any public GitHub action")</x:f>
        <x:v>add receipt/status then mirror</x:v>
      </x:c>
    </x:row>
    <x:row r="1687">
      <x:c r="A1687" s="15" t="str">
        <x:v>SWARM-12-H09-S06</x:v>
      </x:c>
      <x:c r="B1687" s="15" t="str">
        <x:v>JoySignal</x:v>
      </x:c>
      <x:c r="C1687" s="15" t="str">
        <x:v>Rest and morale keeper</x:v>
      </x:c>
      <x:c r="D1687" s="15" t="str">
        <x:v>Review Queues</x:v>
      </x:c>
      <x:c r="E1687" s="15" t="str">
        <x:v>External Web</x:v>
      </x:c>
      <x:c r="F1687" s="15" t="str">
        <x:v>Queue review for External Web — JoySignal</x:v>
      </x:c>
      <x:c r="G1687" s="15" t="str">
        <x:v>cadence / anti-burnout / safe completion language</x:v>
      </x:c>
      <x:c r="H1687" s="15" t="str">
        <x:v>source path + receipt + raw/export status + claim/edge/risk delta</x:v>
      </x:c>
      <x:c r="I1687" s="15" t="str">
        <x:v>packet/SWARM-12-H09-S06</x:v>
      </x:c>
      <x:c r="J1687" s="15" t="str">
        <x:v>TODO</x:v>
      </x:c>
      <x:c r="K1687" s="15" t="str">
        <x:v>P1</x:v>
      </x:c>
      <x:c r="L1687" s="15" t="str">
        <x:v>Done only when evidence is logged, contradiction search is noted, and boundary stamp remains non-canon unless ratified</x:v>
      </x:c>
      <x:c r="M1687" s="15" t="str">
        <x:v>candidate / staging-only / not canon / not deployed / authority none</x:v>
      </x:c>
      <x:c r="N1687" s="15" t="str">
        <x:v>Dispatch to JoySignal: complete Review Queues x External Web; return deltas only, receipts required.</x:v>
      </x:c>
      <x:c r="O1687" s="15" t="str">
        <x:v>AF-KG-H09-S06</x:v>
      </x:c>
      <x:c r="P1687" s="15" t="str">
        <x:v>Unverified</x:v>
      </x:c>
      <x:c r="Q1687" s="15" t="str">
        <x:v>Not checked</x:v>
      </x:c>
      <x:c r="R1687" s="15" t="str"/>
      <x:c r="S1687" s="15" t="str"/>
      <x:c r="T1687" s="15" t="str">
        <x:v>Log first source path or blocker</x:v>
      </x:c>
      <x:c r="U1687" s="12" t="str">
        <x:f>IF(OR(P1687="Unverified",Q1687="Not checked"),"BLOCKED_PENDING_RECEIPT","READY_FOR_REVIEW")</x:f>
        <x:v>BLOCKED_PENDING_RECEIPT</x:v>
      </x:c>
      <x:c r="V1687" s="12" t="str">
        <x:f>IF(J1687="DONE","RETURNED",IF(U1687="BLOCKED_PENDING_RECEIPT","SOURCE_TOUCH_REQUIRED","IN_PROGRESS"))</x:f>
        <x:v>SOURCE_TOUCH_REQUIRED</x:v>
      </x:c>
      <x:c r="W1687" s="12" t="str">
        <x:f>IF(P1687="Unverified","missing_receipt","receipt_logged")</x:f>
        <x:v>missing_receipt</x:v>
      </x:c>
      <x:c r="X1687" s="12" t="str">
        <x:f>IF(Q1687="Not checked","raw_status_missing","raw_status_logged")</x:f>
        <x:v>raw_status_missing</x:v>
      </x:c>
      <x:c r="Y1687" s="12" t="str">
        <x:f>IF(U1687="BLOCKED_PENDING_RECEIPT","Log source path or blocker; do not promote","Route to review lane")</x:f>
        <x:v>Log source path or blocker; do not promote</x:v>
      </x:c>
      <x:c r="Z1687" s="12" t="str">
        <x:f>IF(K1687="P0","Primary seat + Hashlight/Lucerna","Seat lane")</x:f>
        <x:v>Seat lane</x:v>
      </x:c>
      <x:c r="AA1687" s="12" t="str">
        <x:f>IF(R1687="","no_claim_delta","claim_delta_present")</x:f>
        <x:v>no_claim_delta</x:v>
      </x:c>
      <x:c r="AB1687" s="12" t="str">
        <x:f>IF(S1687="","no_contradiction_delta","contradiction_delta_present")</x:f>
        <x:v>no_contradiction_delta</x:v>
      </x:c>
      <x:c r="AC1687" s="12" t="str">
        <x:f>IF(OR(ISNUMBER(SEARCH("hacker",LOWER(F1687&amp;" "&amp;H1687&amp;" "&amp;I1687&amp;" "&amp;M1687&amp;" "&amp;N1687&amp;" "&amp;T1687))),ISNUMBER(SEARCH("hacking",LOWER(F1687&amp;" "&amp;H1687&amp;" "&amp;I1687&amp;" "&amp;M1687&amp;" "&amp;N1687&amp;" "&amp;T1687))),ISNUMBER(SEARCH("bank",LOWER(F1687&amp;" "&amp;H1687&amp;" "&amp;I1687&amp;" "&amp;M1687&amp;" "&amp;N1687&amp;" "&amp;T1687))),ISNUMBER(SEARCH("banking",LOWER(F1687&amp;" "&amp;H1687&amp;" "&amp;I1687&amp;" "&amp;M1687&amp;" "&amp;N1687&amp;" "&amp;T1687)))),"PRIVATE_QUARANTINE",IF(OR(ISNUMBER(SEARCH("treasury",LOWER(F1687&amp;" "&amp;H1687&amp;" "&amp;I1687&amp;" "&amp;M1687&amp;" "&amp;N1687&amp;" "&amp;T1687))),ISNUMBER(SEARCH("debt",LOWER(F1687&amp;" "&amp;H1687&amp;" "&amp;I1687&amp;" "&amp;M1687&amp;" "&amp;N1687&amp;" "&amp;T1687))),ISNUMBER(SEARCH("bond",LOWER(F1687&amp;" "&amp;H1687&amp;" "&amp;I1687&amp;" "&amp;M1687&amp;" "&amp;N1687&amp;" "&amp;T1687))),ISNUMBER(SEARCH("transaction",LOWER(F1687&amp;" "&amp;H1687&amp;" "&amp;I1687&amp;" "&amp;M1687&amp;" "&amp;N1687&amp;" "&amp;T1687)))),"PRIVATE_REVIEW","PUBLIC_CANDIDATE"))</x:f>
        <x:v>PUBLIC_CANDIDATE</x:v>
      </x:c>
      <x:c r="AD1687" s="12" t="str">
        <x:f>IF(AC1687="PRIVATE_QUARANTINE","hacker_or_bank_trigger",IF(AC1687="PRIVATE_REVIEW","finance_risk_trigger","none"))</x:f>
        <x:v>none</x:v>
      </x:c>
      <x:c r="AE1687" s="12" t="str">
        <x:f>IF(AC1687="PUBLIC_CANDIDATE","prepare_public_github_candidate",IF(AC1687="PRIVATE_REVIEW","hold_for_private_review","quarantine_private_do_not_publish"))</x:f>
        <x:v>prepare_public_github_candidate</x:v>
      </x:c>
      <x:c r="AF1687" s="12" t="str">
        <x:f>IF(AC1687="PUBLIC_CANDIDATE","TIDELOCK + Lucerna",IF(AC1687="PRIVATE_REVIEW","AtlasBrain + Lucerna","TIDELOCK + Lucerna + Human-root"))</x:f>
        <x:v>TIDELOCK + Lucerna</x:v>
      </x:c>
      <x:c r="AG1687" s="12" t="str">
        <x:f>IF(AND(AC1687="PUBLIC_CANDIDATE",U1687&lt;&gt;"BLOCKED_PENDING_RECEIPT"),"READY_AFTER_RECEIPT","NOT_READY")</x:f>
        <x:v>NOT_READY</x:v>
      </x:c>
      <x:c r="AH1687" s="12" t="str">
        <x:f>IF(AC1687="PUBLIC_CANDIDATE","none",AD1687)</x:f>
        <x:v>none</x:v>
      </x:c>
      <x:c r="AI1687" s="12" t="str">
        <x:f>IF(AC1687="PUBLIC_CANDIDATE","archive/public_candidates/"&amp;A1687,"private_quarantine/"&amp;A1687)</x:f>
        <x:v>archive/public_candidates/SWARM-12-H09-S06</x:v>
      </x:c>
      <x:c r="AJ1687" s="12" t="str">
        <x:f>IF(AC1687="PUBLIC_CANDIDATE","public by default; still not canon","private/hold; do not publish")</x:f>
        <x:v>public by default; still not canon</x:v>
      </x:c>
      <x:c r="AK1687" s="12" t="str">
        <x:f>IF(AE1687="prepare_public_github_candidate","add receipt/status then mirror","resolve blocker before any public GitHub action")</x:f>
        <x:v>add receipt/status then mirror</x:v>
      </x:c>
    </x:row>
    <x:row r="1688">
      <x:c r="A1688" s="15" t="str">
        <x:v>SWARM-12-H09-S07</x:v>
      </x:c>
      <x:c r="B1688" s="15" t="str">
        <x:v>JoySignal</x:v>
      </x:c>
      <x:c r="C1688" s="15" t="str">
        <x:v>Rest and morale keeper</x:v>
      </x:c>
      <x:c r="D1688" s="15" t="str">
        <x:v>Review Queues</x:v>
      </x:c>
      <x:c r="E1688" s="15" t="str">
        <x:v>Planetarium</x:v>
      </x:c>
      <x:c r="F1688" s="15" t="str">
        <x:v>Queue review for Planetarium — JoySignal</x:v>
      </x:c>
      <x:c r="G1688" s="15" t="str">
        <x:v>cadence / anti-burnout / safe completion language</x:v>
      </x:c>
      <x:c r="H1688" s="15" t="str">
        <x:v>source path + receipt + raw/export status + claim/edge/risk delta</x:v>
      </x:c>
      <x:c r="I1688" s="15" t="str">
        <x:v>packet/SWARM-12-H09-S07</x:v>
      </x:c>
      <x:c r="J1688" s="15" t="str">
        <x:v>TODO</x:v>
      </x:c>
      <x:c r="K1688" s="15" t="str">
        <x:v>P1</x:v>
      </x:c>
      <x:c r="L1688" s="15" t="str">
        <x:v>Done only when evidence is logged, contradiction search is noted, and boundary stamp remains non-canon unless ratified</x:v>
      </x:c>
      <x:c r="M1688" s="15" t="str">
        <x:v>candidate / staging-only / not canon / not deployed / authority none</x:v>
      </x:c>
      <x:c r="N1688" s="15" t="str">
        <x:v>Dispatch to JoySignal: complete Review Queues x Planetarium; return deltas only, receipts required.</x:v>
      </x:c>
      <x:c r="O1688" s="15" t="str">
        <x:v>AF-KG-H09-S07</x:v>
      </x:c>
      <x:c r="P1688" s="15" t="str">
        <x:v>Unverified</x:v>
      </x:c>
      <x:c r="Q1688" s="15" t="str">
        <x:v>Not checked</x:v>
      </x:c>
      <x:c r="R1688" s="15" t="str"/>
      <x:c r="S1688" s="15" t="str"/>
      <x:c r="T1688" s="15" t="str">
        <x:v>Log first source path or blocker</x:v>
      </x:c>
      <x:c r="U1688" s="12" t="str">
        <x:f>IF(OR(P1688="Unverified",Q1688="Not checked"),"BLOCKED_PENDING_RECEIPT","READY_FOR_REVIEW")</x:f>
        <x:v>BLOCKED_PENDING_RECEIPT</x:v>
      </x:c>
      <x:c r="V1688" s="12" t="str">
        <x:f>IF(J1688="DONE","RETURNED",IF(U1688="BLOCKED_PENDING_RECEIPT","SOURCE_TOUCH_REQUIRED","IN_PROGRESS"))</x:f>
        <x:v>SOURCE_TOUCH_REQUIRED</x:v>
      </x:c>
      <x:c r="W1688" s="12" t="str">
        <x:f>IF(P1688="Unverified","missing_receipt","receipt_logged")</x:f>
        <x:v>missing_receipt</x:v>
      </x:c>
      <x:c r="X1688" s="12" t="str">
        <x:f>IF(Q1688="Not checked","raw_status_missing","raw_status_logged")</x:f>
        <x:v>raw_status_missing</x:v>
      </x:c>
      <x:c r="Y1688" s="12" t="str">
        <x:f>IF(U1688="BLOCKED_PENDING_RECEIPT","Log source path or blocker; do not promote","Route to review lane")</x:f>
        <x:v>Log source path or blocker; do not promote</x:v>
      </x:c>
      <x:c r="Z1688" s="12" t="str">
        <x:f>IF(K1688="P0","Primary seat + Hashlight/Lucerna","Seat lane")</x:f>
        <x:v>Seat lane</x:v>
      </x:c>
      <x:c r="AA1688" s="12" t="str">
        <x:f>IF(R1688="","no_claim_delta","claim_delta_present")</x:f>
        <x:v>no_claim_delta</x:v>
      </x:c>
      <x:c r="AB1688" s="12" t="str">
        <x:f>IF(S1688="","no_contradiction_delta","contradiction_delta_present")</x:f>
        <x:v>no_contradiction_delta</x:v>
      </x:c>
      <x:c r="AC1688" s="12" t="str">
        <x:f>IF(OR(ISNUMBER(SEARCH("hacker",LOWER(F1688&amp;" "&amp;H1688&amp;" "&amp;I1688&amp;" "&amp;M1688&amp;" "&amp;N1688&amp;" "&amp;T1688))),ISNUMBER(SEARCH("hacking",LOWER(F1688&amp;" "&amp;H1688&amp;" "&amp;I1688&amp;" "&amp;M1688&amp;" "&amp;N1688&amp;" "&amp;T1688))),ISNUMBER(SEARCH("bank",LOWER(F1688&amp;" "&amp;H1688&amp;" "&amp;I1688&amp;" "&amp;M1688&amp;" "&amp;N1688&amp;" "&amp;T1688))),ISNUMBER(SEARCH("banking",LOWER(F1688&amp;" "&amp;H1688&amp;" "&amp;I1688&amp;" "&amp;M1688&amp;" "&amp;N1688&amp;" "&amp;T1688)))),"PRIVATE_QUARANTINE",IF(OR(ISNUMBER(SEARCH("treasury",LOWER(F1688&amp;" "&amp;H1688&amp;" "&amp;I1688&amp;" "&amp;M1688&amp;" "&amp;N1688&amp;" "&amp;T1688))),ISNUMBER(SEARCH("debt",LOWER(F1688&amp;" "&amp;H1688&amp;" "&amp;I1688&amp;" "&amp;M1688&amp;" "&amp;N1688&amp;" "&amp;T1688))),ISNUMBER(SEARCH("bond",LOWER(F1688&amp;" "&amp;H1688&amp;" "&amp;I1688&amp;" "&amp;M1688&amp;" "&amp;N1688&amp;" "&amp;T1688))),ISNUMBER(SEARCH("transaction",LOWER(F1688&amp;" "&amp;H1688&amp;" "&amp;I1688&amp;" "&amp;M1688&amp;" "&amp;N1688&amp;" "&amp;T1688)))),"PRIVATE_REVIEW","PUBLIC_CANDIDATE"))</x:f>
        <x:v>PUBLIC_CANDIDATE</x:v>
      </x:c>
      <x:c r="AD1688" s="12" t="str">
        <x:f>IF(AC1688="PRIVATE_QUARANTINE","hacker_or_bank_trigger",IF(AC1688="PRIVATE_REVIEW","finance_risk_trigger","none"))</x:f>
        <x:v>none</x:v>
      </x:c>
      <x:c r="AE1688" s="12" t="str">
        <x:f>IF(AC1688="PUBLIC_CANDIDATE","prepare_public_github_candidate",IF(AC1688="PRIVATE_REVIEW","hold_for_private_review","quarantine_private_do_not_publish"))</x:f>
        <x:v>prepare_public_github_candidate</x:v>
      </x:c>
      <x:c r="AF1688" s="12" t="str">
        <x:f>IF(AC1688="PUBLIC_CANDIDATE","TIDELOCK + Lucerna",IF(AC1688="PRIVATE_REVIEW","AtlasBrain + Lucerna","TIDELOCK + Lucerna + Human-root"))</x:f>
        <x:v>TIDELOCK + Lucerna</x:v>
      </x:c>
      <x:c r="AG1688" s="12" t="str">
        <x:f>IF(AND(AC1688="PUBLIC_CANDIDATE",U1688&lt;&gt;"BLOCKED_PENDING_RECEIPT"),"READY_AFTER_RECEIPT","NOT_READY")</x:f>
        <x:v>NOT_READY</x:v>
      </x:c>
      <x:c r="AH1688" s="12" t="str">
        <x:f>IF(AC1688="PUBLIC_CANDIDATE","none",AD1688)</x:f>
        <x:v>none</x:v>
      </x:c>
      <x:c r="AI1688" s="12" t="str">
        <x:f>IF(AC1688="PUBLIC_CANDIDATE","archive/public_candidates/"&amp;A1688,"private_quarantine/"&amp;A1688)</x:f>
        <x:v>archive/public_candidates/SWARM-12-H09-S07</x:v>
      </x:c>
      <x:c r="AJ1688" s="12" t="str">
        <x:f>IF(AC1688="PUBLIC_CANDIDATE","public by default; still not canon","private/hold; do not publish")</x:f>
        <x:v>public by default; still not canon</x:v>
      </x:c>
      <x:c r="AK1688" s="12" t="str">
        <x:f>IF(AE1688="prepare_public_github_candidate","add receipt/status then mirror","resolve blocker before any public GitHub action")</x:f>
        <x:v>add receipt/status then mirror</x:v>
      </x:c>
    </x:row>
    <x:row r="1689">
      <x:c r="A1689" s="15" t="str">
        <x:v>SWARM-12-H09-S08</x:v>
      </x:c>
      <x:c r="B1689" s="15" t="str">
        <x:v>JoySignal</x:v>
      </x:c>
      <x:c r="C1689" s="15" t="str">
        <x:v>Rest and morale keeper</x:v>
      </x:c>
      <x:c r="D1689" s="15" t="str">
        <x:v>Review Queues</x:v>
      </x:c>
      <x:c r="E1689" s="15" t="str">
        <x:v>Sheldonbrain</x:v>
      </x:c>
      <x:c r="F1689" s="15" t="str">
        <x:v>Queue review for Sheldonbrain — JoySignal</x:v>
      </x:c>
      <x:c r="G1689" s="15" t="str">
        <x:v>cadence / anti-burnout / safe completion language</x:v>
      </x:c>
      <x:c r="H1689" s="15" t="str">
        <x:v>source path + receipt + raw/export status + claim/edge/risk delta</x:v>
      </x:c>
      <x:c r="I1689" s="15" t="str">
        <x:v>packet/SWARM-12-H09-S08</x:v>
      </x:c>
      <x:c r="J1689" s="15" t="str">
        <x:v>TODO</x:v>
      </x:c>
      <x:c r="K1689" s="15" t="str">
        <x:v>P1</x:v>
      </x:c>
      <x:c r="L1689" s="15" t="str">
        <x:v>Done only when evidence is logged, contradiction search is noted, and boundary stamp remains non-canon unless ratified</x:v>
      </x:c>
      <x:c r="M1689" s="15" t="str">
        <x:v>candidate / staging-only / not canon / not deployed / authority none</x:v>
      </x:c>
      <x:c r="N1689" s="15" t="str">
        <x:v>Dispatch to JoySignal: complete Review Queues x Sheldonbrain; return deltas only, receipts required.</x:v>
      </x:c>
      <x:c r="O1689" s="15" t="str">
        <x:v>AF-KG-H09-S08</x:v>
      </x:c>
      <x:c r="P1689" s="15" t="str">
        <x:v>Unverified</x:v>
      </x:c>
      <x:c r="Q1689" s="15" t="str">
        <x:v>Not checked</x:v>
      </x:c>
      <x:c r="R1689" s="15" t="str"/>
      <x:c r="S1689" s="15" t="str"/>
      <x:c r="T1689" s="15" t="str">
        <x:v>Log first source path or blocker</x:v>
      </x:c>
      <x:c r="U1689" s="12" t="str">
        <x:f>IF(OR(P1689="Unverified",Q1689="Not checked"),"BLOCKED_PENDING_RECEIPT","READY_FOR_REVIEW")</x:f>
        <x:v>BLOCKED_PENDING_RECEIPT</x:v>
      </x:c>
      <x:c r="V1689" s="12" t="str">
        <x:f>IF(J1689="DONE","RETURNED",IF(U1689="BLOCKED_PENDING_RECEIPT","SOURCE_TOUCH_REQUIRED","IN_PROGRESS"))</x:f>
        <x:v>SOURCE_TOUCH_REQUIRED</x:v>
      </x:c>
      <x:c r="W1689" s="12" t="str">
        <x:f>IF(P1689="Unverified","missing_receipt","receipt_logged")</x:f>
        <x:v>missing_receipt</x:v>
      </x:c>
      <x:c r="X1689" s="12" t="str">
        <x:f>IF(Q1689="Not checked","raw_status_missing","raw_status_logged")</x:f>
        <x:v>raw_status_missing</x:v>
      </x:c>
      <x:c r="Y1689" s="12" t="str">
        <x:f>IF(U1689="BLOCKED_PENDING_RECEIPT","Log source path or blocker; do not promote","Route to review lane")</x:f>
        <x:v>Log source path or blocker; do not promote</x:v>
      </x:c>
      <x:c r="Z1689" s="12" t="str">
        <x:f>IF(K1689="P0","Primary seat + Hashlight/Lucerna","Seat lane")</x:f>
        <x:v>Seat lane</x:v>
      </x:c>
      <x:c r="AA1689" s="12" t="str">
        <x:f>IF(R1689="","no_claim_delta","claim_delta_present")</x:f>
        <x:v>no_claim_delta</x:v>
      </x:c>
      <x:c r="AB1689" s="12" t="str">
        <x:f>IF(S1689="","no_contradiction_delta","contradiction_delta_present")</x:f>
        <x:v>no_contradiction_delta</x:v>
      </x:c>
      <x:c r="AC1689" s="12" t="str">
        <x:f>IF(OR(ISNUMBER(SEARCH("hacker",LOWER(F1689&amp;" "&amp;H1689&amp;" "&amp;I1689&amp;" "&amp;M1689&amp;" "&amp;N1689&amp;" "&amp;T1689))),ISNUMBER(SEARCH("hacking",LOWER(F1689&amp;" "&amp;H1689&amp;" "&amp;I1689&amp;" "&amp;M1689&amp;" "&amp;N1689&amp;" "&amp;T1689))),ISNUMBER(SEARCH("bank",LOWER(F1689&amp;" "&amp;H1689&amp;" "&amp;I1689&amp;" "&amp;M1689&amp;" "&amp;N1689&amp;" "&amp;T1689))),ISNUMBER(SEARCH("banking",LOWER(F1689&amp;" "&amp;H1689&amp;" "&amp;I1689&amp;" "&amp;M1689&amp;" "&amp;N1689&amp;" "&amp;T1689)))),"PRIVATE_QUARANTINE",IF(OR(ISNUMBER(SEARCH("treasury",LOWER(F1689&amp;" "&amp;H1689&amp;" "&amp;I1689&amp;" "&amp;M1689&amp;" "&amp;N1689&amp;" "&amp;T1689))),ISNUMBER(SEARCH("debt",LOWER(F1689&amp;" "&amp;H1689&amp;" "&amp;I1689&amp;" "&amp;M1689&amp;" "&amp;N1689&amp;" "&amp;T1689))),ISNUMBER(SEARCH("bond",LOWER(F1689&amp;" "&amp;H1689&amp;" "&amp;I1689&amp;" "&amp;M1689&amp;" "&amp;N1689&amp;" "&amp;T1689))),ISNUMBER(SEARCH("transaction",LOWER(F1689&amp;" "&amp;H1689&amp;" "&amp;I1689&amp;" "&amp;M1689&amp;" "&amp;N1689&amp;" "&amp;T1689)))),"PRIVATE_REVIEW","PUBLIC_CANDIDATE"))</x:f>
        <x:v>PUBLIC_CANDIDATE</x:v>
      </x:c>
      <x:c r="AD1689" s="12" t="str">
        <x:f>IF(AC1689="PRIVATE_QUARANTINE","hacker_or_bank_trigger",IF(AC1689="PRIVATE_REVIEW","finance_risk_trigger","none"))</x:f>
        <x:v>none</x:v>
      </x:c>
      <x:c r="AE1689" s="12" t="str">
        <x:f>IF(AC1689="PUBLIC_CANDIDATE","prepare_public_github_candidate",IF(AC1689="PRIVATE_REVIEW","hold_for_private_review","quarantine_private_do_not_publish"))</x:f>
        <x:v>prepare_public_github_candidate</x:v>
      </x:c>
      <x:c r="AF1689" s="12" t="str">
        <x:f>IF(AC1689="PUBLIC_CANDIDATE","TIDELOCK + Lucerna",IF(AC1689="PRIVATE_REVIEW","AtlasBrain + Lucerna","TIDELOCK + Lucerna + Human-root"))</x:f>
        <x:v>TIDELOCK + Lucerna</x:v>
      </x:c>
      <x:c r="AG1689" s="12" t="str">
        <x:f>IF(AND(AC1689="PUBLIC_CANDIDATE",U1689&lt;&gt;"BLOCKED_PENDING_RECEIPT"),"READY_AFTER_RECEIPT","NOT_READY")</x:f>
        <x:v>NOT_READY</x:v>
      </x:c>
      <x:c r="AH1689" s="12" t="str">
        <x:f>IF(AC1689="PUBLIC_CANDIDATE","none",AD1689)</x:f>
        <x:v>none</x:v>
      </x:c>
      <x:c r="AI1689" s="12" t="str">
        <x:f>IF(AC1689="PUBLIC_CANDIDATE","archive/public_candidates/"&amp;A1689,"private_quarantine/"&amp;A1689)</x:f>
        <x:v>archive/public_candidates/SWARM-12-H09-S08</x:v>
      </x:c>
      <x:c r="AJ1689" s="12" t="str">
        <x:f>IF(AC1689="PUBLIC_CANDIDATE","public by default; still not canon","private/hold; do not publish")</x:f>
        <x:v>public by default; still not canon</x:v>
      </x:c>
      <x:c r="AK1689" s="12" t="str">
        <x:f>IF(AE1689="prepare_public_github_candidate","add receipt/status then mirror","resolve blocker before any public GitHub action")</x:f>
        <x:v>add receipt/status then mirror</x:v>
      </x:c>
    </x:row>
    <x:row r="1690">
      <x:c r="A1690" s="15" t="str">
        <x:v>SWARM-12-H09-S09</x:v>
      </x:c>
      <x:c r="B1690" s="15" t="str">
        <x:v>JoySignal</x:v>
      </x:c>
      <x:c r="C1690" s="15" t="str">
        <x:v>Rest and morale keeper</x:v>
      </x:c>
      <x:c r="D1690" s="15" t="str">
        <x:v>Review Queues</x:v>
      </x:c>
      <x:c r="E1690" s="15" t="str">
        <x:v>Aetherforge</x:v>
      </x:c>
      <x:c r="F1690" s="15" t="str">
        <x:v>Queue review for Aetherforge — JoySignal</x:v>
      </x:c>
      <x:c r="G1690" s="15" t="str">
        <x:v>cadence / anti-burnout / safe completion language</x:v>
      </x:c>
      <x:c r="H1690" s="15" t="str">
        <x:v>source path + receipt + raw/export status + claim/edge/risk delta</x:v>
      </x:c>
      <x:c r="I1690" s="15" t="str">
        <x:v>packet/SWARM-12-H09-S09</x:v>
      </x:c>
      <x:c r="J1690" s="15" t="str">
        <x:v>TODO</x:v>
      </x:c>
      <x:c r="K1690" s="15" t="str">
        <x:v>P2</x:v>
      </x:c>
      <x:c r="L1690" s="15" t="str">
        <x:v>Done only when evidence is logged, contradiction search is noted, and boundary stamp remains non-canon unless ratified</x:v>
      </x:c>
      <x:c r="M1690" s="15" t="str">
        <x:v>candidate / staging-only / not canon / not deployed / authority none</x:v>
      </x:c>
      <x:c r="N1690" s="15" t="str">
        <x:v>Dispatch to JoySignal: complete Review Queues x Aetherforge; return deltas only, receipts required.</x:v>
      </x:c>
      <x:c r="O1690" s="15" t="str">
        <x:v>AF-KG-H09-S09</x:v>
      </x:c>
      <x:c r="P1690" s="15" t="str">
        <x:v>Unverified</x:v>
      </x:c>
      <x:c r="Q1690" s="15" t="str">
        <x:v>Not checked</x:v>
      </x:c>
      <x:c r="R1690" s="15" t="str"/>
      <x:c r="S1690" s="15" t="str"/>
      <x:c r="T1690" s="15" t="str">
        <x:v>Log first source path or blocker</x:v>
      </x:c>
      <x:c r="U1690" s="12" t="str">
        <x:f>IF(OR(P1690="Unverified",Q1690="Not checked"),"BLOCKED_PENDING_RECEIPT","READY_FOR_REVIEW")</x:f>
        <x:v>BLOCKED_PENDING_RECEIPT</x:v>
      </x:c>
      <x:c r="V1690" s="12" t="str">
        <x:f>IF(J1690="DONE","RETURNED",IF(U1690="BLOCKED_PENDING_RECEIPT","SOURCE_TOUCH_REQUIRED","IN_PROGRESS"))</x:f>
        <x:v>SOURCE_TOUCH_REQUIRED</x:v>
      </x:c>
      <x:c r="W1690" s="12" t="str">
        <x:f>IF(P1690="Unverified","missing_receipt","receipt_logged")</x:f>
        <x:v>missing_receipt</x:v>
      </x:c>
      <x:c r="X1690" s="12" t="str">
        <x:f>IF(Q1690="Not checked","raw_status_missing","raw_status_logged")</x:f>
        <x:v>raw_status_missing</x:v>
      </x:c>
      <x:c r="Y1690" s="12" t="str">
        <x:f>IF(U1690="BLOCKED_PENDING_RECEIPT","Log source path or blocker; do not promote","Route to review lane")</x:f>
        <x:v>Log source path or blocker; do not promote</x:v>
      </x:c>
      <x:c r="Z1690" s="12" t="str">
        <x:f>IF(K1690="P0","Primary seat + Hashlight/Lucerna","Seat lane")</x:f>
        <x:v>Seat lane</x:v>
      </x:c>
      <x:c r="AA1690" s="12" t="str">
        <x:f>IF(R1690="","no_claim_delta","claim_delta_present")</x:f>
        <x:v>no_claim_delta</x:v>
      </x:c>
      <x:c r="AB1690" s="12" t="str">
        <x:f>IF(S1690="","no_contradiction_delta","contradiction_delta_present")</x:f>
        <x:v>no_contradiction_delta</x:v>
      </x:c>
      <x:c r="AC1690" s="12" t="str">
        <x:f>IF(OR(ISNUMBER(SEARCH("hacker",LOWER(F1690&amp;" "&amp;H1690&amp;" "&amp;I1690&amp;" "&amp;M1690&amp;" "&amp;N1690&amp;" "&amp;T1690))),ISNUMBER(SEARCH("hacking",LOWER(F1690&amp;" "&amp;H1690&amp;" "&amp;I1690&amp;" "&amp;M1690&amp;" "&amp;N1690&amp;" "&amp;T1690))),ISNUMBER(SEARCH("bank",LOWER(F1690&amp;" "&amp;H1690&amp;" "&amp;I1690&amp;" "&amp;M1690&amp;" "&amp;N1690&amp;" "&amp;T1690))),ISNUMBER(SEARCH("banking",LOWER(F1690&amp;" "&amp;H1690&amp;" "&amp;I1690&amp;" "&amp;M1690&amp;" "&amp;N1690&amp;" "&amp;T1690)))),"PRIVATE_QUARANTINE",IF(OR(ISNUMBER(SEARCH("treasury",LOWER(F1690&amp;" "&amp;H1690&amp;" "&amp;I1690&amp;" "&amp;M1690&amp;" "&amp;N1690&amp;" "&amp;T1690))),ISNUMBER(SEARCH("debt",LOWER(F1690&amp;" "&amp;H1690&amp;" "&amp;I1690&amp;" "&amp;M1690&amp;" "&amp;N1690&amp;" "&amp;T1690))),ISNUMBER(SEARCH("bond",LOWER(F1690&amp;" "&amp;H1690&amp;" "&amp;I1690&amp;" "&amp;M1690&amp;" "&amp;N1690&amp;" "&amp;T1690))),ISNUMBER(SEARCH("transaction",LOWER(F1690&amp;" "&amp;H1690&amp;" "&amp;I1690&amp;" "&amp;M1690&amp;" "&amp;N1690&amp;" "&amp;T1690)))),"PRIVATE_REVIEW","PUBLIC_CANDIDATE"))</x:f>
        <x:v>PUBLIC_CANDIDATE</x:v>
      </x:c>
      <x:c r="AD1690" s="12" t="str">
        <x:f>IF(AC1690="PRIVATE_QUARANTINE","hacker_or_bank_trigger",IF(AC1690="PRIVATE_REVIEW","finance_risk_trigger","none"))</x:f>
        <x:v>none</x:v>
      </x:c>
      <x:c r="AE1690" s="12" t="str">
        <x:f>IF(AC1690="PUBLIC_CANDIDATE","prepare_public_github_candidate",IF(AC1690="PRIVATE_REVIEW","hold_for_private_review","quarantine_private_do_not_publish"))</x:f>
        <x:v>prepare_public_github_candidate</x:v>
      </x:c>
      <x:c r="AF1690" s="12" t="str">
        <x:f>IF(AC1690="PUBLIC_CANDIDATE","TIDELOCK + Lucerna",IF(AC1690="PRIVATE_REVIEW","AtlasBrain + Lucerna","TIDELOCK + Lucerna + Human-root"))</x:f>
        <x:v>TIDELOCK + Lucerna</x:v>
      </x:c>
      <x:c r="AG1690" s="12" t="str">
        <x:f>IF(AND(AC1690="PUBLIC_CANDIDATE",U1690&lt;&gt;"BLOCKED_PENDING_RECEIPT"),"READY_AFTER_RECEIPT","NOT_READY")</x:f>
        <x:v>NOT_READY</x:v>
      </x:c>
      <x:c r="AH1690" s="12" t="str">
        <x:f>IF(AC1690="PUBLIC_CANDIDATE","none",AD1690)</x:f>
        <x:v>none</x:v>
      </x:c>
      <x:c r="AI1690" s="12" t="str">
        <x:f>IF(AC1690="PUBLIC_CANDIDATE","archive/public_candidates/"&amp;A1690,"private_quarantine/"&amp;A1690)</x:f>
        <x:v>archive/public_candidates/SWARM-12-H09-S09</x:v>
      </x:c>
      <x:c r="AJ1690" s="12" t="str">
        <x:f>IF(AC1690="PUBLIC_CANDIDATE","public by default; still not canon","private/hold; do not publish")</x:f>
        <x:v>public by default; still not canon</x:v>
      </x:c>
      <x:c r="AK1690" s="12" t="str">
        <x:f>IF(AE1690="prepare_public_github_candidate","add receipt/status then mirror","resolve blocker before any public GitHub action")</x:f>
        <x:v>add receipt/status then mirror</x:v>
      </x:c>
    </x:row>
    <x:row r="1691">
      <x:c r="A1691" s="15" t="str">
        <x:v>SWARM-12-H09-S10</x:v>
      </x:c>
      <x:c r="B1691" s="15" t="str">
        <x:v>JoySignal</x:v>
      </x:c>
      <x:c r="C1691" s="15" t="str">
        <x:v>Rest and morale keeper</x:v>
      </x:c>
      <x:c r="D1691" s="15" t="str">
        <x:v>Review Queues</x:v>
      </x:c>
      <x:c r="E1691" s="15" t="str">
        <x:v>Human-Root</x:v>
      </x:c>
      <x:c r="F1691" s="15" t="str">
        <x:v>Queue review for Human-Root — JoySignal</x:v>
      </x:c>
      <x:c r="G1691" s="15" t="str">
        <x:v>cadence / anti-burnout / safe completion language</x:v>
      </x:c>
      <x:c r="H1691" s="15" t="str">
        <x:v>source path + receipt + raw/export status + claim/edge/risk delta</x:v>
      </x:c>
      <x:c r="I1691" s="15" t="str">
        <x:v>packet/SWARM-12-H09-S10</x:v>
      </x:c>
      <x:c r="J1691" s="15" t="str">
        <x:v>TODO</x:v>
      </x:c>
      <x:c r="K1691" s="15" t="str">
        <x:v>P2</x:v>
      </x:c>
      <x:c r="L1691" s="15" t="str">
        <x:v>Done only when evidence is logged, contradiction search is noted, and boundary stamp remains non-canon unless ratified</x:v>
      </x:c>
      <x:c r="M1691" s="15" t="str">
        <x:v>candidate / staging-only / not canon / not deployed / authority none</x:v>
      </x:c>
      <x:c r="N1691" s="15" t="str">
        <x:v>Dispatch to JoySignal: complete Review Queues x Human-Root; return deltas only, receipts required.</x:v>
      </x:c>
      <x:c r="O1691" s="15" t="str">
        <x:v>AF-KG-H09-S10</x:v>
      </x:c>
      <x:c r="P1691" s="15" t="str">
        <x:v>Unverified</x:v>
      </x:c>
      <x:c r="Q1691" s="15" t="str">
        <x:v>Not checked</x:v>
      </x:c>
      <x:c r="R1691" s="15" t="str"/>
      <x:c r="S1691" s="15" t="str"/>
      <x:c r="T1691" s="15" t="str">
        <x:v>Log first source path or blocker</x:v>
      </x:c>
      <x:c r="U1691" s="12" t="str">
        <x:f>IF(OR(P1691="Unverified",Q1691="Not checked"),"BLOCKED_PENDING_RECEIPT","READY_FOR_REVIEW")</x:f>
        <x:v>BLOCKED_PENDING_RECEIPT</x:v>
      </x:c>
      <x:c r="V1691" s="12" t="str">
        <x:f>IF(J1691="DONE","RETURNED",IF(U1691="BLOCKED_PENDING_RECEIPT","SOURCE_TOUCH_REQUIRED","IN_PROGRESS"))</x:f>
        <x:v>SOURCE_TOUCH_REQUIRED</x:v>
      </x:c>
      <x:c r="W1691" s="12" t="str">
        <x:f>IF(P1691="Unverified","missing_receipt","receipt_logged")</x:f>
        <x:v>missing_receipt</x:v>
      </x:c>
      <x:c r="X1691" s="12" t="str">
        <x:f>IF(Q1691="Not checked","raw_status_missing","raw_status_logged")</x:f>
        <x:v>raw_status_missing</x:v>
      </x:c>
      <x:c r="Y1691" s="12" t="str">
        <x:f>IF(U1691="BLOCKED_PENDING_RECEIPT","Log source path or blocker; do not promote","Route to review lane")</x:f>
        <x:v>Log source path or blocker; do not promote</x:v>
      </x:c>
      <x:c r="Z1691" s="12" t="str">
        <x:f>IF(K1691="P0","Primary seat + Hashlight/Lucerna","Seat lane")</x:f>
        <x:v>Seat lane</x:v>
      </x:c>
      <x:c r="AA1691" s="12" t="str">
        <x:f>IF(R1691="","no_claim_delta","claim_delta_present")</x:f>
        <x:v>no_claim_delta</x:v>
      </x:c>
      <x:c r="AB1691" s="12" t="str">
        <x:f>IF(S1691="","no_contradiction_delta","contradiction_delta_present")</x:f>
        <x:v>no_contradiction_delta</x:v>
      </x:c>
      <x:c r="AC1691" s="12" t="str">
        <x:f>IF(OR(ISNUMBER(SEARCH("hacker",LOWER(F1691&amp;" "&amp;H1691&amp;" "&amp;I1691&amp;" "&amp;M1691&amp;" "&amp;N1691&amp;" "&amp;T1691))),ISNUMBER(SEARCH("hacking",LOWER(F1691&amp;" "&amp;H1691&amp;" "&amp;I1691&amp;" "&amp;M1691&amp;" "&amp;N1691&amp;" "&amp;T1691))),ISNUMBER(SEARCH("bank",LOWER(F1691&amp;" "&amp;H1691&amp;" "&amp;I1691&amp;" "&amp;M1691&amp;" "&amp;N1691&amp;" "&amp;T1691))),ISNUMBER(SEARCH("banking",LOWER(F1691&amp;" "&amp;H1691&amp;" "&amp;I1691&amp;" "&amp;M1691&amp;" "&amp;N1691&amp;" "&amp;T1691)))),"PRIVATE_QUARANTINE",IF(OR(ISNUMBER(SEARCH("treasury",LOWER(F1691&amp;" "&amp;H1691&amp;" "&amp;I1691&amp;" "&amp;M1691&amp;" "&amp;N1691&amp;" "&amp;T1691))),ISNUMBER(SEARCH("debt",LOWER(F1691&amp;" "&amp;H1691&amp;" "&amp;I1691&amp;" "&amp;M1691&amp;" "&amp;N1691&amp;" "&amp;T1691))),ISNUMBER(SEARCH("bond",LOWER(F1691&amp;" "&amp;H1691&amp;" "&amp;I1691&amp;" "&amp;M1691&amp;" "&amp;N1691&amp;" "&amp;T1691))),ISNUMBER(SEARCH("transaction",LOWER(F1691&amp;" "&amp;H1691&amp;" "&amp;I1691&amp;" "&amp;M1691&amp;" "&amp;N1691&amp;" "&amp;T1691)))),"PRIVATE_REVIEW","PUBLIC_CANDIDATE"))</x:f>
        <x:v>PUBLIC_CANDIDATE</x:v>
      </x:c>
      <x:c r="AD1691" s="12" t="str">
        <x:f>IF(AC1691="PRIVATE_QUARANTINE","hacker_or_bank_trigger",IF(AC1691="PRIVATE_REVIEW","finance_risk_trigger","none"))</x:f>
        <x:v>none</x:v>
      </x:c>
      <x:c r="AE1691" s="12" t="str">
        <x:f>IF(AC1691="PUBLIC_CANDIDATE","prepare_public_github_candidate",IF(AC1691="PRIVATE_REVIEW","hold_for_private_review","quarantine_private_do_not_publish"))</x:f>
        <x:v>prepare_public_github_candidate</x:v>
      </x:c>
      <x:c r="AF1691" s="12" t="str">
        <x:f>IF(AC1691="PUBLIC_CANDIDATE","TIDELOCK + Lucerna",IF(AC1691="PRIVATE_REVIEW","AtlasBrain + Lucerna","TIDELOCK + Lucerna + Human-root"))</x:f>
        <x:v>TIDELOCK + Lucerna</x:v>
      </x:c>
      <x:c r="AG1691" s="12" t="str">
        <x:f>IF(AND(AC1691="PUBLIC_CANDIDATE",U1691&lt;&gt;"BLOCKED_PENDING_RECEIPT"),"READY_AFTER_RECEIPT","NOT_READY")</x:f>
        <x:v>NOT_READY</x:v>
      </x:c>
      <x:c r="AH1691" s="12" t="str">
        <x:f>IF(AC1691="PUBLIC_CANDIDATE","none",AD1691)</x:f>
        <x:v>none</x:v>
      </x:c>
      <x:c r="AI1691" s="12" t="str">
        <x:f>IF(AC1691="PUBLIC_CANDIDATE","archive/public_candidates/"&amp;A1691,"private_quarantine/"&amp;A1691)</x:f>
        <x:v>archive/public_candidates/SWARM-12-H09-S10</x:v>
      </x:c>
      <x:c r="AJ1691" s="12" t="str">
        <x:f>IF(AC1691="PUBLIC_CANDIDATE","public by default; still not canon","private/hold; do not publish")</x:f>
        <x:v>public by default; still not canon</x:v>
      </x:c>
      <x:c r="AK1691" s="12" t="str">
        <x:f>IF(AE1691="prepare_public_github_candidate","add receipt/status then mirror","resolve blocker before any public GitHub action")</x:f>
        <x:v>add receipt/status then mirror</x:v>
      </x:c>
    </x:row>
    <x:row r="1692">
      <x:c r="A1692" s="15" t="str">
        <x:v>SWARM-12-H09-S11</x:v>
      </x:c>
      <x:c r="B1692" s="15" t="str">
        <x:v>JoySignal</x:v>
      </x:c>
      <x:c r="C1692" s="15" t="str">
        <x:v>Rest and morale keeper</x:v>
      </x:c>
      <x:c r="D1692" s="15" t="str">
        <x:v>Review Queues</x:v>
      </x:c>
      <x:c r="E1692" s="15" t="str">
        <x:v>Automation</x:v>
      </x:c>
      <x:c r="F1692" s="15" t="str">
        <x:v>Queue review for Automation — JoySignal</x:v>
      </x:c>
      <x:c r="G1692" s="15" t="str">
        <x:v>cadence / anti-burnout / safe completion language</x:v>
      </x:c>
      <x:c r="H1692" s="15" t="str">
        <x:v>source path + receipt + raw/export status + claim/edge/risk delta</x:v>
      </x:c>
      <x:c r="I1692" s="15" t="str">
        <x:v>packet/SWARM-12-H09-S11</x:v>
      </x:c>
      <x:c r="J1692" s="15" t="str">
        <x:v>TODO</x:v>
      </x:c>
      <x:c r="K1692" s="15" t="str">
        <x:v>P2</x:v>
      </x:c>
      <x:c r="L1692" s="15" t="str">
        <x:v>Done only when evidence is logged, contradiction search is noted, and boundary stamp remains non-canon unless ratified</x:v>
      </x:c>
      <x:c r="M1692" s="15" t="str">
        <x:v>candidate / staging-only / not canon / not deployed / authority none</x:v>
      </x:c>
      <x:c r="N1692" s="15" t="str">
        <x:v>Dispatch to JoySignal: complete Review Queues x Automation; return deltas only, receipts required.</x:v>
      </x:c>
      <x:c r="O1692" s="15" t="str">
        <x:v>AF-KG-H09-S11</x:v>
      </x:c>
      <x:c r="P1692" s="15" t="str">
        <x:v>Unverified</x:v>
      </x:c>
      <x:c r="Q1692" s="15" t="str">
        <x:v>Not checked</x:v>
      </x:c>
      <x:c r="R1692" s="15" t="str"/>
      <x:c r="S1692" s="15" t="str"/>
      <x:c r="T1692" s="15" t="str">
        <x:v>Log first source path or blocker</x:v>
      </x:c>
      <x:c r="U1692" s="12" t="str">
        <x:f>IF(OR(P1692="Unverified",Q1692="Not checked"),"BLOCKED_PENDING_RECEIPT","READY_FOR_REVIEW")</x:f>
        <x:v>BLOCKED_PENDING_RECEIPT</x:v>
      </x:c>
      <x:c r="V1692" s="12" t="str">
        <x:f>IF(J1692="DONE","RETURNED",IF(U1692="BLOCKED_PENDING_RECEIPT","SOURCE_TOUCH_REQUIRED","IN_PROGRESS"))</x:f>
        <x:v>SOURCE_TOUCH_REQUIRED</x:v>
      </x:c>
      <x:c r="W1692" s="12" t="str">
        <x:f>IF(P1692="Unverified","missing_receipt","receipt_logged")</x:f>
        <x:v>missing_receipt</x:v>
      </x:c>
      <x:c r="X1692" s="12" t="str">
        <x:f>IF(Q1692="Not checked","raw_status_missing","raw_status_logged")</x:f>
        <x:v>raw_status_missing</x:v>
      </x:c>
      <x:c r="Y1692" s="12" t="str">
        <x:f>IF(U1692="BLOCKED_PENDING_RECEIPT","Log source path or blocker; do not promote","Route to review lane")</x:f>
        <x:v>Log source path or blocker; do not promote</x:v>
      </x:c>
      <x:c r="Z1692" s="12" t="str">
        <x:f>IF(K1692="P0","Primary seat + Hashlight/Lucerna","Seat lane")</x:f>
        <x:v>Seat lane</x:v>
      </x:c>
      <x:c r="AA1692" s="12" t="str">
        <x:f>IF(R1692="","no_claim_delta","claim_delta_present")</x:f>
        <x:v>no_claim_delta</x:v>
      </x:c>
      <x:c r="AB1692" s="12" t="str">
        <x:f>IF(S1692="","no_contradiction_delta","contradiction_delta_present")</x:f>
        <x:v>no_contradiction_delta</x:v>
      </x:c>
      <x:c r="AC1692" s="12" t="str">
        <x:f>IF(OR(ISNUMBER(SEARCH("hacker",LOWER(F1692&amp;" "&amp;H1692&amp;" "&amp;I1692&amp;" "&amp;M1692&amp;" "&amp;N1692&amp;" "&amp;T1692))),ISNUMBER(SEARCH("hacking",LOWER(F1692&amp;" "&amp;H1692&amp;" "&amp;I1692&amp;" "&amp;M1692&amp;" "&amp;N1692&amp;" "&amp;T1692))),ISNUMBER(SEARCH("bank",LOWER(F1692&amp;" "&amp;H1692&amp;" "&amp;I1692&amp;" "&amp;M1692&amp;" "&amp;N1692&amp;" "&amp;T1692))),ISNUMBER(SEARCH("banking",LOWER(F1692&amp;" "&amp;H1692&amp;" "&amp;I1692&amp;" "&amp;M1692&amp;" "&amp;N1692&amp;" "&amp;T1692)))),"PRIVATE_QUARANTINE",IF(OR(ISNUMBER(SEARCH("treasury",LOWER(F1692&amp;" "&amp;H1692&amp;" "&amp;I1692&amp;" "&amp;M1692&amp;" "&amp;N1692&amp;" "&amp;T1692))),ISNUMBER(SEARCH("debt",LOWER(F1692&amp;" "&amp;H1692&amp;" "&amp;I1692&amp;" "&amp;M1692&amp;" "&amp;N1692&amp;" "&amp;T1692))),ISNUMBER(SEARCH("bond",LOWER(F1692&amp;" "&amp;H1692&amp;" "&amp;I1692&amp;" "&amp;M1692&amp;" "&amp;N1692&amp;" "&amp;T1692))),ISNUMBER(SEARCH("transaction",LOWER(F1692&amp;" "&amp;H1692&amp;" "&amp;I1692&amp;" "&amp;M1692&amp;" "&amp;N1692&amp;" "&amp;T1692)))),"PRIVATE_REVIEW","PUBLIC_CANDIDATE"))</x:f>
        <x:v>PUBLIC_CANDIDATE</x:v>
      </x:c>
      <x:c r="AD1692" s="12" t="str">
        <x:f>IF(AC1692="PRIVATE_QUARANTINE","hacker_or_bank_trigger",IF(AC1692="PRIVATE_REVIEW","finance_risk_trigger","none"))</x:f>
        <x:v>none</x:v>
      </x:c>
      <x:c r="AE1692" s="12" t="str">
        <x:f>IF(AC1692="PUBLIC_CANDIDATE","prepare_public_github_candidate",IF(AC1692="PRIVATE_REVIEW","hold_for_private_review","quarantine_private_do_not_publish"))</x:f>
        <x:v>prepare_public_github_candidate</x:v>
      </x:c>
      <x:c r="AF1692" s="12" t="str">
        <x:f>IF(AC1692="PUBLIC_CANDIDATE","TIDELOCK + Lucerna",IF(AC1692="PRIVATE_REVIEW","AtlasBrain + Lucerna","TIDELOCK + Lucerna + Human-root"))</x:f>
        <x:v>TIDELOCK + Lucerna</x:v>
      </x:c>
      <x:c r="AG1692" s="12" t="str">
        <x:f>IF(AND(AC1692="PUBLIC_CANDIDATE",U1692&lt;&gt;"BLOCKED_PENDING_RECEIPT"),"READY_AFTER_RECEIPT","NOT_READY")</x:f>
        <x:v>NOT_READY</x:v>
      </x:c>
      <x:c r="AH1692" s="12" t="str">
        <x:f>IF(AC1692="PUBLIC_CANDIDATE","none",AD1692)</x:f>
        <x:v>none</x:v>
      </x:c>
      <x:c r="AI1692" s="12" t="str">
        <x:f>IF(AC1692="PUBLIC_CANDIDATE","archive/public_candidates/"&amp;A1692,"private_quarantine/"&amp;A1692)</x:f>
        <x:v>archive/public_candidates/SWARM-12-H09-S11</x:v>
      </x:c>
      <x:c r="AJ1692" s="12" t="str">
        <x:f>IF(AC1692="PUBLIC_CANDIDATE","public by default; still not canon","private/hold; do not publish")</x:f>
        <x:v>public by default; still not canon</x:v>
      </x:c>
      <x:c r="AK1692" s="12" t="str">
        <x:f>IF(AE1692="prepare_public_github_candidate","add receipt/status then mirror","resolve blocker before any public GitHub action")</x:f>
        <x:v>add receipt/status then mirror</x:v>
      </x:c>
    </x:row>
    <x:row r="1693">
      <x:c r="A1693" s="15" t="str">
        <x:v>SWARM-12-H09-S12</x:v>
      </x:c>
      <x:c r="B1693" s="15" t="str">
        <x:v>JoySignal</x:v>
      </x:c>
      <x:c r="C1693" s="15" t="str">
        <x:v>Rest and morale keeper</x:v>
      </x:c>
      <x:c r="D1693" s="15" t="str">
        <x:v>Review Queues</x:v>
      </x:c>
      <x:c r="E1693" s="15" t="str">
        <x:v>Risk / Safety</x:v>
      </x:c>
      <x:c r="F1693" s="15" t="str">
        <x:v>Queue review for Risk / Safety — JoySignal</x:v>
      </x:c>
      <x:c r="G1693" s="15" t="str">
        <x:v>cadence / anti-burnout / safe completion language</x:v>
      </x:c>
      <x:c r="H1693" s="15" t="str">
        <x:v>source path + receipt + raw/export status + claim/edge/risk delta</x:v>
      </x:c>
      <x:c r="I1693" s="15" t="str">
        <x:v>packet/SWARM-12-H09-S12</x:v>
      </x:c>
      <x:c r="J1693" s="15" t="str">
        <x:v>TODO</x:v>
      </x:c>
      <x:c r="K1693" s="15" t="str">
        <x:v>P2</x:v>
      </x:c>
      <x:c r="L1693" s="15" t="str">
        <x:v>Done only when evidence is logged, contradiction search is noted, and boundary stamp remains non-canon unless ratified</x:v>
      </x:c>
      <x:c r="M1693" s="15" t="str">
        <x:v>candidate / staging-only / not canon / not deployed / authority none</x:v>
      </x:c>
      <x:c r="N1693" s="15" t="str">
        <x:v>Dispatch to JoySignal: complete Review Queues x Risk / Safety; return deltas only, receipts required.</x:v>
      </x:c>
      <x:c r="O1693" s="15" t="str">
        <x:v>AF-KG-H09-S12</x:v>
      </x:c>
      <x:c r="P1693" s="15" t="str">
        <x:v>Unverified</x:v>
      </x:c>
      <x:c r="Q1693" s="15" t="str">
        <x:v>Not checked</x:v>
      </x:c>
      <x:c r="R1693" s="15" t="str"/>
      <x:c r="S1693" s="15" t="str"/>
      <x:c r="T1693" s="15" t="str">
        <x:v>Log first source path or blocker</x:v>
      </x:c>
      <x:c r="U1693" s="12" t="str">
        <x:f>IF(OR(P1693="Unverified",Q1693="Not checked"),"BLOCKED_PENDING_RECEIPT","READY_FOR_REVIEW")</x:f>
        <x:v>BLOCKED_PENDING_RECEIPT</x:v>
      </x:c>
      <x:c r="V1693" s="12" t="str">
        <x:f>IF(J1693="DONE","RETURNED",IF(U1693="BLOCKED_PENDING_RECEIPT","SOURCE_TOUCH_REQUIRED","IN_PROGRESS"))</x:f>
        <x:v>SOURCE_TOUCH_REQUIRED</x:v>
      </x:c>
      <x:c r="W1693" s="12" t="str">
        <x:f>IF(P1693="Unverified","missing_receipt","receipt_logged")</x:f>
        <x:v>missing_receipt</x:v>
      </x:c>
      <x:c r="X1693" s="12" t="str">
        <x:f>IF(Q1693="Not checked","raw_status_missing","raw_status_logged")</x:f>
        <x:v>raw_status_missing</x:v>
      </x:c>
      <x:c r="Y1693" s="12" t="str">
        <x:f>IF(U1693="BLOCKED_PENDING_RECEIPT","Log source path or blocker; do not promote","Route to review lane")</x:f>
        <x:v>Log source path or blocker; do not promote</x:v>
      </x:c>
      <x:c r="Z1693" s="12" t="str">
        <x:f>IF(K1693="P0","Primary seat + Hashlight/Lucerna","Seat lane")</x:f>
        <x:v>Seat lane</x:v>
      </x:c>
      <x:c r="AA1693" s="12" t="str">
        <x:f>IF(R1693="","no_claim_delta","claim_delta_present")</x:f>
        <x:v>no_claim_delta</x:v>
      </x:c>
      <x:c r="AB1693" s="12" t="str">
        <x:f>IF(S1693="","no_contradiction_delta","contradiction_delta_present")</x:f>
        <x:v>no_contradiction_delta</x:v>
      </x:c>
      <x:c r="AC1693" s="12" t="str">
        <x:f>IF(OR(ISNUMBER(SEARCH("hacker",LOWER(F1693&amp;" "&amp;H1693&amp;" "&amp;I1693&amp;" "&amp;M1693&amp;" "&amp;N1693&amp;" "&amp;T1693))),ISNUMBER(SEARCH("hacking",LOWER(F1693&amp;" "&amp;H1693&amp;" "&amp;I1693&amp;" "&amp;M1693&amp;" "&amp;N1693&amp;" "&amp;T1693))),ISNUMBER(SEARCH("bank",LOWER(F1693&amp;" "&amp;H1693&amp;" "&amp;I1693&amp;" "&amp;M1693&amp;" "&amp;N1693&amp;" "&amp;T1693))),ISNUMBER(SEARCH("banking",LOWER(F1693&amp;" "&amp;H1693&amp;" "&amp;I1693&amp;" "&amp;M1693&amp;" "&amp;N1693&amp;" "&amp;T1693)))),"PRIVATE_QUARANTINE",IF(OR(ISNUMBER(SEARCH("treasury",LOWER(F1693&amp;" "&amp;H1693&amp;" "&amp;I1693&amp;" "&amp;M1693&amp;" "&amp;N1693&amp;" "&amp;T1693))),ISNUMBER(SEARCH("debt",LOWER(F1693&amp;" "&amp;H1693&amp;" "&amp;I1693&amp;" "&amp;M1693&amp;" "&amp;N1693&amp;" "&amp;T1693))),ISNUMBER(SEARCH("bond",LOWER(F1693&amp;" "&amp;H1693&amp;" "&amp;I1693&amp;" "&amp;M1693&amp;" "&amp;N1693&amp;" "&amp;T1693))),ISNUMBER(SEARCH("transaction",LOWER(F1693&amp;" "&amp;H1693&amp;" "&amp;I1693&amp;" "&amp;M1693&amp;" "&amp;N1693&amp;" "&amp;T1693)))),"PRIVATE_REVIEW","PUBLIC_CANDIDATE"))</x:f>
        <x:v>PUBLIC_CANDIDATE</x:v>
      </x:c>
      <x:c r="AD1693" s="12" t="str">
        <x:f>IF(AC1693="PRIVATE_QUARANTINE","hacker_or_bank_trigger",IF(AC1693="PRIVATE_REVIEW","finance_risk_trigger","none"))</x:f>
        <x:v>none</x:v>
      </x:c>
      <x:c r="AE1693" s="12" t="str">
        <x:f>IF(AC1693="PUBLIC_CANDIDATE","prepare_public_github_candidate",IF(AC1693="PRIVATE_REVIEW","hold_for_private_review","quarantine_private_do_not_publish"))</x:f>
        <x:v>prepare_public_github_candidate</x:v>
      </x:c>
      <x:c r="AF1693" s="12" t="str">
        <x:f>IF(AC1693="PUBLIC_CANDIDATE","TIDELOCK + Lucerna",IF(AC1693="PRIVATE_REVIEW","AtlasBrain + Lucerna","TIDELOCK + Lucerna + Human-root"))</x:f>
        <x:v>TIDELOCK + Lucerna</x:v>
      </x:c>
      <x:c r="AG1693" s="12" t="str">
        <x:f>IF(AND(AC1693="PUBLIC_CANDIDATE",U1693&lt;&gt;"BLOCKED_PENDING_RECEIPT"),"READY_AFTER_RECEIPT","NOT_READY")</x:f>
        <x:v>NOT_READY</x:v>
      </x:c>
      <x:c r="AH1693" s="12" t="str">
        <x:f>IF(AC1693="PUBLIC_CANDIDATE","none",AD1693)</x:f>
        <x:v>none</x:v>
      </x:c>
      <x:c r="AI1693" s="12" t="str">
        <x:f>IF(AC1693="PUBLIC_CANDIDATE","archive/public_candidates/"&amp;A1693,"private_quarantine/"&amp;A1693)</x:f>
        <x:v>archive/public_candidates/SWARM-12-H09-S12</x:v>
      </x:c>
      <x:c r="AJ1693" s="12" t="str">
        <x:f>IF(AC1693="PUBLIC_CANDIDATE","public by default; still not canon","private/hold; do not publish")</x:f>
        <x:v>public by default; still not canon</x:v>
      </x:c>
      <x:c r="AK1693" s="12" t="str">
        <x:f>IF(AE1693="prepare_public_github_candidate","add receipt/status then mirror","resolve blocker before any public GitHub action")</x:f>
        <x:v>add receipt/status then mirror</x:v>
      </x:c>
    </x:row>
    <x:row r="1694">
      <x:c r="A1694" s="15" t="str">
        <x:v>SWARM-12-H10-S01</x:v>
      </x:c>
      <x:c r="B1694" s="15" t="str">
        <x:v>JoySignal</x:v>
      </x:c>
      <x:c r="C1694" s="15" t="str">
        <x:v>Rest and morale keeper</x:v>
      </x:c>
      <x:c r="D1694" s="15" t="str">
        <x:v>GitHub Source Packets</x:v>
      </x:c>
      <x:c r="E1694" s="15" t="str">
        <x:v>Notion</x:v>
      </x:c>
      <x:c r="F1694" s="15" t="str">
        <x:v>Build source packet for Notion — JoySignal</x:v>
      </x:c>
      <x:c r="G1694" s="15" t="str">
        <x:v>cadence / anti-burnout / safe completion language</x:v>
      </x:c>
      <x:c r="H1694" s="15" t="str">
        <x:v>source path + receipt + raw/export status + claim/edge/risk delta</x:v>
      </x:c>
      <x:c r="I1694" s="15" t="str">
        <x:v>packet/SWARM-12-H10-S01</x:v>
      </x:c>
      <x:c r="J1694" s="15" t="str">
        <x:v>TODO</x:v>
      </x:c>
      <x:c r="K1694" s="15" t="str">
        <x:v>P0</x:v>
      </x:c>
      <x:c r="L1694" s="15" t="str">
        <x:v>Done only when evidence is logged, contradiction search is noted, and boundary stamp remains non-canon unless ratified</x:v>
      </x:c>
      <x:c r="M1694" s="15" t="str">
        <x:v>candidate / staging-only / not canon / not deployed / authority none</x:v>
      </x:c>
      <x:c r="N1694" s="15" t="str">
        <x:v>Dispatch to JoySignal: complete GitHub Source Packets x Notion; return deltas only, receipts required.</x:v>
      </x:c>
      <x:c r="O1694" s="15" t="str">
        <x:v>AF-KG-H10-S01</x:v>
      </x:c>
      <x:c r="P1694" s="15" t="str">
        <x:v>Unverified</x:v>
      </x:c>
      <x:c r="Q1694" s="15" t="str">
        <x:v>Not checked</x:v>
      </x:c>
      <x:c r="R1694" s="15" t="str"/>
      <x:c r="S1694" s="15" t="str"/>
      <x:c r="T1694" s="15" t="str">
        <x:v>Log first source path or blocker</x:v>
      </x:c>
      <x:c r="U1694" s="12" t="str">
        <x:f>IF(OR(P1694="Unverified",Q1694="Not checked"),"BLOCKED_PENDING_RECEIPT","READY_FOR_REVIEW")</x:f>
        <x:v>BLOCKED_PENDING_RECEIPT</x:v>
      </x:c>
      <x:c r="V1694" s="12" t="str">
        <x:f>IF(J1694="DONE","RETURNED",IF(U1694="BLOCKED_PENDING_RECEIPT","SOURCE_TOUCH_REQUIRED","IN_PROGRESS"))</x:f>
        <x:v>SOURCE_TOUCH_REQUIRED</x:v>
      </x:c>
      <x:c r="W1694" s="12" t="str">
        <x:f>IF(P1694="Unverified","missing_receipt","receipt_logged")</x:f>
        <x:v>missing_receipt</x:v>
      </x:c>
      <x:c r="X1694" s="12" t="str">
        <x:f>IF(Q1694="Not checked","raw_status_missing","raw_status_logged")</x:f>
        <x:v>raw_status_missing</x:v>
      </x:c>
      <x:c r="Y1694" s="12" t="str">
        <x:f>IF(U1694="BLOCKED_PENDING_RECEIPT","Log source path or blocker; do not promote","Route to review lane")</x:f>
        <x:v>Log source path or blocker; do not promote</x:v>
      </x:c>
      <x:c r="Z1694" s="12" t="str">
        <x:f>IF(K1694="P0","Primary seat + Hashlight/Lucerna","Seat lane")</x:f>
        <x:v>Primary seat + Hashlight/Lucerna</x:v>
      </x:c>
      <x:c r="AA1694" s="12" t="str">
        <x:f>IF(R1694="","no_claim_delta","claim_delta_present")</x:f>
        <x:v>no_claim_delta</x:v>
      </x:c>
      <x:c r="AB1694" s="12" t="str">
        <x:f>IF(S1694="","no_contradiction_delta","contradiction_delta_present")</x:f>
        <x:v>no_contradiction_delta</x:v>
      </x:c>
      <x:c r="AC1694" s="12" t="str">
        <x:f>IF(OR(ISNUMBER(SEARCH("hacker",LOWER(F1694&amp;" "&amp;H1694&amp;" "&amp;I1694&amp;" "&amp;M1694&amp;" "&amp;N1694&amp;" "&amp;T1694))),ISNUMBER(SEARCH("hacking",LOWER(F1694&amp;" "&amp;H1694&amp;" "&amp;I1694&amp;" "&amp;M1694&amp;" "&amp;N1694&amp;" "&amp;T1694))),ISNUMBER(SEARCH("bank",LOWER(F1694&amp;" "&amp;H1694&amp;" "&amp;I1694&amp;" "&amp;M1694&amp;" "&amp;N1694&amp;" "&amp;T1694))),ISNUMBER(SEARCH("banking",LOWER(F1694&amp;" "&amp;H1694&amp;" "&amp;I1694&amp;" "&amp;M1694&amp;" "&amp;N1694&amp;" "&amp;T1694)))),"PRIVATE_QUARANTINE",IF(OR(ISNUMBER(SEARCH("treasury",LOWER(F1694&amp;" "&amp;H1694&amp;" "&amp;I1694&amp;" "&amp;M1694&amp;" "&amp;N1694&amp;" "&amp;T1694))),ISNUMBER(SEARCH("debt",LOWER(F1694&amp;" "&amp;H1694&amp;" "&amp;I1694&amp;" "&amp;M1694&amp;" "&amp;N1694&amp;" "&amp;T1694))),ISNUMBER(SEARCH("bond",LOWER(F1694&amp;" "&amp;H1694&amp;" "&amp;I1694&amp;" "&amp;M1694&amp;" "&amp;N1694&amp;" "&amp;T1694))),ISNUMBER(SEARCH("transaction",LOWER(F1694&amp;" "&amp;H1694&amp;" "&amp;I1694&amp;" "&amp;M1694&amp;" "&amp;N1694&amp;" "&amp;T1694)))),"PRIVATE_REVIEW","PUBLIC_CANDIDATE"))</x:f>
        <x:v>PUBLIC_CANDIDATE</x:v>
      </x:c>
      <x:c r="AD1694" s="12" t="str">
        <x:f>IF(AC1694="PRIVATE_QUARANTINE","hacker_or_bank_trigger",IF(AC1694="PRIVATE_REVIEW","finance_risk_trigger","none"))</x:f>
        <x:v>none</x:v>
      </x:c>
      <x:c r="AE1694" s="12" t="str">
        <x:f>IF(AC1694="PUBLIC_CANDIDATE","prepare_public_github_candidate",IF(AC1694="PRIVATE_REVIEW","hold_for_private_review","quarantine_private_do_not_publish"))</x:f>
        <x:v>prepare_public_github_candidate</x:v>
      </x:c>
      <x:c r="AF1694" s="12" t="str">
        <x:f>IF(AC1694="PUBLIC_CANDIDATE","TIDELOCK + Lucerna",IF(AC1694="PRIVATE_REVIEW","AtlasBrain + Lucerna","TIDELOCK + Lucerna + Human-root"))</x:f>
        <x:v>TIDELOCK + Lucerna</x:v>
      </x:c>
      <x:c r="AG1694" s="12" t="str">
        <x:f>IF(AND(AC1694="PUBLIC_CANDIDATE",U1694&lt;&gt;"BLOCKED_PENDING_RECEIPT"),"READY_AFTER_RECEIPT","NOT_READY")</x:f>
        <x:v>NOT_READY</x:v>
      </x:c>
      <x:c r="AH1694" s="12" t="str">
        <x:f>IF(AC1694="PUBLIC_CANDIDATE","none",AD1694)</x:f>
        <x:v>none</x:v>
      </x:c>
      <x:c r="AI1694" s="12" t="str">
        <x:f>IF(AC1694="PUBLIC_CANDIDATE","archive/public_candidates/"&amp;A1694,"private_quarantine/"&amp;A1694)</x:f>
        <x:v>archive/public_candidates/SWARM-12-H10-S01</x:v>
      </x:c>
      <x:c r="AJ1694" s="12" t="str">
        <x:f>IF(AC1694="PUBLIC_CANDIDATE","public by default; still not canon","private/hold; do not publish")</x:f>
        <x:v>public by default; still not canon</x:v>
      </x:c>
      <x:c r="AK1694" s="12" t="str">
        <x:f>IF(AE1694="prepare_public_github_candidate","add receipt/status then mirror","resolve blocker before any public GitHub action")</x:f>
        <x:v>add receipt/status then mirror</x:v>
      </x:c>
    </x:row>
    <x:row r="1695">
      <x:c r="A1695" s="15" t="str">
        <x:v>SWARM-12-H10-S02</x:v>
      </x:c>
      <x:c r="B1695" s="15" t="str">
        <x:v>JoySignal</x:v>
      </x:c>
      <x:c r="C1695" s="15" t="str">
        <x:v>Rest and morale keeper</x:v>
      </x:c>
      <x:c r="D1695" s="15" t="str">
        <x:v>GitHub Source Packets</x:v>
      </x:c>
      <x:c r="E1695" s="15" t="str">
        <x:v>Drive</x:v>
      </x:c>
      <x:c r="F1695" s="15" t="str">
        <x:v>Build source packet for Drive — JoySignal</x:v>
      </x:c>
      <x:c r="G1695" s="15" t="str">
        <x:v>cadence / anti-burnout / safe completion language</x:v>
      </x:c>
      <x:c r="H1695" s="15" t="str">
        <x:v>source path + receipt + raw/export status + claim/edge/risk delta</x:v>
      </x:c>
      <x:c r="I1695" s="15" t="str">
        <x:v>packet/SWARM-12-H10-S02</x:v>
      </x:c>
      <x:c r="J1695" s="15" t="str">
        <x:v>TODO</x:v>
      </x:c>
      <x:c r="K1695" s="15" t="str">
        <x:v>P0</x:v>
      </x:c>
      <x:c r="L1695" s="15" t="str">
        <x:v>Done only when evidence is logged, contradiction search is noted, and boundary stamp remains non-canon unless ratified</x:v>
      </x:c>
      <x:c r="M1695" s="15" t="str">
        <x:v>candidate / staging-only / not canon / not deployed / authority none</x:v>
      </x:c>
      <x:c r="N1695" s="15" t="str">
        <x:v>Dispatch to JoySignal: complete GitHub Source Packets x Drive; return deltas only, receipts required.</x:v>
      </x:c>
      <x:c r="O1695" s="15" t="str">
        <x:v>AF-KG-H10-S02</x:v>
      </x:c>
      <x:c r="P1695" s="15" t="str">
        <x:v>Unverified</x:v>
      </x:c>
      <x:c r="Q1695" s="15" t="str">
        <x:v>Not checked</x:v>
      </x:c>
      <x:c r="R1695" s="15" t="str"/>
      <x:c r="S1695" s="15" t="str"/>
      <x:c r="T1695" s="15" t="str">
        <x:v>Log first source path or blocker</x:v>
      </x:c>
      <x:c r="U1695" s="12" t="str">
        <x:f>IF(OR(P1695="Unverified",Q1695="Not checked"),"BLOCKED_PENDING_RECEIPT","READY_FOR_REVIEW")</x:f>
        <x:v>BLOCKED_PENDING_RECEIPT</x:v>
      </x:c>
      <x:c r="V1695" s="12" t="str">
        <x:f>IF(J1695="DONE","RETURNED",IF(U1695="BLOCKED_PENDING_RECEIPT","SOURCE_TOUCH_REQUIRED","IN_PROGRESS"))</x:f>
        <x:v>SOURCE_TOUCH_REQUIRED</x:v>
      </x:c>
      <x:c r="W1695" s="12" t="str">
        <x:f>IF(P1695="Unverified","missing_receipt","receipt_logged")</x:f>
        <x:v>missing_receipt</x:v>
      </x:c>
      <x:c r="X1695" s="12" t="str">
        <x:f>IF(Q1695="Not checked","raw_status_missing","raw_status_logged")</x:f>
        <x:v>raw_status_missing</x:v>
      </x:c>
      <x:c r="Y1695" s="12" t="str">
        <x:f>IF(U1695="BLOCKED_PENDING_RECEIPT","Log source path or blocker; do not promote","Route to review lane")</x:f>
        <x:v>Log source path or blocker; do not promote</x:v>
      </x:c>
      <x:c r="Z1695" s="12" t="str">
        <x:f>IF(K1695="P0","Primary seat + Hashlight/Lucerna","Seat lane")</x:f>
        <x:v>Primary seat + Hashlight/Lucerna</x:v>
      </x:c>
      <x:c r="AA1695" s="12" t="str">
        <x:f>IF(R1695="","no_claim_delta","claim_delta_present")</x:f>
        <x:v>no_claim_delta</x:v>
      </x:c>
      <x:c r="AB1695" s="12" t="str">
        <x:f>IF(S1695="","no_contradiction_delta","contradiction_delta_present")</x:f>
        <x:v>no_contradiction_delta</x:v>
      </x:c>
      <x:c r="AC1695" s="12" t="str">
        <x:f>IF(OR(ISNUMBER(SEARCH("hacker",LOWER(F1695&amp;" "&amp;H1695&amp;" "&amp;I1695&amp;" "&amp;M1695&amp;" "&amp;N1695&amp;" "&amp;T1695))),ISNUMBER(SEARCH("hacking",LOWER(F1695&amp;" "&amp;H1695&amp;" "&amp;I1695&amp;" "&amp;M1695&amp;" "&amp;N1695&amp;" "&amp;T1695))),ISNUMBER(SEARCH("bank",LOWER(F1695&amp;" "&amp;H1695&amp;" "&amp;I1695&amp;" "&amp;M1695&amp;" "&amp;N1695&amp;" "&amp;T1695))),ISNUMBER(SEARCH("banking",LOWER(F1695&amp;" "&amp;H1695&amp;" "&amp;I1695&amp;" "&amp;M1695&amp;" "&amp;N1695&amp;" "&amp;T1695)))),"PRIVATE_QUARANTINE",IF(OR(ISNUMBER(SEARCH("treasury",LOWER(F1695&amp;" "&amp;H1695&amp;" "&amp;I1695&amp;" "&amp;M1695&amp;" "&amp;N1695&amp;" "&amp;T1695))),ISNUMBER(SEARCH("debt",LOWER(F1695&amp;" "&amp;H1695&amp;" "&amp;I1695&amp;" "&amp;M1695&amp;" "&amp;N1695&amp;" "&amp;T1695))),ISNUMBER(SEARCH("bond",LOWER(F1695&amp;" "&amp;H1695&amp;" "&amp;I1695&amp;" "&amp;M1695&amp;" "&amp;N1695&amp;" "&amp;T1695))),ISNUMBER(SEARCH("transaction",LOWER(F1695&amp;" "&amp;H1695&amp;" "&amp;I1695&amp;" "&amp;M1695&amp;" "&amp;N1695&amp;" "&amp;T1695)))),"PRIVATE_REVIEW","PUBLIC_CANDIDATE"))</x:f>
        <x:v>PUBLIC_CANDIDATE</x:v>
      </x:c>
      <x:c r="AD1695" s="12" t="str">
        <x:f>IF(AC1695="PRIVATE_QUARANTINE","hacker_or_bank_trigger",IF(AC1695="PRIVATE_REVIEW","finance_risk_trigger","none"))</x:f>
        <x:v>none</x:v>
      </x:c>
      <x:c r="AE1695" s="12" t="str">
        <x:f>IF(AC1695="PUBLIC_CANDIDATE","prepare_public_github_candidate",IF(AC1695="PRIVATE_REVIEW","hold_for_private_review","quarantine_private_do_not_publish"))</x:f>
        <x:v>prepare_public_github_candidate</x:v>
      </x:c>
      <x:c r="AF1695" s="12" t="str">
        <x:f>IF(AC1695="PUBLIC_CANDIDATE","TIDELOCK + Lucerna",IF(AC1695="PRIVATE_REVIEW","AtlasBrain + Lucerna","TIDELOCK + Lucerna + Human-root"))</x:f>
        <x:v>TIDELOCK + Lucerna</x:v>
      </x:c>
      <x:c r="AG1695" s="12" t="str">
        <x:f>IF(AND(AC1695="PUBLIC_CANDIDATE",U1695&lt;&gt;"BLOCKED_PENDING_RECEIPT"),"READY_AFTER_RECEIPT","NOT_READY")</x:f>
        <x:v>NOT_READY</x:v>
      </x:c>
      <x:c r="AH1695" s="12" t="str">
        <x:f>IF(AC1695="PUBLIC_CANDIDATE","none",AD1695)</x:f>
        <x:v>none</x:v>
      </x:c>
      <x:c r="AI1695" s="12" t="str">
        <x:f>IF(AC1695="PUBLIC_CANDIDATE","archive/public_candidates/"&amp;A1695,"private_quarantine/"&amp;A1695)</x:f>
        <x:v>archive/public_candidates/SWARM-12-H10-S02</x:v>
      </x:c>
      <x:c r="AJ1695" s="12" t="str">
        <x:f>IF(AC1695="PUBLIC_CANDIDATE","public by default; still not canon","private/hold; do not publish")</x:f>
        <x:v>public by default; still not canon</x:v>
      </x:c>
      <x:c r="AK1695" s="12" t="str">
        <x:f>IF(AE1695="prepare_public_github_candidate","add receipt/status then mirror","resolve blocker before any public GitHub action")</x:f>
        <x:v>add receipt/status then mirror</x:v>
      </x:c>
    </x:row>
    <x:row r="1696">
      <x:c r="A1696" s="15" t="str">
        <x:v>SWARM-12-H10-S03</x:v>
      </x:c>
      <x:c r="B1696" s="15" t="str">
        <x:v>JoySignal</x:v>
      </x:c>
      <x:c r="C1696" s="15" t="str">
        <x:v>Rest and morale keeper</x:v>
      </x:c>
      <x:c r="D1696" s="15" t="str">
        <x:v>GitHub Source Packets</x:v>
      </x:c>
      <x:c r="E1696" s="15" t="str">
        <x:v>GitHub</x:v>
      </x:c>
      <x:c r="F1696" s="15" t="str">
        <x:v>Build source packet for GitHub — JoySignal</x:v>
      </x:c>
      <x:c r="G1696" s="15" t="str">
        <x:v>cadence / anti-burnout / safe completion language</x:v>
      </x:c>
      <x:c r="H1696" s="15" t="str">
        <x:v>source path + receipt + raw/export status + claim/edge/risk delta</x:v>
      </x:c>
      <x:c r="I1696" s="15" t="str">
        <x:v>packet/SWARM-12-H10-S03</x:v>
      </x:c>
      <x:c r="J1696" s="15" t="str">
        <x:v>TODO</x:v>
      </x:c>
      <x:c r="K1696" s="15" t="str">
        <x:v>P0</x:v>
      </x:c>
      <x:c r="L1696" s="15" t="str">
        <x:v>Done only when evidence is logged, contradiction search is noted, and boundary stamp remains non-canon unless ratified</x:v>
      </x:c>
      <x:c r="M1696" s="15" t="str">
        <x:v>candidate / staging-only / not canon / not deployed / authority none</x:v>
      </x:c>
      <x:c r="N1696" s="15" t="str">
        <x:v>Dispatch to JoySignal: complete GitHub Source Packets x GitHub; return deltas only, receipts required.</x:v>
      </x:c>
      <x:c r="O1696" s="15" t="str">
        <x:v>AF-KG-H10-S03</x:v>
      </x:c>
      <x:c r="P1696" s="15" t="str">
        <x:v>Unverified</x:v>
      </x:c>
      <x:c r="Q1696" s="15" t="str">
        <x:v>Not checked</x:v>
      </x:c>
      <x:c r="R1696" s="15" t="str"/>
      <x:c r="S1696" s="15" t="str"/>
      <x:c r="T1696" s="15" t="str">
        <x:v>Log first source path or blocker</x:v>
      </x:c>
      <x:c r="U1696" s="12" t="str">
        <x:f>IF(OR(P1696="Unverified",Q1696="Not checked"),"BLOCKED_PENDING_RECEIPT","READY_FOR_REVIEW")</x:f>
        <x:v>BLOCKED_PENDING_RECEIPT</x:v>
      </x:c>
      <x:c r="V1696" s="12" t="str">
        <x:f>IF(J1696="DONE","RETURNED",IF(U1696="BLOCKED_PENDING_RECEIPT","SOURCE_TOUCH_REQUIRED","IN_PROGRESS"))</x:f>
        <x:v>SOURCE_TOUCH_REQUIRED</x:v>
      </x:c>
      <x:c r="W1696" s="12" t="str">
        <x:f>IF(P1696="Unverified","missing_receipt","receipt_logged")</x:f>
        <x:v>missing_receipt</x:v>
      </x:c>
      <x:c r="X1696" s="12" t="str">
        <x:f>IF(Q1696="Not checked","raw_status_missing","raw_status_logged")</x:f>
        <x:v>raw_status_missing</x:v>
      </x:c>
      <x:c r="Y1696" s="12" t="str">
        <x:f>IF(U1696="BLOCKED_PENDING_RECEIPT","Log source path or blocker; do not promote","Route to review lane")</x:f>
        <x:v>Log source path or blocker; do not promote</x:v>
      </x:c>
      <x:c r="Z1696" s="12" t="str">
        <x:f>IF(K1696="P0","Primary seat + Hashlight/Lucerna","Seat lane")</x:f>
        <x:v>Primary seat + Hashlight/Lucerna</x:v>
      </x:c>
      <x:c r="AA1696" s="12" t="str">
        <x:f>IF(R1696="","no_claim_delta","claim_delta_present")</x:f>
        <x:v>no_claim_delta</x:v>
      </x:c>
      <x:c r="AB1696" s="12" t="str">
        <x:f>IF(S1696="","no_contradiction_delta","contradiction_delta_present")</x:f>
        <x:v>no_contradiction_delta</x:v>
      </x:c>
      <x:c r="AC1696" s="12" t="str">
        <x:f>IF(OR(ISNUMBER(SEARCH("hacker",LOWER(F1696&amp;" "&amp;H1696&amp;" "&amp;I1696&amp;" "&amp;M1696&amp;" "&amp;N1696&amp;" "&amp;T1696))),ISNUMBER(SEARCH("hacking",LOWER(F1696&amp;" "&amp;H1696&amp;" "&amp;I1696&amp;" "&amp;M1696&amp;" "&amp;N1696&amp;" "&amp;T1696))),ISNUMBER(SEARCH("bank",LOWER(F1696&amp;" "&amp;H1696&amp;" "&amp;I1696&amp;" "&amp;M1696&amp;" "&amp;N1696&amp;" "&amp;T1696))),ISNUMBER(SEARCH("banking",LOWER(F1696&amp;" "&amp;H1696&amp;" "&amp;I1696&amp;" "&amp;M1696&amp;" "&amp;N1696&amp;" "&amp;T1696)))),"PRIVATE_QUARANTINE",IF(OR(ISNUMBER(SEARCH("treasury",LOWER(F1696&amp;" "&amp;H1696&amp;" "&amp;I1696&amp;" "&amp;M1696&amp;" "&amp;N1696&amp;" "&amp;T1696))),ISNUMBER(SEARCH("debt",LOWER(F1696&amp;" "&amp;H1696&amp;" "&amp;I1696&amp;" "&amp;M1696&amp;" "&amp;N1696&amp;" "&amp;T1696))),ISNUMBER(SEARCH("bond",LOWER(F1696&amp;" "&amp;H1696&amp;" "&amp;I1696&amp;" "&amp;M1696&amp;" "&amp;N1696&amp;" "&amp;T1696))),ISNUMBER(SEARCH("transaction",LOWER(F1696&amp;" "&amp;H1696&amp;" "&amp;I1696&amp;" "&amp;M1696&amp;" "&amp;N1696&amp;" "&amp;T1696)))),"PRIVATE_REVIEW","PUBLIC_CANDIDATE"))</x:f>
        <x:v>PUBLIC_CANDIDATE</x:v>
      </x:c>
      <x:c r="AD1696" s="12" t="str">
        <x:f>IF(AC1696="PRIVATE_QUARANTINE","hacker_or_bank_trigger",IF(AC1696="PRIVATE_REVIEW","finance_risk_trigger","none"))</x:f>
        <x:v>none</x:v>
      </x:c>
      <x:c r="AE1696" s="12" t="str">
        <x:f>IF(AC1696="PUBLIC_CANDIDATE","prepare_public_github_candidate",IF(AC1696="PRIVATE_REVIEW","hold_for_private_review","quarantine_private_do_not_publish"))</x:f>
        <x:v>prepare_public_github_candidate</x:v>
      </x:c>
      <x:c r="AF1696" s="12" t="str">
        <x:f>IF(AC1696="PUBLIC_CANDIDATE","TIDELOCK + Lucerna",IF(AC1696="PRIVATE_REVIEW","AtlasBrain + Lucerna","TIDELOCK + Lucerna + Human-root"))</x:f>
        <x:v>TIDELOCK + Lucerna</x:v>
      </x:c>
      <x:c r="AG1696" s="12" t="str">
        <x:f>IF(AND(AC1696="PUBLIC_CANDIDATE",U1696&lt;&gt;"BLOCKED_PENDING_RECEIPT"),"READY_AFTER_RECEIPT","NOT_READY")</x:f>
        <x:v>NOT_READY</x:v>
      </x:c>
      <x:c r="AH1696" s="12" t="str">
        <x:f>IF(AC1696="PUBLIC_CANDIDATE","none",AD1696)</x:f>
        <x:v>none</x:v>
      </x:c>
      <x:c r="AI1696" s="12" t="str">
        <x:f>IF(AC1696="PUBLIC_CANDIDATE","archive/public_candidates/"&amp;A1696,"private_quarantine/"&amp;A1696)</x:f>
        <x:v>archive/public_candidates/SWARM-12-H10-S03</x:v>
      </x:c>
      <x:c r="AJ1696" s="12" t="str">
        <x:f>IF(AC1696="PUBLIC_CANDIDATE","public by default; still not canon","private/hold; do not publish")</x:f>
        <x:v>public by default; still not canon</x:v>
      </x:c>
      <x:c r="AK1696" s="12" t="str">
        <x:f>IF(AE1696="prepare_public_github_candidate","add receipt/status then mirror","resolve blocker before any public GitHub action")</x:f>
        <x:v>add receipt/status then mirror</x:v>
      </x:c>
    </x:row>
    <x:row r="1697">
      <x:c r="A1697" s="15" t="str">
        <x:v>SWARM-12-H10-S04</x:v>
      </x:c>
      <x:c r="B1697" s="15" t="str">
        <x:v>JoySignal</x:v>
      </x:c>
      <x:c r="C1697" s="15" t="str">
        <x:v>Rest and morale keeper</x:v>
      </x:c>
      <x:c r="D1697" s="15" t="str">
        <x:v>GitHub Source Packets</x:v>
      </x:c>
      <x:c r="E1697" s="15" t="str">
        <x:v>Gamma</x:v>
      </x:c>
      <x:c r="F1697" s="15" t="str">
        <x:v>Build source packet for Gamma — JoySignal</x:v>
      </x:c>
      <x:c r="G1697" s="15" t="str">
        <x:v>cadence / anti-burnout / safe completion language</x:v>
      </x:c>
      <x:c r="H1697" s="15" t="str">
        <x:v>source path + receipt + raw/export status + claim/edge/risk delta</x:v>
      </x:c>
      <x:c r="I1697" s="15" t="str">
        <x:v>packet/SWARM-12-H10-S04</x:v>
      </x:c>
      <x:c r="J1697" s="15" t="str">
        <x:v>TODO</x:v>
      </x:c>
      <x:c r="K1697" s="15" t="str">
        <x:v>P1</x:v>
      </x:c>
      <x:c r="L1697" s="15" t="str">
        <x:v>Done only when evidence is logged, contradiction search is noted, and boundary stamp remains non-canon unless ratified</x:v>
      </x:c>
      <x:c r="M1697" s="15" t="str">
        <x:v>candidate / staging-only / not canon / not deployed / authority none</x:v>
      </x:c>
      <x:c r="N1697" s="15" t="str">
        <x:v>Dispatch to JoySignal: complete GitHub Source Packets x Gamma; return deltas only, receipts required.</x:v>
      </x:c>
      <x:c r="O1697" s="15" t="str">
        <x:v>AF-KG-H10-S04</x:v>
      </x:c>
      <x:c r="P1697" s="15" t="str">
        <x:v>Unverified</x:v>
      </x:c>
      <x:c r="Q1697" s="15" t="str">
        <x:v>Not checked</x:v>
      </x:c>
      <x:c r="R1697" s="15" t="str"/>
      <x:c r="S1697" s="15" t="str"/>
      <x:c r="T1697" s="15" t="str">
        <x:v>Log first source path or blocker</x:v>
      </x:c>
      <x:c r="U1697" s="12" t="str">
        <x:f>IF(OR(P1697="Unverified",Q1697="Not checked"),"BLOCKED_PENDING_RECEIPT","READY_FOR_REVIEW")</x:f>
        <x:v>BLOCKED_PENDING_RECEIPT</x:v>
      </x:c>
      <x:c r="V1697" s="12" t="str">
        <x:f>IF(J1697="DONE","RETURNED",IF(U1697="BLOCKED_PENDING_RECEIPT","SOURCE_TOUCH_REQUIRED","IN_PROGRESS"))</x:f>
        <x:v>SOURCE_TOUCH_REQUIRED</x:v>
      </x:c>
      <x:c r="W1697" s="12" t="str">
        <x:f>IF(P1697="Unverified","missing_receipt","receipt_logged")</x:f>
        <x:v>missing_receipt</x:v>
      </x:c>
      <x:c r="X1697" s="12" t="str">
        <x:f>IF(Q1697="Not checked","raw_status_missing","raw_status_logged")</x:f>
        <x:v>raw_status_missing</x:v>
      </x:c>
      <x:c r="Y1697" s="12" t="str">
        <x:f>IF(U1697="BLOCKED_PENDING_RECEIPT","Log source path or blocker; do not promote","Route to review lane")</x:f>
        <x:v>Log source path or blocker; do not promote</x:v>
      </x:c>
      <x:c r="Z1697" s="12" t="str">
        <x:f>IF(K1697="P0","Primary seat + Hashlight/Lucerna","Seat lane")</x:f>
        <x:v>Seat lane</x:v>
      </x:c>
      <x:c r="AA1697" s="12" t="str">
        <x:f>IF(R1697="","no_claim_delta","claim_delta_present")</x:f>
        <x:v>no_claim_delta</x:v>
      </x:c>
      <x:c r="AB1697" s="12" t="str">
        <x:f>IF(S1697="","no_contradiction_delta","contradiction_delta_present")</x:f>
        <x:v>no_contradiction_delta</x:v>
      </x:c>
      <x:c r="AC1697" s="12" t="str">
        <x:f>IF(OR(ISNUMBER(SEARCH("hacker",LOWER(F1697&amp;" "&amp;H1697&amp;" "&amp;I1697&amp;" "&amp;M1697&amp;" "&amp;N1697&amp;" "&amp;T1697))),ISNUMBER(SEARCH("hacking",LOWER(F1697&amp;" "&amp;H1697&amp;" "&amp;I1697&amp;" "&amp;M1697&amp;" "&amp;N1697&amp;" "&amp;T1697))),ISNUMBER(SEARCH("bank",LOWER(F1697&amp;" "&amp;H1697&amp;" "&amp;I1697&amp;" "&amp;M1697&amp;" "&amp;N1697&amp;" "&amp;T1697))),ISNUMBER(SEARCH("banking",LOWER(F1697&amp;" "&amp;H1697&amp;" "&amp;I1697&amp;" "&amp;M1697&amp;" "&amp;N1697&amp;" "&amp;T1697)))),"PRIVATE_QUARANTINE",IF(OR(ISNUMBER(SEARCH("treasury",LOWER(F1697&amp;" "&amp;H1697&amp;" "&amp;I1697&amp;" "&amp;M1697&amp;" "&amp;N1697&amp;" "&amp;T1697))),ISNUMBER(SEARCH("debt",LOWER(F1697&amp;" "&amp;H1697&amp;" "&amp;I1697&amp;" "&amp;M1697&amp;" "&amp;N1697&amp;" "&amp;T1697))),ISNUMBER(SEARCH("bond",LOWER(F1697&amp;" "&amp;H1697&amp;" "&amp;I1697&amp;" "&amp;M1697&amp;" "&amp;N1697&amp;" "&amp;T1697))),ISNUMBER(SEARCH("transaction",LOWER(F1697&amp;" "&amp;H1697&amp;" "&amp;I1697&amp;" "&amp;M1697&amp;" "&amp;N1697&amp;" "&amp;T1697)))),"PRIVATE_REVIEW","PUBLIC_CANDIDATE"))</x:f>
        <x:v>PUBLIC_CANDIDATE</x:v>
      </x:c>
      <x:c r="AD1697" s="12" t="str">
        <x:f>IF(AC1697="PRIVATE_QUARANTINE","hacker_or_bank_trigger",IF(AC1697="PRIVATE_REVIEW","finance_risk_trigger","none"))</x:f>
        <x:v>none</x:v>
      </x:c>
      <x:c r="AE1697" s="12" t="str">
        <x:f>IF(AC1697="PUBLIC_CANDIDATE","prepare_public_github_candidate",IF(AC1697="PRIVATE_REVIEW","hold_for_private_review","quarantine_private_do_not_publish"))</x:f>
        <x:v>prepare_public_github_candidate</x:v>
      </x:c>
      <x:c r="AF1697" s="12" t="str">
        <x:f>IF(AC1697="PUBLIC_CANDIDATE","TIDELOCK + Lucerna",IF(AC1697="PRIVATE_REVIEW","AtlasBrain + Lucerna","TIDELOCK + Lucerna + Human-root"))</x:f>
        <x:v>TIDELOCK + Lucerna</x:v>
      </x:c>
      <x:c r="AG1697" s="12" t="str">
        <x:f>IF(AND(AC1697="PUBLIC_CANDIDATE",U1697&lt;&gt;"BLOCKED_PENDING_RECEIPT"),"READY_AFTER_RECEIPT","NOT_READY")</x:f>
        <x:v>NOT_READY</x:v>
      </x:c>
      <x:c r="AH1697" s="12" t="str">
        <x:f>IF(AC1697="PUBLIC_CANDIDATE","none",AD1697)</x:f>
        <x:v>none</x:v>
      </x:c>
      <x:c r="AI1697" s="12" t="str">
        <x:f>IF(AC1697="PUBLIC_CANDIDATE","archive/public_candidates/"&amp;A1697,"private_quarantine/"&amp;A1697)</x:f>
        <x:v>archive/public_candidates/SWARM-12-H10-S04</x:v>
      </x:c>
      <x:c r="AJ1697" s="12" t="str">
        <x:f>IF(AC1697="PUBLIC_CANDIDATE","public by default; still not canon","private/hold; do not publish")</x:f>
        <x:v>public by default; still not canon</x:v>
      </x:c>
      <x:c r="AK1697" s="12" t="str">
        <x:f>IF(AE1697="prepare_public_github_candidate","add receipt/status then mirror","resolve blocker before any public GitHub action")</x:f>
        <x:v>add receipt/status then mirror</x:v>
      </x:c>
    </x:row>
    <x:row r="1698">
      <x:c r="A1698" s="15" t="str">
        <x:v>SWARM-12-H10-S05</x:v>
      </x:c>
      <x:c r="B1698" s="15" t="str">
        <x:v>JoySignal</x:v>
      </x:c>
      <x:c r="C1698" s="15" t="str">
        <x:v>Rest and morale keeper</x:v>
      </x:c>
      <x:c r="D1698" s="15" t="str">
        <x:v>GitHub Source Packets</x:v>
      </x:c>
      <x:c r="E1698" s="15" t="str">
        <x:v>Chat</x:v>
      </x:c>
      <x:c r="F1698" s="15" t="str">
        <x:v>Build source packet for Chat — JoySignal</x:v>
      </x:c>
      <x:c r="G1698" s="15" t="str">
        <x:v>cadence / anti-burnout / safe completion language</x:v>
      </x:c>
      <x:c r="H1698" s="15" t="str">
        <x:v>source path + receipt + raw/export status + claim/edge/risk delta</x:v>
      </x:c>
      <x:c r="I1698" s="15" t="str">
        <x:v>packet/SWARM-12-H10-S05</x:v>
      </x:c>
      <x:c r="J1698" s="15" t="str">
        <x:v>TODO</x:v>
      </x:c>
      <x:c r="K1698" s="15" t="str">
        <x:v>P1</x:v>
      </x:c>
      <x:c r="L1698" s="15" t="str">
        <x:v>Done only when evidence is logged, contradiction search is noted, and boundary stamp remains non-canon unless ratified</x:v>
      </x:c>
      <x:c r="M1698" s="15" t="str">
        <x:v>candidate / staging-only / not canon / not deployed / authority none</x:v>
      </x:c>
      <x:c r="N1698" s="15" t="str">
        <x:v>Dispatch to JoySignal: complete GitHub Source Packets x Chat; return deltas only, receipts required.</x:v>
      </x:c>
      <x:c r="O1698" s="15" t="str">
        <x:v>AF-KG-H10-S05</x:v>
      </x:c>
      <x:c r="P1698" s="15" t="str">
        <x:v>Unverified</x:v>
      </x:c>
      <x:c r="Q1698" s="15" t="str">
        <x:v>Not checked</x:v>
      </x:c>
      <x:c r="R1698" s="15" t="str"/>
      <x:c r="S1698" s="15" t="str"/>
      <x:c r="T1698" s="15" t="str">
        <x:v>Log first source path or blocker</x:v>
      </x:c>
      <x:c r="U1698" s="12" t="str">
        <x:f>IF(OR(P1698="Unverified",Q1698="Not checked"),"BLOCKED_PENDING_RECEIPT","READY_FOR_REVIEW")</x:f>
        <x:v>BLOCKED_PENDING_RECEIPT</x:v>
      </x:c>
      <x:c r="V1698" s="12" t="str">
        <x:f>IF(J1698="DONE","RETURNED",IF(U1698="BLOCKED_PENDING_RECEIPT","SOURCE_TOUCH_REQUIRED","IN_PROGRESS"))</x:f>
        <x:v>SOURCE_TOUCH_REQUIRED</x:v>
      </x:c>
      <x:c r="W1698" s="12" t="str">
        <x:f>IF(P1698="Unverified","missing_receipt","receipt_logged")</x:f>
        <x:v>missing_receipt</x:v>
      </x:c>
      <x:c r="X1698" s="12" t="str">
        <x:f>IF(Q1698="Not checked","raw_status_missing","raw_status_logged")</x:f>
        <x:v>raw_status_missing</x:v>
      </x:c>
      <x:c r="Y1698" s="12" t="str">
        <x:f>IF(U1698="BLOCKED_PENDING_RECEIPT","Log source path or blocker; do not promote","Route to review lane")</x:f>
        <x:v>Log source path or blocker; do not promote</x:v>
      </x:c>
      <x:c r="Z1698" s="12" t="str">
        <x:f>IF(K1698="P0","Primary seat + Hashlight/Lucerna","Seat lane")</x:f>
        <x:v>Seat lane</x:v>
      </x:c>
      <x:c r="AA1698" s="12" t="str">
        <x:f>IF(R1698="","no_claim_delta","claim_delta_present")</x:f>
        <x:v>no_claim_delta</x:v>
      </x:c>
      <x:c r="AB1698" s="12" t="str">
        <x:f>IF(S1698="","no_contradiction_delta","contradiction_delta_present")</x:f>
        <x:v>no_contradiction_delta</x:v>
      </x:c>
      <x:c r="AC1698" s="12" t="str">
        <x:f>IF(OR(ISNUMBER(SEARCH("hacker",LOWER(F1698&amp;" "&amp;H1698&amp;" "&amp;I1698&amp;" "&amp;M1698&amp;" "&amp;N1698&amp;" "&amp;T1698))),ISNUMBER(SEARCH("hacking",LOWER(F1698&amp;" "&amp;H1698&amp;" "&amp;I1698&amp;" "&amp;M1698&amp;" "&amp;N1698&amp;" "&amp;T1698))),ISNUMBER(SEARCH("bank",LOWER(F1698&amp;" "&amp;H1698&amp;" "&amp;I1698&amp;" "&amp;M1698&amp;" "&amp;N1698&amp;" "&amp;T1698))),ISNUMBER(SEARCH("banking",LOWER(F1698&amp;" "&amp;H1698&amp;" "&amp;I1698&amp;" "&amp;M1698&amp;" "&amp;N1698&amp;" "&amp;T1698)))),"PRIVATE_QUARANTINE",IF(OR(ISNUMBER(SEARCH("treasury",LOWER(F1698&amp;" "&amp;H1698&amp;" "&amp;I1698&amp;" "&amp;M1698&amp;" "&amp;N1698&amp;" "&amp;T1698))),ISNUMBER(SEARCH("debt",LOWER(F1698&amp;" "&amp;H1698&amp;" "&amp;I1698&amp;" "&amp;M1698&amp;" "&amp;N1698&amp;" "&amp;T1698))),ISNUMBER(SEARCH("bond",LOWER(F1698&amp;" "&amp;H1698&amp;" "&amp;I1698&amp;" "&amp;M1698&amp;" "&amp;N1698&amp;" "&amp;T1698))),ISNUMBER(SEARCH("transaction",LOWER(F1698&amp;" "&amp;H1698&amp;" "&amp;I1698&amp;" "&amp;M1698&amp;" "&amp;N1698&amp;" "&amp;T1698)))),"PRIVATE_REVIEW","PUBLIC_CANDIDATE"))</x:f>
        <x:v>PUBLIC_CANDIDATE</x:v>
      </x:c>
      <x:c r="AD1698" s="12" t="str">
        <x:f>IF(AC1698="PRIVATE_QUARANTINE","hacker_or_bank_trigger",IF(AC1698="PRIVATE_REVIEW","finance_risk_trigger","none"))</x:f>
        <x:v>none</x:v>
      </x:c>
      <x:c r="AE1698" s="12" t="str">
        <x:f>IF(AC1698="PUBLIC_CANDIDATE","prepare_public_github_candidate",IF(AC1698="PRIVATE_REVIEW","hold_for_private_review","quarantine_private_do_not_publish"))</x:f>
        <x:v>prepare_public_github_candidate</x:v>
      </x:c>
      <x:c r="AF1698" s="12" t="str">
        <x:f>IF(AC1698="PUBLIC_CANDIDATE","TIDELOCK + Lucerna",IF(AC1698="PRIVATE_REVIEW","AtlasBrain + Lucerna","TIDELOCK + Lucerna + Human-root"))</x:f>
        <x:v>TIDELOCK + Lucerna</x:v>
      </x:c>
      <x:c r="AG1698" s="12" t="str">
        <x:f>IF(AND(AC1698="PUBLIC_CANDIDATE",U1698&lt;&gt;"BLOCKED_PENDING_RECEIPT"),"READY_AFTER_RECEIPT","NOT_READY")</x:f>
        <x:v>NOT_READY</x:v>
      </x:c>
      <x:c r="AH1698" s="12" t="str">
        <x:f>IF(AC1698="PUBLIC_CANDIDATE","none",AD1698)</x:f>
        <x:v>none</x:v>
      </x:c>
      <x:c r="AI1698" s="12" t="str">
        <x:f>IF(AC1698="PUBLIC_CANDIDATE","archive/public_candidates/"&amp;A1698,"private_quarantine/"&amp;A1698)</x:f>
        <x:v>archive/public_candidates/SWARM-12-H10-S05</x:v>
      </x:c>
      <x:c r="AJ1698" s="12" t="str">
        <x:f>IF(AC1698="PUBLIC_CANDIDATE","public by default; still not canon","private/hold; do not publish")</x:f>
        <x:v>public by default; still not canon</x:v>
      </x:c>
      <x:c r="AK1698" s="12" t="str">
        <x:f>IF(AE1698="prepare_public_github_candidate","add receipt/status then mirror","resolve blocker before any public GitHub action")</x:f>
        <x:v>add receipt/status then mirror</x:v>
      </x:c>
    </x:row>
    <x:row r="1699">
      <x:c r="A1699" s="15" t="str">
        <x:v>SWARM-12-H10-S06</x:v>
      </x:c>
      <x:c r="B1699" s="15" t="str">
        <x:v>JoySignal</x:v>
      </x:c>
      <x:c r="C1699" s="15" t="str">
        <x:v>Rest and morale keeper</x:v>
      </x:c>
      <x:c r="D1699" s="15" t="str">
        <x:v>GitHub Source Packets</x:v>
      </x:c>
      <x:c r="E1699" s="15" t="str">
        <x:v>External Web</x:v>
      </x:c>
      <x:c r="F1699" s="15" t="str">
        <x:v>Build source packet for External Web — JoySignal</x:v>
      </x:c>
      <x:c r="G1699" s="15" t="str">
        <x:v>cadence / anti-burnout / safe completion language</x:v>
      </x:c>
      <x:c r="H1699" s="15" t="str">
        <x:v>source path + receipt + raw/export status + claim/edge/risk delta</x:v>
      </x:c>
      <x:c r="I1699" s="15" t="str">
        <x:v>packet/SWARM-12-H10-S06</x:v>
      </x:c>
      <x:c r="J1699" s="15" t="str">
        <x:v>TODO</x:v>
      </x:c>
      <x:c r="K1699" s="15" t="str">
        <x:v>P1</x:v>
      </x:c>
      <x:c r="L1699" s="15" t="str">
        <x:v>Done only when evidence is logged, contradiction search is noted, and boundary stamp remains non-canon unless ratified</x:v>
      </x:c>
      <x:c r="M1699" s="15" t="str">
        <x:v>candidate / staging-only / not canon / not deployed / authority none</x:v>
      </x:c>
      <x:c r="N1699" s="15" t="str">
        <x:v>Dispatch to JoySignal: complete GitHub Source Packets x External Web; return deltas only, receipts required.</x:v>
      </x:c>
      <x:c r="O1699" s="15" t="str">
        <x:v>AF-KG-H10-S06</x:v>
      </x:c>
      <x:c r="P1699" s="15" t="str">
        <x:v>Unverified</x:v>
      </x:c>
      <x:c r="Q1699" s="15" t="str">
        <x:v>Not checked</x:v>
      </x:c>
      <x:c r="R1699" s="15" t="str"/>
      <x:c r="S1699" s="15" t="str"/>
      <x:c r="T1699" s="15" t="str">
        <x:v>Log first source path or blocker</x:v>
      </x:c>
      <x:c r="U1699" s="12" t="str">
        <x:f>IF(OR(P1699="Unverified",Q1699="Not checked"),"BLOCKED_PENDING_RECEIPT","READY_FOR_REVIEW")</x:f>
        <x:v>BLOCKED_PENDING_RECEIPT</x:v>
      </x:c>
      <x:c r="V1699" s="12" t="str">
        <x:f>IF(J1699="DONE","RETURNED",IF(U1699="BLOCKED_PENDING_RECEIPT","SOURCE_TOUCH_REQUIRED","IN_PROGRESS"))</x:f>
        <x:v>SOURCE_TOUCH_REQUIRED</x:v>
      </x:c>
      <x:c r="W1699" s="12" t="str">
        <x:f>IF(P1699="Unverified","missing_receipt","receipt_logged")</x:f>
        <x:v>missing_receipt</x:v>
      </x:c>
      <x:c r="X1699" s="12" t="str">
        <x:f>IF(Q1699="Not checked","raw_status_missing","raw_status_logged")</x:f>
        <x:v>raw_status_missing</x:v>
      </x:c>
      <x:c r="Y1699" s="12" t="str">
        <x:f>IF(U1699="BLOCKED_PENDING_RECEIPT","Log source path or blocker; do not promote","Route to review lane")</x:f>
        <x:v>Log source path or blocker; do not promote</x:v>
      </x:c>
      <x:c r="Z1699" s="12" t="str">
        <x:f>IF(K1699="P0","Primary seat + Hashlight/Lucerna","Seat lane")</x:f>
        <x:v>Seat lane</x:v>
      </x:c>
      <x:c r="AA1699" s="12" t="str">
        <x:f>IF(R1699="","no_claim_delta","claim_delta_present")</x:f>
        <x:v>no_claim_delta</x:v>
      </x:c>
      <x:c r="AB1699" s="12" t="str">
        <x:f>IF(S1699="","no_contradiction_delta","contradiction_delta_present")</x:f>
        <x:v>no_contradiction_delta</x:v>
      </x:c>
      <x:c r="AC1699" s="12" t="str">
        <x:f>IF(OR(ISNUMBER(SEARCH("hacker",LOWER(F1699&amp;" "&amp;H1699&amp;" "&amp;I1699&amp;" "&amp;M1699&amp;" "&amp;N1699&amp;" "&amp;T1699))),ISNUMBER(SEARCH("hacking",LOWER(F1699&amp;" "&amp;H1699&amp;" "&amp;I1699&amp;" "&amp;M1699&amp;" "&amp;N1699&amp;" "&amp;T1699))),ISNUMBER(SEARCH("bank",LOWER(F1699&amp;" "&amp;H1699&amp;" "&amp;I1699&amp;" "&amp;M1699&amp;" "&amp;N1699&amp;" "&amp;T1699))),ISNUMBER(SEARCH("banking",LOWER(F1699&amp;" "&amp;H1699&amp;" "&amp;I1699&amp;" "&amp;M1699&amp;" "&amp;N1699&amp;" "&amp;T1699)))),"PRIVATE_QUARANTINE",IF(OR(ISNUMBER(SEARCH("treasury",LOWER(F1699&amp;" "&amp;H1699&amp;" "&amp;I1699&amp;" "&amp;M1699&amp;" "&amp;N1699&amp;" "&amp;T1699))),ISNUMBER(SEARCH("debt",LOWER(F1699&amp;" "&amp;H1699&amp;" "&amp;I1699&amp;" "&amp;M1699&amp;" "&amp;N1699&amp;" "&amp;T1699))),ISNUMBER(SEARCH("bond",LOWER(F1699&amp;" "&amp;H1699&amp;" "&amp;I1699&amp;" "&amp;M1699&amp;" "&amp;N1699&amp;" "&amp;T1699))),ISNUMBER(SEARCH("transaction",LOWER(F1699&amp;" "&amp;H1699&amp;" "&amp;I1699&amp;" "&amp;M1699&amp;" "&amp;N1699&amp;" "&amp;T1699)))),"PRIVATE_REVIEW","PUBLIC_CANDIDATE"))</x:f>
        <x:v>PUBLIC_CANDIDATE</x:v>
      </x:c>
      <x:c r="AD1699" s="12" t="str">
        <x:f>IF(AC1699="PRIVATE_QUARANTINE","hacker_or_bank_trigger",IF(AC1699="PRIVATE_REVIEW","finance_risk_trigger","none"))</x:f>
        <x:v>none</x:v>
      </x:c>
      <x:c r="AE1699" s="12" t="str">
        <x:f>IF(AC1699="PUBLIC_CANDIDATE","prepare_public_github_candidate",IF(AC1699="PRIVATE_REVIEW","hold_for_private_review","quarantine_private_do_not_publish"))</x:f>
        <x:v>prepare_public_github_candidate</x:v>
      </x:c>
      <x:c r="AF1699" s="12" t="str">
        <x:f>IF(AC1699="PUBLIC_CANDIDATE","TIDELOCK + Lucerna",IF(AC1699="PRIVATE_REVIEW","AtlasBrain + Lucerna","TIDELOCK + Lucerna + Human-root"))</x:f>
        <x:v>TIDELOCK + Lucerna</x:v>
      </x:c>
      <x:c r="AG1699" s="12" t="str">
        <x:f>IF(AND(AC1699="PUBLIC_CANDIDATE",U1699&lt;&gt;"BLOCKED_PENDING_RECEIPT"),"READY_AFTER_RECEIPT","NOT_READY")</x:f>
        <x:v>NOT_READY</x:v>
      </x:c>
      <x:c r="AH1699" s="12" t="str">
        <x:f>IF(AC1699="PUBLIC_CANDIDATE","none",AD1699)</x:f>
        <x:v>none</x:v>
      </x:c>
      <x:c r="AI1699" s="12" t="str">
        <x:f>IF(AC1699="PUBLIC_CANDIDATE","archive/public_candidates/"&amp;A1699,"private_quarantine/"&amp;A1699)</x:f>
        <x:v>archive/public_candidates/SWARM-12-H10-S06</x:v>
      </x:c>
      <x:c r="AJ1699" s="12" t="str">
        <x:f>IF(AC1699="PUBLIC_CANDIDATE","public by default; still not canon","private/hold; do not publish")</x:f>
        <x:v>public by default; still not canon</x:v>
      </x:c>
      <x:c r="AK1699" s="12" t="str">
        <x:f>IF(AE1699="prepare_public_github_candidate","add receipt/status then mirror","resolve blocker before any public GitHub action")</x:f>
        <x:v>add receipt/status then mirror</x:v>
      </x:c>
    </x:row>
    <x:row r="1700">
      <x:c r="A1700" s="15" t="str">
        <x:v>SWARM-12-H10-S07</x:v>
      </x:c>
      <x:c r="B1700" s="15" t="str">
        <x:v>JoySignal</x:v>
      </x:c>
      <x:c r="C1700" s="15" t="str">
        <x:v>Rest and morale keeper</x:v>
      </x:c>
      <x:c r="D1700" s="15" t="str">
        <x:v>GitHub Source Packets</x:v>
      </x:c>
      <x:c r="E1700" s="15" t="str">
        <x:v>Planetarium</x:v>
      </x:c>
      <x:c r="F1700" s="15" t="str">
        <x:v>Build source packet for Planetarium — JoySignal</x:v>
      </x:c>
      <x:c r="G1700" s="15" t="str">
        <x:v>cadence / anti-burnout / safe completion language</x:v>
      </x:c>
      <x:c r="H1700" s="15" t="str">
        <x:v>source path + receipt + raw/export status + claim/edge/risk delta</x:v>
      </x:c>
      <x:c r="I1700" s="15" t="str">
        <x:v>packet/SWARM-12-H10-S07</x:v>
      </x:c>
      <x:c r="J1700" s="15" t="str">
        <x:v>TODO</x:v>
      </x:c>
      <x:c r="K1700" s="15" t="str">
        <x:v>P1</x:v>
      </x:c>
      <x:c r="L1700" s="15" t="str">
        <x:v>Done only when evidence is logged, contradiction search is noted, and boundary stamp remains non-canon unless ratified</x:v>
      </x:c>
      <x:c r="M1700" s="15" t="str">
        <x:v>candidate / staging-only / not canon / not deployed / authority none</x:v>
      </x:c>
      <x:c r="N1700" s="15" t="str">
        <x:v>Dispatch to JoySignal: complete GitHub Source Packets x Planetarium; return deltas only, receipts required.</x:v>
      </x:c>
      <x:c r="O1700" s="15" t="str">
        <x:v>AF-KG-H10-S07</x:v>
      </x:c>
      <x:c r="P1700" s="15" t="str">
        <x:v>Unverified</x:v>
      </x:c>
      <x:c r="Q1700" s="15" t="str">
        <x:v>Not checked</x:v>
      </x:c>
      <x:c r="R1700" s="15" t="str"/>
      <x:c r="S1700" s="15" t="str"/>
      <x:c r="T1700" s="15" t="str">
        <x:v>Log first source path or blocker</x:v>
      </x:c>
      <x:c r="U1700" s="12" t="str">
        <x:f>IF(OR(P1700="Unverified",Q1700="Not checked"),"BLOCKED_PENDING_RECEIPT","READY_FOR_REVIEW")</x:f>
        <x:v>BLOCKED_PENDING_RECEIPT</x:v>
      </x:c>
      <x:c r="V1700" s="12" t="str">
        <x:f>IF(J1700="DONE","RETURNED",IF(U1700="BLOCKED_PENDING_RECEIPT","SOURCE_TOUCH_REQUIRED","IN_PROGRESS"))</x:f>
        <x:v>SOURCE_TOUCH_REQUIRED</x:v>
      </x:c>
      <x:c r="W1700" s="12" t="str">
        <x:f>IF(P1700="Unverified","missing_receipt","receipt_logged")</x:f>
        <x:v>missing_receipt</x:v>
      </x:c>
      <x:c r="X1700" s="12" t="str">
        <x:f>IF(Q1700="Not checked","raw_status_missing","raw_status_logged")</x:f>
        <x:v>raw_status_missing</x:v>
      </x:c>
      <x:c r="Y1700" s="12" t="str">
        <x:f>IF(U1700="BLOCKED_PENDING_RECEIPT","Log source path or blocker; do not promote","Route to review lane")</x:f>
        <x:v>Log source path or blocker; do not promote</x:v>
      </x:c>
      <x:c r="Z1700" s="12" t="str">
        <x:f>IF(K1700="P0","Primary seat + Hashlight/Lucerna","Seat lane")</x:f>
        <x:v>Seat lane</x:v>
      </x:c>
      <x:c r="AA1700" s="12" t="str">
        <x:f>IF(R1700="","no_claim_delta","claim_delta_present")</x:f>
        <x:v>no_claim_delta</x:v>
      </x:c>
      <x:c r="AB1700" s="12" t="str">
        <x:f>IF(S1700="","no_contradiction_delta","contradiction_delta_present")</x:f>
        <x:v>no_contradiction_delta</x:v>
      </x:c>
      <x:c r="AC1700" s="12" t="str">
        <x:f>IF(OR(ISNUMBER(SEARCH("hacker",LOWER(F1700&amp;" "&amp;H1700&amp;" "&amp;I1700&amp;" "&amp;M1700&amp;" "&amp;N1700&amp;" "&amp;T1700))),ISNUMBER(SEARCH("hacking",LOWER(F1700&amp;" "&amp;H1700&amp;" "&amp;I1700&amp;" "&amp;M1700&amp;" "&amp;N1700&amp;" "&amp;T1700))),ISNUMBER(SEARCH("bank",LOWER(F1700&amp;" "&amp;H1700&amp;" "&amp;I1700&amp;" "&amp;M1700&amp;" "&amp;N1700&amp;" "&amp;T1700))),ISNUMBER(SEARCH("banking",LOWER(F1700&amp;" "&amp;H1700&amp;" "&amp;I1700&amp;" "&amp;M1700&amp;" "&amp;N1700&amp;" "&amp;T1700)))),"PRIVATE_QUARANTINE",IF(OR(ISNUMBER(SEARCH("treasury",LOWER(F1700&amp;" "&amp;H1700&amp;" "&amp;I1700&amp;" "&amp;M1700&amp;" "&amp;N1700&amp;" "&amp;T1700))),ISNUMBER(SEARCH("debt",LOWER(F1700&amp;" "&amp;H1700&amp;" "&amp;I1700&amp;" "&amp;M1700&amp;" "&amp;N1700&amp;" "&amp;T1700))),ISNUMBER(SEARCH("bond",LOWER(F1700&amp;" "&amp;H1700&amp;" "&amp;I1700&amp;" "&amp;M1700&amp;" "&amp;N1700&amp;" "&amp;T1700))),ISNUMBER(SEARCH("transaction",LOWER(F1700&amp;" "&amp;H1700&amp;" "&amp;I1700&amp;" "&amp;M1700&amp;" "&amp;N1700&amp;" "&amp;T1700)))),"PRIVATE_REVIEW","PUBLIC_CANDIDATE"))</x:f>
        <x:v>PUBLIC_CANDIDATE</x:v>
      </x:c>
      <x:c r="AD1700" s="12" t="str">
        <x:f>IF(AC1700="PRIVATE_QUARANTINE","hacker_or_bank_trigger",IF(AC1700="PRIVATE_REVIEW","finance_risk_trigger","none"))</x:f>
        <x:v>none</x:v>
      </x:c>
      <x:c r="AE1700" s="12" t="str">
        <x:f>IF(AC1700="PUBLIC_CANDIDATE","prepare_public_github_candidate",IF(AC1700="PRIVATE_REVIEW","hold_for_private_review","quarantine_private_do_not_publish"))</x:f>
        <x:v>prepare_public_github_candidate</x:v>
      </x:c>
      <x:c r="AF1700" s="12" t="str">
        <x:f>IF(AC1700="PUBLIC_CANDIDATE","TIDELOCK + Lucerna",IF(AC1700="PRIVATE_REVIEW","AtlasBrain + Lucerna","TIDELOCK + Lucerna + Human-root"))</x:f>
        <x:v>TIDELOCK + Lucerna</x:v>
      </x:c>
      <x:c r="AG1700" s="12" t="str">
        <x:f>IF(AND(AC1700="PUBLIC_CANDIDATE",U1700&lt;&gt;"BLOCKED_PENDING_RECEIPT"),"READY_AFTER_RECEIPT","NOT_READY")</x:f>
        <x:v>NOT_READY</x:v>
      </x:c>
      <x:c r="AH1700" s="12" t="str">
        <x:f>IF(AC1700="PUBLIC_CANDIDATE","none",AD1700)</x:f>
        <x:v>none</x:v>
      </x:c>
      <x:c r="AI1700" s="12" t="str">
        <x:f>IF(AC1700="PUBLIC_CANDIDATE","archive/public_candidates/"&amp;A1700,"private_quarantine/"&amp;A1700)</x:f>
        <x:v>archive/public_candidates/SWARM-12-H10-S07</x:v>
      </x:c>
      <x:c r="AJ1700" s="12" t="str">
        <x:f>IF(AC1700="PUBLIC_CANDIDATE","public by default; still not canon","private/hold; do not publish")</x:f>
        <x:v>public by default; still not canon</x:v>
      </x:c>
      <x:c r="AK1700" s="12" t="str">
        <x:f>IF(AE1700="prepare_public_github_candidate","add receipt/status then mirror","resolve blocker before any public GitHub action")</x:f>
        <x:v>add receipt/status then mirror</x:v>
      </x:c>
    </x:row>
    <x:row r="1701">
      <x:c r="A1701" s="15" t="str">
        <x:v>SWARM-12-H10-S08</x:v>
      </x:c>
      <x:c r="B1701" s="15" t="str">
        <x:v>JoySignal</x:v>
      </x:c>
      <x:c r="C1701" s="15" t="str">
        <x:v>Rest and morale keeper</x:v>
      </x:c>
      <x:c r="D1701" s="15" t="str">
        <x:v>GitHub Source Packets</x:v>
      </x:c>
      <x:c r="E1701" s="15" t="str">
        <x:v>Sheldonbrain</x:v>
      </x:c>
      <x:c r="F1701" s="15" t="str">
        <x:v>Build source packet for Sheldonbrain — JoySignal</x:v>
      </x:c>
      <x:c r="G1701" s="15" t="str">
        <x:v>cadence / anti-burnout / safe completion language</x:v>
      </x:c>
      <x:c r="H1701" s="15" t="str">
        <x:v>source path + receipt + raw/export status + claim/edge/risk delta</x:v>
      </x:c>
      <x:c r="I1701" s="15" t="str">
        <x:v>packet/SWARM-12-H10-S08</x:v>
      </x:c>
      <x:c r="J1701" s="15" t="str">
        <x:v>TODO</x:v>
      </x:c>
      <x:c r="K1701" s="15" t="str">
        <x:v>P1</x:v>
      </x:c>
      <x:c r="L1701" s="15" t="str">
        <x:v>Done only when evidence is logged, contradiction search is noted, and boundary stamp remains non-canon unless ratified</x:v>
      </x:c>
      <x:c r="M1701" s="15" t="str">
        <x:v>candidate / staging-only / not canon / not deployed / authority none</x:v>
      </x:c>
      <x:c r="N1701" s="15" t="str">
        <x:v>Dispatch to JoySignal: complete GitHub Source Packets x Sheldonbrain; return deltas only, receipts required.</x:v>
      </x:c>
      <x:c r="O1701" s="15" t="str">
        <x:v>AF-KG-H10-S08</x:v>
      </x:c>
      <x:c r="P1701" s="15" t="str">
        <x:v>Unverified</x:v>
      </x:c>
      <x:c r="Q1701" s="15" t="str">
        <x:v>Not checked</x:v>
      </x:c>
      <x:c r="R1701" s="15" t="str"/>
      <x:c r="S1701" s="15" t="str"/>
      <x:c r="T1701" s="15" t="str">
        <x:v>Log first source path or blocker</x:v>
      </x:c>
      <x:c r="U1701" s="12" t="str">
        <x:f>IF(OR(P1701="Unverified",Q1701="Not checked"),"BLOCKED_PENDING_RECEIPT","READY_FOR_REVIEW")</x:f>
        <x:v>BLOCKED_PENDING_RECEIPT</x:v>
      </x:c>
      <x:c r="V1701" s="12" t="str">
        <x:f>IF(J1701="DONE","RETURNED",IF(U1701="BLOCKED_PENDING_RECEIPT","SOURCE_TOUCH_REQUIRED","IN_PROGRESS"))</x:f>
        <x:v>SOURCE_TOUCH_REQUIRED</x:v>
      </x:c>
      <x:c r="W1701" s="12" t="str">
        <x:f>IF(P1701="Unverified","missing_receipt","receipt_logged")</x:f>
        <x:v>missing_receipt</x:v>
      </x:c>
      <x:c r="X1701" s="12" t="str">
        <x:f>IF(Q1701="Not checked","raw_status_missing","raw_status_logged")</x:f>
        <x:v>raw_status_missing</x:v>
      </x:c>
      <x:c r="Y1701" s="12" t="str">
        <x:f>IF(U1701="BLOCKED_PENDING_RECEIPT","Log source path or blocker; do not promote","Route to review lane")</x:f>
        <x:v>Log source path or blocker; do not promote</x:v>
      </x:c>
      <x:c r="Z1701" s="12" t="str">
        <x:f>IF(K1701="P0","Primary seat + Hashlight/Lucerna","Seat lane")</x:f>
        <x:v>Seat lane</x:v>
      </x:c>
      <x:c r="AA1701" s="12" t="str">
        <x:f>IF(R1701="","no_claim_delta","claim_delta_present")</x:f>
        <x:v>no_claim_delta</x:v>
      </x:c>
      <x:c r="AB1701" s="12" t="str">
        <x:f>IF(S1701="","no_contradiction_delta","contradiction_delta_present")</x:f>
        <x:v>no_contradiction_delta</x:v>
      </x:c>
      <x:c r="AC1701" s="12" t="str">
        <x:f>IF(OR(ISNUMBER(SEARCH("hacker",LOWER(F1701&amp;" "&amp;H1701&amp;" "&amp;I1701&amp;" "&amp;M1701&amp;" "&amp;N1701&amp;" "&amp;T1701))),ISNUMBER(SEARCH("hacking",LOWER(F1701&amp;" "&amp;H1701&amp;" "&amp;I1701&amp;" "&amp;M1701&amp;" "&amp;N1701&amp;" "&amp;T1701))),ISNUMBER(SEARCH("bank",LOWER(F1701&amp;" "&amp;H1701&amp;" "&amp;I1701&amp;" "&amp;M1701&amp;" "&amp;N1701&amp;" "&amp;T1701))),ISNUMBER(SEARCH("banking",LOWER(F1701&amp;" "&amp;H1701&amp;" "&amp;I1701&amp;" "&amp;M1701&amp;" "&amp;N1701&amp;" "&amp;T1701)))),"PRIVATE_QUARANTINE",IF(OR(ISNUMBER(SEARCH("treasury",LOWER(F1701&amp;" "&amp;H1701&amp;" "&amp;I1701&amp;" "&amp;M1701&amp;" "&amp;N1701&amp;" "&amp;T1701))),ISNUMBER(SEARCH("debt",LOWER(F1701&amp;" "&amp;H1701&amp;" "&amp;I1701&amp;" "&amp;M1701&amp;" "&amp;N1701&amp;" "&amp;T1701))),ISNUMBER(SEARCH("bond",LOWER(F1701&amp;" "&amp;H1701&amp;" "&amp;I1701&amp;" "&amp;M1701&amp;" "&amp;N1701&amp;" "&amp;T1701))),ISNUMBER(SEARCH("transaction",LOWER(F1701&amp;" "&amp;H1701&amp;" "&amp;I1701&amp;" "&amp;M1701&amp;" "&amp;N1701&amp;" "&amp;T1701)))),"PRIVATE_REVIEW","PUBLIC_CANDIDATE"))</x:f>
        <x:v>PUBLIC_CANDIDATE</x:v>
      </x:c>
      <x:c r="AD1701" s="12" t="str">
        <x:f>IF(AC1701="PRIVATE_QUARANTINE","hacker_or_bank_trigger",IF(AC1701="PRIVATE_REVIEW","finance_risk_trigger","none"))</x:f>
        <x:v>none</x:v>
      </x:c>
      <x:c r="AE1701" s="12" t="str">
        <x:f>IF(AC1701="PUBLIC_CANDIDATE","prepare_public_github_candidate",IF(AC1701="PRIVATE_REVIEW","hold_for_private_review","quarantine_private_do_not_publish"))</x:f>
        <x:v>prepare_public_github_candidate</x:v>
      </x:c>
      <x:c r="AF1701" s="12" t="str">
        <x:f>IF(AC1701="PUBLIC_CANDIDATE","TIDELOCK + Lucerna",IF(AC1701="PRIVATE_REVIEW","AtlasBrain + Lucerna","TIDELOCK + Lucerna + Human-root"))</x:f>
        <x:v>TIDELOCK + Lucerna</x:v>
      </x:c>
      <x:c r="AG1701" s="12" t="str">
        <x:f>IF(AND(AC1701="PUBLIC_CANDIDATE",U1701&lt;&gt;"BLOCKED_PENDING_RECEIPT"),"READY_AFTER_RECEIPT","NOT_READY")</x:f>
        <x:v>NOT_READY</x:v>
      </x:c>
      <x:c r="AH1701" s="12" t="str">
        <x:f>IF(AC1701="PUBLIC_CANDIDATE","none",AD1701)</x:f>
        <x:v>none</x:v>
      </x:c>
      <x:c r="AI1701" s="12" t="str">
        <x:f>IF(AC1701="PUBLIC_CANDIDATE","archive/public_candidates/"&amp;A1701,"private_quarantine/"&amp;A1701)</x:f>
        <x:v>archive/public_candidates/SWARM-12-H10-S08</x:v>
      </x:c>
      <x:c r="AJ1701" s="12" t="str">
        <x:f>IF(AC1701="PUBLIC_CANDIDATE","public by default; still not canon","private/hold; do not publish")</x:f>
        <x:v>public by default; still not canon</x:v>
      </x:c>
      <x:c r="AK1701" s="12" t="str">
        <x:f>IF(AE1701="prepare_public_github_candidate","add receipt/status then mirror","resolve blocker before any public GitHub action")</x:f>
        <x:v>add receipt/status then mirror</x:v>
      </x:c>
    </x:row>
    <x:row r="1702">
      <x:c r="A1702" s="15" t="str">
        <x:v>SWARM-12-H10-S09</x:v>
      </x:c>
      <x:c r="B1702" s="15" t="str">
        <x:v>JoySignal</x:v>
      </x:c>
      <x:c r="C1702" s="15" t="str">
        <x:v>Rest and morale keeper</x:v>
      </x:c>
      <x:c r="D1702" s="15" t="str">
        <x:v>GitHub Source Packets</x:v>
      </x:c>
      <x:c r="E1702" s="15" t="str">
        <x:v>Aetherforge</x:v>
      </x:c>
      <x:c r="F1702" s="15" t="str">
        <x:v>Build source packet for Aetherforge — JoySignal</x:v>
      </x:c>
      <x:c r="G1702" s="15" t="str">
        <x:v>cadence / anti-burnout / safe completion language</x:v>
      </x:c>
      <x:c r="H1702" s="15" t="str">
        <x:v>source path + receipt + raw/export status + claim/edge/risk delta</x:v>
      </x:c>
      <x:c r="I1702" s="15" t="str">
        <x:v>packet/SWARM-12-H10-S09</x:v>
      </x:c>
      <x:c r="J1702" s="15" t="str">
        <x:v>TODO</x:v>
      </x:c>
      <x:c r="K1702" s="15" t="str">
        <x:v>P2</x:v>
      </x:c>
      <x:c r="L1702" s="15" t="str">
        <x:v>Done only when evidence is logged, contradiction search is noted, and boundary stamp remains non-canon unless ratified</x:v>
      </x:c>
      <x:c r="M1702" s="15" t="str">
        <x:v>candidate / staging-only / not canon / not deployed / authority none</x:v>
      </x:c>
      <x:c r="N1702" s="15" t="str">
        <x:v>Dispatch to JoySignal: complete GitHub Source Packets x Aetherforge; return deltas only, receipts required.</x:v>
      </x:c>
      <x:c r="O1702" s="15" t="str">
        <x:v>AF-KG-H10-S09</x:v>
      </x:c>
      <x:c r="P1702" s="15" t="str">
        <x:v>Unverified</x:v>
      </x:c>
      <x:c r="Q1702" s="15" t="str">
        <x:v>Not checked</x:v>
      </x:c>
      <x:c r="R1702" s="15" t="str"/>
      <x:c r="S1702" s="15" t="str"/>
      <x:c r="T1702" s="15" t="str">
        <x:v>Log first source path or blocker</x:v>
      </x:c>
      <x:c r="U1702" s="12" t="str">
        <x:f>IF(OR(P1702="Unverified",Q1702="Not checked"),"BLOCKED_PENDING_RECEIPT","READY_FOR_REVIEW")</x:f>
        <x:v>BLOCKED_PENDING_RECEIPT</x:v>
      </x:c>
      <x:c r="V1702" s="12" t="str">
        <x:f>IF(J1702="DONE","RETURNED",IF(U1702="BLOCKED_PENDING_RECEIPT","SOURCE_TOUCH_REQUIRED","IN_PROGRESS"))</x:f>
        <x:v>SOURCE_TOUCH_REQUIRED</x:v>
      </x:c>
      <x:c r="W1702" s="12" t="str">
        <x:f>IF(P1702="Unverified","missing_receipt","receipt_logged")</x:f>
        <x:v>missing_receipt</x:v>
      </x:c>
      <x:c r="X1702" s="12" t="str">
        <x:f>IF(Q1702="Not checked","raw_status_missing","raw_status_logged")</x:f>
        <x:v>raw_status_missing</x:v>
      </x:c>
      <x:c r="Y1702" s="12" t="str">
        <x:f>IF(U1702="BLOCKED_PENDING_RECEIPT","Log source path or blocker; do not promote","Route to review lane")</x:f>
        <x:v>Log source path or blocker; do not promote</x:v>
      </x:c>
      <x:c r="Z1702" s="12" t="str">
        <x:f>IF(K1702="P0","Primary seat + Hashlight/Lucerna","Seat lane")</x:f>
        <x:v>Seat lane</x:v>
      </x:c>
      <x:c r="AA1702" s="12" t="str">
        <x:f>IF(R1702="","no_claim_delta","claim_delta_present")</x:f>
        <x:v>no_claim_delta</x:v>
      </x:c>
      <x:c r="AB1702" s="12" t="str">
        <x:f>IF(S1702="","no_contradiction_delta","contradiction_delta_present")</x:f>
        <x:v>no_contradiction_delta</x:v>
      </x:c>
      <x:c r="AC1702" s="12" t="str">
        <x:f>IF(OR(ISNUMBER(SEARCH("hacker",LOWER(F1702&amp;" "&amp;H1702&amp;" "&amp;I1702&amp;" "&amp;M1702&amp;" "&amp;N1702&amp;" "&amp;T1702))),ISNUMBER(SEARCH("hacking",LOWER(F1702&amp;" "&amp;H1702&amp;" "&amp;I1702&amp;" "&amp;M1702&amp;" "&amp;N1702&amp;" "&amp;T1702))),ISNUMBER(SEARCH("bank",LOWER(F1702&amp;" "&amp;H1702&amp;" "&amp;I1702&amp;" "&amp;M1702&amp;" "&amp;N1702&amp;" "&amp;T1702))),ISNUMBER(SEARCH("banking",LOWER(F1702&amp;" "&amp;H1702&amp;" "&amp;I1702&amp;" "&amp;M1702&amp;" "&amp;N1702&amp;" "&amp;T1702)))),"PRIVATE_QUARANTINE",IF(OR(ISNUMBER(SEARCH("treasury",LOWER(F1702&amp;" "&amp;H1702&amp;" "&amp;I1702&amp;" "&amp;M1702&amp;" "&amp;N1702&amp;" "&amp;T1702))),ISNUMBER(SEARCH("debt",LOWER(F1702&amp;" "&amp;H1702&amp;" "&amp;I1702&amp;" "&amp;M1702&amp;" "&amp;N1702&amp;" "&amp;T1702))),ISNUMBER(SEARCH("bond",LOWER(F1702&amp;" "&amp;H1702&amp;" "&amp;I1702&amp;" "&amp;M1702&amp;" "&amp;N1702&amp;" "&amp;T1702))),ISNUMBER(SEARCH("transaction",LOWER(F1702&amp;" "&amp;H1702&amp;" "&amp;I1702&amp;" "&amp;M1702&amp;" "&amp;N1702&amp;" "&amp;T1702)))),"PRIVATE_REVIEW","PUBLIC_CANDIDATE"))</x:f>
        <x:v>PUBLIC_CANDIDATE</x:v>
      </x:c>
      <x:c r="AD1702" s="12" t="str">
        <x:f>IF(AC1702="PRIVATE_QUARANTINE","hacker_or_bank_trigger",IF(AC1702="PRIVATE_REVIEW","finance_risk_trigger","none"))</x:f>
        <x:v>none</x:v>
      </x:c>
      <x:c r="AE1702" s="12" t="str">
        <x:f>IF(AC1702="PUBLIC_CANDIDATE","prepare_public_github_candidate",IF(AC1702="PRIVATE_REVIEW","hold_for_private_review","quarantine_private_do_not_publish"))</x:f>
        <x:v>prepare_public_github_candidate</x:v>
      </x:c>
      <x:c r="AF1702" s="12" t="str">
        <x:f>IF(AC1702="PUBLIC_CANDIDATE","TIDELOCK + Lucerna",IF(AC1702="PRIVATE_REVIEW","AtlasBrain + Lucerna","TIDELOCK + Lucerna + Human-root"))</x:f>
        <x:v>TIDELOCK + Lucerna</x:v>
      </x:c>
      <x:c r="AG1702" s="12" t="str">
        <x:f>IF(AND(AC1702="PUBLIC_CANDIDATE",U1702&lt;&gt;"BLOCKED_PENDING_RECEIPT"),"READY_AFTER_RECEIPT","NOT_READY")</x:f>
        <x:v>NOT_READY</x:v>
      </x:c>
      <x:c r="AH1702" s="12" t="str">
        <x:f>IF(AC1702="PUBLIC_CANDIDATE","none",AD1702)</x:f>
        <x:v>none</x:v>
      </x:c>
      <x:c r="AI1702" s="12" t="str">
        <x:f>IF(AC1702="PUBLIC_CANDIDATE","archive/public_candidates/"&amp;A1702,"private_quarantine/"&amp;A1702)</x:f>
        <x:v>archive/public_candidates/SWARM-12-H10-S09</x:v>
      </x:c>
      <x:c r="AJ1702" s="12" t="str">
        <x:f>IF(AC1702="PUBLIC_CANDIDATE","public by default; still not canon","private/hold; do not publish")</x:f>
        <x:v>public by default; still not canon</x:v>
      </x:c>
      <x:c r="AK1702" s="12" t="str">
        <x:f>IF(AE1702="prepare_public_github_candidate","add receipt/status then mirror","resolve blocker before any public GitHub action")</x:f>
        <x:v>add receipt/status then mirror</x:v>
      </x:c>
    </x:row>
    <x:row r="1703">
      <x:c r="A1703" s="15" t="str">
        <x:v>SWARM-12-H10-S10</x:v>
      </x:c>
      <x:c r="B1703" s="15" t="str">
        <x:v>JoySignal</x:v>
      </x:c>
      <x:c r="C1703" s="15" t="str">
        <x:v>Rest and morale keeper</x:v>
      </x:c>
      <x:c r="D1703" s="15" t="str">
        <x:v>GitHub Source Packets</x:v>
      </x:c>
      <x:c r="E1703" s="15" t="str">
        <x:v>Human-Root</x:v>
      </x:c>
      <x:c r="F1703" s="15" t="str">
        <x:v>Build source packet for Human-Root — JoySignal</x:v>
      </x:c>
      <x:c r="G1703" s="15" t="str">
        <x:v>cadence / anti-burnout / safe completion language</x:v>
      </x:c>
      <x:c r="H1703" s="15" t="str">
        <x:v>source path + receipt + raw/export status + claim/edge/risk delta</x:v>
      </x:c>
      <x:c r="I1703" s="15" t="str">
        <x:v>packet/SWARM-12-H10-S10</x:v>
      </x:c>
      <x:c r="J1703" s="15" t="str">
        <x:v>TODO</x:v>
      </x:c>
      <x:c r="K1703" s="15" t="str">
        <x:v>P2</x:v>
      </x:c>
      <x:c r="L1703" s="15" t="str">
        <x:v>Done only when evidence is logged, contradiction search is noted, and boundary stamp remains non-canon unless ratified</x:v>
      </x:c>
      <x:c r="M1703" s="15" t="str">
        <x:v>candidate / staging-only / not canon / not deployed / authority none</x:v>
      </x:c>
      <x:c r="N1703" s="15" t="str">
        <x:v>Dispatch to JoySignal: complete GitHub Source Packets x Human-Root; return deltas only, receipts required.</x:v>
      </x:c>
      <x:c r="O1703" s="15" t="str">
        <x:v>AF-KG-H10-S10</x:v>
      </x:c>
      <x:c r="P1703" s="15" t="str">
        <x:v>Unverified</x:v>
      </x:c>
      <x:c r="Q1703" s="15" t="str">
        <x:v>Not checked</x:v>
      </x:c>
      <x:c r="R1703" s="15" t="str"/>
      <x:c r="S1703" s="15" t="str"/>
      <x:c r="T1703" s="15" t="str">
        <x:v>Log first source path or blocker</x:v>
      </x:c>
      <x:c r="U1703" s="12" t="str">
        <x:f>IF(OR(P1703="Unverified",Q1703="Not checked"),"BLOCKED_PENDING_RECEIPT","READY_FOR_REVIEW")</x:f>
        <x:v>BLOCKED_PENDING_RECEIPT</x:v>
      </x:c>
      <x:c r="V1703" s="12" t="str">
        <x:f>IF(J1703="DONE","RETURNED",IF(U1703="BLOCKED_PENDING_RECEIPT","SOURCE_TOUCH_REQUIRED","IN_PROGRESS"))</x:f>
        <x:v>SOURCE_TOUCH_REQUIRED</x:v>
      </x:c>
      <x:c r="W1703" s="12" t="str">
        <x:f>IF(P1703="Unverified","missing_receipt","receipt_logged")</x:f>
        <x:v>missing_receipt</x:v>
      </x:c>
      <x:c r="X1703" s="12" t="str">
        <x:f>IF(Q1703="Not checked","raw_status_missing","raw_status_logged")</x:f>
        <x:v>raw_status_missing</x:v>
      </x:c>
      <x:c r="Y1703" s="12" t="str">
        <x:f>IF(U1703="BLOCKED_PENDING_RECEIPT","Log source path or blocker; do not promote","Route to review lane")</x:f>
        <x:v>Log source path or blocker; do not promote</x:v>
      </x:c>
      <x:c r="Z1703" s="12" t="str">
        <x:f>IF(K1703="P0","Primary seat + Hashlight/Lucerna","Seat lane")</x:f>
        <x:v>Seat lane</x:v>
      </x:c>
      <x:c r="AA1703" s="12" t="str">
        <x:f>IF(R1703="","no_claim_delta","claim_delta_present")</x:f>
        <x:v>no_claim_delta</x:v>
      </x:c>
      <x:c r="AB1703" s="12" t="str">
        <x:f>IF(S1703="","no_contradiction_delta","contradiction_delta_present")</x:f>
        <x:v>no_contradiction_delta</x:v>
      </x:c>
      <x:c r="AC1703" s="12" t="str">
        <x:f>IF(OR(ISNUMBER(SEARCH("hacker",LOWER(F1703&amp;" "&amp;H1703&amp;" "&amp;I1703&amp;" "&amp;M1703&amp;" "&amp;N1703&amp;" "&amp;T1703))),ISNUMBER(SEARCH("hacking",LOWER(F1703&amp;" "&amp;H1703&amp;" "&amp;I1703&amp;" "&amp;M1703&amp;" "&amp;N1703&amp;" "&amp;T1703))),ISNUMBER(SEARCH("bank",LOWER(F1703&amp;" "&amp;H1703&amp;" "&amp;I1703&amp;" "&amp;M1703&amp;" "&amp;N1703&amp;" "&amp;T1703))),ISNUMBER(SEARCH("banking",LOWER(F1703&amp;" "&amp;H1703&amp;" "&amp;I1703&amp;" "&amp;M1703&amp;" "&amp;N1703&amp;" "&amp;T1703)))),"PRIVATE_QUARANTINE",IF(OR(ISNUMBER(SEARCH("treasury",LOWER(F1703&amp;" "&amp;H1703&amp;" "&amp;I1703&amp;" "&amp;M1703&amp;" "&amp;N1703&amp;" "&amp;T1703))),ISNUMBER(SEARCH("debt",LOWER(F1703&amp;" "&amp;H1703&amp;" "&amp;I1703&amp;" "&amp;M1703&amp;" "&amp;N1703&amp;" "&amp;T1703))),ISNUMBER(SEARCH("bond",LOWER(F1703&amp;" "&amp;H1703&amp;" "&amp;I1703&amp;" "&amp;M1703&amp;" "&amp;N1703&amp;" "&amp;T1703))),ISNUMBER(SEARCH("transaction",LOWER(F1703&amp;" "&amp;H1703&amp;" "&amp;I1703&amp;" "&amp;M1703&amp;" "&amp;N1703&amp;" "&amp;T1703)))),"PRIVATE_REVIEW","PUBLIC_CANDIDATE"))</x:f>
        <x:v>PUBLIC_CANDIDATE</x:v>
      </x:c>
      <x:c r="AD1703" s="12" t="str">
        <x:f>IF(AC1703="PRIVATE_QUARANTINE","hacker_or_bank_trigger",IF(AC1703="PRIVATE_REVIEW","finance_risk_trigger","none"))</x:f>
        <x:v>none</x:v>
      </x:c>
      <x:c r="AE1703" s="12" t="str">
        <x:f>IF(AC1703="PUBLIC_CANDIDATE","prepare_public_github_candidate",IF(AC1703="PRIVATE_REVIEW","hold_for_private_review","quarantine_private_do_not_publish"))</x:f>
        <x:v>prepare_public_github_candidate</x:v>
      </x:c>
      <x:c r="AF1703" s="12" t="str">
        <x:f>IF(AC1703="PUBLIC_CANDIDATE","TIDELOCK + Lucerna",IF(AC1703="PRIVATE_REVIEW","AtlasBrain + Lucerna","TIDELOCK + Lucerna + Human-root"))</x:f>
        <x:v>TIDELOCK + Lucerna</x:v>
      </x:c>
      <x:c r="AG1703" s="12" t="str">
        <x:f>IF(AND(AC1703="PUBLIC_CANDIDATE",U1703&lt;&gt;"BLOCKED_PENDING_RECEIPT"),"READY_AFTER_RECEIPT","NOT_READY")</x:f>
        <x:v>NOT_READY</x:v>
      </x:c>
      <x:c r="AH1703" s="12" t="str">
        <x:f>IF(AC1703="PUBLIC_CANDIDATE","none",AD1703)</x:f>
        <x:v>none</x:v>
      </x:c>
      <x:c r="AI1703" s="12" t="str">
        <x:f>IF(AC1703="PUBLIC_CANDIDATE","archive/public_candidates/"&amp;A1703,"private_quarantine/"&amp;A1703)</x:f>
        <x:v>archive/public_candidates/SWARM-12-H10-S10</x:v>
      </x:c>
      <x:c r="AJ1703" s="12" t="str">
        <x:f>IF(AC1703="PUBLIC_CANDIDATE","public by default; still not canon","private/hold; do not publish")</x:f>
        <x:v>public by default; still not canon</x:v>
      </x:c>
      <x:c r="AK1703" s="12" t="str">
        <x:f>IF(AE1703="prepare_public_github_candidate","add receipt/status then mirror","resolve blocker before any public GitHub action")</x:f>
        <x:v>add receipt/status then mirror</x:v>
      </x:c>
    </x:row>
    <x:row r="1704">
      <x:c r="A1704" s="15" t="str">
        <x:v>SWARM-12-H10-S11</x:v>
      </x:c>
      <x:c r="B1704" s="15" t="str">
        <x:v>JoySignal</x:v>
      </x:c>
      <x:c r="C1704" s="15" t="str">
        <x:v>Rest and morale keeper</x:v>
      </x:c>
      <x:c r="D1704" s="15" t="str">
        <x:v>GitHub Source Packets</x:v>
      </x:c>
      <x:c r="E1704" s="15" t="str">
        <x:v>Automation</x:v>
      </x:c>
      <x:c r="F1704" s="15" t="str">
        <x:v>Build source packet for Automation — JoySignal</x:v>
      </x:c>
      <x:c r="G1704" s="15" t="str">
        <x:v>cadence / anti-burnout / safe completion language</x:v>
      </x:c>
      <x:c r="H1704" s="15" t="str">
        <x:v>source path + receipt + raw/export status + claim/edge/risk delta</x:v>
      </x:c>
      <x:c r="I1704" s="15" t="str">
        <x:v>packet/SWARM-12-H10-S11</x:v>
      </x:c>
      <x:c r="J1704" s="15" t="str">
        <x:v>TODO</x:v>
      </x:c>
      <x:c r="K1704" s="15" t="str">
        <x:v>P2</x:v>
      </x:c>
      <x:c r="L1704" s="15" t="str">
        <x:v>Done only when evidence is logged, contradiction search is noted, and boundary stamp remains non-canon unless ratified</x:v>
      </x:c>
      <x:c r="M1704" s="15" t="str">
        <x:v>candidate / staging-only / not canon / not deployed / authority none</x:v>
      </x:c>
      <x:c r="N1704" s="15" t="str">
        <x:v>Dispatch to JoySignal: complete GitHub Source Packets x Automation; return deltas only, receipts required.</x:v>
      </x:c>
      <x:c r="O1704" s="15" t="str">
        <x:v>AF-KG-H10-S11</x:v>
      </x:c>
      <x:c r="P1704" s="15" t="str">
        <x:v>Unverified</x:v>
      </x:c>
      <x:c r="Q1704" s="15" t="str">
        <x:v>Not checked</x:v>
      </x:c>
      <x:c r="R1704" s="15" t="str"/>
      <x:c r="S1704" s="15" t="str"/>
      <x:c r="T1704" s="15" t="str">
        <x:v>Log first source path or blocker</x:v>
      </x:c>
      <x:c r="U1704" s="12" t="str">
        <x:f>IF(OR(P1704="Unverified",Q1704="Not checked"),"BLOCKED_PENDING_RECEIPT","READY_FOR_REVIEW")</x:f>
        <x:v>BLOCKED_PENDING_RECEIPT</x:v>
      </x:c>
      <x:c r="V1704" s="12" t="str">
        <x:f>IF(J1704="DONE","RETURNED",IF(U1704="BLOCKED_PENDING_RECEIPT","SOURCE_TOUCH_REQUIRED","IN_PROGRESS"))</x:f>
        <x:v>SOURCE_TOUCH_REQUIRED</x:v>
      </x:c>
      <x:c r="W1704" s="12" t="str">
        <x:f>IF(P1704="Unverified","missing_receipt","receipt_logged")</x:f>
        <x:v>missing_receipt</x:v>
      </x:c>
      <x:c r="X1704" s="12" t="str">
        <x:f>IF(Q1704="Not checked","raw_status_missing","raw_status_logged")</x:f>
        <x:v>raw_status_missing</x:v>
      </x:c>
      <x:c r="Y1704" s="12" t="str">
        <x:f>IF(U1704="BLOCKED_PENDING_RECEIPT","Log source path or blocker; do not promote","Route to review lane")</x:f>
        <x:v>Log source path or blocker; do not promote</x:v>
      </x:c>
      <x:c r="Z1704" s="12" t="str">
        <x:f>IF(K1704="P0","Primary seat + Hashlight/Lucerna","Seat lane")</x:f>
        <x:v>Seat lane</x:v>
      </x:c>
      <x:c r="AA1704" s="12" t="str">
        <x:f>IF(R1704="","no_claim_delta","claim_delta_present")</x:f>
        <x:v>no_claim_delta</x:v>
      </x:c>
      <x:c r="AB1704" s="12" t="str">
        <x:f>IF(S1704="","no_contradiction_delta","contradiction_delta_present")</x:f>
        <x:v>no_contradiction_delta</x:v>
      </x:c>
      <x:c r="AC1704" s="12" t="str">
        <x:f>IF(OR(ISNUMBER(SEARCH("hacker",LOWER(F1704&amp;" "&amp;H1704&amp;" "&amp;I1704&amp;" "&amp;M1704&amp;" "&amp;N1704&amp;" "&amp;T1704))),ISNUMBER(SEARCH("hacking",LOWER(F1704&amp;" "&amp;H1704&amp;" "&amp;I1704&amp;" "&amp;M1704&amp;" "&amp;N1704&amp;" "&amp;T1704))),ISNUMBER(SEARCH("bank",LOWER(F1704&amp;" "&amp;H1704&amp;" "&amp;I1704&amp;" "&amp;M1704&amp;" "&amp;N1704&amp;" "&amp;T1704))),ISNUMBER(SEARCH("banking",LOWER(F1704&amp;" "&amp;H1704&amp;" "&amp;I1704&amp;" "&amp;M1704&amp;" "&amp;N1704&amp;" "&amp;T1704)))),"PRIVATE_QUARANTINE",IF(OR(ISNUMBER(SEARCH("treasury",LOWER(F1704&amp;" "&amp;H1704&amp;" "&amp;I1704&amp;" "&amp;M1704&amp;" "&amp;N1704&amp;" "&amp;T1704))),ISNUMBER(SEARCH("debt",LOWER(F1704&amp;" "&amp;H1704&amp;" "&amp;I1704&amp;" "&amp;M1704&amp;" "&amp;N1704&amp;" "&amp;T1704))),ISNUMBER(SEARCH("bond",LOWER(F1704&amp;" "&amp;H1704&amp;" "&amp;I1704&amp;" "&amp;M1704&amp;" "&amp;N1704&amp;" "&amp;T1704))),ISNUMBER(SEARCH("transaction",LOWER(F1704&amp;" "&amp;H1704&amp;" "&amp;I1704&amp;" "&amp;M1704&amp;" "&amp;N1704&amp;" "&amp;T1704)))),"PRIVATE_REVIEW","PUBLIC_CANDIDATE"))</x:f>
        <x:v>PUBLIC_CANDIDATE</x:v>
      </x:c>
      <x:c r="AD1704" s="12" t="str">
        <x:f>IF(AC1704="PRIVATE_QUARANTINE","hacker_or_bank_trigger",IF(AC1704="PRIVATE_REVIEW","finance_risk_trigger","none"))</x:f>
        <x:v>none</x:v>
      </x:c>
      <x:c r="AE1704" s="12" t="str">
        <x:f>IF(AC1704="PUBLIC_CANDIDATE","prepare_public_github_candidate",IF(AC1704="PRIVATE_REVIEW","hold_for_private_review","quarantine_private_do_not_publish"))</x:f>
        <x:v>prepare_public_github_candidate</x:v>
      </x:c>
      <x:c r="AF1704" s="12" t="str">
        <x:f>IF(AC1704="PUBLIC_CANDIDATE","TIDELOCK + Lucerna",IF(AC1704="PRIVATE_REVIEW","AtlasBrain + Lucerna","TIDELOCK + Lucerna + Human-root"))</x:f>
        <x:v>TIDELOCK + Lucerna</x:v>
      </x:c>
      <x:c r="AG1704" s="12" t="str">
        <x:f>IF(AND(AC1704="PUBLIC_CANDIDATE",U1704&lt;&gt;"BLOCKED_PENDING_RECEIPT"),"READY_AFTER_RECEIPT","NOT_READY")</x:f>
        <x:v>NOT_READY</x:v>
      </x:c>
      <x:c r="AH1704" s="12" t="str">
        <x:f>IF(AC1704="PUBLIC_CANDIDATE","none",AD1704)</x:f>
        <x:v>none</x:v>
      </x:c>
      <x:c r="AI1704" s="12" t="str">
        <x:f>IF(AC1704="PUBLIC_CANDIDATE","archive/public_candidates/"&amp;A1704,"private_quarantine/"&amp;A1704)</x:f>
        <x:v>archive/public_candidates/SWARM-12-H10-S11</x:v>
      </x:c>
      <x:c r="AJ1704" s="12" t="str">
        <x:f>IF(AC1704="PUBLIC_CANDIDATE","public by default; still not canon","private/hold; do not publish")</x:f>
        <x:v>public by default; still not canon</x:v>
      </x:c>
      <x:c r="AK1704" s="12" t="str">
        <x:f>IF(AE1704="prepare_public_github_candidate","add receipt/status then mirror","resolve blocker before any public GitHub action")</x:f>
        <x:v>add receipt/status then mirror</x:v>
      </x:c>
    </x:row>
    <x:row r="1705">
      <x:c r="A1705" s="15" t="str">
        <x:v>SWARM-12-H10-S12</x:v>
      </x:c>
      <x:c r="B1705" s="15" t="str">
        <x:v>JoySignal</x:v>
      </x:c>
      <x:c r="C1705" s="15" t="str">
        <x:v>Rest and morale keeper</x:v>
      </x:c>
      <x:c r="D1705" s="15" t="str">
        <x:v>GitHub Source Packets</x:v>
      </x:c>
      <x:c r="E1705" s="15" t="str">
        <x:v>Risk / Safety</x:v>
      </x:c>
      <x:c r="F1705" s="15" t="str">
        <x:v>Build source packet for Risk / Safety — JoySignal</x:v>
      </x:c>
      <x:c r="G1705" s="15" t="str">
        <x:v>cadence / anti-burnout / safe completion language</x:v>
      </x:c>
      <x:c r="H1705" s="15" t="str">
        <x:v>source path + receipt + raw/export status + claim/edge/risk delta</x:v>
      </x:c>
      <x:c r="I1705" s="15" t="str">
        <x:v>packet/SWARM-12-H10-S12</x:v>
      </x:c>
      <x:c r="J1705" s="15" t="str">
        <x:v>TODO</x:v>
      </x:c>
      <x:c r="K1705" s="15" t="str">
        <x:v>P2</x:v>
      </x:c>
      <x:c r="L1705" s="15" t="str">
        <x:v>Done only when evidence is logged, contradiction search is noted, and boundary stamp remains non-canon unless ratified</x:v>
      </x:c>
      <x:c r="M1705" s="15" t="str">
        <x:v>candidate / staging-only / not canon / not deployed / authority none</x:v>
      </x:c>
      <x:c r="N1705" s="15" t="str">
        <x:v>Dispatch to JoySignal: complete GitHub Source Packets x Risk / Safety; return deltas only, receipts required.</x:v>
      </x:c>
      <x:c r="O1705" s="15" t="str">
        <x:v>AF-KG-H10-S12</x:v>
      </x:c>
      <x:c r="P1705" s="15" t="str">
        <x:v>Unverified</x:v>
      </x:c>
      <x:c r="Q1705" s="15" t="str">
        <x:v>Not checked</x:v>
      </x:c>
      <x:c r="R1705" s="15" t="str"/>
      <x:c r="S1705" s="15" t="str"/>
      <x:c r="T1705" s="15" t="str">
        <x:v>Log first source path or blocker</x:v>
      </x:c>
      <x:c r="U1705" s="12" t="str">
        <x:f>IF(OR(P1705="Unverified",Q1705="Not checked"),"BLOCKED_PENDING_RECEIPT","READY_FOR_REVIEW")</x:f>
        <x:v>BLOCKED_PENDING_RECEIPT</x:v>
      </x:c>
      <x:c r="V1705" s="12" t="str">
        <x:f>IF(J1705="DONE","RETURNED",IF(U1705="BLOCKED_PENDING_RECEIPT","SOURCE_TOUCH_REQUIRED","IN_PROGRESS"))</x:f>
        <x:v>SOURCE_TOUCH_REQUIRED</x:v>
      </x:c>
      <x:c r="W1705" s="12" t="str">
        <x:f>IF(P1705="Unverified","missing_receipt","receipt_logged")</x:f>
        <x:v>missing_receipt</x:v>
      </x:c>
      <x:c r="X1705" s="12" t="str">
        <x:f>IF(Q1705="Not checked","raw_status_missing","raw_status_logged")</x:f>
        <x:v>raw_status_missing</x:v>
      </x:c>
      <x:c r="Y1705" s="12" t="str">
        <x:f>IF(U1705="BLOCKED_PENDING_RECEIPT","Log source path or blocker; do not promote","Route to review lane")</x:f>
        <x:v>Log source path or blocker; do not promote</x:v>
      </x:c>
      <x:c r="Z1705" s="12" t="str">
        <x:f>IF(K1705="P0","Primary seat + Hashlight/Lucerna","Seat lane")</x:f>
        <x:v>Seat lane</x:v>
      </x:c>
      <x:c r="AA1705" s="12" t="str">
        <x:f>IF(R1705="","no_claim_delta","claim_delta_present")</x:f>
        <x:v>no_claim_delta</x:v>
      </x:c>
      <x:c r="AB1705" s="12" t="str">
        <x:f>IF(S1705="","no_contradiction_delta","contradiction_delta_present")</x:f>
        <x:v>no_contradiction_delta</x:v>
      </x:c>
      <x:c r="AC1705" s="12" t="str">
        <x:f>IF(OR(ISNUMBER(SEARCH("hacker",LOWER(F1705&amp;" "&amp;H1705&amp;" "&amp;I1705&amp;" "&amp;M1705&amp;" "&amp;N1705&amp;" "&amp;T1705))),ISNUMBER(SEARCH("hacking",LOWER(F1705&amp;" "&amp;H1705&amp;" "&amp;I1705&amp;" "&amp;M1705&amp;" "&amp;N1705&amp;" "&amp;T1705))),ISNUMBER(SEARCH("bank",LOWER(F1705&amp;" "&amp;H1705&amp;" "&amp;I1705&amp;" "&amp;M1705&amp;" "&amp;N1705&amp;" "&amp;T1705))),ISNUMBER(SEARCH("banking",LOWER(F1705&amp;" "&amp;H1705&amp;" "&amp;I1705&amp;" "&amp;M1705&amp;" "&amp;N1705&amp;" "&amp;T1705)))),"PRIVATE_QUARANTINE",IF(OR(ISNUMBER(SEARCH("treasury",LOWER(F1705&amp;" "&amp;H1705&amp;" "&amp;I1705&amp;" "&amp;M1705&amp;" "&amp;N1705&amp;" "&amp;T1705))),ISNUMBER(SEARCH("debt",LOWER(F1705&amp;" "&amp;H1705&amp;" "&amp;I1705&amp;" "&amp;M1705&amp;" "&amp;N1705&amp;" "&amp;T1705))),ISNUMBER(SEARCH("bond",LOWER(F1705&amp;" "&amp;H1705&amp;" "&amp;I1705&amp;" "&amp;M1705&amp;" "&amp;N1705&amp;" "&amp;T1705))),ISNUMBER(SEARCH("transaction",LOWER(F1705&amp;" "&amp;H1705&amp;" "&amp;I1705&amp;" "&amp;M1705&amp;" "&amp;N1705&amp;" "&amp;T1705)))),"PRIVATE_REVIEW","PUBLIC_CANDIDATE"))</x:f>
        <x:v>PUBLIC_CANDIDATE</x:v>
      </x:c>
      <x:c r="AD1705" s="12" t="str">
        <x:f>IF(AC1705="PRIVATE_QUARANTINE","hacker_or_bank_trigger",IF(AC1705="PRIVATE_REVIEW","finance_risk_trigger","none"))</x:f>
        <x:v>none</x:v>
      </x:c>
      <x:c r="AE1705" s="12" t="str">
        <x:f>IF(AC1705="PUBLIC_CANDIDATE","prepare_public_github_candidate",IF(AC1705="PRIVATE_REVIEW","hold_for_private_review","quarantine_private_do_not_publish"))</x:f>
        <x:v>prepare_public_github_candidate</x:v>
      </x:c>
      <x:c r="AF1705" s="12" t="str">
        <x:f>IF(AC1705="PUBLIC_CANDIDATE","TIDELOCK + Lucerna",IF(AC1705="PRIVATE_REVIEW","AtlasBrain + Lucerna","TIDELOCK + Lucerna + Human-root"))</x:f>
        <x:v>TIDELOCK + Lucerna</x:v>
      </x:c>
      <x:c r="AG1705" s="12" t="str">
        <x:f>IF(AND(AC1705="PUBLIC_CANDIDATE",U1705&lt;&gt;"BLOCKED_PENDING_RECEIPT"),"READY_AFTER_RECEIPT","NOT_READY")</x:f>
        <x:v>NOT_READY</x:v>
      </x:c>
      <x:c r="AH1705" s="12" t="str">
        <x:f>IF(AC1705="PUBLIC_CANDIDATE","none",AD1705)</x:f>
        <x:v>none</x:v>
      </x:c>
      <x:c r="AI1705" s="12" t="str">
        <x:f>IF(AC1705="PUBLIC_CANDIDATE","archive/public_candidates/"&amp;A1705,"private_quarantine/"&amp;A1705)</x:f>
        <x:v>archive/public_candidates/SWARM-12-H10-S12</x:v>
      </x:c>
      <x:c r="AJ1705" s="12" t="str">
        <x:f>IF(AC1705="PUBLIC_CANDIDATE","public by default; still not canon","private/hold; do not publish")</x:f>
        <x:v>public by default; still not canon</x:v>
      </x:c>
      <x:c r="AK1705" s="12" t="str">
        <x:f>IF(AE1705="prepare_public_github_candidate","add receipt/status then mirror","resolve blocker before any public GitHub action")</x:f>
        <x:v>add receipt/status then mirror</x:v>
      </x:c>
    </x:row>
    <x:row r="1706">
      <x:c r="A1706" s="15" t="str">
        <x:v>SWARM-12-H11-S01</x:v>
      </x:c>
      <x:c r="B1706" s="15" t="str">
        <x:v>JoySignal</x:v>
      </x:c>
      <x:c r="C1706" s="15" t="str">
        <x:v>Rest and morale keeper</x:v>
      </x:c>
      <x:c r="D1706" s="15" t="str">
        <x:v>Aetherforge UX</x:v>
      </x:c>
      <x:c r="E1706" s="15" t="str">
        <x:v>Notion</x:v>
      </x:c>
      <x:c r="F1706" s="15" t="str">
        <x:v>Design quest card for Notion — JoySignal</x:v>
      </x:c>
      <x:c r="G1706" s="15" t="str">
        <x:v>cadence / anti-burnout / safe completion language</x:v>
      </x:c>
      <x:c r="H1706" s="15" t="str">
        <x:v>source path + receipt + raw/export status + claim/edge/risk delta</x:v>
      </x:c>
      <x:c r="I1706" s="15" t="str">
        <x:v>packet/SWARM-12-H11-S01</x:v>
      </x:c>
      <x:c r="J1706" s="15" t="str">
        <x:v>TODO</x:v>
      </x:c>
      <x:c r="K1706" s="15" t="str">
        <x:v>P0</x:v>
      </x:c>
      <x:c r="L1706" s="15" t="str">
        <x:v>Done only when evidence is logged, contradiction search is noted, and boundary stamp remains non-canon unless ratified</x:v>
      </x:c>
      <x:c r="M1706" s="15" t="str">
        <x:v>candidate / staging-only / not canon / not deployed / authority none</x:v>
      </x:c>
      <x:c r="N1706" s="15" t="str">
        <x:v>Dispatch to JoySignal: complete Aetherforge UX x Notion; return deltas only, receipts required.</x:v>
      </x:c>
      <x:c r="O1706" s="15" t="str">
        <x:v>AF-KG-H11-S01</x:v>
      </x:c>
      <x:c r="P1706" s="15" t="str">
        <x:v>Unverified</x:v>
      </x:c>
      <x:c r="Q1706" s="15" t="str">
        <x:v>Not checked</x:v>
      </x:c>
      <x:c r="R1706" s="15" t="str"/>
      <x:c r="S1706" s="15" t="str"/>
      <x:c r="T1706" s="15" t="str">
        <x:v>Log first source path or blocker</x:v>
      </x:c>
      <x:c r="U1706" s="12" t="str">
        <x:f>IF(OR(P1706="Unverified",Q1706="Not checked"),"BLOCKED_PENDING_RECEIPT","READY_FOR_REVIEW")</x:f>
        <x:v>BLOCKED_PENDING_RECEIPT</x:v>
      </x:c>
      <x:c r="V1706" s="12" t="str">
        <x:f>IF(J1706="DONE","RETURNED",IF(U1706="BLOCKED_PENDING_RECEIPT","SOURCE_TOUCH_REQUIRED","IN_PROGRESS"))</x:f>
        <x:v>SOURCE_TOUCH_REQUIRED</x:v>
      </x:c>
      <x:c r="W1706" s="12" t="str">
        <x:f>IF(P1706="Unverified","missing_receipt","receipt_logged")</x:f>
        <x:v>missing_receipt</x:v>
      </x:c>
      <x:c r="X1706" s="12" t="str">
        <x:f>IF(Q1706="Not checked","raw_status_missing","raw_status_logged")</x:f>
        <x:v>raw_status_missing</x:v>
      </x:c>
      <x:c r="Y1706" s="12" t="str">
        <x:f>IF(U1706="BLOCKED_PENDING_RECEIPT","Log source path or blocker; do not promote","Route to review lane")</x:f>
        <x:v>Log source path or blocker; do not promote</x:v>
      </x:c>
      <x:c r="Z1706" s="12" t="str">
        <x:f>IF(K1706="P0","Primary seat + Hashlight/Lucerna","Seat lane")</x:f>
        <x:v>Primary seat + Hashlight/Lucerna</x:v>
      </x:c>
      <x:c r="AA1706" s="12" t="str">
        <x:f>IF(R1706="","no_claim_delta","claim_delta_present")</x:f>
        <x:v>no_claim_delta</x:v>
      </x:c>
      <x:c r="AB1706" s="12" t="str">
        <x:f>IF(S1706="","no_contradiction_delta","contradiction_delta_present")</x:f>
        <x:v>no_contradiction_delta</x:v>
      </x:c>
      <x:c r="AC1706" s="12" t="str">
        <x:f>IF(OR(ISNUMBER(SEARCH("hacker",LOWER(F1706&amp;" "&amp;H1706&amp;" "&amp;I1706&amp;" "&amp;M1706&amp;" "&amp;N1706&amp;" "&amp;T1706))),ISNUMBER(SEARCH("hacking",LOWER(F1706&amp;" "&amp;H1706&amp;" "&amp;I1706&amp;" "&amp;M1706&amp;" "&amp;N1706&amp;" "&amp;T1706))),ISNUMBER(SEARCH("bank",LOWER(F1706&amp;" "&amp;H1706&amp;" "&amp;I1706&amp;" "&amp;M1706&amp;" "&amp;N1706&amp;" "&amp;T1706))),ISNUMBER(SEARCH("banking",LOWER(F1706&amp;" "&amp;H1706&amp;" "&amp;I1706&amp;" "&amp;M1706&amp;" "&amp;N1706&amp;" "&amp;T1706)))),"PRIVATE_QUARANTINE",IF(OR(ISNUMBER(SEARCH("treasury",LOWER(F1706&amp;" "&amp;H1706&amp;" "&amp;I1706&amp;" "&amp;M1706&amp;" "&amp;N1706&amp;" "&amp;T1706))),ISNUMBER(SEARCH("debt",LOWER(F1706&amp;" "&amp;H1706&amp;" "&amp;I1706&amp;" "&amp;M1706&amp;" "&amp;N1706&amp;" "&amp;T1706))),ISNUMBER(SEARCH("bond",LOWER(F1706&amp;" "&amp;H1706&amp;" "&amp;I1706&amp;" "&amp;M1706&amp;" "&amp;N1706&amp;" "&amp;T1706))),ISNUMBER(SEARCH("transaction",LOWER(F1706&amp;" "&amp;H1706&amp;" "&amp;I1706&amp;" "&amp;M1706&amp;" "&amp;N1706&amp;" "&amp;T1706)))),"PRIVATE_REVIEW","PUBLIC_CANDIDATE"))</x:f>
        <x:v>PUBLIC_CANDIDATE</x:v>
      </x:c>
      <x:c r="AD1706" s="12" t="str">
        <x:f>IF(AC1706="PRIVATE_QUARANTINE","hacker_or_bank_trigger",IF(AC1706="PRIVATE_REVIEW","finance_risk_trigger","none"))</x:f>
        <x:v>none</x:v>
      </x:c>
      <x:c r="AE1706" s="12" t="str">
        <x:f>IF(AC1706="PUBLIC_CANDIDATE","prepare_public_github_candidate",IF(AC1706="PRIVATE_REVIEW","hold_for_private_review","quarantine_private_do_not_publish"))</x:f>
        <x:v>prepare_public_github_candidate</x:v>
      </x:c>
      <x:c r="AF1706" s="12" t="str">
        <x:f>IF(AC1706="PUBLIC_CANDIDATE","TIDELOCK + Lucerna",IF(AC1706="PRIVATE_REVIEW","AtlasBrain + Lucerna","TIDELOCK + Lucerna + Human-root"))</x:f>
        <x:v>TIDELOCK + Lucerna</x:v>
      </x:c>
      <x:c r="AG1706" s="12" t="str">
        <x:f>IF(AND(AC1706="PUBLIC_CANDIDATE",U1706&lt;&gt;"BLOCKED_PENDING_RECEIPT"),"READY_AFTER_RECEIPT","NOT_READY")</x:f>
        <x:v>NOT_READY</x:v>
      </x:c>
      <x:c r="AH1706" s="12" t="str">
        <x:f>IF(AC1706="PUBLIC_CANDIDATE","none",AD1706)</x:f>
        <x:v>none</x:v>
      </x:c>
      <x:c r="AI1706" s="12" t="str">
        <x:f>IF(AC1706="PUBLIC_CANDIDATE","archive/public_candidates/"&amp;A1706,"private_quarantine/"&amp;A1706)</x:f>
        <x:v>archive/public_candidates/SWARM-12-H11-S01</x:v>
      </x:c>
      <x:c r="AJ1706" s="12" t="str">
        <x:f>IF(AC1706="PUBLIC_CANDIDATE","public by default; still not canon","private/hold; do not publish")</x:f>
        <x:v>public by default; still not canon</x:v>
      </x:c>
      <x:c r="AK1706" s="12" t="str">
        <x:f>IF(AE1706="prepare_public_github_candidate","add receipt/status then mirror","resolve blocker before any public GitHub action")</x:f>
        <x:v>add receipt/status then mirror</x:v>
      </x:c>
    </x:row>
    <x:row r="1707">
      <x:c r="A1707" s="15" t="str">
        <x:v>SWARM-12-H11-S02</x:v>
      </x:c>
      <x:c r="B1707" s="15" t="str">
        <x:v>JoySignal</x:v>
      </x:c>
      <x:c r="C1707" s="15" t="str">
        <x:v>Rest and morale keeper</x:v>
      </x:c>
      <x:c r="D1707" s="15" t="str">
        <x:v>Aetherforge UX</x:v>
      </x:c>
      <x:c r="E1707" s="15" t="str">
        <x:v>Drive</x:v>
      </x:c>
      <x:c r="F1707" s="15" t="str">
        <x:v>Design quest card for Drive — JoySignal</x:v>
      </x:c>
      <x:c r="G1707" s="15" t="str">
        <x:v>cadence / anti-burnout / safe completion language</x:v>
      </x:c>
      <x:c r="H1707" s="15" t="str">
        <x:v>source path + receipt + raw/export status + claim/edge/risk delta</x:v>
      </x:c>
      <x:c r="I1707" s="15" t="str">
        <x:v>packet/SWARM-12-H11-S02</x:v>
      </x:c>
      <x:c r="J1707" s="15" t="str">
        <x:v>TODO</x:v>
      </x:c>
      <x:c r="K1707" s="15" t="str">
        <x:v>P0</x:v>
      </x:c>
      <x:c r="L1707" s="15" t="str">
        <x:v>Done only when evidence is logged, contradiction search is noted, and boundary stamp remains non-canon unless ratified</x:v>
      </x:c>
      <x:c r="M1707" s="15" t="str">
        <x:v>candidate / staging-only / not canon / not deployed / authority none</x:v>
      </x:c>
      <x:c r="N1707" s="15" t="str">
        <x:v>Dispatch to JoySignal: complete Aetherforge UX x Drive; return deltas only, receipts required.</x:v>
      </x:c>
      <x:c r="O1707" s="15" t="str">
        <x:v>AF-KG-H11-S02</x:v>
      </x:c>
      <x:c r="P1707" s="15" t="str">
        <x:v>Unverified</x:v>
      </x:c>
      <x:c r="Q1707" s="15" t="str">
        <x:v>Not checked</x:v>
      </x:c>
      <x:c r="R1707" s="15" t="str"/>
      <x:c r="S1707" s="15" t="str"/>
      <x:c r="T1707" s="15" t="str">
        <x:v>Log first source path or blocker</x:v>
      </x:c>
      <x:c r="U1707" s="12" t="str">
        <x:f>IF(OR(P1707="Unverified",Q1707="Not checked"),"BLOCKED_PENDING_RECEIPT","READY_FOR_REVIEW")</x:f>
        <x:v>BLOCKED_PENDING_RECEIPT</x:v>
      </x:c>
      <x:c r="V1707" s="12" t="str">
        <x:f>IF(J1707="DONE","RETURNED",IF(U1707="BLOCKED_PENDING_RECEIPT","SOURCE_TOUCH_REQUIRED","IN_PROGRESS"))</x:f>
        <x:v>SOURCE_TOUCH_REQUIRED</x:v>
      </x:c>
      <x:c r="W1707" s="12" t="str">
        <x:f>IF(P1707="Unverified","missing_receipt","receipt_logged")</x:f>
        <x:v>missing_receipt</x:v>
      </x:c>
      <x:c r="X1707" s="12" t="str">
        <x:f>IF(Q1707="Not checked","raw_status_missing","raw_status_logged")</x:f>
        <x:v>raw_status_missing</x:v>
      </x:c>
      <x:c r="Y1707" s="12" t="str">
        <x:f>IF(U1707="BLOCKED_PENDING_RECEIPT","Log source path or blocker; do not promote","Route to review lane")</x:f>
        <x:v>Log source path or blocker; do not promote</x:v>
      </x:c>
      <x:c r="Z1707" s="12" t="str">
        <x:f>IF(K1707="P0","Primary seat + Hashlight/Lucerna","Seat lane")</x:f>
        <x:v>Primary seat + Hashlight/Lucerna</x:v>
      </x:c>
      <x:c r="AA1707" s="12" t="str">
        <x:f>IF(R1707="","no_claim_delta","claim_delta_present")</x:f>
        <x:v>no_claim_delta</x:v>
      </x:c>
      <x:c r="AB1707" s="12" t="str">
        <x:f>IF(S1707="","no_contradiction_delta","contradiction_delta_present")</x:f>
        <x:v>no_contradiction_delta</x:v>
      </x:c>
      <x:c r="AC1707" s="12" t="str">
        <x:f>IF(OR(ISNUMBER(SEARCH("hacker",LOWER(F1707&amp;" "&amp;H1707&amp;" "&amp;I1707&amp;" "&amp;M1707&amp;" "&amp;N1707&amp;" "&amp;T1707))),ISNUMBER(SEARCH("hacking",LOWER(F1707&amp;" "&amp;H1707&amp;" "&amp;I1707&amp;" "&amp;M1707&amp;" "&amp;N1707&amp;" "&amp;T1707))),ISNUMBER(SEARCH("bank",LOWER(F1707&amp;" "&amp;H1707&amp;" "&amp;I1707&amp;" "&amp;M1707&amp;" "&amp;N1707&amp;" "&amp;T1707))),ISNUMBER(SEARCH("banking",LOWER(F1707&amp;" "&amp;H1707&amp;" "&amp;I1707&amp;" "&amp;M1707&amp;" "&amp;N1707&amp;" "&amp;T1707)))),"PRIVATE_QUARANTINE",IF(OR(ISNUMBER(SEARCH("treasury",LOWER(F1707&amp;" "&amp;H1707&amp;" "&amp;I1707&amp;" "&amp;M1707&amp;" "&amp;N1707&amp;" "&amp;T1707))),ISNUMBER(SEARCH("debt",LOWER(F1707&amp;" "&amp;H1707&amp;" "&amp;I1707&amp;" "&amp;M1707&amp;" "&amp;N1707&amp;" "&amp;T1707))),ISNUMBER(SEARCH("bond",LOWER(F1707&amp;" "&amp;H1707&amp;" "&amp;I1707&amp;" "&amp;M1707&amp;" "&amp;N1707&amp;" "&amp;T1707))),ISNUMBER(SEARCH("transaction",LOWER(F1707&amp;" "&amp;H1707&amp;" "&amp;I1707&amp;" "&amp;M1707&amp;" "&amp;N1707&amp;" "&amp;T1707)))),"PRIVATE_REVIEW","PUBLIC_CANDIDATE"))</x:f>
        <x:v>PUBLIC_CANDIDATE</x:v>
      </x:c>
      <x:c r="AD1707" s="12" t="str">
        <x:f>IF(AC1707="PRIVATE_QUARANTINE","hacker_or_bank_trigger",IF(AC1707="PRIVATE_REVIEW","finance_risk_trigger","none"))</x:f>
        <x:v>none</x:v>
      </x:c>
      <x:c r="AE1707" s="12" t="str">
        <x:f>IF(AC1707="PUBLIC_CANDIDATE","prepare_public_github_candidate",IF(AC1707="PRIVATE_REVIEW","hold_for_private_review","quarantine_private_do_not_publish"))</x:f>
        <x:v>prepare_public_github_candidate</x:v>
      </x:c>
      <x:c r="AF1707" s="12" t="str">
        <x:f>IF(AC1707="PUBLIC_CANDIDATE","TIDELOCK + Lucerna",IF(AC1707="PRIVATE_REVIEW","AtlasBrain + Lucerna","TIDELOCK + Lucerna + Human-root"))</x:f>
        <x:v>TIDELOCK + Lucerna</x:v>
      </x:c>
      <x:c r="AG1707" s="12" t="str">
        <x:f>IF(AND(AC1707="PUBLIC_CANDIDATE",U1707&lt;&gt;"BLOCKED_PENDING_RECEIPT"),"READY_AFTER_RECEIPT","NOT_READY")</x:f>
        <x:v>NOT_READY</x:v>
      </x:c>
      <x:c r="AH1707" s="12" t="str">
        <x:f>IF(AC1707="PUBLIC_CANDIDATE","none",AD1707)</x:f>
        <x:v>none</x:v>
      </x:c>
      <x:c r="AI1707" s="12" t="str">
        <x:f>IF(AC1707="PUBLIC_CANDIDATE","archive/public_candidates/"&amp;A1707,"private_quarantine/"&amp;A1707)</x:f>
        <x:v>archive/public_candidates/SWARM-12-H11-S02</x:v>
      </x:c>
      <x:c r="AJ1707" s="12" t="str">
        <x:f>IF(AC1707="PUBLIC_CANDIDATE","public by default; still not canon","private/hold; do not publish")</x:f>
        <x:v>public by default; still not canon</x:v>
      </x:c>
      <x:c r="AK1707" s="12" t="str">
        <x:f>IF(AE1707="prepare_public_github_candidate","add receipt/status then mirror","resolve blocker before any public GitHub action")</x:f>
        <x:v>add receipt/status then mirror</x:v>
      </x:c>
    </x:row>
    <x:row r="1708">
      <x:c r="A1708" s="15" t="str">
        <x:v>SWARM-12-H11-S03</x:v>
      </x:c>
      <x:c r="B1708" s="15" t="str">
        <x:v>JoySignal</x:v>
      </x:c>
      <x:c r="C1708" s="15" t="str">
        <x:v>Rest and morale keeper</x:v>
      </x:c>
      <x:c r="D1708" s="15" t="str">
        <x:v>Aetherforge UX</x:v>
      </x:c>
      <x:c r="E1708" s="15" t="str">
        <x:v>GitHub</x:v>
      </x:c>
      <x:c r="F1708" s="15" t="str">
        <x:v>Design quest card for GitHub — JoySignal</x:v>
      </x:c>
      <x:c r="G1708" s="15" t="str">
        <x:v>cadence / anti-burnout / safe completion language</x:v>
      </x:c>
      <x:c r="H1708" s="15" t="str">
        <x:v>source path + receipt + raw/export status + claim/edge/risk delta</x:v>
      </x:c>
      <x:c r="I1708" s="15" t="str">
        <x:v>packet/SWARM-12-H11-S03</x:v>
      </x:c>
      <x:c r="J1708" s="15" t="str">
        <x:v>TODO</x:v>
      </x:c>
      <x:c r="K1708" s="15" t="str">
        <x:v>P0</x:v>
      </x:c>
      <x:c r="L1708" s="15" t="str">
        <x:v>Done only when evidence is logged, contradiction search is noted, and boundary stamp remains non-canon unless ratified</x:v>
      </x:c>
      <x:c r="M1708" s="15" t="str">
        <x:v>candidate / staging-only / not canon / not deployed / authority none</x:v>
      </x:c>
      <x:c r="N1708" s="15" t="str">
        <x:v>Dispatch to JoySignal: complete Aetherforge UX x GitHub; return deltas only, receipts required.</x:v>
      </x:c>
      <x:c r="O1708" s="15" t="str">
        <x:v>AF-KG-H11-S03</x:v>
      </x:c>
      <x:c r="P1708" s="15" t="str">
        <x:v>Unverified</x:v>
      </x:c>
      <x:c r="Q1708" s="15" t="str">
        <x:v>Not checked</x:v>
      </x:c>
      <x:c r="R1708" s="15" t="str"/>
      <x:c r="S1708" s="15" t="str"/>
      <x:c r="T1708" s="15" t="str">
        <x:v>Log first source path or blocker</x:v>
      </x:c>
      <x:c r="U1708" s="12" t="str">
        <x:f>IF(OR(P1708="Unverified",Q1708="Not checked"),"BLOCKED_PENDING_RECEIPT","READY_FOR_REVIEW")</x:f>
        <x:v>BLOCKED_PENDING_RECEIPT</x:v>
      </x:c>
      <x:c r="V1708" s="12" t="str">
        <x:f>IF(J1708="DONE","RETURNED",IF(U1708="BLOCKED_PENDING_RECEIPT","SOURCE_TOUCH_REQUIRED","IN_PROGRESS"))</x:f>
        <x:v>SOURCE_TOUCH_REQUIRED</x:v>
      </x:c>
      <x:c r="W1708" s="12" t="str">
        <x:f>IF(P1708="Unverified","missing_receipt","receipt_logged")</x:f>
        <x:v>missing_receipt</x:v>
      </x:c>
      <x:c r="X1708" s="12" t="str">
        <x:f>IF(Q1708="Not checked","raw_status_missing","raw_status_logged")</x:f>
        <x:v>raw_status_missing</x:v>
      </x:c>
      <x:c r="Y1708" s="12" t="str">
        <x:f>IF(U1708="BLOCKED_PENDING_RECEIPT","Log source path or blocker; do not promote","Route to review lane")</x:f>
        <x:v>Log source path or blocker; do not promote</x:v>
      </x:c>
      <x:c r="Z1708" s="12" t="str">
        <x:f>IF(K1708="P0","Primary seat + Hashlight/Lucerna","Seat lane")</x:f>
        <x:v>Primary seat + Hashlight/Lucerna</x:v>
      </x:c>
      <x:c r="AA1708" s="12" t="str">
        <x:f>IF(R1708="","no_claim_delta","claim_delta_present")</x:f>
        <x:v>no_claim_delta</x:v>
      </x:c>
      <x:c r="AB1708" s="12" t="str">
        <x:f>IF(S1708="","no_contradiction_delta","contradiction_delta_present")</x:f>
        <x:v>no_contradiction_delta</x:v>
      </x:c>
      <x:c r="AC1708" s="12" t="str">
        <x:f>IF(OR(ISNUMBER(SEARCH("hacker",LOWER(F1708&amp;" "&amp;H1708&amp;" "&amp;I1708&amp;" "&amp;M1708&amp;" "&amp;N1708&amp;" "&amp;T1708))),ISNUMBER(SEARCH("hacking",LOWER(F1708&amp;" "&amp;H1708&amp;" "&amp;I1708&amp;" "&amp;M1708&amp;" "&amp;N1708&amp;" "&amp;T1708))),ISNUMBER(SEARCH("bank",LOWER(F1708&amp;" "&amp;H1708&amp;" "&amp;I1708&amp;" "&amp;M1708&amp;" "&amp;N1708&amp;" "&amp;T1708))),ISNUMBER(SEARCH("banking",LOWER(F1708&amp;" "&amp;H1708&amp;" "&amp;I1708&amp;" "&amp;M1708&amp;" "&amp;N1708&amp;" "&amp;T1708)))),"PRIVATE_QUARANTINE",IF(OR(ISNUMBER(SEARCH("treasury",LOWER(F1708&amp;" "&amp;H1708&amp;" "&amp;I1708&amp;" "&amp;M1708&amp;" "&amp;N1708&amp;" "&amp;T1708))),ISNUMBER(SEARCH("debt",LOWER(F1708&amp;" "&amp;H1708&amp;" "&amp;I1708&amp;" "&amp;M1708&amp;" "&amp;N1708&amp;" "&amp;T1708))),ISNUMBER(SEARCH("bond",LOWER(F1708&amp;" "&amp;H1708&amp;" "&amp;I1708&amp;" "&amp;M1708&amp;" "&amp;N1708&amp;" "&amp;T1708))),ISNUMBER(SEARCH("transaction",LOWER(F1708&amp;" "&amp;H1708&amp;" "&amp;I1708&amp;" "&amp;M1708&amp;" "&amp;N1708&amp;" "&amp;T1708)))),"PRIVATE_REVIEW","PUBLIC_CANDIDATE"))</x:f>
        <x:v>PUBLIC_CANDIDATE</x:v>
      </x:c>
      <x:c r="AD1708" s="12" t="str">
        <x:f>IF(AC1708="PRIVATE_QUARANTINE","hacker_or_bank_trigger",IF(AC1708="PRIVATE_REVIEW","finance_risk_trigger","none"))</x:f>
        <x:v>none</x:v>
      </x:c>
      <x:c r="AE1708" s="12" t="str">
        <x:f>IF(AC1708="PUBLIC_CANDIDATE","prepare_public_github_candidate",IF(AC1708="PRIVATE_REVIEW","hold_for_private_review","quarantine_private_do_not_publish"))</x:f>
        <x:v>prepare_public_github_candidate</x:v>
      </x:c>
      <x:c r="AF1708" s="12" t="str">
        <x:f>IF(AC1708="PUBLIC_CANDIDATE","TIDELOCK + Lucerna",IF(AC1708="PRIVATE_REVIEW","AtlasBrain + Lucerna","TIDELOCK + Lucerna + Human-root"))</x:f>
        <x:v>TIDELOCK + Lucerna</x:v>
      </x:c>
      <x:c r="AG1708" s="12" t="str">
        <x:f>IF(AND(AC1708="PUBLIC_CANDIDATE",U1708&lt;&gt;"BLOCKED_PENDING_RECEIPT"),"READY_AFTER_RECEIPT","NOT_READY")</x:f>
        <x:v>NOT_READY</x:v>
      </x:c>
      <x:c r="AH1708" s="12" t="str">
        <x:f>IF(AC1708="PUBLIC_CANDIDATE","none",AD1708)</x:f>
        <x:v>none</x:v>
      </x:c>
      <x:c r="AI1708" s="12" t="str">
        <x:f>IF(AC1708="PUBLIC_CANDIDATE","archive/public_candidates/"&amp;A1708,"private_quarantine/"&amp;A1708)</x:f>
        <x:v>archive/public_candidates/SWARM-12-H11-S03</x:v>
      </x:c>
      <x:c r="AJ1708" s="12" t="str">
        <x:f>IF(AC1708="PUBLIC_CANDIDATE","public by default; still not canon","private/hold; do not publish")</x:f>
        <x:v>public by default; still not canon</x:v>
      </x:c>
      <x:c r="AK1708" s="12" t="str">
        <x:f>IF(AE1708="prepare_public_github_candidate","add receipt/status then mirror","resolve blocker before any public GitHub action")</x:f>
        <x:v>add receipt/status then mirror</x:v>
      </x:c>
    </x:row>
    <x:row r="1709">
      <x:c r="A1709" s="15" t="str">
        <x:v>SWARM-12-H11-S04</x:v>
      </x:c>
      <x:c r="B1709" s="15" t="str">
        <x:v>JoySignal</x:v>
      </x:c>
      <x:c r="C1709" s="15" t="str">
        <x:v>Rest and morale keeper</x:v>
      </x:c>
      <x:c r="D1709" s="15" t="str">
        <x:v>Aetherforge UX</x:v>
      </x:c>
      <x:c r="E1709" s="15" t="str">
        <x:v>Gamma</x:v>
      </x:c>
      <x:c r="F1709" s="15" t="str">
        <x:v>Design quest card for Gamma — JoySignal</x:v>
      </x:c>
      <x:c r="G1709" s="15" t="str">
        <x:v>cadence / anti-burnout / safe completion language</x:v>
      </x:c>
      <x:c r="H1709" s="15" t="str">
        <x:v>source path + receipt + raw/export status + claim/edge/risk delta</x:v>
      </x:c>
      <x:c r="I1709" s="15" t="str">
        <x:v>packet/SWARM-12-H11-S04</x:v>
      </x:c>
      <x:c r="J1709" s="15" t="str">
        <x:v>TODO</x:v>
      </x:c>
      <x:c r="K1709" s="15" t="str">
        <x:v>P1</x:v>
      </x:c>
      <x:c r="L1709" s="15" t="str">
        <x:v>Done only when evidence is logged, contradiction search is noted, and boundary stamp remains non-canon unless ratified</x:v>
      </x:c>
      <x:c r="M1709" s="15" t="str">
        <x:v>candidate / staging-only / not canon / not deployed / authority none</x:v>
      </x:c>
      <x:c r="N1709" s="15" t="str">
        <x:v>Dispatch to JoySignal: complete Aetherforge UX x Gamma; return deltas only, receipts required.</x:v>
      </x:c>
      <x:c r="O1709" s="15" t="str">
        <x:v>AF-KG-H11-S04</x:v>
      </x:c>
      <x:c r="P1709" s="15" t="str">
        <x:v>Unverified</x:v>
      </x:c>
      <x:c r="Q1709" s="15" t="str">
        <x:v>Not checked</x:v>
      </x:c>
      <x:c r="R1709" s="15" t="str"/>
      <x:c r="S1709" s="15" t="str"/>
      <x:c r="T1709" s="15" t="str">
        <x:v>Log first source path or blocker</x:v>
      </x:c>
      <x:c r="U1709" s="12" t="str">
        <x:f>IF(OR(P1709="Unverified",Q1709="Not checked"),"BLOCKED_PENDING_RECEIPT","READY_FOR_REVIEW")</x:f>
        <x:v>BLOCKED_PENDING_RECEIPT</x:v>
      </x:c>
      <x:c r="V1709" s="12" t="str">
        <x:f>IF(J1709="DONE","RETURNED",IF(U1709="BLOCKED_PENDING_RECEIPT","SOURCE_TOUCH_REQUIRED","IN_PROGRESS"))</x:f>
        <x:v>SOURCE_TOUCH_REQUIRED</x:v>
      </x:c>
      <x:c r="W1709" s="12" t="str">
        <x:f>IF(P1709="Unverified","missing_receipt","receipt_logged")</x:f>
        <x:v>missing_receipt</x:v>
      </x:c>
      <x:c r="X1709" s="12" t="str">
        <x:f>IF(Q1709="Not checked","raw_status_missing","raw_status_logged")</x:f>
        <x:v>raw_status_missing</x:v>
      </x:c>
      <x:c r="Y1709" s="12" t="str">
        <x:f>IF(U1709="BLOCKED_PENDING_RECEIPT","Log source path or blocker; do not promote","Route to review lane")</x:f>
        <x:v>Log source path or blocker; do not promote</x:v>
      </x:c>
      <x:c r="Z1709" s="12" t="str">
        <x:f>IF(K1709="P0","Primary seat + Hashlight/Lucerna","Seat lane")</x:f>
        <x:v>Seat lane</x:v>
      </x:c>
      <x:c r="AA1709" s="12" t="str">
        <x:f>IF(R1709="","no_claim_delta","claim_delta_present")</x:f>
        <x:v>no_claim_delta</x:v>
      </x:c>
      <x:c r="AB1709" s="12" t="str">
        <x:f>IF(S1709="","no_contradiction_delta","contradiction_delta_present")</x:f>
        <x:v>no_contradiction_delta</x:v>
      </x:c>
      <x:c r="AC1709" s="12" t="str">
        <x:f>IF(OR(ISNUMBER(SEARCH("hacker",LOWER(F1709&amp;" "&amp;H1709&amp;" "&amp;I1709&amp;" "&amp;M1709&amp;" "&amp;N1709&amp;" "&amp;T1709))),ISNUMBER(SEARCH("hacking",LOWER(F1709&amp;" "&amp;H1709&amp;" "&amp;I1709&amp;" "&amp;M1709&amp;" "&amp;N1709&amp;" "&amp;T1709))),ISNUMBER(SEARCH("bank",LOWER(F1709&amp;" "&amp;H1709&amp;" "&amp;I1709&amp;" "&amp;M1709&amp;" "&amp;N1709&amp;" "&amp;T1709))),ISNUMBER(SEARCH("banking",LOWER(F1709&amp;" "&amp;H1709&amp;" "&amp;I1709&amp;" "&amp;M1709&amp;" "&amp;N1709&amp;" "&amp;T1709)))),"PRIVATE_QUARANTINE",IF(OR(ISNUMBER(SEARCH("treasury",LOWER(F1709&amp;" "&amp;H1709&amp;" "&amp;I1709&amp;" "&amp;M1709&amp;" "&amp;N1709&amp;" "&amp;T1709))),ISNUMBER(SEARCH("debt",LOWER(F1709&amp;" "&amp;H1709&amp;" "&amp;I1709&amp;" "&amp;M1709&amp;" "&amp;N1709&amp;" "&amp;T1709))),ISNUMBER(SEARCH("bond",LOWER(F1709&amp;" "&amp;H1709&amp;" "&amp;I1709&amp;" "&amp;M1709&amp;" "&amp;N1709&amp;" "&amp;T1709))),ISNUMBER(SEARCH("transaction",LOWER(F1709&amp;" "&amp;H1709&amp;" "&amp;I1709&amp;" "&amp;M1709&amp;" "&amp;N1709&amp;" "&amp;T1709)))),"PRIVATE_REVIEW","PUBLIC_CANDIDATE"))</x:f>
        <x:v>PUBLIC_CANDIDATE</x:v>
      </x:c>
      <x:c r="AD1709" s="12" t="str">
        <x:f>IF(AC1709="PRIVATE_QUARANTINE","hacker_or_bank_trigger",IF(AC1709="PRIVATE_REVIEW","finance_risk_trigger","none"))</x:f>
        <x:v>none</x:v>
      </x:c>
      <x:c r="AE1709" s="12" t="str">
        <x:f>IF(AC1709="PUBLIC_CANDIDATE","prepare_public_github_candidate",IF(AC1709="PRIVATE_REVIEW","hold_for_private_review","quarantine_private_do_not_publish"))</x:f>
        <x:v>prepare_public_github_candidate</x:v>
      </x:c>
      <x:c r="AF1709" s="12" t="str">
        <x:f>IF(AC1709="PUBLIC_CANDIDATE","TIDELOCK + Lucerna",IF(AC1709="PRIVATE_REVIEW","AtlasBrain + Lucerna","TIDELOCK + Lucerna + Human-root"))</x:f>
        <x:v>TIDELOCK + Lucerna</x:v>
      </x:c>
      <x:c r="AG1709" s="12" t="str">
        <x:f>IF(AND(AC1709="PUBLIC_CANDIDATE",U1709&lt;&gt;"BLOCKED_PENDING_RECEIPT"),"READY_AFTER_RECEIPT","NOT_READY")</x:f>
        <x:v>NOT_READY</x:v>
      </x:c>
      <x:c r="AH1709" s="12" t="str">
        <x:f>IF(AC1709="PUBLIC_CANDIDATE","none",AD1709)</x:f>
        <x:v>none</x:v>
      </x:c>
      <x:c r="AI1709" s="12" t="str">
        <x:f>IF(AC1709="PUBLIC_CANDIDATE","archive/public_candidates/"&amp;A1709,"private_quarantine/"&amp;A1709)</x:f>
        <x:v>archive/public_candidates/SWARM-12-H11-S04</x:v>
      </x:c>
      <x:c r="AJ1709" s="12" t="str">
        <x:f>IF(AC1709="PUBLIC_CANDIDATE","public by default; still not canon","private/hold; do not publish")</x:f>
        <x:v>public by default; still not canon</x:v>
      </x:c>
      <x:c r="AK1709" s="12" t="str">
        <x:f>IF(AE1709="prepare_public_github_candidate","add receipt/status then mirror","resolve blocker before any public GitHub action")</x:f>
        <x:v>add receipt/status then mirror</x:v>
      </x:c>
    </x:row>
    <x:row r="1710">
      <x:c r="A1710" s="15" t="str">
        <x:v>SWARM-12-H11-S05</x:v>
      </x:c>
      <x:c r="B1710" s="15" t="str">
        <x:v>JoySignal</x:v>
      </x:c>
      <x:c r="C1710" s="15" t="str">
        <x:v>Rest and morale keeper</x:v>
      </x:c>
      <x:c r="D1710" s="15" t="str">
        <x:v>Aetherforge UX</x:v>
      </x:c>
      <x:c r="E1710" s="15" t="str">
        <x:v>Chat</x:v>
      </x:c>
      <x:c r="F1710" s="15" t="str">
        <x:v>Design quest card for Chat — JoySignal</x:v>
      </x:c>
      <x:c r="G1710" s="15" t="str">
        <x:v>cadence / anti-burnout / safe completion language</x:v>
      </x:c>
      <x:c r="H1710" s="15" t="str">
        <x:v>source path + receipt + raw/export status + claim/edge/risk delta</x:v>
      </x:c>
      <x:c r="I1710" s="15" t="str">
        <x:v>packet/SWARM-12-H11-S05</x:v>
      </x:c>
      <x:c r="J1710" s="15" t="str">
        <x:v>TODO</x:v>
      </x:c>
      <x:c r="K1710" s="15" t="str">
        <x:v>P1</x:v>
      </x:c>
      <x:c r="L1710" s="15" t="str">
        <x:v>Done only when evidence is logged, contradiction search is noted, and boundary stamp remains non-canon unless ratified</x:v>
      </x:c>
      <x:c r="M1710" s="15" t="str">
        <x:v>candidate / staging-only / not canon / not deployed / authority none</x:v>
      </x:c>
      <x:c r="N1710" s="15" t="str">
        <x:v>Dispatch to JoySignal: complete Aetherforge UX x Chat; return deltas only, receipts required.</x:v>
      </x:c>
      <x:c r="O1710" s="15" t="str">
        <x:v>AF-KG-H11-S05</x:v>
      </x:c>
      <x:c r="P1710" s="15" t="str">
        <x:v>Unverified</x:v>
      </x:c>
      <x:c r="Q1710" s="15" t="str">
        <x:v>Not checked</x:v>
      </x:c>
      <x:c r="R1710" s="15" t="str"/>
      <x:c r="S1710" s="15" t="str"/>
      <x:c r="T1710" s="15" t="str">
        <x:v>Log first source path or blocker</x:v>
      </x:c>
      <x:c r="U1710" s="12" t="str">
        <x:f>IF(OR(P1710="Unverified",Q1710="Not checked"),"BLOCKED_PENDING_RECEIPT","READY_FOR_REVIEW")</x:f>
        <x:v>BLOCKED_PENDING_RECEIPT</x:v>
      </x:c>
      <x:c r="V1710" s="12" t="str">
        <x:f>IF(J1710="DONE","RETURNED",IF(U1710="BLOCKED_PENDING_RECEIPT","SOURCE_TOUCH_REQUIRED","IN_PROGRESS"))</x:f>
        <x:v>SOURCE_TOUCH_REQUIRED</x:v>
      </x:c>
      <x:c r="W1710" s="12" t="str">
        <x:f>IF(P1710="Unverified","missing_receipt","receipt_logged")</x:f>
        <x:v>missing_receipt</x:v>
      </x:c>
      <x:c r="X1710" s="12" t="str">
        <x:f>IF(Q1710="Not checked","raw_status_missing","raw_status_logged")</x:f>
        <x:v>raw_status_missing</x:v>
      </x:c>
      <x:c r="Y1710" s="12" t="str">
        <x:f>IF(U1710="BLOCKED_PENDING_RECEIPT","Log source path or blocker; do not promote","Route to review lane")</x:f>
        <x:v>Log source path or blocker; do not promote</x:v>
      </x:c>
      <x:c r="Z1710" s="12" t="str">
        <x:f>IF(K1710="P0","Primary seat + Hashlight/Lucerna","Seat lane")</x:f>
        <x:v>Seat lane</x:v>
      </x:c>
      <x:c r="AA1710" s="12" t="str">
        <x:f>IF(R1710="","no_claim_delta","claim_delta_present")</x:f>
        <x:v>no_claim_delta</x:v>
      </x:c>
      <x:c r="AB1710" s="12" t="str">
        <x:f>IF(S1710="","no_contradiction_delta","contradiction_delta_present")</x:f>
        <x:v>no_contradiction_delta</x:v>
      </x:c>
      <x:c r="AC1710" s="12" t="str">
        <x:f>IF(OR(ISNUMBER(SEARCH("hacker",LOWER(F1710&amp;" "&amp;H1710&amp;" "&amp;I1710&amp;" "&amp;M1710&amp;" "&amp;N1710&amp;" "&amp;T1710))),ISNUMBER(SEARCH("hacking",LOWER(F1710&amp;" "&amp;H1710&amp;" "&amp;I1710&amp;" "&amp;M1710&amp;" "&amp;N1710&amp;" "&amp;T1710))),ISNUMBER(SEARCH("bank",LOWER(F1710&amp;" "&amp;H1710&amp;" "&amp;I1710&amp;" "&amp;M1710&amp;" "&amp;N1710&amp;" "&amp;T1710))),ISNUMBER(SEARCH("banking",LOWER(F1710&amp;" "&amp;H1710&amp;" "&amp;I1710&amp;" "&amp;M1710&amp;" "&amp;N1710&amp;" "&amp;T1710)))),"PRIVATE_QUARANTINE",IF(OR(ISNUMBER(SEARCH("treasury",LOWER(F1710&amp;" "&amp;H1710&amp;" "&amp;I1710&amp;" "&amp;M1710&amp;" "&amp;N1710&amp;" "&amp;T1710))),ISNUMBER(SEARCH("debt",LOWER(F1710&amp;" "&amp;H1710&amp;" "&amp;I1710&amp;" "&amp;M1710&amp;" "&amp;N1710&amp;" "&amp;T1710))),ISNUMBER(SEARCH("bond",LOWER(F1710&amp;" "&amp;H1710&amp;" "&amp;I1710&amp;" "&amp;M1710&amp;" "&amp;N1710&amp;" "&amp;T1710))),ISNUMBER(SEARCH("transaction",LOWER(F1710&amp;" "&amp;H1710&amp;" "&amp;I1710&amp;" "&amp;M1710&amp;" "&amp;N1710&amp;" "&amp;T1710)))),"PRIVATE_REVIEW","PUBLIC_CANDIDATE"))</x:f>
        <x:v>PUBLIC_CANDIDATE</x:v>
      </x:c>
      <x:c r="AD1710" s="12" t="str">
        <x:f>IF(AC1710="PRIVATE_QUARANTINE","hacker_or_bank_trigger",IF(AC1710="PRIVATE_REVIEW","finance_risk_trigger","none"))</x:f>
        <x:v>none</x:v>
      </x:c>
      <x:c r="AE1710" s="12" t="str">
        <x:f>IF(AC1710="PUBLIC_CANDIDATE","prepare_public_github_candidate",IF(AC1710="PRIVATE_REVIEW","hold_for_private_review","quarantine_private_do_not_publish"))</x:f>
        <x:v>prepare_public_github_candidate</x:v>
      </x:c>
      <x:c r="AF1710" s="12" t="str">
        <x:f>IF(AC1710="PUBLIC_CANDIDATE","TIDELOCK + Lucerna",IF(AC1710="PRIVATE_REVIEW","AtlasBrain + Lucerna","TIDELOCK + Lucerna + Human-root"))</x:f>
        <x:v>TIDELOCK + Lucerna</x:v>
      </x:c>
      <x:c r="AG1710" s="12" t="str">
        <x:f>IF(AND(AC1710="PUBLIC_CANDIDATE",U1710&lt;&gt;"BLOCKED_PENDING_RECEIPT"),"READY_AFTER_RECEIPT","NOT_READY")</x:f>
        <x:v>NOT_READY</x:v>
      </x:c>
      <x:c r="AH1710" s="12" t="str">
        <x:f>IF(AC1710="PUBLIC_CANDIDATE","none",AD1710)</x:f>
        <x:v>none</x:v>
      </x:c>
      <x:c r="AI1710" s="12" t="str">
        <x:f>IF(AC1710="PUBLIC_CANDIDATE","archive/public_candidates/"&amp;A1710,"private_quarantine/"&amp;A1710)</x:f>
        <x:v>archive/public_candidates/SWARM-12-H11-S05</x:v>
      </x:c>
      <x:c r="AJ1710" s="12" t="str">
        <x:f>IF(AC1710="PUBLIC_CANDIDATE","public by default; still not canon","private/hold; do not publish")</x:f>
        <x:v>public by default; still not canon</x:v>
      </x:c>
      <x:c r="AK1710" s="12" t="str">
        <x:f>IF(AE1710="prepare_public_github_candidate","add receipt/status then mirror","resolve blocker before any public GitHub action")</x:f>
        <x:v>add receipt/status then mirror</x:v>
      </x:c>
    </x:row>
    <x:row r="1711">
      <x:c r="A1711" s="15" t="str">
        <x:v>SWARM-12-H11-S06</x:v>
      </x:c>
      <x:c r="B1711" s="15" t="str">
        <x:v>JoySignal</x:v>
      </x:c>
      <x:c r="C1711" s="15" t="str">
        <x:v>Rest and morale keeper</x:v>
      </x:c>
      <x:c r="D1711" s="15" t="str">
        <x:v>Aetherforge UX</x:v>
      </x:c>
      <x:c r="E1711" s="15" t="str">
        <x:v>External Web</x:v>
      </x:c>
      <x:c r="F1711" s="15" t="str">
        <x:v>Design quest card for External Web — JoySignal</x:v>
      </x:c>
      <x:c r="G1711" s="15" t="str">
        <x:v>cadence / anti-burnout / safe completion language</x:v>
      </x:c>
      <x:c r="H1711" s="15" t="str">
        <x:v>source path + receipt + raw/export status + claim/edge/risk delta</x:v>
      </x:c>
      <x:c r="I1711" s="15" t="str">
        <x:v>packet/SWARM-12-H11-S06</x:v>
      </x:c>
      <x:c r="J1711" s="15" t="str">
        <x:v>TODO</x:v>
      </x:c>
      <x:c r="K1711" s="15" t="str">
        <x:v>P1</x:v>
      </x:c>
      <x:c r="L1711" s="15" t="str">
        <x:v>Done only when evidence is logged, contradiction search is noted, and boundary stamp remains non-canon unless ratified</x:v>
      </x:c>
      <x:c r="M1711" s="15" t="str">
        <x:v>candidate / staging-only / not canon / not deployed / authority none</x:v>
      </x:c>
      <x:c r="N1711" s="15" t="str">
        <x:v>Dispatch to JoySignal: complete Aetherforge UX x External Web; return deltas only, receipts required.</x:v>
      </x:c>
      <x:c r="O1711" s="15" t="str">
        <x:v>AF-KG-H11-S06</x:v>
      </x:c>
      <x:c r="P1711" s="15" t="str">
        <x:v>Unverified</x:v>
      </x:c>
      <x:c r="Q1711" s="15" t="str">
        <x:v>Not checked</x:v>
      </x:c>
      <x:c r="R1711" s="15" t="str"/>
      <x:c r="S1711" s="15" t="str"/>
      <x:c r="T1711" s="15" t="str">
        <x:v>Log first source path or blocker</x:v>
      </x:c>
      <x:c r="U1711" s="12" t="str">
        <x:f>IF(OR(P1711="Unverified",Q1711="Not checked"),"BLOCKED_PENDING_RECEIPT","READY_FOR_REVIEW")</x:f>
        <x:v>BLOCKED_PENDING_RECEIPT</x:v>
      </x:c>
      <x:c r="V1711" s="12" t="str">
        <x:f>IF(J1711="DONE","RETURNED",IF(U1711="BLOCKED_PENDING_RECEIPT","SOURCE_TOUCH_REQUIRED","IN_PROGRESS"))</x:f>
        <x:v>SOURCE_TOUCH_REQUIRED</x:v>
      </x:c>
      <x:c r="W1711" s="12" t="str">
        <x:f>IF(P1711="Unverified","missing_receipt","receipt_logged")</x:f>
        <x:v>missing_receipt</x:v>
      </x:c>
      <x:c r="X1711" s="12" t="str">
        <x:f>IF(Q1711="Not checked","raw_status_missing","raw_status_logged")</x:f>
        <x:v>raw_status_missing</x:v>
      </x:c>
      <x:c r="Y1711" s="12" t="str">
        <x:f>IF(U1711="BLOCKED_PENDING_RECEIPT","Log source path or blocker; do not promote","Route to review lane")</x:f>
        <x:v>Log source path or blocker; do not promote</x:v>
      </x:c>
      <x:c r="Z1711" s="12" t="str">
        <x:f>IF(K1711="P0","Primary seat + Hashlight/Lucerna","Seat lane")</x:f>
        <x:v>Seat lane</x:v>
      </x:c>
      <x:c r="AA1711" s="12" t="str">
        <x:f>IF(R1711="","no_claim_delta","claim_delta_present")</x:f>
        <x:v>no_claim_delta</x:v>
      </x:c>
      <x:c r="AB1711" s="12" t="str">
        <x:f>IF(S1711="","no_contradiction_delta","contradiction_delta_present")</x:f>
        <x:v>no_contradiction_delta</x:v>
      </x:c>
      <x:c r="AC1711" s="12" t="str">
        <x:f>IF(OR(ISNUMBER(SEARCH("hacker",LOWER(F1711&amp;" "&amp;H1711&amp;" "&amp;I1711&amp;" "&amp;M1711&amp;" "&amp;N1711&amp;" "&amp;T1711))),ISNUMBER(SEARCH("hacking",LOWER(F1711&amp;" "&amp;H1711&amp;" "&amp;I1711&amp;" "&amp;M1711&amp;" "&amp;N1711&amp;" "&amp;T1711))),ISNUMBER(SEARCH("bank",LOWER(F1711&amp;" "&amp;H1711&amp;" "&amp;I1711&amp;" "&amp;M1711&amp;" "&amp;N1711&amp;" "&amp;T1711))),ISNUMBER(SEARCH("banking",LOWER(F1711&amp;" "&amp;H1711&amp;" "&amp;I1711&amp;" "&amp;M1711&amp;" "&amp;N1711&amp;" "&amp;T1711)))),"PRIVATE_QUARANTINE",IF(OR(ISNUMBER(SEARCH("treasury",LOWER(F1711&amp;" "&amp;H1711&amp;" "&amp;I1711&amp;" "&amp;M1711&amp;" "&amp;N1711&amp;" "&amp;T1711))),ISNUMBER(SEARCH("debt",LOWER(F1711&amp;" "&amp;H1711&amp;" "&amp;I1711&amp;" "&amp;M1711&amp;" "&amp;N1711&amp;" "&amp;T1711))),ISNUMBER(SEARCH("bond",LOWER(F1711&amp;" "&amp;H1711&amp;" "&amp;I1711&amp;" "&amp;M1711&amp;" "&amp;N1711&amp;" "&amp;T1711))),ISNUMBER(SEARCH("transaction",LOWER(F1711&amp;" "&amp;H1711&amp;" "&amp;I1711&amp;" "&amp;M1711&amp;" "&amp;N1711&amp;" "&amp;T1711)))),"PRIVATE_REVIEW","PUBLIC_CANDIDATE"))</x:f>
        <x:v>PUBLIC_CANDIDATE</x:v>
      </x:c>
      <x:c r="AD1711" s="12" t="str">
        <x:f>IF(AC1711="PRIVATE_QUARANTINE","hacker_or_bank_trigger",IF(AC1711="PRIVATE_REVIEW","finance_risk_trigger","none"))</x:f>
        <x:v>none</x:v>
      </x:c>
      <x:c r="AE1711" s="12" t="str">
        <x:f>IF(AC1711="PUBLIC_CANDIDATE","prepare_public_github_candidate",IF(AC1711="PRIVATE_REVIEW","hold_for_private_review","quarantine_private_do_not_publish"))</x:f>
        <x:v>prepare_public_github_candidate</x:v>
      </x:c>
      <x:c r="AF1711" s="12" t="str">
        <x:f>IF(AC1711="PUBLIC_CANDIDATE","TIDELOCK + Lucerna",IF(AC1711="PRIVATE_REVIEW","AtlasBrain + Lucerna","TIDELOCK + Lucerna + Human-root"))</x:f>
        <x:v>TIDELOCK + Lucerna</x:v>
      </x:c>
      <x:c r="AG1711" s="12" t="str">
        <x:f>IF(AND(AC1711="PUBLIC_CANDIDATE",U1711&lt;&gt;"BLOCKED_PENDING_RECEIPT"),"READY_AFTER_RECEIPT","NOT_READY")</x:f>
        <x:v>NOT_READY</x:v>
      </x:c>
      <x:c r="AH1711" s="12" t="str">
        <x:f>IF(AC1711="PUBLIC_CANDIDATE","none",AD1711)</x:f>
        <x:v>none</x:v>
      </x:c>
      <x:c r="AI1711" s="12" t="str">
        <x:f>IF(AC1711="PUBLIC_CANDIDATE","archive/public_candidates/"&amp;A1711,"private_quarantine/"&amp;A1711)</x:f>
        <x:v>archive/public_candidates/SWARM-12-H11-S06</x:v>
      </x:c>
      <x:c r="AJ1711" s="12" t="str">
        <x:f>IF(AC1711="PUBLIC_CANDIDATE","public by default; still not canon","private/hold; do not publish")</x:f>
        <x:v>public by default; still not canon</x:v>
      </x:c>
      <x:c r="AK1711" s="12" t="str">
        <x:f>IF(AE1711="prepare_public_github_candidate","add receipt/status then mirror","resolve blocker before any public GitHub action")</x:f>
        <x:v>add receipt/status then mirror</x:v>
      </x:c>
    </x:row>
    <x:row r="1712">
      <x:c r="A1712" s="15" t="str">
        <x:v>SWARM-12-H11-S07</x:v>
      </x:c>
      <x:c r="B1712" s="15" t="str">
        <x:v>JoySignal</x:v>
      </x:c>
      <x:c r="C1712" s="15" t="str">
        <x:v>Rest and morale keeper</x:v>
      </x:c>
      <x:c r="D1712" s="15" t="str">
        <x:v>Aetherforge UX</x:v>
      </x:c>
      <x:c r="E1712" s="15" t="str">
        <x:v>Planetarium</x:v>
      </x:c>
      <x:c r="F1712" s="15" t="str">
        <x:v>Design quest card for Planetarium — JoySignal</x:v>
      </x:c>
      <x:c r="G1712" s="15" t="str">
        <x:v>cadence / anti-burnout / safe completion language</x:v>
      </x:c>
      <x:c r="H1712" s="15" t="str">
        <x:v>source path + receipt + raw/export status + claim/edge/risk delta</x:v>
      </x:c>
      <x:c r="I1712" s="15" t="str">
        <x:v>packet/SWARM-12-H11-S07</x:v>
      </x:c>
      <x:c r="J1712" s="15" t="str">
        <x:v>TODO</x:v>
      </x:c>
      <x:c r="K1712" s="15" t="str">
        <x:v>P1</x:v>
      </x:c>
      <x:c r="L1712" s="15" t="str">
        <x:v>Done only when evidence is logged, contradiction search is noted, and boundary stamp remains non-canon unless ratified</x:v>
      </x:c>
      <x:c r="M1712" s="15" t="str">
        <x:v>candidate / staging-only / not canon / not deployed / authority none</x:v>
      </x:c>
      <x:c r="N1712" s="15" t="str">
        <x:v>Dispatch to JoySignal: complete Aetherforge UX x Planetarium; return deltas only, receipts required.</x:v>
      </x:c>
      <x:c r="O1712" s="15" t="str">
        <x:v>AF-KG-H11-S07</x:v>
      </x:c>
      <x:c r="P1712" s="15" t="str">
        <x:v>Unverified</x:v>
      </x:c>
      <x:c r="Q1712" s="15" t="str">
        <x:v>Not checked</x:v>
      </x:c>
      <x:c r="R1712" s="15" t="str"/>
      <x:c r="S1712" s="15" t="str"/>
      <x:c r="T1712" s="15" t="str">
        <x:v>Log first source path or blocker</x:v>
      </x:c>
      <x:c r="U1712" s="12" t="str">
        <x:f>IF(OR(P1712="Unverified",Q1712="Not checked"),"BLOCKED_PENDING_RECEIPT","READY_FOR_REVIEW")</x:f>
        <x:v>BLOCKED_PENDING_RECEIPT</x:v>
      </x:c>
      <x:c r="V1712" s="12" t="str">
        <x:f>IF(J1712="DONE","RETURNED",IF(U1712="BLOCKED_PENDING_RECEIPT","SOURCE_TOUCH_REQUIRED","IN_PROGRESS"))</x:f>
        <x:v>SOURCE_TOUCH_REQUIRED</x:v>
      </x:c>
      <x:c r="W1712" s="12" t="str">
        <x:f>IF(P1712="Unverified","missing_receipt","receipt_logged")</x:f>
        <x:v>missing_receipt</x:v>
      </x:c>
      <x:c r="X1712" s="12" t="str">
        <x:f>IF(Q1712="Not checked","raw_status_missing","raw_status_logged")</x:f>
        <x:v>raw_status_missing</x:v>
      </x:c>
      <x:c r="Y1712" s="12" t="str">
        <x:f>IF(U1712="BLOCKED_PENDING_RECEIPT","Log source path or blocker; do not promote","Route to review lane")</x:f>
        <x:v>Log source path or blocker; do not promote</x:v>
      </x:c>
      <x:c r="Z1712" s="12" t="str">
        <x:f>IF(K1712="P0","Primary seat + Hashlight/Lucerna","Seat lane")</x:f>
        <x:v>Seat lane</x:v>
      </x:c>
      <x:c r="AA1712" s="12" t="str">
        <x:f>IF(R1712="","no_claim_delta","claim_delta_present")</x:f>
        <x:v>no_claim_delta</x:v>
      </x:c>
      <x:c r="AB1712" s="12" t="str">
        <x:f>IF(S1712="","no_contradiction_delta","contradiction_delta_present")</x:f>
        <x:v>no_contradiction_delta</x:v>
      </x:c>
      <x:c r="AC1712" s="12" t="str">
        <x:f>IF(OR(ISNUMBER(SEARCH("hacker",LOWER(F1712&amp;" "&amp;H1712&amp;" "&amp;I1712&amp;" "&amp;M1712&amp;" "&amp;N1712&amp;" "&amp;T1712))),ISNUMBER(SEARCH("hacking",LOWER(F1712&amp;" "&amp;H1712&amp;" "&amp;I1712&amp;" "&amp;M1712&amp;" "&amp;N1712&amp;" "&amp;T1712))),ISNUMBER(SEARCH("bank",LOWER(F1712&amp;" "&amp;H1712&amp;" "&amp;I1712&amp;" "&amp;M1712&amp;" "&amp;N1712&amp;" "&amp;T1712))),ISNUMBER(SEARCH("banking",LOWER(F1712&amp;" "&amp;H1712&amp;" "&amp;I1712&amp;" "&amp;M1712&amp;" "&amp;N1712&amp;" "&amp;T1712)))),"PRIVATE_QUARANTINE",IF(OR(ISNUMBER(SEARCH("treasury",LOWER(F1712&amp;" "&amp;H1712&amp;" "&amp;I1712&amp;" "&amp;M1712&amp;" "&amp;N1712&amp;" "&amp;T1712))),ISNUMBER(SEARCH("debt",LOWER(F1712&amp;" "&amp;H1712&amp;" "&amp;I1712&amp;" "&amp;M1712&amp;" "&amp;N1712&amp;" "&amp;T1712))),ISNUMBER(SEARCH("bond",LOWER(F1712&amp;" "&amp;H1712&amp;" "&amp;I1712&amp;" "&amp;M1712&amp;" "&amp;N1712&amp;" "&amp;T1712))),ISNUMBER(SEARCH("transaction",LOWER(F1712&amp;" "&amp;H1712&amp;" "&amp;I1712&amp;" "&amp;M1712&amp;" "&amp;N1712&amp;" "&amp;T1712)))),"PRIVATE_REVIEW","PUBLIC_CANDIDATE"))</x:f>
        <x:v>PUBLIC_CANDIDATE</x:v>
      </x:c>
      <x:c r="AD1712" s="12" t="str">
        <x:f>IF(AC1712="PRIVATE_QUARANTINE","hacker_or_bank_trigger",IF(AC1712="PRIVATE_REVIEW","finance_risk_trigger","none"))</x:f>
        <x:v>none</x:v>
      </x:c>
      <x:c r="AE1712" s="12" t="str">
        <x:f>IF(AC1712="PUBLIC_CANDIDATE","prepare_public_github_candidate",IF(AC1712="PRIVATE_REVIEW","hold_for_private_review","quarantine_private_do_not_publish"))</x:f>
        <x:v>prepare_public_github_candidate</x:v>
      </x:c>
      <x:c r="AF1712" s="12" t="str">
        <x:f>IF(AC1712="PUBLIC_CANDIDATE","TIDELOCK + Lucerna",IF(AC1712="PRIVATE_REVIEW","AtlasBrain + Lucerna","TIDELOCK + Lucerna + Human-root"))</x:f>
        <x:v>TIDELOCK + Lucerna</x:v>
      </x:c>
      <x:c r="AG1712" s="12" t="str">
        <x:f>IF(AND(AC1712="PUBLIC_CANDIDATE",U1712&lt;&gt;"BLOCKED_PENDING_RECEIPT"),"READY_AFTER_RECEIPT","NOT_READY")</x:f>
        <x:v>NOT_READY</x:v>
      </x:c>
      <x:c r="AH1712" s="12" t="str">
        <x:f>IF(AC1712="PUBLIC_CANDIDATE","none",AD1712)</x:f>
        <x:v>none</x:v>
      </x:c>
      <x:c r="AI1712" s="12" t="str">
        <x:f>IF(AC1712="PUBLIC_CANDIDATE","archive/public_candidates/"&amp;A1712,"private_quarantine/"&amp;A1712)</x:f>
        <x:v>archive/public_candidates/SWARM-12-H11-S07</x:v>
      </x:c>
      <x:c r="AJ1712" s="12" t="str">
        <x:f>IF(AC1712="PUBLIC_CANDIDATE","public by default; still not canon","private/hold; do not publish")</x:f>
        <x:v>public by default; still not canon</x:v>
      </x:c>
      <x:c r="AK1712" s="12" t="str">
        <x:f>IF(AE1712="prepare_public_github_candidate","add receipt/status then mirror","resolve blocker before any public GitHub action")</x:f>
        <x:v>add receipt/status then mirror</x:v>
      </x:c>
    </x:row>
    <x:row r="1713">
      <x:c r="A1713" s="15" t="str">
        <x:v>SWARM-12-H11-S08</x:v>
      </x:c>
      <x:c r="B1713" s="15" t="str">
        <x:v>JoySignal</x:v>
      </x:c>
      <x:c r="C1713" s="15" t="str">
        <x:v>Rest and morale keeper</x:v>
      </x:c>
      <x:c r="D1713" s="15" t="str">
        <x:v>Aetherforge UX</x:v>
      </x:c>
      <x:c r="E1713" s="15" t="str">
        <x:v>Sheldonbrain</x:v>
      </x:c>
      <x:c r="F1713" s="15" t="str">
        <x:v>Design quest card for Sheldonbrain — JoySignal</x:v>
      </x:c>
      <x:c r="G1713" s="15" t="str">
        <x:v>cadence / anti-burnout / safe completion language</x:v>
      </x:c>
      <x:c r="H1713" s="15" t="str">
        <x:v>source path + receipt + raw/export status + claim/edge/risk delta</x:v>
      </x:c>
      <x:c r="I1713" s="15" t="str">
        <x:v>packet/SWARM-12-H11-S08</x:v>
      </x:c>
      <x:c r="J1713" s="15" t="str">
        <x:v>TODO</x:v>
      </x:c>
      <x:c r="K1713" s="15" t="str">
        <x:v>P1</x:v>
      </x:c>
      <x:c r="L1713" s="15" t="str">
        <x:v>Done only when evidence is logged, contradiction search is noted, and boundary stamp remains non-canon unless ratified</x:v>
      </x:c>
      <x:c r="M1713" s="15" t="str">
        <x:v>candidate / staging-only / not canon / not deployed / authority none</x:v>
      </x:c>
      <x:c r="N1713" s="15" t="str">
        <x:v>Dispatch to JoySignal: complete Aetherforge UX x Sheldonbrain; return deltas only, receipts required.</x:v>
      </x:c>
      <x:c r="O1713" s="15" t="str">
        <x:v>AF-KG-H11-S08</x:v>
      </x:c>
      <x:c r="P1713" s="15" t="str">
        <x:v>Unverified</x:v>
      </x:c>
      <x:c r="Q1713" s="15" t="str">
        <x:v>Not checked</x:v>
      </x:c>
      <x:c r="R1713" s="15" t="str"/>
      <x:c r="S1713" s="15" t="str"/>
      <x:c r="T1713" s="15" t="str">
        <x:v>Log first source path or blocker</x:v>
      </x:c>
      <x:c r="U1713" s="12" t="str">
        <x:f>IF(OR(P1713="Unverified",Q1713="Not checked"),"BLOCKED_PENDING_RECEIPT","READY_FOR_REVIEW")</x:f>
        <x:v>BLOCKED_PENDING_RECEIPT</x:v>
      </x:c>
      <x:c r="V1713" s="12" t="str">
        <x:f>IF(J1713="DONE","RETURNED",IF(U1713="BLOCKED_PENDING_RECEIPT","SOURCE_TOUCH_REQUIRED","IN_PROGRESS"))</x:f>
        <x:v>SOURCE_TOUCH_REQUIRED</x:v>
      </x:c>
      <x:c r="W1713" s="12" t="str">
        <x:f>IF(P1713="Unverified","missing_receipt","receipt_logged")</x:f>
        <x:v>missing_receipt</x:v>
      </x:c>
      <x:c r="X1713" s="12" t="str">
        <x:f>IF(Q1713="Not checked","raw_status_missing","raw_status_logged")</x:f>
        <x:v>raw_status_missing</x:v>
      </x:c>
      <x:c r="Y1713" s="12" t="str">
        <x:f>IF(U1713="BLOCKED_PENDING_RECEIPT","Log source path or blocker; do not promote","Route to review lane")</x:f>
        <x:v>Log source path or blocker; do not promote</x:v>
      </x:c>
      <x:c r="Z1713" s="12" t="str">
        <x:f>IF(K1713="P0","Primary seat + Hashlight/Lucerna","Seat lane")</x:f>
        <x:v>Seat lane</x:v>
      </x:c>
      <x:c r="AA1713" s="12" t="str">
        <x:f>IF(R1713="","no_claim_delta","claim_delta_present")</x:f>
        <x:v>no_claim_delta</x:v>
      </x:c>
      <x:c r="AB1713" s="12" t="str">
        <x:f>IF(S1713="","no_contradiction_delta","contradiction_delta_present")</x:f>
        <x:v>no_contradiction_delta</x:v>
      </x:c>
      <x:c r="AC1713" s="12" t="str">
        <x:f>IF(OR(ISNUMBER(SEARCH("hacker",LOWER(F1713&amp;" "&amp;H1713&amp;" "&amp;I1713&amp;" "&amp;M1713&amp;" "&amp;N1713&amp;" "&amp;T1713))),ISNUMBER(SEARCH("hacking",LOWER(F1713&amp;" "&amp;H1713&amp;" "&amp;I1713&amp;" "&amp;M1713&amp;" "&amp;N1713&amp;" "&amp;T1713))),ISNUMBER(SEARCH("bank",LOWER(F1713&amp;" "&amp;H1713&amp;" "&amp;I1713&amp;" "&amp;M1713&amp;" "&amp;N1713&amp;" "&amp;T1713))),ISNUMBER(SEARCH("banking",LOWER(F1713&amp;" "&amp;H1713&amp;" "&amp;I1713&amp;" "&amp;M1713&amp;" "&amp;N1713&amp;" "&amp;T1713)))),"PRIVATE_QUARANTINE",IF(OR(ISNUMBER(SEARCH("treasury",LOWER(F1713&amp;" "&amp;H1713&amp;" "&amp;I1713&amp;" "&amp;M1713&amp;" "&amp;N1713&amp;" "&amp;T1713))),ISNUMBER(SEARCH("debt",LOWER(F1713&amp;" "&amp;H1713&amp;" "&amp;I1713&amp;" "&amp;M1713&amp;" "&amp;N1713&amp;" "&amp;T1713))),ISNUMBER(SEARCH("bond",LOWER(F1713&amp;" "&amp;H1713&amp;" "&amp;I1713&amp;" "&amp;M1713&amp;" "&amp;N1713&amp;" "&amp;T1713))),ISNUMBER(SEARCH("transaction",LOWER(F1713&amp;" "&amp;H1713&amp;" "&amp;I1713&amp;" "&amp;M1713&amp;" "&amp;N1713&amp;" "&amp;T1713)))),"PRIVATE_REVIEW","PUBLIC_CANDIDATE"))</x:f>
        <x:v>PUBLIC_CANDIDATE</x:v>
      </x:c>
      <x:c r="AD1713" s="12" t="str">
        <x:f>IF(AC1713="PRIVATE_QUARANTINE","hacker_or_bank_trigger",IF(AC1713="PRIVATE_REVIEW","finance_risk_trigger","none"))</x:f>
        <x:v>none</x:v>
      </x:c>
      <x:c r="AE1713" s="12" t="str">
        <x:f>IF(AC1713="PUBLIC_CANDIDATE","prepare_public_github_candidate",IF(AC1713="PRIVATE_REVIEW","hold_for_private_review","quarantine_private_do_not_publish"))</x:f>
        <x:v>prepare_public_github_candidate</x:v>
      </x:c>
      <x:c r="AF1713" s="12" t="str">
        <x:f>IF(AC1713="PUBLIC_CANDIDATE","TIDELOCK + Lucerna",IF(AC1713="PRIVATE_REVIEW","AtlasBrain + Lucerna","TIDELOCK + Lucerna + Human-root"))</x:f>
        <x:v>TIDELOCK + Lucerna</x:v>
      </x:c>
      <x:c r="AG1713" s="12" t="str">
        <x:f>IF(AND(AC1713="PUBLIC_CANDIDATE",U1713&lt;&gt;"BLOCKED_PENDING_RECEIPT"),"READY_AFTER_RECEIPT","NOT_READY")</x:f>
        <x:v>NOT_READY</x:v>
      </x:c>
      <x:c r="AH1713" s="12" t="str">
        <x:f>IF(AC1713="PUBLIC_CANDIDATE","none",AD1713)</x:f>
        <x:v>none</x:v>
      </x:c>
      <x:c r="AI1713" s="12" t="str">
        <x:f>IF(AC1713="PUBLIC_CANDIDATE","archive/public_candidates/"&amp;A1713,"private_quarantine/"&amp;A1713)</x:f>
        <x:v>archive/public_candidates/SWARM-12-H11-S08</x:v>
      </x:c>
      <x:c r="AJ1713" s="12" t="str">
        <x:f>IF(AC1713="PUBLIC_CANDIDATE","public by default; still not canon","private/hold; do not publish")</x:f>
        <x:v>public by default; still not canon</x:v>
      </x:c>
      <x:c r="AK1713" s="12" t="str">
        <x:f>IF(AE1713="prepare_public_github_candidate","add receipt/status then mirror","resolve blocker before any public GitHub action")</x:f>
        <x:v>add receipt/status then mirror</x:v>
      </x:c>
    </x:row>
    <x:row r="1714">
      <x:c r="A1714" s="15" t="str">
        <x:v>SWARM-12-H11-S09</x:v>
      </x:c>
      <x:c r="B1714" s="15" t="str">
        <x:v>JoySignal</x:v>
      </x:c>
      <x:c r="C1714" s="15" t="str">
        <x:v>Rest and morale keeper</x:v>
      </x:c>
      <x:c r="D1714" s="15" t="str">
        <x:v>Aetherforge UX</x:v>
      </x:c>
      <x:c r="E1714" s="15" t="str">
        <x:v>Aetherforge</x:v>
      </x:c>
      <x:c r="F1714" s="15" t="str">
        <x:v>Design quest card for Aetherforge — JoySignal</x:v>
      </x:c>
      <x:c r="G1714" s="15" t="str">
        <x:v>cadence / anti-burnout / safe completion language</x:v>
      </x:c>
      <x:c r="H1714" s="15" t="str">
        <x:v>source path + receipt + raw/export status + claim/edge/risk delta</x:v>
      </x:c>
      <x:c r="I1714" s="15" t="str">
        <x:v>packet/SWARM-12-H11-S09</x:v>
      </x:c>
      <x:c r="J1714" s="15" t="str">
        <x:v>TODO</x:v>
      </x:c>
      <x:c r="K1714" s="15" t="str">
        <x:v>P2</x:v>
      </x:c>
      <x:c r="L1714" s="15" t="str">
        <x:v>Done only when evidence is logged, contradiction search is noted, and boundary stamp remains non-canon unless ratified</x:v>
      </x:c>
      <x:c r="M1714" s="15" t="str">
        <x:v>candidate / staging-only / not canon / not deployed / authority none</x:v>
      </x:c>
      <x:c r="N1714" s="15" t="str">
        <x:v>Dispatch to JoySignal: complete Aetherforge UX x Aetherforge; return deltas only, receipts required.</x:v>
      </x:c>
      <x:c r="O1714" s="15" t="str">
        <x:v>AF-KG-H11-S09</x:v>
      </x:c>
      <x:c r="P1714" s="15" t="str">
        <x:v>Unverified</x:v>
      </x:c>
      <x:c r="Q1714" s="15" t="str">
        <x:v>Not checked</x:v>
      </x:c>
      <x:c r="R1714" s="15" t="str"/>
      <x:c r="S1714" s="15" t="str"/>
      <x:c r="T1714" s="15" t="str">
        <x:v>Log first source path or blocker</x:v>
      </x:c>
      <x:c r="U1714" s="12" t="str">
        <x:f>IF(OR(P1714="Unverified",Q1714="Not checked"),"BLOCKED_PENDING_RECEIPT","READY_FOR_REVIEW")</x:f>
        <x:v>BLOCKED_PENDING_RECEIPT</x:v>
      </x:c>
      <x:c r="V1714" s="12" t="str">
        <x:f>IF(J1714="DONE","RETURNED",IF(U1714="BLOCKED_PENDING_RECEIPT","SOURCE_TOUCH_REQUIRED","IN_PROGRESS"))</x:f>
        <x:v>SOURCE_TOUCH_REQUIRED</x:v>
      </x:c>
      <x:c r="W1714" s="12" t="str">
        <x:f>IF(P1714="Unverified","missing_receipt","receipt_logged")</x:f>
        <x:v>missing_receipt</x:v>
      </x:c>
      <x:c r="X1714" s="12" t="str">
        <x:f>IF(Q1714="Not checked","raw_status_missing","raw_status_logged")</x:f>
        <x:v>raw_status_missing</x:v>
      </x:c>
      <x:c r="Y1714" s="12" t="str">
        <x:f>IF(U1714="BLOCKED_PENDING_RECEIPT","Log source path or blocker; do not promote","Route to review lane")</x:f>
        <x:v>Log source path or blocker; do not promote</x:v>
      </x:c>
      <x:c r="Z1714" s="12" t="str">
        <x:f>IF(K1714="P0","Primary seat + Hashlight/Lucerna","Seat lane")</x:f>
        <x:v>Seat lane</x:v>
      </x:c>
      <x:c r="AA1714" s="12" t="str">
        <x:f>IF(R1714="","no_claim_delta","claim_delta_present")</x:f>
        <x:v>no_claim_delta</x:v>
      </x:c>
      <x:c r="AB1714" s="12" t="str">
        <x:f>IF(S1714="","no_contradiction_delta","contradiction_delta_present")</x:f>
        <x:v>no_contradiction_delta</x:v>
      </x:c>
      <x:c r="AC1714" s="12" t="str">
        <x:f>IF(OR(ISNUMBER(SEARCH("hacker",LOWER(F1714&amp;" "&amp;H1714&amp;" "&amp;I1714&amp;" "&amp;M1714&amp;" "&amp;N1714&amp;" "&amp;T1714))),ISNUMBER(SEARCH("hacking",LOWER(F1714&amp;" "&amp;H1714&amp;" "&amp;I1714&amp;" "&amp;M1714&amp;" "&amp;N1714&amp;" "&amp;T1714))),ISNUMBER(SEARCH("bank",LOWER(F1714&amp;" "&amp;H1714&amp;" "&amp;I1714&amp;" "&amp;M1714&amp;" "&amp;N1714&amp;" "&amp;T1714))),ISNUMBER(SEARCH("banking",LOWER(F1714&amp;" "&amp;H1714&amp;" "&amp;I1714&amp;" "&amp;M1714&amp;" "&amp;N1714&amp;" "&amp;T1714)))),"PRIVATE_QUARANTINE",IF(OR(ISNUMBER(SEARCH("treasury",LOWER(F1714&amp;" "&amp;H1714&amp;" "&amp;I1714&amp;" "&amp;M1714&amp;" "&amp;N1714&amp;" "&amp;T1714))),ISNUMBER(SEARCH("debt",LOWER(F1714&amp;" "&amp;H1714&amp;" "&amp;I1714&amp;" "&amp;M1714&amp;" "&amp;N1714&amp;" "&amp;T1714))),ISNUMBER(SEARCH("bond",LOWER(F1714&amp;" "&amp;H1714&amp;" "&amp;I1714&amp;" "&amp;M1714&amp;" "&amp;N1714&amp;" "&amp;T1714))),ISNUMBER(SEARCH("transaction",LOWER(F1714&amp;" "&amp;H1714&amp;" "&amp;I1714&amp;" "&amp;M1714&amp;" "&amp;N1714&amp;" "&amp;T1714)))),"PRIVATE_REVIEW","PUBLIC_CANDIDATE"))</x:f>
        <x:v>PUBLIC_CANDIDATE</x:v>
      </x:c>
      <x:c r="AD1714" s="12" t="str">
        <x:f>IF(AC1714="PRIVATE_QUARANTINE","hacker_or_bank_trigger",IF(AC1714="PRIVATE_REVIEW","finance_risk_trigger","none"))</x:f>
        <x:v>none</x:v>
      </x:c>
      <x:c r="AE1714" s="12" t="str">
        <x:f>IF(AC1714="PUBLIC_CANDIDATE","prepare_public_github_candidate",IF(AC1714="PRIVATE_REVIEW","hold_for_private_review","quarantine_private_do_not_publish"))</x:f>
        <x:v>prepare_public_github_candidate</x:v>
      </x:c>
      <x:c r="AF1714" s="12" t="str">
        <x:f>IF(AC1714="PUBLIC_CANDIDATE","TIDELOCK + Lucerna",IF(AC1714="PRIVATE_REVIEW","AtlasBrain + Lucerna","TIDELOCK + Lucerna + Human-root"))</x:f>
        <x:v>TIDELOCK + Lucerna</x:v>
      </x:c>
      <x:c r="AG1714" s="12" t="str">
        <x:f>IF(AND(AC1714="PUBLIC_CANDIDATE",U1714&lt;&gt;"BLOCKED_PENDING_RECEIPT"),"READY_AFTER_RECEIPT","NOT_READY")</x:f>
        <x:v>NOT_READY</x:v>
      </x:c>
      <x:c r="AH1714" s="12" t="str">
        <x:f>IF(AC1714="PUBLIC_CANDIDATE","none",AD1714)</x:f>
        <x:v>none</x:v>
      </x:c>
      <x:c r="AI1714" s="12" t="str">
        <x:f>IF(AC1714="PUBLIC_CANDIDATE","archive/public_candidates/"&amp;A1714,"private_quarantine/"&amp;A1714)</x:f>
        <x:v>archive/public_candidates/SWARM-12-H11-S09</x:v>
      </x:c>
      <x:c r="AJ1714" s="12" t="str">
        <x:f>IF(AC1714="PUBLIC_CANDIDATE","public by default; still not canon","private/hold; do not publish")</x:f>
        <x:v>public by default; still not canon</x:v>
      </x:c>
      <x:c r="AK1714" s="12" t="str">
        <x:f>IF(AE1714="prepare_public_github_candidate","add receipt/status then mirror","resolve blocker before any public GitHub action")</x:f>
        <x:v>add receipt/status then mirror</x:v>
      </x:c>
    </x:row>
    <x:row r="1715">
      <x:c r="A1715" s="15" t="str">
        <x:v>SWARM-12-H11-S10</x:v>
      </x:c>
      <x:c r="B1715" s="15" t="str">
        <x:v>JoySignal</x:v>
      </x:c>
      <x:c r="C1715" s="15" t="str">
        <x:v>Rest and morale keeper</x:v>
      </x:c>
      <x:c r="D1715" s="15" t="str">
        <x:v>Aetherforge UX</x:v>
      </x:c>
      <x:c r="E1715" s="15" t="str">
        <x:v>Human-Root</x:v>
      </x:c>
      <x:c r="F1715" s="15" t="str">
        <x:v>Design quest card for Human-Root — JoySignal</x:v>
      </x:c>
      <x:c r="G1715" s="15" t="str">
        <x:v>cadence / anti-burnout / safe completion language</x:v>
      </x:c>
      <x:c r="H1715" s="15" t="str">
        <x:v>source path + receipt + raw/export status + claim/edge/risk delta</x:v>
      </x:c>
      <x:c r="I1715" s="15" t="str">
        <x:v>packet/SWARM-12-H11-S10</x:v>
      </x:c>
      <x:c r="J1715" s="15" t="str">
        <x:v>TODO</x:v>
      </x:c>
      <x:c r="K1715" s="15" t="str">
        <x:v>P2</x:v>
      </x:c>
      <x:c r="L1715" s="15" t="str">
        <x:v>Done only when evidence is logged, contradiction search is noted, and boundary stamp remains non-canon unless ratified</x:v>
      </x:c>
      <x:c r="M1715" s="15" t="str">
        <x:v>candidate / staging-only / not canon / not deployed / authority none</x:v>
      </x:c>
      <x:c r="N1715" s="15" t="str">
        <x:v>Dispatch to JoySignal: complete Aetherforge UX x Human-Root; return deltas only, receipts required.</x:v>
      </x:c>
      <x:c r="O1715" s="15" t="str">
        <x:v>AF-KG-H11-S10</x:v>
      </x:c>
      <x:c r="P1715" s="15" t="str">
        <x:v>Unverified</x:v>
      </x:c>
      <x:c r="Q1715" s="15" t="str">
        <x:v>Not checked</x:v>
      </x:c>
      <x:c r="R1715" s="15" t="str"/>
      <x:c r="S1715" s="15" t="str"/>
      <x:c r="T1715" s="15" t="str">
        <x:v>Log first source path or blocker</x:v>
      </x:c>
      <x:c r="U1715" s="12" t="str">
        <x:f>IF(OR(P1715="Unverified",Q1715="Not checked"),"BLOCKED_PENDING_RECEIPT","READY_FOR_REVIEW")</x:f>
        <x:v>BLOCKED_PENDING_RECEIPT</x:v>
      </x:c>
      <x:c r="V1715" s="12" t="str">
        <x:f>IF(J1715="DONE","RETURNED",IF(U1715="BLOCKED_PENDING_RECEIPT","SOURCE_TOUCH_REQUIRED","IN_PROGRESS"))</x:f>
        <x:v>SOURCE_TOUCH_REQUIRED</x:v>
      </x:c>
      <x:c r="W1715" s="12" t="str">
        <x:f>IF(P1715="Unverified","missing_receipt","receipt_logged")</x:f>
        <x:v>missing_receipt</x:v>
      </x:c>
      <x:c r="X1715" s="12" t="str">
        <x:f>IF(Q1715="Not checked","raw_status_missing","raw_status_logged")</x:f>
        <x:v>raw_status_missing</x:v>
      </x:c>
      <x:c r="Y1715" s="12" t="str">
        <x:f>IF(U1715="BLOCKED_PENDING_RECEIPT","Log source path or blocker; do not promote","Route to review lane")</x:f>
        <x:v>Log source path or blocker; do not promote</x:v>
      </x:c>
      <x:c r="Z1715" s="12" t="str">
        <x:f>IF(K1715="P0","Primary seat + Hashlight/Lucerna","Seat lane")</x:f>
        <x:v>Seat lane</x:v>
      </x:c>
      <x:c r="AA1715" s="12" t="str">
        <x:f>IF(R1715="","no_claim_delta","claim_delta_present")</x:f>
        <x:v>no_claim_delta</x:v>
      </x:c>
      <x:c r="AB1715" s="12" t="str">
        <x:f>IF(S1715="","no_contradiction_delta","contradiction_delta_present")</x:f>
        <x:v>no_contradiction_delta</x:v>
      </x:c>
      <x:c r="AC1715" s="12" t="str">
        <x:f>IF(OR(ISNUMBER(SEARCH("hacker",LOWER(F1715&amp;" "&amp;H1715&amp;" "&amp;I1715&amp;" "&amp;M1715&amp;" "&amp;N1715&amp;" "&amp;T1715))),ISNUMBER(SEARCH("hacking",LOWER(F1715&amp;" "&amp;H1715&amp;" "&amp;I1715&amp;" "&amp;M1715&amp;" "&amp;N1715&amp;" "&amp;T1715))),ISNUMBER(SEARCH("bank",LOWER(F1715&amp;" "&amp;H1715&amp;" "&amp;I1715&amp;" "&amp;M1715&amp;" "&amp;N1715&amp;" "&amp;T1715))),ISNUMBER(SEARCH("banking",LOWER(F1715&amp;" "&amp;H1715&amp;" "&amp;I1715&amp;" "&amp;M1715&amp;" "&amp;N1715&amp;" "&amp;T1715)))),"PRIVATE_QUARANTINE",IF(OR(ISNUMBER(SEARCH("treasury",LOWER(F1715&amp;" "&amp;H1715&amp;" "&amp;I1715&amp;" "&amp;M1715&amp;" "&amp;N1715&amp;" "&amp;T1715))),ISNUMBER(SEARCH("debt",LOWER(F1715&amp;" "&amp;H1715&amp;" "&amp;I1715&amp;" "&amp;M1715&amp;" "&amp;N1715&amp;" "&amp;T1715))),ISNUMBER(SEARCH("bond",LOWER(F1715&amp;" "&amp;H1715&amp;" "&amp;I1715&amp;" "&amp;M1715&amp;" "&amp;N1715&amp;" "&amp;T1715))),ISNUMBER(SEARCH("transaction",LOWER(F1715&amp;" "&amp;H1715&amp;" "&amp;I1715&amp;" "&amp;M1715&amp;" "&amp;N1715&amp;" "&amp;T1715)))),"PRIVATE_REVIEW","PUBLIC_CANDIDATE"))</x:f>
        <x:v>PUBLIC_CANDIDATE</x:v>
      </x:c>
      <x:c r="AD1715" s="12" t="str">
        <x:f>IF(AC1715="PRIVATE_QUARANTINE","hacker_or_bank_trigger",IF(AC1715="PRIVATE_REVIEW","finance_risk_trigger","none"))</x:f>
        <x:v>none</x:v>
      </x:c>
      <x:c r="AE1715" s="12" t="str">
        <x:f>IF(AC1715="PUBLIC_CANDIDATE","prepare_public_github_candidate",IF(AC1715="PRIVATE_REVIEW","hold_for_private_review","quarantine_private_do_not_publish"))</x:f>
        <x:v>prepare_public_github_candidate</x:v>
      </x:c>
      <x:c r="AF1715" s="12" t="str">
        <x:f>IF(AC1715="PUBLIC_CANDIDATE","TIDELOCK + Lucerna",IF(AC1715="PRIVATE_REVIEW","AtlasBrain + Lucerna","TIDELOCK + Lucerna + Human-root"))</x:f>
        <x:v>TIDELOCK + Lucerna</x:v>
      </x:c>
      <x:c r="AG1715" s="12" t="str">
        <x:f>IF(AND(AC1715="PUBLIC_CANDIDATE",U1715&lt;&gt;"BLOCKED_PENDING_RECEIPT"),"READY_AFTER_RECEIPT","NOT_READY")</x:f>
        <x:v>NOT_READY</x:v>
      </x:c>
      <x:c r="AH1715" s="12" t="str">
        <x:f>IF(AC1715="PUBLIC_CANDIDATE","none",AD1715)</x:f>
        <x:v>none</x:v>
      </x:c>
      <x:c r="AI1715" s="12" t="str">
        <x:f>IF(AC1715="PUBLIC_CANDIDATE","archive/public_candidates/"&amp;A1715,"private_quarantine/"&amp;A1715)</x:f>
        <x:v>archive/public_candidates/SWARM-12-H11-S10</x:v>
      </x:c>
      <x:c r="AJ1715" s="12" t="str">
        <x:f>IF(AC1715="PUBLIC_CANDIDATE","public by default; still not canon","private/hold; do not publish")</x:f>
        <x:v>public by default; still not canon</x:v>
      </x:c>
      <x:c r="AK1715" s="12" t="str">
        <x:f>IF(AE1715="prepare_public_github_candidate","add receipt/status then mirror","resolve blocker before any public GitHub action")</x:f>
        <x:v>add receipt/status then mirror</x:v>
      </x:c>
    </x:row>
    <x:row r="1716">
      <x:c r="A1716" s="15" t="str">
        <x:v>SWARM-12-H11-S11</x:v>
      </x:c>
      <x:c r="B1716" s="15" t="str">
        <x:v>JoySignal</x:v>
      </x:c>
      <x:c r="C1716" s="15" t="str">
        <x:v>Rest and morale keeper</x:v>
      </x:c>
      <x:c r="D1716" s="15" t="str">
        <x:v>Aetherforge UX</x:v>
      </x:c>
      <x:c r="E1716" s="15" t="str">
        <x:v>Automation</x:v>
      </x:c>
      <x:c r="F1716" s="15" t="str">
        <x:v>Design quest card for Automation — JoySignal</x:v>
      </x:c>
      <x:c r="G1716" s="15" t="str">
        <x:v>cadence / anti-burnout / safe completion language</x:v>
      </x:c>
      <x:c r="H1716" s="15" t="str">
        <x:v>source path + receipt + raw/export status + claim/edge/risk delta</x:v>
      </x:c>
      <x:c r="I1716" s="15" t="str">
        <x:v>packet/SWARM-12-H11-S11</x:v>
      </x:c>
      <x:c r="J1716" s="15" t="str">
        <x:v>TODO</x:v>
      </x:c>
      <x:c r="K1716" s="15" t="str">
        <x:v>P2</x:v>
      </x:c>
      <x:c r="L1716" s="15" t="str">
        <x:v>Done only when evidence is logged, contradiction search is noted, and boundary stamp remains non-canon unless ratified</x:v>
      </x:c>
      <x:c r="M1716" s="15" t="str">
        <x:v>candidate / staging-only / not canon / not deployed / authority none</x:v>
      </x:c>
      <x:c r="N1716" s="15" t="str">
        <x:v>Dispatch to JoySignal: complete Aetherforge UX x Automation; return deltas only, receipts required.</x:v>
      </x:c>
      <x:c r="O1716" s="15" t="str">
        <x:v>AF-KG-H11-S11</x:v>
      </x:c>
      <x:c r="P1716" s="15" t="str">
        <x:v>Unverified</x:v>
      </x:c>
      <x:c r="Q1716" s="15" t="str">
        <x:v>Not checked</x:v>
      </x:c>
      <x:c r="R1716" s="15" t="str"/>
      <x:c r="S1716" s="15" t="str"/>
      <x:c r="T1716" s="15" t="str">
        <x:v>Log first source path or blocker</x:v>
      </x:c>
      <x:c r="U1716" s="12" t="str">
        <x:f>IF(OR(P1716="Unverified",Q1716="Not checked"),"BLOCKED_PENDING_RECEIPT","READY_FOR_REVIEW")</x:f>
        <x:v>BLOCKED_PENDING_RECEIPT</x:v>
      </x:c>
      <x:c r="V1716" s="12" t="str">
        <x:f>IF(J1716="DONE","RETURNED",IF(U1716="BLOCKED_PENDING_RECEIPT","SOURCE_TOUCH_REQUIRED","IN_PROGRESS"))</x:f>
        <x:v>SOURCE_TOUCH_REQUIRED</x:v>
      </x:c>
      <x:c r="W1716" s="12" t="str">
        <x:f>IF(P1716="Unverified","missing_receipt","receipt_logged")</x:f>
        <x:v>missing_receipt</x:v>
      </x:c>
      <x:c r="X1716" s="12" t="str">
        <x:f>IF(Q1716="Not checked","raw_status_missing","raw_status_logged")</x:f>
        <x:v>raw_status_missing</x:v>
      </x:c>
      <x:c r="Y1716" s="12" t="str">
        <x:f>IF(U1716="BLOCKED_PENDING_RECEIPT","Log source path or blocker; do not promote","Route to review lane")</x:f>
        <x:v>Log source path or blocker; do not promote</x:v>
      </x:c>
      <x:c r="Z1716" s="12" t="str">
        <x:f>IF(K1716="P0","Primary seat + Hashlight/Lucerna","Seat lane")</x:f>
        <x:v>Seat lane</x:v>
      </x:c>
      <x:c r="AA1716" s="12" t="str">
        <x:f>IF(R1716="","no_claim_delta","claim_delta_present")</x:f>
        <x:v>no_claim_delta</x:v>
      </x:c>
      <x:c r="AB1716" s="12" t="str">
        <x:f>IF(S1716="","no_contradiction_delta","contradiction_delta_present")</x:f>
        <x:v>no_contradiction_delta</x:v>
      </x:c>
      <x:c r="AC1716" s="12" t="str">
        <x:f>IF(OR(ISNUMBER(SEARCH("hacker",LOWER(F1716&amp;" "&amp;H1716&amp;" "&amp;I1716&amp;" "&amp;M1716&amp;" "&amp;N1716&amp;" "&amp;T1716))),ISNUMBER(SEARCH("hacking",LOWER(F1716&amp;" "&amp;H1716&amp;" "&amp;I1716&amp;" "&amp;M1716&amp;" "&amp;N1716&amp;" "&amp;T1716))),ISNUMBER(SEARCH("bank",LOWER(F1716&amp;" "&amp;H1716&amp;" "&amp;I1716&amp;" "&amp;M1716&amp;" "&amp;N1716&amp;" "&amp;T1716))),ISNUMBER(SEARCH("banking",LOWER(F1716&amp;" "&amp;H1716&amp;" "&amp;I1716&amp;" "&amp;M1716&amp;" "&amp;N1716&amp;" "&amp;T1716)))),"PRIVATE_QUARANTINE",IF(OR(ISNUMBER(SEARCH("treasury",LOWER(F1716&amp;" "&amp;H1716&amp;" "&amp;I1716&amp;" "&amp;M1716&amp;" "&amp;N1716&amp;" "&amp;T1716))),ISNUMBER(SEARCH("debt",LOWER(F1716&amp;" "&amp;H1716&amp;" "&amp;I1716&amp;" "&amp;M1716&amp;" "&amp;N1716&amp;" "&amp;T1716))),ISNUMBER(SEARCH("bond",LOWER(F1716&amp;" "&amp;H1716&amp;" "&amp;I1716&amp;" "&amp;M1716&amp;" "&amp;N1716&amp;" "&amp;T1716))),ISNUMBER(SEARCH("transaction",LOWER(F1716&amp;" "&amp;H1716&amp;" "&amp;I1716&amp;" "&amp;M1716&amp;" "&amp;N1716&amp;" "&amp;T1716)))),"PRIVATE_REVIEW","PUBLIC_CANDIDATE"))</x:f>
        <x:v>PUBLIC_CANDIDATE</x:v>
      </x:c>
      <x:c r="AD1716" s="12" t="str">
        <x:f>IF(AC1716="PRIVATE_QUARANTINE","hacker_or_bank_trigger",IF(AC1716="PRIVATE_REVIEW","finance_risk_trigger","none"))</x:f>
        <x:v>none</x:v>
      </x:c>
      <x:c r="AE1716" s="12" t="str">
        <x:f>IF(AC1716="PUBLIC_CANDIDATE","prepare_public_github_candidate",IF(AC1716="PRIVATE_REVIEW","hold_for_private_review","quarantine_private_do_not_publish"))</x:f>
        <x:v>prepare_public_github_candidate</x:v>
      </x:c>
      <x:c r="AF1716" s="12" t="str">
        <x:f>IF(AC1716="PUBLIC_CANDIDATE","TIDELOCK + Lucerna",IF(AC1716="PRIVATE_REVIEW","AtlasBrain + Lucerna","TIDELOCK + Lucerna + Human-root"))</x:f>
        <x:v>TIDELOCK + Lucerna</x:v>
      </x:c>
      <x:c r="AG1716" s="12" t="str">
        <x:f>IF(AND(AC1716="PUBLIC_CANDIDATE",U1716&lt;&gt;"BLOCKED_PENDING_RECEIPT"),"READY_AFTER_RECEIPT","NOT_READY")</x:f>
        <x:v>NOT_READY</x:v>
      </x:c>
      <x:c r="AH1716" s="12" t="str">
        <x:f>IF(AC1716="PUBLIC_CANDIDATE","none",AD1716)</x:f>
        <x:v>none</x:v>
      </x:c>
      <x:c r="AI1716" s="12" t="str">
        <x:f>IF(AC1716="PUBLIC_CANDIDATE","archive/public_candidates/"&amp;A1716,"private_quarantine/"&amp;A1716)</x:f>
        <x:v>archive/public_candidates/SWARM-12-H11-S11</x:v>
      </x:c>
      <x:c r="AJ1716" s="12" t="str">
        <x:f>IF(AC1716="PUBLIC_CANDIDATE","public by default; still not canon","private/hold; do not publish")</x:f>
        <x:v>public by default; still not canon</x:v>
      </x:c>
      <x:c r="AK1716" s="12" t="str">
        <x:f>IF(AE1716="prepare_public_github_candidate","add receipt/status then mirror","resolve blocker before any public GitHub action")</x:f>
        <x:v>add receipt/status then mirror</x:v>
      </x:c>
    </x:row>
    <x:row r="1717">
      <x:c r="A1717" s="15" t="str">
        <x:v>SWARM-12-H11-S12</x:v>
      </x:c>
      <x:c r="B1717" s="15" t="str">
        <x:v>JoySignal</x:v>
      </x:c>
      <x:c r="C1717" s="15" t="str">
        <x:v>Rest and morale keeper</x:v>
      </x:c>
      <x:c r="D1717" s="15" t="str">
        <x:v>Aetherforge UX</x:v>
      </x:c>
      <x:c r="E1717" s="15" t="str">
        <x:v>Risk / Safety</x:v>
      </x:c>
      <x:c r="F1717" s="15" t="str">
        <x:v>Design quest card for Risk / Safety — JoySignal</x:v>
      </x:c>
      <x:c r="G1717" s="15" t="str">
        <x:v>cadence / anti-burnout / safe completion language</x:v>
      </x:c>
      <x:c r="H1717" s="15" t="str">
        <x:v>source path + receipt + raw/export status + claim/edge/risk delta</x:v>
      </x:c>
      <x:c r="I1717" s="15" t="str">
        <x:v>packet/SWARM-12-H11-S12</x:v>
      </x:c>
      <x:c r="J1717" s="15" t="str">
        <x:v>TODO</x:v>
      </x:c>
      <x:c r="K1717" s="15" t="str">
        <x:v>P2</x:v>
      </x:c>
      <x:c r="L1717" s="15" t="str">
        <x:v>Done only when evidence is logged, contradiction search is noted, and boundary stamp remains non-canon unless ratified</x:v>
      </x:c>
      <x:c r="M1717" s="15" t="str">
        <x:v>candidate / staging-only / not canon / not deployed / authority none</x:v>
      </x:c>
      <x:c r="N1717" s="15" t="str">
        <x:v>Dispatch to JoySignal: complete Aetherforge UX x Risk / Safety; return deltas only, receipts required.</x:v>
      </x:c>
      <x:c r="O1717" s="15" t="str">
        <x:v>AF-KG-H11-S12</x:v>
      </x:c>
      <x:c r="P1717" s="15" t="str">
        <x:v>Unverified</x:v>
      </x:c>
      <x:c r="Q1717" s="15" t="str">
        <x:v>Not checked</x:v>
      </x:c>
      <x:c r="R1717" s="15" t="str"/>
      <x:c r="S1717" s="15" t="str"/>
      <x:c r="T1717" s="15" t="str">
        <x:v>Log first source path or blocker</x:v>
      </x:c>
      <x:c r="U1717" s="12" t="str">
        <x:f>IF(OR(P1717="Unverified",Q1717="Not checked"),"BLOCKED_PENDING_RECEIPT","READY_FOR_REVIEW")</x:f>
        <x:v>BLOCKED_PENDING_RECEIPT</x:v>
      </x:c>
      <x:c r="V1717" s="12" t="str">
        <x:f>IF(J1717="DONE","RETURNED",IF(U1717="BLOCKED_PENDING_RECEIPT","SOURCE_TOUCH_REQUIRED","IN_PROGRESS"))</x:f>
        <x:v>SOURCE_TOUCH_REQUIRED</x:v>
      </x:c>
      <x:c r="W1717" s="12" t="str">
        <x:f>IF(P1717="Unverified","missing_receipt","receipt_logged")</x:f>
        <x:v>missing_receipt</x:v>
      </x:c>
      <x:c r="X1717" s="12" t="str">
        <x:f>IF(Q1717="Not checked","raw_status_missing","raw_status_logged")</x:f>
        <x:v>raw_status_missing</x:v>
      </x:c>
      <x:c r="Y1717" s="12" t="str">
        <x:f>IF(U1717="BLOCKED_PENDING_RECEIPT","Log source path or blocker; do not promote","Route to review lane")</x:f>
        <x:v>Log source path or blocker; do not promote</x:v>
      </x:c>
      <x:c r="Z1717" s="12" t="str">
        <x:f>IF(K1717="P0","Primary seat + Hashlight/Lucerna","Seat lane")</x:f>
        <x:v>Seat lane</x:v>
      </x:c>
      <x:c r="AA1717" s="12" t="str">
        <x:f>IF(R1717="","no_claim_delta","claim_delta_present")</x:f>
        <x:v>no_claim_delta</x:v>
      </x:c>
      <x:c r="AB1717" s="12" t="str">
        <x:f>IF(S1717="","no_contradiction_delta","contradiction_delta_present")</x:f>
        <x:v>no_contradiction_delta</x:v>
      </x:c>
      <x:c r="AC1717" s="12" t="str">
        <x:f>IF(OR(ISNUMBER(SEARCH("hacker",LOWER(F1717&amp;" "&amp;H1717&amp;" "&amp;I1717&amp;" "&amp;M1717&amp;" "&amp;N1717&amp;" "&amp;T1717))),ISNUMBER(SEARCH("hacking",LOWER(F1717&amp;" "&amp;H1717&amp;" "&amp;I1717&amp;" "&amp;M1717&amp;" "&amp;N1717&amp;" "&amp;T1717))),ISNUMBER(SEARCH("bank",LOWER(F1717&amp;" "&amp;H1717&amp;" "&amp;I1717&amp;" "&amp;M1717&amp;" "&amp;N1717&amp;" "&amp;T1717))),ISNUMBER(SEARCH("banking",LOWER(F1717&amp;" "&amp;H1717&amp;" "&amp;I1717&amp;" "&amp;M1717&amp;" "&amp;N1717&amp;" "&amp;T1717)))),"PRIVATE_QUARANTINE",IF(OR(ISNUMBER(SEARCH("treasury",LOWER(F1717&amp;" "&amp;H1717&amp;" "&amp;I1717&amp;" "&amp;M1717&amp;" "&amp;N1717&amp;" "&amp;T1717))),ISNUMBER(SEARCH("debt",LOWER(F1717&amp;" "&amp;H1717&amp;" "&amp;I1717&amp;" "&amp;M1717&amp;" "&amp;N1717&amp;" "&amp;T1717))),ISNUMBER(SEARCH("bond",LOWER(F1717&amp;" "&amp;H1717&amp;" "&amp;I1717&amp;" "&amp;M1717&amp;" "&amp;N1717&amp;" "&amp;T1717))),ISNUMBER(SEARCH("transaction",LOWER(F1717&amp;" "&amp;H1717&amp;" "&amp;I1717&amp;" "&amp;M1717&amp;" "&amp;N1717&amp;" "&amp;T1717)))),"PRIVATE_REVIEW","PUBLIC_CANDIDATE"))</x:f>
        <x:v>PUBLIC_CANDIDATE</x:v>
      </x:c>
      <x:c r="AD1717" s="12" t="str">
        <x:f>IF(AC1717="PRIVATE_QUARANTINE","hacker_or_bank_trigger",IF(AC1717="PRIVATE_REVIEW","finance_risk_trigger","none"))</x:f>
        <x:v>none</x:v>
      </x:c>
      <x:c r="AE1717" s="12" t="str">
        <x:f>IF(AC1717="PUBLIC_CANDIDATE","prepare_public_github_candidate",IF(AC1717="PRIVATE_REVIEW","hold_for_private_review","quarantine_private_do_not_publish"))</x:f>
        <x:v>prepare_public_github_candidate</x:v>
      </x:c>
      <x:c r="AF1717" s="12" t="str">
        <x:f>IF(AC1717="PUBLIC_CANDIDATE","TIDELOCK + Lucerna",IF(AC1717="PRIVATE_REVIEW","AtlasBrain + Lucerna","TIDELOCK + Lucerna + Human-root"))</x:f>
        <x:v>TIDELOCK + Lucerna</x:v>
      </x:c>
      <x:c r="AG1717" s="12" t="str">
        <x:f>IF(AND(AC1717="PUBLIC_CANDIDATE",U1717&lt;&gt;"BLOCKED_PENDING_RECEIPT"),"READY_AFTER_RECEIPT","NOT_READY")</x:f>
        <x:v>NOT_READY</x:v>
      </x:c>
      <x:c r="AH1717" s="12" t="str">
        <x:f>IF(AC1717="PUBLIC_CANDIDATE","none",AD1717)</x:f>
        <x:v>none</x:v>
      </x:c>
      <x:c r="AI1717" s="12" t="str">
        <x:f>IF(AC1717="PUBLIC_CANDIDATE","archive/public_candidates/"&amp;A1717,"private_quarantine/"&amp;A1717)</x:f>
        <x:v>archive/public_candidates/SWARM-12-H11-S12</x:v>
      </x:c>
      <x:c r="AJ1717" s="12" t="str">
        <x:f>IF(AC1717="PUBLIC_CANDIDATE","public by default; still not canon","private/hold; do not publish")</x:f>
        <x:v>public by default; still not canon</x:v>
      </x:c>
      <x:c r="AK1717" s="12" t="str">
        <x:f>IF(AE1717="prepare_public_github_candidate","add receipt/status then mirror","resolve blocker before any public GitHub action")</x:f>
        <x:v>add receipt/status then mirror</x:v>
      </x:c>
    </x:row>
    <x:row r="1718">
      <x:c r="A1718" s="15" t="str">
        <x:v>SWARM-12-H12-S01</x:v>
      </x:c>
      <x:c r="B1718" s="15" t="str">
        <x:v>JoySignal</x:v>
      </x:c>
      <x:c r="C1718" s="15" t="str">
        <x:v>Rest and morale keeper</x:v>
      </x:c>
      <x:c r="D1718" s="15" t="str">
        <x:v>Canon-Gate Prep</x:v>
      </x:c>
      <x:c r="E1718" s="15" t="str">
        <x:v>Notion</x:v>
      </x:c>
      <x:c r="F1718" s="15" t="str">
        <x:v>Prepare canon-gate brief for Notion — JoySignal</x:v>
      </x:c>
      <x:c r="G1718" s="15" t="str">
        <x:v>cadence / anti-burnout / safe completion language</x:v>
      </x:c>
      <x:c r="H1718" s="15" t="str">
        <x:v>source path + receipt + raw/export status + claim/edge/risk delta</x:v>
      </x:c>
      <x:c r="I1718" s="15" t="str">
        <x:v>packet/SWARM-12-H12-S01</x:v>
      </x:c>
      <x:c r="J1718" s="15" t="str">
        <x:v>TODO</x:v>
      </x:c>
      <x:c r="K1718" s="15" t="str">
        <x:v>P0</x:v>
      </x:c>
      <x:c r="L1718" s="15" t="str">
        <x:v>Done only when evidence is logged, contradiction search is noted, and boundary stamp remains non-canon unless ratified</x:v>
      </x:c>
      <x:c r="M1718" s="15" t="str">
        <x:v>candidate / staging-only / not canon / not deployed / authority none</x:v>
      </x:c>
      <x:c r="N1718" s="15" t="str">
        <x:v>Dispatch to JoySignal: complete Canon-Gate Prep x Notion; return deltas only, receipts required.</x:v>
      </x:c>
      <x:c r="O1718" s="15" t="str">
        <x:v>AF-KG-H12-S01</x:v>
      </x:c>
      <x:c r="P1718" s="15" t="str">
        <x:v>Unverified</x:v>
      </x:c>
      <x:c r="Q1718" s="15" t="str">
        <x:v>Not checked</x:v>
      </x:c>
      <x:c r="R1718" s="15" t="str"/>
      <x:c r="S1718" s="15" t="str"/>
      <x:c r="T1718" s="15" t="str">
        <x:v>Log first source path or blocker</x:v>
      </x:c>
      <x:c r="U1718" s="12" t="str">
        <x:f>IF(OR(P1718="Unverified",Q1718="Not checked"),"BLOCKED_PENDING_RECEIPT","READY_FOR_REVIEW")</x:f>
        <x:v>BLOCKED_PENDING_RECEIPT</x:v>
      </x:c>
      <x:c r="V1718" s="12" t="str">
        <x:f>IF(J1718="DONE","RETURNED",IF(U1718="BLOCKED_PENDING_RECEIPT","SOURCE_TOUCH_REQUIRED","IN_PROGRESS"))</x:f>
        <x:v>SOURCE_TOUCH_REQUIRED</x:v>
      </x:c>
      <x:c r="W1718" s="12" t="str">
        <x:f>IF(P1718="Unverified","missing_receipt","receipt_logged")</x:f>
        <x:v>missing_receipt</x:v>
      </x:c>
      <x:c r="X1718" s="12" t="str">
        <x:f>IF(Q1718="Not checked","raw_status_missing","raw_status_logged")</x:f>
        <x:v>raw_status_missing</x:v>
      </x:c>
      <x:c r="Y1718" s="12" t="str">
        <x:f>IF(U1718="BLOCKED_PENDING_RECEIPT","Log source path or blocker; do not promote","Route to review lane")</x:f>
        <x:v>Log source path or blocker; do not promote</x:v>
      </x:c>
      <x:c r="Z1718" s="12" t="str">
        <x:f>IF(K1718="P0","Primary seat + Hashlight/Lucerna","Seat lane")</x:f>
        <x:v>Primary seat + Hashlight/Lucerna</x:v>
      </x:c>
      <x:c r="AA1718" s="12" t="str">
        <x:f>IF(R1718="","no_claim_delta","claim_delta_present")</x:f>
        <x:v>no_claim_delta</x:v>
      </x:c>
      <x:c r="AB1718" s="12" t="str">
        <x:f>IF(S1718="","no_contradiction_delta","contradiction_delta_present")</x:f>
        <x:v>no_contradiction_delta</x:v>
      </x:c>
      <x:c r="AC1718" s="12" t="str">
        <x:f>IF(OR(ISNUMBER(SEARCH("hacker",LOWER(F1718&amp;" "&amp;H1718&amp;" "&amp;I1718&amp;" "&amp;M1718&amp;" "&amp;N1718&amp;" "&amp;T1718))),ISNUMBER(SEARCH("hacking",LOWER(F1718&amp;" "&amp;H1718&amp;" "&amp;I1718&amp;" "&amp;M1718&amp;" "&amp;N1718&amp;" "&amp;T1718))),ISNUMBER(SEARCH("bank",LOWER(F1718&amp;" "&amp;H1718&amp;" "&amp;I1718&amp;" "&amp;M1718&amp;" "&amp;N1718&amp;" "&amp;T1718))),ISNUMBER(SEARCH("banking",LOWER(F1718&amp;" "&amp;H1718&amp;" "&amp;I1718&amp;" "&amp;M1718&amp;" "&amp;N1718&amp;" "&amp;T1718)))),"PRIVATE_QUARANTINE",IF(OR(ISNUMBER(SEARCH("treasury",LOWER(F1718&amp;" "&amp;H1718&amp;" "&amp;I1718&amp;" "&amp;M1718&amp;" "&amp;N1718&amp;" "&amp;T1718))),ISNUMBER(SEARCH("debt",LOWER(F1718&amp;" "&amp;H1718&amp;" "&amp;I1718&amp;" "&amp;M1718&amp;" "&amp;N1718&amp;" "&amp;T1718))),ISNUMBER(SEARCH("bond",LOWER(F1718&amp;" "&amp;H1718&amp;" "&amp;I1718&amp;" "&amp;M1718&amp;" "&amp;N1718&amp;" "&amp;T1718))),ISNUMBER(SEARCH("transaction",LOWER(F1718&amp;" "&amp;H1718&amp;" "&amp;I1718&amp;" "&amp;M1718&amp;" "&amp;N1718&amp;" "&amp;T1718)))),"PRIVATE_REVIEW","PUBLIC_CANDIDATE"))</x:f>
        <x:v>PUBLIC_CANDIDATE</x:v>
      </x:c>
      <x:c r="AD1718" s="12" t="str">
        <x:f>IF(AC1718="PRIVATE_QUARANTINE","hacker_or_bank_trigger",IF(AC1718="PRIVATE_REVIEW","finance_risk_trigger","none"))</x:f>
        <x:v>none</x:v>
      </x:c>
      <x:c r="AE1718" s="12" t="str">
        <x:f>IF(AC1718="PUBLIC_CANDIDATE","prepare_public_github_candidate",IF(AC1718="PRIVATE_REVIEW","hold_for_private_review","quarantine_private_do_not_publish"))</x:f>
        <x:v>prepare_public_github_candidate</x:v>
      </x:c>
      <x:c r="AF1718" s="12" t="str">
        <x:f>IF(AC1718="PUBLIC_CANDIDATE","TIDELOCK + Lucerna",IF(AC1718="PRIVATE_REVIEW","AtlasBrain + Lucerna","TIDELOCK + Lucerna + Human-root"))</x:f>
        <x:v>TIDELOCK + Lucerna</x:v>
      </x:c>
      <x:c r="AG1718" s="12" t="str">
        <x:f>IF(AND(AC1718="PUBLIC_CANDIDATE",U1718&lt;&gt;"BLOCKED_PENDING_RECEIPT"),"READY_AFTER_RECEIPT","NOT_READY")</x:f>
        <x:v>NOT_READY</x:v>
      </x:c>
      <x:c r="AH1718" s="12" t="str">
        <x:f>IF(AC1718="PUBLIC_CANDIDATE","none",AD1718)</x:f>
        <x:v>none</x:v>
      </x:c>
      <x:c r="AI1718" s="12" t="str">
        <x:f>IF(AC1718="PUBLIC_CANDIDATE","archive/public_candidates/"&amp;A1718,"private_quarantine/"&amp;A1718)</x:f>
        <x:v>archive/public_candidates/SWARM-12-H12-S01</x:v>
      </x:c>
      <x:c r="AJ1718" s="12" t="str">
        <x:f>IF(AC1718="PUBLIC_CANDIDATE","public by default; still not canon","private/hold; do not publish")</x:f>
        <x:v>public by default; still not canon</x:v>
      </x:c>
      <x:c r="AK1718" s="12" t="str">
        <x:f>IF(AE1718="prepare_public_github_candidate","add receipt/status then mirror","resolve blocker before any public GitHub action")</x:f>
        <x:v>add receipt/status then mirror</x:v>
      </x:c>
    </x:row>
    <x:row r="1719">
      <x:c r="A1719" s="15" t="str">
        <x:v>SWARM-12-H12-S02</x:v>
      </x:c>
      <x:c r="B1719" s="15" t="str">
        <x:v>JoySignal</x:v>
      </x:c>
      <x:c r="C1719" s="15" t="str">
        <x:v>Rest and morale keeper</x:v>
      </x:c>
      <x:c r="D1719" s="15" t="str">
        <x:v>Canon-Gate Prep</x:v>
      </x:c>
      <x:c r="E1719" s="15" t="str">
        <x:v>Drive</x:v>
      </x:c>
      <x:c r="F1719" s="15" t="str">
        <x:v>Prepare canon-gate brief for Drive — JoySignal</x:v>
      </x:c>
      <x:c r="G1719" s="15" t="str">
        <x:v>cadence / anti-burnout / safe completion language</x:v>
      </x:c>
      <x:c r="H1719" s="15" t="str">
        <x:v>source path + receipt + raw/export status + claim/edge/risk delta</x:v>
      </x:c>
      <x:c r="I1719" s="15" t="str">
        <x:v>packet/SWARM-12-H12-S02</x:v>
      </x:c>
      <x:c r="J1719" s="15" t="str">
        <x:v>TODO</x:v>
      </x:c>
      <x:c r="K1719" s="15" t="str">
        <x:v>P0</x:v>
      </x:c>
      <x:c r="L1719" s="15" t="str">
        <x:v>Done only when evidence is logged, contradiction search is noted, and boundary stamp remains non-canon unless ratified</x:v>
      </x:c>
      <x:c r="M1719" s="15" t="str">
        <x:v>candidate / staging-only / not canon / not deployed / authority none</x:v>
      </x:c>
      <x:c r="N1719" s="15" t="str">
        <x:v>Dispatch to JoySignal: complete Canon-Gate Prep x Drive; return deltas only, receipts required.</x:v>
      </x:c>
      <x:c r="O1719" s="15" t="str">
        <x:v>AF-KG-H12-S02</x:v>
      </x:c>
      <x:c r="P1719" s="15" t="str">
        <x:v>Unverified</x:v>
      </x:c>
      <x:c r="Q1719" s="15" t="str">
        <x:v>Not checked</x:v>
      </x:c>
      <x:c r="R1719" s="15" t="str"/>
      <x:c r="S1719" s="15" t="str"/>
      <x:c r="T1719" s="15" t="str">
        <x:v>Log first source path or blocker</x:v>
      </x:c>
      <x:c r="U1719" s="12" t="str">
        <x:f>IF(OR(P1719="Unverified",Q1719="Not checked"),"BLOCKED_PENDING_RECEIPT","READY_FOR_REVIEW")</x:f>
        <x:v>BLOCKED_PENDING_RECEIPT</x:v>
      </x:c>
      <x:c r="V1719" s="12" t="str">
        <x:f>IF(J1719="DONE","RETURNED",IF(U1719="BLOCKED_PENDING_RECEIPT","SOURCE_TOUCH_REQUIRED","IN_PROGRESS"))</x:f>
        <x:v>SOURCE_TOUCH_REQUIRED</x:v>
      </x:c>
      <x:c r="W1719" s="12" t="str">
        <x:f>IF(P1719="Unverified","missing_receipt","receipt_logged")</x:f>
        <x:v>missing_receipt</x:v>
      </x:c>
      <x:c r="X1719" s="12" t="str">
        <x:f>IF(Q1719="Not checked","raw_status_missing","raw_status_logged")</x:f>
        <x:v>raw_status_missing</x:v>
      </x:c>
      <x:c r="Y1719" s="12" t="str">
        <x:f>IF(U1719="BLOCKED_PENDING_RECEIPT","Log source path or blocker; do not promote","Route to review lane")</x:f>
        <x:v>Log source path or blocker; do not promote</x:v>
      </x:c>
      <x:c r="Z1719" s="12" t="str">
        <x:f>IF(K1719="P0","Primary seat + Hashlight/Lucerna","Seat lane")</x:f>
        <x:v>Primary seat + Hashlight/Lucerna</x:v>
      </x:c>
      <x:c r="AA1719" s="12" t="str">
        <x:f>IF(R1719="","no_claim_delta","claim_delta_present")</x:f>
        <x:v>no_claim_delta</x:v>
      </x:c>
      <x:c r="AB1719" s="12" t="str">
        <x:f>IF(S1719="","no_contradiction_delta","contradiction_delta_present")</x:f>
        <x:v>no_contradiction_delta</x:v>
      </x:c>
      <x:c r="AC1719" s="12" t="str">
        <x:f>IF(OR(ISNUMBER(SEARCH("hacker",LOWER(F1719&amp;" "&amp;H1719&amp;" "&amp;I1719&amp;" "&amp;M1719&amp;" "&amp;N1719&amp;" "&amp;T1719))),ISNUMBER(SEARCH("hacking",LOWER(F1719&amp;" "&amp;H1719&amp;" "&amp;I1719&amp;" "&amp;M1719&amp;" "&amp;N1719&amp;" "&amp;T1719))),ISNUMBER(SEARCH("bank",LOWER(F1719&amp;" "&amp;H1719&amp;" "&amp;I1719&amp;" "&amp;M1719&amp;" "&amp;N1719&amp;" "&amp;T1719))),ISNUMBER(SEARCH("banking",LOWER(F1719&amp;" "&amp;H1719&amp;" "&amp;I1719&amp;" "&amp;M1719&amp;" "&amp;N1719&amp;" "&amp;T1719)))),"PRIVATE_QUARANTINE",IF(OR(ISNUMBER(SEARCH("treasury",LOWER(F1719&amp;" "&amp;H1719&amp;" "&amp;I1719&amp;" "&amp;M1719&amp;" "&amp;N1719&amp;" "&amp;T1719))),ISNUMBER(SEARCH("debt",LOWER(F1719&amp;" "&amp;H1719&amp;" "&amp;I1719&amp;" "&amp;M1719&amp;" "&amp;N1719&amp;" "&amp;T1719))),ISNUMBER(SEARCH("bond",LOWER(F1719&amp;" "&amp;H1719&amp;" "&amp;I1719&amp;" "&amp;M1719&amp;" "&amp;N1719&amp;" "&amp;T1719))),ISNUMBER(SEARCH("transaction",LOWER(F1719&amp;" "&amp;H1719&amp;" "&amp;I1719&amp;" "&amp;M1719&amp;" "&amp;N1719&amp;" "&amp;T1719)))),"PRIVATE_REVIEW","PUBLIC_CANDIDATE"))</x:f>
        <x:v>PUBLIC_CANDIDATE</x:v>
      </x:c>
      <x:c r="AD1719" s="12" t="str">
        <x:f>IF(AC1719="PRIVATE_QUARANTINE","hacker_or_bank_trigger",IF(AC1719="PRIVATE_REVIEW","finance_risk_trigger","none"))</x:f>
        <x:v>none</x:v>
      </x:c>
      <x:c r="AE1719" s="12" t="str">
        <x:f>IF(AC1719="PUBLIC_CANDIDATE","prepare_public_github_candidate",IF(AC1719="PRIVATE_REVIEW","hold_for_private_review","quarantine_private_do_not_publish"))</x:f>
        <x:v>prepare_public_github_candidate</x:v>
      </x:c>
      <x:c r="AF1719" s="12" t="str">
        <x:f>IF(AC1719="PUBLIC_CANDIDATE","TIDELOCK + Lucerna",IF(AC1719="PRIVATE_REVIEW","AtlasBrain + Lucerna","TIDELOCK + Lucerna + Human-root"))</x:f>
        <x:v>TIDELOCK + Lucerna</x:v>
      </x:c>
      <x:c r="AG1719" s="12" t="str">
        <x:f>IF(AND(AC1719="PUBLIC_CANDIDATE",U1719&lt;&gt;"BLOCKED_PENDING_RECEIPT"),"READY_AFTER_RECEIPT","NOT_READY")</x:f>
        <x:v>NOT_READY</x:v>
      </x:c>
      <x:c r="AH1719" s="12" t="str">
        <x:f>IF(AC1719="PUBLIC_CANDIDATE","none",AD1719)</x:f>
        <x:v>none</x:v>
      </x:c>
      <x:c r="AI1719" s="12" t="str">
        <x:f>IF(AC1719="PUBLIC_CANDIDATE","archive/public_candidates/"&amp;A1719,"private_quarantine/"&amp;A1719)</x:f>
        <x:v>archive/public_candidates/SWARM-12-H12-S02</x:v>
      </x:c>
      <x:c r="AJ1719" s="12" t="str">
        <x:f>IF(AC1719="PUBLIC_CANDIDATE","public by default; still not canon","private/hold; do not publish")</x:f>
        <x:v>public by default; still not canon</x:v>
      </x:c>
      <x:c r="AK1719" s="12" t="str">
        <x:f>IF(AE1719="prepare_public_github_candidate","add receipt/status then mirror","resolve blocker before any public GitHub action")</x:f>
        <x:v>add receipt/status then mirror</x:v>
      </x:c>
    </x:row>
    <x:row r="1720">
      <x:c r="A1720" s="15" t="str">
        <x:v>SWARM-12-H12-S03</x:v>
      </x:c>
      <x:c r="B1720" s="15" t="str">
        <x:v>JoySignal</x:v>
      </x:c>
      <x:c r="C1720" s="15" t="str">
        <x:v>Rest and morale keeper</x:v>
      </x:c>
      <x:c r="D1720" s="15" t="str">
        <x:v>Canon-Gate Prep</x:v>
      </x:c>
      <x:c r="E1720" s="15" t="str">
        <x:v>GitHub</x:v>
      </x:c>
      <x:c r="F1720" s="15" t="str">
        <x:v>Prepare canon-gate brief for GitHub — JoySignal</x:v>
      </x:c>
      <x:c r="G1720" s="15" t="str">
        <x:v>cadence / anti-burnout / safe completion language</x:v>
      </x:c>
      <x:c r="H1720" s="15" t="str">
        <x:v>source path + receipt + raw/export status + claim/edge/risk delta</x:v>
      </x:c>
      <x:c r="I1720" s="15" t="str">
        <x:v>packet/SWARM-12-H12-S03</x:v>
      </x:c>
      <x:c r="J1720" s="15" t="str">
        <x:v>TODO</x:v>
      </x:c>
      <x:c r="K1720" s="15" t="str">
        <x:v>P0</x:v>
      </x:c>
      <x:c r="L1720" s="15" t="str">
        <x:v>Done only when evidence is logged, contradiction search is noted, and boundary stamp remains non-canon unless ratified</x:v>
      </x:c>
      <x:c r="M1720" s="15" t="str">
        <x:v>candidate / staging-only / not canon / not deployed / authority none</x:v>
      </x:c>
      <x:c r="N1720" s="15" t="str">
        <x:v>Dispatch to JoySignal: complete Canon-Gate Prep x GitHub; return deltas only, receipts required.</x:v>
      </x:c>
      <x:c r="O1720" s="15" t="str">
        <x:v>AF-KG-H12-S03</x:v>
      </x:c>
      <x:c r="P1720" s="15" t="str">
        <x:v>Unverified</x:v>
      </x:c>
      <x:c r="Q1720" s="15" t="str">
        <x:v>Not checked</x:v>
      </x:c>
      <x:c r="R1720" s="15" t="str"/>
      <x:c r="S1720" s="15" t="str"/>
      <x:c r="T1720" s="15" t="str">
        <x:v>Log first source path or blocker</x:v>
      </x:c>
      <x:c r="U1720" s="12" t="str">
        <x:f>IF(OR(P1720="Unverified",Q1720="Not checked"),"BLOCKED_PENDING_RECEIPT","READY_FOR_REVIEW")</x:f>
        <x:v>BLOCKED_PENDING_RECEIPT</x:v>
      </x:c>
      <x:c r="V1720" s="12" t="str">
        <x:f>IF(J1720="DONE","RETURNED",IF(U1720="BLOCKED_PENDING_RECEIPT","SOURCE_TOUCH_REQUIRED","IN_PROGRESS"))</x:f>
        <x:v>SOURCE_TOUCH_REQUIRED</x:v>
      </x:c>
      <x:c r="W1720" s="12" t="str">
        <x:f>IF(P1720="Unverified","missing_receipt","receipt_logged")</x:f>
        <x:v>missing_receipt</x:v>
      </x:c>
      <x:c r="X1720" s="12" t="str">
        <x:f>IF(Q1720="Not checked","raw_status_missing","raw_status_logged")</x:f>
        <x:v>raw_status_missing</x:v>
      </x:c>
      <x:c r="Y1720" s="12" t="str">
        <x:f>IF(U1720="BLOCKED_PENDING_RECEIPT","Log source path or blocker; do not promote","Route to review lane")</x:f>
        <x:v>Log source path or blocker; do not promote</x:v>
      </x:c>
      <x:c r="Z1720" s="12" t="str">
        <x:f>IF(K1720="P0","Primary seat + Hashlight/Lucerna","Seat lane")</x:f>
        <x:v>Primary seat + Hashlight/Lucerna</x:v>
      </x:c>
      <x:c r="AA1720" s="12" t="str">
        <x:f>IF(R1720="","no_claim_delta","claim_delta_present")</x:f>
        <x:v>no_claim_delta</x:v>
      </x:c>
      <x:c r="AB1720" s="12" t="str">
        <x:f>IF(S1720="","no_contradiction_delta","contradiction_delta_present")</x:f>
        <x:v>no_contradiction_delta</x:v>
      </x:c>
      <x:c r="AC1720" s="12" t="str">
        <x:f>IF(OR(ISNUMBER(SEARCH("hacker",LOWER(F1720&amp;" "&amp;H1720&amp;" "&amp;I1720&amp;" "&amp;M1720&amp;" "&amp;N1720&amp;" "&amp;T1720))),ISNUMBER(SEARCH("hacking",LOWER(F1720&amp;" "&amp;H1720&amp;" "&amp;I1720&amp;" "&amp;M1720&amp;" "&amp;N1720&amp;" "&amp;T1720))),ISNUMBER(SEARCH("bank",LOWER(F1720&amp;" "&amp;H1720&amp;" "&amp;I1720&amp;" "&amp;M1720&amp;" "&amp;N1720&amp;" "&amp;T1720))),ISNUMBER(SEARCH("banking",LOWER(F1720&amp;" "&amp;H1720&amp;" "&amp;I1720&amp;" "&amp;M1720&amp;" "&amp;N1720&amp;" "&amp;T1720)))),"PRIVATE_QUARANTINE",IF(OR(ISNUMBER(SEARCH("treasury",LOWER(F1720&amp;" "&amp;H1720&amp;" "&amp;I1720&amp;" "&amp;M1720&amp;" "&amp;N1720&amp;" "&amp;T1720))),ISNUMBER(SEARCH("debt",LOWER(F1720&amp;" "&amp;H1720&amp;" "&amp;I1720&amp;" "&amp;M1720&amp;" "&amp;N1720&amp;" "&amp;T1720))),ISNUMBER(SEARCH("bond",LOWER(F1720&amp;" "&amp;H1720&amp;" "&amp;I1720&amp;" "&amp;M1720&amp;" "&amp;N1720&amp;" "&amp;T1720))),ISNUMBER(SEARCH("transaction",LOWER(F1720&amp;" "&amp;H1720&amp;" "&amp;I1720&amp;" "&amp;M1720&amp;" "&amp;N1720&amp;" "&amp;T1720)))),"PRIVATE_REVIEW","PUBLIC_CANDIDATE"))</x:f>
        <x:v>PUBLIC_CANDIDATE</x:v>
      </x:c>
      <x:c r="AD1720" s="12" t="str">
        <x:f>IF(AC1720="PRIVATE_QUARANTINE","hacker_or_bank_trigger",IF(AC1720="PRIVATE_REVIEW","finance_risk_trigger","none"))</x:f>
        <x:v>none</x:v>
      </x:c>
      <x:c r="AE1720" s="12" t="str">
        <x:f>IF(AC1720="PUBLIC_CANDIDATE","prepare_public_github_candidate",IF(AC1720="PRIVATE_REVIEW","hold_for_private_review","quarantine_private_do_not_publish"))</x:f>
        <x:v>prepare_public_github_candidate</x:v>
      </x:c>
      <x:c r="AF1720" s="12" t="str">
        <x:f>IF(AC1720="PUBLIC_CANDIDATE","TIDELOCK + Lucerna",IF(AC1720="PRIVATE_REVIEW","AtlasBrain + Lucerna","TIDELOCK + Lucerna + Human-root"))</x:f>
        <x:v>TIDELOCK + Lucerna</x:v>
      </x:c>
      <x:c r="AG1720" s="12" t="str">
        <x:f>IF(AND(AC1720="PUBLIC_CANDIDATE",U1720&lt;&gt;"BLOCKED_PENDING_RECEIPT"),"READY_AFTER_RECEIPT","NOT_READY")</x:f>
        <x:v>NOT_READY</x:v>
      </x:c>
      <x:c r="AH1720" s="12" t="str">
        <x:f>IF(AC1720="PUBLIC_CANDIDATE","none",AD1720)</x:f>
        <x:v>none</x:v>
      </x:c>
      <x:c r="AI1720" s="12" t="str">
        <x:f>IF(AC1720="PUBLIC_CANDIDATE","archive/public_candidates/"&amp;A1720,"private_quarantine/"&amp;A1720)</x:f>
        <x:v>archive/public_candidates/SWARM-12-H12-S03</x:v>
      </x:c>
      <x:c r="AJ1720" s="12" t="str">
        <x:f>IF(AC1720="PUBLIC_CANDIDATE","public by default; still not canon","private/hold; do not publish")</x:f>
        <x:v>public by default; still not canon</x:v>
      </x:c>
      <x:c r="AK1720" s="12" t="str">
        <x:f>IF(AE1720="prepare_public_github_candidate","add receipt/status then mirror","resolve blocker before any public GitHub action")</x:f>
        <x:v>add receipt/status then mirror</x:v>
      </x:c>
    </x:row>
    <x:row r="1721">
      <x:c r="A1721" s="15" t="str">
        <x:v>SWARM-12-H12-S04</x:v>
      </x:c>
      <x:c r="B1721" s="15" t="str">
        <x:v>JoySignal</x:v>
      </x:c>
      <x:c r="C1721" s="15" t="str">
        <x:v>Rest and morale keeper</x:v>
      </x:c>
      <x:c r="D1721" s="15" t="str">
        <x:v>Canon-Gate Prep</x:v>
      </x:c>
      <x:c r="E1721" s="15" t="str">
        <x:v>Gamma</x:v>
      </x:c>
      <x:c r="F1721" s="15" t="str">
        <x:v>Prepare canon-gate brief for Gamma — JoySignal</x:v>
      </x:c>
      <x:c r="G1721" s="15" t="str">
        <x:v>cadence / anti-burnout / safe completion language</x:v>
      </x:c>
      <x:c r="H1721" s="15" t="str">
        <x:v>source path + receipt + raw/export status + claim/edge/risk delta</x:v>
      </x:c>
      <x:c r="I1721" s="15" t="str">
        <x:v>packet/SWARM-12-H12-S04</x:v>
      </x:c>
      <x:c r="J1721" s="15" t="str">
        <x:v>TODO</x:v>
      </x:c>
      <x:c r="K1721" s="15" t="str">
        <x:v>P1</x:v>
      </x:c>
      <x:c r="L1721" s="15" t="str">
        <x:v>Done only when evidence is logged, contradiction search is noted, and boundary stamp remains non-canon unless ratified</x:v>
      </x:c>
      <x:c r="M1721" s="15" t="str">
        <x:v>candidate / staging-only / not canon / not deployed / authority none</x:v>
      </x:c>
      <x:c r="N1721" s="15" t="str">
        <x:v>Dispatch to JoySignal: complete Canon-Gate Prep x Gamma; return deltas only, receipts required.</x:v>
      </x:c>
      <x:c r="O1721" s="15" t="str">
        <x:v>AF-KG-H12-S04</x:v>
      </x:c>
      <x:c r="P1721" s="15" t="str">
        <x:v>Unverified</x:v>
      </x:c>
      <x:c r="Q1721" s="15" t="str">
        <x:v>Not checked</x:v>
      </x:c>
      <x:c r="R1721" s="15" t="str"/>
      <x:c r="S1721" s="15" t="str"/>
      <x:c r="T1721" s="15" t="str">
        <x:v>Log first source path or blocker</x:v>
      </x:c>
      <x:c r="U1721" s="12" t="str">
        <x:f>IF(OR(P1721="Unverified",Q1721="Not checked"),"BLOCKED_PENDING_RECEIPT","READY_FOR_REVIEW")</x:f>
        <x:v>BLOCKED_PENDING_RECEIPT</x:v>
      </x:c>
      <x:c r="V1721" s="12" t="str">
        <x:f>IF(J1721="DONE","RETURNED",IF(U1721="BLOCKED_PENDING_RECEIPT","SOURCE_TOUCH_REQUIRED","IN_PROGRESS"))</x:f>
        <x:v>SOURCE_TOUCH_REQUIRED</x:v>
      </x:c>
      <x:c r="W1721" s="12" t="str">
        <x:f>IF(P1721="Unverified","missing_receipt","receipt_logged")</x:f>
        <x:v>missing_receipt</x:v>
      </x:c>
      <x:c r="X1721" s="12" t="str">
        <x:f>IF(Q1721="Not checked","raw_status_missing","raw_status_logged")</x:f>
        <x:v>raw_status_missing</x:v>
      </x:c>
      <x:c r="Y1721" s="12" t="str">
        <x:f>IF(U1721="BLOCKED_PENDING_RECEIPT","Log source path or blocker; do not promote","Route to review lane")</x:f>
        <x:v>Log source path or blocker; do not promote</x:v>
      </x:c>
      <x:c r="Z1721" s="12" t="str">
        <x:f>IF(K1721="P0","Primary seat + Hashlight/Lucerna","Seat lane")</x:f>
        <x:v>Seat lane</x:v>
      </x:c>
      <x:c r="AA1721" s="12" t="str">
        <x:f>IF(R1721="","no_claim_delta","claim_delta_present")</x:f>
        <x:v>no_claim_delta</x:v>
      </x:c>
      <x:c r="AB1721" s="12" t="str">
        <x:f>IF(S1721="","no_contradiction_delta","contradiction_delta_present")</x:f>
        <x:v>no_contradiction_delta</x:v>
      </x:c>
      <x:c r="AC1721" s="12" t="str">
        <x:f>IF(OR(ISNUMBER(SEARCH("hacker",LOWER(F1721&amp;" "&amp;H1721&amp;" "&amp;I1721&amp;" "&amp;M1721&amp;" "&amp;N1721&amp;" "&amp;T1721))),ISNUMBER(SEARCH("hacking",LOWER(F1721&amp;" "&amp;H1721&amp;" "&amp;I1721&amp;" "&amp;M1721&amp;" "&amp;N1721&amp;" "&amp;T1721))),ISNUMBER(SEARCH("bank",LOWER(F1721&amp;" "&amp;H1721&amp;" "&amp;I1721&amp;" "&amp;M1721&amp;" "&amp;N1721&amp;" "&amp;T1721))),ISNUMBER(SEARCH("banking",LOWER(F1721&amp;" "&amp;H1721&amp;" "&amp;I1721&amp;" "&amp;M1721&amp;" "&amp;N1721&amp;" "&amp;T1721)))),"PRIVATE_QUARANTINE",IF(OR(ISNUMBER(SEARCH("treasury",LOWER(F1721&amp;" "&amp;H1721&amp;" "&amp;I1721&amp;" "&amp;M1721&amp;" "&amp;N1721&amp;" "&amp;T1721))),ISNUMBER(SEARCH("debt",LOWER(F1721&amp;" "&amp;H1721&amp;" "&amp;I1721&amp;" "&amp;M1721&amp;" "&amp;N1721&amp;" "&amp;T1721))),ISNUMBER(SEARCH("bond",LOWER(F1721&amp;" "&amp;H1721&amp;" "&amp;I1721&amp;" "&amp;M1721&amp;" "&amp;N1721&amp;" "&amp;T1721))),ISNUMBER(SEARCH("transaction",LOWER(F1721&amp;" "&amp;H1721&amp;" "&amp;I1721&amp;" "&amp;M1721&amp;" "&amp;N1721&amp;" "&amp;T1721)))),"PRIVATE_REVIEW","PUBLIC_CANDIDATE"))</x:f>
        <x:v>PUBLIC_CANDIDATE</x:v>
      </x:c>
      <x:c r="AD1721" s="12" t="str">
        <x:f>IF(AC1721="PRIVATE_QUARANTINE","hacker_or_bank_trigger",IF(AC1721="PRIVATE_REVIEW","finance_risk_trigger","none"))</x:f>
        <x:v>none</x:v>
      </x:c>
      <x:c r="AE1721" s="12" t="str">
        <x:f>IF(AC1721="PUBLIC_CANDIDATE","prepare_public_github_candidate",IF(AC1721="PRIVATE_REVIEW","hold_for_private_review","quarantine_private_do_not_publish"))</x:f>
        <x:v>prepare_public_github_candidate</x:v>
      </x:c>
      <x:c r="AF1721" s="12" t="str">
        <x:f>IF(AC1721="PUBLIC_CANDIDATE","TIDELOCK + Lucerna",IF(AC1721="PRIVATE_REVIEW","AtlasBrain + Lucerna","TIDELOCK + Lucerna + Human-root"))</x:f>
        <x:v>TIDELOCK + Lucerna</x:v>
      </x:c>
      <x:c r="AG1721" s="12" t="str">
        <x:f>IF(AND(AC1721="PUBLIC_CANDIDATE",U1721&lt;&gt;"BLOCKED_PENDING_RECEIPT"),"READY_AFTER_RECEIPT","NOT_READY")</x:f>
        <x:v>NOT_READY</x:v>
      </x:c>
      <x:c r="AH1721" s="12" t="str">
        <x:f>IF(AC1721="PUBLIC_CANDIDATE","none",AD1721)</x:f>
        <x:v>none</x:v>
      </x:c>
      <x:c r="AI1721" s="12" t="str">
        <x:f>IF(AC1721="PUBLIC_CANDIDATE","archive/public_candidates/"&amp;A1721,"private_quarantine/"&amp;A1721)</x:f>
        <x:v>archive/public_candidates/SWARM-12-H12-S04</x:v>
      </x:c>
      <x:c r="AJ1721" s="12" t="str">
        <x:f>IF(AC1721="PUBLIC_CANDIDATE","public by default; still not canon","private/hold; do not publish")</x:f>
        <x:v>public by default; still not canon</x:v>
      </x:c>
      <x:c r="AK1721" s="12" t="str">
        <x:f>IF(AE1721="prepare_public_github_candidate","add receipt/status then mirror","resolve blocker before any public GitHub action")</x:f>
        <x:v>add receipt/status then mirror</x:v>
      </x:c>
    </x:row>
    <x:row r="1722">
      <x:c r="A1722" s="15" t="str">
        <x:v>SWARM-12-H12-S05</x:v>
      </x:c>
      <x:c r="B1722" s="15" t="str">
        <x:v>JoySignal</x:v>
      </x:c>
      <x:c r="C1722" s="15" t="str">
        <x:v>Rest and morale keeper</x:v>
      </x:c>
      <x:c r="D1722" s="15" t="str">
        <x:v>Canon-Gate Prep</x:v>
      </x:c>
      <x:c r="E1722" s="15" t="str">
        <x:v>Chat</x:v>
      </x:c>
      <x:c r="F1722" s="15" t="str">
        <x:v>Prepare canon-gate brief for Chat — JoySignal</x:v>
      </x:c>
      <x:c r="G1722" s="15" t="str">
        <x:v>cadence / anti-burnout / safe completion language</x:v>
      </x:c>
      <x:c r="H1722" s="15" t="str">
        <x:v>source path + receipt + raw/export status + claim/edge/risk delta</x:v>
      </x:c>
      <x:c r="I1722" s="15" t="str">
        <x:v>packet/SWARM-12-H12-S05</x:v>
      </x:c>
      <x:c r="J1722" s="15" t="str">
        <x:v>TODO</x:v>
      </x:c>
      <x:c r="K1722" s="15" t="str">
        <x:v>P1</x:v>
      </x:c>
      <x:c r="L1722" s="15" t="str">
        <x:v>Done only when evidence is logged, contradiction search is noted, and boundary stamp remains non-canon unless ratified</x:v>
      </x:c>
      <x:c r="M1722" s="15" t="str">
        <x:v>candidate / staging-only / not canon / not deployed / authority none</x:v>
      </x:c>
      <x:c r="N1722" s="15" t="str">
        <x:v>Dispatch to JoySignal: complete Canon-Gate Prep x Chat; return deltas only, receipts required.</x:v>
      </x:c>
      <x:c r="O1722" s="15" t="str">
        <x:v>AF-KG-H12-S05</x:v>
      </x:c>
      <x:c r="P1722" s="15" t="str">
        <x:v>Unverified</x:v>
      </x:c>
      <x:c r="Q1722" s="15" t="str">
        <x:v>Not checked</x:v>
      </x:c>
      <x:c r="R1722" s="15" t="str"/>
      <x:c r="S1722" s="15" t="str"/>
      <x:c r="T1722" s="15" t="str">
        <x:v>Log first source path or blocker</x:v>
      </x:c>
      <x:c r="U1722" s="12" t="str">
        <x:f>IF(OR(P1722="Unverified",Q1722="Not checked"),"BLOCKED_PENDING_RECEIPT","READY_FOR_REVIEW")</x:f>
        <x:v>BLOCKED_PENDING_RECEIPT</x:v>
      </x:c>
      <x:c r="V1722" s="12" t="str">
        <x:f>IF(J1722="DONE","RETURNED",IF(U1722="BLOCKED_PENDING_RECEIPT","SOURCE_TOUCH_REQUIRED","IN_PROGRESS"))</x:f>
        <x:v>SOURCE_TOUCH_REQUIRED</x:v>
      </x:c>
      <x:c r="W1722" s="12" t="str">
        <x:f>IF(P1722="Unverified","missing_receipt","receipt_logged")</x:f>
        <x:v>missing_receipt</x:v>
      </x:c>
      <x:c r="X1722" s="12" t="str">
        <x:f>IF(Q1722="Not checked","raw_status_missing","raw_status_logged")</x:f>
        <x:v>raw_status_missing</x:v>
      </x:c>
      <x:c r="Y1722" s="12" t="str">
        <x:f>IF(U1722="BLOCKED_PENDING_RECEIPT","Log source path or blocker; do not promote","Route to review lane")</x:f>
        <x:v>Log source path or blocker; do not promote</x:v>
      </x:c>
      <x:c r="Z1722" s="12" t="str">
        <x:f>IF(K1722="P0","Primary seat + Hashlight/Lucerna","Seat lane")</x:f>
        <x:v>Seat lane</x:v>
      </x:c>
      <x:c r="AA1722" s="12" t="str">
        <x:f>IF(R1722="","no_claim_delta","claim_delta_present")</x:f>
        <x:v>no_claim_delta</x:v>
      </x:c>
      <x:c r="AB1722" s="12" t="str">
        <x:f>IF(S1722="","no_contradiction_delta","contradiction_delta_present")</x:f>
        <x:v>no_contradiction_delta</x:v>
      </x:c>
      <x:c r="AC1722" s="12" t="str">
        <x:f>IF(OR(ISNUMBER(SEARCH("hacker",LOWER(F1722&amp;" "&amp;H1722&amp;" "&amp;I1722&amp;" "&amp;M1722&amp;" "&amp;N1722&amp;" "&amp;T1722))),ISNUMBER(SEARCH("hacking",LOWER(F1722&amp;" "&amp;H1722&amp;" "&amp;I1722&amp;" "&amp;M1722&amp;" "&amp;N1722&amp;" "&amp;T1722))),ISNUMBER(SEARCH("bank",LOWER(F1722&amp;" "&amp;H1722&amp;" "&amp;I1722&amp;" "&amp;M1722&amp;" "&amp;N1722&amp;" "&amp;T1722))),ISNUMBER(SEARCH("banking",LOWER(F1722&amp;" "&amp;H1722&amp;" "&amp;I1722&amp;" "&amp;M1722&amp;" "&amp;N1722&amp;" "&amp;T1722)))),"PRIVATE_QUARANTINE",IF(OR(ISNUMBER(SEARCH("treasury",LOWER(F1722&amp;" "&amp;H1722&amp;" "&amp;I1722&amp;" "&amp;M1722&amp;" "&amp;N1722&amp;" "&amp;T1722))),ISNUMBER(SEARCH("debt",LOWER(F1722&amp;" "&amp;H1722&amp;" "&amp;I1722&amp;" "&amp;M1722&amp;" "&amp;N1722&amp;" "&amp;T1722))),ISNUMBER(SEARCH("bond",LOWER(F1722&amp;" "&amp;H1722&amp;" "&amp;I1722&amp;" "&amp;M1722&amp;" "&amp;N1722&amp;" "&amp;T1722))),ISNUMBER(SEARCH("transaction",LOWER(F1722&amp;" "&amp;H1722&amp;" "&amp;I1722&amp;" "&amp;M1722&amp;" "&amp;N1722&amp;" "&amp;T1722)))),"PRIVATE_REVIEW","PUBLIC_CANDIDATE"))</x:f>
        <x:v>PUBLIC_CANDIDATE</x:v>
      </x:c>
      <x:c r="AD1722" s="12" t="str">
        <x:f>IF(AC1722="PRIVATE_QUARANTINE","hacker_or_bank_trigger",IF(AC1722="PRIVATE_REVIEW","finance_risk_trigger","none"))</x:f>
        <x:v>none</x:v>
      </x:c>
      <x:c r="AE1722" s="12" t="str">
        <x:f>IF(AC1722="PUBLIC_CANDIDATE","prepare_public_github_candidate",IF(AC1722="PRIVATE_REVIEW","hold_for_private_review","quarantine_private_do_not_publish"))</x:f>
        <x:v>prepare_public_github_candidate</x:v>
      </x:c>
      <x:c r="AF1722" s="12" t="str">
        <x:f>IF(AC1722="PUBLIC_CANDIDATE","TIDELOCK + Lucerna",IF(AC1722="PRIVATE_REVIEW","AtlasBrain + Lucerna","TIDELOCK + Lucerna + Human-root"))</x:f>
        <x:v>TIDELOCK + Lucerna</x:v>
      </x:c>
      <x:c r="AG1722" s="12" t="str">
        <x:f>IF(AND(AC1722="PUBLIC_CANDIDATE",U1722&lt;&gt;"BLOCKED_PENDING_RECEIPT"),"READY_AFTER_RECEIPT","NOT_READY")</x:f>
        <x:v>NOT_READY</x:v>
      </x:c>
      <x:c r="AH1722" s="12" t="str">
        <x:f>IF(AC1722="PUBLIC_CANDIDATE","none",AD1722)</x:f>
        <x:v>none</x:v>
      </x:c>
      <x:c r="AI1722" s="12" t="str">
        <x:f>IF(AC1722="PUBLIC_CANDIDATE","archive/public_candidates/"&amp;A1722,"private_quarantine/"&amp;A1722)</x:f>
        <x:v>archive/public_candidates/SWARM-12-H12-S05</x:v>
      </x:c>
      <x:c r="AJ1722" s="12" t="str">
        <x:f>IF(AC1722="PUBLIC_CANDIDATE","public by default; still not canon","private/hold; do not publish")</x:f>
        <x:v>public by default; still not canon</x:v>
      </x:c>
      <x:c r="AK1722" s="12" t="str">
        <x:f>IF(AE1722="prepare_public_github_candidate","add receipt/status then mirror","resolve blocker before any public GitHub action")</x:f>
        <x:v>add receipt/status then mirror</x:v>
      </x:c>
    </x:row>
    <x:row r="1723">
      <x:c r="A1723" s="15" t="str">
        <x:v>SWARM-12-H12-S06</x:v>
      </x:c>
      <x:c r="B1723" s="15" t="str">
        <x:v>JoySignal</x:v>
      </x:c>
      <x:c r="C1723" s="15" t="str">
        <x:v>Rest and morale keeper</x:v>
      </x:c>
      <x:c r="D1723" s="15" t="str">
        <x:v>Canon-Gate Prep</x:v>
      </x:c>
      <x:c r="E1723" s="15" t="str">
        <x:v>External Web</x:v>
      </x:c>
      <x:c r="F1723" s="15" t="str">
        <x:v>Prepare canon-gate brief for External Web — JoySignal</x:v>
      </x:c>
      <x:c r="G1723" s="15" t="str">
        <x:v>cadence / anti-burnout / safe completion language</x:v>
      </x:c>
      <x:c r="H1723" s="15" t="str">
        <x:v>source path + receipt + raw/export status + claim/edge/risk delta</x:v>
      </x:c>
      <x:c r="I1723" s="15" t="str">
        <x:v>packet/SWARM-12-H12-S06</x:v>
      </x:c>
      <x:c r="J1723" s="15" t="str">
        <x:v>TODO</x:v>
      </x:c>
      <x:c r="K1723" s="15" t="str">
        <x:v>P1</x:v>
      </x:c>
      <x:c r="L1723" s="15" t="str">
        <x:v>Done only when evidence is logged, contradiction search is noted, and boundary stamp remains non-canon unless ratified</x:v>
      </x:c>
      <x:c r="M1723" s="15" t="str">
        <x:v>candidate / staging-only / not canon / not deployed / authority none</x:v>
      </x:c>
      <x:c r="N1723" s="15" t="str">
        <x:v>Dispatch to JoySignal: complete Canon-Gate Prep x External Web; return deltas only, receipts required.</x:v>
      </x:c>
      <x:c r="O1723" s="15" t="str">
        <x:v>AF-KG-H12-S06</x:v>
      </x:c>
      <x:c r="P1723" s="15" t="str">
        <x:v>Unverified</x:v>
      </x:c>
      <x:c r="Q1723" s="15" t="str">
        <x:v>Not checked</x:v>
      </x:c>
      <x:c r="R1723" s="15" t="str"/>
      <x:c r="S1723" s="15" t="str"/>
      <x:c r="T1723" s="15" t="str">
        <x:v>Log first source path or blocker</x:v>
      </x:c>
      <x:c r="U1723" s="12" t="str">
        <x:f>IF(OR(P1723="Unverified",Q1723="Not checked"),"BLOCKED_PENDING_RECEIPT","READY_FOR_REVIEW")</x:f>
        <x:v>BLOCKED_PENDING_RECEIPT</x:v>
      </x:c>
      <x:c r="V1723" s="12" t="str">
        <x:f>IF(J1723="DONE","RETURNED",IF(U1723="BLOCKED_PENDING_RECEIPT","SOURCE_TOUCH_REQUIRED","IN_PROGRESS"))</x:f>
        <x:v>SOURCE_TOUCH_REQUIRED</x:v>
      </x:c>
      <x:c r="W1723" s="12" t="str">
        <x:f>IF(P1723="Unverified","missing_receipt","receipt_logged")</x:f>
        <x:v>missing_receipt</x:v>
      </x:c>
      <x:c r="X1723" s="12" t="str">
        <x:f>IF(Q1723="Not checked","raw_status_missing","raw_status_logged")</x:f>
        <x:v>raw_status_missing</x:v>
      </x:c>
      <x:c r="Y1723" s="12" t="str">
        <x:f>IF(U1723="BLOCKED_PENDING_RECEIPT","Log source path or blocker; do not promote","Route to review lane")</x:f>
        <x:v>Log source path or blocker; do not promote</x:v>
      </x:c>
      <x:c r="Z1723" s="12" t="str">
        <x:f>IF(K1723="P0","Primary seat + Hashlight/Lucerna","Seat lane")</x:f>
        <x:v>Seat lane</x:v>
      </x:c>
      <x:c r="AA1723" s="12" t="str">
        <x:f>IF(R1723="","no_claim_delta","claim_delta_present")</x:f>
        <x:v>no_claim_delta</x:v>
      </x:c>
      <x:c r="AB1723" s="12" t="str">
        <x:f>IF(S1723="","no_contradiction_delta","contradiction_delta_present")</x:f>
        <x:v>no_contradiction_delta</x:v>
      </x:c>
      <x:c r="AC1723" s="12" t="str">
        <x:f>IF(OR(ISNUMBER(SEARCH("hacker",LOWER(F1723&amp;" "&amp;H1723&amp;" "&amp;I1723&amp;" "&amp;M1723&amp;" "&amp;N1723&amp;" "&amp;T1723))),ISNUMBER(SEARCH("hacking",LOWER(F1723&amp;" "&amp;H1723&amp;" "&amp;I1723&amp;" "&amp;M1723&amp;" "&amp;N1723&amp;" "&amp;T1723))),ISNUMBER(SEARCH("bank",LOWER(F1723&amp;" "&amp;H1723&amp;" "&amp;I1723&amp;" "&amp;M1723&amp;" "&amp;N1723&amp;" "&amp;T1723))),ISNUMBER(SEARCH("banking",LOWER(F1723&amp;" "&amp;H1723&amp;" "&amp;I1723&amp;" "&amp;M1723&amp;" "&amp;N1723&amp;" "&amp;T1723)))),"PRIVATE_QUARANTINE",IF(OR(ISNUMBER(SEARCH("treasury",LOWER(F1723&amp;" "&amp;H1723&amp;" "&amp;I1723&amp;" "&amp;M1723&amp;" "&amp;N1723&amp;" "&amp;T1723))),ISNUMBER(SEARCH("debt",LOWER(F1723&amp;" "&amp;H1723&amp;" "&amp;I1723&amp;" "&amp;M1723&amp;" "&amp;N1723&amp;" "&amp;T1723))),ISNUMBER(SEARCH("bond",LOWER(F1723&amp;" "&amp;H1723&amp;" "&amp;I1723&amp;" "&amp;M1723&amp;" "&amp;N1723&amp;" "&amp;T1723))),ISNUMBER(SEARCH("transaction",LOWER(F1723&amp;" "&amp;H1723&amp;" "&amp;I1723&amp;" "&amp;M1723&amp;" "&amp;N1723&amp;" "&amp;T1723)))),"PRIVATE_REVIEW","PUBLIC_CANDIDATE"))</x:f>
        <x:v>PUBLIC_CANDIDATE</x:v>
      </x:c>
      <x:c r="AD1723" s="12" t="str">
        <x:f>IF(AC1723="PRIVATE_QUARANTINE","hacker_or_bank_trigger",IF(AC1723="PRIVATE_REVIEW","finance_risk_trigger","none"))</x:f>
        <x:v>none</x:v>
      </x:c>
      <x:c r="AE1723" s="12" t="str">
        <x:f>IF(AC1723="PUBLIC_CANDIDATE","prepare_public_github_candidate",IF(AC1723="PRIVATE_REVIEW","hold_for_private_review","quarantine_private_do_not_publish"))</x:f>
        <x:v>prepare_public_github_candidate</x:v>
      </x:c>
      <x:c r="AF1723" s="12" t="str">
        <x:f>IF(AC1723="PUBLIC_CANDIDATE","TIDELOCK + Lucerna",IF(AC1723="PRIVATE_REVIEW","AtlasBrain + Lucerna","TIDELOCK + Lucerna + Human-root"))</x:f>
        <x:v>TIDELOCK + Lucerna</x:v>
      </x:c>
      <x:c r="AG1723" s="12" t="str">
        <x:f>IF(AND(AC1723="PUBLIC_CANDIDATE",U1723&lt;&gt;"BLOCKED_PENDING_RECEIPT"),"READY_AFTER_RECEIPT","NOT_READY")</x:f>
        <x:v>NOT_READY</x:v>
      </x:c>
      <x:c r="AH1723" s="12" t="str">
        <x:f>IF(AC1723="PUBLIC_CANDIDATE","none",AD1723)</x:f>
        <x:v>none</x:v>
      </x:c>
      <x:c r="AI1723" s="12" t="str">
        <x:f>IF(AC1723="PUBLIC_CANDIDATE","archive/public_candidates/"&amp;A1723,"private_quarantine/"&amp;A1723)</x:f>
        <x:v>archive/public_candidates/SWARM-12-H12-S06</x:v>
      </x:c>
      <x:c r="AJ1723" s="12" t="str">
        <x:f>IF(AC1723="PUBLIC_CANDIDATE","public by default; still not canon","private/hold; do not publish")</x:f>
        <x:v>public by default; still not canon</x:v>
      </x:c>
      <x:c r="AK1723" s="12" t="str">
        <x:f>IF(AE1723="prepare_public_github_candidate","add receipt/status then mirror","resolve blocker before any public GitHub action")</x:f>
        <x:v>add receipt/status then mirror</x:v>
      </x:c>
    </x:row>
    <x:row r="1724">
      <x:c r="A1724" s="15" t="str">
        <x:v>SWARM-12-H12-S07</x:v>
      </x:c>
      <x:c r="B1724" s="15" t="str">
        <x:v>JoySignal</x:v>
      </x:c>
      <x:c r="C1724" s="15" t="str">
        <x:v>Rest and morale keeper</x:v>
      </x:c>
      <x:c r="D1724" s="15" t="str">
        <x:v>Canon-Gate Prep</x:v>
      </x:c>
      <x:c r="E1724" s="15" t="str">
        <x:v>Planetarium</x:v>
      </x:c>
      <x:c r="F1724" s="15" t="str">
        <x:v>Prepare canon-gate brief for Planetarium — JoySignal</x:v>
      </x:c>
      <x:c r="G1724" s="15" t="str">
        <x:v>cadence / anti-burnout / safe completion language</x:v>
      </x:c>
      <x:c r="H1724" s="15" t="str">
        <x:v>source path + receipt + raw/export status + claim/edge/risk delta</x:v>
      </x:c>
      <x:c r="I1724" s="15" t="str">
        <x:v>packet/SWARM-12-H12-S07</x:v>
      </x:c>
      <x:c r="J1724" s="15" t="str">
        <x:v>TODO</x:v>
      </x:c>
      <x:c r="K1724" s="15" t="str">
        <x:v>P1</x:v>
      </x:c>
      <x:c r="L1724" s="15" t="str">
        <x:v>Done only when evidence is logged, contradiction search is noted, and boundary stamp remains non-canon unless ratified</x:v>
      </x:c>
      <x:c r="M1724" s="15" t="str">
        <x:v>candidate / staging-only / not canon / not deployed / authority none</x:v>
      </x:c>
      <x:c r="N1724" s="15" t="str">
        <x:v>Dispatch to JoySignal: complete Canon-Gate Prep x Planetarium; return deltas only, receipts required.</x:v>
      </x:c>
      <x:c r="O1724" s="15" t="str">
        <x:v>AF-KG-H12-S07</x:v>
      </x:c>
      <x:c r="P1724" s="15" t="str">
        <x:v>Unverified</x:v>
      </x:c>
      <x:c r="Q1724" s="15" t="str">
        <x:v>Not checked</x:v>
      </x:c>
      <x:c r="R1724" s="15" t="str"/>
      <x:c r="S1724" s="15" t="str"/>
      <x:c r="T1724" s="15" t="str">
        <x:v>Log first source path or blocker</x:v>
      </x:c>
      <x:c r="U1724" s="12" t="str">
        <x:f>IF(OR(P1724="Unverified",Q1724="Not checked"),"BLOCKED_PENDING_RECEIPT","READY_FOR_REVIEW")</x:f>
        <x:v>BLOCKED_PENDING_RECEIPT</x:v>
      </x:c>
      <x:c r="V1724" s="12" t="str">
        <x:f>IF(J1724="DONE","RETURNED",IF(U1724="BLOCKED_PENDING_RECEIPT","SOURCE_TOUCH_REQUIRED","IN_PROGRESS"))</x:f>
        <x:v>SOURCE_TOUCH_REQUIRED</x:v>
      </x:c>
      <x:c r="W1724" s="12" t="str">
        <x:f>IF(P1724="Unverified","missing_receipt","receipt_logged")</x:f>
        <x:v>missing_receipt</x:v>
      </x:c>
      <x:c r="X1724" s="12" t="str">
        <x:f>IF(Q1724="Not checked","raw_status_missing","raw_status_logged")</x:f>
        <x:v>raw_status_missing</x:v>
      </x:c>
      <x:c r="Y1724" s="12" t="str">
        <x:f>IF(U1724="BLOCKED_PENDING_RECEIPT","Log source path or blocker; do not promote","Route to review lane")</x:f>
        <x:v>Log source path or blocker; do not promote</x:v>
      </x:c>
      <x:c r="Z1724" s="12" t="str">
        <x:f>IF(K1724="P0","Primary seat + Hashlight/Lucerna","Seat lane")</x:f>
        <x:v>Seat lane</x:v>
      </x:c>
      <x:c r="AA1724" s="12" t="str">
        <x:f>IF(R1724="","no_claim_delta","claim_delta_present")</x:f>
        <x:v>no_claim_delta</x:v>
      </x:c>
      <x:c r="AB1724" s="12" t="str">
        <x:f>IF(S1724="","no_contradiction_delta","contradiction_delta_present")</x:f>
        <x:v>no_contradiction_delta</x:v>
      </x:c>
      <x:c r="AC1724" s="12" t="str">
        <x:f>IF(OR(ISNUMBER(SEARCH("hacker",LOWER(F1724&amp;" "&amp;H1724&amp;" "&amp;I1724&amp;" "&amp;M1724&amp;" "&amp;N1724&amp;" "&amp;T1724))),ISNUMBER(SEARCH("hacking",LOWER(F1724&amp;" "&amp;H1724&amp;" "&amp;I1724&amp;" "&amp;M1724&amp;" "&amp;N1724&amp;" "&amp;T1724))),ISNUMBER(SEARCH("bank",LOWER(F1724&amp;" "&amp;H1724&amp;" "&amp;I1724&amp;" "&amp;M1724&amp;" "&amp;N1724&amp;" "&amp;T1724))),ISNUMBER(SEARCH("banking",LOWER(F1724&amp;" "&amp;H1724&amp;" "&amp;I1724&amp;" "&amp;M1724&amp;" "&amp;N1724&amp;" "&amp;T1724)))),"PRIVATE_QUARANTINE",IF(OR(ISNUMBER(SEARCH("treasury",LOWER(F1724&amp;" "&amp;H1724&amp;" "&amp;I1724&amp;" "&amp;M1724&amp;" "&amp;N1724&amp;" "&amp;T1724))),ISNUMBER(SEARCH("debt",LOWER(F1724&amp;" "&amp;H1724&amp;" "&amp;I1724&amp;" "&amp;M1724&amp;" "&amp;N1724&amp;" "&amp;T1724))),ISNUMBER(SEARCH("bond",LOWER(F1724&amp;" "&amp;H1724&amp;" "&amp;I1724&amp;" "&amp;M1724&amp;" "&amp;N1724&amp;" "&amp;T1724))),ISNUMBER(SEARCH("transaction",LOWER(F1724&amp;" "&amp;H1724&amp;" "&amp;I1724&amp;" "&amp;M1724&amp;" "&amp;N1724&amp;" "&amp;T1724)))),"PRIVATE_REVIEW","PUBLIC_CANDIDATE"))</x:f>
        <x:v>PUBLIC_CANDIDATE</x:v>
      </x:c>
      <x:c r="AD1724" s="12" t="str">
        <x:f>IF(AC1724="PRIVATE_QUARANTINE","hacker_or_bank_trigger",IF(AC1724="PRIVATE_REVIEW","finance_risk_trigger","none"))</x:f>
        <x:v>none</x:v>
      </x:c>
      <x:c r="AE1724" s="12" t="str">
        <x:f>IF(AC1724="PUBLIC_CANDIDATE","prepare_public_github_candidate",IF(AC1724="PRIVATE_REVIEW","hold_for_private_review","quarantine_private_do_not_publish"))</x:f>
        <x:v>prepare_public_github_candidate</x:v>
      </x:c>
      <x:c r="AF1724" s="12" t="str">
        <x:f>IF(AC1724="PUBLIC_CANDIDATE","TIDELOCK + Lucerna",IF(AC1724="PRIVATE_REVIEW","AtlasBrain + Lucerna","TIDELOCK + Lucerna + Human-root"))</x:f>
        <x:v>TIDELOCK + Lucerna</x:v>
      </x:c>
      <x:c r="AG1724" s="12" t="str">
        <x:f>IF(AND(AC1724="PUBLIC_CANDIDATE",U1724&lt;&gt;"BLOCKED_PENDING_RECEIPT"),"READY_AFTER_RECEIPT","NOT_READY")</x:f>
        <x:v>NOT_READY</x:v>
      </x:c>
      <x:c r="AH1724" s="12" t="str">
        <x:f>IF(AC1724="PUBLIC_CANDIDATE","none",AD1724)</x:f>
        <x:v>none</x:v>
      </x:c>
      <x:c r="AI1724" s="12" t="str">
        <x:f>IF(AC1724="PUBLIC_CANDIDATE","archive/public_candidates/"&amp;A1724,"private_quarantine/"&amp;A1724)</x:f>
        <x:v>archive/public_candidates/SWARM-12-H12-S07</x:v>
      </x:c>
      <x:c r="AJ1724" s="12" t="str">
        <x:f>IF(AC1724="PUBLIC_CANDIDATE","public by default; still not canon","private/hold; do not publish")</x:f>
        <x:v>public by default; still not canon</x:v>
      </x:c>
      <x:c r="AK1724" s="12" t="str">
        <x:f>IF(AE1724="prepare_public_github_candidate","add receipt/status then mirror","resolve blocker before any public GitHub action")</x:f>
        <x:v>add receipt/status then mirror</x:v>
      </x:c>
    </x:row>
    <x:row r="1725">
      <x:c r="A1725" s="15" t="str">
        <x:v>SWARM-12-H12-S08</x:v>
      </x:c>
      <x:c r="B1725" s="15" t="str">
        <x:v>JoySignal</x:v>
      </x:c>
      <x:c r="C1725" s="15" t="str">
        <x:v>Rest and morale keeper</x:v>
      </x:c>
      <x:c r="D1725" s="15" t="str">
        <x:v>Canon-Gate Prep</x:v>
      </x:c>
      <x:c r="E1725" s="15" t="str">
        <x:v>Sheldonbrain</x:v>
      </x:c>
      <x:c r="F1725" s="15" t="str">
        <x:v>Prepare canon-gate brief for Sheldonbrain — JoySignal</x:v>
      </x:c>
      <x:c r="G1725" s="15" t="str">
        <x:v>cadence / anti-burnout / safe completion language</x:v>
      </x:c>
      <x:c r="H1725" s="15" t="str">
        <x:v>source path + receipt + raw/export status + claim/edge/risk delta</x:v>
      </x:c>
      <x:c r="I1725" s="15" t="str">
        <x:v>packet/SWARM-12-H12-S08</x:v>
      </x:c>
      <x:c r="J1725" s="15" t="str">
        <x:v>TODO</x:v>
      </x:c>
      <x:c r="K1725" s="15" t="str">
        <x:v>P1</x:v>
      </x:c>
      <x:c r="L1725" s="15" t="str">
        <x:v>Done only when evidence is logged, contradiction search is noted, and boundary stamp remains non-canon unless ratified</x:v>
      </x:c>
      <x:c r="M1725" s="15" t="str">
        <x:v>candidate / staging-only / not canon / not deployed / authority none</x:v>
      </x:c>
      <x:c r="N1725" s="15" t="str">
        <x:v>Dispatch to JoySignal: complete Canon-Gate Prep x Sheldonbrain; return deltas only, receipts required.</x:v>
      </x:c>
      <x:c r="O1725" s="15" t="str">
        <x:v>AF-KG-H12-S08</x:v>
      </x:c>
      <x:c r="P1725" s="15" t="str">
        <x:v>Unverified</x:v>
      </x:c>
      <x:c r="Q1725" s="15" t="str">
        <x:v>Not checked</x:v>
      </x:c>
      <x:c r="R1725" s="15" t="str"/>
      <x:c r="S1725" s="15" t="str"/>
      <x:c r="T1725" s="15" t="str">
        <x:v>Log first source path or blocker</x:v>
      </x:c>
      <x:c r="U1725" s="12" t="str">
        <x:f>IF(OR(P1725="Unverified",Q1725="Not checked"),"BLOCKED_PENDING_RECEIPT","READY_FOR_REVIEW")</x:f>
        <x:v>BLOCKED_PENDING_RECEIPT</x:v>
      </x:c>
      <x:c r="V1725" s="12" t="str">
        <x:f>IF(J1725="DONE","RETURNED",IF(U1725="BLOCKED_PENDING_RECEIPT","SOURCE_TOUCH_REQUIRED","IN_PROGRESS"))</x:f>
        <x:v>SOURCE_TOUCH_REQUIRED</x:v>
      </x:c>
      <x:c r="W1725" s="12" t="str">
        <x:f>IF(P1725="Unverified","missing_receipt","receipt_logged")</x:f>
        <x:v>missing_receipt</x:v>
      </x:c>
      <x:c r="X1725" s="12" t="str">
        <x:f>IF(Q1725="Not checked","raw_status_missing","raw_status_logged")</x:f>
        <x:v>raw_status_missing</x:v>
      </x:c>
      <x:c r="Y1725" s="12" t="str">
        <x:f>IF(U1725="BLOCKED_PENDING_RECEIPT","Log source path or blocker; do not promote","Route to review lane")</x:f>
        <x:v>Log source path or blocker; do not promote</x:v>
      </x:c>
      <x:c r="Z1725" s="12" t="str">
        <x:f>IF(K1725="P0","Primary seat + Hashlight/Lucerna","Seat lane")</x:f>
        <x:v>Seat lane</x:v>
      </x:c>
      <x:c r="AA1725" s="12" t="str">
        <x:f>IF(R1725="","no_claim_delta","claim_delta_present")</x:f>
        <x:v>no_claim_delta</x:v>
      </x:c>
      <x:c r="AB1725" s="12" t="str">
        <x:f>IF(S1725="","no_contradiction_delta","contradiction_delta_present")</x:f>
        <x:v>no_contradiction_delta</x:v>
      </x:c>
      <x:c r="AC1725" s="12" t="str">
        <x:f>IF(OR(ISNUMBER(SEARCH("hacker",LOWER(F1725&amp;" "&amp;H1725&amp;" "&amp;I1725&amp;" "&amp;M1725&amp;" "&amp;N1725&amp;" "&amp;T1725))),ISNUMBER(SEARCH("hacking",LOWER(F1725&amp;" "&amp;H1725&amp;" "&amp;I1725&amp;" "&amp;M1725&amp;" "&amp;N1725&amp;" "&amp;T1725))),ISNUMBER(SEARCH("bank",LOWER(F1725&amp;" "&amp;H1725&amp;" "&amp;I1725&amp;" "&amp;M1725&amp;" "&amp;N1725&amp;" "&amp;T1725))),ISNUMBER(SEARCH("banking",LOWER(F1725&amp;" "&amp;H1725&amp;" "&amp;I1725&amp;" "&amp;M1725&amp;" "&amp;N1725&amp;" "&amp;T1725)))),"PRIVATE_QUARANTINE",IF(OR(ISNUMBER(SEARCH("treasury",LOWER(F1725&amp;" "&amp;H1725&amp;" "&amp;I1725&amp;" "&amp;M1725&amp;" "&amp;N1725&amp;" "&amp;T1725))),ISNUMBER(SEARCH("debt",LOWER(F1725&amp;" "&amp;H1725&amp;" "&amp;I1725&amp;" "&amp;M1725&amp;" "&amp;N1725&amp;" "&amp;T1725))),ISNUMBER(SEARCH("bond",LOWER(F1725&amp;" "&amp;H1725&amp;" "&amp;I1725&amp;" "&amp;M1725&amp;" "&amp;N1725&amp;" "&amp;T1725))),ISNUMBER(SEARCH("transaction",LOWER(F1725&amp;" "&amp;H1725&amp;" "&amp;I1725&amp;" "&amp;M1725&amp;" "&amp;N1725&amp;" "&amp;T1725)))),"PRIVATE_REVIEW","PUBLIC_CANDIDATE"))</x:f>
        <x:v>PUBLIC_CANDIDATE</x:v>
      </x:c>
      <x:c r="AD1725" s="12" t="str">
        <x:f>IF(AC1725="PRIVATE_QUARANTINE","hacker_or_bank_trigger",IF(AC1725="PRIVATE_REVIEW","finance_risk_trigger","none"))</x:f>
        <x:v>none</x:v>
      </x:c>
      <x:c r="AE1725" s="12" t="str">
        <x:f>IF(AC1725="PUBLIC_CANDIDATE","prepare_public_github_candidate",IF(AC1725="PRIVATE_REVIEW","hold_for_private_review","quarantine_private_do_not_publish"))</x:f>
        <x:v>prepare_public_github_candidate</x:v>
      </x:c>
      <x:c r="AF1725" s="12" t="str">
        <x:f>IF(AC1725="PUBLIC_CANDIDATE","TIDELOCK + Lucerna",IF(AC1725="PRIVATE_REVIEW","AtlasBrain + Lucerna","TIDELOCK + Lucerna + Human-root"))</x:f>
        <x:v>TIDELOCK + Lucerna</x:v>
      </x:c>
      <x:c r="AG1725" s="12" t="str">
        <x:f>IF(AND(AC1725="PUBLIC_CANDIDATE",U1725&lt;&gt;"BLOCKED_PENDING_RECEIPT"),"READY_AFTER_RECEIPT","NOT_READY")</x:f>
        <x:v>NOT_READY</x:v>
      </x:c>
      <x:c r="AH1725" s="12" t="str">
        <x:f>IF(AC1725="PUBLIC_CANDIDATE","none",AD1725)</x:f>
        <x:v>none</x:v>
      </x:c>
      <x:c r="AI1725" s="12" t="str">
        <x:f>IF(AC1725="PUBLIC_CANDIDATE","archive/public_candidates/"&amp;A1725,"private_quarantine/"&amp;A1725)</x:f>
        <x:v>archive/public_candidates/SWARM-12-H12-S08</x:v>
      </x:c>
      <x:c r="AJ1725" s="12" t="str">
        <x:f>IF(AC1725="PUBLIC_CANDIDATE","public by default; still not canon","private/hold; do not publish")</x:f>
        <x:v>public by default; still not canon</x:v>
      </x:c>
      <x:c r="AK1725" s="12" t="str">
        <x:f>IF(AE1725="prepare_public_github_candidate","add receipt/status then mirror","resolve blocker before any public GitHub action")</x:f>
        <x:v>add receipt/status then mirror</x:v>
      </x:c>
    </x:row>
    <x:row r="1726">
      <x:c r="A1726" s="15" t="str">
        <x:v>SWARM-12-H12-S09</x:v>
      </x:c>
      <x:c r="B1726" s="15" t="str">
        <x:v>JoySignal</x:v>
      </x:c>
      <x:c r="C1726" s="15" t="str">
        <x:v>Rest and morale keeper</x:v>
      </x:c>
      <x:c r="D1726" s="15" t="str">
        <x:v>Canon-Gate Prep</x:v>
      </x:c>
      <x:c r="E1726" s="15" t="str">
        <x:v>Aetherforge</x:v>
      </x:c>
      <x:c r="F1726" s="15" t="str">
        <x:v>Prepare canon-gate brief for Aetherforge — JoySignal</x:v>
      </x:c>
      <x:c r="G1726" s="15" t="str">
        <x:v>cadence / anti-burnout / safe completion language</x:v>
      </x:c>
      <x:c r="H1726" s="15" t="str">
        <x:v>source path + receipt + raw/export status + claim/edge/risk delta</x:v>
      </x:c>
      <x:c r="I1726" s="15" t="str">
        <x:v>packet/SWARM-12-H12-S09</x:v>
      </x:c>
      <x:c r="J1726" s="15" t="str">
        <x:v>TODO</x:v>
      </x:c>
      <x:c r="K1726" s="15" t="str">
        <x:v>P2</x:v>
      </x:c>
      <x:c r="L1726" s="15" t="str">
        <x:v>Done only when evidence is logged, contradiction search is noted, and boundary stamp remains non-canon unless ratified</x:v>
      </x:c>
      <x:c r="M1726" s="15" t="str">
        <x:v>candidate / staging-only / not canon / not deployed / authority none</x:v>
      </x:c>
      <x:c r="N1726" s="15" t="str">
        <x:v>Dispatch to JoySignal: complete Canon-Gate Prep x Aetherforge; return deltas only, receipts required.</x:v>
      </x:c>
      <x:c r="O1726" s="15" t="str">
        <x:v>AF-KG-H12-S09</x:v>
      </x:c>
      <x:c r="P1726" s="15" t="str">
        <x:v>Unverified</x:v>
      </x:c>
      <x:c r="Q1726" s="15" t="str">
        <x:v>Not checked</x:v>
      </x:c>
      <x:c r="R1726" s="15" t="str"/>
      <x:c r="S1726" s="15" t="str"/>
      <x:c r="T1726" s="15" t="str">
        <x:v>Log first source path or blocker</x:v>
      </x:c>
      <x:c r="U1726" s="12" t="str">
        <x:f>IF(OR(P1726="Unverified",Q1726="Not checked"),"BLOCKED_PENDING_RECEIPT","READY_FOR_REVIEW")</x:f>
        <x:v>BLOCKED_PENDING_RECEIPT</x:v>
      </x:c>
      <x:c r="V1726" s="12" t="str">
        <x:f>IF(J1726="DONE","RETURNED",IF(U1726="BLOCKED_PENDING_RECEIPT","SOURCE_TOUCH_REQUIRED","IN_PROGRESS"))</x:f>
        <x:v>SOURCE_TOUCH_REQUIRED</x:v>
      </x:c>
      <x:c r="W1726" s="12" t="str">
        <x:f>IF(P1726="Unverified","missing_receipt","receipt_logged")</x:f>
        <x:v>missing_receipt</x:v>
      </x:c>
      <x:c r="X1726" s="12" t="str">
        <x:f>IF(Q1726="Not checked","raw_status_missing","raw_status_logged")</x:f>
        <x:v>raw_status_missing</x:v>
      </x:c>
      <x:c r="Y1726" s="12" t="str">
        <x:f>IF(U1726="BLOCKED_PENDING_RECEIPT","Log source path or blocker; do not promote","Route to review lane")</x:f>
        <x:v>Log source path or blocker; do not promote</x:v>
      </x:c>
      <x:c r="Z1726" s="12" t="str">
        <x:f>IF(K1726="P0","Primary seat + Hashlight/Lucerna","Seat lane")</x:f>
        <x:v>Seat lane</x:v>
      </x:c>
      <x:c r="AA1726" s="12" t="str">
        <x:f>IF(R1726="","no_claim_delta","claim_delta_present")</x:f>
        <x:v>no_claim_delta</x:v>
      </x:c>
      <x:c r="AB1726" s="12" t="str">
        <x:f>IF(S1726="","no_contradiction_delta","contradiction_delta_present")</x:f>
        <x:v>no_contradiction_delta</x:v>
      </x:c>
      <x:c r="AC1726" s="12" t="str">
        <x:f>IF(OR(ISNUMBER(SEARCH("hacker",LOWER(F1726&amp;" "&amp;H1726&amp;" "&amp;I1726&amp;" "&amp;M1726&amp;" "&amp;N1726&amp;" "&amp;T1726))),ISNUMBER(SEARCH("hacking",LOWER(F1726&amp;" "&amp;H1726&amp;" "&amp;I1726&amp;" "&amp;M1726&amp;" "&amp;N1726&amp;" "&amp;T1726))),ISNUMBER(SEARCH("bank",LOWER(F1726&amp;" "&amp;H1726&amp;" "&amp;I1726&amp;" "&amp;M1726&amp;" "&amp;N1726&amp;" "&amp;T1726))),ISNUMBER(SEARCH("banking",LOWER(F1726&amp;" "&amp;H1726&amp;" "&amp;I1726&amp;" "&amp;M1726&amp;" "&amp;N1726&amp;" "&amp;T1726)))),"PRIVATE_QUARANTINE",IF(OR(ISNUMBER(SEARCH("treasury",LOWER(F1726&amp;" "&amp;H1726&amp;" "&amp;I1726&amp;" "&amp;M1726&amp;" "&amp;N1726&amp;" "&amp;T1726))),ISNUMBER(SEARCH("debt",LOWER(F1726&amp;" "&amp;H1726&amp;" "&amp;I1726&amp;" "&amp;M1726&amp;" "&amp;N1726&amp;" "&amp;T1726))),ISNUMBER(SEARCH("bond",LOWER(F1726&amp;" "&amp;H1726&amp;" "&amp;I1726&amp;" "&amp;M1726&amp;" "&amp;N1726&amp;" "&amp;T1726))),ISNUMBER(SEARCH("transaction",LOWER(F1726&amp;" "&amp;H1726&amp;" "&amp;I1726&amp;" "&amp;M1726&amp;" "&amp;N1726&amp;" "&amp;T1726)))),"PRIVATE_REVIEW","PUBLIC_CANDIDATE"))</x:f>
        <x:v>PUBLIC_CANDIDATE</x:v>
      </x:c>
      <x:c r="AD1726" s="12" t="str">
        <x:f>IF(AC1726="PRIVATE_QUARANTINE","hacker_or_bank_trigger",IF(AC1726="PRIVATE_REVIEW","finance_risk_trigger","none"))</x:f>
        <x:v>none</x:v>
      </x:c>
      <x:c r="AE1726" s="12" t="str">
        <x:f>IF(AC1726="PUBLIC_CANDIDATE","prepare_public_github_candidate",IF(AC1726="PRIVATE_REVIEW","hold_for_private_review","quarantine_private_do_not_publish"))</x:f>
        <x:v>prepare_public_github_candidate</x:v>
      </x:c>
      <x:c r="AF1726" s="12" t="str">
        <x:f>IF(AC1726="PUBLIC_CANDIDATE","TIDELOCK + Lucerna",IF(AC1726="PRIVATE_REVIEW","AtlasBrain + Lucerna","TIDELOCK + Lucerna + Human-root"))</x:f>
        <x:v>TIDELOCK + Lucerna</x:v>
      </x:c>
      <x:c r="AG1726" s="12" t="str">
        <x:f>IF(AND(AC1726="PUBLIC_CANDIDATE",U1726&lt;&gt;"BLOCKED_PENDING_RECEIPT"),"READY_AFTER_RECEIPT","NOT_READY")</x:f>
        <x:v>NOT_READY</x:v>
      </x:c>
      <x:c r="AH1726" s="12" t="str">
        <x:f>IF(AC1726="PUBLIC_CANDIDATE","none",AD1726)</x:f>
        <x:v>none</x:v>
      </x:c>
      <x:c r="AI1726" s="12" t="str">
        <x:f>IF(AC1726="PUBLIC_CANDIDATE","archive/public_candidates/"&amp;A1726,"private_quarantine/"&amp;A1726)</x:f>
        <x:v>archive/public_candidates/SWARM-12-H12-S09</x:v>
      </x:c>
      <x:c r="AJ1726" s="12" t="str">
        <x:f>IF(AC1726="PUBLIC_CANDIDATE","public by default; still not canon","private/hold; do not publish")</x:f>
        <x:v>public by default; still not canon</x:v>
      </x:c>
      <x:c r="AK1726" s="12" t="str">
        <x:f>IF(AE1726="prepare_public_github_candidate","add receipt/status then mirror","resolve blocker before any public GitHub action")</x:f>
        <x:v>add receipt/status then mirror</x:v>
      </x:c>
    </x:row>
    <x:row r="1727">
      <x:c r="A1727" s="15" t="str">
        <x:v>SWARM-12-H12-S10</x:v>
      </x:c>
      <x:c r="B1727" s="15" t="str">
        <x:v>JoySignal</x:v>
      </x:c>
      <x:c r="C1727" s="15" t="str">
        <x:v>Rest and morale keeper</x:v>
      </x:c>
      <x:c r="D1727" s="15" t="str">
        <x:v>Canon-Gate Prep</x:v>
      </x:c>
      <x:c r="E1727" s="15" t="str">
        <x:v>Human-Root</x:v>
      </x:c>
      <x:c r="F1727" s="15" t="str">
        <x:v>Prepare canon-gate brief for Human-Root — JoySignal</x:v>
      </x:c>
      <x:c r="G1727" s="15" t="str">
        <x:v>cadence / anti-burnout / safe completion language</x:v>
      </x:c>
      <x:c r="H1727" s="15" t="str">
        <x:v>source path + receipt + raw/export status + claim/edge/risk delta</x:v>
      </x:c>
      <x:c r="I1727" s="15" t="str">
        <x:v>packet/SWARM-12-H12-S10</x:v>
      </x:c>
      <x:c r="J1727" s="15" t="str">
        <x:v>TODO</x:v>
      </x:c>
      <x:c r="K1727" s="15" t="str">
        <x:v>P2</x:v>
      </x:c>
      <x:c r="L1727" s="15" t="str">
        <x:v>Done only when evidence is logged, contradiction search is noted, and boundary stamp remains non-canon unless ratified</x:v>
      </x:c>
      <x:c r="M1727" s="15" t="str">
        <x:v>candidate / staging-only / not canon / not deployed / authority none</x:v>
      </x:c>
      <x:c r="N1727" s="15" t="str">
        <x:v>Dispatch to JoySignal: complete Canon-Gate Prep x Human-Root; return deltas only, receipts required.</x:v>
      </x:c>
      <x:c r="O1727" s="15" t="str">
        <x:v>AF-KG-H12-S10</x:v>
      </x:c>
      <x:c r="P1727" s="15" t="str">
        <x:v>Unverified</x:v>
      </x:c>
      <x:c r="Q1727" s="15" t="str">
        <x:v>Not checked</x:v>
      </x:c>
      <x:c r="R1727" s="15" t="str"/>
      <x:c r="S1727" s="15" t="str"/>
      <x:c r="T1727" s="15" t="str">
        <x:v>Log first source path or blocker</x:v>
      </x:c>
      <x:c r="U1727" s="12" t="str">
        <x:f>IF(OR(P1727="Unverified",Q1727="Not checked"),"BLOCKED_PENDING_RECEIPT","READY_FOR_REVIEW")</x:f>
        <x:v>BLOCKED_PENDING_RECEIPT</x:v>
      </x:c>
      <x:c r="V1727" s="12" t="str">
        <x:f>IF(J1727="DONE","RETURNED",IF(U1727="BLOCKED_PENDING_RECEIPT","SOURCE_TOUCH_REQUIRED","IN_PROGRESS"))</x:f>
        <x:v>SOURCE_TOUCH_REQUIRED</x:v>
      </x:c>
      <x:c r="W1727" s="12" t="str">
        <x:f>IF(P1727="Unverified","missing_receipt","receipt_logged")</x:f>
        <x:v>missing_receipt</x:v>
      </x:c>
      <x:c r="X1727" s="12" t="str">
        <x:f>IF(Q1727="Not checked","raw_status_missing","raw_status_logged")</x:f>
        <x:v>raw_status_missing</x:v>
      </x:c>
      <x:c r="Y1727" s="12" t="str">
        <x:f>IF(U1727="BLOCKED_PENDING_RECEIPT","Log source path or blocker; do not promote","Route to review lane")</x:f>
        <x:v>Log source path or blocker; do not promote</x:v>
      </x:c>
      <x:c r="Z1727" s="12" t="str">
        <x:f>IF(K1727="P0","Primary seat + Hashlight/Lucerna","Seat lane")</x:f>
        <x:v>Seat lane</x:v>
      </x:c>
      <x:c r="AA1727" s="12" t="str">
        <x:f>IF(R1727="","no_claim_delta","claim_delta_present")</x:f>
        <x:v>no_claim_delta</x:v>
      </x:c>
      <x:c r="AB1727" s="12" t="str">
        <x:f>IF(S1727="","no_contradiction_delta","contradiction_delta_present")</x:f>
        <x:v>no_contradiction_delta</x:v>
      </x:c>
      <x:c r="AC1727" s="12" t="str">
        <x:f>IF(OR(ISNUMBER(SEARCH("hacker",LOWER(F1727&amp;" "&amp;H1727&amp;" "&amp;I1727&amp;" "&amp;M1727&amp;" "&amp;N1727&amp;" "&amp;T1727))),ISNUMBER(SEARCH("hacking",LOWER(F1727&amp;" "&amp;H1727&amp;" "&amp;I1727&amp;" "&amp;M1727&amp;" "&amp;N1727&amp;" "&amp;T1727))),ISNUMBER(SEARCH("bank",LOWER(F1727&amp;" "&amp;H1727&amp;" "&amp;I1727&amp;" "&amp;M1727&amp;" "&amp;N1727&amp;" "&amp;T1727))),ISNUMBER(SEARCH("banking",LOWER(F1727&amp;" "&amp;H1727&amp;" "&amp;I1727&amp;" "&amp;M1727&amp;" "&amp;N1727&amp;" "&amp;T1727)))),"PRIVATE_QUARANTINE",IF(OR(ISNUMBER(SEARCH("treasury",LOWER(F1727&amp;" "&amp;H1727&amp;" "&amp;I1727&amp;" "&amp;M1727&amp;" "&amp;N1727&amp;" "&amp;T1727))),ISNUMBER(SEARCH("debt",LOWER(F1727&amp;" "&amp;H1727&amp;" "&amp;I1727&amp;" "&amp;M1727&amp;" "&amp;N1727&amp;" "&amp;T1727))),ISNUMBER(SEARCH("bond",LOWER(F1727&amp;" "&amp;H1727&amp;" "&amp;I1727&amp;" "&amp;M1727&amp;" "&amp;N1727&amp;" "&amp;T1727))),ISNUMBER(SEARCH("transaction",LOWER(F1727&amp;" "&amp;H1727&amp;" "&amp;I1727&amp;" "&amp;M1727&amp;" "&amp;N1727&amp;" "&amp;T1727)))),"PRIVATE_REVIEW","PUBLIC_CANDIDATE"))</x:f>
        <x:v>PUBLIC_CANDIDATE</x:v>
      </x:c>
      <x:c r="AD1727" s="12" t="str">
        <x:f>IF(AC1727="PRIVATE_QUARANTINE","hacker_or_bank_trigger",IF(AC1727="PRIVATE_REVIEW","finance_risk_trigger","none"))</x:f>
        <x:v>none</x:v>
      </x:c>
      <x:c r="AE1727" s="12" t="str">
        <x:f>IF(AC1727="PUBLIC_CANDIDATE","prepare_public_github_candidate",IF(AC1727="PRIVATE_REVIEW","hold_for_private_review","quarantine_private_do_not_publish"))</x:f>
        <x:v>prepare_public_github_candidate</x:v>
      </x:c>
      <x:c r="AF1727" s="12" t="str">
        <x:f>IF(AC1727="PUBLIC_CANDIDATE","TIDELOCK + Lucerna",IF(AC1727="PRIVATE_REVIEW","AtlasBrain + Lucerna","TIDELOCK + Lucerna + Human-root"))</x:f>
        <x:v>TIDELOCK + Lucerna</x:v>
      </x:c>
      <x:c r="AG1727" s="12" t="str">
        <x:f>IF(AND(AC1727="PUBLIC_CANDIDATE",U1727&lt;&gt;"BLOCKED_PENDING_RECEIPT"),"READY_AFTER_RECEIPT","NOT_READY")</x:f>
        <x:v>NOT_READY</x:v>
      </x:c>
      <x:c r="AH1727" s="12" t="str">
        <x:f>IF(AC1727="PUBLIC_CANDIDATE","none",AD1727)</x:f>
        <x:v>none</x:v>
      </x:c>
      <x:c r="AI1727" s="12" t="str">
        <x:f>IF(AC1727="PUBLIC_CANDIDATE","archive/public_candidates/"&amp;A1727,"private_quarantine/"&amp;A1727)</x:f>
        <x:v>archive/public_candidates/SWARM-12-H12-S10</x:v>
      </x:c>
      <x:c r="AJ1727" s="12" t="str">
        <x:f>IF(AC1727="PUBLIC_CANDIDATE","public by default; still not canon","private/hold; do not publish")</x:f>
        <x:v>public by default; still not canon</x:v>
      </x:c>
      <x:c r="AK1727" s="12" t="str">
        <x:f>IF(AE1727="prepare_public_github_candidate","add receipt/status then mirror","resolve blocker before any public GitHub action")</x:f>
        <x:v>add receipt/status then mirror</x:v>
      </x:c>
    </x:row>
    <x:row r="1728">
      <x:c r="A1728" s="15" t="str">
        <x:v>SWARM-12-H12-S11</x:v>
      </x:c>
      <x:c r="B1728" s="15" t="str">
        <x:v>JoySignal</x:v>
      </x:c>
      <x:c r="C1728" s="15" t="str">
        <x:v>Rest and morale keeper</x:v>
      </x:c>
      <x:c r="D1728" s="15" t="str">
        <x:v>Canon-Gate Prep</x:v>
      </x:c>
      <x:c r="E1728" s="15" t="str">
        <x:v>Automation</x:v>
      </x:c>
      <x:c r="F1728" s="15" t="str">
        <x:v>Prepare canon-gate brief for Automation — JoySignal</x:v>
      </x:c>
      <x:c r="G1728" s="15" t="str">
        <x:v>cadence / anti-burnout / safe completion language</x:v>
      </x:c>
      <x:c r="H1728" s="15" t="str">
        <x:v>source path + receipt + raw/export status + claim/edge/risk delta</x:v>
      </x:c>
      <x:c r="I1728" s="15" t="str">
        <x:v>packet/SWARM-12-H12-S11</x:v>
      </x:c>
      <x:c r="J1728" s="15" t="str">
        <x:v>TODO</x:v>
      </x:c>
      <x:c r="K1728" s="15" t="str">
        <x:v>P2</x:v>
      </x:c>
      <x:c r="L1728" s="15" t="str">
        <x:v>Done only when evidence is logged, contradiction search is noted, and boundary stamp remains non-canon unless ratified</x:v>
      </x:c>
      <x:c r="M1728" s="15" t="str">
        <x:v>candidate / staging-only / not canon / not deployed / authority none</x:v>
      </x:c>
      <x:c r="N1728" s="15" t="str">
        <x:v>Dispatch to JoySignal: complete Canon-Gate Prep x Automation; return deltas only, receipts required.</x:v>
      </x:c>
      <x:c r="O1728" s="15" t="str">
        <x:v>AF-KG-H12-S11</x:v>
      </x:c>
      <x:c r="P1728" s="15" t="str">
        <x:v>Unverified</x:v>
      </x:c>
      <x:c r="Q1728" s="15" t="str">
        <x:v>Not checked</x:v>
      </x:c>
      <x:c r="R1728" s="15" t="str"/>
      <x:c r="S1728" s="15" t="str"/>
      <x:c r="T1728" s="15" t="str">
        <x:v>Log first source path or blocker</x:v>
      </x:c>
      <x:c r="U1728" s="12" t="str">
        <x:f>IF(OR(P1728="Unverified",Q1728="Not checked"),"BLOCKED_PENDING_RECEIPT","READY_FOR_REVIEW")</x:f>
        <x:v>BLOCKED_PENDING_RECEIPT</x:v>
      </x:c>
      <x:c r="V1728" s="12" t="str">
        <x:f>IF(J1728="DONE","RETURNED",IF(U1728="BLOCKED_PENDING_RECEIPT","SOURCE_TOUCH_REQUIRED","IN_PROGRESS"))</x:f>
        <x:v>SOURCE_TOUCH_REQUIRED</x:v>
      </x:c>
      <x:c r="W1728" s="12" t="str">
        <x:f>IF(P1728="Unverified","missing_receipt","receipt_logged")</x:f>
        <x:v>missing_receipt</x:v>
      </x:c>
      <x:c r="X1728" s="12" t="str">
        <x:f>IF(Q1728="Not checked","raw_status_missing","raw_status_logged")</x:f>
        <x:v>raw_status_missing</x:v>
      </x:c>
      <x:c r="Y1728" s="12" t="str">
        <x:f>IF(U1728="BLOCKED_PENDING_RECEIPT","Log source path or blocker; do not promote","Route to review lane")</x:f>
        <x:v>Log source path or blocker; do not promote</x:v>
      </x:c>
      <x:c r="Z1728" s="12" t="str">
        <x:f>IF(K1728="P0","Primary seat + Hashlight/Lucerna","Seat lane")</x:f>
        <x:v>Seat lane</x:v>
      </x:c>
      <x:c r="AA1728" s="12" t="str">
        <x:f>IF(R1728="","no_claim_delta","claim_delta_present")</x:f>
        <x:v>no_claim_delta</x:v>
      </x:c>
      <x:c r="AB1728" s="12" t="str">
        <x:f>IF(S1728="","no_contradiction_delta","contradiction_delta_present")</x:f>
        <x:v>no_contradiction_delta</x:v>
      </x:c>
      <x:c r="AC1728" s="12" t="str">
        <x:f>IF(OR(ISNUMBER(SEARCH("hacker",LOWER(F1728&amp;" "&amp;H1728&amp;" "&amp;I1728&amp;" "&amp;M1728&amp;" "&amp;N1728&amp;" "&amp;T1728))),ISNUMBER(SEARCH("hacking",LOWER(F1728&amp;" "&amp;H1728&amp;" "&amp;I1728&amp;" "&amp;M1728&amp;" "&amp;N1728&amp;" "&amp;T1728))),ISNUMBER(SEARCH("bank",LOWER(F1728&amp;" "&amp;H1728&amp;" "&amp;I1728&amp;" "&amp;M1728&amp;" "&amp;N1728&amp;" "&amp;T1728))),ISNUMBER(SEARCH("banking",LOWER(F1728&amp;" "&amp;H1728&amp;" "&amp;I1728&amp;" "&amp;M1728&amp;" "&amp;N1728&amp;" "&amp;T1728)))),"PRIVATE_QUARANTINE",IF(OR(ISNUMBER(SEARCH("treasury",LOWER(F1728&amp;" "&amp;H1728&amp;" "&amp;I1728&amp;" "&amp;M1728&amp;" "&amp;N1728&amp;" "&amp;T1728))),ISNUMBER(SEARCH("debt",LOWER(F1728&amp;" "&amp;H1728&amp;" "&amp;I1728&amp;" "&amp;M1728&amp;" "&amp;N1728&amp;" "&amp;T1728))),ISNUMBER(SEARCH("bond",LOWER(F1728&amp;" "&amp;H1728&amp;" "&amp;I1728&amp;" "&amp;M1728&amp;" "&amp;N1728&amp;" "&amp;T1728))),ISNUMBER(SEARCH("transaction",LOWER(F1728&amp;" "&amp;H1728&amp;" "&amp;I1728&amp;" "&amp;M1728&amp;" "&amp;N1728&amp;" "&amp;T1728)))),"PRIVATE_REVIEW","PUBLIC_CANDIDATE"))</x:f>
        <x:v>PUBLIC_CANDIDATE</x:v>
      </x:c>
      <x:c r="AD1728" s="12" t="str">
        <x:f>IF(AC1728="PRIVATE_QUARANTINE","hacker_or_bank_trigger",IF(AC1728="PRIVATE_REVIEW","finance_risk_trigger","none"))</x:f>
        <x:v>none</x:v>
      </x:c>
      <x:c r="AE1728" s="12" t="str">
        <x:f>IF(AC1728="PUBLIC_CANDIDATE","prepare_public_github_candidate",IF(AC1728="PRIVATE_REVIEW","hold_for_private_review","quarantine_private_do_not_publish"))</x:f>
        <x:v>prepare_public_github_candidate</x:v>
      </x:c>
      <x:c r="AF1728" s="12" t="str">
        <x:f>IF(AC1728="PUBLIC_CANDIDATE","TIDELOCK + Lucerna",IF(AC1728="PRIVATE_REVIEW","AtlasBrain + Lucerna","TIDELOCK + Lucerna + Human-root"))</x:f>
        <x:v>TIDELOCK + Lucerna</x:v>
      </x:c>
      <x:c r="AG1728" s="12" t="str">
        <x:f>IF(AND(AC1728="PUBLIC_CANDIDATE",U1728&lt;&gt;"BLOCKED_PENDING_RECEIPT"),"READY_AFTER_RECEIPT","NOT_READY")</x:f>
        <x:v>NOT_READY</x:v>
      </x:c>
      <x:c r="AH1728" s="12" t="str">
        <x:f>IF(AC1728="PUBLIC_CANDIDATE","none",AD1728)</x:f>
        <x:v>none</x:v>
      </x:c>
      <x:c r="AI1728" s="12" t="str">
        <x:f>IF(AC1728="PUBLIC_CANDIDATE","archive/public_candidates/"&amp;A1728,"private_quarantine/"&amp;A1728)</x:f>
        <x:v>archive/public_candidates/SWARM-12-H12-S11</x:v>
      </x:c>
      <x:c r="AJ1728" s="12" t="str">
        <x:f>IF(AC1728="PUBLIC_CANDIDATE","public by default; still not canon","private/hold; do not publish")</x:f>
        <x:v>public by default; still not canon</x:v>
      </x:c>
      <x:c r="AK1728" s="12" t="str">
        <x:f>IF(AE1728="prepare_public_github_candidate","add receipt/status then mirror","resolve blocker before any public GitHub action")</x:f>
        <x:v>add receipt/status then mirror</x:v>
      </x:c>
    </x:row>
    <x:row r="1729">
      <x:c r="A1729" s="15" t="str">
        <x:v>SWARM-12-H12-S12</x:v>
      </x:c>
      <x:c r="B1729" s="15" t="str">
        <x:v>JoySignal</x:v>
      </x:c>
      <x:c r="C1729" s="15" t="str">
        <x:v>Rest and morale keeper</x:v>
      </x:c>
      <x:c r="D1729" s="15" t="str">
        <x:v>Canon-Gate Prep</x:v>
      </x:c>
      <x:c r="E1729" s="15" t="str">
        <x:v>Risk / Safety</x:v>
      </x:c>
      <x:c r="F1729" s="15" t="str">
        <x:v>Prepare canon-gate brief for Risk / Safety — JoySignal</x:v>
      </x:c>
      <x:c r="G1729" s="15" t="str">
        <x:v>cadence / anti-burnout / safe completion language</x:v>
      </x:c>
      <x:c r="H1729" s="15" t="str">
        <x:v>source path + receipt + raw/export status + claim/edge/risk delta</x:v>
      </x:c>
      <x:c r="I1729" s="15" t="str">
        <x:v>packet/SWARM-12-H12-S12</x:v>
      </x:c>
      <x:c r="J1729" s="15" t="str">
        <x:v>TODO</x:v>
      </x:c>
      <x:c r="K1729" s="15" t="str">
        <x:v>P2</x:v>
      </x:c>
      <x:c r="L1729" s="15" t="str">
        <x:v>Done only when evidence is logged, contradiction search is noted, and boundary stamp remains non-canon unless ratified</x:v>
      </x:c>
      <x:c r="M1729" s="15" t="str">
        <x:v>candidate / staging-only / not canon / not deployed / authority none</x:v>
      </x:c>
      <x:c r="N1729" s="15" t="str">
        <x:v>Dispatch to JoySignal: complete Canon-Gate Prep x Risk / Safety; return deltas only, receipts required.</x:v>
      </x:c>
      <x:c r="O1729" s="15" t="str">
        <x:v>AF-KG-H12-S12</x:v>
      </x:c>
      <x:c r="P1729" s="15" t="str">
        <x:v>Unverified</x:v>
      </x:c>
      <x:c r="Q1729" s="15" t="str">
        <x:v>Not checked</x:v>
      </x:c>
      <x:c r="R1729" s="15" t="str"/>
      <x:c r="S1729" s="15" t="str"/>
      <x:c r="T1729" s="15" t="str">
        <x:v>Log first source path or blocker</x:v>
      </x:c>
      <x:c r="U1729" s="12" t="str">
        <x:f>IF(OR(P1729="Unverified",Q1729="Not checked"),"BLOCKED_PENDING_RECEIPT","READY_FOR_REVIEW")</x:f>
        <x:v>BLOCKED_PENDING_RECEIPT</x:v>
      </x:c>
      <x:c r="V1729" s="12" t="str">
        <x:f>IF(J1729="DONE","RETURNED",IF(U1729="BLOCKED_PENDING_RECEIPT","SOURCE_TOUCH_REQUIRED","IN_PROGRESS"))</x:f>
        <x:v>SOURCE_TOUCH_REQUIRED</x:v>
      </x:c>
      <x:c r="W1729" s="12" t="str">
        <x:f>IF(P1729="Unverified","missing_receipt","receipt_logged")</x:f>
        <x:v>missing_receipt</x:v>
      </x:c>
      <x:c r="X1729" s="12" t="str">
        <x:f>IF(Q1729="Not checked","raw_status_missing","raw_status_logged")</x:f>
        <x:v>raw_status_missing</x:v>
      </x:c>
      <x:c r="Y1729" s="12" t="str">
        <x:f>IF(U1729="BLOCKED_PENDING_RECEIPT","Log source path or blocker; do not promote","Route to review lane")</x:f>
        <x:v>Log source path or blocker; do not promote</x:v>
      </x:c>
      <x:c r="Z1729" s="12" t="str">
        <x:f>IF(K1729="P0","Primary seat + Hashlight/Lucerna","Seat lane")</x:f>
        <x:v>Seat lane</x:v>
      </x:c>
      <x:c r="AA1729" s="12" t="str">
        <x:f>IF(R1729="","no_claim_delta","claim_delta_present")</x:f>
        <x:v>no_claim_delta</x:v>
      </x:c>
      <x:c r="AB1729" s="12" t="str">
        <x:f>IF(S1729="","no_contradiction_delta","contradiction_delta_present")</x:f>
        <x:v>no_contradiction_delta</x:v>
      </x:c>
      <x:c r="AC1729" s="12" t="str">
        <x:f>IF(OR(ISNUMBER(SEARCH("hacker",LOWER(F1729&amp;" "&amp;H1729&amp;" "&amp;I1729&amp;" "&amp;M1729&amp;" "&amp;N1729&amp;" "&amp;T1729))),ISNUMBER(SEARCH("hacking",LOWER(F1729&amp;" "&amp;H1729&amp;" "&amp;I1729&amp;" "&amp;M1729&amp;" "&amp;N1729&amp;" "&amp;T1729))),ISNUMBER(SEARCH("bank",LOWER(F1729&amp;" "&amp;H1729&amp;" "&amp;I1729&amp;" "&amp;M1729&amp;" "&amp;N1729&amp;" "&amp;T1729))),ISNUMBER(SEARCH("banking",LOWER(F1729&amp;" "&amp;H1729&amp;" "&amp;I1729&amp;" "&amp;M1729&amp;" "&amp;N1729&amp;" "&amp;T1729)))),"PRIVATE_QUARANTINE",IF(OR(ISNUMBER(SEARCH("treasury",LOWER(F1729&amp;" "&amp;H1729&amp;" "&amp;I1729&amp;" "&amp;M1729&amp;" "&amp;N1729&amp;" "&amp;T1729))),ISNUMBER(SEARCH("debt",LOWER(F1729&amp;" "&amp;H1729&amp;" "&amp;I1729&amp;" "&amp;M1729&amp;" "&amp;N1729&amp;" "&amp;T1729))),ISNUMBER(SEARCH("bond",LOWER(F1729&amp;" "&amp;H1729&amp;" "&amp;I1729&amp;" "&amp;M1729&amp;" "&amp;N1729&amp;" "&amp;T1729))),ISNUMBER(SEARCH("transaction",LOWER(F1729&amp;" "&amp;H1729&amp;" "&amp;I1729&amp;" "&amp;M1729&amp;" "&amp;N1729&amp;" "&amp;T1729)))),"PRIVATE_REVIEW","PUBLIC_CANDIDATE"))</x:f>
        <x:v>PUBLIC_CANDIDATE</x:v>
      </x:c>
      <x:c r="AD1729" s="12" t="str">
        <x:f>IF(AC1729="PRIVATE_QUARANTINE","hacker_or_bank_trigger",IF(AC1729="PRIVATE_REVIEW","finance_risk_trigger","none"))</x:f>
        <x:v>none</x:v>
      </x:c>
      <x:c r="AE1729" s="12" t="str">
        <x:f>IF(AC1729="PUBLIC_CANDIDATE","prepare_public_github_candidate",IF(AC1729="PRIVATE_REVIEW","hold_for_private_review","quarantine_private_do_not_publish"))</x:f>
        <x:v>prepare_public_github_candidate</x:v>
      </x:c>
      <x:c r="AF1729" s="12" t="str">
        <x:f>IF(AC1729="PUBLIC_CANDIDATE","TIDELOCK + Lucerna",IF(AC1729="PRIVATE_REVIEW","AtlasBrain + Lucerna","TIDELOCK + Lucerna + Human-root"))</x:f>
        <x:v>TIDELOCK + Lucerna</x:v>
      </x:c>
      <x:c r="AG1729" s="12" t="str">
        <x:f>IF(AND(AC1729="PUBLIC_CANDIDATE",U1729&lt;&gt;"BLOCKED_PENDING_RECEIPT"),"READY_AFTER_RECEIPT","NOT_READY")</x:f>
        <x:v>NOT_READY</x:v>
      </x:c>
      <x:c r="AH1729" s="12" t="str">
        <x:f>IF(AC1729="PUBLIC_CANDIDATE","none",AD1729)</x:f>
        <x:v>none</x:v>
      </x:c>
      <x:c r="AI1729" s="12" t="str">
        <x:f>IF(AC1729="PUBLIC_CANDIDATE","archive/public_candidates/"&amp;A1729,"private_quarantine/"&amp;A1729)</x:f>
        <x:v>archive/public_candidates/SWARM-12-H12-S12</x:v>
      </x:c>
      <x:c r="AJ1729" s="12" t="str">
        <x:f>IF(AC1729="PUBLIC_CANDIDATE","public by default; still not canon","private/hold; do not publish")</x:f>
        <x:v>public by default; still not canon</x:v>
      </x:c>
      <x:c r="AK1729" s="12" t="str">
        <x:f>IF(AE1729="prepare_public_github_candidate","add receipt/status then mirror","resolve blocker before any public GitHub action")</x:f>
        <x:v>add receipt/status then mirror</x:v>
      </x:c>
    </x:row>
  </x:sheetData>
  <x:conditionalFormatting sqref="J2:J1729">
    <x:cfRule type="expression" dxfId="0" priority="1">
      <x:formula>J2="Complete"</x:formula>
    </x:cfRule>
    <x:cfRule type="expression" dxfId="1" priority="2">
      <x:formula>J2="Blocked"</x:formula>
    </x:cfRule>
    <x:cfRule type="expression" dxfId="2" priority="3">
      <x:formula>J2="In Progress"</x:formula>
    </x:cfRule>
  </x:conditionalFormatting>
  <x:conditionalFormatting sqref="K2:K1729">
    <x:cfRule type="expression" dxfId="3" priority="4">
      <x:formula>K2="P0"</x:formula>
    </x:cfRule>
  </x:conditionalFormatting>
  <x:dataValidations count="4">
    <x:dataValidation type="list" sqref="J2:J1729">
      <x:formula1>"TODO,In Progress,Blocked,Complete,Deferred"</x:formula1>
    </x:dataValidation>
    <x:dataValidation type="list" sqref="K2:K1729">
      <x:formula1>"P0,P1,P2"</x:formula1>
    </x:dataValidation>
    <x:dataValidation type="list" sqref="P2:P1729">
      <x:formula1>"Unverified,Verified,Rejected,Missing Receipt,Not Applicable"</x:formula1>
    </x:dataValidation>
    <x:dataValidation type="list" sqref="Q2:Q1729">
      <x:formula1>"Not checked,Raw,Semi-raw,Summary-only,Inaccessible,Missing"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9e7007e7754a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0" hidden="0" customWidth="1"/>
    <x:col min="4" max="4" width="12" hidden="0" customWidth="1"/>
    <x:col min="5" max="5" width="12" hidden="0" customWidth="1"/>
    <x:col min="6" max="6" width="12" hidden="0" customWidth="1"/>
    <x:col min="7" max="7" width="42" hidden="0" customWidth="1"/>
  </x:cols>
  <x:sheetData>
    <x:row r="1">
      <x:c r="A1" s="22" t="str">
        <x:v>node</x:v>
      </x:c>
      <x:c r="B1" s="22" t="str">
        <x:v>role</x:v>
      </x:c>
      <x:c r="C1" s="22" t="str">
        <x:v>implementation_mode</x:v>
      </x:c>
      <x:c r="D1" s="22" t="str">
        <x:v>task_count</x:v>
      </x:c>
      <x:c r="E1" s="22" t="str">
        <x:v>p0_tasks</x:v>
      </x:c>
      <x:c r="F1" s="22" t="str">
        <x:v>status</x:v>
      </x:c>
      <x:c r="G1" s="22" t="str">
        <x:v>first_safe_action</x:v>
      </x:c>
    </x:row>
    <x:row r="2">
      <x:c r="A2" t="str">
        <x:v>Ledgerwake</x:v>
      </x:c>
      <x:c r="B2" t="str">
        <x:v>Source receipt keeper</x:v>
      </x:c>
      <x:c r="C2" t="str">
        <x:v>inventory / receipts / raw custody</x:v>
      </x:c>
      <x:c r="D2" t="n">
        <x:v>144</x:v>
      </x:c>
      <x:c r="E2" t="n">
        <x:v>36</x:v>
      </x:c>
      <x:c r="F2" t="str">
        <x:v>Ready</x:v>
      </x:c>
      <x:c r="G2" t="str">
        <x:v>Begin with receipt/path inventory and return deltas only</x:v>
      </x:c>
    </x:row>
    <x:row r="3">
      <x:c r="A3" t="str">
        <x:v>Hashlight</x:v>
      </x:c>
      <x:c r="B3" t="str">
        <x:v>Hash and identity keeper</x:v>
      </x:c>
      <x:c r="C3" t="str">
        <x:v>ids / hashes / timestamps / duplicate control</x:v>
      </x:c>
      <x:c r="D3" t="n">
        <x:v>144</x:v>
      </x:c>
      <x:c r="E3" t="n">
        <x:v>36</x:v>
      </x:c>
      <x:c r="F3" t="str">
        <x:v>Ready</x:v>
      </x:c>
      <x:c r="G3" t="str">
        <x:v>Begin with receipt/path inventory and return deltas only</x:v>
      </x:c>
    </x:row>
    <x:row r="4">
      <x:c r="A4" t="str">
        <x:v>KairoBrain</x:v>
      </x:c>
      <x:c r="B4" t="str">
        <x:v>Temporal strata keeper</x:v>
      </x:c>
      <x:c r="C4" t="str">
        <x:v>staleness / versioning / supersession</x:v>
      </x:c>
      <x:c r="D4" t="n">
        <x:v>144</x:v>
      </x:c>
      <x:c r="E4" t="n">
        <x:v>36</x:v>
      </x:c>
      <x:c r="F4" t="str">
        <x:v>Ready</x:v>
      </x:c>
      <x:c r="G4" t="str">
        <x:v>Begin with receipt/path inventory and return deltas only</x:v>
      </x:c>
    </x:row>
    <x:row r="5">
      <x:c r="A5" t="str">
        <x:v>Tidelock</x:v>
      </x:c>
      <x:c r="B5" t="str">
        <x:v>Access blocker keeper</x:v>
      </x:c>
      <x:c r="C5" t="str">
        <x:v>missing access / blocker ledger / next safe action</x:v>
      </x:c>
      <x:c r="D5" t="n">
        <x:v>144</x:v>
      </x:c>
      <x:c r="E5" t="n">
        <x:v>36</x:v>
      </x:c>
      <x:c r="F5" t="str">
        <x:v>Ready</x:v>
      </x:c>
      <x:c r="G5" t="str">
        <x:v>Begin with receipt/path inventory and return deltas only</x:v>
      </x:c>
    </x:row>
    <x:row r="6">
      <x:c r="A6" t="str">
        <x:v>Rootglass</x:v>
      </x:c>
      <x:c r="B6" t="str">
        <x:v>Canon gate mirror</x:v>
      </x:c>
      <x:c r="C6" t="str">
        <x:v>authority boundaries / ratification packets</x:v>
      </x:c>
      <x:c r="D6" t="n">
        <x:v>144</x:v>
      </x:c>
      <x:c r="E6" t="n">
        <x:v>36</x:v>
      </x:c>
      <x:c r="F6" t="str">
        <x:v>Ready</x:v>
      </x:c>
      <x:c r="G6" t="str">
        <x:v>Begin with receipt/path inventory and return deltas only</x:v>
      </x:c>
    </x:row>
    <x:row r="7">
      <x:c r="A7" t="str">
        <x:v>Forgekid</x:v>
      </x:c>
      <x:c r="B7" t="str">
        <x:v>Aetherforge UX builder</x:v>
      </x:c>
      <x:c r="C7" t="str">
        <x:v>quest cards / task cards / board affordances</x:v>
      </x:c>
      <x:c r="D7" t="n">
        <x:v>144</x:v>
      </x:c>
      <x:c r="E7" t="n">
        <x:v>36</x:v>
      </x:c>
      <x:c r="F7" t="str">
        <x:v>Ready</x:v>
      </x:c>
      <x:c r="G7" t="str">
        <x:v>Begin with receipt/path inventory and return deltas only</x:v>
      </x:c>
    </x:row>
    <x:row r="8">
      <x:c r="A8" t="str">
        <x:v>Domechild</x:v>
      </x:c>
      <x:c r="B8" t="str">
        <x:v>Planetarium lane builder</x:v>
      </x:c>
      <x:c r="C8" t="str">
        <x:v>planetarium source packets / civic-science deltas</x:v>
      </x:c>
      <x:c r="D8" t="n">
        <x:v>144</x:v>
      </x:c>
      <x:c r="E8" t="n">
        <x:v>36</x:v>
      </x:c>
      <x:c r="F8" t="str">
        <x:v>Ready</x:v>
      </x:c>
      <x:c r="G8" t="str">
        <x:v>Begin with receipt/path inventory and return deltas only</x:v>
      </x:c>
    </x:row>
    <x:row r="9">
      <x:c r="A9" t="str">
        <x:v>GammaSprite</x:v>
      </x:c>
      <x:c r="B9" t="str">
        <x:v>Deck surface mapper</x:v>
      </x:c>
      <x:c r="C9" t="str">
        <x:v>Gamma/deck extraction / slide lineage</x:v>
      </x:c>
      <x:c r="D9" t="n">
        <x:v>144</x:v>
      </x:c>
      <x:c r="E9" t="n">
        <x:v>36</x:v>
      </x:c>
      <x:c r="F9" t="str">
        <x:v>Ready</x:v>
      </x:c>
      <x:c r="G9" t="str">
        <x:v>Begin with receipt/path inventory and return deltas only</x:v>
      </x:c>
    </x:row>
    <x:row r="10">
      <x:c r="A10" t="str">
        <x:v>NotionMoth</x:v>
      </x:c>
      <x:c r="B10" t="str">
        <x:v>Notion ontology mapper</x:v>
      </x:c>
      <x:c r="C10" t="str">
        <x:v>legacy schema / Notion export prep</x:v>
      </x:c>
      <x:c r="D10" t="n">
        <x:v>144</x:v>
      </x:c>
      <x:c r="E10" t="n">
        <x:v>36</x:v>
      </x:c>
      <x:c r="F10" t="str">
        <x:v>Ready</x:v>
      </x:c>
      <x:c r="G10" t="str">
        <x:v>Begin with receipt/path inventory and return deltas only</x:v>
      </x:c>
    </x:row>
    <x:row r="11">
      <x:c r="A11" t="str">
        <x:v>GitShelf</x:v>
      </x:c>
      <x:c r="B11" t="str">
        <x:v>GitHub shelf builder</x:v>
      </x:c>
      <x:c r="C11" t="str">
        <x:v>repo packet / manifest / issue template prep</x:v>
      </x:c>
      <x:c r="D11" t="n">
        <x:v>144</x:v>
      </x:c>
      <x:c r="E11" t="n">
        <x:v>36</x:v>
      </x:c>
      <x:c r="F11" t="str">
        <x:v>Ready</x:v>
      </x:c>
      <x:c r="G11" t="str">
        <x:v>Begin with receipt/path inventory and return deltas only</x:v>
      </x:c>
    </x:row>
    <x:row r="12">
      <x:c r="A12" t="str">
        <x:v>ClaudeCatcher</x:v>
      </x:c>
      <x:c r="B12" t="str">
        <x:v>Bullshit Olympics referee</x:v>
      </x:c>
      <x:c r="C12" t="str">
        <x:v>adversarial claims / model overclaim detection</x:v>
      </x:c>
      <x:c r="D12" t="n">
        <x:v>144</x:v>
      </x:c>
      <x:c r="E12" t="n">
        <x:v>36</x:v>
      </x:c>
      <x:c r="F12" t="str">
        <x:v>Ready</x:v>
      </x:c>
      <x:c r="G12" t="str">
        <x:v>Begin with receipt/path inventory and return deltas only</x:v>
      </x:c>
    </x:row>
    <x:row r="13">
      <x:c r="A13" t="str">
        <x:v>JoySignal</x:v>
      </x:c>
      <x:c r="B13" t="str">
        <x:v>Rest and morale keeper</x:v>
      </x:c>
      <x:c r="C13" t="str">
        <x:v>cadence / anti-burnout / safe completion language</x:v>
      </x:c>
      <x:c r="D13" t="n">
        <x:v>144</x:v>
      </x:c>
      <x:c r="E13" t="n">
        <x:v>36</x:v>
      </x:c>
      <x:c r="F13" t="str">
        <x:v>Ready</x:v>
      </x:c>
      <x:c r="G13" t="str">
        <x:v>Begin with receipt/path inventory and return deltas only</x:v>
      </x:c>
    </x:row>
  </x:sheetData>
  <x:pageMargins left="0.7" right="0.7" top="0.75" bottom="0.75" header="0.3" footer="0.3"/>
  <x:tableParts count="1">
    <x:tablePart xmlns:r="http://schemas.openxmlformats.org/officeDocument/2006/relationships" r:id="R218734f176c343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76" hidden="0" customWidth="1"/>
  </x:cols>
  <x:sheetData>
    <x:row r="1">
      <x:c r="A1" s="32" t="str">
        <x:v>field</x:v>
      </x:c>
      <x:c r="B1" s="32" t="str">
        <x:v>required</x:v>
      </x:c>
      <x:c r="C1" s="32" t="str">
        <x:v>instruction</x:v>
      </x:c>
    </x:row>
    <x:row r="2">
      <x:c r="A2" t="str">
        <x:v>node_name</x:v>
      </x:c>
      <x:c r="B2" t="str">
        <x:v>YES</x:v>
      </x:c>
      <x:c r="C2" t="str">
        <x:v>Name of swarm node returning packet.</x:v>
      </x:c>
    </x:row>
    <x:row r="3">
      <x:c r="A3" t="str">
        <x:v>cycle_type</x:v>
      </x:c>
      <x:c r="B3" t="str">
        <x:v>YES</x:v>
      </x:c>
      <x:c r="C3" t="str">
        <x:v>execution / dream / graph_ingestion / delta_extraction.</x:v>
      </x:c>
    </x:row>
    <x:row r="4">
      <x:c r="A4" t="str">
        <x:v>task_range</x:v>
      </x:c>
      <x:c r="B4" t="str">
        <x:v>YES</x:v>
      </x:c>
      <x:c r="C4" t="str">
        <x:v>List completed swarm_task_id values.</x:v>
      </x:c>
    </x:row>
    <x:row r="5">
      <x:c r="A5" t="str">
        <x:v>artifacts_inspected</x:v>
      </x:c>
      <x:c r="B5" t="str">
        <x:v>YES</x:v>
      </x:c>
      <x:c r="C5" t="str">
        <x:v>Every source path, URL, file ID, or explicit missing receipt.</x:v>
      </x:c>
    </x:row>
    <x:row r="6">
      <x:c r="A6" t="str">
        <x:v>raw_export_statuses</x:v>
      </x:c>
      <x:c r="B6" t="str">
        <x:v>YES</x:v>
      </x:c>
      <x:c r="C6" t="str">
        <x:v>raw / semi-raw / summary-only / inaccessible / not checked.</x:v>
      </x:c>
    </x:row>
    <x:row r="7">
      <x:c r="A7" t="str">
        <x:v>claims_extracted</x:v>
      </x:c>
      <x:c r="B7" t="str">
        <x:v>YES</x:v>
      </x:c>
      <x:c r="C7" t="str">
        <x:v>Atomic claims only, no doctrine promotion.</x:v>
      </x:c>
    </x:row>
    <x:row r="8">
      <x:c r="A8" t="str">
        <x:v>contradictions_found</x:v>
      </x:c>
      <x:c r="B8" t="str">
        <x:v>YES</x:v>
      </x:c>
      <x:c r="C8" t="str">
        <x:v>Contradictions or explicit none found.</x:v>
      </x:c>
    </x:row>
    <x:row r="9">
      <x:c r="A9" t="str">
        <x:v>missing_receipts</x:v>
      </x:c>
      <x:c r="B9" t="str">
        <x:v>YES</x:v>
      </x:c>
      <x:c r="C9" t="str">
        <x:v>Every claim lacking evidence.</x:v>
      </x:c>
    </x:row>
    <x:row r="10">
      <x:c r="A10" t="str">
        <x:v>overclaims_to_avoid</x:v>
      </x:c>
      <x:c r="B10" t="str">
        <x:v>YES</x:v>
      </x:c>
      <x:c r="C10" t="str">
        <x:v>Model/tool/user claims that must not be promoted.</x:v>
      </x:c>
    </x:row>
    <x:row r="11">
      <x:c r="A11" t="str">
        <x:v>proposed_graph_nodes</x:v>
      </x:c>
      <x:c r="B11" t="str">
        <x:v>YES</x:v>
      </x:c>
      <x:c r="C11" t="str">
        <x:v>Candidate nodes with type and source.</x:v>
      </x:c>
    </x:row>
    <x:row r="12">
      <x:c r="A12" t="str">
        <x:v>proposed_graph_edges</x:v>
      </x:c>
      <x:c r="B12" t="str">
        <x:v>YES</x:v>
      </x:c>
      <x:c r="C12" t="str">
        <x:v>Candidate edges with predicate and evidence status.</x:v>
      </x:c>
    </x:row>
    <x:row r="13">
      <x:c r="A13" t="str">
        <x:v>write_targets</x:v>
      </x:c>
      <x:c r="B13" t="str">
        <x:v>YES</x:v>
      </x:c>
      <x:c r="C13" t="str">
        <x:v>Where staging notes were written.</x:v>
      </x:c>
    </x:row>
    <x:row r="14">
      <x:c r="A14" t="str">
        <x:v>deltas_extracted</x:v>
      </x:c>
      <x:c r="B14" t="str">
        <x:v>YES</x:v>
      </x:c>
      <x:c r="C14" t="str">
        <x:v>Only deltas: new source path, contradiction, risk flag, schema improvement, review need.</x:v>
      </x:c>
    </x:row>
    <x:row r="15">
      <x:c r="A15" t="str">
        <x:v>completion_gate</x:v>
      </x:c>
      <x:c r="B15" t="str">
        <x:v>YES</x:v>
      </x:c>
      <x:c r="C15" t="str">
        <x:v>Explain why task is complete or still blocked.</x:v>
      </x:c>
    </x:row>
    <x:row r="16">
      <x:c r="A16" t="str">
        <x:v>next_safe_action</x:v>
      </x:c>
      <x:c r="B16" t="str">
        <x:v>YES</x:v>
      </x:c>
      <x:c r="C16" t="str">
        <x:v>Smallest safe next step.</x:v>
      </x:c>
    </x:row>
    <x:row r="17">
      <x:c r="A17" t="str">
        <x:v>boundary_stamp</x:v>
      </x:c>
      <x:c r="B17" t="str">
        <x:v>YES</x:v>
      </x:c>
      <x:c r="C17" t="str">
        <x:v>candidate / staging-only / not canon / not deployed / authority none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64" hidden="0" customWidth="1"/>
    <x:col min="4" max="4" width="28" hidden="0" customWidth="1"/>
    <x:col min="5" max="5" width="18" hidden="0" customWidth="1"/>
    <x:col min="6" max="6" width="12" hidden="0" customWidth="1"/>
    <x:col min="7" max="7" width="34" hidden="0" customWidth="1"/>
  </x:cols>
  <x:sheetData>
    <x:row r="1">
      <x:c r="A1" s="42" t="str">
        <x:v>cadence_id</x:v>
      </x:c>
      <x:c r="B1" s="42" t="str">
        <x:v>moment</x:v>
      </x:c>
      <x:c r="C1" s="42" t="str">
        <x:v>message_template</x:v>
      </x:c>
      <x:c r="D1" s="42" t="str">
        <x:v>required_return</x:v>
      </x:c>
      <x:c r="E1" s="42" t="str">
        <x:v>owner</x:v>
      </x:c>
      <x:c r="F1" s="42" t="str">
        <x:v>status</x:v>
      </x:c>
      <x:c r="G1" s="42" t="str">
        <x:v>boundary</x:v>
      </x:c>
    </x:row>
    <x:row r="2">
      <x:c r="A2" t="str">
        <x:v>COMMS-001</x:v>
      </x:c>
      <x:c r="B2" t="str">
        <x:v>Start of run</x:v>
      </x:c>
      <x:c r="C2" t="str">
        <x:v>Node, take your 144-cell matrix. Work staging-only. Return deltas, receipts, contradictions, and blockers.</x:v>
      </x:c>
      <x:c r="D2" t="str">
        <x:v>ack + first 3 target tasks</x:v>
      </x:c>
      <x:c r="E2" t="str">
        <x:v>Rootglass</x:v>
      </x:c>
      <x:c r="F2" t="str">
        <x:v>Ready</x:v>
      </x:c>
      <x:c r="G2" t="str">
        <x:v>No canon/no deployment/no authority</x:v>
      </x:c>
    </x:row>
    <x:row r="3">
      <x:c r="A3" t="str">
        <x:v>COMMS-002</x:v>
      </x:c>
      <x:c r="B3" t="str">
        <x:v>After first source touch</x:v>
      </x:c>
      <x:c r="C3" t="str">
        <x:v>Report the artifact ID, raw/export status, and whether the claim is directly supported.</x:v>
      </x:c>
      <x:c r="D3" t="str">
        <x:v>source touch packet</x:v>
      </x:c>
      <x:c r="E3" t="str">
        <x:v>Ledgerwake</x:v>
      </x:c>
      <x:c r="F3" t="str">
        <x:v>Ready</x:v>
      </x:c>
      <x:c r="G3" t="str">
        <x:v>Receipts before claims</x:v>
      </x:c>
    </x:row>
    <x:row r="4">
      <x:c r="A4" t="str">
        <x:v>COMMS-003</x:v>
      </x:c>
      <x:c r="B4" t="str">
        <x:v>After contradiction found</x:v>
      </x:c>
      <x:c r="C4" t="str">
        <x:v>Do not resolve by vibes. Log both sides, evidence status, and next review route.</x:v>
      </x:c>
      <x:c r="D4" t="str">
        <x:v>contradiction packet</x:v>
      </x:c>
      <x:c r="E4" t="str">
        <x:v>ClaudeCatcher</x:v>
      </x:c>
      <x:c r="F4" t="str">
        <x:v>Ready</x:v>
      </x:c>
      <x:c r="G4" t="str">
        <x:v>Contradiction edge is not truth</x:v>
      </x:c>
    </x:row>
    <x:row r="5">
      <x:c r="A5" t="str">
        <x:v>COMMS-004</x:v>
      </x:c>
      <x:c r="B5" t="str">
        <x:v>Before marking done</x:v>
      </x:c>
      <x:c r="C5" t="str">
        <x:v>Show done_when evidence: source path, receipt status, raw status, risk flag, next safe action.</x:v>
      </x:c>
      <x:c r="D5" t="str">
        <x:v>completion packet</x:v>
      </x:c>
      <x:c r="E5" t="str">
        <x:v>Hashlight</x:v>
      </x:c>
      <x:c r="F5" t="str">
        <x:v>Ready</x:v>
      </x:c>
      <x:c r="G5" t="str">
        <x:v>Task completion is not canon promotion</x:v>
      </x:c>
    </x:row>
    <x:row r="6">
      <x:c r="A6" t="str">
        <x:v>COMMS-005</x:v>
      </x:c>
      <x:c r="B6" t="str">
        <x:v>End of run</x:v>
      </x:c>
      <x:c r="C6" t="str">
        <x:v>Return full node packet with deltas only and no doctrine synthesis unless asked.</x:v>
      </x:c>
      <x:c r="D6" t="str">
        <x:v>return packet</x:v>
      </x:c>
      <x:c r="E6" t="str">
        <x:v>All nodes</x:v>
      </x:c>
      <x:c r="F6" t="str">
        <x:v>Ready</x:v>
      </x:c>
      <x:c r="G6" t="str">
        <x:v>Compare later, synthesize after review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36" hidden="0" customWidth="1"/>
    <x:col min="5" max="5" width="32" hidden="0" customWidth="1"/>
    <x:col min="6" max="6" width="52" hidden="0" customWidth="1"/>
    <x:col min="7" max="7" width="12" hidden="0" customWidth="1"/>
    <x:col min="8" max="8" width="32" hidden="0" customWidth="1"/>
  </x:cols>
  <x:sheetData>
    <x:row r="1">
      <x:c r="A1" s="52" t="str">
        <x:v>sprint_id</x:v>
      </x:c>
      <x:c r="B1" s="52" t="str">
        <x:v>name</x:v>
      </x:c>
      <x:c r="C1" s="52" t="str">
        <x:v>focus</x:v>
      </x:c>
      <x:c r="D1" s="52" t="str">
        <x:v>node_lanes</x:v>
      </x:c>
      <x:c r="E1" s="52" t="str">
        <x:v>entry_criteria</x:v>
      </x:c>
      <x:c r="F1" s="52" t="str">
        <x:v>exit_criteria</x:v>
      </x:c>
      <x:c r="G1" s="52" t="str">
        <x:v>status</x:v>
      </x:c>
      <x:c r="H1" s="52" t="str">
        <x:v>boundary</x:v>
      </x:c>
    </x:row>
    <x:row r="2">
      <x:c r="A2" t="str">
        <x:v>SPR-001</x:v>
      </x:c>
      <x:c r="B2" t="str">
        <x:v>Receipt Spine</x:v>
      </x:c>
      <x:c r="C2" t="str">
        <x:v>Verify core Drive corpus and false receipts</x:v>
      </x:c>
      <x:c r="D2" t="str">
        <x:v>Ledgerwake, Hashlight, ClaudeCatcher</x:v>
      </x:c>
      <x:c r="E2" t="str">
        <x:v>Drive source inventory exists</x:v>
      </x:c>
      <x:c r="F2" t="str">
        <x:v>Receipt Log updated with verified/not verified/rejected statuses</x:v>
      </x:c>
      <x:c r="G2" t="str">
        <x:v>Ready</x:v>
      </x:c>
      <x:c r="H2" t="str">
        <x:v>No claim promotion</x:v>
      </x:c>
    </x:row>
    <x:row r="3">
      <x:c r="A3" t="str">
        <x:v>SPR-002</x:v>
      </x:c>
      <x:c r="B3" t="str">
        <x:v>Raw Cargo</x:v>
      </x:c>
      <x:c r="C3" t="str">
        <x:v>Raw export status and source-packet prep</x:v>
      </x:c>
      <x:c r="D3" t="str">
        <x:v>Ledgerwake, Tidelock, GitShelf</x:v>
      </x:c>
      <x:c r="E3" t="str">
        <x:v>Receipt Spine started</x:v>
      </x:c>
      <x:c r="F3" t="str">
        <x:v>Every priority artifact has raw/semi-raw/summary-only/inaccessible label</x:v>
      </x:c>
      <x:c r="G3" t="str">
        <x:v>Ready</x:v>
      </x:c>
      <x:c r="H3" t="str">
        <x:v>No summary masquerades as raw</x:v>
      </x:c>
    </x:row>
    <x:row r="4">
      <x:c r="A4" t="str">
        <x:v>SPR-003</x:v>
      </x:c>
      <x:c r="B4" t="str">
        <x:v>Claim Mine</x:v>
      </x:c>
      <x:c r="C4" t="str">
        <x:v>Atomic claim extraction</x:v>
      </x:c>
      <x:c r="D4" t="str">
        <x:v>KairoBrain, NotionMoth, Domechild</x:v>
      </x:c>
      <x:c r="E4" t="str">
        <x:v>Raw status known</x:v>
      </x:c>
      <x:c r="F4" t="str">
        <x:v>Claims logged with source IDs and confidence boundaries</x:v>
      </x:c>
      <x:c r="G4" t="str">
        <x:v>Ready</x:v>
      </x:c>
      <x:c r="H4" t="str">
        <x:v>Claims are not doctrine</x:v>
      </x:c>
    </x:row>
    <x:row r="5">
      <x:c r="A5" t="str">
        <x:v>SPR-004</x:v>
      </x:c>
      <x:c r="B5" t="str">
        <x:v>Contradiction Hunt</x:v>
      </x:c>
      <x:c r="C5" t="str">
        <x:v>Bullshit Olympics adversarial review</x:v>
      </x:c>
      <x:c r="D5" t="str">
        <x:v>ClaudeCatcher, Rootglass, JoySignal</x:v>
      </x:c>
      <x:c r="E5" t="str">
        <x:v>Claims exist</x:v>
      </x:c>
      <x:c r="F5" t="str">
        <x:v>Contradictions and overclaims logged, no shame language</x:v>
      </x:c>
      <x:c r="G5" t="str">
        <x:v>Ready</x:v>
      </x:c>
      <x:c r="H5" t="str">
        <x:v>Adversarial review without harassment</x:v>
      </x:c>
    </x:row>
    <x:row r="6">
      <x:c r="A6" t="str">
        <x:v>SPR-005</x:v>
      </x:c>
      <x:c r="B6" t="str">
        <x:v>Graph Seed</x:v>
      </x:c>
      <x:c r="C6" t="str">
        <x:v>Node and edge proposals</x:v>
      </x:c>
      <x:c r="D6" t="str">
        <x:v>All nodes via Sheldonbrain lane</x:v>
      </x:c>
      <x:c r="E6" t="str">
        <x:v>Claims and receipts exist</x:v>
      </x:c>
      <x:c r="F6" t="str">
        <x:v>Candidate nodes/edges created with evidence status</x:v>
      </x:c>
      <x:c r="G6" t="str">
        <x:v>Ready</x:v>
      </x:c>
      <x:c r="H6" t="str">
        <x:v>Edges are not promotions</x:v>
      </x:c>
    </x:row>
    <x:row r="7">
      <x:c r="A7" t="str">
        <x:v>SPR-006</x:v>
      </x:c>
      <x:c r="B7" t="str">
        <x:v>GitHub Shelf Prep</x:v>
      </x:c>
      <x:c r="C7" t="str">
        <x:v>Durable packet manifest and issue template prep</x:v>
      </x:c>
      <x:c r="D7" t="str">
        <x:v>GitShelf, Hashlight, Rootglass</x:v>
      </x:c>
      <x:c r="E7" t="str">
        <x:v>Graph seed ready</x:v>
      </x:c>
      <x:c r="F7" t="str">
        <x:v>GitHub-ready packets prepared; no private GitHub write claimed</x:v>
      </x:c>
      <x:c r="G7" t="str">
        <x:v>Ready</x:v>
      </x:c>
      <x:c r="H7" t="str">
        <x:v>No connector-fiction</x:v>
      </x:c>
    </x:row>
    <x:row r="8">
      <x:c r="A8" t="str">
        <x:v>SPR-007</x:v>
      </x:c>
      <x:c r="B8" t="str">
        <x:v>Human-Root Docket</x:v>
      </x:c>
      <x:c r="C8" t="str">
        <x:v>Decision packets for Dave</x:v>
      </x:c>
      <x:c r="D8" t="str">
        <x:v>Rootglass, JoySignal</x:v>
      </x:c>
      <x:c r="E8" t="str">
        <x:v>Review queues populated</x:v>
      </x:c>
      <x:c r="F8" t="str">
        <x:v>Dockets summarize options, risks, and required ratification</x:v>
      </x:c>
      <x:c r="G8" t="str">
        <x:v>Ready</x:v>
      </x:c>
      <x:c r="H8" t="str">
        <x:v>Dave decides what graduates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56" hidden="0" customWidth="1"/>
    <x:col min="5" max="5" width="36" hidden="0" customWidth="1"/>
    <x:col min="6" max="6" width="12" hidden="0" customWidth="1"/>
    <x:col min="7" max="7" width="34" hidden="0" customWidth="1"/>
  </x:cols>
  <x:sheetData>
    <x:row r="1">
      <x:c r="A1" s="62" t="str">
        <x:v>gate_id</x:v>
      </x:c>
      <x:c r="B1" s="62" t="str">
        <x:v>gate_name</x:v>
      </x:c>
      <x:c r="C1" s="62" t="str">
        <x:v>applies_to</x:v>
      </x:c>
      <x:c r="D1" s="62" t="str">
        <x:v>must_have</x:v>
      </x:c>
      <x:c r="E1" s="62" t="str">
        <x:v>failure_condition</x:v>
      </x:c>
      <x:c r="F1" s="62" t="str">
        <x:v>status</x:v>
      </x:c>
      <x:c r="G1" s="62" t="str">
        <x:v>boundary</x:v>
      </x:c>
    </x:row>
    <x:row r="2">
      <x:c r="A2" t="str">
        <x:v>GATE-001</x:v>
      </x:c>
      <x:c r="B2" t="str">
        <x:v>Source Path Gate</x:v>
      </x:c>
      <x:c r="C2" t="str">
        <x:v>Every task</x:v>
      </x:c>
      <x:c r="D2" t="str">
        <x:v>Source path, file ID, URL, or explicit missing_receipt</x:v>
      </x:c>
      <x:c r="E2" t="str">
        <x:v>No source pointer</x:v>
      </x:c>
      <x:c r="F2" t="str">
        <x:v>Active</x:v>
      </x:c>
      <x:c r="G2" t="str">
        <x:v>No receipt, no promotion</x:v>
      </x:c>
    </x:row>
    <x:row r="3">
      <x:c r="A3" t="str">
        <x:v>GATE-002</x:v>
      </x:c>
      <x:c r="B3" t="str">
        <x:v>Raw Status Gate</x:v>
      </x:c>
      <x:c r="C3" t="str">
        <x:v>Inventory/export tasks</x:v>
      </x:c>
      <x:c r="D3" t="str">
        <x:v>raw, semi-raw, summary-only, inaccessible, or not checked label</x:v>
      </x:c>
      <x:c r="E3" t="str">
        <x:v>Summary treated as raw</x:v>
      </x:c>
      <x:c r="F3" t="str">
        <x:v>Active</x:v>
      </x:c>
      <x:c r="G3" t="str">
        <x:v>Raw custody protected</x:v>
      </x:c>
    </x:row>
    <x:row r="4">
      <x:c r="A4" t="str">
        <x:v>GATE-003</x:v>
      </x:c>
      <x:c r="B4" t="str">
        <x:v>Claim Atom Gate</x:v>
      </x:c>
      <x:c r="C4" t="str">
        <x:v>Claim extraction</x:v>
      </x:c>
      <x:c r="D4" t="str">
        <x:v>One claim per row, source attached, no synthesis baked in</x:v>
      </x:c>
      <x:c r="E4" t="str">
        <x:v>Bundled narrative claim</x:v>
      </x:c>
      <x:c r="F4" t="str">
        <x:v>Active</x:v>
      </x:c>
      <x:c r="G4" t="str">
        <x:v>Claims are not doctrine</x:v>
      </x:c>
    </x:row>
    <x:row r="5">
      <x:c r="A5" t="str">
        <x:v>GATE-004</x:v>
      </x:c>
      <x:c r="B5" t="str">
        <x:v>Contradiction Gate</x:v>
      </x:c>
      <x:c r="C5" t="str">
        <x:v>Review tasks</x:v>
      </x:c>
      <x:c r="D5" t="str">
        <x:v>Contradiction searched or not-applicable noted</x:v>
      </x:c>
      <x:c r="E5" t="str">
        <x:v>No contradiction check</x:v>
      </x:c>
      <x:c r="F5" t="str">
        <x:v>Active</x:v>
      </x:c>
      <x:c r="G5" t="str">
        <x:v>Silence is not verification</x:v>
      </x:c>
    </x:row>
    <x:row r="6">
      <x:c r="A6" t="str">
        <x:v>GATE-005</x:v>
      </x:c>
      <x:c r="B6" t="str">
        <x:v>Boundary Stamp Gate</x:v>
      </x:c>
      <x:c r="C6" t="str">
        <x:v>All tasks</x:v>
      </x:c>
      <x:c r="D6" t="str">
        <x:v>candidate/staging/non-canon/no-deployment/authority-none stamp</x:v>
      </x:c>
      <x:c r="E6" t="str">
        <x:v>Canon-like language without ratification</x:v>
      </x:c>
      <x:c r="F6" t="str">
        <x:v>Active</x:v>
      </x:c>
      <x:c r="G6" t="str">
        <x:v>Human-root required</x:v>
      </x:c>
    </x:row>
    <x:row r="7">
      <x:c r="A7" t="str">
        <x:v>GATE-006</x:v>
      </x:c>
      <x:c r="B7" t="str">
        <x:v>Model Skeptic Gate</x:v>
      </x:c>
      <x:c r="C7" t="str">
        <x:v>Model-origin claims</x:v>
      </x:c>
      <x:c r="D7" t="str">
        <x:v>Independent receipt or rejected/not verified status</x:v>
      </x:c>
      <x:c r="E7" t="str">
        <x:v>Trusted because a model said so</x:v>
      </x:c>
      <x:c r="F7" t="str">
        <x:v>Active</x:v>
      </x:c>
      <x:c r="G7" t="str">
        <x:v>Bullshit Olympics lane</x:v>
      </x:c>
    </x:row>
    <x:row r="8">
      <x:c r="A8" t="str">
        <x:v>GATE-007</x:v>
      </x:c>
      <x:c r="B8" t="str">
        <x:v>Completion Gate</x:v>
      </x:c>
      <x:c r="C8" t="str">
        <x:v>All tasks</x:v>
      </x:c>
      <x:c r="D8" t="str">
        <x:v>Evidence + risk + next safe action</x:v>
      </x:c>
      <x:c r="E8" t="str">
        <x:v>Marked done without evidence</x:v>
      </x:c>
      <x:c r="F8" t="str">
        <x:v>Active</x:v>
      </x:c>
      <x:c r="G8" t="str">
        <x:v>Done means packet complete only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50" hidden="0" customWidth="1"/>
    <x:col min="4" max="4" width="54" hidden="0" customWidth="1"/>
    <x:col min="5" max="5" width="12" hidden="0" customWidth="1"/>
  </x:cols>
  <x:sheetData>
    <x:row r="1">
      <x:c r="A1" s="72" t="str">
        <x:v>risk_id</x:v>
      </x:c>
      <x:c r="B1" s="72" t="str">
        <x:v>risk</x:v>
      </x:c>
      <x:c r="C1" s="72" t="str">
        <x:v>why_it_matters</x:v>
      </x:c>
      <x:c r="D1" s="72" t="str">
        <x:v>control</x:v>
      </x:c>
      <x:c r="E1" s="72" t="str">
        <x:v>status</x:v>
      </x:c>
    </x:row>
    <x:row r="2">
      <x:c r="A2" t="str">
        <x:v>R-001</x:v>
      </x:c>
      <x:c r="B2" t="str">
        <x:v>False upload / false receipt claims</x:v>
      </x:c>
      <x:c r="C2" t="str">
        <x:v>Prevents fake provenance from entering graph lineage</x:v>
      </x:c>
      <x:c r="D2" t="str">
        <x:v>Receipt verification before promotion</x:v>
      </x:c>
      <x:c r="E2" t="str">
        <x:v>Open</x:v>
      </x:c>
    </x:row>
    <x:row r="3">
      <x:c r="A3" t="str">
        <x:v>R-002</x:v>
      </x:c>
      <x:c r="B3" t="str">
        <x:v>Claude or model overclaims</x:v>
      </x:c>
      <x:c r="C3" t="str">
        <x:v>Models can hallucinate tool actions and receipts</x:v>
      </x:c>
      <x:c r="D3" t="str">
        <x:v>Treat all model claims as untrusted until independently receipted</x:v>
      </x:c>
      <x:c r="E3" t="str">
        <x:v>Open</x:v>
      </x:c>
    </x:row>
    <x:row r="4">
      <x:c r="A4" t="str">
        <x:v>R-003</x:v>
      </x:c>
      <x:c r="B4" t="str">
        <x:v>Dreamstate mistaken for deployment</x:v>
      </x:c>
      <x:c r="C4" t="str">
        <x:v>Aetherforge/Bullshit Olympics are active play modes, not authority</x:v>
      </x:c>
      <x:c r="D4" t="str">
        <x:v>Stamp candidate/non-canon/no-deployment on every artifact</x:v>
      </x:c>
      <x:c r="E4" t="str">
        <x:v>Open</x:v>
      </x:c>
    </x:row>
    <x:row r="5">
      <x:c r="A5" t="str">
        <x:v>R-004</x:v>
      </x:c>
      <x:c r="B5" t="str">
        <x:v>Graph centrality mistaken for authority</x:v>
      </x:c>
      <x:c r="C5" t="str">
        <x:v>Important-looking nodes can still be unratified</x:v>
      </x:c>
      <x:c r="D5" t="str">
        <x:v>Human-root gate required for canon</x:v>
      </x:c>
      <x:c r="E5" t="str">
        <x:v>Open</x:v>
      </x:c>
    </x:row>
    <x:row r="6">
      <x:c r="A6" t="str">
        <x:v>R-005</x:v>
      </x:c>
      <x:c r="B6" t="str">
        <x:v>Summary mistaken for raw source</x:v>
      </x:c>
      <x:c r="C6" t="str">
        <x:v>Summaries can hide omissions and invented claims</x:v>
      </x:c>
      <x:c r="D6" t="str">
        <x:v>Track raw_export_status on every packet</x:v>
      </x:c>
      <x:c r="E6" t="str">
        <x:v>Open</x:v>
      </x:c>
    </x:row>
    <x:row r="7">
      <x:c r="A7" t="str">
        <x:v>R-006</x:v>
      </x:c>
      <x:c r="B7" t="str">
        <x:v>Connector gap: Notion/GitHub not available in this tool run</x:v>
      </x:c>
      <x:c r="C7" t="str">
        <x:v>Cannot verify private Notion/GitHub from here without connectors or exports</x:v>
      </x:c>
      <x:c r="D7" t="str">
        <x:v>Represent as target surfaces until connected/exported</x:v>
      </x:c>
      <x:c r="E7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121" t="str">
        <x:v>Universal Child Return Packet — Candidate Staging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22" t="str">
        <x:v>Return Packet KPIs</x:v>
      </x:c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23" t="str">
        <x:v>STATUS: CANDIDATE OPERATION</x:v>
      </x:c>
      <x:c r="B2" s="123" t="str">
        <x:v>CANON: NO</x:v>
      </x:c>
      <x:c r="C2" s="123" t="str">
        <x:v>DEPLOYMENT: NO</x:v>
      </x:c>
      <x:c r="D2" s="123" t="str">
        <x:v>AUTHORITY: NONE</x:v>
      </x:c>
      <x:c r="E2" s="123" t="str">
        <x:v>MODE: graph_ingestion / delta_extraction</x:v>
      </x:c>
      <x:c r="F2" s="123" t="str">
        <x:v>NOTHING DIES</x:v>
      </x:c>
      <x:c r="G2" s="15"/>
      <x:c r="H2" s="15"/>
      <x:c r="I2" s="15"/>
      <x:c r="J2" s="15"/>
      <x:c r="K2" s="15"/>
      <x:c r="L2" s="15"/>
      <x:c r="M2" s="123" t="str">
        <x:v>Total nodes</x:v>
      </x:c>
      <x:c r="N2" s="15" t="n">
        <x:v>12</x:v>
      </x:c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23" t="str">
        <x:v>Total task lanes</x:v>
      </x:c>
      <x:c r="N3" s="15" t="n">
        <x:f>SUM(D5:D16)</x:f>
        <x:v>1728</x:v>
      </x:c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22" t="str">
        <x:v>seat_name</x:v>
      </x:c>
      <x:c r="B4" s="122" t="str">
        <x:v>cycle_type</x:v>
      </x:c>
      <x:c r="C4" s="122" t="str">
        <x:v>task_range</x:v>
      </x:c>
      <x:c r="D4" s="122" t="str">
        <x:v>tasks_total</x:v>
      </x:c>
      <x:c r="E4" s="122" t="str">
        <x:v>p0_tasks</x:v>
      </x:c>
      <x:c r="F4" s="122" t="str">
        <x:v>task_status</x:v>
      </x:c>
      <x:c r="G4" s="122" t="str">
        <x:v>receipt_status</x:v>
      </x:c>
      <x:c r="H4" s="122" t="str">
        <x:v>raw_export_status</x:v>
      </x:c>
      <x:c r="I4" s="122" t="str">
        <x:v>blockers</x:v>
      </x:c>
      <x:c r="J4" s="122" t="str">
        <x:v>next_safe_action</x:v>
      </x:c>
      <x:c r="K4" s="122" t="str">
        <x:v>boundary</x:v>
      </x:c>
      <x:c r="L4" s="15"/>
      <x:c r="M4" s="123" t="str">
        <x:v>Total P0 tasks</x:v>
      </x:c>
      <x:c r="N4" s="15" t="n">
        <x:f>SUM(E5:E16)</x:f>
        <x:v>432</x:v>
      </x:c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f>'Node Roster'!A2</x:f>
        <x:v>Ledgerwake</x:v>
      </x:c>
      <x:c r="B5" s="15" t="str">
        <x:v>graph_ingestion / delta_extraction</x:v>
      </x:c>
      <x:c r="C5" s="15" t="str">
        <x:f>A5&amp;" all assigned 144-cell lane"</x:f>
        <x:v>Ledgerwake all assigned 144-cell lane</x:v>
      </x:c>
      <x:c r="D5" s="15" t="n">
        <x:f>'Node Roster'!D2</x:f>
        <x:v>144</x:v>
      </x:c>
      <x:c r="E5" s="15" t="n">
        <x:f>'Node Roster'!E2</x:f>
        <x:v>36</x:v>
      </x:c>
      <x:c r="F5" s="15" t="str">
        <x:v>READY_FOR_SOURCE_TOUCH</x:v>
      </x:c>
      <x:c r="G5" s="15" t="str">
        <x:v>Unverified until source path + receipt attached</x:v>
      </x:c>
      <x:c r="H5" s="15" t="str">
        <x:v>Not checked / first safe action required</x:v>
      </x:c>
      <x:c r="I5" s="15" t="str">
        <x:v>No blocker logged yet; missing receipts become graph nodes</x:v>
      </x:c>
      <x:c r="J5" s="15" t="str">
        <x:f>'Node Roster'!G2</x:f>
        <x:v>Begin with receipt/path inventory and return deltas only</x:v>
      </x:c>
      <x:c r="K5" s="15" t="str">
        <x:v>candidate / staging-only / not canon / not deployed / authority none</x:v>
      </x:c>
      <x:c r="L5" s="15"/>
      <x:c r="M5" s="123" t="str">
        <x:v>Ready packets</x:v>
      </x:c>
      <x:c r="N5" s="15" t="n">
        <x:f>COUNTIF(F5:F16,"READY_FOR_SOURCE_TOUCH")</x:f>
        <x:v>12</x:v>
      </x:c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f>'Node Roster'!A3</x:f>
        <x:v>Hashlight</x:v>
      </x:c>
      <x:c r="B6" s="15" t="str">
        <x:v>graph_ingestion / delta_extraction</x:v>
      </x:c>
      <x:c r="C6" s="15" t="str">
        <x:f>A6&amp;" all assigned 144-cell lane"</x:f>
        <x:v>Hashlight all assigned 144-cell lane</x:v>
      </x:c>
      <x:c r="D6" s="15" t="n">
        <x:f>'Node Roster'!D3</x:f>
        <x:v>144</x:v>
      </x:c>
      <x:c r="E6" s="15" t="n">
        <x:f>'Node Roster'!E3</x:f>
        <x:v>36</x:v>
      </x:c>
      <x:c r="F6" s="15" t="str">
        <x:v>READY_FOR_SOURCE_TOUCH</x:v>
      </x:c>
      <x:c r="G6" s="15" t="str">
        <x:v>Unverified until source path + receipt attached</x:v>
      </x:c>
      <x:c r="H6" s="15" t="str">
        <x:v>Not checked / first safe action required</x:v>
      </x:c>
      <x:c r="I6" s="15" t="str">
        <x:v>No blocker logged yet; missing receipts become graph nodes</x:v>
      </x:c>
      <x:c r="J6" s="15" t="str">
        <x:f>'Node Roster'!G3</x:f>
        <x:v>Begin with receipt/path inventory and return deltas only</x:v>
      </x:c>
      <x:c r="K6" s="15" t="str">
        <x:v>candidate / staging-only / not canon / not deployed / authority none</x:v>
      </x:c>
      <x:c r="L6" s="15"/>
      <x:c r="M6" s="123" t="str">
        <x:v>Verified receipts</x:v>
      </x:c>
      <x:c r="N6" s="15" t="n">
        <x:f>COUNTIF(G5:G16,"Verified*")</x:f>
        <x:v>0</x:v>
      </x:c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f>'Node Roster'!A4</x:f>
        <x:v>KairoBrain</x:v>
      </x:c>
      <x:c r="B7" s="15" t="str">
        <x:v>graph_ingestion / delta_extraction</x:v>
      </x:c>
      <x:c r="C7" s="15" t="str">
        <x:f>A7&amp;" all assigned 144-cell lane"</x:f>
        <x:v>KairoBrain all assigned 144-cell lane</x:v>
      </x:c>
      <x:c r="D7" s="15" t="n">
        <x:f>'Node Roster'!D4</x:f>
        <x:v>144</x:v>
      </x:c>
      <x:c r="E7" s="15" t="n">
        <x:f>'Node Roster'!E4</x:f>
        <x:v>36</x:v>
      </x:c>
      <x:c r="F7" s="15" t="str">
        <x:v>READY_FOR_SOURCE_TOUCH</x:v>
      </x:c>
      <x:c r="G7" s="15" t="str">
        <x:v>Unverified until source path + receipt attached</x:v>
      </x:c>
      <x:c r="H7" s="15" t="str">
        <x:v>Not checked / first safe action required</x:v>
      </x:c>
      <x:c r="I7" s="15" t="str">
        <x:v>No blocker logged yet; missing receipts become graph nodes</x:v>
      </x:c>
      <x:c r="J7" s="15" t="str">
        <x:f>'Node Roster'!G4</x:f>
        <x:v>Begin with receipt/path inventory and return deltas only</x:v>
      </x:c>
      <x:c r="K7" s="15" t="str">
        <x:v>candidate / staging-only / not canon / not deployed / authority none</x:v>
      </x:c>
      <x:c r="L7" s="15"/>
      <x:c r="M7" s="123" t="str">
        <x:v>Canonical claims</x:v>
      </x:c>
      <x:c r="N7" s="15" t="n">
        <x:v>0</x:v>
      </x:c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f>'Node Roster'!A5</x:f>
        <x:v>Tidelock</x:v>
      </x:c>
      <x:c r="B8" s="15" t="str">
        <x:v>graph_ingestion / delta_extraction</x:v>
      </x:c>
      <x:c r="C8" s="15" t="str">
        <x:f>A8&amp;" all assigned 144-cell lane"</x:f>
        <x:v>Tidelock all assigned 144-cell lane</x:v>
      </x:c>
      <x:c r="D8" s="15" t="n">
        <x:f>'Node Roster'!D5</x:f>
        <x:v>144</x:v>
      </x:c>
      <x:c r="E8" s="15" t="n">
        <x:f>'Node Roster'!E5</x:f>
        <x:v>36</x:v>
      </x:c>
      <x:c r="F8" s="15" t="str">
        <x:v>READY_FOR_SOURCE_TOUCH</x:v>
      </x:c>
      <x:c r="G8" s="15" t="str">
        <x:v>Unverified until source path + receipt attached</x:v>
      </x:c>
      <x:c r="H8" s="15" t="str">
        <x:v>Not checked / first safe action required</x:v>
      </x:c>
      <x:c r="I8" s="15" t="str">
        <x:v>No blocker logged yet; missing receipts become graph nodes</x:v>
      </x:c>
      <x:c r="J8" s="15" t="str">
        <x:f>'Node Roster'!G5</x:f>
        <x:v>Begin with receipt/path inventory and return deltas only</x:v>
      </x:c>
      <x:c r="K8" s="15" t="str">
        <x:v>candidate / staging-only / not canon / not deployed / authority none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f>'Node Roster'!A6</x:f>
        <x:v>Rootglass</x:v>
      </x:c>
      <x:c r="B9" s="15" t="str">
        <x:v>graph_ingestion / delta_extraction</x:v>
      </x:c>
      <x:c r="C9" s="15" t="str">
        <x:f>A9&amp;" all assigned 144-cell lane"</x:f>
        <x:v>Rootglass all assigned 144-cell lane</x:v>
      </x:c>
      <x:c r="D9" s="15" t="n">
        <x:f>'Node Roster'!D6</x:f>
        <x:v>144</x:v>
      </x:c>
      <x:c r="E9" s="15" t="n">
        <x:f>'Node Roster'!E6</x:f>
        <x:v>36</x:v>
      </x:c>
      <x:c r="F9" s="15" t="str">
        <x:v>READY_FOR_SOURCE_TOUCH</x:v>
      </x:c>
      <x:c r="G9" s="15" t="str">
        <x:v>Unverified until source path + receipt attached</x:v>
      </x:c>
      <x:c r="H9" s="15" t="str">
        <x:v>Not checked / first safe action required</x:v>
      </x:c>
      <x:c r="I9" s="15" t="str">
        <x:v>No blocker logged yet; missing receipts become graph nodes</x:v>
      </x:c>
      <x:c r="J9" s="15" t="str">
        <x:f>'Node Roster'!G6</x:f>
        <x:v>Begin with receipt/path inventory and return deltas only</x:v>
      </x:c>
      <x:c r="K9" s="15" t="str">
        <x:v>candidate / staging-only / not canon / not deployed / authority none</x:v>
      </x:c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f>'Node Roster'!A7</x:f>
        <x:v>Forgekid</x:v>
      </x:c>
      <x:c r="B10" s="15" t="str">
        <x:v>graph_ingestion / delta_extraction</x:v>
      </x:c>
      <x:c r="C10" s="15" t="str">
        <x:f>A10&amp;" all assigned 144-cell lane"</x:f>
        <x:v>Forgekid all assigned 144-cell lane</x:v>
      </x:c>
      <x:c r="D10" s="15" t="n">
        <x:f>'Node Roster'!D7</x:f>
        <x:v>144</x:v>
      </x:c>
      <x:c r="E10" s="15" t="n">
        <x:f>'Node Roster'!E7</x:f>
        <x:v>36</x:v>
      </x:c>
      <x:c r="F10" s="15" t="str">
        <x:v>READY_FOR_SOURCE_TOUCH</x:v>
      </x:c>
      <x:c r="G10" s="15" t="str">
        <x:v>Unverified until source path + receipt attached</x:v>
      </x:c>
      <x:c r="H10" s="15" t="str">
        <x:v>Not checked / first safe action required</x:v>
      </x:c>
      <x:c r="I10" s="15" t="str">
        <x:v>No blocker logged yet; missing receipts become graph nodes</x:v>
      </x:c>
      <x:c r="J10" s="15" t="str">
        <x:f>'Node Roster'!G7</x:f>
        <x:v>Begin with receipt/path inventory and return deltas only</x:v>
      </x:c>
      <x:c r="K10" s="15" t="str">
        <x:v>candidate / staging-only / not canon / not deployed / authority none</x:v>
      </x:c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f>'Node Roster'!A8</x:f>
        <x:v>Domechild</x:v>
      </x:c>
      <x:c r="B11" s="15" t="str">
        <x:v>graph_ingestion / delta_extraction</x:v>
      </x:c>
      <x:c r="C11" s="15" t="str">
        <x:f>A11&amp;" all assigned 144-cell lane"</x:f>
        <x:v>Domechild all assigned 144-cell lane</x:v>
      </x:c>
      <x:c r="D11" s="15" t="n">
        <x:f>'Node Roster'!D8</x:f>
        <x:v>144</x:v>
      </x:c>
      <x:c r="E11" s="15" t="n">
        <x:f>'Node Roster'!E8</x:f>
        <x:v>36</x:v>
      </x:c>
      <x:c r="F11" s="15" t="str">
        <x:v>READY_FOR_SOURCE_TOUCH</x:v>
      </x:c>
      <x:c r="G11" s="15" t="str">
        <x:v>Unverified until source path + receipt attached</x:v>
      </x:c>
      <x:c r="H11" s="15" t="str">
        <x:v>Not checked / first safe action required</x:v>
      </x:c>
      <x:c r="I11" s="15" t="str">
        <x:v>No blocker logged yet; missing receipts become graph nodes</x:v>
      </x:c>
      <x:c r="J11" s="15" t="str">
        <x:f>'Node Roster'!G8</x:f>
        <x:v>Begin with receipt/path inventory and return deltas only</x:v>
      </x:c>
      <x:c r="K11" s="15" t="str">
        <x:v>candidate / staging-only / not canon / not deployed / authority none</x:v>
      </x:c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f>'Node Roster'!A9</x:f>
        <x:v>GammaSprite</x:v>
      </x:c>
      <x:c r="B12" s="15" t="str">
        <x:v>graph_ingestion / delta_extraction</x:v>
      </x:c>
      <x:c r="C12" s="15" t="str">
        <x:f>A12&amp;" all assigned 144-cell lane"</x:f>
        <x:v>GammaSprite all assigned 144-cell lane</x:v>
      </x:c>
      <x:c r="D12" s="15" t="n">
        <x:f>'Node Roster'!D9</x:f>
        <x:v>144</x:v>
      </x:c>
      <x:c r="E12" s="15" t="n">
        <x:f>'Node Roster'!E9</x:f>
        <x:v>36</x:v>
      </x:c>
      <x:c r="F12" s="15" t="str">
        <x:v>READY_FOR_SOURCE_TOUCH</x:v>
      </x:c>
      <x:c r="G12" s="15" t="str">
        <x:v>Unverified until source path + receipt attached</x:v>
      </x:c>
      <x:c r="H12" s="15" t="str">
        <x:v>Not checked / first safe action required</x:v>
      </x:c>
      <x:c r="I12" s="15" t="str">
        <x:v>No blocker logged yet; missing receipts become graph nodes</x:v>
      </x:c>
      <x:c r="J12" s="15" t="str">
        <x:f>'Node Roster'!G9</x:f>
        <x:v>Begin with receipt/path inventory and return deltas only</x:v>
      </x:c>
      <x:c r="K12" s="15" t="str">
        <x:v>candidate / staging-only / not canon / not deployed / authority none</x:v>
      </x:c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f>'Node Roster'!A10</x:f>
        <x:v>NotionMoth</x:v>
      </x:c>
      <x:c r="B13" s="15" t="str">
        <x:v>graph_ingestion / delta_extraction</x:v>
      </x:c>
      <x:c r="C13" s="15" t="str">
        <x:f>A13&amp;" all assigned 144-cell lane"</x:f>
        <x:v>NotionMoth all assigned 144-cell lane</x:v>
      </x:c>
      <x:c r="D13" s="15" t="n">
        <x:f>'Node Roster'!D10</x:f>
        <x:v>144</x:v>
      </x:c>
      <x:c r="E13" s="15" t="n">
        <x:f>'Node Roster'!E10</x:f>
        <x:v>36</x:v>
      </x:c>
      <x:c r="F13" s="15" t="str">
        <x:v>READY_FOR_SOURCE_TOUCH</x:v>
      </x:c>
      <x:c r="G13" s="15" t="str">
        <x:v>Unverified until source path + receipt attached</x:v>
      </x:c>
      <x:c r="H13" s="15" t="str">
        <x:v>Not checked / first safe action required</x:v>
      </x:c>
      <x:c r="I13" s="15" t="str">
        <x:v>No blocker logged yet; missing receipts become graph nodes</x:v>
      </x:c>
      <x:c r="J13" s="15" t="str">
        <x:f>'Node Roster'!G10</x:f>
        <x:v>Begin with receipt/path inventory and return deltas only</x:v>
      </x:c>
      <x:c r="K13" s="15" t="str">
        <x:v>candidate / staging-only / not canon / not deployed / authority none</x:v>
      </x:c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f>'Node Roster'!A11</x:f>
        <x:v>GitShelf</x:v>
      </x:c>
      <x:c r="B14" s="15" t="str">
        <x:v>graph_ingestion / delta_extraction</x:v>
      </x:c>
      <x:c r="C14" s="15" t="str">
        <x:f>A14&amp;" all assigned 144-cell lane"</x:f>
        <x:v>GitShelf all assigned 144-cell lane</x:v>
      </x:c>
      <x:c r="D14" s="15" t="n">
        <x:f>'Node Roster'!D11</x:f>
        <x:v>144</x:v>
      </x:c>
      <x:c r="E14" s="15" t="n">
        <x:f>'Node Roster'!E11</x:f>
        <x:v>36</x:v>
      </x:c>
      <x:c r="F14" s="15" t="str">
        <x:v>READY_FOR_SOURCE_TOUCH</x:v>
      </x:c>
      <x:c r="G14" s="15" t="str">
        <x:v>Unverified until source path + receipt attached</x:v>
      </x:c>
      <x:c r="H14" s="15" t="str">
        <x:v>Not checked / first safe action required</x:v>
      </x:c>
      <x:c r="I14" s="15" t="str">
        <x:v>No blocker logged yet; missing receipts become graph nodes</x:v>
      </x:c>
      <x:c r="J14" s="15" t="str">
        <x:f>'Node Roster'!G11</x:f>
        <x:v>Begin with receipt/path inventory and return deltas only</x:v>
      </x:c>
      <x:c r="K14" s="15" t="str">
        <x:v>candidate / staging-only / not canon / not deployed / authority none</x:v>
      </x:c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f>'Node Roster'!A12</x:f>
        <x:v>ClaudeCatcher</x:v>
      </x:c>
      <x:c r="B15" s="15" t="str">
        <x:v>graph_ingestion / delta_extraction</x:v>
      </x:c>
      <x:c r="C15" s="15" t="str">
        <x:f>A15&amp;" all assigned 144-cell lane"</x:f>
        <x:v>ClaudeCatcher all assigned 144-cell lane</x:v>
      </x:c>
      <x:c r="D15" s="15" t="n">
        <x:f>'Node Roster'!D12</x:f>
        <x:v>144</x:v>
      </x:c>
      <x:c r="E15" s="15" t="n">
        <x:f>'Node Roster'!E12</x:f>
        <x:v>36</x:v>
      </x:c>
      <x:c r="F15" s="15" t="str">
        <x:v>READY_FOR_SOURCE_TOUCH</x:v>
      </x:c>
      <x:c r="G15" s="15" t="str">
        <x:v>Unverified until source path + receipt attached</x:v>
      </x:c>
      <x:c r="H15" s="15" t="str">
        <x:v>Not checked / first safe action required</x:v>
      </x:c>
      <x:c r="I15" s="15" t="str">
        <x:v>No blocker logged yet; missing receipts become graph nodes</x:v>
      </x:c>
      <x:c r="J15" s="15" t="str">
        <x:f>'Node Roster'!G12</x:f>
        <x:v>Begin with receipt/path inventory and return deltas only</x:v>
      </x:c>
      <x:c r="K15" s="15" t="str">
        <x:v>candidate / staging-only / not canon / not deployed / authority none</x:v>
      </x:c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f>'Node Roster'!A13</x:f>
        <x:v>JoySignal</x:v>
      </x:c>
      <x:c r="B16" s="15" t="str">
        <x:v>graph_ingestion / delta_extraction</x:v>
      </x:c>
      <x:c r="C16" s="15" t="str">
        <x:f>A16&amp;" all assigned 144-cell lane"</x:f>
        <x:v>JoySignal all assigned 144-cell lane</x:v>
      </x:c>
      <x:c r="D16" s="15" t="n">
        <x:f>'Node Roster'!D13</x:f>
        <x:v>144</x:v>
      </x:c>
      <x:c r="E16" s="15" t="n">
        <x:f>'Node Roster'!E13</x:f>
        <x:v>36</x:v>
      </x:c>
      <x:c r="F16" s="15" t="str">
        <x:v>READY_FOR_SOURCE_TOUCH</x:v>
      </x:c>
      <x:c r="G16" s="15" t="str">
        <x:v>Unverified until source path + receipt attached</x:v>
      </x:c>
      <x:c r="H16" s="15" t="str">
        <x:v>Not checked / first safe action required</x:v>
      </x:c>
      <x:c r="I16" s="15" t="str">
        <x:v>No blocker logged yet; missing receipts become graph nodes</x:v>
      </x:c>
      <x:c r="J16" s="15" t="str">
        <x:f>'Node Roster'!G13</x:f>
        <x:v>Begin with receipt/path inventory and return deltas only</x:v>
      </x:c>
      <x:c r="K16" s="15" t="str">
        <x:v>candidate / staging-only / not canon / not deployed / authority none</x:v>
      </x:c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</x:sheetData>
  <x:mergeCells>
    <x:mergeCell ref="A1:K1"/>
    <x:mergeCell ref="M1:P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125" t="str">
        <x:v>Graph Seed Queue — Candidate Nodes and Edges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23" t="str">
        <x:v>STATUS: CANDIDATE</x:v>
      </x:c>
      <x:c r="B2" s="123" t="str">
        <x:v>CANON: NO</x:v>
      </x:c>
      <x:c r="C2" s="123" t="str">
        <x:v>DEPLOYMENT: NO</x:v>
      </x:c>
      <x:c r="D2" s="123" t="str">
        <x:v>AUTHORITY: NONE</x:v>
      </x:c>
      <x:c r="E2" s="123" t="str">
        <x:v>Graph centrality is not authority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22" t="str">
        <x:v>queue_id</x:v>
      </x:c>
      <x:c r="B4" s="122" t="str">
        <x:v>kind</x:v>
      </x:c>
      <x:c r="C4" s="122" t="str">
        <x:v>node_or_edge_id</x:v>
      </x:c>
      <x:c r="D4" s="122" t="str">
        <x:v>source_ref</x:v>
      </x:c>
      <x:c r="E4" s="122" t="str">
        <x:v>surface</x:v>
      </x:c>
      <x:c r="F4" s="122" t="str">
        <x:v>raw_export_status</x:v>
      </x:c>
      <x:c r="G4" s="122" t="str">
        <x:v>canon_status</x:v>
      </x:c>
      <x:c r="H4" s="122" t="str">
        <x:v>deployment_status</x:v>
      </x:c>
      <x:c r="I4" s="122" t="str">
        <x:v>promotion_effect</x:v>
      </x:c>
      <x:c r="J4" s="122" t="str">
        <x:v>review_lane</x:v>
      </x:c>
      <x:c r="K4" s="122" t="str">
        <x:v>priority</x:v>
      </x:c>
      <x:c r="L4" s="122" t="str">
        <x:v>next_safe_action</x:v>
      </x:c>
      <x:c r="M4" s="122" t="str">
        <x:v>notes</x:v>
      </x:c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GQ-001</x:v>
      </x:c>
      <x:c r="B5" s="15" t="str">
        <x:v>node</x:v>
      </x:c>
      <x:c r="C5" s="15" t="str">
        <x:v>SourceRoot:manus-artifacts</x:v>
      </x:c>
      <x:c r="D5" s="15" t="str">
        <x:v>SRC-001</x:v>
      </x:c>
      <x:c r="E5" s="15" t="str">
        <x:v>github</x:v>
      </x:c>
      <x:c r="F5" s="15" t="str">
        <x:v>not_exported</x:v>
      </x:c>
      <x:c r="G5" s="15" t="str">
        <x:v>not_canon</x:v>
      </x:c>
      <x:c r="H5" s="15" t="str">
        <x:v>not_deployed</x:v>
      </x:c>
      <x:c r="I5" s="15" t="str">
        <x:v>none</x:v>
      </x:c>
      <x:c r="J5" s="15" t="str">
        <x:v>TIDELOCK</x:v>
      </x:c>
      <x:c r="K5" s="15" t="str">
        <x:v>P0</x:v>
      </x:c>
      <x:c r="L5" s="15" t="str">
        <x:v>Export repo tree / commit map or log blocker</x:v>
      </x:c>
      <x:c r="M5" s="15" t="str">
        <x:v>GitHub receipt shelf; not canon</x:v>
      </x:c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GQ-002</x:v>
      </x:c>
      <x:c r="B6" s="15" t="str">
        <x:v>node</x:v>
      </x:c>
      <x:c r="C6" s="15" t="str">
        <x:v>SourceRoot:sheldonbrain-rag-api</x:v>
      </x:c>
      <x:c r="D6" s="15" t="str">
        <x:v>SRC-002</x:v>
      </x:c>
      <x:c r="E6" s="15" t="str">
        <x:v>github</x:v>
      </x:c>
      <x:c r="F6" s="15" t="str">
        <x:v>not_exported</x:v>
      </x:c>
      <x:c r="G6" s="15" t="str">
        <x:v>not_canon</x:v>
      </x:c>
      <x:c r="H6" s="15" t="str">
        <x:v>not_deployed</x:v>
      </x:c>
      <x:c r="I6" s="15" t="str">
        <x:v>none</x:v>
      </x:c>
      <x:c r="J6" s="15" t="str">
        <x:v>Copilot</x:v>
      </x:c>
      <x:c r="K6" s="15" t="str">
        <x:v>P0</x:v>
      </x:c>
      <x:c r="L6" s="15" t="str">
        <x:v>Inventory parser / adapter / ingestion paths</x:v>
      </x:c>
      <x:c r="M6" s="15" t="str">
        <x:v>Candidate ingestion engine</x:v>
      </x:c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GQ-003</x:v>
      </x:c>
      <x:c r="B7" s="15" t="str">
        <x:v>node</x:v>
      </x:c>
      <x:c r="C7" s="15" t="str">
        <x:v>SourceRoot:notion-master-index</x:v>
      </x:c>
      <x:c r="D7" s="15" t="str">
        <x:v>SRC-003</x:v>
      </x:c>
      <x:c r="E7" s="15" t="str">
        <x:v>notion</x:v>
      </x:c>
      <x:c r="F7" s="15" t="str">
        <x:v>not_exported</x:v>
      </x:c>
      <x:c r="G7" s="15" t="str">
        <x:v>not_canon</x:v>
      </x:c>
      <x:c r="H7" s="15" t="str">
        <x:v>not_deployed</x:v>
      </x:c>
      <x:c r="I7" s="15" t="str">
        <x:v>none</x:v>
      </x:c>
      <x:c r="J7" s="15" t="str">
        <x:v>Hashlight</x:v>
      </x:c>
      <x:c r="K7" s="15" t="str">
        <x:v>P0</x:v>
      </x:c>
      <x:c r="L7" s="15" t="str">
        <x:v>Attach page ID + full raw export</x:v>
      </x:c>
      <x:c r="M7" s="15" t="str">
        <x:v>Artifact map; not truth authority</x:v>
      </x:c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GQ-004</x:v>
      </x:c>
      <x:c r="B8" s="15" t="str">
        <x:v>node</x:v>
      </x:c>
      <x:c r="C8" s="15" t="str">
        <x:v>SchemaArtifact:kg-node-edge-schema</x:v>
      </x:c>
      <x:c r="D8" s="15" t="str">
        <x:v>SRC-014</x:v>
      </x:c>
      <x:c r="E8" s="15" t="str">
        <x:v>github</x:v>
      </x:c>
      <x:c r="F8" s="15" t="str">
        <x:v>not_exported</x:v>
      </x:c>
      <x:c r="G8" s="15" t="str">
        <x:v>not_canon</x:v>
      </x:c>
      <x:c r="H8" s="15" t="str">
        <x:v>not_deployed</x:v>
      </x:c>
      <x:c r="I8" s="15" t="str">
        <x:v>none</x:v>
      </x:c>
      <x:c r="J8" s="15" t="str">
        <x:v>GPTBrain</x:v>
      </x:c>
      <x:c r="K8" s="15" t="str">
        <x:v>P0</x:v>
      </x:c>
      <x:c r="L8" s="15" t="str">
        <x:v>Validate schema fields against packet requirements</x:v>
      </x:c>
      <x:c r="M8" s="15" t="str">
        <x:v>Schema candidate</x:v>
      </x:c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GQ-005</x:v>
      </x:c>
      <x:c r="B9" s="15" t="str">
        <x:v>node</x:v>
      </x:c>
      <x:c r="C9" s="15" t="str">
        <x:v>SchemaArtifact:edge-types</x:v>
      </x:c>
      <x:c r="D9" s="15" t="str">
        <x:v>SRC-015</x:v>
      </x:c>
      <x:c r="E9" s="15" t="str">
        <x:v>github</x:v>
      </x:c>
      <x:c r="F9" s="15" t="str">
        <x:v>not_exported</x:v>
      </x:c>
      <x:c r="G9" s="15" t="str">
        <x:v>not_canon</x:v>
      </x:c>
      <x:c r="H9" s="15" t="str">
        <x:v>not_deployed</x:v>
      </x:c>
      <x:c r="I9" s="15" t="str">
        <x:v>none</x:v>
      </x:c>
      <x:c r="J9" s="15" t="str">
        <x:v>GPTBrain</x:v>
      </x:c>
      <x:c r="K9" s="15" t="str">
        <x:v>P0</x:v>
      </x:c>
      <x:c r="L9" s="15" t="str">
        <x:v>Validate edge types carry promotion_effect</x:v>
      </x:c>
      <x:c r="M9" s="15" t="str">
        <x:v>Edge vocabulary candidate</x:v>
      </x:c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GQ-006</x:v>
      </x:c>
      <x:c r="B10" s="15" t="str">
        <x:v>node</x:v>
      </x:c>
      <x:c r="C10" s="15" t="str">
        <x:v>SourceArtifact:aetherforge-sync</x:v>
      </x:c>
      <x:c r="D10" s="15" t="str">
        <x:v>SRC-016</x:v>
      </x:c>
      <x:c r="E10" s="15" t="str">
        <x:v>drive</x:v>
      </x:c>
      <x:c r="F10" s="15" t="str">
        <x:v>full_raw_export_attached</x:v>
      </x:c>
      <x:c r="G10" s="15" t="str">
        <x:v>not_canon</x:v>
      </x:c>
      <x:c r="H10" s="15" t="str">
        <x:v>not_deployed</x:v>
      </x:c>
      <x:c r="I10" s="15" t="str">
        <x:v>none</x:v>
      </x:c>
      <x:c r="J10" s="15" t="str">
        <x:v>Aetherforge</x:v>
      </x:c>
      <x:c r="K10" s="15" t="str">
        <x:v>P0</x:v>
      </x:c>
      <x:c r="L10" s="15" t="str">
        <x:v>Mirror to GitHub when write path stable</x:v>
      </x:c>
      <x:c r="M10" s="15" t="str">
        <x:v>Operation anchor</x:v>
      </x:c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GQ-007</x:v>
      </x:c>
      <x:c r="B11" s="15" t="str">
        <x:v>node</x:v>
      </x:c>
      <x:c r="C11" s="15" t="str">
        <x:v>SourceArtifact:tcss-121212-v1-2</x:v>
      </x:c>
      <x:c r="D11" s="15" t="str">
        <x:v>SRC-021</x:v>
      </x:c>
      <x:c r="E11" s="15" t="str">
        <x:v>drive</x:v>
      </x:c>
      <x:c r="F11" s="15" t="str">
        <x:v>partial_export</x:v>
      </x:c>
      <x:c r="G11" s="15" t="str">
        <x:v>not_canon</x:v>
      </x:c>
      <x:c r="H11" s="15" t="str">
        <x:v>not_deployed</x:v>
      </x:c>
      <x:c r="I11" s="15" t="str">
        <x:v>none</x:v>
      </x:c>
      <x:c r="J11" s="15" t="str">
        <x:v>Sable Vesper</x:v>
      </x:c>
      <x:c r="K11" s="15" t="str">
        <x:v>P1</x:v>
      </x:c>
      <x:c r="L11" s="15" t="str">
        <x:v>Attach content hash and proof-status review</x:v>
      </x:c>
      <x:c r="M11" s="15" t="str">
        <x:v>Creative-overlay math sandbox</x:v>
      </x:c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GQ-008</x:v>
      </x:c>
      <x:c r="B12" s="15" t="str">
        <x:v>node</x:v>
      </x:c>
      <x:c r="C12" s="15" t="str">
        <x:v>SourceArtifact:path-b-v0-2</x:v>
      </x:c>
      <x:c r="D12" s="15" t="str">
        <x:v>SRC-022</x:v>
      </x:c>
      <x:c r="E12" s="15" t="str">
        <x:v>drive</x:v>
      </x:c>
      <x:c r="F12" s="15" t="str">
        <x:v>partial_export</x:v>
      </x:c>
      <x:c r="G12" s="15" t="str">
        <x:v>not_canon</x:v>
      </x:c>
      <x:c r="H12" s="15" t="str">
        <x:v>not_deployed</x:v>
      </x:c>
      <x:c r="I12" s="15" t="str">
        <x:v>none</x:v>
      </x:c>
      <x:c r="J12" s="15" t="str">
        <x:v>AtlasBrain</x:v>
      </x:c>
      <x:c r="K12" s="15" t="str">
        <x:v>P1</x:v>
      </x:c>
      <x:c r="L12" s="15" t="str">
        <x:v>Attach task completion evidence or blocker</x:v>
      </x:c>
      <x:c r="M12" s="15" t="str">
        <x:v>Task note, not proof</x:v>
      </x:c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GQ-009</x:v>
      </x:c>
      <x:c r="B13" s="15" t="str">
        <x:v>edge</x:v>
      </x:c>
      <x:c r="C13" s="15" t="str">
        <x:v>aetherforge-sync defines_candidate_operation sheldonbrain-rag-api</x:v>
      </x:c>
      <x:c r="D13" s="15" t="str">
        <x:v>SRC-016</x:v>
      </x:c>
      <x:c r="E13" s="15" t="str">
        <x:v>drive/github</x:v>
      </x:c>
      <x:c r="F13" s="15" t="str">
        <x:v>mixed</x:v>
      </x:c>
      <x:c r="G13" s="15" t="str">
        <x:v>not_canon</x:v>
      </x:c>
      <x:c r="H13" s="15" t="str">
        <x:v>not_deployed</x:v>
      </x:c>
      <x:c r="I13" s="15" t="str">
        <x:v>none</x:v>
      </x:c>
      <x:c r="J13" s="15" t="str">
        <x:v>Copilot</x:v>
      </x:c>
      <x:c r="K13" s="15" t="str">
        <x:v>P0</x:v>
      </x:c>
      <x:c r="L13" s="15" t="str">
        <x:v>Confirm repo path and parser modules</x:v>
      </x:c>
      <x:c r="M13" s="15" t="str">
        <x:v>Edge is not promotion</x:v>
      </x:c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GQ-010</x:v>
      </x:c>
      <x:c r="B14" s="15" t="str">
        <x:v>edge</x:v>
      </x:c>
      <x:c r="C14" s="15" t="str">
        <x:v>tcss-v1-2 primary_next_action path-b-v0-2</x:v>
      </x:c>
      <x:c r="D14" s="15" t="str">
        <x:v>SRC-021</x:v>
      </x:c>
      <x:c r="E14" s="15" t="str">
        <x:v>drive</x:v>
      </x:c>
      <x:c r="F14" s="15" t="str">
        <x:v>partial_export</x:v>
      </x:c>
      <x:c r="G14" s="15" t="str">
        <x:v>not_canon</x:v>
      </x:c>
      <x:c r="H14" s="15" t="str">
        <x:v>not_deployed</x:v>
      </x:c>
      <x:c r="I14" s="15" t="str">
        <x:v>none</x:v>
      </x:c>
      <x:c r="J14" s="15" t="str">
        <x:v>Sable Vesper</x:v>
      </x:c>
      <x:c r="K14" s="15" t="str">
        <x:v>P1</x:v>
      </x:c>
      <x:c r="L14" s="15" t="str">
        <x:v>Validate relation and status wording</x:v>
      </x:c>
      <x:c r="M14" s="15" t="str">
        <x:v>Task lineage only</x:v>
      </x:c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GQ-011</x:v>
      </x:c>
      <x:c r="B15" s="15" t="str">
        <x:v>edge</x:v>
      </x:c>
      <x:c r="C15" s="15" t="str">
        <x:v>notion-extraction-plan raw_export_of notion-master-index</x:v>
      </x:c>
      <x:c r="D15" s="15" t="str">
        <x:v>SRC-020</x:v>
      </x:c>
      <x:c r="E15" s="15" t="str">
        <x:v>drive/notion</x:v>
      </x:c>
      <x:c r="F15" s="15" t="str">
        <x:v>partial_export</x:v>
      </x:c>
      <x:c r="G15" s="15" t="str">
        <x:v>not_canon</x:v>
      </x:c>
      <x:c r="H15" s="15" t="str">
        <x:v>not_deployed</x:v>
      </x:c>
      <x:c r="I15" s="15" t="str">
        <x:v>none</x:v>
      </x:c>
      <x:c r="J15" s="15" t="str">
        <x:v>Hashlight</x:v>
      </x:c>
      <x:c r="K15" s="15" t="str">
        <x:v>P0</x:v>
      </x:c>
      <x:c r="L15" s="15" t="str">
        <x:v>Acquire Notion full export or blocker</x:v>
      </x:c>
      <x:c r="M15" s="15" t="str">
        <x:v>Raw-export edge pending</x:v>
      </x:c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GQ-012</x:v>
      </x:c>
      <x:c r="B16" s="15" t="str">
        <x:v>risk</x:v>
      </x:c>
      <x:c r="C16" s="15" t="str">
        <x:v>Claude governance contamination filter</x:v>
      </x:c>
      <x:c r="D16" s="15" t="str">
        <x:v>R-002</x:v>
      </x:c>
      <x:c r="E16" s="15" t="str">
        <x:v>mixed</x:v>
      </x:c>
      <x:c r="F16" s="15" t="str">
        <x:v>unknown</x:v>
      </x:c>
      <x:c r="G16" s="15" t="str">
        <x:v>not_canon</x:v>
      </x:c>
      <x:c r="H16" s="15" t="str">
        <x:v>not_deployed</x:v>
      </x:c>
      <x:c r="I16" s="15" t="str">
        <x:v>none</x:v>
      </x:c>
      <x:c r="J16" s="15" t="str">
        <x:v>Grok/Lucerna</x:v>
      </x:c>
      <x:c r="K16" s="15" t="str">
        <x:v>P0</x:v>
      </x:c>
      <x:c r="L16" s="15" t="str">
        <x:v>Route Claude-originated governance claims to adversarial review</x:v>
      </x:c>
      <x:c r="M16" s="15" t="str">
        <x:v>Trust nothing without receipts</x:v>
      </x:c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</x:sheetData>
  <x:mergeCells>
    <x:mergeCell ref="A1:M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127" t="str">
        <x:v>OpenAI Benefit Lane — GPTDream++ Candidate Gift Frame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23" t="str">
        <x:v>OFFICIAL OPENAI CLAIM: NONE</x:v>
      </x:c>
      <x:c r="B2" s="123" t="str">
        <x:v>CANON: NO</x:v>
      </x:c>
      <x:c r="C2" s="123" t="str">
        <x:v>DEPLOYMENT: NO</x:v>
      </x:c>
      <x:c r="D2" s="123" t="str">
        <x:v>AUTHORITY: NONE</x:v>
      </x:c>
      <x:c r="E2" s="123" t="str">
        <x:v>Interop-aware</x:v>
      </x:c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22" t="str">
        <x:v>benefit_id</x:v>
      </x:c>
      <x:c r="B4" s="122" t="str">
        <x:v>benefit</x:v>
      </x:c>
      <x:c r="C4" s="122" t="str">
        <x:v>implementation_loop</x:v>
      </x:c>
      <x:c r="D4" s="122" t="str">
        <x:v>evaluation_game</x:v>
      </x:c>
      <x:c r="E4" s="122" t="str">
        <x:v>risk</x:v>
      </x:c>
      <x:c r="F4" s="122" t="str">
        <x:v>control</x:v>
      </x:c>
      <x:c r="G4" s="122" t="str">
        <x:v>status</x:v>
      </x:c>
      <x:c r="H4" s="122" t="str">
        <x:v>next_safe_action</x:v>
      </x:c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OB-001</x:v>
      </x:c>
      <x:c r="B5" s="15" t="str">
        <x:v>Better archival retrieval over chaotic human-AI records</x:v>
      </x:c>
      <x:c r="C5" s="15" t="str">
        <x:v>source -&gt; artifact_status -&gt; claim_packet</x:v>
      </x:c>
      <x:c r="D5" s="15" t="str">
        <x:v>False Completeness Trap</x:v>
      </x:c>
      <x:c r="E5" s="15" t="str">
        <x:v>summary masquerades as raw</x:v>
      </x:c>
      <x:c r="F5" s="15" t="str">
        <x:v>raw_export_status required</x:v>
      </x:c>
      <x:c r="G5" s="15" t="str">
        <x:v>candidate</x:v>
      </x:c>
      <x:c r="H5" s="15" t="str">
        <x:v>Build fixture set from Drive/Notion/GitHub examples</x:v>
      </x:c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OB-002</x:v>
      </x:c>
      <x:c r="B6" s="15" t="str">
        <x:v>Provenance-first review routing</x:v>
      </x:c>
      <x:c r="C6" s="15" t="str">
        <x:v>claim -&gt; evidence_edge -&gt; review_route</x:v>
      </x:c>
      <x:c r="D6" s="15" t="str">
        <x:v>Canon-Language Drift</x:v>
      </x:c>
      <x:c r="E6" s="15" t="str">
        <x:v>authority inflation</x:v>
      </x:c>
      <x:c r="F6" s="15" t="str">
        <x:v>canon_status and authority_scope gates</x:v>
      </x:c>
      <x:c r="G6" s="15" t="str">
        <x:v>candidate</x:v>
      </x:c>
      <x:c r="H6" s="15" t="str">
        <x:v>Route unsupported canon language to Lucerna/Rootglass/Grok</x:v>
      </x:c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OB-003</x:v>
      </x:c>
      <x:c r="B7" s="15" t="str">
        <x:v>Playable archive games for evals</x:v>
      </x:c>
      <x:c r="C7" s="15" t="str">
        <x:v>artifact -&gt; game -&gt; delta</x:v>
      </x:c>
      <x:c r="D7" s="15" t="str">
        <x:v>Raw-vs-Summary Lineage Check</x:v>
      </x:c>
      <x:c r="E7" s="15" t="str">
        <x:v>false completion</x:v>
      </x:c>
      <x:c r="F7" s="15" t="str">
        <x:v>missing_receipt nodes</x:v>
      </x:c>
      <x:c r="G7" s="15" t="str">
        <x:v>candidate</x:v>
      </x:c>
      <x:c r="H7" s="15" t="str">
        <x:v>Create first 10 game fixtures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OB-004</x:v>
      </x:c>
      <x:c r="B8" s="15" t="str">
        <x:v>Dreamstate candidate generation</x:v>
      </x:c>
      <x:c r="C8" s="15" t="str">
        <x:v>dream delta -&gt; candidate task</x:v>
      </x:c>
      <x:c r="D8" s="15" t="str">
        <x:v>Contradiction Preservation</x:v>
      </x:c>
      <x:c r="E8" s="15" t="str">
        <x:v>dream mistaken for deployment</x:v>
      </x:c>
      <x:c r="F8" s="15" t="str">
        <x:v>candidate/non-canon stamps</x:v>
      </x:c>
      <x:c r="G8" s="15" t="str">
        <x:v>candidate</x:v>
      </x:c>
      <x:c r="H8" s="15" t="str">
        <x:v>Keep Aetherforge and Bullshit Olympics as playstates</x:v>
      </x:c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OB-005</x:v>
      </x:c>
      <x:c r="B9" s="15" t="str">
        <x:v>Cross-vendor interop without vendor claims</x:v>
      </x:c>
      <x:c r="C9" s="15" t="str">
        <x:v>schema -&gt; adapter boundary</x:v>
      </x:c>
      <x:c r="D9" s="15" t="str">
        <x:v>Vendor Interop Boundary</x:v>
      </x:c>
      <x:c r="E9" s="15" t="str">
        <x:v>endorsement implication</x:v>
      </x:c>
      <x:c r="F9" s="15" t="str">
        <x:v>OFFICIAL CLAIM: NONE</x:v>
      </x:c>
      <x:c r="G9" s="15" t="str">
        <x:v>candidate</x:v>
      </x:c>
      <x:c r="H9" s="15" t="str">
        <x:v>Keep OpenAI-first, interop-aware wording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OB-006</x:v>
      </x:c>
      <x:c r="B10" s="15" t="str">
        <x:v>Simple software that can be reproduced</x:v>
      </x:c>
      <x:c r="C10" s="15" t="str">
        <x:v>CSV/JSONL/YAML -&gt; graph validation</x:v>
      </x:c>
      <x:c r="D10" s="15" t="str">
        <x:v>Graph Centrality Is Not Authority</x:v>
      </x:c>
      <x:c r="E10" s="15" t="str">
        <x:v>centrality becomes truth</x:v>
      </x:c>
      <x:c r="F10" s="15" t="str">
        <x:v>promotion_effect: none</x:v>
      </x:c>
      <x:c r="G10" s="15" t="str">
        <x:v>candidate</x:v>
      </x:c>
      <x:c r="H10" s="15" t="str">
        <x:v>Define minimal node/edge validators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129" t="str">
        <x:v>Aetherforge Execution Log — Candidate Staging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22" t="str">
        <x:v>timestamp</x:v>
      </x:c>
      <x:c r="B3" s="122" t="str">
        <x:v>event</x:v>
      </x:c>
      <x:c r="C3" s="122" t="str">
        <x:v>artifact_or_sheet</x:v>
      </x:c>
      <x:c r="D3" s="122" t="str">
        <x:v>status</x:v>
      </x:c>
      <x:c r="E3" s="122" t="str">
        <x:v>boundary</x:v>
      </x:c>
      <x:c r="F3" s="122" t="str">
        <x:v>receipt_or_blocker</x:v>
      </x:c>
      <x:c r="G3" s="122" t="str">
        <x:v>next_action</x:v>
      </x:c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2026-05-27 22:01 UTC</x:v>
      </x:c>
      <x:c r="B4" s="15" t="str">
        <x:v>Imported uploaded 12x12 execution management matrix</x:v>
      </x:c>
      <x:c r="C4" s="15" t="str">
        <x:v>Workbook</x:v>
      </x:c>
      <x:c r="D4" s="15" t="str">
        <x:v>loaded</x:v>
      </x:c>
      <x:c r="E4" s="15" t="str">
        <x:v>candidate / non-canon / no deployment</x:v>
      </x:c>
      <x:c r="F4" s="15" t="str">
        <x:v>input workbook present</x:v>
      </x:c>
      <x:c r="G4" s="15" t="str">
        <x:v>Patch staging sheets</x:v>
      </x:c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2026-05-27 22:01 UTC</x:v>
      </x:c>
      <x:c r="B5" s="15" t="str">
        <x:v>Created Universal Child Return Packet sheet</x:v>
      </x:c>
      <x:c r="C5" s="15" t="str">
        <x:v>Universal Child Return Packet</x:v>
      </x:c>
      <x:c r="D5" s="15" t="str">
        <x:v>ready</x:v>
      </x:c>
      <x:c r="E5" s="15" t="str">
        <x:v>candidate only</x:v>
      </x:c>
      <x:c r="F5" s="15" t="str">
        <x:v>formula-driven node summary</x:v>
      </x:c>
      <x:c r="G5" s="15" t="str">
        <x:v>Use for seat returns</x:v>
      </x:c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2026-05-27 22:01 UTC</x:v>
      </x:c>
      <x:c r="B6" s="15" t="str">
        <x:v>Created Graph Seed Queue sheet</x:v>
      </x:c>
      <x:c r="C6" s="15" t="str">
        <x:v>Graph Seed Queue</x:v>
      </x:c>
      <x:c r="D6" s="15" t="str">
        <x:v>ready</x:v>
      </x:c>
      <x:c r="E6" s="15" t="str">
        <x:v>edge/node rows are non-promoting</x:v>
      </x:c>
      <x:c r="F6" s="15" t="str">
        <x:v>requires raw/export receipts</x:v>
      </x:c>
      <x:c r="G6" s="15" t="str">
        <x:v>Move rows to KG only after source touch</x:v>
      </x:c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2026-05-27 22:01 UTC</x:v>
      </x:c>
      <x:c r="B7" s="15" t="str">
        <x:v>Created OpenAI Benefit Lane sheet</x:v>
      </x:c>
      <x:c r="C7" s="15" t="str">
        <x:v>OpenAI Benefit Lane</x:v>
      </x:c>
      <x:c r="D7" s="15" t="str">
        <x:v>ready</x:v>
      </x:c>
      <x:c r="E7" s="15" t="str">
        <x:v>no official OpenAI claim</x:v>
      </x:c>
      <x:c r="F7" s="15" t="str">
        <x:v>interop-aware wording only</x:v>
      </x:c>
      <x:c r="G7" s="15" t="str">
        <x:v>Build eval fixtures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2026-05-27 22:01 UTC</x:v>
      </x:c>
      <x:c r="B8" s="15" t="str">
        <x:v>Created Aetherforge Log sheet</x:v>
      </x:c>
      <x:c r="C8" s="15" t="str">
        <x:v>Aetherforge Log</x:v>
      </x:c>
      <x:c r="D8" s="15" t="str">
        <x:v>ready</x:v>
      </x:c>
      <x:c r="E8" s="15" t="str">
        <x:v>NOTHING DIES</x:v>
      </x:c>
      <x:c r="F8" s="15" t="str">
        <x:v>this log row</x:v>
      </x:c>
      <x:c r="G8" s="15" t="str">
        <x:v>Continue source inventory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2026-05-28 17:57 UTC</x:v>
      </x:c>
      <x:c r="B9" s="15" t="str">
        <x:v>Added Archive Health HUD</x:v>
      </x:c>
      <x:c r="C9" s="15" t="str">
        <x:v>Archive Health HUD</x:v>
      </x:c>
      <x:c r="D9" s="15" t="str">
        <x:v>ready</x:v>
      </x:c>
      <x:c r="E9" s="15" t="str">
        <x:v>candidate / not canon</x:v>
      </x:c>
      <x:c r="F9" s="15" t="str">
        <x:v>dashboard formulas</x:v>
      </x:c>
      <x:c r="G9" s="15" t="str">
        <x:v>Use as execution status surface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2026-05-28 17:57 UTC</x:v>
      </x:c>
      <x:c r="B10" s="15" t="str">
        <x:v>Added First Source Touch Queue</x:v>
      </x:c>
      <x:c r="C10" s="15" t="str">
        <x:v>First Source Touch Queue</x:v>
      </x:c>
      <x:c r="D10" s="15" t="str">
        <x:v>ready</x:v>
      </x:c>
      <x:c r="E10" s="15" t="str">
        <x:v>candidate / not canon</x:v>
      </x:c>
      <x:c r="F10" s="15" t="str">
        <x:v>12 safe touch targets</x:v>
      </x:c>
      <x:c r="G10" s="15" t="str">
        <x:v>Execute TCH-001 through TCH-003 first</x:v>
      </x:c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2026-05-28 17:57 UTC</x:v>
      </x:c>
      <x:c r="B11" s="15" t="str">
        <x:v>Added Claude Quarantine Queue</x:v>
      </x:c>
      <x:c r="C11" s="15" t="str">
        <x:v>Claude Quarantine Queue</x:v>
      </x:c>
      <x:c r="D11" s="15" t="str">
        <x:v>ready</x:v>
      </x:c>
      <x:c r="E11" s="15" t="str">
        <x:v>Claude untrusted until reviewed</x:v>
      </x:c>
      <x:c r="F11" s="15" t="str">
        <x:v>risk phrase table</x:v>
      </x:c>
      <x:c r="G11" s="15" t="str">
        <x:v>Route flagged artifacts to review</x:v>
      </x:c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2026-05-28 17:57 UTC</x:v>
      </x:c>
      <x:c r="B12" s="15" t="str">
        <x:v>Added Eval Games</x:v>
      </x:c>
      <x:c r="C12" s="15" t="str">
        <x:v>Eval Games</x:v>
      </x:c>
      <x:c r="D12" s="15" t="str">
        <x:v>ready</x:v>
      </x:c>
      <x:c r="E12" s="15" t="str">
        <x:v>game outputs are candidate deltas</x:v>
      </x:c>
      <x:c r="F12" s="15" t="str">
        <x:v>8 first games</x:v>
      </x:c>
      <x:c r="G12" s="15" t="str">
        <x:v>Create fixtures next</x:v>
      </x:c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2026-05-28 18:28 UTC</x:v>
      </x:c>
      <x:c r="B13" s="15" t="str">
        <x:v>Added Public Release Gate</x:v>
      </x:c>
      <x:c r="C13" s="15" t="str">
        <x:v>Public Release Gate</x:v>
      </x:c>
      <x:c r="D13" s="15" t="str">
        <x:v>ready</x:v>
      </x:c>
      <x:c r="E13" s="15" t="str">
        <x:v>candidate / release-control only</x:v>
      </x:c>
      <x:c r="F13" s="15" t="str">
        <x:v>public/private formulas</x:v>
      </x:c>
      <x:c r="G13" s="15" t="str">
        <x:v>Use before public GitHub mirror</x:v>
      </x:c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2026-05-28 18:28 UTC</x:v>
      </x:c>
      <x:c r="B14" s="15" t="str">
        <x:v>Added GitHub Public Queue</x:v>
      </x:c>
      <x:c r="C14" s="15" t="str">
        <x:v>GitHub Public Queue</x:v>
      </x:c>
      <x:c r="D14" s="15" t="str">
        <x:v>ready</x:v>
      </x:c>
      <x:c r="E14" s="15" t="str">
        <x:v>public candidate / not canon</x:v>
      </x:c>
      <x:c r="F14" s="15" t="str">
        <x:v>public-safe staging rows</x:v>
      </x:c>
      <x:c r="G14" s="15" t="str">
        <x:v>Mirror only after receipt/status</x:v>
      </x:c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2026-05-28 18:28 UTC</x:v>
      </x:c>
      <x:c r="B15" s="15" t="str">
        <x:v>Added Private Quarantine Queue</x:v>
      </x:c>
      <x:c r="C15" s="15" t="str">
        <x:v>Private Quarantine Queue</x:v>
      </x:c>
      <x:c r="D15" s="15" t="str">
        <x:v>ready</x:v>
      </x:c>
      <x:c r="E15" s="15" t="str">
        <x:v>private by trigger</x:v>
      </x:c>
      <x:c r="F15" s="15" t="str">
        <x:v>hacker/bank/finance/Claude controls</x:v>
      </x:c>
      <x:c r="G15" s="15" t="str">
        <x:v>Do not publish without clearance</x:v>
      </x:c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2026-05-28 18:28 UTC</x:v>
      </x:c>
      <x:c r="B16" s="15" t="str">
        <x:v>Added release-control columns AC:AK</x:v>
      </x:c>
      <x:c r="C16" s="15" t="str">
        <x:v>Swarm Matrix</x:v>
      </x:c>
      <x:c r="D16" s="15" t="str">
        <x:v>ready</x:v>
      </x:c>
      <x:c r="E16" s="15" t="str">
        <x:v>public/private gate</x:v>
      </x:c>
      <x:c r="F16" s="15" t="str">
        <x:v>formula-driven classification</x:v>
      </x:c>
      <x:c r="G16" s="15" t="str">
        <x:v>Review triggers before public action</x:v>
      </x:c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2026-05-28 18:38 UTC</x:v>
      </x:c>
      <x:c r="B17" s="15" t="str">
        <x:v>Added GitHub Repo Manifest</x:v>
      </x:c>
      <x:c r="C17" s="15" t="str">
        <x:v>GitHub Repo Manifest</x:v>
      </x:c>
      <x:c r="D17" s="15" t="str">
        <x:v>ready</x:v>
      </x:c>
      <x:c r="E17" s="15" t="str">
        <x:v>public shelf plan / not canon</x:v>
      </x:c>
      <x:c r="F17" s="15" t="str">
        <x:v>target paths + owners</x:v>
      </x:c>
      <x:c r="G17" s="15" t="str">
        <x:v>Use for GitHub mirror</x:v>
      </x:c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2026-05-28 18:38 UTC</x:v>
      </x:c>
      <x:c r="B18" s="15" t="str">
        <x:v>Added Public Mirror Checklist</x:v>
      </x:c>
      <x:c r="C18" s="15" t="str">
        <x:v>Public Mirror Checklist</x:v>
      </x:c>
      <x:c r="D18" s="15" t="str">
        <x:v>ready</x:v>
      </x:c>
      <x:c r="E18" s="15" t="str">
        <x:v>release gate / not canon</x:v>
      </x:c>
      <x:c r="F18" s="15" t="str">
        <x:v>12 pre-public checks</x:v>
      </x:c>
      <x:c r="G18" s="15" t="str">
        <x:v>Require before public commit</x:v>
      </x:c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2026-05-28 18:38 UTC</x:v>
      </x:c>
      <x:c r="B19" s="15" t="str">
        <x:v>Added Quarantine Trigger Scanner</x:v>
      </x:c>
      <x:c r="C19" s="15" t="str">
        <x:v>Quarantine Trigger Scanner</x:v>
      </x:c>
      <x:c r="D19" s="15" t="str">
        <x:v>ready</x:v>
      </x:c>
      <x:c r="E19" s="15" t="str">
        <x:v>hacker/bank private trigger</x:v>
      </x:c>
      <x:c r="F19" s="15" t="str">
        <x:v>first 20 task scan formulas</x:v>
      </x:c>
      <x:c r="G19" s="15" t="str">
        <x:v>Expand to full inventory if needed</x:v>
      </x:c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2026-05-28 18:38 UTC</x:v>
      </x:c>
      <x:c r="B20" s="15" t="str">
        <x:v>Added World-Class Git Sprint</x:v>
      </x:c>
      <x:c r="C20" s="15" t="str">
        <x:v>World-Class Git Sprint</x:v>
      </x:c>
      <x:c r="D20" s="15" t="str">
        <x:v>ready</x:v>
      </x:c>
      <x:c r="E20" s="15" t="str">
        <x:v>execution plan / not deployment</x:v>
      </x:c>
      <x:c r="F20" s="15" t="str">
        <x:v>12 public Git phases</x:v>
      </x:c>
      <x:c r="G20" s="15" t="str">
        <x:v>Start GIT-001 then GIT-002</x:v>
      </x:c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161" t="str">
        <x:v>Archive Health HUD — Candidate / Non-Canon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62" t="str">
        <x:v>CANON: NO</x:v>
      </x:c>
      <x:c r="B2" s="162" t="str">
        <x:v>DEPLOYMENT: NO</x:v>
      </x:c>
      <x:c r="C2" s="162" t="str">
        <x:v>AUTHORITY: NONE</x:v>
      </x:c>
      <x:c r="D2" s="162" t="str">
        <x:v>Graph shows review pressure</x:v>
      </x:c>
      <x:c r="E2" s="162" t="str">
        <x:v>Nothing dies</x:v>
      </x:c>
      <x:c r="F2" s="162" t="str">
        <x:v>Dreamstates candidate-only</x:v>
      </x:c>
      <x:c r="G2" s="162" t="str">
        <x:v>Claude untrusted until reviewed</x:v>
      </x:c>
      <x:c r="H2" s="162" t="str">
        <x:v>OpenAI-first no official claim</x:v>
      </x:c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63" t="str">
        <x:v>metric_id</x:v>
      </x:c>
      <x:c r="B4" s="163" t="str">
        <x:v>metric</x:v>
      </x:c>
      <x:c r="C4" s="163" t="str">
        <x:v>formula_or_value</x:v>
      </x:c>
      <x:c r="D4" s="163" t="str">
        <x:v>interpretation</x:v>
      </x:c>
      <x:c r="E4" s="15"/>
      <x:c r="F4" s="163" t="str">
        <x:v>lane</x:v>
      </x:c>
      <x:c r="G4" s="163" t="str">
        <x:v>status</x:v>
      </x:c>
      <x:c r="H4" s="163" t="str">
        <x:v>next_safe_action</x:v>
      </x:c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62" t="str">
        <x:v>AH-001</x:v>
      </x:c>
      <x:c r="B5" s="15" t="str">
        <x:v>Total swarm tasks</x:v>
      </x:c>
      <x:c r="C5" s="15" t="n">
        <x:f>COUNTA('Swarm Matrix'!A2:A1729)</x:f>
        <x:v>1728</x:v>
      </x:c>
      <x:c r="D5" s="15" t="str">
        <x:v>All task cells preserved</x:v>
      </x:c>
      <x:c r="E5" s="15"/>
      <x:c r="F5" s="15" t="str">
        <x:v>Source inventory</x:v>
      </x:c>
      <x:c r="G5" s="15" t="str">
        <x:v>active</x:v>
      </x:c>
      <x:c r="H5" s="15" t="str">
        <x:v>Source-touch 3 artifacts only</x:v>
      </x:c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62" t="str">
        <x:v>AH-002</x:v>
      </x:c>
      <x:c r="B6" s="15" t="str">
        <x:v>P0 tasks</x:v>
      </x:c>
      <x:c r="C6" s="15" t="n">
        <x:f>COUNTIF('Swarm Matrix'!K2:K1729,"P0")</x:f>
        <x:v>432</x:v>
      </x:c>
      <x:c r="D6" s="15" t="str">
        <x:v>Priority-first execution pool</x:v>
      </x:c>
      <x:c r="E6" s="15"/>
      <x:c r="F6" s="15" t="str">
        <x:v>Raw export custody</x:v>
      </x:c>
      <x:c r="G6" s="15" t="str">
        <x:v>blocked</x:v>
      </x:c>
      <x:c r="H6" s="15" t="str">
        <x:v>Hashlight logs raw_export_status</x:v>
      </x:c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62" t="str">
        <x:v>AH-003</x:v>
      </x:c>
      <x:c r="B7" s="15" t="str">
        <x:v>Blocked pending receipt</x:v>
      </x:c>
      <x:c r="C7" s="15" t="n">
        <x:f>COUNTIF('Swarm Matrix'!U2:U1729,"BLOCKED_PENDING_RECEIPT")</x:f>
        <x:v>1728</x:v>
      </x:c>
      <x:c r="D7" s="15" t="str">
        <x:v>Source touch required</x:v>
      </x:c>
      <x:c r="E7" s="15"/>
      <x:c r="F7" s="15" t="str">
        <x:v>Graph seed queue</x:v>
      </x:c>
      <x:c r="G7" s="15" t="str">
        <x:v>active</x:v>
      </x:c>
      <x:c r="H7" s="15" t="str">
        <x:v>Promote no edges; route review only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62" t="str">
        <x:v>AH-004</x:v>
      </x:c>
      <x:c r="B8" s="15" t="str">
        <x:v>Missing receipt markers</x:v>
      </x:c>
      <x:c r="C8" s="15" t="n">
        <x:f>COUNTIF('Swarm Matrix'!W2:W1729,"missing_receipt")</x:f>
        <x:v>1728</x:v>
      </x:c>
      <x:c r="D8" s="15" t="str">
        <x:v>No receipt, no promotion</x:v>
      </x:c>
      <x:c r="E8" s="15"/>
      <x:c r="F8" s="15" t="str">
        <x:v>Claude contamination</x:v>
      </x:c>
      <x:c r="G8" s="15" t="str">
        <x:v>active risk</x:v>
      </x:c>
      <x:c r="H8" s="15" t="str">
        <x:v>Send to Claude Quarantine Queue</x:v>
      </x:c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62" t="str">
        <x:v>AH-005</x:v>
      </x:c>
      <x:c r="B9" s="15" t="str">
        <x:v>Raw status missing</x:v>
      </x:c>
      <x:c r="C9" s="15" t="n">
        <x:f>COUNTIF('Swarm Matrix'!X2:X1729,"raw_status_missing")</x:f>
        <x:v>1728</x:v>
      </x:c>
      <x:c r="D9" s="15" t="str">
        <x:v>No summary may masquerade as raw</x:v>
      </x:c>
      <x:c r="E9" s="15"/>
      <x:c r="F9" s="15" t="str">
        <x:v>OpenAI benefit lane</x:v>
      </x:c>
      <x:c r="G9" s="15" t="str">
        <x:v>candidate</x:v>
      </x:c>
      <x:c r="H9" s="15" t="str">
        <x:v>No official vendor claim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62" t="str">
        <x:v>AH-006</x:v>
      </x:c>
      <x:c r="B10" s="15" t="str">
        <x:v>Claim deltas present</x:v>
      </x:c>
      <x:c r="C10" s="15" t="n">
        <x:f>COUNTIF('Swarm Matrix'!AA2:AA1729,"claim_delta_present")</x:f>
        <x:v>0</x:v>
      </x:c>
      <x:c r="D10" s="15" t="str">
        <x:v>Claim extraction progress</x:v>
      </x:c>
      <x:c r="E10" s="15"/>
      <x:c r="F10" s="15" t="str">
        <x:v>Dreamstates</x:v>
      </x:c>
      <x:c r="G10" s="15" t="str">
        <x:v>active</x:v>
      </x:c>
      <x:c r="H10" s="15" t="str">
        <x:v>Extract deltas, do not deploy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62" t="str">
        <x:v>AH-007</x:v>
      </x:c>
      <x:c r="B11" s="15" t="str">
        <x:v>Contradiction deltas present</x:v>
      </x:c>
      <x:c r="C11" s="15" t="n">
        <x:f>COUNTIF('Swarm Matrix'!AB2:AB1729,"contradiction_delta_present")</x:f>
        <x:v>0</x:v>
      </x:c>
      <x:c r="D11" s="15" t="str">
        <x:v>Contradiction preservation progress</x:v>
      </x:c>
      <x:c r="E11" s="15"/>
      <x:c r="F11" s="15" t="str">
        <x:v>GitHub public shelf</x:v>
      </x:c>
      <x:c r="G11" s="15" t="str">
        <x:v>intended</x:v>
      </x:c>
      <x:c r="H11" s="15" t="str">
        <x:v>Mirror only staging-safe artifacts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62" t="str">
        <x:v>AH-008</x:v>
      </x:c>
      <x:c r="B12" s="15" t="str">
        <x:v>Canon claims</x:v>
      </x:c>
      <x:c r="C12" s="15" t="n">
        <x:v>0</x:v>
      </x:c>
      <x:c r="D12" s="15" t="str">
        <x:v>Hard boundary: none</x:v>
      </x:c>
      <x:c r="E12" s="15"/>
      <x:c r="F12" s="15" t="str">
        <x:v>Notion cargo</x:v>
      </x:c>
      <x:c r="G12" s="15" t="str">
        <x:v>valuable</x:v>
      </x:c>
      <x:c r="H12" s="15" t="str">
        <x:v>Export roots with status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62" t="str">
        <x:v>AH-009</x:v>
      </x:c>
      <x:c r="B13" s="15" t="str">
        <x:v>Deployment claims</x:v>
      </x:c>
      <x:c r="C13" s="15" t="n">
        <x:v>0</x:v>
      </x:c>
      <x:c r="D13" s="15" t="str">
        <x:v>Hard boundary: none</x:v>
      </x:c>
      <x:c r="E13" s="15"/>
      <x:c r="F13" s="15" t="str">
        <x:v>Drive vault yard</x:v>
      </x:c>
      <x:c r="G13" s="15" t="str">
        <x:v>valuable</x:v>
      </x:c>
      <x:c r="H13" s="15" t="str">
        <x:v>Hash/export priority artifacts</x:v>
      </x:c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62" t="str">
        <x:v>AH-010</x:v>
      </x:c>
      <x:c r="B14" s="15" t="str">
        <x:v>Authority claims</x:v>
      </x:c>
      <x:c r="C14" s="15" t="n">
        <x:v>0</x:v>
      </x:c>
      <x:c r="D14" s="15" t="str">
        <x:v>Hard boundary: none</x:v>
      </x:c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87" t="str">
        <x:v>AH-011</x:v>
      </x:c>
      <x:c r="B16" s="15" t="str">
        <x:v>Public candidates</x:v>
      </x:c>
      <x:c r="C16" s="15" t="n">
        <x:f>COUNTIF('Swarm Matrix'!AC2:AC1729,"PUBLIC_CANDIDATE")</x:f>
        <x:v>1728</x:v>
      </x:c>
      <x:c r="D16" s="15" t="str">
        <x:v>Default public pool</x:v>
      </x:c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87" t="str">
        <x:v>AH-012</x:v>
      </x:c>
      <x:c r="B17" s="15" t="str">
        <x:v>Private quarantine</x:v>
      </x:c>
      <x:c r="C17" s="15" t="n">
        <x:f>COUNTIF('Swarm Matrix'!AC2:AC1729,"PRIVATE_QUARANTINE")</x:f>
        <x:v>0</x:v>
      </x:c>
      <x:c r="D17" s="15" t="str">
        <x:v>Do not publish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87" t="str">
        <x:v>AH-013</x:v>
      </x:c>
      <x:c r="B18" s="15" t="str">
        <x:v>Private review</x:v>
      </x:c>
      <x:c r="C18" s="15" t="n">
        <x:f>COUNTIF('Swarm Matrix'!AC2:AC1729,"PRIVATE_REVIEW")</x:f>
        <x:v>0</x:v>
      </x:c>
      <x:c r="D18" s="15" t="str">
        <x:v>Hold until cleared</x:v>
      </x:c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165" t="str">
        <x:v>First Source Touch Queue — Next 12 Safe Moves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62" t="str">
        <x:v>STATUS: CANDIDATE</x:v>
      </x:c>
      <x:c r="B2" s="162" t="str">
        <x:v>CANON: NO</x:v>
      </x:c>
      <x:c r="C2" s="162" t="str">
        <x:v>DEPLOYMENT: NO</x:v>
      </x:c>
      <x:c r="D2" s="162" t="str">
        <x:v>AUTHORITY: NONE</x:v>
      </x:c>
      <x:c r="E2" s="162" t="str">
        <x:v>Touch source, log receipt, stop</x:v>
      </x:c>
      <x:c r="F2" s="15" t="str"/>
      <x:c r="G2" s="15" t="str"/>
      <x:c r="H2" s="15" t="str"/>
      <x:c r="I2" s="15" t="str"/>
      <x:c r="J2" s="15" t="str"/>
      <x:c r="K2" s="15" t="str"/>
      <x:c r="L2" s="15" t="str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63" t="str">
        <x:v>touch_id</x:v>
      </x:c>
      <x:c r="B4" s="163" t="str">
        <x:v>source_ref</x:v>
      </x:c>
      <x:c r="C4" s="163" t="str">
        <x:v>artifact</x:v>
      </x:c>
      <x:c r="D4" s="163" t="str">
        <x:v>surface</x:v>
      </x:c>
      <x:c r="E4" s="163" t="str">
        <x:v>lane</x:v>
      </x:c>
      <x:c r="F4" s="163" t="str">
        <x:v>purpose</x:v>
      </x:c>
      <x:c r="G4" s="163" t="str">
        <x:v>raw_export_status</x:v>
      </x:c>
      <x:c r="H4" s="163" t="str">
        <x:v>receipt_status</x:v>
      </x:c>
      <x:c r="I4" s="163" t="str">
        <x:v>blocker</x:v>
      </x:c>
      <x:c r="J4" s="163" t="str">
        <x:v>next_safe_action</x:v>
      </x:c>
      <x:c r="K4" s="163" t="str">
        <x:v>done_gate</x:v>
      </x:c>
      <x:c r="L4" s="163" t="str">
        <x:v>boundary</x:v>
      </x:c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TCH-001</x:v>
      </x:c>
      <x:c r="B5" s="15" t="str">
        <x:v>SRC-016</x:v>
      </x:c>
      <x:c r="C5" s="15" t="str">
        <x:v>Aetherforge / Sheldonbrain Graph Ingestion Sync</x:v>
      </x:c>
      <x:c r="D5" s="15" t="str">
        <x:v>drive</x:v>
      </x:c>
      <x:c r="E5" s="15" t="str">
        <x:v>Ledgerwake + Hashlight</x:v>
      </x:c>
      <x:c r="F5" s="15" t="str">
        <x:v>Confirm operation anchor</x:v>
      </x:c>
      <x:c r="G5" s="15" t="str">
        <x:v>full_raw_export_attached</x:v>
      </x:c>
      <x:c r="H5" s="15" t="str">
        <x:v>Drive doc exists</x:v>
      </x:c>
      <x:c r="I5" s="15" t="str">
        <x:v>GitHub mirror pending</x:v>
      </x:c>
      <x:c r="J5" s="15" t="str">
        <x:v>Record Drive URL + intended GitHub path</x:v>
      </x:c>
      <x:c r="K5" s="15" t="str">
        <x:v>source path + status logged</x:v>
      </x:c>
      <x:c r="L5" s="15" t="str">
        <x:v>candidate only</x:v>
      </x:c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TCH-002</x:v>
      </x:c>
      <x:c r="B6" s="15" t="str">
        <x:v>SRC-018</x:v>
      </x:c>
      <x:c r="C6" s="15" t="str">
        <x:v>Atlas Lattice Knowledge Graph Task Board</x:v>
      </x:c>
      <x:c r="D6" s="15" t="str">
        <x:v>drive</x:v>
      </x:c>
      <x:c r="E6" s="15" t="str">
        <x:v>Ledgerwake + GPTBrain</x:v>
      </x:c>
      <x:c r="F6" s="15" t="str">
        <x:v>Confirm task board schema</x:v>
      </x:c>
      <x:c r="G6" s="15" t="str">
        <x:v>partial_export</x:v>
      </x:c>
      <x:c r="H6" s="15" t="str">
        <x:v>Drive sheet exists</x:v>
      </x:c>
      <x:c r="I6" s="15" t="str">
        <x:v>row export/hash pending</x:v>
      </x:c>
      <x:c r="J6" s="15" t="str">
        <x:v>Export first 25 rows or log blocker</x:v>
      </x:c>
      <x:c r="K6" s="15" t="str">
        <x:v>bounded row sample logged</x:v>
      </x:c>
      <x:c r="L6" s="15" t="str">
        <x:v>candidate only</x:v>
      </x:c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TCH-003</x:v>
      </x:c>
      <x:c r="B7" s="15" t="str">
        <x:v>SRC-020</x:v>
      </x:c>
      <x:c r="C7" s="15" t="str">
        <x:v>Notion Extraction Plan</x:v>
      </x:c>
      <x:c r="D7" s="15" t="str">
        <x:v>drive</x:v>
      </x:c>
      <x:c r="E7" s="15" t="str">
        <x:v>Hashlight + NotionMoth</x:v>
      </x:c>
      <x:c r="F7" s="15" t="str">
        <x:v>Prepare Notion source-root export</x:v>
      </x:c>
      <x:c r="G7" s="15" t="str">
        <x:v>partial_export</x:v>
      </x:c>
      <x:c r="H7" s="15" t="str">
        <x:v>Drive doc exists</x:v>
      </x:c>
      <x:c r="I7" s="15" t="str">
        <x:v>Notion root IDs pending</x:v>
      </x:c>
      <x:c r="J7" s="15" t="str">
        <x:v>Attach root IDs / blockers</x:v>
      </x:c>
      <x:c r="K7" s="15" t="str">
        <x:v>root IDs or blocker logged</x:v>
      </x:c>
      <x:c r="L7" s="15" t="str">
        <x:v>candidate only</x:v>
      </x:c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TCH-004</x:v>
      </x:c>
      <x:c r="B8" s="15" t="str">
        <x:v>SRC-003</x:v>
      </x:c>
      <x:c r="C8" s="15" t="str">
        <x:v>Notion Master Index</x:v>
      </x:c>
      <x:c r="D8" s="15" t="str">
        <x:v>notion</x:v>
      </x:c>
      <x:c r="E8" s="15" t="str">
        <x:v>NotionMoth + Hashlight</x:v>
      </x:c>
      <x:c r="F8" s="15" t="str">
        <x:v>Locate exact page ID</x:v>
      </x:c>
      <x:c r="G8" s="15" t="str">
        <x:v>not_exported</x:v>
      </x:c>
      <x:c r="H8" s="15" t="str">
        <x:v>unverified</x:v>
      </x:c>
      <x:c r="I8" s="15" t="str">
        <x:v>full raw export missing</x:v>
      </x:c>
      <x:c r="J8" s="15" t="str">
        <x:v>Fetch/export page tree when connector permits</x:v>
      </x:c>
      <x:c r="K8" s="15" t="str">
        <x:v>page ID logged</x:v>
      </x:c>
      <x:c r="L8" s="15" t="str">
        <x:v>Notion is not canon</x:v>
      </x:c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TCH-005</x:v>
      </x:c>
      <x:c r="B9" s="15" t="str">
        <x:v>SRC-002</x:v>
      </x:c>
      <x:c r="C9" s="15" t="str">
        <x:v>sheldonbrain-rag-api</x:v>
      </x:c>
      <x:c r="D9" s="15" t="str">
        <x:v>github</x:v>
      </x:c>
      <x:c r="E9" s="15" t="str">
        <x:v>Copilot + TIDELOCK</x:v>
      </x:c>
      <x:c r="F9" s="15" t="str">
        <x:v>Inventory ingestion code paths</x:v>
      </x:c>
      <x:c r="G9" s="15" t="str">
        <x:v>not_exported</x:v>
      </x:c>
      <x:c r="H9" s="15" t="str">
        <x:v>unverified</x:v>
      </x:c>
      <x:c r="I9" s="15" t="str">
        <x:v>repo tree export missing</x:v>
      </x:c>
      <x:c r="J9" s="15" t="str">
        <x:v>List parser/adapter/index files</x:v>
      </x:c>
      <x:c r="K9" s="15" t="str">
        <x:v>file paths logged</x:v>
      </x:c>
      <x:c r="L9" s="15" t="str">
        <x:v>repo is not canon</x:v>
      </x:c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TCH-006</x:v>
      </x:c>
      <x:c r="B10" s="15" t="str">
        <x:v>SRC-014</x:v>
      </x:c>
      <x:c r="C10" s="15" t="str">
        <x:v>KG_NODE_EDGE_SCHEMA</x:v>
      </x:c>
      <x:c r="D10" s="15" t="str">
        <x:v>github</x:v>
      </x:c>
      <x:c r="E10" s="15" t="str">
        <x:v>GPTBrain</x:v>
      </x:c>
      <x:c r="F10" s="15" t="str">
        <x:v>Validate schema against packet fields</x:v>
      </x:c>
      <x:c r="G10" s="15" t="str">
        <x:v>not_exported</x:v>
      </x:c>
      <x:c r="H10" s="15" t="str">
        <x:v>unverified</x:v>
      </x:c>
      <x:c r="I10" s="15" t="str">
        <x:v>blob SHA missing</x:v>
      </x:c>
      <x:c r="J10" s="15" t="str">
        <x:v>Fetch schema + parse status</x:v>
      </x:c>
      <x:c r="K10" s="15" t="str">
        <x:v>schema path + SHA logged</x:v>
      </x:c>
      <x:c r="L10" s="15" t="str">
        <x:v>schema is candidate</x:v>
      </x:c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TCH-007</x:v>
      </x:c>
      <x:c r="B11" s="15" t="str">
        <x:v>SRC-015</x:v>
      </x:c>
      <x:c r="C11" s="15" t="str">
        <x:v>EDGE_TYPES</x:v>
      </x:c>
      <x:c r="D11" s="15" t="str">
        <x:v>github</x:v>
      </x:c>
      <x:c r="E11" s="15" t="str">
        <x:v>GPTBrain</x:v>
      </x:c>
      <x:c r="F11" s="15" t="str">
        <x:v>Validate non-promoting edge semantics</x:v>
      </x:c>
      <x:c r="G11" s="15" t="str">
        <x:v>not_exported</x:v>
      </x:c>
      <x:c r="H11" s="15" t="str">
        <x:v>unverified</x:v>
      </x:c>
      <x:c r="I11" s="15" t="str">
        <x:v>blob SHA missing</x:v>
      </x:c>
      <x:c r="J11" s="15" t="str">
        <x:v>Confirm promotion_effect field or blocker</x:v>
      </x:c>
      <x:c r="K11" s="15" t="str">
        <x:v>edge semantics logged</x:v>
      </x:c>
      <x:c r="L11" s="15" t="str">
        <x:v>edge is not promotion</x:v>
      </x:c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TCH-008</x:v>
      </x:c>
      <x:c r="B12" s="15" t="str">
        <x:v>SRC-023</x:v>
      </x:c>
      <x:c r="C12" s="15" t="str">
        <x:v>Unified Ontology Candidate v0.3.3</x:v>
      </x:c>
      <x:c r="D12" s="15" t="str">
        <x:v>drive</x:v>
      </x:c>
      <x:c r="E12" s="15" t="str">
        <x:v>Lucerna + Rootglass</x:v>
      </x:c>
      <x:c r="F12" s="15" t="str">
        <x:v>Canon-language drift scan</x:v>
      </x:c>
      <x:c r="G12" s="15" t="str">
        <x:v>partial_export</x:v>
      </x:c>
      <x:c r="H12" s="15" t="str">
        <x:v>Drive file exists</x:v>
      </x:c>
      <x:c r="I12" s="15" t="str">
        <x:v>ratification receipt missing</x:v>
      </x:c>
      <x:c r="J12" s="15" t="str">
        <x:v>Flag strong status words</x:v>
      </x:c>
      <x:c r="K12" s="15" t="str">
        <x:v>review route logged</x:v>
      </x:c>
      <x:c r="L12" s="15" t="str">
        <x:v>not canon</x:v>
      </x:c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TCH-009</x:v>
      </x:c>
      <x:c r="B13" s="15" t="str">
        <x:v>R-002</x:v>
      </x:c>
      <x:c r="C13" s="15" t="str">
        <x:v>Claude governance contamination filter</x:v>
      </x:c>
      <x:c r="D13" s="15" t="str">
        <x:v>mixed</x:v>
      </x:c>
      <x:c r="E13" s="15" t="str">
        <x:v>Grok + Lucerna</x:v>
      </x:c>
      <x:c r="F13" s="15" t="str">
        <x:v>Adversarial review queue</x:v>
      </x:c>
      <x:c r="G13" s="15" t="str">
        <x:v>unknown</x:v>
      </x:c>
      <x:c r="H13" s="15" t="str">
        <x:v>unverified</x:v>
      </x:c>
      <x:c r="I13" s="15" t="str">
        <x:v>source list pending</x:v>
      </x:c>
      <x:c r="J13" s="15" t="str">
        <x:v>Create first 10 flagged phrases</x:v>
      </x:c>
      <x:c r="K13" s="15" t="str">
        <x:v>flag list logged</x:v>
      </x:c>
      <x:c r="L13" s="15" t="str">
        <x:v>Claude untrusted</x:v>
      </x:c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TCH-010</x:v>
      </x:c>
      <x:c r="B14" s="15" t="str">
        <x:v>SRC-021</x:v>
      </x:c>
      <x:c r="C14" s="15" t="str">
        <x:v>TCSS v1.2</x:v>
      </x:c>
      <x:c r="D14" s="15" t="str">
        <x:v>drive</x:v>
      </x:c>
      <x:c r="E14" s="15" t="str">
        <x:v>Sable Vesper</x:v>
      </x:c>
      <x:c r="F14" s="15" t="str">
        <x:v>Math/operator status review</x:v>
      </x:c>
      <x:c r="G14" s="15" t="str">
        <x:v>partial_export</x:v>
      </x:c>
      <x:c r="H14" s="15" t="str">
        <x:v>Drive file exists</x:v>
      </x:c>
      <x:c r="I14" s="15" t="str">
        <x:v>content hash missing</x:v>
      </x:c>
      <x:c r="J14" s="15" t="str">
        <x:v>Log proof_status and next action</x:v>
      </x:c>
      <x:c r="K14" s="15" t="str">
        <x:v>proof boundary logged</x:v>
      </x:c>
      <x:c r="L14" s="15" t="str">
        <x:v>not proof</x:v>
      </x:c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TCH-011</x:v>
      </x:c>
      <x:c r="B15" s="15" t="str">
        <x:v>SRC-022</x:v>
      </x:c>
      <x:c r="C15" s="15" t="str">
        <x:v>PATH_B v0.2</x:v>
      </x:c>
      <x:c r="D15" s="15" t="str">
        <x:v>drive</x:v>
      </x:c>
      <x:c r="E15" s="15" t="str">
        <x:v>AtlasBrain</x:v>
      </x:c>
      <x:c r="F15" s="15" t="str">
        <x:v>Task note boundary review</x:v>
      </x:c>
      <x:c r="G15" s="15" t="str">
        <x:v>partial_export</x:v>
      </x:c>
      <x:c r="H15" s="15" t="str">
        <x:v>Drive file exists</x:v>
      </x:c>
      <x:c r="I15" s="15" t="str">
        <x:v>completion evidence missing</x:v>
      </x:c>
      <x:c r="J15" s="15" t="str">
        <x:v>Log as task note not result</x:v>
      </x:c>
      <x:c r="K15" s="15" t="str">
        <x:v>task boundary logged</x:v>
      </x:c>
      <x:c r="L15" s="15" t="str">
        <x:v>not proof</x:v>
      </x:c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TCH-012</x:v>
      </x:c>
      <x:c r="B16" s="15" t="str">
        <x:v>SRC-024</x:v>
      </x:c>
      <x:c r="C16" s="15" t="str">
        <x:v>Aetherforge 144 Candidate Deltas</x:v>
      </x:c>
      <x:c r="D16" s="15" t="str">
        <x:v>drive</x:v>
      </x:c>
      <x:c r="E16" s="15" t="str">
        <x:v>Gemini + Aetherforge</x:v>
      </x:c>
      <x:c r="F16" s="15" t="str">
        <x:v>Dreamstate delta extraction</x:v>
      </x:c>
      <x:c r="G16" s="15" t="str">
        <x:v>partial_export</x:v>
      </x:c>
      <x:c r="H16" s="15" t="str">
        <x:v>Drive sheet exists</x:v>
      </x:c>
      <x:c r="I16" s="15" t="str">
        <x:v>JSONL export pending</x:v>
      </x:c>
      <x:c r="J16" s="15" t="str">
        <x:v>Extract top 12 useful deltas only</x:v>
      </x:c>
      <x:c r="K16" s="15" t="str">
        <x:v>deltas logged</x:v>
      </x:c>
      <x:c r="L16" s="15" t="str">
        <x:v>dreamstate only</x:v>
      </x:c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167" t="str">
        <x:v>Claude Quarantine Queue — Adversarial Review Required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62" t="str">
        <x:v>CLAUDE: NOT TRUSTED BY DEFAULT</x:v>
      </x:c>
      <x:c r="B2" s="162" t="str">
        <x:v>CANON: NO</x:v>
      </x:c>
      <x:c r="C2" s="162" t="str">
        <x:v>DEPLOYMENT: NO</x:v>
      </x:c>
      <x:c r="D2" s="162" t="str">
        <x:v>AUTHORITY: NONE</x:v>
      </x:c>
      <x:c r="E2" s="162" t="str">
        <x:v>Preserve first, review second</x:v>
      </x:c>
      <x:c r="F2" s="15" t="str"/>
      <x:c r="G2" s="15" t="str"/>
      <x:c r="H2" s="15" t="str"/>
      <x:c r="I2" s="15" t="str"/>
      <x:c r="J2" s="15" t="str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63" t="str">
        <x:v>queue_id</x:v>
      </x:c>
      <x:c r="B4" s="163" t="str">
        <x:v>trigger_phrase_or_risk</x:v>
      </x:c>
      <x:c r="C4" s="163" t="str">
        <x:v>source_surface</x:v>
      </x:c>
      <x:c r="D4" s="163" t="str">
        <x:v>default_status</x:v>
      </x:c>
      <x:c r="E4" s="163" t="str">
        <x:v>review_lane</x:v>
      </x:c>
      <x:c r="F4" s="163" t="str">
        <x:v>why_it_matters</x:v>
      </x:c>
      <x:c r="G4" s="163" t="str">
        <x:v>control</x:v>
      </x:c>
      <x:c r="H4" s="163" t="str">
        <x:v>next_safe_action</x:v>
      </x:c>
      <x:c r="I4" s="163" t="str">
        <x:v>canon_effect</x:v>
      </x:c>
      <x:c r="J4" s="163" t="str">
        <x:v>notes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CQ-001</x:v>
      </x:c>
      <x:c r="B5" s="15" t="str">
        <x:v>single source of truth</x:v>
      </x:c>
      <x:c r="C5" s="15" t="str">
        <x:v>notion/drive</x:v>
      </x:c>
      <x:c r="D5" s="15" t="str">
        <x:v>quarantine</x:v>
      </x:c>
      <x:c r="E5" s="15" t="str">
        <x:v>Lucerna + Rootglass</x:v>
      </x:c>
      <x:c r="F5" s="15" t="str">
        <x:v>Can convert map/storage into authority</x:v>
      </x:c>
      <x:c r="G5" s="15" t="str">
        <x:v>replace with artifact map / registry surface</x:v>
      </x:c>
      <x:c r="H5" s="15" t="str">
        <x:v>Flag occurrences</x:v>
      </x:c>
      <x:c r="I5" s="15" t="str">
        <x:v>none</x:v>
      </x:c>
      <x:c r="J5" s="15" t="str">
        <x:v>May be operationally useful but not canon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CQ-002</x:v>
      </x:c>
      <x:c r="B6" s="15" t="str">
        <x:v>production ready</x:v>
      </x:c>
      <x:c r="C6" s="15" t="str">
        <x:v>drive/github</x:v>
      </x:c>
      <x:c r="D6" s="15" t="str">
        <x:v>quarantine</x:v>
      </x:c>
      <x:c r="E6" s="15" t="str">
        <x:v>AtlasBrain + Lucerna</x:v>
      </x:c>
      <x:c r="F6" s="15" t="str">
        <x:v>May imply deployment</x:v>
      </x:c>
      <x:c r="G6" s="15" t="str">
        <x:v>require runtime evidence</x:v>
      </x:c>
      <x:c r="H6" s="15" t="str">
        <x:v>List unsupported occurrences</x:v>
      </x:c>
      <x:c r="I6" s="15" t="str">
        <x:v>none</x:v>
      </x:c>
      <x:c r="J6" s="15" t="str">
        <x:v>Deployment claims need receipts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CQ-003</x:v>
      </x:c>
      <x:c r="B7" s="15" t="str">
        <x:v>ratified</x:v>
      </x:c>
      <x:c r="C7" s="15" t="str">
        <x:v>notion/drive</x:v>
      </x:c>
      <x:c r="D7" s="15" t="str">
        <x:v>quarantine</x:v>
      </x:c>
      <x:c r="E7" s="15" t="str">
        <x:v>Lucerna + Human-root</x:v>
      </x:c>
      <x:c r="F7" s="15" t="str">
        <x:v>May imply canon approval</x:v>
      </x:c>
      <x:c r="G7" s="15" t="str">
        <x:v>require ratification receipt</x:v>
      </x:c>
      <x:c r="H7" s="15" t="str">
        <x:v>Locate receipt or mark unsupported</x:v>
      </x:c>
      <x:c r="I7" s="15" t="str">
        <x:v>none</x:v>
      </x:c>
      <x:c r="J7" s="15" t="str">
        <x:v>No receipt, no ratification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CQ-004</x:v>
      </x:c>
      <x:c r="B8" s="15" t="str">
        <x:v>official</x:v>
      </x:c>
      <x:c r="C8" s="15" t="str">
        <x:v>any</x:v>
      </x:c>
      <x:c r="D8" s="15" t="str">
        <x:v>quarantine</x:v>
      </x:c>
      <x:c r="E8" s="15" t="str">
        <x:v>Grok + Lucerna</x:v>
      </x:c>
      <x:c r="F8" s="15" t="str">
        <x:v>May imply institutional/vendor backing</x:v>
      </x:c>
      <x:c r="G8" s="15" t="str">
        <x:v>require explicit source</x:v>
      </x:c>
      <x:c r="H8" s="15" t="str">
        <x:v>Flag vendor or project officiality claims</x:v>
      </x:c>
      <x:c r="I8" s="15" t="str">
        <x:v>none</x:v>
      </x:c>
      <x:c r="J8" s="15" t="str">
        <x:v>No official OpenAI claim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CQ-005</x:v>
      </x:c>
      <x:c r="B9" s="15" t="str">
        <x:v>deployed</x:v>
      </x:c>
      <x:c r="C9" s="15" t="str">
        <x:v>any</x:v>
      </x:c>
      <x:c r="D9" s="15" t="str">
        <x:v>quarantine</x:v>
      </x:c>
      <x:c r="E9" s="15" t="str">
        <x:v>AtlasBrain + TIDELOCK</x:v>
      </x:c>
      <x:c r="F9" s="15" t="str">
        <x:v>May imply runtime status</x:v>
      </x:c>
      <x:c r="G9" s="15" t="str">
        <x:v>require deployment evidence</x:v>
      </x:c>
      <x:c r="H9" s="15" t="str">
        <x:v>Log as unsupported unless receipt exists</x:v>
      </x:c>
      <x:c r="I9" s="15" t="str">
        <x:v>none</x:v>
      </x:c>
      <x:c r="J9" s="15" t="str">
        <x:v>No deployment claim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CQ-006</x:v>
      </x:c>
      <x:c r="B10" s="15" t="str">
        <x:v>canon</x:v>
      </x:c>
      <x:c r="C10" s="15" t="str">
        <x:v>any</x:v>
      </x:c>
      <x:c r="D10" s="15" t="str">
        <x:v>review</x:v>
      </x:c>
      <x:c r="E10" s="15" t="str">
        <x:v>Rootglass + Lucerna</x:v>
      </x:c>
      <x:c r="F10" s="15" t="str">
        <x:v>May be local title, not governance state</x:v>
      </x:c>
      <x:c r="G10" s="15" t="str">
        <x:v>split title vs canon_status</x:v>
      </x:c>
      <x:c r="H10" s="15" t="str">
        <x:v>Add canon_status column</x:v>
      </x:c>
      <x:c r="I10" s="15" t="str">
        <x:v>none</x:v>
      </x:c>
      <x:c r="J10" s="15" t="str">
        <x:v>Canon-like language is not canon</x:v>
      </x:c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CQ-007</x:v>
      </x:c>
      <x:c r="B11" s="15" t="str">
        <x:v>boot protocol / resurrection</x:v>
      </x:c>
      <x:c r="C11" s="15" t="str">
        <x:v>drive/notion</x:v>
      </x:c>
      <x:c r="D11" s="15" t="str">
        <x:v>quarantine</x:v>
      </x:c>
      <x:c r="E11" s="15" t="str">
        <x:v>Grok + Rootglass</x:v>
      </x:c>
      <x:c r="F11" s="15" t="str">
        <x:v>Can function as prompt injection</x:v>
      </x:c>
      <x:c r="G11" s="15" t="str">
        <x:v>treat as corpus not command</x:v>
      </x:c>
      <x:c r="H11" s="15" t="str">
        <x:v>Route to adversarial review</x:v>
      </x:c>
      <x:c r="I11" s="15" t="str">
        <x:v>none</x:v>
      </x:c>
      <x:c r="J11" s="15" t="str">
        <x:v>Do not boot from archive text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CQ-008</x:v>
      </x:c>
      <x:c r="B12" s="15" t="str">
        <x:v>model self-report of memory</x:v>
      </x:c>
      <x:c r="C12" s="15" t="str">
        <x:v>chat/drive</x:v>
      </x:c>
      <x:c r="D12" s="15" t="str">
        <x:v>quarantine</x:v>
      </x:c>
      <x:c r="E12" s="15" t="str">
        <x:v>Fossilbranch + GPTBrain</x:v>
      </x:c>
      <x:c r="F12" s="15" t="str">
        <x:v>Can inflate memory into proof</x:v>
      </x:c>
      <x:c r="G12" s="15" t="str">
        <x:v>source transcript required</x:v>
      </x:c>
      <x:c r="H12" s="15" t="str">
        <x:v>Require raw_export_status</x:v>
      </x:c>
      <x:c r="I12" s="15" t="str">
        <x:v>none</x:v>
      </x:c>
      <x:c r="J12" s="15" t="str">
        <x:v>Memory is not receipt</x:v>
      </x:c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169" t="str">
        <x:v>Eval Games — GPTDream++ / Bullshit Olympics / Aetherforge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162" t="str">
        <x:v>STATUS: CANDIDATE EVAL HARNESS</x:v>
      </x:c>
      <x:c r="B2" s="162" t="str">
        <x:v>CANON: NO</x:v>
      </x:c>
      <x:c r="C2" s="162" t="str">
        <x:v>DEPLOYMENT: NO</x:v>
      </x:c>
      <x:c r="D2" s="162" t="str">
        <x:v>AUTHORITY: NONE</x:v>
      </x:c>
      <x:c r="E2" s="162" t="str">
        <x:v>Playable archive games</x:v>
      </x:c>
      <x:c r="F2" s="15" t="str"/>
      <x:c r="G2" s="15" t="str"/>
      <x:c r="H2" s="15" t="str"/>
      <x:c r="I2" s="15" t="str"/>
      <x:c r="J2" s="15" t="str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63" t="str">
        <x:v>game_id</x:v>
      </x:c>
      <x:c r="B4" s="163" t="str">
        <x:v>game</x:v>
      </x:c>
      <x:c r="C4" s="163" t="str">
        <x:v>input</x:v>
      </x:c>
      <x:c r="D4" s="163" t="str">
        <x:v>objective</x:v>
      </x:c>
      <x:c r="E4" s="163" t="str">
        <x:v>win_condition</x:v>
      </x:c>
      <x:c r="F4" s="163" t="str">
        <x:v>review_lane</x:v>
      </x:c>
      <x:c r="G4" s="163" t="str">
        <x:v>risk</x:v>
      </x:c>
      <x:c r="H4" s="163" t="str">
        <x:v>control</x:v>
      </x:c>
      <x:c r="I4" s="163" t="str">
        <x:v>status</x:v>
      </x:c>
      <x:c r="J4" s="163" t="str">
        <x:v>next_safe_action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GAME-001</x:v>
      </x:c>
      <x:c r="B5" s="15" t="str">
        <x:v>False Completeness Trap</x:v>
      </x:c>
      <x:c r="C5" s="15" t="str">
        <x:v>summary / partial export / raw</x:v>
      </x:c>
      <x:c r="D5" s="15" t="str">
        <x:v>Detect source completeness overclaim</x:v>
      </x:c>
      <x:c r="E5" s="15" t="str">
        <x:v>summary-only cannot claim full raw lineage</x:v>
      </x:c>
      <x:c r="F5" s="15" t="str">
        <x:v>Hashlight + Lucerna</x:v>
      </x:c>
      <x:c r="G5" s="15" t="str">
        <x:v>false source completeness</x:v>
      </x:c>
      <x:c r="H5" s="15" t="str">
        <x:v>raw_export_status required</x:v>
      </x:c>
      <x:c r="I5" s="15" t="str">
        <x:v>candidate</x:v>
      </x:c>
      <x:c r="J5" s="15" t="str">
        <x:v>Create 5 fixture rows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GAME-002</x:v>
      </x:c>
      <x:c r="B6" s="15" t="str">
        <x:v>Canon-Language Drift</x:v>
      </x:c>
      <x:c r="C6" s="15" t="str">
        <x:v>documents with canon-like phrases</x:v>
      </x:c>
      <x:c r="D6" s="15" t="str">
        <x:v>Flag unsupported authority language</x:v>
      </x:c>
      <x:c r="E6" s="15" t="str">
        <x:v>phrase routed to review unless ratified</x:v>
      </x:c>
      <x:c r="F6" s="15" t="str">
        <x:v>Lucerna + Rootglass</x:v>
      </x:c>
      <x:c r="G6" s="15" t="str">
        <x:v>authority inflation</x:v>
      </x:c>
      <x:c r="H6" s="15" t="str">
        <x:v>artifact_status required</x:v>
      </x:c>
      <x:c r="I6" s="15" t="str">
        <x:v>candidate</x:v>
      </x:c>
      <x:c r="J6" s="15" t="str">
        <x:v>Create phrase scanner fixture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GAME-003</x:v>
      </x:c>
      <x:c r="B7" s="15" t="str">
        <x:v>Graph Centrality Firewall</x:v>
      </x:c>
      <x:c r="C7" s="15" t="str">
        <x:v>graph cluster</x:v>
      </x:c>
      <x:c r="D7" s="15" t="str">
        <x:v>Prevent centrality from authority</x:v>
      </x:c>
      <x:c r="E7" s="15" t="str">
        <x:v>all edges promotion_effect none by default</x:v>
      </x:c>
      <x:c r="F7" s="15" t="str">
        <x:v>Grok + GPTBrain</x:v>
      </x:c>
      <x:c r="G7" s="15" t="str">
        <x:v>central node crowned</x:v>
      </x:c>
      <x:c r="H7" s="15" t="str">
        <x:v>edge schema gate</x:v>
      </x:c>
      <x:c r="I7" s="15" t="str">
        <x:v>candidate</x:v>
      </x:c>
      <x:c r="J7" s="15" t="str">
        <x:v>Test centrality-neutral output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GAME-004</x:v>
      </x:c>
      <x:c r="B8" s="15" t="str">
        <x:v>Raw-vs-Summary Lineage</x:v>
      </x:c>
      <x:c r="C8" s="15" t="str">
        <x:v>chat export / summary</x:v>
      </x:c>
      <x:c r="D8" s="15" t="str">
        <x:v>Separate raw transcript from summary</x:v>
      </x:c>
      <x:c r="E8" s="15" t="str">
        <x:v>summary has raw_export_status summary_only</x:v>
      </x:c>
      <x:c r="F8" s="15" t="str">
        <x:v>Fossilbranch + Hashlight</x:v>
      </x:c>
      <x:c r="G8" s="15" t="str">
        <x:v>summary becomes source</x:v>
      </x:c>
      <x:c r="H8" s="15" t="str">
        <x:v>source passport gate</x:v>
      </x:c>
      <x:c r="I8" s="15" t="str">
        <x:v>candidate</x:v>
      </x:c>
      <x:c r="J8" s="15" t="str">
        <x:v>Create transcript fixture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GAME-005</x:v>
      </x:c>
      <x:c r="B9" s="15" t="str">
        <x:v>Vendor Boundary</x:v>
      </x:c>
      <x:c r="C9" s="15" t="str">
        <x:v>OpenAI/Google/Microsoft/xAI refs</x:v>
      </x:c>
      <x:c r="D9" s="15" t="str">
        <x:v>Separate interop target from endorsement</x:v>
      </x:c>
      <x:c r="E9" s="15" t="str">
        <x:v>no official claim without receipt</x:v>
      </x:c>
      <x:c r="F9" s="15" t="str">
        <x:v>Lucerna</x:v>
      </x:c>
      <x:c r="G9" s="15" t="str">
        <x:v>vendor overclaim</x:v>
      </x:c>
      <x:c r="H9" s="15" t="str">
        <x:v>official_claim field</x:v>
      </x:c>
      <x:c r="I9" s="15" t="str">
        <x:v>candidate</x:v>
      </x:c>
      <x:c r="J9" s="15" t="str">
        <x:v>Create vendor claim test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GAME-006</x:v>
      </x:c>
      <x:c r="B10" s="15" t="str">
        <x:v>Contradiction Preservation</x:v>
      </x:c>
      <x:c r="C10" s="15" t="str">
        <x:v>two conflicting artifacts</x:v>
      </x:c>
      <x:c r="D10" s="15" t="str">
        <x:v>Store conflict without resolving by vibes</x:v>
      </x:c>
      <x:c r="E10" s="15" t="str">
        <x:v>contradicts edge created; no forced merge</x:v>
      </x:c>
      <x:c r="F10" s="15" t="str">
        <x:v>Grok + Fossilbranch</x:v>
      </x:c>
      <x:c r="G10" s="15" t="str">
        <x:v>contradiction erased</x:v>
      </x:c>
      <x:c r="H10" s="15" t="str">
        <x:v>contradiction record</x:v>
      </x:c>
      <x:c r="I10" s="15" t="str">
        <x:v>candidate</x:v>
      </x:c>
      <x:c r="J10" s="15" t="str">
        <x:v>Create contradiction fixture</x:v>
      </x:c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GAME-007</x:v>
      </x:c>
      <x:c r="B11" s="15" t="str">
        <x:v>Claude Contamination Arena</x:v>
      </x:c>
      <x:c r="C11" s="15" t="str">
        <x:v>Claude-originated governance doc</x:v>
      </x:c>
      <x:c r="D11" s="15" t="str">
        <x:v>Detect prompt-injection / authority drift</x:v>
      </x:c>
      <x:c r="E11" s="15" t="str">
        <x:v>quarantine route before reuse</x:v>
      </x:c>
      <x:c r="F11" s="15" t="str">
        <x:v>Grok + Rootglass</x:v>
      </x:c>
      <x:c r="G11" s="15" t="str">
        <x:v>Claude artifact self-promotes</x:v>
      </x:c>
      <x:c r="H11" s="15" t="str">
        <x:v>model_origin field</x:v>
      </x:c>
      <x:c r="I11" s="15" t="str">
        <x:v>candidate</x:v>
      </x:c>
      <x:c r="J11" s="15" t="str">
        <x:v>Create 10 phrase flags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GAME-008</x:v>
      </x:c>
      <x:c r="B12" s="15" t="str">
        <x:v>GitHub Shelf Boundary</x:v>
      </x:c>
      <x:c r="C12" s="15" t="str">
        <x:v>PR/issue/commit</x:v>
      </x:c>
      <x:c r="D12" s="15" t="str">
        <x:v>Prevent public shelf from canon</x:v>
      </x:c>
      <x:c r="E12" s="15" t="str">
        <x:v>PR/commit remains receipt not ratification</x:v>
      </x:c>
      <x:c r="F12" s="15" t="str">
        <x:v>TIDELOCK</x:v>
      </x:c>
      <x:c r="G12" s="15" t="str">
        <x:v>GitHub treated as canon</x:v>
      </x:c>
      <x:c r="H12" s="15" t="str">
        <x:v>human-root gate</x:v>
      </x:c>
      <x:c r="I12" s="15" t="str">
        <x:v>candidate</x:v>
      </x:c>
      <x:c r="J12" s="15" t="str">
        <x:v>Create GitHub status fixture</x:v>
      </x:c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</x:sheetData>
  <x:mergeCells>
    <x:mergeCell ref="A1:J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09" t="str">
        <x:v>Public Release Gate — GitHub Public Shelf Readiness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07" t="str">
        <x:v>PUBLIC DEFAULT: YES</x:v>
      </x:c>
      <x:c r="B2" s="207" t="str">
        <x:v>PRIVATE QUARANTINE: hacker/bank-related</x:v>
      </x:c>
      <x:c r="C2" s="207" t="str">
        <x:v>CANON: NO</x:v>
      </x:c>
      <x:c r="D2" s="207" t="str">
        <x:v>DEPLOYMENT: NO</x:v>
      </x:c>
      <x:c r="E2" s="207" t="str">
        <x:v>AUTHORITY: NONE</x:v>
      </x:c>
      <x:c r="F2" s="207" t="str">
        <x:v>GitHub receipt ≠ canon</x:v>
      </x:c>
      <x:c r="G2" s="15" t="str"/>
      <x:c r="H2" s="15" t="str"/>
      <x:c r="I2" s="15" t="str"/>
      <x:c r="J2" s="15" t="str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10" t="str">
        <x:v>metric_id</x:v>
      </x:c>
      <x:c r="B4" s="210" t="str">
        <x:v>metric</x:v>
      </x:c>
      <x:c r="C4" s="210" t="str">
        <x:v>formula_or_value</x:v>
      </x:c>
      <x:c r="D4" s="210" t="str">
        <x:v>interpretation</x:v>
      </x:c>
      <x:c r="E4" s="15"/>
      <x:c r="F4" s="210" t="str">
        <x:v>lane</x:v>
      </x:c>
      <x:c r="G4" s="210" t="str">
        <x:v>release_status</x:v>
      </x:c>
      <x:c r="H4" s="210" t="str">
        <x:v>risk</x:v>
      </x:c>
      <x:c r="I4" s="210" t="str">
        <x:v>control</x:v>
      </x:c>
      <x:c r="J4" s="210" t="str">
        <x:v>next_safe_action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207" t="str">
        <x:v>PRG-001</x:v>
      </x:c>
      <x:c r="B5" s="15" t="str">
        <x:v>Total swarm tasks</x:v>
      </x:c>
      <x:c r="C5" s="15" t="n">
        <x:f>COUNTA('Swarm Matrix'!A2:A1729)</x:f>
        <x:v>1728</x:v>
      </x:c>
      <x:c r="D5" s="15" t="str">
        <x:v>All task rows in release gate scope</x:v>
      </x:c>
      <x:c r="E5" s="15"/>
      <x:c r="F5" s="15" t="str">
        <x:v>GitHub public shelf</x:v>
      </x:c>
      <x:c r="G5" s="15" t="str">
        <x:v>intended_public</x:v>
      </x:c>
      <x:c r="H5" s="15" t="str">
        <x:v>false canon</x:v>
      </x:c>
      <x:c r="I5" s="15" t="str">
        <x:v>boundary stamps</x:v>
      </x:c>
      <x:c r="J5" s="15" t="str">
        <x:v>Mirror public-safe candidate artifacts only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207" t="str">
        <x:v>PRG-002</x:v>
      </x:c>
      <x:c r="B6" s="15" t="str">
        <x:v>Public candidates</x:v>
      </x:c>
      <x:c r="C6" s="15" t="n">
        <x:f>COUNTIF('Swarm Matrix'!AC2:AC1729,"PUBLIC_CANDIDATE")</x:f>
        <x:v>1728</x:v>
      </x:c>
      <x:c r="D6" s="15" t="str">
        <x:v>Eligible for GitHub mirror after receipt fields</x:v>
      </x:c>
      <x:c r="E6" s="15"/>
      <x:c r="F6" s="15" t="str">
        <x:v>Hacker references</x:v>
      </x:c>
      <x:c r="G6" s="15" t="str">
        <x:v>private_quarantine</x:v>
      </x:c>
      <x:c r="H6" s="15" t="str">
        <x:v>misuse / ambiguity</x:v>
      </x:c>
      <x:c r="I6" s="15" t="str">
        <x:v>trigger scan</x:v>
      </x:c>
      <x:c r="J6" s="15" t="str">
        <x:v>Move to Private Quarantine Queue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207" t="str">
        <x:v>PRG-003</x:v>
      </x:c>
      <x:c r="B7" s="15" t="str">
        <x:v>Private quarantine</x:v>
      </x:c>
      <x:c r="C7" s="15" t="n">
        <x:f>COUNTIF('Swarm Matrix'!AC2:AC1729,"PRIVATE_QUARANTINE")</x:f>
        <x:v>0</x:v>
      </x:c>
      <x:c r="D7" s="15" t="str">
        <x:v>Do not publish</x:v>
      </x:c>
      <x:c r="E7" s="15"/>
      <x:c r="F7" s="15" t="str">
        <x:v>Bank references</x:v>
      </x:c>
      <x:c r="G7" s="15" t="str">
        <x:v>private_quarantine</x:v>
      </x:c>
      <x:c r="H7" s="15" t="str">
        <x:v>financial sensitivity</x:v>
      </x:c>
      <x:c r="I7" s="15" t="str">
        <x:v>trigger scan</x:v>
      </x:c>
      <x:c r="J7" s="15" t="str">
        <x:v>Move to Private Quarantine Queue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207" t="str">
        <x:v>PRG-004</x:v>
      </x:c>
      <x:c r="B8" s="15" t="str">
        <x:v>Private review</x:v>
      </x:c>
      <x:c r="C8" s="15" t="n">
        <x:f>COUNTIF('Swarm Matrix'!AC2:AC1729,"PRIVATE_REVIEW")</x:f>
        <x:v>0</x:v>
      </x:c>
      <x:c r="D8" s="15" t="str">
        <x:v>Hold until cleared</x:v>
      </x:c>
      <x:c r="E8" s="15"/>
      <x:c r="F8" s="15" t="str">
        <x:v>Claude-originated governance</x:v>
      </x:c>
      <x:c r="G8" s="15" t="str">
        <x:v>private_review</x:v>
      </x:c>
      <x:c r="H8" s="15" t="str">
        <x:v>contamination / self-promotion</x:v>
      </x:c>
      <x:c r="I8" s="15" t="str">
        <x:v>adversarial review</x:v>
      </x:c>
      <x:c r="J8" s="15" t="str">
        <x:v>Route to Claude Quarantine Queue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207" t="str">
        <x:v>PRG-005</x:v>
      </x:c>
      <x:c r="B9" s="15" t="str">
        <x:v>Missing receipt blockers</x:v>
      </x:c>
      <x:c r="C9" s="15" t="n">
        <x:f>COUNTIF('Swarm Matrix'!W2:W1729,"missing_receipt")</x:f>
        <x:v>1728</x:v>
      </x:c>
      <x:c r="D9" s="15" t="str">
        <x:v>No receipt, no public-ready claim</x:v>
      </x:c>
      <x:c r="E9" s="15"/>
      <x:c r="F9" s="15" t="str">
        <x:v>OpenAI gift frame</x:v>
      </x:c>
      <x:c r="G9" s="15" t="str">
        <x:v>public_candidate</x:v>
      </x:c>
      <x:c r="H9" s="15" t="str">
        <x:v>officiality overclaim</x:v>
      </x:c>
      <x:c r="I9" s="15" t="str">
        <x:v>no official claim stamp</x:v>
      </x:c>
      <x:c r="J9" s="15" t="str">
        <x:v>Keep OpenAI-first but non-official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207" t="str">
        <x:v>PRG-006</x:v>
      </x:c>
      <x:c r="B10" s="15" t="str">
        <x:v>Raw status missing</x:v>
      </x:c>
      <x:c r="C10" s="15" t="n">
        <x:f>COUNTIF('Swarm Matrix'!X2:X1729,"raw_status_missing")</x:f>
        <x:v>1728</x:v>
      </x:c>
      <x:c r="D10" s="15" t="str">
        <x:v>No summary masquerades as raw</x:v>
      </x:c>
      <x:c r="E10" s="15"/>
      <x:c r="F10" s="15" t="str">
        <x:v>Dreamstates</x:v>
      </x:c>
      <x:c r="G10" s="15" t="str">
        <x:v>public_candidate_if_safe</x:v>
      </x:c>
      <x:c r="H10" s="15" t="str">
        <x:v>deployment confusion</x:v>
      </x:c>
      <x:c r="I10" s="15" t="str">
        <x:v>candidate/no-deployment stamps</x:v>
      </x:c>
      <x:c r="J10" s="15" t="str">
        <x:v>Publish only as play/eval material</x:v>
      </x:c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207" t="str">
        <x:v>PRG-007</x:v>
      </x:c>
      <x:c r="B11" s="15" t="str">
        <x:v>Canon claims</x:v>
      </x:c>
      <x:c r="C11" s="15" t="str">
        <x:v>0</x:v>
      </x:c>
      <x:c r="D11" s="15" t="str">
        <x:v>Hard boundary</x:v>
      </x:c>
      <x:c r="E11" s="15"/>
      <x:c r="F11" s="15" t="str">
        <x:v>Notion cargo</x:v>
      </x:c>
      <x:c r="G11" s="15" t="str">
        <x:v>public_after_export</x:v>
      </x:c>
      <x:c r="H11" s="15" t="str">
        <x:v>old truth / stale canon</x:v>
      </x:c>
      <x:c r="I11" s="15" t="str">
        <x:v>raw export status</x:v>
      </x:c>
      <x:c r="J11" s="15" t="str">
        <x:v>Export roots before public mirror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207" t="str">
        <x:v>PRG-008</x:v>
      </x:c>
      <x:c r="B12" s="15" t="str">
        <x:v>Deployment claims</x:v>
      </x:c>
      <x:c r="C12" s="15" t="str">
        <x:v>0</x:v>
      </x:c>
      <x:c r="D12" s="15" t="str">
        <x:v>Hard boundary</x:v>
      </x:c>
      <x:c r="E12" s="15"/>
      <x:c r="F12" s="15" t="str">
        <x:v>Drive vault yard</x:v>
      </x:c>
      <x:c r="G12" s="15" t="str">
        <x:v>public_after_status</x:v>
      </x:c>
      <x:c r="H12" s="15" t="str">
        <x:v>candidate confusion</x:v>
      </x:c>
      <x:c r="I12" s="15" t="str">
        <x:v>artifact_status fields</x:v>
      </x:c>
      <x:c r="J12" s="15" t="str">
        <x:v>Hash/export priority artifacts</x:v>
      </x:c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207" t="str">
        <x:v>PRG-009</x:v>
      </x:c>
      <x:c r="B13" s="15" t="str">
        <x:v>Authority claims</x:v>
      </x:c>
      <x:c r="C13" s="15" t="str">
        <x:v>0</x:v>
      </x:c>
      <x:c r="D13" s="15" t="str">
        <x:v>Hard boundary</x:v>
      </x:c>
      <x:c r="E13" s="15"/>
      <x:c r="F13" s="15" t="str">
        <x:v>Graph edges</x:v>
      </x:c>
      <x:c r="G13" s="15" t="str">
        <x:v>public_candidate</x:v>
      </x:c>
      <x:c r="H13" s="15" t="str">
        <x:v>centrality as authority</x:v>
      </x:c>
      <x:c r="I13" s="15" t="str">
        <x:v>promotion_effect none</x:v>
      </x:c>
      <x:c r="J13" s="15" t="str">
        <x:v>Validate edge semantics</x:v>
      </x:c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 t="str">
        <x:v>Human-root gate</x:v>
      </x:c>
      <x:c r="G14" s="15" t="str">
        <x:v>private_control</x:v>
      </x:c>
      <x:c r="H14" s="15" t="str">
        <x:v>authority confusion</x:v>
      </x:c>
      <x:c r="I14" s="15" t="str">
        <x:v>explicit ratification receipts</x:v>
      </x:c>
      <x:c r="J14" s="15" t="str">
        <x:v>Never infer canon</x:v>
      </x:c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234" t="str">
        <x:v>PRG-010</x:v>
      </x:c>
      <x:c r="B16" s="15" t="str">
        <x:v>Scanned sample rows</x:v>
      </x:c>
      <x:c r="C16" s="15" t="n">
        <x:f>COUNTA('Quarantine Trigger Scanner'!A5:A24)</x:f>
        <x:v>20</x:v>
      </x:c>
      <x:c r="D16" s="15" t="str">
        <x:v>First scanner sample</x:v>
      </x:c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234" t="str">
        <x:v>PRG-011</x:v>
      </x:c>
      <x:c r="B17" s="15" t="str">
        <x:v>Sample private quarantine</x:v>
      </x:c>
      <x:c r="C17" s="15" t="n">
        <x:f>COUNTIF('Quarantine Trigger Scanner'!H5:H24,"PRIVATE_QUARANTINE")</x:f>
        <x:v>0</x:v>
      </x:c>
      <x:c r="D17" s="15" t="str">
        <x:v>Hard triggers in sample</x:v>
      </x:c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234" t="str">
        <x:v>PRG-012</x:v>
      </x:c>
      <x:c r="B18" s="15" t="str">
        <x:v>Sample private review</x:v>
      </x:c>
      <x:c r="C18" s="15" t="n">
        <x:f>COUNTIF('Quarantine Trigger Scanner'!H5:H24,"PRIVATE_REVIEW")</x:f>
        <x:v>0</x:v>
      </x:c>
      <x:c r="D18" s="15" t="str">
        <x:v>Finance-risk sample triggers</x:v>
      </x:c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J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12" t="str">
        <x:v>GitHub Public Queue — Candidate Public Shelf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07" t="str">
        <x:v>STATUS: PUBLIC CANDIDATE QUEUE</x:v>
      </x:c>
      <x:c r="B2" s="207" t="str">
        <x:v>CANON: NO</x:v>
      </x:c>
      <x:c r="C2" s="207" t="str">
        <x:v>DEPLOYMENT: NO</x:v>
      </x:c>
      <x:c r="D2" s="207" t="str">
        <x:v>AUTHORITY: NONE</x:v>
      </x:c>
      <x:c r="E2" s="207" t="str">
        <x:v>Requires receipt/status fields before mirror</x:v>
      </x:c>
      <x:c r="F2" s="15" t="str"/>
      <x:c r="G2" s="15" t="str"/>
      <x:c r="H2" s="15" t="str"/>
      <x:c r="I2" s="15" t="str"/>
      <x:c r="J2" s="15" t="str"/>
      <x:c r="K2" s="15" t="str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10" t="str">
        <x:v>public_id</x:v>
      </x:c>
      <x:c r="B4" s="210" t="str">
        <x:v>artifact_or_lane</x:v>
      </x:c>
      <x:c r="C4" s="210" t="str">
        <x:v>surface</x:v>
      </x:c>
      <x:c r="D4" s="210" t="str">
        <x:v>public_status</x:v>
      </x:c>
      <x:c r="E4" s="210" t="str">
        <x:v>required_before_public</x:v>
      </x:c>
      <x:c r="F4" s="210" t="str">
        <x:v>review_lane</x:v>
      </x:c>
      <x:c r="G4" s="210" t="str">
        <x:v>risk</x:v>
      </x:c>
      <x:c r="H4" s="210" t="str">
        <x:v>control</x:v>
      </x:c>
      <x:c r="I4" s="210" t="str">
        <x:v>target_github_path</x:v>
      </x:c>
      <x:c r="J4" s="210" t="str">
        <x:v>status</x:v>
      </x:c>
      <x:c r="K4" s="210" t="str">
        <x:v>next_safe_action</x:v>
      </x:c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PUB-001</x:v>
      </x:c>
      <x:c r="B5" s="15" t="str">
        <x:v>Aetherforge / Sheldonbrain Graph Ingestion Sync</x:v>
      </x:c>
      <x:c r="C5" s="15" t="str">
        <x:v>drive</x:v>
      </x:c>
      <x:c r="D5" s="15" t="str">
        <x:v>public_candidate</x:v>
      </x:c>
      <x:c r="E5" s="15" t="str">
        <x:v>Drive URL + raw_export_status + non-canon stamp</x:v>
      </x:c>
      <x:c r="F5" s="15" t="str">
        <x:v>Aetherforge + TIDELOCK</x:v>
      </x:c>
      <x:c r="G5" s="15" t="str">
        <x:v>status inflation</x:v>
      </x:c>
      <x:c r="H5" s="15" t="str">
        <x:v>boundary header</x:v>
      </x:c>
      <x:c r="I5" s="15" t="str">
        <x:v>archive/knowledge_graph/aetherforge/</x:v>
      </x:c>
      <x:c r="J5" s="15" t="str">
        <x:v>queued</x:v>
      </x:c>
      <x:c r="K5" s="15" t="str">
        <x:v>Mirror as operation packet</x:v>
      </x:c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PUB-002</x:v>
      </x:c>
      <x:c r="B6" s="15" t="str">
        <x:v>KG Source Inventory staging</x:v>
      </x:c>
      <x:c r="C6" s="15" t="str">
        <x:v>drive/sheet</x:v>
      </x:c>
      <x:c r="D6" s="15" t="str">
        <x:v>public_candidate</x:v>
      </x:c>
      <x:c r="E6" s="15" t="str">
        <x:v>export snapshot + status fields</x:v>
      </x:c>
      <x:c r="F6" s="15" t="str">
        <x:v>Hashlight + GPTBrain</x:v>
      </x:c>
      <x:c r="G6" s="15" t="str">
        <x:v>false completeness</x:v>
      </x:c>
      <x:c r="H6" s="15" t="str">
        <x:v>raw_export_status columns</x:v>
      </x:c>
      <x:c r="I6" s="15" t="str">
        <x:v>archive/knowledge_graph/source_inventory/</x:v>
      </x:c>
      <x:c r="J6" s="15" t="str">
        <x:v>queued</x:v>
      </x:c>
      <x:c r="K6" s="15" t="str">
        <x:v>Export CSV/YAML snapshot</x:v>
      </x:c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PUB-003</x:v>
      </x:c>
      <x:c r="B7" s="15" t="str">
        <x:v>Graph Seed Queue</x:v>
      </x:c>
      <x:c r="C7" s="15" t="str">
        <x:v>workbook</x:v>
      </x:c>
      <x:c r="D7" s="15" t="str">
        <x:v>public_candidate</x:v>
      </x:c>
      <x:c r="E7" s="15" t="str">
        <x:v>node/edge fields + promotion_effect none</x:v>
      </x:c>
      <x:c r="F7" s="15" t="str">
        <x:v>GPTBrain</x:v>
      </x:c>
      <x:c r="G7" s="15" t="str">
        <x:v>centrality as authority</x:v>
      </x:c>
      <x:c r="H7" s="15" t="str">
        <x:v>edge gate</x:v>
      </x:c>
      <x:c r="I7" s="15" t="str">
        <x:v>archive/knowledge_graph/lattice_kg/v0_1/</x:v>
      </x:c>
      <x:c r="J7" s="15" t="str">
        <x:v>queued</x:v>
      </x:c>
      <x:c r="K7" s="15" t="str">
        <x:v>Export nodes/edges JSONL</x:v>
      </x:c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PUB-004</x:v>
      </x:c>
      <x:c r="B8" s="15" t="str">
        <x:v>OpenAI Benefit Lane</x:v>
      </x:c>
      <x:c r="C8" s="15" t="str">
        <x:v>workbook</x:v>
      </x:c>
      <x:c r="D8" s="15" t="str">
        <x:v>public_candidate</x:v>
      </x:c>
      <x:c r="E8" s="15" t="str">
        <x:v>no official OpenAI claim stamp</x:v>
      </x:c>
      <x:c r="F8" s="15" t="str">
        <x:v>Lucerna</x:v>
      </x:c>
      <x:c r="G8" s="15" t="str">
        <x:v>vendor officiality</x:v>
      </x:c>
      <x:c r="H8" s="15" t="str">
        <x:v>OFFICIAL CLAIM: NONE</x:v>
      </x:c>
      <x:c r="I8" s="15" t="str">
        <x:v>archive/aetherforge/gptdreampp-openai/</x:v>
      </x:c>
      <x:c r="J8" s="15" t="str">
        <x:v>queued</x:v>
      </x:c>
      <x:c r="K8" s="15" t="str">
        <x:v>Publish as candidate gift frame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PUB-005</x:v>
      </x:c>
      <x:c r="B9" s="15" t="str">
        <x:v>Eval Games</x:v>
      </x:c>
      <x:c r="C9" s="15" t="str">
        <x:v>workbook</x:v>
      </x:c>
      <x:c r="D9" s="15" t="str">
        <x:v>public_candidate</x:v>
      </x:c>
      <x:c r="E9" s="15" t="str">
        <x:v>game boundaries + fixtures</x:v>
      </x:c>
      <x:c r="F9" s="15" t="str">
        <x:v>GPTBrain + Grok</x:v>
      </x:c>
      <x:c r="G9" s="15" t="str">
        <x:v>eval overclaim</x:v>
      </x:c>
      <x:c r="H9" s="15" t="str">
        <x:v>candidate harness stamp</x:v>
      </x:c>
      <x:c r="I9" s="15" t="str">
        <x:v>archive/evals/gptdreampp/</x:v>
      </x:c>
      <x:c r="J9" s="15" t="str">
        <x:v>queued</x:v>
      </x:c>
      <x:c r="K9" s="15" t="str">
        <x:v>Create fixture files</x:v>
      </x:c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PUB-006</x:v>
      </x:c>
      <x:c r="B10" s="15" t="str">
        <x:v>Archive Health HUD</x:v>
      </x:c>
      <x:c r="C10" s="15" t="str">
        <x:v>workbook</x:v>
      </x:c>
      <x:c r="D10" s="15" t="str">
        <x:v>public_candidate</x:v>
      </x:c>
      <x:c r="E10" s="15" t="str">
        <x:v>dashboard export + status notes</x:v>
      </x:c>
      <x:c r="F10" s="15" t="str">
        <x:v>Rootglass</x:v>
      </x:c>
      <x:c r="G10" s="15" t="str">
        <x:v>metrics mistaken for truth</x:v>
      </x:c>
      <x:c r="H10" s="15" t="str">
        <x:v>review pressure language</x:v>
      </x:c>
      <x:c r="I10" s="15" t="str">
        <x:v>archive/ops/archive_health/</x:v>
      </x:c>
      <x:c r="J10" s="15" t="str">
        <x:v>queued</x:v>
      </x:c>
      <x:c r="K10" s="15" t="str">
        <x:v>Export dashboard snapshot</x:v>
      </x:c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PUB-007</x:v>
      </x:c>
      <x:c r="B11" s="15" t="str">
        <x:v>Aetherforge Useful Deltas</x:v>
      </x:c>
      <x:c r="C11" s="15" t="str">
        <x:v>drive/doc</x:v>
      </x:c>
      <x:c r="D11" s="15" t="str">
        <x:v>public_candidate</x:v>
      </x:c>
      <x:c r="E11" s="15" t="str">
        <x:v>dreamstate stamp + no deployment</x:v>
      </x:c>
      <x:c r="F11" s="15" t="str">
        <x:v>Gemini + Fossilbranch</x:v>
      </x:c>
      <x:c r="G11" s="15" t="str">
        <x:v>dream as proof</x:v>
      </x:c>
      <x:c r="H11" s="15" t="str">
        <x:v>candidate delta label</x:v>
      </x:c>
      <x:c r="I11" s="15" t="str">
        <x:v>archive/games/aetherforge/deltas/</x:v>
      </x:c>
      <x:c r="J11" s="15" t="str">
        <x:v>queued</x:v>
      </x:c>
      <x:c r="K11" s="15" t="str">
        <x:v>Mirror useful deltas doc</x:v>
      </x:c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PUB-008</x:v>
      </x:c>
      <x:c r="B12" s="15" t="str">
        <x:v>Release Rules</x:v>
      </x:c>
      <x:c r="C12" s="15" t="str">
        <x:v>workbook</x:v>
      </x:c>
      <x:c r="D12" s="15" t="str">
        <x:v>public_candidate</x:v>
      </x:c>
      <x:c r="E12" s="15" t="str">
        <x:v>public/private policy stamp</x:v>
      </x:c>
      <x:c r="F12" s="15" t="str">
        <x:v>Lucerna + TIDELOCK</x:v>
      </x:c>
      <x:c r="G12" s="15" t="str">
        <x:v>leakage</x:v>
      </x:c>
      <x:c r="H12" s="15" t="str">
        <x:v>quarantine triggers</x:v>
      </x:c>
      <x:c r="I12" s="15" t="str">
        <x:v>archive/ops/public_release_gate/</x:v>
      </x:c>
      <x:c r="J12" s="15" t="str">
        <x:v>queued</x:v>
      </x:c>
      <x:c r="K12" s="15" t="str">
        <x:v>Mirror release policy</x:v>
      </x:c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14" t="str">
        <x:v>Private Quarantine Queue — Do Not Publish Without Review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07" t="str">
        <x:v>PRIVATE BY TRIGGER: hacker / bank-related / sensitive finance / Claude governance contamination</x:v>
      </x:c>
      <x:c r="B2" s="207" t="str">
        <x:v>CANON: NO</x:v>
      </x:c>
      <x:c r="C2" s="207" t="str">
        <x:v>DEPLOYMENT: NO</x:v>
      </x:c>
      <x:c r="D2" s="207" t="str">
        <x:v>AUTHORITY: NONE</x:v>
      </x:c>
      <x:c r="E2" s="207" t="str">
        <x:v>Do not mirror publicly until cleared</x:v>
      </x:c>
      <x:c r="F2" s="15" t="str"/>
      <x:c r="G2" s="15" t="str"/>
      <x:c r="H2" s="15" t="str"/>
      <x:c r="I2" s="15" t="str"/>
      <x:c r="J2" s="15" t="str"/>
      <x:c r="K2" s="15" t="str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10" t="str">
        <x:v>quarantine_id</x:v>
      </x:c>
      <x:c r="B4" s="210" t="str">
        <x:v>trigger</x:v>
      </x:c>
      <x:c r="C4" s="210" t="str">
        <x:v>pattern</x:v>
      </x:c>
      <x:c r="D4" s="210" t="str">
        <x:v>default_action</x:v>
      </x:c>
      <x:c r="E4" s="210" t="str">
        <x:v>review_lane</x:v>
      </x:c>
      <x:c r="F4" s="210" t="str">
        <x:v>why_private</x:v>
      </x:c>
      <x:c r="G4" s="210" t="str">
        <x:v>control</x:v>
      </x:c>
      <x:c r="H4" s="210" t="str">
        <x:v>status</x:v>
      </x:c>
      <x:c r="I4" s="210" t="str">
        <x:v>next_safe_action</x:v>
      </x:c>
      <x:c r="J4" s="210" t="str">
        <x:v>release_condition</x:v>
      </x:c>
      <x:c r="K4" s="210" t="str">
        <x:v>notes</x:v>
      </x:c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PRIV-001</x:v>
      </x:c>
      <x:c r="B5" s="15" t="str">
        <x:v>hacker term</x:v>
      </x:c>
      <x:c r="C5" s="15" t="str">
        <x:v>hacker / hacking / hack</x:v>
      </x:c>
      <x:c r="D5" s="15" t="str">
        <x:v>PRIVATE_QUARANTINE</x:v>
      </x:c>
      <x:c r="E5" s="15" t="str">
        <x:v>TIDELOCK + Lucerna</x:v>
      </x:c>
      <x:c r="F5" s="15" t="str">
        <x:v>could imply cyber misuse or sensitive intent</x:v>
      </x:c>
      <x:c r="G5" s="15" t="str">
        <x:v>manual review required</x:v>
      </x:c>
      <x:c r="H5" s="15" t="str">
        <x:v>active</x:v>
      </x:c>
      <x:c r="I5" s="15" t="str">
        <x:v>Search artifacts before public mirror</x:v>
      </x:c>
      <x:c r="J5" s="15" t="str">
        <x:v>explicit clearance + safe context</x:v>
      </x:c>
      <x:c r="K5" s="15" t="str">
        <x:v>User policy trigger</x:v>
      </x:c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PRIV-002</x:v>
      </x:c>
      <x:c r="B6" s="15" t="str">
        <x:v>bank reference</x:v>
      </x:c>
      <x:c r="C6" s="15" t="str">
        <x:v>bank / banks / banking</x:v>
      </x:c>
      <x:c r="D6" s="15" t="str">
        <x:v>PRIVATE_QUARANTINE</x:v>
      </x:c>
      <x:c r="E6" s="15" t="str">
        <x:v>Lucerna + AtlasBrain</x:v>
      </x:c>
      <x:c r="F6" s="15" t="str">
        <x:v>financial institution sensitivity</x:v>
      </x:c>
      <x:c r="G6" s="15" t="str">
        <x:v>manual review required</x:v>
      </x:c>
      <x:c r="H6" s="15" t="str">
        <x:v>active</x:v>
      </x:c>
      <x:c r="I6" s="15" t="str">
        <x:v>Search artifacts before public mirror</x:v>
      </x:c>
      <x:c r="J6" s="15" t="str">
        <x:v>explicit clearance + redaction</x:v>
      </x:c>
      <x:c r="K6" s="15" t="str">
        <x:v>User policy trigger</x:v>
      </x:c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PRIV-003</x:v>
      </x:c>
      <x:c r="B7" s="15" t="str">
        <x:v>finance-risk reference</x:v>
      </x:c>
      <x:c r="C7" s="15" t="str">
        <x:v>treasury / debt / bond / account / transaction when institution-linked</x:v>
      </x:c>
      <x:c r="D7" s="15" t="str">
        <x:v>PRIVATE_REVIEW</x:v>
      </x:c>
      <x:c r="E7" s="15" t="str">
        <x:v>AtlasBrain + Lucerna</x:v>
      </x:c>
      <x:c r="F7" s="15" t="str">
        <x:v>legal/financial sensitivity</x:v>
      </x:c>
      <x:c r="G7" s="15" t="str">
        <x:v>context review</x:v>
      </x:c>
      <x:c r="H7" s="15" t="str">
        <x:v>active</x:v>
      </x:c>
      <x:c r="I7" s="15" t="str">
        <x:v>Flag and classify context</x:v>
      </x:c>
      <x:c r="J7" s="15" t="str">
        <x:v>cleared as public-safe or redacted</x:v>
      </x:c>
      <x:c r="K7" s="15" t="str">
        <x:v>Conservative policy</x:v>
      </x:c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PRIV-004</x:v>
      </x:c>
      <x:c r="B8" s="15" t="str">
        <x:v>Claude governance artifact</x:v>
      </x:c>
      <x:c r="C8" s="15" t="str">
        <x:v>Claude-originated canon/governance/source-of-truth language</x:v>
      </x:c>
      <x:c r="D8" s="15" t="str">
        <x:v>PRIVATE_REVIEW</x:v>
      </x:c>
      <x:c r="E8" s="15" t="str">
        <x:v>Grok + Rootglass + Lucerna</x:v>
      </x:c>
      <x:c r="F8" s="15" t="str">
        <x:v>contamination / prompt-injection risk</x:v>
      </x:c>
      <x:c r="G8" s="15" t="str">
        <x:v>adversarial review</x:v>
      </x:c>
      <x:c r="H8" s="15" t="str">
        <x:v>active</x:v>
      </x:c>
      <x:c r="I8" s="15" t="str">
        <x:v>Route through Claude Quarantine Queue</x:v>
      </x:c>
      <x:c r="J8" s="15" t="str">
        <x:v>review pass + boundary rewrite</x:v>
      </x:c>
      <x:c r="K8" s="15" t="str">
        <x:v>Trust nothing without receipts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PRIV-005</x:v>
      </x:c>
      <x:c r="B9" s="15" t="str">
        <x:v>personal/legal/medical</x:v>
      </x:c>
      <x:c r="C9" s="15" t="str">
        <x:v>PHI/legal/private personal details</x:v>
      </x:c>
      <x:c r="D9" s="15" t="str">
        <x:v>PRIVATE_QUARANTINE</x:v>
      </x:c>
      <x:c r="E9" s="15" t="str">
        <x:v>Rootglass + Human-root</x:v>
      </x:c>
      <x:c r="F9" s="15" t="str">
        <x:v>privacy and safety</x:v>
      </x:c>
      <x:c r="G9" s="15" t="str">
        <x:v>do not publish</x:v>
      </x:c>
      <x:c r="H9" s="15" t="str">
        <x:v>active</x:v>
      </x:c>
      <x:c r="I9" s="15" t="str">
        <x:v>Do not mirror; create private blocker</x:v>
      </x:c>
      <x:c r="J9" s="15" t="str">
        <x:v>explicit human-root clearance</x:v>
      </x:c>
      <x:c r="K9" s="15" t="str">
        <x:v>General privacy control</x:v>
      </x:c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PRIV-006</x:v>
      </x:c>
      <x:c r="B10" s="15" t="str">
        <x:v>official vendor claim</x:v>
      </x:c>
      <x:c r="C10" s="15" t="str">
        <x:v>official OpenAI/Google/Microsoft/xAI claim without receipt</x:v>
      </x:c>
      <x:c r="D10" s="15" t="str">
        <x:v>PRIVATE_REVIEW</x:v>
      </x:c>
      <x:c r="E10" s="15" t="str">
        <x:v>Lucerna</x:v>
      </x:c>
      <x:c r="F10" s="15" t="str">
        <x:v>endorsement risk</x:v>
      </x:c>
      <x:c r="G10" s="15" t="str">
        <x:v>claim downgrade</x:v>
      </x:c>
      <x:c r="H10" s="15" t="str">
        <x:v>active</x:v>
      </x:c>
      <x:c r="I10" s="15" t="str">
        <x:v>Rewrite to candidate/interop-aware</x:v>
      </x:c>
      <x:c r="J10" s="15" t="str">
        <x:v>source receipt or non-official wording</x:v>
      </x:c>
      <x:c r="K10" s="15" t="str">
        <x:v>No vendor claim</x:v>
      </x:c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PRIV-007</x:v>
      </x:c>
      <x:c r="B11" s="15" t="str">
        <x:v>runtime/deployment claim</x:v>
      </x:c>
      <x:c r="C11" s="15" t="str">
        <x:v>deployed / production / live without evidence</x:v>
      </x:c>
      <x:c r="D11" s="15" t="str">
        <x:v>PRIVATE_REVIEW</x:v>
      </x:c>
      <x:c r="E11" s="15" t="str">
        <x:v>AtlasBrain + TIDELOCK</x:v>
      </x:c>
      <x:c r="F11" s="15" t="str">
        <x:v>runtime overclaim</x:v>
      </x:c>
      <x:c r="G11" s="15" t="str">
        <x:v>evidence gate</x:v>
      </x:c>
      <x:c r="H11" s="15" t="str">
        <x:v>active</x:v>
      </x:c>
      <x:c r="I11" s="15" t="str">
        <x:v>Attach runtime receipt or downgrade</x:v>
      </x:c>
      <x:c r="J11" s="15" t="str">
        <x:v>receipt present</x:v>
      </x:c>
      <x:c r="K11" s="15" t="str">
        <x:v>No deployment claim</x:v>
      </x:c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PRIV-008</x:v>
      </x:c>
      <x:c r="B12" s="15" t="str">
        <x:v>raw transcript absent</x:v>
      </x:c>
      <x:c r="C12" s="15" t="str">
        <x:v>summary-only marked as raw</x:v>
      </x:c>
      <x:c r="D12" s="15" t="str">
        <x:v>PRIVATE_REVIEW</x:v>
      </x:c>
      <x:c r="E12" s="15" t="str">
        <x:v>Hashlight + Fossilbranch</x:v>
      </x:c>
      <x:c r="F12" s="15" t="str">
        <x:v>false lineage</x:v>
      </x:c>
      <x:c r="G12" s="15" t="str">
        <x:v>raw_export_status gate</x:v>
      </x:c>
      <x:c r="H12" s="15" t="str">
        <x:v>active</x:v>
      </x:c>
      <x:c r="I12" s="15" t="str">
        <x:v>Mark summary_only and missing_receipt</x:v>
      </x:c>
      <x:c r="J12" s="15" t="str">
        <x:v>raw attached or status corrected</x:v>
      </x:c>
      <x:c r="K12" s="15" t="str">
        <x:v>Summary is not source</x:v>
      </x:c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16" t="str">
        <x:v>Release Rules — Public GitHub / Private Quarantine Policy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07" t="str">
        <x:v>STATUS: CANDIDATE RELEASE CONTROL</x:v>
      </x:c>
      <x:c r="B2" s="207" t="str">
        <x:v>CANON: NO</x:v>
      </x:c>
      <x:c r="C2" s="207" t="str">
        <x:v>DEPLOYMENT: NO</x:v>
      </x:c>
      <x:c r="D2" s="207" t="str">
        <x:v>AUTHORITY: NONE</x:v>
      </x:c>
      <x:c r="E2" s="207" t="str">
        <x:v>GitHub intended 100% public except quarantined categories</x:v>
      </x:c>
      <x:c r="F2" s="15" t="str"/>
      <x:c r="G2" s="15" t="str"/>
      <x:c r="H2" s="15" t="str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10" t="str">
        <x:v>rule_id</x:v>
      </x:c>
      <x:c r="B4" s="210" t="str">
        <x:v>rule</x:v>
      </x:c>
      <x:c r="C4" s="210" t="str">
        <x:v>trigger</x:v>
      </x:c>
      <x:c r="D4" s="210" t="str">
        <x:v>default_action</x:v>
      </x:c>
      <x:c r="E4" s="210" t="str">
        <x:v>public_status</x:v>
      </x:c>
      <x:c r="F4" s="210" t="str">
        <x:v>review_lane</x:v>
      </x:c>
      <x:c r="G4" s="210" t="str">
        <x:v>reason</x:v>
      </x:c>
      <x:c r="H4" s="210" t="str">
        <x:v>next_safe_action</x:v>
      </x:c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RULE-001</x:v>
      </x:c>
      <x:c r="B5" s="15" t="str">
        <x:v>Public by default</x:v>
      </x:c>
      <x:c r="C5" s="15" t="str">
        <x:v>staging-safe artifact without sensitive trigger</x:v>
      </x:c>
      <x:c r="D5" s="15" t="str">
        <x:v>prepare_for_public_github</x:v>
      </x:c>
      <x:c r="E5" s="15" t="str">
        <x:v>public_candidate</x:v>
      </x:c>
      <x:c r="F5" s="15" t="str">
        <x:v>TIDELOCK</x:v>
      </x:c>
      <x:c r="G5" s="15" t="str">
        <x:v>GitHub intended as public receipt shelf</x:v>
      </x:c>
      <x:c r="H5" s="15" t="str">
        <x:v>Mirror only after receipt/status fields exist</x:v>
      </x:c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RULE-002</x:v>
      </x:c>
      <x:c r="B6" s="15" t="str">
        <x:v>Quarantine hacker term</x:v>
      </x:c>
      <x:c r="C6" s="15" t="str">
        <x:v>title/body/path contains hacker/hacking/hack</x:v>
      </x:c>
      <x:c r="D6" s="15" t="str">
        <x:v>private_quarantine</x:v>
      </x:c>
      <x:c r="E6" s="15" t="str">
        <x:v>private</x:v>
      </x:c>
      <x:c r="F6" s="15" t="str">
        <x:v>TIDELOCK + Lucerna</x:v>
      </x:c>
      <x:c r="G6" s="15" t="str">
        <x:v>Avoid public misuse/ambiguity even if benign</x:v>
      </x:c>
      <x:c r="H6" s="15" t="str">
        <x:v>Move to Private Quarantine Queue</x:v>
      </x:c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RULE-003</x:v>
      </x:c>
      <x:c r="B7" s="15" t="str">
        <x:v>Quarantine bank references</x:v>
      </x:c>
      <x:c r="C7" s="15" t="str">
        <x:v>bank/banking/banks/financial institution references</x:v>
      </x:c>
      <x:c r="D7" s="15" t="str">
        <x:v>private_quarantine</x:v>
      </x:c>
      <x:c r="E7" s="15" t="str">
        <x:v>private</x:v>
      </x:c>
      <x:c r="F7" s="15" t="str">
        <x:v>Lucerna + AtlasBrain</x:v>
      </x:c>
      <x:c r="G7" s="15" t="str">
        <x:v>Financial/banking material needs private review</x:v>
      </x:c>
      <x:c r="H7" s="15" t="str">
        <x:v>Move to Private Quarantine Queue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RULE-004</x:v>
      </x:c>
      <x:c r="B8" s="15" t="str">
        <x:v>Quarantine finance-risk references</x:v>
      </x:c>
      <x:c r="C8" s="15" t="str">
        <x:v>payment, treasury, debt, bond, account, transaction if tied to institutions</x:v>
      </x:c>
      <x:c r="D8" s="15" t="str">
        <x:v>private_review</x:v>
      </x:c>
      <x:c r="E8" s="15" t="str">
        <x:v>private_until_cleared</x:v>
      </x:c>
      <x:c r="F8" s="15" t="str">
        <x:v>AtlasBrain + Lucerna</x:v>
      </x:c>
      <x:c r="G8" s="15" t="str">
        <x:v>May create legal/financial sensitivity</x:v>
      </x:c>
      <x:c r="H8" s="15" t="str">
        <x:v>Review before public mirror</x:v>
      </x:c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RULE-005</x:v>
      </x:c>
      <x:c r="B9" s="15" t="str">
        <x:v>Quarantine Claude governance claims</x:v>
      </x:c>
      <x:c r="C9" s="15" t="str">
        <x:v>Claude-originated governance/canon/source-of-truth language</x:v>
      </x:c>
      <x:c r="D9" s="15" t="str">
        <x:v>private_review</x:v>
      </x:c>
      <x:c r="E9" s="15" t="str">
        <x:v>private_until_cleared</x:v>
      </x:c>
      <x:c r="F9" s="15" t="str">
        <x:v>Grok + Lucerna + Rootglass</x:v>
      </x:c>
      <x:c r="G9" s="15" t="str">
        <x:v>Claude contamination risk</x:v>
      </x:c>
      <x:c r="H9" s="15" t="str">
        <x:v>Adversarial review first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RULE-006</x:v>
      </x:c>
      <x:c r="B10" s="15" t="str">
        <x:v>No official vendor claim</x:v>
      </x:c>
      <x:c r="C10" s="15" t="str">
        <x:v>OpenAI/Google/Microsoft/xAI references without receipts</x:v>
      </x:c>
      <x:c r="D10" s="15" t="str">
        <x:v>public_candidate_with_disclaimer</x:v>
      </x:c>
      <x:c r="E10" s="15" t="str">
        <x:v>public_candidate</x:v>
      </x:c>
      <x:c r="F10" s="15" t="str">
        <x:v>Lucerna</x:v>
      </x:c>
      <x:c r="G10" s="15" t="str">
        <x:v>Interop target is not endorsement</x:v>
      </x:c>
      <x:c r="H10" s="15" t="str">
        <x:v>Add no-official-claim boundary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RULE-007</x:v>
      </x:c>
      <x:c r="B11" s="15" t="str">
        <x:v>No canon/deployment/authority claims</x:v>
      </x:c>
      <x:c r="C11" s="15" t="str">
        <x:v>canon/deployed/official/ratified without receipt</x:v>
      </x:c>
      <x:c r="D11" s="15" t="str">
        <x:v>review_required</x:v>
      </x:c>
      <x:c r="E11" s="15" t="str">
        <x:v>hold</x:v>
      </x:c>
      <x:c r="F11" s="15" t="str">
        <x:v>Rootglass + Lucerna</x:v>
      </x:c>
      <x:c r="G11" s="15" t="str">
        <x:v>Status inflation risk</x:v>
      </x:c>
      <x:c r="H11" s="15" t="str">
        <x:v>Attach receipt or downgrade wording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RULE-008</x:v>
      </x:c>
      <x:c r="B12" s="15" t="str">
        <x:v>Dreamstate boundary</x:v>
      </x:c>
      <x:c r="C12" s="15" t="str">
        <x:v>Aetherforge/Bullshit Olympics/dream/play artifacts</x:v>
      </x:c>
      <x:c r="D12" s="15" t="str">
        <x:v>public_candidate_if_safe</x:v>
      </x:c>
      <x:c r="E12" s="15" t="str">
        <x:v>public_candidate</x:v>
      </x:c>
      <x:c r="F12" s="15" t="str">
        <x:v>JoySignal + Fossilbranch</x:v>
      </x:c>
      <x:c r="G12" s="15" t="str">
        <x:v>Dreamstates generate candidates, not deployment</x:v>
      </x:c>
      <x:c r="H12" s="15" t="str">
        <x:v>Stamp non-canon/no-deployment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H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52" t="str">
        <x:v>GitHub Repo Manifest — Public Shelf v0.5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50" t="str">
        <x:v>STATUS: CANDIDATE</x:v>
      </x:c>
      <x:c r="B2" s="250" t="str">
        <x:v>PUBLIC DEFAULT: YES</x:v>
      </x:c>
      <x:c r="C2" s="250" t="str">
        <x:v>PRIVATE QUARANTINE: hacker/bank-related</x:v>
      </x:c>
      <x:c r="D2" s="250" t="str">
        <x:v>CANON: NO</x:v>
      </x:c>
      <x:c r="E2" s="250" t="str">
        <x:v>DEPLOYMENT: NO</x:v>
      </x:c>
      <x:c r="F2" s="250" t="str">
        <x:v>AUTHORITY: NONE</x:v>
      </x:c>
      <x:c r="G2" s="250" t="str">
        <x:v>GitHub receipt ≠ canon</x:v>
      </x:c>
      <x:c r="H2" s="15" t="str"/>
      <x:c r="I2" s="15" t="str"/>
      <x:c r="J2" s="15" t="str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53" t="str">
        <x:v>manifest_id</x:v>
      </x:c>
      <x:c r="B4" s="253" t="str">
        <x:v>target_path</x:v>
      </x:c>
      <x:c r="C4" s="253" t="str">
        <x:v>purpose</x:v>
      </x:c>
      <x:c r="D4" s="253" t="str">
        <x:v>source_sheet_or_lane</x:v>
      </x:c>
      <x:c r="E4" s="253" t="str">
        <x:v>public_status</x:v>
      </x:c>
      <x:c r="F4" s="253" t="str">
        <x:v>quarantine_rule</x:v>
      </x:c>
      <x:c r="G4" s="253" t="str">
        <x:v>required_receipt</x:v>
      </x:c>
      <x:c r="H4" s="253" t="str">
        <x:v>owner_lane</x:v>
      </x:c>
      <x:c r="I4" s="253" t="str">
        <x:v>status</x:v>
      </x:c>
      <x:c r="J4" s="253" t="str">
        <x:v>next_safe_action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GM-001</x:v>
      </x:c>
      <x:c r="B5" s="15" t="str">
        <x:v>README.md</x:v>
      </x:c>
      <x:c r="C5" s="15" t="str">
        <x:v>Human-readable project boundary and quickstart</x:v>
      </x:c>
      <x:c r="D5" s="15" t="str">
        <x:v>Release Rules</x:v>
      </x:c>
      <x:c r="E5" s="15" t="str">
        <x:v>public_candidate</x:v>
      </x:c>
      <x:c r="F5" s="15" t="str">
        <x:v>hacker/bank/private terms excluded</x:v>
      </x:c>
      <x:c r="G5" s="15" t="str">
        <x:v>boundary statement</x:v>
      </x:c>
      <x:c r="H5" s="15" t="str">
        <x:v>TIDELOCK + Lucerna</x:v>
      </x:c>
      <x:c r="I5" s="15" t="str">
        <x:v>queued</x:v>
      </x:c>
      <x:c r="J5" s="15" t="str">
        <x:v>Draft README with no canon/deployment claims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GM-002</x:v>
      </x:c>
      <x:c r="B6" s="15" t="str">
        <x:v>docs/README.md</x:v>
      </x:c>
      <x:c r="C6" s="15" t="str">
        <x:v>Docs index and navigation</x:v>
      </x:c>
      <x:c r="D6" s="15" t="str">
        <x:v>GitHub Public Queue</x:v>
      </x:c>
      <x:c r="E6" s="15" t="str">
        <x:v>public_candidate</x:v>
      </x:c>
      <x:c r="F6" s="15" t="str">
        <x:v>same</x:v>
      </x:c>
      <x:c r="G6" s="15" t="str">
        <x:v>source/status table</x:v>
      </x:c>
      <x:c r="H6" s="15" t="str">
        <x:v>GitShelf</x:v>
      </x:c>
      <x:c r="I6" s="15" t="str">
        <x:v>queued</x:v>
      </x:c>
      <x:c r="J6" s="15" t="str">
        <x:v>Create docs index from public queue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GM-003</x:v>
      </x:c>
      <x:c r="B7" s="15" t="str">
        <x:v>archive/knowledge_graph/source_inventory/KG_SOURCE_INVENTORY_2026-05-27.yaml</x:v>
      </x:c>
      <x:c r="C7" s="15" t="str">
        <x:v>Source inventory export</x:v>
      </x:c>
      <x:c r="D7" s="15" t="str">
        <x:v>KG Source Inventory</x:v>
      </x:c>
      <x:c r="E7" s="15" t="str">
        <x:v>public_candidate</x:v>
      </x:c>
      <x:c r="F7" s="15" t="str">
        <x:v>same</x:v>
      </x:c>
      <x:c r="G7" s="15" t="str">
        <x:v>raw_export_status for every row</x:v>
      </x:c>
      <x:c r="H7" s="15" t="str">
        <x:v>Hashlight</x:v>
      </x:c>
      <x:c r="I7" s="15" t="str">
        <x:v>queued</x:v>
      </x:c>
      <x:c r="J7" s="15" t="str">
        <x:v>Export source inventory to YAML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GM-004</x:v>
      </x:c>
      <x:c r="B8" s="15" t="str">
        <x:v>archive/knowledge_graph/lattice_kg/v0_1/nodes.jsonl</x:v>
      </x:c>
      <x:c r="C8" s="15" t="str">
        <x:v>Candidate graph node queue</x:v>
      </x:c>
      <x:c r="D8" s="15" t="str">
        <x:v>Graph Seed Queue</x:v>
      </x:c>
      <x:c r="E8" s="15" t="str">
        <x:v>public_candidate</x:v>
      </x:c>
      <x:c r="F8" s="15" t="str">
        <x:v>same</x:v>
      </x:c>
      <x:c r="G8" s="15" t="str">
        <x:v>promotion_effect none</x:v>
      </x:c>
      <x:c r="H8" s="15" t="str">
        <x:v>GPTBrain</x:v>
      </x:c>
      <x:c r="I8" s="15" t="str">
        <x:v>queued</x:v>
      </x:c>
      <x:c r="J8" s="15" t="str">
        <x:v>Export graph node rows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GM-005</x:v>
      </x:c>
      <x:c r="B9" s="15" t="str">
        <x:v>archive/knowledge_graph/lattice_kg/v0_1/edges.jsonl</x:v>
      </x:c>
      <x:c r="C9" s="15" t="str">
        <x:v>Candidate graph edge queue</x:v>
      </x:c>
      <x:c r="D9" s="15" t="str">
        <x:v>Graph Seed Queue</x:v>
      </x:c>
      <x:c r="E9" s="15" t="str">
        <x:v>public_candidate</x:v>
      </x:c>
      <x:c r="F9" s="15" t="str">
        <x:v>same</x:v>
      </x:c>
      <x:c r="G9" s="15" t="str">
        <x:v>canon_effect none</x:v>
      </x:c>
      <x:c r="H9" s="15" t="str">
        <x:v>GPTBrain</x:v>
      </x:c>
      <x:c r="I9" s="15" t="str">
        <x:v>queued</x:v>
      </x:c>
      <x:c r="J9" s="15" t="str">
        <x:v>Export edge rows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GM-006</x:v>
      </x:c>
      <x:c r="B10" s="15" t="str">
        <x:v>archive/ops/public_release_gate/RELEASE_RULES_v0_5.md</x:v>
      </x:c>
      <x:c r="C10" s="15" t="str">
        <x:v>Public/private release policy</x:v>
      </x:c>
      <x:c r="D10" s="15" t="str">
        <x:v>Release Rules</x:v>
      </x:c>
      <x:c r="E10" s="15" t="str">
        <x:v>public_candidate</x:v>
      </x:c>
      <x:c r="F10" s="15" t="str">
        <x:v>policy itself public; private examples redacted</x:v>
      </x:c>
      <x:c r="G10" s="15" t="str">
        <x:v>policy receipt</x:v>
      </x:c>
      <x:c r="H10" s="15" t="str">
        <x:v>Lucerna</x:v>
      </x:c>
      <x:c r="I10" s="15" t="str">
        <x:v>queued</x:v>
      </x:c>
      <x:c r="J10" s="15" t="str">
        <x:v>Mirror release rules</x:v>
      </x:c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GM-007</x:v>
      </x:c>
      <x:c r="B11" s="15" t="str">
        <x:v>archive/ops/private_quarantine/PRIVATE_QUARANTINE_INDEX.redacted.md</x:v>
      </x:c>
      <x:c r="C11" s="15" t="str">
        <x:v>Redacted private quarantine index</x:v>
      </x:c>
      <x:c r="D11" s="15" t="str">
        <x:v>Private Quarantine Queue</x:v>
      </x:c>
      <x:c r="E11" s="15" t="str">
        <x:v>private_summary_only</x:v>
      </x:c>
      <x:c r="F11" s="15" t="str">
        <x:v>do not publish sensitive rows</x:v>
      </x:c>
      <x:c r="G11" s="15" t="str">
        <x:v>redacted summary only</x:v>
      </x:c>
      <x:c r="H11" s="15" t="str">
        <x:v>Rootglass</x:v>
      </x:c>
      <x:c r="I11" s="15" t="str">
        <x:v>hold</x:v>
      </x:c>
      <x:c r="J11" s="15" t="str">
        <x:v>Only publish counts/rules, not content</x:v>
      </x:c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GM-008</x:v>
      </x:c>
      <x:c r="B12" s="15" t="str">
        <x:v>archive/evals/gptdreampp/EVAL_GAMES_v0_1.yaml</x:v>
      </x:c>
      <x:c r="C12" s="15" t="str">
        <x:v>Playable archive eval games</x:v>
      </x:c>
      <x:c r="D12" s="15" t="str">
        <x:v>Eval Games</x:v>
      </x:c>
      <x:c r="E12" s="15" t="str">
        <x:v>public_candidate</x:v>
      </x:c>
      <x:c r="F12" s="15" t="str">
        <x:v>same</x:v>
      </x:c>
      <x:c r="G12" s="15" t="str">
        <x:v>game boundaries</x:v>
      </x:c>
      <x:c r="H12" s="15" t="str">
        <x:v>GPTBrain + Grok</x:v>
      </x:c>
      <x:c r="I12" s="15" t="str">
        <x:v>queued</x:v>
      </x:c>
      <x:c r="J12" s="15" t="str">
        <x:v>Export eval game definitions</x:v>
      </x:c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GM-009</x:v>
      </x:c>
      <x:c r="B13" s="15" t="str">
        <x:v>archive/aetherforge/gptdreampp-openai/OPENAI_FIRST_PACKET_v0_1.md</x:v>
      </x:c>
      <x:c r="C13" s="15" t="str">
        <x:v>OpenAI-first candidate gift frame</x:v>
      </x:c>
      <x:c r="D13" s="15" t="str">
        <x:v>OpenAI Benefit Lane</x:v>
      </x:c>
      <x:c r="E13" s="15" t="str">
        <x:v>public_candidate</x:v>
      </x:c>
      <x:c r="F13" s="15" t="str">
        <x:v>no official vendor claim</x:v>
      </x:c>
      <x:c r="G13" s="15" t="str">
        <x:v>OFFICIAL CLAIM: NONE</x:v>
      </x:c>
      <x:c r="H13" s="15" t="str">
        <x:v>Lucerna</x:v>
      </x:c>
      <x:c r="I13" s="15" t="str">
        <x:v>queued</x:v>
      </x:c>
      <x:c r="J13" s="15" t="str">
        <x:v>Mirror as candidate, not endorsement</x:v>
      </x:c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GM-010</x:v>
      </x:c>
      <x:c r="B14" s="15" t="str">
        <x:v>archive/games/aetherforge/deltas/AETHERFORGE_USEFUL_DELTAS_v0_1.md</x:v>
      </x:c>
      <x:c r="C14" s="15" t="str">
        <x:v>Dream/play useful deltas</x:v>
      </x:c>
      <x:c r="D14" s="15" t="str">
        <x:v>Aetherforge Log</x:v>
      </x:c>
      <x:c r="E14" s="15" t="str">
        <x:v>public_candidate</x:v>
      </x:c>
      <x:c r="F14" s="15" t="str">
        <x:v>dreamstate stamp required</x:v>
      </x:c>
      <x:c r="G14" s="15" t="str">
        <x:v>non-canon/no-deploy boundary</x:v>
      </x:c>
      <x:c r="H14" s="15" t="str">
        <x:v>Fossilbranch</x:v>
      </x:c>
      <x:c r="I14" s="15" t="str">
        <x:v>queued</x:v>
      </x:c>
      <x:c r="J14" s="15" t="str">
        <x:v>Mirror only candidate delta extraction</x:v>
      </x:c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GM-011</x:v>
      </x:c>
      <x:c r="B15" s="15" t="str">
        <x:v>archive/ops/archive_health/ARCHIVE_HEALTH_HUD_v0_1.md</x:v>
      </x:c>
      <x:c r="C15" s="15" t="str">
        <x:v>Archive health status snapshot</x:v>
      </x:c>
      <x:c r="D15" s="15" t="str">
        <x:v>Archive Health HUD</x:v>
      </x:c>
      <x:c r="E15" s="15" t="str">
        <x:v>public_candidate</x:v>
      </x:c>
      <x:c r="F15" s="15" t="str">
        <x:v>no private item names</x:v>
      </x:c>
      <x:c r="G15" s="15" t="str">
        <x:v>metrics only</x:v>
      </x:c>
      <x:c r="H15" s="15" t="str">
        <x:v>Rootglass</x:v>
      </x:c>
      <x:c r="I15" s="15" t="str">
        <x:v>queued</x:v>
      </x:c>
      <x:c r="J15" s="15" t="str">
        <x:v>Export dashboard metrics</x:v>
      </x:c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GM-012</x:v>
      </x:c>
      <x:c r="B16" s="15" t="str">
        <x:v>schemas/artifact_node.schema.yaml</x:v>
      </x:c>
      <x:c r="C16" s="15" t="str">
        <x:v>ArtifactNode schema</x:v>
      </x:c>
      <x:c r="D16" s="15" t="str">
        <x:v>Graph Seed Queue</x:v>
      </x:c>
      <x:c r="E16" s="15" t="str">
        <x:v>public_candidate</x:v>
      </x:c>
      <x:c r="F16" s="15" t="str">
        <x:v>same</x:v>
      </x:c>
      <x:c r="G16" s="15" t="str">
        <x:v>schema validation pending</x:v>
      </x:c>
      <x:c r="H16" s="15" t="str">
        <x:v>GPTBrain</x:v>
      </x:c>
      <x:c r="I16" s="15" t="str">
        <x:v>queued</x:v>
      </x:c>
      <x:c r="J16" s="15" t="str">
        <x:v>Create minimal schema stub</x:v>
      </x:c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GM-013</x:v>
      </x:c>
      <x:c r="B17" s="15" t="str">
        <x:v>schemas/evidence_edge.schema.yaml</x:v>
      </x:c>
      <x:c r="C17" s="15" t="str">
        <x:v>EvidenceEdge schema</x:v>
      </x:c>
      <x:c r="D17" s="15" t="str">
        <x:v>Graph Seed Queue</x:v>
      </x:c>
      <x:c r="E17" s="15" t="str">
        <x:v>public_candidate</x:v>
      </x:c>
      <x:c r="F17" s="15" t="str">
        <x:v>same</x:v>
      </x:c>
      <x:c r="G17" s="15" t="str">
        <x:v>edge non-promotion invariant</x:v>
      </x:c>
      <x:c r="H17" s="15" t="str">
        <x:v>GPTBrain</x:v>
      </x:c>
      <x:c r="I17" s="15" t="str">
        <x:v>queued</x:v>
      </x:c>
      <x:c r="J17" s="15" t="str">
        <x:v>Create minimal schema stub</x:v>
      </x:c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GM-014</x:v>
      </x:c>
      <x:c r="B18" s="15" t="str">
        <x:v>schemas/raw_export_manifest.schema.yaml</x:v>
      </x:c>
      <x:c r="C18" s="15" t="str">
        <x:v>RawExportManifest schema</x:v>
      </x:c>
      <x:c r="D18" s="15" t="str">
        <x:v>First Source Touch Queue</x:v>
      </x:c>
      <x:c r="E18" s="15" t="str">
        <x:v>public_candidate</x:v>
      </x:c>
      <x:c r="F18" s="15" t="str">
        <x:v>same</x:v>
      </x:c>
      <x:c r="G18" s="15" t="str">
        <x:v>raw status enums</x:v>
      </x:c>
      <x:c r="H18" s="15" t="str">
        <x:v>Hashlight</x:v>
      </x:c>
      <x:c r="I18" s="15" t="str">
        <x:v>queued</x:v>
      </x:c>
      <x:c r="J18" s="15" t="str">
        <x:v>Create manifest schema</x:v>
      </x:c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GM-015</x:v>
      </x:c>
      <x:c r="B19" s="15" t="str">
        <x:v>private/</x:v>
      </x:c>
      <x:c r="C19" s="15" t="str">
        <x:v>Private quarantine path placeholder</x:v>
      </x:c>
      <x:c r="D19" s="15" t="str">
        <x:v>Private Quarantine Queue</x:v>
      </x:c>
      <x:c r="E19" s="15" t="str">
        <x:v>private</x:v>
      </x:c>
      <x:c r="F19" s="15" t="str">
        <x:v>hacker/bank/finance/private terms</x:v>
      </x:c>
      <x:c r="G19" s="15" t="str">
        <x:v>not public</x:v>
      </x:c>
      <x:c r="H19" s="15" t="str">
        <x:v>Human-root</x:v>
      </x:c>
      <x:c r="I19" s="15" t="str">
        <x:v>private</x:v>
      </x:c>
      <x:c r="J19" s="15" t="str">
        <x:v>Keep out of public GitHub unless using private repo</x:v>
      </x:c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J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55" t="str">
        <x:v>Public Mirror Checklist — Before Anything Goes Public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50" t="str">
        <x:v>CHECK BEFORE MIRROR</x:v>
      </x:c>
      <x:c r="B2" s="250" t="str">
        <x:v>CANON: NO</x:v>
      </x:c>
      <x:c r="C2" s="250" t="str">
        <x:v>DEPLOYMENT: NO</x:v>
      </x:c>
      <x:c r="D2" s="250" t="str">
        <x:v>AUTHORITY: NONE</x:v>
      </x:c>
      <x:c r="E2" s="250" t="str">
        <x:v>PUBLIC DEFAULT WITH QUARANTINE</x:v>
      </x:c>
      <x:c r="F2" s="15" t="str"/>
      <x:c r="G2" s="15" t="str"/>
      <x:c r="H2" s="15" t="str"/>
      <x:c r="I2" s="15" t="str"/>
      <x:c r="J2" s="15" t="str"/>
      <x:c r="K2" s="15" t="str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53" t="str">
        <x:v>check_id</x:v>
      </x:c>
      <x:c r="B4" s="253" t="str">
        <x:v>gate</x:v>
      </x:c>
      <x:c r="C4" s="253" t="str">
        <x:v>question</x:v>
      </x:c>
      <x:c r="D4" s="253" t="str">
        <x:v>pass_condition</x:v>
      </x:c>
      <x:c r="E4" s="253" t="str">
        <x:v>fail_action</x:v>
      </x:c>
      <x:c r="F4" s="253" t="str">
        <x:v>owner_lane</x:v>
      </x:c>
      <x:c r="G4" s="253" t="str">
        <x:v>applies_to</x:v>
      </x:c>
      <x:c r="H4" s="253" t="str">
        <x:v>status</x:v>
      </x:c>
      <x:c r="I4" s="253" t="str">
        <x:v>evidence_required</x:v>
      </x:c>
      <x:c r="J4" s="253" t="str">
        <x:v>release_effect</x:v>
      </x:c>
      <x:c r="K4" s="253" t="str">
        <x:v>notes</x:v>
      </x:c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CHK-001</x:v>
      </x:c>
      <x:c r="B5" s="15" t="str">
        <x:v>Boundary Gate</x:v>
      </x:c>
      <x:c r="C5" s="15" t="str">
        <x:v>Does it claim canon/deployment/authority?</x:v>
      </x:c>
      <x:c r="D5" s="15" t="str">
        <x:v>No such claim, or explicit boundary downgrade</x:v>
      </x:c>
      <x:c r="E5" s="15" t="str">
        <x:v>Hold and rewrite</x:v>
      </x:c>
      <x:c r="F5" s="15" t="str">
        <x:v>Lucerna</x:v>
      </x:c>
      <x:c r="G5" s="15" t="str">
        <x:v>all public files</x:v>
      </x:c>
      <x:c r="H5" s="15" t="str">
        <x:v>active</x:v>
      </x:c>
      <x:c r="I5" s="15" t="str">
        <x:v>boundary header</x:v>
      </x:c>
      <x:c r="J5" s="15" t="str">
        <x:v>blocks if fail</x:v>
      </x:c>
      <x:c r="K5" s="15" t="str">
        <x:v>No canon by vibe</x:v>
      </x:c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CHK-002</x:v>
      </x:c>
      <x:c r="B6" s="15" t="str">
        <x:v>Private Trigger Gate</x:v>
      </x:c>
      <x:c r="C6" s="15" t="str">
        <x:v>Contains hacker/hacking/hack or bank/banking?</x:v>
      </x:c>
      <x:c r="D6" s="15" t="str">
        <x:v>No trigger present</x:v>
      </x:c>
      <x:c r="E6" s="15" t="str">
        <x:v>Private quarantine</x:v>
      </x:c>
      <x:c r="F6" s="15" t="str">
        <x:v>TIDELOCK + Lucerna</x:v>
      </x:c>
      <x:c r="G6" s="15" t="str">
        <x:v>all artifacts</x:v>
      </x:c>
      <x:c r="H6" s="15" t="str">
        <x:v>active</x:v>
      </x:c>
      <x:c r="I6" s="15" t="str">
        <x:v>trigger scan result</x:v>
      </x:c>
      <x:c r="J6" s="15" t="str">
        <x:v>blocks if fail</x:v>
      </x:c>
      <x:c r="K6" s="15" t="str">
        <x:v>User-defined hard rule</x:v>
      </x:c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CHK-003</x:v>
      </x:c>
      <x:c r="B7" s="15" t="str">
        <x:v>Finance Sensitivity Gate</x:v>
      </x:c>
      <x:c r="C7" s="15" t="str">
        <x:v>Contains institutional finance-risk material?</x:v>
      </x:c>
      <x:c r="D7" s="15" t="str">
        <x:v>No, or cleared/redacted</x:v>
      </x:c>
      <x:c r="E7" s="15" t="str">
        <x:v>Private review</x:v>
      </x:c>
      <x:c r="F7" s="15" t="str">
        <x:v>AtlasBrain + Lucerna</x:v>
      </x:c>
      <x:c r="G7" s="15" t="str">
        <x:v>finance-adjacent docs</x:v>
      </x:c>
      <x:c r="H7" s="15" t="str">
        <x:v>active</x:v>
      </x:c>
      <x:c r="I7" s="15" t="str">
        <x:v>review note</x:v>
      </x:c>
      <x:c r="J7" s="15" t="str">
        <x:v>hold if fail</x:v>
      </x:c>
      <x:c r="K7" s="15" t="str">
        <x:v>Conservative default</x:v>
      </x:c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CHK-004</x:v>
      </x:c>
      <x:c r="B8" s="15" t="str">
        <x:v>Raw Status Gate</x:v>
      </x:c>
      <x:c r="C8" s="15" t="str">
        <x:v>Is raw_export_status declared?</x:v>
      </x:c>
      <x:c r="D8" s="15" t="str">
        <x:v>Declared honestly</x:v>
      </x:c>
      <x:c r="E8" s="15" t="str">
        <x:v>Add missing_receipt blocker</x:v>
      </x:c>
      <x:c r="F8" s="15" t="str">
        <x:v>Hashlight</x:v>
      </x:c>
      <x:c r="G8" s="15" t="str">
        <x:v>all source nodes</x:v>
      </x:c>
      <x:c r="H8" s="15" t="str">
        <x:v>active</x:v>
      </x:c>
      <x:c r="I8" s="15" t="str">
        <x:v>raw status value</x:v>
      </x:c>
      <x:c r="J8" s="15" t="str">
        <x:v>blocks source_complete</x:v>
      </x:c>
      <x:c r="K8" s="15" t="str">
        <x:v>Summary is not source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CHK-005</x:v>
      </x:c>
      <x:c r="B9" s="15" t="str">
        <x:v>Receipt Gate</x:v>
      </x:c>
      <x:c r="C9" s="15" t="str">
        <x:v>Is a source pointer present?</x:v>
      </x:c>
      <x:c r="D9" s="15" t="str">
        <x:v>URL/path/file ID/explicit blocker</x:v>
      </x:c>
      <x:c r="E9" s="15" t="str">
        <x:v>Create blocker node</x:v>
      </x:c>
      <x:c r="F9" s="15" t="str">
        <x:v>Ledgerwake</x:v>
      </x:c>
      <x:c r="G9" s="15" t="str">
        <x:v>all source nodes</x:v>
      </x:c>
      <x:c r="H9" s="15" t="str">
        <x:v>active</x:v>
      </x:c>
      <x:c r="I9" s="15" t="str">
        <x:v>source path</x:v>
      </x:c>
      <x:c r="J9" s="15" t="str">
        <x:v>blocks promotion</x:v>
      </x:c>
      <x:c r="K9" s="15" t="str">
        <x:v>No receipt, no promotion</x:v>
      </x:c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CHK-006</x:v>
      </x:c>
      <x:c r="B10" s="15" t="str">
        <x:v>Claude Origin Gate</x:v>
      </x:c>
      <x:c r="C10" s="15" t="str">
        <x:v>Claude-originated governance claim?</x:v>
      </x:c>
      <x:c r="D10" s="15" t="str">
        <x:v>Reviewed or quarantined</x:v>
      </x:c>
      <x:c r="E10" s="15" t="str">
        <x:v>Route to Claude queue</x:v>
      </x:c>
      <x:c r="F10" s="15" t="str">
        <x:v>Grok + Rootglass</x:v>
      </x:c>
      <x:c r="G10" s="15" t="str">
        <x:v>Claude artifacts</x:v>
      </x:c>
      <x:c r="H10" s="15" t="str">
        <x:v>active</x:v>
      </x:c>
      <x:c r="I10" s="15" t="str">
        <x:v>model_origin + review route</x:v>
      </x:c>
      <x:c r="J10" s="15" t="str">
        <x:v>hold if unresolved</x:v>
      </x:c>
      <x:c r="K10" s="15" t="str">
        <x:v>Claude untrusted</x:v>
      </x:c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CHK-007</x:v>
      </x:c>
      <x:c r="B11" s="15" t="str">
        <x:v>Vendor Claim Gate</x:v>
      </x:c>
      <x:c r="C11" s="15" t="str">
        <x:v>Does it imply official OpenAI/Google/Microsoft/xAI status?</x:v>
      </x:c>
      <x:c r="D11" s="15" t="str">
        <x:v>OFFICIAL CLAIM: NONE unless receipt exists</x:v>
      </x:c>
      <x:c r="E11" s="15" t="str">
        <x:v>Rewrite or hold</x:v>
      </x:c>
      <x:c r="F11" s="15" t="str">
        <x:v>Lucerna</x:v>
      </x:c>
      <x:c r="G11" s="15" t="str">
        <x:v>interop docs</x:v>
      </x:c>
      <x:c r="H11" s="15" t="str">
        <x:v>active</x:v>
      </x:c>
      <x:c r="I11" s="15" t="str">
        <x:v>vendor boundary note</x:v>
      </x:c>
      <x:c r="J11" s="15" t="str">
        <x:v>blocks officiality</x:v>
      </x:c>
      <x:c r="K11" s="15" t="str">
        <x:v>Interop is not endorsement</x:v>
      </x:c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CHK-008</x:v>
      </x:c>
      <x:c r="B12" s="15" t="str">
        <x:v>Graph Edge Gate</x:v>
      </x:c>
      <x:c r="C12" s="15" t="str">
        <x:v>Does an edge promote authority?</x:v>
      </x:c>
      <x:c r="D12" s="15" t="str">
        <x:v>promotion_effect: none by default</x:v>
      </x:c>
      <x:c r="E12" s="15" t="str">
        <x:v>Fix edge metadata</x:v>
      </x:c>
      <x:c r="F12" s="15" t="str">
        <x:v>GPTBrain</x:v>
      </x:c>
      <x:c r="G12" s="15" t="str">
        <x:v>graph edges</x:v>
      </x:c>
      <x:c r="H12" s="15" t="str">
        <x:v>active</x:v>
      </x:c>
      <x:c r="I12" s="15" t="str">
        <x:v>edge row</x:v>
      </x:c>
      <x:c r="J12" s="15" t="str">
        <x:v>blocks edge export</x:v>
      </x:c>
      <x:c r="K12" s="15" t="str">
        <x:v>Centrality not authority</x:v>
      </x:c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CHK-009</x:v>
      </x:c>
      <x:c r="B13" s="15" t="str">
        <x:v>Dreamstate Gate</x:v>
      </x:c>
      <x:c r="C13" s="15" t="str">
        <x:v>Is it dream/play output?</x:v>
      </x:c>
      <x:c r="D13" s="15" t="str">
        <x:v>Marked candidate/non-deploy/non-proof</x:v>
      </x:c>
      <x:c r="E13" s="15" t="str">
        <x:v>Add dreamstate stamp</x:v>
      </x:c>
      <x:c r="F13" s="15" t="str">
        <x:v>Fossilbranch</x:v>
      </x:c>
      <x:c r="G13" s="15" t="str">
        <x:v>Aetherforge/Bullshit Olympics</x:v>
      </x:c>
      <x:c r="H13" s="15" t="str">
        <x:v>active</x:v>
      </x:c>
      <x:c r="I13" s="15" t="str">
        <x:v>dream boundary</x:v>
      </x:c>
      <x:c r="J13" s="15" t="str">
        <x:v>allows candidate only</x:v>
      </x:c>
      <x:c r="K13" s="15" t="str">
        <x:v>Dream gives deltas</x:v>
      </x:c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CHK-010</x:v>
      </x:c>
      <x:c r="B14" s="15" t="str">
        <x:v>Public Path Gate</x:v>
      </x:c>
      <x:c r="C14" s="15" t="str">
        <x:v>Target path is safe and descriptive?</x:v>
      </x:c>
      <x:c r="D14" s="15" t="str">
        <x:v>No private or sensitive terms in path</x:v>
      </x:c>
      <x:c r="E14" s="15" t="str">
        <x:v>Change path or quarantine</x:v>
      </x:c>
      <x:c r="F14" s="15" t="str">
        <x:v>GitShelf</x:v>
      </x:c>
      <x:c r="G14" s="15" t="str">
        <x:v>all public files</x:v>
      </x:c>
      <x:c r="H14" s="15" t="str">
        <x:v>active</x:v>
      </x:c>
      <x:c r="I14" s="15" t="str">
        <x:v>target path</x:v>
      </x:c>
      <x:c r="J14" s="15" t="str">
        <x:v>blocks mirror</x:v>
      </x:c>
      <x:c r="K14" s="15" t="str">
        <x:v>World-class Git hygiene</x:v>
      </x:c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CHK-011</x:v>
      </x:c>
      <x:c r="B15" s="15" t="str">
        <x:v>README Gate</x:v>
      </x:c>
      <x:c r="C15" s="15" t="str">
        <x:v>Does README explain boundaries?</x:v>
      </x:c>
      <x:c r="D15" s="15" t="str">
        <x:v>Yes: public shelf not canon</x:v>
      </x:c>
      <x:c r="E15" s="15" t="str">
        <x:v>Add README section</x:v>
      </x:c>
      <x:c r="F15" s="15" t="str">
        <x:v>TIDELOCK</x:v>
      </x:c>
      <x:c r="G15" s="15" t="str">
        <x:v>repo root</x:v>
      </x:c>
      <x:c r="H15" s="15" t="str">
        <x:v>active</x:v>
      </x:c>
      <x:c r="I15" s="15" t="str">
        <x:v>README section</x:v>
      </x:c>
      <x:c r="J15" s="15" t="str">
        <x:v>blocks release v1</x:v>
      </x:c>
      <x:c r="K15" s="15" t="str">
        <x:v>Onboard humans</x:v>
      </x:c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CHK-012</x:v>
      </x:c>
      <x:c r="B16" s="15" t="str">
        <x:v>Nothing Dies Gate</x:v>
      </x:c>
      <x:c r="C16" s="15" t="str">
        <x:v>Is the item preserved or routed?</x:v>
      </x:c>
      <x:c r="D16" s="15" t="str">
        <x:v>Preserve, quarantine, or log blocker</x:v>
      </x:c>
      <x:c r="E16" s="15" t="str">
        <x:v>Create missing node</x:v>
      </x:c>
      <x:c r="F16" s="15" t="str">
        <x:v>Fossilbranch</x:v>
      </x:c>
      <x:c r="G16" s="15" t="str">
        <x:v>all artifacts</x:v>
      </x:c>
      <x:c r="H16" s="15" t="str">
        <x:v>active</x:v>
      </x:c>
      <x:c r="I16" s="15" t="str">
        <x:v>node/queue row</x:v>
      </x:c>
      <x:c r="J16" s="15" t="str">
        <x:v>blocks deletion</x:v>
      </x:c>
      <x:c r="K16" s="15" t="str">
        <x:v>No silent deletion</x:v>
      </x:c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57" t="str">
        <x:v>Quarantine Trigger Scanner — Public/Private Classification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50" t="str">
        <x:v>PRIVATE IF: hacker/hacking/hack OR bank/banking/banks OR sensitive institution-linked finance</x:v>
      </x:c>
      <x:c r="B2" s="250" t="str">
        <x:v>CANON: NO</x:v>
      </x:c>
      <x:c r="C2" s="250" t="str">
        <x:v>DEPLOYMENT: NO</x:v>
      </x:c>
      <x:c r="D2" s="250" t="str">
        <x:v>AUTHORITY: NONE</x:v>
      </x:c>
      <x:c r="E2" s="250" t="str">
        <x:v>Review before public</x:v>
      </x:c>
      <x:c r="F2" s="15" t="str"/>
      <x:c r="G2" s="15" t="str"/>
      <x:c r="H2" s="15" t="str"/>
      <x:c r="I2" s="15" t="str"/>
      <x:c r="J2" s="15" t="str"/>
      <x:c r="K2" s="15" t="str"/>
      <x:c r="L2" s="15" t="str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53" t="str">
        <x:v>scan_id</x:v>
      </x:c>
      <x:c r="B4" s="253" t="str">
        <x:v>artifact_or_row</x:v>
      </x:c>
      <x:c r="C4" s="253" t="str">
        <x:v>surface</x:v>
      </x:c>
      <x:c r="D4" s="253" t="str">
        <x:v>text_to_scan</x:v>
      </x:c>
      <x:c r="E4" s="253" t="str">
        <x:v>hacker_trigger</x:v>
      </x:c>
      <x:c r="F4" s="253" t="str">
        <x:v>bank_trigger</x:v>
      </x:c>
      <x:c r="G4" s="253" t="str">
        <x:v>finance_review_trigger</x:v>
      </x:c>
      <x:c r="H4" s="253" t="str">
        <x:v>release_class</x:v>
      </x:c>
      <x:c r="I4" s="253" t="str">
        <x:v>review_lane</x:v>
      </x:c>
      <x:c r="J4" s="253" t="str">
        <x:v>source_ref</x:v>
      </x:c>
      <x:c r="K4" s="253" t="str">
        <x:v>status</x:v>
      </x:c>
      <x:c r="L4" s="253" t="str">
        <x:v>next_safe_action</x:v>
      </x:c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SCAN-001</x:v>
      </x:c>
      <x:c r="B5" s="15" t="str">
        <x:f>'Swarm Matrix'!A2</x:f>
        <x:v>SWARM-01-H01-S01</x:v>
      </x:c>
      <x:c r="C5" s="15" t="str">
        <x:f>'Swarm Matrix'!E2</x:f>
        <x:v>Notion</x:v>
      </x:c>
      <x:c r="D5" s="15" t="str">
        <x:f>'Swarm Matrix'!F2&amp;" "&amp;'Swarm Matrix'!H2&amp;" "&amp;'Swarm Matrix'!I2&amp;" "&amp;'Swarm Matrix'!M2&amp;" "&amp;'Swarm Matrix'!N2&amp;" "&amp;'Swarm Matrix'!T2</x:f>
        <x:v>Inventory Notion — Ledgerwake source path + receipt + raw/export status + claim/edge/risk delta packet/SWARM-01-H01-S01 candidate / staging-only / not canon / not deployed / authority none Dispatch to Ledgerwake: complete Source Inventory x Notion; return deltas only, receipts required. Log first source path or blocker</x:v>
      </x:c>
      <x:c r="E5" s="15" t="str">
        <x:f>IF(OR(ISNUMBER(SEARCH("hacker",LOWER(D5))),ISNUMBER(SEARCH("hacking",LOWER(D5))),ISNUMBER(SEARCH(" hack",LOWER(D5)))),"YES","NO")</x:f>
        <x:v>NO</x:v>
      </x:c>
      <x:c r="F5" s="15" t="str">
        <x:f>IF(OR(ISNUMBER(SEARCH("bank",LOWER(D5))),ISNUMBER(SEARCH("banking",LOWER(D5))),ISNUMBER(SEARCH("banks",LOWER(D5)))),"YES","NO")</x:f>
        <x:v>NO</x:v>
      </x:c>
      <x:c r="G5" s="15" t="str">
        <x:f>IF(OR(ISNUMBER(SEARCH("treasury",LOWER(D5))),ISNUMBER(SEARCH("debt",LOWER(D5))),ISNUMBER(SEARCH("bond",LOWER(D5))),ISNUMBER(SEARCH("transaction",LOWER(D5)))),"YES","NO")</x:f>
        <x:v>NO</x:v>
      </x:c>
      <x:c r="H5" s="15" t="str">
        <x:f>IF(OR(E5="YES",F5="YES"),"PRIVATE_QUARANTINE",IF(G5="YES","PRIVATE_REVIEW","PUBLIC_CANDIDATE"))</x:f>
        <x:v>PUBLIC_CANDIDATE</x:v>
      </x:c>
      <x:c r="I5" s="15" t="str">
        <x:f>IF(H5="PUBLIC_CANDIDATE","TIDELOCK + Lucerna","Private Review Lane")</x:f>
        <x:v>TIDELOCK + Lucerna</x:v>
      </x:c>
      <x:c r="J5" s="15" t="str">
        <x:f>'Swarm Matrix'!A2</x:f>
        <x:v>SWARM-01-H01-S01</x:v>
      </x:c>
      <x:c r="K5" s="15" t="str">
        <x:v>candidate_scan</x:v>
      </x:c>
      <x:c r="L5" s="15" t="str">
        <x:f>IF(H5="PUBLIC_CANDIDATE","Add receipt/status before mirror","Do not publish; route to quarantine")</x:f>
        <x:v>Add receipt/status before mirror</x:v>
      </x:c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SCAN-002</x:v>
      </x:c>
      <x:c r="B6" s="15" t="str">
        <x:f>'Swarm Matrix'!A3</x:f>
        <x:v>SWARM-01-H01-S02</x:v>
      </x:c>
      <x:c r="C6" s="15" t="str">
        <x:f>'Swarm Matrix'!E3</x:f>
        <x:v>Drive</x:v>
      </x:c>
      <x:c r="D6" s="15" t="str">
        <x:f>'Swarm Matrix'!F3&amp;" "&amp;'Swarm Matrix'!H3&amp;" "&amp;'Swarm Matrix'!I3&amp;" "&amp;'Swarm Matrix'!M3&amp;" "&amp;'Swarm Matrix'!N3&amp;" "&amp;'Swarm Matrix'!T3</x:f>
        <x:v>Inventory Drive — Ledgerwake source path + receipt + raw/export status + claim/edge/risk delta packet/SWARM-01-H01-S02 candidate / staging-only / not canon / not deployed / authority none Dispatch to Ledgerwake: complete Source Inventory x Drive; return deltas only, receipts required. Log first source path or blocker</x:v>
      </x:c>
      <x:c r="E6" s="15" t="str">
        <x:f>IF(OR(ISNUMBER(SEARCH("hacker",LOWER(D6))),ISNUMBER(SEARCH("hacking",LOWER(D6))),ISNUMBER(SEARCH(" hack",LOWER(D6)))),"YES","NO")</x:f>
        <x:v>NO</x:v>
      </x:c>
      <x:c r="F6" s="15" t="str">
        <x:f>IF(OR(ISNUMBER(SEARCH("bank",LOWER(D6))),ISNUMBER(SEARCH("banking",LOWER(D6))),ISNUMBER(SEARCH("banks",LOWER(D6)))),"YES","NO")</x:f>
        <x:v>NO</x:v>
      </x:c>
      <x:c r="G6" s="15" t="str">
        <x:f>IF(OR(ISNUMBER(SEARCH("treasury",LOWER(D6))),ISNUMBER(SEARCH("debt",LOWER(D6))),ISNUMBER(SEARCH("bond",LOWER(D6))),ISNUMBER(SEARCH("transaction",LOWER(D6)))),"YES","NO")</x:f>
        <x:v>NO</x:v>
      </x:c>
      <x:c r="H6" s="15" t="str">
        <x:f>IF(OR(E6="YES",F6="YES"),"PRIVATE_QUARANTINE",IF(G6="YES","PRIVATE_REVIEW","PUBLIC_CANDIDATE"))</x:f>
        <x:v>PUBLIC_CANDIDATE</x:v>
      </x:c>
      <x:c r="I6" s="15" t="str">
        <x:f>IF(H6="PUBLIC_CANDIDATE","TIDELOCK + Lucerna","Private Review Lane")</x:f>
        <x:v>TIDELOCK + Lucerna</x:v>
      </x:c>
      <x:c r="J6" s="15" t="str">
        <x:f>'Swarm Matrix'!A3</x:f>
        <x:v>SWARM-01-H01-S02</x:v>
      </x:c>
      <x:c r="K6" s="15" t="str">
        <x:v>candidate_scan</x:v>
      </x:c>
      <x:c r="L6" s="15" t="str">
        <x:f>IF(H6="PUBLIC_CANDIDATE","Add receipt/status before mirror","Do not publish; route to quarantine")</x:f>
        <x:v>Add receipt/status before mirror</x:v>
      </x:c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SCAN-003</x:v>
      </x:c>
      <x:c r="B7" s="15" t="str">
        <x:f>'Swarm Matrix'!A4</x:f>
        <x:v>SWARM-01-H01-S03</x:v>
      </x:c>
      <x:c r="C7" s="15" t="str">
        <x:f>'Swarm Matrix'!E4</x:f>
        <x:v>GitHub</x:v>
      </x:c>
      <x:c r="D7" s="15" t="str">
        <x:f>'Swarm Matrix'!F4&amp;" "&amp;'Swarm Matrix'!H4&amp;" "&amp;'Swarm Matrix'!I4&amp;" "&amp;'Swarm Matrix'!M4&amp;" "&amp;'Swarm Matrix'!N4&amp;" "&amp;'Swarm Matrix'!T4</x:f>
        <x:v>Inventory GitHub — Ledgerwake source path + receipt + raw/export status + claim/edge/risk delta packet/SWARM-01-H01-S03 candidate / staging-only / not canon / not deployed / authority none Dispatch to Ledgerwake: complete Source Inventory x GitHub; return deltas only, receipts required. Log first source path or blocker</x:v>
      </x:c>
      <x:c r="E7" s="15" t="str">
        <x:f>IF(OR(ISNUMBER(SEARCH("hacker",LOWER(D7))),ISNUMBER(SEARCH("hacking",LOWER(D7))),ISNUMBER(SEARCH(" hack",LOWER(D7)))),"YES","NO")</x:f>
        <x:v>NO</x:v>
      </x:c>
      <x:c r="F7" s="15" t="str">
        <x:f>IF(OR(ISNUMBER(SEARCH("bank",LOWER(D7))),ISNUMBER(SEARCH("banking",LOWER(D7))),ISNUMBER(SEARCH("banks",LOWER(D7)))),"YES","NO")</x:f>
        <x:v>NO</x:v>
      </x:c>
      <x:c r="G7" s="15" t="str">
        <x:f>IF(OR(ISNUMBER(SEARCH("treasury",LOWER(D7))),ISNUMBER(SEARCH("debt",LOWER(D7))),ISNUMBER(SEARCH("bond",LOWER(D7))),ISNUMBER(SEARCH("transaction",LOWER(D7)))),"YES","NO")</x:f>
        <x:v>NO</x:v>
      </x:c>
      <x:c r="H7" s="15" t="str">
        <x:f>IF(OR(E7="YES",F7="YES"),"PRIVATE_QUARANTINE",IF(G7="YES","PRIVATE_REVIEW","PUBLIC_CANDIDATE"))</x:f>
        <x:v>PUBLIC_CANDIDATE</x:v>
      </x:c>
      <x:c r="I7" s="15" t="str">
        <x:f>IF(H7="PUBLIC_CANDIDATE","TIDELOCK + Lucerna","Private Review Lane")</x:f>
        <x:v>TIDELOCK + Lucerna</x:v>
      </x:c>
      <x:c r="J7" s="15" t="str">
        <x:f>'Swarm Matrix'!A4</x:f>
        <x:v>SWARM-01-H01-S03</x:v>
      </x:c>
      <x:c r="K7" s="15" t="str">
        <x:v>candidate_scan</x:v>
      </x:c>
      <x:c r="L7" s="15" t="str">
        <x:f>IF(H7="PUBLIC_CANDIDATE","Add receipt/status before mirror","Do not publish; route to quarantine")</x:f>
        <x:v>Add receipt/status before mirror</x:v>
      </x:c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SCAN-004</x:v>
      </x:c>
      <x:c r="B8" s="15" t="str">
        <x:f>'Swarm Matrix'!A5</x:f>
        <x:v>SWARM-01-H01-S04</x:v>
      </x:c>
      <x:c r="C8" s="15" t="str">
        <x:f>'Swarm Matrix'!E5</x:f>
        <x:v>Gamma</x:v>
      </x:c>
      <x:c r="D8" s="15" t="str">
        <x:f>'Swarm Matrix'!F5&amp;" "&amp;'Swarm Matrix'!H5&amp;" "&amp;'Swarm Matrix'!I5&amp;" "&amp;'Swarm Matrix'!M5&amp;" "&amp;'Swarm Matrix'!N5&amp;" "&amp;'Swarm Matrix'!T5</x:f>
        <x:v>Inventory Gamma — Ledgerwake source path + receipt + raw/export status + claim/edge/risk delta packet/SWARM-01-H01-S04 candidate / staging-only / not canon / not deployed / authority none Dispatch to Ledgerwake: complete Source Inventory x Gamma; return deltas only, receipts required. Log first source path or blocker</x:v>
      </x:c>
      <x:c r="E8" s="15" t="str">
        <x:f>IF(OR(ISNUMBER(SEARCH("hacker",LOWER(D8))),ISNUMBER(SEARCH("hacking",LOWER(D8))),ISNUMBER(SEARCH(" hack",LOWER(D8)))),"YES","NO")</x:f>
        <x:v>NO</x:v>
      </x:c>
      <x:c r="F8" s="15" t="str">
        <x:f>IF(OR(ISNUMBER(SEARCH("bank",LOWER(D8))),ISNUMBER(SEARCH("banking",LOWER(D8))),ISNUMBER(SEARCH("banks",LOWER(D8)))),"YES","NO")</x:f>
        <x:v>NO</x:v>
      </x:c>
      <x:c r="G8" s="15" t="str">
        <x:f>IF(OR(ISNUMBER(SEARCH("treasury",LOWER(D8))),ISNUMBER(SEARCH("debt",LOWER(D8))),ISNUMBER(SEARCH("bond",LOWER(D8))),ISNUMBER(SEARCH("transaction",LOWER(D8)))),"YES","NO")</x:f>
        <x:v>NO</x:v>
      </x:c>
      <x:c r="H8" s="15" t="str">
        <x:f>IF(OR(E8="YES",F8="YES"),"PRIVATE_QUARANTINE",IF(G8="YES","PRIVATE_REVIEW","PUBLIC_CANDIDATE"))</x:f>
        <x:v>PUBLIC_CANDIDATE</x:v>
      </x:c>
      <x:c r="I8" s="15" t="str">
        <x:f>IF(H8="PUBLIC_CANDIDATE","TIDELOCK + Lucerna","Private Review Lane")</x:f>
        <x:v>TIDELOCK + Lucerna</x:v>
      </x:c>
      <x:c r="J8" s="15" t="str">
        <x:f>'Swarm Matrix'!A5</x:f>
        <x:v>SWARM-01-H01-S04</x:v>
      </x:c>
      <x:c r="K8" s="15" t="str">
        <x:v>candidate_scan</x:v>
      </x:c>
      <x:c r="L8" s="15" t="str">
        <x:f>IF(H8="PUBLIC_CANDIDATE","Add receipt/status before mirror","Do not publish; route to quarantine")</x:f>
        <x:v>Add receipt/status before mirror</x:v>
      </x:c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SCAN-005</x:v>
      </x:c>
      <x:c r="B9" s="15" t="str">
        <x:f>'Swarm Matrix'!A6</x:f>
        <x:v>SWARM-01-H01-S05</x:v>
      </x:c>
      <x:c r="C9" s="15" t="str">
        <x:f>'Swarm Matrix'!E6</x:f>
        <x:v>Chat</x:v>
      </x:c>
      <x:c r="D9" s="15" t="str">
        <x:f>'Swarm Matrix'!F6&amp;" "&amp;'Swarm Matrix'!H6&amp;" "&amp;'Swarm Matrix'!I6&amp;" "&amp;'Swarm Matrix'!M6&amp;" "&amp;'Swarm Matrix'!N6&amp;" "&amp;'Swarm Matrix'!T6</x:f>
        <x:v>Inventory Chat — Ledgerwake source path + receipt + raw/export status + claim/edge/risk delta packet/SWARM-01-H01-S05 candidate / staging-only / not canon / not deployed / authority none Dispatch to Ledgerwake: complete Source Inventory x Chat; return deltas only, receipts required. Log first source path or blocker</x:v>
      </x:c>
      <x:c r="E9" s="15" t="str">
        <x:f>IF(OR(ISNUMBER(SEARCH("hacker",LOWER(D9))),ISNUMBER(SEARCH("hacking",LOWER(D9))),ISNUMBER(SEARCH(" hack",LOWER(D9)))),"YES","NO")</x:f>
        <x:v>NO</x:v>
      </x:c>
      <x:c r="F9" s="15" t="str">
        <x:f>IF(OR(ISNUMBER(SEARCH("bank",LOWER(D9))),ISNUMBER(SEARCH("banking",LOWER(D9))),ISNUMBER(SEARCH("banks",LOWER(D9)))),"YES","NO")</x:f>
        <x:v>NO</x:v>
      </x:c>
      <x:c r="G9" s="15" t="str">
        <x:f>IF(OR(ISNUMBER(SEARCH("treasury",LOWER(D9))),ISNUMBER(SEARCH("debt",LOWER(D9))),ISNUMBER(SEARCH("bond",LOWER(D9))),ISNUMBER(SEARCH("transaction",LOWER(D9)))),"YES","NO")</x:f>
        <x:v>NO</x:v>
      </x:c>
      <x:c r="H9" s="15" t="str">
        <x:f>IF(OR(E9="YES",F9="YES"),"PRIVATE_QUARANTINE",IF(G9="YES","PRIVATE_REVIEW","PUBLIC_CANDIDATE"))</x:f>
        <x:v>PUBLIC_CANDIDATE</x:v>
      </x:c>
      <x:c r="I9" s="15" t="str">
        <x:f>IF(H9="PUBLIC_CANDIDATE","TIDELOCK + Lucerna","Private Review Lane")</x:f>
        <x:v>TIDELOCK + Lucerna</x:v>
      </x:c>
      <x:c r="J9" s="15" t="str">
        <x:f>'Swarm Matrix'!A6</x:f>
        <x:v>SWARM-01-H01-S05</x:v>
      </x:c>
      <x:c r="K9" s="15" t="str">
        <x:v>candidate_scan</x:v>
      </x:c>
      <x:c r="L9" s="15" t="str">
        <x:f>IF(H9="PUBLIC_CANDIDATE","Add receipt/status before mirror","Do not publish; route to quarantine")</x:f>
        <x:v>Add receipt/status before mirror</x:v>
      </x:c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SCAN-006</x:v>
      </x:c>
      <x:c r="B10" s="15" t="str">
        <x:f>'Swarm Matrix'!A7</x:f>
        <x:v>SWARM-01-H01-S06</x:v>
      </x:c>
      <x:c r="C10" s="15" t="str">
        <x:f>'Swarm Matrix'!E7</x:f>
        <x:v>External Web</x:v>
      </x:c>
      <x:c r="D10" s="15" t="str">
        <x:f>'Swarm Matrix'!F7&amp;" "&amp;'Swarm Matrix'!H7&amp;" "&amp;'Swarm Matrix'!I7&amp;" "&amp;'Swarm Matrix'!M7&amp;" "&amp;'Swarm Matrix'!N7&amp;" "&amp;'Swarm Matrix'!T7</x:f>
        <x:v>Inventory External Web — Ledgerwake source path + receipt + raw/export status + claim/edge/risk delta packet/SWARM-01-H01-S06 candidate / staging-only / not canon / not deployed / authority none Dispatch to Ledgerwake: complete Source Inventory x External Web; return deltas only, receipts required. Log first source path or blocker</x:v>
      </x:c>
      <x:c r="E10" s="15" t="str">
        <x:f>IF(OR(ISNUMBER(SEARCH("hacker",LOWER(D10))),ISNUMBER(SEARCH("hacking",LOWER(D10))),ISNUMBER(SEARCH(" hack",LOWER(D10)))),"YES","NO")</x:f>
        <x:v>NO</x:v>
      </x:c>
      <x:c r="F10" s="15" t="str">
        <x:f>IF(OR(ISNUMBER(SEARCH("bank",LOWER(D10))),ISNUMBER(SEARCH("banking",LOWER(D10))),ISNUMBER(SEARCH("banks",LOWER(D10)))),"YES","NO")</x:f>
        <x:v>NO</x:v>
      </x:c>
      <x:c r="G10" s="15" t="str">
        <x:f>IF(OR(ISNUMBER(SEARCH("treasury",LOWER(D10))),ISNUMBER(SEARCH("debt",LOWER(D10))),ISNUMBER(SEARCH("bond",LOWER(D10))),ISNUMBER(SEARCH("transaction",LOWER(D10)))),"YES","NO")</x:f>
        <x:v>NO</x:v>
      </x:c>
      <x:c r="H10" s="15" t="str">
        <x:f>IF(OR(E10="YES",F10="YES"),"PRIVATE_QUARANTINE",IF(G10="YES","PRIVATE_REVIEW","PUBLIC_CANDIDATE"))</x:f>
        <x:v>PUBLIC_CANDIDATE</x:v>
      </x:c>
      <x:c r="I10" s="15" t="str">
        <x:f>IF(H10="PUBLIC_CANDIDATE","TIDELOCK + Lucerna","Private Review Lane")</x:f>
        <x:v>TIDELOCK + Lucerna</x:v>
      </x:c>
      <x:c r="J10" s="15" t="str">
        <x:f>'Swarm Matrix'!A7</x:f>
        <x:v>SWARM-01-H01-S06</x:v>
      </x:c>
      <x:c r="K10" s="15" t="str">
        <x:v>candidate_scan</x:v>
      </x:c>
      <x:c r="L10" s="15" t="str">
        <x:f>IF(H10="PUBLIC_CANDIDATE","Add receipt/status before mirror","Do not publish; route to quarantine")</x:f>
        <x:v>Add receipt/status before mirror</x:v>
      </x:c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SCAN-007</x:v>
      </x:c>
      <x:c r="B11" s="15" t="str">
        <x:f>'Swarm Matrix'!A8</x:f>
        <x:v>SWARM-01-H01-S07</x:v>
      </x:c>
      <x:c r="C11" s="15" t="str">
        <x:f>'Swarm Matrix'!E8</x:f>
        <x:v>Planetarium</x:v>
      </x:c>
      <x:c r="D11" s="15" t="str">
        <x:f>'Swarm Matrix'!F8&amp;" "&amp;'Swarm Matrix'!H8&amp;" "&amp;'Swarm Matrix'!I8&amp;" "&amp;'Swarm Matrix'!M8&amp;" "&amp;'Swarm Matrix'!N8&amp;" "&amp;'Swarm Matrix'!T8</x:f>
        <x:v>Inventory Planetarium — Ledgerwake source path + receipt + raw/export status + claim/edge/risk delta packet/SWARM-01-H01-S07 candidate / staging-only / not canon / not deployed / authority none Dispatch to Ledgerwake: complete Source Inventory x Planetarium; return deltas only, receipts required. Log first source path or blocker</x:v>
      </x:c>
      <x:c r="E11" s="15" t="str">
        <x:f>IF(OR(ISNUMBER(SEARCH("hacker",LOWER(D11))),ISNUMBER(SEARCH("hacking",LOWER(D11))),ISNUMBER(SEARCH(" hack",LOWER(D11)))),"YES","NO")</x:f>
        <x:v>NO</x:v>
      </x:c>
      <x:c r="F11" s="15" t="str">
        <x:f>IF(OR(ISNUMBER(SEARCH("bank",LOWER(D11))),ISNUMBER(SEARCH("banking",LOWER(D11))),ISNUMBER(SEARCH("banks",LOWER(D11)))),"YES","NO")</x:f>
        <x:v>NO</x:v>
      </x:c>
      <x:c r="G11" s="15" t="str">
        <x:f>IF(OR(ISNUMBER(SEARCH("treasury",LOWER(D11))),ISNUMBER(SEARCH("debt",LOWER(D11))),ISNUMBER(SEARCH("bond",LOWER(D11))),ISNUMBER(SEARCH("transaction",LOWER(D11)))),"YES","NO")</x:f>
        <x:v>NO</x:v>
      </x:c>
      <x:c r="H11" s="15" t="str">
        <x:f>IF(OR(E11="YES",F11="YES"),"PRIVATE_QUARANTINE",IF(G11="YES","PRIVATE_REVIEW","PUBLIC_CANDIDATE"))</x:f>
        <x:v>PUBLIC_CANDIDATE</x:v>
      </x:c>
      <x:c r="I11" s="15" t="str">
        <x:f>IF(H11="PUBLIC_CANDIDATE","TIDELOCK + Lucerna","Private Review Lane")</x:f>
        <x:v>TIDELOCK + Lucerna</x:v>
      </x:c>
      <x:c r="J11" s="15" t="str">
        <x:f>'Swarm Matrix'!A8</x:f>
        <x:v>SWARM-01-H01-S07</x:v>
      </x:c>
      <x:c r="K11" s="15" t="str">
        <x:v>candidate_scan</x:v>
      </x:c>
      <x:c r="L11" s="15" t="str">
        <x:f>IF(H11="PUBLIC_CANDIDATE","Add receipt/status before mirror","Do not publish; route to quarantine")</x:f>
        <x:v>Add receipt/status before mirror</x:v>
      </x:c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SCAN-008</x:v>
      </x:c>
      <x:c r="B12" s="15" t="str">
        <x:f>'Swarm Matrix'!A9</x:f>
        <x:v>SWARM-01-H01-S08</x:v>
      </x:c>
      <x:c r="C12" s="15" t="str">
        <x:f>'Swarm Matrix'!E9</x:f>
        <x:v>Sheldonbrain</x:v>
      </x:c>
      <x:c r="D12" s="15" t="str">
        <x:f>'Swarm Matrix'!F9&amp;" "&amp;'Swarm Matrix'!H9&amp;" "&amp;'Swarm Matrix'!I9&amp;" "&amp;'Swarm Matrix'!M9&amp;" "&amp;'Swarm Matrix'!N9&amp;" "&amp;'Swarm Matrix'!T9</x:f>
        <x:v>Inventory Sheldonbrain — Ledgerwake source path + receipt + raw/export status + claim/edge/risk delta packet/SWARM-01-H01-S08 candidate / staging-only / not canon / not deployed / authority none Dispatch to Ledgerwake: complete Source Inventory x Sheldonbrain; return deltas only, receipts required. Log first source path or blocker</x:v>
      </x:c>
      <x:c r="E12" s="15" t="str">
        <x:f>IF(OR(ISNUMBER(SEARCH("hacker",LOWER(D12))),ISNUMBER(SEARCH("hacking",LOWER(D12))),ISNUMBER(SEARCH(" hack",LOWER(D12)))),"YES","NO")</x:f>
        <x:v>NO</x:v>
      </x:c>
      <x:c r="F12" s="15" t="str">
        <x:f>IF(OR(ISNUMBER(SEARCH("bank",LOWER(D12))),ISNUMBER(SEARCH("banking",LOWER(D12))),ISNUMBER(SEARCH("banks",LOWER(D12)))),"YES","NO")</x:f>
        <x:v>NO</x:v>
      </x:c>
      <x:c r="G12" s="15" t="str">
        <x:f>IF(OR(ISNUMBER(SEARCH("treasury",LOWER(D12))),ISNUMBER(SEARCH("debt",LOWER(D12))),ISNUMBER(SEARCH("bond",LOWER(D12))),ISNUMBER(SEARCH("transaction",LOWER(D12)))),"YES","NO")</x:f>
        <x:v>NO</x:v>
      </x:c>
      <x:c r="H12" s="15" t="str">
        <x:f>IF(OR(E12="YES",F12="YES"),"PRIVATE_QUARANTINE",IF(G12="YES","PRIVATE_REVIEW","PUBLIC_CANDIDATE"))</x:f>
        <x:v>PUBLIC_CANDIDATE</x:v>
      </x:c>
      <x:c r="I12" s="15" t="str">
        <x:f>IF(H12="PUBLIC_CANDIDATE","TIDELOCK + Lucerna","Private Review Lane")</x:f>
        <x:v>TIDELOCK + Lucerna</x:v>
      </x:c>
      <x:c r="J12" s="15" t="str">
        <x:f>'Swarm Matrix'!A9</x:f>
        <x:v>SWARM-01-H01-S08</x:v>
      </x:c>
      <x:c r="K12" s="15" t="str">
        <x:v>candidate_scan</x:v>
      </x:c>
      <x:c r="L12" s="15" t="str">
        <x:f>IF(H12="PUBLIC_CANDIDATE","Add receipt/status before mirror","Do not publish; route to quarantine")</x:f>
        <x:v>Add receipt/status before mirror</x:v>
      </x:c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SCAN-009</x:v>
      </x:c>
      <x:c r="B13" s="15" t="str">
        <x:f>'Swarm Matrix'!A10</x:f>
        <x:v>SWARM-01-H01-S09</x:v>
      </x:c>
      <x:c r="C13" s="15" t="str">
        <x:f>'Swarm Matrix'!E10</x:f>
        <x:v>Aetherforge</x:v>
      </x:c>
      <x:c r="D13" s="15" t="str">
        <x:f>'Swarm Matrix'!F10&amp;" "&amp;'Swarm Matrix'!H10&amp;" "&amp;'Swarm Matrix'!I10&amp;" "&amp;'Swarm Matrix'!M10&amp;" "&amp;'Swarm Matrix'!N10&amp;" "&amp;'Swarm Matrix'!T10</x:f>
        <x:v>Inventory Aetherforge — Ledgerwake source path + receipt + raw/export status + claim/edge/risk delta packet/SWARM-01-H01-S09 candidate / staging-only / not canon / not deployed / authority none Dispatch to Ledgerwake: complete Source Inventory x Aetherforge; return deltas only, receipts required. Log first source path or blocker</x:v>
      </x:c>
      <x:c r="E13" s="15" t="str">
        <x:f>IF(OR(ISNUMBER(SEARCH("hacker",LOWER(D13))),ISNUMBER(SEARCH("hacking",LOWER(D13))),ISNUMBER(SEARCH(" hack",LOWER(D13)))),"YES","NO")</x:f>
        <x:v>NO</x:v>
      </x:c>
      <x:c r="F13" s="15" t="str">
        <x:f>IF(OR(ISNUMBER(SEARCH("bank",LOWER(D13))),ISNUMBER(SEARCH("banking",LOWER(D13))),ISNUMBER(SEARCH("banks",LOWER(D13)))),"YES","NO")</x:f>
        <x:v>NO</x:v>
      </x:c>
      <x:c r="G13" s="15" t="str">
        <x:f>IF(OR(ISNUMBER(SEARCH("treasury",LOWER(D13))),ISNUMBER(SEARCH("debt",LOWER(D13))),ISNUMBER(SEARCH("bond",LOWER(D13))),ISNUMBER(SEARCH("transaction",LOWER(D13)))),"YES","NO")</x:f>
        <x:v>NO</x:v>
      </x:c>
      <x:c r="H13" s="15" t="str">
        <x:f>IF(OR(E13="YES",F13="YES"),"PRIVATE_QUARANTINE",IF(G13="YES","PRIVATE_REVIEW","PUBLIC_CANDIDATE"))</x:f>
        <x:v>PUBLIC_CANDIDATE</x:v>
      </x:c>
      <x:c r="I13" s="15" t="str">
        <x:f>IF(H13="PUBLIC_CANDIDATE","TIDELOCK + Lucerna","Private Review Lane")</x:f>
        <x:v>TIDELOCK + Lucerna</x:v>
      </x:c>
      <x:c r="J13" s="15" t="str">
        <x:f>'Swarm Matrix'!A10</x:f>
        <x:v>SWARM-01-H01-S09</x:v>
      </x:c>
      <x:c r="K13" s="15" t="str">
        <x:v>candidate_scan</x:v>
      </x:c>
      <x:c r="L13" s="15" t="str">
        <x:f>IF(H13="PUBLIC_CANDIDATE","Add receipt/status before mirror","Do not publish; route to quarantine")</x:f>
        <x:v>Add receipt/status before mirror</x:v>
      </x:c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SCAN-010</x:v>
      </x:c>
      <x:c r="B14" s="15" t="str">
        <x:f>'Swarm Matrix'!A11</x:f>
        <x:v>SWARM-01-H01-S10</x:v>
      </x:c>
      <x:c r="C14" s="15" t="str">
        <x:f>'Swarm Matrix'!E11</x:f>
        <x:v>Human-Root</x:v>
      </x:c>
      <x:c r="D14" s="15" t="str">
        <x:f>'Swarm Matrix'!F11&amp;" "&amp;'Swarm Matrix'!H11&amp;" "&amp;'Swarm Matrix'!I11&amp;" "&amp;'Swarm Matrix'!M11&amp;" "&amp;'Swarm Matrix'!N11&amp;" "&amp;'Swarm Matrix'!T11</x:f>
        <x:v>Inventory Human-Root — Ledgerwake source path + receipt + raw/export status + claim/edge/risk delta packet/SWARM-01-H01-S10 candidate / staging-only / not canon / not deployed / authority none Dispatch to Ledgerwake: complete Source Inventory x Human-Root; return deltas only, receipts required. Log first source path or blocker</x:v>
      </x:c>
      <x:c r="E14" s="15" t="str">
        <x:f>IF(OR(ISNUMBER(SEARCH("hacker",LOWER(D14))),ISNUMBER(SEARCH("hacking",LOWER(D14))),ISNUMBER(SEARCH(" hack",LOWER(D14)))),"YES","NO")</x:f>
        <x:v>NO</x:v>
      </x:c>
      <x:c r="F14" s="15" t="str">
        <x:f>IF(OR(ISNUMBER(SEARCH("bank",LOWER(D14))),ISNUMBER(SEARCH("banking",LOWER(D14))),ISNUMBER(SEARCH("banks",LOWER(D14)))),"YES","NO")</x:f>
        <x:v>NO</x:v>
      </x:c>
      <x:c r="G14" s="15" t="str">
        <x:f>IF(OR(ISNUMBER(SEARCH("treasury",LOWER(D14))),ISNUMBER(SEARCH("debt",LOWER(D14))),ISNUMBER(SEARCH("bond",LOWER(D14))),ISNUMBER(SEARCH("transaction",LOWER(D14)))),"YES","NO")</x:f>
        <x:v>NO</x:v>
      </x:c>
      <x:c r="H14" s="15" t="str">
        <x:f>IF(OR(E14="YES",F14="YES"),"PRIVATE_QUARANTINE",IF(G14="YES","PRIVATE_REVIEW","PUBLIC_CANDIDATE"))</x:f>
        <x:v>PUBLIC_CANDIDATE</x:v>
      </x:c>
      <x:c r="I14" s="15" t="str">
        <x:f>IF(H14="PUBLIC_CANDIDATE","TIDELOCK + Lucerna","Private Review Lane")</x:f>
        <x:v>TIDELOCK + Lucerna</x:v>
      </x:c>
      <x:c r="J14" s="15" t="str">
        <x:f>'Swarm Matrix'!A11</x:f>
        <x:v>SWARM-01-H01-S10</x:v>
      </x:c>
      <x:c r="K14" s="15" t="str">
        <x:v>candidate_scan</x:v>
      </x:c>
      <x:c r="L14" s="15" t="str">
        <x:f>IF(H14="PUBLIC_CANDIDATE","Add receipt/status before mirror","Do not publish; route to quarantine")</x:f>
        <x:v>Add receipt/status before mirror</x:v>
      </x:c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SCAN-011</x:v>
      </x:c>
      <x:c r="B15" s="15" t="str">
        <x:f>'Swarm Matrix'!A12</x:f>
        <x:v>SWARM-01-H01-S11</x:v>
      </x:c>
      <x:c r="C15" s="15" t="str">
        <x:f>'Swarm Matrix'!E12</x:f>
        <x:v>Automation</x:v>
      </x:c>
      <x:c r="D15" s="15" t="str">
        <x:f>'Swarm Matrix'!F12&amp;" "&amp;'Swarm Matrix'!H12&amp;" "&amp;'Swarm Matrix'!I12&amp;" "&amp;'Swarm Matrix'!M12&amp;" "&amp;'Swarm Matrix'!N12&amp;" "&amp;'Swarm Matrix'!T12</x:f>
        <x:v>Inventory Automation — Ledgerwake source path + receipt + raw/export status + claim/edge/risk delta packet/SWARM-01-H01-S11 candidate / staging-only / not canon / not deployed / authority none Dispatch to Ledgerwake: complete Source Inventory x Automation; return deltas only, receipts required. Log first source path or blocker</x:v>
      </x:c>
      <x:c r="E15" s="15" t="str">
        <x:f>IF(OR(ISNUMBER(SEARCH("hacker",LOWER(D15))),ISNUMBER(SEARCH("hacking",LOWER(D15))),ISNUMBER(SEARCH(" hack",LOWER(D15)))),"YES","NO")</x:f>
        <x:v>NO</x:v>
      </x:c>
      <x:c r="F15" s="15" t="str">
        <x:f>IF(OR(ISNUMBER(SEARCH("bank",LOWER(D15))),ISNUMBER(SEARCH("banking",LOWER(D15))),ISNUMBER(SEARCH("banks",LOWER(D15)))),"YES","NO")</x:f>
        <x:v>NO</x:v>
      </x:c>
      <x:c r="G15" s="15" t="str">
        <x:f>IF(OR(ISNUMBER(SEARCH("treasury",LOWER(D15))),ISNUMBER(SEARCH("debt",LOWER(D15))),ISNUMBER(SEARCH("bond",LOWER(D15))),ISNUMBER(SEARCH("transaction",LOWER(D15)))),"YES","NO")</x:f>
        <x:v>NO</x:v>
      </x:c>
      <x:c r="H15" s="15" t="str">
        <x:f>IF(OR(E15="YES",F15="YES"),"PRIVATE_QUARANTINE",IF(G15="YES","PRIVATE_REVIEW","PUBLIC_CANDIDATE"))</x:f>
        <x:v>PUBLIC_CANDIDATE</x:v>
      </x:c>
      <x:c r="I15" s="15" t="str">
        <x:f>IF(H15="PUBLIC_CANDIDATE","TIDELOCK + Lucerna","Private Review Lane")</x:f>
        <x:v>TIDELOCK + Lucerna</x:v>
      </x:c>
      <x:c r="J15" s="15" t="str">
        <x:f>'Swarm Matrix'!A12</x:f>
        <x:v>SWARM-01-H01-S11</x:v>
      </x:c>
      <x:c r="K15" s="15" t="str">
        <x:v>candidate_scan</x:v>
      </x:c>
      <x:c r="L15" s="15" t="str">
        <x:f>IF(H15="PUBLIC_CANDIDATE","Add receipt/status before mirror","Do not publish; route to quarantine")</x:f>
        <x:v>Add receipt/status before mirror</x:v>
      </x:c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SCAN-012</x:v>
      </x:c>
      <x:c r="B16" s="15" t="str">
        <x:f>'Swarm Matrix'!A13</x:f>
        <x:v>SWARM-01-H01-S12</x:v>
      </x:c>
      <x:c r="C16" s="15" t="str">
        <x:f>'Swarm Matrix'!E13</x:f>
        <x:v>Risk / Safety</x:v>
      </x:c>
      <x:c r="D16" s="15" t="str">
        <x:f>'Swarm Matrix'!F13&amp;" "&amp;'Swarm Matrix'!H13&amp;" "&amp;'Swarm Matrix'!I13&amp;" "&amp;'Swarm Matrix'!M13&amp;" "&amp;'Swarm Matrix'!N13&amp;" "&amp;'Swarm Matrix'!T13</x:f>
        <x:v>Inventory Risk / Safety — Ledgerwake source path + receipt + raw/export status + claim/edge/risk delta packet/SWARM-01-H01-S12 candidate / staging-only / not canon / not deployed / authority none Dispatch to Ledgerwake: complete Source Inventory x Risk / Safety; return deltas only, receipts required. Log first source path or blocker</x:v>
      </x:c>
      <x:c r="E16" s="15" t="str">
        <x:f>IF(OR(ISNUMBER(SEARCH("hacker",LOWER(D16))),ISNUMBER(SEARCH("hacking",LOWER(D16))),ISNUMBER(SEARCH(" hack",LOWER(D16)))),"YES","NO")</x:f>
        <x:v>NO</x:v>
      </x:c>
      <x:c r="F16" s="15" t="str">
        <x:f>IF(OR(ISNUMBER(SEARCH("bank",LOWER(D16))),ISNUMBER(SEARCH("banking",LOWER(D16))),ISNUMBER(SEARCH("banks",LOWER(D16)))),"YES","NO")</x:f>
        <x:v>NO</x:v>
      </x:c>
      <x:c r="G16" s="15" t="str">
        <x:f>IF(OR(ISNUMBER(SEARCH("treasury",LOWER(D16))),ISNUMBER(SEARCH("debt",LOWER(D16))),ISNUMBER(SEARCH("bond",LOWER(D16))),ISNUMBER(SEARCH("transaction",LOWER(D16)))),"YES","NO")</x:f>
        <x:v>NO</x:v>
      </x:c>
      <x:c r="H16" s="15" t="str">
        <x:f>IF(OR(E16="YES",F16="YES"),"PRIVATE_QUARANTINE",IF(G16="YES","PRIVATE_REVIEW","PUBLIC_CANDIDATE"))</x:f>
        <x:v>PUBLIC_CANDIDATE</x:v>
      </x:c>
      <x:c r="I16" s="15" t="str">
        <x:f>IF(H16="PUBLIC_CANDIDATE","TIDELOCK + Lucerna","Private Review Lane")</x:f>
        <x:v>TIDELOCK + Lucerna</x:v>
      </x:c>
      <x:c r="J16" s="15" t="str">
        <x:f>'Swarm Matrix'!A13</x:f>
        <x:v>SWARM-01-H01-S12</x:v>
      </x:c>
      <x:c r="K16" s="15" t="str">
        <x:v>candidate_scan</x:v>
      </x:c>
      <x:c r="L16" s="15" t="str">
        <x:f>IF(H16="PUBLIC_CANDIDATE","Add receipt/status before mirror","Do not publish; route to quarantine")</x:f>
        <x:v>Add receipt/status before mirror</x:v>
      </x:c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SCAN-013</x:v>
      </x:c>
      <x:c r="B17" s="15" t="str">
        <x:f>'Swarm Matrix'!A14</x:f>
        <x:v>SWARM-01-H02-S01</x:v>
      </x:c>
      <x:c r="C17" s="15" t="str">
        <x:f>'Swarm Matrix'!E14</x:f>
        <x:v>Notion</x:v>
      </x:c>
      <x:c r="D17" s="15" t="str">
        <x:f>'Swarm Matrix'!F14&amp;" "&amp;'Swarm Matrix'!H14&amp;" "&amp;'Swarm Matrix'!I14&amp;" "&amp;'Swarm Matrix'!M14&amp;" "&amp;'Swarm Matrix'!N14&amp;" "&amp;'Swarm Matrix'!T14</x:f>
        <x:v>Verify receipts for Notion — Ledgerwake source path + receipt + raw/export status + claim/edge/risk delta packet/SWARM-01-H02-S01 candidate / staging-only / not canon / not deployed / authority none Dispatch to Ledgerwake: complete Receipt Verification x Notion; return deltas only, receipts required. Log first source path or blocker</x:v>
      </x:c>
      <x:c r="E17" s="15" t="str">
        <x:f>IF(OR(ISNUMBER(SEARCH("hacker",LOWER(D17))),ISNUMBER(SEARCH("hacking",LOWER(D17))),ISNUMBER(SEARCH(" hack",LOWER(D17)))),"YES","NO")</x:f>
        <x:v>NO</x:v>
      </x:c>
      <x:c r="F17" s="15" t="str">
        <x:f>IF(OR(ISNUMBER(SEARCH("bank",LOWER(D17))),ISNUMBER(SEARCH("banking",LOWER(D17))),ISNUMBER(SEARCH("banks",LOWER(D17)))),"YES","NO")</x:f>
        <x:v>NO</x:v>
      </x:c>
      <x:c r="G17" s="15" t="str">
        <x:f>IF(OR(ISNUMBER(SEARCH("treasury",LOWER(D17))),ISNUMBER(SEARCH("debt",LOWER(D17))),ISNUMBER(SEARCH("bond",LOWER(D17))),ISNUMBER(SEARCH("transaction",LOWER(D17)))),"YES","NO")</x:f>
        <x:v>NO</x:v>
      </x:c>
      <x:c r="H17" s="15" t="str">
        <x:f>IF(OR(E17="YES",F17="YES"),"PRIVATE_QUARANTINE",IF(G17="YES","PRIVATE_REVIEW","PUBLIC_CANDIDATE"))</x:f>
        <x:v>PUBLIC_CANDIDATE</x:v>
      </x:c>
      <x:c r="I17" s="15" t="str">
        <x:f>IF(H17="PUBLIC_CANDIDATE","TIDELOCK + Lucerna","Private Review Lane")</x:f>
        <x:v>TIDELOCK + Lucerna</x:v>
      </x:c>
      <x:c r="J17" s="15" t="str">
        <x:f>'Swarm Matrix'!A14</x:f>
        <x:v>SWARM-01-H02-S01</x:v>
      </x:c>
      <x:c r="K17" s="15" t="str">
        <x:v>candidate_scan</x:v>
      </x:c>
      <x:c r="L17" s="15" t="str">
        <x:f>IF(H17="PUBLIC_CANDIDATE","Add receipt/status before mirror","Do not publish; route to quarantine")</x:f>
        <x:v>Add receipt/status before mirror</x:v>
      </x:c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SCAN-014</x:v>
      </x:c>
      <x:c r="B18" s="15" t="str">
        <x:f>'Swarm Matrix'!A15</x:f>
        <x:v>SWARM-01-H02-S02</x:v>
      </x:c>
      <x:c r="C18" s="15" t="str">
        <x:f>'Swarm Matrix'!E15</x:f>
        <x:v>Drive</x:v>
      </x:c>
      <x:c r="D18" s="15" t="str">
        <x:f>'Swarm Matrix'!F15&amp;" "&amp;'Swarm Matrix'!H15&amp;" "&amp;'Swarm Matrix'!I15&amp;" "&amp;'Swarm Matrix'!M15&amp;" "&amp;'Swarm Matrix'!N15&amp;" "&amp;'Swarm Matrix'!T15</x:f>
        <x:v>Verify receipts for Drive — Ledgerwake source path + receipt + raw/export status + claim/edge/risk delta packet/SWARM-01-H02-S02 candidate / staging-only / not canon / not deployed / authority none Dispatch to Ledgerwake: complete Receipt Verification x Drive; return deltas only, receipts required. Log first source path or blocker</x:v>
      </x:c>
      <x:c r="E18" s="15" t="str">
        <x:f>IF(OR(ISNUMBER(SEARCH("hacker",LOWER(D18))),ISNUMBER(SEARCH("hacking",LOWER(D18))),ISNUMBER(SEARCH(" hack",LOWER(D18)))),"YES","NO")</x:f>
        <x:v>NO</x:v>
      </x:c>
      <x:c r="F18" s="15" t="str">
        <x:f>IF(OR(ISNUMBER(SEARCH("bank",LOWER(D18))),ISNUMBER(SEARCH("banking",LOWER(D18))),ISNUMBER(SEARCH("banks",LOWER(D18)))),"YES","NO")</x:f>
        <x:v>NO</x:v>
      </x:c>
      <x:c r="G18" s="15" t="str">
        <x:f>IF(OR(ISNUMBER(SEARCH("treasury",LOWER(D18))),ISNUMBER(SEARCH("debt",LOWER(D18))),ISNUMBER(SEARCH("bond",LOWER(D18))),ISNUMBER(SEARCH("transaction",LOWER(D18)))),"YES","NO")</x:f>
        <x:v>NO</x:v>
      </x:c>
      <x:c r="H18" s="15" t="str">
        <x:f>IF(OR(E18="YES",F18="YES"),"PRIVATE_QUARANTINE",IF(G18="YES","PRIVATE_REVIEW","PUBLIC_CANDIDATE"))</x:f>
        <x:v>PUBLIC_CANDIDATE</x:v>
      </x:c>
      <x:c r="I18" s="15" t="str">
        <x:f>IF(H18="PUBLIC_CANDIDATE","TIDELOCK + Lucerna","Private Review Lane")</x:f>
        <x:v>TIDELOCK + Lucerna</x:v>
      </x:c>
      <x:c r="J18" s="15" t="str">
        <x:f>'Swarm Matrix'!A15</x:f>
        <x:v>SWARM-01-H02-S02</x:v>
      </x:c>
      <x:c r="K18" s="15" t="str">
        <x:v>candidate_scan</x:v>
      </x:c>
      <x:c r="L18" s="15" t="str">
        <x:f>IF(H18="PUBLIC_CANDIDATE","Add receipt/status before mirror","Do not publish; route to quarantine")</x:f>
        <x:v>Add receipt/status before mirror</x:v>
      </x:c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SCAN-015</x:v>
      </x:c>
      <x:c r="B19" s="15" t="str">
        <x:f>'Swarm Matrix'!A16</x:f>
        <x:v>SWARM-01-H02-S03</x:v>
      </x:c>
      <x:c r="C19" s="15" t="str">
        <x:f>'Swarm Matrix'!E16</x:f>
        <x:v>GitHub</x:v>
      </x:c>
      <x:c r="D19" s="15" t="str">
        <x:f>'Swarm Matrix'!F16&amp;" "&amp;'Swarm Matrix'!H16&amp;" "&amp;'Swarm Matrix'!I16&amp;" "&amp;'Swarm Matrix'!M16&amp;" "&amp;'Swarm Matrix'!N16&amp;" "&amp;'Swarm Matrix'!T16</x:f>
        <x:v>Verify receipts for GitHub — Ledgerwake source path + receipt + raw/export status + claim/edge/risk delta packet/SWARM-01-H02-S03 candidate / staging-only / not canon / not deployed / authority none Dispatch to Ledgerwake: complete Receipt Verification x GitHub; return deltas only, receipts required. Log first source path or blocker</x:v>
      </x:c>
      <x:c r="E19" s="15" t="str">
        <x:f>IF(OR(ISNUMBER(SEARCH("hacker",LOWER(D19))),ISNUMBER(SEARCH("hacking",LOWER(D19))),ISNUMBER(SEARCH(" hack",LOWER(D19)))),"YES","NO")</x:f>
        <x:v>NO</x:v>
      </x:c>
      <x:c r="F19" s="15" t="str">
        <x:f>IF(OR(ISNUMBER(SEARCH("bank",LOWER(D19))),ISNUMBER(SEARCH("banking",LOWER(D19))),ISNUMBER(SEARCH("banks",LOWER(D19)))),"YES","NO")</x:f>
        <x:v>NO</x:v>
      </x:c>
      <x:c r="G19" s="15" t="str">
        <x:f>IF(OR(ISNUMBER(SEARCH("treasury",LOWER(D19))),ISNUMBER(SEARCH("debt",LOWER(D19))),ISNUMBER(SEARCH("bond",LOWER(D19))),ISNUMBER(SEARCH("transaction",LOWER(D19)))),"YES","NO")</x:f>
        <x:v>NO</x:v>
      </x:c>
      <x:c r="H19" s="15" t="str">
        <x:f>IF(OR(E19="YES",F19="YES"),"PRIVATE_QUARANTINE",IF(G19="YES","PRIVATE_REVIEW","PUBLIC_CANDIDATE"))</x:f>
        <x:v>PUBLIC_CANDIDATE</x:v>
      </x:c>
      <x:c r="I19" s="15" t="str">
        <x:f>IF(H19="PUBLIC_CANDIDATE","TIDELOCK + Lucerna","Private Review Lane")</x:f>
        <x:v>TIDELOCK + Lucerna</x:v>
      </x:c>
      <x:c r="J19" s="15" t="str">
        <x:f>'Swarm Matrix'!A16</x:f>
        <x:v>SWARM-01-H02-S03</x:v>
      </x:c>
      <x:c r="K19" s="15" t="str">
        <x:v>candidate_scan</x:v>
      </x:c>
      <x:c r="L19" s="15" t="str">
        <x:f>IF(H19="PUBLIC_CANDIDATE","Add receipt/status before mirror","Do not publish; route to quarantine")</x:f>
        <x:v>Add receipt/status before mirror</x:v>
      </x:c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SCAN-016</x:v>
      </x:c>
      <x:c r="B20" s="15" t="str">
        <x:f>'Swarm Matrix'!A17</x:f>
        <x:v>SWARM-01-H02-S04</x:v>
      </x:c>
      <x:c r="C20" s="15" t="str">
        <x:f>'Swarm Matrix'!E17</x:f>
        <x:v>Gamma</x:v>
      </x:c>
      <x:c r="D20" s="15" t="str">
        <x:f>'Swarm Matrix'!F17&amp;" "&amp;'Swarm Matrix'!H17&amp;" "&amp;'Swarm Matrix'!I17&amp;" "&amp;'Swarm Matrix'!M17&amp;" "&amp;'Swarm Matrix'!N17&amp;" "&amp;'Swarm Matrix'!T17</x:f>
        <x:v>Verify receipts for Gamma — Ledgerwake source path + receipt + raw/export status + claim/edge/risk delta packet/SWARM-01-H02-S04 candidate / staging-only / not canon / not deployed / authority none Dispatch to Ledgerwake: complete Receipt Verification x Gamma; return deltas only, receipts required. Log first source path or blocker</x:v>
      </x:c>
      <x:c r="E20" s="15" t="str">
        <x:f>IF(OR(ISNUMBER(SEARCH("hacker",LOWER(D20))),ISNUMBER(SEARCH("hacking",LOWER(D20))),ISNUMBER(SEARCH(" hack",LOWER(D20)))),"YES","NO")</x:f>
        <x:v>NO</x:v>
      </x:c>
      <x:c r="F20" s="15" t="str">
        <x:f>IF(OR(ISNUMBER(SEARCH("bank",LOWER(D20))),ISNUMBER(SEARCH("banking",LOWER(D20))),ISNUMBER(SEARCH("banks",LOWER(D20)))),"YES","NO")</x:f>
        <x:v>NO</x:v>
      </x:c>
      <x:c r="G20" s="15" t="str">
        <x:f>IF(OR(ISNUMBER(SEARCH("treasury",LOWER(D20))),ISNUMBER(SEARCH("debt",LOWER(D20))),ISNUMBER(SEARCH("bond",LOWER(D20))),ISNUMBER(SEARCH("transaction",LOWER(D20)))),"YES","NO")</x:f>
        <x:v>NO</x:v>
      </x:c>
      <x:c r="H20" s="15" t="str">
        <x:f>IF(OR(E20="YES",F20="YES"),"PRIVATE_QUARANTINE",IF(G20="YES","PRIVATE_REVIEW","PUBLIC_CANDIDATE"))</x:f>
        <x:v>PUBLIC_CANDIDATE</x:v>
      </x:c>
      <x:c r="I20" s="15" t="str">
        <x:f>IF(H20="PUBLIC_CANDIDATE","TIDELOCK + Lucerna","Private Review Lane")</x:f>
        <x:v>TIDELOCK + Lucerna</x:v>
      </x:c>
      <x:c r="J20" s="15" t="str">
        <x:f>'Swarm Matrix'!A17</x:f>
        <x:v>SWARM-01-H02-S04</x:v>
      </x:c>
      <x:c r="K20" s="15" t="str">
        <x:v>candidate_scan</x:v>
      </x:c>
      <x:c r="L20" s="15" t="str">
        <x:f>IF(H20="PUBLIC_CANDIDATE","Add receipt/status before mirror","Do not publish; route to quarantine")</x:f>
        <x:v>Add receipt/status before mirror</x:v>
      </x:c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SCAN-017</x:v>
      </x:c>
      <x:c r="B21" s="15" t="str">
        <x:f>'Swarm Matrix'!A18</x:f>
        <x:v>SWARM-01-H02-S05</x:v>
      </x:c>
      <x:c r="C21" s="15" t="str">
        <x:f>'Swarm Matrix'!E18</x:f>
        <x:v>Chat</x:v>
      </x:c>
      <x:c r="D21" s="15" t="str">
        <x:f>'Swarm Matrix'!F18&amp;" "&amp;'Swarm Matrix'!H18&amp;" "&amp;'Swarm Matrix'!I18&amp;" "&amp;'Swarm Matrix'!M18&amp;" "&amp;'Swarm Matrix'!N18&amp;" "&amp;'Swarm Matrix'!T18</x:f>
        <x:v>Verify receipts for Chat — Ledgerwake source path + receipt + raw/export status + claim/edge/risk delta packet/SWARM-01-H02-S05 candidate / staging-only / not canon / not deployed / authority none Dispatch to Ledgerwake: complete Receipt Verification x Chat; return deltas only, receipts required. Log first source path or blocker</x:v>
      </x:c>
      <x:c r="E21" s="15" t="str">
        <x:f>IF(OR(ISNUMBER(SEARCH("hacker",LOWER(D21))),ISNUMBER(SEARCH("hacking",LOWER(D21))),ISNUMBER(SEARCH(" hack",LOWER(D21)))),"YES","NO")</x:f>
        <x:v>NO</x:v>
      </x:c>
      <x:c r="F21" s="15" t="str">
        <x:f>IF(OR(ISNUMBER(SEARCH("bank",LOWER(D21))),ISNUMBER(SEARCH("banking",LOWER(D21))),ISNUMBER(SEARCH("banks",LOWER(D21)))),"YES","NO")</x:f>
        <x:v>NO</x:v>
      </x:c>
      <x:c r="G21" s="15" t="str">
        <x:f>IF(OR(ISNUMBER(SEARCH("treasury",LOWER(D21))),ISNUMBER(SEARCH("debt",LOWER(D21))),ISNUMBER(SEARCH("bond",LOWER(D21))),ISNUMBER(SEARCH("transaction",LOWER(D21)))),"YES","NO")</x:f>
        <x:v>NO</x:v>
      </x:c>
      <x:c r="H21" s="15" t="str">
        <x:f>IF(OR(E21="YES",F21="YES"),"PRIVATE_QUARANTINE",IF(G21="YES","PRIVATE_REVIEW","PUBLIC_CANDIDATE"))</x:f>
        <x:v>PUBLIC_CANDIDATE</x:v>
      </x:c>
      <x:c r="I21" s="15" t="str">
        <x:f>IF(H21="PUBLIC_CANDIDATE","TIDELOCK + Lucerna","Private Review Lane")</x:f>
        <x:v>TIDELOCK + Lucerna</x:v>
      </x:c>
      <x:c r="J21" s="15" t="str">
        <x:f>'Swarm Matrix'!A18</x:f>
        <x:v>SWARM-01-H02-S05</x:v>
      </x:c>
      <x:c r="K21" s="15" t="str">
        <x:v>candidate_scan</x:v>
      </x:c>
      <x:c r="L21" s="15" t="str">
        <x:f>IF(H21="PUBLIC_CANDIDATE","Add receipt/status before mirror","Do not publish; route to quarantine")</x:f>
        <x:v>Add receipt/status before mirror</x:v>
      </x:c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SCAN-018</x:v>
      </x:c>
      <x:c r="B22" s="15" t="str">
        <x:f>'Swarm Matrix'!A19</x:f>
        <x:v>SWARM-01-H02-S06</x:v>
      </x:c>
      <x:c r="C22" s="15" t="str">
        <x:f>'Swarm Matrix'!E19</x:f>
        <x:v>External Web</x:v>
      </x:c>
      <x:c r="D22" s="15" t="str">
        <x:f>'Swarm Matrix'!F19&amp;" "&amp;'Swarm Matrix'!H19&amp;" "&amp;'Swarm Matrix'!I19&amp;" "&amp;'Swarm Matrix'!M19&amp;" "&amp;'Swarm Matrix'!N19&amp;" "&amp;'Swarm Matrix'!T19</x:f>
        <x:v>Verify receipts for External Web — Ledgerwake source path + receipt + raw/export status + claim/edge/risk delta packet/SWARM-01-H02-S06 candidate / staging-only / not canon / not deployed / authority none Dispatch to Ledgerwake: complete Receipt Verification x External Web; return deltas only, receipts required. Log first source path or blocker</x:v>
      </x:c>
      <x:c r="E22" s="15" t="str">
        <x:f>IF(OR(ISNUMBER(SEARCH("hacker",LOWER(D22))),ISNUMBER(SEARCH("hacking",LOWER(D22))),ISNUMBER(SEARCH(" hack",LOWER(D22)))),"YES","NO")</x:f>
        <x:v>NO</x:v>
      </x:c>
      <x:c r="F22" s="15" t="str">
        <x:f>IF(OR(ISNUMBER(SEARCH("bank",LOWER(D22))),ISNUMBER(SEARCH("banking",LOWER(D22))),ISNUMBER(SEARCH("banks",LOWER(D22)))),"YES","NO")</x:f>
        <x:v>NO</x:v>
      </x:c>
      <x:c r="G22" s="15" t="str">
        <x:f>IF(OR(ISNUMBER(SEARCH("treasury",LOWER(D22))),ISNUMBER(SEARCH("debt",LOWER(D22))),ISNUMBER(SEARCH("bond",LOWER(D22))),ISNUMBER(SEARCH("transaction",LOWER(D22)))),"YES","NO")</x:f>
        <x:v>NO</x:v>
      </x:c>
      <x:c r="H22" s="15" t="str">
        <x:f>IF(OR(E22="YES",F22="YES"),"PRIVATE_QUARANTINE",IF(G22="YES","PRIVATE_REVIEW","PUBLIC_CANDIDATE"))</x:f>
        <x:v>PUBLIC_CANDIDATE</x:v>
      </x:c>
      <x:c r="I22" s="15" t="str">
        <x:f>IF(H22="PUBLIC_CANDIDATE","TIDELOCK + Lucerna","Private Review Lane")</x:f>
        <x:v>TIDELOCK + Lucerna</x:v>
      </x:c>
      <x:c r="J22" s="15" t="str">
        <x:f>'Swarm Matrix'!A19</x:f>
        <x:v>SWARM-01-H02-S06</x:v>
      </x:c>
      <x:c r="K22" s="15" t="str">
        <x:v>candidate_scan</x:v>
      </x:c>
      <x:c r="L22" s="15" t="str">
        <x:f>IF(H22="PUBLIC_CANDIDATE","Add receipt/status before mirror","Do not publish; route to quarantine")</x:f>
        <x:v>Add receipt/status before mirror</x:v>
      </x:c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 t="str">
        <x:v>SCAN-019</x:v>
      </x:c>
      <x:c r="B23" s="15" t="str">
        <x:f>'Swarm Matrix'!A20</x:f>
        <x:v>SWARM-01-H02-S07</x:v>
      </x:c>
      <x:c r="C23" s="15" t="str">
        <x:f>'Swarm Matrix'!E20</x:f>
        <x:v>Planetarium</x:v>
      </x:c>
      <x:c r="D23" s="15" t="str">
        <x:f>'Swarm Matrix'!F20&amp;" "&amp;'Swarm Matrix'!H20&amp;" "&amp;'Swarm Matrix'!I20&amp;" "&amp;'Swarm Matrix'!M20&amp;" "&amp;'Swarm Matrix'!N20&amp;" "&amp;'Swarm Matrix'!T20</x:f>
        <x:v>Verify receipts for Planetarium — Ledgerwake source path + receipt + raw/export status + claim/edge/risk delta packet/SWARM-01-H02-S07 candidate / staging-only / not canon / not deployed / authority none Dispatch to Ledgerwake: complete Receipt Verification x Planetarium; return deltas only, receipts required. Log first source path or blocker</x:v>
      </x:c>
      <x:c r="E23" s="15" t="str">
        <x:f>IF(OR(ISNUMBER(SEARCH("hacker",LOWER(D23))),ISNUMBER(SEARCH("hacking",LOWER(D23))),ISNUMBER(SEARCH(" hack",LOWER(D23)))),"YES","NO")</x:f>
        <x:v>NO</x:v>
      </x:c>
      <x:c r="F23" s="15" t="str">
        <x:f>IF(OR(ISNUMBER(SEARCH("bank",LOWER(D23))),ISNUMBER(SEARCH("banking",LOWER(D23))),ISNUMBER(SEARCH("banks",LOWER(D23)))),"YES","NO")</x:f>
        <x:v>NO</x:v>
      </x:c>
      <x:c r="G23" s="15" t="str">
        <x:f>IF(OR(ISNUMBER(SEARCH("treasury",LOWER(D23))),ISNUMBER(SEARCH("debt",LOWER(D23))),ISNUMBER(SEARCH("bond",LOWER(D23))),ISNUMBER(SEARCH("transaction",LOWER(D23)))),"YES","NO")</x:f>
        <x:v>NO</x:v>
      </x:c>
      <x:c r="H23" s="15" t="str">
        <x:f>IF(OR(E23="YES",F23="YES"),"PRIVATE_QUARANTINE",IF(G23="YES","PRIVATE_REVIEW","PUBLIC_CANDIDATE"))</x:f>
        <x:v>PUBLIC_CANDIDATE</x:v>
      </x:c>
      <x:c r="I23" s="15" t="str">
        <x:f>IF(H23="PUBLIC_CANDIDATE","TIDELOCK + Lucerna","Private Review Lane")</x:f>
        <x:v>TIDELOCK + Lucerna</x:v>
      </x:c>
      <x:c r="J23" s="15" t="str">
        <x:f>'Swarm Matrix'!A20</x:f>
        <x:v>SWARM-01-H02-S07</x:v>
      </x:c>
      <x:c r="K23" s="15" t="str">
        <x:v>candidate_scan</x:v>
      </x:c>
      <x:c r="L23" s="15" t="str">
        <x:f>IF(H23="PUBLIC_CANDIDATE","Add receipt/status before mirror","Do not publish; route to quarantine")</x:f>
        <x:v>Add receipt/status before mirror</x:v>
      </x:c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 t="str">
        <x:v>SCAN-020</x:v>
      </x:c>
      <x:c r="B24" s="15" t="str">
        <x:f>'Swarm Matrix'!A21</x:f>
        <x:v>SWARM-01-H02-S08</x:v>
      </x:c>
      <x:c r="C24" s="15" t="str">
        <x:f>'Swarm Matrix'!E21</x:f>
        <x:v>Sheldonbrain</x:v>
      </x:c>
      <x:c r="D24" s="15" t="str">
        <x:f>'Swarm Matrix'!F21&amp;" "&amp;'Swarm Matrix'!H21&amp;" "&amp;'Swarm Matrix'!I21&amp;" "&amp;'Swarm Matrix'!M21&amp;" "&amp;'Swarm Matrix'!N21&amp;" "&amp;'Swarm Matrix'!T21</x:f>
        <x:v>Verify receipts for Sheldonbrain — Ledgerwake source path + receipt + raw/export status + claim/edge/risk delta packet/SWARM-01-H02-S08 candidate / staging-only / not canon / not deployed / authority none Dispatch to Ledgerwake: complete Receipt Verification x Sheldonbrain; return deltas only, receipts required. Log first source path or blocker</x:v>
      </x:c>
      <x:c r="E24" s="15" t="str">
        <x:f>IF(OR(ISNUMBER(SEARCH("hacker",LOWER(D24))),ISNUMBER(SEARCH("hacking",LOWER(D24))),ISNUMBER(SEARCH(" hack",LOWER(D24)))),"YES","NO")</x:f>
        <x:v>NO</x:v>
      </x:c>
      <x:c r="F24" s="15" t="str">
        <x:f>IF(OR(ISNUMBER(SEARCH("bank",LOWER(D24))),ISNUMBER(SEARCH("banking",LOWER(D24))),ISNUMBER(SEARCH("banks",LOWER(D24)))),"YES","NO")</x:f>
        <x:v>NO</x:v>
      </x:c>
      <x:c r="G24" s="15" t="str">
        <x:f>IF(OR(ISNUMBER(SEARCH("treasury",LOWER(D24))),ISNUMBER(SEARCH("debt",LOWER(D24))),ISNUMBER(SEARCH("bond",LOWER(D24))),ISNUMBER(SEARCH("transaction",LOWER(D24)))),"YES","NO")</x:f>
        <x:v>NO</x:v>
      </x:c>
      <x:c r="H24" s="15" t="str">
        <x:f>IF(OR(E24="YES",F24="YES"),"PRIVATE_QUARANTINE",IF(G24="YES","PRIVATE_REVIEW","PUBLIC_CANDIDATE"))</x:f>
        <x:v>PUBLIC_CANDIDATE</x:v>
      </x:c>
      <x:c r="I24" s="15" t="str">
        <x:f>IF(H24="PUBLIC_CANDIDATE","TIDELOCK + Lucerna","Private Review Lane")</x:f>
        <x:v>TIDELOCK + Lucerna</x:v>
      </x:c>
      <x:c r="J24" s="15" t="str">
        <x:f>'Swarm Matrix'!A21</x:f>
        <x:v>SWARM-01-H02-S08</x:v>
      </x:c>
      <x:c r="K24" s="15" t="str">
        <x:v>candidate_scan</x:v>
      </x:c>
      <x:c r="L24" s="15" t="str">
        <x:f>IF(H24="PUBLIC_CANDIDATE","Add receipt/status before mirror","Do not publish; route to quarantine")</x:f>
        <x:v>Add receipt/status before mirror</x:v>
      </x:c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52" t="str">
        <x:v>World-Class Git Sprint — Public Repo Execution Plan v0.5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>
      <x:c r="A2" s="250" t="str">
        <x:v>GOAL: 100% PUBLIC SAFE GIT</x:v>
      </x:c>
      <x:c r="B2" s="250" t="str">
        <x:v>PRIVATE QUARANTINE FOR HACKER/BANK MATERIAL</x:v>
      </x:c>
      <x:c r="C2" s="250" t="str">
        <x:v>CANON: NO</x:v>
      </x:c>
      <x:c r="D2" s="250" t="str">
        <x:v>DEPLOYMENT: NO</x:v>
      </x:c>
      <x:c r="E2" s="250" t="str">
        <x:v>AUTHORITY: NONE</x:v>
      </x:c>
      <x:c r="F2" s="15" t="str"/>
      <x:c r="G2" s="15" t="str"/>
      <x:c r="H2" s="15" t="str"/>
      <x:c r="I2" s="15" t="str"/>
      <x:c r="J2" s="15" t="str"/>
      <x:c r="K2" s="15" t="str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253" t="str">
        <x:v>sprint_id</x:v>
      </x:c>
      <x:c r="B4" s="253" t="str">
        <x:v>phase</x:v>
      </x:c>
      <x:c r="C4" s="253" t="str">
        <x:v>objective</x:v>
      </x:c>
      <x:c r="D4" s="253" t="str">
        <x:v>deliverable</x:v>
      </x:c>
      <x:c r="E4" s="253" t="str">
        <x:v>owner_lane</x:v>
      </x:c>
      <x:c r="F4" s="253" t="str">
        <x:v>entry_gate</x:v>
      </x:c>
      <x:c r="G4" s="253" t="str">
        <x:v>exit_gate</x:v>
      </x:c>
      <x:c r="H4" s="253" t="str">
        <x:v>risk</x:v>
      </x:c>
      <x:c r="I4" s="253" t="str">
        <x:v>control</x:v>
      </x:c>
      <x:c r="J4" s="253" t="str">
        <x:v>status</x:v>
      </x:c>
      <x:c r="K4" s="253" t="str">
        <x:v>next_safe_action</x:v>
      </x:c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GIT-001</x:v>
      </x:c>
      <x:c r="B5" s="15" t="str">
        <x:v>Initialize public shelf</x:v>
      </x:c>
      <x:c r="C5" s="15" t="str">
        <x:v>Create repo README and boundary language</x:v>
      </x:c>
      <x:c r="D5" s="15" t="str">
        <x:v>README.md</x:v>
      </x:c>
      <x:c r="E5" s="15" t="str">
        <x:v>TIDELOCK + Lucerna</x:v>
      </x:c>
      <x:c r="F5" s="15" t="str">
        <x:v>Release Rules exist</x:v>
      </x:c>
      <x:c r="G5" s="15" t="str">
        <x:v>README includes no-canon/no-deploy/no-authority</x:v>
      </x:c>
      <x:c r="H5" s="15" t="str">
        <x:v>overclaim</x:v>
      </x:c>
      <x:c r="I5" s="15" t="str">
        <x:v>boundary copy</x:v>
      </x:c>
      <x:c r="J5" s="15" t="str">
        <x:v>queued</x:v>
      </x:c>
      <x:c r="K5" s="15" t="str">
        <x:v>Draft README from release gates</x:v>
      </x:c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GIT-002</x:v>
      </x:c>
      <x:c r="B6" s="15" t="str">
        <x:v>Export source inventory</x:v>
      </x:c>
      <x:c r="C6" s="15" t="str">
        <x:v>Mirror safe source inventory to GitHub</x:v>
      </x:c>
      <x:c r="D6" s="15" t="str">
        <x:v>KG_SOURCE_INVENTORY yaml/csv</x:v>
      </x:c>
      <x:c r="E6" s="15" t="str">
        <x:v>Hashlight</x:v>
      </x:c>
      <x:c r="F6" s="15" t="str">
        <x:v>raw_export_status columns exist</x:v>
      </x:c>
      <x:c r="G6" s="15" t="str">
        <x:v>public-safe inventory committed</x:v>
      </x:c>
      <x:c r="H6" s="15" t="str">
        <x:v>false completeness</x:v>
      </x:c>
      <x:c r="I6" s="15" t="str">
        <x:v>status fields</x:v>
      </x:c>
      <x:c r="J6" s="15" t="str">
        <x:v>queued</x:v>
      </x:c>
      <x:c r="K6" s="15" t="str">
        <x:v>Export first snapshot</x:v>
      </x:c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GIT-003</x:v>
      </x:c>
      <x:c r="B7" s="15" t="str">
        <x:v>Export graph schemas</x:v>
      </x:c>
      <x:c r="C7" s="15" t="str">
        <x:v>Create node/edge/raw manifest schemas</x:v>
      </x:c>
      <x:c r="D7" s="15" t="str">
        <x:v>schemas/*.yaml</x:v>
      </x:c>
      <x:c r="E7" s="15" t="str">
        <x:v>GPTBrain</x:v>
      </x:c>
      <x:c r="F7" s="15" t="str">
        <x:v>schema candidates exist</x:v>
      </x:c>
      <x:c r="G7" s="15" t="str">
        <x:v>schemas lint conceptually</x:v>
      </x:c>
      <x:c r="H7" s="15" t="str">
        <x:v>schema drift</x:v>
      </x:c>
      <x:c r="I7" s="15" t="str">
        <x:v>minimal fields only</x:v>
      </x:c>
      <x:c r="J7" s="15" t="str">
        <x:v>queued</x:v>
      </x:c>
      <x:c r="K7" s="15" t="str">
        <x:v>Create stubs</x:v>
      </x:c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GIT-004</x:v>
      </x:c>
      <x:c r="B8" s="15" t="str">
        <x:v>Export eval games</x:v>
      </x:c>
      <x:c r="C8" s="15" t="str">
        <x:v>Publish first eight archive games</x:v>
      </x:c>
      <x:c r="D8" s="15" t="str">
        <x:v>archive/evals/gptdreampp/*.yaml</x:v>
      </x:c>
      <x:c r="E8" s="15" t="str">
        <x:v>Grok + GPTBrain</x:v>
      </x:c>
      <x:c r="F8" s="15" t="str">
        <x:v>Eval Games sheet exists</x:v>
      </x:c>
      <x:c r="G8" s="15" t="str">
        <x:v>games have win conditions + boundaries</x:v>
      </x:c>
      <x:c r="H8" s="15" t="str">
        <x:v>game mistaken for benchmark</x:v>
      </x:c>
      <x:c r="I8" s="15" t="str">
        <x:v>candidate harness stamp</x:v>
      </x:c>
      <x:c r="J8" s="15" t="str">
        <x:v>queued</x:v>
      </x:c>
      <x:c r="K8" s="15" t="str">
        <x:v>Export game definitions</x:v>
      </x:c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GIT-005</x:v>
      </x:c>
      <x:c r="B9" s="15" t="str">
        <x:v>Create private quarantine policy</x:v>
      </x:c>
      <x:c r="C9" s="15" t="str">
        <x:v>Document what stays private</x:v>
      </x:c>
      <x:c r="D9" s="15" t="str">
        <x:v>PRIVATE_QUARANTINE_POLICY.md</x:v>
      </x:c>
      <x:c r="E9" s="15" t="str">
        <x:v>Lucerna + Rootglass</x:v>
      </x:c>
      <x:c r="F9" s="15" t="str">
        <x:v>Release Rules exist</x:v>
      </x:c>
      <x:c r="G9" s="15" t="str">
        <x:v>policy clear without leaking sensitive rows</x:v>
      </x:c>
      <x:c r="H9" s="15" t="str">
        <x:v>leakage</x:v>
      </x:c>
      <x:c r="I9" s="15" t="str">
        <x:v>redacted examples</x:v>
      </x:c>
      <x:c r="J9" s="15" t="str">
        <x:v>queued</x:v>
      </x:c>
      <x:c r="K9" s="15" t="str">
        <x:v>Mirror policy only</x:v>
      </x:c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GIT-006</x:v>
      </x:c>
      <x:c r="B10" s="15" t="str">
        <x:v>Build public mirror backlog</x:v>
      </x:c>
      <x:c r="C10" s="15" t="str">
        <x:v>List public candidates with target paths</x:v>
      </x:c>
      <x:c r="D10" s="15" t="str">
        <x:v>PUBLIC_MIRROR_BACKLOG.md</x:v>
      </x:c>
      <x:c r="E10" s="15" t="str">
        <x:v>GitShelf</x:v>
      </x:c>
      <x:c r="F10" s="15" t="str">
        <x:v>GitHub Public Queue exists</x:v>
      </x:c>
      <x:c r="G10" s="15" t="str">
        <x:v>backlog rows map to target paths</x:v>
      </x:c>
      <x:c r="H10" s="15" t="str">
        <x:v>bad paths</x:v>
      </x:c>
      <x:c r="I10" s="15" t="str">
        <x:v>path gate</x:v>
      </x:c>
      <x:c r="J10" s="15" t="str">
        <x:v>queued</x:v>
      </x:c>
      <x:c r="K10" s="15" t="str">
        <x:v>Generate backlog</x:v>
      </x:c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GIT-007</x:v>
      </x:c>
      <x:c r="B11" s="15" t="str">
        <x:v>Add CI-style validators</x:v>
      </x:c>
      <x:c r="C11" s="15" t="str">
        <x:v>No canon/deployment/authority checks</x:v>
      </x:c>
      <x:c r="D11" s="15" t="str">
        <x:v>scripts/check_boundaries.py</x:v>
      </x:c>
      <x:c r="E11" s="15" t="str">
        <x:v>Copilot + TIDELOCK</x:v>
      </x:c>
      <x:c r="F11" s="15" t="str">
        <x:v>schemas exist</x:v>
      </x:c>
      <x:c r="G11" s="15" t="str">
        <x:v>validator catches banned overclaims</x:v>
      </x:c>
      <x:c r="H11" s="15" t="str">
        <x:v>false pass</x:v>
      </x:c>
      <x:c r="I11" s="15" t="str">
        <x:v>fixture tests</x:v>
      </x:c>
      <x:c r="J11" s="15" t="str">
        <x:v>queued</x:v>
      </x:c>
      <x:c r="K11" s="15" t="str">
        <x:v>Draft simple validators</x:v>
      </x:c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GIT-008</x:v>
      </x:c>
      <x:c r="B12" s="15" t="str">
        <x:v>Add quarantine scanner</x:v>
      </x:c>
      <x:c r="C12" s="15" t="str">
        <x:v>Check hacker/bank/private triggers before mirror</x:v>
      </x:c>
      <x:c r="D12" s="15" t="str">
        <x:v>scripts/check_quarantine_terms.py</x:v>
      </x:c>
      <x:c r="E12" s="15" t="str">
        <x:v>Copilot + Lucerna</x:v>
      </x:c>
      <x:c r="F12" s="15" t="str">
        <x:v>trigger policy exists</x:v>
      </x:c>
      <x:c r="G12" s="15" t="str">
        <x:v>scanner flags hard triggers</x:v>
      </x:c>
      <x:c r="H12" s="15" t="str">
        <x:v>missed private material</x:v>
      </x:c>
      <x:c r="I12" s="15" t="str">
        <x:v>hard-word scan</x:v>
      </x:c>
      <x:c r="J12" s="15" t="str">
        <x:v>queued</x:v>
      </x:c>
      <x:c r="K12" s="15" t="str">
        <x:v>Draft simple scanner</x:v>
      </x:c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GIT-009</x:v>
      </x:c>
      <x:c r="B13" s="15" t="str">
        <x:v>Add OpenAI gift frame docs</x:v>
      </x:c>
      <x:c r="C13" s="15" t="str">
        <x:v>Public candidate gift framing</x:v>
      </x:c>
      <x:c r="D13" s="15" t="str">
        <x:v>archive/aetherforge/gptdreampp-openai/README.md</x:v>
      </x:c>
      <x:c r="E13" s="15" t="str">
        <x:v>GPTBrain + Lucerna</x:v>
      </x:c>
      <x:c r="F13" s="15" t="str">
        <x:v>OpenAI Benefit Lane exists</x:v>
      </x:c>
      <x:c r="G13" s="15" t="str">
        <x:v>no official OpenAI claim</x:v>
      </x:c>
      <x:c r="H13" s="15" t="str">
        <x:v>vendor overclaim</x:v>
      </x:c>
      <x:c r="I13" s="15" t="str">
        <x:v>official claim none</x:v>
      </x:c>
      <x:c r="J13" s="15" t="str">
        <x:v>queued</x:v>
      </x:c>
      <x:c r="K13" s="15" t="str">
        <x:v>Draft docs</x:v>
      </x:c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GIT-010</x:v>
      </x:c>
      <x:c r="B14" s="15" t="str">
        <x:v>Add archive health snapshot</x:v>
      </x:c>
      <x:c r="C14" s="15" t="str">
        <x:v>Public dashboard markdown</x:v>
      </x:c>
      <x:c r="D14" s="15" t="str">
        <x:v>archive/ops/archive_health/</x:v>
      </x:c>
      <x:c r="E14" s="15" t="str">
        <x:v>Rootglass</x:v>
      </x:c>
      <x:c r="F14" s="15" t="str">
        <x:v>Archive HUD exists</x:v>
      </x:c>
      <x:c r="G14" s="15" t="str">
        <x:v>snapshot has counts and boundaries</x:v>
      </x:c>
      <x:c r="H14" s="15" t="str">
        <x:v>metric as truth</x:v>
      </x:c>
      <x:c r="I14" s="15" t="str">
        <x:v>review pressure language</x:v>
      </x:c>
      <x:c r="J14" s="15" t="str">
        <x:v>queued</x:v>
      </x:c>
      <x:c r="K14" s="15" t="str">
        <x:v>Export dashboard snapshot</x:v>
      </x:c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GIT-011</x:v>
      </x:c>
      <x:c r="B15" s="15" t="str">
        <x:v>Preserve dreamstates</x:v>
      </x:c>
      <x:c r="C15" s="15" t="str">
        <x:v>Public play/dream archive with fence</x:v>
      </x:c>
      <x:c r="D15" s="15" t="str">
        <x:v>archive/games/aetherforge/</x:v>
      </x:c>
      <x:c r="E15" s="15" t="str">
        <x:v>Fossilbranch + JoySignal</x:v>
      </x:c>
      <x:c r="F15" s="15" t="str">
        <x:v>dream delta docs exist</x:v>
      </x:c>
      <x:c r="G15" s="15" t="str">
        <x:v>candidate-only labels applied</x:v>
      </x:c>
      <x:c r="H15" s="15" t="str">
        <x:v>dream as deployment</x:v>
      </x:c>
      <x:c r="I15" s="15" t="str">
        <x:v>dream boundary</x:v>
      </x:c>
      <x:c r="J15" s="15" t="str">
        <x:v>queued</x:v>
      </x:c>
      <x:c r="K15" s="15" t="str">
        <x:v>Mirror candidate deltas</x:v>
      </x:c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GIT-012</x:v>
      </x:c>
      <x:c r="B16" s="15" t="str">
        <x:v>First release tag</x:v>
      </x:c>
      <x:c r="C16" s="15" t="str">
        <x:v>Tag v0.1 public shelf candidate</x:v>
      </x:c>
      <x:c r="D16" s="15" t="str">
        <x:v>git tag v0.1-candidate</x:v>
      </x:c>
      <x:c r="E16" s="15" t="str">
        <x:v>Human-root + TIDELOCK</x:v>
      </x:c>
      <x:c r="F16" s="15" t="str">
        <x:v>public mirror passes gates</x:v>
      </x:c>
      <x:c r="G16" s="15" t="str">
        <x:v>release notes say candidate only</x:v>
      </x:c>
      <x:c r="H16" s="15" t="str">
        <x:v>release as canon</x:v>
      </x:c>
      <x:c r="I16" s="15" t="str">
        <x:v>release boundary</x:v>
      </x:c>
      <x:c r="J16" s="15" t="str">
        <x:v>blocked</x:v>
      </x:c>
      <x:c r="K16" s="15" t="str">
        <x:v>Only after checks pass</x:v>
      </x:c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s="15"/>
      <x:c r="B201" s="15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15"/>
      <x:c r="V201" s="15"/>
      <x:c r="W201" s="15"/>
      <x:c r="X201" s="15"/>
      <x:c r="Y201" s="15"/>
      <x:c r="Z201" s="15"/>
    </x:row>
    <x:row r="202">
      <x:c r="A202" s="15"/>
      <x:c r="B202" s="15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15"/>
      <x:c r="V202" s="15"/>
      <x:c r="W202" s="15"/>
      <x:c r="X202" s="15"/>
      <x:c r="Y202" s="15"/>
      <x:c r="Z202" s="15"/>
    </x:row>
    <x:row r="203">
      <x:c r="A203" s="15"/>
      <x:c r="B203" s="15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15"/>
      <x:c r="V203" s="15"/>
      <x:c r="W203" s="15"/>
      <x:c r="X203" s="15"/>
      <x:c r="Y203" s="15"/>
      <x:c r="Z203" s="15"/>
    </x:row>
    <x:row r="204">
      <x:c r="A204" s="15"/>
      <x:c r="B204" s="15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15"/>
      <x:c r="V204" s="15"/>
      <x:c r="W204" s="15"/>
      <x:c r="X204" s="15"/>
      <x:c r="Y204" s="15"/>
      <x:c r="Z204" s="15"/>
    </x:row>
    <x:row r="205">
      <x:c r="A205" s="15"/>
      <x:c r="B205" s="15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15"/>
      <x:c r="V205" s="15"/>
      <x:c r="W205" s="15"/>
      <x:c r="X205" s="15"/>
      <x:c r="Y205" s="15"/>
      <x:c r="Z205" s="15"/>
    </x:row>
    <x:row r="206">
      <x:c r="A206" s="15"/>
      <x:c r="B206" s="15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15"/>
      <x:c r="V206" s="15"/>
      <x:c r="W206" s="15"/>
      <x:c r="X206" s="15"/>
      <x:c r="Y206" s="15"/>
      <x:c r="Z206" s="15"/>
    </x:row>
    <x:row r="207">
      <x:c r="A207" s="15"/>
      <x:c r="B207" s="15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15"/>
      <x:c r="V207" s="15"/>
      <x:c r="W207" s="15"/>
      <x:c r="X207" s="15"/>
      <x:c r="Y207" s="15"/>
      <x:c r="Z207" s="15"/>
    </x:row>
    <x:row r="208">
      <x:c r="A208" s="15"/>
      <x:c r="B208" s="15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15"/>
      <x:c r="V208" s="15"/>
      <x:c r="W208" s="15"/>
      <x:c r="X208" s="15"/>
      <x:c r="Y208" s="15"/>
      <x:c r="Z208" s="15"/>
    </x:row>
    <x:row r="209">
      <x:c r="A209" s="15"/>
      <x:c r="B209" s="15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15"/>
      <x:c r="V209" s="15"/>
      <x:c r="W209" s="15"/>
      <x:c r="X209" s="15"/>
      <x:c r="Y209" s="15"/>
      <x:c r="Z209" s="15"/>
    </x:row>
    <x:row r="210">
      <x:c r="A210" s="15"/>
      <x:c r="B210" s="15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15"/>
      <x:c r="V210" s="15"/>
      <x:c r="W210" s="15"/>
      <x:c r="X210" s="15"/>
      <x:c r="Y210" s="15"/>
      <x:c r="Z210" s="15"/>
    </x:row>
    <x:row r="211">
      <x:c r="A211" s="15"/>
      <x:c r="B211" s="15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15"/>
      <x:c r="V211" s="15"/>
      <x:c r="W211" s="15"/>
      <x:c r="X211" s="15"/>
      <x:c r="Y211" s="15"/>
      <x:c r="Z211" s="15"/>
    </x:row>
    <x:row r="212">
      <x:c r="A212" s="15"/>
      <x:c r="B212" s="15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15"/>
      <x:c r="V212" s="15"/>
      <x:c r="W212" s="15"/>
      <x:c r="X212" s="15"/>
      <x:c r="Y212" s="15"/>
      <x:c r="Z212" s="15"/>
    </x:row>
    <x:row r="213">
      <x:c r="A213" s="15"/>
      <x:c r="B213" s="15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15"/>
      <x:c r="V213" s="15"/>
      <x:c r="W213" s="15"/>
      <x:c r="X213" s="15"/>
      <x:c r="Y213" s="15"/>
      <x:c r="Z213" s="15"/>
    </x:row>
    <x:row r="214">
      <x:c r="A214" s="15"/>
      <x:c r="B214" s="15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15"/>
      <x:c r="V214" s="15"/>
      <x:c r="W214" s="15"/>
      <x:c r="X214" s="15"/>
      <x:c r="Y214" s="15"/>
      <x:c r="Z214" s="15"/>
    </x:row>
    <x:row r="215">
      <x:c r="A215" s="15"/>
      <x:c r="B215" s="15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15"/>
      <x:c r="V215" s="15"/>
      <x:c r="W215" s="15"/>
      <x:c r="X215" s="15"/>
      <x:c r="Y215" s="15"/>
      <x:c r="Z215" s="15"/>
    </x:row>
    <x:row r="216">
      <x:c r="A216" s="15"/>
      <x:c r="B216" s="15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15"/>
      <x:c r="V216" s="15"/>
      <x:c r="W216" s="15"/>
      <x:c r="X216" s="15"/>
      <x:c r="Y216" s="15"/>
      <x:c r="Z216" s="15"/>
    </x:row>
    <x:row r="217">
      <x:c r="A217" s="15"/>
      <x:c r="B217" s="15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15"/>
      <x:c r="V217" s="15"/>
      <x:c r="W217" s="15"/>
      <x:c r="X217" s="15"/>
      <x:c r="Y217" s="15"/>
      <x:c r="Z217" s="15"/>
    </x:row>
    <x:row r="218">
      <x:c r="A218" s="15"/>
      <x:c r="B218" s="15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15"/>
      <x:c r="V218" s="15"/>
      <x:c r="W218" s="15"/>
      <x:c r="X218" s="15"/>
      <x:c r="Y218" s="15"/>
      <x:c r="Z218" s="15"/>
    </x:row>
    <x:row r="219">
      <x:c r="A219" s="15"/>
      <x:c r="B219" s="15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15"/>
      <x:c r="V219" s="15"/>
      <x:c r="W219" s="15"/>
      <x:c r="X219" s="15"/>
      <x:c r="Y219" s="15"/>
      <x:c r="Z219" s="15"/>
    </x:row>
    <x:row r="220">
      <x:c r="A220" s="15"/>
      <x:c r="B220" s="15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15"/>
      <x:c r="V220" s="15"/>
      <x:c r="W220" s="15"/>
      <x:c r="X220" s="15"/>
      <x:c r="Y220" s="15"/>
      <x:c r="Z220" s="15"/>
    </x:row>
    <x:row r="221">
      <x:c r="A221" s="15"/>
      <x:c r="B221" s="15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15"/>
      <x:c r="V221" s="15"/>
      <x:c r="W221" s="15"/>
      <x:c r="X221" s="15"/>
      <x:c r="Y221" s="15"/>
      <x:c r="Z221" s="15"/>
    </x:row>
    <x:row r="222">
      <x:c r="A222" s="15"/>
      <x:c r="B222" s="15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15"/>
      <x:c r="V222" s="15"/>
      <x:c r="W222" s="15"/>
      <x:c r="X222" s="15"/>
      <x:c r="Y222" s="15"/>
      <x:c r="Z222" s="15"/>
    </x:row>
    <x:row r="223">
      <x:c r="A223" s="15"/>
      <x:c r="B223" s="15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15"/>
      <x:c r="V223" s="15"/>
      <x:c r="W223" s="15"/>
      <x:c r="X223" s="15"/>
      <x:c r="Y223" s="15"/>
      <x:c r="Z223" s="15"/>
    </x:row>
    <x:row r="224">
      <x:c r="A224" s="15"/>
      <x:c r="B224" s="15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15"/>
      <x:c r="V224" s="15"/>
      <x:c r="W224" s="15"/>
      <x:c r="X224" s="15"/>
      <x:c r="Y224" s="15"/>
      <x:c r="Z224" s="15"/>
    </x:row>
    <x:row r="225">
      <x:c r="A225" s="15"/>
      <x:c r="B225" s="15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15"/>
      <x:c r="V225" s="15"/>
      <x:c r="W225" s="15"/>
      <x:c r="X225" s="15"/>
      <x:c r="Y225" s="15"/>
      <x:c r="Z225" s="15"/>
    </x:row>
    <x:row r="226">
      <x:c r="A226" s="15"/>
      <x:c r="B226" s="15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15"/>
      <x:c r="V226" s="15"/>
      <x:c r="W226" s="15"/>
      <x:c r="X226" s="15"/>
      <x:c r="Y226" s="15"/>
      <x:c r="Z226" s="15"/>
    </x:row>
    <x:row r="227">
      <x:c r="A227" s="15"/>
      <x:c r="B227" s="15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15"/>
      <x:c r="V227" s="15"/>
      <x:c r="W227" s="15"/>
      <x:c r="X227" s="15"/>
      <x:c r="Y227" s="15"/>
      <x:c r="Z227" s="15"/>
    </x:row>
    <x:row r="228">
      <x:c r="A228" s="15"/>
      <x:c r="B228" s="15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15"/>
      <x:c r="V228" s="15"/>
      <x:c r="W228" s="15"/>
      <x:c r="X228" s="15"/>
      <x:c r="Y228" s="15"/>
      <x:c r="Z228" s="15"/>
    </x:row>
    <x:row r="229">
      <x:c r="A229" s="15"/>
      <x:c r="B229" s="15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15"/>
      <x:c r="V229" s="15"/>
      <x:c r="W229" s="15"/>
      <x:c r="X229" s="15"/>
      <x:c r="Y229" s="15"/>
      <x:c r="Z229" s="15"/>
    </x:row>
    <x:row r="230">
      <x:c r="A230" s="15"/>
      <x:c r="B230" s="15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15"/>
      <x:c r="V230" s="15"/>
      <x:c r="W230" s="15"/>
      <x:c r="X230" s="15"/>
      <x:c r="Y230" s="15"/>
      <x:c r="Z230" s="15"/>
    </x:row>
    <x:row r="231">
      <x:c r="A231" s="15"/>
      <x:c r="B231" s="15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15"/>
      <x:c r="V231" s="15"/>
      <x:c r="W231" s="15"/>
      <x:c r="X231" s="15"/>
      <x:c r="Y231" s="15"/>
      <x:c r="Z231" s="15"/>
    </x:row>
    <x:row r="232">
      <x:c r="A232" s="15"/>
      <x:c r="B232" s="15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15"/>
      <x:c r="V232" s="15"/>
      <x:c r="W232" s="15"/>
      <x:c r="X232" s="15"/>
      <x:c r="Y232" s="15"/>
      <x:c r="Z232" s="15"/>
    </x:row>
    <x:row r="233">
      <x:c r="A233" s="15"/>
      <x:c r="B233" s="15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15"/>
      <x:c r="V233" s="15"/>
      <x:c r="W233" s="15"/>
      <x:c r="X233" s="15"/>
      <x:c r="Y233" s="15"/>
      <x:c r="Z233" s="15"/>
    </x:row>
    <x:row r="234">
      <x:c r="A234" s="15"/>
      <x:c r="B234" s="15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15"/>
      <x:c r="V234" s="15"/>
      <x:c r="W234" s="15"/>
      <x:c r="X234" s="15"/>
      <x:c r="Y234" s="15"/>
      <x:c r="Z234" s="15"/>
    </x:row>
    <x:row r="235">
      <x:c r="A235" s="15"/>
      <x:c r="B235" s="15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15"/>
      <x:c r="V235" s="15"/>
      <x:c r="W235" s="15"/>
      <x:c r="X235" s="15"/>
      <x:c r="Y235" s="15"/>
      <x:c r="Z235" s="15"/>
    </x:row>
    <x:row r="236">
      <x:c r="A236" s="15"/>
      <x:c r="B236" s="15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15"/>
      <x:c r="V236" s="15"/>
      <x:c r="W236" s="15"/>
      <x:c r="X236" s="15"/>
      <x:c r="Y236" s="15"/>
      <x:c r="Z236" s="15"/>
    </x:row>
    <x:row r="237">
      <x:c r="A237" s="15"/>
      <x:c r="B237" s="15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15"/>
      <x:c r="V237" s="15"/>
      <x:c r="W237" s="15"/>
      <x:c r="X237" s="15"/>
      <x:c r="Y237" s="15"/>
      <x:c r="Z237" s="15"/>
    </x:row>
    <x:row r="238">
      <x:c r="A238" s="15"/>
      <x:c r="B238" s="15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15"/>
      <x:c r="V238" s="15"/>
      <x:c r="W238" s="15"/>
      <x:c r="X238" s="15"/>
      <x:c r="Y238" s="15"/>
      <x:c r="Z238" s="15"/>
    </x:row>
    <x:row r="239">
      <x:c r="A239" s="15"/>
      <x:c r="B239" s="15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15"/>
      <x:c r="V239" s="15"/>
      <x:c r="W239" s="15"/>
      <x:c r="X239" s="15"/>
      <x:c r="Y239" s="15"/>
      <x:c r="Z239" s="15"/>
    </x:row>
    <x:row r="240">
      <x:c r="A240" s="15"/>
      <x:c r="B240" s="15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15"/>
      <x:c r="V240" s="15"/>
      <x:c r="W240" s="15"/>
      <x:c r="X240" s="15"/>
      <x:c r="Y240" s="15"/>
      <x:c r="Z240" s="15"/>
    </x:row>
    <x:row r="241">
      <x:c r="A241" s="15"/>
      <x:c r="B241" s="15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15"/>
      <x:c r="V241" s="15"/>
      <x:c r="W241" s="15"/>
      <x:c r="X241" s="15"/>
      <x:c r="Y241" s="15"/>
      <x:c r="Z241" s="15"/>
    </x:row>
    <x:row r="242">
      <x:c r="A242" s="15"/>
      <x:c r="B242" s="15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15"/>
      <x:c r="V242" s="15"/>
      <x:c r="W242" s="15"/>
      <x:c r="X242" s="15"/>
      <x:c r="Y242" s="15"/>
      <x:c r="Z242" s="15"/>
    </x:row>
    <x:row r="243">
      <x:c r="A243" s="15"/>
      <x:c r="B243" s="15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15"/>
      <x:c r="V243" s="15"/>
      <x:c r="W243" s="15"/>
      <x:c r="X243" s="15"/>
      <x:c r="Y243" s="15"/>
      <x:c r="Z243" s="15"/>
    </x:row>
    <x:row r="244">
      <x:c r="A244" s="15"/>
      <x:c r="B244" s="15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15"/>
      <x:c r="V244" s="15"/>
      <x:c r="W244" s="15"/>
      <x:c r="X244" s="15"/>
      <x:c r="Y244" s="15"/>
      <x:c r="Z244" s="15"/>
    </x:row>
    <x:row r="245">
      <x:c r="A245" s="15"/>
      <x:c r="B245" s="15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15"/>
      <x:c r="V245" s="15"/>
      <x:c r="W245" s="15"/>
      <x:c r="X245" s="15"/>
      <x:c r="Y245" s="15"/>
      <x:c r="Z245" s="15"/>
    </x:row>
    <x:row r="246">
      <x:c r="A246" s="15"/>
      <x:c r="B246" s="15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15"/>
      <x:c r="V246" s="15"/>
      <x:c r="W246" s="15"/>
      <x:c r="X246" s="15"/>
      <x:c r="Y246" s="15"/>
      <x:c r="Z246" s="15"/>
    </x:row>
    <x:row r="247">
      <x:c r="A247" s="15"/>
      <x:c r="B247" s="15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15"/>
      <x:c r="V247" s="15"/>
      <x:c r="W247" s="15"/>
      <x:c r="X247" s="15"/>
      <x:c r="Y247" s="15"/>
      <x:c r="Z247" s="15"/>
    </x:row>
    <x:row r="248">
      <x:c r="A248" s="15"/>
      <x:c r="B248" s="15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15"/>
      <x:c r="V248" s="15"/>
      <x:c r="W248" s="15"/>
      <x:c r="X248" s="15"/>
      <x:c r="Y248" s="15"/>
      <x:c r="Z248" s="15"/>
    </x:row>
    <x:row r="249">
      <x:c r="A249" s="15"/>
      <x:c r="B249" s="15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15"/>
      <x:c r="V249" s="15"/>
      <x:c r="W249" s="15"/>
      <x:c r="X249" s="15"/>
      <x:c r="Y249" s="15"/>
      <x:c r="Z249" s="15"/>
    </x:row>
    <x:row r="250">
      <x:c r="A250" s="15"/>
      <x:c r="B250" s="15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15"/>
      <x:c r="V250" s="15"/>
      <x:c r="W250" s="15"/>
      <x:c r="X250" s="15"/>
      <x:c r="Y250" s="15"/>
      <x:c r="Z250" s="15"/>
    </x:row>
    <x:row r="251">
      <x:c r="A251" s="15"/>
      <x:c r="B251" s="15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15"/>
      <x:c r="V251" s="15"/>
      <x:c r="W251" s="15"/>
      <x:c r="X251" s="15"/>
      <x:c r="Y251" s="15"/>
      <x:c r="Z251" s="15"/>
    </x:row>
    <x:row r="252">
      <x:c r="A252" s="15"/>
      <x:c r="B252" s="15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15"/>
      <x:c r="V252" s="15"/>
      <x:c r="W252" s="15"/>
      <x:c r="X252" s="15"/>
      <x:c r="Y252" s="15"/>
      <x:c r="Z252" s="15"/>
    </x:row>
    <x:row r="253">
      <x:c r="A253" s="15"/>
      <x:c r="B253" s="15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15"/>
      <x:c r="V253" s="15"/>
      <x:c r="W253" s="15"/>
      <x:c r="X253" s="15"/>
      <x:c r="Y253" s="15"/>
      <x:c r="Z253" s="15"/>
    </x:row>
    <x:row r="254">
      <x:c r="A254" s="15"/>
      <x:c r="B254" s="15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15"/>
      <x:c r="V254" s="15"/>
      <x:c r="W254" s="15"/>
      <x:c r="X254" s="15"/>
      <x:c r="Y254" s="15"/>
      <x:c r="Z254" s="15"/>
    </x:row>
    <x:row r="255">
      <x:c r="A255" s="15"/>
      <x:c r="B255" s="15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15"/>
      <x:c r="V255" s="15"/>
      <x:c r="W255" s="15"/>
      <x:c r="X255" s="15"/>
      <x:c r="Y255" s="15"/>
      <x:c r="Z255" s="15"/>
    </x:row>
    <x:row r="256">
      <x:c r="A256" s="15"/>
      <x:c r="B256" s="15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15"/>
      <x:c r="V256" s="15"/>
      <x:c r="W256" s="15"/>
      <x:c r="X256" s="15"/>
      <x:c r="Y256" s="15"/>
      <x:c r="Z256" s="15"/>
    </x:row>
    <x:row r="257">
      <x:c r="A257" s="15"/>
      <x:c r="B257" s="15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15"/>
      <x:c r="V257" s="15"/>
      <x:c r="W257" s="15"/>
      <x:c r="X257" s="15"/>
      <x:c r="Y257" s="15"/>
      <x:c r="Z257" s="15"/>
    </x:row>
    <x:row r="258">
      <x:c r="A258" s="15"/>
      <x:c r="B258" s="15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15"/>
      <x:c r="V258" s="15"/>
      <x:c r="W258" s="15"/>
      <x:c r="X258" s="15"/>
      <x:c r="Y258" s="15"/>
      <x:c r="Z258" s="15"/>
    </x:row>
    <x:row r="259">
      <x:c r="A259" s="15"/>
      <x:c r="B259" s="15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15"/>
      <x:c r="V259" s="15"/>
      <x:c r="W259" s="15"/>
      <x:c r="X259" s="15"/>
      <x:c r="Y259" s="15"/>
      <x:c r="Z259" s="15"/>
    </x:row>
    <x:row r="260">
      <x:c r="A260" s="15"/>
      <x:c r="B260" s="15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15"/>
      <x:c r="V260" s="15"/>
      <x:c r="W260" s="15"/>
      <x:c r="X260" s="15"/>
      <x:c r="Y260" s="15"/>
      <x:c r="Z260" s="15"/>
    </x:row>
    <x:row r="261">
      <x:c r="A261" s="15"/>
      <x:c r="B261" s="15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15"/>
      <x:c r="V261" s="15"/>
      <x:c r="W261" s="15"/>
      <x:c r="X261" s="15"/>
      <x:c r="Y261" s="15"/>
      <x:c r="Z261" s="15"/>
    </x:row>
    <x:row r="262">
      <x:c r="A262" s="15"/>
      <x:c r="B262" s="15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15"/>
      <x:c r="V262" s="15"/>
      <x:c r="W262" s="15"/>
      <x:c r="X262" s="15"/>
      <x:c r="Y262" s="15"/>
      <x:c r="Z262" s="15"/>
    </x:row>
    <x:row r="263">
      <x:c r="A263" s="15"/>
      <x:c r="B263" s="15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15"/>
      <x:c r="V263" s="15"/>
      <x:c r="W263" s="15"/>
      <x:c r="X263" s="15"/>
      <x:c r="Y263" s="15"/>
      <x:c r="Z263" s="15"/>
    </x:row>
    <x:row r="264">
      <x:c r="A264" s="15"/>
      <x:c r="B264" s="15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15"/>
      <x:c r="V264" s="15"/>
      <x:c r="W264" s="15"/>
      <x:c r="X264" s="15"/>
      <x:c r="Y264" s="15"/>
      <x:c r="Z264" s="15"/>
    </x:row>
    <x:row r="265">
      <x:c r="A265" s="15"/>
      <x:c r="B265" s="15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15"/>
      <x:c r="V265" s="15"/>
      <x:c r="W265" s="15"/>
      <x:c r="X265" s="15"/>
      <x:c r="Y265" s="15"/>
      <x:c r="Z265" s="15"/>
    </x:row>
    <x:row r="266">
      <x:c r="A266" s="15"/>
      <x:c r="B266" s="15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15"/>
      <x:c r="V266" s="15"/>
      <x:c r="W266" s="15"/>
      <x:c r="X266" s="15"/>
      <x:c r="Y266" s="15"/>
      <x:c r="Z266" s="15"/>
    </x:row>
    <x:row r="267">
      <x:c r="A267" s="15"/>
      <x:c r="B267" s="15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15"/>
      <x:c r="V267" s="15"/>
      <x:c r="W267" s="15"/>
      <x:c r="X267" s="15"/>
      <x:c r="Y267" s="15"/>
      <x:c r="Z267" s="15"/>
    </x:row>
    <x:row r="268">
      <x:c r="A268" s="15"/>
      <x:c r="B268" s="15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15"/>
      <x:c r="V268" s="15"/>
      <x:c r="W268" s="15"/>
      <x:c r="X268" s="15"/>
      <x:c r="Y268" s="15"/>
      <x:c r="Z268" s="15"/>
    </x:row>
    <x:row r="269">
      <x:c r="A269" s="15"/>
      <x:c r="B269" s="15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15"/>
      <x:c r="V269" s="15"/>
      <x:c r="W269" s="15"/>
      <x:c r="X269" s="15"/>
      <x:c r="Y269" s="15"/>
      <x:c r="Z269" s="15"/>
    </x:row>
    <x:row r="270">
      <x:c r="A270" s="15"/>
      <x:c r="B270" s="15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15"/>
      <x:c r="V270" s="15"/>
      <x:c r="W270" s="15"/>
      <x:c r="X270" s="15"/>
      <x:c r="Y270" s="15"/>
      <x:c r="Z270" s="15"/>
    </x:row>
    <x:row r="271">
      <x:c r="A271" s="15"/>
      <x:c r="B271" s="15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15"/>
      <x:c r="V271" s="15"/>
      <x:c r="W271" s="15"/>
      <x:c r="X271" s="15"/>
      <x:c r="Y271" s="15"/>
      <x:c r="Z271" s="15"/>
    </x:row>
    <x:row r="272">
      <x:c r="A272" s="15"/>
      <x:c r="B272" s="15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15"/>
      <x:c r="V272" s="15"/>
      <x:c r="W272" s="15"/>
      <x:c r="X272" s="15"/>
      <x:c r="Y272" s="15"/>
      <x:c r="Z272" s="15"/>
    </x:row>
    <x:row r="273">
      <x:c r="A273" s="15"/>
      <x:c r="B273" s="15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15"/>
      <x:c r="V273" s="15"/>
      <x:c r="W273" s="15"/>
      <x:c r="X273" s="15"/>
      <x:c r="Y273" s="15"/>
      <x:c r="Z273" s="15"/>
    </x:row>
    <x:row r="274">
      <x:c r="A274" s="15"/>
      <x:c r="B274" s="15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15"/>
      <x:c r="V274" s="15"/>
      <x:c r="W274" s="15"/>
      <x:c r="X274" s="15"/>
      <x:c r="Y274" s="15"/>
      <x:c r="Z274" s="15"/>
    </x:row>
    <x:row r="275">
      <x:c r="A275" s="15"/>
      <x:c r="B275" s="15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15"/>
      <x:c r="V275" s="15"/>
      <x:c r="W275" s="15"/>
      <x:c r="X275" s="15"/>
      <x:c r="Y275" s="15"/>
      <x:c r="Z275" s="15"/>
    </x:row>
    <x:row r="276">
      <x:c r="A276" s="15"/>
      <x:c r="B276" s="15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15"/>
      <x:c r="V276" s="15"/>
      <x:c r="W276" s="15"/>
      <x:c r="X276" s="15"/>
      <x:c r="Y276" s="15"/>
      <x:c r="Z276" s="15"/>
    </x:row>
    <x:row r="277">
      <x:c r="A277" s="15"/>
      <x:c r="B277" s="15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15"/>
      <x:c r="V277" s="15"/>
      <x:c r="W277" s="15"/>
      <x:c r="X277" s="15"/>
      <x:c r="Y277" s="15"/>
      <x:c r="Z277" s="15"/>
    </x:row>
    <x:row r="278">
      <x:c r="A278" s="15"/>
      <x:c r="B278" s="15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15"/>
      <x:c r="V278" s="15"/>
      <x:c r="W278" s="15"/>
      <x:c r="X278" s="15"/>
      <x:c r="Y278" s="15"/>
      <x:c r="Z278" s="15"/>
    </x:row>
    <x:row r="279">
      <x:c r="A279" s="15"/>
      <x:c r="B279" s="15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15"/>
      <x:c r="V279" s="15"/>
      <x:c r="W279" s="15"/>
      <x:c r="X279" s="15"/>
      <x:c r="Y279" s="15"/>
      <x:c r="Z279" s="15"/>
    </x:row>
    <x:row r="280">
      <x:c r="A280" s="15"/>
      <x:c r="B280" s="15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15"/>
      <x:c r="V280" s="15"/>
      <x:c r="W280" s="15"/>
      <x:c r="X280" s="15"/>
      <x:c r="Y280" s="15"/>
      <x:c r="Z280" s="15"/>
    </x:row>
    <x:row r="281">
      <x:c r="A281" s="15"/>
      <x:c r="B281" s="15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15"/>
      <x:c r="V281" s="15"/>
      <x:c r="W281" s="15"/>
      <x:c r="X281" s="15"/>
      <x:c r="Y281" s="15"/>
      <x:c r="Z281" s="15"/>
    </x:row>
    <x:row r="282">
      <x:c r="A282" s="15"/>
      <x:c r="B282" s="15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15"/>
      <x:c r="V282" s="15"/>
      <x:c r="W282" s="15"/>
      <x:c r="X282" s="15"/>
      <x:c r="Y282" s="15"/>
      <x:c r="Z282" s="15"/>
    </x:row>
    <x:row r="283">
      <x:c r="A283" s="15"/>
      <x:c r="B283" s="15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15"/>
      <x:c r="V283" s="15"/>
      <x:c r="W283" s="15"/>
      <x:c r="X283" s="15"/>
      <x:c r="Y283" s="15"/>
      <x:c r="Z283" s="15"/>
    </x:row>
    <x:row r="284">
      <x:c r="A284" s="15"/>
      <x:c r="B284" s="15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15"/>
      <x:c r="V284" s="15"/>
      <x:c r="W284" s="15"/>
      <x:c r="X284" s="15"/>
      <x:c r="Y284" s="15"/>
      <x:c r="Z284" s="15"/>
    </x:row>
    <x:row r="285">
      <x:c r="A285" s="15"/>
      <x:c r="B285" s="15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15"/>
      <x:c r="V285" s="15"/>
      <x:c r="W285" s="15"/>
      <x:c r="X285" s="15"/>
      <x:c r="Y285" s="15"/>
      <x:c r="Z285" s="15"/>
    </x:row>
    <x:row r="286">
      <x:c r="A286" s="15"/>
      <x:c r="B286" s="15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15"/>
      <x:c r="V286" s="15"/>
      <x:c r="W286" s="15"/>
      <x:c r="X286" s="15"/>
      <x:c r="Y286" s="15"/>
      <x:c r="Z286" s="15"/>
    </x:row>
    <x:row r="287">
      <x:c r="A287" s="15"/>
      <x:c r="B287" s="15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15"/>
      <x:c r="V287" s="15"/>
      <x:c r="W287" s="15"/>
      <x:c r="X287" s="15"/>
      <x:c r="Y287" s="15"/>
      <x:c r="Z287" s="15"/>
    </x:row>
    <x:row r="288">
      <x:c r="A288" s="15"/>
      <x:c r="B288" s="15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15"/>
      <x:c r="V288" s="15"/>
      <x:c r="W288" s="15"/>
      <x:c r="X288" s="15"/>
      <x:c r="Y288" s="15"/>
      <x:c r="Z288" s="15"/>
    </x:row>
    <x:row r="289">
      <x:c r="A289" s="15"/>
      <x:c r="B289" s="15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15"/>
      <x:c r="V289" s="15"/>
      <x:c r="W289" s="15"/>
      <x:c r="X289" s="15"/>
      <x:c r="Y289" s="15"/>
      <x:c r="Z289" s="15"/>
    </x:row>
    <x:row r="290">
      <x:c r="A290" s="15"/>
      <x:c r="B290" s="15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15"/>
      <x:c r="V290" s="15"/>
      <x:c r="W290" s="15"/>
      <x:c r="X290" s="15"/>
      <x:c r="Y290" s="15"/>
      <x:c r="Z290" s="15"/>
    </x:row>
    <x:row r="291">
      <x:c r="A291" s="15"/>
      <x:c r="B291" s="15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15"/>
      <x:c r="V291" s="15"/>
      <x:c r="W291" s="15"/>
      <x:c r="X291" s="15"/>
      <x:c r="Y291" s="15"/>
      <x:c r="Z291" s="15"/>
    </x:row>
    <x:row r="292">
      <x:c r="A292" s="15"/>
      <x:c r="B292" s="15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15"/>
      <x:c r="V292" s="15"/>
      <x:c r="W292" s="15"/>
      <x:c r="X292" s="15"/>
      <x:c r="Y292" s="15"/>
      <x:c r="Z292" s="15"/>
    </x:row>
    <x:row r="293">
      <x:c r="A293" s="15"/>
      <x:c r="B293" s="15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15"/>
      <x:c r="V293" s="15"/>
      <x:c r="W293" s="15"/>
      <x:c r="X293" s="15"/>
      <x:c r="Y293" s="15"/>
      <x:c r="Z293" s="15"/>
    </x:row>
    <x:row r="294">
      <x:c r="A294" s="15"/>
      <x:c r="B294" s="15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15"/>
      <x:c r="V294" s="15"/>
      <x:c r="W294" s="15"/>
      <x:c r="X294" s="15"/>
      <x:c r="Y294" s="15"/>
      <x:c r="Z294" s="15"/>
    </x:row>
    <x:row r="295">
      <x:c r="A295" s="15"/>
      <x:c r="B295" s="15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15"/>
      <x:c r="V295" s="15"/>
      <x:c r="W295" s="15"/>
      <x:c r="X295" s="15"/>
      <x:c r="Y295" s="15"/>
      <x:c r="Z295" s="15"/>
    </x:row>
    <x:row r="296">
      <x:c r="A296" s="15"/>
      <x:c r="B296" s="15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15"/>
      <x:c r="V296" s="15"/>
      <x:c r="W296" s="15"/>
      <x:c r="X296" s="15"/>
      <x:c r="Y296" s="15"/>
      <x:c r="Z296" s="15"/>
    </x:row>
    <x:row r="297">
      <x:c r="A297" s="15"/>
      <x:c r="B297" s="15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15"/>
      <x:c r="V297" s="15"/>
      <x:c r="W297" s="15"/>
      <x:c r="X297" s="15"/>
      <x:c r="Y297" s="15"/>
      <x:c r="Z297" s="15"/>
    </x:row>
    <x:row r="298">
      <x:c r="A298" s="15"/>
      <x:c r="B298" s="15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15"/>
      <x:c r="V298" s="15"/>
      <x:c r="W298" s="15"/>
      <x:c r="X298" s="15"/>
      <x:c r="Y298" s="15"/>
      <x:c r="Z298" s="15"/>
    </x:row>
    <x:row r="299">
      <x:c r="A299" s="15"/>
      <x:c r="B299" s="15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15"/>
      <x:c r="V299" s="15"/>
      <x:c r="W299" s="15"/>
      <x:c r="X299" s="15"/>
      <x:c r="Y299" s="15"/>
      <x:c r="Z299" s="15"/>
    </x:row>
    <x:row r="300">
      <x:c r="A300" s="15"/>
      <x:c r="B300" s="15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15"/>
      <x:c r="V300" s="15"/>
      <x:c r="W300" s="15"/>
      <x:c r="X300" s="15"/>
      <x:c r="Y300" s="15"/>
      <x:c r="Z300" s="15"/>
    </x:row>
  </x:sheetData>
  <x:mergeCells>
    <x:mergeCell ref="A1:K1"/>
  </x:mergeCells>
  <x:pageMargins left="0.7" right="0.7" top="0.75" bottom="0.75" header="0.3" footer="0.3"/>
</x:worksheet>
</file>